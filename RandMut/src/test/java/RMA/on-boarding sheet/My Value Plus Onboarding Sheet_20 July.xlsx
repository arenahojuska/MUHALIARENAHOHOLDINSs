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202300"/>
  <mc:AlternateContent xmlns:mc="http://schemas.openxmlformats.org/markup-compatibility/2006">
    <mc:Choice Requires="x15">
      <x15ac:absPath xmlns:x15ac="http://schemas.microsoft.com/office/spreadsheetml/2010/11/ac" url="C:\Users\Arenaho\eclipse-workspace\RandMut\src\test\java\RMA\on-boarding sheet\"/>
    </mc:Choice>
  </mc:AlternateContent>
  <xr:revisionPtr revIDLastSave="0" documentId="13_ncr:1_{A212ABF7-4ACC-4E54-895F-E50930B318B3}" xr6:coauthVersionLast="47" xr6:coauthVersionMax="47" xr10:uidLastSave="{00000000-0000-0000-0000-000000000000}"/>
  <workbookProtection workbookAlgorithmName="SHA-512" workbookHashValue="yGQrxeZWIvhqf4Mn0zlX59NBi6bwyJuH5deUhstSHQKUnHNjWvgxfeMDxtrtj/+kFW6bOYdqHZn+nj/IBtkD8Q==" workbookSaltValue="YYsVXNuydTdpZWkNZwxyDQ==" workbookSpinCount="100000" lockStructure="1"/>
  <bookViews>
    <workbookView xWindow="-28920" yWindow="1620" windowWidth="29040" windowHeight="15720" tabRatio="652" activeTab="1" xr2:uid="{249C7AD9-E280-4491-82C2-CA0F8852498A}"/>
  </bookViews>
  <sheets>
    <sheet name="Important Notes" sheetId="12" r:id="rId1"/>
    <sheet name="Onboarding" sheetId="9" r:id="rId2"/>
    <sheet name="onboarding_calcs" sheetId="11" state="hidden" r:id="rId3"/>
    <sheet name="Lookups" sheetId="10" state="hidden" r:id="rId4"/>
    <sheet name="Quotation Tool" sheetId="4" r:id="rId5"/>
    <sheet name="Life premiums" sheetId="1" state="hidden" r:id="rId6"/>
    <sheet name="Funeral premiums" sheetId="2" state="hidden" r:id="rId7"/>
    <sheet name="Total premium rates_Life" sheetId="8" r:id="rId8"/>
    <sheet name="Total premium rates_Funeral" sheetId="6" r:id="rId9"/>
  </sheets>
  <definedNames>
    <definedName name="_xlnm._FilterDatabase" localSheetId="1" hidden="1">Onboarding!$B$1:$BD$3</definedName>
    <definedName name="_xlnm._FilterDatabase" localSheetId="2" hidden="1">onboarding_calcs!$AC$4:$AI$650</definedName>
    <definedName name="Ext">'Funeral premiums'!$E$41:$G$52</definedName>
    <definedName name="MM">'Funeral premiums'!$E$3:$S$13</definedName>
    <definedName name="MM_CH">'Funeral premiums'!$E$14:$S$22</definedName>
    <definedName name="MM_LIFE">'Life premiums'!$E$6:$S$14</definedName>
    <definedName name="MM_SP">'Funeral premiums'!$E$23:$S$31</definedName>
    <definedName name="MM_SP_CH">'Funeral premiums'!$E$32:$S$40</definedName>
    <definedName name="Par">'Funeral premiums'!$E$53:$G$63</definedName>
    <definedName name="SP_LIFE">'Life premiums'!$E$15:$S$23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 i="10" l="1"/>
  <c r="T34" i="2" l="1"/>
  <c r="P650" i="9" l="1"/>
  <c r="P649" i="9"/>
  <c r="P648" i="9"/>
  <c r="P647" i="9"/>
  <c r="P646" i="9"/>
  <c r="P645" i="9"/>
  <c r="P644" i="9"/>
  <c r="P643" i="9"/>
  <c r="P642" i="9"/>
  <c r="P641" i="9"/>
  <c r="P640" i="9"/>
  <c r="P639" i="9"/>
  <c r="P638" i="9"/>
  <c r="P637" i="9"/>
  <c r="P636" i="9"/>
  <c r="P635" i="9"/>
  <c r="P634" i="9"/>
  <c r="P633" i="9"/>
  <c r="P632" i="9"/>
  <c r="P631" i="9"/>
  <c r="P630" i="9"/>
  <c r="P629" i="9"/>
  <c r="P628" i="9"/>
  <c r="P627" i="9"/>
  <c r="P626" i="9"/>
  <c r="P625" i="9"/>
  <c r="P624" i="9"/>
  <c r="P623" i="9"/>
  <c r="P622" i="9"/>
  <c r="P621" i="9"/>
  <c r="P620" i="9"/>
  <c r="P619" i="9"/>
  <c r="P618" i="9"/>
  <c r="P617" i="9"/>
  <c r="P616" i="9"/>
  <c r="P615" i="9"/>
  <c r="P614" i="9"/>
  <c r="P613" i="9"/>
  <c r="P612" i="9"/>
  <c r="P611" i="9"/>
  <c r="P610" i="9"/>
  <c r="P609" i="9"/>
  <c r="P608" i="9"/>
  <c r="P607" i="9"/>
  <c r="P606" i="9"/>
  <c r="P605" i="9"/>
  <c r="P604" i="9"/>
  <c r="P603" i="9"/>
  <c r="P602" i="9"/>
  <c r="P601" i="9"/>
  <c r="P600" i="9"/>
  <c r="P599" i="9"/>
  <c r="P598" i="9"/>
  <c r="P597" i="9"/>
  <c r="P596" i="9"/>
  <c r="P595" i="9"/>
  <c r="P594" i="9"/>
  <c r="P593" i="9"/>
  <c r="P592" i="9"/>
  <c r="P591" i="9"/>
  <c r="P590" i="9"/>
  <c r="P589" i="9"/>
  <c r="P588" i="9"/>
  <c r="P587" i="9"/>
  <c r="P586" i="9"/>
  <c r="P585" i="9"/>
  <c r="P584" i="9"/>
  <c r="P583" i="9"/>
  <c r="P582" i="9"/>
  <c r="P581" i="9"/>
  <c r="P580" i="9"/>
  <c r="P579" i="9"/>
  <c r="P578" i="9"/>
  <c r="P577" i="9"/>
  <c r="P576" i="9"/>
  <c r="P575" i="9"/>
  <c r="P574" i="9"/>
  <c r="P573" i="9"/>
  <c r="P572" i="9"/>
  <c r="P571" i="9"/>
  <c r="P570" i="9"/>
  <c r="P569" i="9"/>
  <c r="P568" i="9"/>
  <c r="P567" i="9"/>
  <c r="P566" i="9"/>
  <c r="P565" i="9"/>
  <c r="P564" i="9"/>
  <c r="P563" i="9"/>
  <c r="P562" i="9"/>
  <c r="P561" i="9"/>
  <c r="P560" i="9"/>
  <c r="P559" i="9"/>
  <c r="P558" i="9"/>
  <c r="P557" i="9"/>
  <c r="P556" i="9"/>
  <c r="P555" i="9"/>
  <c r="P554" i="9"/>
  <c r="P553" i="9"/>
  <c r="P552" i="9"/>
  <c r="P551" i="9"/>
  <c r="P550" i="9"/>
  <c r="P549" i="9"/>
  <c r="P548" i="9"/>
  <c r="P547" i="9"/>
  <c r="P546" i="9"/>
  <c r="P545" i="9"/>
  <c r="P544" i="9"/>
  <c r="P543" i="9"/>
  <c r="P542" i="9"/>
  <c r="P541" i="9"/>
  <c r="P540" i="9"/>
  <c r="P539" i="9"/>
  <c r="P538" i="9"/>
  <c r="P537" i="9"/>
  <c r="P536" i="9"/>
  <c r="P535" i="9"/>
  <c r="P534" i="9"/>
  <c r="P533" i="9"/>
  <c r="P532" i="9"/>
  <c r="P531" i="9"/>
  <c r="P530" i="9"/>
  <c r="P529" i="9"/>
  <c r="P528" i="9"/>
  <c r="P527" i="9"/>
  <c r="P526" i="9"/>
  <c r="P525" i="9"/>
  <c r="P524" i="9"/>
  <c r="P523" i="9"/>
  <c r="P522" i="9"/>
  <c r="P521" i="9"/>
  <c r="P520" i="9"/>
  <c r="P519" i="9"/>
  <c r="P518" i="9"/>
  <c r="P517" i="9"/>
  <c r="P516" i="9"/>
  <c r="P515" i="9"/>
  <c r="P514" i="9"/>
  <c r="P513" i="9"/>
  <c r="P512" i="9"/>
  <c r="P511" i="9"/>
  <c r="P510" i="9"/>
  <c r="P509" i="9"/>
  <c r="P508" i="9"/>
  <c r="P507" i="9"/>
  <c r="P506" i="9"/>
  <c r="P505" i="9"/>
  <c r="P504" i="9"/>
  <c r="P503" i="9"/>
  <c r="P502" i="9"/>
  <c r="P501" i="9"/>
  <c r="P500" i="9"/>
  <c r="P499" i="9"/>
  <c r="P498" i="9"/>
  <c r="P497" i="9"/>
  <c r="P496" i="9"/>
  <c r="P495" i="9"/>
  <c r="P494" i="9"/>
  <c r="P493" i="9"/>
  <c r="P492" i="9"/>
  <c r="P491" i="9"/>
  <c r="P490" i="9"/>
  <c r="P489" i="9"/>
  <c r="P488" i="9"/>
  <c r="P487" i="9"/>
  <c r="P486" i="9"/>
  <c r="P485" i="9"/>
  <c r="P484" i="9"/>
  <c r="P483" i="9"/>
  <c r="P482" i="9"/>
  <c r="P481" i="9"/>
  <c r="P480" i="9"/>
  <c r="P479" i="9"/>
  <c r="P478" i="9"/>
  <c r="P477" i="9"/>
  <c r="P476" i="9"/>
  <c r="P475" i="9"/>
  <c r="P474" i="9"/>
  <c r="P473" i="9"/>
  <c r="P472" i="9"/>
  <c r="P471" i="9"/>
  <c r="P470" i="9"/>
  <c r="P469" i="9"/>
  <c r="P468" i="9"/>
  <c r="P467" i="9"/>
  <c r="P466" i="9"/>
  <c r="P465" i="9"/>
  <c r="P464" i="9"/>
  <c r="P463" i="9"/>
  <c r="P462" i="9"/>
  <c r="P461" i="9"/>
  <c r="P460" i="9"/>
  <c r="P459" i="9"/>
  <c r="P458" i="9"/>
  <c r="P457" i="9"/>
  <c r="P456" i="9"/>
  <c r="P455" i="9"/>
  <c r="P454" i="9"/>
  <c r="P453" i="9"/>
  <c r="P452" i="9"/>
  <c r="P451" i="9"/>
  <c r="P450" i="9"/>
  <c r="P449" i="9"/>
  <c r="P448" i="9"/>
  <c r="P447" i="9"/>
  <c r="P446" i="9"/>
  <c r="P445" i="9"/>
  <c r="P444" i="9"/>
  <c r="P443" i="9"/>
  <c r="P442" i="9"/>
  <c r="P441" i="9"/>
  <c r="P440" i="9"/>
  <c r="P439" i="9"/>
  <c r="P438" i="9"/>
  <c r="P437" i="9"/>
  <c r="P436" i="9"/>
  <c r="P435" i="9"/>
  <c r="P434" i="9"/>
  <c r="P433" i="9"/>
  <c r="P432" i="9"/>
  <c r="P431" i="9"/>
  <c r="P430" i="9"/>
  <c r="P429" i="9"/>
  <c r="P428" i="9"/>
  <c r="P427" i="9"/>
  <c r="P426" i="9"/>
  <c r="P425" i="9"/>
  <c r="P424" i="9"/>
  <c r="P423" i="9"/>
  <c r="P422" i="9"/>
  <c r="P421" i="9"/>
  <c r="P420" i="9"/>
  <c r="P419" i="9"/>
  <c r="P418" i="9"/>
  <c r="P417" i="9"/>
  <c r="P416" i="9"/>
  <c r="P415" i="9"/>
  <c r="P414" i="9"/>
  <c r="P413" i="9"/>
  <c r="P412" i="9"/>
  <c r="P411" i="9"/>
  <c r="P410" i="9"/>
  <c r="P409" i="9"/>
  <c r="P408" i="9"/>
  <c r="P407" i="9"/>
  <c r="P406" i="9"/>
  <c r="P405" i="9"/>
  <c r="P404" i="9"/>
  <c r="P403" i="9"/>
  <c r="P402" i="9"/>
  <c r="P401" i="9"/>
  <c r="P400" i="9"/>
  <c r="P399" i="9"/>
  <c r="P398" i="9"/>
  <c r="P397" i="9"/>
  <c r="P396" i="9"/>
  <c r="P395" i="9"/>
  <c r="P394" i="9"/>
  <c r="P393" i="9"/>
  <c r="P392" i="9"/>
  <c r="P391" i="9"/>
  <c r="P390" i="9"/>
  <c r="P389" i="9"/>
  <c r="P388" i="9"/>
  <c r="P387" i="9"/>
  <c r="P386" i="9"/>
  <c r="P385" i="9"/>
  <c r="P384" i="9"/>
  <c r="P383" i="9"/>
  <c r="P382" i="9"/>
  <c r="P381" i="9"/>
  <c r="P380" i="9"/>
  <c r="P379" i="9"/>
  <c r="P378" i="9"/>
  <c r="P377" i="9"/>
  <c r="P376" i="9"/>
  <c r="P375" i="9"/>
  <c r="P374" i="9"/>
  <c r="P373" i="9"/>
  <c r="P372" i="9"/>
  <c r="P371" i="9"/>
  <c r="P370" i="9"/>
  <c r="P369" i="9"/>
  <c r="P368" i="9"/>
  <c r="P367" i="9"/>
  <c r="P366" i="9"/>
  <c r="P365" i="9"/>
  <c r="P364" i="9"/>
  <c r="P363" i="9"/>
  <c r="P362" i="9"/>
  <c r="P361" i="9"/>
  <c r="P360" i="9"/>
  <c r="P359" i="9"/>
  <c r="P358" i="9"/>
  <c r="P357" i="9"/>
  <c r="P356" i="9"/>
  <c r="P355" i="9"/>
  <c r="P354" i="9"/>
  <c r="P353" i="9"/>
  <c r="P352" i="9"/>
  <c r="P351" i="9"/>
  <c r="P350" i="9"/>
  <c r="P349" i="9"/>
  <c r="P348" i="9"/>
  <c r="P347" i="9"/>
  <c r="P346" i="9"/>
  <c r="P345" i="9"/>
  <c r="P344" i="9"/>
  <c r="P343" i="9"/>
  <c r="P342" i="9"/>
  <c r="P341" i="9"/>
  <c r="P340" i="9"/>
  <c r="P339" i="9"/>
  <c r="P338" i="9"/>
  <c r="P337" i="9"/>
  <c r="P336" i="9"/>
  <c r="P335" i="9"/>
  <c r="P334" i="9"/>
  <c r="P333" i="9"/>
  <c r="P332" i="9"/>
  <c r="P331" i="9"/>
  <c r="P330" i="9"/>
  <c r="P329" i="9"/>
  <c r="P328" i="9"/>
  <c r="P327" i="9"/>
  <c r="P326" i="9"/>
  <c r="P325" i="9"/>
  <c r="P324" i="9"/>
  <c r="P323" i="9"/>
  <c r="P322" i="9"/>
  <c r="P321" i="9"/>
  <c r="P320" i="9"/>
  <c r="P319" i="9"/>
  <c r="P318" i="9"/>
  <c r="P317" i="9"/>
  <c r="P316" i="9"/>
  <c r="P315" i="9"/>
  <c r="P314" i="9"/>
  <c r="P313" i="9"/>
  <c r="P312" i="9"/>
  <c r="P311" i="9"/>
  <c r="P310" i="9"/>
  <c r="P309" i="9"/>
  <c r="P308" i="9"/>
  <c r="P307" i="9"/>
  <c r="P306" i="9"/>
  <c r="P305" i="9"/>
  <c r="P304" i="9"/>
  <c r="P303" i="9"/>
  <c r="P302" i="9"/>
  <c r="P301" i="9"/>
  <c r="P300" i="9"/>
  <c r="P299" i="9"/>
  <c r="P298" i="9"/>
  <c r="P297" i="9"/>
  <c r="P296" i="9"/>
  <c r="P295" i="9"/>
  <c r="P294" i="9"/>
  <c r="P293" i="9"/>
  <c r="P292" i="9"/>
  <c r="P291" i="9"/>
  <c r="P290" i="9"/>
  <c r="P289" i="9"/>
  <c r="P288" i="9"/>
  <c r="P287" i="9"/>
  <c r="P286" i="9"/>
  <c r="P285" i="9"/>
  <c r="P284" i="9"/>
  <c r="P283" i="9"/>
  <c r="P282" i="9"/>
  <c r="P281" i="9"/>
  <c r="P280" i="9"/>
  <c r="P279" i="9"/>
  <c r="P278" i="9"/>
  <c r="P277" i="9"/>
  <c r="P276" i="9"/>
  <c r="P275" i="9"/>
  <c r="P274" i="9"/>
  <c r="P273" i="9"/>
  <c r="P272" i="9"/>
  <c r="P271" i="9"/>
  <c r="P270" i="9"/>
  <c r="P269" i="9"/>
  <c r="P268" i="9"/>
  <c r="P267" i="9"/>
  <c r="P266" i="9"/>
  <c r="P265" i="9"/>
  <c r="P264" i="9"/>
  <c r="P263" i="9"/>
  <c r="P262" i="9"/>
  <c r="P261" i="9"/>
  <c r="P260" i="9"/>
  <c r="P259" i="9"/>
  <c r="P258" i="9"/>
  <c r="P257" i="9"/>
  <c r="P256" i="9"/>
  <c r="P255" i="9"/>
  <c r="P254" i="9"/>
  <c r="P253" i="9"/>
  <c r="P252" i="9"/>
  <c r="P251" i="9"/>
  <c r="P250" i="9"/>
  <c r="P249" i="9"/>
  <c r="P248" i="9"/>
  <c r="P247" i="9"/>
  <c r="P246" i="9"/>
  <c r="P245" i="9"/>
  <c r="P244" i="9"/>
  <c r="P243" i="9"/>
  <c r="P242" i="9"/>
  <c r="P241" i="9"/>
  <c r="P240" i="9"/>
  <c r="P239" i="9"/>
  <c r="P238" i="9"/>
  <c r="P237" i="9"/>
  <c r="P236" i="9"/>
  <c r="P235" i="9"/>
  <c r="P234" i="9"/>
  <c r="P233" i="9"/>
  <c r="P232" i="9"/>
  <c r="P231" i="9"/>
  <c r="P230" i="9"/>
  <c r="P229" i="9"/>
  <c r="P228" i="9"/>
  <c r="P227" i="9"/>
  <c r="P226" i="9"/>
  <c r="P225" i="9"/>
  <c r="P224" i="9"/>
  <c r="P223" i="9"/>
  <c r="P222" i="9"/>
  <c r="P221" i="9"/>
  <c r="P220" i="9"/>
  <c r="P219" i="9"/>
  <c r="P218" i="9"/>
  <c r="P217" i="9"/>
  <c r="P216" i="9"/>
  <c r="P215" i="9"/>
  <c r="P214" i="9"/>
  <c r="P213" i="9"/>
  <c r="P212" i="9"/>
  <c r="P211" i="9"/>
  <c r="P210" i="9"/>
  <c r="P209" i="9"/>
  <c r="P208" i="9"/>
  <c r="P207" i="9"/>
  <c r="P206" i="9"/>
  <c r="P205" i="9"/>
  <c r="P204" i="9"/>
  <c r="P203" i="9"/>
  <c r="P202" i="9"/>
  <c r="P201" i="9"/>
  <c r="P200" i="9"/>
  <c r="P199" i="9"/>
  <c r="P198" i="9"/>
  <c r="P197" i="9"/>
  <c r="P196" i="9"/>
  <c r="P195" i="9"/>
  <c r="P194" i="9"/>
  <c r="P193" i="9"/>
  <c r="P192" i="9"/>
  <c r="P191" i="9"/>
  <c r="P190" i="9"/>
  <c r="P189" i="9"/>
  <c r="P188" i="9"/>
  <c r="P187" i="9"/>
  <c r="P186" i="9"/>
  <c r="P185" i="9"/>
  <c r="P184" i="9"/>
  <c r="P183" i="9"/>
  <c r="P182" i="9"/>
  <c r="P181" i="9"/>
  <c r="P180" i="9"/>
  <c r="P179" i="9"/>
  <c r="P178" i="9"/>
  <c r="P177" i="9"/>
  <c r="P176" i="9"/>
  <c r="P175" i="9"/>
  <c r="P174" i="9"/>
  <c r="P173" i="9"/>
  <c r="P172" i="9"/>
  <c r="P171" i="9"/>
  <c r="P170" i="9"/>
  <c r="P169" i="9"/>
  <c r="P168" i="9"/>
  <c r="P167" i="9"/>
  <c r="P166" i="9"/>
  <c r="P165" i="9"/>
  <c r="P164" i="9"/>
  <c r="P163" i="9"/>
  <c r="P162" i="9"/>
  <c r="P161" i="9"/>
  <c r="P160" i="9"/>
  <c r="P159" i="9"/>
  <c r="P158" i="9"/>
  <c r="P157" i="9"/>
  <c r="P156" i="9"/>
  <c r="P155" i="9"/>
  <c r="P154" i="9"/>
  <c r="P153" i="9"/>
  <c r="P152" i="9"/>
  <c r="P151" i="9"/>
  <c r="P150" i="9"/>
  <c r="P149" i="9"/>
  <c r="P148" i="9"/>
  <c r="P147" i="9"/>
  <c r="P146" i="9"/>
  <c r="P145" i="9"/>
  <c r="P144" i="9"/>
  <c r="P143" i="9"/>
  <c r="P142" i="9"/>
  <c r="P141" i="9"/>
  <c r="P140" i="9"/>
  <c r="P139" i="9"/>
  <c r="P138" i="9"/>
  <c r="P137" i="9"/>
  <c r="P136" i="9"/>
  <c r="P135" i="9"/>
  <c r="P134" i="9"/>
  <c r="P133" i="9"/>
  <c r="P132" i="9"/>
  <c r="P131" i="9"/>
  <c r="P130" i="9"/>
  <c r="P129" i="9"/>
  <c r="P128" i="9"/>
  <c r="P127" i="9"/>
  <c r="P126" i="9"/>
  <c r="P125" i="9"/>
  <c r="P124" i="9"/>
  <c r="P123" i="9"/>
  <c r="P122" i="9"/>
  <c r="P121" i="9"/>
  <c r="P120" i="9"/>
  <c r="P119" i="9"/>
  <c r="P118" i="9"/>
  <c r="P117" i="9"/>
  <c r="P116" i="9"/>
  <c r="P115" i="9"/>
  <c r="P114" i="9"/>
  <c r="P113" i="9"/>
  <c r="P112" i="9"/>
  <c r="P111" i="9"/>
  <c r="P110" i="9"/>
  <c r="P109" i="9"/>
  <c r="P108" i="9"/>
  <c r="P107" i="9"/>
  <c r="P106" i="9"/>
  <c r="P105" i="9"/>
  <c r="P104" i="9"/>
  <c r="P103" i="9"/>
  <c r="P102" i="9"/>
  <c r="P101" i="9"/>
  <c r="P100" i="9"/>
  <c r="P99" i="9"/>
  <c r="P98" i="9"/>
  <c r="P97" i="9"/>
  <c r="P96" i="9"/>
  <c r="P95" i="9"/>
  <c r="P94" i="9"/>
  <c r="P93" i="9"/>
  <c r="P92" i="9"/>
  <c r="P91" i="9"/>
  <c r="P90" i="9"/>
  <c r="P89" i="9"/>
  <c r="P88" i="9"/>
  <c r="P87" i="9"/>
  <c r="P86" i="9"/>
  <c r="P85" i="9"/>
  <c r="P84" i="9"/>
  <c r="P83" i="9"/>
  <c r="P82" i="9"/>
  <c r="P81" i="9"/>
  <c r="P80" i="9"/>
  <c r="P79" i="9"/>
  <c r="P78" i="9"/>
  <c r="P77" i="9"/>
  <c r="P76" i="9"/>
  <c r="P75" i="9"/>
  <c r="P74" i="9"/>
  <c r="P73" i="9"/>
  <c r="P72" i="9"/>
  <c r="P71" i="9"/>
  <c r="P70" i="9"/>
  <c r="P69" i="9"/>
  <c r="P68" i="9"/>
  <c r="P67" i="9"/>
  <c r="P66" i="9"/>
  <c r="P65" i="9"/>
  <c r="P64" i="9"/>
  <c r="P63" i="9"/>
  <c r="P62" i="9"/>
  <c r="P61" i="9"/>
  <c r="P60" i="9"/>
  <c r="P59" i="9"/>
  <c r="P58" i="9"/>
  <c r="P57" i="9"/>
  <c r="P56" i="9"/>
  <c r="P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7" i="9"/>
  <c r="P6" i="9"/>
  <c r="P5" i="9"/>
  <c r="P8" i="9"/>
  <c r="P40" i="4" l="1"/>
  <c r="T5" i="11" l="1"/>
  <c r="T6" i="11"/>
  <c r="T7" i="11"/>
  <c r="T8" i="11"/>
  <c r="T9" i="11"/>
  <c r="T10" i="11"/>
  <c r="T11" i="11"/>
  <c r="T12" i="11"/>
  <c r="T13" i="11"/>
  <c r="T14" i="11"/>
  <c r="T15" i="11"/>
  <c r="T16" i="11"/>
  <c r="T17" i="11"/>
  <c r="T18" i="11"/>
  <c r="T19" i="11"/>
  <c r="T20" i="11"/>
  <c r="T21" i="11"/>
  <c r="T22" i="11"/>
  <c r="T23" i="11"/>
  <c r="T24" i="11"/>
  <c r="T25" i="11"/>
  <c r="T26" i="11"/>
  <c r="T27" i="11"/>
  <c r="T28" i="11"/>
  <c r="T29" i="11"/>
  <c r="T30" i="11"/>
  <c r="T31" i="11"/>
  <c r="T32" i="11"/>
  <c r="T33" i="11"/>
  <c r="T34" i="11"/>
  <c r="T35" i="11"/>
  <c r="T36" i="11"/>
  <c r="T37" i="11"/>
  <c r="T38" i="11"/>
  <c r="T39" i="11"/>
  <c r="T40" i="11"/>
  <c r="T41" i="11"/>
  <c r="T42" i="11"/>
  <c r="T43" i="11"/>
  <c r="T44" i="11"/>
  <c r="T45" i="11"/>
  <c r="T46" i="11"/>
  <c r="T47" i="11"/>
  <c r="T48" i="11"/>
  <c r="T49" i="11"/>
  <c r="T50" i="11"/>
  <c r="T51" i="11"/>
  <c r="T52" i="11"/>
  <c r="T53" i="11"/>
  <c r="T54" i="11"/>
  <c r="T55" i="11"/>
  <c r="T56" i="11"/>
  <c r="T57" i="11"/>
  <c r="T58" i="11"/>
  <c r="T59" i="11"/>
  <c r="T60" i="11"/>
  <c r="T61" i="11"/>
  <c r="T62" i="11"/>
  <c r="T63" i="11"/>
  <c r="T64" i="11"/>
  <c r="T65" i="11"/>
  <c r="T66" i="11"/>
  <c r="T67" i="11"/>
  <c r="T68" i="11"/>
  <c r="T69" i="11"/>
  <c r="T70" i="11"/>
  <c r="T71" i="11"/>
  <c r="T72" i="11"/>
  <c r="T73" i="11"/>
  <c r="T74" i="11"/>
  <c r="T75" i="11"/>
  <c r="T76" i="11"/>
  <c r="T77" i="11"/>
  <c r="T78" i="11"/>
  <c r="T79" i="11"/>
  <c r="T80" i="11"/>
  <c r="T81" i="11"/>
  <c r="T82" i="11"/>
  <c r="T83" i="11"/>
  <c r="T84" i="11"/>
  <c r="T85" i="11"/>
  <c r="T86" i="11"/>
  <c r="T87" i="11"/>
  <c r="T88" i="11"/>
  <c r="T89" i="11"/>
  <c r="T90" i="11"/>
  <c r="T91" i="11"/>
  <c r="T92" i="11"/>
  <c r="T93" i="11"/>
  <c r="T94" i="11"/>
  <c r="T95" i="11"/>
  <c r="T96" i="11"/>
  <c r="T97" i="11"/>
  <c r="T98" i="11"/>
  <c r="T99" i="11"/>
  <c r="T100" i="11"/>
  <c r="T101" i="11"/>
  <c r="T102" i="11"/>
  <c r="T103" i="11"/>
  <c r="T104" i="11"/>
  <c r="T105" i="11"/>
  <c r="T106" i="11"/>
  <c r="T107" i="11"/>
  <c r="T108" i="11"/>
  <c r="T109" i="11"/>
  <c r="T110" i="11"/>
  <c r="T111" i="11"/>
  <c r="T112" i="11"/>
  <c r="T113" i="11"/>
  <c r="T114" i="11"/>
  <c r="T115" i="11"/>
  <c r="T116" i="11"/>
  <c r="T117" i="11"/>
  <c r="T118" i="11"/>
  <c r="T119" i="11"/>
  <c r="T120" i="11"/>
  <c r="T121" i="11"/>
  <c r="T122" i="11"/>
  <c r="T123" i="11"/>
  <c r="T124" i="11"/>
  <c r="T125" i="11"/>
  <c r="T126" i="11"/>
  <c r="T127" i="11"/>
  <c r="T128" i="11"/>
  <c r="T129" i="11"/>
  <c r="T130" i="11"/>
  <c r="T131" i="11"/>
  <c r="T132" i="11"/>
  <c r="T133" i="11"/>
  <c r="T134" i="11"/>
  <c r="T135" i="11"/>
  <c r="T136" i="11"/>
  <c r="T137" i="11"/>
  <c r="T138" i="11"/>
  <c r="T139" i="11"/>
  <c r="T140" i="11"/>
  <c r="T141" i="11"/>
  <c r="T142" i="11"/>
  <c r="T143" i="11"/>
  <c r="T144" i="11"/>
  <c r="T145" i="11"/>
  <c r="T146" i="11"/>
  <c r="T147" i="11"/>
  <c r="T148" i="11"/>
  <c r="T149" i="11"/>
  <c r="T150" i="11"/>
  <c r="T151" i="11"/>
  <c r="T152" i="11"/>
  <c r="T153" i="11"/>
  <c r="T154" i="11"/>
  <c r="T155" i="11"/>
  <c r="T156" i="11"/>
  <c r="T157" i="11"/>
  <c r="T158" i="11"/>
  <c r="T159" i="11"/>
  <c r="T160" i="11"/>
  <c r="T161" i="11"/>
  <c r="T162" i="11"/>
  <c r="T163" i="11"/>
  <c r="T164" i="11"/>
  <c r="T165" i="11"/>
  <c r="T166" i="11"/>
  <c r="T167" i="11"/>
  <c r="T168" i="11"/>
  <c r="T169" i="11"/>
  <c r="T170" i="11"/>
  <c r="T171" i="11"/>
  <c r="T172" i="11"/>
  <c r="T173" i="11"/>
  <c r="T174" i="11"/>
  <c r="T175" i="11"/>
  <c r="T176" i="11"/>
  <c r="T177" i="11"/>
  <c r="T178" i="11"/>
  <c r="T179" i="11"/>
  <c r="T180" i="11"/>
  <c r="T181" i="11"/>
  <c r="T182" i="11"/>
  <c r="T183" i="11"/>
  <c r="T184" i="11"/>
  <c r="T185" i="11"/>
  <c r="T186" i="11"/>
  <c r="T187" i="11"/>
  <c r="T188" i="11"/>
  <c r="T189" i="11"/>
  <c r="T190" i="11"/>
  <c r="T191" i="11"/>
  <c r="T192" i="11"/>
  <c r="T193" i="11"/>
  <c r="T194" i="11"/>
  <c r="T195" i="11"/>
  <c r="T196" i="11"/>
  <c r="T197" i="11"/>
  <c r="T198" i="11"/>
  <c r="T199" i="11"/>
  <c r="T200" i="11"/>
  <c r="T201" i="11"/>
  <c r="T202" i="11"/>
  <c r="T203" i="11"/>
  <c r="T204" i="11"/>
  <c r="T205" i="11"/>
  <c r="T206" i="11"/>
  <c r="T207" i="11"/>
  <c r="T208" i="11"/>
  <c r="T209" i="11"/>
  <c r="T210" i="11"/>
  <c r="T211" i="11"/>
  <c r="T212" i="11"/>
  <c r="T213" i="11"/>
  <c r="T214" i="11"/>
  <c r="T215" i="11"/>
  <c r="T216" i="11"/>
  <c r="T217" i="11"/>
  <c r="T218" i="11"/>
  <c r="T219" i="11"/>
  <c r="T220" i="11"/>
  <c r="T221" i="11"/>
  <c r="T222" i="11"/>
  <c r="T223" i="11"/>
  <c r="T224" i="11"/>
  <c r="T225" i="11"/>
  <c r="T226" i="11"/>
  <c r="T227" i="11"/>
  <c r="T228" i="11"/>
  <c r="T229" i="11"/>
  <c r="T230" i="11"/>
  <c r="T231" i="11"/>
  <c r="T232" i="11"/>
  <c r="T233" i="11"/>
  <c r="T234" i="11"/>
  <c r="T235" i="11"/>
  <c r="T236" i="11"/>
  <c r="T237" i="11"/>
  <c r="T238" i="11"/>
  <c r="T239" i="11"/>
  <c r="T240" i="11"/>
  <c r="T241" i="11"/>
  <c r="T242" i="11"/>
  <c r="T243" i="11"/>
  <c r="T244" i="11"/>
  <c r="T245" i="11"/>
  <c r="T246" i="11"/>
  <c r="T247" i="11"/>
  <c r="T248" i="11"/>
  <c r="T249" i="11"/>
  <c r="T250" i="11"/>
  <c r="T251" i="11"/>
  <c r="T252" i="11"/>
  <c r="T253" i="11"/>
  <c r="T254" i="11"/>
  <c r="T255" i="11"/>
  <c r="T256" i="11"/>
  <c r="T257" i="11"/>
  <c r="T258" i="11"/>
  <c r="T259" i="11"/>
  <c r="T260" i="11"/>
  <c r="T261" i="11"/>
  <c r="T262" i="11"/>
  <c r="T263" i="11"/>
  <c r="T264" i="11"/>
  <c r="T265" i="11"/>
  <c r="T266" i="11"/>
  <c r="T267" i="11"/>
  <c r="T268" i="11"/>
  <c r="T269" i="11"/>
  <c r="T270" i="11"/>
  <c r="T271" i="11"/>
  <c r="T272" i="11"/>
  <c r="T273" i="11"/>
  <c r="T274" i="11"/>
  <c r="T275" i="11"/>
  <c r="T276" i="11"/>
  <c r="T277" i="11"/>
  <c r="T278" i="11"/>
  <c r="T279" i="11"/>
  <c r="T280" i="11"/>
  <c r="T281" i="11"/>
  <c r="T282" i="11"/>
  <c r="T283" i="11"/>
  <c r="T284" i="11"/>
  <c r="T285" i="11"/>
  <c r="T286" i="11"/>
  <c r="T287" i="11"/>
  <c r="T288" i="11"/>
  <c r="T289" i="11"/>
  <c r="T290" i="11"/>
  <c r="T291" i="11"/>
  <c r="T292" i="11"/>
  <c r="T293" i="11"/>
  <c r="T294" i="11"/>
  <c r="T295" i="11"/>
  <c r="T296" i="11"/>
  <c r="T297" i="11"/>
  <c r="T298" i="11"/>
  <c r="T299" i="11"/>
  <c r="T300" i="11"/>
  <c r="T301" i="11"/>
  <c r="T302" i="11"/>
  <c r="T303" i="11"/>
  <c r="T304" i="11"/>
  <c r="T305" i="11"/>
  <c r="T306" i="11"/>
  <c r="T307" i="11"/>
  <c r="T308" i="11"/>
  <c r="T309" i="11"/>
  <c r="T310" i="11"/>
  <c r="T311" i="11"/>
  <c r="T312" i="11"/>
  <c r="T313" i="11"/>
  <c r="T314" i="11"/>
  <c r="T315" i="11"/>
  <c r="T316" i="11"/>
  <c r="T317" i="11"/>
  <c r="T318" i="11"/>
  <c r="T319" i="11"/>
  <c r="T320" i="11"/>
  <c r="T321" i="11"/>
  <c r="T322" i="11"/>
  <c r="T323" i="11"/>
  <c r="T324" i="11"/>
  <c r="T325" i="11"/>
  <c r="T326" i="11"/>
  <c r="T327" i="11"/>
  <c r="T328" i="11"/>
  <c r="T329" i="11"/>
  <c r="T330" i="11"/>
  <c r="T331" i="11"/>
  <c r="T332" i="11"/>
  <c r="T333" i="11"/>
  <c r="T334" i="11"/>
  <c r="T335" i="11"/>
  <c r="T336" i="11"/>
  <c r="T337" i="11"/>
  <c r="T338" i="11"/>
  <c r="T339" i="11"/>
  <c r="T340" i="11"/>
  <c r="T341" i="11"/>
  <c r="T342" i="11"/>
  <c r="T343" i="11"/>
  <c r="T344" i="11"/>
  <c r="T345" i="11"/>
  <c r="T346" i="11"/>
  <c r="T347" i="11"/>
  <c r="T348" i="11"/>
  <c r="T349" i="11"/>
  <c r="T350" i="11"/>
  <c r="T351" i="11"/>
  <c r="T352" i="11"/>
  <c r="T353" i="11"/>
  <c r="T354" i="11"/>
  <c r="T355" i="11"/>
  <c r="T356" i="11"/>
  <c r="T357" i="11"/>
  <c r="T358" i="11"/>
  <c r="T359" i="11"/>
  <c r="T360" i="11"/>
  <c r="T361" i="11"/>
  <c r="T362" i="11"/>
  <c r="T363" i="11"/>
  <c r="T364" i="11"/>
  <c r="T365" i="11"/>
  <c r="T366" i="11"/>
  <c r="T367" i="11"/>
  <c r="T368" i="11"/>
  <c r="T369" i="11"/>
  <c r="T370" i="11"/>
  <c r="T371" i="11"/>
  <c r="T372" i="11"/>
  <c r="T373" i="11"/>
  <c r="T374" i="11"/>
  <c r="T375" i="11"/>
  <c r="T376" i="11"/>
  <c r="T377" i="11"/>
  <c r="T378" i="11"/>
  <c r="T379" i="11"/>
  <c r="T380" i="11"/>
  <c r="T381" i="11"/>
  <c r="T382" i="11"/>
  <c r="T383" i="11"/>
  <c r="T384" i="11"/>
  <c r="T385" i="11"/>
  <c r="T386" i="11"/>
  <c r="T387" i="11"/>
  <c r="T388" i="11"/>
  <c r="T389" i="11"/>
  <c r="T390" i="11"/>
  <c r="T391" i="11"/>
  <c r="T392" i="11"/>
  <c r="T393" i="11"/>
  <c r="T394" i="11"/>
  <c r="T395" i="11"/>
  <c r="T396" i="11"/>
  <c r="T397" i="11"/>
  <c r="T398" i="11"/>
  <c r="T399" i="11"/>
  <c r="T400" i="11"/>
  <c r="T401" i="11"/>
  <c r="T402" i="11"/>
  <c r="T403" i="11"/>
  <c r="T404" i="11"/>
  <c r="T405" i="11"/>
  <c r="T406" i="11"/>
  <c r="T407" i="11"/>
  <c r="T408" i="11"/>
  <c r="T409" i="11"/>
  <c r="T410" i="11"/>
  <c r="T411" i="11"/>
  <c r="T412" i="11"/>
  <c r="T413" i="11"/>
  <c r="T414" i="11"/>
  <c r="T415" i="11"/>
  <c r="T416" i="11"/>
  <c r="T417" i="11"/>
  <c r="T418" i="11"/>
  <c r="T419" i="11"/>
  <c r="T420" i="11"/>
  <c r="T421" i="11"/>
  <c r="T422" i="11"/>
  <c r="T423" i="11"/>
  <c r="T424" i="11"/>
  <c r="T425" i="11"/>
  <c r="T426" i="11"/>
  <c r="T427" i="11"/>
  <c r="T428" i="11"/>
  <c r="T429" i="11"/>
  <c r="T430" i="11"/>
  <c r="T431" i="11"/>
  <c r="T432" i="11"/>
  <c r="T433" i="11"/>
  <c r="T434" i="11"/>
  <c r="T435" i="11"/>
  <c r="T436" i="11"/>
  <c r="T437" i="11"/>
  <c r="T438" i="11"/>
  <c r="T439" i="11"/>
  <c r="T440" i="11"/>
  <c r="T441" i="11"/>
  <c r="T442" i="11"/>
  <c r="T443" i="11"/>
  <c r="T444" i="11"/>
  <c r="T445" i="11"/>
  <c r="T446" i="11"/>
  <c r="T447" i="11"/>
  <c r="T448" i="11"/>
  <c r="T449" i="11"/>
  <c r="T450" i="11"/>
  <c r="T451" i="11"/>
  <c r="T452" i="11"/>
  <c r="T453" i="11"/>
  <c r="T454" i="11"/>
  <c r="T455" i="11"/>
  <c r="T456" i="11"/>
  <c r="T457" i="11"/>
  <c r="T458" i="11"/>
  <c r="T459" i="11"/>
  <c r="T460" i="11"/>
  <c r="T461" i="11"/>
  <c r="T462" i="11"/>
  <c r="T463" i="11"/>
  <c r="T464" i="11"/>
  <c r="T465" i="11"/>
  <c r="T466" i="11"/>
  <c r="T467" i="11"/>
  <c r="T468" i="11"/>
  <c r="T469" i="11"/>
  <c r="T470" i="11"/>
  <c r="T471" i="11"/>
  <c r="T472" i="11"/>
  <c r="T473" i="11"/>
  <c r="T474" i="11"/>
  <c r="T475" i="11"/>
  <c r="T476" i="11"/>
  <c r="T477" i="11"/>
  <c r="T478" i="11"/>
  <c r="T479" i="11"/>
  <c r="T480" i="11"/>
  <c r="T481" i="11"/>
  <c r="T482" i="11"/>
  <c r="T483" i="11"/>
  <c r="T484" i="11"/>
  <c r="T485" i="11"/>
  <c r="T486" i="11"/>
  <c r="T487" i="11"/>
  <c r="T488" i="11"/>
  <c r="T489" i="11"/>
  <c r="T490" i="11"/>
  <c r="T491" i="11"/>
  <c r="T492" i="11"/>
  <c r="T493" i="11"/>
  <c r="T494" i="11"/>
  <c r="T495" i="11"/>
  <c r="T496" i="11"/>
  <c r="T497" i="11"/>
  <c r="T498" i="11"/>
  <c r="T499" i="11"/>
  <c r="T500" i="11"/>
  <c r="T501" i="11"/>
  <c r="T502" i="11"/>
  <c r="T503" i="11"/>
  <c r="T504" i="11"/>
  <c r="T505" i="11"/>
  <c r="T506" i="11"/>
  <c r="T507" i="11"/>
  <c r="T508" i="11"/>
  <c r="T509" i="11"/>
  <c r="T510" i="11"/>
  <c r="T511" i="11"/>
  <c r="T512" i="11"/>
  <c r="T513" i="11"/>
  <c r="T514" i="11"/>
  <c r="T515" i="11"/>
  <c r="T516" i="11"/>
  <c r="T517" i="11"/>
  <c r="T518" i="11"/>
  <c r="T519" i="11"/>
  <c r="T520" i="11"/>
  <c r="T521" i="11"/>
  <c r="T522" i="11"/>
  <c r="T523" i="11"/>
  <c r="T524" i="11"/>
  <c r="T525" i="11"/>
  <c r="T526" i="11"/>
  <c r="T527" i="11"/>
  <c r="T528" i="11"/>
  <c r="T529" i="11"/>
  <c r="T530" i="11"/>
  <c r="T531" i="11"/>
  <c r="T532" i="11"/>
  <c r="T533" i="11"/>
  <c r="T534" i="11"/>
  <c r="T535" i="11"/>
  <c r="T536" i="11"/>
  <c r="T537" i="11"/>
  <c r="T538" i="11"/>
  <c r="T539" i="11"/>
  <c r="T540" i="11"/>
  <c r="T541" i="11"/>
  <c r="T542" i="11"/>
  <c r="T543" i="11"/>
  <c r="T544" i="11"/>
  <c r="T545" i="11"/>
  <c r="T546" i="11"/>
  <c r="T547" i="11"/>
  <c r="T548" i="11"/>
  <c r="T549" i="11"/>
  <c r="T550" i="11"/>
  <c r="T551" i="11"/>
  <c r="T552" i="11"/>
  <c r="T553" i="11"/>
  <c r="T554" i="11"/>
  <c r="T555" i="11"/>
  <c r="T556" i="11"/>
  <c r="T557" i="11"/>
  <c r="T558" i="11"/>
  <c r="T559" i="11"/>
  <c r="T560" i="11"/>
  <c r="T561" i="11"/>
  <c r="T562" i="11"/>
  <c r="T563" i="11"/>
  <c r="T564" i="11"/>
  <c r="T565" i="11"/>
  <c r="T566" i="11"/>
  <c r="T567" i="11"/>
  <c r="T568" i="11"/>
  <c r="T569" i="11"/>
  <c r="T570" i="11"/>
  <c r="T571" i="11"/>
  <c r="T572" i="11"/>
  <c r="T573" i="11"/>
  <c r="T574" i="11"/>
  <c r="T575" i="11"/>
  <c r="T576" i="11"/>
  <c r="T577" i="11"/>
  <c r="T578" i="11"/>
  <c r="T579" i="11"/>
  <c r="T580" i="11"/>
  <c r="T581" i="11"/>
  <c r="T582" i="11"/>
  <c r="T583" i="11"/>
  <c r="T584" i="11"/>
  <c r="T585" i="11"/>
  <c r="T586" i="11"/>
  <c r="T587" i="11"/>
  <c r="T588" i="11"/>
  <c r="T589" i="11"/>
  <c r="T590" i="11"/>
  <c r="T591" i="11"/>
  <c r="T592" i="11"/>
  <c r="T593" i="11"/>
  <c r="T594" i="11"/>
  <c r="T595" i="11"/>
  <c r="T596" i="11"/>
  <c r="T597" i="11"/>
  <c r="T598" i="11"/>
  <c r="T599" i="11"/>
  <c r="T600" i="11"/>
  <c r="T601" i="11"/>
  <c r="T602" i="11"/>
  <c r="T603" i="11"/>
  <c r="T604" i="11"/>
  <c r="T605" i="11"/>
  <c r="T606" i="11"/>
  <c r="T607" i="11"/>
  <c r="T608" i="11"/>
  <c r="T609" i="11"/>
  <c r="T610" i="11"/>
  <c r="T611" i="11"/>
  <c r="T612" i="11"/>
  <c r="T613" i="11"/>
  <c r="T614" i="11"/>
  <c r="T615" i="11"/>
  <c r="T616" i="11"/>
  <c r="T617" i="11"/>
  <c r="T618" i="11"/>
  <c r="T619" i="11"/>
  <c r="T620" i="11"/>
  <c r="T621" i="11"/>
  <c r="T622" i="11"/>
  <c r="T623" i="11"/>
  <c r="T624" i="11"/>
  <c r="T625" i="11"/>
  <c r="T626" i="11"/>
  <c r="T627" i="11"/>
  <c r="T628" i="11"/>
  <c r="T629" i="11"/>
  <c r="T630" i="11"/>
  <c r="T631" i="11"/>
  <c r="T632" i="11"/>
  <c r="T633" i="11"/>
  <c r="T634" i="11"/>
  <c r="T635" i="11"/>
  <c r="T636" i="11"/>
  <c r="T637" i="11"/>
  <c r="T638" i="11"/>
  <c r="T639" i="11"/>
  <c r="T640" i="11"/>
  <c r="T641" i="11"/>
  <c r="T642" i="11"/>
  <c r="T643" i="11"/>
  <c r="T644" i="11"/>
  <c r="T645" i="11"/>
  <c r="T646" i="11"/>
  <c r="T647" i="11"/>
  <c r="T648" i="11"/>
  <c r="T649" i="11"/>
  <c r="T650" i="11"/>
  <c r="A5" i="11" l="1"/>
  <c r="F36" i="4"/>
  <c r="U650" i="11"/>
  <c r="U649" i="11"/>
  <c r="U648" i="11"/>
  <c r="U647" i="11"/>
  <c r="U646" i="11"/>
  <c r="U645" i="11"/>
  <c r="U644" i="11"/>
  <c r="U643" i="11"/>
  <c r="U642" i="11"/>
  <c r="U641" i="11"/>
  <c r="U640" i="11"/>
  <c r="U639" i="11"/>
  <c r="U638" i="11"/>
  <c r="U637" i="11"/>
  <c r="U636" i="11"/>
  <c r="U635" i="11"/>
  <c r="U634" i="11"/>
  <c r="U633" i="11"/>
  <c r="U632" i="11"/>
  <c r="U631" i="11"/>
  <c r="U630" i="11"/>
  <c r="U629" i="11"/>
  <c r="U628" i="11"/>
  <c r="U627" i="11"/>
  <c r="U626" i="11"/>
  <c r="U625" i="11"/>
  <c r="U624" i="11"/>
  <c r="U623" i="11"/>
  <c r="U622" i="11"/>
  <c r="U621" i="11"/>
  <c r="U620" i="11"/>
  <c r="U619" i="11"/>
  <c r="U618" i="11"/>
  <c r="U617" i="11"/>
  <c r="U616" i="11"/>
  <c r="U615" i="11"/>
  <c r="U614" i="11"/>
  <c r="U613" i="11"/>
  <c r="U612" i="11"/>
  <c r="U611" i="11"/>
  <c r="U610" i="11"/>
  <c r="U609" i="11"/>
  <c r="U608" i="11"/>
  <c r="U607" i="11"/>
  <c r="U606" i="11"/>
  <c r="U605" i="11"/>
  <c r="U604" i="11"/>
  <c r="U603" i="11"/>
  <c r="U602" i="11"/>
  <c r="U601" i="11"/>
  <c r="U600" i="11"/>
  <c r="U599" i="11"/>
  <c r="U598" i="11"/>
  <c r="U597" i="11"/>
  <c r="U596" i="11"/>
  <c r="U595" i="11"/>
  <c r="U594" i="11"/>
  <c r="U593" i="11"/>
  <c r="U592" i="11"/>
  <c r="U591" i="11"/>
  <c r="U590" i="11"/>
  <c r="U589" i="11"/>
  <c r="U588" i="11"/>
  <c r="U587" i="11"/>
  <c r="U586" i="11"/>
  <c r="U585" i="11"/>
  <c r="U584" i="11"/>
  <c r="U583" i="11"/>
  <c r="U582" i="11"/>
  <c r="U581" i="11"/>
  <c r="U580" i="11"/>
  <c r="U579" i="11"/>
  <c r="U578" i="11"/>
  <c r="U577" i="11"/>
  <c r="U576" i="11"/>
  <c r="U575" i="11"/>
  <c r="U574" i="11"/>
  <c r="U573" i="11"/>
  <c r="U572" i="11"/>
  <c r="U571" i="11"/>
  <c r="U570" i="11"/>
  <c r="U569" i="11"/>
  <c r="U568" i="11"/>
  <c r="U567" i="11"/>
  <c r="U566" i="11"/>
  <c r="U565" i="11"/>
  <c r="U564" i="11"/>
  <c r="U563" i="11"/>
  <c r="U562" i="11"/>
  <c r="U561" i="11"/>
  <c r="U560" i="11"/>
  <c r="U559" i="11"/>
  <c r="U558" i="11"/>
  <c r="U557" i="11"/>
  <c r="U556" i="11"/>
  <c r="U555" i="11"/>
  <c r="U554" i="11"/>
  <c r="U553" i="11"/>
  <c r="U552" i="11"/>
  <c r="U551" i="11"/>
  <c r="U550" i="11"/>
  <c r="U549" i="11"/>
  <c r="U548" i="11"/>
  <c r="U547" i="11"/>
  <c r="U546" i="11"/>
  <c r="U545" i="11"/>
  <c r="U544" i="11"/>
  <c r="U543" i="11"/>
  <c r="U542" i="11"/>
  <c r="U541" i="11"/>
  <c r="U540" i="11"/>
  <c r="U539" i="11"/>
  <c r="U538" i="11"/>
  <c r="U537" i="11"/>
  <c r="U536" i="11"/>
  <c r="U535" i="11"/>
  <c r="U534" i="11"/>
  <c r="U533" i="11"/>
  <c r="U532" i="11"/>
  <c r="U531" i="11"/>
  <c r="U530" i="11"/>
  <c r="U529" i="11"/>
  <c r="U528" i="11"/>
  <c r="U527" i="11"/>
  <c r="U526" i="11"/>
  <c r="U525" i="11"/>
  <c r="U524" i="11"/>
  <c r="U523" i="11"/>
  <c r="U522" i="11"/>
  <c r="U521" i="11"/>
  <c r="U520" i="11"/>
  <c r="U519" i="11"/>
  <c r="U518" i="11"/>
  <c r="U517" i="11"/>
  <c r="U516" i="11"/>
  <c r="U515" i="11"/>
  <c r="U514" i="11"/>
  <c r="U513" i="11"/>
  <c r="U512" i="11"/>
  <c r="U511" i="11"/>
  <c r="U510" i="11"/>
  <c r="U509" i="11"/>
  <c r="U508" i="11"/>
  <c r="U507" i="11"/>
  <c r="U506" i="11"/>
  <c r="U505" i="11"/>
  <c r="U504" i="11"/>
  <c r="U503" i="11"/>
  <c r="U502" i="11"/>
  <c r="U501" i="11"/>
  <c r="U500" i="11"/>
  <c r="U499" i="11"/>
  <c r="U498" i="11"/>
  <c r="U497" i="11"/>
  <c r="U496" i="11"/>
  <c r="U495" i="11"/>
  <c r="U494" i="11"/>
  <c r="U493" i="11"/>
  <c r="U492" i="11"/>
  <c r="U491" i="11"/>
  <c r="U490" i="11"/>
  <c r="U489" i="11"/>
  <c r="U488" i="11"/>
  <c r="U487" i="11"/>
  <c r="U486" i="11"/>
  <c r="U485" i="11"/>
  <c r="U484" i="11"/>
  <c r="U483" i="11"/>
  <c r="U482" i="11"/>
  <c r="U481" i="11"/>
  <c r="U480" i="11"/>
  <c r="U479" i="11"/>
  <c r="U478" i="11"/>
  <c r="U477" i="11"/>
  <c r="U476" i="11"/>
  <c r="U475" i="11"/>
  <c r="U474" i="11"/>
  <c r="U473" i="11"/>
  <c r="U472" i="11"/>
  <c r="U471" i="11"/>
  <c r="U470" i="11"/>
  <c r="U469" i="11"/>
  <c r="U468" i="11"/>
  <c r="U467" i="11"/>
  <c r="U466" i="11"/>
  <c r="U465" i="11"/>
  <c r="U464" i="11"/>
  <c r="U463" i="11"/>
  <c r="U462" i="11"/>
  <c r="U461" i="11"/>
  <c r="U460" i="11"/>
  <c r="U459" i="11"/>
  <c r="U458" i="11"/>
  <c r="U457" i="11"/>
  <c r="U456" i="11"/>
  <c r="U455" i="11"/>
  <c r="U454" i="11"/>
  <c r="U453" i="11"/>
  <c r="U452" i="11"/>
  <c r="U451" i="11"/>
  <c r="U450" i="11"/>
  <c r="U449" i="11"/>
  <c r="U448" i="11"/>
  <c r="U447" i="11"/>
  <c r="U446" i="11"/>
  <c r="U445" i="11"/>
  <c r="U444" i="11"/>
  <c r="U443" i="11"/>
  <c r="U442" i="11"/>
  <c r="U441" i="11"/>
  <c r="U440" i="11"/>
  <c r="U439" i="11"/>
  <c r="U438" i="11"/>
  <c r="U437" i="11"/>
  <c r="U436" i="11"/>
  <c r="U435" i="11"/>
  <c r="U434" i="11"/>
  <c r="U433" i="11"/>
  <c r="U432" i="11"/>
  <c r="U431" i="11"/>
  <c r="U430" i="11"/>
  <c r="U429" i="11"/>
  <c r="U428" i="11"/>
  <c r="U427" i="11"/>
  <c r="U426" i="11"/>
  <c r="U425" i="11"/>
  <c r="U424" i="11"/>
  <c r="U423" i="11"/>
  <c r="U422" i="11"/>
  <c r="U421" i="11"/>
  <c r="U420" i="11"/>
  <c r="U419" i="11"/>
  <c r="U418" i="11"/>
  <c r="U417" i="11"/>
  <c r="U416" i="11"/>
  <c r="U415" i="11"/>
  <c r="U414" i="11"/>
  <c r="U413" i="11"/>
  <c r="U412" i="11"/>
  <c r="U411" i="11"/>
  <c r="U410" i="11"/>
  <c r="U409" i="11"/>
  <c r="U408" i="11"/>
  <c r="U407" i="11"/>
  <c r="U406" i="11"/>
  <c r="U405" i="11"/>
  <c r="U404" i="11"/>
  <c r="U403" i="11"/>
  <c r="U402" i="11"/>
  <c r="U401" i="11"/>
  <c r="U400" i="11"/>
  <c r="U399" i="11"/>
  <c r="U398" i="11"/>
  <c r="U397" i="11"/>
  <c r="U396" i="11"/>
  <c r="U395" i="11"/>
  <c r="U394" i="11"/>
  <c r="U393" i="11"/>
  <c r="U392" i="11"/>
  <c r="U391" i="11"/>
  <c r="U390" i="11"/>
  <c r="U389" i="11"/>
  <c r="U388" i="11"/>
  <c r="U387" i="11"/>
  <c r="U386" i="11"/>
  <c r="U385" i="11"/>
  <c r="U384" i="11"/>
  <c r="U383" i="11"/>
  <c r="U382" i="11"/>
  <c r="U381" i="11"/>
  <c r="U380" i="11"/>
  <c r="U379" i="11"/>
  <c r="U378" i="11"/>
  <c r="U377" i="11"/>
  <c r="U376" i="11"/>
  <c r="U375" i="11"/>
  <c r="U374" i="11"/>
  <c r="U373" i="11"/>
  <c r="U372" i="11"/>
  <c r="U371" i="11"/>
  <c r="U370" i="11"/>
  <c r="U369" i="11"/>
  <c r="U368" i="11"/>
  <c r="U367" i="11"/>
  <c r="U366" i="11"/>
  <c r="U365" i="11"/>
  <c r="U364" i="11"/>
  <c r="U363" i="11"/>
  <c r="U362" i="11"/>
  <c r="U361" i="11"/>
  <c r="U360" i="11"/>
  <c r="U359" i="11"/>
  <c r="U358" i="11"/>
  <c r="U357" i="11"/>
  <c r="U356" i="11"/>
  <c r="U355" i="11"/>
  <c r="U354" i="11"/>
  <c r="U353" i="11"/>
  <c r="U352" i="11"/>
  <c r="U351" i="11"/>
  <c r="U350" i="11"/>
  <c r="U349" i="11"/>
  <c r="U348" i="11"/>
  <c r="U347" i="11"/>
  <c r="U346" i="11"/>
  <c r="U345" i="11"/>
  <c r="U344" i="11"/>
  <c r="U343" i="11"/>
  <c r="U342" i="11"/>
  <c r="U341" i="11"/>
  <c r="U340" i="11"/>
  <c r="U339" i="11"/>
  <c r="U338" i="11"/>
  <c r="U337" i="11"/>
  <c r="U336" i="11"/>
  <c r="U335" i="11"/>
  <c r="U334" i="11"/>
  <c r="U333" i="11"/>
  <c r="U332" i="11"/>
  <c r="U331" i="11"/>
  <c r="U330" i="11"/>
  <c r="U329" i="11"/>
  <c r="U328" i="11"/>
  <c r="U327" i="11"/>
  <c r="U326" i="11"/>
  <c r="U325" i="11"/>
  <c r="U324" i="11"/>
  <c r="U323" i="11"/>
  <c r="U322" i="11"/>
  <c r="U321" i="11"/>
  <c r="U320" i="11"/>
  <c r="U319" i="11"/>
  <c r="U318" i="11"/>
  <c r="U317" i="11"/>
  <c r="U316" i="11"/>
  <c r="U315" i="11"/>
  <c r="U314" i="11"/>
  <c r="U313" i="11"/>
  <c r="U312" i="11"/>
  <c r="U311" i="11"/>
  <c r="U310" i="11"/>
  <c r="U309" i="11"/>
  <c r="U308" i="11"/>
  <c r="U307" i="11"/>
  <c r="U306" i="11"/>
  <c r="U305" i="11"/>
  <c r="U304" i="11"/>
  <c r="U303" i="11"/>
  <c r="U302" i="11"/>
  <c r="U301" i="11"/>
  <c r="U300" i="11"/>
  <c r="U299" i="11"/>
  <c r="U298" i="11"/>
  <c r="U297" i="11"/>
  <c r="U296" i="11"/>
  <c r="U295" i="11"/>
  <c r="U294" i="11"/>
  <c r="U293" i="11"/>
  <c r="U292" i="11"/>
  <c r="U291" i="11"/>
  <c r="U290" i="11"/>
  <c r="U289" i="11"/>
  <c r="U288" i="11"/>
  <c r="U287" i="11"/>
  <c r="U286" i="11"/>
  <c r="U285" i="11"/>
  <c r="U284" i="11"/>
  <c r="U283" i="11"/>
  <c r="U282" i="11"/>
  <c r="U281" i="11"/>
  <c r="U280" i="11"/>
  <c r="U279" i="11"/>
  <c r="U278" i="11"/>
  <c r="U277" i="11"/>
  <c r="U276" i="11"/>
  <c r="U275" i="11"/>
  <c r="U274" i="11"/>
  <c r="U273" i="11"/>
  <c r="U272" i="11"/>
  <c r="U271" i="11"/>
  <c r="U270" i="11"/>
  <c r="U269" i="11"/>
  <c r="U268" i="11"/>
  <c r="U267" i="11"/>
  <c r="U266" i="11"/>
  <c r="U265" i="11"/>
  <c r="U264" i="11"/>
  <c r="U263" i="11"/>
  <c r="U262" i="11"/>
  <c r="U261" i="11"/>
  <c r="U260" i="11"/>
  <c r="U259" i="11"/>
  <c r="U258" i="11"/>
  <c r="U257" i="11"/>
  <c r="U256" i="11"/>
  <c r="U255" i="11"/>
  <c r="U254" i="11"/>
  <c r="U253" i="11"/>
  <c r="U252" i="11"/>
  <c r="U251" i="11"/>
  <c r="U250" i="11"/>
  <c r="U249" i="11"/>
  <c r="U248" i="11"/>
  <c r="U247" i="11"/>
  <c r="U246" i="11"/>
  <c r="U245" i="11"/>
  <c r="U244" i="11"/>
  <c r="U243" i="11"/>
  <c r="U242" i="11"/>
  <c r="U241" i="11"/>
  <c r="U240" i="11"/>
  <c r="U239" i="11"/>
  <c r="U238" i="11"/>
  <c r="U237" i="11"/>
  <c r="U236" i="11"/>
  <c r="U235" i="11"/>
  <c r="U234" i="11"/>
  <c r="U233" i="11"/>
  <c r="U232" i="11"/>
  <c r="U231" i="11"/>
  <c r="U230" i="11"/>
  <c r="U229" i="11"/>
  <c r="U228" i="11"/>
  <c r="U227" i="11"/>
  <c r="U226" i="11"/>
  <c r="U225" i="11"/>
  <c r="U224" i="11"/>
  <c r="U223" i="11"/>
  <c r="U222" i="11"/>
  <c r="U221" i="11"/>
  <c r="U220" i="11"/>
  <c r="U219" i="11"/>
  <c r="U218" i="11"/>
  <c r="U217" i="11"/>
  <c r="U216" i="11"/>
  <c r="U215" i="11"/>
  <c r="U214" i="11"/>
  <c r="U213" i="11"/>
  <c r="U212" i="11"/>
  <c r="U211" i="11"/>
  <c r="U210" i="11"/>
  <c r="U209" i="11"/>
  <c r="U208" i="11"/>
  <c r="U207" i="11"/>
  <c r="U206" i="11"/>
  <c r="U205" i="11"/>
  <c r="U204" i="11"/>
  <c r="U203" i="11"/>
  <c r="U202" i="11"/>
  <c r="U201" i="11"/>
  <c r="U200" i="11"/>
  <c r="U199" i="11"/>
  <c r="U198" i="11"/>
  <c r="U197" i="11"/>
  <c r="U196" i="11"/>
  <c r="U195" i="11"/>
  <c r="U194" i="11"/>
  <c r="U193" i="11"/>
  <c r="U192" i="11"/>
  <c r="U191" i="11"/>
  <c r="U190" i="11"/>
  <c r="U189" i="11"/>
  <c r="U188" i="11"/>
  <c r="U187" i="11"/>
  <c r="U186" i="11"/>
  <c r="U185" i="11"/>
  <c r="U184" i="11"/>
  <c r="U183" i="11"/>
  <c r="U182" i="11"/>
  <c r="U181" i="11"/>
  <c r="U180" i="11"/>
  <c r="U179" i="11"/>
  <c r="U178" i="11"/>
  <c r="U177" i="11"/>
  <c r="U176" i="11"/>
  <c r="U175" i="11"/>
  <c r="U174" i="11"/>
  <c r="U173" i="11"/>
  <c r="U172" i="11"/>
  <c r="U171" i="11"/>
  <c r="U170" i="11"/>
  <c r="U169" i="11"/>
  <c r="U168" i="11"/>
  <c r="U167" i="11"/>
  <c r="U166" i="11"/>
  <c r="U165" i="11"/>
  <c r="U164" i="11"/>
  <c r="U163" i="11"/>
  <c r="U162" i="11"/>
  <c r="U161" i="11"/>
  <c r="U160" i="11"/>
  <c r="U159" i="11"/>
  <c r="U158" i="11"/>
  <c r="U157" i="11"/>
  <c r="U156" i="11"/>
  <c r="U155" i="11"/>
  <c r="U154" i="11"/>
  <c r="U153" i="11"/>
  <c r="U152" i="11"/>
  <c r="U151" i="11"/>
  <c r="U150" i="11"/>
  <c r="U149" i="11"/>
  <c r="U148" i="11"/>
  <c r="U147" i="11"/>
  <c r="U146" i="11"/>
  <c r="U145" i="11"/>
  <c r="U144" i="11"/>
  <c r="U143" i="11"/>
  <c r="U142" i="11"/>
  <c r="U141" i="11"/>
  <c r="U140" i="11"/>
  <c r="U139" i="11"/>
  <c r="U138" i="11"/>
  <c r="U137" i="11"/>
  <c r="U136" i="11"/>
  <c r="U135" i="11"/>
  <c r="U134" i="11"/>
  <c r="U133" i="11"/>
  <c r="U132" i="11"/>
  <c r="U131" i="11"/>
  <c r="U130" i="11"/>
  <c r="U129" i="11"/>
  <c r="U128" i="11"/>
  <c r="U127" i="11"/>
  <c r="U126" i="11"/>
  <c r="U125" i="11"/>
  <c r="U124" i="11"/>
  <c r="U123" i="11"/>
  <c r="U122" i="11"/>
  <c r="U121" i="11"/>
  <c r="U120" i="11"/>
  <c r="U119" i="11"/>
  <c r="U118" i="11"/>
  <c r="U117" i="11"/>
  <c r="U116" i="11"/>
  <c r="U115" i="11"/>
  <c r="U114" i="11"/>
  <c r="U113" i="11"/>
  <c r="U112" i="11"/>
  <c r="U111" i="11"/>
  <c r="U110" i="11"/>
  <c r="U109" i="11"/>
  <c r="U108" i="11"/>
  <c r="U107" i="11"/>
  <c r="U106" i="11"/>
  <c r="U105" i="11"/>
  <c r="U104" i="11"/>
  <c r="U103" i="11"/>
  <c r="U102" i="11"/>
  <c r="U101" i="11"/>
  <c r="U100" i="11"/>
  <c r="U99" i="11"/>
  <c r="U98" i="11"/>
  <c r="U97" i="11"/>
  <c r="U96" i="11"/>
  <c r="U95" i="11"/>
  <c r="U94" i="11"/>
  <c r="U93" i="11"/>
  <c r="U92" i="11"/>
  <c r="U91" i="11"/>
  <c r="U90" i="11"/>
  <c r="U89" i="11"/>
  <c r="U88" i="11"/>
  <c r="U87" i="11"/>
  <c r="U86" i="11"/>
  <c r="U85" i="11"/>
  <c r="U84" i="11"/>
  <c r="U83" i="11"/>
  <c r="U82" i="11"/>
  <c r="U81" i="11"/>
  <c r="U80" i="11"/>
  <c r="U79" i="11"/>
  <c r="U78" i="11"/>
  <c r="U77" i="11"/>
  <c r="U76" i="11"/>
  <c r="U75" i="11"/>
  <c r="U74" i="11"/>
  <c r="U73" i="11"/>
  <c r="U72" i="11"/>
  <c r="U71" i="11"/>
  <c r="U70" i="11"/>
  <c r="U69" i="11"/>
  <c r="U68" i="11"/>
  <c r="U67" i="11"/>
  <c r="U66" i="11"/>
  <c r="U65" i="11"/>
  <c r="U64" i="11"/>
  <c r="U63" i="11"/>
  <c r="U62" i="11"/>
  <c r="U61" i="11"/>
  <c r="U60" i="11"/>
  <c r="U59" i="11"/>
  <c r="U58" i="11"/>
  <c r="U57" i="11"/>
  <c r="U56" i="11"/>
  <c r="U55" i="11"/>
  <c r="U54" i="11"/>
  <c r="U53" i="11"/>
  <c r="U52" i="11"/>
  <c r="U51" i="11"/>
  <c r="U50" i="11"/>
  <c r="U49" i="11"/>
  <c r="U48" i="11"/>
  <c r="U47" i="11"/>
  <c r="U46" i="11"/>
  <c r="U45" i="11"/>
  <c r="U44" i="11"/>
  <c r="U43" i="11"/>
  <c r="U42" i="11"/>
  <c r="U41" i="11"/>
  <c r="U40" i="11"/>
  <c r="U39" i="11"/>
  <c r="U38" i="11"/>
  <c r="U37" i="11"/>
  <c r="U36" i="11"/>
  <c r="U35" i="11"/>
  <c r="U34" i="11"/>
  <c r="U33" i="11"/>
  <c r="U32" i="11"/>
  <c r="U31" i="11"/>
  <c r="U30" i="11"/>
  <c r="U29" i="11"/>
  <c r="U28" i="11"/>
  <c r="U27" i="11"/>
  <c r="U26" i="11"/>
  <c r="U25" i="11"/>
  <c r="U24" i="11"/>
  <c r="U23" i="11"/>
  <c r="U22" i="11"/>
  <c r="U21" i="11"/>
  <c r="U20" i="11"/>
  <c r="U19" i="11"/>
  <c r="U18" i="11"/>
  <c r="U17" i="11"/>
  <c r="U16" i="11"/>
  <c r="U15" i="11"/>
  <c r="U14" i="11"/>
  <c r="U13" i="11"/>
  <c r="U12" i="11"/>
  <c r="U11" i="11"/>
  <c r="U10" i="11"/>
  <c r="U9" i="11"/>
  <c r="U8" i="11"/>
  <c r="U7" i="11"/>
  <c r="U6" i="11"/>
  <c r="U5" i="11"/>
  <c r="X650" i="11"/>
  <c r="W650" i="11"/>
  <c r="V650" i="11"/>
  <c r="N650" i="11"/>
  <c r="X649" i="11"/>
  <c r="W649" i="11"/>
  <c r="V649" i="11"/>
  <c r="N649" i="11"/>
  <c r="X648" i="11"/>
  <c r="W648" i="11"/>
  <c r="V648" i="11"/>
  <c r="N648" i="11"/>
  <c r="X647" i="11"/>
  <c r="W647" i="11"/>
  <c r="V647" i="11"/>
  <c r="N647" i="11"/>
  <c r="Y647" i="11" s="1"/>
  <c r="X646" i="11"/>
  <c r="W646" i="11"/>
  <c r="V646" i="11"/>
  <c r="N646" i="11"/>
  <c r="X645" i="11"/>
  <c r="W645" i="11"/>
  <c r="V645" i="11"/>
  <c r="N645" i="11"/>
  <c r="X644" i="11"/>
  <c r="W644" i="11"/>
  <c r="V644" i="11"/>
  <c r="N644" i="11"/>
  <c r="X643" i="11"/>
  <c r="W643" i="11"/>
  <c r="V643" i="11"/>
  <c r="N643" i="11"/>
  <c r="Y643" i="11" s="1"/>
  <c r="X642" i="11"/>
  <c r="W642" i="11"/>
  <c r="V642" i="11"/>
  <c r="N642" i="11"/>
  <c r="X641" i="11"/>
  <c r="W641" i="11"/>
  <c r="V641" i="11"/>
  <c r="N641" i="11"/>
  <c r="X640" i="11"/>
  <c r="W640" i="11"/>
  <c r="V640" i="11"/>
  <c r="N640" i="11"/>
  <c r="X639" i="11"/>
  <c r="W639" i="11"/>
  <c r="V639" i="11"/>
  <c r="N639" i="11"/>
  <c r="Y639" i="11" s="1"/>
  <c r="X638" i="11"/>
  <c r="W638" i="11"/>
  <c r="V638" i="11"/>
  <c r="N638" i="11"/>
  <c r="X637" i="11"/>
  <c r="W637" i="11"/>
  <c r="V637" i="11"/>
  <c r="N637" i="11"/>
  <c r="X636" i="11"/>
  <c r="W636" i="11"/>
  <c r="V636" i="11"/>
  <c r="N636" i="11"/>
  <c r="X635" i="11"/>
  <c r="W635" i="11"/>
  <c r="V635" i="11"/>
  <c r="N635" i="11"/>
  <c r="Y635" i="11" s="1"/>
  <c r="X634" i="11"/>
  <c r="W634" i="11"/>
  <c r="V634" i="11"/>
  <c r="N634" i="11"/>
  <c r="X633" i="11"/>
  <c r="W633" i="11"/>
  <c r="V633" i="11"/>
  <c r="N633" i="11"/>
  <c r="X632" i="11"/>
  <c r="W632" i="11"/>
  <c r="V632" i="11"/>
  <c r="N632" i="11"/>
  <c r="X631" i="11"/>
  <c r="W631" i="11"/>
  <c r="V631" i="11"/>
  <c r="N631" i="11"/>
  <c r="Y631" i="11" s="1"/>
  <c r="X630" i="11"/>
  <c r="W630" i="11"/>
  <c r="V630" i="11"/>
  <c r="N630" i="11"/>
  <c r="X629" i="11"/>
  <c r="W629" i="11"/>
  <c r="V629" i="11"/>
  <c r="N629" i="11"/>
  <c r="X628" i="11"/>
  <c r="W628" i="11"/>
  <c r="V628" i="11"/>
  <c r="N628" i="11"/>
  <c r="X627" i="11"/>
  <c r="W627" i="11"/>
  <c r="V627" i="11"/>
  <c r="N627" i="11"/>
  <c r="Y627" i="11" s="1"/>
  <c r="X626" i="11"/>
  <c r="W626" i="11"/>
  <c r="V626" i="11"/>
  <c r="N626" i="11"/>
  <c r="X625" i="11"/>
  <c r="W625" i="11"/>
  <c r="V625" i="11"/>
  <c r="N625" i="11"/>
  <c r="X624" i="11"/>
  <c r="W624" i="11"/>
  <c r="V624" i="11"/>
  <c r="N624" i="11"/>
  <c r="X623" i="11"/>
  <c r="W623" i="11"/>
  <c r="V623" i="11"/>
  <c r="N623" i="11"/>
  <c r="Y623" i="11" s="1"/>
  <c r="X622" i="11"/>
  <c r="W622" i="11"/>
  <c r="V622" i="11"/>
  <c r="N622" i="11"/>
  <c r="X621" i="11"/>
  <c r="W621" i="11"/>
  <c r="V621" i="11"/>
  <c r="N621" i="11"/>
  <c r="X620" i="11"/>
  <c r="W620" i="11"/>
  <c r="V620" i="11"/>
  <c r="N620" i="11"/>
  <c r="X619" i="11"/>
  <c r="W619" i="11"/>
  <c r="V619" i="11"/>
  <c r="N619" i="11"/>
  <c r="Y619" i="11" s="1"/>
  <c r="X618" i="11"/>
  <c r="W618" i="11"/>
  <c r="V618" i="11"/>
  <c r="N618" i="11"/>
  <c r="X617" i="11"/>
  <c r="W617" i="11"/>
  <c r="V617" i="11"/>
  <c r="N617" i="11"/>
  <c r="X616" i="11"/>
  <c r="W616" i="11"/>
  <c r="V616" i="11"/>
  <c r="N616" i="11"/>
  <c r="X615" i="11"/>
  <c r="W615" i="11"/>
  <c r="V615" i="11"/>
  <c r="N615" i="11"/>
  <c r="Y615" i="11" s="1"/>
  <c r="X614" i="11"/>
  <c r="W614" i="11"/>
  <c r="V614" i="11"/>
  <c r="N614" i="11"/>
  <c r="X613" i="11"/>
  <c r="W613" i="11"/>
  <c r="V613" i="11"/>
  <c r="N613" i="11"/>
  <c r="X612" i="11"/>
  <c r="W612" i="11"/>
  <c r="V612" i="11"/>
  <c r="N612" i="11"/>
  <c r="X611" i="11"/>
  <c r="W611" i="11"/>
  <c r="V611" i="11"/>
  <c r="N611" i="11"/>
  <c r="Y611" i="11" s="1"/>
  <c r="X610" i="11"/>
  <c r="W610" i="11"/>
  <c r="V610" i="11"/>
  <c r="N610" i="11"/>
  <c r="X609" i="11"/>
  <c r="W609" i="11"/>
  <c r="V609" i="11"/>
  <c r="N609" i="11"/>
  <c r="X608" i="11"/>
  <c r="W608" i="11"/>
  <c r="V608" i="11"/>
  <c r="N608" i="11"/>
  <c r="X607" i="11"/>
  <c r="W607" i="11"/>
  <c r="V607" i="11"/>
  <c r="N607" i="11"/>
  <c r="Y607" i="11" s="1"/>
  <c r="X606" i="11"/>
  <c r="W606" i="11"/>
  <c r="V606" i="11"/>
  <c r="N606" i="11"/>
  <c r="X605" i="11"/>
  <c r="W605" i="11"/>
  <c r="V605" i="11"/>
  <c r="N605" i="11"/>
  <c r="X604" i="11"/>
  <c r="W604" i="11"/>
  <c r="V604" i="11"/>
  <c r="N604" i="11"/>
  <c r="X603" i="11"/>
  <c r="W603" i="11"/>
  <c r="V603" i="11"/>
  <c r="N603" i="11"/>
  <c r="Y603" i="11" s="1"/>
  <c r="X602" i="11"/>
  <c r="W602" i="11"/>
  <c r="V602" i="11"/>
  <c r="N602" i="11"/>
  <c r="X601" i="11"/>
  <c r="W601" i="11"/>
  <c r="V601" i="11"/>
  <c r="N601" i="11"/>
  <c r="X600" i="11"/>
  <c r="W600" i="11"/>
  <c r="V600" i="11"/>
  <c r="N600" i="11"/>
  <c r="X599" i="11"/>
  <c r="W599" i="11"/>
  <c r="V599" i="11"/>
  <c r="N599" i="11"/>
  <c r="Y599" i="11" s="1"/>
  <c r="X598" i="11"/>
  <c r="W598" i="11"/>
  <c r="V598" i="11"/>
  <c r="N598" i="11"/>
  <c r="X597" i="11"/>
  <c r="W597" i="11"/>
  <c r="V597" i="11"/>
  <c r="N597" i="11"/>
  <c r="X596" i="11"/>
  <c r="W596" i="11"/>
  <c r="V596" i="11"/>
  <c r="N596" i="11"/>
  <c r="X595" i="11"/>
  <c r="W595" i="11"/>
  <c r="V595" i="11"/>
  <c r="N595" i="11"/>
  <c r="Y595" i="11" s="1"/>
  <c r="X594" i="11"/>
  <c r="W594" i="11"/>
  <c r="V594" i="11"/>
  <c r="N594" i="11"/>
  <c r="X593" i="11"/>
  <c r="W593" i="11"/>
  <c r="V593" i="11"/>
  <c r="N593" i="11"/>
  <c r="X592" i="11"/>
  <c r="W592" i="11"/>
  <c r="V592" i="11"/>
  <c r="N592" i="11"/>
  <c r="X591" i="11"/>
  <c r="W591" i="11"/>
  <c r="V591" i="11"/>
  <c r="N591" i="11"/>
  <c r="Y591" i="11" s="1"/>
  <c r="X590" i="11"/>
  <c r="W590" i="11"/>
  <c r="V590" i="11"/>
  <c r="N590" i="11"/>
  <c r="X589" i="11"/>
  <c r="W589" i="11"/>
  <c r="V589" i="11"/>
  <c r="N589" i="11"/>
  <c r="X588" i="11"/>
  <c r="W588" i="11"/>
  <c r="V588" i="11"/>
  <c r="N588" i="11"/>
  <c r="X587" i="11"/>
  <c r="W587" i="11"/>
  <c r="V587" i="11"/>
  <c r="N587" i="11"/>
  <c r="Y587" i="11" s="1"/>
  <c r="X586" i="11"/>
  <c r="W586" i="11"/>
  <c r="V586" i="11"/>
  <c r="N586" i="11"/>
  <c r="X585" i="11"/>
  <c r="W585" i="11"/>
  <c r="V585" i="11"/>
  <c r="N585" i="11"/>
  <c r="X584" i="11"/>
  <c r="W584" i="11"/>
  <c r="V584" i="11"/>
  <c r="N584" i="11"/>
  <c r="X583" i="11"/>
  <c r="W583" i="11"/>
  <c r="V583" i="11"/>
  <c r="N583" i="11"/>
  <c r="Y583" i="11" s="1"/>
  <c r="X582" i="11"/>
  <c r="W582" i="11"/>
  <c r="V582" i="11"/>
  <c r="N582" i="11"/>
  <c r="X581" i="11"/>
  <c r="W581" i="11"/>
  <c r="V581" i="11"/>
  <c r="N581" i="11"/>
  <c r="X580" i="11"/>
  <c r="W580" i="11"/>
  <c r="V580" i="11"/>
  <c r="N580" i="11"/>
  <c r="X579" i="11"/>
  <c r="W579" i="11"/>
  <c r="V579" i="11"/>
  <c r="N579" i="11"/>
  <c r="Y579" i="11" s="1"/>
  <c r="X578" i="11"/>
  <c r="W578" i="11"/>
  <c r="V578" i="11"/>
  <c r="N578" i="11"/>
  <c r="X577" i="11"/>
  <c r="W577" i="11"/>
  <c r="V577" i="11"/>
  <c r="N577" i="11"/>
  <c r="X576" i="11"/>
  <c r="W576" i="11"/>
  <c r="V576" i="11"/>
  <c r="N576" i="11"/>
  <c r="X575" i="11"/>
  <c r="W575" i="11"/>
  <c r="V575" i="11"/>
  <c r="N575" i="11"/>
  <c r="Y575" i="11" s="1"/>
  <c r="X574" i="11"/>
  <c r="W574" i="11"/>
  <c r="V574" i="11"/>
  <c r="N574" i="11"/>
  <c r="X573" i="11"/>
  <c r="W573" i="11"/>
  <c r="V573" i="11"/>
  <c r="N573" i="11"/>
  <c r="X572" i="11"/>
  <c r="W572" i="11"/>
  <c r="V572" i="11"/>
  <c r="N572" i="11"/>
  <c r="X571" i="11"/>
  <c r="W571" i="11"/>
  <c r="V571" i="11"/>
  <c r="N571" i="11"/>
  <c r="Y571" i="11" s="1"/>
  <c r="X570" i="11"/>
  <c r="W570" i="11"/>
  <c r="V570" i="11"/>
  <c r="N570" i="11"/>
  <c r="X569" i="11"/>
  <c r="W569" i="11"/>
  <c r="V569" i="11"/>
  <c r="N569" i="11"/>
  <c r="X568" i="11"/>
  <c r="W568" i="11"/>
  <c r="V568" i="11"/>
  <c r="N568" i="11"/>
  <c r="X567" i="11"/>
  <c r="W567" i="11"/>
  <c r="V567" i="11"/>
  <c r="N567" i="11"/>
  <c r="Y567" i="11" s="1"/>
  <c r="X566" i="11"/>
  <c r="W566" i="11"/>
  <c r="V566" i="11"/>
  <c r="N566" i="11"/>
  <c r="X565" i="11"/>
  <c r="W565" i="11"/>
  <c r="V565" i="11"/>
  <c r="N565" i="11"/>
  <c r="X564" i="11"/>
  <c r="W564" i="11"/>
  <c r="V564" i="11"/>
  <c r="N564" i="11"/>
  <c r="X563" i="11"/>
  <c r="W563" i="11"/>
  <c r="V563" i="11"/>
  <c r="N563" i="11"/>
  <c r="Y563" i="11" s="1"/>
  <c r="X562" i="11"/>
  <c r="W562" i="11"/>
  <c r="V562" i="11"/>
  <c r="N562" i="11"/>
  <c r="X561" i="11"/>
  <c r="W561" i="11"/>
  <c r="V561" i="11"/>
  <c r="N561" i="11"/>
  <c r="X560" i="11"/>
  <c r="W560" i="11"/>
  <c r="V560" i="11"/>
  <c r="N560" i="11"/>
  <c r="X559" i="11"/>
  <c r="W559" i="11"/>
  <c r="V559" i="11"/>
  <c r="N559" i="11"/>
  <c r="Y559" i="11" s="1"/>
  <c r="X558" i="11"/>
  <c r="W558" i="11"/>
  <c r="V558" i="11"/>
  <c r="N558" i="11"/>
  <c r="Y558" i="11" s="1"/>
  <c r="X557" i="11"/>
  <c r="W557" i="11"/>
  <c r="V557" i="11"/>
  <c r="N557" i="11"/>
  <c r="X556" i="11"/>
  <c r="W556" i="11"/>
  <c r="V556" i="11"/>
  <c r="N556" i="11"/>
  <c r="X555" i="11"/>
  <c r="W555" i="11"/>
  <c r="V555" i="11"/>
  <c r="N555" i="11"/>
  <c r="Y555" i="11" s="1"/>
  <c r="X554" i="11"/>
  <c r="W554" i="11"/>
  <c r="V554" i="11"/>
  <c r="N554" i="11"/>
  <c r="Y554" i="11" s="1"/>
  <c r="X553" i="11"/>
  <c r="W553" i="11"/>
  <c r="V553" i="11"/>
  <c r="N553" i="11"/>
  <c r="X552" i="11"/>
  <c r="W552" i="11"/>
  <c r="V552" i="11"/>
  <c r="N552" i="11"/>
  <c r="X551" i="11"/>
  <c r="W551" i="11"/>
  <c r="V551" i="11"/>
  <c r="N551" i="11"/>
  <c r="Y551" i="11" s="1"/>
  <c r="X550" i="11"/>
  <c r="W550" i="11"/>
  <c r="V550" i="11"/>
  <c r="N550" i="11"/>
  <c r="Y550" i="11" s="1"/>
  <c r="X549" i="11"/>
  <c r="W549" i="11"/>
  <c r="V549" i="11"/>
  <c r="N549" i="11"/>
  <c r="X548" i="11"/>
  <c r="W548" i="11"/>
  <c r="V548" i="11"/>
  <c r="N548" i="11"/>
  <c r="X547" i="11"/>
  <c r="W547" i="11"/>
  <c r="V547" i="11"/>
  <c r="N547" i="11"/>
  <c r="Y547" i="11" s="1"/>
  <c r="X546" i="11"/>
  <c r="W546" i="11"/>
  <c r="V546" i="11"/>
  <c r="N546" i="11"/>
  <c r="Y546" i="11" s="1"/>
  <c r="X545" i="11"/>
  <c r="W545" i="11"/>
  <c r="V545" i="11"/>
  <c r="N545" i="11"/>
  <c r="X544" i="11"/>
  <c r="W544" i="11"/>
  <c r="V544" i="11"/>
  <c r="N544" i="11"/>
  <c r="X543" i="11"/>
  <c r="W543" i="11"/>
  <c r="V543" i="11"/>
  <c r="N543" i="11"/>
  <c r="Y543" i="11" s="1"/>
  <c r="X542" i="11"/>
  <c r="W542" i="11"/>
  <c r="V542" i="11"/>
  <c r="N542" i="11"/>
  <c r="Y542" i="11" s="1"/>
  <c r="X541" i="11"/>
  <c r="W541" i="11"/>
  <c r="V541" i="11"/>
  <c r="N541" i="11"/>
  <c r="X540" i="11"/>
  <c r="W540" i="11"/>
  <c r="V540" i="11"/>
  <c r="N540" i="11"/>
  <c r="X539" i="11"/>
  <c r="W539" i="11"/>
  <c r="V539" i="11"/>
  <c r="N539" i="11"/>
  <c r="Y539" i="11" s="1"/>
  <c r="X538" i="11"/>
  <c r="W538" i="11"/>
  <c r="V538" i="11"/>
  <c r="N538" i="11"/>
  <c r="Y538" i="11" s="1"/>
  <c r="X537" i="11"/>
  <c r="W537" i="11"/>
  <c r="V537" i="11"/>
  <c r="N537" i="11"/>
  <c r="X536" i="11"/>
  <c r="W536" i="11"/>
  <c r="V536" i="11"/>
  <c r="N536" i="11"/>
  <c r="X535" i="11"/>
  <c r="W535" i="11"/>
  <c r="V535" i="11"/>
  <c r="N535" i="11"/>
  <c r="Y535" i="11" s="1"/>
  <c r="X534" i="11"/>
  <c r="W534" i="11"/>
  <c r="V534" i="11"/>
  <c r="N534" i="11"/>
  <c r="Y534" i="11" s="1"/>
  <c r="X533" i="11"/>
  <c r="W533" i="11"/>
  <c r="V533" i="11"/>
  <c r="N533" i="11"/>
  <c r="X532" i="11"/>
  <c r="W532" i="11"/>
  <c r="V532" i="11"/>
  <c r="N532" i="11"/>
  <c r="X531" i="11"/>
  <c r="W531" i="11"/>
  <c r="V531" i="11"/>
  <c r="N531" i="11"/>
  <c r="Y531" i="11" s="1"/>
  <c r="X530" i="11"/>
  <c r="W530" i="11"/>
  <c r="V530" i="11"/>
  <c r="N530" i="11"/>
  <c r="Y530" i="11" s="1"/>
  <c r="X529" i="11"/>
  <c r="W529" i="11"/>
  <c r="V529" i="11"/>
  <c r="N529" i="11"/>
  <c r="X528" i="11"/>
  <c r="W528" i="11"/>
  <c r="V528" i="11"/>
  <c r="N528" i="11"/>
  <c r="X527" i="11"/>
  <c r="W527" i="11"/>
  <c r="V527" i="11"/>
  <c r="N527" i="11"/>
  <c r="Y527" i="11" s="1"/>
  <c r="X526" i="11"/>
  <c r="W526" i="11"/>
  <c r="V526" i="11"/>
  <c r="N526" i="11"/>
  <c r="Y526" i="11" s="1"/>
  <c r="X525" i="11"/>
  <c r="W525" i="11"/>
  <c r="V525" i="11"/>
  <c r="N525" i="11"/>
  <c r="X524" i="11"/>
  <c r="W524" i="11"/>
  <c r="V524" i="11"/>
  <c r="N524" i="11"/>
  <c r="X523" i="11"/>
  <c r="W523" i="11"/>
  <c r="V523" i="11"/>
  <c r="N523" i="11"/>
  <c r="Y523" i="11" s="1"/>
  <c r="X522" i="11"/>
  <c r="W522" i="11"/>
  <c r="V522" i="11"/>
  <c r="N522" i="11"/>
  <c r="Y522" i="11" s="1"/>
  <c r="X521" i="11"/>
  <c r="W521" i="11"/>
  <c r="V521" i="11"/>
  <c r="N521" i="11"/>
  <c r="X520" i="11"/>
  <c r="W520" i="11"/>
  <c r="V520" i="11"/>
  <c r="N520" i="11"/>
  <c r="X519" i="11"/>
  <c r="W519" i="11"/>
  <c r="V519" i="11"/>
  <c r="N519" i="11"/>
  <c r="Y519" i="11" s="1"/>
  <c r="X518" i="11"/>
  <c r="W518" i="11"/>
  <c r="V518" i="11"/>
  <c r="N518" i="11"/>
  <c r="Y518" i="11" s="1"/>
  <c r="X517" i="11"/>
  <c r="W517" i="11"/>
  <c r="V517" i="11"/>
  <c r="N517" i="11"/>
  <c r="X516" i="11"/>
  <c r="W516" i="11"/>
  <c r="V516" i="11"/>
  <c r="N516" i="11"/>
  <c r="Y516" i="11" s="1"/>
  <c r="X515" i="11"/>
  <c r="W515" i="11"/>
  <c r="V515" i="11"/>
  <c r="N515" i="11"/>
  <c r="Y515" i="11" s="1"/>
  <c r="X514" i="11"/>
  <c r="W514" i="11"/>
  <c r="V514" i="11"/>
  <c r="N514" i="11"/>
  <c r="Y514" i="11" s="1"/>
  <c r="X513" i="11"/>
  <c r="W513" i="11"/>
  <c r="V513" i="11"/>
  <c r="N513" i="11"/>
  <c r="X512" i="11"/>
  <c r="W512" i="11"/>
  <c r="V512" i="11"/>
  <c r="N512" i="11"/>
  <c r="Y512" i="11" s="1"/>
  <c r="X511" i="11"/>
  <c r="W511" i="11"/>
  <c r="V511" i="11"/>
  <c r="N511" i="11"/>
  <c r="Y511" i="11" s="1"/>
  <c r="X510" i="11"/>
  <c r="W510" i="11"/>
  <c r="V510" i="11"/>
  <c r="N510" i="11"/>
  <c r="Y510" i="11" s="1"/>
  <c r="X509" i="11"/>
  <c r="W509" i="11"/>
  <c r="V509" i="11"/>
  <c r="N509" i="11"/>
  <c r="X508" i="11"/>
  <c r="W508" i="11"/>
  <c r="V508" i="11"/>
  <c r="N508" i="11"/>
  <c r="Y508" i="11" s="1"/>
  <c r="X507" i="11"/>
  <c r="W507" i="11"/>
  <c r="V507" i="11"/>
  <c r="N507" i="11"/>
  <c r="Y507" i="11" s="1"/>
  <c r="X506" i="11"/>
  <c r="W506" i="11"/>
  <c r="V506" i="11"/>
  <c r="N506" i="11"/>
  <c r="Y506" i="11" s="1"/>
  <c r="X505" i="11"/>
  <c r="W505" i="11"/>
  <c r="V505" i="11"/>
  <c r="N505" i="11"/>
  <c r="X504" i="11"/>
  <c r="W504" i="11"/>
  <c r="V504" i="11"/>
  <c r="N504" i="11"/>
  <c r="Y504" i="11" s="1"/>
  <c r="X503" i="11"/>
  <c r="W503" i="11"/>
  <c r="V503" i="11"/>
  <c r="N503" i="11"/>
  <c r="Y503" i="11" s="1"/>
  <c r="X502" i="11"/>
  <c r="W502" i="11"/>
  <c r="V502" i="11"/>
  <c r="N502" i="11"/>
  <c r="Y502" i="11" s="1"/>
  <c r="X501" i="11"/>
  <c r="W501" i="11"/>
  <c r="V501" i="11"/>
  <c r="N501" i="11"/>
  <c r="X500" i="11"/>
  <c r="W500" i="11"/>
  <c r="V500" i="11"/>
  <c r="N500" i="11"/>
  <c r="Y500" i="11" s="1"/>
  <c r="X499" i="11"/>
  <c r="W499" i="11"/>
  <c r="V499" i="11"/>
  <c r="N499" i="11"/>
  <c r="Y499" i="11" s="1"/>
  <c r="X498" i="11"/>
  <c r="W498" i="11"/>
  <c r="V498" i="11"/>
  <c r="N498" i="11"/>
  <c r="Y498" i="11" s="1"/>
  <c r="X497" i="11"/>
  <c r="W497" i="11"/>
  <c r="V497" i="11"/>
  <c r="N497" i="11"/>
  <c r="X496" i="11"/>
  <c r="W496" i="11"/>
  <c r="V496" i="11"/>
  <c r="N496" i="11"/>
  <c r="Y496" i="11" s="1"/>
  <c r="X495" i="11"/>
  <c r="W495" i="11"/>
  <c r="V495" i="11"/>
  <c r="N495" i="11"/>
  <c r="Y495" i="11" s="1"/>
  <c r="X494" i="11"/>
  <c r="W494" i="11"/>
  <c r="V494" i="11"/>
  <c r="N494" i="11"/>
  <c r="Y494" i="11" s="1"/>
  <c r="X493" i="11"/>
  <c r="W493" i="11"/>
  <c r="V493" i="11"/>
  <c r="N493" i="11"/>
  <c r="X492" i="11"/>
  <c r="W492" i="11"/>
  <c r="V492" i="11"/>
  <c r="N492" i="11"/>
  <c r="Y492" i="11" s="1"/>
  <c r="X491" i="11"/>
  <c r="W491" i="11"/>
  <c r="V491" i="11"/>
  <c r="N491" i="11"/>
  <c r="Y491" i="11" s="1"/>
  <c r="X490" i="11"/>
  <c r="W490" i="11"/>
  <c r="V490" i="11"/>
  <c r="N490" i="11"/>
  <c r="Y490" i="11" s="1"/>
  <c r="X489" i="11"/>
  <c r="W489" i="11"/>
  <c r="V489" i="11"/>
  <c r="N489" i="11"/>
  <c r="X488" i="11"/>
  <c r="W488" i="11"/>
  <c r="V488" i="11"/>
  <c r="N488" i="11"/>
  <c r="Y488" i="11" s="1"/>
  <c r="X487" i="11"/>
  <c r="W487" i="11"/>
  <c r="V487" i="11"/>
  <c r="N487" i="11"/>
  <c r="Y487" i="11" s="1"/>
  <c r="X486" i="11"/>
  <c r="W486" i="11"/>
  <c r="V486" i="11"/>
  <c r="N486" i="11"/>
  <c r="Y486" i="11" s="1"/>
  <c r="X485" i="11"/>
  <c r="W485" i="11"/>
  <c r="V485" i="11"/>
  <c r="N485" i="11"/>
  <c r="X484" i="11"/>
  <c r="W484" i="11"/>
  <c r="V484" i="11"/>
  <c r="N484" i="11"/>
  <c r="Y484" i="11" s="1"/>
  <c r="X483" i="11"/>
  <c r="W483" i="11"/>
  <c r="V483" i="11"/>
  <c r="N483" i="11"/>
  <c r="Y483" i="11" s="1"/>
  <c r="X482" i="11"/>
  <c r="W482" i="11"/>
  <c r="V482" i="11"/>
  <c r="N482" i="11"/>
  <c r="Y482" i="11" s="1"/>
  <c r="X481" i="11"/>
  <c r="W481" i="11"/>
  <c r="V481" i="11"/>
  <c r="N481" i="11"/>
  <c r="X480" i="11"/>
  <c r="W480" i="11"/>
  <c r="V480" i="11"/>
  <c r="N480" i="11"/>
  <c r="Y480" i="11" s="1"/>
  <c r="X479" i="11"/>
  <c r="W479" i="11"/>
  <c r="V479" i="11"/>
  <c r="N479" i="11"/>
  <c r="Y479" i="11" s="1"/>
  <c r="X478" i="11"/>
  <c r="W478" i="11"/>
  <c r="V478" i="11"/>
  <c r="N478" i="11"/>
  <c r="Y478" i="11" s="1"/>
  <c r="X477" i="11"/>
  <c r="W477" i="11"/>
  <c r="V477" i="11"/>
  <c r="N477" i="11"/>
  <c r="X476" i="11"/>
  <c r="W476" i="11"/>
  <c r="V476" i="11"/>
  <c r="N476" i="11"/>
  <c r="Y476" i="11" s="1"/>
  <c r="X475" i="11"/>
  <c r="W475" i="11"/>
  <c r="V475" i="11"/>
  <c r="N475" i="11"/>
  <c r="Y475" i="11" s="1"/>
  <c r="X474" i="11"/>
  <c r="W474" i="11"/>
  <c r="V474" i="11"/>
  <c r="N474" i="11"/>
  <c r="Y474" i="11" s="1"/>
  <c r="X473" i="11"/>
  <c r="W473" i="11"/>
  <c r="V473" i="11"/>
  <c r="N473" i="11"/>
  <c r="X472" i="11"/>
  <c r="W472" i="11"/>
  <c r="V472" i="11"/>
  <c r="N472" i="11"/>
  <c r="Y472" i="11" s="1"/>
  <c r="X471" i="11"/>
  <c r="W471" i="11"/>
  <c r="V471" i="11"/>
  <c r="N471" i="11"/>
  <c r="Y471" i="11" s="1"/>
  <c r="X470" i="11"/>
  <c r="W470" i="11"/>
  <c r="V470" i="11"/>
  <c r="N470" i="11"/>
  <c r="Y470" i="11" s="1"/>
  <c r="X469" i="11"/>
  <c r="W469" i="11"/>
  <c r="V469" i="11"/>
  <c r="N469" i="11"/>
  <c r="X468" i="11"/>
  <c r="W468" i="11"/>
  <c r="V468" i="11"/>
  <c r="N468" i="11"/>
  <c r="Y468" i="11" s="1"/>
  <c r="X467" i="11"/>
  <c r="W467" i="11"/>
  <c r="V467" i="11"/>
  <c r="N467" i="11"/>
  <c r="Y467" i="11" s="1"/>
  <c r="X466" i="11"/>
  <c r="W466" i="11"/>
  <c r="V466" i="11"/>
  <c r="N466" i="11"/>
  <c r="Y466" i="11" s="1"/>
  <c r="X465" i="11"/>
  <c r="W465" i="11"/>
  <c r="V465" i="11"/>
  <c r="N465" i="11"/>
  <c r="X464" i="11"/>
  <c r="W464" i="11"/>
  <c r="V464" i="11"/>
  <c r="N464" i="11"/>
  <c r="Y464" i="11" s="1"/>
  <c r="X463" i="11"/>
  <c r="W463" i="11"/>
  <c r="V463" i="11"/>
  <c r="N463" i="11"/>
  <c r="Y463" i="11" s="1"/>
  <c r="X462" i="11"/>
  <c r="W462" i="11"/>
  <c r="V462" i="11"/>
  <c r="N462" i="11"/>
  <c r="Y462" i="11" s="1"/>
  <c r="X461" i="11"/>
  <c r="W461" i="11"/>
  <c r="V461" i="11"/>
  <c r="N461" i="11"/>
  <c r="X460" i="11"/>
  <c r="W460" i="11"/>
  <c r="V460" i="11"/>
  <c r="N460" i="11"/>
  <c r="Y460" i="11" s="1"/>
  <c r="X459" i="11"/>
  <c r="W459" i="11"/>
  <c r="V459" i="11"/>
  <c r="N459" i="11"/>
  <c r="Y459" i="11" s="1"/>
  <c r="X458" i="11"/>
  <c r="W458" i="11"/>
  <c r="V458" i="11"/>
  <c r="N458" i="11"/>
  <c r="Y458" i="11" s="1"/>
  <c r="X457" i="11"/>
  <c r="W457" i="11"/>
  <c r="V457" i="11"/>
  <c r="N457" i="11"/>
  <c r="X456" i="11"/>
  <c r="W456" i="11"/>
  <c r="V456" i="11"/>
  <c r="N456" i="11"/>
  <c r="Y456" i="11" s="1"/>
  <c r="X455" i="11"/>
  <c r="W455" i="11"/>
  <c r="V455" i="11"/>
  <c r="N455" i="11"/>
  <c r="Y455" i="11" s="1"/>
  <c r="X454" i="11"/>
  <c r="W454" i="11"/>
  <c r="V454" i="11"/>
  <c r="N454" i="11"/>
  <c r="Y454" i="11" s="1"/>
  <c r="X453" i="11"/>
  <c r="W453" i="11"/>
  <c r="V453" i="11"/>
  <c r="N453" i="11"/>
  <c r="X452" i="11"/>
  <c r="W452" i="11"/>
  <c r="V452" i="11"/>
  <c r="N452" i="11"/>
  <c r="Y452" i="11" s="1"/>
  <c r="X451" i="11"/>
  <c r="W451" i="11"/>
  <c r="V451" i="11"/>
  <c r="N451" i="11"/>
  <c r="Y451" i="11" s="1"/>
  <c r="X450" i="11"/>
  <c r="W450" i="11"/>
  <c r="V450" i="11"/>
  <c r="N450" i="11"/>
  <c r="Y450" i="11" s="1"/>
  <c r="X449" i="11"/>
  <c r="W449" i="11"/>
  <c r="V449" i="11"/>
  <c r="N449" i="11"/>
  <c r="X448" i="11"/>
  <c r="W448" i="11"/>
  <c r="V448" i="11"/>
  <c r="N448" i="11"/>
  <c r="Y448" i="11" s="1"/>
  <c r="X447" i="11"/>
  <c r="W447" i="11"/>
  <c r="V447" i="11"/>
  <c r="N447" i="11"/>
  <c r="Y447" i="11" s="1"/>
  <c r="X446" i="11"/>
  <c r="W446" i="11"/>
  <c r="V446" i="11"/>
  <c r="N446" i="11"/>
  <c r="Y446" i="11" s="1"/>
  <c r="X445" i="11"/>
  <c r="W445" i="11"/>
  <c r="V445" i="11"/>
  <c r="N445" i="11"/>
  <c r="X444" i="11"/>
  <c r="W444" i="11"/>
  <c r="V444" i="11"/>
  <c r="N444" i="11"/>
  <c r="Y444" i="11" s="1"/>
  <c r="X443" i="11"/>
  <c r="W443" i="11"/>
  <c r="V443" i="11"/>
  <c r="N443" i="11"/>
  <c r="Y443" i="11" s="1"/>
  <c r="X442" i="11"/>
  <c r="W442" i="11"/>
  <c r="V442" i="11"/>
  <c r="N442" i="11"/>
  <c r="Y442" i="11" s="1"/>
  <c r="X441" i="11"/>
  <c r="W441" i="11"/>
  <c r="V441" i="11"/>
  <c r="N441" i="11"/>
  <c r="X440" i="11"/>
  <c r="W440" i="11"/>
  <c r="V440" i="11"/>
  <c r="N440" i="11"/>
  <c r="Y440" i="11" s="1"/>
  <c r="X439" i="11"/>
  <c r="W439" i="11"/>
  <c r="V439" i="11"/>
  <c r="N439" i="11"/>
  <c r="Y439" i="11" s="1"/>
  <c r="X438" i="11"/>
  <c r="W438" i="11"/>
  <c r="V438" i="11"/>
  <c r="N438" i="11"/>
  <c r="Y438" i="11" s="1"/>
  <c r="X437" i="11"/>
  <c r="W437" i="11"/>
  <c r="V437" i="11"/>
  <c r="N437" i="11"/>
  <c r="X436" i="11"/>
  <c r="W436" i="11"/>
  <c r="V436" i="11"/>
  <c r="N436" i="11"/>
  <c r="Y436" i="11" s="1"/>
  <c r="X435" i="11"/>
  <c r="W435" i="11"/>
  <c r="V435" i="11"/>
  <c r="N435" i="11"/>
  <c r="Y435" i="11" s="1"/>
  <c r="X434" i="11"/>
  <c r="W434" i="11"/>
  <c r="V434" i="11"/>
  <c r="N434" i="11"/>
  <c r="Y434" i="11" s="1"/>
  <c r="X433" i="11"/>
  <c r="W433" i="11"/>
  <c r="V433" i="11"/>
  <c r="N433" i="11"/>
  <c r="X432" i="11"/>
  <c r="W432" i="11"/>
  <c r="V432" i="11"/>
  <c r="N432" i="11"/>
  <c r="Y432" i="11" s="1"/>
  <c r="X431" i="11"/>
  <c r="W431" i="11"/>
  <c r="V431" i="11"/>
  <c r="N431" i="11"/>
  <c r="Y431" i="11" s="1"/>
  <c r="X430" i="11"/>
  <c r="W430" i="11"/>
  <c r="V430" i="11"/>
  <c r="N430" i="11"/>
  <c r="Y430" i="11" s="1"/>
  <c r="X429" i="11"/>
  <c r="W429" i="11"/>
  <c r="V429" i="11"/>
  <c r="N429" i="11"/>
  <c r="X428" i="11"/>
  <c r="W428" i="11"/>
  <c r="V428" i="11"/>
  <c r="N428" i="11"/>
  <c r="Y428" i="11" s="1"/>
  <c r="X427" i="11"/>
  <c r="W427" i="11"/>
  <c r="V427" i="11"/>
  <c r="N427" i="11"/>
  <c r="Y427" i="11" s="1"/>
  <c r="X426" i="11"/>
  <c r="W426" i="11"/>
  <c r="V426" i="11"/>
  <c r="N426" i="11"/>
  <c r="Y426" i="11" s="1"/>
  <c r="X425" i="11"/>
  <c r="W425" i="11"/>
  <c r="V425" i="11"/>
  <c r="N425" i="11"/>
  <c r="X424" i="11"/>
  <c r="W424" i="11"/>
  <c r="V424" i="11"/>
  <c r="N424" i="11"/>
  <c r="Y424" i="11" s="1"/>
  <c r="X423" i="11"/>
  <c r="W423" i="11"/>
  <c r="V423" i="11"/>
  <c r="N423" i="11"/>
  <c r="Y423" i="11" s="1"/>
  <c r="X422" i="11"/>
  <c r="W422" i="11"/>
  <c r="V422" i="11"/>
  <c r="N422" i="11"/>
  <c r="Y422" i="11" s="1"/>
  <c r="X421" i="11"/>
  <c r="W421" i="11"/>
  <c r="V421" i="11"/>
  <c r="N421" i="11"/>
  <c r="X420" i="11"/>
  <c r="W420" i="11"/>
  <c r="V420" i="11"/>
  <c r="N420" i="11"/>
  <c r="Y420" i="11" s="1"/>
  <c r="X419" i="11"/>
  <c r="W419" i="11"/>
  <c r="V419" i="11"/>
  <c r="N419" i="11"/>
  <c r="Y419" i="11" s="1"/>
  <c r="X418" i="11"/>
  <c r="W418" i="11"/>
  <c r="V418" i="11"/>
  <c r="N418" i="11"/>
  <c r="Y418" i="11" s="1"/>
  <c r="X417" i="11"/>
  <c r="W417" i="11"/>
  <c r="V417" i="11"/>
  <c r="N417" i="11"/>
  <c r="X416" i="11"/>
  <c r="W416" i="11"/>
  <c r="V416" i="11"/>
  <c r="N416" i="11"/>
  <c r="Y416" i="11" s="1"/>
  <c r="X415" i="11"/>
  <c r="W415" i="11"/>
  <c r="V415" i="11"/>
  <c r="N415" i="11"/>
  <c r="Y415" i="11" s="1"/>
  <c r="X414" i="11"/>
  <c r="W414" i="11"/>
  <c r="V414" i="11"/>
  <c r="N414" i="11"/>
  <c r="Y414" i="11" s="1"/>
  <c r="X413" i="11"/>
  <c r="W413" i="11"/>
  <c r="V413" i="11"/>
  <c r="N413" i="11"/>
  <c r="X412" i="11"/>
  <c r="W412" i="11"/>
  <c r="V412" i="11"/>
  <c r="N412" i="11"/>
  <c r="Y412" i="11" s="1"/>
  <c r="X411" i="11"/>
  <c r="W411" i="11"/>
  <c r="V411" i="11"/>
  <c r="N411" i="11"/>
  <c r="Y411" i="11" s="1"/>
  <c r="X410" i="11"/>
  <c r="W410" i="11"/>
  <c r="V410" i="11"/>
  <c r="N410" i="11"/>
  <c r="Y410" i="11" s="1"/>
  <c r="X409" i="11"/>
  <c r="W409" i="11"/>
  <c r="V409" i="11"/>
  <c r="N409" i="11"/>
  <c r="X408" i="11"/>
  <c r="W408" i="11"/>
  <c r="V408" i="11"/>
  <c r="N408" i="11"/>
  <c r="Y408" i="11" s="1"/>
  <c r="X407" i="11"/>
  <c r="W407" i="11"/>
  <c r="V407" i="11"/>
  <c r="N407" i="11"/>
  <c r="Y407" i="11" s="1"/>
  <c r="X406" i="11"/>
  <c r="W406" i="11"/>
  <c r="V406" i="11"/>
  <c r="N406" i="11"/>
  <c r="Y406" i="11" s="1"/>
  <c r="X405" i="11"/>
  <c r="W405" i="11"/>
  <c r="V405" i="11"/>
  <c r="N405" i="11"/>
  <c r="X404" i="11"/>
  <c r="W404" i="11"/>
  <c r="V404" i="11"/>
  <c r="N404" i="11"/>
  <c r="Y404" i="11" s="1"/>
  <c r="X403" i="11"/>
  <c r="W403" i="11"/>
  <c r="V403" i="11"/>
  <c r="N403" i="11"/>
  <c r="Y403" i="11" s="1"/>
  <c r="X402" i="11"/>
  <c r="W402" i="11"/>
  <c r="V402" i="11"/>
  <c r="N402" i="11"/>
  <c r="Y402" i="11" s="1"/>
  <c r="X401" i="11"/>
  <c r="W401" i="11"/>
  <c r="V401" i="11"/>
  <c r="N401" i="11"/>
  <c r="X400" i="11"/>
  <c r="W400" i="11"/>
  <c r="V400" i="11"/>
  <c r="N400" i="11"/>
  <c r="Y400" i="11" s="1"/>
  <c r="X399" i="11"/>
  <c r="W399" i="11"/>
  <c r="V399" i="11"/>
  <c r="N399" i="11"/>
  <c r="Y399" i="11" s="1"/>
  <c r="X398" i="11"/>
  <c r="W398" i="11"/>
  <c r="V398" i="11"/>
  <c r="N398" i="11"/>
  <c r="Y398" i="11" s="1"/>
  <c r="X397" i="11"/>
  <c r="W397" i="11"/>
  <c r="V397" i="11"/>
  <c r="N397" i="11"/>
  <c r="X396" i="11"/>
  <c r="W396" i="11"/>
  <c r="V396" i="11"/>
  <c r="N396" i="11"/>
  <c r="Y396" i="11" s="1"/>
  <c r="X395" i="11"/>
  <c r="W395" i="11"/>
  <c r="V395" i="11"/>
  <c r="N395" i="11"/>
  <c r="Y395" i="11" s="1"/>
  <c r="X394" i="11"/>
  <c r="W394" i="11"/>
  <c r="V394" i="11"/>
  <c r="N394" i="11"/>
  <c r="Y394" i="11" s="1"/>
  <c r="X393" i="11"/>
  <c r="W393" i="11"/>
  <c r="V393" i="11"/>
  <c r="N393" i="11"/>
  <c r="X392" i="11"/>
  <c r="W392" i="11"/>
  <c r="V392" i="11"/>
  <c r="N392" i="11"/>
  <c r="Y392" i="11" s="1"/>
  <c r="X391" i="11"/>
  <c r="W391" i="11"/>
  <c r="V391" i="11"/>
  <c r="N391" i="11"/>
  <c r="Y391" i="11" s="1"/>
  <c r="X390" i="11"/>
  <c r="W390" i="11"/>
  <c r="V390" i="11"/>
  <c r="N390" i="11"/>
  <c r="Y390" i="11" s="1"/>
  <c r="X389" i="11"/>
  <c r="W389" i="11"/>
  <c r="V389" i="11"/>
  <c r="N389" i="11"/>
  <c r="X388" i="11"/>
  <c r="W388" i="11"/>
  <c r="V388" i="11"/>
  <c r="N388" i="11"/>
  <c r="Y388" i="11" s="1"/>
  <c r="X387" i="11"/>
  <c r="W387" i="11"/>
  <c r="V387" i="11"/>
  <c r="N387" i="11"/>
  <c r="Y387" i="11" s="1"/>
  <c r="X386" i="11"/>
  <c r="W386" i="11"/>
  <c r="V386" i="11"/>
  <c r="N386" i="11"/>
  <c r="Y386" i="11" s="1"/>
  <c r="X385" i="11"/>
  <c r="W385" i="11"/>
  <c r="V385" i="11"/>
  <c r="N385" i="11"/>
  <c r="X384" i="11"/>
  <c r="W384" i="11"/>
  <c r="V384" i="11"/>
  <c r="N384" i="11"/>
  <c r="Y384" i="11" s="1"/>
  <c r="X383" i="11"/>
  <c r="W383" i="11"/>
  <c r="V383" i="11"/>
  <c r="N383" i="11"/>
  <c r="Y383" i="11" s="1"/>
  <c r="X382" i="11"/>
  <c r="W382" i="11"/>
  <c r="V382" i="11"/>
  <c r="N382" i="11"/>
  <c r="Y382" i="11" s="1"/>
  <c r="X381" i="11"/>
  <c r="W381" i="11"/>
  <c r="V381" i="11"/>
  <c r="N381" i="11"/>
  <c r="X380" i="11"/>
  <c r="W380" i="11"/>
  <c r="V380" i="11"/>
  <c r="N380" i="11"/>
  <c r="Y380" i="11" s="1"/>
  <c r="X379" i="11"/>
  <c r="W379" i="11"/>
  <c r="V379" i="11"/>
  <c r="N379" i="11"/>
  <c r="Y379" i="11" s="1"/>
  <c r="X378" i="11"/>
  <c r="W378" i="11"/>
  <c r="V378" i="11"/>
  <c r="N378" i="11"/>
  <c r="Y378" i="11" s="1"/>
  <c r="X377" i="11"/>
  <c r="W377" i="11"/>
  <c r="V377" i="11"/>
  <c r="N377" i="11"/>
  <c r="X376" i="11"/>
  <c r="W376" i="11"/>
  <c r="V376" i="11"/>
  <c r="N376" i="11"/>
  <c r="Y376" i="11" s="1"/>
  <c r="X375" i="11"/>
  <c r="W375" i="11"/>
  <c r="V375" i="11"/>
  <c r="N375" i="11"/>
  <c r="Y375" i="11" s="1"/>
  <c r="X374" i="11"/>
  <c r="W374" i="11"/>
  <c r="V374" i="11"/>
  <c r="N374" i="11"/>
  <c r="Y374" i="11" s="1"/>
  <c r="X373" i="11"/>
  <c r="W373" i="11"/>
  <c r="V373" i="11"/>
  <c r="N373" i="11"/>
  <c r="X372" i="11"/>
  <c r="W372" i="11"/>
  <c r="V372" i="11"/>
  <c r="N372" i="11"/>
  <c r="Y372" i="11" s="1"/>
  <c r="X371" i="11"/>
  <c r="W371" i="11"/>
  <c r="V371" i="11"/>
  <c r="N371" i="11"/>
  <c r="Y371" i="11" s="1"/>
  <c r="X370" i="11"/>
  <c r="W370" i="11"/>
  <c r="V370" i="11"/>
  <c r="N370" i="11"/>
  <c r="Y370" i="11" s="1"/>
  <c r="X369" i="11"/>
  <c r="W369" i="11"/>
  <c r="V369" i="11"/>
  <c r="N369" i="11"/>
  <c r="X368" i="11"/>
  <c r="W368" i="11"/>
  <c r="V368" i="11"/>
  <c r="N368" i="11"/>
  <c r="Y368" i="11" s="1"/>
  <c r="X367" i="11"/>
  <c r="W367" i="11"/>
  <c r="V367" i="11"/>
  <c r="N367" i="11"/>
  <c r="Y367" i="11" s="1"/>
  <c r="X366" i="11"/>
  <c r="W366" i="11"/>
  <c r="V366" i="11"/>
  <c r="N366" i="11"/>
  <c r="Y366" i="11" s="1"/>
  <c r="X365" i="11"/>
  <c r="W365" i="11"/>
  <c r="V365" i="11"/>
  <c r="N365" i="11"/>
  <c r="X364" i="11"/>
  <c r="W364" i="11"/>
  <c r="V364" i="11"/>
  <c r="N364" i="11"/>
  <c r="Y364" i="11" s="1"/>
  <c r="X363" i="11"/>
  <c r="W363" i="11"/>
  <c r="V363" i="11"/>
  <c r="N363" i="11"/>
  <c r="Y363" i="11" s="1"/>
  <c r="X362" i="11"/>
  <c r="W362" i="11"/>
  <c r="V362" i="11"/>
  <c r="N362" i="11"/>
  <c r="Y362" i="11" s="1"/>
  <c r="X361" i="11"/>
  <c r="W361" i="11"/>
  <c r="V361" i="11"/>
  <c r="N361" i="11"/>
  <c r="X360" i="11"/>
  <c r="W360" i="11"/>
  <c r="V360" i="11"/>
  <c r="N360" i="11"/>
  <c r="Y360" i="11" s="1"/>
  <c r="X359" i="11"/>
  <c r="W359" i="11"/>
  <c r="V359" i="11"/>
  <c r="N359" i="11"/>
  <c r="Y359" i="11" s="1"/>
  <c r="X358" i="11"/>
  <c r="W358" i="11"/>
  <c r="V358" i="11"/>
  <c r="N358" i="11"/>
  <c r="Y358" i="11" s="1"/>
  <c r="X357" i="11"/>
  <c r="W357" i="11"/>
  <c r="V357" i="11"/>
  <c r="N357" i="11"/>
  <c r="X356" i="11"/>
  <c r="W356" i="11"/>
  <c r="V356" i="11"/>
  <c r="N356" i="11"/>
  <c r="Y356" i="11" s="1"/>
  <c r="X355" i="11"/>
  <c r="W355" i="11"/>
  <c r="V355" i="11"/>
  <c r="N355" i="11"/>
  <c r="Y355" i="11" s="1"/>
  <c r="X354" i="11"/>
  <c r="W354" i="11"/>
  <c r="V354" i="11"/>
  <c r="N354" i="11"/>
  <c r="Y354" i="11" s="1"/>
  <c r="X353" i="11"/>
  <c r="W353" i="11"/>
  <c r="V353" i="11"/>
  <c r="N353" i="11"/>
  <c r="X352" i="11"/>
  <c r="W352" i="11"/>
  <c r="V352" i="11"/>
  <c r="N352" i="11"/>
  <c r="Y352" i="11" s="1"/>
  <c r="X351" i="11"/>
  <c r="W351" i="11"/>
  <c r="V351" i="11"/>
  <c r="N351" i="11"/>
  <c r="Y351" i="11" s="1"/>
  <c r="X350" i="11"/>
  <c r="W350" i="11"/>
  <c r="V350" i="11"/>
  <c r="N350" i="11"/>
  <c r="Y350" i="11" s="1"/>
  <c r="X349" i="11"/>
  <c r="W349" i="11"/>
  <c r="V349" i="11"/>
  <c r="N349" i="11"/>
  <c r="X348" i="11"/>
  <c r="W348" i="11"/>
  <c r="V348" i="11"/>
  <c r="N348" i="11"/>
  <c r="Y348" i="11" s="1"/>
  <c r="X347" i="11"/>
  <c r="W347" i="11"/>
  <c r="V347" i="11"/>
  <c r="N347" i="11"/>
  <c r="Y347" i="11" s="1"/>
  <c r="X346" i="11"/>
  <c r="W346" i="11"/>
  <c r="V346" i="11"/>
  <c r="N346" i="11"/>
  <c r="Y346" i="11" s="1"/>
  <c r="X345" i="11"/>
  <c r="W345" i="11"/>
  <c r="V345" i="11"/>
  <c r="N345" i="11"/>
  <c r="X344" i="11"/>
  <c r="W344" i="11"/>
  <c r="V344" i="11"/>
  <c r="N344" i="11"/>
  <c r="Y344" i="11" s="1"/>
  <c r="X343" i="11"/>
  <c r="W343" i="11"/>
  <c r="V343" i="11"/>
  <c r="N343" i="11"/>
  <c r="Y343" i="11" s="1"/>
  <c r="X342" i="11"/>
  <c r="W342" i="11"/>
  <c r="V342" i="11"/>
  <c r="N342" i="11"/>
  <c r="Y342" i="11" s="1"/>
  <c r="X341" i="11"/>
  <c r="W341" i="11"/>
  <c r="V341" i="11"/>
  <c r="N341" i="11"/>
  <c r="X340" i="11"/>
  <c r="W340" i="11"/>
  <c r="V340" i="11"/>
  <c r="N340" i="11"/>
  <c r="Y340" i="11" s="1"/>
  <c r="X339" i="11"/>
  <c r="W339" i="11"/>
  <c r="V339" i="11"/>
  <c r="N339" i="11"/>
  <c r="Y339" i="11" s="1"/>
  <c r="X338" i="11"/>
  <c r="W338" i="11"/>
  <c r="V338" i="11"/>
  <c r="N338" i="11"/>
  <c r="Y338" i="11" s="1"/>
  <c r="X337" i="11"/>
  <c r="W337" i="11"/>
  <c r="V337" i="11"/>
  <c r="N337" i="11"/>
  <c r="X336" i="11"/>
  <c r="W336" i="11"/>
  <c r="V336" i="11"/>
  <c r="N336" i="11"/>
  <c r="Y336" i="11" s="1"/>
  <c r="X335" i="11"/>
  <c r="W335" i="11"/>
  <c r="V335" i="11"/>
  <c r="N335" i="11"/>
  <c r="Y335" i="11" s="1"/>
  <c r="X334" i="11"/>
  <c r="W334" i="11"/>
  <c r="V334" i="11"/>
  <c r="N334" i="11"/>
  <c r="Y334" i="11" s="1"/>
  <c r="X333" i="11"/>
  <c r="W333" i="11"/>
  <c r="V333" i="11"/>
  <c r="N333" i="11"/>
  <c r="X332" i="11"/>
  <c r="W332" i="11"/>
  <c r="V332" i="11"/>
  <c r="N332" i="11"/>
  <c r="Y332" i="11" s="1"/>
  <c r="X331" i="11"/>
  <c r="W331" i="11"/>
  <c r="V331" i="11"/>
  <c r="N331" i="11"/>
  <c r="Y331" i="11" s="1"/>
  <c r="X330" i="11"/>
  <c r="W330" i="11"/>
  <c r="V330" i="11"/>
  <c r="N330" i="11"/>
  <c r="Y330" i="11" s="1"/>
  <c r="X329" i="11"/>
  <c r="W329" i="11"/>
  <c r="V329" i="11"/>
  <c r="N329" i="11"/>
  <c r="X328" i="11"/>
  <c r="W328" i="11"/>
  <c r="V328" i="11"/>
  <c r="N328" i="11"/>
  <c r="Y328" i="11" s="1"/>
  <c r="X327" i="11"/>
  <c r="W327" i="11"/>
  <c r="V327" i="11"/>
  <c r="N327" i="11"/>
  <c r="Y327" i="11" s="1"/>
  <c r="X326" i="11"/>
  <c r="W326" i="11"/>
  <c r="V326" i="11"/>
  <c r="N326" i="11"/>
  <c r="Y326" i="11" s="1"/>
  <c r="X325" i="11"/>
  <c r="W325" i="11"/>
  <c r="V325" i="11"/>
  <c r="N325" i="11"/>
  <c r="X324" i="11"/>
  <c r="W324" i="11"/>
  <c r="V324" i="11"/>
  <c r="N324" i="11"/>
  <c r="Y324" i="11" s="1"/>
  <c r="X323" i="11"/>
  <c r="W323" i="11"/>
  <c r="V323" i="11"/>
  <c r="N323" i="11"/>
  <c r="Y323" i="11" s="1"/>
  <c r="X322" i="11"/>
  <c r="W322" i="11"/>
  <c r="V322" i="11"/>
  <c r="N322" i="11"/>
  <c r="Y322" i="11" s="1"/>
  <c r="X321" i="11"/>
  <c r="W321" i="11"/>
  <c r="V321" i="11"/>
  <c r="N321" i="11"/>
  <c r="X320" i="11"/>
  <c r="W320" i="11"/>
  <c r="V320" i="11"/>
  <c r="N320" i="11"/>
  <c r="Y320" i="11" s="1"/>
  <c r="X319" i="11"/>
  <c r="W319" i="11"/>
  <c r="V319" i="11"/>
  <c r="N319" i="11"/>
  <c r="Y319" i="11" s="1"/>
  <c r="X318" i="11"/>
  <c r="W318" i="11"/>
  <c r="V318" i="11"/>
  <c r="N318" i="11"/>
  <c r="Y318" i="11" s="1"/>
  <c r="X317" i="11"/>
  <c r="W317" i="11"/>
  <c r="V317" i="11"/>
  <c r="N317" i="11"/>
  <c r="X316" i="11"/>
  <c r="W316" i="11"/>
  <c r="V316" i="11"/>
  <c r="N316" i="11"/>
  <c r="Y316" i="11" s="1"/>
  <c r="X315" i="11"/>
  <c r="W315" i="11"/>
  <c r="V315" i="11"/>
  <c r="N315" i="11"/>
  <c r="Y315" i="11" s="1"/>
  <c r="X314" i="11"/>
  <c r="W314" i="11"/>
  <c r="V314" i="11"/>
  <c r="N314" i="11"/>
  <c r="Y314" i="11" s="1"/>
  <c r="X313" i="11"/>
  <c r="W313" i="11"/>
  <c r="V313" i="11"/>
  <c r="N313" i="11"/>
  <c r="X312" i="11"/>
  <c r="W312" i="11"/>
  <c r="V312" i="11"/>
  <c r="N312" i="11"/>
  <c r="Y312" i="11" s="1"/>
  <c r="X311" i="11"/>
  <c r="W311" i="11"/>
  <c r="V311" i="11"/>
  <c r="N311" i="11"/>
  <c r="Y311" i="11" s="1"/>
  <c r="X310" i="11"/>
  <c r="W310" i="11"/>
  <c r="V310" i="11"/>
  <c r="N310" i="11"/>
  <c r="Y310" i="11" s="1"/>
  <c r="X309" i="11"/>
  <c r="W309" i="11"/>
  <c r="V309" i="11"/>
  <c r="N309" i="11"/>
  <c r="X308" i="11"/>
  <c r="W308" i="11"/>
  <c r="V308" i="11"/>
  <c r="N308" i="11"/>
  <c r="Y308" i="11" s="1"/>
  <c r="X307" i="11"/>
  <c r="W307" i="11"/>
  <c r="V307" i="11"/>
  <c r="N307" i="11"/>
  <c r="Y307" i="11" s="1"/>
  <c r="X306" i="11"/>
  <c r="W306" i="11"/>
  <c r="V306" i="11"/>
  <c r="N306" i="11"/>
  <c r="Y306" i="11" s="1"/>
  <c r="X305" i="11"/>
  <c r="W305" i="11"/>
  <c r="V305" i="11"/>
  <c r="N305" i="11"/>
  <c r="X304" i="11"/>
  <c r="W304" i="11"/>
  <c r="V304" i="11"/>
  <c r="N304" i="11"/>
  <c r="Y304" i="11" s="1"/>
  <c r="X303" i="11"/>
  <c r="W303" i="11"/>
  <c r="V303" i="11"/>
  <c r="N303" i="11"/>
  <c r="Y303" i="11" s="1"/>
  <c r="X302" i="11"/>
  <c r="W302" i="11"/>
  <c r="V302" i="11"/>
  <c r="N302" i="11"/>
  <c r="Y302" i="11" s="1"/>
  <c r="X301" i="11"/>
  <c r="W301" i="11"/>
  <c r="V301" i="11"/>
  <c r="N301" i="11"/>
  <c r="X300" i="11"/>
  <c r="W300" i="11"/>
  <c r="V300" i="11"/>
  <c r="N300" i="11"/>
  <c r="Y300" i="11" s="1"/>
  <c r="X299" i="11"/>
  <c r="W299" i="11"/>
  <c r="V299" i="11"/>
  <c r="N299" i="11"/>
  <c r="Y299" i="11" s="1"/>
  <c r="X298" i="11"/>
  <c r="W298" i="11"/>
  <c r="V298" i="11"/>
  <c r="N298" i="11"/>
  <c r="Y298" i="11" s="1"/>
  <c r="X297" i="11"/>
  <c r="W297" i="11"/>
  <c r="V297" i="11"/>
  <c r="N297" i="11"/>
  <c r="X296" i="11"/>
  <c r="W296" i="11"/>
  <c r="V296" i="11"/>
  <c r="N296" i="11"/>
  <c r="Y296" i="11" s="1"/>
  <c r="X295" i="11"/>
  <c r="W295" i="11"/>
  <c r="V295" i="11"/>
  <c r="N295" i="11"/>
  <c r="Y295" i="11" s="1"/>
  <c r="X294" i="11"/>
  <c r="W294" i="11"/>
  <c r="V294" i="11"/>
  <c r="N294" i="11"/>
  <c r="Y294" i="11" s="1"/>
  <c r="X293" i="11"/>
  <c r="W293" i="11"/>
  <c r="V293" i="11"/>
  <c r="N293" i="11"/>
  <c r="X292" i="11"/>
  <c r="W292" i="11"/>
  <c r="V292" i="11"/>
  <c r="N292" i="11"/>
  <c r="Y292" i="11" s="1"/>
  <c r="X291" i="11"/>
  <c r="W291" i="11"/>
  <c r="V291" i="11"/>
  <c r="N291" i="11"/>
  <c r="Y291" i="11" s="1"/>
  <c r="X290" i="11"/>
  <c r="W290" i="11"/>
  <c r="V290" i="11"/>
  <c r="N290" i="11"/>
  <c r="Y290" i="11" s="1"/>
  <c r="X289" i="11"/>
  <c r="W289" i="11"/>
  <c r="V289" i="11"/>
  <c r="N289" i="11"/>
  <c r="X288" i="11"/>
  <c r="W288" i="11"/>
  <c r="V288" i="11"/>
  <c r="N288" i="11"/>
  <c r="Y288" i="11" s="1"/>
  <c r="X287" i="11"/>
  <c r="W287" i="11"/>
  <c r="V287" i="11"/>
  <c r="N287" i="11"/>
  <c r="Y287" i="11" s="1"/>
  <c r="X286" i="11"/>
  <c r="W286" i="11"/>
  <c r="V286" i="11"/>
  <c r="N286" i="11"/>
  <c r="Y286" i="11" s="1"/>
  <c r="X285" i="11"/>
  <c r="W285" i="11"/>
  <c r="V285" i="11"/>
  <c r="N285" i="11"/>
  <c r="X284" i="11"/>
  <c r="W284" i="11"/>
  <c r="V284" i="11"/>
  <c r="N284" i="11"/>
  <c r="Y284" i="11" s="1"/>
  <c r="X283" i="11"/>
  <c r="W283" i="11"/>
  <c r="V283" i="11"/>
  <c r="N283" i="11"/>
  <c r="Y283" i="11" s="1"/>
  <c r="X282" i="11"/>
  <c r="W282" i="11"/>
  <c r="V282" i="11"/>
  <c r="N282" i="11"/>
  <c r="Y282" i="11" s="1"/>
  <c r="X281" i="11"/>
  <c r="W281" i="11"/>
  <c r="V281" i="11"/>
  <c r="N281" i="11"/>
  <c r="X280" i="11"/>
  <c r="W280" i="11"/>
  <c r="V280" i="11"/>
  <c r="N280" i="11"/>
  <c r="Y280" i="11" s="1"/>
  <c r="X279" i="11"/>
  <c r="W279" i="11"/>
  <c r="V279" i="11"/>
  <c r="N279" i="11"/>
  <c r="Y279" i="11" s="1"/>
  <c r="X278" i="11"/>
  <c r="W278" i="11"/>
  <c r="V278" i="11"/>
  <c r="N278" i="11"/>
  <c r="Y278" i="11" s="1"/>
  <c r="X277" i="11"/>
  <c r="W277" i="11"/>
  <c r="V277" i="11"/>
  <c r="N277" i="11"/>
  <c r="X276" i="11"/>
  <c r="W276" i="11"/>
  <c r="V276" i="11"/>
  <c r="N276" i="11"/>
  <c r="Y276" i="11" s="1"/>
  <c r="X275" i="11"/>
  <c r="W275" i="11"/>
  <c r="V275" i="11"/>
  <c r="N275" i="11"/>
  <c r="Y275" i="11" s="1"/>
  <c r="X274" i="11"/>
  <c r="W274" i="11"/>
  <c r="V274" i="11"/>
  <c r="N274" i="11"/>
  <c r="Y274" i="11" s="1"/>
  <c r="X273" i="11"/>
  <c r="W273" i="11"/>
  <c r="V273" i="11"/>
  <c r="N273" i="11"/>
  <c r="X272" i="11"/>
  <c r="W272" i="11"/>
  <c r="V272" i="11"/>
  <c r="N272" i="11"/>
  <c r="Y272" i="11" s="1"/>
  <c r="X271" i="11"/>
  <c r="W271" i="11"/>
  <c r="V271" i="11"/>
  <c r="N271" i="11"/>
  <c r="Y271" i="11" s="1"/>
  <c r="X270" i="11"/>
  <c r="W270" i="11"/>
  <c r="V270" i="11"/>
  <c r="N270" i="11"/>
  <c r="Y270" i="11" s="1"/>
  <c r="X269" i="11"/>
  <c r="W269" i="11"/>
  <c r="V269" i="11"/>
  <c r="N269" i="11"/>
  <c r="X268" i="11"/>
  <c r="W268" i="11"/>
  <c r="V268" i="11"/>
  <c r="N268" i="11"/>
  <c r="Y268" i="11" s="1"/>
  <c r="X267" i="11"/>
  <c r="W267" i="11"/>
  <c r="V267" i="11"/>
  <c r="N267" i="11"/>
  <c r="Y267" i="11" s="1"/>
  <c r="X266" i="11"/>
  <c r="W266" i="11"/>
  <c r="V266" i="11"/>
  <c r="N266" i="11"/>
  <c r="Y266" i="11" s="1"/>
  <c r="X265" i="11"/>
  <c r="W265" i="11"/>
  <c r="V265" i="11"/>
  <c r="N265" i="11"/>
  <c r="X264" i="11"/>
  <c r="W264" i="11"/>
  <c r="V264" i="11"/>
  <c r="N264" i="11"/>
  <c r="Y264" i="11" s="1"/>
  <c r="X263" i="11"/>
  <c r="W263" i="11"/>
  <c r="V263" i="11"/>
  <c r="N263" i="11"/>
  <c r="Y263" i="11" s="1"/>
  <c r="X262" i="11"/>
  <c r="W262" i="11"/>
  <c r="V262" i="11"/>
  <c r="N262" i="11"/>
  <c r="Y262" i="11" s="1"/>
  <c r="X261" i="11"/>
  <c r="W261" i="11"/>
  <c r="V261" i="11"/>
  <c r="N261" i="11"/>
  <c r="X260" i="11"/>
  <c r="W260" i="11"/>
  <c r="V260" i="11"/>
  <c r="N260" i="11"/>
  <c r="Y260" i="11" s="1"/>
  <c r="X259" i="11"/>
  <c r="W259" i="11"/>
  <c r="V259" i="11"/>
  <c r="N259" i="11"/>
  <c r="Y259" i="11" s="1"/>
  <c r="X258" i="11"/>
  <c r="W258" i="11"/>
  <c r="V258" i="11"/>
  <c r="N258" i="11"/>
  <c r="Y258" i="11" s="1"/>
  <c r="X257" i="11"/>
  <c r="W257" i="11"/>
  <c r="V257" i="11"/>
  <c r="N257" i="11"/>
  <c r="X256" i="11"/>
  <c r="W256" i="11"/>
  <c r="V256" i="11"/>
  <c r="N256" i="11"/>
  <c r="Y256" i="11" s="1"/>
  <c r="X255" i="11"/>
  <c r="W255" i="11"/>
  <c r="V255" i="11"/>
  <c r="N255" i="11"/>
  <c r="Y255" i="11" s="1"/>
  <c r="X254" i="11"/>
  <c r="W254" i="11"/>
  <c r="V254" i="11"/>
  <c r="N254" i="11"/>
  <c r="Y254" i="11" s="1"/>
  <c r="X253" i="11"/>
  <c r="W253" i="11"/>
  <c r="V253" i="11"/>
  <c r="N253" i="11"/>
  <c r="X252" i="11"/>
  <c r="W252" i="11"/>
  <c r="V252" i="11"/>
  <c r="N252" i="11"/>
  <c r="Y252" i="11" s="1"/>
  <c r="X251" i="11"/>
  <c r="W251" i="11"/>
  <c r="V251" i="11"/>
  <c r="N251" i="11"/>
  <c r="Y251" i="11" s="1"/>
  <c r="X250" i="11"/>
  <c r="W250" i="11"/>
  <c r="V250" i="11"/>
  <c r="N250" i="11"/>
  <c r="Y250" i="11" s="1"/>
  <c r="X249" i="11"/>
  <c r="W249" i="11"/>
  <c r="V249" i="11"/>
  <c r="N249" i="11"/>
  <c r="X248" i="11"/>
  <c r="W248" i="11"/>
  <c r="V248" i="11"/>
  <c r="N248" i="11"/>
  <c r="Y248" i="11" s="1"/>
  <c r="X247" i="11"/>
  <c r="W247" i="11"/>
  <c r="V247" i="11"/>
  <c r="N247" i="11"/>
  <c r="Y247" i="11" s="1"/>
  <c r="X246" i="11"/>
  <c r="W246" i="11"/>
  <c r="V246" i="11"/>
  <c r="N246" i="11"/>
  <c r="Y246" i="11" s="1"/>
  <c r="X245" i="11"/>
  <c r="W245" i="11"/>
  <c r="V245" i="11"/>
  <c r="N245" i="11"/>
  <c r="X244" i="11"/>
  <c r="W244" i="11"/>
  <c r="V244" i="11"/>
  <c r="N244" i="11"/>
  <c r="Y244" i="11" s="1"/>
  <c r="X243" i="11"/>
  <c r="W243" i="11"/>
  <c r="V243" i="11"/>
  <c r="N243" i="11"/>
  <c r="Y243" i="11" s="1"/>
  <c r="X242" i="11"/>
  <c r="W242" i="11"/>
  <c r="V242" i="11"/>
  <c r="N242" i="11"/>
  <c r="Y242" i="11" s="1"/>
  <c r="X241" i="11"/>
  <c r="W241" i="11"/>
  <c r="V241" i="11"/>
  <c r="N241" i="11"/>
  <c r="X240" i="11"/>
  <c r="W240" i="11"/>
  <c r="V240" i="11"/>
  <c r="N240" i="11"/>
  <c r="Y240" i="11" s="1"/>
  <c r="X239" i="11"/>
  <c r="W239" i="11"/>
  <c r="V239" i="11"/>
  <c r="N239" i="11"/>
  <c r="Y239" i="11" s="1"/>
  <c r="X238" i="11"/>
  <c r="W238" i="11"/>
  <c r="V238" i="11"/>
  <c r="N238" i="11"/>
  <c r="Y238" i="11" s="1"/>
  <c r="X237" i="11"/>
  <c r="W237" i="11"/>
  <c r="V237" i="11"/>
  <c r="N237" i="11"/>
  <c r="X236" i="11"/>
  <c r="W236" i="11"/>
  <c r="V236" i="11"/>
  <c r="N236" i="11"/>
  <c r="Y236" i="11" s="1"/>
  <c r="X235" i="11"/>
  <c r="W235" i="11"/>
  <c r="V235" i="11"/>
  <c r="N235" i="11"/>
  <c r="Y235" i="11" s="1"/>
  <c r="X234" i="11"/>
  <c r="W234" i="11"/>
  <c r="V234" i="11"/>
  <c r="N234" i="11"/>
  <c r="Y234" i="11" s="1"/>
  <c r="X233" i="11"/>
  <c r="W233" i="11"/>
  <c r="V233" i="11"/>
  <c r="N233" i="11"/>
  <c r="X232" i="11"/>
  <c r="W232" i="11"/>
  <c r="V232" i="11"/>
  <c r="N232" i="11"/>
  <c r="Y232" i="11" s="1"/>
  <c r="X231" i="11"/>
  <c r="W231" i="11"/>
  <c r="V231" i="11"/>
  <c r="N231" i="11"/>
  <c r="Y231" i="11" s="1"/>
  <c r="X230" i="11"/>
  <c r="W230" i="11"/>
  <c r="V230" i="11"/>
  <c r="N230" i="11"/>
  <c r="Y230" i="11" s="1"/>
  <c r="X229" i="11"/>
  <c r="W229" i="11"/>
  <c r="V229" i="11"/>
  <c r="N229" i="11"/>
  <c r="X228" i="11"/>
  <c r="W228" i="11"/>
  <c r="V228" i="11"/>
  <c r="N228" i="11"/>
  <c r="Y228" i="11" s="1"/>
  <c r="X227" i="11"/>
  <c r="W227" i="11"/>
  <c r="V227" i="11"/>
  <c r="N227" i="11"/>
  <c r="Y227" i="11" s="1"/>
  <c r="X226" i="11"/>
  <c r="W226" i="11"/>
  <c r="V226" i="11"/>
  <c r="N226" i="11"/>
  <c r="Y226" i="11" s="1"/>
  <c r="X225" i="11"/>
  <c r="W225" i="11"/>
  <c r="V225" i="11"/>
  <c r="N225" i="11"/>
  <c r="X224" i="11"/>
  <c r="W224" i="11"/>
  <c r="V224" i="11"/>
  <c r="N224" i="11"/>
  <c r="Y224" i="11" s="1"/>
  <c r="X223" i="11"/>
  <c r="W223" i="11"/>
  <c r="V223" i="11"/>
  <c r="N223" i="11"/>
  <c r="Y223" i="11" s="1"/>
  <c r="X222" i="11"/>
  <c r="W222" i="11"/>
  <c r="V222" i="11"/>
  <c r="N222" i="11"/>
  <c r="Y222" i="11" s="1"/>
  <c r="X221" i="11"/>
  <c r="W221" i="11"/>
  <c r="V221" i="11"/>
  <c r="N221" i="11"/>
  <c r="X220" i="11"/>
  <c r="W220" i="11"/>
  <c r="V220" i="11"/>
  <c r="N220" i="11"/>
  <c r="Y220" i="11" s="1"/>
  <c r="X219" i="11"/>
  <c r="W219" i="11"/>
  <c r="V219" i="11"/>
  <c r="N219" i="11"/>
  <c r="Y219" i="11" s="1"/>
  <c r="X218" i="11"/>
  <c r="W218" i="11"/>
  <c r="V218" i="11"/>
  <c r="N218" i="11"/>
  <c r="Y218" i="11" s="1"/>
  <c r="X217" i="11"/>
  <c r="W217" i="11"/>
  <c r="V217" i="11"/>
  <c r="N217" i="11"/>
  <c r="X216" i="11"/>
  <c r="W216" i="11"/>
  <c r="V216" i="11"/>
  <c r="N216" i="11"/>
  <c r="Y216" i="11" s="1"/>
  <c r="X215" i="11"/>
  <c r="W215" i="11"/>
  <c r="V215" i="11"/>
  <c r="N215" i="11"/>
  <c r="Y215" i="11" s="1"/>
  <c r="X214" i="11"/>
  <c r="W214" i="11"/>
  <c r="V214" i="11"/>
  <c r="N214" i="11"/>
  <c r="Y214" i="11" s="1"/>
  <c r="X213" i="11"/>
  <c r="W213" i="11"/>
  <c r="V213" i="11"/>
  <c r="N213" i="11"/>
  <c r="X212" i="11"/>
  <c r="W212" i="11"/>
  <c r="V212" i="11"/>
  <c r="N212" i="11"/>
  <c r="Y212" i="11" s="1"/>
  <c r="X211" i="11"/>
  <c r="W211" i="11"/>
  <c r="V211" i="11"/>
  <c r="N211" i="11"/>
  <c r="Y211" i="11" s="1"/>
  <c r="X210" i="11"/>
  <c r="W210" i="11"/>
  <c r="V210" i="11"/>
  <c r="N210" i="11"/>
  <c r="Y210" i="11" s="1"/>
  <c r="X209" i="11"/>
  <c r="W209" i="11"/>
  <c r="V209" i="11"/>
  <c r="N209" i="11"/>
  <c r="X208" i="11"/>
  <c r="W208" i="11"/>
  <c r="V208" i="11"/>
  <c r="N208" i="11"/>
  <c r="Y208" i="11" s="1"/>
  <c r="X207" i="11"/>
  <c r="W207" i="11"/>
  <c r="V207" i="11"/>
  <c r="N207" i="11"/>
  <c r="Y207" i="11" s="1"/>
  <c r="X206" i="11"/>
  <c r="W206" i="11"/>
  <c r="V206" i="11"/>
  <c r="N206" i="11"/>
  <c r="Y206" i="11" s="1"/>
  <c r="X205" i="11"/>
  <c r="W205" i="11"/>
  <c r="V205" i="11"/>
  <c r="N205" i="11"/>
  <c r="X204" i="11"/>
  <c r="W204" i="11"/>
  <c r="V204" i="11"/>
  <c r="N204" i="11"/>
  <c r="Y204" i="11" s="1"/>
  <c r="X203" i="11"/>
  <c r="W203" i="11"/>
  <c r="V203" i="11"/>
  <c r="N203" i="11"/>
  <c r="Y203" i="11" s="1"/>
  <c r="X202" i="11"/>
  <c r="W202" i="11"/>
  <c r="V202" i="11"/>
  <c r="N202" i="11"/>
  <c r="Y202" i="11" s="1"/>
  <c r="X201" i="11"/>
  <c r="W201" i="11"/>
  <c r="V201" i="11"/>
  <c r="N201" i="11"/>
  <c r="X200" i="11"/>
  <c r="W200" i="11"/>
  <c r="V200" i="11"/>
  <c r="N200" i="11"/>
  <c r="Y200" i="11" s="1"/>
  <c r="X199" i="11"/>
  <c r="W199" i="11"/>
  <c r="V199" i="11"/>
  <c r="N199" i="11"/>
  <c r="Y199" i="11" s="1"/>
  <c r="X198" i="11"/>
  <c r="W198" i="11"/>
  <c r="V198" i="11"/>
  <c r="N198" i="11"/>
  <c r="Y198" i="11" s="1"/>
  <c r="X197" i="11"/>
  <c r="W197" i="11"/>
  <c r="V197" i="11"/>
  <c r="N197" i="11"/>
  <c r="X196" i="11"/>
  <c r="W196" i="11"/>
  <c r="V196" i="11"/>
  <c r="N196" i="11"/>
  <c r="Y196" i="11" s="1"/>
  <c r="X195" i="11"/>
  <c r="W195" i="11"/>
  <c r="V195" i="11"/>
  <c r="N195" i="11"/>
  <c r="Y195" i="11" s="1"/>
  <c r="X194" i="11"/>
  <c r="W194" i="11"/>
  <c r="V194" i="11"/>
  <c r="N194" i="11"/>
  <c r="Y194" i="11" s="1"/>
  <c r="X193" i="11"/>
  <c r="W193" i="11"/>
  <c r="V193" i="11"/>
  <c r="N193" i="11"/>
  <c r="X192" i="11"/>
  <c r="W192" i="11"/>
  <c r="V192" i="11"/>
  <c r="N192" i="11"/>
  <c r="Y192" i="11" s="1"/>
  <c r="X191" i="11"/>
  <c r="W191" i="11"/>
  <c r="V191" i="11"/>
  <c r="N191" i="11"/>
  <c r="Y191" i="11" s="1"/>
  <c r="X190" i="11"/>
  <c r="W190" i="11"/>
  <c r="V190" i="11"/>
  <c r="N190" i="11"/>
  <c r="Y190" i="11" s="1"/>
  <c r="X189" i="11"/>
  <c r="W189" i="11"/>
  <c r="V189" i="11"/>
  <c r="N189" i="11"/>
  <c r="X188" i="11"/>
  <c r="W188" i="11"/>
  <c r="V188" i="11"/>
  <c r="N188" i="11"/>
  <c r="Y188" i="11" s="1"/>
  <c r="X187" i="11"/>
  <c r="W187" i="11"/>
  <c r="V187" i="11"/>
  <c r="N187" i="11"/>
  <c r="Y187" i="11" s="1"/>
  <c r="X186" i="11"/>
  <c r="W186" i="11"/>
  <c r="V186" i="11"/>
  <c r="N186" i="11"/>
  <c r="Y186" i="11" s="1"/>
  <c r="X185" i="11"/>
  <c r="W185" i="11"/>
  <c r="V185" i="11"/>
  <c r="N185" i="11"/>
  <c r="X184" i="11"/>
  <c r="W184" i="11"/>
  <c r="V184" i="11"/>
  <c r="N184" i="11"/>
  <c r="Y184" i="11" s="1"/>
  <c r="X183" i="11"/>
  <c r="W183" i="11"/>
  <c r="V183" i="11"/>
  <c r="N183" i="11"/>
  <c r="Y183" i="11" s="1"/>
  <c r="X182" i="11"/>
  <c r="W182" i="11"/>
  <c r="V182" i="11"/>
  <c r="N182" i="11"/>
  <c r="Y182" i="11" s="1"/>
  <c r="X181" i="11"/>
  <c r="W181" i="11"/>
  <c r="V181" i="11"/>
  <c r="N181" i="11"/>
  <c r="X180" i="11"/>
  <c r="W180" i="11"/>
  <c r="V180" i="11"/>
  <c r="N180" i="11"/>
  <c r="Y180" i="11" s="1"/>
  <c r="X179" i="11"/>
  <c r="W179" i="11"/>
  <c r="V179" i="11"/>
  <c r="N179" i="11"/>
  <c r="Y179" i="11" s="1"/>
  <c r="X178" i="11"/>
  <c r="W178" i="11"/>
  <c r="V178" i="11"/>
  <c r="N178" i="11"/>
  <c r="Y178" i="11" s="1"/>
  <c r="X177" i="11"/>
  <c r="W177" i="11"/>
  <c r="V177" i="11"/>
  <c r="N177" i="11"/>
  <c r="X176" i="11"/>
  <c r="W176" i="11"/>
  <c r="V176" i="11"/>
  <c r="N176" i="11"/>
  <c r="Y176" i="11" s="1"/>
  <c r="X175" i="11"/>
  <c r="W175" i="11"/>
  <c r="V175" i="11"/>
  <c r="N175" i="11"/>
  <c r="Y175" i="11" s="1"/>
  <c r="X174" i="11"/>
  <c r="W174" i="11"/>
  <c r="V174" i="11"/>
  <c r="N174" i="11"/>
  <c r="Y174" i="11" s="1"/>
  <c r="X173" i="11"/>
  <c r="W173" i="11"/>
  <c r="V173" i="11"/>
  <c r="N173" i="11"/>
  <c r="X172" i="11"/>
  <c r="W172" i="11"/>
  <c r="V172" i="11"/>
  <c r="N172" i="11"/>
  <c r="Y172" i="11" s="1"/>
  <c r="X171" i="11"/>
  <c r="W171" i="11"/>
  <c r="V171" i="11"/>
  <c r="N171" i="11"/>
  <c r="Y171" i="11" s="1"/>
  <c r="X170" i="11"/>
  <c r="W170" i="11"/>
  <c r="V170" i="11"/>
  <c r="N170" i="11"/>
  <c r="Y170" i="11" s="1"/>
  <c r="X169" i="11"/>
  <c r="W169" i="11"/>
  <c r="V169" i="11"/>
  <c r="N169" i="11"/>
  <c r="X168" i="11"/>
  <c r="W168" i="11"/>
  <c r="V168" i="11"/>
  <c r="N168" i="11"/>
  <c r="Y168" i="11" s="1"/>
  <c r="X167" i="11"/>
  <c r="W167" i="11"/>
  <c r="V167" i="11"/>
  <c r="N167" i="11"/>
  <c r="Y167" i="11" s="1"/>
  <c r="X166" i="11"/>
  <c r="W166" i="11"/>
  <c r="V166" i="11"/>
  <c r="N166" i="11"/>
  <c r="Y166" i="11" s="1"/>
  <c r="X165" i="11"/>
  <c r="W165" i="11"/>
  <c r="V165" i="11"/>
  <c r="N165" i="11"/>
  <c r="X164" i="11"/>
  <c r="W164" i="11"/>
  <c r="V164" i="11"/>
  <c r="N164" i="11"/>
  <c r="Y164" i="11" s="1"/>
  <c r="X163" i="11"/>
  <c r="W163" i="11"/>
  <c r="V163" i="11"/>
  <c r="N163" i="11"/>
  <c r="Y163" i="11" s="1"/>
  <c r="X162" i="11"/>
  <c r="W162" i="11"/>
  <c r="V162" i="11"/>
  <c r="N162" i="11"/>
  <c r="Y162" i="11" s="1"/>
  <c r="X161" i="11"/>
  <c r="W161" i="11"/>
  <c r="V161" i="11"/>
  <c r="N161" i="11"/>
  <c r="X160" i="11"/>
  <c r="W160" i="11"/>
  <c r="V160" i="11"/>
  <c r="N160" i="11"/>
  <c r="Y160" i="11" s="1"/>
  <c r="X159" i="11"/>
  <c r="W159" i="11"/>
  <c r="V159" i="11"/>
  <c r="N159" i="11"/>
  <c r="Y159" i="11" s="1"/>
  <c r="X158" i="11"/>
  <c r="W158" i="11"/>
  <c r="V158" i="11"/>
  <c r="N158" i="11"/>
  <c r="Y158" i="11" s="1"/>
  <c r="X157" i="11"/>
  <c r="W157" i="11"/>
  <c r="V157" i="11"/>
  <c r="N157" i="11"/>
  <c r="X156" i="11"/>
  <c r="W156" i="11"/>
  <c r="V156" i="11"/>
  <c r="N156" i="11"/>
  <c r="Y156" i="11" s="1"/>
  <c r="X155" i="11"/>
  <c r="W155" i="11"/>
  <c r="V155" i="11"/>
  <c r="N155" i="11"/>
  <c r="Y155" i="11" s="1"/>
  <c r="X154" i="11"/>
  <c r="W154" i="11"/>
  <c r="V154" i="11"/>
  <c r="N154" i="11"/>
  <c r="Y154" i="11" s="1"/>
  <c r="X153" i="11"/>
  <c r="W153" i="11"/>
  <c r="V153" i="11"/>
  <c r="N153" i="11"/>
  <c r="X152" i="11"/>
  <c r="W152" i="11"/>
  <c r="V152" i="11"/>
  <c r="N152" i="11"/>
  <c r="Y152" i="11" s="1"/>
  <c r="X151" i="11"/>
  <c r="W151" i="11"/>
  <c r="V151" i="11"/>
  <c r="N151" i="11"/>
  <c r="Y151" i="11" s="1"/>
  <c r="X150" i="11"/>
  <c r="W150" i="11"/>
  <c r="V150" i="11"/>
  <c r="N150" i="11"/>
  <c r="Y150" i="11" s="1"/>
  <c r="X149" i="11"/>
  <c r="W149" i="11"/>
  <c r="V149" i="11"/>
  <c r="N149" i="11"/>
  <c r="X148" i="11"/>
  <c r="W148" i="11"/>
  <c r="V148" i="11"/>
  <c r="N148" i="11"/>
  <c r="Y148" i="11" s="1"/>
  <c r="X147" i="11"/>
  <c r="W147" i="11"/>
  <c r="V147" i="11"/>
  <c r="N147" i="11"/>
  <c r="Y147" i="11" s="1"/>
  <c r="X146" i="11"/>
  <c r="W146" i="11"/>
  <c r="V146" i="11"/>
  <c r="N146" i="11"/>
  <c r="Y146" i="11" s="1"/>
  <c r="X145" i="11"/>
  <c r="W145" i="11"/>
  <c r="V145" i="11"/>
  <c r="N145" i="11"/>
  <c r="X144" i="11"/>
  <c r="W144" i="11"/>
  <c r="V144" i="11"/>
  <c r="N144" i="11"/>
  <c r="Y144" i="11" s="1"/>
  <c r="X143" i="11"/>
  <c r="W143" i="11"/>
  <c r="V143" i="11"/>
  <c r="N143" i="11"/>
  <c r="Y143" i="11" s="1"/>
  <c r="X142" i="11"/>
  <c r="W142" i="11"/>
  <c r="V142" i="11"/>
  <c r="N142" i="11"/>
  <c r="Y142" i="11" s="1"/>
  <c r="X141" i="11"/>
  <c r="W141" i="11"/>
  <c r="V141" i="11"/>
  <c r="N141" i="11"/>
  <c r="X140" i="11"/>
  <c r="W140" i="11"/>
  <c r="V140" i="11"/>
  <c r="N140" i="11"/>
  <c r="Y140" i="11" s="1"/>
  <c r="X139" i="11"/>
  <c r="W139" i="11"/>
  <c r="V139" i="11"/>
  <c r="N139" i="11"/>
  <c r="Y139" i="11" s="1"/>
  <c r="X138" i="11"/>
  <c r="W138" i="11"/>
  <c r="V138" i="11"/>
  <c r="N138" i="11"/>
  <c r="Y138" i="11" s="1"/>
  <c r="X137" i="11"/>
  <c r="W137" i="11"/>
  <c r="V137" i="11"/>
  <c r="N137" i="11"/>
  <c r="X136" i="11"/>
  <c r="W136" i="11"/>
  <c r="V136" i="11"/>
  <c r="N136" i="11"/>
  <c r="Y136" i="11" s="1"/>
  <c r="X135" i="11"/>
  <c r="W135" i="11"/>
  <c r="V135" i="11"/>
  <c r="N135" i="11"/>
  <c r="Y135" i="11" s="1"/>
  <c r="X134" i="11"/>
  <c r="W134" i="11"/>
  <c r="V134" i="11"/>
  <c r="N134" i="11"/>
  <c r="Y134" i="11" s="1"/>
  <c r="X133" i="11"/>
  <c r="W133" i="11"/>
  <c r="V133" i="11"/>
  <c r="N133" i="11"/>
  <c r="X132" i="11"/>
  <c r="W132" i="11"/>
  <c r="V132" i="11"/>
  <c r="N132" i="11"/>
  <c r="Y132" i="11" s="1"/>
  <c r="X131" i="11"/>
  <c r="W131" i="11"/>
  <c r="V131" i="11"/>
  <c r="N131" i="11"/>
  <c r="Y131" i="11" s="1"/>
  <c r="X130" i="11"/>
  <c r="W130" i="11"/>
  <c r="V130" i="11"/>
  <c r="N130" i="11"/>
  <c r="Y130" i="11" s="1"/>
  <c r="X129" i="11"/>
  <c r="W129" i="11"/>
  <c r="V129" i="11"/>
  <c r="N129" i="11"/>
  <c r="X128" i="11"/>
  <c r="W128" i="11"/>
  <c r="V128" i="11"/>
  <c r="N128" i="11"/>
  <c r="Y128" i="11" s="1"/>
  <c r="X127" i="11"/>
  <c r="W127" i="11"/>
  <c r="V127" i="11"/>
  <c r="N127" i="11"/>
  <c r="Y127" i="11" s="1"/>
  <c r="X126" i="11"/>
  <c r="W126" i="11"/>
  <c r="V126" i="11"/>
  <c r="N126" i="11"/>
  <c r="Y126" i="11" s="1"/>
  <c r="X125" i="11"/>
  <c r="W125" i="11"/>
  <c r="V125" i="11"/>
  <c r="N125" i="11"/>
  <c r="X124" i="11"/>
  <c r="W124" i="11"/>
  <c r="V124" i="11"/>
  <c r="N124" i="11"/>
  <c r="Y124" i="11" s="1"/>
  <c r="X123" i="11"/>
  <c r="W123" i="11"/>
  <c r="V123" i="11"/>
  <c r="N123" i="11"/>
  <c r="Y123" i="11" s="1"/>
  <c r="X122" i="11"/>
  <c r="W122" i="11"/>
  <c r="V122" i="11"/>
  <c r="N122" i="11"/>
  <c r="Y122" i="11" s="1"/>
  <c r="X121" i="11"/>
  <c r="W121" i="11"/>
  <c r="V121" i="11"/>
  <c r="N121" i="11"/>
  <c r="X120" i="11"/>
  <c r="W120" i="11"/>
  <c r="V120" i="11"/>
  <c r="N120" i="11"/>
  <c r="Y120" i="11" s="1"/>
  <c r="X119" i="11"/>
  <c r="W119" i="11"/>
  <c r="V119" i="11"/>
  <c r="N119" i="11"/>
  <c r="Y119" i="11" s="1"/>
  <c r="X118" i="11"/>
  <c r="W118" i="11"/>
  <c r="V118" i="11"/>
  <c r="N118" i="11"/>
  <c r="Y118" i="11" s="1"/>
  <c r="X117" i="11"/>
  <c r="W117" i="11"/>
  <c r="V117" i="11"/>
  <c r="N117" i="11"/>
  <c r="X116" i="11"/>
  <c r="W116" i="11"/>
  <c r="V116" i="11"/>
  <c r="N116" i="11"/>
  <c r="Y116" i="11" s="1"/>
  <c r="X115" i="11"/>
  <c r="W115" i="11"/>
  <c r="V115" i="11"/>
  <c r="N115" i="11"/>
  <c r="Y115" i="11" s="1"/>
  <c r="X114" i="11"/>
  <c r="W114" i="11"/>
  <c r="V114" i="11"/>
  <c r="N114" i="11"/>
  <c r="Y114" i="11" s="1"/>
  <c r="X113" i="11"/>
  <c r="W113" i="11"/>
  <c r="V113" i="11"/>
  <c r="N113" i="11"/>
  <c r="X112" i="11"/>
  <c r="W112" i="11"/>
  <c r="V112" i="11"/>
  <c r="N112" i="11"/>
  <c r="Y112" i="11" s="1"/>
  <c r="X111" i="11"/>
  <c r="W111" i="11"/>
  <c r="V111" i="11"/>
  <c r="N111" i="11"/>
  <c r="Y111" i="11" s="1"/>
  <c r="X110" i="11"/>
  <c r="W110" i="11"/>
  <c r="V110" i="11"/>
  <c r="N110" i="11"/>
  <c r="Y110" i="11" s="1"/>
  <c r="X109" i="11"/>
  <c r="W109" i="11"/>
  <c r="V109" i="11"/>
  <c r="N109" i="11"/>
  <c r="X108" i="11"/>
  <c r="W108" i="11"/>
  <c r="V108" i="11"/>
  <c r="N108" i="11"/>
  <c r="Y108" i="11" s="1"/>
  <c r="X107" i="11"/>
  <c r="W107" i="11"/>
  <c r="V107" i="11"/>
  <c r="N107" i="11"/>
  <c r="Y107" i="11" s="1"/>
  <c r="X106" i="11"/>
  <c r="W106" i="11"/>
  <c r="V106" i="11"/>
  <c r="N106" i="11"/>
  <c r="Y106" i="11" s="1"/>
  <c r="X105" i="11"/>
  <c r="W105" i="11"/>
  <c r="V105" i="11"/>
  <c r="N105" i="11"/>
  <c r="X104" i="11"/>
  <c r="W104" i="11"/>
  <c r="V104" i="11"/>
  <c r="N104" i="11"/>
  <c r="Y104" i="11" s="1"/>
  <c r="X103" i="11"/>
  <c r="W103" i="11"/>
  <c r="V103" i="11"/>
  <c r="N103" i="11"/>
  <c r="Y103" i="11" s="1"/>
  <c r="X102" i="11"/>
  <c r="W102" i="11"/>
  <c r="V102" i="11"/>
  <c r="N102" i="11"/>
  <c r="Y102" i="11" s="1"/>
  <c r="X101" i="11"/>
  <c r="W101" i="11"/>
  <c r="V101" i="11"/>
  <c r="N101" i="11"/>
  <c r="X100" i="11"/>
  <c r="W100" i="11"/>
  <c r="V100" i="11"/>
  <c r="N100" i="11"/>
  <c r="Y100" i="11" s="1"/>
  <c r="X99" i="11"/>
  <c r="W99" i="11"/>
  <c r="V99" i="11"/>
  <c r="N99" i="11"/>
  <c r="Y99" i="11" s="1"/>
  <c r="X98" i="11"/>
  <c r="W98" i="11"/>
  <c r="V98" i="11"/>
  <c r="N98" i="11"/>
  <c r="Y98" i="11" s="1"/>
  <c r="X97" i="11"/>
  <c r="W97" i="11"/>
  <c r="V97" i="11"/>
  <c r="N97" i="11"/>
  <c r="X96" i="11"/>
  <c r="W96" i="11"/>
  <c r="V96" i="11"/>
  <c r="N96" i="11"/>
  <c r="Y96" i="11" s="1"/>
  <c r="X95" i="11"/>
  <c r="W95" i="11"/>
  <c r="V95" i="11"/>
  <c r="N95" i="11"/>
  <c r="Y95" i="11" s="1"/>
  <c r="X94" i="11"/>
  <c r="W94" i="11"/>
  <c r="V94" i="11"/>
  <c r="N94" i="11"/>
  <c r="Y94" i="11" s="1"/>
  <c r="X93" i="11"/>
  <c r="W93" i="11"/>
  <c r="V93" i="11"/>
  <c r="N93" i="11"/>
  <c r="X92" i="11"/>
  <c r="W92" i="11"/>
  <c r="V92" i="11"/>
  <c r="N92" i="11"/>
  <c r="Y92" i="11" s="1"/>
  <c r="X91" i="11"/>
  <c r="W91" i="11"/>
  <c r="V91" i="11"/>
  <c r="N91" i="11"/>
  <c r="Y91" i="11" s="1"/>
  <c r="X90" i="11"/>
  <c r="W90" i="11"/>
  <c r="V90" i="11"/>
  <c r="N90" i="11"/>
  <c r="Y90" i="11" s="1"/>
  <c r="X89" i="11"/>
  <c r="W89" i="11"/>
  <c r="V89" i="11"/>
  <c r="N89" i="11"/>
  <c r="X88" i="11"/>
  <c r="W88" i="11"/>
  <c r="V88" i="11"/>
  <c r="N88" i="11"/>
  <c r="Y88" i="11" s="1"/>
  <c r="X87" i="11"/>
  <c r="W87" i="11"/>
  <c r="V87" i="11"/>
  <c r="N87" i="11"/>
  <c r="Y87" i="11" s="1"/>
  <c r="X86" i="11"/>
  <c r="W86" i="11"/>
  <c r="V86" i="11"/>
  <c r="N86" i="11"/>
  <c r="Y86" i="11" s="1"/>
  <c r="X85" i="11"/>
  <c r="W85" i="11"/>
  <c r="V85" i="11"/>
  <c r="N85" i="11"/>
  <c r="X84" i="11"/>
  <c r="W84" i="11"/>
  <c r="V84" i="11"/>
  <c r="N84" i="11"/>
  <c r="Y84" i="11" s="1"/>
  <c r="X83" i="11"/>
  <c r="W83" i="11"/>
  <c r="V83" i="11"/>
  <c r="N83" i="11"/>
  <c r="Y83" i="11" s="1"/>
  <c r="X82" i="11"/>
  <c r="W82" i="11"/>
  <c r="V82" i="11"/>
  <c r="N82" i="11"/>
  <c r="Y82" i="11" s="1"/>
  <c r="X81" i="11"/>
  <c r="W81" i="11"/>
  <c r="V81" i="11"/>
  <c r="N81" i="11"/>
  <c r="X80" i="11"/>
  <c r="W80" i="11"/>
  <c r="V80" i="11"/>
  <c r="N80" i="11"/>
  <c r="Y80" i="11" s="1"/>
  <c r="X79" i="11"/>
  <c r="W79" i="11"/>
  <c r="V79" i="11"/>
  <c r="N79" i="11"/>
  <c r="Y79" i="11" s="1"/>
  <c r="X78" i="11"/>
  <c r="W78" i="11"/>
  <c r="V78" i="11"/>
  <c r="N78" i="11"/>
  <c r="Y78" i="11" s="1"/>
  <c r="X77" i="11"/>
  <c r="W77" i="11"/>
  <c r="V77" i="11"/>
  <c r="N77" i="11"/>
  <c r="X76" i="11"/>
  <c r="W76" i="11"/>
  <c r="V76" i="11"/>
  <c r="N76" i="11"/>
  <c r="Y76" i="11" s="1"/>
  <c r="X75" i="11"/>
  <c r="W75" i="11"/>
  <c r="V75" i="11"/>
  <c r="N75" i="11"/>
  <c r="Y75" i="11" s="1"/>
  <c r="X74" i="11"/>
  <c r="W74" i="11"/>
  <c r="V74" i="11"/>
  <c r="N74" i="11"/>
  <c r="Y74" i="11" s="1"/>
  <c r="X73" i="11"/>
  <c r="W73" i="11"/>
  <c r="V73" i="11"/>
  <c r="N73" i="11"/>
  <c r="X72" i="11"/>
  <c r="W72" i="11"/>
  <c r="V72" i="11"/>
  <c r="N72" i="11"/>
  <c r="Y72" i="11" s="1"/>
  <c r="X71" i="11"/>
  <c r="W71" i="11"/>
  <c r="V71" i="11"/>
  <c r="N71" i="11"/>
  <c r="Y71" i="11" s="1"/>
  <c r="X70" i="11"/>
  <c r="W70" i="11"/>
  <c r="V70" i="11"/>
  <c r="N70" i="11"/>
  <c r="Y70" i="11" s="1"/>
  <c r="X69" i="11"/>
  <c r="W69" i="11"/>
  <c r="V69" i="11"/>
  <c r="N69" i="11"/>
  <c r="X68" i="11"/>
  <c r="W68" i="11"/>
  <c r="V68" i="11"/>
  <c r="N68" i="11"/>
  <c r="Y68" i="11" s="1"/>
  <c r="X67" i="11"/>
  <c r="W67" i="11"/>
  <c r="V67" i="11"/>
  <c r="N67" i="11"/>
  <c r="Y67" i="11" s="1"/>
  <c r="X66" i="11"/>
  <c r="W66" i="11"/>
  <c r="V66" i="11"/>
  <c r="N66" i="11"/>
  <c r="Y66" i="11" s="1"/>
  <c r="X65" i="11"/>
  <c r="W65" i="11"/>
  <c r="V65" i="11"/>
  <c r="N65" i="11"/>
  <c r="X64" i="11"/>
  <c r="W64" i="11"/>
  <c r="V64" i="11"/>
  <c r="N64" i="11"/>
  <c r="Y64" i="11" s="1"/>
  <c r="X63" i="11"/>
  <c r="W63" i="11"/>
  <c r="V63" i="11"/>
  <c r="N63" i="11"/>
  <c r="Y63" i="11" s="1"/>
  <c r="X62" i="11"/>
  <c r="W62" i="11"/>
  <c r="V62" i="11"/>
  <c r="N62" i="11"/>
  <c r="Y62" i="11" s="1"/>
  <c r="X61" i="11"/>
  <c r="W61" i="11"/>
  <c r="V61" i="11"/>
  <c r="N61" i="11"/>
  <c r="X60" i="11"/>
  <c r="W60" i="11"/>
  <c r="V60" i="11"/>
  <c r="N60" i="11"/>
  <c r="Y60" i="11" s="1"/>
  <c r="X59" i="11"/>
  <c r="W59" i="11"/>
  <c r="V59" i="11"/>
  <c r="N59" i="11"/>
  <c r="Y59" i="11" s="1"/>
  <c r="X58" i="11"/>
  <c r="W58" i="11"/>
  <c r="V58" i="11"/>
  <c r="N58" i="11"/>
  <c r="Y58" i="11" s="1"/>
  <c r="X57" i="11"/>
  <c r="W57" i="11"/>
  <c r="V57" i="11"/>
  <c r="N57" i="11"/>
  <c r="X56" i="11"/>
  <c r="W56" i="11"/>
  <c r="V56" i="11"/>
  <c r="N56" i="11"/>
  <c r="Y56" i="11" s="1"/>
  <c r="X55" i="11"/>
  <c r="W55" i="11"/>
  <c r="V55" i="11"/>
  <c r="N55" i="11"/>
  <c r="Y55" i="11" s="1"/>
  <c r="X54" i="11"/>
  <c r="W54" i="11"/>
  <c r="V54" i="11"/>
  <c r="N54" i="11"/>
  <c r="Y54" i="11" s="1"/>
  <c r="X53" i="11"/>
  <c r="W53" i="11"/>
  <c r="V53" i="11"/>
  <c r="N53" i="11"/>
  <c r="X52" i="11"/>
  <c r="W52" i="11"/>
  <c r="V52" i="11"/>
  <c r="N52" i="11"/>
  <c r="Y52" i="11" s="1"/>
  <c r="X51" i="11"/>
  <c r="W51" i="11"/>
  <c r="V51" i="11"/>
  <c r="N51" i="11"/>
  <c r="Y51" i="11" s="1"/>
  <c r="X50" i="11"/>
  <c r="W50" i="11"/>
  <c r="V50" i="11"/>
  <c r="N50" i="11"/>
  <c r="Y50" i="11" s="1"/>
  <c r="X49" i="11"/>
  <c r="W49" i="11"/>
  <c r="V49" i="11"/>
  <c r="N49" i="11"/>
  <c r="X48" i="11"/>
  <c r="W48" i="11"/>
  <c r="V48" i="11"/>
  <c r="N48" i="11"/>
  <c r="Y48" i="11" s="1"/>
  <c r="X47" i="11"/>
  <c r="W47" i="11"/>
  <c r="V47" i="11"/>
  <c r="N47" i="11"/>
  <c r="Y47" i="11" s="1"/>
  <c r="X46" i="11"/>
  <c r="W46" i="11"/>
  <c r="V46" i="11"/>
  <c r="N46" i="11"/>
  <c r="Y46" i="11" s="1"/>
  <c r="X45" i="11"/>
  <c r="W45" i="11"/>
  <c r="V45" i="11"/>
  <c r="N45" i="11"/>
  <c r="X44" i="11"/>
  <c r="W44" i="11"/>
  <c r="V44" i="11"/>
  <c r="N44" i="11"/>
  <c r="Y44" i="11" s="1"/>
  <c r="X43" i="11"/>
  <c r="W43" i="11"/>
  <c r="V43" i="11"/>
  <c r="N43" i="11"/>
  <c r="Y43" i="11" s="1"/>
  <c r="X42" i="11"/>
  <c r="W42" i="11"/>
  <c r="V42" i="11"/>
  <c r="N42" i="11"/>
  <c r="Y42" i="11" s="1"/>
  <c r="X41" i="11"/>
  <c r="W41" i="11"/>
  <c r="V41" i="11"/>
  <c r="N41" i="11"/>
  <c r="X40" i="11"/>
  <c r="W40" i="11"/>
  <c r="V40" i="11"/>
  <c r="N40" i="11"/>
  <c r="Y40" i="11" s="1"/>
  <c r="X39" i="11"/>
  <c r="W39" i="11"/>
  <c r="V39" i="11"/>
  <c r="N39" i="11"/>
  <c r="Y39" i="11" s="1"/>
  <c r="X38" i="11"/>
  <c r="W38" i="11"/>
  <c r="V38" i="11"/>
  <c r="N38" i="11"/>
  <c r="Y38" i="11" s="1"/>
  <c r="X37" i="11"/>
  <c r="W37" i="11"/>
  <c r="V37" i="11"/>
  <c r="N37" i="11"/>
  <c r="X36" i="11"/>
  <c r="W36" i="11"/>
  <c r="V36" i="11"/>
  <c r="N36" i="11"/>
  <c r="Y36" i="11" s="1"/>
  <c r="X35" i="11"/>
  <c r="W35" i="11"/>
  <c r="V35" i="11"/>
  <c r="N35" i="11"/>
  <c r="Y35" i="11" s="1"/>
  <c r="X34" i="11"/>
  <c r="W34" i="11"/>
  <c r="V34" i="11"/>
  <c r="N34" i="11"/>
  <c r="Y34" i="11" s="1"/>
  <c r="X33" i="11"/>
  <c r="W33" i="11"/>
  <c r="V33" i="11"/>
  <c r="N33" i="11"/>
  <c r="X32" i="11"/>
  <c r="W32" i="11"/>
  <c r="V32" i="11"/>
  <c r="N32" i="11"/>
  <c r="Y32" i="11" s="1"/>
  <c r="X31" i="11"/>
  <c r="W31" i="11"/>
  <c r="V31" i="11"/>
  <c r="N31" i="11"/>
  <c r="Y31" i="11" s="1"/>
  <c r="X30" i="11"/>
  <c r="W30" i="11"/>
  <c r="V30" i="11"/>
  <c r="N30" i="11"/>
  <c r="Y30" i="11" s="1"/>
  <c r="X29" i="11"/>
  <c r="W29" i="11"/>
  <c r="V29" i="11"/>
  <c r="N29" i="11"/>
  <c r="X28" i="11"/>
  <c r="W28" i="11"/>
  <c r="V28" i="11"/>
  <c r="N28" i="11"/>
  <c r="Y28" i="11" s="1"/>
  <c r="X27" i="11"/>
  <c r="W27" i="11"/>
  <c r="V27" i="11"/>
  <c r="N27" i="11"/>
  <c r="Y27" i="11" s="1"/>
  <c r="X26" i="11"/>
  <c r="W26" i="11"/>
  <c r="V26" i="11"/>
  <c r="N26" i="11"/>
  <c r="Y26" i="11" s="1"/>
  <c r="X25" i="11"/>
  <c r="W25" i="11"/>
  <c r="V25" i="11"/>
  <c r="N25" i="11"/>
  <c r="X24" i="11"/>
  <c r="W24" i="11"/>
  <c r="V24" i="11"/>
  <c r="N24" i="11"/>
  <c r="Y24" i="11" s="1"/>
  <c r="X23" i="11"/>
  <c r="W23" i="11"/>
  <c r="V23" i="11"/>
  <c r="N23" i="11"/>
  <c r="X22" i="11"/>
  <c r="W22" i="11"/>
  <c r="V22" i="11"/>
  <c r="N22" i="11"/>
  <c r="X21" i="11"/>
  <c r="W21" i="11"/>
  <c r="V21" i="11"/>
  <c r="N21" i="11"/>
  <c r="X20" i="11"/>
  <c r="W20" i="11"/>
  <c r="V20" i="11"/>
  <c r="N20" i="11"/>
  <c r="X19" i="11"/>
  <c r="W19" i="11"/>
  <c r="V19" i="11"/>
  <c r="N19" i="11"/>
  <c r="X18" i="11"/>
  <c r="W18" i="11"/>
  <c r="V18" i="11"/>
  <c r="N18" i="11"/>
  <c r="Y18" i="11" s="1"/>
  <c r="X17" i="11"/>
  <c r="W17" i="11"/>
  <c r="V17" i="11"/>
  <c r="N17" i="11"/>
  <c r="X16" i="11"/>
  <c r="W16" i="11"/>
  <c r="V16" i="11"/>
  <c r="N16" i="11"/>
  <c r="X15" i="11"/>
  <c r="W15" i="11"/>
  <c r="V15" i="11"/>
  <c r="N15" i="11"/>
  <c r="X14" i="11"/>
  <c r="W14" i="11"/>
  <c r="V14" i="11"/>
  <c r="N14" i="11"/>
  <c r="X13" i="11"/>
  <c r="W13" i="11"/>
  <c r="V13" i="11"/>
  <c r="N13" i="11"/>
  <c r="X12" i="11"/>
  <c r="W12" i="11"/>
  <c r="V12" i="11"/>
  <c r="N12" i="11"/>
  <c r="X11" i="11"/>
  <c r="W11" i="11"/>
  <c r="V11" i="11"/>
  <c r="N11" i="11"/>
  <c r="X10" i="11"/>
  <c r="W10" i="11"/>
  <c r="V10" i="11"/>
  <c r="N10" i="11"/>
  <c r="X9" i="11"/>
  <c r="W9" i="11"/>
  <c r="V9" i="11"/>
  <c r="N9" i="11"/>
  <c r="X8" i="11"/>
  <c r="W8" i="11"/>
  <c r="V8" i="11"/>
  <c r="N8" i="11"/>
  <c r="X7" i="11"/>
  <c r="W7" i="11"/>
  <c r="V7" i="11"/>
  <c r="N7" i="11"/>
  <c r="X6" i="11"/>
  <c r="W6" i="11"/>
  <c r="V6" i="11"/>
  <c r="N6" i="11"/>
  <c r="H650" i="11"/>
  <c r="E650" i="11"/>
  <c r="F650" i="11" s="1"/>
  <c r="D650" i="11"/>
  <c r="C650" i="11"/>
  <c r="B650" i="11"/>
  <c r="A650" i="11"/>
  <c r="H649" i="11"/>
  <c r="E649" i="11"/>
  <c r="F649" i="11" s="1"/>
  <c r="D649" i="11"/>
  <c r="C649" i="11"/>
  <c r="B649" i="11"/>
  <c r="A649" i="11"/>
  <c r="H648" i="11"/>
  <c r="E648" i="11"/>
  <c r="F648" i="11" s="1"/>
  <c r="D648" i="11"/>
  <c r="C648" i="11"/>
  <c r="B648" i="11"/>
  <c r="A648" i="11"/>
  <c r="H647" i="11"/>
  <c r="E647" i="11"/>
  <c r="F647" i="11" s="1"/>
  <c r="D647" i="11"/>
  <c r="C647" i="11"/>
  <c r="B647" i="11"/>
  <c r="A647" i="11"/>
  <c r="H646" i="11"/>
  <c r="E646" i="11"/>
  <c r="F646" i="11" s="1"/>
  <c r="D646" i="11"/>
  <c r="C646" i="11"/>
  <c r="B646" i="11"/>
  <c r="A646" i="11"/>
  <c r="H645" i="11"/>
  <c r="E645" i="11"/>
  <c r="F645" i="11" s="1"/>
  <c r="D645" i="11"/>
  <c r="C645" i="11"/>
  <c r="B645" i="11"/>
  <c r="A645" i="11"/>
  <c r="H644" i="11"/>
  <c r="E644" i="11"/>
  <c r="F644" i="11" s="1"/>
  <c r="D644" i="11"/>
  <c r="C644" i="11"/>
  <c r="B644" i="11"/>
  <c r="A644" i="11"/>
  <c r="H643" i="11"/>
  <c r="E643" i="11"/>
  <c r="F643" i="11" s="1"/>
  <c r="D643" i="11"/>
  <c r="C643" i="11"/>
  <c r="B643" i="11"/>
  <c r="A643" i="11"/>
  <c r="H642" i="11"/>
  <c r="E642" i="11"/>
  <c r="F642" i="11" s="1"/>
  <c r="D642" i="11"/>
  <c r="C642" i="11"/>
  <c r="B642" i="11"/>
  <c r="A642" i="11"/>
  <c r="H641" i="11"/>
  <c r="E641" i="11"/>
  <c r="F641" i="11" s="1"/>
  <c r="D641" i="11"/>
  <c r="C641" i="11"/>
  <c r="B641" i="11"/>
  <c r="A641" i="11"/>
  <c r="H640" i="11"/>
  <c r="E640" i="11"/>
  <c r="F640" i="11" s="1"/>
  <c r="D640" i="11"/>
  <c r="C640" i="11"/>
  <c r="B640" i="11"/>
  <c r="A640" i="11"/>
  <c r="H639" i="11"/>
  <c r="E639" i="11"/>
  <c r="F639" i="11" s="1"/>
  <c r="D639" i="11"/>
  <c r="C639" i="11"/>
  <c r="B639" i="11"/>
  <c r="A639" i="11"/>
  <c r="H638" i="11"/>
  <c r="E638" i="11"/>
  <c r="F638" i="11" s="1"/>
  <c r="D638" i="11"/>
  <c r="C638" i="11"/>
  <c r="B638" i="11"/>
  <c r="A638" i="11"/>
  <c r="H637" i="11"/>
  <c r="E637" i="11"/>
  <c r="F637" i="11" s="1"/>
  <c r="D637" i="11"/>
  <c r="C637" i="11"/>
  <c r="B637" i="11"/>
  <c r="A637" i="11"/>
  <c r="H636" i="11"/>
  <c r="E636" i="11"/>
  <c r="F636" i="11" s="1"/>
  <c r="D636" i="11"/>
  <c r="C636" i="11"/>
  <c r="B636" i="11"/>
  <c r="A636" i="11"/>
  <c r="H635" i="11"/>
  <c r="E635" i="11"/>
  <c r="F635" i="11" s="1"/>
  <c r="D635" i="11"/>
  <c r="C635" i="11"/>
  <c r="B635" i="11"/>
  <c r="A635" i="11"/>
  <c r="H634" i="11"/>
  <c r="E634" i="11"/>
  <c r="F634" i="11" s="1"/>
  <c r="D634" i="11"/>
  <c r="C634" i="11"/>
  <c r="B634" i="11"/>
  <c r="A634" i="11"/>
  <c r="H633" i="11"/>
  <c r="E633" i="11"/>
  <c r="F633" i="11" s="1"/>
  <c r="D633" i="11"/>
  <c r="C633" i="11"/>
  <c r="B633" i="11"/>
  <c r="A633" i="11"/>
  <c r="H632" i="11"/>
  <c r="E632" i="11"/>
  <c r="F632" i="11" s="1"/>
  <c r="D632" i="11"/>
  <c r="C632" i="11"/>
  <c r="B632" i="11"/>
  <c r="A632" i="11"/>
  <c r="H631" i="11"/>
  <c r="E631" i="11"/>
  <c r="F631" i="11" s="1"/>
  <c r="D631" i="11"/>
  <c r="C631" i="11"/>
  <c r="B631" i="11"/>
  <c r="A631" i="11"/>
  <c r="H630" i="11"/>
  <c r="E630" i="11"/>
  <c r="F630" i="11" s="1"/>
  <c r="D630" i="11"/>
  <c r="C630" i="11"/>
  <c r="B630" i="11"/>
  <c r="A630" i="11"/>
  <c r="H629" i="11"/>
  <c r="E629" i="11"/>
  <c r="F629" i="11" s="1"/>
  <c r="D629" i="11"/>
  <c r="C629" i="11"/>
  <c r="B629" i="11"/>
  <c r="A629" i="11"/>
  <c r="H628" i="11"/>
  <c r="E628" i="11"/>
  <c r="F628" i="11" s="1"/>
  <c r="D628" i="11"/>
  <c r="C628" i="11"/>
  <c r="B628" i="11"/>
  <c r="A628" i="11"/>
  <c r="H627" i="11"/>
  <c r="E627" i="11"/>
  <c r="F627" i="11" s="1"/>
  <c r="D627" i="11"/>
  <c r="C627" i="11"/>
  <c r="B627" i="11"/>
  <c r="A627" i="11"/>
  <c r="H626" i="11"/>
  <c r="E626" i="11"/>
  <c r="F626" i="11" s="1"/>
  <c r="D626" i="11"/>
  <c r="C626" i="11"/>
  <c r="B626" i="11"/>
  <c r="A626" i="11"/>
  <c r="H625" i="11"/>
  <c r="E625" i="11"/>
  <c r="F625" i="11" s="1"/>
  <c r="D625" i="11"/>
  <c r="C625" i="11"/>
  <c r="B625" i="11"/>
  <c r="A625" i="11"/>
  <c r="H624" i="11"/>
  <c r="E624" i="11"/>
  <c r="F624" i="11" s="1"/>
  <c r="D624" i="11"/>
  <c r="C624" i="11"/>
  <c r="B624" i="11"/>
  <c r="A624" i="11"/>
  <c r="H623" i="11"/>
  <c r="E623" i="11"/>
  <c r="F623" i="11" s="1"/>
  <c r="D623" i="11"/>
  <c r="C623" i="11"/>
  <c r="B623" i="11"/>
  <c r="A623" i="11"/>
  <c r="H622" i="11"/>
  <c r="E622" i="11"/>
  <c r="F622" i="11" s="1"/>
  <c r="D622" i="11"/>
  <c r="C622" i="11"/>
  <c r="B622" i="11"/>
  <c r="A622" i="11"/>
  <c r="H621" i="11"/>
  <c r="E621" i="11"/>
  <c r="F621" i="11" s="1"/>
  <c r="D621" i="11"/>
  <c r="C621" i="11"/>
  <c r="B621" i="11"/>
  <c r="A621" i="11"/>
  <c r="H620" i="11"/>
  <c r="E620" i="11"/>
  <c r="F620" i="11" s="1"/>
  <c r="D620" i="11"/>
  <c r="C620" i="11"/>
  <c r="B620" i="11"/>
  <c r="A620" i="11"/>
  <c r="H619" i="11"/>
  <c r="E619" i="11"/>
  <c r="F619" i="11" s="1"/>
  <c r="D619" i="11"/>
  <c r="C619" i="11"/>
  <c r="B619" i="11"/>
  <c r="A619" i="11"/>
  <c r="H618" i="11"/>
  <c r="E618" i="11"/>
  <c r="F618" i="11" s="1"/>
  <c r="D618" i="11"/>
  <c r="C618" i="11"/>
  <c r="B618" i="11"/>
  <c r="A618" i="11"/>
  <c r="H617" i="11"/>
  <c r="E617" i="11"/>
  <c r="F617" i="11" s="1"/>
  <c r="D617" i="11"/>
  <c r="C617" i="11"/>
  <c r="B617" i="11"/>
  <c r="A617" i="11"/>
  <c r="H616" i="11"/>
  <c r="E616" i="11"/>
  <c r="F616" i="11" s="1"/>
  <c r="D616" i="11"/>
  <c r="C616" i="11"/>
  <c r="B616" i="11"/>
  <c r="A616" i="11"/>
  <c r="H615" i="11"/>
  <c r="E615" i="11"/>
  <c r="F615" i="11" s="1"/>
  <c r="D615" i="11"/>
  <c r="C615" i="11"/>
  <c r="B615" i="11"/>
  <c r="A615" i="11"/>
  <c r="H614" i="11"/>
  <c r="E614" i="11"/>
  <c r="F614" i="11" s="1"/>
  <c r="D614" i="11"/>
  <c r="C614" i="11"/>
  <c r="B614" i="11"/>
  <c r="A614" i="11"/>
  <c r="H613" i="11"/>
  <c r="E613" i="11"/>
  <c r="F613" i="11" s="1"/>
  <c r="D613" i="11"/>
  <c r="C613" i="11"/>
  <c r="B613" i="11"/>
  <c r="A613" i="11"/>
  <c r="H612" i="11"/>
  <c r="E612" i="11"/>
  <c r="F612" i="11" s="1"/>
  <c r="D612" i="11"/>
  <c r="C612" i="11"/>
  <c r="B612" i="11"/>
  <c r="A612" i="11"/>
  <c r="H611" i="11"/>
  <c r="E611" i="11"/>
  <c r="F611" i="11" s="1"/>
  <c r="D611" i="11"/>
  <c r="C611" i="11"/>
  <c r="B611" i="11"/>
  <c r="A611" i="11"/>
  <c r="H610" i="11"/>
  <c r="E610" i="11"/>
  <c r="F610" i="11" s="1"/>
  <c r="D610" i="11"/>
  <c r="C610" i="11"/>
  <c r="B610" i="11"/>
  <c r="A610" i="11"/>
  <c r="H609" i="11"/>
  <c r="E609" i="11"/>
  <c r="F609" i="11" s="1"/>
  <c r="D609" i="11"/>
  <c r="C609" i="11"/>
  <c r="B609" i="11"/>
  <c r="A609" i="11"/>
  <c r="H608" i="11"/>
  <c r="E608" i="11"/>
  <c r="F608" i="11" s="1"/>
  <c r="D608" i="11"/>
  <c r="C608" i="11"/>
  <c r="B608" i="11"/>
  <c r="A608" i="11"/>
  <c r="H607" i="11"/>
  <c r="E607" i="11"/>
  <c r="F607" i="11" s="1"/>
  <c r="D607" i="11"/>
  <c r="C607" i="11"/>
  <c r="B607" i="11"/>
  <c r="A607" i="11"/>
  <c r="H606" i="11"/>
  <c r="E606" i="11"/>
  <c r="F606" i="11" s="1"/>
  <c r="D606" i="11"/>
  <c r="C606" i="11"/>
  <c r="B606" i="11"/>
  <c r="A606" i="11"/>
  <c r="H605" i="11"/>
  <c r="E605" i="11"/>
  <c r="F605" i="11" s="1"/>
  <c r="D605" i="11"/>
  <c r="C605" i="11"/>
  <c r="B605" i="11"/>
  <c r="A605" i="11"/>
  <c r="H604" i="11"/>
  <c r="E604" i="11"/>
  <c r="F604" i="11" s="1"/>
  <c r="D604" i="11"/>
  <c r="C604" i="11"/>
  <c r="B604" i="11"/>
  <c r="A604" i="11"/>
  <c r="H603" i="11"/>
  <c r="E603" i="11"/>
  <c r="F603" i="11" s="1"/>
  <c r="D603" i="11"/>
  <c r="C603" i="11"/>
  <c r="B603" i="11"/>
  <c r="A603" i="11"/>
  <c r="H602" i="11"/>
  <c r="E602" i="11"/>
  <c r="F602" i="11" s="1"/>
  <c r="D602" i="11"/>
  <c r="C602" i="11"/>
  <c r="B602" i="11"/>
  <c r="A602" i="11"/>
  <c r="H601" i="11"/>
  <c r="E601" i="11"/>
  <c r="F601" i="11" s="1"/>
  <c r="D601" i="11"/>
  <c r="C601" i="11"/>
  <c r="B601" i="11"/>
  <c r="A601" i="11"/>
  <c r="H600" i="11"/>
  <c r="E600" i="11"/>
  <c r="F600" i="11" s="1"/>
  <c r="D600" i="11"/>
  <c r="C600" i="11"/>
  <c r="B600" i="11"/>
  <c r="A600" i="11"/>
  <c r="H599" i="11"/>
  <c r="E599" i="11"/>
  <c r="F599" i="11" s="1"/>
  <c r="D599" i="11"/>
  <c r="C599" i="11"/>
  <c r="B599" i="11"/>
  <c r="A599" i="11"/>
  <c r="H598" i="11"/>
  <c r="E598" i="11"/>
  <c r="F598" i="11" s="1"/>
  <c r="D598" i="11"/>
  <c r="C598" i="11"/>
  <c r="B598" i="11"/>
  <c r="A598" i="11"/>
  <c r="H597" i="11"/>
  <c r="E597" i="11"/>
  <c r="F597" i="11" s="1"/>
  <c r="D597" i="11"/>
  <c r="C597" i="11"/>
  <c r="B597" i="11"/>
  <c r="A597" i="11"/>
  <c r="H596" i="11"/>
  <c r="E596" i="11"/>
  <c r="F596" i="11" s="1"/>
  <c r="D596" i="11"/>
  <c r="C596" i="11"/>
  <c r="B596" i="11"/>
  <c r="A596" i="11"/>
  <c r="H595" i="11"/>
  <c r="E595" i="11"/>
  <c r="F595" i="11" s="1"/>
  <c r="D595" i="11"/>
  <c r="C595" i="11"/>
  <c r="B595" i="11"/>
  <c r="A595" i="11"/>
  <c r="H594" i="11"/>
  <c r="E594" i="11"/>
  <c r="F594" i="11" s="1"/>
  <c r="D594" i="11"/>
  <c r="C594" i="11"/>
  <c r="B594" i="11"/>
  <c r="A594" i="11"/>
  <c r="H593" i="11"/>
  <c r="E593" i="11"/>
  <c r="F593" i="11" s="1"/>
  <c r="D593" i="11"/>
  <c r="C593" i="11"/>
  <c r="B593" i="11"/>
  <c r="A593" i="11"/>
  <c r="H592" i="11"/>
  <c r="E592" i="11"/>
  <c r="F592" i="11" s="1"/>
  <c r="D592" i="11"/>
  <c r="C592" i="11"/>
  <c r="B592" i="11"/>
  <c r="A592" i="11"/>
  <c r="H591" i="11"/>
  <c r="E591" i="11"/>
  <c r="F591" i="11" s="1"/>
  <c r="D591" i="11"/>
  <c r="C591" i="11"/>
  <c r="B591" i="11"/>
  <c r="A591" i="11"/>
  <c r="H590" i="11"/>
  <c r="E590" i="11"/>
  <c r="F590" i="11" s="1"/>
  <c r="D590" i="11"/>
  <c r="C590" i="11"/>
  <c r="B590" i="11"/>
  <c r="A590" i="11"/>
  <c r="H589" i="11"/>
  <c r="E589" i="11"/>
  <c r="F589" i="11" s="1"/>
  <c r="D589" i="11"/>
  <c r="C589" i="11"/>
  <c r="B589" i="11"/>
  <c r="A589" i="11"/>
  <c r="H588" i="11"/>
  <c r="E588" i="11"/>
  <c r="F588" i="11" s="1"/>
  <c r="D588" i="11"/>
  <c r="C588" i="11"/>
  <c r="B588" i="11"/>
  <c r="A588" i="11"/>
  <c r="H587" i="11"/>
  <c r="E587" i="11"/>
  <c r="F587" i="11" s="1"/>
  <c r="D587" i="11"/>
  <c r="C587" i="11"/>
  <c r="B587" i="11"/>
  <c r="A587" i="11"/>
  <c r="H586" i="11"/>
  <c r="E586" i="11"/>
  <c r="F586" i="11" s="1"/>
  <c r="D586" i="11"/>
  <c r="C586" i="11"/>
  <c r="B586" i="11"/>
  <c r="A586" i="11"/>
  <c r="H585" i="11"/>
  <c r="E585" i="11"/>
  <c r="F585" i="11" s="1"/>
  <c r="D585" i="11"/>
  <c r="C585" i="11"/>
  <c r="B585" i="11"/>
  <c r="A585" i="11"/>
  <c r="H584" i="11"/>
  <c r="E584" i="11"/>
  <c r="F584" i="11" s="1"/>
  <c r="D584" i="11"/>
  <c r="C584" i="11"/>
  <c r="B584" i="11"/>
  <c r="A584" i="11"/>
  <c r="H583" i="11"/>
  <c r="E583" i="11"/>
  <c r="F583" i="11" s="1"/>
  <c r="D583" i="11"/>
  <c r="C583" i="11"/>
  <c r="B583" i="11"/>
  <c r="A583" i="11"/>
  <c r="H582" i="11"/>
  <c r="E582" i="11"/>
  <c r="F582" i="11" s="1"/>
  <c r="D582" i="11"/>
  <c r="C582" i="11"/>
  <c r="B582" i="11"/>
  <c r="A582" i="11"/>
  <c r="H581" i="11"/>
  <c r="E581" i="11"/>
  <c r="F581" i="11" s="1"/>
  <c r="D581" i="11"/>
  <c r="C581" i="11"/>
  <c r="B581" i="11"/>
  <c r="A581" i="11"/>
  <c r="H580" i="11"/>
  <c r="E580" i="11"/>
  <c r="F580" i="11" s="1"/>
  <c r="D580" i="11"/>
  <c r="C580" i="11"/>
  <c r="B580" i="11"/>
  <c r="A580" i="11"/>
  <c r="H579" i="11"/>
  <c r="E579" i="11"/>
  <c r="F579" i="11" s="1"/>
  <c r="D579" i="11"/>
  <c r="C579" i="11"/>
  <c r="B579" i="11"/>
  <c r="A579" i="11"/>
  <c r="H578" i="11"/>
  <c r="E578" i="11"/>
  <c r="F578" i="11" s="1"/>
  <c r="D578" i="11"/>
  <c r="C578" i="11"/>
  <c r="B578" i="11"/>
  <c r="A578" i="11"/>
  <c r="H577" i="11"/>
  <c r="E577" i="11"/>
  <c r="F577" i="11" s="1"/>
  <c r="D577" i="11"/>
  <c r="C577" i="11"/>
  <c r="B577" i="11"/>
  <c r="A577" i="11"/>
  <c r="H576" i="11"/>
  <c r="E576" i="11"/>
  <c r="F576" i="11" s="1"/>
  <c r="D576" i="11"/>
  <c r="C576" i="11"/>
  <c r="B576" i="11"/>
  <c r="A576" i="11"/>
  <c r="H575" i="11"/>
  <c r="E575" i="11"/>
  <c r="F575" i="11" s="1"/>
  <c r="D575" i="11"/>
  <c r="C575" i="11"/>
  <c r="B575" i="11"/>
  <c r="A575" i="11"/>
  <c r="H574" i="11"/>
  <c r="E574" i="11"/>
  <c r="F574" i="11" s="1"/>
  <c r="D574" i="11"/>
  <c r="C574" i="11"/>
  <c r="B574" i="11"/>
  <c r="A574" i="11"/>
  <c r="H573" i="11"/>
  <c r="E573" i="11"/>
  <c r="F573" i="11" s="1"/>
  <c r="D573" i="11"/>
  <c r="C573" i="11"/>
  <c r="B573" i="11"/>
  <c r="A573" i="11"/>
  <c r="H572" i="11"/>
  <c r="E572" i="11"/>
  <c r="F572" i="11" s="1"/>
  <c r="D572" i="11"/>
  <c r="C572" i="11"/>
  <c r="B572" i="11"/>
  <c r="A572" i="11"/>
  <c r="H571" i="11"/>
  <c r="E571" i="11"/>
  <c r="F571" i="11" s="1"/>
  <c r="D571" i="11"/>
  <c r="C571" i="11"/>
  <c r="B571" i="11"/>
  <c r="A571" i="11"/>
  <c r="H570" i="11"/>
  <c r="E570" i="11"/>
  <c r="F570" i="11" s="1"/>
  <c r="D570" i="11"/>
  <c r="C570" i="11"/>
  <c r="B570" i="11"/>
  <c r="A570" i="11"/>
  <c r="H569" i="11"/>
  <c r="E569" i="11"/>
  <c r="F569" i="11" s="1"/>
  <c r="D569" i="11"/>
  <c r="C569" i="11"/>
  <c r="B569" i="11"/>
  <c r="A569" i="11"/>
  <c r="H568" i="11"/>
  <c r="E568" i="11"/>
  <c r="F568" i="11" s="1"/>
  <c r="D568" i="11"/>
  <c r="C568" i="11"/>
  <c r="B568" i="11"/>
  <c r="A568" i="11"/>
  <c r="H567" i="11"/>
  <c r="E567" i="11"/>
  <c r="F567" i="11" s="1"/>
  <c r="D567" i="11"/>
  <c r="C567" i="11"/>
  <c r="B567" i="11"/>
  <c r="A567" i="11"/>
  <c r="H566" i="11"/>
  <c r="E566" i="11"/>
  <c r="F566" i="11" s="1"/>
  <c r="D566" i="11"/>
  <c r="C566" i="11"/>
  <c r="B566" i="11"/>
  <c r="A566" i="11"/>
  <c r="H565" i="11"/>
  <c r="E565" i="11"/>
  <c r="F565" i="11" s="1"/>
  <c r="D565" i="11"/>
  <c r="C565" i="11"/>
  <c r="B565" i="11"/>
  <c r="A565" i="11"/>
  <c r="H564" i="11"/>
  <c r="E564" i="11"/>
  <c r="F564" i="11" s="1"/>
  <c r="D564" i="11"/>
  <c r="C564" i="11"/>
  <c r="B564" i="11"/>
  <c r="A564" i="11"/>
  <c r="H563" i="11"/>
  <c r="E563" i="11"/>
  <c r="F563" i="11" s="1"/>
  <c r="D563" i="11"/>
  <c r="C563" i="11"/>
  <c r="B563" i="11"/>
  <c r="A563" i="11"/>
  <c r="H562" i="11"/>
  <c r="E562" i="11"/>
  <c r="F562" i="11" s="1"/>
  <c r="D562" i="11"/>
  <c r="C562" i="11"/>
  <c r="B562" i="11"/>
  <c r="A562" i="11"/>
  <c r="H561" i="11"/>
  <c r="E561" i="11"/>
  <c r="F561" i="11" s="1"/>
  <c r="D561" i="11"/>
  <c r="C561" i="11"/>
  <c r="B561" i="11"/>
  <c r="A561" i="11"/>
  <c r="H560" i="11"/>
  <c r="E560" i="11"/>
  <c r="F560" i="11" s="1"/>
  <c r="D560" i="11"/>
  <c r="C560" i="11"/>
  <c r="B560" i="11"/>
  <c r="A560" i="11"/>
  <c r="H559" i="11"/>
  <c r="E559" i="11"/>
  <c r="F559" i="11" s="1"/>
  <c r="D559" i="11"/>
  <c r="C559" i="11"/>
  <c r="B559" i="11"/>
  <c r="A559" i="11"/>
  <c r="H558" i="11"/>
  <c r="E558" i="11"/>
  <c r="F558" i="11" s="1"/>
  <c r="D558" i="11"/>
  <c r="C558" i="11"/>
  <c r="B558" i="11"/>
  <c r="A558" i="11"/>
  <c r="H557" i="11"/>
  <c r="E557" i="11"/>
  <c r="F557" i="11" s="1"/>
  <c r="D557" i="11"/>
  <c r="C557" i="11"/>
  <c r="B557" i="11"/>
  <c r="A557" i="11"/>
  <c r="H556" i="11"/>
  <c r="E556" i="11"/>
  <c r="F556" i="11" s="1"/>
  <c r="D556" i="11"/>
  <c r="C556" i="11"/>
  <c r="B556" i="11"/>
  <c r="A556" i="11"/>
  <c r="H555" i="11"/>
  <c r="E555" i="11"/>
  <c r="F555" i="11" s="1"/>
  <c r="D555" i="11"/>
  <c r="C555" i="11"/>
  <c r="B555" i="11"/>
  <c r="A555" i="11"/>
  <c r="H554" i="11"/>
  <c r="E554" i="11"/>
  <c r="F554" i="11" s="1"/>
  <c r="D554" i="11"/>
  <c r="C554" i="11"/>
  <c r="B554" i="11"/>
  <c r="A554" i="11"/>
  <c r="H553" i="11"/>
  <c r="E553" i="11"/>
  <c r="F553" i="11" s="1"/>
  <c r="D553" i="11"/>
  <c r="C553" i="11"/>
  <c r="B553" i="11"/>
  <c r="A553" i="11"/>
  <c r="H552" i="11"/>
  <c r="E552" i="11"/>
  <c r="F552" i="11" s="1"/>
  <c r="D552" i="11"/>
  <c r="C552" i="11"/>
  <c r="B552" i="11"/>
  <c r="A552" i="11"/>
  <c r="H551" i="11"/>
  <c r="E551" i="11"/>
  <c r="F551" i="11" s="1"/>
  <c r="D551" i="11"/>
  <c r="C551" i="11"/>
  <c r="B551" i="11"/>
  <c r="A551" i="11"/>
  <c r="H550" i="11"/>
  <c r="E550" i="11"/>
  <c r="F550" i="11" s="1"/>
  <c r="D550" i="11"/>
  <c r="C550" i="11"/>
  <c r="B550" i="11"/>
  <c r="A550" i="11"/>
  <c r="H549" i="11"/>
  <c r="E549" i="11"/>
  <c r="F549" i="11" s="1"/>
  <c r="D549" i="11"/>
  <c r="C549" i="11"/>
  <c r="B549" i="11"/>
  <c r="A549" i="11"/>
  <c r="H548" i="11"/>
  <c r="E548" i="11"/>
  <c r="F548" i="11" s="1"/>
  <c r="D548" i="11"/>
  <c r="C548" i="11"/>
  <c r="B548" i="11"/>
  <c r="A548" i="11"/>
  <c r="H547" i="11"/>
  <c r="E547" i="11"/>
  <c r="F547" i="11" s="1"/>
  <c r="D547" i="11"/>
  <c r="C547" i="11"/>
  <c r="B547" i="11"/>
  <c r="A547" i="11"/>
  <c r="H546" i="11"/>
  <c r="E546" i="11"/>
  <c r="F546" i="11" s="1"/>
  <c r="D546" i="11"/>
  <c r="C546" i="11"/>
  <c r="B546" i="11"/>
  <c r="A546" i="11"/>
  <c r="H545" i="11"/>
  <c r="E545" i="11"/>
  <c r="F545" i="11" s="1"/>
  <c r="D545" i="11"/>
  <c r="C545" i="11"/>
  <c r="B545" i="11"/>
  <c r="A545" i="11"/>
  <c r="H544" i="11"/>
  <c r="E544" i="11"/>
  <c r="F544" i="11" s="1"/>
  <c r="D544" i="11"/>
  <c r="C544" i="11"/>
  <c r="B544" i="11"/>
  <c r="A544" i="11"/>
  <c r="H543" i="11"/>
  <c r="E543" i="11"/>
  <c r="F543" i="11" s="1"/>
  <c r="D543" i="11"/>
  <c r="C543" i="11"/>
  <c r="B543" i="11"/>
  <c r="A543" i="11"/>
  <c r="H542" i="11"/>
  <c r="E542" i="11"/>
  <c r="F542" i="11" s="1"/>
  <c r="D542" i="11"/>
  <c r="C542" i="11"/>
  <c r="B542" i="11"/>
  <c r="A542" i="11"/>
  <c r="H541" i="11"/>
  <c r="E541" i="11"/>
  <c r="F541" i="11" s="1"/>
  <c r="D541" i="11"/>
  <c r="C541" i="11"/>
  <c r="B541" i="11"/>
  <c r="A541" i="11"/>
  <c r="H540" i="11"/>
  <c r="E540" i="11"/>
  <c r="F540" i="11" s="1"/>
  <c r="D540" i="11"/>
  <c r="C540" i="11"/>
  <c r="B540" i="11"/>
  <c r="A540" i="11"/>
  <c r="H539" i="11"/>
  <c r="E539" i="11"/>
  <c r="F539" i="11" s="1"/>
  <c r="D539" i="11"/>
  <c r="C539" i="11"/>
  <c r="B539" i="11"/>
  <c r="A539" i="11"/>
  <c r="H538" i="11"/>
  <c r="E538" i="11"/>
  <c r="F538" i="11" s="1"/>
  <c r="D538" i="11"/>
  <c r="C538" i="11"/>
  <c r="B538" i="11"/>
  <c r="A538" i="11"/>
  <c r="H537" i="11"/>
  <c r="E537" i="11"/>
  <c r="F537" i="11" s="1"/>
  <c r="D537" i="11"/>
  <c r="C537" i="11"/>
  <c r="B537" i="11"/>
  <c r="A537" i="11"/>
  <c r="H536" i="11"/>
  <c r="E536" i="11"/>
  <c r="F536" i="11" s="1"/>
  <c r="D536" i="11"/>
  <c r="C536" i="11"/>
  <c r="B536" i="11"/>
  <c r="A536" i="11"/>
  <c r="H535" i="11"/>
  <c r="E535" i="11"/>
  <c r="F535" i="11" s="1"/>
  <c r="D535" i="11"/>
  <c r="C535" i="11"/>
  <c r="B535" i="11"/>
  <c r="A535" i="11"/>
  <c r="H534" i="11"/>
  <c r="E534" i="11"/>
  <c r="F534" i="11" s="1"/>
  <c r="D534" i="11"/>
  <c r="C534" i="11"/>
  <c r="B534" i="11"/>
  <c r="A534" i="11"/>
  <c r="H533" i="11"/>
  <c r="E533" i="11"/>
  <c r="F533" i="11" s="1"/>
  <c r="D533" i="11"/>
  <c r="C533" i="11"/>
  <c r="B533" i="11"/>
  <c r="A533" i="11"/>
  <c r="H532" i="11"/>
  <c r="E532" i="11"/>
  <c r="F532" i="11" s="1"/>
  <c r="D532" i="11"/>
  <c r="C532" i="11"/>
  <c r="B532" i="11"/>
  <c r="A532" i="11"/>
  <c r="H531" i="11"/>
  <c r="E531" i="11"/>
  <c r="F531" i="11" s="1"/>
  <c r="D531" i="11"/>
  <c r="C531" i="11"/>
  <c r="B531" i="11"/>
  <c r="A531" i="11"/>
  <c r="H530" i="11"/>
  <c r="E530" i="11"/>
  <c r="F530" i="11" s="1"/>
  <c r="D530" i="11"/>
  <c r="C530" i="11"/>
  <c r="B530" i="11"/>
  <c r="A530" i="11"/>
  <c r="H529" i="11"/>
  <c r="E529" i="11"/>
  <c r="F529" i="11" s="1"/>
  <c r="D529" i="11"/>
  <c r="C529" i="11"/>
  <c r="B529" i="11"/>
  <c r="A529" i="11"/>
  <c r="H528" i="11"/>
  <c r="E528" i="11"/>
  <c r="F528" i="11" s="1"/>
  <c r="D528" i="11"/>
  <c r="C528" i="11"/>
  <c r="B528" i="11"/>
  <c r="A528" i="11"/>
  <c r="H527" i="11"/>
  <c r="E527" i="11"/>
  <c r="F527" i="11" s="1"/>
  <c r="D527" i="11"/>
  <c r="C527" i="11"/>
  <c r="B527" i="11"/>
  <c r="A527" i="11"/>
  <c r="H526" i="11"/>
  <c r="E526" i="11"/>
  <c r="F526" i="11" s="1"/>
  <c r="D526" i="11"/>
  <c r="C526" i="11"/>
  <c r="B526" i="11"/>
  <c r="A526" i="11"/>
  <c r="H525" i="11"/>
  <c r="E525" i="11"/>
  <c r="F525" i="11" s="1"/>
  <c r="D525" i="11"/>
  <c r="C525" i="11"/>
  <c r="B525" i="11"/>
  <c r="A525" i="11"/>
  <c r="H524" i="11"/>
  <c r="E524" i="11"/>
  <c r="F524" i="11" s="1"/>
  <c r="D524" i="11"/>
  <c r="C524" i="11"/>
  <c r="B524" i="11"/>
  <c r="A524" i="11"/>
  <c r="H523" i="11"/>
  <c r="E523" i="11"/>
  <c r="F523" i="11" s="1"/>
  <c r="D523" i="11"/>
  <c r="C523" i="11"/>
  <c r="B523" i="11"/>
  <c r="A523" i="11"/>
  <c r="H522" i="11"/>
  <c r="E522" i="11"/>
  <c r="F522" i="11" s="1"/>
  <c r="D522" i="11"/>
  <c r="C522" i="11"/>
  <c r="B522" i="11"/>
  <c r="A522" i="11"/>
  <c r="H521" i="11"/>
  <c r="E521" i="11"/>
  <c r="F521" i="11" s="1"/>
  <c r="D521" i="11"/>
  <c r="C521" i="11"/>
  <c r="B521" i="11"/>
  <c r="A521" i="11"/>
  <c r="H520" i="11"/>
  <c r="E520" i="11"/>
  <c r="F520" i="11" s="1"/>
  <c r="D520" i="11"/>
  <c r="C520" i="11"/>
  <c r="B520" i="11"/>
  <c r="A520" i="11"/>
  <c r="H519" i="11"/>
  <c r="E519" i="11"/>
  <c r="F519" i="11" s="1"/>
  <c r="D519" i="11"/>
  <c r="C519" i="11"/>
  <c r="B519" i="11"/>
  <c r="A519" i="11"/>
  <c r="H518" i="11"/>
  <c r="E518" i="11"/>
  <c r="F518" i="11" s="1"/>
  <c r="D518" i="11"/>
  <c r="C518" i="11"/>
  <c r="B518" i="11"/>
  <c r="A518" i="11"/>
  <c r="H517" i="11"/>
  <c r="E517" i="11"/>
  <c r="F517" i="11" s="1"/>
  <c r="D517" i="11"/>
  <c r="C517" i="11"/>
  <c r="B517" i="11"/>
  <c r="A517" i="11"/>
  <c r="H516" i="11"/>
  <c r="E516" i="11"/>
  <c r="F516" i="11" s="1"/>
  <c r="D516" i="11"/>
  <c r="C516" i="11"/>
  <c r="B516" i="11"/>
  <c r="A516" i="11"/>
  <c r="H515" i="11"/>
  <c r="E515" i="11"/>
  <c r="F515" i="11" s="1"/>
  <c r="D515" i="11"/>
  <c r="C515" i="11"/>
  <c r="B515" i="11"/>
  <c r="A515" i="11"/>
  <c r="H514" i="11"/>
  <c r="E514" i="11"/>
  <c r="F514" i="11" s="1"/>
  <c r="D514" i="11"/>
  <c r="C514" i="11"/>
  <c r="B514" i="11"/>
  <c r="A514" i="11"/>
  <c r="H513" i="11"/>
  <c r="E513" i="11"/>
  <c r="F513" i="11" s="1"/>
  <c r="D513" i="11"/>
  <c r="C513" i="11"/>
  <c r="B513" i="11"/>
  <c r="A513" i="11"/>
  <c r="H512" i="11"/>
  <c r="E512" i="11"/>
  <c r="F512" i="11" s="1"/>
  <c r="D512" i="11"/>
  <c r="C512" i="11"/>
  <c r="B512" i="11"/>
  <c r="A512" i="11"/>
  <c r="H511" i="11"/>
  <c r="E511" i="11"/>
  <c r="F511" i="11" s="1"/>
  <c r="D511" i="11"/>
  <c r="C511" i="11"/>
  <c r="B511" i="11"/>
  <c r="A511" i="11"/>
  <c r="H510" i="11"/>
  <c r="E510" i="11"/>
  <c r="F510" i="11" s="1"/>
  <c r="D510" i="11"/>
  <c r="C510" i="11"/>
  <c r="B510" i="11"/>
  <c r="A510" i="11"/>
  <c r="H509" i="11"/>
  <c r="E509" i="11"/>
  <c r="F509" i="11" s="1"/>
  <c r="D509" i="11"/>
  <c r="C509" i="11"/>
  <c r="B509" i="11"/>
  <c r="A509" i="11"/>
  <c r="H508" i="11"/>
  <c r="E508" i="11"/>
  <c r="F508" i="11" s="1"/>
  <c r="D508" i="11"/>
  <c r="C508" i="11"/>
  <c r="B508" i="11"/>
  <c r="A508" i="11"/>
  <c r="H507" i="11"/>
  <c r="E507" i="11"/>
  <c r="F507" i="11" s="1"/>
  <c r="D507" i="11"/>
  <c r="C507" i="11"/>
  <c r="B507" i="11"/>
  <c r="A507" i="11"/>
  <c r="H506" i="11"/>
  <c r="E506" i="11"/>
  <c r="F506" i="11" s="1"/>
  <c r="D506" i="11"/>
  <c r="C506" i="11"/>
  <c r="B506" i="11"/>
  <c r="A506" i="11"/>
  <c r="H505" i="11"/>
  <c r="E505" i="11"/>
  <c r="F505" i="11" s="1"/>
  <c r="D505" i="11"/>
  <c r="C505" i="11"/>
  <c r="B505" i="11"/>
  <c r="A505" i="11"/>
  <c r="H504" i="11"/>
  <c r="E504" i="11"/>
  <c r="F504" i="11" s="1"/>
  <c r="D504" i="11"/>
  <c r="C504" i="11"/>
  <c r="B504" i="11"/>
  <c r="A504" i="11"/>
  <c r="H503" i="11"/>
  <c r="E503" i="11"/>
  <c r="F503" i="11" s="1"/>
  <c r="D503" i="11"/>
  <c r="C503" i="11"/>
  <c r="B503" i="11"/>
  <c r="A503" i="11"/>
  <c r="H502" i="11"/>
  <c r="E502" i="11"/>
  <c r="F502" i="11" s="1"/>
  <c r="D502" i="11"/>
  <c r="C502" i="11"/>
  <c r="B502" i="11"/>
  <c r="A502" i="11"/>
  <c r="H501" i="11"/>
  <c r="E501" i="11"/>
  <c r="F501" i="11" s="1"/>
  <c r="D501" i="11"/>
  <c r="C501" i="11"/>
  <c r="B501" i="11"/>
  <c r="A501" i="11"/>
  <c r="H500" i="11"/>
  <c r="E500" i="11"/>
  <c r="F500" i="11" s="1"/>
  <c r="D500" i="11"/>
  <c r="C500" i="11"/>
  <c r="B500" i="11"/>
  <c r="A500" i="11"/>
  <c r="H499" i="11"/>
  <c r="E499" i="11"/>
  <c r="F499" i="11" s="1"/>
  <c r="D499" i="11"/>
  <c r="C499" i="11"/>
  <c r="B499" i="11"/>
  <c r="A499" i="11"/>
  <c r="H498" i="11"/>
  <c r="E498" i="11"/>
  <c r="F498" i="11" s="1"/>
  <c r="D498" i="11"/>
  <c r="C498" i="11"/>
  <c r="B498" i="11"/>
  <c r="A498" i="11"/>
  <c r="H497" i="11"/>
  <c r="E497" i="11"/>
  <c r="F497" i="11" s="1"/>
  <c r="D497" i="11"/>
  <c r="C497" i="11"/>
  <c r="B497" i="11"/>
  <c r="A497" i="11"/>
  <c r="H496" i="11"/>
  <c r="E496" i="11"/>
  <c r="F496" i="11" s="1"/>
  <c r="D496" i="11"/>
  <c r="C496" i="11"/>
  <c r="B496" i="11"/>
  <c r="A496" i="11"/>
  <c r="H495" i="11"/>
  <c r="E495" i="11"/>
  <c r="F495" i="11" s="1"/>
  <c r="D495" i="11"/>
  <c r="C495" i="11"/>
  <c r="B495" i="11"/>
  <c r="A495" i="11"/>
  <c r="H494" i="11"/>
  <c r="E494" i="11"/>
  <c r="F494" i="11" s="1"/>
  <c r="D494" i="11"/>
  <c r="C494" i="11"/>
  <c r="B494" i="11"/>
  <c r="A494" i="11"/>
  <c r="H493" i="11"/>
  <c r="E493" i="11"/>
  <c r="F493" i="11" s="1"/>
  <c r="D493" i="11"/>
  <c r="C493" i="11"/>
  <c r="B493" i="11"/>
  <c r="A493" i="11"/>
  <c r="H492" i="11"/>
  <c r="E492" i="11"/>
  <c r="F492" i="11" s="1"/>
  <c r="D492" i="11"/>
  <c r="C492" i="11"/>
  <c r="B492" i="11"/>
  <c r="A492" i="11"/>
  <c r="H491" i="11"/>
  <c r="E491" i="11"/>
  <c r="F491" i="11" s="1"/>
  <c r="D491" i="11"/>
  <c r="C491" i="11"/>
  <c r="B491" i="11"/>
  <c r="A491" i="11"/>
  <c r="H490" i="11"/>
  <c r="E490" i="11"/>
  <c r="F490" i="11" s="1"/>
  <c r="D490" i="11"/>
  <c r="C490" i="11"/>
  <c r="B490" i="11"/>
  <c r="A490" i="11"/>
  <c r="H489" i="11"/>
  <c r="E489" i="11"/>
  <c r="F489" i="11" s="1"/>
  <c r="D489" i="11"/>
  <c r="C489" i="11"/>
  <c r="B489" i="11"/>
  <c r="A489" i="11"/>
  <c r="H488" i="11"/>
  <c r="E488" i="11"/>
  <c r="F488" i="11" s="1"/>
  <c r="D488" i="11"/>
  <c r="C488" i="11"/>
  <c r="B488" i="11"/>
  <c r="A488" i="11"/>
  <c r="H487" i="11"/>
  <c r="E487" i="11"/>
  <c r="F487" i="11" s="1"/>
  <c r="D487" i="11"/>
  <c r="C487" i="11"/>
  <c r="B487" i="11"/>
  <c r="A487" i="11"/>
  <c r="H486" i="11"/>
  <c r="E486" i="11"/>
  <c r="F486" i="11" s="1"/>
  <c r="D486" i="11"/>
  <c r="C486" i="11"/>
  <c r="B486" i="11"/>
  <c r="A486" i="11"/>
  <c r="H485" i="11"/>
  <c r="E485" i="11"/>
  <c r="F485" i="11" s="1"/>
  <c r="D485" i="11"/>
  <c r="C485" i="11"/>
  <c r="B485" i="11"/>
  <c r="A485" i="11"/>
  <c r="H484" i="11"/>
  <c r="E484" i="11"/>
  <c r="F484" i="11" s="1"/>
  <c r="D484" i="11"/>
  <c r="C484" i="11"/>
  <c r="B484" i="11"/>
  <c r="A484" i="11"/>
  <c r="H483" i="11"/>
  <c r="E483" i="11"/>
  <c r="F483" i="11" s="1"/>
  <c r="D483" i="11"/>
  <c r="C483" i="11"/>
  <c r="B483" i="11"/>
  <c r="A483" i="11"/>
  <c r="H482" i="11"/>
  <c r="E482" i="11"/>
  <c r="F482" i="11" s="1"/>
  <c r="D482" i="11"/>
  <c r="C482" i="11"/>
  <c r="B482" i="11"/>
  <c r="A482" i="11"/>
  <c r="H481" i="11"/>
  <c r="E481" i="11"/>
  <c r="F481" i="11" s="1"/>
  <c r="D481" i="11"/>
  <c r="C481" i="11"/>
  <c r="B481" i="11"/>
  <c r="A481" i="11"/>
  <c r="H480" i="11"/>
  <c r="E480" i="11"/>
  <c r="F480" i="11" s="1"/>
  <c r="D480" i="11"/>
  <c r="C480" i="11"/>
  <c r="B480" i="11"/>
  <c r="A480" i="11"/>
  <c r="H479" i="11"/>
  <c r="E479" i="11"/>
  <c r="F479" i="11" s="1"/>
  <c r="D479" i="11"/>
  <c r="C479" i="11"/>
  <c r="B479" i="11"/>
  <c r="A479" i="11"/>
  <c r="H478" i="11"/>
  <c r="E478" i="11"/>
  <c r="F478" i="11" s="1"/>
  <c r="D478" i="11"/>
  <c r="C478" i="11"/>
  <c r="B478" i="11"/>
  <c r="A478" i="11"/>
  <c r="H477" i="11"/>
  <c r="E477" i="11"/>
  <c r="F477" i="11" s="1"/>
  <c r="D477" i="11"/>
  <c r="C477" i="11"/>
  <c r="B477" i="11"/>
  <c r="A477" i="11"/>
  <c r="H476" i="11"/>
  <c r="E476" i="11"/>
  <c r="F476" i="11" s="1"/>
  <c r="D476" i="11"/>
  <c r="C476" i="11"/>
  <c r="B476" i="11"/>
  <c r="A476" i="11"/>
  <c r="H475" i="11"/>
  <c r="E475" i="11"/>
  <c r="F475" i="11" s="1"/>
  <c r="D475" i="11"/>
  <c r="C475" i="11"/>
  <c r="B475" i="11"/>
  <c r="A475" i="11"/>
  <c r="H474" i="11"/>
  <c r="E474" i="11"/>
  <c r="F474" i="11" s="1"/>
  <c r="D474" i="11"/>
  <c r="C474" i="11"/>
  <c r="B474" i="11"/>
  <c r="A474" i="11"/>
  <c r="H473" i="11"/>
  <c r="E473" i="11"/>
  <c r="F473" i="11" s="1"/>
  <c r="D473" i="11"/>
  <c r="C473" i="11"/>
  <c r="B473" i="11"/>
  <c r="A473" i="11"/>
  <c r="H472" i="11"/>
  <c r="E472" i="11"/>
  <c r="F472" i="11" s="1"/>
  <c r="D472" i="11"/>
  <c r="C472" i="11"/>
  <c r="B472" i="11"/>
  <c r="A472" i="11"/>
  <c r="H471" i="11"/>
  <c r="E471" i="11"/>
  <c r="F471" i="11" s="1"/>
  <c r="D471" i="11"/>
  <c r="C471" i="11"/>
  <c r="B471" i="11"/>
  <c r="A471" i="11"/>
  <c r="H470" i="11"/>
  <c r="E470" i="11"/>
  <c r="F470" i="11" s="1"/>
  <c r="D470" i="11"/>
  <c r="C470" i="11"/>
  <c r="B470" i="11"/>
  <c r="A470" i="11"/>
  <c r="H469" i="11"/>
  <c r="E469" i="11"/>
  <c r="F469" i="11" s="1"/>
  <c r="D469" i="11"/>
  <c r="C469" i="11"/>
  <c r="B469" i="11"/>
  <c r="A469" i="11"/>
  <c r="H468" i="11"/>
  <c r="E468" i="11"/>
  <c r="F468" i="11" s="1"/>
  <c r="D468" i="11"/>
  <c r="C468" i="11"/>
  <c r="B468" i="11"/>
  <c r="A468" i="11"/>
  <c r="H467" i="11"/>
  <c r="E467" i="11"/>
  <c r="F467" i="11" s="1"/>
  <c r="D467" i="11"/>
  <c r="C467" i="11"/>
  <c r="B467" i="11"/>
  <c r="A467" i="11"/>
  <c r="H466" i="11"/>
  <c r="E466" i="11"/>
  <c r="F466" i="11" s="1"/>
  <c r="D466" i="11"/>
  <c r="C466" i="11"/>
  <c r="B466" i="11"/>
  <c r="A466" i="11"/>
  <c r="H465" i="11"/>
  <c r="E465" i="11"/>
  <c r="F465" i="11" s="1"/>
  <c r="D465" i="11"/>
  <c r="C465" i="11"/>
  <c r="B465" i="11"/>
  <c r="A465" i="11"/>
  <c r="H464" i="11"/>
  <c r="E464" i="11"/>
  <c r="F464" i="11" s="1"/>
  <c r="D464" i="11"/>
  <c r="C464" i="11"/>
  <c r="B464" i="11"/>
  <c r="A464" i="11"/>
  <c r="H463" i="11"/>
  <c r="E463" i="11"/>
  <c r="F463" i="11" s="1"/>
  <c r="D463" i="11"/>
  <c r="C463" i="11"/>
  <c r="B463" i="11"/>
  <c r="A463" i="11"/>
  <c r="H462" i="11"/>
  <c r="E462" i="11"/>
  <c r="F462" i="11" s="1"/>
  <c r="D462" i="11"/>
  <c r="C462" i="11"/>
  <c r="B462" i="11"/>
  <c r="A462" i="11"/>
  <c r="H461" i="11"/>
  <c r="E461" i="11"/>
  <c r="F461" i="11" s="1"/>
  <c r="D461" i="11"/>
  <c r="C461" i="11"/>
  <c r="B461" i="11"/>
  <c r="A461" i="11"/>
  <c r="H460" i="11"/>
  <c r="E460" i="11"/>
  <c r="F460" i="11" s="1"/>
  <c r="D460" i="11"/>
  <c r="C460" i="11"/>
  <c r="B460" i="11"/>
  <c r="A460" i="11"/>
  <c r="H459" i="11"/>
  <c r="E459" i="11"/>
  <c r="F459" i="11" s="1"/>
  <c r="D459" i="11"/>
  <c r="C459" i="11"/>
  <c r="B459" i="11"/>
  <c r="A459" i="11"/>
  <c r="H458" i="11"/>
  <c r="E458" i="11"/>
  <c r="F458" i="11" s="1"/>
  <c r="D458" i="11"/>
  <c r="C458" i="11"/>
  <c r="B458" i="11"/>
  <c r="A458" i="11"/>
  <c r="H457" i="11"/>
  <c r="E457" i="11"/>
  <c r="F457" i="11" s="1"/>
  <c r="D457" i="11"/>
  <c r="C457" i="11"/>
  <c r="B457" i="11"/>
  <c r="A457" i="11"/>
  <c r="H456" i="11"/>
  <c r="E456" i="11"/>
  <c r="F456" i="11" s="1"/>
  <c r="D456" i="11"/>
  <c r="C456" i="11"/>
  <c r="B456" i="11"/>
  <c r="A456" i="11"/>
  <c r="H455" i="11"/>
  <c r="E455" i="11"/>
  <c r="F455" i="11" s="1"/>
  <c r="D455" i="11"/>
  <c r="C455" i="11"/>
  <c r="B455" i="11"/>
  <c r="A455" i="11"/>
  <c r="H454" i="11"/>
  <c r="E454" i="11"/>
  <c r="F454" i="11" s="1"/>
  <c r="D454" i="11"/>
  <c r="C454" i="11"/>
  <c r="B454" i="11"/>
  <c r="A454" i="11"/>
  <c r="H453" i="11"/>
  <c r="E453" i="11"/>
  <c r="F453" i="11" s="1"/>
  <c r="D453" i="11"/>
  <c r="C453" i="11"/>
  <c r="B453" i="11"/>
  <c r="A453" i="11"/>
  <c r="H452" i="11"/>
  <c r="E452" i="11"/>
  <c r="F452" i="11" s="1"/>
  <c r="D452" i="11"/>
  <c r="C452" i="11"/>
  <c r="B452" i="11"/>
  <c r="A452" i="11"/>
  <c r="H451" i="11"/>
  <c r="E451" i="11"/>
  <c r="F451" i="11" s="1"/>
  <c r="D451" i="11"/>
  <c r="C451" i="11"/>
  <c r="B451" i="11"/>
  <c r="A451" i="11"/>
  <c r="H450" i="11"/>
  <c r="E450" i="11"/>
  <c r="F450" i="11" s="1"/>
  <c r="D450" i="11"/>
  <c r="C450" i="11"/>
  <c r="B450" i="11"/>
  <c r="A450" i="11"/>
  <c r="H449" i="11"/>
  <c r="E449" i="11"/>
  <c r="F449" i="11" s="1"/>
  <c r="D449" i="11"/>
  <c r="C449" i="11"/>
  <c r="B449" i="11"/>
  <c r="A449" i="11"/>
  <c r="H448" i="11"/>
  <c r="E448" i="11"/>
  <c r="F448" i="11" s="1"/>
  <c r="D448" i="11"/>
  <c r="C448" i="11"/>
  <c r="B448" i="11"/>
  <c r="A448" i="11"/>
  <c r="H447" i="11"/>
  <c r="E447" i="11"/>
  <c r="F447" i="11" s="1"/>
  <c r="D447" i="11"/>
  <c r="C447" i="11"/>
  <c r="B447" i="11"/>
  <c r="A447" i="11"/>
  <c r="H446" i="11"/>
  <c r="E446" i="11"/>
  <c r="F446" i="11" s="1"/>
  <c r="D446" i="11"/>
  <c r="C446" i="11"/>
  <c r="B446" i="11"/>
  <c r="A446" i="11"/>
  <c r="H445" i="11"/>
  <c r="E445" i="11"/>
  <c r="F445" i="11" s="1"/>
  <c r="D445" i="11"/>
  <c r="C445" i="11"/>
  <c r="B445" i="11"/>
  <c r="A445" i="11"/>
  <c r="H444" i="11"/>
  <c r="E444" i="11"/>
  <c r="F444" i="11" s="1"/>
  <c r="D444" i="11"/>
  <c r="C444" i="11"/>
  <c r="B444" i="11"/>
  <c r="A444" i="11"/>
  <c r="H443" i="11"/>
  <c r="E443" i="11"/>
  <c r="F443" i="11" s="1"/>
  <c r="D443" i="11"/>
  <c r="C443" i="11"/>
  <c r="B443" i="11"/>
  <c r="A443" i="11"/>
  <c r="H442" i="11"/>
  <c r="E442" i="11"/>
  <c r="F442" i="11" s="1"/>
  <c r="D442" i="11"/>
  <c r="C442" i="11"/>
  <c r="B442" i="11"/>
  <c r="A442" i="11"/>
  <c r="H441" i="11"/>
  <c r="E441" i="11"/>
  <c r="F441" i="11" s="1"/>
  <c r="D441" i="11"/>
  <c r="C441" i="11"/>
  <c r="B441" i="11"/>
  <c r="A441" i="11"/>
  <c r="H440" i="11"/>
  <c r="E440" i="11"/>
  <c r="F440" i="11" s="1"/>
  <c r="D440" i="11"/>
  <c r="C440" i="11"/>
  <c r="B440" i="11"/>
  <c r="A440" i="11"/>
  <c r="H439" i="11"/>
  <c r="E439" i="11"/>
  <c r="F439" i="11" s="1"/>
  <c r="D439" i="11"/>
  <c r="C439" i="11"/>
  <c r="B439" i="11"/>
  <c r="A439" i="11"/>
  <c r="H438" i="11"/>
  <c r="E438" i="11"/>
  <c r="F438" i="11" s="1"/>
  <c r="D438" i="11"/>
  <c r="C438" i="11"/>
  <c r="B438" i="11"/>
  <c r="A438" i="11"/>
  <c r="H437" i="11"/>
  <c r="E437" i="11"/>
  <c r="F437" i="11" s="1"/>
  <c r="D437" i="11"/>
  <c r="C437" i="11"/>
  <c r="B437" i="11"/>
  <c r="A437" i="11"/>
  <c r="H436" i="11"/>
  <c r="E436" i="11"/>
  <c r="F436" i="11" s="1"/>
  <c r="D436" i="11"/>
  <c r="C436" i="11"/>
  <c r="B436" i="11"/>
  <c r="A436" i="11"/>
  <c r="H435" i="11"/>
  <c r="E435" i="11"/>
  <c r="F435" i="11" s="1"/>
  <c r="D435" i="11"/>
  <c r="C435" i="11"/>
  <c r="B435" i="11"/>
  <c r="A435" i="11"/>
  <c r="H434" i="11"/>
  <c r="E434" i="11"/>
  <c r="F434" i="11" s="1"/>
  <c r="D434" i="11"/>
  <c r="C434" i="11"/>
  <c r="B434" i="11"/>
  <c r="A434" i="11"/>
  <c r="H433" i="11"/>
  <c r="E433" i="11"/>
  <c r="F433" i="11" s="1"/>
  <c r="D433" i="11"/>
  <c r="C433" i="11"/>
  <c r="B433" i="11"/>
  <c r="A433" i="11"/>
  <c r="H432" i="11"/>
  <c r="E432" i="11"/>
  <c r="F432" i="11" s="1"/>
  <c r="D432" i="11"/>
  <c r="C432" i="11"/>
  <c r="B432" i="11"/>
  <c r="A432" i="11"/>
  <c r="H431" i="11"/>
  <c r="E431" i="11"/>
  <c r="F431" i="11" s="1"/>
  <c r="D431" i="11"/>
  <c r="C431" i="11"/>
  <c r="B431" i="11"/>
  <c r="A431" i="11"/>
  <c r="H430" i="11"/>
  <c r="E430" i="11"/>
  <c r="F430" i="11" s="1"/>
  <c r="D430" i="11"/>
  <c r="C430" i="11"/>
  <c r="B430" i="11"/>
  <c r="A430" i="11"/>
  <c r="H429" i="11"/>
  <c r="E429" i="11"/>
  <c r="F429" i="11" s="1"/>
  <c r="D429" i="11"/>
  <c r="C429" i="11"/>
  <c r="B429" i="11"/>
  <c r="A429" i="11"/>
  <c r="H428" i="11"/>
  <c r="E428" i="11"/>
  <c r="F428" i="11" s="1"/>
  <c r="D428" i="11"/>
  <c r="C428" i="11"/>
  <c r="B428" i="11"/>
  <c r="A428" i="11"/>
  <c r="H427" i="11"/>
  <c r="E427" i="11"/>
  <c r="F427" i="11" s="1"/>
  <c r="D427" i="11"/>
  <c r="C427" i="11"/>
  <c r="B427" i="11"/>
  <c r="A427" i="11"/>
  <c r="H426" i="11"/>
  <c r="E426" i="11"/>
  <c r="F426" i="11" s="1"/>
  <c r="D426" i="11"/>
  <c r="C426" i="11"/>
  <c r="B426" i="11"/>
  <c r="A426" i="11"/>
  <c r="H425" i="11"/>
  <c r="E425" i="11"/>
  <c r="F425" i="11" s="1"/>
  <c r="D425" i="11"/>
  <c r="C425" i="11"/>
  <c r="B425" i="11"/>
  <c r="A425" i="11"/>
  <c r="H424" i="11"/>
  <c r="E424" i="11"/>
  <c r="F424" i="11" s="1"/>
  <c r="D424" i="11"/>
  <c r="C424" i="11"/>
  <c r="B424" i="11"/>
  <c r="A424" i="11"/>
  <c r="H423" i="11"/>
  <c r="E423" i="11"/>
  <c r="F423" i="11" s="1"/>
  <c r="D423" i="11"/>
  <c r="C423" i="11"/>
  <c r="B423" i="11"/>
  <c r="A423" i="11"/>
  <c r="H422" i="11"/>
  <c r="E422" i="11"/>
  <c r="F422" i="11" s="1"/>
  <c r="D422" i="11"/>
  <c r="C422" i="11"/>
  <c r="B422" i="11"/>
  <c r="A422" i="11"/>
  <c r="H421" i="11"/>
  <c r="E421" i="11"/>
  <c r="F421" i="11" s="1"/>
  <c r="D421" i="11"/>
  <c r="C421" i="11"/>
  <c r="B421" i="11"/>
  <c r="A421" i="11"/>
  <c r="H420" i="11"/>
  <c r="E420" i="11"/>
  <c r="F420" i="11" s="1"/>
  <c r="D420" i="11"/>
  <c r="C420" i="11"/>
  <c r="B420" i="11"/>
  <c r="A420" i="11"/>
  <c r="H419" i="11"/>
  <c r="E419" i="11"/>
  <c r="F419" i="11" s="1"/>
  <c r="D419" i="11"/>
  <c r="C419" i="11"/>
  <c r="B419" i="11"/>
  <c r="A419" i="11"/>
  <c r="H418" i="11"/>
  <c r="E418" i="11"/>
  <c r="F418" i="11" s="1"/>
  <c r="D418" i="11"/>
  <c r="C418" i="11"/>
  <c r="B418" i="11"/>
  <c r="A418" i="11"/>
  <c r="H417" i="11"/>
  <c r="E417" i="11"/>
  <c r="F417" i="11" s="1"/>
  <c r="D417" i="11"/>
  <c r="C417" i="11"/>
  <c r="B417" i="11"/>
  <c r="A417" i="11"/>
  <c r="H416" i="11"/>
  <c r="E416" i="11"/>
  <c r="F416" i="11" s="1"/>
  <c r="D416" i="11"/>
  <c r="C416" i="11"/>
  <c r="B416" i="11"/>
  <c r="A416" i="11"/>
  <c r="H415" i="11"/>
  <c r="E415" i="11"/>
  <c r="F415" i="11" s="1"/>
  <c r="D415" i="11"/>
  <c r="C415" i="11"/>
  <c r="B415" i="11"/>
  <c r="A415" i="11"/>
  <c r="H414" i="11"/>
  <c r="E414" i="11"/>
  <c r="F414" i="11" s="1"/>
  <c r="D414" i="11"/>
  <c r="C414" i="11"/>
  <c r="B414" i="11"/>
  <c r="A414" i="11"/>
  <c r="H413" i="11"/>
  <c r="E413" i="11"/>
  <c r="F413" i="11" s="1"/>
  <c r="D413" i="11"/>
  <c r="C413" i="11"/>
  <c r="B413" i="11"/>
  <c r="A413" i="11"/>
  <c r="H412" i="11"/>
  <c r="E412" i="11"/>
  <c r="F412" i="11" s="1"/>
  <c r="D412" i="11"/>
  <c r="C412" i="11"/>
  <c r="B412" i="11"/>
  <c r="A412" i="11"/>
  <c r="H411" i="11"/>
  <c r="E411" i="11"/>
  <c r="F411" i="11" s="1"/>
  <c r="D411" i="11"/>
  <c r="C411" i="11"/>
  <c r="B411" i="11"/>
  <c r="A411" i="11"/>
  <c r="H410" i="11"/>
  <c r="E410" i="11"/>
  <c r="F410" i="11" s="1"/>
  <c r="D410" i="11"/>
  <c r="C410" i="11"/>
  <c r="B410" i="11"/>
  <c r="A410" i="11"/>
  <c r="H409" i="11"/>
  <c r="E409" i="11"/>
  <c r="F409" i="11" s="1"/>
  <c r="D409" i="11"/>
  <c r="C409" i="11"/>
  <c r="B409" i="11"/>
  <c r="A409" i="11"/>
  <c r="H408" i="11"/>
  <c r="E408" i="11"/>
  <c r="F408" i="11" s="1"/>
  <c r="D408" i="11"/>
  <c r="C408" i="11"/>
  <c r="B408" i="11"/>
  <c r="A408" i="11"/>
  <c r="H407" i="11"/>
  <c r="E407" i="11"/>
  <c r="F407" i="11" s="1"/>
  <c r="D407" i="11"/>
  <c r="C407" i="11"/>
  <c r="B407" i="11"/>
  <c r="A407" i="11"/>
  <c r="H406" i="11"/>
  <c r="E406" i="11"/>
  <c r="F406" i="11" s="1"/>
  <c r="D406" i="11"/>
  <c r="C406" i="11"/>
  <c r="B406" i="11"/>
  <c r="A406" i="11"/>
  <c r="H405" i="11"/>
  <c r="E405" i="11"/>
  <c r="F405" i="11" s="1"/>
  <c r="D405" i="11"/>
  <c r="C405" i="11"/>
  <c r="B405" i="11"/>
  <c r="A405" i="11"/>
  <c r="H404" i="11"/>
  <c r="E404" i="11"/>
  <c r="F404" i="11" s="1"/>
  <c r="D404" i="11"/>
  <c r="C404" i="11"/>
  <c r="B404" i="11"/>
  <c r="A404" i="11"/>
  <c r="H403" i="11"/>
  <c r="E403" i="11"/>
  <c r="F403" i="11" s="1"/>
  <c r="D403" i="11"/>
  <c r="C403" i="11"/>
  <c r="B403" i="11"/>
  <c r="A403" i="11"/>
  <c r="H402" i="11"/>
  <c r="E402" i="11"/>
  <c r="F402" i="11" s="1"/>
  <c r="D402" i="11"/>
  <c r="C402" i="11"/>
  <c r="B402" i="11"/>
  <c r="A402" i="11"/>
  <c r="H401" i="11"/>
  <c r="E401" i="11"/>
  <c r="F401" i="11" s="1"/>
  <c r="D401" i="11"/>
  <c r="C401" i="11"/>
  <c r="B401" i="11"/>
  <c r="A401" i="11"/>
  <c r="H400" i="11"/>
  <c r="E400" i="11"/>
  <c r="F400" i="11" s="1"/>
  <c r="D400" i="11"/>
  <c r="C400" i="11"/>
  <c r="B400" i="11"/>
  <c r="A400" i="11"/>
  <c r="H399" i="11"/>
  <c r="E399" i="11"/>
  <c r="F399" i="11" s="1"/>
  <c r="D399" i="11"/>
  <c r="C399" i="11"/>
  <c r="B399" i="11"/>
  <c r="A399" i="11"/>
  <c r="H398" i="11"/>
  <c r="E398" i="11"/>
  <c r="F398" i="11" s="1"/>
  <c r="D398" i="11"/>
  <c r="C398" i="11"/>
  <c r="B398" i="11"/>
  <c r="A398" i="11"/>
  <c r="H397" i="11"/>
  <c r="E397" i="11"/>
  <c r="F397" i="11" s="1"/>
  <c r="D397" i="11"/>
  <c r="C397" i="11"/>
  <c r="B397" i="11"/>
  <c r="A397" i="11"/>
  <c r="H396" i="11"/>
  <c r="E396" i="11"/>
  <c r="F396" i="11" s="1"/>
  <c r="D396" i="11"/>
  <c r="C396" i="11"/>
  <c r="B396" i="11"/>
  <c r="A396" i="11"/>
  <c r="H395" i="11"/>
  <c r="E395" i="11"/>
  <c r="F395" i="11" s="1"/>
  <c r="D395" i="11"/>
  <c r="C395" i="11"/>
  <c r="B395" i="11"/>
  <c r="A395" i="11"/>
  <c r="H394" i="11"/>
  <c r="E394" i="11"/>
  <c r="F394" i="11" s="1"/>
  <c r="D394" i="11"/>
  <c r="C394" i="11"/>
  <c r="B394" i="11"/>
  <c r="A394" i="11"/>
  <c r="H393" i="11"/>
  <c r="E393" i="11"/>
  <c r="F393" i="11" s="1"/>
  <c r="D393" i="11"/>
  <c r="C393" i="11"/>
  <c r="B393" i="11"/>
  <c r="A393" i="11"/>
  <c r="H392" i="11"/>
  <c r="E392" i="11"/>
  <c r="F392" i="11" s="1"/>
  <c r="D392" i="11"/>
  <c r="C392" i="11"/>
  <c r="B392" i="11"/>
  <c r="A392" i="11"/>
  <c r="H391" i="11"/>
  <c r="E391" i="11"/>
  <c r="F391" i="11" s="1"/>
  <c r="D391" i="11"/>
  <c r="C391" i="11"/>
  <c r="B391" i="11"/>
  <c r="A391" i="11"/>
  <c r="H390" i="11"/>
  <c r="E390" i="11"/>
  <c r="F390" i="11" s="1"/>
  <c r="D390" i="11"/>
  <c r="C390" i="11"/>
  <c r="B390" i="11"/>
  <c r="A390" i="11"/>
  <c r="H389" i="11"/>
  <c r="E389" i="11"/>
  <c r="F389" i="11" s="1"/>
  <c r="D389" i="11"/>
  <c r="C389" i="11"/>
  <c r="B389" i="11"/>
  <c r="A389" i="11"/>
  <c r="H388" i="11"/>
  <c r="E388" i="11"/>
  <c r="F388" i="11" s="1"/>
  <c r="D388" i="11"/>
  <c r="C388" i="11"/>
  <c r="B388" i="11"/>
  <c r="A388" i="11"/>
  <c r="H387" i="11"/>
  <c r="E387" i="11"/>
  <c r="F387" i="11" s="1"/>
  <c r="D387" i="11"/>
  <c r="C387" i="11"/>
  <c r="B387" i="11"/>
  <c r="A387" i="11"/>
  <c r="H386" i="11"/>
  <c r="E386" i="11"/>
  <c r="F386" i="11" s="1"/>
  <c r="D386" i="11"/>
  <c r="C386" i="11"/>
  <c r="B386" i="11"/>
  <c r="A386" i="11"/>
  <c r="H385" i="11"/>
  <c r="E385" i="11"/>
  <c r="F385" i="11" s="1"/>
  <c r="D385" i="11"/>
  <c r="C385" i="11"/>
  <c r="B385" i="11"/>
  <c r="A385" i="11"/>
  <c r="H384" i="11"/>
  <c r="E384" i="11"/>
  <c r="F384" i="11" s="1"/>
  <c r="D384" i="11"/>
  <c r="C384" i="11"/>
  <c r="B384" i="11"/>
  <c r="A384" i="11"/>
  <c r="H383" i="11"/>
  <c r="E383" i="11"/>
  <c r="F383" i="11" s="1"/>
  <c r="D383" i="11"/>
  <c r="C383" i="11"/>
  <c r="B383" i="11"/>
  <c r="A383" i="11"/>
  <c r="H382" i="11"/>
  <c r="E382" i="11"/>
  <c r="F382" i="11" s="1"/>
  <c r="D382" i="11"/>
  <c r="C382" i="11"/>
  <c r="B382" i="11"/>
  <c r="A382" i="11"/>
  <c r="H381" i="11"/>
  <c r="E381" i="11"/>
  <c r="F381" i="11" s="1"/>
  <c r="D381" i="11"/>
  <c r="C381" i="11"/>
  <c r="B381" i="11"/>
  <c r="A381" i="11"/>
  <c r="H380" i="11"/>
  <c r="E380" i="11"/>
  <c r="F380" i="11" s="1"/>
  <c r="D380" i="11"/>
  <c r="C380" i="11"/>
  <c r="B380" i="11"/>
  <c r="A380" i="11"/>
  <c r="H379" i="11"/>
  <c r="E379" i="11"/>
  <c r="F379" i="11" s="1"/>
  <c r="D379" i="11"/>
  <c r="C379" i="11"/>
  <c r="B379" i="11"/>
  <c r="A379" i="11"/>
  <c r="H378" i="11"/>
  <c r="E378" i="11"/>
  <c r="F378" i="11" s="1"/>
  <c r="D378" i="11"/>
  <c r="C378" i="11"/>
  <c r="B378" i="11"/>
  <c r="A378" i="11"/>
  <c r="H377" i="11"/>
  <c r="E377" i="11"/>
  <c r="F377" i="11" s="1"/>
  <c r="D377" i="11"/>
  <c r="C377" i="11"/>
  <c r="B377" i="11"/>
  <c r="A377" i="11"/>
  <c r="H376" i="11"/>
  <c r="E376" i="11"/>
  <c r="F376" i="11" s="1"/>
  <c r="D376" i="11"/>
  <c r="C376" i="11"/>
  <c r="B376" i="11"/>
  <c r="A376" i="11"/>
  <c r="H375" i="11"/>
  <c r="E375" i="11"/>
  <c r="F375" i="11" s="1"/>
  <c r="D375" i="11"/>
  <c r="C375" i="11"/>
  <c r="B375" i="11"/>
  <c r="A375" i="11"/>
  <c r="H374" i="11"/>
  <c r="E374" i="11"/>
  <c r="F374" i="11" s="1"/>
  <c r="D374" i="11"/>
  <c r="C374" i="11"/>
  <c r="B374" i="11"/>
  <c r="A374" i="11"/>
  <c r="H373" i="11"/>
  <c r="E373" i="11"/>
  <c r="F373" i="11" s="1"/>
  <c r="D373" i="11"/>
  <c r="C373" i="11"/>
  <c r="B373" i="11"/>
  <c r="A373" i="11"/>
  <c r="H372" i="11"/>
  <c r="E372" i="11"/>
  <c r="F372" i="11" s="1"/>
  <c r="D372" i="11"/>
  <c r="C372" i="11"/>
  <c r="B372" i="11"/>
  <c r="A372" i="11"/>
  <c r="H371" i="11"/>
  <c r="E371" i="11"/>
  <c r="F371" i="11" s="1"/>
  <c r="D371" i="11"/>
  <c r="C371" i="11"/>
  <c r="B371" i="11"/>
  <c r="A371" i="11"/>
  <c r="H370" i="11"/>
  <c r="E370" i="11"/>
  <c r="F370" i="11" s="1"/>
  <c r="D370" i="11"/>
  <c r="C370" i="11"/>
  <c r="B370" i="11"/>
  <c r="A370" i="11"/>
  <c r="H369" i="11"/>
  <c r="E369" i="11"/>
  <c r="F369" i="11" s="1"/>
  <c r="D369" i="11"/>
  <c r="C369" i="11"/>
  <c r="B369" i="11"/>
  <c r="A369" i="11"/>
  <c r="H368" i="11"/>
  <c r="E368" i="11"/>
  <c r="F368" i="11" s="1"/>
  <c r="D368" i="11"/>
  <c r="C368" i="11"/>
  <c r="B368" i="11"/>
  <c r="A368" i="11"/>
  <c r="H367" i="11"/>
  <c r="E367" i="11"/>
  <c r="F367" i="11" s="1"/>
  <c r="D367" i="11"/>
  <c r="C367" i="11"/>
  <c r="B367" i="11"/>
  <c r="A367" i="11"/>
  <c r="H366" i="11"/>
  <c r="E366" i="11"/>
  <c r="F366" i="11" s="1"/>
  <c r="D366" i="11"/>
  <c r="C366" i="11"/>
  <c r="B366" i="11"/>
  <c r="A366" i="11"/>
  <c r="H365" i="11"/>
  <c r="E365" i="11"/>
  <c r="F365" i="11" s="1"/>
  <c r="D365" i="11"/>
  <c r="C365" i="11"/>
  <c r="B365" i="11"/>
  <c r="A365" i="11"/>
  <c r="H364" i="11"/>
  <c r="E364" i="11"/>
  <c r="F364" i="11" s="1"/>
  <c r="D364" i="11"/>
  <c r="C364" i="11"/>
  <c r="B364" i="11"/>
  <c r="A364" i="11"/>
  <c r="H363" i="11"/>
  <c r="E363" i="11"/>
  <c r="F363" i="11" s="1"/>
  <c r="D363" i="11"/>
  <c r="C363" i="11"/>
  <c r="B363" i="11"/>
  <c r="A363" i="11"/>
  <c r="H362" i="11"/>
  <c r="E362" i="11"/>
  <c r="F362" i="11" s="1"/>
  <c r="D362" i="11"/>
  <c r="C362" i="11"/>
  <c r="B362" i="11"/>
  <c r="A362" i="11"/>
  <c r="H361" i="11"/>
  <c r="E361" i="11"/>
  <c r="F361" i="11" s="1"/>
  <c r="D361" i="11"/>
  <c r="C361" i="11"/>
  <c r="B361" i="11"/>
  <c r="A361" i="11"/>
  <c r="H360" i="11"/>
  <c r="E360" i="11"/>
  <c r="F360" i="11" s="1"/>
  <c r="D360" i="11"/>
  <c r="C360" i="11"/>
  <c r="B360" i="11"/>
  <c r="A360" i="11"/>
  <c r="H359" i="11"/>
  <c r="E359" i="11"/>
  <c r="F359" i="11" s="1"/>
  <c r="D359" i="11"/>
  <c r="C359" i="11"/>
  <c r="B359" i="11"/>
  <c r="A359" i="11"/>
  <c r="H358" i="11"/>
  <c r="E358" i="11"/>
  <c r="F358" i="11" s="1"/>
  <c r="D358" i="11"/>
  <c r="C358" i="11"/>
  <c r="B358" i="11"/>
  <c r="A358" i="11"/>
  <c r="H357" i="11"/>
  <c r="E357" i="11"/>
  <c r="F357" i="11" s="1"/>
  <c r="D357" i="11"/>
  <c r="C357" i="11"/>
  <c r="B357" i="11"/>
  <c r="A357" i="11"/>
  <c r="H356" i="11"/>
  <c r="E356" i="11"/>
  <c r="F356" i="11" s="1"/>
  <c r="D356" i="11"/>
  <c r="C356" i="11"/>
  <c r="B356" i="11"/>
  <c r="A356" i="11"/>
  <c r="H355" i="11"/>
  <c r="E355" i="11"/>
  <c r="F355" i="11" s="1"/>
  <c r="D355" i="11"/>
  <c r="C355" i="11"/>
  <c r="B355" i="11"/>
  <c r="A355" i="11"/>
  <c r="H354" i="11"/>
  <c r="E354" i="11"/>
  <c r="F354" i="11" s="1"/>
  <c r="D354" i="11"/>
  <c r="C354" i="11"/>
  <c r="B354" i="11"/>
  <c r="A354" i="11"/>
  <c r="H353" i="11"/>
  <c r="E353" i="11"/>
  <c r="F353" i="11" s="1"/>
  <c r="D353" i="11"/>
  <c r="C353" i="11"/>
  <c r="B353" i="11"/>
  <c r="A353" i="11"/>
  <c r="H352" i="11"/>
  <c r="E352" i="11"/>
  <c r="F352" i="11" s="1"/>
  <c r="D352" i="11"/>
  <c r="C352" i="11"/>
  <c r="B352" i="11"/>
  <c r="A352" i="11"/>
  <c r="H351" i="11"/>
  <c r="E351" i="11"/>
  <c r="F351" i="11" s="1"/>
  <c r="D351" i="11"/>
  <c r="C351" i="11"/>
  <c r="B351" i="11"/>
  <c r="A351" i="11"/>
  <c r="H350" i="11"/>
  <c r="E350" i="11"/>
  <c r="F350" i="11" s="1"/>
  <c r="D350" i="11"/>
  <c r="C350" i="11"/>
  <c r="B350" i="11"/>
  <c r="A350" i="11"/>
  <c r="H349" i="11"/>
  <c r="E349" i="11"/>
  <c r="F349" i="11" s="1"/>
  <c r="D349" i="11"/>
  <c r="C349" i="11"/>
  <c r="B349" i="11"/>
  <c r="A349" i="11"/>
  <c r="H348" i="11"/>
  <c r="E348" i="11"/>
  <c r="F348" i="11" s="1"/>
  <c r="D348" i="11"/>
  <c r="C348" i="11"/>
  <c r="B348" i="11"/>
  <c r="A348" i="11"/>
  <c r="H347" i="11"/>
  <c r="E347" i="11"/>
  <c r="F347" i="11" s="1"/>
  <c r="D347" i="11"/>
  <c r="C347" i="11"/>
  <c r="B347" i="11"/>
  <c r="A347" i="11"/>
  <c r="H346" i="11"/>
  <c r="E346" i="11"/>
  <c r="F346" i="11" s="1"/>
  <c r="D346" i="11"/>
  <c r="C346" i="11"/>
  <c r="B346" i="11"/>
  <c r="A346" i="11"/>
  <c r="H345" i="11"/>
  <c r="E345" i="11"/>
  <c r="F345" i="11" s="1"/>
  <c r="D345" i="11"/>
  <c r="C345" i="11"/>
  <c r="B345" i="11"/>
  <c r="A345" i="11"/>
  <c r="H344" i="11"/>
  <c r="E344" i="11"/>
  <c r="F344" i="11" s="1"/>
  <c r="D344" i="11"/>
  <c r="C344" i="11"/>
  <c r="B344" i="11"/>
  <c r="A344" i="11"/>
  <c r="H343" i="11"/>
  <c r="E343" i="11"/>
  <c r="F343" i="11" s="1"/>
  <c r="D343" i="11"/>
  <c r="C343" i="11"/>
  <c r="B343" i="11"/>
  <c r="A343" i="11"/>
  <c r="H342" i="11"/>
  <c r="E342" i="11"/>
  <c r="F342" i="11" s="1"/>
  <c r="D342" i="11"/>
  <c r="C342" i="11"/>
  <c r="B342" i="11"/>
  <c r="A342" i="11"/>
  <c r="H341" i="11"/>
  <c r="E341" i="11"/>
  <c r="F341" i="11" s="1"/>
  <c r="D341" i="11"/>
  <c r="C341" i="11"/>
  <c r="B341" i="11"/>
  <c r="A341" i="11"/>
  <c r="H340" i="11"/>
  <c r="E340" i="11"/>
  <c r="F340" i="11" s="1"/>
  <c r="D340" i="11"/>
  <c r="C340" i="11"/>
  <c r="B340" i="11"/>
  <c r="A340" i="11"/>
  <c r="H339" i="11"/>
  <c r="E339" i="11"/>
  <c r="F339" i="11" s="1"/>
  <c r="D339" i="11"/>
  <c r="C339" i="11"/>
  <c r="B339" i="11"/>
  <c r="A339" i="11"/>
  <c r="H338" i="11"/>
  <c r="E338" i="11"/>
  <c r="F338" i="11" s="1"/>
  <c r="D338" i="11"/>
  <c r="C338" i="11"/>
  <c r="B338" i="11"/>
  <c r="A338" i="11"/>
  <c r="H337" i="11"/>
  <c r="E337" i="11"/>
  <c r="F337" i="11" s="1"/>
  <c r="D337" i="11"/>
  <c r="C337" i="11"/>
  <c r="B337" i="11"/>
  <c r="A337" i="11"/>
  <c r="H336" i="11"/>
  <c r="E336" i="11"/>
  <c r="F336" i="11" s="1"/>
  <c r="D336" i="11"/>
  <c r="C336" i="11"/>
  <c r="B336" i="11"/>
  <c r="A336" i="11"/>
  <c r="H335" i="11"/>
  <c r="E335" i="11"/>
  <c r="F335" i="11" s="1"/>
  <c r="D335" i="11"/>
  <c r="C335" i="11"/>
  <c r="B335" i="11"/>
  <c r="A335" i="11"/>
  <c r="H334" i="11"/>
  <c r="E334" i="11"/>
  <c r="F334" i="11" s="1"/>
  <c r="D334" i="11"/>
  <c r="C334" i="11"/>
  <c r="B334" i="11"/>
  <c r="A334" i="11"/>
  <c r="H333" i="11"/>
  <c r="E333" i="11"/>
  <c r="F333" i="11" s="1"/>
  <c r="D333" i="11"/>
  <c r="C333" i="11"/>
  <c r="B333" i="11"/>
  <c r="A333" i="11"/>
  <c r="H332" i="11"/>
  <c r="E332" i="11"/>
  <c r="F332" i="11" s="1"/>
  <c r="D332" i="11"/>
  <c r="C332" i="11"/>
  <c r="B332" i="11"/>
  <c r="A332" i="11"/>
  <c r="H331" i="11"/>
  <c r="E331" i="11"/>
  <c r="F331" i="11" s="1"/>
  <c r="D331" i="11"/>
  <c r="C331" i="11"/>
  <c r="B331" i="11"/>
  <c r="A331" i="11"/>
  <c r="H330" i="11"/>
  <c r="E330" i="11"/>
  <c r="F330" i="11" s="1"/>
  <c r="D330" i="11"/>
  <c r="C330" i="11"/>
  <c r="B330" i="11"/>
  <c r="A330" i="11"/>
  <c r="H329" i="11"/>
  <c r="E329" i="11"/>
  <c r="F329" i="11" s="1"/>
  <c r="D329" i="11"/>
  <c r="C329" i="11"/>
  <c r="B329" i="11"/>
  <c r="A329" i="11"/>
  <c r="H328" i="11"/>
  <c r="E328" i="11"/>
  <c r="F328" i="11" s="1"/>
  <c r="D328" i="11"/>
  <c r="C328" i="11"/>
  <c r="B328" i="11"/>
  <c r="A328" i="11"/>
  <c r="H327" i="11"/>
  <c r="E327" i="11"/>
  <c r="F327" i="11" s="1"/>
  <c r="D327" i="11"/>
  <c r="C327" i="11"/>
  <c r="B327" i="11"/>
  <c r="A327" i="11"/>
  <c r="H326" i="11"/>
  <c r="E326" i="11"/>
  <c r="F326" i="11" s="1"/>
  <c r="D326" i="11"/>
  <c r="C326" i="11"/>
  <c r="B326" i="11"/>
  <c r="A326" i="11"/>
  <c r="H325" i="11"/>
  <c r="E325" i="11"/>
  <c r="F325" i="11" s="1"/>
  <c r="D325" i="11"/>
  <c r="C325" i="11"/>
  <c r="B325" i="11"/>
  <c r="A325" i="11"/>
  <c r="H324" i="11"/>
  <c r="E324" i="11"/>
  <c r="F324" i="11" s="1"/>
  <c r="D324" i="11"/>
  <c r="C324" i="11"/>
  <c r="B324" i="11"/>
  <c r="A324" i="11"/>
  <c r="H323" i="11"/>
  <c r="E323" i="11"/>
  <c r="F323" i="11" s="1"/>
  <c r="D323" i="11"/>
  <c r="C323" i="11"/>
  <c r="B323" i="11"/>
  <c r="A323" i="11"/>
  <c r="H322" i="11"/>
  <c r="E322" i="11"/>
  <c r="F322" i="11" s="1"/>
  <c r="D322" i="11"/>
  <c r="C322" i="11"/>
  <c r="B322" i="11"/>
  <c r="A322" i="11"/>
  <c r="H321" i="11"/>
  <c r="E321" i="11"/>
  <c r="F321" i="11" s="1"/>
  <c r="D321" i="11"/>
  <c r="C321" i="11"/>
  <c r="B321" i="11"/>
  <c r="A321" i="11"/>
  <c r="H320" i="11"/>
  <c r="E320" i="11"/>
  <c r="F320" i="11" s="1"/>
  <c r="D320" i="11"/>
  <c r="C320" i="11"/>
  <c r="B320" i="11"/>
  <c r="A320" i="11"/>
  <c r="H319" i="11"/>
  <c r="E319" i="11"/>
  <c r="F319" i="11" s="1"/>
  <c r="D319" i="11"/>
  <c r="C319" i="11"/>
  <c r="B319" i="11"/>
  <c r="A319" i="11"/>
  <c r="H318" i="11"/>
  <c r="E318" i="11"/>
  <c r="F318" i="11" s="1"/>
  <c r="D318" i="11"/>
  <c r="C318" i="11"/>
  <c r="B318" i="11"/>
  <c r="A318" i="11"/>
  <c r="H317" i="11"/>
  <c r="E317" i="11"/>
  <c r="F317" i="11" s="1"/>
  <c r="D317" i="11"/>
  <c r="C317" i="11"/>
  <c r="B317" i="11"/>
  <c r="A317" i="11"/>
  <c r="H316" i="11"/>
  <c r="E316" i="11"/>
  <c r="F316" i="11" s="1"/>
  <c r="D316" i="11"/>
  <c r="C316" i="11"/>
  <c r="B316" i="11"/>
  <c r="A316" i="11"/>
  <c r="H315" i="11"/>
  <c r="E315" i="11"/>
  <c r="F315" i="11" s="1"/>
  <c r="D315" i="11"/>
  <c r="C315" i="11"/>
  <c r="B315" i="11"/>
  <c r="A315" i="11"/>
  <c r="H314" i="11"/>
  <c r="E314" i="11"/>
  <c r="F314" i="11" s="1"/>
  <c r="D314" i="11"/>
  <c r="C314" i="11"/>
  <c r="B314" i="11"/>
  <c r="A314" i="11"/>
  <c r="H313" i="11"/>
  <c r="E313" i="11"/>
  <c r="F313" i="11" s="1"/>
  <c r="D313" i="11"/>
  <c r="C313" i="11"/>
  <c r="B313" i="11"/>
  <c r="A313" i="11"/>
  <c r="H312" i="11"/>
  <c r="E312" i="11"/>
  <c r="F312" i="11" s="1"/>
  <c r="D312" i="11"/>
  <c r="C312" i="11"/>
  <c r="B312" i="11"/>
  <c r="A312" i="11"/>
  <c r="H311" i="11"/>
  <c r="E311" i="11"/>
  <c r="F311" i="11" s="1"/>
  <c r="D311" i="11"/>
  <c r="C311" i="11"/>
  <c r="B311" i="11"/>
  <c r="A311" i="11"/>
  <c r="H310" i="11"/>
  <c r="E310" i="11"/>
  <c r="F310" i="11" s="1"/>
  <c r="D310" i="11"/>
  <c r="C310" i="11"/>
  <c r="B310" i="11"/>
  <c r="A310" i="11"/>
  <c r="H309" i="11"/>
  <c r="E309" i="11"/>
  <c r="F309" i="11" s="1"/>
  <c r="D309" i="11"/>
  <c r="C309" i="11"/>
  <c r="B309" i="11"/>
  <c r="A309" i="11"/>
  <c r="H308" i="11"/>
  <c r="E308" i="11"/>
  <c r="F308" i="11" s="1"/>
  <c r="D308" i="11"/>
  <c r="C308" i="11"/>
  <c r="B308" i="11"/>
  <c r="A308" i="11"/>
  <c r="H307" i="11"/>
  <c r="E307" i="11"/>
  <c r="F307" i="11" s="1"/>
  <c r="D307" i="11"/>
  <c r="C307" i="11"/>
  <c r="B307" i="11"/>
  <c r="A307" i="11"/>
  <c r="H306" i="11"/>
  <c r="E306" i="11"/>
  <c r="F306" i="11" s="1"/>
  <c r="D306" i="11"/>
  <c r="C306" i="11"/>
  <c r="B306" i="11"/>
  <c r="A306" i="11"/>
  <c r="H305" i="11"/>
  <c r="E305" i="11"/>
  <c r="F305" i="11" s="1"/>
  <c r="D305" i="11"/>
  <c r="C305" i="11"/>
  <c r="B305" i="11"/>
  <c r="A305" i="11"/>
  <c r="H304" i="11"/>
  <c r="E304" i="11"/>
  <c r="F304" i="11" s="1"/>
  <c r="D304" i="11"/>
  <c r="C304" i="11"/>
  <c r="B304" i="11"/>
  <c r="A304" i="11"/>
  <c r="H303" i="11"/>
  <c r="E303" i="11"/>
  <c r="F303" i="11" s="1"/>
  <c r="D303" i="11"/>
  <c r="C303" i="11"/>
  <c r="B303" i="11"/>
  <c r="A303" i="11"/>
  <c r="H302" i="11"/>
  <c r="E302" i="11"/>
  <c r="F302" i="11" s="1"/>
  <c r="D302" i="11"/>
  <c r="C302" i="11"/>
  <c r="B302" i="11"/>
  <c r="A302" i="11"/>
  <c r="H301" i="11"/>
  <c r="E301" i="11"/>
  <c r="F301" i="11" s="1"/>
  <c r="D301" i="11"/>
  <c r="C301" i="11"/>
  <c r="B301" i="11"/>
  <c r="A301" i="11"/>
  <c r="H300" i="11"/>
  <c r="E300" i="11"/>
  <c r="F300" i="11" s="1"/>
  <c r="D300" i="11"/>
  <c r="C300" i="11"/>
  <c r="B300" i="11"/>
  <c r="A300" i="11"/>
  <c r="H299" i="11"/>
  <c r="E299" i="11"/>
  <c r="F299" i="11" s="1"/>
  <c r="D299" i="11"/>
  <c r="C299" i="11"/>
  <c r="B299" i="11"/>
  <c r="A299" i="11"/>
  <c r="H298" i="11"/>
  <c r="E298" i="11"/>
  <c r="F298" i="11" s="1"/>
  <c r="D298" i="11"/>
  <c r="C298" i="11"/>
  <c r="B298" i="11"/>
  <c r="A298" i="11"/>
  <c r="H297" i="11"/>
  <c r="E297" i="11"/>
  <c r="F297" i="11" s="1"/>
  <c r="D297" i="11"/>
  <c r="C297" i="11"/>
  <c r="B297" i="11"/>
  <c r="A297" i="11"/>
  <c r="H296" i="11"/>
  <c r="E296" i="11"/>
  <c r="F296" i="11" s="1"/>
  <c r="D296" i="11"/>
  <c r="C296" i="11"/>
  <c r="B296" i="11"/>
  <c r="A296" i="11"/>
  <c r="H295" i="11"/>
  <c r="E295" i="11"/>
  <c r="F295" i="11" s="1"/>
  <c r="D295" i="11"/>
  <c r="C295" i="11"/>
  <c r="B295" i="11"/>
  <c r="A295" i="11"/>
  <c r="H294" i="11"/>
  <c r="E294" i="11"/>
  <c r="F294" i="11" s="1"/>
  <c r="D294" i="11"/>
  <c r="C294" i="11"/>
  <c r="B294" i="11"/>
  <c r="A294" i="11"/>
  <c r="H293" i="11"/>
  <c r="E293" i="11"/>
  <c r="F293" i="11" s="1"/>
  <c r="D293" i="11"/>
  <c r="C293" i="11"/>
  <c r="B293" i="11"/>
  <c r="A293" i="11"/>
  <c r="H292" i="11"/>
  <c r="E292" i="11"/>
  <c r="F292" i="11" s="1"/>
  <c r="D292" i="11"/>
  <c r="C292" i="11"/>
  <c r="B292" i="11"/>
  <c r="A292" i="11"/>
  <c r="H291" i="11"/>
  <c r="E291" i="11"/>
  <c r="F291" i="11" s="1"/>
  <c r="D291" i="11"/>
  <c r="C291" i="11"/>
  <c r="B291" i="11"/>
  <c r="A291" i="11"/>
  <c r="H290" i="11"/>
  <c r="E290" i="11"/>
  <c r="F290" i="11" s="1"/>
  <c r="D290" i="11"/>
  <c r="C290" i="11"/>
  <c r="B290" i="11"/>
  <c r="A290" i="11"/>
  <c r="H289" i="11"/>
  <c r="E289" i="11"/>
  <c r="F289" i="11" s="1"/>
  <c r="D289" i="11"/>
  <c r="C289" i="11"/>
  <c r="B289" i="11"/>
  <c r="A289" i="11"/>
  <c r="H288" i="11"/>
  <c r="E288" i="11"/>
  <c r="F288" i="11" s="1"/>
  <c r="D288" i="11"/>
  <c r="C288" i="11"/>
  <c r="B288" i="11"/>
  <c r="A288" i="11"/>
  <c r="H287" i="11"/>
  <c r="E287" i="11"/>
  <c r="F287" i="11" s="1"/>
  <c r="D287" i="11"/>
  <c r="C287" i="11"/>
  <c r="B287" i="11"/>
  <c r="A287" i="11"/>
  <c r="H286" i="11"/>
  <c r="E286" i="11"/>
  <c r="F286" i="11" s="1"/>
  <c r="D286" i="11"/>
  <c r="C286" i="11"/>
  <c r="B286" i="11"/>
  <c r="A286" i="11"/>
  <c r="H285" i="11"/>
  <c r="E285" i="11"/>
  <c r="F285" i="11" s="1"/>
  <c r="D285" i="11"/>
  <c r="C285" i="11"/>
  <c r="B285" i="11"/>
  <c r="A285" i="11"/>
  <c r="H284" i="11"/>
  <c r="E284" i="11"/>
  <c r="F284" i="11" s="1"/>
  <c r="D284" i="11"/>
  <c r="C284" i="11"/>
  <c r="B284" i="11"/>
  <c r="A284" i="11"/>
  <c r="H283" i="11"/>
  <c r="E283" i="11"/>
  <c r="F283" i="11" s="1"/>
  <c r="D283" i="11"/>
  <c r="C283" i="11"/>
  <c r="B283" i="11"/>
  <c r="A283" i="11"/>
  <c r="H282" i="11"/>
  <c r="E282" i="11"/>
  <c r="F282" i="11" s="1"/>
  <c r="D282" i="11"/>
  <c r="C282" i="11"/>
  <c r="B282" i="11"/>
  <c r="A282" i="11"/>
  <c r="H281" i="11"/>
  <c r="E281" i="11"/>
  <c r="F281" i="11" s="1"/>
  <c r="D281" i="11"/>
  <c r="C281" i="11"/>
  <c r="B281" i="11"/>
  <c r="A281" i="11"/>
  <c r="H280" i="11"/>
  <c r="E280" i="11"/>
  <c r="F280" i="11" s="1"/>
  <c r="D280" i="11"/>
  <c r="C280" i="11"/>
  <c r="B280" i="11"/>
  <c r="A280" i="11"/>
  <c r="H279" i="11"/>
  <c r="E279" i="11"/>
  <c r="F279" i="11" s="1"/>
  <c r="D279" i="11"/>
  <c r="C279" i="11"/>
  <c r="B279" i="11"/>
  <c r="A279" i="11"/>
  <c r="H278" i="11"/>
  <c r="E278" i="11"/>
  <c r="F278" i="11" s="1"/>
  <c r="D278" i="11"/>
  <c r="C278" i="11"/>
  <c r="B278" i="11"/>
  <c r="A278" i="11"/>
  <c r="H277" i="11"/>
  <c r="E277" i="11"/>
  <c r="F277" i="11" s="1"/>
  <c r="D277" i="11"/>
  <c r="C277" i="11"/>
  <c r="B277" i="11"/>
  <c r="A277" i="11"/>
  <c r="H276" i="11"/>
  <c r="E276" i="11"/>
  <c r="F276" i="11" s="1"/>
  <c r="D276" i="11"/>
  <c r="C276" i="11"/>
  <c r="B276" i="11"/>
  <c r="A276" i="11"/>
  <c r="H275" i="11"/>
  <c r="E275" i="11"/>
  <c r="F275" i="11" s="1"/>
  <c r="D275" i="11"/>
  <c r="C275" i="11"/>
  <c r="B275" i="11"/>
  <c r="A275" i="11"/>
  <c r="H274" i="11"/>
  <c r="E274" i="11"/>
  <c r="F274" i="11" s="1"/>
  <c r="D274" i="11"/>
  <c r="C274" i="11"/>
  <c r="B274" i="11"/>
  <c r="A274" i="11"/>
  <c r="H273" i="11"/>
  <c r="E273" i="11"/>
  <c r="F273" i="11" s="1"/>
  <c r="D273" i="11"/>
  <c r="C273" i="11"/>
  <c r="B273" i="11"/>
  <c r="A273" i="11"/>
  <c r="H272" i="11"/>
  <c r="E272" i="11"/>
  <c r="F272" i="11" s="1"/>
  <c r="D272" i="11"/>
  <c r="C272" i="11"/>
  <c r="B272" i="11"/>
  <c r="A272" i="11"/>
  <c r="H271" i="11"/>
  <c r="E271" i="11"/>
  <c r="F271" i="11" s="1"/>
  <c r="D271" i="11"/>
  <c r="C271" i="11"/>
  <c r="B271" i="11"/>
  <c r="A271" i="11"/>
  <c r="H270" i="11"/>
  <c r="E270" i="11"/>
  <c r="F270" i="11" s="1"/>
  <c r="D270" i="11"/>
  <c r="C270" i="11"/>
  <c r="B270" i="11"/>
  <c r="A270" i="11"/>
  <c r="H269" i="11"/>
  <c r="E269" i="11"/>
  <c r="F269" i="11" s="1"/>
  <c r="D269" i="11"/>
  <c r="C269" i="11"/>
  <c r="B269" i="11"/>
  <c r="A269" i="11"/>
  <c r="H268" i="11"/>
  <c r="E268" i="11"/>
  <c r="F268" i="11" s="1"/>
  <c r="D268" i="11"/>
  <c r="C268" i="11"/>
  <c r="B268" i="11"/>
  <c r="A268" i="11"/>
  <c r="H267" i="11"/>
  <c r="E267" i="11"/>
  <c r="F267" i="11" s="1"/>
  <c r="D267" i="11"/>
  <c r="C267" i="11"/>
  <c r="B267" i="11"/>
  <c r="A267" i="11"/>
  <c r="H266" i="11"/>
  <c r="E266" i="11"/>
  <c r="F266" i="11" s="1"/>
  <c r="D266" i="11"/>
  <c r="C266" i="11"/>
  <c r="B266" i="11"/>
  <c r="A266" i="11"/>
  <c r="H265" i="11"/>
  <c r="E265" i="11"/>
  <c r="F265" i="11" s="1"/>
  <c r="D265" i="11"/>
  <c r="C265" i="11"/>
  <c r="B265" i="11"/>
  <c r="A265" i="11"/>
  <c r="H264" i="11"/>
  <c r="E264" i="11"/>
  <c r="F264" i="11" s="1"/>
  <c r="D264" i="11"/>
  <c r="C264" i="11"/>
  <c r="B264" i="11"/>
  <c r="A264" i="11"/>
  <c r="H263" i="11"/>
  <c r="E263" i="11"/>
  <c r="F263" i="11" s="1"/>
  <c r="D263" i="11"/>
  <c r="C263" i="11"/>
  <c r="B263" i="11"/>
  <c r="A263" i="11"/>
  <c r="H262" i="11"/>
  <c r="E262" i="11"/>
  <c r="F262" i="11" s="1"/>
  <c r="D262" i="11"/>
  <c r="C262" i="11"/>
  <c r="B262" i="11"/>
  <c r="A262" i="11"/>
  <c r="H261" i="11"/>
  <c r="E261" i="11"/>
  <c r="F261" i="11" s="1"/>
  <c r="D261" i="11"/>
  <c r="C261" i="11"/>
  <c r="B261" i="11"/>
  <c r="A261" i="11"/>
  <c r="H260" i="11"/>
  <c r="E260" i="11"/>
  <c r="F260" i="11" s="1"/>
  <c r="D260" i="11"/>
  <c r="C260" i="11"/>
  <c r="B260" i="11"/>
  <c r="A260" i="11"/>
  <c r="H259" i="11"/>
  <c r="E259" i="11"/>
  <c r="F259" i="11" s="1"/>
  <c r="D259" i="11"/>
  <c r="C259" i="11"/>
  <c r="B259" i="11"/>
  <c r="A259" i="11"/>
  <c r="H258" i="11"/>
  <c r="E258" i="11"/>
  <c r="F258" i="11" s="1"/>
  <c r="D258" i="11"/>
  <c r="C258" i="11"/>
  <c r="B258" i="11"/>
  <c r="A258" i="11"/>
  <c r="H257" i="11"/>
  <c r="E257" i="11"/>
  <c r="F257" i="11" s="1"/>
  <c r="D257" i="11"/>
  <c r="C257" i="11"/>
  <c r="B257" i="11"/>
  <c r="A257" i="11"/>
  <c r="H256" i="11"/>
  <c r="E256" i="11"/>
  <c r="F256" i="11" s="1"/>
  <c r="D256" i="11"/>
  <c r="C256" i="11"/>
  <c r="B256" i="11"/>
  <c r="A256" i="11"/>
  <c r="H255" i="11"/>
  <c r="E255" i="11"/>
  <c r="F255" i="11" s="1"/>
  <c r="D255" i="11"/>
  <c r="C255" i="11"/>
  <c r="B255" i="11"/>
  <c r="A255" i="11"/>
  <c r="H254" i="11"/>
  <c r="E254" i="11"/>
  <c r="F254" i="11" s="1"/>
  <c r="D254" i="11"/>
  <c r="C254" i="11"/>
  <c r="B254" i="11"/>
  <c r="A254" i="11"/>
  <c r="H253" i="11"/>
  <c r="E253" i="11"/>
  <c r="F253" i="11" s="1"/>
  <c r="D253" i="11"/>
  <c r="C253" i="11"/>
  <c r="B253" i="11"/>
  <c r="A253" i="11"/>
  <c r="H252" i="11"/>
  <c r="E252" i="11"/>
  <c r="F252" i="11" s="1"/>
  <c r="D252" i="11"/>
  <c r="C252" i="11"/>
  <c r="B252" i="11"/>
  <c r="A252" i="11"/>
  <c r="H251" i="11"/>
  <c r="E251" i="11"/>
  <c r="F251" i="11" s="1"/>
  <c r="D251" i="11"/>
  <c r="C251" i="11"/>
  <c r="B251" i="11"/>
  <c r="A251" i="11"/>
  <c r="H250" i="11"/>
  <c r="E250" i="11"/>
  <c r="F250" i="11" s="1"/>
  <c r="D250" i="11"/>
  <c r="C250" i="11"/>
  <c r="B250" i="11"/>
  <c r="A250" i="11"/>
  <c r="H249" i="11"/>
  <c r="E249" i="11"/>
  <c r="F249" i="11" s="1"/>
  <c r="D249" i="11"/>
  <c r="C249" i="11"/>
  <c r="B249" i="11"/>
  <c r="A249" i="11"/>
  <c r="H248" i="11"/>
  <c r="E248" i="11"/>
  <c r="F248" i="11" s="1"/>
  <c r="D248" i="11"/>
  <c r="C248" i="11"/>
  <c r="B248" i="11"/>
  <c r="A248" i="11"/>
  <c r="H247" i="11"/>
  <c r="E247" i="11"/>
  <c r="F247" i="11" s="1"/>
  <c r="D247" i="11"/>
  <c r="C247" i="11"/>
  <c r="B247" i="11"/>
  <c r="A247" i="11"/>
  <c r="H246" i="11"/>
  <c r="E246" i="11"/>
  <c r="F246" i="11" s="1"/>
  <c r="D246" i="11"/>
  <c r="C246" i="11"/>
  <c r="B246" i="11"/>
  <c r="A246" i="11"/>
  <c r="H245" i="11"/>
  <c r="E245" i="11"/>
  <c r="F245" i="11" s="1"/>
  <c r="D245" i="11"/>
  <c r="C245" i="11"/>
  <c r="B245" i="11"/>
  <c r="A245" i="11"/>
  <c r="H244" i="11"/>
  <c r="E244" i="11"/>
  <c r="F244" i="11" s="1"/>
  <c r="D244" i="11"/>
  <c r="C244" i="11"/>
  <c r="B244" i="11"/>
  <c r="A244" i="11"/>
  <c r="H243" i="11"/>
  <c r="E243" i="11"/>
  <c r="F243" i="11" s="1"/>
  <c r="D243" i="11"/>
  <c r="C243" i="11"/>
  <c r="B243" i="11"/>
  <c r="A243" i="11"/>
  <c r="H242" i="11"/>
  <c r="E242" i="11"/>
  <c r="F242" i="11" s="1"/>
  <c r="D242" i="11"/>
  <c r="C242" i="11"/>
  <c r="B242" i="11"/>
  <c r="A242" i="11"/>
  <c r="H241" i="11"/>
  <c r="E241" i="11"/>
  <c r="F241" i="11" s="1"/>
  <c r="D241" i="11"/>
  <c r="C241" i="11"/>
  <c r="B241" i="11"/>
  <c r="A241" i="11"/>
  <c r="H240" i="11"/>
  <c r="E240" i="11"/>
  <c r="F240" i="11" s="1"/>
  <c r="D240" i="11"/>
  <c r="C240" i="11"/>
  <c r="B240" i="11"/>
  <c r="A240" i="11"/>
  <c r="H239" i="11"/>
  <c r="E239" i="11"/>
  <c r="F239" i="11" s="1"/>
  <c r="D239" i="11"/>
  <c r="C239" i="11"/>
  <c r="B239" i="11"/>
  <c r="A239" i="11"/>
  <c r="H238" i="11"/>
  <c r="E238" i="11"/>
  <c r="F238" i="11" s="1"/>
  <c r="D238" i="11"/>
  <c r="C238" i="11"/>
  <c r="B238" i="11"/>
  <c r="A238" i="11"/>
  <c r="H237" i="11"/>
  <c r="E237" i="11"/>
  <c r="F237" i="11" s="1"/>
  <c r="D237" i="11"/>
  <c r="C237" i="11"/>
  <c r="B237" i="11"/>
  <c r="A237" i="11"/>
  <c r="H236" i="11"/>
  <c r="E236" i="11"/>
  <c r="F236" i="11" s="1"/>
  <c r="D236" i="11"/>
  <c r="C236" i="11"/>
  <c r="B236" i="11"/>
  <c r="A236" i="11"/>
  <c r="H235" i="11"/>
  <c r="E235" i="11"/>
  <c r="F235" i="11" s="1"/>
  <c r="D235" i="11"/>
  <c r="C235" i="11"/>
  <c r="B235" i="11"/>
  <c r="A235" i="11"/>
  <c r="H234" i="11"/>
  <c r="E234" i="11"/>
  <c r="F234" i="11" s="1"/>
  <c r="D234" i="11"/>
  <c r="C234" i="11"/>
  <c r="B234" i="11"/>
  <c r="A234" i="11"/>
  <c r="H233" i="11"/>
  <c r="E233" i="11"/>
  <c r="F233" i="11" s="1"/>
  <c r="D233" i="11"/>
  <c r="C233" i="11"/>
  <c r="B233" i="11"/>
  <c r="A233" i="11"/>
  <c r="H232" i="11"/>
  <c r="E232" i="11"/>
  <c r="F232" i="11" s="1"/>
  <c r="D232" i="11"/>
  <c r="C232" i="11"/>
  <c r="B232" i="11"/>
  <c r="A232" i="11"/>
  <c r="H231" i="11"/>
  <c r="E231" i="11"/>
  <c r="F231" i="11" s="1"/>
  <c r="D231" i="11"/>
  <c r="C231" i="11"/>
  <c r="B231" i="11"/>
  <c r="A231" i="11"/>
  <c r="H230" i="11"/>
  <c r="E230" i="11"/>
  <c r="F230" i="11" s="1"/>
  <c r="D230" i="11"/>
  <c r="C230" i="11"/>
  <c r="B230" i="11"/>
  <c r="A230" i="11"/>
  <c r="H229" i="11"/>
  <c r="E229" i="11"/>
  <c r="F229" i="11" s="1"/>
  <c r="D229" i="11"/>
  <c r="C229" i="11"/>
  <c r="B229" i="11"/>
  <c r="A229" i="11"/>
  <c r="H228" i="11"/>
  <c r="E228" i="11"/>
  <c r="F228" i="11" s="1"/>
  <c r="D228" i="11"/>
  <c r="C228" i="11"/>
  <c r="B228" i="11"/>
  <c r="A228" i="11"/>
  <c r="H227" i="11"/>
  <c r="E227" i="11"/>
  <c r="F227" i="11" s="1"/>
  <c r="D227" i="11"/>
  <c r="C227" i="11"/>
  <c r="B227" i="11"/>
  <c r="A227" i="11"/>
  <c r="H226" i="11"/>
  <c r="E226" i="11"/>
  <c r="F226" i="11" s="1"/>
  <c r="D226" i="11"/>
  <c r="C226" i="11"/>
  <c r="B226" i="11"/>
  <c r="A226" i="11"/>
  <c r="H225" i="11"/>
  <c r="E225" i="11"/>
  <c r="F225" i="11" s="1"/>
  <c r="D225" i="11"/>
  <c r="C225" i="11"/>
  <c r="B225" i="11"/>
  <c r="A225" i="11"/>
  <c r="H224" i="11"/>
  <c r="E224" i="11"/>
  <c r="F224" i="11" s="1"/>
  <c r="D224" i="11"/>
  <c r="C224" i="11"/>
  <c r="B224" i="11"/>
  <c r="A224" i="11"/>
  <c r="H223" i="11"/>
  <c r="E223" i="11"/>
  <c r="F223" i="11" s="1"/>
  <c r="D223" i="11"/>
  <c r="C223" i="11"/>
  <c r="B223" i="11"/>
  <c r="A223" i="11"/>
  <c r="H222" i="11"/>
  <c r="E222" i="11"/>
  <c r="F222" i="11" s="1"/>
  <c r="D222" i="11"/>
  <c r="C222" i="11"/>
  <c r="B222" i="11"/>
  <c r="A222" i="11"/>
  <c r="H221" i="11"/>
  <c r="E221" i="11"/>
  <c r="F221" i="11" s="1"/>
  <c r="D221" i="11"/>
  <c r="C221" i="11"/>
  <c r="B221" i="11"/>
  <c r="A221" i="11"/>
  <c r="H220" i="11"/>
  <c r="E220" i="11"/>
  <c r="F220" i="11" s="1"/>
  <c r="D220" i="11"/>
  <c r="C220" i="11"/>
  <c r="B220" i="11"/>
  <c r="A220" i="11"/>
  <c r="H219" i="11"/>
  <c r="E219" i="11"/>
  <c r="F219" i="11" s="1"/>
  <c r="D219" i="11"/>
  <c r="C219" i="11"/>
  <c r="B219" i="11"/>
  <c r="A219" i="11"/>
  <c r="H218" i="11"/>
  <c r="E218" i="11"/>
  <c r="F218" i="11" s="1"/>
  <c r="D218" i="11"/>
  <c r="C218" i="11"/>
  <c r="B218" i="11"/>
  <c r="A218" i="11"/>
  <c r="H217" i="11"/>
  <c r="E217" i="11"/>
  <c r="F217" i="11" s="1"/>
  <c r="D217" i="11"/>
  <c r="C217" i="11"/>
  <c r="B217" i="11"/>
  <c r="A217" i="11"/>
  <c r="H216" i="11"/>
  <c r="E216" i="11"/>
  <c r="F216" i="11" s="1"/>
  <c r="D216" i="11"/>
  <c r="C216" i="11"/>
  <c r="B216" i="11"/>
  <c r="A216" i="11"/>
  <c r="H215" i="11"/>
  <c r="E215" i="11"/>
  <c r="F215" i="11" s="1"/>
  <c r="D215" i="11"/>
  <c r="C215" i="11"/>
  <c r="B215" i="11"/>
  <c r="A215" i="11"/>
  <c r="H214" i="11"/>
  <c r="E214" i="11"/>
  <c r="F214" i="11" s="1"/>
  <c r="D214" i="11"/>
  <c r="C214" i="11"/>
  <c r="B214" i="11"/>
  <c r="A214" i="11"/>
  <c r="H213" i="11"/>
  <c r="E213" i="11"/>
  <c r="F213" i="11" s="1"/>
  <c r="D213" i="11"/>
  <c r="C213" i="11"/>
  <c r="B213" i="11"/>
  <c r="A213" i="11"/>
  <c r="H212" i="11"/>
  <c r="E212" i="11"/>
  <c r="F212" i="11" s="1"/>
  <c r="D212" i="11"/>
  <c r="C212" i="11"/>
  <c r="B212" i="11"/>
  <c r="A212" i="11"/>
  <c r="H211" i="11"/>
  <c r="E211" i="11"/>
  <c r="F211" i="11" s="1"/>
  <c r="D211" i="11"/>
  <c r="C211" i="11"/>
  <c r="B211" i="11"/>
  <c r="A211" i="11"/>
  <c r="H210" i="11"/>
  <c r="E210" i="11"/>
  <c r="F210" i="11" s="1"/>
  <c r="D210" i="11"/>
  <c r="C210" i="11"/>
  <c r="B210" i="11"/>
  <c r="A210" i="11"/>
  <c r="H209" i="11"/>
  <c r="E209" i="11"/>
  <c r="F209" i="11" s="1"/>
  <c r="D209" i="11"/>
  <c r="C209" i="11"/>
  <c r="B209" i="11"/>
  <c r="A209" i="11"/>
  <c r="H208" i="11"/>
  <c r="E208" i="11"/>
  <c r="F208" i="11" s="1"/>
  <c r="D208" i="11"/>
  <c r="C208" i="11"/>
  <c r="B208" i="11"/>
  <c r="A208" i="11"/>
  <c r="H207" i="11"/>
  <c r="E207" i="11"/>
  <c r="F207" i="11" s="1"/>
  <c r="D207" i="11"/>
  <c r="C207" i="11"/>
  <c r="B207" i="11"/>
  <c r="A207" i="11"/>
  <c r="H206" i="11"/>
  <c r="E206" i="11"/>
  <c r="F206" i="11" s="1"/>
  <c r="D206" i="11"/>
  <c r="C206" i="11"/>
  <c r="B206" i="11"/>
  <c r="A206" i="11"/>
  <c r="H205" i="11"/>
  <c r="E205" i="11"/>
  <c r="F205" i="11" s="1"/>
  <c r="D205" i="11"/>
  <c r="C205" i="11"/>
  <c r="B205" i="11"/>
  <c r="A205" i="11"/>
  <c r="H204" i="11"/>
  <c r="E204" i="11"/>
  <c r="F204" i="11" s="1"/>
  <c r="D204" i="11"/>
  <c r="C204" i="11"/>
  <c r="B204" i="11"/>
  <c r="A204" i="11"/>
  <c r="H203" i="11"/>
  <c r="E203" i="11"/>
  <c r="F203" i="11" s="1"/>
  <c r="D203" i="11"/>
  <c r="C203" i="11"/>
  <c r="B203" i="11"/>
  <c r="A203" i="11"/>
  <c r="H202" i="11"/>
  <c r="E202" i="11"/>
  <c r="F202" i="11" s="1"/>
  <c r="D202" i="11"/>
  <c r="C202" i="11"/>
  <c r="B202" i="11"/>
  <c r="A202" i="11"/>
  <c r="H201" i="11"/>
  <c r="E201" i="11"/>
  <c r="F201" i="11" s="1"/>
  <c r="D201" i="11"/>
  <c r="C201" i="11"/>
  <c r="B201" i="11"/>
  <c r="A201" i="11"/>
  <c r="H200" i="11"/>
  <c r="E200" i="11"/>
  <c r="F200" i="11" s="1"/>
  <c r="D200" i="11"/>
  <c r="C200" i="11"/>
  <c r="B200" i="11"/>
  <c r="A200" i="11"/>
  <c r="H199" i="11"/>
  <c r="E199" i="11"/>
  <c r="F199" i="11" s="1"/>
  <c r="D199" i="11"/>
  <c r="C199" i="11"/>
  <c r="B199" i="11"/>
  <c r="A199" i="11"/>
  <c r="H198" i="11"/>
  <c r="E198" i="11"/>
  <c r="F198" i="11" s="1"/>
  <c r="D198" i="11"/>
  <c r="C198" i="11"/>
  <c r="B198" i="11"/>
  <c r="A198" i="11"/>
  <c r="H197" i="11"/>
  <c r="E197" i="11"/>
  <c r="F197" i="11" s="1"/>
  <c r="D197" i="11"/>
  <c r="C197" i="11"/>
  <c r="B197" i="11"/>
  <c r="A197" i="11"/>
  <c r="H196" i="11"/>
  <c r="E196" i="11"/>
  <c r="F196" i="11" s="1"/>
  <c r="D196" i="11"/>
  <c r="C196" i="11"/>
  <c r="B196" i="11"/>
  <c r="A196" i="11"/>
  <c r="H195" i="11"/>
  <c r="E195" i="11"/>
  <c r="F195" i="11" s="1"/>
  <c r="D195" i="11"/>
  <c r="C195" i="11"/>
  <c r="B195" i="11"/>
  <c r="A195" i="11"/>
  <c r="H194" i="11"/>
  <c r="E194" i="11"/>
  <c r="F194" i="11" s="1"/>
  <c r="D194" i="11"/>
  <c r="C194" i="11"/>
  <c r="B194" i="11"/>
  <c r="A194" i="11"/>
  <c r="H193" i="11"/>
  <c r="E193" i="11"/>
  <c r="F193" i="11" s="1"/>
  <c r="D193" i="11"/>
  <c r="C193" i="11"/>
  <c r="B193" i="11"/>
  <c r="A193" i="11"/>
  <c r="H192" i="11"/>
  <c r="E192" i="11"/>
  <c r="F192" i="11" s="1"/>
  <c r="D192" i="11"/>
  <c r="C192" i="11"/>
  <c r="B192" i="11"/>
  <c r="A192" i="11"/>
  <c r="H191" i="11"/>
  <c r="E191" i="11"/>
  <c r="F191" i="11" s="1"/>
  <c r="D191" i="11"/>
  <c r="C191" i="11"/>
  <c r="B191" i="11"/>
  <c r="A191" i="11"/>
  <c r="H190" i="11"/>
  <c r="E190" i="11"/>
  <c r="F190" i="11" s="1"/>
  <c r="D190" i="11"/>
  <c r="C190" i="11"/>
  <c r="B190" i="11"/>
  <c r="A190" i="11"/>
  <c r="H189" i="11"/>
  <c r="E189" i="11"/>
  <c r="F189" i="11" s="1"/>
  <c r="D189" i="11"/>
  <c r="C189" i="11"/>
  <c r="B189" i="11"/>
  <c r="A189" i="11"/>
  <c r="H188" i="11"/>
  <c r="E188" i="11"/>
  <c r="F188" i="11" s="1"/>
  <c r="D188" i="11"/>
  <c r="C188" i="11"/>
  <c r="B188" i="11"/>
  <c r="A188" i="11"/>
  <c r="H187" i="11"/>
  <c r="E187" i="11"/>
  <c r="F187" i="11" s="1"/>
  <c r="D187" i="11"/>
  <c r="C187" i="11"/>
  <c r="B187" i="11"/>
  <c r="A187" i="11"/>
  <c r="H186" i="11"/>
  <c r="E186" i="11"/>
  <c r="F186" i="11" s="1"/>
  <c r="D186" i="11"/>
  <c r="C186" i="11"/>
  <c r="B186" i="11"/>
  <c r="A186" i="11"/>
  <c r="H185" i="11"/>
  <c r="E185" i="11"/>
  <c r="F185" i="11" s="1"/>
  <c r="D185" i="11"/>
  <c r="C185" i="11"/>
  <c r="B185" i="11"/>
  <c r="A185" i="11"/>
  <c r="H184" i="11"/>
  <c r="E184" i="11"/>
  <c r="F184" i="11" s="1"/>
  <c r="D184" i="11"/>
  <c r="C184" i="11"/>
  <c r="B184" i="11"/>
  <c r="A184" i="11"/>
  <c r="H183" i="11"/>
  <c r="E183" i="11"/>
  <c r="F183" i="11" s="1"/>
  <c r="D183" i="11"/>
  <c r="C183" i="11"/>
  <c r="B183" i="11"/>
  <c r="A183" i="11"/>
  <c r="H182" i="11"/>
  <c r="E182" i="11"/>
  <c r="F182" i="11" s="1"/>
  <c r="D182" i="11"/>
  <c r="C182" i="11"/>
  <c r="B182" i="11"/>
  <c r="A182" i="11"/>
  <c r="H181" i="11"/>
  <c r="E181" i="11"/>
  <c r="F181" i="11" s="1"/>
  <c r="D181" i="11"/>
  <c r="C181" i="11"/>
  <c r="B181" i="11"/>
  <c r="A181" i="11"/>
  <c r="H180" i="11"/>
  <c r="E180" i="11"/>
  <c r="F180" i="11" s="1"/>
  <c r="D180" i="11"/>
  <c r="C180" i="11"/>
  <c r="B180" i="11"/>
  <c r="A180" i="11"/>
  <c r="H179" i="11"/>
  <c r="E179" i="11"/>
  <c r="F179" i="11" s="1"/>
  <c r="D179" i="11"/>
  <c r="C179" i="11"/>
  <c r="B179" i="11"/>
  <c r="A179" i="11"/>
  <c r="H178" i="11"/>
  <c r="E178" i="11"/>
  <c r="F178" i="11" s="1"/>
  <c r="D178" i="11"/>
  <c r="C178" i="11"/>
  <c r="B178" i="11"/>
  <c r="A178" i="11"/>
  <c r="H177" i="11"/>
  <c r="E177" i="11"/>
  <c r="F177" i="11" s="1"/>
  <c r="D177" i="11"/>
  <c r="C177" i="11"/>
  <c r="B177" i="11"/>
  <c r="A177" i="11"/>
  <c r="H176" i="11"/>
  <c r="E176" i="11"/>
  <c r="F176" i="11" s="1"/>
  <c r="D176" i="11"/>
  <c r="C176" i="11"/>
  <c r="B176" i="11"/>
  <c r="A176" i="11"/>
  <c r="H175" i="11"/>
  <c r="E175" i="11"/>
  <c r="F175" i="11" s="1"/>
  <c r="D175" i="11"/>
  <c r="C175" i="11"/>
  <c r="B175" i="11"/>
  <c r="A175" i="11"/>
  <c r="H174" i="11"/>
  <c r="E174" i="11"/>
  <c r="F174" i="11" s="1"/>
  <c r="D174" i="11"/>
  <c r="C174" i="11"/>
  <c r="B174" i="11"/>
  <c r="A174" i="11"/>
  <c r="H173" i="11"/>
  <c r="E173" i="11"/>
  <c r="F173" i="11" s="1"/>
  <c r="D173" i="11"/>
  <c r="C173" i="11"/>
  <c r="B173" i="11"/>
  <c r="A173" i="11"/>
  <c r="H172" i="11"/>
  <c r="E172" i="11"/>
  <c r="F172" i="11" s="1"/>
  <c r="D172" i="11"/>
  <c r="C172" i="11"/>
  <c r="B172" i="11"/>
  <c r="A172" i="11"/>
  <c r="H171" i="11"/>
  <c r="E171" i="11"/>
  <c r="F171" i="11" s="1"/>
  <c r="D171" i="11"/>
  <c r="C171" i="11"/>
  <c r="B171" i="11"/>
  <c r="A171" i="11"/>
  <c r="H170" i="11"/>
  <c r="E170" i="11"/>
  <c r="F170" i="11" s="1"/>
  <c r="D170" i="11"/>
  <c r="C170" i="11"/>
  <c r="B170" i="11"/>
  <c r="A170" i="11"/>
  <c r="H169" i="11"/>
  <c r="E169" i="11"/>
  <c r="F169" i="11" s="1"/>
  <c r="D169" i="11"/>
  <c r="C169" i="11"/>
  <c r="B169" i="11"/>
  <c r="A169" i="11"/>
  <c r="H168" i="11"/>
  <c r="E168" i="11"/>
  <c r="F168" i="11" s="1"/>
  <c r="D168" i="11"/>
  <c r="C168" i="11"/>
  <c r="B168" i="11"/>
  <c r="A168" i="11"/>
  <c r="H167" i="11"/>
  <c r="E167" i="11"/>
  <c r="F167" i="11" s="1"/>
  <c r="D167" i="11"/>
  <c r="C167" i="11"/>
  <c r="B167" i="11"/>
  <c r="A167" i="11"/>
  <c r="H166" i="11"/>
  <c r="E166" i="11"/>
  <c r="F166" i="11" s="1"/>
  <c r="D166" i="11"/>
  <c r="C166" i="11"/>
  <c r="B166" i="11"/>
  <c r="A166" i="11"/>
  <c r="H165" i="11"/>
  <c r="E165" i="11"/>
  <c r="F165" i="11" s="1"/>
  <c r="D165" i="11"/>
  <c r="C165" i="11"/>
  <c r="B165" i="11"/>
  <c r="A165" i="11"/>
  <c r="H164" i="11"/>
  <c r="E164" i="11"/>
  <c r="F164" i="11" s="1"/>
  <c r="D164" i="11"/>
  <c r="C164" i="11"/>
  <c r="B164" i="11"/>
  <c r="A164" i="11"/>
  <c r="H163" i="11"/>
  <c r="E163" i="11"/>
  <c r="F163" i="11" s="1"/>
  <c r="D163" i="11"/>
  <c r="C163" i="11"/>
  <c r="B163" i="11"/>
  <c r="A163" i="11"/>
  <c r="H162" i="11"/>
  <c r="E162" i="11"/>
  <c r="F162" i="11" s="1"/>
  <c r="D162" i="11"/>
  <c r="C162" i="11"/>
  <c r="B162" i="11"/>
  <c r="A162" i="11"/>
  <c r="H161" i="11"/>
  <c r="E161" i="11"/>
  <c r="F161" i="11" s="1"/>
  <c r="D161" i="11"/>
  <c r="C161" i="11"/>
  <c r="B161" i="11"/>
  <c r="A161" i="11"/>
  <c r="H160" i="11"/>
  <c r="E160" i="11"/>
  <c r="F160" i="11" s="1"/>
  <c r="D160" i="11"/>
  <c r="C160" i="11"/>
  <c r="B160" i="11"/>
  <c r="A160" i="11"/>
  <c r="H159" i="11"/>
  <c r="E159" i="11"/>
  <c r="F159" i="11" s="1"/>
  <c r="D159" i="11"/>
  <c r="C159" i="11"/>
  <c r="B159" i="11"/>
  <c r="A159" i="11"/>
  <c r="H158" i="11"/>
  <c r="E158" i="11"/>
  <c r="F158" i="11" s="1"/>
  <c r="D158" i="11"/>
  <c r="C158" i="11"/>
  <c r="B158" i="11"/>
  <c r="A158" i="11"/>
  <c r="H157" i="11"/>
  <c r="E157" i="11"/>
  <c r="F157" i="11" s="1"/>
  <c r="D157" i="11"/>
  <c r="C157" i="11"/>
  <c r="B157" i="11"/>
  <c r="A157" i="11"/>
  <c r="H156" i="11"/>
  <c r="E156" i="11"/>
  <c r="F156" i="11" s="1"/>
  <c r="D156" i="11"/>
  <c r="C156" i="11"/>
  <c r="B156" i="11"/>
  <c r="A156" i="11"/>
  <c r="H155" i="11"/>
  <c r="E155" i="11"/>
  <c r="F155" i="11" s="1"/>
  <c r="D155" i="11"/>
  <c r="C155" i="11"/>
  <c r="B155" i="11"/>
  <c r="A155" i="11"/>
  <c r="H154" i="11"/>
  <c r="E154" i="11"/>
  <c r="F154" i="11" s="1"/>
  <c r="D154" i="11"/>
  <c r="C154" i="11"/>
  <c r="B154" i="11"/>
  <c r="A154" i="11"/>
  <c r="H153" i="11"/>
  <c r="E153" i="11"/>
  <c r="F153" i="11" s="1"/>
  <c r="D153" i="11"/>
  <c r="C153" i="11"/>
  <c r="B153" i="11"/>
  <c r="A153" i="11"/>
  <c r="H152" i="11"/>
  <c r="E152" i="11"/>
  <c r="F152" i="11" s="1"/>
  <c r="D152" i="11"/>
  <c r="C152" i="11"/>
  <c r="B152" i="11"/>
  <c r="A152" i="11"/>
  <c r="H151" i="11"/>
  <c r="E151" i="11"/>
  <c r="F151" i="11" s="1"/>
  <c r="D151" i="11"/>
  <c r="C151" i="11"/>
  <c r="B151" i="11"/>
  <c r="A151" i="11"/>
  <c r="H150" i="11"/>
  <c r="E150" i="11"/>
  <c r="F150" i="11" s="1"/>
  <c r="D150" i="11"/>
  <c r="C150" i="11"/>
  <c r="B150" i="11"/>
  <c r="A150" i="11"/>
  <c r="H149" i="11"/>
  <c r="E149" i="11"/>
  <c r="F149" i="11" s="1"/>
  <c r="D149" i="11"/>
  <c r="C149" i="11"/>
  <c r="B149" i="11"/>
  <c r="A149" i="11"/>
  <c r="H148" i="11"/>
  <c r="E148" i="11"/>
  <c r="F148" i="11" s="1"/>
  <c r="D148" i="11"/>
  <c r="C148" i="11"/>
  <c r="B148" i="11"/>
  <c r="A148" i="11"/>
  <c r="H147" i="11"/>
  <c r="E147" i="11"/>
  <c r="F147" i="11" s="1"/>
  <c r="D147" i="11"/>
  <c r="C147" i="11"/>
  <c r="B147" i="11"/>
  <c r="A147" i="11"/>
  <c r="H146" i="11"/>
  <c r="E146" i="11"/>
  <c r="F146" i="11" s="1"/>
  <c r="D146" i="11"/>
  <c r="C146" i="11"/>
  <c r="B146" i="11"/>
  <c r="A146" i="11"/>
  <c r="H145" i="11"/>
  <c r="E145" i="11"/>
  <c r="F145" i="11" s="1"/>
  <c r="D145" i="11"/>
  <c r="C145" i="11"/>
  <c r="B145" i="11"/>
  <c r="A145" i="11"/>
  <c r="H144" i="11"/>
  <c r="E144" i="11"/>
  <c r="F144" i="11" s="1"/>
  <c r="D144" i="11"/>
  <c r="C144" i="11"/>
  <c r="B144" i="11"/>
  <c r="A144" i="11"/>
  <c r="H143" i="11"/>
  <c r="E143" i="11"/>
  <c r="F143" i="11" s="1"/>
  <c r="D143" i="11"/>
  <c r="C143" i="11"/>
  <c r="B143" i="11"/>
  <c r="A143" i="11"/>
  <c r="H142" i="11"/>
  <c r="E142" i="11"/>
  <c r="F142" i="11" s="1"/>
  <c r="D142" i="11"/>
  <c r="C142" i="11"/>
  <c r="B142" i="11"/>
  <c r="A142" i="11"/>
  <c r="H141" i="11"/>
  <c r="E141" i="11"/>
  <c r="F141" i="11" s="1"/>
  <c r="D141" i="11"/>
  <c r="C141" i="11"/>
  <c r="B141" i="11"/>
  <c r="A141" i="11"/>
  <c r="H140" i="11"/>
  <c r="E140" i="11"/>
  <c r="F140" i="11" s="1"/>
  <c r="D140" i="11"/>
  <c r="C140" i="11"/>
  <c r="B140" i="11"/>
  <c r="A140" i="11"/>
  <c r="H139" i="11"/>
  <c r="E139" i="11"/>
  <c r="F139" i="11" s="1"/>
  <c r="D139" i="11"/>
  <c r="C139" i="11"/>
  <c r="B139" i="11"/>
  <c r="A139" i="11"/>
  <c r="H138" i="11"/>
  <c r="E138" i="11"/>
  <c r="F138" i="11" s="1"/>
  <c r="D138" i="11"/>
  <c r="C138" i="11"/>
  <c r="B138" i="11"/>
  <c r="A138" i="11"/>
  <c r="H137" i="11"/>
  <c r="E137" i="11"/>
  <c r="F137" i="11" s="1"/>
  <c r="D137" i="11"/>
  <c r="C137" i="11"/>
  <c r="B137" i="11"/>
  <c r="A137" i="11"/>
  <c r="H136" i="11"/>
  <c r="E136" i="11"/>
  <c r="F136" i="11" s="1"/>
  <c r="D136" i="11"/>
  <c r="C136" i="11"/>
  <c r="B136" i="11"/>
  <c r="A136" i="11"/>
  <c r="H135" i="11"/>
  <c r="E135" i="11"/>
  <c r="F135" i="11" s="1"/>
  <c r="D135" i="11"/>
  <c r="C135" i="11"/>
  <c r="B135" i="11"/>
  <c r="A135" i="11"/>
  <c r="H134" i="11"/>
  <c r="E134" i="11"/>
  <c r="F134" i="11" s="1"/>
  <c r="D134" i="11"/>
  <c r="C134" i="11"/>
  <c r="B134" i="11"/>
  <c r="A134" i="11"/>
  <c r="H133" i="11"/>
  <c r="E133" i="11"/>
  <c r="F133" i="11" s="1"/>
  <c r="D133" i="11"/>
  <c r="C133" i="11"/>
  <c r="B133" i="11"/>
  <c r="A133" i="11"/>
  <c r="H132" i="11"/>
  <c r="E132" i="11"/>
  <c r="F132" i="11" s="1"/>
  <c r="D132" i="11"/>
  <c r="C132" i="11"/>
  <c r="B132" i="11"/>
  <c r="A132" i="11"/>
  <c r="H131" i="11"/>
  <c r="E131" i="11"/>
  <c r="F131" i="11" s="1"/>
  <c r="D131" i="11"/>
  <c r="C131" i="11"/>
  <c r="B131" i="11"/>
  <c r="A131" i="11"/>
  <c r="H130" i="11"/>
  <c r="E130" i="11"/>
  <c r="F130" i="11" s="1"/>
  <c r="D130" i="11"/>
  <c r="C130" i="11"/>
  <c r="B130" i="11"/>
  <c r="A130" i="11"/>
  <c r="H129" i="11"/>
  <c r="E129" i="11"/>
  <c r="F129" i="11" s="1"/>
  <c r="D129" i="11"/>
  <c r="C129" i="11"/>
  <c r="B129" i="11"/>
  <c r="A129" i="11"/>
  <c r="H128" i="11"/>
  <c r="E128" i="11"/>
  <c r="F128" i="11" s="1"/>
  <c r="D128" i="11"/>
  <c r="C128" i="11"/>
  <c r="B128" i="11"/>
  <c r="A128" i="11"/>
  <c r="H127" i="11"/>
  <c r="E127" i="11"/>
  <c r="F127" i="11" s="1"/>
  <c r="D127" i="11"/>
  <c r="C127" i="11"/>
  <c r="B127" i="11"/>
  <c r="A127" i="11"/>
  <c r="H126" i="11"/>
  <c r="E126" i="11"/>
  <c r="F126" i="11" s="1"/>
  <c r="D126" i="11"/>
  <c r="C126" i="11"/>
  <c r="B126" i="11"/>
  <c r="A126" i="11"/>
  <c r="H125" i="11"/>
  <c r="E125" i="11"/>
  <c r="F125" i="11" s="1"/>
  <c r="D125" i="11"/>
  <c r="C125" i="11"/>
  <c r="B125" i="11"/>
  <c r="A125" i="11"/>
  <c r="H124" i="11"/>
  <c r="E124" i="11"/>
  <c r="F124" i="11" s="1"/>
  <c r="D124" i="11"/>
  <c r="C124" i="11"/>
  <c r="B124" i="11"/>
  <c r="A124" i="11"/>
  <c r="H123" i="11"/>
  <c r="E123" i="11"/>
  <c r="F123" i="11" s="1"/>
  <c r="D123" i="11"/>
  <c r="C123" i="11"/>
  <c r="B123" i="11"/>
  <c r="A123" i="11"/>
  <c r="H122" i="11"/>
  <c r="E122" i="11"/>
  <c r="F122" i="11" s="1"/>
  <c r="D122" i="11"/>
  <c r="C122" i="11"/>
  <c r="B122" i="11"/>
  <c r="A122" i="11"/>
  <c r="H121" i="11"/>
  <c r="E121" i="11"/>
  <c r="F121" i="11" s="1"/>
  <c r="D121" i="11"/>
  <c r="C121" i="11"/>
  <c r="B121" i="11"/>
  <c r="A121" i="11"/>
  <c r="H120" i="11"/>
  <c r="E120" i="11"/>
  <c r="F120" i="11" s="1"/>
  <c r="D120" i="11"/>
  <c r="C120" i="11"/>
  <c r="B120" i="11"/>
  <c r="A120" i="11"/>
  <c r="H119" i="11"/>
  <c r="E119" i="11"/>
  <c r="F119" i="11" s="1"/>
  <c r="D119" i="11"/>
  <c r="C119" i="11"/>
  <c r="B119" i="11"/>
  <c r="A119" i="11"/>
  <c r="H118" i="11"/>
  <c r="E118" i="11"/>
  <c r="F118" i="11" s="1"/>
  <c r="D118" i="11"/>
  <c r="C118" i="11"/>
  <c r="B118" i="11"/>
  <c r="A118" i="11"/>
  <c r="H117" i="11"/>
  <c r="E117" i="11"/>
  <c r="F117" i="11" s="1"/>
  <c r="D117" i="11"/>
  <c r="C117" i="11"/>
  <c r="B117" i="11"/>
  <c r="A117" i="11"/>
  <c r="H116" i="11"/>
  <c r="E116" i="11"/>
  <c r="F116" i="11" s="1"/>
  <c r="D116" i="11"/>
  <c r="C116" i="11"/>
  <c r="B116" i="11"/>
  <c r="A116" i="11"/>
  <c r="H115" i="11"/>
  <c r="E115" i="11"/>
  <c r="F115" i="11" s="1"/>
  <c r="D115" i="11"/>
  <c r="C115" i="11"/>
  <c r="B115" i="11"/>
  <c r="A115" i="11"/>
  <c r="H114" i="11"/>
  <c r="E114" i="11"/>
  <c r="F114" i="11" s="1"/>
  <c r="D114" i="11"/>
  <c r="C114" i="11"/>
  <c r="B114" i="11"/>
  <c r="A114" i="11"/>
  <c r="H113" i="11"/>
  <c r="E113" i="11"/>
  <c r="F113" i="11" s="1"/>
  <c r="D113" i="11"/>
  <c r="C113" i="11"/>
  <c r="B113" i="11"/>
  <c r="A113" i="11"/>
  <c r="H112" i="11"/>
  <c r="E112" i="11"/>
  <c r="F112" i="11" s="1"/>
  <c r="D112" i="11"/>
  <c r="C112" i="11"/>
  <c r="B112" i="11"/>
  <c r="A112" i="11"/>
  <c r="H111" i="11"/>
  <c r="E111" i="11"/>
  <c r="F111" i="11" s="1"/>
  <c r="D111" i="11"/>
  <c r="C111" i="11"/>
  <c r="B111" i="11"/>
  <c r="A111" i="11"/>
  <c r="H110" i="11"/>
  <c r="E110" i="11"/>
  <c r="F110" i="11" s="1"/>
  <c r="D110" i="11"/>
  <c r="C110" i="11"/>
  <c r="B110" i="11"/>
  <c r="A110" i="11"/>
  <c r="H109" i="11"/>
  <c r="E109" i="11"/>
  <c r="F109" i="11" s="1"/>
  <c r="D109" i="11"/>
  <c r="C109" i="11"/>
  <c r="B109" i="11"/>
  <c r="A109" i="11"/>
  <c r="H108" i="11"/>
  <c r="E108" i="11"/>
  <c r="F108" i="11" s="1"/>
  <c r="D108" i="11"/>
  <c r="C108" i="11"/>
  <c r="B108" i="11"/>
  <c r="A108" i="11"/>
  <c r="H107" i="11"/>
  <c r="E107" i="11"/>
  <c r="F107" i="11" s="1"/>
  <c r="D107" i="11"/>
  <c r="C107" i="11"/>
  <c r="B107" i="11"/>
  <c r="A107" i="11"/>
  <c r="H106" i="11"/>
  <c r="E106" i="11"/>
  <c r="F106" i="11" s="1"/>
  <c r="D106" i="11"/>
  <c r="C106" i="11"/>
  <c r="B106" i="11"/>
  <c r="A106" i="11"/>
  <c r="H105" i="11"/>
  <c r="E105" i="11"/>
  <c r="F105" i="11" s="1"/>
  <c r="D105" i="11"/>
  <c r="C105" i="11"/>
  <c r="B105" i="11"/>
  <c r="A105" i="11"/>
  <c r="H104" i="11"/>
  <c r="E104" i="11"/>
  <c r="F104" i="11" s="1"/>
  <c r="D104" i="11"/>
  <c r="C104" i="11"/>
  <c r="B104" i="11"/>
  <c r="A104" i="11"/>
  <c r="H103" i="11"/>
  <c r="E103" i="11"/>
  <c r="F103" i="11" s="1"/>
  <c r="D103" i="11"/>
  <c r="C103" i="11"/>
  <c r="B103" i="11"/>
  <c r="A103" i="11"/>
  <c r="H102" i="11"/>
  <c r="E102" i="11"/>
  <c r="F102" i="11" s="1"/>
  <c r="D102" i="11"/>
  <c r="C102" i="11"/>
  <c r="B102" i="11"/>
  <c r="A102" i="11"/>
  <c r="H101" i="11"/>
  <c r="E101" i="11"/>
  <c r="F101" i="11" s="1"/>
  <c r="D101" i="11"/>
  <c r="C101" i="11"/>
  <c r="B101" i="11"/>
  <c r="A101" i="11"/>
  <c r="H100" i="11"/>
  <c r="E100" i="11"/>
  <c r="F100" i="11" s="1"/>
  <c r="D100" i="11"/>
  <c r="C100" i="11"/>
  <c r="B100" i="11"/>
  <c r="A100" i="11"/>
  <c r="H99" i="11"/>
  <c r="E99" i="11"/>
  <c r="F99" i="11" s="1"/>
  <c r="D99" i="11"/>
  <c r="C99" i="11"/>
  <c r="B99" i="11"/>
  <c r="A99" i="11"/>
  <c r="H98" i="11"/>
  <c r="E98" i="11"/>
  <c r="F98" i="11" s="1"/>
  <c r="D98" i="11"/>
  <c r="C98" i="11"/>
  <c r="B98" i="11"/>
  <c r="A98" i="11"/>
  <c r="H97" i="11"/>
  <c r="E97" i="11"/>
  <c r="F97" i="11" s="1"/>
  <c r="D97" i="11"/>
  <c r="C97" i="11"/>
  <c r="B97" i="11"/>
  <c r="A97" i="11"/>
  <c r="H96" i="11"/>
  <c r="E96" i="11"/>
  <c r="F96" i="11" s="1"/>
  <c r="D96" i="11"/>
  <c r="C96" i="11"/>
  <c r="B96" i="11"/>
  <c r="A96" i="11"/>
  <c r="H95" i="11"/>
  <c r="E95" i="11"/>
  <c r="F95" i="11" s="1"/>
  <c r="D95" i="11"/>
  <c r="C95" i="11"/>
  <c r="B95" i="11"/>
  <c r="A95" i="11"/>
  <c r="H94" i="11"/>
  <c r="E94" i="11"/>
  <c r="F94" i="11" s="1"/>
  <c r="D94" i="11"/>
  <c r="C94" i="11"/>
  <c r="B94" i="11"/>
  <c r="A94" i="11"/>
  <c r="H93" i="11"/>
  <c r="E93" i="11"/>
  <c r="F93" i="11" s="1"/>
  <c r="D93" i="11"/>
  <c r="C93" i="11"/>
  <c r="B93" i="11"/>
  <c r="A93" i="11"/>
  <c r="H92" i="11"/>
  <c r="E92" i="11"/>
  <c r="F92" i="11" s="1"/>
  <c r="D92" i="11"/>
  <c r="C92" i="11"/>
  <c r="B92" i="11"/>
  <c r="A92" i="11"/>
  <c r="H91" i="11"/>
  <c r="E91" i="11"/>
  <c r="F91" i="11" s="1"/>
  <c r="D91" i="11"/>
  <c r="C91" i="11"/>
  <c r="B91" i="11"/>
  <c r="A91" i="11"/>
  <c r="H90" i="11"/>
  <c r="E90" i="11"/>
  <c r="F90" i="11" s="1"/>
  <c r="D90" i="11"/>
  <c r="C90" i="11"/>
  <c r="B90" i="11"/>
  <c r="A90" i="11"/>
  <c r="H89" i="11"/>
  <c r="E89" i="11"/>
  <c r="F89" i="11" s="1"/>
  <c r="D89" i="11"/>
  <c r="C89" i="11"/>
  <c r="B89" i="11"/>
  <c r="A89" i="11"/>
  <c r="H88" i="11"/>
  <c r="E88" i="11"/>
  <c r="F88" i="11" s="1"/>
  <c r="D88" i="11"/>
  <c r="C88" i="11"/>
  <c r="B88" i="11"/>
  <c r="A88" i="11"/>
  <c r="H87" i="11"/>
  <c r="E87" i="11"/>
  <c r="F87" i="11" s="1"/>
  <c r="D87" i="11"/>
  <c r="C87" i="11"/>
  <c r="B87" i="11"/>
  <c r="A87" i="11"/>
  <c r="H86" i="11"/>
  <c r="E86" i="11"/>
  <c r="F86" i="11" s="1"/>
  <c r="D86" i="11"/>
  <c r="C86" i="11"/>
  <c r="B86" i="11"/>
  <c r="A86" i="11"/>
  <c r="H85" i="11"/>
  <c r="E85" i="11"/>
  <c r="F85" i="11" s="1"/>
  <c r="D85" i="11"/>
  <c r="C85" i="11"/>
  <c r="B85" i="11"/>
  <c r="A85" i="11"/>
  <c r="H84" i="11"/>
  <c r="E84" i="11"/>
  <c r="F84" i="11" s="1"/>
  <c r="D84" i="11"/>
  <c r="C84" i="11"/>
  <c r="B84" i="11"/>
  <c r="A84" i="11"/>
  <c r="H83" i="11"/>
  <c r="E83" i="11"/>
  <c r="F83" i="11" s="1"/>
  <c r="D83" i="11"/>
  <c r="C83" i="11"/>
  <c r="B83" i="11"/>
  <c r="A83" i="11"/>
  <c r="H82" i="11"/>
  <c r="E82" i="11"/>
  <c r="F82" i="11" s="1"/>
  <c r="D82" i="11"/>
  <c r="C82" i="11"/>
  <c r="B82" i="11"/>
  <c r="A82" i="11"/>
  <c r="H81" i="11"/>
  <c r="E81" i="11"/>
  <c r="F81" i="11" s="1"/>
  <c r="D81" i="11"/>
  <c r="C81" i="11"/>
  <c r="B81" i="11"/>
  <c r="A81" i="11"/>
  <c r="H80" i="11"/>
  <c r="E80" i="11"/>
  <c r="F80" i="11" s="1"/>
  <c r="D80" i="11"/>
  <c r="C80" i="11"/>
  <c r="B80" i="11"/>
  <c r="A80" i="11"/>
  <c r="H79" i="11"/>
  <c r="E79" i="11"/>
  <c r="F79" i="11" s="1"/>
  <c r="D79" i="11"/>
  <c r="C79" i="11"/>
  <c r="B79" i="11"/>
  <c r="A79" i="11"/>
  <c r="H78" i="11"/>
  <c r="E78" i="11"/>
  <c r="F78" i="11" s="1"/>
  <c r="D78" i="11"/>
  <c r="C78" i="11"/>
  <c r="B78" i="11"/>
  <c r="A78" i="11"/>
  <c r="H77" i="11"/>
  <c r="E77" i="11"/>
  <c r="F77" i="11" s="1"/>
  <c r="D77" i="11"/>
  <c r="C77" i="11"/>
  <c r="B77" i="11"/>
  <c r="A77" i="11"/>
  <c r="H76" i="11"/>
  <c r="E76" i="11"/>
  <c r="F76" i="11" s="1"/>
  <c r="D76" i="11"/>
  <c r="C76" i="11"/>
  <c r="B76" i="11"/>
  <c r="A76" i="11"/>
  <c r="H75" i="11"/>
  <c r="E75" i="11"/>
  <c r="F75" i="11" s="1"/>
  <c r="D75" i="11"/>
  <c r="C75" i="11"/>
  <c r="B75" i="11"/>
  <c r="A75" i="11"/>
  <c r="H74" i="11"/>
  <c r="E74" i="11"/>
  <c r="F74" i="11" s="1"/>
  <c r="D74" i="11"/>
  <c r="C74" i="11"/>
  <c r="B74" i="11"/>
  <c r="A74" i="11"/>
  <c r="H73" i="11"/>
  <c r="E73" i="11"/>
  <c r="F73" i="11" s="1"/>
  <c r="D73" i="11"/>
  <c r="C73" i="11"/>
  <c r="B73" i="11"/>
  <c r="A73" i="11"/>
  <c r="H72" i="11"/>
  <c r="E72" i="11"/>
  <c r="F72" i="11" s="1"/>
  <c r="D72" i="11"/>
  <c r="C72" i="11"/>
  <c r="B72" i="11"/>
  <c r="A72" i="11"/>
  <c r="H71" i="11"/>
  <c r="E71" i="11"/>
  <c r="F71" i="11" s="1"/>
  <c r="D71" i="11"/>
  <c r="C71" i="11"/>
  <c r="B71" i="11"/>
  <c r="A71" i="11"/>
  <c r="H70" i="11"/>
  <c r="E70" i="11"/>
  <c r="F70" i="11" s="1"/>
  <c r="D70" i="11"/>
  <c r="C70" i="11"/>
  <c r="B70" i="11"/>
  <c r="A70" i="11"/>
  <c r="H69" i="11"/>
  <c r="E69" i="11"/>
  <c r="F69" i="11" s="1"/>
  <c r="D69" i="11"/>
  <c r="C69" i="11"/>
  <c r="B69" i="11"/>
  <c r="A69" i="11"/>
  <c r="H68" i="11"/>
  <c r="E68" i="11"/>
  <c r="F68" i="11" s="1"/>
  <c r="D68" i="11"/>
  <c r="C68" i="11"/>
  <c r="B68" i="11"/>
  <c r="A68" i="11"/>
  <c r="H67" i="11"/>
  <c r="E67" i="11"/>
  <c r="F67" i="11" s="1"/>
  <c r="D67" i="11"/>
  <c r="C67" i="11"/>
  <c r="B67" i="11"/>
  <c r="A67" i="11"/>
  <c r="H66" i="11"/>
  <c r="E66" i="11"/>
  <c r="F66" i="11" s="1"/>
  <c r="D66" i="11"/>
  <c r="C66" i="11"/>
  <c r="B66" i="11"/>
  <c r="A66" i="11"/>
  <c r="H65" i="11"/>
  <c r="E65" i="11"/>
  <c r="F65" i="11" s="1"/>
  <c r="D65" i="11"/>
  <c r="C65" i="11"/>
  <c r="B65" i="11"/>
  <c r="A65" i="11"/>
  <c r="H64" i="11"/>
  <c r="E64" i="11"/>
  <c r="F64" i="11" s="1"/>
  <c r="D64" i="11"/>
  <c r="C64" i="11"/>
  <c r="B64" i="11"/>
  <c r="A64" i="11"/>
  <c r="H63" i="11"/>
  <c r="E63" i="11"/>
  <c r="F63" i="11" s="1"/>
  <c r="D63" i="11"/>
  <c r="C63" i="11"/>
  <c r="B63" i="11"/>
  <c r="A63" i="11"/>
  <c r="H62" i="11"/>
  <c r="E62" i="11"/>
  <c r="F62" i="11" s="1"/>
  <c r="D62" i="11"/>
  <c r="C62" i="11"/>
  <c r="B62" i="11"/>
  <c r="A62" i="11"/>
  <c r="H61" i="11"/>
  <c r="E61" i="11"/>
  <c r="F61" i="11" s="1"/>
  <c r="D61" i="11"/>
  <c r="C61" i="11"/>
  <c r="B61" i="11"/>
  <c r="A61" i="11"/>
  <c r="H60" i="11"/>
  <c r="E60" i="11"/>
  <c r="F60" i="11" s="1"/>
  <c r="D60" i="11"/>
  <c r="C60" i="11"/>
  <c r="B60" i="11"/>
  <c r="A60" i="11"/>
  <c r="H59" i="11"/>
  <c r="E59" i="11"/>
  <c r="F59" i="11" s="1"/>
  <c r="D59" i="11"/>
  <c r="C59" i="11"/>
  <c r="B59" i="11"/>
  <c r="A59" i="11"/>
  <c r="H58" i="11"/>
  <c r="E58" i="11"/>
  <c r="F58" i="11" s="1"/>
  <c r="D58" i="11"/>
  <c r="C58" i="11"/>
  <c r="B58" i="11"/>
  <c r="A58" i="11"/>
  <c r="H57" i="11"/>
  <c r="E57" i="11"/>
  <c r="F57" i="11" s="1"/>
  <c r="D57" i="11"/>
  <c r="C57" i="11"/>
  <c r="B57" i="11"/>
  <c r="A57" i="11"/>
  <c r="H56" i="11"/>
  <c r="E56" i="11"/>
  <c r="F56" i="11" s="1"/>
  <c r="D56" i="11"/>
  <c r="C56" i="11"/>
  <c r="B56" i="11"/>
  <c r="A56" i="11"/>
  <c r="H55" i="11"/>
  <c r="E55" i="11"/>
  <c r="F55" i="11" s="1"/>
  <c r="D55" i="11"/>
  <c r="C55" i="11"/>
  <c r="B55" i="11"/>
  <c r="A55" i="11"/>
  <c r="H54" i="11"/>
  <c r="E54" i="11"/>
  <c r="F54" i="11" s="1"/>
  <c r="D54" i="11"/>
  <c r="C54" i="11"/>
  <c r="B54" i="11"/>
  <c r="A54" i="11"/>
  <c r="H53" i="11"/>
  <c r="E53" i="11"/>
  <c r="F53" i="11" s="1"/>
  <c r="D53" i="11"/>
  <c r="C53" i="11"/>
  <c r="B53" i="11"/>
  <c r="A53" i="11"/>
  <c r="H52" i="11"/>
  <c r="E52" i="11"/>
  <c r="F52" i="11" s="1"/>
  <c r="D52" i="11"/>
  <c r="C52" i="11"/>
  <c r="B52" i="11"/>
  <c r="A52" i="11"/>
  <c r="H51" i="11"/>
  <c r="E51" i="11"/>
  <c r="F51" i="11" s="1"/>
  <c r="D51" i="11"/>
  <c r="C51" i="11"/>
  <c r="B51" i="11"/>
  <c r="A51" i="11"/>
  <c r="H50" i="11"/>
  <c r="E50" i="11"/>
  <c r="F50" i="11" s="1"/>
  <c r="D50" i="11"/>
  <c r="C50" i="11"/>
  <c r="B50" i="11"/>
  <c r="A50" i="11"/>
  <c r="H49" i="11"/>
  <c r="E49" i="11"/>
  <c r="F49" i="11" s="1"/>
  <c r="D49" i="11"/>
  <c r="C49" i="11"/>
  <c r="B49" i="11"/>
  <c r="A49" i="11"/>
  <c r="H48" i="11"/>
  <c r="E48" i="11"/>
  <c r="F48" i="11" s="1"/>
  <c r="D48" i="11"/>
  <c r="C48" i="11"/>
  <c r="B48" i="11"/>
  <c r="A48" i="11"/>
  <c r="H47" i="11"/>
  <c r="E47" i="11"/>
  <c r="F47" i="11" s="1"/>
  <c r="D47" i="11"/>
  <c r="C47" i="11"/>
  <c r="B47" i="11"/>
  <c r="A47" i="11"/>
  <c r="H46" i="11"/>
  <c r="E46" i="11"/>
  <c r="F46" i="11" s="1"/>
  <c r="D46" i="11"/>
  <c r="C46" i="11"/>
  <c r="B46" i="11"/>
  <c r="A46" i="11"/>
  <c r="H45" i="11"/>
  <c r="E45" i="11"/>
  <c r="F45" i="11" s="1"/>
  <c r="D45" i="11"/>
  <c r="C45" i="11"/>
  <c r="B45" i="11"/>
  <c r="A45" i="11"/>
  <c r="H44" i="11"/>
  <c r="E44" i="11"/>
  <c r="F44" i="11" s="1"/>
  <c r="D44" i="11"/>
  <c r="C44" i="11"/>
  <c r="B44" i="11"/>
  <c r="A44" i="11"/>
  <c r="H43" i="11"/>
  <c r="E43" i="11"/>
  <c r="F43" i="11" s="1"/>
  <c r="D43" i="11"/>
  <c r="C43" i="11"/>
  <c r="B43" i="11"/>
  <c r="A43" i="11"/>
  <c r="H42" i="11"/>
  <c r="E42" i="11"/>
  <c r="F42" i="11" s="1"/>
  <c r="D42" i="11"/>
  <c r="C42" i="11"/>
  <c r="B42" i="11"/>
  <c r="A42" i="11"/>
  <c r="H41" i="11"/>
  <c r="E41" i="11"/>
  <c r="F41" i="11" s="1"/>
  <c r="D41" i="11"/>
  <c r="C41" i="11"/>
  <c r="B41" i="11"/>
  <c r="A41" i="11"/>
  <c r="H40" i="11"/>
  <c r="E40" i="11"/>
  <c r="F40" i="11" s="1"/>
  <c r="D40" i="11"/>
  <c r="C40" i="11"/>
  <c r="B40" i="11"/>
  <c r="A40" i="11"/>
  <c r="H39" i="11"/>
  <c r="E39" i="11"/>
  <c r="F39" i="11" s="1"/>
  <c r="D39" i="11"/>
  <c r="C39" i="11"/>
  <c r="B39" i="11"/>
  <c r="A39" i="11"/>
  <c r="H38" i="11"/>
  <c r="E38" i="11"/>
  <c r="F38" i="11" s="1"/>
  <c r="D38" i="11"/>
  <c r="C38" i="11"/>
  <c r="B38" i="11"/>
  <c r="A38" i="11"/>
  <c r="H37" i="11"/>
  <c r="E37" i="11"/>
  <c r="F37" i="11" s="1"/>
  <c r="D37" i="11"/>
  <c r="C37" i="11"/>
  <c r="B37" i="11"/>
  <c r="A37" i="11"/>
  <c r="H36" i="11"/>
  <c r="E36" i="11"/>
  <c r="F36" i="11" s="1"/>
  <c r="D36" i="11"/>
  <c r="C36" i="11"/>
  <c r="B36" i="11"/>
  <c r="A36" i="11"/>
  <c r="H35" i="11"/>
  <c r="E35" i="11"/>
  <c r="F35" i="11" s="1"/>
  <c r="D35" i="11"/>
  <c r="C35" i="11"/>
  <c r="B35" i="11"/>
  <c r="A35" i="11"/>
  <c r="H34" i="11"/>
  <c r="E34" i="11"/>
  <c r="F34" i="11" s="1"/>
  <c r="D34" i="11"/>
  <c r="C34" i="11"/>
  <c r="B34" i="11"/>
  <c r="A34" i="11"/>
  <c r="H33" i="11"/>
  <c r="E33" i="11"/>
  <c r="F33" i="11" s="1"/>
  <c r="D33" i="11"/>
  <c r="C33" i="11"/>
  <c r="B33" i="11"/>
  <c r="A33" i="11"/>
  <c r="H32" i="11"/>
  <c r="E32" i="11"/>
  <c r="F32" i="11" s="1"/>
  <c r="D32" i="11"/>
  <c r="C32" i="11"/>
  <c r="B32" i="11"/>
  <c r="A32" i="11"/>
  <c r="H31" i="11"/>
  <c r="E31" i="11"/>
  <c r="F31" i="11" s="1"/>
  <c r="D31" i="11"/>
  <c r="C31" i="11"/>
  <c r="B31" i="11"/>
  <c r="A31" i="11"/>
  <c r="H30" i="11"/>
  <c r="E30" i="11"/>
  <c r="F30" i="11" s="1"/>
  <c r="D30" i="11"/>
  <c r="C30" i="11"/>
  <c r="B30" i="11"/>
  <c r="A30" i="11"/>
  <c r="H29" i="11"/>
  <c r="E29" i="11"/>
  <c r="F29" i="11" s="1"/>
  <c r="D29" i="11"/>
  <c r="C29" i="11"/>
  <c r="B29" i="11"/>
  <c r="A29" i="11"/>
  <c r="H28" i="11"/>
  <c r="E28" i="11"/>
  <c r="F28" i="11" s="1"/>
  <c r="D28" i="11"/>
  <c r="C28" i="11"/>
  <c r="B28" i="11"/>
  <c r="A28" i="11"/>
  <c r="H27" i="11"/>
  <c r="E27" i="11"/>
  <c r="F27" i="11" s="1"/>
  <c r="D27" i="11"/>
  <c r="C27" i="11"/>
  <c r="B27" i="11"/>
  <c r="A27" i="11"/>
  <c r="H26" i="11"/>
  <c r="E26" i="11"/>
  <c r="F26" i="11" s="1"/>
  <c r="D26" i="11"/>
  <c r="C26" i="11"/>
  <c r="B26" i="11"/>
  <c r="A26" i="11"/>
  <c r="H25" i="11"/>
  <c r="E25" i="11"/>
  <c r="F25" i="11" s="1"/>
  <c r="D25" i="11"/>
  <c r="C25" i="11"/>
  <c r="B25" i="11"/>
  <c r="A25" i="11"/>
  <c r="H24" i="11"/>
  <c r="E24" i="11"/>
  <c r="D24" i="11"/>
  <c r="C24" i="11"/>
  <c r="B24" i="11"/>
  <c r="A24" i="11"/>
  <c r="H23" i="11"/>
  <c r="E23" i="11"/>
  <c r="D23" i="11"/>
  <c r="C23" i="11"/>
  <c r="B23" i="11"/>
  <c r="A23" i="11"/>
  <c r="H22" i="11"/>
  <c r="E22" i="11"/>
  <c r="D22" i="11"/>
  <c r="C22" i="11"/>
  <c r="B22" i="11"/>
  <c r="A22" i="11"/>
  <c r="H21" i="11"/>
  <c r="E21" i="11"/>
  <c r="D21" i="11"/>
  <c r="C21" i="11"/>
  <c r="B21" i="11"/>
  <c r="A21" i="11"/>
  <c r="H20" i="11"/>
  <c r="E20" i="11"/>
  <c r="D20" i="11"/>
  <c r="C20" i="11"/>
  <c r="B20" i="11"/>
  <c r="A20" i="11"/>
  <c r="H19" i="11"/>
  <c r="E19" i="11"/>
  <c r="D19" i="11"/>
  <c r="C19" i="11"/>
  <c r="B19" i="11"/>
  <c r="A19" i="11"/>
  <c r="H18" i="11"/>
  <c r="E18" i="11"/>
  <c r="D18" i="11"/>
  <c r="C18" i="11"/>
  <c r="B18" i="11"/>
  <c r="A18" i="11"/>
  <c r="H17" i="11"/>
  <c r="E17" i="11"/>
  <c r="F17" i="11" s="1"/>
  <c r="D17" i="11"/>
  <c r="C17" i="11"/>
  <c r="B17" i="11"/>
  <c r="A17" i="11"/>
  <c r="H16" i="11"/>
  <c r="E16" i="11"/>
  <c r="D16" i="11"/>
  <c r="C16" i="11"/>
  <c r="B16" i="11"/>
  <c r="A16" i="11"/>
  <c r="H15" i="11"/>
  <c r="E15" i="11"/>
  <c r="D15" i="11"/>
  <c r="C15" i="11"/>
  <c r="B15" i="11"/>
  <c r="A15" i="11"/>
  <c r="H14" i="11"/>
  <c r="E14" i="11"/>
  <c r="D14" i="11"/>
  <c r="C14" i="11"/>
  <c r="B14" i="11"/>
  <c r="A14" i="11"/>
  <c r="H13" i="11"/>
  <c r="E13" i="11"/>
  <c r="D13" i="11"/>
  <c r="C13" i="11"/>
  <c r="B13" i="11"/>
  <c r="A13" i="11"/>
  <c r="H12" i="11"/>
  <c r="E12" i="11"/>
  <c r="D12" i="11"/>
  <c r="C12" i="11"/>
  <c r="B12" i="11"/>
  <c r="A12" i="11"/>
  <c r="H11" i="11"/>
  <c r="E11" i="11"/>
  <c r="D11" i="11"/>
  <c r="C11" i="11"/>
  <c r="B11" i="11"/>
  <c r="A11" i="11"/>
  <c r="H10" i="11"/>
  <c r="E10" i="11"/>
  <c r="D10" i="11"/>
  <c r="C10" i="11"/>
  <c r="B10" i="11"/>
  <c r="A10" i="11"/>
  <c r="H9" i="11"/>
  <c r="E9" i="11"/>
  <c r="D9" i="11"/>
  <c r="C9" i="11"/>
  <c r="B9" i="11"/>
  <c r="A9" i="11"/>
  <c r="H8" i="11"/>
  <c r="E8" i="11"/>
  <c r="D8" i="11"/>
  <c r="C8" i="11"/>
  <c r="B8" i="11"/>
  <c r="A8" i="11"/>
  <c r="H7" i="11"/>
  <c r="E7" i="11"/>
  <c r="D7" i="11"/>
  <c r="C7" i="11"/>
  <c r="B7" i="11"/>
  <c r="A7" i="11"/>
  <c r="H6" i="11"/>
  <c r="E6" i="11"/>
  <c r="D6" i="11"/>
  <c r="C6" i="11"/>
  <c r="B6" i="11"/>
  <c r="A6" i="11"/>
  <c r="X5" i="11"/>
  <c r="W5" i="11"/>
  <c r="V5" i="11"/>
  <c r="N5" i="11"/>
  <c r="Y5" i="11" s="1"/>
  <c r="H5" i="11"/>
  <c r="E5" i="11"/>
  <c r="B5" i="11"/>
  <c r="C5" i="11"/>
  <c r="D5" i="11"/>
  <c r="F39" i="4"/>
  <c r="P39" i="4"/>
  <c r="F21" i="11" l="1"/>
  <c r="F24" i="11"/>
  <c r="G24" i="11" s="1"/>
  <c r="BF24" i="9" s="1"/>
  <c r="F23" i="11"/>
  <c r="Z23" i="11" s="1"/>
  <c r="Y23" i="11"/>
  <c r="Y22" i="11"/>
  <c r="F22" i="11"/>
  <c r="Z22" i="11" s="1"/>
  <c r="Y20" i="11"/>
  <c r="F20" i="11"/>
  <c r="Z20" i="11" s="1"/>
  <c r="F19" i="11"/>
  <c r="G19" i="11" s="1"/>
  <c r="BF19" i="9" s="1"/>
  <c r="Y19" i="11"/>
  <c r="F18" i="11"/>
  <c r="Z18" i="11" s="1"/>
  <c r="Y16" i="11"/>
  <c r="F16" i="11"/>
  <c r="G16" i="11" s="1"/>
  <c r="BF16" i="9" s="1"/>
  <c r="F15" i="11"/>
  <c r="Z15" i="11" s="1"/>
  <c r="Y15" i="11"/>
  <c r="Y14" i="11"/>
  <c r="F14" i="11"/>
  <c r="Z14" i="11" s="1"/>
  <c r="Y11" i="11"/>
  <c r="Y10" i="11"/>
  <c r="Y7" i="11"/>
  <c r="Z35" i="11"/>
  <c r="G35" i="11"/>
  <c r="BF35" i="9" s="1"/>
  <c r="Z47" i="11"/>
  <c r="G47" i="11"/>
  <c r="BF47" i="9" s="1"/>
  <c r="Z63" i="11"/>
  <c r="G63" i="11"/>
  <c r="BF63" i="9" s="1"/>
  <c r="Z71" i="11"/>
  <c r="G71" i="11"/>
  <c r="BF71" i="9" s="1"/>
  <c r="Z79" i="11"/>
  <c r="G79" i="11"/>
  <c r="BF79" i="9" s="1"/>
  <c r="Z83" i="11"/>
  <c r="G83" i="11"/>
  <c r="BF83" i="9" s="1"/>
  <c r="Z87" i="11"/>
  <c r="G87" i="11"/>
  <c r="BF87" i="9" s="1"/>
  <c r="Z95" i="11"/>
  <c r="G95" i="11"/>
  <c r="BF95" i="9" s="1"/>
  <c r="Z99" i="11"/>
  <c r="G99" i="11"/>
  <c r="BF99" i="9" s="1"/>
  <c r="Z103" i="11"/>
  <c r="G103" i="11"/>
  <c r="BF103" i="9" s="1"/>
  <c r="Z107" i="11"/>
  <c r="G107" i="11"/>
  <c r="BF107" i="9" s="1"/>
  <c r="Z111" i="11"/>
  <c r="G111" i="11"/>
  <c r="BF111" i="9" s="1"/>
  <c r="Z115" i="11"/>
  <c r="G115" i="11"/>
  <c r="BF115" i="9" s="1"/>
  <c r="Z119" i="11"/>
  <c r="G119" i="11"/>
  <c r="BF119" i="9" s="1"/>
  <c r="Z123" i="11"/>
  <c r="G123" i="11"/>
  <c r="BF123" i="9" s="1"/>
  <c r="Z127" i="11"/>
  <c r="G127" i="11"/>
  <c r="BF127" i="9" s="1"/>
  <c r="Z131" i="11"/>
  <c r="G131" i="11"/>
  <c r="BF131" i="9" s="1"/>
  <c r="Z135" i="11"/>
  <c r="G135" i="11"/>
  <c r="BF135" i="9" s="1"/>
  <c r="Z139" i="11"/>
  <c r="G139" i="11"/>
  <c r="BF139" i="9" s="1"/>
  <c r="Z143" i="11"/>
  <c r="G143" i="11"/>
  <c r="BF143" i="9" s="1"/>
  <c r="Z147" i="11"/>
  <c r="G147" i="11"/>
  <c r="BF147" i="9" s="1"/>
  <c r="Z151" i="11"/>
  <c r="G151" i="11"/>
  <c r="BF151" i="9" s="1"/>
  <c r="Z155" i="11"/>
  <c r="G155" i="11"/>
  <c r="BF155" i="9" s="1"/>
  <c r="Z159" i="11"/>
  <c r="G159" i="11"/>
  <c r="BF159" i="9" s="1"/>
  <c r="Z163" i="11"/>
  <c r="G163" i="11"/>
  <c r="BF163" i="9" s="1"/>
  <c r="Z167" i="11"/>
  <c r="G167" i="11"/>
  <c r="BF167" i="9" s="1"/>
  <c r="Z171" i="11"/>
  <c r="G171" i="11"/>
  <c r="BF171" i="9" s="1"/>
  <c r="Z175" i="11"/>
  <c r="G175" i="11"/>
  <c r="BF175" i="9" s="1"/>
  <c r="Z179" i="11"/>
  <c r="G179" i="11"/>
  <c r="BF179" i="9" s="1"/>
  <c r="Z183" i="11"/>
  <c r="G183" i="11"/>
  <c r="BF183" i="9" s="1"/>
  <c r="Z187" i="11"/>
  <c r="G187" i="11"/>
  <c r="BF187" i="9" s="1"/>
  <c r="Z191" i="11"/>
  <c r="G191" i="11"/>
  <c r="BF191" i="9" s="1"/>
  <c r="Z195" i="11"/>
  <c r="G195" i="11"/>
  <c r="BF195" i="9" s="1"/>
  <c r="Z199" i="11"/>
  <c r="G199" i="11"/>
  <c r="BF199" i="9" s="1"/>
  <c r="Z203" i="11"/>
  <c r="G203" i="11"/>
  <c r="BF203" i="9" s="1"/>
  <c r="Z207" i="11"/>
  <c r="G207" i="11"/>
  <c r="BF207" i="9" s="1"/>
  <c r="Z211" i="11"/>
  <c r="G211" i="11"/>
  <c r="BF211" i="9" s="1"/>
  <c r="Z215" i="11"/>
  <c r="G215" i="11"/>
  <c r="BF215" i="9" s="1"/>
  <c r="Z219" i="11"/>
  <c r="G219" i="11"/>
  <c r="BF219" i="9" s="1"/>
  <c r="Z223" i="11"/>
  <c r="G223" i="11"/>
  <c r="BF223" i="9" s="1"/>
  <c r="Z227" i="11"/>
  <c r="G227" i="11"/>
  <c r="BF227" i="9" s="1"/>
  <c r="Z231" i="11"/>
  <c r="G231" i="11"/>
  <c r="BF231" i="9" s="1"/>
  <c r="Z235" i="11"/>
  <c r="G235" i="11"/>
  <c r="BF235" i="9" s="1"/>
  <c r="Z239" i="11"/>
  <c r="G239" i="11"/>
  <c r="BF239" i="9" s="1"/>
  <c r="Z243" i="11"/>
  <c r="G243" i="11"/>
  <c r="BF243" i="9" s="1"/>
  <c r="Z247" i="11"/>
  <c r="G247" i="11"/>
  <c r="BF247" i="9" s="1"/>
  <c r="Z251" i="11"/>
  <c r="G251" i="11"/>
  <c r="BF251" i="9" s="1"/>
  <c r="Z255" i="11"/>
  <c r="G255" i="11"/>
  <c r="BF255" i="9" s="1"/>
  <c r="Z259" i="11"/>
  <c r="G259" i="11"/>
  <c r="BF259" i="9" s="1"/>
  <c r="Z263" i="11"/>
  <c r="G263" i="11"/>
  <c r="BF263" i="9" s="1"/>
  <c r="Z267" i="11"/>
  <c r="G267" i="11"/>
  <c r="BF267" i="9" s="1"/>
  <c r="Z271" i="11"/>
  <c r="G271" i="11"/>
  <c r="BF271" i="9" s="1"/>
  <c r="Z275" i="11"/>
  <c r="G275" i="11"/>
  <c r="BF275" i="9" s="1"/>
  <c r="Z279" i="11"/>
  <c r="G279" i="11"/>
  <c r="BF279" i="9" s="1"/>
  <c r="Z283" i="11"/>
  <c r="G283" i="11"/>
  <c r="BF283" i="9" s="1"/>
  <c r="Z287" i="11"/>
  <c r="G287" i="11"/>
  <c r="BF287" i="9" s="1"/>
  <c r="Z291" i="11"/>
  <c r="G291" i="11"/>
  <c r="BF291" i="9" s="1"/>
  <c r="Z295" i="11"/>
  <c r="G295" i="11"/>
  <c r="BF295" i="9" s="1"/>
  <c r="Z299" i="11"/>
  <c r="G299" i="11"/>
  <c r="BF299" i="9" s="1"/>
  <c r="Z303" i="11"/>
  <c r="G303" i="11"/>
  <c r="BF303" i="9" s="1"/>
  <c r="Z307" i="11"/>
  <c r="G307" i="11"/>
  <c r="BF307" i="9" s="1"/>
  <c r="Z311" i="11"/>
  <c r="G311" i="11"/>
  <c r="BF311" i="9" s="1"/>
  <c r="Z315" i="11"/>
  <c r="G315" i="11"/>
  <c r="BF315" i="9" s="1"/>
  <c r="Z319" i="11"/>
  <c r="G319" i="11"/>
  <c r="BF319" i="9" s="1"/>
  <c r="Z323" i="11"/>
  <c r="G323" i="11"/>
  <c r="BF323" i="9" s="1"/>
  <c r="Z327" i="11"/>
  <c r="G327" i="11"/>
  <c r="BF327" i="9" s="1"/>
  <c r="Z331" i="11"/>
  <c r="G331" i="11"/>
  <c r="BF331" i="9" s="1"/>
  <c r="Z335" i="11"/>
  <c r="G335" i="11"/>
  <c r="BF335" i="9" s="1"/>
  <c r="Z339" i="11"/>
  <c r="G339" i="11"/>
  <c r="BF339" i="9" s="1"/>
  <c r="Z343" i="11"/>
  <c r="G343" i="11"/>
  <c r="BF343" i="9" s="1"/>
  <c r="Z347" i="11"/>
  <c r="G347" i="11"/>
  <c r="BF347" i="9" s="1"/>
  <c r="Z351" i="11"/>
  <c r="G351" i="11"/>
  <c r="BF351" i="9" s="1"/>
  <c r="Z355" i="11"/>
  <c r="G355" i="11"/>
  <c r="BF355" i="9" s="1"/>
  <c r="Z359" i="11"/>
  <c r="G359" i="11"/>
  <c r="BF359" i="9" s="1"/>
  <c r="Z363" i="11"/>
  <c r="G363" i="11"/>
  <c r="BF363" i="9" s="1"/>
  <c r="Z367" i="11"/>
  <c r="G367" i="11"/>
  <c r="BF367" i="9" s="1"/>
  <c r="Z371" i="11"/>
  <c r="G371" i="11"/>
  <c r="BF371" i="9" s="1"/>
  <c r="Z375" i="11"/>
  <c r="G375" i="11"/>
  <c r="BF375" i="9" s="1"/>
  <c r="Z379" i="11"/>
  <c r="G379" i="11"/>
  <c r="BF379" i="9" s="1"/>
  <c r="Z383" i="11"/>
  <c r="G383" i="11"/>
  <c r="BF383" i="9" s="1"/>
  <c r="Z387" i="11"/>
  <c r="G387" i="11"/>
  <c r="BF387" i="9" s="1"/>
  <c r="Z391" i="11"/>
  <c r="G391" i="11"/>
  <c r="BF391" i="9" s="1"/>
  <c r="Z395" i="11"/>
  <c r="G395" i="11"/>
  <c r="BF395" i="9" s="1"/>
  <c r="Z399" i="11"/>
  <c r="G399" i="11"/>
  <c r="BF399" i="9" s="1"/>
  <c r="Z403" i="11"/>
  <c r="G403" i="11"/>
  <c r="BF403" i="9" s="1"/>
  <c r="Z407" i="11"/>
  <c r="G407" i="11"/>
  <c r="BF407" i="9" s="1"/>
  <c r="Z411" i="11"/>
  <c r="G411" i="11"/>
  <c r="BF411" i="9" s="1"/>
  <c r="Z415" i="11"/>
  <c r="G415" i="11"/>
  <c r="BF415" i="9" s="1"/>
  <c r="Z419" i="11"/>
  <c r="G419" i="11"/>
  <c r="BF419" i="9" s="1"/>
  <c r="Z423" i="11"/>
  <c r="G423" i="11"/>
  <c r="BF423" i="9" s="1"/>
  <c r="Z427" i="11"/>
  <c r="G427" i="11"/>
  <c r="BF427" i="9" s="1"/>
  <c r="Z431" i="11"/>
  <c r="G431" i="11"/>
  <c r="BF431" i="9" s="1"/>
  <c r="Z435" i="11"/>
  <c r="G435" i="11"/>
  <c r="BF435" i="9" s="1"/>
  <c r="Z439" i="11"/>
  <c r="G439" i="11"/>
  <c r="BF439" i="9" s="1"/>
  <c r="Z443" i="11"/>
  <c r="G443" i="11"/>
  <c r="BF443" i="9" s="1"/>
  <c r="Z447" i="11"/>
  <c r="G447" i="11"/>
  <c r="BF447" i="9" s="1"/>
  <c r="Z451" i="11"/>
  <c r="G451" i="11"/>
  <c r="BF451" i="9" s="1"/>
  <c r="Z455" i="11"/>
  <c r="G455" i="11"/>
  <c r="BF455" i="9" s="1"/>
  <c r="Z459" i="11"/>
  <c r="G459" i="11"/>
  <c r="BF459" i="9" s="1"/>
  <c r="Z463" i="11"/>
  <c r="G463" i="11"/>
  <c r="BF463" i="9" s="1"/>
  <c r="Z467" i="11"/>
  <c r="G467" i="11"/>
  <c r="BF467" i="9" s="1"/>
  <c r="Z471" i="11"/>
  <c r="G471" i="11"/>
  <c r="BF471" i="9" s="1"/>
  <c r="Z475" i="11"/>
  <c r="G475" i="11"/>
  <c r="BF475" i="9" s="1"/>
  <c r="Z479" i="11"/>
  <c r="G479" i="11"/>
  <c r="BF479" i="9" s="1"/>
  <c r="Z483" i="11"/>
  <c r="G483" i="11"/>
  <c r="BF483" i="9" s="1"/>
  <c r="Z487" i="11"/>
  <c r="G487" i="11"/>
  <c r="BF487" i="9" s="1"/>
  <c r="Z491" i="11"/>
  <c r="G491" i="11"/>
  <c r="BF491" i="9" s="1"/>
  <c r="Z495" i="11"/>
  <c r="G495" i="11"/>
  <c r="BF495" i="9" s="1"/>
  <c r="Z499" i="11"/>
  <c r="G499" i="11"/>
  <c r="BF499" i="9" s="1"/>
  <c r="Z503" i="11"/>
  <c r="G503" i="11"/>
  <c r="BF503" i="9" s="1"/>
  <c r="Z507" i="11"/>
  <c r="G507" i="11"/>
  <c r="BF507" i="9" s="1"/>
  <c r="Z511" i="11"/>
  <c r="G511" i="11"/>
  <c r="BF511" i="9" s="1"/>
  <c r="Z515" i="11"/>
  <c r="G515" i="11"/>
  <c r="BF515" i="9" s="1"/>
  <c r="Z519" i="11"/>
  <c r="G519" i="11"/>
  <c r="BF519" i="9" s="1"/>
  <c r="Z523" i="11"/>
  <c r="G523" i="11"/>
  <c r="BF523" i="9" s="1"/>
  <c r="Z527" i="11"/>
  <c r="G527" i="11"/>
  <c r="BF527" i="9" s="1"/>
  <c r="Z531" i="11"/>
  <c r="G531" i="11"/>
  <c r="BF531" i="9" s="1"/>
  <c r="Z535" i="11"/>
  <c r="G535" i="11"/>
  <c r="BF535" i="9" s="1"/>
  <c r="Z539" i="11"/>
  <c r="G539" i="11"/>
  <c r="BF539" i="9" s="1"/>
  <c r="Z543" i="11"/>
  <c r="G543" i="11"/>
  <c r="BF543" i="9" s="1"/>
  <c r="Z547" i="11"/>
  <c r="G547" i="11"/>
  <c r="BF547" i="9" s="1"/>
  <c r="Z551" i="11"/>
  <c r="G551" i="11"/>
  <c r="BF551" i="9" s="1"/>
  <c r="Z555" i="11"/>
  <c r="G555" i="11"/>
  <c r="BF555" i="9" s="1"/>
  <c r="Z559" i="11"/>
  <c r="G559" i="11"/>
  <c r="BF559" i="9" s="1"/>
  <c r="Z563" i="11"/>
  <c r="G563" i="11"/>
  <c r="BF563" i="9" s="1"/>
  <c r="Z567" i="11"/>
  <c r="G567" i="11"/>
  <c r="BF567" i="9" s="1"/>
  <c r="Z571" i="11"/>
  <c r="G571" i="11"/>
  <c r="BF571" i="9" s="1"/>
  <c r="Z575" i="11"/>
  <c r="G575" i="11"/>
  <c r="BF575" i="9" s="1"/>
  <c r="Z579" i="11"/>
  <c r="G579" i="11"/>
  <c r="BF579" i="9" s="1"/>
  <c r="Z583" i="11"/>
  <c r="G583" i="11"/>
  <c r="BF583" i="9" s="1"/>
  <c r="Z587" i="11"/>
  <c r="G587" i="11"/>
  <c r="BF587" i="9" s="1"/>
  <c r="Z591" i="11"/>
  <c r="G591" i="11"/>
  <c r="BF591" i="9" s="1"/>
  <c r="Z595" i="11"/>
  <c r="G595" i="11"/>
  <c r="BF595" i="9" s="1"/>
  <c r="Z599" i="11"/>
  <c r="G599" i="11"/>
  <c r="BF599" i="9" s="1"/>
  <c r="Z603" i="11"/>
  <c r="G603" i="11"/>
  <c r="BF603" i="9" s="1"/>
  <c r="Z607" i="11"/>
  <c r="G607" i="11"/>
  <c r="BF607" i="9" s="1"/>
  <c r="Z611" i="11"/>
  <c r="G611" i="11"/>
  <c r="BF611" i="9" s="1"/>
  <c r="Z615" i="11"/>
  <c r="G615" i="11"/>
  <c r="BF615" i="9" s="1"/>
  <c r="Z619" i="11"/>
  <c r="G619" i="11"/>
  <c r="BF619" i="9" s="1"/>
  <c r="Z623" i="11"/>
  <c r="G623" i="11"/>
  <c r="BF623" i="9" s="1"/>
  <c r="Z627" i="11"/>
  <c r="G627" i="11"/>
  <c r="BF627" i="9" s="1"/>
  <c r="Z631" i="11"/>
  <c r="G631" i="11"/>
  <c r="BF631" i="9" s="1"/>
  <c r="Z635" i="11"/>
  <c r="G635" i="11"/>
  <c r="BF635" i="9" s="1"/>
  <c r="Z639" i="11"/>
  <c r="G639" i="11"/>
  <c r="BF639" i="9" s="1"/>
  <c r="Z643" i="11"/>
  <c r="G643" i="11"/>
  <c r="BF643" i="9" s="1"/>
  <c r="Z647" i="11"/>
  <c r="G647" i="11"/>
  <c r="BF647" i="9" s="1"/>
  <c r="Z39" i="11"/>
  <c r="G39" i="11"/>
  <c r="BF39" i="9" s="1"/>
  <c r="Z59" i="11"/>
  <c r="G59" i="11"/>
  <c r="BF59" i="9" s="1"/>
  <c r="Z67" i="11"/>
  <c r="G67" i="11"/>
  <c r="BF67" i="9" s="1"/>
  <c r="Z75" i="11"/>
  <c r="G75" i="11"/>
  <c r="BF75" i="9" s="1"/>
  <c r="Z91" i="11"/>
  <c r="G91" i="11"/>
  <c r="BF91" i="9" s="1"/>
  <c r="Z31" i="11"/>
  <c r="G31" i="11"/>
  <c r="BF31" i="9" s="1"/>
  <c r="Z51" i="11"/>
  <c r="G51" i="11"/>
  <c r="BF51" i="9" s="1"/>
  <c r="Z30" i="11"/>
  <c r="G30" i="11"/>
  <c r="BF30" i="9" s="1"/>
  <c r="Z38" i="11"/>
  <c r="G38" i="11"/>
  <c r="BF38" i="9" s="1"/>
  <c r="Z46" i="11"/>
  <c r="G46" i="11"/>
  <c r="BF46" i="9" s="1"/>
  <c r="Z50" i="11"/>
  <c r="G50" i="11"/>
  <c r="BF50" i="9" s="1"/>
  <c r="Z58" i="11"/>
  <c r="G58" i="11"/>
  <c r="BF58" i="9" s="1"/>
  <c r="Z66" i="11"/>
  <c r="G66" i="11"/>
  <c r="BF66" i="9" s="1"/>
  <c r="Z74" i="11"/>
  <c r="G74" i="11"/>
  <c r="BF74" i="9" s="1"/>
  <c r="Z82" i="11"/>
  <c r="G82" i="11"/>
  <c r="BF82" i="9" s="1"/>
  <c r="Z90" i="11"/>
  <c r="G90" i="11"/>
  <c r="BF90" i="9" s="1"/>
  <c r="Z98" i="11"/>
  <c r="G98" i="11"/>
  <c r="BF98" i="9" s="1"/>
  <c r="Z106" i="11"/>
  <c r="G106" i="11"/>
  <c r="BF106" i="9" s="1"/>
  <c r="Z114" i="11"/>
  <c r="G114" i="11"/>
  <c r="BF114" i="9" s="1"/>
  <c r="Z122" i="11"/>
  <c r="G122" i="11"/>
  <c r="BF122" i="9" s="1"/>
  <c r="Z130" i="11"/>
  <c r="G130" i="11"/>
  <c r="BF130" i="9" s="1"/>
  <c r="Z138" i="11"/>
  <c r="G138" i="11"/>
  <c r="BF138" i="9" s="1"/>
  <c r="Z146" i="11"/>
  <c r="G146" i="11"/>
  <c r="BF146" i="9" s="1"/>
  <c r="Z154" i="11"/>
  <c r="G154" i="11"/>
  <c r="BF154" i="9" s="1"/>
  <c r="Z162" i="11"/>
  <c r="G162" i="11"/>
  <c r="BF162" i="9" s="1"/>
  <c r="Z170" i="11"/>
  <c r="G170" i="11"/>
  <c r="BF170" i="9" s="1"/>
  <c r="Z178" i="11"/>
  <c r="G178" i="11"/>
  <c r="BF178" i="9" s="1"/>
  <c r="Z182" i="11"/>
  <c r="G182" i="11"/>
  <c r="BF182" i="9" s="1"/>
  <c r="Z190" i="11"/>
  <c r="G190" i="11"/>
  <c r="BF190" i="9" s="1"/>
  <c r="Z198" i="11"/>
  <c r="G198" i="11"/>
  <c r="BF198" i="9" s="1"/>
  <c r="Z206" i="11"/>
  <c r="G206" i="11"/>
  <c r="BF206" i="9" s="1"/>
  <c r="Z214" i="11"/>
  <c r="G214" i="11"/>
  <c r="BF214" i="9" s="1"/>
  <c r="Z222" i="11"/>
  <c r="G222" i="11"/>
  <c r="BF222" i="9" s="1"/>
  <c r="Z230" i="11"/>
  <c r="G230" i="11"/>
  <c r="BF230" i="9" s="1"/>
  <c r="Z234" i="11"/>
  <c r="G234" i="11"/>
  <c r="BF234" i="9" s="1"/>
  <c r="Z242" i="11"/>
  <c r="G242" i="11"/>
  <c r="BF242" i="9" s="1"/>
  <c r="Z250" i="11"/>
  <c r="G250" i="11"/>
  <c r="BF250" i="9" s="1"/>
  <c r="Z258" i="11"/>
  <c r="G258" i="11"/>
  <c r="BF258" i="9" s="1"/>
  <c r="Z266" i="11"/>
  <c r="G266" i="11"/>
  <c r="BF266" i="9" s="1"/>
  <c r="Z274" i="11"/>
  <c r="G274" i="11"/>
  <c r="BF274" i="9" s="1"/>
  <c r="Z282" i="11"/>
  <c r="G282" i="11"/>
  <c r="BF282" i="9" s="1"/>
  <c r="Z290" i="11"/>
  <c r="G290" i="11"/>
  <c r="BF290" i="9" s="1"/>
  <c r="Z298" i="11"/>
  <c r="G298" i="11"/>
  <c r="BF298" i="9" s="1"/>
  <c r="Z306" i="11"/>
  <c r="G306" i="11"/>
  <c r="BF306" i="9" s="1"/>
  <c r="Z314" i="11"/>
  <c r="G314" i="11"/>
  <c r="BF314" i="9" s="1"/>
  <c r="Z322" i="11"/>
  <c r="G322" i="11"/>
  <c r="BF322" i="9" s="1"/>
  <c r="Z330" i="11"/>
  <c r="G330" i="11"/>
  <c r="BF330" i="9" s="1"/>
  <c r="Z338" i="11"/>
  <c r="G338" i="11"/>
  <c r="BF338" i="9" s="1"/>
  <c r="Z342" i="11"/>
  <c r="G342" i="11"/>
  <c r="BF342" i="9" s="1"/>
  <c r="Z350" i="11"/>
  <c r="G350" i="11"/>
  <c r="BF350" i="9" s="1"/>
  <c r="Z358" i="11"/>
  <c r="G358" i="11"/>
  <c r="BF358" i="9" s="1"/>
  <c r="Z366" i="11"/>
  <c r="G366" i="11"/>
  <c r="BF366" i="9" s="1"/>
  <c r="Z374" i="11"/>
  <c r="G374" i="11"/>
  <c r="BF374" i="9" s="1"/>
  <c r="Z382" i="11"/>
  <c r="G382" i="11"/>
  <c r="BF382" i="9" s="1"/>
  <c r="Z390" i="11"/>
  <c r="G390" i="11"/>
  <c r="BF390" i="9" s="1"/>
  <c r="Z398" i="11"/>
  <c r="G398" i="11"/>
  <c r="BF398" i="9" s="1"/>
  <c r="Z406" i="11"/>
  <c r="G406" i="11"/>
  <c r="BF406" i="9" s="1"/>
  <c r="Z414" i="11"/>
  <c r="G414" i="11"/>
  <c r="BF414" i="9" s="1"/>
  <c r="Z422" i="11"/>
  <c r="G422" i="11"/>
  <c r="BF422" i="9" s="1"/>
  <c r="Z430" i="11"/>
  <c r="G430" i="11"/>
  <c r="BF430" i="9" s="1"/>
  <c r="Z438" i="11"/>
  <c r="G438" i="11"/>
  <c r="BF438" i="9" s="1"/>
  <c r="Z442" i="11"/>
  <c r="G442" i="11"/>
  <c r="BF442" i="9" s="1"/>
  <c r="Z446" i="11"/>
  <c r="G446" i="11"/>
  <c r="BF446" i="9" s="1"/>
  <c r="Z450" i="11"/>
  <c r="G450" i="11"/>
  <c r="BF450" i="9" s="1"/>
  <c r="Z458" i="11"/>
  <c r="G458" i="11"/>
  <c r="BF458" i="9" s="1"/>
  <c r="Z462" i="11"/>
  <c r="G462" i="11"/>
  <c r="BF462" i="9" s="1"/>
  <c r="Z466" i="11"/>
  <c r="G466" i="11"/>
  <c r="BF466" i="9" s="1"/>
  <c r="Z470" i="11"/>
  <c r="G470" i="11"/>
  <c r="BF470" i="9" s="1"/>
  <c r="Z474" i="11"/>
  <c r="G474" i="11"/>
  <c r="BF474" i="9" s="1"/>
  <c r="Z478" i="11"/>
  <c r="G478" i="11"/>
  <c r="BF478" i="9" s="1"/>
  <c r="Z482" i="11"/>
  <c r="G482" i="11"/>
  <c r="BF482" i="9" s="1"/>
  <c r="Z486" i="11"/>
  <c r="G486" i="11"/>
  <c r="BF486" i="9" s="1"/>
  <c r="Z490" i="11"/>
  <c r="G490" i="11"/>
  <c r="BF490" i="9" s="1"/>
  <c r="Z494" i="11"/>
  <c r="G494" i="11"/>
  <c r="BF494" i="9" s="1"/>
  <c r="Z498" i="11"/>
  <c r="G498" i="11"/>
  <c r="BF498" i="9" s="1"/>
  <c r="Z502" i="11"/>
  <c r="G502" i="11"/>
  <c r="BF502" i="9" s="1"/>
  <c r="Z506" i="11"/>
  <c r="G506" i="11"/>
  <c r="BF506" i="9" s="1"/>
  <c r="Z510" i="11"/>
  <c r="G510" i="11"/>
  <c r="BF510" i="9" s="1"/>
  <c r="Z514" i="11"/>
  <c r="G514" i="11"/>
  <c r="BF514" i="9" s="1"/>
  <c r="Z518" i="11"/>
  <c r="G518" i="11"/>
  <c r="BF518" i="9" s="1"/>
  <c r="Z522" i="11"/>
  <c r="G522" i="11"/>
  <c r="BF522" i="9" s="1"/>
  <c r="Z526" i="11"/>
  <c r="G526" i="11"/>
  <c r="BF526" i="9" s="1"/>
  <c r="Z530" i="11"/>
  <c r="G530" i="11"/>
  <c r="BF530" i="9" s="1"/>
  <c r="Z534" i="11"/>
  <c r="G534" i="11"/>
  <c r="BF534" i="9" s="1"/>
  <c r="Z538" i="11"/>
  <c r="G538" i="11"/>
  <c r="BF538" i="9" s="1"/>
  <c r="Z542" i="11"/>
  <c r="G542" i="11"/>
  <c r="BF542" i="9" s="1"/>
  <c r="Z546" i="11"/>
  <c r="G546" i="11"/>
  <c r="BF546" i="9" s="1"/>
  <c r="Z550" i="11"/>
  <c r="G550" i="11"/>
  <c r="BF550" i="9" s="1"/>
  <c r="Z554" i="11"/>
  <c r="G554" i="11"/>
  <c r="BF554" i="9" s="1"/>
  <c r="Z558" i="11"/>
  <c r="G558" i="11"/>
  <c r="BF558" i="9" s="1"/>
  <c r="Z562" i="11"/>
  <c r="G562" i="11"/>
  <c r="BF562" i="9" s="1"/>
  <c r="Z566" i="11"/>
  <c r="G566" i="11"/>
  <c r="BF566" i="9" s="1"/>
  <c r="Z570" i="11"/>
  <c r="G570" i="11"/>
  <c r="BF570" i="9" s="1"/>
  <c r="Z574" i="11"/>
  <c r="G574" i="11"/>
  <c r="BF574" i="9" s="1"/>
  <c r="Z578" i="11"/>
  <c r="G578" i="11"/>
  <c r="BF578" i="9" s="1"/>
  <c r="Z582" i="11"/>
  <c r="G582" i="11"/>
  <c r="BF582" i="9" s="1"/>
  <c r="Z586" i="11"/>
  <c r="G586" i="11"/>
  <c r="BF586" i="9" s="1"/>
  <c r="Z590" i="11"/>
  <c r="G590" i="11"/>
  <c r="BF590" i="9" s="1"/>
  <c r="Z594" i="11"/>
  <c r="G594" i="11"/>
  <c r="BF594" i="9" s="1"/>
  <c r="Z598" i="11"/>
  <c r="G598" i="11"/>
  <c r="BF598" i="9" s="1"/>
  <c r="Z602" i="11"/>
  <c r="G602" i="11"/>
  <c r="BF602" i="9" s="1"/>
  <c r="Z606" i="11"/>
  <c r="G606" i="11"/>
  <c r="BF606" i="9" s="1"/>
  <c r="Z610" i="11"/>
  <c r="G610" i="11"/>
  <c r="BF610" i="9" s="1"/>
  <c r="Z614" i="11"/>
  <c r="G614" i="11"/>
  <c r="BF614" i="9" s="1"/>
  <c r="Z618" i="11"/>
  <c r="G618" i="11"/>
  <c r="BF618" i="9" s="1"/>
  <c r="Z622" i="11"/>
  <c r="G622" i="11"/>
  <c r="BF622" i="9" s="1"/>
  <c r="Z626" i="11"/>
  <c r="G626" i="11"/>
  <c r="BF626" i="9" s="1"/>
  <c r="Z630" i="11"/>
  <c r="G630" i="11"/>
  <c r="BF630" i="9" s="1"/>
  <c r="Z634" i="11"/>
  <c r="G634" i="11"/>
  <c r="BF634" i="9" s="1"/>
  <c r="Z638" i="11"/>
  <c r="G638" i="11"/>
  <c r="BF638" i="9" s="1"/>
  <c r="Z642" i="11"/>
  <c r="G642" i="11"/>
  <c r="BF642" i="9" s="1"/>
  <c r="Z646" i="11"/>
  <c r="G646" i="11"/>
  <c r="BF646" i="9" s="1"/>
  <c r="Z650" i="11"/>
  <c r="G650" i="11"/>
  <c r="BF650" i="9" s="1"/>
  <c r="G23" i="11"/>
  <c r="Z43" i="11"/>
  <c r="G43" i="11"/>
  <c r="BF43" i="9" s="1"/>
  <c r="G18" i="11"/>
  <c r="BF18" i="9" s="1"/>
  <c r="Z26" i="11"/>
  <c r="G26" i="11"/>
  <c r="BF26" i="9" s="1"/>
  <c r="Z34" i="11"/>
  <c r="G34" i="11"/>
  <c r="BF34" i="9" s="1"/>
  <c r="Z42" i="11"/>
  <c r="G42" i="11"/>
  <c r="BF42" i="9" s="1"/>
  <c r="Z54" i="11"/>
  <c r="G54" i="11"/>
  <c r="BF54" i="9" s="1"/>
  <c r="Z62" i="11"/>
  <c r="G62" i="11"/>
  <c r="BF62" i="9" s="1"/>
  <c r="Z70" i="11"/>
  <c r="G70" i="11"/>
  <c r="BF70" i="9" s="1"/>
  <c r="Z78" i="11"/>
  <c r="G78" i="11"/>
  <c r="BF78" i="9" s="1"/>
  <c r="Z86" i="11"/>
  <c r="G86" i="11"/>
  <c r="BF86" i="9" s="1"/>
  <c r="Z94" i="11"/>
  <c r="G94" i="11"/>
  <c r="BF94" i="9" s="1"/>
  <c r="Z102" i="11"/>
  <c r="G102" i="11"/>
  <c r="BF102" i="9" s="1"/>
  <c r="Z110" i="11"/>
  <c r="G110" i="11"/>
  <c r="BF110" i="9" s="1"/>
  <c r="Z118" i="11"/>
  <c r="G118" i="11"/>
  <c r="BF118" i="9" s="1"/>
  <c r="Z126" i="11"/>
  <c r="G126" i="11"/>
  <c r="BF126" i="9" s="1"/>
  <c r="Z134" i="11"/>
  <c r="G134" i="11"/>
  <c r="BF134" i="9" s="1"/>
  <c r="Z142" i="11"/>
  <c r="G142" i="11"/>
  <c r="BF142" i="9" s="1"/>
  <c r="Z150" i="11"/>
  <c r="G150" i="11"/>
  <c r="BF150" i="9" s="1"/>
  <c r="Z158" i="11"/>
  <c r="G158" i="11"/>
  <c r="BF158" i="9" s="1"/>
  <c r="Z166" i="11"/>
  <c r="G166" i="11"/>
  <c r="BF166" i="9" s="1"/>
  <c r="Z174" i="11"/>
  <c r="G174" i="11"/>
  <c r="BF174" i="9" s="1"/>
  <c r="Z186" i="11"/>
  <c r="G186" i="11"/>
  <c r="BF186" i="9" s="1"/>
  <c r="Z194" i="11"/>
  <c r="G194" i="11"/>
  <c r="BF194" i="9" s="1"/>
  <c r="Z202" i="11"/>
  <c r="G202" i="11"/>
  <c r="BF202" i="9" s="1"/>
  <c r="Z210" i="11"/>
  <c r="G210" i="11"/>
  <c r="BF210" i="9" s="1"/>
  <c r="Z218" i="11"/>
  <c r="G218" i="11"/>
  <c r="BF218" i="9" s="1"/>
  <c r="Z226" i="11"/>
  <c r="G226" i="11"/>
  <c r="BF226" i="9" s="1"/>
  <c r="Z238" i="11"/>
  <c r="G238" i="11"/>
  <c r="BF238" i="9" s="1"/>
  <c r="Z246" i="11"/>
  <c r="G246" i="11"/>
  <c r="BF246" i="9" s="1"/>
  <c r="Z254" i="11"/>
  <c r="G254" i="11"/>
  <c r="BF254" i="9" s="1"/>
  <c r="Z262" i="11"/>
  <c r="G262" i="11"/>
  <c r="BF262" i="9" s="1"/>
  <c r="Z270" i="11"/>
  <c r="G270" i="11"/>
  <c r="BF270" i="9" s="1"/>
  <c r="Z278" i="11"/>
  <c r="G278" i="11"/>
  <c r="BF278" i="9" s="1"/>
  <c r="Z286" i="11"/>
  <c r="G286" i="11"/>
  <c r="BF286" i="9" s="1"/>
  <c r="Z294" i="11"/>
  <c r="G294" i="11"/>
  <c r="BF294" i="9" s="1"/>
  <c r="Z302" i="11"/>
  <c r="G302" i="11"/>
  <c r="BF302" i="9" s="1"/>
  <c r="Z310" i="11"/>
  <c r="G310" i="11"/>
  <c r="BF310" i="9" s="1"/>
  <c r="Z318" i="11"/>
  <c r="G318" i="11"/>
  <c r="BF318" i="9" s="1"/>
  <c r="Z326" i="11"/>
  <c r="G326" i="11"/>
  <c r="BF326" i="9" s="1"/>
  <c r="Z334" i="11"/>
  <c r="G334" i="11"/>
  <c r="BF334" i="9" s="1"/>
  <c r="Z346" i="11"/>
  <c r="G346" i="11"/>
  <c r="BF346" i="9" s="1"/>
  <c r="Z354" i="11"/>
  <c r="G354" i="11"/>
  <c r="BF354" i="9" s="1"/>
  <c r="Z362" i="11"/>
  <c r="G362" i="11"/>
  <c r="BF362" i="9" s="1"/>
  <c r="Z370" i="11"/>
  <c r="G370" i="11"/>
  <c r="BF370" i="9" s="1"/>
  <c r="Z378" i="11"/>
  <c r="G378" i="11"/>
  <c r="BF378" i="9" s="1"/>
  <c r="Z386" i="11"/>
  <c r="G386" i="11"/>
  <c r="BF386" i="9" s="1"/>
  <c r="Z394" i="11"/>
  <c r="G394" i="11"/>
  <c r="BF394" i="9" s="1"/>
  <c r="Z402" i="11"/>
  <c r="G402" i="11"/>
  <c r="BF402" i="9" s="1"/>
  <c r="Z410" i="11"/>
  <c r="G410" i="11"/>
  <c r="BF410" i="9" s="1"/>
  <c r="Z418" i="11"/>
  <c r="G418" i="11"/>
  <c r="BF418" i="9" s="1"/>
  <c r="Z426" i="11"/>
  <c r="G426" i="11"/>
  <c r="BF426" i="9" s="1"/>
  <c r="Z434" i="11"/>
  <c r="G434" i="11"/>
  <c r="BF434" i="9" s="1"/>
  <c r="Z454" i="11"/>
  <c r="G454" i="11"/>
  <c r="BF454" i="9" s="1"/>
  <c r="Z17" i="11"/>
  <c r="G17" i="11"/>
  <c r="BF17" i="9" s="1"/>
  <c r="Z25" i="11"/>
  <c r="G25" i="11"/>
  <c r="BF25" i="9" s="1"/>
  <c r="Z37" i="11"/>
  <c r="G37" i="11"/>
  <c r="BF37" i="9" s="1"/>
  <c r="Z53" i="11"/>
  <c r="G53" i="11"/>
  <c r="BF53" i="9" s="1"/>
  <c r="Z61" i="11"/>
  <c r="G61" i="11"/>
  <c r="BF61" i="9" s="1"/>
  <c r="Z69" i="11"/>
  <c r="G69" i="11"/>
  <c r="BF69" i="9" s="1"/>
  <c r="Z77" i="11"/>
  <c r="G77" i="11"/>
  <c r="BF77" i="9" s="1"/>
  <c r="Z85" i="11"/>
  <c r="G85" i="11"/>
  <c r="BF85" i="9" s="1"/>
  <c r="Z93" i="11"/>
  <c r="G93" i="11"/>
  <c r="BF93" i="9" s="1"/>
  <c r="Z101" i="11"/>
  <c r="G101" i="11"/>
  <c r="BF101" i="9" s="1"/>
  <c r="Z109" i="11"/>
  <c r="G109" i="11"/>
  <c r="BF109" i="9" s="1"/>
  <c r="Z117" i="11"/>
  <c r="G117" i="11"/>
  <c r="BF117" i="9" s="1"/>
  <c r="Z125" i="11"/>
  <c r="G125" i="11"/>
  <c r="BF125" i="9" s="1"/>
  <c r="Z133" i="11"/>
  <c r="G133" i="11"/>
  <c r="BF133" i="9" s="1"/>
  <c r="Z141" i="11"/>
  <c r="G141" i="11"/>
  <c r="BF141" i="9" s="1"/>
  <c r="Z149" i="11"/>
  <c r="G149" i="11"/>
  <c r="BF149" i="9" s="1"/>
  <c r="Z157" i="11"/>
  <c r="G157" i="11"/>
  <c r="BF157" i="9" s="1"/>
  <c r="Z165" i="11"/>
  <c r="G165" i="11"/>
  <c r="BF165" i="9" s="1"/>
  <c r="Z173" i="11"/>
  <c r="G173" i="11"/>
  <c r="BF173" i="9" s="1"/>
  <c r="Z181" i="11"/>
  <c r="G181" i="11"/>
  <c r="BF181" i="9" s="1"/>
  <c r="Z189" i="11"/>
  <c r="G189" i="11"/>
  <c r="BF189" i="9" s="1"/>
  <c r="Z197" i="11"/>
  <c r="G197" i="11"/>
  <c r="BF197" i="9" s="1"/>
  <c r="Z205" i="11"/>
  <c r="G205" i="11"/>
  <c r="BF205" i="9" s="1"/>
  <c r="Z217" i="11"/>
  <c r="G217" i="11"/>
  <c r="BF217" i="9" s="1"/>
  <c r="Z225" i="11"/>
  <c r="G225" i="11"/>
  <c r="BF225" i="9" s="1"/>
  <c r="Z233" i="11"/>
  <c r="G233" i="11"/>
  <c r="BF233" i="9" s="1"/>
  <c r="Z241" i="11"/>
  <c r="G241" i="11"/>
  <c r="BF241" i="9" s="1"/>
  <c r="Z249" i="11"/>
  <c r="G249" i="11"/>
  <c r="BF249" i="9" s="1"/>
  <c r="Z257" i="11"/>
  <c r="G257" i="11"/>
  <c r="BF257" i="9" s="1"/>
  <c r="Z265" i="11"/>
  <c r="G265" i="11"/>
  <c r="BF265" i="9" s="1"/>
  <c r="Z277" i="11"/>
  <c r="G277" i="11"/>
  <c r="BF277" i="9" s="1"/>
  <c r="Z285" i="11"/>
  <c r="G285" i="11"/>
  <c r="BF285" i="9" s="1"/>
  <c r="Z293" i="11"/>
  <c r="G293" i="11"/>
  <c r="BF293" i="9" s="1"/>
  <c r="Z305" i="11"/>
  <c r="G305" i="11"/>
  <c r="BF305" i="9" s="1"/>
  <c r="Z313" i="11"/>
  <c r="G313" i="11"/>
  <c r="BF313" i="9" s="1"/>
  <c r="Z321" i="11"/>
  <c r="G321" i="11"/>
  <c r="BF321" i="9" s="1"/>
  <c r="Z329" i="11"/>
  <c r="G329" i="11"/>
  <c r="BF329" i="9" s="1"/>
  <c r="Z337" i="11"/>
  <c r="G337" i="11"/>
  <c r="BF337" i="9" s="1"/>
  <c r="Z345" i="11"/>
  <c r="G345" i="11"/>
  <c r="BF345" i="9" s="1"/>
  <c r="Z357" i="11"/>
  <c r="G357" i="11"/>
  <c r="BF357" i="9" s="1"/>
  <c r="Z365" i="11"/>
  <c r="G365" i="11"/>
  <c r="BF365" i="9" s="1"/>
  <c r="Z373" i="11"/>
  <c r="G373" i="11"/>
  <c r="BF373" i="9" s="1"/>
  <c r="Z381" i="11"/>
  <c r="G381" i="11"/>
  <c r="BF381" i="9" s="1"/>
  <c r="Z389" i="11"/>
  <c r="G389" i="11"/>
  <c r="BF389" i="9" s="1"/>
  <c r="Z397" i="11"/>
  <c r="G397" i="11"/>
  <c r="BF397" i="9" s="1"/>
  <c r="Z409" i="11"/>
  <c r="G409" i="11"/>
  <c r="BF409" i="9" s="1"/>
  <c r="Z417" i="11"/>
  <c r="G417" i="11"/>
  <c r="BF417" i="9" s="1"/>
  <c r="Z425" i="11"/>
  <c r="G425" i="11"/>
  <c r="BF425" i="9" s="1"/>
  <c r="Z433" i="11"/>
  <c r="G433" i="11"/>
  <c r="BF433" i="9" s="1"/>
  <c r="Z441" i="11"/>
  <c r="G441" i="11"/>
  <c r="BF441" i="9" s="1"/>
  <c r="Z449" i="11"/>
  <c r="G449" i="11"/>
  <c r="BF449" i="9" s="1"/>
  <c r="Z457" i="11"/>
  <c r="G457" i="11"/>
  <c r="BF457" i="9" s="1"/>
  <c r="Z465" i="11"/>
  <c r="G465" i="11"/>
  <c r="BF465" i="9" s="1"/>
  <c r="Z473" i="11"/>
  <c r="G473" i="11"/>
  <c r="BF473" i="9" s="1"/>
  <c r="Z477" i="11"/>
  <c r="G477" i="11"/>
  <c r="BF477" i="9" s="1"/>
  <c r="Z481" i="11"/>
  <c r="G481" i="11"/>
  <c r="BF481" i="9" s="1"/>
  <c r="Z485" i="11"/>
  <c r="G485" i="11"/>
  <c r="BF485" i="9" s="1"/>
  <c r="Z493" i="11"/>
  <c r="G493" i="11"/>
  <c r="BF493" i="9" s="1"/>
  <c r="Z497" i="11"/>
  <c r="G497" i="11"/>
  <c r="BF497" i="9" s="1"/>
  <c r="Z501" i="11"/>
  <c r="G501" i="11"/>
  <c r="BF501" i="9" s="1"/>
  <c r="Z505" i="11"/>
  <c r="G505" i="11"/>
  <c r="BF505" i="9" s="1"/>
  <c r="Z509" i="11"/>
  <c r="G509" i="11"/>
  <c r="BF509" i="9" s="1"/>
  <c r="Z513" i="11"/>
  <c r="G513" i="11"/>
  <c r="BF513" i="9" s="1"/>
  <c r="Z517" i="11"/>
  <c r="G517" i="11"/>
  <c r="BF517" i="9" s="1"/>
  <c r="Z521" i="11"/>
  <c r="G521" i="11"/>
  <c r="BF521" i="9" s="1"/>
  <c r="Z525" i="11"/>
  <c r="G525" i="11"/>
  <c r="BF525" i="9" s="1"/>
  <c r="Z529" i="11"/>
  <c r="G529" i="11"/>
  <c r="BF529" i="9" s="1"/>
  <c r="Z533" i="11"/>
  <c r="G533" i="11"/>
  <c r="BF533" i="9" s="1"/>
  <c r="Z537" i="11"/>
  <c r="G537" i="11"/>
  <c r="BF537" i="9" s="1"/>
  <c r="Z541" i="11"/>
  <c r="G541" i="11"/>
  <c r="BF541" i="9" s="1"/>
  <c r="Z545" i="11"/>
  <c r="G545" i="11"/>
  <c r="BF545" i="9" s="1"/>
  <c r="Z549" i="11"/>
  <c r="G549" i="11"/>
  <c r="BF549" i="9" s="1"/>
  <c r="Z553" i="11"/>
  <c r="G553" i="11"/>
  <c r="BF553" i="9" s="1"/>
  <c r="Z557" i="11"/>
  <c r="G557" i="11"/>
  <c r="BF557" i="9" s="1"/>
  <c r="Z561" i="11"/>
  <c r="G561" i="11"/>
  <c r="BF561" i="9" s="1"/>
  <c r="Z565" i="11"/>
  <c r="G565" i="11"/>
  <c r="BF565" i="9" s="1"/>
  <c r="Z569" i="11"/>
  <c r="G569" i="11"/>
  <c r="BF569" i="9" s="1"/>
  <c r="Z573" i="11"/>
  <c r="G573" i="11"/>
  <c r="BF573" i="9" s="1"/>
  <c r="Z577" i="11"/>
  <c r="G577" i="11"/>
  <c r="BF577" i="9" s="1"/>
  <c r="Z581" i="11"/>
  <c r="G581" i="11"/>
  <c r="BF581" i="9" s="1"/>
  <c r="Z585" i="11"/>
  <c r="G585" i="11"/>
  <c r="BF585" i="9" s="1"/>
  <c r="Z589" i="11"/>
  <c r="G589" i="11"/>
  <c r="BF589" i="9" s="1"/>
  <c r="Z593" i="11"/>
  <c r="G593" i="11"/>
  <c r="BF593" i="9" s="1"/>
  <c r="Z597" i="11"/>
  <c r="G597" i="11"/>
  <c r="BF597" i="9" s="1"/>
  <c r="Z601" i="11"/>
  <c r="G601" i="11"/>
  <c r="BF601" i="9" s="1"/>
  <c r="Z605" i="11"/>
  <c r="G605" i="11"/>
  <c r="BF605" i="9" s="1"/>
  <c r="Z609" i="11"/>
  <c r="G609" i="11"/>
  <c r="BF609" i="9" s="1"/>
  <c r="Z613" i="11"/>
  <c r="G613" i="11"/>
  <c r="BF613" i="9" s="1"/>
  <c r="Z617" i="11"/>
  <c r="G617" i="11"/>
  <c r="BF617" i="9" s="1"/>
  <c r="Z621" i="11"/>
  <c r="G621" i="11"/>
  <c r="BF621" i="9" s="1"/>
  <c r="Z625" i="11"/>
  <c r="G625" i="11"/>
  <c r="BF625" i="9" s="1"/>
  <c r="Z629" i="11"/>
  <c r="G629" i="11"/>
  <c r="BF629" i="9" s="1"/>
  <c r="Z633" i="11"/>
  <c r="G633" i="11"/>
  <c r="BF633" i="9" s="1"/>
  <c r="Z637" i="11"/>
  <c r="G637" i="11"/>
  <c r="BF637" i="9" s="1"/>
  <c r="Z641" i="11"/>
  <c r="G641" i="11"/>
  <c r="BF641" i="9" s="1"/>
  <c r="Z645" i="11"/>
  <c r="G645" i="11"/>
  <c r="BF645" i="9" s="1"/>
  <c r="Z649" i="11"/>
  <c r="G649" i="11"/>
  <c r="BF649" i="9" s="1"/>
  <c r="Z27" i="11"/>
  <c r="G27" i="11"/>
  <c r="BF27" i="9" s="1"/>
  <c r="Z55" i="11"/>
  <c r="G55" i="11"/>
  <c r="BF55" i="9" s="1"/>
  <c r="Z21" i="11"/>
  <c r="G21" i="11"/>
  <c r="BF21" i="9" s="1"/>
  <c r="Z29" i="11"/>
  <c r="G29" i="11"/>
  <c r="BF29" i="9" s="1"/>
  <c r="Z33" i="11"/>
  <c r="G33" i="11"/>
  <c r="BF33" i="9" s="1"/>
  <c r="Z41" i="11"/>
  <c r="G41" i="11"/>
  <c r="BF41" i="9" s="1"/>
  <c r="Z45" i="11"/>
  <c r="G45" i="11"/>
  <c r="BF45" i="9" s="1"/>
  <c r="Z49" i="11"/>
  <c r="G49" i="11"/>
  <c r="BF49" i="9" s="1"/>
  <c r="Z57" i="11"/>
  <c r="G57" i="11"/>
  <c r="BF57" i="9" s="1"/>
  <c r="Z65" i="11"/>
  <c r="G65" i="11"/>
  <c r="BF65" i="9" s="1"/>
  <c r="Z73" i="11"/>
  <c r="G73" i="11"/>
  <c r="BF73" i="9" s="1"/>
  <c r="Z81" i="11"/>
  <c r="G81" i="11"/>
  <c r="BF81" i="9" s="1"/>
  <c r="Z89" i="11"/>
  <c r="G89" i="11"/>
  <c r="BF89" i="9" s="1"/>
  <c r="Z97" i="11"/>
  <c r="G97" i="11"/>
  <c r="BF97" i="9" s="1"/>
  <c r="Z105" i="11"/>
  <c r="G105" i="11"/>
  <c r="BF105" i="9" s="1"/>
  <c r="Z113" i="11"/>
  <c r="G113" i="11"/>
  <c r="BF113" i="9" s="1"/>
  <c r="Z121" i="11"/>
  <c r="G121" i="11"/>
  <c r="BF121" i="9" s="1"/>
  <c r="Z129" i="11"/>
  <c r="G129" i="11"/>
  <c r="BF129" i="9" s="1"/>
  <c r="Z137" i="11"/>
  <c r="G137" i="11"/>
  <c r="BF137" i="9" s="1"/>
  <c r="Z145" i="11"/>
  <c r="G145" i="11"/>
  <c r="BF145" i="9" s="1"/>
  <c r="Z153" i="11"/>
  <c r="G153" i="11"/>
  <c r="BF153" i="9" s="1"/>
  <c r="Z161" i="11"/>
  <c r="G161" i="11"/>
  <c r="BF161" i="9" s="1"/>
  <c r="Z169" i="11"/>
  <c r="G169" i="11"/>
  <c r="BF169" i="9" s="1"/>
  <c r="Z177" i="11"/>
  <c r="G177" i="11"/>
  <c r="BF177" i="9" s="1"/>
  <c r="Z185" i="11"/>
  <c r="G185" i="11"/>
  <c r="BF185" i="9" s="1"/>
  <c r="Z193" i="11"/>
  <c r="G193" i="11"/>
  <c r="BF193" i="9" s="1"/>
  <c r="Z201" i="11"/>
  <c r="G201" i="11"/>
  <c r="BF201" i="9" s="1"/>
  <c r="Z209" i="11"/>
  <c r="G209" i="11"/>
  <c r="BF209" i="9" s="1"/>
  <c r="Z213" i="11"/>
  <c r="G213" i="11"/>
  <c r="BF213" i="9" s="1"/>
  <c r="Z221" i="11"/>
  <c r="G221" i="11"/>
  <c r="BF221" i="9" s="1"/>
  <c r="Z229" i="11"/>
  <c r="G229" i="11"/>
  <c r="BF229" i="9" s="1"/>
  <c r="Z237" i="11"/>
  <c r="G237" i="11"/>
  <c r="BF237" i="9" s="1"/>
  <c r="Z245" i="11"/>
  <c r="G245" i="11"/>
  <c r="BF245" i="9" s="1"/>
  <c r="Z253" i="11"/>
  <c r="G253" i="11"/>
  <c r="BF253" i="9" s="1"/>
  <c r="Z261" i="11"/>
  <c r="G261" i="11"/>
  <c r="BF261" i="9" s="1"/>
  <c r="Z269" i="11"/>
  <c r="G269" i="11"/>
  <c r="BF269" i="9" s="1"/>
  <c r="Z273" i="11"/>
  <c r="G273" i="11"/>
  <c r="BF273" i="9" s="1"/>
  <c r="Z281" i="11"/>
  <c r="G281" i="11"/>
  <c r="BF281" i="9" s="1"/>
  <c r="Z289" i="11"/>
  <c r="G289" i="11"/>
  <c r="BF289" i="9" s="1"/>
  <c r="Z297" i="11"/>
  <c r="G297" i="11"/>
  <c r="BF297" i="9" s="1"/>
  <c r="Z301" i="11"/>
  <c r="G301" i="11"/>
  <c r="BF301" i="9" s="1"/>
  <c r="Z309" i="11"/>
  <c r="G309" i="11"/>
  <c r="BF309" i="9" s="1"/>
  <c r="Z317" i="11"/>
  <c r="G317" i="11"/>
  <c r="BF317" i="9" s="1"/>
  <c r="Z325" i="11"/>
  <c r="G325" i="11"/>
  <c r="BF325" i="9" s="1"/>
  <c r="Z333" i="11"/>
  <c r="G333" i="11"/>
  <c r="BF333" i="9" s="1"/>
  <c r="Z341" i="11"/>
  <c r="G341" i="11"/>
  <c r="BF341" i="9" s="1"/>
  <c r="Z349" i="11"/>
  <c r="G349" i="11"/>
  <c r="BF349" i="9" s="1"/>
  <c r="Z353" i="11"/>
  <c r="G353" i="11"/>
  <c r="BF353" i="9" s="1"/>
  <c r="Z361" i="11"/>
  <c r="G361" i="11"/>
  <c r="BF361" i="9" s="1"/>
  <c r="Z369" i="11"/>
  <c r="G369" i="11"/>
  <c r="BF369" i="9" s="1"/>
  <c r="Z377" i="11"/>
  <c r="G377" i="11"/>
  <c r="BF377" i="9" s="1"/>
  <c r="Z385" i="11"/>
  <c r="G385" i="11"/>
  <c r="BF385" i="9" s="1"/>
  <c r="Z393" i="11"/>
  <c r="G393" i="11"/>
  <c r="BF393" i="9" s="1"/>
  <c r="Z401" i="11"/>
  <c r="G401" i="11"/>
  <c r="BF401" i="9" s="1"/>
  <c r="Z405" i="11"/>
  <c r="G405" i="11"/>
  <c r="BF405" i="9" s="1"/>
  <c r="Z413" i="11"/>
  <c r="G413" i="11"/>
  <c r="BF413" i="9" s="1"/>
  <c r="Z421" i="11"/>
  <c r="G421" i="11"/>
  <c r="BF421" i="9" s="1"/>
  <c r="Z429" i="11"/>
  <c r="G429" i="11"/>
  <c r="BF429" i="9" s="1"/>
  <c r="Z437" i="11"/>
  <c r="G437" i="11"/>
  <c r="BF437" i="9" s="1"/>
  <c r="Z445" i="11"/>
  <c r="G445" i="11"/>
  <c r="BF445" i="9" s="1"/>
  <c r="Z453" i="11"/>
  <c r="G453" i="11"/>
  <c r="BF453" i="9" s="1"/>
  <c r="Z461" i="11"/>
  <c r="G461" i="11"/>
  <c r="BF461" i="9" s="1"/>
  <c r="Z469" i="11"/>
  <c r="G469" i="11"/>
  <c r="BF469" i="9" s="1"/>
  <c r="Z489" i="11"/>
  <c r="G489" i="11"/>
  <c r="BF489" i="9" s="1"/>
  <c r="Z24" i="11"/>
  <c r="Z28" i="11"/>
  <c r="G28" i="11"/>
  <c r="BF28" i="9" s="1"/>
  <c r="Z32" i="11"/>
  <c r="G32" i="11"/>
  <c r="BF32" i="9" s="1"/>
  <c r="Z36" i="11"/>
  <c r="G36" i="11"/>
  <c r="BF36" i="9" s="1"/>
  <c r="Z40" i="11"/>
  <c r="G40" i="11"/>
  <c r="BF40" i="9" s="1"/>
  <c r="Z44" i="11"/>
  <c r="G44" i="11"/>
  <c r="BF44" i="9" s="1"/>
  <c r="Z48" i="11"/>
  <c r="G48" i="11"/>
  <c r="BF48" i="9" s="1"/>
  <c r="Z52" i="11"/>
  <c r="G52" i="11"/>
  <c r="BF52" i="9" s="1"/>
  <c r="Z56" i="11"/>
  <c r="G56" i="11"/>
  <c r="BF56" i="9" s="1"/>
  <c r="Z60" i="11"/>
  <c r="G60" i="11"/>
  <c r="BF60" i="9" s="1"/>
  <c r="Z64" i="11"/>
  <c r="G64" i="11"/>
  <c r="BF64" i="9" s="1"/>
  <c r="Z68" i="11"/>
  <c r="G68" i="11"/>
  <c r="BF68" i="9" s="1"/>
  <c r="Z72" i="11"/>
  <c r="G72" i="11"/>
  <c r="BF72" i="9" s="1"/>
  <c r="Z76" i="11"/>
  <c r="G76" i="11"/>
  <c r="BF76" i="9" s="1"/>
  <c r="Z80" i="11"/>
  <c r="G80" i="11"/>
  <c r="BF80" i="9" s="1"/>
  <c r="Z84" i="11"/>
  <c r="G84" i="11"/>
  <c r="BF84" i="9" s="1"/>
  <c r="Z88" i="11"/>
  <c r="G88" i="11"/>
  <c r="BF88" i="9" s="1"/>
  <c r="Z92" i="11"/>
  <c r="G92" i="11"/>
  <c r="BF92" i="9" s="1"/>
  <c r="Z96" i="11"/>
  <c r="G96" i="11"/>
  <c r="BF96" i="9" s="1"/>
  <c r="Z100" i="11"/>
  <c r="G100" i="11"/>
  <c r="BF100" i="9" s="1"/>
  <c r="Z104" i="11"/>
  <c r="G104" i="11"/>
  <c r="BF104" i="9" s="1"/>
  <c r="Z108" i="11"/>
  <c r="G108" i="11"/>
  <c r="BF108" i="9" s="1"/>
  <c r="Z112" i="11"/>
  <c r="G112" i="11"/>
  <c r="BF112" i="9" s="1"/>
  <c r="Z116" i="11"/>
  <c r="G116" i="11"/>
  <c r="BF116" i="9" s="1"/>
  <c r="Z120" i="11"/>
  <c r="G120" i="11"/>
  <c r="BF120" i="9" s="1"/>
  <c r="Z124" i="11"/>
  <c r="G124" i="11"/>
  <c r="BF124" i="9" s="1"/>
  <c r="Z128" i="11"/>
  <c r="G128" i="11"/>
  <c r="BF128" i="9" s="1"/>
  <c r="Z132" i="11"/>
  <c r="G132" i="11"/>
  <c r="BF132" i="9" s="1"/>
  <c r="Z136" i="11"/>
  <c r="G136" i="11"/>
  <c r="BF136" i="9" s="1"/>
  <c r="Z140" i="11"/>
  <c r="G140" i="11"/>
  <c r="BF140" i="9" s="1"/>
  <c r="Z144" i="11"/>
  <c r="G144" i="11"/>
  <c r="BF144" i="9" s="1"/>
  <c r="Z148" i="11"/>
  <c r="G148" i="11"/>
  <c r="BF148" i="9" s="1"/>
  <c r="Z152" i="11"/>
  <c r="G152" i="11"/>
  <c r="BF152" i="9" s="1"/>
  <c r="Z156" i="11"/>
  <c r="G156" i="11"/>
  <c r="BF156" i="9" s="1"/>
  <c r="Z160" i="11"/>
  <c r="G160" i="11"/>
  <c r="BF160" i="9" s="1"/>
  <c r="Z164" i="11"/>
  <c r="G164" i="11"/>
  <c r="BF164" i="9" s="1"/>
  <c r="Z168" i="11"/>
  <c r="G168" i="11"/>
  <c r="BF168" i="9" s="1"/>
  <c r="Z172" i="11"/>
  <c r="G172" i="11"/>
  <c r="BF172" i="9" s="1"/>
  <c r="Z176" i="11"/>
  <c r="G176" i="11"/>
  <c r="BF176" i="9" s="1"/>
  <c r="Z180" i="11"/>
  <c r="G180" i="11"/>
  <c r="BF180" i="9" s="1"/>
  <c r="Z184" i="11"/>
  <c r="G184" i="11"/>
  <c r="BF184" i="9" s="1"/>
  <c r="Z188" i="11"/>
  <c r="G188" i="11"/>
  <c r="BF188" i="9" s="1"/>
  <c r="Z192" i="11"/>
  <c r="G192" i="11"/>
  <c r="BF192" i="9" s="1"/>
  <c r="Z196" i="11"/>
  <c r="G196" i="11"/>
  <c r="BF196" i="9" s="1"/>
  <c r="Z200" i="11"/>
  <c r="G200" i="11"/>
  <c r="BF200" i="9" s="1"/>
  <c r="Z204" i="11"/>
  <c r="G204" i="11"/>
  <c r="BF204" i="9" s="1"/>
  <c r="Z208" i="11"/>
  <c r="G208" i="11"/>
  <c r="BF208" i="9" s="1"/>
  <c r="Z212" i="11"/>
  <c r="G212" i="11"/>
  <c r="BF212" i="9" s="1"/>
  <c r="Z216" i="11"/>
  <c r="G216" i="11"/>
  <c r="BF216" i="9" s="1"/>
  <c r="Z220" i="11"/>
  <c r="G220" i="11"/>
  <c r="BF220" i="9" s="1"/>
  <c r="Z224" i="11"/>
  <c r="G224" i="11"/>
  <c r="BF224" i="9" s="1"/>
  <c r="Z228" i="11"/>
  <c r="G228" i="11"/>
  <c r="BF228" i="9" s="1"/>
  <c r="Z232" i="11"/>
  <c r="G232" i="11"/>
  <c r="BF232" i="9" s="1"/>
  <c r="Z236" i="11"/>
  <c r="G236" i="11"/>
  <c r="BF236" i="9" s="1"/>
  <c r="Z240" i="11"/>
  <c r="G240" i="11"/>
  <c r="BF240" i="9" s="1"/>
  <c r="Z244" i="11"/>
  <c r="G244" i="11"/>
  <c r="BF244" i="9" s="1"/>
  <c r="Z248" i="11"/>
  <c r="G248" i="11"/>
  <c r="BF248" i="9" s="1"/>
  <c r="Z252" i="11"/>
  <c r="G252" i="11"/>
  <c r="BF252" i="9" s="1"/>
  <c r="Z256" i="11"/>
  <c r="G256" i="11"/>
  <c r="BF256" i="9" s="1"/>
  <c r="Z260" i="11"/>
  <c r="G260" i="11"/>
  <c r="BF260" i="9" s="1"/>
  <c r="Z264" i="11"/>
  <c r="G264" i="11"/>
  <c r="BF264" i="9" s="1"/>
  <c r="Z268" i="11"/>
  <c r="G268" i="11"/>
  <c r="BF268" i="9" s="1"/>
  <c r="Z272" i="11"/>
  <c r="G272" i="11"/>
  <c r="BF272" i="9" s="1"/>
  <c r="Z276" i="11"/>
  <c r="G276" i="11"/>
  <c r="BF276" i="9" s="1"/>
  <c r="Z280" i="11"/>
  <c r="G280" i="11"/>
  <c r="BF280" i="9" s="1"/>
  <c r="Z284" i="11"/>
  <c r="G284" i="11"/>
  <c r="BF284" i="9" s="1"/>
  <c r="Z288" i="11"/>
  <c r="G288" i="11"/>
  <c r="BF288" i="9" s="1"/>
  <c r="Z292" i="11"/>
  <c r="G292" i="11"/>
  <c r="BF292" i="9" s="1"/>
  <c r="Z296" i="11"/>
  <c r="G296" i="11"/>
  <c r="BF296" i="9" s="1"/>
  <c r="Z300" i="11"/>
  <c r="G300" i="11"/>
  <c r="BF300" i="9" s="1"/>
  <c r="Z304" i="11"/>
  <c r="G304" i="11"/>
  <c r="BF304" i="9" s="1"/>
  <c r="Z308" i="11"/>
  <c r="G308" i="11"/>
  <c r="BF308" i="9" s="1"/>
  <c r="Z316" i="11"/>
  <c r="G316" i="11"/>
  <c r="BF316" i="9" s="1"/>
  <c r="Z324" i="11"/>
  <c r="G324" i="11"/>
  <c r="BF324" i="9" s="1"/>
  <c r="Z332" i="11"/>
  <c r="G332" i="11"/>
  <c r="BF332" i="9" s="1"/>
  <c r="Z340" i="11"/>
  <c r="G340" i="11"/>
  <c r="BF340" i="9" s="1"/>
  <c r="Z348" i="11"/>
  <c r="G348" i="11"/>
  <c r="BF348" i="9" s="1"/>
  <c r="Z356" i="11"/>
  <c r="G356" i="11"/>
  <c r="BF356" i="9" s="1"/>
  <c r="Z364" i="11"/>
  <c r="G364" i="11"/>
  <c r="BF364" i="9" s="1"/>
  <c r="Z372" i="11"/>
  <c r="G372" i="11"/>
  <c r="BF372" i="9" s="1"/>
  <c r="Z380" i="11"/>
  <c r="G380" i="11"/>
  <c r="BF380" i="9" s="1"/>
  <c r="Z392" i="11"/>
  <c r="G392" i="11"/>
  <c r="BF392" i="9" s="1"/>
  <c r="Z400" i="11"/>
  <c r="G400" i="11"/>
  <c r="BF400" i="9" s="1"/>
  <c r="Z404" i="11"/>
  <c r="G404" i="11"/>
  <c r="BF404" i="9" s="1"/>
  <c r="Z412" i="11"/>
  <c r="G412" i="11"/>
  <c r="BF412" i="9" s="1"/>
  <c r="Z416" i="11"/>
  <c r="G416" i="11"/>
  <c r="BF416" i="9" s="1"/>
  <c r="Z420" i="11"/>
  <c r="G420" i="11"/>
  <c r="BF420" i="9" s="1"/>
  <c r="Z424" i="11"/>
  <c r="G424" i="11"/>
  <c r="BF424" i="9" s="1"/>
  <c r="Z432" i="11"/>
  <c r="G432" i="11"/>
  <c r="BF432" i="9" s="1"/>
  <c r="Z436" i="11"/>
  <c r="G436" i="11"/>
  <c r="BF436" i="9" s="1"/>
  <c r="Z440" i="11"/>
  <c r="G440" i="11"/>
  <c r="BF440" i="9" s="1"/>
  <c r="Z444" i="11"/>
  <c r="G444" i="11"/>
  <c r="BF444" i="9" s="1"/>
  <c r="Z448" i="11"/>
  <c r="G448" i="11"/>
  <c r="BF448" i="9" s="1"/>
  <c r="Z452" i="11"/>
  <c r="G452" i="11"/>
  <c r="BF452" i="9" s="1"/>
  <c r="Z456" i="11"/>
  <c r="G456" i="11"/>
  <c r="BF456" i="9" s="1"/>
  <c r="Z460" i="11"/>
  <c r="G460" i="11"/>
  <c r="BF460" i="9" s="1"/>
  <c r="Z464" i="11"/>
  <c r="G464" i="11"/>
  <c r="BF464" i="9" s="1"/>
  <c r="Z468" i="11"/>
  <c r="G468" i="11"/>
  <c r="BF468" i="9" s="1"/>
  <c r="Z472" i="11"/>
  <c r="G472" i="11"/>
  <c r="BF472" i="9" s="1"/>
  <c r="Z476" i="11"/>
  <c r="G476" i="11"/>
  <c r="BF476" i="9" s="1"/>
  <c r="Z480" i="11"/>
  <c r="G480" i="11"/>
  <c r="BF480" i="9" s="1"/>
  <c r="Z484" i="11"/>
  <c r="G484" i="11"/>
  <c r="BF484" i="9" s="1"/>
  <c r="Z488" i="11"/>
  <c r="G488" i="11"/>
  <c r="BF488" i="9" s="1"/>
  <c r="Z492" i="11"/>
  <c r="G492" i="11"/>
  <c r="BF492" i="9" s="1"/>
  <c r="Z496" i="11"/>
  <c r="G496" i="11"/>
  <c r="BF496" i="9" s="1"/>
  <c r="Z500" i="11"/>
  <c r="G500" i="11"/>
  <c r="BF500" i="9" s="1"/>
  <c r="Z504" i="11"/>
  <c r="G504" i="11"/>
  <c r="BF504" i="9" s="1"/>
  <c r="Z508" i="11"/>
  <c r="G508" i="11"/>
  <c r="BF508" i="9" s="1"/>
  <c r="Z512" i="11"/>
  <c r="G512" i="11"/>
  <c r="BF512" i="9" s="1"/>
  <c r="Z516" i="11"/>
  <c r="G516" i="11"/>
  <c r="BF516" i="9" s="1"/>
  <c r="Z520" i="11"/>
  <c r="G520" i="11"/>
  <c r="BF520" i="9" s="1"/>
  <c r="Z524" i="11"/>
  <c r="G524" i="11"/>
  <c r="BF524" i="9" s="1"/>
  <c r="Z528" i="11"/>
  <c r="G528" i="11"/>
  <c r="BF528" i="9" s="1"/>
  <c r="Z532" i="11"/>
  <c r="G532" i="11"/>
  <c r="BF532" i="9" s="1"/>
  <c r="Z536" i="11"/>
  <c r="G536" i="11"/>
  <c r="BF536" i="9" s="1"/>
  <c r="Z540" i="11"/>
  <c r="G540" i="11"/>
  <c r="BF540" i="9" s="1"/>
  <c r="Z544" i="11"/>
  <c r="G544" i="11"/>
  <c r="BF544" i="9" s="1"/>
  <c r="Z548" i="11"/>
  <c r="G548" i="11"/>
  <c r="BF548" i="9" s="1"/>
  <c r="Z552" i="11"/>
  <c r="G552" i="11"/>
  <c r="BF552" i="9" s="1"/>
  <c r="Z556" i="11"/>
  <c r="G556" i="11"/>
  <c r="BF556" i="9" s="1"/>
  <c r="Z560" i="11"/>
  <c r="G560" i="11"/>
  <c r="BF560" i="9" s="1"/>
  <c r="Z564" i="11"/>
  <c r="G564" i="11"/>
  <c r="BF564" i="9" s="1"/>
  <c r="Z568" i="11"/>
  <c r="G568" i="11"/>
  <c r="BF568" i="9" s="1"/>
  <c r="Z572" i="11"/>
  <c r="G572" i="11"/>
  <c r="BF572" i="9" s="1"/>
  <c r="Z576" i="11"/>
  <c r="G576" i="11"/>
  <c r="BF576" i="9" s="1"/>
  <c r="Z580" i="11"/>
  <c r="G580" i="11"/>
  <c r="BF580" i="9" s="1"/>
  <c r="Z584" i="11"/>
  <c r="G584" i="11"/>
  <c r="BF584" i="9" s="1"/>
  <c r="Z588" i="11"/>
  <c r="G588" i="11"/>
  <c r="BF588" i="9" s="1"/>
  <c r="Z592" i="11"/>
  <c r="G592" i="11"/>
  <c r="BF592" i="9" s="1"/>
  <c r="Z596" i="11"/>
  <c r="G596" i="11"/>
  <c r="BF596" i="9" s="1"/>
  <c r="Z600" i="11"/>
  <c r="G600" i="11"/>
  <c r="BF600" i="9" s="1"/>
  <c r="Z604" i="11"/>
  <c r="G604" i="11"/>
  <c r="BF604" i="9" s="1"/>
  <c r="Z608" i="11"/>
  <c r="G608" i="11"/>
  <c r="BF608" i="9" s="1"/>
  <c r="Z612" i="11"/>
  <c r="G612" i="11"/>
  <c r="BF612" i="9" s="1"/>
  <c r="Z616" i="11"/>
  <c r="G616" i="11"/>
  <c r="BF616" i="9" s="1"/>
  <c r="Z620" i="11"/>
  <c r="G620" i="11"/>
  <c r="BF620" i="9" s="1"/>
  <c r="Z624" i="11"/>
  <c r="G624" i="11"/>
  <c r="BF624" i="9" s="1"/>
  <c r="Z628" i="11"/>
  <c r="G628" i="11"/>
  <c r="BF628" i="9" s="1"/>
  <c r="Z632" i="11"/>
  <c r="G632" i="11"/>
  <c r="BF632" i="9" s="1"/>
  <c r="Z636" i="11"/>
  <c r="G636" i="11"/>
  <c r="BF636" i="9" s="1"/>
  <c r="Z640" i="11"/>
  <c r="G640" i="11"/>
  <c r="BF640" i="9" s="1"/>
  <c r="Z644" i="11"/>
  <c r="G644" i="11"/>
  <c r="BF644" i="9" s="1"/>
  <c r="Z648" i="11"/>
  <c r="G648" i="11"/>
  <c r="BF648" i="9" s="1"/>
  <c r="Z312" i="11"/>
  <c r="G312" i="11"/>
  <c r="BF312" i="9" s="1"/>
  <c r="Z320" i="11"/>
  <c r="G320" i="11"/>
  <c r="BF320" i="9" s="1"/>
  <c r="Z328" i="11"/>
  <c r="G328" i="11"/>
  <c r="BF328" i="9" s="1"/>
  <c r="Z336" i="11"/>
  <c r="G336" i="11"/>
  <c r="BF336" i="9" s="1"/>
  <c r="Z344" i="11"/>
  <c r="G344" i="11"/>
  <c r="BF344" i="9" s="1"/>
  <c r="Z352" i="11"/>
  <c r="G352" i="11"/>
  <c r="BF352" i="9" s="1"/>
  <c r="Z360" i="11"/>
  <c r="G360" i="11"/>
  <c r="BF360" i="9" s="1"/>
  <c r="Z368" i="11"/>
  <c r="G368" i="11"/>
  <c r="BF368" i="9" s="1"/>
  <c r="Z376" i="11"/>
  <c r="G376" i="11"/>
  <c r="BF376" i="9" s="1"/>
  <c r="Z384" i="11"/>
  <c r="G384" i="11"/>
  <c r="BF384" i="9" s="1"/>
  <c r="Z388" i="11"/>
  <c r="G388" i="11"/>
  <c r="BF388" i="9" s="1"/>
  <c r="Z396" i="11"/>
  <c r="G396" i="11"/>
  <c r="BF396" i="9" s="1"/>
  <c r="Z408" i="11"/>
  <c r="G408" i="11"/>
  <c r="BF408" i="9" s="1"/>
  <c r="Z428" i="11"/>
  <c r="G428" i="11"/>
  <c r="BF428" i="9" s="1"/>
  <c r="Y8" i="11"/>
  <c r="F6" i="11"/>
  <c r="G6" i="11" s="1"/>
  <c r="Y9" i="11"/>
  <c r="F9" i="11"/>
  <c r="G9" i="11" s="1"/>
  <c r="F8" i="11"/>
  <c r="G8" i="11" s="1"/>
  <c r="F5" i="11"/>
  <c r="G5" i="11" s="1"/>
  <c r="F7" i="11"/>
  <c r="G7" i="11" s="1"/>
  <c r="F11" i="11"/>
  <c r="G11" i="11" s="1"/>
  <c r="BF11" i="9" s="1"/>
  <c r="AC5" i="11"/>
  <c r="F13" i="11"/>
  <c r="G13" i="11" s="1"/>
  <c r="Y12" i="11"/>
  <c r="F12" i="11"/>
  <c r="G12" i="11" s="1"/>
  <c r="AC650" i="11"/>
  <c r="AC642" i="11"/>
  <c r="AC634" i="11"/>
  <c r="AC626" i="11"/>
  <c r="AC618" i="11"/>
  <c r="AC610" i="11"/>
  <c r="AC602" i="11"/>
  <c r="AC594" i="11"/>
  <c r="AC586" i="11"/>
  <c r="AC578" i="11"/>
  <c r="AC570" i="11"/>
  <c r="AC562" i="11"/>
  <c r="AC554" i="11"/>
  <c r="AC546" i="11"/>
  <c r="AC538" i="11"/>
  <c r="AC530" i="11"/>
  <c r="AC522" i="11"/>
  <c r="AC514" i="11"/>
  <c r="AC506" i="11"/>
  <c r="AC498" i="11"/>
  <c r="AC490" i="11"/>
  <c r="AC482" i="11"/>
  <c r="AC474" i="11"/>
  <c r="AC466" i="11"/>
  <c r="AC458" i="11"/>
  <c r="AC450" i="11"/>
  <c r="AC442" i="11"/>
  <c r="AC434" i="11"/>
  <c r="AC426" i="11"/>
  <c r="AC418" i="11"/>
  <c r="AC410" i="11"/>
  <c r="AC402" i="11"/>
  <c r="AC394" i="11"/>
  <c r="AC386" i="11"/>
  <c r="AC378" i="11"/>
  <c r="AC370" i="11"/>
  <c r="AC362" i="11"/>
  <c r="AC354" i="11"/>
  <c r="AC346" i="11"/>
  <c r="AC338" i="11"/>
  <c r="AC330" i="11"/>
  <c r="AC322" i="11"/>
  <c r="AC314" i="11"/>
  <c r="AC306" i="11"/>
  <c r="AC298" i="11"/>
  <c r="AC290" i="11"/>
  <c r="AC282" i="11"/>
  <c r="AC274" i="11"/>
  <c r="AC266" i="11"/>
  <c r="AC258" i="11"/>
  <c r="AC250" i="11"/>
  <c r="AC242" i="11"/>
  <c r="AC234" i="11"/>
  <c r="AC226" i="11"/>
  <c r="AC218" i="11"/>
  <c r="AC210" i="11"/>
  <c r="AC202" i="11"/>
  <c r="AC194" i="11"/>
  <c r="AC186" i="11"/>
  <c r="AC178" i="11"/>
  <c r="AC170" i="11"/>
  <c r="AC162" i="11"/>
  <c r="AC154" i="11"/>
  <c r="AC146" i="11"/>
  <c r="AC138" i="11"/>
  <c r="AC130" i="11"/>
  <c r="AC122" i="11"/>
  <c r="AC114" i="11"/>
  <c r="AC106" i="11"/>
  <c r="AC98" i="11"/>
  <c r="AC90" i="11"/>
  <c r="AC82" i="11"/>
  <c r="AC74" i="11"/>
  <c r="AC66" i="11"/>
  <c r="AC58" i="11"/>
  <c r="AC50" i="11"/>
  <c r="AC42" i="11"/>
  <c r="AC34" i="11"/>
  <c r="AC26" i="11"/>
  <c r="AC18" i="11"/>
  <c r="AC649" i="11"/>
  <c r="AC641" i="11"/>
  <c r="AC633" i="11"/>
  <c r="AC625" i="11"/>
  <c r="AC617" i="11"/>
  <c r="AC609" i="11"/>
  <c r="AC601" i="11"/>
  <c r="AC593" i="11"/>
  <c r="AC585" i="11"/>
  <c r="AC577" i="11"/>
  <c r="AC569" i="11"/>
  <c r="AC561" i="11"/>
  <c r="AC553" i="11"/>
  <c r="AC545" i="11"/>
  <c r="AC537" i="11"/>
  <c r="AC529" i="11"/>
  <c r="AC521" i="11"/>
  <c r="AC513" i="11"/>
  <c r="AC505" i="11"/>
  <c r="AC497" i="11"/>
  <c r="AC489" i="11"/>
  <c r="AC481" i="11"/>
  <c r="AC473" i="11"/>
  <c r="AC465" i="11"/>
  <c r="AC457" i="11"/>
  <c r="AC449" i="11"/>
  <c r="AC441" i="11"/>
  <c r="AC433" i="11"/>
  <c r="AC425" i="11"/>
  <c r="AC417" i="11"/>
  <c r="AC409" i="11"/>
  <c r="AC401" i="11"/>
  <c r="AC393" i="11"/>
  <c r="AC385" i="11"/>
  <c r="AC377" i="11"/>
  <c r="AC369" i="11"/>
  <c r="AC361" i="11"/>
  <c r="AC353" i="11"/>
  <c r="AC345" i="11"/>
  <c r="AC337" i="11"/>
  <c r="AC329" i="11"/>
  <c r="AC321" i="11"/>
  <c r="AC313" i="11"/>
  <c r="AC305" i="11"/>
  <c r="AC297" i="11"/>
  <c r="AC289" i="11"/>
  <c r="AC281" i="11"/>
  <c r="AC273" i="11"/>
  <c r="AC265" i="11"/>
  <c r="AC257" i="11"/>
  <c r="AC249" i="11"/>
  <c r="AC241" i="11"/>
  <c r="AC233" i="11"/>
  <c r="AC225" i="11"/>
  <c r="AC217" i="11"/>
  <c r="AC209" i="11"/>
  <c r="AC201" i="11"/>
  <c r="AC193" i="11"/>
  <c r="AC185" i="11"/>
  <c r="AC177" i="11"/>
  <c r="AC169" i="11"/>
  <c r="AC161" i="11"/>
  <c r="AC153" i="11"/>
  <c r="AC145" i="11"/>
  <c r="AC137" i="11"/>
  <c r="AC129" i="11"/>
  <c r="AC121" i="11"/>
  <c r="AC113" i="11"/>
  <c r="AC105" i="11"/>
  <c r="AC97" i="11"/>
  <c r="AC89" i="11"/>
  <c r="AC81" i="11"/>
  <c r="AC73" i="11"/>
  <c r="AC65" i="11"/>
  <c r="AC57" i="11"/>
  <c r="AC49" i="11"/>
  <c r="AC41" i="11"/>
  <c r="AC33" i="11"/>
  <c r="AC25" i="11"/>
  <c r="AC17" i="11"/>
  <c r="AC612" i="11"/>
  <c r="AC604" i="11"/>
  <c r="AC564" i="11"/>
  <c r="AC648" i="11"/>
  <c r="AC640" i="11"/>
  <c r="AC632" i="11"/>
  <c r="AC624" i="11"/>
  <c r="AC616" i="11"/>
  <c r="AC608" i="11"/>
  <c r="AC600" i="11"/>
  <c r="AC592" i="11"/>
  <c r="AC584" i="11"/>
  <c r="AC576" i="11"/>
  <c r="AC568" i="11"/>
  <c r="AC560" i="11"/>
  <c r="AC552" i="11"/>
  <c r="AC544" i="11"/>
  <c r="AC536" i="11"/>
  <c r="AC528" i="11"/>
  <c r="AC520" i="11"/>
  <c r="AC512" i="11"/>
  <c r="AC504" i="11"/>
  <c r="AC496" i="11"/>
  <c r="AC488" i="11"/>
  <c r="AC480" i="11"/>
  <c r="AC472" i="11"/>
  <c r="AC464" i="11"/>
  <c r="AC456" i="11"/>
  <c r="AC448" i="11"/>
  <c r="AC440" i="11"/>
  <c r="AC432" i="11"/>
  <c r="AC424" i="11"/>
  <c r="AC416" i="11"/>
  <c r="AC408" i="11"/>
  <c r="AC400" i="11"/>
  <c r="AC392" i="11"/>
  <c r="AC384" i="11"/>
  <c r="AC376" i="11"/>
  <c r="AC368" i="11"/>
  <c r="AC360" i="11"/>
  <c r="AC352" i="11"/>
  <c r="AC344" i="11"/>
  <c r="AC336" i="11"/>
  <c r="AC328" i="11"/>
  <c r="AC320" i="11"/>
  <c r="AC312" i="11"/>
  <c r="AC304" i="11"/>
  <c r="AC296" i="11"/>
  <c r="AC288" i="11"/>
  <c r="AC280" i="11"/>
  <c r="AC272" i="11"/>
  <c r="AC264" i="11"/>
  <c r="AC256" i="11"/>
  <c r="AC248" i="11"/>
  <c r="AC240" i="11"/>
  <c r="AC232" i="11"/>
  <c r="AC224" i="11"/>
  <c r="AC216" i="11"/>
  <c r="AC208" i="11"/>
  <c r="AC200" i="11"/>
  <c r="AC192" i="11"/>
  <c r="AC184" i="11"/>
  <c r="AC176" i="11"/>
  <c r="AC168" i="11"/>
  <c r="AC160" i="11"/>
  <c r="AC152" i="11"/>
  <c r="AC144" i="11"/>
  <c r="AC136" i="11"/>
  <c r="AC128" i="11"/>
  <c r="AC120" i="11"/>
  <c r="AC112" i="11"/>
  <c r="AC104" i="11"/>
  <c r="AC96" i="11"/>
  <c r="AC88" i="11"/>
  <c r="AC80" i="11"/>
  <c r="AC72" i="11"/>
  <c r="AC64" i="11"/>
  <c r="AC56" i="11"/>
  <c r="AC48" i="11"/>
  <c r="AC40" i="11"/>
  <c r="AC32" i="11"/>
  <c r="AC24" i="11"/>
  <c r="AC16" i="11"/>
  <c r="AC636" i="11"/>
  <c r="AC596" i="11"/>
  <c r="AC556" i="11"/>
  <c r="AC524" i="11"/>
  <c r="AC500" i="11"/>
  <c r="AC647" i="11"/>
  <c r="AC639" i="11"/>
  <c r="AC631" i="11"/>
  <c r="AC623" i="11"/>
  <c r="AC615" i="11"/>
  <c r="AC607" i="11"/>
  <c r="AC599" i="11"/>
  <c r="AC591" i="11"/>
  <c r="AC583" i="11"/>
  <c r="AC575" i="11"/>
  <c r="AC567" i="11"/>
  <c r="AC559" i="11"/>
  <c r="AC551" i="11"/>
  <c r="AC543" i="11"/>
  <c r="AC535" i="11"/>
  <c r="AC527" i="11"/>
  <c r="AC519" i="11"/>
  <c r="AC511" i="11"/>
  <c r="AC503" i="11"/>
  <c r="AC495" i="11"/>
  <c r="AC487" i="11"/>
  <c r="AC479" i="11"/>
  <c r="AC471" i="11"/>
  <c r="AC463" i="11"/>
  <c r="AC455" i="11"/>
  <c r="AC447" i="11"/>
  <c r="AC439" i="11"/>
  <c r="AC431" i="11"/>
  <c r="AC423" i="11"/>
  <c r="AC415" i="11"/>
  <c r="AC407" i="11"/>
  <c r="AC399" i="11"/>
  <c r="AC391" i="11"/>
  <c r="AC383" i="11"/>
  <c r="AC375" i="11"/>
  <c r="AC367" i="11"/>
  <c r="AC359" i="11"/>
  <c r="AC351" i="11"/>
  <c r="AC343" i="11"/>
  <c r="AC335" i="11"/>
  <c r="AC327" i="11"/>
  <c r="AC319" i="11"/>
  <c r="AC311" i="11"/>
  <c r="AC303" i="11"/>
  <c r="AC295" i="11"/>
  <c r="AC287" i="11"/>
  <c r="AC279" i="11"/>
  <c r="AC271" i="11"/>
  <c r="AC263" i="11"/>
  <c r="AC255" i="11"/>
  <c r="AC247" i="11"/>
  <c r="AC239" i="11"/>
  <c r="AC231" i="11"/>
  <c r="AC223" i="11"/>
  <c r="AC215" i="11"/>
  <c r="AC207" i="11"/>
  <c r="AC199" i="11"/>
  <c r="AC191" i="11"/>
  <c r="AC183" i="11"/>
  <c r="AC175" i="11"/>
  <c r="AC167" i="11"/>
  <c r="AC159" i="11"/>
  <c r="AC151" i="11"/>
  <c r="AC143" i="11"/>
  <c r="AC135" i="11"/>
  <c r="AC127" i="11"/>
  <c r="AC119" i="11"/>
  <c r="AC111" i="11"/>
  <c r="AC103" i="11"/>
  <c r="AC95" i="11"/>
  <c r="AC87" i="11"/>
  <c r="AC79" i="11"/>
  <c r="AC71" i="11"/>
  <c r="AC63" i="11"/>
  <c r="AC55" i="11"/>
  <c r="AC47" i="11"/>
  <c r="AC39" i="11"/>
  <c r="AC31" i="11"/>
  <c r="AC23" i="11"/>
  <c r="AC15" i="11"/>
  <c r="AC620" i="11"/>
  <c r="AC572" i="11"/>
  <c r="AC548" i="11"/>
  <c r="AC492" i="11"/>
  <c r="AC646" i="11"/>
  <c r="AC638" i="11"/>
  <c r="AC630" i="11"/>
  <c r="AC622" i="11"/>
  <c r="AC614" i="11"/>
  <c r="AC606" i="11"/>
  <c r="AC598" i="11"/>
  <c r="AC590" i="11"/>
  <c r="AC582" i="11"/>
  <c r="AC574" i="11"/>
  <c r="AC566" i="11"/>
  <c r="AC558" i="11"/>
  <c r="AC550" i="11"/>
  <c r="AC542" i="11"/>
  <c r="AC534" i="11"/>
  <c r="AC526" i="11"/>
  <c r="AC518" i="11"/>
  <c r="AC510" i="11"/>
  <c r="AC502" i="11"/>
  <c r="AC494" i="11"/>
  <c r="AC486" i="11"/>
  <c r="AC478" i="11"/>
  <c r="AC470" i="11"/>
  <c r="AC462" i="11"/>
  <c r="AC454" i="11"/>
  <c r="AC446" i="11"/>
  <c r="AC438" i="11"/>
  <c r="AC430" i="11"/>
  <c r="AC422" i="11"/>
  <c r="AC414" i="11"/>
  <c r="AC406" i="11"/>
  <c r="AC398" i="11"/>
  <c r="AC390" i="11"/>
  <c r="AC382" i="11"/>
  <c r="AC374" i="11"/>
  <c r="AC366" i="11"/>
  <c r="AC358" i="11"/>
  <c r="AC350" i="11"/>
  <c r="AC342" i="11"/>
  <c r="AC334" i="11"/>
  <c r="AC326" i="11"/>
  <c r="AC318" i="11"/>
  <c r="AC310" i="11"/>
  <c r="AC302" i="11"/>
  <c r="AC294" i="11"/>
  <c r="AC286" i="11"/>
  <c r="AC278" i="11"/>
  <c r="AC270" i="11"/>
  <c r="AC262" i="11"/>
  <c r="AC254" i="11"/>
  <c r="AC246" i="11"/>
  <c r="AC238" i="11"/>
  <c r="AC230" i="11"/>
  <c r="AC222" i="11"/>
  <c r="AC214" i="11"/>
  <c r="AC206" i="11"/>
  <c r="AC198" i="11"/>
  <c r="AC190" i="11"/>
  <c r="AC182" i="11"/>
  <c r="AC174" i="11"/>
  <c r="AC166" i="11"/>
  <c r="AC158" i="11"/>
  <c r="AC150" i="11"/>
  <c r="AC142" i="11"/>
  <c r="AC134" i="11"/>
  <c r="AC126" i="11"/>
  <c r="AC118" i="11"/>
  <c r="AC110" i="11"/>
  <c r="AC102" i="11"/>
  <c r="AC94" i="11"/>
  <c r="AC86" i="11"/>
  <c r="AC78" i="11"/>
  <c r="AC70" i="11"/>
  <c r="AC62" i="11"/>
  <c r="AC54" i="11"/>
  <c r="AC46" i="11"/>
  <c r="AC38" i="11"/>
  <c r="AC30" i="11"/>
  <c r="AC22" i="11"/>
  <c r="AC14" i="11"/>
  <c r="AC644" i="11"/>
  <c r="AC580" i="11"/>
  <c r="AC532" i="11"/>
  <c r="AC508" i="11"/>
  <c r="AC645" i="11"/>
  <c r="AC637" i="11"/>
  <c r="AC629" i="11"/>
  <c r="AC621" i="11"/>
  <c r="AC613" i="11"/>
  <c r="AC605" i="11"/>
  <c r="AC597" i="11"/>
  <c r="AC589" i="11"/>
  <c r="AC581" i="11"/>
  <c r="AC573" i="11"/>
  <c r="AC565" i="11"/>
  <c r="AC557" i="11"/>
  <c r="AC549" i="11"/>
  <c r="AC541" i="11"/>
  <c r="AC533" i="11"/>
  <c r="AC525" i="11"/>
  <c r="AC517" i="11"/>
  <c r="AC509" i="11"/>
  <c r="AC501" i="11"/>
  <c r="AC493" i="11"/>
  <c r="AC485" i="11"/>
  <c r="AC477" i="11"/>
  <c r="AC469" i="11"/>
  <c r="AC461" i="11"/>
  <c r="AC453" i="11"/>
  <c r="AC445" i="11"/>
  <c r="AC437" i="11"/>
  <c r="AC429" i="11"/>
  <c r="AC421" i="11"/>
  <c r="AC413" i="11"/>
  <c r="AC405" i="11"/>
  <c r="AC397" i="11"/>
  <c r="AC389" i="11"/>
  <c r="AC381" i="11"/>
  <c r="AC373" i="11"/>
  <c r="AC365" i="11"/>
  <c r="AC357" i="11"/>
  <c r="AC349" i="11"/>
  <c r="AC341" i="11"/>
  <c r="AC333" i="11"/>
  <c r="AC325" i="11"/>
  <c r="AC317" i="11"/>
  <c r="AC309" i="11"/>
  <c r="AC301" i="11"/>
  <c r="AC293" i="11"/>
  <c r="AC285" i="11"/>
  <c r="AC277" i="11"/>
  <c r="AC269" i="11"/>
  <c r="AC261" i="11"/>
  <c r="AC253" i="11"/>
  <c r="AC245" i="11"/>
  <c r="AC237" i="11"/>
  <c r="AC229" i="11"/>
  <c r="AC221" i="11"/>
  <c r="AC213" i="11"/>
  <c r="AC205" i="11"/>
  <c r="AC197" i="11"/>
  <c r="AC189" i="11"/>
  <c r="AC181" i="11"/>
  <c r="AC173" i="11"/>
  <c r="AC165" i="11"/>
  <c r="AC157" i="11"/>
  <c r="AC149" i="11"/>
  <c r="AC141" i="11"/>
  <c r="AC133" i="11"/>
  <c r="AC125" i="11"/>
  <c r="AC117" i="11"/>
  <c r="AC109" i="11"/>
  <c r="AC101" i="11"/>
  <c r="AC93" i="11"/>
  <c r="AC85" i="11"/>
  <c r="AC77" i="11"/>
  <c r="AC69" i="11"/>
  <c r="AC61" i="11"/>
  <c r="AC53" i="11"/>
  <c r="AC45" i="11"/>
  <c r="AC37" i="11"/>
  <c r="AC29" i="11"/>
  <c r="AC21" i="11"/>
  <c r="AC13" i="11"/>
  <c r="AC628" i="11"/>
  <c r="AC588" i="11"/>
  <c r="AC540" i="11"/>
  <c r="AC516" i="11"/>
  <c r="AC476" i="11"/>
  <c r="AC643" i="11"/>
  <c r="AC579" i="11"/>
  <c r="AC515" i="11"/>
  <c r="AC467" i="11"/>
  <c r="AC435" i="11"/>
  <c r="AC403" i="11"/>
  <c r="AC371" i="11"/>
  <c r="AC339" i="11"/>
  <c r="AC307" i="11"/>
  <c r="AC275" i="11"/>
  <c r="AC243" i="11"/>
  <c r="AC211" i="11"/>
  <c r="AC179" i="11"/>
  <c r="AC147" i="11"/>
  <c r="AC115" i="11"/>
  <c r="AC83" i="11"/>
  <c r="AC51" i="11"/>
  <c r="AC19" i="11"/>
  <c r="AC635" i="11"/>
  <c r="AC571" i="11"/>
  <c r="AC507" i="11"/>
  <c r="AC460" i="11"/>
  <c r="AC428" i="11"/>
  <c r="AC396" i="11"/>
  <c r="AC364" i="11"/>
  <c r="AC332" i="11"/>
  <c r="AC300" i="11"/>
  <c r="AC268" i="11"/>
  <c r="AC236" i="11"/>
  <c r="AC204" i="11"/>
  <c r="AC172" i="11"/>
  <c r="AC140" i="11"/>
  <c r="AC108" i="11"/>
  <c r="AC76" i="11"/>
  <c r="AC44" i="11"/>
  <c r="AC12" i="11"/>
  <c r="AC627" i="11"/>
  <c r="AC563" i="11"/>
  <c r="AC499" i="11"/>
  <c r="AC459" i="11"/>
  <c r="AC427" i="11"/>
  <c r="AC395" i="11"/>
  <c r="AC363" i="11"/>
  <c r="AC331" i="11"/>
  <c r="AC299" i="11"/>
  <c r="AC267" i="11"/>
  <c r="AC235" i="11"/>
  <c r="AC203" i="11"/>
  <c r="AC171" i="11"/>
  <c r="AC139" i="11"/>
  <c r="AC107" i="11"/>
  <c r="AC75" i="11"/>
  <c r="AC43" i="11"/>
  <c r="AC619" i="11"/>
  <c r="AC555" i="11"/>
  <c r="AC491" i="11"/>
  <c r="AC452" i="11"/>
  <c r="AC420" i="11"/>
  <c r="AC388" i="11"/>
  <c r="AC356" i="11"/>
  <c r="AC324" i="11"/>
  <c r="AC292" i="11"/>
  <c r="AC260" i="11"/>
  <c r="AC228" i="11"/>
  <c r="AC196" i="11"/>
  <c r="AC164" i="11"/>
  <c r="AC132" i="11"/>
  <c r="AC100" i="11"/>
  <c r="AC68" i="11"/>
  <c r="AC36" i="11"/>
  <c r="AC611" i="11"/>
  <c r="AC547" i="11"/>
  <c r="AC484" i="11"/>
  <c r="AC451" i="11"/>
  <c r="AC419" i="11"/>
  <c r="AC387" i="11"/>
  <c r="AC355" i="11"/>
  <c r="AC323" i="11"/>
  <c r="AC291" i="11"/>
  <c r="AC259" i="11"/>
  <c r="AC227" i="11"/>
  <c r="AC195" i="11"/>
  <c r="AC163" i="11"/>
  <c r="AC131" i="11"/>
  <c r="AC99" i="11"/>
  <c r="AC67" i="11"/>
  <c r="AC35" i="11"/>
  <c r="AC603" i="11"/>
  <c r="AC539" i="11"/>
  <c r="AC483" i="11"/>
  <c r="AC444" i="11"/>
  <c r="AC412" i="11"/>
  <c r="AC380" i="11"/>
  <c r="AC348" i="11"/>
  <c r="AC316" i="11"/>
  <c r="AC284" i="11"/>
  <c r="AC252" i="11"/>
  <c r="AC220" i="11"/>
  <c r="AC188" i="11"/>
  <c r="AC156" i="11"/>
  <c r="AC124" i="11"/>
  <c r="AC92" i="11"/>
  <c r="AC60" i="11"/>
  <c r="AC28" i="11"/>
  <c r="AC595" i="11"/>
  <c r="AC531" i="11"/>
  <c r="AC475" i="11"/>
  <c r="AC443" i="11"/>
  <c r="AC411" i="11"/>
  <c r="AC379" i="11"/>
  <c r="AC347" i="11"/>
  <c r="AC315" i="11"/>
  <c r="AC283" i="11"/>
  <c r="AC251" i="11"/>
  <c r="AC219" i="11"/>
  <c r="AC187" i="11"/>
  <c r="AC155" i="11"/>
  <c r="AC123" i="11"/>
  <c r="AC91" i="11"/>
  <c r="AC59" i="11"/>
  <c r="AC27" i="11"/>
  <c r="AC587" i="11"/>
  <c r="AC523" i="11"/>
  <c r="AC468" i="11"/>
  <c r="AC436" i="11"/>
  <c r="AC404" i="11"/>
  <c r="AC372" i="11"/>
  <c r="AC340" i="11"/>
  <c r="AC308" i="11"/>
  <c r="AC276" i="11"/>
  <c r="AC244" i="11"/>
  <c r="AC212" i="11"/>
  <c r="AC180" i="11"/>
  <c r="AC148" i="11"/>
  <c r="AC116" i="11"/>
  <c r="AC84" i="11"/>
  <c r="AC52" i="11"/>
  <c r="AC20" i="11"/>
  <c r="AC9" i="11"/>
  <c r="AC8" i="11"/>
  <c r="AC7" i="11"/>
  <c r="AC6" i="11"/>
  <c r="AC10" i="11"/>
  <c r="AC11" i="11"/>
  <c r="F10" i="11"/>
  <c r="G10" i="11" s="1"/>
  <c r="BF10" i="9" s="1"/>
  <c r="Y13" i="11"/>
  <c r="Y61" i="11"/>
  <c r="Y93" i="11"/>
  <c r="Y213" i="11"/>
  <c r="Y605" i="11"/>
  <c r="Y617" i="11"/>
  <c r="Y645" i="11"/>
  <c r="Y25" i="11"/>
  <c r="Y37" i="11"/>
  <c r="Y49" i="11"/>
  <c r="Y81" i="11"/>
  <c r="Y89" i="11"/>
  <c r="Y113" i="11"/>
  <c r="Y133" i="11"/>
  <c r="Y165" i="11"/>
  <c r="Y173" i="11"/>
  <c r="Y193" i="11"/>
  <c r="Y225" i="11"/>
  <c r="Y249" i="11"/>
  <c r="Y293" i="11"/>
  <c r="Y313" i="11"/>
  <c r="Y333" i="11"/>
  <c r="Y353" i="11"/>
  <c r="Y373" i="11"/>
  <c r="Y393" i="11"/>
  <c r="Y413" i="11"/>
  <c r="Y433" i="11"/>
  <c r="Y453" i="11"/>
  <c r="Y473" i="11"/>
  <c r="Y493" i="11"/>
  <c r="Y513" i="11"/>
  <c r="Y545" i="11"/>
  <c r="Y553" i="11"/>
  <c r="Y561" i="11"/>
  <c r="Y581" i="11"/>
  <c r="Y593" i="11"/>
  <c r="Y641" i="11"/>
  <c r="Y29" i="11"/>
  <c r="Y85" i="11"/>
  <c r="Y97" i="11"/>
  <c r="Y105" i="11"/>
  <c r="Y137" i="11"/>
  <c r="Y145" i="11"/>
  <c r="Y153" i="11"/>
  <c r="Y177" i="11"/>
  <c r="Y185" i="11"/>
  <c r="Y229" i="11"/>
  <c r="Y237" i="11"/>
  <c r="Y257" i="11"/>
  <c r="Y277" i="11"/>
  <c r="Y285" i="11"/>
  <c r="Y325" i="11"/>
  <c r="Y357" i="11"/>
  <c r="Y365" i="11"/>
  <c r="Y397" i="11"/>
  <c r="Y417" i="11"/>
  <c r="Y469" i="11"/>
  <c r="Y501" i="11"/>
  <c r="Y509" i="11"/>
  <c r="Y529" i="11"/>
  <c r="Y549" i="11"/>
  <c r="Y569" i="11"/>
  <c r="Y577" i="11"/>
  <c r="Y621" i="11"/>
  <c r="Y633" i="11"/>
  <c r="Y21" i="11"/>
  <c r="Y57" i="11"/>
  <c r="Y69" i="11"/>
  <c r="Y101" i="11"/>
  <c r="Y109" i="11"/>
  <c r="Y141" i="11"/>
  <c r="Y149" i="11"/>
  <c r="Y181" i="11"/>
  <c r="Y189" i="11"/>
  <c r="Y209" i="11"/>
  <c r="Y221" i="11"/>
  <c r="Y253" i="11"/>
  <c r="Y261" i="11"/>
  <c r="Y269" i="11"/>
  <c r="Y301" i="11"/>
  <c r="Y321" i="11"/>
  <c r="Y329" i="11"/>
  <c r="Y349" i="11"/>
  <c r="Y381" i="11"/>
  <c r="Y401" i="11"/>
  <c r="Y409" i="11"/>
  <c r="Y441" i="11"/>
  <c r="Y461" i="11"/>
  <c r="Y481" i="11"/>
  <c r="Y489" i="11"/>
  <c r="Y521" i="11"/>
  <c r="Y541" i="11"/>
  <c r="Y609" i="11"/>
  <c r="Y649" i="11"/>
  <c r="Y17" i="11"/>
  <c r="Y41" i="11"/>
  <c r="Y53" i="11"/>
  <c r="Y65" i="11"/>
  <c r="Y73" i="11"/>
  <c r="Y117" i="11"/>
  <c r="Y125" i="11"/>
  <c r="Y157" i="11"/>
  <c r="Y197" i="11"/>
  <c r="Y205" i="11"/>
  <c r="Y217" i="11"/>
  <c r="Y245" i="11"/>
  <c r="Y265" i="11"/>
  <c r="Y297" i="11"/>
  <c r="Y309" i="11"/>
  <c r="Y317" i="11"/>
  <c r="Y337" i="11"/>
  <c r="Y345" i="11"/>
  <c r="Y377" i="11"/>
  <c r="Y385" i="11"/>
  <c r="Y405" i="11"/>
  <c r="Y425" i="11"/>
  <c r="Y437" i="11"/>
  <c r="Y445" i="11"/>
  <c r="Y477" i="11"/>
  <c r="Y497" i="11"/>
  <c r="Y505" i="11"/>
  <c r="Y525" i="11"/>
  <c r="Y537" i="11"/>
  <c r="Y557" i="11"/>
  <c r="Y573" i="11"/>
  <c r="Y585" i="11"/>
  <c r="Y597" i="11"/>
  <c r="Y629" i="11"/>
  <c r="Y33" i="11"/>
  <c r="Y45" i="11"/>
  <c r="Y77" i="11"/>
  <c r="Y121" i="11"/>
  <c r="Y129" i="11"/>
  <c r="Y161" i="11"/>
  <c r="Y169" i="11"/>
  <c r="Y201" i="11"/>
  <c r="Y233" i="11"/>
  <c r="Y241" i="11"/>
  <c r="Y273" i="11"/>
  <c r="Y281" i="11"/>
  <c r="Y289" i="11"/>
  <c r="Y305" i="11"/>
  <c r="Y341" i="11"/>
  <c r="Y361" i="11"/>
  <c r="Y369" i="11"/>
  <c r="Y389" i="11"/>
  <c r="Y421" i="11"/>
  <c r="Y429" i="11"/>
  <c r="Y449" i="11"/>
  <c r="Y457" i="11"/>
  <c r="Y465" i="11"/>
  <c r="Y485" i="11"/>
  <c r="Y517" i="11"/>
  <c r="Y533" i="11"/>
  <c r="Y565" i="11"/>
  <c r="Y589" i="11"/>
  <c r="Y601" i="11"/>
  <c r="Y613" i="11"/>
  <c r="Y625" i="11"/>
  <c r="Y637" i="11"/>
  <c r="Y520" i="11"/>
  <c r="Y524" i="11"/>
  <c r="Y528" i="11"/>
  <c r="Y532" i="11"/>
  <c r="Y536" i="11"/>
  <c r="Y540" i="11"/>
  <c r="Y544" i="11"/>
  <c r="Y548" i="11"/>
  <c r="Y552" i="11"/>
  <c r="Y556" i="11"/>
  <c r="Y560" i="11"/>
  <c r="Y562" i="11"/>
  <c r="Y564" i="11"/>
  <c r="Y566" i="11"/>
  <c r="Y568" i="11"/>
  <c r="Y570" i="11"/>
  <c r="Y572" i="11"/>
  <c r="Y574" i="11"/>
  <c r="Y576" i="11"/>
  <c r="Y578" i="11"/>
  <c r="Y580" i="11"/>
  <c r="Y582" i="11"/>
  <c r="Y584" i="11"/>
  <c r="Y586" i="11"/>
  <c r="Y588" i="11"/>
  <c r="Y590" i="11"/>
  <c r="Y592" i="11"/>
  <c r="Y594" i="11"/>
  <c r="Y596" i="11"/>
  <c r="Y598" i="11"/>
  <c r="Y600" i="11"/>
  <c r="Y602" i="11"/>
  <c r="Y604" i="11"/>
  <c r="Y606" i="11"/>
  <c r="Y608" i="11"/>
  <c r="Y610" i="11"/>
  <c r="Y612" i="11"/>
  <c r="Y614" i="11"/>
  <c r="Y616" i="11"/>
  <c r="Y618" i="11"/>
  <c r="Y620" i="11"/>
  <c r="Y622" i="11"/>
  <c r="Y624" i="11"/>
  <c r="Y626" i="11"/>
  <c r="Y628" i="11"/>
  <c r="Y630" i="11"/>
  <c r="Y632" i="11"/>
  <c r="Y634" i="11"/>
  <c r="Y636" i="11"/>
  <c r="Y638" i="11"/>
  <c r="Y640" i="11"/>
  <c r="Y642" i="11"/>
  <c r="Y644" i="11"/>
  <c r="Y646" i="11"/>
  <c r="Y648" i="11"/>
  <c r="Y650" i="11"/>
  <c r="Y6" i="11"/>
  <c r="AG7" i="11"/>
  <c r="AF7" i="11"/>
  <c r="AH7" i="11"/>
  <c r="AE7" i="11"/>
  <c r="AG8" i="11"/>
  <c r="AF8" i="11"/>
  <c r="AH8" i="11"/>
  <c r="AE8" i="11"/>
  <c r="AG6" i="11"/>
  <c r="AF6" i="11"/>
  <c r="AH6" i="11"/>
  <c r="AE6" i="11"/>
  <c r="AG5" i="11"/>
  <c r="AF5" i="11"/>
  <c r="AE5" i="11"/>
  <c r="AH5" i="11"/>
  <c r="AG650" i="11"/>
  <c r="AG642" i="11"/>
  <c r="AG634" i="11"/>
  <c r="AG626" i="11"/>
  <c r="AG618" i="11"/>
  <c r="AG610" i="11"/>
  <c r="AG602" i="11"/>
  <c r="AG594" i="11"/>
  <c r="AG586" i="11"/>
  <c r="AG578" i="11"/>
  <c r="AG570" i="11"/>
  <c r="AG562" i="11"/>
  <c r="AG554" i="11"/>
  <c r="AG546" i="11"/>
  <c r="AG538" i="11"/>
  <c r="AG530" i="11"/>
  <c r="AG522" i="11"/>
  <c r="AG514" i="11"/>
  <c r="AG506" i="11"/>
  <c r="AG498" i="11"/>
  <c r="AG490" i="11"/>
  <c r="AG482" i="11"/>
  <c r="AG474" i="11"/>
  <c r="AG466" i="11"/>
  <c r="AG458" i="11"/>
  <c r="AG450" i="11"/>
  <c r="AG442" i="11"/>
  <c r="AG434" i="11"/>
  <c r="AG426" i="11"/>
  <c r="AG418" i="11"/>
  <c r="AG410" i="11"/>
  <c r="AG402" i="11"/>
  <c r="AG394" i="11"/>
  <c r="AG386" i="11"/>
  <c r="AG378" i="11"/>
  <c r="AG370" i="11"/>
  <c r="AG362" i="11"/>
  <c r="AG354" i="11"/>
  <c r="AG346" i="11"/>
  <c r="AG338" i="11"/>
  <c r="AG330" i="11"/>
  <c r="AG322" i="11"/>
  <c r="AG314" i="11"/>
  <c r="AG306" i="11"/>
  <c r="AG298" i="11"/>
  <c r="AG290" i="11"/>
  <c r="AG282" i="11"/>
  <c r="AG274" i="11"/>
  <c r="AG266" i="11"/>
  <c r="AG258" i="11"/>
  <c r="AG250" i="11"/>
  <c r="AG242" i="11"/>
  <c r="AG234" i="11"/>
  <c r="AG226" i="11"/>
  <c r="AG218" i="11"/>
  <c r="AG210" i="11"/>
  <c r="AG202" i="11"/>
  <c r="AG194" i="11"/>
  <c r="AG186" i="11"/>
  <c r="AG178" i="11"/>
  <c r="AG170" i="11"/>
  <c r="AG162" i="11"/>
  <c r="AG154" i="11"/>
  <c r="AG146" i="11"/>
  <c r="AG138" i="11"/>
  <c r="AG130" i="11"/>
  <c r="AG122" i="11"/>
  <c r="AG114" i="11"/>
  <c r="AG106" i="11"/>
  <c r="AG98" i="11"/>
  <c r="AG90" i="11"/>
  <c r="AG82" i="11"/>
  <c r="AG74" i="11"/>
  <c r="AG66" i="11"/>
  <c r="AG58" i="11"/>
  <c r="AG50" i="11"/>
  <c r="AG42" i="11"/>
  <c r="AG34" i="11"/>
  <c r="AG26" i="11"/>
  <c r="AG18" i="11"/>
  <c r="AG10" i="11"/>
  <c r="AH646" i="11"/>
  <c r="AH638" i="11"/>
  <c r="AH630" i="11"/>
  <c r="AH622" i="11"/>
  <c r="AG649" i="11"/>
  <c r="AG641" i="11"/>
  <c r="AG633" i="11"/>
  <c r="AG625" i="11"/>
  <c r="AG617" i="11"/>
  <c r="AG609" i="11"/>
  <c r="AG601" i="11"/>
  <c r="AG593" i="11"/>
  <c r="AG585" i="11"/>
  <c r="AG577" i="11"/>
  <c r="AG569" i="11"/>
  <c r="AG561" i="11"/>
  <c r="AG553" i="11"/>
  <c r="AG545" i="11"/>
  <c r="AG537" i="11"/>
  <c r="AG529" i="11"/>
  <c r="AG521" i="11"/>
  <c r="AG513" i="11"/>
  <c r="AG505" i="11"/>
  <c r="AG497" i="11"/>
  <c r="AG489" i="11"/>
  <c r="AG481" i="11"/>
  <c r="AG473" i="11"/>
  <c r="AG465" i="11"/>
  <c r="AG457" i="11"/>
  <c r="AG449" i="11"/>
  <c r="AG441" i="11"/>
  <c r="AG433" i="11"/>
  <c r="AG425" i="11"/>
  <c r="AG417" i="11"/>
  <c r="AG409" i="11"/>
  <c r="AG401" i="11"/>
  <c r="AG393" i="11"/>
  <c r="AG385" i="11"/>
  <c r="AG377" i="11"/>
  <c r="AG369" i="11"/>
  <c r="AG361" i="11"/>
  <c r="AG353" i="11"/>
  <c r="AG345" i="11"/>
  <c r="AG337" i="11"/>
  <c r="AG329" i="11"/>
  <c r="AG321" i="11"/>
  <c r="AG313" i="11"/>
  <c r="AG305" i="11"/>
  <c r="AG297" i="11"/>
  <c r="AG289" i="11"/>
  <c r="AG281" i="11"/>
  <c r="AG273" i="11"/>
  <c r="AG265" i="11"/>
  <c r="AG257" i="11"/>
  <c r="AG249" i="11"/>
  <c r="AG241" i="11"/>
  <c r="AG233" i="11"/>
  <c r="AG225" i="11"/>
  <c r="AG217" i="11"/>
  <c r="AG209" i="11"/>
  <c r="AG201" i="11"/>
  <c r="AG193" i="11"/>
  <c r="AG185" i="11"/>
  <c r="AG177" i="11"/>
  <c r="AG169" i="11"/>
  <c r="AG161" i="11"/>
  <c r="AG153" i="11"/>
  <c r="AG145" i="11"/>
  <c r="AG137" i="11"/>
  <c r="AG129" i="11"/>
  <c r="AG121" i="11"/>
  <c r="AG113" i="11"/>
  <c r="AG105" i="11"/>
  <c r="AG97" i="11"/>
  <c r="AG89" i="11"/>
  <c r="AG81" i="11"/>
  <c r="AG73" i="11"/>
  <c r="AG65" i="11"/>
  <c r="AG57" i="11"/>
  <c r="AG49" i="11"/>
  <c r="AG41" i="11"/>
  <c r="AG33" i="11"/>
  <c r="AG25" i="11"/>
  <c r="AG17" i="11"/>
  <c r="AG648" i="11"/>
  <c r="AG640" i="11"/>
  <c r="AG632" i="11"/>
  <c r="AG624" i="11"/>
  <c r="AG616" i="11"/>
  <c r="AG608" i="11"/>
  <c r="AG600" i="11"/>
  <c r="AG592" i="11"/>
  <c r="AG584" i="11"/>
  <c r="AG576" i="11"/>
  <c r="AG568" i="11"/>
  <c r="AG560" i="11"/>
  <c r="AG552" i="11"/>
  <c r="AG544" i="11"/>
  <c r="AG536" i="11"/>
  <c r="AG528" i="11"/>
  <c r="AG520" i="11"/>
  <c r="AG512" i="11"/>
  <c r="AG504" i="11"/>
  <c r="AG496" i="11"/>
  <c r="AG488" i="11"/>
  <c r="AG480" i="11"/>
  <c r="AG472" i="11"/>
  <c r="AG464" i="11"/>
  <c r="AG456" i="11"/>
  <c r="AG448" i="11"/>
  <c r="AG440" i="11"/>
  <c r="AG432" i="11"/>
  <c r="AG424" i="11"/>
  <c r="AG416" i="11"/>
  <c r="AG408" i="11"/>
  <c r="AG400" i="11"/>
  <c r="AG392" i="11"/>
  <c r="AG384" i="11"/>
  <c r="AG376" i="11"/>
  <c r="AG368" i="11"/>
  <c r="AG360" i="11"/>
  <c r="AG352" i="11"/>
  <c r="AG344" i="11"/>
  <c r="AG336" i="11"/>
  <c r="AG328" i="11"/>
  <c r="AG320" i="11"/>
  <c r="AG312" i="11"/>
  <c r="AG304" i="11"/>
  <c r="AG296" i="11"/>
  <c r="AG288" i="11"/>
  <c r="AG280" i="11"/>
  <c r="AG272" i="11"/>
  <c r="AG264" i="11"/>
  <c r="AG256" i="11"/>
  <c r="AG248" i="11"/>
  <c r="AG240" i="11"/>
  <c r="AG232" i="11"/>
  <c r="AG224" i="11"/>
  <c r="AG216" i="11"/>
  <c r="AG208" i="11"/>
  <c r="AG200" i="11"/>
  <c r="AG192" i="11"/>
  <c r="AG184" i="11"/>
  <c r="AG176" i="11"/>
  <c r="AG168" i="11"/>
  <c r="AG160" i="11"/>
  <c r="AG152" i="11"/>
  <c r="AG144" i="11"/>
  <c r="AG136" i="11"/>
  <c r="AG128" i="11"/>
  <c r="AG120" i="11"/>
  <c r="AG112" i="11"/>
  <c r="AG104" i="11"/>
  <c r="AG96" i="11"/>
  <c r="AG88" i="11"/>
  <c r="AG647" i="11"/>
  <c r="AG639" i="11"/>
  <c r="AG631" i="11"/>
  <c r="AG623" i="11"/>
  <c r="AG615" i="11"/>
  <c r="AG607" i="11"/>
  <c r="AG599" i="11"/>
  <c r="AG591" i="11"/>
  <c r="AG583" i="11"/>
  <c r="AG575" i="11"/>
  <c r="AG567" i="11"/>
  <c r="AG559" i="11"/>
  <c r="AG551" i="11"/>
  <c r="AG543" i="11"/>
  <c r="AG535" i="11"/>
  <c r="AG527" i="11"/>
  <c r="AG519" i="11"/>
  <c r="AG511" i="11"/>
  <c r="AG503" i="11"/>
  <c r="AG495" i="11"/>
  <c r="AG487" i="11"/>
  <c r="AG479" i="11"/>
  <c r="AG471" i="11"/>
  <c r="AG463" i="11"/>
  <c r="AG455" i="11"/>
  <c r="AG447" i="11"/>
  <c r="AG439" i="11"/>
  <c r="AG431" i="11"/>
  <c r="AG423" i="11"/>
  <c r="AG415" i="11"/>
  <c r="AG407" i="11"/>
  <c r="AG399" i="11"/>
  <c r="AG391" i="11"/>
  <c r="AG383" i="11"/>
  <c r="AG375" i="11"/>
  <c r="AG367" i="11"/>
  <c r="AG359" i="11"/>
  <c r="AG351" i="11"/>
  <c r="AG343" i="11"/>
  <c r="AG335" i="11"/>
  <c r="AG327" i="11"/>
  <c r="AG319" i="11"/>
  <c r="AG311" i="11"/>
  <c r="AG303" i="11"/>
  <c r="AG295" i="11"/>
  <c r="AG287" i="11"/>
  <c r="AG279" i="11"/>
  <c r="AG271" i="11"/>
  <c r="AG263" i="11"/>
  <c r="AG255" i="11"/>
  <c r="AG247" i="11"/>
  <c r="AG239" i="11"/>
  <c r="AG231" i="11"/>
  <c r="AG223" i="11"/>
  <c r="AG215" i="11"/>
  <c r="AG207" i="11"/>
  <c r="AG199" i="11"/>
  <c r="AG191" i="11"/>
  <c r="AG183" i="11"/>
  <c r="AG175" i="11"/>
  <c r="AG167" i="11"/>
  <c r="AG159" i="11"/>
  <c r="AG151" i="11"/>
  <c r="AG143" i="11"/>
  <c r="AG646" i="11"/>
  <c r="AG638" i="11"/>
  <c r="AG630" i="11"/>
  <c r="AG622" i="11"/>
  <c r="AG614" i="11"/>
  <c r="AG606" i="11"/>
  <c r="AG598" i="11"/>
  <c r="AG590" i="11"/>
  <c r="AG582" i="11"/>
  <c r="AG574" i="11"/>
  <c r="AG566" i="11"/>
  <c r="AG558" i="11"/>
  <c r="AG550" i="11"/>
  <c r="AG542" i="11"/>
  <c r="AG534" i="11"/>
  <c r="AG526" i="11"/>
  <c r="AG518" i="11"/>
  <c r="AG510" i="11"/>
  <c r="AG502" i="11"/>
  <c r="AG494" i="11"/>
  <c r="AG486" i="11"/>
  <c r="AG478" i="11"/>
  <c r="AG470" i="11"/>
  <c r="AG462" i="11"/>
  <c r="AG454" i="11"/>
  <c r="AG446" i="11"/>
  <c r="AG438" i="11"/>
  <c r="AG430" i="11"/>
  <c r="AG422" i="11"/>
  <c r="AG414" i="11"/>
  <c r="AG406" i="11"/>
  <c r="AG398" i="11"/>
  <c r="AG390" i="11"/>
  <c r="AG382" i="11"/>
  <c r="AG645" i="11"/>
  <c r="AG637" i="11"/>
  <c r="AG629" i="11"/>
  <c r="AG621" i="11"/>
  <c r="AG613" i="11"/>
  <c r="AG605" i="11"/>
  <c r="AG597" i="11"/>
  <c r="AG589" i="11"/>
  <c r="AG581" i="11"/>
  <c r="AG573" i="11"/>
  <c r="AG565" i="11"/>
  <c r="AG557" i="11"/>
  <c r="AG549" i="11"/>
  <c r="AG541" i="11"/>
  <c r="AG533" i="11"/>
  <c r="AG525" i="11"/>
  <c r="AG517" i="11"/>
  <c r="AG509" i="11"/>
  <c r="AG501" i="11"/>
  <c r="AG493" i="11"/>
  <c r="AG485" i="11"/>
  <c r="AG477" i="11"/>
  <c r="AG469" i="11"/>
  <c r="AG461" i="11"/>
  <c r="AG453" i="11"/>
  <c r="AG445" i="11"/>
  <c r="AG437" i="11"/>
  <c r="AG429" i="11"/>
  <c r="AG421" i="11"/>
  <c r="AG644" i="11"/>
  <c r="AG636" i="11"/>
  <c r="AG628" i="11"/>
  <c r="AG620" i="11"/>
  <c r="AG612" i="11"/>
  <c r="AG604" i="11"/>
  <c r="AG596" i="11"/>
  <c r="AG588" i="11"/>
  <c r="AG580" i="11"/>
  <c r="AG572" i="11"/>
  <c r="AG564" i="11"/>
  <c r="AG556" i="11"/>
  <c r="AG548" i="11"/>
  <c r="AG540" i="11"/>
  <c r="AG532" i="11"/>
  <c r="AG524" i="11"/>
  <c r="AG516" i="11"/>
  <c r="AG508" i="11"/>
  <c r="AG500" i="11"/>
  <c r="AG492" i="11"/>
  <c r="AG484" i="11"/>
  <c r="AG476" i="11"/>
  <c r="AG468" i="11"/>
  <c r="AG460" i="11"/>
  <c r="AG452" i="11"/>
  <c r="AG444" i="11"/>
  <c r="AG436" i="11"/>
  <c r="AG428" i="11"/>
  <c r="AG420" i="11"/>
  <c r="AG412" i="11"/>
  <c r="AG404" i="11"/>
  <c r="AG396" i="11"/>
  <c r="AG388" i="11"/>
  <c r="AG380" i="11"/>
  <c r="AG372" i="11"/>
  <c r="AG364" i="11"/>
  <c r="AG356" i="11"/>
  <c r="AG348" i="11"/>
  <c r="AG340" i="11"/>
  <c r="AG332" i="11"/>
  <c r="AG324" i="11"/>
  <c r="AG316" i="11"/>
  <c r="AG308" i="11"/>
  <c r="AG300" i="11"/>
  <c r="AG292" i="11"/>
  <c r="AG284" i="11"/>
  <c r="AG276" i="11"/>
  <c r="AG268" i="11"/>
  <c r="AG260" i="11"/>
  <c r="AG252" i="11"/>
  <c r="AG643" i="11"/>
  <c r="AG635" i="11"/>
  <c r="AG627" i="11"/>
  <c r="AG619" i="11"/>
  <c r="AG611" i="11"/>
  <c r="AG603" i="11"/>
  <c r="AG595" i="11"/>
  <c r="AG587" i="11"/>
  <c r="AG579" i="11"/>
  <c r="AG571" i="11"/>
  <c r="AG563" i="11"/>
  <c r="AG555" i="11"/>
  <c r="AG547" i="11"/>
  <c r="AG539" i="11"/>
  <c r="AG531" i="11"/>
  <c r="AG523" i="11"/>
  <c r="AG515" i="11"/>
  <c r="AG507" i="11"/>
  <c r="AG499" i="11"/>
  <c r="AG491" i="11"/>
  <c r="AG483" i="11"/>
  <c r="AG475" i="11"/>
  <c r="AG467" i="11"/>
  <c r="AG459" i="11"/>
  <c r="AG451" i="11"/>
  <c r="AG443" i="11"/>
  <c r="AG435" i="11"/>
  <c r="AG427" i="11"/>
  <c r="AG419" i="11"/>
  <c r="AG411" i="11"/>
  <c r="AG403" i="11"/>
  <c r="AG395" i="11"/>
  <c r="AG387" i="11"/>
  <c r="AG379" i="11"/>
  <c r="AG371" i="11"/>
  <c r="AG363" i="11"/>
  <c r="AG355" i="11"/>
  <c r="AG347" i="11"/>
  <c r="AG339" i="11"/>
  <c r="AG331" i="11"/>
  <c r="AG323" i="11"/>
  <c r="AG315" i="11"/>
  <c r="AG307" i="11"/>
  <c r="AG299" i="11"/>
  <c r="AG291" i="11"/>
  <c r="AG283" i="11"/>
  <c r="AG275" i="11"/>
  <c r="AG267" i="11"/>
  <c r="AG259" i="11"/>
  <c r="AG251" i="11"/>
  <c r="AG243" i="11"/>
  <c r="AG413" i="11"/>
  <c r="AG365" i="11"/>
  <c r="AG333" i="11"/>
  <c r="AG301" i="11"/>
  <c r="AG269" i="11"/>
  <c r="AG238" i="11"/>
  <c r="AG222" i="11"/>
  <c r="AG206" i="11"/>
  <c r="AG190" i="11"/>
  <c r="AG174" i="11"/>
  <c r="AG158" i="11"/>
  <c r="AG142" i="11"/>
  <c r="AG131" i="11"/>
  <c r="AG117" i="11"/>
  <c r="AG103" i="11"/>
  <c r="AG92" i="11"/>
  <c r="AG79" i="11"/>
  <c r="AG69" i="11"/>
  <c r="AG59" i="11"/>
  <c r="AG47" i="11"/>
  <c r="AG37" i="11"/>
  <c r="AG27" i="11"/>
  <c r="AG15" i="11"/>
  <c r="AH650" i="11"/>
  <c r="AH641" i="11"/>
  <c r="AH632" i="11"/>
  <c r="AH623" i="11"/>
  <c r="AH614" i="11"/>
  <c r="AH606" i="11"/>
  <c r="AH598" i="11"/>
  <c r="AH590" i="11"/>
  <c r="AH582" i="11"/>
  <c r="AH574" i="11"/>
  <c r="AH566" i="11"/>
  <c r="AH558" i="11"/>
  <c r="AH550" i="11"/>
  <c r="AH542" i="11"/>
  <c r="AH534" i="11"/>
  <c r="AH526" i="11"/>
  <c r="AH518" i="11"/>
  <c r="AH510" i="11"/>
  <c r="AH502" i="11"/>
  <c r="AG405" i="11"/>
  <c r="AG358" i="11"/>
  <c r="AG326" i="11"/>
  <c r="AG294" i="11"/>
  <c r="AG262" i="11"/>
  <c r="AG237" i="11"/>
  <c r="AG221" i="11"/>
  <c r="AG205" i="11"/>
  <c r="AG189" i="11"/>
  <c r="AG173" i="11"/>
  <c r="AG157" i="11"/>
  <c r="AG141" i="11"/>
  <c r="AG127" i="11"/>
  <c r="AG116" i="11"/>
  <c r="AG102" i="11"/>
  <c r="AG91" i="11"/>
  <c r="AG78" i="11"/>
  <c r="AG68" i="11"/>
  <c r="AG56" i="11"/>
  <c r="AG46" i="11"/>
  <c r="AG36" i="11"/>
  <c r="AG24" i="11"/>
  <c r="AG14" i="11"/>
  <c r="AH649" i="11"/>
  <c r="AH640" i="11"/>
  <c r="AH631" i="11"/>
  <c r="AH621" i="11"/>
  <c r="AH613" i="11"/>
  <c r="AH605" i="11"/>
  <c r="AH597" i="11"/>
  <c r="AH589" i="11"/>
  <c r="AH581" i="11"/>
  <c r="AH573" i="11"/>
  <c r="AH565" i="11"/>
  <c r="AH557" i="11"/>
  <c r="AH549" i="11"/>
  <c r="AH541" i="11"/>
  <c r="AH533" i="11"/>
  <c r="AH525" i="11"/>
  <c r="AH517" i="11"/>
  <c r="AH509" i="11"/>
  <c r="AH501" i="11"/>
  <c r="AH493" i="11"/>
  <c r="AH485" i="11"/>
  <c r="AH477" i="11"/>
  <c r="AH469" i="11"/>
  <c r="AH461" i="11"/>
  <c r="AH453" i="11"/>
  <c r="AH445" i="11"/>
  <c r="AH437" i="11"/>
  <c r="AH429" i="11"/>
  <c r="AH421" i="11"/>
  <c r="AH413" i="11"/>
  <c r="AH405" i="11"/>
  <c r="AH397" i="11"/>
  <c r="AH389" i="11"/>
  <c r="AH381" i="11"/>
  <c r="AH373" i="11"/>
  <c r="AH365" i="11"/>
  <c r="AH357" i="11"/>
  <c r="AH349" i="11"/>
  <c r="AH341" i="11"/>
  <c r="AH333" i="11"/>
  <c r="AG397" i="11"/>
  <c r="AG357" i="11"/>
  <c r="AG325" i="11"/>
  <c r="AG293" i="11"/>
  <c r="AG261" i="11"/>
  <c r="AG236" i="11"/>
  <c r="AG220" i="11"/>
  <c r="AG204" i="11"/>
  <c r="AG188" i="11"/>
  <c r="AG172" i="11"/>
  <c r="AG156" i="11"/>
  <c r="AG140" i="11"/>
  <c r="AG126" i="11"/>
  <c r="AG115" i="11"/>
  <c r="AG101" i="11"/>
  <c r="AG87" i="11"/>
  <c r="AG77" i="11"/>
  <c r="AG67" i="11"/>
  <c r="AG55" i="11"/>
  <c r="AG45" i="11"/>
  <c r="AG35" i="11"/>
  <c r="AG23" i="11"/>
  <c r="AG13" i="11"/>
  <c r="AH648" i="11"/>
  <c r="AH639" i="11"/>
  <c r="AH629" i="11"/>
  <c r="AH620" i="11"/>
  <c r="AH612" i="11"/>
  <c r="AH604" i="11"/>
  <c r="AH596" i="11"/>
  <c r="AH588" i="11"/>
  <c r="AH580" i="11"/>
  <c r="AH572" i="11"/>
  <c r="AH564" i="11"/>
  <c r="AH556" i="11"/>
  <c r="AH548" i="11"/>
  <c r="AH540" i="11"/>
  <c r="AH532" i="11"/>
  <c r="AH524" i="11"/>
  <c r="AH516" i="11"/>
  <c r="AH508" i="11"/>
  <c r="AH500" i="11"/>
  <c r="AH492" i="11"/>
  <c r="AH484" i="11"/>
  <c r="AH476" i="11"/>
  <c r="AH468" i="11"/>
  <c r="AH460" i="11"/>
  <c r="AH452" i="11"/>
  <c r="AH444" i="11"/>
  <c r="AH436" i="11"/>
  <c r="AH428" i="11"/>
  <c r="AH420" i="11"/>
  <c r="AH412" i="11"/>
  <c r="AH404" i="11"/>
  <c r="AH396" i="11"/>
  <c r="AH388" i="11"/>
  <c r="AH380" i="11"/>
  <c r="AH372" i="11"/>
  <c r="AH364" i="11"/>
  <c r="AH356" i="11"/>
  <c r="AH348" i="11"/>
  <c r="AH340" i="11"/>
  <c r="AH332" i="11"/>
  <c r="AH324" i="11"/>
  <c r="AH316" i="11"/>
  <c r="AH308" i="11"/>
  <c r="AH300" i="11"/>
  <c r="AH292" i="11"/>
  <c r="AH284" i="11"/>
  <c r="AH276" i="11"/>
  <c r="AH268" i="11"/>
  <c r="AH260" i="11"/>
  <c r="AH252" i="11"/>
  <c r="AH244" i="11"/>
  <c r="AH236" i="11"/>
  <c r="AH228" i="11"/>
  <c r="AH220" i="11"/>
  <c r="AH212" i="11"/>
  <c r="AH204" i="11"/>
  <c r="AH196" i="11"/>
  <c r="AH188" i="11"/>
  <c r="AH180" i="11"/>
  <c r="AH172" i="11"/>
  <c r="AH164" i="11"/>
  <c r="AH156" i="11"/>
  <c r="AG389" i="11"/>
  <c r="AG350" i="11"/>
  <c r="AG318" i="11"/>
  <c r="AG286" i="11"/>
  <c r="AG254" i="11"/>
  <c r="AG235" i="11"/>
  <c r="AG219" i="11"/>
  <c r="AG203" i="11"/>
  <c r="AG187" i="11"/>
  <c r="AG171" i="11"/>
  <c r="AG155" i="11"/>
  <c r="AG139" i="11"/>
  <c r="AG125" i="11"/>
  <c r="AG111" i="11"/>
  <c r="AG100" i="11"/>
  <c r="AG86" i="11"/>
  <c r="AG76" i="11"/>
  <c r="AG64" i="11"/>
  <c r="AG54" i="11"/>
  <c r="AG44" i="11"/>
  <c r="AG32" i="11"/>
  <c r="AG22" i="11"/>
  <c r="AG12" i="11"/>
  <c r="AH647" i="11"/>
  <c r="AH637" i="11"/>
  <c r="AH628" i="11"/>
  <c r="AH619" i="11"/>
  <c r="AH611" i="11"/>
  <c r="AH603" i="11"/>
  <c r="AH595" i="11"/>
  <c r="AH587" i="11"/>
  <c r="AH579" i="11"/>
  <c r="AH571" i="11"/>
  <c r="AH563" i="11"/>
  <c r="AH555" i="11"/>
  <c r="AH547" i="11"/>
  <c r="AH539" i="11"/>
  <c r="AH531" i="11"/>
  <c r="AH523" i="11"/>
  <c r="AH515" i="11"/>
  <c r="AH507" i="11"/>
  <c r="AG381" i="11"/>
  <c r="AG349" i="11"/>
  <c r="AG317" i="11"/>
  <c r="AG285" i="11"/>
  <c r="AG253" i="11"/>
  <c r="AG230" i="11"/>
  <c r="AG214" i="11"/>
  <c r="AG198" i="11"/>
  <c r="AG182" i="11"/>
  <c r="AG166" i="11"/>
  <c r="AG150" i="11"/>
  <c r="AG135" i="11"/>
  <c r="AG124" i="11"/>
  <c r="AG110" i="11"/>
  <c r="AG99" i="11"/>
  <c r="AG85" i="11"/>
  <c r="AG75" i="11"/>
  <c r="AG63" i="11"/>
  <c r="AG53" i="11"/>
  <c r="AG43" i="11"/>
  <c r="AG31" i="11"/>
  <c r="AG21" i="11"/>
  <c r="AG11" i="11"/>
  <c r="AH645" i="11"/>
  <c r="AH636" i="11"/>
  <c r="AH627" i="11"/>
  <c r="AH618" i="11"/>
  <c r="AH610" i="11"/>
  <c r="AH602" i="11"/>
  <c r="AH594" i="11"/>
  <c r="AH586" i="11"/>
  <c r="AH578" i="11"/>
  <c r="AH570" i="11"/>
  <c r="AH562" i="11"/>
  <c r="AH554" i="11"/>
  <c r="AH546" i="11"/>
  <c r="AH538" i="11"/>
  <c r="AH530" i="11"/>
  <c r="AH522" i="11"/>
  <c r="AH514" i="11"/>
  <c r="AH506" i="11"/>
  <c r="AH498" i="11"/>
  <c r="AH490" i="11"/>
  <c r="AH482" i="11"/>
  <c r="AH474" i="11"/>
  <c r="AH466" i="11"/>
  <c r="AH458" i="11"/>
  <c r="AH450" i="11"/>
  <c r="AH442" i="11"/>
  <c r="AH434" i="11"/>
  <c r="AH426" i="11"/>
  <c r="AH418" i="11"/>
  <c r="AH410" i="11"/>
  <c r="AH402" i="11"/>
  <c r="AH394" i="11"/>
  <c r="AH386" i="11"/>
  <c r="AH378" i="11"/>
  <c r="AH370" i="11"/>
  <c r="AH362" i="11"/>
  <c r="AH354" i="11"/>
  <c r="AH346" i="11"/>
  <c r="AH338" i="11"/>
  <c r="AH330" i="11"/>
  <c r="AH322" i="11"/>
  <c r="AH314" i="11"/>
  <c r="AH306" i="11"/>
  <c r="AH298" i="11"/>
  <c r="AH290" i="11"/>
  <c r="AH282" i="11"/>
  <c r="AH274" i="11"/>
  <c r="AG374" i="11"/>
  <c r="AG342" i="11"/>
  <c r="AG310" i="11"/>
  <c r="AG278" i="11"/>
  <c r="AG246" i="11"/>
  <c r="AG229" i="11"/>
  <c r="AG213" i="11"/>
  <c r="AG197" i="11"/>
  <c r="AG181" i="11"/>
  <c r="AG165" i="11"/>
  <c r="AG149" i="11"/>
  <c r="AG134" i="11"/>
  <c r="AG123" i="11"/>
  <c r="AG109" i="11"/>
  <c r="AG95" i="11"/>
  <c r="AG84" i="11"/>
  <c r="AG72" i="11"/>
  <c r="AG62" i="11"/>
  <c r="AG52" i="11"/>
  <c r="AG40" i="11"/>
  <c r="AG30" i="11"/>
  <c r="AG20" i="11"/>
  <c r="AH644" i="11"/>
  <c r="AH635" i="11"/>
  <c r="AH626" i="11"/>
  <c r="AH617" i="11"/>
  <c r="AH609" i="11"/>
  <c r="AH601" i="11"/>
  <c r="AH593" i="11"/>
  <c r="AH585" i="11"/>
  <c r="AH577" i="11"/>
  <c r="AH569" i="11"/>
  <c r="AH561" i="11"/>
  <c r="AH553" i="11"/>
  <c r="AH545" i="11"/>
  <c r="AH537" i="11"/>
  <c r="AH529" i="11"/>
  <c r="AH521" i="11"/>
  <c r="AH513" i="11"/>
  <c r="AH505" i="11"/>
  <c r="AH497" i="11"/>
  <c r="AH489" i="11"/>
  <c r="AH481" i="11"/>
  <c r="AH473" i="11"/>
  <c r="AH465" i="11"/>
  <c r="AH457" i="11"/>
  <c r="AH449" i="11"/>
  <c r="AH441" i="11"/>
  <c r="AH433" i="11"/>
  <c r="AH425" i="11"/>
  <c r="AH417" i="11"/>
  <c r="AH409" i="11"/>
  <c r="AH401" i="11"/>
  <c r="AH393" i="11"/>
  <c r="AH385" i="11"/>
  <c r="AH377" i="11"/>
  <c r="AH369" i="11"/>
  <c r="AH361" i="11"/>
  <c r="AH353" i="11"/>
  <c r="AH345" i="11"/>
  <c r="AH337" i="11"/>
  <c r="AH329" i="11"/>
  <c r="AH321" i="11"/>
  <c r="AH313" i="11"/>
  <c r="AG373" i="11"/>
  <c r="AG341" i="11"/>
  <c r="AG309" i="11"/>
  <c r="AG277" i="11"/>
  <c r="AG245" i="11"/>
  <c r="AG228" i="11"/>
  <c r="AG212" i="11"/>
  <c r="AG196" i="11"/>
  <c r="AG180" i="11"/>
  <c r="AG164" i="11"/>
  <c r="AG148" i="11"/>
  <c r="AG133" i="11"/>
  <c r="AG119" i="11"/>
  <c r="AG108" i="11"/>
  <c r="AG94" i="11"/>
  <c r="AG83" i="11"/>
  <c r="AG71" i="11"/>
  <c r="AG61" i="11"/>
  <c r="AG51" i="11"/>
  <c r="AG39" i="11"/>
  <c r="AG29" i="11"/>
  <c r="AG19" i="11"/>
  <c r="AH643" i="11"/>
  <c r="AH634" i="11"/>
  <c r="AH625" i="11"/>
  <c r="AH616" i="11"/>
  <c r="AH608" i="11"/>
  <c r="AH600" i="11"/>
  <c r="AH592" i="11"/>
  <c r="AH584" i="11"/>
  <c r="AH576" i="11"/>
  <c r="AH568" i="11"/>
  <c r="AH560" i="11"/>
  <c r="AH552" i="11"/>
  <c r="AH544" i="11"/>
  <c r="AH536" i="11"/>
  <c r="AH528" i="11"/>
  <c r="AH520" i="11"/>
  <c r="AH512" i="11"/>
  <c r="AH504" i="11"/>
  <c r="AH496" i="11"/>
  <c r="AH488" i="11"/>
  <c r="AH480" i="11"/>
  <c r="AH472" i="11"/>
  <c r="AH464" i="11"/>
  <c r="AH456" i="11"/>
  <c r="AH448" i="11"/>
  <c r="AH440" i="11"/>
  <c r="AH432" i="11"/>
  <c r="AH424" i="11"/>
  <c r="AH416" i="11"/>
  <c r="AH408" i="11"/>
  <c r="AH400" i="11"/>
  <c r="AH392" i="11"/>
  <c r="AH384" i="11"/>
  <c r="AH376" i="11"/>
  <c r="AH368" i="11"/>
  <c r="AH360" i="11"/>
  <c r="AH352" i="11"/>
  <c r="AH344" i="11"/>
  <c r="AH336" i="11"/>
  <c r="AH328" i="11"/>
  <c r="AH320" i="11"/>
  <c r="AH312" i="11"/>
  <c r="AH304" i="11"/>
  <c r="AH296" i="11"/>
  <c r="AH288" i="11"/>
  <c r="AH280" i="11"/>
  <c r="AH272" i="11"/>
  <c r="AH264" i="11"/>
  <c r="AH256" i="11"/>
  <c r="AH248" i="11"/>
  <c r="AG366" i="11"/>
  <c r="AG334" i="11"/>
  <c r="AG302" i="11"/>
  <c r="AG270" i="11"/>
  <c r="AG244" i="11"/>
  <c r="AG227" i="11"/>
  <c r="AG211" i="11"/>
  <c r="AG195" i="11"/>
  <c r="AG179" i="11"/>
  <c r="AG163" i="11"/>
  <c r="AG147" i="11"/>
  <c r="AG132" i="11"/>
  <c r="AG118" i="11"/>
  <c r="AG107" i="11"/>
  <c r="AG93" i="11"/>
  <c r="AG80" i="11"/>
  <c r="AG70" i="11"/>
  <c r="AG60" i="11"/>
  <c r="AG48" i="11"/>
  <c r="AG38" i="11"/>
  <c r="AG28" i="11"/>
  <c r="AG16" i="11"/>
  <c r="AH642" i="11"/>
  <c r="AH633" i="11"/>
  <c r="AH624" i="11"/>
  <c r="AH615" i="11"/>
  <c r="AH607" i="11"/>
  <c r="AH599" i="11"/>
  <c r="AH591" i="11"/>
  <c r="AH583" i="11"/>
  <c r="AH575" i="11"/>
  <c r="AH567" i="11"/>
  <c r="AH559" i="11"/>
  <c r="AH551" i="11"/>
  <c r="AH543" i="11"/>
  <c r="AH535" i="11"/>
  <c r="AH527" i="11"/>
  <c r="AH519" i="11"/>
  <c r="AH511" i="11"/>
  <c r="AH503" i="11"/>
  <c r="AH495" i="11"/>
  <c r="AH487" i="11"/>
  <c r="AH479" i="11"/>
  <c r="AH471" i="11"/>
  <c r="AH463" i="11"/>
  <c r="AH455" i="11"/>
  <c r="AH447" i="11"/>
  <c r="AH439" i="11"/>
  <c r="AH431" i="11"/>
  <c r="AH423" i="11"/>
  <c r="AH415" i="11"/>
  <c r="AH407" i="11"/>
  <c r="AH399" i="11"/>
  <c r="AH391" i="11"/>
  <c r="AH383" i="11"/>
  <c r="AH375" i="11"/>
  <c r="AH367" i="11"/>
  <c r="AH359" i="11"/>
  <c r="AH351" i="11"/>
  <c r="AH343" i="11"/>
  <c r="AH335" i="11"/>
  <c r="AH327" i="11"/>
  <c r="AH319" i="11"/>
  <c r="AH311" i="11"/>
  <c r="AH303" i="11"/>
  <c r="AH295" i="11"/>
  <c r="AH287" i="11"/>
  <c r="AH279" i="11"/>
  <c r="AH271" i="11"/>
  <c r="AH263" i="11"/>
  <c r="AH255" i="11"/>
  <c r="AH247" i="11"/>
  <c r="AH239" i="11"/>
  <c r="AH231" i="11"/>
  <c r="AH223" i="11"/>
  <c r="AH215" i="11"/>
  <c r="AH207" i="11"/>
  <c r="AH478" i="11"/>
  <c r="AH446" i="11"/>
  <c r="AH414" i="11"/>
  <c r="AH382" i="11"/>
  <c r="AH350" i="11"/>
  <c r="AH323" i="11"/>
  <c r="AH302" i="11"/>
  <c r="AH286" i="11"/>
  <c r="AH270" i="11"/>
  <c r="AH258" i="11"/>
  <c r="AH245" i="11"/>
  <c r="AH234" i="11"/>
  <c r="AH224" i="11"/>
  <c r="AH213" i="11"/>
  <c r="AH202" i="11"/>
  <c r="AH193" i="11"/>
  <c r="AH184" i="11"/>
  <c r="AH175" i="11"/>
  <c r="AH166" i="11"/>
  <c r="AH157" i="11"/>
  <c r="AH148" i="11"/>
  <c r="AH140" i="11"/>
  <c r="AH132" i="11"/>
  <c r="AH124" i="11"/>
  <c r="AH116" i="11"/>
  <c r="AH108" i="11"/>
  <c r="AH100" i="11"/>
  <c r="AH92" i="11"/>
  <c r="AH84" i="11"/>
  <c r="AH76" i="11"/>
  <c r="AH68" i="11"/>
  <c r="AH60" i="11"/>
  <c r="AH52" i="11"/>
  <c r="AH44" i="11"/>
  <c r="AH36" i="11"/>
  <c r="AH28" i="11"/>
  <c r="AH20" i="11"/>
  <c r="AH12" i="11"/>
  <c r="AF643" i="11"/>
  <c r="AF635" i="11"/>
  <c r="AF627" i="11"/>
  <c r="AF619" i="11"/>
  <c r="AF611" i="11"/>
  <c r="AF603" i="11"/>
  <c r="AF595" i="11"/>
  <c r="AF587" i="11"/>
  <c r="AF579" i="11"/>
  <c r="AF571" i="11"/>
  <c r="AF563" i="11"/>
  <c r="AF555" i="11"/>
  <c r="AF547" i="11"/>
  <c r="AF539" i="11"/>
  <c r="AF531" i="11"/>
  <c r="AF523" i="11"/>
  <c r="AF515" i="11"/>
  <c r="AF507" i="11"/>
  <c r="AF499" i="11"/>
  <c r="AF491" i="11"/>
  <c r="AF483" i="11"/>
  <c r="AF475" i="11"/>
  <c r="AF467" i="11"/>
  <c r="AF459" i="11"/>
  <c r="AF451" i="11"/>
  <c r="AF443" i="11"/>
  <c r="AF435" i="11"/>
  <c r="AF427" i="11"/>
  <c r="AF419" i="11"/>
  <c r="AF411" i="11"/>
  <c r="AF403" i="11"/>
  <c r="AF395" i="11"/>
  <c r="AF387" i="11"/>
  <c r="AF379" i="11"/>
  <c r="AF371" i="11"/>
  <c r="AF363" i="11"/>
  <c r="AF355" i="11"/>
  <c r="AF347" i="11"/>
  <c r="AF339" i="11"/>
  <c r="AF331" i="11"/>
  <c r="AF323" i="11"/>
  <c r="AF315" i="11"/>
  <c r="AF307" i="11"/>
  <c r="AF299" i="11"/>
  <c r="AF291" i="11"/>
  <c r="AF283" i="11"/>
  <c r="AH475" i="11"/>
  <c r="AH443" i="11"/>
  <c r="AH411" i="11"/>
  <c r="AH379" i="11"/>
  <c r="AH347" i="11"/>
  <c r="AH318" i="11"/>
  <c r="AH301" i="11"/>
  <c r="AH285" i="11"/>
  <c r="AH269" i="11"/>
  <c r="AH257" i="11"/>
  <c r="AH243" i="11"/>
  <c r="AH233" i="11"/>
  <c r="AH222" i="11"/>
  <c r="AH211" i="11"/>
  <c r="AH201" i="11"/>
  <c r="AH192" i="11"/>
  <c r="AH183" i="11"/>
  <c r="AH174" i="11"/>
  <c r="AH165" i="11"/>
  <c r="AH155" i="11"/>
  <c r="AH147" i="11"/>
  <c r="AH139" i="11"/>
  <c r="AH131" i="11"/>
  <c r="AH123" i="11"/>
  <c r="AH115" i="11"/>
  <c r="AH107" i="11"/>
  <c r="AH99" i="11"/>
  <c r="AH91" i="11"/>
  <c r="AH83" i="11"/>
  <c r="AH75" i="11"/>
  <c r="AH67" i="11"/>
  <c r="AH59" i="11"/>
  <c r="AH51" i="11"/>
  <c r="AH43" i="11"/>
  <c r="AH35" i="11"/>
  <c r="AH27" i="11"/>
  <c r="AH19" i="11"/>
  <c r="AH11" i="11"/>
  <c r="AF650" i="11"/>
  <c r="AF642" i="11"/>
  <c r="AF634" i="11"/>
  <c r="AF626" i="11"/>
  <c r="AF618" i="11"/>
  <c r="AF610" i="11"/>
  <c r="AF602" i="11"/>
  <c r="AF594" i="11"/>
  <c r="AF586" i="11"/>
  <c r="AF578" i="11"/>
  <c r="AF570" i="11"/>
  <c r="AF562" i="11"/>
  <c r="AF554" i="11"/>
  <c r="AF546" i="11"/>
  <c r="AF538" i="11"/>
  <c r="AF530" i="11"/>
  <c r="AF522" i="11"/>
  <c r="AF514" i="11"/>
  <c r="AF506" i="11"/>
  <c r="AF498" i="11"/>
  <c r="AF490" i="11"/>
  <c r="AF482" i="11"/>
  <c r="AF474" i="11"/>
  <c r="AF466" i="11"/>
  <c r="AF458" i="11"/>
  <c r="AH470" i="11"/>
  <c r="AH438" i="11"/>
  <c r="AH406" i="11"/>
  <c r="AH374" i="11"/>
  <c r="AH342" i="11"/>
  <c r="AH317" i="11"/>
  <c r="AH299" i="11"/>
  <c r="AH283" i="11"/>
  <c r="AH267" i="11"/>
  <c r="AH254" i="11"/>
  <c r="AH242" i="11"/>
  <c r="AH232" i="11"/>
  <c r="AH221" i="11"/>
  <c r="AH210" i="11"/>
  <c r="AH200" i="11"/>
  <c r="AH191" i="11"/>
  <c r="AH182" i="11"/>
  <c r="AH173" i="11"/>
  <c r="AH163" i="11"/>
  <c r="AH154" i="11"/>
  <c r="AH146" i="11"/>
  <c r="AH138" i="11"/>
  <c r="AH130" i="11"/>
  <c r="AH122" i="11"/>
  <c r="AH114" i="11"/>
  <c r="AH106" i="11"/>
  <c r="AH98" i="11"/>
  <c r="AH90" i="11"/>
  <c r="AH82" i="11"/>
  <c r="AH74" i="11"/>
  <c r="AH66" i="11"/>
  <c r="AH58" i="11"/>
  <c r="AH50" i="11"/>
  <c r="AH42" i="11"/>
  <c r="AH34" i="11"/>
  <c r="AH26" i="11"/>
  <c r="AH18" i="11"/>
  <c r="AH10" i="11"/>
  <c r="AF649" i="11"/>
  <c r="AF641" i="11"/>
  <c r="AF633" i="11"/>
  <c r="AF625" i="11"/>
  <c r="AF617" i="11"/>
  <c r="AF609" i="11"/>
  <c r="AF601" i="11"/>
  <c r="AF593" i="11"/>
  <c r="AF585" i="11"/>
  <c r="AF577" i="11"/>
  <c r="AF569" i="11"/>
  <c r="AF561" i="11"/>
  <c r="AF553" i="11"/>
  <c r="AF545" i="11"/>
  <c r="AF537" i="11"/>
  <c r="AF529" i="11"/>
  <c r="AF521" i="11"/>
  <c r="AF513" i="11"/>
  <c r="AF505" i="11"/>
  <c r="AF497" i="11"/>
  <c r="AF489" i="11"/>
  <c r="AF481" i="11"/>
  <c r="AF473" i="11"/>
  <c r="AF465" i="11"/>
  <c r="AF457" i="11"/>
  <c r="AF449" i="11"/>
  <c r="AF441" i="11"/>
  <c r="AF433" i="11"/>
  <c r="AF425" i="11"/>
  <c r="AF417" i="11"/>
  <c r="AF409" i="11"/>
  <c r="AF401" i="11"/>
  <c r="AF393" i="11"/>
  <c r="AF385" i="11"/>
  <c r="AF377" i="11"/>
  <c r="AF369" i="11"/>
  <c r="AF361" i="11"/>
  <c r="AF353" i="11"/>
  <c r="AF345" i="11"/>
  <c r="AF337" i="11"/>
  <c r="AF329" i="11"/>
  <c r="AF321" i="11"/>
  <c r="AF313" i="11"/>
  <c r="AF305" i="11"/>
  <c r="AF297" i="11"/>
  <c r="AF289" i="11"/>
  <c r="AF281" i="11"/>
  <c r="AH499" i="11"/>
  <c r="AH467" i="11"/>
  <c r="AH435" i="11"/>
  <c r="AH403" i="11"/>
  <c r="AH371" i="11"/>
  <c r="AH339" i="11"/>
  <c r="AH315" i="11"/>
  <c r="AH297" i="11"/>
  <c r="AH281" i="11"/>
  <c r="AH266" i="11"/>
  <c r="AH253" i="11"/>
  <c r="AH241" i="11"/>
  <c r="AH230" i="11"/>
  <c r="AH219" i="11"/>
  <c r="AH209" i="11"/>
  <c r="AH199" i="11"/>
  <c r="AH190" i="11"/>
  <c r="AH181" i="11"/>
  <c r="AH171" i="11"/>
  <c r="AH162" i="11"/>
  <c r="AH153" i="11"/>
  <c r="AH145" i="11"/>
  <c r="AH137" i="11"/>
  <c r="AH129" i="11"/>
  <c r="AH121" i="11"/>
  <c r="AH113" i="11"/>
  <c r="AH105" i="11"/>
  <c r="AH97" i="11"/>
  <c r="AH89" i="11"/>
  <c r="AH81" i="11"/>
  <c r="AH73" i="11"/>
  <c r="AH65" i="11"/>
  <c r="AH57" i="11"/>
  <c r="AH49" i="11"/>
  <c r="AH41" i="11"/>
  <c r="AH33" i="11"/>
  <c r="AH25" i="11"/>
  <c r="AH17" i="11"/>
  <c r="AF648" i="11"/>
  <c r="AF640" i="11"/>
  <c r="AF632" i="11"/>
  <c r="AF624" i="11"/>
  <c r="AF616" i="11"/>
  <c r="AF608" i="11"/>
  <c r="AF600" i="11"/>
  <c r="AF592" i="11"/>
  <c r="AF584" i="11"/>
  <c r="AF576" i="11"/>
  <c r="AF568" i="11"/>
  <c r="AF560" i="11"/>
  <c r="AF552" i="11"/>
  <c r="AF544" i="11"/>
  <c r="AF536" i="11"/>
  <c r="AF528" i="11"/>
  <c r="AF520" i="11"/>
  <c r="AF512" i="11"/>
  <c r="AH494" i="11"/>
  <c r="AH462" i="11"/>
  <c r="AH430" i="11"/>
  <c r="AH398" i="11"/>
  <c r="AH366" i="11"/>
  <c r="AH334" i="11"/>
  <c r="AH310" i="11"/>
  <c r="AH294" i="11"/>
  <c r="AH278" i="11"/>
  <c r="AH265" i="11"/>
  <c r="AH251" i="11"/>
  <c r="AH240" i="11"/>
  <c r="AH229" i="11"/>
  <c r="AH218" i="11"/>
  <c r="AH208" i="11"/>
  <c r="AH198" i="11"/>
  <c r="AH189" i="11"/>
  <c r="AH179" i="11"/>
  <c r="AH170" i="11"/>
  <c r="AH161" i="11"/>
  <c r="AH152" i="11"/>
  <c r="AH144" i="11"/>
  <c r="AH136" i="11"/>
  <c r="AH128" i="11"/>
  <c r="AH120" i="11"/>
  <c r="AH112" i="11"/>
  <c r="AH104" i="11"/>
  <c r="AH96" i="11"/>
  <c r="AH88" i="11"/>
  <c r="AH80" i="11"/>
  <c r="AH72" i="11"/>
  <c r="AH64" i="11"/>
  <c r="AH56" i="11"/>
  <c r="AH48" i="11"/>
  <c r="AH40" i="11"/>
  <c r="AH32" i="11"/>
  <c r="AH24" i="11"/>
  <c r="AH16" i="11"/>
  <c r="AF647" i="11"/>
  <c r="AF639" i="11"/>
  <c r="AF631" i="11"/>
  <c r="AF623" i="11"/>
  <c r="AF615" i="11"/>
  <c r="AF607" i="11"/>
  <c r="AF599" i="11"/>
  <c r="AF591" i="11"/>
  <c r="AF583" i="11"/>
  <c r="AF575" i="11"/>
  <c r="AF567" i="11"/>
  <c r="AF559" i="11"/>
  <c r="AF551" i="11"/>
  <c r="AF543" i="11"/>
  <c r="AF535" i="11"/>
  <c r="AF527" i="11"/>
  <c r="AF519" i="11"/>
  <c r="AF511" i="11"/>
  <c r="AF503" i="11"/>
  <c r="AF495" i="11"/>
  <c r="AF487" i="11"/>
  <c r="AF479" i="11"/>
  <c r="AF471" i="11"/>
  <c r="AF463" i="11"/>
  <c r="AF455" i="11"/>
  <c r="AF447" i="11"/>
  <c r="AF439" i="11"/>
  <c r="AF431" i="11"/>
  <c r="AF423" i="11"/>
  <c r="AF415" i="11"/>
  <c r="AF407" i="11"/>
  <c r="AF399" i="11"/>
  <c r="AF391" i="11"/>
  <c r="AF383" i="11"/>
  <c r="AF375" i="11"/>
  <c r="AF367" i="11"/>
  <c r="AF359" i="11"/>
  <c r="AF351" i="11"/>
  <c r="AF343" i="11"/>
  <c r="AF335" i="11"/>
  <c r="AF327" i="11"/>
  <c r="AF319" i="11"/>
  <c r="AF311" i="11"/>
  <c r="AF303" i="11"/>
  <c r="AF295" i="11"/>
  <c r="AF287" i="11"/>
  <c r="AF279" i="11"/>
  <c r="AH491" i="11"/>
  <c r="AH459" i="11"/>
  <c r="AH427" i="11"/>
  <c r="AH395" i="11"/>
  <c r="AH363" i="11"/>
  <c r="AH331" i="11"/>
  <c r="AH309" i="11"/>
  <c r="AH293" i="11"/>
  <c r="AH277" i="11"/>
  <c r="AH262" i="11"/>
  <c r="AH250" i="11"/>
  <c r="AH238" i="11"/>
  <c r="AH227" i="11"/>
  <c r="AH217" i="11"/>
  <c r="AH206" i="11"/>
  <c r="AH197" i="11"/>
  <c r="AH187" i="11"/>
  <c r="AH178" i="11"/>
  <c r="AH169" i="11"/>
  <c r="AH160" i="11"/>
  <c r="AH151" i="11"/>
  <c r="AH143" i="11"/>
  <c r="AH135" i="11"/>
  <c r="AH127" i="11"/>
  <c r="AH119" i="11"/>
  <c r="AH111" i="11"/>
  <c r="AH103" i="11"/>
  <c r="AH95" i="11"/>
  <c r="AH87" i="11"/>
  <c r="AH79" i="11"/>
  <c r="AH71" i="11"/>
  <c r="AH63" i="11"/>
  <c r="AH55" i="11"/>
  <c r="AH47" i="11"/>
  <c r="AH39" i="11"/>
  <c r="AH31" i="11"/>
  <c r="AH23" i="11"/>
  <c r="AH15" i="11"/>
  <c r="AF646" i="11"/>
  <c r="AF638" i="11"/>
  <c r="AF630" i="11"/>
  <c r="AF622" i="11"/>
  <c r="AF614" i="11"/>
  <c r="AF606" i="11"/>
  <c r="AF598" i="11"/>
  <c r="AF590" i="11"/>
  <c r="AF582" i="11"/>
  <c r="AF574" i="11"/>
  <c r="AF566" i="11"/>
  <c r="AF558" i="11"/>
  <c r="AF550" i="11"/>
  <c r="AF542" i="11"/>
  <c r="AF534" i="11"/>
  <c r="AF526" i="11"/>
  <c r="AF518" i="11"/>
  <c r="AF510" i="11"/>
  <c r="AF502" i="11"/>
  <c r="AF494" i="11"/>
  <c r="AF486" i="11"/>
  <c r="AF478" i="11"/>
  <c r="AF470" i="11"/>
  <c r="AF462" i="11"/>
  <c r="AF454" i="11"/>
  <c r="AF446" i="11"/>
  <c r="AF438" i="11"/>
  <c r="AF430" i="11"/>
  <c r="AF422" i="11"/>
  <c r="AF414" i="11"/>
  <c r="AF406" i="11"/>
  <c r="AF398" i="11"/>
  <c r="AF390" i="11"/>
  <c r="AF382" i="11"/>
  <c r="AF374" i="11"/>
  <c r="AF366" i="11"/>
  <c r="AF358" i="11"/>
  <c r="AF350" i="11"/>
  <c r="AF342" i="11"/>
  <c r="AH486" i="11"/>
  <c r="AH454" i="11"/>
  <c r="AH422" i="11"/>
  <c r="AH390" i="11"/>
  <c r="AH358" i="11"/>
  <c r="AH326" i="11"/>
  <c r="AH307" i="11"/>
  <c r="AH291" i="11"/>
  <c r="AH275" i="11"/>
  <c r="AH261" i="11"/>
  <c r="AH249" i="11"/>
  <c r="AH237" i="11"/>
  <c r="AH226" i="11"/>
  <c r="AH216" i="11"/>
  <c r="AH205" i="11"/>
  <c r="AH195" i="11"/>
  <c r="AH186" i="11"/>
  <c r="AH177" i="11"/>
  <c r="AH168" i="11"/>
  <c r="AH159" i="11"/>
  <c r="AH150" i="11"/>
  <c r="AH142" i="11"/>
  <c r="AH134" i="11"/>
  <c r="AH126" i="11"/>
  <c r="AH118" i="11"/>
  <c r="AH110" i="11"/>
  <c r="AH102" i="11"/>
  <c r="AH94" i="11"/>
  <c r="AH86" i="11"/>
  <c r="AH78" i="11"/>
  <c r="AH70" i="11"/>
  <c r="AH62" i="11"/>
  <c r="AH54" i="11"/>
  <c r="AH46" i="11"/>
  <c r="AH38" i="11"/>
  <c r="AH30" i="11"/>
  <c r="AH22" i="11"/>
  <c r="AH14" i="11"/>
  <c r="AF645" i="11"/>
  <c r="AF637" i="11"/>
  <c r="AF629" i="11"/>
  <c r="AF621" i="11"/>
  <c r="AF613" i="11"/>
  <c r="AF605" i="11"/>
  <c r="AF597" i="11"/>
  <c r="AF589" i="11"/>
  <c r="AF581" i="11"/>
  <c r="AF573" i="11"/>
  <c r="AF565" i="11"/>
  <c r="AF557" i="11"/>
  <c r="AF549" i="11"/>
  <c r="AF541" i="11"/>
  <c r="AF533" i="11"/>
  <c r="AF525" i="11"/>
  <c r="AF517" i="11"/>
  <c r="AF509" i="11"/>
  <c r="AF501" i="11"/>
  <c r="AF493" i="11"/>
  <c r="AF485" i="11"/>
  <c r="AF477" i="11"/>
  <c r="AF469" i="11"/>
  <c r="AF461" i="11"/>
  <c r="AF453" i="11"/>
  <c r="AF445" i="11"/>
  <c r="AF437" i="11"/>
  <c r="AF429" i="11"/>
  <c r="AF421" i="11"/>
  <c r="AF413" i="11"/>
  <c r="AF405" i="11"/>
  <c r="AF397" i="11"/>
  <c r="AF389" i="11"/>
  <c r="AF381" i="11"/>
  <c r="AF373" i="11"/>
  <c r="AF365" i="11"/>
  <c r="AF357" i="11"/>
  <c r="AF349" i="11"/>
  <c r="AF341" i="11"/>
  <c r="AF333" i="11"/>
  <c r="AF325" i="11"/>
  <c r="AF317" i="11"/>
  <c r="AH483" i="11"/>
  <c r="AH451" i="11"/>
  <c r="AH419" i="11"/>
  <c r="AH387" i="11"/>
  <c r="AH355" i="11"/>
  <c r="AH325" i="11"/>
  <c r="AH305" i="11"/>
  <c r="AH289" i="11"/>
  <c r="AH273" i="11"/>
  <c r="AH259" i="11"/>
  <c r="AH246" i="11"/>
  <c r="AH235" i="11"/>
  <c r="AH225" i="11"/>
  <c r="AH214" i="11"/>
  <c r="AH203" i="11"/>
  <c r="AH194" i="11"/>
  <c r="AH185" i="11"/>
  <c r="AH176" i="11"/>
  <c r="AH167" i="11"/>
  <c r="AH158" i="11"/>
  <c r="AH149" i="11"/>
  <c r="AH141" i="11"/>
  <c r="AH133" i="11"/>
  <c r="AH125" i="11"/>
  <c r="AH117" i="11"/>
  <c r="AH109" i="11"/>
  <c r="AH101" i="11"/>
  <c r="AH93" i="11"/>
  <c r="AH85" i="11"/>
  <c r="AH77" i="11"/>
  <c r="AH69" i="11"/>
  <c r="AH61" i="11"/>
  <c r="AH53" i="11"/>
  <c r="AH45" i="11"/>
  <c r="AH37" i="11"/>
  <c r="AH29" i="11"/>
  <c r="AH21" i="11"/>
  <c r="AH13" i="11"/>
  <c r="AF644" i="11"/>
  <c r="AF636" i="11"/>
  <c r="AF628" i="11"/>
  <c r="AF620" i="11"/>
  <c r="AF612" i="11"/>
  <c r="AF604" i="11"/>
  <c r="AF596" i="11"/>
  <c r="AF588" i="11"/>
  <c r="AF580" i="11"/>
  <c r="AF572" i="11"/>
  <c r="AF564" i="11"/>
  <c r="AF556" i="11"/>
  <c r="AF548" i="11"/>
  <c r="AF540" i="11"/>
  <c r="AF532" i="11"/>
  <c r="AF524" i="11"/>
  <c r="AF516" i="11"/>
  <c r="AF508" i="11"/>
  <c r="AF500" i="11"/>
  <c r="AF492" i="11"/>
  <c r="AF484" i="11"/>
  <c r="AF476" i="11"/>
  <c r="AF468" i="11"/>
  <c r="AF460" i="11"/>
  <c r="AF452" i="11"/>
  <c r="AF444" i="11"/>
  <c r="AF436" i="11"/>
  <c r="AF428" i="11"/>
  <c r="AF420" i="11"/>
  <c r="AF412" i="11"/>
  <c r="AF404" i="11"/>
  <c r="AF396" i="11"/>
  <c r="AF388" i="11"/>
  <c r="AF380" i="11"/>
  <c r="AF372" i="11"/>
  <c r="AF364" i="11"/>
  <c r="AF356" i="11"/>
  <c r="AF348" i="11"/>
  <c r="AF340" i="11"/>
  <c r="AF332" i="11"/>
  <c r="AF324" i="11"/>
  <c r="AF316" i="11"/>
  <c r="AF308" i="11"/>
  <c r="AF300" i="11"/>
  <c r="AF292" i="11"/>
  <c r="AF284" i="11"/>
  <c r="AF276" i="11"/>
  <c r="AF450" i="11"/>
  <c r="AF418" i="11"/>
  <c r="AF386" i="11"/>
  <c r="AF354" i="11"/>
  <c r="AF328" i="11"/>
  <c r="AF309" i="11"/>
  <c r="AF293" i="11"/>
  <c r="AF277" i="11"/>
  <c r="AF268" i="11"/>
  <c r="AF260" i="11"/>
  <c r="AF252" i="11"/>
  <c r="AF244" i="11"/>
  <c r="AF236" i="11"/>
  <c r="AF228" i="11"/>
  <c r="AF220" i="11"/>
  <c r="AF212" i="11"/>
  <c r="AF204" i="11"/>
  <c r="AF196" i="11"/>
  <c r="AF188" i="11"/>
  <c r="AF180" i="11"/>
  <c r="AF172" i="11"/>
  <c r="AF164" i="11"/>
  <c r="AF156" i="11"/>
  <c r="AF148" i="11"/>
  <c r="AF140" i="11"/>
  <c r="AF132" i="11"/>
  <c r="AF124" i="11"/>
  <c r="AF116" i="11"/>
  <c r="AF108" i="11"/>
  <c r="AF100" i="11"/>
  <c r="AF92" i="11"/>
  <c r="AF84" i="11"/>
  <c r="AF76" i="11"/>
  <c r="AF68" i="11"/>
  <c r="AF60" i="11"/>
  <c r="AF52" i="11"/>
  <c r="AF44" i="11"/>
  <c r="AF36" i="11"/>
  <c r="AF28" i="11"/>
  <c r="AF20" i="11"/>
  <c r="AF12" i="11"/>
  <c r="AE649" i="11"/>
  <c r="AE641" i="11"/>
  <c r="AE633" i="11"/>
  <c r="AE625" i="11"/>
  <c r="AE617" i="11"/>
  <c r="AE609" i="11"/>
  <c r="AE601" i="11"/>
  <c r="AE593" i="11"/>
  <c r="AE585" i="11"/>
  <c r="AE577" i="11"/>
  <c r="AE569" i="11"/>
  <c r="AE561" i="11"/>
  <c r="AE553" i="11"/>
  <c r="AE545" i="11"/>
  <c r="AE537" i="11"/>
  <c r="AE529" i="11"/>
  <c r="AE521" i="11"/>
  <c r="AE513" i="11"/>
  <c r="AE505" i="11"/>
  <c r="AE497" i="11"/>
  <c r="AE489" i="11"/>
  <c r="AE481" i="11"/>
  <c r="AE473" i="11"/>
  <c r="AE465" i="11"/>
  <c r="AE457" i="11"/>
  <c r="AE449" i="11"/>
  <c r="AE441" i="11"/>
  <c r="AE433" i="11"/>
  <c r="AE425" i="11"/>
  <c r="AE417" i="11"/>
  <c r="AE409" i="11"/>
  <c r="AE401" i="11"/>
  <c r="AE393" i="11"/>
  <c r="AE385" i="11"/>
  <c r="AE377" i="11"/>
  <c r="AE369" i="11"/>
  <c r="AE361" i="11"/>
  <c r="AE353" i="11"/>
  <c r="AE345" i="11"/>
  <c r="AE337" i="11"/>
  <c r="AE329" i="11"/>
  <c r="AE321" i="11"/>
  <c r="AE313" i="11"/>
  <c r="AE305" i="11"/>
  <c r="AE297" i="11"/>
  <c r="AE289" i="11"/>
  <c r="AE281" i="11"/>
  <c r="AF504" i="11"/>
  <c r="AF448" i="11"/>
  <c r="AF416" i="11"/>
  <c r="AF384" i="11"/>
  <c r="AF352" i="11"/>
  <c r="AF326" i="11"/>
  <c r="AF306" i="11"/>
  <c r="AF290" i="11"/>
  <c r="AF275" i="11"/>
  <c r="AF267" i="11"/>
  <c r="AF259" i="11"/>
  <c r="AF251" i="11"/>
  <c r="AF243" i="11"/>
  <c r="AF235" i="11"/>
  <c r="AF227" i="11"/>
  <c r="AF219" i="11"/>
  <c r="AF211" i="11"/>
  <c r="AF203" i="11"/>
  <c r="AF195" i="11"/>
  <c r="AF187" i="11"/>
  <c r="AF179" i="11"/>
  <c r="AF171" i="11"/>
  <c r="AF163" i="11"/>
  <c r="AF155" i="11"/>
  <c r="AF147" i="11"/>
  <c r="AF139" i="11"/>
  <c r="AF131" i="11"/>
  <c r="AF123" i="11"/>
  <c r="AF115" i="11"/>
  <c r="AF107" i="11"/>
  <c r="AF99" i="11"/>
  <c r="AF91" i="11"/>
  <c r="AF83" i="11"/>
  <c r="AF75" i="11"/>
  <c r="AF67" i="11"/>
  <c r="AF59" i="11"/>
  <c r="AF51" i="11"/>
  <c r="AF43" i="11"/>
  <c r="AF35" i="11"/>
  <c r="AF27" i="11"/>
  <c r="AF19" i="11"/>
  <c r="AF11" i="11"/>
  <c r="AE648" i="11"/>
  <c r="AE640" i="11"/>
  <c r="AE632" i="11"/>
  <c r="AE624" i="11"/>
  <c r="AE616" i="11"/>
  <c r="AE608" i="11"/>
  <c r="AE600" i="11"/>
  <c r="AE592" i="11"/>
  <c r="AE584" i="11"/>
  <c r="AE576" i="11"/>
  <c r="AE568" i="11"/>
  <c r="AE560" i="11"/>
  <c r="AE552" i="11"/>
  <c r="AE544" i="11"/>
  <c r="AE536" i="11"/>
  <c r="AE528" i="11"/>
  <c r="AE520" i="11"/>
  <c r="AE512" i="11"/>
  <c r="AE504" i="11"/>
  <c r="AE496" i="11"/>
  <c r="AE488" i="11"/>
  <c r="AE480" i="11"/>
  <c r="AE472" i="11"/>
  <c r="AE464" i="11"/>
  <c r="AF496" i="11"/>
  <c r="AF442" i="11"/>
  <c r="AF410" i="11"/>
  <c r="AF378" i="11"/>
  <c r="AF346" i="11"/>
  <c r="AF322" i="11"/>
  <c r="AF304" i="11"/>
  <c r="AF288" i="11"/>
  <c r="AF274" i="11"/>
  <c r="AF266" i="11"/>
  <c r="AF258" i="11"/>
  <c r="AF250" i="11"/>
  <c r="AF242" i="11"/>
  <c r="AF234" i="11"/>
  <c r="AF226" i="11"/>
  <c r="AF218" i="11"/>
  <c r="AF210" i="11"/>
  <c r="AF202" i="11"/>
  <c r="AF194" i="11"/>
  <c r="AF186" i="11"/>
  <c r="AF178" i="11"/>
  <c r="AF170" i="11"/>
  <c r="AF162" i="11"/>
  <c r="AF154" i="11"/>
  <c r="AF146" i="11"/>
  <c r="AF138" i="11"/>
  <c r="AF130" i="11"/>
  <c r="AF122" i="11"/>
  <c r="AF114" i="11"/>
  <c r="AF106" i="11"/>
  <c r="AF98" i="11"/>
  <c r="AF90" i="11"/>
  <c r="AF82" i="11"/>
  <c r="AF74" i="11"/>
  <c r="AF66" i="11"/>
  <c r="AF58" i="11"/>
  <c r="AF50" i="11"/>
  <c r="AF42" i="11"/>
  <c r="AF34" i="11"/>
  <c r="AF26" i="11"/>
  <c r="AF18" i="11"/>
  <c r="AF10" i="11"/>
  <c r="AE647" i="11"/>
  <c r="AE639" i="11"/>
  <c r="AE631" i="11"/>
  <c r="AE623" i="11"/>
  <c r="AE615" i="11"/>
  <c r="AE607" i="11"/>
  <c r="AE599" i="11"/>
  <c r="AE591" i="11"/>
  <c r="AE583" i="11"/>
  <c r="AE575" i="11"/>
  <c r="AE567" i="11"/>
  <c r="AE559" i="11"/>
  <c r="AE551" i="11"/>
  <c r="AE543" i="11"/>
  <c r="AE535" i="11"/>
  <c r="AE527" i="11"/>
  <c r="AE519" i="11"/>
  <c r="AE511" i="11"/>
  <c r="AE503" i="11"/>
  <c r="AE495" i="11"/>
  <c r="AE487" i="11"/>
  <c r="AE479" i="11"/>
  <c r="AE471" i="11"/>
  <c r="AE463" i="11"/>
  <c r="AE455" i="11"/>
  <c r="AE447" i="11"/>
  <c r="AE439" i="11"/>
  <c r="AE431" i="11"/>
  <c r="AE423" i="11"/>
  <c r="AE415" i="11"/>
  <c r="AE407" i="11"/>
  <c r="AE399" i="11"/>
  <c r="AE391" i="11"/>
  <c r="AE383" i="11"/>
  <c r="AE375" i="11"/>
  <c r="AE367" i="11"/>
  <c r="AE359" i="11"/>
  <c r="AE351" i="11"/>
  <c r="AE343" i="11"/>
  <c r="AE335" i="11"/>
  <c r="AE327" i="11"/>
  <c r="AE319" i="11"/>
  <c r="AE311" i="11"/>
  <c r="AE303" i="11"/>
  <c r="AE295" i="11"/>
  <c r="AE287" i="11"/>
  <c r="AF488" i="11"/>
  <c r="AF440" i="11"/>
  <c r="AF408" i="11"/>
  <c r="AF376" i="11"/>
  <c r="AF344" i="11"/>
  <c r="AF320" i="11"/>
  <c r="AF302" i="11"/>
  <c r="AF286" i="11"/>
  <c r="AF273" i="11"/>
  <c r="AF265" i="11"/>
  <c r="AF257" i="11"/>
  <c r="AF249" i="11"/>
  <c r="AF241" i="11"/>
  <c r="AF233" i="11"/>
  <c r="AF225" i="11"/>
  <c r="AF217" i="11"/>
  <c r="AF209" i="11"/>
  <c r="AF201" i="11"/>
  <c r="AF193" i="11"/>
  <c r="AF185" i="11"/>
  <c r="AF177" i="11"/>
  <c r="AF169" i="11"/>
  <c r="AF161" i="11"/>
  <c r="AF153" i="11"/>
  <c r="AF145" i="11"/>
  <c r="AF137" i="11"/>
  <c r="AF129" i="11"/>
  <c r="AF121" i="11"/>
  <c r="AF113" i="11"/>
  <c r="AF105" i="11"/>
  <c r="AF97" i="11"/>
  <c r="AF89" i="11"/>
  <c r="AF81" i="11"/>
  <c r="AF73" i="11"/>
  <c r="AF65" i="11"/>
  <c r="AF57" i="11"/>
  <c r="AF49" i="11"/>
  <c r="AF41" i="11"/>
  <c r="AF33" i="11"/>
  <c r="AF25" i="11"/>
  <c r="AF17" i="11"/>
  <c r="AE646" i="11"/>
  <c r="AE638" i="11"/>
  <c r="AE630" i="11"/>
  <c r="AE622" i="11"/>
  <c r="AE614" i="11"/>
  <c r="AE606" i="11"/>
  <c r="AE598" i="11"/>
  <c r="AE590" i="11"/>
  <c r="AE582" i="11"/>
  <c r="AE574" i="11"/>
  <c r="AE566" i="11"/>
  <c r="AE558" i="11"/>
  <c r="AE550" i="11"/>
  <c r="AE542" i="11"/>
  <c r="AE534" i="11"/>
  <c r="AE526" i="11"/>
  <c r="AE518" i="11"/>
  <c r="AE510" i="11"/>
  <c r="AE502" i="11"/>
  <c r="AE494" i="11"/>
  <c r="AE486" i="11"/>
  <c r="AF480" i="11"/>
  <c r="AF434" i="11"/>
  <c r="AF402" i="11"/>
  <c r="AF370" i="11"/>
  <c r="AF338" i="11"/>
  <c r="AF318" i="11"/>
  <c r="AF301" i="11"/>
  <c r="AF285" i="11"/>
  <c r="AF272" i="11"/>
  <c r="AF264" i="11"/>
  <c r="AF256" i="11"/>
  <c r="AF248" i="11"/>
  <c r="AF240" i="11"/>
  <c r="AF232" i="11"/>
  <c r="AF224" i="11"/>
  <c r="AF216" i="11"/>
  <c r="AF208" i="11"/>
  <c r="AF200" i="11"/>
  <c r="AF192" i="11"/>
  <c r="AF184" i="11"/>
  <c r="AF176" i="11"/>
  <c r="AF168" i="11"/>
  <c r="AF160" i="11"/>
  <c r="AF152" i="11"/>
  <c r="AF144" i="11"/>
  <c r="AF136" i="11"/>
  <c r="AF128" i="11"/>
  <c r="AF120" i="11"/>
  <c r="AF112" i="11"/>
  <c r="AF104" i="11"/>
  <c r="AF96" i="11"/>
  <c r="AF88" i="11"/>
  <c r="AF80" i="11"/>
  <c r="AF72" i="11"/>
  <c r="AF64" i="11"/>
  <c r="AF56" i="11"/>
  <c r="AF48" i="11"/>
  <c r="AF40" i="11"/>
  <c r="AF32" i="11"/>
  <c r="AF24" i="11"/>
  <c r="AF16" i="11"/>
  <c r="AE645" i="11"/>
  <c r="AE637" i="11"/>
  <c r="AE629" i="11"/>
  <c r="AE621" i="11"/>
  <c r="AE613" i="11"/>
  <c r="AE605" i="11"/>
  <c r="AE597" i="11"/>
  <c r="AE589" i="11"/>
  <c r="AE581" i="11"/>
  <c r="AE573" i="11"/>
  <c r="AE565" i="11"/>
  <c r="AE557" i="11"/>
  <c r="AE549" i="11"/>
  <c r="AE541" i="11"/>
  <c r="AE533" i="11"/>
  <c r="AE525" i="11"/>
  <c r="AE517" i="11"/>
  <c r="AE509" i="11"/>
  <c r="AE501" i="11"/>
  <c r="AE493" i="11"/>
  <c r="AE485" i="11"/>
  <c r="AE477" i="11"/>
  <c r="AE469" i="11"/>
  <c r="AE461" i="11"/>
  <c r="AE453" i="11"/>
  <c r="AE445" i="11"/>
  <c r="AE437" i="11"/>
  <c r="AE429" i="11"/>
  <c r="AE421" i="11"/>
  <c r="AE413" i="11"/>
  <c r="AE405" i="11"/>
  <c r="AE397" i="11"/>
  <c r="AE389" i="11"/>
  <c r="AE381" i="11"/>
  <c r="AE373" i="11"/>
  <c r="AE365" i="11"/>
  <c r="AE357" i="11"/>
  <c r="AE349" i="11"/>
  <c r="AE341" i="11"/>
  <c r="AE333" i="11"/>
  <c r="AE325" i="11"/>
  <c r="AE317" i="11"/>
  <c r="AE309" i="11"/>
  <c r="AE301" i="11"/>
  <c r="AF472" i="11"/>
  <c r="AF432" i="11"/>
  <c r="AF400" i="11"/>
  <c r="AF368" i="11"/>
  <c r="AF336" i="11"/>
  <c r="AF314" i="11"/>
  <c r="AF298" i="11"/>
  <c r="AF282" i="11"/>
  <c r="AF271" i="11"/>
  <c r="AF263" i="11"/>
  <c r="AF255" i="11"/>
  <c r="AF247" i="11"/>
  <c r="AF239" i="11"/>
  <c r="AF231" i="11"/>
  <c r="AF223" i="11"/>
  <c r="AF215" i="11"/>
  <c r="AF207" i="11"/>
  <c r="AF199" i="11"/>
  <c r="AF191" i="11"/>
  <c r="AF183" i="11"/>
  <c r="AF175" i="11"/>
  <c r="AF167" i="11"/>
  <c r="AF159" i="11"/>
  <c r="AF151" i="11"/>
  <c r="AF143" i="11"/>
  <c r="AF135" i="11"/>
  <c r="AF127" i="11"/>
  <c r="AF119" i="11"/>
  <c r="AF111" i="11"/>
  <c r="AF103" i="11"/>
  <c r="AF95" i="11"/>
  <c r="AF87" i="11"/>
  <c r="AF79" i="11"/>
  <c r="AF71" i="11"/>
  <c r="AF63" i="11"/>
  <c r="AF55" i="11"/>
  <c r="AF47" i="11"/>
  <c r="AF39" i="11"/>
  <c r="AF31" i="11"/>
  <c r="AF23" i="11"/>
  <c r="AF15" i="11"/>
  <c r="AE644" i="11"/>
  <c r="AE636" i="11"/>
  <c r="AE628" i="11"/>
  <c r="AE620" i="11"/>
  <c r="AE612" i="11"/>
  <c r="AE604" i="11"/>
  <c r="AE596" i="11"/>
  <c r="AE588" i="11"/>
  <c r="AE580" i="11"/>
  <c r="AE572" i="11"/>
  <c r="AE564" i="11"/>
  <c r="AE556" i="11"/>
  <c r="AE548" i="11"/>
  <c r="AE540" i="11"/>
  <c r="AE532" i="11"/>
  <c r="AE524" i="11"/>
  <c r="AE516" i="11"/>
  <c r="AE508" i="11"/>
  <c r="AE500" i="11"/>
  <c r="AE492" i="11"/>
  <c r="AE484" i="11"/>
  <c r="AE476" i="11"/>
  <c r="AE468" i="11"/>
  <c r="AE460" i="11"/>
  <c r="AE452" i="11"/>
  <c r="AE444" i="11"/>
  <c r="AE436" i="11"/>
  <c r="AE428" i="11"/>
  <c r="AE420" i="11"/>
  <c r="AE412" i="11"/>
  <c r="AE404" i="11"/>
  <c r="AE396" i="11"/>
  <c r="AE388" i="11"/>
  <c r="AE380" i="11"/>
  <c r="AE372" i="11"/>
  <c r="AE364" i="11"/>
  <c r="AE356" i="11"/>
  <c r="AE348" i="11"/>
  <c r="AE340" i="11"/>
  <c r="AE332" i="11"/>
  <c r="AF464" i="11"/>
  <c r="AF426" i="11"/>
  <c r="AF394" i="11"/>
  <c r="AF362" i="11"/>
  <c r="AF334" i="11"/>
  <c r="AF312" i="11"/>
  <c r="AF296" i="11"/>
  <c r="AF280" i="11"/>
  <c r="AF270" i="11"/>
  <c r="AF262" i="11"/>
  <c r="AF254" i="11"/>
  <c r="AF246" i="11"/>
  <c r="AF238" i="11"/>
  <c r="AF230" i="11"/>
  <c r="AF222" i="11"/>
  <c r="AF214" i="11"/>
  <c r="AF206" i="11"/>
  <c r="AF198" i="11"/>
  <c r="AF190" i="11"/>
  <c r="AF182" i="11"/>
  <c r="AF174" i="11"/>
  <c r="AF166" i="11"/>
  <c r="AF158" i="11"/>
  <c r="AF150" i="11"/>
  <c r="AF142" i="11"/>
  <c r="AF134" i="11"/>
  <c r="AF126" i="11"/>
  <c r="AF118" i="11"/>
  <c r="AF110" i="11"/>
  <c r="AF102" i="11"/>
  <c r="AF94" i="11"/>
  <c r="AF86" i="11"/>
  <c r="AF78" i="11"/>
  <c r="AF70" i="11"/>
  <c r="AF62" i="11"/>
  <c r="AF54" i="11"/>
  <c r="AF46" i="11"/>
  <c r="AF38" i="11"/>
  <c r="AF30" i="11"/>
  <c r="AF22" i="11"/>
  <c r="AF14" i="11"/>
  <c r="AE643" i="11"/>
  <c r="AE635" i="11"/>
  <c r="AE627" i="11"/>
  <c r="AE619" i="11"/>
  <c r="AE611" i="11"/>
  <c r="AE603" i="11"/>
  <c r="AE595" i="11"/>
  <c r="AE587" i="11"/>
  <c r="AE579" i="11"/>
  <c r="AE571" i="11"/>
  <c r="AE563" i="11"/>
  <c r="AE555" i="11"/>
  <c r="AE547" i="11"/>
  <c r="AE539" i="11"/>
  <c r="AE531" i="11"/>
  <c r="AE523" i="11"/>
  <c r="AE515" i="11"/>
  <c r="AE507" i="11"/>
  <c r="AE499" i="11"/>
  <c r="AE491" i="11"/>
  <c r="AE483" i="11"/>
  <c r="AE475" i="11"/>
  <c r="AE467" i="11"/>
  <c r="AE459" i="11"/>
  <c r="AE451" i="11"/>
  <c r="AE443" i="11"/>
  <c r="AE435" i="11"/>
  <c r="AE427" i="11"/>
  <c r="AE419" i="11"/>
  <c r="AE411" i="11"/>
  <c r="AE403" i="11"/>
  <c r="AE395" i="11"/>
  <c r="AE387" i="11"/>
  <c r="AE379" i="11"/>
  <c r="AE371" i="11"/>
  <c r="AE363" i="11"/>
  <c r="AE355" i="11"/>
  <c r="AE347" i="11"/>
  <c r="AE339" i="11"/>
  <c r="AE331" i="11"/>
  <c r="AF456" i="11"/>
  <c r="AF424" i="11"/>
  <c r="AF392" i="11"/>
  <c r="AF360" i="11"/>
  <c r="AF330" i="11"/>
  <c r="AF310" i="11"/>
  <c r="AF294" i="11"/>
  <c r="AF278" i="11"/>
  <c r="AF269" i="11"/>
  <c r="AF261" i="11"/>
  <c r="AF253" i="11"/>
  <c r="AF245" i="11"/>
  <c r="AF237" i="11"/>
  <c r="AF229" i="11"/>
  <c r="AF221" i="11"/>
  <c r="AF213" i="11"/>
  <c r="AF205" i="11"/>
  <c r="AF197" i="11"/>
  <c r="AF189" i="11"/>
  <c r="AF181" i="11"/>
  <c r="AF173" i="11"/>
  <c r="AF165" i="11"/>
  <c r="AF157" i="11"/>
  <c r="AF149" i="11"/>
  <c r="AF141" i="11"/>
  <c r="AF133" i="11"/>
  <c r="AF125" i="11"/>
  <c r="AF117" i="11"/>
  <c r="AF109" i="11"/>
  <c r="AF101" i="11"/>
  <c r="AF93" i="11"/>
  <c r="AF85" i="11"/>
  <c r="AF77" i="11"/>
  <c r="AF69" i="11"/>
  <c r="AF61" i="11"/>
  <c r="AF53" i="11"/>
  <c r="AF45" i="11"/>
  <c r="AF37" i="11"/>
  <c r="AF29" i="11"/>
  <c r="AF21" i="11"/>
  <c r="AF13" i="11"/>
  <c r="AE650" i="11"/>
  <c r="AE642" i="11"/>
  <c r="AE634" i="11"/>
  <c r="AE626" i="11"/>
  <c r="AE618" i="11"/>
  <c r="AE610" i="11"/>
  <c r="AE602" i="11"/>
  <c r="AE594" i="11"/>
  <c r="AE586" i="11"/>
  <c r="AE578" i="11"/>
  <c r="AE570" i="11"/>
  <c r="AE562" i="11"/>
  <c r="AE554" i="11"/>
  <c r="AE546" i="11"/>
  <c r="AE538" i="11"/>
  <c r="AE530" i="11"/>
  <c r="AE522" i="11"/>
  <c r="AE514" i="11"/>
  <c r="AE506" i="11"/>
  <c r="AE498" i="11"/>
  <c r="AE490" i="11"/>
  <c r="AE482" i="11"/>
  <c r="AE474" i="11"/>
  <c r="AE466" i="11"/>
  <c r="AE458" i="11"/>
  <c r="AE450" i="11"/>
  <c r="AE442" i="11"/>
  <c r="AE434" i="11"/>
  <c r="AE426" i="11"/>
  <c r="AE418" i="11"/>
  <c r="AE410" i="11"/>
  <c r="AE402" i="11"/>
  <c r="AE394" i="11"/>
  <c r="AE386" i="11"/>
  <c r="AE378" i="11"/>
  <c r="AE370" i="11"/>
  <c r="AE362" i="11"/>
  <c r="AE354" i="11"/>
  <c r="AE346" i="11"/>
  <c r="AE338" i="11"/>
  <c r="AE330" i="11"/>
  <c r="AE322" i="11"/>
  <c r="AE314" i="11"/>
  <c r="AE306" i="11"/>
  <c r="AE298" i="11"/>
  <c r="AE290" i="11"/>
  <c r="AE282" i="11"/>
  <c r="AE274" i="11"/>
  <c r="AE266" i="11"/>
  <c r="AE456" i="11"/>
  <c r="AE424" i="11"/>
  <c r="AE392" i="11"/>
  <c r="AE360" i="11"/>
  <c r="AE328" i="11"/>
  <c r="AE312" i="11"/>
  <c r="AE296" i="11"/>
  <c r="AE284" i="11"/>
  <c r="AE273" i="11"/>
  <c r="AE264" i="11"/>
  <c r="AE256" i="11"/>
  <c r="AE248" i="11"/>
  <c r="AE240" i="11"/>
  <c r="AE232" i="11"/>
  <c r="AE224" i="11"/>
  <c r="AE216" i="11"/>
  <c r="AE208" i="11"/>
  <c r="AE200" i="11"/>
  <c r="AE192" i="11"/>
  <c r="AE184" i="11"/>
  <c r="AE176" i="11"/>
  <c r="AE168" i="11"/>
  <c r="AE160" i="11"/>
  <c r="AE152" i="11"/>
  <c r="AE144" i="11"/>
  <c r="AE136" i="11"/>
  <c r="AE128" i="11"/>
  <c r="AE120" i="11"/>
  <c r="AE112" i="11"/>
  <c r="AE104" i="11"/>
  <c r="AE96" i="11"/>
  <c r="AE88" i="11"/>
  <c r="AE80" i="11"/>
  <c r="AE72" i="11"/>
  <c r="AE64" i="11"/>
  <c r="AE56" i="11"/>
  <c r="AE48" i="11"/>
  <c r="AE40" i="11"/>
  <c r="AE32" i="11"/>
  <c r="AE24" i="11"/>
  <c r="AE16" i="11"/>
  <c r="AE454" i="11"/>
  <c r="AE422" i="11"/>
  <c r="AE390" i="11"/>
  <c r="AE358" i="11"/>
  <c r="AE326" i="11"/>
  <c r="AE310" i="11"/>
  <c r="AE294" i="11"/>
  <c r="AE283" i="11"/>
  <c r="AE272" i="11"/>
  <c r="AE263" i="11"/>
  <c r="AE255" i="11"/>
  <c r="AE247" i="11"/>
  <c r="AE239" i="11"/>
  <c r="AE231" i="11"/>
  <c r="AE223" i="11"/>
  <c r="AE215" i="11"/>
  <c r="AE207" i="11"/>
  <c r="AE199" i="11"/>
  <c r="AE191" i="11"/>
  <c r="AE183" i="11"/>
  <c r="AE175" i="11"/>
  <c r="AE167" i="11"/>
  <c r="AE159" i="11"/>
  <c r="AE151" i="11"/>
  <c r="AE143" i="11"/>
  <c r="AE135" i="11"/>
  <c r="AE127" i="11"/>
  <c r="AE119" i="11"/>
  <c r="AE111" i="11"/>
  <c r="AE103" i="11"/>
  <c r="AE95" i="11"/>
  <c r="AE87" i="11"/>
  <c r="AE79" i="11"/>
  <c r="AE71" i="11"/>
  <c r="AE63" i="11"/>
  <c r="AE55" i="11"/>
  <c r="AE47" i="11"/>
  <c r="AE39" i="11"/>
  <c r="AE31" i="11"/>
  <c r="AE23" i="11"/>
  <c r="AE15" i="11"/>
  <c r="AE448" i="11"/>
  <c r="AE416" i="11"/>
  <c r="AE384" i="11"/>
  <c r="AE352" i="11"/>
  <c r="AE324" i="11"/>
  <c r="AE308" i="11"/>
  <c r="AE293" i="11"/>
  <c r="AE280" i="11"/>
  <c r="AE271" i="11"/>
  <c r="AE262" i="11"/>
  <c r="AE254" i="11"/>
  <c r="AE246" i="11"/>
  <c r="AE238" i="11"/>
  <c r="AE230" i="11"/>
  <c r="AE222" i="11"/>
  <c r="AE214" i="11"/>
  <c r="AE206" i="11"/>
  <c r="AE198" i="11"/>
  <c r="AE190" i="11"/>
  <c r="AE182" i="11"/>
  <c r="AE174" i="11"/>
  <c r="AE166" i="11"/>
  <c r="AE158" i="11"/>
  <c r="AE150" i="11"/>
  <c r="AE142" i="11"/>
  <c r="AE134" i="11"/>
  <c r="AE126" i="11"/>
  <c r="AE118" i="11"/>
  <c r="AE110" i="11"/>
  <c r="AE102" i="11"/>
  <c r="AE94" i="11"/>
  <c r="AE86" i="11"/>
  <c r="AE78" i="11"/>
  <c r="AE70" i="11"/>
  <c r="AE62" i="11"/>
  <c r="AE54" i="11"/>
  <c r="AE46" i="11"/>
  <c r="AE38" i="11"/>
  <c r="AE30" i="11"/>
  <c r="AE22" i="11"/>
  <c r="AE14" i="11"/>
  <c r="AE446" i="11"/>
  <c r="AE414" i="11"/>
  <c r="AE382" i="11"/>
  <c r="AE350" i="11"/>
  <c r="AE323" i="11"/>
  <c r="AE307" i="11"/>
  <c r="AE292" i="11"/>
  <c r="AE279" i="11"/>
  <c r="AE270" i="11"/>
  <c r="AE261" i="11"/>
  <c r="AE253" i="11"/>
  <c r="AE245" i="11"/>
  <c r="AE237" i="11"/>
  <c r="AE229" i="11"/>
  <c r="AE221" i="11"/>
  <c r="AE213" i="11"/>
  <c r="AE205" i="11"/>
  <c r="AE197" i="11"/>
  <c r="AE189" i="11"/>
  <c r="AE181" i="11"/>
  <c r="AE173" i="11"/>
  <c r="AE165" i="11"/>
  <c r="AE157" i="11"/>
  <c r="AE149" i="11"/>
  <c r="AE141" i="11"/>
  <c r="AE133" i="11"/>
  <c r="AE125" i="11"/>
  <c r="AE117" i="11"/>
  <c r="AE109" i="11"/>
  <c r="AE101" i="11"/>
  <c r="AE93" i="11"/>
  <c r="AE85" i="11"/>
  <c r="AE77" i="11"/>
  <c r="AE69" i="11"/>
  <c r="AE61" i="11"/>
  <c r="AE53" i="11"/>
  <c r="AE45" i="11"/>
  <c r="AE37" i="11"/>
  <c r="AE29" i="11"/>
  <c r="AE21" i="11"/>
  <c r="AE13" i="11"/>
  <c r="AE440" i="11"/>
  <c r="AE408" i="11"/>
  <c r="AE376" i="11"/>
  <c r="AE344" i="11"/>
  <c r="AE320" i="11"/>
  <c r="AE304" i="11"/>
  <c r="AE291" i="11"/>
  <c r="AE278" i="11"/>
  <c r="AE269" i="11"/>
  <c r="AE260" i="11"/>
  <c r="AE252" i="11"/>
  <c r="AE244" i="11"/>
  <c r="AE236" i="11"/>
  <c r="AE228" i="11"/>
  <c r="AE220" i="11"/>
  <c r="AE212" i="11"/>
  <c r="AE204" i="11"/>
  <c r="AE196" i="11"/>
  <c r="AE188" i="11"/>
  <c r="AE180" i="11"/>
  <c r="AE172" i="11"/>
  <c r="AE164" i="11"/>
  <c r="AE156" i="11"/>
  <c r="AE148" i="11"/>
  <c r="AE140" i="11"/>
  <c r="AE132" i="11"/>
  <c r="AE124" i="11"/>
  <c r="AE116" i="11"/>
  <c r="AE108" i="11"/>
  <c r="AE100" i="11"/>
  <c r="AE92" i="11"/>
  <c r="AE84" i="11"/>
  <c r="AE76" i="11"/>
  <c r="AE68" i="11"/>
  <c r="AE60" i="11"/>
  <c r="AE52" i="11"/>
  <c r="AE44" i="11"/>
  <c r="AE36" i="11"/>
  <c r="AE28" i="11"/>
  <c r="AE20" i="11"/>
  <c r="AE12" i="11"/>
  <c r="AE478" i="11"/>
  <c r="AE438" i="11"/>
  <c r="AE406" i="11"/>
  <c r="AE374" i="11"/>
  <c r="AE342" i="11"/>
  <c r="AE318" i="11"/>
  <c r="AE302" i="11"/>
  <c r="AE288" i="11"/>
  <c r="AE277" i="11"/>
  <c r="AE268" i="11"/>
  <c r="AE259" i="11"/>
  <c r="AE251" i="11"/>
  <c r="AE243" i="11"/>
  <c r="AE235" i="11"/>
  <c r="AE227" i="11"/>
  <c r="AE219" i="11"/>
  <c r="AE211" i="11"/>
  <c r="AE203" i="11"/>
  <c r="AE195" i="11"/>
  <c r="AE187" i="11"/>
  <c r="AE179" i="11"/>
  <c r="AE171" i="11"/>
  <c r="AE163" i="11"/>
  <c r="AE155" i="11"/>
  <c r="AE147" i="11"/>
  <c r="AE139" i="11"/>
  <c r="AE131" i="11"/>
  <c r="AE123" i="11"/>
  <c r="AE115" i="11"/>
  <c r="AE107" i="11"/>
  <c r="AE99" i="11"/>
  <c r="AE91" i="11"/>
  <c r="AE83" i="11"/>
  <c r="AE75" i="11"/>
  <c r="AE67" i="11"/>
  <c r="AE59" i="11"/>
  <c r="AE51" i="11"/>
  <c r="AE43" i="11"/>
  <c r="AE35" i="11"/>
  <c r="AE27" i="11"/>
  <c r="AE19" i="11"/>
  <c r="AE11" i="11"/>
  <c r="AE470" i="11"/>
  <c r="AE432" i="11"/>
  <c r="AE400" i="11"/>
  <c r="AE368" i="11"/>
  <c r="AE336" i="11"/>
  <c r="AE316" i="11"/>
  <c r="AE300" i="11"/>
  <c r="AE286" i="11"/>
  <c r="AE276" i="11"/>
  <c r="AE267" i="11"/>
  <c r="AE258" i="11"/>
  <c r="AE250" i="11"/>
  <c r="AE242" i="11"/>
  <c r="AE234" i="11"/>
  <c r="AE226" i="11"/>
  <c r="AE218" i="11"/>
  <c r="AE210" i="11"/>
  <c r="AE202" i="11"/>
  <c r="AE194" i="11"/>
  <c r="AE186" i="11"/>
  <c r="AE178" i="11"/>
  <c r="AE170" i="11"/>
  <c r="AE162" i="11"/>
  <c r="AE154" i="11"/>
  <c r="AE146" i="11"/>
  <c r="AE138" i="11"/>
  <c r="AE130" i="11"/>
  <c r="AE122" i="11"/>
  <c r="AE114" i="11"/>
  <c r="AE106" i="11"/>
  <c r="AE98" i="11"/>
  <c r="AE90" i="11"/>
  <c r="AE82" i="11"/>
  <c r="AE74" i="11"/>
  <c r="AE66" i="11"/>
  <c r="AE58" i="11"/>
  <c r="AE50" i="11"/>
  <c r="AE42" i="11"/>
  <c r="AE34" i="11"/>
  <c r="AE26" i="11"/>
  <c r="AE18" i="11"/>
  <c r="AE10" i="11"/>
  <c r="AE462" i="11"/>
  <c r="AE430" i="11"/>
  <c r="AE398" i="11"/>
  <c r="AE366" i="11"/>
  <c r="AE334" i="11"/>
  <c r="AE315" i="11"/>
  <c r="AE299" i="11"/>
  <c r="AE285" i="11"/>
  <c r="AE275" i="11"/>
  <c r="AE265" i="11"/>
  <c r="AE257" i="11"/>
  <c r="AE249" i="11"/>
  <c r="AE241" i="11"/>
  <c r="AE233" i="11"/>
  <c r="AE225" i="11"/>
  <c r="AE217" i="11"/>
  <c r="AE209" i="11"/>
  <c r="AE201" i="11"/>
  <c r="AE193" i="11"/>
  <c r="AE185" i="11"/>
  <c r="AE177" i="11"/>
  <c r="AE169" i="11"/>
  <c r="AE161" i="11"/>
  <c r="AE153" i="11"/>
  <c r="AE145" i="11"/>
  <c r="AE137" i="11"/>
  <c r="AE129" i="11"/>
  <c r="AE121" i="11"/>
  <c r="AE113" i="11"/>
  <c r="AE105" i="11"/>
  <c r="AE97" i="11"/>
  <c r="AE89" i="11"/>
  <c r="AE81" i="11"/>
  <c r="AE73" i="11"/>
  <c r="AE65" i="11"/>
  <c r="AE57" i="11"/>
  <c r="AE49" i="11"/>
  <c r="AE41" i="11"/>
  <c r="AE33" i="11"/>
  <c r="AE25" i="11"/>
  <c r="AE17" i="11"/>
  <c r="AG9" i="11"/>
  <c r="AF9" i="11"/>
  <c r="AH9" i="11"/>
  <c r="AE9" i="11"/>
  <c r="AK76" i="11"/>
  <c r="AK80" i="11"/>
  <c r="AK84" i="11"/>
  <c r="AK88" i="11"/>
  <c r="AK92" i="11"/>
  <c r="AK96" i="11"/>
  <c r="AK100" i="11"/>
  <c r="AK104" i="11"/>
  <c r="AK108" i="11"/>
  <c r="AK112" i="11"/>
  <c r="AK116" i="11"/>
  <c r="AK120" i="11"/>
  <c r="AK124" i="11"/>
  <c r="AK128" i="11"/>
  <c r="AK132" i="11"/>
  <c r="AK136" i="11"/>
  <c r="AK140" i="11"/>
  <c r="AK144" i="11"/>
  <c r="AK148" i="11"/>
  <c r="AK152" i="11"/>
  <c r="AK156" i="11"/>
  <c r="AK160" i="11"/>
  <c r="AK164" i="11"/>
  <c r="AK168" i="11"/>
  <c r="AK172" i="11"/>
  <c r="AK176" i="11"/>
  <c r="AK180" i="11"/>
  <c r="AK184" i="11"/>
  <c r="AK188" i="11"/>
  <c r="AK192" i="11"/>
  <c r="AK196" i="11"/>
  <c r="AK200" i="11"/>
  <c r="AK204" i="11"/>
  <c r="AK208" i="11"/>
  <c r="AK212" i="11"/>
  <c r="AK216" i="11"/>
  <c r="AK220" i="11"/>
  <c r="AK224" i="11"/>
  <c r="AK228" i="11"/>
  <c r="AK232" i="11"/>
  <c r="AK236" i="11"/>
  <c r="AK240" i="11"/>
  <c r="AK244" i="11"/>
  <c r="AK248" i="11"/>
  <c r="AK252" i="11"/>
  <c r="AK256" i="11"/>
  <c r="AK260" i="11"/>
  <c r="AK264" i="11"/>
  <c r="AK268" i="11"/>
  <c r="AK272" i="11"/>
  <c r="AK276" i="11"/>
  <c r="AK280" i="11"/>
  <c r="AK284" i="11"/>
  <c r="AK288" i="11"/>
  <c r="AK292" i="11"/>
  <c r="AK296" i="11"/>
  <c r="AK300" i="11"/>
  <c r="AK304" i="11"/>
  <c r="AK308" i="11"/>
  <c r="AK312" i="11"/>
  <c r="AK316" i="11"/>
  <c r="AK320" i="11"/>
  <c r="AK324" i="11"/>
  <c r="AK328" i="11"/>
  <c r="AK332" i="11"/>
  <c r="AK336" i="11"/>
  <c r="AK340" i="11"/>
  <c r="AK344" i="11"/>
  <c r="AK348" i="11"/>
  <c r="AK352" i="11"/>
  <c r="AK356" i="11"/>
  <c r="AK360" i="11"/>
  <c r="AK364" i="11"/>
  <c r="AK368" i="11"/>
  <c r="AK372" i="11"/>
  <c r="AK376" i="11"/>
  <c r="AK380" i="11"/>
  <c r="AK384" i="11"/>
  <c r="AK388" i="11"/>
  <c r="AK392" i="11"/>
  <c r="AK396" i="11"/>
  <c r="AK400" i="11"/>
  <c r="AK404" i="11"/>
  <c r="AK408" i="11"/>
  <c r="AK412" i="11"/>
  <c r="AK416" i="11"/>
  <c r="AK420" i="11"/>
  <c r="AK424" i="11"/>
  <c r="AK428" i="11"/>
  <c r="AK432" i="11"/>
  <c r="AK436" i="11"/>
  <c r="AK440" i="11"/>
  <c r="AK444" i="11"/>
  <c r="AK448" i="11"/>
  <c r="AK452" i="11"/>
  <c r="AK456" i="11"/>
  <c r="AK460" i="11"/>
  <c r="AK464" i="11"/>
  <c r="AK468" i="11"/>
  <c r="AK472" i="11"/>
  <c r="AK476" i="11"/>
  <c r="AK480" i="11"/>
  <c r="AK484" i="11"/>
  <c r="AK488" i="11"/>
  <c r="AK492" i="11"/>
  <c r="AK496" i="11"/>
  <c r="AK500" i="11"/>
  <c r="AK504" i="11"/>
  <c r="AK508" i="11"/>
  <c r="AK512" i="11"/>
  <c r="AK516" i="11"/>
  <c r="AK520" i="11"/>
  <c r="AK524" i="11"/>
  <c r="AK528" i="11"/>
  <c r="AK532" i="11"/>
  <c r="AK536" i="11"/>
  <c r="AK540" i="11"/>
  <c r="AK544" i="11"/>
  <c r="AK548" i="11"/>
  <c r="AK552" i="11"/>
  <c r="AK556" i="11"/>
  <c r="AK560" i="11"/>
  <c r="AK564" i="11"/>
  <c r="AK568" i="11"/>
  <c r="AK572" i="11"/>
  <c r="AK576" i="11"/>
  <c r="AK580" i="11"/>
  <c r="AK584" i="11"/>
  <c r="AK588" i="11"/>
  <c r="AK592" i="11"/>
  <c r="AK596" i="11"/>
  <c r="AK600" i="11"/>
  <c r="AK604" i="11"/>
  <c r="AK608" i="11"/>
  <c r="AK612" i="11"/>
  <c r="AK616" i="11"/>
  <c r="AK620" i="11"/>
  <c r="AK624" i="11"/>
  <c r="AK628" i="11"/>
  <c r="AK632" i="11"/>
  <c r="AK636" i="11"/>
  <c r="AK640" i="11"/>
  <c r="AK644" i="11"/>
  <c r="AK648" i="11"/>
  <c r="AK79" i="11"/>
  <c r="AK83" i="11"/>
  <c r="AK87" i="11"/>
  <c r="AK91" i="11"/>
  <c r="AK95" i="11"/>
  <c r="AK99" i="11"/>
  <c r="AK103" i="11"/>
  <c r="AK107" i="11"/>
  <c r="AK111" i="11"/>
  <c r="AK115" i="11"/>
  <c r="AK119" i="11"/>
  <c r="AK123" i="11"/>
  <c r="AK127" i="11"/>
  <c r="AK131" i="11"/>
  <c r="AK135" i="11"/>
  <c r="AK139" i="11"/>
  <c r="AK143" i="11"/>
  <c r="AK147" i="11"/>
  <c r="AK151" i="11"/>
  <c r="AK155" i="11"/>
  <c r="AK159" i="11"/>
  <c r="AK163" i="11"/>
  <c r="AK167" i="11"/>
  <c r="AK171" i="11"/>
  <c r="AK175" i="11"/>
  <c r="AK179" i="11"/>
  <c r="AK183" i="11"/>
  <c r="AK187" i="11"/>
  <c r="AK191" i="11"/>
  <c r="AK195" i="11"/>
  <c r="AK199" i="11"/>
  <c r="AK203" i="11"/>
  <c r="AK207" i="11"/>
  <c r="AK211" i="11"/>
  <c r="AK215" i="11"/>
  <c r="AK219" i="11"/>
  <c r="AK223" i="11"/>
  <c r="AK227" i="11"/>
  <c r="AK231" i="11"/>
  <c r="AK235" i="11"/>
  <c r="AK239" i="11"/>
  <c r="AK243" i="11"/>
  <c r="AK247" i="11"/>
  <c r="AK251" i="11"/>
  <c r="AK255" i="11"/>
  <c r="AK259" i="11"/>
  <c r="AK263" i="11"/>
  <c r="AK267" i="11"/>
  <c r="AK271" i="11"/>
  <c r="AK275" i="11"/>
  <c r="AK279" i="11"/>
  <c r="AK283" i="11"/>
  <c r="AK287" i="11"/>
  <c r="AK291" i="11"/>
  <c r="AK295" i="11"/>
  <c r="AK299" i="11"/>
  <c r="AK303" i="11"/>
  <c r="AK307" i="11"/>
  <c r="AK311" i="11"/>
  <c r="AK315" i="11"/>
  <c r="AK319" i="11"/>
  <c r="AK323" i="11"/>
  <c r="AK327" i="11"/>
  <c r="AK331" i="11"/>
  <c r="AK335" i="11"/>
  <c r="AK339" i="11"/>
  <c r="AK343" i="11"/>
  <c r="AK347" i="11"/>
  <c r="AK351" i="11"/>
  <c r="AK355" i="11"/>
  <c r="AK359" i="11"/>
  <c r="AK363" i="11"/>
  <c r="AK367" i="11"/>
  <c r="AK371" i="11"/>
  <c r="AK375" i="11"/>
  <c r="AK379" i="11"/>
  <c r="AK383" i="11"/>
  <c r="AK387" i="11"/>
  <c r="AK391" i="11"/>
  <c r="AK395" i="11"/>
  <c r="AK399" i="11"/>
  <c r="AK403" i="11"/>
  <c r="AK407" i="11"/>
  <c r="AK411" i="11"/>
  <c r="AK415" i="11"/>
  <c r="AK419" i="11"/>
  <c r="AK423" i="11"/>
  <c r="AK427" i="11"/>
  <c r="AK431" i="11"/>
  <c r="AK435" i="11"/>
  <c r="AK439" i="11"/>
  <c r="AK443" i="11"/>
  <c r="AK447" i="11"/>
  <c r="AK451" i="11"/>
  <c r="AK455" i="11"/>
  <c r="AK459" i="11"/>
  <c r="AK463" i="11"/>
  <c r="AK467" i="11"/>
  <c r="AK471" i="11"/>
  <c r="AK475" i="11"/>
  <c r="AK479" i="11"/>
  <c r="AK483" i="11"/>
  <c r="AK487" i="11"/>
  <c r="AK491" i="11"/>
  <c r="AK495" i="11"/>
  <c r="AK499" i="11"/>
  <c r="AK503" i="11"/>
  <c r="AK507" i="11"/>
  <c r="AK511" i="11"/>
  <c r="AK515" i="11"/>
  <c r="AK519" i="11"/>
  <c r="AK523" i="11"/>
  <c r="AK527" i="11"/>
  <c r="AK531" i="11"/>
  <c r="AK535" i="11"/>
  <c r="AK539" i="11"/>
  <c r="AK543" i="11"/>
  <c r="AK547" i="11"/>
  <c r="AK551" i="11"/>
  <c r="AK555" i="11"/>
  <c r="AK559" i="11"/>
  <c r="AK563" i="11"/>
  <c r="AK567" i="11"/>
  <c r="AK571" i="11"/>
  <c r="AK575" i="11"/>
  <c r="AK579" i="11"/>
  <c r="AK583" i="11"/>
  <c r="AK587" i="11"/>
  <c r="AK591" i="11"/>
  <c r="AK595" i="11"/>
  <c r="AK599" i="11"/>
  <c r="AK603" i="11"/>
  <c r="AK607" i="11"/>
  <c r="AK611" i="11"/>
  <c r="AK615" i="11"/>
  <c r="AK619" i="11"/>
  <c r="AK623" i="11"/>
  <c r="AK627" i="11"/>
  <c r="AK631" i="11"/>
  <c r="AK635" i="11"/>
  <c r="AK639" i="11"/>
  <c r="AK643" i="11"/>
  <c r="AK647" i="11"/>
  <c r="AK78" i="11"/>
  <c r="AK82" i="11"/>
  <c r="AK86" i="11"/>
  <c r="AK90" i="11"/>
  <c r="AK94" i="11"/>
  <c r="AK98" i="11"/>
  <c r="AK102" i="11"/>
  <c r="AK106" i="11"/>
  <c r="AK110" i="11"/>
  <c r="AK114" i="11"/>
  <c r="AK118" i="11"/>
  <c r="AK122" i="11"/>
  <c r="AK126" i="11"/>
  <c r="AK130" i="11"/>
  <c r="AK134" i="11"/>
  <c r="AK138" i="11"/>
  <c r="AK142" i="11"/>
  <c r="AK146" i="11"/>
  <c r="AK150" i="11"/>
  <c r="AK154" i="11"/>
  <c r="AK158" i="11"/>
  <c r="AK162" i="11"/>
  <c r="AK166" i="11"/>
  <c r="AK170" i="11"/>
  <c r="AK174" i="11"/>
  <c r="AK178" i="11"/>
  <c r="AK182" i="11"/>
  <c r="AK186" i="11"/>
  <c r="AK190" i="11"/>
  <c r="AK194" i="11"/>
  <c r="AK198" i="11"/>
  <c r="AK202" i="11"/>
  <c r="AK206" i="11"/>
  <c r="AK210" i="11"/>
  <c r="AK214" i="11"/>
  <c r="AK218" i="11"/>
  <c r="AK222" i="11"/>
  <c r="AK226" i="11"/>
  <c r="AK230" i="11"/>
  <c r="AK234" i="11"/>
  <c r="AK238" i="11"/>
  <c r="AK242" i="11"/>
  <c r="AK246" i="11"/>
  <c r="AK250" i="11"/>
  <c r="AK254" i="11"/>
  <c r="AK258" i="11"/>
  <c r="AK262" i="11"/>
  <c r="AK266" i="11"/>
  <c r="AK270" i="11"/>
  <c r="AK274" i="11"/>
  <c r="AK278" i="11"/>
  <c r="AK282" i="11"/>
  <c r="AK286" i="11"/>
  <c r="AK290" i="11"/>
  <c r="AK294" i="11"/>
  <c r="AK298" i="11"/>
  <c r="AK302" i="11"/>
  <c r="AK306" i="11"/>
  <c r="AK310" i="11"/>
  <c r="AK314" i="11"/>
  <c r="AK318" i="11"/>
  <c r="AK322" i="11"/>
  <c r="AK326" i="11"/>
  <c r="AK330" i="11"/>
  <c r="AK334" i="11"/>
  <c r="AK338" i="11"/>
  <c r="AK342" i="11"/>
  <c r="AK346" i="11"/>
  <c r="AK350" i="11"/>
  <c r="AK354" i="11"/>
  <c r="AK358" i="11"/>
  <c r="AK362" i="11"/>
  <c r="AK366" i="11"/>
  <c r="AK370" i="11"/>
  <c r="AK374" i="11"/>
  <c r="AK378" i="11"/>
  <c r="AK382" i="11"/>
  <c r="AK386" i="11"/>
  <c r="AK390" i="11"/>
  <c r="AK394" i="11"/>
  <c r="AK398" i="11"/>
  <c r="AK402" i="11"/>
  <c r="AK406" i="11"/>
  <c r="AK410" i="11"/>
  <c r="AK414" i="11"/>
  <c r="AK418" i="11"/>
  <c r="AK422" i="11"/>
  <c r="AK426" i="11"/>
  <c r="AK430" i="11"/>
  <c r="AK434" i="11"/>
  <c r="AK438" i="11"/>
  <c r="AK442" i="11"/>
  <c r="AK446" i="11"/>
  <c r="AK450" i="11"/>
  <c r="AK454" i="11"/>
  <c r="AK458" i="11"/>
  <c r="AK462" i="11"/>
  <c r="AK466" i="11"/>
  <c r="AK470" i="11"/>
  <c r="AK474" i="11"/>
  <c r="AK478" i="11"/>
  <c r="AK482" i="11"/>
  <c r="AK486" i="11"/>
  <c r="AK490" i="11"/>
  <c r="AK494" i="11"/>
  <c r="AK498" i="11"/>
  <c r="AK502" i="11"/>
  <c r="AK506" i="11"/>
  <c r="AK510" i="11"/>
  <c r="AK514" i="11"/>
  <c r="AK518" i="11"/>
  <c r="AK522" i="11"/>
  <c r="AK526" i="11"/>
  <c r="AK530" i="11"/>
  <c r="AK534" i="11"/>
  <c r="AK538" i="11"/>
  <c r="AK542" i="11"/>
  <c r="AK546" i="11"/>
  <c r="AK550" i="11"/>
  <c r="AK554" i="11"/>
  <c r="AK558" i="11"/>
  <c r="AK562" i="11"/>
  <c r="AK566" i="11"/>
  <c r="AK570" i="11"/>
  <c r="AK574" i="11"/>
  <c r="AK578" i="11"/>
  <c r="AK582" i="11"/>
  <c r="AK586" i="11"/>
  <c r="AK590" i="11"/>
  <c r="AK594" i="11"/>
  <c r="AK598" i="11"/>
  <c r="AK602" i="11"/>
  <c r="AK606" i="11"/>
  <c r="AK610" i="11"/>
  <c r="AK614" i="11"/>
  <c r="AK618" i="11"/>
  <c r="AK622" i="11"/>
  <c r="AK626" i="11"/>
  <c r="AK630" i="11"/>
  <c r="AK634" i="11"/>
  <c r="AK638" i="11"/>
  <c r="AK642" i="11"/>
  <c r="AK646" i="11"/>
  <c r="AK650" i="11"/>
  <c r="AK65" i="11"/>
  <c r="AK69" i="11"/>
  <c r="AK73" i="11"/>
  <c r="AK77" i="11"/>
  <c r="AK81" i="11"/>
  <c r="AK85" i="11"/>
  <c r="AK89" i="11"/>
  <c r="AK93" i="11"/>
  <c r="AK97" i="11"/>
  <c r="AK101" i="11"/>
  <c r="AK105" i="11"/>
  <c r="AK109" i="11"/>
  <c r="AK113" i="11"/>
  <c r="AK117" i="11"/>
  <c r="AK121" i="11"/>
  <c r="AK125" i="11"/>
  <c r="AK129" i="11"/>
  <c r="AK133" i="11"/>
  <c r="AK137" i="11"/>
  <c r="AK141" i="11"/>
  <c r="AK145" i="11"/>
  <c r="AK149" i="11"/>
  <c r="AK153" i="11"/>
  <c r="AK157" i="11"/>
  <c r="AK161" i="11"/>
  <c r="AK165" i="11"/>
  <c r="AK169" i="11"/>
  <c r="AK173" i="11"/>
  <c r="AK177" i="11"/>
  <c r="AK181" i="11"/>
  <c r="AK185" i="11"/>
  <c r="AK189" i="11"/>
  <c r="AK193" i="11"/>
  <c r="AK197" i="11"/>
  <c r="AK201" i="11"/>
  <c r="AK205" i="11"/>
  <c r="AK209" i="11"/>
  <c r="AK213" i="11"/>
  <c r="AK217" i="11"/>
  <c r="AK221" i="11"/>
  <c r="AK225" i="11"/>
  <c r="AK229" i="11"/>
  <c r="AK233" i="11"/>
  <c r="AK237" i="11"/>
  <c r="AK241" i="11"/>
  <c r="AK245" i="11"/>
  <c r="AK249" i="11"/>
  <c r="AK253" i="11"/>
  <c r="AK257" i="11"/>
  <c r="AK261" i="11"/>
  <c r="AK265" i="11"/>
  <c r="AK269" i="11"/>
  <c r="AK273" i="11"/>
  <c r="AK277" i="11"/>
  <c r="AK281" i="11"/>
  <c r="AK285" i="11"/>
  <c r="AK289" i="11"/>
  <c r="AK293" i="11"/>
  <c r="AK297" i="11"/>
  <c r="AK301" i="11"/>
  <c r="AK305" i="11"/>
  <c r="AK309" i="11"/>
  <c r="AK313" i="11"/>
  <c r="AK317" i="11"/>
  <c r="AK321" i="11"/>
  <c r="AK325" i="11"/>
  <c r="AK329" i="11"/>
  <c r="AK333" i="11"/>
  <c r="AK337" i="11"/>
  <c r="AK341" i="11"/>
  <c r="AK345" i="11"/>
  <c r="AK349" i="11"/>
  <c r="AK353" i="11"/>
  <c r="AK357" i="11"/>
  <c r="AK361" i="11"/>
  <c r="AK365" i="11"/>
  <c r="AK369" i="11"/>
  <c r="AK373" i="11"/>
  <c r="AK377" i="11"/>
  <c r="AK381" i="11"/>
  <c r="AK385" i="11"/>
  <c r="AK389" i="11"/>
  <c r="AK393" i="11"/>
  <c r="AK397" i="11"/>
  <c r="AK401" i="11"/>
  <c r="AK405" i="11"/>
  <c r="AK409" i="11"/>
  <c r="AK413" i="11"/>
  <c r="AK417" i="11"/>
  <c r="AK421" i="11"/>
  <c r="AK425" i="11"/>
  <c r="AK429" i="11"/>
  <c r="AK433" i="11"/>
  <c r="AK437" i="11"/>
  <c r="AK441" i="11"/>
  <c r="AK445" i="11"/>
  <c r="AK449" i="11"/>
  <c r="AK453" i="11"/>
  <c r="AK457" i="11"/>
  <c r="AK461" i="11"/>
  <c r="AK465" i="11"/>
  <c r="AK469" i="11"/>
  <c r="AK473" i="11"/>
  <c r="AK477" i="11"/>
  <c r="AK481" i="11"/>
  <c r="AK485" i="11"/>
  <c r="AK489" i="11"/>
  <c r="AK493" i="11"/>
  <c r="AK497" i="11"/>
  <c r="AK501" i="11"/>
  <c r="AK505" i="11"/>
  <c r="AK509" i="11"/>
  <c r="AK513" i="11"/>
  <c r="AK517" i="11"/>
  <c r="AK521" i="11"/>
  <c r="AK525" i="11"/>
  <c r="AK529" i="11"/>
  <c r="AK533" i="11"/>
  <c r="AK537" i="11"/>
  <c r="AK541" i="11"/>
  <c r="AK545" i="11"/>
  <c r="AK549" i="11"/>
  <c r="AK553" i="11"/>
  <c r="AK557" i="11"/>
  <c r="AK561" i="11"/>
  <c r="AK565" i="11"/>
  <c r="AK569" i="11"/>
  <c r="AK573" i="11"/>
  <c r="AK577" i="11"/>
  <c r="AK581" i="11"/>
  <c r="AK585" i="11"/>
  <c r="AK589" i="11"/>
  <c r="AK593" i="11"/>
  <c r="AK597" i="11"/>
  <c r="AK601" i="11"/>
  <c r="AK605" i="11"/>
  <c r="AK609" i="11"/>
  <c r="AK613" i="11"/>
  <c r="AK617" i="11"/>
  <c r="AK621" i="11"/>
  <c r="AK625" i="11"/>
  <c r="AK629" i="11"/>
  <c r="AK633" i="11"/>
  <c r="AK637" i="11"/>
  <c r="AK641" i="11"/>
  <c r="AK645" i="11"/>
  <c r="AK649" i="11"/>
  <c r="AK72" i="11"/>
  <c r="AK68" i="11"/>
  <c r="AK75" i="11"/>
  <c r="AK67" i="11"/>
  <c r="AK71" i="11"/>
  <c r="AK66" i="11"/>
  <c r="AK70" i="11"/>
  <c r="AK74" i="11"/>
  <c r="AK62" i="11"/>
  <c r="AK54" i="11"/>
  <c r="AK38" i="11"/>
  <c r="AK61" i="11"/>
  <c r="AK53" i="11"/>
  <c r="AK45" i="11"/>
  <c r="AK37" i="11"/>
  <c r="AK29" i="11"/>
  <c r="AK21" i="11"/>
  <c r="AK60" i="11"/>
  <c r="AK52" i="11"/>
  <c r="AK44" i="11"/>
  <c r="AK36" i="11"/>
  <c r="AK59" i="11"/>
  <c r="AK51" i="11"/>
  <c r="AK43" i="11"/>
  <c r="AK35" i="11"/>
  <c r="AK27" i="11"/>
  <c r="AK19" i="11"/>
  <c r="AK11" i="11"/>
  <c r="AK20" i="11"/>
  <c r="AK12" i="11"/>
  <c r="AK58" i="11"/>
  <c r="AK50" i="11"/>
  <c r="AK42" i="11"/>
  <c r="AK34" i="11"/>
  <c r="AK26" i="11"/>
  <c r="AK18" i="11"/>
  <c r="AK10" i="11"/>
  <c r="AK40" i="11"/>
  <c r="AK32" i="11"/>
  <c r="AK24" i="11"/>
  <c r="AK16" i="11"/>
  <c r="AK8" i="11"/>
  <c r="AK55" i="11"/>
  <c r="AK47" i="11"/>
  <c r="AK39" i="11"/>
  <c r="AK31" i="11"/>
  <c r="AK23" i="11"/>
  <c r="AK15" i="11"/>
  <c r="AK57" i="11"/>
  <c r="AK49" i="11"/>
  <c r="AK41" i="11"/>
  <c r="AK33" i="11"/>
  <c r="AK25" i="11"/>
  <c r="AK17" i="11"/>
  <c r="AK9" i="11"/>
  <c r="AK56" i="11"/>
  <c r="AK48" i="11"/>
  <c r="AK7" i="11"/>
  <c r="AK30" i="11"/>
  <c r="AK22" i="11"/>
  <c r="AK6" i="11"/>
  <c r="AK5" i="11"/>
  <c r="AK28" i="11"/>
  <c r="AK64" i="11"/>
  <c r="AK46" i="11"/>
  <c r="AK14" i="11"/>
  <c r="AK13" i="11"/>
  <c r="AK63" i="11"/>
  <c r="AJ19" i="11"/>
  <c r="AJ23" i="11"/>
  <c r="AJ27" i="11"/>
  <c r="AJ31" i="11"/>
  <c r="AJ39" i="11"/>
  <c r="AJ47" i="11"/>
  <c r="AJ51" i="11"/>
  <c r="AJ55" i="11"/>
  <c r="AJ63" i="11"/>
  <c r="AJ71" i="11"/>
  <c r="AJ75" i="11"/>
  <c r="AJ79" i="11"/>
  <c r="AJ83" i="11"/>
  <c r="AJ87" i="11"/>
  <c r="AJ91" i="11"/>
  <c r="AJ95" i="11"/>
  <c r="AJ99" i="11"/>
  <c r="AJ103" i="11"/>
  <c r="AJ107" i="11"/>
  <c r="AJ111" i="11"/>
  <c r="AJ115" i="11"/>
  <c r="AJ119" i="11"/>
  <c r="AJ123" i="11"/>
  <c r="AJ127" i="11"/>
  <c r="AJ131" i="11"/>
  <c r="AJ135" i="11"/>
  <c r="AJ139" i="11"/>
  <c r="AJ143" i="11"/>
  <c r="AJ147" i="11"/>
  <c r="AJ151" i="11"/>
  <c r="AJ155" i="11"/>
  <c r="AJ159" i="11"/>
  <c r="AJ163" i="11"/>
  <c r="AJ167" i="11"/>
  <c r="AJ171" i="11"/>
  <c r="AJ175" i="11"/>
  <c r="AJ179" i="11"/>
  <c r="AJ183" i="11"/>
  <c r="AJ187" i="11"/>
  <c r="AJ191" i="11"/>
  <c r="AJ195" i="11"/>
  <c r="AJ199" i="11"/>
  <c r="AJ203" i="11"/>
  <c r="AJ207" i="11"/>
  <c r="AJ211" i="11"/>
  <c r="AJ215" i="11"/>
  <c r="AJ219" i="11"/>
  <c r="AJ223" i="11"/>
  <c r="AJ227" i="11"/>
  <c r="AJ231" i="11"/>
  <c r="AJ235" i="11"/>
  <c r="AJ239" i="11"/>
  <c r="AJ243" i="11"/>
  <c r="AJ247" i="11"/>
  <c r="AJ251" i="11"/>
  <c r="AJ255" i="11"/>
  <c r="AJ259" i="11"/>
  <c r="AJ263" i="11"/>
  <c r="AJ267" i="11"/>
  <c r="AJ271" i="11"/>
  <c r="AJ275" i="11"/>
  <c r="AJ279" i="11"/>
  <c r="AJ283" i="11"/>
  <c r="AJ287" i="11"/>
  <c r="AJ291" i="11"/>
  <c r="AJ295" i="11"/>
  <c r="AJ299" i="11"/>
  <c r="AJ303" i="11"/>
  <c r="AJ307" i="11"/>
  <c r="AJ311" i="11"/>
  <c r="AJ315" i="11"/>
  <c r="AJ319" i="11"/>
  <c r="AJ323" i="11"/>
  <c r="AJ327" i="11"/>
  <c r="AJ331" i="11"/>
  <c r="AJ335" i="11"/>
  <c r="AJ339" i="11"/>
  <c r="AJ343" i="11"/>
  <c r="AJ347" i="11"/>
  <c r="AJ351" i="11"/>
  <c r="AJ355" i="11"/>
  <c r="AJ359" i="11"/>
  <c r="AJ363" i="11"/>
  <c r="AJ367" i="11"/>
  <c r="AJ371" i="11"/>
  <c r="AJ375" i="11"/>
  <c r="AJ379" i="11"/>
  <c r="AJ383" i="11"/>
  <c r="AJ387" i="11"/>
  <c r="AJ391" i="11"/>
  <c r="AJ395" i="11"/>
  <c r="AJ399" i="11"/>
  <c r="AJ403" i="11"/>
  <c r="AJ407" i="11"/>
  <c r="AJ411" i="11"/>
  <c r="AJ415" i="11"/>
  <c r="AJ419" i="11"/>
  <c r="AJ423" i="11"/>
  <c r="AJ427" i="11"/>
  <c r="AJ431" i="11"/>
  <c r="AJ435" i="11"/>
  <c r="AJ439" i="11"/>
  <c r="AJ443" i="11"/>
  <c r="AJ447" i="11"/>
  <c r="AJ451" i="11"/>
  <c r="AJ455" i="11"/>
  <c r="AJ459" i="11"/>
  <c r="AJ463" i="11"/>
  <c r="AJ467" i="11"/>
  <c r="AJ471" i="11"/>
  <c r="AJ475" i="11"/>
  <c r="AJ479" i="11"/>
  <c r="AJ483" i="11"/>
  <c r="AJ487" i="11"/>
  <c r="AJ491" i="11"/>
  <c r="AJ495" i="11"/>
  <c r="AJ499" i="11"/>
  <c r="AJ503" i="11"/>
  <c r="AJ507" i="11"/>
  <c r="AJ511" i="11"/>
  <c r="AJ515" i="11"/>
  <c r="AJ519" i="11"/>
  <c r="AJ523" i="11"/>
  <c r="AJ527" i="11"/>
  <c r="AJ531" i="11"/>
  <c r="AJ535" i="11"/>
  <c r="AJ539" i="11"/>
  <c r="AJ543" i="11"/>
  <c r="AJ547" i="11"/>
  <c r="AJ551" i="11"/>
  <c r="AJ555" i="11"/>
  <c r="AJ559" i="11"/>
  <c r="AJ563" i="11"/>
  <c r="AJ567" i="11"/>
  <c r="AJ571" i="11"/>
  <c r="AJ575" i="11"/>
  <c r="AJ579" i="11"/>
  <c r="AJ583" i="11"/>
  <c r="AJ587" i="11"/>
  <c r="AJ591" i="11"/>
  <c r="AJ595" i="11"/>
  <c r="AJ599" i="11"/>
  <c r="AJ603" i="11"/>
  <c r="AJ607" i="11"/>
  <c r="AJ611" i="11"/>
  <c r="AJ615" i="11"/>
  <c r="AJ619" i="11"/>
  <c r="AJ623" i="11"/>
  <c r="AJ627" i="11"/>
  <c r="AJ631" i="11"/>
  <c r="AJ635" i="11"/>
  <c r="AJ639" i="11"/>
  <c r="AJ643" i="11"/>
  <c r="AJ647" i="11"/>
  <c r="AJ15" i="11"/>
  <c r="AJ35" i="11"/>
  <c r="AJ43" i="11"/>
  <c r="AJ59" i="11"/>
  <c r="AJ67" i="11"/>
  <c r="I61" i="11"/>
  <c r="J61" i="11" s="1"/>
  <c r="AJ6" i="11"/>
  <c r="AJ10" i="11"/>
  <c r="AJ14" i="11"/>
  <c r="AJ18" i="11"/>
  <c r="AJ22" i="11"/>
  <c r="AJ26" i="11"/>
  <c r="AJ30" i="11"/>
  <c r="AJ34" i="11"/>
  <c r="AJ38" i="11"/>
  <c r="AJ42" i="11"/>
  <c r="AJ46" i="11"/>
  <c r="AJ50" i="11"/>
  <c r="AJ54" i="11"/>
  <c r="AJ58" i="11"/>
  <c r="AJ62" i="11"/>
  <c r="AJ66" i="11"/>
  <c r="AJ70" i="11"/>
  <c r="AJ74" i="11"/>
  <c r="AJ78" i="11"/>
  <c r="AJ82" i="11"/>
  <c r="AJ86" i="11"/>
  <c r="AJ90" i="11"/>
  <c r="AJ94" i="11"/>
  <c r="AJ98" i="11"/>
  <c r="AJ102" i="11"/>
  <c r="AJ106" i="11"/>
  <c r="AJ110" i="11"/>
  <c r="AJ114" i="11"/>
  <c r="AJ118" i="11"/>
  <c r="AJ122" i="11"/>
  <c r="AJ126" i="11"/>
  <c r="AJ130" i="11"/>
  <c r="AJ134" i="11"/>
  <c r="AJ138" i="11"/>
  <c r="AJ142" i="11"/>
  <c r="AJ146" i="11"/>
  <c r="AJ150" i="11"/>
  <c r="AJ154" i="11"/>
  <c r="AJ158" i="11"/>
  <c r="AJ162" i="11"/>
  <c r="AJ166" i="11"/>
  <c r="AJ170" i="11"/>
  <c r="AJ174" i="11"/>
  <c r="AJ178" i="11"/>
  <c r="AJ182" i="11"/>
  <c r="AJ186" i="11"/>
  <c r="AJ190" i="11"/>
  <c r="AJ194" i="11"/>
  <c r="AJ198" i="11"/>
  <c r="AJ202" i="11"/>
  <c r="AJ206" i="11"/>
  <c r="AJ210" i="11"/>
  <c r="AJ214" i="11"/>
  <c r="AJ218" i="11"/>
  <c r="AJ222" i="11"/>
  <c r="AJ226" i="11"/>
  <c r="AJ230" i="11"/>
  <c r="AJ234" i="11"/>
  <c r="AJ238" i="11"/>
  <c r="AJ242" i="11"/>
  <c r="AJ246" i="11"/>
  <c r="AJ250" i="11"/>
  <c r="AJ254" i="11"/>
  <c r="AJ258" i="11"/>
  <c r="AJ262" i="11"/>
  <c r="AJ266" i="11"/>
  <c r="AJ270" i="11"/>
  <c r="AJ274" i="11"/>
  <c r="AJ278" i="11"/>
  <c r="AJ282" i="11"/>
  <c r="AJ286" i="11"/>
  <c r="AJ290" i="11"/>
  <c r="AJ294" i="11"/>
  <c r="AJ298" i="11"/>
  <c r="AJ302" i="11"/>
  <c r="AJ306" i="11"/>
  <c r="AJ310" i="11"/>
  <c r="AJ314" i="11"/>
  <c r="AJ318" i="11"/>
  <c r="AJ322" i="11"/>
  <c r="AJ326" i="11"/>
  <c r="AJ330" i="11"/>
  <c r="AJ334" i="11"/>
  <c r="AJ338" i="11"/>
  <c r="AJ342" i="11"/>
  <c r="AJ346" i="11"/>
  <c r="AJ350" i="11"/>
  <c r="AJ354" i="11"/>
  <c r="AJ358" i="11"/>
  <c r="AJ362" i="11"/>
  <c r="AJ366" i="11"/>
  <c r="AJ370" i="11"/>
  <c r="AJ374" i="11"/>
  <c r="AJ378" i="11"/>
  <c r="AJ382" i="11"/>
  <c r="AJ386" i="11"/>
  <c r="AJ390" i="11"/>
  <c r="AJ394" i="11"/>
  <c r="AJ398" i="11"/>
  <c r="AJ402" i="11"/>
  <c r="AJ406" i="11"/>
  <c r="AJ410" i="11"/>
  <c r="AJ414" i="11"/>
  <c r="AJ418" i="11"/>
  <c r="AJ422" i="11"/>
  <c r="AJ426" i="11"/>
  <c r="AJ430" i="11"/>
  <c r="AJ434" i="11"/>
  <c r="AJ438" i="11"/>
  <c r="AJ442" i="11"/>
  <c r="AJ446" i="11"/>
  <c r="AJ450" i="11"/>
  <c r="AJ454" i="11"/>
  <c r="AJ458" i="11"/>
  <c r="AJ462" i="11"/>
  <c r="AJ466" i="11"/>
  <c r="AJ470" i="11"/>
  <c r="AJ474" i="11"/>
  <c r="AJ478" i="11"/>
  <c r="AJ482" i="11"/>
  <c r="AJ486" i="11"/>
  <c r="AJ490" i="11"/>
  <c r="AJ494" i="11"/>
  <c r="AJ498" i="11"/>
  <c r="AJ502" i="11"/>
  <c r="AJ506" i="11"/>
  <c r="AJ510" i="11"/>
  <c r="AJ514" i="11"/>
  <c r="AJ518" i="11"/>
  <c r="AJ522" i="11"/>
  <c r="AJ526" i="11"/>
  <c r="AJ530" i="11"/>
  <c r="AJ534" i="11"/>
  <c r="AJ538" i="11"/>
  <c r="AJ542" i="11"/>
  <c r="AJ546" i="11"/>
  <c r="AJ550" i="11"/>
  <c r="AJ554" i="11"/>
  <c r="AJ558" i="11"/>
  <c r="AJ562" i="11"/>
  <c r="AJ566" i="11"/>
  <c r="AJ570" i="11"/>
  <c r="AJ574" i="11"/>
  <c r="AJ578" i="11"/>
  <c r="AJ582" i="11"/>
  <c r="AJ586" i="11"/>
  <c r="AJ590" i="11"/>
  <c r="AJ594" i="11"/>
  <c r="AJ598" i="11"/>
  <c r="AJ602" i="11"/>
  <c r="AJ606" i="11"/>
  <c r="AJ610" i="11"/>
  <c r="AJ614" i="11"/>
  <c r="AJ618" i="11"/>
  <c r="AJ622" i="11"/>
  <c r="AJ626" i="11"/>
  <c r="AJ630" i="11"/>
  <c r="AJ634" i="11"/>
  <c r="AJ638" i="11"/>
  <c r="AJ642" i="11"/>
  <c r="AJ646" i="11"/>
  <c r="AJ650" i="11"/>
  <c r="I52" i="11"/>
  <c r="O52" i="11" s="1"/>
  <c r="P52" i="11" s="1"/>
  <c r="AJ9" i="11"/>
  <c r="AJ17" i="11"/>
  <c r="AJ25" i="11"/>
  <c r="AJ33" i="11"/>
  <c r="AJ41" i="11"/>
  <c r="AJ49" i="11"/>
  <c r="AJ53" i="11"/>
  <c r="AJ61" i="11"/>
  <c r="AJ65" i="11"/>
  <c r="AJ73" i="11"/>
  <c r="AJ93" i="11"/>
  <c r="AJ145" i="11"/>
  <c r="AJ149" i="11"/>
  <c r="AJ153" i="11"/>
  <c r="AJ157" i="11"/>
  <c r="AJ161" i="11"/>
  <c r="AJ165" i="11"/>
  <c r="AJ169" i="11"/>
  <c r="AJ173" i="11"/>
  <c r="AJ177" i="11"/>
  <c r="AJ181" i="11"/>
  <c r="AJ185" i="11"/>
  <c r="AJ189" i="11"/>
  <c r="AJ193" i="11"/>
  <c r="AJ197" i="11"/>
  <c r="AJ201" i="11"/>
  <c r="AJ205" i="11"/>
  <c r="AJ209" i="11"/>
  <c r="AJ213" i="11"/>
  <c r="AJ217" i="11"/>
  <c r="AJ221" i="11"/>
  <c r="AJ225" i="11"/>
  <c r="AJ229" i="11"/>
  <c r="AJ233" i="11"/>
  <c r="AJ237" i="11"/>
  <c r="AJ241" i="11"/>
  <c r="AJ245" i="11"/>
  <c r="AJ249" i="11"/>
  <c r="AJ253" i="11"/>
  <c r="AJ257" i="11"/>
  <c r="AJ261" i="11"/>
  <c r="AJ265" i="11"/>
  <c r="AJ269" i="11"/>
  <c r="AJ273" i="11"/>
  <c r="AJ277" i="11"/>
  <c r="AJ281" i="11"/>
  <c r="AJ285" i="11"/>
  <c r="AJ289" i="11"/>
  <c r="AJ293" i="11"/>
  <c r="AJ297" i="11"/>
  <c r="AJ301" i="11"/>
  <c r="AJ305" i="11"/>
  <c r="AJ309" i="11"/>
  <c r="AJ313" i="11"/>
  <c r="AJ329" i="11"/>
  <c r="AJ333" i="11"/>
  <c r="AJ337" i="11"/>
  <c r="AJ341" i="11"/>
  <c r="AJ353" i="11"/>
  <c r="AJ357" i="11"/>
  <c r="AJ361" i="11"/>
  <c r="AJ365" i="11"/>
  <c r="AJ369" i="11"/>
  <c r="AJ377" i="11"/>
  <c r="AJ381" i="11"/>
  <c r="AJ385" i="11"/>
  <c r="AJ389" i="11"/>
  <c r="AJ393" i="11"/>
  <c r="AJ397" i="11"/>
  <c r="AJ401" i="11"/>
  <c r="AJ405" i="11"/>
  <c r="AJ409" i="11"/>
  <c r="AJ413" i="11"/>
  <c r="AJ417" i="11"/>
  <c r="AJ421" i="11"/>
  <c r="AJ425" i="11"/>
  <c r="AJ429" i="11"/>
  <c r="AJ433" i="11"/>
  <c r="AJ437" i="11"/>
  <c r="AJ441" i="11"/>
  <c r="AJ445" i="11"/>
  <c r="AJ449" i="11"/>
  <c r="AJ453" i="11"/>
  <c r="AJ457" i="11"/>
  <c r="AJ461" i="11"/>
  <c r="AJ465" i="11"/>
  <c r="AJ469" i="11"/>
  <c r="AJ473" i="11"/>
  <c r="AJ477" i="11"/>
  <c r="AJ481" i="11"/>
  <c r="AJ485" i="11"/>
  <c r="AJ489" i="11"/>
  <c r="AJ493" i="11"/>
  <c r="AJ497" i="11"/>
  <c r="AJ501" i="11"/>
  <c r="AJ505" i="11"/>
  <c r="AJ509" i="11"/>
  <c r="AJ513" i="11"/>
  <c r="AJ517" i="11"/>
  <c r="AJ521" i="11"/>
  <c r="AJ525" i="11"/>
  <c r="AJ529" i="11"/>
  <c r="AJ533" i="11"/>
  <c r="AJ537" i="11"/>
  <c r="AJ541" i="11"/>
  <c r="AJ545" i="11"/>
  <c r="AJ549" i="11"/>
  <c r="AJ553" i="11"/>
  <c r="AJ557" i="11"/>
  <c r="AJ561" i="11"/>
  <c r="AJ565" i="11"/>
  <c r="AJ569" i="11"/>
  <c r="AJ573" i="11"/>
  <c r="AJ577" i="11"/>
  <c r="AJ581" i="11"/>
  <c r="AJ585" i="11"/>
  <c r="AJ589" i="11"/>
  <c r="AJ593" i="11"/>
  <c r="AJ597" i="11"/>
  <c r="AJ601" i="11"/>
  <c r="AJ605" i="11"/>
  <c r="AJ609" i="11"/>
  <c r="AJ613" i="11"/>
  <c r="AJ617" i="11"/>
  <c r="AJ621" i="11"/>
  <c r="AJ625" i="11"/>
  <c r="AJ629" i="11"/>
  <c r="AJ633" i="11"/>
  <c r="AJ637" i="11"/>
  <c r="AJ641" i="11"/>
  <c r="AJ645" i="11"/>
  <c r="AJ649" i="11"/>
  <c r="AJ13" i="11"/>
  <c r="AJ21" i="11"/>
  <c r="AJ29" i="11"/>
  <c r="AJ37" i="11"/>
  <c r="AJ45" i="11"/>
  <c r="AJ57" i="11"/>
  <c r="AJ69" i="11"/>
  <c r="AJ77" i="11"/>
  <c r="AJ81" i="11"/>
  <c r="AJ85" i="11"/>
  <c r="AJ89" i="11"/>
  <c r="AJ97" i="11"/>
  <c r="AJ101" i="11"/>
  <c r="AJ105" i="11"/>
  <c r="AJ109" i="11"/>
  <c r="AJ113" i="11"/>
  <c r="AJ117" i="11"/>
  <c r="AJ121" i="11"/>
  <c r="AJ125" i="11"/>
  <c r="AJ129" i="11"/>
  <c r="AJ133" i="11"/>
  <c r="AJ137" i="11"/>
  <c r="AJ141" i="11"/>
  <c r="AD7" i="11"/>
  <c r="AJ7" i="11"/>
  <c r="AD11" i="11"/>
  <c r="AJ11" i="11"/>
  <c r="AD8" i="11"/>
  <c r="AJ8" i="11"/>
  <c r="AD12" i="11"/>
  <c r="AJ12" i="11"/>
  <c r="AJ16" i="11"/>
  <c r="AJ20" i="11"/>
  <c r="AJ24" i="11"/>
  <c r="AJ28" i="11"/>
  <c r="AJ32" i="11"/>
  <c r="AJ36" i="11"/>
  <c r="AJ40" i="11"/>
  <c r="AJ44" i="11"/>
  <c r="AJ48" i="11"/>
  <c r="AJ52" i="11"/>
  <c r="AJ56" i="11"/>
  <c r="AJ60" i="11"/>
  <c r="AJ64" i="11"/>
  <c r="AJ68" i="11"/>
  <c r="AJ72" i="11"/>
  <c r="AJ76" i="11"/>
  <c r="AJ80" i="11"/>
  <c r="AJ84" i="11"/>
  <c r="AJ88" i="11"/>
  <c r="AJ92" i="11"/>
  <c r="AJ96" i="11"/>
  <c r="AJ100" i="11"/>
  <c r="AJ104" i="11"/>
  <c r="AJ108" i="11"/>
  <c r="AJ112" i="11"/>
  <c r="AJ116" i="11"/>
  <c r="AJ120" i="11"/>
  <c r="AJ124" i="11"/>
  <c r="AJ128" i="11"/>
  <c r="AJ132" i="11"/>
  <c r="AJ136" i="11"/>
  <c r="AJ140" i="11"/>
  <c r="AJ144" i="11"/>
  <c r="AJ148" i="11"/>
  <c r="AJ152" i="11"/>
  <c r="AJ156" i="11"/>
  <c r="AJ160" i="11"/>
  <c r="AJ164" i="11"/>
  <c r="AJ168" i="11"/>
  <c r="AJ172" i="11"/>
  <c r="AJ176" i="11"/>
  <c r="AJ180" i="11"/>
  <c r="AJ184" i="11"/>
  <c r="AJ188" i="11"/>
  <c r="AJ192" i="11"/>
  <c r="AJ196" i="11"/>
  <c r="AJ200" i="11"/>
  <c r="AJ204" i="11"/>
  <c r="AJ208" i="11"/>
  <c r="AJ212" i="11"/>
  <c r="AJ216" i="11"/>
  <c r="AJ220" i="11"/>
  <c r="AJ224" i="11"/>
  <c r="AJ228" i="11"/>
  <c r="AJ232" i="11"/>
  <c r="AJ236" i="11"/>
  <c r="AJ240" i="11"/>
  <c r="AJ244" i="11"/>
  <c r="AJ248" i="11"/>
  <c r="AJ252" i="11"/>
  <c r="AJ256" i="11"/>
  <c r="AJ260" i="11"/>
  <c r="AJ264" i="11"/>
  <c r="AJ268" i="11"/>
  <c r="AJ272" i="11"/>
  <c r="AJ276" i="11"/>
  <c r="AJ280" i="11"/>
  <c r="AJ284" i="11"/>
  <c r="AJ288" i="11"/>
  <c r="AJ292" i="11"/>
  <c r="AJ296" i="11"/>
  <c r="AJ300" i="11"/>
  <c r="AJ304" i="11"/>
  <c r="AJ308" i="11"/>
  <c r="AJ317" i="11"/>
  <c r="AJ321" i="11"/>
  <c r="AJ325" i="11"/>
  <c r="AJ345" i="11"/>
  <c r="AJ349" i="11"/>
  <c r="AJ373" i="11"/>
  <c r="AJ312" i="11"/>
  <c r="AJ316" i="11"/>
  <c r="AJ320" i="11"/>
  <c r="AJ324" i="11"/>
  <c r="AJ328" i="11"/>
  <c r="AJ332" i="11"/>
  <c r="AJ336" i="11"/>
  <c r="AJ340" i="11"/>
  <c r="AJ344" i="11"/>
  <c r="AJ348" i="11"/>
  <c r="AJ352" i="11"/>
  <c r="AJ356" i="11"/>
  <c r="AJ360" i="11"/>
  <c r="AJ364" i="11"/>
  <c r="AJ368" i="11"/>
  <c r="AJ372" i="11"/>
  <c r="AJ376" i="11"/>
  <c r="AJ380" i="11"/>
  <c r="AJ384" i="11"/>
  <c r="AJ388" i="11"/>
  <c r="AJ392" i="11"/>
  <c r="AJ396" i="11"/>
  <c r="AJ400" i="11"/>
  <c r="AJ404" i="11"/>
  <c r="AJ408" i="11"/>
  <c r="AJ412" i="11"/>
  <c r="AJ416" i="11"/>
  <c r="AJ420" i="11"/>
  <c r="AJ424" i="11"/>
  <c r="AJ428" i="11"/>
  <c r="AJ432" i="11"/>
  <c r="AJ436" i="11"/>
  <c r="AJ440" i="11"/>
  <c r="AJ444" i="11"/>
  <c r="AJ448" i="11"/>
  <c r="AJ452" i="11"/>
  <c r="AJ456" i="11"/>
  <c r="AJ460" i="11"/>
  <c r="AJ464" i="11"/>
  <c r="AJ468" i="11"/>
  <c r="AJ472" i="11"/>
  <c r="AJ476" i="11"/>
  <c r="AJ480" i="11"/>
  <c r="AJ484" i="11"/>
  <c r="AJ488" i="11"/>
  <c r="AJ492" i="11"/>
  <c r="AJ496" i="11"/>
  <c r="AJ500" i="11"/>
  <c r="AJ504" i="11"/>
  <c r="AJ508" i="11"/>
  <c r="AJ512" i="11"/>
  <c r="AJ516" i="11"/>
  <c r="AJ520" i="11"/>
  <c r="AJ524" i="11"/>
  <c r="AJ528" i="11"/>
  <c r="AJ532" i="11"/>
  <c r="AJ536" i="11"/>
  <c r="AJ540" i="11"/>
  <c r="AJ544" i="11"/>
  <c r="AJ548" i="11"/>
  <c r="AJ552" i="11"/>
  <c r="AJ556" i="11"/>
  <c r="AJ560" i="11"/>
  <c r="AJ564" i="11"/>
  <c r="AJ568" i="11"/>
  <c r="AJ572" i="11"/>
  <c r="AJ576" i="11"/>
  <c r="AJ580" i="11"/>
  <c r="AJ584" i="11"/>
  <c r="AJ588" i="11"/>
  <c r="AJ592" i="11"/>
  <c r="AJ596" i="11"/>
  <c r="AJ600" i="11"/>
  <c r="AJ604" i="11"/>
  <c r="AJ608" i="11"/>
  <c r="AJ612" i="11"/>
  <c r="AJ616" i="11"/>
  <c r="AJ620" i="11"/>
  <c r="AJ624" i="11"/>
  <c r="AJ628" i="11"/>
  <c r="AJ632" i="11"/>
  <c r="AJ636" i="11"/>
  <c r="AJ640" i="11"/>
  <c r="AJ644" i="11"/>
  <c r="AJ648" i="11"/>
  <c r="I62" i="11"/>
  <c r="AD6" i="11"/>
  <c r="AD10" i="11"/>
  <c r="I14" i="11"/>
  <c r="AD14" i="11"/>
  <c r="I18" i="11"/>
  <c r="AD18" i="11"/>
  <c r="I22" i="11"/>
  <c r="AD22" i="11"/>
  <c r="I26" i="11"/>
  <c r="AD26" i="11"/>
  <c r="I30" i="11"/>
  <c r="AD30" i="11"/>
  <c r="I34" i="11"/>
  <c r="AD34" i="11"/>
  <c r="I38" i="11"/>
  <c r="O38" i="11" s="1"/>
  <c r="P38" i="11" s="1"/>
  <c r="AD38" i="11"/>
  <c r="I42" i="11"/>
  <c r="AD42" i="11"/>
  <c r="I46" i="11"/>
  <c r="J46" i="11" s="1"/>
  <c r="AD46" i="11"/>
  <c r="AD50" i="11"/>
  <c r="I54" i="11"/>
  <c r="O54" i="11" s="1"/>
  <c r="P54" i="11" s="1"/>
  <c r="I58" i="11"/>
  <c r="I66" i="11"/>
  <c r="AD66" i="11"/>
  <c r="I70" i="11"/>
  <c r="AD70" i="11"/>
  <c r="I74" i="11"/>
  <c r="AD74" i="11"/>
  <c r="I78" i="11"/>
  <c r="AD78" i="11"/>
  <c r="I82" i="11"/>
  <c r="AD82" i="11"/>
  <c r="I86" i="11"/>
  <c r="AD86" i="11"/>
  <c r="I90" i="11"/>
  <c r="J90" i="11" s="1"/>
  <c r="AD90" i="11"/>
  <c r="I94" i="11"/>
  <c r="AD94" i="11"/>
  <c r="I98" i="11"/>
  <c r="AD98" i="11"/>
  <c r="I102" i="11"/>
  <c r="AD102" i="11"/>
  <c r="I106" i="11"/>
  <c r="AD106" i="11"/>
  <c r="I110" i="11"/>
  <c r="AD110" i="11"/>
  <c r="I114" i="11"/>
  <c r="AD114" i="11"/>
  <c r="I118" i="11"/>
  <c r="AD118" i="11"/>
  <c r="I122" i="11"/>
  <c r="AD122" i="11"/>
  <c r="I126" i="11"/>
  <c r="AD126" i="11"/>
  <c r="I130" i="11"/>
  <c r="AD130" i="11"/>
  <c r="I134" i="11"/>
  <c r="AD134" i="11"/>
  <c r="I138" i="11"/>
  <c r="AD138" i="11"/>
  <c r="I142" i="11"/>
  <c r="AD142" i="11"/>
  <c r="I146" i="11"/>
  <c r="AD146" i="11"/>
  <c r="I150" i="11"/>
  <c r="AD150" i="11"/>
  <c r="I154" i="11"/>
  <c r="O154" i="11" s="1"/>
  <c r="P154" i="11" s="1"/>
  <c r="AD154" i="11"/>
  <c r="I158" i="11"/>
  <c r="AD158" i="11"/>
  <c r="I162" i="11"/>
  <c r="AD162" i="11"/>
  <c r="I166" i="11"/>
  <c r="AD166" i="11"/>
  <c r="I170" i="11"/>
  <c r="AD170" i="11"/>
  <c r="I174" i="11"/>
  <c r="O174" i="11" s="1"/>
  <c r="P174" i="11" s="1"/>
  <c r="AD174" i="11"/>
  <c r="I178" i="11"/>
  <c r="AD178" i="11"/>
  <c r="I182" i="11"/>
  <c r="AD182" i="11"/>
  <c r="I186" i="11"/>
  <c r="AD186" i="11"/>
  <c r="I190" i="11"/>
  <c r="J190" i="11" s="1"/>
  <c r="AD190" i="11"/>
  <c r="I194" i="11"/>
  <c r="AD194" i="11"/>
  <c r="I198" i="11"/>
  <c r="J198" i="11" s="1"/>
  <c r="AD198" i="11"/>
  <c r="I202" i="11"/>
  <c r="AD202" i="11"/>
  <c r="I206" i="11"/>
  <c r="AD206" i="11"/>
  <c r="I210" i="11"/>
  <c r="AD210" i="11"/>
  <c r="I214" i="11"/>
  <c r="AD214" i="11"/>
  <c r="I218" i="11"/>
  <c r="AD218" i="11"/>
  <c r="I222" i="11"/>
  <c r="AD222" i="11"/>
  <c r="I226" i="11"/>
  <c r="AD226" i="11"/>
  <c r="I230" i="11"/>
  <c r="AD230" i="11"/>
  <c r="I234" i="11"/>
  <c r="AD234" i="11"/>
  <c r="I238" i="11"/>
  <c r="AD238" i="11"/>
  <c r="I242" i="11"/>
  <c r="AD242" i="11"/>
  <c r="I246" i="11"/>
  <c r="AD246" i="11"/>
  <c r="I250" i="11"/>
  <c r="AD250" i="11"/>
  <c r="I254" i="11"/>
  <c r="AD254" i="11"/>
  <c r="I258" i="11"/>
  <c r="AD258" i="11"/>
  <c r="I262" i="11"/>
  <c r="AD262" i="11"/>
  <c r="I266" i="11"/>
  <c r="AD266" i="11"/>
  <c r="I270" i="11"/>
  <c r="AD270" i="11"/>
  <c r="I274" i="11"/>
  <c r="AD274" i="11"/>
  <c r="I278" i="11"/>
  <c r="AD278" i="11"/>
  <c r="I282" i="11"/>
  <c r="AD282" i="11"/>
  <c r="I286" i="11"/>
  <c r="AD286" i="11"/>
  <c r="I290" i="11"/>
  <c r="AD290" i="11"/>
  <c r="I294" i="11"/>
  <c r="AD294" i="11"/>
  <c r="I298" i="11"/>
  <c r="AD298" i="11"/>
  <c r="I302" i="11"/>
  <c r="AD302" i="11"/>
  <c r="I306" i="11"/>
  <c r="AD306" i="11"/>
  <c r="I310" i="11"/>
  <c r="AD310" i="11"/>
  <c r="I314" i="11"/>
  <c r="AD314" i="11"/>
  <c r="I318" i="11"/>
  <c r="O318" i="11" s="1"/>
  <c r="P318" i="11" s="1"/>
  <c r="AD318" i="11"/>
  <c r="I322" i="11"/>
  <c r="AD322" i="11"/>
  <c r="I326" i="11"/>
  <c r="AD326" i="11"/>
  <c r="I330" i="11"/>
  <c r="AD330" i="11"/>
  <c r="I334" i="11"/>
  <c r="AD334" i="11"/>
  <c r="I338" i="11"/>
  <c r="AD338" i="11"/>
  <c r="I342" i="11"/>
  <c r="AD342" i="11"/>
  <c r="I346" i="11"/>
  <c r="AD346" i="11"/>
  <c r="I350" i="11"/>
  <c r="AD350" i="11"/>
  <c r="I354" i="11"/>
  <c r="AD354" i="11"/>
  <c r="I358" i="11"/>
  <c r="AD358" i="11"/>
  <c r="I362" i="11"/>
  <c r="AD362" i="11"/>
  <c r="I366" i="11"/>
  <c r="AD366" i="11"/>
  <c r="I370" i="11"/>
  <c r="AD370" i="11"/>
  <c r="I374" i="11"/>
  <c r="AD374" i="11"/>
  <c r="I378" i="11"/>
  <c r="AD378" i="11"/>
  <c r="I382" i="11"/>
  <c r="AD382" i="11"/>
  <c r="I386" i="11"/>
  <c r="AD386" i="11"/>
  <c r="I390" i="11"/>
  <c r="AD390" i="11"/>
  <c r="I394" i="11"/>
  <c r="AD394" i="11"/>
  <c r="I398" i="11"/>
  <c r="AD398" i="11"/>
  <c r="I402" i="11"/>
  <c r="AD402" i="11"/>
  <c r="I406" i="11"/>
  <c r="AD406" i="11"/>
  <c r="I410" i="11"/>
  <c r="AD410" i="11"/>
  <c r="I414" i="11"/>
  <c r="AD414" i="11"/>
  <c r="I418" i="11"/>
  <c r="AD418" i="11"/>
  <c r="I422" i="11"/>
  <c r="AD422" i="11"/>
  <c r="I426" i="11"/>
  <c r="AD426" i="11"/>
  <c r="I430" i="11"/>
  <c r="O430" i="11" s="1"/>
  <c r="P430" i="11" s="1"/>
  <c r="AD430" i="11"/>
  <c r="I434" i="11"/>
  <c r="AD434" i="11"/>
  <c r="I438" i="11"/>
  <c r="AD438" i="11"/>
  <c r="I442" i="11"/>
  <c r="AD442" i="11"/>
  <c r="I446" i="11"/>
  <c r="AD446" i="11"/>
  <c r="I450" i="11"/>
  <c r="O450" i="11" s="1"/>
  <c r="P450" i="11" s="1"/>
  <c r="AD450" i="11"/>
  <c r="I454" i="11"/>
  <c r="AD454" i="11"/>
  <c r="I458" i="11"/>
  <c r="AD458" i="11"/>
  <c r="I462" i="11"/>
  <c r="AD462" i="11"/>
  <c r="I466" i="11"/>
  <c r="AD466" i="11"/>
  <c r="I470" i="11"/>
  <c r="AD470" i="11"/>
  <c r="I474" i="11"/>
  <c r="AD474" i="11"/>
  <c r="I478" i="11"/>
  <c r="AD478" i="11"/>
  <c r="I482" i="11"/>
  <c r="AD482" i="11"/>
  <c r="I486" i="11"/>
  <c r="AD486" i="11"/>
  <c r="I490" i="11"/>
  <c r="AD490" i="11"/>
  <c r="I494" i="11"/>
  <c r="AD494" i="11"/>
  <c r="I498" i="11"/>
  <c r="AD498" i="11"/>
  <c r="I502" i="11"/>
  <c r="AD502" i="11"/>
  <c r="I506" i="11"/>
  <c r="AD506" i="11"/>
  <c r="I510" i="11"/>
  <c r="AD510" i="11"/>
  <c r="I514" i="11"/>
  <c r="AD514" i="11"/>
  <c r="I518" i="11"/>
  <c r="AD518" i="11"/>
  <c r="I522" i="11"/>
  <c r="AD522" i="11"/>
  <c r="I526" i="11"/>
  <c r="AD526" i="11"/>
  <c r="I530" i="11"/>
  <c r="AD530" i="11"/>
  <c r="I534" i="11"/>
  <c r="AD534" i="11"/>
  <c r="I538" i="11"/>
  <c r="AD538" i="11"/>
  <c r="I542" i="11"/>
  <c r="AD542" i="11"/>
  <c r="I546" i="11"/>
  <c r="AD546" i="11"/>
  <c r="I550" i="11"/>
  <c r="AD550" i="11"/>
  <c r="I554" i="11"/>
  <c r="AD554" i="11"/>
  <c r="I558" i="11"/>
  <c r="AD558" i="11"/>
  <c r="I562" i="11"/>
  <c r="AD562" i="11"/>
  <c r="I566" i="11"/>
  <c r="AD566" i="11"/>
  <c r="I570" i="11"/>
  <c r="AD570" i="11"/>
  <c r="I574" i="11"/>
  <c r="O574" i="11" s="1"/>
  <c r="P574" i="11" s="1"/>
  <c r="AD574" i="11"/>
  <c r="I578" i="11"/>
  <c r="AD578" i="11"/>
  <c r="I582" i="11"/>
  <c r="AD582" i="11"/>
  <c r="I586" i="11"/>
  <c r="AD586" i="11"/>
  <c r="I590" i="11"/>
  <c r="AD590" i="11"/>
  <c r="I594" i="11"/>
  <c r="AD594" i="11"/>
  <c r="I598" i="11"/>
  <c r="AD598" i="11"/>
  <c r="I602" i="11"/>
  <c r="AD602" i="11"/>
  <c r="I606" i="11"/>
  <c r="AD606" i="11"/>
  <c r="I610" i="11"/>
  <c r="AD610" i="11"/>
  <c r="I614" i="11"/>
  <c r="AD614" i="11"/>
  <c r="I618" i="11"/>
  <c r="AD618" i="11"/>
  <c r="I622" i="11"/>
  <c r="AD622" i="11"/>
  <c r="I626" i="11"/>
  <c r="AD626" i="11"/>
  <c r="I630" i="11"/>
  <c r="AD630" i="11"/>
  <c r="I634" i="11"/>
  <c r="AD634" i="11"/>
  <c r="I638" i="11"/>
  <c r="AD638" i="11"/>
  <c r="I642" i="11"/>
  <c r="AD642" i="11"/>
  <c r="I646" i="11"/>
  <c r="O646" i="11" s="1"/>
  <c r="P646" i="11" s="1"/>
  <c r="AD646" i="11"/>
  <c r="I650" i="11"/>
  <c r="AD650" i="11"/>
  <c r="I64" i="11"/>
  <c r="J64" i="11" s="1"/>
  <c r="AD9" i="11"/>
  <c r="AD13" i="11"/>
  <c r="I17" i="11"/>
  <c r="AD17" i="11"/>
  <c r="I21" i="11"/>
  <c r="O21" i="11" s="1"/>
  <c r="P21" i="11" s="1"/>
  <c r="AD21" i="11"/>
  <c r="I25" i="11"/>
  <c r="J25" i="11" s="1"/>
  <c r="AD25" i="11"/>
  <c r="I29" i="11"/>
  <c r="O29" i="11" s="1"/>
  <c r="P29" i="11" s="1"/>
  <c r="AD29" i="11"/>
  <c r="I33" i="11"/>
  <c r="AD33" i="11"/>
  <c r="I37" i="11"/>
  <c r="AD37" i="11"/>
  <c r="I41" i="11"/>
  <c r="O41" i="11" s="1"/>
  <c r="P41" i="11" s="1"/>
  <c r="AD41" i="11"/>
  <c r="I45" i="11"/>
  <c r="AD45" i="11"/>
  <c r="I49" i="11"/>
  <c r="AD49" i="11"/>
  <c r="I53" i="11"/>
  <c r="O53" i="11" s="1"/>
  <c r="P53" i="11" s="1"/>
  <c r="I57" i="11"/>
  <c r="I65" i="11"/>
  <c r="AD65" i="11"/>
  <c r="I69" i="11"/>
  <c r="AD69" i="11"/>
  <c r="I73" i="11"/>
  <c r="AD73" i="11"/>
  <c r="I77" i="11"/>
  <c r="AD77" i="11"/>
  <c r="I81" i="11"/>
  <c r="AD81" i="11"/>
  <c r="I85" i="11"/>
  <c r="AD85" i="11"/>
  <c r="I89" i="11"/>
  <c r="AD89" i="11"/>
  <c r="I93" i="11"/>
  <c r="AD93" i="11"/>
  <c r="I97" i="11"/>
  <c r="AD97" i="11"/>
  <c r="I101" i="11"/>
  <c r="AD101" i="11"/>
  <c r="I105" i="11"/>
  <c r="AD105" i="11"/>
  <c r="I109" i="11"/>
  <c r="AD109" i="11"/>
  <c r="I113" i="11"/>
  <c r="AD113" i="11"/>
  <c r="I117" i="11"/>
  <c r="AD117" i="11"/>
  <c r="I121" i="11"/>
  <c r="AD121" i="11"/>
  <c r="I125" i="11"/>
  <c r="AD125" i="11"/>
  <c r="I129" i="11"/>
  <c r="AD129" i="11"/>
  <c r="I133" i="11"/>
  <c r="AD133" i="11"/>
  <c r="I137" i="11"/>
  <c r="AD137" i="11"/>
  <c r="I141" i="11"/>
  <c r="AD141" i="11"/>
  <c r="I145" i="11"/>
  <c r="AD145" i="11"/>
  <c r="I149" i="11"/>
  <c r="AD149" i="11"/>
  <c r="I153" i="11"/>
  <c r="AD153" i="11"/>
  <c r="I157" i="11"/>
  <c r="AD157" i="11"/>
  <c r="I161" i="11"/>
  <c r="AD161" i="11"/>
  <c r="I165" i="11"/>
  <c r="AD165" i="11"/>
  <c r="I169" i="11"/>
  <c r="AD169" i="11"/>
  <c r="I173" i="11"/>
  <c r="AD173" i="11"/>
  <c r="I177" i="11"/>
  <c r="AD177" i="11"/>
  <c r="I181" i="11"/>
  <c r="AD181" i="11"/>
  <c r="I185" i="11"/>
  <c r="AD185" i="11"/>
  <c r="I189" i="11"/>
  <c r="AD189" i="11"/>
  <c r="I193" i="11"/>
  <c r="AD193" i="11"/>
  <c r="I197" i="11"/>
  <c r="AD197" i="11"/>
  <c r="I201" i="11"/>
  <c r="AD201" i="11"/>
  <c r="I205" i="11"/>
  <c r="AD205" i="11"/>
  <c r="I209" i="11"/>
  <c r="AD209" i="11"/>
  <c r="I213" i="11"/>
  <c r="AD213" i="11"/>
  <c r="I217" i="11"/>
  <c r="AD217" i="11"/>
  <c r="I221" i="11"/>
  <c r="AD221" i="11"/>
  <c r="I225" i="11"/>
  <c r="AD225" i="11"/>
  <c r="I229" i="11"/>
  <c r="AD229" i="11"/>
  <c r="I233" i="11"/>
  <c r="AD233" i="11"/>
  <c r="I237" i="11"/>
  <c r="AD237" i="11"/>
  <c r="I241" i="11"/>
  <c r="AD241" i="11"/>
  <c r="I245" i="11"/>
  <c r="AD245" i="11"/>
  <c r="I249" i="11"/>
  <c r="AD249" i="11"/>
  <c r="I253" i="11"/>
  <c r="AD253" i="11"/>
  <c r="I257" i="11"/>
  <c r="AD257" i="11"/>
  <c r="I261" i="11"/>
  <c r="AD261" i="11"/>
  <c r="I265" i="11"/>
  <c r="AD265" i="11"/>
  <c r="I269" i="11"/>
  <c r="AD269" i="11"/>
  <c r="I273" i="11"/>
  <c r="AD273" i="11"/>
  <c r="I277" i="11"/>
  <c r="AD277" i="11"/>
  <c r="I281" i="11"/>
  <c r="AD281" i="11"/>
  <c r="I285" i="11"/>
  <c r="O285" i="11" s="1"/>
  <c r="P285" i="11" s="1"/>
  <c r="AD285" i="11"/>
  <c r="I289" i="11"/>
  <c r="AD289" i="11"/>
  <c r="I293" i="11"/>
  <c r="AD293" i="11"/>
  <c r="I297" i="11"/>
  <c r="AD297" i="11"/>
  <c r="I301" i="11"/>
  <c r="AD301" i="11"/>
  <c r="I305" i="11"/>
  <c r="AD305" i="11"/>
  <c r="I309" i="11"/>
  <c r="AD309" i="11"/>
  <c r="I313" i="11"/>
  <c r="AD313" i="11"/>
  <c r="I317" i="11"/>
  <c r="AD317" i="11"/>
  <c r="I321" i="11"/>
  <c r="AD321" i="11"/>
  <c r="I325" i="11"/>
  <c r="O325" i="11" s="1"/>
  <c r="P325" i="11" s="1"/>
  <c r="AD325" i="11"/>
  <c r="I329" i="11"/>
  <c r="AD329" i="11"/>
  <c r="I333" i="11"/>
  <c r="AD333" i="11"/>
  <c r="I337" i="11"/>
  <c r="AD337" i="11"/>
  <c r="I341" i="11"/>
  <c r="AD341" i="11"/>
  <c r="I345" i="11"/>
  <c r="AD345" i="11"/>
  <c r="I349" i="11"/>
  <c r="AD349" i="11"/>
  <c r="I353" i="11"/>
  <c r="AD353" i="11"/>
  <c r="I357" i="11"/>
  <c r="AD357" i="11"/>
  <c r="I361" i="11"/>
  <c r="AD361" i="11"/>
  <c r="I365" i="11"/>
  <c r="AD365" i="11"/>
  <c r="I369" i="11"/>
  <c r="AD369" i="11"/>
  <c r="I373" i="11"/>
  <c r="AD373" i="11"/>
  <c r="I377" i="11"/>
  <c r="AD377" i="11"/>
  <c r="I381" i="11"/>
  <c r="AD381" i="11"/>
  <c r="I385" i="11"/>
  <c r="AD385" i="11"/>
  <c r="I389" i="11"/>
  <c r="AD389" i="11"/>
  <c r="I393" i="11"/>
  <c r="AD393" i="11"/>
  <c r="I397" i="11"/>
  <c r="AD397" i="11"/>
  <c r="I401" i="11"/>
  <c r="AD401" i="11"/>
  <c r="I405" i="11"/>
  <c r="AD405" i="11"/>
  <c r="I409" i="11"/>
  <c r="AD409" i="11"/>
  <c r="I413" i="11"/>
  <c r="AD413" i="11"/>
  <c r="I417" i="11"/>
  <c r="AD417" i="11"/>
  <c r="I421" i="11"/>
  <c r="AD421" i="11"/>
  <c r="I425" i="11"/>
  <c r="AD425" i="11"/>
  <c r="I429" i="11"/>
  <c r="J429" i="11" s="1"/>
  <c r="AD429" i="11"/>
  <c r="I433" i="11"/>
  <c r="AD433" i="11"/>
  <c r="I437" i="11"/>
  <c r="AD437" i="11"/>
  <c r="I441" i="11"/>
  <c r="AD441" i="11"/>
  <c r="I445" i="11"/>
  <c r="AD445" i="11"/>
  <c r="I449" i="11"/>
  <c r="AD449" i="11"/>
  <c r="I453" i="11"/>
  <c r="AD453" i="11"/>
  <c r="I457" i="11"/>
  <c r="AD457" i="11"/>
  <c r="I461" i="11"/>
  <c r="AD461" i="11"/>
  <c r="I465" i="11"/>
  <c r="AD465" i="11"/>
  <c r="I469" i="11"/>
  <c r="AD469" i="11"/>
  <c r="I473" i="11"/>
  <c r="AD473" i="11"/>
  <c r="I477" i="11"/>
  <c r="AD477" i="11"/>
  <c r="I481" i="11"/>
  <c r="AD481" i="11"/>
  <c r="I485" i="11"/>
  <c r="AD485" i="11"/>
  <c r="I489" i="11"/>
  <c r="O489" i="11" s="1"/>
  <c r="P489" i="11" s="1"/>
  <c r="AD489" i="11"/>
  <c r="I493" i="11"/>
  <c r="J493" i="11" s="1"/>
  <c r="AD493" i="11"/>
  <c r="I497" i="11"/>
  <c r="AD497" i="11"/>
  <c r="I501" i="11"/>
  <c r="AD501" i="11"/>
  <c r="I505" i="11"/>
  <c r="AD505" i="11"/>
  <c r="I509" i="11"/>
  <c r="AD509" i="11"/>
  <c r="I513" i="11"/>
  <c r="AD513" i="11"/>
  <c r="I517" i="11"/>
  <c r="AD517" i="11"/>
  <c r="I521" i="11"/>
  <c r="AD521" i="11"/>
  <c r="I525" i="11"/>
  <c r="AD525" i="11"/>
  <c r="I529" i="11"/>
  <c r="AD529" i="11"/>
  <c r="I533" i="11"/>
  <c r="AD533" i="11"/>
  <c r="I537" i="11"/>
  <c r="AD537" i="11"/>
  <c r="I541" i="11"/>
  <c r="AD541" i="11"/>
  <c r="I545" i="11"/>
  <c r="AD545" i="11"/>
  <c r="I549" i="11"/>
  <c r="AD549" i="11"/>
  <c r="I553" i="11"/>
  <c r="AD553" i="11"/>
  <c r="I557" i="11"/>
  <c r="AD557" i="11"/>
  <c r="I561" i="11"/>
  <c r="AD561" i="11"/>
  <c r="I565" i="11"/>
  <c r="AD565" i="11"/>
  <c r="I569" i="11"/>
  <c r="AD569" i="11"/>
  <c r="I573" i="11"/>
  <c r="AD573" i="11"/>
  <c r="I577" i="11"/>
  <c r="AD577" i="11"/>
  <c r="I581" i="11"/>
  <c r="AD581" i="11"/>
  <c r="I585" i="11"/>
  <c r="AD585" i="11"/>
  <c r="I589" i="11"/>
  <c r="AD589" i="11"/>
  <c r="I593" i="11"/>
  <c r="AD593" i="11"/>
  <c r="I597" i="11"/>
  <c r="AD597" i="11"/>
  <c r="I601" i="11"/>
  <c r="AD601" i="11"/>
  <c r="I605" i="11"/>
  <c r="AD605" i="11"/>
  <c r="I609" i="11"/>
  <c r="AD609" i="11"/>
  <c r="I613" i="11"/>
  <c r="AD613" i="11"/>
  <c r="I617" i="11"/>
  <c r="AD617" i="11"/>
  <c r="I621" i="11"/>
  <c r="AD621" i="11"/>
  <c r="I625" i="11"/>
  <c r="AD625" i="11"/>
  <c r="I629" i="11"/>
  <c r="AD629" i="11"/>
  <c r="I633" i="11"/>
  <c r="AD633" i="11"/>
  <c r="I637" i="11"/>
  <c r="AD637" i="11"/>
  <c r="I641" i="11"/>
  <c r="AD641" i="11"/>
  <c r="I645" i="11"/>
  <c r="AD645" i="11"/>
  <c r="I649" i="11"/>
  <c r="AD649" i="11"/>
  <c r="I63" i="11"/>
  <c r="J63" i="11" s="1"/>
  <c r="I16" i="11"/>
  <c r="AD16" i="11"/>
  <c r="I20" i="11"/>
  <c r="AD20" i="11"/>
  <c r="I24" i="11"/>
  <c r="AD24" i="11"/>
  <c r="I28" i="11"/>
  <c r="AD28" i="11"/>
  <c r="I32" i="11"/>
  <c r="AD32" i="11"/>
  <c r="I36" i="11"/>
  <c r="J36" i="11" s="1"/>
  <c r="AD36" i="11"/>
  <c r="I40" i="11"/>
  <c r="AD40" i="11"/>
  <c r="I44" i="11"/>
  <c r="AD44" i="11"/>
  <c r="I48" i="11"/>
  <c r="AD48" i="11"/>
  <c r="I56" i="11"/>
  <c r="O56" i="11" s="1"/>
  <c r="P56" i="11" s="1"/>
  <c r="I60" i="11"/>
  <c r="O60" i="11" s="1"/>
  <c r="P60" i="11" s="1"/>
  <c r="I68" i="11"/>
  <c r="AD68" i="11"/>
  <c r="I72" i="11"/>
  <c r="AD72" i="11"/>
  <c r="I76" i="11"/>
  <c r="AD76" i="11"/>
  <c r="I80" i="11"/>
  <c r="AD80" i="11"/>
  <c r="I84" i="11"/>
  <c r="AD84" i="11"/>
  <c r="I88" i="11"/>
  <c r="AD88" i="11"/>
  <c r="I92" i="11"/>
  <c r="AD92" i="11"/>
  <c r="I96" i="11"/>
  <c r="AD96" i="11"/>
  <c r="I100" i="11"/>
  <c r="AD100" i="11"/>
  <c r="I104" i="11"/>
  <c r="O104" i="11" s="1"/>
  <c r="P104" i="11" s="1"/>
  <c r="AD104" i="11"/>
  <c r="I108" i="11"/>
  <c r="AD108" i="11"/>
  <c r="I112" i="11"/>
  <c r="AD112" i="11"/>
  <c r="I116" i="11"/>
  <c r="AD116" i="11"/>
  <c r="I120" i="11"/>
  <c r="AD120" i="11"/>
  <c r="I124" i="11"/>
  <c r="AD124" i="11"/>
  <c r="I128" i="11"/>
  <c r="J128" i="11" s="1"/>
  <c r="AD128" i="11"/>
  <c r="I132" i="11"/>
  <c r="AD132" i="11"/>
  <c r="I136" i="11"/>
  <c r="AD136" i="11"/>
  <c r="I140" i="11"/>
  <c r="AD140" i="11"/>
  <c r="I144" i="11"/>
  <c r="AD144" i="11"/>
  <c r="I148" i="11"/>
  <c r="AD148" i="11"/>
  <c r="I152" i="11"/>
  <c r="AD152" i="11"/>
  <c r="I156" i="11"/>
  <c r="AD156" i="11"/>
  <c r="I160" i="11"/>
  <c r="AD160" i="11"/>
  <c r="I164" i="11"/>
  <c r="AD164" i="11"/>
  <c r="I168" i="11"/>
  <c r="AD168" i="11"/>
  <c r="I172" i="11"/>
  <c r="AD172" i="11"/>
  <c r="I176" i="11"/>
  <c r="AD176" i="11"/>
  <c r="I180" i="11"/>
  <c r="AD180" i="11"/>
  <c r="I184" i="11"/>
  <c r="AD184" i="11"/>
  <c r="I188" i="11"/>
  <c r="AD188" i="11"/>
  <c r="I192" i="11"/>
  <c r="AD192" i="11"/>
  <c r="I196" i="11"/>
  <c r="AD196" i="11"/>
  <c r="I200" i="11"/>
  <c r="AD200" i="11"/>
  <c r="I204" i="11"/>
  <c r="AD204" i="11"/>
  <c r="I208" i="11"/>
  <c r="AD208" i="11"/>
  <c r="I212" i="11"/>
  <c r="AD212" i="11"/>
  <c r="I216" i="11"/>
  <c r="AD216" i="11"/>
  <c r="I220" i="11"/>
  <c r="AD220" i="11"/>
  <c r="I224" i="11"/>
  <c r="AD224" i="11"/>
  <c r="I228" i="11"/>
  <c r="AD228" i="11"/>
  <c r="I232" i="11"/>
  <c r="AD232" i="11"/>
  <c r="I236" i="11"/>
  <c r="AD236" i="11"/>
  <c r="I240" i="11"/>
  <c r="AD240" i="11"/>
  <c r="I244" i="11"/>
  <c r="AD244" i="11"/>
  <c r="I248" i="11"/>
  <c r="AD248" i="11"/>
  <c r="I252" i="11"/>
  <c r="AD252" i="11"/>
  <c r="I256" i="11"/>
  <c r="AD256" i="11"/>
  <c r="I260" i="11"/>
  <c r="AD260" i="11"/>
  <c r="I264" i="11"/>
  <c r="AD264" i="11"/>
  <c r="I268" i="11"/>
  <c r="AD268" i="11"/>
  <c r="I272" i="11"/>
  <c r="AD272" i="11"/>
  <c r="I276" i="11"/>
  <c r="AD276" i="11"/>
  <c r="I280" i="11"/>
  <c r="AD280" i="11"/>
  <c r="I284" i="11"/>
  <c r="O284" i="11" s="1"/>
  <c r="P284" i="11" s="1"/>
  <c r="AD284" i="11"/>
  <c r="I288" i="11"/>
  <c r="AD288" i="11"/>
  <c r="I292" i="11"/>
  <c r="O292" i="11" s="1"/>
  <c r="P292" i="11" s="1"/>
  <c r="AD292" i="11"/>
  <c r="I296" i="11"/>
  <c r="AD296" i="11"/>
  <c r="I300" i="11"/>
  <c r="AD300" i="11"/>
  <c r="I304" i="11"/>
  <c r="AD304" i="11"/>
  <c r="I308" i="11"/>
  <c r="AD308" i="11"/>
  <c r="I312" i="11"/>
  <c r="AD312" i="11"/>
  <c r="I316" i="11"/>
  <c r="AD316" i="11"/>
  <c r="I320" i="11"/>
  <c r="AD320" i="11"/>
  <c r="I324" i="11"/>
  <c r="AD324" i="11"/>
  <c r="I328" i="11"/>
  <c r="AD328" i="11"/>
  <c r="I332" i="11"/>
  <c r="AD332" i="11"/>
  <c r="I336" i="11"/>
  <c r="AD336" i="11"/>
  <c r="I340" i="11"/>
  <c r="AD340" i="11"/>
  <c r="I344" i="11"/>
  <c r="AD344" i="11"/>
  <c r="I348" i="11"/>
  <c r="AD348" i="11"/>
  <c r="I352" i="11"/>
  <c r="AD352" i="11"/>
  <c r="I356" i="11"/>
  <c r="AD356" i="11"/>
  <c r="I360" i="11"/>
  <c r="AD360" i="11"/>
  <c r="I364" i="11"/>
  <c r="AD364" i="11"/>
  <c r="I368" i="11"/>
  <c r="AD368" i="11"/>
  <c r="I372" i="11"/>
  <c r="AD372" i="11"/>
  <c r="I376" i="11"/>
  <c r="AD376" i="11"/>
  <c r="I380" i="11"/>
  <c r="AD380" i="11"/>
  <c r="I384" i="11"/>
  <c r="AD384" i="11"/>
  <c r="I388" i="11"/>
  <c r="AD388" i="11"/>
  <c r="I392" i="11"/>
  <c r="AD392" i="11"/>
  <c r="I396" i="11"/>
  <c r="AD396" i="11"/>
  <c r="I400" i="11"/>
  <c r="AD400" i="11"/>
  <c r="I404" i="11"/>
  <c r="O404" i="11" s="1"/>
  <c r="P404" i="11" s="1"/>
  <c r="AD404" i="11"/>
  <c r="I408" i="11"/>
  <c r="AD408" i="11"/>
  <c r="I412" i="11"/>
  <c r="AD412" i="11"/>
  <c r="I416" i="11"/>
  <c r="AD416" i="11"/>
  <c r="I420" i="11"/>
  <c r="AD420" i="11"/>
  <c r="I424" i="11"/>
  <c r="AD424" i="11"/>
  <c r="I428" i="11"/>
  <c r="AD428" i="11"/>
  <c r="I432" i="11"/>
  <c r="AD432" i="11"/>
  <c r="I436" i="11"/>
  <c r="AD436" i="11"/>
  <c r="I440" i="11"/>
  <c r="AD440" i="11"/>
  <c r="I444" i="11"/>
  <c r="AD444" i="11"/>
  <c r="I448" i="11"/>
  <c r="AD448" i="11"/>
  <c r="I452" i="11"/>
  <c r="AD452" i="11"/>
  <c r="I456" i="11"/>
  <c r="AD456" i="11"/>
  <c r="I460" i="11"/>
  <c r="AD460" i="11"/>
  <c r="I464" i="11"/>
  <c r="AD464" i="11"/>
  <c r="I468" i="11"/>
  <c r="AD468" i="11"/>
  <c r="I472" i="11"/>
  <c r="AD472" i="11"/>
  <c r="I476" i="11"/>
  <c r="AD476" i="11"/>
  <c r="I480" i="11"/>
  <c r="AD480" i="11"/>
  <c r="I484" i="11"/>
  <c r="AD484" i="11"/>
  <c r="I488" i="11"/>
  <c r="AD488" i="11"/>
  <c r="I492" i="11"/>
  <c r="AD492" i="11"/>
  <c r="I496" i="11"/>
  <c r="AD496" i="11"/>
  <c r="I500" i="11"/>
  <c r="AD500" i="11"/>
  <c r="I504" i="11"/>
  <c r="AD504" i="11"/>
  <c r="I508" i="11"/>
  <c r="AD508" i="11"/>
  <c r="I512" i="11"/>
  <c r="AD512" i="11"/>
  <c r="I516" i="11"/>
  <c r="AD516" i="11"/>
  <c r="I520" i="11"/>
  <c r="AD520" i="11"/>
  <c r="I524" i="11"/>
  <c r="AD524" i="11"/>
  <c r="I528" i="11"/>
  <c r="AD528" i="11"/>
  <c r="I532" i="11"/>
  <c r="AD532" i="11"/>
  <c r="I536" i="11"/>
  <c r="AD536" i="11"/>
  <c r="I540" i="11"/>
  <c r="AD540" i="11"/>
  <c r="AD544" i="11"/>
  <c r="I544" i="11"/>
  <c r="I548" i="11"/>
  <c r="AD548" i="11"/>
  <c r="AD552" i="11"/>
  <c r="I552" i="11"/>
  <c r="I556" i="11"/>
  <c r="AD556" i="11"/>
  <c r="AD560" i="11"/>
  <c r="I560" i="11"/>
  <c r="I564" i="11"/>
  <c r="AD564" i="11"/>
  <c r="AD568" i="11"/>
  <c r="I568" i="11"/>
  <c r="I572" i="11"/>
  <c r="AD572" i="11"/>
  <c r="AD576" i="11"/>
  <c r="I576" i="11"/>
  <c r="O576" i="11" s="1"/>
  <c r="P576" i="11" s="1"/>
  <c r="I580" i="11"/>
  <c r="AD580" i="11"/>
  <c r="AD584" i="11"/>
  <c r="I584" i="11"/>
  <c r="I588" i="11"/>
  <c r="AD588" i="11"/>
  <c r="AD592" i="11"/>
  <c r="I592" i="11"/>
  <c r="I596" i="11"/>
  <c r="AD596" i="11"/>
  <c r="AD600" i="11"/>
  <c r="I600" i="11"/>
  <c r="I604" i="11"/>
  <c r="AD604" i="11"/>
  <c r="AD608" i="11"/>
  <c r="I608" i="11"/>
  <c r="I612" i="11"/>
  <c r="AD612" i="11"/>
  <c r="AD616" i="11"/>
  <c r="I616" i="11"/>
  <c r="I620" i="11"/>
  <c r="AD620" i="11"/>
  <c r="AD624" i="11"/>
  <c r="I624" i="11"/>
  <c r="I628" i="11"/>
  <c r="AD628" i="11"/>
  <c r="AD632" i="11"/>
  <c r="I632" i="11"/>
  <c r="I636" i="11"/>
  <c r="AD636" i="11"/>
  <c r="AD640" i="11"/>
  <c r="I640" i="11"/>
  <c r="I644" i="11"/>
  <c r="AD644" i="11"/>
  <c r="AD648" i="11"/>
  <c r="I648" i="11"/>
  <c r="O648" i="11" s="1"/>
  <c r="P648" i="11" s="1"/>
  <c r="AD5" i="11"/>
  <c r="I15" i="11"/>
  <c r="AD15" i="11"/>
  <c r="I19" i="11"/>
  <c r="AD19" i="11"/>
  <c r="I23" i="11"/>
  <c r="AD23" i="11"/>
  <c r="I27" i="11"/>
  <c r="O27" i="11" s="1"/>
  <c r="P27" i="11" s="1"/>
  <c r="AD27" i="11"/>
  <c r="I31" i="11"/>
  <c r="O31" i="11" s="1"/>
  <c r="P31" i="11" s="1"/>
  <c r="AD31" i="11"/>
  <c r="I35" i="11"/>
  <c r="AD35" i="11"/>
  <c r="I39" i="11"/>
  <c r="O39" i="11" s="1"/>
  <c r="P39" i="11" s="1"/>
  <c r="AD39" i="11"/>
  <c r="I43" i="11"/>
  <c r="O43" i="11" s="1"/>
  <c r="P43" i="11" s="1"/>
  <c r="AD43" i="11"/>
  <c r="I47" i="11"/>
  <c r="AD47" i="11"/>
  <c r="AD51" i="11"/>
  <c r="I55" i="11"/>
  <c r="O55" i="11" s="1"/>
  <c r="P55" i="11" s="1"/>
  <c r="I59" i="11"/>
  <c r="I67" i="11"/>
  <c r="AD67" i="11"/>
  <c r="I71" i="11"/>
  <c r="AD71" i="11"/>
  <c r="I75" i="11"/>
  <c r="AD75" i="11"/>
  <c r="I79" i="11"/>
  <c r="AD79" i="11"/>
  <c r="I83" i="11"/>
  <c r="AD83" i="11"/>
  <c r="I87" i="11"/>
  <c r="AD87" i="11"/>
  <c r="I91" i="11"/>
  <c r="AD91" i="11"/>
  <c r="I95" i="11"/>
  <c r="O95" i="11" s="1"/>
  <c r="P95" i="11" s="1"/>
  <c r="AD95" i="11"/>
  <c r="I99" i="11"/>
  <c r="AD99" i="11"/>
  <c r="I103" i="11"/>
  <c r="AD103" i="11"/>
  <c r="I107" i="11"/>
  <c r="AD107" i="11"/>
  <c r="I111" i="11"/>
  <c r="AD111" i="11"/>
  <c r="I115" i="11"/>
  <c r="AD115" i="11"/>
  <c r="I119" i="11"/>
  <c r="AD119" i="11"/>
  <c r="I123" i="11"/>
  <c r="AD123" i="11"/>
  <c r="I127" i="11"/>
  <c r="AD127" i="11"/>
  <c r="I131" i="11"/>
  <c r="AD131" i="11"/>
  <c r="I135" i="11"/>
  <c r="AD135" i="11"/>
  <c r="I139" i="11"/>
  <c r="AD139" i="11"/>
  <c r="I143" i="11"/>
  <c r="AD143" i="11"/>
  <c r="I147" i="11"/>
  <c r="AD147" i="11"/>
  <c r="I151" i="11"/>
  <c r="AD151" i="11"/>
  <c r="I155" i="11"/>
  <c r="AD155" i="11"/>
  <c r="I159" i="11"/>
  <c r="AD159" i="11"/>
  <c r="I163" i="11"/>
  <c r="AD163" i="11"/>
  <c r="I167" i="11"/>
  <c r="AD167" i="11"/>
  <c r="I171" i="11"/>
  <c r="AD171" i="11"/>
  <c r="I175" i="11"/>
  <c r="AD175" i="11"/>
  <c r="I179" i="11"/>
  <c r="AD179" i="11"/>
  <c r="I183" i="11"/>
  <c r="AD183" i="11"/>
  <c r="I187" i="11"/>
  <c r="AD187" i="11"/>
  <c r="I191" i="11"/>
  <c r="AD191" i="11"/>
  <c r="I195" i="11"/>
  <c r="AD195" i="11"/>
  <c r="I199" i="11"/>
  <c r="AD199" i="11"/>
  <c r="I203" i="11"/>
  <c r="AD203" i="11"/>
  <c r="I207" i="11"/>
  <c r="AD207" i="11"/>
  <c r="I211" i="11"/>
  <c r="AD211" i="11"/>
  <c r="I215" i="11"/>
  <c r="AD215" i="11"/>
  <c r="AD219" i="11"/>
  <c r="I219" i="11"/>
  <c r="I223" i="11"/>
  <c r="AD223" i="11"/>
  <c r="AD227" i="11"/>
  <c r="I227" i="11"/>
  <c r="I231" i="11"/>
  <c r="AD231" i="11"/>
  <c r="AD235" i="11"/>
  <c r="I235" i="11"/>
  <c r="I239" i="11"/>
  <c r="AD239" i="11"/>
  <c r="AD243" i="11"/>
  <c r="I243" i="11"/>
  <c r="I247" i="11"/>
  <c r="AD247" i="11"/>
  <c r="AD251" i="11"/>
  <c r="I251" i="11"/>
  <c r="I255" i="11"/>
  <c r="AD255" i="11"/>
  <c r="AD259" i="11"/>
  <c r="I259" i="11"/>
  <c r="I263" i="11"/>
  <c r="AD263" i="11"/>
  <c r="I267" i="11"/>
  <c r="AD267" i="11"/>
  <c r="I271" i="11"/>
  <c r="AD271" i="11"/>
  <c r="AD275" i="11"/>
  <c r="I275" i="11"/>
  <c r="I279" i="11"/>
  <c r="AD279" i="11"/>
  <c r="AD283" i="11"/>
  <c r="I283" i="11"/>
  <c r="I287" i="11"/>
  <c r="AD287" i="11"/>
  <c r="AD291" i="11"/>
  <c r="I291" i="11"/>
  <c r="I295" i="11"/>
  <c r="AD295" i="11"/>
  <c r="AD299" i="11"/>
  <c r="I299" i="11"/>
  <c r="I303" i="11"/>
  <c r="AD303" i="11"/>
  <c r="AD307" i="11"/>
  <c r="I307" i="11"/>
  <c r="I311" i="11"/>
  <c r="AD311" i="11"/>
  <c r="AD315" i="11"/>
  <c r="I315" i="11"/>
  <c r="I319" i="11"/>
  <c r="AD319" i="11"/>
  <c r="AD323" i="11"/>
  <c r="I323" i="11"/>
  <c r="I327" i="11"/>
  <c r="AD327" i="11"/>
  <c r="I331" i="11"/>
  <c r="AD331" i="11"/>
  <c r="I335" i="11"/>
  <c r="AD335" i="11"/>
  <c r="AD339" i="11"/>
  <c r="I339" i="11"/>
  <c r="I343" i="11"/>
  <c r="J343" i="11" s="1"/>
  <c r="AD343" i="11"/>
  <c r="AD347" i="11"/>
  <c r="I347" i="11"/>
  <c r="I351" i="11"/>
  <c r="AD351" i="11"/>
  <c r="AD355" i="11"/>
  <c r="I355" i="11"/>
  <c r="I359" i="11"/>
  <c r="AD359" i="11"/>
  <c r="AD363" i="11"/>
  <c r="I363" i="11"/>
  <c r="I367" i="11"/>
  <c r="AD367" i="11"/>
  <c r="AD371" i="11"/>
  <c r="I371" i="11"/>
  <c r="I375" i="11"/>
  <c r="AD375" i="11"/>
  <c r="AD379" i="11"/>
  <c r="I379" i="11"/>
  <c r="I383" i="11"/>
  <c r="AD383" i="11"/>
  <c r="AD387" i="11"/>
  <c r="I387" i="11"/>
  <c r="I391" i="11"/>
  <c r="AD391" i="11"/>
  <c r="I395" i="11"/>
  <c r="AD395" i="11"/>
  <c r="I399" i="11"/>
  <c r="AD399" i="11"/>
  <c r="AD403" i="11"/>
  <c r="I403" i="11"/>
  <c r="I407" i="11"/>
  <c r="O407" i="11" s="1"/>
  <c r="P407" i="11" s="1"/>
  <c r="AD407" i="11"/>
  <c r="AD411" i="11"/>
  <c r="I411" i="11"/>
  <c r="I415" i="11"/>
  <c r="AD415" i="11"/>
  <c r="AD419" i="11"/>
  <c r="I419" i="11"/>
  <c r="I423" i="11"/>
  <c r="AD423" i="11"/>
  <c r="AD427" i="11"/>
  <c r="I427" i="11"/>
  <c r="I431" i="11"/>
  <c r="AD431" i="11"/>
  <c r="AD435" i="11"/>
  <c r="I435" i="11"/>
  <c r="I439" i="11"/>
  <c r="J439" i="11" s="1"/>
  <c r="AD439" i="11"/>
  <c r="AD443" i="11"/>
  <c r="I443" i="11"/>
  <c r="I447" i="11"/>
  <c r="AD447" i="11"/>
  <c r="AD451" i="11"/>
  <c r="I451" i="11"/>
  <c r="I455" i="11"/>
  <c r="AD455" i="11"/>
  <c r="I459" i="11"/>
  <c r="AD459" i="11"/>
  <c r="I463" i="11"/>
  <c r="AD463" i="11"/>
  <c r="AD467" i="11"/>
  <c r="I467" i="11"/>
  <c r="I471" i="11"/>
  <c r="AD471" i="11"/>
  <c r="AD475" i="11"/>
  <c r="I475" i="11"/>
  <c r="I479" i="11"/>
  <c r="AD479" i="11"/>
  <c r="AD483" i="11"/>
  <c r="I483" i="11"/>
  <c r="I487" i="11"/>
  <c r="AD487" i="11"/>
  <c r="AD491" i="11"/>
  <c r="I491" i="11"/>
  <c r="I495" i="11"/>
  <c r="AD495" i="11"/>
  <c r="AD499" i="11"/>
  <c r="I499" i="11"/>
  <c r="I503" i="11"/>
  <c r="AD503" i="11"/>
  <c r="AD507" i="11"/>
  <c r="I507" i="11"/>
  <c r="I511" i="11"/>
  <c r="AD511" i="11"/>
  <c r="AD515" i="11"/>
  <c r="I515" i="11"/>
  <c r="I519" i="11"/>
  <c r="AD519" i="11"/>
  <c r="I523" i="11"/>
  <c r="AD523" i="11"/>
  <c r="I527" i="11"/>
  <c r="AD527" i="11"/>
  <c r="AD531" i="11"/>
  <c r="I531" i="11"/>
  <c r="I535" i="11"/>
  <c r="AD535" i="11"/>
  <c r="AD539" i="11"/>
  <c r="I539" i="11"/>
  <c r="AD543" i="11"/>
  <c r="I543" i="11"/>
  <c r="AD547" i="11"/>
  <c r="I547" i="11"/>
  <c r="AD551" i="11"/>
  <c r="I551" i="11"/>
  <c r="AD555" i="11"/>
  <c r="I555" i="11"/>
  <c r="AD559" i="11"/>
  <c r="I559" i="11"/>
  <c r="AD563" i="11"/>
  <c r="I563" i="11"/>
  <c r="AD567" i="11"/>
  <c r="I567" i="11"/>
  <c r="AD571" i="11"/>
  <c r="I571" i="11"/>
  <c r="AD575" i="11"/>
  <c r="I575" i="11"/>
  <c r="AD579" i="11"/>
  <c r="I579" i="11"/>
  <c r="AD583" i="11"/>
  <c r="I583" i="11"/>
  <c r="AD587" i="11"/>
  <c r="I587" i="11"/>
  <c r="AD591" i="11"/>
  <c r="I591" i="11"/>
  <c r="AD595" i="11"/>
  <c r="I595" i="11"/>
  <c r="AD599" i="11"/>
  <c r="I599" i="11"/>
  <c r="AD603" i="11"/>
  <c r="I603" i="11"/>
  <c r="AD607" i="11"/>
  <c r="I607" i="11"/>
  <c r="AD611" i="11"/>
  <c r="I611" i="11"/>
  <c r="AD615" i="11"/>
  <c r="I615" i="11"/>
  <c r="AD619" i="11"/>
  <c r="I619" i="11"/>
  <c r="AD623" i="11"/>
  <c r="I623" i="11"/>
  <c r="AD627" i="11"/>
  <c r="I627" i="11"/>
  <c r="AD631" i="11"/>
  <c r="I631" i="11"/>
  <c r="AD635" i="11"/>
  <c r="I635" i="11"/>
  <c r="AD639" i="11"/>
  <c r="I639" i="11"/>
  <c r="AD643" i="11"/>
  <c r="I643" i="11"/>
  <c r="AD647" i="11"/>
  <c r="I647" i="11"/>
  <c r="I13" i="11"/>
  <c r="J13" i="11" s="1"/>
  <c r="I12" i="11"/>
  <c r="J12" i="11" s="1"/>
  <c r="I11" i="11"/>
  <c r="J11" i="11" s="1"/>
  <c r="I8" i="11"/>
  <c r="I7" i="11"/>
  <c r="I9" i="11"/>
  <c r="O9" i="11" s="1"/>
  <c r="P9" i="11" s="1"/>
  <c r="I10" i="11"/>
  <c r="O10" i="11" s="1"/>
  <c r="P10" i="11" s="1"/>
  <c r="I6" i="11"/>
  <c r="I5" i="11"/>
  <c r="J5" i="11" s="1"/>
  <c r="I51" i="11"/>
  <c r="O51" i="11" s="1"/>
  <c r="P51" i="11" s="1"/>
  <c r="I50" i="11"/>
  <c r="AD64" i="11"/>
  <c r="AD63" i="11"/>
  <c r="AD62" i="11"/>
  <c r="AD61" i="11"/>
  <c r="AD60" i="11"/>
  <c r="AD59" i="11"/>
  <c r="AD58" i="11"/>
  <c r="AD57" i="11"/>
  <c r="AD56" i="11"/>
  <c r="AD52" i="11"/>
  <c r="AD55" i="11"/>
  <c r="AD54" i="11"/>
  <c r="AD53" i="11"/>
  <c r="O42" i="11"/>
  <c r="P42" i="11" s="1"/>
  <c r="V26" i="4"/>
  <c r="N43" i="4" s="1"/>
  <c r="Z19" i="11" l="1"/>
  <c r="BF23" i="9"/>
  <c r="G20" i="11"/>
  <c r="BF20" i="9" s="1"/>
  <c r="G22" i="11"/>
  <c r="BF22" i="9" s="1"/>
  <c r="Z16" i="11"/>
  <c r="Z6" i="11"/>
  <c r="BF6" i="9" s="1"/>
  <c r="G15" i="11"/>
  <c r="BF15" i="9" s="1"/>
  <c r="G14" i="11"/>
  <c r="BF14" i="9" s="1"/>
  <c r="Z9" i="11"/>
  <c r="BF9" i="9" s="1"/>
  <c r="Z7" i="11"/>
  <c r="BF7" i="9" s="1"/>
  <c r="Z5" i="11"/>
  <c r="BF5" i="9" s="1"/>
  <c r="Z8" i="11"/>
  <c r="BF8" i="9" s="1"/>
  <c r="Z11" i="11"/>
  <c r="Z13" i="11"/>
  <c r="BF13" i="9" s="1"/>
  <c r="Z12" i="11"/>
  <c r="BF12" i="9" s="1"/>
  <c r="Z10" i="11"/>
  <c r="O25" i="11"/>
  <c r="P25" i="11" s="1"/>
  <c r="J26" i="11"/>
  <c r="J8" i="11"/>
  <c r="J7" i="11"/>
  <c r="AI397" i="11"/>
  <c r="AI128" i="11"/>
  <c r="AI470" i="11"/>
  <c r="AI398" i="11"/>
  <c r="AI133" i="11"/>
  <c r="AI257" i="11"/>
  <c r="AI60" i="11"/>
  <c r="AI225" i="11"/>
  <c r="AI68" i="11"/>
  <c r="AI347" i="11"/>
  <c r="AI198" i="11"/>
  <c r="AI98" i="11"/>
  <c r="AI263" i="11"/>
  <c r="AI152" i="11"/>
  <c r="AI238" i="11"/>
  <c r="AI251" i="11"/>
  <c r="AI207" i="11"/>
  <c r="AI222" i="11"/>
  <c r="AI42" i="11"/>
  <c r="AI492" i="11"/>
  <c r="AI236" i="11"/>
  <c r="AI600" i="11"/>
  <c r="AI638" i="11"/>
  <c r="AI606" i="11"/>
  <c r="AI639" i="11"/>
  <c r="AI607" i="11"/>
  <c r="AI580" i="11"/>
  <c r="AI624" i="11"/>
  <c r="AI581" i="11"/>
  <c r="AI487" i="11"/>
  <c r="AI423" i="11"/>
  <c r="AI441" i="11"/>
  <c r="AI475" i="11"/>
  <c r="AI506" i="11"/>
  <c r="AI445" i="11"/>
  <c r="AI552" i="11"/>
  <c r="AI502" i="11"/>
  <c r="AI621" i="11"/>
  <c r="AI549" i="11"/>
  <c r="AI484" i="11"/>
  <c r="AI574" i="11"/>
  <c r="AI542" i="11"/>
  <c r="AI563" i="11"/>
  <c r="AI531" i="11"/>
  <c r="AI426" i="11"/>
  <c r="AI300" i="11"/>
  <c r="AI26" i="11"/>
  <c r="AI464" i="11"/>
  <c r="AI348" i="11"/>
  <c r="AI287" i="11"/>
  <c r="AI428" i="11"/>
  <c r="AI393" i="11"/>
  <c r="AI311" i="11"/>
  <c r="AI11" i="11"/>
  <c r="AI434" i="11"/>
  <c r="AI340" i="11"/>
  <c r="AI290" i="11"/>
  <c r="AI381" i="11"/>
  <c r="AI125" i="11"/>
  <c r="AI181" i="11"/>
  <c r="AI424" i="11"/>
  <c r="AI289" i="11"/>
  <c r="AI417" i="11"/>
  <c r="AI344" i="11"/>
  <c r="AI406" i="11"/>
  <c r="AI313" i="11"/>
  <c r="AI337" i="11"/>
  <c r="AI170" i="11"/>
  <c r="AI89" i="11"/>
  <c r="AI12" i="11"/>
  <c r="AI354" i="11"/>
  <c r="AI94" i="11"/>
  <c r="AI248" i="11"/>
  <c r="AI131" i="11"/>
  <c r="AI136" i="11"/>
  <c r="AI54" i="11"/>
  <c r="AI438" i="11"/>
  <c r="AI224" i="11"/>
  <c r="AI111" i="11"/>
  <c r="AI87" i="11"/>
  <c r="AI336" i="11"/>
  <c r="AI91" i="11"/>
  <c r="AI458" i="11"/>
  <c r="AI366" i="11"/>
  <c r="AI100" i="11"/>
  <c r="AI214" i="11"/>
  <c r="AI31" i="11"/>
  <c r="AI206" i="11"/>
  <c r="AI64" i="11"/>
  <c r="AI269" i="11"/>
  <c r="AI176" i="11"/>
  <c r="AI49" i="11"/>
  <c r="AI156" i="11"/>
  <c r="AI148" i="11"/>
  <c r="AI230" i="11"/>
  <c r="AI247" i="11"/>
  <c r="AI122" i="11"/>
  <c r="AI218" i="11"/>
  <c r="AI270" i="11"/>
  <c r="AI480" i="11"/>
  <c r="AI228" i="11"/>
  <c r="AI75" i="11"/>
  <c r="AI395" i="11"/>
  <c r="AI158" i="11"/>
  <c r="AI48" i="11"/>
  <c r="AI233" i="11"/>
  <c r="AI35" i="11"/>
  <c r="AI113" i="11"/>
  <c r="AI40" i="11"/>
  <c r="AI422" i="11"/>
  <c r="AI182" i="11"/>
  <c r="AI83" i="11"/>
  <c r="AI258" i="11"/>
  <c r="AI212" i="11"/>
  <c r="AI66" i="11"/>
  <c r="AI178" i="11"/>
  <c r="AI267" i="11"/>
  <c r="AI38" i="11"/>
  <c r="AI175" i="11"/>
  <c r="AI415" i="11"/>
  <c r="AI155" i="11"/>
  <c r="AI400" i="11"/>
  <c r="AI242" i="11"/>
  <c r="AI168" i="11"/>
  <c r="AI32" i="11"/>
  <c r="AI124" i="11"/>
  <c r="AI116" i="11"/>
  <c r="AI52" i="11"/>
  <c r="AI239" i="11"/>
  <c r="AI110" i="11"/>
  <c r="AI183" i="11"/>
  <c r="AI154" i="11"/>
  <c r="AI468" i="11"/>
  <c r="AI58" i="11"/>
  <c r="AI610" i="11"/>
  <c r="AI611" i="11"/>
  <c r="AI589" i="11"/>
  <c r="AI483" i="11"/>
  <c r="AI556" i="11"/>
  <c r="AI553" i="11"/>
  <c r="AI575" i="11"/>
  <c r="AI314" i="11"/>
  <c r="AI364" i="11"/>
  <c r="AI409" i="11"/>
  <c r="AI444" i="11"/>
  <c r="AI129" i="11"/>
  <c r="AI343" i="11"/>
  <c r="AI357" i="11"/>
  <c r="AI103" i="11"/>
  <c r="AI112" i="11"/>
  <c r="AI184" i="11"/>
  <c r="AI229" i="11"/>
  <c r="AI592" i="11"/>
  <c r="AI620" i="11"/>
  <c r="AI338" i="11"/>
  <c r="AI325" i="11"/>
  <c r="AI307" i="11"/>
  <c r="AI503" i="11"/>
  <c r="AI335" i="11"/>
  <c r="AI276" i="11"/>
  <c r="AI15" i="11"/>
  <c r="AI149" i="11"/>
  <c r="AI407" i="11"/>
  <c r="AI281" i="11"/>
  <c r="AI408" i="11"/>
  <c r="AI402" i="11"/>
  <c r="AI304" i="11"/>
  <c r="AI76" i="11"/>
  <c r="AI252" i="11"/>
  <c r="AI99" i="11"/>
  <c r="AI430" i="11"/>
  <c r="AI97" i="11"/>
  <c r="AI70" i="11"/>
  <c r="AI96" i="11"/>
  <c r="AI188" i="11"/>
  <c r="AI256" i="11"/>
  <c r="AI36" i="11"/>
  <c r="AI56" i="11"/>
  <c r="AI114" i="11"/>
  <c r="AI472" i="11"/>
  <c r="AI593" i="11"/>
  <c r="AI591" i="11"/>
  <c r="AI425" i="11"/>
  <c r="AI544" i="11"/>
  <c r="AI598" i="11"/>
  <c r="AI369" i="11"/>
  <c r="AI278" i="11"/>
  <c r="AI526" i="11"/>
  <c r="AI373" i="11"/>
  <c r="AI399" i="11"/>
  <c r="AI140" i="11"/>
  <c r="AI576" i="11"/>
  <c r="AI626" i="11"/>
  <c r="AI585" i="11"/>
  <c r="AI627" i="11"/>
  <c r="AI587" i="11"/>
  <c r="AI644" i="11"/>
  <c r="AI612" i="11"/>
  <c r="AI567" i="11"/>
  <c r="AI463" i="11"/>
  <c r="AI481" i="11"/>
  <c r="AI514" i="11"/>
  <c r="AI451" i="11"/>
  <c r="AI485" i="11"/>
  <c r="AI327" i="11"/>
  <c r="AI13" i="11"/>
  <c r="AI540" i="11"/>
  <c r="AI641" i="11"/>
  <c r="AI609" i="11"/>
  <c r="AI537" i="11"/>
  <c r="AI594" i="11"/>
  <c r="AI562" i="11"/>
  <c r="AI530" i="11"/>
  <c r="AI551" i="11"/>
  <c r="AI500" i="11"/>
  <c r="AI353" i="11"/>
  <c r="AI282" i="11"/>
  <c r="AI331" i="11"/>
  <c r="AI432" i="11"/>
  <c r="AI319" i="11"/>
  <c r="AI274" i="11"/>
  <c r="AI504" i="11"/>
  <c r="AI345" i="11"/>
  <c r="AI298" i="11"/>
  <c r="AI522" i="11"/>
  <c r="AI405" i="11"/>
  <c r="AI322" i="11"/>
  <c r="AI389" i="11"/>
  <c r="AI193" i="11"/>
  <c r="AI20" i="11"/>
  <c r="AI339" i="11"/>
  <c r="AI394" i="11"/>
  <c r="AI382" i="11"/>
  <c r="AI387" i="11"/>
  <c r="AI159" i="11"/>
  <c r="AI359" i="11"/>
  <c r="AI192" i="11"/>
  <c r="AI250" i="11"/>
  <c r="AI139" i="11"/>
  <c r="AI71" i="11"/>
  <c r="AI379" i="11"/>
  <c r="AI153" i="11"/>
  <c r="AI367" i="11"/>
  <c r="AI232" i="11"/>
  <c r="AI211" i="11"/>
  <c r="AI109" i="11"/>
  <c r="AI27" i="11"/>
  <c r="AI418" i="11"/>
  <c r="AI177" i="11"/>
  <c r="AI79" i="11"/>
  <c r="AI119" i="11"/>
  <c r="AI208" i="11"/>
  <c r="AI37" i="11"/>
  <c r="AI92" i="11"/>
  <c r="AI200" i="11"/>
  <c r="AI34" i="11"/>
  <c r="AI146" i="11"/>
  <c r="AI383" i="11"/>
  <c r="AI134" i="11"/>
  <c r="AI392" i="11"/>
  <c r="AI234" i="11"/>
  <c r="AI164" i="11"/>
  <c r="AI411" i="11"/>
  <c r="AI106" i="11"/>
  <c r="AI28" i="11"/>
  <c r="AI196" i="11"/>
  <c r="AI235" i="11"/>
  <c r="AI90" i="11"/>
  <c r="AI127" i="11"/>
  <c r="AI305" i="11"/>
  <c r="AI352" i="11"/>
  <c r="AI199" i="11"/>
  <c r="AI93" i="11"/>
  <c r="AI595" i="11"/>
  <c r="AI471" i="11"/>
  <c r="AI493" i="11"/>
  <c r="AI645" i="11"/>
  <c r="AI534" i="11"/>
  <c r="AI333" i="11"/>
  <c r="AI293" i="11"/>
  <c r="AI326" i="11"/>
  <c r="AI117" i="11"/>
  <c r="AI391" i="11"/>
  <c r="AI163" i="11"/>
  <c r="AI261" i="11"/>
  <c r="AI568" i="11"/>
  <c r="AI622" i="11"/>
  <c r="AI577" i="11"/>
  <c r="AI623" i="11"/>
  <c r="AI579" i="11"/>
  <c r="AI640" i="11"/>
  <c r="AI608" i="11"/>
  <c r="AI583" i="11"/>
  <c r="AI455" i="11"/>
  <c r="AI473" i="11"/>
  <c r="AI505" i="11"/>
  <c r="AI443" i="11"/>
  <c r="AI477" i="11"/>
  <c r="AI323" i="11"/>
  <c r="AI536" i="11"/>
  <c r="AI637" i="11"/>
  <c r="AI565" i="11"/>
  <c r="AI533" i="11"/>
  <c r="AI590" i="11"/>
  <c r="AI558" i="11"/>
  <c r="AI511" i="11"/>
  <c r="AI547" i="11"/>
  <c r="AI486" i="11"/>
  <c r="AI332" i="11"/>
  <c r="AI179" i="11"/>
  <c r="AI301" i="11"/>
  <c r="AI412" i="11"/>
  <c r="AI315" i="11"/>
  <c r="AI22" i="11"/>
  <c r="AI478" i="11"/>
  <c r="AI334" i="11"/>
  <c r="AI284" i="11"/>
  <c r="AI466" i="11"/>
  <c r="AI404" i="11"/>
  <c r="AI308" i="11"/>
  <c r="AI169" i="11"/>
  <c r="AI189" i="11"/>
  <c r="AI10" i="11"/>
  <c r="AI525" i="11"/>
  <c r="AI390" i="11"/>
  <c r="AI171" i="11"/>
  <c r="AI378" i="11"/>
  <c r="AI516" i="11"/>
  <c r="AI355" i="11"/>
  <c r="AI174" i="11"/>
  <c r="AI210" i="11"/>
  <c r="AI135" i="11"/>
  <c r="AI57" i="11"/>
  <c r="AI375" i="11"/>
  <c r="AI144" i="11"/>
  <c r="AI350" i="11"/>
  <c r="AI221" i="11"/>
  <c r="AI205" i="11"/>
  <c r="AI104" i="11"/>
  <c r="AI25" i="11"/>
  <c r="AI260" i="11"/>
  <c r="AI173" i="11"/>
  <c r="AI65" i="11"/>
  <c r="AI41" i="11"/>
  <c r="AI194" i="11"/>
  <c r="AI498" i="11"/>
  <c r="AI63" i="11"/>
  <c r="AI195" i="11"/>
  <c r="AI285" i="11"/>
  <c r="AI142" i="11"/>
  <c r="AI268" i="11"/>
  <c r="AI130" i="11"/>
  <c r="AI384" i="11"/>
  <c r="AI226" i="11"/>
  <c r="AI160" i="11"/>
  <c r="AI329" i="11"/>
  <c r="AI273" i="11"/>
  <c r="AI416" i="11"/>
  <c r="AI363" i="11"/>
  <c r="AI231" i="11"/>
  <c r="AI82" i="11"/>
  <c r="AI95" i="11"/>
  <c r="AI209" i="11"/>
  <c r="AI320" i="11"/>
  <c r="AI29" i="11"/>
  <c r="AI642" i="11"/>
  <c r="AI588" i="11"/>
  <c r="AI495" i="11"/>
  <c r="AI449" i="11"/>
  <c r="AI453" i="11"/>
  <c r="AI515" i="11"/>
  <c r="AI488" i="11"/>
  <c r="AI546" i="11"/>
  <c r="AI440" i="11"/>
  <c r="AI490" i="11"/>
  <c r="AI442" i="11"/>
  <c r="AI275" i="11"/>
  <c r="AI294" i="11"/>
  <c r="AI85" i="11"/>
  <c r="AI410" i="11"/>
  <c r="AI197" i="11"/>
  <c r="AI358" i="11"/>
  <c r="AI141" i="11"/>
  <c r="AI450" i="11"/>
  <c r="AI634" i="11"/>
  <c r="AI635" i="11"/>
  <c r="AI572" i="11"/>
  <c r="AI479" i="11"/>
  <c r="AI433" i="11"/>
  <c r="AI501" i="11"/>
  <c r="AI18" i="11"/>
  <c r="AI649" i="11"/>
  <c r="AI602" i="11"/>
  <c r="AI538" i="11"/>
  <c r="AI527" i="11"/>
  <c r="AI385" i="11"/>
  <c r="AI460" i="11"/>
  <c r="AI283" i="11"/>
  <c r="AI377" i="11"/>
  <c r="AI421" i="11"/>
  <c r="AI237" i="11"/>
  <c r="AI45" i="11"/>
  <c r="AI55" i="11"/>
  <c r="AI349" i="11"/>
  <c r="AI19" i="11"/>
  <c r="AI138" i="11"/>
  <c r="AI630" i="11"/>
  <c r="AI648" i="11"/>
  <c r="AI489" i="11"/>
  <c r="AI429" i="11"/>
  <c r="AI541" i="11"/>
  <c r="AI555" i="11"/>
  <c r="AI286" i="11"/>
  <c r="AI324" i="11"/>
  <c r="AI302" i="11"/>
  <c r="AI508" i="11"/>
  <c r="AI403" i="11"/>
  <c r="AI376" i="11"/>
  <c r="AI618" i="11"/>
  <c r="AI569" i="11"/>
  <c r="AI571" i="11"/>
  <c r="AI636" i="11"/>
  <c r="AI604" i="11"/>
  <c r="AI599" i="11"/>
  <c r="AI447" i="11"/>
  <c r="AI465" i="11"/>
  <c r="AI499" i="11"/>
  <c r="AI435" i="11"/>
  <c r="AI469" i="11"/>
  <c r="AI291" i="11"/>
  <c r="AI564" i="11"/>
  <c r="AI524" i="11"/>
  <c r="AI633" i="11"/>
  <c r="AI561" i="11"/>
  <c r="AI529" i="11"/>
  <c r="AI586" i="11"/>
  <c r="AI554" i="11"/>
  <c r="AI494" i="11"/>
  <c r="AI543" i="11"/>
  <c r="AI519" i="11"/>
  <c r="AI328" i="11"/>
  <c r="AI67" i="11"/>
  <c r="AI532" i="11"/>
  <c r="AI396" i="11"/>
  <c r="AI310" i="11"/>
  <c r="AI17" i="11"/>
  <c r="AI456" i="11"/>
  <c r="AI330" i="11"/>
  <c r="AI280" i="11"/>
  <c r="AI462" i="11"/>
  <c r="AI388" i="11"/>
  <c r="AI303" i="11"/>
  <c r="AI137" i="11"/>
  <c r="AI161" i="11"/>
  <c r="AI53" i="11"/>
  <c r="AI517" i="11"/>
  <c r="AI386" i="11"/>
  <c r="AI167" i="11"/>
  <c r="AI374" i="11"/>
  <c r="AI512" i="11"/>
  <c r="AI346" i="11"/>
  <c r="AI165" i="11"/>
  <c r="AI204" i="11"/>
  <c r="AI108" i="11"/>
  <c r="AI44" i="11"/>
  <c r="AI371" i="11"/>
  <c r="AI126" i="11"/>
  <c r="AI297" i="11"/>
  <c r="AI217" i="11"/>
  <c r="AI150" i="11"/>
  <c r="AI86" i="11"/>
  <c r="AI151" i="11"/>
  <c r="AI245" i="11"/>
  <c r="AI147" i="11"/>
  <c r="AI47" i="11"/>
  <c r="AI413" i="11"/>
  <c r="AI190" i="11"/>
  <c r="AI482" i="11"/>
  <c r="AI187" i="11"/>
  <c r="AI277" i="11"/>
  <c r="AI88" i="11"/>
  <c r="AI259" i="11"/>
  <c r="AI101" i="11"/>
  <c r="AI368" i="11"/>
  <c r="AI219" i="11"/>
  <c r="AI123" i="11"/>
  <c r="AI317" i="11"/>
  <c r="AI265" i="11"/>
  <c r="AI254" i="11"/>
  <c r="AI271" i="11"/>
  <c r="AI227" i="11"/>
  <c r="AI78" i="11"/>
  <c r="AI50" i="11"/>
  <c r="AI186" i="11"/>
  <c r="AI264" i="11"/>
  <c r="AI30" i="11"/>
  <c r="AI643" i="11"/>
  <c r="AI628" i="11"/>
  <c r="AI431" i="11"/>
  <c r="AI521" i="11"/>
  <c r="AI16" i="11"/>
  <c r="AI625" i="11"/>
  <c r="AI578" i="11"/>
  <c r="AI535" i="11"/>
  <c r="AI51" i="11"/>
  <c r="AI292" i="11"/>
  <c r="AI312" i="11"/>
  <c r="AI356" i="11"/>
  <c r="AI69" i="11"/>
  <c r="AI436" i="11"/>
  <c r="AI510" i="11"/>
  <c r="AI321" i="11"/>
  <c r="AI341" i="11"/>
  <c r="AI39" i="11"/>
  <c r="AI249" i="11"/>
  <c r="AI72" i="11"/>
  <c r="AI115" i="11"/>
  <c r="AI601" i="11"/>
  <c r="AI603" i="11"/>
  <c r="AI573" i="11"/>
  <c r="AI497" i="11"/>
  <c r="AI467" i="11"/>
  <c r="AI437" i="11"/>
  <c r="AI548" i="11"/>
  <c r="AI617" i="11"/>
  <c r="AI545" i="11"/>
  <c r="AI570" i="11"/>
  <c r="AI559" i="11"/>
  <c r="AI295" i="11"/>
  <c r="AI191" i="11"/>
  <c r="AI296" i="11"/>
  <c r="AI166" i="11"/>
  <c r="AI80" i="11"/>
  <c r="AI62" i="11"/>
  <c r="AI118" i="11"/>
  <c r="AI213" i="11"/>
  <c r="AI220" i="11"/>
  <c r="AI262" i="11"/>
  <c r="AI201" i="11"/>
  <c r="AI23" i="11"/>
  <c r="AI172" i="11"/>
  <c r="AI120" i="11"/>
  <c r="AI243" i="11"/>
  <c r="AI202" i="11"/>
  <c r="AI180" i="11"/>
  <c r="AI185" i="11"/>
  <c r="AI584" i="11"/>
  <c r="AI631" i="11"/>
  <c r="AI616" i="11"/>
  <c r="AI459" i="11"/>
  <c r="AI21" i="11"/>
  <c r="AI613" i="11"/>
  <c r="AI566" i="11"/>
  <c r="AI509" i="11"/>
  <c r="AI446" i="11"/>
  <c r="AI361" i="11"/>
  <c r="AI420" i="11"/>
  <c r="AI61" i="11"/>
  <c r="AI288" i="11"/>
  <c r="AI650" i="11"/>
  <c r="AI619" i="11"/>
  <c r="AI646" i="11"/>
  <c r="AI614" i="11"/>
  <c r="AI647" i="11"/>
  <c r="AI615" i="11"/>
  <c r="AI596" i="11"/>
  <c r="AI632" i="11"/>
  <c r="AI597" i="11"/>
  <c r="AI605" i="11"/>
  <c r="AI439" i="11"/>
  <c r="AI457" i="11"/>
  <c r="AI491" i="11"/>
  <c r="AI427" i="11"/>
  <c r="AI461" i="11"/>
  <c r="AI24" i="11"/>
  <c r="AI560" i="11"/>
  <c r="AI520" i="11"/>
  <c r="AI629" i="11"/>
  <c r="AI557" i="11"/>
  <c r="AI507" i="11"/>
  <c r="AI582" i="11"/>
  <c r="AI550" i="11"/>
  <c r="AI476" i="11"/>
  <c r="AI539" i="11"/>
  <c r="AI454" i="11"/>
  <c r="AI318" i="11"/>
  <c r="AI59" i="11"/>
  <c r="AI528" i="11"/>
  <c r="AI380" i="11"/>
  <c r="AI306" i="11"/>
  <c r="AI14" i="11"/>
  <c r="AI452" i="11"/>
  <c r="AI316" i="11"/>
  <c r="AI279" i="11"/>
  <c r="AI448" i="11"/>
  <c r="AI372" i="11"/>
  <c r="AI299" i="11"/>
  <c r="AI105" i="11"/>
  <c r="AI157" i="11"/>
  <c r="AI365" i="11"/>
  <c r="AI513" i="11"/>
  <c r="AI360" i="11"/>
  <c r="AI518" i="11"/>
  <c r="AI370" i="11"/>
  <c r="AI419" i="11"/>
  <c r="AI342" i="11"/>
  <c r="AI523" i="11"/>
  <c r="AI203" i="11"/>
  <c r="AI107" i="11"/>
  <c r="AI43" i="11"/>
  <c r="AI362" i="11"/>
  <c r="AI121" i="11"/>
  <c r="AI266" i="11"/>
  <c r="AI216" i="11"/>
  <c r="AI145" i="11"/>
  <c r="AI77" i="11"/>
  <c r="AI73" i="11"/>
  <c r="AI240" i="11"/>
  <c r="AI143" i="11"/>
  <c r="AI33" i="11"/>
  <c r="AI401" i="11"/>
  <c r="AI132" i="11"/>
  <c r="AI474" i="11"/>
  <c r="AI414" i="11"/>
  <c r="AI162" i="11"/>
  <c r="AI272" i="11"/>
  <c r="AI84" i="11"/>
  <c r="AI241" i="11"/>
  <c r="AI81" i="11"/>
  <c r="AI351" i="11"/>
  <c r="AI215" i="11"/>
  <c r="AI102" i="11"/>
  <c r="AI309" i="11"/>
  <c r="AI253" i="11"/>
  <c r="AI246" i="11"/>
  <c r="AI255" i="11"/>
  <c r="AI223" i="11"/>
  <c r="AI74" i="11"/>
  <c r="AI46" i="11"/>
  <c r="AI496" i="11"/>
  <c r="AI244" i="11"/>
  <c r="AI9" i="11"/>
  <c r="AI8" i="11"/>
  <c r="AI7" i="11"/>
  <c r="AI6" i="11"/>
  <c r="AI5" i="11"/>
  <c r="O64" i="11"/>
  <c r="P64" i="11" s="1"/>
  <c r="O26" i="11"/>
  <c r="O439" i="11"/>
  <c r="P439" i="11" s="1"/>
  <c r="O493" i="11"/>
  <c r="P493" i="11" s="1"/>
  <c r="O18" i="11"/>
  <c r="P18" i="11" s="1"/>
  <c r="O429" i="11"/>
  <c r="P429" i="11" s="1"/>
  <c r="O128" i="11"/>
  <c r="P128" i="11" s="1"/>
  <c r="O24" i="11"/>
  <c r="O70" i="11"/>
  <c r="P70" i="11" s="1"/>
  <c r="O22" i="11"/>
  <c r="P22" i="11" s="1"/>
  <c r="J647" i="11"/>
  <c r="O595" i="11"/>
  <c r="P595" i="11" s="1"/>
  <c r="J595" i="11"/>
  <c r="O555" i="11"/>
  <c r="P555" i="11" s="1"/>
  <c r="J555" i="11"/>
  <c r="O535" i="11"/>
  <c r="P535" i="11" s="1"/>
  <c r="J535" i="11"/>
  <c r="O415" i="11"/>
  <c r="P415" i="11" s="1"/>
  <c r="J415" i="11"/>
  <c r="O395" i="11"/>
  <c r="P395" i="11" s="1"/>
  <c r="J395" i="11"/>
  <c r="O227" i="11"/>
  <c r="P227" i="11" s="1"/>
  <c r="J227" i="11"/>
  <c r="O207" i="11"/>
  <c r="P207" i="11" s="1"/>
  <c r="J207" i="11"/>
  <c r="J175" i="11"/>
  <c r="J155" i="11"/>
  <c r="O123" i="11"/>
  <c r="P123" i="11" s="1"/>
  <c r="J123" i="11"/>
  <c r="O564" i="11"/>
  <c r="P564" i="11" s="1"/>
  <c r="J564" i="11"/>
  <c r="J552" i="11"/>
  <c r="O532" i="11"/>
  <c r="P532" i="11" s="1"/>
  <c r="J532" i="11"/>
  <c r="J500" i="11"/>
  <c r="O480" i="11"/>
  <c r="P480" i="11" s="1"/>
  <c r="J480" i="11"/>
  <c r="J460" i="11"/>
  <c r="O408" i="11"/>
  <c r="P408" i="11" s="1"/>
  <c r="J408" i="11"/>
  <c r="O388" i="11"/>
  <c r="P388" i="11" s="1"/>
  <c r="J388" i="11"/>
  <c r="O356" i="11"/>
  <c r="P356" i="11" s="1"/>
  <c r="J356" i="11"/>
  <c r="O324" i="11"/>
  <c r="P324" i="11" s="1"/>
  <c r="J324" i="11"/>
  <c r="J304" i="11"/>
  <c r="J284" i="11"/>
  <c r="O252" i="11"/>
  <c r="P252" i="11" s="1"/>
  <c r="J252" i="11"/>
  <c r="J220" i="11"/>
  <c r="O188" i="11"/>
  <c r="P188" i="11" s="1"/>
  <c r="J188" i="11"/>
  <c r="O156" i="11"/>
  <c r="P156" i="11" s="1"/>
  <c r="J156" i="11"/>
  <c r="O116" i="11"/>
  <c r="P116" i="11" s="1"/>
  <c r="J116" i="11"/>
  <c r="J96" i="11"/>
  <c r="O617" i="11"/>
  <c r="P617" i="11" s="1"/>
  <c r="J617" i="11"/>
  <c r="O565" i="11"/>
  <c r="P565" i="11" s="1"/>
  <c r="J565" i="11"/>
  <c r="O533" i="11"/>
  <c r="P533" i="11" s="1"/>
  <c r="J533" i="11"/>
  <c r="O501" i="11"/>
  <c r="P501" i="11" s="1"/>
  <c r="J501" i="11"/>
  <c r="O473" i="11"/>
  <c r="P473" i="11" s="1"/>
  <c r="J473" i="11"/>
  <c r="O441" i="11"/>
  <c r="P441" i="11" s="1"/>
  <c r="J441" i="11"/>
  <c r="J413" i="11"/>
  <c r="O381" i="11"/>
  <c r="P381" i="11" s="1"/>
  <c r="J381" i="11"/>
  <c r="J341" i="11"/>
  <c r="O321" i="11"/>
  <c r="P321" i="11" s="1"/>
  <c r="J321" i="11"/>
  <c r="J289" i="11"/>
  <c r="O269" i="11"/>
  <c r="P269" i="11" s="1"/>
  <c r="J269" i="11"/>
  <c r="J249" i="11"/>
  <c r="O229" i="11"/>
  <c r="P229" i="11" s="1"/>
  <c r="J229" i="11"/>
  <c r="J197" i="11"/>
  <c r="J165" i="11"/>
  <c r="J133" i="11"/>
  <c r="O113" i="11"/>
  <c r="P113" i="11" s="1"/>
  <c r="J113" i="11"/>
  <c r="J81" i="11"/>
  <c r="O602" i="11"/>
  <c r="P602" i="11" s="1"/>
  <c r="J602" i="11"/>
  <c r="O550" i="11"/>
  <c r="P550" i="11" s="1"/>
  <c r="J550" i="11"/>
  <c r="J518" i="11"/>
  <c r="O486" i="11"/>
  <c r="P486" i="11" s="1"/>
  <c r="J486" i="11"/>
  <c r="J406" i="11"/>
  <c r="J366" i="11"/>
  <c r="J334" i="11"/>
  <c r="O314" i="11"/>
  <c r="P314" i="11" s="1"/>
  <c r="J314" i="11"/>
  <c r="O282" i="11"/>
  <c r="P282" i="11" s="1"/>
  <c r="J282" i="11"/>
  <c r="O250" i="11"/>
  <c r="P250" i="11" s="1"/>
  <c r="J250" i="11"/>
  <c r="O218" i="11"/>
  <c r="P218" i="11" s="1"/>
  <c r="J218" i="11"/>
  <c r="J178" i="11"/>
  <c r="O158" i="11"/>
  <c r="P158" i="11" s="1"/>
  <c r="J158" i="11"/>
  <c r="O138" i="11"/>
  <c r="P138" i="11" s="1"/>
  <c r="J138" i="11"/>
  <c r="O106" i="11"/>
  <c r="P106" i="11" s="1"/>
  <c r="J106" i="11"/>
  <c r="O74" i="11"/>
  <c r="P74" i="11" s="1"/>
  <c r="J74" i="11"/>
  <c r="O635" i="11"/>
  <c r="P635" i="11" s="1"/>
  <c r="J635" i="11"/>
  <c r="J615" i="11"/>
  <c r="O575" i="11"/>
  <c r="P575" i="11" s="1"/>
  <c r="J575" i="11"/>
  <c r="J543" i="11"/>
  <c r="O503" i="11"/>
  <c r="P503" i="11" s="1"/>
  <c r="J503" i="11"/>
  <c r="O491" i="11"/>
  <c r="P491" i="11" s="1"/>
  <c r="J491" i="11"/>
  <c r="J471" i="11"/>
  <c r="J423" i="11"/>
  <c r="O403" i="11"/>
  <c r="P403" i="11" s="1"/>
  <c r="J403" i="11"/>
  <c r="J383" i="11"/>
  <c r="O371" i="11"/>
  <c r="P371" i="11" s="1"/>
  <c r="J371" i="11"/>
  <c r="O351" i="11"/>
  <c r="P351" i="11" s="1"/>
  <c r="J351" i="11"/>
  <c r="O311" i="11"/>
  <c r="P311" i="11" s="1"/>
  <c r="J311" i="11"/>
  <c r="O299" i="11"/>
  <c r="P299" i="11" s="1"/>
  <c r="J299" i="11"/>
  <c r="O279" i="11"/>
  <c r="P279" i="11" s="1"/>
  <c r="J279" i="11"/>
  <c r="J247" i="11"/>
  <c r="O195" i="11"/>
  <c r="P195" i="11" s="1"/>
  <c r="J195" i="11"/>
  <c r="O163" i="11"/>
  <c r="P163" i="11" s="1"/>
  <c r="J163" i="11"/>
  <c r="J143" i="11"/>
  <c r="O111" i="11"/>
  <c r="P111" i="11" s="1"/>
  <c r="J111" i="11"/>
  <c r="J91" i="11"/>
  <c r="J71" i="11"/>
  <c r="J59" i="11"/>
  <c r="J43" i="11"/>
  <c r="J35" i="11"/>
  <c r="J27" i="11"/>
  <c r="J28" i="11" s="1"/>
  <c r="O19" i="11"/>
  <c r="P19" i="11" s="1"/>
  <c r="O636" i="11"/>
  <c r="P636" i="11" s="1"/>
  <c r="J636" i="11"/>
  <c r="J624" i="11"/>
  <c r="O604" i="11"/>
  <c r="P604" i="11" s="1"/>
  <c r="J604" i="11"/>
  <c r="J592" i="11"/>
  <c r="O520" i="11"/>
  <c r="P520" i="11" s="1"/>
  <c r="J520" i="11"/>
  <c r="J468" i="11"/>
  <c r="J448" i="11"/>
  <c r="O428" i="11"/>
  <c r="P428" i="11" s="1"/>
  <c r="J428" i="11"/>
  <c r="O376" i="11"/>
  <c r="P376" i="11" s="1"/>
  <c r="J376" i="11"/>
  <c r="O344" i="11"/>
  <c r="P344" i="11" s="1"/>
  <c r="J344" i="11"/>
  <c r="O272" i="11"/>
  <c r="P272" i="11" s="1"/>
  <c r="J272" i="11"/>
  <c r="O240" i="11"/>
  <c r="P240" i="11" s="1"/>
  <c r="J240" i="11"/>
  <c r="J208" i="11"/>
  <c r="O176" i="11"/>
  <c r="P176" i="11" s="1"/>
  <c r="J176" i="11"/>
  <c r="J144" i="11"/>
  <c r="O84" i="11"/>
  <c r="P84" i="11" s="1"/>
  <c r="J84" i="11"/>
  <c r="J40" i="11"/>
  <c r="J637" i="11"/>
  <c r="J605" i="11"/>
  <c r="O585" i="11"/>
  <c r="P585" i="11" s="1"/>
  <c r="J585" i="11"/>
  <c r="J553" i="11"/>
  <c r="J521" i="11"/>
  <c r="J461" i="11"/>
  <c r="O421" i="11"/>
  <c r="P421" i="11" s="1"/>
  <c r="J421" i="11"/>
  <c r="J401" i="11"/>
  <c r="J361" i="11"/>
  <c r="J329" i="11"/>
  <c r="J309" i="11"/>
  <c r="O237" i="11"/>
  <c r="P237" i="11" s="1"/>
  <c r="J237" i="11"/>
  <c r="J217" i="11"/>
  <c r="J185" i="11"/>
  <c r="J153" i="11"/>
  <c r="O121" i="11"/>
  <c r="P121" i="11" s="1"/>
  <c r="J121" i="11"/>
  <c r="J101" i="11"/>
  <c r="J69" i="11"/>
  <c r="J70" i="11" s="1"/>
  <c r="J57" i="11"/>
  <c r="J29" i="11"/>
  <c r="J30" i="11" s="1"/>
  <c r="J17" i="11"/>
  <c r="J18" i="11" s="1"/>
  <c r="J19" i="11" s="1"/>
  <c r="J20" i="11" s="1"/>
  <c r="J642" i="11"/>
  <c r="J622" i="11"/>
  <c r="J590" i="11"/>
  <c r="O570" i="11"/>
  <c r="P570" i="11" s="1"/>
  <c r="J570" i="11"/>
  <c r="O538" i="11"/>
  <c r="P538" i="11" s="1"/>
  <c r="J538" i="11"/>
  <c r="O506" i="11"/>
  <c r="P506" i="11" s="1"/>
  <c r="J506" i="11"/>
  <c r="J466" i="11"/>
  <c r="J446" i="11"/>
  <c r="O426" i="11"/>
  <c r="P426" i="11" s="1"/>
  <c r="J426" i="11"/>
  <c r="J386" i="11"/>
  <c r="O354" i="11"/>
  <c r="P354" i="11" s="1"/>
  <c r="J354" i="11"/>
  <c r="O322" i="11"/>
  <c r="P322" i="11" s="1"/>
  <c r="J322" i="11"/>
  <c r="J302" i="11"/>
  <c r="J270" i="11"/>
  <c r="J238" i="11"/>
  <c r="J206" i="11"/>
  <c r="J126" i="11"/>
  <c r="J94" i="11"/>
  <c r="O603" i="11"/>
  <c r="P603" i="11" s="1"/>
  <c r="J603" i="11"/>
  <c r="J583" i="11"/>
  <c r="O563" i="11"/>
  <c r="P563" i="11" s="1"/>
  <c r="J563" i="11"/>
  <c r="O523" i="11"/>
  <c r="P523" i="11" s="1"/>
  <c r="J523" i="11"/>
  <c r="J459" i="11"/>
  <c r="J431" i="11"/>
  <c r="J411" i="11"/>
  <c r="O331" i="11"/>
  <c r="P331" i="11" s="1"/>
  <c r="J331" i="11"/>
  <c r="J267" i="11"/>
  <c r="O235" i="11"/>
  <c r="P235" i="11" s="1"/>
  <c r="J235" i="11"/>
  <c r="O215" i="11"/>
  <c r="P215" i="11" s="1"/>
  <c r="J215" i="11"/>
  <c r="J183" i="11"/>
  <c r="J131" i="11"/>
  <c r="O99" i="11"/>
  <c r="P99" i="11" s="1"/>
  <c r="J99" i="11"/>
  <c r="O79" i="11"/>
  <c r="P79" i="11" s="1"/>
  <c r="J79" i="11"/>
  <c r="J55" i="11"/>
  <c r="O572" i="11"/>
  <c r="P572" i="11" s="1"/>
  <c r="J572" i="11"/>
  <c r="J560" i="11"/>
  <c r="O540" i="11"/>
  <c r="P540" i="11" s="1"/>
  <c r="J540" i="11"/>
  <c r="O508" i="11"/>
  <c r="P508" i="11" s="1"/>
  <c r="J508" i="11"/>
  <c r="O488" i="11"/>
  <c r="P488" i="11" s="1"/>
  <c r="J488" i="11"/>
  <c r="O436" i="11"/>
  <c r="P436" i="11" s="1"/>
  <c r="J436" i="11"/>
  <c r="J416" i="11"/>
  <c r="O396" i="11"/>
  <c r="P396" i="11" s="1"/>
  <c r="J396" i="11"/>
  <c r="O364" i="11"/>
  <c r="P364" i="11" s="1"/>
  <c r="J364" i="11"/>
  <c r="J332" i="11"/>
  <c r="O312" i="11"/>
  <c r="P312" i="11" s="1"/>
  <c r="J312" i="11"/>
  <c r="J292" i="11"/>
  <c r="O260" i="11"/>
  <c r="P260" i="11" s="1"/>
  <c r="J260" i="11"/>
  <c r="O228" i="11"/>
  <c r="P228" i="11" s="1"/>
  <c r="J228" i="11"/>
  <c r="O196" i="11"/>
  <c r="P196" i="11" s="1"/>
  <c r="J196" i="11"/>
  <c r="J164" i="11"/>
  <c r="O132" i="11"/>
  <c r="P132" i="11" s="1"/>
  <c r="J132" i="11"/>
  <c r="O124" i="11"/>
  <c r="P124" i="11" s="1"/>
  <c r="J124" i="11"/>
  <c r="J104" i="11"/>
  <c r="J72" i="11"/>
  <c r="J60" i="11"/>
  <c r="J44" i="11"/>
  <c r="J45" i="11" s="1"/>
  <c r="O645" i="11"/>
  <c r="P645" i="11" s="1"/>
  <c r="J645" i="11"/>
  <c r="J625" i="11"/>
  <c r="J573" i="11"/>
  <c r="J541" i="11"/>
  <c r="J509" i="11"/>
  <c r="J481" i="11"/>
  <c r="J449" i="11"/>
  <c r="J389" i="11"/>
  <c r="O369" i="11"/>
  <c r="P369" i="11" s="1"/>
  <c r="J369" i="11"/>
  <c r="O349" i="11"/>
  <c r="P349" i="11" s="1"/>
  <c r="J349" i="11"/>
  <c r="O297" i="11"/>
  <c r="P297" i="11" s="1"/>
  <c r="J297" i="11"/>
  <c r="J277" i="11"/>
  <c r="J257" i="11"/>
  <c r="O205" i="11"/>
  <c r="P205" i="11" s="1"/>
  <c r="J205" i="11"/>
  <c r="O173" i="11"/>
  <c r="P173" i="11" s="1"/>
  <c r="J173" i="11"/>
  <c r="O141" i="11"/>
  <c r="P141" i="11" s="1"/>
  <c r="J141" i="11"/>
  <c r="O89" i="11"/>
  <c r="P89" i="11" s="1"/>
  <c r="J89" i="11"/>
  <c r="J53" i="11"/>
  <c r="J37" i="11"/>
  <c r="J21" i="11"/>
  <c r="J22" i="11" s="1"/>
  <c r="J650" i="11"/>
  <c r="J630" i="11"/>
  <c r="J610" i="11"/>
  <c r="J578" i="11"/>
  <c r="J558" i="11"/>
  <c r="J526" i="11"/>
  <c r="J494" i="11"/>
  <c r="O474" i="11"/>
  <c r="P474" i="11" s="1"/>
  <c r="J474" i="11"/>
  <c r="J454" i="11"/>
  <c r="J434" i="11"/>
  <c r="O414" i="11"/>
  <c r="P414" i="11" s="1"/>
  <c r="J414" i="11"/>
  <c r="O394" i="11"/>
  <c r="P394" i="11" s="1"/>
  <c r="J394" i="11"/>
  <c r="J374" i="11"/>
  <c r="J342" i="11"/>
  <c r="O290" i="11"/>
  <c r="P290" i="11" s="1"/>
  <c r="J290" i="11"/>
  <c r="O258" i="11"/>
  <c r="P258" i="11" s="1"/>
  <c r="J258" i="11"/>
  <c r="J226" i="11"/>
  <c r="J186" i="11"/>
  <c r="J166" i="11"/>
  <c r="J146" i="11"/>
  <c r="J114" i="11"/>
  <c r="J82" i="11"/>
  <c r="J62" i="11"/>
  <c r="O643" i="11"/>
  <c r="P643" i="11" s="1"/>
  <c r="J643" i="11"/>
  <c r="O623" i="11"/>
  <c r="P623" i="11" s="1"/>
  <c r="J623" i="11"/>
  <c r="J551" i="11"/>
  <c r="O531" i="11"/>
  <c r="P531" i="11" s="1"/>
  <c r="J531" i="11"/>
  <c r="O511" i="11"/>
  <c r="P511" i="11" s="1"/>
  <c r="J511" i="11"/>
  <c r="O499" i="11"/>
  <c r="P499" i="11" s="1"/>
  <c r="J499" i="11"/>
  <c r="J479" i="11"/>
  <c r="O467" i="11"/>
  <c r="P467" i="11" s="1"/>
  <c r="J467" i="11"/>
  <c r="O447" i="11"/>
  <c r="P447" i="11" s="1"/>
  <c r="J447" i="11"/>
  <c r="O419" i="11"/>
  <c r="P419" i="11" s="1"/>
  <c r="J419" i="11"/>
  <c r="J391" i="11"/>
  <c r="O379" i="11"/>
  <c r="P379" i="11" s="1"/>
  <c r="J379" i="11"/>
  <c r="J359" i="11"/>
  <c r="J347" i="11"/>
  <c r="O339" i="11"/>
  <c r="P339" i="11" s="1"/>
  <c r="J339" i="11"/>
  <c r="J319" i="11"/>
  <c r="O307" i="11"/>
  <c r="P307" i="11" s="1"/>
  <c r="J307" i="11"/>
  <c r="J287" i="11"/>
  <c r="O275" i="11"/>
  <c r="P275" i="11" s="1"/>
  <c r="J275" i="11"/>
  <c r="O255" i="11"/>
  <c r="P255" i="11" s="1"/>
  <c r="J255" i="11"/>
  <c r="O243" i="11"/>
  <c r="P243" i="11" s="1"/>
  <c r="J243" i="11"/>
  <c r="J203" i="11"/>
  <c r="O171" i="11"/>
  <c r="P171" i="11" s="1"/>
  <c r="J171" i="11"/>
  <c r="J151" i="11"/>
  <c r="O119" i="11"/>
  <c r="P119" i="11" s="1"/>
  <c r="J119" i="11"/>
  <c r="J39" i="11"/>
  <c r="O644" i="11"/>
  <c r="P644" i="11" s="1"/>
  <c r="J644" i="11"/>
  <c r="O632" i="11"/>
  <c r="P632" i="11" s="1"/>
  <c r="J632" i="11"/>
  <c r="O612" i="11"/>
  <c r="P612" i="11" s="1"/>
  <c r="J612" i="11"/>
  <c r="O600" i="11"/>
  <c r="P600" i="11" s="1"/>
  <c r="J600" i="11"/>
  <c r="O580" i="11"/>
  <c r="P580" i="11" s="1"/>
  <c r="J580" i="11"/>
  <c r="J528" i="11"/>
  <c r="J496" i="11"/>
  <c r="O476" i="11"/>
  <c r="P476" i="11" s="1"/>
  <c r="J476" i="11"/>
  <c r="O456" i="11"/>
  <c r="P456" i="11" s="1"/>
  <c r="J456" i="11"/>
  <c r="J384" i="11"/>
  <c r="J352" i="11"/>
  <c r="O320" i="11"/>
  <c r="P320" i="11" s="1"/>
  <c r="J320" i="11"/>
  <c r="O300" i="11"/>
  <c r="P300" i="11" s="1"/>
  <c r="J300" i="11"/>
  <c r="O280" i="11"/>
  <c r="P280" i="11" s="1"/>
  <c r="J280" i="11"/>
  <c r="J248" i="11"/>
  <c r="O216" i="11"/>
  <c r="P216" i="11" s="1"/>
  <c r="J216" i="11"/>
  <c r="J184" i="11"/>
  <c r="J152" i="11"/>
  <c r="O112" i="11"/>
  <c r="P112" i="11" s="1"/>
  <c r="J112" i="11"/>
  <c r="O92" i="11"/>
  <c r="P92" i="11" s="1"/>
  <c r="J92" i="11"/>
  <c r="J56" i="11"/>
  <c r="O28" i="11"/>
  <c r="J16" i="11"/>
  <c r="J613" i="11"/>
  <c r="O593" i="11"/>
  <c r="P593" i="11" s="1"/>
  <c r="J593" i="11"/>
  <c r="O561" i="11"/>
  <c r="P561" i="11" s="1"/>
  <c r="J561" i="11"/>
  <c r="O529" i="11"/>
  <c r="P529" i="11" s="1"/>
  <c r="J529" i="11"/>
  <c r="J497" i="11"/>
  <c r="O469" i="11"/>
  <c r="P469" i="11" s="1"/>
  <c r="J469" i="11"/>
  <c r="O437" i="11"/>
  <c r="P437" i="11" s="1"/>
  <c r="J437" i="11"/>
  <c r="J409" i="11"/>
  <c r="J377" i="11"/>
  <c r="O337" i="11"/>
  <c r="P337" i="11" s="1"/>
  <c r="J337" i="11"/>
  <c r="O317" i="11"/>
  <c r="P317" i="11" s="1"/>
  <c r="J317" i="11"/>
  <c r="J245" i="11"/>
  <c r="J225" i="11"/>
  <c r="O193" i="11"/>
  <c r="P193" i="11" s="1"/>
  <c r="J193" i="11"/>
  <c r="J161" i="11"/>
  <c r="O129" i="11"/>
  <c r="P129" i="11" s="1"/>
  <c r="J129" i="11"/>
  <c r="J109" i="11"/>
  <c r="O77" i="11"/>
  <c r="P77" i="11" s="1"/>
  <c r="J77" i="11"/>
  <c r="J598" i="11"/>
  <c r="J546" i="11"/>
  <c r="J514" i="11"/>
  <c r="O482" i="11"/>
  <c r="P482" i="11" s="1"/>
  <c r="J482" i="11"/>
  <c r="O362" i="11"/>
  <c r="P362" i="11" s="1"/>
  <c r="J362" i="11"/>
  <c r="O330" i="11"/>
  <c r="P330" i="11" s="1"/>
  <c r="J330" i="11"/>
  <c r="J310" i="11"/>
  <c r="J278" i="11"/>
  <c r="J246" i="11"/>
  <c r="J214" i="11"/>
  <c r="J134" i="11"/>
  <c r="J102" i="11"/>
  <c r="J38" i="11"/>
  <c r="O30" i="11"/>
  <c r="O6" i="11"/>
  <c r="P6" i="11" s="1"/>
  <c r="J631" i="11"/>
  <c r="O611" i="11"/>
  <c r="P611" i="11" s="1"/>
  <c r="J611" i="11"/>
  <c r="O591" i="11"/>
  <c r="P591" i="11" s="1"/>
  <c r="J591" i="11"/>
  <c r="O571" i="11"/>
  <c r="P571" i="11" s="1"/>
  <c r="J571" i="11"/>
  <c r="O539" i="11"/>
  <c r="P539" i="11" s="1"/>
  <c r="J539" i="11"/>
  <c r="O427" i="11"/>
  <c r="P427" i="11" s="1"/>
  <c r="J427" i="11"/>
  <c r="J223" i="11"/>
  <c r="O191" i="11"/>
  <c r="P191" i="11" s="1"/>
  <c r="J191" i="11"/>
  <c r="O159" i="11"/>
  <c r="P159" i="11" s="1"/>
  <c r="J159" i="11"/>
  <c r="J139" i="11"/>
  <c r="O107" i="11"/>
  <c r="P107" i="11" s="1"/>
  <c r="J107" i="11"/>
  <c r="J87" i="11"/>
  <c r="J67" i="11"/>
  <c r="O568" i="11"/>
  <c r="P568" i="11" s="1"/>
  <c r="J568" i="11"/>
  <c r="O548" i="11"/>
  <c r="P548" i="11" s="1"/>
  <c r="J548" i="11"/>
  <c r="O516" i="11"/>
  <c r="P516" i="11" s="1"/>
  <c r="J516" i="11"/>
  <c r="O464" i="11"/>
  <c r="P464" i="11" s="1"/>
  <c r="J464" i="11"/>
  <c r="O444" i="11"/>
  <c r="P444" i="11" s="1"/>
  <c r="J444" i="11"/>
  <c r="O424" i="11"/>
  <c r="P424" i="11" s="1"/>
  <c r="J424" i="11"/>
  <c r="J404" i="11"/>
  <c r="O372" i="11"/>
  <c r="P372" i="11" s="1"/>
  <c r="J372" i="11"/>
  <c r="O340" i="11"/>
  <c r="P340" i="11" s="1"/>
  <c r="J340" i="11"/>
  <c r="J268" i="11"/>
  <c r="O236" i="11"/>
  <c r="P236" i="11" s="1"/>
  <c r="J236" i="11"/>
  <c r="O204" i="11"/>
  <c r="P204" i="11" s="1"/>
  <c r="J204" i="11"/>
  <c r="O172" i="11"/>
  <c r="P172" i="11" s="1"/>
  <c r="J172" i="11"/>
  <c r="J140" i="11"/>
  <c r="O80" i="11"/>
  <c r="P80" i="11" s="1"/>
  <c r="J80" i="11"/>
  <c r="O20" i="11"/>
  <c r="O633" i="11"/>
  <c r="P633" i="11" s="1"/>
  <c r="J633" i="11"/>
  <c r="O601" i="11"/>
  <c r="P601" i="11" s="1"/>
  <c r="J601" i="11"/>
  <c r="O581" i="11"/>
  <c r="P581" i="11" s="1"/>
  <c r="J581" i="11"/>
  <c r="J549" i="11"/>
  <c r="O517" i="11"/>
  <c r="P517" i="11" s="1"/>
  <c r="J517" i="11"/>
  <c r="J489" i="11"/>
  <c r="J457" i="11"/>
  <c r="J397" i="11"/>
  <c r="O357" i="11"/>
  <c r="P357" i="11" s="1"/>
  <c r="J357" i="11"/>
  <c r="J305" i="11"/>
  <c r="J285" i="11"/>
  <c r="J265" i="11"/>
  <c r="O233" i="11"/>
  <c r="P233" i="11" s="1"/>
  <c r="J233" i="11"/>
  <c r="J213" i="11"/>
  <c r="J181" i="11"/>
  <c r="J149" i="11"/>
  <c r="J97" i="11"/>
  <c r="O65" i="11"/>
  <c r="P65" i="11" s="1"/>
  <c r="J65" i="11"/>
  <c r="J66" i="11" s="1"/>
  <c r="O638" i="11"/>
  <c r="P638" i="11" s="1"/>
  <c r="J638" i="11"/>
  <c r="J618" i="11"/>
  <c r="O586" i="11"/>
  <c r="P586" i="11" s="1"/>
  <c r="J586" i="11"/>
  <c r="J566" i="11"/>
  <c r="J534" i="11"/>
  <c r="J502" i="11"/>
  <c r="J462" i="11"/>
  <c r="O442" i="11"/>
  <c r="P442" i="11" s="1"/>
  <c r="J442" i="11"/>
  <c r="J422" i="11"/>
  <c r="O402" i="11"/>
  <c r="P402" i="11" s="1"/>
  <c r="J402" i="11"/>
  <c r="O382" i="11"/>
  <c r="P382" i="11" s="1"/>
  <c r="J382" i="11"/>
  <c r="O350" i="11"/>
  <c r="P350" i="11" s="1"/>
  <c r="J350" i="11"/>
  <c r="O298" i="11"/>
  <c r="P298" i="11" s="1"/>
  <c r="J298" i="11"/>
  <c r="O266" i="11"/>
  <c r="P266" i="11" s="1"/>
  <c r="J266" i="11"/>
  <c r="O234" i="11"/>
  <c r="P234" i="11" s="1"/>
  <c r="J234" i="11"/>
  <c r="O202" i="11"/>
  <c r="P202" i="11" s="1"/>
  <c r="J202" i="11"/>
  <c r="J194" i="11"/>
  <c r="J174" i="11"/>
  <c r="J154" i="11"/>
  <c r="O122" i="11"/>
  <c r="P122" i="11" s="1"/>
  <c r="J122" i="11"/>
  <c r="J58" i="11"/>
  <c r="O599" i="11"/>
  <c r="P599" i="11" s="1"/>
  <c r="J599" i="11"/>
  <c r="O579" i="11"/>
  <c r="P579" i="11" s="1"/>
  <c r="J579" i="11"/>
  <c r="O559" i="11"/>
  <c r="P559" i="11" s="1"/>
  <c r="J559" i="11"/>
  <c r="J519" i="11"/>
  <c r="O507" i="11"/>
  <c r="P507" i="11" s="1"/>
  <c r="J507" i="11"/>
  <c r="J487" i="11"/>
  <c r="O475" i="11"/>
  <c r="P475" i="11" s="1"/>
  <c r="J475" i="11"/>
  <c r="J455" i="11"/>
  <c r="O443" i="11"/>
  <c r="P443" i="11" s="1"/>
  <c r="J443" i="11"/>
  <c r="O435" i="11"/>
  <c r="P435" i="11" s="1"/>
  <c r="J435" i="11"/>
  <c r="O399" i="11"/>
  <c r="P399" i="11" s="1"/>
  <c r="J399" i="11"/>
  <c r="J387" i="11"/>
  <c r="J367" i="11"/>
  <c r="O355" i="11"/>
  <c r="P355" i="11" s="1"/>
  <c r="J355" i="11"/>
  <c r="O327" i="11"/>
  <c r="P327" i="11" s="1"/>
  <c r="J327" i="11"/>
  <c r="O315" i="11"/>
  <c r="P315" i="11" s="1"/>
  <c r="J315" i="11"/>
  <c r="O295" i="11"/>
  <c r="P295" i="11" s="1"/>
  <c r="J295" i="11"/>
  <c r="J283" i="11"/>
  <c r="O263" i="11"/>
  <c r="P263" i="11" s="1"/>
  <c r="J263" i="11"/>
  <c r="O251" i="11"/>
  <c r="P251" i="11" s="1"/>
  <c r="J251" i="11"/>
  <c r="O211" i="11"/>
  <c r="P211" i="11" s="1"/>
  <c r="J211" i="11"/>
  <c r="O179" i="11"/>
  <c r="P179" i="11" s="1"/>
  <c r="J179" i="11"/>
  <c r="O127" i="11"/>
  <c r="P127" i="11" s="1"/>
  <c r="J127" i="11"/>
  <c r="J75" i="11"/>
  <c r="J31" i="11"/>
  <c r="J32" i="11" s="1"/>
  <c r="J23" i="11"/>
  <c r="J24" i="11" s="1"/>
  <c r="O15" i="11"/>
  <c r="P15" i="11" s="1"/>
  <c r="J15" i="11"/>
  <c r="O640" i="11"/>
  <c r="P640" i="11" s="1"/>
  <c r="J640" i="11"/>
  <c r="O620" i="11"/>
  <c r="P620" i="11" s="1"/>
  <c r="J620" i="11"/>
  <c r="J608" i="11"/>
  <c r="O588" i="11"/>
  <c r="P588" i="11" s="1"/>
  <c r="J588" i="11"/>
  <c r="O536" i="11"/>
  <c r="P536" i="11" s="1"/>
  <c r="J536" i="11"/>
  <c r="J504" i="11"/>
  <c r="O484" i="11"/>
  <c r="P484" i="11" s="1"/>
  <c r="J484" i="11"/>
  <c r="J412" i="11"/>
  <c r="J392" i="11"/>
  <c r="J360" i="11"/>
  <c r="J328" i="11"/>
  <c r="O308" i="11"/>
  <c r="P308" i="11" s="1"/>
  <c r="J308" i="11"/>
  <c r="O288" i="11"/>
  <c r="P288" i="11" s="1"/>
  <c r="J288" i="11"/>
  <c r="O256" i="11"/>
  <c r="P256" i="11" s="1"/>
  <c r="J256" i="11"/>
  <c r="O224" i="11"/>
  <c r="P224" i="11" s="1"/>
  <c r="J224" i="11"/>
  <c r="J192" i="11"/>
  <c r="O160" i="11"/>
  <c r="P160" i="11" s="1"/>
  <c r="J160" i="11"/>
  <c r="O120" i="11"/>
  <c r="P120" i="11" s="1"/>
  <c r="J120" i="11"/>
  <c r="O100" i="11"/>
  <c r="P100" i="11" s="1"/>
  <c r="J100" i="11"/>
  <c r="O68" i="11"/>
  <c r="P68" i="11" s="1"/>
  <c r="J68" i="11"/>
  <c r="O32" i="11"/>
  <c r="O641" i="11"/>
  <c r="P641" i="11" s="1"/>
  <c r="J641" i="11"/>
  <c r="J621" i="11"/>
  <c r="O569" i="11"/>
  <c r="P569" i="11" s="1"/>
  <c r="J569" i="11"/>
  <c r="O537" i="11"/>
  <c r="P537" i="11" s="1"/>
  <c r="J537" i="11"/>
  <c r="O505" i="11"/>
  <c r="P505" i="11" s="1"/>
  <c r="J505" i="11"/>
  <c r="J477" i="11"/>
  <c r="J445" i="11"/>
  <c r="J417" i="11"/>
  <c r="O385" i="11"/>
  <c r="P385" i="11" s="1"/>
  <c r="J385" i="11"/>
  <c r="O345" i="11"/>
  <c r="P345" i="11" s="1"/>
  <c r="J345" i="11"/>
  <c r="J325" i="11"/>
  <c r="O293" i="11"/>
  <c r="P293" i="11" s="1"/>
  <c r="J293" i="11"/>
  <c r="J273" i="11"/>
  <c r="O253" i="11"/>
  <c r="P253" i="11" s="1"/>
  <c r="J253" i="11"/>
  <c r="J201" i="11"/>
  <c r="J169" i="11"/>
  <c r="J137" i="11"/>
  <c r="J117" i="11"/>
  <c r="J85" i="11"/>
  <c r="J49" i="11"/>
  <c r="J33" i="11"/>
  <c r="J34" i="11" s="1"/>
  <c r="O626" i="11"/>
  <c r="P626" i="11" s="1"/>
  <c r="J626" i="11"/>
  <c r="J606" i="11"/>
  <c r="O554" i="11"/>
  <c r="P554" i="11" s="1"/>
  <c r="J554" i="11"/>
  <c r="O522" i="11"/>
  <c r="P522" i="11" s="1"/>
  <c r="J522" i="11"/>
  <c r="O490" i="11"/>
  <c r="P490" i="11" s="1"/>
  <c r="J490" i="11"/>
  <c r="J470" i="11"/>
  <c r="O410" i="11"/>
  <c r="P410" i="11" s="1"/>
  <c r="J410" i="11"/>
  <c r="O390" i="11"/>
  <c r="P390" i="11" s="1"/>
  <c r="J390" i="11"/>
  <c r="J370" i="11"/>
  <c r="O338" i="11"/>
  <c r="P338" i="11" s="1"/>
  <c r="J338" i="11"/>
  <c r="J318" i="11"/>
  <c r="J286" i="11"/>
  <c r="J254" i="11"/>
  <c r="J222" i="11"/>
  <c r="J182" i="11"/>
  <c r="J162" i="11"/>
  <c r="O142" i="11"/>
  <c r="P142" i="11" s="1"/>
  <c r="J142" i="11"/>
  <c r="O110" i="11"/>
  <c r="P110" i="11" s="1"/>
  <c r="J110" i="11"/>
  <c r="J78" i="11"/>
  <c r="J54" i="11"/>
  <c r="J42" i="11"/>
  <c r="O34" i="11"/>
  <c r="O50" i="11"/>
  <c r="P50" i="11" s="1"/>
  <c r="J50" i="11"/>
  <c r="J52" i="11" s="1"/>
  <c r="O639" i="11"/>
  <c r="P639" i="11" s="1"/>
  <c r="J639" i="11"/>
  <c r="O619" i="11"/>
  <c r="P619" i="11" s="1"/>
  <c r="J619" i="11"/>
  <c r="O547" i="11"/>
  <c r="P547" i="11" s="1"/>
  <c r="J547" i="11"/>
  <c r="O343" i="11"/>
  <c r="P343" i="11" s="1"/>
  <c r="O231" i="11"/>
  <c r="P231" i="11" s="1"/>
  <c r="J231" i="11"/>
  <c r="J219" i="11"/>
  <c r="J199" i="11"/>
  <c r="O167" i="11"/>
  <c r="P167" i="11" s="1"/>
  <c r="J167" i="11"/>
  <c r="O147" i="11"/>
  <c r="P147" i="11" s="1"/>
  <c r="J147" i="11"/>
  <c r="O115" i="11"/>
  <c r="P115" i="11" s="1"/>
  <c r="J115" i="11"/>
  <c r="J95" i="11"/>
  <c r="J47" i="11"/>
  <c r="J648" i="11"/>
  <c r="J576" i="11"/>
  <c r="J556" i="11"/>
  <c r="O544" i="11"/>
  <c r="P544" i="11" s="1"/>
  <c r="J544" i="11"/>
  <c r="J524" i="11"/>
  <c r="O492" i="11"/>
  <c r="P492" i="11" s="1"/>
  <c r="J492" i="11"/>
  <c r="J472" i="11"/>
  <c r="O452" i="11"/>
  <c r="P452" i="11" s="1"/>
  <c r="J452" i="11"/>
  <c r="O432" i="11"/>
  <c r="P432" i="11" s="1"/>
  <c r="J432" i="11"/>
  <c r="O380" i="11"/>
  <c r="P380" i="11" s="1"/>
  <c r="J380" i="11"/>
  <c r="O348" i="11"/>
  <c r="P348" i="11" s="1"/>
  <c r="J348" i="11"/>
  <c r="O276" i="11"/>
  <c r="P276" i="11" s="1"/>
  <c r="J276" i="11"/>
  <c r="O244" i="11"/>
  <c r="P244" i="11" s="1"/>
  <c r="J244" i="11"/>
  <c r="J212" i="11"/>
  <c r="O180" i="11"/>
  <c r="P180" i="11" s="1"/>
  <c r="J180" i="11"/>
  <c r="O148" i="11"/>
  <c r="P148" i="11" s="1"/>
  <c r="J148" i="11"/>
  <c r="O108" i="11"/>
  <c r="P108" i="11" s="1"/>
  <c r="J108" i="11"/>
  <c r="J88" i="11"/>
  <c r="O609" i="11"/>
  <c r="P609" i="11" s="1"/>
  <c r="J609" i="11"/>
  <c r="J589" i="11"/>
  <c r="J557" i="11"/>
  <c r="O525" i="11"/>
  <c r="P525" i="11" s="1"/>
  <c r="J525" i="11"/>
  <c r="J465" i="11"/>
  <c r="J433" i="11"/>
  <c r="J425" i="11"/>
  <c r="O405" i="11"/>
  <c r="P405" i="11" s="1"/>
  <c r="J405" i="11"/>
  <c r="O373" i="11"/>
  <c r="P373" i="11" s="1"/>
  <c r="J373" i="11"/>
  <c r="J365" i="11"/>
  <c r="J333" i="11"/>
  <c r="O313" i="11"/>
  <c r="P313" i="11" s="1"/>
  <c r="J313" i="11"/>
  <c r="J241" i="11"/>
  <c r="J221" i="11"/>
  <c r="O189" i="11"/>
  <c r="P189" i="11" s="1"/>
  <c r="J189" i="11"/>
  <c r="J157" i="11"/>
  <c r="O125" i="11"/>
  <c r="P125" i="11" s="1"/>
  <c r="J125" i="11"/>
  <c r="O105" i="11"/>
  <c r="P105" i="11" s="1"/>
  <c r="J105" i="11"/>
  <c r="O73" i="11"/>
  <c r="P73" i="11" s="1"/>
  <c r="J73" i="11"/>
  <c r="J646" i="11"/>
  <c r="O594" i="11"/>
  <c r="P594" i="11" s="1"/>
  <c r="J594" i="11"/>
  <c r="J574" i="11"/>
  <c r="J542" i="11"/>
  <c r="J510" i="11"/>
  <c r="J450" i="11"/>
  <c r="J430" i="11"/>
  <c r="J358" i="11"/>
  <c r="O326" i="11"/>
  <c r="P326" i="11" s="1"/>
  <c r="J326" i="11"/>
  <c r="J306" i="11"/>
  <c r="O274" i="11"/>
  <c r="P274" i="11" s="1"/>
  <c r="J274" i="11"/>
  <c r="J242" i="11"/>
  <c r="J210" i="11"/>
  <c r="O198" i="11"/>
  <c r="P198" i="11" s="1"/>
  <c r="J130" i="11"/>
  <c r="J98" i="11"/>
  <c r="J51" i="11"/>
  <c r="O627" i="11"/>
  <c r="P627" i="11" s="1"/>
  <c r="J627" i="11"/>
  <c r="J607" i="11"/>
  <c r="O587" i="11"/>
  <c r="P587" i="11" s="1"/>
  <c r="J587" i="11"/>
  <c r="J567" i="11"/>
  <c r="O527" i="11"/>
  <c r="P527" i="11" s="1"/>
  <c r="J527" i="11"/>
  <c r="O515" i="11"/>
  <c r="P515" i="11" s="1"/>
  <c r="J515" i="11"/>
  <c r="J495" i="11"/>
  <c r="O483" i="11"/>
  <c r="P483" i="11" s="1"/>
  <c r="J483" i="11"/>
  <c r="O463" i="11"/>
  <c r="P463" i="11" s="1"/>
  <c r="J463" i="11"/>
  <c r="O451" i="11"/>
  <c r="P451" i="11" s="1"/>
  <c r="J451" i="11"/>
  <c r="O423" i="11"/>
  <c r="P423" i="11" s="1"/>
  <c r="J407" i="11"/>
  <c r="O375" i="11"/>
  <c r="P375" i="11" s="1"/>
  <c r="J375" i="11"/>
  <c r="O363" i="11"/>
  <c r="P363" i="11" s="1"/>
  <c r="J363" i="11"/>
  <c r="J335" i="11"/>
  <c r="J323" i="11"/>
  <c r="O303" i="11"/>
  <c r="P303" i="11" s="1"/>
  <c r="J303" i="11"/>
  <c r="O291" i="11"/>
  <c r="P291" i="11" s="1"/>
  <c r="J291" i="11"/>
  <c r="J271" i="11"/>
  <c r="O259" i="11"/>
  <c r="P259" i="11" s="1"/>
  <c r="J259" i="11"/>
  <c r="O239" i="11"/>
  <c r="P239" i="11" s="1"/>
  <c r="J239" i="11"/>
  <c r="O187" i="11"/>
  <c r="P187" i="11" s="1"/>
  <c r="J187" i="11"/>
  <c r="J135" i="11"/>
  <c r="J103" i="11"/>
  <c r="O83" i="11"/>
  <c r="P83" i="11" s="1"/>
  <c r="J83" i="11"/>
  <c r="O71" i="11"/>
  <c r="P71" i="11" s="1"/>
  <c r="O628" i="11"/>
  <c r="P628" i="11" s="1"/>
  <c r="J628" i="11"/>
  <c r="J616" i="11"/>
  <c r="O596" i="11"/>
  <c r="P596" i="11" s="1"/>
  <c r="J596" i="11"/>
  <c r="O584" i="11"/>
  <c r="P584" i="11" s="1"/>
  <c r="J584" i="11"/>
  <c r="O512" i="11"/>
  <c r="P512" i="11" s="1"/>
  <c r="J512" i="11"/>
  <c r="J440" i="11"/>
  <c r="O420" i="11"/>
  <c r="P420" i="11" s="1"/>
  <c r="J420" i="11"/>
  <c r="O400" i="11"/>
  <c r="P400" i="11" s="1"/>
  <c r="J400" i="11"/>
  <c r="O368" i="11"/>
  <c r="P368" i="11" s="1"/>
  <c r="J368" i="11"/>
  <c r="O336" i="11"/>
  <c r="P336" i="11" s="1"/>
  <c r="J336" i="11"/>
  <c r="O316" i="11"/>
  <c r="P316" i="11" s="1"/>
  <c r="J316" i="11"/>
  <c r="O296" i="11"/>
  <c r="P296" i="11" s="1"/>
  <c r="J296" i="11"/>
  <c r="J264" i="11"/>
  <c r="O232" i="11"/>
  <c r="P232" i="11" s="1"/>
  <c r="J232" i="11"/>
  <c r="O200" i="11"/>
  <c r="P200" i="11" s="1"/>
  <c r="J200" i="11"/>
  <c r="O168" i="11"/>
  <c r="P168" i="11" s="1"/>
  <c r="J168" i="11"/>
  <c r="J136" i="11"/>
  <c r="J76" i="11"/>
  <c r="O48" i="11"/>
  <c r="P48" i="11" s="1"/>
  <c r="J48" i="11"/>
  <c r="J649" i="11"/>
  <c r="O629" i="11"/>
  <c r="P629" i="11" s="1"/>
  <c r="J629" i="11"/>
  <c r="O597" i="11"/>
  <c r="P597" i="11" s="1"/>
  <c r="J597" i="11"/>
  <c r="J577" i="11"/>
  <c r="J545" i="11"/>
  <c r="J513" i="11"/>
  <c r="O485" i="11"/>
  <c r="P485" i="11" s="1"/>
  <c r="J485" i="11"/>
  <c r="O453" i="11"/>
  <c r="P453" i="11" s="1"/>
  <c r="J453" i="11"/>
  <c r="J393" i="11"/>
  <c r="O353" i="11"/>
  <c r="P353" i="11" s="1"/>
  <c r="J353" i="11"/>
  <c r="O301" i="11"/>
  <c r="P301" i="11" s="1"/>
  <c r="J301" i="11"/>
  <c r="J281" i="11"/>
  <c r="O261" i="11"/>
  <c r="P261" i="11" s="1"/>
  <c r="J261" i="11"/>
  <c r="J209" i="11"/>
  <c r="J177" i="11"/>
  <c r="J145" i="11"/>
  <c r="O93" i="11"/>
  <c r="P93" i="11" s="1"/>
  <c r="J93" i="11"/>
  <c r="O45" i="11"/>
  <c r="P45" i="11" s="1"/>
  <c r="J41" i="11"/>
  <c r="O634" i="11"/>
  <c r="P634" i="11" s="1"/>
  <c r="J634" i="11"/>
  <c r="J614" i="11"/>
  <c r="J582" i="11"/>
  <c r="J562" i="11"/>
  <c r="O530" i="11"/>
  <c r="P530" i="11" s="1"/>
  <c r="J530" i="11"/>
  <c r="J498" i="11"/>
  <c r="J478" i="11"/>
  <c r="O466" i="11"/>
  <c r="P466" i="11" s="1"/>
  <c r="O458" i="11"/>
  <c r="P458" i="11" s="1"/>
  <c r="J458" i="11"/>
  <c r="J438" i="11"/>
  <c r="O418" i="11"/>
  <c r="P418" i="11" s="1"/>
  <c r="J418" i="11"/>
  <c r="J398" i="11"/>
  <c r="O386" i="11"/>
  <c r="P386" i="11" s="1"/>
  <c r="O378" i="11"/>
  <c r="P378" i="11" s="1"/>
  <c r="J378" i="11"/>
  <c r="O346" i="11"/>
  <c r="P346" i="11" s="1"/>
  <c r="J346" i="11"/>
  <c r="J294" i="11"/>
  <c r="J262" i="11"/>
  <c r="J230" i="11"/>
  <c r="O170" i="11"/>
  <c r="P170" i="11" s="1"/>
  <c r="J170" i="11"/>
  <c r="J150" i="11"/>
  <c r="J118" i="11"/>
  <c r="J86" i="11"/>
  <c r="O66" i="11"/>
  <c r="P66" i="11" s="1"/>
  <c r="O14" i="11"/>
  <c r="P14" i="11" s="1"/>
  <c r="J14" i="11"/>
  <c r="J10" i="11"/>
  <c r="J6" i="11"/>
  <c r="J9" i="11"/>
  <c r="O88" i="11"/>
  <c r="P88" i="11" s="1"/>
  <c r="O409" i="11"/>
  <c r="P409" i="11" s="1"/>
  <c r="O145" i="11"/>
  <c r="P145" i="11" s="1"/>
  <c r="O190" i="11"/>
  <c r="P190" i="11" s="1"/>
  <c r="O433" i="11"/>
  <c r="P433" i="11" s="1"/>
  <c r="O613" i="11"/>
  <c r="P613" i="11" s="1"/>
  <c r="O425" i="11"/>
  <c r="P425" i="11" s="1"/>
  <c r="O518" i="11"/>
  <c r="P518" i="11" s="1"/>
  <c r="O510" i="11"/>
  <c r="P510" i="11" s="1"/>
  <c r="O454" i="11"/>
  <c r="P454" i="11" s="1"/>
  <c r="O286" i="11"/>
  <c r="P286" i="11" s="1"/>
  <c r="O412" i="11"/>
  <c r="P412" i="11" s="1"/>
  <c r="O133" i="11"/>
  <c r="P133" i="11" s="1"/>
  <c r="O462" i="11"/>
  <c r="P462" i="11" s="1"/>
  <c r="O359" i="11"/>
  <c r="P359" i="11" s="1"/>
  <c r="O46" i="11"/>
  <c r="P46" i="11" s="1"/>
  <c r="O615" i="11"/>
  <c r="P615" i="11" s="1"/>
  <c r="O422" i="11"/>
  <c r="P422" i="11" s="1"/>
  <c r="O90" i="11"/>
  <c r="P90" i="11" s="1"/>
  <c r="O347" i="11"/>
  <c r="P347" i="11" s="1"/>
  <c r="O72" i="11"/>
  <c r="P72" i="11" s="1"/>
  <c r="O98" i="11"/>
  <c r="P98" i="11" s="1"/>
  <c r="O78" i="11"/>
  <c r="P78" i="11" s="1"/>
  <c r="O389" i="11"/>
  <c r="P389" i="11" s="1"/>
  <c r="O487" i="11"/>
  <c r="P487" i="11" s="1"/>
  <c r="O459" i="11"/>
  <c r="P459" i="11" s="1"/>
  <c r="O391" i="11"/>
  <c r="P391" i="11" s="1"/>
  <c r="O319" i="11"/>
  <c r="P319" i="11" s="1"/>
  <c r="O264" i="11"/>
  <c r="P264" i="11" s="1"/>
  <c r="O649" i="11"/>
  <c r="P649" i="11" s="1"/>
  <c r="O621" i="11"/>
  <c r="P621" i="11" s="1"/>
  <c r="O553" i="11"/>
  <c r="P553" i="11" s="1"/>
  <c r="O465" i="11"/>
  <c r="P465" i="11" s="1"/>
  <c r="O305" i="11"/>
  <c r="P305" i="11" s="1"/>
  <c r="O273" i="11"/>
  <c r="P273" i="11" s="1"/>
  <c r="O265" i="11"/>
  <c r="P265" i="11" s="1"/>
  <c r="O161" i="11"/>
  <c r="P161" i="11" s="1"/>
  <c r="O117" i="11"/>
  <c r="P117" i="11" s="1"/>
  <c r="O17" i="11"/>
  <c r="P17" i="11" s="1"/>
  <c r="O642" i="11"/>
  <c r="P642" i="11" s="1"/>
  <c r="O526" i="11"/>
  <c r="P526" i="11" s="1"/>
  <c r="O294" i="11"/>
  <c r="P294" i="11" s="1"/>
  <c r="O226" i="11"/>
  <c r="P226" i="11" s="1"/>
  <c r="O210" i="11"/>
  <c r="P210" i="11" s="1"/>
  <c r="O126" i="11"/>
  <c r="P126" i="11" s="1"/>
  <c r="O551" i="11"/>
  <c r="P551" i="11" s="1"/>
  <c r="O143" i="11"/>
  <c r="P143" i="11" s="1"/>
  <c r="O164" i="11"/>
  <c r="P164" i="11" s="1"/>
  <c r="O220" i="11"/>
  <c r="P220" i="11" s="1"/>
  <c r="O504" i="11"/>
  <c r="P504" i="11" s="1"/>
  <c r="O448" i="11"/>
  <c r="P448" i="11" s="1"/>
  <c r="O184" i="11"/>
  <c r="P184" i="11" s="1"/>
  <c r="O140" i="11"/>
  <c r="P140" i="11" s="1"/>
  <c r="O589" i="11"/>
  <c r="P589" i="11" s="1"/>
  <c r="O497" i="11"/>
  <c r="P497" i="11" s="1"/>
  <c r="O457" i="11"/>
  <c r="P457" i="11" s="1"/>
  <c r="O397" i="11"/>
  <c r="P397" i="11" s="1"/>
  <c r="O289" i="11"/>
  <c r="P289" i="11" s="1"/>
  <c r="O257" i="11"/>
  <c r="P257" i="11" s="1"/>
  <c r="O177" i="11"/>
  <c r="P177" i="11" s="1"/>
  <c r="O169" i="11"/>
  <c r="P169" i="11" s="1"/>
  <c r="O49" i="11"/>
  <c r="P49" i="11" s="1"/>
  <c r="O614" i="11"/>
  <c r="P614" i="11" s="1"/>
  <c r="O578" i="11"/>
  <c r="P578" i="11" s="1"/>
  <c r="O542" i="11"/>
  <c r="P542" i="11" s="1"/>
  <c r="O366" i="11"/>
  <c r="P366" i="11" s="1"/>
  <c r="O358" i="11"/>
  <c r="P358" i="11" s="1"/>
  <c r="O302" i="11"/>
  <c r="P302" i="11" s="1"/>
  <c r="O270" i="11"/>
  <c r="P270" i="11" s="1"/>
  <c r="O262" i="11"/>
  <c r="P262" i="11" s="1"/>
  <c r="O186" i="11"/>
  <c r="P186" i="11" s="1"/>
  <c r="O608" i="11"/>
  <c r="P608" i="11" s="1"/>
  <c r="O631" i="11"/>
  <c r="P631" i="11" s="1"/>
  <c r="O455" i="11"/>
  <c r="P455" i="11" s="1"/>
  <c r="O323" i="11"/>
  <c r="P323" i="11" s="1"/>
  <c r="O144" i="11"/>
  <c r="P144" i="11" s="1"/>
  <c r="O478" i="11"/>
  <c r="P478" i="11" s="1"/>
  <c r="O206" i="11"/>
  <c r="P206" i="11" s="1"/>
  <c r="O94" i="11"/>
  <c r="P94" i="11" s="1"/>
  <c r="O33" i="11"/>
  <c r="P33" i="11" s="1"/>
  <c r="O468" i="11"/>
  <c r="P468" i="11" s="1"/>
  <c r="O549" i="11"/>
  <c r="P549" i="11" s="1"/>
  <c r="O521" i="11"/>
  <c r="P521" i="11" s="1"/>
  <c r="O461" i="11"/>
  <c r="P461" i="11" s="1"/>
  <c r="O137" i="11"/>
  <c r="P137" i="11" s="1"/>
  <c r="O85" i="11"/>
  <c r="P85" i="11" s="1"/>
  <c r="O610" i="11"/>
  <c r="P610" i="11" s="1"/>
  <c r="O590" i="11"/>
  <c r="P590" i="11" s="1"/>
  <c r="O582" i="11"/>
  <c r="P582" i="11" s="1"/>
  <c r="O546" i="11"/>
  <c r="P546" i="11" s="1"/>
  <c r="O222" i="11"/>
  <c r="P222" i="11" s="1"/>
  <c r="O383" i="11"/>
  <c r="P383" i="11" s="1"/>
  <c r="O47" i="11"/>
  <c r="P47" i="11" s="1"/>
  <c r="O341" i="11"/>
  <c r="P341" i="11" s="1"/>
  <c r="O309" i="11"/>
  <c r="P309" i="11" s="1"/>
  <c r="O241" i="11"/>
  <c r="P241" i="11" s="1"/>
  <c r="O221" i="11"/>
  <c r="P221" i="11" s="1"/>
  <c r="O197" i="11"/>
  <c r="P197" i="11" s="1"/>
  <c r="O165" i="11"/>
  <c r="P165" i="11" s="1"/>
  <c r="O622" i="11"/>
  <c r="P622" i="11" s="1"/>
  <c r="O130" i="11"/>
  <c r="P130" i="11" s="1"/>
  <c r="O495" i="11"/>
  <c r="P495" i="11" s="1"/>
  <c r="O471" i="11"/>
  <c r="P471" i="11" s="1"/>
  <c r="O411" i="11"/>
  <c r="P411" i="11" s="1"/>
  <c r="O283" i="11"/>
  <c r="P283" i="11" s="1"/>
  <c r="O175" i="11"/>
  <c r="P175" i="11" s="1"/>
  <c r="O352" i="11"/>
  <c r="P352" i="11" s="1"/>
  <c r="O557" i="11"/>
  <c r="P557" i="11" s="1"/>
  <c r="O401" i="11"/>
  <c r="P401" i="11" s="1"/>
  <c r="O606" i="11"/>
  <c r="P606" i="11" s="1"/>
  <c r="O514" i="11"/>
  <c r="P514" i="11" s="1"/>
  <c r="O446" i="11"/>
  <c r="P446" i="11" s="1"/>
  <c r="O238" i="11"/>
  <c r="P238" i="11" s="1"/>
  <c r="O230" i="11"/>
  <c r="P230" i="11" s="1"/>
  <c r="O91" i="11"/>
  <c r="P91" i="11" s="1"/>
  <c r="O75" i="11"/>
  <c r="P75" i="11" s="1"/>
  <c r="O460" i="11"/>
  <c r="P460" i="11" s="1"/>
  <c r="O268" i="11"/>
  <c r="P268" i="11" s="1"/>
  <c r="O625" i="11"/>
  <c r="P625" i="11" s="1"/>
  <c r="O225" i="11"/>
  <c r="P225" i="11" s="1"/>
  <c r="O209" i="11"/>
  <c r="P209" i="11" s="1"/>
  <c r="O201" i="11"/>
  <c r="P201" i="11" s="1"/>
  <c r="O157" i="11"/>
  <c r="P157" i="11" s="1"/>
  <c r="O558" i="11"/>
  <c r="P558" i="11" s="1"/>
  <c r="O398" i="11"/>
  <c r="P398" i="11" s="1"/>
  <c r="O254" i="11"/>
  <c r="P254" i="11" s="1"/>
  <c r="O194" i="11"/>
  <c r="P194" i="11" s="1"/>
  <c r="O162" i="11"/>
  <c r="P162" i="11" s="1"/>
  <c r="O102" i="11"/>
  <c r="P102" i="11" s="1"/>
  <c r="O82" i="11"/>
  <c r="P82" i="11" s="1"/>
  <c r="O392" i="11"/>
  <c r="P392" i="11" s="1"/>
  <c r="O393" i="11"/>
  <c r="P393" i="11" s="1"/>
  <c r="O377" i="11"/>
  <c r="P377" i="11" s="1"/>
  <c r="O567" i="11"/>
  <c r="P567" i="11" s="1"/>
  <c r="O387" i="11"/>
  <c r="P387" i="11" s="1"/>
  <c r="O139" i="11"/>
  <c r="P139" i="11" s="1"/>
  <c r="O109" i="11"/>
  <c r="P109" i="11" s="1"/>
  <c r="O494" i="11"/>
  <c r="P494" i="11" s="1"/>
  <c r="O334" i="11"/>
  <c r="P334" i="11" s="1"/>
  <c r="O118" i="11"/>
  <c r="P118" i="11" s="1"/>
  <c r="O86" i="11"/>
  <c r="P86" i="11" s="1"/>
  <c r="O592" i="11"/>
  <c r="P592" i="11" s="1"/>
  <c r="O556" i="11"/>
  <c r="P556" i="11" s="1"/>
  <c r="O23" i="11"/>
  <c r="P23" i="11" s="1"/>
  <c r="O607" i="11"/>
  <c r="P607" i="11" s="1"/>
  <c r="O543" i="11"/>
  <c r="P543" i="11" s="1"/>
  <c r="O479" i="11"/>
  <c r="P479" i="11" s="1"/>
  <c r="O431" i="11"/>
  <c r="P431" i="11" s="1"/>
  <c r="O335" i="11"/>
  <c r="P335" i="11" s="1"/>
  <c r="O287" i="11"/>
  <c r="P287" i="11" s="1"/>
  <c r="O267" i="11"/>
  <c r="P267" i="11" s="1"/>
  <c r="O247" i="11"/>
  <c r="P247" i="11" s="1"/>
  <c r="O219" i="11"/>
  <c r="P219" i="11" s="1"/>
  <c r="O151" i="11"/>
  <c r="P151" i="11" s="1"/>
  <c r="O103" i="11"/>
  <c r="P103" i="11" s="1"/>
  <c r="O500" i="11"/>
  <c r="P500" i="11" s="1"/>
  <c r="O624" i="11"/>
  <c r="P624" i="11" s="1"/>
  <c r="O616" i="11"/>
  <c r="P616" i="11" s="1"/>
  <c r="O560" i="11"/>
  <c r="P560" i="11" s="1"/>
  <c r="O552" i="11"/>
  <c r="P552" i="11" s="1"/>
  <c r="O496" i="11"/>
  <c r="P496" i="11" s="1"/>
  <c r="O440" i="11"/>
  <c r="P440" i="11" s="1"/>
  <c r="O384" i="11"/>
  <c r="P384" i="11" s="1"/>
  <c r="O328" i="11"/>
  <c r="P328" i="11" s="1"/>
  <c r="O208" i="11"/>
  <c r="P208" i="11" s="1"/>
  <c r="O96" i="11"/>
  <c r="P96" i="11" s="1"/>
  <c r="O76" i="11"/>
  <c r="P76" i="11" s="1"/>
  <c r="O637" i="11"/>
  <c r="P637" i="11" s="1"/>
  <c r="O605" i="11"/>
  <c r="P605" i="11" s="1"/>
  <c r="O573" i="11"/>
  <c r="P573" i="11" s="1"/>
  <c r="O541" i="11"/>
  <c r="P541" i="11" s="1"/>
  <c r="O509" i="11"/>
  <c r="P509" i="11" s="1"/>
  <c r="O477" i="11"/>
  <c r="P477" i="11" s="1"/>
  <c r="O361" i="11"/>
  <c r="P361" i="11" s="1"/>
  <c r="O329" i="11"/>
  <c r="P329" i="11" s="1"/>
  <c r="O97" i="11"/>
  <c r="P97" i="11" s="1"/>
  <c r="O562" i="11"/>
  <c r="P562" i="11" s="1"/>
  <c r="O498" i="11"/>
  <c r="P498" i="11" s="1"/>
  <c r="O434" i="11"/>
  <c r="P434" i="11" s="1"/>
  <c r="O370" i="11"/>
  <c r="P370" i="11" s="1"/>
  <c r="O306" i="11"/>
  <c r="P306" i="11" s="1"/>
  <c r="O242" i="11"/>
  <c r="P242" i="11" s="1"/>
  <c r="O178" i="11"/>
  <c r="P178" i="11" s="1"/>
  <c r="O166" i="11"/>
  <c r="P166" i="11" s="1"/>
  <c r="O146" i="11"/>
  <c r="P146" i="11" s="1"/>
  <c r="O134" i="11"/>
  <c r="P134" i="11" s="1"/>
  <c r="O114" i="11"/>
  <c r="P114" i="11" s="1"/>
  <c r="O199" i="11"/>
  <c r="P199" i="11" s="1"/>
  <c r="O131" i="11"/>
  <c r="P131" i="11" s="1"/>
  <c r="O212" i="11"/>
  <c r="P212" i="11" s="1"/>
  <c r="O524" i="11"/>
  <c r="P524" i="11" s="1"/>
  <c r="O152" i="11"/>
  <c r="P152" i="11" s="1"/>
  <c r="O445" i="11"/>
  <c r="P445" i="11" s="1"/>
  <c r="O413" i="11"/>
  <c r="P413" i="11" s="1"/>
  <c r="O277" i="11"/>
  <c r="P277" i="11" s="1"/>
  <c r="O245" i="11"/>
  <c r="P245" i="11" s="1"/>
  <c r="O213" i="11"/>
  <c r="P213" i="11" s="1"/>
  <c r="O181" i="11"/>
  <c r="P181" i="11" s="1"/>
  <c r="O149" i="11"/>
  <c r="P149" i="11" s="1"/>
  <c r="O16" i="11"/>
  <c r="P16" i="11" s="1"/>
  <c r="O650" i="11"/>
  <c r="P650" i="11" s="1"/>
  <c r="O618" i="11"/>
  <c r="P618" i="11" s="1"/>
  <c r="O647" i="11"/>
  <c r="P647" i="11" s="1"/>
  <c r="O583" i="11"/>
  <c r="P583" i="11" s="1"/>
  <c r="O519" i="11"/>
  <c r="P519" i="11" s="1"/>
  <c r="O367" i="11"/>
  <c r="P367" i="11" s="1"/>
  <c r="O271" i="11"/>
  <c r="P271" i="11" s="1"/>
  <c r="O223" i="11"/>
  <c r="P223" i="11" s="1"/>
  <c r="O183" i="11"/>
  <c r="P183" i="11" s="1"/>
  <c r="O135" i="11"/>
  <c r="P135" i="11" s="1"/>
  <c r="O87" i="11"/>
  <c r="P87" i="11" s="1"/>
  <c r="O528" i="11"/>
  <c r="P528" i="11" s="1"/>
  <c r="O472" i="11"/>
  <c r="P472" i="11" s="1"/>
  <c r="O416" i="11"/>
  <c r="P416" i="11" s="1"/>
  <c r="O360" i="11"/>
  <c r="P360" i="11" s="1"/>
  <c r="O304" i="11"/>
  <c r="P304" i="11" s="1"/>
  <c r="O248" i="11"/>
  <c r="P248" i="11" s="1"/>
  <c r="O192" i="11"/>
  <c r="P192" i="11" s="1"/>
  <c r="O136" i="11"/>
  <c r="P136" i="11" s="1"/>
  <c r="O577" i="11"/>
  <c r="P577" i="11" s="1"/>
  <c r="O545" i="11"/>
  <c r="P545" i="11" s="1"/>
  <c r="O513" i="11"/>
  <c r="P513" i="11" s="1"/>
  <c r="O481" i="11"/>
  <c r="P481" i="11" s="1"/>
  <c r="O449" i="11"/>
  <c r="P449" i="11" s="1"/>
  <c r="O417" i="11"/>
  <c r="P417" i="11" s="1"/>
  <c r="O281" i="11"/>
  <c r="P281" i="11" s="1"/>
  <c r="O249" i="11"/>
  <c r="P249" i="11" s="1"/>
  <c r="O217" i="11"/>
  <c r="P217" i="11" s="1"/>
  <c r="O185" i="11"/>
  <c r="P185" i="11" s="1"/>
  <c r="O153" i="11"/>
  <c r="P153" i="11" s="1"/>
  <c r="O81" i="11"/>
  <c r="P81" i="11" s="1"/>
  <c r="O69" i="11"/>
  <c r="P69" i="11" s="1"/>
  <c r="O630" i="11"/>
  <c r="P630" i="11" s="1"/>
  <c r="O598" i="11"/>
  <c r="P598" i="11" s="1"/>
  <c r="O566" i="11"/>
  <c r="P566" i="11" s="1"/>
  <c r="O534" i="11"/>
  <c r="P534" i="11" s="1"/>
  <c r="O502" i="11"/>
  <c r="P502" i="11" s="1"/>
  <c r="O470" i="11"/>
  <c r="P470" i="11" s="1"/>
  <c r="O438" i="11"/>
  <c r="P438" i="11" s="1"/>
  <c r="O406" i="11"/>
  <c r="P406" i="11" s="1"/>
  <c r="O374" i="11"/>
  <c r="P374" i="11" s="1"/>
  <c r="O342" i="11"/>
  <c r="P342" i="11" s="1"/>
  <c r="O310" i="11"/>
  <c r="P310" i="11" s="1"/>
  <c r="O278" i="11"/>
  <c r="P278" i="11" s="1"/>
  <c r="O246" i="11"/>
  <c r="P246" i="11" s="1"/>
  <c r="O214" i="11"/>
  <c r="P214" i="11" s="1"/>
  <c r="O182" i="11"/>
  <c r="P182" i="11" s="1"/>
  <c r="O150" i="11"/>
  <c r="P150" i="11" s="1"/>
  <c r="O203" i="11"/>
  <c r="P203" i="11" s="1"/>
  <c r="O155" i="11"/>
  <c r="P155" i="11" s="1"/>
  <c r="O67" i="11"/>
  <c r="P67" i="11" s="1"/>
  <c r="O332" i="11"/>
  <c r="P332" i="11" s="1"/>
  <c r="O365" i="11"/>
  <c r="P365" i="11" s="1"/>
  <c r="O333" i="11"/>
  <c r="P333" i="11" s="1"/>
  <c r="O101" i="11"/>
  <c r="P101" i="11" s="1"/>
  <c r="O13" i="11"/>
  <c r="P13" i="11" s="1"/>
  <c r="O12" i="11"/>
  <c r="P12" i="11" s="1"/>
  <c r="O11" i="11"/>
  <c r="P11" i="11" s="1"/>
  <c r="O8" i="11"/>
  <c r="P8" i="11" s="1"/>
  <c r="O7" i="11"/>
  <c r="P7" i="11" s="1"/>
  <c r="O5" i="11"/>
  <c r="O58" i="11"/>
  <c r="P58" i="11" s="1"/>
  <c r="O62" i="11"/>
  <c r="P62" i="11" s="1"/>
  <c r="O57" i="11"/>
  <c r="P57" i="11" s="1"/>
  <c r="O63" i="11"/>
  <c r="P63" i="11" s="1"/>
  <c r="O61" i="11"/>
  <c r="P61" i="11" s="1"/>
  <c r="O59" i="11"/>
  <c r="P59" i="11" s="1"/>
  <c r="O44" i="11"/>
  <c r="P44" i="11" s="1"/>
  <c r="O40" i="11"/>
  <c r="P40" i="11" s="1"/>
  <c r="O37" i="11"/>
  <c r="P37" i="11" s="1"/>
  <c r="O35" i="11"/>
  <c r="P35" i="11" s="1"/>
  <c r="O36" i="11"/>
  <c r="P36" i="11" s="1"/>
  <c r="P26" i="11" l="1"/>
  <c r="P24" i="11"/>
  <c r="P34" i="11"/>
  <c r="P30" i="11"/>
  <c r="P28" i="11"/>
  <c r="P20" i="11"/>
  <c r="P32" i="11"/>
  <c r="AB40" i="2"/>
  <c r="AA40" i="2"/>
  <c r="AB39" i="2"/>
  <c r="AA39" i="2"/>
  <c r="AB38" i="2"/>
  <c r="AA38" i="2"/>
  <c r="AB37" i="2"/>
  <c r="AA37" i="2"/>
  <c r="AB36" i="2"/>
  <c r="AA36" i="2"/>
  <c r="AB35" i="2"/>
  <c r="AA35" i="2"/>
  <c r="AB34" i="2"/>
  <c r="AA34" i="2"/>
  <c r="AB33" i="2"/>
  <c r="AA33" i="2"/>
  <c r="AB32" i="2"/>
  <c r="AA32" i="2"/>
  <c r="AB31" i="2"/>
  <c r="AA31" i="2"/>
  <c r="AB30" i="2"/>
  <c r="AA30" i="2"/>
  <c r="AB29" i="2"/>
  <c r="AA29" i="2"/>
  <c r="AB28" i="2"/>
  <c r="AA28" i="2"/>
  <c r="AB27" i="2"/>
  <c r="AA27" i="2"/>
  <c r="AB26" i="2"/>
  <c r="AA26" i="2"/>
  <c r="AB25" i="2"/>
  <c r="AA25" i="2"/>
  <c r="AB24" i="2"/>
  <c r="AA24" i="2"/>
  <c r="AB23" i="2"/>
  <c r="AA23" i="2"/>
  <c r="AB22" i="2"/>
  <c r="AA22" i="2"/>
  <c r="AB21" i="2"/>
  <c r="AA21" i="2"/>
  <c r="AB20" i="2"/>
  <c r="AA20" i="2"/>
  <c r="AB19" i="2"/>
  <c r="AA19" i="2"/>
  <c r="AB18" i="2"/>
  <c r="AA18" i="2"/>
  <c r="AB17" i="2"/>
  <c r="AA17" i="2"/>
  <c r="AB16" i="2"/>
  <c r="AA16" i="2"/>
  <c r="AB15" i="2"/>
  <c r="AA15" i="2"/>
  <c r="AB14" i="2"/>
  <c r="AA14" i="2"/>
  <c r="AB13" i="2"/>
  <c r="AA13" i="2"/>
  <c r="AB12" i="2"/>
  <c r="AA12" i="2"/>
  <c r="AB11" i="2"/>
  <c r="AA11" i="2"/>
  <c r="AB10" i="2"/>
  <c r="AA10" i="2"/>
  <c r="AB9" i="2"/>
  <c r="AA9" i="2"/>
  <c r="AB8" i="2"/>
  <c r="AA8" i="2"/>
  <c r="AB7" i="2"/>
  <c r="AA7" i="2"/>
  <c r="AB6" i="2"/>
  <c r="AA6" i="2"/>
  <c r="AB5" i="2"/>
  <c r="AA5" i="2"/>
  <c r="V60" i="4"/>
  <c r="U60" i="4"/>
  <c r="F63" i="4"/>
  <c r="M63" i="4" s="1"/>
  <c r="V59" i="4"/>
  <c r="U59" i="4"/>
  <c r="F62" i="4"/>
  <c r="M62" i="4" s="1"/>
  <c r="V58" i="4"/>
  <c r="U58" i="4"/>
  <c r="F61" i="4"/>
  <c r="M61" i="4" s="1"/>
  <c r="V57" i="4"/>
  <c r="U57" i="4"/>
  <c r="F60" i="4"/>
  <c r="M60" i="4" s="1"/>
  <c r="V56" i="4"/>
  <c r="U56" i="4"/>
  <c r="F59" i="4"/>
  <c r="M59" i="4" s="1"/>
  <c r="V55" i="4"/>
  <c r="U55" i="4"/>
  <c r="F58" i="4"/>
  <c r="M58" i="4" s="1"/>
  <c r="V54" i="4"/>
  <c r="U54" i="4"/>
  <c r="P5" i="11" s="1"/>
  <c r="F57" i="4"/>
  <c r="M57" i="4" s="1"/>
  <c r="F56" i="4"/>
  <c r="M56" i="4" s="1"/>
  <c r="F55" i="4"/>
  <c r="M55" i="4" s="1"/>
  <c r="D43" i="4"/>
  <c r="E43" i="4" s="1"/>
  <c r="D41" i="4"/>
  <c r="V27" i="4"/>
  <c r="F47" i="4"/>
  <c r="M47" i="4" s="1"/>
  <c r="H56" i="4" a="1"/>
  <c r="H55" i="4" a="1"/>
  <c r="H55" i="4" l="1"/>
  <c r="H56" i="4"/>
  <c r="F50" i="4"/>
  <c r="M50" i="4" s="1"/>
  <c r="F49" i="4"/>
  <c r="M49" i="4" s="1"/>
  <c r="O39" i="4"/>
  <c r="O43" i="4"/>
  <c r="F48" i="4"/>
  <c r="M48" i="4" s="1"/>
  <c r="M39" i="4"/>
  <c r="F54" i="4"/>
  <c r="M54" i="4" s="1"/>
  <c r="F40" i="4"/>
  <c r="M40" i="4" s="1"/>
  <c r="F43" i="4"/>
  <c r="M43" i="4" s="1"/>
  <c r="H43" i="4" a="1"/>
  <c r="H54" i="4" a="1"/>
  <c r="I43" i="4" a="1"/>
  <c r="H43" i="4" l="1"/>
  <c r="H54" i="4"/>
  <c r="I43" i="4"/>
  <c r="O40" i="4"/>
  <c r="J43" i="4" l="1"/>
  <c r="J40" i="4" l="1"/>
  <c r="T485" i="9" l="1"/>
  <c r="T324" i="9"/>
  <c r="T574" i="9"/>
  <c r="T624" i="9"/>
  <c r="T115" i="9"/>
  <c r="T100" i="9"/>
  <c r="T262" i="9"/>
  <c r="T499" i="9"/>
  <c r="T612" i="9"/>
  <c r="T444" i="9"/>
  <c r="T157" i="9"/>
  <c r="T116" i="9"/>
  <c r="T648" i="9"/>
  <c r="T185" i="9"/>
  <c r="T528" i="9"/>
  <c r="T613" i="9"/>
  <c r="T314" i="9"/>
  <c r="T593" i="9"/>
  <c r="T569" i="9"/>
  <c r="T211" i="9"/>
  <c r="T61" i="9"/>
  <c r="T400" i="9"/>
  <c r="T357" i="9"/>
  <c r="T348" i="9"/>
  <c r="T216" i="9"/>
  <c r="T636" i="9"/>
  <c r="T290" i="9"/>
  <c r="T408" i="9"/>
  <c r="T49" i="9"/>
  <c r="T259" i="9"/>
  <c r="T377" i="9"/>
  <c r="T231" i="9"/>
  <c r="T535" i="9"/>
  <c r="T79" i="9"/>
  <c r="T136" i="9"/>
  <c r="T468" i="9"/>
  <c r="T363" i="9"/>
  <c r="T623" i="9"/>
  <c r="T578" i="9"/>
  <c r="T71" i="9"/>
  <c r="T182" i="9"/>
  <c r="T443" i="9"/>
  <c r="T175" i="9"/>
  <c r="T88" i="9"/>
  <c r="T130" i="9"/>
  <c r="T459" i="9"/>
  <c r="T346" i="9"/>
  <c r="T34" i="9"/>
  <c r="T493" i="9"/>
  <c r="T217" i="9"/>
  <c r="T646" i="9"/>
  <c r="T502" i="9"/>
  <c r="T306" i="9"/>
  <c r="T554" i="9"/>
  <c r="T317" i="9"/>
  <c r="T401" i="9"/>
  <c r="T496" i="9"/>
  <c r="T395" i="9"/>
  <c r="T373" i="9"/>
  <c r="T347" i="9"/>
  <c r="T170" i="9"/>
  <c r="T63" i="9"/>
  <c r="T173" i="9"/>
  <c r="T128" i="9"/>
  <c r="T154" i="9"/>
  <c r="T227" i="9"/>
  <c r="T617" i="9" l="1"/>
  <c r="T215" i="9"/>
  <c r="T402" i="9"/>
  <c r="T312" i="9"/>
  <c r="T321" i="9"/>
  <c r="T112" i="9"/>
  <c r="T249" i="9"/>
  <c r="T419" i="9"/>
  <c r="T242" i="9"/>
  <c r="T181" i="9"/>
  <c r="T337" i="9"/>
  <c r="T449" i="9"/>
  <c r="T398" i="9"/>
  <c r="T364" i="9"/>
  <c r="T261" i="9"/>
  <c r="T117" i="9"/>
  <c r="T422" i="9"/>
  <c r="T516" i="9"/>
  <c r="T264" i="9"/>
  <c r="T21" i="9"/>
  <c r="T42" i="9"/>
  <c r="T541" i="9"/>
  <c r="T232" i="9"/>
  <c r="T575" i="9"/>
  <c r="T374" i="9"/>
  <c r="T191" i="9"/>
  <c r="T29" i="9"/>
  <c r="T201" i="9"/>
  <c r="T296" i="9"/>
  <c r="T194" i="9"/>
  <c r="T500" i="9"/>
  <c r="T591" i="9"/>
  <c r="T319" i="9"/>
  <c r="T222" i="9"/>
  <c r="T56" i="9"/>
  <c r="T80" i="9"/>
  <c r="T204" i="9"/>
  <c r="T368" i="9"/>
  <c r="T482" i="9"/>
  <c r="T513" i="9"/>
  <c r="T86" i="9"/>
  <c r="T521" i="9"/>
  <c r="T47" i="9"/>
  <c r="T122" i="9"/>
  <c r="T508" i="9"/>
  <c r="T561" i="9"/>
  <c r="T517" i="9"/>
  <c r="T580" i="9"/>
  <c r="T405" i="9"/>
  <c r="T39" i="9"/>
  <c r="T350" i="9"/>
  <c r="T551" i="9"/>
  <c r="T501" i="9"/>
  <c r="T589" i="9"/>
  <c r="T11" i="9"/>
  <c r="T149" i="9"/>
  <c r="T244" i="9"/>
  <c r="T178" i="9"/>
  <c r="T361" i="9"/>
  <c r="T390" i="9"/>
  <c r="T280" i="9"/>
  <c r="T455" i="9"/>
  <c r="T104" i="9"/>
  <c r="T583" i="9"/>
  <c r="T135" i="9"/>
  <c r="T273" i="9"/>
  <c r="T437" i="9"/>
  <c r="T544" i="9"/>
  <c r="T311" i="9"/>
  <c r="T649" i="9"/>
  <c r="T24" i="9"/>
  <c r="T600" i="9"/>
  <c r="T76" i="9"/>
  <c r="T423" i="9"/>
  <c r="T607" i="9"/>
  <c r="T226" i="9"/>
  <c r="T327" i="9"/>
  <c r="T480" i="9"/>
  <c r="T82" i="9"/>
  <c r="T289" i="9"/>
  <c r="T228" i="9"/>
  <c r="T352" i="9"/>
  <c r="T291" i="9"/>
  <c r="T146" i="9"/>
  <c r="T487" i="9"/>
  <c r="T638" i="9"/>
  <c r="T532" i="9"/>
  <c r="T555" i="9"/>
  <c r="T486" i="9"/>
  <c r="T208" i="9"/>
  <c r="T172" i="9"/>
  <c r="T78" i="9"/>
  <c r="T246" i="9"/>
  <c r="T642" i="9"/>
  <c r="T263" i="9"/>
  <c r="T450" i="9"/>
  <c r="T243" i="9"/>
  <c r="T129" i="9"/>
  <c r="T582" i="9"/>
  <c r="T650" i="9"/>
  <c r="T213" i="9"/>
  <c r="T250" i="9"/>
  <c r="T572" i="9"/>
  <c r="T586" i="9"/>
  <c r="T590" i="9"/>
  <c r="T460" i="9"/>
  <c r="T25" i="9"/>
  <c r="T645" i="9"/>
  <c r="T550" i="9"/>
  <c r="T454" i="9"/>
  <c r="T503" i="9"/>
  <c r="T176" i="9"/>
  <c r="T91" i="9"/>
  <c r="T241" i="9"/>
  <c r="T440" i="9"/>
  <c r="T50" i="9"/>
  <c r="T524" i="9"/>
  <c r="T162" i="9"/>
  <c r="T549" i="9"/>
  <c r="T257" i="9"/>
  <c r="T432" i="9"/>
  <c r="T284" i="9"/>
  <c r="T504" i="9"/>
  <c r="T464" i="9"/>
  <c r="T369" i="9"/>
  <c r="T183" i="9"/>
  <c r="T196" i="9"/>
  <c r="T214" i="9"/>
  <c r="T587" i="9"/>
  <c r="T274" i="9"/>
  <c r="T453" i="9"/>
  <c r="T148" i="9"/>
  <c r="T491" i="9"/>
  <c r="T111" i="9"/>
  <c r="T120" i="9"/>
  <c r="T451" i="9"/>
  <c r="T144" i="9"/>
  <c r="T471" i="9"/>
  <c r="T72" i="9"/>
  <c r="T479" i="9"/>
  <c r="T392" i="9"/>
  <c r="T641" i="9"/>
  <c r="T138" i="9"/>
  <c r="T300" i="9"/>
  <c r="T529" i="9"/>
  <c r="T121" i="9"/>
  <c r="T77" i="9"/>
  <c r="T595" i="9"/>
  <c r="T634" i="9"/>
  <c r="T619" i="9"/>
  <c r="T384" i="9"/>
  <c r="T305" i="9"/>
  <c r="T58" i="9"/>
  <c r="T283" i="9"/>
  <c r="T332" i="9"/>
  <c r="T421" i="9"/>
  <c r="T92" i="9"/>
  <c r="T399" i="9"/>
  <c r="T57" i="9"/>
  <c r="T298" i="9"/>
  <c r="T543" i="9"/>
  <c r="T442" i="9"/>
  <c r="T380" i="9"/>
  <c r="T239" i="9"/>
  <c r="T483" i="9"/>
  <c r="T133" i="9"/>
  <c r="T159" i="9"/>
  <c r="T342" i="9"/>
  <c r="T66" i="9"/>
  <c r="T477" i="9"/>
  <c r="T94" i="9"/>
  <c r="T481" i="9"/>
  <c r="T385" i="9"/>
  <c r="T616" i="9"/>
  <c r="T323" i="9"/>
  <c r="T601" i="9"/>
  <c r="T415" i="9"/>
  <c r="T370" i="9"/>
  <c r="T387" i="9"/>
  <c r="T209" i="9"/>
  <c r="T73" i="9"/>
  <c r="T447" i="9"/>
  <c r="T225" i="9"/>
  <c r="T203" i="9"/>
  <c r="T328" i="9"/>
  <c r="T335" i="9"/>
  <c r="T557" i="9"/>
  <c r="T70" i="9"/>
  <c r="T571" i="9"/>
  <c r="T639" i="9"/>
  <c r="T560" i="9"/>
  <c r="T439" i="9"/>
  <c r="T331" i="9"/>
  <c r="T602" i="9"/>
  <c r="T576" i="9"/>
  <c r="T378" i="9"/>
  <c r="T406" i="9"/>
  <c r="T547" i="9"/>
  <c r="T568" i="9"/>
  <c r="T180" i="9"/>
  <c r="T118" i="9"/>
  <c r="T489" i="9"/>
  <c r="T411" i="9"/>
  <c r="T334" i="9"/>
  <c r="T588" i="9"/>
  <c r="T448" i="9"/>
  <c r="T316" i="9"/>
  <c r="T113" i="9"/>
  <c r="T475" i="9"/>
  <c r="T538" i="9"/>
  <c r="T345" i="9"/>
  <c r="T367" i="9"/>
  <c r="T237" i="9"/>
  <c r="T268" i="9"/>
  <c r="T626" i="9"/>
  <c r="T265" i="9"/>
  <c r="T371" i="9"/>
  <c r="T539" i="9"/>
  <c r="T315" i="9"/>
  <c r="T95" i="9"/>
  <c r="T362" i="9"/>
  <c r="T622" i="9"/>
  <c r="T218" i="9"/>
  <c r="T179" i="9"/>
  <c r="T389" i="9"/>
  <c r="T497" i="9"/>
  <c r="T336" i="9"/>
  <c r="T609" i="9"/>
  <c r="T625" i="9"/>
  <c r="T427" i="9"/>
  <c r="T433" i="9"/>
  <c r="T526" i="9"/>
  <c r="T106" i="9"/>
  <c r="T287" i="9"/>
  <c r="T375" i="9"/>
  <c r="T96" i="9"/>
  <c r="T637" i="9"/>
  <c r="T206" i="9"/>
  <c r="T123" i="9"/>
  <c r="T193" i="9"/>
  <c r="T155" i="9"/>
  <c r="T341" i="9"/>
  <c r="T248" i="9"/>
  <c r="T579" i="9"/>
  <c r="T542" i="9"/>
  <c r="T567" i="9"/>
  <c r="T592" i="9"/>
  <c r="T318" i="9"/>
  <c r="T126" i="9"/>
  <c r="T270" i="9"/>
  <c r="T151" i="9"/>
  <c r="T424" i="9"/>
  <c r="T37" i="9"/>
  <c r="T523" i="9"/>
  <c r="T344" i="9"/>
  <c r="T356" i="9"/>
  <c r="T360" i="9"/>
  <c r="T64" i="9"/>
  <c r="T125" i="9"/>
  <c r="T573" i="9"/>
  <c r="T553" i="9"/>
  <c r="T414" i="9"/>
  <c r="T413" i="9"/>
  <c r="T562" i="9"/>
  <c r="T60" i="9"/>
  <c r="T153" i="9"/>
  <c r="T68" i="9"/>
  <c r="T467" i="9"/>
  <c r="T596" i="9"/>
  <c r="T253" i="9"/>
  <c r="T256" i="9"/>
  <c r="T163" i="9"/>
  <c r="T407" i="9"/>
  <c r="T465" i="9"/>
  <c r="T606" i="9"/>
  <c r="T643" i="9"/>
  <c r="T533" i="9"/>
  <c r="T498" i="9"/>
  <c r="T114" i="9"/>
  <c r="T416" i="9"/>
  <c r="T333" i="9"/>
  <c r="T355" i="9"/>
  <c r="T292" i="9"/>
  <c r="T470" i="9"/>
  <c r="T426" i="9"/>
  <c r="T251" i="9"/>
  <c r="T295" i="9"/>
  <c r="T339" i="9"/>
  <c r="T349" i="9"/>
  <c r="T184" i="9"/>
  <c r="T391" i="9"/>
  <c r="T285" i="9"/>
  <c r="T282" i="9"/>
  <c r="T420" i="9"/>
  <c r="T412" i="9"/>
  <c r="T90" i="9"/>
  <c r="T83" i="9"/>
  <c r="T313" i="9"/>
  <c r="T234" i="9"/>
  <c r="T409" i="9"/>
  <c r="T552" i="9"/>
  <c r="T372" i="9"/>
  <c r="T258" i="9"/>
  <c r="T397" i="9"/>
  <c r="T585" i="9"/>
  <c r="T488" i="9"/>
  <c r="T310" i="9"/>
  <c r="T628" i="9"/>
  <c r="T127" i="9"/>
  <c r="T108" i="9"/>
  <c r="T418" i="9"/>
  <c r="T187" i="9"/>
  <c r="T269" i="9"/>
  <c r="T51" i="9"/>
  <c r="T169" i="9"/>
  <c r="T430" i="9"/>
  <c r="T627" i="9"/>
  <c r="T277" i="9"/>
  <c r="T44" i="9"/>
  <c r="T394" i="9"/>
  <c r="T438" i="9"/>
  <c r="T494" i="9"/>
  <c r="T358" i="9"/>
  <c r="T536" i="9"/>
  <c r="T329" i="9"/>
  <c r="T598" i="9"/>
  <c r="T143" i="9"/>
  <c r="T434" i="9"/>
  <c r="T109" i="9"/>
  <c r="T220" i="9"/>
  <c r="T48" i="9"/>
  <c r="T229" i="9"/>
  <c r="T302" i="9"/>
  <c r="T152" i="9"/>
  <c r="T618" i="9"/>
  <c r="T294" i="9"/>
  <c r="T74" i="9"/>
  <c r="T233" i="9"/>
  <c r="T230" i="9"/>
  <c r="T495" i="9"/>
  <c r="T381" i="9"/>
  <c r="T545" i="9"/>
  <c r="T271" i="9"/>
  <c r="T156" i="9"/>
  <c r="T452" i="9"/>
  <c r="T252" i="9"/>
  <c r="T635" i="9"/>
  <c r="T484" i="9"/>
  <c r="T490" i="9"/>
  <c r="T69" i="9"/>
  <c r="T103" i="9"/>
  <c r="T457" i="9"/>
  <c r="T621" i="9"/>
  <c r="T410" i="9"/>
  <c r="T343" i="9"/>
  <c r="T445" i="9"/>
  <c r="T36" i="9"/>
  <c r="T396" i="9"/>
  <c r="T514" i="9"/>
  <c r="T630" i="9"/>
  <c r="T599" i="9"/>
  <c r="T473" i="9"/>
  <c r="T492" i="9"/>
  <c r="T205" i="9"/>
  <c r="T43" i="9"/>
  <c r="T640" i="9"/>
  <c r="T67" i="9"/>
  <c r="T160" i="9"/>
  <c r="T469" i="9"/>
  <c r="T142" i="9"/>
  <c r="T527" i="9"/>
  <c r="T41" i="9"/>
  <c r="T308" i="9"/>
  <c r="T40" i="9"/>
  <c r="T140" i="9"/>
  <c r="T515" i="9"/>
  <c r="T238" i="9"/>
  <c r="T603" i="9"/>
  <c r="T105" i="9"/>
  <c r="T611" i="9"/>
  <c r="T511" i="9"/>
  <c r="T26" i="9"/>
  <c r="T107" i="9"/>
  <c r="T53" i="9"/>
  <c r="T141" i="9"/>
  <c r="T393" i="9"/>
  <c r="T435" i="9"/>
  <c r="T281" i="9"/>
  <c r="T210" i="9"/>
  <c r="T254" i="9"/>
  <c r="T376" i="9"/>
  <c r="T137" i="9"/>
  <c r="T531" i="9"/>
  <c r="T577" i="9"/>
  <c r="T301" i="9"/>
  <c r="T267" i="9"/>
  <c r="T101" i="9"/>
  <c r="T145" i="9"/>
  <c r="T594" i="9"/>
  <c r="T197" i="9"/>
  <c r="T436" i="9"/>
  <c r="T320" i="9"/>
  <c r="T563" i="9"/>
  <c r="T207" i="9"/>
  <c r="T520" i="9"/>
  <c r="T236" i="9"/>
  <c r="T272" i="9"/>
  <c r="T30" i="9"/>
  <c r="T597" i="9"/>
  <c r="T537" i="9"/>
  <c r="T472" i="9"/>
  <c r="T202" i="9"/>
  <c r="T353" i="9"/>
  <c r="T309" i="9"/>
  <c r="T463" i="9"/>
  <c r="T35" i="9"/>
  <c r="T195" i="9"/>
  <c r="T17" i="9"/>
  <c r="T429" i="9"/>
  <c r="T166" i="9"/>
  <c r="T266" i="9"/>
  <c r="T165" i="9"/>
  <c r="T84" i="9"/>
  <c r="T610" i="9"/>
  <c r="T365" i="9"/>
  <c r="T102" i="9"/>
  <c r="T235" i="9"/>
  <c r="T32" i="9"/>
  <c r="T510" i="9"/>
  <c r="T604" i="9"/>
  <c r="T466" i="9"/>
  <c r="T461" i="9"/>
  <c r="T247" i="9"/>
  <c r="T212" i="9"/>
  <c r="T45" i="9"/>
  <c r="T168" i="9"/>
  <c r="T548" i="9"/>
  <c r="T507" i="9"/>
  <c r="T644" i="9"/>
  <c r="T240" i="9"/>
  <c r="T417" i="9"/>
  <c r="T221" i="9"/>
  <c r="T110" i="9"/>
  <c r="T633" i="9"/>
  <c r="T46" i="9"/>
  <c r="T478" i="9"/>
  <c r="T177" i="9"/>
  <c r="T89" i="9"/>
  <c r="T570" i="9"/>
  <c r="T605" i="9"/>
  <c r="T190" i="9"/>
  <c r="T279" i="9"/>
  <c r="T186" i="9"/>
  <c r="T33" i="9"/>
  <c r="T158" i="9"/>
  <c r="T382" i="9"/>
  <c r="T65" i="9"/>
  <c r="T131" i="9"/>
  <c r="T476" i="9"/>
  <c r="T325" i="9"/>
  <c r="T93" i="9"/>
  <c r="T134" i="9"/>
  <c r="T631" i="9"/>
  <c r="T38" i="9"/>
  <c r="T147" i="9"/>
  <c r="T150" i="9"/>
  <c r="T351" i="9"/>
  <c r="T425" i="9"/>
  <c r="T566" i="9"/>
  <c r="T54" i="9"/>
  <c r="T85" i="9"/>
  <c r="T303" i="9"/>
  <c r="T307" i="9"/>
  <c r="T286" i="9"/>
  <c r="T224" i="9"/>
  <c r="T293" i="9"/>
  <c r="T428" i="9"/>
  <c r="T52" i="9"/>
  <c r="T614" i="9"/>
  <c r="T525" i="9"/>
  <c r="T278" i="9"/>
  <c r="T119" i="9"/>
  <c r="T581" i="9"/>
  <c r="T379" i="9"/>
  <c r="T512" i="9"/>
  <c r="T164" i="9"/>
  <c r="T608" i="9"/>
  <c r="T87" i="9"/>
  <c r="T632" i="9"/>
  <c r="T629" i="9"/>
  <c r="T326" i="9"/>
  <c r="T189" i="9"/>
  <c r="T366" i="9"/>
  <c r="T456" i="9"/>
  <c r="T188" i="9"/>
  <c r="T540" i="9"/>
  <c r="T161" i="9"/>
  <c r="T462" i="9"/>
  <c r="T219" i="9"/>
  <c r="T615" i="9"/>
  <c r="T556" i="9"/>
  <c r="T519" i="9"/>
  <c r="T354" i="9"/>
  <c r="T260" i="9"/>
  <c r="T340" i="9"/>
  <c r="T16" i="9"/>
  <c r="T403" i="9"/>
  <c r="T62" i="9"/>
  <c r="T192" i="9"/>
  <c r="T558" i="9"/>
  <c r="T198" i="9"/>
  <c r="T98" i="9"/>
  <c r="T505" i="9"/>
  <c r="T288" i="9"/>
  <c r="T171" i="9"/>
  <c r="T647" i="9"/>
  <c r="T584" i="9"/>
  <c r="T534" i="9"/>
  <c r="T338" i="9"/>
  <c r="T446" i="9"/>
  <c r="T167" i="9"/>
  <c r="T31" i="9"/>
  <c r="T59" i="9"/>
  <c r="T223" i="9"/>
  <c r="T20" i="9"/>
  <c r="T522" i="9"/>
  <c r="T518" i="9"/>
  <c r="T81" i="9"/>
  <c r="T245" i="9"/>
  <c r="T297" i="9"/>
  <c r="T75" i="9"/>
  <c r="T458" i="9"/>
  <c r="T404" i="9"/>
  <c r="T55" i="9"/>
  <c r="T10" i="9"/>
  <c r="T200" i="9"/>
  <c r="T506" i="9"/>
  <c r="T199" i="9"/>
  <c r="T304" i="9"/>
  <c r="T276" i="9"/>
  <c r="T559" i="9"/>
  <c r="T383" i="9"/>
  <c r="T474" i="9"/>
  <c r="T27" i="9"/>
  <c r="T431" i="9"/>
  <c r="T97" i="9"/>
  <c r="T132" i="9"/>
  <c r="T509" i="9"/>
  <c r="T386" i="9"/>
  <c r="T299" i="9"/>
  <c r="T330" i="9"/>
  <c r="T530" i="9"/>
  <c r="T174" i="9"/>
  <c r="T322" i="9"/>
  <c r="T388" i="9"/>
  <c r="T565" i="9"/>
  <c r="T546" i="9"/>
  <c r="T564" i="9"/>
  <c r="T255" i="9"/>
  <c r="T620" i="9"/>
  <c r="T28" i="9"/>
  <c r="T139" i="9"/>
  <c r="T124" i="9"/>
  <c r="T99" i="9"/>
  <c r="T275" i="9"/>
  <c r="T359" i="9"/>
  <c r="T441" i="9"/>
  <c r="T22" i="9" l="1"/>
  <c r="T19" i="9"/>
  <c r="T23" i="9"/>
  <c r="T18" i="9"/>
  <c r="T14" i="9" l="1"/>
  <c r="T13" i="9"/>
  <c r="T15" i="9" l="1"/>
  <c r="T8" i="9"/>
  <c r="R373" i="11"/>
  <c r="K55" i="11"/>
  <c r="L351" i="11"/>
  <c r="R97" i="11"/>
  <c r="R625" i="11"/>
  <c r="Q113" i="11"/>
  <c r="R323" i="11"/>
  <c r="R250" i="11"/>
  <c r="L211" i="11"/>
  <c r="Q10" i="11"/>
  <c r="Q391" i="11"/>
  <c r="K167" i="11"/>
  <c r="Q13" i="11"/>
  <c r="R431" i="11"/>
  <c r="L10" i="11"/>
  <c r="Q298" i="11"/>
  <c r="Q427" i="11"/>
  <c r="K287" i="11"/>
  <c r="R384" i="11"/>
  <c r="Q411" i="11"/>
  <c r="R502" i="11"/>
  <c r="L183" i="11"/>
  <c r="K364" i="11"/>
  <c r="Q55" i="11"/>
  <c r="Q39" i="11"/>
  <c r="R326" i="11"/>
  <c r="R404" i="11"/>
  <c r="L233" i="11"/>
  <c r="R543" i="11"/>
  <c r="R24" i="11"/>
  <c r="K535" i="11"/>
  <c r="K484" i="11"/>
  <c r="Q404" i="11"/>
  <c r="R290" i="11"/>
  <c r="L375" i="11"/>
  <c r="R285" i="11"/>
  <c r="R520" i="11"/>
  <c r="Q529" i="11"/>
  <c r="R344" i="11"/>
  <c r="R498" i="11"/>
  <c r="L531" i="11"/>
  <c r="L398" i="11"/>
  <c r="K534" i="11"/>
  <c r="R197" i="11"/>
  <c r="L625" i="11"/>
  <c r="L515" i="11"/>
  <c r="K81" i="11"/>
  <c r="Q173" i="11"/>
  <c r="Q574" i="11"/>
  <c r="R376" i="11"/>
  <c r="R42" i="11"/>
  <c r="R482" i="11"/>
  <c r="H61" i="4" a="1"/>
  <c r="Q625" i="11"/>
  <c r="Q226" i="11"/>
  <c r="Q307" i="11"/>
  <c r="R177" i="11"/>
  <c r="K588" i="11"/>
  <c r="R333" i="11"/>
  <c r="Q182" i="11"/>
  <c r="K131" i="11"/>
  <c r="L621" i="11"/>
  <c r="L511" i="11"/>
  <c r="R501" i="11"/>
  <c r="R565" i="11"/>
  <c r="R57" i="11"/>
  <c r="R367" i="11"/>
  <c r="Q281" i="11"/>
  <c r="Q125" i="11"/>
  <c r="I54" i="4"/>
  <c r="Q126" i="11"/>
  <c r="L547" i="11"/>
  <c r="K582" i="11"/>
  <c r="Q426" i="11"/>
  <c r="Q212" i="11"/>
  <c r="L430" i="11"/>
  <c r="Q195" i="11"/>
  <c r="L109" i="11"/>
  <c r="L390" i="11"/>
  <c r="L202" i="11"/>
  <c r="Q356" i="11"/>
  <c r="R54" i="11"/>
  <c r="Q501" i="11"/>
  <c r="K37" i="11"/>
  <c r="L522" i="11"/>
  <c r="L23" i="11"/>
  <c r="L350" i="11"/>
  <c r="L418" i="11"/>
  <c r="K527" i="11"/>
  <c r="L244" i="11"/>
  <c r="R233" i="11"/>
  <c r="K202" i="11"/>
  <c r="R271" i="11"/>
  <c r="R18" i="11"/>
  <c r="Q383" i="11"/>
  <c r="R371" i="11"/>
  <c r="L151" i="11"/>
  <c r="R629" i="11"/>
  <c r="K368" i="11"/>
  <c r="L142" i="11"/>
  <c r="L14" i="11"/>
  <c r="Q135" i="11"/>
  <c r="K448" i="11"/>
  <c r="Q94" i="11"/>
  <c r="L25" i="11"/>
  <c r="K492" i="11"/>
  <c r="K321" i="11"/>
  <c r="Q334" i="11"/>
  <c r="L110" i="11"/>
  <c r="R317" i="11"/>
  <c r="Q422" i="11"/>
  <c r="K72" i="11"/>
  <c r="R179" i="11"/>
  <c r="Q79" i="11"/>
  <c r="K187" i="11"/>
  <c r="R219" i="11"/>
  <c r="R85" i="11"/>
  <c r="L214" i="11"/>
  <c r="Q227" i="11"/>
  <c r="R366" i="11"/>
  <c r="K502" i="11"/>
  <c r="K336" i="11"/>
  <c r="K127" i="11"/>
  <c r="Q185" i="11"/>
  <c r="L107" i="11"/>
  <c r="L157" i="11"/>
  <c r="K107" i="11"/>
  <c r="K610" i="11"/>
  <c r="Q517" i="11"/>
  <c r="R293" i="11"/>
  <c r="L73" i="11"/>
  <c r="Q504" i="11"/>
  <c r="K28" i="11"/>
  <c r="L517" i="11"/>
  <c r="L612" i="11"/>
  <c r="K421" i="11"/>
  <c r="Q434" i="11"/>
  <c r="L181" i="11"/>
  <c r="Q12" i="11"/>
  <c r="R472" i="11"/>
  <c r="K209" i="11"/>
  <c r="Q416" i="11"/>
  <c r="R571" i="11"/>
  <c r="L349" i="11"/>
  <c r="L53" i="11"/>
  <c r="K5" i="11"/>
  <c r="K405" i="11"/>
  <c r="Q285" i="11"/>
  <c r="R113" i="11"/>
  <c r="L388" i="11"/>
  <c r="R440" i="11"/>
  <c r="Q644" i="11"/>
  <c r="R204" i="11"/>
  <c r="L42" i="11"/>
  <c r="R198" i="11"/>
  <c r="Q263" i="11"/>
  <c r="K101" i="11"/>
  <c r="R495" i="11"/>
  <c r="K370" i="11"/>
  <c r="Q328" i="11"/>
  <c r="K19" i="11"/>
  <c r="L96" i="11"/>
  <c r="L300" i="11"/>
  <c r="K295" i="11"/>
  <c r="L139" i="11"/>
  <c r="R22" i="11"/>
  <c r="Q419" i="11"/>
  <c r="K185" i="11"/>
  <c r="L593" i="11"/>
  <c r="K244" i="11"/>
  <c r="K451" i="11"/>
  <c r="L457" i="11"/>
  <c r="R153" i="11"/>
  <c r="Q306" i="11"/>
  <c r="L419" i="11"/>
  <c r="L12" i="11"/>
  <c r="Q432" i="11"/>
  <c r="R452" i="11"/>
  <c r="Q172" i="11"/>
  <c r="Q611" i="11"/>
  <c r="L376" i="11"/>
  <c r="R378" i="11"/>
  <c r="L591" i="11"/>
  <c r="K265" i="11"/>
  <c r="K455" i="11"/>
  <c r="R126" i="11"/>
  <c r="Q541" i="11"/>
  <c r="L299" i="11"/>
  <c r="K262" i="11"/>
  <c r="Q478" i="11"/>
  <c r="K365" i="11"/>
  <c r="R91" i="11"/>
  <c r="L445" i="11"/>
  <c r="K615" i="11"/>
  <c r="R641" i="11"/>
  <c r="L549" i="11"/>
  <c r="K402" i="11"/>
  <c r="K155" i="11"/>
  <c r="K192" i="11"/>
  <c r="Q553" i="11"/>
  <c r="K437" i="11"/>
  <c r="R26" i="11"/>
  <c r="L632" i="11"/>
  <c r="R646" i="11"/>
  <c r="L132" i="11"/>
  <c r="R245" i="11"/>
  <c r="Q162" i="11"/>
  <c r="L266" i="11"/>
  <c r="L272" i="11"/>
  <c r="K400" i="11"/>
  <c r="L165" i="11"/>
  <c r="K121" i="11"/>
  <c r="Q108" i="11"/>
  <c r="K80" i="11"/>
  <c r="R345" i="11"/>
  <c r="Q251" i="11"/>
  <c r="Q141" i="11"/>
  <c r="L191" i="11"/>
  <c r="K184" i="11"/>
  <c r="Q214" i="11"/>
  <c r="Q136" i="11"/>
  <c r="L557" i="11"/>
  <c r="L552" i="11"/>
  <c r="L572" i="11"/>
  <c r="R158" i="11"/>
  <c r="Q361" i="11"/>
  <c r="L365" i="11"/>
  <c r="K471" i="11"/>
  <c r="K264" i="11"/>
  <c r="Q545" i="11"/>
  <c r="K314" i="11"/>
  <c r="Q566" i="11"/>
  <c r="K140" i="11"/>
  <c r="K256" i="11"/>
  <c r="Q498" i="11"/>
  <c r="Q600" i="11"/>
  <c r="L496" i="11"/>
  <c r="R394" i="11"/>
  <c r="Q299" i="11"/>
  <c r="R611" i="11"/>
  <c r="Q26" i="11"/>
  <c r="K344" i="11"/>
  <c r="R320" i="11"/>
  <c r="R101" i="11"/>
  <c r="Q152" i="11"/>
  <c r="Q543" i="11"/>
  <c r="L150" i="11"/>
  <c r="Q157" i="11"/>
  <c r="I48" i="4"/>
  <c r="K526" i="11"/>
  <c r="L201" i="11"/>
  <c r="R615" i="11"/>
  <c r="Q436" i="11"/>
  <c r="Q630" i="11"/>
  <c r="Q341" i="11"/>
  <c r="Q530" i="11"/>
  <c r="K506" i="11"/>
  <c r="Q573" i="11"/>
  <c r="K488" i="11"/>
  <c r="Q270" i="11"/>
  <c r="Q245" i="11"/>
  <c r="Q604" i="11"/>
  <c r="R172" i="11"/>
  <c r="Q348" i="11"/>
  <c r="K44" i="11"/>
  <c r="K472" i="11"/>
  <c r="K398" i="11"/>
  <c r="R87" i="11"/>
  <c r="R579" i="11"/>
  <c r="K592" i="11"/>
  <c r="Q196" i="11"/>
  <c r="L164" i="11"/>
  <c r="L433" i="11"/>
  <c r="Q258" i="11"/>
  <c r="R490" i="11"/>
  <c r="Q576" i="11"/>
  <c r="Q413" i="11"/>
  <c r="R267" i="11"/>
  <c r="Q329" i="11"/>
  <c r="Q153" i="11"/>
  <c r="K353" i="11"/>
  <c r="K76" i="11"/>
  <c r="Q305" i="11"/>
  <c r="K132" i="11"/>
  <c r="R45" i="11"/>
  <c r="R145" i="11"/>
  <c r="K480" i="11"/>
  <c r="R314" i="11"/>
  <c r="K254" i="11"/>
  <c r="Q438" i="11"/>
  <c r="L385" i="11"/>
  <c r="Q72" i="11"/>
  <c r="K186" i="11"/>
  <c r="L473" i="11"/>
  <c r="R552" i="11"/>
  <c r="Q81" i="11"/>
  <c r="R154" i="11"/>
  <c r="L564" i="11"/>
  <c r="Q272" i="11"/>
  <c r="R40" i="11"/>
  <c r="Q249" i="11"/>
  <c r="L378" i="11"/>
  <c r="L58" i="11"/>
  <c r="L213" i="11"/>
  <c r="L160" i="11"/>
  <c r="K473" i="11"/>
  <c r="L597" i="11"/>
  <c r="R643" i="11"/>
  <c r="R608" i="11"/>
  <c r="Q475" i="11"/>
  <c r="K357" i="11"/>
  <c r="Q332" i="11"/>
  <c r="R15" i="11"/>
  <c r="R213" i="11"/>
  <c r="R167" i="11"/>
  <c r="Q570" i="11"/>
  <c r="K207" i="11"/>
  <c r="R134" i="11"/>
  <c r="Q310" i="11"/>
  <c r="Q84" i="11"/>
  <c r="L287" i="11"/>
  <c r="Q587" i="11"/>
  <c r="R560" i="11"/>
  <c r="K366" i="11"/>
  <c r="K193" i="11"/>
  <c r="Q593" i="11"/>
  <c r="K283" i="11"/>
  <c r="L462" i="11"/>
  <c r="R53" i="11"/>
  <c r="R141" i="11"/>
  <c r="K149" i="11"/>
  <c r="Q304" i="11"/>
  <c r="Q280" i="11"/>
  <c r="K482" i="11"/>
  <c r="Q492" i="11"/>
  <c r="R312" i="11"/>
  <c r="R302" i="11"/>
  <c r="Q123" i="11"/>
  <c r="Q193" i="11"/>
  <c r="Q179" i="11"/>
  <c r="K126" i="11"/>
  <c r="Q533" i="11"/>
  <c r="L243" i="11"/>
  <c r="Q547" i="11"/>
  <c r="Q608" i="11"/>
  <c r="L613" i="11"/>
  <c r="K168" i="11"/>
  <c r="Q582" i="11"/>
  <c r="L551" i="11"/>
  <c r="K498" i="11"/>
  <c r="L553" i="11"/>
  <c r="R577" i="11"/>
  <c r="R475" i="11"/>
  <c r="K434" i="11"/>
  <c r="Q560" i="11"/>
  <c r="Q311" i="11"/>
  <c r="R264" i="11"/>
  <c r="K99" i="11"/>
  <c r="L387" i="11"/>
  <c r="L246" i="11"/>
  <c r="K204" i="11"/>
  <c r="L64" i="11"/>
  <c r="L344" i="11"/>
  <c r="R563" i="11"/>
  <c r="R338" i="11"/>
  <c r="K335" i="11"/>
  <c r="R72" i="11"/>
  <c r="K496" i="11"/>
  <c r="K605" i="11"/>
  <c r="L189" i="11"/>
  <c r="Q222" i="11"/>
  <c r="K379" i="11"/>
  <c r="K189" i="11"/>
  <c r="R422" i="11"/>
  <c r="R610" i="11"/>
  <c r="K246" i="11"/>
  <c r="K457" i="11"/>
  <c r="R89" i="11"/>
  <c r="K137" i="11"/>
  <c r="K406" i="11"/>
  <c r="L383" i="11"/>
  <c r="K146" i="11"/>
  <c r="R175" i="11"/>
  <c r="K279" i="11"/>
  <c r="K539" i="11"/>
  <c r="K500" i="11"/>
  <c r="K129" i="11"/>
  <c r="R70" i="11"/>
  <c r="R52" i="11"/>
  <c r="K272" i="11"/>
  <c r="L497" i="11"/>
  <c r="R353" i="11"/>
  <c r="L78" i="11"/>
  <c r="K108" i="11"/>
  <c r="K532" i="11"/>
  <c r="R467" i="11"/>
  <c r="K118" i="11"/>
  <c r="Q116" i="11"/>
  <c r="R458" i="11"/>
  <c r="Q350" i="11"/>
  <c r="L363" i="11"/>
  <c r="R493" i="11"/>
  <c r="K51" i="11"/>
  <c r="Q388" i="11"/>
  <c r="L59" i="11"/>
  <c r="K174" i="11"/>
  <c r="R241" i="11"/>
  <c r="L67" i="11"/>
  <c r="K476" i="11"/>
  <c r="L641" i="11"/>
  <c r="R256" i="11"/>
  <c r="Q231" i="11"/>
  <c r="R189" i="11"/>
  <c r="Q467" i="11"/>
  <c r="R456" i="11"/>
  <c r="K29" i="11"/>
  <c r="K26" i="11"/>
  <c r="K98" i="11"/>
  <c r="R389" i="11"/>
  <c r="L20" i="11"/>
  <c r="K143" i="11"/>
  <c r="K173" i="11"/>
  <c r="Q643" i="11"/>
  <c r="R33" i="11"/>
  <c r="L275" i="11"/>
  <c r="K463" i="11"/>
  <c r="L548" i="11"/>
  <c r="Q66" i="11"/>
  <c r="Q549" i="11"/>
  <c r="L69" i="11"/>
  <c r="L195" i="11"/>
  <c r="L412" i="11"/>
  <c r="L88" i="11"/>
  <c r="K170" i="11"/>
  <c r="L148" i="11"/>
  <c r="R240" i="11"/>
  <c r="K617" i="11"/>
  <c r="L74" i="11"/>
  <c r="Q454" i="11"/>
  <c r="R341" i="11"/>
  <c r="K567" i="11"/>
  <c r="Q43" i="11"/>
  <c r="L279" i="11"/>
  <c r="Q442" i="11"/>
  <c r="L80" i="11"/>
  <c r="K643" i="11"/>
  <c r="K59" i="11"/>
  <c r="L614" i="11"/>
  <c r="Q143" i="11"/>
  <c r="Q410" i="11"/>
  <c r="R216" i="11"/>
  <c r="K122" i="11"/>
  <c r="R644" i="11"/>
  <c r="R16" i="11"/>
  <c r="K333" i="11"/>
  <c r="R63" i="11"/>
  <c r="Q151" i="11"/>
  <c r="L421" i="11"/>
  <c r="K522" i="11"/>
  <c r="Q287" i="11"/>
  <c r="L439" i="11"/>
  <c r="L605" i="11"/>
  <c r="R313" i="11"/>
  <c r="K358" i="11"/>
  <c r="L255" i="11"/>
  <c r="Q124" i="11"/>
  <c r="R202" i="11"/>
  <c r="R510" i="11"/>
  <c r="Q472" i="11"/>
  <c r="K94" i="11"/>
  <c r="K628" i="11"/>
  <c r="L326" i="11"/>
  <c r="R334" i="11"/>
  <c r="R539" i="11"/>
  <c r="K91" i="11"/>
  <c r="L215" i="11"/>
  <c r="Q228" i="11"/>
  <c r="R139" i="11"/>
  <c r="R5" i="11"/>
  <c r="Q230" i="11"/>
  <c r="Q224" i="11"/>
  <c r="L174" i="11"/>
  <c r="Q396" i="11"/>
  <c r="R151" i="11"/>
  <c r="K562" i="11"/>
  <c r="Q592" i="11"/>
  <c r="L434" i="11"/>
  <c r="Q421" i="11"/>
  <c r="R461" i="11"/>
  <c r="K263" i="11"/>
  <c r="K237" i="11"/>
  <c r="L493" i="11"/>
  <c r="Q448" i="11"/>
  <c r="Q128" i="11"/>
  <c r="K233" i="11"/>
  <c r="Q274" i="11"/>
  <c r="R188" i="11"/>
  <c r="K568" i="11"/>
  <c r="Q562" i="11"/>
  <c r="K367" i="11"/>
  <c r="R424" i="11"/>
  <c r="L158" i="11"/>
  <c r="R29" i="11"/>
  <c r="R190" i="11"/>
  <c r="K593" i="11"/>
  <c r="K110" i="11"/>
  <c r="L138" i="11"/>
  <c r="K188" i="11"/>
  <c r="R442" i="11"/>
  <c r="R536" i="11"/>
  <c r="L618" i="11"/>
  <c r="K397" i="11"/>
  <c r="R599" i="11"/>
  <c r="K73" i="11"/>
  <c r="Q453" i="11"/>
  <c r="L34" i="11"/>
  <c r="Q339" i="11"/>
  <c r="I55" i="4"/>
  <c r="Q219" i="11"/>
  <c r="Q514" i="11"/>
  <c r="R237" i="11"/>
  <c r="L634" i="11"/>
  <c r="Q499" i="11"/>
  <c r="R400" i="11"/>
  <c r="R524" i="11"/>
  <c r="L39" i="11"/>
  <c r="K555" i="11"/>
  <c r="Q111" i="11"/>
  <c r="Q189" i="11"/>
  <c r="K349" i="11"/>
  <c r="R375" i="11"/>
  <c r="L28" i="11"/>
  <c r="Q296" i="11"/>
  <c r="L230" i="11"/>
  <c r="L24" i="11"/>
  <c r="Q634" i="11"/>
  <c r="Q277" i="11"/>
  <c r="L558" i="11"/>
  <c r="K491" i="11"/>
  <c r="Q583" i="11"/>
  <c r="Q318" i="11"/>
  <c r="R236" i="11"/>
  <c r="R393" i="11"/>
  <c r="R274" i="11"/>
  <c r="L232" i="11"/>
  <c r="K439" i="11"/>
  <c r="Q558" i="11"/>
  <c r="K394" i="11"/>
  <c r="K212" i="11"/>
  <c r="K387" i="11"/>
  <c r="K458" i="11"/>
  <c r="L622" i="11"/>
  <c r="L319" i="11"/>
  <c r="L484" i="11"/>
  <c r="L353" i="11"/>
  <c r="K360" i="11"/>
  <c r="R534" i="11"/>
  <c r="Q59" i="11"/>
  <c r="Q205" i="11"/>
  <c r="K223" i="11"/>
  <c r="R231" i="11"/>
  <c r="Q417" i="11"/>
  <c r="L648" i="11"/>
  <c r="L127" i="11"/>
  <c r="Q11" i="11"/>
  <c r="Q261" i="11"/>
  <c r="Q161" i="11"/>
  <c r="K636" i="11"/>
  <c r="L323" i="11"/>
  <c r="L186" i="11"/>
  <c r="Q609" i="11"/>
  <c r="R588" i="11"/>
  <c r="R590" i="11"/>
  <c r="L311" i="11"/>
  <c r="L270" i="11"/>
  <c r="L117" i="11"/>
  <c r="K215" i="11"/>
  <c r="R419" i="11"/>
  <c r="K584" i="11"/>
  <c r="R401" i="11"/>
  <c r="Q235" i="11"/>
  <c r="Q325" i="11"/>
  <c r="K6" i="11"/>
  <c r="L380" i="11"/>
  <c r="L247" i="11"/>
  <c r="Q223" i="11"/>
  <c r="R163" i="11"/>
  <c r="K197" i="11"/>
  <c r="R635" i="11"/>
  <c r="L603" i="11"/>
  <c r="L155" i="11"/>
  <c r="K300" i="11"/>
  <c r="R478" i="11"/>
  <c r="Q103" i="11"/>
  <c r="R429" i="11"/>
  <c r="L286" i="11"/>
  <c r="L589" i="11"/>
  <c r="Q455" i="11"/>
  <c r="K351" i="11"/>
  <c r="K374" i="11"/>
  <c r="K403" i="11"/>
  <c r="L429" i="11"/>
  <c r="L113" i="11"/>
  <c r="K462" i="11"/>
  <c r="Q596" i="11"/>
  <c r="R43" i="11"/>
  <c r="K139" i="11"/>
  <c r="L303" i="11"/>
  <c r="Q534" i="11"/>
  <c r="L15" i="11"/>
  <c r="K286" i="11"/>
  <c r="Q528" i="11"/>
  <c r="L428" i="11"/>
  <c r="L584" i="11"/>
  <c r="L125" i="11"/>
  <c r="L623" i="11"/>
  <c r="R34" i="11"/>
  <c r="K339" i="11"/>
  <c r="R194" i="11"/>
  <c r="Q641" i="11"/>
  <c r="Q289" i="11"/>
  <c r="Q409" i="11"/>
  <c r="R439" i="11"/>
  <c r="R642" i="11"/>
  <c r="L178" i="11"/>
  <c r="L200" i="11"/>
  <c r="R411" i="11"/>
  <c r="K298" i="11"/>
  <c r="L500" i="11"/>
  <c r="Q132" i="11"/>
  <c r="K596" i="11"/>
  <c r="K441" i="11"/>
  <c r="K25" i="11"/>
  <c r="R511" i="11"/>
  <c r="R420" i="11"/>
  <c r="L184" i="11"/>
  <c r="R562" i="11"/>
  <c r="L594" i="11"/>
  <c r="R103" i="11"/>
  <c r="L296" i="11"/>
  <c r="K214" i="11"/>
  <c r="L480" i="11"/>
  <c r="R178" i="11"/>
  <c r="L432" i="11"/>
  <c r="K194" i="11"/>
  <c r="Q577" i="11"/>
  <c r="L267" i="11"/>
  <c r="L647" i="11"/>
  <c r="K328" i="11"/>
  <c r="L141" i="11"/>
  <c r="L227" i="11"/>
  <c r="L577" i="11"/>
  <c r="L144" i="11"/>
  <c r="Q134" i="11"/>
  <c r="Q192" i="11"/>
  <c r="R142" i="11"/>
  <c r="Q447" i="11"/>
  <c r="K579" i="11"/>
  <c r="K544" i="11"/>
  <c r="R199" i="11"/>
  <c r="Q642" i="11"/>
  <c r="R225" i="11"/>
  <c r="L381" i="11"/>
  <c r="L225" i="11"/>
  <c r="Q51" i="11"/>
  <c r="Q243" i="11"/>
  <c r="Q392" i="11"/>
  <c r="L498" i="11"/>
  <c r="Q511" i="11"/>
  <c r="R455" i="11"/>
  <c r="L295" i="11"/>
  <c r="Q75" i="11"/>
  <c r="L182" i="11"/>
  <c r="R230" i="11"/>
  <c r="Q515" i="11"/>
  <c r="I63" i="4"/>
  <c r="K160" i="11"/>
  <c r="Q275" i="11"/>
  <c r="I40" i="4"/>
  <c r="R12" i="11"/>
  <c r="Q109" i="11"/>
  <c r="L346" i="11"/>
  <c r="K27" i="11"/>
  <c r="K391" i="11"/>
  <c r="K533" i="11"/>
  <c r="Q624" i="11"/>
  <c r="L475" i="11"/>
  <c r="R549" i="11"/>
  <c r="R558" i="11"/>
  <c r="R564" i="11"/>
  <c r="L289" i="11"/>
  <c r="R607" i="11"/>
  <c r="L216" i="11"/>
  <c r="L331" i="11"/>
  <c r="R633" i="11"/>
  <c r="R74" i="11"/>
  <c r="K585" i="11"/>
  <c r="L525" i="11"/>
  <c r="Q537" i="11"/>
  <c r="K531" i="11"/>
  <c r="K384" i="11"/>
  <c r="Q370" i="11"/>
  <c r="R218" i="11"/>
  <c r="L72" i="11"/>
  <c r="L649" i="11"/>
  <c r="H60" i="4" a="1"/>
  <c r="R332" i="11"/>
  <c r="L410" i="11"/>
  <c r="R93" i="11"/>
  <c r="L196" i="11"/>
  <c r="Q474" i="11"/>
  <c r="R443" i="11"/>
  <c r="R275" i="11"/>
  <c r="L367" i="11"/>
  <c r="H40" i="4"/>
  <c r="K545" i="11"/>
  <c r="Q389" i="11"/>
  <c r="K558" i="11"/>
  <c r="K576" i="11"/>
  <c r="R192" i="11"/>
  <c r="R605" i="11"/>
  <c r="R351" i="11"/>
  <c r="L33" i="11"/>
  <c r="Q605" i="11"/>
  <c r="K513" i="11"/>
  <c r="K427" i="11"/>
  <c r="L352" i="11"/>
  <c r="L205" i="11"/>
  <c r="K102" i="11"/>
  <c r="Q458" i="11"/>
  <c r="R280" i="11"/>
  <c r="Q229" i="11"/>
  <c r="Q423" i="11"/>
  <c r="I39" i="4"/>
  <c r="Q83" i="11"/>
  <c r="L337" i="11"/>
  <c r="Q444" i="11"/>
  <c r="K373" i="11"/>
  <c r="Q63" i="11"/>
  <c r="R343" i="11"/>
  <c r="K47" i="11"/>
  <c r="Q93" i="11"/>
  <c r="K79" i="11"/>
  <c r="K594" i="11"/>
  <c r="K141" i="11"/>
  <c r="Q640" i="11"/>
  <c r="R309" i="11"/>
  <c r="K432" i="11"/>
  <c r="L571" i="11"/>
  <c r="R278" i="11"/>
  <c r="K583" i="11"/>
  <c r="K348" i="11"/>
  <c r="Q620" i="11"/>
  <c r="L598" i="11"/>
  <c r="K200" i="11"/>
  <c r="K646" i="11"/>
  <c r="Q319" i="11"/>
  <c r="R115" i="11"/>
  <c r="Q120" i="11"/>
  <c r="K276" i="11"/>
  <c r="L114" i="11"/>
  <c r="K479" i="11"/>
  <c r="L427" i="11"/>
  <c r="Q450" i="11"/>
  <c r="K40" i="11"/>
  <c r="Q98" i="11"/>
  <c r="L315" i="11"/>
  <c r="L339" i="11"/>
  <c r="R19" i="11"/>
  <c r="R589" i="11"/>
  <c r="K213" i="11"/>
  <c r="R499" i="11"/>
  <c r="K525" i="11"/>
  <c r="K120" i="11"/>
  <c r="L342" i="11"/>
  <c r="L460" i="11"/>
  <c r="K281" i="11"/>
  <c r="R374" i="11"/>
  <c r="L450" i="11"/>
  <c r="K623" i="11"/>
  <c r="L329" i="11"/>
  <c r="R397" i="11"/>
  <c r="Q99" i="11"/>
  <c r="K395" i="11"/>
  <c r="R519" i="11"/>
  <c r="L354" i="11"/>
  <c r="R528" i="11"/>
  <c r="K178" i="11"/>
  <c r="R146" i="11"/>
  <c r="Q616" i="11"/>
  <c r="L455" i="11"/>
  <c r="R451" i="11"/>
  <c r="L288" i="11"/>
  <c r="Q542" i="11"/>
  <c r="Q520" i="11"/>
  <c r="R144" i="11"/>
  <c r="R399" i="11"/>
  <c r="Q509" i="11"/>
  <c r="L98" i="11"/>
  <c r="Q602" i="11"/>
  <c r="R201" i="11"/>
  <c r="K11" i="11"/>
  <c r="R108" i="11"/>
  <c r="K474" i="11"/>
  <c r="K638" i="11"/>
  <c r="R196" i="11"/>
  <c r="L639" i="11"/>
  <c r="L330" i="11"/>
  <c r="R251" i="11"/>
  <c r="L99" i="11"/>
  <c r="Q523" i="11"/>
  <c r="Q322" i="11"/>
  <c r="Q636" i="11"/>
  <c r="L437" i="11"/>
  <c r="R99" i="11"/>
  <c r="L595" i="11"/>
  <c r="Q460" i="11"/>
  <c r="K232" i="11"/>
  <c r="R595" i="11"/>
  <c r="L465" i="11"/>
  <c r="L68" i="11"/>
  <c r="Q344" i="11"/>
  <c r="Q23" i="11"/>
  <c r="R468" i="11"/>
  <c r="R44" i="11"/>
  <c r="R263" i="11"/>
  <c r="Q33" i="11"/>
  <c r="K401" i="11"/>
  <c r="R412" i="11"/>
  <c r="L586" i="11"/>
  <c r="R410" i="11"/>
  <c r="K63" i="11"/>
  <c r="K517" i="11"/>
  <c r="R47" i="11"/>
  <c r="R357" i="11"/>
  <c r="R276" i="11"/>
  <c r="R348" i="11"/>
  <c r="L459" i="11"/>
  <c r="L362" i="11"/>
  <c r="Q527" i="11"/>
  <c r="K520" i="11"/>
  <c r="K499" i="11"/>
  <c r="L617" i="11"/>
  <c r="R583" i="11"/>
  <c r="K77" i="11"/>
  <c r="K338" i="11"/>
  <c r="R243" i="11"/>
  <c r="L199" i="11"/>
  <c r="R48" i="11"/>
  <c r="K625" i="11"/>
  <c r="Q187" i="11"/>
  <c r="Q550" i="11"/>
  <c r="L124" i="11"/>
  <c r="L408" i="11"/>
  <c r="R83" i="11"/>
  <c r="Q500" i="11"/>
  <c r="K422" i="11"/>
  <c r="L474" i="11"/>
  <c r="Q177" i="11"/>
  <c r="K242" i="11"/>
  <c r="R582" i="11"/>
  <c r="R176" i="11"/>
  <c r="I56" i="4"/>
  <c r="R427" i="11"/>
  <c r="Q589" i="11"/>
  <c r="L258" i="11"/>
  <c r="L307" i="11"/>
  <c r="R8" i="11"/>
  <c r="R395" i="11"/>
  <c r="R10" i="11"/>
  <c r="Q376" i="11"/>
  <c r="Q491" i="11"/>
  <c r="K111" i="11"/>
  <c r="K123" i="11"/>
  <c r="Q494" i="11"/>
  <c r="R450" i="11"/>
  <c r="L611" i="11"/>
  <c r="L443" i="11"/>
  <c r="R300" i="11"/>
  <c r="L276" i="11"/>
  <c r="R469" i="11"/>
  <c r="K53" i="11"/>
  <c r="K603" i="11"/>
  <c r="L291" i="11"/>
  <c r="L487" i="11"/>
  <c r="R522" i="11"/>
  <c r="K599" i="11"/>
  <c r="L576" i="11"/>
  <c r="K598" i="11"/>
  <c r="R529" i="11"/>
  <c r="L218" i="11"/>
  <c r="L514" i="11"/>
  <c r="L466" i="11"/>
  <c r="L298" i="11"/>
  <c r="L89" i="11"/>
  <c r="R28" i="11"/>
  <c r="R403" i="11"/>
  <c r="L513" i="11"/>
  <c r="K299" i="11"/>
  <c r="R287" i="11"/>
  <c r="Q165" i="11"/>
  <c r="K346" i="11"/>
  <c r="K289" i="11"/>
  <c r="R390" i="11"/>
  <c r="Q563" i="11"/>
  <c r="Q240" i="11"/>
  <c r="Q45" i="11"/>
  <c r="K267" i="11"/>
  <c r="Q359" i="11"/>
  <c r="Q461" i="11"/>
  <c r="R544" i="11"/>
  <c r="R66" i="11"/>
  <c r="L640" i="11"/>
  <c r="R221" i="11"/>
  <c r="R296" i="11"/>
  <c r="K537" i="11"/>
  <c r="L52" i="11"/>
  <c r="Q118" i="11"/>
  <c r="I50" i="4"/>
  <c r="R488" i="11"/>
  <c r="Q36" i="11"/>
  <c r="L630" i="11"/>
  <c r="R283" i="11"/>
  <c r="Q557" i="11"/>
  <c r="K216" i="11"/>
  <c r="R557" i="11"/>
  <c r="K33" i="11"/>
  <c r="R191" i="11"/>
  <c r="Q379" i="11"/>
  <c r="R318" i="11"/>
  <c r="Q29" i="11"/>
  <c r="Q626" i="11"/>
  <c r="L451" i="11"/>
  <c r="Q580" i="11"/>
  <c r="R648" i="11"/>
  <c r="K249" i="11"/>
  <c r="K322" i="11"/>
  <c r="K524" i="11"/>
  <c r="K312" i="11"/>
  <c r="L488" i="11"/>
  <c r="Q234" i="11"/>
  <c r="Q92" i="11"/>
  <c r="R98" i="11"/>
  <c r="R551" i="11"/>
  <c r="R505" i="11"/>
  <c r="R518" i="11"/>
  <c r="L568" i="11"/>
  <c r="R254" i="11"/>
  <c r="K550" i="11"/>
  <c r="K438" i="11"/>
  <c r="L100" i="11"/>
  <c r="L420" i="11"/>
  <c r="Q462" i="11"/>
  <c r="R327" i="11"/>
  <c r="K411" i="11"/>
  <c r="K251" i="11"/>
  <c r="K12" i="11"/>
  <c r="R319" i="11"/>
  <c r="L524" i="11"/>
  <c r="R169" i="11"/>
  <c r="L46" i="11"/>
  <c r="R636" i="11"/>
  <c r="Q326" i="11"/>
  <c r="K14" i="11"/>
  <c r="L122" i="11"/>
  <c r="K302" i="11"/>
  <c r="Q353" i="11"/>
  <c r="K31" i="11"/>
  <c r="K83" i="11"/>
  <c r="I61" i="4"/>
  <c r="K487" i="11"/>
  <c r="K116" i="11"/>
  <c r="Q559" i="11"/>
  <c r="L541" i="11"/>
  <c r="Q44" i="11"/>
  <c r="K234" i="11"/>
  <c r="R492" i="11"/>
  <c r="K296" i="11"/>
  <c r="R35" i="11"/>
  <c r="K528" i="11"/>
  <c r="K17" i="11"/>
  <c r="Q645" i="11"/>
  <c r="L221" i="11"/>
  <c r="K352" i="11"/>
  <c r="R568" i="11"/>
  <c r="K71" i="11"/>
  <c r="K271" i="11"/>
  <c r="K68" i="11"/>
  <c r="Q585" i="11"/>
  <c r="Q52" i="11"/>
  <c r="K61" i="11"/>
  <c r="R152" i="11"/>
  <c r="L82" i="11"/>
  <c r="R61" i="11"/>
  <c r="R291" i="11"/>
  <c r="L539" i="11"/>
  <c r="L463" i="11"/>
  <c r="K332" i="11"/>
  <c r="K635" i="11"/>
  <c r="L146" i="11"/>
  <c r="Q209" i="11"/>
  <c r="Q60" i="11"/>
  <c r="L386" i="11"/>
  <c r="K318" i="11"/>
  <c r="Q430" i="11"/>
  <c r="Q9" i="11"/>
  <c r="K225" i="11"/>
  <c r="L650" i="11"/>
  <c r="Q67" i="11"/>
  <c r="K196" i="11"/>
  <c r="Q148" i="11"/>
  <c r="Q102" i="11"/>
  <c r="K621" i="11"/>
  <c r="R164" i="11"/>
  <c r="L536" i="11"/>
  <c r="K191" i="11"/>
  <c r="Q424" i="11"/>
  <c r="R550" i="11"/>
  <c r="K230" i="11"/>
  <c r="K618" i="11"/>
  <c r="L318" i="11"/>
  <c r="K22" i="11"/>
  <c r="R613" i="11"/>
  <c r="L251" i="11"/>
  <c r="Q89" i="11"/>
  <c r="Q346" i="11"/>
  <c r="K260" i="11"/>
  <c r="R64" i="11"/>
  <c r="L86" i="11"/>
  <c r="L112" i="11"/>
  <c r="R361" i="11"/>
  <c r="R379" i="11"/>
  <c r="K553" i="11"/>
  <c r="K56" i="11"/>
  <c r="R242" i="11"/>
  <c r="L126" i="11"/>
  <c r="L172" i="11"/>
  <c r="Q68" i="11"/>
  <c r="R434" i="11"/>
  <c r="L503" i="11"/>
  <c r="L478" i="11"/>
  <c r="K241" i="11"/>
  <c r="L446" i="11"/>
  <c r="R396" i="11"/>
  <c r="R601" i="11"/>
  <c r="Q470" i="11"/>
  <c r="L313" i="11"/>
  <c r="Q648" i="11"/>
  <c r="K552" i="11"/>
  <c r="K109" i="11"/>
  <c r="R355" i="11"/>
  <c r="R637" i="11"/>
  <c r="Q131" i="11"/>
  <c r="L190" i="11"/>
  <c r="R217" i="11"/>
  <c r="L440" i="11"/>
  <c r="L269" i="11"/>
  <c r="R76" i="11"/>
  <c r="R377" i="11"/>
  <c r="Q385" i="11"/>
  <c r="R272" i="11"/>
  <c r="R252" i="11"/>
  <c r="R329" i="11"/>
  <c r="L6" i="11"/>
  <c r="R157" i="11"/>
  <c r="L310" i="11"/>
  <c r="R533" i="11"/>
  <c r="L424" i="11"/>
  <c r="K103" i="11"/>
  <c r="L108" i="11"/>
  <c r="K20" i="11"/>
  <c r="K591" i="11"/>
  <c r="Q349" i="11"/>
  <c r="L242" i="11"/>
  <c r="L453" i="11"/>
  <c r="R630" i="11"/>
  <c r="Q358" i="11"/>
  <c r="L461" i="11"/>
  <c r="L578" i="11"/>
  <c r="R413" i="11"/>
  <c r="R17" i="11"/>
  <c r="K431" i="11"/>
  <c r="L580" i="11"/>
  <c r="Q488" i="11"/>
  <c r="Q414" i="11"/>
  <c r="K629" i="11"/>
  <c r="K316" i="11"/>
  <c r="Q24" i="11"/>
  <c r="L180" i="11"/>
  <c r="L592" i="11"/>
  <c r="R100" i="11"/>
  <c r="L581" i="11"/>
  <c r="R409" i="11"/>
  <c r="R6" i="11"/>
  <c r="L166" i="11"/>
  <c r="K119" i="11"/>
  <c r="Q14" i="11"/>
  <c r="Q201" i="11"/>
  <c r="K182" i="11"/>
  <c r="K523" i="11"/>
  <c r="K158" i="11"/>
  <c r="K376" i="11"/>
  <c r="Q191" i="11"/>
  <c r="R107" i="11"/>
  <c r="Q372" i="11"/>
  <c r="L502" i="11"/>
  <c r="R282" i="11"/>
  <c r="K622" i="11"/>
  <c r="Q184" i="11"/>
  <c r="K96" i="11"/>
  <c r="K418" i="11"/>
  <c r="Q368" i="11"/>
  <c r="K390" i="11"/>
  <c r="Q115" i="11"/>
  <c r="L203" i="11"/>
  <c r="L360" i="11"/>
  <c r="K269" i="11"/>
  <c r="K228" i="11"/>
  <c r="K219" i="11"/>
  <c r="R23" i="11"/>
  <c r="Q382" i="11"/>
  <c r="K446" i="11"/>
  <c r="K239" i="11"/>
  <c r="Q74" i="11"/>
  <c r="R649" i="11"/>
  <c r="K23" i="11"/>
  <c r="L402" i="11"/>
  <c r="K259" i="11"/>
  <c r="K138" i="11"/>
  <c r="R279" i="11"/>
  <c r="Q107" i="11"/>
  <c r="K619" i="11"/>
  <c r="Q301" i="11"/>
  <c r="L407" i="11"/>
  <c r="L356" i="11"/>
  <c r="L491" i="11"/>
  <c r="Q147" i="11"/>
  <c r="Q56" i="11"/>
  <c r="Q64" i="11"/>
  <c r="L556" i="11"/>
  <c r="R515" i="11"/>
  <c r="K45" i="11"/>
  <c r="R624" i="11"/>
  <c r="L283" i="11"/>
  <c r="Q168" i="11"/>
  <c r="Q259" i="11"/>
  <c r="R531" i="11"/>
  <c r="Q169" i="11"/>
  <c r="L492" i="11"/>
  <c r="K561" i="11"/>
  <c r="Q268" i="11"/>
  <c r="L490" i="11"/>
  <c r="R554" i="11"/>
  <c r="L209" i="11"/>
  <c r="R385" i="11"/>
  <c r="R591" i="11"/>
  <c r="Q572" i="11"/>
  <c r="K195" i="11"/>
  <c r="K483" i="11"/>
  <c r="L544" i="11"/>
  <c r="Q218" i="11"/>
  <c r="Q338" i="11"/>
  <c r="L399" i="11"/>
  <c r="L37" i="11"/>
  <c r="Q65" i="11"/>
  <c r="R102" i="11"/>
  <c r="K210" i="11"/>
  <c r="K554" i="11"/>
  <c r="K49" i="11"/>
  <c r="L327" i="11"/>
  <c r="R496" i="11"/>
  <c r="R14" i="11"/>
  <c r="L382" i="11"/>
  <c r="K303" i="11"/>
  <c r="Q57" i="11"/>
  <c r="Q452" i="11"/>
  <c r="L472" i="11"/>
  <c r="Q471" i="11"/>
  <c r="K559" i="11"/>
  <c r="R370" i="11"/>
  <c r="L8" i="11"/>
  <c r="L468" i="11"/>
  <c r="K148" i="11"/>
  <c r="R570" i="11"/>
  <c r="Q371" i="11"/>
  <c r="K490" i="11"/>
  <c r="K356" i="11"/>
  <c r="R244" i="11"/>
  <c r="R311" i="11"/>
  <c r="R521" i="11"/>
  <c r="K39" i="11"/>
  <c r="R555" i="11"/>
  <c r="Q140" i="11"/>
  <c r="R90" i="11"/>
  <c r="K410" i="11"/>
  <c r="L486" i="11"/>
  <c r="R383" i="11"/>
  <c r="L22" i="11"/>
  <c r="R639" i="11"/>
  <c r="L84" i="11"/>
  <c r="Q445" i="11"/>
  <c r="K586" i="11"/>
  <c r="L65" i="11"/>
  <c r="K375" i="11"/>
  <c r="L31" i="11"/>
  <c r="L606" i="11"/>
  <c r="L61" i="11"/>
  <c r="R617" i="11"/>
  <c r="L442" i="11"/>
  <c r="K549" i="11"/>
  <c r="R143" i="11"/>
  <c r="R354" i="11"/>
  <c r="Q25" i="11"/>
  <c r="R473" i="11"/>
  <c r="K165" i="11"/>
  <c r="R260" i="11"/>
  <c r="Q239" i="11"/>
  <c r="K308" i="11"/>
  <c r="Q561" i="11"/>
  <c r="Q539" i="11"/>
  <c r="R77" i="11"/>
  <c r="K181" i="11"/>
  <c r="L153" i="11"/>
  <c r="K87" i="11"/>
  <c r="Q399" i="11"/>
  <c r="R65" i="11"/>
  <c r="Q210" i="11"/>
  <c r="K177" i="11"/>
  <c r="R37" i="11"/>
  <c r="R193" i="11"/>
  <c r="K342" i="11"/>
  <c r="L63" i="11"/>
  <c r="K227" i="11"/>
  <c r="K78" i="11"/>
  <c r="L95" i="11"/>
  <c r="R585" i="11"/>
  <c r="K85" i="11"/>
  <c r="L422" i="11"/>
  <c r="L423" i="11"/>
  <c r="K611" i="11"/>
  <c r="Q112" i="11"/>
  <c r="K115" i="11"/>
  <c r="I57" i="4"/>
  <c r="R561" i="11"/>
  <c r="Q493" i="11"/>
  <c r="R127" i="11"/>
  <c r="K309" i="11"/>
  <c r="L194" i="11"/>
  <c r="L540" i="11"/>
  <c r="Q567" i="11"/>
  <c r="K305" i="11"/>
  <c r="L137" i="11"/>
  <c r="Q20" i="11"/>
  <c r="Q312" i="11"/>
  <c r="K620" i="11"/>
  <c r="Q78" i="11"/>
  <c r="Q622" i="11"/>
  <c r="K278" i="11"/>
  <c r="R363" i="11"/>
  <c r="R335" i="11"/>
  <c r="L81" i="11"/>
  <c r="R95" i="11"/>
  <c r="R470" i="11"/>
  <c r="Q360" i="11"/>
  <c r="R537" i="11"/>
  <c r="R308" i="11"/>
  <c r="Q440" i="11"/>
  <c r="R51" i="11"/>
  <c r="R616" i="11"/>
  <c r="K650" i="11"/>
  <c r="R448" i="11"/>
  <c r="R200" i="11"/>
  <c r="L628" i="11"/>
  <c r="Q133" i="11"/>
  <c r="Q418" i="11"/>
  <c r="R170" i="11"/>
  <c r="L130" i="11"/>
  <c r="R640" i="11"/>
  <c r="Q519" i="11"/>
  <c r="Q8" i="11"/>
  <c r="R380" i="11"/>
  <c r="R284" i="11"/>
  <c r="K36" i="11"/>
  <c r="L97" i="11"/>
  <c r="Q149" i="11"/>
  <c r="Q647" i="11"/>
  <c r="K414" i="11"/>
  <c r="L312" i="11"/>
  <c r="K34" i="11"/>
  <c r="R261" i="11"/>
  <c r="R20" i="11"/>
  <c r="L334" i="11"/>
  <c r="R258" i="11"/>
  <c r="R104" i="11"/>
  <c r="Q217" i="11"/>
  <c r="Q556" i="11"/>
  <c r="K52" i="11"/>
  <c r="K205" i="11"/>
  <c r="Q373" i="11"/>
  <c r="R386" i="11"/>
  <c r="R123" i="11"/>
  <c r="Q441" i="11"/>
  <c r="Q247" i="11"/>
  <c r="L413" i="11"/>
  <c r="R129" i="11"/>
  <c r="Q336" i="11"/>
  <c r="K280" i="11"/>
  <c r="Q70" i="11"/>
  <c r="K311" i="11"/>
  <c r="L368" i="11"/>
  <c r="R209" i="11"/>
  <c r="Q555" i="11"/>
  <c r="K608" i="11"/>
  <c r="K317" i="11"/>
  <c r="L633" i="11"/>
  <c r="Q271" i="11"/>
  <c r="K345" i="11"/>
  <c r="L264" i="11"/>
  <c r="Q531" i="11"/>
  <c r="Q164" i="11"/>
  <c r="L574" i="11"/>
  <c r="K450" i="11"/>
  <c r="L417" i="11"/>
  <c r="R180" i="11"/>
  <c r="L55" i="11"/>
  <c r="R487" i="11"/>
  <c r="R540" i="11"/>
  <c r="K106" i="11"/>
  <c r="R31" i="11"/>
  <c r="L325" i="11"/>
  <c r="L234" i="11"/>
  <c r="R136" i="11"/>
  <c r="R81" i="11"/>
  <c r="R460" i="11"/>
  <c r="Q400" i="11"/>
  <c r="K292" i="11"/>
  <c r="Q174" i="11"/>
  <c r="K595" i="11"/>
  <c r="R572" i="11"/>
  <c r="R36" i="11"/>
  <c r="Q85" i="11"/>
  <c r="K159" i="11"/>
  <c r="Q337" i="11"/>
  <c r="K632" i="11"/>
  <c r="R614" i="11"/>
  <c r="L118" i="11"/>
  <c r="L134" i="11"/>
  <c r="Q586" i="11"/>
  <c r="L355" i="11"/>
  <c r="Q477" i="11"/>
  <c r="K393" i="11"/>
  <c r="L631" i="11"/>
  <c r="Q510" i="11"/>
  <c r="L426" i="11"/>
  <c r="R428" i="11"/>
  <c r="K529" i="11"/>
  <c r="Q303" i="11"/>
  <c r="R32" i="11"/>
  <c r="L482" i="11"/>
  <c r="L70" i="11"/>
  <c r="K359" i="11"/>
  <c r="Q122" i="11"/>
  <c r="L401" i="11"/>
  <c r="L219" i="11"/>
  <c r="K92" i="11"/>
  <c r="R598" i="11"/>
  <c r="L559" i="11"/>
  <c r="L115" i="11"/>
  <c r="K363" i="11"/>
  <c r="Q369" i="11"/>
  <c r="Q638" i="11"/>
  <c r="K571" i="11"/>
  <c r="K627" i="11"/>
  <c r="L50" i="11"/>
  <c r="L343" i="11"/>
  <c r="L154" i="11"/>
  <c r="Q96" i="11"/>
  <c r="R288" i="11"/>
  <c r="R538" i="11"/>
  <c r="L105" i="11"/>
  <c r="R362" i="11"/>
  <c r="L567" i="11"/>
  <c r="Q352" i="11"/>
  <c r="R392" i="11"/>
  <c r="Q252" i="11"/>
  <c r="Q568" i="11"/>
  <c r="K616" i="11"/>
  <c r="K639" i="11"/>
  <c r="L533" i="11"/>
  <c r="Q629" i="11"/>
  <c r="Q354" i="11"/>
  <c r="K512" i="11"/>
  <c r="L579" i="11"/>
  <c r="K341" i="11"/>
  <c r="R647" i="11"/>
  <c r="K647" i="11"/>
  <c r="K58" i="11"/>
  <c r="R212" i="11"/>
  <c r="L537" i="11"/>
  <c r="R406" i="11"/>
  <c r="R517" i="11"/>
  <c r="L207" i="11"/>
  <c r="L523" i="11"/>
  <c r="L436" i="11"/>
  <c r="K371" i="11"/>
  <c r="Q401" i="11"/>
  <c r="L444" i="11"/>
  <c r="Q178" i="11"/>
  <c r="Q364" i="11"/>
  <c r="L263" i="11"/>
  <c r="L637" i="11"/>
  <c r="K420" i="11"/>
  <c r="L582" i="11"/>
  <c r="L119" i="11"/>
  <c r="L520" i="11"/>
  <c r="L341" i="11"/>
  <c r="L573" i="11"/>
  <c r="L177" i="11"/>
  <c r="L220" i="11"/>
  <c r="R117" i="11"/>
  <c r="K551" i="11"/>
  <c r="Q37" i="11"/>
  <c r="Q166" i="11"/>
  <c r="L223" i="11"/>
  <c r="Q76" i="11"/>
  <c r="R566" i="11"/>
  <c r="R509" i="11"/>
  <c r="L471" i="11"/>
  <c r="L5" i="11"/>
  <c r="Q483" i="11"/>
  <c r="Q526" i="11"/>
  <c r="R265" i="11"/>
  <c r="R299" i="11"/>
  <c r="R183" i="11"/>
  <c r="R62" i="11"/>
  <c r="Q384" i="11"/>
  <c r="K164" i="11"/>
  <c r="L526" i="11"/>
  <c r="Q279" i="11"/>
  <c r="K274" i="11"/>
  <c r="R277" i="11"/>
  <c r="Q302" i="11"/>
  <c r="R297" i="11"/>
  <c r="L643" i="11"/>
  <c r="Q482" i="11"/>
  <c r="L222" i="11"/>
  <c r="L228" i="11"/>
  <c r="K600" i="11"/>
  <c r="Q599" i="11"/>
  <c r="L17" i="11"/>
  <c r="L237" i="11"/>
  <c r="R408" i="11"/>
  <c r="K361" i="11"/>
  <c r="L145" i="11"/>
  <c r="Q631" i="11"/>
  <c r="Q15" i="11"/>
  <c r="L262" i="11"/>
  <c r="L369" i="11"/>
  <c r="L32" i="11"/>
  <c r="Q619" i="11"/>
  <c r="L456" i="11"/>
  <c r="L259" i="11"/>
  <c r="K154" i="11"/>
  <c r="Q183" i="11"/>
  <c r="K142" i="11"/>
  <c r="Q456" i="11"/>
  <c r="L470" i="11"/>
  <c r="Q473" i="11"/>
  <c r="K564" i="11"/>
  <c r="L627" i="11"/>
  <c r="K570" i="11"/>
  <c r="K465" i="11"/>
  <c r="K247" i="11"/>
  <c r="Q308" i="11"/>
  <c r="K541" i="11"/>
  <c r="R211" i="11"/>
  <c r="R497" i="11"/>
  <c r="R532" i="11"/>
  <c r="K166" i="11"/>
  <c r="R650" i="11"/>
  <c r="Q507" i="11"/>
  <c r="R253" i="11"/>
  <c r="K114" i="11"/>
  <c r="L179" i="11"/>
  <c r="Q443" i="11"/>
  <c r="L530" i="11"/>
  <c r="R67" i="11"/>
  <c r="R109" i="11"/>
  <c r="K104" i="11"/>
  <c r="Q260" i="11"/>
  <c r="L347" i="11"/>
  <c r="K43" i="11"/>
  <c r="Q601" i="11"/>
  <c r="K372" i="11"/>
  <c r="K424" i="11"/>
  <c r="R604" i="11"/>
  <c r="R349" i="11"/>
  <c r="L629" i="11"/>
  <c r="L192" i="11"/>
  <c r="K466" i="11"/>
  <c r="L395" i="11"/>
  <c r="L38" i="11"/>
  <c r="L248" i="11"/>
  <c r="Q395" i="11"/>
  <c r="L416" i="11"/>
  <c r="K423" i="11"/>
  <c r="Q367" i="11"/>
  <c r="Q355" i="11"/>
  <c r="L320" i="11"/>
  <c r="R75" i="11"/>
  <c r="Q590" i="11"/>
  <c r="K416" i="11"/>
  <c r="K275" i="11"/>
  <c r="K235" i="11"/>
  <c r="L44" i="11"/>
  <c r="L43" i="11"/>
  <c r="Q650" i="11"/>
  <c r="L411" i="11"/>
  <c r="K575" i="11"/>
  <c r="L555" i="11"/>
  <c r="L212" i="11"/>
  <c r="K350" i="11"/>
  <c r="K330" i="11"/>
  <c r="R227" i="11"/>
  <c r="Q502" i="11"/>
  <c r="K447" i="11"/>
  <c r="Q54" i="11"/>
  <c r="Q347" i="11"/>
  <c r="L121" i="11"/>
  <c r="L415" i="11"/>
  <c r="K565" i="11"/>
  <c r="R228" i="11"/>
  <c r="Q95" i="11"/>
  <c r="L393" i="11"/>
  <c r="R131" i="11"/>
  <c r="L277" i="11"/>
  <c r="Q138" i="11"/>
  <c r="L163" i="11"/>
  <c r="Q463" i="11"/>
  <c r="K226" i="11"/>
  <c r="Q468" i="11"/>
  <c r="K208" i="11"/>
  <c r="L560" i="11"/>
  <c r="Q121" i="11"/>
  <c r="L159" i="11"/>
  <c r="R223" i="11"/>
  <c r="L495" i="11"/>
  <c r="L431" i="11"/>
  <c r="R55" i="11"/>
  <c r="K42" i="11"/>
  <c r="Q465" i="11"/>
  <c r="L280" i="11"/>
  <c r="K171" i="11"/>
  <c r="K273" i="11"/>
  <c r="Q208" i="11"/>
  <c r="K198" i="11"/>
  <c r="R13" i="11"/>
  <c r="Q571" i="11"/>
  <c r="L561" i="11"/>
  <c r="R78" i="11"/>
  <c r="Q320" i="11"/>
  <c r="K399" i="11"/>
  <c r="K282" i="11"/>
  <c r="R205" i="11"/>
  <c r="R489" i="11"/>
  <c r="K156" i="11"/>
  <c r="R425" i="11"/>
  <c r="K327" i="11"/>
  <c r="R79" i="11"/>
  <c r="R423" i="11"/>
  <c r="L588" i="11"/>
  <c r="Q486" i="11"/>
  <c r="Q479" i="11"/>
  <c r="R294" i="11"/>
  <c r="R627" i="11"/>
  <c r="Q202" i="11"/>
  <c r="K546" i="11"/>
  <c r="R246" i="11"/>
  <c r="K147" i="11"/>
  <c r="Q204" i="11"/>
  <c r="L91" i="11"/>
  <c r="Q637" i="11"/>
  <c r="L94" i="11"/>
  <c r="L245" i="11"/>
  <c r="Q489" i="11"/>
  <c r="R416" i="11"/>
  <c r="Q490" i="11"/>
  <c r="R481" i="11"/>
  <c r="K475" i="11"/>
  <c r="K220" i="11"/>
  <c r="K563" i="11"/>
  <c r="K382" i="11"/>
  <c r="Q159" i="11"/>
  <c r="L609" i="11"/>
  <c r="K389" i="11"/>
  <c r="K612" i="11"/>
  <c r="Q181" i="11"/>
  <c r="L364" i="11"/>
  <c r="L29" i="11"/>
  <c r="L66" i="11"/>
  <c r="R270" i="11"/>
  <c r="K35" i="11"/>
  <c r="K337" i="11"/>
  <c r="Q425" i="11"/>
  <c r="H57" i="4" a="1"/>
  <c r="L254" i="11"/>
  <c r="L394" i="11"/>
  <c r="Q480" i="11"/>
  <c r="R203" i="11"/>
  <c r="L40" i="11"/>
  <c r="Q495" i="11"/>
  <c r="R207" i="11"/>
  <c r="L452" i="11"/>
  <c r="K606" i="11"/>
  <c r="K203" i="11"/>
  <c r="L449" i="11"/>
  <c r="Q139" i="11"/>
  <c r="L197" i="11"/>
  <c r="Q378" i="11"/>
  <c r="L448" i="11"/>
  <c r="K508" i="11"/>
  <c r="Q106" i="11"/>
  <c r="Q256" i="11"/>
  <c r="K217" i="11"/>
  <c r="R453" i="11"/>
  <c r="K13" i="11"/>
  <c r="L187" i="11"/>
  <c r="K315" i="11"/>
  <c r="Q146" i="11"/>
  <c r="R567" i="11"/>
  <c r="R407" i="11"/>
  <c r="Q150" i="11"/>
  <c r="Q294" i="11"/>
  <c r="K54" i="11"/>
  <c r="L425" i="11"/>
  <c r="R391" i="11"/>
  <c r="Q253" i="11"/>
  <c r="K243" i="11"/>
  <c r="R372" i="11"/>
  <c r="Q546" i="11"/>
  <c r="K169" i="11"/>
  <c r="L169" i="11"/>
  <c r="R206" i="11"/>
  <c r="Q197" i="11"/>
  <c r="K323" i="11"/>
  <c r="R235" i="11"/>
  <c r="Q536" i="11"/>
  <c r="Q588" i="11"/>
  <c r="L309" i="11"/>
  <c r="L324" i="11"/>
  <c r="R7" i="11"/>
  <c r="L389" i="11"/>
  <c r="R11" i="11"/>
  <c r="Q497" i="11"/>
  <c r="L562" i="11"/>
  <c r="K481" i="11"/>
  <c r="R381" i="11"/>
  <c r="R187" i="11"/>
  <c r="L438" i="11"/>
  <c r="K515" i="11"/>
  <c r="K157" i="11"/>
  <c r="R358" i="11"/>
  <c r="K113" i="11"/>
  <c r="K354" i="11"/>
  <c r="Q32" i="11"/>
  <c r="Q176" i="11"/>
  <c r="R360" i="11"/>
  <c r="R321" i="11"/>
  <c r="K245" i="11"/>
  <c r="K97" i="11"/>
  <c r="Q180" i="11"/>
  <c r="K464" i="11"/>
  <c r="L538" i="11"/>
  <c r="L140" i="11"/>
  <c r="L585" i="11"/>
  <c r="K587" i="11"/>
  <c r="R315" i="11"/>
  <c r="L374" i="11"/>
  <c r="Q628" i="11"/>
  <c r="R82" i="11"/>
  <c r="K334" i="11"/>
  <c r="K172" i="11"/>
  <c r="R503" i="11"/>
  <c r="R586" i="11"/>
  <c r="R295" i="11"/>
  <c r="L54" i="11"/>
  <c r="K297" i="11"/>
  <c r="Q508" i="11"/>
  <c r="Q129" i="11"/>
  <c r="L332" i="11"/>
  <c r="Q238" i="11"/>
  <c r="Q110" i="11"/>
  <c r="L18" i="11"/>
  <c r="R226" i="11"/>
  <c r="Q163" i="11"/>
  <c r="R513" i="11"/>
  <c r="Q242" i="11"/>
  <c r="Q291" i="11"/>
  <c r="R266" i="11"/>
  <c r="K151" i="11"/>
  <c r="R105" i="11"/>
  <c r="Q127" i="11"/>
  <c r="Q7" i="11"/>
  <c r="K514" i="11"/>
  <c r="R234" i="11"/>
  <c r="K624" i="11"/>
  <c r="R569" i="11"/>
  <c r="K443" i="11"/>
  <c r="L607" i="11"/>
  <c r="L188" i="11"/>
  <c r="L93" i="11"/>
  <c r="Q199" i="11"/>
  <c r="K10" i="11"/>
  <c r="K396" i="11"/>
  <c r="L75" i="11"/>
  <c r="R578" i="11"/>
  <c r="L328" i="11"/>
  <c r="K540" i="11"/>
  <c r="K329" i="11"/>
  <c r="Q374" i="11"/>
  <c r="K560" i="11"/>
  <c r="R337" i="11"/>
  <c r="Q265" i="11"/>
  <c r="K634" i="11"/>
  <c r="L57" i="11"/>
  <c r="L409" i="11"/>
  <c r="R60" i="11"/>
  <c r="Q485" i="11"/>
  <c r="R80" i="11"/>
  <c r="K324" i="11"/>
  <c r="K313" i="11"/>
  <c r="K257" i="11"/>
  <c r="K577" i="11"/>
  <c r="L645" i="11"/>
  <c r="Q522" i="11"/>
  <c r="L45" i="11"/>
  <c r="K253" i="11"/>
  <c r="L373" i="11"/>
  <c r="Q28" i="11"/>
  <c r="Q237" i="11"/>
  <c r="L371" i="11"/>
  <c r="L193" i="11"/>
  <c r="K261" i="11"/>
  <c r="L570" i="11"/>
  <c r="Q221" i="11"/>
  <c r="L481" i="11"/>
  <c r="L454" i="11"/>
  <c r="L620" i="11"/>
  <c r="R324" i="11"/>
  <c r="L566" i="11"/>
  <c r="L103" i="11"/>
  <c r="K468" i="11"/>
  <c r="Q91" i="11"/>
  <c r="K572" i="11"/>
  <c r="R581" i="11"/>
  <c r="Q524" i="11"/>
  <c r="K530" i="11"/>
  <c r="Q313" i="11"/>
  <c r="R306" i="11"/>
  <c r="R435" i="11"/>
  <c r="R421" i="11"/>
  <c r="Q73" i="11"/>
  <c r="R619" i="11"/>
  <c r="Q158" i="11"/>
  <c r="L229" i="11"/>
  <c r="R69" i="11"/>
  <c r="K385" i="11"/>
  <c r="Q598" i="11"/>
  <c r="Q618" i="11"/>
  <c r="R445" i="11"/>
  <c r="K495" i="11"/>
  <c r="R336" i="11"/>
  <c r="K536" i="11"/>
  <c r="R477" i="11"/>
  <c r="R465" i="11"/>
  <c r="R530" i="11"/>
  <c r="K470" i="11"/>
  <c r="Q48" i="11"/>
  <c r="L149" i="11"/>
  <c r="K252" i="11"/>
  <c r="Q607" i="11"/>
  <c r="K461" i="11"/>
  <c r="R418" i="11"/>
  <c r="R147" i="11"/>
  <c r="Q35" i="11"/>
  <c r="L532" i="11"/>
  <c r="R210" i="11"/>
  <c r="Q286" i="11"/>
  <c r="Q535" i="11"/>
  <c r="R286" i="11"/>
  <c r="K589" i="11"/>
  <c r="Q595" i="11"/>
  <c r="R148" i="11"/>
  <c r="K90" i="11"/>
  <c r="Q200" i="11"/>
  <c r="R486" i="11"/>
  <c r="K640" i="11"/>
  <c r="K477" i="11"/>
  <c r="L518" i="11"/>
  <c r="Q42" i="11"/>
  <c r="K326" i="11"/>
  <c r="K294" i="11"/>
  <c r="R415" i="11"/>
  <c r="R185" i="11"/>
  <c r="Q513" i="11"/>
  <c r="L372" i="11"/>
  <c r="L370" i="11"/>
  <c r="L508" i="11"/>
  <c r="Q154" i="11"/>
  <c r="K18" i="11"/>
  <c r="Q406" i="11"/>
  <c r="K82" i="11"/>
  <c r="L512" i="11"/>
  <c r="K88" i="11"/>
  <c r="K105" i="11"/>
  <c r="L240" i="11"/>
  <c r="L479" i="11"/>
  <c r="Q144" i="11"/>
  <c r="L253" i="11"/>
  <c r="Q5" i="11"/>
  <c r="Q69" i="11"/>
  <c r="L554" i="11"/>
  <c r="R631" i="11"/>
  <c r="Q584" i="11"/>
  <c r="L317" i="11"/>
  <c r="L610" i="11"/>
  <c r="R181" i="11"/>
  <c r="R229" i="11"/>
  <c r="R155" i="11"/>
  <c r="L507" i="11"/>
  <c r="L305" i="11"/>
  <c r="R27" i="11"/>
  <c r="L281" i="11"/>
  <c r="R484" i="11"/>
  <c r="R632" i="11"/>
  <c r="K445" i="11"/>
  <c r="K425" i="11"/>
  <c r="R307" i="11"/>
  <c r="Q469" i="11"/>
  <c r="K459" i="11"/>
  <c r="K641" i="11"/>
  <c r="L204" i="11"/>
  <c r="K268" i="11"/>
  <c r="K266" i="11"/>
  <c r="R186" i="11"/>
  <c r="R316" i="11"/>
  <c r="K179" i="11"/>
  <c r="K221" i="11"/>
  <c r="K460" i="11"/>
  <c r="Q211" i="11"/>
  <c r="K21" i="11"/>
  <c r="R602" i="11"/>
  <c r="K604" i="11"/>
  <c r="Q266" i="11"/>
  <c r="R542" i="11"/>
  <c r="R438" i="11"/>
  <c r="K66" i="11"/>
  <c r="H39" i="4"/>
  <c r="L111" i="11"/>
  <c r="K8" i="11"/>
  <c r="L47" i="11"/>
  <c r="K180" i="11"/>
  <c r="I62" i="4"/>
  <c r="K70" i="11"/>
  <c r="K453" i="11"/>
  <c r="R444" i="11"/>
  <c r="Q186" i="11"/>
  <c r="K518" i="11"/>
  <c r="R166" i="11"/>
  <c r="L590" i="11"/>
  <c r="R120" i="11"/>
  <c r="L252" i="11"/>
  <c r="K75" i="11"/>
  <c r="L587" i="11"/>
  <c r="L102" i="11"/>
  <c r="K325" i="11"/>
  <c r="R168" i="11"/>
  <c r="L83" i="11"/>
  <c r="K86" i="11"/>
  <c r="K277" i="11"/>
  <c r="K507" i="11"/>
  <c r="K304" i="11"/>
  <c r="R506" i="11"/>
  <c r="L601" i="11"/>
  <c r="R9" i="11"/>
  <c r="K486" i="11"/>
  <c r="R331" i="11"/>
  <c r="L358" i="11"/>
  <c r="K493" i="11"/>
  <c r="R68" i="11"/>
  <c r="K467" i="11"/>
  <c r="L35" i="11"/>
  <c r="L626" i="11"/>
  <c r="K510" i="11"/>
  <c r="K454" i="11"/>
  <c r="Q160" i="11"/>
  <c r="Q117" i="11"/>
  <c r="L239" i="11"/>
  <c r="R402" i="11"/>
  <c r="R340" i="11"/>
  <c r="Q119" i="11"/>
  <c r="R39" i="11"/>
  <c r="K449" i="11"/>
  <c r="K442" i="11"/>
  <c r="Q101" i="11"/>
  <c r="L642" i="11"/>
  <c r="K383" i="11"/>
  <c r="L400" i="11"/>
  <c r="Q216" i="11"/>
  <c r="L41" i="11"/>
  <c r="R124" i="11"/>
  <c r="Q309" i="11"/>
  <c r="R459" i="11"/>
  <c r="L49" i="11"/>
  <c r="K377" i="11"/>
  <c r="Q564" i="11"/>
  <c r="L521" i="11"/>
  <c r="K30" i="11"/>
  <c r="R446" i="11"/>
  <c r="Q327" i="11"/>
  <c r="Q581" i="11"/>
  <c r="L238" i="11"/>
  <c r="R59" i="11"/>
  <c r="I60" i="4"/>
  <c r="K319" i="11"/>
  <c r="L306" i="11"/>
  <c r="R594" i="11"/>
  <c r="K145" i="11"/>
  <c r="L27" i="11"/>
  <c r="Q387" i="11"/>
  <c r="L336" i="11"/>
  <c r="L161" i="11"/>
  <c r="H59" i="4" a="1"/>
  <c r="K538" i="11"/>
  <c r="R21" i="11"/>
  <c r="K144" i="11"/>
  <c r="Q435" i="11"/>
  <c r="Q565" i="11"/>
  <c r="L171" i="11"/>
  <c r="Q449" i="11"/>
  <c r="R132" i="11"/>
  <c r="R441" i="11"/>
  <c r="Q62" i="11"/>
  <c r="K284" i="11"/>
  <c r="K238" i="11"/>
  <c r="Q552" i="11"/>
  <c r="Q300" i="11"/>
  <c r="K163" i="11"/>
  <c r="R171" i="11"/>
  <c r="K74" i="11"/>
  <c r="L469" i="11"/>
  <c r="K136" i="11"/>
  <c r="Q323" i="11"/>
  <c r="L635" i="11"/>
  <c r="K255" i="11"/>
  <c r="R138" i="11"/>
  <c r="Q321" i="11"/>
  <c r="L19" i="11"/>
  <c r="L516" i="11"/>
  <c r="Q324" i="11"/>
  <c r="K440" i="11"/>
  <c r="R281" i="11"/>
  <c r="K288" i="11"/>
  <c r="L62" i="11"/>
  <c r="R474" i="11"/>
  <c r="K248" i="11"/>
  <c r="Q267" i="11"/>
  <c r="Q512" i="11"/>
  <c r="K516" i="11"/>
  <c r="K161" i="11"/>
  <c r="K24" i="11"/>
  <c r="Q538" i="11"/>
  <c r="K556" i="11"/>
  <c r="L501" i="11"/>
  <c r="L268" i="11"/>
  <c r="Q457" i="11"/>
  <c r="K162" i="11"/>
  <c r="H63" i="4" a="1"/>
  <c r="L241" i="11"/>
  <c r="K542" i="11"/>
  <c r="Q408" i="11"/>
  <c r="L316" i="11"/>
  <c r="Q22" i="11"/>
  <c r="R273" i="11"/>
  <c r="L308" i="11"/>
  <c r="Q381" i="11"/>
  <c r="L278" i="11"/>
  <c r="K100" i="11"/>
  <c r="R121" i="11"/>
  <c r="K124" i="11"/>
  <c r="K388" i="11"/>
  <c r="K307" i="11"/>
  <c r="K347" i="11"/>
  <c r="R476" i="11"/>
  <c r="L636" i="11"/>
  <c r="R471" i="11"/>
  <c r="R508" i="11"/>
  <c r="K93" i="11"/>
  <c r="K566" i="11"/>
  <c r="K32" i="11"/>
  <c r="Q206" i="11"/>
  <c r="Q88" i="11"/>
  <c r="L527" i="11"/>
  <c r="R483" i="11"/>
  <c r="Q446" i="11"/>
  <c r="R576" i="11"/>
  <c r="K614" i="11"/>
  <c r="L494" i="11"/>
  <c r="Q646" i="11"/>
  <c r="R504" i="11"/>
  <c r="R224" i="11"/>
  <c r="R49" i="11"/>
  <c r="R301" i="11"/>
  <c r="R638" i="11"/>
  <c r="L599" i="11"/>
  <c r="K597" i="11"/>
  <c r="L397" i="11"/>
  <c r="R232" i="11"/>
  <c r="L644" i="11"/>
  <c r="K84" i="11"/>
  <c r="K270" i="11"/>
  <c r="K343" i="11"/>
  <c r="K222" i="11"/>
  <c r="K494" i="11"/>
  <c r="K429" i="11"/>
  <c r="Q597" i="11"/>
  <c r="K578" i="11"/>
  <c r="Q366" i="11"/>
  <c r="R106" i="11"/>
  <c r="R485" i="11"/>
  <c r="L377" i="11"/>
  <c r="R174" i="11"/>
  <c r="L366" i="11"/>
  <c r="R417" i="11"/>
  <c r="R606" i="11"/>
  <c r="R220" i="11"/>
  <c r="Q377" i="11"/>
  <c r="K503" i="11"/>
  <c r="K236" i="11"/>
  <c r="R526" i="11"/>
  <c r="Q521" i="11"/>
  <c r="Q236" i="11"/>
  <c r="K380" i="11"/>
  <c r="K413" i="11"/>
  <c r="K9" i="11"/>
  <c r="K218" i="11"/>
  <c r="Q635" i="11"/>
  <c r="R388" i="11"/>
  <c r="Q623" i="11"/>
  <c r="L143" i="11"/>
  <c r="L321" i="11"/>
  <c r="Q248" i="11"/>
  <c r="Q156" i="11"/>
  <c r="Q610" i="11"/>
  <c r="K557" i="11"/>
  <c r="Q77" i="11"/>
  <c r="K601" i="11"/>
  <c r="Q481" i="11"/>
  <c r="K206" i="11"/>
  <c r="Q264" i="11"/>
  <c r="L56" i="11"/>
  <c r="Q554" i="11"/>
  <c r="R596" i="11"/>
  <c r="R426" i="11"/>
  <c r="L162" i="11"/>
  <c r="R512" i="11"/>
  <c r="L528" i="11"/>
  <c r="L185" i="11"/>
  <c r="R112" i="11"/>
  <c r="Q420" i="11"/>
  <c r="K626" i="11"/>
  <c r="R118" i="11"/>
  <c r="L646" i="11"/>
  <c r="L290" i="11"/>
  <c r="Q86" i="11"/>
  <c r="K580" i="11"/>
  <c r="Q407" i="11"/>
  <c r="R298" i="11"/>
  <c r="K415" i="11"/>
  <c r="K250" i="11"/>
  <c r="L542" i="11"/>
  <c r="K331" i="11"/>
  <c r="Q38" i="11"/>
  <c r="R405" i="11"/>
  <c r="K505" i="11"/>
  <c r="L226" i="11"/>
  <c r="K306" i="11"/>
  <c r="K46" i="11"/>
  <c r="Q220" i="11"/>
  <c r="L535" i="11"/>
  <c r="L485" i="11"/>
  <c r="K417" i="11"/>
  <c r="L510" i="11"/>
  <c r="R257" i="11"/>
  <c r="L116" i="11"/>
  <c r="Q345" i="11"/>
  <c r="L206" i="11"/>
  <c r="Q594" i="11"/>
  <c r="L357" i="11"/>
  <c r="L302" i="11"/>
  <c r="K412" i="11"/>
  <c r="Q314" i="11"/>
  <c r="Q104" i="11"/>
  <c r="Q466" i="11"/>
  <c r="R239" i="11"/>
  <c r="K648" i="11"/>
  <c r="K645" i="11"/>
  <c r="L340" i="11"/>
  <c r="K433" i="11"/>
  <c r="Q386" i="11"/>
  <c r="Q19" i="11"/>
  <c r="Q290" i="11"/>
  <c r="Q40" i="11"/>
  <c r="Q603" i="11"/>
  <c r="L282" i="11"/>
  <c r="K630" i="11"/>
  <c r="R592" i="11"/>
  <c r="R350" i="11"/>
  <c r="L9" i="11"/>
  <c r="L292" i="11"/>
  <c r="K378" i="11"/>
  <c r="K112" i="11"/>
  <c r="R325" i="11"/>
  <c r="Q357" i="11"/>
  <c r="Q273" i="11"/>
  <c r="Q612" i="11"/>
  <c r="Q53" i="11"/>
  <c r="Q293" i="11"/>
  <c r="Q393" i="11"/>
  <c r="L48" i="11"/>
  <c r="R96" i="11"/>
  <c r="Q487" i="11"/>
  <c r="L499" i="11"/>
  <c r="L284" i="11"/>
  <c r="Q284" i="11"/>
  <c r="Q343" i="11"/>
  <c r="Q6" i="11"/>
  <c r="K430" i="11"/>
  <c r="Q188" i="11"/>
  <c r="Q398" i="11"/>
  <c r="Q627" i="11"/>
  <c r="R214" i="11"/>
  <c r="K404" i="11"/>
  <c r="L616" i="11"/>
  <c r="Q464" i="11"/>
  <c r="K211" i="11"/>
  <c r="L231" i="11"/>
  <c r="Q544" i="11"/>
  <c r="Q412" i="11"/>
  <c r="R620" i="11"/>
  <c r="R527" i="11"/>
  <c r="K224" i="11"/>
  <c r="K485" i="11"/>
  <c r="R516" i="11"/>
  <c r="H62" i="4" a="1"/>
  <c r="L403" i="11"/>
  <c r="L136" i="11"/>
  <c r="K511" i="11"/>
  <c r="K369" i="11"/>
  <c r="R149" i="11"/>
  <c r="K386" i="11"/>
  <c r="R133" i="11"/>
  <c r="R71" i="11"/>
  <c r="Q18" i="11"/>
  <c r="R433" i="11"/>
  <c r="L51" i="11"/>
  <c r="Q100" i="11"/>
  <c r="Q90" i="11"/>
  <c r="L152" i="11"/>
  <c r="R369" i="11"/>
  <c r="Q58" i="11"/>
  <c r="Q606" i="11"/>
  <c r="R479" i="11"/>
  <c r="L477" i="11"/>
  <c r="L314" i="11"/>
  <c r="R38" i="11"/>
  <c r="L11" i="11"/>
  <c r="L273" i="11"/>
  <c r="L619" i="11"/>
  <c r="Q390" i="11"/>
  <c r="K117" i="11"/>
  <c r="Q476" i="11"/>
  <c r="L123" i="11"/>
  <c r="K285" i="11"/>
  <c r="K41" i="11"/>
  <c r="Q82" i="11"/>
  <c r="R268" i="11"/>
  <c r="R41" i="11"/>
  <c r="R387" i="11"/>
  <c r="Q532" i="11"/>
  <c r="L509" i="11"/>
  <c r="L505" i="11"/>
  <c r="Q41" i="11"/>
  <c r="R310" i="11"/>
  <c r="L71" i="11"/>
  <c r="R58" i="11"/>
  <c r="L104" i="11"/>
  <c r="R464" i="11"/>
  <c r="R215" i="11"/>
  <c r="R622" i="11"/>
  <c r="R559" i="11"/>
  <c r="Q496" i="11"/>
  <c r="Q363" i="11"/>
  <c r="L294" i="11"/>
  <c r="K69" i="11"/>
  <c r="L30" i="11"/>
  <c r="L301" i="11"/>
  <c r="K48" i="11"/>
  <c r="L447" i="11"/>
  <c r="K444" i="11"/>
  <c r="Q269" i="11"/>
  <c r="R342" i="11"/>
  <c r="Q505" i="11"/>
  <c r="L256" i="11"/>
  <c r="L92" i="11"/>
  <c r="Q87" i="11"/>
  <c r="Q46" i="11"/>
  <c r="R454" i="11"/>
  <c r="Q375" i="11"/>
  <c r="L504" i="11"/>
  <c r="L624" i="11"/>
  <c r="R262" i="11"/>
  <c r="K190" i="11"/>
  <c r="R437" i="11"/>
  <c r="L236" i="11"/>
  <c r="R111" i="11"/>
  <c r="Q569" i="11"/>
  <c r="R195" i="11"/>
  <c r="R480" i="11"/>
  <c r="K649" i="11"/>
  <c r="R116" i="11"/>
  <c r="R575" i="11"/>
  <c r="L79" i="11"/>
  <c r="R247" i="11"/>
  <c r="R122" i="11"/>
  <c r="L147" i="11"/>
  <c r="K65" i="11"/>
  <c r="L76" i="11"/>
  <c r="K547" i="11"/>
  <c r="L133" i="11"/>
  <c r="Q575" i="11"/>
  <c r="Q283" i="11"/>
  <c r="L208" i="11"/>
  <c r="L338" i="11"/>
  <c r="R621" i="11"/>
  <c r="L128" i="11"/>
  <c r="L13" i="11"/>
  <c r="K519" i="11"/>
  <c r="Q516" i="11"/>
  <c r="K489" i="11"/>
  <c r="R303" i="11"/>
  <c r="K548" i="11"/>
  <c r="K409" i="11"/>
  <c r="K153" i="11"/>
  <c r="K408" i="11"/>
  <c r="L563" i="11"/>
  <c r="R222" i="11"/>
  <c r="L304" i="11"/>
  <c r="L156" i="11"/>
  <c r="K633" i="11"/>
  <c r="I59" i="4"/>
  <c r="Q380" i="11"/>
  <c r="Q145" i="11"/>
  <c r="K355" i="11"/>
  <c r="Q292" i="11"/>
  <c r="Q297" i="11"/>
  <c r="Q262" i="11"/>
  <c r="R436" i="11"/>
  <c r="L87" i="11"/>
  <c r="L529" i="11"/>
  <c r="L583" i="11"/>
  <c r="L441" i="11"/>
  <c r="R584" i="11"/>
  <c r="Q317" i="11"/>
  <c r="R364" i="11"/>
  <c r="Q250" i="11"/>
  <c r="Q315" i="11"/>
  <c r="R238" i="11"/>
  <c r="L476" i="11"/>
  <c r="R110" i="11"/>
  <c r="R623" i="11"/>
  <c r="K258" i="11"/>
  <c r="L168" i="11"/>
  <c r="L297" i="11"/>
  <c r="R545" i="11"/>
  <c r="K419" i="11"/>
  <c r="Q137" i="11"/>
  <c r="L101" i="11"/>
  <c r="L261" i="11"/>
  <c r="L7" i="11"/>
  <c r="R156" i="11"/>
  <c r="R161" i="11"/>
  <c r="R525" i="11"/>
  <c r="R137" i="11"/>
  <c r="R548" i="11"/>
  <c r="R447" i="11"/>
  <c r="R292" i="11"/>
  <c r="Q579" i="11"/>
  <c r="Q429" i="11"/>
  <c r="K381" i="11"/>
  <c r="L90" i="11"/>
  <c r="K642" i="11"/>
  <c r="Q295" i="11"/>
  <c r="R249" i="11"/>
  <c r="R128" i="11"/>
  <c r="Q278" i="11"/>
  <c r="Q105" i="11"/>
  <c r="R248" i="11"/>
  <c r="R330" i="11"/>
  <c r="Q633" i="11"/>
  <c r="R573" i="11"/>
  <c r="Q30" i="11"/>
  <c r="L36" i="11"/>
  <c r="R430" i="11"/>
  <c r="Q175" i="11"/>
  <c r="L359" i="11"/>
  <c r="L85" i="11"/>
  <c r="R135" i="11"/>
  <c r="K469" i="11"/>
  <c r="L250" i="11"/>
  <c r="Q394" i="11"/>
  <c r="I49" i="4"/>
  <c r="R159" i="11"/>
  <c r="R46" i="11"/>
  <c r="Q255" i="11"/>
  <c r="L175" i="11"/>
  <c r="L600" i="11"/>
  <c r="Q639" i="11"/>
  <c r="L545" i="11"/>
  <c r="L602" i="11"/>
  <c r="L638" i="11"/>
  <c r="R612" i="11"/>
  <c r="Q613" i="11"/>
  <c r="Q167" i="11"/>
  <c r="L335" i="11"/>
  <c r="L176" i="11"/>
  <c r="L265" i="11"/>
  <c r="Q276" i="11"/>
  <c r="K291" i="11"/>
  <c r="L464" i="11"/>
  <c r="Q21" i="11"/>
  <c r="L379" i="11"/>
  <c r="R457" i="11"/>
  <c r="R626" i="11"/>
  <c r="K290" i="11"/>
  <c r="R368" i="11"/>
  <c r="K175" i="11"/>
  <c r="L120" i="11"/>
  <c r="R73" i="11"/>
  <c r="K135" i="11"/>
  <c r="R414" i="11"/>
  <c r="K501" i="11"/>
  <c r="Q71" i="11"/>
  <c r="R208" i="11"/>
  <c r="L348" i="11"/>
  <c r="L391" i="11"/>
  <c r="L173" i="11"/>
  <c r="L285" i="11"/>
  <c r="K231" i="11"/>
  <c r="Q591" i="11"/>
  <c r="Q97" i="11"/>
  <c r="Q198" i="11"/>
  <c r="R398" i="11"/>
  <c r="L384" i="11"/>
  <c r="R140" i="11"/>
  <c r="Q484" i="11"/>
  <c r="Q335" i="11"/>
  <c r="K16" i="11"/>
  <c r="I58" i="4"/>
  <c r="L106" i="11"/>
  <c r="R356" i="11"/>
  <c r="Q437" i="11"/>
  <c r="R130" i="11"/>
  <c r="Q80" i="11"/>
  <c r="K644" i="11"/>
  <c r="R449" i="11"/>
  <c r="H58" i="4" a="1"/>
  <c r="K50" i="11"/>
  <c r="Q649" i="11"/>
  <c r="R352" i="11"/>
  <c r="L489" i="11"/>
  <c r="L167" i="11"/>
  <c r="Q525" i="11"/>
  <c r="R597" i="11"/>
  <c r="K229" i="11"/>
  <c r="K362" i="11"/>
  <c r="Q428" i="11"/>
  <c r="L534" i="11"/>
  <c r="I47" i="4"/>
  <c r="R125" i="11"/>
  <c r="L135" i="11"/>
  <c r="R259" i="11"/>
  <c r="R628" i="11"/>
  <c r="K452" i="11"/>
  <c r="Q50" i="11"/>
  <c r="Q171" i="11"/>
  <c r="Q340" i="11"/>
  <c r="K89" i="11"/>
  <c r="R347" i="11"/>
  <c r="K613" i="11"/>
  <c r="L170" i="11"/>
  <c r="R494" i="11"/>
  <c r="R86" i="11"/>
  <c r="K581" i="11"/>
  <c r="K607" i="11"/>
  <c r="R593" i="11"/>
  <c r="R160" i="11"/>
  <c r="L404" i="11"/>
  <c r="L565" i="11"/>
  <c r="K240" i="11"/>
  <c r="L414" i="11"/>
  <c r="L60" i="11"/>
  <c r="L467" i="11"/>
  <c r="Q47" i="11"/>
  <c r="R587" i="11"/>
  <c r="R462" i="11"/>
  <c r="L406" i="11"/>
  <c r="L249" i="11"/>
  <c r="K293" i="11"/>
  <c r="R92" i="11"/>
  <c r="Q16" i="11"/>
  <c r="Q142" i="11"/>
  <c r="L271" i="11"/>
  <c r="L608" i="11"/>
  <c r="Q506" i="11"/>
  <c r="R184" i="11"/>
  <c r="L604" i="11"/>
  <c r="K392" i="11"/>
  <c r="Q282" i="11"/>
  <c r="L361" i="11"/>
  <c r="R304" i="11"/>
  <c r="K62" i="11"/>
  <c r="Q333" i="11"/>
  <c r="L333" i="11"/>
  <c r="L458" i="11"/>
  <c r="L210" i="11"/>
  <c r="R574" i="11"/>
  <c r="L543" i="11"/>
  <c r="K609" i="11"/>
  <c r="R173" i="11"/>
  <c r="Q233" i="11"/>
  <c r="L519" i="11"/>
  <c r="K7" i="11"/>
  <c r="Q451" i="11"/>
  <c r="R634" i="11"/>
  <c r="Q170" i="11"/>
  <c r="L483" i="11"/>
  <c r="K509" i="11"/>
  <c r="Q405" i="11"/>
  <c r="K602" i="11"/>
  <c r="Q244" i="11"/>
  <c r="Q362" i="11"/>
  <c r="Q114" i="11"/>
  <c r="L575" i="11"/>
  <c r="L550" i="11"/>
  <c r="K631" i="11"/>
  <c r="L235" i="11"/>
  <c r="K150" i="11"/>
  <c r="Q17" i="11"/>
  <c r="Q316" i="11"/>
  <c r="Q31" i="11"/>
  <c r="Q503" i="11"/>
  <c r="R322" i="11"/>
  <c r="R600" i="11"/>
  <c r="Q433" i="11"/>
  <c r="R289" i="11"/>
  <c r="Q246" i="11"/>
  <c r="K60" i="11"/>
  <c r="Q439" i="11"/>
  <c r="Q155" i="11"/>
  <c r="L506" i="11"/>
  <c r="Q241" i="11"/>
  <c r="L21" i="11"/>
  <c r="L260" i="11"/>
  <c r="Q615" i="11"/>
  <c r="K201" i="11"/>
  <c r="Q578" i="11"/>
  <c r="L435" i="11"/>
  <c r="R328" i="11"/>
  <c r="Q540" i="11"/>
  <c r="Q225" i="11"/>
  <c r="L546" i="11"/>
  <c r="L293" i="11"/>
  <c r="L392" i="11"/>
  <c r="R603" i="11"/>
  <c r="R541" i="11"/>
  <c r="R580" i="11"/>
  <c r="K130" i="11"/>
  <c r="Q203" i="11"/>
  <c r="L131" i="11"/>
  <c r="R535" i="11"/>
  <c r="L217" i="11"/>
  <c r="K183" i="11"/>
  <c r="K67" i="11"/>
  <c r="R547" i="11"/>
  <c r="L569" i="11"/>
  <c r="Q49" i="11"/>
  <c r="R346" i="11"/>
  <c r="R25" i="11"/>
  <c r="R119" i="11"/>
  <c r="K428" i="11"/>
  <c r="K521" i="11"/>
  <c r="K574" i="11"/>
  <c r="R255" i="11"/>
  <c r="Q330" i="11"/>
  <c r="K435" i="11"/>
  <c r="K176" i="11"/>
  <c r="K125" i="11"/>
  <c r="L396" i="11"/>
  <c r="K497" i="11"/>
  <c r="Q34" i="11"/>
  <c r="L224" i="11"/>
  <c r="Q403" i="11"/>
  <c r="Q551" i="11"/>
  <c r="Q397" i="11"/>
  <c r="K301" i="11"/>
  <c r="R507" i="11"/>
  <c r="Q190" i="11"/>
  <c r="Q130" i="11"/>
  <c r="R365" i="11"/>
  <c r="K15" i="11"/>
  <c r="K38" i="11"/>
  <c r="R88" i="11"/>
  <c r="Q27" i="11"/>
  <c r="K407" i="11"/>
  <c r="K134" i="11"/>
  <c r="K456" i="11"/>
  <c r="R50" i="11"/>
  <c r="Q61" i="11"/>
  <c r="K543" i="11"/>
  <c r="R269" i="11"/>
  <c r="K478" i="11"/>
  <c r="R514" i="11"/>
  <c r="K637" i="11"/>
  <c r="Q548" i="11"/>
  <c r="R114" i="11"/>
  <c r="Q621" i="11"/>
  <c r="R609" i="11"/>
  <c r="R94" i="11"/>
  <c r="Q207" i="11"/>
  <c r="R56" i="11"/>
  <c r="K504" i="11"/>
  <c r="K340" i="11"/>
  <c r="Q342" i="11"/>
  <c r="K133" i="11"/>
  <c r="R645" i="11"/>
  <c r="Q331" i="11"/>
  <c r="Q351" i="11"/>
  <c r="K57" i="11"/>
  <c r="Q617" i="11"/>
  <c r="K569" i="11"/>
  <c r="Q402" i="11"/>
  <c r="L129" i="11"/>
  <c r="Q415" i="11"/>
  <c r="Q614" i="11"/>
  <c r="L274" i="11"/>
  <c r="L77" i="11"/>
  <c r="Q288" i="11"/>
  <c r="K64" i="11"/>
  <c r="K310" i="11"/>
  <c r="Q257" i="11"/>
  <c r="R30" i="11"/>
  <c r="R165" i="11"/>
  <c r="R466" i="11"/>
  <c r="R546" i="11"/>
  <c r="R84" i="11"/>
  <c r="Q215" i="11"/>
  <c r="K573" i="11"/>
  <c r="R182" i="11"/>
  <c r="K436" i="11"/>
  <c r="K320" i="11"/>
  <c r="K199" i="11"/>
  <c r="K152" i="11"/>
  <c r="R305" i="11"/>
  <c r="L615" i="11"/>
  <c r="R432" i="11"/>
  <c r="K590" i="11"/>
  <c r="R382" i="11"/>
  <c r="L26" i="11"/>
  <c r="K128" i="11"/>
  <c r="R556" i="11"/>
  <c r="Q365" i="11"/>
  <c r="Q213" i="11"/>
  <c r="L322" i="11"/>
  <c r="Q632" i="11"/>
  <c r="R618" i="11"/>
  <c r="R339" i="11"/>
  <c r="R491" i="11"/>
  <c r="R150" i="11"/>
  <c r="K426" i="11"/>
  <c r="R523" i="11"/>
  <c r="R359" i="11"/>
  <c r="Q431" i="11"/>
  <c r="K95" i="11"/>
  <c r="R463" i="11"/>
  <c r="L405" i="11"/>
  <c r="R162" i="11"/>
  <c r="Q459" i="11"/>
  <c r="L16" i="11"/>
  <c r="R553" i="11"/>
  <c r="R500" i="11"/>
  <c r="Q232" i="11"/>
  <c r="Q194" i="11"/>
  <c r="Q518" i="11"/>
  <c r="L257" i="11"/>
  <c r="L198" i="11"/>
  <c r="L345" i="11"/>
  <c r="L596" i="11"/>
  <c r="Q254" i="11"/>
  <c r="S254" i="11" l="1"/>
  <c r="S518" i="11"/>
  <c r="S194" i="11"/>
  <c r="S232" i="11"/>
  <c r="S459" i="11"/>
  <c r="M95" i="11"/>
  <c r="S95" i="9" s="1"/>
  <c r="S431" i="11"/>
  <c r="M426" i="11"/>
  <c r="S426" i="9" s="1"/>
  <c r="S632" i="11"/>
  <c r="S213" i="11"/>
  <c r="S365" i="11"/>
  <c r="M128" i="11"/>
  <c r="S128" i="9" s="1"/>
  <c r="M590" i="11"/>
  <c r="S590" i="9" s="1"/>
  <c r="M152" i="11"/>
  <c r="S152" i="9" s="1"/>
  <c r="M199" i="11"/>
  <c r="S199" i="9" s="1"/>
  <c r="M320" i="11"/>
  <c r="S320" i="9" s="1"/>
  <c r="M436" i="11"/>
  <c r="S436" i="9" s="1"/>
  <c r="M573" i="11"/>
  <c r="S573" i="9" s="1"/>
  <c r="S215" i="11"/>
  <c r="S257" i="11"/>
  <c r="M310" i="11"/>
  <c r="S310" i="9" s="1"/>
  <c r="M64" i="11"/>
  <c r="S64" i="9" s="1"/>
  <c r="S288" i="11"/>
  <c r="S614" i="11"/>
  <c r="S415" i="11"/>
  <c r="S402" i="11"/>
  <c r="M569" i="11"/>
  <c r="S569" i="9" s="1"/>
  <c r="S617" i="11"/>
  <c r="M57" i="11"/>
  <c r="S57" i="9" s="1"/>
  <c r="S351" i="11"/>
  <c r="S331" i="11"/>
  <c r="M133" i="11"/>
  <c r="S133" i="9" s="1"/>
  <c r="S342" i="11"/>
  <c r="M340" i="11"/>
  <c r="S340" i="9" s="1"/>
  <c r="M504" i="11"/>
  <c r="S504" i="9" s="1"/>
  <c r="S207" i="11"/>
  <c r="S621" i="11"/>
  <c r="S548" i="11"/>
  <c r="M637" i="11"/>
  <c r="S637" i="9" s="1"/>
  <c r="M478" i="11"/>
  <c r="S478" i="9" s="1"/>
  <c r="M543" i="11"/>
  <c r="S543" i="9" s="1"/>
  <c r="S61" i="11"/>
  <c r="M456" i="11"/>
  <c r="S456" i="9" s="1"/>
  <c r="M134" i="11"/>
  <c r="S134" i="9" s="1"/>
  <c r="M407" i="11"/>
  <c r="S407" i="9" s="1"/>
  <c r="S27" i="11"/>
  <c r="M38" i="11"/>
  <c r="S38" i="9" s="1"/>
  <c r="M15" i="11"/>
  <c r="S15" i="9" s="1"/>
  <c r="S130" i="11"/>
  <c r="S190" i="11"/>
  <c r="M301" i="11"/>
  <c r="S301" i="9" s="1"/>
  <c r="S397" i="11"/>
  <c r="S551" i="11"/>
  <c r="S403" i="11"/>
  <c r="S34" i="11"/>
  <c r="M497" i="11"/>
  <c r="S497" i="9" s="1"/>
  <c r="M125" i="11"/>
  <c r="S125" i="9" s="1"/>
  <c r="M176" i="11"/>
  <c r="S176" i="9" s="1"/>
  <c r="M435" i="11"/>
  <c r="S435" i="9" s="1"/>
  <c r="S330" i="11"/>
  <c r="M574" i="11"/>
  <c r="S574" i="9" s="1"/>
  <c r="M521" i="11"/>
  <c r="S521" i="9" s="1"/>
  <c r="M428" i="11"/>
  <c r="S428" i="9" s="1"/>
  <c r="S49" i="11"/>
  <c r="M67" i="11"/>
  <c r="S67" i="9" s="1"/>
  <c r="M183" i="11"/>
  <c r="S183" i="9" s="1"/>
  <c r="S203" i="11"/>
  <c r="M130" i="11"/>
  <c r="S130" i="9" s="1"/>
  <c r="S225" i="11"/>
  <c r="S540" i="11"/>
  <c r="S578" i="11"/>
  <c r="M201" i="11"/>
  <c r="S201" i="9" s="1"/>
  <c r="S615" i="11"/>
  <c r="S241" i="11"/>
  <c r="S155" i="11"/>
  <c r="S439" i="11"/>
  <c r="M60" i="11"/>
  <c r="S60" i="9" s="1"/>
  <c r="S246" i="11"/>
  <c r="S433" i="11"/>
  <c r="S503" i="11"/>
  <c r="S31" i="11"/>
  <c r="S316" i="11"/>
  <c r="S17" i="11"/>
  <c r="M150" i="11"/>
  <c r="S150" i="9" s="1"/>
  <c r="M631" i="11"/>
  <c r="S631" i="9" s="1"/>
  <c r="S114" i="11"/>
  <c r="S362" i="11"/>
  <c r="S244" i="11"/>
  <c r="M602" i="11"/>
  <c r="S602" i="9" s="1"/>
  <c r="S405" i="11"/>
  <c r="M509" i="11"/>
  <c r="S509" i="9" s="1"/>
  <c r="S170" i="11"/>
  <c r="S451" i="11"/>
  <c r="M7" i="11"/>
  <c r="S7" i="9" s="1"/>
  <c r="S233" i="11"/>
  <c r="M609" i="11"/>
  <c r="S609" i="9" s="1"/>
  <c r="S333" i="11"/>
  <c r="M62" i="11"/>
  <c r="S62" i="9" s="1"/>
  <c r="S282" i="11"/>
  <c r="M392" i="11"/>
  <c r="S392" i="9" s="1"/>
  <c r="S506" i="11"/>
  <c r="S142" i="11"/>
  <c r="S16" i="11"/>
  <c r="M293" i="11"/>
  <c r="S293" i="9" s="1"/>
  <c r="S47" i="11"/>
  <c r="M240" i="11"/>
  <c r="S240" i="9" s="1"/>
  <c r="M607" i="11"/>
  <c r="S607" i="9" s="1"/>
  <c r="M581" i="11"/>
  <c r="S581" i="9" s="1"/>
  <c r="M613" i="11"/>
  <c r="S613" i="9" s="1"/>
  <c r="M89" i="11"/>
  <c r="S89" i="9" s="1"/>
  <c r="S340" i="11"/>
  <c r="AA340" i="11" s="1"/>
  <c r="U340" i="9" s="1"/>
  <c r="S171" i="11"/>
  <c r="S50" i="11"/>
  <c r="M452" i="11"/>
  <c r="S452" i="9" s="1"/>
  <c r="J47" i="4"/>
  <c r="S428" i="11"/>
  <c r="M362" i="11"/>
  <c r="S362" i="9" s="1"/>
  <c r="M229" i="11"/>
  <c r="S229" i="9" s="1"/>
  <c r="S525" i="11"/>
  <c r="S649" i="11"/>
  <c r="M50" i="11"/>
  <c r="S50" i="9" s="1"/>
  <c r="H58" i="4"/>
  <c r="J58" i="4" s="1"/>
  <c r="M644" i="11"/>
  <c r="S644" i="9" s="1"/>
  <c r="S80" i="11"/>
  <c r="S437" i="11"/>
  <c r="M16" i="11"/>
  <c r="S16" i="9" s="1"/>
  <c r="S335" i="11"/>
  <c r="S484" i="11"/>
  <c r="S198" i="11"/>
  <c r="S97" i="11"/>
  <c r="S591" i="11"/>
  <c r="M231" i="11"/>
  <c r="S231" i="9" s="1"/>
  <c r="S71" i="11"/>
  <c r="M501" i="11"/>
  <c r="S501" i="9" s="1"/>
  <c r="M135" i="11"/>
  <c r="S135" i="9" s="1"/>
  <c r="M175" i="11"/>
  <c r="S175" i="9" s="1"/>
  <c r="M290" i="11"/>
  <c r="S290" i="9" s="1"/>
  <c r="S21" i="11"/>
  <c r="M291" i="11"/>
  <c r="S291" i="9" s="1"/>
  <c r="S276" i="11"/>
  <c r="S167" i="11"/>
  <c r="S613" i="11"/>
  <c r="S639" i="11"/>
  <c r="S255" i="11"/>
  <c r="J49" i="4"/>
  <c r="S394" i="11"/>
  <c r="M469" i="11"/>
  <c r="S469" i="9" s="1"/>
  <c r="S175" i="11"/>
  <c r="S30" i="11"/>
  <c r="S633" i="11"/>
  <c r="S105" i="11"/>
  <c r="S278" i="11"/>
  <c r="S295" i="11"/>
  <c r="M642" i="11"/>
  <c r="S642" i="9" s="1"/>
  <c r="M381" i="11"/>
  <c r="S381" i="9" s="1"/>
  <c r="S429" i="11"/>
  <c r="S579" i="11"/>
  <c r="S137" i="11"/>
  <c r="M419" i="11"/>
  <c r="S419" i="9" s="1"/>
  <c r="M258" i="11"/>
  <c r="S258" i="9" s="1"/>
  <c r="S315" i="11"/>
  <c r="S250" i="11"/>
  <c r="S317" i="11"/>
  <c r="S262" i="11"/>
  <c r="S297" i="11"/>
  <c r="S292" i="11"/>
  <c r="M355" i="11"/>
  <c r="S355" i="9" s="1"/>
  <c r="S145" i="11"/>
  <c r="S380" i="11"/>
  <c r="M633" i="11"/>
  <c r="S633" i="9" s="1"/>
  <c r="M408" i="11"/>
  <c r="S408" i="9" s="1"/>
  <c r="M153" i="11"/>
  <c r="S153" i="9" s="1"/>
  <c r="M409" i="11"/>
  <c r="S409" i="9" s="1"/>
  <c r="M548" i="11"/>
  <c r="S548" i="9" s="1"/>
  <c r="M489" i="11"/>
  <c r="S489" i="9" s="1"/>
  <c r="S516" i="11"/>
  <c r="M519" i="11"/>
  <c r="S519" i="9" s="1"/>
  <c r="S283" i="11"/>
  <c r="S575" i="11"/>
  <c r="M547" i="11"/>
  <c r="S547" i="9" s="1"/>
  <c r="M65" i="11"/>
  <c r="S65" i="9" s="1"/>
  <c r="M649" i="11"/>
  <c r="S649" i="9" s="1"/>
  <c r="S569" i="11"/>
  <c r="M190" i="11"/>
  <c r="S190" i="9" s="1"/>
  <c r="S375" i="11"/>
  <c r="S46" i="11"/>
  <c r="S87" i="11"/>
  <c r="S505" i="11"/>
  <c r="S269" i="11"/>
  <c r="M444" i="11"/>
  <c r="S444" i="9" s="1"/>
  <c r="M48" i="11"/>
  <c r="S48" i="9" s="1"/>
  <c r="M69" i="11"/>
  <c r="S69" i="9" s="1"/>
  <c r="S363" i="11"/>
  <c r="S496" i="11"/>
  <c r="S41" i="11"/>
  <c r="AA41" i="11" s="1"/>
  <c r="U41" i="9" s="1"/>
  <c r="S532" i="11"/>
  <c r="S82" i="11"/>
  <c r="M41" i="11"/>
  <c r="S41" i="9" s="1"/>
  <c r="M285" i="11"/>
  <c r="S285" i="9" s="1"/>
  <c r="S476" i="11"/>
  <c r="M117" i="11"/>
  <c r="S117" i="9" s="1"/>
  <c r="S390" i="11"/>
  <c r="S606" i="11"/>
  <c r="S58" i="11"/>
  <c r="S90" i="11"/>
  <c r="S100" i="11"/>
  <c r="S18" i="11"/>
  <c r="M386" i="11"/>
  <c r="S386" i="9" s="1"/>
  <c r="M369" i="11"/>
  <c r="S369" i="9" s="1"/>
  <c r="M511" i="11"/>
  <c r="S511" i="9" s="1"/>
  <c r="H62" i="4"/>
  <c r="J62" i="4" s="1"/>
  <c r="M485" i="11"/>
  <c r="S485" i="9" s="1"/>
  <c r="M224" i="11"/>
  <c r="S224" i="9" s="1"/>
  <c r="S412" i="11"/>
  <c r="S544" i="11"/>
  <c r="M211" i="11"/>
  <c r="S211" i="9" s="1"/>
  <c r="S464" i="11"/>
  <c r="M404" i="11"/>
  <c r="S404" i="9" s="1"/>
  <c r="S627" i="11"/>
  <c r="S398" i="11"/>
  <c r="S188" i="11"/>
  <c r="M430" i="11"/>
  <c r="S430" i="9" s="1"/>
  <c r="S6" i="11"/>
  <c r="S343" i="11"/>
  <c r="S284" i="11"/>
  <c r="S487" i="11"/>
  <c r="S393" i="11"/>
  <c r="S293" i="11"/>
  <c r="S53" i="11"/>
  <c r="S612" i="11"/>
  <c r="S273" i="11"/>
  <c r="S357" i="11"/>
  <c r="M112" i="11"/>
  <c r="S112" i="9" s="1"/>
  <c r="M378" i="11"/>
  <c r="S378" i="9" s="1"/>
  <c r="M630" i="11"/>
  <c r="S630" i="9" s="1"/>
  <c r="S603" i="11"/>
  <c r="S40" i="11"/>
  <c r="S290" i="11"/>
  <c r="S19" i="11"/>
  <c r="S386" i="11"/>
  <c r="M433" i="11"/>
  <c r="S433" i="9" s="1"/>
  <c r="M645" i="11"/>
  <c r="S645" i="9" s="1"/>
  <c r="M648" i="11"/>
  <c r="S648" i="9" s="1"/>
  <c r="S466" i="11"/>
  <c r="S104" i="11"/>
  <c r="S314" i="11"/>
  <c r="M412" i="11"/>
  <c r="S412" i="9" s="1"/>
  <c r="S594" i="11"/>
  <c r="S345" i="11"/>
  <c r="M417" i="11"/>
  <c r="S417" i="9" s="1"/>
  <c r="S220" i="11"/>
  <c r="M46" i="11"/>
  <c r="S46" i="9" s="1"/>
  <c r="M306" i="11"/>
  <c r="S306" i="9" s="1"/>
  <c r="M505" i="11"/>
  <c r="S505" i="9" s="1"/>
  <c r="S38" i="11"/>
  <c r="M331" i="11"/>
  <c r="S331" i="9" s="1"/>
  <c r="M250" i="11"/>
  <c r="S250" i="9" s="1"/>
  <c r="M415" i="11"/>
  <c r="S415" i="9" s="1"/>
  <c r="S407" i="11"/>
  <c r="M580" i="11"/>
  <c r="S580" i="9" s="1"/>
  <c r="S86" i="11"/>
  <c r="M626" i="11"/>
  <c r="S626" i="9" s="1"/>
  <c r="S420" i="11"/>
  <c r="S554" i="11"/>
  <c r="S264" i="11"/>
  <c r="M206" i="11"/>
  <c r="S206" i="9" s="1"/>
  <c r="S481" i="11"/>
  <c r="M601" i="11"/>
  <c r="S601" i="9" s="1"/>
  <c r="S77" i="11"/>
  <c r="M557" i="11"/>
  <c r="S557" i="9" s="1"/>
  <c r="S610" i="11"/>
  <c r="S156" i="11"/>
  <c r="S248" i="11"/>
  <c r="S623" i="11"/>
  <c r="S635" i="11"/>
  <c r="M218" i="11"/>
  <c r="S218" i="9" s="1"/>
  <c r="M9" i="11"/>
  <c r="S9" i="9" s="1"/>
  <c r="M413" i="11"/>
  <c r="S413" i="9" s="1"/>
  <c r="M380" i="11"/>
  <c r="S380" i="9" s="1"/>
  <c r="S236" i="11"/>
  <c r="S521" i="11"/>
  <c r="M236" i="11"/>
  <c r="S236" i="9" s="1"/>
  <c r="M503" i="11"/>
  <c r="S503" i="9" s="1"/>
  <c r="S377" i="11"/>
  <c r="S366" i="11"/>
  <c r="M578" i="11"/>
  <c r="S578" i="9" s="1"/>
  <c r="S597" i="11"/>
  <c r="M429" i="11"/>
  <c r="S429" i="9" s="1"/>
  <c r="M494" i="11"/>
  <c r="S494" i="9" s="1"/>
  <c r="M222" i="11"/>
  <c r="S222" i="9" s="1"/>
  <c r="M343" i="11"/>
  <c r="S343" i="9" s="1"/>
  <c r="M270" i="11"/>
  <c r="S270" i="9" s="1"/>
  <c r="M84" i="11"/>
  <c r="S84" i="9" s="1"/>
  <c r="M597" i="11"/>
  <c r="S597" i="9" s="1"/>
  <c r="S646" i="11"/>
  <c r="M614" i="11"/>
  <c r="S614" i="9" s="1"/>
  <c r="S446" i="11"/>
  <c r="S88" i="11"/>
  <c r="S206" i="11"/>
  <c r="M32" i="11"/>
  <c r="S32" i="9" s="1"/>
  <c r="M566" i="11"/>
  <c r="S566" i="9" s="1"/>
  <c r="M93" i="11"/>
  <c r="S93" i="9" s="1"/>
  <c r="M347" i="11"/>
  <c r="S347" i="9" s="1"/>
  <c r="M307" i="11"/>
  <c r="S307" i="9" s="1"/>
  <c r="M388" i="11"/>
  <c r="S388" i="9" s="1"/>
  <c r="M124" i="11"/>
  <c r="S124" i="9" s="1"/>
  <c r="M100" i="11"/>
  <c r="S100" i="9" s="1"/>
  <c r="S381" i="11"/>
  <c r="S22" i="11"/>
  <c r="S408" i="11"/>
  <c r="M542" i="11"/>
  <c r="S542" i="9" s="1"/>
  <c r="H63" i="4"/>
  <c r="J63" i="4" s="1"/>
  <c r="M162" i="11"/>
  <c r="S162" i="9" s="1"/>
  <c r="S457" i="11"/>
  <c r="M556" i="11"/>
  <c r="S556" i="9" s="1"/>
  <c r="S538" i="11"/>
  <c r="M24" i="11"/>
  <c r="S24" i="9" s="1"/>
  <c r="M161" i="11"/>
  <c r="S161" i="9" s="1"/>
  <c r="M516" i="11"/>
  <c r="S516" i="9" s="1"/>
  <c r="S512" i="11"/>
  <c r="S267" i="11"/>
  <c r="M248" i="11"/>
  <c r="S248" i="9" s="1"/>
  <c r="M288" i="11"/>
  <c r="S288" i="9" s="1"/>
  <c r="M440" i="11"/>
  <c r="S440" i="9" s="1"/>
  <c r="S324" i="11"/>
  <c r="S321" i="11"/>
  <c r="M255" i="11"/>
  <c r="S255" i="9" s="1"/>
  <c r="S323" i="11"/>
  <c r="M136" i="11"/>
  <c r="S136" i="9" s="1"/>
  <c r="M74" i="11"/>
  <c r="S74" i="9" s="1"/>
  <c r="M163" i="11"/>
  <c r="S163" i="9" s="1"/>
  <c r="S300" i="11"/>
  <c r="S552" i="11"/>
  <c r="M238" i="11"/>
  <c r="S238" i="9" s="1"/>
  <c r="M284" i="11"/>
  <c r="S284" i="9" s="1"/>
  <c r="S62" i="11"/>
  <c r="S449" i="11"/>
  <c r="S565" i="11"/>
  <c r="S435" i="11"/>
  <c r="AA435" i="11" s="1"/>
  <c r="U435" i="9" s="1"/>
  <c r="M144" i="11"/>
  <c r="S144" i="9" s="1"/>
  <c r="M538" i="11"/>
  <c r="S538" i="9" s="1"/>
  <c r="H59" i="4"/>
  <c r="J59" i="4" s="1"/>
  <c r="S387" i="11"/>
  <c r="M145" i="11"/>
  <c r="S145" i="9" s="1"/>
  <c r="M319" i="11"/>
  <c r="S319" i="9" s="1"/>
  <c r="S581" i="11"/>
  <c r="S327" i="11"/>
  <c r="M30" i="11"/>
  <c r="S30" i="9" s="1"/>
  <c r="S564" i="11"/>
  <c r="AA564" i="11" s="1"/>
  <c r="U564" i="9" s="1"/>
  <c r="M377" i="11"/>
  <c r="S377" i="9" s="1"/>
  <c r="S309" i="11"/>
  <c r="S216" i="11"/>
  <c r="M383" i="11"/>
  <c r="S383" i="9" s="1"/>
  <c r="S101" i="11"/>
  <c r="M442" i="11"/>
  <c r="S442" i="9" s="1"/>
  <c r="M449" i="11"/>
  <c r="S449" i="9" s="1"/>
  <c r="S119" i="11"/>
  <c r="S117" i="11"/>
  <c r="S160" i="11"/>
  <c r="M454" i="11"/>
  <c r="S454" i="9" s="1"/>
  <c r="M510" i="11"/>
  <c r="S510" i="9" s="1"/>
  <c r="M467" i="11"/>
  <c r="S467" i="9" s="1"/>
  <c r="M493" i="11"/>
  <c r="S493" i="9" s="1"/>
  <c r="M486" i="11"/>
  <c r="S486" i="9" s="1"/>
  <c r="M304" i="11"/>
  <c r="S304" i="9" s="1"/>
  <c r="M507" i="11"/>
  <c r="S507" i="9" s="1"/>
  <c r="M277" i="11"/>
  <c r="S277" i="9" s="1"/>
  <c r="M86" i="11"/>
  <c r="S86" i="9" s="1"/>
  <c r="M325" i="11"/>
  <c r="S325" i="9" s="1"/>
  <c r="M75" i="11"/>
  <c r="S75" i="9" s="1"/>
  <c r="M518" i="11"/>
  <c r="S518" i="9" s="1"/>
  <c r="S186" i="11"/>
  <c r="M453" i="11"/>
  <c r="S453" i="9" s="1"/>
  <c r="M70" i="11"/>
  <c r="S70" i="9" s="1"/>
  <c r="M180" i="11"/>
  <c r="S180" i="9" s="1"/>
  <c r="M8" i="11"/>
  <c r="S8" i="9" s="1"/>
  <c r="J39" i="4"/>
  <c r="M66" i="11"/>
  <c r="S66" i="9" s="1"/>
  <c r="S266" i="11"/>
  <c r="M604" i="11"/>
  <c r="S604" i="9" s="1"/>
  <c r="M21" i="11"/>
  <c r="S21" i="9" s="1"/>
  <c r="S211" i="11"/>
  <c r="M460" i="11"/>
  <c r="S460" i="9" s="1"/>
  <c r="M221" i="11"/>
  <c r="S221" i="9" s="1"/>
  <c r="M179" i="11"/>
  <c r="S179" i="9" s="1"/>
  <c r="M266" i="11"/>
  <c r="S266" i="9" s="1"/>
  <c r="M268" i="11"/>
  <c r="S268" i="9" s="1"/>
  <c r="M641" i="11"/>
  <c r="S641" i="9" s="1"/>
  <c r="M459" i="11"/>
  <c r="S459" i="9" s="1"/>
  <c r="S469" i="11"/>
  <c r="M425" i="11"/>
  <c r="S425" i="9" s="1"/>
  <c r="M445" i="11"/>
  <c r="S445" i="9" s="1"/>
  <c r="S584" i="11"/>
  <c r="S69" i="11"/>
  <c r="S5" i="11"/>
  <c r="S144" i="11"/>
  <c r="AA144" i="11" s="1"/>
  <c r="U144" i="9" s="1"/>
  <c r="M105" i="11"/>
  <c r="S105" i="9" s="1"/>
  <c r="M88" i="11"/>
  <c r="S88" i="9" s="1"/>
  <c r="M82" i="11"/>
  <c r="S82" i="9" s="1"/>
  <c r="S406" i="11"/>
  <c r="M18" i="11"/>
  <c r="S18" i="9" s="1"/>
  <c r="S154" i="11"/>
  <c r="S513" i="11"/>
  <c r="M294" i="11"/>
  <c r="S294" i="9" s="1"/>
  <c r="M326" i="11"/>
  <c r="S326" i="9" s="1"/>
  <c r="S42" i="11"/>
  <c r="M477" i="11"/>
  <c r="S477" i="9" s="1"/>
  <c r="M640" i="11"/>
  <c r="S640" i="9" s="1"/>
  <c r="S200" i="11"/>
  <c r="M90" i="11"/>
  <c r="S90" i="9" s="1"/>
  <c r="S595" i="11"/>
  <c r="M589" i="11"/>
  <c r="S589" i="9" s="1"/>
  <c r="S535" i="11"/>
  <c r="S286" i="11"/>
  <c r="S35" i="11"/>
  <c r="M461" i="11"/>
  <c r="S461" i="9" s="1"/>
  <c r="S607" i="11"/>
  <c r="M252" i="11"/>
  <c r="S252" i="9" s="1"/>
  <c r="S48" i="11"/>
  <c r="AA48" i="11" s="1"/>
  <c r="U48" i="9" s="1"/>
  <c r="M470" i="11"/>
  <c r="S470" i="9" s="1"/>
  <c r="M536" i="11"/>
  <c r="S536" i="9" s="1"/>
  <c r="M495" i="11"/>
  <c r="S495" i="9" s="1"/>
  <c r="S618" i="11"/>
  <c r="S598" i="11"/>
  <c r="M385" i="11"/>
  <c r="S385" i="9" s="1"/>
  <c r="S158" i="11"/>
  <c r="S73" i="11"/>
  <c r="S313" i="11"/>
  <c r="M530" i="11"/>
  <c r="S530" i="9" s="1"/>
  <c r="S524" i="11"/>
  <c r="M572" i="11"/>
  <c r="S572" i="9" s="1"/>
  <c r="S91" i="11"/>
  <c r="M468" i="11"/>
  <c r="S468" i="9" s="1"/>
  <c r="S221" i="11"/>
  <c r="M261" i="11"/>
  <c r="S261" i="9" s="1"/>
  <c r="S237" i="11"/>
  <c r="S28" i="11"/>
  <c r="M253" i="11"/>
  <c r="S253" i="9" s="1"/>
  <c r="S522" i="11"/>
  <c r="M577" i="11"/>
  <c r="S577" i="9" s="1"/>
  <c r="M257" i="11"/>
  <c r="S257" i="9" s="1"/>
  <c r="M313" i="11"/>
  <c r="S313" i="9" s="1"/>
  <c r="M324" i="11"/>
  <c r="S324" i="9" s="1"/>
  <c r="S485" i="11"/>
  <c r="M634" i="11"/>
  <c r="S634" i="9" s="1"/>
  <c r="S265" i="11"/>
  <c r="M560" i="11"/>
  <c r="S560" i="9" s="1"/>
  <c r="S374" i="11"/>
  <c r="M329" i="11"/>
  <c r="S329" i="9" s="1"/>
  <c r="M540" i="11"/>
  <c r="S540" i="9" s="1"/>
  <c r="M396" i="11"/>
  <c r="S396" i="9" s="1"/>
  <c r="M10" i="11"/>
  <c r="S10" i="9" s="1"/>
  <c r="S199" i="11"/>
  <c r="M443" i="11"/>
  <c r="S443" i="9" s="1"/>
  <c r="M624" i="11"/>
  <c r="S624" i="9" s="1"/>
  <c r="M514" i="11"/>
  <c r="S514" i="9" s="1"/>
  <c r="S7" i="11"/>
  <c r="S127" i="11"/>
  <c r="M151" i="11"/>
  <c r="S151" i="9" s="1"/>
  <c r="S291" i="11"/>
  <c r="S242" i="11"/>
  <c r="S163" i="11"/>
  <c r="S110" i="11"/>
  <c r="S238" i="11"/>
  <c r="S129" i="11"/>
  <c r="S508" i="11"/>
  <c r="M297" i="11"/>
  <c r="S297" i="9" s="1"/>
  <c r="M172" i="11"/>
  <c r="S172" i="9" s="1"/>
  <c r="M334" i="11"/>
  <c r="S334" i="9" s="1"/>
  <c r="S628" i="11"/>
  <c r="M587" i="11"/>
  <c r="S587" i="9" s="1"/>
  <c r="M464" i="11"/>
  <c r="S464" i="9" s="1"/>
  <c r="S180" i="11"/>
  <c r="M97" i="11"/>
  <c r="S97" i="9" s="1"/>
  <c r="M245" i="11"/>
  <c r="S245" i="9" s="1"/>
  <c r="S176" i="11"/>
  <c r="AA176" i="11" s="1"/>
  <c r="U176" i="9" s="1"/>
  <c r="S32" i="11"/>
  <c r="M354" i="11"/>
  <c r="S354" i="9" s="1"/>
  <c r="M113" i="11"/>
  <c r="S113" i="9" s="1"/>
  <c r="M157" i="11"/>
  <c r="S157" i="9" s="1"/>
  <c r="M515" i="11"/>
  <c r="S515" i="9" s="1"/>
  <c r="M481" i="11"/>
  <c r="S481" i="9" s="1"/>
  <c r="S497" i="11"/>
  <c r="S588" i="11"/>
  <c r="S536" i="11"/>
  <c r="M323" i="11"/>
  <c r="S323" i="9" s="1"/>
  <c r="S197" i="11"/>
  <c r="M169" i="11"/>
  <c r="S169" i="9" s="1"/>
  <c r="S546" i="11"/>
  <c r="AA546" i="11" s="1"/>
  <c r="U546" i="9" s="1"/>
  <c r="M243" i="11"/>
  <c r="S243" i="9" s="1"/>
  <c r="S253" i="11"/>
  <c r="M54" i="11"/>
  <c r="S54" i="9" s="1"/>
  <c r="S294" i="11"/>
  <c r="S150" i="11"/>
  <c r="S146" i="11"/>
  <c r="M315" i="11"/>
  <c r="S315" i="9" s="1"/>
  <c r="M13" i="11"/>
  <c r="S13" i="9" s="1"/>
  <c r="M217" i="11"/>
  <c r="S217" i="9" s="1"/>
  <c r="S256" i="11"/>
  <c r="S106" i="11"/>
  <c r="M508" i="11"/>
  <c r="S508" i="9" s="1"/>
  <c r="S378" i="11"/>
  <c r="S139" i="11"/>
  <c r="M203" i="11"/>
  <c r="S203" i="9" s="1"/>
  <c r="M606" i="11"/>
  <c r="S606" i="9" s="1"/>
  <c r="S495" i="11"/>
  <c r="AA495" i="11" s="1"/>
  <c r="U495" i="9" s="1"/>
  <c r="S480" i="11"/>
  <c r="H57" i="4"/>
  <c r="J57" i="4" s="1"/>
  <c r="S425" i="11"/>
  <c r="M337" i="11"/>
  <c r="S337" i="9" s="1"/>
  <c r="M35" i="11"/>
  <c r="S35" i="9" s="1"/>
  <c r="S181" i="11"/>
  <c r="M612" i="11"/>
  <c r="S612" i="9" s="1"/>
  <c r="M389" i="11"/>
  <c r="S389" i="9" s="1"/>
  <c r="S159" i="11"/>
  <c r="M382" i="11"/>
  <c r="S382" i="9" s="1"/>
  <c r="M563" i="11"/>
  <c r="S563" i="9" s="1"/>
  <c r="M220" i="11"/>
  <c r="S220" i="9" s="1"/>
  <c r="M475" i="11"/>
  <c r="S475" i="9" s="1"/>
  <c r="S490" i="11"/>
  <c r="S489" i="11"/>
  <c r="S637" i="11"/>
  <c r="S204" i="11"/>
  <c r="M147" i="11"/>
  <c r="S147" i="9" s="1"/>
  <c r="M546" i="11"/>
  <c r="S546" i="9" s="1"/>
  <c r="S202" i="11"/>
  <c r="S479" i="11"/>
  <c r="S486" i="11"/>
  <c r="M327" i="11"/>
  <c r="S327" i="9" s="1"/>
  <c r="M156" i="11"/>
  <c r="S156" i="9" s="1"/>
  <c r="M282" i="11"/>
  <c r="S282" i="9" s="1"/>
  <c r="M399" i="11"/>
  <c r="S399" i="9" s="1"/>
  <c r="S320" i="11"/>
  <c r="S571" i="11"/>
  <c r="M198" i="11"/>
  <c r="S198" i="9" s="1"/>
  <c r="S208" i="11"/>
  <c r="M273" i="11"/>
  <c r="S273" i="9" s="1"/>
  <c r="M171" i="11"/>
  <c r="S171" i="9" s="1"/>
  <c r="S465" i="11"/>
  <c r="M42" i="11"/>
  <c r="S42" i="9" s="1"/>
  <c r="S121" i="11"/>
  <c r="M208" i="11"/>
  <c r="S208" i="9" s="1"/>
  <c r="S468" i="11"/>
  <c r="M226" i="11"/>
  <c r="S226" i="9" s="1"/>
  <c r="S463" i="11"/>
  <c r="S138" i="11"/>
  <c r="S95" i="11"/>
  <c r="M565" i="11"/>
  <c r="S565" i="9" s="1"/>
  <c r="S347" i="11"/>
  <c r="S54" i="11"/>
  <c r="M447" i="11"/>
  <c r="S447" i="9" s="1"/>
  <c r="S502" i="11"/>
  <c r="M330" i="11"/>
  <c r="S330" i="9" s="1"/>
  <c r="M350" i="11"/>
  <c r="S350" i="9" s="1"/>
  <c r="M575" i="11"/>
  <c r="S575" i="9" s="1"/>
  <c r="S650" i="11"/>
  <c r="M235" i="11"/>
  <c r="S235" i="9" s="1"/>
  <c r="M275" i="11"/>
  <c r="S275" i="9" s="1"/>
  <c r="M416" i="11"/>
  <c r="S416" i="9" s="1"/>
  <c r="S590" i="11"/>
  <c r="S355" i="11"/>
  <c r="S367" i="11"/>
  <c r="M423" i="11"/>
  <c r="S423" i="9" s="1"/>
  <c r="S395" i="11"/>
  <c r="M466" i="11"/>
  <c r="S466" i="9" s="1"/>
  <c r="M424" i="11"/>
  <c r="S424" i="9" s="1"/>
  <c r="M372" i="11"/>
  <c r="S372" i="9" s="1"/>
  <c r="S601" i="11"/>
  <c r="M43" i="11"/>
  <c r="S43" i="9" s="1"/>
  <c r="S260" i="11"/>
  <c r="M104" i="11"/>
  <c r="S104" i="9" s="1"/>
  <c r="S443" i="11"/>
  <c r="M114" i="11"/>
  <c r="S114" i="9" s="1"/>
  <c r="S507" i="11"/>
  <c r="M166" i="11"/>
  <c r="S166" i="9" s="1"/>
  <c r="M541" i="11"/>
  <c r="S541" i="9" s="1"/>
  <c r="S308" i="11"/>
  <c r="M247" i="11"/>
  <c r="S247" i="9" s="1"/>
  <c r="M465" i="11"/>
  <c r="S465" i="9" s="1"/>
  <c r="M570" i="11"/>
  <c r="S570" i="9" s="1"/>
  <c r="M564" i="11"/>
  <c r="S564" i="9" s="1"/>
  <c r="S473" i="11"/>
  <c r="S456" i="11"/>
  <c r="M142" i="11"/>
  <c r="S142" i="9" s="1"/>
  <c r="S183" i="11"/>
  <c r="M154" i="11"/>
  <c r="S154" i="9" s="1"/>
  <c r="S619" i="11"/>
  <c r="S15" i="11"/>
  <c r="AA15" i="11" s="1"/>
  <c r="U15" i="9" s="1"/>
  <c r="S631" i="11"/>
  <c r="AA631" i="11" s="1"/>
  <c r="U631" i="9" s="1"/>
  <c r="M361" i="11"/>
  <c r="S361" i="9" s="1"/>
  <c r="S599" i="11"/>
  <c r="M600" i="11"/>
  <c r="S600" i="9" s="1"/>
  <c r="S482" i="11"/>
  <c r="S302" i="11"/>
  <c r="M274" i="11"/>
  <c r="S274" i="9" s="1"/>
  <c r="S279" i="11"/>
  <c r="M164" i="11"/>
  <c r="S164" i="9" s="1"/>
  <c r="S384" i="11"/>
  <c r="S526" i="11"/>
  <c r="S483" i="11"/>
  <c r="S76" i="11"/>
  <c r="S166" i="11"/>
  <c r="S37" i="11"/>
  <c r="M551" i="11"/>
  <c r="S551" i="9" s="1"/>
  <c r="M420" i="11"/>
  <c r="S420" i="9" s="1"/>
  <c r="S364" i="11"/>
  <c r="S178" i="11"/>
  <c r="S401" i="11"/>
  <c r="M371" i="11"/>
  <c r="S371" i="9" s="1"/>
  <c r="M58" i="11"/>
  <c r="S58" i="9" s="1"/>
  <c r="M647" i="11"/>
  <c r="S647" i="9" s="1"/>
  <c r="M341" i="11"/>
  <c r="S341" i="9" s="1"/>
  <c r="M512" i="11"/>
  <c r="S512" i="9" s="1"/>
  <c r="S354" i="11"/>
  <c r="S629" i="11"/>
  <c r="M639" i="11"/>
  <c r="S639" i="9" s="1"/>
  <c r="M616" i="11"/>
  <c r="S616" i="9" s="1"/>
  <c r="S568" i="11"/>
  <c r="S252" i="11"/>
  <c r="S352" i="11"/>
  <c r="S96" i="11"/>
  <c r="M627" i="11"/>
  <c r="S627" i="9" s="1"/>
  <c r="M571" i="11"/>
  <c r="S571" i="9" s="1"/>
  <c r="S638" i="11"/>
  <c r="S369" i="11"/>
  <c r="M363" i="11"/>
  <c r="S363" i="9" s="1"/>
  <c r="M92" i="11"/>
  <c r="S92" i="9" s="1"/>
  <c r="S122" i="11"/>
  <c r="M359" i="11"/>
  <c r="S359" i="9" s="1"/>
  <c r="S303" i="11"/>
  <c r="M529" i="11"/>
  <c r="S529" i="9" s="1"/>
  <c r="S510" i="11"/>
  <c r="M393" i="11"/>
  <c r="S393" i="9" s="1"/>
  <c r="S477" i="11"/>
  <c r="S586" i="11"/>
  <c r="M632" i="11"/>
  <c r="S632" i="9" s="1"/>
  <c r="S337" i="11"/>
  <c r="M159" i="11"/>
  <c r="S159" i="9" s="1"/>
  <c r="S85" i="11"/>
  <c r="M595" i="11"/>
  <c r="S595" i="9" s="1"/>
  <c r="S174" i="11"/>
  <c r="M292" i="11"/>
  <c r="S292" i="9" s="1"/>
  <c r="S400" i="11"/>
  <c r="M106" i="11"/>
  <c r="S106" i="9" s="1"/>
  <c r="M450" i="11"/>
  <c r="S450" i="9" s="1"/>
  <c r="S164" i="11"/>
  <c r="S531" i="11"/>
  <c r="M345" i="11"/>
  <c r="S345" i="9" s="1"/>
  <c r="S271" i="11"/>
  <c r="M317" i="11"/>
  <c r="S317" i="9" s="1"/>
  <c r="M608" i="11"/>
  <c r="S608" i="9" s="1"/>
  <c r="S555" i="11"/>
  <c r="M311" i="11"/>
  <c r="S311" i="9" s="1"/>
  <c r="S70" i="11"/>
  <c r="M280" i="11"/>
  <c r="S280" i="9" s="1"/>
  <c r="S336" i="11"/>
  <c r="S247" i="11"/>
  <c r="S441" i="11"/>
  <c r="S373" i="11"/>
  <c r="M205" i="11"/>
  <c r="S205" i="9" s="1"/>
  <c r="M52" i="11"/>
  <c r="S52" i="9" s="1"/>
  <c r="S556" i="11"/>
  <c r="S217" i="11"/>
  <c r="M34" i="11"/>
  <c r="S34" i="9" s="1"/>
  <c r="M414" i="11"/>
  <c r="S414" i="9" s="1"/>
  <c r="S647" i="11"/>
  <c r="S149" i="11"/>
  <c r="M36" i="11"/>
  <c r="S36" i="9" s="1"/>
  <c r="S8" i="11"/>
  <c r="S519" i="11"/>
  <c r="S418" i="11"/>
  <c r="S133" i="11"/>
  <c r="AA133" i="11" s="1"/>
  <c r="U133" i="9" s="1"/>
  <c r="M650" i="11"/>
  <c r="S650" i="9" s="1"/>
  <c r="S440" i="11"/>
  <c r="AA440" i="11" s="1"/>
  <c r="U440" i="9" s="1"/>
  <c r="S360" i="11"/>
  <c r="M278" i="11"/>
  <c r="S278" i="9" s="1"/>
  <c r="S622" i="11"/>
  <c r="S78" i="11"/>
  <c r="M620" i="11"/>
  <c r="S620" i="9" s="1"/>
  <c r="S312" i="11"/>
  <c r="S20" i="11"/>
  <c r="M305" i="11"/>
  <c r="S305" i="9" s="1"/>
  <c r="S567" i="11"/>
  <c r="M309" i="11"/>
  <c r="S309" i="9" s="1"/>
  <c r="S493" i="11"/>
  <c r="M115" i="11"/>
  <c r="S115" i="9" s="1"/>
  <c r="S112" i="11"/>
  <c r="M611" i="11"/>
  <c r="S611" i="9" s="1"/>
  <c r="M85" i="11"/>
  <c r="S85" i="9" s="1"/>
  <c r="M78" i="11"/>
  <c r="S78" i="9" s="1"/>
  <c r="M227" i="11"/>
  <c r="S227" i="9" s="1"/>
  <c r="M342" i="11"/>
  <c r="S342" i="9" s="1"/>
  <c r="M177" i="11"/>
  <c r="S177" i="9" s="1"/>
  <c r="S210" i="11"/>
  <c r="S399" i="11"/>
  <c r="M87" i="11"/>
  <c r="S87" i="9" s="1"/>
  <c r="M181" i="11"/>
  <c r="S181" i="9" s="1"/>
  <c r="S539" i="11"/>
  <c r="S561" i="11"/>
  <c r="AA561" i="11" s="1"/>
  <c r="U561" i="9" s="1"/>
  <c r="M308" i="11"/>
  <c r="S308" i="9" s="1"/>
  <c r="S239" i="11"/>
  <c r="M165" i="11"/>
  <c r="S165" i="9" s="1"/>
  <c r="S25" i="11"/>
  <c r="M549" i="11"/>
  <c r="S549" i="9" s="1"/>
  <c r="M375" i="11"/>
  <c r="S375" i="9" s="1"/>
  <c r="M586" i="11"/>
  <c r="S586" i="9" s="1"/>
  <c r="S445" i="11"/>
  <c r="M410" i="11"/>
  <c r="S410" i="9" s="1"/>
  <c r="S140" i="11"/>
  <c r="M39" i="11"/>
  <c r="S39" i="9" s="1"/>
  <c r="M356" i="11"/>
  <c r="S356" i="9" s="1"/>
  <c r="M490" i="11"/>
  <c r="S490" i="9" s="1"/>
  <c r="S371" i="11"/>
  <c r="AA371" i="11" s="1"/>
  <c r="U371" i="9" s="1"/>
  <c r="M148" i="11"/>
  <c r="S148" i="9" s="1"/>
  <c r="M559" i="11"/>
  <c r="S559" i="9" s="1"/>
  <c r="S471" i="11"/>
  <c r="S452" i="11"/>
  <c r="S57" i="11"/>
  <c r="M303" i="11"/>
  <c r="S303" i="9" s="1"/>
  <c r="M49" i="11"/>
  <c r="S49" i="9" s="1"/>
  <c r="M554" i="11"/>
  <c r="S554" i="9" s="1"/>
  <c r="M210" i="11"/>
  <c r="S210" i="9" s="1"/>
  <c r="S65" i="11"/>
  <c r="S338" i="11"/>
  <c r="S218" i="11"/>
  <c r="M483" i="11"/>
  <c r="S483" i="9" s="1"/>
  <c r="M195" i="11"/>
  <c r="S195" i="9" s="1"/>
  <c r="S572" i="11"/>
  <c r="S268" i="11"/>
  <c r="M561" i="11"/>
  <c r="S561" i="9" s="1"/>
  <c r="S169" i="11"/>
  <c r="S259" i="11"/>
  <c r="S168" i="11"/>
  <c r="M45" i="11"/>
  <c r="S45" i="9" s="1"/>
  <c r="S64" i="11"/>
  <c r="S56" i="11"/>
  <c r="S147" i="11"/>
  <c r="S301" i="11"/>
  <c r="M619" i="11"/>
  <c r="S619" i="9" s="1"/>
  <c r="S107" i="11"/>
  <c r="M138" i="11"/>
  <c r="S138" i="9" s="1"/>
  <c r="M259" i="11"/>
  <c r="S259" i="9" s="1"/>
  <c r="M23" i="11"/>
  <c r="S23" i="9" s="1"/>
  <c r="S74" i="11"/>
  <c r="M239" i="11"/>
  <c r="S239" i="9" s="1"/>
  <c r="M446" i="11"/>
  <c r="S446" i="9" s="1"/>
  <c r="S382" i="11"/>
  <c r="M219" i="11"/>
  <c r="S219" i="9" s="1"/>
  <c r="M228" i="11"/>
  <c r="S228" i="9" s="1"/>
  <c r="M269" i="11"/>
  <c r="S269" i="9" s="1"/>
  <c r="S115" i="11"/>
  <c r="M390" i="11"/>
  <c r="S390" i="9" s="1"/>
  <c r="S368" i="11"/>
  <c r="M418" i="11"/>
  <c r="S418" i="9" s="1"/>
  <c r="M96" i="11"/>
  <c r="S96" i="9" s="1"/>
  <c r="S184" i="11"/>
  <c r="M622" i="11"/>
  <c r="S622" i="9" s="1"/>
  <c r="S372" i="11"/>
  <c r="S191" i="11"/>
  <c r="M376" i="11"/>
  <c r="S376" i="9" s="1"/>
  <c r="M158" i="11"/>
  <c r="S158" i="9" s="1"/>
  <c r="M523" i="11"/>
  <c r="S523" i="9" s="1"/>
  <c r="M182" i="11"/>
  <c r="S182" i="9" s="1"/>
  <c r="S201" i="11"/>
  <c r="S14" i="11"/>
  <c r="M119" i="11"/>
  <c r="S119" i="9" s="1"/>
  <c r="S24" i="11"/>
  <c r="M316" i="11"/>
  <c r="S316" i="9" s="1"/>
  <c r="M629" i="11"/>
  <c r="S629" i="9" s="1"/>
  <c r="S414" i="11"/>
  <c r="S488" i="11"/>
  <c r="M431" i="11"/>
  <c r="S431" i="9" s="1"/>
  <c r="S358" i="11"/>
  <c r="S349" i="11"/>
  <c r="M591" i="11"/>
  <c r="S591" i="9" s="1"/>
  <c r="M20" i="11"/>
  <c r="S20" i="9" s="1"/>
  <c r="M103" i="11"/>
  <c r="S103" i="9" s="1"/>
  <c r="S385" i="11"/>
  <c r="S131" i="11"/>
  <c r="M109" i="11"/>
  <c r="S109" i="9" s="1"/>
  <c r="M552" i="11"/>
  <c r="S552" i="9" s="1"/>
  <c r="S648" i="11"/>
  <c r="S470" i="11"/>
  <c r="M241" i="11"/>
  <c r="S241" i="9" s="1"/>
  <c r="S68" i="11"/>
  <c r="M56" i="11"/>
  <c r="S56" i="9" s="1"/>
  <c r="M553" i="11"/>
  <c r="S553" i="9" s="1"/>
  <c r="M260" i="11"/>
  <c r="S260" i="9" s="1"/>
  <c r="S346" i="11"/>
  <c r="S89" i="11"/>
  <c r="M22" i="11"/>
  <c r="S22" i="9" s="1"/>
  <c r="M618" i="11"/>
  <c r="S618" i="9" s="1"/>
  <c r="M230" i="11"/>
  <c r="S230" i="9" s="1"/>
  <c r="S424" i="11"/>
  <c r="M191" i="11"/>
  <c r="S191" i="9" s="1"/>
  <c r="M621" i="11"/>
  <c r="S621" i="9" s="1"/>
  <c r="S102" i="11"/>
  <c r="S148" i="11"/>
  <c r="M196" i="11"/>
  <c r="S196" i="9" s="1"/>
  <c r="S67" i="11"/>
  <c r="M225" i="11"/>
  <c r="S225" i="9" s="1"/>
  <c r="S9" i="11"/>
  <c r="S430" i="11"/>
  <c r="M318" i="11"/>
  <c r="S318" i="9" s="1"/>
  <c r="S60" i="11"/>
  <c r="AA60" i="11" s="1"/>
  <c r="U60" i="9" s="1"/>
  <c r="S209" i="11"/>
  <c r="M635" i="11"/>
  <c r="S635" i="9" s="1"/>
  <c r="M332" i="11"/>
  <c r="S332" i="9" s="1"/>
  <c r="M61" i="11"/>
  <c r="S61" i="9" s="1"/>
  <c r="S52" i="11"/>
  <c r="S585" i="11"/>
  <c r="M68" i="11"/>
  <c r="S68" i="9" s="1"/>
  <c r="M271" i="11"/>
  <c r="S271" i="9" s="1"/>
  <c r="M71" i="11"/>
  <c r="S71" i="9" s="1"/>
  <c r="M352" i="11"/>
  <c r="S352" i="9" s="1"/>
  <c r="S645" i="11"/>
  <c r="AA645" i="11" s="1"/>
  <c r="U645" i="9" s="1"/>
  <c r="M17" i="11"/>
  <c r="S17" i="9" s="1"/>
  <c r="M528" i="11"/>
  <c r="S528" i="9" s="1"/>
  <c r="M296" i="11"/>
  <c r="S296" i="9" s="1"/>
  <c r="M234" i="11"/>
  <c r="S234" i="9" s="1"/>
  <c r="S44" i="11"/>
  <c r="S559" i="11"/>
  <c r="M116" i="11"/>
  <c r="S116" i="9" s="1"/>
  <c r="M487" i="11"/>
  <c r="S487" i="9" s="1"/>
  <c r="M83" i="11"/>
  <c r="S83" i="9" s="1"/>
  <c r="M31" i="11"/>
  <c r="S31" i="9" s="1"/>
  <c r="S353" i="11"/>
  <c r="M302" i="11"/>
  <c r="S302" i="9" s="1"/>
  <c r="M14" i="11"/>
  <c r="S14" i="9" s="1"/>
  <c r="S326" i="11"/>
  <c r="M12" i="11"/>
  <c r="S12" i="9" s="1"/>
  <c r="M251" i="11"/>
  <c r="S251" i="9" s="1"/>
  <c r="M411" i="11"/>
  <c r="S411" i="9" s="1"/>
  <c r="S462" i="11"/>
  <c r="M438" i="11"/>
  <c r="S438" i="9" s="1"/>
  <c r="M550" i="11"/>
  <c r="S550" i="9" s="1"/>
  <c r="S92" i="11"/>
  <c r="AA92" i="11" s="1"/>
  <c r="U92" i="9" s="1"/>
  <c r="S234" i="11"/>
  <c r="M312" i="11"/>
  <c r="S312" i="9" s="1"/>
  <c r="M524" i="11"/>
  <c r="S524" i="9" s="1"/>
  <c r="M322" i="11"/>
  <c r="S322" i="9" s="1"/>
  <c r="M249" i="11"/>
  <c r="S249" i="9" s="1"/>
  <c r="S580" i="11"/>
  <c r="S626" i="11"/>
  <c r="S29" i="11"/>
  <c r="S379" i="11"/>
  <c r="M33" i="11"/>
  <c r="S33" i="9" s="1"/>
  <c r="M216" i="11"/>
  <c r="S216" i="9" s="1"/>
  <c r="S557" i="11"/>
  <c r="S36" i="11"/>
  <c r="J50" i="4"/>
  <c r="S118" i="11"/>
  <c r="M537" i="11"/>
  <c r="S537" i="9" s="1"/>
  <c r="S461" i="11"/>
  <c r="S359" i="11"/>
  <c r="M267" i="11"/>
  <c r="S267" i="9" s="1"/>
  <c r="S45" i="11"/>
  <c r="S240" i="11"/>
  <c r="S563" i="11"/>
  <c r="M289" i="11"/>
  <c r="S289" i="9" s="1"/>
  <c r="M346" i="11"/>
  <c r="S346" i="9" s="1"/>
  <c r="S165" i="11"/>
  <c r="M299" i="11"/>
  <c r="S299" i="9" s="1"/>
  <c r="M598" i="11"/>
  <c r="S598" i="9" s="1"/>
  <c r="M599" i="11"/>
  <c r="S599" i="9" s="1"/>
  <c r="M603" i="11"/>
  <c r="S603" i="9" s="1"/>
  <c r="M53" i="11"/>
  <c r="S53" i="9" s="1"/>
  <c r="S494" i="11"/>
  <c r="M123" i="11"/>
  <c r="S123" i="9" s="1"/>
  <c r="M111" i="11"/>
  <c r="S111" i="9" s="1"/>
  <c r="S491" i="11"/>
  <c r="S376" i="11"/>
  <c r="AA376" i="11" s="1"/>
  <c r="U376" i="9" s="1"/>
  <c r="S589" i="11"/>
  <c r="J56" i="4"/>
  <c r="M242" i="11"/>
  <c r="S242" i="9" s="1"/>
  <c r="S177" i="11"/>
  <c r="M422" i="11"/>
  <c r="S422" i="9" s="1"/>
  <c r="S500" i="11"/>
  <c r="S550" i="11"/>
  <c r="S187" i="11"/>
  <c r="M625" i="11"/>
  <c r="S625" i="9" s="1"/>
  <c r="M338" i="11"/>
  <c r="S338" i="9" s="1"/>
  <c r="M77" i="11"/>
  <c r="S77" i="9" s="1"/>
  <c r="M499" i="11"/>
  <c r="S499" i="9" s="1"/>
  <c r="M520" i="11"/>
  <c r="S520" i="9" s="1"/>
  <c r="S527" i="11"/>
  <c r="M517" i="11"/>
  <c r="S517" i="9" s="1"/>
  <c r="M63" i="11"/>
  <c r="S63" i="9" s="1"/>
  <c r="M401" i="11"/>
  <c r="S401" i="9" s="1"/>
  <c r="S33" i="11"/>
  <c r="S23" i="11"/>
  <c r="S344" i="11"/>
  <c r="M232" i="11"/>
  <c r="S232" i="9" s="1"/>
  <c r="S460" i="11"/>
  <c r="S636" i="11"/>
  <c r="S322" i="11"/>
  <c r="S523" i="11"/>
  <c r="M638" i="11"/>
  <c r="S638" i="9" s="1"/>
  <c r="M474" i="11"/>
  <c r="S474" i="9" s="1"/>
  <c r="M11" i="11"/>
  <c r="S11" i="9" s="1"/>
  <c r="S602" i="11"/>
  <c r="AA602" i="11" s="1"/>
  <c r="U602" i="9" s="1"/>
  <c r="S509" i="11"/>
  <c r="S520" i="11"/>
  <c r="S542" i="11"/>
  <c r="S616" i="11"/>
  <c r="M178" i="11"/>
  <c r="S178" i="9" s="1"/>
  <c r="M395" i="11"/>
  <c r="S395" i="9" s="1"/>
  <c r="S99" i="11"/>
  <c r="M623" i="11"/>
  <c r="S623" i="9" s="1"/>
  <c r="M281" i="11"/>
  <c r="S281" i="9" s="1"/>
  <c r="M120" i="11"/>
  <c r="S120" i="9" s="1"/>
  <c r="M525" i="11"/>
  <c r="S525" i="9" s="1"/>
  <c r="M213" i="11"/>
  <c r="S213" i="9" s="1"/>
  <c r="S98" i="11"/>
  <c r="M40" i="11"/>
  <c r="S40" i="9" s="1"/>
  <c r="S450" i="11"/>
  <c r="M479" i="11"/>
  <c r="S479" i="9" s="1"/>
  <c r="M276" i="11"/>
  <c r="S276" i="9" s="1"/>
  <c r="S120" i="11"/>
  <c r="S319" i="11"/>
  <c r="M646" i="11"/>
  <c r="S646" i="9" s="1"/>
  <c r="M200" i="11"/>
  <c r="S200" i="9" s="1"/>
  <c r="S620" i="11"/>
  <c r="AA620" i="11" s="1"/>
  <c r="U620" i="9" s="1"/>
  <c r="M348" i="11"/>
  <c r="S348" i="9" s="1"/>
  <c r="M583" i="11"/>
  <c r="S583" i="9" s="1"/>
  <c r="M432" i="11"/>
  <c r="S432" i="9" s="1"/>
  <c r="S640" i="11"/>
  <c r="M141" i="11"/>
  <c r="S141" i="9" s="1"/>
  <c r="M594" i="11"/>
  <c r="S594" i="9" s="1"/>
  <c r="M79" i="11"/>
  <c r="S79" i="9" s="1"/>
  <c r="S93" i="11"/>
  <c r="M47" i="11"/>
  <c r="S47" i="9" s="1"/>
  <c r="S63" i="11"/>
  <c r="M373" i="11"/>
  <c r="S373" i="9" s="1"/>
  <c r="S444" i="11"/>
  <c r="AA444" i="11" s="1"/>
  <c r="U444" i="9" s="1"/>
  <c r="S83" i="11"/>
  <c r="S423" i="11"/>
  <c r="AA423" i="11" s="1"/>
  <c r="U423" i="9" s="1"/>
  <c r="S229" i="11"/>
  <c r="AA229" i="11" s="1"/>
  <c r="U229" i="9" s="1"/>
  <c r="S458" i="11"/>
  <c r="M102" i="11"/>
  <c r="S102" i="9" s="1"/>
  <c r="M427" i="11"/>
  <c r="S427" i="9" s="1"/>
  <c r="M513" i="11"/>
  <c r="S513" i="9" s="1"/>
  <c r="S605" i="11"/>
  <c r="M576" i="11"/>
  <c r="S576" i="9" s="1"/>
  <c r="M558" i="11"/>
  <c r="S558" i="9" s="1"/>
  <c r="S389" i="11"/>
  <c r="M545" i="11"/>
  <c r="S545" i="9" s="1"/>
  <c r="S474" i="11"/>
  <c r="H60" i="4"/>
  <c r="J60" i="4" s="1"/>
  <c r="S370" i="11"/>
  <c r="M384" i="11"/>
  <c r="S384" i="9" s="1"/>
  <c r="M531" i="11"/>
  <c r="S531" i="9" s="1"/>
  <c r="S537" i="11"/>
  <c r="M585" i="11"/>
  <c r="S585" i="9" s="1"/>
  <c r="S624" i="11"/>
  <c r="M533" i="11"/>
  <c r="S533" i="9" s="1"/>
  <c r="M391" i="11"/>
  <c r="S391" i="9" s="1"/>
  <c r="M27" i="11"/>
  <c r="S27" i="9" s="1"/>
  <c r="S109" i="11"/>
  <c r="S275" i="11"/>
  <c r="M160" i="11"/>
  <c r="S160" i="9" s="1"/>
  <c r="S515" i="11"/>
  <c r="S75" i="11"/>
  <c r="S511" i="11"/>
  <c r="S392" i="11"/>
  <c r="AA392" i="11" s="1"/>
  <c r="U392" i="9" s="1"/>
  <c r="S243" i="11"/>
  <c r="AA243" i="11" s="1"/>
  <c r="U243" i="9" s="1"/>
  <c r="S51" i="11"/>
  <c r="S642" i="11"/>
  <c r="M544" i="11"/>
  <c r="S544" i="9" s="1"/>
  <c r="M579" i="11"/>
  <c r="S579" i="9" s="1"/>
  <c r="S447" i="11"/>
  <c r="AA447" i="11" s="1"/>
  <c r="U447" i="9" s="1"/>
  <c r="S192" i="11"/>
  <c r="S134" i="11"/>
  <c r="M328" i="11"/>
  <c r="S328" i="9" s="1"/>
  <c r="S577" i="11"/>
  <c r="M194" i="11"/>
  <c r="S194" i="9" s="1"/>
  <c r="M214" i="11"/>
  <c r="S214" i="9" s="1"/>
  <c r="M25" i="11"/>
  <c r="S25" i="9" s="1"/>
  <c r="M441" i="11"/>
  <c r="S441" i="9" s="1"/>
  <c r="M596" i="11"/>
  <c r="S596" i="9" s="1"/>
  <c r="S132" i="11"/>
  <c r="M298" i="11"/>
  <c r="S298" i="9" s="1"/>
  <c r="S409" i="11"/>
  <c r="S289" i="11"/>
  <c r="S641" i="11"/>
  <c r="M339" i="11"/>
  <c r="S339" i="9" s="1"/>
  <c r="S528" i="11"/>
  <c r="M286" i="11"/>
  <c r="S286" i="9" s="1"/>
  <c r="S534" i="11"/>
  <c r="M139" i="11"/>
  <c r="S139" i="9" s="1"/>
  <c r="S596" i="11"/>
  <c r="M462" i="11"/>
  <c r="S462" i="9" s="1"/>
  <c r="M403" i="11"/>
  <c r="S403" i="9" s="1"/>
  <c r="M374" i="11"/>
  <c r="S374" i="9" s="1"/>
  <c r="M351" i="11"/>
  <c r="S351" i="9" s="1"/>
  <c r="S455" i="11"/>
  <c r="S103" i="11"/>
  <c r="M300" i="11"/>
  <c r="S300" i="9" s="1"/>
  <c r="M197" i="11"/>
  <c r="S197" i="9" s="1"/>
  <c r="S223" i="11"/>
  <c r="M6" i="11"/>
  <c r="S6" i="9" s="1"/>
  <c r="S325" i="11"/>
  <c r="S235" i="11"/>
  <c r="M584" i="11"/>
  <c r="S584" i="9" s="1"/>
  <c r="M215" i="11"/>
  <c r="S215" i="9" s="1"/>
  <c r="S609" i="11"/>
  <c r="M636" i="11"/>
  <c r="S636" i="9" s="1"/>
  <c r="S161" i="11"/>
  <c r="S261" i="11"/>
  <c r="AA261" i="11" s="1"/>
  <c r="U261" i="9" s="1"/>
  <c r="S11" i="11"/>
  <c r="S417" i="11"/>
  <c r="M223" i="11"/>
  <c r="S223" i="9" s="1"/>
  <c r="S205" i="11"/>
  <c r="S59" i="11"/>
  <c r="M360" i="11"/>
  <c r="S360" i="9" s="1"/>
  <c r="M458" i="11"/>
  <c r="S458" i="9" s="1"/>
  <c r="M387" i="11"/>
  <c r="S387" i="9" s="1"/>
  <c r="M212" i="11"/>
  <c r="S212" i="9" s="1"/>
  <c r="M394" i="11"/>
  <c r="S394" i="9" s="1"/>
  <c r="S558" i="11"/>
  <c r="AA558" i="11" s="1"/>
  <c r="U558" i="9" s="1"/>
  <c r="M439" i="11"/>
  <c r="S439" i="9" s="1"/>
  <c r="S318" i="11"/>
  <c r="AA318" i="11" s="1"/>
  <c r="U318" i="9" s="1"/>
  <c r="S583" i="11"/>
  <c r="AA583" i="11" s="1"/>
  <c r="U583" i="9" s="1"/>
  <c r="M491" i="11"/>
  <c r="S491" i="9" s="1"/>
  <c r="S277" i="11"/>
  <c r="AA277" i="11" s="1"/>
  <c r="U277" i="9" s="1"/>
  <c r="S634" i="11"/>
  <c r="S296" i="11"/>
  <c r="M349" i="11"/>
  <c r="S349" i="9" s="1"/>
  <c r="S189" i="11"/>
  <c r="S111" i="11"/>
  <c r="M555" i="11"/>
  <c r="S555" i="9" s="1"/>
  <c r="S499" i="11"/>
  <c r="S514" i="11"/>
  <c r="AA514" i="11" s="1"/>
  <c r="U514" i="9" s="1"/>
  <c r="S219" i="11"/>
  <c r="J55" i="4"/>
  <c r="S339" i="11"/>
  <c r="S453" i="11"/>
  <c r="M73" i="11"/>
  <c r="S73" i="9" s="1"/>
  <c r="M397" i="11"/>
  <c r="S397" i="9" s="1"/>
  <c r="M188" i="11"/>
  <c r="S188" i="9" s="1"/>
  <c r="M110" i="11"/>
  <c r="S110" i="9" s="1"/>
  <c r="M593" i="11"/>
  <c r="S593" i="9" s="1"/>
  <c r="M367" i="11"/>
  <c r="S367" i="9" s="1"/>
  <c r="S562" i="11"/>
  <c r="M568" i="11"/>
  <c r="S568" i="9" s="1"/>
  <c r="S274" i="11"/>
  <c r="M233" i="11"/>
  <c r="S233" i="9" s="1"/>
  <c r="S128" i="11"/>
  <c r="AA128" i="11" s="1"/>
  <c r="U128" i="9" s="1"/>
  <c r="S448" i="11"/>
  <c r="M237" i="11"/>
  <c r="S237" i="9" s="1"/>
  <c r="M263" i="11"/>
  <c r="S263" i="9" s="1"/>
  <c r="S421" i="11"/>
  <c r="S592" i="11"/>
  <c r="M562" i="11"/>
  <c r="S562" i="9" s="1"/>
  <c r="S396" i="11"/>
  <c r="S224" i="11"/>
  <c r="S230" i="11"/>
  <c r="S228" i="11"/>
  <c r="M91" i="11"/>
  <c r="S91" i="9" s="1"/>
  <c r="M628" i="11"/>
  <c r="S628" i="9" s="1"/>
  <c r="M94" i="11"/>
  <c r="S94" i="9" s="1"/>
  <c r="S472" i="11"/>
  <c r="S124" i="11"/>
  <c r="AA124" i="11" s="1"/>
  <c r="U124" i="9" s="1"/>
  <c r="M358" i="11"/>
  <c r="S358" i="9" s="1"/>
  <c r="S287" i="11"/>
  <c r="M522" i="11"/>
  <c r="S522" i="9" s="1"/>
  <c r="S151" i="11"/>
  <c r="M333" i="11"/>
  <c r="S333" i="9" s="1"/>
  <c r="M122" i="11"/>
  <c r="S122" i="9" s="1"/>
  <c r="S410" i="11"/>
  <c r="S143" i="11"/>
  <c r="M59" i="11"/>
  <c r="S59" i="9" s="1"/>
  <c r="M643" i="11"/>
  <c r="S643" i="9" s="1"/>
  <c r="S442" i="11"/>
  <c r="S43" i="11"/>
  <c r="M567" i="11"/>
  <c r="S567" i="9" s="1"/>
  <c r="S454" i="11"/>
  <c r="M617" i="11"/>
  <c r="S617" i="9" s="1"/>
  <c r="M170" i="11"/>
  <c r="S170" i="9" s="1"/>
  <c r="S549" i="11"/>
  <c r="S66" i="11"/>
  <c r="M463" i="11"/>
  <c r="S463" i="9" s="1"/>
  <c r="S643" i="11"/>
  <c r="M173" i="11"/>
  <c r="S173" i="9" s="1"/>
  <c r="M143" i="11"/>
  <c r="S143" i="9" s="1"/>
  <c r="M98" i="11"/>
  <c r="S98" i="9" s="1"/>
  <c r="M26" i="11"/>
  <c r="S26" i="9" s="1"/>
  <c r="M29" i="11"/>
  <c r="S29" i="9" s="1"/>
  <c r="S467" i="11"/>
  <c r="S231" i="11"/>
  <c r="AA231" i="11" s="1"/>
  <c r="U231" i="9" s="1"/>
  <c r="M476" i="11"/>
  <c r="S476" i="9" s="1"/>
  <c r="M174" i="11"/>
  <c r="S174" i="9" s="1"/>
  <c r="S388" i="11"/>
  <c r="M51" i="11"/>
  <c r="S51" i="9" s="1"/>
  <c r="S350" i="11"/>
  <c r="S116" i="11"/>
  <c r="M118" i="11"/>
  <c r="S118" i="9" s="1"/>
  <c r="M532" i="11"/>
  <c r="S532" i="9" s="1"/>
  <c r="M108" i="11"/>
  <c r="S108" i="9" s="1"/>
  <c r="M272" i="11"/>
  <c r="S272" i="9" s="1"/>
  <c r="M129" i="11"/>
  <c r="S129" i="9" s="1"/>
  <c r="M500" i="11"/>
  <c r="S500" i="9" s="1"/>
  <c r="M539" i="11"/>
  <c r="S539" i="9" s="1"/>
  <c r="M279" i="11"/>
  <c r="S279" i="9" s="1"/>
  <c r="M146" i="11"/>
  <c r="S146" i="9" s="1"/>
  <c r="M406" i="11"/>
  <c r="S406" i="9" s="1"/>
  <c r="M137" i="11"/>
  <c r="S137" i="9" s="1"/>
  <c r="M457" i="11"/>
  <c r="S457" i="9" s="1"/>
  <c r="M246" i="11"/>
  <c r="S246" i="9" s="1"/>
  <c r="M189" i="11"/>
  <c r="S189" i="9" s="1"/>
  <c r="M379" i="11"/>
  <c r="S379" i="9" s="1"/>
  <c r="S222" i="11"/>
  <c r="M605" i="11"/>
  <c r="S605" i="9" s="1"/>
  <c r="M496" i="11"/>
  <c r="S496" i="9" s="1"/>
  <c r="M335" i="11"/>
  <c r="S335" i="9" s="1"/>
  <c r="M204" i="11"/>
  <c r="S204" i="9" s="1"/>
  <c r="M99" i="11"/>
  <c r="S99" i="9" s="1"/>
  <c r="S311" i="11"/>
  <c r="AA311" i="11" s="1"/>
  <c r="U311" i="9" s="1"/>
  <c r="S560" i="11"/>
  <c r="AA560" i="11" s="1"/>
  <c r="U560" i="9" s="1"/>
  <c r="M434" i="11"/>
  <c r="S434" i="9" s="1"/>
  <c r="M498" i="11"/>
  <c r="S498" i="9" s="1"/>
  <c r="S582" i="11"/>
  <c r="M168" i="11"/>
  <c r="S168" i="9" s="1"/>
  <c r="S608" i="11"/>
  <c r="S547" i="11"/>
  <c r="S533" i="11"/>
  <c r="M126" i="11"/>
  <c r="S126" i="9" s="1"/>
  <c r="S179" i="11"/>
  <c r="S193" i="11"/>
  <c r="S123" i="11"/>
  <c r="S492" i="11"/>
  <c r="M482" i="11"/>
  <c r="S482" i="9" s="1"/>
  <c r="S280" i="11"/>
  <c r="AA280" i="11" s="1"/>
  <c r="U280" i="9" s="1"/>
  <c r="S304" i="11"/>
  <c r="AA304" i="11" s="1"/>
  <c r="U304" i="9" s="1"/>
  <c r="M149" i="11"/>
  <c r="S149" i="9" s="1"/>
  <c r="M283" i="11"/>
  <c r="S283" i="9" s="1"/>
  <c r="S593" i="11"/>
  <c r="M193" i="11"/>
  <c r="S193" i="9" s="1"/>
  <c r="M366" i="11"/>
  <c r="S366" i="9" s="1"/>
  <c r="S587" i="11"/>
  <c r="S84" i="11"/>
  <c r="S310" i="11"/>
  <c r="M207" i="11"/>
  <c r="S207" i="9" s="1"/>
  <c r="S570" i="11"/>
  <c r="S332" i="11"/>
  <c r="M357" i="11"/>
  <c r="S357" i="9" s="1"/>
  <c r="S475" i="11"/>
  <c r="AA475" i="11" s="1"/>
  <c r="U475" i="9" s="1"/>
  <c r="M473" i="11"/>
  <c r="S473" i="9" s="1"/>
  <c r="S249" i="11"/>
  <c r="S272" i="11"/>
  <c r="S81" i="11"/>
  <c r="M186" i="11"/>
  <c r="S186" i="9" s="1"/>
  <c r="S72" i="11"/>
  <c r="S438" i="11"/>
  <c r="M254" i="11"/>
  <c r="S254" i="9" s="1"/>
  <c r="M480" i="11"/>
  <c r="S480" i="9" s="1"/>
  <c r="M132" i="11"/>
  <c r="S132" i="9" s="1"/>
  <c r="S305" i="11"/>
  <c r="AA305" i="11" s="1"/>
  <c r="U305" i="9" s="1"/>
  <c r="M76" i="11"/>
  <c r="S76" i="9" s="1"/>
  <c r="M353" i="11"/>
  <c r="S353" i="9" s="1"/>
  <c r="S153" i="11"/>
  <c r="S329" i="11"/>
  <c r="AA329" i="11" s="1"/>
  <c r="U329" i="9" s="1"/>
  <c r="S413" i="11"/>
  <c r="S576" i="11"/>
  <c r="S258" i="11"/>
  <c r="S196" i="11"/>
  <c r="M592" i="11"/>
  <c r="S592" i="9" s="1"/>
  <c r="M398" i="11"/>
  <c r="S398" i="9" s="1"/>
  <c r="M472" i="11"/>
  <c r="S472" i="9" s="1"/>
  <c r="M44" i="11"/>
  <c r="S44" i="9" s="1"/>
  <c r="S348" i="11"/>
  <c r="S604" i="11"/>
  <c r="S245" i="11"/>
  <c r="S270" i="11"/>
  <c r="AA270" i="11" s="1"/>
  <c r="U270" i="9" s="1"/>
  <c r="M488" i="11"/>
  <c r="S488" i="9" s="1"/>
  <c r="S573" i="11"/>
  <c r="AA573" i="11" s="1"/>
  <c r="U573" i="9" s="1"/>
  <c r="M506" i="11"/>
  <c r="S506" i="9" s="1"/>
  <c r="S530" i="11"/>
  <c r="S341" i="11"/>
  <c r="S630" i="11"/>
  <c r="S436" i="11"/>
  <c r="M526" i="11"/>
  <c r="S526" i="9" s="1"/>
  <c r="J48" i="4"/>
  <c r="S157" i="11"/>
  <c r="S543" i="11"/>
  <c r="S152" i="11"/>
  <c r="M344" i="11"/>
  <c r="S344" i="9" s="1"/>
  <c r="S26" i="11"/>
  <c r="S299" i="11"/>
  <c r="AA299" i="11" s="1"/>
  <c r="U299" i="9" s="1"/>
  <c r="S600" i="11"/>
  <c r="S498" i="11"/>
  <c r="AA498" i="11" s="1"/>
  <c r="U498" i="9" s="1"/>
  <c r="M256" i="11"/>
  <c r="S256" i="9" s="1"/>
  <c r="M140" i="11"/>
  <c r="S140" i="9" s="1"/>
  <c r="S566" i="11"/>
  <c r="M314" i="11"/>
  <c r="S314" i="9" s="1"/>
  <c r="S545" i="11"/>
  <c r="M264" i="11"/>
  <c r="S264" i="9" s="1"/>
  <c r="M471" i="11"/>
  <c r="S471" i="9" s="1"/>
  <c r="S361" i="11"/>
  <c r="S136" i="11"/>
  <c r="S214" i="11"/>
  <c r="M184" i="11"/>
  <c r="S184" i="9" s="1"/>
  <c r="S141" i="11"/>
  <c r="S251" i="11"/>
  <c r="AA251" i="11" s="1"/>
  <c r="U251" i="9" s="1"/>
  <c r="M80" i="11"/>
  <c r="S80" i="9" s="1"/>
  <c r="S108" i="11"/>
  <c r="M121" i="11"/>
  <c r="S121" i="9" s="1"/>
  <c r="M400" i="11"/>
  <c r="S400" i="9" s="1"/>
  <c r="S162" i="11"/>
  <c r="AA162" i="11" s="1"/>
  <c r="U162" i="9" s="1"/>
  <c r="M437" i="11"/>
  <c r="S437" i="9" s="1"/>
  <c r="S553" i="11"/>
  <c r="M192" i="11"/>
  <c r="S192" i="9" s="1"/>
  <c r="M155" i="11"/>
  <c r="S155" i="9" s="1"/>
  <c r="M402" i="11"/>
  <c r="S402" i="9" s="1"/>
  <c r="M615" i="11"/>
  <c r="S615" i="9" s="1"/>
  <c r="M365" i="11"/>
  <c r="S365" i="9" s="1"/>
  <c r="S478" i="11"/>
  <c r="AA478" i="11" s="1"/>
  <c r="U478" i="9" s="1"/>
  <c r="M262" i="11"/>
  <c r="S262" i="9" s="1"/>
  <c r="S541" i="11"/>
  <c r="M455" i="11"/>
  <c r="S455" i="9" s="1"/>
  <c r="M265" i="11"/>
  <c r="S265" i="9" s="1"/>
  <c r="S611" i="11"/>
  <c r="AA611" i="11" s="1"/>
  <c r="U611" i="9" s="1"/>
  <c r="S172" i="11"/>
  <c r="S432" i="11"/>
  <c r="S306" i="11"/>
  <c r="M451" i="11"/>
  <c r="S451" i="9" s="1"/>
  <c r="M244" i="11"/>
  <c r="S244" i="9" s="1"/>
  <c r="M185" i="11"/>
  <c r="S185" i="9" s="1"/>
  <c r="S419" i="11"/>
  <c r="AA419" i="11" s="1"/>
  <c r="U419" i="9" s="1"/>
  <c r="M295" i="11"/>
  <c r="S295" i="9" s="1"/>
  <c r="M19" i="11"/>
  <c r="S19" i="9" s="1"/>
  <c r="S328" i="11"/>
  <c r="M370" i="11"/>
  <c r="S370" i="9" s="1"/>
  <c r="M101" i="11"/>
  <c r="S101" i="9" s="1"/>
  <c r="S263" i="11"/>
  <c r="S644" i="11"/>
  <c r="S285" i="11"/>
  <c r="M405" i="11"/>
  <c r="S405" i="9" s="1"/>
  <c r="M5" i="11"/>
  <c r="S5" i="9" s="1"/>
  <c r="S416" i="11"/>
  <c r="M209" i="11"/>
  <c r="S209" i="9" s="1"/>
  <c r="S12" i="11"/>
  <c r="S434" i="11"/>
  <c r="M421" i="11"/>
  <c r="S421" i="9" s="1"/>
  <c r="M28" i="11"/>
  <c r="S28" i="9" s="1"/>
  <c r="S504" i="11"/>
  <c r="S517" i="11"/>
  <c r="M610" i="11"/>
  <c r="S610" i="9" s="1"/>
  <c r="M107" i="11"/>
  <c r="S107" i="9" s="1"/>
  <c r="S185" i="11"/>
  <c r="M127" i="11"/>
  <c r="S127" i="9" s="1"/>
  <c r="M336" i="11"/>
  <c r="S336" i="9" s="1"/>
  <c r="M502" i="11"/>
  <c r="S502" i="9" s="1"/>
  <c r="S227" i="11"/>
  <c r="M187" i="11"/>
  <c r="S187" i="9" s="1"/>
  <c r="S79" i="11"/>
  <c r="M72" i="11"/>
  <c r="S72" i="9" s="1"/>
  <c r="S422" i="11"/>
  <c r="S334" i="11"/>
  <c r="AA334" i="11" s="1"/>
  <c r="U334" i="9" s="1"/>
  <c r="M321" i="11"/>
  <c r="S321" i="9" s="1"/>
  <c r="M492" i="11"/>
  <c r="S492" i="9" s="1"/>
  <c r="S94" i="11"/>
  <c r="M448" i="11"/>
  <c r="S448" i="9" s="1"/>
  <c r="S135" i="11"/>
  <c r="M368" i="11"/>
  <c r="S368" i="9" s="1"/>
  <c r="S383" i="11"/>
  <c r="M202" i="11"/>
  <c r="S202" i="9" s="1"/>
  <c r="M527" i="11"/>
  <c r="S527" i="9" s="1"/>
  <c r="M37" i="11"/>
  <c r="S37" i="9" s="1"/>
  <c r="S501" i="11"/>
  <c r="S356" i="11"/>
  <c r="AA356" i="11" s="1"/>
  <c r="U356" i="9" s="1"/>
  <c r="S195" i="11"/>
  <c r="S212" i="11"/>
  <c r="S426" i="11"/>
  <c r="M582" i="11"/>
  <c r="S582" i="9" s="1"/>
  <c r="S126" i="11"/>
  <c r="J54" i="4"/>
  <c r="S125" i="11"/>
  <c r="S281" i="11"/>
  <c r="M131" i="11"/>
  <c r="S131" i="9" s="1"/>
  <c r="S182" i="11"/>
  <c r="M588" i="11"/>
  <c r="S588" i="9" s="1"/>
  <c r="S307" i="11"/>
  <c r="S226" i="11"/>
  <c r="S625" i="11"/>
  <c r="H61" i="4"/>
  <c r="J61" i="4" s="1"/>
  <c r="S574" i="11"/>
  <c r="AA574" i="11" s="1"/>
  <c r="U574" i="9" s="1"/>
  <c r="S173" i="11"/>
  <c r="M81" i="11"/>
  <c r="S81" i="9" s="1"/>
  <c r="M534" i="11"/>
  <c r="S534" i="9" s="1"/>
  <c r="S529" i="11"/>
  <c r="S404" i="11"/>
  <c r="M484" i="11"/>
  <c r="S484" i="9" s="1"/>
  <c r="M535" i="11"/>
  <c r="S535" i="9" s="1"/>
  <c r="S39" i="11"/>
  <c r="S55" i="11"/>
  <c r="M364" i="11"/>
  <c r="S364" i="9" s="1"/>
  <c r="S411" i="11"/>
  <c r="M287" i="11"/>
  <c r="S287" i="9" s="1"/>
  <c r="S427" i="11"/>
  <c r="S298" i="11"/>
  <c r="AA298" i="11" s="1"/>
  <c r="U298" i="9" s="1"/>
  <c r="S13" i="11"/>
  <c r="M167" i="11"/>
  <c r="S167" i="9" s="1"/>
  <c r="S391" i="11"/>
  <c r="S10" i="11"/>
  <c r="S113" i="11"/>
  <c r="AA113" i="11" s="1"/>
  <c r="U113" i="9" s="1"/>
  <c r="M55" i="11"/>
  <c r="S55" i="9" s="1"/>
  <c r="AA519" i="11" l="1"/>
  <c r="U519" i="9" s="1"/>
  <c r="AA125" i="11"/>
  <c r="U125" i="9" s="1"/>
  <c r="AA57" i="11"/>
  <c r="U57" i="9" s="1"/>
  <c r="AA529" i="11"/>
  <c r="U529" i="9" s="1"/>
  <c r="AA501" i="11"/>
  <c r="U501" i="9" s="1"/>
  <c r="AA13" i="11"/>
  <c r="U13" i="9" s="1"/>
  <c r="AA173" i="11"/>
  <c r="U173" i="9" s="1"/>
  <c r="AA426" i="11"/>
  <c r="U426" i="9" s="1"/>
  <c r="AA504" i="11"/>
  <c r="U504" i="9" s="1"/>
  <c r="AA328" i="11"/>
  <c r="U328" i="9" s="1"/>
  <c r="AA339" i="11"/>
  <c r="U339" i="9" s="1"/>
  <c r="AA161" i="11"/>
  <c r="U161" i="9" s="1"/>
  <c r="AA322" i="11"/>
  <c r="U322" i="9" s="1"/>
  <c r="AA494" i="11"/>
  <c r="U494" i="9" s="1"/>
  <c r="AA461" i="11"/>
  <c r="U461" i="9" s="1"/>
  <c r="AA414" i="11"/>
  <c r="U414" i="9" s="1"/>
  <c r="AA184" i="11"/>
  <c r="U184" i="9" s="1"/>
  <c r="AA572" i="11"/>
  <c r="U572" i="9" s="1"/>
  <c r="AA441" i="11"/>
  <c r="U441" i="9" s="1"/>
  <c r="AA303" i="11"/>
  <c r="U303" i="9" s="1"/>
  <c r="AA166" i="11"/>
  <c r="U166" i="9" s="1"/>
  <c r="AA507" i="11"/>
  <c r="U507" i="9" s="1"/>
  <c r="AA590" i="11"/>
  <c r="U590" i="9" s="1"/>
  <c r="AA138" i="11"/>
  <c r="U138" i="9" s="1"/>
  <c r="AA163" i="11"/>
  <c r="U163" i="9" s="1"/>
  <c r="AA221" i="11"/>
  <c r="U221" i="9" s="1"/>
  <c r="AA42" i="11"/>
  <c r="U42" i="9" s="1"/>
  <c r="AA381" i="11"/>
  <c r="U381" i="9" s="1"/>
  <c r="AA236" i="11"/>
  <c r="U236" i="9" s="1"/>
  <c r="AA290" i="11"/>
  <c r="U290" i="9" s="1"/>
  <c r="AA343" i="11"/>
  <c r="U343" i="9" s="1"/>
  <c r="AA145" i="11"/>
  <c r="U145" i="9" s="1"/>
  <c r="AA276" i="11"/>
  <c r="U276" i="9" s="1"/>
  <c r="AA171" i="11"/>
  <c r="U171" i="9" s="1"/>
  <c r="AA540" i="11"/>
  <c r="U540" i="9" s="1"/>
  <c r="AA61" i="11"/>
  <c r="U61" i="9" s="1"/>
  <c r="AA212" i="11"/>
  <c r="U212" i="9" s="1"/>
  <c r="AA454" i="11"/>
  <c r="U454" i="9" s="1"/>
  <c r="AA585" i="11"/>
  <c r="U585" i="9" s="1"/>
  <c r="AA102" i="11"/>
  <c r="U102" i="9" s="1"/>
  <c r="AA418" i="11"/>
  <c r="U418" i="9" s="1"/>
  <c r="AA139" i="11"/>
  <c r="U139" i="9" s="1"/>
  <c r="AA242" i="11"/>
  <c r="U242" i="9" s="1"/>
  <c r="AA267" i="11"/>
  <c r="U267" i="9" s="1"/>
  <c r="AA264" i="11"/>
  <c r="U264" i="9" s="1"/>
  <c r="AA40" i="11"/>
  <c r="U40" i="9" s="1"/>
  <c r="AA295" i="11"/>
  <c r="U295" i="9" s="1"/>
  <c r="AA17" i="11"/>
  <c r="U17" i="9" s="1"/>
  <c r="AA648" i="11"/>
  <c r="U648" i="9" s="1"/>
  <c r="AA493" i="11"/>
  <c r="U493" i="9" s="1"/>
  <c r="AA422" i="11"/>
  <c r="U422" i="9" s="1"/>
  <c r="AA26" i="11"/>
  <c r="U26" i="9" s="1"/>
  <c r="AA460" i="11"/>
  <c r="U460" i="9" s="1"/>
  <c r="AA234" i="11"/>
  <c r="U234" i="9" s="1"/>
  <c r="AA354" i="11"/>
  <c r="U354" i="9" s="1"/>
  <c r="AA36" i="11"/>
  <c r="U36" i="9" s="1"/>
  <c r="AA469" i="11"/>
  <c r="U469" i="9" s="1"/>
  <c r="AA43" i="11"/>
  <c r="U43" i="9" s="1"/>
  <c r="AA182" i="11"/>
  <c r="U182" i="9" s="1"/>
  <c r="AA24" i="11"/>
  <c r="U24" i="9" s="1"/>
  <c r="AA607" i="11"/>
  <c r="U607" i="9" s="1"/>
  <c r="AA411" i="11"/>
  <c r="U411" i="9" s="1"/>
  <c r="AA136" i="11"/>
  <c r="U136" i="9" s="1"/>
  <c r="AA274" i="11"/>
  <c r="U274" i="9" s="1"/>
  <c r="AA310" i="11"/>
  <c r="U310" i="9" s="1"/>
  <c r="AA214" i="11"/>
  <c r="U214" i="9" s="1"/>
  <c r="AA179" i="11"/>
  <c r="U179" i="9" s="1"/>
  <c r="AA76" i="11"/>
  <c r="U76" i="9" s="1"/>
  <c r="AA619" i="11"/>
  <c r="U619" i="9" s="1"/>
  <c r="AA443" i="11"/>
  <c r="U443" i="9" s="1"/>
  <c r="AA532" i="11"/>
  <c r="U532" i="9" s="1"/>
  <c r="AA219" i="11"/>
  <c r="U219" i="9" s="1"/>
  <c r="AA75" i="11"/>
  <c r="U75" i="9" s="1"/>
  <c r="AA34" i="11"/>
  <c r="U34" i="9" s="1"/>
  <c r="AA437" i="11"/>
  <c r="U437" i="9" s="1"/>
  <c r="AA609" i="11"/>
  <c r="U609" i="9" s="1"/>
  <c r="AA400" i="11"/>
  <c r="U400" i="9" s="1"/>
  <c r="AA463" i="11"/>
  <c r="U463" i="9" s="1"/>
  <c r="AA333" i="11"/>
  <c r="U333" i="9" s="1"/>
  <c r="AA427" i="11"/>
  <c r="U427" i="9" s="1"/>
  <c r="AA361" i="11"/>
  <c r="U361" i="9" s="1"/>
  <c r="AA306" i="11"/>
  <c r="U306" i="9" s="1"/>
  <c r="AA134" i="11"/>
  <c r="U134" i="9" s="1"/>
  <c r="AA604" i="11"/>
  <c r="U604" i="9" s="1"/>
  <c r="AA600" i="11"/>
  <c r="U600" i="9" s="1"/>
  <c r="AA141" i="11"/>
  <c r="U141" i="9" s="1"/>
  <c r="AA153" i="11"/>
  <c r="U153" i="9" s="1"/>
  <c r="AA448" i="11"/>
  <c r="U448" i="9" s="1"/>
  <c r="AA247" i="11"/>
  <c r="U247" i="9" s="1"/>
  <c r="AA225" i="11"/>
  <c r="U225" i="9" s="1"/>
  <c r="AA52" i="11"/>
  <c r="U52" i="9" s="1"/>
  <c r="AA201" i="11"/>
  <c r="U201" i="9" s="1"/>
  <c r="AA541" i="11"/>
  <c r="U541" i="9" s="1"/>
  <c r="AA432" i="11"/>
  <c r="U432" i="9" s="1"/>
  <c r="AA640" i="11"/>
  <c r="U640" i="9" s="1"/>
  <c r="AA452" i="11"/>
  <c r="U452" i="9" s="1"/>
  <c r="AA249" i="11"/>
  <c r="U249" i="9" s="1"/>
  <c r="AA79" i="11"/>
  <c r="U79" i="9" s="1"/>
  <c r="AA570" i="11"/>
  <c r="U570" i="9" s="1"/>
  <c r="AA424" i="11"/>
  <c r="U424" i="9" s="1"/>
  <c r="AA542" i="11"/>
  <c r="U542" i="9" s="1"/>
  <c r="AA319" i="11"/>
  <c r="U319" i="9" s="1"/>
  <c r="AA301" i="11"/>
  <c r="U301" i="9" s="1"/>
  <c r="AA228" i="11"/>
  <c r="U228" i="9" s="1"/>
  <c r="AA33" i="11"/>
  <c r="U33" i="9" s="1"/>
  <c r="AA177" i="11"/>
  <c r="U177" i="9" s="1"/>
  <c r="AA581" i="11"/>
  <c r="U581" i="9" s="1"/>
  <c r="AA442" i="11"/>
  <c r="U442" i="9" s="1"/>
  <c r="AA499" i="11"/>
  <c r="U499" i="9" s="1"/>
  <c r="AA515" i="11"/>
  <c r="U515" i="9" s="1"/>
  <c r="AA474" i="11"/>
  <c r="U474" i="9" s="1"/>
  <c r="AA485" i="11"/>
  <c r="U485" i="9" s="1"/>
  <c r="AA633" i="11"/>
  <c r="U633" i="9" s="1"/>
  <c r="AA557" i="11"/>
  <c r="U557" i="9" s="1"/>
  <c r="AA227" i="11"/>
  <c r="U227" i="9" s="1"/>
  <c r="AA157" i="11"/>
  <c r="U157" i="9" s="1"/>
  <c r="AA111" i="11"/>
  <c r="U111" i="9" s="1"/>
  <c r="AA325" i="11"/>
  <c r="U325" i="9" s="1"/>
  <c r="AA165" i="11"/>
  <c r="U165" i="9" s="1"/>
  <c r="AA385" i="11"/>
  <c r="U385" i="9" s="1"/>
  <c r="AA601" i="11"/>
  <c r="U601" i="9" s="1"/>
  <c r="AA117" i="11"/>
  <c r="U117" i="9" s="1"/>
  <c r="AA320" i="11"/>
  <c r="U320" i="9" s="1"/>
  <c r="AA383" i="11"/>
  <c r="U383" i="9" s="1"/>
  <c r="AA224" i="11"/>
  <c r="U224" i="9" s="1"/>
  <c r="AA285" i="11"/>
  <c r="U285" i="9" s="1"/>
  <c r="AA436" i="11"/>
  <c r="U436" i="9" s="1"/>
  <c r="AA396" i="11"/>
  <c r="U396" i="9" s="1"/>
  <c r="AA10" i="11"/>
  <c r="U10" i="9" s="1"/>
  <c r="AA404" i="11"/>
  <c r="U404" i="9" s="1"/>
  <c r="AA566" i="11"/>
  <c r="U566" i="9" s="1"/>
  <c r="AA608" i="11"/>
  <c r="U608" i="9" s="1"/>
  <c r="AA556" i="11"/>
  <c r="U556" i="9" s="1"/>
  <c r="AA509" i="11"/>
  <c r="U509" i="9" s="1"/>
  <c r="AA103" i="11"/>
  <c r="U103" i="9" s="1"/>
  <c r="AA409" i="11"/>
  <c r="U409" i="9" s="1"/>
  <c r="AA624" i="11"/>
  <c r="U624" i="9" s="1"/>
  <c r="AA489" i="11"/>
  <c r="U489" i="9" s="1"/>
  <c r="AA38" i="11"/>
  <c r="U38" i="9" s="1"/>
  <c r="AA391" i="11"/>
  <c r="U391" i="9" s="1"/>
  <c r="AA372" i="11"/>
  <c r="U372" i="9" s="1"/>
  <c r="AA517" i="11"/>
  <c r="U517" i="9" s="1"/>
  <c r="AA647" i="11"/>
  <c r="U647" i="9" s="1"/>
  <c r="AA230" i="11"/>
  <c r="U230" i="9" s="1"/>
  <c r="AA545" i="11"/>
  <c r="U545" i="9" s="1"/>
  <c r="AA438" i="11"/>
  <c r="U438" i="9" s="1"/>
  <c r="AA587" i="11"/>
  <c r="U587" i="9" s="1"/>
  <c r="AA533" i="11"/>
  <c r="U533" i="9" s="1"/>
  <c r="AA410" i="11"/>
  <c r="U410" i="9" s="1"/>
  <c r="AA580" i="11"/>
  <c r="U580" i="9" s="1"/>
  <c r="AA347" i="11"/>
  <c r="U347" i="9" s="1"/>
  <c r="AA135" i="11"/>
  <c r="U135" i="9" s="1"/>
  <c r="AA530" i="11"/>
  <c r="U530" i="9" s="1"/>
  <c r="AA549" i="11"/>
  <c r="U549" i="9" s="1"/>
  <c r="AA11" i="11"/>
  <c r="U11" i="9" s="1"/>
  <c r="AA67" i="11"/>
  <c r="U67" i="9" s="1"/>
  <c r="AA164" i="11"/>
  <c r="U164" i="9" s="1"/>
  <c r="AA453" i="11"/>
  <c r="U453" i="9" s="1"/>
  <c r="AA268" i="11"/>
  <c r="U268" i="9" s="1"/>
  <c r="AA112" i="11"/>
  <c r="U112" i="9" s="1"/>
  <c r="AA253" i="11"/>
  <c r="U253" i="9" s="1"/>
  <c r="AA123" i="11"/>
  <c r="U123" i="9" s="1"/>
  <c r="AA559" i="11"/>
  <c r="U559" i="9" s="1"/>
  <c r="AA616" i="11"/>
  <c r="U616" i="9" s="1"/>
  <c r="AA23" i="11"/>
  <c r="U23" i="9" s="1"/>
  <c r="AA456" i="11"/>
  <c r="U456" i="9" s="1"/>
  <c r="AA536" i="11"/>
  <c r="U536" i="9" s="1"/>
  <c r="AA450" i="11"/>
  <c r="U450" i="9" s="1"/>
  <c r="AA643" i="11"/>
  <c r="U643" i="9" s="1"/>
  <c r="AA296" i="11"/>
  <c r="U296" i="9" s="1"/>
  <c r="AA205" i="11"/>
  <c r="U205" i="9" s="1"/>
  <c r="AA199" i="11"/>
  <c r="U199" i="9" s="1"/>
  <c r="AA196" i="11"/>
  <c r="U196" i="9" s="1"/>
  <c r="AA477" i="11"/>
  <c r="U477" i="9" s="1"/>
  <c r="AA263" i="11"/>
  <c r="U263" i="9" s="1"/>
  <c r="AA577" i="11"/>
  <c r="U577" i="9" s="1"/>
  <c r="AA147" i="11"/>
  <c r="U147" i="9" s="1"/>
  <c r="AA553" i="11"/>
  <c r="U553" i="9" s="1"/>
  <c r="AA528" i="11"/>
  <c r="U528" i="9" s="1"/>
  <c r="AA93" i="11"/>
  <c r="U93" i="9" s="1"/>
  <c r="AA520" i="11"/>
  <c r="U520" i="9" s="1"/>
  <c r="AA64" i="11"/>
  <c r="U64" i="9" s="1"/>
  <c r="AA337" i="11"/>
  <c r="U337" i="9" s="1"/>
  <c r="AA172" i="11"/>
  <c r="U172" i="9" s="1"/>
  <c r="AA589" i="11"/>
  <c r="U589" i="9" s="1"/>
  <c r="AA217" i="11"/>
  <c r="U217" i="9" s="1"/>
  <c r="AA148" i="11"/>
  <c r="U148" i="9" s="1"/>
  <c r="AA180" i="11"/>
  <c r="U180" i="9" s="1"/>
  <c r="AA289" i="11"/>
  <c r="U289" i="9" s="1"/>
  <c r="AA240" i="11"/>
  <c r="U240" i="9" s="1"/>
  <c r="AA211" i="11"/>
  <c r="U211" i="9" s="1"/>
  <c r="AA293" i="11"/>
  <c r="U293" i="9" s="1"/>
  <c r="AA258" i="11"/>
  <c r="U258" i="9" s="1"/>
  <c r="AA45" i="11"/>
  <c r="U45" i="9" s="1"/>
  <c r="AA593" i="11"/>
  <c r="U593" i="9" s="1"/>
  <c r="AA350" i="11"/>
  <c r="U350" i="9" s="1"/>
  <c r="AA576" i="11"/>
  <c r="U576" i="9" s="1"/>
  <c r="AA272" i="11"/>
  <c r="U272" i="9" s="1"/>
  <c r="AA74" i="11"/>
  <c r="U74" i="9" s="1"/>
  <c r="AA408" i="11"/>
  <c r="U408" i="9" s="1"/>
  <c r="AA523" i="11"/>
  <c r="U523" i="9" s="1"/>
  <c r="AA95" i="11"/>
  <c r="U95" i="9" s="1"/>
  <c r="AA32" i="11"/>
  <c r="U32" i="9" s="1"/>
  <c r="AA521" i="11"/>
  <c r="U521" i="9" s="1"/>
  <c r="AA260" i="11"/>
  <c r="U260" i="9" s="1"/>
  <c r="AA650" i="11"/>
  <c r="U650" i="9" s="1"/>
  <c r="AA127" i="11"/>
  <c r="U127" i="9" s="1"/>
  <c r="AA300" i="11"/>
  <c r="U300" i="9" s="1"/>
  <c r="AA594" i="11"/>
  <c r="U594" i="9" s="1"/>
  <c r="AA398" i="11"/>
  <c r="U398" i="9" s="1"/>
  <c r="AA283" i="11"/>
  <c r="U283" i="9" s="1"/>
  <c r="AA503" i="11"/>
  <c r="U503" i="9" s="1"/>
  <c r="AA397" i="11"/>
  <c r="U397" i="9" s="1"/>
  <c r="AA548" i="11"/>
  <c r="U548" i="9" s="1"/>
  <c r="AA614" i="11"/>
  <c r="U614" i="9" s="1"/>
  <c r="AA213" i="11"/>
  <c r="U213" i="9" s="1"/>
  <c r="AA189" i="11"/>
  <c r="U189" i="9" s="1"/>
  <c r="AA70" i="11"/>
  <c r="U70" i="9" s="1"/>
  <c r="AA63" i="11"/>
  <c r="U63" i="9" s="1"/>
  <c r="AA120" i="11"/>
  <c r="U120" i="9" s="1"/>
  <c r="AA428" i="11"/>
  <c r="U428" i="9" s="1"/>
  <c r="AA126" i="11"/>
  <c r="U126" i="9" s="1"/>
  <c r="AA108" i="11"/>
  <c r="U108" i="9" s="1"/>
  <c r="AA62" i="11"/>
  <c r="U62" i="9" s="1"/>
  <c r="AA235" i="11"/>
  <c r="U235" i="9" s="1"/>
  <c r="AA467" i="11"/>
  <c r="U467" i="9" s="1"/>
  <c r="AA8" i="11"/>
  <c r="U8" i="9" s="1"/>
  <c r="AA226" i="11"/>
  <c r="U226" i="9" s="1"/>
  <c r="AA275" i="11"/>
  <c r="U275" i="9" s="1"/>
  <c r="AA154" i="11"/>
  <c r="U154" i="9" s="1"/>
  <c r="AA407" i="11"/>
  <c r="U407" i="9" s="1"/>
  <c r="AA89" i="11"/>
  <c r="U89" i="9" s="1"/>
  <c r="AA505" i="11"/>
  <c r="U505" i="9" s="1"/>
  <c r="AA547" i="11"/>
  <c r="U547" i="9" s="1"/>
  <c r="AA430" i="11"/>
  <c r="U430" i="9" s="1"/>
  <c r="AA382" i="11"/>
  <c r="U382" i="9" s="1"/>
  <c r="AA644" i="11"/>
  <c r="U644" i="9" s="1"/>
  <c r="AA630" i="11"/>
  <c r="U630" i="9" s="1"/>
  <c r="AA116" i="11"/>
  <c r="U116" i="9" s="1"/>
  <c r="AA634" i="11"/>
  <c r="U634" i="9" s="1"/>
  <c r="AA54" i="11"/>
  <c r="U54" i="9" s="1"/>
  <c r="AA637" i="11"/>
  <c r="U637" i="9" s="1"/>
  <c r="AA344" i="11"/>
  <c r="U344" i="9" s="1"/>
  <c r="AA151" i="11"/>
  <c r="U151" i="9" s="1"/>
  <c r="AA417" i="11"/>
  <c r="U417" i="9" s="1"/>
  <c r="AA169" i="11"/>
  <c r="U169" i="9" s="1"/>
  <c r="AA252" i="11"/>
  <c r="U252" i="9" s="1"/>
  <c r="AA294" i="11"/>
  <c r="U294" i="9" s="1"/>
  <c r="AA94" i="11"/>
  <c r="U94" i="9" s="1"/>
  <c r="AA510" i="11"/>
  <c r="U510" i="9" s="1"/>
  <c r="AA238" i="11"/>
  <c r="U238" i="9" s="1"/>
  <c r="AA413" i="11"/>
  <c r="U413" i="9" s="1"/>
  <c r="AA388" i="11"/>
  <c r="U388" i="9" s="1"/>
  <c r="AA266" i="11"/>
  <c r="U266" i="9" s="1"/>
  <c r="AA470" i="11"/>
  <c r="U470" i="9" s="1"/>
  <c r="E67" i="4"/>
  <c r="E66" i="4"/>
  <c r="E69" i="4" s="1"/>
  <c r="AA195" i="11"/>
  <c r="U195" i="9" s="1"/>
  <c r="AA472" i="11"/>
  <c r="U472" i="9" s="1"/>
  <c r="AA511" i="11"/>
  <c r="U511" i="9" s="1"/>
  <c r="AA370" i="11"/>
  <c r="U370" i="9" s="1"/>
  <c r="AA83" i="11"/>
  <c r="U83" i="9" s="1"/>
  <c r="AA99" i="11"/>
  <c r="U99" i="9" s="1"/>
  <c r="AA187" i="11"/>
  <c r="U187" i="9" s="1"/>
  <c r="AA118" i="11"/>
  <c r="U118" i="9" s="1"/>
  <c r="AA107" i="11"/>
  <c r="U107" i="9" s="1"/>
  <c r="AA539" i="11"/>
  <c r="U539" i="9" s="1"/>
  <c r="AA336" i="11"/>
  <c r="U336" i="9" s="1"/>
  <c r="AA122" i="11"/>
  <c r="U122" i="9" s="1"/>
  <c r="AA483" i="11"/>
  <c r="U483" i="9" s="1"/>
  <c r="AA378" i="11"/>
  <c r="U378" i="9" s="1"/>
  <c r="AA291" i="11"/>
  <c r="U291" i="9" s="1"/>
  <c r="AA265" i="11"/>
  <c r="U265" i="9" s="1"/>
  <c r="AA91" i="11"/>
  <c r="U91" i="9" s="1"/>
  <c r="AA512" i="11"/>
  <c r="U512" i="9" s="1"/>
  <c r="AA554" i="11"/>
  <c r="U554" i="9" s="1"/>
  <c r="AA603" i="11"/>
  <c r="U603" i="9" s="1"/>
  <c r="AA496" i="11"/>
  <c r="U496" i="9" s="1"/>
  <c r="AA292" i="11"/>
  <c r="U292" i="9" s="1"/>
  <c r="AA278" i="11"/>
  <c r="U278" i="9" s="1"/>
  <c r="AA21" i="11"/>
  <c r="U21" i="9" s="1"/>
  <c r="AA80" i="11"/>
  <c r="U80" i="9" s="1"/>
  <c r="AA316" i="11"/>
  <c r="U316" i="9" s="1"/>
  <c r="AA403" i="11"/>
  <c r="U403" i="9" s="1"/>
  <c r="AA402" i="11"/>
  <c r="U402" i="9" s="1"/>
  <c r="AA374" i="11"/>
  <c r="U374" i="9" s="1"/>
  <c r="AA636" i="11"/>
  <c r="U636" i="9" s="1"/>
  <c r="AA220" i="11"/>
  <c r="U220" i="9" s="1"/>
  <c r="AA6" i="11"/>
  <c r="U6" i="9" s="1"/>
  <c r="T6" i="9"/>
  <c r="AA625" i="11"/>
  <c r="U625" i="9" s="1"/>
  <c r="AA434" i="11"/>
  <c r="U434" i="9" s="1"/>
  <c r="AA245" i="11"/>
  <c r="U245" i="9" s="1"/>
  <c r="AA332" i="11"/>
  <c r="U332" i="9" s="1"/>
  <c r="AA492" i="11"/>
  <c r="U492" i="9" s="1"/>
  <c r="AA596" i="11"/>
  <c r="U596" i="9" s="1"/>
  <c r="AA550" i="11"/>
  <c r="U550" i="9" s="1"/>
  <c r="AA368" i="11"/>
  <c r="U368" i="9" s="1"/>
  <c r="AA218" i="11"/>
  <c r="U218" i="9" s="1"/>
  <c r="AA567" i="11"/>
  <c r="U567" i="9" s="1"/>
  <c r="AA174" i="11"/>
  <c r="U174" i="9" s="1"/>
  <c r="AA526" i="11"/>
  <c r="U526" i="9" s="1"/>
  <c r="AA183" i="11"/>
  <c r="U183" i="9" s="1"/>
  <c r="AA468" i="11"/>
  <c r="U468" i="9" s="1"/>
  <c r="AA159" i="11"/>
  <c r="U159" i="9" s="1"/>
  <c r="AA197" i="11"/>
  <c r="U197" i="9" s="1"/>
  <c r="AA513" i="11"/>
  <c r="U513" i="9" s="1"/>
  <c r="AA327" i="11"/>
  <c r="U327" i="9" s="1"/>
  <c r="AA552" i="11"/>
  <c r="U552" i="9" s="1"/>
  <c r="AA420" i="11"/>
  <c r="U420" i="9" s="1"/>
  <c r="AA345" i="11"/>
  <c r="U345" i="9" s="1"/>
  <c r="AA188" i="11"/>
  <c r="U188" i="9" s="1"/>
  <c r="AA18" i="11"/>
  <c r="U18" i="9" s="1"/>
  <c r="AA363" i="11"/>
  <c r="U363" i="9" s="1"/>
  <c r="AA575" i="11"/>
  <c r="U575" i="9" s="1"/>
  <c r="AA297" i="11"/>
  <c r="U297" i="9" s="1"/>
  <c r="AA105" i="11"/>
  <c r="U105" i="9" s="1"/>
  <c r="AA233" i="11"/>
  <c r="U233" i="9" s="1"/>
  <c r="AA31" i="11"/>
  <c r="U31" i="9" s="1"/>
  <c r="AA203" i="11"/>
  <c r="U203" i="9" s="1"/>
  <c r="AA551" i="11"/>
  <c r="U551" i="9" s="1"/>
  <c r="AA415" i="11"/>
  <c r="U415" i="9" s="1"/>
  <c r="AA365" i="11"/>
  <c r="U365" i="9" s="1"/>
  <c r="AA307" i="11"/>
  <c r="U307" i="9" s="1"/>
  <c r="AA543" i="11"/>
  <c r="U543" i="9" s="1"/>
  <c r="AA348" i="11"/>
  <c r="U348" i="9" s="1"/>
  <c r="AA193" i="11"/>
  <c r="U193" i="9" s="1"/>
  <c r="AA534" i="11"/>
  <c r="U534" i="9" s="1"/>
  <c r="AA44" i="11"/>
  <c r="U44" i="9" s="1"/>
  <c r="AA131" i="11"/>
  <c r="U131" i="9" s="1"/>
  <c r="AA14" i="11"/>
  <c r="U14" i="9" s="1"/>
  <c r="AA115" i="11"/>
  <c r="U115" i="9" s="1"/>
  <c r="AA65" i="11"/>
  <c r="U65" i="9" s="1"/>
  <c r="AA140" i="11"/>
  <c r="U140" i="9" s="1"/>
  <c r="AA399" i="11"/>
  <c r="U399" i="9" s="1"/>
  <c r="AA20" i="11"/>
  <c r="U20" i="9" s="1"/>
  <c r="AA149" i="11"/>
  <c r="U149" i="9" s="1"/>
  <c r="AA85" i="11"/>
  <c r="U85" i="9" s="1"/>
  <c r="AA369" i="11"/>
  <c r="U369" i="9" s="1"/>
  <c r="AA121" i="11"/>
  <c r="U121" i="9" s="1"/>
  <c r="AA479" i="11"/>
  <c r="U479" i="9" s="1"/>
  <c r="AA256" i="11"/>
  <c r="U256" i="9" s="1"/>
  <c r="T7" i="9"/>
  <c r="AA7" i="11"/>
  <c r="U7" i="9" s="1"/>
  <c r="AA35" i="11"/>
  <c r="U35" i="9" s="1"/>
  <c r="AA160" i="11"/>
  <c r="U160" i="9" s="1"/>
  <c r="AA635" i="11"/>
  <c r="U635" i="9" s="1"/>
  <c r="AA86" i="11"/>
  <c r="U86" i="9" s="1"/>
  <c r="AA627" i="11"/>
  <c r="U627" i="9" s="1"/>
  <c r="AA90" i="11"/>
  <c r="U90" i="9" s="1"/>
  <c r="AA317" i="11"/>
  <c r="U317" i="9" s="1"/>
  <c r="AA30" i="11"/>
  <c r="U30" i="9" s="1"/>
  <c r="AA451" i="11"/>
  <c r="U451" i="9" s="1"/>
  <c r="AA433" i="11"/>
  <c r="U433" i="9" s="1"/>
  <c r="AA621" i="11"/>
  <c r="U621" i="9" s="1"/>
  <c r="AA288" i="11"/>
  <c r="U288" i="9" s="1"/>
  <c r="AA632" i="11"/>
  <c r="U632" i="9" s="1"/>
  <c r="AA524" i="11"/>
  <c r="U524" i="9" s="1"/>
  <c r="AA55" i="11"/>
  <c r="U55" i="9" s="1"/>
  <c r="AA416" i="11"/>
  <c r="U416" i="9" s="1"/>
  <c r="AA562" i="11"/>
  <c r="U562" i="9" s="1"/>
  <c r="AA389" i="11"/>
  <c r="U389" i="9" s="1"/>
  <c r="AA462" i="11"/>
  <c r="U462" i="9" s="1"/>
  <c r="AA209" i="11"/>
  <c r="U209" i="9" s="1"/>
  <c r="AA56" i="11"/>
  <c r="U56" i="9" s="1"/>
  <c r="AA210" i="11"/>
  <c r="U210" i="9" s="1"/>
  <c r="AA312" i="11"/>
  <c r="U312" i="9" s="1"/>
  <c r="AA555" i="11"/>
  <c r="U555" i="9" s="1"/>
  <c r="AA638" i="11"/>
  <c r="U638" i="9" s="1"/>
  <c r="AA279" i="11"/>
  <c r="U279" i="9" s="1"/>
  <c r="AA473" i="11"/>
  <c r="U473" i="9" s="1"/>
  <c r="AA202" i="11"/>
  <c r="U202" i="9" s="1"/>
  <c r="AA181" i="11"/>
  <c r="U181" i="9" s="1"/>
  <c r="AA588" i="11"/>
  <c r="U588" i="9" s="1"/>
  <c r="AA628" i="11"/>
  <c r="U628" i="9" s="1"/>
  <c r="AA313" i="11"/>
  <c r="U313" i="9" s="1"/>
  <c r="AA286" i="11"/>
  <c r="U286" i="9" s="1"/>
  <c r="AA406" i="11"/>
  <c r="U406" i="9" s="1"/>
  <c r="AA186" i="11"/>
  <c r="U186" i="9" s="1"/>
  <c r="AA538" i="11"/>
  <c r="U538" i="9" s="1"/>
  <c r="AA623" i="11"/>
  <c r="U623" i="9" s="1"/>
  <c r="AA314" i="11"/>
  <c r="U314" i="9" s="1"/>
  <c r="AA357" i="11"/>
  <c r="U357" i="9" s="1"/>
  <c r="AA58" i="11"/>
  <c r="U58" i="9" s="1"/>
  <c r="AA516" i="11"/>
  <c r="U516" i="9" s="1"/>
  <c r="AA250" i="11"/>
  <c r="U250" i="9" s="1"/>
  <c r="AA175" i="11"/>
  <c r="U175" i="9" s="1"/>
  <c r="AA649" i="11"/>
  <c r="U649" i="9" s="1"/>
  <c r="AA170" i="11"/>
  <c r="U170" i="9" s="1"/>
  <c r="AA246" i="11"/>
  <c r="U246" i="9" s="1"/>
  <c r="AA49" i="11"/>
  <c r="U49" i="9" s="1"/>
  <c r="AA190" i="11"/>
  <c r="U190" i="9" s="1"/>
  <c r="AA207" i="11"/>
  <c r="U207" i="9" s="1"/>
  <c r="AA106" i="11"/>
  <c r="U106" i="9" s="1"/>
  <c r="AA84" i="11"/>
  <c r="U84" i="9" s="1"/>
  <c r="AA143" i="11"/>
  <c r="U143" i="9" s="1"/>
  <c r="AA109" i="11"/>
  <c r="U109" i="9" s="1"/>
  <c r="AA445" i="11"/>
  <c r="U445" i="9" s="1"/>
  <c r="AA465" i="11"/>
  <c r="U465" i="9" s="1"/>
  <c r="AA497" i="11"/>
  <c r="U497" i="9" s="1"/>
  <c r="AA73" i="11"/>
  <c r="U73" i="9" s="1"/>
  <c r="AA535" i="11"/>
  <c r="U535" i="9" s="1"/>
  <c r="AA119" i="11"/>
  <c r="U119" i="9" s="1"/>
  <c r="AA387" i="11"/>
  <c r="U387" i="9" s="1"/>
  <c r="AA597" i="11"/>
  <c r="U597" i="9" s="1"/>
  <c r="AA248" i="11"/>
  <c r="U248" i="9" s="1"/>
  <c r="AA104" i="11"/>
  <c r="U104" i="9" s="1"/>
  <c r="AA273" i="11"/>
  <c r="U273" i="9" s="1"/>
  <c r="AA464" i="11"/>
  <c r="U464" i="9" s="1"/>
  <c r="AA606" i="11"/>
  <c r="U606" i="9" s="1"/>
  <c r="AA269" i="11"/>
  <c r="U269" i="9" s="1"/>
  <c r="AA315" i="11"/>
  <c r="U315" i="9" s="1"/>
  <c r="AA71" i="11"/>
  <c r="U71" i="9" s="1"/>
  <c r="AA525" i="11"/>
  <c r="U525" i="9" s="1"/>
  <c r="AA47" i="11"/>
  <c r="U47" i="9" s="1"/>
  <c r="AA130" i="11"/>
  <c r="U130" i="9" s="1"/>
  <c r="AA431" i="11"/>
  <c r="U431" i="9" s="1"/>
  <c r="AA222" i="11"/>
  <c r="U222" i="9" s="1"/>
  <c r="AA59" i="11"/>
  <c r="U59" i="9" s="1"/>
  <c r="AA223" i="11"/>
  <c r="U223" i="9" s="1"/>
  <c r="AA192" i="11"/>
  <c r="U192" i="9" s="1"/>
  <c r="AA379" i="11"/>
  <c r="U379" i="9" s="1"/>
  <c r="AA78" i="11"/>
  <c r="U78" i="9" s="1"/>
  <c r="AA401" i="11"/>
  <c r="U401" i="9" s="1"/>
  <c r="AA302" i="11"/>
  <c r="U302" i="9" s="1"/>
  <c r="AA502" i="11"/>
  <c r="U502" i="9" s="1"/>
  <c r="AA158" i="11"/>
  <c r="U158" i="9" s="1"/>
  <c r="AA323" i="11"/>
  <c r="U323" i="9" s="1"/>
  <c r="AA457" i="11"/>
  <c r="U457" i="9" s="1"/>
  <c r="AA156" i="11"/>
  <c r="U156" i="9" s="1"/>
  <c r="AA466" i="11"/>
  <c r="U466" i="9" s="1"/>
  <c r="AA612" i="11"/>
  <c r="U612" i="9" s="1"/>
  <c r="AA390" i="11"/>
  <c r="U390" i="9" s="1"/>
  <c r="AA394" i="11"/>
  <c r="U394" i="9" s="1"/>
  <c r="AA405" i="11"/>
  <c r="U405" i="9" s="1"/>
  <c r="AA439" i="11"/>
  <c r="U439" i="9" s="1"/>
  <c r="AA257" i="11"/>
  <c r="U257" i="9" s="1"/>
  <c r="AA152" i="11"/>
  <c r="U152" i="9" s="1"/>
  <c r="AA338" i="11"/>
  <c r="U338" i="9" s="1"/>
  <c r="AA486" i="11"/>
  <c r="U486" i="9" s="1"/>
  <c r="AA100" i="11"/>
  <c r="U100" i="9" s="1"/>
  <c r="AA39" i="11"/>
  <c r="U39" i="9" s="1"/>
  <c r="AA281" i="11"/>
  <c r="U281" i="9" s="1"/>
  <c r="AA72" i="11"/>
  <c r="U72" i="9" s="1"/>
  <c r="AA641" i="11"/>
  <c r="U641" i="9" s="1"/>
  <c r="AA605" i="11"/>
  <c r="U605" i="9" s="1"/>
  <c r="AA563" i="11"/>
  <c r="U563" i="9" s="1"/>
  <c r="AA29" i="11"/>
  <c r="U29" i="9" s="1"/>
  <c r="AA346" i="11"/>
  <c r="U346" i="9" s="1"/>
  <c r="AA168" i="11"/>
  <c r="U168" i="9" s="1"/>
  <c r="AA622" i="11"/>
  <c r="U622" i="9" s="1"/>
  <c r="AA271" i="11"/>
  <c r="U271" i="9" s="1"/>
  <c r="AA586" i="11"/>
  <c r="U586" i="9" s="1"/>
  <c r="AA96" i="11"/>
  <c r="U96" i="9" s="1"/>
  <c r="AA178" i="11"/>
  <c r="U178" i="9" s="1"/>
  <c r="AA482" i="11"/>
  <c r="U482" i="9" s="1"/>
  <c r="AA204" i="11"/>
  <c r="U204" i="9" s="1"/>
  <c r="AA425" i="11"/>
  <c r="U425" i="9" s="1"/>
  <c r="AA146" i="11"/>
  <c r="U146" i="9" s="1"/>
  <c r="AA522" i="11"/>
  <c r="U522" i="9" s="1"/>
  <c r="AA595" i="11"/>
  <c r="U595" i="9" s="1"/>
  <c r="AA206" i="11"/>
  <c r="U206" i="9" s="1"/>
  <c r="AA366" i="11"/>
  <c r="U366" i="9" s="1"/>
  <c r="AA610" i="11"/>
  <c r="U610" i="9" s="1"/>
  <c r="AA53" i="11"/>
  <c r="U53" i="9" s="1"/>
  <c r="AA544" i="11"/>
  <c r="U544" i="9" s="1"/>
  <c r="AA87" i="11"/>
  <c r="U87" i="9" s="1"/>
  <c r="AA591" i="11"/>
  <c r="U591" i="9" s="1"/>
  <c r="AA16" i="11"/>
  <c r="U16" i="9" s="1"/>
  <c r="AA155" i="11"/>
  <c r="U155" i="9" s="1"/>
  <c r="AA342" i="11"/>
  <c r="U342" i="9" s="1"/>
  <c r="AA215" i="11"/>
  <c r="U215" i="9" s="1"/>
  <c r="AA459" i="11"/>
  <c r="U459" i="9" s="1"/>
  <c r="AA617" i="11"/>
  <c r="U617" i="9" s="1"/>
  <c r="AA185" i="11"/>
  <c r="U185" i="9" s="1"/>
  <c r="AA98" i="11"/>
  <c r="U98" i="9" s="1"/>
  <c r="AA527" i="11"/>
  <c r="U527" i="9" s="1"/>
  <c r="AA626" i="11"/>
  <c r="U626" i="9" s="1"/>
  <c r="AA326" i="11"/>
  <c r="U326" i="9" s="1"/>
  <c r="AA9" i="11"/>
  <c r="U9" i="9" s="1"/>
  <c r="T9" i="9"/>
  <c r="AA349" i="11"/>
  <c r="U349" i="9" s="1"/>
  <c r="AA259" i="11"/>
  <c r="U259" i="9" s="1"/>
  <c r="AA352" i="11"/>
  <c r="U352" i="9" s="1"/>
  <c r="AA364" i="11"/>
  <c r="U364" i="9" s="1"/>
  <c r="AA395" i="11"/>
  <c r="U395" i="9" s="1"/>
  <c r="AA208" i="11"/>
  <c r="U208" i="9" s="1"/>
  <c r="AA150" i="11"/>
  <c r="U150" i="9" s="1"/>
  <c r="AA508" i="11"/>
  <c r="U508" i="9" s="1"/>
  <c r="AA598" i="11"/>
  <c r="U598" i="9" s="1"/>
  <c r="AA101" i="11"/>
  <c r="U101" i="9" s="1"/>
  <c r="AA321" i="11"/>
  <c r="U321" i="9" s="1"/>
  <c r="AA88" i="11"/>
  <c r="U88" i="9" s="1"/>
  <c r="AA377" i="11"/>
  <c r="U377" i="9" s="1"/>
  <c r="AA412" i="11"/>
  <c r="U412" i="9" s="1"/>
  <c r="AA476" i="11"/>
  <c r="U476" i="9" s="1"/>
  <c r="AA46" i="11"/>
  <c r="U46" i="9" s="1"/>
  <c r="AA137" i="11"/>
  <c r="U137" i="9" s="1"/>
  <c r="AA255" i="11"/>
  <c r="U255" i="9" s="1"/>
  <c r="AA97" i="11"/>
  <c r="U97" i="9" s="1"/>
  <c r="AA142" i="11"/>
  <c r="U142" i="9" s="1"/>
  <c r="AA244" i="11"/>
  <c r="U244" i="9" s="1"/>
  <c r="AA241" i="11"/>
  <c r="U241" i="9" s="1"/>
  <c r="AA330" i="11"/>
  <c r="U330" i="9" s="1"/>
  <c r="AA27" i="11"/>
  <c r="U27" i="9" s="1"/>
  <c r="AA232" i="11"/>
  <c r="U232" i="9" s="1"/>
  <c r="AA262" i="11"/>
  <c r="U262" i="9" s="1"/>
  <c r="AA341" i="11"/>
  <c r="U341" i="9" s="1"/>
  <c r="AA81" i="11"/>
  <c r="U81" i="9" s="1"/>
  <c r="AA66" i="11"/>
  <c r="U66" i="9" s="1"/>
  <c r="AA592" i="11"/>
  <c r="U592" i="9" s="1"/>
  <c r="AA491" i="11"/>
  <c r="U491" i="9" s="1"/>
  <c r="AA358" i="11"/>
  <c r="U358" i="9" s="1"/>
  <c r="AA191" i="11"/>
  <c r="U191" i="9" s="1"/>
  <c r="AA25" i="11"/>
  <c r="U25" i="9" s="1"/>
  <c r="AA360" i="11"/>
  <c r="U360" i="9" s="1"/>
  <c r="AA531" i="11"/>
  <c r="U531" i="9" s="1"/>
  <c r="AA599" i="11"/>
  <c r="U599" i="9" s="1"/>
  <c r="AA308" i="11"/>
  <c r="U308" i="9" s="1"/>
  <c r="AA480" i="11"/>
  <c r="U480" i="9" s="1"/>
  <c r="AA129" i="11"/>
  <c r="U129" i="9" s="1"/>
  <c r="AA28" i="11"/>
  <c r="U28" i="9" s="1"/>
  <c r="AA618" i="11"/>
  <c r="U618" i="9" s="1"/>
  <c r="AA200" i="11"/>
  <c r="U200" i="9" s="1"/>
  <c r="T5" i="9"/>
  <c r="AA5" i="11"/>
  <c r="U5" i="9" s="1"/>
  <c r="AA324" i="11"/>
  <c r="U324" i="9" s="1"/>
  <c r="AA446" i="11"/>
  <c r="U446" i="9" s="1"/>
  <c r="AA77" i="11"/>
  <c r="U77" i="9" s="1"/>
  <c r="AA393" i="11"/>
  <c r="U393" i="9" s="1"/>
  <c r="AA375" i="11"/>
  <c r="U375" i="9" s="1"/>
  <c r="AA579" i="11"/>
  <c r="U579" i="9" s="1"/>
  <c r="AA639" i="11"/>
  <c r="U639" i="9" s="1"/>
  <c r="AA198" i="11"/>
  <c r="U198" i="9" s="1"/>
  <c r="AA506" i="11"/>
  <c r="U506" i="9" s="1"/>
  <c r="AA362" i="11"/>
  <c r="U362" i="9" s="1"/>
  <c r="AA615" i="11"/>
  <c r="U615" i="9" s="1"/>
  <c r="AA331" i="11"/>
  <c r="U331" i="9" s="1"/>
  <c r="AA194" i="11"/>
  <c r="U194" i="9" s="1"/>
  <c r="T12" i="9"/>
  <c r="AA12" i="11"/>
  <c r="U12" i="9" s="1"/>
  <c r="AA500" i="11"/>
  <c r="U500" i="9" s="1"/>
  <c r="AA384" i="11"/>
  <c r="U384" i="9" s="1"/>
  <c r="AA582" i="11"/>
  <c r="U582" i="9" s="1"/>
  <c r="AA421" i="11"/>
  <c r="U421" i="9" s="1"/>
  <c r="AA455" i="11"/>
  <c r="U455" i="9" s="1"/>
  <c r="AA642" i="11"/>
  <c r="U642" i="9" s="1"/>
  <c r="AA471" i="11"/>
  <c r="U471" i="9" s="1"/>
  <c r="AA568" i="11"/>
  <c r="U568" i="9" s="1"/>
  <c r="AA367" i="11"/>
  <c r="U367" i="9" s="1"/>
  <c r="AA571" i="11"/>
  <c r="U571" i="9" s="1"/>
  <c r="AA490" i="11"/>
  <c r="U490" i="9" s="1"/>
  <c r="AA237" i="11"/>
  <c r="U237" i="9" s="1"/>
  <c r="AA69" i="11"/>
  <c r="U69" i="9" s="1"/>
  <c r="AA216" i="11"/>
  <c r="U216" i="9" s="1"/>
  <c r="AA565" i="11"/>
  <c r="U565" i="9" s="1"/>
  <c r="AA386" i="11"/>
  <c r="U386" i="9" s="1"/>
  <c r="AA487" i="11"/>
  <c r="U487" i="9" s="1"/>
  <c r="AA429" i="11"/>
  <c r="U429" i="9" s="1"/>
  <c r="AA613" i="11"/>
  <c r="U613" i="9" s="1"/>
  <c r="AA484" i="11"/>
  <c r="U484" i="9" s="1"/>
  <c r="AA114" i="11"/>
  <c r="U114" i="9" s="1"/>
  <c r="AA351" i="11"/>
  <c r="U351" i="9" s="1"/>
  <c r="AA518" i="11"/>
  <c r="U518" i="9" s="1"/>
  <c r="AA629" i="11"/>
  <c r="U629" i="9" s="1"/>
  <c r="AA287" i="11"/>
  <c r="U287" i="9" s="1"/>
  <c r="AA132" i="11"/>
  <c r="U132" i="9" s="1"/>
  <c r="AA51" i="11"/>
  <c r="U51" i="9" s="1"/>
  <c r="AA537" i="11"/>
  <c r="U537" i="9" s="1"/>
  <c r="AA458" i="11"/>
  <c r="U458" i="9" s="1"/>
  <c r="AA359" i="11"/>
  <c r="U359" i="9" s="1"/>
  <c r="AA353" i="11"/>
  <c r="U353" i="9" s="1"/>
  <c r="AA68" i="11"/>
  <c r="U68" i="9" s="1"/>
  <c r="AA488" i="11"/>
  <c r="U488" i="9" s="1"/>
  <c r="AA239" i="11"/>
  <c r="U239" i="9" s="1"/>
  <c r="AA373" i="11"/>
  <c r="U373" i="9" s="1"/>
  <c r="AA37" i="11"/>
  <c r="U37" i="9" s="1"/>
  <c r="AA355" i="11"/>
  <c r="U355" i="9" s="1"/>
  <c r="AA110" i="11"/>
  <c r="U110" i="9" s="1"/>
  <c r="AA584" i="11"/>
  <c r="U584" i="9" s="1"/>
  <c r="AA309" i="11"/>
  <c r="U309" i="9" s="1"/>
  <c r="AA449" i="11"/>
  <c r="U449" i="9" s="1"/>
  <c r="AA22" i="11"/>
  <c r="U22" i="9" s="1"/>
  <c r="AA646" i="11"/>
  <c r="U646" i="9" s="1"/>
  <c r="AA481" i="11"/>
  <c r="U481" i="9" s="1"/>
  <c r="AA19" i="11"/>
  <c r="U19" i="9" s="1"/>
  <c r="AA284" i="11"/>
  <c r="U284" i="9" s="1"/>
  <c r="AA82" i="11"/>
  <c r="U82" i="9" s="1"/>
  <c r="AA569" i="11"/>
  <c r="U569" i="9" s="1"/>
  <c r="AA380" i="11"/>
  <c r="U380" i="9" s="1"/>
  <c r="AA167" i="11"/>
  <c r="U167" i="9" s="1"/>
  <c r="AA335" i="11"/>
  <c r="U335" i="9" s="1"/>
  <c r="AA50" i="11"/>
  <c r="U50" i="9" s="1"/>
  <c r="AA282" i="11"/>
  <c r="U282" i="9" s="1"/>
  <c r="AA578" i="11"/>
  <c r="U578" i="9" s="1"/>
  <c r="AA254" i="11"/>
  <c r="U254"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tc={7365E569-1F29-403E-B43F-FD52CB5B72CA}</author>
  </authors>
  <commentList>
    <comment ref="D41" authorId="0" shapeId="0" xr:uid="{7365E569-1F29-403E-B43F-FD52CB5B72CA}">
      <text>
        <t>[Threaded comment]
Your version of Excel allows you to read this threaded comment; however, any edits to it will get removed if the file is opened in a newer version of Excel. Learn more: https://go.microsoft.com/fwlink/?linkid=870924
Comment:
    Originally was 9</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3">
    <bk>
      <extLst>
        <ext uri="{3e2802c4-a4d2-4d8b-9148-e3be6c30e623}">
          <xlrd:rvb i="0"/>
        </ext>
      </extLst>
    </bk>
    <bk>
      <extLst>
        <ext uri="{3e2802c4-a4d2-4d8b-9148-e3be6c30e623}">
          <xlrd:rvb i="1"/>
        </ext>
      </extLst>
    </bk>
    <bk>
      <extLst>
        <ext uri="{3e2802c4-a4d2-4d8b-9148-e3be6c30e623}">
          <xlrd:rvb i="2"/>
        </ext>
      </extLst>
    </bk>
  </futureMetadata>
  <cellMetadata count="1">
    <bk>
      <rc t="1" v="0"/>
    </bk>
  </cellMetadata>
  <valueMetadata count="3">
    <bk>
      <rc t="2" v="0"/>
    </bk>
    <bk>
      <rc t="2" v="1"/>
    </bk>
    <bk>
      <rc t="2" v="2"/>
    </bk>
  </valueMetadata>
</metadata>
</file>

<file path=xl/sharedStrings.xml><?xml version="1.0" encoding="utf-8"?>
<sst xmlns="http://schemas.openxmlformats.org/spreadsheetml/2006/main" count="1507" uniqueCount="437">
  <si>
    <t>MEMBERS</t>
  </si>
  <si>
    <t>PREVIOUS INSURANCE</t>
  </si>
  <si>
    <t>PHYSICAL ADDRESS</t>
  </si>
  <si>
    <t>POSTAL ADDRESS</t>
  </si>
  <si>
    <t>COMMUNICATION</t>
  </si>
  <si>
    <t>EMPLOYEE DETAILS</t>
  </si>
  <si>
    <t>BANKING DETAILS</t>
  </si>
  <si>
    <t>Sales Allocation</t>
  </si>
  <si>
    <t>Member Type</t>
  </si>
  <si>
    <t>First Name</t>
  </si>
  <si>
    <t>Surname</t>
  </si>
  <si>
    <t>Main Member Link ID</t>
  </si>
  <si>
    <t>ID Number</t>
  </si>
  <si>
    <t>Passport Number</t>
  </si>
  <si>
    <t>Date Of Birth</t>
  </si>
  <si>
    <t>Gender</t>
  </si>
  <si>
    <t>Product Option</t>
  </si>
  <si>
    <t>Benefit Name</t>
  </si>
  <si>
    <t>Commencement Date</t>
  </si>
  <si>
    <t>Affordability Status</t>
  </si>
  <si>
    <t>Premium Waiver</t>
  </si>
  <si>
    <t xml:space="preserve">Previous Insurer </t>
  </si>
  <si>
    <t>Previous Insurer Policy Number</t>
  </si>
  <si>
    <t>Previous Insurer Join Date</t>
  </si>
  <si>
    <t>Previous Insurer Cancellation Date</t>
  </si>
  <si>
    <t>Previous Cover Amount</t>
  </si>
  <si>
    <t xml:space="preserve">Address 1 </t>
  </si>
  <si>
    <t>Address 2</t>
  </si>
  <si>
    <t>City</t>
  </si>
  <si>
    <t>Province</t>
  </si>
  <si>
    <t>Country</t>
  </si>
  <si>
    <t>Area Code</t>
  </si>
  <si>
    <t>Postal Address 1</t>
  </si>
  <si>
    <t>Postal Address 2</t>
  </si>
  <si>
    <t>Postal City</t>
  </si>
  <si>
    <t>Postal Province</t>
  </si>
  <si>
    <t>Postal Country</t>
  </si>
  <si>
    <t>Postal Code</t>
  </si>
  <si>
    <t>Telephone</t>
  </si>
  <si>
    <t>Mobile</t>
  </si>
  <si>
    <t>Email</t>
  </si>
  <si>
    <t>Preferred Method Of Communication</t>
  </si>
  <si>
    <t>VAPs Options</t>
  </si>
  <si>
    <t>Annual Increase Option</t>
  </si>
  <si>
    <t>Increase Month</t>
  </si>
  <si>
    <t>Payroll Code</t>
  </si>
  <si>
    <t>Employer</t>
  </si>
  <si>
    <t>Employee Number</t>
  </si>
  <si>
    <t>Department</t>
  </si>
  <si>
    <t>Payment Method</t>
  </si>
  <si>
    <t>Bank</t>
  </si>
  <si>
    <t>Branch Code</t>
  </si>
  <si>
    <t>Account#</t>
  </si>
  <si>
    <t>Account Type</t>
  </si>
  <si>
    <t>Debit Order Day</t>
  </si>
  <si>
    <t>Representative ID</t>
  </si>
  <si>
    <t>Main Member</t>
  </si>
  <si>
    <t>Female</t>
  </si>
  <si>
    <t>My Value Plus Life</t>
  </si>
  <si>
    <t>Affordable</t>
  </si>
  <si>
    <t>Death only - 5 years</t>
  </si>
  <si>
    <t>August</t>
  </si>
  <si>
    <t>CAPITEC</t>
  </si>
  <si>
    <t>Savings Account</t>
  </si>
  <si>
    <t>Spouse</t>
  </si>
  <si>
    <t>None</t>
  </si>
  <si>
    <t>Beneficiary</t>
  </si>
  <si>
    <t>Roles</t>
  </si>
  <si>
    <t>Communication</t>
  </si>
  <si>
    <t>Binary Choice</t>
  </si>
  <si>
    <t>Month</t>
  </si>
  <si>
    <t>Banks</t>
  </si>
  <si>
    <t>Previous Insurer</t>
  </si>
  <si>
    <t>Affordability</t>
  </si>
  <si>
    <t>VAPs Option</t>
  </si>
  <si>
    <t>VAPs Amount</t>
  </si>
  <si>
    <t>Premium Waiver Option</t>
  </si>
  <si>
    <t>Yes</t>
  </si>
  <si>
    <t>January</t>
  </si>
  <si>
    <t>ABSA</t>
  </si>
  <si>
    <t>Cheque Account</t>
  </si>
  <si>
    <t>African Unity Life</t>
  </si>
  <si>
    <t>SMS</t>
  </si>
  <si>
    <t>No increase</t>
  </si>
  <si>
    <t>No</t>
  </si>
  <si>
    <t>February</t>
  </si>
  <si>
    <t>AFRICAN BANK</t>
  </si>
  <si>
    <t>Credit Card Account</t>
  </si>
  <si>
    <t>Alexander Forbes</t>
  </si>
  <si>
    <t>Male</t>
  </si>
  <si>
    <t>My Value Plus Life &amp; Funeral</t>
  </si>
  <si>
    <t>Corporate Stop Order</t>
  </si>
  <si>
    <t>Child</t>
  </si>
  <si>
    <t>Post</t>
  </si>
  <si>
    <t>March</t>
  </si>
  <si>
    <t>BIDVEST BANK</t>
  </si>
  <si>
    <t>Current Account</t>
  </si>
  <si>
    <t>Assupol</t>
  </si>
  <si>
    <t>Not Affordable</t>
  </si>
  <si>
    <t>Debit Order</t>
  </si>
  <si>
    <t>Retirement only - 5 years</t>
  </si>
  <si>
    <t>Parent</t>
  </si>
  <si>
    <t>April</t>
  </si>
  <si>
    <t>Brightrock Life Limited</t>
  </si>
  <si>
    <t>Death and Retirement - 5 years</t>
  </si>
  <si>
    <t>Extended</t>
  </si>
  <si>
    <t>May</t>
  </si>
  <si>
    <t>DISCOVERY BANK LTD</t>
  </si>
  <si>
    <t>Transmission Account</t>
  </si>
  <si>
    <t>Centriq Life Insurance</t>
  </si>
  <si>
    <t>Death only - 10 years</t>
  </si>
  <si>
    <t>June</t>
  </si>
  <si>
    <t>FNB</t>
  </si>
  <si>
    <t>Clientele</t>
  </si>
  <si>
    <t>Retirement only - 10 years</t>
  </si>
  <si>
    <t>July</t>
  </si>
  <si>
    <t>ITHALA BANK</t>
  </si>
  <si>
    <t>Dignity Group</t>
  </si>
  <si>
    <t>Death and Retirement - 10 years</t>
  </si>
  <si>
    <t>NEDBANK</t>
  </si>
  <si>
    <t>Ditiro Group Funeral Administrator</t>
  </si>
  <si>
    <t>September</t>
  </si>
  <si>
    <t>OLD MUTUAL BANK</t>
  </si>
  <si>
    <t>Hollard Life</t>
  </si>
  <si>
    <t>October</t>
  </si>
  <si>
    <t>POST BANK</t>
  </si>
  <si>
    <t>KGA Life</t>
  </si>
  <si>
    <t>November</t>
  </si>
  <si>
    <t>STANDARD BANK</t>
  </si>
  <si>
    <t>Liberty</t>
  </si>
  <si>
    <t>December</t>
  </si>
  <si>
    <t>TYMEBANK</t>
  </si>
  <si>
    <t>Merritt Administrators</t>
  </si>
  <si>
    <t>UBANK</t>
  </si>
  <si>
    <t>Metropolitan</t>
  </si>
  <si>
    <t>VBS MUTUAL BANK</t>
  </si>
  <si>
    <t>Old Mutual</t>
  </si>
  <si>
    <t>Old Mutual Life Assurance Company</t>
  </si>
  <si>
    <t>Prosper Funeral Solutions</t>
  </si>
  <si>
    <t>Safrican Insurance Company</t>
  </si>
  <si>
    <t>Sanlam</t>
  </si>
  <si>
    <t>Important Quoting Notes</t>
  </si>
  <si>
    <t>Do not edit</t>
  </si>
  <si>
    <t>Dropdowns - Please don’t edit</t>
  </si>
  <si>
    <t>Commencement date</t>
  </si>
  <si>
    <t>Table lookups</t>
  </si>
  <si>
    <t>Life cover</t>
  </si>
  <si>
    <t xml:space="preserve">Funeral table </t>
  </si>
  <si>
    <t>Main member</t>
  </si>
  <si>
    <t>Waiver column</t>
  </si>
  <si>
    <t>Inputs</t>
  </si>
  <si>
    <t>Main member and Spouse</t>
  </si>
  <si>
    <t>Product selected</t>
  </si>
  <si>
    <t>Life cover only</t>
  </si>
  <si>
    <t>VAS benefit selected</t>
  </si>
  <si>
    <t>Compulsory only</t>
  </si>
  <si>
    <t xml:space="preserve">Life cover </t>
  </si>
  <si>
    <t>Is this replacement business</t>
  </si>
  <si>
    <t xml:space="preserve">Funeral </t>
  </si>
  <si>
    <t>table lookups</t>
  </si>
  <si>
    <t>Funeral plan</t>
  </si>
  <si>
    <t>Main member only</t>
  </si>
  <si>
    <t>MM</t>
  </si>
  <si>
    <t>Annual increase option</t>
  </si>
  <si>
    <t>Column Index</t>
  </si>
  <si>
    <t>Main member &amp; Child</t>
  </si>
  <si>
    <t>MM_CH</t>
  </si>
  <si>
    <t>Premium waiver decrement and term</t>
  </si>
  <si>
    <t>Main member &amp; Spouse</t>
  </si>
  <si>
    <t>MM_SP</t>
  </si>
  <si>
    <t>Main member &amp; Spouse &amp; Child</t>
  </si>
  <si>
    <t>MM_SP_CH</t>
  </si>
  <si>
    <t>LIFE COVER</t>
  </si>
  <si>
    <t>Date of Birth</t>
  </si>
  <si>
    <t>Upper bound for age</t>
  </si>
  <si>
    <t>Table look up</t>
  </si>
  <si>
    <t xml:space="preserve">Fixed rate </t>
  </si>
  <si>
    <t>MM_LIFE</t>
  </si>
  <si>
    <t>SP_LIFE</t>
  </si>
  <si>
    <t>Premium waiver decrement</t>
  </si>
  <si>
    <t>Products selected</t>
  </si>
  <si>
    <t>FUNERAL COVER</t>
  </si>
  <si>
    <t>Funeral table</t>
  </si>
  <si>
    <t>Life cover and Funeral rider benefit</t>
  </si>
  <si>
    <t>VAS benefits</t>
  </si>
  <si>
    <t>Parents</t>
  </si>
  <si>
    <t xml:space="preserve">Compulsory and Optional </t>
  </si>
  <si>
    <t>Parent 1</t>
  </si>
  <si>
    <t>Par</t>
  </si>
  <si>
    <t>Parent 2</t>
  </si>
  <si>
    <t>Parent 3</t>
  </si>
  <si>
    <t>Parent 4</t>
  </si>
  <si>
    <t>Extended family member 1</t>
  </si>
  <si>
    <t>Ext</t>
  </si>
  <si>
    <t>Extended family member 2</t>
  </si>
  <si>
    <t>Extended family member 3</t>
  </si>
  <si>
    <t>Key</t>
  </si>
  <si>
    <t>Column Index (Funeral)</t>
  </si>
  <si>
    <t>Column Index (Life)</t>
  </si>
  <si>
    <t>Extended family member 4</t>
  </si>
  <si>
    <t>No waiver</t>
  </si>
  <si>
    <t>Extended family member 5</t>
  </si>
  <si>
    <t>Waiv_Dth_5</t>
  </si>
  <si>
    <t>Extended family member 6</t>
  </si>
  <si>
    <t>Waiv_Ret_5</t>
  </si>
  <si>
    <t>Extended family member 7</t>
  </si>
  <si>
    <t>Waiv_Dth_Ret_5</t>
  </si>
  <si>
    <t>Extended family member 8</t>
  </si>
  <si>
    <t>Waiv_Dth_10</t>
  </si>
  <si>
    <t>Extended family member 9</t>
  </si>
  <si>
    <t>Waiv_Ret_10</t>
  </si>
  <si>
    <t>Extended family member 10</t>
  </si>
  <si>
    <t>Waiv_Dth_Ret_10</t>
  </si>
  <si>
    <t>EuropAssist Premium</t>
  </si>
  <si>
    <t>Total premium</t>
  </si>
  <si>
    <t>Life product</t>
  </si>
  <si>
    <t>Loadings for Waivers</t>
  </si>
  <si>
    <t>Note: For death waiver for MM it is set equal to no waiver rate</t>
  </si>
  <si>
    <t xml:space="preserve">Age </t>
  </si>
  <si>
    <t>Age band</t>
  </si>
  <si>
    <t>lower age</t>
  </si>
  <si>
    <t>upper age</t>
  </si>
  <si>
    <t>Fixed amount</t>
  </si>
  <si>
    <t>Rate per R1000</t>
  </si>
  <si>
    <t>18-25</t>
  </si>
  <si>
    <t>26-35</t>
  </si>
  <si>
    <t>36-45</t>
  </si>
  <si>
    <t>46-50</t>
  </si>
  <si>
    <t>51-55</t>
  </si>
  <si>
    <t>56-60</t>
  </si>
  <si>
    <t>61-65</t>
  </si>
  <si>
    <t>66-70</t>
  </si>
  <si>
    <t>71-75</t>
  </si>
  <si>
    <t>MM &amp; Child</t>
  </si>
  <si>
    <t>MM&amp;Spouse</t>
  </si>
  <si>
    <t>MM&amp;Spouse&amp;Child</t>
  </si>
  <si>
    <t>Extended family</t>
  </si>
  <si>
    <t>0-17</t>
  </si>
  <si>
    <t>25-35</t>
  </si>
  <si>
    <t>76-80</t>
  </si>
  <si>
    <t>81-85</t>
  </si>
  <si>
    <t>Formula based rates</t>
  </si>
  <si>
    <t>Death waiver 5 years</t>
  </si>
  <si>
    <t>Death waiver 10 years</t>
  </si>
  <si>
    <t>Retirement waiver 5 years</t>
  </si>
  <si>
    <t>Retirement waiver 10 years</t>
  </si>
  <si>
    <t>Death and Retirement waiver 5 years</t>
  </si>
  <si>
    <t>Death and Retirement waiver 10 years</t>
  </si>
  <si>
    <t>Cover amount</t>
  </si>
  <si>
    <t>Age Band</t>
  </si>
  <si>
    <t>Death Waiver loading</t>
  </si>
  <si>
    <t>Retirement Waiver loading</t>
  </si>
  <si>
    <t>Waiver loading</t>
  </si>
  <si>
    <t xml:space="preserve">No waiver option </t>
  </si>
  <si>
    <t>Death &amp; Retirement waiver 5 years</t>
  </si>
  <si>
    <t>Death &amp; Retirement waiver 10 years</t>
  </si>
  <si>
    <t>Funeral rider benefit</t>
  </si>
  <si>
    <t>Age</t>
  </si>
  <si>
    <t>Office Premium</t>
  </si>
  <si>
    <t>35-45</t>
  </si>
  <si>
    <t>Funeral Cover Amount</t>
  </si>
  <si>
    <t>Life Cover Amount</t>
  </si>
  <si>
    <t>Beneficiary Details</t>
  </si>
  <si>
    <t>Rate per R1,000</t>
  </si>
  <si>
    <t>Compulsory Only (R 1.53)</t>
  </si>
  <si>
    <t>FUNERAL COVER (Extended Members)</t>
  </si>
  <si>
    <t>FUNERAL COVER (Parents)</t>
  </si>
  <si>
    <t>Quoted Premium Amount</t>
  </si>
  <si>
    <t>My Value Plus Quotation Tool</t>
  </si>
  <si>
    <t>Input Cells</t>
  </si>
  <si>
    <t>How to Use this Tool</t>
  </si>
  <si>
    <t>Output Cells</t>
  </si>
  <si>
    <t>Not applicable</t>
  </si>
  <si>
    <t>Clear out any values in this cell before starting a quote</t>
  </si>
  <si>
    <t>Individual Calculations</t>
  </si>
  <si>
    <t>Check Sum Assured</t>
  </si>
  <si>
    <t>Age Next Birthday</t>
  </si>
  <si>
    <t>Table Lookup for Life Cover</t>
  </si>
  <si>
    <t>Table Lookup for Funeral</t>
  </si>
  <si>
    <t>EuropAssist Optional benefits premium</t>
  </si>
  <si>
    <t>EuropAssist Compulsory benefits premium</t>
  </si>
  <si>
    <t>END</t>
  </si>
  <si>
    <t>Life Premium</t>
  </si>
  <si>
    <t>Funeral Premium</t>
  </si>
  <si>
    <t>Product Details</t>
  </si>
  <si>
    <t>(select Gender from list)</t>
  </si>
  <si>
    <t>(select Role from list)</t>
  </si>
  <si>
    <t>(key in Member's Name)</t>
  </si>
  <si>
    <t>(key in Main Member's ID / Passport No. for all selected Roles)</t>
  </si>
  <si>
    <t>(key in Member's Identification No.)</t>
  </si>
  <si>
    <t>(select Product from list)</t>
  </si>
  <si>
    <t>(select type of benefit from list)</t>
  </si>
  <si>
    <t>(select type of Premium Waiver from list)</t>
  </si>
  <si>
    <t>(select category of VAPs from list)</t>
  </si>
  <si>
    <t>(select from list)</t>
  </si>
  <si>
    <t>(key in the expected distributed portion of the cover amount to the beneficiaries upon death of the main member)</t>
  </si>
  <si>
    <t>(Can the client afford the quoted premium amount?)</t>
  </si>
  <si>
    <t>(select company name from list)</t>
  </si>
  <si>
    <t>(key in details)</t>
  </si>
  <si>
    <t>(key in Str No. &amp; Name)</t>
  </si>
  <si>
    <t>(key in Suburb)</t>
  </si>
  <si>
    <t>(key in Postal Code)</t>
  </si>
  <si>
    <t>(key in P.O. Box or Private Bag)</t>
  </si>
  <si>
    <t>(key in Area Code)</t>
  </si>
  <si>
    <t>(select comm method from list)</t>
  </si>
  <si>
    <t>Validation check for Life Cover Amount</t>
  </si>
  <si>
    <t>Validation check for Funeral Cover Amount</t>
  </si>
  <si>
    <t>Quick Guide to the Product Details</t>
  </si>
  <si>
    <t>Quick Guide to completing the My Value Plus Onboarding Sheet</t>
  </si>
  <si>
    <t>(key in funeral cover amount)</t>
  </si>
  <si>
    <t>(key in life cover amount)</t>
  </si>
  <si>
    <t>Product Option1</t>
  </si>
  <si>
    <t>Product Option2</t>
  </si>
  <si>
    <t>Benefit Option1</t>
  </si>
  <si>
    <t>Benefit Option2</t>
  </si>
  <si>
    <t>Benefit Option3</t>
  </si>
  <si>
    <t>Benefit Option4</t>
  </si>
  <si>
    <t>Premium Waiver Selection</t>
  </si>
  <si>
    <t>Life Rate per 1,000</t>
  </si>
  <si>
    <t>Funeral Rate per 1,000</t>
  </si>
  <si>
    <t>Life Fixed Rate</t>
  </si>
  <si>
    <t>Premium (excl. VAPs)</t>
  </si>
  <si>
    <t>Total Premium (inc. Funeral premium under Main Member and excl. VAPs)</t>
  </si>
  <si>
    <t>Funeral Benefit % split</t>
  </si>
  <si>
    <t>Select from Drop Down List</t>
  </si>
  <si>
    <t>Insert date in this format: DD/MM/YYYY</t>
  </si>
  <si>
    <t>Cover Type</t>
  </si>
  <si>
    <t>Life cover (per life)</t>
  </si>
  <si>
    <t>Main Member &amp; Spouse</t>
  </si>
  <si>
    <t>Funeral Cover (per life)</t>
  </si>
  <si>
    <t>Stillborn Child</t>
  </si>
  <si>
    <t>Age Next Birthday (ANB)</t>
  </si>
  <si>
    <t>Cover Amount</t>
  </si>
  <si>
    <t>ANB - Main member</t>
  </si>
  <si>
    <t>ANB - Parents</t>
  </si>
  <si>
    <t>ANB - Extended family</t>
  </si>
  <si>
    <t>Life - Main Member</t>
  </si>
  <si>
    <t>Life - Spouse</t>
  </si>
  <si>
    <t>No Premium</t>
  </si>
  <si>
    <t>Premium</t>
  </si>
  <si>
    <t>Funeral - Main Member &amp; Spouse &amp; Child</t>
  </si>
  <si>
    <t>Funeral - Main Member &amp; Spouse</t>
  </si>
  <si>
    <t>Funeral - Main Member &amp; Child</t>
  </si>
  <si>
    <t>Funeral - Parent</t>
  </si>
  <si>
    <t>Funeral - Extended</t>
  </si>
  <si>
    <t>Life &amp; Funeral - Main Member</t>
  </si>
  <si>
    <t>Life &amp; Funeral - Main Member &amp; Spouse</t>
  </si>
  <si>
    <t>Life &amp; Funeral - Main Member &amp; Child</t>
  </si>
  <si>
    <t>Life &amp; Funeral - Main Member &amp; Spouse &amp; Child</t>
  </si>
  <si>
    <t>Life with no Funeral</t>
  </si>
  <si>
    <t>Benefit Option</t>
  </si>
  <si>
    <t>LIFE LOOKUP</t>
  </si>
  <si>
    <t>FUNERAL LOOKUP</t>
  </si>
  <si>
    <t>Ind Premium Population</t>
  </si>
  <si>
    <t>Do Not Move any of these tables</t>
  </si>
  <si>
    <t>(key in DOB in this format yyyy-mm-dd)</t>
  </si>
  <si>
    <t>(key in Cover Start Date in this format yyyy-mm-dd)</t>
  </si>
  <si>
    <t>(key in date in this format yyyy-mm-dd)</t>
  </si>
  <si>
    <t>Life Benefit  Percentage Split</t>
  </si>
  <si>
    <t>Main Member funeral cover amount</t>
  </si>
  <si>
    <t>R20,000 or 25% of Main Member funeral cover amount,
whichever is lower</t>
  </si>
  <si>
    <t>R50,000 or 50% of Main Member funeral cover amount,
whichever is lower</t>
  </si>
  <si>
    <t>Minimum Cover Amount</t>
  </si>
  <si>
    <t>Maximum Cover Amount</t>
  </si>
  <si>
    <t>The Life cover amount for Spouse cannot exceed the Life cover amount of the Main Member</t>
  </si>
  <si>
    <t>Waiver benefit can only be taken out if the Main Member is younger than 56 at Age Next Birthday</t>
  </si>
  <si>
    <t>Member Count</t>
  </si>
  <si>
    <t>Max No. of Lives</t>
  </si>
  <si>
    <t>Member Type Count</t>
  </si>
  <si>
    <t>Compulsory and Optional (R 9.13)</t>
  </si>
  <si>
    <t>Policy Number</t>
  </si>
  <si>
    <t>To be completed for existing policies only</t>
  </si>
  <si>
    <t>Government Salary Deduction</t>
  </si>
  <si>
    <t>Government Salary Deduction (DOD)</t>
  </si>
  <si>
    <t>Government Salary Deduction (BMA)</t>
  </si>
  <si>
    <t>Applicable Funeral Cover Amount</t>
  </si>
  <si>
    <t>Funeral Benefit &amp; Accidental Death Income Benefit Percentage Split</t>
  </si>
  <si>
    <t>Increase Option</t>
  </si>
  <si>
    <t>(auto populated -DO NOT EDIT-)</t>
  </si>
  <si>
    <t>Funeral Fixed Rate</t>
  </si>
  <si>
    <t xml:space="preserve"> </t>
  </si>
  <si>
    <t>R75,000 or Main Member funeral cover amount, whichever is lower</t>
  </si>
  <si>
    <t>Column Index (Rate)</t>
  </si>
  <si>
    <t>Column Index (Fixed)</t>
  </si>
  <si>
    <t>MVP_v1</t>
  </si>
  <si>
    <t>(premium is populated automatically)
-DO NOT EDIT-</t>
  </si>
  <si>
    <t>For replacement business the maximum entry age for the death waiver is 75 at Age Next Birthday</t>
  </si>
  <si>
    <t>R50,000 or 100% of Main Member funeral cover amount,
whichever is lower</t>
  </si>
  <si>
    <t>Child and Extended
(of Age Next Birthday between 1 and 6 years old)</t>
  </si>
  <si>
    <t>Child and Extended
(of Age Next Birthday between 7 and 14 years old)</t>
  </si>
  <si>
    <t>Child and Extended
(of Age Next Birthday between 15 and 21 years old)</t>
  </si>
  <si>
    <t>Parent and Extended 
(of Age Next Birthday greater than 21 years old)</t>
  </si>
  <si>
    <r>
      <t>1. The My Value Plus Life is available to the Main Member and Spouse.
2. The My Value Plus Life and Funeral is available to the Main Member and Spouse (for both Life and Funeral cover) and to the Child, Parent and Extended (for Funeral cover only).
3.</t>
    </r>
    <r>
      <rPr>
        <b/>
        <sz val="11"/>
        <color theme="8"/>
        <rFont val="Aptos Narrow"/>
        <family val="2"/>
        <scheme val="minor"/>
      </rPr>
      <t xml:space="preserve"> </t>
    </r>
    <r>
      <rPr>
        <b/>
        <sz val="11"/>
        <color rgb="FF660033"/>
        <rFont val="Aptos Narrow"/>
        <family val="2"/>
        <scheme val="minor"/>
      </rPr>
      <t>Life cover starts from a minimum of R50,000 and up to a maximum of R500,000 per life. The cover for Spouse cannot exceed the Main Member's Life cover amount.</t>
    </r>
    <r>
      <rPr>
        <b/>
        <sz val="11"/>
        <color theme="8"/>
        <rFont val="Aptos Narrow"/>
        <family val="2"/>
        <scheme val="minor"/>
      </rPr>
      <t xml:space="preserve">
</t>
    </r>
    <r>
      <rPr>
        <sz val="11"/>
        <color theme="8"/>
        <rFont val="Aptos Narrow"/>
        <family val="2"/>
        <scheme val="minor"/>
      </rPr>
      <t xml:space="preserve">
</t>
    </r>
    <r>
      <rPr>
        <sz val="11"/>
        <color rgb="FF0000FF"/>
        <rFont val="Aptos Narrow"/>
        <family val="2"/>
        <scheme val="minor"/>
      </rPr>
      <t>4.</t>
    </r>
    <r>
      <rPr>
        <b/>
        <sz val="11"/>
        <color theme="8"/>
        <rFont val="Aptos Narrow"/>
        <family val="2"/>
        <scheme val="minor"/>
      </rPr>
      <t xml:space="preserve"> </t>
    </r>
    <r>
      <rPr>
        <b/>
        <sz val="11"/>
        <color rgb="FF660033"/>
        <rFont val="Aptos Narrow"/>
        <family val="2"/>
        <scheme val="minor"/>
      </rPr>
      <t xml:space="preserve">Funeral cover starts from a minimum of R10,000 (for all Member Type) and should not exceed the Main Member's Funeral cover amount, up to a maximum of: 
a) R150,000 per life (for Main Member and Spouse);
b) R75,000 per life (for Parent and Extended where Age Next Birthday is greater than </t>
    </r>
    <r>
      <rPr>
        <sz val="11"/>
        <color rgb="FF0000FF"/>
        <rFont val="Aptos Narrow"/>
        <family val="2"/>
        <scheme val="minor"/>
      </rPr>
      <t>21</t>
    </r>
    <r>
      <rPr>
        <b/>
        <sz val="11"/>
        <color rgb="FF660033"/>
        <rFont val="Aptos Narrow"/>
        <family val="2"/>
        <scheme val="minor"/>
      </rPr>
      <t xml:space="preserve"> years old);
c) 100% of Main Member's funeral cover amount up to a max of R50,000 per life (for Child and Extended where Age Next Birthday between 15 and 21 years old);
d) 50% of Main Member's funeral cover amount up to a max of R50,000 per life (for Child and Extended where Age Next Birthday between 7 and 14 years old);
e) 25% of Main Member's funeral cover amount up to a max of R20,000 per life (for Child and Extended where Age Next Birthday between 1 and 6 years);
f) 12.5% of Main Member's funeral cover amount up to a max of  R12,500 (for Stillborn Child - this is an automatic feature on the Main Member's cover).</t>
    </r>
    <r>
      <rPr>
        <b/>
        <sz val="11"/>
        <color rgb="FF0000FF"/>
        <rFont val="Aptos Narrow"/>
        <family val="2"/>
        <scheme val="minor"/>
      </rPr>
      <t xml:space="preserve">
</t>
    </r>
    <r>
      <rPr>
        <sz val="11"/>
        <color rgb="FF0000FF"/>
        <rFont val="Aptos Narrow"/>
        <family val="2"/>
        <scheme val="minor"/>
      </rPr>
      <t xml:space="preserve">
5. There is no underwriting for this product.
6. Age is derived as Age Next Birthday calculated based on the Commencement Date and Date of Birth of the member.
7. Premiums for Life cover is calculated based on the age of the Main Member and Spouse, respectively. Premiums for Funeral cover is calculated based on the age of the Main Member and differs based on the benefit option chosen (i.e. where a Spouse and/or Child is included for funeral cover). Funeral cover premiums for Parent and Extended members are calculated separately based on the age of the individual member.
8. Premium Waiver options (see list provided in the Onboarding sheet) are available to the Main Member under this product with an additional premium payable for this benefit. The Death premium waiver waives the premiums for Spouse and Child for a selected term upon death of the Main Member whilst the Retirement waiver waives the premiums for Spouse and Child for a selected term upon the Main Member reaching the retirement age. The selected term can be either 5 or 10 years and is subject to a waiting period. 
Waiver benefit can only be taken out if the Main Member is younger than 56 at age next birthday. For replacement business the maximum entry age for the death waiver is 75 at Age Next Birthday.
9. VAPs are the value-added services (i.e. body repatriation, grocery, airtime, wills and tax benefits) that are compulsory (with further options) for this product at an additional fee. This is included in the Total Premium amount of the Main Member. Any chosen option to have a Premium Waiver benefit under this product will not waive the fee for the value-added services.
10. Income Benefit upon Accidental Death of the Main Member and Premium Cashback are embedded benefits of this product at no additional premium. 
a) The Accidental Death Income benefit is set at R1,000 monthly for 12 months.
b) Premium Cashback is every January following the 1st policy anniversary.
11. Annual increase is optional. A selection of 5% or 7% is offered under this product. The selected annual increment % is applied annually on the premium and cover amount of all members under a policy and ceases when the Main Member reaches age next birthday of 66 years old. </t>
    </r>
  </si>
  <si>
    <r>
      <t>1. Kindly ensure that you do not skip a row.
2. Always start with the Main Member followed by --&gt; Spouse --&gt; Child --&gt; Parent --&gt; Extended --&gt; Beneficiary.
3. Indicate the client type (Member Type) by choosing from the list in column (B).
4. Maximum number of lives per Member Type:
a) Main Member - 1 life
b) Spouse - 1 life
c) Child - 6 lives (from the 7th child onwards please add them as part of the Extended member type)
d) Parent - 4 lives
e) Extended - 10 lives
f) Beneficiaries - 6 lives
5. Always indicate the Main Member Link ID (ID or Passport Number) in column (E) for all Member Type linked to the Main Member.
6. Always add a member ID Number in column (F) or Passport Number in column (G).
7. Always capture a Date of Birth in column (H) and a Commencement Date in column (J). This will determine the correct Age Next Birthday for premium calculations.
8. Product Details are captured from the selections made from the list provided in each cells of columns (K-O).
9. Insert the required Cover Amount in columns (Q-R) taking note of the specific limitations shown in the cells of these columns.
10.</t>
    </r>
    <r>
      <rPr>
        <b/>
        <sz val="11"/>
        <color rgb="FF0000FF"/>
        <rFont val="Aptos Narrow"/>
        <family val="2"/>
        <scheme val="minor"/>
      </rPr>
      <t xml:space="preserve"> </t>
    </r>
    <r>
      <rPr>
        <b/>
        <sz val="11"/>
        <color rgb="FF660033"/>
        <rFont val="Aptos Narrow"/>
        <family val="2"/>
        <scheme val="minor"/>
      </rPr>
      <t>Column (BF) populates the allowable Funeral Cover Amount based on the Member Type that is linked to the Main Member. Please refer to this column when deciding on the funeral sum cover amount.</t>
    </r>
    <r>
      <rPr>
        <sz val="11"/>
        <color rgb="FF0000FF"/>
        <rFont val="Aptos Narrow"/>
        <family val="2"/>
        <scheme val="minor"/>
      </rPr>
      <t xml:space="preserve">
11. Always add a Beneficiary for every Main Member and input the benefit % split for every beneficiary in columns (V-W). 
12. The Funeral Cover Amount and the Accidental Death Income Benefit will only be paid to one Beneficiary (with no split %) i.e. insert 100% in column (W). 
13. The Life cover can have any number of beneficiaries, please ensure each split % in column (V) sums up to 100% for every policy of a Main Member. 
14. Indicate a Preferred Method of Communication by choosing from the list in column (AS).
15. Spouse and Children's details must be captured individually although the funeral benefit premium is calculated under the Main Member's selected benefit option.
16. Parent and Extended premiums are independent of the Main Member's age or cover amount.
17. Premiums are auto-populated in column (S) for Life, in column (T) for Funeral and column (U) sums the two premiums as the Total Premium excluding the VAPs amount. </t>
    </r>
  </si>
  <si>
    <t>Commencedate Validity</t>
  </si>
  <si>
    <t>NEL</t>
  </si>
  <si>
    <t>19072082</t>
  </si>
  <si>
    <t>Bundle</t>
  </si>
  <si>
    <t>Oledy</t>
  </si>
  <si>
    <t>Nepal</t>
  </si>
  <si>
    <t>Bobrus</t>
  </si>
  <si>
    <t>1966-01-01</t>
  </si>
  <si>
    <t>1973-01-01</t>
  </si>
  <si>
    <t>895-58584</t>
  </si>
  <si>
    <t>RMA</t>
  </si>
  <si>
    <t>IT</t>
  </si>
  <si>
    <t>1455098026</t>
  </si>
  <si>
    <t>SAVINGS</t>
  </si>
  <si>
    <t/>
  </si>
  <si>
    <t>8801215275085</t>
  </si>
  <si>
    <t>Ben</t>
  </si>
  <si>
    <t>two</t>
  </si>
  <si>
    <t>New</t>
  </si>
  <si>
    <t>Amend</t>
  </si>
  <si>
    <t>1991-01-01</t>
  </si>
  <si>
    <t>new</t>
  </si>
  <si>
    <t>address</t>
  </si>
  <si>
    <t>city</t>
  </si>
  <si>
    <t>province</t>
  </si>
  <si>
    <t>country</t>
  </si>
  <si>
    <t>postal</t>
  </si>
  <si>
    <t>pcity</t>
  </si>
  <si>
    <t>pprovince</t>
  </si>
  <si>
    <t>pcountry</t>
  </si>
  <si>
    <t>pcode</t>
  </si>
  <si>
    <t>0678978998</t>
  </si>
  <si>
    <t>abalusu@randmutual.co.za</t>
  </si>
  <si>
    <t>JOHN</t>
  </si>
  <si>
    <t>Doe</t>
  </si>
  <si>
    <t>DOE</t>
  </si>
  <si>
    <t>WIFES</t>
  </si>
  <si>
    <t>9403175116182</t>
  </si>
  <si>
    <t>9403178781081</t>
  </si>
  <si>
    <t>9403179351181</t>
  </si>
  <si>
    <t>9403175705083</t>
  </si>
  <si>
    <t>9403178301187</t>
  </si>
  <si>
    <t>1984-03-07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</si>
</sst>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164" formatCode="_(* #,##0.00_);_(* \(#,##0.00\);_(* &quot;-&quot;??_);_(@_)"/>
    <numFmt numFmtId="165" formatCode="&quot;R&quot;#,##0_);[Red]\(&quot;R&quot;#,##0\)"/>
    <numFmt numFmtId="166" formatCode="_(&quot;R&quot;* #,##0_);_(&quot;R&quot;* \(#,##0\);_(&quot;R&quot;* &quot;-&quot;_);_(@_)"/>
    <numFmt numFmtId="167" formatCode="_(&quot;R&quot;* #,##0.00_);_(&quot;R&quot;* \(#,##0.00\);_(&quot;R&quot;* &quot;-&quot;??_);_(@_)"/>
    <numFmt numFmtId="168" formatCode="_-* #,##0_-;\-* #,##0_-;_-* &quot;-&quot;??_-;_-@_-"/>
    <numFmt numFmtId="169" formatCode="_-* #,##0.0000_-;\-* #,##0.0000_-;_-* &quot;-&quot;??_-;_-@_-"/>
    <numFmt numFmtId="170" formatCode="_(* #,##0_);_(* \(#,##0\);_(* &quot;-&quot;??_);_(@_)"/>
    <numFmt numFmtId="171" formatCode="0.0%"/>
    <numFmt numFmtId="172" formatCode="_-&quot;R&quot;* #,##0_-;\-&quot;R&quot;* #,##0_-;_-&quot;R&quot;* &quot;-&quot;??_-;_-@_-"/>
    <numFmt numFmtId="173" formatCode="0.00000000"/>
    <numFmt numFmtId="174" formatCode="0.000000"/>
    <numFmt numFmtId="175" formatCode="#,##0.000000_ ;\-#,##0.000000\ "/>
    <numFmt numFmtId="176" formatCode="dd\/mm\/yyyy"/>
    <numFmt numFmtId="177" formatCode="yyyy\-mm\-dd"/>
    <numFmt numFmtId="178" formatCode="&quot;R&quot;#,##0.00"/>
    <numFmt numFmtId="179" formatCode="yyyy\/mm\/dd"/>
    <numFmt numFmtId="180" formatCode="&quot;R&quot;#,##0"/>
    <numFmt numFmtId="181" formatCode="_(&quot;R&quot;* #,##0.000_);_(&quot;R&quot;* \(#,##0.000\);_(&quot;R&quot;* &quot;-&quot;??_);_(@_)"/>
    <numFmt numFmtId="182" formatCode="_-* #,##0.000_-;\-* #,##0.000_-;_-* &quot;-&quot;??_-;_-@_-"/>
    <numFmt numFmtId="183" formatCode="_-* #,##0.00000000_-;\-* #,##0.00000000_-;_-* &quot;-&quot;??_-;_-@_-"/>
    <numFmt numFmtId="184" formatCode="_(* #,##0.00000000_);_(* \(#,##0.00000000\);_(* &quot;-&quot;??_);_(@_)"/>
  </numFmts>
  <fonts count="46" x14ac:knownFonts="1">
    <font>
      <sz val="11"/>
      <color theme="1"/>
      <name val="Aptos Narrow"/>
      <family val="2"/>
      <scheme val="minor"/>
    </font>
    <font>
      <sz val="11"/>
      <color theme="1"/>
      <name val="Aptos Narrow"/>
      <family val="2"/>
      <scheme val="minor"/>
    </font>
    <font>
      <b/>
      <sz val="11"/>
      <color theme="1"/>
      <name val="Aptos Narrow"/>
      <family val="2"/>
      <scheme val="minor"/>
    </font>
    <font>
      <sz val="11"/>
      <name val="Aptos Narrow"/>
      <family val="2"/>
      <scheme val="minor"/>
    </font>
    <font>
      <sz val="8"/>
      <name val="Aptos Narrow"/>
      <family val="2"/>
      <scheme val="minor"/>
    </font>
    <font>
      <b/>
      <sz val="12"/>
      <color theme="1"/>
      <name val="Aptos Narrow"/>
      <family val="2"/>
      <scheme val="minor"/>
    </font>
    <font>
      <b/>
      <sz val="14"/>
      <color theme="0"/>
      <name val="Aptos Narrow"/>
      <family val="2"/>
      <scheme val="minor"/>
    </font>
    <font>
      <sz val="11"/>
      <color rgb="FF9C5700"/>
      <name val="Aptos Narrow"/>
      <family val="2"/>
      <scheme val="minor"/>
    </font>
    <font>
      <sz val="11"/>
      <color rgb="FF660033"/>
      <name val="Aptos Narrow"/>
      <family val="2"/>
      <scheme val="minor"/>
    </font>
    <font>
      <sz val="11"/>
      <color theme="0"/>
      <name val="Aptos Narrow"/>
      <family val="2"/>
      <scheme val="minor"/>
    </font>
    <font>
      <b/>
      <sz val="14"/>
      <color theme="1"/>
      <name val="Aptos Narrow"/>
      <family val="2"/>
      <scheme val="minor"/>
    </font>
    <font>
      <b/>
      <sz val="10"/>
      <color theme="1"/>
      <name val="Aptos Narrow"/>
      <family val="2"/>
      <scheme val="minor"/>
    </font>
    <font>
      <sz val="10"/>
      <color theme="1"/>
      <name val="Aptos Narrow"/>
      <family val="2"/>
      <scheme val="minor"/>
    </font>
    <font>
      <u/>
      <sz val="11"/>
      <color theme="10"/>
      <name val="Aptos Narrow"/>
      <family val="2"/>
      <scheme val="minor"/>
    </font>
    <font>
      <b/>
      <sz val="12"/>
      <color theme="1"/>
      <name val="Arial"/>
      <family val="2"/>
    </font>
    <font>
      <sz val="10"/>
      <color rgb="FFFF0000"/>
      <name val="Arial"/>
      <family val="2"/>
    </font>
    <font>
      <sz val="10"/>
      <color theme="1"/>
      <name val="Arial"/>
      <family val="2"/>
    </font>
    <font>
      <b/>
      <sz val="10"/>
      <color theme="1"/>
      <name val="Arial"/>
      <family val="2"/>
    </font>
    <font>
      <sz val="10"/>
      <color rgb="FF0000FF"/>
      <name val="Arial"/>
      <family val="2"/>
    </font>
    <font>
      <b/>
      <sz val="10"/>
      <color rgb="FFFF0000"/>
      <name val="Arial"/>
      <family val="2"/>
    </font>
    <font>
      <b/>
      <sz val="15"/>
      <color theme="1"/>
      <name val="Arial"/>
      <family val="2"/>
    </font>
    <font>
      <b/>
      <sz val="15"/>
      <color theme="0"/>
      <name val="Arial"/>
      <family val="2"/>
    </font>
    <font>
      <b/>
      <sz val="20"/>
      <color theme="0"/>
      <name val="Arial"/>
      <family val="2"/>
    </font>
    <font>
      <u/>
      <sz val="10"/>
      <color theme="1"/>
      <name val="Arial"/>
      <family val="2"/>
    </font>
    <font>
      <i/>
      <sz val="10"/>
      <color theme="1"/>
      <name val="Arial"/>
      <family val="2"/>
    </font>
    <font>
      <b/>
      <sz val="10"/>
      <color theme="0"/>
      <name val="Aptos Narrow"/>
      <family val="2"/>
      <scheme val="minor"/>
    </font>
    <font>
      <b/>
      <sz val="10"/>
      <color theme="0"/>
      <name val="Calibri"/>
      <family val="2"/>
    </font>
    <font>
      <sz val="11"/>
      <color rgb="FF0000FF"/>
      <name val="Aptos Narrow"/>
      <family val="2"/>
      <scheme val="minor"/>
    </font>
    <font>
      <b/>
      <u/>
      <sz val="15"/>
      <color rgb="FF0000FF"/>
      <name val="Aptos Narrow"/>
      <family val="2"/>
      <scheme val="minor"/>
    </font>
    <font>
      <sz val="8"/>
      <color theme="1"/>
      <name val="Aptos Narrow"/>
      <family val="2"/>
      <scheme val="minor"/>
    </font>
    <font>
      <b/>
      <sz val="16"/>
      <color theme="0"/>
      <name val="Aptos Narrow"/>
      <family val="2"/>
      <scheme val="minor"/>
    </font>
    <font>
      <sz val="10"/>
      <color rgb="FF0000FF"/>
      <name val="Aptos Narrow"/>
      <family val="2"/>
      <scheme val="minor"/>
    </font>
    <font>
      <b/>
      <sz val="13"/>
      <color theme="0"/>
      <name val="Aptos Narrow"/>
      <family val="2"/>
      <scheme val="minor"/>
    </font>
    <font>
      <b/>
      <sz val="13"/>
      <color theme="0"/>
      <name val="Calibri"/>
      <family val="2"/>
    </font>
    <font>
      <sz val="13"/>
      <color theme="1"/>
      <name val="Aptos Narrow"/>
      <family val="2"/>
      <scheme val="minor"/>
    </font>
    <font>
      <b/>
      <sz val="10"/>
      <color rgb="FFFF0000"/>
      <name val="Aptos Narrow"/>
      <family val="2"/>
      <scheme val="minor"/>
    </font>
    <font>
      <sz val="11"/>
      <color theme="8"/>
      <name val="Aptos Narrow"/>
      <family val="2"/>
      <scheme val="minor"/>
    </font>
    <font>
      <b/>
      <sz val="11"/>
      <color rgb="FF0000FF"/>
      <name val="Aptos Narrow"/>
      <family val="2"/>
      <scheme val="minor"/>
    </font>
    <font>
      <b/>
      <sz val="13"/>
      <name val="Calibri"/>
      <family val="2"/>
    </font>
    <font>
      <sz val="9"/>
      <color rgb="FF0000FF"/>
      <name val="Aptos Narrow"/>
      <family val="2"/>
      <scheme val="minor"/>
    </font>
    <font>
      <b/>
      <sz val="10"/>
      <color theme="0"/>
      <name val="Arial"/>
      <family val="2"/>
    </font>
    <font>
      <b/>
      <sz val="11"/>
      <color theme="8"/>
      <name val="Aptos Narrow"/>
      <family val="2"/>
      <scheme val="minor"/>
    </font>
    <font>
      <b/>
      <sz val="11"/>
      <color rgb="FF660033"/>
      <name val="Aptos Narrow"/>
      <family val="2"/>
      <scheme val="minor"/>
    </font>
    <font>
      <i/>
      <sz val="11"/>
      <color rgb="FFFF0000"/>
      <name val="Aptos Narrow"/>
      <family val="2"/>
      <scheme val="minor"/>
    </font>
    <font>
      <sz val="9"/>
      <color rgb="FF3F3F3F"/>
      <name val="Arial"/>
      <family val="2"/>
    </font>
    <font>
      <sz val="7"/>
      <color rgb="FF3F3F3F"/>
      <name val="Arial"/>
      <family val="2"/>
    </font>
  </fonts>
  <fills count="34">
    <fill>
      <patternFill patternType="none"/>
    </fill>
    <fill>
      <patternFill patternType="gray125"/>
    </fill>
    <fill>
      <patternFill patternType="solid">
        <fgColor theme="0" tint="-0.14999847407452621"/>
        <bgColor indexed="64"/>
      </patternFill>
    </fill>
    <fill>
      <patternFill patternType="solid">
        <fgColor theme="3" tint="9.9978637043366805E-2"/>
        <bgColor indexed="64"/>
      </patternFill>
    </fill>
    <fill>
      <patternFill patternType="solid">
        <fgColor rgb="FFFFCCFF"/>
        <bgColor indexed="64"/>
      </patternFill>
    </fill>
    <fill>
      <patternFill patternType="solid">
        <fgColor rgb="FFFFCC00"/>
        <bgColor indexed="64"/>
      </patternFill>
    </fill>
    <fill>
      <patternFill patternType="solid">
        <fgColor rgb="FFFFEB9C"/>
      </patternFill>
    </fill>
    <fill>
      <patternFill patternType="solid">
        <fgColor theme="4" tint="0.79998168889431442"/>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7" tint="-0.249977111117893"/>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2"/>
        <bgColor indexed="64"/>
      </patternFill>
    </fill>
    <fill>
      <patternFill patternType="solid">
        <fgColor theme="4" tint="-0.49998474074526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theme="4"/>
        <bgColor indexed="64"/>
      </patternFill>
    </fill>
    <fill>
      <patternFill patternType="solid">
        <fgColor theme="3" tint="0.89999084444715716"/>
        <bgColor indexed="64"/>
      </patternFill>
    </fill>
    <fill>
      <patternFill patternType="solid">
        <fgColor theme="0"/>
        <bgColor theme="4" tint="0.79998168889431442"/>
      </patternFill>
    </fill>
    <fill>
      <patternFill patternType="solid">
        <fgColor theme="4"/>
        <bgColor rgb="FFB0C4DE"/>
      </patternFill>
    </fill>
    <fill>
      <patternFill patternType="solid">
        <fgColor theme="1" tint="0.499984740745262"/>
        <bgColor indexed="64"/>
      </patternFill>
    </fill>
    <fill>
      <patternFill patternType="solid">
        <fgColor theme="3" tint="0.499984740745262"/>
        <bgColor indexed="64"/>
      </patternFill>
    </fill>
    <fill>
      <patternFill patternType="solid">
        <fgColor rgb="FFFFFFFB"/>
        <bgColor indexed="64"/>
      </patternFill>
    </fill>
    <fill>
      <patternFill patternType="solid">
        <fgColor rgb="FFFFFF99"/>
        <bgColor indexed="64"/>
      </patternFill>
    </fill>
    <fill>
      <patternFill patternType="solid">
        <fgColor theme="4" tint="0.79998168889431442"/>
        <bgColor rgb="FFB0C4DE"/>
      </patternFill>
    </fill>
    <fill>
      <patternFill patternType="solid">
        <fgColor rgb="FFFFFF00"/>
        <bgColor indexed="64"/>
      </patternFill>
    </fill>
  </fills>
  <borders count="7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thin">
        <color indexed="64"/>
      </right>
      <top/>
      <bottom/>
      <diagonal/>
    </border>
    <border>
      <left style="thin">
        <color indexed="64"/>
      </left>
      <right/>
      <top/>
      <bottom style="thin">
        <color indexed="64"/>
      </bottom>
      <diagonal/>
    </border>
    <border>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style="thin">
        <color indexed="64"/>
      </left>
      <right/>
      <top style="thin">
        <color indexed="64"/>
      </top>
      <bottom style="thin">
        <color indexed="64"/>
      </bottom>
      <diagonal/>
    </border>
    <border>
      <left/>
      <right/>
      <top style="medium">
        <color indexed="64"/>
      </top>
      <bottom style="medium">
        <color indexed="64"/>
      </bottom>
      <diagonal/>
    </border>
    <border>
      <left style="thin">
        <color indexed="64"/>
      </left>
      <right/>
      <top style="thin">
        <color indexed="64"/>
      </top>
      <bottom/>
      <diagonal/>
    </border>
    <border>
      <left style="medium">
        <color indexed="64"/>
      </left>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diagonal/>
    </border>
    <border>
      <left style="thin">
        <color rgb="FF000000"/>
      </left>
      <right/>
      <top/>
      <bottom/>
      <diagonal/>
    </border>
    <border>
      <left style="thin">
        <color indexed="64"/>
      </left>
      <right style="thin">
        <color indexed="64"/>
      </right>
      <top/>
      <bottom/>
      <diagonal/>
    </border>
    <border>
      <left/>
      <right/>
      <top/>
      <bottom style="thin">
        <color indexed="64"/>
      </bottom>
      <diagonal/>
    </border>
    <border>
      <left/>
      <right style="thin">
        <color indexed="64"/>
      </right>
      <top style="medium">
        <color indexed="64"/>
      </top>
      <bottom style="thin">
        <color indexed="64"/>
      </bottom>
      <diagonal/>
    </border>
    <border>
      <left style="medium">
        <color indexed="64"/>
      </left>
      <right style="thick">
        <color indexed="64"/>
      </right>
      <top style="thin">
        <color indexed="64"/>
      </top>
      <bottom/>
      <diagonal/>
    </border>
    <border>
      <left style="thin">
        <color indexed="64"/>
      </left>
      <right style="thick">
        <color indexed="64"/>
      </right>
      <top style="thin">
        <color indexed="64"/>
      </top>
      <bottom style="thin">
        <color indexed="64"/>
      </bottom>
      <diagonal/>
    </border>
    <border>
      <left/>
      <right style="thin">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medium">
        <color indexed="64"/>
      </top>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s>
  <cellStyleXfs count="6">
    <xf numFmtId="0" fontId="0" fillId="0" borderId="0"/>
    <xf numFmtId="164" fontId="1" fillId="0" borderId="0" applyFont="0" applyFill="0" applyBorder="0" applyAlignment="0" applyProtection="0"/>
    <xf numFmtId="9" fontId="1" fillId="0" borderId="0" applyFont="0" applyFill="0" applyBorder="0" applyAlignment="0" applyProtection="0"/>
    <xf numFmtId="0" fontId="7" fillId="6" borderId="0" applyNumberFormat="0" applyBorder="0" applyAlignment="0" applyProtection="0"/>
    <xf numFmtId="164" fontId="1" fillId="0" borderId="0" applyFont="0" applyFill="0" applyBorder="0" applyAlignment="0" applyProtection="0"/>
    <xf numFmtId="0" fontId="13" fillId="0" borderId="0" applyNumberFormat="0" applyFill="0" applyBorder="0" applyAlignment="0" applyProtection="0"/>
  </cellStyleXfs>
  <cellXfs count="617">
    <xf numFmtId="0" fontId="0" fillId="0" borderId="0" xfId="0"/>
    <xf numFmtId="0" fontId="0" fillId="0" borderId="1" xfId="0" applyBorder="1"/>
    <xf numFmtId="0" fontId="0" fillId="22" borderId="1" xfId="0" applyFill="1" applyBorder="1" applyAlignment="1">
      <alignment horizontal="center" vertical="center" wrapText="1"/>
    </xf>
    <xf numFmtId="0" fontId="12" fillId="0" borderId="0" xfId="0" applyFont="1"/>
    <xf numFmtId="0" fontId="0" fillId="22" borderId="21" xfId="0" applyFill="1" applyBorder="1" applyAlignment="1">
      <alignment horizontal="center" vertical="center" wrapText="1"/>
    </xf>
    <xf numFmtId="0" fontId="0" fillId="22" borderId="38" xfId="0" applyFill="1" applyBorder="1"/>
    <xf numFmtId="0" fontId="0" fillId="22" borderId="1" xfId="0" applyFill="1" applyBorder="1" applyAlignment="1">
      <alignment horizontal="left" vertical="center"/>
    </xf>
    <xf numFmtId="0" fontId="0" fillId="22" borderId="1" xfId="0" applyFill="1" applyBorder="1"/>
    <xf numFmtId="9" fontId="0" fillId="22" borderId="1" xfId="0" applyNumberFormat="1" applyFill="1" applyBorder="1" applyAlignment="1">
      <alignment horizontal="left" vertical="center"/>
    </xf>
    <xf numFmtId="0" fontId="16" fillId="22" borderId="0" xfId="0" applyFont="1" applyFill="1" applyAlignment="1">
      <alignment vertical="center"/>
    </xf>
    <xf numFmtId="0" fontId="16" fillId="22" borderId="0" xfId="0" applyFont="1" applyFill="1" applyAlignment="1">
      <alignment horizontal="center" vertical="center"/>
    </xf>
    <xf numFmtId="0" fontId="16" fillId="4" borderId="14" xfId="0" applyFont="1" applyFill="1" applyBorder="1" applyAlignment="1">
      <alignment horizontal="center" vertical="center"/>
    </xf>
    <xf numFmtId="0" fontId="16" fillId="23" borderId="24" xfId="0" applyFont="1" applyFill="1" applyBorder="1" applyAlignment="1">
      <alignment vertical="center"/>
    </xf>
    <xf numFmtId="0" fontId="16" fillId="23" borderId="25" xfId="0" applyFont="1" applyFill="1" applyBorder="1" applyAlignment="1">
      <alignment vertical="center"/>
    </xf>
    <xf numFmtId="0" fontId="16" fillId="23" borderId="26" xfId="0" applyFont="1" applyFill="1" applyBorder="1" applyAlignment="1">
      <alignment vertical="center"/>
    </xf>
    <xf numFmtId="0" fontId="16" fillId="23" borderId="43" xfId="0" applyFont="1" applyFill="1" applyBorder="1" applyAlignment="1">
      <alignment vertical="center"/>
    </xf>
    <xf numFmtId="0" fontId="16" fillId="23" borderId="0" xfId="0" applyFont="1" applyFill="1" applyAlignment="1">
      <alignment vertical="center"/>
    </xf>
    <xf numFmtId="0" fontId="16" fillId="23" borderId="27" xfId="0" applyFont="1" applyFill="1" applyBorder="1" applyAlignment="1">
      <alignment vertical="center"/>
    </xf>
    <xf numFmtId="0" fontId="16" fillId="23" borderId="10" xfId="0" applyFont="1" applyFill="1" applyBorder="1" applyAlignment="1">
      <alignment vertical="center"/>
    </xf>
    <xf numFmtId="0" fontId="16" fillId="23" borderId="5" xfId="0" applyFont="1" applyFill="1" applyBorder="1" applyAlignment="1">
      <alignment vertical="center"/>
    </xf>
    <xf numFmtId="0" fontId="16" fillId="23" borderId="11" xfId="0" applyFont="1" applyFill="1" applyBorder="1" applyAlignment="1">
      <alignment vertical="center"/>
    </xf>
    <xf numFmtId="0" fontId="16" fillId="23" borderId="3" xfId="0" applyFont="1" applyFill="1" applyBorder="1" applyAlignment="1">
      <alignment vertical="center"/>
    </xf>
    <xf numFmtId="0" fontId="16" fillId="23" borderId="12" xfId="0" applyFont="1" applyFill="1" applyBorder="1" applyAlignment="1">
      <alignment vertical="center"/>
    </xf>
    <xf numFmtId="0" fontId="16" fillId="0" borderId="5" xfId="0" applyFont="1" applyBorder="1" applyAlignment="1">
      <alignment vertical="center"/>
    </xf>
    <xf numFmtId="0" fontId="16" fillId="0" borderId="2" xfId="0" applyFont="1" applyBorder="1" applyAlignment="1">
      <alignment vertical="center"/>
    </xf>
    <xf numFmtId="0" fontId="16" fillId="23" borderId="7" xfId="0" applyFont="1" applyFill="1" applyBorder="1" applyAlignment="1">
      <alignment vertical="center"/>
    </xf>
    <xf numFmtId="0" fontId="16" fillId="23" borderId="2" xfId="0" applyFont="1" applyFill="1" applyBorder="1" applyAlignment="1">
      <alignment vertical="center"/>
    </xf>
    <xf numFmtId="0" fontId="16" fillId="23" borderId="8" xfId="0" applyFont="1" applyFill="1" applyBorder="1" applyAlignment="1">
      <alignment vertical="center"/>
    </xf>
    <xf numFmtId="0" fontId="16" fillId="0" borderId="3" xfId="0" applyFont="1" applyBorder="1" applyAlignment="1">
      <alignment vertical="center"/>
    </xf>
    <xf numFmtId="0" fontId="16" fillId="23" borderId="9" xfId="0" applyFont="1" applyFill="1" applyBorder="1" applyAlignment="1">
      <alignment vertical="center"/>
    </xf>
    <xf numFmtId="0" fontId="16" fillId="0" borderId="37" xfId="0" applyFont="1" applyBorder="1" applyAlignment="1">
      <alignment vertical="center"/>
    </xf>
    <xf numFmtId="0" fontId="16" fillId="23" borderId="28" xfId="0" applyFont="1" applyFill="1" applyBorder="1" applyAlignment="1">
      <alignment vertical="center"/>
    </xf>
    <xf numFmtId="0" fontId="16" fillId="23" borderId="37" xfId="0" applyFont="1" applyFill="1" applyBorder="1" applyAlignment="1">
      <alignment vertical="center"/>
    </xf>
    <xf numFmtId="0" fontId="16" fillId="23" borderId="44" xfId="0" applyFont="1" applyFill="1" applyBorder="1" applyAlignment="1">
      <alignment vertical="center"/>
    </xf>
    <xf numFmtId="0" fontId="16" fillId="22" borderId="25" xfId="0" applyFont="1" applyFill="1" applyBorder="1" applyAlignment="1">
      <alignment vertical="center"/>
    </xf>
    <xf numFmtId="0" fontId="16" fillId="22" borderId="44" xfId="0" applyFont="1" applyFill="1" applyBorder="1" applyAlignment="1">
      <alignment vertical="center"/>
    </xf>
    <xf numFmtId="0" fontId="16" fillId="23" borderId="1" xfId="0" applyFont="1" applyFill="1" applyBorder="1" applyAlignment="1">
      <alignment vertical="center"/>
    </xf>
    <xf numFmtId="0" fontId="16" fillId="23" borderId="2" xfId="0" applyFont="1" applyFill="1" applyBorder="1" applyAlignment="1">
      <alignment horizontal="center" vertical="center"/>
    </xf>
    <xf numFmtId="0" fontId="16" fillId="23" borderId="3" xfId="0" applyFont="1" applyFill="1" applyBorder="1" applyAlignment="1">
      <alignment horizontal="center" vertical="center"/>
    </xf>
    <xf numFmtId="9" fontId="16" fillId="23" borderId="27" xfId="0" applyNumberFormat="1" applyFont="1" applyFill="1" applyBorder="1" applyAlignment="1">
      <alignment vertical="center"/>
    </xf>
    <xf numFmtId="0" fontId="17" fillId="23" borderId="0" xfId="0" applyFont="1" applyFill="1" applyAlignment="1">
      <alignment vertical="center"/>
    </xf>
    <xf numFmtId="0" fontId="17" fillId="23" borderId="43" xfId="0" applyFont="1" applyFill="1" applyBorder="1" applyAlignment="1">
      <alignment vertical="center"/>
    </xf>
    <xf numFmtId="0" fontId="17" fillId="0" borderId="13" xfId="0" applyFont="1" applyBorder="1" applyAlignment="1">
      <alignment vertical="center"/>
    </xf>
    <xf numFmtId="0" fontId="17" fillId="22" borderId="39" xfId="0" applyFont="1" applyFill="1" applyBorder="1" applyAlignment="1">
      <alignment vertical="center"/>
    </xf>
    <xf numFmtId="0" fontId="16" fillId="0" borderId="16" xfId="0" applyFont="1" applyBorder="1" applyAlignment="1">
      <alignment vertical="center"/>
    </xf>
    <xf numFmtId="0" fontId="17" fillId="0" borderId="17" xfId="0" applyFont="1" applyBorder="1" applyAlignment="1">
      <alignment horizontal="center" vertical="center" wrapText="1"/>
    </xf>
    <xf numFmtId="0" fontId="17" fillId="0" borderId="13" xfId="0" applyFont="1" applyBorder="1" applyAlignment="1">
      <alignment horizontal="left" vertical="center" wrapText="1"/>
    </xf>
    <xf numFmtId="0" fontId="17" fillId="22" borderId="14" xfId="0" applyFont="1" applyFill="1" applyBorder="1" applyAlignment="1">
      <alignment horizontal="center" vertical="center" wrapText="1"/>
    </xf>
    <xf numFmtId="14" fontId="17" fillId="0" borderId="10" xfId="0" applyNumberFormat="1" applyFont="1" applyBorder="1" applyAlignment="1">
      <alignment horizontal="center" vertical="center"/>
    </xf>
    <xf numFmtId="0" fontId="18" fillId="22" borderId="0" xfId="0" applyFont="1" applyFill="1" applyAlignment="1">
      <alignment vertical="center"/>
    </xf>
    <xf numFmtId="0" fontId="16" fillId="22" borderId="44" xfId="0" applyFont="1" applyFill="1" applyBorder="1" applyAlignment="1">
      <alignment horizontal="center" vertical="center"/>
    </xf>
    <xf numFmtId="0" fontId="16" fillId="22" borderId="27" xfId="0" applyFont="1" applyFill="1" applyBorder="1" applyAlignment="1">
      <alignment vertical="center"/>
    </xf>
    <xf numFmtId="0" fontId="16" fillId="22" borderId="43" xfId="0" applyFont="1" applyFill="1" applyBorder="1" applyAlignment="1">
      <alignment vertical="center"/>
    </xf>
    <xf numFmtId="0" fontId="16" fillId="22" borderId="37" xfId="0" applyFont="1" applyFill="1" applyBorder="1" applyAlignment="1">
      <alignment vertical="center"/>
    </xf>
    <xf numFmtId="0" fontId="17" fillId="0" borderId="44" xfId="0" applyFont="1" applyBorder="1" applyAlignment="1">
      <alignment horizontal="center" vertical="center"/>
    </xf>
    <xf numFmtId="0" fontId="18" fillId="22" borderId="43" xfId="0" applyFont="1" applyFill="1" applyBorder="1" applyAlignment="1">
      <alignment horizontal="center" vertical="center"/>
    </xf>
    <xf numFmtId="0" fontId="16" fillId="22" borderId="43" xfId="0" applyFont="1" applyFill="1" applyBorder="1" applyAlignment="1">
      <alignment horizontal="center" vertical="center"/>
    </xf>
    <xf numFmtId="0" fontId="16" fillId="22" borderId="37" xfId="0" applyFont="1" applyFill="1" applyBorder="1" applyAlignment="1">
      <alignment horizontal="center" vertical="center"/>
    </xf>
    <xf numFmtId="0" fontId="21" fillId="24" borderId="13" xfId="0" applyFont="1" applyFill="1" applyBorder="1" applyAlignment="1">
      <alignment vertical="center"/>
    </xf>
    <xf numFmtId="0" fontId="16" fillId="5" borderId="49" xfId="0" applyFont="1" applyFill="1" applyBorder="1" applyAlignment="1">
      <alignment horizontal="center" vertical="center"/>
    </xf>
    <xf numFmtId="0" fontId="16" fillId="2" borderId="14" xfId="0" applyFont="1" applyFill="1" applyBorder="1" applyAlignment="1">
      <alignment horizontal="center" vertical="center"/>
    </xf>
    <xf numFmtId="0" fontId="16" fillId="22" borderId="24" xfId="0" applyFont="1" applyFill="1" applyBorder="1" applyAlignment="1">
      <alignment vertical="center"/>
    </xf>
    <xf numFmtId="0" fontId="16" fillId="22" borderId="25" xfId="0" applyFont="1" applyFill="1" applyBorder="1" applyAlignment="1">
      <alignment horizontal="center" vertical="center"/>
    </xf>
    <xf numFmtId="0" fontId="16" fillId="22" borderId="26" xfId="0" applyFont="1" applyFill="1" applyBorder="1" applyAlignment="1">
      <alignment vertical="center"/>
    </xf>
    <xf numFmtId="0" fontId="15" fillId="22" borderId="0" xfId="0" applyFont="1" applyFill="1" applyAlignment="1">
      <alignment vertical="center"/>
    </xf>
    <xf numFmtId="14" fontId="16" fillId="22" borderId="0" xfId="0" applyNumberFormat="1" applyFont="1" applyFill="1" applyAlignment="1">
      <alignment vertical="center"/>
    </xf>
    <xf numFmtId="164" fontId="16" fillId="22" borderId="0" xfId="1" applyFont="1" applyFill="1" applyBorder="1" applyAlignment="1">
      <alignment horizontal="center" vertical="center"/>
    </xf>
    <xf numFmtId="0" fontId="16" fillId="22" borderId="28" xfId="0" applyFont="1" applyFill="1" applyBorder="1" applyAlignment="1">
      <alignment vertical="center"/>
    </xf>
    <xf numFmtId="0" fontId="19" fillId="0" borderId="0" xfId="0" applyFont="1" applyAlignment="1">
      <alignment vertical="center"/>
    </xf>
    <xf numFmtId="0" fontId="19" fillId="22" borderId="0" xfId="0" applyFont="1" applyFill="1" applyAlignment="1">
      <alignment vertical="center"/>
    </xf>
    <xf numFmtId="0" fontId="19" fillId="22" borderId="27" xfId="0" applyFont="1" applyFill="1" applyBorder="1" applyAlignment="1">
      <alignment vertical="center"/>
    </xf>
    <xf numFmtId="0" fontId="16" fillId="25" borderId="48" xfId="0" applyFont="1" applyFill="1" applyBorder="1" applyAlignment="1">
      <alignment horizontal="center" vertical="center"/>
    </xf>
    <xf numFmtId="0" fontId="16" fillId="23" borderId="21" xfId="0" applyFont="1" applyFill="1" applyBorder="1" applyAlignment="1" applyProtection="1">
      <alignment horizontal="center" vertical="center"/>
      <protection hidden="1"/>
    </xf>
    <xf numFmtId="0" fontId="16" fillId="23" borderId="4" xfId="0" applyFont="1" applyFill="1" applyBorder="1" applyAlignment="1" applyProtection="1">
      <alignment horizontal="center" vertical="center"/>
      <protection hidden="1"/>
    </xf>
    <xf numFmtId="0" fontId="16" fillId="23" borderId="45" xfId="0" applyFont="1" applyFill="1" applyBorder="1" applyAlignment="1" applyProtection="1">
      <alignment horizontal="center" vertical="center"/>
      <protection hidden="1"/>
    </xf>
    <xf numFmtId="167" fontId="16" fillId="23" borderId="21" xfId="0" applyNumberFormat="1" applyFont="1" applyFill="1" applyBorder="1" applyAlignment="1" applyProtection="1">
      <alignment vertical="center"/>
      <protection hidden="1"/>
    </xf>
    <xf numFmtId="167" fontId="16" fillId="23" borderId="4" xfId="0" applyNumberFormat="1" applyFont="1" applyFill="1" applyBorder="1" applyAlignment="1" applyProtection="1">
      <alignment vertical="center"/>
      <protection hidden="1"/>
    </xf>
    <xf numFmtId="0" fontId="16" fillId="23" borderId="1" xfId="0" applyFont="1" applyFill="1" applyBorder="1" applyAlignment="1" applyProtection="1">
      <alignment horizontal="center" vertical="center"/>
      <protection hidden="1"/>
    </xf>
    <xf numFmtId="167" fontId="16" fillId="14" borderId="22" xfId="0" applyNumberFormat="1" applyFont="1" applyFill="1" applyBorder="1" applyAlignment="1" applyProtection="1">
      <alignment horizontal="center" vertical="center"/>
      <protection hidden="1"/>
    </xf>
    <xf numFmtId="167" fontId="16" fillId="14" borderId="8" xfId="0" applyNumberFormat="1" applyFont="1" applyFill="1" applyBorder="1" applyAlignment="1" applyProtection="1">
      <alignment horizontal="center" vertical="center"/>
      <protection hidden="1"/>
    </xf>
    <xf numFmtId="167" fontId="16" fillId="14" borderId="9" xfId="0" applyNumberFormat="1" applyFont="1" applyFill="1" applyBorder="1" applyAlignment="1" applyProtection="1">
      <alignment horizontal="center" vertical="center"/>
      <protection hidden="1"/>
    </xf>
    <xf numFmtId="167" fontId="16" fillId="14" borderId="46" xfId="0" applyNumberFormat="1" applyFont="1" applyFill="1" applyBorder="1" applyAlignment="1" applyProtection="1">
      <alignment vertical="center"/>
      <protection hidden="1"/>
    </xf>
    <xf numFmtId="167" fontId="16" fillId="14" borderId="22" xfId="0" applyNumberFormat="1" applyFont="1" applyFill="1" applyBorder="1" applyAlignment="1" applyProtection="1">
      <alignment vertical="center"/>
      <protection hidden="1"/>
    </xf>
    <xf numFmtId="167" fontId="16" fillId="14" borderId="9" xfId="0" applyNumberFormat="1" applyFont="1" applyFill="1" applyBorder="1" applyAlignment="1" applyProtection="1">
      <alignment vertical="center"/>
      <protection hidden="1"/>
    </xf>
    <xf numFmtId="167" fontId="20" fillId="4" borderId="14" xfId="0" applyNumberFormat="1" applyFont="1" applyFill="1" applyBorder="1" applyAlignment="1" applyProtection="1">
      <alignment vertical="center"/>
      <protection hidden="1"/>
    </xf>
    <xf numFmtId="167" fontId="16" fillId="23" borderId="7" xfId="0" applyNumberFormat="1" applyFont="1" applyFill="1" applyBorder="1" applyAlignment="1" applyProtection="1">
      <alignment horizontal="center" vertical="center"/>
      <protection hidden="1"/>
    </xf>
    <xf numFmtId="167" fontId="16" fillId="23" borderId="9" xfId="0" applyNumberFormat="1" applyFont="1" applyFill="1" applyBorder="1" applyAlignment="1" applyProtection="1">
      <alignment horizontal="center" vertical="center"/>
      <protection hidden="1"/>
    </xf>
    <xf numFmtId="166" fontId="16" fillId="5" borderId="45" xfId="1" applyNumberFormat="1" applyFont="1" applyFill="1" applyBorder="1" applyAlignment="1" applyProtection="1">
      <alignment vertical="center"/>
      <protection locked="0"/>
    </xf>
    <xf numFmtId="166" fontId="16" fillId="5" borderId="21" xfId="1" applyNumberFormat="1" applyFont="1" applyFill="1" applyBorder="1" applyAlignment="1" applyProtection="1">
      <alignment vertical="center"/>
      <protection locked="0"/>
    </xf>
    <xf numFmtId="166" fontId="16" fillId="5" borderId="4" xfId="1" applyNumberFormat="1" applyFont="1" applyFill="1" applyBorder="1" applyAlignment="1" applyProtection="1">
      <alignment vertical="center"/>
      <protection locked="0"/>
    </xf>
    <xf numFmtId="0" fontId="23" fillId="22" borderId="0" xfId="0" applyFont="1" applyFill="1" applyAlignment="1">
      <alignment vertical="center"/>
    </xf>
    <xf numFmtId="174" fontId="16" fillId="2" borderId="1" xfId="0" applyNumberFormat="1" applyFont="1" applyFill="1" applyBorder="1" applyAlignment="1" applyProtection="1">
      <alignment horizontal="center" vertical="center"/>
      <protection hidden="1"/>
    </xf>
    <xf numFmtId="174" fontId="16" fillId="2" borderId="4" xfId="0" applyNumberFormat="1" applyFont="1" applyFill="1" applyBorder="1" applyAlignment="1" applyProtection="1">
      <alignment horizontal="center" vertical="center"/>
      <protection hidden="1"/>
    </xf>
    <xf numFmtId="175" fontId="16" fillId="23" borderId="45" xfId="0" applyNumberFormat="1" applyFont="1" applyFill="1" applyBorder="1" applyAlignment="1" applyProtection="1">
      <alignment horizontal="center" vertical="center"/>
      <protection hidden="1"/>
    </xf>
    <xf numFmtId="174" fontId="16" fillId="2" borderId="21" xfId="0" applyNumberFormat="1" applyFont="1" applyFill="1" applyBorder="1" applyAlignment="1" applyProtection="1">
      <alignment horizontal="center" vertical="center"/>
      <protection hidden="1"/>
    </xf>
    <xf numFmtId="176" fontId="16" fillId="5" borderId="12" xfId="0" applyNumberFormat="1" applyFont="1" applyFill="1" applyBorder="1" applyAlignment="1" applyProtection="1">
      <alignment horizontal="center" vertical="center"/>
      <protection locked="0"/>
    </xf>
    <xf numFmtId="0" fontId="16" fillId="0" borderId="50" xfId="0" applyFont="1" applyBorder="1" applyAlignment="1">
      <alignment vertical="center"/>
    </xf>
    <xf numFmtId="0" fontId="16" fillId="0" borderId="51" xfId="0" applyFont="1" applyBorder="1" applyAlignment="1">
      <alignment vertical="center"/>
    </xf>
    <xf numFmtId="0" fontId="16" fillId="23" borderId="52" xfId="0" applyFont="1" applyFill="1" applyBorder="1" applyAlignment="1" applyProtection="1">
      <alignment horizontal="center" vertical="center"/>
      <protection hidden="1"/>
    </xf>
    <xf numFmtId="0" fontId="16" fillId="23" borderId="53" xfId="0" applyFont="1" applyFill="1" applyBorder="1" applyAlignment="1" applyProtection="1">
      <alignment horizontal="center" vertical="center"/>
      <protection hidden="1"/>
    </xf>
    <xf numFmtId="176" fontId="16" fillId="5" borderId="1" xfId="0" applyNumberFormat="1" applyFont="1" applyFill="1" applyBorder="1" applyAlignment="1" applyProtection="1">
      <alignment horizontal="center" vertical="center"/>
      <protection locked="0"/>
    </xf>
    <xf numFmtId="176" fontId="16" fillId="5" borderId="4" xfId="0" applyNumberFormat="1" applyFont="1" applyFill="1" applyBorder="1" applyAlignment="1" applyProtection="1">
      <alignment horizontal="center" vertical="center"/>
      <protection locked="0"/>
    </xf>
    <xf numFmtId="176" fontId="16" fillId="5" borderId="21" xfId="0" applyNumberFormat="1" applyFont="1" applyFill="1" applyBorder="1" applyAlignment="1" applyProtection="1">
      <alignment horizontal="center" vertical="center"/>
      <protection locked="0"/>
    </xf>
    <xf numFmtId="176" fontId="16" fillId="23" borderId="45" xfId="0" applyNumberFormat="1" applyFont="1" applyFill="1" applyBorder="1" applyAlignment="1" applyProtection="1">
      <alignment horizontal="center" vertical="center"/>
      <protection hidden="1"/>
    </xf>
    <xf numFmtId="0" fontId="16" fillId="2" borderId="47" xfId="0" applyFont="1" applyFill="1" applyBorder="1" applyAlignment="1" applyProtection="1">
      <alignment horizontal="left" vertical="center"/>
      <protection hidden="1"/>
    </xf>
    <xf numFmtId="0" fontId="15" fillId="22" borderId="27" xfId="0" applyFont="1" applyFill="1" applyBorder="1" applyAlignment="1">
      <alignment vertical="center"/>
    </xf>
    <xf numFmtId="0" fontId="15" fillId="22" borderId="28" xfId="0" applyFont="1" applyFill="1" applyBorder="1" applyAlignment="1">
      <alignment vertical="center"/>
    </xf>
    <xf numFmtId="0" fontId="16" fillId="22" borderId="2" xfId="0" applyFont="1" applyFill="1" applyBorder="1" applyAlignment="1">
      <alignment vertical="center"/>
    </xf>
    <xf numFmtId="168" fontId="16" fillId="23" borderId="0" xfId="0" applyNumberFormat="1" applyFont="1" applyFill="1" applyAlignment="1">
      <alignment vertical="center"/>
    </xf>
    <xf numFmtId="0" fontId="0" fillId="22" borderId="0" xfId="0" applyFill="1" applyAlignment="1">
      <alignment vertical="center"/>
    </xf>
    <xf numFmtId="0" fontId="0" fillId="0" borderId="1" xfId="0" applyBorder="1" applyAlignment="1" applyProtection="1">
      <alignment vertical="center"/>
      <protection locked="0"/>
    </xf>
    <xf numFmtId="9" fontId="0" fillId="0" borderId="1" xfId="2" applyFont="1" applyBorder="1" applyAlignment="1" applyProtection="1">
      <alignment horizontal="center" vertical="center"/>
      <protection locked="0"/>
    </xf>
    <xf numFmtId="49" fontId="0" fillId="0" borderId="1" xfId="0" applyNumberFormat="1" applyBorder="1" applyAlignment="1" applyProtection="1">
      <alignment vertical="center"/>
      <protection locked="0"/>
    </xf>
    <xf numFmtId="0" fontId="0" fillId="0" borderId="1" xfId="0" applyBorder="1" applyAlignment="1" applyProtection="1">
      <alignment horizontal="center" vertical="center"/>
      <protection locked="0"/>
    </xf>
    <xf numFmtId="0" fontId="24" fillId="23" borderId="0" xfId="0" applyFont="1" applyFill="1" applyAlignment="1">
      <alignment vertical="center" wrapText="1"/>
    </xf>
    <xf numFmtId="0" fontId="24" fillId="23" borderId="0" xfId="0" applyFont="1" applyFill="1" applyAlignment="1">
      <alignment vertical="center"/>
    </xf>
    <xf numFmtId="0" fontId="16" fillId="23" borderId="6" xfId="0" applyFont="1" applyFill="1" applyBorder="1" applyAlignment="1">
      <alignment horizontal="center" vertical="center"/>
    </xf>
    <xf numFmtId="0" fontId="16" fillId="23" borderId="1" xfId="0" applyFont="1" applyFill="1" applyBorder="1" applyAlignment="1">
      <alignment horizontal="center" vertical="center"/>
    </xf>
    <xf numFmtId="0" fontId="16" fillId="23" borderId="8" xfId="0" applyFont="1" applyFill="1" applyBorder="1" applyAlignment="1">
      <alignment horizontal="center" vertical="center"/>
    </xf>
    <xf numFmtId="0" fontId="16" fillId="23" borderId="4" xfId="0" applyFont="1" applyFill="1" applyBorder="1" applyAlignment="1">
      <alignment horizontal="center" vertical="center"/>
    </xf>
    <xf numFmtId="0" fontId="16" fillId="23" borderId="9" xfId="0" applyFont="1" applyFill="1" applyBorder="1" applyAlignment="1">
      <alignment horizontal="center" vertical="center"/>
    </xf>
    <xf numFmtId="168" fontId="16" fillId="23" borderId="1" xfId="0" applyNumberFormat="1" applyFont="1" applyFill="1" applyBorder="1" applyAlignment="1">
      <alignment horizontal="center" vertical="center"/>
    </xf>
    <xf numFmtId="168" fontId="16" fillId="23" borderId="7" xfId="0" applyNumberFormat="1" applyFont="1" applyFill="1" applyBorder="1" applyAlignment="1">
      <alignment vertical="center"/>
    </xf>
    <xf numFmtId="168" fontId="16" fillId="23" borderId="9" xfId="0" applyNumberFormat="1" applyFont="1" applyFill="1" applyBorder="1" applyAlignment="1">
      <alignment vertical="center"/>
    </xf>
    <xf numFmtId="0" fontId="16" fillId="23" borderId="10" xfId="0" applyFont="1" applyFill="1" applyBorder="1" applyAlignment="1">
      <alignment horizontal="center" vertical="center"/>
    </xf>
    <xf numFmtId="0" fontId="16" fillId="23" borderId="1" xfId="0" applyFont="1" applyFill="1" applyBorder="1" applyAlignment="1">
      <alignment horizontal="center" vertical="center" wrapText="1"/>
    </xf>
    <xf numFmtId="0" fontId="16" fillId="23" borderId="6" xfId="0" applyFont="1" applyFill="1" applyBorder="1" applyAlignment="1">
      <alignment horizontal="center" vertical="center" wrapText="1"/>
    </xf>
    <xf numFmtId="0" fontId="16" fillId="23" borderId="7" xfId="0" applyFont="1" applyFill="1" applyBorder="1" applyAlignment="1">
      <alignment horizontal="center" vertical="center" wrapText="1"/>
    </xf>
    <xf numFmtId="0" fontId="16" fillId="23" borderId="8" xfId="0" applyFont="1" applyFill="1" applyBorder="1" applyAlignment="1">
      <alignment horizontal="center" vertical="center" wrapText="1"/>
    </xf>
    <xf numFmtId="0" fontId="16" fillId="23" borderId="4" xfId="0" applyFont="1" applyFill="1" applyBorder="1" applyAlignment="1">
      <alignment horizontal="center" vertical="center" wrapText="1"/>
    </xf>
    <xf numFmtId="0" fontId="16" fillId="23" borderId="9" xfId="0" applyFont="1" applyFill="1" applyBorder="1" applyAlignment="1">
      <alignment horizontal="center" vertical="center" wrapText="1"/>
    </xf>
    <xf numFmtId="0" fontId="16" fillId="23" borderId="11" xfId="0" applyFont="1" applyFill="1" applyBorder="1" applyAlignment="1">
      <alignment horizontal="center" vertical="center"/>
    </xf>
    <xf numFmtId="9" fontId="16" fillId="23" borderId="11" xfId="0" applyNumberFormat="1" applyFont="1" applyFill="1" applyBorder="1" applyAlignment="1">
      <alignment horizontal="center" vertical="center"/>
    </xf>
    <xf numFmtId="9" fontId="16" fillId="23" borderId="12" xfId="0" applyNumberFormat="1" applyFont="1" applyFill="1" applyBorder="1" applyAlignment="1">
      <alignment horizontal="center" vertical="center"/>
    </xf>
    <xf numFmtId="0" fontId="16" fillId="23" borderId="12" xfId="0" applyFont="1" applyFill="1" applyBorder="1" applyAlignment="1">
      <alignment horizontal="center" vertical="center"/>
    </xf>
    <xf numFmtId="1" fontId="0" fillId="22" borderId="0" xfId="0" applyNumberFormat="1" applyFill="1" applyAlignment="1">
      <alignment horizontal="center" vertical="center" wrapText="1"/>
    </xf>
    <xf numFmtId="1" fontId="2" fillId="22" borderId="0" xfId="0" applyNumberFormat="1" applyFont="1" applyFill="1" applyAlignment="1">
      <alignment horizontal="center" vertical="center" wrapText="1"/>
    </xf>
    <xf numFmtId="1" fontId="0" fillId="22" borderId="0" xfId="0" applyNumberFormat="1" applyFill="1" applyAlignment="1">
      <alignment horizontal="center" vertical="center"/>
    </xf>
    <xf numFmtId="1" fontId="11" fillId="22" borderId="0" xfId="0" applyNumberFormat="1" applyFont="1" applyFill="1" applyAlignment="1">
      <alignment vertical="center" wrapText="1"/>
    </xf>
    <xf numFmtId="1" fontId="11" fillId="22" borderId="0" xfId="0" applyNumberFormat="1" applyFont="1" applyFill="1" applyAlignment="1">
      <alignment horizontal="center" vertical="center" wrapText="1"/>
    </xf>
    <xf numFmtId="1" fontId="12" fillId="22" borderId="0" xfId="0" applyNumberFormat="1" applyFont="1" applyFill="1" applyAlignment="1">
      <alignment horizontal="center" vertical="center" wrapText="1"/>
    </xf>
    <xf numFmtId="1" fontId="12" fillId="22" borderId="0" xfId="0" applyNumberFormat="1" applyFont="1" applyFill="1" applyAlignment="1">
      <alignment vertical="center" wrapText="1"/>
    </xf>
    <xf numFmtId="0" fontId="12" fillId="0" borderId="1" xfId="0" applyFont="1" applyBorder="1"/>
    <xf numFmtId="0" fontId="2" fillId="22" borderId="0" xfId="0" applyFont="1" applyFill="1" applyAlignment="1">
      <alignment vertical="center"/>
    </xf>
    <xf numFmtId="0" fontId="29" fillId="22" borderId="0" xfId="0" applyFont="1" applyFill="1" applyAlignment="1">
      <alignment vertical="center" wrapText="1"/>
    </xf>
    <xf numFmtId="0" fontId="4" fillId="23" borderId="21" xfId="0" applyFont="1" applyFill="1" applyBorder="1" applyAlignment="1">
      <alignment horizontal="center" vertical="center" wrapText="1"/>
    </xf>
    <xf numFmtId="0" fontId="30" fillId="28" borderId="39" xfId="0" applyFont="1" applyFill="1" applyBorder="1" applyAlignment="1">
      <alignment horizontal="center" vertical="center" wrapText="1"/>
    </xf>
    <xf numFmtId="0" fontId="30" fillId="28" borderId="39" xfId="0" applyFont="1" applyFill="1" applyBorder="1" applyAlignment="1">
      <alignment horizontal="center" vertical="center"/>
    </xf>
    <xf numFmtId="0" fontId="32" fillId="24" borderId="21" xfId="0" applyFont="1" applyFill="1" applyBorder="1" applyAlignment="1">
      <alignment horizontal="center" vertical="center" wrapText="1"/>
    </xf>
    <xf numFmtId="0" fontId="33" fillId="24" borderId="21" xfId="0" applyFont="1" applyFill="1" applyBorder="1" applyAlignment="1">
      <alignment horizontal="center" vertical="center" wrapText="1" readingOrder="1"/>
    </xf>
    <xf numFmtId="0" fontId="33" fillId="27" borderId="21" xfId="0" applyFont="1" applyFill="1" applyBorder="1" applyAlignment="1">
      <alignment horizontal="center" vertical="center" wrapText="1" readingOrder="1"/>
    </xf>
    <xf numFmtId="0" fontId="32" fillId="24" borderId="30" xfId="0" applyFont="1" applyFill="1" applyBorder="1" applyAlignment="1">
      <alignment horizontal="center" vertical="center" wrapText="1"/>
    </xf>
    <xf numFmtId="0" fontId="34" fillId="22" borderId="0" xfId="0" applyFont="1" applyFill="1" applyAlignment="1">
      <alignment vertical="center"/>
    </xf>
    <xf numFmtId="178" fontId="12" fillId="0" borderId="34" xfId="0" applyNumberFormat="1" applyFont="1" applyBorder="1" applyAlignment="1">
      <alignment horizontal="center"/>
    </xf>
    <xf numFmtId="0" fontId="0" fillId="22" borderId="38" xfId="0" applyFill="1" applyBorder="1" applyAlignment="1">
      <alignment horizontal="center" vertical="center" wrapText="1"/>
    </xf>
    <xf numFmtId="0" fontId="0" fillId="22" borderId="1" xfId="0" applyFill="1" applyBorder="1" applyAlignment="1">
      <alignment horizontal="center" vertical="center"/>
    </xf>
    <xf numFmtId="0" fontId="0" fillId="22" borderId="52" xfId="0" applyFill="1" applyBorder="1"/>
    <xf numFmtId="0" fontId="0" fillId="22" borderId="21" xfId="0" applyFill="1" applyBorder="1"/>
    <xf numFmtId="0" fontId="0" fillId="22" borderId="21" xfId="0" applyFill="1" applyBorder="1" applyAlignment="1">
      <alignment horizontal="left" vertical="center"/>
    </xf>
    <xf numFmtId="0" fontId="0" fillId="0" borderId="21" xfId="0" applyBorder="1"/>
    <xf numFmtId="1" fontId="25" fillId="24" borderId="56" xfId="0" applyNumberFormat="1" applyFont="1" applyFill="1" applyBorder="1" applyAlignment="1" applyProtection="1">
      <alignment horizontal="center" vertical="center" wrapText="1"/>
      <protection hidden="1"/>
    </xf>
    <xf numFmtId="1" fontId="25" fillId="24" borderId="55" xfId="0" applyNumberFormat="1" applyFont="1" applyFill="1" applyBorder="1" applyAlignment="1" applyProtection="1">
      <alignment horizontal="center" vertical="center" wrapText="1"/>
      <protection hidden="1"/>
    </xf>
    <xf numFmtId="1" fontId="25" fillId="29" borderId="55" xfId="0" applyNumberFormat="1" applyFont="1" applyFill="1" applyBorder="1" applyAlignment="1" applyProtection="1">
      <alignment horizontal="center" vertical="center" wrapText="1"/>
      <protection hidden="1"/>
    </xf>
    <xf numFmtId="1" fontId="26" fillId="24" borderId="55" xfId="0" applyNumberFormat="1" applyFont="1" applyFill="1" applyBorder="1" applyAlignment="1" applyProtection="1">
      <alignment horizontal="center" vertical="center" wrapText="1" readingOrder="1"/>
      <protection hidden="1"/>
    </xf>
    <xf numFmtId="1" fontId="26" fillId="27" borderId="55" xfId="0" applyNumberFormat="1" applyFont="1" applyFill="1" applyBorder="1" applyAlignment="1" applyProtection="1">
      <alignment horizontal="center" vertical="center" wrapText="1" readingOrder="1"/>
      <protection hidden="1"/>
    </xf>
    <xf numFmtId="0" fontId="2" fillId="0" borderId="0" xfId="0" applyFont="1" applyProtection="1">
      <protection hidden="1"/>
    </xf>
    <xf numFmtId="0" fontId="0" fillId="0" borderId="0" xfId="0" applyProtection="1">
      <protection hidden="1"/>
    </xf>
    <xf numFmtId="0" fontId="5" fillId="0" borderId="0" xfId="0" applyFont="1" applyProtection="1">
      <protection hidden="1"/>
    </xf>
    <xf numFmtId="0" fontId="0" fillId="4" borderId="5" xfId="0" applyFill="1" applyBorder="1" applyProtection="1">
      <protection hidden="1"/>
    </xf>
    <xf numFmtId="170" fontId="9" fillId="0" borderId="0" xfId="4" applyNumberFormat="1" applyFont="1" applyFill="1" applyBorder="1" applyAlignment="1" applyProtection="1">
      <alignment horizontal="center" vertical="center" wrapText="1"/>
      <protection hidden="1"/>
    </xf>
    <xf numFmtId="0" fontId="0" fillId="2" borderId="2" xfId="0" applyFill="1" applyBorder="1" applyProtection="1">
      <protection hidden="1"/>
    </xf>
    <xf numFmtId="170" fontId="9" fillId="16" borderId="1" xfId="4" applyNumberFormat="1" applyFont="1" applyFill="1" applyBorder="1" applyAlignment="1" applyProtection="1">
      <alignment horizontal="center" vertical="center" wrapText="1"/>
      <protection hidden="1"/>
    </xf>
    <xf numFmtId="170" fontId="9" fillId="16" borderId="1" xfId="0" applyNumberFormat="1" applyFont="1" applyFill="1" applyBorder="1" applyAlignment="1" applyProtection="1">
      <alignment horizontal="center" vertical="center" wrapText="1"/>
      <protection hidden="1"/>
    </xf>
    <xf numFmtId="170" fontId="9" fillId="16" borderId="8" xfId="0" applyNumberFormat="1" applyFont="1" applyFill="1" applyBorder="1" applyAlignment="1" applyProtection="1">
      <alignment horizontal="center" vertical="center" wrapText="1"/>
      <protection hidden="1"/>
    </xf>
    <xf numFmtId="170" fontId="9" fillId="0" borderId="0" xfId="0" applyNumberFormat="1" applyFont="1" applyAlignment="1" applyProtection="1">
      <alignment horizontal="center" vertical="center" wrapText="1"/>
      <protection hidden="1"/>
    </xf>
    <xf numFmtId="0" fontId="9" fillId="16" borderId="10" xfId="0" applyFont="1" applyFill="1" applyBorder="1" applyAlignment="1" applyProtection="1">
      <alignment horizontal="center" vertical="center" wrapText="1"/>
      <protection hidden="1"/>
    </xf>
    <xf numFmtId="0" fontId="3" fillId="0" borderId="2" xfId="0" applyFont="1" applyBorder="1" applyProtection="1">
      <protection hidden="1"/>
    </xf>
    <xf numFmtId="168" fontId="0" fillId="0" borderId="1" xfId="0" applyNumberFormat="1" applyBorder="1" applyProtection="1">
      <protection hidden="1"/>
    </xf>
    <xf numFmtId="168" fontId="0" fillId="0" borderId="8" xfId="0" applyNumberFormat="1" applyBorder="1" applyProtection="1">
      <protection hidden="1"/>
    </xf>
    <xf numFmtId="168" fontId="0" fillId="0" borderId="0" xfId="0" applyNumberFormat="1" applyProtection="1">
      <protection hidden="1"/>
    </xf>
    <xf numFmtId="171" fontId="0" fillId="0" borderId="11" xfId="2" applyNumberFormat="1" applyFont="1" applyFill="1" applyBorder="1" applyProtection="1">
      <protection hidden="1"/>
    </xf>
    <xf numFmtId="10" fontId="0" fillId="0" borderId="1" xfId="2" applyNumberFormat="1" applyFont="1" applyBorder="1" applyProtection="1">
      <protection hidden="1"/>
    </xf>
    <xf numFmtId="0" fontId="3" fillId="0" borderId="3" xfId="0" applyFont="1" applyBorder="1" applyProtection="1">
      <protection hidden="1"/>
    </xf>
    <xf numFmtId="168" fontId="0" fillId="0" borderId="4" xfId="0" applyNumberFormat="1" applyBorder="1" applyProtection="1">
      <protection hidden="1"/>
    </xf>
    <xf numFmtId="168" fontId="0" fillId="0" borderId="9" xfId="0" applyNumberFormat="1" applyBorder="1" applyProtection="1">
      <protection hidden="1"/>
    </xf>
    <xf numFmtId="171" fontId="0" fillId="0" borderId="12" xfId="2" applyNumberFormat="1" applyFont="1" applyFill="1" applyBorder="1" applyProtection="1">
      <protection hidden="1"/>
    </xf>
    <xf numFmtId="10" fontId="0" fillId="0" borderId="4" xfId="0" applyNumberFormat="1" applyBorder="1" applyProtection="1">
      <protection hidden="1"/>
    </xf>
    <xf numFmtId="10" fontId="0" fillId="0" borderId="11" xfId="2" applyNumberFormat="1" applyFont="1" applyBorder="1" applyProtection="1">
      <protection hidden="1"/>
    </xf>
    <xf numFmtId="10" fontId="0" fillId="0" borderId="8" xfId="2" applyNumberFormat="1" applyFont="1" applyBorder="1" applyProtection="1">
      <protection hidden="1"/>
    </xf>
    <xf numFmtId="10" fontId="0" fillId="0" borderId="12" xfId="2" applyNumberFormat="1" applyFont="1" applyBorder="1" applyProtection="1">
      <protection hidden="1"/>
    </xf>
    <xf numFmtId="10" fontId="0" fillId="0" borderId="4" xfId="2" applyNumberFormat="1" applyFont="1" applyBorder="1" applyProtection="1">
      <protection hidden="1"/>
    </xf>
    <xf numFmtId="10" fontId="0" fillId="0" borderId="9" xfId="2" applyNumberFormat="1" applyFont="1" applyBorder="1" applyProtection="1">
      <protection hidden="1"/>
    </xf>
    <xf numFmtId="164" fontId="0" fillId="0" borderId="0" xfId="0" applyNumberFormat="1" applyProtection="1">
      <protection hidden="1"/>
    </xf>
    <xf numFmtId="0" fontId="3" fillId="0" borderId="16" xfId="0" applyFont="1" applyBorder="1" applyProtection="1">
      <protection hidden="1"/>
    </xf>
    <xf numFmtId="168" fontId="0" fillId="0" borderId="21" xfId="1" applyNumberFormat="1" applyFont="1" applyBorder="1" applyProtection="1">
      <protection hidden="1"/>
    </xf>
    <xf numFmtId="168" fontId="0" fillId="0" borderId="22" xfId="1" applyNumberFormat="1" applyFont="1" applyBorder="1" applyProtection="1">
      <protection hidden="1"/>
    </xf>
    <xf numFmtId="168" fontId="0" fillId="0" borderId="1" xfId="1" applyNumberFormat="1" applyFont="1" applyBorder="1" applyProtection="1">
      <protection hidden="1"/>
    </xf>
    <xf numFmtId="168" fontId="0" fillId="0" borderId="8" xfId="1" applyNumberFormat="1" applyFont="1" applyBorder="1" applyProtection="1">
      <protection hidden="1"/>
    </xf>
    <xf numFmtId="168" fontId="0" fillId="0" borderId="4" xfId="1" applyNumberFormat="1" applyFont="1" applyBorder="1" applyProtection="1">
      <protection hidden="1"/>
    </xf>
    <xf numFmtId="168" fontId="0" fillId="0" borderId="9" xfId="1" applyNumberFormat="1" applyFont="1" applyBorder="1" applyProtection="1">
      <protection hidden="1"/>
    </xf>
    <xf numFmtId="0" fontId="9" fillId="0" borderId="0" xfId="0" applyFont="1" applyAlignment="1" applyProtection="1">
      <alignment horizontal="center" vertical="center" wrapText="1"/>
      <protection hidden="1"/>
    </xf>
    <xf numFmtId="0" fontId="9" fillId="16" borderId="2" xfId="0" applyFont="1" applyFill="1" applyBorder="1" applyAlignment="1" applyProtection="1">
      <alignment horizontal="center" vertical="center" wrapText="1"/>
      <protection hidden="1"/>
    </xf>
    <xf numFmtId="0" fontId="9" fillId="16" borderId="1" xfId="0" applyFont="1" applyFill="1" applyBorder="1" applyAlignment="1" applyProtection="1">
      <alignment horizontal="center" vertical="center" wrapText="1"/>
      <protection hidden="1"/>
    </xf>
    <xf numFmtId="9" fontId="0" fillId="14" borderId="1" xfId="2" applyFont="1" applyFill="1" applyBorder="1" applyProtection="1">
      <protection hidden="1"/>
    </xf>
    <xf numFmtId="9" fontId="0" fillId="14" borderId="19" xfId="2" applyFont="1" applyFill="1" applyBorder="1" applyProtection="1">
      <protection hidden="1"/>
    </xf>
    <xf numFmtId="9" fontId="0" fillId="14" borderId="6" xfId="2" applyFont="1" applyFill="1" applyBorder="1" applyProtection="1">
      <protection hidden="1"/>
    </xf>
    <xf numFmtId="9" fontId="0" fillId="14" borderId="4" xfId="2" applyFont="1" applyFill="1" applyBorder="1" applyProtection="1">
      <protection hidden="1"/>
    </xf>
    <xf numFmtId="9" fontId="0" fillId="14" borderId="21" xfId="2" applyFont="1" applyFill="1" applyBorder="1" applyProtection="1">
      <protection hidden="1"/>
    </xf>
    <xf numFmtId="0" fontId="0" fillId="0" borderId="6" xfId="0" applyBorder="1" applyProtection="1">
      <protection hidden="1"/>
    </xf>
    <xf numFmtId="0" fontId="0" fillId="0" borderId="7" xfId="0" applyBorder="1" applyProtection="1">
      <protection hidden="1"/>
    </xf>
    <xf numFmtId="0" fontId="0" fillId="0" borderId="2" xfId="0" applyBorder="1" applyProtection="1">
      <protection hidden="1"/>
    </xf>
    <xf numFmtId="0" fontId="9" fillId="16" borderId="5" xfId="0" applyFont="1" applyFill="1" applyBorder="1" applyAlignment="1" applyProtection="1">
      <alignment horizontal="center" vertical="center" wrapText="1"/>
      <protection hidden="1"/>
    </xf>
    <xf numFmtId="0" fontId="6" fillId="0" borderId="0" xfId="0" applyFont="1" applyAlignment="1" applyProtection="1">
      <alignment horizontal="center"/>
      <protection hidden="1"/>
    </xf>
    <xf numFmtId="0" fontId="8" fillId="0" borderId="0" xfId="0" applyFont="1" applyProtection="1">
      <protection hidden="1"/>
    </xf>
    <xf numFmtId="0" fontId="0" fillId="0" borderId="5" xfId="0" applyBorder="1" applyProtection="1">
      <protection hidden="1"/>
    </xf>
    <xf numFmtId="10" fontId="0" fillId="0" borderId="5" xfId="2" applyNumberFormat="1" applyFont="1" applyBorder="1" applyProtection="1">
      <protection hidden="1"/>
    </xf>
    <xf numFmtId="10" fontId="0" fillId="0" borderId="6" xfId="2" applyNumberFormat="1" applyFont="1" applyBorder="1" applyProtection="1">
      <protection hidden="1"/>
    </xf>
    <xf numFmtId="10" fontId="0" fillId="0" borderId="7" xfId="2" applyNumberFormat="1" applyFont="1" applyBorder="1" applyProtection="1">
      <protection hidden="1"/>
    </xf>
    <xf numFmtId="0" fontId="0" fillId="15" borderId="1" xfId="0" applyFill="1" applyBorder="1" applyProtection="1">
      <protection hidden="1"/>
    </xf>
    <xf numFmtId="0" fontId="0" fillId="0" borderId="1" xfId="0" applyBorder="1" applyProtection="1">
      <protection hidden="1"/>
    </xf>
    <xf numFmtId="0" fontId="0" fillId="0" borderId="8" xfId="0" applyBorder="1" applyProtection="1">
      <protection hidden="1"/>
    </xf>
    <xf numFmtId="10" fontId="0" fillId="0" borderId="2" xfId="2" applyNumberFormat="1" applyFont="1" applyBorder="1" applyProtection="1">
      <protection hidden="1"/>
    </xf>
    <xf numFmtId="0" fontId="3" fillId="15" borderId="1" xfId="0" applyFont="1" applyFill="1" applyBorder="1" applyProtection="1">
      <protection hidden="1"/>
    </xf>
    <xf numFmtId="164" fontId="7" fillId="0" borderId="0" xfId="3" applyNumberFormat="1" applyFill="1" applyBorder="1" applyProtection="1">
      <protection hidden="1"/>
    </xf>
    <xf numFmtId="0" fontId="3" fillId="0" borderId="2" xfId="2" applyNumberFormat="1" applyFont="1" applyBorder="1" applyProtection="1">
      <protection hidden="1"/>
    </xf>
    <xf numFmtId="10" fontId="7" fillId="2" borderId="1" xfId="2" applyNumberFormat="1" applyFont="1" applyFill="1" applyBorder="1" applyProtection="1">
      <protection hidden="1"/>
    </xf>
    <xf numFmtId="10" fontId="0" fillId="14" borderId="1" xfId="2" applyNumberFormat="1" applyFont="1" applyFill="1" applyBorder="1" applyProtection="1">
      <protection hidden="1"/>
    </xf>
    <xf numFmtId="10" fontId="0" fillId="2" borderId="1" xfId="2" applyNumberFormat="1" applyFont="1" applyFill="1" applyBorder="1" applyProtection="1">
      <protection hidden="1"/>
    </xf>
    <xf numFmtId="0" fontId="3" fillId="15" borderId="4" xfId="0" applyFont="1" applyFill="1" applyBorder="1" applyProtection="1">
      <protection hidden="1"/>
    </xf>
    <xf numFmtId="0" fontId="3" fillId="0" borderId="15" xfId="2" applyNumberFormat="1" applyFont="1" applyBorder="1" applyProtection="1">
      <protection hidden="1"/>
    </xf>
    <xf numFmtId="10" fontId="7" fillId="2" borderId="19" xfId="2" applyNumberFormat="1" applyFont="1" applyFill="1" applyBorder="1" applyProtection="1">
      <protection hidden="1"/>
    </xf>
    <xf numFmtId="10" fontId="0" fillId="2" borderId="4" xfId="0" applyNumberFormat="1" applyFill="1" applyBorder="1" applyProtection="1">
      <protection hidden="1"/>
    </xf>
    <xf numFmtId="0" fontId="3" fillId="15" borderId="21" xfId="0" applyFont="1" applyFill="1" applyBorder="1" applyProtection="1">
      <protection hidden="1"/>
    </xf>
    <xf numFmtId="0" fontId="7" fillId="0" borderId="0" xfId="3" applyFill="1" applyBorder="1" applyProtection="1">
      <protection hidden="1"/>
    </xf>
    <xf numFmtId="0" fontId="3" fillId="0" borderId="5" xfId="2" applyNumberFormat="1" applyFont="1" applyBorder="1" applyProtection="1">
      <protection hidden="1"/>
    </xf>
    <xf numFmtId="10" fontId="0" fillId="14" borderId="6" xfId="2" applyNumberFormat="1" applyFont="1" applyFill="1" applyBorder="1" applyProtection="1">
      <protection hidden="1"/>
    </xf>
    <xf numFmtId="0" fontId="3" fillId="0" borderId="3" xfId="2" applyNumberFormat="1" applyFont="1" applyBorder="1" applyProtection="1">
      <protection hidden="1"/>
    </xf>
    <xf numFmtId="10" fontId="0" fillId="14" borderId="4" xfId="2" applyNumberFormat="1" applyFont="1" applyFill="1" applyBorder="1" applyProtection="1">
      <protection hidden="1"/>
    </xf>
    <xf numFmtId="10" fontId="0" fillId="2" borderId="4" xfId="2" applyNumberFormat="1" applyFont="1" applyFill="1" applyBorder="1" applyProtection="1">
      <protection hidden="1"/>
    </xf>
    <xf numFmtId="0" fontId="0" fillId="0" borderId="18" xfId="0" applyBorder="1" applyProtection="1">
      <protection hidden="1"/>
    </xf>
    <xf numFmtId="0" fontId="0" fillId="0" borderId="23" xfId="0" applyBorder="1" applyProtection="1">
      <protection hidden="1"/>
    </xf>
    <xf numFmtId="164" fontId="0" fillId="2" borderId="1" xfId="1" applyFont="1" applyFill="1" applyBorder="1" applyProtection="1">
      <protection hidden="1"/>
    </xf>
    <xf numFmtId="9" fontId="0" fillId="0" borderId="1" xfId="1" applyNumberFormat="1" applyFont="1" applyFill="1" applyBorder="1" applyProtection="1">
      <protection hidden="1"/>
    </xf>
    <xf numFmtId="9" fontId="0" fillId="0" borderId="8" xfId="1" applyNumberFormat="1" applyFont="1" applyFill="1" applyBorder="1" applyProtection="1">
      <protection hidden="1"/>
    </xf>
    <xf numFmtId="9" fontId="0" fillId="2" borderId="1" xfId="2" applyFont="1" applyFill="1" applyBorder="1" applyProtection="1">
      <protection hidden="1"/>
    </xf>
    <xf numFmtId="0" fontId="3" fillId="0" borderId="15" xfId="0" applyFont="1" applyBorder="1" applyProtection="1">
      <protection hidden="1"/>
    </xf>
    <xf numFmtId="164" fontId="0" fillId="2" borderId="19" xfId="1" applyFont="1" applyFill="1" applyBorder="1" applyProtection="1">
      <protection hidden="1"/>
    </xf>
    <xf numFmtId="9" fontId="0" fillId="2" borderId="19" xfId="2" applyFont="1" applyFill="1" applyBorder="1" applyProtection="1">
      <protection hidden="1"/>
    </xf>
    <xf numFmtId="9" fontId="0" fillId="0" borderId="19" xfId="1" applyNumberFormat="1" applyFont="1" applyFill="1" applyBorder="1" applyProtection="1">
      <protection hidden="1"/>
    </xf>
    <xf numFmtId="9" fontId="0" fillId="0" borderId="20" xfId="1" applyNumberFormat="1" applyFont="1" applyFill="1" applyBorder="1" applyProtection="1">
      <protection hidden="1"/>
    </xf>
    <xf numFmtId="0" fontId="3" fillId="0" borderId="5" xfId="0" applyFont="1" applyBorder="1" applyProtection="1">
      <protection hidden="1"/>
    </xf>
    <xf numFmtId="0" fontId="0" fillId="2" borderId="6" xfId="0" applyFill="1" applyBorder="1" applyProtection="1">
      <protection hidden="1"/>
    </xf>
    <xf numFmtId="9" fontId="0" fillId="0" borderId="6" xfId="0" applyNumberFormat="1" applyBorder="1" applyProtection="1">
      <protection hidden="1"/>
    </xf>
    <xf numFmtId="9" fontId="0" fillId="0" borderId="7" xfId="0" applyNumberFormat="1" applyBorder="1" applyProtection="1">
      <protection hidden="1"/>
    </xf>
    <xf numFmtId="0" fontId="0" fillId="2" borderId="1" xfId="0" applyFill="1" applyBorder="1" applyProtection="1">
      <protection hidden="1"/>
    </xf>
    <xf numFmtId="9" fontId="0" fillId="0" borderId="1" xfId="0" applyNumberFormat="1" applyBorder="1" applyProtection="1">
      <protection hidden="1"/>
    </xf>
    <xf numFmtId="9" fontId="0" fillId="0" borderId="8" xfId="0" applyNumberFormat="1" applyBorder="1" applyProtection="1">
      <protection hidden="1"/>
    </xf>
    <xf numFmtId="9" fontId="0" fillId="0" borderId="1" xfId="2" applyFont="1" applyFill="1" applyBorder="1" applyProtection="1">
      <protection hidden="1"/>
    </xf>
    <xf numFmtId="9" fontId="0" fillId="0" borderId="8" xfId="2" applyFont="1" applyFill="1" applyBorder="1" applyProtection="1">
      <protection hidden="1"/>
    </xf>
    <xf numFmtId="0" fontId="0" fillId="2" borderId="19" xfId="0" applyFill="1" applyBorder="1" applyProtection="1">
      <protection hidden="1"/>
    </xf>
    <xf numFmtId="9" fontId="0" fillId="0" borderId="19" xfId="2" applyFont="1" applyFill="1" applyBorder="1" applyProtection="1">
      <protection hidden="1"/>
    </xf>
    <xf numFmtId="9" fontId="0" fillId="0" borderId="20" xfId="2" applyFont="1" applyFill="1" applyBorder="1" applyProtection="1">
      <protection hidden="1"/>
    </xf>
    <xf numFmtId="0" fontId="3" fillId="15" borderId="6" xfId="0" applyFont="1" applyFill="1" applyBorder="1" applyProtection="1">
      <protection hidden="1"/>
    </xf>
    <xf numFmtId="0" fontId="0" fillId="2" borderId="4" xfId="0" applyFill="1" applyBorder="1" applyProtection="1">
      <protection hidden="1"/>
    </xf>
    <xf numFmtId="9" fontId="0" fillId="0" borderId="4" xfId="0" applyNumberFormat="1" applyBorder="1" applyProtection="1">
      <protection hidden="1"/>
    </xf>
    <xf numFmtId="9" fontId="0" fillId="0" borderId="9" xfId="0" applyNumberFormat="1" applyBorder="1" applyProtection="1">
      <protection hidden="1"/>
    </xf>
    <xf numFmtId="0" fontId="0" fillId="2" borderId="30" xfId="0" applyFill="1" applyBorder="1" applyProtection="1">
      <protection hidden="1"/>
    </xf>
    <xf numFmtId="9" fontId="0" fillId="0" borderId="21" xfId="0" applyNumberFormat="1" applyBorder="1" applyProtection="1">
      <protection hidden="1"/>
    </xf>
    <xf numFmtId="9" fontId="0" fillId="0" borderId="22" xfId="0" applyNumberFormat="1" applyBorder="1" applyProtection="1">
      <protection hidden="1"/>
    </xf>
    <xf numFmtId="0" fontId="0" fillId="2" borderId="34" xfId="0" applyFill="1" applyBorder="1" applyProtection="1">
      <protection hidden="1"/>
    </xf>
    <xf numFmtId="0" fontId="0" fillId="2" borderId="36" xfId="0" applyFill="1" applyBorder="1" applyProtection="1">
      <protection hidden="1"/>
    </xf>
    <xf numFmtId="169" fontId="0" fillId="2" borderId="7" xfId="1" applyNumberFormat="1" applyFont="1" applyFill="1" applyBorder="1" applyProtection="1">
      <protection hidden="1"/>
    </xf>
    <xf numFmtId="0" fontId="3" fillId="0" borderId="29" xfId="0" applyFont="1" applyBorder="1" applyProtection="1">
      <protection hidden="1"/>
    </xf>
    <xf numFmtId="164" fontId="0" fillId="2" borderId="21" xfId="1" applyFont="1" applyFill="1" applyBorder="1" applyProtection="1">
      <protection hidden="1"/>
    </xf>
    <xf numFmtId="164" fontId="0" fillId="2" borderId="30" xfId="1" applyFont="1" applyFill="1" applyBorder="1" applyProtection="1">
      <protection hidden="1"/>
    </xf>
    <xf numFmtId="169" fontId="0" fillId="2" borderId="8" xfId="1" applyNumberFormat="1" applyFont="1" applyFill="1" applyBorder="1" applyProtection="1">
      <protection hidden="1"/>
    </xf>
    <xf numFmtId="0" fontId="0" fillId="2" borderId="21" xfId="0" applyFill="1" applyBorder="1" applyProtection="1">
      <protection hidden="1"/>
    </xf>
    <xf numFmtId="0" fontId="0" fillId="2" borderId="22" xfId="0" applyFill="1" applyBorder="1" applyProtection="1">
      <protection hidden="1"/>
    </xf>
    <xf numFmtId="0" fontId="0" fillId="2" borderId="8" xfId="0" applyFill="1" applyBorder="1" applyProtection="1">
      <protection hidden="1"/>
    </xf>
    <xf numFmtId="169" fontId="0" fillId="2" borderId="9" xfId="1" applyNumberFormat="1" applyFont="1" applyFill="1" applyBorder="1" applyProtection="1">
      <protection hidden="1"/>
    </xf>
    <xf numFmtId="169" fontId="0" fillId="2" borderId="22" xfId="1" applyNumberFormat="1" applyFont="1" applyFill="1" applyBorder="1" applyProtection="1">
      <protection hidden="1"/>
    </xf>
    <xf numFmtId="0" fontId="0" fillId="2" borderId="9" xfId="0" applyFill="1" applyBorder="1" applyProtection="1">
      <protection hidden="1"/>
    </xf>
    <xf numFmtId="1" fontId="2" fillId="22" borderId="0" xfId="0" applyNumberFormat="1" applyFont="1" applyFill="1" applyAlignment="1">
      <alignment horizontal="center" vertical="center"/>
    </xf>
    <xf numFmtId="1" fontId="0" fillId="0" borderId="0" xfId="0" applyNumberFormat="1" applyAlignment="1">
      <alignment horizontal="center" vertical="center"/>
    </xf>
    <xf numFmtId="1" fontId="0" fillId="26" borderId="1" xfId="0" applyNumberFormat="1" applyFill="1" applyBorder="1" applyAlignment="1" applyProtection="1">
      <alignment horizontal="center" vertical="center"/>
      <protection hidden="1"/>
    </xf>
    <xf numFmtId="177" fontId="0" fillId="26" borderId="1" xfId="0" applyNumberFormat="1" applyFill="1" applyBorder="1" applyAlignment="1" applyProtection="1">
      <alignment horizontal="center" vertical="center"/>
      <protection hidden="1"/>
    </xf>
    <xf numFmtId="1" fontId="0" fillId="26" borderId="1" xfId="0" applyNumberFormat="1" applyFill="1" applyBorder="1" applyAlignment="1" applyProtection="1">
      <alignment horizontal="left" vertical="center"/>
      <protection hidden="1"/>
    </xf>
    <xf numFmtId="2" fontId="0" fillId="26" borderId="1" xfId="0" applyNumberFormat="1" applyFill="1" applyBorder="1" applyAlignment="1" applyProtection="1">
      <alignment horizontal="center" vertical="center"/>
      <protection hidden="1"/>
    </xf>
    <xf numFmtId="173" fontId="0" fillId="26" borderId="1" xfId="0" applyNumberFormat="1" applyFill="1" applyBorder="1" applyAlignment="1" applyProtection="1">
      <alignment horizontal="center" vertical="center"/>
      <protection hidden="1"/>
    </xf>
    <xf numFmtId="167" fontId="0" fillId="26" borderId="1" xfId="0" applyNumberFormat="1" applyFill="1" applyBorder="1" applyAlignment="1" applyProtection="1">
      <alignment horizontal="center" vertical="center"/>
      <protection hidden="1"/>
    </xf>
    <xf numFmtId="166" fontId="0" fillId="26" borderId="1" xfId="0" applyNumberFormat="1" applyFill="1" applyBorder="1" applyAlignment="1" applyProtection="1">
      <alignment horizontal="center" vertical="center"/>
      <protection hidden="1"/>
    </xf>
    <xf numFmtId="1" fontId="0" fillId="26" borderId="19" xfId="0" applyNumberFormat="1" applyFill="1" applyBorder="1" applyAlignment="1" applyProtection="1">
      <alignment horizontal="center" vertical="center"/>
      <protection hidden="1"/>
    </xf>
    <xf numFmtId="177" fontId="0" fillId="26" borderId="19" xfId="0" applyNumberFormat="1" applyFill="1" applyBorder="1" applyAlignment="1" applyProtection="1">
      <alignment horizontal="center" vertical="center"/>
      <protection hidden="1"/>
    </xf>
    <xf numFmtId="1" fontId="0" fillId="26" borderId="19" xfId="0" applyNumberFormat="1" applyFill="1" applyBorder="1" applyAlignment="1" applyProtection="1">
      <alignment horizontal="left" vertical="center"/>
      <protection hidden="1"/>
    </xf>
    <xf numFmtId="2" fontId="0" fillId="26" borderId="19" xfId="0" applyNumberFormat="1" applyFill="1" applyBorder="1" applyAlignment="1" applyProtection="1">
      <alignment horizontal="center" vertical="center"/>
      <protection hidden="1"/>
    </xf>
    <xf numFmtId="173" fontId="0" fillId="26" borderId="19" xfId="0" applyNumberFormat="1" applyFill="1" applyBorder="1" applyAlignment="1" applyProtection="1">
      <alignment horizontal="center" vertical="center"/>
      <protection hidden="1"/>
    </xf>
    <xf numFmtId="167" fontId="0" fillId="26" borderId="19" xfId="0" applyNumberFormat="1" applyFill="1" applyBorder="1" applyAlignment="1" applyProtection="1">
      <alignment horizontal="center" vertical="center"/>
      <protection hidden="1"/>
    </xf>
    <xf numFmtId="166" fontId="0" fillId="26" borderId="19" xfId="0" applyNumberFormat="1" applyFill="1" applyBorder="1" applyAlignment="1" applyProtection="1">
      <alignment horizontal="center" vertical="center"/>
      <protection hidden="1"/>
    </xf>
    <xf numFmtId="1" fontId="0" fillId="0" borderId="0" xfId="0" applyNumberFormat="1" applyAlignment="1" applyProtection="1">
      <alignment horizontal="center" vertical="center"/>
      <protection hidden="1"/>
    </xf>
    <xf numFmtId="1" fontId="0" fillId="0" borderId="0" xfId="0" applyNumberFormat="1" applyAlignment="1" applyProtection="1">
      <alignment vertical="center"/>
      <protection hidden="1"/>
    </xf>
    <xf numFmtId="1" fontId="0" fillId="0" borderId="0" xfId="0" applyNumberFormat="1" applyAlignment="1">
      <alignment vertical="center"/>
    </xf>
    <xf numFmtId="167" fontId="0" fillId="26" borderId="34" xfId="0" applyNumberFormat="1" applyFill="1" applyBorder="1" applyAlignment="1" applyProtection="1">
      <alignment horizontal="center" vertical="center"/>
      <protection hidden="1"/>
    </xf>
    <xf numFmtId="167" fontId="0" fillId="26" borderId="36" xfId="0" applyNumberFormat="1" applyFill="1" applyBorder="1" applyAlignment="1" applyProtection="1">
      <alignment horizontal="center" vertical="center"/>
      <protection hidden="1"/>
    </xf>
    <xf numFmtId="1" fontId="0" fillId="0" borderId="1" xfId="0" applyNumberFormat="1" applyBorder="1" applyAlignment="1">
      <alignment horizontal="center" vertical="center" wrapText="1"/>
    </xf>
    <xf numFmtId="172" fontId="0" fillId="26" borderId="1" xfId="0" applyNumberFormat="1" applyFill="1" applyBorder="1" applyAlignment="1" applyProtection="1">
      <alignment horizontal="center" vertical="center"/>
      <protection hidden="1"/>
    </xf>
    <xf numFmtId="172" fontId="0" fillId="26" borderId="1" xfId="0" applyNumberFormat="1" applyFill="1" applyBorder="1" applyAlignment="1" applyProtection="1">
      <alignment horizontal="center" vertical="center" wrapText="1"/>
      <protection hidden="1"/>
    </xf>
    <xf numFmtId="0" fontId="34" fillId="22" borderId="0" xfId="0" applyFont="1" applyFill="1" applyAlignment="1">
      <alignment vertical="center" wrapText="1"/>
    </xf>
    <xf numFmtId="0" fontId="0" fillId="22" borderId="0" xfId="0" applyFill="1" applyAlignment="1">
      <alignment horizontal="center" vertical="center"/>
    </xf>
    <xf numFmtId="0" fontId="31" fillId="22" borderId="0" xfId="0" applyFont="1" applyFill="1" applyAlignment="1">
      <alignment vertical="center"/>
    </xf>
    <xf numFmtId="0" fontId="31" fillId="30" borderId="0" xfId="0" applyFont="1" applyFill="1" applyAlignment="1">
      <alignment vertical="center"/>
    </xf>
    <xf numFmtId="0" fontId="4" fillId="23" borderId="22" xfId="0" applyFont="1" applyFill="1" applyBorder="1" applyAlignment="1">
      <alignment horizontal="center" vertical="center" wrapText="1"/>
    </xf>
    <xf numFmtId="0" fontId="33" fillId="27" borderId="22" xfId="0" applyFont="1" applyFill="1" applyBorder="1" applyAlignment="1">
      <alignment horizontal="center" vertical="center" wrapText="1" readingOrder="1"/>
    </xf>
    <xf numFmtId="0" fontId="0" fillId="22" borderId="0" xfId="0" applyFill="1" applyAlignment="1" applyProtection="1">
      <alignment vertical="center"/>
      <protection hidden="1"/>
    </xf>
    <xf numFmtId="0" fontId="0" fillId="22" borderId="24" xfId="0" applyFill="1" applyBorder="1" applyAlignment="1" applyProtection="1">
      <alignment vertical="center"/>
      <protection hidden="1"/>
    </xf>
    <xf numFmtId="0" fontId="0" fillId="22" borderId="25" xfId="0" applyFill="1" applyBorder="1" applyAlignment="1" applyProtection="1">
      <alignment vertical="center"/>
      <protection hidden="1"/>
    </xf>
    <xf numFmtId="0" fontId="0" fillId="22" borderId="26" xfId="0" applyFill="1" applyBorder="1" applyAlignment="1" applyProtection="1">
      <alignment vertical="center"/>
      <protection hidden="1"/>
    </xf>
    <xf numFmtId="0" fontId="0" fillId="22" borderId="43" xfId="0" applyFill="1" applyBorder="1" applyAlignment="1" applyProtection="1">
      <alignment vertical="center"/>
      <protection hidden="1"/>
    </xf>
    <xf numFmtId="0" fontId="0" fillId="22" borderId="27" xfId="0" applyFill="1" applyBorder="1" applyAlignment="1" applyProtection="1">
      <alignment vertical="center"/>
      <protection hidden="1"/>
    </xf>
    <xf numFmtId="0" fontId="0" fillId="22" borderId="37" xfId="0" applyFill="1" applyBorder="1" applyAlignment="1" applyProtection="1">
      <alignment vertical="center"/>
      <protection hidden="1"/>
    </xf>
    <xf numFmtId="0" fontId="0" fillId="22" borderId="28" xfId="0" applyFill="1" applyBorder="1" applyAlignment="1" applyProtection="1">
      <alignment vertical="center"/>
      <protection hidden="1"/>
    </xf>
    <xf numFmtId="1" fontId="0" fillId="22" borderId="0" xfId="0" applyNumberFormat="1" applyFill="1" applyAlignment="1" applyProtection="1">
      <alignment vertical="center" wrapText="1"/>
      <protection hidden="1"/>
    </xf>
    <xf numFmtId="1" fontId="0" fillId="22" borderId="0" xfId="0" applyNumberFormat="1" applyFill="1" applyAlignment="1" applyProtection="1">
      <alignment horizontal="center" vertical="center"/>
      <protection hidden="1"/>
    </xf>
    <xf numFmtId="1" fontId="11" fillId="22" borderId="0" xfId="0" applyNumberFormat="1" applyFont="1" applyFill="1" applyAlignment="1" applyProtection="1">
      <alignment vertical="center" wrapText="1"/>
      <protection hidden="1"/>
    </xf>
    <xf numFmtId="1" fontId="2" fillId="22" borderId="0" xfId="0" applyNumberFormat="1" applyFont="1" applyFill="1" applyAlignment="1" applyProtection="1">
      <alignment horizontal="center" vertical="center"/>
      <protection hidden="1"/>
    </xf>
    <xf numFmtId="1" fontId="12" fillId="22" borderId="0" xfId="0" applyNumberFormat="1" applyFont="1" applyFill="1" applyAlignment="1" applyProtection="1">
      <alignment vertical="center" wrapText="1"/>
      <protection hidden="1"/>
    </xf>
    <xf numFmtId="1" fontId="25" fillId="24" borderId="0" xfId="0" applyNumberFormat="1" applyFont="1" applyFill="1" applyAlignment="1" applyProtection="1">
      <alignment vertical="center" wrapText="1"/>
      <protection hidden="1"/>
    </xf>
    <xf numFmtId="167" fontId="0" fillId="26" borderId="34" xfId="0" applyNumberFormat="1" applyFill="1" applyBorder="1" applyAlignment="1" applyProtection="1">
      <alignment vertical="center"/>
      <protection hidden="1"/>
    </xf>
    <xf numFmtId="1" fontId="0" fillId="26" borderId="1" xfId="0" applyNumberFormat="1" applyFill="1" applyBorder="1" applyAlignment="1" applyProtection="1">
      <alignment vertical="center"/>
      <protection hidden="1"/>
    </xf>
    <xf numFmtId="1" fontId="0" fillId="0" borderId="1" xfId="0" applyNumberFormat="1" applyBorder="1" applyAlignment="1" applyProtection="1">
      <alignment horizontal="center" vertical="center"/>
      <protection hidden="1"/>
    </xf>
    <xf numFmtId="1" fontId="0" fillId="0" borderId="0" xfId="0" applyNumberFormat="1" applyAlignment="1" applyProtection="1">
      <alignment horizontal="left" vertical="center"/>
      <protection hidden="1"/>
    </xf>
    <xf numFmtId="1" fontId="0" fillId="0" borderId="1" xfId="0" quotePrefix="1" applyNumberFormat="1" applyBorder="1" applyAlignment="1" applyProtection="1">
      <alignment horizontal="center" vertical="center"/>
      <protection locked="0"/>
    </xf>
    <xf numFmtId="177" fontId="0" fillId="0" borderId="1" xfId="0" quotePrefix="1" applyNumberFormat="1" applyBorder="1" applyAlignment="1" applyProtection="1">
      <alignment horizontal="center" vertical="center"/>
      <protection locked="0"/>
    </xf>
    <xf numFmtId="177" fontId="0" fillId="0" borderId="1" xfId="0" applyNumberFormat="1" applyBorder="1" applyAlignment="1" applyProtection="1">
      <alignment horizontal="center" vertical="center"/>
      <protection locked="0"/>
    </xf>
    <xf numFmtId="14" fontId="0" fillId="0" borderId="1" xfId="0" applyNumberFormat="1" applyBorder="1" applyAlignment="1" applyProtection="1">
      <alignment horizontal="center" vertical="center"/>
      <protection locked="0"/>
    </xf>
    <xf numFmtId="0" fontId="0" fillId="0" borderId="1" xfId="0" quotePrefix="1" applyBorder="1" applyAlignment="1" applyProtection="1">
      <alignment vertical="center" wrapText="1"/>
      <protection locked="0"/>
    </xf>
    <xf numFmtId="0" fontId="0" fillId="0" borderId="1" xfId="0" quotePrefix="1" applyBorder="1" applyAlignment="1" applyProtection="1">
      <alignment vertical="center"/>
      <protection locked="0"/>
    </xf>
    <xf numFmtId="0" fontId="0" fillId="0" borderId="1" xfId="0" quotePrefix="1" applyBorder="1" applyAlignment="1" applyProtection="1">
      <alignment horizontal="center" vertical="center"/>
      <protection locked="0"/>
    </xf>
    <xf numFmtId="49" fontId="13" fillId="0" borderId="1" xfId="5" quotePrefix="1" applyNumberFormat="1" applyBorder="1" applyAlignment="1" applyProtection="1">
      <alignment vertical="center"/>
      <protection locked="0"/>
    </xf>
    <xf numFmtId="49" fontId="0" fillId="0" borderId="1" xfId="0" applyNumberFormat="1" applyBorder="1" applyAlignment="1" applyProtection="1">
      <alignment horizontal="center" vertical="center"/>
      <protection locked="0"/>
    </xf>
    <xf numFmtId="49" fontId="0" fillId="0" borderId="1" xfId="0" quotePrefix="1" applyNumberFormat="1" applyBorder="1" applyAlignment="1" applyProtection="1">
      <alignment horizontal="center" vertical="center"/>
      <protection locked="0"/>
    </xf>
    <xf numFmtId="1" fontId="0" fillId="0" borderId="1" xfId="0" applyNumberFormat="1" applyBorder="1" applyAlignment="1" applyProtection="1">
      <alignment horizontal="center" vertical="center"/>
      <protection locked="0"/>
    </xf>
    <xf numFmtId="0" fontId="16" fillId="31" borderId="49" xfId="0" applyFont="1" applyFill="1" applyBorder="1" applyAlignment="1">
      <alignment horizontal="center" vertical="center"/>
    </xf>
    <xf numFmtId="0" fontId="16" fillId="31" borderId="7" xfId="0" applyFont="1" applyFill="1" applyBorder="1" applyAlignment="1" applyProtection="1">
      <alignment vertical="center"/>
      <protection locked="0"/>
    </xf>
    <xf numFmtId="0" fontId="16" fillId="31" borderId="8" xfId="0" applyFont="1" applyFill="1" applyBorder="1" applyAlignment="1" applyProtection="1">
      <alignment vertical="center"/>
      <protection locked="0"/>
    </xf>
    <xf numFmtId="9" fontId="16" fillId="31" borderId="8" xfId="2" applyFont="1" applyFill="1" applyBorder="1" applyAlignment="1" applyProtection="1">
      <alignment horizontal="left" vertical="center"/>
      <protection locked="0"/>
    </xf>
    <xf numFmtId="0" fontId="16" fillId="31" borderId="9" xfId="0" applyFont="1" applyFill="1" applyBorder="1" applyAlignment="1" applyProtection="1">
      <alignment vertical="center"/>
      <protection locked="0"/>
    </xf>
    <xf numFmtId="0" fontId="18" fillId="22" borderId="0" xfId="0" applyFont="1" applyFill="1" applyAlignment="1" applyProtection="1">
      <alignment vertical="center"/>
      <protection hidden="1"/>
    </xf>
    <xf numFmtId="0" fontId="18" fillId="7" borderId="1" xfId="0" applyFont="1" applyFill="1" applyBorder="1" applyAlignment="1" applyProtection="1">
      <alignment vertical="center"/>
      <protection hidden="1"/>
    </xf>
    <xf numFmtId="0" fontId="18" fillId="7" borderId="1" xfId="0" applyFont="1" applyFill="1" applyBorder="1" applyAlignment="1" applyProtection="1">
      <alignment horizontal="center" vertical="center" wrapText="1"/>
      <protection hidden="1"/>
    </xf>
    <xf numFmtId="0" fontId="18" fillId="22" borderId="1" xfId="0" applyFont="1" applyFill="1" applyBorder="1" applyAlignment="1" applyProtection="1">
      <alignment horizontal="center" vertical="center"/>
      <protection hidden="1"/>
    </xf>
    <xf numFmtId="0" fontId="18" fillId="22" borderId="1" xfId="0" applyFont="1" applyFill="1" applyBorder="1" applyAlignment="1" applyProtection="1">
      <alignment horizontal="center" vertical="center" wrapText="1"/>
      <protection hidden="1"/>
    </xf>
    <xf numFmtId="0" fontId="31" fillId="30" borderId="0" xfId="0" applyFont="1" applyFill="1" applyAlignment="1">
      <alignment horizontal="center" vertical="center"/>
    </xf>
    <xf numFmtId="0" fontId="2" fillId="0" borderId="1" xfId="0" applyFont="1" applyBorder="1"/>
    <xf numFmtId="0" fontId="0" fillId="23" borderId="1" xfId="0" applyFill="1" applyBorder="1"/>
    <xf numFmtId="0" fontId="0" fillId="0" borderId="1" xfId="0" applyBorder="1" applyAlignment="1">
      <alignment horizontal="left"/>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left" vertical="center"/>
    </xf>
    <xf numFmtId="0" fontId="0" fillId="0" borderId="1" xfId="0" applyBorder="1" applyAlignment="1">
      <alignment horizontal="center" vertical="center"/>
    </xf>
    <xf numFmtId="0" fontId="35" fillId="0" borderId="0" xfId="0" applyFont="1"/>
    <xf numFmtId="2" fontId="27" fillId="0" borderId="1" xfId="0" applyNumberFormat="1" applyFont="1" applyBorder="1" applyAlignment="1" applyProtection="1">
      <alignment horizontal="center" vertical="center"/>
      <protection hidden="1"/>
    </xf>
    <xf numFmtId="0" fontId="4" fillId="0" borderId="0" xfId="0" applyFont="1" applyAlignment="1">
      <alignment horizontal="center" vertical="center" wrapText="1"/>
    </xf>
    <xf numFmtId="0" fontId="38" fillId="32" borderId="1" xfId="0" applyFont="1" applyFill="1" applyBorder="1" applyAlignment="1">
      <alignment horizontal="center" vertical="center" wrapText="1" readingOrder="1"/>
    </xf>
    <xf numFmtId="167" fontId="16" fillId="23" borderId="1" xfId="0" applyNumberFormat="1" applyFont="1" applyFill="1" applyBorder="1" applyAlignment="1" applyProtection="1">
      <alignment vertical="center"/>
      <protection hidden="1"/>
    </xf>
    <xf numFmtId="165" fontId="18" fillId="7" borderId="1" xfId="0" applyNumberFormat="1" applyFont="1" applyFill="1" applyBorder="1" applyAlignment="1" applyProtection="1">
      <alignment horizontal="center" vertical="center"/>
      <protection hidden="1"/>
    </xf>
    <xf numFmtId="165" fontId="18" fillId="22" borderId="1" xfId="0" applyNumberFormat="1" applyFont="1" applyFill="1" applyBorder="1" applyAlignment="1" applyProtection="1">
      <alignment horizontal="center" vertical="center"/>
      <protection hidden="1"/>
    </xf>
    <xf numFmtId="0" fontId="40" fillId="29" borderId="1" xfId="0" applyFont="1" applyFill="1" applyBorder="1" applyAlignment="1" applyProtection="1">
      <alignment vertical="center"/>
      <protection hidden="1"/>
    </xf>
    <xf numFmtId="0" fontId="40" fillId="29" borderId="1" xfId="0" applyFont="1" applyFill="1" applyBorder="1" applyAlignment="1" applyProtection="1">
      <alignment horizontal="center" vertical="center"/>
      <protection hidden="1"/>
    </xf>
    <xf numFmtId="165" fontId="18" fillId="22" borderId="1" xfId="0" applyNumberFormat="1" applyFont="1" applyFill="1" applyBorder="1" applyAlignment="1" applyProtection="1">
      <alignment horizontal="center" vertical="center" wrapText="1"/>
      <protection hidden="1"/>
    </xf>
    <xf numFmtId="1" fontId="25" fillId="24" borderId="0" xfId="0" applyNumberFormat="1" applyFont="1" applyFill="1" applyAlignment="1" applyProtection="1">
      <alignment horizontal="center" vertical="center" wrapText="1"/>
      <protection hidden="1"/>
    </xf>
    <xf numFmtId="0" fontId="0" fillId="0" borderId="1" xfId="0" applyBorder="1" applyAlignment="1">
      <alignment horizontal="center" vertical="center" wrapText="1"/>
    </xf>
    <xf numFmtId="0" fontId="12" fillId="0" borderId="1" xfId="0" quotePrefix="1" applyFont="1" applyBorder="1"/>
    <xf numFmtId="0" fontId="12" fillId="0" borderId="1" xfId="0" applyFont="1" applyBorder="1" applyAlignment="1">
      <alignment horizontal="center"/>
    </xf>
    <xf numFmtId="180" fontId="39" fillId="0" borderId="1" xfId="0" quotePrefix="1" applyNumberFormat="1" applyFont="1" applyBorder="1" applyAlignment="1" applyProtection="1">
      <alignment horizontal="center" vertical="center"/>
      <protection hidden="1"/>
    </xf>
    <xf numFmtId="2" fontId="27" fillId="22" borderId="1" xfId="0" applyNumberFormat="1" applyFont="1" applyFill="1" applyBorder="1" applyAlignment="1" applyProtection="1">
      <alignment horizontal="center" vertical="center"/>
      <protection hidden="1"/>
    </xf>
    <xf numFmtId="0" fontId="32" fillId="24" borderId="59" xfId="0" applyFont="1" applyFill="1" applyBorder="1" applyAlignment="1">
      <alignment horizontal="center" vertical="center" wrapText="1"/>
    </xf>
    <xf numFmtId="0" fontId="0" fillId="0" borderId="38" xfId="0" applyBorder="1" applyAlignment="1" applyProtection="1">
      <alignment vertical="center"/>
      <protection locked="0"/>
    </xf>
    <xf numFmtId="0" fontId="32" fillId="24" borderId="60" xfId="0" applyFont="1" applyFill="1" applyBorder="1" applyAlignment="1">
      <alignment horizontal="center" vertical="center" wrapText="1"/>
    </xf>
    <xf numFmtId="0" fontId="10" fillId="0" borderId="0" xfId="0" applyFont="1" applyAlignment="1" applyProtection="1">
      <alignment vertical="center"/>
      <protection hidden="1"/>
    </xf>
    <xf numFmtId="0" fontId="10" fillId="0" borderId="0" xfId="0" applyFont="1" applyAlignment="1" applyProtection="1">
      <alignment horizontal="center" vertical="center"/>
      <protection hidden="1"/>
    </xf>
    <xf numFmtId="0" fontId="5" fillId="0" borderId="0" xfId="0" applyFont="1" applyAlignment="1" applyProtection="1">
      <alignment vertical="center"/>
      <protection hidden="1"/>
    </xf>
    <xf numFmtId="0" fontId="0" fillId="0" borderId="0" xfId="0" applyAlignment="1" applyProtection="1">
      <alignment vertical="center"/>
      <protection hidden="1"/>
    </xf>
    <xf numFmtId="0" fontId="0" fillId="4" borderId="5" xfId="0" applyFill="1" applyBorder="1" applyAlignment="1" applyProtection="1">
      <alignment vertical="center"/>
      <protection hidden="1"/>
    </xf>
    <xf numFmtId="0" fontId="0" fillId="2" borderId="2" xfId="0" applyFill="1" applyBorder="1" applyAlignment="1" applyProtection="1">
      <alignment vertical="center"/>
      <protection hidden="1"/>
    </xf>
    <xf numFmtId="168" fontId="0" fillId="0" borderId="1" xfId="1" applyNumberFormat="1" applyFont="1" applyBorder="1" applyAlignment="1" applyProtection="1">
      <alignment vertical="center"/>
      <protection hidden="1"/>
    </xf>
    <xf numFmtId="168" fontId="0" fillId="0" borderId="8" xfId="1" applyNumberFormat="1" applyFont="1" applyBorder="1" applyAlignment="1" applyProtection="1">
      <alignment vertical="center"/>
      <protection hidden="1"/>
    </xf>
    <xf numFmtId="168" fontId="0" fillId="0" borderId="0" xfId="1" applyNumberFormat="1" applyFont="1" applyFill="1" applyBorder="1" applyAlignment="1" applyProtection="1">
      <alignment vertical="center"/>
      <protection hidden="1"/>
    </xf>
    <xf numFmtId="0" fontId="3" fillId="0" borderId="2" xfId="0" applyFont="1" applyBorder="1" applyAlignment="1" applyProtection="1">
      <alignment vertical="center"/>
      <protection hidden="1"/>
    </xf>
    <xf numFmtId="168" fontId="0" fillId="0" borderId="1" xfId="0" applyNumberFormat="1" applyBorder="1" applyAlignment="1" applyProtection="1">
      <alignment vertical="center"/>
      <protection hidden="1"/>
    </xf>
    <xf numFmtId="168" fontId="0" fillId="0" borderId="8" xfId="0" applyNumberFormat="1" applyBorder="1" applyAlignment="1" applyProtection="1">
      <alignment vertical="center"/>
      <protection hidden="1"/>
    </xf>
    <xf numFmtId="0" fontId="3" fillId="0" borderId="1" xfId="0" applyFont="1" applyBorder="1" applyAlignment="1" applyProtection="1">
      <alignment vertical="center"/>
      <protection hidden="1"/>
    </xf>
    <xf numFmtId="170" fontId="0" fillId="0" borderId="1" xfId="1" applyNumberFormat="1" applyFont="1" applyBorder="1" applyAlignment="1" applyProtection="1">
      <alignment vertical="center"/>
      <protection hidden="1"/>
    </xf>
    <xf numFmtId="170" fontId="0" fillId="0" borderId="8" xfId="1" applyNumberFormat="1" applyFont="1" applyBorder="1" applyAlignment="1" applyProtection="1">
      <alignment vertical="center"/>
      <protection hidden="1"/>
    </xf>
    <xf numFmtId="170" fontId="0" fillId="0" borderId="0" xfId="1" applyNumberFormat="1" applyFont="1" applyFill="1" applyBorder="1" applyAlignment="1" applyProtection="1">
      <alignment vertical="center"/>
      <protection hidden="1"/>
    </xf>
    <xf numFmtId="171" fontId="0" fillId="0" borderId="11" xfId="2" applyNumberFormat="1" applyFont="1" applyFill="1" applyBorder="1" applyAlignment="1" applyProtection="1">
      <alignment vertical="center"/>
      <protection hidden="1"/>
    </xf>
    <xf numFmtId="9" fontId="0" fillId="14" borderId="1" xfId="2" applyFont="1" applyFill="1" applyBorder="1" applyAlignment="1" applyProtection="1">
      <alignment vertical="center"/>
      <protection hidden="1"/>
    </xf>
    <xf numFmtId="9" fontId="0" fillId="0" borderId="1" xfId="2" applyFont="1" applyBorder="1" applyAlignment="1" applyProtection="1">
      <alignment vertical="center"/>
      <protection hidden="1"/>
    </xf>
    <xf numFmtId="9" fontId="0" fillId="0" borderId="8" xfId="2" applyFont="1" applyBorder="1" applyAlignment="1" applyProtection="1">
      <alignment vertical="center"/>
      <protection hidden="1"/>
    </xf>
    <xf numFmtId="170" fontId="0" fillId="0" borderId="0" xfId="1" applyNumberFormat="1" applyFont="1" applyBorder="1" applyAlignment="1" applyProtection="1">
      <alignment vertical="center"/>
      <protection hidden="1"/>
    </xf>
    <xf numFmtId="0" fontId="3" fillId="0" borderId="3" xfId="0" applyFont="1" applyBorder="1" applyAlignment="1" applyProtection="1">
      <alignment vertical="center"/>
      <protection hidden="1"/>
    </xf>
    <xf numFmtId="168" fontId="0" fillId="0" borderId="4" xfId="0" applyNumberFormat="1" applyBorder="1" applyAlignment="1" applyProtection="1">
      <alignment vertical="center"/>
      <protection hidden="1"/>
    </xf>
    <xf numFmtId="168" fontId="0" fillId="0" borderId="9" xfId="0" applyNumberFormat="1" applyBorder="1" applyAlignment="1" applyProtection="1">
      <alignment vertical="center"/>
      <protection hidden="1"/>
    </xf>
    <xf numFmtId="0" fontId="3" fillId="0" borderId="4" xfId="0" applyFont="1" applyBorder="1" applyAlignment="1" applyProtection="1">
      <alignment vertical="center"/>
      <protection hidden="1"/>
    </xf>
    <xf numFmtId="170" fontId="0" fillId="0" borderId="4" xfId="1" applyNumberFormat="1" applyFont="1" applyBorder="1" applyAlignment="1" applyProtection="1">
      <alignment vertical="center"/>
      <protection hidden="1"/>
    </xf>
    <xf numFmtId="170" fontId="0" fillId="0" borderId="9" xfId="1" applyNumberFormat="1" applyFont="1" applyBorder="1" applyAlignment="1" applyProtection="1">
      <alignment vertical="center"/>
      <protection hidden="1"/>
    </xf>
    <xf numFmtId="9" fontId="0" fillId="14" borderId="19" xfId="2" applyFont="1" applyFill="1" applyBorder="1" applyAlignment="1" applyProtection="1">
      <alignment vertical="center"/>
      <protection hidden="1"/>
    </xf>
    <xf numFmtId="9" fontId="0" fillId="14" borderId="6" xfId="2" applyFont="1" applyFill="1" applyBorder="1" applyAlignment="1" applyProtection="1">
      <alignment vertical="center"/>
      <protection hidden="1"/>
    </xf>
    <xf numFmtId="9" fontId="0" fillId="14" borderId="4" xfId="2" applyFont="1" applyFill="1" applyBorder="1" applyAlignment="1" applyProtection="1">
      <alignment vertical="center"/>
      <protection hidden="1"/>
    </xf>
    <xf numFmtId="9" fontId="0" fillId="14" borderId="21" xfId="2" applyFont="1" applyFill="1" applyBorder="1" applyAlignment="1" applyProtection="1">
      <alignment vertical="center"/>
      <protection hidden="1"/>
    </xf>
    <xf numFmtId="0" fontId="3" fillId="0" borderId="0" xfId="0" applyFont="1" applyAlignment="1" applyProtection="1">
      <alignment vertical="center"/>
      <protection hidden="1"/>
    </xf>
    <xf numFmtId="0" fontId="0" fillId="0" borderId="6" xfId="0" applyBorder="1" applyAlignment="1" applyProtection="1">
      <alignment vertical="center"/>
      <protection hidden="1"/>
    </xf>
    <xf numFmtId="0" fontId="0" fillId="0" borderId="7" xfId="0" applyBorder="1" applyAlignment="1" applyProtection="1">
      <alignment vertical="center"/>
      <protection hidden="1"/>
    </xf>
    <xf numFmtId="168" fontId="1" fillId="0" borderId="1" xfId="1" applyNumberFormat="1" applyFont="1" applyBorder="1" applyAlignment="1" applyProtection="1">
      <alignment vertical="center"/>
      <protection hidden="1"/>
    </xf>
    <xf numFmtId="168" fontId="1" fillId="0" borderId="8" xfId="1" applyNumberFormat="1" applyFont="1" applyBorder="1" applyAlignment="1" applyProtection="1">
      <alignment vertical="center"/>
      <protection hidden="1"/>
    </xf>
    <xf numFmtId="0" fontId="0" fillId="0" borderId="2" xfId="0" applyBorder="1" applyAlignment="1" applyProtection="1">
      <alignment vertical="center"/>
      <protection hidden="1"/>
    </xf>
    <xf numFmtId="168" fontId="0" fillId="0" borderId="4" xfId="1" applyNumberFormat="1" applyFont="1" applyBorder="1" applyAlignment="1" applyProtection="1">
      <alignment vertical="center"/>
      <protection hidden="1"/>
    </xf>
    <xf numFmtId="168" fontId="0" fillId="0" borderId="9" xfId="1" applyNumberFormat="1" applyFont="1" applyBorder="1" applyAlignment="1" applyProtection="1">
      <alignment vertical="center"/>
      <protection hidden="1"/>
    </xf>
    <xf numFmtId="0" fontId="3" fillId="4" borderId="24" xfId="0" applyFont="1" applyFill="1" applyBorder="1" applyAlignment="1" applyProtection="1">
      <alignment vertical="center"/>
      <protection hidden="1"/>
    </xf>
    <xf numFmtId="0" fontId="0" fillId="0" borderId="25" xfId="0" applyBorder="1" applyAlignment="1" applyProtection="1">
      <alignment vertical="center"/>
      <protection hidden="1"/>
    </xf>
    <xf numFmtId="0" fontId="0" fillId="0" borderId="26" xfId="0" applyBorder="1" applyAlignment="1" applyProtection="1">
      <alignment vertical="center"/>
      <protection hidden="1"/>
    </xf>
    <xf numFmtId="168" fontId="1" fillId="0" borderId="6" xfId="1" applyNumberFormat="1" applyFont="1" applyBorder="1" applyAlignment="1" applyProtection="1">
      <alignment vertical="center"/>
      <protection hidden="1"/>
    </xf>
    <xf numFmtId="168" fontId="1" fillId="0" borderId="7" xfId="1" applyNumberFormat="1" applyFont="1" applyBorder="1" applyAlignment="1" applyProtection="1">
      <alignment vertical="center"/>
      <protection hidden="1"/>
    </xf>
    <xf numFmtId="0" fontId="0" fillId="22" borderId="61" xfId="0" applyFill="1" applyBorder="1" applyAlignment="1" applyProtection="1">
      <alignment vertical="center"/>
      <protection locked="0"/>
    </xf>
    <xf numFmtId="9" fontId="12" fillId="0" borderId="1" xfId="0" applyNumberFormat="1" applyFont="1" applyBorder="1" applyAlignment="1">
      <alignment horizontal="center"/>
    </xf>
    <xf numFmtId="177" fontId="27" fillId="0" borderId="1" xfId="0" applyNumberFormat="1" applyFont="1" applyBorder="1" applyAlignment="1" applyProtection="1">
      <alignment horizontal="center" vertical="center"/>
      <protection hidden="1"/>
    </xf>
    <xf numFmtId="179" fontId="0" fillId="0" borderId="1" xfId="0" applyNumberFormat="1" applyBorder="1" applyAlignment="1" applyProtection="1">
      <alignment horizontal="center" vertical="center"/>
      <protection locked="0"/>
    </xf>
    <xf numFmtId="14" fontId="0" fillId="0" borderId="1" xfId="0" quotePrefix="1" applyNumberFormat="1" applyBorder="1" applyAlignment="1" applyProtection="1">
      <alignment horizontal="center" vertical="center"/>
      <protection locked="0"/>
    </xf>
    <xf numFmtId="0" fontId="0" fillId="0" borderId="65" xfId="0" applyBorder="1" applyProtection="1">
      <protection hidden="1"/>
    </xf>
    <xf numFmtId="0" fontId="3" fillId="15" borderId="34" xfId="0" applyFont="1" applyFill="1" applyBorder="1" applyProtection="1">
      <protection hidden="1"/>
    </xf>
    <xf numFmtId="0" fontId="3" fillId="15" borderId="66" xfId="0" applyFont="1" applyFill="1" applyBorder="1" applyProtection="1">
      <protection hidden="1"/>
    </xf>
    <xf numFmtId="0" fontId="3" fillId="15" borderId="30" xfId="0" applyFont="1" applyFill="1" applyBorder="1" applyProtection="1">
      <protection hidden="1"/>
    </xf>
    <xf numFmtId="0" fontId="3" fillId="15" borderId="67" xfId="0" applyFont="1" applyFill="1" applyBorder="1" applyProtection="1">
      <protection hidden="1"/>
    </xf>
    <xf numFmtId="169" fontId="0" fillId="0" borderId="2" xfId="1" applyNumberFormat="1" applyFont="1" applyBorder="1" applyProtection="1">
      <protection hidden="1"/>
    </xf>
    <xf numFmtId="169" fontId="0" fillId="0" borderId="3" xfId="1" applyNumberFormat="1" applyFont="1" applyBorder="1" applyProtection="1">
      <protection hidden="1"/>
    </xf>
    <xf numFmtId="169" fontId="0" fillId="0" borderId="16" xfId="1" applyNumberFormat="1" applyFont="1" applyBorder="1" applyProtection="1">
      <protection hidden="1"/>
    </xf>
    <xf numFmtId="169" fontId="0" fillId="0" borderId="5" xfId="1" applyNumberFormat="1" applyFont="1" applyFill="1" applyBorder="1" applyProtection="1">
      <protection hidden="1"/>
    </xf>
    <xf numFmtId="169" fontId="0" fillId="2" borderId="59" xfId="1" applyNumberFormat="1" applyFont="1" applyFill="1" applyBorder="1" applyProtection="1">
      <protection hidden="1"/>
    </xf>
    <xf numFmtId="169" fontId="0" fillId="2" borderId="38" xfId="1" applyNumberFormat="1" applyFont="1" applyFill="1" applyBorder="1" applyProtection="1">
      <protection hidden="1"/>
    </xf>
    <xf numFmtId="169" fontId="0" fillId="2" borderId="53" xfId="1" applyNumberFormat="1" applyFont="1" applyFill="1" applyBorder="1" applyProtection="1">
      <protection hidden="1"/>
    </xf>
    <xf numFmtId="169" fontId="0" fillId="2" borderId="52" xfId="1" applyNumberFormat="1" applyFont="1" applyFill="1" applyBorder="1" applyProtection="1">
      <protection hidden="1"/>
    </xf>
    <xf numFmtId="169" fontId="0" fillId="2" borderId="69" xfId="1" applyNumberFormat="1" applyFont="1" applyFill="1" applyBorder="1" applyProtection="1">
      <protection hidden="1"/>
    </xf>
    <xf numFmtId="169" fontId="0" fillId="2" borderId="63" xfId="1" applyNumberFormat="1" applyFont="1" applyFill="1" applyBorder="1" applyProtection="1">
      <protection hidden="1"/>
    </xf>
    <xf numFmtId="169" fontId="0" fillId="2" borderId="68" xfId="1" applyNumberFormat="1" applyFont="1" applyFill="1" applyBorder="1" applyProtection="1">
      <protection hidden="1"/>
    </xf>
    <xf numFmtId="169" fontId="0" fillId="2" borderId="58" xfId="1" applyNumberFormat="1" applyFont="1" applyFill="1" applyBorder="1" applyProtection="1">
      <protection hidden="1"/>
    </xf>
    <xf numFmtId="0" fontId="0" fillId="0" borderId="70" xfId="0" applyBorder="1" applyProtection="1">
      <protection hidden="1"/>
    </xf>
    <xf numFmtId="0" fontId="0" fillId="15" borderId="13" xfId="0" applyFill="1" applyBorder="1" applyProtection="1">
      <protection hidden="1"/>
    </xf>
    <xf numFmtId="0" fontId="0" fillId="15" borderId="17" xfId="0" applyFill="1" applyBorder="1" applyProtection="1">
      <protection hidden="1"/>
    </xf>
    <xf numFmtId="0" fontId="0" fillId="15" borderId="54" xfId="0" applyFill="1" applyBorder="1" applyProtection="1">
      <protection hidden="1"/>
    </xf>
    <xf numFmtId="0" fontId="0" fillId="0" borderId="13" xfId="0" applyBorder="1" applyProtection="1">
      <protection hidden="1"/>
    </xf>
    <xf numFmtId="0" fontId="0" fillId="0" borderId="14" xfId="0" applyBorder="1" applyProtection="1">
      <protection hidden="1"/>
    </xf>
    <xf numFmtId="0" fontId="0" fillId="0" borderId="62" xfId="0" applyBorder="1" applyProtection="1">
      <protection hidden="1"/>
    </xf>
    <xf numFmtId="0" fontId="0" fillId="0" borderId="47" xfId="0" applyBorder="1" applyProtection="1">
      <protection hidden="1"/>
    </xf>
    <xf numFmtId="0" fontId="0" fillId="0" borderId="46" xfId="0" applyBorder="1" applyProtection="1">
      <protection hidden="1"/>
    </xf>
    <xf numFmtId="0" fontId="0" fillId="0" borderId="48" xfId="0" applyBorder="1" applyProtection="1">
      <protection hidden="1"/>
    </xf>
    <xf numFmtId="0" fontId="0" fillId="0" borderId="49" xfId="0" applyBorder="1" applyProtection="1">
      <protection hidden="1"/>
    </xf>
    <xf numFmtId="181" fontId="16" fillId="23" borderId="4" xfId="0" applyNumberFormat="1" applyFont="1" applyFill="1" applyBorder="1" applyAlignment="1" applyProtection="1">
      <alignment vertical="center"/>
      <protection hidden="1"/>
    </xf>
    <xf numFmtId="10" fontId="0" fillId="0" borderId="1" xfId="2" applyNumberFormat="1" applyFont="1" applyFill="1" applyBorder="1" applyProtection="1">
      <protection hidden="1"/>
    </xf>
    <xf numFmtId="0" fontId="43" fillId="22" borderId="1" xfId="0" applyFont="1" applyFill="1" applyBorder="1" applyAlignment="1">
      <alignment horizontal="left" vertical="center"/>
    </xf>
    <xf numFmtId="0" fontId="0" fillId="0" borderId="34" xfId="0" applyBorder="1" applyAlignment="1">
      <alignment horizontal="left"/>
    </xf>
    <xf numFmtId="0" fontId="12" fillId="0" borderId="38" xfId="0" applyFont="1" applyBorder="1"/>
    <xf numFmtId="0" fontId="16" fillId="23" borderId="71" xfId="0" applyFont="1" applyFill="1" applyBorder="1" applyAlignment="1">
      <alignment horizontal="center" vertical="center" wrapText="1"/>
    </xf>
    <xf numFmtId="0" fontId="16" fillId="23" borderId="6" xfId="0" applyFont="1" applyFill="1" applyBorder="1" applyAlignment="1">
      <alignment vertical="center"/>
    </xf>
    <xf numFmtId="166" fontId="16" fillId="5" borderId="1" xfId="1" applyNumberFormat="1" applyFont="1" applyFill="1" applyBorder="1" applyAlignment="1" applyProtection="1">
      <alignment vertical="center"/>
      <protection locked="0"/>
    </xf>
    <xf numFmtId="0" fontId="6" fillId="24" borderId="19" xfId="0" applyFont="1" applyFill="1" applyBorder="1" applyAlignment="1">
      <alignment horizontal="center" vertical="center"/>
    </xf>
    <xf numFmtId="0" fontId="4" fillId="23" borderId="33" xfId="0" applyFont="1" applyFill="1" applyBorder="1" applyAlignment="1">
      <alignment horizontal="center" vertical="center" wrapText="1"/>
    </xf>
    <xf numFmtId="0" fontId="3" fillId="33" borderId="6" xfId="0" applyFont="1" applyFill="1" applyBorder="1" applyProtection="1">
      <protection hidden="1"/>
    </xf>
    <xf numFmtId="0" fontId="0" fillId="0" borderId="0" xfId="0" applyAlignment="1">
      <alignment horizontal="center" vertical="center"/>
    </xf>
    <xf numFmtId="0" fontId="0" fillId="0" borderId="0" xfId="0" applyAlignment="1">
      <alignment horizontal="center"/>
    </xf>
    <xf numFmtId="182" fontId="0" fillId="0" borderId="2" xfId="1" applyNumberFormat="1" applyFont="1" applyBorder="1" applyProtection="1">
      <protection hidden="1"/>
    </xf>
    <xf numFmtId="183" fontId="0" fillId="0" borderId="16" xfId="1" applyNumberFormat="1" applyFont="1" applyBorder="1" applyProtection="1">
      <protection hidden="1"/>
    </xf>
    <xf numFmtId="183" fontId="0" fillId="0" borderId="22" xfId="1" applyNumberFormat="1" applyFont="1" applyBorder="1" applyProtection="1">
      <protection hidden="1"/>
    </xf>
    <xf numFmtId="183" fontId="0" fillId="0" borderId="2" xfId="1" applyNumberFormat="1" applyFont="1" applyBorder="1" applyProtection="1">
      <protection hidden="1"/>
    </xf>
    <xf numFmtId="183" fontId="0" fillId="0" borderId="8" xfId="1" applyNumberFormat="1" applyFont="1" applyBorder="1" applyProtection="1">
      <protection hidden="1"/>
    </xf>
    <xf numFmtId="183" fontId="0" fillId="0" borderId="3" xfId="1" applyNumberFormat="1" applyFont="1" applyBorder="1" applyProtection="1">
      <protection hidden="1"/>
    </xf>
    <xf numFmtId="183" fontId="0" fillId="0" borderId="9" xfId="1" applyNumberFormat="1" applyFont="1" applyBorder="1" applyProtection="1">
      <protection hidden="1"/>
    </xf>
    <xf numFmtId="183" fontId="0" fillId="0" borderId="52" xfId="1" applyNumberFormat="1" applyFont="1" applyBorder="1" applyProtection="1">
      <protection hidden="1"/>
    </xf>
    <xf numFmtId="183" fontId="0" fillId="0" borderId="38" xfId="1" applyNumberFormat="1" applyFont="1" applyBorder="1" applyProtection="1">
      <protection hidden="1"/>
    </xf>
    <xf numFmtId="183" fontId="0" fillId="0" borderId="53" xfId="1" applyNumberFormat="1" applyFont="1" applyBorder="1" applyProtection="1">
      <protection hidden="1"/>
    </xf>
    <xf numFmtId="183" fontId="0" fillId="0" borderId="58" xfId="1" applyNumberFormat="1" applyFont="1" applyBorder="1" applyProtection="1">
      <protection hidden="1"/>
    </xf>
    <xf numFmtId="183" fontId="0" fillId="0" borderId="63" xfId="1" applyNumberFormat="1" applyFont="1" applyBorder="1" applyProtection="1">
      <protection hidden="1"/>
    </xf>
    <xf numFmtId="183" fontId="0" fillId="0" borderId="68" xfId="1" applyNumberFormat="1" applyFont="1" applyBorder="1" applyProtection="1">
      <protection hidden="1"/>
    </xf>
    <xf numFmtId="183" fontId="0" fillId="0" borderId="69" xfId="1" applyNumberFormat="1" applyFont="1" applyBorder="1" applyProtection="1">
      <protection hidden="1"/>
    </xf>
    <xf numFmtId="183" fontId="0" fillId="0" borderId="7" xfId="1" applyNumberFormat="1" applyFont="1" applyBorder="1" applyProtection="1">
      <protection hidden="1"/>
    </xf>
    <xf numFmtId="183" fontId="0" fillId="0" borderId="59" xfId="1" applyNumberFormat="1" applyFont="1" applyBorder="1" applyProtection="1">
      <protection hidden="1"/>
    </xf>
    <xf numFmtId="183" fontId="0" fillId="0" borderId="5" xfId="1" applyNumberFormat="1" applyFont="1" applyBorder="1" applyProtection="1">
      <protection hidden="1"/>
    </xf>
    <xf numFmtId="183" fontId="0" fillId="0" borderId="5" xfId="1" applyNumberFormat="1" applyFont="1" applyFill="1" applyBorder="1" applyProtection="1">
      <protection hidden="1"/>
    </xf>
    <xf numFmtId="183" fontId="0" fillId="0" borderId="7" xfId="1" applyNumberFormat="1" applyFont="1" applyFill="1" applyBorder="1" applyProtection="1">
      <protection hidden="1"/>
    </xf>
    <xf numFmtId="173" fontId="1" fillId="2" borderId="1" xfId="0" applyNumberFormat="1" applyFont="1" applyFill="1" applyBorder="1" applyProtection="1">
      <protection hidden="1"/>
    </xf>
    <xf numFmtId="173" fontId="1" fillId="0" borderId="1" xfId="0" applyNumberFormat="1" applyFont="1" applyBorder="1" applyProtection="1">
      <protection hidden="1"/>
    </xf>
    <xf numFmtId="173" fontId="1" fillId="2" borderId="4" xfId="0" applyNumberFormat="1" applyFont="1" applyFill="1" applyBorder="1" applyProtection="1">
      <protection hidden="1"/>
    </xf>
    <xf numFmtId="173" fontId="1" fillId="0" borderId="4" xfId="0" applyNumberFormat="1" applyFont="1" applyBorder="1" applyProtection="1">
      <protection hidden="1"/>
    </xf>
    <xf numFmtId="173" fontId="1" fillId="0" borderId="21" xfId="3" applyNumberFormat="1" applyFont="1" applyFill="1" applyBorder="1" applyProtection="1">
      <protection hidden="1"/>
    </xf>
    <xf numFmtId="173" fontId="1" fillId="0" borderId="1" xfId="3" applyNumberFormat="1" applyFont="1" applyFill="1" applyBorder="1" applyProtection="1">
      <protection hidden="1"/>
    </xf>
    <xf numFmtId="173" fontId="1" fillId="0" borderId="4" xfId="3" applyNumberFormat="1" applyFont="1" applyFill="1" applyBorder="1" applyProtection="1">
      <protection hidden="1"/>
    </xf>
    <xf numFmtId="173" fontId="1" fillId="0" borderId="22" xfId="3" applyNumberFormat="1" applyFont="1" applyFill="1" applyBorder="1" applyProtection="1">
      <protection hidden="1"/>
    </xf>
    <xf numFmtId="173" fontId="1" fillId="2" borderId="6" xfId="0" applyNumberFormat="1" applyFont="1" applyFill="1" applyBorder="1" applyProtection="1">
      <protection hidden="1"/>
    </xf>
    <xf numFmtId="173" fontId="1" fillId="0" borderId="6" xfId="0" applyNumberFormat="1" applyFont="1" applyBorder="1" applyProtection="1">
      <protection hidden="1"/>
    </xf>
    <xf numFmtId="173" fontId="1" fillId="0" borderId="6" xfId="3" applyNumberFormat="1" applyFont="1" applyFill="1" applyBorder="1" applyProtection="1">
      <protection hidden="1"/>
    </xf>
    <xf numFmtId="173" fontId="1" fillId="0" borderId="7" xfId="3" applyNumberFormat="1" applyFont="1" applyFill="1" applyBorder="1" applyProtection="1">
      <protection hidden="1"/>
    </xf>
    <xf numFmtId="173" fontId="1" fillId="0" borderId="45" xfId="3" applyNumberFormat="1" applyFont="1" applyFill="1" applyBorder="1" applyProtection="1">
      <protection hidden="1"/>
    </xf>
    <xf numFmtId="173" fontId="1" fillId="0" borderId="46" xfId="3" applyNumberFormat="1" applyFont="1" applyFill="1" applyBorder="1" applyProtection="1">
      <protection hidden="1"/>
    </xf>
    <xf numFmtId="184" fontId="1" fillId="0" borderId="1" xfId="3" applyNumberFormat="1" applyFont="1" applyFill="1" applyBorder="1" applyProtection="1">
      <protection hidden="1"/>
    </xf>
    <xf numFmtId="184" fontId="1" fillId="0" borderId="8" xfId="3" applyNumberFormat="1" applyFont="1" applyFill="1" applyBorder="1" applyProtection="1">
      <protection hidden="1"/>
    </xf>
    <xf numFmtId="184" fontId="1" fillId="0" borderId="4" xfId="3" applyNumberFormat="1" applyFont="1" applyFill="1" applyBorder="1" applyProtection="1">
      <protection hidden="1"/>
    </xf>
    <xf numFmtId="184" fontId="1" fillId="0" borderId="9" xfId="3" applyNumberFormat="1" applyFont="1" applyFill="1" applyBorder="1" applyProtection="1">
      <protection hidden="1"/>
    </xf>
    <xf numFmtId="184" fontId="1" fillId="0" borderId="1" xfId="1" applyNumberFormat="1" applyFont="1" applyFill="1" applyBorder="1" applyProtection="1">
      <protection hidden="1"/>
    </xf>
    <xf numFmtId="184" fontId="0" fillId="0" borderId="1" xfId="1" applyNumberFormat="1" applyFont="1" applyFill="1" applyBorder="1" applyProtection="1">
      <protection hidden="1"/>
    </xf>
    <xf numFmtId="184" fontId="1" fillId="0" borderId="4" xfId="1" applyNumberFormat="1" applyFont="1" applyFill="1" applyBorder="1" applyProtection="1">
      <protection hidden="1"/>
    </xf>
    <xf numFmtId="184" fontId="0" fillId="0" borderId="4" xfId="1" applyNumberFormat="1" applyFont="1" applyFill="1" applyBorder="1" applyProtection="1">
      <protection hidden="1"/>
    </xf>
    <xf numFmtId="14" fontId="0" fillId="0" borderId="1" xfId="0" applyNumberFormat="1" applyBorder="1" applyAlignment="1">
      <alignment horizontal="center" vertical="center" wrapText="1"/>
    </xf>
    <xf numFmtId="1" fontId="44" fillId="0" borderId="1" xfId="0" quotePrefix="1" applyNumberFormat="1" applyFont="1" applyBorder="1" applyAlignment="1" applyProtection="1">
      <alignment horizontal="center" vertical="center"/>
      <protection locked="0"/>
    </xf>
    <xf numFmtId="1" fontId="44" fillId="0" borderId="1" xfId="0" applyNumberFormat="1" applyFont="1" applyBorder="1" applyAlignment="1" applyProtection="1">
      <alignment horizontal="center" vertical="center"/>
      <protection locked="0"/>
    </xf>
    <xf numFmtId="1" fontId="45" fillId="0" borderId="1" xfId="0" quotePrefix="1" applyNumberFormat="1" applyFont="1" applyBorder="1" applyAlignment="1" applyProtection="1">
      <alignment horizontal="center" vertical="center"/>
      <protection locked="0"/>
    </xf>
    <xf numFmtId="177" fontId="0" fillId="0" borderId="0" xfId="0" applyNumberFormat="1"/>
    <xf numFmtId="0" fontId="30" fillId="28" borderId="13" xfId="0" applyFont="1" applyFill="1" applyBorder="1" applyAlignment="1">
      <alignment horizontal="center" vertical="center" wrapText="1"/>
    </xf>
    <xf numFmtId="0" fontId="30" fillId="28" borderId="17" xfId="0" applyFont="1" applyFill="1" applyBorder="1" applyAlignment="1">
      <alignment horizontal="center" vertical="center" wrapText="1"/>
    </xf>
    <xf numFmtId="0" fontId="30" fillId="28" borderId="14" xfId="0" applyFont="1" applyFill="1" applyBorder="1" applyAlignment="1">
      <alignment horizontal="center" vertical="center" wrapText="1"/>
    </xf>
    <xf numFmtId="0" fontId="30" fillId="28" borderId="54" xfId="0" applyFont="1" applyFill="1" applyBorder="1" applyAlignment="1">
      <alignment horizontal="center" vertical="center" wrapText="1"/>
    </xf>
    <xf numFmtId="0" fontId="30" fillId="28" borderId="13" xfId="0" applyFont="1" applyFill="1" applyBorder="1" applyAlignment="1">
      <alignment horizontal="center" vertical="center"/>
    </xf>
    <xf numFmtId="0" fontId="30" fillId="28" borderId="17" xfId="0" applyFont="1" applyFill="1" applyBorder="1" applyAlignment="1">
      <alignment horizontal="center" vertical="center"/>
    </xf>
    <xf numFmtId="0" fontId="30" fillId="28" borderId="14" xfId="0" applyFont="1" applyFill="1" applyBorder="1" applyAlignment="1">
      <alignment horizontal="center" vertical="center"/>
    </xf>
    <xf numFmtId="0" fontId="30" fillId="28" borderId="48" xfId="0" applyFont="1" applyFill="1" applyBorder="1" applyAlignment="1">
      <alignment horizontal="center" vertical="center"/>
    </xf>
    <xf numFmtId="0" fontId="30" fillId="28" borderId="35" xfId="0" applyFont="1" applyFill="1" applyBorder="1" applyAlignment="1">
      <alignment horizontal="center" vertical="center"/>
    </xf>
    <xf numFmtId="0" fontId="30" fillId="28" borderId="49" xfId="0" applyFont="1" applyFill="1" applyBorder="1" applyAlignment="1">
      <alignment horizontal="center" vertical="center"/>
    </xf>
    <xf numFmtId="0" fontId="31" fillId="22" borderId="0" xfId="0" applyFont="1" applyFill="1" applyAlignment="1">
      <alignment horizontal="left" vertical="center"/>
    </xf>
    <xf numFmtId="0" fontId="4" fillId="23" borderId="58" xfId="0" applyFont="1" applyFill="1" applyBorder="1" applyAlignment="1">
      <alignment horizontal="center" vertical="center" wrapText="1"/>
    </xf>
    <xf numFmtId="0" fontId="4" fillId="23" borderId="52" xfId="0" applyFont="1" applyFill="1" applyBorder="1" applyAlignment="1">
      <alignment horizontal="center" vertical="center" wrapText="1"/>
    </xf>
    <xf numFmtId="0" fontId="4" fillId="23" borderId="30" xfId="0" applyFont="1" applyFill="1" applyBorder="1" applyAlignment="1">
      <alignment horizontal="center" vertical="center" wrapText="1"/>
    </xf>
    <xf numFmtId="0" fontId="30" fillId="28" borderId="48" xfId="0" applyFont="1" applyFill="1" applyBorder="1" applyAlignment="1">
      <alignment horizontal="center" vertical="center" wrapText="1"/>
    </xf>
    <xf numFmtId="0" fontId="30" fillId="28" borderId="49" xfId="0" applyFont="1" applyFill="1" applyBorder="1" applyAlignment="1">
      <alignment horizontal="center" vertical="center" wrapText="1"/>
    </xf>
    <xf numFmtId="0" fontId="4" fillId="23" borderId="21" xfId="0" applyFont="1" applyFill="1" applyBorder="1" applyAlignment="1">
      <alignment horizontal="center" vertical="center" wrapText="1"/>
    </xf>
    <xf numFmtId="0" fontId="4" fillId="23" borderId="67" xfId="0" applyFont="1" applyFill="1" applyBorder="1" applyAlignment="1">
      <alignment horizontal="center" vertical="center" wrapText="1"/>
    </xf>
    <xf numFmtId="0" fontId="4" fillId="23" borderId="69" xfId="0" applyFont="1" applyFill="1" applyBorder="1" applyAlignment="1">
      <alignment horizontal="center" vertical="center" wrapText="1"/>
    </xf>
    <xf numFmtId="0" fontId="4" fillId="23" borderId="59" xfId="0" applyFont="1" applyFill="1" applyBorder="1" applyAlignment="1">
      <alignment horizontal="center" vertical="center" wrapText="1"/>
    </xf>
    <xf numFmtId="0" fontId="30" fillId="28" borderId="35" xfId="0" applyFont="1" applyFill="1" applyBorder="1" applyAlignment="1">
      <alignment horizontal="center" vertical="center" wrapText="1"/>
    </xf>
    <xf numFmtId="0" fontId="0" fillId="22" borderId="25" xfId="0" applyFill="1" applyBorder="1" applyAlignment="1" applyProtection="1">
      <alignment horizontal="left" vertical="center"/>
      <protection hidden="1"/>
    </xf>
    <xf numFmtId="0" fontId="27" fillId="22" borderId="0" xfId="0" applyFont="1" applyFill="1" applyAlignment="1" applyProtection="1">
      <alignment horizontal="left" vertical="top" wrapText="1"/>
      <protection hidden="1"/>
    </xf>
    <xf numFmtId="0" fontId="28" fillId="22" borderId="0" xfId="0" applyFont="1" applyFill="1" applyAlignment="1" applyProtection="1">
      <alignment horizontal="left" vertical="center"/>
      <protection hidden="1"/>
    </xf>
    <xf numFmtId="0" fontId="27" fillId="22" borderId="44" xfId="0" applyFont="1" applyFill="1" applyBorder="1" applyAlignment="1" applyProtection="1">
      <alignment horizontal="left" vertical="top" wrapText="1"/>
      <protection hidden="1"/>
    </xf>
    <xf numFmtId="0" fontId="17" fillId="0" borderId="40" xfId="0" applyFont="1" applyBorder="1" applyAlignment="1">
      <alignment horizontal="center" vertical="center"/>
    </xf>
    <xf numFmtId="0" fontId="17" fillId="0" borderId="41" xfId="0" applyFont="1" applyBorder="1" applyAlignment="1">
      <alignment horizontal="center" vertical="center"/>
    </xf>
    <xf numFmtId="0" fontId="17" fillId="0" borderId="42" xfId="0" applyFont="1" applyBorder="1" applyAlignment="1">
      <alignment horizontal="center" vertical="center"/>
    </xf>
    <xf numFmtId="0" fontId="22" fillId="24" borderId="48" xfId="0" applyFont="1" applyFill="1" applyBorder="1" applyAlignment="1">
      <alignment horizontal="center" vertical="center"/>
    </xf>
    <xf numFmtId="0" fontId="22" fillId="24" borderId="35" xfId="0" applyFont="1" applyFill="1" applyBorder="1" applyAlignment="1">
      <alignment horizontal="center" vertical="center"/>
    </xf>
    <xf numFmtId="0" fontId="22" fillId="24" borderId="49" xfId="0" applyFont="1" applyFill="1" applyBorder="1" applyAlignment="1">
      <alignment horizontal="center" vertical="center"/>
    </xf>
    <xf numFmtId="0" fontId="14" fillId="25" borderId="35" xfId="0" applyFont="1" applyFill="1" applyBorder="1" applyAlignment="1">
      <alignment horizontal="left" vertical="center"/>
    </xf>
    <xf numFmtId="0" fontId="14" fillId="25" borderId="49" xfId="0" applyFont="1" applyFill="1" applyBorder="1" applyAlignment="1">
      <alignment horizontal="left" vertical="center"/>
    </xf>
    <xf numFmtId="0" fontId="18" fillId="22" borderId="19" xfId="0" applyFont="1" applyFill="1" applyBorder="1" applyAlignment="1" applyProtection="1">
      <alignment horizontal="left" vertical="top"/>
      <protection hidden="1"/>
    </xf>
    <xf numFmtId="0" fontId="18" fillId="22" borderId="57" xfId="0" applyFont="1" applyFill="1" applyBorder="1" applyAlignment="1" applyProtection="1">
      <alignment horizontal="left" vertical="top"/>
      <protection hidden="1"/>
    </xf>
    <xf numFmtId="0" fontId="18" fillId="22" borderId="21" xfId="0" applyFont="1" applyFill="1" applyBorder="1" applyAlignment="1" applyProtection="1">
      <alignment horizontal="left" vertical="top"/>
      <protection hidden="1"/>
    </xf>
    <xf numFmtId="0" fontId="16" fillId="22" borderId="25" xfId="0" applyFont="1" applyFill="1" applyBorder="1" applyAlignment="1">
      <alignment horizontal="center" vertical="center"/>
    </xf>
    <xf numFmtId="0" fontId="16" fillId="22" borderId="26" xfId="0" applyFont="1" applyFill="1" applyBorder="1" applyAlignment="1">
      <alignment horizontal="center" vertical="center"/>
    </xf>
    <xf numFmtId="0" fontId="16" fillId="22" borderId="0" xfId="0" applyFont="1" applyFill="1" applyAlignment="1">
      <alignment horizontal="center" vertical="center"/>
    </xf>
    <xf numFmtId="0" fontId="16" fillId="22" borderId="27" xfId="0" applyFont="1" applyFill="1" applyBorder="1" applyAlignment="1">
      <alignment horizontal="center" vertical="center"/>
    </xf>
    <xf numFmtId="0" fontId="18" fillId="22" borderId="34" xfId="0" applyFont="1" applyFill="1" applyBorder="1" applyAlignment="1" applyProtection="1">
      <alignment horizontal="center" vertical="center"/>
      <protection hidden="1"/>
    </xf>
    <xf numFmtId="0" fontId="18" fillId="22" borderId="38" xfId="0" applyFont="1" applyFill="1" applyBorder="1" applyAlignment="1" applyProtection="1">
      <alignment horizontal="center" vertical="center"/>
      <protection hidden="1"/>
    </xf>
    <xf numFmtId="0" fontId="18" fillId="22" borderId="34" xfId="0" applyFont="1" applyFill="1" applyBorder="1" applyAlignment="1" applyProtection="1">
      <alignment horizontal="center" vertical="center" wrapText="1"/>
      <protection hidden="1"/>
    </xf>
    <xf numFmtId="0" fontId="18" fillId="22" borderId="38" xfId="0" applyFont="1" applyFill="1" applyBorder="1" applyAlignment="1" applyProtection="1">
      <alignment horizontal="center" vertical="center" wrapText="1"/>
      <protection hidden="1"/>
    </xf>
    <xf numFmtId="165" fontId="18" fillId="22" borderId="34" xfId="0" applyNumberFormat="1" applyFont="1" applyFill="1" applyBorder="1" applyAlignment="1" applyProtection="1">
      <alignment horizontal="center" vertical="center"/>
      <protection hidden="1"/>
    </xf>
    <xf numFmtId="165" fontId="18" fillId="22" borderId="38" xfId="0" applyNumberFormat="1" applyFont="1" applyFill="1" applyBorder="1" applyAlignment="1" applyProtection="1">
      <alignment horizontal="center" vertical="center"/>
      <protection hidden="1"/>
    </xf>
    <xf numFmtId="0" fontId="6" fillId="3" borderId="0" xfId="0" applyFont="1" applyFill="1" applyAlignment="1" applyProtection="1">
      <alignment horizontal="center"/>
      <protection hidden="1"/>
    </xf>
    <xf numFmtId="0" fontId="0" fillId="14" borderId="2" xfId="0" applyFill="1" applyBorder="1" applyAlignment="1" applyProtection="1">
      <alignment horizontal="center" vertical="center"/>
      <protection hidden="1"/>
    </xf>
    <xf numFmtId="0" fontId="0" fillId="14" borderId="3" xfId="0" applyFill="1" applyBorder="1" applyAlignment="1" applyProtection="1">
      <alignment horizontal="center" vertical="center"/>
      <protection hidden="1"/>
    </xf>
    <xf numFmtId="0" fontId="0" fillId="13" borderId="5" xfId="0" applyFill="1" applyBorder="1" applyAlignment="1" applyProtection="1">
      <alignment horizontal="center" vertical="center"/>
      <protection hidden="1"/>
    </xf>
    <xf numFmtId="0" fontId="0" fillId="13" borderId="2" xfId="0" applyFill="1" applyBorder="1" applyAlignment="1" applyProtection="1">
      <alignment horizontal="center" vertical="center"/>
      <protection hidden="1"/>
    </xf>
    <xf numFmtId="0" fontId="0" fillId="13" borderId="3" xfId="0" applyFill="1" applyBorder="1" applyAlignment="1" applyProtection="1">
      <alignment horizontal="center" vertical="center"/>
      <protection hidden="1"/>
    </xf>
    <xf numFmtId="0" fontId="6" fillId="3" borderId="34" xfId="0" applyFont="1" applyFill="1" applyBorder="1" applyAlignment="1" applyProtection="1">
      <alignment horizontal="center"/>
      <protection hidden="1"/>
    </xf>
    <xf numFmtId="0" fontId="6" fillId="3" borderId="63" xfId="0" applyFont="1" applyFill="1" applyBorder="1" applyAlignment="1" applyProtection="1">
      <alignment horizontal="center"/>
      <protection hidden="1"/>
    </xf>
    <xf numFmtId="0" fontId="6" fillId="3" borderId="38" xfId="0" applyFont="1" applyFill="1" applyBorder="1" applyAlignment="1" applyProtection="1">
      <alignment horizontal="center"/>
      <protection hidden="1"/>
    </xf>
    <xf numFmtId="0" fontId="0" fillId="12" borderId="16" xfId="0" applyFill="1" applyBorder="1" applyAlignment="1" applyProtection="1">
      <alignment horizontal="center" vertical="center"/>
      <protection hidden="1"/>
    </xf>
    <xf numFmtId="0" fontId="0" fillId="12" borderId="2" xfId="0" applyFill="1" applyBorder="1" applyAlignment="1" applyProtection="1">
      <alignment horizontal="center" vertical="center"/>
      <protection hidden="1"/>
    </xf>
    <xf numFmtId="0" fontId="0" fillId="12" borderId="3" xfId="0" applyFill="1" applyBorder="1" applyAlignment="1" applyProtection="1">
      <alignment horizontal="center" vertical="center"/>
      <protection hidden="1"/>
    </xf>
    <xf numFmtId="0" fontId="0" fillId="7" borderId="2" xfId="0" applyFill="1" applyBorder="1" applyAlignment="1" applyProtection="1">
      <alignment horizontal="center" vertical="center"/>
      <protection hidden="1"/>
    </xf>
    <xf numFmtId="0" fontId="0" fillId="7" borderId="3" xfId="0" applyFill="1" applyBorder="1" applyAlignment="1" applyProtection="1">
      <alignment horizontal="center" vertical="center"/>
      <protection hidden="1"/>
    </xf>
    <xf numFmtId="0" fontId="0" fillId="8" borderId="16" xfId="0" applyFill="1" applyBorder="1" applyAlignment="1" applyProtection="1">
      <alignment horizontal="center" vertical="center"/>
      <protection hidden="1"/>
    </xf>
    <xf numFmtId="0" fontId="0" fillId="8" borderId="2" xfId="0" applyFill="1" applyBorder="1" applyAlignment="1" applyProtection="1">
      <alignment horizontal="center" vertical="center"/>
      <protection hidden="1"/>
    </xf>
    <xf numFmtId="0" fontId="0" fillId="8" borderId="3" xfId="0" applyFill="1" applyBorder="1" applyAlignment="1" applyProtection="1">
      <alignment horizontal="center" vertical="center"/>
      <protection hidden="1"/>
    </xf>
    <xf numFmtId="0" fontId="0" fillId="9" borderId="5" xfId="0"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0" fontId="0" fillId="9" borderId="3" xfId="0" applyFill="1" applyBorder="1" applyAlignment="1" applyProtection="1">
      <alignment horizontal="center" vertical="center"/>
      <protection hidden="1"/>
    </xf>
    <xf numFmtId="0" fontId="0" fillId="10" borderId="5" xfId="0" applyFill="1" applyBorder="1" applyAlignment="1" applyProtection="1">
      <alignment horizontal="center" vertical="center"/>
      <protection hidden="1"/>
    </xf>
    <xf numFmtId="0" fontId="0" fillId="10" borderId="2" xfId="0" applyFill="1" applyBorder="1" applyAlignment="1" applyProtection="1">
      <alignment horizontal="center" vertical="center"/>
      <protection hidden="1"/>
    </xf>
    <xf numFmtId="0" fontId="0" fillId="10" borderId="3" xfId="0" applyFill="1" applyBorder="1" applyAlignment="1" applyProtection="1">
      <alignment horizontal="center" vertical="center"/>
      <protection hidden="1"/>
    </xf>
    <xf numFmtId="0" fontId="0" fillId="11" borderId="31" xfId="0" applyFill="1" applyBorder="1" applyAlignment="1" applyProtection="1">
      <alignment horizontal="center" vertical="center"/>
      <protection hidden="1"/>
    </xf>
    <xf numFmtId="0" fontId="0" fillId="11" borderId="32" xfId="0" applyFill="1" applyBorder="1" applyAlignment="1" applyProtection="1">
      <alignment horizontal="center" vertical="center"/>
      <protection hidden="1"/>
    </xf>
    <xf numFmtId="0" fontId="0" fillId="11" borderId="33" xfId="0" applyFill="1" applyBorder="1" applyAlignment="1" applyProtection="1">
      <alignment horizontal="center" vertical="center"/>
      <protection hidden="1"/>
    </xf>
    <xf numFmtId="0" fontId="5" fillId="21" borderId="0" xfId="0" applyFont="1" applyFill="1" applyAlignment="1" applyProtection="1">
      <alignment horizontal="center"/>
      <protection hidden="1"/>
    </xf>
    <xf numFmtId="170" fontId="9" fillId="16" borderId="6" xfId="4" applyNumberFormat="1" applyFont="1" applyFill="1" applyBorder="1" applyAlignment="1" applyProtection="1">
      <alignment horizontal="center" vertical="center" wrapText="1"/>
      <protection hidden="1"/>
    </xf>
    <xf numFmtId="170" fontId="9" fillId="16" borderId="7" xfId="4" applyNumberFormat="1" applyFont="1" applyFill="1" applyBorder="1" applyAlignment="1" applyProtection="1">
      <alignment horizontal="center" vertical="center" wrapText="1"/>
      <protection hidden="1"/>
    </xf>
    <xf numFmtId="0" fontId="5" fillId="20" borderId="0" xfId="0" applyFont="1" applyFill="1" applyAlignment="1" applyProtection="1">
      <alignment horizontal="center"/>
      <protection hidden="1"/>
    </xf>
    <xf numFmtId="0" fontId="2" fillId="13" borderId="0" xfId="0" applyFont="1" applyFill="1" applyAlignment="1" applyProtection="1">
      <alignment horizontal="center"/>
      <protection hidden="1"/>
    </xf>
    <xf numFmtId="0" fontId="2" fillId="17" borderId="0" xfId="0" applyFont="1" applyFill="1" applyAlignment="1" applyProtection="1">
      <alignment horizontal="center"/>
      <protection hidden="1"/>
    </xf>
    <xf numFmtId="0" fontId="2" fillId="18" borderId="0" xfId="0" applyFont="1" applyFill="1" applyAlignment="1" applyProtection="1">
      <alignment horizontal="center"/>
      <protection hidden="1"/>
    </xf>
    <xf numFmtId="0" fontId="5" fillId="8" borderId="0" xfId="0" applyFont="1" applyFill="1" applyAlignment="1" applyProtection="1">
      <alignment horizontal="center"/>
      <protection hidden="1"/>
    </xf>
    <xf numFmtId="0" fontId="5" fillId="7" borderId="0" xfId="0" applyFont="1" applyFill="1" applyAlignment="1" applyProtection="1">
      <alignment horizontal="center"/>
      <protection hidden="1"/>
    </xf>
    <xf numFmtId="0" fontId="9" fillId="16" borderId="1" xfId="0" applyFont="1" applyFill="1" applyBorder="1" applyAlignment="1" applyProtection="1">
      <alignment horizontal="center" vertical="center" wrapText="1"/>
      <protection hidden="1"/>
    </xf>
    <xf numFmtId="0" fontId="9" fillId="16" borderId="8" xfId="0" applyFont="1" applyFill="1" applyBorder="1" applyAlignment="1" applyProtection="1">
      <alignment horizontal="center" vertical="center" wrapText="1"/>
      <protection hidden="1"/>
    </xf>
    <xf numFmtId="0" fontId="0" fillId="13" borderId="5" xfId="0" applyFill="1" applyBorder="1" applyAlignment="1" applyProtection="1">
      <alignment horizontal="center" vertical="center" wrapText="1"/>
      <protection hidden="1"/>
    </xf>
    <xf numFmtId="0" fontId="0" fillId="13" borderId="6" xfId="0" applyFill="1" applyBorder="1" applyAlignment="1" applyProtection="1">
      <alignment horizontal="center" vertical="center" wrapText="1"/>
      <protection hidden="1"/>
    </xf>
    <xf numFmtId="0" fontId="0" fillId="13" borderId="2" xfId="0" applyFill="1" applyBorder="1" applyAlignment="1" applyProtection="1">
      <alignment horizontal="center" vertical="center" wrapText="1"/>
      <protection hidden="1"/>
    </xf>
    <xf numFmtId="0" fontId="0" fillId="13" borderId="1" xfId="0" applyFill="1" applyBorder="1" applyAlignment="1" applyProtection="1">
      <alignment horizontal="center" vertical="center" wrapText="1"/>
      <protection hidden="1"/>
    </xf>
    <xf numFmtId="0" fontId="9" fillId="16" borderId="6" xfId="0" applyFont="1" applyFill="1" applyBorder="1" applyAlignment="1" applyProtection="1">
      <alignment horizontal="center" vertical="center" wrapText="1"/>
      <protection hidden="1"/>
    </xf>
    <xf numFmtId="0" fontId="9" fillId="16" borderId="7" xfId="0" applyFont="1" applyFill="1" applyBorder="1" applyAlignment="1" applyProtection="1">
      <alignment horizontal="center" vertical="center" wrapText="1"/>
      <protection hidden="1"/>
    </xf>
    <xf numFmtId="0" fontId="10" fillId="19" borderId="0" xfId="0" applyFont="1" applyFill="1" applyAlignment="1" applyProtection="1">
      <alignment horizontal="center" vertical="center"/>
      <protection hidden="1"/>
    </xf>
    <xf numFmtId="0" fontId="10" fillId="7" borderId="0" xfId="0" applyFont="1" applyFill="1" applyAlignment="1" applyProtection="1">
      <alignment horizontal="center" vertical="center"/>
      <protection hidden="1"/>
    </xf>
    <xf numFmtId="0" fontId="10" fillId="20" borderId="0" xfId="0" applyFont="1" applyFill="1" applyAlignment="1" applyProtection="1">
      <alignment horizontal="center" vertical="center"/>
      <protection hidden="1"/>
    </xf>
    <xf numFmtId="0" fontId="10" fillId="21" borderId="0" xfId="0" applyFont="1" applyFill="1" applyAlignment="1" applyProtection="1">
      <alignment horizontal="center" vertical="center"/>
      <protection hidden="1"/>
    </xf>
    <xf numFmtId="0" fontId="0" fillId="13" borderId="24" xfId="0" applyFill="1" applyBorder="1" applyAlignment="1" applyProtection="1">
      <alignment horizontal="center" vertical="center"/>
      <protection hidden="1"/>
    </xf>
    <xf numFmtId="0" fontId="0" fillId="13" borderId="31" xfId="0" applyFill="1" applyBorder="1" applyAlignment="1" applyProtection="1">
      <alignment horizontal="center" vertical="center"/>
      <protection hidden="1"/>
    </xf>
    <xf numFmtId="0" fontId="0" fillId="13" borderId="50" xfId="0" applyFill="1" applyBorder="1" applyAlignment="1" applyProtection="1">
      <alignment horizontal="center" vertical="center"/>
      <protection hidden="1"/>
    </xf>
    <xf numFmtId="0" fontId="0" fillId="13" borderId="52" xfId="0" applyFill="1" applyBorder="1" applyAlignment="1" applyProtection="1">
      <alignment horizontal="center" vertical="center"/>
      <protection hidden="1"/>
    </xf>
    <xf numFmtId="0" fontId="10" fillId="18" borderId="0" xfId="0" applyFont="1" applyFill="1" applyAlignment="1" applyProtection="1">
      <alignment horizontal="center" vertical="center"/>
      <protection hidden="1"/>
    </xf>
    <xf numFmtId="0" fontId="9" fillId="16" borderId="34" xfId="0" applyFont="1" applyFill="1" applyBorder="1" applyAlignment="1" applyProtection="1">
      <alignment horizontal="center" vertical="center" wrapText="1"/>
      <protection hidden="1"/>
    </xf>
    <xf numFmtId="0" fontId="9" fillId="16" borderId="63" xfId="0" applyFont="1" applyFill="1" applyBorder="1" applyAlignment="1" applyProtection="1">
      <alignment horizontal="center" vertical="center" wrapText="1"/>
      <protection hidden="1"/>
    </xf>
    <xf numFmtId="0" fontId="9" fillId="16" borderId="64" xfId="0" applyFont="1" applyFill="1" applyBorder="1" applyAlignment="1" applyProtection="1">
      <alignment horizontal="center" vertical="center" wrapText="1"/>
      <protection hidden="1"/>
    </xf>
    <xf numFmtId="0" fontId="10" fillId="13" borderId="0" xfId="0" applyFont="1" applyFill="1" applyAlignment="1" applyProtection="1">
      <alignment horizontal="center" vertical="center"/>
      <protection hidden="1"/>
    </xf>
    <xf numFmtId="0" fontId="10" fillId="17" borderId="0" xfId="0" applyFont="1" applyFill="1" applyAlignment="1" applyProtection="1">
      <alignment horizontal="center" vertical="center"/>
      <protection hidden="1"/>
    </xf>
  </cellXfs>
  <cellStyles count="6">
    <cellStyle name="Comma" xfId="1" builtinId="3"/>
    <cellStyle name="Comma 2" xfId="4" xr:uid="{6D3F1DB7-7986-4CE8-ABE7-24D5C5BF8822}"/>
    <cellStyle name="Hyperlink" xfId="5" builtinId="8"/>
    <cellStyle name="Neutral" xfId="3" builtinId="28"/>
    <cellStyle name="Normal" xfId="0" builtinId="0"/>
    <cellStyle name="Percent" xfId="2" builtinId="5"/>
  </cellStyles>
  <dxfs count="97">
    <dxf>
      <fill>
        <patternFill>
          <bgColor theme="0" tint="-0.14996795556505021"/>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numFmt numFmtId="167" formatCode="_(&quot;R&quot;* #,##0.00_);_(&quot;R&quot;* \(#,##0.00\);_(&quot;R&quot;* &quot;-&quot;??_);_(@_)"/>
      <fill>
        <patternFill patternType="solid">
          <fgColor theme="4" tint="0.79998168889431442"/>
          <bgColor theme="0"/>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protection locked="1" hidden="1"/>
    </dxf>
    <dxf>
      <numFmt numFmtId="172" formatCode="_-&quot;R&quot;* #,##0_-;\-&quot;R&quot;* #,##0_-;_-&quot;R&quot;* &quot;-&quot;??_-;_-@_-"/>
      <fill>
        <patternFill patternType="solid">
          <fgColor theme="4" tint="0.79998168889431442"/>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numFmt numFmtId="172" formatCode="_-&quot;R&quot;* #,##0_-;\-&quot;R&quot;* #,##0_-;_-&quot;R&quot;* &quot;-&quot;??_-;_-@_-"/>
      <fill>
        <patternFill patternType="solid">
          <fgColor theme="4" tint="0.79998168889431442"/>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numFmt numFmtId="166" formatCode="_(&quot;R&quot;* #,##0_);_(&quot;R&quot;* \(#,##0\);_(&quot;R&quot;* &quot;-&quot;_);_(@_)"/>
      <fill>
        <patternFill patternType="solid">
          <fgColor theme="4" tint="0.79998168889431442"/>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numFmt numFmtId="166" formatCode="_(&quot;R&quot;* #,##0_);_(&quot;R&quot;* \(#,##0\);_(&quot;R&quot;* &quot;-&quot;_);_(@_)"/>
      <fill>
        <patternFill patternType="solid">
          <fgColor theme="4" tint="0.79998168889431442"/>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numFmt numFmtId="1" formatCode="0"/>
      <fill>
        <patternFill patternType="solid">
          <fgColor theme="4" tint="0.79998168889431442"/>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numFmt numFmtId="1" formatCode="0"/>
      <fill>
        <patternFill patternType="solid">
          <fgColor theme="4" tint="0.79998168889431442"/>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numFmt numFmtId="1" formatCode="0"/>
      <fill>
        <patternFill patternType="solid">
          <fgColor theme="4" tint="0.79998168889431442"/>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numFmt numFmtId="167" formatCode="_(&quot;R&quot;* #,##0.00_);_(&quot;R&quot;* \(#,##0.00\);_(&quot;R&quot;* &quot;-&quot;??_);_(@_)"/>
      <fill>
        <patternFill patternType="solid">
          <fgColor theme="4" tint="0.79998168889431442"/>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numFmt numFmtId="173" formatCode="0.00000000"/>
      <fill>
        <patternFill patternType="solid">
          <fgColor theme="4" tint="0.79998168889431442"/>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numFmt numFmtId="1" formatCode="0"/>
      <fill>
        <patternFill patternType="solid">
          <fgColor theme="4" tint="0.79998168889431442"/>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numFmt numFmtId="1" formatCode="0"/>
      <fill>
        <patternFill patternType="solid">
          <fgColor theme="4" tint="0.79998168889431442"/>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numFmt numFmtId="1" formatCode="0"/>
      <fill>
        <patternFill patternType="solid">
          <fgColor theme="4" tint="0.79998168889431442"/>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numFmt numFmtId="1" formatCode="0"/>
      <fill>
        <patternFill patternType="solid">
          <fgColor theme="4" tint="0.79998168889431442"/>
          <bgColor theme="0"/>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numFmt numFmtId="167" formatCode="_(&quot;R&quot;* #,##0.00_);_(&quot;R&quot;* \(#,##0.00\);_(&quot;R&quot;* &quot;-&quot;??_);_(@_)"/>
      <fill>
        <patternFill patternType="solid">
          <fgColor theme="4" tint="0.79998168889431442"/>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numFmt numFmtId="173" formatCode="0.00000000"/>
      <fill>
        <patternFill patternType="solid">
          <fgColor theme="4" tint="0.79998168889431442"/>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numFmt numFmtId="2" formatCode="0.00"/>
      <fill>
        <patternFill patternType="solid">
          <fgColor theme="4" tint="0.79998168889431442"/>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numFmt numFmtId="1" formatCode="0"/>
      <fill>
        <patternFill patternType="solid">
          <fgColor theme="4" tint="0.79998168889431442"/>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numFmt numFmtId="1" formatCode="0"/>
      <fill>
        <patternFill patternType="solid">
          <fgColor theme="4" tint="0.79998168889431442"/>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numFmt numFmtId="1" formatCode="0"/>
      <fill>
        <patternFill patternType="solid">
          <fgColor theme="4" tint="0.79998168889431442"/>
          <bgColor theme="0"/>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numFmt numFmtId="1" formatCode="0"/>
      <fill>
        <patternFill patternType="solid">
          <fgColor theme="4" tint="0.79998168889431442"/>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numFmt numFmtId="1" formatCode="0"/>
      <fill>
        <patternFill patternType="solid">
          <fgColor theme="4" tint="0.79998168889431442"/>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numFmt numFmtId="177" formatCode="yyyy\-mm\-dd"/>
      <fill>
        <patternFill patternType="solid">
          <fgColor theme="4" tint="0.79998168889431442"/>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numFmt numFmtId="177" formatCode="yyyy\-mm\-dd"/>
      <fill>
        <patternFill patternType="solid">
          <fgColor theme="4" tint="0.79998168889431442"/>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numFmt numFmtId="1" formatCode="0"/>
      <fill>
        <patternFill patternType="solid">
          <fgColor theme="4" tint="0.79998168889431442"/>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numFmt numFmtId="1" formatCode="0"/>
      <fill>
        <patternFill patternType="solid">
          <fgColor theme="4" tint="0.79998168889431442"/>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numFmt numFmtId="1" formatCode="0"/>
      <fill>
        <patternFill patternType="solid">
          <fgColor theme="4" tint="0.79998168889431442"/>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border outline="0">
        <top style="thin">
          <color rgb="FF000000"/>
        </top>
        <bottom style="thin">
          <color indexed="64"/>
        </bottom>
      </border>
    </dxf>
    <dxf>
      <fill>
        <patternFill patternType="solid">
          <fgColor theme="4" tint="0.79998168889431442"/>
          <bgColor theme="0"/>
        </patternFill>
      </fill>
      <alignment horizontal="center" vertical="center" textRotation="0" wrapText="0" indent="0" justifyLastLine="0" shrinkToFit="0" readingOrder="0"/>
      <protection locked="1" hidden="1"/>
    </dxf>
    <dxf>
      <alignment vertical="center" textRotation="0" indent="0" justifyLastLine="0" shrinkToFit="0"/>
    </dxf>
    <dxf>
      <fill>
        <patternFill patternType="none">
          <fgColor indexed="64"/>
          <bgColor auto="1"/>
        </patternFill>
      </fill>
      <alignment horizontal="center" vertical="center" textRotation="0" indent="0" justifyLastLine="0" shrinkToFi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ill>
        <patternFill patternType="none">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numFmt numFmtId="30" formatCode="@"/>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numFmt numFmtId="30" formatCode="@"/>
      <alignment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vertical="center" textRotation="0" indent="0" justifyLastLine="0" shrinkToFi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vertical="center" textRotation="0" indent="0" justifyLastLine="0" shrinkToFi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vertical="center" textRotation="0" indent="0" justifyLastLine="0" shrinkToFi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vertical="center" textRotation="0" indent="0" justifyLastLine="0" shrinkToFi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0" formatCode="General"/>
      <alignment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alignment vertical="center" textRotation="0" indent="0" justifyLastLine="0" shrinkToFi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vertical="center" textRotation="0" indent="0" justifyLastLine="0" shrinkToFi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vertical="center" textRotation="0" indent="0" justifyLastLine="0" shrinkToFi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0" formatCode="General"/>
      <alignment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numFmt numFmtId="179" formatCode="yyyy\/mm\/dd"/>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numFmt numFmtId="179" formatCode="yyyy\/mm\/dd"/>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numFmt numFmtId="19" formatCode="yyyy/mm/dd"/>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strike val="0"/>
        <outline val="0"/>
        <shadow val="0"/>
        <u val="none"/>
        <vertAlign val="baseline"/>
        <sz val="11"/>
        <color rgb="FF0000FF"/>
        <name val="Aptos Narrow"/>
        <family val="2"/>
        <scheme val="minor"/>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1"/>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numFmt numFmtId="1" formatCode="0"/>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1"/>
        <color rgb="FF0000FF"/>
        <name val="Aptos Narrow"/>
        <family val="2"/>
        <scheme val="minor"/>
      </font>
      <numFmt numFmtId="177" formatCode="yyyy\-mm\-dd"/>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ill>
        <patternFill patternType="none">
          <fgColor indexed="64"/>
          <bgColor indexed="65"/>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ill>
        <patternFill patternType="none">
          <fgColor indexed="64"/>
          <bgColor indexed="65"/>
        </patternFill>
      </fill>
      <alignment vertical="center" textRotation="0" indent="0" justifyLastLine="0" shrinkToFi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numFmt numFmtId="0" formatCode="General"/>
      <alignment vertical="center" textRotation="0" indent="0" justifyLastLine="0" shrinkToFi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vertical="center" textRotation="0" indent="0" justifyLastLine="0" shrinkToFi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77" formatCode="yyyy\-mm\-dd"/>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9" formatCode="yyyy/mm/dd"/>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77" formatCode="yyyy\-mm\-dd"/>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protection locked="0" hidden="0"/>
    </dxf>
    <dxf>
      <alignment vertical="center" textRotation="0" indent="0" justifyLastLine="0" shrinkToFi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vertical="center" textRotation="0" indent="0" justifyLastLine="0" shrinkToFi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vertical="center" textRotation="0" indent="0" justifyLastLine="0" shrinkToFi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vertical="center" textRotation="0" indent="0" justifyLastLine="0" shrinkToFit="0"/>
      <border diagonalUp="0" diagonalDown="0">
        <left style="medium">
          <color indexed="64"/>
        </left>
        <right style="thin">
          <color indexed="64"/>
        </right>
        <top style="thin">
          <color indexed="64"/>
        </top>
        <bottom style="thin">
          <color indexed="64"/>
        </bottom>
        <vertical/>
        <horizontal style="thin">
          <color indexed="64"/>
        </horizontal>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alignment vertical="center" textRotation="0" indent="0" justifyLastLine="0" shrinkToFit="0"/>
      <protection locked="0" hidden="0"/>
    </dxf>
    <dxf>
      <border outline="0">
        <bottom style="thin">
          <color indexed="64"/>
        </bottom>
      </border>
    </dxf>
    <dxf>
      <font>
        <b/>
        <i val="0"/>
        <strike val="0"/>
        <condense val="0"/>
        <extend val="0"/>
        <outline val="0"/>
        <shadow val="0"/>
        <u val="none"/>
        <vertAlign val="baseline"/>
        <sz val="13"/>
        <color theme="0"/>
        <name val="Calibri"/>
        <scheme val="none"/>
      </font>
      <fill>
        <patternFill patternType="solid">
          <fgColor rgb="FFB0C4DE"/>
          <bgColor theme="4"/>
        </patternFill>
      </fill>
      <alignment horizontal="center" vertical="center" textRotation="0" wrapText="1" indent="0" justifyLastLine="0" shrinkToFit="0" readingOrder="1"/>
      <border diagonalUp="0" diagonalDown="0" outline="0">
        <left style="thin">
          <color indexed="64"/>
        </left>
        <right style="thin">
          <color indexed="64"/>
        </right>
        <top/>
        <bottom/>
      </border>
    </dxf>
  </dxfs>
  <tableStyles count="0" defaultTableStyle="TableStyleMedium2" defaultPivotStyle="PivotStyleLight16"/>
  <colors>
    <mruColors>
      <color rgb="FF0000FF"/>
      <color rgb="FF660033"/>
      <color rgb="FFFFFF99"/>
      <color rgb="FFFFFFFB"/>
      <color rgb="FFF3F3F3"/>
      <color rgb="FFFFCCFF"/>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persons/person.xml><?xml version="1.0" encoding="utf-8"?>
<personList xmlns="http://schemas.microsoft.com/office/spreadsheetml/2018/threadedcomments" xmlns:x="http://schemas.openxmlformats.org/spreadsheetml/2006/main">
  <person displayName="Gavina Balasundran" id="{F065F6DA-AE6F-49E2-8E10-39304922C8CD}" userId="1056acd6c37fc52d" providerId="Windows Live"/>
</personList>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998AC9-72AF-4773-8F86-E2DAC34A749C}" name="Table13" displayName="Table13" ref="B4:BD650" totalsRowShown="0" headerRowDxfId="96" dataDxfId="94" headerRowBorderDxfId="95" tableBorderDxfId="93" totalsRowBorderDxfId="92">
  <tableColumns count="55">
    <tableColumn id="3" xr3:uid="{1E450BC6-7DD0-439D-B86F-B5E1802BC98C}" name="Member Type" dataDxfId="91"/>
    <tableColumn id="4" xr3:uid="{E11781A6-74A6-4F16-B93A-7BA244CD3B52}" name="First Name" dataDxfId="90"/>
    <tableColumn id="5" xr3:uid="{C2417413-CA77-4410-9ABC-D97432920F0E}" name="Surname" dataDxfId="89"/>
    <tableColumn id="6" xr3:uid="{7DDF56A6-4182-49B2-AA69-1D834B46FB8A}" name="Main Member Link ID" dataDxfId="88"/>
    <tableColumn id="7" xr3:uid="{70EA46F1-2C88-4FBE-8377-F1DA9C3159B5}" name="ID Number" dataDxfId="87"/>
    <tableColumn id="8" xr3:uid="{A10791FC-2D9F-4E9E-B488-BD50F884BA8C}" name="Passport Number" dataDxfId="86"/>
    <tableColumn id="9" xr3:uid="{C1C9407D-A580-4BC9-B8DF-117545064188}" name="Date Of Birth" dataDxfId="85"/>
    <tableColumn id="50" xr3:uid="{E45798BF-396A-4B7B-B93F-CBD978E28AAF}" name="Gender" dataDxfId="84"/>
    <tableColumn id="28" xr3:uid="{7F8D228D-00F7-41B9-AC00-7C01D175698B}" name="Commencement Date" dataDxfId="83"/>
    <tableColumn id="35" xr3:uid="{4568B870-67DC-43AB-B7DB-67223A7F5A5F}" name="Product Option" dataDxfId="82"/>
    <tableColumn id="10" xr3:uid="{6370DC67-CC2F-490C-81E4-4D6C4F109942}" name="Benefit Option" dataDxfId="81"/>
    <tableColumn id="34" xr3:uid="{E23501BA-9D0B-4CF7-9DE4-2C960F63F81E}" name="Premium Waiver" dataDxfId="80"/>
    <tableColumn id="49" xr3:uid="{106BC462-63E4-4669-85A1-265631D9E2AF}" name="VAPs Options" dataDxfId="79" dataCellStyle="Percent"/>
    <tableColumn id="27" xr3:uid="{72E89763-9E0C-4B43-AAB3-7BB4451ABE66}" name="Annual Increase Option" dataDxfId="78" dataCellStyle="Percent"/>
    <tableColumn id="38" xr3:uid="{B013415D-0A3B-4DFA-8980-49D128A184E6}" name="Increase Month" dataDxfId="77">
      <calculatedColumnFormula>IF(OR(Table13[[#This Row],[Annual Increase Option]]="No increase",Table13[[#This Row],[Annual Increase Option]]=""),"",_xlfn.XLOOKUP(MONTH(Table13[[#This Row],[Commencement Date]]),Lookups!$I$19:$I$30,Lookups!$J$19:$J$30,0))</calculatedColumnFormula>
    </tableColumn>
    <tableColumn id="33" xr3:uid="{BE767536-3A5E-46F1-B3B0-A273E2811F38}" name="Life Cover Amount" dataDxfId="76"/>
    <tableColumn id="53" xr3:uid="{987DA2A4-E9F3-472E-90EC-B21ECBD1FD8E}" name="Funeral Cover Amount" dataDxfId="75"/>
    <tableColumn id="54" xr3:uid="{3B4A2289-7872-4AB4-A121-E4930CC16E67}" name="Life Premium" dataDxfId="74">
      <calculatedColumnFormula>IF(Table13[[#This Row],[Life Cover Amount]]="",0,Table2[[#This Row],[Life Premium]])</calculatedColumnFormula>
    </tableColumn>
    <tableColumn id="2" xr3:uid="{AD40FF71-A099-4013-AB11-ED9AE2582757}" name="Funeral Premium" dataDxfId="73">
      <calculatedColumnFormula>IF(Table13[[#This Row],[Funeral Cover Amount]]=0,0,Table2[[#This Row],[Funeral Premium]])</calculatedColumnFormula>
    </tableColumn>
    <tableColumn id="52" xr3:uid="{DF9C6008-477B-4CD2-B3BC-C80E5354604B}" name="Total Premium (inc. Funeral premium under Main Member and excl. VAPs)" dataDxfId="72">
      <calculatedColumnFormula>IF(AND(Table13[[#This Row],[Life Cover Amount]]="",Table13[[#This Row],[Funeral Cover Amount]]=""),0,onboarding_calcs!AA5)</calculatedColumnFormula>
    </tableColumn>
    <tableColumn id="55" xr3:uid="{A339EDDA-8B77-49EF-B917-1C186DCB3E47}" name="Life Benefit  Percentage Split" dataDxfId="71" dataCellStyle="Percent"/>
    <tableColumn id="40" xr3:uid="{3A254149-810C-44F9-949C-AB777C244988}" name="Funeral Benefit &amp; Accidental Death Income Benefit Percentage Split" dataDxfId="70" dataCellStyle="Percent"/>
    <tableColumn id="37" xr3:uid="{D8369767-BF81-4BAD-8004-B0DE69939CA6}" name="Affordability Status" dataDxfId="69" dataCellStyle="Percent"/>
    <tableColumn id="32" xr3:uid="{CF516CD9-EC4F-4AEB-A769-97EF381ED960}" name="Previous Insurer " dataDxfId="68"/>
    <tableColumn id="31" xr3:uid="{9A4B934F-677C-416A-8B57-6C728006443A}" name="Previous Insurer Policy Number" dataDxfId="67"/>
    <tableColumn id="30" xr3:uid="{1214B0B3-3435-4D3B-B518-1F6B148020B9}" name="Previous Insurer Join Date" dataDxfId="66"/>
    <tableColumn id="29" xr3:uid="{635B34B5-0A6F-42F8-BF1A-AB85A4F73599}" name="Previous Insurer Cancellation Date" dataDxfId="65"/>
    <tableColumn id="36" xr3:uid="{39C2E7BF-8418-44DD-A9D4-1531F644F51E}" name="Previous Cover Amount" dataDxfId="64"/>
    <tableColumn id="11" xr3:uid="{EBEA518E-48A6-4172-BD92-6D6271749280}" name="Address 1 " dataDxfId="63"/>
    <tableColumn id="12" xr3:uid="{9127E34E-9D80-4BBB-B45B-8BF886E26AE1}" name="Address 2" dataDxfId="62"/>
    <tableColumn id="13" xr3:uid="{1736D0EF-881F-4A91-BC2E-833918B13066}" name="City" dataDxfId="61"/>
    <tableColumn id="14" xr3:uid="{F308157A-2432-4CD8-93B5-5CE0979DE7EB}" name="Province" dataDxfId="60"/>
    <tableColumn id="15" xr3:uid="{769E492E-6F88-4B5E-B12D-0AF1BFC29451}" name="Country" dataDxfId="59"/>
    <tableColumn id="16" xr3:uid="{78E754D0-8979-4C64-BA18-0464F47ACEEF}" name="Area Code" dataDxfId="58"/>
    <tableColumn id="17" xr3:uid="{7E754421-914E-4722-B17D-1C5C0516A1FF}" name="Postal Address 1" dataDxfId="57"/>
    <tableColumn id="18" xr3:uid="{DB453626-2B72-4764-A246-A3C39EA8C1D7}" name="Postal Address 2" dataDxfId="56"/>
    <tableColumn id="19" xr3:uid="{BEDD3092-9421-4C31-B760-C1830B56BA6B}" name="Postal City" dataDxfId="55"/>
    <tableColumn id="20" xr3:uid="{3A08E7B6-AE3B-4D9B-8B2B-3B69929BB117}" name="Postal Province" dataDxfId="54"/>
    <tableColumn id="21" xr3:uid="{08CB1494-FCC5-40A7-8383-D5527022C291}" name="Postal Country" dataDxfId="53"/>
    <tableColumn id="22" xr3:uid="{B38470CB-4AA4-499C-B2B5-4066BA6BB1B0}" name="Postal Code" dataDxfId="52"/>
    <tableColumn id="23" xr3:uid="{A5406041-CE53-4B8E-BCB1-C1204F706C49}" name="Telephone" dataDxfId="51"/>
    <tableColumn id="24" xr3:uid="{7D3890CF-2380-4956-A263-B51A4C197BCF}" name="Mobile" dataDxfId="50"/>
    <tableColumn id="25" xr3:uid="{08926EB5-3494-425C-91A1-1DE26FEBFEE7}" name="Email" dataDxfId="49"/>
    <tableColumn id="26" xr3:uid="{8AB919C1-0E3B-40E4-AA21-83732685CCB9}" name="Preferred Method Of Communication" dataDxfId="48"/>
    <tableColumn id="39" xr3:uid="{0637DA6B-1B6C-452F-A41C-A3041446F31B}" name="Payroll Code" dataDxfId="47"/>
    <tableColumn id="51" xr3:uid="{B71ACD62-9623-4F33-9785-A69DACB4458F}" name="Employer" dataDxfId="46"/>
    <tableColumn id="47" xr3:uid="{54A4736B-A282-4DD6-80ED-D22798E75246}" name="Employee Number" dataDxfId="45"/>
    <tableColumn id="41" xr3:uid="{98DB52BF-6DDB-4CC8-8E27-1817D9AA4B99}" name="Department" dataDxfId="44"/>
    <tableColumn id="48" xr3:uid="{6705888A-330B-46F7-AAE7-6D7AC8E59AA7}" name="Payment Method" dataDxfId="43"/>
    <tableColumn id="42" xr3:uid="{5ED220D5-4AD8-48BC-BE88-DB9683796BD8}" name="Bank" dataDxfId="42"/>
    <tableColumn id="43" xr3:uid="{7F3330E4-B417-4C8A-80B5-E86E84E7C2B6}" name="Branch Code" dataDxfId="41"/>
    <tableColumn id="44" xr3:uid="{FB1BEC14-829D-4A3D-AD91-B85CF9B2C33D}" name="Account#" dataDxfId="40"/>
    <tableColumn id="45" xr3:uid="{626CAEFC-1BFF-4FCF-885A-B60B174DFDF3}" name="Account Type" dataDxfId="39"/>
    <tableColumn id="46" xr3:uid="{E0232CC0-BD31-4C5A-BAD4-E0486FF01E76}" name="Debit Order Day" dataDxfId="38"/>
    <tableColumn id="1" xr3:uid="{CEFEED92-767C-4BC0-A0E0-3E542F5D252C}" name="Representative ID" dataDxfId="3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5E7478-41E9-4870-A6FD-D16201D8AF83}" name="Table2" displayName="Table2" ref="A4:AA650" totalsRowShown="0" headerRowDxfId="36" dataDxfId="35" tableBorderDxfId="34">
  <autoFilter ref="A4:AA650" xr:uid="{105E7478-41E9-4870-A6FD-D16201D8AF83}"/>
  <tableColumns count="27">
    <tableColumn id="1" xr3:uid="{B857F9AD-4B0E-4785-8428-2E3667D204F9}" name="Member Type" dataDxfId="33">
      <calculatedColumnFormula>Table13[[#This Row],[Member Type]]</calculatedColumnFormula>
    </tableColumn>
    <tableColumn id="2" xr3:uid="{F518B971-BD87-4C29-A569-5503F358F757}" name="Main Member Link ID" dataDxfId="32">
      <calculatedColumnFormula>Table13[[#This Row],[Main Member Link ID]]</calculatedColumnFormula>
    </tableColumn>
    <tableColumn id="3" xr3:uid="{BC10F096-9F8C-4877-AA84-B78FD7AD3524}" name="ID Number" dataDxfId="31">
      <calculatedColumnFormula>Table13[[#This Row],[ID Number]]</calculatedColumnFormula>
    </tableColumn>
    <tableColumn id="4" xr3:uid="{F61DF2C1-4A7E-4C36-81D0-B697A887E92B}" name="Date Of Birth" dataDxfId="30">
      <calculatedColumnFormula>Table13[[#This Row],[Date Of Birth]]</calculatedColumnFormula>
    </tableColumn>
    <tableColumn id="5" xr3:uid="{F116B197-DBD3-43E3-95D5-5F04EA8395E7}" name="Commencement Date" dataDxfId="29">
      <calculatedColumnFormula>Table13[[#This Row],[Commencement Date]]</calculatedColumnFormula>
    </tableColumn>
    <tableColumn id="6" xr3:uid="{A939E002-12FE-4AD3-A1C9-857ECA5FD49C}" name="Age Next Birthday" dataDxfId="28">
      <calculatedColumnFormula>IF(D5="","",
IF(OR($A5="Main Member",$A5="Spouse",$A5="Child"),IFERROR(IF((IF($D5="",-1,DATEDIF($D5,$E5,"Y"))+1)&gt;75,"Max age",IF($D5="",-1,DATEDIF($D5,$E5,"Y"))+1),FALSE),
IFERROR(IF((IF($D5="",-1,DATEDIF($D5,$E5,"Y"))+1)&gt;75,"Max age",IF($D5="",-1,DATEDIF($D5,$E5,"Y"))+1),FALSE)))</calculatedColumnFormula>
    </tableColumn>
    <tableColumn id="7" xr3:uid="{08AEC431-C982-46DA-A682-5DDC04F635F5}" name="Upper bound for age" dataDxfId="27">
      <calculatedColumnFormula>IF(F5="","",
IF(F5="Max age","Max age",
IF(OR($A5="Main Member",$A5="Spouse",$A5="Child"),IF($F5=0,"",IF($F5&lt;26,25,IF($F5&lt;36,35,IF($F5&lt;46,45,IF($F5&lt;51,50,IF($F5&lt;56,55,IF($F5&lt;61,60,IF($F5&lt;66,65,IF($F5&lt;71,70,IF($F5&lt;76,75)))))))))),
IF($F5=0,"",IF($F5&lt;26,25,IF($F5&lt;36,35,IF($F5&lt;46,45,IF($F5&lt;51,50,IF($F5&lt;56,55,IF($F5&lt;61,60,IF($F5&lt;66,65,IF($F5&lt;71,70,IF($F5&lt;76,75)))))))))))))</calculatedColumnFormula>
    </tableColumn>
    <tableColumn id="8" xr3:uid="{05C1FA5B-6B16-4727-8865-6C27F1F09062}" name="Product Option" dataDxfId="26">
      <calculatedColumnFormula>Table13[[#This Row],[Product Option]]</calculatedColumnFormula>
    </tableColumn>
    <tableColumn id="9" xr3:uid="{62CFCB1E-AEE5-499E-8630-636E3F2F2901}" name="Table Lookup for Life Cover" dataDxfId="25">
      <calculatedColumnFormula>IF(AND($A5="Main Member",Table2[[#This Row],[Product Option]]="My Value Plus Life"),"MM_LIFE",
IF(AND($A5="Spouse",Table2[[#This Row],[Product Option]]="My Value Plus Life"),"SP_LIFE",
IF(AND($A5="Main Member",Table2[[#This Row],[Product Option]]="My Value Plus Life &amp; Funeral"),"MM_LIFE",
IF(AND($A5="Spouse",Table2[[#This Row],[Product Option]]="My Value Plus Life &amp; Funeral"),_xlfn.XLOOKUP(Table2[[#This Row],[Benefit Name]],Lookups!$D$18:$D$23,Lookups!$E$18:$E$23,0),
0))))</calculatedColumnFormula>
    </tableColumn>
    <tableColumn id="10" xr3:uid="{CFD151DE-6D40-42BD-AB7F-414E58CE3C84}" name="Column Index (Life)" dataDxfId="24">
      <calculatedColumnFormula>IF($I5="","",
IF($I5="MM_LIFE",INDEX('Quotation Tool'!$S$54:$V$60,MATCH($T5,'Quotation Tool'!$S$54:$S$60,0),4),
IF($I5="SP_LIFE",_xlfn.XLOOKUP(B4,$B:$B,$J:$J,0),0)))</calculatedColumnFormula>
    </tableColumn>
    <tableColumn id="11" xr3:uid="{577D4DA9-4528-4D90-9024-79DE3D831ECC}" name="Life Fixed Rate" dataDxfId="23">
      <calculatedColumnFormula>IFERROR(VLOOKUP($G5,INDIRECT($I5),$J5,FALSE),0)</calculatedColumnFormula>
    </tableColumn>
    <tableColumn id="12" xr3:uid="{B009526F-F761-43A7-B091-DD1EAAF6946C}" name="Life Rate per 1,000" dataDxfId="22">
      <calculatedColumnFormula>IFERROR(VLOOKUP($G5,INDIRECT($I5),$J5+1,FALSE),0)</calculatedColumnFormula>
    </tableColumn>
    <tableColumn id="13" xr3:uid="{571D5D11-6256-4E6D-A939-C410A50B455B}" name="Life Premium" dataDxfId="21">
      <calculatedColumnFormula>K5+L5/1000*W5</calculatedColumnFormula>
    </tableColumn>
    <tableColumn id="14" xr3:uid="{50975039-66A8-4E7E-A8F9-B2A79EF13C01}" name="Benefit Name" dataDxfId="20">
      <calculatedColumnFormula>Table13[[#This Row],[Benefit Option]]</calculatedColumnFormula>
    </tableColumn>
    <tableColumn id="15" xr3:uid="{A584B512-8598-4D5A-83F2-2F00479F928C}" name="Table Lookup for Funeral" dataDxfId="19">
      <calculatedColumnFormula>IF(OR(Table2[[#This Row],[Member Type]]="Spouse",Table2[[#This Row],[Member Type]]="Child"),0,
IF(_xlfn.XLOOKUP($N5,Lookups!$D$13:$D$27,Lookups!$F$13:$F$27,0)=Table2[[#This Row],[Table Lookup for Life Cover]],0,
_xlfn.XLOOKUP($N5,Lookups!$D$13:$D$27,Lookups!$F$13:$F$27,0)))</calculatedColumnFormula>
    </tableColumn>
    <tableColumn id="16" xr3:uid="{CE61D6F1-FBE0-44EC-812B-5B8ACCF802AB}" name="Column Index (Funeral)" dataDxfId="18">
      <calculatedColumnFormula>IF(Table2[[#This Row],[Table Lookup for Funeral]]=0,0,IFERROR(INDEX('Quotation Tool'!$S$54:$V$60,MATCH($T5,'Quotation Tool'!$S$54:$S$60,0),3),0))</calculatedColumnFormula>
    </tableColumn>
    <tableColumn id="27" xr3:uid="{F839E16F-21F9-4FB6-80ED-235437A93001}" name="Funeral Fixed Rate" dataDxfId="17">
      <calculatedColumnFormula>IF(OR(Table2[[#This Row],[Benefit Name]]="My Value Plus Life - Main Member",Table2[[#This Row],[Benefit Name]]="My Value Plus Life - Spouse"),0,
IFERROR(VLOOKUP($G5,INDIRECT($O5),$P5,FALSE),0))</calculatedColumnFormula>
    </tableColumn>
    <tableColumn id="17" xr3:uid="{DAB22A04-FA18-4377-883A-9B32AAFAD98B}" name="Funeral Rate per 1,000" dataDxfId="16">
      <calculatedColumnFormula>IF(OR(Table2[[#This Row],[Benefit Name]]="My Value Plus Life - Main Member",Table2[[#This Row],[Benefit Name]]="My Value Plus Life - Spouse"),0,
IFERROR(VLOOKUP($G5,INDIRECT($O5),$P5+1,FALSE),0))</calculatedColumnFormula>
    </tableColumn>
    <tableColumn id="18" xr3:uid="{F43B59D2-50BC-4612-889B-954F2D01B4CD}" name="Funeral Premium" dataDxfId="15">
      <calculatedColumnFormula>Q5+R5/1000*X5</calculatedColumnFormula>
    </tableColumn>
    <tableColumn id="19" xr3:uid="{21E3D852-C6FC-471A-BA3F-149A120D0164}" name="Premium Waiver" dataDxfId="14">
      <calculatedColumnFormula>IF(Table13[[#This Row],[Premium Waiver]]="","None",Table13[[#This Row],[Premium Waiver]])</calculatedColumnFormula>
    </tableColumn>
    <tableColumn id="20" xr3:uid="{C3D004D6-AF5E-4ADB-86DA-2AAD4CB33583}" name="VAPs Options" dataDxfId="13">
      <calculatedColumnFormula>Table13[[#This Row],[VAPs Options]]</calculatedColumnFormula>
    </tableColumn>
    <tableColumn id="21" xr3:uid="{4EB3DC93-A113-47B3-B2C9-EFBB44CEB2A1}" name="Annual Increase Option" dataDxfId="12">
      <calculatedColumnFormula>Table13[[#This Row],[Annual Increase Option]]</calculatedColumnFormula>
    </tableColumn>
    <tableColumn id="22" xr3:uid="{67B71CCC-C323-455F-8496-C154D2A2D265}" name="Life Cover Amount" dataDxfId="11">
      <calculatedColumnFormula>Table13[[#This Row],[Life Cover Amount]]</calculatedColumnFormula>
    </tableColumn>
    <tableColumn id="23" xr3:uid="{F896817D-8820-4F18-BF4F-553FE8B047E3}" name="Funeral Cover Amount" dataDxfId="10">
      <calculatedColumnFormula>Table13[[#This Row],[Funeral Cover Amount]]</calculatedColumnFormula>
    </tableColumn>
    <tableColumn id="25" xr3:uid="{867C2C3F-3AC0-4C62-92DA-FB162982F4D1}" name="Validation check for Life Cover Amount" dataDxfId="9">
      <calculatedColumnFormula>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calculatedColumnFormula>
    </tableColumn>
    <tableColumn id="26" xr3:uid="{6E1BB69A-AE08-4AC8-9164-951C0D428B1E}" name="Validation check for Funeral Cover Amount" dataDxfId="8">
      <calculatedColumnFormula>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calculatedColumnFormula>
    </tableColumn>
    <tableColumn id="24" xr3:uid="{5F4DDB84-128B-43F1-9998-6BEFA95BC000}" name="Premium (excl. VAPs)" dataDxfId="7">
      <calculatedColumnFormula>S5+M5</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41" dT="2025-10-13T12:33:12.82" personId="{F065F6DA-AE6F-49E2-8E10-39304922C8CD}" id="{7365E569-1F29-403E-B43F-FD52CB5B72CA}">
    <text>Originally was 9</text>
  </threadedComment>
</ThreadedComment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8B86D-D507-4B01-8D32-53DC7D3CB4D8}">
  <dimension ref="A1:Y10"/>
  <sheetViews>
    <sheetView zoomScaleNormal="100" workbookViewId="0">
      <selection activeCell="D2" sqref="D2:F2"/>
    </sheetView>
  </sheetViews>
  <sheetFormatPr defaultColWidth="0" defaultRowHeight="14.4" zeroHeight="1" x14ac:dyDescent="0.3"/>
  <cols>
    <col min="1" max="3" width="2.6640625" style="312" customWidth="1"/>
    <col min="4" max="22" width="8.88671875" style="312" customWidth="1"/>
    <col min="23" max="25" width="2.6640625" style="312" customWidth="1"/>
    <col min="26" max="16384" width="8.88671875" style="312" hidden="1"/>
  </cols>
  <sheetData>
    <row r="1" spans="3:23" ht="15" thickBot="1" x14ac:dyDescent="0.35"/>
    <row r="2" spans="3:23" ht="49.95" customHeight="1" x14ac:dyDescent="0.3">
      <c r="C2" s="313"/>
      <c r="D2" s="535" t="e" vm="1">
        <v>#VALUE!</v>
      </c>
      <c r="E2" s="535"/>
      <c r="F2" s="535"/>
      <c r="G2" s="314"/>
      <c r="H2" s="314"/>
      <c r="I2" s="314"/>
      <c r="J2" s="314"/>
      <c r="K2" s="314"/>
      <c r="L2" s="314"/>
      <c r="M2" s="314"/>
      <c r="N2" s="314"/>
      <c r="O2" s="314"/>
      <c r="P2" s="314"/>
      <c r="Q2" s="314"/>
      <c r="R2" s="314"/>
      <c r="S2" s="314"/>
      <c r="T2" s="314"/>
      <c r="U2" s="314"/>
      <c r="V2" s="314"/>
      <c r="W2" s="315"/>
    </row>
    <row r="3" spans="3:23" ht="19.8" x14ac:dyDescent="0.3">
      <c r="C3" s="316"/>
      <c r="D3" s="537" t="s">
        <v>308</v>
      </c>
      <c r="E3" s="537"/>
      <c r="F3" s="537"/>
      <c r="G3" s="537"/>
      <c r="H3" s="537"/>
      <c r="I3" s="537"/>
      <c r="J3" s="537"/>
      <c r="K3" s="537"/>
      <c r="L3" s="537"/>
      <c r="M3" s="537"/>
      <c r="N3" s="537"/>
      <c r="O3" s="537"/>
      <c r="P3" s="537"/>
      <c r="Q3" s="537"/>
      <c r="R3" s="537"/>
      <c r="S3" s="537"/>
      <c r="T3" s="537"/>
      <c r="U3" s="537"/>
      <c r="V3" s="537"/>
      <c r="W3" s="317"/>
    </row>
    <row r="4" spans="3:23" ht="199.95" customHeight="1" x14ac:dyDescent="0.3">
      <c r="C4" s="316"/>
      <c r="D4" s="536" t="s">
        <v>393</v>
      </c>
      <c r="E4" s="536"/>
      <c r="F4" s="536"/>
      <c r="G4" s="536"/>
      <c r="H4" s="536"/>
      <c r="I4" s="536"/>
      <c r="J4" s="536"/>
      <c r="K4" s="536"/>
      <c r="L4" s="536"/>
      <c r="M4" s="536"/>
      <c r="N4" s="536"/>
      <c r="O4" s="536"/>
      <c r="P4" s="536"/>
      <c r="Q4" s="536"/>
      <c r="R4" s="536"/>
      <c r="S4" s="536"/>
      <c r="T4" s="536"/>
      <c r="U4" s="536"/>
      <c r="V4" s="536"/>
      <c r="W4" s="317"/>
    </row>
    <row r="5" spans="3:23" ht="151.19999999999999" customHeight="1" x14ac:dyDescent="0.3">
      <c r="C5" s="316"/>
      <c r="D5" s="536"/>
      <c r="E5" s="536"/>
      <c r="F5" s="536"/>
      <c r="G5" s="536"/>
      <c r="H5" s="536"/>
      <c r="I5" s="536"/>
      <c r="J5" s="536"/>
      <c r="K5" s="536"/>
      <c r="L5" s="536"/>
      <c r="M5" s="536"/>
      <c r="N5" s="536"/>
      <c r="O5" s="536"/>
      <c r="P5" s="536"/>
      <c r="Q5" s="536"/>
      <c r="R5" s="536"/>
      <c r="S5" s="536"/>
      <c r="T5" s="536"/>
      <c r="U5" s="536"/>
      <c r="V5" s="536"/>
      <c r="W5" s="317"/>
    </row>
    <row r="6" spans="3:23" ht="19.8" x14ac:dyDescent="0.3">
      <c r="C6" s="316"/>
      <c r="D6" s="537" t="s">
        <v>307</v>
      </c>
      <c r="E6" s="537"/>
      <c r="F6" s="537"/>
      <c r="G6" s="537"/>
      <c r="H6" s="537"/>
      <c r="I6" s="537"/>
      <c r="J6" s="537"/>
      <c r="K6" s="537"/>
      <c r="L6" s="537"/>
      <c r="M6" s="537"/>
      <c r="N6" s="537"/>
      <c r="O6" s="537"/>
      <c r="P6" s="537"/>
      <c r="Q6" s="537"/>
      <c r="R6" s="537"/>
      <c r="S6" s="537"/>
      <c r="T6" s="537"/>
      <c r="U6" s="537"/>
      <c r="V6" s="537"/>
      <c r="W6" s="317"/>
    </row>
    <row r="7" spans="3:23" ht="199.95" customHeight="1" x14ac:dyDescent="0.3">
      <c r="C7" s="316"/>
      <c r="D7" s="536" t="s">
        <v>392</v>
      </c>
      <c r="E7" s="536"/>
      <c r="F7" s="536"/>
      <c r="G7" s="536"/>
      <c r="H7" s="536"/>
      <c r="I7" s="536"/>
      <c r="J7" s="536"/>
      <c r="K7" s="536"/>
      <c r="L7" s="536"/>
      <c r="M7" s="536"/>
      <c r="N7" s="536"/>
      <c r="O7" s="536"/>
      <c r="P7" s="536"/>
      <c r="Q7" s="536"/>
      <c r="R7" s="536"/>
      <c r="S7" s="536"/>
      <c r="T7" s="536"/>
      <c r="U7" s="536"/>
      <c r="V7" s="536"/>
      <c r="W7" s="317"/>
    </row>
    <row r="8" spans="3:23" ht="199.95" customHeight="1" x14ac:dyDescent="0.3">
      <c r="C8" s="316"/>
      <c r="D8" s="536"/>
      <c r="E8" s="536"/>
      <c r="F8" s="536"/>
      <c r="G8" s="536"/>
      <c r="H8" s="536"/>
      <c r="I8" s="536"/>
      <c r="J8" s="536"/>
      <c r="K8" s="536"/>
      <c r="L8" s="536"/>
      <c r="M8" s="536"/>
      <c r="N8" s="536"/>
      <c r="O8" s="536"/>
      <c r="P8" s="536"/>
      <c r="Q8" s="536"/>
      <c r="R8" s="536"/>
      <c r="S8" s="536"/>
      <c r="T8" s="536"/>
      <c r="U8" s="536"/>
      <c r="V8" s="536"/>
      <c r="W8" s="317"/>
    </row>
    <row r="9" spans="3:23" ht="135.6" customHeight="1" thickBot="1" x14ac:dyDescent="0.35">
      <c r="C9" s="318"/>
      <c r="D9" s="538"/>
      <c r="E9" s="538"/>
      <c r="F9" s="538"/>
      <c r="G9" s="538"/>
      <c r="H9" s="538"/>
      <c r="I9" s="538"/>
      <c r="J9" s="538"/>
      <c r="K9" s="538"/>
      <c r="L9" s="538"/>
      <c r="M9" s="538"/>
      <c r="N9" s="538"/>
      <c r="O9" s="538"/>
      <c r="P9" s="538"/>
      <c r="Q9" s="538"/>
      <c r="R9" s="538"/>
      <c r="S9" s="538"/>
      <c r="T9" s="538"/>
      <c r="U9" s="538"/>
      <c r="V9" s="538"/>
      <c r="W9" s="319"/>
    </row>
    <row r="10" spans="3:23" x14ac:dyDescent="0.3"/>
  </sheetData>
  <sheetProtection algorithmName="SHA-512" hashValue="PcjakxwUVPj0IlkaBg/W37ruMOmMgcWTrjqpTDWYrC98kzqJSc6DIxEWIOXcTbrz5gd4EYBzuzcW0dHjc05nqA==" saltValue="1hLH6JrolMqWWVBKR75TMw==" spinCount="100000" sheet="1" objects="1" scenarios="1"/>
  <mergeCells count="5">
    <mergeCell ref="D2:F2"/>
    <mergeCell ref="D4:V5"/>
    <mergeCell ref="D3:V3"/>
    <mergeCell ref="D6:V6"/>
    <mergeCell ref="D7:V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44D05-7A65-48A2-A171-DB0A162D602B}">
  <sheetPr>
    <tabColor theme="4"/>
  </sheetPr>
  <dimension ref="A1:BR651"/>
  <sheetViews>
    <sheetView tabSelected="1" zoomScale="90" zoomScaleNormal="90" workbookViewId="0">
      <pane xSplit="5" ySplit="4" topLeftCell="F5" activePane="bottomRight" state="frozen"/>
      <selection pane="topRight" activeCell="F1" sqref="F1"/>
      <selection pane="bottomLeft" activeCell="A5" sqref="A5"/>
      <selection pane="bottomRight" activeCell="D16" sqref="D16"/>
    </sheetView>
  </sheetViews>
  <sheetFormatPr defaultColWidth="0" defaultRowHeight="14.4" zeroHeight="1" x14ac:dyDescent="0.3"/>
  <cols>
    <col min="1" max="1" width="10.33203125" style="109" customWidth="1"/>
    <col min="2" max="2" width="14.33203125" style="109" bestFit="1" customWidth="1"/>
    <col min="3" max="4" width="22.6640625" style="109" customWidth="1"/>
    <col min="5" max="6" width="16.6640625" style="109" customWidth="1"/>
    <col min="7" max="7" width="13.6640625" style="307" customWidth="1"/>
    <col min="8" max="8" width="11.88671875" style="109" customWidth="1"/>
    <col min="9" max="9" width="11.5546875" style="307" customWidth="1"/>
    <col min="10" max="10" width="18.6640625" style="109" customWidth="1"/>
    <col min="11" max="11" width="31.33203125" style="109" customWidth="1"/>
    <col min="12" max="12" width="49.109375" style="109" bestFit="1" customWidth="1"/>
    <col min="13" max="13" width="28.6640625" style="109" customWidth="1"/>
    <col min="14" max="14" width="30" style="109" customWidth="1"/>
    <col min="15" max="16" width="11.6640625" style="307" customWidth="1"/>
    <col min="17" max="20" width="20.6640625" style="109" customWidth="1"/>
    <col min="21" max="21" width="22.33203125" style="109" customWidth="1"/>
    <col min="22" max="23" width="15.6640625" style="109" customWidth="1"/>
    <col min="24" max="24" width="16.6640625" style="307" customWidth="1"/>
    <col min="25" max="25" width="12.6640625" style="307" customWidth="1"/>
    <col min="26" max="26" width="15.6640625" style="109" customWidth="1"/>
    <col min="27" max="27" width="12.6640625" style="109" customWidth="1"/>
    <col min="28" max="28" width="14" style="109" customWidth="1"/>
    <col min="29" max="29" width="17.109375" style="109" customWidth="1"/>
    <col min="30" max="34" width="15.6640625" style="109" customWidth="1"/>
    <col min="35" max="35" width="10.6640625" style="109" customWidth="1"/>
    <col min="36" max="40" width="15.6640625" style="109" customWidth="1"/>
    <col min="41" max="41" width="15.6640625" style="307" customWidth="1"/>
    <col min="42" max="43" width="12.6640625" style="307" customWidth="1"/>
    <col min="44" max="44" width="25.33203125" style="109" customWidth="1"/>
    <col min="45" max="45" width="17.6640625" style="307" customWidth="1"/>
    <col min="46" max="54" width="15.6640625" style="109" customWidth="1"/>
    <col min="55" max="55" width="15.6640625" style="307" customWidth="1"/>
    <col min="56" max="56" width="22.33203125" style="307" customWidth="1"/>
    <col min="57" max="57" width="2.6640625" style="109" customWidth="1"/>
    <col min="58" max="58" width="36.109375" style="307" customWidth="1"/>
    <col min="59" max="59" width="2.6640625" style="109" customWidth="1"/>
    <col min="60" max="60" width="22.5546875" style="109" hidden="1" customWidth="1"/>
    <col min="61" max="61" width="22.88671875" style="109" hidden="1" customWidth="1"/>
    <col min="62" max="62" width="33.88671875" style="109" hidden="1" customWidth="1"/>
    <col min="63" max="63" width="40.5546875" style="109" hidden="1" customWidth="1"/>
    <col min="64" max="64" width="15.44140625" style="109" hidden="1" customWidth="1"/>
    <col min="65" max="66" width="12.33203125" style="109" hidden="1" customWidth="1"/>
    <col min="67" max="67" width="15.44140625" style="109" hidden="1" customWidth="1"/>
    <col min="68" max="68" width="10.33203125" style="109" hidden="1" customWidth="1"/>
    <col min="69" max="70" width="18.44140625" style="109" hidden="1" customWidth="1"/>
    <col min="71" max="16384" width="8.6640625" style="109" hidden="1"/>
  </cols>
  <sheetData>
    <row r="1" spans="1:62" ht="63" customHeight="1" thickBot="1" x14ac:dyDescent="0.35">
      <c r="A1" s="463" t="s">
        <v>384</v>
      </c>
      <c r="B1" s="524" t="e" vm="2">
        <v>#VALUE!</v>
      </c>
      <c r="C1" s="524"/>
      <c r="D1" s="308"/>
      <c r="E1" s="309"/>
      <c r="F1" s="309"/>
      <c r="G1" s="351"/>
      <c r="H1" s="309"/>
      <c r="I1" s="309"/>
      <c r="J1" s="309"/>
      <c r="K1" s="309"/>
      <c r="L1" s="309"/>
      <c r="M1" s="309"/>
      <c r="N1" s="309"/>
      <c r="O1" s="309"/>
      <c r="P1" s="309"/>
      <c r="Q1" s="309"/>
      <c r="R1" s="309"/>
      <c r="S1" s="309"/>
      <c r="T1" s="309"/>
      <c r="U1" s="309"/>
      <c r="V1" s="309"/>
      <c r="W1" s="309"/>
      <c r="X1" s="309"/>
      <c r="Y1" s="309"/>
      <c r="Z1" s="309"/>
      <c r="AA1" s="309"/>
      <c r="AB1" s="309"/>
      <c r="AC1" s="309"/>
      <c r="AD1" s="309"/>
      <c r="AE1" s="309"/>
      <c r="AF1" s="309"/>
      <c r="AG1" s="309"/>
      <c r="AH1" s="309"/>
      <c r="AI1" s="309"/>
      <c r="AJ1" s="309"/>
      <c r="AK1" s="309"/>
      <c r="AL1" s="309"/>
      <c r="AM1" s="309"/>
      <c r="AN1" s="309"/>
      <c r="AO1" s="309"/>
      <c r="AP1" s="309"/>
      <c r="AQ1" s="309"/>
      <c r="AR1" s="309"/>
      <c r="AS1" s="309"/>
      <c r="AT1" s="309"/>
      <c r="AU1" s="309"/>
      <c r="AV1" s="309"/>
      <c r="AW1" s="309"/>
      <c r="AX1" s="309"/>
      <c r="AY1" s="309"/>
      <c r="AZ1" s="309"/>
      <c r="BA1" s="309"/>
      <c r="BB1" s="309"/>
      <c r="BC1" s="309"/>
      <c r="BD1" s="308"/>
      <c r="BF1" s="308"/>
    </row>
    <row r="2" spans="1:62" ht="25.2" customHeight="1" thickBot="1" x14ac:dyDescent="0.35">
      <c r="A2" s="528" t="s">
        <v>0</v>
      </c>
      <c r="B2" s="534"/>
      <c r="C2" s="534"/>
      <c r="D2" s="534"/>
      <c r="E2" s="534"/>
      <c r="F2" s="534"/>
      <c r="G2" s="534"/>
      <c r="H2" s="534"/>
      <c r="I2" s="534"/>
      <c r="J2" s="529"/>
      <c r="K2" s="514" t="s">
        <v>284</v>
      </c>
      <c r="L2" s="515"/>
      <c r="M2" s="515"/>
      <c r="N2" s="515"/>
      <c r="O2" s="515"/>
      <c r="P2" s="515"/>
      <c r="Q2" s="515"/>
      <c r="R2" s="515"/>
      <c r="S2" s="517"/>
      <c r="T2" s="517"/>
      <c r="U2" s="516"/>
      <c r="V2" s="528" t="s">
        <v>262</v>
      </c>
      <c r="W2" s="529"/>
      <c r="X2" s="146" t="s">
        <v>73</v>
      </c>
      <c r="Y2" s="514" t="s">
        <v>1</v>
      </c>
      <c r="Z2" s="515"/>
      <c r="AA2" s="515"/>
      <c r="AB2" s="515"/>
      <c r="AC2" s="516"/>
      <c r="AD2" s="514" t="s">
        <v>2</v>
      </c>
      <c r="AE2" s="515"/>
      <c r="AF2" s="515"/>
      <c r="AG2" s="515"/>
      <c r="AH2" s="515"/>
      <c r="AI2" s="516"/>
      <c r="AJ2" s="514" t="s">
        <v>3</v>
      </c>
      <c r="AK2" s="515"/>
      <c r="AL2" s="515"/>
      <c r="AM2" s="515"/>
      <c r="AN2" s="515"/>
      <c r="AO2" s="516"/>
      <c r="AP2" s="514" t="s">
        <v>4</v>
      </c>
      <c r="AQ2" s="515"/>
      <c r="AR2" s="515"/>
      <c r="AS2" s="517"/>
      <c r="AT2" s="518" t="s">
        <v>5</v>
      </c>
      <c r="AU2" s="519"/>
      <c r="AV2" s="519"/>
      <c r="AW2" s="520"/>
      <c r="AX2" s="521" t="s">
        <v>6</v>
      </c>
      <c r="AY2" s="522"/>
      <c r="AZ2" s="522"/>
      <c r="BA2" s="522"/>
      <c r="BB2" s="522"/>
      <c r="BC2" s="523"/>
      <c r="BD2" s="147" t="s">
        <v>7</v>
      </c>
      <c r="BE2" s="143"/>
      <c r="BF2" s="308"/>
      <c r="BG2" s="143"/>
      <c r="BH2" s="143"/>
      <c r="BI2" s="143"/>
      <c r="BJ2" s="143"/>
    </row>
    <row r="3" spans="1:62" s="144" customFormat="1" ht="60" customHeight="1" thickBot="1" x14ac:dyDescent="0.35">
      <c r="A3" s="145" t="s">
        <v>371</v>
      </c>
      <c r="B3" s="464" t="s">
        <v>286</v>
      </c>
      <c r="C3" s="525" t="s">
        <v>287</v>
      </c>
      <c r="D3" s="526"/>
      <c r="E3" s="145" t="s">
        <v>288</v>
      </c>
      <c r="F3" s="530" t="s">
        <v>289</v>
      </c>
      <c r="G3" s="530"/>
      <c r="H3" s="145" t="s">
        <v>355</v>
      </c>
      <c r="I3" s="145" t="s">
        <v>285</v>
      </c>
      <c r="J3" s="145" t="s">
        <v>356</v>
      </c>
      <c r="K3" s="145" t="s">
        <v>290</v>
      </c>
      <c r="L3" s="145" t="s">
        <v>291</v>
      </c>
      <c r="M3" s="145" t="s">
        <v>292</v>
      </c>
      <c r="N3" s="145" t="s">
        <v>293</v>
      </c>
      <c r="O3" s="145" t="s">
        <v>294</v>
      </c>
      <c r="P3" s="145" t="s">
        <v>378</v>
      </c>
      <c r="Q3" s="145" t="s">
        <v>310</v>
      </c>
      <c r="R3" s="145" t="s">
        <v>309</v>
      </c>
      <c r="S3" s="531" t="s">
        <v>385</v>
      </c>
      <c r="T3" s="532"/>
      <c r="U3" s="533"/>
      <c r="V3" s="527" t="s">
        <v>295</v>
      </c>
      <c r="W3" s="526"/>
      <c r="X3" s="145" t="s">
        <v>296</v>
      </c>
      <c r="Y3" s="145" t="s">
        <v>297</v>
      </c>
      <c r="Z3" s="145" t="s">
        <v>298</v>
      </c>
      <c r="AA3" s="527" t="s">
        <v>357</v>
      </c>
      <c r="AB3" s="526"/>
      <c r="AC3" s="145" t="s">
        <v>298</v>
      </c>
      <c r="AD3" s="145" t="s">
        <v>299</v>
      </c>
      <c r="AE3" s="145" t="s">
        <v>300</v>
      </c>
      <c r="AF3" s="145" t="s">
        <v>298</v>
      </c>
      <c r="AG3" s="145" t="s">
        <v>298</v>
      </c>
      <c r="AH3" s="145" t="s">
        <v>298</v>
      </c>
      <c r="AI3" s="145" t="s">
        <v>303</v>
      </c>
      <c r="AJ3" s="145" t="s">
        <v>302</v>
      </c>
      <c r="AK3" s="145" t="s">
        <v>300</v>
      </c>
      <c r="AL3" s="145" t="s">
        <v>298</v>
      </c>
      <c r="AM3" s="145" t="s">
        <v>298</v>
      </c>
      <c r="AN3" s="145" t="s">
        <v>298</v>
      </c>
      <c r="AO3" s="145" t="s">
        <v>301</v>
      </c>
      <c r="AP3" s="145" t="s">
        <v>298</v>
      </c>
      <c r="AQ3" s="145" t="s">
        <v>298</v>
      </c>
      <c r="AR3" s="145" t="s">
        <v>298</v>
      </c>
      <c r="AS3" s="145" t="s">
        <v>304</v>
      </c>
      <c r="AT3" s="145" t="s">
        <v>298</v>
      </c>
      <c r="AU3" s="145" t="s">
        <v>298</v>
      </c>
      <c r="AV3" s="145" t="s">
        <v>298</v>
      </c>
      <c r="AW3" s="145" t="s">
        <v>298</v>
      </c>
      <c r="AX3" s="145" t="s">
        <v>294</v>
      </c>
      <c r="AY3" s="145" t="s">
        <v>298</v>
      </c>
      <c r="AZ3" s="145" t="s">
        <v>298</v>
      </c>
      <c r="BA3" s="145" t="s">
        <v>298</v>
      </c>
      <c r="BB3" s="145" t="s">
        <v>298</v>
      </c>
      <c r="BC3" s="145" t="s">
        <v>298</v>
      </c>
      <c r="BD3" s="310" t="s">
        <v>298</v>
      </c>
      <c r="BF3" s="361"/>
    </row>
    <row r="4" spans="1:62" s="152" customFormat="1" ht="121.8" x14ac:dyDescent="0.3">
      <c r="A4" s="377" t="s">
        <v>370</v>
      </c>
      <c r="B4" s="375" t="s">
        <v>8</v>
      </c>
      <c r="C4" s="148" t="s">
        <v>9</v>
      </c>
      <c r="D4" s="148" t="s">
        <v>10</v>
      </c>
      <c r="E4" s="148" t="s">
        <v>11</v>
      </c>
      <c r="F4" s="148" t="s">
        <v>12</v>
      </c>
      <c r="G4" s="148" t="s">
        <v>13</v>
      </c>
      <c r="H4" s="148" t="s">
        <v>14</v>
      </c>
      <c r="I4" s="148" t="s">
        <v>15</v>
      </c>
      <c r="J4" s="148" t="s">
        <v>18</v>
      </c>
      <c r="K4" s="148" t="s">
        <v>16</v>
      </c>
      <c r="L4" s="148" t="s">
        <v>350</v>
      </c>
      <c r="M4" s="149" t="s">
        <v>20</v>
      </c>
      <c r="N4" s="150" t="s">
        <v>42</v>
      </c>
      <c r="O4" s="150" t="s">
        <v>43</v>
      </c>
      <c r="P4" s="148" t="s">
        <v>44</v>
      </c>
      <c r="Q4" s="148" t="s">
        <v>261</v>
      </c>
      <c r="R4" s="148" t="s">
        <v>260</v>
      </c>
      <c r="S4" s="148" t="s">
        <v>282</v>
      </c>
      <c r="T4" s="148" t="s">
        <v>283</v>
      </c>
      <c r="U4" s="148" t="s">
        <v>322</v>
      </c>
      <c r="V4" s="148" t="s">
        <v>358</v>
      </c>
      <c r="W4" s="148" t="s">
        <v>376</v>
      </c>
      <c r="X4" s="148" t="s">
        <v>19</v>
      </c>
      <c r="Y4" s="148" t="s">
        <v>21</v>
      </c>
      <c r="Z4" s="148" t="s">
        <v>22</v>
      </c>
      <c r="AA4" s="148" t="s">
        <v>23</v>
      </c>
      <c r="AB4" s="148" t="s">
        <v>24</v>
      </c>
      <c r="AC4" s="148" t="s">
        <v>25</v>
      </c>
      <c r="AD4" s="148" t="s">
        <v>26</v>
      </c>
      <c r="AE4" s="148" t="s">
        <v>27</v>
      </c>
      <c r="AF4" s="148" t="s">
        <v>28</v>
      </c>
      <c r="AG4" s="148" t="s">
        <v>29</v>
      </c>
      <c r="AH4" s="148" t="s">
        <v>30</v>
      </c>
      <c r="AI4" s="148" t="s">
        <v>31</v>
      </c>
      <c r="AJ4" s="148" t="s">
        <v>32</v>
      </c>
      <c r="AK4" s="148" t="s">
        <v>33</v>
      </c>
      <c r="AL4" s="148" t="s">
        <v>34</v>
      </c>
      <c r="AM4" s="148" t="s">
        <v>35</v>
      </c>
      <c r="AN4" s="148" t="s">
        <v>36</v>
      </c>
      <c r="AO4" s="150" t="s">
        <v>37</v>
      </c>
      <c r="AP4" s="150" t="s">
        <v>38</v>
      </c>
      <c r="AQ4" s="150" t="s">
        <v>39</v>
      </c>
      <c r="AR4" s="151" t="s">
        <v>40</v>
      </c>
      <c r="AS4" s="150" t="s">
        <v>41</v>
      </c>
      <c r="AT4" s="150" t="s">
        <v>45</v>
      </c>
      <c r="AU4" s="149" t="s">
        <v>46</v>
      </c>
      <c r="AV4" s="150" t="s">
        <v>47</v>
      </c>
      <c r="AW4" s="149" t="s">
        <v>48</v>
      </c>
      <c r="AX4" s="150" t="s">
        <v>49</v>
      </c>
      <c r="AY4" s="150" t="s">
        <v>50</v>
      </c>
      <c r="AZ4" s="150" t="s">
        <v>51</v>
      </c>
      <c r="BA4" s="150" t="s">
        <v>52</v>
      </c>
      <c r="BB4" s="150" t="s">
        <v>53</v>
      </c>
      <c r="BC4" s="311" t="s">
        <v>54</v>
      </c>
      <c r="BD4" s="311" t="s">
        <v>55</v>
      </c>
      <c r="BF4" s="362" t="s">
        <v>375</v>
      </c>
      <c r="BH4" s="306"/>
      <c r="BI4" s="306"/>
    </row>
    <row r="5" spans="1:62" x14ac:dyDescent="0.3">
      <c r="A5" s="422"/>
      <c r="B5" s="376" t="s">
        <v>56</v>
      </c>
      <c r="C5" s="110" t="s">
        <v>427</v>
      </c>
      <c r="D5" s="110" t="s">
        <v>428</v>
      </c>
      <c r="E5" s="330">
        <v>9403175795084</v>
      </c>
      <c r="F5" s="330">
        <v>9403175795084</v>
      </c>
      <c r="G5" s="338"/>
      <c r="H5" s="513">
        <v>34410</v>
      </c>
      <c r="I5" s="113" t="s">
        <v>57</v>
      </c>
      <c r="J5" s="332">
        <v>46023</v>
      </c>
      <c r="K5" s="110" t="s">
        <v>58</v>
      </c>
      <c r="L5" s="110" t="s">
        <v>336</v>
      </c>
      <c r="M5" s="110" t="s">
        <v>60</v>
      </c>
      <c r="N5" s="110" t="s">
        <v>369</v>
      </c>
      <c r="O5" s="111">
        <v>0.05</v>
      </c>
      <c r="P5" s="424" t="str">
        <f>IF(OR(Table13[[#This Row],[Annual Increase Option]]="No increase",Table13[[#This Row],[Annual Increase Option]]=""),"",_xlfn.XLOOKUP(MONTH(Table13[[#This Row],[Commencement Date]]),Lookups!$I$19:$I$30,Lookups!$J$19:$J$30,0))</f>
        <v>January</v>
      </c>
      <c r="Q5" s="340">
        <v>100000</v>
      </c>
      <c r="R5" s="340">
        <v>50000</v>
      </c>
      <c r="S5" s="360">
        <f ca="1">IF(Table13[[#This Row],[Life Cover Amount]]="",0,Table2[[#This Row],[Life Premium]])</f>
        <v>249.74999999999997</v>
      </c>
      <c r="T5" s="360">
        <f ca="1">IF(Table13[[#This Row],[Funeral Cover Amount]]=0,0,Table2[[#This Row],[Funeral Premium]])</f>
        <v>0</v>
      </c>
      <c r="U5" s="360">
        <f ca="1">IF(AND(Table13[[#This Row],[Life Cover Amount]]="",Table13[[#This Row],[Funeral Cover Amount]]=""),0,onboarding_calcs!AA5)</f>
        <v>249.74999999999997</v>
      </c>
      <c r="V5" s="111"/>
      <c r="W5" s="111"/>
      <c r="X5" s="333" t="s">
        <v>59</v>
      </c>
      <c r="Y5" s="110" t="s">
        <v>123</v>
      </c>
      <c r="Z5" s="426" t="s">
        <v>403</v>
      </c>
      <c r="AA5" s="425">
        <v>43831</v>
      </c>
      <c r="AB5" s="425">
        <v>45658</v>
      </c>
      <c r="AC5" s="113">
        <v>500</v>
      </c>
      <c r="AD5" s="334" t="s">
        <v>415</v>
      </c>
      <c r="AE5" s="110" t="s">
        <v>416</v>
      </c>
      <c r="AF5" s="110" t="s">
        <v>417</v>
      </c>
      <c r="AG5" s="110" t="s">
        <v>418</v>
      </c>
      <c r="AH5" s="110" t="s">
        <v>419</v>
      </c>
      <c r="AI5" s="336">
        <v>1901</v>
      </c>
      <c r="AJ5" s="335">
        <v>99</v>
      </c>
      <c r="AK5" s="110" t="s">
        <v>420</v>
      </c>
      <c r="AL5" s="110" t="s">
        <v>421</v>
      </c>
      <c r="AM5" s="110" t="s">
        <v>422</v>
      </c>
      <c r="AN5" s="110" t="s">
        <v>423</v>
      </c>
      <c r="AO5" s="336" t="s">
        <v>424</v>
      </c>
      <c r="AP5" s="336">
        <v>115970440</v>
      </c>
      <c r="AQ5" s="336" t="s">
        <v>425</v>
      </c>
      <c r="AR5" s="337" t="s">
        <v>426</v>
      </c>
      <c r="AS5" s="113" t="s">
        <v>40</v>
      </c>
      <c r="AT5" s="113">
        <v>94</v>
      </c>
      <c r="AU5" s="112" t="s">
        <v>404</v>
      </c>
      <c r="AV5" s="338" t="s">
        <v>396</v>
      </c>
      <c r="AW5" s="110" t="s">
        <v>405</v>
      </c>
      <c r="AX5" s="110" t="s">
        <v>372</v>
      </c>
      <c r="AY5" s="113" t="s">
        <v>62</v>
      </c>
      <c r="AZ5" s="336">
        <v>470010</v>
      </c>
      <c r="BA5" s="339" t="s">
        <v>406</v>
      </c>
      <c r="BB5" s="113" t="s">
        <v>407</v>
      </c>
      <c r="BC5" s="113">
        <v>1</v>
      </c>
      <c r="BD5" s="336" t="s">
        <v>409</v>
      </c>
      <c r="BF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Not applicable</v>
      </c>
    </row>
    <row r="6" spans="1:62" x14ac:dyDescent="0.3">
      <c r="A6" s="422"/>
      <c r="B6" s="376" t="s">
        <v>64</v>
      </c>
      <c r="C6" s="110" t="s">
        <v>429</v>
      </c>
      <c r="D6" s="110" t="s">
        <v>430</v>
      </c>
      <c r="E6" s="330">
        <v>9403175795084</v>
      </c>
      <c r="F6" s="510">
        <v>9404172666088</v>
      </c>
      <c r="G6" s="338"/>
      <c r="H6" s="513">
        <v>34410</v>
      </c>
      <c r="I6" s="113" t="s">
        <v>89</v>
      </c>
      <c r="J6" s="332">
        <v>46023</v>
      </c>
      <c r="K6" s="110" t="s">
        <v>58</v>
      </c>
      <c r="L6" s="110" t="s">
        <v>337</v>
      </c>
      <c r="M6" s="110"/>
      <c r="N6" s="110"/>
      <c r="O6" s="111"/>
      <c r="P6" s="424" t="str">
        <f>IF(OR(Table13[[#This Row],[Annual Increase Option]]="No increase",Table13[[#This Row],[Annual Increase Option]]=""),"",_xlfn.XLOOKUP(MONTH(Table13[[#This Row],[Commencement Date]]),Lookups!$I$19:$I$30,Lookups!$J$19:$J$30,0))</f>
        <v/>
      </c>
      <c r="Q6" s="340">
        <v>100000</v>
      </c>
      <c r="R6" s="340">
        <v>100</v>
      </c>
      <c r="S6" s="360">
        <f ca="1">IF(Table13[[#This Row],[Life Cover Amount]]="",0,Table2[[#This Row],[Life Premium]])</f>
        <v>153.05268000000001</v>
      </c>
      <c r="T6" s="360">
        <f ca="1">IF(Table13[[#This Row],[Funeral Cover Amount]]=0,0,Table2[[#This Row],[Funeral Premium]])</f>
        <v>0</v>
      </c>
      <c r="U6" s="360">
        <f ca="1">IF(AND(Table13[[#This Row],[Life Cover Amount]]="",Table13[[#This Row],[Funeral Cover Amount]]=""),0,onboarding_calcs!AA6)</f>
        <v>153.05268000000001</v>
      </c>
      <c r="V6" s="111"/>
      <c r="W6" s="111"/>
      <c r="X6" s="333"/>
      <c r="Y6" s="110"/>
      <c r="Z6" s="336"/>
      <c r="AA6" s="425"/>
      <c r="AB6" s="425"/>
      <c r="AC6" s="113"/>
      <c r="AD6" s="334"/>
      <c r="AE6" s="110"/>
      <c r="AF6" s="110"/>
      <c r="AG6" s="110"/>
      <c r="AH6" s="110"/>
      <c r="AI6" s="336"/>
      <c r="AJ6" s="335"/>
      <c r="AK6" s="110"/>
      <c r="AL6" s="110"/>
      <c r="AM6" s="110"/>
      <c r="AN6" s="110"/>
      <c r="AO6" s="336"/>
      <c r="AP6" s="336"/>
      <c r="AQ6" s="336"/>
      <c r="AR6" s="337"/>
      <c r="AS6" s="113"/>
      <c r="AT6" s="113"/>
      <c r="AU6" s="112"/>
      <c r="AV6" s="338"/>
      <c r="AW6" s="110"/>
      <c r="AX6" s="110"/>
      <c r="AY6" s="113"/>
      <c r="AZ6" s="336"/>
      <c r="BA6" s="339"/>
      <c r="BB6" s="113"/>
      <c r="BC6" s="113"/>
      <c r="BD6" s="336"/>
      <c r="BF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Not applicable</v>
      </c>
    </row>
    <row r="7" spans="1:62" x14ac:dyDescent="0.3">
      <c r="A7" s="422"/>
      <c r="B7" s="376" t="s">
        <v>101</v>
      </c>
      <c r="C7" s="110" t="s">
        <v>397</v>
      </c>
      <c r="D7" s="110" t="s">
        <v>395</v>
      </c>
      <c r="E7" s="330">
        <v>9403175795084</v>
      </c>
      <c r="F7" s="330">
        <v>9404179085183</v>
      </c>
      <c r="G7" s="339" t="s">
        <v>436</v>
      </c>
      <c r="H7" s="513">
        <v>34410</v>
      </c>
      <c r="I7" s="113" t="s">
        <v>89</v>
      </c>
      <c r="J7" s="332">
        <v>46023</v>
      </c>
      <c r="K7" s="110" t="s">
        <v>58</v>
      </c>
      <c r="L7" s="110"/>
      <c r="M7" s="110"/>
      <c r="N7" s="110"/>
      <c r="O7" s="111"/>
      <c r="P7" s="424" t="str">
        <f>IF(OR(Table13[[#This Row],[Annual Increase Option]]="No increase",Table13[[#This Row],[Annual Increase Option]]=""),"",_xlfn.XLOOKUP(MONTH(Table13[[#This Row],[Commencement Date]]),Lookups!$I$19:$I$30,Lookups!$J$19:$J$30,0))</f>
        <v/>
      </c>
      <c r="Q7" s="340"/>
      <c r="R7" s="340">
        <v>50000</v>
      </c>
      <c r="S7" s="360">
        <f>IF(Table13[[#This Row],[Life Cover Amount]]="",0,Table2[[#This Row],[Life Premium]])</f>
        <v>0</v>
      </c>
      <c r="T7" s="360">
        <f ca="1">IF(Table13[[#This Row],[Funeral Cover Amount]]=0,0,Table2[[#This Row],[Funeral Premium]])</f>
        <v>0</v>
      </c>
      <c r="U7" s="360">
        <f ca="1">IF(AND(Table13[[#This Row],[Life Cover Amount]]="",Table13[[#This Row],[Funeral Cover Amount]]=""),0,onboarding_calcs!AA7)</f>
        <v>0</v>
      </c>
      <c r="V7" s="111"/>
      <c r="W7" s="111"/>
      <c r="X7" s="333"/>
      <c r="Y7" s="110"/>
      <c r="Z7" s="336"/>
      <c r="AA7" s="425"/>
      <c r="AB7" s="425"/>
      <c r="AC7" s="113"/>
      <c r="AD7" s="334"/>
      <c r="AE7" s="110"/>
      <c r="AF7" s="110"/>
      <c r="AG7" s="110"/>
      <c r="AH7" s="110"/>
      <c r="AI7" s="336"/>
      <c r="AJ7" s="335"/>
      <c r="AK7" s="110"/>
      <c r="AL7" s="110"/>
      <c r="AM7" s="110"/>
      <c r="AN7" s="110"/>
      <c r="AO7" s="336"/>
      <c r="AP7" s="336"/>
      <c r="AQ7" s="336"/>
      <c r="AR7" s="337"/>
      <c r="AS7" s="113"/>
      <c r="AT7" s="113"/>
      <c r="AU7" s="112"/>
      <c r="AV7" s="338"/>
      <c r="AW7" s="110"/>
      <c r="AX7" s="110"/>
      <c r="AY7" s="113"/>
      <c r="AZ7" s="336"/>
      <c r="BA7" s="339"/>
      <c r="BB7" s="113"/>
      <c r="BC7" s="113"/>
      <c r="BD7" s="336"/>
      <c r="BF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Not applicable</v>
      </c>
    </row>
    <row r="8" spans="1:62" x14ac:dyDescent="0.3">
      <c r="A8" s="422"/>
      <c r="B8" s="376" t="s">
        <v>66</v>
      </c>
      <c r="C8" s="110" t="s">
        <v>398</v>
      </c>
      <c r="D8" s="110" t="s">
        <v>395</v>
      </c>
      <c r="E8" s="330">
        <v>9403175795084</v>
      </c>
      <c r="F8" s="330" t="s">
        <v>431</v>
      </c>
      <c r="G8" s="338" t="s">
        <v>401</v>
      </c>
      <c r="H8" s="513">
        <v>34410</v>
      </c>
      <c r="I8" s="113" t="s">
        <v>89</v>
      </c>
      <c r="J8" s="332">
        <v>46023</v>
      </c>
      <c r="K8" s="110" t="s">
        <v>58</v>
      </c>
      <c r="L8" s="110"/>
      <c r="M8" s="110"/>
      <c r="N8" s="110"/>
      <c r="O8" s="111"/>
      <c r="P8" s="424" t="str">
        <f>IF(OR(Table13[[#This Row],[Annual Increase Option]]="No increase",Table13[[#This Row],[Annual Increase Option]]=""),"",_xlfn.XLOOKUP(MONTH(Table13[[#This Row],[Commencement Date]]),Lookups!$I$19:$I$30,Lookups!$J$19:$J$30,0))</f>
        <v/>
      </c>
      <c r="Q8" s="340"/>
      <c r="R8" s="340"/>
      <c r="S8" s="360">
        <f>IF(Table13[[#This Row],[Life Cover Amount]]="",0,Table2[[#This Row],[Life Premium]])</f>
        <v>0</v>
      </c>
      <c r="T8" s="360">
        <f>IF(Table13[[#This Row],[Funeral Cover Amount]]=0,0,Table2[[#This Row],[Funeral Premium]])</f>
        <v>0</v>
      </c>
      <c r="U8" s="360">
        <f>IF(AND(Table13[[#This Row],[Life Cover Amount]]="",Table13[[#This Row],[Funeral Cover Amount]]=""),0,onboarding_calcs!AA8)</f>
        <v>0</v>
      </c>
      <c r="V8" s="111">
        <v>0.3</v>
      </c>
      <c r="W8" s="111"/>
      <c r="X8" s="333"/>
      <c r="Y8" s="110"/>
      <c r="Z8" s="113"/>
      <c r="AA8" s="425"/>
      <c r="AB8" s="425"/>
      <c r="AC8" s="113"/>
      <c r="AD8" s="334"/>
      <c r="AE8" s="110"/>
      <c r="AF8" s="110"/>
      <c r="AG8" s="110"/>
      <c r="AH8" s="110"/>
      <c r="AI8" s="336"/>
      <c r="AJ8" s="335"/>
      <c r="AK8" s="110"/>
      <c r="AL8" s="110"/>
      <c r="AM8" s="110"/>
      <c r="AN8" s="110"/>
      <c r="AO8" s="336"/>
      <c r="AP8" s="336"/>
      <c r="AQ8" s="336"/>
      <c r="AR8" s="337"/>
      <c r="AS8" s="113"/>
      <c r="AT8" s="113"/>
      <c r="AU8" s="112"/>
      <c r="AV8" s="338"/>
      <c r="AW8" s="110"/>
      <c r="AX8" s="110"/>
      <c r="AY8" s="113"/>
      <c r="AZ8" s="336"/>
      <c r="BA8" s="339"/>
      <c r="BB8" s="113"/>
      <c r="BC8" s="113"/>
      <c r="BD8" s="336"/>
      <c r="BF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Not applicable</v>
      </c>
    </row>
    <row r="9" spans="1:62" x14ac:dyDescent="0.3">
      <c r="A9" s="422"/>
      <c r="B9" s="376" t="s">
        <v>105</v>
      </c>
      <c r="C9" s="110" t="s">
        <v>399</v>
      </c>
      <c r="D9" s="110" t="s">
        <v>395</v>
      </c>
      <c r="E9" s="330">
        <v>9403175795084</v>
      </c>
      <c r="F9" s="330" t="s">
        <v>432</v>
      </c>
      <c r="G9" s="338" t="s">
        <v>402</v>
      </c>
      <c r="H9" s="513">
        <v>34410</v>
      </c>
      <c r="I9" s="113" t="s">
        <v>57</v>
      </c>
      <c r="J9" s="332">
        <v>46023</v>
      </c>
      <c r="K9" s="110" t="s">
        <v>58</v>
      </c>
      <c r="L9" s="110" t="s">
        <v>344</v>
      </c>
      <c r="M9" s="110"/>
      <c r="N9" s="110"/>
      <c r="O9" s="111"/>
      <c r="P9" s="424" t="str">
        <f>IF(OR(Table13[[#This Row],[Annual Increase Option]]="No increase",Table13[[#This Row],[Annual Increase Option]]=""),"",_xlfn.XLOOKUP(MONTH(Table13[[#This Row],[Commencement Date]]),Lookups!$I$19:$I$30,Lookups!$J$19:$J$30,0))</f>
        <v/>
      </c>
      <c r="Q9" s="340"/>
      <c r="R9" s="340">
        <v>50000</v>
      </c>
      <c r="S9" s="360">
        <f>IF(Table13[[#This Row],[Life Cover Amount]]="",0,Table2[[#This Row],[Life Premium]])</f>
        <v>0</v>
      </c>
      <c r="T9" s="360">
        <f ca="1">IF(Table13[[#This Row],[Funeral Cover Amount]]=0,0,Table2[[#This Row],[Funeral Premium]])</f>
        <v>160.46300000000002</v>
      </c>
      <c r="U9" s="360">
        <f ca="1">IF(AND(Table13[[#This Row],[Life Cover Amount]]="",Table13[[#This Row],[Funeral Cover Amount]]=""),0,onboarding_calcs!AA9)</f>
        <v>160.46300000000002</v>
      </c>
      <c r="V9" s="111"/>
      <c r="W9" s="111"/>
      <c r="X9" s="333"/>
      <c r="Y9" s="110"/>
      <c r="Z9" s="113"/>
      <c r="AA9" s="425"/>
      <c r="AB9" s="425"/>
      <c r="AC9" s="113"/>
      <c r="AD9" s="334"/>
      <c r="AE9" s="110"/>
      <c r="AF9" s="110"/>
      <c r="AG9" s="110"/>
      <c r="AH9" s="110"/>
      <c r="AI9" s="336"/>
      <c r="AJ9" s="335"/>
      <c r="AK9" s="110"/>
      <c r="AL9" s="110"/>
      <c r="AM9" s="110"/>
      <c r="AN9" s="110"/>
      <c r="AO9" s="336"/>
      <c r="AP9" s="336"/>
      <c r="AQ9" s="336"/>
      <c r="AR9" s="337"/>
      <c r="AS9" s="113"/>
      <c r="AT9" s="113"/>
      <c r="AU9" s="112"/>
      <c r="AV9" s="338"/>
      <c r="AW9" s="110"/>
      <c r="AX9" s="110"/>
      <c r="AY9" s="113"/>
      <c r="AZ9" s="336"/>
      <c r="BA9" s="339"/>
      <c r="BB9" s="113"/>
      <c r="BC9" s="113"/>
      <c r="BD9" s="336"/>
      <c r="BF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Not applicable</v>
      </c>
    </row>
    <row r="10" spans="1:62" x14ac:dyDescent="0.3">
      <c r="A10" s="422"/>
      <c r="B10" s="376" t="s">
        <v>66</v>
      </c>
      <c r="C10" s="110" t="s">
        <v>400</v>
      </c>
      <c r="D10" s="110" t="s">
        <v>395</v>
      </c>
      <c r="E10" s="330">
        <v>9403175795084</v>
      </c>
      <c r="F10" s="512" t="s">
        <v>433</v>
      </c>
      <c r="G10" s="338"/>
      <c r="H10" s="513">
        <v>34410</v>
      </c>
      <c r="I10" s="113" t="s">
        <v>57</v>
      </c>
      <c r="J10" s="332">
        <v>46023</v>
      </c>
      <c r="K10" s="110" t="s">
        <v>58</v>
      </c>
      <c r="L10" s="110"/>
      <c r="M10" s="110" t="s">
        <v>408</v>
      </c>
      <c r="N10" s="110"/>
      <c r="O10" s="111"/>
      <c r="P10" s="424" t="str">
        <f>IF(OR(Table13[[#This Row],[Annual Increase Option]]="No increase",Table13[[#This Row],[Annual Increase Option]]=""),"",_xlfn.XLOOKUP(MONTH(Table13[[#This Row],[Commencement Date]]),Lookups!$I$19:$I$30,Lookups!$J$19:$J$30,0))</f>
        <v/>
      </c>
      <c r="Q10" s="340"/>
      <c r="R10" s="340"/>
      <c r="S10" s="360">
        <f>IF(Table13[[#This Row],[Life Cover Amount]]="",0,Table2[[#This Row],[Life Premium]])</f>
        <v>0</v>
      </c>
      <c r="T10" s="360">
        <f>IF(Table13[[#This Row],[Funeral Cover Amount]]=0,0,Table2[[#This Row],[Funeral Premium]])</f>
        <v>0</v>
      </c>
      <c r="U10" s="360">
        <f>IF(AND(Table13[[#This Row],[Life Cover Amount]]="",Table13[[#This Row],[Funeral Cover Amount]]=""),0,onboarding_calcs!AA10)</f>
        <v>0</v>
      </c>
      <c r="V10" s="111">
        <v>0.3</v>
      </c>
      <c r="W10" s="111">
        <v>1</v>
      </c>
      <c r="X10" s="333"/>
      <c r="Y10" s="110"/>
      <c r="Z10" s="113"/>
      <c r="AA10" s="425"/>
      <c r="AB10" s="425"/>
      <c r="AC10" s="113"/>
      <c r="AD10" s="334"/>
      <c r="AE10" s="110"/>
      <c r="AF10" s="110"/>
      <c r="AG10" s="110"/>
      <c r="AH10" s="110"/>
      <c r="AI10" s="336"/>
      <c r="AJ10" s="335"/>
      <c r="AK10" s="110"/>
      <c r="AL10" s="110"/>
      <c r="AM10" s="110"/>
      <c r="AN10" s="110"/>
      <c r="AO10" s="336"/>
      <c r="AP10" s="336"/>
      <c r="AQ10" s="336"/>
      <c r="AR10" s="337"/>
      <c r="AS10" s="113"/>
      <c r="AT10" s="113"/>
      <c r="AU10" s="112"/>
      <c r="AV10" s="338"/>
      <c r="AW10" s="110"/>
      <c r="AX10" s="110"/>
      <c r="AY10" s="113"/>
      <c r="AZ10" s="336"/>
      <c r="BA10" s="339"/>
      <c r="BB10" s="113"/>
      <c r="BC10" s="113"/>
      <c r="BD10" s="336"/>
      <c r="BF1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Not applicable</v>
      </c>
    </row>
    <row r="11" spans="1:62" x14ac:dyDescent="0.3">
      <c r="A11" s="422"/>
      <c r="B11" s="376" t="s">
        <v>66</v>
      </c>
      <c r="C11" s="110" t="s">
        <v>410</v>
      </c>
      <c r="D11" s="110" t="s">
        <v>411</v>
      </c>
      <c r="E11" s="330">
        <v>9403175795084</v>
      </c>
      <c r="F11" s="512" t="s">
        <v>434</v>
      </c>
      <c r="G11" s="338"/>
      <c r="H11" s="513">
        <v>34410</v>
      </c>
      <c r="I11" s="113" t="s">
        <v>57</v>
      </c>
      <c r="J11" s="332">
        <v>46023</v>
      </c>
      <c r="K11" s="110" t="s">
        <v>58</v>
      </c>
      <c r="L11" s="110"/>
      <c r="M11" s="110"/>
      <c r="N11" s="110"/>
      <c r="O11" s="111"/>
      <c r="P11" s="424" t="str">
        <f>IF(OR(Table13[[#This Row],[Annual Increase Option]]="No increase",Table13[[#This Row],[Annual Increase Option]]=""),"",_xlfn.XLOOKUP(MONTH(Table13[[#This Row],[Commencement Date]]),Lookups!$I$19:$I$30,Lookups!$J$19:$J$30,0))</f>
        <v/>
      </c>
      <c r="Q11" s="340"/>
      <c r="R11" s="340"/>
      <c r="S11" s="360">
        <f>IF(Table13[[#This Row],[Life Cover Amount]]="",0,Table2[[#This Row],[Life Premium]])</f>
        <v>0</v>
      </c>
      <c r="T11" s="360">
        <f>IF(Table13[[#This Row],[Funeral Cover Amount]]=0,0,Table2[[#This Row],[Funeral Premium]])</f>
        <v>0</v>
      </c>
      <c r="U11" s="360">
        <f>IF(AND(Table13[[#This Row],[Life Cover Amount]]="",Table13[[#This Row],[Funeral Cover Amount]]=""),0,onboarding_calcs!AA11)</f>
        <v>0</v>
      </c>
      <c r="V11" s="111">
        <v>0.4</v>
      </c>
      <c r="W11" s="111"/>
      <c r="X11" s="333"/>
      <c r="Y11" s="110"/>
      <c r="Z11" s="113"/>
      <c r="AA11" s="425"/>
      <c r="AB11" s="425"/>
      <c r="AC11" s="113"/>
      <c r="AD11" s="334"/>
      <c r="AE11" s="110"/>
      <c r="AF11" s="110"/>
      <c r="AG11" s="110"/>
      <c r="AH11" s="110"/>
      <c r="AI11" s="336"/>
      <c r="AJ11" s="335"/>
      <c r="AK11" s="110"/>
      <c r="AL11" s="110"/>
      <c r="AM11" s="110"/>
      <c r="AN11" s="110"/>
      <c r="AO11" s="336"/>
      <c r="AP11" s="336"/>
      <c r="AQ11" s="336"/>
      <c r="AR11" s="337"/>
      <c r="AS11" s="113"/>
      <c r="AT11" s="113"/>
      <c r="AU11" s="112"/>
      <c r="AV11" s="338"/>
      <c r="AW11" s="110"/>
      <c r="AX11" s="110"/>
      <c r="AY11" s="113"/>
      <c r="AZ11" s="336"/>
      <c r="BA11" s="339"/>
      <c r="BB11" s="113"/>
      <c r="BC11" s="113"/>
      <c r="BD11" s="336"/>
      <c r="BF1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Not applicable</v>
      </c>
    </row>
    <row r="12" spans="1:62" x14ac:dyDescent="0.3">
      <c r="A12" s="422"/>
      <c r="B12" s="376" t="s">
        <v>101</v>
      </c>
      <c r="C12" s="110" t="s">
        <v>412</v>
      </c>
      <c r="D12" s="110" t="s">
        <v>413</v>
      </c>
      <c r="E12" s="330">
        <v>9403175795084</v>
      </c>
      <c r="F12" s="330" t="s">
        <v>435</v>
      </c>
      <c r="G12" s="338" t="s">
        <v>414</v>
      </c>
      <c r="H12" s="513">
        <v>34410</v>
      </c>
      <c r="I12" s="113" t="s">
        <v>57</v>
      </c>
      <c r="J12" s="332">
        <v>46023</v>
      </c>
      <c r="K12" s="110" t="s">
        <v>58</v>
      </c>
      <c r="L12" s="110" t="s">
        <v>343</v>
      </c>
      <c r="M12" s="110"/>
      <c r="N12" s="110"/>
      <c r="O12" s="111"/>
      <c r="P12" s="424" t="str">
        <f>IF(OR(Table13[[#This Row],[Annual Increase Option]]="No increase",Table13[[#This Row],[Annual Increase Option]]=""),"",_xlfn.XLOOKUP(MONTH(Table13[[#This Row],[Commencement Date]]),Lookups!$I$19:$I$30,Lookups!$J$19:$J$30,0))</f>
        <v/>
      </c>
      <c r="Q12" s="340"/>
      <c r="R12" s="340">
        <v>50000</v>
      </c>
      <c r="S12" s="360">
        <f>IF(Table13[[#This Row],[Life Cover Amount]]="",0,Table2[[#This Row],[Life Premium]])</f>
        <v>0</v>
      </c>
      <c r="T12" s="360">
        <f ca="1">IF(Table13[[#This Row],[Funeral Cover Amount]]=0,0,Table2[[#This Row],[Funeral Premium]])</f>
        <v>118.15</v>
      </c>
      <c r="U12" s="360">
        <f ca="1">IF(AND(Table13[[#This Row],[Life Cover Amount]]="",Table13[[#This Row],[Funeral Cover Amount]]=""),0,onboarding_calcs!AA12)</f>
        <v>118.15</v>
      </c>
      <c r="V12" s="111"/>
      <c r="W12" s="111"/>
      <c r="X12" s="333"/>
      <c r="Y12" s="110"/>
      <c r="Z12" s="113"/>
      <c r="AA12" s="425"/>
      <c r="AB12" s="425"/>
      <c r="AC12" s="113"/>
      <c r="AD12" s="334"/>
      <c r="AE12" s="110"/>
      <c r="AF12" s="110"/>
      <c r="AG12" s="110"/>
      <c r="AH12" s="110"/>
      <c r="AI12" s="336"/>
      <c r="AJ12" s="335"/>
      <c r="AK12" s="110"/>
      <c r="AL12" s="110"/>
      <c r="AM12" s="110"/>
      <c r="AN12" s="110"/>
      <c r="AO12" s="336"/>
      <c r="AP12" s="336"/>
      <c r="AQ12" s="336"/>
      <c r="AR12" s="337"/>
      <c r="AS12" s="113"/>
      <c r="AT12" s="113"/>
      <c r="AU12" s="112"/>
      <c r="AV12" s="338"/>
      <c r="AW12" s="110"/>
      <c r="AX12" s="110"/>
      <c r="AY12" s="113"/>
      <c r="AZ12" s="336"/>
      <c r="BA12" s="339"/>
      <c r="BB12" s="113"/>
      <c r="BC12" s="113"/>
      <c r="BD12" s="336"/>
      <c r="BF1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Not applicable</v>
      </c>
    </row>
    <row r="13" spans="1:62" x14ac:dyDescent="0.3">
      <c r="A13" s="422"/>
      <c r="B13" s="376"/>
      <c r="C13" s="110"/>
      <c r="D13" s="110"/>
      <c r="E13" s="330"/>
      <c r="F13" s="330"/>
      <c r="G13" s="338"/>
      <c r="H13" s="331"/>
      <c r="I13" s="113"/>
      <c r="J13" s="332"/>
      <c r="K13" s="110"/>
      <c r="L13" s="110"/>
      <c r="M13" s="110"/>
      <c r="N13" s="110"/>
      <c r="O13" s="111"/>
      <c r="P13" s="424" t="str">
        <f>IF(OR(Table13[[#This Row],[Annual Increase Option]]="No increase",Table13[[#This Row],[Annual Increase Option]]=""),"",_xlfn.XLOOKUP(MONTH(Table13[[#This Row],[Commencement Date]]),Lookups!$I$19:$I$30,Lookups!$J$19:$J$30,0))</f>
        <v/>
      </c>
      <c r="Q13" s="340"/>
      <c r="R13" s="340"/>
      <c r="S13" s="360">
        <f>IF(Table13[[#This Row],[Life Cover Amount]]="",0,Table2[[#This Row],[Life Premium]])</f>
        <v>0</v>
      </c>
      <c r="T13" s="360">
        <f>IF(Table13[[#This Row],[Funeral Cover Amount]]=0,0,Table2[[#This Row],[Funeral Premium]])</f>
        <v>0</v>
      </c>
      <c r="U13" s="360">
        <f>IF(AND(Table13[[#This Row],[Life Cover Amount]]="",Table13[[#This Row],[Funeral Cover Amount]]=""),0,onboarding_calcs!AA13)</f>
        <v>0</v>
      </c>
      <c r="V13" s="111"/>
      <c r="W13" s="111"/>
      <c r="X13" s="333"/>
      <c r="Y13" s="110"/>
      <c r="Z13" s="113"/>
      <c r="AA13" s="425"/>
      <c r="AB13" s="425"/>
      <c r="AC13" s="113"/>
      <c r="AD13" s="110"/>
      <c r="AE13" s="110"/>
      <c r="AF13" s="110"/>
      <c r="AG13" s="110"/>
      <c r="AH13" s="110"/>
      <c r="AI13" s="113"/>
      <c r="AJ13" s="110"/>
      <c r="AK13" s="110"/>
      <c r="AL13" s="110"/>
      <c r="AM13" s="110"/>
      <c r="AN13" s="110"/>
      <c r="AO13" s="113"/>
      <c r="AP13" s="338"/>
      <c r="AQ13" s="339"/>
      <c r="AR13" s="110"/>
      <c r="AS13" s="113"/>
      <c r="AT13" s="113"/>
      <c r="AU13" s="112"/>
      <c r="AV13" s="338"/>
      <c r="AW13" s="110"/>
      <c r="AX13" s="110"/>
      <c r="AY13" s="113"/>
      <c r="AZ13" s="113"/>
      <c r="BA13" s="338"/>
      <c r="BB13" s="113"/>
      <c r="BC13" s="113"/>
      <c r="BD13" s="336"/>
      <c r="BF1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4" spans="1:62" x14ac:dyDescent="0.3">
      <c r="A14" s="422"/>
      <c r="B14" s="376"/>
      <c r="C14" s="110"/>
      <c r="D14" s="110"/>
      <c r="E14" s="330"/>
      <c r="F14" s="510"/>
      <c r="G14" s="338"/>
      <c r="H14" s="331"/>
      <c r="I14" s="113"/>
      <c r="J14" s="332"/>
      <c r="K14" s="110"/>
      <c r="L14" s="110"/>
      <c r="M14" s="110"/>
      <c r="N14" s="110"/>
      <c r="O14" s="111"/>
      <c r="P14" s="424" t="str">
        <f>IF(OR(Table13[[#This Row],[Annual Increase Option]]="No increase",Table13[[#This Row],[Annual Increase Option]]=""),"",_xlfn.XLOOKUP(MONTH(Table13[[#This Row],[Commencement Date]]),Lookups!$I$19:$I$30,Lookups!$J$19:$J$30,0))</f>
        <v/>
      </c>
      <c r="Q14" s="340"/>
      <c r="R14" s="340"/>
      <c r="S14" s="360">
        <f>IF(Table13[[#This Row],[Life Cover Amount]]="",0,Table2[[#This Row],[Life Premium]])</f>
        <v>0</v>
      </c>
      <c r="T14" s="360">
        <f>IF(Table13[[#This Row],[Funeral Cover Amount]]=0,0,Table2[[#This Row],[Funeral Premium]])</f>
        <v>0</v>
      </c>
      <c r="U14" s="360">
        <f>IF(AND(Table13[[#This Row],[Life Cover Amount]]="",Table13[[#This Row],[Funeral Cover Amount]]=""),0,onboarding_calcs!AA14)</f>
        <v>0</v>
      </c>
      <c r="V14" s="111"/>
      <c r="W14" s="111"/>
      <c r="X14" s="333"/>
      <c r="Y14" s="110"/>
      <c r="Z14" s="113"/>
      <c r="AA14" s="425"/>
      <c r="AB14" s="425"/>
      <c r="AC14" s="113"/>
      <c r="AD14" s="110"/>
      <c r="AE14" s="110"/>
      <c r="AF14" s="110"/>
      <c r="AG14" s="110"/>
      <c r="AH14" s="110"/>
      <c r="AI14" s="113"/>
      <c r="AJ14" s="110"/>
      <c r="AK14" s="110"/>
      <c r="AL14" s="110"/>
      <c r="AM14" s="110"/>
      <c r="AN14" s="110"/>
      <c r="AO14" s="113"/>
      <c r="AP14" s="338"/>
      <c r="AQ14" s="338"/>
      <c r="AR14" s="110"/>
      <c r="AS14" s="113"/>
      <c r="AT14" s="113"/>
      <c r="AU14" s="112"/>
      <c r="AV14" s="338"/>
      <c r="AW14" s="110"/>
      <c r="AX14" s="110"/>
      <c r="AY14" s="113"/>
      <c r="AZ14" s="113"/>
      <c r="BA14" s="338"/>
      <c r="BB14" s="113"/>
      <c r="BC14" s="113"/>
      <c r="BD14" s="113"/>
      <c r="BF1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5" spans="1:62" x14ac:dyDescent="0.3">
      <c r="A15" s="422"/>
      <c r="B15" s="376"/>
      <c r="C15" s="110"/>
      <c r="D15" s="110"/>
      <c r="E15" s="330"/>
      <c r="F15" s="330"/>
      <c r="G15" s="338"/>
      <c r="H15" s="331"/>
      <c r="I15" s="113"/>
      <c r="J15" s="332"/>
      <c r="K15" s="110"/>
      <c r="L15" s="110"/>
      <c r="M15" s="110"/>
      <c r="N15" s="110"/>
      <c r="O15" s="111"/>
      <c r="P15" s="424" t="str">
        <f>IF(OR(Table13[[#This Row],[Annual Increase Option]]="No increase",Table13[[#This Row],[Annual Increase Option]]=""),"",_xlfn.XLOOKUP(MONTH(Table13[[#This Row],[Commencement Date]]),Lookups!$I$19:$I$30,Lookups!$J$19:$J$30,0))</f>
        <v/>
      </c>
      <c r="Q15" s="340"/>
      <c r="R15" s="340"/>
      <c r="S15" s="360">
        <f>IF(Table13[[#This Row],[Life Cover Amount]]="",0,Table2[[#This Row],[Life Premium]])</f>
        <v>0</v>
      </c>
      <c r="T15" s="360">
        <f>IF(Table13[[#This Row],[Funeral Cover Amount]]=0,0,Table2[[#This Row],[Funeral Premium]])</f>
        <v>0</v>
      </c>
      <c r="U15" s="360">
        <f>IF(AND(Table13[[#This Row],[Life Cover Amount]]="",Table13[[#This Row],[Funeral Cover Amount]]=""),0,onboarding_calcs!AA15)</f>
        <v>0</v>
      </c>
      <c r="V15" s="111"/>
      <c r="W15" s="111"/>
      <c r="X15" s="333"/>
      <c r="Y15" s="110"/>
      <c r="Z15" s="113"/>
      <c r="AA15" s="425"/>
      <c r="AB15" s="425"/>
      <c r="AC15" s="113"/>
      <c r="AD15" s="110"/>
      <c r="AE15" s="110"/>
      <c r="AF15" s="110"/>
      <c r="AG15" s="110"/>
      <c r="AH15" s="110"/>
      <c r="AI15" s="113"/>
      <c r="AJ15" s="110"/>
      <c r="AK15" s="110"/>
      <c r="AL15" s="110"/>
      <c r="AM15" s="110"/>
      <c r="AN15" s="110"/>
      <c r="AO15" s="113"/>
      <c r="AP15" s="338"/>
      <c r="AQ15" s="338"/>
      <c r="AR15" s="110"/>
      <c r="AS15" s="113"/>
      <c r="AT15" s="113"/>
      <c r="AU15" s="112"/>
      <c r="AV15" s="338"/>
      <c r="AW15" s="110"/>
      <c r="AX15" s="110"/>
      <c r="AY15" s="113"/>
      <c r="AZ15" s="113"/>
      <c r="BA15" s="338"/>
      <c r="BB15" s="113"/>
      <c r="BC15" s="113"/>
      <c r="BD15" s="113"/>
      <c r="BF1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6" spans="1:62" x14ac:dyDescent="0.3">
      <c r="A16" s="422"/>
      <c r="B16" s="376"/>
      <c r="C16" s="110"/>
      <c r="D16" s="110"/>
      <c r="E16" s="330"/>
      <c r="F16" s="330"/>
      <c r="G16" s="338"/>
      <c r="H16" s="331"/>
      <c r="I16" s="113"/>
      <c r="J16" s="332"/>
      <c r="K16" s="110"/>
      <c r="L16" s="110"/>
      <c r="M16" s="110"/>
      <c r="N16" s="110"/>
      <c r="O16" s="111"/>
      <c r="P16" s="424" t="str">
        <f>IF(OR(Table13[[#This Row],[Annual Increase Option]]="No increase",Table13[[#This Row],[Annual Increase Option]]=""),"",_xlfn.XLOOKUP(MONTH(Table13[[#This Row],[Commencement Date]]),Lookups!$I$19:$I$30,Lookups!$J$19:$J$30,0))</f>
        <v/>
      </c>
      <c r="Q16" s="340"/>
      <c r="R16" s="340"/>
      <c r="S16" s="360">
        <f>IF(Table13[[#This Row],[Life Cover Amount]]="",0,Table2[[#This Row],[Life Premium]])</f>
        <v>0</v>
      </c>
      <c r="T16" s="360">
        <f>IF(Table13[[#This Row],[Funeral Cover Amount]]=0,0,Table2[[#This Row],[Funeral Premium]])</f>
        <v>0</v>
      </c>
      <c r="U16" s="360">
        <f>IF(AND(Table13[[#This Row],[Life Cover Amount]]="",Table13[[#This Row],[Funeral Cover Amount]]=""),0,onboarding_calcs!AA16)</f>
        <v>0</v>
      </c>
      <c r="V16" s="111"/>
      <c r="W16" s="111"/>
      <c r="X16" s="333"/>
      <c r="Y16" s="110"/>
      <c r="Z16" s="113"/>
      <c r="AA16" s="425"/>
      <c r="AB16" s="425"/>
      <c r="AC16" s="113"/>
      <c r="AD16" s="110"/>
      <c r="AE16" s="110"/>
      <c r="AF16" s="110"/>
      <c r="AG16" s="110"/>
      <c r="AH16" s="110"/>
      <c r="AI16" s="113"/>
      <c r="AJ16" s="110"/>
      <c r="AK16" s="110"/>
      <c r="AL16" s="110"/>
      <c r="AM16" s="110"/>
      <c r="AN16" s="110"/>
      <c r="AO16" s="113"/>
      <c r="AP16" s="338"/>
      <c r="AQ16" s="338"/>
      <c r="AR16" s="110"/>
      <c r="AS16" s="113"/>
      <c r="AT16" s="113"/>
      <c r="AU16" s="112"/>
      <c r="AV16" s="338"/>
      <c r="AW16" s="110"/>
      <c r="AX16" s="110"/>
      <c r="AY16" s="113"/>
      <c r="AZ16" s="113"/>
      <c r="BA16" s="338"/>
      <c r="BB16" s="113"/>
      <c r="BC16" s="113"/>
      <c r="BD16" s="113"/>
      <c r="BF1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7" spans="1:58" x14ac:dyDescent="0.3">
      <c r="A17" s="422"/>
      <c r="B17" s="376"/>
      <c r="C17" s="110"/>
      <c r="D17" s="110"/>
      <c r="E17" s="340"/>
      <c r="F17" s="340"/>
      <c r="G17" s="338"/>
      <c r="H17" s="331"/>
      <c r="I17" s="113"/>
      <c r="J17" s="332"/>
      <c r="K17" s="110"/>
      <c r="L17" s="110"/>
      <c r="M17" s="110"/>
      <c r="N17" s="110"/>
      <c r="O17" s="111"/>
      <c r="P17" s="424" t="str">
        <f>IF(OR(Table13[[#This Row],[Annual Increase Option]]="No increase",Table13[[#This Row],[Annual Increase Option]]=""),"",_xlfn.XLOOKUP(MONTH(Table13[[#This Row],[Commencement Date]]),Lookups!$I$19:$I$30,Lookups!$J$19:$J$30,0))</f>
        <v/>
      </c>
      <c r="Q17" s="340"/>
      <c r="R17" s="340"/>
      <c r="S17" s="360">
        <f>IF(Table13[[#This Row],[Life Cover Amount]]="",0,Table2[[#This Row],[Life Premium]])</f>
        <v>0</v>
      </c>
      <c r="T17" s="360">
        <f>IF(Table13[[#This Row],[Funeral Cover Amount]]=0,0,Table2[[#This Row],[Funeral Premium]])</f>
        <v>0</v>
      </c>
      <c r="U17" s="374">
        <f>IF(AND(Table13[[#This Row],[Life Cover Amount]]="",Table13[[#This Row],[Funeral Cover Amount]]=""),0,onboarding_calcs!AA17)</f>
        <v>0</v>
      </c>
      <c r="V17" s="111"/>
      <c r="W17" s="111"/>
      <c r="X17" s="333"/>
      <c r="Y17" s="110"/>
      <c r="Z17" s="113"/>
      <c r="AA17" s="425"/>
      <c r="AB17" s="425"/>
      <c r="AC17" s="113"/>
      <c r="AD17" s="110"/>
      <c r="AE17" s="110"/>
      <c r="AF17" s="110"/>
      <c r="AG17" s="110"/>
      <c r="AH17" s="110"/>
      <c r="AI17" s="113"/>
      <c r="AJ17" s="110"/>
      <c r="AK17" s="110"/>
      <c r="AL17" s="110"/>
      <c r="AM17" s="110"/>
      <c r="AN17" s="110"/>
      <c r="AO17" s="113"/>
      <c r="AP17" s="338"/>
      <c r="AQ17" s="338"/>
      <c r="AR17" s="110"/>
      <c r="AS17" s="113"/>
      <c r="AT17" s="113"/>
      <c r="AU17" s="112"/>
      <c r="AV17" s="338"/>
      <c r="AW17" s="110"/>
      <c r="AX17" s="110"/>
      <c r="AY17" s="113"/>
      <c r="AZ17" s="113"/>
      <c r="BA17" s="338"/>
      <c r="BB17" s="113"/>
      <c r="BC17" s="113"/>
      <c r="BD17" s="113"/>
      <c r="BF1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8" spans="1:58" x14ac:dyDescent="0.3">
      <c r="A18" s="422"/>
      <c r="B18" s="376"/>
      <c r="C18" s="110"/>
      <c r="D18" s="110"/>
      <c r="E18" s="340"/>
      <c r="F18" s="330"/>
      <c r="G18" s="338"/>
      <c r="H18" s="331"/>
      <c r="I18" s="113"/>
      <c r="J18" s="332"/>
      <c r="K18" s="110"/>
      <c r="L18" s="110"/>
      <c r="M18" s="110"/>
      <c r="N18" s="110"/>
      <c r="O18" s="111"/>
      <c r="P18" s="424" t="str">
        <f>IF(OR(Table13[[#This Row],[Annual Increase Option]]="No increase",Table13[[#This Row],[Annual Increase Option]]=""),"",_xlfn.XLOOKUP(MONTH(Table13[[#This Row],[Commencement Date]]),Lookups!$I$19:$I$30,Lookups!$J$19:$J$30,0))</f>
        <v/>
      </c>
      <c r="Q18" s="340"/>
      <c r="R18" s="340"/>
      <c r="S18" s="360">
        <f>IF(Table13[[#This Row],[Life Cover Amount]]="",0,Table2[[#This Row],[Life Premium]])</f>
        <v>0</v>
      </c>
      <c r="T18" s="360">
        <f>IF(Table13[[#This Row],[Funeral Cover Amount]]=0,0,Table2[[#This Row],[Funeral Premium]])</f>
        <v>0</v>
      </c>
      <c r="U18" s="360">
        <f>IF(AND(Table13[[#This Row],[Life Cover Amount]]="",Table13[[#This Row],[Funeral Cover Amount]]=""),0,onboarding_calcs!AA18)</f>
        <v>0</v>
      </c>
      <c r="V18" s="111"/>
      <c r="W18" s="111"/>
      <c r="X18" s="333"/>
      <c r="Y18" s="110"/>
      <c r="Z18" s="113"/>
      <c r="AA18" s="425"/>
      <c r="AB18" s="425"/>
      <c r="AC18" s="113"/>
      <c r="AD18" s="110"/>
      <c r="AE18" s="110"/>
      <c r="AF18" s="110"/>
      <c r="AG18" s="110"/>
      <c r="AH18" s="110"/>
      <c r="AI18" s="113"/>
      <c r="AJ18" s="110"/>
      <c r="AK18" s="110"/>
      <c r="AL18" s="110"/>
      <c r="AM18" s="110"/>
      <c r="AN18" s="110"/>
      <c r="AO18" s="113"/>
      <c r="AP18" s="338"/>
      <c r="AQ18" s="338"/>
      <c r="AR18" s="110"/>
      <c r="AS18" s="113"/>
      <c r="AT18" s="113"/>
      <c r="AU18" s="112"/>
      <c r="AV18" s="338"/>
      <c r="AW18" s="110"/>
      <c r="AX18" s="110"/>
      <c r="AY18" s="113"/>
      <c r="AZ18" s="113"/>
      <c r="BA18" s="338"/>
      <c r="BB18" s="113"/>
      <c r="BC18" s="113"/>
      <c r="BD18" s="336"/>
      <c r="BF1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9" spans="1:58" x14ac:dyDescent="0.3">
      <c r="A19" s="422"/>
      <c r="B19" s="376"/>
      <c r="C19" s="110"/>
      <c r="D19" s="110"/>
      <c r="E19" s="340"/>
      <c r="F19" s="511"/>
      <c r="G19" s="338"/>
      <c r="H19" s="331"/>
      <c r="I19" s="113"/>
      <c r="J19" s="332"/>
      <c r="K19" s="110"/>
      <c r="L19" s="110"/>
      <c r="M19" s="110"/>
      <c r="N19" s="110"/>
      <c r="O19" s="111"/>
      <c r="P19" s="424" t="str">
        <f>IF(OR(Table13[[#This Row],[Annual Increase Option]]="No increase",Table13[[#This Row],[Annual Increase Option]]=""),"",_xlfn.XLOOKUP(MONTH(Table13[[#This Row],[Commencement Date]]),Lookups!$I$19:$I$30,Lookups!$J$19:$J$30,0))</f>
        <v/>
      </c>
      <c r="Q19" s="340"/>
      <c r="R19" s="340"/>
      <c r="S19" s="360">
        <f>IF(Table13[[#This Row],[Life Cover Amount]]="",0,Table2[[#This Row],[Life Premium]])</f>
        <v>0</v>
      </c>
      <c r="T19" s="360">
        <f>IF(Table13[[#This Row],[Funeral Cover Amount]]=0,0,Table2[[#This Row],[Funeral Premium]])</f>
        <v>0</v>
      </c>
      <c r="U19" s="360">
        <f>IF(AND(Table13[[#This Row],[Life Cover Amount]]="",Table13[[#This Row],[Funeral Cover Amount]]=""),0,onboarding_calcs!AA19)</f>
        <v>0</v>
      </c>
      <c r="V19" s="111"/>
      <c r="W19" s="111"/>
      <c r="X19" s="333"/>
      <c r="Y19" s="110"/>
      <c r="Z19" s="113"/>
      <c r="AA19" s="425"/>
      <c r="AB19" s="425"/>
      <c r="AC19" s="113"/>
      <c r="AD19" s="110"/>
      <c r="AE19" s="110"/>
      <c r="AF19" s="110"/>
      <c r="AG19" s="110"/>
      <c r="AH19" s="110"/>
      <c r="AI19" s="113"/>
      <c r="AJ19" s="110"/>
      <c r="AK19" s="110"/>
      <c r="AL19" s="110"/>
      <c r="AM19" s="110"/>
      <c r="AN19" s="110"/>
      <c r="AO19" s="113"/>
      <c r="AP19" s="338"/>
      <c r="AQ19" s="338"/>
      <c r="AR19" s="110"/>
      <c r="AS19" s="113"/>
      <c r="AT19" s="113"/>
      <c r="AU19" s="112"/>
      <c r="AV19" s="338"/>
      <c r="AW19" s="110"/>
      <c r="AX19" s="110"/>
      <c r="AY19" s="113"/>
      <c r="AZ19" s="113"/>
      <c r="BA19" s="338"/>
      <c r="BB19" s="113"/>
      <c r="BC19" s="113"/>
      <c r="BD19" s="113"/>
      <c r="BF1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0" spans="1:58" x14ac:dyDescent="0.3">
      <c r="A20" s="422"/>
      <c r="B20" s="376"/>
      <c r="C20" s="110"/>
      <c r="D20" s="110"/>
      <c r="E20" s="340"/>
      <c r="F20" s="330"/>
      <c r="G20" s="338"/>
      <c r="H20" s="331"/>
      <c r="I20" s="113"/>
      <c r="J20" s="332"/>
      <c r="K20" s="110"/>
      <c r="L20" s="110"/>
      <c r="M20" s="110"/>
      <c r="N20" s="110"/>
      <c r="O20" s="111"/>
      <c r="P20" s="424" t="str">
        <f>IF(OR(Table13[[#This Row],[Annual Increase Option]]="No increase",Table13[[#This Row],[Annual Increase Option]]=""),"",_xlfn.XLOOKUP(MONTH(Table13[[#This Row],[Commencement Date]]),Lookups!$I$19:$I$30,Lookups!$J$19:$J$30,0))</f>
        <v/>
      </c>
      <c r="Q20" s="340"/>
      <c r="R20" s="340"/>
      <c r="S20" s="360">
        <f>IF(Table13[[#This Row],[Life Cover Amount]]="",0,Table2[[#This Row],[Life Premium]])</f>
        <v>0</v>
      </c>
      <c r="T20" s="360">
        <f>IF(Table13[[#This Row],[Funeral Cover Amount]]=0,0,Table2[[#This Row],[Funeral Premium]])</f>
        <v>0</v>
      </c>
      <c r="U20" s="360">
        <f>IF(AND(Table13[[#This Row],[Life Cover Amount]]="",Table13[[#This Row],[Funeral Cover Amount]]=""),0,onboarding_calcs!AA20)</f>
        <v>0</v>
      </c>
      <c r="V20" s="111"/>
      <c r="W20" s="111"/>
      <c r="X20" s="333"/>
      <c r="Y20" s="110"/>
      <c r="Z20" s="113"/>
      <c r="AA20" s="425"/>
      <c r="AB20" s="425"/>
      <c r="AC20" s="113"/>
      <c r="AD20" s="110"/>
      <c r="AE20" s="110"/>
      <c r="AF20" s="110"/>
      <c r="AG20" s="110"/>
      <c r="AH20" s="110"/>
      <c r="AI20" s="113"/>
      <c r="AJ20" s="110"/>
      <c r="AK20" s="110"/>
      <c r="AL20" s="110"/>
      <c r="AM20" s="110"/>
      <c r="AN20" s="110"/>
      <c r="AO20" s="113"/>
      <c r="AP20" s="338"/>
      <c r="AQ20" s="338"/>
      <c r="AR20" s="110"/>
      <c r="AS20" s="113"/>
      <c r="AT20" s="113"/>
      <c r="AU20" s="112"/>
      <c r="AV20" s="338"/>
      <c r="AW20" s="110"/>
      <c r="AX20" s="110"/>
      <c r="AY20" s="113"/>
      <c r="AZ20" s="113"/>
      <c r="BA20" s="338"/>
      <c r="BB20" s="113"/>
      <c r="BC20" s="113"/>
      <c r="BD20" s="113"/>
      <c r="BF2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1" spans="1:58" x14ac:dyDescent="0.3">
      <c r="A21" s="422"/>
      <c r="B21" s="376"/>
      <c r="C21" s="110"/>
      <c r="D21" s="110"/>
      <c r="E21" s="340"/>
      <c r="F21" s="340"/>
      <c r="G21" s="338"/>
      <c r="H21" s="331"/>
      <c r="I21" s="113"/>
      <c r="J21" s="332"/>
      <c r="K21" s="110"/>
      <c r="L21" s="110"/>
      <c r="M21" s="110"/>
      <c r="N21" s="110"/>
      <c r="O21" s="111"/>
      <c r="P21" s="424" t="str">
        <f>IF(OR(Table13[[#This Row],[Annual Increase Option]]="No increase",Table13[[#This Row],[Annual Increase Option]]=""),"",_xlfn.XLOOKUP(MONTH(Table13[[#This Row],[Commencement Date]]),Lookups!$I$19:$I$30,Lookups!$J$19:$J$30,0))</f>
        <v/>
      </c>
      <c r="Q21" s="340"/>
      <c r="R21" s="340"/>
      <c r="S21" s="360">
        <f>IF(Table13[[#This Row],[Life Cover Amount]]="",0,Table2[[#This Row],[Life Premium]])</f>
        <v>0</v>
      </c>
      <c r="T21" s="360">
        <f>IF(Table13[[#This Row],[Funeral Cover Amount]]=0,0,Table2[[#This Row],[Funeral Premium]])</f>
        <v>0</v>
      </c>
      <c r="U21" s="360">
        <f>IF(AND(Table13[[#This Row],[Life Cover Amount]]="",Table13[[#This Row],[Funeral Cover Amount]]=""),0,onboarding_calcs!AA21)</f>
        <v>0</v>
      </c>
      <c r="V21" s="111"/>
      <c r="W21" s="111"/>
      <c r="X21" s="333"/>
      <c r="Y21" s="110"/>
      <c r="Z21" s="113"/>
      <c r="AA21" s="425"/>
      <c r="AB21" s="425"/>
      <c r="AC21" s="113"/>
      <c r="AD21" s="110"/>
      <c r="AE21" s="110"/>
      <c r="AF21" s="110"/>
      <c r="AG21" s="110"/>
      <c r="AH21" s="110"/>
      <c r="AI21" s="113"/>
      <c r="AJ21" s="110"/>
      <c r="AK21" s="110"/>
      <c r="AL21" s="110"/>
      <c r="AM21" s="110"/>
      <c r="AN21" s="110"/>
      <c r="AO21" s="113"/>
      <c r="AP21" s="338"/>
      <c r="AQ21" s="338"/>
      <c r="AR21" s="110"/>
      <c r="AS21" s="113"/>
      <c r="AT21" s="113"/>
      <c r="AU21" s="112"/>
      <c r="AV21" s="338"/>
      <c r="AW21" s="110"/>
      <c r="AX21" s="110"/>
      <c r="AY21" s="113"/>
      <c r="AZ21" s="113"/>
      <c r="BA21" s="338"/>
      <c r="BB21" s="113"/>
      <c r="BC21" s="113"/>
      <c r="BD21" s="113"/>
      <c r="BF2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2" spans="1:58" x14ac:dyDescent="0.3">
      <c r="A22" s="422"/>
      <c r="B22" s="376"/>
      <c r="C22" s="110"/>
      <c r="D22" s="110"/>
      <c r="E22" s="340"/>
      <c r="F22" s="330"/>
      <c r="G22" s="338"/>
      <c r="H22" s="331"/>
      <c r="I22" s="113"/>
      <c r="J22" s="332"/>
      <c r="K22" s="110"/>
      <c r="L22" s="110"/>
      <c r="M22" s="110"/>
      <c r="N22" s="110"/>
      <c r="O22" s="111"/>
      <c r="P22" s="424" t="str">
        <f>IF(OR(Table13[[#This Row],[Annual Increase Option]]="No increase",Table13[[#This Row],[Annual Increase Option]]=""),"",_xlfn.XLOOKUP(MONTH(Table13[[#This Row],[Commencement Date]]),Lookups!$I$19:$I$30,Lookups!$J$19:$J$30,0))</f>
        <v/>
      </c>
      <c r="Q22" s="340"/>
      <c r="R22" s="340"/>
      <c r="S22" s="360">
        <f>IF(Table13[[#This Row],[Life Cover Amount]]="",0,Table2[[#This Row],[Life Premium]])</f>
        <v>0</v>
      </c>
      <c r="T22" s="360">
        <f>IF(Table13[[#This Row],[Funeral Cover Amount]]=0,0,Table2[[#This Row],[Funeral Premium]])</f>
        <v>0</v>
      </c>
      <c r="U22" s="360">
        <f>IF(AND(Table13[[#This Row],[Life Cover Amount]]="",Table13[[#This Row],[Funeral Cover Amount]]=""),0,onboarding_calcs!AA22)</f>
        <v>0</v>
      </c>
      <c r="V22" s="111"/>
      <c r="W22" s="111"/>
      <c r="X22" s="333"/>
      <c r="Y22" s="110"/>
      <c r="Z22" s="113"/>
      <c r="AA22" s="425"/>
      <c r="AB22" s="425"/>
      <c r="AC22" s="113"/>
      <c r="AD22" s="110"/>
      <c r="AE22" s="110"/>
      <c r="AF22" s="110"/>
      <c r="AG22" s="110"/>
      <c r="AH22" s="110"/>
      <c r="AI22" s="113"/>
      <c r="AJ22" s="110"/>
      <c r="AK22" s="110"/>
      <c r="AL22" s="110"/>
      <c r="AM22" s="110"/>
      <c r="AN22" s="110"/>
      <c r="AO22" s="113"/>
      <c r="AP22" s="338"/>
      <c r="AQ22" s="338"/>
      <c r="AR22" s="110"/>
      <c r="AS22" s="113"/>
      <c r="AT22" s="113"/>
      <c r="AU22" s="112"/>
      <c r="AV22" s="338"/>
      <c r="AW22" s="110"/>
      <c r="AX22" s="110"/>
      <c r="AY22" s="113"/>
      <c r="AZ22" s="113"/>
      <c r="BA22" s="338"/>
      <c r="BB22" s="113"/>
      <c r="BC22" s="113"/>
      <c r="BD22" s="336"/>
      <c r="BF2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3" spans="1:58" x14ac:dyDescent="0.3">
      <c r="A23" s="422"/>
      <c r="B23" s="376"/>
      <c r="C23" s="110"/>
      <c r="D23" s="110"/>
      <c r="E23" s="340"/>
      <c r="F23" s="340"/>
      <c r="G23" s="338"/>
      <c r="H23" s="331"/>
      <c r="I23" s="113"/>
      <c r="J23" s="332"/>
      <c r="K23" s="110"/>
      <c r="L23" s="110"/>
      <c r="M23" s="110"/>
      <c r="N23" s="110"/>
      <c r="O23" s="111"/>
      <c r="P23" s="424" t="str">
        <f>IF(OR(Table13[[#This Row],[Annual Increase Option]]="No increase",Table13[[#This Row],[Annual Increase Option]]=""),"",_xlfn.XLOOKUP(MONTH(Table13[[#This Row],[Commencement Date]]),Lookups!$I$19:$I$30,Lookups!$J$19:$J$30,0))</f>
        <v/>
      </c>
      <c r="Q23" s="340"/>
      <c r="R23" s="340"/>
      <c r="S23" s="360">
        <f>IF(Table13[[#This Row],[Life Cover Amount]]="",0,Table2[[#This Row],[Life Premium]])</f>
        <v>0</v>
      </c>
      <c r="T23" s="360">
        <f>IF(Table13[[#This Row],[Funeral Cover Amount]]=0,0,Table2[[#This Row],[Funeral Premium]])</f>
        <v>0</v>
      </c>
      <c r="U23" s="360">
        <f>IF(AND(Table13[[#This Row],[Life Cover Amount]]="",Table13[[#This Row],[Funeral Cover Amount]]=""),0,onboarding_calcs!AA23)</f>
        <v>0</v>
      </c>
      <c r="V23" s="111"/>
      <c r="W23" s="111"/>
      <c r="X23" s="333"/>
      <c r="Y23" s="110"/>
      <c r="Z23" s="113"/>
      <c r="AA23" s="425"/>
      <c r="AB23" s="425"/>
      <c r="AC23" s="113"/>
      <c r="AD23" s="110"/>
      <c r="AE23" s="110"/>
      <c r="AF23" s="110"/>
      <c r="AG23" s="110"/>
      <c r="AH23" s="110"/>
      <c r="AI23" s="113"/>
      <c r="AJ23" s="110"/>
      <c r="AK23" s="110"/>
      <c r="AL23" s="110"/>
      <c r="AM23" s="110"/>
      <c r="AN23" s="110"/>
      <c r="AO23" s="113"/>
      <c r="AP23" s="338"/>
      <c r="AQ23" s="338"/>
      <c r="AR23" s="110"/>
      <c r="AS23" s="113"/>
      <c r="AT23" s="113"/>
      <c r="AU23" s="112"/>
      <c r="AV23" s="338"/>
      <c r="AW23" s="110"/>
      <c r="AX23" s="110"/>
      <c r="AY23" s="113"/>
      <c r="AZ23" s="113"/>
      <c r="BA23" s="338"/>
      <c r="BB23" s="113"/>
      <c r="BC23" s="113"/>
      <c r="BD23" s="113"/>
      <c r="BF2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4" spans="1:58" x14ac:dyDescent="0.3">
      <c r="A24" s="422"/>
      <c r="B24" s="376"/>
      <c r="C24" s="110"/>
      <c r="D24" s="110"/>
      <c r="E24" s="340"/>
      <c r="F24" s="330"/>
      <c r="G24" s="338"/>
      <c r="H24" s="331"/>
      <c r="I24" s="113"/>
      <c r="J24" s="332"/>
      <c r="K24" s="110"/>
      <c r="L24" s="110"/>
      <c r="M24" s="110"/>
      <c r="N24" s="110"/>
      <c r="O24" s="111"/>
      <c r="P24" s="424" t="str">
        <f>IF(OR(Table13[[#This Row],[Annual Increase Option]]="No increase",Table13[[#This Row],[Annual Increase Option]]=""),"",_xlfn.XLOOKUP(MONTH(Table13[[#This Row],[Commencement Date]]),Lookups!$I$19:$I$30,Lookups!$J$19:$J$30,0))</f>
        <v/>
      </c>
      <c r="Q24" s="340"/>
      <c r="R24" s="340"/>
      <c r="S24" s="360">
        <f>IF(Table13[[#This Row],[Life Cover Amount]]="",0,Table2[[#This Row],[Life Premium]])</f>
        <v>0</v>
      </c>
      <c r="T24" s="360">
        <f>IF(Table13[[#This Row],[Funeral Cover Amount]]=0,0,Table2[[#This Row],[Funeral Premium]])</f>
        <v>0</v>
      </c>
      <c r="U24" s="360">
        <f>IF(AND(Table13[[#This Row],[Life Cover Amount]]="",Table13[[#This Row],[Funeral Cover Amount]]=""),0,onboarding_calcs!AA24)</f>
        <v>0</v>
      </c>
      <c r="V24" s="111"/>
      <c r="W24" s="111"/>
      <c r="X24" s="333"/>
      <c r="Y24" s="110"/>
      <c r="Z24" s="113"/>
      <c r="AA24" s="425"/>
      <c r="AB24" s="425"/>
      <c r="AC24" s="113"/>
      <c r="AD24" s="110"/>
      <c r="AE24" s="110"/>
      <c r="AF24" s="110"/>
      <c r="AG24" s="110"/>
      <c r="AH24" s="110"/>
      <c r="AI24" s="113"/>
      <c r="AJ24" s="110"/>
      <c r="AK24" s="110"/>
      <c r="AL24" s="110"/>
      <c r="AM24" s="110"/>
      <c r="AN24" s="110"/>
      <c r="AO24" s="113"/>
      <c r="AP24" s="338"/>
      <c r="AQ24" s="338"/>
      <c r="AR24" s="110"/>
      <c r="AS24" s="113"/>
      <c r="AT24" s="113"/>
      <c r="AU24" s="112"/>
      <c r="AV24" s="338"/>
      <c r="AW24" s="110"/>
      <c r="AX24" s="110"/>
      <c r="AY24" s="113"/>
      <c r="AZ24" s="113"/>
      <c r="BA24" s="338"/>
      <c r="BB24" s="113"/>
      <c r="BC24" s="113"/>
      <c r="BD24" s="113"/>
      <c r="BF2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5" spans="1:58" x14ac:dyDescent="0.3">
      <c r="A25" s="422"/>
      <c r="B25" s="376"/>
      <c r="C25" s="110"/>
      <c r="D25" s="110"/>
      <c r="E25" s="340"/>
      <c r="F25" s="340"/>
      <c r="G25" s="338"/>
      <c r="H25" s="331"/>
      <c r="I25" s="113"/>
      <c r="J25" s="332"/>
      <c r="K25" s="110"/>
      <c r="L25" s="110"/>
      <c r="M25" s="110"/>
      <c r="N25" s="110"/>
      <c r="O25" s="111"/>
      <c r="P25" s="424" t="str">
        <f>IF(OR(Table13[[#This Row],[Annual Increase Option]]="No increase",Table13[[#This Row],[Annual Increase Option]]=""),"",_xlfn.XLOOKUP(MONTH(Table13[[#This Row],[Commencement Date]]),Lookups!$I$19:$I$30,Lookups!$J$19:$J$30,0))</f>
        <v/>
      </c>
      <c r="Q25" s="340"/>
      <c r="R25" s="340"/>
      <c r="S25" s="360">
        <f>IF(Table13[[#This Row],[Life Cover Amount]]="",0,Table2[[#This Row],[Life Premium]])</f>
        <v>0</v>
      </c>
      <c r="T25" s="360">
        <f>IF(Table13[[#This Row],[Funeral Cover Amount]]=0,0,Table2[[#This Row],[Funeral Premium]])</f>
        <v>0</v>
      </c>
      <c r="U25" s="360">
        <f>IF(AND(Table13[[#This Row],[Life Cover Amount]]="",Table13[[#This Row],[Funeral Cover Amount]]=""),0,onboarding_calcs!AA25)</f>
        <v>0</v>
      </c>
      <c r="V25" s="111"/>
      <c r="W25" s="111"/>
      <c r="X25" s="333"/>
      <c r="Y25" s="110"/>
      <c r="Z25" s="113"/>
      <c r="AA25" s="425"/>
      <c r="AB25" s="425"/>
      <c r="AC25" s="113"/>
      <c r="AD25" s="110"/>
      <c r="AE25" s="110"/>
      <c r="AF25" s="110"/>
      <c r="AG25" s="110"/>
      <c r="AH25" s="110"/>
      <c r="AI25" s="113"/>
      <c r="AJ25" s="110"/>
      <c r="AK25" s="110"/>
      <c r="AL25" s="110"/>
      <c r="AM25" s="110"/>
      <c r="AN25" s="110"/>
      <c r="AO25" s="113"/>
      <c r="AP25" s="338"/>
      <c r="AQ25" s="338"/>
      <c r="AR25" s="110"/>
      <c r="AS25" s="113"/>
      <c r="AT25" s="113"/>
      <c r="AU25" s="112"/>
      <c r="AV25" s="338"/>
      <c r="AW25" s="110"/>
      <c r="AX25" s="110"/>
      <c r="AY25" s="113"/>
      <c r="AZ25" s="113"/>
      <c r="BA25" s="338"/>
      <c r="BB25" s="113"/>
      <c r="BC25" s="113"/>
      <c r="BD25" s="113"/>
      <c r="BF2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6" spans="1:58" x14ac:dyDescent="0.3">
      <c r="A26" s="422"/>
      <c r="B26" s="376"/>
      <c r="C26" s="110"/>
      <c r="D26" s="110"/>
      <c r="E26" s="340"/>
      <c r="F26" s="340"/>
      <c r="G26" s="338"/>
      <c r="H26" s="331"/>
      <c r="I26" s="113"/>
      <c r="J26" s="332"/>
      <c r="K26" s="110"/>
      <c r="L26" s="110"/>
      <c r="M26" s="110"/>
      <c r="N26" s="110"/>
      <c r="O26" s="111"/>
      <c r="P26" s="424" t="str">
        <f>IF(OR(Table13[[#This Row],[Annual Increase Option]]="No increase",Table13[[#This Row],[Annual Increase Option]]=""),"",_xlfn.XLOOKUP(MONTH(Table13[[#This Row],[Commencement Date]]),Lookups!$I$19:$I$30,Lookups!$J$19:$J$30,0))</f>
        <v/>
      </c>
      <c r="Q26" s="340"/>
      <c r="R26" s="340"/>
      <c r="S26" s="360">
        <f>IF(Table13[[#This Row],[Life Cover Amount]]="",0,Table2[[#This Row],[Life Premium]])</f>
        <v>0</v>
      </c>
      <c r="T26" s="360">
        <f>IF(Table13[[#This Row],[Funeral Cover Amount]]=0,0,Table2[[#This Row],[Funeral Premium]])</f>
        <v>0</v>
      </c>
      <c r="U26" s="360">
        <f>IF(AND(Table13[[#This Row],[Life Cover Amount]]="",Table13[[#This Row],[Funeral Cover Amount]]=""),0,onboarding_calcs!AA26)</f>
        <v>0</v>
      </c>
      <c r="V26" s="111"/>
      <c r="W26" s="111"/>
      <c r="X26" s="333"/>
      <c r="Y26" s="110"/>
      <c r="Z26" s="113"/>
      <c r="AA26" s="425"/>
      <c r="AB26" s="425"/>
      <c r="AC26" s="113"/>
      <c r="AD26" s="110"/>
      <c r="AE26" s="110"/>
      <c r="AF26" s="110"/>
      <c r="AG26" s="110"/>
      <c r="AH26" s="110"/>
      <c r="AI26" s="113"/>
      <c r="AJ26" s="110"/>
      <c r="AK26" s="110"/>
      <c r="AL26" s="110"/>
      <c r="AM26" s="110"/>
      <c r="AN26" s="110"/>
      <c r="AO26" s="113"/>
      <c r="AP26" s="338"/>
      <c r="AQ26" s="338"/>
      <c r="AR26" s="110"/>
      <c r="AS26" s="113"/>
      <c r="AT26" s="113"/>
      <c r="AU26" s="112"/>
      <c r="AV26" s="338"/>
      <c r="AW26" s="110"/>
      <c r="AX26" s="110"/>
      <c r="AY26" s="113"/>
      <c r="AZ26" s="113"/>
      <c r="BA26" s="338"/>
      <c r="BB26" s="113"/>
      <c r="BC26" s="113"/>
      <c r="BD26" s="113"/>
      <c r="BF2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7" spans="1:58" x14ac:dyDescent="0.3">
      <c r="A27" s="422"/>
      <c r="B27" s="376"/>
      <c r="C27" s="110"/>
      <c r="D27" s="110"/>
      <c r="E27" s="340"/>
      <c r="F27" s="340"/>
      <c r="G27" s="338"/>
      <c r="H27" s="331"/>
      <c r="I27" s="113"/>
      <c r="J27" s="332"/>
      <c r="K27" s="110"/>
      <c r="L27" s="110"/>
      <c r="M27" s="110"/>
      <c r="N27" s="110"/>
      <c r="O27" s="111"/>
      <c r="P27" s="424" t="str">
        <f>IF(OR(Table13[[#This Row],[Annual Increase Option]]="No increase",Table13[[#This Row],[Annual Increase Option]]=""),"",_xlfn.XLOOKUP(MONTH(Table13[[#This Row],[Commencement Date]]),Lookups!$I$19:$I$30,Lookups!$J$19:$J$30,0))</f>
        <v/>
      </c>
      <c r="Q27" s="340"/>
      <c r="R27" s="340"/>
      <c r="S27" s="360">
        <f>IF(Table13[[#This Row],[Life Cover Amount]]="",0,Table2[[#This Row],[Life Premium]])</f>
        <v>0</v>
      </c>
      <c r="T27" s="360">
        <f>IF(Table13[[#This Row],[Funeral Cover Amount]]=0,0,Table2[[#This Row],[Funeral Premium]])</f>
        <v>0</v>
      </c>
      <c r="U27" s="360">
        <f>IF(AND(Table13[[#This Row],[Life Cover Amount]]="",Table13[[#This Row],[Funeral Cover Amount]]=""),0,onboarding_calcs!AA27)</f>
        <v>0</v>
      </c>
      <c r="V27" s="111"/>
      <c r="W27" s="111"/>
      <c r="X27" s="333"/>
      <c r="Y27" s="110"/>
      <c r="Z27" s="113"/>
      <c r="AA27" s="425"/>
      <c r="AB27" s="425"/>
      <c r="AC27" s="113"/>
      <c r="AD27" s="110"/>
      <c r="AE27" s="110"/>
      <c r="AF27" s="110"/>
      <c r="AG27" s="110"/>
      <c r="AH27" s="110"/>
      <c r="AI27" s="113"/>
      <c r="AJ27" s="110"/>
      <c r="AK27" s="110"/>
      <c r="AL27" s="110"/>
      <c r="AM27" s="110"/>
      <c r="AN27" s="110"/>
      <c r="AO27" s="113"/>
      <c r="AP27" s="338"/>
      <c r="AQ27" s="338"/>
      <c r="AR27" s="110"/>
      <c r="AS27" s="113"/>
      <c r="AT27" s="113"/>
      <c r="AU27" s="112"/>
      <c r="AV27" s="338"/>
      <c r="AW27" s="110"/>
      <c r="AX27" s="110"/>
      <c r="AY27" s="113"/>
      <c r="AZ27" s="113"/>
      <c r="BA27" s="338"/>
      <c r="BB27" s="113"/>
      <c r="BC27" s="113"/>
      <c r="BD27" s="113"/>
      <c r="BF2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8" spans="1:58" x14ac:dyDescent="0.3">
      <c r="A28" s="422"/>
      <c r="B28" s="376"/>
      <c r="C28" s="110"/>
      <c r="D28" s="110"/>
      <c r="E28" s="340"/>
      <c r="F28" s="340"/>
      <c r="G28" s="338"/>
      <c r="H28" s="331"/>
      <c r="I28" s="113"/>
      <c r="J28" s="332"/>
      <c r="K28" s="110"/>
      <c r="L28" s="110"/>
      <c r="M28" s="110"/>
      <c r="N28" s="110"/>
      <c r="O28" s="111"/>
      <c r="P28" s="424" t="str">
        <f>IF(OR(Table13[[#This Row],[Annual Increase Option]]="No increase",Table13[[#This Row],[Annual Increase Option]]=""),"",_xlfn.XLOOKUP(MONTH(Table13[[#This Row],[Commencement Date]]),Lookups!$I$19:$I$30,Lookups!$J$19:$J$30,0))</f>
        <v/>
      </c>
      <c r="Q28" s="340"/>
      <c r="R28" s="340"/>
      <c r="S28" s="360">
        <f>IF(Table13[[#This Row],[Life Cover Amount]]="",0,Table2[[#This Row],[Life Premium]])</f>
        <v>0</v>
      </c>
      <c r="T28" s="360">
        <f>IF(Table13[[#This Row],[Funeral Cover Amount]]=0,0,Table2[[#This Row],[Funeral Premium]])</f>
        <v>0</v>
      </c>
      <c r="U28" s="360">
        <f>IF(AND(Table13[[#This Row],[Life Cover Amount]]="",Table13[[#This Row],[Funeral Cover Amount]]=""),0,onboarding_calcs!AA28)</f>
        <v>0</v>
      </c>
      <c r="V28" s="111"/>
      <c r="W28" s="111"/>
      <c r="X28" s="333"/>
      <c r="Y28" s="110"/>
      <c r="Z28" s="113"/>
      <c r="AA28" s="425"/>
      <c r="AB28" s="425"/>
      <c r="AC28" s="113"/>
      <c r="AD28" s="110"/>
      <c r="AE28" s="110"/>
      <c r="AF28" s="110"/>
      <c r="AG28" s="110"/>
      <c r="AH28" s="110"/>
      <c r="AI28" s="113"/>
      <c r="AJ28" s="110"/>
      <c r="AK28" s="110"/>
      <c r="AL28" s="110"/>
      <c r="AM28" s="110"/>
      <c r="AN28" s="110"/>
      <c r="AO28" s="113"/>
      <c r="AP28" s="113"/>
      <c r="AQ28" s="338"/>
      <c r="AR28" s="110"/>
      <c r="AS28" s="113"/>
      <c r="AT28" s="113"/>
      <c r="AU28" s="112"/>
      <c r="AV28" s="338"/>
      <c r="AW28" s="110"/>
      <c r="AX28" s="110"/>
      <c r="AY28" s="113"/>
      <c r="AZ28" s="113"/>
      <c r="BA28" s="338"/>
      <c r="BB28" s="113"/>
      <c r="BC28" s="113"/>
      <c r="BD28" s="113"/>
      <c r="BF2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9" spans="1:58" x14ac:dyDescent="0.3">
      <c r="A29" s="422"/>
      <c r="B29" s="376"/>
      <c r="C29" s="110"/>
      <c r="D29" s="110"/>
      <c r="E29" s="340"/>
      <c r="F29" s="340"/>
      <c r="G29" s="338"/>
      <c r="H29" s="331"/>
      <c r="I29" s="113"/>
      <c r="J29" s="332"/>
      <c r="K29" s="110"/>
      <c r="L29" s="110"/>
      <c r="M29" s="110"/>
      <c r="N29" s="110"/>
      <c r="O29" s="111"/>
      <c r="P29" s="424" t="str">
        <f>IF(OR(Table13[[#This Row],[Annual Increase Option]]="No increase",Table13[[#This Row],[Annual Increase Option]]=""),"",_xlfn.XLOOKUP(MONTH(Table13[[#This Row],[Commencement Date]]),Lookups!$I$19:$I$30,Lookups!$J$19:$J$30,0))</f>
        <v/>
      </c>
      <c r="Q29" s="340"/>
      <c r="R29" s="340"/>
      <c r="S29" s="360">
        <f>IF(Table13[[#This Row],[Life Cover Amount]]="",0,Table2[[#This Row],[Life Premium]])</f>
        <v>0</v>
      </c>
      <c r="T29" s="360">
        <f>IF(Table13[[#This Row],[Funeral Cover Amount]]=0,0,Table2[[#This Row],[Funeral Premium]])</f>
        <v>0</v>
      </c>
      <c r="U29" s="360">
        <f>IF(AND(Table13[[#This Row],[Life Cover Amount]]="",Table13[[#This Row],[Funeral Cover Amount]]=""),0,onboarding_calcs!AA29)</f>
        <v>0</v>
      </c>
      <c r="V29" s="111"/>
      <c r="W29" s="111"/>
      <c r="X29" s="333"/>
      <c r="Y29" s="110"/>
      <c r="Z29" s="113"/>
      <c r="AA29" s="425"/>
      <c r="AB29" s="425"/>
      <c r="AC29" s="113"/>
      <c r="AD29" s="110"/>
      <c r="AE29" s="110"/>
      <c r="AF29" s="110"/>
      <c r="AG29" s="110"/>
      <c r="AH29" s="110"/>
      <c r="AI29" s="113"/>
      <c r="AJ29" s="110"/>
      <c r="AK29" s="110"/>
      <c r="AL29" s="110"/>
      <c r="AM29" s="110"/>
      <c r="AN29" s="110"/>
      <c r="AO29" s="113"/>
      <c r="AP29" s="113"/>
      <c r="AQ29" s="338"/>
      <c r="AR29" s="110"/>
      <c r="AS29" s="113"/>
      <c r="AT29" s="113"/>
      <c r="AU29" s="112"/>
      <c r="AV29" s="338"/>
      <c r="AW29" s="110"/>
      <c r="AX29" s="110"/>
      <c r="AY29" s="113"/>
      <c r="AZ29" s="113"/>
      <c r="BA29" s="338"/>
      <c r="BB29" s="113"/>
      <c r="BC29" s="113"/>
      <c r="BD29" s="113"/>
      <c r="BF2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0" spans="1:58" x14ac:dyDescent="0.3">
      <c r="A30" s="422"/>
      <c r="B30" s="376"/>
      <c r="C30" s="110"/>
      <c r="D30" s="110"/>
      <c r="E30" s="340"/>
      <c r="F30" s="340"/>
      <c r="G30" s="338"/>
      <c r="H30" s="331"/>
      <c r="I30" s="113"/>
      <c r="J30" s="332"/>
      <c r="K30" s="110"/>
      <c r="L30" s="110"/>
      <c r="M30" s="110"/>
      <c r="N30" s="110"/>
      <c r="O30" s="111"/>
      <c r="P30" s="424" t="str">
        <f>IF(OR(Table13[[#This Row],[Annual Increase Option]]="No increase",Table13[[#This Row],[Annual Increase Option]]=""),"",_xlfn.XLOOKUP(MONTH(Table13[[#This Row],[Commencement Date]]),Lookups!$I$19:$I$30,Lookups!$J$19:$J$30,0))</f>
        <v/>
      </c>
      <c r="Q30" s="340"/>
      <c r="R30" s="340"/>
      <c r="S30" s="360">
        <f>IF(Table13[[#This Row],[Life Cover Amount]]="",0,Table2[[#This Row],[Life Premium]])</f>
        <v>0</v>
      </c>
      <c r="T30" s="360">
        <f>IF(Table13[[#This Row],[Funeral Cover Amount]]=0,0,Table2[[#This Row],[Funeral Premium]])</f>
        <v>0</v>
      </c>
      <c r="U30" s="360">
        <f>IF(AND(Table13[[#This Row],[Life Cover Amount]]="",Table13[[#This Row],[Funeral Cover Amount]]=""),0,onboarding_calcs!AA30)</f>
        <v>0</v>
      </c>
      <c r="V30" s="111"/>
      <c r="W30" s="111"/>
      <c r="X30" s="333"/>
      <c r="Y30" s="110"/>
      <c r="Z30" s="113"/>
      <c r="AA30" s="425"/>
      <c r="AB30" s="425"/>
      <c r="AC30" s="113"/>
      <c r="AD30" s="110"/>
      <c r="AE30" s="110"/>
      <c r="AF30" s="110"/>
      <c r="AG30" s="110"/>
      <c r="AH30" s="110"/>
      <c r="AI30" s="113"/>
      <c r="AJ30" s="110"/>
      <c r="AK30" s="110"/>
      <c r="AL30" s="110"/>
      <c r="AM30" s="110"/>
      <c r="AN30" s="110"/>
      <c r="AO30" s="113"/>
      <c r="AP30" s="113"/>
      <c r="AQ30" s="338"/>
      <c r="AR30" s="110"/>
      <c r="AS30" s="113"/>
      <c r="AT30" s="113"/>
      <c r="AU30" s="112"/>
      <c r="AV30" s="338"/>
      <c r="AW30" s="110"/>
      <c r="AX30" s="110"/>
      <c r="AY30" s="113"/>
      <c r="AZ30" s="113"/>
      <c r="BA30" s="338"/>
      <c r="BB30" s="113"/>
      <c r="BC30" s="113"/>
      <c r="BD30" s="113"/>
      <c r="BF3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1" spans="1:58" x14ac:dyDescent="0.3">
      <c r="A31" s="422"/>
      <c r="B31" s="376"/>
      <c r="C31" s="110"/>
      <c r="D31" s="110"/>
      <c r="E31" s="340"/>
      <c r="F31" s="340"/>
      <c r="G31" s="338"/>
      <c r="H31" s="331"/>
      <c r="I31" s="113"/>
      <c r="J31" s="332"/>
      <c r="K31" s="110"/>
      <c r="L31" s="110"/>
      <c r="M31" s="110"/>
      <c r="N31" s="110"/>
      <c r="O31" s="111"/>
      <c r="P31" s="424" t="str">
        <f>IF(OR(Table13[[#This Row],[Annual Increase Option]]="No increase",Table13[[#This Row],[Annual Increase Option]]=""),"",_xlfn.XLOOKUP(MONTH(Table13[[#This Row],[Commencement Date]]),Lookups!$I$19:$I$30,Lookups!$J$19:$J$30,0))</f>
        <v/>
      </c>
      <c r="Q31" s="340"/>
      <c r="R31" s="340"/>
      <c r="S31" s="360">
        <f>IF(Table13[[#This Row],[Life Cover Amount]]="",0,Table2[[#This Row],[Life Premium]])</f>
        <v>0</v>
      </c>
      <c r="T31" s="360">
        <f>IF(Table13[[#This Row],[Funeral Cover Amount]]=0,0,Table2[[#This Row],[Funeral Premium]])</f>
        <v>0</v>
      </c>
      <c r="U31" s="360">
        <f>IF(AND(Table13[[#This Row],[Life Cover Amount]]="",Table13[[#This Row],[Funeral Cover Amount]]=""),0,onboarding_calcs!AA31)</f>
        <v>0</v>
      </c>
      <c r="V31" s="111"/>
      <c r="W31" s="111"/>
      <c r="X31" s="333"/>
      <c r="Y31" s="110"/>
      <c r="Z31" s="113"/>
      <c r="AA31" s="425"/>
      <c r="AB31" s="425"/>
      <c r="AC31" s="113"/>
      <c r="AD31" s="110"/>
      <c r="AE31" s="110"/>
      <c r="AF31" s="110"/>
      <c r="AG31" s="110"/>
      <c r="AH31" s="110"/>
      <c r="AI31" s="113"/>
      <c r="AJ31" s="110"/>
      <c r="AK31" s="110"/>
      <c r="AL31" s="110"/>
      <c r="AM31" s="110"/>
      <c r="AN31" s="110"/>
      <c r="AO31" s="113"/>
      <c r="AP31" s="113"/>
      <c r="AQ31" s="338"/>
      <c r="AR31" s="110"/>
      <c r="AS31" s="113"/>
      <c r="AT31" s="113"/>
      <c r="AU31" s="112"/>
      <c r="AV31" s="338"/>
      <c r="AW31" s="110"/>
      <c r="AX31" s="110"/>
      <c r="AY31" s="113"/>
      <c r="AZ31" s="113"/>
      <c r="BA31" s="338"/>
      <c r="BB31" s="113"/>
      <c r="BC31" s="113"/>
      <c r="BD31" s="113"/>
      <c r="BF3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2" spans="1:58" x14ac:dyDescent="0.3">
      <c r="A32" s="422"/>
      <c r="B32" s="376"/>
      <c r="C32" s="110"/>
      <c r="D32" s="110"/>
      <c r="E32" s="340"/>
      <c r="F32" s="340"/>
      <c r="G32" s="338"/>
      <c r="H32" s="331"/>
      <c r="I32" s="113"/>
      <c r="J32" s="332"/>
      <c r="K32" s="110"/>
      <c r="L32" s="110"/>
      <c r="M32" s="110"/>
      <c r="N32" s="110"/>
      <c r="O32" s="111"/>
      <c r="P32" s="424" t="str">
        <f>IF(OR(Table13[[#This Row],[Annual Increase Option]]="No increase",Table13[[#This Row],[Annual Increase Option]]=""),"",_xlfn.XLOOKUP(MONTH(Table13[[#This Row],[Commencement Date]]),Lookups!$I$19:$I$30,Lookups!$J$19:$J$30,0))</f>
        <v/>
      </c>
      <c r="Q32" s="340"/>
      <c r="R32" s="340"/>
      <c r="S32" s="360">
        <f>IF(Table13[[#This Row],[Life Cover Amount]]="",0,Table2[[#This Row],[Life Premium]])</f>
        <v>0</v>
      </c>
      <c r="T32" s="360">
        <f>IF(Table13[[#This Row],[Funeral Cover Amount]]=0,0,Table2[[#This Row],[Funeral Premium]])</f>
        <v>0</v>
      </c>
      <c r="U32" s="360">
        <f>IF(AND(Table13[[#This Row],[Life Cover Amount]]="",Table13[[#This Row],[Funeral Cover Amount]]=""),0,onboarding_calcs!AA32)</f>
        <v>0</v>
      </c>
      <c r="V32" s="111"/>
      <c r="W32" s="111"/>
      <c r="X32" s="333"/>
      <c r="Y32" s="110"/>
      <c r="Z32" s="113"/>
      <c r="AA32" s="425"/>
      <c r="AB32" s="425"/>
      <c r="AC32" s="113"/>
      <c r="AD32" s="110"/>
      <c r="AE32" s="110"/>
      <c r="AF32" s="110"/>
      <c r="AG32" s="110"/>
      <c r="AH32" s="110"/>
      <c r="AI32" s="113"/>
      <c r="AJ32" s="110"/>
      <c r="AK32" s="110"/>
      <c r="AL32" s="110"/>
      <c r="AM32" s="110"/>
      <c r="AN32" s="110"/>
      <c r="AO32" s="113"/>
      <c r="AP32" s="113"/>
      <c r="AQ32" s="338"/>
      <c r="AR32" s="110"/>
      <c r="AS32" s="113"/>
      <c r="AT32" s="113"/>
      <c r="AU32" s="112"/>
      <c r="AV32" s="338"/>
      <c r="AW32" s="110"/>
      <c r="AX32" s="110"/>
      <c r="AY32" s="113"/>
      <c r="AZ32" s="113"/>
      <c r="BA32" s="338"/>
      <c r="BB32" s="113"/>
      <c r="BC32" s="113"/>
      <c r="BD32" s="113"/>
      <c r="BF3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3" spans="1:58" x14ac:dyDescent="0.3">
      <c r="A33" s="422"/>
      <c r="B33" s="376"/>
      <c r="C33" s="110"/>
      <c r="D33" s="110"/>
      <c r="E33" s="340"/>
      <c r="F33" s="340"/>
      <c r="G33" s="338"/>
      <c r="H33" s="331"/>
      <c r="I33" s="113"/>
      <c r="J33" s="332"/>
      <c r="K33" s="110"/>
      <c r="L33" s="110"/>
      <c r="M33" s="110"/>
      <c r="N33" s="110"/>
      <c r="O33" s="111"/>
      <c r="P33" s="424" t="str">
        <f>IF(OR(Table13[[#This Row],[Annual Increase Option]]="No increase",Table13[[#This Row],[Annual Increase Option]]=""),"",_xlfn.XLOOKUP(MONTH(Table13[[#This Row],[Commencement Date]]),Lookups!$I$19:$I$30,Lookups!$J$19:$J$30,0))</f>
        <v/>
      </c>
      <c r="Q33" s="340"/>
      <c r="R33" s="340"/>
      <c r="S33" s="360">
        <f>IF(Table13[[#This Row],[Life Cover Amount]]="",0,Table2[[#This Row],[Life Premium]])</f>
        <v>0</v>
      </c>
      <c r="T33" s="360">
        <f>IF(Table13[[#This Row],[Funeral Cover Amount]]=0,0,Table2[[#This Row],[Funeral Premium]])</f>
        <v>0</v>
      </c>
      <c r="U33" s="360">
        <f>IF(AND(Table13[[#This Row],[Life Cover Amount]]="",Table13[[#This Row],[Funeral Cover Amount]]=""),0,onboarding_calcs!AA33)</f>
        <v>0</v>
      </c>
      <c r="V33" s="111"/>
      <c r="W33" s="111"/>
      <c r="X33" s="333"/>
      <c r="Y33" s="110"/>
      <c r="Z33" s="113"/>
      <c r="AA33" s="425"/>
      <c r="AB33" s="425"/>
      <c r="AC33" s="113"/>
      <c r="AD33" s="110"/>
      <c r="AE33" s="110"/>
      <c r="AF33" s="110"/>
      <c r="AG33" s="110"/>
      <c r="AH33" s="110"/>
      <c r="AI33" s="113"/>
      <c r="AJ33" s="110"/>
      <c r="AK33" s="110"/>
      <c r="AL33" s="110"/>
      <c r="AM33" s="110"/>
      <c r="AN33" s="110"/>
      <c r="AO33" s="113"/>
      <c r="AP33" s="113"/>
      <c r="AQ33" s="338"/>
      <c r="AR33" s="110"/>
      <c r="AS33" s="113"/>
      <c r="AT33" s="113"/>
      <c r="AU33" s="112"/>
      <c r="AV33" s="338"/>
      <c r="AW33" s="110"/>
      <c r="AX33" s="110"/>
      <c r="AY33" s="113"/>
      <c r="AZ33" s="113"/>
      <c r="BA33" s="338"/>
      <c r="BB33" s="113"/>
      <c r="BC33" s="113"/>
      <c r="BD33" s="113"/>
      <c r="BF3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4" spans="1:58" x14ac:dyDescent="0.3">
      <c r="A34" s="422"/>
      <c r="B34" s="376"/>
      <c r="C34" s="110"/>
      <c r="D34" s="110"/>
      <c r="E34" s="340"/>
      <c r="F34" s="340"/>
      <c r="G34" s="338"/>
      <c r="H34" s="331"/>
      <c r="I34" s="113"/>
      <c r="J34" s="332"/>
      <c r="K34" s="110"/>
      <c r="L34" s="110"/>
      <c r="M34" s="110"/>
      <c r="N34" s="110"/>
      <c r="O34" s="111"/>
      <c r="P34" s="424" t="str">
        <f>IF(OR(Table13[[#This Row],[Annual Increase Option]]="No increase",Table13[[#This Row],[Annual Increase Option]]=""),"",_xlfn.XLOOKUP(MONTH(Table13[[#This Row],[Commencement Date]]),Lookups!$I$19:$I$30,Lookups!$J$19:$J$30,0))</f>
        <v/>
      </c>
      <c r="Q34" s="340"/>
      <c r="R34" s="340"/>
      <c r="S34" s="360">
        <f>IF(Table13[[#This Row],[Life Cover Amount]]="",0,Table2[[#This Row],[Life Premium]])</f>
        <v>0</v>
      </c>
      <c r="T34" s="360">
        <f>IF(Table13[[#This Row],[Funeral Cover Amount]]=0,0,Table2[[#This Row],[Funeral Premium]])</f>
        <v>0</v>
      </c>
      <c r="U34" s="360">
        <f>IF(AND(Table13[[#This Row],[Life Cover Amount]]="",Table13[[#This Row],[Funeral Cover Amount]]=""),0,onboarding_calcs!AA34)</f>
        <v>0</v>
      </c>
      <c r="V34" s="111"/>
      <c r="W34" s="111"/>
      <c r="X34" s="333"/>
      <c r="Y34" s="110"/>
      <c r="Z34" s="113"/>
      <c r="AA34" s="425"/>
      <c r="AB34" s="425"/>
      <c r="AC34" s="113"/>
      <c r="AD34" s="110"/>
      <c r="AE34" s="110"/>
      <c r="AF34" s="110"/>
      <c r="AG34" s="110"/>
      <c r="AH34" s="110"/>
      <c r="AI34" s="113"/>
      <c r="AJ34" s="110"/>
      <c r="AK34" s="110"/>
      <c r="AL34" s="110"/>
      <c r="AM34" s="110"/>
      <c r="AN34" s="110"/>
      <c r="AO34" s="113"/>
      <c r="AP34" s="113"/>
      <c r="AQ34" s="338"/>
      <c r="AR34" s="110"/>
      <c r="AS34" s="113"/>
      <c r="AT34" s="113"/>
      <c r="AU34" s="112"/>
      <c r="AV34" s="338"/>
      <c r="AW34" s="110"/>
      <c r="AX34" s="110"/>
      <c r="AY34" s="113"/>
      <c r="AZ34" s="113"/>
      <c r="BA34" s="338"/>
      <c r="BB34" s="113"/>
      <c r="BC34" s="113"/>
      <c r="BD34" s="113"/>
      <c r="BF3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5" spans="1:58" x14ac:dyDescent="0.3">
      <c r="A35" s="422"/>
      <c r="B35" s="376"/>
      <c r="C35" s="110"/>
      <c r="D35" s="110"/>
      <c r="E35" s="330"/>
      <c r="F35" s="330"/>
      <c r="G35" s="338"/>
      <c r="H35" s="331"/>
      <c r="I35" s="113"/>
      <c r="J35" s="332"/>
      <c r="K35" s="110"/>
      <c r="L35" s="110"/>
      <c r="M35" s="110"/>
      <c r="N35" s="110"/>
      <c r="O35" s="111"/>
      <c r="P35" s="424" t="str">
        <f>IF(OR(Table13[[#This Row],[Annual Increase Option]]="No increase",Table13[[#This Row],[Annual Increase Option]]=""),"",_xlfn.XLOOKUP(MONTH(Table13[[#This Row],[Commencement Date]]),Lookups!$I$19:$I$30,Lookups!$J$19:$J$30,0))</f>
        <v/>
      </c>
      <c r="Q35" s="340"/>
      <c r="R35" s="340"/>
      <c r="S35" s="360">
        <f>IF(Table13[[#This Row],[Life Cover Amount]]="",0,Table2[[#This Row],[Life Premium]])</f>
        <v>0</v>
      </c>
      <c r="T35" s="360">
        <f>IF(Table13[[#This Row],[Funeral Cover Amount]]=0,0,Table2[[#This Row],[Funeral Premium]])</f>
        <v>0</v>
      </c>
      <c r="U35" s="360">
        <f>IF(AND(Table13[[#This Row],[Life Cover Amount]]="",Table13[[#This Row],[Funeral Cover Amount]]=""),0,onboarding_calcs!AA35)</f>
        <v>0</v>
      </c>
      <c r="V35" s="111"/>
      <c r="W35" s="111"/>
      <c r="X35" s="333"/>
      <c r="Y35" s="110"/>
      <c r="Z35" s="113"/>
      <c r="AA35" s="425"/>
      <c r="AB35" s="425"/>
      <c r="AC35" s="113"/>
      <c r="AD35" s="110"/>
      <c r="AE35" s="110"/>
      <c r="AF35" s="110"/>
      <c r="AG35" s="110"/>
      <c r="AH35" s="110"/>
      <c r="AI35" s="113"/>
      <c r="AJ35" s="110"/>
      <c r="AK35" s="110"/>
      <c r="AL35" s="110"/>
      <c r="AM35" s="110"/>
      <c r="AN35" s="110"/>
      <c r="AO35" s="113"/>
      <c r="AP35" s="113"/>
      <c r="AQ35" s="338"/>
      <c r="AR35" s="110"/>
      <c r="AS35" s="113"/>
      <c r="AT35" s="113"/>
      <c r="AU35" s="112"/>
      <c r="AV35" s="338"/>
      <c r="AW35" s="110"/>
      <c r="AX35" s="110"/>
      <c r="AY35" s="113"/>
      <c r="AZ35" s="113"/>
      <c r="BA35" s="338"/>
      <c r="BB35" s="113"/>
      <c r="BC35" s="113"/>
      <c r="BD35" s="113"/>
      <c r="BF3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6" spans="1:58" x14ac:dyDescent="0.3">
      <c r="A36" s="422"/>
      <c r="B36" s="376"/>
      <c r="C36" s="110"/>
      <c r="D36" s="110"/>
      <c r="E36" s="330"/>
      <c r="F36" s="330"/>
      <c r="G36" s="338"/>
      <c r="H36" s="331"/>
      <c r="I36" s="113"/>
      <c r="J36" s="332"/>
      <c r="K36" s="110"/>
      <c r="L36" s="110"/>
      <c r="M36" s="110"/>
      <c r="N36" s="110"/>
      <c r="O36" s="111"/>
      <c r="P36" s="424" t="str">
        <f>IF(OR(Table13[[#This Row],[Annual Increase Option]]="No increase",Table13[[#This Row],[Annual Increase Option]]=""),"",_xlfn.XLOOKUP(MONTH(Table13[[#This Row],[Commencement Date]]),Lookups!$I$19:$I$30,Lookups!$J$19:$J$30,0))</f>
        <v/>
      </c>
      <c r="Q36" s="340"/>
      <c r="R36" s="340"/>
      <c r="S36" s="360">
        <f>IF(Table13[[#This Row],[Life Cover Amount]]="",0,Table2[[#This Row],[Life Premium]])</f>
        <v>0</v>
      </c>
      <c r="T36" s="360">
        <f>IF(Table13[[#This Row],[Funeral Cover Amount]]=0,0,Table2[[#This Row],[Funeral Premium]])</f>
        <v>0</v>
      </c>
      <c r="U36" s="360">
        <f>IF(AND(Table13[[#This Row],[Life Cover Amount]]="",Table13[[#This Row],[Funeral Cover Amount]]=""),0,onboarding_calcs!AA36)</f>
        <v>0</v>
      </c>
      <c r="V36" s="111"/>
      <c r="W36" s="111"/>
      <c r="X36" s="333"/>
      <c r="Y36" s="110"/>
      <c r="Z36" s="113"/>
      <c r="AA36" s="425"/>
      <c r="AB36" s="425"/>
      <c r="AC36" s="113"/>
      <c r="AD36" s="110"/>
      <c r="AE36" s="110"/>
      <c r="AF36" s="110"/>
      <c r="AG36" s="110"/>
      <c r="AH36" s="110"/>
      <c r="AI36" s="113"/>
      <c r="AJ36" s="110"/>
      <c r="AK36" s="110"/>
      <c r="AL36" s="110"/>
      <c r="AM36" s="110"/>
      <c r="AN36" s="110"/>
      <c r="AO36" s="113"/>
      <c r="AP36" s="113"/>
      <c r="AQ36" s="338"/>
      <c r="AR36" s="110"/>
      <c r="AS36" s="113"/>
      <c r="AT36" s="113"/>
      <c r="AU36" s="112"/>
      <c r="AV36" s="338"/>
      <c r="AW36" s="110"/>
      <c r="AX36" s="110"/>
      <c r="AY36" s="113"/>
      <c r="AZ36" s="113"/>
      <c r="BA36" s="338"/>
      <c r="BB36" s="113"/>
      <c r="BC36" s="113"/>
      <c r="BD36" s="113"/>
      <c r="BF3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7" spans="1:58" x14ac:dyDescent="0.3">
      <c r="A37" s="422"/>
      <c r="B37" s="376"/>
      <c r="C37" s="110"/>
      <c r="D37" s="110"/>
      <c r="E37" s="330"/>
      <c r="F37" s="330"/>
      <c r="G37" s="338"/>
      <c r="H37" s="331"/>
      <c r="I37" s="113"/>
      <c r="J37" s="332"/>
      <c r="K37" s="110"/>
      <c r="L37" s="110"/>
      <c r="M37" s="110"/>
      <c r="N37" s="110"/>
      <c r="O37" s="111"/>
      <c r="P37" s="424" t="str">
        <f>IF(OR(Table13[[#This Row],[Annual Increase Option]]="No increase",Table13[[#This Row],[Annual Increase Option]]=""),"",_xlfn.XLOOKUP(MONTH(Table13[[#This Row],[Commencement Date]]),Lookups!$I$19:$I$30,Lookups!$J$19:$J$30,0))</f>
        <v/>
      </c>
      <c r="Q37" s="340"/>
      <c r="R37" s="340"/>
      <c r="S37" s="360">
        <f>IF(Table13[[#This Row],[Life Cover Amount]]="",0,Table2[[#This Row],[Life Premium]])</f>
        <v>0</v>
      </c>
      <c r="T37" s="360">
        <f>IF(Table13[[#This Row],[Funeral Cover Amount]]=0,0,Table2[[#This Row],[Funeral Premium]])</f>
        <v>0</v>
      </c>
      <c r="U37" s="360">
        <f>IF(AND(Table13[[#This Row],[Life Cover Amount]]="",Table13[[#This Row],[Funeral Cover Amount]]=""),0,onboarding_calcs!AA37)</f>
        <v>0</v>
      </c>
      <c r="V37" s="111"/>
      <c r="W37" s="111"/>
      <c r="X37" s="333"/>
      <c r="Y37" s="110"/>
      <c r="Z37" s="113"/>
      <c r="AA37" s="425"/>
      <c r="AB37" s="425"/>
      <c r="AC37" s="113"/>
      <c r="AD37" s="110"/>
      <c r="AE37" s="110"/>
      <c r="AF37" s="110"/>
      <c r="AG37" s="110"/>
      <c r="AH37" s="110"/>
      <c r="AI37" s="113"/>
      <c r="AJ37" s="110"/>
      <c r="AK37" s="110"/>
      <c r="AL37" s="110"/>
      <c r="AM37" s="110"/>
      <c r="AN37" s="110"/>
      <c r="AO37" s="113"/>
      <c r="AP37" s="113"/>
      <c r="AQ37" s="338"/>
      <c r="AR37" s="110"/>
      <c r="AS37" s="113"/>
      <c r="AT37" s="113"/>
      <c r="AU37" s="112"/>
      <c r="AV37" s="338"/>
      <c r="AW37" s="110"/>
      <c r="AX37" s="110"/>
      <c r="AY37" s="113"/>
      <c r="AZ37" s="113"/>
      <c r="BA37" s="338"/>
      <c r="BB37" s="113"/>
      <c r="BC37" s="113"/>
      <c r="BD37" s="113"/>
      <c r="BF3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8" spans="1:58" x14ac:dyDescent="0.3">
      <c r="A38" s="422"/>
      <c r="B38" s="376"/>
      <c r="C38" s="110"/>
      <c r="D38" s="110"/>
      <c r="E38" s="340"/>
      <c r="F38" s="340"/>
      <c r="G38" s="338"/>
      <c r="H38" s="331"/>
      <c r="I38" s="113"/>
      <c r="J38" s="332"/>
      <c r="K38" s="110"/>
      <c r="L38" s="110"/>
      <c r="M38" s="110"/>
      <c r="N38" s="110"/>
      <c r="O38" s="111"/>
      <c r="P38" s="424" t="str">
        <f>IF(OR(Table13[[#This Row],[Annual Increase Option]]="No increase",Table13[[#This Row],[Annual Increase Option]]=""),"",_xlfn.XLOOKUP(MONTH(Table13[[#This Row],[Commencement Date]]),Lookups!$I$19:$I$30,Lookups!$J$19:$J$30,0))</f>
        <v/>
      </c>
      <c r="Q38" s="340"/>
      <c r="R38" s="340"/>
      <c r="S38" s="360">
        <f>IF(Table13[[#This Row],[Life Cover Amount]]="",0,Table2[[#This Row],[Life Premium]])</f>
        <v>0</v>
      </c>
      <c r="T38" s="360">
        <f>IF(Table13[[#This Row],[Funeral Cover Amount]]=0,0,Table2[[#This Row],[Funeral Premium]])</f>
        <v>0</v>
      </c>
      <c r="U38" s="360">
        <f>IF(AND(Table13[[#This Row],[Life Cover Amount]]="",Table13[[#This Row],[Funeral Cover Amount]]=""),0,onboarding_calcs!AA38)</f>
        <v>0</v>
      </c>
      <c r="V38" s="111"/>
      <c r="W38" s="111"/>
      <c r="X38" s="333"/>
      <c r="Y38" s="110"/>
      <c r="Z38" s="113"/>
      <c r="AA38" s="425"/>
      <c r="AB38" s="425"/>
      <c r="AC38" s="113"/>
      <c r="AD38" s="110"/>
      <c r="AE38" s="110"/>
      <c r="AF38" s="110"/>
      <c r="AG38" s="110"/>
      <c r="AH38" s="110"/>
      <c r="AI38" s="113"/>
      <c r="AJ38" s="110"/>
      <c r="AK38" s="110"/>
      <c r="AL38" s="110"/>
      <c r="AM38" s="110"/>
      <c r="AN38" s="110"/>
      <c r="AO38" s="113"/>
      <c r="AP38" s="113"/>
      <c r="AQ38" s="338"/>
      <c r="AR38" s="110"/>
      <c r="AS38" s="113"/>
      <c r="AT38" s="113"/>
      <c r="AU38" s="112"/>
      <c r="AV38" s="338"/>
      <c r="AW38" s="110"/>
      <c r="AX38" s="110"/>
      <c r="AY38" s="113"/>
      <c r="AZ38" s="113"/>
      <c r="BA38" s="338"/>
      <c r="BB38" s="113"/>
      <c r="BC38" s="113"/>
      <c r="BD38" s="113"/>
      <c r="BF3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9" spans="1:58" x14ac:dyDescent="0.3">
      <c r="A39" s="422"/>
      <c r="B39" s="376"/>
      <c r="C39" s="110"/>
      <c r="D39" s="110"/>
      <c r="E39" s="340"/>
      <c r="F39" s="340"/>
      <c r="G39" s="338"/>
      <c r="H39" s="331"/>
      <c r="I39" s="113"/>
      <c r="J39" s="332"/>
      <c r="K39" s="110"/>
      <c r="L39" s="110"/>
      <c r="M39" s="110"/>
      <c r="N39" s="110"/>
      <c r="O39" s="111"/>
      <c r="P39" s="424" t="str">
        <f>IF(OR(Table13[[#This Row],[Annual Increase Option]]="No increase",Table13[[#This Row],[Annual Increase Option]]=""),"",_xlfn.XLOOKUP(MONTH(Table13[[#This Row],[Commencement Date]]),Lookups!$I$19:$I$30,Lookups!$J$19:$J$30,0))</f>
        <v/>
      </c>
      <c r="Q39" s="340"/>
      <c r="R39" s="340"/>
      <c r="S39" s="360">
        <f>IF(Table13[[#This Row],[Life Cover Amount]]="",0,Table2[[#This Row],[Life Premium]])</f>
        <v>0</v>
      </c>
      <c r="T39" s="360">
        <f>IF(Table13[[#This Row],[Funeral Cover Amount]]=0,0,Table2[[#This Row],[Funeral Premium]])</f>
        <v>0</v>
      </c>
      <c r="U39" s="360">
        <f>IF(AND(Table13[[#This Row],[Life Cover Amount]]="",Table13[[#This Row],[Funeral Cover Amount]]=""),0,onboarding_calcs!AA39)</f>
        <v>0</v>
      </c>
      <c r="V39" s="111"/>
      <c r="W39" s="111"/>
      <c r="X39" s="333"/>
      <c r="Y39" s="110"/>
      <c r="Z39" s="113"/>
      <c r="AA39" s="425"/>
      <c r="AB39" s="425"/>
      <c r="AC39" s="113"/>
      <c r="AD39" s="110"/>
      <c r="AE39" s="110"/>
      <c r="AF39" s="110"/>
      <c r="AG39" s="110"/>
      <c r="AH39" s="110"/>
      <c r="AI39" s="113"/>
      <c r="AJ39" s="110"/>
      <c r="AK39" s="110"/>
      <c r="AL39" s="110"/>
      <c r="AM39" s="110"/>
      <c r="AN39" s="110"/>
      <c r="AO39" s="113"/>
      <c r="AP39" s="113"/>
      <c r="AQ39" s="338"/>
      <c r="AR39" s="110"/>
      <c r="AS39" s="113"/>
      <c r="AT39" s="113"/>
      <c r="AU39" s="112"/>
      <c r="AV39" s="338"/>
      <c r="AW39" s="110"/>
      <c r="AX39" s="110"/>
      <c r="AY39" s="113"/>
      <c r="AZ39" s="113"/>
      <c r="BA39" s="338"/>
      <c r="BB39" s="113"/>
      <c r="BC39" s="113"/>
      <c r="BD39" s="113"/>
      <c r="BF3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0" spans="1:58" x14ac:dyDescent="0.3">
      <c r="A40" s="422"/>
      <c r="B40" s="376"/>
      <c r="C40" s="110"/>
      <c r="D40" s="110"/>
      <c r="E40" s="340"/>
      <c r="F40" s="340"/>
      <c r="G40" s="338"/>
      <c r="H40" s="331"/>
      <c r="I40" s="113"/>
      <c r="J40" s="332"/>
      <c r="K40" s="110"/>
      <c r="L40" s="110"/>
      <c r="M40" s="110"/>
      <c r="N40" s="110"/>
      <c r="O40" s="111"/>
      <c r="P40" s="424" t="str">
        <f>IF(OR(Table13[[#This Row],[Annual Increase Option]]="No increase",Table13[[#This Row],[Annual Increase Option]]=""),"",_xlfn.XLOOKUP(MONTH(Table13[[#This Row],[Commencement Date]]),Lookups!$I$19:$I$30,Lookups!$J$19:$J$30,0))</f>
        <v/>
      </c>
      <c r="Q40" s="340"/>
      <c r="R40" s="340"/>
      <c r="S40" s="360">
        <f>IF(Table13[[#This Row],[Life Cover Amount]]="",0,Table2[[#This Row],[Life Premium]])</f>
        <v>0</v>
      </c>
      <c r="T40" s="360">
        <f>IF(Table13[[#This Row],[Funeral Cover Amount]]=0,0,Table2[[#This Row],[Funeral Premium]])</f>
        <v>0</v>
      </c>
      <c r="U40" s="360">
        <f>IF(AND(Table13[[#This Row],[Life Cover Amount]]="",Table13[[#This Row],[Funeral Cover Amount]]=""),0,onboarding_calcs!AA40)</f>
        <v>0</v>
      </c>
      <c r="V40" s="111"/>
      <c r="W40" s="111"/>
      <c r="X40" s="333"/>
      <c r="Y40" s="110"/>
      <c r="Z40" s="113"/>
      <c r="AA40" s="425"/>
      <c r="AB40" s="425"/>
      <c r="AC40" s="113"/>
      <c r="AD40" s="110"/>
      <c r="AE40" s="110"/>
      <c r="AF40" s="110"/>
      <c r="AG40" s="110"/>
      <c r="AH40" s="110"/>
      <c r="AI40" s="113"/>
      <c r="AJ40" s="110"/>
      <c r="AK40" s="110"/>
      <c r="AL40" s="110"/>
      <c r="AM40" s="110"/>
      <c r="AN40" s="110"/>
      <c r="AO40" s="113"/>
      <c r="AP40" s="113"/>
      <c r="AQ40" s="338"/>
      <c r="AR40" s="110"/>
      <c r="AS40" s="113"/>
      <c r="AT40" s="113"/>
      <c r="AU40" s="112"/>
      <c r="AV40" s="338"/>
      <c r="AW40" s="110"/>
      <c r="AX40" s="110"/>
      <c r="AY40" s="113"/>
      <c r="AZ40" s="113"/>
      <c r="BA40" s="338"/>
      <c r="BB40" s="113"/>
      <c r="BC40" s="113"/>
      <c r="BD40" s="113"/>
      <c r="BF4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1" spans="1:58" x14ac:dyDescent="0.3">
      <c r="A41" s="422"/>
      <c r="B41" s="376"/>
      <c r="C41" s="110"/>
      <c r="D41" s="110"/>
      <c r="E41" s="340"/>
      <c r="F41" s="340"/>
      <c r="G41" s="338"/>
      <c r="H41" s="331"/>
      <c r="I41" s="113"/>
      <c r="J41" s="332"/>
      <c r="K41" s="110"/>
      <c r="L41" s="110"/>
      <c r="M41" s="110"/>
      <c r="N41" s="110"/>
      <c r="O41" s="111"/>
      <c r="P41" s="424" t="str">
        <f>IF(OR(Table13[[#This Row],[Annual Increase Option]]="No increase",Table13[[#This Row],[Annual Increase Option]]=""),"",_xlfn.XLOOKUP(MONTH(Table13[[#This Row],[Commencement Date]]),Lookups!$I$19:$I$30,Lookups!$J$19:$J$30,0))</f>
        <v/>
      </c>
      <c r="Q41" s="340"/>
      <c r="R41" s="340"/>
      <c r="S41" s="360">
        <f>IF(Table13[[#This Row],[Life Cover Amount]]="",0,Table2[[#This Row],[Life Premium]])</f>
        <v>0</v>
      </c>
      <c r="T41" s="360">
        <f>IF(Table13[[#This Row],[Funeral Cover Amount]]=0,0,Table2[[#This Row],[Funeral Premium]])</f>
        <v>0</v>
      </c>
      <c r="U41" s="360">
        <f>IF(AND(Table13[[#This Row],[Life Cover Amount]]="",Table13[[#This Row],[Funeral Cover Amount]]=""),0,onboarding_calcs!AA41)</f>
        <v>0</v>
      </c>
      <c r="V41" s="111"/>
      <c r="W41" s="111"/>
      <c r="X41" s="333"/>
      <c r="Y41" s="110"/>
      <c r="Z41" s="113"/>
      <c r="AA41" s="425"/>
      <c r="AB41" s="425"/>
      <c r="AC41" s="113"/>
      <c r="AD41" s="110"/>
      <c r="AE41" s="110"/>
      <c r="AF41" s="110"/>
      <c r="AG41" s="110"/>
      <c r="AH41" s="110"/>
      <c r="AI41" s="113"/>
      <c r="AJ41" s="110"/>
      <c r="AK41" s="110"/>
      <c r="AL41" s="110"/>
      <c r="AM41" s="110"/>
      <c r="AN41" s="110"/>
      <c r="AO41" s="113"/>
      <c r="AP41" s="113"/>
      <c r="AQ41" s="338"/>
      <c r="AR41" s="110"/>
      <c r="AS41" s="113"/>
      <c r="AT41" s="113"/>
      <c r="AU41" s="112"/>
      <c r="AV41" s="338"/>
      <c r="AW41" s="110"/>
      <c r="AX41" s="110"/>
      <c r="AY41" s="113"/>
      <c r="AZ41" s="113"/>
      <c r="BA41" s="338"/>
      <c r="BB41" s="113"/>
      <c r="BC41" s="113"/>
      <c r="BD41" s="113"/>
      <c r="BF4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2" spans="1:58" x14ac:dyDescent="0.3">
      <c r="A42" s="422"/>
      <c r="B42" s="376"/>
      <c r="C42" s="110"/>
      <c r="D42" s="110"/>
      <c r="E42" s="340"/>
      <c r="F42" s="340"/>
      <c r="G42" s="338"/>
      <c r="H42" s="331"/>
      <c r="I42" s="113"/>
      <c r="J42" s="332"/>
      <c r="K42" s="110"/>
      <c r="L42" s="110"/>
      <c r="M42" s="110"/>
      <c r="N42" s="110"/>
      <c r="O42" s="111"/>
      <c r="P42" s="424" t="str">
        <f>IF(OR(Table13[[#This Row],[Annual Increase Option]]="No increase",Table13[[#This Row],[Annual Increase Option]]=""),"",_xlfn.XLOOKUP(MONTH(Table13[[#This Row],[Commencement Date]]),Lookups!$I$19:$I$30,Lookups!$J$19:$J$30,0))</f>
        <v/>
      </c>
      <c r="Q42" s="340"/>
      <c r="R42" s="340"/>
      <c r="S42" s="360">
        <f>IF(Table13[[#This Row],[Life Cover Amount]]="",0,Table2[[#This Row],[Life Premium]])</f>
        <v>0</v>
      </c>
      <c r="T42" s="360">
        <f>IF(Table13[[#This Row],[Funeral Cover Amount]]=0,0,Table2[[#This Row],[Funeral Premium]])</f>
        <v>0</v>
      </c>
      <c r="U42" s="360">
        <f>IF(AND(Table13[[#This Row],[Life Cover Amount]]="",Table13[[#This Row],[Funeral Cover Amount]]=""),0,onboarding_calcs!AA42)</f>
        <v>0</v>
      </c>
      <c r="V42" s="111"/>
      <c r="W42" s="111"/>
      <c r="X42" s="333"/>
      <c r="Y42" s="110"/>
      <c r="Z42" s="113"/>
      <c r="AA42" s="425"/>
      <c r="AB42" s="425"/>
      <c r="AC42" s="113"/>
      <c r="AD42" s="110"/>
      <c r="AE42" s="110"/>
      <c r="AF42" s="110"/>
      <c r="AG42" s="110"/>
      <c r="AH42" s="110"/>
      <c r="AI42" s="113"/>
      <c r="AJ42" s="110"/>
      <c r="AK42" s="110"/>
      <c r="AL42" s="110"/>
      <c r="AM42" s="110"/>
      <c r="AN42" s="110"/>
      <c r="AO42" s="113"/>
      <c r="AP42" s="113"/>
      <c r="AQ42" s="338"/>
      <c r="AR42" s="110"/>
      <c r="AS42" s="113"/>
      <c r="AT42" s="113"/>
      <c r="AU42" s="112"/>
      <c r="AV42" s="338"/>
      <c r="AW42" s="110"/>
      <c r="AX42" s="110"/>
      <c r="AY42" s="113"/>
      <c r="AZ42" s="113"/>
      <c r="BA42" s="338"/>
      <c r="BB42" s="113"/>
      <c r="BC42" s="113"/>
      <c r="BD42" s="113"/>
      <c r="BF4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3" spans="1:58" x14ac:dyDescent="0.3">
      <c r="A43" s="422"/>
      <c r="B43" s="376"/>
      <c r="C43" s="110"/>
      <c r="D43" s="110"/>
      <c r="E43" s="340"/>
      <c r="F43" s="340"/>
      <c r="G43" s="338"/>
      <c r="H43" s="331"/>
      <c r="I43" s="113"/>
      <c r="J43" s="332"/>
      <c r="K43" s="110"/>
      <c r="L43" s="110"/>
      <c r="M43" s="110"/>
      <c r="N43" s="110"/>
      <c r="O43" s="111"/>
      <c r="P43" s="424" t="str">
        <f>IF(OR(Table13[[#This Row],[Annual Increase Option]]="No increase",Table13[[#This Row],[Annual Increase Option]]=""),"",_xlfn.XLOOKUP(MONTH(Table13[[#This Row],[Commencement Date]]),Lookups!$I$19:$I$30,Lookups!$J$19:$J$30,0))</f>
        <v/>
      </c>
      <c r="Q43" s="340"/>
      <c r="R43" s="340"/>
      <c r="S43" s="360">
        <f>IF(Table13[[#This Row],[Life Cover Amount]]="",0,Table2[[#This Row],[Life Premium]])</f>
        <v>0</v>
      </c>
      <c r="T43" s="360">
        <f>IF(Table13[[#This Row],[Funeral Cover Amount]]=0,0,Table2[[#This Row],[Funeral Premium]])</f>
        <v>0</v>
      </c>
      <c r="U43" s="360">
        <f>IF(AND(Table13[[#This Row],[Life Cover Amount]]="",Table13[[#This Row],[Funeral Cover Amount]]=""),0,onboarding_calcs!AA43)</f>
        <v>0</v>
      </c>
      <c r="V43" s="111"/>
      <c r="W43" s="111"/>
      <c r="X43" s="333"/>
      <c r="Y43" s="110"/>
      <c r="Z43" s="113"/>
      <c r="AA43" s="425"/>
      <c r="AB43" s="425"/>
      <c r="AC43" s="113"/>
      <c r="AD43" s="110"/>
      <c r="AE43" s="110"/>
      <c r="AF43" s="110"/>
      <c r="AG43" s="110"/>
      <c r="AH43" s="110"/>
      <c r="AI43" s="113"/>
      <c r="AJ43" s="110"/>
      <c r="AK43" s="110"/>
      <c r="AL43" s="110"/>
      <c r="AM43" s="110"/>
      <c r="AN43" s="110"/>
      <c r="AO43" s="113"/>
      <c r="AP43" s="113"/>
      <c r="AQ43" s="338"/>
      <c r="AR43" s="110"/>
      <c r="AS43" s="113"/>
      <c r="AT43" s="113"/>
      <c r="AU43" s="112"/>
      <c r="AV43" s="338"/>
      <c r="AW43" s="110"/>
      <c r="AX43" s="110"/>
      <c r="AY43" s="113"/>
      <c r="AZ43" s="113"/>
      <c r="BA43" s="338"/>
      <c r="BB43" s="113"/>
      <c r="BC43" s="113"/>
      <c r="BD43" s="113"/>
      <c r="BF4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4" spans="1:58" x14ac:dyDescent="0.3">
      <c r="A44" s="422"/>
      <c r="B44" s="376"/>
      <c r="C44" s="110"/>
      <c r="D44" s="110"/>
      <c r="E44" s="340"/>
      <c r="F44" s="340"/>
      <c r="G44" s="338"/>
      <c r="H44" s="331"/>
      <c r="I44" s="113"/>
      <c r="J44" s="332"/>
      <c r="K44" s="110"/>
      <c r="L44" s="110"/>
      <c r="M44" s="110"/>
      <c r="N44" s="110"/>
      <c r="O44" s="111"/>
      <c r="P44" s="424" t="str">
        <f>IF(OR(Table13[[#This Row],[Annual Increase Option]]="No increase",Table13[[#This Row],[Annual Increase Option]]=""),"",_xlfn.XLOOKUP(MONTH(Table13[[#This Row],[Commencement Date]]),Lookups!$I$19:$I$30,Lookups!$J$19:$J$30,0))</f>
        <v/>
      </c>
      <c r="Q44" s="340"/>
      <c r="R44" s="340"/>
      <c r="S44" s="360">
        <f>IF(Table13[[#This Row],[Life Cover Amount]]="",0,Table2[[#This Row],[Life Premium]])</f>
        <v>0</v>
      </c>
      <c r="T44" s="360">
        <f>IF(Table13[[#This Row],[Funeral Cover Amount]]=0,0,Table2[[#This Row],[Funeral Premium]])</f>
        <v>0</v>
      </c>
      <c r="U44" s="360">
        <f>IF(AND(Table13[[#This Row],[Life Cover Amount]]="",Table13[[#This Row],[Funeral Cover Amount]]=""),0,onboarding_calcs!AA44)</f>
        <v>0</v>
      </c>
      <c r="V44" s="111"/>
      <c r="W44" s="111"/>
      <c r="X44" s="333"/>
      <c r="Y44" s="110"/>
      <c r="Z44" s="113"/>
      <c r="AA44" s="425"/>
      <c r="AB44" s="425"/>
      <c r="AC44" s="113"/>
      <c r="AD44" s="110"/>
      <c r="AE44" s="110"/>
      <c r="AF44" s="110"/>
      <c r="AG44" s="110"/>
      <c r="AH44" s="110"/>
      <c r="AI44" s="113"/>
      <c r="AJ44" s="110"/>
      <c r="AK44" s="110"/>
      <c r="AL44" s="110"/>
      <c r="AM44" s="110"/>
      <c r="AN44" s="110"/>
      <c r="AO44" s="113"/>
      <c r="AP44" s="113"/>
      <c r="AQ44" s="338"/>
      <c r="AR44" s="110"/>
      <c r="AS44" s="113"/>
      <c r="AT44" s="113"/>
      <c r="AU44" s="112"/>
      <c r="AV44" s="338"/>
      <c r="AW44" s="110"/>
      <c r="AX44" s="110"/>
      <c r="AY44" s="113"/>
      <c r="AZ44" s="113"/>
      <c r="BA44" s="338"/>
      <c r="BB44" s="113"/>
      <c r="BC44" s="113"/>
      <c r="BD44" s="113"/>
      <c r="BF4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5" spans="1:58" x14ac:dyDescent="0.3">
      <c r="A45" s="422"/>
      <c r="B45" s="376"/>
      <c r="C45" s="110"/>
      <c r="D45" s="110"/>
      <c r="E45" s="340"/>
      <c r="F45" s="340"/>
      <c r="G45" s="338"/>
      <c r="H45" s="331"/>
      <c r="I45" s="113"/>
      <c r="J45" s="332"/>
      <c r="K45" s="110"/>
      <c r="L45" s="110"/>
      <c r="M45" s="110"/>
      <c r="N45" s="110"/>
      <c r="O45" s="111"/>
      <c r="P45" s="424" t="str">
        <f>IF(OR(Table13[[#This Row],[Annual Increase Option]]="No increase",Table13[[#This Row],[Annual Increase Option]]=""),"",_xlfn.XLOOKUP(MONTH(Table13[[#This Row],[Commencement Date]]),Lookups!$I$19:$I$30,Lookups!$J$19:$J$30,0))</f>
        <v/>
      </c>
      <c r="Q45" s="340"/>
      <c r="R45" s="340"/>
      <c r="S45" s="360">
        <f>IF(Table13[[#This Row],[Life Cover Amount]]="",0,Table2[[#This Row],[Life Premium]])</f>
        <v>0</v>
      </c>
      <c r="T45" s="360">
        <f>IF(Table13[[#This Row],[Funeral Cover Amount]]=0,0,Table2[[#This Row],[Funeral Premium]])</f>
        <v>0</v>
      </c>
      <c r="U45" s="360">
        <f>IF(AND(Table13[[#This Row],[Life Cover Amount]]="",Table13[[#This Row],[Funeral Cover Amount]]=""),0,onboarding_calcs!AA45)</f>
        <v>0</v>
      </c>
      <c r="V45" s="111"/>
      <c r="W45" s="111"/>
      <c r="X45" s="333"/>
      <c r="Y45" s="110"/>
      <c r="Z45" s="113"/>
      <c r="AA45" s="425"/>
      <c r="AB45" s="425"/>
      <c r="AC45" s="113"/>
      <c r="AD45" s="110"/>
      <c r="AE45" s="110"/>
      <c r="AF45" s="110"/>
      <c r="AG45" s="110"/>
      <c r="AH45" s="110"/>
      <c r="AI45" s="113"/>
      <c r="AJ45" s="110"/>
      <c r="AK45" s="110"/>
      <c r="AL45" s="110"/>
      <c r="AM45" s="110"/>
      <c r="AN45" s="110"/>
      <c r="AO45" s="113"/>
      <c r="AP45" s="113"/>
      <c r="AQ45" s="338"/>
      <c r="AR45" s="110"/>
      <c r="AS45" s="113"/>
      <c r="AT45" s="113"/>
      <c r="AU45" s="112"/>
      <c r="AV45" s="338"/>
      <c r="AW45" s="110"/>
      <c r="AX45" s="110"/>
      <c r="AY45" s="113"/>
      <c r="AZ45" s="113"/>
      <c r="BA45" s="338"/>
      <c r="BB45" s="113"/>
      <c r="BC45" s="113"/>
      <c r="BD45" s="113"/>
      <c r="BF4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6" spans="1:58" x14ac:dyDescent="0.3">
      <c r="A46" s="422"/>
      <c r="B46" s="376"/>
      <c r="C46" s="110"/>
      <c r="D46" s="110"/>
      <c r="E46" s="340"/>
      <c r="F46" s="330"/>
      <c r="G46" s="338"/>
      <c r="H46" s="331"/>
      <c r="I46" s="113"/>
      <c r="J46" s="332"/>
      <c r="K46" s="110"/>
      <c r="L46" s="110"/>
      <c r="M46" s="110"/>
      <c r="N46" s="110"/>
      <c r="O46" s="111"/>
      <c r="P46" s="424" t="str">
        <f>IF(OR(Table13[[#This Row],[Annual Increase Option]]="No increase",Table13[[#This Row],[Annual Increase Option]]=""),"",_xlfn.XLOOKUP(MONTH(Table13[[#This Row],[Commencement Date]]),Lookups!$I$19:$I$30,Lookups!$J$19:$J$30,0))</f>
        <v/>
      </c>
      <c r="Q46" s="340"/>
      <c r="R46" s="340"/>
      <c r="S46" s="360">
        <f>IF(Table13[[#This Row],[Life Cover Amount]]="",0,Table2[[#This Row],[Life Premium]])</f>
        <v>0</v>
      </c>
      <c r="T46" s="360">
        <f>IF(Table13[[#This Row],[Funeral Cover Amount]]=0,0,Table2[[#This Row],[Funeral Premium]])</f>
        <v>0</v>
      </c>
      <c r="U46" s="360">
        <f>IF(AND(Table13[[#This Row],[Life Cover Amount]]="",Table13[[#This Row],[Funeral Cover Amount]]=""),0,onboarding_calcs!AA46)</f>
        <v>0</v>
      </c>
      <c r="V46" s="111"/>
      <c r="W46" s="111"/>
      <c r="X46" s="333"/>
      <c r="Y46" s="110"/>
      <c r="Z46" s="113"/>
      <c r="AA46" s="425"/>
      <c r="AB46" s="425"/>
      <c r="AC46" s="113"/>
      <c r="AD46" s="110"/>
      <c r="AE46" s="110"/>
      <c r="AF46" s="110"/>
      <c r="AG46" s="110"/>
      <c r="AH46" s="110"/>
      <c r="AI46" s="113"/>
      <c r="AJ46" s="110"/>
      <c r="AK46" s="110"/>
      <c r="AL46" s="110"/>
      <c r="AM46" s="110"/>
      <c r="AN46" s="110"/>
      <c r="AO46" s="113"/>
      <c r="AP46" s="113"/>
      <c r="AQ46" s="338"/>
      <c r="AR46" s="110"/>
      <c r="AS46" s="113"/>
      <c r="AT46" s="113"/>
      <c r="AU46" s="112"/>
      <c r="AV46" s="338"/>
      <c r="AW46" s="110"/>
      <c r="AX46" s="110"/>
      <c r="AY46" s="113"/>
      <c r="AZ46" s="113"/>
      <c r="BA46" s="338"/>
      <c r="BB46" s="113"/>
      <c r="BC46" s="113"/>
      <c r="BD46" s="113"/>
      <c r="BF4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7" spans="1:58" x14ac:dyDescent="0.3">
      <c r="A47" s="422"/>
      <c r="B47" s="376"/>
      <c r="C47" s="110"/>
      <c r="D47" s="110"/>
      <c r="E47" s="340"/>
      <c r="F47" s="330"/>
      <c r="G47" s="338"/>
      <c r="H47" s="331"/>
      <c r="I47" s="113"/>
      <c r="J47" s="332"/>
      <c r="K47" s="110"/>
      <c r="L47" s="110"/>
      <c r="M47" s="110"/>
      <c r="N47" s="110"/>
      <c r="O47" s="111"/>
      <c r="P47" s="424" t="str">
        <f>IF(OR(Table13[[#This Row],[Annual Increase Option]]="No increase",Table13[[#This Row],[Annual Increase Option]]=""),"",_xlfn.XLOOKUP(MONTH(Table13[[#This Row],[Commencement Date]]),Lookups!$I$19:$I$30,Lookups!$J$19:$J$30,0))</f>
        <v/>
      </c>
      <c r="Q47" s="340"/>
      <c r="R47" s="340"/>
      <c r="S47" s="360">
        <f>IF(Table13[[#This Row],[Life Cover Amount]]="",0,Table2[[#This Row],[Life Premium]])</f>
        <v>0</v>
      </c>
      <c r="T47" s="360">
        <f>IF(Table13[[#This Row],[Funeral Cover Amount]]=0,0,Table2[[#This Row],[Funeral Premium]])</f>
        <v>0</v>
      </c>
      <c r="U47" s="360">
        <f>IF(AND(Table13[[#This Row],[Life Cover Amount]]="",Table13[[#This Row],[Funeral Cover Amount]]=""),0,onboarding_calcs!AA47)</f>
        <v>0</v>
      </c>
      <c r="V47" s="111"/>
      <c r="W47" s="111"/>
      <c r="X47" s="333"/>
      <c r="Y47" s="110"/>
      <c r="Z47" s="113"/>
      <c r="AA47" s="425"/>
      <c r="AB47" s="425"/>
      <c r="AC47" s="113"/>
      <c r="AD47" s="110"/>
      <c r="AE47" s="110"/>
      <c r="AF47" s="110"/>
      <c r="AG47" s="110"/>
      <c r="AH47" s="110"/>
      <c r="AI47" s="113"/>
      <c r="AJ47" s="110"/>
      <c r="AK47" s="110"/>
      <c r="AL47" s="110"/>
      <c r="AM47" s="110"/>
      <c r="AN47" s="110"/>
      <c r="AO47" s="113"/>
      <c r="AP47" s="113"/>
      <c r="AQ47" s="338"/>
      <c r="AR47" s="110"/>
      <c r="AS47" s="113"/>
      <c r="AT47" s="113"/>
      <c r="AU47" s="112"/>
      <c r="AV47" s="338"/>
      <c r="AW47" s="110"/>
      <c r="AX47" s="110"/>
      <c r="AY47" s="113"/>
      <c r="AZ47" s="113"/>
      <c r="BA47" s="338"/>
      <c r="BB47" s="113"/>
      <c r="BC47" s="113"/>
      <c r="BD47" s="113"/>
      <c r="BF4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8" spans="1:58" x14ac:dyDescent="0.3">
      <c r="A48" s="422"/>
      <c r="B48" s="376"/>
      <c r="C48" s="110"/>
      <c r="D48" s="110"/>
      <c r="E48" s="340"/>
      <c r="F48" s="330"/>
      <c r="G48" s="338"/>
      <c r="H48" s="331"/>
      <c r="I48" s="113"/>
      <c r="J48" s="332"/>
      <c r="K48" s="110"/>
      <c r="L48" s="110"/>
      <c r="M48" s="110"/>
      <c r="N48" s="110"/>
      <c r="O48" s="111"/>
      <c r="P48" s="424" t="str">
        <f>IF(OR(Table13[[#This Row],[Annual Increase Option]]="No increase",Table13[[#This Row],[Annual Increase Option]]=""),"",_xlfn.XLOOKUP(MONTH(Table13[[#This Row],[Commencement Date]]),Lookups!$I$19:$I$30,Lookups!$J$19:$J$30,0))</f>
        <v/>
      </c>
      <c r="Q48" s="340"/>
      <c r="R48" s="340"/>
      <c r="S48" s="360">
        <f>IF(Table13[[#This Row],[Life Cover Amount]]="",0,Table2[[#This Row],[Life Premium]])</f>
        <v>0</v>
      </c>
      <c r="T48" s="360">
        <f>IF(Table13[[#This Row],[Funeral Cover Amount]]=0,0,Table2[[#This Row],[Funeral Premium]])</f>
        <v>0</v>
      </c>
      <c r="U48" s="360">
        <f>IF(AND(Table13[[#This Row],[Life Cover Amount]]="",Table13[[#This Row],[Funeral Cover Amount]]=""),0,onboarding_calcs!AA48)</f>
        <v>0</v>
      </c>
      <c r="V48" s="111"/>
      <c r="W48" s="111"/>
      <c r="X48" s="333"/>
      <c r="Y48" s="110"/>
      <c r="Z48" s="113"/>
      <c r="AA48" s="425"/>
      <c r="AB48" s="425"/>
      <c r="AC48" s="113"/>
      <c r="AD48" s="110"/>
      <c r="AE48" s="110"/>
      <c r="AF48" s="110"/>
      <c r="AG48" s="110"/>
      <c r="AH48" s="110"/>
      <c r="AI48" s="113"/>
      <c r="AJ48" s="110"/>
      <c r="AK48" s="110"/>
      <c r="AL48" s="110"/>
      <c r="AM48" s="110"/>
      <c r="AN48" s="110"/>
      <c r="AO48" s="113"/>
      <c r="AP48" s="113"/>
      <c r="AQ48" s="338"/>
      <c r="AR48" s="110"/>
      <c r="AS48" s="113"/>
      <c r="AT48" s="113"/>
      <c r="AU48" s="112"/>
      <c r="AV48" s="338"/>
      <c r="AW48" s="110"/>
      <c r="AX48" s="110"/>
      <c r="AY48" s="113"/>
      <c r="AZ48" s="113"/>
      <c r="BA48" s="338"/>
      <c r="BB48" s="113"/>
      <c r="BC48" s="113"/>
      <c r="BD48" s="113"/>
      <c r="BF4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9" spans="1:58" x14ac:dyDescent="0.3">
      <c r="A49" s="422"/>
      <c r="B49" s="376"/>
      <c r="C49" s="110"/>
      <c r="D49" s="110"/>
      <c r="E49" s="340"/>
      <c r="F49" s="330"/>
      <c r="G49" s="338"/>
      <c r="H49" s="331"/>
      <c r="I49" s="113"/>
      <c r="J49" s="332"/>
      <c r="K49" s="110"/>
      <c r="L49" s="110"/>
      <c r="M49" s="110"/>
      <c r="N49" s="110"/>
      <c r="O49" s="111"/>
      <c r="P49" s="424" t="str">
        <f>IF(OR(Table13[[#This Row],[Annual Increase Option]]="No increase",Table13[[#This Row],[Annual Increase Option]]=""),"",_xlfn.XLOOKUP(MONTH(Table13[[#This Row],[Commencement Date]]),Lookups!$I$19:$I$30,Lookups!$J$19:$J$30,0))</f>
        <v/>
      </c>
      <c r="Q49" s="340"/>
      <c r="R49" s="340"/>
      <c r="S49" s="360">
        <f>IF(Table13[[#This Row],[Life Cover Amount]]="",0,Table2[[#This Row],[Life Premium]])</f>
        <v>0</v>
      </c>
      <c r="T49" s="360">
        <f>IF(Table13[[#This Row],[Funeral Cover Amount]]=0,0,Table2[[#This Row],[Funeral Premium]])</f>
        <v>0</v>
      </c>
      <c r="U49" s="360">
        <f>IF(AND(Table13[[#This Row],[Life Cover Amount]]="",Table13[[#This Row],[Funeral Cover Amount]]=""),0,onboarding_calcs!AA49)</f>
        <v>0</v>
      </c>
      <c r="V49" s="111"/>
      <c r="W49" s="111"/>
      <c r="X49" s="333"/>
      <c r="Y49" s="110"/>
      <c r="Z49" s="113"/>
      <c r="AA49" s="425"/>
      <c r="AB49" s="425"/>
      <c r="AC49" s="113"/>
      <c r="AD49" s="110"/>
      <c r="AE49" s="110"/>
      <c r="AF49" s="110"/>
      <c r="AG49" s="110"/>
      <c r="AH49" s="110"/>
      <c r="AI49" s="113"/>
      <c r="AJ49" s="110"/>
      <c r="AK49" s="110"/>
      <c r="AL49" s="110"/>
      <c r="AM49" s="110"/>
      <c r="AN49" s="110"/>
      <c r="AO49" s="113"/>
      <c r="AP49" s="113"/>
      <c r="AQ49" s="338"/>
      <c r="AR49" s="110"/>
      <c r="AS49" s="113"/>
      <c r="AT49" s="113"/>
      <c r="AU49" s="112"/>
      <c r="AV49" s="338"/>
      <c r="AW49" s="110"/>
      <c r="AX49" s="110"/>
      <c r="AY49" s="113"/>
      <c r="AZ49" s="113"/>
      <c r="BA49" s="338"/>
      <c r="BB49" s="113"/>
      <c r="BC49" s="113"/>
      <c r="BD49" s="113"/>
      <c r="BF4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0" spans="1:58" x14ac:dyDescent="0.3">
      <c r="A50" s="422"/>
      <c r="B50" s="376"/>
      <c r="C50" s="110"/>
      <c r="D50" s="110"/>
      <c r="E50" s="340"/>
      <c r="F50" s="340"/>
      <c r="G50" s="338"/>
      <c r="H50" s="331"/>
      <c r="I50" s="113"/>
      <c r="J50" s="332"/>
      <c r="K50" s="110"/>
      <c r="L50" s="110"/>
      <c r="M50" s="110"/>
      <c r="N50" s="110"/>
      <c r="O50" s="111"/>
      <c r="P50" s="424" t="str">
        <f>IF(OR(Table13[[#This Row],[Annual Increase Option]]="No increase",Table13[[#This Row],[Annual Increase Option]]=""),"",_xlfn.XLOOKUP(MONTH(Table13[[#This Row],[Commencement Date]]),Lookups!$I$19:$I$30,Lookups!$J$19:$J$30,0))</f>
        <v/>
      </c>
      <c r="Q50" s="340"/>
      <c r="R50" s="340"/>
      <c r="S50" s="360">
        <f>IF(Table13[[#This Row],[Life Cover Amount]]="",0,Table2[[#This Row],[Life Premium]])</f>
        <v>0</v>
      </c>
      <c r="T50" s="360">
        <f>IF(Table13[[#This Row],[Funeral Cover Amount]]=0,0,Table2[[#This Row],[Funeral Premium]])</f>
        <v>0</v>
      </c>
      <c r="U50" s="360">
        <f>IF(AND(Table13[[#This Row],[Life Cover Amount]]="",Table13[[#This Row],[Funeral Cover Amount]]=""),0,onboarding_calcs!AA50)</f>
        <v>0</v>
      </c>
      <c r="V50" s="111"/>
      <c r="W50" s="111"/>
      <c r="X50" s="333"/>
      <c r="Y50" s="110"/>
      <c r="Z50" s="113"/>
      <c r="AA50" s="425"/>
      <c r="AB50" s="425"/>
      <c r="AC50" s="113"/>
      <c r="AD50" s="110"/>
      <c r="AE50" s="110"/>
      <c r="AF50" s="110"/>
      <c r="AG50" s="110"/>
      <c r="AH50" s="110"/>
      <c r="AI50" s="113"/>
      <c r="AJ50" s="110"/>
      <c r="AK50" s="110"/>
      <c r="AL50" s="110"/>
      <c r="AM50" s="110"/>
      <c r="AN50" s="110"/>
      <c r="AO50" s="113"/>
      <c r="AP50" s="113"/>
      <c r="AQ50" s="338"/>
      <c r="AR50" s="110"/>
      <c r="AS50" s="113"/>
      <c r="AT50" s="113"/>
      <c r="AU50" s="112"/>
      <c r="AV50" s="338"/>
      <c r="AW50" s="110"/>
      <c r="AX50" s="110"/>
      <c r="AY50" s="113"/>
      <c r="AZ50" s="113"/>
      <c r="BA50" s="338"/>
      <c r="BB50" s="113"/>
      <c r="BC50" s="113"/>
      <c r="BD50" s="113"/>
      <c r="BF5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1" spans="1:58" x14ac:dyDescent="0.3">
      <c r="A51" s="422"/>
      <c r="B51" s="376"/>
      <c r="C51" s="110"/>
      <c r="D51" s="110"/>
      <c r="E51" s="340"/>
      <c r="F51" s="340"/>
      <c r="G51" s="113"/>
      <c r="H51" s="331"/>
      <c r="I51" s="113"/>
      <c r="J51" s="332"/>
      <c r="K51" s="110"/>
      <c r="L51" s="110"/>
      <c r="M51" s="110"/>
      <c r="N51" s="110"/>
      <c r="O51" s="111"/>
      <c r="P51" s="424" t="str">
        <f>IF(OR(Table13[[#This Row],[Annual Increase Option]]="No increase",Table13[[#This Row],[Annual Increase Option]]=""),"",_xlfn.XLOOKUP(MONTH(Table13[[#This Row],[Commencement Date]]),Lookups!$I$19:$I$30,Lookups!$J$19:$J$30,0))</f>
        <v/>
      </c>
      <c r="Q51" s="340"/>
      <c r="R51" s="340"/>
      <c r="S51" s="360">
        <f>IF(Table13[[#This Row],[Life Cover Amount]]="",0,Table2[[#This Row],[Life Premium]])</f>
        <v>0</v>
      </c>
      <c r="T51" s="360">
        <f>IF(Table13[[#This Row],[Funeral Cover Amount]]=0,0,Table2[[#This Row],[Funeral Premium]])</f>
        <v>0</v>
      </c>
      <c r="U51" s="360">
        <f>IF(AND(Table13[[#This Row],[Life Cover Amount]]="",Table13[[#This Row],[Funeral Cover Amount]]=""),0,onboarding_calcs!AA51)</f>
        <v>0</v>
      </c>
      <c r="V51" s="111"/>
      <c r="W51" s="111"/>
      <c r="X51" s="333"/>
      <c r="Y51" s="110"/>
      <c r="Z51" s="113"/>
      <c r="AA51" s="425"/>
      <c r="AB51" s="425"/>
      <c r="AC51" s="113"/>
      <c r="AD51" s="110"/>
      <c r="AE51" s="110"/>
      <c r="AF51" s="110"/>
      <c r="AG51" s="110"/>
      <c r="AH51" s="110"/>
      <c r="AI51" s="113"/>
      <c r="AJ51" s="110"/>
      <c r="AK51" s="110"/>
      <c r="AL51" s="110"/>
      <c r="AM51" s="110"/>
      <c r="AN51" s="110"/>
      <c r="AO51" s="113"/>
      <c r="AP51" s="113"/>
      <c r="AQ51" s="113"/>
      <c r="AR51" s="110"/>
      <c r="AS51" s="113"/>
      <c r="AT51" s="113"/>
      <c r="AU51" s="112"/>
      <c r="AV51" s="338"/>
      <c r="AW51" s="110"/>
      <c r="AX51" s="110"/>
      <c r="AY51" s="113"/>
      <c r="AZ51" s="113"/>
      <c r="BA51" s="113"/>
      <c r="BB51" s="113"/>
      <c r="BC51" s="113"/>
      <c r="BD51" s="113"/>
      <c r="BF5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2" spans="1:58" x14ac:dyDescent="0.3">
      <c r="A52" s="422"/>
      <c r="B52" s="376"/>
      <c r="C52" s="110"/>
      <c r="D52" s="110"/>
      <c r="E52" s="340"/>
      <c r="F52" s="330"/>
      <c r="G52" s="113"/>
      <c r="H52" s="331"/>
      <c r="I52" s="113"/>
      <c r="J52" s="332"/>
      <c r="K52" s="110"/>
      <c r="L52" s="110"/>
      <c r="M52" s="110"/>
      <c r="N52" s="110"/>
      <c r="O52" s="111"/>
      <c r="P52" s="424" t="str">
        <f>IF(OR(Table13[[#This Row],[Annual Increase Option]]="No increase",Table13[[#This Row],[Annual Increase Option]]=""),"",_xlfn.XLOOKUP(MONTH(Table13[[#This Row],[Commencement Date]]),Lookups!$I$19:$I$30,Lookups!$J$19:$J$30,0))</f>
        <v/>
      </c>
      <c r="Q52" s="340"/>
      <c r="R52" s="340"/>
      <c r="S52" s="360">
        <f>IF(Table13[[#This Row],[Life Cover Amount]]="",0,Table2[[#This Row],[Life Premium]])</f>
        <v>0</v>
      </c>
      <c r="T52" s="360">
        <f>IF(Table13[[#This Row],[Funeral Cover Amount]]=0,0,Table2[[#This Row],[Funeral Premium]])</f>
        <v>0</v>
      </c>
      <c r="U52" s="360">
        <f>IF(AND(Table13[[#This Row],[Life Cover Amount]]="",Table13[[#This Row],[Funeral Cover Amount]]=""),0,onboarding_calcs!AA52)</f>
        <v>0</v>
      </c>
      <c r="V52" s="111"/>
      <c r="W52" s="111"/>
      <c r="X52" s="333"/>
      <c r="Y52" s="110"/>
      <c r="Z52" s="113"/>
      <c r="AA52" s="425"/>
      <c r="AB52" s="425"/>
      <c r="AC52" s="113"/>
      <c r="AD52" s="110"/>
      <c r="AE52" s="110"/>
      <c r="AF52" s="110"/>
      <c r="AG52" s="110"/>
      <c r="AH52" s="110"/>
      <c r="AI52" s="113"/>
      <c r="AJ52" s="110"/>
      <c r="AK52" s="110"/>
      <c r="AL52" s="110"/>
      <c r="AM52" s="110"/>
      <c r="AN52" s="110"/>
      <c r="AO52" s="113"/>
      <c r="AP52" s="113"/>
      <c r="AQ52" s="113"/>
      <c r="AR52" s="110"/>
      <c r="AS52" s="113"/>
      <c r="AT52" s="113"/>
      <c r="AU52" s="112"/>
      <c r="AV52" s="338"/>
      <c r="AW52" s="110"/>
      <c r="AX52" s="110"/>
      <c r="AY52" s="113"/>
      <c r="AZ52" s="113"/>
      <c r="BA52" s="113"/>
      <c r="BB52" s="113"/>
      <c r="BC52" s="113"/>
      <c r="BD52" s="113"/>
      <c r="BF5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3" spans="1:58" x14ac:dyDescent="0.3">
      <c r="A53" s="422"/>
      <c r="B53" s="376"/>
      <c r="C53" s="110"/>
      <c r="D53" s="110"/>
      <c r="E53" s="340"/>
      <c r="F53" s="330"/>
      <c r="G53" s="113"/>
      <c r="H53" s="332"/>
      <c r="I53" s="113"/>
      <c r="J53" s="332"/>
      <c r="K53" s="110"/>
      <c r="L53" s="110"/>
      <c r="M53" s="110"/>
      <c r="N53" s="110"/>
      <c r="O53" s="111"/>
      <c r="P53" s="424" t="str">
        <f>IF(OR(Table13[[#This Row],[Annual Increase Option]]="No increase",Table13[[#This Row],[Annual Increase Option]]=""),"",_xlfn.XLOOKUP(MONTH(Table13[[#This Row],[Commencement Date]]),Lookups!$I$19:$I$30,Lookups!$J$19:$J$30,0))</f>
        <v/>
      </c>
      <c r="Q53" s="340"/>
      <c r="R53" s="340"/>
      <c r="S53" s="360">
        <f>IF(Table13[[#This Row],[Life Cover Amount]]="",0,Table2[[#This Row],[Life Premium]])</f>
        <v>0</v>
      </c>
      <c r="T53" s="360">
        <f>IF(Table13[[#This Row],[Funeral Cover Amount]]=0,0,Table2[[#This Row],[Funeral Premium]])</f>
        <v>0</v>
      </c>
      <c r="U53" s="360">
        <f>IF(AND(Table13[[#This Row],[Life Cover Amount]]="",Table13[[#This Row],[Funeral Cover Amount]]=""),0,onboarding_calcs!AA53)</f>
        <v>0</v>
      </c>
      <c r="V53" s="111"/>
      <c r="W53" s="111"/>
      <c r="X53" s="333"/>
      <c r="Y53" s="110"/>
      <c r="Z53" s="113"/>
      <c r="AA53" s="425"/>
      <c r="AB53" s="425"/>
      <c r="AC53" s="113"/>
      <c r="AD53" s="110"/>
      <c r="AE53" s="110"/>
      <c r="AF53" s="110"/>
      <c r="AG53" s="110"/>
      <c r="AH53" s="110"/>
      <c r="AI53" s="113"/>
      <c r="AJ53" s="110"/>
      <c r="AK53" s="110"/>
      <c r="AL53" s="110"/>
      <c r="AM53" s="110"/>
      <c r="AN53" s="110"/>
      <c r="AO53" s="113"/>
      <c r="AP53" s="113"/>
      <c r="AQ53" s="113"/>
      <c r="AR53" s="110"/>
      <c r="AS53" s="113"/>
      <c r="AT53" s="113"/>
      <c r="AU53" s="112"/>
      <c r="AV53" s="338"/>
      <c r="AW53" s="110"/>
      <c r="AX53" s="110"/>
      <c r="AY53" s="113"/>
      <c r="AZ53" s="113"/>
      <c r="BA53" s="113"/>
      <c r="BB53" s="113"/>
      <c r="BC53" s="113"/>
      <c r="BD53" s="113"/>
      <c r="BF5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4" spans="1:58" x14ac:dyDescent="0.3">
      <c r="A54" s="422"/>
      <c r="B54" s="376"/>
      <c r="C54" s="110"/>
      <c r="D54" s="110"/>
      <c r="E54" s="340"/>
      <c r="F54" s="330"/>
      <c r="G54" s="113"/>
      <c r="H54" s="332"/>
      <c r="I54" s="113"/>
      <c r="J54" s="332"/>
      <c r="K54" s="110"/>
      <c r="L54" s="110"/>
      <c r="M54" s="110"/>
      <c r="N54" s="110"/>
      <c r="O54" s="111"/>
      <c r="P54" s="424" t="str">
        <f>IF(OR(Table13[[#This Row],[Annual Increase Option]]="No increase",Table13[[#This Row],[Annual Increase Option]]=""),"",_xlfn.XLOOKUP(MONTH(Table13[[#This Row],[Commencement Date]]),Lookups!$I$19:$I$30,Lookups!$J$19:$J$30,0))</f>
        <v/>
      </c>
      <c r="Q54" s="340"/>
      <c r="R54" s="340"/>
      <c r="S54" s="360">
        <f>IF(Table13[[#This Row],[Life Cover Amount]]="",0,Table2[[#This Row],[Life Premium]])</f>
        <v>0</v>
      </c>
      <c r="T54" s="360">
        <f>IF(Table13[[#This Row],[Funeral Cover Amount]]=0,0,Table2[[#This Row],[Funeral Premium]])</f>
        <v>0</v>
      </c>
      <c r="U54" s="360">
        <f>IF(AND(Table13[[#This Row],[Life Cover Amount]]="",Table13[[#This Row],[Funeral Cover Amount]]=""),0,onboarding_calcs!AA54)</f>
        <v>0</v>
      </c>
      <c r="V54" s="111"/>
      <c r="W54" s="111"/>
      <c r="X54" s="333"/>
      <c r="Y54" s="110"/>
      <c r="Z54" s="113"/>
      <c r="AA54" s="425"/>
      <c r="AB54" s="425"/>
      <c r="AC54" s="113"/>
      <c r="AD54" s="110"/>
      <c r="AE54" s="110"/>
      <c r="AF54" s="110"/>
      <c r="AG54" s="110"/>
      <c r="AH54" s="110"/>
      <c r="AI54" s="113"/>
      <c r="AJ54" s="110"/>
      <c r="AK54" s="110"/>
      <c r="AL54" s="110"/>
      <c r="AM54" s="110"/>
      <c r="AN54" s="110"/>
      <c r="AO54" s="113"/>
      <c r="AP54" s="113"/>
      <c r="AQ54" s="113"/>
      <c r="AR54" s="110"/>
      <c r="AS54" s="113"/>
      <c r="AT54" s="113"/>
      <c r="AU54" s="112"/>
      <c r="AV54" s="338"/>
      <c r="AW54" s="110"/>
      <c r="AX54" s="110"/>
      <c r="AY54" s="113"/>
      <c r="AZ54" s="113"/>
      <c r="BA54" s="113"/>
      <c r="BB54" s="113"/>
      <c r="BC54" s="113"/>
      <c r="BD54" s="113"/>
      <c r="BF5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5" spans="1:58" x14ac:dyDescent="0.3">
      <c r="A55" s="422"/>
      <c r="B55" s="376"/>
      <c r="C55" s="110"/>
      <c r="D55" s="110"/>
      <c r="E55" s="340"/>
      <c r="F55" s="330"/>
      <c r="G55" s="113"/>
      <c r="H55" s="332"/>
      <c r="I55" s="113"/>
      <c r="J55" s="332"/>
      <c r="K55" s="110"/>
      <c r="L55" s="110"/>
      <c r="M55" s="110"/>
      <c r="N55" s="110"/>
      <c r="O55" s="111"/>
      <c r="P55" s="424" t="str">
        <f>IF(OR(Table13[[#This Row],[Annual Increase Option]]="No increase",Table13[[#This Row],[Annual Increase Option]]=""),"",_xlfn.XLOOKUP(MONTH(Table13[[#This Row],[Commencement Date]]),Lookups!$I$19:$I$30,Lookups!$J$19:$J$30,0))</f>
        <v/>
      </c>
      <c r="Q55" s="340"/>
      <c r="R55" s="340"/>
      <c r="S55" s="360">
        <f>IF(Table13[[#This Row],[Life Cover Amount]]="",0,Table2[[#This Row],[Life Premium]])</f>
        <v>0</v>
      </c>
      <c r="T55" s="360">
        <f>IF(Table13[[#This Row],[Funeral Cover Amount]]=0,0,Table2[[#This Row],[Funeral Premium]])</f>
        <v>0</v>
      </c>
      <c r="U55" s="360">
        <f>IF(AND(Table13[[#This Row],[Life Cover Amount]]="",Table13[[#This Row],[Funeral Cover Amount]]=""),0,onboarding_calcs!AA55)</f>
        <v>0</v>
      </c>
      <c r="V55" s="111"/>
      <c r="W55" s="111"/>
      <c r="X55" s="333"/>
      <c r="Y55" s="110"/>
      <c r="Z55" s="113"/>
      <c r="AA55" s="425"/>
      <c r="AB55" s="425"/>
      <c r="AC55" s="113"/>
      <c r="AD55" s="110"/>
      <c r="AE55" s="110"/>
      <c r="AF55" s="110"/>
      <c r="AG55" s="110"/>
      <c r="AH55" s="110"/>
      <c r="AI55" s="113"/>
      <c r="AJ55" s="110"/>
      <c r="AK55" s="110"/>
      <c r="AL55" s="110"/>
      <c r="AM55" s="110"/>
      <c r="AN55" s="110"/>
      <c r="AO55" s="113"/>
      <c r="AP55" s="113"/>
      <c r="AQ55" s="113"/>
      <c r="AR55" s="110"/>
      <c r="AS55" s="113"/>
      <c r="AT55" s="113"/>
      <c r="AU55" s="112"/>
      <c r="AV55" s="338"/>
      <c r="AW55" s="110"/>
      <c r="AX55" s="110"/>
      <c r="AY55" s="113"/>
      <c r="AZ55" s="113"/>
      <c r="BA55" s="113"/>
      <c r="BB55" s="113"/>
      <c r="BC55" s="113"/>
      <c r="BD55" s="113"/>
      <c r="BF5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6" spans="1:58" x14ac:dyDescent="0.3">
      <c r="A56" s="422"/>
      <c r="B56" s="376"/>
      <c r="C56" s="110"/>
      <c r="D56" s="110"/>
      <c r="E56" s="340"/>
      <c r="F56" s="330"/>
      <c r="G56" s="113"/>
      <c r="H56" s="332"/>
      <c r="I56" s="113"/>
      <c r="J56" s="332"/>
      <c r="K56" s="110"/>
      <c r="L56" s="110"/>
      <c r="M56" s="110"/>
      <c r="N56" s="110"/>
      <c r="O56" s="111"/>
      <c r="P56" s="424" t="str">
        <f>IF(OR(Table13[[#This Row],[Annual Increase Option]]="No increase",Table13[[#This Row],[Annual Increase Option]]=""),"",_xlfn.XLOOKUP(MONTH(Table13[[#This Row],[Commencement Date]]),Lookups!$I$19:$I$30,Lookups!$J$19:$J$30,0))</f>
        <v/>
      </c>
      <c r="Q56" s="340"/>
      <c r="R56" s="340"/>
      <c r="S56" s="360">
        <f>IF(Table13[[#This Row],[Life Cover Amount]]="",0,Table2[[#This Row],[Life Premium]])</f>
        <v>0</v>
      </c>
      <c r="T56" s="360">
        <f>IF(Table13[[#This Row],[Funeral Cover Amount]]=0,0,Table2[[#This Row],[Funeral Premium]])</f>
        <v>0</v>
      </c>
      <c r="U56" s="360">
        <f>IF(AND(Table13[[#This Row],[Life Cover Amount]]="",Table13[[#This Row],[Funeral Cover Amount]]=""),0,onboarding_calcs!AA56)</f>
        <v>0</v>
      </c>
      <c r="V56" s="111"/>
      <c r="W56" s="111"/>
      <c r="X56" s="333"/>
      <c r="Y56" s="110"/>
      <c r="Z56" s="113"/>
      <c r="AA56" s="425"/>
      <c r="AB56" s="425"/>
      <c r="AC56" s="113"/>
      <c r="AD56" s="110"/>
      <c r="AE56" s="110"/>
      <c r="AF56" s="110"/>
      <c r="AG56" s="110"/>
      <c r="AH56" s="110"/>
      <c r="AI56" s="113"/>
      <c r="AJ56" s="110"/>
      <c r="AK56" s="110"/>
      <c r="AL56" s="110"/>
      <c r="AM56" s="110"/>
      <c r="AN56" s="110"/>
      <c r="AO56" s="113"/>
      <c r="AP56" s="113"/>
      <c r="AQ56" s="113"/>
      <c r="AR56" s="110"/>
      <c r="AS56" s="113"/>
      <c r="AT56" s="113"/>
      <c r="AU56" s="112"/>
      <c r="AV56" s="338"/>
      <c r="AW56" s="110"/>
      <c r="AX56" s="110"/>
      <c r="AY56" s="113"/>
      <c r="AZ56" s="113"/>
      <c r="BA56" s="113"/>
      <c r="BB56" s="113"/>
      <c r="BC56" s="113"/>
      <c r="BD56" s="113"/>
      <c r="BF5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7" spans="1:58" x14ac:dyDescent="0.3">
      <c r="A57" s="422"/>
      <c r="B57" s="376"/>
      <c r="C57" s="110"/>
      <c r="D57" s="110"/>
      <c r="E57" s="340"/>
      <c r="F57" s="330"/>
      <c r="G57" s="113"/>
      <c r="H57" s="332"/>
      <c r="I57" s="113"/>
      <c r="J57" s="332"/>
      <c r="K57" s="110"/>
      <c r="L57" s="110"/>
      <c r="M57" s="110"/>
      <c r="N57" s="110"/>
      <c r="O57" s="111"/>
      <c r="P57" s="424" t="str">
        <f>IF(OR(Table13[[#This Row],[Annual Increase Option]]="No increase",Table13[[#This Row],[Annual Increase Option]]=""),"",_xlfn.XLOOKUP(MONTH(Table13[[#This Row],[Commencement Date]]),Lookups!$I$19:$I$30,Lookups!$J$19:$J$30,0))</f>
        <v/>
      </c>
      <c r="Q57" s="340"/>
      <c r="R57" s="340"/>
      <c r="S57" s="360">
        <f>IF(Table13[[#This Row],[Life Cover Amount]]="",0,Table2[[#This Row],[Life Premium]])</f>
        <v>0</v>
      </c>
      <c r="T57" s="360">
        <f>IF(Table13[[#This Row],[Funeral Cover Amount]]=0,0,Table2[[#This Row],[Funeral Premium]])</f>
        <v>0</v>
      </c>
      <c r="U57" s="360">
        <f>IF(AND(Table13[[#This Row],[Life Cover Amount]]="",Table13[[#This Row],[Funeral Cover Amount]]=""),0,onboarding_calcs!AA57)</f>
        <v>0</v>
      </c>
      <c r="V57" s="111"/>
      <c r="W57" s="111"/>
      <c r="X57" s="333"/>
      <c r="Y57" s="110"/>
      <c r="Z57" s="113"/>
      <c r="AA57" s="425"/>
      <c r="AB57" s="425"/>
      <c r="AC57" s="113"/>
      <c r="AD57" s="110"/>
      <c r="AE57" s="110"/>
      <c r="AF57" s="110"/>
      <c r="AG57" s="110"/>
      <c r="AH57" s="110"/>
      <c r="AI57" s="113"/>
      <c r="AJ57" s="110"/>
      <c r="AK57" s="110"/>
      <c r="AL57" s="110"/>
      <c r="AM57" s="110"/>
      <c r="AN57" s="110"/>
      <c r="AO57" s="113"/>
      <c r="AP57" s="113"/>
      <c r="AQ57" s="113"/>
      <c r="AR57" s="110"/>
      <c r="AS57" s="113"/>
      <c r="AT57" s="113"/>
      <c r="AU57" s="112"/>
      <c r="AV57" s="338"/>
      <c r="AW57" s="110"/>
      <c r="AX57" s="110"/>
      <c r="AY57" s="113"/>
      <c r="AZ57" s="113"/>
      <c r="BA57" s="113"/>
      <c r="BB57" s="113"/>
      <c r="BC57" s="113"/>
      <c r="BD57" s="113"/>
      <c r="BF5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8" spans="1:58" x14ac:dyDescent="0.3">
      <c r="A58" s="422"/>
      <c r="B58" s="376"/>
      <c r="C58" s="110"/>
      <c r="D58" s="110"/>
      <c r="E58" s="340"/>
      <c r="F58" s="330"/>
      <c r="G58" s="113"/>
      <c r="H58" s="332"/>
      <c r="I58" s="113"/>
      <c r="J58" s="332"/>
      <c r="K58" s="110"/>
      <c r="L58" s="110"/>
      <c r="M58" s="110"/>
      <c r="N58" s="110"/>
      <c r="O58" s="111"/>
      <c r="P58" s="424" t="str">
        <f>IF(OR(Table13[[#This Row],[Annual Increase Option]]="No increase",Table13[[#This Row],[Annual Increase Option]]=""),"",_xlfn.XLOOKUP(MONTH(Table13[[#This Row],[Commencement Date]]),Lookups!$I$19:$I$30,Lookups!$J$19:$J$30,0))</f>
        <v/>
      </c>
      <c r="Q58" s="340"/>
      <c r="R58" s="340"/>
      <c r="S58" s="360">
        <f>IF(Table13[[#This Row],[Life Cover Amount]]="",0,Table2[[#This Row],[Life Premium]])</f>
        <v>0</v>
      </c>
      <c r="T58" s="360">
        <f>IF(Table13[[#This Row],[Funeral Cover Amount]]=0,0,Table2[[#This Row],[Funeral Premium]])</f>
        <v>0</v>
      </c>
      <c r="U58" s="360">
        <f>IF(AND(Table13[[#This Row],[Life Cover Amount]]="",Table13[[#This Row],[Funeral Cover Amount]]=""),0,onboarding_calcs!AA58)</f>
        <v>0</v>
      </c>
      <c r="V58" s="111"/>
      <c r="W58" s="111"/>
      <c r="X58" s="333"/>
      <c r="Y58" s="110"/>
      <c r="Z58" s="113"/>
      <c r="AA58" s="425"/>
      <c r="AB58" s="425"/>
      <c r="AC58" s="113"/>
      <c r="AD58" s="110"/>
      <c r="AE58" s="110"/>
      <c r="AF58" s="110"/>
      <c r="AG58" s="110"/>
      <c r="AH58" s="110"/>
      <c r="AI58" s="113"/>
      <c r="AJ58" s="110"/>
      <c r="AK58" s="110"/>
      <c r="AL58" s="110"/>
      <c r="AM58" s="110"/>
      <c r="AN58" s="110"/>
      <c r="AO58" s="113"/>
      <c r="AP58" s="113"/>
      <c r="AQ58" s="113"/>
      <c r="AR58" s="110"/>
      <c r="AS58" s="113"/>
      <c r="AT58" s="113"/>
      <c r="AU58" s="112"/>
      <c r="AV58" s="338"/>
      <c r="AW58" s="110"/>
      <c r="AX58" s="110"/>
      <c r="AY58" s="113"/>
      <c r="AZ58" s="113"/>
      <c r="BA58" s="113"/>
      <c r="BB58" s="113"/>
      <c r="BC58" s="113"/>
      <c r="BD58" s="113"/>
      <c r="BF5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9" spans="1:58" x14ac:dyDescent="0.3">
      <c r="A59" s="422"/>
      <c r="B59" s="376"/>
      <c r="C59" s="110"/>
      <c r="D59" s="110"/>
      <c r="E59" s="340"/>
      <c r="F59" s="330"/>
      <c r="G59" s="113"/>
      <c r="H59" s="332"/>
      <c r="I59" s="113"/>
      <c r="J59" s="332"/>
      <c r="K59" s="110"/>
      <c r="L59" s="110"/>
      <c r="M59" s="110"/>
      <c r="N59" s="110"/>
      <c r="O59" s="111"/>
      <c r="P59" s="424" t="str">
        <f>IF(OR(Table13[[#This Row],[Annual Increase Option]]="No increase",Table13[[#This Row],[Annual Increase Option]]=""),"",_xlfn.XLOOKUP(MONTH(Table13[[#This Row],[Commencement Date]]),Lookups!$I$19:$I$30,Lookups!$J$19:$J$30,0))</f>
        <v/>
      </c>
      <c r="Q59" s="340"/>
      <c r="R59" s="340"/>
      <c r="S59" s="360">
        <f>IF(Table13[[#This Row],[Life Cover Amount]]="",0,Table2[[#This Row],[Life Premium]])</f>
        <v>0</v>
      </c>
      <c r="T59" s="360">
        <f>IF(Table13[[#This Row],[Funeral Cover Amount]]=0,0,Table2[[#This Row],[Funeral Premium]])</f>
        <v>0</v>
      </c>
      <c r="U59" s="360">
        <f>IF(AND(Table13[[#This Row],[Life Cover Amount]]="",Table13[[#This Row],[Funeral Cover Amount]]=""),0,onboarding_calcs!AA59)</f>
        <v>0</v>
      </c>
      <c r="V59" s="111"/>
      <c r="W59" s="111"/>
      <c r="X59" s="333"/>
      <c r="Y59" s="110"/>
      <c r="Z59" s="113"/>
      <c r="AA59" s="425"/>
      <c r="AB59" s="425"/>
      <c r="AC59" s="113"/>
      <c r="AD59" s="110"/>
      <c r="AE59" s="110"/>
      <c r="AF59" s="110"/>
      <c r="AG59" s="110"/>
      <c r="AH59" s="110"/>
      <c r="AI59" s="113"/>
      <c r="AJ59" s="110"/>
      <c r="AK59" s="110"/>
      <c r="AL59" s="110"/>
      <c r="AM59" s="110"/>
      <c r="AN59" s="110"/>
      <c r="AO59" s="113"/>
      <c r="AP59" s="113"/>
      <c r="AQ59" s="113"/>
      <c r="AR59" s="110"/>
      <c r="AS59" s="113"/>
      <c r="AT59" s="113"/>
      <c r="AU59" s="112"/>
      <c r="AV59" s="338"/>
      <c r="AW59" s="110"/>
      <c r="AX59" s="110"/>
      <c r="AY59" s="113"/>
      <c r="AZ59" s="113"/>
      <c r="BA59" s="113"/>
      <c r="BB59" s="113"/>
      <c r="BC59" s="113"/>
      <c r="BD59" s="113"/>
      <c r="BF5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0" spans="1:58" x14ac:dyDescent="0.3">
      <c r="A60" s="422"/>
      <c r="B60" s="376"/>
      <c r="C60" s="110"/>
      <c r="D60" s="110"/>
      <c r="E60" s="340"/>
      <c r="F60" s="330"/>
      <c r="G60" s="113"/>
      <c r="H60" s="332"/>
      <c r="I60" s="113"/>
      <c r="J60" s="332"/>
      <c r="K60" s="110"/>
      <c r="L60" s="110"/>
      <c r="M60" s="110"/>
      <c r="N60" s="110"/>
      <c r="O60" s="111"/>
      <c r="P60" s="424" t="str">
        <f>IF(OR(Table13[[#This Row],[Annual Increase Option]]="No increase",Table13[[#This Row],[Annual Increase Option]]=""),"",_xlfn.XLOOKUP(MONTH(Table13[[#This Row],[Commencement Date]]),Lookups!$I$19:$I$30,Lookups!$J$19:$J$30,0))</f>
        <v/>
      </c>
      <c r="Q60" s="340"/>
      <c r="R60" s="340"/>
      <c r="S60" s="360">
        <f>IF(Table13[[#This Row],[Life Cover Amount]]="",0,Table2[[#This Row],[Life Premium]])</f>
        <v>0</v>
      </c>
      <c r="T60" s="360">
        <f>IF(Table13[[#This Row],[Funeral Cover Amount]]=0,0,Table2[[#This Row],[Funeral Premium]])</f>
        <v>0</v>
      </c>
      <c r="U60" s="360">
        <f>IF(AND(Table13[[#This Row],[Life Cover Amount]]="",Table13[[#This Row],[Funeral Cover Amount]]=""),0,onboarding_calcs!AA60)</f>
        <v>0</v>
      </c>
      <c r="V60" s="111"/>
      <c r="W60" s="111"/>
      <c r="X60" s="333"/>
      <c r="Y60" s="110"/>
      <c r="Z60" s="113"/>
      <c r="AA60" s="425"/>
      <c r="AB60" s="425"/>
      <c r="AC60" s="113"/>
      <c r="AD60" s="110"/>
      <c r="AE60" s="110"/>
      <c r="AF60" s="110"/>
      <c r="AG60" s="110"/>
      <c r="AH60" s="110"/>
      <c r="AI60" s="113"/>
      <c r="AJ60" s="110"/>
      <c r="AK60" s="110"/>
      <c r="AL60" s="110"/>
      <c r="AM60" s="110"/>
      <c r="AN60" s="110"/>
      <c r="AO60" s="113"/>
      <c r="AP60" s="113"/>
      <c r="AQ60" s="113"/>
      <c r="AR60" s="110"/>
      <c r="AS60" s="113"/>
      <c r="AT60" s="113"/>
      <c r="AU60" s="112"/>
      <c r="AV60" s="338"/>
      <c r="AW60" s="110"/>
      <c r="AX60" s="110"/>
      <c r="AY60" s="113"/>
      <c r="AZ60" s="113"/>
      <c r="BA60" s="113"/>
      <c r="BB60" s="113"/>
      <c r="BC60" s="113"/>
      <c r="BD60" s="113"/>
      <c r="BF6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1" spans="1:58" x14ac:dyDescent="0.3">
      <c r="A61" s="422"/>
      <c r="B61" s="376"/>
      <c r="C61" s="110"/>
      <c r="D61" s="110"/>
      <c r="E61" s="340"/>
      <c r="F61" s="330"/>
      <c r="G61" s="113"/>
      <c r="H61" s="332"/>
      <c r="I61" s="113"/>
      <c r="J61" s="332"/>
      <c r="K61" s="110"/>
      <c r="L61" s="110"/>
      <c r="M61" s="110"/>
      <c r="N61" s="110"/>
      <c r="O61" s="111"/>
      <c r="P61" s="424" t="str">
        <f>IF(OR(Table13[[#This Row],[Annual Increase Option]]="No increase",Table13[[#This Row],[Annual Increase Option]]=""),"",_xlfn.XLOOKUP(MONTH(Table13[[#This Row],[Commencement Date]]),Lookups!$I$19:$I$30,Lookups!$J$19:$J$30,0))</f>
        <v/>
      </c>
      <c r="Q61" s="340"/>
      <c r="R61" s="340"/>
      <c r="S61" s="360">
        <f>IF(Table13[[#This Row],[Life Cover Amount]]="",0,Table2[[#This Row],[Life Premium]])</f>
        <v>0</v>
      </c>
      <c r="T61" s="360">
        <f>IF(Table13[[#This Row],[Funeral Cover Amount]]=0,0,Table2[[#This Row],[Funeral Premium]])</f>
        <v>0</v>
      </c>
      <c r="U61" s="360">
        <f>IF(AND(Table13[[#This Row],[Life Cover Amount]]="",Table13[[#This Row],[Funeral Cover Amount]]=""),0,onboarding_calcs!AA61)</f>
        <v>0</v>
      </c>
      <c r="V61" s="111"/>
      <c r="W61" s="111"/>
      <c r="X61" s="333"/>
      <c r="Y61" s="110"/>
      <c r="Z61" s="113"/>
      <c r="AA61" s="425"/>
      <c r="AB61" s="425"/>
      <c r="AC61" s="113"/>
      <c r="AD61" s="110"/>
      <c r="AE61" s="110"/>
      <c r="AF61" s="110"/>
      <c r="AG61" s="110"/>
      <c r="AH61" s="110"/>
      <c r="AI61" s="113"/>
      <c r="AJ61" s="110"/>
      <c r="AK61" s="110"/>
      <c r="AL61" s="110"/>
      <c r="AM61" s="110"/>
      <c r="AN61" s="110"/>
      <c r="AO61" s="113"/>
      <c r="AP61" s="113"/>
      <c r="AQ61" s="113"/>
      <c r="AR61" s="110"/>
      <c r="AS61" s="113"/>
      <c r="AT61" s="113"/>
      <c r="AU61" s="112"/>
      <c r="AV61" s="338"/>
      <c r="AW61" s="110"/>
      <c r="AX61" s="110"/>
      <c r="AY61" s="113"/>
      <c r="AZ61" s="113"/>
      <c r="BA61" s="113"/>
      <c r="BB61" s="113"/>
      <c r="BC61" s="113"/>
      <c r="BD61" s="113"/>
      <c r="BF6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2" spans="1:58" x14ac:dyDescent="0.3">
      <c r="A62" s="422"/>
      <c r="B62" s="376"/>
      <c r="C62" s="110"/>
      <c r="D62" s="110"/>
      <c r="E62" s="340"/>
      <c r="F62" s="330"/>
      <c r="G62" s="113"/>
      <c r="H62" s="332"/>
      <c r="I62" s="113"/>
      <c r="J62" s="332"/>
      <c r="K62" s="110"/>
      <c r="L62" s="110"/>
      <c r="M62" s="110"/>
      <c r="N62" s="110"/>
      <c r="O62" s="111"/>
      <c r="P62" s="424" t="str">
        <f>IF(OR(Table13[[#This Row],[Annual Increase Option]]="No increase",Table13[[#This Row],[Annual Increase Option]]=""),"",_xlfn.XLOOKUP(MONTH(Table13[[#This Row],[Commencement Date]]),Lookups!$I$19:$I$30,Lookups!$J$19:$J$30,0))</f>
        <v/>
      </c>
      <c r="Q62" s="340"/>
      <c r="R62" s="340"/>
      <c r="S62" s="360">
        <f>IF(Table13[[#This Row],[Life Cover Amount]]="",0,Table2[[#This Row],[Life Premium]])</f>
        <v>0</v>
      </c>
      <c r="T62" s="360">
        <f>IF(Table13[[#This Row],[Funeral Cover Amount]]=0,0,Table2[[#This Row],[Funeral Premium]])</f>
        <v>0</v>
      </c>
      <c r="U62" s="360">
        <f>IF(AND(Table13[[#This Row],[Life Cover Amount]]="",Table13[[#This Row],[Funeral Cover Amount]]=""),0,onboarding_calcs!AA62)</f>
        <v>0</v>
      </c>
      <c r="V62" s="111"/>
      <c r="W62" s="111"/>
      <c r="X62" s="333"/>
      <c r="Y62" s="110"/>
      <c r="Z62" s="113"/>
      <c r="AA62" s="425"/>
      <c r="AB62" s="425"/>
      <c r="AC62" s="113"/>
      <c r="AD62" s="110"/>
      <c r="AE62" s="110"/>
      <c r="AF62" s="110"/>
      <c r="AG62" s="110"/>
      <c r="AH62" s="110"/>
      <c r="AI62" s="113"/>
      <c r="AJ62" s="110"/>
      <c r="AK62" s="110"/>
      <c r="AL62" s="110"/>
      <c r="AM62" s="110"/>
      <c r="AN62" s="110"/>
      <c r="AO62" s="113"/>
      <c r="AP62" s="113"/>
      <c r="AQ62" s="113"/>
      <c r="AR62" s="110"/>
      <c r="AS62" s="113"/>
      <c r="AT62" s="113"/>
      <c r="AU62" s="112"/>
      <c r="AV62" s="338"/>
      <c r="AW62" s="110"/>
      <c r="AX62" s="110"/>
      <c r="AY62" s="113"/>
      <c r="AZ62" s="113"/>
      <c r="BA62" s="113"/>
      <c r="BB62" s="113"/>
      <c r="BC62" s="113"/>
      <c r="BD62" s="113"/>
      <c r="BF6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3" spans="1:58" x14ac:dyDescent="0.3">
      <c r="A63" s="422"/>
      <c r="B63" s="376"/>
      <c r="C63" s="110"/>
      <c r="D63" s="110"/>
      <c r="E63" s="340"/>
      <c r="F63" s="330"/>
      <c r="G63" s="113"/>
      <c r="H63" s="332"/>
      <c r="I63" s="113"/>
      <c r="J63" s="332"/>
      <c r="K63" s="110"/>
      <c r="L63" s="110"/>
      <c r="M63" s="110"/>
      <c r="N63" s="110"/>
      <c r="O63" s="111"/>
      <c r="P63" s="424" t="str">
        <f>IF(OR(Table13[[#This Row],[Annual Increase Option]]="No increase",Table13[[#This Row],[Annual Increase Option]]=""),"",_xlfn.XLOOKUP(MONTH(Table13[[#This Row],[Commencement Date]]),Lookups!$I$19:$I$30,Lookups!$J$19:$J$30,0))</f>
        <v/>
      </c>
      <c r="Q63" s="340"/>
      <c r="R63" s="340"/>
      <c r="S63" s="360">
        <f>IF(Table13[[#This Row],[Life Cover Amount]]="",0,Table2[[#This Row],[Life Premium]])</f>
        <v>0</v>
      </c>
      <c r="T63" s="360">
        <f>IF(Table13[[#This Row],[Funeral Cover Amount]]=0,0,Table2[[#This Row],[Funeral Premium]])</f>
        <v>0</v>
      </c>
      <c r="U63" s="360">
        <f>IF(AND(Table13[[#This Row],[Life Cover Amount]]="",Table13[[#This Row],[Funeral Cover Amount]]=""),0,onboarding_calcs!AA63)</f>
        <v>0</v>
      </c>
      <c r="V63" s="111"/>
      <c r="W63" s="111"/>
      <c r="X63" s="333"/>
      <c r="Y63" s="110"/>
      <c r="Z63" s="113"/>
      <c r="AA63" s="425"/>
      <c r="AB63" s="425"/>
      <c r="AC63" s="113"/>
      <c r="AD63" s="110"/>
      <c r="AE63" s="110"/>
      <c r="AF63" s="110"/>
      <c r="AG63" s="110"/>
      <c r="AH63" s="110"/>
      <c r="AI63" s="113"/>
      <c r="AJ63" s="110"/>
      <c r="AK63" s="110"/>
      <c r="AL63" s="110"/>
      <c r="AM63" s="110"/>
      <c r="AN63" s="110"/>
      <c r="AO63" s="113"/>
      <c r="AP63" s="113"/>
      <c r="AQ63" s="113"/>
      <c r="AR63" s="110"/>
      <c r="AS63" s="113"/>
      <c r="AT63" s="113"/>
      <c r="AU63" s="112"/>
      <c r="AV63" s="338"/>
      <c r="AW63" s="110"/>
      <c r="AX63" s="110"/>
      <c r="AY63" s="113"/>
      <c r="AZ63" s="113"/>
      <c r="BA63" s="113"/>
      <c r="BB63" s="113"/>
      <c r="BC63" s="113"/>
      <c r="BD63" s="113"/>
      <c r="BF6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4" spans="1:58" x14ac:dyDescent="0.3">
      <c r="A64" s="422"/>
      <c r="B64" s="376"/>
      <c r="C64" s="110"/>
      <c r="D64" s="110"/>
      <c r="E64" s="340"/>
      <c r="F64" s="330"/>
      <c r="G64" s="113"/>
      <c r="H64" s="332"/>
      <c r="I64" s="113"/>
      <c r="J64" s="332"/>
      <c r="K64" s="110"/>
      <c r="L64" s="110"/>
      <c r="M64" s="110"/>
      <c r="N64" s="110"/>
      <c r="O64" s="111"/>
      <c r="P64" s="424" t="str">
        <f>IF(OR(Table13[[#This Row],[Annual Increase Option]]="No increase",Table13[[#This Row],[Annual Increase Option]]=""),"",_xlfn.XLOOKUP(MONTH(Table13[[#This Row],[Commencement Date]]),Lookups!$I$19:$I$30,Lookups!$J$19:$J$30,0))</f>
        <v/>
      </c>
      <c r="Q64" s="340"/>
      <c r="R64" s="340"/>
      <c r="S64" s="360">
        <f>IF(Table13[[#This Row],[Life Cover Amount]]="",0,Table2[[#This Row],[Life Premium]])</f>
        <v>0</v>
      </c>
      <c r="T64" s="360">
        <f>IF(Table13[[#This Row],[Funeral Cover Amount]]=0,0,Table2[[#This Row],[Funeral Premium]])</f>
        <v>0</v>
      </c>
      <c r="U64" s="360">
        <f>IF(AND(Table13[[#This Row],[Life Cover Amount]]="",Table13[[#This Row],[Funeral Cover Amount]]=""),0,onboarding_calcs!AA64)</f>
        <v>0</v>
      </c>
      <c r="V64" s="111"/>
      <c r="W64" s="111"/>
      <c r="X64" s="333"/>
      <c r="Y64" s="110"/>
      <c r="Z64" s="113"/>
      <c r="AA64" s="425"/>
      <c r="AB64" s="425"/>
      <c r="AC64" s="113"/>
      <c r="AD64" s="110"/>
      <c r="AE64" s="110"/>
      <c r="AF64" s="110"/>
      <c r="AG64" s="110"/>
      <c r="AH64" s="110"/>
      <c r="AI64" s="113"/>
      <c r="AJ64" s="110"/>
      <c r="AK64" s="110"/>
      <c r="AL64" s="110"/>
      <c r="AM64" s="110"/>
      <c r="AN64" s="110"/>
      <c r="AO64" s="113"/>
      <c r="AP64" s="113"/>
      <c r="AQ64" s="113"/>
      <c r="AR64" s="110"/>
      <c r="AS64" s="113"/>
      <c r="AT64" s="113"/>
      <c r="AU64" s="112"/>
      <c r="AV64" s="338"/>
      <c r="AW64" s="110"/>
      <c r="AX64" s="110"/>
      <c r="AY64" s="113"/>
      <c r="AZ64" s="113"/>
      <c r="BA64" s="113"/>
      <c r="BB64" s="113"/>
      <c r="BC64" s="113"/>
      <c r="BD64" s="113"/>
      <c r="BF6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5" spans="1:58" x14ac:dyDescent="0.3">
      <c r="A65" s="422"/>
      <c r="B65" s="376"/>
      <c r="C65" s="110"/>
      <c r="D65" s="110"/>
      <c r="E65" s="340"/>
      <c r="F65" s="330"/>
      <c r="G65" s="113"/>
      <c r="H65" s="332"/>
      <c r="I65" s="113"/>
      <c r="J65" s="332"/>
      <c r="K65" s="110"/>
      <c r="L65" s="110"/>
      <c r="M65" s="110"/>
      <c r="N65" s="110"/>
      <c r="O65" s="111"/>
      <c r="P65" s="424" t="str">
        <f>IF(OR(Table13[[#This Row],[Annual Increase Option]]="No increase",Table13[[#This Row],[Annual Increase Option]]=""),"",_xlfn.XLOOKUP(MONTH(Table13[[#This Row],[Commencement Date]]),Lookups!$I$19:$I$30,Lookups!$J$19:$J$30,0))</f>
        <v/>
      </c>
      <c r="Q65" s="340"/>
      <c r="R65" s="340"/>
      <c r="S65" s="360">
        <f>IF(Table13[[#This Row],[Life Cover Amount]]="",0,Table2[[#This Row],[Life Premium]])</f>
        <v>0</v>
      </c>
      <c r="T65" s="360">
        <f>IF(Table13[[#This Row],[Funeral Cover Amount]]=0,0,Table2[[#This Row],[Funeral Premium]])</f>
        <v>0</v>
      </c>
      <c r="U65" s="360">
        <f>IF(AND(Table13[[#This Row],[Life Cover Amount]]="",Table13[[#This Row],[Funeral Cover Amount]]=""),0,onboarding_calcs!AA65)</f>
        <v>0</v>
      </c>
      <c r="V65" s="111"/>
      <c r="W65" s="111"/>
      <c r="X65" s="333"/>
      <c r="Y65" s="110"/>
      <c r="Z65" s="113"/>
      <c r="AA65" s="425"/>
      <c r="AB65" s="425"/>
      <c r="AC65" s="113"/>
      <c r="AD65" s="110"/>
      <c r="AE65" s="110"/>
      <c r="AF65" s="110"/>
      <c r="AG65" s="110"/>
      <c r="AH65" s="110"/>
      <c r="AI65" s="113"/>
      <c r="AJ65" s="110"/>
      <c r="AK65" s="110"/>
      <c r="AL65" s="110"/>
      <c r="AM65" s="110"/>
      <c r="AN65" s="110"/>
      <c r="AO65" s="113"/>
      <c r="AP65" s="113"/>
      <c r="AQ65" s="113"/>
      <c r="AR65" s="110"/>
      <c r="AS65" s="113"/>
      <c r="AT65" s="113"/>
      <c r="AU65" s="112"/>
      <c r="AV65" s="338"/>
      <c r="AW65" s="110"/>
      <c r="AX65" s="110"/>
      <c r="AY65" s="113"/>
      <c r="AZ65" s="113"/>
      <c r="BA65" s="113"/>
      <c r="BB65" s="113"/>
      <c r="BC65" s="113"/>
      <c r="BD65" s="113"/>
      <c r="BF6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6" spans="1:58" x14ac:dyDescent="0.3">
      <c r="A66" s="422"/>
      <c r="B66" s="376"/>
      <c r="C66" s="110"/>
      <c r="D66" s="110"/>
      <c r="E66" s="340"/>
      <c r="F66" s="330"/>
      <c r="G66" s="113"/>
      <c r="H66" s="332"/>
      <c r="I66" s="113"/>
      <c r="J66" s="332"/>
      <c r="K66" s="110"/>
      <c r="L66" s="110"/>
      <c r="M66" s="110"/>
      <c r="N66" s="110"/>
      <c r="O66" s="111"/>
      <c r="P66" s="424" t="str">
        <f>IF(OR(Table13[[#This Row],[Annual Increase Option]]="No increase",Table13[[#This Row],[Annual Increase Option]]=""),"",_xlfn.XLOOKUP(MONTH(Table13[[#This Row],[Commencement Date]]),Lookups!$I$19:$I$30,Lookups!$J$19:$J$30,0))</f>
        <v/>
      </c>
      <c r="Q66" s="340"/>
      <c r="R66" s="340"/>
      <c r="S66" s="360">
        <f>IF(Table13[[#This Row],[Life Cover Amount]]="",0,Table2[[#This Row],[Life Premium]])</f>
        <v>0</v>
      </c>
      <c r="T66" s="360">
        <f>IF(Table13[[#This Row],[Funeral Cover Amount]]=0,0,Table2[[#This Row],[Funeral Premium]])</f>
        <v>0</v>
      </c>
      <c r="U66" s="360">
        <f>IF(AND(Table13[[#This Row],[Life Cover Amount]]="",Table13[[#This Row],[Funeral Cover Amount]]=""),0,onboarding_calcs!AA66)</f>
        <v>0</v>
      </c>
      <c r="V66" s="111"/>
      <c r="W66" s="111"/>
      <c r="X66" s="333"/>
      <c r="Y66" s="110"/>
      <c r="Z66" s="113"/>
      <c r="AA66" s="425"/>
      <c r="AB66" s="425"/>
      <c r="AC66" s="113"/>
      <c r="AD66" s="110"/>
      <c r="AE66" s="110"/>
      <c r="AF66" s="110"/>
      <c r="AG66" s="110"/>
      <c r="AH66" s="110"/>
      <c r="AI66" s="113"/>
      <c r="AJ66" s="110"/>
      <c r="AK66" s="110"/>
      <c r="AL66" s="110"/>
      <c r="AM66" s="110"/>
      <c r="AN66" s="110"/>
      <c r="AO66" s="113"/>
      <c r="AP66" s="113"/>
      <c r="AQ66" s="113"/>
      <c r="AR66" s="110"/>
      <c r="AS66" s="113"/>
      <c r="AT66" s="113"/>
      <c r="AU66" s="112"/>
      <c r="AV66" s="338"/>
      <c r="AW66" s="110"/>
      <c r="AX66" s="110"/>
      <c r="AY66" s="113"/>
      <c r="AZ66" s="113"/>
      <c r="BA66" s="113"/>
      <c r="BB66" s="113"/>
      <c r="BC66" s="113"/>
      <c r="BD66" s="113"/>
      <c r="BF6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7" spans="1:58" x14ac:dyDescent="0.3">
      <c r="A67" s="422"/>
      <c r="B67" s="376"/>
      <c r="C67" s="110"/>
      <c r="D67" s="110"/>
      <c r="E67" s="340"/>
      <c r="F67" s="330"/>
      <c r="G67" s="113"/>
      <c r="H67" s="332"/>
      <c r="I67" s="113"/>
      <c r="J67" s="332"/>
      <c r="K67" s="110"/>
      <c r="L67" s="110"/>
      <c r="M67" s="110"/>
      <c r="N67" s="110"/>
      <c r="O67" s="111"/>
      <c r="P67" s="424" t="str">
        <f>IF(OR(Table13[[#This Row],[Annual Increase Option]]="No increase",Table13[[#This Row],[Annual Increase Option]]=""),"",_xlfn.XLOOKUP(MONTH(Table13[[#This Row],[Commencement Date]]),Lookups!$I$19:$I$30,Lookups!$J$19:$J$30,0))</f>
        <v/>
      </c>
      <c r="Q67" s="340"/>
      <c r="R67" s="340"/>
      <c r="S67" s="360">
        <f>IF(Table13[[#This Row],[Life Cover Amount]]="",0,Table2[[#This Row],[Life Premium]])</f>
        <v>0</v>
      </c>
      <c r="T67" s="360">
        <f>IF(Table13[[#This Row],[Funeral Cover Amount]]=0,0,Table2[[#This Row],[Funeral Premium]])</f>
        <v>0</v>
      </c>
      <c r="U67" s="360">
        <f>IF(AND(Table13[[#This Row],[Life Cover Amount]]="",Table13[[#This Row],[Funeral Cover Amount]]=""),0,onboarding_calcs!AA67)</f>
        <v>0</v>
      </c>
      <c r="V67" s="111"/>
      <c r="W67" s="111"/>
      <c r="X67" s="333"/>
      <c r="Y67" s="110"/>
      <c r="Z67" s="113"/>
      <c r="AA67" s="425"/>
      <c r="AB67" s="425"/>
      <c r="AC67" s="113"/>
      <c r="AD67" s="110"/>
      <c r="AE67" s="110"/>
      <c r="AF67" s="110"/>
      <c r="AG67" s="110"/>
      <c r="AH67" s="110"/>
      <c r="AI67" s="113"/>
      <c r="AJ67" s="110"/>
      <c r="AK67" s="110"/>
      <c r="AL67" s="110"/>
      <c r="AM67" s="110"/>
      <c r="AN67" s="110"/>
      <c r="AO67" s="113"/>
      <c r="AP67" s="113"/>
      <c r="AQ67" s="113"/>
      <c r="AR67" s="110"/>
      <c r="AS67" s="113"/>
      <c r="AT67" s="113"/>
      <c r="AU67" s="112"/>
      <c r="AV67" s="338"/>
      <c r="AW67" s="110"/>
      <c r="AX67" s="110"/>
      <c r="AY67" s="113"/>
      <c r="AZ67" s="113"/>
      <c r="BA67" s="113"/>
      <c r="BB67" s="113"/>
      <c r="BC67" s="113"/>
      <c r="BD67" s="113"/>
      <c r="BF6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8" spans="1:58" x14ac:dyDescent="0.3">
      <c r="A68" s="422"/>
      <c r="B68" s="376"/>
      <c r="C68" s="110"/>
      <c r="D68" s="110"/>
      <c r="E68" s="340"/>
      <c r="F68" s="330"/>
      <c r="G68" s="113"/>
      <c r="H68" s="332"/>
      <c r="I68" s="113"/>
      <c r="J68" s="332"/>
      <c r="K68" s="110"/>
      <c r="L68" s="110"/>
      <c r="M68" s="110"/>
      <c r="N68" s="110"/>
      <c r="O68" s="111"/>
      <c r="P68" s="424" t="str">
        <f>IF(OR(Table13[[#This Row],[Annual Increase Option]]="No increase",Table13[[#This Row],[Annual Increase Option]]=""),"",_xlfn.XLOOKUP(MONTH(Table13[[#This Row],[Commencement Date]]),Lookups!$I$19:$I$30,Lookups!$J$19:$J$30,0))</f>
        <v/>
      </c>
      <c r="Q68" s="340"/>
      <c r="R68" s="340"/>
      <c r="S68" s="360">
        <f>IF(Table13[[#This Row],[Life Cover Amount]]="",0,Table2[[#This Row],[Life Premium]])</f>
        <v>0</v>
      </c>
      <c r="T68" s="360">
        <f>IF(Table13[[#This Row],[Funeral Cover Amount]]=0,0,Table2[[#This Row],[Funeral Premium]])</f>
        <v>0</v>
      </c>
      <c r="U68" s="360">
        <f>IF(AND(Table13[[#This Row],[Life Cover Amount]]="",Table13[[#This Row],[Funeral Cover Amount]]=""),0,onboarding_calcs!AA68)</f>
        <v>0</v>
      </c>
      <c r="V68" s="111"/>
      <c r="W68" s="111"/>
      <c r="X68" s="333"/>
      <c r="Y68" s="110"/>
      <c r="Z68" s="113"/>
      <c r="AA68" s="425"/>
      <c r="AB68" s="425"/>
      <c r="AC68" s="113"/>
      <c r="AD68" s="110"/>
      <c r="AE68" s="110"/>
      <c r="AF68" s="110"/>
      <c r="AG68" s="110"/>
      <c r="AH68" s="110"/>
      <c r="AI68" s="113"/>
      <c r="AJ68" s="110"/>
      <c r="AK68" s="110"/>
      <c r="AL68" s="110"/>
      <c r="AM68" s="110"/>
      <c r="AN68" s="110"/>
      <c r="AO68" s="113"/>
      <c r="AP68" s="113"/>
      <c r="AQ68" s="113"/>
      <c r="AR68" s="110"/>
      <c r="AS68" s="113"/>
      <c r="AT68" s="113"/>
      <c r="AU68" s="112"/>
      <c r="AV68" s="338"/>
      <c r="AW68" s="110"/>
      <c r="AX68" s="110"/>
      <c r="AY68" s="113"/>
      <c r="AZ68" s="113"/>
      <c r="BA68" s="113"/>
      <c r="BB68" s="113"/>
      <c r="BC68" s="113"/>
      <c r="BD68" s="113"/>
      <c r="BF6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9" spans="1:58" x14ac:dyDescent="0.3">
      <c r="A69" s="422"/>
      <c r="B69" s="376"/>
      <c r="C69" s="110"/>
      <c r="D69" s="110"/>
      <c r="E69" s="340"/>
      <c r="F69" s="330"/>
      <c r="G69" s="113"/>
      <c r="H69" s="332"/>
      <c r="I69" s="113"/>
      <c r="J69" s="332"/>
      <c r="K69" s="110"/>
      <c r="L69" s="110"/>
      <c r="M69" s="110"/>
      <c r="N69" s="110"/>
      <c r="O69" s="111"/>
      <c r="P69" s="424" t="str">
        <f>IF(OR(Table13[[#This Row],[Annual Increase Option]]="No increase",Table13[[#This Row],[Annual Increase Option]]=""),"",_xlfn.XLOOKUP(MONTH(Table13[[#This Row],[Commencement Date]]),Lookups!$I$19:$I$30,Lookups!$J$19:$J$30,0))</f>
        <v/>
      </c>
      <c r="Q69" s="340"/>
      <c r="R69" s="340"/>
      <c r="S69" s="360">
        <f>IF(Table13[[#This Row],[Life Cover Amount]]="",0,Table2[[#This Row],[Life Premium]])</f>
        <v>0</v>
      </c>
      <c r="T69" s="360">
        <f>IF(Table13[[#This Row],[Funeral Cover Amount]]=0,0,Table2[[#This Row],[Funeral Premium]])</f>
        <v>0</v>
      </c>
      <c r="U69" s="360">
        <f>IF(AND(Table13[[#This Row],[Life Cover Amount]]="",Table13[[#This Row],[Funeral Cover Amount]]=""),0,onboarding_calcs!AA69)</f>
        <v>0</v>
      </c>
      <c r="V69" s="111"/>
      <c r="W69" s="111"/>
      <c r="X69" s="333"/>
      <c r="Y69" s="110"/>
      <c r="Z69" s="113"/>
      <c r="AA69" s="425"/>
      <c r="AB69" s="425"/>
      <c r="AC69" s="113"/>
      <c r="AD69" s="110"/>
      <c r="AE69" s="110"/>
      <c r="AF69" s="110"/>
      <c r="AG69" s="110"/>
      <c r="AH69" s="110"/>
      <c r="AI69" s="113"/>
      <c r="AJ69" s="110"/>
      <c r="AK69" s="110"/>
      <c r="AL69" s="110"/>
      <c r="AM69" s="110"/>
      <c r="AN69" s="110"/>
      <c r="AO69" s="113"/>
      <c r="AP69" s="113"/>
      <c r="AQ69" s="113"/>
      <c r="AR69" s="110"/>
      <c r="AS69" s="113"/>
      <c r="AT69" s="113"/>
      <c r="AU69" s="112"/>
      <c r="AV69" s="338"/>
      <c r="AW69" s="110"/>
      <c r="AX69" s="110"/>
      <c r="AY69" s="113"/>
      <c r="AZ69" s="113"/>
      <c r="BA69" s="113"/>
      <c r="BB69" s="113"/>
      <c r="BC69" s="113"/>
      <c r="BD69" s="113"/>
      <c r="BF6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70" spans="1:58" x14ac:dyDescent="0.3">
      <c r="A70" s="422"/>
      <c r="B70" s="376"/>
      <c r="C70" s="110"/>
      <c r="D70" s="110"/>
      <c r="E70" s="340"/>
      <c r="F70" s="330"/>
      <c r="G70" s="113"/>
      <c r="H70" s="332"/>
      <c r="I70" s="113"/>
      <c r="J70" s="332"/>
      <c r="K70" s="110"/>
      <c r="L70" s="110"/>
      <c r="M70" s="110"/>
      <c r="N70" s="110"/>
      <c r="O70" s="111"/>
      <c r="P70" s="424" t="str">
        <f>IF(OR(Table13[[#This Row],[Annual Increase Option]]="No increase",Table13[[#This Row],[Annual Increase Option]]=""),"",_xlfn.XLOOKUP(MONTH(Table13[[#This Row],[Commencement Date]]),Lookups!$I$19:$I$30,Lookups!$J$19:$J$30,0))</f>
        <v/>
      </c>
      <c r="Q70" s="340"/>
      <c r="R70" s="340"/>
      <c r="S70" s="360">
        <f>IF(Table13[[#This Row],[Life Cover Amount]]="",0,Table2[[#This Row],[Life Premium]])</f>
        <v>0</v>
      </c>
      <c r="T70" s="360">
        <f>IF(Table13[[#This Row],[Funeral Cover Amount]]=0,0,Table2[[#This Row],[Funeral Premium]])</f>
        <v>0</v>
      </c>
      <c r="U70" s="360">
        <f>IF(AND(Table13[[#This Row],[Life Cover Amount]]="",Table13[[#This Row],[Funeral Cover Amount]]=""),0,onboarding_calcs!AA70)</f>
        <v>0</v>
      </c>
      <c r="V70" s="111"/>
      <c r="W70" s="111"/>
      <c r="X70" s="333"/>
      <c r="Y70" s="110"/>
      <c r="Z70" s="113"/>
      <c r="AA70" s="425"/>
      <c r="AB70" s="425"/>
      <c r="AC70" s="113"/>
      <c r="AD70" s="110"/>
      <c r="AE70" s="110"/>
      <c r="AF70" s="110"/>
      <c r="AG70" s="110"/>
      <c r="AH70" s="110"/>
      <c r="AI70" s="113"/>
      <c r="AJ70" s="110"/>
      <c r="AK70" s="110"/>
      <c r="AL70" s="110"/>
      <c r="AM70" s="110"/>
      <c r="AN70" s="110"/>
      <c r="AO70" s="113"/>
      <c r="AP70" s="113"/>
      <c r="AQ70" s="113"/>
      <c r="AR70" s="110"/>
      <c r="AS70" s="113"/>
      <c r="AT70" s="113"/>
      <c r="AU70" s="112"/>
      <c r="AV70" s="338"/>
      <c r="AW70" s="110"/>
      <c r="AX70" s="110"/>
      <c r="AY70" s="113"/>
      <c r="AZ70" s="113"/>
      <c r="BA70" s="113"/>
      <c r="BB70" s="113"/>
      <c r="BC70" s="113"/>
      <c r="BD70" s="113"/>
      <c r="BF7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71" spans="1:58" x14ac:dyDescent="0.3">
      <c r="A71" s="422"/>
      <c r="B71" s="376"/>
      <c r="C71" s="110"/>
      <c r="D71" s="110"/>
      <c r="E71" s="340"/>
      <c r="F71" s="330"/>
      <c r="G71" s="113"/>
      <c r="H71" s="332"/>
      <c r="I71" s="113"/>
      <c r="J71" s="332"/>
      <c r="K71" s="110"/>
      <c r="L71" s="110"/>
      <c r="M71" s="110"/>
      <c r="N71" s="110"/>
      <c r="O71" s="111"/>
      <c r="P71" s="424" t="str">
        <f>IF(OR(Table13[[#This Row],[Annual Increase Option]]="No increase",Table13[[#This Row],[Annual Increase Option]]=""),"",_xlfn.XLOOKUP(MONTH(Table13[[#This Row],[Commencement Date]]),Lookups!$I$19:$I$30,Lookups!$J$19:$J$30,0))</f>
        <v/>
      </c>
      <c r="Q71" s="340"/>
      <c r="R71" s="340"/>
      <c r="S71" s="360">
        <f>IF(Table13[[#This Row],[Life Cover Amount]]="",0,Table2[[#This Row],[Life Premium]])</f>
        <v>0</v>
      </c>
      <c r="T71" s="360">
        <f>IF(Table13[[#This Row],[Funeral Cover Amount]]=0,0,Table2[[#This Row],[Funeral Premium]])</f>
        <v>0</v>
      </c>
      <c r="U71" s="360">
        <f>IF(AND(Table13[[#This Row],[Life Cover Amount]]="",Table13[[#This Row],[Funeral Cover Amount]]=""),0,onboarding_calcs!AA71)</f>
        <v>0</v>
      </c>
      <c r="V71" s="111"/>
      <c r="W71" s="111"/>
      <c r="X71" s="333"/>
      <c r="Y71" s="110"/>
      <c r="Z71" s="113"/>
      <c r="AA71" s="425"/>
      <c r="AB71" s="425"/>
      <c r="AC71" s="113"/>
      <c r="AD71" s="110"/>
      <c r="AE71" s="110"/>
      <c r="AF71" s="110"/>
      <c r="AG71" s="110"/>
      <c r="AH71" s="110"/>
      <c r="AI71" s="113"/>
      <c r="AJ71" s="110"/>
      <c r="AK71" s="110"/>
      <c r="AL71" s="110"/>
      <c r="AM71" s="110"/>
      <c r="AN71" s="110"/>
      <c r="AO71" s="113"/>
      <c r="AP71" s="113"/>
      <c r="AQ71" s="113"/>
      <c r="AR71" s="110"/>
      <c r="AS71" s="113"/>
      <c r="AT71" s="113"/>
      <c r="AU71" s="112"/>
      <c r="AV71" s="338"/>
      <c r="AW71" s="110"/>
      <c r="AX71" s="110"/>
      <c r="AY71" s="113"/>
      <c r="AZ71" s="113"/>
      <c r="BA71" s="113"/>
      <c r="BB71" s="113"/>
      <c r="BC71" s="113"/>
      <c r="BD71" s="113"/>
      <c r="BF7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72" spans="1:58" x14ac:dyDescent="0.3">
      <c r="A72" s="422"/>
      <c r="B72" s="376"/>
      <c r="C72" s="110"/>
      <c r="D72" s="110"/>
      <c r="E72" s="340"/>
      <c r="F72" s="330"/>
      <c r="G72" s="113"/>
      <c r="H72" s="332"/>
      <c r="I72" s="113"/>
      <c r="J72" s="332"/>
      <c r="K72" s="110"/>
      <c r="L72" s="110"/>
      <c r="M72" s="110"/>
      <c r="N72" s="110"/>
      <c r="O72" s="111"/>
      <c r="P72" s="424" t="str">
        <f>IF(OR(Table13[[#This Row],[Annual Increase Option]]="No increase",Table13[[#This Row],[Annual Increase Option]]=""),"",_xlfn.XLOOKUP(MONTH(Table13[[#This Row],[Commencement Date]]),Lookups!$I$19:$I$30,Lookups!$J$19:$J$30,0))</f>
        <v/>
      </c>
      <c r="Q72" s="340"/>
      <c r="R72" s="340"/>
      <c r="S72" s="360">
        <f>IF(Table13[[#This Row],[Life Cover Amount]]="",0,Table2[[#This Row],[Life Premium]])</f>
        <v>0</v>
      </c>
      <c r="T72" s="360">
        <f>IF(Table13[[#This Row],[Funeral Cover Amount]]=0,0,Table2[[#This Row],[Funeral Premium]])</f>
        <v>0</v>
      </c>
      <c r="U72" s="360">
        <f>IF(AND(Table13[[#This Row],[Life Cover Amount]]="",Table13[[#This Row],[Funeral Cover Amount]]=""),0,onboarding_calcs!AA72)</f>
        <v>0</v>
      </c>
      <c r="V72" s="111"/>
      <c r="W72" s="111"/>
      <c r="X72" s="333"/>
      <c r="Y72" s="110"/>
      <c r="Z72" s="113"/>
      <c r="AA72" s="425"/>
      <c r="AB72" s="425"/>
      <c r="AC72" s="113"/>
      <c r="AD72" s="110"/>
      <c r="AE72" s="110"/>
      <c r="AF72" s="110"/>
      <c r="AG72" s="110"/>
      <c r="AH72" s="110"/>
      <c r="AI72" s="113"/>
      <c r="AJ72" s="110"/>
      <c r="AK72" s="110"/>
      <c r="AL72" s="110"/>
      <c r="AM72" s="110"/>
      <c r="AN72" s="110"/>
      <c r="AO72" s="113"/>
      <c r="AP72" s="113"/>
      <c r="AQ72" s="113"/>
      <c r="AR72" s="110"/>
      <c r="AS72" s="113"/>
      <c r="AT72" s="113"/>
      <c r="AU72" s="112"/>
      <c r="AV72" s="338"/>
      <c r="AW72" s="110"/>
      <c r="AX72" s="110"/>
      <c r="AY72" s="113"/>
      <c r="AZ72" s="113"/>
      <c r="BA72" s="113"/>
      <c r="BB72" s="113"/>
      <c r="BC72" s="113"/>
      <c r="BD72" s="113"/>
      <c r="BF7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73" spans="1:58" x14ac:dyDescent="0.3">
      <c r="A73" s="422"/>
      <c r="B73" s="376"/>
      <c r="C73" s="110"/>
      <c r="D73" s="110"/>
      <c r="E73" s="340"/>
      <c r="F73" s="330"/>
      <c r="G73" s="113"/>
      <c r="H73" s="332"/>
      <c r="I73" s="113"/>
      <c r="J73" s="332"/>
      <c r="K73" s="110"/>
      <c r="L73" s="110"/>
      <c r="M73" s="110"/>
      <c r="N73" s="110"/>
      <c r="O73" s="111"/>
      <c r="P73" s="424" t="str">
        <f>IF(OR(Table13[[#This Row],[Annual Increase Option]]="No increase",Table13[[#This Row],[Annual Increase Option]]=""),"",_xlfn.XLOOKUP(MONTH(Table13[[#This Row],[Commencement Date]]),Lookups!$I$19:$I$30,Lookups!$J$19:$J$30,0))</f>
        <v/>
      </c>
      <c r="Q73" s="340"/>
      <c r="R73" s="340"/>
      <c r="S73" s="360">
        <f>IF(Table13[[#This Row],[Life Cover Amount]]="",0,Table2[[#This Row],[Life Premium]])</f>
        <v>0</v>
      </c>
      <c r="T73" s="360">
        <f>IF(Table13[[#This Row],[Funeral Cover Amount]]=0,0,Table2[[#This Row],[Funeral Premium]])</f>
        <v>0</v>
      </c>
      <c r="U73" s="360">
        <f>IF(AND(Table13[[#This Row],[Life Cover Amount]]="",Table13[[#This Row],[Funeral Cover Amount]]=""),0,onboarding_calcs!AA73)</f>
        <v>0</v>
      </c>
      <c r="V73" s="111"/>
      <c r="W73" s="111"/>
      <c r="X73" s="333"/>
      <c r="Y73" s="110"/>
      <c r="Z73" s="113"/>
      <c r="AA73" s="425"/>
      <c r="AB73" s="425"/>
      <c r="AC73" s="113"/>
      <c r="AD73" s="110"/>
      <c r="AE73" s="110"/>
      <c r="AF73" s="110"/>
      <c r="AG73" s="110"/>
      <c r="AH73" s="110"/>
      <c r="AI73" s="113"/>
      <c r="AJ73" s="110"/>
      <c r="AK73" s="110"/>
      <c r="AL73" s="110"/>
      <c r="AM73" s="110"/>
      <c r="AN73" s="110"/>
      <c r="AO73" s="113"/>
      <c r="AP73" s="113"/>
      <c r="AQ73" s="113"/>
      <c r="AR73" s="110"/>
      <c r="AS73" s="113"/>
      <c r="AT73" s="113"/>
      <c r="AU73" s="112"/>
      <c r="AV73" s="338"/>
      <c r="AW73" s="110"/>
      <c r="AX73" s="110"/>
      <c r="AY73" s="113"/>
      <c r="AZ73" s="113"/>
      <c r="BA73" s="113"/>
      <c r="BB73" s="113"/>
      <c r="BC73" s="113"/>
      <c r="BD73" s="113"/>
      <c r="BF7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74" spans="1:58" x14ac:dyDescent="0.3">
      <c r="A74" s="422"/>
      <c r="B74" s="376"/>
      <c r="C74" s="110"/>
      <c r="D74" s="110"/>
      <c r="E74" s="340"/>
      <c r="F74" s="330"/>
      <c r="G74" s="113"/>
      <c r="H74" s="332"/>
      <c r="I74" s="113"/>
      <c r="J74" s="332"/>
      <c r="K74" s="110"/>
      <c r="L74" s="110"/>
      <c r="M74" s="110"/>
      <c r="N74" s="110"/>
      <c r="O74" s="111"/>
      <c r="P74" s="424" t="str">
        <f>IF(OR(Table13[[#This Row],[Annual Increase Option]]="No increase",Table13[[#This Row],[Annual Increase Option]]=""),"",_xlfn.XLOOKUP(MONTH(Table13[[#This Row],[Commencement Date]]),Lookups!$I$19:$I$30,Lookups!$J$19:$J$30,0))</f>
        <v/>
      </c>
      <c r="Q74" s="340"/>
      <c r="R74" s="340"/>
      <c r="S74" s="360">
        <f>IF(Table13[[#This Row],[Life Cover Amount]]="",0,Table2[[#This Row],[Life Premium]])</f>
        <v>0</v>
      </c>
      <c r="T74" s="360">
        <f>IF(Table13[[#This Row],[Funeral Cover Amount]]=0,0,Table2[[#This Row],[Funeral Premium]])</f>
        <v>0</v>
      </c>
      <c r="U74" s="360">
        <f>IF(AND(Table13[[#This Row],[Life Cover Amount]]="",Table13[[#This Row],[Funeral Cover Amount]]=""),0,onboarding_calcs!AA74)</f>
        <v>0</v>
      </c>
      <c r="V74" s="111"/>
      <c r="W74" s="111"/>
      <c r="X74" s="333"/>
      <c r="Y74" s="110"/>
      <c r="Z74" s="113"/>
      <c r="AA74" s="425"/>
      <c r="AB74" s="425"/>
      <c r="AC74" s="113"/>
      <c r="AD74" s="110"/>
      <c r="AE74" s="110"/>
      <c r="AF74" s="110"/>
      <c r="AG74" s="110"/>
      <c r="AH74" s="110"/>
      <c r="AI74" s="113"/>
      <c r="AJ74" s="110"/>
      <c r="AK74" s="110"/>
      <c r="AL74" s="110"/>
      <c r="AM74" s="110"/>
      <c r="AN74" s="110"/>
      <c r="AO74" s="113"/>
      <c r="AP74" s="113"/>
      <c r="AQ74" s="113"/>
      <c r="AR74" s="110"/>
      <c r="AS74" s="113"/>
      <c r="AT74" s="113"/>
      <c r="AU74" s="112"/>
      <c r="AV74" s="338"/>
      <c r="AW74" s="110"/>
      <c r="AX74" s="110"/>
      <c r="AY74" s="113"/>
      <c r="AZ74" s="113"/>
      <c r="BA74" s="113"/>
      <c r="BB74" s="113"/>
      <c r="BC74" s="113"/>
      <c r="BD74" s="113"/>
      <c r="BF7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75" spans="1:58" x14ac:dyDescent="0.3">
      <c r="A75" s="422"/>
      <c r="B75" s="376"/>
      <c r="C75" s="110"/>
      <c r="D75" s="110"/>
      <c r="E75" s="340"/>
      <c r="F75" s="330"/>
      <c r="G75" s="113"/>
      <c r="H75" s="332"/>
      <c r="I75" s="113"/>
      <c r="J75" s="332"/>
      <c r="K75" s="110"/>
      <c r="L75" s="110"/>
      <c r="M75" s="110"/>
      <c r="N75" s="110"/>
      <c r="O75" s="111"/>
      <c r="P75" s="424" t="str">
        <f>IF(OR(Table13[[#This Row],[Annual Increase Option]]="No increase",Table13[[#This Row],[Annual Increase Option]]=""),"",_xlfn.XLOOKUP(MONTH(Table13[[#This Row],[Commencement Date]]),Lookups!$I$19:$I$30,Lookups!$J$19:$J$30,0))</f>
        <v/>
      </c>
      <c r="Q75" s="340"/>
      <c r="R75" s="340"/>
      <c r="S75" s="360">
        <f>IF(Table13[[#This Row],[Life Cover Amount]]="",0,Table2[[#This Row],[Life Premium]])</f>
        <v>0</v>
      </c>
      <c r="T75" s="360">
        <f>IF(Table13[[#This Row],[Funeral Cover Amount]]=0,0,Table2[[#This Row],[Funeral Premium]])</f>
        <v>0</v>
      </c>
      <c r="U75" s="360">
        <f>IF(AND(Table13[[#This Row],[Life Cover Amount]]="",Table13[[#This Row],[Funeral Cover Amount]]=""),0,onboarding_calcs!AA75)</f>
        <v>0</v>
      </c>
      <c r="V75" s="111"/>
      <c r="W75" s="111"/>
      <c r="X75" s="333"/>
      <c r="Y75" s="110"/>
      <c r="Z75" s="113"/>
      <c r="AA75" s="425"/>
      <c r="AB75" s="425"/>
      <c r="AC75" s="113"/>
      <c r="AD75" s="110"/>
      <c r="AE75" s="110"/>
      <c r="AF75" s="110"/>
      <c r="AG75" s="110"/>
      <c r="AH75" s="110"/>
      <c r="AI75" s="113"/>
      <c r="AJ75" s="110"/>
      <c r="AK75" s="110"/>
      <c r="AL75" s="110"/>
      <c r="AM75" s="110"/>
      <c r="AN75" s="110"/>
      <c r="AO75" s="113"/>
      <c r="AP75" s="113"/>
      <c r="AQ75" s="113"/>
      <c r="AR75" s="110"/>
      <c r="AS75" s="113"/>
      <c r="AT75" s="113"/>
      <c r="AU75" s="112"/>
      <c r="AV75" s="338"/>
      <c r="AW75" s="110"/>
      <c r="AX75" s="110"/>
      <c r="AY75" s="113"/>
      <c r="AZ75" s="113"/>
      <c r="BA75" s="113"/>
      <c r="BB75" s="113"/>
      <c r="BC75" s="113"/>
      <c r="BD75" s="113"/>
      <c r="BF7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76" spans="1:58" x14ac:dyDescent="0.3">
      <c r="A76" s="422"/>
      <c r="B76" s="376"/>
      <c r="C76" s="110"/>
      <c r="D76" s="110"/>
      <c r="E76" s="340"/>
      <c r="F76" s="330"/>
      <c r="G76" s="113"/>
      <c r="H76" s="332"/>
      <c r="I76" s="113"/>
      <c r="J76" s="332"/>
      <c r="K76" s="110"/>
      <c r="L76" s="110"/>
      <c r="M76" s="110"/>
      <c r="N76" s="110"/>
      <c r="O76" s="111"/>
      <c r="P76" s="424" t="str">
        <f>IF(OR(Table13[[#This Row],[Annual Increase Option]]="No increase",Table13[[#This Row],[Annual Increase Option]]=""),"",_xlfn.XLOOKUP(MONTH(Table13[[#This Row],[Commencement Date]]),Lookups!$I$19:$I$30,Lookups!$J$19:$J$30,0))</f>
        <v/>
      </c>
      <c r="Q76" s="340"/>
      <c r="R76" s="340"/>
      <c r="S76" s="360">
        <f>IF(Table13[[#This Row],[Life Cover Amount]]="",0,Table2[[#This Row],[Life Premium]])</f>
        <v>0</v>
      </c>
      <c r="T76" s="360">
        <f>IF(Table13[[#This Row],[Funeral Cover Amount]]=0,0,Table2[[#This Row],[Funeral Premium]])</f>
        <v>0</v>
      </c>
      <c r="U76" s="360">
        <f>IF(AND(Table13[[#This Row],[Life Cover Amount]]="",Table13[[#This Row],[Funeral Cover Amount]]=""),0,onboarding_calcs!AA76)</f>
        <v>0</v>
      </c>
      <c r="V76" s="111"/>
      <c r="W76" s="111"/>
      <c r="X76" s="333"/>
      <c r="Y76" s="110"/>
      <c r="Z76" s="113"/>
      <c r="AA76" s="425"/>
      <c r="AB76" s="425"/>
      <c r="AC76" s="113"/>
      <c r="AD76" s="110"/>
      <c r="AE76" s="110"/>
      <c r="AF76" s="110"/>
      <c r="AG76" s="110"/>
      <c r="AH76" s="110"/>
      <c r="AI76" s="113"/>
      <c r="AJ76" s="110"/>
      <c r="AK76" s="110"/>
      <c r="AL76" s="110"/>
      <c r="AM76" s="110"/>
      <c r="AN76" s="110"/>
      <c r="AO76" s="113"/>
      <c r="AP76" s="113"/>
      <c r="AQ76" s="113"/>
      <c r="AR76" s="110"/>
      <c r="AS76" s="113"/>
      <c r="AT76" s="113"/>
      <c r="AU76" s="112"/>
      <c r="AV76" s="338"/>
      <c r="AW76" s="110"/>
      <c r="AX76" s="110"/>
      <c r="AY76" s="113"/>
      <c r="AZ76" s="113"/>
      <c r="BA76" s="113"/>
      <c r="BB76" s="113"/>
      <c r="BC76" s="113"/>
      <c r="BD76" s="113"/>
      <c r="BF7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77" spans="1:58" x14ac:dyDescent="0.3">
      <c r="A77" s="422"/>
      <c r="B77" s="376"/>
      <c r="C77" s="110"/>
      <c r="D77" s="110"/>
      <c r="E77" s="340"/>
      <c r="F77" s="330"/>
      <c r="G77" s="113"/>
      <c r="H77" s="332"/>
      <c r="I77" s="113"/>
      <c r="J77" s="332"/>
      <c r="K77" s="110"/>
      <c r="L77" s="110"/>
      <c r="M77" s="110"/>
      <c r="N77" s="110"/>
      <c r="O77" s="111"/>
      <c r="P77" s="424" t="str">
        <f>IF(OR(Table13[[#This Row],[Annual Increase Option]]="No increase",Table13[[#This Row],[Annual Increase Option]]=""),"",_xlfn.XLOOKUP(MONTH(Table13[[#This Row],[Commencement Date]]),Lookups!$I$19:$I$30,Lookups!$J$19:$J$30,0))</f>
        <v/>
      </c>
      <c r="Q77" s="340"/>
      <c r="R77" s="340"/>
      <c r="S77" s="360">
        <f>IF(Table13[[#This Row],[Life Cover Amount]]="",0,Table2[[#This Row],[Life Premium]])</f>
        <v>0</v>
      </c>
      <c r="T77" s="360">
        <f>IF(Table13[[#This Row],[Funeral Cover Amount]]=0,0,Table2[[#This Row],[Funeral Premium]])</f>
        <v>0</v>
      </c>
      <c r="U77" s="360">
        <f>IF(AND(Table13[[#This Row],[Life Cover Amount]]="",Table13[[#This Row],[Funeral Cover Amount]]=""),0,onboarding_calcs!AA77)</f>
        <v>0</v>
      </c>
      <c r="V77" s="111"/>
      <c r="W77" s="111"/>
      <c r="X77" s="333"/>
      <c r="Y77" s="110"/>
      <c r="Z77" s="113"/>
      <c r="AA77" s="425"/>
      <c r="AB77" s="425"/>
      <c r="AC77" s="113"/>
      <c r="AD77" s="110"/>
      <c r="AE77" s="110"/>
      <c r="AF77" s="110"/>
      <c r="AG77" s="110"/>
      <c r="AH77" s="110"/>
      <c r="AI77" s="113"/>
      <c r="AJ77" s="110"/>
      <c r="AK77" s="110"/>
      <c r="AL77" s="110"/>
      <c r="AM77" s="110"/>
      <c r="AN77" s="110"/>
      <c r="AO77" s="113"/>
      <c r="AP77" s="113"/>
      <c r="AQ77" s="113"/>
      <c r="AR77" s="110"/>
      <c r="AS77" s="113"/>
      <c r="AT77" s="113"/>
      <c r="AU77" s="112"/>
      <c r="AV77" s="338"/>
      <c r="AW77" s="110"/>
      <c r="AX77" s="110"/>
      <c r="AY77" s="113"/>
      <c r="AZ77" s="113"/>
      <c r="BA77" s="113"/>
      <c r="BB77" s="113"/>
      <c r="BC77" s="113"/>
      <c r="BD77" s="113"/>
      <c r="BF7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78" spans="1:58" x14ac:dyDescent="0.3">
      <c r="A78" s="422"/>
      <c r="B78" s="376"/>
      <c r="C78" s="110"/>
      <c r="D78" s="110"/>
      <c r="E78" s="340"/>
      <c r="F78" s="330"/>
      <c r="G78" s="113"/>
      <c r="H78" s="332"/>
      <c r="I78" s="113"/>
      <c r="J78" s="332"/>
      <c r="K78" s="110"/>
      <c r="L78" s="110"/>
      <c r="M78" s="110"/>
      <c r="N78" s="110"/>
      <c r="O78" s="111"/>
      <c r="P78" s="424" t="str">
        <f>IF(OR(Table13[[#This Row],[Annual Increase Option]]="No increase",Table13[[#This Row],[Annual Increase Option]]=""),"",_xlfn.XLOOKUP(MONTH(Table13[[#This Row],[Commencement Date]]),Lookups!$I$19:$I$30,Lookups!$J$19:$J$30,0))</f>
        <v/>
      </c>
      <c r="Q78" s="340"/>
      <c r="R78" s="340"/>
      <c r="S78" s="360">
        <f>IF(Table13[[#This Row],[Life Cover Amount]]="",0,Table2[[#This Row],[Life Premium]])</f>
        <v>0</v>
      </c>
      <c r="T78" s="360">
        <f>IF(Table13[[#This Row],[Funeral Cover Amount]]=0,0,Table2[[#This Row],[Funeral Premium]])</f>
        <v>0</v>
      </c>
      <c r="U78" s="360">
        <f>IF(AND(Table13[[#This Row],[Life Cover Amount]]="",Table13[[#This Row],[Funeral Cover Amount]]=""),0,onboarding_calcs!AA78)</f>
        <v>0</v>
      </c>
      <c r="V78" s="111"/>
      <c r="W78" s="111"/>
      <c r="X78" s="333"/>
      <c r="Y78" s="110"/>
      <c r="Z78" s="113"/>
      <c r="AA78" s="425"/>
      <c r="AB78" s="425"/>
      <c r="AC78" s="113"/>
      <c r="AD78" s="110"/>
      <c r="AE78" s="110"/>
      <c r="AF78" s="110"/>
      <c r="AG78" s="110"/>
      <c r="AH78" s="110"/>
      <c r="AI78" s="113"/>
      <c r="AJ78" s="110"/>
      <c r="AK78" s="110"/>
      <c r="AL78" s="110"/>
      <c r="AM78" s="110"/>
      <c r="AN78" s="110"/>
      <c r="AO78" s="113"/>
      <c r="AP78" s="113"/>
      <c r="AQ78" s="113"/>
      <c r="AR78" s="110"/>
      <c r="AS78" s="113"/>
      <c r="AT78" s="113"/>
      <c r="AU78" s="112"/>
      <c r="AV78" s="338"/>
      <c r="AW78" s="110"/>
      <c r="AX78" s="110"/>
      <c r="AY78" s="113"/>
      <c r="AZ78" s="113"/>
      <c r="BA78" s="113"/>
      <c r="BB78" s="113"/>
      <c r="BC78" s="113"/>
      <c r="BD78" s="113"/>
      <c r="BF7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79" spans="1:58" x14ac:dyDescent="0.3">
      <c r="A79" s="422"/>
      <c r="B79" s="376"/>
      <c r="C79" s="110"/>
      <c r="D79" s="110"/>
      <c r="E79" s="340"/>
      <c r="F79" s="330"/>
      <c r="G79" s="113"/>
      <c r="H79" s="332"/>
      <c r="I79" s="113"/>
      <c r="J79" s="332"/>
      <c r="K79" s="110"/>
      <c r="L79" s="110"/>
      <c r="M79" s="110"/>
      <c r="N79" s="110"/>
      <c r="O79" s="111"/>
      <c r="P79" s="424" t="str">
        <f>IF(OR(Table13[[#This Row],[Annual Increase Option]]="No increase",Table13[[#This Row],[Annual Increase Option]]=""),"",_xlfn.XLOOKUP(MONTH(Table13[[#This Row],[Commencement Date]]),Lookups!$I$19:$I$30,Lookups!$J$19:$J$30,0))</f>
        <v/>
      </c>
      <c r="Q79" s="340"/>
      <c r="R79" s="340"/>
      <c r="S79" s="360">
        <f>IF(Table13[[#This Row],[Life Cover Amount]]="",0,Table2[[#This Row],[Life Premium]])</f>
        <v>0</v>
      </c>
      <c r="T79" s="360">
        <f>IF(Table13[[#This Row],[Funeral Cover Amount]]=0,0,Table2[[#This Row],[Funeral Premium]])</f>
        <v>0</v>
      </c>
      <c r="U79" s="360">
        <f>IF(AND(Table13[[#This Row],[Life Cover Amount]]="",Table13[[#This Row],[Funeral Cover Amount]]=""),0,onboarding_calcs!AA79)</f>
        <v>0</v>
      </c>
      <c r="V79" s="111"/>
      <c r="W79" s="111"/>
      <c r="X79" s="333"/>
      <c r="Y79" s="110"/>
      <c r="Z79" s="113"/>
      <c r="AA79" s="425"/>
      <c r="AB79" s="425"/>
      <c r="AC79" s="113"/>
      <c r="AD79" s="110"/>
      <c r="AE79" s="110"/>
      <c r="AF79" s="110"/>
      <c r="AG79" s="110"/>
      <c r="AH79" s="110"/>
      <c r="AI79" s="113"/>
      <c r="AJ79" s="110"/>
      <c r="AK79" s="110"/>
      <c r="AL79" s="110"/>
      <c r="AM79" s="110"/>
      <c r="AN79" s="110"/>
      <c r="AO79" s="113"/>
      <c r="AP79" s="113"/>
      <c r="AQ79" s="113"/>
      <c r="AR79" s="110"/>
      <c r="AS79" s="113"/>
      <c r="AT79" s="113"/>
      <c r="AU79" s="112"/>
      <c r="AV79" s="338"/>
      <c r="AW79" s="110"/>
      <c r="AX79" s="110"/>
      <c r="AY79" s="113"/>
      <c r="AZ79" s="113"/>
      <c r="BA79" s="113"/>
      <c r="BB79" s="113"/>
      <c r="BC79" s="113"/>
      <c r="BD79" s="113"/>
      <c r="BF7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80" spans="1:58" x14ac:dyDescent="0.3">
      <c r="A80" s="422"/>
      <c r="B80" s="376"/>
      <c r="C80" s="110"/>
      <c r="D80" s="110"/>
      <c r="E80" s="340"/>
      <c r="F80" s="330"/>
      <c r="G80" s="113"/>
      <c r="H80" s="332"/>
      <c r="I80" s="113"/>
      <c r="J80" s="332"/>
      <c r="K80" s="110"/>
      <c r="L80" s="110"/>
      <c r="M80" s="110"/>
      <c r="N80" s="110"/>
      <c r="O80" s="111"/>
      <c r="P80" s="424" t="str">
        <f>IF(OR(Table13[[#This Row],[Annual Increase Option]]="No increase",Table13[[#This Row],[Annual Increase Option]]=""),"",_xlfn.XLOOKUP(MONTH(Table13[[#This Row],[Commencement Date]]),Lookups!$I$19:$I$30,Lookups!$J$19:$J$30,0))</f>
        <v/>
      </c>
      <c r="Q80" s="340"/>
      <c r="R80" s="340"/>
      <c r="S80" s="360">
        <f>IF(Table13[[#This Row],[Life Cover Amount]]="",0,Table2[[#This Row],[Life Premium]])</f>
        <v>0</v>
      </c>
      <c r="T80" s="360">
        <f>IF(Table13[[#This Row],[Funeral Cover Amount]]=0,0,Table2[[#This Row],[Funeral Premium]])</f>
        <v>0</v>
      </c>
      <c r="U80" s="360">
        <f>IF(AND(Table13[[#This Row],[Life Cover Amount]]="",Table13[[#This Row],[Funeral Cover Amount]]=""),0,onboarding_calcs!AA80)</f>
        <v>0</v>
      </c>
      <c r="V80" s="111"/>
      <c r="W80" s="111"/>
      <c r="X80" s="333"/>
      <c r="Y80" s="110"/>
      <c r="Z80" s="113"/>
      <c r="AA80" s="425"/>
      <c r="AB80" s="425"/>
      <c r="AC80" s="113"/>
      <c r="AD80" s="110"/>
      <c r="AE80" s="110"/>
      <c r="AF80" s="110"/>
      <c r="AG80" s="110"/>
      <c r="AH80" s="110"/>
      <c r="AI80" s="113"/>
      <c r="AJ80" s="110"/>
      <c r="AK80" s="110"/>
      <c r="AL80" s="110"/>
      <c r="AM80" s="110"/>
      <c r="AN80" s="110"/>
      <c r="AO80" s="113"/>
      <c r="AP80" s="113"/>
      <c r="AQ80" s="113"/>
      <c r="AR80" s="110"/>
      <c r="AS80" s="113"/>
      <c r="AT80" s="113"/>
      <c r="AU80" s="112"/>
      <c r="AV80" s="338"/>
      <c r="AW80" s="110"/>
      <c r="AX80" s="110"/>
      <c r="AY80" s="113"/>
      <c r="AZ80" s="113"/>
      <c r="BA80" s="113"/>
      <c r="BB80" s="113"/>
      <c r="BC80" s="113"/>
      <c r="BD80" s="113"/>
      <c r="BF8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81" spans="1:58" x14ac:dyDescent="0.3">
      <c r="A81" s="422"/>
      <c r="B81" s="376"/>
      <c r="C81" s="110"/>
      <c r="D81" s="110"/>
      <c r="E81" s="340"/>
      <c r="F81" s="330"/>
      <c r="G81" s="113"/>
      <c r="H81" s="332"/>
      <c r="I81" s="113"/>
      <c r="J81" s="332"/>
      <c r="K81" s="110"/>
      <c r="L81" s="110"/>
      <c r="M81" s="110"/>
      <c r="N81" s="110"/>
      <c r="O81" s="111"/>
      <c r="P81" s="424" t="str">
        <f>IF(OR(Table13[[#This Row],[Annual Increase Option]]="No increase",Table13[[#This Row],[Annual Increase Option]]=""),"",_xlfn.XLOOKUP(MONTH(Table13[[#This Row],[Commencement Date]]),Lookups!$I$19:$I$30,Lookups!$J$19:$J$30,0))</f>
        <v/>
      </c>
      <c r="Q81" s="340"/>
      <c r="R81" s="340"/>
      <c r="S81" s="360">
        <f>IF(Table13[[#This Row],[Life Cover Amount]]="",0,Table2[[#This Row],[Life Premium]])</f>
        <v>0</v>
      </c>
      <c r="T81" s="360">
        <f>IF(Table13[[#This Row],[Funeral Cover Amount]]=0,0,Table2[[#This Row],[Funeral Premium]])</f>
        <v>0</v>
      </c>
      <c r="U81" s="360">
        <f>IF(AND(Table13[[#This Row],[Life Cover Amount]]="",Table13[[#This Row],[Funeral Cover Amount]]=""),0,onboarding_calcs!AA81)</f>
        <v>0</v>
      </c>
      <c r="V81" s="111"/>
      <c r="W81" s="111"/>
      <c r="X81" s="333"/>
      <c r="Y81" s="110"/>
      <c r="Z81" s="113"/>
      <c r="AA81" s="425"/>
      <c r="AB81" s="425"/>
      <c r="AC81" s="113"/>
      <c r="AD81" s="110"/>
      <c r="AE81" s="110"/>
      <c r="AF81" s="110"/>
      <c r="AG81" s="110"/>
      <c r="AH81" s="110"/>
      <c r="AI81" s="113"/>
      <c r="AJ81" s="110"/>
      <c r="AK81" s="110"/>
      <c r="AL81" s="110"/>
      <c r="AM81" s="110"/>
      <c r="AN81" s="110"/>
      <c r="AO81" s="113"/>
      <c r="AP81" s="113"/>
      <c r="AQ81" s="113"/>
      <c r="AR81" s="110"/>
      <c r="AS81" s="113"/>
      <c r="AT81" s="113"/>
      <c r="AU81" s="112"/>
      <c r="AV81" s="338"/>
      <c r="AW81" s="110"/>
      <c r="AX81" s="110"/>
      <c r="AY81" s="113"/>
      <c r="AZ81" s="113"/>
      <c r="BA81" s="113"/>
      <c r="BB81" s="113"/>
      <c r="BC81" s="113"/>
      <c r="BD81" s="113"/>
      <c r="BF8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82" spans="1:58" x14ac:dyDescent="0.3">
      <c r="A82" s="422"/>
      <c r="B82" s="376"/>
      <c r="C82" s="110"/>
      <c r="D82" s="110"/>
      <c r="E82" s="340"/>
      <c r="F82" s="330"/>
      <c r="G82" s="113"/>
      <c r="H82" s="332"/>
      <c r="I82" s="113"/>
      <c r="J82" s="332"/>
      <c r="K82" s="110"/>
      <c r="L82" s="110"/>
      <c r="M82" s="110"/>
      <c r="N82" s="110"/>
      <c r="O82" s="111"/>
      <c r="P82" s="424" t="str">
        <f>IF(OR(Table13[[#This Row],[Annual Increase Option]]="No increase",Table13[[#This Row],[Annual Increase Option]]=""),"",_xlfn.XLOOKUP(MONTH(Table13[[#This Row],[Commencement Date]]),Lookups!$I$19:$I$30,Lookups!$J$19:$J$30,0))</f>
        <v/>
      </c>
      <c r="Q82" s="340"/>
      <c r="R82" s="340"/>
      <c r="S82" s="360">
        <f>IF(Table13[[#This Row],[Life Cover Amount]]="",0,Table2[[#This Row],[Life Premium]])</f>
        <v>0</v>
      </c>
      <c r="T82" s="360">
        <f>IF(Table13[[#This Row],[Funeral Cover Amount]]=0,0,Table2[[#This Row],[Funeral Premium]])</f>
        <v>0</v>
      </c>
      <c r="U82" s="360">
        <f>IF(AND(Table13[[#This Row],[Life Cover Amount]]="",Table13[[#This Row],[Funeral Cover Amount]]=""),0,onboarding_calcs!AA82)</f>
        <v>0</v>
      </c>
      <c r="V82" s="111"/>
      <c r="W82" s="111"/>
      <c r="X82" s="333"/>
      <c r="Y82" s="110"/>
      <c r="Z82" s="113"/>
      <c r="AA82" s="425"/>
      <c r="AB82" s="425"/>
      <c r="AC82" s="113"/>
      <c r="AD82" s="110"/>
      <c r="AE82" s="110"/>
      <c r="AF82" s="110"/>
      <c r="AG82" s="110"/>
      <c r="AH82" s="110"/>
      <c r="AI82" s="113"/>
      <c r="AJ82" s="110"/>
      <c r="AK82" s="110"/>
      <c r="AL82" s="110"/>
      <c r="AM82" s="110"/>
      <c r="AN82" s="110"/>
      <c r="AO82" s="113"/>
      <c r="AP82" s="113"/>
      <c r="AQ82" s="113"/>
      <c r="AR82" s="110"/>
      <c r="AS82" s="113"/>
      <c r="AT82" s="113"/>
      <c r="AU82" s="112"/>
      <c r="AV82" s="338"/>
      <c r="AW82" s="110"/>
      <c r="AX82" s="110"/>
      <c r="AY82" s="113"/>
      <c r="AZ82" s="113"/>
      <c r="BA82" s="113"/>
      <c r="BB82" s="113"/>
      <c r="BC82" s="113"/>
      <c r="BD82" s="113"/>
      <c r="BF8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83" spans="1:58" x14ac:dyDescent="0.3">
      <c r="A83" s="422"/>
      <c r="B83" s="376"/>
      <c r="C83" s="110"/>
      <c r="D83" s="110"/>
      <c r="E83" s="340"/>
      <c r="F83" s="330"/>
      <c r="G83" s="113"/>
      <c r="H83" s="332"/>
      <c r="I83" s="113"/>
      <c r="J83" s="332"/>
      <c r="K83" s="110"/>
      <c r="L83" s="110"/>
      <c r="M83" s="110"/>
      <c r="N83" s="110"/>
      <c r="O83" s="111"/>
      <c r="P83" s="424" t="str">
        <f>IF(OR(Table13[[#This Row],[Annual Increase Option]]="No increase",Table13[[#This Row],[Annual Increase Option]]=""),"",_xlfn.XLOOKUP(MONTH(Table13[[#This Row],[Commencement Date]]),Lookups!$I$19:$I$30,Lookups!$J$19:$J$30,0))</f>
        <v/>
      </c>
      <c r="Q83" s="340"/>
      <c r="R83" s="340"/>
      <c r="S83" s="360">
        <f>IF(Table13[[#This Row],[Life Cover Amount]]="",0,Table2[[#This Row],[Life Premium]])</f>
        <v>0</v>
      </c>
      <c r="T83" s="360">
        <f>IF(Table13[[#This Row],[Funeral Cover Amount]]=0,0,Table2[[#This Row],[Funeral Premium]])</f>
        <v>0</v>
      </c>
      <c r="U83" s="360">
        <f>IF(AND(Table13[[#This Row],[Life Cover Amount]]="",Table13[[#This Row],[Funeral Cover Amount]]=""),0,onboarding_calcs!AA83)</f>
        <v>0</v>
      </c>
      <c r="V83" s="111"/>
      <c r="W83" s="111"/>
      <c r="X83" s="333"/>
      <c r="Y83" s="110"/>
      <c r="Z83" s="113"/>
      <c r="AA83" s="425"/>
      <c r="AB83" s="425"/>
      <c r="AC83" s="113"/>
      <c r="AD83" s="110"/>
      <c r="AE83" s="110"/>
      <c r="AF83" s="110"/>
      <c r="AG83" s="110"/>
      <c r="AH83" s="110"/>
      <c r="AI83" s="113"/>
      <c r="AJ83" s="110"/>
      <c r="AK83" s="110"/>
      <c r="AL83" s="110"/>
      <c r="AM83" s="110"/>
      <c r="AN83" s="110"/>
      <c r="AO83" s="113"/>
      <c r="AP83" s="113"/>
      <c r="AQ83" s="113"/>
      <c r="AR83" s="110"/>
      <c r="AS83" s="113"/>
      <c r="AT83" s="113"/>
      <c r="AU83" s="112"/>
      <c r="AV83" s="338"/>
      <c r="AW83" s="110"/>
      <c r="AX83" s="110"/>
      <c r="AY83" s="113"/>
      <c r="AZ83" s="113"/>
      <c r="BA83" s="113"/>
      <c r="BB83" s="113"/>
      <c r="BC83" s="113"/>
      <c r="BD83" s="113"/>
      <c r="BF8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84" spans="1:58" x14ac:dyDescent="0.3">
      <c r="A84" s="422"/>
      <c r="B84" s="376"/>
      <c r="C84" s="110"/>
      <c r="D84" s="110"/>
      <c r="E84" s="340"/>
      <c r="F84" s="330"/>
      <c r="G84" s="113"/>
      <c r="H84" s="332"/>
      <c r="I84" s="113"/>
      <c r="J84" s="332"/>
      <c r="K84" s="110"/>
      <c r="L84" s="110"/>
      <c r="M84" s="110"/>
      <c r="N84" s="110"/>
      <c r="O84" s="111"/>
      <c r="P84" s="424" t="str">
        <f>IF(OR(Table13[[#This Row],[Annual Increase Option]]="No increase",Table13[[#This Row],[Annual Increase Option]]=""),"",_xlfn.XLOOKUP(MONTH(Table13[[#This Row],[Commencement Date]]),Lookups!$I$19:$I$30,Lookups!$J$19:$J$30,0))</f>
        <v/>
      </c>
      <c r="Q84" s="340"/>
      <c r="R84" s="340"/>
      <c r="S84" s="360">
        <f>IF(Table13[[#This Row],[Life Cover Amount]]="",0,Table2[[#This Row],[Life Premium]])</f>
        <v>0</v>
      </c>
      <c r="T84" s="360">
        <f>IF(Table13[[#This Row],[Funeral Cover Amount]]=0,0,Table2[[#This Row],[Funeral Premium]])</f>
        <v>0</v>
      </c>
      <c r="U84" s="360">
        <f>IF(AND(Table13[[#This Row],[Life Cover Amount]]="",Table13[[#This Row],[Funeral Cover Amount]]=""),0,onboarding_calcs!AA84)</f>
        <v>0</v>
      </c>
      <c r="V84" s="111"/>
      <c r="W84" s="111"/>
      <c r="X84" s="333"/>
      <c r="Y84" s="110"/>
      <c r="Z84" s="113"/>
      <c r="AA84" s="425"/>
      <c r="AB84" s="425"/>
      <c r="AC84" s="113"/>
      <c r="AD84" s="110"/>
      <c r="AE84" s="110"/>
      <c r="AF84" s="110"/>
      <c r="AG84" s="110"/>
      <c r="AH84" s="110"/>
      <c r="AI84" s="113"/>
      <c r="AJ84" s="110"/>
      <c r="AK84" s="110"/>
      <c r="AL84" s="110"/>
      <c r="AM84" s="110"/>
      <c r="AN84" s="110"/>
      <c r="AO84" s="113"/>
      <c r="AP84" s="113"/>
      <c r="AQ84" s="113"/>
      <c r="AR84" s="110"/>
      <c r="AS84" s="113"/>
      <c r="AT84" s="113"/>
      <c r="AU84" s="112"/>
      <c r="AV84" s="338"/>
      <c r="AW84" s="110"/>
      <c r="AX84" s="110"/>
      <c r="AY84" s="113"/>
      <c r="AZ84" s="113"/>
      <c r="BA84" s="113"/>
      <c r="BB84" s="113"/>
      <c r="BC84" s="113"/>
      <c r="BD84" s="113"/>
      <c r="BF8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85" spans="1:58" x14ac:dyDescent="0.3">
      <c r="A85" s="422"/>
      <c r="B85" s="376"/>
      <c r="C85" s="110"/>
      <c r="D85" s="110"/>
      <c r="E85" s="340"/>
      <c r="F85" s="330"/>
      <c r="G85" s="113"/>
      <c r="H85" s="332"/>
      <c r="I85" s="113"/>
      <c r="J85" s="332"/>
      <c r="K85" s="110"/>
      <c r="L85" s="110"/>
      <c r="M85" s="110"/>
      <c r="N85" s="110"/>
      <c r="O85" s="111"/>
      <c r="P85" s="424" t="str">
        <f>IF(OR(Table13[[#This Row],[Annual Increase Option]]="No increase",Table13[[#This Row],[Annual Increase Option]]=""),"",_xlfn.XLOOKUP(MONTH(Table13[[#This Row],[Commencement Date]]),Lookups!$I$19:$I$30,Lookups!$J$19:$J$30,0))</f>
        <v/>
      </c>
      <c r="Q85" s="340"/>
      <c r="R85" s="340"/>
      <c r="S85" s="360">
        <f>IF(Table13[[#This Row],[Life Cover Amount]]="",0,Table2[[#This Row],[Life Premium]])</f>
        <v>0</v>
      </c>
      <c r="T85" s="360">
        <f>IF(Table13[[#This Row],[Funeral Cover Amount]]=0,0,Table2[[#This Row],[Funeral Premium]])</f>
        <v>0</v>
      </c>
      <c r="U85" s="360">
        <f>IF(AND(Table13[[#This Row],[Life Cover Amount]]="",Table13[[#This Row],[Funeral Cover Amount]]=""),0,onboarding_calcs!AA85)</f>
        <v>0</v>
      </c>
      <c r="V85" s="111"/>
      <c r="W85" s="111"/>
      <c r="X85" s="333"/>
      <c r="Y85" s="110"/>
      <c r="Z85" s="113"/>
      <c r="AA85" s="425"/>
      <c r="AB85" s="425"/>
      <c r="AC85" s="113"/>
      <c r="AD85" s="110"/>
      <c r="AE85" s="110"/>
      <c r="AF85" s="110"/>
      <c r="AG85" s="110"/>
      <c r="AH85" s="110"/>
      <c r="AI85" s="113"/>
      <c r="AJ85" s="110"/>
      <c r="AK85" s="110"/>
      <c r="AL85" s="110"/>
      <c r="AM85" s="110"/>
      <c r="AN85" s="110"/>
      <c r="AO85" s="113"/>
      <c r="AP85" s="113"/>
      <c r="AQ85" s="113"/>
      <c r="AR85" s="110"/>
      <c r="AS85" s="113"/>
      <c r="AT85" s="113"/>
      <c r="AU85" s="112"/>
      <c r="AV85" s="338"/>
      <c r="AW85" s="110"/>
      <c r="AX85" s="110"/>
      <c r="AY85" s="113"/>
      <c r="AZ85" s="113"/>
      <c r="BA85" s="113"/>
      <c r="BB85" s="113"/>
      <c r="BC85" s="113"/>
      <c r="BD85" s="113"/>
      <c r="BF8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86" spans="1:58" x14ac:dyDescent="0.3">
      <c r="A86" s="422"/>
      <c r="B86" s="376"/>
      <c r="C86" s="110"/>
      <c r="D86" s="110"/>
      <c r="E86" s="340"/>
      <c r="F86" s="330"/>
      <c r="G86" s="113"/>
      <c r="H86" s="332"/>
      <c r="I86" s="113"/>
      <c r="J86" s="332"/>
      <c r="K86" s="110"/>
      <c r="L86" s="110"/>
      <c r="M86" s="110"/>
      <c r="N86" s="110"/>
      <c r="O86" s="111"/>
      <c r="P86" s="424" t="str">
        <f>IF(OR(Table13[[#This Row],[Annual Increase Option]]="No increase",Table13[[#This Row],[Annual Increase Option]]=""),"",_xlfn.XLOOKUP(MONTH(Table13[[#This Row],[Commencement Date]]),Lookups!$I$19:$I$30,Lookups!$J$19:$J$30,0))</f>
        <v/>
      </c>
      <c r="Q86" s="340"/>
      <c r="R86" s="340"/>
      <c r="S86" s="360">
        <f>IF(Table13[[#This Row],[Life Cover Amount]]="",0,Table2[[#This Row],[Life Premium]])</f>
        <v>0</v>
      </c>
      <c r="T86" s="360">
        <f>IF(Table13[[#This Row],[Funeral Cover Amount]]=0,0,Table2[[#This Row],[Funeral Premium]])</f>
        <v>0</v>
      </c>
      <c r="U86" s="360">
        <f>IF(AND(Table13[[#This Row],[Life Cover Amount]]="",Table13[[#This Row],[Funeral Cover Amount]]=""),0,onboarding_calcs!AA86)</f>
        <v>0</v>
      </c>
      <c r="V86" s="111"/>
      <c r="W86" s="111"/>
      <c r="X86" s="333"/>
      <c r="Y86" s="110"/>
      <c r="Z86" s="113"/>
      <c r="AA86" s="425"/>
      <c r="AB86" s="425"/>
      <c r="AC86" s="113"/>
      <c r="AD86" s="110"/>
      <c r="AE86" s="110"/>
      <c r="AF86" s="110"/>
      <c r="AG86" s="110"/>
      <c r="AH86" s="110"/>
      <c r="AI86" s="113"/>
      <c r="AJ86" s="110"/>
      <c r="AK86" s="110"/>
      <c r="AL86" s="110"/>
      <c r="AM86" s="110"/>
      <c r="AN86" s="110"/>
      <c r="AO86" s="113"/>
      <c r="AP86" s="113"/>
      <c r="AQ86" s="113"/>
      <c r="AR86" s="110"/>
      <c r="AS86" s="113"/>
      <c r="AT86" s="113"/>
      <c r="AU86" s="112"/>
      <c r="AV86" s="338"/>
      <c r="AW86" s="110"/>
      <c r="AX86" s="110"/>
      <c r="AY86" s="113"/>
      <c r="AZ86" s="113"/>
      <c r="BA86" s="113"/>
      <c r="BB86" s="113"/>
      <c r="BC86" s="113"/>
      <c r="BD86" s="113"/>
      <c r="BF8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87" spans="1:58" x14ac:dyDescent="0.3">
      <c r="A87" s="422"/>
      <c r="B87" s="376"/>
      <c r="C87" s="110"/>
      <c r="D87" s="110"/>
      <c r="E87" s="340"/>
      <c r="F87" s="330"/>
      <c r="G87" s="113"/>
      <c r="H87" s="332"/>
      <c r="I87" s="113"/>
      <c r="J87" s="332"/>
      <c r="K87" s="110"/>
      <c r="L87" s="110"/>
      <c r="M87" s="110"/>
      <c r="N87" s="110"/>
      <c r="O87" s="111"/>
      <c r="P87" s="424" t="str">
        <f>IF(OR(Table13[[#This Row],[Annual Increase Option]]="No increase",Table13[[#This Row],[Annual Increase Option]]=""),"",_xlfn.XLOOKUP(MONTH(Table13[[#This Row],[Commencement Date]]),Lookups!$I$19:$I$30,Lookups!$J$19:$J$30,0))</f>
        <v/>
      </c>
      <c r="Q87" s="340"/>
      <c r="R87" s="340"/>
      <c r="S87" s="360">
        <f>IF(Table13[[#This Row],[Life Cover Amount]]="",0,Table2[[#This Row],[Life Premium]])</f>
        <v>0</v>
      </c>
      <c r="T87" s="360">
        <f>IF(Table13[[#This Row],[Funeral Cover Amount]]=0,0,Table2[[#This Row],[Funeral Premium]])</f>
        <v>0</v>
      </c>
      <c r="U87" s="360">
        <f>IF(AND(Table13[[#This Row],[Life Cover Amount]]="",Table13[[#This Row],[Funeral Cover Amount]]=""),0,onboarding_calcs!AA87)</f>
        <v>0</v>
      </c>
      <c r="V87" s="111"/>
      <c r="W87" s="111"/>
      <c r="X87" s="333"/>
      <c r="Y87" s="110"/>
      <c r="Z87" s="113"/>
      <c r="AA87" s="425"/>
      <c r="AB87" s="425"/>
      <c r="AC87" s="113"/>
      <c r="AD87" s="110"/>
      <c r="AE87" s="110"/>
      <c r="AF87" s="110"/>
      <c r="AG87" s="110"/>
      <c r="AH87" s="110"/>
      <c r="AI87" s="113"/>
      <c r="AJ87" s="110"/>
      <c r="AK87" s="110"/>
      <c r="AL87" s="110"/>
      <c r="AM87" s="110"/>
      <c r="AN87" s="110"/>
      <c r="AO87" s="113"/>
      <c r="AP87" s="113"/>
      <c r="AQ87" s="113"/>
      <c r="AR87" s="110"/>
      <c r="AS87" s="113"/>
      <c r="AT87" s="113"/>
      <c r="AU87" s="112"/>
      <c r="AV87" s="338"/>
      <c r="AW87" s="110"/>
      <c r="AX87" s="110"/>
      <c r="AY87" s="113"/>
      <c r="AZ87" s="113"/>
      <c r="BA87" s="113"/>
      <c r="BB87" s="113"/>
      <c r="BC87" s="113"/>
      <c r="BD87" s="113"/>
      <c r="BF8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88" spans="1:58" x14ac:dyDescent="0.3">
      <c r="A88" s="422"/>
      <c r="B88" s="376"/>
      <c r="C88" s="110"/>
      <c r="D88" s="110"/>
      <c r="E88" s="340"/>
      <c r="F88" s="330"/>
      <c r="G88" s="113"/>
      <c r="H88" s="332"/>
      <c r="I88" s="113"/>
      <c r="J88" s="332"/>
      <c r="K88" s="110"/>
      <c r="L88" s="110"/>
      <c r="M88" s="110"/>
      <c r="N88" s="110"/>
      <c r="O88" s="111"/>
      <c r="P88" s="424" t="str">
        <f>IF(OR(Table13[[#This Row],[Annual Increase Option]]="No increase",Table13[[#This Row],[Annual Increase Option]]=""),"",_xlfn.XLOOKUP(MONTH(Table13[[#This Row],[Commencement Date]]),Lookups!$I$19:$I$30,Lookups!$J$19:$J$30,0))</f>
        <v/>
      </c>
      <c r="Q88" s="340"/>
      <c r="R88" s="340"/>
      <c r="S88" s="360">
        <f>IF(Table13[[#This Row],[Life Cover Amount]]="",0,Table2[[#This Row],[Life Premium]])</f>
        <v>0</v>
      </c>
      <c r="T88" s="360">
        <f>IF(Table13[[#This Row],[Funeral Cover Amount]]=0,0,Table2[[#This Row],[Funeral Premium]])</f>
        <v>0</v>
      </c>
      <c r="U88" s="360">
        <f>IF(AND(Table13[[#This Row],[Life Cover Amount]]="",Table13[[#This Row],[Funeral Cover Amount]]=""),0,onboarding_calcs!AA88)</f>
        <v>0</v>
      </c>
      <c r="V88" s="111"/>
      <c r="W88" s="111"/>
      <c r="X88" s="333"/>
      <c r="Y88" s="110"/>
      <c r="Z88" s="113"/>
      <c r="AA88" s="425"/>
      <c r="AB88" s="425"/>
      <c r="AC88" s="113"/>
      <c r="AD88" s="110"/>
      <c r="AE88" s="110"/>
      <c r="AF88" s="110"/>
      <c r="AG88" s="110"/>
      <c r="AH88" s="110"/>
      <c r="AI88" s="113"/>
      <c r="AJ88" s="110"/>
      <c r="AK88" s="110"/>
      <c r="AL88" s="110"/>
      <c r="AM88" s="110"/>
      <c r="AN88" s="110"/>
      <c r="AO88" s="113"/>
      <c r="AP88" s="113"/>
      <c r="AQ88" s="113"/>
      <c r="AR88" s="110"/>
      <c r="AS88" s="113"/>
      <c r="AT88" s="113"/>
      <c r="AU88" s="112"/>
      <c r="AV88" s="338"/>
      <c r="AW88" s="110"/>
      <c r="AX88" s="110"/>
      <c r="AY88" s="113"/>
      <c r="AZ88" s="113"/>
      <c r="BA88" s="113"/>
      <c r="BB88" s="113"/>
      <c r="BC88" s="113"/>
      <c r="BD88" s="113"/>
      <c r="BF8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89" spans="1:58" x14ac:dyDescent="0.3">
      <c r="A89" s="422"/>
      <c r="B89" s="376"/>
      <c r="C89" s="110"/>
      <c r="D89" s="110"/>
      <c r="E89" s="340"/>
      <c r="F89" s="330"/>
      <c r="G89" s="113"/>
      <c r="H89" s="332"/>
      <c r="I89" s="113"/>
      <c r="J89" s="332"/>
      <c r="K89" s="110"/>
      <c r="L89" s="110"/>
      <c r="M89" s="110"/>
      <c r="N89" s="110"/>
      <c r="O89" s="111"/>
      <c r="P89" s="424" t="str">
        <f>IF(OR(Table13[[#This Row],[Annual Increase Option]]="No increase",Table13[[#This Row],[Annual Increase Option]]=""),"",_xlfn.XLOOKUP(MONTH(Table13[[#This Row],[Commencement Date]]),Lookups!$I$19:$I$30,Lookups!$J$19:$J$30,0))</f>
        <v/>
      </c>
      <c r="Q89" s="340"/>
      <c r="R89" s="340"/>
      <c r="S89" s="360">
        <f>IF(Table13[[#This Row],[Life Cover Amount]]="",0,Table2[[#This Row],[Life Premium]])</f>
        <v>0</v>
      </c>
      <c r="T89" s="360">
        <f>IF(Table13[[#This Row],[Funeral Cover Amount]]=0,0,Table2[[#This Row],[Funeral Premium]])</f>
        <v>0</v>
      </c>
      <c r="U89" s="360">
        <f>IF(AND(Table13[[#This Row],[Life Cover Amount]]="",Table13[[#This Row],[Funeral Cover Amount]]=""),0,onboarding_calcs!AA89)</f>
        <v>0</v>
      </c>
      <c r="V89" s="111"/>
      <c r="W89" s="111"/>
      <c r="X89" s="333"/>
      <c r="Y89" s="110"/>
      <c r="Z89" s="113"/>
      <c r="AA89" s="425"/>
      <c r="AB89" s="425"/>
      <c r="AC89" s="113"/>
      <c r="AD89" s="110"/>
      <c r="AE89" s="110"/>
      <c r="AF89" s="110"/>
      <c r="AG89" s="110"/>
      <c r="AH89" s="110"/>
      <c r="AI89" s="113"/>
      <c r="AJ89" s="110"/>
      <c r="AK89" s="110"/>
      <c r="AL89" s="110"/>
      <c r="AM89" s="110"/>
      <c r="AN89" s="110"/>
      <c r="AO89" s="113"/>
      <c r="AP89" s="113"/>
      <c r="AQ89" s="113"/>
      <c r="AR89" s="110"/>
      <c r="AS89" s="113"/>
      <c r="AT89" s="113"/>
      <c r="AU89" s="112"/>
      <c r="AV89" s="338"/>
      <c r="AW89" s="110"/>
      <c r="AX89" s="110"/>
      <c r="AY89" s="113"/>
      <c r="AZ89" s="113"/>
      <c r="BA89" s="113"/>
      <c r="BB89" s="113"/>
      <c r="BC89" s="113"/>
      <c r="BD89" s="113"/>
      <c r="BF8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90" spans="1:58" x14ac:dyDescent="0.3">
      <c r="A90" s="422"/>
      <c r="B90" s="376"/>
      <c r="C90" s="110"/>
      <c r="D90" s="110"/>
      <c r="E90" s="340"/>
      <c r="F90" s="330"/>
      <c r="G90" s="113"/>
      <c r="H90" s="332"/>
      <c r="I90" s="113"/>
      <c r="J90" s="332"/>
      <c r="K90" s="110"/>
      <c r="L90" s="110"/>
      <c r="M90" s="110"/>
      <c r="N90" s="110"/>
      <c r="O90" s="111"/>
      <c r="P90" s="424" t="str">
        <f>IF(OR(Table13[[#This Row],[Annual Increase Option]]="No increase",Table13[[#This Row],[Annual Increase Option]]=""),"",_xlfn.XLOOKUP(MONTH(Table13[[#This Row],[Commencement Date]]),Lookups!$I$19:$I$30,Lookups!$J$19:$J$30,0))</f>
        <v/>
      </c>
      <c r="Q90" s="340"/>
      <c r="R90" s="340"/>
      <c r="S90" s="360">
        <f>IF(Table13[[#This Row],[Life Cover Amount]]="",0,Table2[[#This Row],[Life Premium]])</f>
        <v>0</v>
      </c>
      <c r="T90" s="360">
        <f>IF(Table13[[#This Row],[Funeral Cover Amount]]=0,0,Table2[[#This Row],[Funeral Premium]])</f>
        <v>0</v>
      </c>
      <c r="U90" s="360">
        <f>IF(AND(Table13[[#This Row],[Life Cover Amount]]="",Table13[[#This Row],[Funeral Cover Amount]]=""),0,onboarding_calcs!AA90)</f>
        <v>0</v>
      </c>
      <c r="V90" s="111"/>
      <c r="W90" s="111"/>
      <c r="X90" s="333"/>
      <c r="Y90" s="110"/>
      <c r="Z90" s="113"/>
      <c r="AA90" s="425"/>
      <c r="AB90" s="425"/>
      <c r="AC90" s="113"/>
      <c r="AD90" s="110"/>
      <c r="AE90" s="110"/>
      <c r="AF90" s="110"/>
      <c r="AG90" s="110"/>
      <c r="AH90" s="110"/>
      <c r="AI90" s="113"/>
      <c r="AJ90" s="110"/>
      <c r="AK90" s="110"/>
      <c r="AL90" s="110"/>
      <c r="AM90" s="110"/>
      <c r="AN90" s="110"/>
      <c r="AO90" s="113"/>
      <c r="AP90" s="113"/>
      <c r="AQ90" s="113"/>
      <c r="AR90" s="110"/>
      <c r="AS90" s="113"/>
      <c r="AT90" s="113"/>
      <c r="AU90" s="112"/>
      <c r="AV90" s="338"/>
      <c r="AW90" s="110"/>
      <c r="AX90" s="110"/>
      <c r="AY90" s="113"/>
      <c r="AZ90" s="113"/>
      <c r="BA90" s="113"/>
      <c r="BB90" s="113"/>
      <c r="BC90" s="113"/>
      <c r="BD90" s="113"/>
      <c r="BF9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91" spans="1:58" x14ac:dyDescent="0.3">
      <c r="A91" s="422"/>
      <c r="B91" s="376"/>
      <c r="C91" s="110"/>
      <c r="D91" s="110"/>
      <c r="E91" s="340"/>
      <c r="F91" s="330"/>
      <c r="G91" s="113"/>
      <c r="H91" s="332"/>
      <c r="I91" s="113"/>
      <c r="J91" s="332"/>
      <c r="K91" s="110"/>
      <c r="L91" s="110"/>
      <c r="M91" s="110"/>
      <c r="N91" s="110"/>
      <c r="O91" s="111"/>
      <c r="P91" s="424" t="str">
        <f>IF(OR(Table13[[#This Row],[Annual Increase Option]]="No increase",Table13[[#This Row],[Annual Increase Option]]=""),"",_xlfn.XLOOKUP(MONTH(Table13[[#This Row],[Commencement Date]]),Lookups!$I$19:$I$30,Lookups!$J$19:$J$30,0))</f>
        <v/>
      </c>
      <c r="Q91" s="340"/>
      <c r="R91" s="340"/>
      <c r="S91" s="360">
        <f>IF(Table13[[#This Row],[Life Cover Amount]]="",0,Table2[[#This Row],[Life Premium]])</f>
        <v>0</v>
      </c>
      <c r="T91" s="360">
        <f>IF(Table13[[#This Row],[Funeral Cover Amount]]=0,0,Table2[[#This Row],[Funeral Premium]])</f>
        <v>0</v>
      </c>
      <c r="U91" s="360">
        <f>IF(AND(Table13[[#This Row],[Life Cover Amount]]="",Table13[[#This Row],[Funeral Cover Amount]]=""),0,onboarding_calcs!AA91)</f>
        <v>0</v>
      </c>
      <c r="V91" s="111"/>
      <c r="W91" s="111"/>
      <c r="X91" s="333"/>
      <c r="Y91" s="110"/>
      <c r="Z91" s="113"/>
      <c r="AA91" s="425"/>
      <c r="AB91" s="425"/>
      <c r="AC91" s="113"/>
      <c r="AD91" s="110"/>
      <c r="AE91" s="110"/>
      <c r="AF91" s="110"/>
      <c r="AG91" s="110"/>
      <c r="AH91" s="110"/>
      <c r="AI91" s="113"/>
      <c r="AJ91" s="110"/>
      <c r="AK91" s="110"/>
      <c r="AL91" s="110"/>
      <c r="AM91" s="110"/>
      <c r="AN91" s="110"/>
      <c r="AO91" s="113"/>
      <c r="AP91" s="113"/>
      <c r="AQ91" s="113"/>
      <c r="AR91" s="110"/>
      <c r="AS91" s="113"/>
      <c r="AT91" s="113"/>
      <c r="AU91" s="112"/>
      <c r="AV91" s="338"/>
      <c r="AW91" s="110"/>
      <c r="AX91" s="110"/>
      <c r="AY91" s="113"/>
      <c r="AZ91" s="113"/>
      <c r="BA91" s="113"/>
      <c r="BB91" s="113"/>
      <c r="BC91" s="113"/>
      <c r="BD91" s="113"/>
      <c r="BF9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92" spans="1:58" x14ac:dyDescent="0.3">
      <c r="A92" s="422"/>
      <c r="B92" s="376"/>
      <c r="C92" s="110"/>
      <c r="D92" s="110"/>
      <c r="E92" s="340"/>
      <c r="F92" s="330"/>
      <c r="G92" s="113"/>
      <c r="H92" s="332"/>
      <c r="I92" s="113"/>
      <c r="J92" s="332"/>
      <c r="K92" s="110"/>
      <c r="L92" s="110"/>
      <c r="M92" s="110"/>
      <c r="N92" s="110"/>
      <c r="O92" s="111"/>
      <c r="P92" s="424" t="str">
        <f>IF(OR(Table13[[#This Row],[Annual Increase Option]]="No increase",Table13[[#This Row],[Annual Increase Option]]=""),"",_xlfn.XLOOKUP(MONTH(Table13[[#This Row],[Commencement Date]]),Lookups!$I$19:$I$30,Lookups!$J$19:$J$30,0))</f>
        <v/>
      </c>
      <c r="Q92" s="340"/>
      <c r="R92" s="340"/>
      <c r="S92" s="360">
        <f>IF(Table13[[#This Row],[Life Cover Amount]]="",0,Table2[[#This Row],[Life Premium]])</f>
        <v>0</v>
      </c>
      <c r="T92" s="360">
        <f>IF(Table13[[#This Row],[Funeral Cover Amount]]=0,0,Table2[[#This Row],[Funeral Premium]])</f>
        <v>0</v>
      </c>
      <c r="U92" s="360">
        <f>IF(AND(Table13[[#This Row],[Life Cover Amount]]="",Table13[[#This Row],[Funeral Cover Amount]]=""),0,onboarding_calcs!AA92)</f>
        <v>0</v>
      </c>
      <c r="V92" s="111"/>
      <c r="W92" s="111"/>
      <c r="X92" s="333"/>
      <c r="Y92" s="110"/>
      <c r="Z92" s="113"/>
      <c r="AA92" s="425"/>
      <c r="AB92" s="425"/>
      <c r="AC92" s="113"/>
      <c r="AD92" s="110"/>
      <c r="AE92" s="110"/>
      <c r="AF92" s="110"/>
      <c r="AG92" s="110"/>
      <c r="AH92" s="110"/>
      <c r="AI92" s="113"/>
      <c r="AJ92" s="110"/>
      <c r="AK92" s="110"/>
      <c r="AL92" s="110"/>
      <c r="AM92" s="110"/>
      <c r="AN92" s="110"/>
      <c r="AO92" s="113"/>
      <c r="AP92" s="113"/>
      <c r="AQ92" s="113"/>
      <c r="AR92" s="110"/>
      <c r="AS92" s="113"/>
      <c r="AT92" s="113"/>
      <c r="AU92" s="112"/>
      <c r="AV92" s="338"/>
      <c r="AW92" s="110"/>
      <c r="AX92" s="110"/>
      <c r="AY92" s="113"/>
      <c r="AZ92" s="113"/>
      <c r="BA92" s="113"/>
      <c r="BB92" s="113"/>
      <c r="BC92" s="113"/>
      <c r="BD92" s="113"/>
      <c r="BF9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93" spans="1:58" x14ac:dyDescent="0.3">
      <c r="A93" s="422"/>
      <c r="B93" s="376"/>
      <c r="C93" s="110"/>
      <c r="D93" s="110"/>
      <c r="E93" s="340"/>
      <c r="F93" s="330"/>
      <c r="G93" s="113"/>
      <c r="H93" s="332"/>
      <c r="I93" s="113"/>
      <c r="J93" s="332"/>
      <c r="K93" s="110"/>
      <c r="L93" s="110"/>
      <c r="M93" s="110"/>
      <c r="N93" s="110"/>
      <c r="O93" s="111"/>
      <c r="P93" s="424" t="str">
        <f>IF(OR(Table13[[#This Row],[Annual Increase Option]]="No increase",Table13[[#This Row],[Annual Increase Option]]=""),"",_xlfn.XLOOKUP(MONTH(Table13[[#This Row],[Commencement Date]]),Lookups!$I$19:$I$30,Lookups!$J$19:$J$30,0))</f>
        <v/>
      </c>
      <c r="Q93" s="340"/>
      <c r="R93" s="340"/>
      <c r="S93" s="360">
        <f>IF(Table13[[#This Row],[Life Cover Amount]]="",0,Table2[[#This Row],[Life Premium]])</f>
        <v>0</v>
      </c>
      <c r="T93" s="360">
        <f>IF(Table13[[#This Row],[Funeral Cover Amount]]=0,0,Table2[[#This Row],[Funeral Premium]])</f>
        <v>0</v>
      </c>
      <c r="U93" s="360">
        <f>IF(AND(Table13[[#This Row],[Life Cover Amount]]="",Table13[[#This Row],[Funeral Cover Amount]]=""),0,onboarding_calcs!AA93)</f>
        <v>0</v>
      </c>
      <c r="V93" s="111"/>
      <c r="W93" s="111"/>
      <c r="X93" s="333"/>
      <c r="Y93" s="110"/>
      <c r="Z93" s="113"/>
      <c r="AA93" s="425"/>
      <c r="AB93" s="425"/>
      <c r="AC93" s="113"/>
      <c r="AD93" s="110"/>
      <c r="AE93" s="110"/>
      <c r="AF93" s="110"/>
      <c r="AG93" s="110"/>
      <c r="AH93" s="110"/>
      <c r="AI93" s="113"/>
      <c r="AJ93" s="110"/>
      <c r="AK93" s="110"/>
      <c r="AL93" s="110"/>
      <c r="AM93" s="110"/>
      <c r="AN93" s="110"/>
      <c r="AO93" s="113"/>
      <c r="AP93" s="113"/>
      <c r="AQ93" s="113"/>
      <c r="AR93" s="110"/>
      <c r="AS93" s="113"/>
      <c r="AT93" s="113"/>
      <c r="AU93" s="112"/>
      <c r="AV93" s="338"/>
      <c r="AW93" s="110"/>
      <c r="AX93" s="110"/>
      <c r="AY93" s="113"/>
      <c r="AZ93" s="113"/>
      <c r="BA93" s="113"/>
      <c r="BB93" s="113"/>
      <c r="BC93" s="113"/>
      <c r="BD93" s="113"/>
      <c r="BF9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94" spans="1:58" x14ac:dyDescent="0.3">
      <c r="A94" s="422"/>
      <c r="B94" s="376"/>
      <c r="C94" s="110"/>
      <c r="D94" s="110"/>
      <c r="E94" s="340"/>
      <c r="F94" s="330"/>
      <c r="G94" s="113"/>
      <c r="H94" s="332"/>
      <c r="I94" s="113"/>
      <c r="J94" s="332"/>
      <c r="K94" s="110"/>
      <c r="L94" s="110"/>
      <c r="M94" s="110"/>
      <c r="N94" s="110"/>
      <c r="O94" s="111"/>
      <c r="P94" s="424" t="str">
        <f>IF(OR(Table13[[#This Row],[Annual Increase Option]]="No increase",Table13[[#This Row],[Annual Increase Option]]=""),"",_xlfn.XLOOKUP(MONTH(Table13[[#This Row],[Commencement Date]]),Lookups!$I$19:$I$30,Lookups!$J$19:$J$30,0))</f>
        <v/>
      </c>
      <c r="Q94" s="340"/>
      <c r="R94" s="340"/>
      <c r="S94" s="360">
        <f>IF(Table13[[#This Row],[Life Cover Amount]]="",0,Table2[[#This Row],[Life Premium]])</f>
        <v>0</v>
      </c>
      <c r="T94" s="360">
        <f>IF(Table13[[#This Row],[Funeral Cover Amount]]=0,0,Table2[[#This Row],[Funeral Premium]])</f>
        <v>0</v>
      </c>
      <c r="U94" s="360">
        <f>IF(AND(Table13[[#This Row],[Life Cover Amount]]="",Table13[[#This Row],[Funeral Cover Amount]]=""),0,onboarding_calcs!AA94)</f>
        <v>0</v>
      </c>
      <c r="V94" s="111"/>
      <c r="W94" s="111"/>
      <c r="X94" s="333"/>
      <c r="Y94" s="110"/>
      <c r="Z94" s="113"/>
      <c r="AA94" s="425"/>
      <c r="AB94" s="425"/>
      <c r="AC94" s="113"/>
      <c r="AD94" s="110"/>
      <c r="AE94" s="110"/>
      <c r="AF94" s="110"/>
      <c r="AG94" s="110"/>
      <c r="AH94" s="110"/>
      <c r="AI94" s="113"/>
      <c r="AJ94" s="110"/>
      <c r="AK94" s="110"/>
      <c r="AL94" s="110"/>
      <c r="AM94" s="110"/>
      <c r="AN94" s="110"/>
      <c r="AO94" s="113"/>
      <c r="AP94" s="113"/>
      <c r="AQ94" s="113"/>
      <c r="AR94" s="110"/>
      <c r="AS94" s="113"/>
      <c r="AT94" s="113"/>
      <c r="AU94" s="112"/>
      <c r="AV94" s="338"/>
      <c r="AW94" s="110"/>
      <c r="AX94" s="110"/>
      <c r="AY94" s="113"/>
      <c r="AZ94" s="113"/>
      <c r="BA94" s="113"/>
      <c r="BB94" s="113"/>
      <c r="BC94" s="113"/>
      <c r="BD94" s="113"/>
      <c r="BF9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95" spans="1:58" x14ac:dyDescent="0.3">
      <c r="A95" s="422"/>
      <c r="B95" s="376"/>
      <c r="C95" s="110"/>
      <c r="D95" s="110"/>
      <c r="E95" s="340"/>
      <c r="F95" s="330"/>
      <c r="G95" s="113"/>
      <c r="H95" s="332"/>
      <c r="I95" s="113"/>
      <c r="J95" s="332"/>
      <c r="K95" s="110"/>
      <c r="L95" s="110"/>
      <c r="M95" s="110"/>
      <c r="N95" s="110"/>
      <c r="O95" s="111"/>
      <c r="P95" s="424" t="str">
        <f>IF(OR(Table13[[#This Row],[Annual Increase Option]]="No increase",Table13[[#This Row],[Annual Increase Option]]=""),"",_xlfn.XLOOKUP(MONTH(Table13[[#This Row],[Commencement Date]]),Lookups!$I$19:$I$30,Lookups!$J$19:$J$30,0))</f>
        <v/>
      </c>
      <c r="Q95" s="340"/>
      <c r="R95" s="340"/>
      <c r="S95" s="360">
        <f>IF(Table13[[#This Row],[Life Cover Amount]]="",0,Table2[[#This Row],[Life Premium]])</f>
        <v>0</v>
      </c>
      <c r="T95" s="360">
        <f>IF(Table13[[#This Row],[Funeral Cover Amount]]=0,0,Table2[[#This Row],[Funeral Premium]])</f>
        <v>0</v>
      </c>
      <c r="U95" s="360">
        <f>IF(AND(Table13[[#This Row],[Life Cover Amount]]="",Table13[[#This Row],[Funeral Cover Amount]]=""),0,onboarding_calcs!AA95)</f>
        <v>0</v>
      </c>
      <c r="V95" s="111"/>
      <c r="W95" s="111"/>
      <c r="X95" s="333"/>
      <c r="Y95" s="110"/>
      <c r="Z95" s="113"/>
      <c r="AA95" s="425"/>
      <c r="AB95" s="425"/>
      <c r="AC95" s="113"/>
      <c r="AD95" s="110"/>
      <c r="AE95" s="110"/>
      <c r="AF95" s="110"/>
      <c r="AG95" s="110"/>
      <c r="AH95" s="110"/>
      <c r="AI95" s="113"/>
      <c r="AJ95" s="110"/>
      <c r="AK95" s="110"/>
      <c r="AL95" s="110"/>
      <c r="AM95" s="110"/>
      <c r="AN95" s="110"/>
      <c r="AO95" s="113"/>
      <c r="AP95" s="113"/>
      <c r="AQ95" s="113"/>
      <c r="AR95" s="110"/>
      <c r="AS95" s="113"/>
      <c r="AT95" s="113"/>
      <c r="AU95" s="112"/>
      <c r="AV95" s="338"/>
      <c r="AW95" s="110"/>
      <c r="AX95" s="110"/>
      <c r="AY95" s="113"/>
      <c r="AZ95" s="113"/>
      <c r="BA95" s="113"/>
      <c r="BB95" s="113"/>
      <c r="BC95" s="113"/>
      <c r="BD95" s="113"/>
      <c r="BF9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96" spans="1:58" x14ac:dyDescent="0.3">
      <c r="A96" s="422"/>
      <c r="B96" s="376"/>
      <c r="C96" s="110"/>
      <c r="D96" s="110"/>
      <c r="E96" s="340"/>
      <c r="F96" s="330"/>
      <c r="G96" s="113"/>
      <c r="H96" s="332"/>
      <c r="I96" s="113"/>
      <c r="J96" s="332"/>
      <c r="K96" s="110"/>
      <c r="L96" s="110"/>
      <c r="M96" s="110"/>
      <c r="N96" s="110"/>
      <c r="O96" s="111"/>
      <c r="P96" s="424" t="str">
        <f>IF(OR(Table13[[#This Row],[Annual Increase Option]]="No increase",Table13[[#This Row],[Annual Increase Option]]=""),"",_xlfn.XLOOKUP(MONTH(Table13[[#This Row],[Commencement Date]]),Lookups!$I$19:$I$30,Lookups!$J$19:$J$30,0))</f>
        <v/>
      </c>
      <c r="Q96" s="340"/>
      <c r="R96" s="340"/>
      <c r="S96" s="360">
        <f>IF(Table13[[#This Row],[Life Cover Amount]]="",0,Table2[[#This Row],[Life Premium]])</f>
        <v>0</v>
      </c>
      <c r="T96" s="360">
        <f>IF(Table13[[#This Row],[Funeral Cover Amount]]=0,0,Table2[[#This Row],[Funeral Premium]])</f>
        <v>0</v>
      </c>
      <c r="U96" s="360">
        <f>IF(AND(Table13[[#This Row],[Life Cover Amount]]="",Table13[[#This Row],[Funeral Cover Amount]]=""),0,onboarding_calcs!AA96)</f>
        <v>0</v>
      </c>
      <c r="V96" s="111"/>
      <c r="W96" s="111"/>
      <c r="X96" s="333"/>
      <c r="Y96" s="110"/>
      <c r="Z96" s="113"/>
      <c r="AA96" s="425"/>
      <c r="AB96" s="425"/>
      <c r="AC96" s="113"/>
      <c r="AD96" s="110"/>
      <c r="AE96" s="110"/>
      <c r="AF96" s="110"/>
      <c r="AG96" s="110"/>
      <c r="AH96" s="110"/>
      <c r="AI96" s="113"/>
      <c r="AJ96" s="110"/>
      <c r="AK96" s="110"/>
      <c r="AL96" s="110"/>
      <c r="AM96" s="110"/>
      <c r="AN96" s="110"/>
      <c r="AO96" s="113"/>
      <c r="AP96" s="113"/>
      <c r="AQ96" s="113"/>
      <c r="AR96" s="110"/>
      <c r="AS96" s="113"/>
      <c r="AT96" s="113"/>
      <c r="AU96" s="112"/>
      <c r="AV96" s="338"/>
      <c r="AW96" s="110"/>
      <c r="AX96" s="110"/>
      <c r="AY96" s="113"/>
      <c r="AZ96" s="113"/>
      <c r="BA96" s="113"/>
      <c r="BB96" s="113"/>
      <c r="BC96" s="113"/>
      <c r="BD96" s="113"/>
      <c r="BF9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97" spans="1:58" x14ac:dyDescent="0.3">
      <c r="A97" s="422"/>
      <c r="B97" s="376"/>
      <c r="C97" s="110"/>
      <c r="D97" s="110"/>
      <c r="E97" s="340"/>
      <c r="F97" s="330"/>
      <c r="G97" s="113"/>
      <c r="H97" s="332"/>
      <c r="I97" s="113"/>
      <c r="J97" s="332"/>
      <c r="K97" s="110"/>
      <c r="L97" s="110"/>
      <c r="M97" s="110"/>
      <c r="N97" s="110"/>
      <c r="O97" s="111"/>
      <c r="P97" s="424" t="str">
        <f>IF(OR(Table13[[#This Row],[Annual Increase Option]]="No increase",Table13[[#This Row],[Annual Increase Option]]=""),"",_xlfn.XLOOKUP(MONTH(Table13[[#This Row],[Commencement Date]]),Lookups!$I$19:$I$30,Lookups!$J$19:$J$30,0))</f>
        <v/>
      </c>
      <c r="Q97" s="340"/>
      <c r="R97" s="340"/>
      <c r="S97" s="360">
        <f>IF(Table13[[#This Row],[Life Cover Amount]]="",0,Table2[[#This Row],[Life Premium]])</f>
        <v>0</v>
      </c>
      <c r="T97" s="360">
        <f>IF(Table13[[#This Row],[Funeral Cover Amount]]=0,0,Table2[[#This Row],[Funeral Premium]])</f>
        <v>0</v>
      </c>
      <c r="U97" s="360">
        <f>IF(AND(Table13[[#This Row],[Life Cover Amount]]="",Table13[[#This Row],[Funeral Cover Amount]]=""),0,onboarding_calcs!AA97)</f>
        <v>0</v>
      </c>
      <c r="V97" s="111"/>
      <c r="W97" s="111"/>
      <c r="X97" s="333"/>
      <c r="Y97" s="110"/>
      <c r="Z97" s="113"/>
      <c r="AA97" s="425"/>
      <c r="AB97" s="425"/>
      <c r="AC97" s="113"/>
      <c r="AD97" s="110"/>
      <c r="AE97" s="110"/>
      <c r="AF97" s="110"/>
      <c r="AG97" s="110"/>
      <c r="AH97" s="110"/>
      <c r="AI97" s="113"/>
      <c r="AJ97" s="110"/>
      <c r="AK97" s="110"/>
      <c r="AL97" s="110"/>
      <c r="AM97" s="110"/>
      <c r="AN97" s="110"/>
      <c r="AO97" s="113"/>
      <c r="AP97" s="113"/>
      <c r="AQ97" s="113"/>
      <c r="AR97" s="110"/>
      <c r="AS97" s="113"/>
      <c r="AT97" s="113"/>
      <c r="AU97" s="112"/>
      <c r="AV97" s="338"/>
      <c r="AW97" s="110"/>
      <c r="AX97" s="110"/>
      <c r="AY97" s="113"/>
      <c r="AZ97" s="113"/>
      <c r="BA97" s="113"/>
      <c r="BB97" s="113"/>
      <c r="BC97" s="113"/>
      <c r="BD97" s="113"/>
      <c r="BF9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98" spans="1:58" x14ac:dyDescent="0.3">
      <c r="A98" s="422"/>
      <c r="B98" s="376"/>
      <c r="C98" s="110"/>
      <c r="D98" s="110"/>
      <c r="E98" s="340"/>
      <c r="F98" s="330"/>
      <c r="G98" s="113"/>
      <c r="H98" s="332"/>
      <c r="I98" s="113"/>
      <c r="J98" s="332"/>
      <c r="K98" s="110"/>
      <c r="L98" s="110"/>
      <c r="M98" s="110"/>
      <c r="N98" s="110"/>
      <c r="O98" s="111"/>
      <c r="P98" s="424" t="str">
        <f>IF(OR(Table13[[#This Row],[Annual Increase Option]]="No increase",Table13[[#This Row],[Annual Increase Option]]=""),"",_xlfn.XLOOKUP(MONTH(Table13[[#This Row],[Commencement Date]]),Lookups!$I$19:$I$30,Lookups!$J$19:$J$30,0))</f>
        <v/>
      </c>
      <c r="Q98" s="340"/>
      <c r="R98" s="340"/>
      <c r="S98" s="360">
        <f>IF(Table13[[#This Row],[Life Cover Amount]]="",0,Table2[[#This Row],[Life Premium]])</f>
        <v>0</v>
      </c>
      <c r="T98" s="360">
        <f>IF(Table13[[#This Row],[Funeral Cover Amount]]=0,0,Table2[[#This Row],[Funeral Premium]])</f>
        <v>0</v>
      </c>
      <c r="U98" s="360">
        <f>IF(AND(Table13[[#This Row],[Life Cover Amount]]="",Table13[[#This Row],[Funeral Cover Amount]]=""),0,onboarding_calcs!AA98)</f>
        <v>0</v>
      </c>
      <c r="V98" s="111"/>
      <c r="W98" s="111"/>
      <c r="X98" s="333"/>
      <c r="Y98" s="110"/>
      <c r="Z98" s="113"/>
      <c r="AA98" s="425"/>
      <c r="AB98" s="425"/>
      <c r="AC98" s="113"/>
      <c r="AD98" s="110"/>
      <c r="AE98" s="110"/>
      <c r="AF98" s="110"/>
      <c r="AG98" s="110"/>
      <c r="AH98" s="110"/>
      <c r="AI98" s="113"/>
      <c r="AJ98" s="110"/>
      <c r="AK98" s="110"/>
      <c r="AL98" s="110"/>
      <c r="AM98" s="110"/>
      <c r="AN98" s="110"/>
      <c r="AO98" s="113"/>
      <c r="AP98" s="113"/>
      <c r="AQ98" s="113"/>
      <c r="AR98" s="110"/>
      <c r="AS98" s="113"/>
      <c r="AT98" s="113"/>
      <c r="AU98" s="112"/>
      <c r="AV98" s="338"/>
      <c r="AW98" s="110"/>
      <c r="AX98" s="110"/>
      <c r="AY98" s="113"/>
      <c r="AZ98" s="113"/>
      <c r="BA98" s="113"/>
      <c r="BB98" s="113"/>
      <c r="BC98" s="113"/>
      <c r="BD98" s="113"/>
      <c r="BF9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99" spans="1:58" x14ac:dyDescent="0.3">
      <c r="A99" s="422"/>
      <c r="B99" s="376"/>
      <c r="C99" s="110"/>
      <c r="D99" s="110"/>
      <c r="E99" s="340"/>
      <c r="F99" s="330"/>
      <c r="G99" s="113"/>
      <c r="H99" s="332"/>
      <c r="I99" s="113"/>
      <c r="J99" s="332"/>
      <c r="K99" s="110"/>
      <c r="L99" s="110"/>
      <c r="M99" s="110"/>
      <c r="N99" s="110"/>
      <c r="O99" s="111"/>
      <c r="P99" s="424" t="str">
        <f>IF(OR(Table13[[#This Row],[Annual Increase Option]]="No increase",Table13[[#This Row],[Annual Increase Option]]=""),"",_xlfn.XLOOKUP(MONTH(Table13[[#This Row],[Commencement Date]]),Lookups!$I$19:$I$30,Lookups!$J$19:$J$30,0))</f>
        <v/>
      </c>
      <c r="Q99" s="340"/>
      <c r="R99" s="340"/>
      <c r="S99" s="360">
        <f>IF(Table13[[#This Row],[Life Cover Amount]]="",0,Table2[[#This Row],[Life Premium]])</f>
        <v>0</v>
      </c>
      <c r="T99" s="360">
        <f>IF(Table13[[#This Row],[Funeral Cover Amount]]=0,0,Table2[[#This Row],[Funeral Premium]])</f>
        <v>0</v>
      </c>
      <c r="U99" s="360">
        <f>IF(AND(Table13[[#This Row],[Life Cover Amount]]="",Table13[[#This Row],[Funeral Cover Amount]]=""),0,onboarding_calcs!AA99)</f>
        <v>0</v>
      </c>
      <c r="V99" s="111"/>
      <c r="W99" s="111"/>
      <c r="X99" s="333"/>
      <c r="Y99" s="110"/>
      <c r="Z99" s="113"/>
      <c r="AA99" s="425"/>
      <c r="AB99" s="425"/>
      <c r="AC99" s="113"/>
      <c r="AD99" s="110"/>
      <c r="AE99" s="110"/>
      <c r="AF99" s="110"/>
      <c r="AG99" s="110"/>
      <c r="AH99" s="110"/>
      <c r="AI99" s="113"/>
      <c r="AJ99" s="110"/>
      <c r="AK99" s="110"/>
      <c r="AL99" s="110"/>
      <c r="AM99" s="110"/>
      <c r="AN99" s="110"/>
      <c r="AO99" s="113"/>
      <c r="AP99" s="113"/>
      <c r="AQ99" s="113"/>
      <c r="AR99" s="110"/>
      <c r="AS99" s="113"/>
      <c r="AT99" s="113"/>
      <c r="AU99" s="112"/>
      <c r="AV99" s="338"/>
      <c r="AW99" s="110"/>
      <c r="AX99" s="110"/>
      <c r="AY99" s="113"/>
      <c r="AZ99" s="113"/>
      <c r="BA99" s="113"/>
      <c r="BB99" s="113"/>
      <c r="BC99" s="113"/>
      <c r="BD99" s="113"/>
      <c r="BF9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00" spans="1:58" x14ac:dyDescent="0.3">
      <c r="A100" s="422"/>
      <c r="B100" s="376"/>
      <c r="C100" s="110"/>
      <c r="D100" s="110"/>
      <c r="E100" s="340"/>
      <c r="F100" s="330"/>
      <c r="G100" s="113"/>
      <c r="H100" s="332"/>
      <c r="I100" s="113"/>
      <c r="J100" s="332"/>
      <c r="K100" s="110"/>
      <c r="L100" s="110"/>
      <c r="M100" s="110"/>
      <c r="N100" s="110"/>
      <c r="O100" s="111"/>
      <c r="P100" s="424" t="str">
        <f>IF(OR(Table13[[#This Row],[Annual Increase Option]]="No increase",Table13[[#This Row],[Annual Increase Option]]=""),"",_xlfn.XLOOKUP(MONTH(Table13[[#This Row],[Commencement Date]]),Lookups!$I$19:$I$30,Lookups!$J$19:$J$30,0))</f>
        <v/>
      </c>
      <c r="Q100" s="340"/>
      <c r="R100" s="340"/>
      <c r="S100" s="360">
        <f>IF(Table13[[#This Row],[Life Cover Amount]]="",0,Table2[[#This Row],[Life Premium]])</f>
        <v>0</v>
      </c>
      <c r="T100" s="360">
        <f>IF(Table13[[#This Row],[Funeral Cover Amount]]=0,0,Table2[[#This Row],[Funeral Premium]])</f>
        <v>0</v>
      </c>
      <c r="U100" s="360">
        <f>IF(AND(Table13[[#This Row],[Life Cover Amount]]="",Table13[[#This Row],[Funeral Cover Amount]]=""),0,onboarding_calcs!AA100)</f>
        <v>0</v>
      </c>
      <c r="V100" s="111"/>
      <c r="W100" s="111"/>
      <c r="X100" s="333"/>
      <c r="Y100" s="110"/>
      <c r="Z100" s="113"/>
      <c r="AA100" s="425"/>
      <c r="AB100" s="425"/>
      <c r="AC100" s="113"/>
      <c r="AD100" s="110"/>
      <c r="AE100" s="110"/>
      <c r="AF100" s="110"/>
      <c r="AG100" s="110"/>
      <c r="AH100" s="110"/>
      <c r="AI100" s="113"/>
      <c r="AJ100" s="110"/>
      <c r="AK100" s="110"/>
      <c r="AL100" s="110"/>
      <c r="AM100" s="110"/>
      <c r="AN100" s="110"/>
      <c r="AO100" s="113"/>
      <c r="AP100" s="113"/>
      <c r="AQ100" s="113"/>
      <c r="AR100" s="110"/>
      <c r="AS100" s="113"/>
      <c r="AT100" s="113"/>
      <c r="AU100" s="112"/>
      <c r="AV100" s="338"/>
      <c r="AW100" s="110"/>
      <c r="AX100" s="110"/>
      <c r="AY100" s="113"/>
      <c r="AZ100" s="113"/>
      <c r="BA100" s="113"/>
      <c r="BB100" s="113"/>
      <c r="BC100" s="113"/>
      <c r="BD100" s="113"/>
      <c r="BF10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01" spans="1:58" x14ac:dyDescent="0.3">
      <c r="A101" s="422"/>
      <c r="B101" s="376"/>
      <c r="C101" s="110"/>
      <c r="D101" s="110"/>
      <c r="E101" s="340"/>
      <c r="F101" s="330"/>
      <c r="G101" s="113"/>
      <c r="H101" s="332"/>
      <c r="I101" s="113"/>
      <c r="J101" s="332"/>
      <c r="K101" s="110"/>
      <c r="L101" s="110"/>
      <c r="M101" s="110"/>
      <c r="N101" s="110"/>
      <c r="O101" s="111"/>
      <c r="P101" s="424" t="str">
        <f>IF(OR(Table13[[#This Row],[Annual Increase Option]]="No increase",Table13[[#This Row],[Annual Increase Option]]=""),"",_xlfn.XLOOKUP(MONTH(Table13[[#This Row],[Commencement Date]]),Lookups!$I$19:$I$30,Lookups!$J$19:$J$30,0))</f>
        <v/>
      </c>
      <c r="Q101" s="340"/>
      <c r="R101" s="340"/>
      <c r="S101" s="360">
        <f>IF(Table13[[#This Row],[Life Cover Amount]]="",0,Table2[[#This Row],[Life Premium]])</f>
        <v>0</v>
      </c>
      <c r="T101" s="360">
        <f>IF(Table13[[#This Row],[Funeral Cover Amount]]=0,0,Table2[[#This Row],[Funeral Premium]])</f>
        <v>0</v>
      </c>
      <c r="U101" s="360">
        <f>IF(AND(Table13[[#This Row],[Life Cover Amount]]="",Table13[[#This Row],[Funeral Cover Amount]]=""),0,onboarding_calcs!AA101)</f>
        <v>0</v>
      </c>
      <c r="V101" s="111"/>
      <c r="W101" s="111"/>
      <c r="X101" s="333"/>
      <c r="Y101" s="110"/>
      <c r="Z101" s="113"/>
      <c r="AA101" s="425"/>
      <c r="AB101" s="425"/>
      <c r="AC101" s="113"/>
      <c r="AD101" s="110"/>
      <c r="AE101" s="110"/>
      <c r="AF101" s="110"/>
      <c r="AG101" s="110"/>
      <c r="AH101" s="110"/>
      <c r="AI101" s="113"/>
      <c r="AJ101" s="110"/>
      <c r="AK101" s="110"/>
      <c r="AL101" s="110"/>
      <c r="AM101" s="110"/>
      <c r="AN101" s="110"/>
      <c r="AO101" s="113"/>
      <c r="AP101" s="113"/>
      <c r="AQ101" s="113"/>
      <c r="AR101" s="110"/>
      <c r="AS101" s="113"/>
      <c r="AT101" s="113"/>
      <c r="AU101" s="112"/>
      <c r="AV101" s="338"/>
      <c r="AW101" s="110"/>
      <c r="AX101" s="110"/>
      <c r="AY101" s="113"/>
      <c r="AZ101" s="113"/>
      <c r="BA101" s="113"/>
      <c r="BB101" s="113"/>
      <c r="BC101" s="113"/>
      <c r="BD101" s="113"/>
      <c r="BF10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02" spans="1:58" x14ac:dyDescent="0.3">
      <c r="A102" s="422"/>
      <c r="B102" s="376"/>
      <c r="C102" s="110"/>
      <c r="D102" s="110"/>
      <c r="E102" s="340"/>
      <c r="F102" s="330"/>
      <c r="G102" s="113"/>
      <c r="H102" s="332"/>
      <c r="I102" s="113"/>
      <c r="J102" s="332"/>
      <c r="K102" s="110"/>
      <c r="L102" s="110"/>
      <c r="M102" s="110"/>
      <c r="N102" s="110"/>
      <c r="O102" s="111"/>
      <c r="P102" s="424" t="str">
        <f>IF(OR(Table13[[#This Row],[Annual Increase Option]]="No increase",Table13[[#This Row],[Annual Increase Option]]=""),"",_xlfn.XLOOKUP(MONTH(Table13[[#This Row],[Commencement Date]]),Lookups!$I$19:$I$30,Lookups!$J$19:$J$30,0))</f>
        <v/>
      </c>
      <c r="Q102" s="340"/>
      <c r="R102" s="340"/>
      <c r="S102" s="360">
        <f>IF(Table13[[#This Row],[Life Cover Amount]]="",0,Table2[[#This Row],[Life Premium]])</f>
        <v>0</v>
      </c>
      <c r="T102" s="360">
        <f>IF(Table13[[#This Row],[Funeral Cover Amount]]=0,0,Table2[[#This Row],[Funeral Premium]])</f>
        <v>0</v>
      </c>
      <c r="U102" s="360">
        <f>IF(AND(Table13[[#This Row],[Life Cover Amount]]="",Table13[[#This Row],[Funeral Cover Amount]]=""),0,onboarding_calcs!AA102)</f>
        <v>0</v>
      </c>
      <c r="V102" s="111"/>
      <c r="W102" s="111"/>
      <c r="X102" s="333"/>
      <c r="Y102" s="110"/>
      <c r="Z102" s="113"/>
      <c r="AA102" s="425"/>
      <c r="AB102" s="425"/>
      <c r="AC102" s="113"/>
      <c r="AD102" s="110"/>
      <c r="AE102" s="110"/>
      <c r="AF102" s="110"/>
      <c r="AG102" s="110"/>
      <c r="AH102" s="110"/>
      <c r="AI102" s="113"/>
      <c r="AJ102" s="110"/>
      <c r="AK102" s="110"/>
      <c r="AL102" s="110"/>
      <c r="AM102" s="110"/>
      <c r="AN102" s="110"/>
      <c r="AO102" s="113"/>
      <c r="AP102" s="113"/>
      <c r="AQ102" s="113"/>
      <c r="AR102" s="110"/>
      <c r="AS102" s="113"/>
      <c r="AT102" s="113"/>
      <c r="AU102" s="112"/>
      <c r="AV102" s="338"/>
      <c r="AW102" s="110"/>
      <c r="AX102" s="110"/>
      <c r="AY102" s="113"/>
      <c r="AZ102" s="113"/>
      <c r="BA102" s="113"/>
      <c r="BB102" s="113"/>
      <c r="BC102" s="113"/>
      <c r="BD102" s="113"/>
      <c r="BF10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03" spans="1:58" x14ac:dyDescent="0.3">
      <c r="A103" s="422"/>
      <c r="B103" s="376"/>
      <c r="C103" s="110"/>
      <c r="D103" s="110"/>
      <c r="E103" s="340"/>
      <c r="F103" s="330"/>
      <c r="G103" s="113"/>
      <c r="H103" s="332"/>
      <c r="I103" s="113"/>
      <c r="J103" s="332"/>
      <c r="K103" s="110"/>
      <c r="L103" s="110"/>
      <c r="M103" s="110"/>
      <c r="N103" s="110"/>
      <c r="O103" s="111"/>
      <c r="P103" s="424" t="str">
        <f>IF(OR(Table13[[#This Row],[Annual Increase Option]]="No increase",Table13[[#This Row],[Annual Increase Option]]=""),"",_xlfn.XLOOKUP(MONTH(Table13[[#This Row],[Commencement Date]]),Lookups!$I$19:$I$30,Lookups!$J$19:$J$30,0))</f>
        <v/>
      </c>
      <c r="Q103" s="340"/>
      <c r="R103" s="340"/>
      <c r="S103" s="360">
        <f>IF(Table13[[#This Row],[Life Cover Amount]]="",0,Table2[[#This Row],[Life Premium]])</f>
        <v>0</v>
      </c>
      <c r="T103" s="360">
        <f>IF(Table13[[#This Row],[Funeral Cover Amount]]=0,0,Table2[[#This Row],[Funeral Premium]])</f>
        <v>0</v>
      </c>
      <c r="U103" s="360">
        <f>IF(AND(Table13[[#This Row],[Life Cover Amount]]="",Table13[[#This Row],[Funeral Cover Amount]]=""),0,onboarding_calcs!AA103)</f>
        <v>0</v>
      </c>
      <c r="V103" s="111"/>
      <c r="W103" s="111"/>
      <c r="X103" s="333"/>
      <c r="Y103" s="110"/>
      <c r="Z103" s="113"/>
      <c r="AA103" s="425"/>
      <c r="AB103" s="425"/>
      <c r="AC103" s="113"/>
      <c r="AD103" s="110"/>
      <c r="AE103" s="110"/>
      <c r="AF103" s="110"/>
      <c r="AG103" s="110"/>
      <c r="AH103" s="110"/>
      <c r="AI103" s="113"/>
      <c r="AJ103" s="110"/>
      <c r="AK103" s="110"/>
      <c r="AL103" s="110"/>
      <c r="AM103" s="110"/>
      <c r="AN103" s="110"/>
      <c r="AO103" s="113"/>
      <c r="AP103" s="113"/>
      <c r="AQ103" s="113"/>
      <c r="AR103" s="110"/>
      <c r="AS103" s="113"/>
      <c r="AT103" s="113"/>
      <c r="AU103" s="112"/>
      <c r="AV103" s="338"/>
      <c r="AW103" s="110"/>
      <c r="AX103" s="110"/>
      <c r="AY103" s="113"/>
      <c r="AZ103" s="113"/>
      <c r="BA103" s="113"/>
      <c r="BB103" s="113"/>
      <c r="BC103" s="113"/>
      <c r="BD103" s="113"/>
      <c r="BF10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04" spans="1:58" x14ac:dyDescent="0.3">
      <c r="A104" s="422"/>
      <c r="B104" s="376"/>
      <c r="C104" s="110"/>
      <c r="D104" s="110"/>
      <c r="E104" s="340"/>
      <c r="F104" s="330"/>
      <c r="G104" s="113"/>
      <c r="H104" s="332"/>
      <c r="I104" s="113"/>
      <c r="J104" s="332"/>
      <c r="K104" s="110"/>
      <c r="L104" s="110"/>
      <c r="M104" s="110"/>
      <c r="N104" s="110"/>
      <c r="O104" s="111"/>
      <c r="P104" s="424" t="str">
        <f>IF(OR(Table13[[#This Row],[Annual Increase Option]]="No increase",Table13[[#This Row],[Annual Increase Option]]=""),"",_xlfn.XLOOKUP(MONTH(Table13[[#This Row],[Commencement Date]]),Lookups!$I$19:$I$30,Lookups!$J$19:$J$30,0))</f>
        <v/>
      </c>
      <c r="Q104" s="340"/>
      <c r="R104" s="340"/>
      <c r="S104" s="360">
        <f>IF(Table13[[#This Row],[Life Cover Amount]]="",0,Table2[[#This Row],[Life Premium]])</f>
        <v>0</v>
      </c>
      <c r="T104" s="360">
        <f>IF(Table13[[#This Row],[Funeral Cover Amount]]=0,0,Table2[[#This Row],[Funeral Premium]])</f>
        <v>0</v>
      </c>
      <c r="U104" s="360">
        <f>IF(AND(Table13[[#This Row],[Life Cover Amount]]="",Table13[[#This Row],[Funeral Cover Amount]]=""),0,onboarding_calcs!AA104)</f>
        <v>0</v>
      </c>
      <c r="V104" s="111"/>
      <c r="W104" s="111"/>
      <c r="X104" s="333"/>
      <c r="Y104" s="110"/>
      <c r="Z104" s="113"/>
      <c r="AA104" s="425"/>
      <c r="AB104" s="425"/>
      <c r="AC104" s="113"/>
      <c r="AD104" s="110"/>
      <c r="AE104" s="110"/>
      <c r="AF104" s="110"/>
      <c r="AG104" s="110"/>
      <c r="AH104" s="110"/>
      <c r="AI104" s="113"/>
      <c r="AJ104" s="110"/>
      <c r="AK104" s="110"/>
      <c r="AL104" s="110"/>
      <c r="AM104" s="110"/>
      <c r="AN104" s="110"/>
      <c r="AO104" s="113"/>
      <c r="AP104" s="113"/>
      <c r="AQ104" s="113"/>
      <c r="AR104" s="110"/>
      <c r="AS104" s="113"/>
      <c r="AT104" s="113"/>
      <c r="AU104" s="112"/>
      <c r="AV104" s="338"/>
      <c r="AW104" s="110"/>
      <c r="AX104" s="110"/>
      <c r="AY104" s="113"/>
      <c r="AZ104" s="113"/>
      <c r="BA104" s="113"/>
      <c r="BB104" s="113"/>
      <c r="BC104" s="113"/>
      <c r="BD104" s="113"/>
      <c r="BF10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05" spans="1:58" x14ac:dyDescent="0.3">
      <c r="A105" s="422"/>
      <c r="B105" s="376"/>
      <c r="C105" s="110"/>
      <c r="D105" s="110"/>
      <c r="E105" s="340"/>
      <c r="F105" s="330"/>
      <c r="G105" s="113"/>
      <c r="H105" s="332"/>
      <c r="I105" s="113"/>
      <c r="J105" s="332"/>
      <c r="K105" s="110"/>
      <c r="L105" s="110"/>
      <c r="M105" s="110"/>
      <c r="N105" s="110"/>
      <c r="O105" s="111"/>
      <c r="P105" s="424" t="str">
        <f>IF(OR(Table13[[#This Row],[Annual Increase Option]]="No increase",Table13[[#This Row],[Annual Increase Option]]=""),"",_xlfn.XLOOKUP(MONTH(Table13[[#This Row],[Commencement Date]]),Lookups!$I$19:$I$30,Lookups!$J$19:$J$30,0))</f>
        <v/>
      </c>
      <c r="Q105" s="340"/>
      <c r="R105" s="340"/>
      <c r="S105" s="360">
        <f>IF(Table13[[#This Row],[Life Cover Amount]]="",0,Table2[[#This Row],[Life Premium]])</f>
        <v>0</v>
      </c>
      <c r="T105" s="360">
        <f>IF(Table13[[#This Row],[Funeral Cover Amount]]=0,0,Table2[[#This Row],[Funeral Premium]])</f>
        <v>0</v>
      </c>
      <c r="U105" s="360">
        <f>IF(AND(Table13[[#This Row],[Life Cover Amount]]="",Table13[[#This Row],[Funeral Cover Amount]]=""),0,onboarding_calcs!AA105)</f>
        <v>0</v>
      </c>
      <c r="V105" s="111"/>
      <c r="W105" s="111"/>
      <c r="X105" s="333"/>
      <c r="Y105" s="110"/>
      <c r="Z105" s="113"/>
      <c r="AA105" s="425"/>
      <c r="AB105" s="425"/>
      <c r="AC105" s="113"/>
      <c r="AD105" s="110"/>
      <c r="AE105" s="110"/>
      <c r="AF105" s="110"/>
      <c r="AG105" s="110"/>
      <c r="AH105" s="110"/>
      <c r="AI105" s="113"/>
      <c r="AJ105" s="110"/>
      <c r="AK105" s="110"/>
      <c r="AL105" s="110"/>
      <c r="AM105" s="110"/>
      <c r="AN105" s="110"/>
      <c r="AO105" s="113"/>
      <c r="AP105" s="113"/>
      <c r="AQ105" s="113"/>
      <c r="AR105" s="110"/>
      <c r="AS105" s="113"/>
      <c r="AT105" s="113"/>
      <c r="AU105" s="112"/>
      <c r="AV105" s="338"/>
      <c r="AW105" s="110"/>
      <c r="AX105" s="110"/>
      <c r="AY105" s="113"/>
      <c r="AZ105" s="113"/>
      <c r="BA105" s="113"/>
      <c r="BB105" s="113"/>
      <c r="BC105" s="113"/>
      <c r="BD105" s="113"/>
      <c r="BF10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06" spans="1:58" x14ac:dyDescent="0.3">
      <c r="A106" s="422"/>
      <c r="B106" s="376"/>
      <c r="C106" s="110"/>
      <c r="D106" s="110"/>
      <c r="E106" s="340"/>
      <c r="F106" s="330"/>
      <c r="G106" s="113"/>
      <c r="H106" s="332"/>
      <c r="I106" s="113"/>
      <c r="J106" s="332"/>
      <c r="K106" s="110"/>
      <c r="L106" s="110"/>
      <c r="M106" s="110"/>
      <c r="N106" s="110"/>
      <c r="O106" s="111"/>
      <c r="P106" s="424" t="str">
        <f>IF(OR(Table13[[#This Row],[Annual Increase Option]]="No increase",Table13[[#This Row],[Annual Increase Option]]=""),"",_xlfn.XLOOKUP(MONTH(Table13[[#This Row],[Commencement Date]]),Lookups!$I$19:$I$30,Lookups!$J$19:$J$30,0))</f>
        <v/>
      </c>
      <c r="Q106" s="340"/>
      <c r="R106" s="340"/>
      <c r="S106" s="360">
        <f>IF(Table13[[#This Row],[Life Cover Amount]]="",0,Table2[[#This Row],[Life Premium]])</f>
        <v>0</v>
      </c>
      <c r="T106" s="360">
        <f>IF(Table13[[#This Row],[Funeral Cover Amount]]=0,0,Table2[[#This Row],[Funeral Premium]])</f>
        <v>0</v>
      </c>
      <c r="U106" s="360">
        <f>IF(AND(Table13[[#This Row],[Life Cover Amount]]="",Table13[[#This Row],[Funeral Cover Amount]]=""),0,onboarding_calcs!AA106)</f>
        <v>0</v>
      </c>
      <c r="V106" s="111"/>
      <c r="W106" s="111"/>
      <c r="X106" s="333"/>
      <c r="Y106" s="110"/>
      <c r="Z106" s="113"/>
      <c r="AA106" s="425"/>
      <c r="AB106" s="425"/>
      <c r="AC106" s="113"/>
      <c r="AD106" s="110"/>
      <c r="AE106" s="110"/>
      <c r="AF106" s="110"/>
      <c r="AG106" s="110"/>
      <c r="AH106" s="110"/>
      <c r="AI106" s="113"/>
      <c r="AJ106" s="110"/>
      <c r="AK106" s="110"/>
      <c r="AL106" s="110"/>
      <c r="AM106" s="110"/>
      <c r="AN106" s="110"/>
      <c r="AO106" s="113"/>
      <c r="AP106" s="113"/>
      <c r="AQ106" s="113"/>
      <c r="AR106" s="110"/>
      <c r="AS106" s="113"/>
      <c r="AT106" s="113"/>
      <c r="AU106" s="112"/>
      <c r="AV106" s="338"/>
      <c r="AW106" s="110"/>
      <c r="AX106" s="110"/>
      <c r="AY106" s="113"/>
      <c r="AZ106" s="113"/>
      <c r="BA106" s="113"/>
      <c r="BB106" s="113"/>
      <c r="BC106" s="113"/>
      <c r="BD106" s="113"/>
      <c r="BF10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07" spans="1:58" x14ac:dyDescent="0.3">
      <c r="A107" s="422"/>
      <c r="B107" s="376"/>
      <c r="C107" s="110"/>
      <c r="D107" s="110"/>
      <c r="E107" s="340"/>
      <c r="F107" s="330"/>
      <c r="G107" s="113"/>
      <c r="H107" s="332"/>
      <c r="I107" s="113"/>
      <c r="J107" s="332"/>
      <c r="K107" s="110"/>
      <c r="L107" s="110"/>
      <c r="M107" s="110"/>
      <c r="N107" s="110"/>
      <c r="O107" s="111"/>
      <c r="P107" s="424" t="str">
        <f>IF(OR(Table13[[#This Row],[Annual Increase Option]]="No increase",Table13[[#This Row],[Annual Increase Option]]=""),"",_xlfn.XLOOKUP(MONTH(Table13[[#This Row],[Commencement Date]]),Lookups!$I$19:$I$30,Lookups!$J$19:$J$30,0))</f>
        <v/>
      </c>
      <c r="Q107" s="340"/>
      <c r="R107" s="340"/>
      <c r="S107" s="360">
        <f>IF(Table13[[#This Row],[Life Cover Amount]]="",0,Table2[[#This Row],[Life Premium]])</f>
        <v>0</v>
      </c>
      <c r="T107" s="360">
        <f>IF(Table13[[#This Row],[Funeral Cover Amount]]=0,0,Table2[[#This Row],[Funeral Premium]])</f>
        <v>0</v>
      </c>
      <c r="U107" s="360">
        <f>IF(AND(Table13[[#This Row],[Life Cover Amount]]="",Table13[[#This Row],[Funeral Cover Amount]]=""),0,onboarding_calcs!AA107)</f>
        <v>0</v>
      </c>
      <c r="V107" s="111"/>
      <c r="W107" s="111"/>
      <c r="X107" s="333"/>
      <c r="Y107" s="110"/>
      <c r="Z107" s="113"/>
      <c r="AA107" s="425"/>
      <c r="AB107" s="425"/>
      <c r="AC107" s="113"/>
      <c r="AD107" s="110"/>
      <c r="AE107" s="110"/>
      <c r="AF107" s="110"/>
      <c r="AG107" s="110"/>
      <c r="AH107" s="110"/>
      <c r="AI107" s="113"/>
      <c r="AJ107" s="110"/>
      <c r="AK107" s="110"/>
      <c r="AL107" s="110"/>
      <c r="AM107" s="110"/>
      <c r="AN107" s="110"/>
      <c r="AO107" s="113"/>
      <c r="AP107" s="113"/>
      <c r="AQ107" s="113"/>
      <c r="AR107" s="110"/>
      <c r="AS107" s="113"/>
      <c r="AT107" s="113"/>
      <c r="AU107" s="112"/>
      <c r="AV107" s="338"/>
      <c r="AW107" s="110"/>
      <c r="AX107" s="110"/>
      <c r="AY107" s="113"/>
      <c r="AZ107" s="113"/>
      <c r="BA107" s="113"/>
      <c r="BB107" s="113"/>
      <c r="BC107" s="113"/>
      <c r="BD107" s="113"/>
      <c r="BF10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08" spans="1:58" x14ac:dyDescent="0.3">
      <c r="A108" s="422"/>
      <c r="B108" s="376"/>
      <c r="C108" s="110"/>
      <c r="D108" s="110"/>
      <c r="E108" s="340"/>
      <c r="F108" s="330"/>
      <c r="G108" s="113"/>
      <c r="H108" s="332"/>
      <c r="I108" s="113"/>
      <c r="J108" s="332"/>
      <c r="K108" s="110"/>
      <c r="L108" s="110"/>
      <c r="M108" s="110"/>
      <c r="N108" s="110"/>
      <c r="O108" s="111"/>
      <c r="P108" s="424" t="str">
        <f>IF(OR(Table13[[#This Row],[Annual Increase Option]]="No increase",Table13[[#This Row],[Annual Increase Option]]=""),"",_xlfn.XLOOKUP(MONTH(Table13[[#This Row],[Commencement Date]]),Lookups!$I$19:$I$30,Lookups!$J$19:$J$30,0))</f>
        <v/>
      </c>
      <c r="Q108" s="340"/>
      <c r="R108" s="340"/>
      <c r="S108" s="360">
        <f>IF(Table13[[#This Row],[Life Cover Amount]]="",0,Table2[[#This Row],[Life Premium]])</f>
        <v>0</v>
      </c>
      <c r="T108" s="360">
        <f>IF(Table13[[#This Row],[Funeral Cover Amount]]=0,0,Table2[[#This Row],[Funeral Premium]])</f>
        <v>0</v>
      </c>
      <c r="U108" s="360">
        <f>IF(AND(Table13[[#This Row],[Life Cover Amount]]="",Table13[[#This Row],[Funeral Cover Amount]]=""),0,onboarding_calcs!AA108)</f>
        <v>0</v>
      </c>
      <c r="V108" s="111"/>
      <c r="W108" s="111"/>
      <c r="X108" s="333"/>
      <c r="Y108" s="110"/>
      <c r="Z108" s="113"/>
      <c r="AA108" s="425"/>
      <c r="AB108" s="425"/>
      <c r="AC108" s="113"/>
      <c r="AD108" s="110"/>
      <c r="AE108" s="110"/>
      <c r="AF108" s="110"/>
      <c r="AG108" s="110"/>
      <c r="AH108" s="110"/>
      <c r="AI108" s="113"/>
      <c r="AJ108" s="110"/>
      <c r="AK108" s="110"/>
      <c r="AL108" s="110"/>
      <c r="AM108" s="110"/>
      <c r="AN108" s="110"/>
      <c r="AO108" s="113"/>
      <c r="AP108" s="113"/>
      <c r="AQ108" s="113"/>
      <c r="AR108" s="110"/>
      <c r="AS108" s="113"/>
      <c r="AT108" s="113"/>
      <c r="AU108" s="112"/>
      <c r="AV108" s="338"/>
      <c r="AW108" s="110"/>
      <c r="AX108" s="110"/>
      <c r="AY108" s="113"/>
      <c r="AZ108" s="113"/>
      <c r="BA108" s="113"/>
      <c r="BB108" s="113"/>
      <c r="BC108" s="113"/>
      <c r="BD108" s="113"/>
      <c r="BF10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09" spans="1:58" x14ac:dyDescent="0.3">
      <c r="A109" s="422"/>
      <c r="B109" s="376"/>
      <c r="C109" s="110"/>
      <c r="D109" s="110"/>
      <c r="E109" s="340"/>
      <c r="F109" s="330"/>
      <c r="G109" s="113"/>
      <c r="H109" s="332"/>
      <c r="I109" s="113"/>
      <c r="J109" s="332"/>
      <c r="K109" s="110"/>
      <c r="L109" s="110"/>
      <c r="M109" s="110"/>
      <c r="N109" s="110"/>
      <c r="O109" s="111"/>
      <c r="P109" s="424" t="str">
        <f>IF(OR(Table13[[#This Row],[Annual Increase Option]]="No increase",Table13[[#This Row],[Annual Increase Option]]=""),"",_xlfn.XLOOKUP(MONTH(Table13[[#This Row],[Commencement Date]]),Lookups!$I$19:$I$30,Lookups!$J$19:$J$30,0))</f>
        <v/>
      </c>
      <c r="Q109" s="340"/>
      <c r="R109" s="340"/>
      <c r="S109" s="360">
        <f>IF(Table13[[#This Row],[Life Cover Amount]]="",0,Table2[[#This Row],[Life Premium]])</f>
        <v>0</v>
      </c>
      <c r="T109" s="360">
        <f>IF(Table13[[#This Row],[Funeral Cover Amount]]=0,0,Table2[[#This Row],[Funeral Premium]])</f>
        <v>0</v>
      </c>
      <c r="U109" s="360">
        <f>IF(AND(Table13[[#This Row],[Life Cover Amount]]="",Table13[[#This Row],[Funeral Cover Amount]]=""),0,onboarding_calcs!AA109)</f>
        <v>0</v>
      </c>
      <c r="V109" s="111"/>
      <c r="W109" s="111"/>
      <c r="X109" s="333"/>
      <c r="Y109" s="110"/>
      <c r="Z109" s="113"/>
      <c r="AA109" s="425"/>
      <c r="AB109" s="425"/>
      <c r="AC109" s="113"/>
      <c r="AD109" s="110"/>
      <c r="AE109" s="110"/>
      <c r="AF109" s="110"/>
      <c r="AG109" s="110"/>
      <c r="AH109" s="110"/>
      <c r="AI109" s="113"/>
      <c r="AJ109" s="110"/>
      <c r="AK109" s="110"/>
      <c r="AL109" s="110"/>
      <c r="AM109" s="110"/>
      <c r="AN109" s="110"/>
      <c r="AO109" s="113"/>
      <c r="AP109" s="113"/>
      <c r="AQ109" s="113"/>
      <c r="AR109" s="110"/>
      <c r="AS109" s="113"/>
      <c r="AT109" s="113"/>
      <c r="AU109" s="112"/>
      <c r="AV109" s="338"/>
      <c r="AW109" s="110"/>
      <c r="AX109" s="110"/>
      <c r="AY109" s="113"/>
      <c r="AZ109" s="113"/>
      <c r="BA109" s="113"/>
      <c r="BB109" s="113"/>
      <c r="BC109" s="113"/>
      <c r="BD109" s="113"/>
      <c r="BF10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10" spans="1:58" x14ac:dyDescent="0.3">
      <c r="A110" s="422"/>
      <c r="B110" s="376"/>
      <c r="C110" s="110"/>
      <c r="D110" s="110"/>
      <c r="E110" s="340"/>
      <c r="F110" s="330"/>
      <c r="G110" s="113"/>
      <c r="H110" s="332"/>
      <c r="I110" s="113"/>
      <c r="J110" s="332"/>
      <c r="K110" s="110"/>
      <c r="L110" s="110"/>
      <c r="M110" s="110"/>
      <c r="N110" s="110"/>
      <c r="O110" s="111"/>
      <c r="P110" s="424" t="str">
        <f>IF(OR(Table13[[#This Row],[Annual Increase Option]]="No increase",Table13[[#This Row],[Annual Increase Option]]=""),"",_xlfn.XLOOKUP(MONTH(Table13[[#This Row],[Commencement Date]]),Lookups!$I$19:$I$30,Lookups!$J$19:$J$30,0))</f>
        <v/>
      </c>
      <c r="Q110" s="340"/>
      <c r="R110" s="340"/>
      <c r="S110" s="360">
        <f>IF(Table13[[#This Row],[Life Cover Amount]]="",0,Table2[[#This Row],[Life Premium]])</f>
        <v>0</v>
      </c>
      <c r="T110" s="360">
        <f>IF(Table13[[#This Row],[Funeral Cover Amount]]=0,0,Table2[[#This Row],[Funeral Premium]])</f>
        <v>0</v>
      </c>
      <c r="U110" s="360">
        <f>IF(AND(Table13[[#This Row],[Life Cover Amount]]="",Table13[[#This Row],[Funeral Cover Amount]]=""),0,onboarding_calcs!AA110)</f>
        <v>0</v>
      </c>
      <c r="V110" s="111"/>
      <c r="W110" s="111"/>
      <c r="X110" s="333"/>
      <c r="Y110" s="110"/>
      <c r="Z110" s="113"/>
      <c r="AA110" s="425"/>
      <c r="AB110" s="425"/>
      <c r="AC110" s="113"/>
      <c r="AD110" s="110"/>
      <c r="AE110" s="110"/>
      <c r="AF110" s="110"/>
      <c r="AG110" s="110"/>
      <c r="AH110" s="110"/>
      <c r="AI110" s="113"/>
      <c r="AJ110" s="110"/>
      <c r="AK110" s="110"/>
      <c r="AL110" s="110"/>
      <c r="AM110" s="110"/>
      <c r="AN110" s="110"/>
      <c r="AO110" s="113"/>
      <c r="AP110" s="113"/>
      <c r="AQ110" s="113"/>
      <c r="AR110" s="110"/>
      <c r="AS110" s="113"/>
      <c r="AT110" s="113"/>
      <c r="AU110" s="112"/>
      <c r="AV110" s="338"/>
      <c r="AW110" s="110"/>
      <c r="AX110" s="110"/>
      <c r="AY110" s="113"/>
      <c r="AZ110" s="113"/>
      <c r="BA110" s="113"/>
      <c r="BB110" s="113"/>
      <c r="BC110" s="113"/>
      <c r="BD110" s="113"/>
      <c r="BF11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11" spans="1:58" x14ac:dyDescent="0.3">
      <c r="A111" s="422"/>
      <c r="B111" s="376"/>
      <c r="C111" s="110"/>
      <c r="D111" s="110"/>
      <c r="E111" s="340"/>
      <c r="F111" s="330"/>
      <c r="G111" s="113"/>
      <c r="H111" s="332"/>
      <c r="I111" s="113"/>
      <c r="J111" s="332"/>
      <c r="K111" s="110"/>
      <c r="L111" s="110"/>
      <c r="M111" s="110"/>
      <c r="N111" s="110"/>
      <c r="O111" s="111"/>
      <c r="P111" s="424" t="str">
        <f>IF(OR(Table13[[#This Row],[Annual Increase Option]]="No increase",Table13[[#This Row],[Annual Increase Option]]=""),"",_xlfn.XLOOKUP(MONTH(Table13[[#This Row],[Commencement Date]]),Lookups!$I$19:$I$30,Lookups!$J$19:$J$30,0))</f>
        <v/>
      </c>
      <c r="Q111" s="340"/>
      <c r="R111" s="340"/>
      <c r="S111" s="360">
        <f>IF(Table13[[#This Row],[Life Cover Amount]]="",0,Table2[[#This Row],[Life Premium]])</f>
        <v>0</v>
      </c>
      <c r="T111" s="360">
        <f>IF(Table13[[#This Row],[Funeral Cover Amount]]=0,0,Table2[[#This Row],[Funeral Premium]])</f>
        <v>0</v>
      </c>
      <c r="U111" s="360">
        <f>IF(AND(Table13[[#This Row],[Life Cover Amount]]="",Table13[[#This Row],[Funeral Cover Amount]]=""),0,onboarding_calcs!AA111)</f>
        <v>0</v>
      </c>
      <c r="V111" s="111"/>
      <c r="W111" s="111"/>
      <c r="X111" s="333"/>
      <c r="Y111" s="110"/>
      <c r="Z111" s="113"/>
      <c r="AA111" s="425"/>
      <c r="AB111" s="425"/>
      <c r="AC111" s="113"/>
      <c r="AD111" s="110"/>
      <c r="AE111" s="110"/>
      <c r="AF111" s="110"/>
      <c r="AG111" s="110"/>
      <c r="AH111" s="110"/>
      <c r="AI111" s="113"/>
      <c r="AJ111" s="110"/>
      <c r="AK111" s="110"/>
      <c r="AL111" s="110"/>
      <c r="AM111" s="110"/>
      <c r="AN111" s="110"/>
      <c r="AO111" s="113"/>
      <c r="AP111" s="113"/>
      <c r="AQ111" s="113"/>
      <c r="AR111" s="110"/>
      <c r="AS111" s="113"/>
      <c r="AT111" s="113"/>
      <c r="AU111" s="112"/>
      <c r="AV111" s="338"/>
      <c r="AW111" s="110"/>
      <c r="AX111" s="110"/>
      <c r="AY111" s="113"/>
      <c r="AZ111" s="113"/>
      <c r="BA111" s="113"/>
      <c r="BB111" s="113"/>
      <c r="BC111" s="113"/>
      <c r="BD111" s="113"/>
      <c r="BF11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12" spans="1:58" x14ac:dyDescent="0.3">
      <c r="A112" s="422"/>
      <c r="B112" s="376"/>
      <c r="C112" s="110"/>
      <c r="D112" s="110"/>
      <c r="E112" s="340"/>
      <c r="F112" s="330"/>
      <c r="G112" s="113"/>
      <c r="H112" s="332"/>
      <c r="I112" s="113"/>
      <c r="J112" s="332"/>
      <c r="K112" s="110"/>
      <c r="L112" s="110"/>
      <c r="M112" s="110"/>
      <c r="N112" s="110"/>
      <c r="O112" s="111"/>
      <c r="P112" s="424" t="str">
        <f>IF(OR(Table13[[#This Row],[Annual Increase Option]]="No increase",Table13[[#This Row],[Annual Increase Option]]=""),"",_xlfn.XLOOKUP(MONTH(Table13[[#This Row],[Commencement Date]]),Lookups!$I$19:$I$30,Lookups!$J$19:$J$30,0))</f>
        <v/>
      </c>
      <c r="Q112" s="340"/>
      <c r="R112" s="340"/>
      <c r="S112" s="360">
        <f>IF(Table13[[#This Row],[Life Cover Amount]]="",0,Table2[[#This Row],[Life Premium]])</f>
        <v>0</v>
      </c>
      <c r="T112" s="360">
        <f>IF(Table13[[#This Row],[Funeral Cover Amount]]=0,0,Table2[[#This Row],[Funeral Premium]])</f>
        <v>0</v>
      </c>
      <c r="U112" s="360">
        <f>IF(AND(Table13[[#This Row],[Life Cover Amount]]="",Table13[[#This Row],[Funeral Cover Amount]]=""),0,onboarding_calcs!AA112)</f>
        <v>0</v>
      </c>
      <c r="V112" s="111"/>
      <c r="W112" s="111"/>
      <c r="X112" s="333"/>
      <c r="Y112" s="110"/>
      <c r="Z112" s="113"/>
      <c r="AA112" s="425"/>
      <c r="AB112" s="425"/>
      <c r="AC112" s="113"/>
      <c r="AD112" s="110"/>
      <c r="AE112" s="110"/>
      <c r="AF112" s="110"/>
      <c r="AG112" s="110"/>
      <c r="AH112" s="110"/>
      <c r="AI112" s="113"/>
      <c r="AJ112" s="110"/>
      <c r="AK112" s="110"/>
      <c r="AL112" s="110"/>
      <c r="AM112" s="110"/>
      <c r="AN112" s="110"/>
      <c r="AO112" s="113"/>
      <c r="AP112" s="113"/>
      <c r="AQ112" s="113"/>
      <c r="AR112" s="110"/>
      <c r="AS112" s="113"/>
      <c r="AT112" s="113"/>
      <c r="AU112" s="112"/>
      <c r="AV112" s="338"/>
      <c r="AW112" s="110"/>
      <c r="AX112" s="110"/>
      <c r="AY112" s="113"/>
      <c r="AZ112" s="113"/>
      <c r="BA112" s="113"/>
      <c r="BB112" s="113"/>
      <c r="BC112" s="113"/>
      <c r="BD112" s="113"/>
      <c r="BF11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13" spans="1:58" x14ac:dyDescent="0.3">
      <c r="A113" s="422"/>
      <c r="B113" s="376"/>
      <c r="C113" s="110"/>
      <c r="D113" s="110"/>
      <c r="E113" s="340"/>
      <c r="F113" s="330"/>
      <c r="G113" s="113"/>
      <c r="H113" s="332"/>
      <c r="I113" s="113"/>
      <c r="J113" s="332"/>
      <c r="K113" s="110"/>
      <c r="L113" s="110"/>
      <c r="M113" s="110"/>
      <c r="N113" s="110"/>
      <c r="O113" s="111"/>
      <c r="P113" s="424" t="str">
        <f>IF(OR(Table13[[#This Row],[Annual Increase Option]]="No increase",Table13[[#This Row],[Annual Increase Option]]=""),"",_xlfn.XLOOKUP(MONTH(Table13[[#This Row],[Commencement Date]]),Lookups!$I$19:$I$30,Lookups!$J$19:$J$30,0))</f>
        <v/>
      </c>
      <c r="Q113" s="340"/>
      <c r="R113" s="340"/>
      <c r="S113" s="360">
        <f>IF(Table13[[#This Row],[Life Cover Amount]]="",0,Table2[[#This Row],[Life Premium]])</f>
        <v>0</v>
      </c>
      <c r="T113" s="360">
        <f>IF(Table13[[#This Row],[Funeral Cover Amount]]=0,0,Table2[[#This Row],[Funeral Premium]])</f>
        <v>0</v>
      </c>
      <c r="U113" s="360">
        <f>IF(AND(Table13[[#This Row],[Life Cover Amount]]="",Table13[[#This Row],[Funeral Cover Amount]]=""),0,onboarding_calcs!AA113)</f>
        <v>0</v>
      </c>
      <c r="V113" s="111"/>
      <c r="W113" s="111"/>
      <c r="X113" s="333"/>
      <c r="Y113" s="110"/>
      <c r="Z113" s="113"/>
      <c r="AA113" s="425"/>
      <c r="AB113" s="425"/>
      <c r="AC113" s="113"/>
      <c r="AD113" s="110"/>
      <c r="AE113" s="110"/>
      <c r="AF113" s="110"/>
      <c r="AG113" s="110"/>
      <c r="AH113" s="110"/>
      <c r="AI113" s="113"/>
      <c r="AJ113" s="110"/>
      <c r="AK113" s="110"/>
      <c r="AL113" s="110"/>
      <c r="AM113" s="110"/>
      <c r="AN113" s="110"/>
      <c r="AO113" s="113"/>
      <c r="AP113" s="113"/>
      <c r="AQ113" s="113"/>
      <c r="AR113" s="110"/>
      <c r="AS113" s="113"/>
      <c r="AT113" s="113"/>
      <c r="AU113" s="112"/>
      <c r="AV113" s="338"/>
      <c r="AW113" s="110"/>
      <c r="AX113" s="110"/>
      <c r="AY113" s="113"/>
      <c r="AZ113" s="113"/>
      <c r="BA113" s="113"/>
      <c r="BB113" s="113"/>
      <c r="BC113" s="113"/>
      <c r="BD113" s="113"/>
      <c r="BF11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14" spans="1:58" x14ac:dyDescent="0.3">
      <c r="A114" s="422"/>
      <c r="B114" s="376"/>
      <c r="C114" s="110"/>
      <c r="D114" s="110"/>
      <c r="E114" s="340"/>
      <c r="F114" s="330"/>
      <c r="G114" s="113"/>
      <c r="H114" s="332"/>
      <c r="I114" s="113"/>
      <c r="J114" s="332"/>
      <c r="K114" s="110"/>
      <c r="L114" s="110"/>
      <c r="M114" s="110"/>
      <c r="N114" s="110"/>
      <c r="O114" s="111"/>
      <c r="P114" s="424" t="str">
        <f>IF(OR(Table13[[#This Row],[Annual Increase Option]]="No increase",Table13[[#This Row],[Annual Increase Option]]=""),"",_xlfn.XLOOKUP(MONTH(Table13[[#This Row],[Commencement Date]]),Lookups!$I$19:$I$30,Lookups!$J$19:$J$30,0))</f>
        <v/>
      </c>
      <c r="Q114" s="340"/>
      <c r="R114" s="340"/>
      <c r="S114" s="360">
        <f>IF(Table13[[#This Row],[Life Cover Amount]]="",0,Table2[[#This Row],[Life Premium]])</f>
        <v>0</v>
      </c>
      <c r="T114" s="360">
        <f>IF(Table13[[#This Row],[Funeral Cover Amount]]=0,0,Table2[[#This Row],[Funeral Premium]])</f>
        <v>0</v>
      </c>
      <c r="U114" s="360">
        <f>IF(AND(Table13[[#This Row],[Life Cover Amount]]="",Table13[[#This Row],[Funeral Cover Amount]]=""),0,onboarding_calcs!AA114)</f>
        <v>0</v>
      </c>
      <c r="V114" s="111"/>
      <c r="W114" s="111"/>
      <c r="X114" s="333"/>
      <c r="Y114" s="110"/>
      <c r="Z114" s="113"/>
      <c r="AA114" s="425"/>
      <c r="AB114" s="425"/>
      <c r="AC114" s="113"/>
      <c r="AD114" s="110"/>
      <c r="AE114" s="110"/>
      <c r="AF114" s="110"/>
      <c r="AG114" s="110"/>
      <c r="AH114" s="110"/>
      <c r="AI114" s="113"/>
      <c r="AJ114" s="110"/>
      <c r="AK114" s="110"/>
      <c r="AL114" s="110"/>
      <c r="AM114" s="110"/>
      <c r="AN114" s="110"/>
      <c r="AO114" s="113"/>
      <c r="AP114" s="113"/>
      <c r="AQ114" s="113"/>
      <c r="AR114" s="110"/>
      <c r="AS114" s="113"/>
      <c r="AT114" s="113"/>
      <c r="AU114" s="112"/>
      <c r="AV114" s="338"/>
      <c r="AW114" s="110"/>
      <c r="AX114" s="110"/>
      <c r="AY114" s="113"/>
      <c r="AZ114" s="113"/>
      <c r="BA114" s="113"/>
      <c r="BB114" s="113"/>
      <c r="BC114" s="113"/>
      <c r="BD114" s="113"/>
      <c r="BF11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15" spans="1:58" x14ac:dyDescent="0.3">
      <c r="A115" s="422"/>
      <c r="B115" s="376"/>
      <c r="C115" s="110"/>
      <c r="D115" s="110"/>
      <c r="E115" s="340"/>
      <c r="F115" s="330"/>
      <c r="G115" s="113"/>
      <c r="H115" s="332"/>
      <c r="I115" s="113"/>
      <c r="J115" s="332"/>
      <c r="K115" s="110"/>
      <c r="L115" s="110"/>
      <c r="M115" s="110"/>
      <c r="N115" s="110"/>
      <c r="O115" s="111"/>
      <c r="P115" s="424" t="str">
        <f>IF(OR(Table13[[#This Row],[Annual Increase Option]]="No increase",Table13[[#This Row],[Annual Increase Option]]=""),"",_xlfn.XLOOKUP(MONTH(Table13[[#This Row],[Commencement Date]]),Lookups!$I$19:$I$30,Lookups!$J$19:$J$30,0))</f>
        <v/>
      </c>
      <c r="Q115" s="340"/>
      <c r="R115" s="340"/>
      <c r="S115" s="360">
        <f>IF(Table13[[#This Row],[Life Cover Amount]]="",0,Table2[[#This Row],[Life Premium]])</f>
        <v>0</v>
      </c>
      <c r="T115" s="360">
        <f>IF(Table13[[#This Row],[Funeral Cover Amount]]=0,0,Table2[[#This Row],[Funeral Premium]])</f>
        <v>0</v>
      </c>
      <c r="U115" s="360">
        <f>IF(AND(Table13[[#This Row],[Life Cover Amount]]="",Table13[[#This Row],[Funeral Cover Amount]]=""),0,onboarding_calcs!AA115)</f>
        <v>0</v>
      </c>
      <c r="V115" s="111"/>
      <c r="W115" s="111"/>
      <c r="X115" s="333"/>
      <c r="Y115" s="110"/>
      <c r="Z115" s="113"/>
      <c r="AA115" s="425"/>
      <c r="AB115" s="425"/>
      <c r="AC115" s="113"/>
      <c r="AD115" s="110"/>
      <c r="AE115" s="110"/>
      <c r="AF115" s="110"/>
      <c r="AG115" s="110"/>
      <c r="AH115" s="110"/>
      <c r="AI115" s="113"/>
      <c r="AJ115" s="110"/>
      <c r="AK115" s="110"/>
      <c r="AL115" s="110"/>
      <c r="AM115" s="110"/>
      <c r="AN115" s="110"/>
      <c r="AO115" s="113"/>
      <c r="AP115" s="113"/>
      <c r="AQ115" s="113"/>
      <c r="AR115" s="110"/>
      <c r="AS115" s="113"/>
      <c r="AT115" s="113"/>
      <c r="AU115" s="112"/>
      <c r="AV115" s="338"/>
      <c r="AW115" s="110"/>
      <c r="AX115" s="110"/>
      <c r="AY115" s="113"/>
      <c r="AZ115" s="113"/>
      <c r="BA115" s="113"/>
      <c r="BB115" s="113"/>
      <c r="BC115" s="113"/>
      <c r="BD115" s="113"/>
      <c r="BF11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16" spans="1:58" x14ac:dyDescent="0.3">
      <c r="A116" s="422"/>
      <c r="B116" s="376"/>
      <c r="C116" s="110"/>
      <c r="D116" s="110"/>
      <c r="E116" s="340"/>
      <c r="F116" s="330"/>
      <c r="G116" s="113"/>
      <c r="H116" s="332"/>
      <c r="I116" s="113"/>
      <c r="J116" s="332"/>
      <c r="K116" s="110"/>
      <c r="L116" s="110"/>
      <c r="M116" s="110"/>
      <c r="N116" s="110"/>
      <c r="O116" s="111"/>
      <c r="P116" s="424" t="str">
        <f>IF(OR(Table13[[#This Row],[Annual Increase Option]]="No increase",Table13[[#This Row],[Annual Increase Option]]=""),"",_xlfn.XLOOKUP(MONTH(Table13[[#This Row],[Commencement Date]]),Lookups!$I$19:$I$30,Lookups!$J$19:$J$30,0))</f>
        <v/>
      </c>
      <c r="Q116" s="340"/>
      <c r="R116" s="340"/>
      <c r="S116" s="360">
        <f>IF(Table13[[#This Row],[Life Cover Amount]]="",0,Table2[[#This Row],[Life Premium]])</f>
        <v>0</v>
      </c>
      <c r="T116" s="360">
        <f>IF(Table13[[#This Row],[Funeral Cover Amount]]=0,0,Table2[[#This Row],[Funeral Premium]])</f>
        <v>0</v>
      </c>
      <c r="U116" s="360">
        <f>IF(AND(Table13[[#This Row],[Life Cover Amount]]="",Table13[[#This Row],[Funeral Cover Amount]]=""),0,onboarding_calcs!AA116)</f>
        <v>0</v>
      </c>
      <c r="V116" s="111"/>
      <c r="W116" s="111"/>
      <c r="X116" s="333"/>
      <c r="Y116" s="110"/>
      <c r="Z116" s="113"/>
      <c r="AA116" s="425"/>
      <c r="AB116" s="425"/>
      <c r="AC116" s="113"/>
      <c r="AD116" s="110"/>
      <c r="AE116" s="110"/>
      <c r="AF116" s="110"/>
      <c r="AG116" s="110"/>
      <c r="AH116" s="110"/>
      <c r="AI116" s="113"/>
      <c r="AJ116" s="110"/>
      <c r="AK116" s="110"/>
      <c r="AL116" s="110"/>
      <c r="AM116" s="110"/>
      <c r="AN116" s="110"/>
      <c r="AO116" s="113"/>
      <c r="AP116" s="113"/>
      <c r="AQ116" s="113"/>
      <c r="AR116" s="110"/>
      <c r="AS116" s="113"/>
      <c r="AT116" s="113"/>
      <c r="AU116" s="112"/>
      <c r="AV116" s="338"/>
      <c r="AW116" s="110"/>
      <c r="AX116" s="110"/>
      <c r="AY116" s="113"/>
      <c r="AZ116" s="113"/>
      <c r="BA116" s="113"/>
      <c r="BB116" s="113"/>
      <c r="BC116" s="113"/>
      <c r="BD116" s="113"/>
      <c r="BF11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17" spans="1:58" x14ac:dyDescent="0.3">
      <c r="A117" s="422"/>
      <c r="B117" s="376"/>
      <c r="C117" s="110"/>
      <c r="D117" s="110"/>
      <c r="E117" s="340"/>
      <c r="F117" s="330"/>
      <c r="G117" s="113"/>
      <c r="H117" s="332"/>
      <c r="I117" s="113"/>
      <c r="J117" s="332"/>
      <c r="K117" s="110"/>
      <c r="L117" s="110"/>
      <c r="M117" s="110"/>
      <c r="N117" s="110"/>
      <c r="O117" s="111"/>
      <c r="P117" s="424" t="str">
        <f>IF(OR(Table13[[#This Row],[Annual Increase Option]]="No increase",Table13[[#This Row],[Annual Increase Option]]=""),"",_xlfn.XLOOKUP(MONTH(Table13[[#This Row],[Commencement Date]]),Lookups!$I$19:$I$30,Lookups!$J$19:$J$30,0))</f>
        <v/>
      </c>
      <c r="Q117" s="340"/>
      <c r="R117" s="340"/>
      <c r="S117" s="360">
        <f>IF(Table13[[#This Row],[Life Cover Amount]]="",0,Table2[[#This Row],[Life Premium]])</f>
        <v>0</v>
      </c>
      <c r="T117" s="360">
        <f>IF(Table13[[#This Row],[Funeral Cover Amount]]=0,0,Table2[[#This Row],[Funeral Premium]])</f>
        <v>0</v>
      </c>
      <c r="U117" s="360">
        <f>IF(AND(Table13[[#This Row],[Life Cover Amount]]="",Table13[[#This Row],[Funeral Cover Amount]]=""),0,onboarding_calcs!AA117)</f>
        <v>0</v>
      </c>
      <c r="V117" s="111"/>
      <c r="W117" s="111"/>
      <c r="X117" s="333"/>
      <c r="Y117" s="110"/>
      <c r="Z117" s="113"/>
      <c r="AA117" s="425"/>
      <c r="AB117" s="425"/>
      <c r="AC117" s="113"/>
      <c r="AD117" s="110"/>
      <c r="AE117" s="110"/>
      <c r="AF117" s="110"/>
      <c r="AG117" s="110"/>
      <c r="AH117" s="110"/>
      <c r="AI117" s="113"/>
      <c r="AJ117" s="110"/>
      <c r="AK117" s="110"/>
      <c r="AL117" s="110"/>
      <c r="AM117" s="110"/>
      <c r="AN117" s="110"/>
      <c r="AO117" s="113"/>
      <c r="AP117" s="113"/>
      <c r="AQ117" s="113"/>
      <c r="AR117" s="110"/>
      <c r="AS117" s="113"/>
      <c r="AT117" s="113"/>
      <c r="AU117" s="112"/>
      <c r="AV117" s="338"/>
      <c r="AW117" s="110"/>
      <c r="AX117" s="110"/>
      <c r="AY117" s="113"/>
      <c r="AZ117" s="113"/>
      <c r="BA117" s="113"/>
      <c r="BB117" s="113"/>
      <c r="BC117" s="113"/>
      <c r="BD117" s="113"/>
      <c r="BF11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18" spans="1:58" x14ac:dyDescent="0.3">
      <c r="A118" s="422"/>
      <c r="B118" s="376"/>
      <c r="C118" s="110"/>
      <c r="D118" s="110"/>
      <c r="E118" s="340"/>
      <c r="F118" s="330"/>
      <c r="G118" s="113"/>
      <c r="H118" s="332"/>
      <c r="I118" s="113"/>
      <c r="J118" s="332"/>
      <c r="K118" s="110"/>
      <c r="L118" s="110"/>
      <c r="M118" s="110"/>
      <c r="N118" s="110"/>
      <c r="O118" s="111"/>
      <c r="P118" s="424" t="str">
        <f>IF(OR(Table13[[#This Row],[Annual Increase Option]]="No increase",Table13[[#This Row],[Annual Increase Option]]=""),"",_xlfn.XLOOKUP(MONTH(Table13[[#This Row],[Commencement Date]]),Lookups!$I$19:$I$30,Lookups!$J$19:$J$30,0))</f>
        <v/>
      </c>
      <c r="Q118" s="340"/>
      <c r="R118" s="340"/>
      <c r="S118" s="360">
        <f>IF(Table13[[#This Row],[Life Cover Amount]]="",0,Table2[[#This Row],[Life Premium]])</f>
        <v>0</v>
      </c>
      <c r="T118" s="360">
        <f>IF(Table13[[#This Row],[Funeral Cover Amount]]=0,0,Table2[[#This Row],[Funeral Premium]])</f>
        <v>0</v>
      </c>
      <c r="U118" s="360">
        <f>IF(AND(Table13[[#This Row],[Life Cover Amount]]="",Table13[[#This Row],[Funeral Cover Amount]]=""),0,onboarding_calcs!AA118)</f>
        <v>0</v>
      </c>
      <c r="V118" s="111"/>
      <c r="W118" s="111"/>
      <c r="X118" s="333"/>
      <c r="Y118" s="110"/>
      <c r="Z118" s="113"/>
      <c r="AA118" s="425"/>
      <c r="AB118" s="425"/>
      <c r="AC118" s="113"/>
      <c r="AD118" s="110"/>
      <c r="AE118" s="110"/>
      <c r="AF118" s="110"/>
      <c r="AG118" s="110"/>
      <c r="AH118" s="110"/>
      <c r="AI118" s="113"/>
      <c r="AJ118" s="110"/>
      <c r="AK118" s="110"/>
      <c r="AL118" s="110"/>
      <c r="AM118" s="110"/>
      <c r="AN118" s="110"/>
      <c r="AO118" s="113"/>
      <c r="AP118" s="113"/>
      <c r="AQ118" s="113"/>
      <c r="AR118" s="110"/>
      <c r="AS118" s="113"/>
      <c r="AT118" s="113"/>
      <c r="AU118" s="112"/>
      <c r="AV118" s="338"/>
      <c r="AW118" s="110"/>
      <c r="AX118" s="110"/>
      <c r="AY118" s="113"/>
      <c r="AZ118" s="113"/>
      <c r="BA118" s="113"/>
      <c r="BB118" s="113"/>
      <c r="BC118" s="113"/>
      <c r="BD118" s="113"/>
      <c r="BF11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19" spans="1:58" x14ac:dyDescent="0.3">
      <c r="A119" s="422"/>
      <c r="B119" s="376"/>
      <c r="C119" s="110"/>
      <c r="D119" s="110"/>
      <c r="E119" s="340"/>
      <c r="F119" s="330"/>
      <c r="G119" s="113"/>
      <c r="H119" s="332"/>
      <c r="I119" s="113"/>
      <c r="J119" s="332"/>
      <c r="K119" s="110"/>
      <c r="L119" s="110"/>
      <c r="M119" s="110"/>
      <c r="N119" s="110"/>
      <c r="O119" s="111"/>
      <c r="P119" s="424" t="str">
        <f>IF(OR(Table13[[#This Row],[Annual Increase Option]]="No increase",Table13[[#This Row],[Annual Increase Option]]=""),"",_xlfn.XLOOKUP(MONTH(Table13[[#This Row],[Commencement Date]]),Lookups!$I$19:$I$30,Lookups!$J$19:$J$30,0))</f>
        <v/>
      </c>
      <c r="Q119" s="340"/>
      <c r="R119" s="340"/>
      <c r="S119" s="360">
        <f>IF(Table13[[#This Row],[Life Cover Amount]]="",0,Table2[[#This Row],[Life Premium]])</f>
        <v>0</v>
      </c>
      <c r="T119" s="360">
        <f>IF(Table13[[#This Row],[Funeral Cover Amount]]=0,0,Table2[[#This Row],[Funeral Premium]])</f>
        <v>0</v>
      </c>
      <c r="U119" s="360">
        <f>IF(AND(Table13[[#This Row],[Life Cover Amount]]="",Table13[[#This Row],[Funeral Cover Amount]]=""),0,onboarding_calcs!AA119)</f>
        <v>0</v>
      </c>
      <c r="V119" s="111"/>
      <c r="W119" s="111"/>
      <c r="X119" s="333"/>
      <c r="Y119" s="110"/>
      <c r="Z119" s="113"/>
      <c r="AA119" s="425"/>
      <c r="AB119" s="425"/>
      <c r="AC119" s="113"/>
      <c r="AD119" s="110"/>
      <c r="AE119" s="110"/>
      <c r="AF119" s="110"/>
      <c r="AG119" s="110"/>
      <c r="AH119" s="110"/>
      <c r="AI119" s="113"/>
      <c r="AJ119" s="110"/>
      <c r="AK119" s="110"/>
      <c r="AL119" s="110"/>
      <c r="AM119" s="110"/>
      <c r="AN119" s="110"/>
      <c r="AO119" s="113"/>
      <c r="AP119" s="113"/>
      <c r="AQ119" s="113"/>
      <c r="AR119" s="110"/>
      <c r="AS119" s="113"/>
      <c r="AT119" s="113"/>
      <c r="AU119" s="112"/>
      <c r="AV119" s="338"/>
      <c r="AW119" s="110"/>
      <c r="AX119" s="110"/>
      <c r="AY119" s="113"/>
      <c r="AZ119" s="113"/>
      <c r="BA119" s="113"/>
      <c r="BB119" s="113"/>
      <c r="BC119" s="113"/>
      <c r="BD119" s="113"/>
      <c r="BF11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20" spans="1:58" x14ac:dyDescent="0.3">
      <c r="A120" s="422"/>
      <c r="B120" s="376"/>
      <c r="C120" s="110"/>
      <c r="D120" s="110"/>
      <c r="E120" s="340"/>
      <c r="F120" s="330"/>
      <c r="G120" s="113"/>
      <c r="H120" s="332"/>
      <c r="I120" s="113"/>
      <c r="J120" s="332"/>
      <c r="K120" s="110"/>
      <c r="L120" s="110"/>
      <c r="M120" s="110"/>
      <c r="N120" s="110"/>
      <c r="O120" s="111"/>
      <c r="P120" s="424" t="str">
        <f>IF(OR(Table13[[#This Row],[Annual Increase Option]]="No increase",Table13[[#This Row],[Annual Increase Option]]=""),"",_xlfn.XLOOKUP(MONTH(Table13[[#This Row],[Commencement Date]]),Lookups!$I$19:$I$30,Lookups!$J$19:$J$30,0))</f>
        <v/>
      </c>
      <c r="Q120" s="340"/>
      <c r="R120" s="340"/>
      <c r="S120" s="360">
        <f>IF(Table13[[#This Row],[Life Cover Amount]]="",0,Table2[[#This Row],[Life Premium]])</f>
        <v>0</v>
      </c>
      <c r="T120" s="360">
        <f>IF(Table13[[#This Row],[Funeral Cover Amount]]=0,0,Table2[[#This Row],[Funeral Premium]])</f>
        <v>0</v>
      </c>
      <c r="U120" s="360">
        <f>IF(AND(Table13[[#This Row],[Life Cover Amount]]="",Table13[[#This Row],[Funeral Cover Amount]]=""),0,onboarding_calcs!AA120)</f>
        <v>0</v>
      </c>
      <c r="V120" s="111"/>
      <c r="W120" s="111"/>
      <c r="X120" s="333"/>
      <c r="Y120" s="110"/>
      <c r="Z120" s="113"/>
      <c r="AA120" s="425"/>
      <c r="AB120" s="425"/>
      <c r="AC120" s="113"/>
      <c r="AD120" s="110"/>
      <c r="AE120" s="110"/>
      <c r="AF120" s="110"/>
      <c r="AG120" s="110"/>
      <c r="AH120" s="110"/>
      <c r="AI120" s="113"/>
      <c r="AJ120" s="110"/>
      <c r="AK120" s="110"/>
      <c r="AL120" s="110"/>
      <c r="AM120" s="110"/>
      <c r="AN120" s="110"/>
      <c r="AO120" s="113"/>
      <c r="AP120" s="113"/>
      <c r="AQ120" s="113"/>
      <c r="AR120" s="110"/>
      <c r="AS120" s="113"/>
      <c r="AT120" s="113"/>
      <c r="AU120" s="112"/>
      <c r="AV120" s="338"/>
      <c r="AW120" s="110"/>
      <c r="AX120" s="110"/>
      <c r="AY120" s="113"/>
      <c r="AZ120" s="113"/>
      <c r="BA120" s="113"/>
      <c r="BB120" s="113"/>
      <c r="BC120" s="113"/>
      <c r="BD120" s="113"/>
      <c r="BF12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21" spans="1:58" x14ac:dyDescent="0.3">
      <c r="A121" s="422"/>
      <c r="B121" s="376"/>
      <c r="C121" s="110"/>
      <c r="D121" s="110"/>
      <c r="E121" s="340"/>
      <c r="F121" s="330"/>
      <c r="G121" s="113"/>
      <c r="H121" s="332"/>
      <c r="I121" s="113"/>
      <c r="J121" s="332"/>
      <c r="K121" s="110"/>
      <c r="L121" s="110"/>
      <c r="M121" s="110"/>
      <c r="N121" s="110"/>
      <c r="O121" s="111"/>
      <c r="P121" s="424" t="str">
        <f>IF(OR(Table13[[#This Row],[Annual Increase Option]]="No increase",Table13[[#This Row],[Annual Increase Option]]=""),"",_xlfn.XLOOKUP(MONTH(Table13[[#This Row],[Commencement Date]]),Lookups!$I$19:$I$30,Lookups!$J$19:$J$30,0))</f>
        <v/>
      </c>
      <c r="Q121" s="340"/>
      <c r="R121" s="340"/>
      <c r="S121" s="360">
        <f>IF(Table13[[#This Row],[Life Cover Amount]]="",0,Table2[[#This Row],[Life Premium]])</f>
        <v>0</v>
      </c>
      <c r="T121" s="360">
        <f>IF(Table13[[#This Row],[Funeral Cover Amount]]=0,0,Table2[[#This Row],[Funeral Premium]])</f>
        <v>0</v>
      </c>
      <c r="U121" s="360">
        <f>IF(AND(Table13[[#This Row],[Life Cover Amount]]="",Table13[[#This Row],[Funeral Cover Amount]]=""),0,onboarding_calcs!AA121)</f>
        <v>0</v>
      </c>
      <c r="V121" s="111"/>
      <c r="W121" s="111"/>
      <c r="X121" s="333"/>
      <c r="Y121" s="110"/>
      <c r="Z121" s="113"/>
      <c r="AA121" s="425"/>
      <c r="AB121" s="425"/>
      <c r="AC121" s="113"/>
      <c r="AD121" s="110"/>
      <c r="AE121" s="110"/>
      <c r="AF121" s="110"/>
      <c r="AG121" s="110"/>
      <c r="AH121" s="110"/>
      <c r="AI121" s="113"/>
      <c r="AJ121" s="110"/>
      <c r="AK121" s="110"/>
      <c r="AL121" s="110"/>
      <c r="AM121" s="110"/>
      <c r="AN121" s="110"/>
      <c r="AO121" s="113"/>
      <c r="AP121" s="113"/>
      <c r="AQ121" s="113"/>
      <c r="AR121" s="110"/>
      <c r="AS121" s="113"/>
      <c r="AT121" s="113"/>
      <c r="AU121" s="112"/>
      <c r="AV121" s="338"/>
      <c r="AW121" s="110"/>
      <c r="AX121" s="110"/>
      <c r="AY121" s="113"/>
      <c r="AZ121" s="113"/>
      <c r="BA121" s="113"/>
      <c r="BB121" s="113"/>
      <c r="BC121" s="113"/>
      <c r="BD121" s="113"/>
      <c r="BF12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22" spans="1:58" x14ac:dyDescent="0.3">
      <c r="A122" s="422"/>
      <c r="B122" s="376"/>
      <c r="C122" s="110"/>
      <c r="D122" s="110"/>
      <c r="E122" s="340"/>
      <c r="F122" s="330"/>
      <c r="G122" s="113"/>
      <c r="H122" s="332"/>
      <c r="I122" s="113"/>
      <c r="J122" s="332"/>
      <c r="K122" s="110"/>
      <c r="L122" s="110"/>
      <c r="M122" s="110"/>
      <c r="N122" s="110"/>
      <c r="O122" s="111"/>
      <c r="P122" s="424" t="str">
        <f>IF(OR(Table13[[#This Row],[Annual Increase Option]]="No increase",Table13[[#This Row],[Annual Increase Option]]=""),"",_xlfn.XLOOKUP(MONTH(Table13[[#This Row],[Commencement Date]]),Lookups!$I$19:$I$30,Lookups!$J$19:$J$30,0))</f>
        <v/>
      </c>
      <c r="Q122" s="340"/>
      <c r="R122" s="340"/>
      <c r="S122" s="360">
        <f>IF(Table13[[#This Row],[Life Cover Amount]]="",0,Table2[[#This Row],[Life Premium]])</f>
        <v>0</v>
      </c>
      <c r="T122" s="360">
        <f>IF(Table13[[#This Row],[Funeral Cover Amount]]=0,0,Table2[[#This Row],[Funeral Premium]])</f>
        <v>0</v>
      </c>
      <c r="U122" s="360">
        <f>IF(AND(Table13[[#This Row],[Life Cover Amount]]="",Table13[[#This Row],[Funeral Cover Amount]]=""),0,onboarding_calcs!AA122)</f>
        <v>0</v>
      </c>
      <c r="V122" s="111"/>
      <c r="W122" s="111"/>
      <c r="X122" s="333"/>
      <c r="Y122" s="110"/>
      <c r="Z122" s="113"/>
      <c r="AA122" s="425"/>
      <c r="AB122" s="425"/>
      <c r="AC122" s="113"/>
      <c r="AD122" s="110"/>
      <c r="AE122" s="110"/>
      <c r="AF122" s="110"/>
      <c r="AG122" s="110"/>
      <c r="AH122" s="110"/>
      <c r="AI122" s="113"/>
      <c r="AJ122" s="110"/>
      <c r="AK122" s="110"/>
      <c r="AL122" s="110"/>
      <c r="AM122" s="110"/>
      <c r="AN122" s="110"/>
      <c r="AO122" s="113"/>
      <c r="AP122" s="113"/>
      <c r="AQ122" s="113"/>
      <c r="AR122" s="110"/>
      <c r="AS122" s="113"/>
      <c r="AT122" s="113"/>
      <c r="AU122" s="112"/>
      <c r="AV122" s="338"/>
      <c r="AW122" s="110"/>
      <c r="AX122" s="110"/>
      <c r="AY122" s="113"/>
      <c r="AZ122" s="113"/>
      <c r="BA122" s="113"/>
      <c r="BB122" s="113"/>
      <c r="BC122" s="113"/>
      <c r="BD122" s="113"/>
      <c r="BF12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23" spans="1:58" x14ac:dyDescent="0.3">
      <c r="A123" s="422"/>
      <c r="B123" s="376"/>
      <c r="C123" s="110"/>
      <c r="D123" s="110"/>
      <c r="E123" s="340"/>
      <c r="F123" s="330"/>
      <c r="G123" s="113"/>
      <c r="H123" s="332"/>
      <c r="I123" s="113"/>
      <c r="J123" s="332"/>
      <c r="K123" s="110"/>
      <c r="L123" s="110"/>
      <c r="M123" s="110"/>
      <c r="N123" s="110"/>
      <c r="O123" s="111"/>
      <c r="P123" s="424" t="str">
        <f>IF(OR(Table13[[#This Row],[Annual Increase Option]]="No increase",Table13[[#This Row],[Annual Increase Option]]=""),"",_xlfn.XLOOKUP(MONTH(Table13[[#This Row],[Commencement Date]]),Lookups!$I$19:$I$30,Lookups!$J$19:$J$30,0))</f>
        <v/>
      </c>
      <c r="Q123" s="340"/>
      <c r="R123" s="340"/>
      <c r="S123" s="360">
        <f>IF(Table13[[#This Row],[Life Cover Amount]]="",0,Table2[[#This Row],[Life Premium]])</f>
        <v>0</v>
      </c>
      <c r="T123" s="360">
        <f>IF(Table13[[#This Row],[Funeral Cover Amount]]=0,0,Table2[[#This Row],[Funeral Premium]])</f>
        <v>0</v>
      </c>
      <c r="U123" s="360">
        <f>IF(AND(Table13[[#This Row],[Life Cover Amount]]="",Table13[[#This Row],[Funeral Cover Amount]]=""),0,onboarding_calcs!AA123)</f>
        <v>0</v>
      </c>
      <c r="V123" s="111"/>
      <c r="W123" s="111"/>
      <c r="X123" s="333"/>
      <c r="Y123" s="110"/>
      <c r="Z123" s="113"/>
      <c r="AA123" s="425"/>
      <c r="AB123" s="425"/>
      <c r="AC123" s="113"/>
      <c r="AD123" s="110"/>
      <c r="AE123" s="110"/>
      <c r="AF123" s="110"/>
      <c r="AG123" s="110"/>
      <c r="AH123" s="110"/>
      <c r="AI123" s="113"/>
      <c r="AJ123" s="110"/>
      <c r="AK123" s="110"/>
      <c r="AL123" s="110"/>
      <c r="AM123" s="110"/>
      <c r="AN123" s="110"/>
      <c r="AO123" s="113"/>
      <c r="AP123" s="113"/>
      <c r="AQ123" s="113"/>
      <c r="AR123" s="110"/>
      <c r="AS123" s="113"/>
      <c r="AT123" s="113"/>
      <c r="AU123" s="112"/>
      <c r="AV123" s="338"/>
      <c r="AW123" s="110"/>
      <c r="AX123" s="110"/>
      <c r="AY123" s="113"/>
      <c r="AZ123" s="113"/>
      <c r="BA123" s="113"/>
      <c r="BB123" s="113"/>
      <c r="BC123" s="113"/>
      <c r="BD123" s="113"/>
      <c r="BF12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24" spans="1:58" x14ac:dyDescent="0.3">
      <c r="A124" s="422"/>
      <c r="B124" s="376"/>
      <c r="C124" s="110"/>
      <c r="D124" s="110"/>
      <c r="E124" s="340"/>
      <c r="F124" s="330"/>
      <c r="G124" s="113"/>
      <c r="H124" s="332"/>
      <c r="I124" s="113"/>
      <c r="J124" s="332"/>
      <c r="K124" s="110"/>
      <c r="L124" s="110"/>
      <c r="M124" s="110"/>
      <c r="N124" s="110"/>
      <c r="O124" s="111"/>
      <c r="P124" s="424" t="str">
        <f>IF(OR(Table13[[#This Row],[Annual Increase Option]]="No increase",Table13[[#This Row],[Annual Increase Option]]=""),"",_xlfn.XLOOKUP(MONTH(Table13[[#This Row],[Commencement Date]]),Lookups!$I$19:$I$30,Lookups!$J$19:$J$30,0))</f>
        <v/>
      </c>
      <c r="Q124" s="340"/>
      <c r="R124" s="340"/>
      <c r="S124" s="360">
        <f>IF(Table13[[#This Row],[Life Cover Amount]]="",0,Table2[[#This Row],[Life Premium]])</f>
        <v>0</v>
      </c>
      <c r="T124" s="360">
        <f>IF(Table13[[#This Row],[Funeral Cover Amount]]=0,0,Table2[[#This Row],[Funeral Premium]])</f>
        <v>0</v>
      </c>
      <c r="U124" s="360">
        <f>IF(AND(Table13[[#This Row],[Life Cover Amount]]="",Table13[[#This Row],[Funeral Cover Amount]]=""),0,onboarding_calcs!AA124)</f>
        <v>0</v>
      </c>
      <c r="V124" s="111"/>
      <c r="W124" s="111"/>
      <c r="X124" s="333"/>
      <c r="Y124" s="110"/>
      <c r="Z124" s="113"/>
      <c r="AA124" s="425"/>
      <c r="AB124" s="425"/>
      <c r="AC124" s="113"/>
      <c r="AD124" s="110"/>
      <c r="AE124" s="110"/>
      <c r="AF124" s="110"/>
      <c r="AG124" s="110"/>
      <c r="AH124" s="110"/>
      <c r="AI124" s="113"/>
      <c r="AJ124" s="110"/>
      <c r="AK124" s="110"/>
      <c r="AL124" s="110"/>
      <c r="AM124" s="110"/>
      <c r="AN124" s="110"/>
      <c r="AO124" s="113"/>
      <c r="AP124" s="113"/>
      <c r="AQ124" s="113"/>
      <c r="AR124" s="110"/>
      <c r="AS124" s="113"/>
      <c r="AT124" s="113"/>
      <c r="AU124" s="112"/>
      <c r="AV124" s="338"/>
      <c r="AW124" s="110"/>
      <c r="AX124" s="110"/>
      <c r="AY124" s="113"/>
      <c r="AZ124" s="113"/>
      <c r="BA124" s="113"/>
      <c r="BB124" s="113"/>
      <c r="BC124" s="113"/>
      <c r="BD124" s="113"/>
      <c r="BF12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25" spans="1:58" x14ac:dyDescent="0.3">
      <c r="A125" s="422"/>
      <c r="B125" s="376"/>
      <c r="C125" s="110"/>
      <c r="D125" s="110"/>
      <c r="E125" s="340"/>
      <c r="F125" s="330"/>
      <c r="G125" s="113"/>
      <c r="H125" s="332"/>
      <c r="I125" s="113"/>
      <c r="J125" s="332"/>
      <c r="K125" s="110"/>
      <c r="L125" s="110"/>
      <c r="M125" s="110"/>
      <c r="N125" s="110"/>
      <c r="O125" s="111"/>
      <c r="P125" s="424" t="str">
        <f>IF(OR(Table13[[#This Row],[Annual Increase Option]]="No increase",Table13[[#This Row],[Annual Increase Option]]=""),"",_xlfn.XLOOKUP(MONTH(Table13[[#This Row],[Commencement Date]]),Lookups!$I$19:$I$30,Lookups!$J$19:$J$30,0))</f>
        <v/>
      </c>
      <c r="Q125" s="340"/>
      <c r="R125" s="340"/>
      <c r="S125" s="360">
        <f>IF(Table13[[#This Row],[Life Cover Amount]]="",0,Table2[[#This Row],[Life Premium]])</f>
        <v>0</v>
      </c>
      <c r="T125" s="360">
        <f>IF(Table13[[#This Row],[Funeral Cover Amount]]=0,0,Table2[[#This Row],[Funeral Premium]])</f>
        <v>0</v>
      </c>
      <c r="U125" s="360">
        <f>IF(AND(Table13[[#This Row],[Life Cover Amount]]="",Table13[[#This Row],[Funeral Cover Amount]]=""),0,onboarding_calcs!AA125)</f>
        <v>0</v>
      </c>
      <c r="V125" s="111"/>
      <c r="W125" s="111"/>
      <c r="X125" s="333"/>
      <c r="Y125" s="110"/>
      <c r="Z125" s="113"/>
      <c r="AA125" s="425"/>
      <c r="AB125" s="425"/>
      <c r="AC125" s="113"/>
      <c r="AD125" s="110"/>
      <c r="AE125" s="110"/>
      <c r="AF125" s="110"/>
      <c r="AG125" s="110"/>
      <c r="AH125" s="110"/>
      <c r="AI125" s="113"/>
      <c r="AJ125" s="110"/>
      <c r="AK125" s="110"/>
      <c r="AL125" s="110"/>
      <c r="AM125" s="110"/>
      <c r="AN125" s="110"/>
      <c r="AO125" s="113"/>
      <c r="AP125" s="113"/>
      <c r="AQ125" s="113"/>
      <c r="AR125" s="110"/>
      <c r="AS125" s="113"/>
      <c r="AT125" s="113"/>
      <c r="AU125" s="112"/>
      <c r="AV125" s="338"/>
      <c r="AW125" s="110"/>
      <c r="AX125" s="110"/>
      <c r="AY125" s="113"/>
      <c r="AZ125" s="113"/>
      <c r="BA125" s="113"/>
      <c r="BB125" s="113"/>
      <c r="BC125" s="113"/>
      <c r="BD125" s="113"/>
      <c r="BF12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26" spans="1:58" x14ac:dyDescent="0.3">
      <c r="A126" s="422"/>
      <c r="B126" s="376"/>
      <c r="C126" s="110"/>
      <c r="D126" s="110"/>
      <c r="E126" s="340"/>
      <c r="F126" s="330"/>
      <c r="G126" s="113"/>
      <c r="H126" s="332"/>
      <c r="I126" s="113"/>
      <c r="J126" s="332"/>
      <c r="K126" s="110"/>
      <c r="L126" s="110"/>
      <c r="M126" s="110"/>
      <c r="N126" s="110"/>
      <c r="O126" s="111"/>
      <c r="P126" s="424" t="str">
        <f>IF(OR(Table13[[#This Row],[Annual Increase Option]]="No increase",Table13[[#This Row],[Annual Increase Option]]=""),"",_xlfn.XLOOKUP(MONTH(Table13[[#This Row],[Commencement Date]]),Lookups!$I$19:$I$30,Lookups!$J$19:$J$30,0))</f>
        <v/>
      </c>
      <c r="Q126" s="340"/>
      <c r="R126" s="340"/>
      <c r="S126" s="360">
        <f>IF(Table13[[#This Row],[Life Cover Amount]]="",0,Table2[[#This Row],[Life Premium]])</f>
        <v>0</v>
      </c>
      <c r="T126" s="360">
        <f>IF(Table13[[#This Row],[Funeral Cover Amount]]=0,0,Table2[[#This Row],[Funeral Premium]])</f>
        <v>0</v>
      </c>
      <c r="U126" s="360">
        <f>IF(AND(Table13[[#This Row],[Life Cover Amount]]="",Table13[[#This Row],[Funeral Cover Amount]]=""),0,onboarding_calcs!AA126)</f>
        <v>0</v>
      </c>
      <c r="V126" s="111"/>
      <c r="W126" s="111"/>
      <c r="X126" s="333"/>
      <c r="Y126" s="110"/>
      <c r="Z126" s="113"/>
      <c r="AA126" s="425"/>
      <c r="AB126" s="425"/>
      <c r="AC126" s="113"/>
      <c r="AD126" s="110"/>
      <c r="AE126" s="110"/>
      <c r="AF126" s="110"/>
      <c r="AG126" s="110"/>
      <c r="AH126" s="110"/>
      <c r="AI126" s="113"/>
      <c r="AJ126" s="110"/>
      <c r="AK126" s="110"/>
      <c r="AL126" s="110"/>
      <c r="AM126" s="110"/>
      <c r="AN126" s="110"/>
      <c r="AO126" s="113"/>
      <c r="AP126" s="113"/>
      <c r="AQ126" s="113"/>
      <c r="AR126" s="110"/>
      <c r="AS126" s="113"/>
      <c r="AT126" s="113"/>
      <c r="AU126" s="112"/>
      <c r="AV126" s="338"/>
      <c r="AW126" s="110"/>
      <c r="AX126" s="110"/>
      <c r="AY126" s="113"/>
      <c r="AZ126" s="113"/>
      <c r="BA126" s="113"/>
      <c r="BB126" s="113"/>
      <c r="BC126" s="113"/>
      <c r="BD126" s="113"/>
      <c r="BF12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27" spans="1:58" x14ac:dyDescent="0.3">
      <c r="A127" s="422"/>
      <c r="B127" s="376"/>
      <c r="C127" s="110"/>
      <c r="D127" s="110"/>
      <c r="E127" s="340"/>
      <c r="F127" s="330"/>
      <c r="G127" s="113"/>
      <c r="H127" s="332"/>
      <c r="I127" s="113"/>
      <c r="J127" s="332"/>
      <c r="K127" s="110"/>
      <c r="L127" s="110"/>
      <c r="M127" s="110"/>
      <c r="N127" s="110"/>
      <c r="O127" s="111"/>
      <c r="P127" s="424" t="str">
        <f>IF(OR(Table13[[#This Row],[Annual Increase Option]]="No increase",Table13[[#This Row],[Annual Increase Option]]=""),"",_xlfn.XLOOKUP(MONTH(Table13[[#This Row],[Commencement Date]]),Lookups!$I$19:$I$30,Lookups!$J$19:$J$30,0))</f>
        <v/>
      </c>
      <c r="Q127" s="340"/>
      <c r="R127" s="340"/>
      <c r="S127" s="360">
        <f>IF(Table13[[#This Row],[Life Cover Amount]]="",0,Table2[[#This Row],[Life Premium]])</f>
        <v>0</v>
      </c>
      <c r="T127" s="360">
        <f>IF(Table13[[#This Row],[Funeral Cover Amount]]=0,0,Table2[[#This Row],[Funeral Premium]])</f>
        <v>0</v>
      </c>
      <c r="U127" s="360">
        <f>IF(AND(Table13[[#This Row],[Life Cover Amount]]="",Table13[[#This Row],[Funeral Cover Amount]]=""),0,onboarding_calcs!AA127)</f>
        <v>0</v>
      </c>
      <c r="V127" s="111"/>
      <c r="W127" s="111"/>
      <c r="X127" s="333"/>
      <c r="Y127" s="110"/>
      <c r="Z127" s="113"/>
      <c r="AA127" s="425"/>
      <c r="AB127" s="425"/>
      <c r="AC127" s="113"/>
      <c r="AD127" s="110"/>
      <c r="AE127" s="110"/>
      <c r="AF127" s="110"/>
      <c r="AG127" s="110"/>
      <c r="AH127" s="110"/>
      <c r="AI127" s="113"/>
      <c r="AJ127" s="110"/>
      <c r="AK127" s="110"/>
      <c r="AL127" s="110"/>
      <c r="AM127" s="110"/>
      <c r="AN127" s="110"/>
      <c r="AO127" s="113"/>
      <c r="AP127" s="113"/>
      <c r="AQ127" s="113"/>
      <c r="AR127" s="110"/>
      <c r="AS127" s="113"/>
      <c r="AT127" s="113"/>
      <c r="AU127" s="112"/>
      <c r="AV127" s="338"/>
      <c r="AW127" s="110"/>
      <c r="AX127" s="110"/>
      <c r="AY127" s="113"/>
      <c r="AZ127" s="113"/>
      <c r="BA127" s="113"/>
      <c r="BB127" s="113"/>
      <c r="BC127" s="113"/>
      <c r="BD127" s="113"/>
      <c r="BF12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28" spans="1:58" x14ac:dyDescent="0.3">
      <c r="A128" s="422"/>
      <c r="B128" s="376"/>
      <c r="C128" s="110"/>
      <c r="D128" s="110"/>
      <c r="E128" s="340"/>
      <c r="F128" s="330"/>
      <c r="G128" s="113"/>
      <c r="H128" s="332"/>
      <c r="I128" s="113"/>
      <c r="J128" s="332"/>
      <c r="K128" s="110"/>
      <c r="L128" s="110"/>
      <c r="M128" s="110"/>
      <c r="N128" s="110"/>
      <c r="O128" s="111"/>
      <c r="P128" s="424" t="str">
        <f>IF(OR(Table13[[#This Row],[Annual Increase Option]]="No increase",Table13[[#This Row],[Annual Increase Option]]=""),"",_xlfn.XLOOKUP(MONTH(Table13[[#This Row],[Commencement Date]]),Lookups!$I$19:$I$30,Lookups!$J$19:$J$30,0))</f>
        <v/>
      </c>
      <c r="Q128" s="340"/>
      <c r="R128" s="340"/>
      <c r="S128" s="360">
        <f>IF(Table13[[#This Row],[Life Cover Amount]]="",0,Table2[[#This Row],[Life Premium]])</f>
        <v>0</v>
      </c>
      <c r="T128" s="360">
        <f>IF(Table13[[#This Row],[Funeral Cover Amount]]=0,0,Table2[[#This Row],[Funeral Premium]])</f>
        <v>0</v>
      </c>
      <c r="U128" s="360">
        <f>IF(AND(Table13[[#This Row],[Life Cover Amount]]="",Table13[[#This Row],[Funeral Cover Amount]]=""),0,onboarding_calcs!AA128)</f>
        <v>0</v>
      </c>
      <c r="V128" s="111"/>
      <c r="W128" s="111"/>
      <c r="X128" s="333"/>
      <c r="Y128" s="110"/>
      <c r="Z128" s="113"/>
      <c r="AA128" s="425"/>
      <c r="AB128" s="425"/>
      <c r="AC128" s="113"/>
      <c r="AD128" s="110"/>
      <c r="AE128" s="110"/>
      <c r="AF128" s="110"/>
      <c r="AG128" s="110"/>
      <c r="AH128" s="110"/>
      <c r="AI128" s="113"/>
      <c r="AJ128" s="110"/>
      <c r="AK128" s="110"/>
      <c r="AL128" s="110"/>
      <c r="AM128" s="110"/>
      <c r="AN128" s="110"/>
      <c r="AO128" s="113"/>
      <c r="AP128" s="113"/>
      <c r="AQ128" s="113"/>
      <c r="AR128" s="110"/>
      <c r="AS128" s="113"/>
      <c r="AT128" s="113"/>
      <c r="AU128" s="112"/>
      <c r="AV128" s="338"/>
      <c r="AW128" s="110"/>
      <c r="AX128" s="110"/>
      <c r="AY128" s="113"/>
      <c r="AZ128" s="113"/>
      <c r="BA128" s="113"/>
      <c r="BB128" s="113"/>
      <c r="BC128" s="113"/>
      <c r="BD128" s="113"/>
      <c r="BF12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29" spans="1:58" x14ac:dyDescent="0.3">
      <c r="A129" s="422"/>
      <c r="B129" s="376"/>
      <c r="C129" s="110"/>
      <c r="D129" s="110"/>
      <c r="E129" s="340"/>
      <c r="F129" s="330"/>
      <c r="G129" s="113"/>
      <c r="H129" s="332"/>
      <c r="I129" s="113"/>
      <c r="J129" s="332"/>
      <c r="K129" s="110"/>
      <c r="L129" s="110"/>
      <c r="M129" s="110"/>
      <c r="N129" s="110"/>
      <c r="O129" s="111"/>
      <c r="P129" s="424" t="str">
        <f>IF(OR(Table13[[#This Row],[Annual Increase Option]]="No increase",Table13[[#This Row],[Annual Increase Option]]=""),"",_xlfn.XLOOKUP(MONTH(Table13[[#This Row],[Commencement Date]]),Lookups!$I$19:$I$30,Lookups!$J$19:$J$30,0))</f>
        <v/>
      </c>
      <c r="Q129" s="340"/>
      <c r="R129" s="340"/>
      <c r="S129" s="360">
        <f>IF(Table13[[#This Row],[Life Cover Amount]]="",0,Table2[[#This Row],[Life Premium]])</f>
        <v>0</v>
      </c>
      <c r="T129" s="360">
        <f>IF(Table13[[#This Row],[Funeral Cover Amount]]=0,0,Table2[[#This Row],[Funeral Premium]])</f>
        <v>0</v>
      </c>
      <c r="U129" s="360">
        <f>IF(AND(Table13[[#This Row],[Life Cover Amount]]="",Table13[[#This Row],[Funeral Cover Amount]]=""),0,onboarding_calcs!AA129)</f>
        <v>0</v>
      </c>
      <c r="V129" s="111"/>
      <c r="W129" s="111"/>
      <c r="X129" s="333"/>
      <c r="Y129" s="110"/>
      <c r="Z129" s="113"/>
      <c r="AA129" s="425"/>
      <c r="AB129" s="425"/>
      <c r="AC129" s="113"/>
      <c r="AD129" s="110"/>
      <c r="AE129" s="110"/>
      <c r="AF129" s="110"/>
      <c r="AG129" s="110"/>
      <c r="AH129" s="110"/>
      <c r="AI129" s="113"/>
      <c r="AJ129" s="110"/>
      <c r="AK129" s="110"/>
      <c r="AL129" s="110"/>
      <c r="AM129" s="110"/>
      <c r="AN129" s="110"/>
      <c r="AO129" s="113"/>
      <c r="AP129" s="113"/>
      <c r="AQ129" s="113"/>
      <c r="AR129" s="110"/>
      <c r="AS129" s="113"/>
      <c r="AT129" s="113"/>
      <c r="AU129" s="112"/>
      <c r="AV129" s="338"/>
      <c r="AW129" s="110"/>
      <c r="AX129" s="110"/>
      <c r="AY129" s="113"/>
      <c r="AZ129" s="113"/>
      <c r="BA129" s="113"/>
      <c r="BB129" s="113"/>
      <c r="BC129" s="113"/>
      <c r="BD129" s="113"/>
      <c r="BF12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30" spans="1:58" x14ac:dyDescent="0.3">
      <c r="A130" s="422"/>
      <c r="B130" s="376"/>
      <c r="C130" s="110"/>
      <c r="D130" s="110"/>
      <c r="E130" s="340"/>
      <c r="F130" s="330"/>
      <c r="G130" s="113"/>
      <c r="H130" s="332"/>
      <c r="I130" s="113"/>
      <c r="J130" s="332"/>
      <c r="K130" s="110"/>
      <c r="L130" s="110"/>
      <c r="M130" s="110"/>
      <c r="N130" s="110"/>
      <c r="O130" s="111"/>
      <c r="P130" s="424" t="str">
        <f>IF(OR(Table13[[#This Row],[Annual Increase Option]]="No increase",Table13[[#This Row],[Annual Increase Option]]=""),"",_xlfn.XLOOKUP(MONTH(Table13[[#This Row],[Commencement Date]]),Lookups!$I$19:$I$30,Lookups!$J$19:$J$30,0))</f>
        <v/>
      </c>
      <c r="Q130" s="340"/>
      <c r="R130" s="340"/>
      <c r="S130" s="360">
        <f>IF(Table13[[#This Row],[Life Cover Amount]]="",0,Table2[[#This Row],[Life Premium]])</f>
        <v>0</v>
      </c>
      <c r="T130" s="360">
        <f>IF(Table13[[#This Row],[Funeral Cover Amount]]=0,0,Table2[[#This Row],[Funeral Premium]])</f>
        <v>0</v>
      </c>
      <c r="U130" s="360">
        <f>IF(AND(Table13[[#This Row],[Life Cover Amount]]="",Table13[[#This Row],[Funeral Cover Amount]]=""),0,onboarding_calcs!AA130)</f>
        <v>0</v>
      </c>
      <c r="V130" s="111"/>
      <c r="W130" s="111"/>
      <c r="X130" s="333"/>
      <c r="Y130" s="110"/>
      <c r="Z130" s="113"/>
      <c r="AA130" s="425"/>
      <c r="AB130" s="425"/>
      <c r="AC130" s="113"/>
      <c r="AD130" s="110"/>
      <c r="AE130" s="110"/>
      <c r="AF130" s="110"/>
      <c r="AG130" s="110"/>
      <c r="AH130" s="110"/>
      <c r="AI130" s="113"/>
      <c r="AJ130" s="110"/>
      <c r="AK130" s="110"/>
      <c r="AL130" s="110"/>
      <c r="AM130" s="110"/>
      <c r="AN130" s="110"/>
      <c r="AO130" s="113"/>
      <c r="AP130" s="113"/>
      <c r="AQ130" s="113"/>
      <c r="AR130" s="110"/>
      <c r="AS130" s="113"/>
      <c r="AT130" s="113"/>
      <c r="AU130" s="112"/>
      <c r="AV130" s="338"/>
      <c r="AW130" s="110"/>
      <c r="AX130" s="110"/>
      <c r="AY130" s="113"/>
      <c r="AZ130" s="113"/>
      <c r="BA130" s="113"/>
      <c r="BB130" s="113"/>
      <c r="BC130" s="113"/>
      <c r="BD130" s="113"/>
      <c r="BF13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31" spans="1:58" x14ac:dyDescent="0.3">
      <c r="A131" s="422"/>
      <c r="B131" s="376"/>
      <c r="C131" s="110"/>
      <c r="D131" s="110"/>
      <c r="E131" s="340"/>
      <c r="F131" s="330"/>
      <c r="G131" s="113"/>
      <c r="H131" s="332"/>
      <c r="I131" s="113"/>
      <c r="J131" s="332"/>
      <c r="K131" s="110"/>
      <c r="L131" s="110"/>
      <c r="M131" s="110"/>
      <c r="N131" s="110"/>
      <c r="O131" s="111"/>
      <c r="P131" s="424" t="str">
        <f>IF(OR(Table13[[#This Row],[Annual Increase Option]]="No increase",Table13[[#This Row],[Annual Increase Option]]=""),"",_xlfn.XLOOKUP(MONTH(Table13[[#This Row],[Commencement Date]]),Lookups!$I$19:$I$30,Lookups!$J$19:$J$30,0))</f>
        <v/>
      </c>
      <c r="Q131" s="340"/>
      <c r="R131" s="340"/>
      <c r="S131" s="360">
        <f>IF(Table13[[#This Row],[Life Cover Amount]]="",0,Table2[[#This Row],[Life Premium]])</f>
        <v>0</v>
      </c>
      <c r="T131" s="360">
        <f>IF(Table13[[#This Row],[Funeral Cover Amount]]=0,0,Table2[[#This Row],[Funeral Premium]])</f>
        <v>0</v>
      </c>
      <c r="U131" s="360">
        <f>IF(AND(Table13[[#This Row],[Life Cover Amount]]="",Table13[[#This Row],[Funeral Cover Amount]]=""),0,onboarding_calcs!AA131)</f>
        <v>0</v>
      </c>
      <c r="V131" s="111"/>
      <c r="W131" s="111"/>
      <c r="X131" s="333"/>
      <c r="Y131" s="110"/>
      <c r="Z131" s="113"/>
      <c r="AA131" s="425"/>
      <c r="AB131" s="425"/>
      <c r="AC131" s="113"/>
      <c r="AD131" s="110"/>
      <c r="AE131" s="110"/>
      <c r="AF131" s="110"/>
      <c r="AG131" s="110"/>
      <c r="AH131" s="110"/>
      <c r="AI131" s="113"/>
      <c r="AJ131" s="110"/>
      <c r="AK131" s="110"/>
      <c r="AL131" s="110"/>
      <c r="AM131" s="110"/>
      <c r="AN131" s="110"/>
      <c r="AO131" s="113"/>
      <c r="AP131" s="113"/>
      <c r="AQ131" s="113"/>
      <c r="AR131" s="110"/>
      <c r="AS131" s="113"/>
      <c r="AT131" s="113"/>
      <c r="AU131" s="112"/>
      <c r="AV131" s="338"/>
      <c r="AW131" s="110"/>
      <c r="AX131" s="110"/>
      <c r="AY131" s="113"/>
      <c r="AZ131" s="113"/>
      <c r="BA131" s="113"/>
      <c r="BB131" s="113"/>
      <c r="BC131" s="113"/>
      <c r="BD131" s="113"/>
      <c r="BF13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32" spans="1:58" x14ac:dyDescent="0.3">
      <c r="A132" s="422"/>
      <c r="B132" s="376"/>
      <c r="C132" s="110"/>
      <c r="D132" s="110"/>
      <c r="E132" s="340"/>
      <c r="F132" s="330"/>
      <c r="G132" s="113"/>
      <c r="H132" s="332"/>
      <c r="I132" s="113"/>
      <c r="J132" s="332"/>
      <c r="K132" s="110"/>
      <c r="L132" s="110"/>
      <c r="M132" s="110"/>
      <c r="N132" s="110"/>
      <c r="O132" s="111"/>
      <c r="P132" s="424" t="str">
        <f>IF(OR(Table13[[#This Row],[Annual Increase Option]]="No increase",Table13[[#This Row],[Annual Increase Option]]=""),"",_xlfn.XLOOKUP(MONTH(Table13[[#This Row],[Commencement Date]]),Lookups!$I$19:$I$30,Lookups!$J$19:$J$30,0))</f>
        <v/>
      </c>
      <c r="Q132" s="340"/>
      <c r="R132" s="340"/>
      <c r="S132" s="360">
        <f>IF(Table13[[#This Row],[Life Cover Amount]]="",0,Table2[[#This Row],[Life Premium]])</f>
        <v>0</v>
      </c>
      <c r="T132" s="360">
        <f>IF(Table13[[#This Row],[Funeral Cover Amount]]=0,0,Table2[[#This Row],[Funeral Premium]])</f>
        <v>0</v>
      </c>
      <c r="U132" s="360">
        <f>IF(AND(Table13[[#This Row],[Life Cover Amount]]="",Table13[[#This Row],[Funeral Cover Amount]]=""),0,onboarding_calcs!AA132)</f>
        <v>0</v>
      </c>
      <c r="V132" s="111"/>
      <c r="W132" s="111"/>
      <c r="X132" s="333"/>
      <c r="Y132" s="110"/>
      <c r="Z132" s="113"/>
      <c r="AA132" s="425"/>
      <c r="AB132" s="425"/>
      <c r="AC132" s="113"/>
      <c r="AD132" s="110"/>
      <c r="AE132" s="110"/>
      <c r="AF132" s="110"/>
      <c r="AG132" s="110"/>
      <c r="AH132" s="110"/>
      <c r="AI132" s="113"/>
      <c r="AJ132" s="110"/>
      <c r="AK132" s="110"/>
      <c r="AL132" s="110"/>
      <c r="AM132" s="110"/>
      <c r="AN132" s="110"/>
      <c r="AO132" s="113"/>
      <c r="AP132" s="113"/>
      <c r="AQ132" s="113"/>
      <c r="AR132" s="110"/>
      <c r="AS132" s="113"/>
      <c r="AT132" s="113"/>
      <c r="AU132" s="112"/>
      <c r="AV132" s="338"/>
      <c r="AW132" s="110"/>
      <c r="AX132" s="110"/>
      <c r="AY132" s="113"/>
      <c r="AZ132" s="113"/>
      <c r="BA132" s="113"/>
      <c r="BB132" s="113"/>
      <c r="BC132" s="113"/>
      <c r="BD132" s="113"/>
      <c r="BF13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33" spans="1:58" x14ac:dyDescent="0.3">
      <c r="A133" s="422"/>
      <c r="B133" s="376"/>
      <c r="C133" s="110"/>
      <c r="D133" s="110"/>
      <c r="E133" s="340"/>
      <c r="F133" s="330"/>
      <c r="G133" s="113"/>
      <c r="H133" s="332"/>
      <c r="I133" s="113"/>
      <c r="J133" s="332"/>
      <c r="K133" s="110"/>
      <c r="L133" s="110"/>
      <c r="M133" s="110"/>
      <c r="N133" s="110"/>
      <c r="O133" s="111"/>
      <c r="P133" s="424" t="str">
        <f>IF(OR(Table13[[#This Row],[Annual Increase Option]]="No increase",Table13[[#This Row],[Annual Increase Option]]=""),"",_xlfn.XLOOKUP(MONTH(Table13[[#This Row],[Commencement Date]]),Lookups!$I$19:$I$30,Lookups!$J$19:$J$30,0))</f>
        <v/>
      </c>
      <c r="Q133" s="340"/>
      <c r="R133" s="340"/>
      <c r="S133" s="360">
        <f>IF(Table13[[#This Row],[Life Cover Amount]]="",0,Table2[[#This Row],[Life Premium]])</f>
        <v>0</v>
      </c>
      <c r="T133" s="360">
        <f>IF(Table13[[#This Row],[Funeral Cover Amount]]=0,0,Table2[[#This Row],[Funeral Premium]])</f>
        <v>0</v>
      </c>
      <c r="U133" s="360">
        <f>IF(AND(Table13[[#This Row],[Life Cover Amount]]="",Table13[[#This Row],[Funeral Cover Amount]]=""),0,onboarding_calcs!AA133)</f>
        <v>0</v>
      </c>
      <c r="V133" s="111"/>
      <c r="W133" s="111"/>
      <c r="X133" s="333"/>
      <c r="Y133" s="110"/>
      <c r="Z133" s="113"/>
      <c r="AA133" s="425"/>
      <c r="AB133" s="425"/>
      <c r="AC133" s="113"/>
      <c r="AD133" s="110"/>
      <c r="AE133" s="110"/>
      <c r="AF133" s="110"/>
      <c r="AG133" s="110"/>
      <c r="AH133" s="110"/>
      <c r="AI133" s="113"/>
      <c r="AJ133" s="110"/>
      <c r="AK133" s="110"/>
      <c r="AL133" s="110"/>
      <c r="AM133" s="110"/>
      <c r="AN133" s="110"/>
      <c r="AO133" s="113"/>
      <c r="AP133" s="113"/>
      <c r="AQ133" s="113"/>
      <c r="AR133" s="110"/>
      <c r="AS133" s="113"/>
      <c r="AT133" s="113"/>
      <c r="AU133" s="112"/>
      <c r="AV133" s="338"/>
      <c r="AW133" s="110"/>
      <c r="AX133" s="110"/>
      <c r="AY133" s="113"/>
      <c r="AZ133" s="113"/>
      <c r="BA133" s="113"/>
      <c r="BB133" s="113"/>
      <c r="BC133" s="113"/>
      <c r="BD133" s="113"/>
      <c r="BF13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34" spans="1:58" x14ac:dyDescent="0.3">
      <c r="A134" s="422"/>
      <c r="B134" s="376"/>
      <c r="C134" s="110"/>
      <c r="D134" s="110"/>
      <c r="E134" s="340"/>
      <c r="F134" s="330"/>
      <c r="G134" s="113"/>
      <c r="H134" s="332"/>
      <c r="I134" s="113"/>
      <c r="J134" s="332"/>
      <c r="K134" s="110"/>
      <c r="L134" s="110"/>
      <c r="M134" s="110"/>
      <c r="N134" s="110"/>
      <c r="O134" s="111"/>
      <c r="P134" s="424" t="str">
        <f>IF(OR(Table13[[#This Row],[Annual Increase Option]]="No increase",Table13[[#This Row],[Annual Increase Option]]=""),"",_xlfn.XLOOKUP(MONTH(Table13[[#This Row],[Commencement Date]]),Lookups!$I$19:$I$30,Lookups!$J$19:$J$30,0))</f>
        <v/>
      </c>
      <c r="Q134" s="340"/>
      <c r="R134" s="340"/>
      <c r="S134" s="360">
        <f>IF(Table13[[#This Row],[Life Cover Amount]]="",0,Table2[[#This Row],[Life Premium]])</f>
        <v>0</v>
      </c>
      <c r="T134" s="360">
        <f>IF(Table13[[#This Row],[Funeral Cover Amount]]=0,0,Table2[[#This Row],[Funeral Premium]])</f>
        <v>0</v>
      </c>
      <c r="U134" s="360">
        <f>IF(AND(Table13[[#This Row],[Life Cover Amount]]="",Table13[[#This Row],[Funeral Cover Amount]]=""),0,onboarding_calcs!AA134)</f>
        <v>0</v>
      </c>
      <c r="V134" s="111"/>
      <c r="W134" s="111"/>
      <c r="X134" s="333"/>
      <c r="Y134" s="110"/>
      <c r="Z134" s="113"/>
      <c r="AA134" s="425"/>
      <c r="AB134" s="425"/>
      <c r="AC134" s="113"/>
      <c r="AD134" s="110"/>
      <c r="AE134" s="110"/>
      <c r="AF134" s="110"/>
      <c r="AG134" s="110"/>
      <c r="AH134" s="110"/>
      <c r="AI134" s="113"/>
      <c r="AJ134" s="110"/>
      <c r="AK134" s="110"/>
      <c r="AL134" s="110"/>
      <c r="AM134" s="110"/>
      <c r="AN134" s="110"/>
      <c r="AO134" s="113"/>
      <c r="AP134" s="113"/>
      <c r="AQ134" s="113"/>
      <c r="AR134" s="110"/>
      <c r="AS134" s="113"/>
      <c r="AT134" s="113"/>
      <c r="AU134" s="112"/>
      <c r="AV134" s="338"/>
      <c r="AW134" s="110"/>
      <c r="AX134" s="110"/>
      <c r="AY134" s="113"/>
      <c r="AZ134" s="113"/>
      <c r="BA134" s="113"/>
      <c r="BB134" s="113"/>
      <c r="BC134" s="113"/>
      <c r="BD134" s="113"/>
      <c r="BF13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35" spans="1:58" x14ac:dyDescent="0.3">
      <c r="A135" s="422"/>
      <c r="B135" s="376"/>
      <c r="C135" s="110"/>
      <c r="D135" s="110"/>
      <c r="E135" s="340"/>
      <c r="F135" s="330"/>
      <c r="G135" s="113"/>
      <c r="H135" s="332"/>
      <c r="I135" s="113"/>
      <c r="J135" s="332"/>
      <c r="K135" s="110"/>
      <c r="L135" s="110"/>
      <c r="M135" s="110"/>
      <c r="N135" s="110"/>
      <c r="O135" s="111"/>
      <c r="P135" s="424" t="str">
        <f>IF(OR(Table13[[#This Row],[Annual Increase Option]]="No increase",Table13[[#This Row],[Annual Increase Option]]=""),"",_xlfn.XLOOKUP(MONTH(Table13[[#This Row],[Commencement Date]]),Lookups!$I$19:$I$30,Lookups!$J$19:$J$30,0))</f>
        <v/>
      </c>
      <c r="Q135" s="340"/>
      <c r="R135" s="340"/>
      <c r="S135" s="360">
        <f>IF(Table13[[#This Row],[Life Cover Amount]]="",0,Table2[[#This Row],[Life Premium]])</f>
        <v>0</v>
      </c>
      <c r="T135" s="360">
        <f>IF(Table13[[#This Row],[Funeral Cover Amount]]=0,0,Table2[[#This Row],[Funeral Premium]])</f>
        <v>0</v>
      </c>
      <c r="U135" s="360">
        <f>IF(AND(Table13[[#This Row],[Life Cover Amount]]="",Table13[[#This Row],[Funeral Cover Amount]]=""),0,onboarding_calcs!AA135)</f>
        <v>0</v>
      </c>
      <c r="V135" s="111"/>
      <c r="W135" s="111"/>
      <c r="X135" s="333"/>
      <c r="Y135" s="110"/>
      <c r="Z135" s="113"/>
      <c r="AA135" s="425"/>
      <c r="AB135" s="425"/>
      <c r="AC135" s="113"/>
      <c r="AD135" s="110"/>
      <c r="AE135" s="110"/>
      <c r="AF135" s="110"/>
      <c r="AG135" s="110"/>
      <c r="AH135" s="110"/>
      <c r="AI135" s="113"/>
      <c r="AJ135" s="110"/>
      <c r="AK135" s="110"/>
      <c r="AL135" s="110"/>
      <c r="AM135" s="110"/>
      <c r="AN135" s="110"/>
      <c r="AO135" s="113"/>
      <c r="AP135" s="113"/>
      <c r="AQ135" s="113"/>
      <c r="AR135" s="110"/>
      <c r="AS135" s="113"/>
      <c r="AT135" s="113"/>
      <c r="AU135" s="112"/>
      <c r="AV135" s="338"/>
      <c r="AW135" s="110"/>
      <c r="AX135" s="110"/>
      <c r="AY135" s="113"/>
      <c r="AZ135" s="113"/>
      <c r="BA135" s="113"/>
      <c r="BB135" s="113"/>
      <c r="BC135" s="113"/>
      <c r="BD135" s="113"/>
      <c r="BF13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36" spans="1:58" x14ac:dyDescent="0.3">
      <c r="A136" s="422"/>
      <c r="B136" s="376"/>
      <c r="C136" s="110"/>
      <c r="D136" s="110"/>
      <c r="E136" s="340"/>
      <c r="F136" s="330"/>
      <c r="G136" s="113"/>
      <c r="H136" s="332"/>
      <c r="I136" s="113"/>
      <c r="J136" s="332"/>
      <c r="K136" s="110"/>
      <c r="L136" s="110"/>
      <c r="M136" s="110"/>
      <c r="N136" s="110"/>
      <c r="O136" s="111"/>
      <c r="P136" s="424" t="str">
        <f>IF(OR(Table13[[#This Row],[Annual Increase Option]]="No increase",Table13[[#This Row],[Annual Increase Option]]=""),"",_xlfn.XLOOKUP(MONTH(Table13[[#This Row],[Commencement Date]]),Lookups!$I$19:$I$30,Lookups!$J$19:$J$30,0))</f>
        <v/>
      </c>
      <c r="Q136" s="340"/>
      <c r="R136" s="340"/>
      <c r="S136" s="360">
        <f>IF(Table13[[#This Row],[Life Cover Amount]]="",0,Table2[[#This Row],[Life Premium]])</f>
        <v>0</v>
      </c>
      <c r="T136" s="360">
        <f>IF(Table13[[#This Row],[Funeral Cover Amount]]=0,0,Table2[[#This Row],[Funeral Premium]])</f>
        <v>0</v>
      </c>
      <c r="U136" s="360">
        <f>IF(AND(Table13[[#This Row],[Life Cover Amount]]="",Table13[[#This Row],[Funeral Cover Amount]]=""),0,onboarding_calcs!AA136)</f>
        <v>0</v>
      </c>
      <c r="V136" s="111"/>
      <c r="W136" s="111"/>
      <c r="X136" s="333"/>
      <c r="Y136" s="110"/>
      <c r="Z136" s="113"/>
      <c r="AA136" s="425"/>
      <c r="AB136" s="425"/>
      <c r="AC136" s="113"/>
      <c r="AD136" s="110"/>
      <c r="AE136" s="110"/>
      <c r="AF136" s="110"/>
      <c r="AG136" s="110"/>
      <c r="AH136" s="110"/>
      <c r="AI136" s="113"/>
      <c r="AJ136" s="110"/>
      <c r="AK136" s="110"/>
      <c r="AL136" s="110"/>
      <c r="AM136" s="110"/>
      <c r="AN136" s="110"/>
      <c r="AO136" s="113"/>
      <c r="AP136" s="113"/>
      <c r="AQ136" s="113"/>
      <c r="AR136" s="110"/>
      <c r="AS136" s="113"/>
      <c r="AT136" s="113"/>
      <c r="AU136" s="112"/>
      <c r="AV136" s="338"/>
      <c r="AW136" s="110"/>
      <c r="AX136" s="110"/>
      <c r="AY136" s="113"/>
      <c r="AZ136" s="113"/>
      <c r="BA136" s="113"/>
      <c r="BB136" s="113"/>
      <c r="BC136" s="113"/>
      <c r="BD136" s="113"/>
      <c r="BF13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37" spans="1:58" x14ac:dyDescent="0.3">
      <c r="A137" s="422"/>
      <c r="B137" s="376"/>
      <c r="C137" s="110"/>
      <c r="D137" s="110"/>
      <c r="E137" s="340"/>
      <c r="F137" s="330"/>
      <c r="G137" s="113"/>
      <c r="H137" s="332"/>
      <c r="I137" s="113"/>
      <c r="J137" s="332"/>
      <c r="K137" s="110"/>
      <c r="L137" s="110"/>
      <c r="M137" s="110"/>
      <c r="N137" s="110"/>
      <c r="O137" s="111"/>
      <c r="P137" s="424" t="str">
        <f>IF(OR(Table13[[#This Row],[Annual Increase Option]]="No increase",Table13[[#This Row],[Annual Increase Option]]=""),"",_xlfn.XLOOKUP(MONTH(Table13[[#This Row],[Commencement Date]]),Lookups!$I$19:$I$30,Lookups!$J$19:$J$30,0))</f>
        <v/>
      </c>
      <c r="Q137" s="340"/>
      <c r="R137" s="340"/>
      <c r="S137" s="360">
        <f>IF(Table13[[#This Row],[Life Cover Amount]]="",0,Table2[[#This Row],[Life Premium]])</f>
        <v>0</v>
      </c>
      <c r="T137" s="360">
        <f>IF(Table13[[#This Row],[Funeral Cover Amount]]=0,0,Table2[[#This Row],[Funeral Premium]])</f>
        <v>0</v>
      </c>
      <c r="U137" s="360">
        <f>IF(AND(Table13[[#This Row],[Life Cover Amount]]="",Table13[[#This Row],[Funeral Cover Amount]]=""),0,onboarding_calcs!AA137)</f>
        <v>0</v>
      </c>
      <c r="V137" s="111"/>
      <c r="W137" s="111"/>
      <c r="X137" s="333"/>
      <c r="Y137" s="110"/>
      <c r="Z137" s="113"/>
      <c r="AA137" s="425"/>
      <c r="AB137" s="425"/>
      <c r="AC137" s="113"/>
      <c r="AD137" s="110"/>
      <c r="AE137" s="110"/>
      <c r="AF137" s="110"/>
      <c r="AG137" s="110"/>
      <c r="AH137" s="110"/>
      <c r="AI137" s="113"/>
      <c r="AJ137" s="110"/>
      <c r="AK137" s="110"/>
      <c r="AL137" s="110"/>
      <c r="AM137" s="110"/>
      <c r="AN137" s="110"/>
      <c r="AO137" s="113"/>
      <c r="AP137" s="113"/>
      <c r="AQ137" s="113"/>
      <c r="AR137" s="110"/>
      <c r="AS137" s="113"/>
      <c r="AT137" s="113"/>
      <c r="AU137" s="112"/>
      <c r="AV137" s="338"/>
      <c r="AW137" s="110"/>
      <c r="AX137" s="110"/>
      <c r="AY137" s="113"/>
      <c r="AZ137" s="113"/>
      <c r="BA137" s="113"/>
      <c r="BB137" s="113"/>
      <c r="BC137" s="113"/>
      <c r="BD137" s="113"/>
      <c r="BF13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38" spans="1:58" x14ac:dyDescent="0.3">
      <c r="A138" s="422"/>
      <c r="B138" s="376"/>
      <c r="C138" s="110"/>
      <c r="D138" s="110"/>
      <c r="E138" s="340"/>
      <c r="F138" s="330"/>
      <c r="G138" s="113"/>
      <c r="H138" s="332"/>
      <c r="I138" s="113"/>
      <c r="J138" s="332"/>
      <c r="K138" s="110"/>
      <c r="L138" s="110"/>
      <c r="M138" s="110"/>
      <c r="N138" s="110"/>
      <c r="O138" s="111"/>
      <c r="P138" s="424" t="str">
        <f>IF(OR(Table13[[#This Row],[Annual Increase Option]]="No increase",Table13[[#This Row],[Annual Increase Option]]=""),"",_xlfn.XLOOKUP(MONTH(Table13[[#This Row],[Commencement Date]]),Lookups!$I$19:$I$30,Lookups!$J$19:$J$30,0))</f>
        <v/>
      </c>
      <c r="Q138" s="340"/>
      <c r="R138" s="340"/>
      <c r="S138" s="360">
        <f>IF(Table13[[#This Row],[Life Cover Amount]]="",0,Table2[[#This Row],[Life Premium]])</f>
        <v>0</v>
      </c>
      <c r="T138" s="360">
        <f>IF(Table13[[#This Row],[Funeral Cover Amount]]=0,0,Table2[[#This Row],[Funeral Premium]])</f>
        <v>0</v>
      </c>
      <c r="U138" s="360">
        <f>IF(AND(Table13[[#This Row],[Life Cover Amount]]="",Table13[[#This Row],[Funeral Cover Amount]]=""),0,onboarding_calcs!AA138)</f>
        <v>0</v>
      </c>
      <c r="V138" s="111"/>
      <c r="W138" s="111"/>
      <c r="X138" s="333"/>
      <c r="Y138" s="110"/>
      <c r="Z138" s="113"/>
      <c r="AA138" s="425"/>
      <c r="AB138" s="425"/>
      <c r="AC138" s="113"/>
      <c r="AD138" s="110"/>
      <c r="AE138" s="110"/>
      <c r="AF138" s="110"/>
      <c r="AG138" s="110"/>
      <c r="AH138" s="110"/>
      <c r="AI138" s="113"/>
      <c r="AJ138" s="110"/>
      <c r="AK138" s="110"/>
      <c r="AL138" s="110"/>
      <c r="AM138" s="110"/>
      <c r="AN138" s="110"/>
      <c r="AO138" s="113"/>
      <c r="AP138" s="113"/>
      <c r="AQ138" s="113"/>
      <c r="AR138" s="110"/>
      <c r="AS138" s="113"/>
      <c r="AT138" s="113"/>
      <c r="AU138" s="112"/>
      <c r="AV138" s="338"/>
      <c r="AW138" s="110"/>
      <c r="AX138" s="110"/>
      <c r="AY138" s="113"/>
      <c r="AZ138" s="113"/>
      <c r="BA138" s="113"/>
      <c r="BB138" s="113"/>
      <c r="BC138" s="113"/>
      <c r="BD138" s="113"/>
      <c r="BF13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39" spans="1:58" x14ac:dyDescent="0.3">
      <c r="A139" s="422"/>
      <c r="B139" s="376"/>
      <c r="C139" s="110"/>
      <c r="D139" s="110"/>
      <c r="E139" s="340"/>
      <c r="F139" s="330"/>
      <c r="G139" s="113"/>
      <c r="H139" s="332"/>
      <c r="I139" s="113"/>
      <c r="J139" s="332"/>
      <c r="K139" s="110"/>
      <c r="L139" s="110"/>
      <c r="M139" s="110"/>
      <c r="N139" s="110"/>
      <c r="O139" s="111"/>
      <c r="P139" s="424" t="str">
        <f>IF(OR(Table13[[#This Row],[Annual Increase Option]]="No increase",Table13[[#This Row],[Annual Increase Option]]=""),"",_xlfn.XLOOKUP(MONTH(Table13[[#This Row],[Commencement Date]]),Lookups!$I$19:$I$30,Lookups!$J$19:$J$30,0))</f>
        <v/>
      </c>
      <c r="Q139" s="340"/>
      <c r="R139" s="340"/>
      <c r="S139" s="360">
        <f>IF(Table13[[#This Row],[Life Cover Amount]]="",0,Table2[[#This Row],[Life Premium]])</f>
        <v>0</v>
      </c>
      <c r="T139" s="360">
        <f>IF(Table13[[#This Row],[Funeral Cover Amount]]=0,0,Table2[[#This Row],[Funeral Premium]])</f>
        <v>0</v>
      </c>
      <c r="U139" s="360">
        <f>IF(AND(Table13[[#This Row],[Life Cover Amount]]="",Table13[[#This Row],[Funeral Cover Amount]]=""),0,onboarding_calcs!AA139)</f>
        <v>0</v>
      </c>
      <c r="V139" s="111"/>
      <c r="W139" s="111"/>
      <c r="X139" s="333"/>
      <c r="Y139" s="110"/>
      <c r="Z139" s="113"/>
      <c r="AA139" s="425"/>
      <c r="AB139" s="425"/>
      <c r="AC139" s="113"/>
      <c r="AD139" s="110"/>
      <c r="AE139" s="110"/>
      <c r="AF139" s="110"/>
      <c r="AG139" s="110"/>
      <c r="AH139" s="110"/>
      <c r="AI139" s="113"/>
      <c r="AJ139" s="110"/>
      <c r="AK139" s="110"/>
      <c r="AL139" s="110"/>
      <c r="AM139" s="110"/>
      <c r="AN139" s="110"/>
      <c r="AO139" s="113"/>
      <c r="AP139" s="113"/>
      <c r="AQ139" s="113"/>
      <c r="AR139" s="110"/>
      <c r="AS139" s="113"/>
      <c r="AT139" s="113"/>
      <c r="AU139" s="112"/>
      <c r="AV139" s="338"/>
      <c r="AW139" s="110"/>
      <c r="AX139" s="110"/>
      <c r="AY139" s="113"/>
      <c r="AZ139" s="113"/>
      <c r="BA139" s="113"/>
      <c r="BB139" s="113"/>
      <c r="BC139" s="113"/>
      <c r="BD139" s="113"/>
      <c r="BF13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40" spans="1:58" x14ac:dyDescent="0.3">
      <c r="A140" s="422"/>
      <c r="B140" s="376"/>
      <c r="C140" s="110"/>
      <c r="D140" s="110"/>
      <c r="E140" s="340"/>
      <c r="F140" s="330"/>
      <c r="G140" s="113"/>
      <c r="H140" s="332"/>
      <c r="I140" s="113"/>
      <c r="J140" s="332"/>
      <c r="K140" s="110"/>
      <c r="L140" s="110"/>
      <c r="M140" s="110"/>
      <c r="N140" s="110"/>
      <c r="O140" s="111"/>
      <c r="P140" s="424" t="str">
        <f>IF(OR(Table13[[#This Row],[Annual Increase Option]]="No increase",Table13[[#This Row],[Annual Increase Option]]=""),"",_xlfn.XLOOKUP(MONTH(Table13[[#This Row],[Commencement Date]]),Lookups!$I$19:$I$30,Lookups!$J$19:$J$30,0))</f>
        <v/>
      </c>
      <c r="Q140" s="340"/>
      <c r="R140" s="340"/>
      <c r="S140" s="360">
        <f>IF(Table13[[#This Row],[Life Cover Amount]]="",0,Table2[[#This Row],[Life Premium]])</f>
        <v>0</v>
      </c>
      <c r="T140" s="360">
        <f>IF(Table13[[#This Row],[Funeral Cover Amount]]=0,0,Table2[[#This Row],[Funeral Premium]])</f>
        <v>0</v>
      </c>
      <c r="U140" s="360">
        <f>IF(AND(Table13[[#This Row],[Life Cover Amount]]="",Table13[[#This Row],[Funeral Cover Amount]]=""),0,onboarding_calcs!AA140)</f>
        <v>0</v>
      </c>
      <c r="V140" s="111"/>
      <c r="W140" s="111"/>
      <c r="X140" s="333"/>
      <c r="Y140" s="110"/>
      <c r="Z140" s="113"/>
      <c r="AA140" s="425"/>
      <c r="AB140" s="425"/>
      <c r="AC140" s="113"/>
      <c r="AD140" s="110"/>
      <c r="AE140" s="110"/>
      <c r="AF140" s="110"/>
      <c r="AG140" s="110"/>
      <c r="AH140" s="110"/>
      <c r="AI140" s="113"/>
      <c r="AJ140" s="110"/>
      <c r="AK140" s="110"/>
      <c r="AL140" s="110"/>
      <c r="AM140" s="110"/>
      <c r="AN140" s="110"/>
      <c r="AO140" s="113"/>
      <c r="AP140" s="113"/>
      <c r="AQ140" s="113"/>
      <c r="AR140" s="110"/>
      <c r="AS140" s="113"/>
      <c r="AT140" s="113"/>
      <c r="AU140" s="112"/>
      <c r="AV140" s="338"/>
      <c r="AW140" s="110"/>
      <c r="AX140" s="110"/>
      <c r="AY140" s="113"/>
      <c r="AZ140" s="113"/>
      <c r="BA140" s="113"/>
      <c r="BB140" s="113"/>
      <c r="BC140" s="113"/>
      <c r="BD140" s="113"/>
      <c r="BF14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41" spans="1:58" x14ac:dyDescent="0.3">
      <c r="A141" s="422"/>
      <c r="B141" s="376"/>
      <c r="C141" s="110"/>
      <c r="D141" s="110"/>
      <c r="E141" s="340"/>
      <c r="F141" s="330"/>
      <c r="G141" s="113"/>
      <c r="H141" s="332"/>
      <c r="I141" s="113"/>
      <c r="J141" s="332"/>
      <c r="K141" s="110"/>
      <c r="L141" s="110"/>
      <c r="M141" s="110"/>
      <c r="N141" s="110"/>
      <c r="O141" s="111"/>
      <c r="P141" s="424" t="str">
        <f>IF(OR(Table13[[#This Row],[Annual Increase Option]]="No increase",Table13[[#This Row],[Annual Increase Option]]=""),"",_xlfn.XLOOKUP(MONTH(Table13[[#This Row],[Commencement Date]]),Lookups!$I$19:$I$30,Lookups!$J$19:$J$30,0))</f>
        <v/>
      </c>
      <c r="Q141" s="340"/>
      <c r="R141" s="340"/>
      <c r="S141" s="360">
        <f>IF(Table13[[#This Row],[Life Cover Amount]]="",0,Table2[[#This Row],[Life Premium]])</f>
        <v>0</v>
      </c>
      <c r="T141" s="360">
        <f>IF(Table13[[#This Row],[Funeral Cover Amount]]=0,0,Table2[[#This Row],[Funeral Premium]])</f>
        <v>0</v>
      </c>
      <c r="U141" s="360">
        <f>IF(AND(Table13[[#This Row],[Life Cover Amount]]="",Table13[[#This Row],[Funeral Cover Amount]]=""),0,onboarding_calcs!AA141)</f>
        <v>0</v>
      </c>
      <c r="V141" s="111"/>
      <c r="W141" s="111"/>
      <c r="X141" s="333"/>
      <c r="Y141" s="110"/>
      <c r="Z141" s="113"/>
      <c r="AA141" s="425"/>
      <c r="AB141" s="425"/>
      <c r="AC141" s="113"/>
      <c r="AD141" s="110"/>
      <c r="AE141" s="110"/>
      <c r="AF141" s="110"/>
      <c r="AG141" s="110"/>
      <c r="AH141" s="110"/>
      <c r="AI141" s="113"/>
      <c r="AJ141" s="110"/>
      <c r="AK141" s="110"/>
      <c r="AL141" s="110"/>
      <c r="AM141" s="110"/>
      <c r="AN141" s="110"/>
      <c r="AO141" s="113"/>
      <c r="AP141" s="113"/>
      <c r="AQ141" s="113"/>
      <c r="AR141" s="110"/>
      <c r="AS141" s="113"/>
      <c r="AT141" s="113"/>
      <c r="AU141" s="112"/>
      <c r="AV141" s="338"/>
      <c r="AW141" s="110"/>
      <c r="AX141" s="110"/>
      <c r="AY141" s="113"/>
      <c r="AZ141" s="113"/>
      <c r="BA141" s="113"/>
      <c r="BB141" s="113"/>
      <c r="BC141" s="113"/>
      <c r="BD141" s="113"/>
      <c r="BF14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42" spans="1:58" x14ac:dyDescent="0.3">
      <c r="A142" s="422"/>
      <c r="B142" s="376"/>
      <c r="C142" s="110"/>
      <c r="D142" s="110"/>
      <c r="E142" s="340"/>
      <c r="F142" s="330"/>
      <c r="G142" s="113"/>
      <c r="H142" s="332"/>
      <c r="I142" s="113"/>
      <c r="J142" s="332"/>
      <c r="K142" s="110"/>
      <c r="L142" s="110"/>
      <c r="M142" s="110"/>
      <c r="N142" s="110"/>
      <c r="O142" s="111"/>
      <c r="P142" s="424" t="str">
        <f>IF(OR(Table13[[#This Row],[Annual Increase Option]]="No increase",Table13[[#This Row],[Annual Increase Option]]=""),"",_xlfn.XLOOKUP(MONTH(Table13[[#This Row],[Commencement Date]]),Lookups!$I$19:$I$30,Lookups!$J$19:$J$30,0))</f>
        <v/>
      </c>
      <c r="Q142" s="340"/>
      <c r="R142" s="340"/>
      <c r="S142" s="360">
        <f>IF(Table13[[#This Row],[Life Cover Amount]]="",0,Table2[[#This Row],[Life Premium]])</f>
        <v>0</v>
      </c>
      <c r="T142" s="360">
        <f>IF(Table13[[#This Row],[Funeral Cover Amount]]=0,0,Table2[[#This Row],[Funeral Premium]])</f>
        <v>0</v>
      </c>
      <c r="U142" s="360">
        <f>IF(AND(Table13[[#This Row],[Life Cover Amount]]="",Table13[[#This Row],[Funeral Cover Amount]]=""),0,onboarding_calcs!AA142)</f>
        <v>0</v>
      </c>
      <c r="V142" s="111"/>
      <c r="W142" s="111"/>
      <c r="X142" s="333"/>
      <c r="Y142" s="110"/>
      <c r="Z142" s="113"/>
      <c r="AA142" s="425"/>
      <c r="AB142" s="425"/>
      <c r="AC142" s="113"/>
      <c r="AD142" s="110"/>
      <c r="AE142" s="110"/>
      <c r="AF142" s="110"/>
      <c r="AG142" s="110"/>
      <c r="AH142" s="110"/>
      <c r="AI142" s="113"/>
      <c r="AJ142" s="110"/>
      <c r="AK142" s="110"/>
      <c r="AL142" s="110"/>
      <c r="AM142" s="110"/>
      <c r="AN142" s="110"/>
      <c r="AO142" s="113"/>
      <c r="AP142" s="113"/>
      <c r="AQ142" s="113"/>
      <c r="AR142" s="110"/>
      <c r="AS142" s="113"/>
      <c r="AT142" s="113"/>
      <c r="AU142" s="112"/>
      <c r="AV142" s="338"/>
      <c r="AW142" s="110"/>
      <c r="AX142" s="110"/>
      <c r="AY142" s="113"/>
      <c r="AZ142" s="113"/>
      <c r="BA142" s="113"/>
      <c r="BB142" s="113"/>
      <c r="BC142" s="113"/>
      <c r="BD142" s="113"/>
      <c r="BF14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43" spans="1:58" x14ac:dyDescent="0.3">
      <c r="A143" s="422"/>
      <c r="B143" s="376"/>
      <c r="C143" s="110"/>
      <c r="D143" s="110"/>
      <c r="E143" s="340"/>
      <c r="F143" s="330"/>
      <c r="G143" s="113"/>
      <c r="H143" s="332"/>
      <c r="I143" s="113"/>
      <c r="J143" s="332"/>
      <c r="K143" s="110"/>
      <c r="L143" s="110"/>
      <c r="M143" s="110"/>
      <c r="N143" s="110"/>
      <c r="O143" s="111"/>
      <c r="P143" s="424" t="str">
        <f>IF(OR(Table13[[#This Row],[Annual Increase Option]]="No increase",Table13[[#This Row],[Annual Increase Option]]=""),"",_xlfn.XLOOKUP(MONTH(Table13[[#This Row],[Commencement Date]]),Lookups!$I$19:$I$30,Lookups!$J$19:$J$30,0))</f>
        <v/>
      </c>
      <c r="Q143" s="340"/>
      <c r="R143" s="340"/>
      <c r="S143" s="360">
        <f>IF(Table13[[#This Row],[Life Cover Amount]]="",0,Table2[[#This Row],[Life Premium]])</f>
        <v>0</v>
      </c>
      <c r="T143" s="360">
        <f>IF(Table13[[#This Row],[Funeral Cover Amount]]=0,0,Table2[[#This Row],[Funeral Premium]])</f>
        <v>0</v>
      </c>
      <c r="U143" s="360">
        <f>IF(AND(Table13[[#This Row],[Life Cover Amount]]="",Table13[[#This Row],[Funeral Cover Amount]]=""),0,onboarding_calcs!AA143)</f>
        <v>0</v>
      </c>
      <c r="V143" s="111"/>
      <c r="W143" s="111"/>
      <c r="X143" s="333"/>
      <c r="Y143" s="110"/>
      <c r="Z143" s="113"/>
      <c r="AA143" s="425"/>
      <c r="AB143" s="425"/>
      <c r="AC143" s="113"/>
      <c r="AD143" s="110"/>
      <c r="AE143" s="110"/>
      <c r="AF143" s="110"/>
      <c r="AG143" s="110"/>
      <c r="AH143" s="110"/>
      <c r="AI143" s="113"/>
      <c r="AJ143" s="110"/>
      <c r="AK143" s="110"/>
      <c r="AL143" s="110"/>
      <c r="AM143" s="110"/>
      <c r="AN143" s="110"/>
      <c r="AO143" s="113"/>
      <c r="AP143" s="113"/>
      <c r="AQ143" s="113"/>
      <c r="AR143" s="110"/>
      <c r="AS143" s="113"/>
      <c r="AT143" s="113"/>
      <c r="AU143" s="112"/>
      <c r="AV143" s="338"/>
      <c r="AW143" s="110"/>
      <c r="AX143" s="110"/>
      <c r="AY143" s="113"/>
      <c r="AZ143" s="113"/>
      <c r="BA143" s="113"/>
      <c r="BB143" s="113"/>
      <c r="BC143" s="113"/>
      <c r="BD143" s="113"/>
      <c r="BF14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44" spans="1:58" x14ac:dyDescent="0.3">
      <c r="A144" s="422"/>
      <c r="B144" s="376"/>
      <c r="C144" s="110"/>
      <c r="D144" s="110"/>
      <c r="E144" s="340"/>
      <c r="F144" s="330"/>
      <c r="G144" s="113"/>
      <c r="H144" s="332"/>
      <c r="I144" s="113"/>
      <c r="J144" s="332"/>
      <c r="K144" s="110"/>
      <c r="L144" s="110"/>
      <c r="M144" s="110"/>
      <c r="N144" s="110"/>
      <c r="O144" s="111"/>
      <c r="P144" s="424" t="str">
        <f>IF(OR(Table13[[#This Row],[Annual Increase Option]]="No increase",Table13[[#This Row],[Annual Increase Option]]=""),"",_xlfn.XLOOKUP(MONTH(Table13[[#This Row],[Commencement Date]]),Lookups!$I$19:$I$30,Lookups!$J$19:$J$30,0))</f>
        <v/>
      </c>
      <c r="Q144" s="340"/>
      <c r="R144" s="340"/>
      <c r="S144" s="360">
        <f>IF(Table13[[#This Row],[Life Cover Amount]]="",0,Table2[[#This Row],[Life Premium]])</f>
        <v>0</v>
      </c>
      <c r="T144" s="360">
        <f>IF(Table13[[#This Row],[Funeral Cover Amount]]=0,0,Table2[[#This Row],[Funeral Premium]])</f>
        <v>0</v>
      </c>
      <c r="U144" s="360">
        <f>IF(AND(Table13[[#This Row],[Life Cover Amount]]="",Table13[[#This Row],[Funeral Cover Amount]]=""),0,onboarding_calcs!AA144)</f>
        <v>0</v>
      </c>
      <c r="V144" s="111"/>
      <c r="W144" s="111"/>
      <c r="X144" s="333"/>
      <c r="Y144" s="110"/>
      <c r="Z144" s="113"/>
      <c r="AA144" s="425"/>
      <c r="AB144" s="425"/>
      <c r="AC144" s="113"/>
      <c r="AD144" s="110"/>
      <c r="AE144" s="110"/>
      <c r="AF144" s="110"/>
      <c r="AG144" s="110"/>
      <c r="AH144" s="110"/>
      <c r="AI144" s="113"/>
      <c r="AJ144" s="110"/>
      <c r="AK144" s="110"/>
      <c r="AL144" s="110"/>
      <c r="AM144" s="110"/>
      <c r="AN144" s="110"/>
      <c r="AO144" s="113"/>
      <c r="AP144" s="113"/>
      <c r="AQ144" s="113"/>
      <c r="AR144" s="110"/>
      <c r="AS144" s="113"/>
      <c r="AT144" s="113"/>
      <c r="AU144" s="112"/>
      <c r="AV144" s="338"/>
      <c r="AW144" s="110"/>
      <c r="AX144" s="110"/>
      <c r="AY144" s="113"/>
      <c r="AZ144" s="113"/>
      <c r="BA144" s="113"/>
      <c r="BB144" s="113"/>
      <c r="BC144" s="113"/>
      <c r="BD144" s="113"/>
      <c r="BF14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45" spans="1:58" x14ac:dyDescent="0.3">
      <c r="A145" s="422"/>
      <c r="B145" s="376"/>
      <c r="C145" s="110"/>
      <c r="D145" s="110"/>
      <c r="E145" s="340"/>
      <c r="F145" s="330"/>
      <c r="G145" s="113"/>
      <c r="H145" s="332"/>
      <c r="I145" s="113"/>
      <c r="J145" s="332"/>
      <c r="K145" s="110"/>
      <c r="L145" s="110"/>
      <c r="M145" s="110"/>
      <c r="N145" s="110"/>
      <c r="O145" s="111"/>
      <c r="P145" s="424" t="str">
        <f>IF(OR(Table13[[#This Row],[Annual Increase Option]]="No increase",Table13[[#This Row],[Annual Increase Option]]=""),"",_xlfn.XLOOKUP(MONTH(Table13[[#This Row],[Commencement Date]]),Lookups!$I$19:$I$30,Lookups!$J$19:$J$30,0))</f>
        <v/>
      </c>
      <c r="Q145" s="340"/>
      <c r="R145" s="340"/>
      <c r="S145" s="360">
        <f>IF(Table13[[#This Row],[Life Cover Amount]]="",0,Table2[[#This Row],[Life Premium]])</f>
        <v>0</v>
      </c>
      <c r="T145" s="360">
        <f>IF(Table13[[#This Row],[Funeral Cover Amount]]=0,0,Table2[[#This Row],[Funeral Premium]])</f>
        <v>0</v>
      </c>
      <c r="U145" s="360">
        <f>IF(AND(Table13[[#This Row],[Life Cover Amount]]="",Table13[[#This Row],[Funeral Cover Amount]]=""),0,onboarding_calcs!AA145)</f>
        <v>0</v>
      </c>
      <c r="V145" s="111"/>
      <c r="W145" s="111"/>
      <c r="X145" s="333"/>
      <c r="Y145" s="110"/>
      <c r="Z145" s="113"/>
      <c r="AA145" s="425"/>
      <c r="AB145" s="425"/>
      <c r="AC145" s="113"/>
      <c r="AD145" s="110"/>
      <c r="AE145" s="110"/>
      <c r="AF145" s="110"/>
      <c r="AG145" s="110"/>
      <c r="AH145" s="110"/>
      <c r="AI145" s="113"/>
      <c r="AJ145" s="110"/>
      <c r="AK145" s="110"/>
      <c r="AL145" s="110"/>
      <c r="AM145" s="110"/>
      <c r="AN145" s="110"/>
      <c r="AO145" s="113"/>
      <c r="AP145" s="113"/>
      <c r="AQ145" s="113"/>
      <c r="AR145" s="110"/>
      <c r="AS145" s="113"/>
      <c r="AT145" s="113"/>
      <c r="AU145" s="112"/>
      <c r="AV145" s="338"/>
      <c r="AW145" s="110"/>
      <c r="AX145" s="110"/>
      <c r="AY145" s="113"/>
      <c r="AZ145" s="113"/>
      <c r="BA145" s="113"/>
      <c r="BB145" s="113"/>
      <c r="BC145" s="113"/>
      <c r="BD145" s="113"/>
      <c r="BF14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46" spans="1:58" x14ac:dyDescent="0.3">
      <c r="A146" s="422"/>
      <c r="B146" s="376"/>
      <c r="C146" s="110"/>
      <c r="D146" s="110"/>
      <c r="E146" s="340"/>
      <c r="F146" s="330"/>
      <c r="G146" s="113"/>
      <c r="H146" s="332"/>
      <c r="I146" s="113"/>
      <c r="J146" s="332"/>
      <c r="K146" s="110"/>
      <c r="L146" s="110"/>
      <c r="M146" s="110"/>
      <c r="N146" s="110"/>
      <c r="O146" s="111"/>
      <c r="P146" s="424" t="str">
        <f>IF(OR(Table13[[#This Row],[Annual Increase Option]]="No increase",Table13[[#This Row],[Annual Increase Option]]=""),"",_xlfn.XLOOKUP(MONTH(Table13[[#This Row],[Commencement Date]]),Lookups!$I$19:$I$30,Lookups!$J$19:$J$30,0))</f>
        <v/>
      </c>
      <c r="Q146" s="340"/>
      <c r="R146" s="340"/>
      <c r="S146" s="360">
        <f>IF(Table13[[#This Row],[Life Cover Amount]]="",0,Table2[[#This Row],[Life Premium]])</f>
        <v>0</v>
      </c>
      <c r="T146" s="360">
        <f>IF(Table13[[#This Row],[Funeral Cover Amount]]=0,0,Table2[[#This Row],[Funeral Premium]])</f>
        <v>0</v>
      </c>
      <c r="U146" s="360">
        <f>IF(AND(Table13[[#This Row],[Life Cover Amount]]="",Table13[[#This Row],[Funeral Cover Amount]]=""),0,onboarding_calcs!AA146)</f>
        <v>0</v>
      </c>
      <c r="V146" s="111"/>
      <c r="W146" s="111"/>
      <c r="X146" s="333"/>
      <c r="Y146" s="110"/>
      <c r="Z146" s="113"/>
      <c r="AA146" s="425"/>
      <c r="AB146" s="425"/>
      <c r="AC146" s="113"/>
      <c r="AD146" s="110"/>
      <c r="AE146" s="110"/>
      <c r="AF146" s="110"/>
      <c r="AG146" s="110"/>
      <c r="AH146" s="110"/>
      <c r="AI146" s="113"/>
      <c r="AJ146" s="110"/>
      <c r="AK146" s="110"/>
      <c r="AL146" s="110"/>
      <c r="AM146" s="110"/>
      <c r="AN146" s="110"/>
      <c r="AO146" s="113"/>
      <c r="AP146" s="113"/>
      <c r="AQ146" s="113"/>
      <c r="AR146" s="110"/>
      <c r="AS146" s="113"/>
      <c r="AT146" s="113"/>
      <c r="AU146" s="112"/>
      <c r="AV146" s="338"/>
      <c r="AW146" s="110"/>
      <c r="AX146" s="110"/>
      <c r="AY146" s="113"/>
      <c r="AZ146" s="113"/>
      <c r="BA146" s="113"/>
      <c r="BB146" s="113"/>
      <c r="BC146" s="113"/>
      <c r="BD146" s="113"/>
      <c r="BF14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47" spans="1:58" x14ac:dyDescent="0.3">
      <c r="A147" s="422"/>
      <c r="B147" s="376"/>
      <c r="C147" s="110"/>
      <c r="D147" s="110"/>
      <c r="E147" s="340"/>
      <c r="F147" s="330"/>
      <c r="G147" s="113"/>
      <c r="H147" s="332"/>
      <c r="I147" s="113"/>
      <c r="J147" s="332"/>
      <c r="K147" s="110"/>
      <c r="L147" s="110"/>
      <c r="M147" s="110"/>
      <c r="N147" s="110"/>
      <c r="O147" s="111"/>
      <c r="P147" s="424" t="str">
        <f>IF(OR(Table13[[#This Row],[Annual Increase Option]]="No increase",Table13[[#This Row],[Annual Increase Option]]=""),"",_xlfn.XLOOKUP(MONTH(Table13[[#This Row],[Commencement Date]]),Lookups!$I$19:$I$30,Lookups!$J$19:$J$30,0))</f>
        <v/>
      </c>
      <c r="Q147" s="340"/>
      <c r="R147" s="340"/>
      <c r="S147" s="360">
        <f>IF(Table13[[#This Row],[Life Cover Amount]]="",0,Table2[[#This Row],[Life Premium]])</f>
        <v>0</v>
      </c>
      <c r="T147" s="360">
        <f>IF(Table13[[#This Row],[Funeral Cover Amount]]=0,0,Table2[[#This Row],[Funeral Premium]])</f>
        <v>0</v>
      </c>
      <c r="U147" s="360">
        <f>IF(AND(Table13[[#This Row],[Life Cover Amount]]="",Table13[[#This Row],[Funeral Cover Amount]]=""),0,onboarding_calcs!AA147)</f>
        <v>0</v>
      </c>
      <c r="V147" s="111"/>
      <c r="W147" s="111"/>
      <c r="X147" s="333"/>
      <c r="Y147" s="110"/>
      <c r="Z147" s="113"/>
      <c r="AA147" s="425"/>
      <c r="AB147" s="425"/>
      <c r="AC147" s="113"/>
      <c r="AD147" s="110"/>
      <c r="AE147" s="110"/>
      <c r="AF147" s="110"/>
      <c r="AG147" s="110"/>
      <c r="AH147" s="110"/>
      <c r="AI147" s="113"/>
      <c r="AJ147" s="110"/>
      <c r="AK147" s="110"/>
      <c r="AL147" s="110"/>
      <c r="AM147" s="110"/>
      <c r="AN147" s="110"/>
      <c r="AO147" s="113"/>
      <c r="AP147" s="113"/>
      <c r="AQ147" s="113"/>
      <c r="AR147" s="110"/>
      <c r="AS147" s="113"/>
      <c r="AT147" s="113"/>
      <c r="AU147" s="112"/>
      <c r="AV147" s="338"/>
      <c r="AW147" s="110"/>
      <c r="AX147" s="110"/>
      <c r="AY147" s="113"/>
      <c r="AZ147" s="113"/>
      <c r="BA147" s="113"/>
      <c r="BB147" s="113"/>
      <c r="BC147" s="113"/>
      <c r="BD147" s="113"/>
      <c r="BF14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48" spans="1:58" x14ac:dyDescent="0.3">
      <c r="A148" s="422"/>
      <c r="B148" s="376"/>
      <c r="C148" s="110"/>
      <c r="D148" s="110"/>
      <c r="E148" s="340"/>
      <c r="F148" s="330"/>
      <c r="G148" s="113"/>
      <c r="H148" s="332"/>
      <c r="I148" s="113"/>
      <c r="J148" s="332"/>
      <c r="K148" s="110"/>
      <c r="L148" s="110"/>
      <c r="M148" s="110"/>
      <c r="N148" s="110"/>
      <c r="O148" s="111"/>
      <c r="P148" s="424" t="str">
        <f>IF(OR(Table13[[#This Row],[Annual Increase Option]]="No increase",Table13[[#This Row],[Annual Increase Option]]=""),"",_xlfn.XLOOKUP(MONTH(Table13[[#This Row],[Commencement Date]]),Lookups!$I$19:$I$30,Lookups!$J$19:$J$30,0))</f>
        <v/>
      </c>
      <c r="Q148" s="340"/>
      <c r="R148" s="340"/>
      <c r="S148" s="360">
        <f>IF(Table13[[#This Row],[Life Cover Amount]]="",0,Table2[[#This Row],[Life Premium]])</f>
        <v>0</v>
      </c>
      <c r="T148" s="360">
        <f>IF(Table13[[#This Row],[Funeral Cover Amount]]=0,0,Table2[[#This Row],[Funeral Premium]])</f>
        <v>0</v>
      </c>
      <c r="U148" s="360">
        <f>IF(AND(Table13[[#This Row],[Life Cover Amount]]="",Table13[[#This Row],[Funeral Cover Amount]]=""),0,onboarding_calcs!AA148)</f>
        <v>0</v>
      </c>
      <c r="V148" s="111"/>
      <c r="W148" s="111"/>
      <c r="X148" s="333"/>
      <c r="Y148" s="110"/>
      <c r="Z148" s="113"/>
      <c r="AA148" s="425"/>
      <c r="AB148" s="425"/>
      <c r="AC148" s="113"/>
      <c r="AD148" s="110"/>
      <c r="AE148" s="110"/>
      <c r="AF148" s="110"/>
      <c r="AG148" s="110"/>
      <c r="AH148" s="110"/>
      <c r="AI148" s="113"/>
      <c r="AJ148" s="110"/>
      <c r="AK148" s="110"/>
      <c r="AL148" s="110"/>
      <c r="AM148" s="110"/>
      <c r="AN148" s="110"/>
      <c r="AO148" s="113"/>
      <c r="AP148" s="113"/>
      <c r="AQ148" s="113"/>
      <c r="AR148" s="110"/>
      <c r="AS148" s="113"/>
      <c r="AT148" s="113"/>
      <c r="AU148" s="112"/>
      <c r="AV148" s="338"/>
      <c r="AW148" s="110"/>
      <c r="AX148" s="110"/>
      <c r="AY148" s="113"/>
      <c r="AZ148" s="113"/>
      <c r="BA148" s="113"/>
      <c r="BB148" s="113"/>
      <c r="BC148" s="113"/>
      <c r="BD148" s="113"/>
      <c r="BF14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49" spans="1:58" x14ac:dyDescent="0.3">
      <c r="A149" s="422"/>
      <c r="B149" s="376"/>
      <c r="C149" s="110"/>
      <c r="D149" s="110"/>
      <c r="E149" s="340"/>
      <c r="F149" s="330"/>
      <c r="G149" s="113"/>
      <c r="H149" s="332"/>
      <c r="I149" s="113"/>
      <c r="J149" s="332"/>
      <c r="K149" s="110"/>
      <c r="L149" s="110"/>
      <c r="M149" s="110"/>
      <c r="N149" s="110"/>
      <c r="O149" s="111"/>
      <c r="P149" s="424" t="str">
        <f>IF(OR(Table13[[#This Row],[Annual Increase Option]]="No increase",Table13[[#This Row],[Annual Increase Option]]=""),"",_xlfn.XLOOKUP(MONTH(Table13[[#This Row],[Commencement Date]]),Lookups!$I$19:$I$30,Lookups!$J$19:$J$30,0))</f>
        <v/>
      </c>
      <c r="Q149" s="340"/>
      <c r="R149" s="340"/>
      <c r="S149" s="360">
        <f>IF(Table13[[#This Row],[Life Cover Amount]]="",0,Table2[[#This Row],[Life Premium]])</f>
        <v>0</v>
      </c>
      <c r="T149" s="360">
        <f>IF(Table13[[#This Row],[Funeral Cover Amount]]=0,0,Table2[[#This Row],[Funeral Premium]])</f>
        <v>0</v>
      </c>
      <c r="U149" s="360">
        <f>IF(AND(Table13[[#This Row],[Life Cover Amount]]="",Table13[[#This Row],[Funeral Cover Amount]]=""),0,onboarding_calcs!AA149)</f>
        <v>0</v>
      </c>
      <c r="V149" s="111"/>
      <c r="W149" s="111"/>
      <c r="X149" s="333"/>
      <c r="Y149" s="110"/>
      <c r="Z149" s="113"/>
      <c r="AA149" s="425"/>
      <c r="AB149" s="425"/>
      <c r="AC149" s="113"/>
      <c r="AD149" s="110"/>
      <c r="AE149" s="110"/>
      <c r="AF149" s="110"/>
      <c r="AG149" s="110"/>
      <c r="AH149" s="110"/>
      <c r="AI149" s="113"/>
      <c r="AJ149" s="110"/>
      <c r="AK149" s="110"/>
      <c r="AL149" s="110"/>
      <c r="AM149" s="110"/>
      <c r="AN149" s="110"/>
      <c r="AO149" s="113"/>
      <c r="AP149" s="113"/>
      <c r="AQ149" s="113"/>
      <c r="AR149" s="110"/>
      <c r="AS149" s="113"/>
      <c r="AT149" s="113"/>
      <c r="AU149" s="112"/>
      <c r="AV149" s="338"/>
      <c r="AW149" s="110"/>
      <c r="AX149" s="110"/>
      <c r="AY149" s="113"/>
      <c r="AZ149" s="113"/>
      <c r="BA149" s="113"/>
      <c r="BB149" s="113"/>
      <c r="BC149" s="113"/>
      <c r="BD149" s="113"/>
      <c r="BF14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50" spans="1:58" x14ac:dyDescent="0.3">
      <c r="A150" s="422"/>
      <c r="B150" s="376"/>
      <c r="C150" s="110"/>
      <c r="D150" s="110"/>
      <c r="E150" s="340"/>
      <c r="F150" s="330"/>
      <c r="G150" s="113"/>
      <c r="H150" s="332"/>
      <c r="I150" s="113"/>
      <c r="J150" s="332"/>
      <c r="K150" s="110"/>
      <c r="L150" s="110"/>
      <c r="M150" s="110"/>
      <c r="N150" s="110"/>
      <c r="O150" s="111"/>
      <c r="P150" s="424" t="str">
        <f>IF(OR(Table13[[#This Row],[Annual Increase Option]]="No increase",Table13[[#This Row],[Annual Increase Option]]=""),"",_xlfn.XLOOKUP(MONTH(Table13[[#This Row],[Commencement Date]]),Lookups!$I$19:$I$30,Lookups!$J$19:$J$30,0))</f>
        <v/>
      </c>
      <c r="Q150" s="340"/>
      <c r="R150" s="340"/>
      <c r="S150" s="360">
        <f>IF(Table13[[#This Row],[Life Cover Amount]]="",0,Table2[[#This Row],[Life Premium]])</f>
        <v>0</v>
      </c>
      <c r="T150" s="360">
        <f>IF(Table13[[#This Row],[Funeral Cover Amount]]=0,0,Table2[[#This Row],[Funeral Premium]])</f>
        <v>0</v>
      </c>
      <c r="U150" s="360">
        <f>IF(AND(Table13[[#This Row],[Life Cover Amount]]="",Table13[[#This Row],[Funeral Cover Amount]]=""),0,onboarding_calcs!AA150)</f>
        <v>0</v>
      </c>
      <c r="V150" s="111"/>
      <c r="W150" s="111"/>
      <c r="X150" s="333"/>
      <c r="Y150" s="110"/>
      <c r="Z150" s="113"/>
      <c r="AA150" s="425"/>
      <c r="AB150" s="425"/>
      <c r="AC150" s="113"/>
      <c r="AD150" s="110"/>
      <c r="AE150" s="110"/>
      <c r="AF150" s="110"/>
      <c r="AG150" s="110"/>
      <c r="AH150" s="110"/>
      <c r="AI150" s="113"/>
      <c r="AJ150" s="110"/>
      <c r="AK150" s="110"/>
      <c r="AL150" s="110"/>
      <c r="AM150" s="110"/>
      <c r="AN150" s="110"/>
      <c r="AO150" s="113"/>
      <c r="AP150" s="113"/>
      <c r="AQ150" s="113"/>
      <c r="AR150" s="110"/>
      <c r="AS150" s="113"/>
      <c r="AT150" s="113"/>
      <c r="AU150" s="112"/>
      <c r="AV150" s="338"/>
      <c r="AW150" s="110"/>
      <c r="AX150" s="110"/>
      <c r="AY150" s="113"/>
      <c r="AZ150" s="113"/>
      <c r="BA150" s="113"/>
      <c r="BB150" s="113"/>
      <c r="BC150" s="113"/>
      <c r="BD150" s="113"/>
      <c r="BF15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51" spans="1:58" x14ac:dyDescent="0.3">
      <c r="A151" s="422"/>
      <c r="B151" s="376"/>
      <c r="C151" s="110"/>
      <c r="D151" s="110"/>
      <c r="E151" s="340"/>
      <c r="F151" s="330"/>
      <c r="G151" s="113"/>
      <c r="H151" s="332"/>
      <c r="I151" s="113"/>
      <c r="J151" s="332"/>
      <c r="K151" s="110"/>
      <c r="L151" s="110"/>
      <c r="M151" s="110"/>
      <c r="N151" s="110"/>
      <c r="O151" s="111"/>
      <c r="P151" s="424" t="str">
        <f>IF(OR(Table13[[#This Row],[Annual Increase Option]]="No increase",Table13[[#This Row],[Annual Increase Option]]=""),"",_xlfn.XLOOKUP(MONTH(Table13[[#This Row],[Commencement Date]]),Lookups!$I$19:$I$30,Lookups!$J$19:$J$30,0))</f>
        <v/>
      </c>
      <c r="Q151" s="340"/>
      <c r="R151" s="340"/>
      <c r="S151" s="360">
        <f>IF(Table13[[#This Row],[Life Cover Amount]]="",0,Table2[[#This Row],[Life Premium]])</f>
        <v>0</v>
      </c>
      <c r="T151" s="360">
        <f>IF(Table13[[#This Row],[Funeral Cover Amount]]=0,0,Table2[[#This Row],[Funeral Premium]])</f>
        <v>0</v>
      </c>
      <c r="U151" s="360">
        <f>IF(AND(Table13[[#This Row],[Life Cover Amount]]="",Table13[[#This Row],[Funeral Cover Amount]]=""),0,onboarding_calcs!AA151)</f>
        <v>0</v>
      </c>
      <c r="V151" s="111"/>
      <c r="W151" s="111"/>
      <c r="X151" s="333"/>
      <c r="Y151" s="110"/>
      <c r="Z151" s="113"/>
      <c r="AA151" s="425"/>
      <c r="AB151" s="425"/>
      <c r="AC151" s="113"/>
      <c r="AD151" s="110"/>
      <c r="AE151" s="110"/>
      <c r="AF151" s="110"/>
      <c r="AG151" s="110"/>
      <c r="AH151" s="110"/>
      <c r="AI151" s="113"/>
      <c r="AJ151" s="110"/>
      <c r="AK151" s="110"/>
      <c r="AL151" s="110"/>
      <c r="AM151" s="110"/>
      <c r="AN151" s="110"/>
      <c r="AO151" s="113"/>
      <c r="AP151" s="113"/>
      <c r="AQ151" s="113"/>
      <c r="AR151" s="110"/>
      <c r="AS151" s="113"/>
      <c r="AT151" s="113"/>
      <c r="AU151" s="112"/>
      <c r="AV151" s="338"/>
      <c r="AW151" s="110"/>
      <c r="AX151" s="110"/>
      <c r="AY151" s="113"/>
      <c r="AZ151" s="113"/>
      <c r="BA151" s="113"/>
      <c r="BB151" s="113"/>
      <c r="BC151" s="113"/>
      <c r="BD151" s="113"/>
      <c r="BF15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52" spans="1:58" x14ac:dyDescent="0.3">
      <c r="A152" s="422"/>
      <c r="B152" s="376"/>
      <c r="C152" s="110"/>
      <c r="D152" s="110"/>
      <c r="E152" s="340"/>
      <c r="F152" s="330"/>
      <c r="G152" s="113"/>
      <c r="H152" s="332"/>
      <c r="I152" s="113"/>
      <c r="J152" s="332"/>
      <c r="K152" s="110"/>
      <c r="L152" s="110"/>
      <c r="M152" s="110"/>
      <c r="N152" s="110"/>
      <c r="O152" s="111"/>
      <c r="P152" s="424" t="str">
        <f>IF(OR(Table13[[#This Row],[Annual Increase Option]]="No increase",Table13[[#This Row],[Annual Increase Option]]=""),"",_xlfn.XLOOKUP(MONTH(Table13[[#This Row],[Commencement Date]]),Lookups!$I$19:$I$30,Lookups!$J$19:$J$30,0))</f>
        <v/>
      </c>
      <c r="Q152" s="340"/>
      <c r="R152" s="340"/>
      <c r="S152" s="360">
        <f>IF(Table13[[#This Row],[Life Cover Amount]]="",0,Table2[[#This Row],[Life Premium]])</f>
        <v>0</v>
      </c>
      <c r="T152" s="360">
        <f>IF(Table13[[#This Row],[Funeral Cover Amount]]=0,0,Table2[[#This Row],[Funeral Premium]])</f>
        <v>0</v>
      </c>
      <c r="U152" s="360">
        <f>IF(AND(Table13[[#This Row],[Life Cover Amount]]="",Table13[[#This Row],[Funeral Cover Amount]]=""),0,onboarding_calcs!AA152)</f>
        <v>0</v>
      </c>
      <c r="V152" s="111"/>
      <c r="W152" s="111"/>
      <c r="X152" s="333"/>
      <c r="Y152" s="110"/>
      <c r="Z152" s="113"/>
      <c r="AA152" s="425"/>
      <c r="AB152" s="425"/>
      <c r="AC152" s="113"/>
      <c r="AD152" s="110"/>
      <c r="AE152" s="110"/>
      <c r="AF152" s="110"/>
      <c r="AG152" s="110"/>
      <c r="AH152" s="110"/>
      <c r="AI152" s="113"/>
      <c r="AJ152" s="110"/>
      <c r="AK152" s="110"/>
      <c r="AL152" s="110"/>
      <c r="AM152" s="110"/>
      <c r="AN152" s="110"/>
      <c r="AO152" s="113"/>
      <c r="AP152" s="113"/>
      <c r="AQ152" s="113"/>
      <c r="AR152" s="110"/>
      <c r="AS152" s="113"/>
      <c r="AT152" s="113"/>
      <c r="AU152" s="112"/>
      <c r="AV152" s="338"/>
      <c r="AW152" s="110"/>
      <c r="AX152" s="110"/>
      <c r="AY152" s="113"/>
      <c r="AZ152" s="113"/>
      <c r="BA152" s="113"/>
      <c r="BB152" s="113"/>
      <c r="BC152" s="113"/>
      <c r="BD152" s="113"/>
      <c r="BF15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53" spans="1:58" x14ac:dyDescent="0.3">
      <c r="A153" s="422"/>
      <c r="B153" s="376"/>
      <c r="C153" s="110"/>
      <c r="D153" s="110"/>
      <c r="E153" s="340"/>
      <c r="F153" s="330"/>
      <c r="G153" s="113"/>
      <c r="H153" s="332"/>
      <c r="I153" s="113"/>
      <c r="J153" s="332"/>
      <c r="K153" s="110"/>
      <c r="L153" s="110"/>
      <c r="M153" s="110"/>
      <c r="N153" s="110"/>
      <c r="O153" s="111"/>
      <c r="P153" s="424" t="str">
        <f>IF(OR(Table13[[#This Row],[Annual Increase Option]]="No increase",Table13[[#This Row],[Annual Increase Option]]=""),"",_xlfn.XLOOKUP(MONTH(Table13[[#This Row],[Commencement Date]]),Lookups!$I$19:$I$30,Lookups!$J$19:$J$30,0))</f>
        <v/>
      </c>
      <c r="Q153" s="340"/>
      <c r="R153" s="340"/>
      <c r="S153" s="360">
        <f>IF(Table13[[#This Row],[Life Cover Amount]]="",0,Table2[[#This Row],[Life Premium]])</f>
        <v>0</v>
      </c>
      <c r="T153" s="360">
        <f>IF(Table13[[#This Row],[Funeral Cover Amount]]=0,0,Table2[[#This Row],[Funeral Premium]])</f>
        <v>0</v>
      </c>
      <c r="U153" s="360">
        <f>IF(AND(Table13[[#This Row],[Life Cover Amount]]="",Table13[[#This Row],[Funeral Cover Amount]]=""),0,onboarding_calcs!AA153)</f>
        <v>0</v>
      </c>
      <c r="V153" s="111"/>
      <c r="W153" s="111"/>
      <c r="X153" s="333"/>
      <c r="Y153" s="110"/>
      <c r="Z153" s="113"/>
      <c r="AA153" s="425"/>
      <c r="AB153" s="425"/>
      <c r="AC153" s="113"/>
      <c r="AD153" s="110"/>
      <c r="AE153" s="110"/>
      <c r="AF153" s="110"/>
      <c r="AG153" s="110"/>
      <c r="AH153" s="110"/>
      <c r="AI153" s="113"/>
      <c r="AJ153" s="110"/>
      <c r="AK153" s="110"/>
      <c r="AL153" s="110"/>
      <c r="AM153" s="110"/>
      <c r="AN153" s="110"/>
      <c r="AO153" s="113"/>
      <c r="AP153" s="113"/>
      <c r="AQ153" s="113"/>
      <c r="AR153" s="110"/>
      <c r="AS153" s="113"/>
      <c r="AT153" s="113"/>
      <c r="AU153" s="112"/>
      <c r="AV153" s="338"/>
      <c r="AW153" s="110"/>
      <c r="AX153" s="110"/>
      <c r="AY153" s="113"/>
      <c r="AZ153" s="113"/>
      <c r="BA153" s="113"/>
      <c r="BB153" s="113"/>
      <c r="BC153" s="113"/>
      <c r="BD153" s="113"/>
      <c r="BF15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54" spans="1:58" x14ac:dyDescent="0.3">
      <c r="A154" s="422"/>
      <c r="B154" s="376"/>
      <c r="C154" s="110"/>
      <c r="D154" s="110"/>
      <c r="E154" s="340"/>
      <c r="F154" s="330"/>
      <c r="G154" s="113"/>
      <c r="H154" s="332"/>
      <c r="I154" s="113"/>
      <c r="J154" s="332"/>
      <c r="K154" s="110"/>
      <c r="L154" s="110"/>
      <c r="M154" s="110"/>
      <c r="N154" s="110"/>
      <c r="O154" s="111"/>
      <c r="P154" s="424" t="str">
        <f>IF(OR(Table13[[#This Row],[Annual Increase Option]]="No increase",Table13[[#This Row],[Annual Increase Option]]=""),"",_xlfn.XLOOKUP(MONTH(Table13[[#This Row],[Commencement Date]]),Lookups!$I$19:$I$30,Lookups!$J$19:$J$30,0))</f>
        <v/>
      </c>
      <c r="Q154" s="340"/>
      <c r="R154" s="340"/>
      <c r="S154" s="360">
        <f>IF(Table13[[#This Row],[Life Cover Amount]]="",0,Table2[[#This Row],[Life Premium]])</f>
        <v>0</v>
      </c>
      <c r="T154" s="360">
        <f>IF(Table13[[#This Row],[Funeral Cover Amount]]=0,0,Table2[[#This Row],[Funeral Premium]])</f>
        <v>0</v>
      </c>
      <c r="U154" s="360">
        <f>IF(AND(Table13[[#This Row],[Life Cover Amount]]="",Table13[[#This Row],[Funeral Cover Amount]]=""),0,onboarding_calcs!AA154)</f>
        <v>0</v>
      </c>
      <c r="V154" s="111"/>
      <c r="W154" s="111"/>
      <c r="X154" s="333"/>
      <c r="Y154" s="110"/>
      <c r="Z154" s="113"/>
      <c r="AA154" s="425"/>
      <c r="AB154" s="425"/>
      <c r="AC154" s="113"/>
      <c r="AD154" s="110"/>
      <c r="AE154" s="110"/>
      <c r="AF154" s="110"/>
      <c r="AG154" s="110"/>
      <c r="AH154" s="110"/>
      <c r="AI154" s="113"/>
      <c r="AJ154" s="110"/>
      <c r="AK154" s="110"/>
      <c r="AL154" s="110"/>
      <c r="AM154" s="110"/>
      <c r="AN154" s="110"/>
      <c r="AO154" s="113"/>
      <c r="AP154" s="113"/>
      <c r="AQ154" s="113"/>
      <c r="AR154" s="110"/>
      <c r="AS154" s="113"/>
      <c r="AT154" s="113"/>
      <c r="AU154" s="112"/>
      <c r="AV154" s="338"/>
      <c r="AW154" s="110"/>
      <c r="AX154" s="110"/>
      <c r="AY154" s="113"/>
      <c r="AZ154" s="113"/>
      <c r="BA154" s="113"/>
      <c r="BB154" s="113"/>
      <c r="BC154" s="113"/>
      <c r="BD154" s="113"/>
      <c r="BF15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55" spans="1:58" x14ac:dyDescent="0.3">
      <c r="A155" s="422"/>
      <c r="B155" s="376"/>
      <c r="C155" s="110"/>
      <c r="D155" s="110"/>
      <c r="E155" s="340"/>
      <c r="F155" s="330"/>
      <c r="G155" s="113"/>
      <c r="H155" s="332"/>
      <c r="I155" s="113"/>
      <c r="J155" s="332"/>
      <c r="K155" s="110"/>
      <c r="L155" s="110"/>
      <c r="M155" s="110"/>
      <c r="N155" s="110"/>
      <c r="O155" s="111"/>
      <c r="P155" s="424" t="str">
        <f>IF(OR(Table13[[#This Row],[Annual Increase Option]]="No increase",Table13[[#This Row],[Annual Increase Option]]=""),"",_xlfn.XLOOKUP(MONTH(Table13[[#This Row],[Commencement Date]]),Lookups!$I$19:$I$30,Lookups!$J$19:$J$30,0))</f>
        <v/>
      </c>
      <c r="Q155" s="340"/>
      <c r="R155" s="340"/>
      <c r="S155" s="360">
        <f>IF(Table13[[#This Row],[Life Cover Amount]]="",0,Table2[[#This Row],[Life Premium]])</f>
        <v>0</v>
      </c>
      <c r="T155" s="360">
        <f>IF(Table13[[#This Row],[Funeral Cover Amount]]=0,0,Table2[[#This Row],[Funeral Premium]])</f>
        <v>0</v>
      </c>
      <c r="U155" s="360">
        <f>IF(AND(Table13[[#This Row],[Life Cover Amount]]="",Table13[[#This Row],[Funeral Cover Amount]]=""),0,onboarding_calcs!AA155)</f>
        <v>0</v>
      </c>
      <c r="V155" s="111"/>
      <c r="W155" s="111"/>
      <c r="X155" s="333"/>
      <c r="Y155" s="110"/>
      <c r="Z155" s="113"/>
      <c r="AA155" s="425"/>
      <c r="AB155" s="425"/>
      <c r="AC155" s="113"/>
      <c r="AD155" s="110"/>
      <c r="AE155" s="110"/>
      <c r="AF155" s="110"/>
      <c r="AG155" s="110"/>
      <c r="AH155" s="110"/>
      <c r="AI155" s="113"/>
      <c r="AJ155" s="110"/>
      <c r="AK155" s="110"/>
      <c r="AL155" s="110"/>
      <c r="AM155" s="110"/>
      <c r="AN155" s="110"/>
      <c r="AO155" s="113"/>
      <c r="AP155" s="113"/>
      <c r="AQ155" s="113"/>
      <c r="AR155" s="110"/>
      <c r="AS155" s="113"/>
      <c r="AT155" s="113"/>
      <c r="AU155" s="112"/>
      <c r="AV155" s="338"/>
      <c r="AW155" s="110"/>
      <c r="AX155" s="110"/>
      <c r="AY155" s="113"/>
      <c r="AZ155" s="113"/>
      <c r="BA155" s="113"/>
      <c r="BB155" s="113"/>
      <c r="BC155" s="113"/>
      <c r="BD155" s="113"/>
      <c r="BF15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56" spans="1:58" x14ac:dyDescent="0.3">
      <c r="A156" s="422"/>
      <c r="B156" s="376"/>
      <c r="C156" s="110"/>
      <c r="D156" s="110"/>
      <c r="E156" s="340"/>
      <c r="F156" s="330"/>
      <c r="G156" s="113"/>
      <c r="H156" s="332"/>
      <c r="I156" s="113"/>
      <c r="J156" s="332"/>
      <c r="K156" s="110"/>
      <c r="L156" s="110"/>
      <c r="M156" s="110"/>
      <c r="N156" s="110"/>
      <c r="O156" s="111"/>
      <c r="P156" s="424" t="str">
        <f>IF(OR(Table13[[#This Row],[Annual Increase Option]]="No increase",Table13[[#This Row],[Annual Increase Option]]=""),"",_xlfn.XLOOKUP(MONTH(Table13[[#This Row],[Commencement Date]]),Lookups!$I$19:$I$30,Lookups!$J$19:$J$30,0))</f>
        <v/>
      </c>
      <c r="Q156" s="340"/>
      <c r="R156" s="340"/>
      <c r="S156" s="360">
        <f>IF(Table13[[#This Row],[Life Cover Amount]]="",0,Table2[[#This Row],[Life Premium]])</f>
        <v>0</v>
      </c>
      <c r="T156" s="360">
        <f>IF(Table13[[#This Row],[Funeral Cover Amount]]=0,0,Table2[[#This Row],[Funeral Premium]])</f>
        <v>0</v>
      </c>
      <c r="U156" s="360">
        <f>IF(AND(Table13[[#This Row],[Life Cover Amount]]="",Table13[[#This Row],[Funeral Cover Amount]]=""),0,onboarding_calcs!AA156)</f>
        <v>0</v>
      </c>
      <c r="V156" s="111"/>
      <c r="W156" s="111"/>
      <c r="X156" s="333"/>
      <c r="Y156" s="110"/>
      <c r="Z156" s="113"/>
      <c r="AA156" s="425"/>
      <c r="AB156" s="425"/>
      <c r="AC156" s="113"/>
      <c r="AD156" s="110"/>
      <c r="AE156" s="110"/>
      <c r="AF156" s="110"/>
      <c r="AG156" s="110"/>
      <c r="AH156" s="110"/>
      <c r="AI156" s="113"/>
      <c r="AJ156" s="110"/>
      <c r="AK156" s="110"/>
      <c r="AL156" s="110"/>
      <c r="AM156" s="110"/>
      <c r="AN156" s="110"/>
      <c r="AO156" s="113"/>
      <c r="AP156" s="113"/>
      <c r="AQ156" s="113"/>
      <c r="AR156" s="110"/>
      <c r="AS156" s="113"/>
      <c r="AT156" s="113"/>
      <c r="AU156" s="112"/>
      <c r="AV156" s="338"/>
      <c r="AW156" s="110"/>
      <c r="AX156" s="110"/>
      <c r="AY156" s="113"/>
      <c r="AZ156" s="113"/>
      <c r="BA156" s="113"/>
      <c r="BB156" s="113"/>
      <c r="BC156" s="113"/>
      <c r="BD156" s="113"/>
      <c r="BF15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57" spans="1:58" x14ac:dyDescent="0.3">
      <c r="A157" s="422"/>
      <c r="B157" s="376"/>
      <c r="C157" s="110"/>
      <c r="D157" s="110"/>
      <c r="E157" s="340"/>
      <c r="F157" s="330"/>
      <c r="G157" s="113"/>
      <c r="H157" s="332"/>
      <c r="I157" s="113"/>
      <c r="J157" s="332"/>
      <c r="K157" s="110"/>
      <c r="L157" s="110"/>
      <c r="M157" s="110"/>
      <c r="N157" s="110"/>
      <c r="O157" s="111"/>
      <c r="P157" s="424" t="str">
        <f>IF(OR(Table13[[#This Row],[Annual Increase Option]]="No increase",Table13[[#This Row],[Annual Increase Option]]=""),"",_xlfn.XLOOKUP(MONTH(Table13[[#This Row],[Commencement Date]]),Lookups!$I$19:$I$30,Lookups!$J$19:$J$30,0))</f>
        <v/>
      </c>
      <c r="Q157" s="340"/>
      <c r="R157" s="340"/>
      <c r="S157" s="360">
        <f>IF(Table13[[#This Row],[Life Cover Amount]]="",0,Table2[[#This Row],[Life Premium]])</f>
        <v>0</v>
      </c>
      <c r="T157" s="360">
        <f>IF(Table13[[#This Row],[Funeral Cover Amount]]=0,0,Table2[[#This Row],[Funeral Premium]])</f>
        <v>0</v>
      </c>
      <c r="U157" s="360">
        <f>IF(AND(Table13[[#This Row],[Life Cover Amount]]="",Table13[[#This Row],[Funeral Cover Amount]]=""),0,onboarding_calcs!AA157)</f>
        <v>0</v>
      </c>
      <c r="V157" s="111"/>
      <c r="W157" s="111"/>
      <c r="X157" s="333"/>
      <c r="Y157" s="110"/>
      <c r="Z157" s="113"/>
      <c r="AA157" s="425"/>
      <c r="AB157" s="425"/>
      <c r="AC157" s="113"/>
      <c r="AD157" s="110"/>
      <c r="AE157" s="110"/>
      <c r="AF157" s="110"/>
      <c r="AG157" s="110"/>
      <c r="AH157" s="110"/>
      <c r="AI157" s="113"/>
      <c r="AJ157" s="110"/>
      <c r="AK157" s="110"/>
      <c r="AL157" s="110"/>
      <c r="AM157" s="110"/>
      <c r="AN157" s="110"/>
      <c r="AO157" s="113"/>
      <c r="AP157" s="113"/>
      <c r="AQ157" s="113"/>
      <c r="AR157" s="110"/>
      <c r="AS157" s="113"/>
      <c r="AT157" s="113"/>
      <c r="AU157" s="112"/>
      <c r="AV157" s="338"/>
      <c r="AW157" s="110"/>
      <c r="AX157" s="110"/>
      <c r="AY157" s="113"/>
      <c r="AZ157" s="113"/>
      <c r="BA157" s="113"/>
      <c r="BB157" s="113"/>
      <c r="BC157" s="113"/>
      <c r="BD157" s="113"/>
      <c r="BF15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58" spans="1:58" x14ac:dyDescent="0.3">
      <c r="A158" s="422"/>
      <c r="B158" s="376"/>
      <c r="C158" s="110"/>
      <c r="D158" s="110"/>
      <c r="E158" s="340"/>
      <c r="F158" s="330"/>
      <c r="G158" s="113"/>
      <c r="H158" s="332"/>
      <c r="I158" s="113"/>
      <c r="J158" s="332"/>
      <c r="K158" s="110"/>
      <c r="L158" s="110"/>
      <c r="M158" s="110"/>
      <c r="N158" s="110"/>
      <c r="O158" s="111"/>
      <c r="P158" s="424" t="str">
        <f>IF(OR(Table13[[#This Row],[Annual Increase Option]]="No increase",Table13[[#This Row],[Annual Increase Option]]=""),"",_xlfn.XLOOKUP(MONTH(Table13[[#This Row],[Commencement Date]]),Lookups!$I$19:$I$30,Lookups!$J$19:$J$30,0))</f>
        <v/>
      </c>
      <c r="Q158" s="340"/>
      <c r="R158" s="340"/>
      <c r="S158" s="360">
        <f>IF(Table13[[#This Row],[Life Cover Amount]]="",0,Table2[[#This Row],[Life Premium]])</f>
        <v>0</v>
      </c>
      <c r="T158" s="360">
        <f>IF(Table13[[#This Row],[Funeral Cover Amount]]=0,0,Table2[[#This Row],[Funeral Premium]])</f>
        <v>0</v>
      </c>
      <c r="U158" s="360">
        <f>IF(AND(Table13[[#This Row],[Life Cover Amount]]="",Table13[[#This Row],[Funeral Cover Amount]]=""),0,onboarding_calcs!AA158)</f>
        <v>0</v>
      </c>
      <c r="V158" s="111"/>
      <c r="W158" s="111"/>
      <c r="X158" s="333"/>
      <c r="Y158" s="110"/>
      <c r="Z158" s="113"/>
      <c r="AA158" s="425"/>
      <c r="AB158" s="425"/>
      <c r="AC158" s="113"/>
      <c r="AD158" s="110"/>
      <c r="AE158" s="110"/>
      <c r="AF158" s="110"/>
      <c r="AG158" s="110"/>
      <c r="AH158" s="110"/>
      <c r="AI158" s="113"/>
      <c r="AJ158" s="110"/>
      <c r="AK158" s="110"/>
      <c r="AL158" s="110"/>
      <c r="AM158" s="110"/>
      <c r="AN158" s="110"/>
      <c r="AO158" s="113"/>
      <c r="AP158" s="113"/>
      <c r="AQ158" s="113"/>
      <c r="AR158" s="110"/>
      <c r="AS158" s="113"/>
      <c r="AT158" s="113"/>
      <c r="AU158" s="112"/>
      <c r="AV158" s="338"/>
      <c r="AW158" s="110"/>
      <c r="AX158" s="110"/>
      <c r="AY158" s="113"/>
      <c r="AZ158" s="113"/>
      <c r="BA158" s="113"/>
      <c r="BB158" s="113"/>
      <c r="BC158" s="113"/>
      <c r="BD158" s="113"/>
      <c r="BF15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59" spans="1:58" x14ac:dyDescent="0.3">
      <c r="A159" s="422"/>
      <c r="B159" s="376"/>
      <c r="C159" s="110"/>
      <c r="D159" s="110"/>
      <c r="E159" s="340"/>
      <c r="F159" s="330"/>
      <c r="G159" s="113"/>
      <c r="H159" s="332"/>
      <c r="I159" s="113"/>
      <c r="J159" s="332"/>
      <c r="K159" s="110"/>
      <c r="L159" s="110"/>
      <c r="M159" s="110"/>
      <c r="N159" s="110"/>
      <c r="O159" s="111"/>
      <c r="P159" s="424" t="str">
        <f>IF(OR(Table13[[#This Row],[Annual Increase Option]]="No increase",Table13[[#This Row],[Annual Increase Option]]=""),"",_xlfn.XLOOKUP(MONTH(Table13[[#This Row],[Commencement Date]]),Lookups!$I$19:$I$30,Lookups!$J$19:$J$30,0))</f>
        <v/>
      </c>
      <c r="Q159" s="340"/>
      <c r="R159" s="340"/>
      <c r="S159" s="360">
        <f>IF(Table13[[#This Row],[Life Cover Amount]]="",0,Table2[[#This Row],[Life Premium]])</f>
        <v>0</v>
      </c>
      <c r="T159" s="360">
        <f>IF(Table13[[#This Row],[Funeral Cover Amount]]=0,0,Table2[[#This Row],[Funeral Premium]])</f>
        <v>0</v>
      </c>
      <c r="U159" s="360">
        <f>IF(AND(Table13[[#This Row],[Life Cover Amount]]="",Table13[[#This Row],[Funeral Cover Amount]]=""),0,onboarding_calcs!AA159)</f>
        <v>0</v>
      </c>
      <c r="V159" s="111"/>
      <c r="W159" s="111"/>
      <c r="X159" s="333"/>
      <c r="Y159" s="110"/>
      <c r="Z159" s="113"/>
      <c r="AA159" s="425"/>
      <c r="AB159" s="425"/>
      <c r="AC159" s="113"/>
      <c r="AD159" s="110"/>
      <c r="AE159" s="110"/>
      <c r="AF159" s="110"/>
      <c r="AG159" s="110"/>
      <c r="AH159" s="110"/>
      <c r="AI159" s="113"/>
      <c r="AJ159" s="110"/>
      <c r="AK159" s="110"/>
      <c r="AL159" s="110"/>
      <c r="AM159" s="110"/>
      <c r="AN159" s="110"/>
      <c r="AO159" s="113"/>
      <c r="AP159" s="113"/>
      <c r="AQ159" s="113"/>
      <c r="AR159" s="110"/>
      <c r="AS159" s="113"/>
      <c r="AT159" s="113"/>
      <c r="AU159" s="112"/>
      <c r="AV159" s="338"/>
      <c r="AW159" s="110"/>
      <c r="AX159" s="110"/>
      <c r="AY159" s="113"/>
      <c r="AZ159" s="113"/>
      <c r="BA159" s="113"/>
      <c r="BB159" s="113"/>
      <c r="BC159" s="113"/>
      <c r="BD159" s="113"/>
      <c r="BF15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60" spans="1:58" x14ac:dyDescent="0.3">
      <c r="A160" s="422"/>
      <c r="B160" s="376"/>
      <c r="C160" s="110"/>
      <c r="D160" s="110"/>
      <c r="E160" s="340"/>
      <c r="F160" s="330"/>
      <c r="G160" s="113"/>
      <c r="H160" s="332"/>
      <c r="I160" s="113"/>
      <c r="J160" s="332"/>
      <c r="K160" s="110"/>
      <c r="L160" s="110"/>
      <c r="M160" s="110"/>
      <c r="N160" s="110"/>
      <c r="O160" s="111"/>
      <c r="P160" s="424" t="str">
        <f>IF(OR(Table13[[#This Row],[Annual Increase Option]]="No increase",Table13[[#This Row],[Annual Increase Option]]=""),"",_xlfn.XLOOKUP(MONTH(Table13[[#This Row],[Commencement Date]]),Lookups!$I$19:$I$30,Lookups!$J$19:$J$30,0))</f>
        <v/>
      </c>
      <c r="Q160" s="340"/>
      <c r="R160" s="340"/>
      <c r="S160" s="360">
        <f>IF(Table13[[#This Row],[Life Cover Amount]]="",0,Table2[[#This Row],[Life Premium]])</f>
        <v>0</v>
      </c>
      <c r="T160" s="360">
        <f>IF(Table13[[#This Row],[Funeral Cover Amount]]=0,0,Table2[[#This Row],[Funeral Premium]])</f>
        <v>0</v>
      </c>
      <c r="U160" s="360">
        <f>IF(AND(Table13[[#This Row],[Life Cover Amount]]="",Table13[[#This Row],[Funeral Cover Amount]]=""),0,onboarding_calcs!AA160)</f>
        <v>0</v>
      </c>
      <c r="V160" s="111"/>
      <c r="W160" s="111"/>
      <c r="X160" s="333"/>
      <c r="Y160" s="110"/>
      <c r="Z160" s="113"/>
      <c r="AA160" s="425"/>
      <c r="AB160" s="425"/>
      <c r="AC160" s="113"/>
      <c r="AD160" s="110"/>
      <c r="AE160" s="110"/>
      <c r="AF160" s="110"/>
      <c r="AG160" s="110"/>
      <c r="AH160" s="110"/>
      <c r="AI160" s="113"/>
      <c r="AJ160" s="110"/>
      <c r="AK160" s="110"/>
      <c r="AL160" s="110"/>
      <c r="AM160" s="110"/>
      <c r="AN160" s="110"/>
      <c r="AO160" s="113"/>
      <c r="AP160" s="113"/>
      <c r="AQ160" s="113"/>
      <c r="AR160" s="110"/>
      <c r="AS160" s="113"/>
      <c r="AT160" s="113"/>
      <c r="AU160" s="112"/>
      <c r="AV160" s="338"/>
      <c r="AW160" s="110"/>
      <c r="AX160" s="110"/>
      <c r="AY160" s="113"/>
      <c r="AZ160" s="113"/>
      <c r="BA160" s="113"/>
      <c r="BB160" s="113"/>
      <c r="BC160" s="113"/>
      <c r="BD160" s="113"/>
      <c r="BF16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61" spans="1:58" x14ac:dyDescent="0.3">
      <c r="A161" s="422"/>
      <c r="B161" s="376"/>
      <c r="C161" s="110"/>
      <c r="D161" s="110"/>
      <c r="E161" s="340"/>
      <c r="F161" s="330"/>
      <c r="G161" s="113"/>
      <c r="H161" s="332"/>
      <c r="I161" s="113"/>
      <c r="J161" s="332"/>
      <c r="K161" s="110"/>
      <c r="L161" s="110"/>
      <c r="M161" s="110"/>
      <c r="N161" s="110"/>
      <c r="O161" s="111"/>
      <c r="P161" s="424" t="str">
        <f>IF(OR(Table13[[#This Row],[Annual Increase Option]]="No increase",Table13[[#This Row],[Annual Increase Option]]=""),"",_xlfn.XLOOKUP(MONTH(Table13[[#This Row],[Commencement Date]]),Lookups!$I$19:$I$30,Lookups!$J$19:$J$30,0))</f>
        <v/>
      </c>
      <c r="Q161" s="340"/>
      <c r="R161" s="340"/>
      <c r="S161" s="360">
        <f>IF(Table13[[#This Row],[Life Cover Amount]]="",0,Table2[[#This Row],[Life Premium]])</f>
        <v>0</v>
      </c>
      <c r="T161" s="360">
        <f>IF(Table13[[#This Row],[Funeral Cover Amount]]=0,0,Table2[[#This Row],[Funeral Premium]])</f>
        <v>0</v>
      </c>
      <c r="U161" s="360">
        <f>IF(AND(Table13[[#This Row],[Life Cover Amount]]="",Table13[[#This Row],[Funeral Cover Amount]]=""),0,onboarding_calcs!AA161)</f>
        <v>0</v>
      </c>
      <c r="V161" s="111"/>
      <c r="W161" s="111"/>
      <c r="X161" s="333"/>
      <c r="Y161" s="110"/>
      <c r="Z161" s="113"/>
      <c r="AA161" s="425"/>
      <c r="AB161" s="425"/>
      <c r="AC161" s="113"/>
      <c r="AD161" s="110"/>
      <c r="AE161" s="110"/>
      <c r="AF161" s="110"/>
      <c r="AG161" s="110"/>
      <c r="AH161" s="110"/>
      <c r="AI161" s="113"/>
      <c r="AJ161" s="110"/>
      <c r="AK161" s="110"/>
      <c r="AL161" s="110"/>
      <c r="AM161" s="110"/>
      <c r="AN161" s="110"/>
      <c r="AO161" s="113"/>
      <c r="AP161" s="113"/>
      <c r="AQ161" s="113"/>
      <c r="AR161" s="110"/>
      <c r="AS161" s="113"/>
      <c r="AT161" s="113"/>
      <c r="AU161" s="112"/>
      <c r="AV161" s="338"/>
      <c r="AW161" s="110"/>
      <c r="AX161" s="110"/>
      <c r="AY161" s="113"/>
      <c r="AZ161" s="113"/>
      <c r="BA161" s="113"/>
      <c r="BB161" s="113"/>
      <c r="BC161" s="113"/>
      <c r="BD161" s="113"/>
      <c r="BF16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62" spans="1:58" x14ac:dyDescent="0.3">
      <c r="A162" s="422"/>
      <c r="B162" s="376"/>
      <c r="C162" s="110"/>
      <c r="D162" s="110"/>
      <c r="E162" s="340"/>
      <c r="F162" s="330"/>
      <c r="G162" s="113"/>
      <c r="H162" s="332"/>
      <c r="I162" s="113"/>
      <c r="J162" s="332"/>
      <c r="K162" s="110"/>
      <c r="L162" s="110"/>
      <c r="M162" s="110"/>
      <c r="N162" s="110"/>
      <c r="O162" s="111"/>
      <c r="P162" s="424" t="str">
        <f>IF(OR(Table13[[#This Row],[Annual Increase Option]]="No increase",Table13[[#This Row],[Annual Increase Option]]=""),"",_xlfn.XLOOKUP(MONTH(Table13[[#This Row],[Commencement Date]]),Lookups!$I$19:$I$30,Lookups!$J$19:$J$30,0))</f>
        <v/>
      </c>
      <c r="Q162" s="340"/>
      <c r="R162" s="340"/>
      <c r="S162" s="360">
        <f>IF(Table13[[#This Row],[Life Cover Amount]]="",0,Table2[[#This Row],[Life Premium]])</f>
        <v>0</v>
      </c>
      <c r="T162" s="360">
        <f>IF(Table13[[#This Row],[Funeral Cover Amount]]=0,0,Table2[[#This Row],[Funeral Premium]])</f>
        <v>0</v>
      </c>
      <c r="U162" s="360">
        <f>IF(AND(Table13[[#This Row],[Life Cover Amount]]="",Table13[[#This Row],[Funeral Cover Amount]]=""),0,onboarding_calcs!AA162)</f>
        <v>0</v>
      </c>
      <c r="V162" s="111"/>
      <c r="W162" s="111"/>
      <c r="X162" s="333"/>
      <c r="Y162" s="110"/>
      <c r="Z162" s="113"/>
      <c r="AA162" s="425"/>
      <c r="AB162" s="425"/>
      <c r="AC162" s="113"/>
      <c r="AD162" s="110"/>
      <c r="AE162" s="110"/>
      <c r="AF162" s="110"/>
      <c r="AG162" s="110"/>
      <c r="AH162" s="110"/>
      <c r="AI162" s="113"/>
      <c r="AJ162" s="110"/>
      <c r="AK162" s="110"/>
      <c r="AL162" s="110"/>
      <c r="AM162" s="110"/>
      <c r="AN162" s="110"/>
      <c r="AO162" s="113"/>
      <c r="AP162" s="113"/>
      <c r="AQ162" s="113"/>
      <c r="AR162" s="110"/>
      <c r="AS162" s="113"/>
      <c r="AT162" s="113"/>
      <c r="AU162" s="112"/>
      <c r="AV162" s="338"/>
      <c r="AW162" s="110"/>
      <c r="AX162" s="110"/>
      <c r="AY162" s="113"/>
      <c r="AZ162" s="113"/>
      <c r="BA162" s="113"/>
      <c r="BB162" s="113"/>
      <c r="BC162" s="113"/>
      <c r="BD162" s="113"/>
      <c r="BF16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63" spans="1:58" x14ac:dyDescent="0.3">
      <c r="A163" s="422"/>
      <c r="B163" s="376"/>
      <c r="C163" s="110"/>
      <c r="D163" s="110"/>
      <c r="E163" s="340"/>
      <c r="F163" s="330"/>
      <c r="G163" s="113"/>
      <c r="H163" s="332"/>
      <c r="I163" s="113"/>
      <c r="J163" s="332"/>
      <c r="K163" s="110"/>
      <c r="L163" s="110"/>
      <c r="M163" s="110"/>
      <c r="N163" s="110"/>
      <c r="O163" s="111"/>
      <c r="P163" s="424" t="str">
        <f>IF(OR(Table13[[#This Row],[Annual Increase Option]]="No increase",Table13[[#This Row],[Annual Increase Option]]=""),"",_xlfn.XLOOKUP(MONTH(Table13[[#This Row],[Commencement Date]]),Lookups!$I$19:$I$30,Lookups!$J$19:$J$30,0))</f>
        <v/>
      </c>
      <c r="Q163" s="340"/>
      <c r="R163" s="340"/>
      <c r="S163" s="360">
        <f>IF(Table13[[#This Row],[Life Cover Amount]]="",0,Table2[[#This Row],[Life Premium]])</f>
        <v>0</v>
      </c>
      <c r="T163" s="360">
        <f>IF(Table13[[#This Row],[Funeral Cover Amount]]=0,0,Table2[[#This Row],[Funeral Premium]])</f>
        <v>0</v>
      </c>
      <c r="U163" s="360">
        <f>IF(AND(Table13[[#This Row],[Life Cover Amount]]="",Table13[[#This Row],[Funeral Cover Amount]]=""),0,onboarding_calcs!AA163)</f>
        <v>0</v>
      </c>
      <c r="V163" s="111"/>
      <c r="W163" s="111"/>
      <c r="X163" s="333"/>
      <c r="Y163" s="110"/>
      <c r="Z163" s="113"/>
      <c r="AA163" s="425"/>
      <c r="AB163" s="425"/>
      <c r="AC163" s="113"/>
      <c r="AD163" s="110"/>
      <c r="AE163" s="110"/>
      <c r="AF163" s="110"/>
      <c r="AG163" s="110"/>
      <c r="AH163" s="110"/>
      <c r="AI163" s="113"/>
      <c r="AJ163" s="110"/>
      <c r="AK163" s="110"/>
      <c r="AL163" s="110"/>
      <c r="AM163" s="110"/>
      <c r="AN163" s="110"/>
      <c r="AO163" s="113"/>
      <c r="AP163" s="113"/>
      <c r="AQ163" s="113"/>
      <c r="AR163" s="110"/>
      <c r="AS163" s="113"/>
      <c r="AT163" s="113"/>
      <c r="AU163" s="112"/>
      <c r="AV163" s="338"/>
      <c r="AW163" s="110"/>
      <c r="AX163" s="110"/>
      <c r="AY163" s="113"/>
      <c r="AZ163" s="113"/>
      <c r="BA163" s="113"/>
      <c r="BB163" s="113"/>
      <c r="BC163" s="113"/>
      <c r="BD163" s="113"/>
      <c r="BF16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64" spans="1:58" x14ac:dyDescent="0.3">
      <c r="A164" s="422"/>
      <c r="B164" s="376"/>
      <c r="C164" s="110"/>
      <c r="D164" s="110"/>
      <c r="E164" s="340"/>
      <c r="F164" s="330"/>
      <c r="G164" s="113"/>
      <c r="H164" s="332"/>
      <c r="I164" s="113"/>
      <c r="J164" s="332"/>
      <c r="K164" s="110"/>
      <c r="L164" s="110"/>
      <c r="M164" s="110"/>
      <c r="N164" s="110"/>
      <c r="O164" s="111"/>
      <c r="P164" s="424" t="str">
        <f>IF(OR(Table13[[#This Row],[Annual Increase Option]]="No increase",Table13[[#This Row],[Annual Increase Option]]=""),"",_xlfn.XLOOKUP(MONTH(Table13[[#This Row],[Commencement Date]]),Lookups!$I$19:$I$30,Lookups!$J$19:$J$30,0))</f>
        <v/>
      </c>
      <c r="Q164" s="340"/>
      <c r="R164" s="340"/>
      <c r="S164" s="360">
        <f>IF(Table13[[#This Row],[Life Cover Amount]]="",0,Table2[[#This Row],[Life Premium]])</f>
        <v>0</v>
      </c>
      <c r="T164" s="360">
        <f>IF(Table13[[#This Row],[Funeral Cover Amount]]=0,0,Table2[[#This Row],[Funeral Premium]])</f>
        <v>0</v>
      </c>
      <c r="U164" s="360">
        <f>IF(AND(Table13[[#This Row],[Life Cover Amount]]="",Table13[[#This Row],[Funeral Cover Amount]]=""),0,onboarding_calcs!AA164)</f>
        <v>0</v>
      </c>
      <c r="V164" s="111"/>
      <c r="W164" s="111"/>
      <c r="X164" s="333"/>
      <c r="Y164" s="110"/>
      <c r="Z164" s="113"/>
      <c r="AA164" s="425"/>
      <c r="AB164" s="425"/>
      <c r="AC164" s="113"/>
      <c r="AD164" s="110"/>
      <c r="AE164" s="110"/>
      <c r="AF164" s="110"/>
      <c r="AG164" s="110"/>
      <c r="AH164" s="110"/>
      <c r="AI164" s="113"/>
      <c r="AJ164" s="110"/>
      <c r="AK164" s="110"/>
      <c r="AL164" s="110"/>
      <c r="AM164" s="110"/>
      <c r="AN164" s="110"/>
      <c r="AO164" s="113"/>
      <c r="AP164" s="113"/>
      <c r="AQ164" s="113"/>
      <c r="AR164" s="110"/>
      <c r="AS164" s="113"/>
      <c r="AT164" s="113"/>
      <c r="AU164" s="112"/>
      <c r="AV164" s="338"/>
      <c r="AW164" s="110"/>
      <c r="AX164" s="110"/>
      <c r="AY164" s="113"/>
      <c r="AZ164" s="113"/>
      <c r="BA164" s="113"/>
      <c r="BB164" s="113"/>
      <c r="BC164" s="113"/>
      <c r="BD164" s="113"/>
      <c r="BF16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65" spans="1:58" x14ac:dyDescent="0.3">
      <c r="A165" s="422"/>
      <c r="B165" s="376"/>
      <c r="C165" s="110"/>
      <c r="D165" s="110"/>
      <c r="E165" s="340"/>
      <c r="F165" s="330"/>
      <c r="G165" s="113"/>
      <c r="H165" s="332"/>
      <c r="I165" s="113"/>
      <c r="J165" s="332"/>
      <c r="K165" s="110"/>
      <c r="L165" s="110"/>
      <c r="M165" s="110"/>
      <c r="N165" s="110"/>
      <c r="O165" s="111"/>
      <c r="P165" s="424" t="str">
        <f>IF(OR(Table13[[#This Row],[Annual Increase Option]]="No increase",Table13[[#This Row],[Annual Increase Option]]=""),"",_xlfn.XLOOKUP(MONTH(Table13[[#This Row],[Commencement Date]]),Lookups!$I$19:$I$30,Lookups!$J$19:$J$30,0))</f>
        <v/>
      </c>
      <c r="Q165" s="340"/>
      <c r="R165" s="340"/>
      <c r="S165" s="360">
        <f>IF(Table13[[#This Row],[Life Cover Amount]]="",0,Table2[[#This Row],[Life Premium]])</f>
        <v>0</v>
      </c>
      <c r="T165" s="360">
        <f>IF(Table13[[#This Row],[Funeral Cover Amount]]=0,0,Table2[[#This Row],[Funeral Premium]])</f>
        <v>0</v>
      </c>
      <c r="U165" s="360">
        <f>IF(AND(Table13[[#This Row],[Life Cover Amount]]="",Table13[[#This Row],[Funeral Cover Amount]]=""),0,onboarding_calcs!AA165)</f>
        <v>0</v>
      </c>
      <c r="V165" s="111"/>
      <c r="W165" s="111"/>
      <c r="X165" s="333"/>
      <c r="Y165" s="110"/>
      <c r="Z165" s="113"/>
      <c r="AA165" s="425"/>
      <c r="AB165" s="425"/>
      <c r="AC165" s="113"/>
      <c r="AD165" s="110"/>
      <c r="AE165" s="110"/>
      <c r="AF165" s="110"/>
      <c r="AG165" s="110"/>
      <c r="AH165" s="110"/>
      <c r="AI165" s="113"/>
      <c r="AJ165" s="110"/>
      <c r="AK165" s="110"/>
      <c r="AL165" s="110"/>
      <c r="AM165" s="110"/>
      <c r="AN165" s="110"/>
      <c r="AO165" s="113"/>
      <c r="AP165" s="113"/>
      <c r="AQ165" s="113"/>
      <c r="AR165" s="110"/>
      <c r="AS165" s="113"/>
      <c r="AT165" s="113"/>
      <c r="AU165" s="112"/>
      <c r="AV165" s="338"/>
      <c r="AW165" s="110"/>
      <c r="AX165" s="110"/>
      <c r="AY165" s="113"/>
      <c r="AZ165" s="113"/>
      <c r="BA165" s="113"/>
      <c r="BB165" s="113"/>
      <c r="BC165" s="113"/>
      <c r="BD165" s="113"/>
      <c r="BF16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66" spans="1:58" x14ac:dyDescent="0.3">
      <c r="A166" s="422"/>
      <c r="B166" s="376"/>
      <c r="C166" s="110"/>
      <c r="D166" s="110"/>
      <c r="E166" s="340"/>
      <c r="F166" s="330"/>
      <c r="G166" s="113"/>
      <c r="H166" s="332"/>
      <c r="I166" s="113"/>
      <c r="J166" s="332"/>
      <c r="K166" s="110"/>
      <c r="L166" s="110"/>
      <c r="M166" s="110"/>
      <c r="N166" s="110"/>
      <c r="O166" s="111"/>
      <c r="P166" s="424" t="str">
        <f>IF(OR(Table13[[#This Row],[Annual Increase Option]]="No increase",Table13[[#This Row],[Annual Increase Option]]=""),"",_xlfn.XLOOKUP(MONTH(Table13[[#This Row],[Commencement Date]]),Lookups!$I$19:$I$30,Lookups!$J$19:$J$30,0))</f>
        <v/>
      </c>
      <c r="Q166" s="340"/>
      <c r="R166" s="340"/>
      <c r="S166" s="360">
        <f>IF(Table13[[#This Row],[Life Cover Amount]]="",0,Table2[[#This Row],[Life Premium]])</f>
        <v>0</v>
      </c>
      <c r="T166" s="360">
        <f>IF(Table13[[#This Row],[Funeral Cover Amount]]=0,0,Table2[[#This Row],[Funeral Premium]])</f>
        <v>0</v>
      </c>
      <c r="U166" s="360">
        <f>IF(AND(Table13[[#This Row],[Life Cover Amount]]="",Table13[[#This Row],[Funeral Cover Amount]]=""),0,onboarding_calcs!AA166)</f>
        <v>0</v>
      </c>
      <c r="V166" s="111"/>
      <c r="W166" s="111"/>
      <c r="X166" s="333"/>
      <c r="Y166" s="110"/>
      <c r="Z166" s="113"/>
      <c r="AA166" s="425"/>
      <c r="AB166" s="425"/>
      <c r="AC166" s="113"/>
      <c r="AD166" s="110"/>
      <c r="AE166" s="110"/>
      <c r="AF166" s="110"/>
      <c r="AG166" s="110"/>
      <c r="AH166" s="110"/>
      <c r="AI166" s="113"/>
      <c r="AJ166" s="110"/>
      <c r="AK166" s="110"/>
      <c r="AL166" s="110"/>
      <c r="AM166" s="110"/>
      <c r="AN166" s="110"/>
      <c r="AO166" s="113"/>
      <c r="AP166" s="113"/>
      <c r="AQ166" s="113"/>
      <c r="AR166" s="110"/>
      <c r="AS166" s="113"/>
      <c r="AT166" s="113"/>
      <c r="AU166" s="112"/>
      <c r="AV166" s="338"/>
      <c r="AW166" s="110"/>
      <c r="AX166" s="110"/>
      <c r="AY166" s="113"/>
      <c r="AZ166" s="113"/>
      <c r="BA166" s="113"/>
      <c r="BB166" s="113"/>
      <c r="BC166" s="113"/>
      <c r="BD166" s="113"/>
      <c r="BF16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67" spans="1:58" x14ac:dyDescent="0.3">
      <c r="A167" s="422"/>
      <c r="B167" s="376"/>
      <c r="C167" s="110"/>
      <c r="D167" s="110"/>
      <c r="E167" s="340"/>
      <c r="F167" s="330"/>
      <c r="G167" s="113"/>
      <c r="H167" s="332"/>
      <c r="I167" s="113"/>
      <c r="J167" s="332"/>
      <c r="K167" s="110"/>
      <c r="L167" s="110"/>
      <c r="M167" s="110"/>
      <c r="N167" s="110"/>
      <c r="O167" s="111"/>
      <c r="P167" s="424" t="str">
        <f>IF(OR(Table13[[#This Row],[Annual Increase Option]]="No increase",Table13[[#This Row],[Annual Increase Option]]=""),"",_xlfn.XLOOKUP(MONTH(Table13[[#This Row],[Commencement Date]]),Lookups!$I$19:$I$30,Lookups!$J$19:$J$30,0))</f>
        <v/>
      </c>
      <c r="Q167" s="340"/>
      <c r="R167" s="340"/>
      <c r="S167" s="360">
        <f>IF(Table13[[#This Row],[Life Cover Amount]]="",0,Table2[[#This Row],[Life Premium]])</f>
        <v>0</v>
      </c>
      <c r="T167" s="360">
        <f>IF(Table13[[#This Row],[Funeral Cover Amount]]=0,0,Table2[[#This Row],[Funeral Premium]])</f>
        <v>0</v>
      </c>
      <c r="U167" s="360">
        <f>IF(AND(Table13[[#This Row],[Life Cover Amount]]="",Table13[[#This Row],[Funeral Cover Amount]]=""),0,onboarding_calcs!AA167)</f>
        <v>0</v>
      </c>
      <c r="V167" s="111"/>
      <c r="W167" s="111"/>
      <c r="X167" s="333"/>
      <c r="Y167" s="110"/>
      <c r="Z167" s="113"/>
      <c r="AA167" s="425"/>
      <c r="AB167" s="425"/>
      <c r="AC167" s="113"/>
      <c r="AD167" s="110"/>
      <c r="AE167" s="110"/>
      <c r="AF167" s="110"/>
      <c r="AG167" s="110"/>
      <c r="AH167" s="110"/>
      <c r="AI167" s="113"/>
      <c r="AJ167" s="110"/>
      <c r="AK167" s="110"/>
      <c r="AL167" s="110"/>
      <c r="AM167" s="110"/>
      <c r="AN167" s="110"/>
      <c r="AO167" s="113"/>
      <c r="AP167" s="113"/>
      <c r="AQ167" s="113"/>
      <c r="AR167" s="110"/>
      <c r="AS167" s="113"/>
      <c r="AT167" s="113"/>
      <c r="AU167" s="112"/>
      <c r="AV167" s="338"/>
      <c r="AW167" s="110"/>
      <c r="AX167" s="110"/>
      <c r="AY167" s="113"/>
      <c r="AZ167" s="113"/>
      <c r="BA167" s="113"/>
      <c r="BB167" s="113"/>
      <c r="BC167" s="113"/>
      <c r="BD167" s="113"/>
      <c r="BF16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68" spans="1:58" x14ac:dyDescent="0.3">
      <c r="A168" s="422"/>
      <c r="B168" s="376"/>
      <c r="C168" s="110"/>
      <c r="D168" s="110"/>
      <c r="E168" s="340"/>
      <c r="F168" s="330"/>
      <c r="G168" s="113"/>
      <c r="H168" s="332"/>
      <c r="I168" s="113"/>
      <c r="J168" s="332"/>
      <c r="K168" s="110"/>
      <c r="L168" s="110"/>
      <c r="M168" s="110"/>
      <c r="N168" s="110"/>
      <c r="O168" s="111"/>
      <c r="P168" s="424" t="str">
        <f>IF(OR(Table13[[#This Row],[Annual Increase Option]]="No increase",Table13[[#This Row],[Annual Increase Option]]=""),"",_xlfn.XLOOKUP(MONTH(Table13[[#This Row],[Commencement Date]]),Lookups!$I$19:$I$30,Lookups!$J$19:$J$30,0))</f>
        <v/>
      </c>
      <c r="Q168" s="340"/>
      <c r="R168" s="340"/>
      <c r="S168" s="360">
        <f>IF(Table13[[#This Row],[Life Cover Amount]]="",0,Table2[[#This Row],[Life Premium]])</f>
        <v>0</v>
      </c>
      <c r="T168" s="360">
        <f>IF(Table13[[#This Row],[Funeral Cover Amount]]=0,0,Table2[[#This Row],[Funeral Premium]])</f>
        <v>0</v>
      </c>
      <c r="U168" s="360">
        <f>IF(AND(Table13[[#This Row],[Life Cover Amount]]="",Table13[[#This Row],[Funeral Cover Amount]]=""),0,onboarding_calcs!AA168)</f>
        <v>0</v>
      </c>
      <c r="V168" s="111"/>
      <c r="W168" s="111"/>
      <c r="X168" s="333"/>
      <c r="Y168" s="110"/>
      <c r="Z168" s="113"/>
      <c r="AA168" s="425"/>
      <c r="AB168" s="425"/>
      <c r="AC168" s="113"/>
      <c r="AD168" s="110"/>
      <c r="AE168" s="110"/>
      <c r="AF168" s="110"/>
      <c r="AG168" s="110"/>
      <c r="AH168" s="110"/>
      <c r="AI168" s="113"/>
      <c r="AJ168" s="110"/>
      <c r="AK168" s="110"/>
      <c r="AL168" s="110"/>
      <c r="AM168" s="110"/>
      <c r="AN168" s="110"/>
      <c r="AO168" s="113"/>
      <c r="AP168" s="113"/>
      <c r="AQ168" s="113"/>
      <c r="AR168" s="110"/>
      <c r="AS168" s="113"/>
      <c r="AT168" s="113"/>
      <c r="AU168" s="112"/>
      <c r="AV168" s="338"/>
      <c r="AW168" s="110"/>
      <c r="AX168" s="110"/>
      <c r="AY168" s="113"/>
      <c r="AZ168" s="113"/>
      <c r="BA168" s="113"/>
      <c r="BB168" s="113"/>
      <c r="BC168" s="113"/>
      <c r="BD168" s="113"/>
      <c r="BF16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69" spans="1:58" x14ac:dyDescent="0.3">
      <c r="A169" s="422"/>
      <c r="B169" s="376"/>
      <c r="C169" s="110"/>
      <c r="D169" s="110"/>
      <c r="E169" s="340"/>
      <c r="F169" s="330"/>
      <c r="G169" s="113"/>
      <c r="H169" s="332"/>
      <c r="I169" s="113"/>
      <c r="J169" s="332"/>
      <c r="K169" s="110"/>
      <c r="L169" s="110"/>
      <c r="M169" s="110"/>
      <c r="N169" s="110"/>
      <c r="O169" s="111"/>
      <c r="P169" s="424" t="str">
        <f>IF(OR(Table13[[#This Row],[Annual Increase Option]]="No increase",Table13[[#This Row],[Annual Increase Option]]=""),"",_xlfn.XLOOKUP(MONTH(Table13[[#This Row],[Commencement Date]]),Lookups!$I$19:$I$30,Lookups!$J$19:$J$30,0))</f>
        <v/>
      </c>
      <c r="Q169" s="340"/>
      <c r="R169" s="340"/>
      <c r="S169" s="360">
        <f>IF(Table13[[#This Row],[Life Cover Amount]]="",0,Table2[[#This Row],[Life Premium]])</f>
        <v>0</v>
      </c>
      <c r="T169" s="360">
        <f>IF(Table13[[#This Row],[Funeral Cover Amount]]=0,0,Table2[[#This Row],[Funeral Premium]])</f>
        <v>0</v>
      </c>
      <c r="U169" s="360">
        <f>IF(AND(Table13[[#This Row],[Life Cover Amount]]="",Table13[[#This Row],[Funeral Cover Amount]]=""),0,onboarding_calcs!AA169)</f>
        <v>0</v>
      </c>
      <c r="V169" s="111"/>
      <c r="W169" s="111"/>
      <c r="X169" s="333"/>
      <c r="Y169" s="110"/>
      <c r="Z169" s="113"/>
      <c r="AA169" s="425"/>
      <c r="AB169" s="425"/>
      <c r="AC169" s="113"/>
      <c r="AD169" s="110"/>
      <c r="AE169" s="110"/>
      <c r="AF169" s="110"/>
      <c r="AG169" s="110"/>
      <c r="AH169" s="110"/>
      <c r="AI169" s="113"/>
      <c r="AJ169" s="110"/>
      <c r="AK169" s="110"/>
      <c r="AL169" s="110"/>
      <c r="AM169" s="110"/>
      <c r="AN169" s="110"/>
      <c r="AO169" s="113"/>
      <c r="AP169" s="113"/>
      <c r="AQ169" s="113"/>
      <c r="AR169" s="110"/>
      <c r="AS169" s="113"/>
      <c r="AT169" s="113"/>
      <c r="AU169" s="112"/>
      <c r="AV169" s="338"/>
      <c r="AW169" s="110"/>
      <c r="AX169" s="110"/>
      <c r="AY169" s="113"/>
      <c r="AZ169" s="113"/>
      <c r="BA169" s="113"/>
      <c r="BB169" s="113"/>
      <c r="BC169" s="113"/>
      <c r="BD169" s="113"/>
      <c r="BF16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70" spans="1:58" x14ac:dyDescent="0.3">
      <c r="A170" s="422"/>
      <c r="B170" s="376"/>
      <c r="C170" s="110"/>
      <c r="D170" s="110"/>
      <c r="E170" s="340"/>
      <c r="F170" s="330"/>
      <c r="G170" s="113"/>
      <c r="H170" s="332"/>
      <c r="I170" s="113"/>
      <c r="J170" s="332"/>
      <c r="K170" s="110"/>
      <c r="L170" s="110"/>
      <c r="M170" s="110"/>
      <c r="N170" s="110"/>
      <c r="O170" s="111"/>
      <c r="P170" s="424" t="str">
        <f>IF(OR(Table13[[#This Row],[Annual Increase Option]]="No increase",Table13[[#This Row],[Annual Increase Option]]=""),"",_xlfn.XLOOKUP(MONTH(Table13[[#This Row],[Commencement Date]]),Lookups!$I$19:$I$30,Lookups!$J$19:$J$30,0))</f>
        <v/>
      </c>
      <c r="Q170" s="340"/>
      <c r="R170" s="340"/>
      <c r="S170" s="360">
        <f>IF(Table13[[#This Row],[Life Cover Amount]]="",0,Table2[[#This Row],[Life Premium]])</f>
        <v>0</v>
      </c>
      <c r="T170" s="360">
        <f>IF(Table13[[#This Row],[Funeral Cover Amount]]=0,0,Table2[[#This Row],[Funeral Premium]])</f>
        <v>0</v>
      </c>
      <c r="U170" s="360">
        <f>IF(AND(Table13[[#This Row],[Life Cover Amount]]="",Table13[[#This Row],[Funeral Cover Amount]]=""),0,onboarding_calcs!AA170)</f>
        <v>0</v>
      </c>
      <c r="V170" s="111"/>
      <c r="W170" s="111"/>
      <c r="X170" s="333"/>
      <c r="Y170" s="110"/>
      <c r="Z170" s="113"/>
      <c r="AA170" s="425"/>
      <c r="AB170" s="425"/>
      <c r="AC170" s="113"/>
      <c r="AD170" s="110"/>
      <c r="AE170" s="110"/>
      <c r="AF170" s="110"/>
      <c r="AG170" s="110"/>
      <c r="AH170" s="110"/>
      <c r="AI170" s="113"/>
      <c r="AJ170" s="110"/>
      <c r="AK170" s="110"/>
      <c r="AL170" s="110"/>
      <c r="AM170" s="110"/>
      <c r="AN170" s="110"/>
      <c r="AO170" s="113"/>
      <c r="AP170" s="113"/>
      <c r="AQ170" s="113"/>
      <c r="AR170" s="110"/>
      <c r="AS170" s="113"/>
      <c r="AT170" s="113"/>
      <c r="AU170" s="112"/>
      <c r="AV170" s="338"/>
      <c r="AW170" s="110"/>
      <c r="AX170" s="110"/>
      <c r="AY170" s="113"/>
      <c r="AZ170" s="113"/>
      <c r="BA170" s="113"/>
      <c r="BB170" s="113"/>
      <c r="BC170" s="113"/>
      <c r="BD170" s="113"/>
      <c r="BF17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71" spans="1:58" x14ac:dyDescent="0.3">
      <c r="A171" s="422"/>
      <c r="B171" s="376"/>
      <c r="C171" s="110"/>
      <c r="D171" s="110"/>
      <c r="E171" s="340"/>
      <c r="F171" s="330"/>
      <c r="G171" s="113"/>
      <c r="H171" s="332"/>
      <c r="I171" s="113"/>
      <c r="J171" s="332"/>
      <c r="K171" s="110"/>
      <c r="L171" s="110"/>
      <c r="M171" s="110"/>
      <c r="N171" s="110"/>
      <c r="O171" s="111"/>
      <c r="P171" s="424" t="str">
        <f>IF(OR(Table13[[#This Row],[Annual Increase Option]]="No increase",Table13[[#This Row],[Annual Increase Option]]=""),"",_xlfn.XLOOKUP(MONTH(Table13[[#This Row],[Commencement Date]]),Lookups!$I$19:$I$30,Lookups!$J$19:$J$30,0))</f>
        <v/>
      </c>
      <c r="Q171" s="340"/>
      <c r="R171" s="340"/>
      <c r="S171" s="360">
        <f>IF(Table13[[#This Row],[Life Cover Amount]]="",0,Table2[[#This Row],[Life Premium]])</f>
        <v>0</v>
      </c>
      <c r="T171" s="360">
        <f>IF(Table13[[#This Row],[Funeral Cover Amount]]=0,0,Table2[[#This Row],[Funeral Premium]])</f>
        <v>0</v>
      </c>
      <c r="U171" s="360">
        <f>IF(AND(Table13[[#This Row],[Life Cover Amount]]="",Table13[[#This Row],[Funeral Cover Amount]]=""),0,onboarding_calcs!AA171)</f>
        <v>0</v>
      </c>
      <c r="V171" s="111"/>
      <c r="W171" s="111"/>
      <c r="X171" s="333"/>
      <c r="Y171" s="110"/>
      <c r="Z171" s="113"/>
      <c r="AA171" s="425"/>
      <c r="AB171" s="425"/>
      <c r="AC171" s="113"/>
      <c r="AD171" s="110"/>
      <c r="AE171" s="110"/>
      <c r="AF171" s="110"/>
      <c r="AG171" s="110"/>
      <c r="AH171" s="110"/>
      <c r="AI171" s="113"/>
      <c r="AJ171" s="110"/>
      <c r="AK171" s="110"/>
      <c r="AL171" s="110"/>
      <c r="AM171" s="110"/>
      <c r="AN171" s="110"/>
      <c r="AO171" s="113"/>
      <c r="AP171" s="113"/>
      <c r="AQ171" s="113"/>
      <c r="AR171" s="110"/>
      <c r="AS171" s="113"/>
      <c r="AT171" s="113"/>
      <c r="AU171" s="112"/>
      <c r="AV171" s="338"/>
      <c r="AW171" s="110"/>
      <c r="AX171" s="110"/>
      <c r="AY171" s="113"/>
      <c r="AZ171" s="113"/>
      <c r="BA171" s="113"/>
      <c r="BB171" s="113"/>
      <c r="BC171" s="113"/>
      <c r="BD171" s="113"/>
      <c r="BF17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72" spans="1:58" x14ac:dyDescent="0.3">
      <c r="A172" s="422"/>
      <c r="B172" s="376"/>
      <c r="C172" s="110"/>
      <c r="D172" s="110"/>
      <c r="E172" s="340"/>
      <c r="F172" s="330"/>
      <c r="G172" s="113"/>
      <c r="H172" s="332"/>
      <c r="I172" s="113"/>
      <c r="J172" s="332"/>
      <c r="K172" s="110"/>
      <c r="L172" s="110"/>
      <c r="M172" s="110"/>
      <c r="N172" s="110"/>
      <c r="O172" s="111"/>
      <c r="P172" s="424" t="str">
        <f>IF(OR(Table13[[#This Row],[Annual Increase Option]]="No increase",Table13[[#This Row],[Annual Increase Option]]=""),"",_xlfn.XLOOKUP(MONTH(Table13[[#This Row],[Commencement Date]]),Lookups!$I$19:$I$30,Lookups!$J$19:$J$30,0))</f>
        <v/>
      </c>
      <c r="Q172" s="340"/>
      <c r="R172" s="340"/>
      <c r="S172" s="360">
        <f>IF(Table13[[#This Row],[Life Cover Amount]]="",0,Table2[[#This Row],[Life Premium]])</f>
        <v>0</v>
      </c>
      <c r="T172" s="360">
        <f>IF(Table13[[#This Row],[Funeral Cover Amount]]=0,0,Table2[[#This Row],[Funeral Premium]])</f>
        <v>0</v>
      </c>
      <c r="U172" s="360">
        <f>IF(AND(Table13[[#This Row],[Life Cover Amount]]="",Table13[[#This Row],[Funeral Cover Amount]]=""),0,onboarding_calcs!AA172)</f>
        <v>0</v>
      </c>
      <c r="V172" s="111"/>
      <c r="W172" s="111"/>
      <c r="X172" s="333"/>
      <c r="Y172" s="110"/>
      <c r="Z172" s="113"/>
      <c r="AA172" s="425"/>
      <c r="AB172" s="425"/>
      <c r="AC172" s="113"/>
      <c r="AD172" s="110"/>
      <c r="AE172" s="110"/>
      <c r="AF172" s="110"/>
      <c r="AG172" s="110"/>
      <c r="AH172" s="110"/>
      <c r="AI172" s="113"/>
      <c r="AJ172" s="110"/>
      <c r="AK172" s="110"/>
      <c r="AL172" s="110"/>
      <c r="AM172" s="110"/>
      <c r="AN172" s="110"/>
      <c r="AO172" s="113"/>
      <c r="AP172" s="113"/>
      <c r="AQ172" s="113"/>
      <c r="AR172" s="110"/>
      <c r="AS172" s="113"/>
      <c r="AT172" s="113"/>
      <c r="AU172" s="112"/>
      <c r="AV172" s="338"/>
      <c r="AW172" s="110"/>
      <c r="AX172" s="110"/>
      <c r="AY172" s="113"/>
      <c r="AZ172" s="113"/>
      <c r="BA172" s="113"/>
      <c r="BB172" s="113"/>
      <c r="BC172" s="113"/>
      <c r="BD172" s="113"/>
      <c r="BF17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73" spans="1:58" x14ac:dyDescent="0.3">
      <c r="A173" s="422"/>
      <c r="B173" s="376"/>
      <c r="C173" s="110"/>
      <c r="D173" s="110"/>
      <c r="E173" s="340"/>
      <c r="F173" s="330"/>
      <c r="G173" s="113"/>
      <c r="H173" s="332"/>
      <c r="I173" s="113"/>
      <c r="J173" s="332"/>
      <c r="K173" s="110"/>
      <c r="L173" s="110"/>
      <c r="M173" s="110"/>
      <c r="N173" s="110"/>
      <c r="O173" s="111"/>
      <c r="P173" s="424" t="str">
        <f>IF(OR(Table13[[#This Row],[Annual Increase Option]]="No increase",Table13[[#This Row],[Annual Increase Option]]=""),"",_xlfn.XLOOKUP(MONTH(Table13[[#This Row],[Commencement Date]]),Lookups!$I$19:$I$30,Lookups!$J$19:$J$30,0))</f>
        <v/>
      </c>
      <c r="Q173" s="340"/>
      <c r="R173" s="340"/>
      <c r="S173" s="360">
        <f>IF(Table13[[#This Row],[Life Cover Amount]]="",0,Table2[[#This Row],[Life Premium]])</f>
        <v>0</v>
      </c>
      <c r="T173" s="360">
        <f>IF(Table13[[#This Row],[Funeral Cover Amount]]=0,0,Table2[[#This Row],[Funeral Premium]])</f>
        <v>0</v>
      </c>
      <c r="U173" s="360">
        <f>IF(AND(Table13[[#This Row],[Life Cover Amount]]="",Table13[[#This Row],[Funeral Cover Amount]]=""),0,onboarding_calcs!AA173)</f>
        <v>0</v>
      </c>
      <c r="V173" s="111"/>
      <c r="W173" s="111"/>
      <c r="X173" s="333"/>
      <c r="Y173" s="110"/>
      <c r="Z173" s="113"/>
      <c r="AA173" s="425"/>
      <c r="AB173" s="425"/>
      <c r="AC173" s="113"/>
      <c r="AD173" s="110"/>
      <c r="AE173" s="110"/>
      <c r="AF173" s="110"/>
      <c r="AG173" s="110"/>
      <c r="AH173" s="110"/>
      <c r="AI173" s="113"/>
      <c r="AJ173" s="110"/>
      <c r="AK173" s="110"/>
      <c r="AL173" s="110"/>
      <c r="AM173" s="110"/>
      <c r="AN173" s="110"/>
      <c r="AO173" s="113"/>
      <c r="AP173" s="113"/>
      <c r="AQ173" s="113"/>
      <c r="AR173" s="110"/>
      <c r="AS173" s="113"/>
      <c r="AT173" s="113"/>
      <c r="AU173" s="112"/>
      <c r="AV173" s="338"/>
      <c r="AW173" s="110"/>
      <c r="AX173" s="110"/>
      <c r="AY173" s="113"/>
      <c r="AZ173" s="113"/>
      <c r="BA173" s="113"/>
      <c r="BB173" s="113"/>
      <c r="BC173" s="113"/>
      <c r="BD173" s="113"/>
      <c r="BF17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74" spans="1:58" x14ac:dyDescent="0.3">
      <c r="A174" s="422"/>
      <c r="B174" s="376"/>
      <c r="C174" s="110"/>
      <c r="D174" s="110"/>
      <c r="E174" s="340"/>
      <c r="F174" s="330"/>
      <c r="G174" s="113"/>
      <c r="H174" s="332"/>
      <c r="I174" s="113"/>
      <c r="J174" s="332"/>
      <c r="K174" s="110"/>
      <c r="L174" s="110"/>
      <c r="M174" s="110"/>
      <c r="N174" s="110"/>
      <c r="O174" s="111"/>
      <c r="P174" s="424" t="str">
        <f>IF(OR(Table13[[#This Row],[Annual Increase Option]]="No increase",Table13[[#This Row],[Annual Increase Option]]=""),"",_xlfn.XLOOKUP(MONTH(Table13[[#This Row],[Commencement Date]]),Lookups!$I$19:$I$30,Lookups!$J$19:$J$30,0))</f>
        <v/>
      </c>
      <c r="Q174" s="340"/>
      <c r="R174" s="340"/>
      <c r="S174" s="360">
        <f>IF(Table13[[#This Row],[Life Cover Amount]]="",0,Table2[[#This Row],[Life Premium]])</f>
        <v>0</v>
      </c>
      <c r="T174" s="360">
        <f>IF(Table13[[#This Row],[Funeral Cover Amount]]=0,0,Table2[[#This Row],[Funeral Premium]])</f>
        <v>0</v>
      </c>
      <c r="U174" s="360">
        <f>IF(AND(Table13[[#This Row],[Life Cover Amount]]="",Table13[[#This Row],[Funeral Cover Amount]]=""),0,onboarding_calcs!AA174)</f>
        <v>0</v>
      </c>
      <c r="V174" s="111"/>
      <c r="W174" s="111"/>
      <c r="X174" s="333"/>
      <c r="Y174" s="110"/>
      <c r="Z174" s="113"/>
      <c r="AA174" s="425"/>
      <c r="AB174" s="425"/>
      <c r="AC174" s="113"/>
      <c r="AD174" s="110"/>
      <c r="AE174" s="110"/>
      <c r="AF174" s="110"/>
      <c r="AG174" s="110"/>
      <c r="AH174" s="110"/>
      <c r="AI174" s="113"/>
      <c r="AJ174" s="110"/>
      <c r="AK174" s="110"/>
      <c r="AL174" s="110"/>
      <c r="AM174" s="110"/>
      <c r="AN174" s="110"/>
      <c r="AO174" s="113"/>
      <c r="AP174" s="113"/>
      <c r="AQ174" s="113"/>
      <c r="AR174" s="110"/>
      <c r="AS174" s="113"/>
      <c r="AT174" s="113"/>
      <c r="AU174" s="112"/>
      <c r="AV174" s="338"/>
      <c r="AW174" s="110"/>
      <c r="AX174" s="110"/>
      <c r="AY174" s="113"/>
      <c r="AZ174" s="113"/>
      <c r="BA174" s="113"/>
      <c r="BB174" s="113"/>
      <c r="BC174" s="113"/>
      <c r="BD174" s="113"/>
      <c r="BF17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75" spans="1:58" x14ac:dyDescent="0.3">
      <c r="A175" s="422"/>
      <c r="B175" s="376"/>
      <c r="C175" s="110"/>
      <c r="D175" s="110"/>
      <c r="E175" s="340"/>
      <c r="F175" s="330"/>
      <c r="G175" s="113"/>
      <c r="H175" s="332"/>
      <c r="I175" s="113"/>
      <c r="J175" s="332"/>
      <c r="K175" s="110"/>
      <c r="L175" s="110"/>
      <c r="M175" s="110"/>
      <c r="N175" s="110"/>
      <c r="O175" s="111"/>
      <c r="P175" s="424" t="str">
        <f>IF(OR(Table13[[#This Row],[Annual Increase Option]]="No increase",Table13[[#This Row],[Annual Increase Option]]=""),"",_xlfn.XLOOKUP(MONTH(Table13[[#This Row],[Commencement Date]]),Lookups!$I$19:$I$30,Lookups!$J$19:$J$30,0))</f>
        <v/>
      </c>
      <c r="Q175" s="340"/>
      <c r="R175" s="340"/>
      <c r="S175" s="360">
        <f>IF(Table13[[#This Row],[Life Cover Amount]]="",0,Table2[[#This Row],[Life Premium]])</f>
        <v>0</v>
      </c>
      <c r="T175" s="360">
        <f>IF(Table13[[#This Row],[Funeral Cover Amount]]=0,0,Table2[[#This Row],[Funeral Premium]])</f>
        <v>0</v>
      </c>
      <c r="U175" s="360">
        <f>IF(AND(Table13[[#This Row],[Life Cover Amount]]="",Table13[[#This Row],[Funeral Cover Amount]]=""),0,onboarding_calcs!AA175)</f>
        <v>0</v>
      </c>
      <c r="V175" s="111"/>
      <c r="W175" s="111"/>
      <c r="X175" s="333"/>
      <c r="Y175" s="110"/>
      <c r="Z175" s="113"/>
      <c r="AA175" s="425"/>
      <c r="AB175" s="425"/>
      <c r="AC175" s="113"/>
      <c r="AD175" s="110"/>
      <c r="AE175" s="110"/>
      <c r="AF175" s="110"/>
      <c r="AG175" s="110"/>
      <c r="AH175" s="110"/>
      <c r="AI175" s="113"/>
      <c r="AJ175" s="110"/>
      <c r="AK175" s="110"/>
      <c r="AL175" s="110"/>
      <c r="AM175" s="110"/>
      <c r="AN175" s="110"/>
      <c r="AO175" s="113"/>
      <c r="AP175" s="113"/>
      <c r="AQ175" s="113"/>
      <c r="AR175" s="110"/>
      <c r="AS175" s="113"/>
      <c r="AT175" s="113"/>
      <c r="AU175" s="112"/>
      <c r="AV175" s="338"/>
      <c r="AW175" s="110"/>
      <c r="AX175" s="110"/>
      <c r="AY175" s="113"/>
      <c r="AZ175" s="113"/>
      <c r="BA175" s="113"/>
      <c r="BB175" s="113"/>
      <c r="BC175" s="113"/>
      <c r="BD175" s="113"/>
      <c r="BF17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76" spans="1:58" x14ac:dyDescent="0.3">
      <c r="A176" s="422"/>
      <c r="B176" s="376"/>
      <c r="C176" s="110"/>
      <c r="D176" s="110"/>
      <c r="E176" s="340"/>
      <c r="F176" s="330"/>
      <c r="G176" s="113"/>
      <c r="H176" s="332"/>
      <c r="I176" s="113"/>
      <c r="J176" s="332"/>
      <c r="K176" s="110"/>
      <c r="L176" s="110"/>
      <c r="M176" s="110"/>
      <c r="N176" s="110"/>
      <c r="O176" s="111"/>
      <c r="P176" s="424" t="str">
        <f>IF(OR(Table13[[#This Row],[Annual Increase Option]]="No increase",Table13[[#This Row],[Annual Increase Option]]=""),"",_xlfn.XLOOKUP(MONTH(Table13[[#This Row],[Commencement Date]]),Lookups!$I$19:$I$30,Lookups!$J$19:$J$30,0))</f>
        <v/>
      </c>
      <c r="Q176" s="340"/>
      <c r="R176" s="340"/>
      <c r="S176" s="360">
        <f>IF(Table13[[#This Row],[Life Cover Amount]]="",0,Table2[[#This Row],[Life Premium]])</f>
        <v>0</v>
      </c>
      <c r="T176" s="360">
        <f>IF(Table13[[#This Row],[Funeral Cover Amount]]=0,0,Table2[[#This Row],[Funeral Premium]])</f>
        <v>0</v>
      </c>
      <c r="U176" s="360">
        <f>IF(AND(Table13[[#This Row],[Life Cover Amount]]="",Table13[[#This Row],[Funeral Cover Amount]]=""),0,onboarding_calcs!AA176)</f>
        <v>0</v>
      </c>
      <c r="V176" s="111"/>
      <c r="W176" s="111"/>
      <c r="X176" s="333"/>
      <c r="Y176" s="110"/>
      <c r="Z176" s="113"/>
      <c r="AA176" s="425"/>
      <c r="AB176" s="425"/>
      <c r="AC176" s="113"/>
      <c r="AD176" s="110"/>
      <c r="AE176" s="110"/>
      <c r="AF176" s="110"/>
      <c r="AG176" s="110"/>
      <c r="AH176" s="110"/>
      <c r="AI176" s="113"/>
      <c r="AJ176" s="110"/>
      <c r="AK176" s="110"/>
      <c r="AL176" s="110"/>
      <c r="AM176" s="110"/>
      <c r="AN176" s="110"/>
      <c r="AO176" s="113"/>
      <c r="AP176" s="113"/>
      <c r="AQ176" s="113"/>
      <c r="AR176" s="110"/>
      <c r="AS176" s="113"/>
      <c r="AT176" s="113"/>
      <c r="AU176" s="112"/>
      <c r="AV176" s="338"/>
      <c r="AW176" s="110"/>
      <c r="AX176" s="110"/>
      <c r="AY176" s="113"/>
      <c r="AZ176" s="113"/>
      <c r="BA176" s="113"/>
      <c r="BB176" s="113"/>
      <c r="BC176" s="113"/>
      <c r="BD176" s="113"/>
      <c r="BF17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77" spans="1:58" x14ac:dyDescent="0.3">
      <c r="A177" s="422"/>
      <c r="B177" s="376"/>
      <c r="C177" s="110"/>
      <c r="D177" s="110"/>
      <c r="E177" s="340"/>
      <c r="F177" s="330"/>
      <c r="G177" s="113"/>
      <c r="H177" s="332"/>
      <c r="I177" s="113"/>
      <c r="J177" s="332"/>
      <c r="K177" s="110"/>
      <c r="L177" s="110"/>
      <c r="M177" s="110"/>
      <c r="N177" s="110"/>
      <c r="O177" s="111"/>
      <c r="P177" s="424" t="str">
        <f>IF(OR(Table13[[#This Row],[Annual Increase Option]]="No increase",Table13[[#This Row],[Annual Increase Option]]=""),"",_xlfn.XLOOKUP(MONTH(Table13[[#This Row],[Commencement Date]]),Lookups!$I$19:$I$30,Lookups!$J$19:$J$30,0))</f>
        <v/>
      </c>
      <c r="Q177" s="340"/>
      <c r="R177" s="340"/>
      <c r="S177" s="360">
        <f>IF(Table13[[#This Row],[Life Cover Amount]]="",0,Table2[[#This Row],[Life Premium]])</f>
        <v>0</v>
      </c>
      <c r="T177" s="360">
        <f>IF(Table13[[#This Row],[Funeral Cover Amount]]=0,0,Table2[[#This Row],[Funeral Premium]])</f>
        <v>0</v>
      </c>
      <c r="U177" s="360">
        <f>IF(AND(Table13[[#This Row],[Life Cover Amount]]="",Table13[[#This Row],[Funeral Cover Amount]]=""),0,onboarding_calcs!AA177)</f>
        <v>0</v>
      </c>
      <c r="V177" s="111"/>
      <c r="W177" s="111"/>
      <c r="X177" s="333"/>
      <c r="Y177" s="110"/>
      <c r="Z177" s="113"/>
      <c r="AA177" s="425"/>
      <c r="AB177" s="425"/>
      <c r="AC177" s="113"/>
      <c r="AD177" s="110"/>
      <c r="AE177" s="110"/>
      <c r="AF177" s="110"/>
      <c r="AG177" s="110"/>
      <c r="AH177" s="110"/>
      <c r="AI177" s="113"/>
      <c r="AJ177" s="110"/>
      <c r="AK177" s="110"/>
      <c r="AL177" s="110"/>
      <c r="AM177" s="110"/>
      <c r="AN177" s="110"/>
      <c r="AO177" s="113"/>
      <c r="AP177" s="113"/>
      <c r="AQ177" s="113"/>
      <c r="AR177" s="110"/>
      <c r="AS177" s="113"/>
      <c r="AT177" s="113"/>
      <c r="AU177" s="112"/>
      <c r="AV177" s="338"/>
      <c r="AW177" s="110"/>
      <c r="AX177" s="110"/>
      <c r="AY177" s="113"/>
      <c r="AZ177" s="113"/>
      <c r="BA177" s="113"/>
      <c r="BB177" s="113"/>
      <c r="BC177" s="113"/>
      <c r="BD177" s="113"/>
      <c r="BF17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78" spans="1:58" x14ac:dyDescent="0.3">
      <c r="A178" s="422"/>
      <c r="B178" s="376"/>
      <c r="C178" s="110"/>
      <c r="D178" s="110"/>
      <c r="E178" s="340"/>
      <c r="F178" s="330"/>
      <c r="G178" s="113"/>
      <c r="H178" s="332"/>
      <c r="I178" s="113"/>
      <c r="J178" s="332"/>
      <c r="K178" s="110"/>
      <c r="L178" s="110"/>
      <c r="M178" s="110"/>
      <c r="N178" s="110"/>
      <c r="O178" s="111"/>
      <c r="P178" s="424" t="str">
        <f>IF(OR(Table13[[#This Row],[Annual Increase Option]]="No increase",Table13[[#This Row],[Annual Increase Option]]=""),"",_xlfn.XLOOKUP(MONTH(Table13[[#This Row],[Commencement Date]]),Lookups!$I$19:$I$30,Lookups!$J$19:$J$30,0))</f>
        <v/>
      </c>
      <c r="Q178" s="340"/>
      <c r="R178" s="340"/>
      <c r="S178" s="360">
        <f>IF(Table13[[#This Row],[Life Cover Amount]]="",0,Table2[[#This Row],[Life Premium]])</f>
        <v>0</v>
      </c>
      <c r="T178" s="360">
        <f>IF(Table13[[#This Row],[Funeral Cover Amount]]=0,0,Table2[[#This Row],[Funeral Premium]])</f>
        <v>0</v>
      </c>
      <c r="U178" s="360">
        <f>IF(AND(Table13[[#This Row],[Life Cover Amount]]="",Table13[[#This Row],[Funeral Cover Amount]]=""),0,onboarding_calcs!AA178)</f>
        <v>0</v>
      </c>
      <c r="V178" s="111"/>
      <c r="W178" s="111"/>
      <c r="X178" s="333"/>
      <c r="Y178" s="110"/>
      <c r="Z178" s="113"/>
      <c r="AA178" s="425"/>
      <c r="AB178" s="425"/>
      <c r="AC178" s="113"/>
      <c r="AD178" s="110"/>
      <c r="AE178" s="110"/>
      <c r="AF178" s="110"/>
      <c r="AG178" s="110"/>
      <c r="AH178" s="110"/>
      <c r="AI178" s="113"/>
      <c r="AJ178" s="110"/>
      <c r="AK178" s="110"/>
      <c r="AL178" s="110"/>
      <c r="AM178" s="110"/>
      <c r="AN178" s="110"/>
      <c r="AO178" s="113"/>
      <c r="AP178" s="113"/>
      <c r="AQ178" s="113"/>
      <c r="AR178" s="110"/>
      <c r="AS178" s="113"/>
      <c r="AT178" s="113"/>
      <c r="AU178" s="112"/>
      <c r="AV178" s="338"/>
      <c r="AW178" s="110"/>
      <c r="AX178" s="110"/>
      <c r="AY178" s="113"/>
      <c r="AZ178" s="113"/>
      <c r="BA178" s="113"/>
      <c r="BB178" s="113"/>
      <c r="BC178" s="113"/>
      <c r="BD178" s="113"/>
      <c r="BF17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79" spans="1:58" x14ac:dyDescent="0.3">
      <c r="A179" s="422"/>
      <c r="B179" s="376"/>
      <c r="C179" s="110"/>
      <c r="D179" s="110"/>
      <c r="E179" s="340"/>
      <c r="F179" s="330"/>
      <c r="G179" s="113"/>
      <c r="H179" s="332"/>
      <c r="I179" s="113"/>
      <c r="J179" s="332"/>
      <c r="K179" s="110"/>
      <c r="L179" s="110"/>
      <c r="M179" s="110"/>
      <c r="N179" s="110"/>
      <c r="O179" s="111"/>
      <c r="P179" s="424" t="str">
        <f>IF(OR(Table13[[#This Row],[Annual Increase Option]]="No increase",Table13[[#This Row],[Annual Increase Option]]=""),"",_xlfn.XLOOKUP(MONTH(Table13[[#This Row],[Commencement Date]]),Lookups!$I$19:$I$30,Lookups!$J$19:$J$30,0))</f>
        <v/>
      </c>
      <c r="Q179" s="340"/>
      <c r="R179" s="340"/>
      <c r="S179" s="360">
        <f>IF(Table13[[#This Row],[Life Cover Amount]]="",0,Table2[[#This Row],[Life Premium]])</f>
        <v>0</v>
      </c>
      <c r="T179" s="360">
        <f>IF(Table13[[#This Row],[Funeral Cover Amount]]=0,0,Table2[[#This Row],[Funeral Premium]])</f>
        <v>0</v>
      </c>
      <c r="U179" s="360">
        <f>IF(AND(Table13[[#This Row],[Life Cover Amount]]="",Table13[[#This Row],[Funeral Cover Amount]]=""),0,onboarding_calcs!AA179)</f>
        <v>0</v>
      </c>
      <c r="V179" s="111"/>
      <c r="W179" s="111"/>
      <c r="X179" s="333"/>
      <c r="Y179" s="110"/>
      <c r="Z179" s="113"/>
      <c r="AA179" s="425"/>
      <c r="AB179" s="425"/>
      <c r="AC179" s="113"/>
      <c r="AD179" s="110"/>
      <c r="AE179" s="110"/>
      <c r="AF179" s="110"/>
      <c r="AG179" s="110"/>
      <c r="AH179" s="110"/>
      <c r="AI179" s="113"/>
      <c r="AJ179" s="110"/>
      <c r="AK179" s="110"/>
      <c r="AL179" s="110"/>
      <c r="AM179" s="110"/>
      <c r="AN179" s="110"/>
      <c r="AO179" s="113"/>
      <c r="AP179" s="113"/>
      <c r="AQ179" s="113"/>
      <c r="AR179" s="110"/>
      <c r="AS179" s="113"/>
      <c r="AT179" s="113"/>
      <c r="AU179" s="112"/>
      <c r="AV179" s="338"/>
      <c r="AW179" s="110"/>
      <c r="AX179" s="110"/>
      <c r="AY179" s="113"/>
      <c r="AZ179" s="113"/>
      <c r="BA179" s="113"/>
      <c r="BB179" s="113"/>
      <c r="BC179" s="113"/>
      <c r="BD179" s="113"/>
      <c r="BF17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80" spans="1:58" x14ac:dyDescent="0.3">
      <c r="A180" s="422"/>
      <c r="B180" s="376"/>
      <c r="C180" s="110"/>
      <c r="D180" s="110"/>
      <c r="E180" s="340"/>
      <c r="F180" s="330"/>
      <c r="G180" s="113"/>
      <c r="H180" s="332"/>
      <c r="I180" s="113"/>
      <c r="J180" s="332"/>
      <c r="K180" s="110"/>
      <c r="L180" s="110"/>
      <c r="M180" s="110"/>
      <c r="N180" s="110"/>
      <c r="O180" s="111"/>
      <c r="P180" s="424" t="str">
        <f>IF(OR(Table13[[#This Row],[Annual Increase Option]]="No increase",Table13[[#This Row],[Annual Increase Option]]=""),"",_xlfn.XLOOKUP(MONTH(Table13[[#This Row],[Commencement Date]]),Lookups!$I$19:$I$30,Lookups!$J$19:$J$30,0))</f>
        <v/>
      </c>
      <c r="Q180" s="340"/>
      <c r="R180" s="340"/>
      <c r="S180" s="360">
        <f>IF(Table13[[#This Row],[Life Cover Amount]]="",0,Table2[[#This Row],[Life Premium]])</f>
        <v>0</v>
      </c>
      <c r="T180" s="360">
        <f>IF(Table13[[#This Row],[Funeral Cover Amount]]=0,0,Table2[[#This Row],[Funeral Premium]])</f>
        <v>0</v>
      </c>
      <c r="U180" s="360">
        <f>IF(AND(Table13[[#This Row],[Life Cover Amount]]="",Table13[[#This Row],[Funeral Cover Amount]]=""),0,onboarding_calcs!AA180)</f>
        <v>0</v>
      </c>
      <c r="V180" s="111"/>
      <c r="W180" s="111"/>
      <c r="X180" s="333"/>
      <c r="Y180" s="110"/>
      <c r="Z180" s="113"/>
      <c r="AA180" s="425"/>
      <c r="AB180" s="425"/>
      <c r="AC180" s="113"/>
      <c r="AD180" s="110"/>
      <c r="AE180" s="110"/>
      <c r="AF180" s="110"/>
      <c r="AG180" s="110"/>
      <c r="AH180" s="110"/>
      <c r="AI180" s="113"/>
      <c r="AJ180" s="110"/>
      <c r="AK180" s="110"/>
      <c r="AL180" s="110"/>
      <c r="AM180" s="110"/>
      <c r="AN180" s="110"/>
      <c r="AO180" s="113"/>
      <c r="AP180" s="113"/>
      <c r="AQ180" s="113"/>
      <c r="AR180" s="110"/>
      <c r="AS180" s="113"/>
      <c r="AT180" s="113"/>
      <c r="AU180" s="112"/>
      <c r="AV180" s="338"/>
      <c r="AW180" s="110"/>
      <c r="AX180" s="110"/>
      <c r="AY180" s="113"/>
      <c r="AZ180" s="113"/>
      <c r="BA180" s="113"/>
      <c r="BB180" s="113"/>
      <c r="BC180" s="113"/>
      <c r="BD180" s="113"/>
      <c r="BF18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81" spans="1:58" x14ac:dyDescent="0.3">
      <c r="A181" s="422"/>
      <c r="B181" s="376"/>
      <c r="C181" s="110"/>
      <c r="D181" s="110"/>
      <c r="E181" s="340"/>
      <c r="F181" s="330"/>
      <c r="G181" s="113"/>
      <c r="H181" s="332"/>
      <c r="I181" s="113"/>
      <c r="J181" s="332"/>
      <c r="K181" s="110"/>
      <c r="L181" s="110"/>
      <c r="M181" s="110"/>
      <c r="N181" s="110"/>
      <c r="O181" s="111"/>
      <c r="P181" s="424" t="str">
        <f>IF(OR(Table13[[#This Row],[Annual Increase Option]]="No increase",Table13[[#This Row],[Annual Increase Option]]=""),"",_xlfn.XLOOKUP(MONTH(Table13[[#This Row],[Commencement Date]]),Lookups!$I$19:$I$30,Lookups!$J$19:$J$30,0))</f>
        <v/>
      </c>
      <c r="Q181" s="340"/>
      <c r="R181" s="340"/>
      <c r="S181" s="360">
        <f>IF(Table13[[#This Row],[Life Cover Amount]]="",0,Table2[[#This Row],[Life Premium]])</f>
        <v>0</v>
      </c>
      <c r="T181" s="360">
        <f>IF(Table13[[#This Row],[Funeral Cover Amount]]=0,0,Table2[[#This Row],[Funeral Premium]])</f>
        <v>0</v>
      </c>
      <c r="U181" s="360">
        <f>IF(AND(Table13[[#This Row],[Life Cover Amount]]="",Table13[[#This Row],[Funeral Cover Amount]]=""),0,onboarding_calcs!AA181)</f>
        <v>0</v>
      </c>
      <c r="V181" s="111"/>
      <c r="W181" s="111"/>
      <c r="X181" s="333"/>
      <c r="Y181" s="110"/>
      <c r="Z181" s="113"/>
      <c r="AA181" s="425"/>
      <c r="AB181" s="425"/>
      <c r="AC181" s="113"/>
      <c r="AD181" s="110"/>
      <c r="AE181" s="110"/>
      <c r="AF181" s="110"/>
      <c r="AG181" s="110"/>
      <c r="AH181" s="110"/>
      <c r="AI181" s="113"/>
      <c r="AJ181" s="110"/>
      <c r="AK181" s="110"/>
      <c r="AL181" s="110"/>
      <c r="AM181" s="110"/>
      <c r="AN181" s="110"/>
      <c r="AO181" s="113"/>
      <c r="AP181" s="113"/>
      <c r="AQ181" s="113"/>
      <c r="AR181" s="110"/>
      <c r="AS181" s="113"/>
      <c r="AT181" s="113"/>
      <c r="AU181" s="112"/>
      <c r="AV181" s="338"/>
      <c r="AW181" s="110"/>
      <c r="AX181" s="110"/>
      <c r="AY181" s="113"/>
      <c r="AZ181" s="113"/>
      <c r="BA181" s="113"/>
      <c r="BB181" s="113"/>
      <c r="BC181" s="113"/>
      <c r="BD181" s="113"/>
      <c r="BF18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82" spans="1:58" x14ac:dyDescent="0.3">
      <c r="A182" s="422"/>
      <c r="B182" s="376"/>
      <c r="C182" s="110"/>
      <c r="D182" s="110"/>
      <c r="E182" s="340"/>
      <c r="F182" s="330"/>
      <c r="G182" s="113"/>
      <c r="H182" s="332"/>
      <c r="I182" s="113"/>
      <c r="J182" s="332"/>
      <c r="K182" s="110"/>
      <c r="L182" s="110"/>
      <c r="M182" s="110"/>
      <c r="N182" s="110"/>
      <c r="O182" s="111"/>
      <c r="P182" s="424" t="str">
        <f>IF(OR(Table13[[#This Row],[Annual Increase Option]]="No increase",Table13[[#This Row],[Annual Increase Option]]=""),"",_xlfn.XLOOKUP(MONTH(Table13[[#This Row],[Commencement Date]]),Lookups!$I$19:$I$30,Lookups!$J$19:$J$30,0))</f>
        <v/>
      </c>
      <c r="Q182" s="340"/>
      <c r="R182" s="340"/>
      <c r="S182" s="360">
        <f>IF(Table13[[#This Row],[Life Cover Amount]]="",0,Table2[[#This Row],[Life Premium]])</f>
        <v>0</v>
      </c>
      <c r="T182" s="360">
        <f>IF(Table13[[#This Row],[Funeral Cover Amount]]=0,0,Table2[[#This Row],[Funeral Premium]])</f>
        <v>0</v>
      </c>
      <c r="U182" s="360">
        <f>IF(AND(Table13[[#This Row],[Life Cover Amount]]="",Table13[[#This Row],[Funeral Cover Amount]]=""),0,onboarding_calcs!AA182)</f>
        <v>0</v>
      </c>
      <c r="V182" s="111"/>
      <c r="W182" s="111"/>
      <c r="X182" s="333"/>
      <c r="Y182" s="110"/>
      <c r="Z182" s="113"/>
      <c r="AA182" s="425"/>
      <c r="AB182" s="425"/>
      <c r="AC182" s="113"/>
      <c r="AD182" s="110"/>
      <c r="AE182" s="110"/>
      <c r="AF182" s="110"/>
      <c r="AG182" s="110"/>
      <c r="AH182" s="110"/>
      <c r="AI182" s="113"/>
      <c r="AJ182" s="110"/>
      <c r="AK182" s="110"/>
      <c r="AL182" s="110"/>
      <c r="AM182" s="110"/>
      <c r="AN182" s="110"/>
      <c r="AO182" s="113"/>
      <c r="AP182" s="113"/>
      <c r="AQ182" s="113"/>
      <c r="AR182" s="110"/>
      <c r="AS182" s="113"/>
      <c r="AT182" s="113"/>
      <c r="AU182" s="112"/>
      <c r="AV182" s="338"/>
      <c r="AW182" s="110"/>
      <c r="AX182" s="110"/>
      <c r="AY182" s="113"/>
      <c r="AZ182" s="113"/>
      <c r="BA182" s="113"/>
      <c r="BB182" s="113"/>
      <c r="BC182" s="113"/>
      <c r="BD182" s="113"/>
      <c r="BF18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83" spans="1:58" x14ac:dyDescent="0.3">
      <c r="A183" s="422"/>
      <c r="B183" s="376"/>
      <c r="C183" s="110"/>
      <c r="D183" s="110"/>
      <c r="E183" s="340"/>
      <c r="F183" s="330"/>
      <c r="G183" s="113"/>
      <c r="H183" s="332"/>
      <c r="I183" s="113"/>
      <c r="J183" s="332"/>
      <c r="K183" s="110"/>
      <c r="L183" s="110"/>
      <c r="M183" s="110"/>
      <c r="N183" s="110"/>
      <c r="O183" s="111"/>
      <c r="P183" s="424" t="str">
        <f>IF(OR(Table13[[#This Row],[Annual Increase Option]]="No increase",Table13[[#This Row],[Annual Increase Option]]=""),"",_xlfn.XLOOKUP(MONTH(Table13[[#This Row],[Commencement Date]]),Lookups!$I$19:$I$30,Lookups!$J$19:$J$30,0))</f>
        <v/>
      </c>
      <c r="Q183" s="340"/>
      <c r="R183" s="340"/>
      <c r="S183" s="360">
        <f>IF(Table13[[#This Row],[Life Cover Amount]]="",0,Table2[[#This Row],[Life Premium]])</f>
        <v>0</v>
      </c>
      <c r="T183" s="360">
        <f>IF(Table13[[#This Row],[Funeral Cover Amount]]=0,0,Table2[[#This Row],[Funeral Premium]])</f>
        <v>0</v>
      </c>
      <c r="U183" s="360">
        <f>IF(AND(Table13[[#This Row],[Life Cover Amount]]="",Table13[[#This Row],[Funeral Cover Amount]]=""),0,onboarding_calcs!AA183)</f>
        <v>0</v>
      </c>
      <c r="V183" s="111"/>
      <c r="W183" s="111"/>
      <c r="X183" s="333"/>
      <c r="Y183" s="110"/>
      <c r="Z183" s="113"/>
      <c r="AA183" s="425"/>
      <c r="AB183" s="425"/>
      <c r="AC183" s="113"/>
      <c r="AD183" s="110"/>
      <c r="AE183" s="110"/>
      <c r="AF183" s="110"/>
      <c r="AG183" s="110"/>
      <c r="AH183" s="110"/>
      <c r="AI183" s="113"/>
      <c r="AJ183" s="110"/>
      <c r="AK183" s="110"/>
      <c r="AL183" s="110"/>
      <c r="AM183" s="110"/>
      <c r="AN183" s="110"/>
      <c r="AO183" s="113"/>
      <c r="AP183" s="113"/>
      <c r="AQ183" s="113"/>
      <c r="AR183" s="110"/>
      <c r="AS183" s="113"/>
      <c r="AT183" s="113"/>
      <c r="AU183" s="112"/>
      <c r="AV183" s="338"/>
      <c r="AW183" s="110"/>
      <c r="AX183" s="110"/>
      <c r="AY183" s="113"/>
      <c r="AZ183" s="113"/>
      <c r="BA183" s="113"/>
      <c r="BB183" s="113"/>
      <c r="BC183" s="113"/>
      <c r="BD183" s="113"/>
      <c r="BF18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84" spans="1:58" x14ac:dyDescent="0.3">
      <c r="A184" s="422"/>
      <c r="B184" s="376"/>
      <c r="C184" s="110"/>
      <c r="D184" s="110"/>
      <c r="E184" s="340"/>
      <c r="F184" s="330"/>
      <c r="G184" s="113"/>
      <c r="H184" s="332"/>
      <c r="I184" s="113"/>
      <c r="J184" s="332"/>
      <c r="K184" s="110"/>
      <c r="L184" s="110"/>
      <c r="M184" s="110"/>
      <c r="N184" s="110"/>
      <c r="O184" s="111"/>
      <c r="P184" s="424" t="str">
        <f>IF(OR(Table13[[#This Row],[Annual Increase Option]]="No increase",Table13[[#This Row],[Annual Increase Option]]=""),"",_xlfn.XLOOKUP(MONTH(Table13[[#This Row],[Commencement Date]]),Lookups!$I$19:$I$30,Lookups!$J$19:$J$30,0))</f>
        <v/>
      </c>
      <c r="Q184" s="340"/>
      <c r="R184" s="340"/>
      <c r="S184" s="360">
        <f>IF(Table13[[#This Row],[Life Cover Amount]]="",0,Table2[[#This Row],[Life Premium]])</f>
        <v>0</v>
      </c>
      <c r="T184" s="360">
        <f>IF(Table13[[#This Row],[Funeral Cover Amount]]=0,0,Table2[[#This Row],[Funeral Premium]])</f>
        <v>0</v>
      </c>
      <c r="U184" s="360">
        <f>IF(AND(Table13[[#This Row],[Life Cover Amount]]="",Table13[[#This Row],[Funeral Cover Amount]]=""),0,onboarding_calcs!AA184)</f>
        <v>0</v>
      </c>
      <c r="V184" s="111"/>
      <c r="W184" s="111"/>
      <c r="X184" s="333"/>
      <c r="Y184" s="110"/>
      <c r="Z184" s="113"/>
      <c r="AA184" s="425"/>
      <c r="AB184" s="425"/>
      <c r="AC184" s="113"/>
      <c r="AD184" s="110"/>
      <c r="AE184" s="110"/>
      <c r="AF184" s="110"/>
      <c r="AG184" s="110"/>
      <c r="AH184" s="110"/>
      <c r="AI184" s="113"/>
      <c r="AJ184" s="110"/>
      <c r="AK184" s="110"/>
      <c r="AL184" s="110"/>
      <c r="AM184" s="110"/>
      <c r="AN184" s="110"/>
      <c r="AO184" s="113"/>
      <c r="AP184" s="113"/>
      <c r="AQ184" s="113"/>
      <c r="AR184" s="110"/>
      <c r="AS184" s="113"/>
      <c r="AT184" s="113"/>
      <c r="AU184" s="112"/>
      <c r="AV184" s="338"/>
      <c r="AW184" s="110"/>
      <c r="AX184" s="110"/>
      <c r="AY184" s="113"/>
      <c r="AZ184" s="113"/>
      <c r="BA184" s="113"/>
      <c r="BB184" s="113"/>
      <c r="BC184" s="113"/>
      <c r="BD184" s="113"/>
      <c r="BF18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85" spans="1:58" x14ac:dyDescent="0.3">
      <c r="A185" s="422"/>
      <c r="B185" s="376"/>
      <c r="C185" s="110"/>
      <c r="D185" s="110"/>
      <c r="E185" s="340"/>
      <c r="F185" s="330"/>
      <c r="G185" s="113"/>
      <c r="H185" s="332"/>
      <c r="I185" s="113"/>
      <c r="J185" s="332"/>
      <c r="K185" s="110"/>
      <c r="L185" s="110"/>
      <c r="M185" s="110"/>
      <c r="N185" s="110"/>
      <c r="O185" s="111"/>
      <c r="P185" s="424" t="str">
        <f>IF(OR(Table13[[#This Row],[Annual Increase Option]]="No increase",Table13[[#This Row],[Annual Increase Option]]=""),"",_xlfn.XLOOKUP(MONTH(Table13[[#This Row],[Commencement Date]]),Lookups!$I$19:$I$30,Lookups!$J$19:$J$30,0))</f>
        <v/>
      </c>
      <c r="Q185" s="340"/>
      <c r="R185" s="340"/>
      <c r="S185" s="360">
        <f>IF(Table13[[#This Row],[Life Cover Amount]]="",0,Table2[[#This Row],[Life Premium]])</f>
        <v>0</v>
      </c>
      <c r="T185" s="360">
        <f>IF(Table13[[#This Row],[Funeral Cover Amount]]=0,0,Table2[[#This Row],[Funeral Premium]])</f>
        <v>0</v>
      </c>
      <c r="U185" s="360">
        <f>IF(AND(Table13[[#This Row],[Life Cover Amount]]="",Table13[[#This Row],[Funeral Cover Amount]]=""),0,onboarding_calcs!AA185)</f>
        <v>0</v>
      </c>
      <c r="V185" s="111"/>
      <c r="W185" s="111"/>
      <c r="X185" s="333"/>
      <c r="Y185" s="110"/>
      <c r="Z185" s="113"/>
      <c r="AA185" s="425"/>
      <c r="AB185" s="425"/>
      <c r="AC185" s="113"/>
      <c r="AD185" s="110"/>
      <c r="AE185" s="110"/>
      <c r="AF185" s="110"/>
      <c r="AG185" s="110"/>
      <c r="AH185" s="110"/>
      <c r="AI185" s="113"/>
      <c r="AJ185" s="110"/>
      <c r="AK185" s="110"/>
      <c r="AL185" s="110"/>
      <c r="AM185" s="110"/>
      <c r="AN185" s="110"/>
      <c r="AO185" s="113"/>
      <c r="AP185" s="113"/>
      <c r="AQ185" s="113"/>
      <c r="AR185" s="110"/>
      <c r="AS185" s="113"/>
      <c r="AT185" s="113"/>
      <c r="AU185" s="112"/>
      <c r="AV185" s="338"/>
      <c r="AW185" s="110"/>
      <c r="AX185" s="110"/>
      <c r="AY185" s="113"/>
      <c r="AZ185" s="113"/>
      <c r="BA185" s="113"/>
      <c r="BB185" s="113"/>
      <c r="BC185" s="113"/>
      <c r="BD185" s="113"/>
      <c r="BF18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86" spans="1:58" x14ac:dyDescent="0.3">
      <c r="A186" s="422"/>
      <c r="B186" s="376"/>
      <c r="C186" s="110"/>
      <c r="D186" s="110"/>
      <c r="E186" s="340"/>
      <c r="F186" s="330"/>
      <c r="G186" s="113"/>
      <c r="H186" s="332"/>
      <c r="I186" s="113"/>
      <c r="J186" s="332"/>
      <c r="K186" s="110"/>
      <c r="L186" s="110"/>
      <c r="M186" s="110"/>
      <c r="N186" s="110"/>
      <c r="O186" s="111"/>
      <c r="P186" s="424" t="str">
        <f>IF(OR(Table13[[#This Row],[Annual Increase Option]]="No increase",Table13[[#This Row],[Annual Increase Option]]=""),"",_xlfn.XLOOKUP(MONTH(Table13[[#This Row],[Commencement Date]]),Lookups!$I$19:$I$30,Lookups!$J$19:$J$30,0))</f>
        <v/>
      </c>
      <c r="Q186" s="340"/>
      <c r="R186" s="340"/>
      <c r="S186" s="360">
        <f>IF(Table13[[#This Row],[Life Cover Amount]]="",0,Table2[[#This Row],[Life Premium]])</f>
        <v>0</v>
      </c>
      <c r="T186" s="360">
        <f>IF(Table13[[#This Row],[Funeral Cover Amount]]=0,0,Table2[[#This Row],[Funeral Premium]])</f>
        <v>0</v>
      </c>
      <c r="U186" s="360">
        <f>IF(AND(Table13[[#This Row],[Life Cover Amount]]="",Table13[[#This Row],[Funeral Cover Amount]]=""),0,onboarding_calcs!AA186)</f>
        <v>0</v>
      </c>
      <c r="V186" s="111"/>
      <c r="W186" s="111"/>
      <c r="X186" s="333"/>
      <c r="Y186" s="110"/>
      <c r="Z186" s="113"/>
      <c r="AA186" s="425"/>
      <c r="AB186" s="425"/>
      <c r="AC186" s="113"/>
      <c r="AD186" s="110"/>
      <c r="AE186" s="110"/>
      <c r="AF186" s="110"/>
      <c r="AG186" s="110"/>
      <c r="AH186" s="110"/>
      <c r="AI186" s="113"/>
      <c r="AJ186" s="110"/>
      <c r="AK186" s="110"/>
      <c r="AL186" s="110"/>
      <c r="AM186" s="110"/>
      <c r="AN186" s="110"/>
      <c r="AO186" s="113"/>
      <c r="AP186" s="113"/>
      <c r="AQ186" s="113"/>
      <c r="AR186" s="110"/>
      <c r="AS186" s="113"/>
      <c r="AT186" s="113"/>
      <c r="AU186" s="112"/>
      <c r="AV186" s="338"/>
      <c r="AW186" s="110"/>
      <c r="AX186" s="110"/>
      <c r="AY186" s="113"/>
      <c r="AZ186" s="113"/>
      <c r="BA186" s="113"/>
      <c r="BB186" s="113"/>
      <c r="BC186" s="113"/>
      <c r="BD186" s="113"/>
      <c r="BF18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87" spans="1:58" x14ac:dyDescent="0.3">
      <c r="A187" s="422"/>
      <c r="B187" s="376"/>
      <c r="C187" s="110"/>
      <c r="D187" s="110"/>
      <c r="E187" s="340"/>
      <c r="F187" s="330"/>
      <c r="G187" s="113"/>
      <c r="H187" s="332"/>
      <c r="I187" s="113"/>
      <c r="J187" s="332"/>
      <c r="K187" s="110"/>
      <c r="L187" s="110"/>
      <c r="M187" s="110"/>
      <c r="N187" s="110"/>
      <c r="O187" s="111"/>
      <c r="P187" s="424" t="str">
        <f>IF(OR(Table13[[#This Row],[Annual Increase Option]]="No increase",Table13[[#This Row],[Annual Increase Option]]=""),"",_xlfn.XLOOKUP(MONTH(Table13[[#This Row],[Commencement Date]]),Lookups!$I$19:$I$30,Lookups!$J$19:$J$30,0))</f>
        <v/>
      </c>
      <c r="Q187" s="340"/>
      <c r="R187" s="340"/>
      <c r="S187" s="360">
        <f>IF(Table13[[#This Row],[Life Cover Amount]]="",0,Table2[[#This Row],[Life Premium]])</f>
        <v>0</v>
      </c>
      <c r="T187" s="360">
        <f>IF(Table13[[#This Row],[Funeral Cover Amount]]=0,0,Table2[[#This Row],[Funeral Premium]])</f>
        <v>0</v>
      </c>
      <c r="U187" s="360">
        <f>IF(AND(Table13[[#This Row],[Life Cover Amount]]="",Table13[[#This Row],[Funeral Cover Amount]]=""),0,onboarding_calcs!AA187)</f>
        <v>0</v>
      </c>
      <c r="V187" s="111"/>
      <c r="W187" s="111"/>
      <c r="X187" s="333"/>
      <c r="Y187" s="110"/>
      <c r="Z187" s="113"/>
      <c r="AA187" s="425"/>
      <c r="AB187" s="425"/>
      <c r="AC187" s="113"/>
      <c r="AD187" s="110"/>
      <c r="AE187" s="110"/>
      <c r="AF187" s="110"/>
      <c r="AG187" s="110"/>
      <c r="AH187" s="110"/>
      <c r="AI187" s="113"/>
      <c r="AJ187" s="110"/>
      <c r="AK187" s="110"/>
      <c r="AL187" s="110"/>
      <c r="AM187" s="110"/>
      <c r="AN187" s="110"/>
      <c r="AO187" s="113"/>
      <c r="AP187" s="113"/>
      <c r="AQ187" s="113"/>
      <c r="AR187" s="110"/>
      <c r="AS187" s="113"/>
      <c r="AT187" s="113"/>
      <c r="AU187" s="112"/>
      <c r="AV187" s="338"/>
      <c r="AW187" s="110"/>
      <c r="AX187" s="110"/>
      <c r="AY187" s="113"/>
      <c r="AZ187" s="113"/>
      <c r="BA187" s="113"/>
      <c r="BB187" s="113"/>
      <c r="BC187" s="113"/>
      <c r="BD187" s="113"/>
      <c r="BF18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88" spans="1:58" x14ac:dyDescent="0.3">
      <c r="A188" s="422"/>
      <c r="B188" s="376"/>
      <c r="C188" s="110"/>
      <c r="D188" s="110"/>
      <c r="E188" s="340"/>
      <c r="F188" s="330"/>
      <c r="G188" s="113"/>
      <c r="H188" s="332"/>
      <c r="I188" s="113"/>
      <c r="J188" s="332"/>
      <c r="K188" s="110"/>
      <c r="L188" s="110"/>
      <c r="M188" s="110"/>
      <c r="N188" s="110"/>
      <c r="O188" s="111"/>
      <c r="P188" s="424" t="str">
        <f>IF(OR(Table13[[#This Row],[Annual Increase Option]]="No increase",Table13[[#This Row],[Annual Increase Option]]=""),"",_xlfn.XLOOKUP(MONTH(Table13[[#This Row],[Commencement Date]]),Lookups!$I$19:$I$30,Lookups!$J$19:$J$30,0))</f>
        <v/>
      </c>
      <c r="Q188" s="340"/>
      <c r="R188" s="340"/>
      <c r="S188" s="360">
        <f>IF(Table13[[#This Row],[Life Cover Amount]]="",0,Table2[[#This Row],[Life Premium]])</f>
        <v>0</v>
      </c>
      <c r="T188" s="360">
        <f>IF(Table13[[#This Row],[Funeral Cover Amount]]=0,0,Table2[[#This Row],[Funeral Premium]])</f>
        <v>0</v>
      </c>
      <c r="U188" s="360">
        <f>IF(AND(Table13[[#This Row],[Life Cover Amount]]="",Table13[[#This Row],[Funeral Cover Amount]]=""),0,onboarding_calcs!AA188)</f>
        <v>0</v>
      </c>
      <c r="V188" s="111"/>
      <c r="W188" s="111"/>
      <c r="X188" s="333"/>
      <c r="Y188" s="110"/>
      <c r="Z188" s="113"/>
      <c r="AA188" s="425"/>
      <c r="AB188" s="425"/>
      <c r="AC188" s="113"/>
      <c r="AD188" s="110"/>
      <c r="AE188" s="110"/>
      <c r="AF188" s="110"/>
      <c r="AG188" s="110"/>
      <c r="AH188" s="110"/>
      <c r="AI188" s="113"/>
      <c r="AJ188" s="110"/>
      <c r="AK188" s="110"/>
      <c r="AL188" s="110"/>
      <c r="AM188" s="110"/>
      <c r="AN188" s="110"/>
      <c r="AO188" s="113"/>
      <c r="AP188" s="113"/>
      <c r="AQ188" s="113"/>
      <c r="AR188" s="110"/>
      <c r="AS188" s="113"/>
      <c r="AT188" s="113"/>
      <c r="AU188" s="112"/>
      <c r="AV188" s="338"/>
      <c r="AW188" s="110"/>
      <c r="AX188" s="110"/>
      <c r="AY188" s="113"/>
      <c r="AZ188" s="113"/>
      <c r="BA188" s="113"/>
      <c r="BB188" s="113"/>
      <c r="BC188" s="113"/>
      <c r="BD188" s="113"/>
      <c r="BF18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89" spans="1:58" x14ac:dyDescent="0.3">
      <c r="A189" s="422"/>
      <c r="B189" s="376"/>
      <c r="C189" s="110"/>
      <c r="D189" s="110"/>
      <c r="E189" s="340"/>
      <c r="F189" s="330"/>
      <c r="G189" s="113"/>
      <c r="H189" s="332"/>
      <c r="I189" s="113"/>
      <c r="J189" s="332"/>
      <c r="K189" s="110"/>
      <c r="L189" s="110"/>
      <c r="M189" s="110"/>
      <c r="N189" s="110"/>
      <c r="O189" s="111"/>
      <c r="P189" s="424" t="str">
        <f>IF(OR(Table13[[#This Row],[Annual Increase Option]]="No increase",Table13[[#This Row],[Annual Increase Option]]=""),"",_xlfn.XLOOKUP(MONTH(Table13[[#This Row],[Commencement Date]]),Lookups!$I$19:$I$30,Lookups!$J$19:$J$30,0))</f>
        <v/>
      </c>
      <c r="Q189" s="340"/>
      <c r="R189" s="340"/>
      <c r="S189" s="360">
        <f>IF(Table13[[#This Row],[Life Cover Amount]]="",0,Table2[[#This Row],[Life Premium]])</f>
        <v>0</v>
      </c>
      <c r="T189" s="360">
        <f>IF(Table13[[#This Row],[Funeral Cover Amount]]=0,0,Table2[[#This Row],[Funeral Premium]])</f>
        <v>0</v>
      </c>
      <c r="U189" s="360">
        <f>IF(AND(Table13[[#This Row],[Life Cover Amount]]="",Table13[[#This Row],[Funeral Cover Amount]]=""),0,onboarding_calcs!AA189)</f>
        <v>0</v>
      </c>
      <c r="V189" s="111"/>
      <c r="W189" s="111"/>
      <c r="X189" s="333"/>
      <c r="Y189" s="110"/>
      <c r="Z189" s="113"/>
      <c r="AA189" s="425"/>
      <c r="AB189" s="425"/>
      <c r="AC189" s="113"/>
      <c r="AD189" s="110"/>
      <c r="AE189" s="110"/>
      <c r="AF189" s="110"/>
      <c r="AG189" s="110"/>
      <c r="AH189" s="110"/>
      <c r="AI189" s="113"/>
      <c r="AJ189" s="110"/>
      <c r="AK189" s="110"/>
      <c r="AL189" s="110"/>
      <c r="AM189" s="110"/>
      <c r="AN189" s="110"/>
      <c r="AO189" s="113"/>
      <c r="AP189" s="113"/>
      <c r="AQ189" s="113"/>
      <c r="AR189" s="110"/>
      <c r="AS189" s="113"/>
      <c r="AT189" s="113"/>
      <c r="AU189" s="112"/>
      <c r="AV189" s="338"/>
      <c r="AW189" s="110"/>
      <c r="AX189" s="110"/>
      <c r="AY189" s="113"/>
      <c r="AZ189" s="113"/>
      <c r="BA189" s="113"/>
      <c r="BB189" s="113"/>
      <c r="BC189" s="113"/>
      <c r="BD189" s="113"/>
      <c r="BF18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90" spans="1:58" x14ac:dyDescent="0.3">
      <c r="A190" s="422"/>
      <c r="B190" s="376"/>
      <c r="C190" s="110"/>
      <c r="D190" s="110"/>
      <c r="E190" s="340"/>
      <c r="F190" s="330"/>
      <c r="G190" s="113"/>
      <c r="H190" s="332"/>
      <c r="I190" s="113"/>
      <c r="J190" s="332"/>
      <c r="K190" s="110"/>
      <c r="L190" s="110"/>
      <c r="M190" s="110"/>
      <c r="N190" s="110"/>
      <c r="O190" s="111"/>
      <c r="P190" s="424" t="str">
        <f>IF(OR(Table13[[#This Row],[Annual Increase Option]]="No increase",Table13[[#This Row],[Annual Increase Option]]=""),"",_xlfn.XLOOKUP(MONTH(Table13[[#This Row],[Commencement Date]]),Lookups!$I$19:$I$30,Lookups!$J$19:$J$30,0))</f>
        <v/>
      </c>
      <c r="Q190" s="340"/>
      <c r="R190" s="340"/>
      <c r="S190" s="360">
        <f>IF(Table13[[#This Row],[Life Cover Amount]]="",0,Table2[[#This Row],[Life Premium]])</f>
        <v>0</v>
      </c>
      <c r="T190" s="360">
        <f>IF(Table13[[#This Row],[Funeral Cover Amount]]=0,0,Table2[[#This Row],[Funeral Premium]])</f>
        <v>0</v>
      </c>
      <c r="U190" s="360">
        <f>IF(AND(Table13[[#This Row],[Life Cover Amount]]="",Table13[[#This Row],[Funeral Cover Amount]]=""),0,onboarding_calcs!AA190)</f>
        <v>0</v>
      </c>
      <c r="V190" s="111"/>
      <c r="W190" s="111"/>
      <c r="X190" s="333"/>
      <c r="Y190" s="110"/>
      <c r="Z190" s="113"/>
      <c r="AA190" s="425"/>
      <c r="AB190" s="425"/>
      <c r="AC190" s="113"/>
      <c r="AD190" s="110"/>
      <c r="AE190" s="110"/>
      <c r="AF190" s="110"/>
      <c r="AG190" s="110"/>
      <c r="AH190" s="110"/>
      <c r="AI190" s="113"/>
      <c r="AJ190" s="110"/>
      <c r="AK190" s="110"/>
      <c r="AL190" s="110"/>
      <c r="AM190" s="110"/>
      <c r="AN190" s="110"/>
      <c r="AO190" s="113"/>
      <c r="AP190" s="113"/>
      <c r="AQ190" s="113"/>
      <c r="AR190" s="110"/>
      <c r="AS190" s="113"/>
      <c r="AT190" s="113"/>
      <c r="AU190" s="112"/>
      <c r="AV190" s="338"/>
      <c r="AW190" s="110"/>
      <c r="AX190" s="110"/>
      <c r="AY190" s="113"/>
      <c r="AZ190" s="113"/>
      <c r="BA190" s="113"/>
      <c r="BB190" s="113"/>
      <c r="BC190" s="113"/>
      <c r="BD190" s="113"/>
      <c r="BF19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91" spans="1:58" x14ac:dyDescent="0.3">
      <c r="A191" s="422"/>
      <c r="B191" s="376"/>
      <c r="C191" s="110"/>
      <c r="D191" s="110"/>
      <c r="E191" s="340"/>
      <c r="F191" s="330"/>
      <c r="G191" s="113"/>
      <c r="H191" s="332"/>
      <c r="I191" s="113"/>
      <c r="J191" s="332"/>
      <c r="K191" s="110"/>
      <c r="L191" s="110"/>
      <c r="M191" s="110"/>
      <c r="N191" s="110"/>
      <c r="O191" s="111"/>
      <c r="P191" s="424" t="str">
        <f>IF(OR(Table13[[#This Row],[Annual Increase Option]]="No increase",Table13[[#This Row],[Annual Increase Option]]=""),"",_xlfn.XLOOKUP(MONTH(Table13[[#This Row],[Commencement Date]]),Lookups!$I$19:$I$30,Lookups!$J$19:$J$30,0))</f>
        <v/>
      </c>
      <c r="Q191" s="340"/>
      <c r="R191" s="340"/>
      <c r="S191" s="360">
        <f>IF(Table13[[#This Row],[Life Cover Amount]]="",0,Table2[[#This Row],[Life Premium]])</f>
        <v>0</v>
      </c>
      <c r="T191" s="360">
        <f>IF(Table13[[#This Row],[Funeral Cover Amount]]=0,0,Table2[[#This Row],[Funeral Premium]])</f>
        <v>0</v>
      </c>
      <c r="U191" s="360">
        <f>IF(AND(Table13[[#This Row],[Life Cover Amount]]="",Table13[[#This Row],[Funeral Cover Amount]]=""),0,onboarding_calcs!AA191)</f>
        <v>0</v>
      </c>
      <c r="V191" s="111"/>
      <c r="W191" s="111"/>
      <c r="X191" s="333"/>
      <c r="Y191" s="110"/>
      <c r="Z191" s="113"/>
      <c r="AA191" s="425"/>
      <c r="AB191" s="425"/>
      <c r="AC191" s="113"/>
      <c r="AD191" s="110"/>
      <c r="AE191" s="110"/>
      <c r="AF191" s="110"/>
      <c r="AG191" s="110"/>
      <c r="AH191" s="110"/>
      <c r="AI191" s="113"/>
      <c r="AJ191" s="110"/>
      <c r="AK191" s="110"/>
      <c r="AL191" s="110"/>
      <c r="AM191" s="110"/>
      <c r="AN191" s="110"/>
      <c r="AO191" s="113"/>
      <c r="AP191" s="113"/>
      <c r="AQ191" s="113"/>
      <c r="AR191" s="110"/>
      <c r="AS191" s="113"/>
      <c r="AT191" s="113"/>
      <c r="AU191" s="112"/>
      <c r="AV191" s="338"/>
      <c r="AW191" s="110"/>
      <c r="AX191" s="110"/>
      <c r="AY191" s="113"/>
      <c r="AZ191" s="113"/>
      <c r="BA191" s="113"/>
      <c r="BB191" s="113"/>
      <c r="BC191" s="113"/>
      <c r="BD191" s="113"/>
      <c r="BF19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92" spans="1:58" x14ac:dyDescent="0.3">
      <c r="A192" s="422"/>
      <c r="B192" s="376"/>
      <c r="C192" s="110"/>
      <c r="D192" s="110"/>
      <c r="E192" s="340"/>
      <c r="F192" s="330"/>
      <c r="G192" s="113"/>
      <c r="H192" s="332"/>
      <c r="I192" s="113"/>
      <c r="J192" s="332"/>
      <c r="K192" s="110"/>
      <c r="L192" s="110"/>
      <c r="M192" s="110"/>
      <c r="N192" s="110"/>
      <c r="O192" s="111"/>
      <c r="P192" s="424" t="str">
        <f>IF(OR(Table13[[#This Row],[Annual Increase Option]]="No increase",Table13[[#This Row],[Annual Increase Option]]=""),"",_xlfn.XLOOKUP(MONTH(Table13[[#This Row],[Commencement Date]]),Lookups!$I$19:$I$30,Lookups!$J$19:$J$30,0))</f>
        <v/>
      </c>
      <c r="Q192" s="340"/>
      <c r="R192" s="340"/>
      <c r="S192" s="360">
        <f>IF(Table13[[#This Row],[Life Cover Amount]]="",0,Table2[[#This Row],[Life Premium]])</f>
        <v>0</v>
      </c>
      <c r="T192" s="360">
        <f>IF(Table13[[#This Row],[Funeral Cover Amount]]=0,0,Table2[[#This Row],[Funeral Premium]])</f>
        <v>0</v>
      </c>
      <c r="U192" s="360">
        <f>IF(AND(Table13[[#This Row],[Life Cover Amount]]="",Table13[[#This Row],[Funeral Cover Amount]]=""),0,onboarding_calcs!AA192)</f>
        <v>0</v>
      </c>
      <c r="V192" s="111"/>
      <c r="W192" s="111"/>
      <c r="X192" s="333"/>
      <c r="Y192" s="110"/>
      <c r="Z192" s="113"/>
      <c r="AA192" s="425"/>
      <c r="AB192" s="425"/>
      <c r="AC192" s="113"/>
      <c r="AD192" s="110"/>
      <c r="AE192" s="110"/>
      <c r="AF192" s="110"/>
      <c r="AG192" s="110"/>
      <c r="AH192" s="110"/>
      <c r="AI192" s="113"/>
      <c r="AJ192" s="110"/>
      <c r="AK192" s="110"/>
      <c r="AL192" s="110"/>
      <c r="AM192" s="110"/>
      <c r="AN192" s="110"/>
      <c r="AO192" s="113"/>
      <c r="AP192" s="113"/>
      <c r="AQ192" s="113"/>
      <c r="AR192" s="110"/>
      <c r="AS192" s="113"/>
      <c r="AT192" s="113"/>
      <c r="AU192" s="112"/>
      <c r="AV192" s="338"/>
      <c r="AW192" s="110"/>
      <c r="AX192" s="110"/>
      <c r="AY192" s="113"/>
      <c r="AZ192" s="113"/>
      <c r="BA192" s="113"/>
      <c r="BB192" s="113"/>
      <c r="BC192" s="113"/>
      <c r="BD192" s="113"/>
      <c r="BF19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93" spans="1:58" x14ac:dyDescent="0.3">
      <c r="A193" s="422"/>
      <c r="B193" s="376"/>
      <c r="C193" s="110"/>
      <c r="D193" s="110"/>
      <c r="E193" s="340"/>
      <c r="F193" s="330"/>
      <c r="G193" s="113"/>
      <c r="H193" s="332"/>
      <c r="I193" s="113"/>
      <c r="J193" s="332"/>
      <c r="K193" s="110"/>
      <c r="L193" s="110"/>
      <c r="M193" s="110"/>
      <c r="N193" s="110"/>
      <c r="O193" s="111"/>
      <c r="P193" s="424" t="str">
        <f>IF(OR(Table13[[#This Row],[Annual Increase Option]]="No increase",Table13[[#This Row],[Annual Increase Option]]=""),"",_xlfn.XLOOKUP(MONTH(Table13[[#This Row],[Commencement Date]]),Lookups!$I$19:$I$30,Lookups!$J$19:$J$30,0))</f>
        <v/>
      </c>
      <c r="Q193" s="340"/>
      <c r="R193" s="340"/>
      <c r="S193" s="360">
        <f>IF(Table13[[#This Row],[Life Cover Amount]]="",0,Table2[[#This Row],[Life Premium]])</f>
        <v>0</v>
      </c>
      <c r="T193" s="360">
        <f>IF(Table13[[#This Row],[Funeral Cover Amount]]=0,0,Table2[[#This Row],[Funeral Premium]])</f>
        <v>0</v>
      </c>
      <c r="U193" s="360">
        <f>IF(AND(Table13[[#This Row],[Life Cover Amount]]="",Table13[[#This Row],[Funeral Cover Amount]]=""),0,onboarding_calcs!AA193)</f>
        <v>0</v>
      </c>
      <c r="V193" s="111"/>
      <c r="W193" s="111"/>
      <c r="X193" s="333"/>
      <c r="Y193" s="110"/>
      <c r="Z193" s="113"/>
      <c r="AA193" s="425"/>
      <c r="AB193" s="425"/>
      <c r="AC193" s="113"/>
      <c r="AD193" s="110"/>
      <c r="AE193" s="110"/>
      <c r="AF193" s="110"/>
      <c r="AG193" s="110"/>
      <c r="AH193" s="110"/>
      <c r="AI193" s="113"/>
      <c r="AJ193" s="110"/>
      <c r="AK193" s="110"/>
      <c r="AL193" s="110"/>
      <c r="AM193" s="110"/>
      <c r="AN193" s="110"/>
      <c r="AO193" s="113"/>
      <c r="AP193" s="113"/>
      <c r="AQ193" s="113"/>
      <c r="AR193" s="110"/>
      <c r="AS193" s="113"/>
      <c r="AT193" s="113"/>
      <c r="AU193" s="112"/>
      <c r="AV193" s="338"/>
      <c r="AW193" s="110"/>
      <c r="AX193" s="110"/>
      <c r="AY193" s="113"/>
      <c r="AZ193" s="113"/>
      <c r="BA193" s="113"/>
      <c r="BB193" s="113"/>
      <c r="BC193" s="113"/>
      <c r="BD193" s="113"/>
      <c r="BF19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94" spans="1:58" x14ac:dyDescent="0.3">
      <c r="A194" s="422"/>
      <c r="B194" s="376"/>
      <c r="C194" s="110"/>
      <c r="D194" s="110"/>
      <c r="E194" s="340"/>
      <c r="F194" s="330"/>
      <c r="G194" s="113"/>
      <c r="H194" s="332"/>
      <c r="I194" s="113"/>
      <c r="J194" s="332"/>
      <c r="K194" s="110"/>
      <c r="L194" s="110"/>
      <c r="M194" s="110"/>
      <c r="N194" s="110"/>
      <c r="O194" s="111"/>
      <c r="P194" s="424" t="str">
        <f>IF(OR(Table13[[#This Row],[Annual Increase Option]]="No increase",Table13[[#This Row],[Annual Increase Option]]=""),"",_xlfn.XLOOKUP(MONTH(Table13[[#This Row],[Commencement Date]]),Lookups!$I$19:$I$30,Lookups!$J$19:$J$30,0))</f>
        <v/>
      </c>
      <c r="Q194" s="340"/>
      <c r="R194" s="340"/>
      <c r="S194" s="360">
        <f>IF(Table13[[#This Row],[Life Cover Amount]]="",0,Table2[[#This Row],[Life Premium]])</f>
        <v>0</v>
      </c>
      <c r="T194" s="360">
        <f>IF(Table13[[#This Row],[Funeral Cover Amount]]=0,0,Table2[[#This Row],[Funeral Premium]])</f>
        <v>0</v>
      </c>
      <c r="U194" s="360">
        <f>IF(AND(Table13[[#This Row],[Life Cover Amount]]="",Table13[[#This Row],[Funeral Cover Amount]]=""),0,onboarding_calcs!AA194)</f>
        <v>0</v>
      </c>
      <c r="V194" s="111"/>
      <c r="W194" s="111"/>
      <c r="X194" s="333"/>
      <c r="Y194" s="110"/>
      <c r="Z194" s="113"/>
      <c r="AA194" s="425"/>
      <c r="AB194" s="425"/>
      <c r="AC194" s="113"/>
      <c r="AD194" s="110"/>
      <c r="AE194" s="110"/>
      <c r="AF194" s="110"/>
      <c r="AG194" s="110"/>
      <c r="AH194" s="110"/>
      <c r="AI194" s="113"/>
      <c r="AJ194" s="110"/>
      <c r="AK194" s="110"/>
      <c r="AL194" s="110"/>
      <c r="AM194" s="110"/>
      <c r="AN194" s="110"/>
      <c r="AO194" s="113"/>
      <c r="AP194" s="113"/>
      <c r="AQ194" s="113"/>
      <c r="AR194" s="110"/>
      <c r="AS194" s="113"/>
      <c r="AT194" s="113"/>
      <c r="AU194" s="112"/>
      <c r="AV194" s="338"/>
      <c r="AW194" s="110"/>
      <c r="AX194" s="110"/>
      <c r="AY194" s="113"/>
      <c r="AZ194" s="113"/>
      <c r="BA194" s="113"/>
      <c r="BB194" s="113"/>
      <c r="BC194" s="113"/>
      <c r="BD194" s="113"/>
      <c r="BF19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95" spans="1:58" x14ac:dyDescent="0.3">
      <c r="A195" s="422"/>
      <c r="B195" s="376"/>
      <c r="C195" s="110"/>
      <c r="D195" s="110"/>
      <c r="E195" s="340"/>
      <c r="F195" s="330"/>
      <c r="G195" s="113"/>
      <c r="H195" s="332"/>
      <c r="I195" s="113"/>
      <c r="J195" s="332"/>
      <c r="K195" s="110"/>
      <c r="L195" s="110"/>
      <c r="M195" s="110"/>
      <c r="N195" s="110"/>
      <c r="O195" s="111"/>
      <c r="P195" s="424" t="str">
        <f>IF(OR(Table13[[#This Row],[Annual Increase Option]]="No increase",Table13[[#This Row],[Annual Increase Option]]=""),"",_xlfn.XLOOKUP(MONTH(Table13[[#This Row],[Commencement Date]]),Lookups!$I$19:$I$30,Lookups!$J$19:$J$30,0))</f>
        <v/>
      </c>
      <c r="Q195" s="340"/>
      <c r="R195" s="340"/>
      <c r="S195" s="360">
        <f>IF(Table13[[#This Row],[Life Cover Amount]]="",0,Table2[[#This Row],[Life Premium]])</f>
        <v>0</v>
      </c>
      <c r="T195" s="360">
        <f>IF(Table13[[#This Row],[Funeral Cover Amount]]=0,0,Table2[[#This Row],[Funeral Premium]])</f>
        <v>0</v>
      </c>
      <c r="U195" s="360">
        <f>IF(AND(Table13[[#This Row],[Life Cover Amount]]="",Table13[[#This Row],[Funeral Cover Amount]]=""),0,onboarding_calcs!AA195)</f>
        <v>0</v>
      </c>
      <c r="V195" s="111"/>
      <c r="W195" s="111"/>
      <c r="X195" s="333"/>
      <c r="Y195" s="110"/>
      <c r="Z195" s="113"/>
      <c r="AA195" s="425"/>
      <c r="AB195" s="425"/>
      <c r="AC195" s="113"/>
      <c r="AD195" s="110"/>
      <c r="AE195" s="110"/>
      <c r="AF195" s="110"/>
      <c r="AG195" s="110"/>
      <c r="AH195" s="110"/>
      <c r="AI195" s="113"/>
      <c r="AJ195" s="110"/>
      <c r="AK195" s="110"/>
      <c r="AL195" s="110"/>
      <c r="AM195" s="110"/>
      <c r="AN195" s="110"/>
      <c r="AO195" s="113"/>
      <c r="AP195" s="113"/>
      <c r="AQ195" s="113"/>
      <c r="AR195" s="110"/>
      <c r="AS195" s="113"/>
      <c r="AT195" s="113"/>
      <c r="AU195" s="112"/>
      <c r="AV195" s="338"/>
      <c r="AW195" s="110"/>
      <c r="AX195" s="110"/>
      <c r="AY195" s="113"/>
      <c r="AZ195" s="113"/>
      <c r="BA195" s="113"/>
      <c r="BB195" s="113"/>
      <c r="BC195" s="113"/>
      <c r="BD195" s="113"/>
      <c r="BF19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96" spans="1:58" x14ac:dyDescent="0.3">
      <c r="A196" s="422"/>
      <c r="B196" s="376"/>
      <c r="C196" s="110"/>
      <c r="D196" s="110"/>
      <c r="E196" s="340"/>
      <c r="F196" s="330"/>
      <c r="G196" s="113"/>
      <c r="H196" s="332"/>
      <c r="I196" s="113"/>
      <c r="J196" s="332"/>
      <c r="K196" s="110"/>
      <c r="L196" s="110"/>
      <c r="M196" s="110"/>
      <c r="N196" s="110"/>
      <c r="O196" s="111"/>
      <c r="P196" s="424" t="str">
        <f>IF(OR(Table13[[#This Row],[Annual Increase Option]]="No increase",Table13[[#This Row],[Annual Increase Option]]=""),"",_xlfn.XLOOKUP(MONTH(Table13[[#This Row],[Commencement Date]]),Lookups!$I$19:$I$30,Lookups!$J$19:$J$30,0))</f>
        <v/>
      </c>
      <c r="Q196" s="340"/>
      <c r="R196" s="340"/>
      <c r="S196" s="360">
        <f>IF(Table13[[#This Row],[Life Cover Amount]]="",0,Table2[[#This Row],[Life Premium]])</f>
        <v>0</v>
      </c>
      <c r="T196" s="360">
        <f>IF(Table13[[#This Row],[Funeral Cover Amount]]=0,0,Table2[[#This Row],[Funeral Premium]])</f>
        <v>0</v>
      </c>
      <c r="U196" s="360">
        <f>IF(AND(Table13[[#This Row],[Life Cover Amount]]="",Table13[[#This Row],[Funeral Cover Amount]]=""),0,onboarding_calcs!AA196)</f>
        <v>0</v>
      </c>
      <c r="V196" s="111"/>
      <c r="W196" s="111"/>
      <c r="X196" s="333"/>
      <c r="Y196" s="110"/>
      <c r="Z196" s="113"/>
      <c r="AA196" s="425"/>
      <c r="AB196" s="425"/>
      <c r="AC196" s="113"/>
      <c r="AD196" s="110"/>
      <c r="AE196" s="110"/>
      <c r="AF196" s="110"/>
      <c r="AG196" s="110"/>
      <c r="AH196" s="110"/>
      <c r="AI196" s="113"/>
      <c r="AJ196" s="110"/>
      <c r="AK196" s="110"/>
      <c r="AL196" s="110"/>
      <c r="AM196" s="110"/>
      <c r="AN196" s="110"/>
      <c r="AO196" s="113"/>
      <c r="AP196" s="113"/>
      <c r="AQ196" s="113"/>
      <c r="AR196" s="110"/>
      <c r="AS196" s="113"/>
      <c r="AT196" s="113"/>
      <c r="AU196" s="112"/>
      <c r="AV196" s="338"/>
      <c r="AW196" s="110"/>
      <c r="AX196" s="110"/>
      <c r="AY196" s="113"/>
      <c r="AZ196" s="113"/>
      <c r="BA196" s="113"/>
      <c r="BB196" s="113"/>
      <c r="BC196" s="113"/>
      <c r="BD196" s="113"/>
      <c r="BF19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97" spans="1:58" x14ac:dyDescent="0.3">
      <c r="A197" s="422"/>
      <c r="B197" s="376"/>
      <c r="C197" s="110"/>
      <c r="D197" s="110"/>
      <c r="E197" s="340"/>
      <c r="F197" s="330"/>
      <c r="G197" s="113"/>
      <c r="H197" s="332"/>
      <c r="I197" s="113"/>
      <c r="J197" s="332"/>
      <c r="K197" s="110"/>
      <c r="L197" s="110"/>
      <c r="M197" s="110"/>
      <c r="N197" s="110"/>
      <c r="O197" s="111"/>
      <c r="P197" s="424" t="str">
        <f>IF(OR(Table13[[#This Row],[Annual Increase Option]]="No increase",Table13[[#This Row],[Annual Increase Option]]=""),"",_xlfn.XLOOKUP(MONTH(Table13[[#This Row],[Commencement Date]]),Lookups!$I$19:$I$30,Lookups!$J$19:$J$30,0))</f>
        <v/>
      </c>
      <c r="Q197" s="340"/>
      <c r="R197" s="340"/>
      <c r="S197" s="360">
        <f>IF(Table13[[#This Row],[Life Cover Amount]]="",0,Table2[[#This Row],[Life Premium]])</f>
        <v>0</v>
      </c>
      <c r="T197" s="360">
        <f>IF(Table13[[#This Row],[Funeral Cover Amount]]=0,0,Table2[[#This Row],[Funeral Premium]])</f>
        <v>0</v>
      </c>
      <c r="U197" s="360">
        <f>IF(AND(Table13[[#This Row],[Life Cover Amount]]="",Table13[[#This Row],[Funeral Cover Amount]]=""),0,onboarding_calcs!AA197)</f>
        <v>0</v>
      </c>
      <c r="V197" s="111"/>
      <c r="W197" s="111"/>
      <c r="X197" s="333"/>
      <c r="Y197" s="110"/>
      <c r="Z197" s="113"/>
      <c r="AA197" s="425"/>
      <c r="AB197" s="425"/>
      <c r="AC197" s="113"/>
      <c r="AD197" s="110"/>
      <c r="AE197" s="110"/>
      <c r="AF197" s="110"/>
      <c r="AG197" s="110"/>
      <c r="AH197" s="110"/>
      <c r="AI197" s="113"/>
      <c r="AJ197" s="110"/>
      <c r="AK197" s="110"/>
      <c r="AL197" s="110"/>
      <c r="AM197" s="110"/>
      <c r="AN197" s="110"/>
      <c r="AO197" s="113"/>
      <c r="AP197" s="113"/>
      <c r="AQ197" s="113"/>
      <c r="AR197" s="110"/>
      <c r="AS197" s="113"/>
      <c r="AT197" s="113"/>
      <c r="AU197" s="112"/>
      <c r="AV197" s="338"/>
      <c r="AW197" s="110"/>
      <c r="AX197" s="110"/>
      <c r="AY197" s="113"/>
      <c r="AZ197" s="113"/>
      <c r="BA197" s="113"/>
      <c r="BB197" s="113"/>
      <c r="BC197" s="113"/>
      <c r="BD197" s="113"/>
      <c r="BF19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98" spans="1:58" x14ac:dyDescent="0.3">
      <c r="A198" s="422"/>
      <c r="B198" s="376"/>
      <c r="C198" s="110"/>
      <c r="D198" s="110"/>
      <c r="E198" s="340"/>
      <c r="F198" s="330"/>
      <c r="G198" s="113"/>
      <c r="H198" s="332"/>
      <c r="I198" s="113"/>
      <c r="J198" s="332"/>
      <c r="K198" s="110"/>
      <c r="L198" s="110"/>
      <c r="M198" s="110"/>
      <c r="N198" s="110"/>
      <c r="O198" s="111"/>
      <c r="P198" s="424" t="str">
        <f>IF(OR(Table13[[#This Row],[Annual Increase Option]]="No increase",Table13[[#This Row],[Annual Increase Option]]=""),"",_xlfn.XLOOKUP(MONTH(Table13[[#This Row],[Commencement Date]]),Lookups!$I$19:$I$30,Lookups!$J$19:$J$30,0))</f>
        <v/>
      </c>
      <c r="Q198" s="340"/>
      <c r="R198" s="340"/>
      <c r="S198" s="360">
        <f>IF(Table13[[#This Row],[Life Cover Amount]]="",0,Table2[[#This Row],[Life Premium]])</f>
        <v>0</v>
      </c>
      <c r="T198" s="360">
        <f>IF(Table13[[#This Row],[Funeral Cover Amount]]=0,0,Table2[[#This Row],[Funeral Premium]])</f>
        <v>0</v>
      </c>
      <c r="U198" s="360">
        <f>IF(AND(Table13[[#This Row],[Life Cover Amount]]="",Table13[[#This Row],[Funeral Cover Amount]]=""),0,onboarding_calcs!AA198)</f>
        <v>0</v>
      </c>
      <c r="V198" s="111"/>
      <c r="W198" s="111"/>
      <c r="X198" s="333"/>
      <c r="Y198" s="110"/>
      <c r="Z198" s="113"/>
      <c r="AA198" s="425"/>
      <c r="AB198" s="425"/>
      <c r="AC198" s="113"/>
      <c r="AD198" s="110"/>
      <c r="AE198" s="110"/>
      <c r="AF198" s="110"/>
      <c r="AG198" s="110"/>
      <c r="AH198" s="110"/>
      <c r="AI198" s="113"/>
      <c r="AJ198" s="110"/>
      <c r="AK198" s="110"/>
      <c r="AL198" s="110"/>
      <c r="AM198" s="110"/>
      <c r="AN198" s="110"/>
      <c r="AO198" s="113"/>
      <c r="AP198" s="113"/>
      <c r="AQ198" s="113"/>
      <c r="AR198" s="110"/>
      <c r="AS198" s="113"/>
      <c r="AT198" s="113"/>
      <c r="AU198" s="112"/>
      <c r="AV198" s="338"/>
      <c r="AW198" s="110"/>
      <c r="AX198" s="110"/>
      <c r="AY198" s="113"/>
      <c r="AZ198" s="113"/>
      <c r="BA198" s="113"/>
      <c r="BB198" s="113"/>
      <c r="BC198" s="113"/>
      <c r="BD198" s="113"/>
      <c r="BF19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199" spans="1:58" x14ac:dyDescent="0.3">
      <c r="A199" s="422"/>
      <c r="B199" s="376"/>
      <c r="C199" s="110"/>
      <c r="D199" s="110"/>
      <c r="E199" s="340"/>
      <c r="F199" s="330"/>
      <c r="G199" s="113"/>
      <c r="H199" s="332"/>
      <c r="I199" s="113"/>
      <c r="J199" s="332"/>
      <c r="K199" s="110"/>
      <c r="L199" s="110"/>
      <c r="M199" s="110"/>
      <c r="N199" s="110"/>
      <c r="O199" s="111"/>
      <c r="P199" s="424" t="str">
        <f>IF(OR(Table13[[#This Row],[Annual Increase Option]]="No increase",Table13[[#This Row],[Annual Increase Option]]=""),"",_xlfn.XLOOKUP(MONTH(Table13[[#This Row],[Commencement Date]]),Lookups!$I$19:$I$30,Lookups!$J$19:$J$30,0))</f>
        <v/>
      </c>
      <c r="Q199" s="340"/>
      <c r="R199" s="340"/>
      <c r="S199" s="360">
        <f>IF(Table13[[#This Row],[Life Cover Amount]]="",0,Table2[[#This Row],[Life Premium]])</f>
        <v>0</v>
      </c>
      <c r="T199" s="360">
        <f>IF(Table13[[#This Row],[Funeral Cover Amount]]=0,0,Table2[[#This Row],[Funeral Premium]])</f>
        <v>0</v>
      </c>
      <c r="U199" s="360">
        <f>IF(AND(Table13[[#This Row],[Life Cover Amount]]="",Table13[[#This Row],[Funeral Cover Amount]]=""),0,onboarding_calcs!AA199)</f>
        <v>0</v>
      </c>
      <c r="V199" s="111"/>
      <c r="W199" s="111"/>
      <c r="X199" s="333"/>
      <c r="Y199" s="110"/>
      <c r="Z199" s="113"/>
      <c r="AA199" s="425"/>
      <c r="AB199" s="425"/>
      <c r="AC199" s="113"/>
      <c r="AD199" s="110"/>
      <c r="AE199" s="110"/>
      <c r="AF199" s="110"/>
      <c r="AG199" s="110"/>
      <c r="AH199" s="110"/>
      <c r="AI199" s="113"/>
      <c r="AJ199" s="110"/>
      <c r="AK199" s="110"/>
      <c r="AL199" s="110"/>
      <c r="AM199" s="110"/>
      <c r="AN199" s="110"/>
      <c r="AO199" s="113"/>
      <c r="AP199" s="113"/>
      <c r="AQ199" s="113"/>
      <c r="AR199" s="110"/>
      <c r="AS199" s="113"/>
      <c r="AT199" s="113"/>
      <c r="AU199" s="112"/>
      <c r="AV199" s="338"/>
      <c r="AW199" s="110"/>
      <c r="AX199" s="110"/>
      <c r="AY199" s="113"/>
      <c r="AZ199" s="113"/>
      <c r="BA199" s="113"/>
      <c r="BB199" s="113"/>
      <c r="BC199" s="113"/>
      <c r="BD199" s="113"/>
      <c r="BF19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00" spans="1:58" x14ac:dyDescent="0.3">
      <c r="A200" s="422"/>
      <c r="B200" s="376"/>
      <c r="C200" s="110"/>
      <c r="D200" s="110"/>
      <c r="E200" s="340"/>
      <c r="F200" s="330"/>
      <c r="G200" s="113"/>
      <c r="H200" s="332"/>
      <c r="I200" s="113"/>
      <c r="J200" s="332"/>
      <c r="K200" s="110"/>
      <c r="L200" s="110"/>
      <c r="M200" s="110"/>
      <c r="N200" s="110"/>
      <c r="O200" s="111"/>
      <c r="P200" s="424" t="str">
        <f>IF(OR(Table13[[#This Row],[Annual Increase Option]]="No increase",Table13[[#This Row],[Annual Increase Option]]=""),"",_xlfn.XLOOKUP(MONTH(Table13[[#This Row],[Commencement Date]]),Lookups!$I$19:$I$30,Lookups!$J$19:$J$30,0))</f>
        <v/>
      </c>
      <c r="Q200" s="340"/>
      <c r="R200" s="340"/>
      <c r="S200" s="360">
        <f>IF(Table13[[#This Row],[Life Cover Amount]]="",0,Table2[[#This Row],[Life Premium]])</f>
        <v>0</v>
      </c>
      <c r="T200" s="360">
        <f>IF(Table13[[#This Row],[Funeral Cover Amount]]=0,0,Table2[[#This Row],[Funeral Premium]])</f>
        <v>0</v>
      </c>
      <c r="U200" s="360">
        <f>IF(AND(Table13[[#This Row],[Life Cover Amount]]="",Table13[[#This Row],[Funeral Cover Amount]]=""),0,onboarding_calcs!AA200)</f>
        <v>0</v>
      </c>
      <c r="V200" s="111"/>
      <c r="W200" s="111"/>
      <c r="X200" s="333"/>
      <c r="Y200" s="110"/>
      <c r="Z200" s="113"/>
      <c r="AA200" s="425"/>
      <c r="AB200" s="425"/>
      <c r="AC200" s="113"/>
      <c r="AD200" s="110"/>
      <c r="AE200" s="110"/>
      <c r="AF200" s="110"/>
      <c r="AG200" s="110"/>
      <c r="AH200" s="110"/>
      <c r="AI200" s="113"/>
      <c r="AJ200" s="110"/>
      <c r="AK200" s="110"/>
      <c r="AL200" s="110"/>
      <c r="AM200" s="110"/>
      <c r="AN200" s="110"/>
      <c r="AO200" s="113"/>
      <c r="AP200" s="113"/>
      <c r="AQ200" s="113"/>
      <c r="AR200" s="110"/>
      <c r="AS200" s="113"/>
      <c r="AT200" s="113"/>
      <c r="AU200" s="112"/>
      <c r="AV200" s="338"/>
      <c r="AW200" s="110"/>
      <c r="AX200" s="110"/>
      <c r="AY200" s="113"/>
      <c r="AZ200" s="113"/>
      <c r="BA200" s="113"/>
      <c r="BB200" s="113"/>
      <c r="BC200" s="113"/>
      <c r="BD200" s="113"/>
      <c r="BF20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01" spans="1:58" x14ac:dyDescent="0.3">
      <c r="A201" s="422"/>
      <c r="B201" s="376"/>
      <c r="C201" s="110"/>
      <c r="D201" s="110"/>
      <c r="E201" s="340"/>
      <c r="F201" s="330"/>
      <c r="G201" s="113"/>
      <c r="H201" s="332"/>
      <c r="I201" s="113"/>
      <c r="J201" s="332"/>
      <c r="K201" s="110"/>
      <c r="L201" s="110"/>
      <c r="M201" s="110"/>
      <c r="N201" s="110"/>
      <c r="O201" s="111"/>
      <c r="P201" s="424" t="str">
        <f>IF(OR(Table13[[#This Row],[Annual Increase Option]]="No increase",Table13[[#This Row],[Annual Increase Option]]=""),"",_xlfn.XLOOKUP(MONTH(Table13[[#This Row],[Commencement Date]]),Lookups!$I$19:$I$30,Lookups!$J$19:$J$30,0))</f>
        <v/>
      </c>
      <c r="Q201" s="340"/>
      <c r="R201" s="340"/>
      <c r="S201" s="360">
        <f>IF(Table13[[#This Row],[Life Cover Amount]]="",0,Table2[[#This Row],[Life Premium]])</f>
        <v>0</v>
      </c>
      <c r="T201" s="360">
        <f>IF(Table13[[#This Row],[Funeral Cover Amount]]=0,0,Table2[[#This Row],[Funeral Premium]])</f>
        <v>0</v>
      </c>
      <c r="U201" s="360">
        <f>IF(AND(Table13[[#This Row],[Life Cover Amount]]="",Table13[[#This Row],[Funeral Cover Amount]]=""),0,onboarding_calcs!AA201)</f>
        <v>0</v>
      </c>
      <c r="V201" s="111"/>
      <c r="W201" s="111"/>
      <c r="X201" s="333"/>
      <c r="Y201" s="110"/>
      <c r="Z201" s="113"/>
      <c r="AA201" s="425"/>
      <c r="AB201" s="425"/>
      <c r="AC201" s="113"/>
      <c r="AD201" s="110"/>
      <c r="AE201" s="110"/>
      <c r="AF201" s="110"/>
      <c r="AG201" s="110"/>
      <c r="AH201" s="110"/>
      <c r="AI201" s="113"/>
      <c r="AJ201" s="110"/>
      <c r="AK201" s="110"/>
      <c r="AL201" s="110"/>
      <c r="AM201" s="110"/>
      <c r="AN201" s="110"/>
      <c r="AO201" s="113"/>
      <c r="AP201" s="113"/>
      <c r="AQ201" s="113"/>
      <c r="AR201" s="110"/>
      <c r="AS201" s="113"/>
      <c r="AT201" s="113"/>
      <c r="AU201" s="112"/>
      <c r="AV201" s="338"/>
      <c r="AW201" s="110"/>
      <c r="AX201" s="110"/>
      <c r="AY201" s="113"/>
      <c r="AZ201" s="113"/>
      <c r="BA201" s="113"/>
      <c r="BB201" s="113"/>
      <c r="BC201" s="113"/>
      <c r="BD201" s="113"/>
      <c r="BF20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02" spans="1:58" x14ac:dyDescent="0.3">
      <c r="A202" s="422"/>
      <c r="B202" s="376"/>
      <c r="C202" s="110"/>
      <c r="D202" s="110"/>
      <c r="E202" s="340"/>
      <c r="F202" s="330"/>
      <c r="G202" s="113"/>
      <c r="H202" s="332"/>
      <c r="I202" s="113"/>
      <c r="J202" s="332"/>
      <c r="K202" s="110"/>
      <c r="L202" s="110"/>
      <c r="M202" s="110"/>
      <c r="N202" s="110"/>
      <c r="O202" s="111"/>
      <c r="P202" s="424" t="str">
        <f>IF(OR(Table13[[#This Row],[Annual Increase Option]]="No increase",Table13[[#This Row],[Annual Increase Option]]=""),"",_xlfn.XLOOKUP(MONTH(Table13[[#This Row],[Commencement Date]]),Lookups!$I$19:$I$30,Lookups!$J$19:$J$30,0))</f>
        <v/>
      </c>
      <c r="Q202" s="340"/>
      <c r="R202" s="340"/>
      <c r="S202" s="360">
        <f>IF(Table13[[#This Row],[Life Cover Amount]]="",0,Table2[[#This Row],[Life Premium]])</f>
        <v>0</v>
      </c>
      <c r="T202" s="360">
        <f>IF(Table13[[#This Row],[Funeral Cover Amount]]=0,0,Table2[[#This Row],[Funeral Premium]])</f>
        <v>0</v>
      </c>
      <c r="U202" s="360">
        <f>IF(AND(Table13[[#This Row],[Life Cover Amount]]="",Table13[[#This Row],[Funeral Cover Amount]]=""),0,onboarding_calcs!AA202)</f>
        <v>0</v>
      </c>
      <c r="V202" s="111"/>
      <c r="W202" s="111"/>
      <c r="X202" s="333"/>
      <c r="Y202" s="110"/>
      <c r="Z202" s="113"/>
      <c r="AA202" s="425"/>
      <c r="AB202" s="425"/>
      <c r="AC202" s="113"/>
      <c r="AD202" s="110"/>
      <c r="AE202" s="110"/>
      <c r="AF202" s="110"/>
      <c r="AG202" s="110"/>
      <c r="AH202" s="110"/>
      <c r="AI202" s="113"/>
      <c r="AJ202" s="110"/>
      <c r="AK202" s="110"/>
      <c r="AL202" s="110"/>
      <c r="AM202" s="110"/>
      <c r="AN202" s="110"/>
      <c r="AO202" s="113"/>
      <c r="AP202" s="113"/>
      <c r="AQ202" s="113"/>
      <c r="AR202" s="110"/>
      <c r="AS202" s="113"/>
      <c r="AT202" s="113"/>
      <c r="AU202" s="112"/>
      <c r="AV202" s="338"/>
      <c r="AW202" s="110"/>
      <c r="AX202" s="110"/>
      <c r="AY202" s="113"/>
      <c r="AZ202" s="113"/>
      <c r="BA202" s="113"/>
      <c r="BB202" s="113"/>
      <c r="BC202" s="113"/>
      <c r="BD202" s="113"/>
      <c r="BF20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03" spans="1:58" x14ac:dyDescent="0.3">
      <c r="A203" s="422"/>
      <c r="B203" s="376"/>
      <c r="C203" s="110"/>
      <c r="D203" s="110"/>
      <c r="E203" s="340"/>
      <c r="F203" s="330"/>
      <c r="G203" s="113"/>
      <c r="H203" s="332"/>
      <c r="I203" s="113"/>
      <c r="J203" s="332"/>
      <c r="K203" s="110"/>
      <c r="L203" s="110"/>
      <c r="M203" s="110"/>
      <c r="N203" s="110"/>
      <c r="O203" s="111"/>
      <c r="P203" s="424" t="str">
        <f>IF(OR(Table13[[#This Row],[Annual Increase Option]]="No increase",Table13[[#This Row],[Annual Increase Option]]=""),"",_xlfn.XLOOKUP(MONTH(Table13[[#This Row],[Commencement Date]]),Lookups!$I$19:$I$30,Lookups!$J$19:$J$30,0))</f>
        <v/>
      </c>
      <c r="Q203" s="340"/>
      <c r="R203" s="340"/>
      <c r="S203" s="360">
        <f>IF(Table13[[#This Row],[Life Cover Amount]]="",0,Table2[[#This Row],[Life Premium]])</f>
        <v>0</v>
      </c>
      <c r="T203" s="360">
        <f>IF(Table13[[#This Row],[Funeral Cover Amount]]=0,0,Table2[[#This Row],[Funeral Premium]])</f>
        <v>0</v>
      </c>
      <c r="U203" s="360">
        <f>IF(AND(Table13[[#This Row],[Life Cover Amount]]="",Table13[[#This Row],[Funeral Cover Amount]]=""),0,onboarding_calcs!AA203)</f>
        <v>0</v>
      </c>
      <c r="V203" s="111"/>
      <c r="W203" s="111"/>
      <c r="X203" s="333"/>
      <c r="Y203" s="110"/>
      <c r="Z203" s="113"/>
      <c r="AA203" s="425"/>
      <c r="AB203" s="425"/>
      <c r="AC203" s="113"/>
      <c r="AD203" s="110"/>
      <c r="AE203" s="110"/>
      <c r="AF203" s="110"/>
      <c r="AG203" s="110"/>
      <c r="AH203" s="110"/>
      <c r="AI203" s="113"/>
      <c r="AJ203" s="110"/>
      <c r="AK203" s="110"/>
      <c r="AL203" s="110"/>
      <c r="AM203" s="110"/>
      <c r="AN203" s="110"/>
      <c r="AO203" s="113"/>
      <c r="AP203" s="113"/>
      <c r="AQ203" s="113"/>
      <c r="AR203" s="110"/>
      <c r="AS203" s="113"/>
      <c r="AT203" s="113"/>
      <c r="AU203" s="112"/>
      <c r="AV203" s="338"/>
      <c r="AW203" s="110"/>
      <c r="AX203" s="110"/>
      <c r="AY203" s="113"/>
      <c r="AZ203" s="113"/>
      <c r="BA203" s="113"/>
      <c r="BB203" s="113"/>
      <c r="BC203" s="113"/>
      <c r="BD203" s="113"/>
      <c r="BF20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04" spans="1:58" x14ac:dyDescent="0.3">
      <c r="A204" s="422"/>
      <c r="B204" s="376"/>
      <c r="C204" s="110"/>
      <c r="D204" s="110"/>
      <c r="E204" s="340"/>
      <c r="F204" s="330"/>
      <c r="G204" s="113"/>
      <c r="H204" s="332"/>
      <c r="I204" s="113"/>
      <c r="J204" s="332"/>
      <c r="K204" s="110"/>
      <c r="L204" s="110"/>
      <c r="M204" s="110"/>
      <c r="N204" s="110"/>
      <c r="O204" s="111"/>
      <c r="P204" s="424" t="str">
        <f>IF(OR(Table13[[#This Row],[Annual Increase Option]]="No increase",Table13[[#This Row],[Annual Increase Option]]=""),"",_xlfn.XLOOKUP(MONTH(Table13[[#This Row],[Commencement Date]]),Lookups!$I$19:$I$30,Lookups!$J$19:$J$30,0))</f>
        <v/>
      </c>
      <c r="Q204" s="340"/>
      <c r="R204" s="340"/>
      <c r="S204" s="360">
        <f>IF(Table13[[#This Row],[Life Cover Amount]]="",0,Table2[[#This Row],[Life Premium]])</f>
        <v>0</v>
      </c>
      <c r="T204" s="360">
        <f>IF(Table13[[#This Row],[Funeral Cover Amount]]=0,0,Table2[[#This Row],[Funeral Premium]])</f>
        <v>0</v>
      </c>
      <c r="U204" s="360">
        <f>IF(AND(Table13[[#This Row],[Life Cover Amount]]="",Table13[[#This Row],[Funeral Cover Amount]]=""),0,onboarding_calcs!AA204)</f>
        <v>0</v>
      </c>
      <c r="V204" s="111"/>
      <c r="W204" s="111"/>
      <c r="X204" s="333"/>
      <c r="Y204" s="110"/>
      <c r="Z204" s="113"/>
      <c r="AA204" s="425"/>
      <c r="AB204" s="425"/>
      <c r="AC204" s="113"/>
      <c r="AD204" s="110"/>
      <c r="AE204" s="110"/>
      <c r="AF204" s="110"/>
      <c r="AG204" s="110"/>
      <c r="AH204" s="110"/>
      <c r="AI204" s="113"/>
      <c r="AJ204" s="110"/>
      <c r="AK204" s="110"/>
      <c r="AL204" s="110"/>
      <c r="AM204" s="110"/>
      <c r="AN204" s="110"/>
      <c r="AO204" s="113"/>
      <c r="AP204" s="113"/>
      <c r="AQ204" s="113"/>
      <c r="AR204" s="110"/>
      <c r="AS204" s="113"/>
      <c r="AT204" s="113"/>
      <c r="AU204" s="112"/>
      <c r="AV204" s="338"/>
      <c r="AW204" s="110"/>
      <c r="AX204" s="110"/>
      <c r="AY204" s="113"/>
      <c r="AZ204" s="113"/>
      <c r="BA204" s="113"/>
      <c r="BB204" s="113"/>
      <c r="BC204" s="113"/>
      <c r="BD204" s="113"/>
      <c r="BF20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05" spans="1:58" x14ac:dyDescent="0.3">
      <c r="A205" s="422"/>
      <c r="B205" s="376"/>
      <c r="C205" s="110"/>
      <c r="D205" s="110"/>
      <c r="E205" s="340"/>
      <c r="F205" s="330"/>
      <c r="G205" s="113"/>
      <c r="H205" s="332"/>
      <c r="I205" s="113"/>
      <c r="J205" s="332"/>
      <c r="K205" s="110"/>
      <c r="L205" s="110"/>
      <c r="M205" s="110"/>
      <c r="N205" s="110"/>
      <c r="O205" s="111"/>
      <c r="P205" s="424" t="str">
        <f>IF(OR(Table13[[#This Row],[Annual Increase Option]]="No increase",Table13[[#This Row],[Annual Increase Option]]=""),"",_xlfn.XLOOKUP(MONTH(Table13[[#This Row],[Commencement Date]]),Lookups!$I$19:$I$30,Lookups!$J$19:$J$30,0))</f>
        <v/>
      </c>
      <c r="Q205" s="340"/>
      <c r="R205" s="340"/>
      <c r="S205" s="360">
        <f>IF(Table13[[#This Row],[Life Cover Amount]]="",0,Table2[[#This Row],[Life Premium]])</f>
        <v>0</v>
      </c>
      <c r="T205" s="360">
        <f>IF(Table13[[#This Row],[Funeral Cover Amount]]=0,0,Table2[[#This Row],[Funeral Premium]])</f>
        <v>0</v>
      </c>
      <c r="U205" s="360">
        <f>IF(AND(Table13[[#This Row],[Life Cover Amount]]="",Table13[[#This Row],[Funeral Cover Amount]]=""),0,onboarding_calcs!AA205)</f>
        <v>0</v>
      </c>
      <c r="V205" s="111"/>
      <c r="W205" s="111"/>
      <c r="X205" s="333"/>
      <c r="Y205" s="110"/>
      <c r="Z205" s="113"/>
      <c r="AA205" s="425"/>
      <c r="AB205" s="425"/>
      <c r="AC205" s="113"/>
      <c r="AD205" s="110"/>
      <c r="AE205" s="110"/>
      <c r="AF205" s="110"/>
      <c r="AG205" s="110"/>
      <c r="AH205" s="110"/>
      <c r="AI205" s="113"/>
      <c r="AJ205" s="110"/>
      <c r="AK205" s="110"/>
      <c r="AL205" s="110"/>
      <c r="AM205" s="110"/>
      <c r="AN205" s="110"/>
      <c r="AO205" s="113"/>
      <c r="AP205" s="113"/>
      <c r="AQ205" s="113"/>
      <c r="AR205" s="110"/>
      <c r="AS205" s="113"/>
      <c r="AT205" s="113"/>
      <c r="AU205" s="112"/>
      <c r="AV205" s="338"/>
      <c r="AW205" s="110"/>
      <c r="AX205" s="110"/>
      <c r="AY205" s="113"/>
      <c r="AZ205" s="113"/>
      <c r="BA205" s="113"/>
      <c r="BB205" s="113"/>
      <c r="BC205" s="113"/>
      <c r="BD205" s="113"/>
      <c r="BF20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06" spans="1:58" x14ac:dyDescent="0.3">
      <c r="A206" s="422"/>
      <c r="B206" s="376"/>
      <c r="C206" s="110"/>
      <c r="D206" s="110"/>
      <c r="E206" s="340"/>
      <c r="F206" s="330"/>
      <c r="G206" s="113"/>
      <c r="H206" s="332"/>
      <c r="I206" s="113"/>
      <c r="J206" s="332"/>
      <c r="K206" s="110"/>
      <c r="L206" s="110"/>
      <c r="M206" s="110"/>
      <c r="N206" s="110"/>
      <c r="O206" s="111"/>
      <c r="P206" s="424" t="str">
        <f>IF(OR(Table13[[#This Row],[Annual Increase Option]]="No increase",Table13[[#This Row],[Annual Increase Option]]=""),"",_xlfn.XLOOKUP(MONTH(Table13[[#This Row],[Commencement Date]]),Lookups!$I$19:$I$30,Lookups!$J$19:$J$30,0))</f>
        <v/>
      </c>
      <c r="Q206" s="340"/>
      <c r="R206" s="340"/>
      <c r="S206" s="360">
        <f>IF(Table13[[#This Row],[Life Cover Amount]]="",0,Table2[[#This Row],[Life Premium]])</f>
        <v>0</v>
      </c>
      <c r="T206" s="360">
        <f>IF(Table13[[#This Row],[Funeral Cover Amount]]=0,0,Table2[[#This Row],[Funeral Premium]])</f>
        <v>0</v>
      </c>
      <c r="U206" s="360">
        <f>IF(AND(Table13[[#This Row],[Life Cover Amount]]="",Table13[[#This Row],[Funeral Cover Amount]]=""),0,onboarding_calcs!AA206)</f>
        <v>0</v>
      </c>
      <c r="V206" s="111"/>
      <c r="W206" s="111"/>
      <c r="X206" s="333"/>
      <c r="Y206" s="110"/>
      <c r="Z206" s="113"/>
      <c r="AA206" s="425"/>
      <c r="AB206" s="425"/>
      <c r="AC206" s="113"/>
      <c r="AD206" s="110"/>
      <c r="AE206" s="110"/>
      <c r="AF206" s="110"/>
      <c r="AG206" s="110"/>
      <c r="AH206" s="110"/>
      <c r="AI206" s="113"/>
      <c r="AJ206" s="110"/>
      <c r="AK206" s="110"/>
      <c r="AL206" s="110"/>
      <c r="AM206" s="110"/>
      <c r="AN206" s="110"/>
      <c r="AO206" s="113"/>
      <c r="AP206" s="113"/>
      <c r="AQ206" s="113"/>
      <c r="AR206" s="110"/>
      <c r="AS206" s="113"/>
      <c r="AT206" s="113"/>
      <c r="AU206" s="112"/>
      <c r="AV206" s="338"/>
      <c r="AW206" s="110"/>
      <c r="AX206" s="110"/>
      <c r="AY206" s="113"/>
      <c r="AZ206" s="113"/>
      <c r="BA206" s="113"/>
      <c r="BB206" s="113"/>
      <c r="BC206" s="113"/>
      <c r="BD206" s="113"/>
      <c r="BF20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07" spans="1:58" x14ac:dyDescent="0.3">
      <c r="A207" s="422"/>
      <c r="B207" s="376"/>
      <c r="C207" s="110"/>
      <c r="D207" s="110"/>
      <c r="E207" s="340"/>
      <c r="F207" s="330"/>
      <c r="G207" s="113"/>
      <c r="H207" s="332"/>
      <c r="I207" s="113"/>
      <c r="J207" s="332"/>
      <c r="K207" s="110"/>
      <c r="L207" s="110"/>
      <c r="M207" s="110"/>
      <c r="N207" s="110"/>
      <c r="O207" s="111"/>
      <c r="P207" s="424" t="str">
        <f>IF(OR(Table13[[#This Row],[Annual Increase Option]]="No increase",Table13[[#This Row],[Annual Increase Option]]=""),"",_xlfn.XLOOKUP(MONTH(Table13[[#This Row],[Commencement Date]]),Lookups!$I$19:$I$30,Lookups!$J$19:$J$30,0))</f>
        <v/>
      </c>
      <c r="Q207" s="340"/>
      <c r="R207" s="340"/>
      <c r="S207" s="360">
        <f>IF(Table13[[#This Row],[Life Cover Amount]]="",0,Table2[[#This Row],[Life Premium]])</f>
        <v>0</v>
      </c>
      <c r="T207" s="360">
        <f>IF(Table13[[#This Row],[Funeral Cover Amount]]=0,0,Table2[[#This Row],[Funeral Premium]])</f>
        <v>0</v>
      </c>
      <c r="U207" s="360">
        <f>IF(AND(Table13[[#This Row],[Life Cover Amount]]="",Table13[[#This Row],[Funeral Cover Amount]]=""),0,onboarding_calcs!AA207)</f>
        <v>0</v>
      </c>
      <c r="V207" s="111"/>
      <c r="W207" s="111"/>
      <c r="X207" s="333"/>
      <c r="Y207" s="110"/>
      <c r="Z207" s="113"/>
      <c r="AA207" s="425"/>
      <c r="AB207" s="425"/>
      <c r="AC207" s="113"/>
      <c r="AD207" s="110"/>
      <c r="AE207" s="110"/>
      <c r="AF207" s="110"/>
      <c r="AG207" s="110"/>
      <c r="AH207" s="110"/>
      <c r="AI207" s="113"/>
      <c r="AJ207" s="110"/>
      <c r="AK207" s="110"/>
      <c r="AL207" s="110"/>
      <c r="AM207" s="110"/>
      <c r="AN207" s="110"/>
      <c r="AO207" s="113"/>
      <c r="AP207" s="113"/>
      <c r="AQ207" s="113"/>
      <c r="AR207" s="110"/>
      <c r="AS207" s="113"/>
      <c r="AT207" s="113"/>
      <c r="AU207" s="112"/>
      <c r="AV207" s="338"/>
      <c r="AW207" s="110"/>
      <c r="AX207" s="110"/>
      <c r="AY207" s="113"/>
      <c r="AZ207" s="113"/>
      <c r="BA207" s="113"/>
      <c r="BB207" s="113"/>
      <c r="BC207" s="113"/>
      <c r="BD207" s="113"/>
      <c r="BF20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08" spans="1:58" x14ac:dyDescent="0.3">
      <c r="A208" s="422"/>
      <c r="B208" s="376"/>
      <c r="C208" s="110"/>
      <c r="D208" s="110"/>
      <c r="E208" s="340"/>
      <c r="F208" s="330"/>
      <c r="G208" s="113"/>
      <c r="H208" s="332"/>
      <c r="I208" s="113"/>
      <c r="J208" s="332"/>
      <c r="K208" s="110"/>
      <c r="L208" s="110"/>
      <c r="M208" s="110"/>
      <c r="N208" s="110"/>
      <c r="O208" s="111"/>
      <c r="P208" s="424" t="str">
        <f>IF(OR(Table13[[#This Row],[Annual Increase Option]]="No increase",Table13[[#This Row],[Annual Increase Option]]=""),"",_xlfn.XLOOKUP(MONTH(Table13[[#This Row],[Commencement Date]]),Lookups!$I$19:$I$30,Lookups!$J$19:$J$30,0))</f>
        <v/>
      </c>
      <c r="Q208" s="340"/>
      <c r="R208" s="340"/>
      <c r="S208" s="360">
        <f>IF(Table13[[#This Row],[Life Cover Amount]]="",0,Table2[[#This Row],[Life Premium]])</f>
        <v>0</v>
      </c>
      <c r="T208" s="360">
        <f>IF(Table13[[#This Row],[Funeral Cover Amount]]=0,0,Table2[[#This Row],[Funeral Premium]])</f>
        <v>0</v>
      </c>
      <c r="U208" s="360">
        <f>IF(AND(Table13[[#This Row],[Life Cover Amount]]="",Table13[[#This Row],[Funeral Cover Amount]]=""),0,onboarding_calcs!AA208)</f>
        <v>0</v>
      </c>
      <c r="V208" s="111"/>
      <c r="W208" s="111"/>
      <c r="X208" s="333"/>
      <c r="Y208" s="110"/>
      <c r="Z208" s="113"/>
      <c r="AA208" s="425"/>
      <c r="AB208" s="425"/>
      <c r="AC208" s="113"/>
      <c r="AD208" s="110"/>
      <c r="AE208" s="110"/>
      <c r="AF208" s="110"/>
      <c r="AG208" s="110"/>
      <c r="AH208" s="110"/>
      <c r="AI208" s="113"/>
      <c r="AJ208" s="110"/>
      <c r="AK208" s="110"/>
      <c r="AL208" s="110"/>
      <c r="AM208" s="110"/>
      <c r="AN208" s="110"/>
      <c r="AO208" s="113"/>
      <c r="AP208" s="113"/>
      <c r="AQ208" s="113"/>
      <c r="AR208" s="110"/>
      <c r="AS208" s="113"/>
      <c r="AT208" s="113"/>
      <c r="AU208" s="112"/>
      <c r="AV208" s="338"/>
      <c r="AW208" s="110"/>
      <c r="AX208" s="110"/>
      <c r="AY208" s="113"/>
      <c r="AZ208" s="113"/>
      <c r="BA208" s="113"/>
      <c r="BB208" s="113"/>
      <c r="BC208" s="113"/>
      <c r="BD208" s="113"/>
      <c r="BF20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09" spans="1:58" x14ac:dyDescent="0.3">
      <c r="A209" s="422"/>
      <c r="B209" s="376"/>
      <c r="C209" s="110"/>
      <c r="D209" s="110"/>
      <c r="E209" s="340"/>
      <c r="F209" s="330"/>
      <c r="G209" s="113"/>
      <c r="H209" s="332"/>
      <c r="I209" s="113"/>
      <c r="J209" s="332"/>
      <c r="K209" s="110"/>
      <c r="L209" s="110"/>
      <c r="M209" s="110"/>
      <c r="N209" s="110"/>
      <c r="O209" s="111"/>
      <c r="P209" s="424" t="str">
        <f>IF(OR(Table13[[#This Row],[Annual Increase Option]]="No increase",Table13[[#This Row],[Annual Increase Option]]=""),"",_xlfn.XLOOKUP(MONTH(Table13[[#This Row],[Commencement Date]]),Lookups!$I$19:$I$30,Lookups!$J$19:$J$30,0))</f>
        <v/>
      </c>
      <c r="Q209" s="340"/>
      <c r="R209" s="340"/>
      <c r="S209" s="360">
        <f>IF(Table13[[#This Row],[Life Cover Amount]]="",0,Table2[[#This Row],[Life Premium]])</f>
        <v>0</v>
      </c>
      <c r="T209" s="360">
        <f>IF(Table13[[#This Row],[Funeral Cover Amount]]=0,0,Table2[[#This Row],[Funeral Premium]])</f>
        <v>0</v>
      </c>
      <c r="U209" s="360">
        <f>IF(AND(Table13[[#This Row],[Life Cover Amount]]="",Table13[[#This Row],[Funeral Cover Amount]]=""),0,onboarding_calcs!AA209)</f>
        <v>0</v>
      </c>
      <c r="V209" s="111"/>
      <c r="W209" s="111"/>
      <c r="X209" s="333"/>
      <c r="Y209" s="110"/>
      <c r="Z209" s="113"/>
      <c r="AA209" s="425"/>
      <c r="AB209" s="425"/>
      <c r="AC209" s="113"/>
      <c r="AD209" s="110"/>
      <c r="AE209" s="110"/>
      <c r="AF209" s="110"/>
      <c r="AG209" s="110"/>
      <c r="AH209" s="110"/>
      <c r="AI209" s="113"/>
      <c r="AJ209" s="110"/>
      <c r="AK209" s="110"/>
      <c r="AL209" s="110"/>
      <c r="AM209" s="110"/>
      <c r="AN209" s="110"/>
      <c r="AO209" s="113"/>
      <c r="AP209" s="113"/>
      <c r="AQ209" s="113"/>
      <c r="AR209" s="110"/>
      <c r="AS209" s="113"/>
      <c r="AT209" s="113"/>
      <c r="AU209" s="112"/>
      <c r="AV209" s="338"/>
      <c r="AW209" s="110"/>
      <c r="AX209" s="110"/>
      <c r="AY209" s="113"/>
      <c r="AZ209" s="113"/>
      <c r="BA209" s="113"/>
      <c r="BB209" s="113"/>
      <c r="BC209" s="113"/>
      <c r="BD209" s="113"/>
      <c r="BF20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10" spans="1:58" x14ac:dyDescent="0.3">
      <c r="A210" s="422"/>
      <c r="B210" s="376"/>
      <c r="C210" s="110"/>
      <c r="D210" s="110"/>
      <c r="E210" s="340"/>
      <c r="F210" s="330"/>
      <c r="G210" s="113"/>
      <c r="H210" s="332"/>
      <c r="I210" s="113"/>
      <c r="J210" s="332"/>
      <c r="K210" s="110"/>
      <c r="L210" s="110"/>
      <c r="M210" s="110"/>
      <c r="N210" s="110"/>
      <c r="O210" s="111"/>
      <c r="P210" s="424" t="str">
        <f>IF(OR(Table13[[#This Row],[Annual Increase Option]]="No increase",Table13[[#This Row],[Annual Increase Option]]=""),"",_xlfn.XLOOKUP(MONTH(Table13[[#This Row],[Commencement Date]]),Lookups!$I$19:$I$30,Lookups!$J$19:$J$30,0))</f>
        <v/>
      </c>
      <c r="Q210" s="340"/>
      <c r="R210" s="340"/>
      <c r="S210" s="360">
        <f>IF(Table13[[#This Row],[Life Cover Amount]]="",0,Table2[[#This Row],[Life Premium]])</f>
        <v>0</v>
      </c>
      <c r="T210" s="360">
        <f>IF(Table13[[#This Row],[Funeral Cover Amount]]=0,0,Table2[[#This Row],[Funeral Premium]])</f>
        <v>0</v>
      </c>
      <c r="U210" s="360">
        <f>IF(AND(Table13[[#This Row],[Life Cover Amount]]="",Table13[[#This Row],[Funeral Cover Amount]]=""),0,onboarding_calcs!AA210)</f>
        <v>0</v>
      </c>
      <c r="V210" s="111"/>
      <c r="W210" s="111"/>
      <c r="X210" s="333"/>
      <c r="Y210" s="110"/>
      <c r="Z210" s="113"/>
      <c r="AA210" s="425"/>
      <c r="AB210" s="425"/>
      <c r="AC210" s="113"/>
      <c r="AD210" s="110"/>
      <c r="AE210" s="110"/>
      <c r="AF210" s="110"/>
      <c r="AG210" s="110"/>
      <c r="AH210" s="110"/>
      <c r="AI210" s="113"/>
      <c r="AJ210" s="110"/>
      <c r="AK210" s="110"/>
      <c r="AL210" s="110"/>
      <c r="AM210" s="110"/>
      <c r="AN210" s="110"/>
      <c r="AO210" s="113"/>
      <c r="AP210" s="113"/>
      <c r="AQ210" s="113"/>
      <c r="AR210" s="110"/>
      <c r="AS210" s="113"/>
      <c r="AT210" s="113"/>
      <c r="AU210" s="112"/>
      <c r="AV210" s="338"/>
      <c r="AW210" s="110"/>
      <c r="AX210" s="110"/>
      <c r="AY210" s="113"/>
      <c r="AZ210" s="113"/>
      <c r="BA210" s="113"/>
      <c r="BB210" s="113"/>
      <c r="BC210" s="113"/>
      <c r="BD210" s="113"/>
      <c r="BF21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11" spans="1:58" x14ac:dyDescent="0.3">
      <c r="A211" s="422"/>
      <c r="B211" s="376"/>
      <c r="C211" s="110"/>
      <c r="D211" s="110"/>
      <c r="E211" s="340"/>
      <c r="F211" s="330"/>
      <c r="G211" s="113"/>
      <c r="H211" s="332"/>
      <c r="I211" s="113"/>
      <c r="J211" s="332"/>
      <c r="K211" s="110"/>
      <c r="L211" s="110"/>
      <c r="M211" s="110"/>
      <c r="N211" s="110"/>
      <c r="O211" s="111"/>
      <c r="P211" s="424" t="str">
        <f>IF(OR(Table13[[#This Row],[Annual Increase Option]]="No increase",Table13[[#This Row],[Annual Increase Option]]=""),"",_xlfn.XLOOKUP(MONTH(Table13[[#This Row],[Commencement Date]]),Lookups!$I$19:$I$30,Lookups!$J$19:$J$30,0))</f>
        <v/>
      </c>
      <c r="Q211" s="340"/>
      <c r="R211" s="340"/>
      <c r="S211" s="360">
        <f>IF(Table13[[#This Row],[Life Cover Amount]]="",0,Table2[[#This Row],[Life Premium]])</f>
        <v>0</v>
      </c>
      <c r="T211" s="360">
        <f>IF(Table13[[#This Row],[Funeral Cover Amount]]=0,0,Table2[[#This Row],[Funeral Premium]])</f>
        <v>0</v>
      </c>
      <c r="U211" s="360">
        <f>IF(AND(Table13[[#This Row],[Life Cover Amount]]="",Table13[[#This Row],[Funeral Cover Amount]]=""),0,onboarding_calcs!AA211)</f>
        <v>0</v>
      </c>
      <c r="V211" s="111"/>
      <c r="W211" s="111"/>
      <c r="X211" s="333"/>
      <c r="Y211" s="110"/>
      <c r="Z211" s="113"/>
      <c r="AA211" s="425"/>
      <c r="AB211" s="425"/>
      <c r="AC211" s="113"/>
      <c r="AD211" s="110"/>
      <c r="AE211" s="110"/>
      <c r="AF211" s="110"/>
      <c r="AG211" s="110"/>
      <c r="AH211" s="110"/>
      <c r="AI211" s="113"/>
      <c r="AJ211" s="110"/>
      <c r="AK211" s="110"/>
      <c r="AL211" s="110"/>
      <c r="AM211" s="110"/>
      <c r="AN211" s="110"/>
      <c r="AO211" s="113"/>
      <c r="AP211" s="113"/>
      <c r="AQ211" s="113"/>
      <c r="AR211" s="110"/>
      <c r="AS211" s="113"/>
      <c r="AT211" s="113"/>
      <c r="AU211" s="112"/>
      <c r="AV211" s="338"/>
      <c r="AW211" s="110"/>
      <c r="AX211" s="110"/>
      <c r="AY211" s="113"/>
      <c r="AZ211" s="113"/>
      <c r="BA211" s="113"/>
      <c r="BB211" s="113"/>
      <c r="BC211" s="113"/>
      <c r="BD211" s="113"/>
      <c r="BF21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12" spans="1:58" x14ac:dyDescent="0.3">
      <c r="A212" s="422"/>
      <c r="B212" s="376"/>
      <c r="C212" s="110"/>
      <c r="D212" s="110"/>
      <c r="E212" s="340"/>
      <c r="F212" s="330"/>
      <c r="G212" s="113"/>
      <c r="H212" s="332"/>
      <c r="I212" s="113"/>
      <c r="J212" s="332"/>
      <c r="K212" s="110"/>
      <c r="L212" s="110"/>
      <c r="M212" s="110"/>
      <c r="N212" s="110"/>
      <c r="O212" s="111"/>
      <c r="P212" s="424" t="str">
        <f>IF(OR(Table13[[#This Row],[Annual Increase Option]]="No increase",Table13[[#This Row],[Annual Increase Option]]=""),"",_xlfn.XLOOKUP(MONTH(Table13[[#This Row],[Commencement Date]]),Lookups!$I$19:$I$30,Lookups!$J$19:$J$30,0))</f>
        <v/>
      </c>
      <c r="Q212" s="340"/>
      <c r="R212" s="340"/>
      <c r="S212" s="360">
        <f>IF(Table13[[#This Row],[Life Cover Amount]]="",0,Table2[[#This Row],[Life Premium]])</f>
        <v>0</v>
      </c>
      <c r="T212" s="360">
        <f>IF(Table13[[#This Row],[Funeral Cover Amount]]=0,0,Table2[[#This Row],[Funeral Premium]])</f>
        <v>0</v>
      </c>
      <c r="U212" s="360">
        <f>IF(AND(Table13[[#This Row],[Life Cover Amount]]="",Table13[[#This Row],[Funeral Cover Amount]]=""),0,onboarding_calcs!AA212)</f>
        <v>0</v>
      </c>
      <c r="V212" s="111"/>
      <c r="W212" s="111"/>
      <c r="X212" s="333"/>
      <c r="Y212" s="110"/>
      <c r="Z212" s="113"/>
      <c r="AA212" s="425"/>
      <c r="AB212" s="425"/>
      <c r="AC212" s="113"/>
      <c r="AD212" s="110"/>
      <c r="AE212" s="110"/>
      <c r="AF212" s="110"/>
      <c r="AG212" s="110"/>
      <c r="AH212" s="110"/>
      <c r="AI212" s="113"/>
      <c r="AJ212" s="110"/>
      <c r="AK212" s="110"/>
      <c r="AL212" s="110"/>
      <c r="AM212" s="110"/>
      <c r="AN212" s="110"/>
      <c r="AO212" s="113"/>
      <c r="AP212" s="113"/>
      <c r="AQ212" s="113"/>
      <c r="AR212" s="110"/>
      <c r="AS212" s="113"/>
      <c r="AT212" s="113"/>
      <c r="AU212" s="112"/>
      <c r="AV212" s="338"/>
      <c r="AW212" s="110"/>
      <c r="AX212" s="110"/>
      <c r="AY212" s="113"/>
      <c r="AZ212" s="113"/>
      <c r="BA212" s="113"/>
      <c r="BB212" s="113"/>
      <c r="BC212" s="113"/>
      <c r="BD212" s="113"/>
      <c r="BF21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13" spans="1:58" x14ac:dyDescent="0.3">
      <c r="A213" s="422"/>
      <c r="B213" s="376"/>
      <c r="C213" s="110"/>
      <c r="D213" s="110"/>
      <c r="E213" s="340"/>
      <c r="F213" s="330"/>
      <c r="G213" s="113"/>
      <c r="H213" s="332"/>
      <c r="I213" s="113"/>
      <c r="J213" s="332"/>
      <c r="K213" s="110"/>
      <c r="L213" s="110"/>
      <c r="M213" s="110"/>
      <c r="N213" s="110"/>
      <c r="O213" s="111"/>
      <c r="P213" s="424" t="str">
        <f>IF(OR(Table13[[#This Row],[Annual Increase Option]]="No increase",Table13[[#This Row],[Annual Increase Option]]=""),"",_xlfn.XLOOKUP(MONTH(Table13[[#This Row],[Commencement Date]]),Lookups!$I$19:$I$30,Lookups!$J$19:$J$30,0))</f>
        <v/>
      </c>
      <c r="Q213" s="340"/>
      <c r="R213" s="340"/>
      <c r="S213" s="360">
        <f>IF(Table13[[#This Row],[Life Cover Amount]]="",0,Table2[[#This Row],[Life Premium]])</f>
        <v>0</v>
      </c>
      <c r="T213" s="360">
        <f>IF(Table13[[#This Row],[Funeral Cover Amount]]=0,0,Table2[[#This Row],[Funeral Premium]])</f>
        <v>0</v>
      </c>
      <c r="U213" s="360">
        <f>IF(AND(Table13[[#This Row],[Life Cover Amount]]="",Table13[[#This Row],[Funeral Cover Amount]]=""),0,onboarding_calcs!AA213)</f>
        <v>0</v>
      </c>
      <c r="V213" s="111"/>
      <c r="W213" s="111"/>
      <c r="X213" s="333"/>
      <c r="Y213" s="110"/>
      <c r="Z213" s="113"/>
      <c r="AA213" s="425"/>
      <c r="AB213" s="425"/>
      <c r="AC213" s="113"/>
      <c r="AD213" s="110"/>
      <c r="AE213" s="110"/>
      <c r="AF213" s="110"/>
      <c r="AG213" s="110"/>
      <c r="AH213" s="110"/>
      <c r="AI213" s="113"/>
      <c r="AJ213" s="110"/>
      <c r="AK213" s="110"/>
      <c r="AL213" s="110"/>
      <c r="AM213" s="110"/>
      <c r="AN213" s="110"/>
      <c r="AO213" s="113"/>
      <c r="AP213" s="113"/>
      <c r="AQ213" s="113"/>
      <c r="AR213" s="110"/>
      <c r="AS213" s="113"/>
      <c r="AT213" s="113"/>
      <c r="AU213" s="112"/>
      <c r="AV213" s="338"/>
      <c r="AW213" s="110"/>
      <c r="AX213" s="110"/>
      <c r="AY213" s="113"/>
      <c r="AZ213" s="113"/>
      <c r="BA213" s="113"/>
      <c r="BB213" s="113"/>
      <c r="BC213" s="113"/>
      <c r="BD213" s="113"/>
      <c r="BF21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14" spans="1:58" x14ac:dyDescent="0.3">
      <c r="A214" s="422"/>
      <c r="B214" s="376"/>
      <c r="C214" s="110"/>
      <c r="D214" s="110"/>
      <c r="E214" s="340"/>
      <c r="F214" s="330"/>
      <c r="G214" s="113"/>
      <c r="H214" s="332"/>
      <c r="I214" s="113"/>
      <c r="J214" s="332"/>
      <c r="K214" s="110"/>
      <c r="L214" s="110"/>
      <c r="M214" s="110"/>
      <c r="N214" s="110"/>
      <c r="O214" s="111"/>
      <c r="P214" s="424" t="str">
        <f>IF(OR(Table13[[#This Row],[Annual Increase Option]]="No increase",Table13[[#This Row],[Annual Increase Option]]=""),"",_xlfn.XLOOKUP(MONTH(Table13[[#This Row],[Commencement Date]]),Lookups!$I$19:$I$30,Lookups!$J$19:$J$30,0))</f>
        <v/>
      </c>
      <c r="Q214" s="340"/>
      <c r="R214" s="340"/>
      <c r="S214" s="360">
        <f>IF(Table13[[#This Row],[Life Cover Amount]]="",0,Table2[[#This Row],[Life Premium]])</f>
        <v>0</v>
      </c>
      <c r="T214" s="360">
        <f>IF(Table13[[#This Row],[Funeral Cover Amount]]=0,0,Table2[[#This Row],[Funeral Premium]])</f>
        <v>0</v>
      </c>
      <c r="U214" s="360">
        <f>IF(AND(Table13[[#This Row],[Life Cover Amount]]="",Table13[[#This Row],[Funeral Cover Amount]]=""),0,onboarding_calcs!AA214)</f>
        <v>0</v>
      </c>
      <c r="V214" s="111"/>
      <c r="W214" s="111"/>
      <c r="X214" s="333"/>
      <c r="Y214" s="110"/>
      <c r="Z214" s="113"/>
      <c r="AA214" s="425"/>
      <c r="AB214" s="425"/>
      <c r="AC214" s="113"/>
      <c r="AD214" s="110"/>
      <c r="AE214" s="110"/>
      <c r="AF214" s="110"/>
      <c r="AG214" s="110"/>
      <c r="AH214" s="110"/>
      <c r="AI214" s="113"/>
      <c r="AJ214" s="110"/>
      <c r="AK214" s="110"/>
      <c r="AL214" s="110"/>
      <c r="AM214" s="110"/>
      <c r="AN214" s="110"/>
      <c r="AO214" s="113"/>
      <c r="AP214" s="113"/>
      <c r="AQ214" s="113"/>
      <c r="AR214" s="110"/>
      <c r="AS214" s="113"/>
      <c r="AT214" s="113"/>
      <c r="AU214" s="112"/>
      <c r="AV214" s="338"/>
      <c r="AW214" s="110"/>
      <c r="AX214" s="110"/>
      <c r="AY214" s="113"/>
      <c r="AZ214" s="113"/>
      <c r="BA214" s="113"/>
      <c r="BB214" s="113"/>
      <c r="BC214" s="113"/>
      <c r="BD214" s="113"/>
      <c r="BF21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15" spans="1:58" x14ac:dyDescent="0.3">
      <c r="A215" s="422"/>
      <c r="B215" s="376"/>
      <c r="C215" s="110"/>
      <c r="D215" s="110"/>
      <c r="E215" s="340"/>
      <c r="F215" s="330"/>
      <c r="G215" s="113"/>
      <c r="H215" s="332"/>
      <c r="I215" s="113"/>
      <c r="J215" s="332"/>
      <c r="K215" s="110"/>
      <c r="L215" s="110"/>
      <c r="M215" s="110"/>
      <c r="N215" s="110"/>
      <c r="O215" s="111"/>
      <c r="P215" s="424" t="str">
        <f>IF(OR(Table13[[#This Row],[Annual Increase Option]]="No increase",Table13[[#This Row],[Annual Increase Option]]=""),"",_xlfn.XLOOKUP(MONTH(Table13[[#This Row],[Commencement Date]]),Lookups!$I$19:$I$30,Lookups!$J$19:$J$30,0))</f>
        <v/>
      </c>
      <c r="Q215" s="340"/>
      <c r="R215" s="340"/>
      <c r="S215" s="360">
        <f>IF(Table13[[#This Row],[Life Cover Amount]]="",0,Table2[[#This Row],[Life Premium]])</f>
        <v>0</v>
      </c>
      <c r="T215" s="360">
        <f>IF(Table13[[#This Row],[Funeral Cover Amount]]=0,0,Table2[[#This Row],[Funeral Premium]])</f>
        <v>0</v>
      </c>
      <c r="U215" s="360">
        <f>IF(AND(Table13[[#This Row],[Life Cover Amount]]="",Table13[[#This Row],[Funeral Cover Amount]]=""),0,onboarding_calcs!AA215)</f>
        <v>0</v>
      </c>
      <c r="V215" s="111"/>
      <c r="W215" s="111"/>
      <c r="X215" s="333"/>
      <c r="Y215" s="110"/>
      <c r="Z215" s="113"/>
      <c r="AA215" s="425"/>
      <c r="AB215" s="425"/>
      <c r="AC215" s="113"/>
      <c r="AD215" s="110"/>
      <c r="AE215" s="110"/>
      <c r="AF215" s="110"/>
      <c r="AG215" s="110"/>
      <c r="AH215" s="110"/>
      <c r="AI215" s="113"/>
      <c r="AJ215" s="110"/>
      <c r="AK215" s="110"/>
      <c r="AL215" s="110"/>
      <c r="AM215" s="110"/>
      <c r="AN215" s="110"/>
      <c r="AO215" s="113"/>
      <c r="AP215" s="113"/>
      <c r="AQ215" s="113"/>
      <c r="AR215" s="110"/>
      <c r="AS215" s="113"/>
      <c r="AT215" s="113"/>
      <c r="AU215" s="112"/>
      <c r="AV215" s="338"/>
      <c r="AW215" s="110"/>
      <c r="AX215" s="110"/>
      <c r="AY215" s="113"/>
      <c r="AZ215" s="113"/>
      <c r="BA215" s="113"/>
      <c r="BB215" s="113"/>
      <c r="BC215" s="113"/>
      <c r="BD215" s="113"/>
      <c r="BF21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16" spans="1:58" x14ac:dyDescent="0.3">
      <c r="A216" s="422"/>
      <c r="B216" s="376"/>
      <c r="C216" s="110"/>
      <c r="D216" s="110"/>
      <c r="E216" s="340"/>
      <c r="F216" s="330"/>
      <c r="G216" s="113"/>
      <c r="H216" s="332"/>
      <c r="I216" s="113"/>
      <c r="J216" s="332"/>
      <c r="K216" s="110"/>
      <c r="L216" s="110"/>
      <c r="M216" s="110"/>
      <c r="N216" s="110"/>
      <c r="O216" s="111"/>
      <c r="P216" s="424" t="str">
        <f>IF(OR(Table13[[#This Row],[Annual Increase Option]]="No increase",Table13[[#This Row],[Annual Increase Option]]=""),"",_xlfn.XLOOKUP(MONTH(Table13[[#This Row],[Commencement Date]]),Lookups!$I$19:$I$30,Lookups!$J$19:$J$30,0))</f>
        <v/>
      </c>
      <c r="Q216" s="340"/>
      <c r="R216" s="340"/>
      <c r="S216" s="360">
        <f>IF(Table13[[#This Row],[Life Cover Amount]]="",0,Table2[[#This Row],[Life Premium]])</f>
        <v>0</v>
      </c>
      <c r="T216" s="360">
        <f>IF(Table13[[#This Row],[Funeral Cover Amount]]=0,0,Table2[[#This Row],[Funeral Premium]])</f>
        <v>0</v>
      </c>
      <c r="U216" s="360">
        <f>IF(AND(Table13[[#This Row],[Life Cover Amount]]="",Table13[[#This Row],[Funeral Cover Amount]]=""),0,onboarding_calcs!AA216)</f>
        <v>0</v>
      </c>
      <c r="V216" s="111"/>
      <c r="W216" s="111"/>
      <c r="X216" s="333"/>
      <c r="Y216" s="110"/>
      <c r="Z216" s="113"/>
      <c r="AA216" s="425"/>
      <c r="AB216" s="425"/>
      <c r="AC216" s="113"/>
      <c r="AD216" s="110"/>
      <c r="AE216" s="110"/>
      <c r="AF216" s="110"/>
      <c r="AG216" s="110"/>
      <c r="AH216" s="110"/>
      <c r="AI216" s="113"/>
      <c r="AJ216" s="110"/>
      <c r="AK216" s="110"/>
      <c r="AL216" s="110"/>
      <c r="AM216" s="110"/>
      <c r="AN216" s="110"/>
      <c r="AO216" s="113"/>
      <c r="AP216" s="113"/>
      <c r="AQ216" s="113"/>
      <c r="AR216" s="110"/>
      <c r="AS216" s="113"/>
      <c r="AT216" s="113"/>
      <c r="AU216" s="112"/>
      <c r="AV216" s="338"/>
      <c r="AW216" s="110"/>
      <c r="AX216" s="110"/>
      <c r="AY216" s="113"/>
      <c r="AZ216" s="113"/>
      <c r="BA216" s="113"/>
      <c r="BB216" s="113"/>
      <c r="BC216" s="113"/>
      <c r="BD216" s="113"/>
      <c r="BF21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17" spans="1:58" x14ac:dyDescent="0.3">
      <c r="A217" s="422"/>
      <c r="B217" s="376"/>
      <c r="C217" s="110"/>
      <c r="D217" s="110"/>
      <c r="E217" s="340"/>
      <c r="F217" s="330"/>
      <c r="G217" s="113"/>
      <c r="H217" s="332"/>
      <c r="I217" s="113"/>
      <c r="J217" s="332"/>
      <c r="K217" s="110"/>
      <c r="L217" s="110"/>
      <c r="M217" s="110"/>
      <c r="N217" s="110"/>
      <c r="O217" s="111"/>
      <c r="P217" s="424" t="str">
        <f>IF(OR(Table13[[#This Row],[Annual Increase Option]]="No increase",Table13[[#This Row],[Annual Increase Option]]=""),"",_xlfn.XLOOKUP(MONTH(Table13[[#This Row],[Commencement Date]]),Lookups!$I$19:$I$30,Lookups!$J$19:$J$30,0))</f>
        <v/>
      </c>
      <c r="Q217" s="340"/>
      <c r="R217" s="340"/>
      <c r="S217" s="360">
        <f>IF(Table13[[#This Row],[Life Cover Amount]]="",0,Table2[[#This Row],[Life Premium]])</f>
        <v>0</v>
      </c>
      <c r="T217" s="360">
        <f>IF(Table13[[#This Row],[Funeral Cover Amount]]=0,0,Table2[[#This Row],[Funeral Premium]])</f>
        <v>0</v>
      </c>
      <c r="U217" s="360">
        <f>IF(AND(Table13[[#This Row],[Life Cover Amount]]="",Table13[[#This Row],[Funeral Cover Amount]]=""),0,onboarding_calcs!AA217)</f>
        <v>0</v>
      </c>
      <c r="V217" s="111"/>
      <c r="W217" s="111"/>
      <c r="X217" s="333"/>
      <c r="Y217" s="110"/>
      <c r="Z217" s="113"/>
      <c r="AA217" s="425"/>
      <c r="AB217" s="425"/>
      <c r="AC217" s="113"/>
      <c r="AD217" s="110"/>
      <c r="AE217" s="110"/>
      <c r="AF217" s="110"/>
      <c r="AG217" s="110"/>
      <c r="AH217" s="110"/>
      <c r="AI217" s="113"/>
      <c r="AJ217" s="110"/>
      <c r="AK217" s="110"/>
      <c r="AL217" s="110"/>
      <c r="AM217" s="110"/>
      <c r="AN217" s="110"/>
      <c r="AO217" s="113"/>
      <c r="AP217" s="113"/>
      <c r="AQ217" s="113"/>
      <c r="AR217" s="110"/>
      <c r="AS217" s="113"/>
      <c r="AT217" s="113"/>
      <c r="AU217" s="112"/>
      <c r="AV217" s="338"/>
      <c r="AW217" s="110"/>
      <c r="AX217" s="110"/>
      <c r="AY217" s="113"/>
      <c r="AZ217" s="113"/>
      <c r="BA217" s="113"/>
      <c r="BB217" s="113"/>
      <c r="BC217" s="113"/>
      <c r="BD217" s="113"/>
      <c r="BF21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18" spans="1:58" x14ac:dyDescent="0.3">
      <c r="A218" s="422"/>
      <c r="B218" s="376"/>
      <c r="C218" s="110"/>
      <c r="D218" s="110"/>
      <c r="E218" s="340"/>
      <c r="F218" s="330"/>
      <c r="G218" s="113"/>
      <c r="H218" s="332"/>
      <c r="I218" s="113"/>
      <c r="J218" s="332"/>
      <c r="K218" s="110"/>
      <c r="L218" s="110"/>
      <c r="M218" s="110"/>
      <c r="N218" s="110"/>
      <c r="O218" s="111"/>
      <c r="P218" s="424" t="str">
        <f>IF(OR(Table13[[#This Row],[Annual Increase Option]]="No increase",Table13[[#This Row],[Annual Increase Option]]=""),"",_xlfn.XLOOKUP(MONTH(Table13[[#This Row],[Commencement Date]]),Lookups!$I$19:$I$30,Lookups!$J$19:$J$30,0))</f>
        <v/>
      </c>
      <c r="Q218" s="340"/>
      <c r="R218" s="340"/>
      <c r="S218" s="360">
        <f>IF(Table13[[#This Row],[Life Cover Amount]]="",0,Table2[[#This Row],[Life Premium]])</f>
        <v>0</v>
      </c>
      <c r="T218" s="360">
        <f>IF(Table13[[#This Row],[Funeral Cover Amount]]=0,0,Table2[[#This Row],[Funeral Premium]])</f>
        <v>0</v>
      </c>
      <c r="U218" s="360">
        <f>IF(AND(Table13[[#This Row],[Life Cover Amount]]="",Table13[[#This Row],[Funeral Cover Amount]]=""),0,onboarding_calcs!AA218)</f>
        <v>0</v>
      </c>
      <c r="V218" s="111"/>
      <c r="W218" s="111"/>
      <c r="X218" s="333"/>
      <c r="Y218" s="110"/>
      <c r="Z218" s="113"/>
      <c r="AA218" s="425"/>
      <c r="AB218" s="425"/>
      <c r="AC218" s="113"/>
      <c r="AD218" s="110"/>
      <c r="AE218" s="110"/>
      <c r="AF218" s="110"/>
      <c r="AG218" s="110"/>
      <c r="AH218" s="110"/>
      <c r="AI218" s="113"/>
      <c r="AJ218" s="110"/>
      <c r="AK218" s="110"/>
      <c r="AL218" s="110"/>
      <c r="AM218" s="110"/>
      <c r="AN218" s="110"/>
      <c r="AO218" s="113"/>
      <c r="AP218" s="113"/>
      <c r="AQ218" s="113"/>
      <c r="AR218" s="110"/>
      <c r="AS218" s="113"/>
      <c r="AT218" s="113"/>
      <c r="AU218" s="112"/>
      <c r="AV218" s="338"/>
      <c r="AW218" s="110"/>
      <c r="AX218" s="110"/>
      <c r="AY218" s="113"/>
      <c r="AZ218" s="113"/>
      <c r="BA218" s="113"/>
      <c r="BB218" s="113"/>
      <c r="BC218" s="113"/>
      <c r="BD218" s="113"/>
      <c r="BF21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19" spans="1:58" x14ac:dyDescent="0.3">
      <c r="A219" s="422"/>
      <c r="B219" s="376"/>
      <c r="C219" s="110"/>
      <c r="D219" s="110"/>
      <c r="E219" s="340"/>
      <c r="F219" s="330"/>
      <c r="G219" s="113"/>
      <c r="H219" s="332"/>
      <c r="I219" s="113"/>
      <c r="J219" s="332"/>
      <c r="K219" s="110"/>
      <c r="L219" s="110"/>
      <c r="M219" s="110"/>
      <c r="N219" s="110"/>
      <c r="O219" s="111"/>
      <c r="P219" s="424" t="str">
        <f>IF(OR(Table13[[#This Row],[Annual Increase Option]]="No increase",Table13[[#This Row],[Annual Increase Option]]=""),"",_xlfn.XLOOKUP(MONTH(Table13[[#This Row],[Commencement Date]]),Lookups!$I$19:$I$30,Lookups!$J$19:$J$30,0))</f>
        <v/>
      </c>
      <c r="Q219" s="340"/>
      <c r="R219" s="340"/>
      <c r="S219" s="360">
        <f>IF(Table13[[#This Row],[Life Cover Amount]]="",0,Table2[[#This Row],[Life Premium]])</f>
        <v>0</v>
      </c>
      <c r="T219" s="360">
        <f>IF(Table13[[#This Row],[Funeral Cover Amount]]=0,0,Table2[[#This Row],[Funeral Premium]])</f>
        <v>0</v>
      </c>
      <c r="U219" s="360">
        <f>IF(AND(Table13[[#This Row],[Life Cover Amount]]="",Table13[[#This Row],[Funeral Cover Amount]]=""),0,onboarding_calcs!AA219)</f>
        <v>0</v>
      </c>
      <c r="V219" s="111"/>
      <c r="W219" s="111"/>
      <c r="X219" s="333"/>
      <c r="Y219" s="110"/>
      <c r="Z219" s="113"/>
      <c r="AA219" s="425"/>
      <c r="AB219" s="425"/>
      <c r="AC219" s="113"/>
      <c r="AD219" s="110"/>
      <c r="AE219" s="110"/>
      <c r="AF219" s="110"/>
      <c r="AG219" s="110"/>
      <c r="AH219" s="110"/>
      <c r="AI219" s="113"/>
      <c r="AJ219" s="110"/>
      <c r="AK219" s="110"/>
      <c r="AL219" s="110"/>
      <c r="AM219" s="110"/>
      <c r="AN219" s="110"/>
      <c r="AO219" s="113"/>
      <c r="AP219" s="113"/>
      <c r="AQ219" s="113"/>
      <c r="AR219" s="110"/>
      <c r="AS219" s="113"/>
      <c r="AT219" s="113"/>
      <c r="AU219" s="112"/>
      <c r="AV219" s="338"/>
      <c r="AW219" s="110"/>
      <c r="AX219" s="110"/>
      <c r="AY219" s="113"/>
      <c r="AZ219" s="113"/>
      <c r="BA219" s="113"/>
      <c r="BB219" s="113"/>
      <c r="BC219" s="113"/>
      <c r="BD219" s="113"/>
      <c r="BF21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20" spans="1:58" x14ac:dyDescent="0.3">
      <c r="A220" s="422"/>
      <c r="B220" s="376"/>
      <c r="C220" s="110"/>
      <c r="D220" s="110"/>
      <c r="E220" s="340"/>
      <c r="F220" s="330"/>
      <c r="G220" s="113"/>
      <c r="H220" s="332"/>
      <c r="I220" s="113"/>
      <c r="J220" s="332"/>
      <c r="K220" s="110"/>
      <c r="L220" s="110"/>
      <c r="M220" s="110"/>
      <c r="N220" s="110"/>
      <c r="O220" s="111"/>
      <c r="P220" s="424" t="str">
        <f>IF(OR(Table13[[#This Row],[Annual Increase Option]]="No increase",Table13[[#This Row],[Annual Increase Option]]=""),"",_xlfn.XLOOKUP(MONTH(Table13[[#This Row],[Commencement Date]]),Lookups!$I$19:$I$30,Lookups!$J$19:$J$30,0))</f>
        <v/>
      </c>
      <c r="Q220" s="340"/>
      <c r="R220" s="340"/>
      <c r="S220" s="360">
        <f>IF(Table13[[#This Row],[Life Cover Amount]]="",0,Table2[[#This Row],[Life Premium]])</f>
        <v>0</v>
      </c>
      <c r="T220" s="360">
        <f>IF(Table13[[#This Row],[Funeral Cover Amount]]=0,0,Table2[[#This Row],[Funeral Premium]])</f>
        <v>0</v>
      </c>
      <c r="U220" s="360">
        <f>IF(AND(Table13[[#This Row],[Life Cover Amount]]="",Table13[[#This Row],[Funeral Cover Amount]]=""),0,onboarding_calcs!AA220)</f>
        <v>0</v>
      </c>
      <c r="V220" s="111"/>
      <c r="W220" s="111"/>
      <c r="X220" s="333"/>
      <c r="Y220" s="110"/>
      <c r="Z220" s="113"/>
      <c r="AA220" s="425"/>
      <c r="AB220" s="425"/>
      <c r="AC220" s="113"/>
      <c r="AD220" s="110"/>
      <c r="AE220" s="110"/>
      <c r="AF220" s="110"/>
      <c r="AG220" s="110"/>
      <c r="AH220" s="110"/>
      <c r="AI220" s="113"/>
      <c r="AJ220" s="110"/>
      <c r="AK220" s="110"/>
      <c r="AL220" s="110"/>
      <c r="AM220" s="110"/>
      <c r="AN220" s="110"/>
      <c r="AO220" s="113"/>
      <c r="AP220" s="113"/>
      <c r="AQ220" s="113"/>
      <c r="AR220" s="110"/>
      <c r="AS220" s="113"/>
      <c r="AT220" s="113"/>
      <c r="AU220" s="112"/>
      <c r="AV220" s="338"/>
      <c r="AW220" s="110"/>
      <c r="AX220" s="110"/>
      <c r="AY220" s="113"/>
      <c r="AZ220" s="113"/>
      <c r="BA220" s="113"/>
      <c r="BB220" s="113"/>
      <c r="BC220" s="113"/>
      <c r="BD220" s="113"/>
      <c r="BF22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21" spans="1:58" x14ac:dyDescent="0.3">
      <c r="A221" s="422"/>
      <c r="B221" s="376"/>
      <c r="C221" s="110"/>
      <c r="D221" s="110"/>
      <c r="E221" s="340"/>
      <c r="F221" s="330"/>
      <c r="G221" s="113"/>
      <c r="H221" s="332"/>
      <c r="I221" s="113"/>
      <c r="J221" s="332"/>
      <c r="K221" s="110"/>
      <c r="L221" s="110"/>
      <c r="M221" s="110"/>
      <c r="N221" s="110"/>
      <c r="O221" s="111"/>
      <c r="P221" s="424" t="str">
        <f>IF(OR(Table13[[#This Row],[Annual Increase Option]]="No increase",Table13[[#This Row],[Annual Increase Option]]=""),"",_xlfn.XLOOKUP(MONTH(Table13[[#This Row],[Commencement Date]]),Lookups!$I$19:$I$30,Lookups!$J$19:$J$30,0))</f>
        <v/>
      </c>
      <c r="Q221" s="340"/>
      <c r="R221" s="340"/>
      <c r="S221" s="360">
        <f>IF(Table13[[#This Row],[Life Cover Amount]]="",0,Table2[[#This Row],[Life Premium]])</f>
        <v>0</v>
      </c>
      <c r="T221" s="360">
        <f>IF(Table13[[#This Row],[Funeral Cover Amount]]=0,0,Table2[[#This Row],[Funeral Premium]])</f>
        <v>0</v>
      </c>
      <c r="U221" s="360">
        <f>IF(AND(Table13[[#This Row],[Life Cover Amount]]="",Table13[[#This Row],[Funeral Cover Amount]]=""),0,onboarding_calcs!AA221)</f>
        <v>0</v>
      </c>
      <c r="V221" s="111"/>
      <c r="W221" s="111"/>
      <c r="X221" s="333"/>
      <c r="Y221" s="110"/>
      <c r="Z221" s="113"/>
      <c r="AA221" s="425"/>
      <c r="AB221" s="425"/>
      <c r="AC221" s="113"/>
      <c r="AD221" s="110"/>
      <c r="AE221" s="110"/>
      <c r="AF221" s="110"/>
      <c r="AG221" s="110"/>
      <c r="AH221" s="110"/>
      <c r="AI221" s="113"/>
      <c r="AJ221" s="110"/>
      <c r="AK221" s="110"/>
      <c r="AL221" s="110"/>
      <c r="AM221" s="110"/>
      <c r="AN221" s="110"/>
      <c r="AO221" s="113"/>
      <c r="AP221" s="113"/>
      <c r="AQ221" s="113"/>
      <c r="AR221" s="110"/>
      <c r="AS221" s="113"/>
      <c r="AT221" s="113"/>
      <c r="AU221" s="112"/>
      <c r="AV221" s="338"/>
      <c r="AW221" s="110"/>
      <c r="AX221" s="110"/>
      <c r="AY221" s="113"/>
      <c r="AZ221" s="113"/>
      <c r="BA221" s="113"/>
      <c r="BB221" s="113"/>
      <c r="BC221" s="113"/>
      <c r="BD221" s="113"/>
      <c r="BF22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22" spans="1:58" x14ac:dyDescent="0.3">
      <c r="A222" s="422"/>
      <c r="B222" s="376"/>
      <c r="C222" s="110"/>
      <c r="D222" s="110"/>
      <c r="E222" s="340"/>
      <c r="F222" s="330"/>
      <c r="G222" s="113"/>
      <c r="H222" s="332"/>
      <c r="I222" s="113"/>
      <c r="J222" s="332"/>
      <c r="K222" s="110"/>
      <c r="L222" s="110"/>
      <c r="M222" s="110"/>
      <c r="N222" s="110"/>
      <c r="O222" s="111"/>
      <c r="P222" s="424" t="str">
        <f>IF(OR(Table13[[#This Row],[Annual Increase Option]]="No increase",Table13[[#This Row],[Annual Increase Option]]=""),"",_xlfn.XLOOKUP(MONTH(Table13[[#This Row],[Commencement Date]]),Lookups!$I$19:$I$30,Lookups!$J$19:$J$30,0))</f>
        <v/>
      </c>
      <c r="Q222" s="340"/>
      <c r="R222" s="340"/>
      <c r="S222" s="360">
        <f>IF(Table13[[#This Row],[Life Cover Amount]]="",0,Table2[[#This Row],[Life Premium]])</f>
        <v>0</v>
      </c>
      <c r="T222" s="360">
        <f>IF(Table13[[#This Row],[Funeral Cover Amount]]=0,0,Table2[[#This Row],[Funeral Premium]])</f>
        <v>0</v>
      </c>
      <c r="U222" s="360">
        <f>IF(AND(Table13[[#This Row],[Life Cover Amount]]="",Table13[[#This Row],[Funeral Cover Amount]]=""),0,onboarding_calcs!AA222)</f>
        <v>0</v>
      </c>
      <c r="V222" s="111"/>
      <c r="W222" s="111"/>
      <c r="X222" s="333"/>
      <c r="Y222" s="110"/>
      <c r="Z222" s="113"/>
      <c r="AA222" s="425"/>
      <c r="AB222" s="425"/>
      <c r="AC222" s="113"/>
      <c r="AD222" s="110"/>
      <c r="AE222" s="110"/>
      <c r="AF222" s="110"/>
      <c r="AG222" s="110"/>
      <c r="AH222" s="110"/>
      <c r="AI222" s="113"/>
      <c r="AJ222" s="110"/>
      <c r="AK222" s="110"/>
      <c r="AL222" s="110"/>
      <c r="AM222" s="110"/>
      <c r="AN222" s="110"/>
      <c r="AO222" s="113"/>
      <c r="AP222" s="113"/>
      <c r="AQ222" s="113"/>
      <c r="AR222" s="110"/>
      <c r="AS222" s="113"/>
      <c r="AT222" s="113"/>
      <c r="AU222" s="112"/>
      <c r="AV222" s="338"/>
      <c r="AW222" s="110"/>
      <c r="AX222" s="110"/>
      <c r="AY222" s="113"/>
      <c r="AZ222" s="113"/>
      <c r="BA222" s="113"/>
      <c r="BB222" s="113"/>
      <c r="BC222" s="113"/>
      <c r="BD222" s="113"/>
      <c r="BF22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23" spans="1:58" x14ac:dyDescent="0.3">
      <c r="A223" s="422"/>
      <c r="B223" s="376"/>
      <c r="C223" s="110"/>
      <c r="D223" s="110"/>
      <c r="E223" s="340"/>
      <c r="F223" s="330"/>
      <c r="G223" s="113"/>
      <c r="H223" s="332"/>
      <c r="I223" s="113"/>
      <c r="J223" s="332"/>
      <c r="K223" s="110"/>
      <c r="L223" s="110"/>
      <c r="M223" s="110"/>
      <c r="N223" s="110"/>
      <c r="O223" s="111"/>
      <c r="P223" s="424" t="str">
        <f>IF(OR(Table13[[#This Row],[Annual Increase Option]]="No increase",Table13[[#This Row],[Annual Increase Option]]=""),"",_xlfn.XLOOKUP(MONTH(Table13[[#This Row],[Commencement Date]]),Lookups!$I$19:$I$30,Lookups!$J$19:$J$30,0))</f>
        <v/>
      </c>
      <c r="Q223" s="340"/>
      <c r="R223" s="340"/>
      <c r="S223" s="360">
        <f>IF(Table13[[#This Row],[Life Cover Amount]]="",0,Table2[[#This Row],[Life Premium]])</f>
        <v>0</v>
      </c>
      <c r="T223" s="360">
        <f>IF(Table13[[#This Row],[Funeral Cover Amount]]=0,0,Table2[[#This Row],[Funeral Premium]])</f>
        <v>0</v>
      </c>
      <c r="U223" s="360">
        <f>IF(AND(Table13[[#This Row],[Life Cover Amount]]="",Table13[[#This Row],[Funeral Cover Amount]]=""),0,onboarding_calcs!AA223)</f>
        <v>0</v>
      </c>
      <c r="V223" s="111"/>
      <c r="W223" s="111"/>
      <c r="X223" s="333"/>
      <c r="Y223" s="110"/>
      <c r="Z223" s="113"/>
      <c r="AA223" s="425"/>
      <c r="AB223" s="425"/>
      <c r="AC223" s="113"/>
      <c r="AD223" s="110"/>
      <c r="AE223" s="110"/>
      <c r="AF223" s="110"/>
      <c r="AG223" s="110"/>
      <c r="AH223" s="110"/>
      <c r="AI223" s="113"/>
      <c r="AJ223" s="110"/>
      <c r="AK223" s="110"/>
      <c r="AL223" s="110"/>
      <c r="AM223" s="110"/>
      <c r="AN223" s="110"/>
      <c r="AO223" s="113"/>
      <c r="AP223" s="113"/>
      <c r="AQ223" s="113"/>
      <c r="AR223" s="110"/>
      <c r="AS223" s="113"/>
      <c r="AT223" s="113"/>
      <c r="AU223" s="112"/>
      <c r="AV223" s="338"/>
      <c r="AW223" s="110"/>
      <c r="AX223" s="110"/>
      <c r="AY223" s="113"/>
      <c r="AZ223" s="113"/>
      <c r="BA223" s="113"/>
      <c r="BB223" s="113"/>
      <c r="BC223" s="113"/>
      <c r="BD223" s="113"/>
      <c r="BF22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24" spans="1:58" x14ac:dyDescent="0.3">
      <c r="A224" s="422"/>
      <c r="B224" s="376"/>
      <c r="C224" s="110"/>
      <c r="D224" s="110"/>
      <c r="E224" s="340"/>
      <c r="F224" s="330"/>
      <c r="G224" s="113"/>
      <c r="H224" s="332"/>
      <c r="I224" s="113"/>
      <c r="J224" s="332"/>
      <c r="K224" s="110"/>
      <c r="L224" s="110"/>
      <c r="M224" s="110"/>
      <c r="N224" s="110"/>
      <c r="O224" s="111"/>
      <c r="P224" s="424" t="str">
        <f>IF(OR(Table13[[#This Row],[Annual Increase Option]]="No increase",Table13[[#This Row],[Annual Increase Option]]=""),"",_xlfn.XLOOKUP(MONTH(Table13[[#This Row],[Commencement Date]]),Lookups!$I$19:$I$30,Lookups!$J$19:$J$30,0))</f>
        <v/>
      </c>
      <c r="Q224" s="340"/>
      <c r="R224" s="340"/>
      <c r="S224" s="360">
        <f>IF(Table13[[#This Row],[Life Cover Amount]]="",0,Table2[[#This Row],[Life Premium]])</f>
        <v>0</v>
      </c>
      <c r="T224" s="360">
        <f>IF(Table13[[#This Row],[Funeral Cover Amount]]=0,0,Table2[[#This Row],[Funeral Premium]])</f>
        <v>0</v>
      </c>
      <c r="U224" s="360">
        <f>IF(AND(Table13[[#This Row],[Life Cover Amount]]="",Table13[[#This Row],[Funeral Cover Amount]]=""),0,onboarding_calcs!AA224)</f>
        <v>0</v>
      </c>
      <c r="V224" s="111"/>
      <c r="W224" s="111"/>
      <c r="X224" s="333"/>
      <c r="Y224" s="110"/>
      <c r="Z224" s="113"/>
      <c r="AA224" s="425"/>
      <c r="AB224" s="425"/>
      <c r="AC224" s="113"/>
      <c r="AD224" s="110"/>
      <c r="AE224" s="110"/>
      <c r="AF224" s="110"/>
      <c r="AG224" s="110"/>
      <c r="AH224" s="110"/>
      <c r="AI224" s="113"/>
      <c r="AJ224" s="110"/>
      <c r="AK224" s="110"/>
      <c r="AL224" s="110"/>
      <c r="AM224" s="110"/>
      <c r="AN224" s="110"/>
      <c r="AO224" s="113"/>
      <c r="AP224" s="113"/>
      <c r="AQ224" s="113"/>
      <c r="AR224" s="110"/>
      <c r="AS224" s="113"/>
      <c r="AT224" s="113"/>
      <c r="AU224" s="112"/>
      <c r="AV224" s="338"/>
      <c r="AW224" s="110"/>
      <c r="AX224" s="110"/>
      <c r="AY224" s="113"/>
      <c r="AZ224" s="113"/>
      <c r="BA224" s="113"/>
      <c r="BB224" s="113"/>
      <c r="BC224" s="113"/>
      <c r="BD224" s="113"/>
      <c r="BF22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25" spans="1:58" x14ac:dyDescent="0.3">
      <c r="A225" s="422"/>
      <c r="B225" s="376"/>
      <c r="C225" s="110"/>
      <c r="D225" s="110"/>
      <c r="E225" s="340"/>
      <c r="F225" s="330"/>
      <c r="G225" s="113"/>
      <c r="H225" s="332"/>
      <c r="I225" s="113"/>
      <c r="J225" s="332"/>
      <c r="K225" s="110"/>
      <c r="L225" s="110"/>
      <c r="M225" s="110"/>
      <c r="N225" s="110"/>
      <c r="O225" s="111"/>
      <c r="P225" s="424" t="str">
        <f>IF(OR(Table13[[#This Row],[Annual Increase Option]]="No increase",Table13[[#This Row],[Annual Increase Option]]=""),"",_xlfn.XLOOKUP(MONTH(Table13[[#This Row],[Commencement Date]]),Lookups!$I$19:$I$30,Lookups!$J$19:$J$30,0))</f>
        <v/>
      </c>
      <c r="Q225" s="340"/>
      <c r="R225" s="340"/>
      <c r="S225" s="360">
        <f>IF(Table13[[#This Row],[Life Cover Amount]]="",0,Table2[[#This Row],[Life Premium]])</f>
        <v>0</v>
      </c>
      <c r="T225" s="360">
        <f>IF(Table13[[#This Row],[Funeral Cover Amount]]=0,0,Table2[[#This Row],[Funeral Premium]])</f>
        <v>0</v>
      </c>
      <c r="U225" s="360">
        <f>IF(AND(Table13[[#This Row],[Life Cover Amount]]="",Table13[[#This Row],[Funeral Cover Amount]]=""),0,onboarding_calcs!AA225)</f>
        <v>0</v>
      </c>
      <c r="V225" s="111"/>
      <c r="W225" s="111"/>
      <c r="X225" s="333"/>
      <c r="Y225" s="110"/>
      <c r="Z225" s="113"/>
      <c r="AA225" s="425"/>
      <c r="AB225" s="425"/>
      <c r="AC225" s="113"/>
      <c r="AD225" s="110"/>
      <c r="AE225" s="110"/>
      <c r="AF225" s="110"/>
      <c r="AG225" s="110"/>
      <c r="AH225" s="110"/>
      <c r="AI225" s="113"/>
      <c r="AJ225" s="110"/>
      <c r="AK225" s="110"/>
      <c r="AL225" s="110"/>
      <c r="AM225" s="110"/>
      <c r="AN225" s="110"/>
      <c r="AO225" s="113"/>
      <c r="AP225" s="113"/>
      <c r="AQ225" s="113"/>
      <c r="AR225" s="110"/>
      <c r="AS225" s="113"/>
      <c r="AT225" s="113"/>
      <c r="AU225" s="112"/>
      <c r="AV225" s="338"/>
      <c r="AW225" s="110"/>
      <c r="AX225" s="110"/>
      <c r="AY225" s="113"/>
      <c r="AZ225" s="113"/>
      <c r="BA225" s="113"/>
      <c r="BB225" s="113"/>
      <c r="BC225" s="113"/>
      <c r="BD225" s="113"/>
      <c r="BF22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26" spans="1:58" x14ac:dyDescent="0.3">
      <c r="A226" s="422"/>
      <c r="B226" s="376"/>
      <c r="C226" s="110"/>
      <c r="D226" s="110"/>
      <c r="E226" s="340"/>
      <c r="F226" s="330"/>
      <c r="G226" s="113"/>
      <c r="H226" s="332"/>
      <c r="I226" s="113"/>
      <c r="J226" s="332"/>
      <c r="K226" s="110"/>
      <c r="L226" s="110"/>
      <c r="M226" s="110"/>
      <c r="N226" s="110"/>
      <c r="O226" s="111"/>
      <c r="P226" s="424" t="str">
        <f>IF(OR(Table13[[#This Row],[Annual Increase Option]]="No increase",Table13[[#This Row],[Annual Increase Option]]=""),"",_xlfn.XLOOKUP(MONTH(Table13[[#This Row],[Commencement Date]]),Lookups!$I$19:$I$30,Lookups!$J$19:$J$30,0))</f>
        <v/>
      </c>
      <c r="Q226" s="340"/>
      <c r="R226" s="340"/>
      <c r="S226" s="360">
        <f>IF(Table13[[#This Row],[Life Cover Amount]]="",0,Table2[[#This Row],[Life Premium]])</f>
        <v>0</v>
      </c>
      <c r="T226" s="360">
        <f>IF(Table13[[#This Row],[Funeral Cover Amount]]=0,0,Table2[[#This Row],[Funeral Premium]])</f>
        <v>0</v>
      </c>
      <c r="U226" s="360">
        <f>IF(AND(Table13[[#This Row],[Life Cover Amount]]="",Table13[[#This Row],[Funeral Cover Amount]]=""),0,onboarding_calcs!AA226)</f>
        <v>0</v>
      </c>
      <c r="V226" s="111"/>
      <c r="W226" s="111"/>
      <c r="X226" s="333"/>
      <c r="Y226" s="110"/>
      <c r="Z226" s="113"/>
      <c r="AA226" s="425"/>
      <c r="AB226" s="425"/>
      <c r="AC226" s="113"/>
      <c r="AD226" s="110"/>
      <c r="AE226" s="110"/>
      <c r="AF226" s="110"/>
      <c r="AG226" s="110"/>
      <c r="AH226" s="110"/>
      <c r="AI226" s="113"/>
      <c r="AJ226" s="110"/>
      <c r="AK226" s="110"/>
      <c r="AL226" s="110"/>
      <c r="AM226" s="110"/>
      <c r="AN226" s="110"/>
      <c r="AO226" s="113"/>
      <c r="AP226" s="113"/>
      <c r="AQ226" s="113"/>
      <c r="AR226" s="110"/>
      <c r="AS226" s="113"/>
      <c r="AT226" s="113"/>
      <c r="AU226" s="112"/>
      <c r="AV226" s="338"/>
      <c r="AW226" s="110"/>
      <c r="AX226" s="110"/>
      <c r="AY226" s="113"/>
      <c r="AZ226" s="113"/>
      <c r="BA226" s="113"/>
      <c r="BB226" s="113"/>
      <c r="BC226" s="113"/>
      <c r="BD226" s="113"/>
      <c r="BF22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27" spans="1:58" x14ac:dyDescent="0.3">
      <c r="A227" s="422"/>
      <c r="B227" s="376"/>
      <c r="C227" s="110"/>
      <c r="D227" s="110"/>
      <c r="E227" s="340"/>
      <c r="F227" s="330"/>
      <c r="G227" s="113"/>
      <c r="H227" s="332"/>
      <c r="I227" s="113"/>
      <c r="J227" s="332"/>
      <c r="K227" s="110"/>
      <c r="L227" s="110"/>
      <c r="M227" s="110"/>
      <c r="N227" s="110"/>
      <c r="O227" s="111"/>
      <c r="P227" s="424" t="str">
        <f>IF(OR(Table13[[#This Row],[Annual Increase Option]]="No increase",Table13[[#This Row],[Annual Increase Option]]=""),"",_xlfn.XLOOKUP(MONTH(Table13[[#This Row],[Commencement Date]]),Lookups!$I$19:$I$30,Lookups!$J$19:$J$30,0))</f>
        <v/>
      </c>
      <c r="Q227" s="340"/>
      <c r="R227" s="340"/>
      <c r="S227" s="360">
        <f>IF(Table13[[#This Row],[Life Cover Amount]]="",0,Table2[[#This Row],[Life Premium]])</f>
        <v>0</v>
      </c>
      <c r="T227" s="360">
        <f>IF(Table13[[#This Row],[Funeral Cover Amount]]=0,0,Table2[[#This Row],[Funeral Premium]])</f>
        <v>0</v>
      </c>
      <c r="U227" s="360">
        <f>IF(AND(Table13[[#This Row],[Life Cover Amount]]="",Table13[[#This Row],[Funeral Cover Amount]]=""),0,onboarding_calcs!AA227)</f>
        <v>0</v>
      </c>
      <c r="V227" s="111"/>
      <c r="W227" s="111"/>
      <c r="X227" s="333"/>
      <c r="Y227" s="110"/>
      <c r="Z227" s="113"/>
      <c r="AA227" s="425"/>
      <c r="AB227" s="425"/>
      <c r="AC227" s="113"/>
      <c r="AD227" s="110"/>
      <c r="AE227" s="110"/>
      <c r="AF227" s="110"/>
      <c r="AG227" s="110"/>
      <c r="AH227" s="110"/>
      <c r="AI227" s="113"/>
      <c r="AJ227" s="110"/>
      <c r="AK227" s="110"/>
      <c r="AL227" s="110"/>
      <c r="AM227" s="110"/>
      <c r="AN227" s="110"/>
      <c r="AO227" s="113"/>
      <c r="AP227" s="113"/>
      <c r="AQ227" s="113"/>
      <c r="AR227" s="110"/>
      <c r="AS227" s="113"/>
      <c r="AT227" s="113"/>
      <c r="AU227" s="112"/>
      <c r="AV227" s="338"/>
      <c r="AW227" s="110"/>
      <c r="AX227" s="110"/>
      <c r="AY227" s="113"/>
      <c r="AZ227" s="113"/>
      <c r="BA227" s="113"/>
      <c r="BB227" s="113"/>
      <c r="BC227" s="113"/>
      <c r="BD227" s="113"/>
      <c r="BF22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28" spans="1:58" x14ac:dyDescent="0.3">
      <c r="A228" s="422"/>
      <c r="B228" s="376"/>
      <c r="C228" s="110"/>
      <c r="D228" s="110"/>
      <c r="E228" s="340"/>
      <c r="F228" s="330"/>
      <c r="G228" s="113"/>
      <c r="H228" s="332"/>
      <c r="I228" s="113"/>
      <c r="J228" s="332"/>
      <c r="K228" s="110"/>
      <c r="L228" s="110"/>
      <c r="M228" s="110"/>
      <c r="N228" s="110"/>
      <c r="O228" s="111"/>
      <c r="P228" s="424" t="str">
        <f>IF(OR(Table13[[#This Row],[Annual Increase Option]]="No increase",Table13[[#This Row],[Annual Increase Option]]=""),"",_xlfn.XLOOKUP(MONTH(Table13[[#This Row],[Commencement Date]]),Lookups!$I$19:$I$30,Lookups!$J$19:$J$30,0))</f>
        <v/>
      </c>
      <c r="Q228" s="340"/>
      <c r="R228" s="340"/>
      <c r="S228" s="360">
        <f>IF(Table13[[#This Row],[Life Cover Amount]]="",0,Table2[[#This Row],[Life Premium]])</f>
        <v>0</v>
      </c>
      <c r="T228" s="360">
        <f>IF(Table13[[#This Row],[Funeral Cover Amount]]=0,0,Table2[[#This Row],[Funeral Premium]])</f>
        <v>0</v>
      </c>
      <c r="U228" s="360">
        <f>IF(AND(Table13[[#This Row],[Life Cover Amount]]="",Table13[[#This Row],[Funeral Cover Amount]]=""),0,onboarding_calcs!AA228)</f>
        <v>0</v>
      </c>
      <c r="V228" s="111"/>
      <c r="W228" s="111"/>
      <c r="X228" s="333"/>
      <c r="Y228" s="110"/>
      <c r="Z228" s="113"/>
      <c r="AA228" s="425"/>
      <c r="AB228" s="425"/>
      <c r="AC228" s="113"/>
      <c r="AD228" s="110"/>
      <c r="AE228" s="110"/>
      <c r="AF228" s="110"/>
      <c r="AG228" s="110"/>
      <c r="AH228" s="110"/>
      <c r="AI228" s="113"/>
      <c r="AJ228" s="110"/>
      <c r="AK228" s="110"/>
      <c r="AL228" s="110"/>
      <c r="AM228" s="110"/>
      <c r="AN228" s="110"/>
      <c r="AO228" s="113"/>
      <c r="AP228" s="113"/>
      <c r="AQ228" s="113"/>
      <c r="AR228" s="110"/>
      <c r="AS228" s="113"/>
      <c r="AT228" s="113"/>
      <c r="AU228" s="112"/>
      <c r="AV228" s="338"/>
      <c r="AW228" s="110"/>
      <c r="AX228" s="110"/>
      <c r="AY228" s="113"/>
      <c r="AZ228" s="113"/>
      <c r="BA228" s="113"/>
      <c r="BB228" s="113"/>
      <c r="BC228" s="113"/>
      <c r="BD228" s="113"/>
      <c r="BF22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29" spans="1:58" x14ac:dyDescent="0.3">
      <c r="A229" s="422"/>
      <c r="B229" s="376"/>
      <c r="C229" s="110"/>
      <c r="D229" s="110"/>
      <c r="E229" s="340"/>
      <c r="F229" s="330"/>
      <c r="G229" s="113"/>
      <c r="H229" s="332"/>
      <c r="I229" s="113"/>
      <c r="J229" s="332"/>
      <c r="K229" s="110"/>
      <c r="L229" s="110"/>
      <c r="M229" s="110"/>
      <c r="N229" s="110"/>
      <c r="O229" s="111"/>
      <c r="P229" s="424" t="str">
        <f>IF(OR(Table13[[#This Row],[Annual Increase Option]]="No increase",Table13[[#This Row],[Annual Increase Option]]=""),"",_xlfn.XLOOKUP(MONTH(Table13[[#This Row],[Commencement Date]]),Lookups!$I$19:$I$30,Lookups!$J$19:$J$30,0))</f>
        <v/>
      </c>
      <c r="Q229" s="340"/>
      <c r="R229" s="340"/>
      <c r="S229" s="360">
        <f>IF(Table13[[#This Row],[Life Cover Amount]]="",0,Table2[[#This Row],[Life Premium]])</f>
        <v>0</v>
      </c>
      <c r="T229" s="360">
        <f>IF(Table13[[#This Row],[Funeral Cover Amount]]=0,0,Table2[[#This Row],[Funeral Premium]])</f>
        <v>0</v>
      </c>
      <c r="U229" s="360">
        <f>IF(AND(Table13[[#This Row],[Life Cover Amount]]="",Table13[[#This Row],[Funeral Cover Amount]]=""),0,onboarding_calcs!AA229)</f>
        <v>0</v>
      </c>
      <c r="V229" s="111"/>
      <c r="W229" s="111"/>
      <c r="X229" s="333"/>
      <c r="Y229" s="110"/>
      <c r="Z229" s="113"/>
      <c r="AA229" s="425"/>
      <c r="AB229" s="425"/>
      <c r="AC229" s="113"/>
      <c r="AD229" s="110"/>
      <c r="AE229" s="110"/>
      <c r="AF229" s="110"/>
      <c r="AG229" s="110"/>
      <c r="AH229" s="110"/>
      <c r="AI229" s="113"/>
      <c r="AJ229" s="110"/>
      <c r="AK229" s="110"/>
      <c r="AL229" s="110"/>
      <c r="AM229" s="110"/>
      <c r="AN229" s="110"/>
      <c r="AO229" s="113"/>
      <c r="AP229" s="113"/>
      <c r="AQ229" s="113"/>
      <c r="AR229" s="110"/>
      <c r="AS229" s="113"/>
      <c r="AT229" s="113"/>
      <c r="AU229" s="112"/>
      <c r="AV229" s="338"/>
      <c r="AW229" s="110"/>
      <c r="AX229" s="110"/>
      <c r="AY229" s="113"/>
      <c r="AZ229" s="113"/>
      <c r="BA229" s="113"/>
      <c r="BB229" s="113"/>
      <c r="BC229" s="113"/>
      <c r="BD229" s="113"/>
      <c r="BF22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30" spans="1:58" x14ac:dyDescent="0.3">
      <c r="A230" s="422"/>
      <c r="B230" s="376"/>
      <c r="C230" s="110"/>
      <c r="D230" s="110"/>
      <c r="E230" s="340"/>
      <c r="F230" s="330"/>
      <c r="G230" s="113"/>
      <c r="H230" s="332"/>
      <c r="I230" s="113"/>
      <c r="J230" s="332"/>
      <c r="K230" s="110"/>
      <c r="L230" s="110"/>
      <c r="M230" s="110"/>
      <c r="N230" s="110"/>
      <c r="O230" s="111"/>
      <c r="P230" s="424" t="str">
        <f>IF(OR(Table13[[#This Row],[Annual Increase Option]]="No increase",Table13[[#This Row],[Annual Increase Option]]=""),"",_xlfn.XLOOKUP(MONTH(Table13[[#This Row],[Commencement Date]]),Lookups!$I$19:$I$30,Lookups!$J$19:$J$30,0))</f>
        <v/>
      </c>
      <c r="Q230" s="340"/>
      <c r="R230" s="340"/>
      <c r="S230" s="360">
        <f>IF(Table13[[#This Row],[Life Cover Amount]]="",0,Table2[[#This Row],[Life Premium]])</f>
        <v>0</v>
      </c>
      <c r="T230" s="360">
        <f>IF(Table13[[#This Row],[Funeral Cover Amount]]=0,0,Table2[[#This Row],[Funeral Premium]])</f>
        <v>0</v>
      </c>
      <c r="U230" s="360">
        <f>IF(AND(Table13[[#This Row],[Life Cover Amount]]="",Table13[[#This Row],[Funeral Cover Amount]]=""),0,onboarding_calcs!AA230)</f>
        <v>0</v>
      </c>
      <c r="V230" s="111"/>
      <c r="W230" s="111"/>
      <c r="X230" s="333"/>
      <c r="Y230" s="110"/>
      <c r="Z230" s="113"/>
      <c r="AA230" s="425"/>
      <c r="AB230" s="425"/>
      <c r="AC230" s="113"/>
      <c r="AD230" s="110"/>
      <c r="AE230" s="110"/>
      <c r="AF230" s="110"/>
      <c r="AG230" s="110"/>
      <c r="AH230" s="110"/>
      <c r="AI230" s="113"/>
      <c r="AJ230" s="110"/>
      <c r="AK230" s="110"/>
      <c r="AL230" s="110"/>
      <c r="AM230" s="110"/>
      <c r="AN230" s="110"/>
      <c r="AO230" s="113"/>
      <c r="AP230" s="113"/>
      <c r="AQ230" s="113"/>
      <c r="AR230" s="110"/>
      <c r="AS230" s="113"/>
      <c r="AT230" s="113"/>
      <c r="AU230" s="112"/>
      <c r="AV230" s="338"/>
      <c r="AW230" s="110"/>
      <c r="AX230" s="110"/>
      <c r="AY230" s="113"/>
      <c r="AZ230" s="113"/>
      <c r="BA230" s="113"/>
      <c r="BB230" s="113"/>
      <c r="BC230" s="113"/>
      <c r="BD230" s="113"/>
      <c r="BF23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31" spans="1:58" x14ac:dyDescent="0.3">
      <c r="A231" s="422"/>
      <c r="B231" s="376"/>
      <c r="C231" s="110"/>
      <c r="D231" s="110"/>
      <c r="E231" s="340"/>
      <c r="F231" s="330"/>
      <c r="G231" s="113"/>
      <c r="H231" s="332"/>
      <c r="I231" s="113"/>
      <c r="J231" s="332"/>
      <c r="K231" s="110"/>
      <c r="L231" s="110"/>
      <c r="M231" s="110"/>
      <c r="N231" s="110"/>
      <c r="O231" s="111"/>
      <c r="P231" s="424" t="str">
        <f>IF(OR(Table13[[#This Row],[Annual Increase Option]]="No increase",Table13[[#This Row],[Annual Increase Option]]=""),"",_xlfn.XLOOKUP(MONTH(Table13[[#This Row],[Commencement Date]]),Lookups!$I$19:$I$30,Lookups!$J$19:$J$30,0))</f>
        <v/>
      </c>
      <c r="Q231" s="340"/>
      <c r="R231" s="340"/>
      <c r="S231" s="360">
        <f>IF(Table13[[#This Row],[Life Cover Amount]]="",0,Table2[[#This Row],[Life Premium]])</f>
        <v>0</v>
      </c>
      <c r="T231" s="360">
        <f>IF(Table13[[#This Row],[Funeral Cover Amount]]=0,0,Table2[[#This Row],[Funeral Premium]])</f>
        <v>0</v>
      </c>
      <c r="U231" s="360">
        <f>IF(AND(Table13[[#This Row],[Life Cover Amount]]="",Table13[[#This Row],[Funeral Cover Amount]]=""),0,onboarding_calcs!AA231)</f>
        <v>0</v>
      </c>
      <c r="V231" s="111"/>
      <c r="W231" s="111"/>
      <c r="X231" s="333"/>
      <c r="Y231" s="110"/>
      <c r="Z231" s="113"/>
      <c r="AA231" s="425"/>
      <c r="AB231" s="425"/>
      <c r="AC231" s="113"/>
      <c r="AD231" s="110"/>
      <c r="AE231" s="110"/>
      <c r="AF231" s="110"/>
      <c r="AG231" s="110"/>
      <c r="AH231" s="110"/>
      <c r="AI231" s="113"/>
      <c r="AJ231" s="110"/>
      <c r="AK231" s="110"/>
      <c r="AL231" s="110"/>
      <c r="AM231" s="110"/>
      <c r="AN231" s="110"/>
      <c r="AO231" s="113"/>
      <c r="AP231" s="113"/>
      <c r="AQ231" s="113"/>
      <c r="AR231" s="110"/>
      <c r="AS231" s="113"/>
      <c r="AT231" s="113"/>
      <c r="AU231" s="112"/>
      <c r="AV231" s="338"/>
      <c r="AW231" s="110"/>
      <c r="AX231" s="110"/>
      <c r="AY231" s="113"/>
      <c r="AZ231" s="113"/>
      <c r="BA231" s="113"/>
      <c r="BB231" s="113"/>
      <c r="BC231" s="113"/>
      <c r="BD231" s="113"/>
      <c r="BF23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32" spans="1:58" x14ac:dyDescent="0.3">
      <c r="A232" s="422"/>
      <c r="B232" s="376"/>
      <c r="C232" s="110"/>
      <c r="D232" s="110"/>
      <c r="E232" s="340"/>
      <c r="F232" s="330"/>
      <c r="G232" s="113"/>
      <c r="H232" s="332"/>
      <c r="I232" s="113"/>
      <c r="J232" s="332"/>
      <c r="K232" s="110"/>
      <c r="L232" s="110"/>
      <c r="M232" s="110"/>
      <c r="N232" s="110"/>
      <c r="O232" s="111"/>
      <c r="P232" s="424" t="str">
        <f>IF(OR(Table13[[#This Row],[Annual Increase Option]]="No increase",Table13[[#This Row],[Annual Increase Option]]=""),"",_xlfn.XLOOKUP(MONTH(Table13[[#This Row],[Commencement Date]]),Lookups!$I$19:$I$30,Lookups!$J$19:$J$30,0))</f>
        <v/>
      </c>
      <c r="Q232" s="340"/>
      <c r="R232" s="340"/>
      <c r="S232" s="360">
        <f>IF(Table13[[#This Row],[Life Cover Amount]]="",0,Table2[[#This Row],[Life Premium]])</f>
        <v>0</v>
      </c>
      <c r="T232" s="360">
        <f>IF(Table13[[#This Row],[Funeral Cover Amount]]=0,0,Table2[[#This Row],[Funeral Premium]])</f>
        <v>0</v>
      </c>
      <c r="U232" s="360">
        <f>IF(AND(Table13[[#This Row],[Life Cover Amount]]="",Table13[[#This Row],[Funeral Cover Amount]]=""),0,onboarding_calcs!AA232)</f>
        <v>0</v>
      </c>
      <c r="V232" s="111"/>
      <c r="W232" s="111"/>
      <c r="X232" s="333"/>
      <c r="Y232" s="110"/>
      <c r="Z232" s="113"/>
      <c r="AA232" s="425"/>
      <c r="AB232" s="425"/>
      <c r="AC232" s="113"/>
      <c r="AD232" s="110"/>
      <c r="AE232" s="110"/>
      <c r="AF232" s="110"/>
      <c r="AG232" s="110"/>
      <c r="AH232" s="110"/>
      <c r="AI232" s="113"/>
      <c r="AJ232" s="110"/>
      <c r="AK232" s="110"/>
      <c r="AL232" s="110"/>
      <c r="AM232" s="110"/>
      <c r="AN232" s="110"/>
      <c r="AO232" s="113"/>
      <c r="AP232" s="113"/>
      <c r="AQ232" s="113"/>
      <c r="AR232" s="110"/>
      <c r="AS232" s="113"/>
      <c r="AT232" s="113"/>
      <c r="AU232" s="112"/>
      <c r="AV232" s="338"/>
      <c r="AW232" s="110"/>
      <c r="AX232" s="110"/>
      <c r="AY232" s="113"/>
      <c r="AZ232" s="113"/>
      <c r="BA232" s="113"/>
      <c r="BB232" s="113"/>
      <c r="BC232" s="113"/>
      <c r="BD232" s="113"/>
      <c r="BF23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33" spans="1:58" x14ac:dyDescent="0.3">
      <c r="A233" s="422"/>
      <c r="B233" s="376"/>
      <c r="C233" s="110"/>
      <c r="D233" s="110"/>
      <c r="E233" s="340"/>
      <c r="F233" s="330"/>
      <c r="G233" s="113"/>
      <c r="H233" s="332"/>
      <c r="I233" s="113"/>
      <c r="J233" s="332"/>
      <c r="K233" s="110"/>
      <c r="L233" s="110"/>
      <c r="M233" s="110"/>
      <c r="N233" s="110"/>
      <c r="O233" s="111"/>
      <c r="P233" s="424" t="str">
        <f>IF(OR(Table13[[#This Row],[Annual Increase Option]]="No increase",Table13[[#This Row],[Annual Increase Option]]=""),"",_xlfn.XLOOKUP(MONTH(Table13[[#This Row],[Commencement Date]]),Lookups!$I$19:$I$30,Lookups!$J$19:$J$30,0))</f>
        <v/>
      </c>
      <c r="Q233" s="340"/>
      <c r="R233" s="340"/>
      <c r="S233" s="360">
        <f>IF(Table13[[#This Row],[Life Cover Amount]]="",0,Table2[[#This Row],[Life Premium]])</f>
        <v>0</v>
      </c>
      <c r="T233" s="360">
        <f>IF(Table13[[#This Row],[Funeral Cover Amount]]=0,0,Table2[[#This Row],[Funeral Premium]])</f>
        <v>0</v>
      </c>
      <c r="U233" s="360">
        <f>IF(AND(Table13[[#This Row],[Life Cover Amount]]="",Table13[[#This Row],[Funeral Cover Amount]]=""),0,onboarding_calcs!AA233)</f>
        <v>0</v>
      </c>
      <c r="V233" s="111"/>
      <c r="W233" s="111"/>
      <c r="X233" s="333"/>
      <c r="Y233" s="110"/>
      <c r="Z233" s="113"/>
      <c r="AA233" s="425"/>
      <c r="AB233" s="425"/>
      <c r="AC233" s="113"/>
      <c r="AD233" s="110"/>
      <c r="AE233" s="110"/>
      <c r="AF233" s="110"/>
      <c r="AG233" s="110"/>
      <c r="AH233" s="110"/>
      <c r="AI233" s="113"/>
      <c r="AJ233" s="110"/>
      <c r="AK233" s="110"/>
      <c r="AL233" s="110"/>
      <c r="AM233" s="110"/>
      <c r="AN233" s="110"/>
      <c r="AO233" s="113"/>
      <c r="AP233" s="113"/>
      <c r="AQ233" s="113"/>
      <c r="AR233" s="110"/>
      <c r="AS233" s="113"/>
      <c r="AT233" s="113"/>
      <c r="AU233" s="112"/>
      <c r="AV233" s="338"/>
      <c r="AW233" s="110"/>
      <c r="AX233" s="110"/>
      <c r="AY233" s="113"/>
      <c r="AZ233" s="113"/>
      <c r="BA233" s="113"/>
      <c r="BB233" s="113"/>
      <c r="BC233" s="113"/>
      <c r="BD233" s="113"/>
      <c r="BF23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34" spans="1:58" x14ac:dyDescent="0.3">
      <c r="A234" s="422"/>
      <c r="B234" s="376"/>
      <c r="C234" s="110"/>
      <c r="D234" s="110"/>
      <c r="E234" s="340"/>
      <c r="F234" s="330"/>
      <c r="G234" s="113"/>
      <c r="H234" s="332"/>
      <c r="I234" s="113"/>
      <c r="J234" s="332"/>
      <c r="K234" s="110"/>
      <c r="L234" s="110"/>
      <c r="M234" s="110"/>
      <c r="N234" s="110"/>
      <c r="O234" s="111"/>
      <c r="P234" s="424" t="str">
        <f>IF(OR(Table13[[#This Row],[Annual Increase Option]]="No increase",Table13[[#This Row],[Annual Increase Option]]=""),"",_xlfn.XLOOKUP(MONTH(Table13[[#This Row],[Commencement Date]]),Lookups!$I$19:$I$30,Lookups!$J$19:$J$30,0))</f>
        <v/>
      </c>
      <c r="Q234" s="340"/>
      <c r="R234" s="340"/>
      <c r="S234" s="360">
        <f>IF(Table13[[#This Row],[Life Cover Amount]]="",0,Table2[[#This Row],[Life Premium]])</f>
        <v>0</v>
      </c>
      <c r="T234" s="360">
        <f>IF(Table13[[#This Row],[Funeral Cover Amount]]=0,0,Table2[[#This Row],[Funeral Premium]])</f>
        <v>0</v>
      </c>
      <c r="U234" s="360">
        <f>IF(AND(Table13[[#This Row],[Life Cover Amount]]="",Table13[[#This Row],[Funeral Cover Amount]]=""),0,onboarding_calcs!AA234)</f>
        <v>0</v>
      </c>
      <c r="V234" s="111"/>
      <c r="W234" s="111"/>
      <c r="X234" s="333"/>
      <c r="Y234" s="110"/>
      <c r="Z234" s="113"/>
      <c r="AA234" s="425"/>
      <c r="AB234" s="425"/>
      <c r="AC234" s="113"/>
      <c r="AD234" s="110"/>
      <c r="AE234" s="110"/>
      <c r="AF234" s="110"/>
      <c r="AG234" s="110"/>
      <c r="AH234" s="110"/>
      <c r="AI234" s="113"/>
      <c r="AJ234" s="110"/>
      <c r="AK234" s="110"/>
      <c r="AL234" s="110"/>
      <c r="AM234" s="110"/>
      <c r="AN234" s="110"/>
      <c r="AO234" s="113"/>
      <c r="AP234" s="113"/>
      <c r="AQ234" s="113"/>
      <c r="AR234" s="110"/>
      <c r="AS234" s="113"/>
      <c r="AT234" s="113"/>
      <c r="AU234" s="112"/>
      <c r="AV234" s="338"/>
      <c r="AW234" s="110"/>
      <c r="AX234" s="110"/>
      <c r="AY234" s="113"/>
      <c r="AZ234" s="113"/>
      <c r="BA234" s="113"/>
      <c r="BB234" s="113"/>
      <c r="BC234" s="113"/>
      <c r="BD234" s="113"/>
      <c r="BF23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35" spans="1:58" x14ac:dyDescent="0.3">
      <c r="A235" s="422"/>
      <c r="B235" s="376"/>
      <c r="C235" s="110"/>
      <c r="D235" s="110"/>
      <c r="E235" s="340"/>
      <c r="F235" s="330"/>
      <c r="G235" s="113"/>
      <c r="H235" s="332"/>
      <c r="I235" s="113"/>
      <c r="J235" s="332"/>
      <c r="K235" s="110"/>
      <c r="L235" s="110"/>
      <c r="M235" s="110"/>
      <c r="N235" s="110"/>
      <c r="O235" s="111"/>
      <c r="P235" s="424" t="str">
        <f>IF(OR(Table13[[#This Row],[Annual Increase Option]]="No increase",Table13[[#This Row],[Annual Increase Option]]=""),"",_xlfn.XLOOKUP(MONTH(Table13[[#This Row],[Commencement Date]]),Lookups!$I$19:$I$30,Lookups!$J$19:$J$30,0))</f>
        <v/>
      </c>
      <c r="Q235" s="340"/>
      <c r="R235" s="340"/>
      <c r="S235" s="360">
        <f>IF(Table13[[#This Row],[Life Cover Amount]]="",0,Table2[[#This Row],[Life Premium]])</f>
        <v>0</v>
      </c>
      <c r="T235" s="360">
        <f>IF(Table13[[#This Row],[Funeral Cover Amount]]=0,0,Table2[[#This Row],[Funeral Premium]])</f>
        <v>0</v>
      </c>
      <c r="U235" s="360">
        <f>IF(AND(Table13[[#This Row],[Life Cover Amount]]="",Table13[[#This Row],[Funeral Cover Amount]]=""),0,onboarding_calcs!AA235)</f>
        <v>0</v>
      </c>
      <c r="V235" s="111"/>
      <c r="W235" s="111"/>
      <c r="X235" s="333"/>
      <c r="Y235" s="110"/>
      <c r="Z235" s="113"/>
      <c r="AA235" s="425"/>
      <c r="AB235" s="425"/>
      <c r="AC235" s="113"/>
      <c r="AD235" s="110"/>
      <c r="AE235" s="110"/>
      <c r="AF235" s="110"/>
      <c r="AG235" s="110"/>
      <c r="AH235" s="110"/>
      <c r="AI235" s="113"/>
      <c r="AJ235" s="110"/>
      <c r="AK235" s="110"/>
      <c r="AL235" s="110"/>
      <c r="AM235" s="110"/>
      <c r="AN235" s="110"/>
      <c r="AO235" s="113"/>
      <c r="AP235" s="113"/>
      <c r="AQ235" s="113"/>
      <c r="AR235" s="110"/>
      <c r="AS235" s="113"/>
      <c r="AT235" s="113"/>
      <c r="AU235" s="112"/>
      <c r="AV235" s="338"/>
      <c r="AW235" s="110"/>
      <c r="AX235" s="110"/>
      <c r="AY235" s="113"/>
      <c r="AZ235" s="113"/>
      <c r="BA235" s="113"/>
      <c r="BB235" s="113"/>
      <c r="BC235" s="113"/>
      <c r="BD235" s="113"/>
      <c r="BF23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36" spans="1:58" x14ac:dyDescent="0.3">
      <c r="A236" s="422"/>
      <c r="B236" s="376"/>
      <c r="C236" s="110"/>
      <c r="D236" s="110"/>
      <c r="E236" s="340"/>
      <c r="F236" s="330"/>
      <c r="G236" s="113"/>
      <c r="H236" s="332"/>
      <c r="I236" s="113"/>
      <c r="J236" s="332"/>
      <c r="K236" s="110"/>
      <c r="L236" s="110"/>
      <c r="M236" s="110"/>
      <c r="N236" s="110"/>
      <c r="O236" s="111"/>
      <c r="P236" s="424" t="str">
        <f>IF(OR(Table13[[#This Row],[Annual Increase Option]]="No increase",Table13[[#This Row],[Annual Increase Option]]=""),"",_xlfn.XLOOKUP(MONTH(Table13[[#This Row],[Commencement Date]]),Lookups!$I$19:$I$30,Lookups!$J$19:$J$30,0))</f>
        <v/>
      </c>
      <c r="Q236" s="340"/>
      <c r="R236" s="340"/>
      <c r="S236" s="360">
        <f>IF(Table13[[#This Row],[Life Cover Amount]]="",0,Table2[[#This Row],[Life Premium]])</f>
        <v>0</v>
      </c>
      <c r="T236" s="360">
        <f>IF(Table13[[#This Row],[Funeral Cover Amount]]=0,0,Table2[[#This Row],[Funeral Premium]])</f>
        <v>0</v>
      </c>
      <c r="U236" s="360">
        <f>IF(AND(Table13[[#This Row],[Life Cover Amount]]="",Table13[[#This Row],[Funeral Cover Amount]]=""),0,onboarding_calcs!AA236)</f>
        <v>0</v>
      </c>
      <c r="V236" s="111"/>
      <c r="W236" s="111"/>
      <c r="X236" s="333"/>
      <c r="Y236" s="110"/>
      <c r="Z236" s="113"/>
      <c r="AA236" s="425"/>
      <c r="AB236" s="425"/>
      <c r="AC236" s="113"/>
      <c r="AD236" s="110"/>
      <c r="AE236" s="110"/>
      <c r="AF236" s="110"/>
      <c r="AG236" s="110"/>
      <c r="AH236" s="110"/>
      <c r="AI236" s="113"/>
      <c r="AJ236" s="110"/>
      <c r="AK236" s="110"/>
      <c r="AL236" s="110"/>
      <c r="AM236" s="110"/>
      <c r="AN236" s="110"/>
      <c r="AO236" s="113"/>
      <c r="AP236" s="113"/>
      <c r="AQ236" s="113"/>
      <c r="AR236" s="110"/>
      <c r="AS236" s="113"/>
      <c r="AT236" s="113"/>
      <c r="AU236" s="112"/>
      <c r="AV236" s="338"/>
      <c r="AW236" s="110"/>
      <c r="AX236" s="110"/>
      <c r="AY236" s="113"/>
      <c r="AZ236" s="113"/>
      <c r="BA236" s="113"/>
      <c r="BB236" s="113"/>
      <c r="BC236" s="113"/>
      <c r="BD236" s="113"/>
      <c r="BF23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37" spans="1:58" x14ac:dyDescent="0.3">
      <c r="A237" s="422"/>
      <c r="B237" s="376"/>
      <c r="C237" s="110"/>
      <c r="D237" s="110"/>
      <c r="E237" s="340"/>
      <c r="F237" s="330"/>
      <c r="G237" s="113"/>
      <c r="H237" s="332"/>
      <c r="I237" s="113"/>
      <c r="J237" s="332"/>
      <c r="K237" s="110"/>
      <c r="L237" s="110"/>
      <c r="M237" s="110"/>
      <c r="N237" s="110"/>
      <c r="O237" s="111"/>
      <c r="P237" s="424" t="str">
        <f>IF(OR(Table13[[#This Row],[Annual Increase Option]]="No increase",Table13[[#This Row],[Annual Increase Option]]=""),"",_xlfn.XLOOKUP(MONTH(Table13[[#This Row],[Commencement Date]]),Lookups!$I$19:$I$30,Lookups!$J$19:$J$30,0))</f>
        <v/>
      </c>
      <c r="Q237" s="340"/>
      <c r="R237" s="340"/>
      <c r="S237" s="360">
        <f>IF(Table13[[#This Row],[Life Cover Amount]]="",0,Table2[[#This Row],[Life Premium]])</f>
        <v>0</v>
      </c>
      <c r="T237" s="360">
        <f>IF(Table13[[#This Row],[Funeral Cover Amount]]=0,0,Table2[[#This Row],[Funeral Premium]])</f>
        <v>0</v>
      </c>
      <c r="U237" s="360">
        <f>IF(AND(Table13[[#This Row],[Life Cover Amount]]="",Table13[[#This Row],[Funeral Cover Amount]]=""),0,onboarding_calcs!AA237)</f>
        <v>0</v>
      </c>
      <c r="V237" s="111"/>
      <c r="W237" s="111"/>
      <c r="X237" s="333"/>
      <c r="Y237" s="110"/>
      <c r="Z237" s="113"/>
      <c r="AA237" s="425"/>
      <c r="AB237" s="425"/>
      <c r="AC237" s="113"/>
      <c r="AD237" s="110"/>
      <c r="AE237" s="110"/>
      <c r="AF237" s="110"/>
      <c r="AG237" s="110"/>
      <c r="AH237" s="110"/>
      <c r="AI237" s="113"/>
      <c r="AJ237" s="110"/>
      <c r="AK237" s="110"/>
      <c r="AL237" s="110"/>
      <c r="AM237" s="110"/>
      <c r="AN237" s="110"/>
      <c r="AO237" s="113"/>
      <c r="AP237" s="113"/>
      <c r="AQ237" s="113"/>
      <c r="AR237" s="110"/>
      <c r="AS237" s="113"/>
      <c r="AT237" s="113"/>
      <c r="AU237" s="112"/>
      <c r="AV237" s="338"/>
      <c r="AW237" s="110"/>
      <c r="AX237" s="110"/>
      <c r="AY237" s="113"/>
      <c r="AZ237" s="113"/>
      <c r="BA237" s="113"/>
      <c r="BB237" s="113"/>
      <c r="BC237" s="113"/>
      <c r="BD237" s="113"/>
      <c r="BF23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38" spans="1:58" x14ac:dyDescent="0.3">
      <c r="A238" s="422"/>
      <c r="B238" s="376"/>
      <c r="C238" s="110"/>
      <c r="D238" s="110"/>
      <c r="E238" s="340"/>
      <c r="F238" s="330"/>
      <c r="G238" s="113"/>
      <c r="H238" s="332"/>
      <c r="I238" s="113"/>
      <c r="J238" s="332"/>
      <c r="K238" s="110"/>
      <c r="L238" s="110"/>
      <c r="M238" s="110"/>
      <c r="N238" s="110"/>
      <c r="O238" s="111"/>
      <c r="P238" s="424" t="str">
        <f>IF(OR(Table13[[#This Row],[Annual Increase Option]]="No increase",Table13[[#This Row],[Annual Increase Option]]=""),"",_xlfn.XLOOKUP(MONTH(Table13[[#This Row],[Commencement Date]]),Lookups!$I$19:$I$30,Lookups!$J$19:$J$30,0))</f>
        <v/>
      </c>
      <c r="Q238" s="340"/>
      <c r="R238" s="340"/>
      <c r="S238" s="360">
        <f>IF(Table13[[#This Row],[Life Cover Amount]]="",0,Table2[[#This Row],[Life Premium]])</f>
        <v>0</v>
      </c>
      <c r="T238" s="360">
        <f>IF(Table13[[#This Row],[Funeral Cover Amount]]=0,0,Table2[[#This Row],[Funeral Premium]])</f>
        <v>0</v>
      </c>
      <c r="U238" s="360">
        <f>IF(AND(Table13[[#This Row],[Life Cover Amount]]="",Table13[[#This Row],[Funeral Cover Amount]]=""),0,onboarding_calcs!AA238)</f>
        <v>0</v>
      </c>
      <c r="V238" s="111"/>
      <c r="W238" s="111"/>
      <c r="X238" s="333"/>
      <c r="Y238" s="110"/>
      <c r="Z238" s="113"/>
      <c r="AA238" s="425"/>
      <c r="AB238" s="425"/>
      <c r="AC238" s="113"/>
      <c r="AD238" s="110"/>
      <c r="AE238" s="110"/>
      <c r="AF238" s="110"/>
      <c r="AG238" s="110"/>
      <c r="AH238" s="110"/>
      <c r="AI238" s="113"/>
      <c r="AJ238" s="110"/>
      <c r="AK238" s="110"/>
      <c r="AL238" s="110"/>
      <c r="AM238" s="110"/>
      <c r="AN238" s="110"/>
      <c r="AO238" s="113"/>
      <c r="AP238" s="113"/>
      <c r="AQ238" s="113"/>
      <c r="AR238" s="110"/>
      <c r="AS238" s="113"/>
      <c r="AT238" s="113"/>
      <c r="AU238" s="112"/>
      <c r="AV238" s="338"/>
      <c r="AW238" s="110"/>
      <c r="AX238" s="110"/>
      <c r="AY238" s="113"/>
      <c r="AZ238" s="113"/>
      <c r="BA238" s="113"/>
      <c r="BB238" s="113"/>
      <c r="BC238" s="113"/>
      <c r="BD238" s="113"/>
      <c r="BF23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39" spans="1:58" x14ac:dyDescent="0.3">
      <c r="A239" s="422"/>
      <c r="B239" s="376"/>
      <c r="C239" s="110"/>
      <c r="D239" s="110"/>
      <c r="E239" s="340"/>
      <c r="F239" s="330"/>
      <c r="G239" s="113"/>
      <c r="H239" s="332"/>
      <c r="I239" s="113"/>
      <c r="J239" s="332"/>
      <c r="K239" s="110"/>
      <c r="L239" s="110"/>
      <c r="M239" s="110"/>
      <c r="N239" s="110"/>
      <c r="O239" s="111"/>
      <c r="P239" s="424" t="str">
        <f>IF(OR(Table13[[#This Row],[Annual Increase Option]]="No increase",Table13[[#This Row],[Annual Increase Option]]=""),"",_xlfn.XLOOKUP(MONTH(Table13[[#This Row],[Commencement Date]]),Lookups!$I$19:$I$30,Lookups!$J$19:$J$30,0))</f>
        <v/>
      </c>
      <c r="Q239" s="340"/>
      <c r="R239" s="340"/>
      <c r="S239" s="360">
        <f>IF(Table13[[#This Row],[Life Cover Amount]]="",0,Table2[[#This Row],[Life Premium]])</f>
        <v>0</v>
      </c>
      <c r="T239" s="360">
        <f>IF(Table13[[#This Row],[Funeral Cover Amount]]=0,0,Table2[[#This Row],[Funeral Premium]])</f>
        <v>0</v>
      </c>
      <c r="U239" s="360">
        <f>IF(AND(Table13[[#This Row],[Life Cover Amount]]="",Table13[[#This Row],[Funeral Cover Amount]]=""),0,onboarding_calcs!AA239)</f>
        <v>0</v>
      </c>
      <c r="V239" s="111"/>
      <c r="W239" s="111"/>
      <c r="X239" s="333"/>
      <c r="Y239" s="110"/>
      <c r="Z239" s="113"/>
      <c r="AA239" s="425"/>
      <c r="AB239" s="425"/>
      <c r="AC239" s="113"/>
      <c r="AD239" s="110"/>
      <c r="AE239" s="110"/>
      <c r="AF239" s="110"/>
      <c r="AG239" s="110"/>
      <c r="AH239" s="110"/>
      <c r="AI239" s="113"/>
      <c r="AJ239" s="110"/>
      <c r="AK239" s="110"/>
      <c r="AL239" s="110"/>
      <c r="AM239" s="110"/>
      <c r="AN239" s="110"/>
      <c r="AO239" s="113"/>
      <c r="AP239" s="113"/>
      <c r="AQ239" s="113"/>
      <c r="AR239" s="110"/>
      <c r="AS239" s="113"/>
      <c r="AT239" s="113"/>
      <c r="AU239" s="112"/>
      <c r="AV239" s="338"/>
      <c r="AW239" s="110"/>
      <c r="AX239" s="110"/>
      <c r="AY239" s="113"/>
      <c r="AZ239" s="113"/>
      <c r="BA239" s="113"/>
      <c r="BB239" s="113"/>
      <c r="BC239" s="113"/>
      <c r="BD239" s="113"/>
      <c r="BF23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40" spans="1:58" x14ac:dyDescent="0.3">
      <c r="A240" s="422"/>
      <c r="B240" s="376"/>
      <c r="C240" s="110"/>
      <c r="D240" s="110"/>
      <c r="E240" s="340"/>
      <c r="F240" s="330"/>
      <c r="G240" s="113"/>
      <c r="H240" s="332"/>
      <c r="I240" s="113"/>
      <c r="J240" s="332"/>
      <c r="K240" s="110"/>
      <c r="L240" s="110"/>
      <c r="M240" s="110"/>
      <c r="N240" s="110"/>
      <c r="O240" s="111"/>
      <c r="P240" s="424" t="str">
        <f>IF(OR(Table13[[#This Row],[Annual Increase Option]]="No increase",Table13[[#This Row],[Annual Increase Option]]=""),"",_xlfn.XLOOKUP(MONTH(Table13[[#This Row],[Commencement Date]]),Lookups!$I$19:$I$30,Lookups!$J$19:$J$30,0))</f>
        <v/>
      </c>
      <c r="Q240" s="340"/>
      <c r="R240" s="340"/>
      <c r="S240" s="360">
        <f>IF(Table13[[#This Row],[Life Cover Amount]]="",0,Table2[[#This Row],[Life Premium]])</f>
        <v>0</v>
      </c>
      <c r="T240" s="360">
        <f>IF(Table13[[#This Row],[Funeral Cover Amount]]=0,0,Table2[[#This Row],[Funeral Premium]])</f>
        <v>0</v>
      </c>
      <c r="U240" s="360">
        <f>IF(AND(Table13[[#This Row],[Life Cover Amount]]="",Table13[[#This Row],[Funeral Cover Amount]]=""),0,onboarding_calcs!AA240)</f>
        <v>0</v>
      </c>
      <c r="V240" s="111"/>
      <c r="W240" s="111"/>
      <c r="X240" s="333"/>
      <c r="Y240" s="110"/>
      <c r="Z240" s="113"/>
      <c r="AA240" s="425"/>
      <c r="AB240" s="425"/>
      <c r="AC240" s="113"/>
      <c r="AD240" s="110"/>
      <c r="AE240" s="110"/>
      <c r="AF240" s="110"/>
      <c r="AG240" s="110"/>
      <c r="AH240" s="110"/>
      <c r="AI240" s="113"/>
      <c r="AJ240" s="110"/>
      <c r="AK240" s="110"/>
      <c r="AL240" s="110"/>
      <c r="AM240" s="110"/>
      <c r="AN240" s="110"/>
      <c r="AO240" s="113"/>
      <c r="AP240" s="113"/>
      <c r="AQ240" s="113"/>
      <c r="AR240" s="110"/>
      <c r="AS240" s="113"/>
      <c r="AT240" s="113"/>
      <c r="AU240" s="112"/>
      <c r="AV240" s="338"/>
      <c r="AW240" s="110"/>
      <c r="AX240" s="110"/>
      <c r="AY240" s="113"/>
      <c r="AZ240" s="113"/>
      <c r="BA240" s="113"/>
      <c r="BB240" s="113"/>
      <c r="BC240" s="113"/>
      <c r="BD240" s="113"/>
      <c r="BF24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41" spans="1:58" x14ac:dyDescent="0.3">
      <c r="A241" s="422"/>
      <c r="B241" s="376"/>
      <c r="C241" s="110"/>
      <c r="D241" s="110"/>
      <c r="E241" s="340"/>
      <c r="F241" s="330"/>
      <c r="G241" s="113"/>
      <c r="H241" s="332"/>
      <c r="I241" s="113"/>
      <c r="J241" s="332"/>
      <c r="K241" s="110"/>
      <c r="L241" s="110"/>
      <c r="M241" s="110"/>
      <c r="N241" s="110"/>
      <c r="O241" s="111"/>
      <c r="P241" s="424" t="str">
        <f>IF(OR(Table13[[#This Row],[Annual Increase Option]]="No increase",Table13[[#This Row],[Annual Increase Option]]=""),"",_xlfn.XLOOKUP(MONTH(Table13[[#This Row],[Commencement Date]]),Lookups!$I$19:$I$30,Lookups!$J$19:$J$30,0))</f>
        <v/>
      </c>
      <c r="Q241" s="340"/>
      <c r="R241" s="340"/>
      <c r="S241" s="360">
        <f>IF(Table13[[#This Row],[Life Cover Amount]]="",0,Table2[[#This Row],[Life Premium]])</f>
        <v>0</v>
      </c>
      <c r="T241" s="360">
        <f>IF(Table13[[#This Row],[Funeral Cover Amount]]=0,0,Table2[[#This Row],[Funeral Premium]])</f>
        <v>0</v>
      </c>
      <c r="U241" s="360">
        <f>IF(AND(Table13[[#This Row],[Life Cover Amount]]="",Table13[[#This Row],[Funeral Cover Amount]]=""),0,onboarding_calcs!AA241)</f>
        <v>0</v>
      </c>
      <c r="V241" s="111"/>
      <c r="W241" s="111"/>
      <c r="X241" s="333"/>
      <c r="Y241" s="110"/>
      <c r="Z241" s="113"/>
      <c r="AA241" s="425"/>
      <c r="AB241" s="425"/>
      <c r="AC241" s="113"/>
      <c r="AD241" s="110"/>
      <c r="AE241" s="110"/>
      <c r="AF241" s="110"/>
      <c r="AG241" s="110"/>
      <c r="AH241" s="110"/>
      <c r="AI241" s="113"/>
      <c r="AJ241" s="110"/>
      <c r="AK241" s="110"/>
      <c r="AL241" s="110"/>
      <c r="AM241" s="110"/>
      <c r="AN241" s="110"/>
      <c r="AO241" s="113"/>
      <c r="AP241" s="113"/>
      <c r="AQ241" s="113"/>
      <c r="AR241" s="110"/>
      <c r="AS241" s="113"/>
      <c r="AT241" s="113"/>
      <c r="AU241" s="112"/>
      <c r="AV241" s="338"/>
      <c r="AW241" s="110"/>
      <c r="AX241" s="110"/>
      <c r="AY241" s="113"/>
      <c r="AZ241" s="113"/>
      <c r="BA241" s="113"/>
      <c r="BB241" s="113"/>
      <c r="BC241" s="113"/>
      <c r="BD241" s="113"/>
      <c r="BF24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42" spans="1:58" x14ac:dyDescent="0.3">
      <c r="A242" s="422"/>
      <c r="B242" s="376"/>
      <c r="C242" s="110"/>
      <c r="D242" s="110"/>
      <c r="E242" s="340"/>
      <c r="F242" s="330"/>
      <c r="G242" s="113"/>
      <c r="H242" s="332"/>
      <c r="I242" s="113"/>
      <c r="J242" s="332"/>
      <c r="K242" s="110"/>
      <c r="L242" s="110"/>
      <c r="M242" s="110"/>
      <c r="N242" s="110"/>
      <c r="O242" s="111"/>
      <c r="P242" s="424" t="str">
        <f>IF(OR(Table13[[#This Row],[Annual Increase Option]]="No increase",Table13[[#This Row],[Annual Increase Option]]=""),"",_xlfn.XLOOKUP(MONTH(Table13[[#This Row],[Commencement Date]]),Lookups!$I$19:$I$30,Lookups!$J$19:$J$30,0))</f>
        <v/>
      </c>
      <c r="Q242" s="340"/>
      <c r="R242" s="340"/>
      <c r="S242" s="360">
        <f>IF(Table13[[#This Row],[Life Cover Amount]]="",0,Table2[[#This Row],[Life Premium]])</f>
        <v>0</v>
      </c>
      <c r="T242" s="360">
        <f>IF(Table13[[#This Row],[Funeral Cover Amount]]=0,0,Table2[[#This Row],[Funeral Premium]])</f>
        <v>0</v>
      </c>
      <c r="U242" s="360">
        <f>IF(AND(Table13[[#This Row],[Life Cover Amount]]="",Table13[[#This Row],[Funeral Cover Amount]]=""),0,onboarding_calcs!AA242)</f>
        <v>0</v>
      </c>
      <c r="V242" s="111"/>
      <c r="W242" s="111"/>
      <c r="X242" s="333"/>
      <c r="Y242" s="110"/>
      <c r="Z242" s="113"/>
      <c r="AA242" s="425"/>
      <c r="AB242" s="425"/>
      <c r="AC242" s="113"/>
      <c r="AD242" s="110"/>
      <c r="AE242" s="110"/>
      <c r="AF242" s="110"/>
      <c r="AG242" s="110"/>
      <c r="AH242" s="110"/>
      <c r="AI242" s="113"/>
      <c r="AJ242" s="110"/>
      <c r="AK242" s="110"/>
      <c r="AL242" s="110"/>
      <c r="AM242" s="110"/>
      <c r="AN242" s="110"/>
      <c r="AO242" s="113"/>
      <c r="AP242" s="113"/>
      <c r="AQ242" s="113"/>
      <c r="AR242" s="110"/>
      <c r="AS242" s="113"/>
      <c r="AT242" s="113"/>
      <c r="AU242" s="112"/>
      <c r="AV242" s="338"/>
      <c r="AW242" s="110"/>
      <c r="AX242" s="110"/>
      <c r="AY242" s="113"/>
      <c r="AZ242" s="113"/>
      <c r="BA242" s="113"/>
      <c r="BB242" s="113"/>
      <c r="BC242" s="113"/>
      <c r="BD242" s="113"/>
      <c r="BF24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43" spans="1:58" x14ac:dyDescent="0.3">
      <c r="A243" s="422"/>
      <c r="B243" s="376"/>
      <c r="C243" s="110"/>
      <c r="D243" s="110"/>
      <c r="E243" s="340"/>
      <c r="F243" s="330"/>
      <c r="G243" s="113"/>
      <c r="H243" s="332"/>
      <c r="I243" s="113"/>
      <c r="J243" s="332"/>
      <c r="K243" s="110"/>
      <c r="L243" s="110"/>
      <c r="M243" s="110"/>
      <c r="N243" s="110"/>
      <c r="O243" s="111"/>
      <c r="P243" s="424" t="str">
        <f>IF(OR(Table13[[#This Row],[Annual Increase Option]]="No increase",Table13[[#This Row],[Annual Increase Option]]=""),"",_xlfn.XLOOKUP(MONTH(Table13[[#This Row],[Commencement Date]]),Lookups!$I$19:$I$30,Lookups!$J$19:$J$30,0))</f>
        <v/>
      </c>
      <c r="Q243" s="340"/>
      <c r="R243" s="340"/>
      <c r="S243" s="360">
        <f>IF(Table13[[#This Row],[Life Cover Amount]]="",0,Table2[[#This Row],[Life Premium]])</f>
        <v>0</v>
      </c>
      <c r="T243" s="360">
        <f>IF(Table13[[#This Row],[Funeral Cover Amount]]=0,0,Table2[[#This Row],[Funeral Premium]])</f>
        <v>0</v>
      </c>
      <c r="U243" s="360">
        <f>IF(AND(Table13[[#This Row],[Life Cover Amount]]="",Table13[[#This Row],[Funeral Cover Amount]]=""),0,onboarding_calcs!AA243)</f>
        <v>0</v>
      </c>
      <c r="V243" s="111"/>
      <c r="W243" s="111"/>
      <c r="X243" s="333"/>
      <c r="Y243" s="110"/>
      <c r="Z243" s="113"/>
      <c r="AA243" s="425"/>
      <c r="AB243" s="425"/>
      <c r="AC243" s="113"/>
      <c r="AD243" s="110"/>
      <c r="AE243" s="110"/>
      <c r="AF243" s="110"/>
      <c r="AG243" s="110"/>
      <c r="AH243" s="110"/>
      <c r="AI243" s="113"/>
      <c r="AJ243" s="110"/>
      <c r="AK243" s="110"/>
      <c r="AL243" s="110"/>
      <c r="AM243" s="110"/>
      <c r="AN243" s="110"/>
      <c r="AO243" s="113"/>
      <c r="AP243" s="113"/>
      <c r="AQ243" s="113"/>
      <c r="AR243" s="110"/>
      <c r="AS243" s="113"/>
      <c r="AT243" s="113"/>
      <c r="AU243" s="112"/>
      <c r="AV243" s="338"/>
      <c r="AW243" s="110"/>
      <c r="AX243" s="110"/>
      <c r="AY243" s="113"/>
      <c r="AZ243" s="113"/>
      <c r="BA243" s="113"/>
      <c r="BB243" s="113"/>
      <c r="BC243" s="113"/>
      <c r="BD243" s="113"/>
      <c r="BF24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44" spans="1:58" x14ac:dyDescent="0.3">
      <c r="A244" s="422"/>
      <c r="B244" s="376"/>
      <c r="C244" s="110"/>
      <c r="D244" s="110"/>
      <c r="E244" s="340"/>
      <c r="F244" s="330"/>
      <c r="G244" s="113"/>
      <c r="H244" s="332"/>
      <c r="I244" s="113"/>
      <c r="J244" s="332"/>
      <c r="K244" s="110"/>
      <c r="L244" s="110"/>
      <c r="M244" s="110"/>
      <c r="N244" s="110"/>
      <c r="O244" s="111"/>
      <c r="P244" s="424" t="str">
        <f>IF(OR(Table13[[#This Row],[Annual Increase Option]]="No increase",Table13[[#This Row],[Annual Increase Option]]=""),"",_xlfn.XLOOKUP(MONTH(Table13[[#This Row],[Commencement Date]]),Lookups!$I$19:$I$30,Lookups!$J$19:$J$30,0))</f>
        <v/>
      </c>
      <c r="Q244" s="340"/>
      <c r="R244" s="340"/>
      <c r="S244" s="360">
        <f>IF(Table13[[#This Row],[Life Cover Amount]]="",0,Table2[[#This Row],[Life Premium]])</f>
        <v>0</v>
      </c>
      <c r="T244" s="360">
        <f>IF(Table13[[#This Row],[Funeral Cover Amount]]=0,0,Table2[[#This Row],[Funeral Premium]])</f>
        <v>0</v>
      </c>
      <c r="U244" s="360">
        <f>IF(AND(Table13[[#This Row],[Life Cover Amount]]="",Table13[[#This Row],[Funeral Cover Amount]]=""),0,onboarding_calcs!AA244)</f>
        <v>0</v>
      </c>
      <c r="V244" s="111"/>
      <c r="W244" s="111"/>
      <c r="X244" s="333"/>
      <c r="Y244" s="110"/>
      <c r="Z244" s="113"/>
      <c r="AA244" s="425"/>
      <c r="AB244" s="425"/>
      <c r="AC244" s="113"/>
      <c r="AD244" s="110"/>
      <c r="AE244" s="110"/>
      <c r="AF244" s="110"/>
      <c r="AG244" s="110"/>
      <c r="AH244" s="110"/>
      <c r="AI244" s="113"/>
      <c r="AJ244" s="110"/>
      <c r="AK244" s="110"/>
      <c r="AL244" s="110"/>
      <c r="AM244" s="110"/>
      <c r="AN244" s="110"/>
      <c r="AO244" s="113"/>
      <c r="AP244" s="113"/>
      <c r="AQ244" s="113"/>
      <c r="AR244" s="110"/>
      <c r="AS244" s="113"/>
      <c r="AT244" s="113"/>
      <c r="AU244" s="112"/>
      <c r="AV244" s="338"/>
      <c r="AW244" s="110"/>
      <c r="AX244" s="110"/>
      <c r="AY244" s="113"/>
      <c r="AZ244" s="113"/>
      <c r="BA244" s="113"/>
      <c r="BB244" s="113"/>
      <c r="BC244" s="113"/>
      <c r="BD244" s="113"/>
      <c r="BF24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45" spans="1:58" x14ac:dyDescent="0.3">
      <c r="A245" s="422"/>
      <c r="B245" s="376"/>
      <c r="C245" s="110"/>
      <c r="D245" s="110"/>
      <c r="E245" s="340"/>
      <c r="F245" s="330"/>
      <c r="G245" s="113"/>
      <c r="H245" s="332"/>
      <c r="I245" s="113"/>
      <c r="J245" s="332"/>
      <c r="K245" s="110"/>
      <c r="L245" s="110"/>
      <c r="M245" s="110"/>
      <c r="N245" s="110"/>
      <c r="O245" s="111"/>
      <c r="P245" s="424" t="str">
        <f>IF(OR(Table13[[#This Row],[Annual Increase Option]]="No increase",Table13[[#This Row],[Annual Increase Option]]=""),"",_xlfn.XLOOKUP(MONTH(Table13[[#This Row],[Commencement Date]]),Lookups!$I$19:$I$30,Lookups!$J$19:$J$30,0))</f>
        <v/>
      </c>
      <c r="Q245" s="340"/>
      <c r="R245" s="340"/>
      <c r="S245" s="360">
        <f>IF(Table13[[#This Row],[Life Cover Amount]]="",0,Table2[[#This Row],[Life Premium]])</f>
        <v>0</v>
      </c>
      <c r="T245" s="360">
        <f>IF(Table13[[#This Row],[Funeral Cover Amount]]=0,0,Table2[[#This Row],[Funeral Premium]])</f>
        <v>0</v>
      </c>
      <c r="U245" s="360">
        <f>IF(AND(Table13[[#This Row],[Life Cover Amount]]="",Table13[[#This Row],[Funeral Cover Amount]]=""),0,onboarding_calcs!AA245)</f>
        <v>0</v>
      </c>
      <c r="V245" s="111"/>
      <c r="W245" s="111"/>
      <c r="X245" s="333"/>
      <c r="Y245" s="110"/>
      <c r="Z245" s="113"/>
      <c r="AA245" s="425"/>
      <c r="AB245" s="425"/>
      <c r="AC245" s="113"/>
      <c r="AD245" s="110"/>
      <c r="AE245" s="110"/>
      <c r="AF245" s="110"/>
      <c r="AG245" s="110"/>
      <c r="AH245" s="110"/>
      <c r="AI245" s="113"/>
      <c r="AJ245" s="110"/>
      <c r="AK245" s="110"/>
      <c r="AL245" s="110"/>
      <c r="AM245" s="110"/>
      <c r="AN245" s="110"/>
      <c r="AO245" s="113"/>
      <c r="AP245" s="113"/>
      <c r="AQ245" s="113"/>
      <c r="AR245" s="110"/>
      <c r="AS245" s="113"/>
      <c r="AT245" s="113"/>
      <c r="AU245" s="112"/>
      <c r="AV245" s="338"/>
      <c r="AW245" s="110"/>
      <c r="AX245" s="110"/>
      <c r="AY245" s="113"/>
      <c r="AZ245" s="113"/>
      <c r="BA245" s="113"/>
      <c r="BB245" s="113"/>
      <c r="BC245" s="113"/>
      <c r="BD245" s="113"/>
      <c r="BF24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46" spans="1:58" x14ac:dyDescent="0.3">
      <c r="A246" s="422"/>
      <c r="B246" s="376"/>
      <c r="C246" s="110"/>
      <c r="D246" s="110"/>
      <c r="E246" s="340"/>
      <c r="F246" s="330"/>
      <c r="G246" s="113"/>
      <c r="H246" s="332"/>
      <c r="I246" s="113"/>
      <c r="J246" s="332"/>
      <c r="K246" s="110"/>
      <c r="L246" s="110"/>
      <c r="M246" s="110"/>
      <c r="N246" s="110"/>
      <c r="O246" s="111"/>
      <c r="P246" s="424" t="str">
        <f>IF(OR(Table13[[#This Row],[Annual Increase Option]]="No increase",Table13[[#This Row],[Annual Increase Option]]=""),"",_xlfn.XLOOKUP(MONTH(Table13[[#This Row],[Commencement Date]]),Lookups!$I$19:$I$30,Lookups!$J$19:$J$30,0))</f>
        <v/>
      </c>
      <c r="Q246" s="340"/>
      <c r="R246" s="340"/>
      <c r="S246" s="360">
        <f>IF(Table13[[#This Row],[Life Cover Amount]]="",0,Table2[[#This Row],[Life Premium]])</f>
        <v>0</v>
      </c>
      <c r="T246" s="360">
        <f>IF(Table13[[#This Row],[Funeral Cover Amount]]=0,0,Table2[[#This Row],[Funeral Premium]])</f>
        <v>0</v>
      </c>
      <c r="U246" s="360">
        <f>IF(AND(Table13[[#This Row],[Life Cover Amount]]="",Table13[[#This Row],[Funeral Cover Amount]]=""),0,onboarding_calcs!AA246)</f>
        <v>0</v>
      </c>
      <c r="V246" s="111"/>
      <c r="W246" s="111"/>
      <c r="X246" s="333"/>
      <c r="Y246" s="110"/>
      <c r="Z246" s="113"/>
      <c r="AA246" s="425"/>
      <c r="AB246" s="425"/>
      <c r="AC246" s="113"/>
      <c r="AD246" s="110"/>
      <c r="AE246" s="110"/>
      <c r="AF246" s="110"/>
      <c r="AG246" s="110"/>
      <c r="AH246" s="110"/>
      <c r="AI246" s="113"/>
      <c r="AJ246" s="110"/>
      <c r="AK246" s="110"/>
      <c r="AL246" s="110"/>
      <c r="AM246" s="110"/>
      <c r="AN246" s="110"/>
      <c r="AO246" s="113"/>
      <c r="AP246" s="113"/>
      <c r="AQ246" s="113"/>
      <c r="AR246" s="110"/>
      <c r="AS246" s="113"/>
      <c r="AT246" s="113"/>
      <c r="AU246" s="112"/>
      <c r="AV246" s="338"/>
      <c r="AW246" s="110"/>
      <c r="AX246" s="110"/>
      <c r="AY246" s="113"/>
      <c r="AZ246" s="113"/>
      <c r="BA246" s="113"/>
      <c r="BB246" s="113"/>
      <c r="BC246" s="113"/>
      <c r="BD246" s="113"/>
      <c r="BF24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47" spans="1:58" x14ac:dyDescent="0.3">
      <c r="A247" s="422"/>
      <c r="B247" s="376"/>
      <c r="C247" s="110"/>
      <c r="D247" s="110"/>
      <c r="E247" s="340"/>
      <c r="F247" s="330"/>
      <c r="G247" s="113"/>
      <c r="H247" s="332"/>
      <c r="I247" s="113"/>
      <c r="J247" s="332"/>
      <c r="K247" s="110"/>
      <c r="L247" s="110"/>
      <c r="M247" s="110"/>
      <c r="N247" s="110"/>
      <c r="O247" s="111"/>
      <c r="P247" s="424" t="str">
        <f>IF(OR(Table13[[#This Row],[Annual Increase Option]]="No increase",Table13[[#This Row],[Annual Increase Option]]=""),"",_xlfn.XLOOKUP(MONTH(Table13[[#This Row],[Commencement Date]]),Lookups!$I$19:$I$30,Lookups!$J$19:$J$30,0))</f>
        <v/>
      </c>
      <c r="Q247" s="340"/>
      <c r="R247" s="340"/>
      <c r="S247" s="360">
        <f>IF(Table13[[#This Row],[Life Cover Amount]]="",0,Table2[[#This Row],[Life Premium]])</f>
        <v>0</v>
      </c>
      <c r="T247" s="360">
        <f>IF(Table13[[#This Row],[Funeral Cover Amount]]=0,0,Table2[[#This Row],[Funeral Premium]])</f>
        <v>0</v>
      </c>
      <c r="U247" s="360">
        <f>IF(AND(Table13[[#This Row],[Life Cover Amount]]="",Table13[[#This Row],[Funeral Cover Amount]]=""),0,onboarding_calcs!AA247)</f>
        <v>0</v>
      </c>
      <c r="V247" s="111"/>
      <c r="W247" s="111"/>
      <c r="X247" s="333"/>
      <c r="Y247" s="110"/>
      <c r="Z247" s="113"/>
      <c r="AA247" s="425"/>
      <c r="AB247" s="425"/>
      <c r="AC247" s="113"/>
      <c r="AD247" s="110"/>
      <c r="AE247" s="110"/>
      <c r="AF247" s="110"/>
      <c r="AG247" s="110"/>
      <c r="AH247" s="110"/>
      <c r="AI247" s="113"/>
      <c r="AJ247" s="110"/>
      <c r="AK247" s="110"/>
      <c r="AL247" s="110"/>
      <c r="AM247" s="110"/>
      <c r="AN247" s="110"/>
      <c r="AO247" s="113"/>
      <c r="AP247" s="113"/>
      <c r="AQ247" s="113"/>
      <c r="AR247" s="110"/>
      <c r="AS247" s="113"/>
      <c r="AT247" s="113"/>
      <c r="AU247" s="112"/>
      <c r="AV247" s="338"/>
      <c r="AW247" s="110"/>
      <c r="AX247" s="110"/>
      <c r="AY247" s="113"/>
      <c r="AZ247" s="113"/>
      <c r="BA247" s="113"/>
      <c r="BB247" s="113"/>
      <c r="BC247" s="113"/>
      <c r="BD247" s="113"/>
      <c r="BF24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48" spans="1:58" x14ac:dyDescent="0.3">
      <c r="A248" s="422"/>
      <c r="B248" s="376"/>
      <c r="C248" s="110"/>
      <c r="D248" s="110"/>
      <c r="E248" s="340"/>
      <c r="F248" s="330"/>
      <c r="G248" s="113"/>
      <c r="H248" s="332"/>
      <c r="I248" s="113"/>
      <c r="J248" s="332"/>
      <c r="K248" s="110"/>
      <c r="L248" s="110"/>
      <c r="M248" s="110"/>
      <c r="N248" s="110"/>
      <c r="O248" s="111"/>
      <c r="P248" s="424" t="str">
        <f>IF(OR(Table13[[#This Row],[Annual Increase Option]]="No increase",Table13[[#This Row],[Annual Increase Option]]=""),"",_xlfn.XLOOKUP(MONTH(Table13[[#This Row],[Commencement Date]]),Lookups!$I$19:$I$30,Lookups!$J$19:$J$30,0))</f>
        <v/>
      </c>
      <c r="Q248" s="340"/>
      <c r="R248" s="340"/>
      <c r="S248" s="360">
        <f>IF(Table13[[#This Row],[Life Cover Amount]]="",0,Table2[[#This Row],[Life Premium]])</f>
        <v>0</v>
      </c>
      <c r="T248" s="360">
        <f>IF(Table13[[#This Row],[Funeral Cover Amount]]=0,0,Table2[[#This Row],[Funeral Premium]])</f>
        <v>0</v>
      </c>
      <c r="U248" s="360">
        <f>IF(AND(Table13[[#This Row],[Life Cover Amount]]="",Table13[[#This Row],[Funeral Cover Amount]]=""),0,onboarding_calcs!AA248)</f>
        <v>0</v>
      </c>
      <c r="V248" s="111"/>
      <c r="W248" s="111"/>
      <c r="X248" s="333"/>
      <c r="Y248" s="110"/>
      <c r="Z248" s="113"/>
      <c r="AA248" s="425"/>
      <c r="AB248" s="425"/>
      <c r="AC248" s="113"/>
      <c r="AD248" s="110"/>
      <c r="AE248" s="110"/>
      <c r="AF248" s="110"/>
      <c r="AG248" s="110"/>
      <c r="AH248" s="110"/>
      <c r="AI248" s="113"/>
      <c r="AJ248" s="110"/>
      <c r="AK248" s="110"/>
      <c r="AL248" s="110"/>
      <c r="AM248" s="110"/>
      <c r="AN248" s="110"/>
      <c r="AO248" s="113"/>
      <c r="AP248" s="113"/>
      <c r="AQ248" s="113"/>
      <c r="AR248" s="110"/>
      <c r="AS248" s="113"/>
      <c r="AT248" s="113"/>
      <c r="AU248" s="112"/>
      <c r="AV248" s="338"/>
      <c r="AW248" s="110"/>
      <c r="AX248" s="110"/>
      <c r="AY248" s="113"/>
      <c r="AZ248" s="113"/>
      <c r="BA248" s="113"/>
      <c r="BB248" s="113"/>
      <c r="BC248" s="113"/>
      <c r="BD248" s="113"/>
      <c r="BF24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49" spans="1:58" x14ac:dyDescent="0.3">
      <c r="A249" s="422"/>
      <c r="B249" s="376"/>
      <c r="C249" s="110"/>
      <c r="D249" s="110"/>
      <c r="E249" s="340"/>
      <c r="F249" s="330"/>
      <c r="G249" s="113"/>
      <c r="H249" s="332"/>
      <c r="I249" s="113"/>
      <c r="J249" s="332"/>
      <c r="K249" s="110"/>
      <c r="L249" s="110"/>
      <c r="M249" s="110"/>
      <c r="N249" s="110"/>
      <c r="O249" s="111"/>
      <c r="P249" s="424" t="str">
        <f>IF(OR(Table13[[#This Row],[Annual Increase Option]]="No increase",Table13[[#This Row],[Annual Increase Option]]=""),"",_xlfn.XLOOKUP(MONTH(Table13[[#This Row],[Commencement Date]]),Lookups!$I$19:$I$30,Lookups!$J$19:$J$30,0))</f>
        <v/>
      </c>
      <c r="Q249" s="340"/>
      <c r="R249" s="340"/>
      <c r="S249" s="360">
        <f>IF(Table13[[#This Row],[Life Cover Amount]]="",0,Table2[[#This Row],[Life Premium]])</f>
        <v>0</v>
      </c>
      <c r="T249" s="360">
        <f>IF(Table13[[#This Row],[Funeral Cover Amount]]=0,0,Table2[[#This Row],[Funeral Premium]])</f>
        <v>0</v>
      </c>
      <c r="U249" s="360">
        <f>IF(AND(Table13[[#This Row],[Life Cover Amount]]="",Table13[[#This Row],[Funeral Cover Amount]]=""),0,onboarding_calcs!AA249)</f>
        <v>0</v>
      </c>
      <c r="V249" s="111"/>
      <c r="W249" s="111"/>
      <c r="X249" s="333"/>
      <c r="Y249" s="110"/>
      <c r="Z249" s="113"/>
      <c r="AA249" s="425"/>
      <c r="AB249" s="425"/>
      <c r="AC249" s="113"/>
      <c r="AD249" s="110"/>
      <c r="AE249" s="110"/>
      <c r="AF249" s="110"/>
      <c r="AG249" s="110"/>
      <c r="AH249" s="110"/>
      <c r="AI249" s="113"/>
      <c r="AJ249" s="110"/>
      <c r="AK249" s="110"/>
      <c r="AL249" s="110"/>
      <c r="AM249" s="110"/>
      <c r="AN249" s="110"/>
      <c r="AO249" s="113"/>
      <c r="AP249" s="113"/>
      <c r="AQ249" s="113"/>
      <c r="AR249" s="110"/>
      <c r="AS249" s="113"/>
      <c r="AT249" s="113"/>
      <c r="AU249" s="112"/>
      <c r="AV249" s="338"/>
      <c r="AW249" s="110"/>
      <c r="AX249" s="110"/>
      <c r="AY249" s="113"/>
      <c r="AZ249" s="113"/>
      <c r="BA249" s="113"/>
      <c r="BB249" s="113"/>
      <c r="BC249" s="113"/>
      <c r="BD249" s="113"/>
      <c r="BF24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50" spans="1:58" x14ac:dyDescent="0.3">
      <c r="A250" s="422"/>
      <c r="B250" s="376"/>
      <c r="C250" s="110"/>
      <c r="D250" s="110"/>
      <c r="E250" s="340"/>
      <c r="F250" s="330"/>
      <c r="G250" s="113"/>
      <c r="H250" s="332"/>
      <c r="I250" s="113"/>
      <c r="J250" s="332"/>
      <c r="K250" s="110"/>
      <c r="L250" s="110"/>
      <c r="M250" s="110"/>
      <c r="N250" s="110"/>
      <c r="O250" s="111"/>
      <c r="P250" s="424" t="str">
        <f>IF(OR(Table13[[#This Row],[Annual Increase Option]]="No increase",Table13[[#This Row],[Annual Increase Option]]=""),"",_xlfn.XLOOKUP(MONTH(Table13[[#This Row],[Commencement Date]]),Lookups!$I$19:$I$30,Lookups!$J$19:$J$30,0))</f>
        <v/>
      </c>
      <c r="Q250" s="340"/>
      <c r="R250" s="340"/>
      <c r="S250" s="360">
        <f>IF(Table13[[#This Row],[Life Cover Amount]]="",0,Table2[[#This Row],[Life Premium]])</f>
        <v>0</v>
      </c>
      <c r="T250" s="360">
        <f>IF(Table13[[#This Row],[Funeral Cover Amount]]=0,0,Table2[[#This Row],[Funeral Premium]])</f>
        <v>0</v>
      </c>
      <c r="U250" s="360">
        <f>IF(AND(Table13[[#This Row],[Life Cover Amount]]="",Table13[[#This Row],[Funeral Cover Amount]]=""),0,onboarding_calcs!AA250)</f>
        <v>0</v>
      </c>
      <c r="V250" s="111"/>
      <c r="W250" s="111"/>
      <c r="X250" s="333"/>
      <c r="Y250" s="110"/>
      <c r="Z250" s="113"/>
      <c r="AA250" s="425"/>
      <c r="AB250" s="425"/>
      <c r="AC250" s="113"/>
      <c r="AD250" s="110"/>
      <c r="AE250" s="110"/>
      <c r="AF250" s="110"/>
      <c r="AG250" s="110"/>
      <c r="AH250" s="110"/>
      <c r="AI250" s="113"/>
      <c r="AJ250" s="110"/>
      <c r="AK250" s="110"/>
      <c r="AL250" s="110"/>
      <c r="AM250" s="110"/>
      <c r="AN250" s="110"/>
      <c r="AO250" s="113"/>
      <c r="AP250" s="113"/>
      <c r="AQ250" s="113"/>
      <c r="AR250" s="110"/>
      <c r="AS250" s="113"/>
      <c r="AT250" s="113"/>
      <c r="AU250" s="112"/>
      <c r="AV250" s="338"/>
      <c r="AW250" s="110"/>
      <c r="AX250" s="110"/>
      <c r="AY250" s="113"/>
      <c r="AZ250" s="113"/>
      <c r="BA250" s="113"/>
      <c r="BB250" s="113"/>
      <c r="BC250" s="113"/>
      <c r="BD250" s="113"/>
      <c r="BF25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51" spans="1:58" x14ac:dyDescent="0.3">
      <c r="A251" s="422"/>
      <c r="B251" s="376"/>
      <c r="C251" s="110"/>
      <c r="D251" s="110"/>
      <c r="E251" s="340"/>
      <c r="F251" s="330"/>
      <c r="G251" s="113"/>
      <c r="H251" s="332"/>
      <c r="I251" s="113"/>
      <c r="J251" s="332"/>
      <c r="K251" s="110"/>
      <c r="L251" s="110"/>
      <c r="M251" s="110"/>
      <c r="N251" s="110"/>
      <c r="O251" s="111"/>
      <c r="P251" s="424" t="str">
        <f>IF(OR(Table13[[#This Row],[Annual Increase Option]]="No increase",Table13[[#This Row],[Annual Increase Option]]=""),"",_xlfn.XLOOKUP(MONTH(Table13[[#This Row],[Commencement Date]]),Lookups!$I$19:$I$30,Lookups!$J$19:$J$30,0))</f>
        <v/>
      </c>
      <c r="Q251" s="340"/>
      <c r="R251" s="340"/>
      <c r="S251" s="360">
        <f>IF(Table13[[#This Row],[Life Cover Amount]]="",0,Table2[[#This Row],[Life Premium]])</f>
        <v>0</v>
      </c>
      <c r="T251" s="360">
        <f>IF(Table13[[#This Row],[Funeral Cover Amount]]=0,0,Table2[[#This Row],[Funeral Premium]])</f>
        <v>0</v>
      </c>
      <c r="U251" s="360">
        <f>IF(AND(Table13[[#This Row],[Life Cover Amount]]="",Table13[[#This Row],[Funeral Cover Amount]]=""),0,onboarding_calcs!AA251)</f>
        <v>0</v>
      </c>
      <c r="V251" s="111"/>
      <c r="W251" s="111"/>
      <c r="X251" s="333"/>
      <c r="Y251" s="110"/>
      <c r="Z251" s="113"/>
      <c r="AA251" s="425"/>
      <c r="AB251" s="425"/>
      <c r="AC251" s="113"/>
      <c r="AD251" s="110"/>
      <c r="AE251" s="110"/>
      <c r="AF251" s="110"/>
      <c r="AG251" s="110"/>
      <c r="AH251" s="110"/>
      <c r="AI251" s="113"/>
      <c r="AJ251" s="110"/>
      <c r="AK251" s="110"/>
      <c r="AL251" s="110"/>
      <c r="AM251" s="110"/>
      <c r="AN251" s="110"/>
      <c r="AO251" s="113"/>
      <c r="AP251" s="113"/>
      <c r="AQ251" s="113"/>
      <c r="AR251" s="110"/>
      <c r="AS251" s="113"/>
      <c r="AT251" s="113"/>
      <c r="AU251" s="112"/>
      <c r="AV251" s="338"/>
      <c r="AW251" s="110"/>
      <c r="AX251" s="110"/>
      <c r="AY251" s="113"/>
      <c r="AZ251" s="113"/>
      <c r="BA251" s="113"/>
      <c r="BB251" s="113"/>
      <c r="BC251" s="113"/>
      <c r="BD251" s="113"/>
      <c r="BF25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52" spans="1:58" x14ac:dyDescent="0.3">
      <c r="A252" s="422"/>
      <c r="B252" s="376"/>
      <c r="C252" s="110"/>
      <c r="D252" s="110"/>
      <c r="E252" s="340"/>
      <c r="F252" s="330"/>
      <c r="G252" s="113"/>
      <c r="H252" s="332"/>
      <c r="I252" s="113"/>
      <c r="J252" s="332"/>
      <c r="K252" s="110"/>
      <c r="L252" s="110"/>
      <c r="M252" s="110"/>
      <c r="N252" s="110"/>
      <c r="O252" s="111"/>
      <c r="P252" s="424" t="str">
        <f>IF(OR(Table13[[#This Row],[Annual Increase Option]]="No increase",Table13[[#This Row],[Annual Increase Option]]=""),"",_xlfn.XLOOKUP(MONTH(Table13[[#This Row],[Commencement Date]]),Lookups!$I$19:$I$30,Lookups!$J$19:$J$30,0))</f>
        <v/>
      </c>
      <c r="Q252" s="340"/>
      <c r="R252" s="340"/>
      <c r="S252" s="360">
        <f>IF(Table13[[#This Row],[Life Cover Amount]]="",0,Table2[[#This Row],[Life Premium]])</f>
        <v>0</v>
      </c>
      <c r="T252" s="360">
        <f>IF(Table13[[#This Row],[Funeral Cover Amount]]=0,0,Table2[[#This Row],[Funeral Premium]])</f>
        <v>0</v>
      </c>
      <c r="U252" s="360">
        <f>IF(AND(Table13[[#This Row],[Life Cover Amount]]="",Table13[[#This Row],[Funeral Cover Amount]]=""),0,onboarding_calcs!AA252)</f>
        <v>0</v>
      </c>
      <c r="V252" s="111"/>
      <c r="W252" s="111"/>
      <c r="X252" s="333"/>
      <c r="Y252" s="110"/>
      <c r="Z252" s="113"/>
      <c r="AA252" s="425"/>
      <c r="AB252" s="425"/>
      <c r="AC252" s="113"/>
      <c r="AD252" s="110"/>
      <c r="AE252" s="110"/>
      <c r="AF252" s="110"/>
      <c r="AG252" s="110"/>
      <c r="AH252" s="110"/>
      <c r="AI252" s="113"/>
      <c r="AJ252" s="110"/>
      <c r="AK252" s="110"/>
      <c r="AL252" s="110"/>
      <c r="AM252" s="110"/>
      <c r="AN252" s="110"/>
      <c r="AO252" s="113"/>
      <c r="AP252" s="113"/>
      <c r="AQ252" s="113"/>
      <c r="AR252" s="110"/>
      <c r="AS252" s="113"/>
      <c r="AT252" s="113"/>
      <c r="AU252" s="112"/>
      <c r="AV252" s="338"/>
      <c r="AW252" s="110"/>
      <c r="AX252" s="110"/>
      <c r="AY252" s="113"/>
      <c r="AZ252" s="113"/>
      <c r="BA252" s="113"/>
      <c r="BB252" s="113"/>
      <c r="BC252" s="113"/>
      <c r="BD252" s="113"/>
      <c r="BF25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53" spans="1:58" x14ac:dyDescent="0.3">
      <c r="A253" s="422"/>
      <c r="B253" s="376"/>
      <c r="C253" s="110"/>
      <c r="D253" s="110"/>
      <c r="E253" s="340"/>
      <c r="F253" s="330"/>
      <c r="G253" s="113"/>
      <c r="H253" s="332"/>
      <c r="I253" s="113"/>
      <c r="J253" s="332"/>
      <c r="K253" s="110"/>
      <c r="L253" s="110"/>
      <c r="M253" s="110"/>
      <c r="N253" s="110"/>
      <c r="O253" s="111"/>
      <c r="P253" s="424" t="str">
        <f>IF(OR(Table13[[#This Row],[Annual Increase Option]]="No increase",Table13[[#This Row],[Annual Increase Option]]=""),"",_xlfn.XLOOKUP(MONTH(Table13[[#This Row],[Commencement Date]]),Lookups!$I$19:$I$30,Lookups!$J$19:$J$30,0))</f>
        <v/>
      </c>
      <c r="Q253" s="340"/>
      <c r="R253" s="340"/>
      <c r="S253" s="360">
        <f>IF(Table13[[#This Row],[Life Cover Amount]]="",0,Table2[[#This Row],[Life Premium]])</f>
        <v>0</v>
      </c>
      <c r="T253" s="360">
        <f>IF(Table13[[#This Row],[Funeral Cover Amount]]=0,0,Table2[[#This Row],[Funeral Premium]])</f>
        <v>0</v>
      </c>
      <c r="U253" s="360">
        <f>IF(AND(Table13[[#This Row],[Life Cover Amount]]="",Table13[[#This Row],[Funeral Cover Amount]]=""),0,onboarding_calcs!AA253)</f>
        <v>0</v>
      </c>
      <c r="V253" s="111"/>
      <c r="W253" s="111"/>
      <c r="X253" s="333"/>
      <c r="Y253" s="110"/>
      <c r="Z253" s="113"/>
      <c r="AA253" s="425"/>
      <c r="AB253" s="425"/>
      <c r="AC253" s="113"/>
      <c r="AD253" s="110"/>
      <c r="AE253" s="110"/>
      <c r="AF253" s="110"/>
      <c r="AG253" s="110"/>
      <c r="AH253" s="110"/>
      <c r="AI253" s="113"/>
      <c r="AJ253" s="110"/>
      <c r="AK253" s="110"/>
      <c r="AL253" s="110"/>
      <c r="AM253" s="110"/>
      <c r="AN253" s="110"/>
      <c r="AO253" s="113"/>
      <c r="AP253" s="113"/>
      <c r="AQ253" s="113"/>
      <c r="AR253" s="110"/>
      <c r="AS253" s="113"/>
      <c r="AT253" s="113"/>
      <c r="AU253" s="112"/>
      <c r="AV253" s="338"/>
      <c r="AW253" s="110"/>
      <c r="AX253" s="110"/>
      <c r="AY253" s="113"/>
      <c r="AZ253" s="113"/>
      <c r="BA253" s="113"/>
      <c r="BB253" s="113"/>
      <c r="BC253" s="113"/>
      <c r="BD253" s="113"/>
      <c r="BF25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54" spans="1:58" x14ac:dyDescent="0.3">
      <c r="A254" s="422"/>
      <c r="B254" s="376"/>
      <c r="C254" s="110"/>
      <c r="D254" s="110"/>
      <c r="E254" s="340"/>
      <c r="F254" s="330"/>
      <c r="G254" s="113"/>
      <c r="H254" s="332"/>
      <c r="I254" s="113"/>
      <c r="J254" s="332"/>
      <c r="K254" s="110"/>
      <c r="L254" s="110"/>
      <c r="M254" s="110"/>
      <c r="N254" s="110"/>
      <c r="O254" s="111"/>
      <c r="P254" s="424" t="str">
        <f>IF(OR(Table13[[#This Row],[Annual Increase Option]]="No increase",Table13[[#This Row],[Annual Increase Option]]=""),"",_xlfn.XLOOKUP(MONTH(Table13[[#This Row],[Commencement Date]]),Lookups!$I$19:$I$30,Lookups!$J$19:$J$30,0))</f>
        <v/>
      </c>
      <c r="Q254" s="340"/>
      <c r="R254" s="340"/>
      <c r="S254" s="360">
        <f>IF(Table13[[#This Row],[Life Cover Amount]]="",0,Table2[[#This Row],[Life Premium]])</f>
        <v>0</v>
      </c>
      <c r="T254" s="360">
        <f>IF(Table13[[#This Row],[Funeral Cover Amount]]=0,0,Table2[[#This Row],[Funeral Premium]])</f>
        <v>0</v>
      </c>
      <c r="U254" s="360">
        <f>IF(AND(Table13[[#This Row],[Life Cover Amount]]="",Table13[[#This Row],[Funeral Cover Amount]]=""),0,onboarding_calcs!AA254)</f>
        <v>0</v>
      </c>
      <c r="V254" s="111"/>
      <c r="W254" s="111"/>
      <c r="X254" s="333"/>
      <c r="Y254" s="110"/>
      <c r="Z254" s="113"/>
      <c r="AA254" s="425"/>
      <c r="AB254" s="425"/>
      <c r="AC254" s="113"/>
      <c r="AD254" s="110"/>
      <c r="AE254" s="110"/>
      <c r="AF254" s="110"/>
      <c r="AG254" s="110"/>
      <c r="AH254" s="110"/>
      <c r="AI254" s="113"/>
      <c r="AJ254" s="110"/>
      <c r="AK254" s="110"/>
      <c r="AL254" s="110"/>
      <c r="AM254" s="110"/>
      <c r="AN254" s="110"/>
      <c r="AO254" s="113"/>
      <c r="AP254" s="113"/>
      <c r="AQ254" s="113"/>
      <c r="AR254" s="110"/>
      <c r="AS254" s="113"/>
      <c r="AT254" s="113"/>
      <c r="AU254" s="112"/>
      <c r="AV254" s="338"/>
      <c r="AW254" s="110"/>
      <c r="AX254" s="110"/>
      <c r="AY254" s="113"/>
      <c r="AZ254" s="113"/>
      <c r="BA254" s="113"/>
      <c r="BB254" s="113"/>
      <c r="BC254" s="113"/>
      <c r="BD254" s="113"/>
      <c r="BF25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55" spans="1:58" x14ac:dyDescent="0.3">
      <c r="A255" s="422"/>
      <c r="B255" s="376"/>
      <c r="C255" s="110"/>
      <c r="D255" s="110"/>
      <c r="E255" s="340"/>
      <c r="F255" s="330"/>
      <c r="G255" s="113"/>
      <c r="H255" s="332"/>
      <c r="I255" s="113"/>
      <c r="J255" s="332"/>
      <c r="K255" s="110"/>
      <c r="L255" s="110"/>
      <c r="M255" s="110"/>
      <c r="N255" s="110"/>
      <c r="O255" s="111"/>
      <c r="P255" s="424" t="str">
        <f>IF(OR(Table13[[#This Row],[Annual Increase Option]]="No increase",Table13[[#This Row],[Annual Increase Option]]=""),"",_xlfn.XLOOKUP(MONTH(Table13[[#This Row],[Commencement Date]]),Lookups!$I$19:$I$30,Lookups!$J$19:$J$30,0))</f>
        <v/>
      </c>
      <c r="Q255" s="340"/>
      <c r="R255" s="340"/>
      <c r="S255" s="360">
        <f>IF(Table13[[#This Row],[Life Cover Amount]]="",0,Table2[[#This Row],[Life Premium]])</f>
        <v>0</v>
      </c>
      <c r="T255" s="360">
        <f>IF(Table13[[#This Row],[Funeral Cover Amount]]=0,0,Table2[[#This Row],[Funeral Premium]])</f>
        <v>0</v>
      </c>
      <c r="U255" s="360">
        <f>IF(AND(Table13[[#This Row],[Life Cover Amount]]="",Table13[[#This Row],[Funeral Cover Amount]]=""),0,onboarding_calcs!AA255)</f>
        <v>0</v>
      </c>
      <c r="V255" s="111"/>
      <c r="W255" s="111"/>
      <c r="X255" s="333"/>
      <c r="Y255" s="110"/>
      <c r="Z255" s="113"/>
      <c r="AA255" s="425"/>
      <c r="AB255" s="425"/>
      <c r="AC255" s="113"/>
      <c r="AD255" s="110"/>
      <c r="AE255" s="110"/>
      <c r="AF255" s="110"/>
      <c r="AG255" s="110"/>
      <c r="AH255" s="110"/>
      <c r="AI255" s="113"/>
      <c r="AJ255" s="110"/>
      <c r="AK255" s="110"/>
      <c r="AL255" s="110"/>
      <c r="AM255" s="110"/>
      <c r="AN255" s="110"/>
      <c r="AO255" s="113"/>
      <c r="AP255" s="113"/>
      <c r="AQ255" s="113"/>
      <c r="AR255" s="110"/>
      <c r="AS255" s="113"/>
      <c r="AT255" s="113"/>
      <c r="AU255" s="112"/>
      <c r="AV255" s="338"/>
      <c r="AW255" s="110"/>
      <c r="AX255" s="110"/>
      <c r="AY255" s="113"/>
      <c r="AZ255" s="113"/>
      <c r="BA255" s="113"/>
      <c r="BB255" s="113"/>
      <c r="BC255" s="113"/>
      <c r="BD255" s="113"/>
      <c r="BF25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56" spans="1:58" x14ac:dyDescent="0.3">
      <c r="A256" s="422"/>
      <c r="B256" s="376"/>
      <c r="C256" s="110"/>
      <c r="D256" s="110"/>
      <c r="E256" s="340"/>
      <c r="F256" s="330"/>
      <c r="G256" s="113"/>
      <c r="H256" s="332"/>
      <c r="I256" s="113"/>
      <c r="J256" s="332"/>
      <c r="K256" s="110"/>
      <c r="L256" s="110"/>
      <c r="M256" s="110"/>
      <c r="N256" s="110"/>
      <c r="O256" s="111"/>
      <c r="P256" s="424" t="str">
        <f>IF(OR(Table13[[#This Row],[Annual Increase Option]]="No increase",Table13[[#This Row],[Annual Increase Option]]=""),"",_xlfn.XLOOKUP(MONTH(Table13[[#This Row],[Commencement Date]]),Lookups!$I$19:$I$30,Lookups!$J$19:$J$30,0))</f>
        <v/>
      </c>
      <c r="Q256" s="340"/>
      <c r="R256" s="340"/>
      <c r="S256" s="360">
        <f>IF(Table13[[#This Row],[Life Cover Amount]]="",0,Table2[[#This Row],[Life Premium]])</f>
        <v>0</v>
      </c>
      <c r="T256" s="360">
        <f>IF(Table13[[#This Row],[Funeral Cover Amount]]=0,0,Table2[[#This Row],[Funeral Premium]])</f>
        <v>0</v>
      </c>
      <c r="U256" s="360">
        <f>IF(AND(Table13[[#This Row],[Life Cover Amount]]="",Table13[[#This Row],[Funeral Cover Amount]]=""),0,onboarding_calcs!AA256)</f>
        <v>0</v>
      </c>
      <c r="V256" s="111"/>
      <c r="W256" s="111"/>
      <c r="X256" s="333"/>
      <c r="Y256" s="110"/>
      <c r="Z256" s="113"/>
      <c r="AA256" s="425"/>
      <c r="AB256" s="425"/>
      <c r="AC256" s="113"/>
      <c r="AD256" s="110"/>
      <c r="AE256" s="110"/>
      <c r="AF256" s="110"/>
      <c r="AG256" s="110"/>
      <c r="AH256" s="110"/>
      <c r="AI256" s="113"/>
      <c r="AJ256" s="110"/>
      <c r="AK256" s="110"/>
      <c r="AL256" s="110"/>
      <c r="AM256" s="110"/>
      <c r="AN256" s="110"/>
      <c r="AO256" s="113"/>
      <c r="AP256" s="113"/>
      <c r="AQ256" s="113"/>
      <c r="AR256" s="110"/>
      <c r="AS256" s="113"/>
      <c r="AT256" s="113"/>
      <c r="AU256" s="112"/>
      <c r="AV256" s="338"/>
      <c r="AW256" s="110"/>
      <c r="AX256" s="110"/>
      <c r="AY256" s="113"/>
      <c r="AZ256" s="113"/>
      <c r="BA256" s="113"/>
      <c r="BB256" s="113"/>
      <c r="BC256" s="113"/>
      <c r="BD256" s="113"/>
      <c r="BF25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57" spans="1:58" x14ac:dyDescent="0.3">
      <c r="A257" s="422"/>
      <c r="B257" s="376"/>
      <c r="C257" s="110"/>
      <c r="D257" s="110"/>
      <c r="E257" s="340"/>
      <c r="F257" s="330"/>
      <c r="G257" s="113"/>
      <c r="H257" s="332"/>
      <c r="I257" s="113"/>
      <c r="J257" s="332"/>
      <c r="K257" s="110"/>
      <c r="L257" s="110"/>
      <c r="M257" s="110"/>
      <c r="N257" s="110"/>
      <c r="O257" s="111"/>
      <c r="P257" s="424" t="str">
        <f>IF(OR(Table13[[#This Row],[Annual Increase Option]]="No increase",Table13[[#This Row],[Annual Increase Option]]=""),"",_xlfn.XLOOKUP(MONTH(Table13[[#This Row],[Commencement Date]]),Lookups!$I$19:$I$30,Lookups!$J$19:$J$30,0))</f>
        <v/>
      </c>
      <c r="Q257" s="340"/>
      <c r="R257" s="340"/>
      <c r="S257" s="360">
        <f>IF(Table13[[#This Row],[Life Cover Amount]]="",0,Table2[[#This Row],[Life Premium]])</f>
        <v>0</v>
      </c>
      <c r="T257" s="360">
        <f>IF(Table13[[#This Row],[Funeral Cover Amount]]=0,0,Table2[[#This Row],[Funeral Premium]])</f>
        <v>0</v>
      </c>
      <c r="U257" s="360">
        <f>IF(AND(Table13[[#This Row],[Life Cover Amount]]="",Table13[[#This Row],[Funeral Cover Amount]]=""),0,onboarding_calcs!AA257)</f>
        <v>0</v>
      </c>
      <c r="V257" s="111"/>
      <c r="W257" s="111"/>
      <c r="X257" s="333"/>
      <c r="Y257" s="110"/>
      <c r="Z257" s="113"/>
      <c r="AA257" s="425"/>
      <c r="AB257" s="425"/>
      <c r="AC257" s="113"/>
      <c r="AD257" s="110"/>
      <c r="AE257" s="110"/>
      <c r="AF257" s="110"/>
      <c r="AG257" s="110"/>
      <c r="AH257" s="110"/>
      <c r="AI257" s="113"/>
      <c r="AJ257" s="110"/>
      <c r="AK257" s="110"/>
      <c r="AL257" s="110"/>
      <c r="AM257" s="110"/>
      <c r="AN257" s="110"/>
      <c r="AO257" s="113"/>
      <c r="AP257" s="113"/>
      <c r="AQ257" s="113"/>
      <c r="AR257" s="110"/>
      <c r="AS257" s="113"/>
      <c r="AT257" s="113"/>
      <c r="AU257" s="112"/>
      <c r="AV257" s="338"/>
      <c r="AW257" s="110"/>
      <c r="AX257" s="110"/>
      <c r="AY257" s="113"/>
      <c r="AZ257" s="113"/>
      <c r="BA257" s="113"/>
      <c r="BB257" s="113"/>
      <c r="BC257" s="113"/>
      <c r="BD257" s="113"/>
      <c r="BF25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58" spans="1:58" x14ac:dyDescent="0.3">
      <c r="A258" s="422"/>
      <c r="B258" s="376"/>
      <c r="C258" s="110"/>
      <c r="D258" s="110"/>
      <c r="E258" s="340"/>
      <c r="F258" s="330"/>
      <c r="G258" s="113"/>
      <c r="H258" s="332"/>
      <c r="I258" s="113"/>
      <c r="J258" s="332"/>
      <c r="K258" s="110"/>
      <c r="L258" s="110"/>
      <c r="M258" s="110"/>
      <c r="N258" s="110"/>
      <c r="O258" s="111"/>
      <c r="P258" s="424" t="str">
        <f>IF(OR(Table13[[#This Row],[Annual Increase Option]]="No increase",Table13[[#This Row],[Annual Increase Option]]=""),"",_xlfn.XLOOKUP(MONTH(Table13[[#This Row],[Commencement Date]]),Lookups!$I$19:$I$30,Lookups!$J$19:$J$30,0))</f>
        <v/>
      </c>
      <c r="Q258" s="340"/>
      <c r="R258" s="340"/>
      <c r="S258" s="360">
        <f>IF(Table13[[#This Row],[Life Cover Amount]]="",0,Table2[[#This Row],[Life Premium]])</f>
        <v>0</v>
      </c>
      <c r="T258" s="360">
        <f>IF(Table13[[#This Row],[Funeral Cover Amount]]=0,0,Table2[[#This Row],[Funeral Premium]])</f>
        <v>0</v>
      </c>
      <c r="U258" s="360">
        <f>IF(AND(Table13[[#This Row],[Life Cover Amount]]="",Table13[[#This Row],[Funeral Cover Amount]]=""),0,onboarding_calcs!AA258)</f>
        <v>0</v>
      </c>
      <c r="V258" s="111"/>
      <c r="W258" s="111"/>
      <c r="X258" s="333"/>
      <c r="Y258" s="110"/>
      <c r="Z258" s="113"/>
      <c r="AA258" s="425"/>
      <c r="AB258" s="425"/>
      <c r="AC258" s="113"/>
      <c r="AD258" s="110"/>
      <c r="AE258" s="110"/>
      <c r="AF258" s="110"/>
      <c r="AG258" s="110"/>
      <c r="AH258" s="110"/>
      <c r="AI258" s="113"/>
      <c r="AJ258" s="110"/>
      <c r="AK258" s="110"/>
      <c r="AL258" s="110"/>
      <c r="AM258" s="110"/>
      <c r="AN258" s="110"/>
      <c r="AO258" s="113"/>
      <c r="AP258" s="113"/>
      <c r="AQ258" s="113"/>
      <c r="AR258" s="110"/>
      <c r="AS258" s="113"/>
      <c r="AT258" s="113"/>
      <c r="AU258" s="112"/>
      <c r="AV258" s="338"/>
      <c r="AW258" s="110"/>
      <c r="AX258" s="110"/>
      <c r="AY258" s="113"/>
      <c r="AZ258" s="113"/>
      <c r="BA258" s="113"/>
      <c r="BB258" s="113"/>
      <c r="BC258" s="113"/>
      <c r="BD258" s="113"/>
      <c r="BF25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59" spans="1:58" x14ac:dyDescent="0.3">
      <c r="A259" s="422"/>
      <c r="B259" s="376"/>
      <c r="C259" s="110"/>
      <c r="D259" s="110"/>
      <c r="E259" s="340"/>
      <c r="F259" s="330"/>
      <c r="G259" s="113"/>
      <c r="H259" s="332"/>
      <c r="I259" s="113"/>
      <c r="J259" s="332"/>
      <c r="K259" s="110"/>
      <c r="L259" s="110"/>
      <c r="M259" s="110"/>
      <c r="N259" s="110"/>
      <c r="O259" s="111"/>
      <c r="P259" s="424" t="str">
        <f>IF(OR(Table13[[#This Row],[Annual Increase Option]]="No increase",Table13[[#This Row],[Annual Increase Option]]=""),"",_xlfn.XLOOKUP(MONTH(Table13[[#This Row],[Commencement Date]]),Lookups!$I$19:$I$30,Lookups!$J$19:$J$30,0))</f>
        <v/>
      </c>
      <c r="Q259" s="340"/>
      <c r="R259" s="340"/>
      <c r="S259" s="360">
        <f>IF(Table13[[#This Row],[Life Cover Amount]]="",0,Table2[[#This Row],[Life Premium]])</f>
        <v>0</v>
      </c>
      <c r="T259" s="360">
        <f>IF(Table13[[#This Row],[Funeral Cover Amount]]=0,0,Table2[[#This Row],[Funeral Premium]])</f>
        <v>0</v>
      </c>
      <c r="U259" s="360">
        <f>IF(AND(Table13[[#This Row],[Life Cover Amount]]="",Table13[[#This Row],[Funeral Cover Amount]]=""),0,onboarding_calcs!AA259)</f>
        <v>0</v>
      </c>
      <c r="V259" s="111"/>
      <c r="W259" s="111"/>
      <c r="X259" s="333"/>
      <c r="Y259" s="110"/>
      <c r="Z259" s="113"/>
      <c r="AA259" s="425"/>
      <c r="AB259" s="425"/>
      <c r="AC259" s="113"/>
      <c r="AD259" s="110"/>
      <c r="AE259" s="110"/>
      <c r="AF259" s="110"/>
      <c r="AG259" s="110"/>
      <c r="AH259" s="110"/>
      <c r="AI259" s="113"/>
      <c r="AJ259" s="110"/>
      <c r="AK259" s="110"/>
      <c r="AL259" s="110"/>
      <c r="AM259" s="110"/>
      <c r="AN259" s="110"/>
      <c r="AO259" s="113"/>
      <c r="AP259" s="113"/>
      <c r="AQ259" s="113"/>
      <c r="AR259" s="110"/>
      <c r="AS259" s="113"/>
      <c r="AT259" s="113"/>
      <c r="AU259" s="112"/>
      <c r="AV259" s="338"/>
      <c r="AW259" s="110"/>
      <c r="AX259" s="110"/>
      <c r="AY259" s="113"/>
      <c r="AZ259" s="113"/>
      <c r="BA259" s="113"/>
      <c r="BB259" s="113"/>
      <c r="BC259" s="113"/>
      <c r="BD259" s="113"/>
      <c r="BF25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60" spans="1:58" x14ac:dyDescent="0.3">
      <c r="A260" s="422"/>
      <c r="B260" s="376"/>
      <c r="C260" s="110"/>
      <c r="D260" s="110"/>
      <c r="E260" s="340"/>
      <c r="F260" s="330"/>
      <c r="G260" s="113"/>
      <c r="H260" s="332"/>
      <c r="I260" s="113"/>
      <c r="J260" s="332"/>
      <c r="K260" s="110"/>
      <c r="L260" s="110"/>
      <c r="M260" s="110"/>
      <c r="N260" s="110"/>
      <c r="O260" s="111"/>
      <c r="P260" s="424" t="str">
        <f>IF(OR(Table13[[#This Row],[Annual Increase Option]]="No increase",Table13[[#This Row],[Annual Increase Option]]=""),"",_xlfn.XLOOKUP(MONTH(Table13[[#This Row],[Commencement Date]]),Lookups!$I$19:$I$30,Lookups!$J$19:$J$30,0))</f>
        <v/>
      </c>
      <c r="Q260" s="340"/>
      <c r="R260" s="340"/>
      <c r="S260" s="360">
        <f>IF(Table13[[#This Row],[Life Cover Amount]]="",0,Table2[[#This Row],[Life Premium]])</f>
        <v>0</v>
      </c>
      <c r="T260" s="360">
        <f>IF(Table13[[#This Row],[Funeral Cover Amount]]=0,0,Table2[[#This Row],[Funeral Premium]])</f>
        <v>0</v>
      </c>
      <c r="U260" s="360">
        <f>IF(AND(Table13[[#This Row],[Life Cover Amount]]="",Table13[[#This Row],[Funeral Cover Amount]]=""),0,onboarding_calcs!AA260)</f>
        <v>0</v>
      </c>
      <c r="V260" s="111"/>
      <c r="W260" s="111"/>
      <c r="X260" s="333"/>
      <c r="Y260" s="110"/>
      <c r="Z260" s="113"/>
      <c r="AA260" s="425"/>
      <c r="AB260" s="425"/>
      <c r="AC260" s="113"/>
      <c r="AD260" s="110"/>
      <c r="AE260" s="110"/>
      <c r="AF260" s="110"/>
      <c r="AG260" s="110"/>
      <c r="AH260" s="110"/>
      <c r="AI260" s="113"/>
      <c r="AJ260" s="110"/>
      <c r="AK260" s="110"/>
      <c r="AL260" s="110"/>
      <c r="AM260" s="110"/>
      <c r="AN260" s="110"/>
      <c r="AO260" s="113"/>
      <c r="AP260" s="113"/>
      <c r="AQ260" s="113"/>
      <c r="AR260" s="110"/>
      <c r="AS260" s="113"/>
      <c r="AT260" s="113"/>
      <c r="AU260" s="112"/>
      <c r="AV260" s="338"/>
      <c r="AW260" s="110"/>
      <c r="AX260" s="110"/>
      <c r="AY260" s="113"/>
      <c r="AZ260" s="113"/>
      <c r="BA260" s="113"/>
      <c r="BB260" s="113"/>
      <c r="BC260" s="113"/>
      <c r="BD260" s="113"/>
      <c r="BF26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61" spans="1:58" x14ac:dyDescent="0.3">
      <c r="A261" s="422"/>
      <c r="B261" s="376"/>
      <c r="C261" s="110"/>
      <c r="D261" s="110"/>
      <c r="E261" s="340"/>
      <c r="F261" s="330"/>
      <c r="G261" s="113"/>
      <c r="H261" s="332"/>
      <c r="I261" s="113"/>
      <c r="J261" s="332"/>
      <c r="K261" s="110"/>
      <c r="L261" s="110"/>
      <c r="M261" s="110"/>
      <c r="N261" s="110"/>
      <c r="O261" s="111"/>
      <c r="P261" s="424" t="str">
        <f>IF(OR(Table13[[#This Row],[Annual Increase Option]]="No increase",Table13[[#This Row],[Annual Increase Option]]=""),"",_xlfn.XLOOKUP(MONTH(Table13[[#This Row],[Commencement Date]]),Lookups!$I$19:$I$30,Lookups!$J$19:$J$30,0))</f>
        <v/>
      </c>
      <c r="Q261" s="340"/>
      <c r="R261" s="340"/>
      <c r="S261" s="360">
        <f>IF(Table13[[#This Row],[Life Cover Amount]]="",0,Table2[[#This Row],[Life Premium]])</f>
        <v>0</v>
      </c>
      <c r="T261" s="360">
        <f>IF(Table13[[#This Row],[Funeral Cover Amount]]=0,0,Table2[[#This Row],[Funeral Premium]])</f>
        <v>0</v>
      </c>
      <c r="U261" s="360">
        <f>IF(AND(Table13[[#This Row],[Life Cover Amount]]="",Table13[[#This Row],[Funeral Cover Amount]]=""),0,onboarding_calcs!AA261)</f>
        <v>0</v>
      </c>
      <c r="V261" s="111"/>
      <c r="W261" s="111"/>
      <c r="X261" s="333"/>
      <c r="Y261" s="110"/>
      <c r="Z261" s="113"/>
      <c r="AA261" s="425"/>
      <c r="AB261" s="425"/>
      <c r="AC261" s="113"/>
      <c r="AD261" s="110"/>
      <c r="AE261" s="110"/>
      <c r="AF261" s="110"/>
      <c r="AG261" s="110"/>
      <c r="AH261" s="110"/>
      <c r="AI261" s="113"/>
      <c r="AJ261" s="110"/>
      <c r="AK261" s="110"/>
      <c r="AL261" s="110"/>
      <c r="AM261" s="110"/>
      <c r="AN261" s="110"/>
      <c r="AO261" s="113"/>
      <c r="AP261" s="113"/>
      <c r="AQ261" s="113"/>
      <c r="AR261" s="110"/>
      <c r="AS261" s="113"/>
      <c r="AT261" s="113"/>
      <c r="AU261" s="112"/>
      <c r="AV261" s="338"/>
      <c r="AW261" s="110"/>
      <c r="AX261" s="110"/>
      <c r="AY261" s="113"/>
      <c r="AZ261" s="113"/>
      <c r="BA261" s="113"/>
      <c r="BB261" s="113"/>
      <c r="BC261" s="113"/>
      <c r="BD261" s="113"/>
      <c r="BF26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62" spans="1:58" x14ac:dyDescent="0.3">
      <c r="A262" s="422"/>
      <c r="B262" s="376"/>
      <c r="C262" s="110"/>
      <c r="D262" s="110"/>
      <c r="E262" s="340"/>
      <c r="F262" s="330"/>
      <c r="G262" s="113"/>
      <c r="H262" s="332"/>
      <c r="I262" s="113"/>
      <c r="J262" s="332"/>
      <c r="K262" s="110"/>
      <c r="L262" s="110"/>
      <c r="M262" s="110"/>
      <c r="N262" s="110"/>
      <c r="O262" s="111"/>
      <c r="P262" s="424" t="str">
        <f>IF(OR(Table13[[#This Row],[Annual Increase Option]]="No increase",Table13[[#This Row],[Annual Increase Option]]=""),"",_xlfn.XLOOKUP(MONTH(Table13[[#This Row],[Commencement Date]]),Lookups!$I$19:$I$30,Lookups!$J$19:$J$30,0))</f>
        <v/>
      </c>
      <c r="Q262" s="340"/>
      <c r="R262" s="340"/>
      <c r="S262" s="360">
        <f>IF(Table13[[#This Row],[Life Cover Amount]]="",0,Table2[[#This Row],[Life Premium]])</f>
        <v>0</v>
      </c>
      <c r="T262" s="360">
        <f>IF(Table13[[#This Row],[Funeral Cover Amount]]=0,0,Table2[[#This Row],[Funeral Premium]])</f>
        <v>0</v>
      </c>
      <c r="U262" s="360">
        <f>IF(AND(Table13[[#This Row],[Life Cover Amount]]="",Table13[[#This Row],[Funeral Cover Amount]]=""),0,onboarding_calcs!AA262)</f>
        <v>0</v>
      </c>
      <c r="V262" s="111"/>
      <c r="W262" s="111"/>
      <c r="X262" s="333"/>
      <c r="Y262" s="110"/>
      <c r="Z262" s="113"/>
      <c r="AA262" s="425"/>
      <c r="AB262" s="425"/>
      <c r="AC262" s="113"/>
      <c r="AD262" s="110"/>
      <c r="AE262" s="110"/>
      <c r="AF262" s="110"/>
      <c r="AG262" s="110"/>
      <c r="AH262" s="110"/>
      <c r="AI262" s="113"/>
      <c r="AJ262" s="110"/>
      <c r="AK262" s="110"/>
      <c r="AL262" s="110"/>
      <c r="AM262" s="110"/>
      <c r="AN262" s="110"/>
      <c r="AO262" s="113"/>
      <c r="AP262" s="113"/>
      <c r="AQ262" s="113"/>
      <c r="AR262" s="110"/>
      <c r="AS262" s="113"/>
      <c r="AT262" s="113"/>
      <c r="AU262" s="112"/>
      <c r="AV262" s="338"/>
      <c r="AW262" s="110"/>
      <c r="AX262" s="110"/>
      <c r="AY262" s="113"/>
      <c r="AZ262" s="113"/>
      <c r="BA262" s="113"/>
      <c r="BB262" s="113"/>
      <c r="BC262" s="113"/>
      <c r="BD262" s="113"/>
      <c r="BF26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63" spans="1:58" x14ac:dyDescent="0.3">
      <c r="A263" s="422"/>
      <c r="B263" s="376"/>
      <c r="C263" s="110"/>
      <c r="D263" s="110"/>
      <c r="E263" s="340"/>
      <c r="F263" s="330"/>
      <c r="G263" s="113"/>
      <c r="H263" s="332"/>
      <c r="I263" s="113"/>
      <c r="J263" s="332"/>
      <c r="K263" s="110"/>
      <c r="L263" s="110"/>
      <c r="M263" s="110"/>
      <c r="N263" s="110"/>
      <c r="O263" s="111"/>
      <c r="P263" s="424" t="str">
        <f>IF(OR(Table13[[#This Row],[Annual Increase Option]]="No increase",Table13[[#This Row],[Annual Increase Option]]=""),"",_xlfn.XLOOKUP(MONTH(Table13[[#This Row],[Commencement Date]]),Lookups!$I$19:$I$30,Lookups!$J$19:$J$30,0))</f>
        <v/>
      </c>
      <c r="Q263" s="340"/>
      <c r="R263" s="340"/>
      <c r="S263" s="360">
        <f>IF(Table13[[#This Row],[Life Cover Amount]]="",0,Table2[[#This Row],[Life Premium]])</f>
        <v>0</v>
      </c>
      <c r="T263" s="360">
        <f>IF(Table13[[#This Row],[Funeral Cover Amount]]=0,0,Table2[[#This Row],[Funeral Premium]])</f>
        <v>0</v>
      </c>
      <c r="U263" s="360">
        <f>IF(AND(Table13[[#This Row],[Life Cover Amount]]="",Table13[[#This Row],[Funeral Cover Amount]]=""),0,onboarding_calcs!AA263)</f>
        <v>0</v>
      </c>
      <c r="V263" s="111"/>
      <c r="W263" s="111"/>
      <c r="X263" s="333"/>
      <c r="Y263" s="110"/>
      <c r="Z263" s="113"/>
      <c r="AA263" s="425"/>
      <c r="AB263" s="425"/>
      <c r="AC263" s="113"/>
      <c r="AD263" s="110"/>
      <c r="AE263" s="110"/>
      <c r="AF263" s="110"/>
      <c r="AG263" s="110"/>
      <c r="AH263" s="110"/>
      <c r="AI263" s="113"/>
      <c r="AJ263" s="110"/>
      <c r="AK263" s="110"/>
      <c r="AL263" s="110"/>
      <c r="AM263" s="110"/>
      <c r="AN263" s="110"/>
      <c r="AO263" s="113"/>
      <c r="AP263" s="113"/>
      <c r="AQ263" s="113"/>
      <c r="AR263" s="110"/>
      <c r="AS263" s="113"/>
      <c r="AT263" s="113"/>
      <c r="AU263" s="112"/>
      <c r="AV263" s="338"/>
      <c r="AW263" s="110"/>
      <c r="AX263" s="110"/>
      <c r="AY263" s="113"/>
      <c r="AZ263" s="113"/>
      <c r="BA263" s="113"/>
      <c r="BB263" s="113"/>
      <c r="BC263" s="113"/>
      <c r="BD263" s="113"/>
      <c r="BF26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64" spans="1:58" x14ac:dyDescent="0.3">
      <c r="A264" s="422"/>
      <c r="B264" s="376"/>
      <c r="C264" s="110"/>
      <c r="D264" s="110"/>
      <c r="E264" s="340"/>
      <c r="F264" s="330"/>
      <c r="G264" s="113"/>
      <c r="H264" s="332"/>
      <c r="I264" s="113"/>
      <c r="J264" s="332"/>
      <c r="K264" s="110"/>
      <c r="L264" s="110"/>
      <c r="M264" s="110"/>
      <c r="N264" s="110"/>
      <c r="O264" s="111"/>
      <c r="P264" s="424" t="str">
        <f>IF(OR(Table13[[#This Row],[Annual Increase Option]]="No increase",Table13[[#This Row],[Annual Increase Option]]=""),"",_xlfn.XLOOKUP(MONTH(Table13[[#This Row],[Commencement Date]]),Lookups!$I$19:$I$30,Lookups!$J$19:$J$30,0))</f>
        <v/>
      </c>
      <c r="Q264" s="340"/>
      <c r="R264" s="340"/>
      <c r="S264" s="360">
        <f>IF(Table13[[#This Row],[Life Cover Amount]]="",0,Table2[[#This Row],[Life Premium]])</f>
        <v>0</v>
      </c>
      <c r="T264" s="360">
        <f>IF(Table13[[#This Row],[Funeral Cover Amount]]=0,0,Table2[[#This Row],[Funeral Premium]])</f>
        <v>0</v>
      </c>
      <c r="U264" s="360">
        <f>IF(AND(Table13[[#This Row],[Life Cover Amount]]="",Table13[[#This Row],[Funeral Cover Amount]]=""),0,onboarding_calcs!AA264)</f>
        <v>0</v>
      </c>
      <c r="V264" s="111"/>
      <c r="W264" s="111"/>
      <c r="X264" s="333"/>
      <c r="Y264" s="110"/>
      <c r="Z264" s="113"/>
      <c r="AA264" s="425"/>
      <c r="AB264" s="425"/>
      <c r="AC264" s="113"/>
      <c r="AD264" s="110"/>
      <c r="AE264" s="110"/>
      <c r="AF264" s="110"/>
      <c r="AG264" s="110"/>
      <c r="AH264" s="110"/>
      <c r="AI264" s="113"/>
      <c r="AJ264" s="110"/>
      <c r="AK264" s="110"/>
      <c r="AL264" s="110"/>
      <c r="AM264" s="110"/>
      <c r="AN264" s="110"/>
      <c r="AO264" s="113"/>
      <c r="AP264" s="113"/>
      <c r="AQ264" s="113"/>
      <c r="AR264" s="110"/>
      <c r="AS264" s="113"/>
      <c r="AT264" s="113"/>
      <c r="AU264" s="112"/>
      <c r="AV264" s="338"/>
      <c r="AW264" s="110"/>
      <c r="AX264" s="110"/>
      <c r="AY264" s="113"/>
      <c r="AZ264" s="113"/>
      <c r="BA264" s="113"/>
      <c r="BB264" s="113"/>
      <c r="BC264" s="113"/>
      <c r="BD264" s="113"/>
      <c r="BF26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65" spans="1:58" x14ac:dyDescent="0.3">
      <c r="A265" s="422"/>
      <c r="B265" s="376"/>
      <c r="C265" s="110"/>
      <c r="D265" s="110"/>
      <c r="E265" s="340"/>
      <c r="F265" s="330"/>
      <c r="G265" s="113"/>
      <c r="H265" s="332"/>
      <c r="I265" s="113"/>
      <c r="J265" s="332"/>
      <c r="K265" s="110"/>
      <c r="L265" s="110"/>
      <c r="M265" s="110"/>
      <c r="N265" s="110"/>
      <c r="O265" s="111"/>
      <c r="P265" s="424" t="str">
        <f>IF(OR(Table13[[#This Row],[Annual Increase Option]]="No increase",Table13[[#This Row],[Annual Increase Option]]=""),"",_xlfn.XLOOKUP(MONTH(Table13[[#This Row],[Commencement Date]]),Lookups!$I$19:$I$30,Lookups!$J$19:$J$30,0))</f>
        <v/>
      </c>
      <c r="Q265" s="340"/>
      <c r="R265" s="340"/>
      <c r="S265" s="360">
        <f>IF(Table13[[#This Row],[Life Cover Amount]]="",0,Table2[[#This Row],[Life Premium]])</f>
        <v>0</v>
      </c>
      <c r="T265" s="360">
        <f>IF(Table13[[#This Row],[Funeral Cover Amount]]=0,0,Table2[[#This Row],[Funeral Premium]])</f>
        <v>0</v>
      </c>
      <c r="U265" s="360">
        <f>IF(AND(Table13[[#This Row],[Life Cover Amount]]="",Table13[[#This Row],[Funeral Cover Amount]]=""),0,onboarding_calcs!AA265)</f>
        <v>0</v>
      </c>
      <c r="V265" s="111"/>
      <c r="W265" s="111"/>
      <c r="X265" s="333"/>
      <c r="Y265" s="110"/>
      <c r="Z265" s="113"/>
      <c r="AA265" s="425"/>
      <c r="AB265" s="425"/>
      <c r="AC265" s="113"/>
      <c r="AD265" s="110"/>
      <c r="AE265" s="110"/>
      <c r="AF265" s="110"/>
      <c r="AG265" s="110"/>
      <c r="AH265" s="110"/>
      <c r="AI265" s="113"/>
      <c r="AJ265" s="110"/>
      <c r="AK265" s="110"/>
      <c r="AL265" s="110"/>
      <c r="AM265" s="110"/>
      <c r="AN265" s="110"/>
      <c r="AO265" s="113"/>
      <c r="AP265" s="113"/>
      <c r="AQ265" s="113"/>
      <c r="AR265" s="110"/>
      <c r="AS265" s="113"/>
      <c r="AT265" s="113"/>
      <c r="AU265" s="112"/>
      <c r="AV265" s="338"/>
      <c r="AW265" s="110"/>
      <c r="AX265" s="110"/>
      <c r="AY265" s="113"/>
      <c r="AZ265" s="113"/>
      <c r="BA265" s="113"/>
      <c r="BB265" s="113"/>
      <c r="BC265" s="113"/>
      <c r="BD265" s="113"/>
      <c r="BF26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66" spans="1:58" x14ac:dyDescent="0.3">
      <c r="A266" s="422"/>
      <c r="B266" s="376"/>
      <c r="C266" s="110"/>
      <c r="D266" s="110"/>
      <c r="E266" s="340"/>
      <c r="F266" s="330"/>
      <c r="G266" s="113"/>
      <c r="H266" s="332"/>
      <c r="I266" s="113"/>
      <c r="J266" s="332"/>
      <c r="K266" s="110"/>
      <c r="L266" s="110"/>
      <c r="M266" s="110"/>
      <c r="N266" s="110"/>
      <c r="O266" s="111"/>
      <c r="P266" s="424" t="str">
        <f>IF(OR(Table13[[#This Row],[Annual Increase Option]]="No increase",Table13[[#This Row],[Annual Increase Option]]=""),"",_xlfn.XLOOKUP(MONTH(Table13[[#This Row],[Commencement Date]]),Lookups!$I$19:$I$30,Lookups!$J$19:$J$30,0))</f>
        <v/>
      </c>
      <c r="Q266" s="340"/>
      <c r="R266" s="340"/>
      <c r="S266" s="360">
        <f>IF(Table13[[#This Row],[Life Cover Amount]]="",0,Table2[[#This Row],[Life Premium]])</f>
        <v>0</v>
      </c>
      <c r="T266" s="360">
        <f>IF(Table13[[#This Row],[Funeral Cover Amount]]=0,0,Table2[[#This Row],[Funeral Premium]])</f>
        <v>0</v>
      </c>
      <c r="U266" s="360">
        <f>IF(AND(Table13[[#This Row],[Life Cover Amount]]="",Table13[[#This Row],[Funeral Cover Amount]]=""),0,onboarding_calcs!AA266)</f>
        <v>0</v>
      </c>
      <c r="V266" s="111"/>
      <c r="W266" s="111"/>
      <c r="X266" s="333"/>
      <c r="Y266" s="110"/>
      <c r="Z266" s="113"/>
      <c r="AA266" s="425"/>
      <c r="AB266" s="425"/>
      <c r="AC266" s="113"/>
      <c r="AD266" s="110"/>
      <c r="AE266" s="110"/>
      <c r="AF266" s="110"/>
      <c r="AG266" s="110"/>
      <c r="AH266" s="110"/>
      <c r="AI266" s="113"/>
      <c r="AJ266" s="110"/>
      <c r="AK266" s="110"/>
      <c r="AL266" s="110"/>
      <c r="AM266" s="110"/>
      <c r="AN266" s="110"/>
      <c r="AO266" s="113"/>
      <c r="AP266" s="113"/>
      <c r="AQ266" s="113"/>
      <c r="AR266" s="110"/>
      <c r="AS266" s="113"/>
      <c r="AT266" s="113"/>
      <c r="AU266" s="112"/>
      <c r="AV266" s="338"/>
      <c r="AW266" s="110"/>
      <c r="AX266" s="110"/>
      <c r="AY266" s="113"/>
      <c r="AZ266" s="113"/>
      <c r="BA266" s="113"/>
      <c r="BB266" s="113"/>
      <c r="BC266" s="113"/>
      <c r="BD266" s="113"/>
      <c r="BF26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67" spans="1:58" x14ac:dyDescent="0.3">
      <c r="A267" s="422"/>
      <c r="B267" s="376"/>
      <c r="C267" s="110"/>
      <c r="D267" s="110"/>
      <c r="E267" s="340"/>
      <c r="F267" s="330"/>
      <c r="G267" s="113"/>
      <c r="H267" s="332"/>
      <c r="I267" s="113"/>
      <c r="J267" s="332"/>
      <c r="K267" s="110"/>
      <c r="L267" s="110"/>
      <c r="M267" s="110"/>
      <c r="N267" s="110"/>
      <c r="O267" s="111"/>
      <c r="P267" s="424" t="str">
        <f>IF(OR(Table13[[#This Row],[Annual Increase Option]]="No increase",Table13[[#This Row],[Annual Increase Option]]=""),"",_xlfn.XLOOKUP(MONTH(Table13[[#This Row],[Commencement Date]]),Lookups!$I$19:$I$30,Lookups!$J$19:$J$30,0))</f>
        <v/>
      </c>
      <c r="Q267" s="340"/>
      <c r="R267" s="340"/>
      <c r="S267" s="360">
        <f>IF(Table13[[#This Row],[Life Cover Amount]]="",0,Table2[[#This Row],[Life Premium]])</f>
        <v>0</v>
      </c>
      <c r="T267" s="360">
        <f>IF(Table13[[#This Row],[Funeral Cover Amount]]=0,0,Table2[[#This Row],[Funeral Premium]])</f>
        <v>0</v>
      </c>
      <c r="U267" s="360">
        <f>IF(AND(Table13[[#This Row],[Life Cover Amount]]="",Table13[[#This Row],[Funeral Cover Amount]]=""),0,onboarding_calcs!AA267)</f>
        <v>0</v>
      </c>
      <c r="V267" s="111"/>
      <c r="W267" s="111"/>
      <c r="X267" s="333"/>
      <c r="Y267" s="110"/>
      <c r="Z267" s="113"/>
      <c r="AA267" s="425"/>
      <c r="AB267" s="425"/>
      <c r="AC267" s="113"/>
      <c r="AD267" s="110"/>
      <c r="AE267" s="110"/>
      <c r="AF267" s="110"/>
      <c r="AG267" s="110"/>
      <c r="AH267" s="110"/>
      <c r="AI267" s="113"/>
      <c r="AJ267" s="110"/>
      <c r="AK267" s="110"/>
      <c r="AL267" s="110"/>
      <c r="AM267" s="110"/>
      <c r="AN267" s="110"/>
      <c r="AO267" s="113"/>
      <c r="AP267" s="113"/>
      <c r="AQ267" s="113"/>
      <c r="AR267" s="110"/>
      <c r="AS267" s="113"/>
      <c r="AT267" s="113"/>
      <c r="AU267" s="112"/>
      <c r="AV267" s="338"/>
      <c r="AW267" s="110"/>
      <c r="AX267" s="110"/>
      <c r="AY267" s="113"/>
      <c r="AZ267" s="113"/>
      <c r="BA267" s="113"/>
      <c r="BB267" s="113"/>
      <c r="BC267" s="113"/>
      <c r="BD267" s="113"/>
      <c r="BF26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68" spans="1:58" x14ac:dyDescent="0.3">
      <c r="A268" s="422"/>
      <c r="B268" s="376"/>
      <c r="C268" s="110"/>
      <c r="D268" s="110"/>
      <c r="E268" s="340"/>
      <c r="F268" s="330"/>
      <c r="G268" s="113"/>
      <c r="H268" s="332"/>
      <c r="I268" s="113"/>
      <c r="J268" s="332"/>
      <c r="K268" s="110"/>
      <c r="L268" s="110"/>
      <c r="M268" s="110"/>
      <c r="N268" s="110"/>
      <c r="O268" s="111"/>
      <c r="P268" s="424" t="str">
        <f>IF(OR(Table13[[#This Row],[Annual Increase Option]]="No increase",Table13[[#This Row],[Annual Increase Option]]=""),"",_xlfn.XLOOKUP(MONTH(Table13[[#This Row],[Commencement Date]]),Lookups!$I$19:$I$30,Lookups!$J$19:$J$30,0))</f>
        <v/>
      </c>
      <c r="Q268" s="340"/>
      <c r="R268" s="340"/>
      <c r="S268" s="360">
        <f>IF(Table13[[#This Row],[Life Cover Amount]]="",0,Table2[[#This Row],[Life Premium]])</f>
        <v>0</v>
      </c>
      <c r="T268" s="360">
        <f>IF(Table13[[#This Row],[Funeral Cover Amount]]=0,0,Table2[[#This Row],[Funeral Premium]])</f>
        <v>0</v>
      </c>
      <c r="U268" s="360">
        <f>IF(AND(Table13[[#This Row],[Life Cover Amount]]="",Table13[[#This Row],[Funeral Cover Amount]]=""),0,onboarding_calcs!AA268)</f>
        <v>0</v>
      </c>
      <c r="V268" s="111"/>
      <c r="W268" s="111"/>
      <c r="X268" s="333"/>
      <c r="Y268" s="110"/>
      <c r="Z268" s="113"/>
      <c r="AA268" s="425"/>
      <c r="AB268" s="425"/>
      <c r="AC268" s="113"/>
      <c r="AD268" s="110"/>
      <c r="AE268" s="110"/>
      <c r="AF268" s="110"/>
      <c r="AG268" s="110"/>
      <c r="AH268" s="110"/>
      <c r="AI268" s="113"/>
      <c r="AJ268" s="110"/>
      <c r="AK268" s="110"/>
      <c r="AL268" s="110"/>
      <c r="AM268" s="110"/>
      <c r="AN268" s="110"/>
      <c r="AO268" s="113"/>
      <c r="AP268" s="113"/>
      <c r="AQ268" s="113"/>
      <c r="AR268" s="110"/>
      <c r="AS268" s="113"/>
      <c r="AT268" s="113"/>
      <c r="AU268" s="112"/>
      <c r="AV268" s="338"/>
      <c r="AW268" s="110"/>
      <c r="AX268" s="110"/>
      <c r="AY268" s="113"/>
      <c r="AZ268" s="113"/>
      <c r="BA268" s="113"/>
      <c r="BB268" s="113"/>
      <c r="BC268" s="113"/>
      <c r="BD268" s="113"/>
      <c r="BF26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69" spans="1:58" x14ac:dyDescent="0.3">
      <c r="A269" s="422"/>
      <c r="B269" s="376"/>
      <c r="C269" s="110"/>
      <c r="D269" s="110"/>
      <c r="E269" s="340"/>
      <c r="F269" s="330"/>
      <c r="G269" s="113"/>
      <c r="H269" s="332"/>
      <c r="I269" s="113"/>
      <c r="J269" s="332"/>
      <c r="K269" s="110"/>
      <c r="L269" s="110"/>
      <c r="M269" s="110"/>
      <c r="N269" s="110"/>
      <c r="O269" s="111"/>
      <c r="P269" s="424" t="str">
        <f>IF(OR(Table13[[#This Row],[Annual Increase Option]]="No increase",Table13[[#This Row],[Annual Increase Option]]=""),"",_xlfn.XLOOKUP(MONTH(Table13[[#This Row],[Commencement Date]]),Lookups!$I$19:$I$30,Lookups!$J$19:$J$30,0))</f>
        <v/>
      </c>
      <c r="Q269" s="340"/>
      <c r="R269" s="340"/>
      <c r="S269" s="360">
        <f>IF(Table13[[#This Row],[Life Cover Amount]]="",0,Table2[[#This Row],[Life Premium]])</f>
        <v>0</v>
      </c>
      <c r="T269" s="360">
        <f>IF(Table13[[#This Row],[Funeral Cover Amount]]=0,0,Table2[[#This Row],[Funeral Premium]])</f>
        <v>0</v>
      </c>
      <c r="U269" s="360">
        <f>IF(AND(Table13[[#This Row],[Life Cover Amount]]="",Table13[[#This Row],[Funeral Cover Amount]]=""),0,onboarding_calcs!AA269)</f>
        <v>0</v>
      </c>
      <c r="V269" s="111"/>
      <c r="W269" s="111"/>
      <c r="X269" s="333"/>
      <c r="Y269" s="110"/>
      <c r="Z269" s="113"/>
      <c r="AA269" s="425"/>
      <c r="AB269" s="425"/>
      <c r="AC269" s="113"/>
      <c r="AD269" s="110"/>
      <c r="AE269" s="110"/>
      <c r="AF269" s="110"/>
      <c r="AG269" s="110"/>
      <c r="AH269" s="110"/>
      <c r="AI269" s="113"/>
      <c r="AJ269" s="110"/>
      <c r="AK269" s="110"/>
      <c r="AL269" s="110"/>
      <c r="AM269" s="110"/>
      <c r="AN269" s="110"/>
      <c r="AO269" s="113"/>
      <c r="AP269" s="113"/>
      <c r="AQ269" s="113"/>
      <c r="AR269" s="110"/>
      <c r="AS269" s="113"/>
      <c r="AT269" s="113"/>
      <c r="AU269" s="112"/>
      <c r="AV269" s="338"/>
      <c r="AW269" s="110"/>
      <c r="AX269" s="110"/>
      <c r="AY269" s="113"/>
      <c r="AZ269" s="113"/>
      <c r="BA269" s="113"/>
      <c r="BB269" s="113"/>
      <c r="BC269" s="113"/>
      <c r="BD269" s="113"/>
      <c r="BF26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70" spans="1:58" x14ac:dyDescent="0.3">
      <c r="A270" s="422"/>
      <c r="B270" s="376"/>
      <c r="C270" s="110"/>
      <c r="D270" s="110"/>
      <c r="E270" s="340"/>
      <c r="F270" s="330"/>
      <c r="G270" s="113"/>
      <c r="H270" s="332"/>
      <c r="I270" s="113"/>
      <c r="J270" s="332"/>
      <c r="K270" s="110"/>
      <c r="L270" s="110"/>
      <c r="M270" s="110"/>
      <c r="N270" s="110"/>
      <c r="O270" s="111"/>
      <c r="P270" s="424" t="str">
        <f>IF(OR(Table13[[#This Row],[Annual Increase Option]]="No increase",Table13[[#This Row],[Annual Increase Option]]=""),"",_xlfn.XLOOKUP(MONTH(Table13[[#This Row],[Commencement Date]]),Lookups!$I$19:$I$30,Lookups!$J$19:$J$30,0))</f>
        <v/>
      </c>
      <c r="Q270" s="340"/>
      <c r="R270" s="340"/>
      <c r="S270" s="360">
        <f>IF(Table13[[#This Row],[Life Cover Amount]]="",0,Table2[[#This Row],[Life Premium]])</f>
        <v>0</v>
      </c>
      <c r="T270" s="360">
        <f>IF(Table13[[#This Row],[Funeral Cover Amount]]=0,0,Table2[[#This Row],[Funeral Premium]])</f>
        <v>0</v>
      </c>
      <c r="U270" s="360">
        <f>IF(AND(Table13[[#This Row],[Life Cover Amount]]="",Table13[[#This Row],[Funeral Cover Amount]]=""),0,onboarding_calcs!AA270)</f>
        <v>0</v>
      </c>
      <c r="V270" s="111"/>
      <c r="W270" s="111"/>
      <c r="X270" s="333"/>
      <c r="Y270" s="110"/>
      <c r="Z270" s="113"/>
      <c r="AA270" s="425"/>
      <c r="AB270" s="425"/>
      <c r="AC270" s="113"/>
      <c r="AD270" s="110"/>
      <c r="AE270" s="110"/>
      <c r="AF270" s="110"/>
      <c r="AG270" s="110"/>
      <c r="AH270" s="110"/>
      <c r="AI270" s="113"/>
      <c r="AJ270" s="110"/>
      <c r="AK270" s="110"/>
      <c r="AL270" s="110"/>
      <c r="AM270" s="110"/>
      <c r="AN270" s="110"/>
      <c r="AO270" s="113"/>
      <c r="AP270" s="113"/>
      <c r="AQ270" s="113"/>
      <c r="AR270" s="110"/>
      <c r="AS270" s="113"/>
      <c r="AT270" s="113"/>
      <c r="AU270" s="112"/>
      <c r="AV270" s="338"/>
      <c r="AW270" s="110"/>
      <c r="AX270" s="110"/>
      <c r="AY270" s="113"/>
      <c r="AZ270" s="113"/>
      <c r="BA270" s="113"/>
      <c r="BB270" s="113"/>
      <c r="BC270" s="113"/>
      <c r="BD270" s="113"/>
      <c r="BF27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71" spans="1:58" x14ac:dyDescent="0.3">
      <c r="A271" s="422"/>
      <c r="B271" s="376"/>
      <c r="C271" s="110"/>
      <c r="D271" s="110"/>
      <c r="E271" s="340"/>
      <c r="F271" s="330"/>
      <c r="G271" s="113"/>
      <c r="H271" s="332"/>
      <c r="I271" s="113"/>
      <c r="J271" s="332"/>
      <c r="K271" s="110"/>
      <c r="L271" s="110"/>
      <c r="M271" s="110"/>
      <c r="N271" s="110"/>
      <c r="O271" s="111"/>
      <c r="P271" s="424" t="str">
        <f>IF(OR(Table13[[#This Row],[Annual Increase Option]]="No increase",Table13[[#This Row],[Annual Increase Option]]=""),"",_xlfn.XLOOKUP(MONTH(Table13[[#This Row],[Commencement Date]]),Lookups!$I$19:$I$30,Lookups!$J$19:$J$30,0))</f>
        <v/>
      </c>
      <c r="Q271" s="340"/>
      <c r="R271" s="340"/>
      <c r="S271" s="360">
        <f>IF(Table13[[#This Row],[Life Cover Amount]]="",0,Table2[[#This Row],[Life Premium]])</f>
        <v>0</v>
      </c>
      <c r="T271" s="360">
        <f>IF(Table13[[#This Row],[Funeral Cover Amount]]=0,0,Table2[[#This Row],[Funeral Premium]])</f>
        <v>0</v>
      </c>
      <c r="U271" s="360">
        <f>IF(AND(Table13[[#This Row],[Life Cover Amount]]="",Table13[[#This Row],[Funeral Cover Amount]]=""),0,onboarding_calcs!AA271)</f>
        <v>0</v>
      </c>
      <c r="V271" s="111"/>
      <c r="W271" s="111"/>
      <c r="X271" s="333"/>
      <c r="Y271" s="110"/>
      <c r="Z271" s="113"/>
      <c r="AA271" s="425"/>
      <c r="AB271" s="425"/>
      <c r="AC271" s="113"/>
      <c r="AD271" s="110"/>
      <c r="AE271" s="110"/>
      <c r="AF271" s="110"/>
      <c r="AG271" s="110"/>
      <c r="AH271" s="110"/>
      <c r="AI271" s="113"/>
      <c r="AJ271" s="110"/>
      <c r="AK271" s="110"/>
      <c r="AL271" s="110"/>
      <c r="AM271" s="110"/>
      <c r="AN271" s="110"/>
      <c r="AO271" s="113"/>
      <c r="AP271" s="113"/>
      <c r="AQ271" s="113"/>
      <c r="AR271" s="110"/>
      <c r="AS271" s="113"/>
      <c r="AT271" s="113"/>
      <c r="AU271" s="112"/>
      <c r="AV271" s="338"/>
      <c r="AW271" s="110"/>
      <c r="AX271" s="110"/>
      <c r="AY271" s="113"/>
      <c r="AZ271" s="113"/>
      <c r="BA271" s="113"/>
      <c r="BB271" s="113"/>
      <c r="BC271" s="113"/>
      <c r="BD271" s="113"/>
      <c r="BF27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72" spans="1:58" x14ac:dyDescent="0.3">
      <c r="A272" s="422"/>
      <c r="B272" s="376"/>
      <c r="C272" s="110"/>
      <c r="D272" s="110"/>
      <c r="E272" s="340"/>
      <c r="F272" s="330"/>
      <c r="G272" s="113"/>
      <c r="H272" s="332"/>
      <c r="I272" s="113"/>
      <c r="J272" s="332"/>
      <c r="K272" s="110"/>
      <c r="L272" s="110"/>
      <c r="M272" s="110"/>
      <c r="N272" s="110"/>
      <c r="O272" s="111"/>
      <c r="P272" s="424" t="str">
        <f>IF(OR(Table13[[#This Row],[Annual Increase Option]]="No increase",Table13[[#This Row],[Annual Increase Option]]=""),"",_xlfn.XLOOKUP(MONTH(Table13[[#This Row],[Commencement Date]]),Lookups!$I$19:$I$30,Lookups!$J$19:$J$30,0))</f>
        <v/>
      </c>
      <c r="Q272" s="340"/>
      <c r="R272" s="340"/>
      <c r="S272" s="360">
        <f>IF(Table13[[#This Row],[Life Cover Amount]]="",0,Table2[[#This Row],[Life Premium]])</f>
        <v>0</v>
      </c>
      <c r="T272" s="360">
        <f>IF(Table13[[#This Row],[Funeral Cover Amount]]=0,0,Table2[[#This Row],[Funeral Premium]])</f>
        <v>0</v>
      </c>
      <c r="U272" s="360">
        <f>IF(AND(Table13[[#This Row],[Life Cover Amount]]="",Table13[[#This Row],[Funeral Cover Amount]]=""),0,onboarding_calcs!AA272)</f>
        <v>0</v>
      </c>
      <c r="V272" s="111"/>
      <c r="W272" s="111"/>
      <c r="X272" s="333"/>
      <c r="Y272" s="110"/>
      <c r="Z272" s="113"/>
      <c r="AA272" s="425"/>
      <c r="AB272" s="425"/>
      <c r="AC272" s="113"/>
      <c r="AD272" s="110"/>
      <c r="AE272" s="110"/>
      <c r="AF272" s="110"/>
      <c r="AG272" s="110"/>
      <c r="AH272" s="110"/>
      <c r="AI272" s="113"/>
      <c r="AJ272" s="110"/>
      <c r="AK272" s="110"/>
      <c r="AL272" s="110"/>
      <c r="AM272" s="110"/>
      <c r="AN272" s="110"/>
      <c r="AO272" s="113"/>
      <c r="AP272" s="113"/>
      <c r="AQ272" s="113"/>
      <c r="AR272" s="110"/>
      <c r="AS272" s="113"/>
      <c r="AT272" s="113"/>
      <c r="AU272" s="112"/>
      <c r="AV272" s="338"/>
      <c r="AW272" s="110"/>
      <c r="AX272" s="110"/>
      <c r="AY272" s="113"/>
      <c r="AZ272" s="113"/>
      <c r="BA272" s="113"/>
      <c r="BB272" s="113"/>
      <c r="BC272" s="113"/>
      <c r="BD272" s="113"/>
      <c r="BF27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73" spans="1:58" x14ac:dyDescent="0.3">
      <c r="A273" s="422"/>
      <c r="B273" s="376"/>
      <c r="C273" s="110"/>
      <c r="D273" s="110"/>
      <c r="E273" s="340"/>
      <c r="F273" s="330"/>
      <c r="G273" s="113"/>
      <c r="H273" s="332"/>
      <c r="I273" s="113"/>
      <c r="J273" s="332"/>
      <c r="K273" s="110"/>
      <c r="L273" s="110"/>
      <c r="M273" s="110"/>
      <c r="N273" s="110"/>
      <c r="O273" s="111"/>
      <c r="P273" s="424" t="str">
        <f>IF(OR(Table13[[#This Row],[Annual Increase Option]]="No increase",Table13[[#This Row],[Annual Increase Option]]=""),"",_xlfn.XLOOKUP(MONTH(Table13[[#This Row],[Commencement Date]]),Lookups!$I$19:$I$30,Lookups!$J$19:$J$30,0))</f>
        <v/>
      </c>
      <c r="Q273" s="340"/>
      <c r="R273" s="340"/>
      <c r="S273" s="360">
        <f>IF(Table13[[#This Row],[Life Cover Amount]]="",0,Table2[[#This Row],[Life Premium]])</f>
        <v>0</v>
      </c>
      <c r="T273" s="360">
        <f>IF(Table13[[#This Row],[Funeral Cover Amount]]=0,0,Table2[[#This Row],[Funeral Premium]])</f>
        <v>0</v>
      </c>
      <c r="U273" s="360">
        <f>IF(AND(Table13[[#This Row],[Life Cover Amount]]="",Table13[[#This Row],[Funeral Cover Amount]]=""),0,onboarding_calcs!AA273)</f>
        <v>0</v>
      </c>
      <c r="V273" s="111"/>
      <c r="W273" s="111"/>
      <c r="X273" s="333"/>
      <c r="Y273" s="110"/>
      <c r="Z273" s="113"/>
      <c r="AA273" s="425"/>
      <c r="AB273" s="425"/>
      <c r="AC273" s="113"/>
      <c r="AD273" s="110"/>
      <c r="AE273" s="110"/>
      <c r="AF273" s="110"/>
      <c r="AG273" s="110"/>
      <c r="AH273" s="110"/>
      <c r="AI273" s="113"/>
      <c r="AJ273" s="110"/>
      <c r="AK273" s="110"/>
      <c r="AL273" s="110"/>
      <c r="AM273" s="110"/>
      <c r="AN273" s="110"/>
      <c r="AO273" s="113"/>
      <c r="AP273" s="113"/>
      <c r="AQ273" s="113"/>
      <c r="AR273" s="110"/>
      <c r="AS273" s="113"/>
      <c r="AT273" s="113"/>
      <c r="AU273" s="112"/>
      <c r="AV273" s="338"/>
      <c r="AW273" s="110"/>
      <c r="AX273" s="110"/>
      <c r="AY273" s="113"/>
      <c r="AZ273" s="113"/>
      <c r="BA273" s="113"/>
      <c r="BB273" s="113"/>
      <c r="BC273" s="113"/>
      <c r="BD273" s="113"/>
      <c r="BF27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74" spans="1:58" x14ac:dyDescent="0.3">
      <c r="A274" s="422"/>
      <c r="B274" s="376"/>
      <c r="C274" s="110"/>
      <c r="D274" s="110"/>
      <c r="E274" s="340"/>
      <c r="F274" s="330"/>
      <c r="G274" s="113"/>
      <c r="H274" s="332"/>
      <c r="I274" s="113"/>
      <c r="J274" s="332"/>
      <c r="K274" s="110"/>
      <c r="L274" s="110"/>
      <c r="M274" s="110"/>
      <c r="N274" s="110"/>
      <c r="O274" s="111"/>
      <c r="P274" s="424" t="str">
        <f>IF(OR(Table13[[#This Row],[Annual Increase Option]]="No increase",Table13[[#This Row],[Annual Increase Option]]=""),"",_xlfn.XLOOKUP(MONTH(Table13[[#This Row],[Commencement Date]]),Lookups!$I$19:$I$30,Lookups!$J$19:$J$30,0))</f>
        <v/>
      </c>
      <c r="Q274" s="340"/>
      <c r="R274" s="340"/>
      <c r="S274" s="360">
        <f>IF(Table13[[#This Row],[Life Cover Amount]]="",0,Table2[[#This Row],[Life Premium]])</f>
        <v>0</v>
      </c>
      <c r="T274" s="360">
        <f>IF(Table13[[#This Row],[Funeral Cover Amount]]=0,0,Table2[[#This Row],[Funeral Premium]])</f>
        <v>0</v>
      </c>
      <c r="U274" s="360">
        <f>IF(AND(Table13[[#This Row],[Life Cover Amount]]="",Table13[[#This Row],[Funeral Cover Amount]]=""),0,onboarding_calcs!AA274)</f>
        <v>0</v>
      </c>
      <c r="V274" s="111"/>
      <c r="W274" s="111"/>
      <c r="X274" s="333"/>
      <c r="Y274" s="110"/>
      <c r="Z274" s="113"/>
      <c r="AA274" s="425"/>
      <c r="AB274" s="425"/>
      <c r="AC274" s="113"/>
      <c r="AD274" s="110"/>
      <c r="AE274" s="110"/>
      <c r="AF274" s="110"/>
      <c r="AG274" s="110"/>
      <c r="AH274" s="110"/>
      <c r="AI274" s="113"/>
      <c r="AJ274" s="110"/>
      <c r="AK274" s="110"/>
      <c r="AL274" s="110"/>
      <c r="AM274" s="110"/>
      <c r="AN274" s="110"/>
      <c r="AO274" s="113"/>
      <c r="AP274" s="113"/>
      <c r="AQ274" s="113"/>
      <c r="AR274" s="110"/>
      <c r="AS274" s="113"/>
      <c r="AT274" s="113"/>
      <c r="AU274" s="112"/>
      <c r="AV274" s="338"/>
      <c r="AW274" s="110"/>
      <c r="AX274" s="110"/>
      <c r="AY274" s="113"/>
      <c r="AZ274" s="113"/>
      <c r="BA274" s="113"/>
      <c r="BB274" s="113"/>
      <c r="BC274" s="113"/>
      <c r="BD274" s="113"/>
      <c r="BF27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75" spans="1:58" x14ac:dyDescent="0.3">
      <c r="A275" s="422"/>
      <c r="B275" s="376"/>
      <c r="C275" s="110"/>
      <c r="D275" s="110"/>
      <c r="E275" s="340"/>
      <c r="F275" s="330"/>
      <c r="G275" s="113"/>
      <c r="H275" s="332"/>
      <c r="I275" s="113"/>
      <c r="J275" s="332"/>
      <c r="K275" s="110"/>
      <c r="L275" s="110"/>
      <c r="M275" s="110"/>
      <c r="N275" s="110"/>
      <c r="O275" s="111"/>
      <c r="P275" s="424" t="str">
        <f>IF(OR(Table13[[#This Row],[Annual Increase Option]]="No increase",Table13[[#This Row],[Annual Increase Option]]=""),"",_xlfn.XLOOKUP(MONTH(Table13[[#This Row],[Commencement Date]]),Lookups!$I$19:$I$30,Lookups!$J$19:$J$30,0))</f>
        <v/>
      </c>
      <c r="Q275" s="340"/>
      <c r="R275" s="340"/>
      <c r="S275" s="360">
        <f>IF(Table13[[#This Row],[Life Cover Amount]]="",0,Table2[[#This Row],[Life Premium]])</f>
        <v>0</v>
      </c>
      <c r="T275" s="360">
        <f>IF(Table13[[#This Row],[Funeral Cover Amount]]=0,0,Table2[[#This Row],[Funeral Premium]])</f>
        <v>0</v>
      </c>
      <c r="U275" s="360">
        <f>IF(AND(Table13[[#This Row],[Life Cover Amount]]="",Table13[[#This Row],[Funeral Cover Amount]]=""),0,onboarding_calcs!AA275)</f>
        <v>0</v>
      </c>
      <c r="V275" s="111"/>
      <c r="W275" s="111"/>
      <c r="X275" s="333"/>
      <c r="Y275" s="110"/>
      <c r="Z275" s="113"/>
      <c r="AA275" s="425"/>
      <c r="AB275" s="425"/>
      <c r="AC275" s="113"/>
      <c r="AD275" s="110"/>
      <c r="AE275" s="110"/>
      <c r="AF275" s="110"/>
      <c r="AG275" s="110"/>
      <c r="AH275" s="110"/>
      <c r="AI275" s="113"/>
      <c r="AJ275" s="110"/>
      <c r="AK275" s="110"/>
      <c r="AL275" s="110"/>
      <c r="AM275" s="110"/>
      <c r="AN275" s="110"/>
      <c r="AO275" s="113"/>
      <c r="AP275" s="113"/>
      <c r="AQ275" s="113"/>
      <c r="AR275" s="110"/>
      <c r="AS275" s="113"/>
      <c r="AT275" s="113"/>
      <c r="AU275" s="112"/>
      <c r="AV275" s="338"/>
      <c r="AW275" s="110"/>
      <c r="AX275" s="110"/>
      <c r="AY275" s="113"/>
      <c r="AZ275" s="113"/>
      <c r="BA275" s="113"/>
      <c r="BB275" s="113"/>
      <c r="BC275" s="113"/>
      <c r="BD275" s="113"/>
      <c r="BF27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76" spans="1:58" x14ac:dyDescent="0.3">
      <c r="A276" s="422"/>
      <c r="B276" s="376"/>
      <c r="C276" s="110"/>
      <c r="D276" s="110"/>
      <c r="E276" s="340"/>
      <c r="F276" s="330"/>
      <c r="G276" s="113"/>
      <c r="H276" s="332"/>
      <c r="I276" s="113"/>
      <c r="J276" s="332"/>
      <c r="K276" s="110"/>
      <c r="L276" s="110"/>
      <c r="M276" s="110"/>
      <c r="N276" s="110"/>
      <c r="O276" s="111"/>
      <c r="P276" s="424" t="str">
        <f>IF(OR(Table13[[#This Row],[Annual Increase Option]]="No increase",Table13[[#This Row],[Annual Increase Option]]=""),"",_xlfn.XLOOKUP(MONTH(Table13[[#This Row],[Commencement Date]]),Lookups!$I$19:$I$30,Lookups!$J$19:$J$30,0))</f>
        <v/>
      </c>
      <c r="Q276" s="340"/>
      <c r="R276" s="340"/>
      <c r="S276" s="360">
        <f>IF(Table13[[#This Row],[Life Cover Amount]]="",0,Table2[[#This Row],[Life Premium]])</f>
        <v>0</v>
      </c>
      <c r="T276" s="360">
        <f>IF(Table13[[#This Row],[Funeral Cover Amount]]=0,0,Table2[[#This Row],[Funeral Premium]])</f>
        <v>0</v>
      </c>
      <c r="U276" s="360">
        <f>IF(AND(Table13[[#This Row],[Life Cover Amount]]="",Table13[[#This Row],[Funeral Cover Amount]]=""),0,onboarding_calcs!AA276)</f>
        <v>0</v>
      </c>
      <c r="V276" s="111"/>
      <c r="W276" s="111"/>
      <c r="X276" s="333"/>
      <c r="Y276" s="110"/>
      <c r="Z276" s="113"/>
      <c r="AA276" s="425"/>
      <c r="AB276" s="425"/>
      <c r="AC276" s="113"/>
      <c r="AD276" s="110"/>
      <c r="AE276" s="110"/>
      <c r="AF276" s="110"/>
      <c r="AG276" s="110"/>
      <c r="AH276" s="110"/>
      <c r="AI276" s="113"/>
      <c r="AJ276" s="110"/>
      <c r="AK276" s="110"/>
      <c r="AL276" s="110"/>
      <c r="AM276" s="110"/>
      <c r="AN276" s="110"/>
      <c r="AO276" s="113"/>
      <c r="AP276" s="113"/>
      <c r="AQ276" s="113"/>
      <c r="AR276" s="110"/>
      <c r="AS276" s="113"/>
      <c r="AT276" s="113"/>
      <c r="AU276" s="112"/>
      <c r="AV276" s="338"/>
      <c r="AW276" s="110"/>
      <c r="AX276" s="110"/>
      <c r="AY276" s="113"/>
      <c r="AZ276" s="113"/>
      <c r="BA276" s="113"/>
      <c r="BB276" s="113"/>
      <c r="BC276" s="113"/>
      <c r="BD276" s="113"/>
      <c r="BF27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77" spans="1:58" x14ac:dyDescent="0.3">
      <c r="A277" s="422"/>
      <c r="B277" s="376"/>
      <c r="C277" s="110"/>
      <c r="D277" s="110"/>
      <c r="E277" s="340"/>
      <c r="F277" s="330"/>
      <c r="G277" s="113"/>
      <c r="H277" s="332"/>
      <c r="I277" s="113"/>
      <c r="J277" s="332"/>
      <c r="K277" s="110"/>
      <c r="L277" s="110"/>
      <c r="M277" s="110"/>
      <c r="N277" s="110"/>
      <c r="O277" s="111"/>
      <c r="P277" s="424" t="str">
        <f>IF(OR(Table13[[#This Row],[Annual Increase Option]]="No increase",Table13[[#This Row],[Annual Increase Option]]=""),"",_xlfn.XLOOKUP(MONTH(Table13[[#This Row],[Commencement Date]]),Lookups!$I$19:$I$30,Lookups!$J$19:$J$30,0))</f>
        <v/>
      </c>
      <c r="Q277" s="340"/>
      <c r="R277" s="340"/>
      <c r="S277" s="360">
        <f>IF(Table13[[#This Row],[Life Cover Amount]]="",0,Table2[[#This Row],[Life Premium]])</f>
        <v>0</v>
      </c>
      <c r="T277" s="360">
        <f>IF(Table13[[#This Row],[Funeral Cover Amount]]=0,0,Table2[[#This Row],[Funeral Premium]])</f>
        <v>0</v>
      </c>
      <c r="U277" s="360">
        <f>IF(AND(Table13[[#This Row],[Life Cover Amount]]="",Table13[[#This Row],[Funeral Cover Amount]]=""),0,onboarding_calcs!AA277)</f>
        <v>0</v>
      </c>
      <c r="V277" s="111"/>
      <c r="W277" s="111"/>
      <c r="X277" s="333"/>
      <c r="Y277" s="110"/>
      <c r="Z277" s="113"/>
      <c r="AA277" s="425"/>
      <c r="AB277" s="425"/>
      <c r="AC277" s="113"/>
      <c r="AD277" s="110"/>
      <c r="AE277" s="110"/>
      <c r="AF277" s="110"/>
      <c r="AG277" s="110"/>
      <c r="AH277" s="110"/>
      <c r="AI277" s="113"/>
      <c r="AJ277" s="110"/>
      <c r="AK277" s="110"/>
      <c r="AL277" s="110"/>
      <c r="AM277" s="110"/>
      <c r="AN277" s="110"/>
      <c r="AO277" s="113"/>
      <c r="AP277" s="113"/>
      <c r="AQ277" s="113"/>
      <c r="AR277" s="110"/>
      <c r="AS277" s="113"/>
      <c r="AT277" s="113"/>
      <c r="AU277" s="112"/>
      <c r="AV277" s="338"/>
      <c r="AW277" s="110"/>
      <c r="AX277" s="110"/>
      <c r="AY277" s="113"/>
      <c r="AZ277" s="113"/>
      <c r="BA277" s="113"/>
      <c r="BB277" s="113"/>
      <c r="BC277" s="113"/>
      <c r="BD277" s="113"/>
      <c r="BF27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78" spans="1:58" x14ac:dyDescent="0.3">
      <c r="A278" s="422"/>
      <c r="B278" s="376"/>
      <c r="C278" s="110"/>
      <c r="D278" s="110"/>
      <c r="E278" s="340"/>
      <c r="F278" s="330"/>
      <c r="G278" s="113"/>
      <c r="H278" s="332"/>
      <c r="I278" s="113"/>
      <c r="J278" s="332"/>
      <c r="K278" s="110"/>
      <c r="L278" s="110"/>
      <c r="M278" s="110"/>
      <c r="N278" s="110"/>
      <c r="O278" s="111"/>
      <c r="P278" s="424" t="str">
        <f>IF(OR(Table13[[#This Row],[Annual Increase Option]]="No increase",Table13[[#This Row],[Annual Increase Option]]=""),"",_xlfn.XLOOKUP(MONTH(Table13[[#This Row],[Commencement Date]]),Lookups!$I$19:$I$30,Lookups!$J$19:$J$30,0))</f>
        <v/>
      </c>
      <c r="Q278" s="340"/>
      <c r="R278" s="340"/>
      <c r="S278" s="360">
        <f>IF(Table13[[#This Row],[Life Cover Amount]]="",0,Table2[[#This Row],[Life Premium]])</f>
        <v>0</v>
      </c>
      <c r="T278" s="360">
        <f>IF(Table13[[#This Row],[Funeral Cover Amount]]=0,0,Table2[[#This Row],[Funeral Premium]])</f>
        <v>0</v>
      </c>
      <c r="U278" s="360">
        <f>IF(AND(Table13[[#This Row],[Life Cover Amount]]="",Table13[[#This Row],[Funeral Cover Amount]]=""),0,onboarding_calcs!AA278)</f>
        <v>0</v>
      </c>
      <c r="V278" s="111"/>
      <c r="W278" s="111"/>
      <c r="X278" s="333"/>
      <c r="Y278" s="110"/>
      <c r="Z278" s="113"/>
      <c r="AA278" s="425"/>
      <c r="AB278" s="425"/>
      <c r="AC278" s="113"/>
      <c r="AD278" s="110"/>
      <c r="AE278" s="110"/>
      <c r="AF278" s="110"/>
      <c r="AG278" s="110"/>
      <c r="AH278" s="110"/>
      <c r="AI278" s="113"/>
      <c r="AJ278" s="110"/>
      <c r="AK278" s="110"/>
      <c r="AL278" s="110"/>
      <c r="AM278" s="110"/>
      <c r="AN278" s="110"/>
      <c r="AO278" s="113"/>
      <c r="AP278" s="113"/>
      <c r="AQ278" s="113"/>
      <c r="AR278" s="110"/>
      <c r="AS278" s="113"/>
      <c r="AT278" s="113"/>
      <c r="AU278" s="112"/>
      <c r="AV278" s="338"/>
      <c r="AW278" s="110"/>
      <c r="AX278" s="110"/>
      <c r="AY278" s="113"/>
      <c r="AZ278" s="113"/>
      <c r="BA278" s="113"/>
      <c r="BB278" s="113"/>
      <c r="BC278" s="113"/>
      <c r="BD278" s="113"/>
      <c r="BF27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79" spans="1:58" x14ac:dyDescent="0.3">
      <c r="A279" s="422"/>
      <c r="B279" s="376"/>
      <c r="C279" s="110"/>
      <c r="D279" s="110"/>
      <c r="E279" s="340"/>
      <c r="F279" s="330"/>
      <c r="G279" s="113"/>
      <c r="H279" s="332"/>
      <c r="I279" s="113"/>
      <c r="J279" s="332"/>
      <c r="K279" s="110"/>
      <c r="L279" s="110"/>
      <c r="M279" s="110"/>
      <c r="N279" s="110"/>
      <c r="O279" s="111"/>
      <c r="P279" s="424" t="str">
        <f>IF(OR(Table13[[#This Row],[Annual Increase Option]]="No increase",Table13[[#This Row],[Annual Increase Option]]=""),"",_xlfn.XLOOKUP(MONTH(Table13[[#This Row],[Commencement Date]]),Lookups!$I$19:$I$30,Lookups!$J$19:$J$30,0))</f>
        <v/>
      </c>
      <c r="Q279" s="340"/>
      <c r="R279" s="340"/>
      <c r="S279" s="360">
        <f>IF(Table13[[#This Row],[Life Cover Amount]]="",0,Table2[[#This Row],[Life Premium]])</f>
        <v>0</v>
      </c>
      <c r="T279" s="360">
        <f>IF(Table13[[#This Row],[Funeral Cover Amount]]=0,0,Table2[[#This Row],[Funeral Premium]])</f>
        <v>0</v>
      </c>
      <c r="U279" s="360">
        <f>IF(AND(Table13[[#This Row],[Life Cover Amount]]="",Table13[[#This Row],[Funeral Cover Amount]]=""),0,onboarding_calcs!AA279)</f>
        <v>0</v>
      </c>
      <c r="V279" s="111"/>
      <c r="W279" s="111"/>
      <c r="X279" s="333"/>
      <c r="Y279" s="110"/>
      <c r="Z279" s="113"/>
      <c r="AA279" s="425"/>
      <c r="AB279" s="425"/>
      <c r="AC279" s="113"/>
      <c r="AD279" s="110"/>
      <c r="AE279" s="110"/>
      <c r="AF279" s="110"/>
      <c r="AG279" s="110"/>
      <c r="AH279" s="110"/>
      <c r="AI279" s="113"/>
      <c r="AJ279" s="110"/>
      <c r="AK279" s="110"/>
      <c r="AL279" s="110"/>
      <c r="AM279" s="110"/>
      <c r="AN279" s="110"/>
      <c r="AO279" s="113"/>
      <c r="AP279" s="113"/>
      <c r="AQ279" s="113"/>
      <c r="AR279" s="110"/>
      <c r="AS279" s="113"/>
      <c r="AT279" s="113"/>
      <c r="AU279" s="112"/>
      <c r="AV279" s="338"/>
      <c r="AW279" s="110"/>
      <c r="AX279" s="110"/>
      <c r="AY279" s="113"/>
      <c r="AZ279" s="113"/>
      <c r="BA279" s="113"/>
      <c r="BB279" s="113"/>
      <c r="BC279" s="113"/>
      <c r="BD279" s="113"/>
      <c r="BF27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80" spans="1:58" x14ac:dyDescent="0.3">
      <c r="A280" s="422"/>
      <c r="B280" s="376"/>
      <c r="C280" s="110"/>
      <c r="D280" s="110"/>
      <c r="E280" s="340"/>
      <c r="F280" s="330"/>
      <c r="G280" s="113"/>
      <c r="H280" s="332"/>
      <c r="I280" s="113"/>
      <c r="J280" s="332"/>
      <c r="K280" s="110"/>
      <c r="L280" s="110"/>
      <c r="M280" s="110"/>
      <c r="N280" s="110"/>
      <c r="O280" s="111"/>
      <c r="P280" s="424" t="str">
        <f>IF(OR(Table13[[#This Row],[Annual Increase Option]]="No increase",Table13[[#This Row],[Annual Increase Option]]=""),"",_xlfn.XLOOKUP(MONTH(Table13[[#This Row],[Commencement Date]]),Lookups!$I$19:$I$30,Lookups!$J$19:$J$30,0))</f>
        <v/>
      </c>
      <c r="Q280" s="340"/>
      <c r="R280" s="340"/>
      <c r="S280" s="360">
        <f>IF(Table13[[#This Row],[Life Cover Amount]]="",0,Table2[[#This Row],[Life Premium]])</f>
        <v>0</v>
      </c>
      <c r="T280" s="360">
        <f>IF(Table13[[#This Row],[Funeral Cover Amount]]=0,0,Table2[[#This Row],[Funeral Premium]])</f>
        <v>0</v>
      </c>
      <c r="U280" s="360">
        <f>IF(AND(Table13[[#This Row],[Life Cover Amount]]="",Table13[[#This Row],[Funeral Cover Amount]]=""),0,onboarding_calcs!AA280)</f>
        <v>0</v>
      </c>
      <c r="V280" s="111"/>
      <c r="W280" s="111"/>
      <c r="X280" s="333"/>
      <c r="Y280" s="110"/>
      <c r="Z280" s="113"/>
      <c r="AA280" s="425"/>
      <c r="AB280" s="425"/>
      <c r="AC280" s="113"/>
      <c r="AD280" s="110"/>
      <c r="AE280" s="110"/>
      <c r="AF280" s="110"/>
      <c r="AG280" s="110"/>
      <c r="AH280" s="110"/>
      <c r="AI280" s="113"/>
      <c r="AJ280" s="110"/>
      <c r="AK280" s="110"/>
      <c r="AL280" s="110"/>
      <c r="AM280" s="110"/>
      <c r="AN280" s="110"/>
      <c r="AO280" s="113"/>
      <c r="AP280" s="113"/>
      <c r="AQ280" s="113"/>
      <c r="AR280" s="110"/>
      <c r="AS280" s="113"/>
      <c r="AT280" s="113"/>
      <c r="AU280" s="112"/>
      <c r="AV280" s="338"/>
      <c r="AW280" s="110"/>
      <c r="AX280" s="110"/>
      <c r="AY280" s="113"/>
      <c r="AZ280" s="113"/>
      <c r="BA280" s="113"/>
      <c r="BB280" s="113"/>
      <c r="BC280" s="113"/>
      <c r="BD280" s="113"/>
      <c r="BF28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81" spans="1:58" x14ac:dyDescent="0.3">
      <c r="A281" s="422"/>
      <c r="B281" s="376"/>
      <c r="C281" s="110"/>
      <c r="D281" s="110"/>
      <c r="E281" s="340"/>
      <c r="F281" s="330"/>
      <c r="G281" s="113"/>
      <c r="H281" s="332"/>
      <c r="I281" s="113"/>
      <c r="J281" s="332"/>
      <c r="K281" s="110"/>
      <c r="L281" s="110"/>
      <c r="M281" s="110"/>
      <c r="N281" s="110"/>
      <c r="O281" s="111"/>
      <c r="P281" s="424" t="str">
        <f>IF(OR(Table13[[#This Row],[Annual Increase Option]]="No increase",Table13[[#This Row],[Annual Increase Option]]=""),"",_xlfn.XLOOKUP(MONTH(Table13[[#This Row],[Commencement Date]]),Lookups!$I$19:$I$30,Lookups!$J$19:$J$30,0))</f>
        <v/>
      </c>
      <c r="Q281" s="340"/>
      <c r="R281" s="340"/>
      <c r="S281" s="360">
        <f>IF(Table13[[#This Row],[Life Cover Amount]]="",0,Table2[[#This Row],[Life Premium]])</f>
        <v>0</v>
      </c>
      <c r="T281" s="360">
        <f>IF(Table13[[#This Row],[Funeral Cover Amount]]=0,0,Table2[[#This Row],[Funeral Premium]])</f>
        <v>0</v>
      </c>
      <c r="U281" s="360">
        <f>IF(AND(Table13[[#This Row],[Life Cover Amount]]="",Table13[[#This Row],[Funeral Cover Amount]]=""),0,onboarding_calcs!AA281)</f>
        <v>0</v>
      </c>
      <c r="V281" s="111"/>
      <c r="W281" s="111"/>
      <c r="X281" s="333"/>
      <c r="Y281" s="110"/>
      <c r="Z281" s="113"/>
      <c r="AA281" s="425"/>
      <c r="AB281" s="425"/>
      <c r="AC281" s="113"/>
      <c r="AD281" s="110"/>
      <c r="AE281" s="110"/>
      <c r="AF281" s="110"/>
      <c r="AG281" s="110"/>
      <c r="AH281" s="110"/>
      <c r="AI281" s="113"/>
      <c r="AJ281" s="110"/>
      <c r="AK281" s="110"/>
      <c r="AL281" s="110"/>
      <c r="AM281" s="110"/>
      <c r="AN281" s="110"/>
      <c r="AO281" s="113"/>
      <c r="AP281" s="113"/>
      <c r="AQ281" s="113"/>
      <c r="AR281" s="110"/>
      <c r="AS281" s="113"/>
      <c r="AT281" s="113"/>
      <c r="AU281" s="112"/>
      <c r="AV281" s="338"/>
      <c r="AW281" s="110"/>
      <c r="AX281" s="110"/>
      <c r="AY281" s="113"/>
      <c r="AZ281" s="113"/>
      <c r="BA281" s="113"/>
      <c r="BB281" s="113"/>
      <c r="BC281" s="113"/>
      <c r="BD281" s="113"/>
      <c r="BF28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82" spans="1:58" x14ac:dyDescent="0.3">
      <c r="A282" s="422"/>
      <c r="B282" s="376"/>
      <c r="C282" s="110"/>
      <c r="D282" s="110"/>
      <c r="E282" s="340"/>
      <c r="F282" s="330"/>
      <c r="G282" s="113"/>
      <c r="H282" s="332"/>
      <c r="I282" s="113"/>
      <c r="J282" s="332"/>
      <c r="K282" s="110"/>
      <c r="L282" s="110"/>
      <c r="M282" s="110"/>
      <c r="N282" s="110"/>
      <c r="O282" s="111"/>
      <c r="P282" s="424" t="str">
        <f>IF(OR(Table13[[#This Row],[Annual Increase Option]]="No increase",Table13[[#This Row],[Annual Increase Option]]=""),"",_xlfn.XLOOKUP(MONTH(Table13[[#This Row],[Commencement Date]]),Lookups!$I$19:$I$30,Lookups!$J$19:$J$30,0))</f>
        <v/>
      </c>
      <c r="Q282" s="340"/>
      <c r="R282" s="340"/>
      <c r="S282" s="360">
        <f>IF(Table13[[#This Row],[Life Cover Amount]]="",0,Table2[[#This Row],[Life Premium]])</f>
        <v>0</v>
      </c>
      <c r="T282" s="360">
        <f>IF(Table13[[#This Row],[Funeral Cover Amount]]=0,0,Table2[[#This Row],[Funeral Premium]])</f>
        <v>0</v>
      </c>
      <c r="U282" s="360">
        <f>IF(AND(Table13[[#This Row],[Life Cover Amount]]="",Table13[[#This Row],[Funeral Cover Amount]]=""),0,onboarding_calcs!AA282)</f>
        <v>0</v>
      </c>
      <c r="V282" s="111"/>
      <c r="W282" s="111"/>
      <c r="X282" s="333"/>
      <c r="Y282" s="110"/>
      <c r="Z282" s="113"/>
      <c r="AA282" s="425"/>
      <c r="AB282" s="425"/>
      <c r="AC282" s="113"/>
      <c r="AD282" s="110"/>
      <c r="AE282" s="110"/>
      <c r="AF282" s="110"/>
      <c r="AG282" s="110"/>
      <c r="AH282" s="110"/>
      <c r="AI282" s="113"/>
      <c r="AJ282" s="110"/>
      <c r="AK282" s="110"/>
      <c r="AL282" s="110"/>
      <c r="AM282" s="110"/>
      <c r="AN282" s="110"/>
      <c r="AO282" s="113"/>
      <c r="AP282" s="113"/>
      <c r="AQ282" s="113"/>
      <c r="AR282" s="110"/>
      <c r="AS282" s="113"/>
      <c r="AT282" s="113"/>
      <c r="AU282" s="112"/>
      <c r="AV282" s="338"/>
      <c r="AW282" s="110"/>
      <c r="AX282" s="110"/>
      <c r="AY282" s="113"/>
      <c r="AZ282" s="113"/>
      <c r="BA282" s="113"/>
      <c r="BB282" s="113"/>
      <c r="BC282" s="113"/>
      <c r="BD282" s="113"/>
      <c r="BF28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83" spans="1:58" x14ac:dyDescent="0.3">
      <c r="A283" s="422"/>
      <c r="B283" s="376"/>
      <c r="C283" s="110"/>
      <c r="D283" s="110"/>
      <c r="E283" s="340"/>
      <c r="F283" s="330"/>
      <c r="G283" s="113"/>
      <c r="H283" s="332"/>
      <c r="I283" s="113"/>
      <c r="J283" s="332"/>
      <c r="K283" s="110"/>
      <c r="L283" s="110"/>
      <c r="M283" s="110"/>
      <c r="N283" s="110"/>
      <c r="O283" s="111"/>
      <c r="P283" s="424" t="str">
        <f>IF(OR(Table13[[#This Row],[Annual Increase Option]]="No increase",Table13[[#This Row],[Annual Increase Option]]=""),"",_xlfn.XLOOKUP(MONTH(Table13[[#This Row],[Commencement Date]]),Lookups!$I$19:$I$30,Lookups!$J$19:$J$30,0))</f>
        <v/>
      </c>
      <c r="Q283" s="340"/>
      <c r="R283" s="340"/>
      <c r="S283" s="360">
        <f>IF(Table13[[#This Row],[Life Cover Amount]]="",0,Table2[[#This Row],[Life Premium]])</f>
        <v>0</v>
      </c>
      <c r="T283" s="360">
        <f>IF(Table13[[#This Row],[Funeral Cover Amount]]=0,0,Table2[[#This Row],[Funeral Premium]])</f>
        <v>0</v>
      </c>
      <c r="U283" s="360">
        <f>IF(AND(Table13[[#This Row],[Life Cover Amount]]="",Table13[[#This Row],[Funeral Cover Amount]]=""),0,onboarding_calcs!AA283)</f>
        <v>0</v>
      </c>
      <c r="V283" s="111"/>
      <c r="W283" s="111"/>
      <c r="X283" s="333"/>
      <c r="Y283" s="110"/>
      <c r="Z283" s="113"/>
      <c r="AA283" s="425"/>
      <c r="AB283" s="425"/>
      <c r="AC283" s="113"/>
      <c r="AD283" s="110"/>
      <c r="AE283" s="110"/>
      <c r="AF283" s="110"/>
      <c r="AG283" s="110"/>
      <c r="AH283" s="110"/>
      <c r="AI283" s="113"/>
      <c r="AJ283" s="110"/>
      <c r="AK283" s="110"/>
      <c r="AL283" s="110"/>
      <c r="AM283" s="110"/>
      <c r="AN283" s="110"/>
      <c r="AO283" s="113"/>
      <c r="AP283" s="113"/>
      <c r="AQ283" s="113"/>
      <c r="AR283" s="110"/>
      <c r="AS283" s="113"/>
      <c r="AT283" s="113"/>
      <c r="AU283" s="112"/>
      <c r="AV283" s="338"/>
      <c r="AW283" s="110"/>
      <c r="AX283" s="110"/>
      <c r="AY283" s="113"/>
      <c r="AZ283" s="113"/>
      <c r="BA283" s="113"/>
      <c r="BB283" s="113"/>
      <c r="BC283" s="113"/>
      <c r="BD283" s="113"/>
      <c r="BF28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84" spans="1:58" x14ac:dyDescent="0.3">
      <c r="A284" s="422"/>
      <c r="B284" s="376"/>
      <c r="C284" s="110"/>
      <c r="D284" s="110"/>
      <c r="E284" s="340"/>
      <c r="F284" s="330"/>
      <c r="G284" s="113"/>
      <c r="H284" s="332"/>
      <c r="I284" s="113"/>
      <c r="J284" s="332"/>
      <c r="K284" s="110"/>
      <c r="L284" s="110"/>
      <c r="M284" s="110"/>
      <c r="N284" s="110"/>
      <c r="O284" s="111"/>
      <c r="P284" s="424" t="str">
        <f>IF(OR(Table13[[#This Row],[Annual Increase Option]]="No increase",Table13[[#This Row],[Annual Increase Option]]=""),"",_xlfn.XLOOKUP(MONTH(Table13[[#This Row],[Commencement Date]]),Lookups!$I$19:$I$30,Lookups!$J$19:$J$30,0))</f>
        <v/>
      </c>
      <c r="Q284" s="340"/>
      <c r="R284" s="340"/>
      <c r="S284" s="360">
        <f>IF(Table13[[#This Row],[Life Cover Amount]]="",0,Table2[[#This Row],[Life Premium]])</f>
        <v>0</v>
      </c>
      <c r="T284" s="360">
        <f>IF(Table13[[#This Row],[Funeral Cover Amount]]=0,0,Table2[[#This Row],[Funeral Premium]])</f>
        <v>0</v>
      </c>
      <c r="U284" s="360">
        <f>IF(AND(Table13[[#This Row],[Life Cover Amount]]="",Table13[[#This Row],[Funeral Cover Amount]]=""),0,onboarding_calcs!AA284)</f>
        <v>0</v>
      </c>
      <c r="V284" s="111"/>
      <c r="W284" s="111"/>
      <c r="X284" s="333"/>
      <c r="Y284" s="110"/>
      <c r="Z284" s="113"/>
      <c r="AA284" s="425"/>
      <c r="AB284" s="425"/>
      <c r="AC284" s="113"/>
      <c r="AD284" s="110"/>
      <c r="AE284" s="110"/>
      <c r="AF284" s="110"/>
      <c r="AG284" s="110"/>
      <c r="AH284" s="110"/>
      <c r="AI284" s="113"/>
      <c r="AJ284" s="110"/>
      <c r="AK284" s="110"/>
      <c r="AL284" s="110"/>
      <c r="AM284" s="110"/>
      <c r="AN284" s="110"/>
      <c r="AO284" s="113"/>
      <c r="AP284" s="113"/>
      <c r="AQ284" s="113"/>
      <c r="AR284" s="110"/>
      <c r="AS284" s="113"/>
      <c r="AT284" s="113"/>
      <c r="AU284" s="112"/>
      <c r="AV284" s="338"/>
      <c r="AW284" s="110"/>
      <c r="AX284" s="110"/>
      <c r="AY284" s="113"/>
      <c r="AZ284" s="113"/>
      <c r="BA284" s="113"/>
      <c r="BB284" s="113"/>
      <c r="BC284" s="113"/>
      <c r="BD284" s="113"/>
      <c r="BF28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85" spans="1:58" x14ac:dyDescent="0.3">
      <c r="A285" s="422"/>
      <c r="B285" s="376"/>
      <c r="C285" s="110"/>
      <c r="D285" s="110"/>
      <c r="E285" s="340"/>
      <c r="F285" s="330"/>
      <c r="G285" s="113"/>
      <c r="H285" s="332"/>
      <c r="I285" s="113"/>
      <c r="J285" s="332"/>
      <c r="K285" s="110"/>
      <c r="L285" s="110"/>
      <c r="M285" s="110"/>
      <c r="N285" s="110"/>
      <c r="O285" s="111"/>
      <c r="P285" s="424" t="str">
        <f>IF(OR(Table13[[#This Row],[Annual Increase Option]]="No increase",Table13[[#This Row],[Annual Increase Option]]=""),"",_xlfn.XLOOKUP(MONTH(Table13[[#This Row],[Commencement Date]]),Lookups!$I$19:$I$30,Lookups!$J$19:$J$30,0))</f>
        <v/>
      </c>
      <c r="Q285" s="340"/>
      <c r="R285" s="340"/>
      <c r="S285" s="360">
        <f>IF(Table13[[#This Row],[Life Cover Amount]]="",0,Table2[[#This Row],[Life Premium]])</f>
        <v>0</v>
      </c>
      <c r="T285" s="360">
        <f>IF(Table13[[#This Row],[Funeral Cover Amount]]=0,0,Table2[[#This Row],[Funeral Premium]])</f>
        <v>0</v>
      </c>
      <c r="U285" s="360">
        <f>IF(AND(Table13[[#This Row],[Life Cover Amount]]="",Table13[[#This Row],[Funeral Cover Amount]]=""),0,onboarding_calcs!AA285)</f>
        <v>0</v>
      </c>
      <c r="V285" s="111"/>
      <c r="W285" s="111"/>
      <c r="X285" s="333"/>
      <c r="Y285" s="110"/>
      <c r="Z285" s="113"/>
      <c r="AA285" s="425"/>
      <c r="AB285" s="425"/>
      <c r="AC285" s="113"/>
      <c r="AD285" s="110"/>
      <c r="AE285" s="110"/>
      <c r="AF285" s="110"/>
      <c r="AG285" s="110"/>
      <c r="AH285" s="110"/>
      <c r="AI285" s="113"/>
      <c r="AJ285" s="110"/>
      <c r="AK285" s="110"/>
      <c r="AL285" s="110"/>
      <c r="AM285" s="110"/>
      <c r="AN285" s="110"/>
      <c r="AO285" s="113"/>
      <c r="AP285" s="113"/>
      <c r="AQ285" s="113"/>
      <c r="AR285" s="110"/>
      <c r="AS285" s="113"/>
      <c r="AT285" s="113"/>
      <c r="AU285" s="112"/>
      <c r="AV285" s="338"/>
      <c r="AW285" s="110"/>
      <c r="AX285" s="110"/>
      <c r="AY285" s="113"/>
      <c r="AZ285" s="113"/>
      <c r="BA285" s="113"/>
      <c r="BB285" s="113"/>
      <c r="BC285" s="113"/>
      <c r="BD285" s="113"/>
      <c r="BF28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86" spans="1:58" x14ac:dyDescent="0.3">
      <c r="A286" s="422"/>
      <c r="B286" s="376"/>
      <c r="C286" s="110"/>
      <c r="D286" s="110"/>
      <c r="E286" s="340"/>
      <c r="F286" s="330"/>
      <c r="G286" s="113"/>
      <c r="H286" s="332"/>
      <c r="I286" s="113"/>
      <c r="J286" s="332"/>
      <c r="K286" s="110"/>
      <c r="L286" s="110"/>
      <c r="M286" s="110"/>
      <c r="N286" s="110"/>
      <c r="O286" s="111"/>
      <c r="P286" s="424" t="str">
        <f>IF(OR(Table13[[#This Row],[Annual Increase Option]]="No increase",Table13[[#This Row],[Annual Increase Option]]=""),"",_xlfn.XLOOKUP(MONTH(Table13[[#This Row],[Commencement Date]]),Lookups!$I$19:$I$30,Lookups!$J$19:$J$30,0))</f>
        <v/>
      </c>
      <c r="Q286" s="340"/>
      <c r="R286" s="340"/>
      <c r="S286" s="360">
        <f>IF(Table13[[#This Row],[Life Cover Amount]]="",0,Table2[[#This Row],[Life Premium]])</f>
        <v>0</v>
      </c>
      <c r="T286" s="360">
        <f>IF(Table13[[#This Row],[Funeral Cover Amount]]=0,0,Table2[[#This Row],[Funeral Premium]])</f>
        <v>0</v>
      </c>
      <c r="U286" s="360">
        <f>IF(AND(Table13[[#This Row],[Life Cover Amount]]="",Table13[[#This Row],[Funeral Cover Amount]]=""),0,onboarding_calcs!AA286)</f>
        <v>0</v>
      </c>
      <c r="V286" s="111"/>
      <c r="W286" s="111"/>
      <c r="X286" s="333"/>
      <c r="Y286" s="110"/>
      <c r="Z286" s="113"/>
      <c r="AA286" s="425"/>
      <c r="AB286" s="425"/>
      <c r="AC286" s="113"/>
      <c r="AD286" s="110"/>
      <c r="AE286" s="110"/>
      <c r="AF286" s="110"/>
      <c r="AG286" s="110"/>
      <c r="AH286" s="110"/>
      <c r="AI286" s="113"/>
      <c r="AJ286" s="110"/>
      <c r="AK286" s="110"/>
      <c r="AL286" s="110"/>
      <c r="AM286" s="110"/>
      <c r="AN286" s="110"/>
      <c r="AO286" s="113"/>
      <c r="AP286" s="113"/>
      <c r="AQ286" s="113"/>
      <c r="AR286" s="110"/>
      <c r="AS286" s="113"/>
      <c r="AT286" s="113"/>
      <c r="AU286" s="112"/>
      <c r="AV286" s="338"/>
      <c r="AW286" s="110"/>
      <c r="AX286" s="110"/>
      <c r="AY286" s="113"/>
      <c r="AZ286" s="113"/>
      <c r="BA286" s="113"/>
      <c r="BB286" s="113"/>
      <c r="BC286" s="113"/>
      <c r="BD286" s="113"/>
      <c r="BF28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87" spans="1:58" x14ac:dyDescent="0.3">
      <c r="A287" s="422"/>
      <c r="B287" s="376"/>
      <c r="C287" s="110"/>
      <c r="D287" s="110"/>
      <c r="E287" s="340"/>
      <c r="F287" s="330"/>
      <c r="G287" s="113"/>
      <c r="H287" s="332"/>
      <c r="I287" s="113"/>
      <c r="J287" s="332"/>
      <c r="K287" s="110"/>
      <c r="L287" s="110"/>
      <c r="M287" s="110"/>
      <c r="N287" s="110"/>
      <c r="O287" s="111"/>
      <c r="P287" s="424" t="str">
        <f>IF(OR(Table13[[#This Row],[Annual Increase Option]]="No increase",Table13[[#This Row],[Annual Increase Option]]=""),"",_xlfn.XLOOKUP(MONTH(Table13[[#This Row],[Commencement Date]]),Lookups!$I$19:$I$30,Lookups!$J$19:$J$30,0))</f>
        <v/>
      </c>
      <c r="Q287" s="340"/>
      <c r="R287" s="340"/>
      <c r="S287" s="360">
        <f>IF(Table13[[#This Row],[Life Cover Amount]]="",0,Table2[[#This Row],[Life Premium]])</f>
        <v>0</v>
      </c>
      <c r="T287" s="360">
        <f>IF(Table13[[#This Row],[Funeral Cover Amount]]=0,0,Table2[[#This Row],[Funeral Premium]])</f>
        <v>0</v>
      </c>
      <c r="U287" s="360">
        <f>IF(AND(Table13[[#This Row],[Life Cover Amount]]="",Table13[[#This Row],[Funeral Cover Amount]]=""),0,onboarding_calcs!AA287)</f>
        <v>0</v>
      </c>
      <c r="V287" s="111"/>
      <c r="W287" s="111"/>
      <c r="X287" s="333"/>
      <c r="Y287" s="110"/>
      <c r="Z287" s="113"/>
      <c r="AA287" s="425"/>
      <c r="AB287" s="425"/>
      <c r="AC287" s="113"/>
      <c r="AD287" s="110"/>
      <c r="AE287" s="110"/>
      <c r="AF287" s="110"/>
      <c r="AG287" s="110"/>
      <c r="AH287" s="110"/>
      <c r="AI287" s="113"/>
      <c r="AJ287" s="110"/>
      <c r="AK287" s="110"/>
      <c r="AL287" s="110"/>
      <c r="AM287" s="110"/>
      <c r="AN287" s="110"/>
      <c r="AO287" s="113"/>
      <c r="AP287" s="113"/>
      <c r="AQ287" s="113"/>
      <c r="AR287" s="110"/>
      <c r="AS287" s="113"/>
      <c r="AT287" s="113"/>
      <c r="AU287" s="112"/>
      <c r="AV287" s="338"/>
      <c r="AW287" s="110"/>
      <c r="AX287" s="110"/>
      <c r="AY287" s="113"/>
      <c r="AZ287" s="113"/>
      <c r="BA287" s="113"/>
      <c r="BB287" s="113"/>
      <c r="BC287" s="113"/>
      <c r="BD287" s="113"/>
      <c r="BF28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88" spans="1:58" x14ac:dyDescent="0.3">
      <c r="A288" s="422"/>
      <c r="B288" s="376"/>
      <c r="C288" s="110"/>
      <c r="D288" s="110"/>
      <c r="E288" s="340"/>
      <c r="F288" s="330"/>
      <c r="G288" s="113"/>
      <c r="H288" s="332"/>
      <c r="I288" s="113"/>
      <c r="J288" s="332"/>
      <c r="K288" s="110"/>
      <c r="L288" s="110"/>
      <c r="M288" s="110"/>
      <c r="N288" s="110"/>
      <c r="O288" s="111"/>
      <c r="P288" s="424" t="str">
        <f>IF(OR(Table13[[#This Row],[Annual Increase Option]]="No increase",Table13[[#This Row],[Annual Increase Option]]=""),"",_xlfn.XLOOKUP(MONTH(Table13[[#This Row],[Commencement Date]]),Lookups!$I$19:$I$30,Lookups!$J$19:$J$30,0))</f>
        <v/>
      </c>
      <c r="Q288" s="340"/>
      <c r="R288" s="340"/>
      <c r="S288" s="360">
        <f>IF(Table13[[#This Row],[Life Cover Amount]]="",0,Table2[[#This Row],[Life Premium]])</f>
        <v>0</v>
      </c>
      <c r="T288" s="360">
        <f>IF(Table13[[#This Row],[Funeral Cover Amount]]=0,0,Table2[[#This Row],[Funeral Premium]])</f>
        <v>0</v>
      </c>
      <c r="U288" s="360">
        <f>IF(AND(Table13[[#This Row],[Life Cover Amount]]="",Table13[[#This Row],[Funeral Cover Amount]]=""),0,onboarding_calcs!AA288)</f>
        <v>0</v>
      </c>
      <c r="V288" s="111"/>
      <c r="W288" s="111"/>
      <c r="X288" s="333"/>
      <c r="Y288" s="110"/>
      <c r="Z288" s="113"/>
      <c r="AA288" s="425"/>
      <c r="AB288" s="425"/>
      <c r="AC288" s="113"/>
      <c r="AD288" s="110"/>
      <c r="AE288" s="110"/>
      <c r="AF288" s="110"/>
      <c r="AG288" s="110"/>
      <c r="AH288" s="110"/>
      <c r="AI288" s="113"/>
      <c r="AJ288" s="110"/>
      <c r="AK288" s="110"/>
      <c r="AL288" s="110"/>
      <c r="AM288" s="110"/>
      <c r="AN288" s="110"/>
      <c r="AO288" s="113"/>
      <c r="AP288" s="113"/>
      <c r="AQ288" s="113"/>
      <c r="AR288" s="110"/>
      <c r="AS288" s="113"/>
      <c r="AT288" s="113"/>
      <c r="AU288" s="112"/>
      <c r="AV288" s="338"/>
      <c r="AW288" s="110"/>
      <c r="AX288" s="110"/>
      <c r="AY288" s="113"/>
      <c r="AZ288" s="113"/>
      <c r="BA288" s="113"/>
      <c r="BB288" s="113"/>
      <c r="BC288" s="113"/>
      <c r="BD288" s="113"/>
      <c r="BF28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89" spans="1:58" x14ac:dyDescent="0.3">
      <c r="A289" s="422"/>
      <c r="B289" s="376"/>
      <c r="C289" s="110"/>
      <c r="D289" s="110"/>
      <c r="E289" s="340"/>
      <c r="F289" s="330"/>
      <c r="G289" s="113"/>
      <c r="H289" s="332"/>
      <c r="I289" s="113"/>
      <c r="J289" s="332"/>
      <c r="K289" s="110"/>
      <c r="L289" s="110"/>
      <c r="M289" s="110"/>
      <c r="N289" s="110"/>
      <c r="O289" s="111"/>
      <c r="P289" s="424" t="str">
        <f>IF(OR(Table13[[#This Row],[Annual Increase Option]]="No increase",Table13[[#This Row],[Annual Increase Option]]=""),"",_xlfn.XLOOKUP(MONTH(Table13[[#This Row],[Commencement Date]]),Lookups!$I$19:$I$30,Lookups!$J$19:$J$30,0))</f>
        <v/>
      </c>
      <c r="Q289" s="340"/>
      <c r="R289" s="340"/>
      <c r="S289" s="360">
        <f>IF(Table13[[#This Row],[Life Cover Amount]]="",0,Table2[[#This Row],[Life Premium]])</f>
        <v>0</v>
      </c>
      <c r="T289" s="360">
        <f>IF(Table13[[#This Row],[Funeral Cover Amount]]=0,0,Table2[[#This Row],[Funeral Premium]])</f>
        <v>0</v>
      </c>
      <c r="U289" s="360">
        <f>IF(AND(Table13[[#This Row],[Life Cover Amount]]="",Table13[[#This Row],[Funeral Cover Amount]]=""),0,onboarding_calcs!AA289)</f>
        <v>0</v>
      </c>
      <c r="V289" s="111"/>
      <c r="W289" s="111"/>
      <c r="X289" s="333"/>
      <c r="Y289" s="110"/>
      <c r="Z289" s="113"/>
      <c r="AA289" s="425"/>
      <c r="AB289" s="425"/>
      <c r="AC289" s="113"/>
      <c r="AD289" s="110"/>
      <c r="AE289" s="110"/>
      <c r="AF289" s="110"/>
      <c r="AG289" s="110"/>
      <c r="AH289" s="110"/>
      <c r="AI289" s="113"/>
      <c r="AJ289" s="110"/>
      <c r="AK289" s="110"/>
      <c r="AL289" s="110"/>
      <c r="AM289" s="110"/>
      <c r="AN289" s="110"/>
      <c r="AO289" s="113"/>
      <c r="AP289" s="113"/>
      <c r="AQ289" s="113"/>
      <c r="AR289" s="110"/>
      <c r="AS289" s="113"/>
      <c r="AT289" s="113"/>
      <c r="AU289" s="112"/>
      <c r="AV289" s="338"/>
      <c r="AW289" s="110"/>
      <c r="AX289" s="110"/>
      <c r="AY289" s="113"/>
      <c r="AZ289" s="113"/>
      <c r="BA289" s="113"/>
      <c r="BB289" s="113"/>
      <c r="BC289" s="113"/>
      <c r="BD289" s="113"/>
      <c r="BF28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90" spans="1:58" x14ac:dyDescent="0.3">
      <c r="A290" s="422"/>
      <c r="B290" s="376"/>
      <c r="C290" s="110"/>
      <c r="D290" s="110"/>
      <c r="E290" s="340"/>
      <c r="F290" s="330"/>
      <c r="G290" s="113"/>
      <c r="H290" s="332"/>
      <c r="I290" s="113"/>
      <c r="J290" s="332"/>
      <c r="K290" s="110"/>
      <c r="L290" s="110"/>
      <c r="M290" s="110"/>
      <c r="N290" s="110"/>
      <c r="O290" s="111"/>
      <c r="P290" s="424" t="str">
        <f>IF(OR(Table13[[#This Row],[Annual Increase Option]]="No increase",Table13[[#This Row],[Annual Increase Option]]=""),"",_xlfn.XLOOKUP(MONTH(Table13[[#This Row],[Commencement Date]]),Lookups!$I$19:$I$30,Lookups!$J$19:$J$30,0))</f>
        <v/>
      </c>
      <c r="Q290" s="340"/>
      <c r="R290" s="340"/>
      <c r="S290" s="360">
        <f>IF(Table13[[#This Row],[Life Cover Amount]]="",0,Table2[[#This Row],[Life Premium]])</f>
        <v>0</v>
      </c>
      <c r="T290" s="360">
        <f>IF(Table13[[#This Row],[Funeral Cover Amount]]=0,0,Table2[[#This Row],[Funeral Premium]])</f>
        <v>0</v>
      </c>
      <c r="U290" s="360">
        <f>IF(AND(Table13[[#This Row],[Life Cover Amount]]="",Table13[[#This Row],[Funeral Cover Amount]]=""),0,onboarding_calcs!AA290)</f>
        <v>0</v>
      </c>
      <c r="V290" s="111"/>
      <c r="W290" s="111"/>
      <c r="X290" s="333"/>
      <c r="Y290" s="110"/>
      <c r="Z290" s="113"/>
      <c r="AA290" s="425"/>
      <c r="AB290" s="425"/>
      <c r="AC290" s="113"/>
      <c r="AD290" s="110"/>
      <c r="AE290" s="110"/>
      <c r="AF290" s="110"/>
      <c r="AG290" s="110"/>
      <c r="AH290" s="110"/>
      <c r="AI290" s="113"/>
      <c r="AJ290" s="110"/>
      <c r="AK290" s="110"/>
      <c r="AL290" s="110"/>
      <c r="AM290" s="110"/>
      <c r="AN290" s="110"/>
      <c r="AO290" s="113"/>
      <c r="AP290" s="113"/>
      <c r="AQ290" s="113"/>
      <c r="AR290" s="110"/>
      <c r="AS290" s="113"/>
      <c r="AT290" s="113"/>
      <c r="AU290" s="112"/>
      <c r="AV290" s="338"/>
      <c r="AW290" s="110"/>
      <c r="AX290" s="110"/>
      <c r="AY290" s="113"/>
      <c r="AZ290" s="113"/>
      <c r="BA290" s="113"/>
      <c r="BB290" s="113"/>
      <c r="BC290" s="113"/>
      <c r="BD290" s="113"/>
      <c r="BF29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91" spans="1:58" x14ac:dyDescent="0.3">
      <c r="A291" s="422"/>
      <c r="B291" s="376"/>
      <c r="C291" s="110"/>
      <c r="D291" s="110"/>
      <c r="E291" s="340"/>
      <c r="F291" s="330"/>
      <c r="G291" s="113"/>
      <c r="H291" s="332"/>
      <c r="I291" s="113"/>
      <c r="J291" s="332"/>
      <c r="K291" s="110"/>
      <c r="L291" s="110"/>
      <c r="M291" s="110"/>
      <c r="N291" s="110"/>
      <c r="O291" s="111"/>
      <c r="P291" s="424" t="str">
        <f>IF(OR(Table13[[#This Row],[Annual Increase Option]]="No increase",Table13[[#This Row],[Annual Increase Option]]=""),"",_xlfn.XLOOKUP(MONTH(Table13[[#This Row],[Commencement Date]]),Lookups!$I$19:$I$30,Lookups!$J$19:$J$30,0))</f>
        <v/>
      </c>
      <c r="Q291" s="340"/>
      <c r="R291" s="340"/>
      <c r="S291" s="360">
        <f>IF(Table13[[#This Row],[Life Cover Amount]]="",0,Table2[[#This Row],[Life Premium]])</f>
        <v>0</v>
      </c>
      <c r="T291" s="360">
        <f>IF(Table13[[#This Row],[Funeral Cover Amount]]=0,0,Table2[[#This Row],[Funeral Premium]])</f>
        <v>0</v>
      </c>
      <c r="U291" s="360">
        <f>IF(AND(Table13[[#This Row],[Life Cover Amount]]="",Table13[[#This Row],[Funeral Cover Amount]]=""),0,onboarding_calcs!AA291)</f>
        <v>0</v>
      </c>
      <c r="V291" s="111"/>
      <c r="W291" s="111"/>
      <c r="X291" s="333"/>
      <c r="Y291" s="110"/>
      <c r="Z291" s="113"/>
      <c r="AA291" s="425"/>
      <c r="AB291" s="425"/>
      <c r="AC291" s="113"/>
      <c r="AD291" s="110"/>
      <c r="AE291" s="110"/>
      <c r="AF291" s="110"/>
      <c r="AG291" s="110"/>
      <c r="AH291" s="110"/>
      <c r="AI291" s="113"/>
      <c r="AJ291" s="110"/>
      <c r="AK291" s="110"/>
      <c r="AL291" s="110"/>
      <c r="AM291" s="110"/>
      <c r="AN291" s="110"/>
      <c r="AO291" s="113"/>
      <c r="AP291" s="113"/>
      <c r="AQ291" s="113"/>
      <c r="AR291" s="110"/>
      <c r="AS291" s="113"/>
      <c r="AT291" s="113"/>
      <c r="AU291" s="112"/>
      <c r="AV291" s="338"/>
      <c r="AW291" s="110"/>
      <c r="AX291" s="110"/>
      <c r="AY291" s="113"/>
      <c r="AZ291" s="113"/>
      <c r="BA291" s="113"/>
      <c r="BB291" s="113"/>
      <c r="BC291" s="113"/>
      <c r="BD291" s="113"/>
      <c r="BF29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92" spans="1:58" x14ac:dyDescent="0.3">
      <c r="A292" s="422"/>
      <c r="B292" s="376"/>
      <c r="C292" s="110"/>
      <c r="D292" s="110"/>
      <c r="E292" s="340"/>
      <c r="F292" s="330"/>
      <c r="G292" s="113"/>
      <c r="H292" s="332"/>
      <c r="I292" s="113"/>
      <c r="J292" s="332"/>
      <c r="K292" s="110"/>
      <c r="L292" s="110"/>
      <c r="M292" s="110"/>
      <c r="N292" s="110"/>
      <c r="O292" s="111"/>
      <c r="P292" s="424" t="str">
        <f>IF(OR(Table13[[#This Row],[Annual Increase Option]]="No increase",Table13[[#This Row],[Annual Increase Option]]=""),"",_xlfn.XLOOKUP(MONTH(Table13[[#This Row],[Commencement Date]]),Lookups!$I$19:$I$30,Lookups!$J$19:$J$30,0))</f>
        <v/>
      </c>
      <c r="Q292" s="340"/>
      <c r="R292" s="340"/>
      <c r="S292" s="360">
        <f>IF(Table13[[#This Row],[Life Cover Amount]]="",0,Table2[[#This Row],[Life Premium]])</f>
        <v>0</v>
      </c>
      <c r="T292" s="360">
        <f>IF(Table13[[#This Row],[Funeral Cover Amount]]=0,0,Table2[[#This Row],[Funeral Premium]])</f>
        <v>0</v>
      </c>
      <c r="U292" s="360">
        <f>IF(AND(Table13[[#This Row],[Life Cover Amount]]="",Table13[[#This Row],[Funeral Cover Amount]]=""),0,onboarding_calcs!AA292)</f>
        <v>0</v>
      </c>
      <c r="V292" s="111"/>
      <c r="W292" s="111"/>
      <c r="X292" s="333"/>
      <c r="Y292" s="110"/>
      <c r="Z292" s="113"/>
      <c r="AA292" s="425"/>
      <c r="AB292" s="425"/>
      <c r="AC292" s="113"/>
      <c r="AD292" s="110"/>
      <c r="AE292" s="110"/>
      <c r="AF292" s="110"/>
      <c r="AG292" s="110"/>
      <c r="AH292" s="110"/>
      <c r="AI292" s="113"/>
      <c r="AJ292" s="110"/>
      <c r="AK292" s="110"/>
      <c r="AL292" s="110"/>
      <c r="AM292" s="110"/>
      <c r="AN292" s="110"/>
      <c r="AO292" s="113"/>
      <c r="AP292" s="113"/>
      <c r="AQ292" s="113"/>
      <c r="AR292" s="110"/>
      <c r="AS292" s="113"/>
      <c r="AT292" s="113"/>
      <c r="AU292" s="112"/>
      <c r="AV292" s="338"/>
      <c r="AW292" s="110"/>
      <c r="AX292" s="110"/>
      <c r="AY292" s="113"/>
      <c r="AZ292" s="113"/>
      <c r="BA292" s="113"/>
      <c r="BB292" s="113"/>
      <c r="BC292" s="113"/>
      <c r="BD292" s="113"/>
      <c r="BF29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93" spans="1:58" x14ac:dyDescent="0.3">
      <c r="A293" s="422"/>
      <c r="B293" s="376"/>
      <c r="C293" s="110"/>
      <c r="D293" s="110"/>
      <c r="E293" s="340"/>
      <c r="F293" s="330"/>
      <c r="G293" s="113"/>
      <c r="H293" s="332"/>
      <c r="I293" s="113"/>
      <c r="J293" s="332"/>
      <c r="K293" s="110"/>
      <c r="L293" s="110"/>
      <c r="M293" s="110"/>
      <c r="N293" s="110"/>
      <c r="O293" s="111"/>
      <c r="P293" s="424" t="str">
        <f>IF(OR(Table13[[#This Row],[Annual Increase Option]]="No increase",Table13[[#This Row],[Annual Increase Option]]=""),"",_xlfn.XLOOKUP(MONTH(Table13[[#This Row],[Commencement Date]]),Lookups!$I$19:$I$30,Lookups!$J$19:$J$30,0))</f>
        <v/>
      </c>
      <c r="Q293" s="340"/>
      <c r="R293" s="340"/>
      <c r="S293" s="360">
        <f>IF(Table13[[#This Row],[Life Cover Amount]]="",0,Table2[[#This Row],[Life Premium]])</f>
        <v>0</v>
      </c>
      <c r="T293" s="360">
        <f>IF(Table13[[#This Row],[Funeral Cover Amount]]=0,0,Table2[[#This Row],[Funeral Premium]])</f>
        <v>0</v>
      </c>
      <c r="U293" s="360">
        <f>IF(AND(Table13[[#This Row],[Life Cover Amount]]="",Table13[[#This Row],[Funeral Cover Amount]]=""),0,onboarding_calcs!AA293)</f>
        <v>0</v>
      </c>
      <c r="V293" s="111"/>
      <c r="W293" s="111"/>
      <c r="X293" s="333"/>
      <c r="Y293" s="110"/>
      <c r="Z293" s="113"/>
      <c r="AA293" s="425"/>
      <c r="AB293" s="425"/>
      <c r="AC293" s="113"/>
      <c r="AD293" s="110"/>
      <c r="AE293" s="110"/>
      <c r="AF293" s="110"/>
      <c r="AG293" s="110"/>
      <c r="AH293" s="110"/>
      <c r="AI293" s="113"/>
      <c r="AJ293" s="110"/>
      <c r="AK293" s="110"/>
      <c r="AL293" s="110"/>
      <c r="AM293" s="110"/>
      <c r="AN293" s="110"/>
      <c r="AO293" s="113"/>
      <c r="AP293" s="113"/>
      <c r="AQ293" s="113"/>
      <c r="AR293" s="110"/>
      <c r="AS293" s="113"/>
      <c r="AT293" s="113"/>
      <c r="AU293" s="112"/>
      <c r="AV293" s="338"/>
      <c r="AW293" s="110"/>
      <c r="AX293" s="110"/>
      <c r="AY293" s="113"/>
      <c r="AZ293" s="113"/>
      <c r="BA293" s="113"/>
      <c r="BB293" s="113"/>
      <c r="BC293" s="113"/>
      <c r="BD293" s="113"/>
      <c r="BF29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94" spans="1:58" x14ac:dyDescent="0.3">
      <c r="A294" s="422"/>
      <c r="B294" s="376"/>
      <c r="C294" s="110"/>
      <c r="D294" s="110"/>
      <c r="E294" s="340"/>
      <c r="F294" s="330"/>
      <c r="G294" s="113"/>
      <c r="H294" s="332"/>
      <c r="I294" s="113"/>
      <c r="J294" s="332"/>
      <c r="K294" s="110"/>
      <c r="L294" s="110"/>
      <c r="M294" s="110"/>
      <c r="N294" s="110"/>
      <c r="O294" s="111"/>
      <c r="P294" s="424" t="str">
        <f>IF(OR(Table13[[#This Row],[Annual Increase Option]]="No increase",Table13[[#This Row],[Annual Increase Option]]=""),"",_xlfn.XLOOKUP(MONTH(Table13[[#This Row],[Commencement Date]]),Lookups!$I$19:$I$30,Lookups!$J$19:$J$30,0))</f>
        <v/>
      </c>
      <c r="Q294" s="340"/>
      <c r="R294" s="340"/>
      <c r="S294" s="360">
        <f>IF(Table13[[#This Row],[Life Cover Amount]]="",0,Table2[[#This Row],[Life Premium]])</f>
        <v>0</v>
      </c>
      <c r="T294" s="360">
        <f>IF(Table13[[#This Row],[Funeral Cover Amount]]=0,0,Table2[[#This Row],[Funeral Premium]])</f>
        <v>0</v>
      </c>
      <c r="U294" s="360">
        <f>IF(AND(Table13[[#This Row],[Life Cover Amount]]="",Table13[[#This Row],[Funeral Cover Amount]]=""),0,onboarding_calcs!AA294)</f>
        <v>0</v>
      </c>
      <c r="V294" s="111"/>
      <c r="W294" s="111"/>
      <c r="X294" s="333"/>
      <c r="Y294" s="110"/>
      <c r="Z294" s="113"/>
      <c r="AA294" s="425"/>
      <c r="AB294" s="425"/>
      <c r="AC294" s="113"/>
      <c r="AD294" s="110"/>
      <c r="AE294" s="110"/>
      <c r="AF294" s="110"/>
      <c r="AG294" s="110"/>
      <c r="AH294" s="110"/>
      <c r="AI294" s="113"/>
      <c r="AJ294" s="110"/>
      <c r="AK294" s="110"/>
      <c r="AL294" s="110"/>
      <c r="AM294" s="110"/>
      <c r="AN294" s="110"/>
      <c r="AO294" s="113"/>
      <c r="AP294" s="113"/>
      <c r="AQ294" s="113"/>
      <c r="AR294" s="110"/>
      <c r="AS294" s="113"/>
      <c r="AT294" s="113"/>
      <c r="AU294" s="112"/>
      <c r="AV294" s="338"/>
      <c r="AW294" s="110"/>
      <c r="AX294" s="110"/>
      <c r="AY294" s="113"/>
      <c r="AZ294" s="113"/>
      <c r="BA294" s="113"/>
      <c r="BB294" s="113"/>
      <c r="BC294" s="113"/>
      <c r="BD294" s="113"/>
      <c r="BF29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95" spans="1:58" x14ac:dyDescent="0.3">
      <c r="A295" s="422"/>
      <c r="B295" s="376"/>
      <c r="C295" s="110"/>
      <c r="D295" s="110"/>
      <c r="E295" s="340"/>
      <c r="F295" s="330"/>
      <c r="G295" s="113"/>
      <c r="H295" s="332"/>
      <c r="I295" s="113"/>
      <c r="J295" s="332"/>
      <c r="K295" s="110"/>
      <c r="L295" s="110"/>
      <c r="M295" s="110"/>
      <c r="N295" s="110"/>
      <c r="O295" s="111"/>
      <c r="P295" s="424" t="str">
        <f>IF(OR(Table13[[#This Row],[Annual Increase Option]]="No increase",Table13[[#This Row],[Annual Increase Option]]=""),"",_xlfn.XLOOKUP(MONTH(Table13[[#This Row],[Commencement Date]]),Lookups!$I$19:$I$30,Lookups!$J$19:$J$30,0))</f>
        <v/>
      </c>
      <c r="Q295" s="340"/>
      <c r="R295" s="340"/>
      <c r="S295" s="360">
        <f>IF(Table13[[#This Row],[Life Cover Amount]]="",0,Table2[[#This Row],[Life Premium]])</f>
        <v>0</v>
      </c>
      <c r="T295" s="360">
        <f>IF(Table13[[#This Row],[Funeral Cover Amount]]=0,0,Table2[[#This Row],[Funeral Premium]])</f>
        <v>0</v>
      </c>
      <c r="U295" s="360">
        <f>IF(AND(Table13[[#This Row],[Life Cover Amount]]="",Table13[[#This Row],[Funeral Cover Amount]]=""),0,onboarding_calcs!AA295)</f>
        <v>0</v>
      </c>
      <c r="V295" s="111"/>
      <c r="W295" s="111"/>
      <c r="X295" s="333"/>
      <c r="Y295" s="110"/>
      <c r="Z295" s="113"/>
      <c r="AA295" s="425"/>
      <c r="AB295" s="425"/>
      <c r="AC295" s="113"/>
      <c r="AD295" s="110"/>
      <c r="AE295" s="110"/>
      <c r="AF295" s="110"/>
      <c r="AG295" s="110"/>
      <c r="AH295" s="110"/>
      <c r="AI295" s="113"/>
      <c r="AJ295" s="110"/>
      <c r="AK295" s="110"/>
      <c r="AL295" s="110"/>
      <c r="AM295" s="110"/>
      <c r="AN295" s="110"/>
      <c r="AO295" s="113"/>
      <c r="AP295" s="113"/>
      <c r="AQ295" s="113"/>
      <c r="AR295" s="110"/>
      <c r="AS295" s="113"/>
      <c r="AT295" s="113"/>
      <c r="AU295" s="112"/>
      <c r="AV295" s="338"/>
      <c r="AW295" s="110"/>
      <c r="AX295" s="110"/>
      <c r="AY295" s="113"/>
      <c r="AZ295" s="113"/>
      <c r="BA295" s="113"/>
      <c r="BB295" s="113"/>
      <c r="BC295" s="113"/>
      <c r="BD295" s="113"/>
      <c r="BF29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96" spans="1:58" x14ac:dyDescent="0.3">
      <c r="A296" s="422"/>
      <c r="B296" s="376"/>
      <c r="C296" s="110"/>
      <c r="D296" s="110"/>
      <c r="E296" s="340"/>
      <c r="F296" s="330"/>
      <c r="G296" s="113"/>
      <c r="H296" s="332"/>
      <c r="I296" s="113"/>
      <c r="J296" s="332"/>
      <c r="K296" s="110"/>
      <c r="L296" s="110"/>
      <c r="M296" s="110"/>
      <c r="N296" s="110"/>
      <c r="O296" s="111"/>
      <c r="P296" s="424" t="str">
        <f>IF(OR(Table13[[#This Row],[Annual Increase Option]]="No increase",Table13[[#This Row],[Annual Increase Option]]=""),"",_xlfn.XLOOKUP(MONTH(Table13[[#This Row],[Commencement Date]]),Lookups!$I$19:$I$30,Lookups!$J$19:$J$30,0))</f>
        <v/>
      </c>
      <c r="Q296" s="340"/>
      <c r="R296" s="340"/>
      <c r="S296" s="360">
        <f>IF(Table13[[#This Row],[Life Cover Amount]]="",0,Table2[[#This Row],[Life Premium]])</f>
        <v>0</v>
      </c>
      <c r="T296" s="360">
        <f>IF(Table13[[#This Row],[Funeral Cover Amount]]=0,0,Table2[[#This Row],[Funeral Premium]])</f>
        <v>0</v>
      </c>
      <c r="U296" s="360">
        <f>IF(AND(Table13[[#This Row],[Life Cover Amount]]="",Table13[[#This Row],[Funeral Cover Amount]]=""),0,onboarding_calcs!AA296)</f>
        <v>0</v>
      </c>
      <c r="V296" s="111"/>
      <c r="W296" s="111"/>
      <c r="X296" s="333"/>
      <c r="Y296" s="110"/>
      <c r="Z296" s="113"/>
      <c r="AA296" s="425"/>
      <c r="AB296" s="425"/>
      <c r="AC296" s="113"/>
      <c r="AD296" s="110"/>
      <c r="AE296" s="110"/>
      <c r="AF296" s="110"/>
      <c r="AG296" s="110"/>
      <c r="AH296" s="110"/>
      <c r="AI296" s="113"/>
      <c r="AJ296" s="110"/>
      <c r="AK296" s="110"/>
      <c r="AL296" s="110"/>
      <c r="AM296" s="110"/>
      <c r="AN296" s="110"/>
      <c r="AO296" s="113"/>
      <c r="AP296" s="113"/>
      <c r="AQ296" s="113"/>
      <c r="AR296" s="110"/>
      <c r="AS296" s="113"/>
      <c r="AT296" s="113"/>
      <c r="AU296" s="112"/>
      <c r="AV296" s="338"/>
      <c r="AW296" s="110"/>
      <c r="AX296" s="110"/>
      <c r="AY296" s="113"/>
      <c r="AZ296" s="113"/>
      <c r="BA296" s="113"/>
      <c r="BB296" s="113"/>
      <c r="BC296" s="113"/>
      <c r="BD296" s="113"/>
      <c r="BF29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97" spans="1:58" x14ac:dyDescent="0.3">
      <c r="A297" s="422"/>
      <c r="B297" s="376"/>
      <c r="C297" s="110"/>
      <c r="D297" s="110"/>
      <c r="E297" s="340"/>
      <c r="F297" s="330"/>
      <c r="G297" s="113"/>
      <c r="H297" s="332"/>
      <c r="I297" s="113"/>
      <c r="J297" s="332"/>
      <c r="K297" s="110"/>
      <c r="L297" s="110"/>
      <c r="M297" s="110"/>
      <c r="N297" s="110"/>
      <c r="O297" s="111"/>
      <c r="P297" s="424" t="str">
        <f>IF(OR(Table13[[#This Row],[Annual Increase Option]]="No increase",Table13[[#This Row],[Annual Increase Option]]=""),"",_xlfn.XLOOKUP(MONTH(Table13[[#This Row],[Commencement Date]]),Lookups!$I$19:$I$30,Lookups!$J$19:$J$30,0))</f>
        <v/>
      </c>
      <c r="Q297" s="340"/>
      <c r="R297" s="340"/>
      <c r="S297" s="360">
        <f>IF(Table13[[#This Row],[Life Cover Amount]]="",0,Table2[[#This Row],[Life Premium]])</f>
        <v>0</v>
      </c>
      <c r="T297" s="360">
        <f>IF(Table13[[#This Row],[Funeral Cover Amount]]=0,0,Table2[[#This Row],[Funeral Premium]])</f>
        <v>0</v>
      </c>
      <c r="U297" s="360">
        <f>IF(AND(Table13[[#This Row],[Life Cover Amount]]="",Table13[[#This Row],[Funeral Cover Amount]]=""),0,onboarding_calcs!AA297)</f>
        <v>0</v>
      </c>
      <c r="V297" s="111"/>
      <c r="W297" s="111"/>
      <c r="X297" s="333"/>
      <c r="Y297" s="110"/>
      <c r="Z297" s="113"/>
      <c r="AA297" s="425"/>
      <c r="AB297" s="425"/>
      <c r="AC297" s="113"/>
      <c r="AD297" s="110"/>
      <c r="AE297" s="110"/>
      <c r="AF297" s="110"/>
      <c r="AG297" s="110"/>
      <c r="AH297" s="110"/>
      <c r="AI297" s="113"/>
      <c r="AJ297" s="110"/>
      <c r="AK297" s="110"/>
      <c r="AL297" s="110"/>
      <c r="AM297" s="110"/>
      <c r="AN297" s="110"/>
      <c r="AO297" s="113"/>
      <c r="AP297" s="113"/>
      <c r="AQ297" s="113"/>
      <c r="AR297" s="110"/>
      <c r="AS297" s="113"/>
      <c r="AT297" s="113"/>
      <c r="AU297" s="112"/>
      <c r="AV297" s="338"/>
      <c r="AW297" s="110"/>
      <c r="AX297" s="110"/>
      <c r="AY297" s="113"/>
      <c r="AZ297" s="113"/>
      <c r="BA297" s="113"/>
      <c r="BB297" s="113"/>
      <c r="BC297" s="113"/>
      <c r="BD297" s="113"/>
      <c r="BF29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98" spans="1:58" x14ac:dyDescent="0.3">
      <c r="A298" s="422"/>
      <c r="B298" s="376"/>
      <c r="C298" s="110"/>
      <c r="D298" s="110"/>
      <c r="E298" s="340"/>
      <c r="F298" s="330"/>
      <c r="G298" s="113"/>
      <c r="H298" s="332"/>
      <c r="I298" s="113"/>
      <c r="J298" s="332"/>
      <c r="K298" s="110"/>
      <c r="L298" s="110"/>
      <c r="M298" s="110"/>
      <c r="N298" s="110"/>
      <c r="O298" s="111"/>
      <c r="P298" s="424" t="str">
        <f>IF(OR(Table13[[#This Row],[Annual Increase Option]]="No increase",Table13[[#This Row],[Annual Increase Option]]=""),"",_xlfn.XLOOKUP(MONTH(Table13[[#This Row],[Commencement Date]]),Lookups!$I$19:$I$30,Lookups!$J$19:$J$30,0))</f>
        <v/>
      </c>
      <c r="Q298" s="340"/>
      <c r="R298" s="340"/>
      <c r="S298" s="360">
        <f>IF(Table13[[#This Row],[Life Cover Amount]]="",0,Table2[[#This Row],[Life Premium]])</f>
        <v>0</v>
      </c>
      <c r="T298" s="360">
        <f>IF(Table13[[#This Row],[Funeral Cover Amount]]=0,0,Table2[[#This Row],[Funeral Premium]])</f>
        <v>0</v>
      </c>
      <c r="U298" s="360">
        <f>IF(AND(Table13[[#This Row],[Life Cover Amount]]="",Table13[[#This Row],[Funeral Cover Amount]]=""),0,onboarding_calcs!AA298)</f>
        <v>0</v>
      </c>
      <c r="V298" s="111"/>
      <c r="W298" s="111"/>
      <c r="X298" s="333"/>
      <c r="Y298" s="110"/>
      <c r="Z298" s="113"/>
      <c r="AA298" s="425"/>
      <c r="AB298" s="425"/>
      <c r="AC298" s="113"/>
      <c r="AD298" s="110"/>
      <c r="AE298" s="110"/>
      <c r="AF298" s="110"/>
      <c r="AG298" s="110"/>
      <c r="AH298" s="110"/>
      <c r="AI298" s="113"/>
      <c r="AJ298" s="110"/>
      <c r="AK298" s="110"/>
      <c r="AL298" s="110"/>
      <c r="AM298" s="110"/>
      <c r="AN298" s="110"/>
      <c r="AO298" s="113"/>
      <c r="AP298" s="113"/>
      <c r="AQ298" s="113"/>
      <c r="AR298" s="110"/>
      <c r="AS298" s="113"/>
      <c r="AT298" s="113"/>
      <c r="AU298" s="112"/>
      <c r="AV298" s="338"/>
      <c r="AW298" s="110"/>
      <c r="AX298" s="110"/>
      <c r="AY298" s="113"/>
      <c r="AZ298" s="113"/>
      <c r="BA298" s="113"/>
      <c r="BB298" s="113"/>
      <c r="BC298" s="113"/>
      <c r="BD298" s="113"/>
      <c r="BF29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299" spans="1:58" x14ac:dyDescent="0.3">
      <c r="A299" s="422"/>
      <c r="B299" s="376"/>
      <c r="C299" s="110"/>
      <c r="D299" s="110"/>
      <c r="E299" s="340"/>
      <c r="F299" s="330"/>
      <c r="G299" s="113"/>
      <c r="H299" s="332"/>
      <c r="I299" s="113"/>
      <c r="J299" s="332"/>
      <c r="K299" s="110"/>
      <c r="L299" s="110"/>
      <c r="M299" s="110"/>
      <c r="N299" s="110"/>
      <c r="O299" s="111"/>
      <c r="P299" s="424" t="str">
        <f>IF(OR(Table13[[#This Row],[Annual Increase Option]]="No increase",Table13[[#This Row],[Annual Increase Option]]=""),"",_xlfn.XLOOKUP(MONTH(Table13[[#This Row],[Commencement Date]]),Lookups!$I$19:$I$30,Lookups!$J$19:$J$30,0))</f>
        <v/>
      </c>
      <c r="Q299" s="340"/>
      <c r="R299" s="340"/>
      <c r="S299" s="360">
        <f>IF(Table13[[#This Row],[Life Cover Amount]]="",0,Table2[[#This Row],[Life Premium]])</f>
        <v>0</v>
      </c>
      <c r="T299" s="360">
        <f>IF(Table13[[#This Row],[Funeral Cover Amount]]=0,0,Table2[[#This Row],[Funeral Premium]])</f>
        <v>0</v>
      </c>
      <c r="U299" s="360">
        <f>IF(AND(Table13[[#This Row],[Life Cover Amount]]="",Table13[[#This Row],[Funeral Cover Amount]]=""),0,onboarding_calcs!AA299)</f>
        <v>0</v>
      </c>
      <c r="V299" s="111"/>
      <c r="W299" s="111"/>
      <c r="X299" s="333"/>
      <c r="Y299" s="110"/>
      <c r="Z299" s="113"/>
      <c r="AA299" s="425"/>
      <c r="AB299" s="425"/>
      <c r="AC299" s="113"/>
      <c r="AD299" s="110"/>
      <c r="AE299" s="110"/>
      <c r="AF299" s="110"/>
      <c r="AG299" s="110"/>
      <c r="AH299" s="110"/>
      <c r="AI299" s="113"/>
      <c r="AJ299" s="110"/>
      <c r="AK299" s="110"/>
      <c r="AL299" s="110"/>
      <c r="AM299" s="110"/>
      <c r="AN299" s="110"/>
      <c r="AO299" s="113"/>
      <c r="AP299" s="113"/>
      <c r="AQ299" s="113"/>
      <c r="AR299" s="110"/>
      <c r="AS299" s="113"/>
      <c r="AT299" s="113"/>
      <c r="AU299" s="112"/>
      <c r="AV299" s="338"/>
      <c r="AW299" s="110"/>
      <c r="AX299" s="110"/>
      <c r="AY299" s="113"/>
      <c r="AZ299" s="113"/>
      <c r="BA299" s="113"/>
      <c r="BB299" s="113"/>
      <c r="BC299" s="113"/>
      <c r="BD299" s="113"/>
      <c r="BF29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00" spans="1:58" x14ac:dyDescent="0.3">
      <c r="A300" s="422"/>
      <c r="B300" s="376"/>
      <c r="C300" s="110"/>
      <c r="D300" s="110"/>
      <c r="E300" s="340"/>
      <c r="F300" s="330"/>
      <c r="G300" s="113"/>
      <c r="H300" s="332"/>
      <c r="I300" s="113"/>
      <c r="J300" s="332"/>
      <c r="K300" s="110"/>
      <c r="L300" s="110"/>
      <c r="M300" s="110"/>
      <c r="N300" s="110"/>
      <c r="O300" s="111"/>
      <c r="P300" s="424" t="str">
        <f>IF(OR(Table13[[#This Row],[Annual Increase Option]]="No increase",Table13[[#This Row],[Annual Increase Option]]=""),"",_xlfn.XLOOKUP(MONTH(Table13[[#This Row],[Commencement Date]]),Lookups!$I$19:$I$30,Lookups!$J$19:$J$30,0))</f>
        <v/>
      </c>
      <c r="Q300" s="340"/>
      <c r="R300" s="340"/>
      <c r="S300" s="360">
        <f>IF(Table13[[#This Row],[Life Cover Amount]]="",0,Table2[[#This Row],[Life Premium]])</f>
        <v>0</v>
      </c>
      <c r="T300" s="360">
        <f>IF(Table13[[#This Row],[Funeral Cover Amount]]=0,0,Table2[[#This Row],[Funeral Premium]])</f>
        <v>0</v>
      </c>
      <c r="U300" s="360">
        <f>IF(AND(Table13[[#This Row],[Life Cover Amount]]="",Table13[[#This Row],[Funeral Cover Amount]]=""),0,onboarding_calcs!AA300)</f>
        <v>0</v>
      </c>
      <c r="V300" s="111"/>
      <c r="W300" s="111"/>
      <c r="X300" s="333"/>
      <c r="Y300" s="110"/>
      <c r="Z300" s="113"/>
      <c r="AA300" s="425"/>
      <c r="AB300" s="425"/>
      <c r="AC300" s="113"/>
      <c r="AD300" s="110"/>
      <c r="AE300" s="110"/>
      <c r="AF300" s="110"/>
      <c r="AG300" s="110"/>
      <c r="AH300" s="110"/>
      <c r="AI300" s="113"/>
      <c r="AJ300" s="110"/>
      <c r="AK300" s="110"/>
      <c r="AL300" s="110"/>
      <c r="AM300" s="110"/>
      <c r="AN300" s="110"/>
      <c r="AO300" s="113"/>
      <c r="AP300" s="113"/>
      <c r="AQ300" s="113"/>
      <c r="AR300" s="110"/>
      <c r="AS300" s="113"/>
      <c r="AT300" s="113"/>
      <c r="AU300" s="112"/>
      <c r="AV300" s="338"/>
      <c r="AW300" s="110"/>
      <c r="AX300" s="110"/>
      <c r="AY300" s="113"/>
      <c r="AZ300" s="113"/>
      <c r="BA300" s="113"/>
      <c r="BB300" s="113"/>
      <c r="BC300" s="113"/>
      <c r="BD300" s="113"/>
      <c r="BF30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01" spans="1:58" x14ac:dyDescent="0.3">
      <c r="A301" s="422"/>
      <c r="B301" s="376"/>
      <c r="C301" s="110"/>
      <c r="D301" s="110"/>
      <c r="E301" s="340"/>
      <c r="F301" s="330"/>
      <c r="G301" s="113"/>
      <c r="H301" s="332"/>
      <c r="I301" s="113"/>
      <c r="J301" s="332"/>
      <c r="K301" s="110"/>
      <c r="L301" s="110"/>
      <c r="M301" s="110"/>
      <c r="N301" s="110"/>
      <c r="O301" s="111"/>
      <c r="P301" s="424" t="str">
        <f>IF(OR(Table13[[#This Row],[Annual Increase Option]]="No increase",Table13[[#This Row],[Annual Increase Option]]=""),"",_xlfn.XLOOKUP(MONTH(Table13[[#This Row],[Commencement Date]]),Lookups!$I$19:$I$30,Lookups!$J$19:$J$30,0))</f>
        <v/>
      </c>
      <c r="Q301" s="340"/>
      <c r="R301" s="340"/>
      <c r="S301" s="360">
        <f>IF(Table13[[#This Row],[Life Cover Amount]]="",0,Table2[[#This Row],[Life Premium]])</f>
        <v>0</v>
      </c>
      <c r="T301" s="360">
        <f>IF(Table13[[#This Row],[Funeral Cover Amount]]=0,0,Table2[[#This Row],[Funeral Premium]])</f>
        <v>0</v>
      </c>
      <c r="U301" s="360">
        <f>IF(AND(Table13[[#This Row],[Life Cover Amount]]="",Table13[[#This Row],[Funeral Cover Amount]]=""),0,onboarding_calcs!AA301)</f>
        <v>0</v>
      </c>
      <c r="V301" s="111"/>
      <c r="W301" s="111"/>
      <c r="X301" s="333"/>
      <c r="Y301" s="110"/>
      <c r="Z301" s="113"/>
      <c r="AA301" s="425"/>
      <c r="AB301" s="425"/>
      <c r="AC301" s="113"/>
      <c r="AD301" s="110"/>
      <c r="AE301" s="110"/>
      <c r="AF301" s="110"/>
      <c r="AG301" s="110"/>
      <c r="AH301" s="110"/>
      <c r="AI301" s="113"/>
      <c r="AJ301" s="110"/>
      <c r="AK301" s="110"/>
      <c r="AL301" s="110"/>
      <c r="AM301" s="110"/>
      <c r="AN301" s="110"/>
      <c r="AO301" s="113"/>
      <c r="AP301" s="113"/>
      <c r="AQ301" s="113"/>
      <c r="AR301" s="110"/>
      <c r="AS301" s="113"/>
      <c r="AT301" s="113"/>
      <c r="AU301" s="112"/>
      <c r="AV301" s="338"/>
      <c r="AW301" s="110"/>
      <c r="AX301" s="110"/>
      <c r="AY301" s="113"/>
      <c r="AZ301" s="113"/>
      <c r="BA301" s="113"/>
      <c r="BB301" s="113"/>
      <c r="BC301" s="113"/>
      <c r="BD301" s="113"/>
      <c r="BF30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02" spans="1:58" x14ac:dyDescent="0.3">
      <c r="A302" s="422"/>
      <c r="B302" s="376"/>
      <c r="C302" s="110"/>
      <c r="D302" s="110"/>
      <c r="E302" s="340"/>
      <c r="F302" s="330"/>
      <c r="G302" s="113"/>
      <c r="H302" s="332"/>
      <c r="I302" s="113"/>
      <c r="J302" s="332"/>
      <c r="K302" s="110"/>
      <c r="L302" s="110"/>
      <c r="M302" s="110"/>
      <c r="N302" s="110"/>
      <c r="O302" s="111"/>
      <c r="P302" s="424" t="str">
        <f>IF(OR(Table13[[#This Row],[Annual Increase Option]]="No increase",Table13[[#This Row],[Annual Increase Option]]=""),"",_xlfn.XLOOKUP(MONTH(Table13[[#This Row],[Commencement Date]]),Lookups!$I$19:$I$30,Lookups!$J$19:$J$30,0))</f>
        <v/>
      </c>
      <c r="Q302" s="340"/>
      <c r="R302" s="340"/>
      <c r="S302" s="360">
        <f>IF(Table13[[#This Row],[Life Cover Amount]]="",0,Table2[[#This Row],[Life Premium]])</f>
        <v>0</v>
      </c>
      <c r="T302" s="360">
        <f>IF(Table13[[#This Row],[Funeral Cover Amount]]=0,0,Table2[[#This Row],[Funeral Premium]])</f>
        <v>0</v>
      </c>
      <c r="U302" s="360">
        <f>IF(AND(Table13[[#This Row],[Life Cover Amount]]="",Table13[[#This Row],[Funeral Cover Amount]]=""),0,onboarding_calcs!AA302)</f>
        <v>0</v>
      </c>
      <c r="V302" s="111"/>
      <c r="W302" s="111"/>
      <c r="X302" s="333"/>
      <c r="Y302" s="110"/>
      <c r="Z302" s="113"/>
      <c r="AA302" s="425"/>
      <c r="AB302" s="425"/>
      <c r="AC302" s="113"/>
      <c r="AD302" s="110"/>
      <c r="AE302" s="110"/>
      <c r="AF302" s="110"/>
      <c r="AG302" s="110"/>
      <c r="AH302" s="110"/>
      <c r="AI302" s="113"/>
      <c r="AJ302" s="110"/>
      <c r="AK302" s="110"/>
      <c r="AL302" s="110"/>
      <c r="AM302" s="110"/>
      <c r="AN302" s="110"/>
      <c r="AO302" s="113"/>
      <c r="AP302" s="113"/>
      <c r="AQ302" s="113"/>
      <c r="AR302" s="110"/>
      <c r="AS302" s="113"/>
      <c r="AT302" s="113"/>
      <c r="AU302" s="112"/>
      <c r="AV302" s="338"/>
      <c r="AW302" s="110"/>
      <c r="AX302" s="110"/>
      <c r="AY302" s="113"/>
      <c r="AZ302" s="113"/>
      <c r="BA302" s="113"/>
      <c r="BB302" s="113"/>
      <c r="BC302" s="113"/>
      <c r="BD302" s="113"/>
      <c r="BF30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03" spans="1:58" x14ac:dyDescent="0.3">
      <c r="A303" s="422"/>
      <c r="B303" s="376"/>
      <c r="C303" s="110"/>
      <c r="D303" s="110"/>
      <c r="E303" s="340"/>
      <c r="F303" s="330"/>
      <c r="G303" s="113"/>
      <c r="H303" s="332"/>
      <c r="I303" s="113"/>
      <c r="J303" s="332"/>
      <c r="K303" s="110"/>
      <c r="L303" s="110"/>
      <c r="M303" s="110"/>
      <c r="N303" s="110"/>
      <c r="O303" s="111"/>
      <c r="P303" s="424" t="str">
        <f>IF(OR(Table13[[#This Row],[Annual Increase Option]]="No increase",Table13[[#This Row],[Annual Increase Option]]=""),"",_xlfn.XLOOKUP(MONTH(Table13[[#This Row],[Commencement Date]]),Lookups!$I$19:$I$30,Lookups!$J$19:$J$30,0))</f>
        <v/>
      </c>
      <c r="Q303" s="340"/>
      <c r="R303" s="340"/>
      <c r="S303" s="360">
        <f>IF(Table13[[#This Row],[Life Cover Amount]]="",0,Table2[[#This Row],[Life Premium]])</f>
        <v>0</v>
      </c>
      <c r="T303" s="360">
        <f>IF(Table13[[#This Row],[Funeral Cover Amount]]=0,0,Table2[[#This Row],[Funeral Premium]])</f>
        <v>0</v>
      </c>
      <c r="U303" s="360">
        <f>IF(AND(Table13[[#This Row],[Life Cover Amount]]="",Table13[[#This Row],[Funeral Cover Amount]]=""),0,onboarding_calcs!AA303)</f>
        <v>0</v>
      </c>
      <c r="V303" s="111"/>
      <c r="W303" s="111"/>
      <c r="X303" s="333"/>
      <c r="Y303" s="110"/>
      <c r="Z303" s="113"/>
      <c r="AA303" s="425"/>
      <c r="AB303" s="425"/>
      <c r="AC303" s="113"/>
      <c r="AD303" s="110"/>
      <c r="AE303" s="110"/>
      <c r="AF303" s="110"/>
      <c r="AG303" s="110"/>
      <c r="AH303" s="110"/>
      <c r="AI303" s="113"/>
      <c r="AJ303" s="110"/>
      <c r="AK303" s="110"/>
      <c r="AL303" s="110"/>
      <c r="AM303" s="110"/>
      <c r="AN303" s="110"/>
      <c r="AO303" s="113"/>
      <c r="AP303" s="113"/>
      <c r="AQ303" s="113"/>
      <c r="AR303" s="110"/>
      <c r="AS303" s="113"/>
      <c r="AT303" s="113"/>
      <c r="AU303" s="112"/>
      <c r="AV303" s="338"/>
      <c r="AW303" s="110"/>
      <c r="AX303" s="110"/>
      <c r="AY303" s="113"/>
      <c r="AZ303" s="113"/>
      <c r="BA303" s="113"/>
      <c r="BB303" s="113"/>
      <c r="BC303" s="113"/>
      <c r="BD303" s="113"/>
      <c r="BF30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04" spans="1:58" x14ac:dyDescent="0.3">
      <c r="A304" s="422"/>
      <c r="B304" s="376"/>
      <c r="C304" s="110"/>
      <c r="D304" s="110"/>
      <c r="E304" s="340"/>
      <c r="F304" s="330"/>
      <c r="G304" s="113"/>
      <c r="H304" s="332"/>
      <c r="I304" s="113"/>
      <c r="J304" s="332"/>
      <c r="K304" s="110"/>
      <c r="L304" s="110"/>
      <c r="M304" s="110"/>
      <c r="N304" s="110"/>
      <c r="O304" s="111"/>
      <c r="P304" s="424" t="str">
        <f>IF(OR(Table13[[#This Row],[Annual Increase Option]]="No increase",Table13[[#This Row],[Annual Increase Option]]=""),"",_xlfn.XLOOKUP(MONTH(Table13[[#This Row],[Commencement Date]]),Lookups!$I$19:$I$30,Lookups!$J$19:$J$30,0))</f>
        <v/>
      </c>
      <c r="Q304" s="340"/>
      <c r="R304" s="340"/>
      <c r="S304" s="360">
        <f>IF(Table13[[#This Row],[Life Cover Amount]]="",0,Table2[[#This Row],[Life Premium]])</f>
        <v>0</v>
      </c>
      <c r="T304" s="360">
        <f>IF(Table13[[#This Row],[Funeral Cover Amount]]=0,0,Table2[[#This Row],[Funeral Premium]])</f>
        <v>0</v>
      </c>
      <c r="U304" s="360">
        <f>IF(AND(Table13[[#This Row],[Life Cover Amount]]="",Table13[[#This Row],[Funeral Cover Amount]]=""),0,onboarding_calcs!AA304)</f>
        <v>0</v>
      </c>
      <c r="V304" s="111"/>
      <c r="W304" s="111"/>
      <c r="X304" s="333"/>
      <c r="Y304" s="110"/>
      <c r="Z304" s="113"/>
      <c r="AA304" s="425"/>
      <c r="AB304" s="425"/>
      <c r="AC304" s="113"/>
      <c r="AD304" s="110"/>
      <c r="AE304" s="110"/>
      <c r="AF304" s="110"/>
      <c r="AG304" s="110"/>
      <c r="AH304" s="110"/>
      <c r="AI304" s="113"/>
      <c r="AJ304" s="110"/>
      <c r="AK304" s="110"/>
      <c r="AL304" s="110"/>
      <c r="AM304" s="110"/>
      <c r="AN304" s="110"/>
      <c r="AO304" s="113"/>
      <c r="AP304" s="113"/>
      <c r="AQ304" s="113"/>
      <c r="AR304" s="110"/>
      <c r="AS304" s="113"/>
      <c r="AT304" s="113"/>
      <c r="AU304" s="112"/>
      <c r="AV304" s="338"/>
      <c r="AW304" s="110"/>
      <c r="AX304" s="110"/>
      <c r="AY304" s="113"/>
      <c r="AZ304" s="113"/>
      <c r="BA304" s="113"/>
      <c r="BB304" s="113"/>
      <c r="BC304" s="113"/>
      <c r="BD304" s="113"/>
      <c r="BF30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05" spans="1:58" x14ac:dyDescent="0.3">
      <c r="A305" s="422"/>
      <c r="B305" s="376"/>
      <c r="C305" s="110"/>
      <c r="D305" s="110"/>
      <c r="E305" s="340"/>
      <c r="F305" s="330"/>
      <c r="G305" s="113"/>
      <c r="H305" s="332"/>
      <c r="I305" s="113"/>
      <c r="J305" s="332"/>
      <c r="K305" s="110"/>
      <c r="L305" s="110"/>
      <c r="M305" s="110"/>
      <c r="N305" s="110"/>
      <c r="O305" s="111"/>
      <c r="P305" s="424" t="str">
        <f>IF(OR(Table13[[#This Row],[Annual Increase Option]]="No increase",Table13[[#This Row],[Annual Increase Option]]=""),"",_xlfn.XLOOKUP(MONTH(Table13[[#This Row],[Commencement Date]]),Lookups!$I$19:$I$30,Lookups!$J$19:$J$30,0))</f>
        <v/>
      </c>
      <c r="Q305" s="340"/>
      <c r="R305" s="340"/>
      <c r="S305" s="360">
        <f>IF(Table13[[#This Row],[Life Cover Amount]]="",0,Table2[[#This Row],[Life Premium]])</f>
        <v>0</v>
      </c>
      <c r="T305" s="360">
        <f>IF(Table13[[#This Row],[Funeral Cover Amount]]=0,0,Table2[[#This Row],[Funeral Premium]])</f>
        <v>0</v>
      </c>
      <c r="U305" s="360">
        <f>IF(AND(Table13[[#This Row],[Life Cover Amount]]="",Table13[[#This Row],[Funeral Cover Amount]]=""),0,onboarding_calcs!AA305)</f>
        <v>0</v>
      </c>
      <c r="V305" s="111"/>
      <c r="W305" s="111"/>
      <c r="X305" s="333"/>
      <c r="Y305" s="110"/>
      <c r="Z305" s="113"/>
      <c r="AA305" s="425"/>
      <c r="AB305" s="425"/>
      <c r="AC305" s="113"/>
      <c r="AD305" s="110"/>
      <c r="AE305" s="110"/>
      <c r="AF305" s="110"/>
      <c r="AG305" s="110"/>
      <c r="AH305" s="110"/>
      <c r="AI305" s="113"/>
      <c r="AJ305" s="110"/>
      <c r="AK305" s="110"/>
      <c r="AL305" s="110"/>
      <c r="AM305" s="110"/>
      <c r="AN305" s="110"/>
      <c r="AO305" s="113"/>
      <c r="AP305" s="113"/>
      <c r="AQ305" s="113"/>
      <c r="AR305" s="110"/>
      <c r="AS305" s="113"/>
      <c r="AT305" s="113"/>
      <c r="AU305" s="112"/>
      <c r="AV305" s="338"/>
      <c r="AW305" s="110"/>
      <c r="AX305" s="110"/>
      <c r="AY305" s="113"/>
      <c r="AZ305" s="113"/>
      <c r="BA305" s="113"/>
      <c r="BB305" s="113"/>
      <c r="BC305" s="113"/>
      <c r="BD305" s="113"/>
      <c r="BF30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06" spans="1:58" x14ac:dyDescent="0.3">
      <c r="A306" s="422"/>
      <c r="B306" s="376"/>
      <c r="C306" s="110"/>
      <c r="D306" s="110"/>
      <c r="E306" s="340"/>
      <c r="F306" s="330"/>
      <c r="G306" s="113"/>
      <c r="H306" s="332"/>
      <c r="I306" s="113"/>
      <c r="J306" s="332"/>
      <c r="K306" s="110"/>
      <c r="L306" s="110"/>
      <c r="M306" s="110"/>
      <c r="N306" s="110"/>
      <c r="O306" s="111"/>
      <c r="P306" s="424" t="str">
        <f>IF(OR(Table13[[#This Row],[Annual Increase Option]]="No increase",Table13[[#This Row],[Annual Increase Option]]=""),"",_xlfn.XLOOKUP(MONTH(Table13[[#This Row],[Commencement Date]]),Lookups!$I$19:$I$30,Lookups!$J$19:$J$30,0))</f>
        <v/>
      </c>
      <c r="Q306" s="340"/>
      <c r="R306" s="340"/>
      <c r="S306" s="360">
        <f>IF(Table13[[#This Row],[Life Cover Amount]]="",0,Table2[[#This Row],[Life Premium]])</f>
        <v>0</v>
      </c>
      <c r="T306" s="360">
        <f>IF(Table13[[#This Row],[Funeral Cover Amount]]=0,0,Table2[[#This Row],[Funeral Premium]])</f>
        <v>0</v>
      </c>
      <c r="U306" s="360">
        <f>IF(AND(Table13[[#This Row],[Life Cover Amount]]="",Table13[[#This Row],[Funeral Cover Amount]]=""),0,onboarding_calcs!AA306)</f>
        <v>0</v>
      </c>
      <c r="V306" s="111"/>
      <c r="W306" s="111"/>
      <c r="X306" s="333"/>
      <c r="Y306" s="110"/>
      <c r="Z306" s="113"/>
      <c r="AA306" s="425"/>
      <c r="AB306" s="425"/>
      <c r="AC306" s="113"/>
      <c r="AD306" s="110"/>
      <c r="AE306" s="110"/>
      <c r="AF306" s="110"/>
      <c r="AG306" s="110"/>
      <c r="AH306" s="110"/>
      <c r="AI306" s="113"/>
      <c r="AJ306" s="110"/>
      <c r="AK306" s="110"/>
      <c r="AL306" s="110"/>
      <c r="AM306" s="110"/>
      <c r="AN306" s="110"/>
      <c r="AO306" s="113"/>
      <c r="AP306" s="113"/>
      <c r="AQ306" s="113"/>
      <c r="AR306" s="110"/>
      <c r="AS306" s="113"/>
      <c r="AT306" s="113"/>
      <c r="AU306" s="112"/>
      <c r="AV306" s="338"/>
      <c r="AW306" s="110"/>
      <c r="AX306" s="110"/>
      <c r="AY306" s="113"/>
      <c r="AZ306" s="113"/>
      <c r="BA306" s="113"/>
      <c r="BB306" s="113"/>
      <c r="BC306" s="113"/>
      <c r="BD306" s="113"/>
      <c r="BF30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07" spans="1:58" x14ac:dyDescent="0.3">
      <c r="A307" s="422"/>
      <c r="B307" s="376"/>
      <c r="C307" s="110"/>
      <c r="D307" s="110"/>
      <c r="E307" s="340"/>
      <c r="F307" s="330"/>
      <c r="G307" s="113"/>
      <c r="H307" s="332"/>
      <c r="I307" s="113"/>
      <c r="J307" s="332"/>
      <c r="K307" s="110"/>
      <c r="L307" s="110"/>
      <c r="M307" s="110"/>
      <c r="N307" s="110"/>
      <c r="O307" s="111"/>
      <c r="P307" s="424" t="str">
        <f>IF(OR(Table13[[#This Row],[Annual Increase Option]]="No increase",Table13[[#This Row],[Annual Increase Option]]=""),"",_xlfn.XLOOKUP(MONTH(Table13[[#This Row],[Commencement Date]]),Lookups!$I$19:$I$30,Lookups!$J$19:$J$30,0))</f>
        <v/>
      </c>
      <c r="Q307" s="340"/>
      <c r="R307" s="340"/>
      <c r="S307" s="360">
        <f>IF(Table13[[#This Row],[Life Cover Amount]]="",0,Table2[[#This Row],[Life Premium]])</f>
        <v>0</v>
      </c>
      <c r="T307" s="360">
        <f>IF(Table13[[#This Row],[Funeral Cover Amount]]=0,0,Table2[[#This Row],[Funeral Premium]])</f>
        <v>0</v>
      </c>
      <c r="U307" s="360">
        <f>IF(AND(Table13[[#This Row],[Life Cover Amount]]="",Table13[[#This Row],[Funeral Cover Amount]]=""),0,onboarding_calcs!AA307)</f>
        <v>0</v>
      </c>
      <c r="V307" s="111"/>
      <c r="W307" s="111"/>
      <c r="X307" s="333"/>
      <c r="Y307" s="110"/>
      <c r="Z307" s="113"/>
      <c r="AA307" s="425"/>
      <c r="AB307" s="425"/>
      <c r="AC307" s="113"/>
      <c r="AD307" s="110"/>
      <c r="AE307" s="110"/>
      <c r="AF307" s="110"/>
      <c r="AG307" s="110"/>
      <c r="AH307" s="110"/>
      <c r="AI307" s="113"/>
      <c r="AJ307" s="110"/>
      <c r="AK307" s="110"/>
      <c r="AL307" s="110"/>
      <c r="AM307" s="110"/>
      <c r="AN307" s="110"/>
      <c r="AO307" s="113"/>
      <c r="AP307" s="113"/>
      <c r="AQ307" s="113"/>
      <c r="AR307" s="110"/>
      <c r="AS307" s="113"/>
      <c r="AT307" s="113"/>
      <c r="AU307" s="112"/>
      <c r="AV307" s="338"/>
      <c r="AW307" s="110"/>
      <c r="AX307" s="110"/>
      <c r="AY307" s="113"/>
      <c r="AZ307" s="113"/>
      <c r="BA307" s="113"/>
      <c r="BB307" s="113"/>
      <c r="BC307" s="113"/>
      <c r="BD307" s="113"/>
      <c r="BF30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08" spans="1:58" x14ac:dyDescent="0.3">
      <c r="A308" s="422"/>
      <c r="B308" s="376"/>
      <c r="C308" s="110"/>
      <c r="D308" s="110"/>
      <c r="E308" s="340"/>
      <c r="F308" s="330"/>
      <c r="G308" s="113"/>
      <c r="H308" s="332"/>
      <c r="I308" s="113"/>
      <c r="J308" s="332"/>
      <c r="K308" s="110"/>
      <c r="L308" s="110"/>
      <c r="M308" s="110"/>
      <c r="N308" s="110"/>
      <c r="O308" s="111"/>
      <c r="P308" s="424" t="str">
        <f>IF(OR(Table13[[#This Row],[Annual Increase Option]]="No increase",Table13[[#This Row],[Annual Increase Option]]=""),"",_xlfn.XLOOKUP(MONTH(Table13[[#This Row],[Commencement Date]]),Lookups!$I$19:$I$30,Lookups!$J$19:$J$30,0))</f>
        <v/>
      </c>
      <c r="Q308" s="340"/>
      <c r="R308" s="340"/>
      <c r="S308" s="360">
        <f>IF(Table13[[#This Row],[Life Cover Amount]]="",0,Table2[[#This Row],[Life Premium]])</f>
        <v>0</v>
      </c>
      <c r="T308" s="360">
        <f>IF(Table13[[#This Row],[Funeral Cover Amount]]=0,0,Table2[[#This Row],[Funeral Premium]])</f>
        <v>0</v>
      </c>
      <c r="U308" s="360">
        <f>IF(AND(Table13[[#This Row],[Life Cover Amount]]="",Table13[[#This Row],[Funeral Cover Amount]]=""),0,onboarding_calcs!AA308)</f>
        <v>0</v>
      </c>
      <c r="V308" s="111"/>
      <c r="W308" s="111"/>
      <c r="X308" s="333"/>
      <c r="Y308" s="110"/>
      <c r="Z308" s="113"/>
      <c r="AA308" s="425"/>
      <c r="AB308" s="425"/>
      <c r="AC308" s="113"/>
      <c r="AD308" s="110"/>
      <c r="AE308" s="110"/>
      <c r="AF308" s="110"/>
      <c r="AG308" s="110"/>
      <c r="AH308" s="110"/>
      <c r="AI308" s="113"/>
      <c r="AJ308" s="110"/>
      <c r="AK308" s="110"/>
      <c r="AL308" s="110"/>
      <c r="AM308" s="110"/>
      <c r="AN308" s="110"/>
      <c r="AO308" s="113"/>
      <c r="AP308" s="113"/>
      <c r="AQ308" s="113"/>
      <c r="AR308" s="110"/>
      <c r="AS308" s="113"/>
      <c r="AT308" s="113"/>
      <c r="AU308" s="112"/>
      <c r="AV308" s="338"/>
      <c r="AW308" s="110"/>
      <c r="AX308" s="110"/>
      <c r="AY308" s="113"/>
      <c r="AZ308" s="113"/>
      <c r="BA308" s="113"/>
      <c r="BB308" s="113"/>
      <c r="BC308" s="113"/>
      <c r="BD308" s="113"/>
      <c r="BF30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09" spans="1:58" x14ac:dyDescent="0.3">
      <c r="A309" s="422"/>
      <c r="B309" s="376"/>
      <c r="C309" s="110"/>
      <c r="D309" s="110"/>
      <c r="E309" s="340"/>
      <c r="F309" s="330"/>
      <c r="G309" s="113"/>
      <c r="H309" s="332"/>
      <c r="I309" s="113"/>
      <c r="J309" s="332"/>
      <c r="K309" s="110"/>
      <c r="L309" s="110"/>
      <c r="M309" s="110"/>
      <c r="N309" s="110"/>
      <c r="O309" s="111"/>
      <c r="P309" s="424" t="str">
        <f>IF(OR(Table13[[#This Row],[Annual Increase Option]]="No increase",Table13[[#This Row],[Annual Increase Option]]=""),"",_xlfn.XLOOKUP(MONTH(Table13[[#This Row],[Commencement Date]]),Lookups!$I$19:$I$30,Lookups!$J$19:$J$30,0))</f>
        <v/>
      </c>
      <c r="Q309" s="340"/>
      <c r="R309" s="340"/>
      <c r="S309" s="360">
        <f>IF(Table13[[#This Row],[Life Cover Amount]]="",0,Table2[[#This Row],[Life Premium]])</f>
        <v>0</v>
      </c>
      <c r="T309" s="360">
        <f>IF(Table13[[#This Row],[Funeral Cover Amount]]=0,0,Table2[[#This Row],[Funeral Premium]])</f>
        <v>0</v>
      </c>
      <c r="U309" s="360">
        <f>IF(AND(Table13[[#This Row],[Life Cover Amount]]="",Table13[[#This Row],[Funeral Cover Amount]]=""),0,onboarding_calcs!AA309)</f>
        <v>0</v>
      </c>
      <c r="V309" s="111"/>
      <c r="W309" s="111"/>
      <c r="X309" s="333"/>
      <c r="Y309" s="110"/>
      <c r="Z309" s="113"/>
      <c r="AA309" s="425"/>
      <c r="AB309" s="425"/>
      <c r="AC309" s="113"/>
      <c r="AD309" s="110"/>
      <c r="AE309" s="110"/>
      <c r="AF309" s="110"/>
      <c r="AG309" s="110"/>
      <c r="AH309" s="110"/>
      <c r="AI309" s="113"/>
      <c r="AJ309" s="110"/>
      <c r="AK309" s="110"/>
      <c r="AL309" s="110"/>
      <c r="AM309" s="110"/>
      <c r="AN309" s="110"/>
      <c r="AO309" s="113"/>
      <c r="AP309" s="113"/>
      <c r="AQ309" s="113"/>
      <c r="AR309" s="110"/>
      <c r="AS309" s="113"/>
      <c r="AT309" s="113"/>
      <c r="AU309" s="112"/>
      <c r="AV309" s="338"/>
      <c r="AW309" s="110"/>
      <c r="AX309" s="110"/>
      <c r="AY309" s="113"/>
      <c r="AZ309" s="113"/>
      <c r="BA309" s="113"/>
      <c r="BB309" s="113"/>
      <c r="BC309" s="113"/>
      <c r="BD309" s="113"/>
      <c r="BF30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10" spans="1:58" x14ac:dyDescent="0.3">
      <c r="A310" s="422"/>
      <c r="B310" s="376"/>
      <c r="C310" s="110"/>
      <c r="D310" s="110"/>
      <c r="E310" s="340"/>
      <c r="F310" s="330"/>
      <c r="G310" s="113"/>
      <c r="H310" s="332"/>
      <c r="I310" s="113"/>
      <c r="J310" s="332"/>
      <c r="K310" s="110"/>
      <c r="L310" s="110"/>
      <c r="M310" s="110"/>
      <c r="N310" s="110"/>
      <c r="O310" s="111"/>
      <c r="P310" s="424" t="str">
        <f>IF(OR(Table13[[#This Row],[Annual Increase Option]]="No increase",Table13[[#This Row],[Annual Increase Option]]=""),"",_xlfn.XLOOKUP(MONTH(Table13[[#This Row],[Commencement Date]]),Lookups!$I$19:$I$30,Lookups!$J$19:$J$30,0))</f>
        <v/>
      </c>
      <c r="Q310" s="340"/>
      <c r="R310" s="340"/>
      <c r="S310" s="360">
        <f>IF(Table13[[#This Row],[Life Cover Amount]]="",0,Table2[[#This Row],[Life Premium]])</f>
        <v>0</v>
      </c>
      <c r="T310" s="360">
        <f>IF(Table13[[#This Row],[Funeral Cover Amount]]=0,0,Table2[[#This Row],[Funeral Premium]])</f>
        <v>0</v>
      </c>
      <c r="U310" s="360">
        <f>IF(AND(Table13[[#This Row],[Life Cover Amount]]="",Table13[[#This Row],[Funeral Cover Amount]]=""),0,onboarding_calcs!AA310)</f>
        <v>0</v>
      </c>
      <c r="V310" s="111"/>
      <c r="W310" s="111"/>
      <c r="X310" s="333"/>
      <c r="Y310" s="110"/>
      <c r="Z310" s="113"/>
      <c r="AA310" s="425"/>
      <c r="AB310" s="425"/>
      <c r="AC310" s="113"/>
      <c r="AD310" s="110"/>
      <c r="AE310" s="110"/>
      <c r="AF310" s="110"/>
      <c r="AG310" s="110"/>
      <c r="AH310" s="110"/>
      <c r="AI310" s="113"/>
      <c r="AJ310" s="110"/>
      <c r="AK310" s="110"/>
      <c r="AL310" s="110"/>
      <c r="AM310" s="110"/>
      <c r="AN310" s="110"/>
      <c r="AO310" s="113"/>
      <c r="AP310" s="113"/>
      <c r="AQ310" s="113"/>
      <c r="AR310" s="110"/>
      <c r="AS310" s="113"/>
      <c r="AT310" s="113"/>
      <c r="AU310" s="112"/>
      <c r="AV310" s="338"/>
      <c r="AW310" s="110"/>
      <c r="AX310" s="110"/>
      <c r="AY310" s="113"/>
      <c r="AZ310" s="113"/>
      <c r="BA310" s="113"/>
      <c r="BB310" s="113"/>
      <c r="BC310" s="113"/>
      <c r="BD310" s="113"/>
      <c r="BF31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11" spans="1:58" x14ac:dyDescent="0.3">
      <c r="A311" s="422"/>
      <c r="B311" s="376"/>
      <c r="C311" s="110"/>
      <c r="D311" s="110"/>
      <c r="E311" s="340"/>
      <c r="F311" s="330"/>
      <c r="G311" s="113"/>
      <c r="H311" s="332"/>
      <c r="I311" s="113"/>
      <c r="J311" s="332"/>
      <c r="K311" s="110"/>
      <c r="L311" s="110"/>
      <c r="M311" s="110"/>
      <c r="N311" s="110"/>
      <c r="O311" s="111"/>
      <c r="P311" s="424" t="str">
        <f>IF(OR(Table13[[#This Row],[Annual Increase Option]]="No increase",Table13[[#This Row],[Annual Increase Option]]=""),"",_xlfn.XLOOKUP(MONTH(Table13[[#This Row],[Commencement Date]]),Lookups!$I$19:$I$30,Lookups!$J$19:$J$30,0))</f>
        <v/>
      </c>
      <c r="Q311" s="340"/>
      <c r="R311" s="340"/>
      <c r="S311" s="360">
        <f>IF(Table13[[#This Row],[Life Cover Amount]]="",0,Table2[[#This Row],[Life Premium]])</f>
        <v>0</v>
      </c>
      <c r="T311" s="360">
        <f>IF(Table13[[#This Row],[Funeral Cover Amount]]=0,0,Table2[[#This Row],[Funeral Premium]])</f>
        <v>0</v>
      </c>
      <c r="U311" s="360">
        <f>IF(AND(Table13[[#This Row],[Life Cover Amount]]="",Table13[[#This Row],[Funeral Cover Amount]]=""),0,onboarding_calcs!AA311)</f>
        <v>0</v>
      </c>
      <c r="V311" s="111"/>
      <c r="W311" s="111"/>
      <c r="X311" s="333"/>
      <c r="Y311" s="110"/>
      <c r="Z311" s="113"/>
      <c r="AA311" s="425"/>
      <c r="AB311" s="425"/>
      <c r="AC311" s="113"/>
      <c r="AD311" s="110"/>
      <c r="AE311" s="110"/>
      <c r="AF311" s="110"/>
      <c r="AG311" s="110"/>
      <c r="AH311" s="110"/>
      <c r="AI311" s="113"/>
      <c r="AJ311" s="110"/>
      <c r="AK311" s="110"/>
      <c r="AL311" s="110"/>
      <c r="AM311" s="110"/>
      <c r="AN311" s="110"/>
      <c r="AO311" s="113"/>
      <c r="AP311" s="113"/>
      <c r="AQ311" s="113"/>
      <c r="AR311" s="110"/>
      <c r="AS311" s="113"/>
      <c r="AT311" s="113"/>
      <c r="AU311" s="112"/>
      <c r="AV311" s="338"/>
      <c r="AW311" s="110"/>
      <c r="AX311" s="110"/>
      <c r="AY311" s="113"/>
      <c r="AZ311" s="113"/>
      <c r="BA311" s="113"/>
      <c r="BB311" s="113"/>
      <c r="BC311" s="113"/>
      <c r="BD311" s="113"/>
      <c r="BF31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12" spans="1:58" x14ac:dyDescent="0.3">
      <c r="A312" s="422"/>
      <c r="B312" s="376"/>
      <c r="C312" s="110"/>
      <c r="D312" s="110"/>
      <c r="E312" s="340"/>
      <c r="F312" s="330"/>
      <c r="G312" s="113"/>
      <c r="H312" s="332"/>
      <c r="I312" s="113"/>
      <c r="J312" s="332"/>
      <c r="K312" s="110"/>
      <c r="L312" s="110"/>
      <c r="M312" s="110"/>
      <c r="N312" s="110"/>
      <c r="O312" s="111"/>
      <c r="P312" s="424" t="str">
        <f>IF(OR(Table13[[#This Row],[Annual Increase Option]]="No increase",Table13[[#This Row],[Annual Increase Option]]=""),"",_xlfn.XLOOKUP(MONTH(Table13[[#This Row],[Commencement Date]]),Lookups!$I$19:$I$30,Lookups!$J$19:$J$30,0))</f>
        <v/>
      </c>
      <c r="Q312" s="340"/>
      <c r="R312" s="340"/>
      <c r="S312" s="360">
        <f>IF(Table13[[#This Row],[Life Cover Amount]]="",0,Table2[[#This Row],[Life Premium]])</f>
        <v>0</v>
      </c>
      <c r="T312" s="360">
        <f>IF(Table13[[#This Row],[Funeral Cover Amount]]=0,0,Table2[[#This Row],[Funeral Premium]])</f>
        <v>0</v>
      </c>
      <c r="U312" s="360">
        <f>IF(AND(Table13[[#This Row],[Life Cover Amount]]="",Table13[[#This Row],[Funeral Cover Amount]]=""),0,onboarding_calcs!AA312)</f>
        <v>0</v>
      </c>
      <c r="V312" s="111"/>
      <c r="W312" s="111"/>
      <c r="X312" s="333"/>
      <c r="Y312" s="110"/>
      <c r="Z312" s="113"/>
      <c r="AA312" s="425"/>
      <c r="AB312" s="425"/>
      <c r="AC312" s="113"/>
      <c r="AD312" s="110"/>
      <c r="AE312" s="110"/>
      <c r="AF312" s="110"/>
      <c r="AG312" s="110"/>
      <c r="AH312" s="110"/>
      <c r="AI312" s="113"/>
      <c r="AJ312" s="110"/>
      <c r="AK312" s="110"/>
      <c r="AL312" s="110"/>
      <c r="AM312" s="110"/>
      <c r="AN312" s="110"/>
      <c r="AO312" s="113"/>
      <c r="AP312" s="113"/>
      <c r="AQ312" s="113"/>
      <c r="AR312" s="110"/>
      <c r="AS312" s="113"/>
      <c r="AT312" s="113"/>
      <c r="AU312" s="112"/>
      <c r="AV312" s="338"/>
      <c r="AW312" s="110"/>
      <c r="AX312" s="110"/>
      <c r="AY312" s="113"/>
      <c r="AZ312" s="113"/>
      <c r="BA312" s="113"/>
      <c r="BB312" s="113"/>
      <c r="BC312" s="113"/>
      <c r="BD312" s="113"/>
      <c r="BF31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13" spans="1:58" x14ac:dyDescent="0.3">
      <c r="A313" s="422"/>
      <c r="B313" s="376"/>
      <c r="C313" s="110"/>
      <c r="D313" s="110"/>
      <c r="E313" s="340"/>
      <c r="F313" s="330"/>
      <c r="G313" s="113"/>
      <c r="H313" s="332"/>
      <c r="I313" s="113"/>
      <c r="J313" s="332"/>
      <c r="K313" s="110"/>
      <c r="L313" s="110"/>
      <c r="M313" s="110"/>
      <c r="N313" s="110"/>
      <c r="O313" s="111"/>
      <c r="P313" s="424" t="str">
        <f>IF(OR(Table13[[#This Row],[Annual Increase Option]]="No increase",Table13[[#This Row],[Annual Increase Option]]=""),"",_xlfn.XLOOKUP(MONTH(Table13[[#This Row],[Commencement Date]]),Lookups!$I$19:$I$30,Lookups!$J$19:$J$30,0))</f>
        <v/>
      </c>
      <c r="Q313" s="340"/>
      <c r="R313" s="340"/>
      <c r="S313" s="360">
        <f>IF(Table13[[#This Row],[Life Cover Amount]]="",0,Table2[[#This Row],[Life Premium]])</f>
        <v>0</v>
      </c>
      <c r="T313" s="360">
        <f>IF(Table13[[#This Row],[Funeral Cover Amount]]=0,0,Table2[[#This Row],[Funeral Premium]])</f>
        <v>0</v>
      </c>
      <c r="U313" s="360">
        <f>IF(AND(Table13[[#This Row],[Life Cover Amount]]="",Table13[[#This Row],[Funeral Cover Amount]]=""),0,onboarding_calcs!AA313)</f>
        <v>0</v>
      </c>
      <c r="V313" s="111"/>
      <c r="W313" s="111"/>
      <c r="X313" s="333"/>
      <c r="Y313" s="110"/>
      <c r="Z313" s="113"/>
      <c r="AA313" s="425"/>
      <c r="AB313" s="425"/>
      <c r="AC313" s="113"/>
      <c r="AD313" s="110"/>
      <c r="AE313" s="110"/>
      <c r="AF313" s="110"/>
      <c r="AG313" s="110"/>
      <c r="AH313" s="110"/>
      <c r="AI313" s="113"/>
      <c r="AJ313" s="110"/>
      <c r="AK313" s="110"/>
      <c r="AL313" s="110"/>
      <c r="AM313" s="110"/>
      <c r="AN313" s="110"/>
      <c r="AO313" s="113"/>
      <c r="AP313" s="113"/>
      <c r="AQ313" s="113"/>
      <c r="AR313" s="110"/>
      <c r="AS313" s="113"/>
      <c r="AT313" s="113"/>
      <c r="AU313" s="112"/>
      <c r="AV313" s="338"/>
      <c r="AW313" s="110"/>
      <c r="AX313" s="110"/>
      <c r="AY313" s="113"/>
      <c r="AZ313" s="113"/>
      <c r="BA313" s="113"/>
      <c r="BB313" s="113"/>
      <c r="BC313" s="113"/>
      <c r="BD313" s="113"/>
      <c r="BF31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14" spans="1:58" x14ac:dyDescent="0.3">
      <c r="A314" s="422"/>
      <c r="B314" s="376"/>
      <c r="C314" s="110"/>
      <c r="D314" s="110"/>
      <c r="E314" s="340"/>
      <c r="F314" s="330"/>
      <c r="G314" s="113"/>
      <c r="H314" s="332"/>
      <c r="I314" s="113"/>
      <c r="J314" s="332"/>
      <c r="K314" s="110"/>
      <c r="L314" s="110"/>
      <c r="M314" s="110"/>
      <c r="N314" s="110"/>
      <c r="O314" s="111"/>
      <c r="P314" s="424" t="str">
        <f>IF(OR(Table13[[#This Row],[Annual Increase Option]]="No increase",Table13[[#This Row],[Annual Increase Option]]=""),"",_xlfn.XLOOKUP(MONTH(Table13[[#This Row],[Commencement Date]]),Lookups!$I$19:$I$30,Lookups!$J$19:$J$30,0))</f>
        <v/>
      </c>
      <c r="Q314" s="340"/>
      <c r="R314" s="340"/>
      <c r="S314" s="360">
        <f>IF(Table13[[#This Row],[Life Cover Amount]]="",0,Table2[[#This Row],[Life Premium]])</f>
        <v>0</v>
      </c>
      <c r="T314" s="360">
        <f>IF(Table13[[#This Row],[Funeral Cover Amount]]=0,0,Table2[[#This Row],[Funeral Premium]])</f>
        <v>0</v>
      </c>
      <c r="U314" s="360">
        <f>IF(AND(Table13[[#This Row],[Life Cover Amount]]="",Table13[[#This Row],[Funeral Cover Amount]]=""),0,onboarding_calcs!AA314)</f>
        <v>0</v>
      </c>
      <c r="V314" s="111"/>
      <c r="W314" s="111"/>
      <c r="X314" s="333"/>
      <c r="Y314" s="110"/>
      <c r="Z314" s="113"/>
      <c r="AA314" s="425"/>
      <c r="AB314" s="425"/>
      <c r="AC314" s="113"/>
      <c r="AD314" s="110"/>
      <c r="AE314" s="110"/>
      <c r="AF314" s="110"/>
      <c r="AG314" s="110"/>
      <c r="AH314" s="110"/>
      <c r="AI314" s="113"/>
      <c r="AJ314" s="110"/>
      <c r="AK314" s="110"/>
      <c r="AL314" s="110"/>
      <c r="AM314" s="110"/>
      <c r="AN314" s="110"/>
      <c r="AO314" s="113"/>
      <c r="AP314" s="113"/>
      <c r="AQ314" s="113"/>
      <c r="AR314" s="110"/>
      <c r="AS314" s="113"/>
      <c r="AT314" s="113"/>
      <c r="AU314" s="112"/>
      <c r="AV314" s="338"/>
      <c r="AW314" s="110"/>
      <c r="AX314" s="110"/>
      <c r="AY314" s="113"/>
      <c r="AZ314" s="113"/>
      <c r="BA314" s="113"/>
      <c r="BB314" s="113"/>
      <c r="BC314" s="113"/>
      <c r="BD314" s="113"/>
      <c r="BF31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15" spans="1:58" x14ac:dyDescent="0.3">
      <c r="A315" s="422"/>
      <c r="B315" s="376"/>
      <c r="C315" s="110"/>
      <c r="D315" s="110"/>
      <c r="E315" s="340"/>
      <c r="F315" s="330"/>
      <c r="G315" s="113"/>
      <c r="H315" s="332"/>
      <c r="I315" s="113"/>
      <c r="J315" s="332"/>
      <c r="K315" s="110"/>
      <c r="L315" s="110"/>
      <c r="M315" s="110"/>
      <c r="N315" s="110"/>
      <c r="O315" s="111"/>
      <c r="P315" s="424" t="str">
        <f>IF(OR(Table13[[#This Row],[Annual Increase Option]]="No increase",Table13[[#This Row],[Annual Increase Option]]=""),"",_xlfn.XLOOKUP(MONTH(Table13[[#This Row],[Commencement Date]]),Lookups!$I$19:$I$30,Lookups!$J$19:$J$30,0))</f>
        <v/>
      </c>
      <c r="Q315" s="340"/>
      <c r="R315" s="340"/>
      <c r="S315" s="360">
        <f>IF(Table13[[#This Row],[Life Cover Amount]]="",0,Table2[[#This Row],[Life Premium]])</f>
        <v>0</v>
      </c>
      <c r="T315" s="360">
        <f>IF(Table13[[#This Row],[Funeral Cover Amount]]=0,0,Table2[[#This Row],[Funeral Premium]])</f>
        <v>0</v>
      </c>
      <c r="U315" s="360">
        <f>IF(AND(Table13[[#This Row],[Life Cover Amount]]="",Table13[[#This Row],[Funeral Cover Amount]]=""),0,onboarding_calcs!AA315)</f>
        <v>0</v>
      </c>
      <c r="V315" s="111"/>
      <c r="W315" s="111"/>
      <c r="X315" s="333"/>
      <c r="Y315" s="110"/>
      <c r="Z315" s="113"/>
      <c r="AA315" s="425"/>
      <c r="AB315" s="425"/>
      <c r="AC315" s="113"/>
      <c r="AD315" s="110"/>
      <c r="AE315" s="110"/>
      <c r="AF315" s="110"/>
      <c r="AG315" s="110"/>
      <c r="AH315" s="110"/>
      <c r="AI315" s="113"/>
      <c r="AJ315" s="110"/>
      <c r="AK315" s="110"/>
      <c r="AL315" s="110"/>
      <c r="AM315" s="110"/>
      <c r="AN315" s="110"/>
      <c r="AO315" s="113"/>
      <c r="AP315" s="113"/>
      <c r="AQ315" s="113"/>
      <c r="AR315" s="110"/>
      <c r="AS315" s="113"/>
      <c r="AT315" s="113"/>
      <c r="AU315" s="112"/>
      <c r="AV315" s="338"/>
      <c r="AW315" s="110"/>
      <c r="AX315" s="110"/>
      <c r="AY315" s="113"/>
      <c r="AZ315" s="113"/>
      <c r="BA315" s="113"/>
      <c r="BB315" s="113"/>
      <c r="BC315" s="113"/>
      <c r="BD315" s="113"/>
      <c r="BF31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16" spans="1:58" x14ac:dyDescent="0.3">
      <c r="A316" s="422"/>
      <c r="B316" s="376"/>
      <c r="C316" s="110"/>
      <c r="D316" s="110"/>
      <c r="E316" s="340"/>
      <c r="F316" s="330"/>
      <c r="G316" s="113"/>
      <c r="H316" s="332"/>
      <c r="I316" s="113"/>
      <c r="J316" s="332"/>
      <c r="K316" s="110"/>
      <c r="L316" s="110"/>
      <c r="M316" s="110"/>
      <c r="N316" s="110"/>
      <c r="O316" s="111"/>
      <c r="P316" s="424" t="str">
        <f>IF(OR(Table13[[#This Row],[Annual Increase Option]]="No increase",Table13[[#This Row],[Annual Increase Option]]=""),"",_xlfn.XLOOKUP(MONTH(Table13[[#This Row],[Commencement Date]]),Lookups!$I$19:$I$30,Lookups!$J$19:$J$30,0))</f>
        <v/>
      </c>
      <c r="Q316" s="340"/>
      <c r="R316" s="340"/>
      <c r="S316" s="360">
        <f>IF(Table13[[#This Row],[Life Cover Amount]]="",0,Table2[[#This Row],[Life Premium]])</f>
        <v>0</v>
      </c>
      <c r="T316" s="360">
        <f>IF(Table13[[#This Row],[Funeral Cover Amount]]=0,0,Table2[[#This Row],[Funeral Premium]])</f>
        <v>0</v>
      </c>
      <c r="U316" s="360">
        <f>IF(AND(Table13[[#This Row],[Life Cover Amount]]="",Table13[[#This Row],[Funeral Cover Amount]]=""),0,onboarding_calcs!AA316)</f>
        <v>0</v>
      </c>
      <c r="V316" s="111"/>
      <c r="W316" s="111"/>
      <c r="X316" s="333"/>
      <c r="Y316" s="110"/>
      <c r="Z316" s="113"/>
      <c r="AA316" s="425"/>
      <c r="AB316" s="425"/>
      <c r="AC316" s="113"/>
      <c r="AD316" s="110"/>
      <c r="AE316" s="110"/>
      <c r="AF316" s="110"/>
      <c r="AG316" s="110"/>
      <c r="AH316" s="110"/>
      <c r="AI316" s="113"/>
      <c r="AJ316" s="110"/>
      <c r="AK316" s="110"/>
      <c r="AL316" s="110"/>
      <c r="AM316" s="110"/>
      <c r="AN316" s="110"/>
      <c r="AO316" s="113"/>
      <c r="AP316" s="113"/>
      <c r="AQ316" s="113"/>
      <c r="AR316" s="110"/>
      <c r="AS316" s="113"/>
      <c r="AT316" s="113"/>
      <c r="AU316" s="112"/>
      <c r="AV316" s="338"/>
      <c r="AW316" s="110"/>
      <c r="AX316" s="110"/>
      <c r="AY316" s="113"/>
      <c r="AZ316" s="113"/>
      <c r="BA316" s="113"/>
      <c r="BB316" s="113"/>
      <c r="BC316" s="113"/>
      <c r="BD316" s="113"/>
      <c r="BF31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17" spans="1:58" x14ac:dyDescent="0.3">
      <c r="A317" s="422"/>
      <c r="B317" s="376"/>
      <c r="C317" s="110"/>
      <c r="D317" s="110"/>
      <c r="E317" s="340"/>
      <c r="F317" s="330"/>
      <c r="G317" s="113"/>
      <c r="H317" s="332"/>
      <c r="I317" s="113"/>
      <c r="J317" s="332"/>
      <c r="K317" s="110"/>
      <c r="L317" s="110"/>
      <c r="M317" s="110"/>
      <c r="N317" s="110"/>
      <c r="O317" s="111"/>
      <c r="P317" s="424" t="str">
        <f>IF(OR(Table13[[#This Row],[Annual Increase Option]]="No increase",Table13[[#This Row],[Annual Increase Option]]=""),"",_xlfn.XLOOKUP(MONTH(Table13[[#This Row],[Commencement Date]]),Lookups!$I$19:$I$30,Lookups!$J$19:$J$30,0))</f>
        <v/>
      </c>
      <c r="Q317" s="340"/>
      <c r="R317" s="340"/>
      <c r="S317" s="360">
        <f>IF(Table13[[#This Row],[Life Cover Amount]]="",0,Table2[[#This Row],[Life Premium]])</f>
        <v>0</v>
      </c>
      <c r="T317" s="360">
        <f>IF(Table13[[#This Row],[Funeral Cover Amount]]=0,0,Table2[[#This Row],[Funeral Premium]])</f>
        <v>0</v>
      </c>
      <c r="U317" s="360">
        <f>IF(AND(Table13[[#This Row],[Life Cover Amount]]="",Table13[[#This Row],[Funeral Cover Amount]]=""),0,onboarding_calcs!AA317)</f>
        <v>0</v>
      </c>
      <c r="V317" s="111"/>
      <c r="W317" s="111"/>
      <c r="X317" s="333"/>
      <c r="Y317" s="110"/>
      <c r="Z317" s="113"/>
      <c r="AA317" s="425"/>
      <c r="AB317" s="425"/>
      <c r="AC317" s="113"/>
      <c r="AD317" s="110"/>
      <c r="AE317" s="110"/>
      <c r="AF317" s="110"/>
      <c r="AG317" s="110"/>
      <c r="AH317" s="110"/>
      <c r="AI317" s="113"/>
      <c r="AJ317" s="110"/>
      <c r="AK317" s="110"/>
      <c r="AL317" s="110"/>
      <c r="AM317" s="110"/>
      <c r="AN317" s="110"/>
      <c r="AO317" s="113"/>
      <c r="AP317" s="113"/>
      <c r="AQ317" s="113"/>
      <c r="AR317" s="110"/>
      <c r="AS317" s="113"/>
      <c r="AT317" s="113"/>
      <c r="AU317" s="112"/>
      <c r="AV317" s="338"/>
      <c r="AW317" s="110"/>
      <c r="AX317" s="110"/>
      <c r="AY317" s="113"/>
      <c r="AZ317" s="113"/>
      <c r="BA317" s="113"/>
      <c r="BB317" s="113"/>
      <c r="BC317" s="113"/>
      <c r="BD317" s="113"/>
      <c r="BF31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18" spans="1:58" x14ac:dyDescent="0.3">
      <c r="A318" s="422"/>
      <c r="B318" s="376"/>
      <c r="C318" s="110"/>
      <c r="D318" s="110"/>
      <c r="E318" s="340"/>
      <c r="F318" s="330"/>
      <c r="G318" s="113"/>
      <c r="H318" s="332"/>
      <c r="I318" s="113"/>
      <c r="J318" s="332"/>
      <c r="K318" s="110"/>
      <c r="L318" s="110"/>
      <c r="M318" s="110"/>
      <c r="N318" s="110"/>
      <c r="O318" s="111"/>
      <c r="P318" s="424" t="str">
        <f>IF(OR(Table13[[#This Row],[Annual Increase Option]]="No increase",Table13[[#This Row],[Annual Increase Option]]=""),"",_xlfn.XLOOKUP(MONTH(Table13[[#This Row],[Commencement Date]]),Lookups!$I$19:$I$30,Lookups!$J$19:$J$30,0))</f>
        <v/>
      </c>
      <c r="Q318" s="340"/>
      <c r="R318" s="340"/>
      <c r="S318" s="360">
        <f>IF(Table13[[#This Row],[Life Cover Amount]]="",0,Table2[[#This Row],[Life Premium]])</f>
        <v>0</v>
      </c>
      <c r="T318" s="360">
        <f>IF(Table13[[#This Row],[Funeral Cover Amount]]=0,0,Table2[[#This Row],[Funeral Premium]])</f>
        <v>0</v>
      </c>
      <c r="U318" s="360">
        <f>IF(AND(Table13[[#This Row],[Life Cover Amount]]="",Table13[[#This Row],[Funeral Cover Amount]]=""),0,onboarding_calcs!AA318)</f>
        <v>0</v>
      </c>
      <c r="V318" s="111"/>
      <c r="W318" s="111"/>
      <c r="X318" s="333"/>
      <c r="Y318" s="110"/>
      <c r="Z318" s="113"/>
      <c r="AA318" s="425"/>
      <c r="AB318" s="425"/>
      <c r="AC318" s="113"/>
      <c r="AD318" s="110"/>
      <c r="AE318" s="110"/>
      <c r="AF318" s="110"/>
      <c r="AG318" s="110"/>
      <c r="AH318" s="110"/>
      <c r="AI318" s="113"/>
      <c r="AJ318" s="110"/>
      <c r="AK318" s="110"/>
      <c r="AL318" s="110"/>
      <c r="AM318" s="110"/>
      <c r="AN318" s="110"/>
      <c r="AO318" s="113"/>
      <c r="AP318" s="113"/>
      <c r="AQ318" s="113"/>
      <c r="AR318" s="110"/>
      <c r="AS318" s="113"/>
      <c r="AT318" s="113"/>
      <c r="AU318" s="112"/>
      <c r="AV318" s="338"/>
      <c r="AW318" s="110"/>
      <c r="AX318" s="110"/>
      <c r="AY318" s="113"/>
      <c r="AZ318" s="113"/>
      <c r="BA318" s="113"/>
      <c r="BB318" s="113"/>
      <c r="BC318" s="113"/>
      <c r="BD318" s="113"/>
      <c r="BF31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19" spans="1:58" x14ac:dyDescent="0.3">
      <c r="A319" s="422"/>
      <c r="B319" s="376"/>
      <c r="C319" s="110"/>
      <c r="D319" s="110"/>
      <c r="E319" s="340"/>
      <c r="F319" s="330"/>
      <c r="G319" s="113"/>
      <c r="H319" s="332"/>
      <c r="I319" s="113"/>
      <c r="J319" s="332"/>
      <c r="K319" s="110"/>
      <c r="L319" s="110"/>
      <c r="M319" s="110"/>
      <c r="N319" s="110"/>
      <c r="O319" s="111"/>
      <c r="P319" s="424" t="str">
        <f>IF(OR(Table13[[#This Row],[Annual Increase Option]]="No increase",Table13[[#This Row],[Annual Increase Option]]=""),"",_xlfn.XLOOKUP(MONTH(Table13[[#This Row],[Commencement Date]]),Lookups!$I$19:$I$30,Lookups!$J$19:$J$30,0))</f>
        <v/>
      </c>
      <c r="Q319" s="340"/>
      <c r="R319" s="340"/>
      <c r="S319" s="360">
        <f>IF(Table13[[#This Row],[Life Cover Amount]]="",0,Table2[[#This Row],[Life Premium]])</f>
        <v>0</v>
      </c>
      <c r="T319" s="360">
        <f>IF(Table13[[#This Row],[Funeral Cover Amount]]=0,0,Table2[[#This Row],[Funeral Premium]])</f>
        <v>0</v>
      </c>
      <c r="U319" s="360">
        <f>IF(AND(Table13[[#This Row],[Life Cover Amount]]="",Table13[[#This Row],[Funeral Cover Amount]]=""),0,onboarding_calcs!AA319)</f>
        <v>0</v>
      </c>
      <c r="V319" s="111"/>
      <c r="W319" s="111"/>
      <c r="X319" s="333"/>
      <c r="Y319" s="110"/>
      <c r="Z319" s="113"/>
      <c r="AA319" s="425"/>
      <c r="AB319" s="425"/>
      <c r="AC319" s="113"/>
      <c r="AD319" s="110"/>
      <c r="AE319" s="110"/>
      <c r="AF319" s="110"/>
      <c r="AG319" s="110"/>
      <c r="AH319" s="110"/>
      <c r="AI319" s="113"/>
      <c r="AJ319" s="110"/>
      <c r="AK319" s="110"/>
      <c r="AL319" s="110"/>
      <c r="AM319" s="110"/>
      <c r="AN319" s="110"/>
      <c r="AO319" s="113"/>
      <c r="AP319" s="113"/>
      <c r="AQ319" s="113"/>
      <c r="AR319" s="110"/>
      <c r="AS319" s="113"/>
      <c r="AT319" s="113"/>
      <c r="AU319" s="112"/>
      <c r="AV319" s="338"/>
      <c r="AW319" s="110"/>
      <c r="AX319" s="110"/>
      <c r="AY319" s="113"/>
      <c r="AZ319" s="113"/>
      <c r="BA319" s="113"/>
      <c r="BB319" s="113"/>
      <c r="BC319" s="113"/>
      <c r="BD319" s="113"/>
      <c r="BF31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20" spans="1:58" x14ac:dyDescent="0.3">
      <c r="A320" s="422"/>
      <c r="B320" s="376"/>
      <c r="C320" s="110"/>
      <c r="D320" s="110"/>
      <c r="E320" s="340"/>
      <c r="F320" s="330"/>
      <c r="G320" s="113"/>
      <c r="H320" s="332"/>
      <c r="I320" s="113"/>
      <c r="J320" s="332"/>
      <c r="K320" s="110"/>
      <c r="L320" s="110"/>
      <c r="M320" s="110"/>
      <c r="N320" s="110"/>
      <c r="O320" s="111"/>
      <c r="P320" s="424" t="str">
        <f>IF(OR(Table13[[#This Row],[Annual Increase Option]]="No increase",Table13[[#This Row],[Annual Increase Option]]=""),"",_xlfn.XLOOKUP(MONTH(Table13[[#This Row],[Commencement Date]]),Lookups!$I$19:$I$30,Lookups!$J$19:$J$30,0))</f>
        <v/>
      </c>
      <c r="Q320" s="340"/>
      <c r="R320" s="340"/>
      <c r="S320" s="360">
        <f>IF(Table13[[#This Row],[Life Cover Amount]]="",0,Table2[[#This Row],[Life Premium]])</f>
        <v>0</v>
      </c>
      <c r="T320" s="360">
        <f>IF(Table13[[#This Row],[Funeral Cover Amount]]=0,0,Table2[[#This Row],[Funeral Premium]])</f>
        <v>0</v>
      </c>
      <c r="U320" s="360">
        <f>IF(AND(Table13[[#This Row],[Life Cover Amount]]="",Table13[[#This Row],[Funeral Cover Amount]]=""),0,onboarding_calcs!AA320)</f>
        <v>0</v>
      </c>
      <c r="V320" s="111"/>
      <c r="W320" s="111"/>
      <c r="X320" s="333"/>
      <c r="Y320" s="110"/>
      <c r="Z320" s="113"/>
      <c r="AA320" s="425"/>
      <c r="AB320" s="425"/>
      <c r="AC320" s="113"/>
      <c r="AD320" s="110"/>
      <c r="AE320" s="110"/>
      <c r="AF320" s="110"/>
      <c r="AG320" s="110"/>
      <c r="AH320" s="110"/>
      <c r="AI320" s="113"/>
      <c r="AJ320" s="110"/>
      <c r="AK320" s="110"/>
      <c r="AL320" s="110"/>
      <c r="AM320" s="110"/>
      <c r="AN320" s="110"/>
      <c r="AO320" s="113"/>
      <c r="AP320" s="113"/>
      <c r="AQ320" s="113"/>
      <c r="AR320" s="110"/>
      <c r="AS320" s="113"/>
      <c r="AT320" s="113"/>
      <c r="AU320" s="112"/>
      <c r="AV320" s="338"/>
      <c r="AW320" s="110"/>
      <c r="AX320" s="110"/>
      <c r="AY320" s="113"/>
      <c r="AZ320" s="113"/>
      <c r="BA320" s="113"/>
      <c r="BB320" s="113"/>
      <c r="BC320" s="113"/>
      <c r="BD320" s="113"/>
      <c r="BF32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21" spans="1:58" x14ac:dyDescent="0.3">
      <c r="A321" s="422"/>
      <c r="B321" s="376"/>
      <c r="C321" s="110"/>
      <c r="D321" s="110"/>
      <c r="E321" s="340"/>
      <c r="F321" s="330"/>
      <c r="G321" s="113"/>
      <c r="H321" s="332"/>
      <c r="I321" s="113"/>
      <c r="J321" s="332"/>
      <c r="K321" s="110"/>
      <c r="L321" s="110"/>
      <c r="M321" s="110"/>
      <c r="N321" s="110"/>
      <c r="O321" s="111"/>
      <c r="P321" s="424" t="str">
        <f>IF(OR(Table13[[#This Row],[Annual Increase Option]]="No increase",Table13[[#This Row],[Annual Increase Option]]=""),"",_xlfn.XLOOKUP(MONTH(Table13[[#This Row],[Commencement Date]]),Lookups!$I$19:$I$30,Lookups!$J$19:$J$30,0))</f>
        <v/>
      </c>
      <c r="Q321" s="340"/>
      <c r="R321" s="340"/>
      <c r="S321" s="360">
        <f>IF(Table13[[#This Row],[Life Cover Amount]]="",0,Table2[[#This Row],[Life Premium]])</f>
        <v>0</v>
      </c>
      <c r="T321" s="360">
        <f>IF(Table13[[#This Row],[Funeral Cover Amount]]=0,0,Table2[[#This Row],[Funeral Premium]])</f>
        <v>0</v>
      </c>
      <c r="U321" s="360">
        <f>IF(AND(Table13[[#This Row],[Life Cover Amount]]="",Table13[[#This Row],[Funeral Cover Amount]]=""),0,onboarding_calcs!AA321)</f>
        <v>0</v>
      </c>
      <c r="V321" s="111"/>
      <c r="W321" s="111"/>
      <c r="X321" s="333"/>
      <c r="Y321" s="110"/>
      <c r="Z321" s="113"/>
      <c r="AA321" s="425"/>
      <c r="AB321" s="425"/>
      <c r="AC321" s="113"/>
      <c r="AD321" s="110"/>
      <c r="AE321" s="110"/>
      <c r="AF321" s="110"/>
      <c r="AG321" s="110"/>
      <c r="AH321" s="110"/>
      <c r="AI321" s="113"/>
      <c r="AJ321" s="110"/>
      <c r="AK321" s="110"/>
      <c r="AL321" s="110"/>
      <c r="AM321" s="110"/>
      <c r="AN321" s="110"/>
      <c r="AO321" s="113"/>
      <c r="AP321" s="113"/>
      <c r="AQ321" s="113"/>
      <c r="AR321" s="110"/>
      <c r="AS321" s="113"/>
      <c r="AT321" s="113"/>
      <c r="AU321" s="112"/>
      <c r="AV321" s="338"/>
      <c r="AW321" s="110"/>
      <c r="AX321" s="110"/>
      <c r="AY321" s="113"/>
      <c r="AZ321" s="113"/>
      <c r="BA321" s="113"/>
      <c r="BB321" s="113"/>
      <c r="BC321" s="113"/>
      <c r="BD321" s="113"/>
      <c r="BF32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22" spans="1:58" x14ac:dyDescent="0.3">
      <c r="A322" s="422"/>
      <c r="B322" s="376"/>
      <c r="C322" s="110"/>
      <c r="D322" s="110"/>
      <c r="E322" s="340"/>
      <c r="F322" s="330"/>
      <c r="G322" s="113"/>
      <c r="H322" s="332"/>
      <c r="I322" s="113"/>
      <c r="J322" s="332"/>
      <c r="K322" s="110"/>
      <c r="L322" s="110"/>
      <c r="M322" s="110"/>
      <c r="N322" s="110"/>
      <c r="O322" s="111"/>
      <c r="P322" s="424" t="str">
        <f>IF(OR(Table13[[#This Row],[Annual Increase Option]]="No increase",Table13[[#This Row],[Annual Increase Option]]=""),"",_xlfn.XLOOKUP(MONTH(Table13[[#This Row],[Commencement Date]]),Lookups!$I$19:$I$30,Lookups!$J$19:$J$30,0))</f>
        <v/>
      </c>
      <c r="Q322" s="340"/>
      <c r="R322" s="340"/>
      <c r="S322" s="360">
        <f>IF(Table13[[#This Row],[Life Cover Amount]]="",0,Table2[[#This Row],[Life Premium]])</f>
        <v>0</v>
      </c>
      <c r="T322" s="360">
        <f>IF(Table13[[#This Row],[Funeral Cover Amount]]=0,0,Table2[[#This Row],[Funeral Premium]])</f>
        <v>0</v>
      </c>
      <c r="U322" s="360">
        <f>IF(AND(Table13[[#This Row],[Life Cover Amount]]="",Table13[[#This Row],[Funeral Cover Amount]]=""),0,onboarding_calcs!AA322)</f>
        <v>0</v>
      </c>
      <c r="V322" s="111"/>
      <c r="W322" s="111"/>
      <c r="X322" s="333"/>
      <c r="Y322" s="110"/>
      <c r="Z322" s="113"/>
      <c r="AA322" s="425"/>
      <c r="AB322" s="425"/>
      <c r="AC322" s="113"/>
      <c r="AD322" s="110"/>
      <c r="AE322" s="110"/>
      <c r="AF322" s="110"/>
      <c r="AG322" s="110"/>
      <c r="AH322" s="110"/>
      <c r="AI322" s="113"/>
      <c r="AJ322" s="110"/>
      <c r="AK322" s="110"/>
      <c r="AL322" s="110"/>
      <c r="AM322" s="110"/>
      <c r="AN322" s="110"/>
      <c r="AO322" s="113"/>
      <c r="AP322" s="113"/>
      <c r="AQ322" s="113"/>
      <c r="AR322" s="110"/>
      <c r="AS322" s="113"/>
      <c r="AT322" s="113"/>
      <c r="AU322" s="112"/>
      <c r="AV322" s="338"/>
      <c r="AW322" s="110"/>
      <c r="AX322" s="110"/>
      <c r="AY322" s="113"/>
      <c r="AZ322" s="113"/>
      <c r="BA322" s="113"/>
      <c r="BB322" s="113"/>
      <c r="BC322" s="113"/>
      <c r="BD322" s="113"/>
      <c r="BF32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23" spans="1:58" x14ac:dyDescent="0.3">
      <c r="A323" s="422"/>
      <c r="B323" s="376"/>
      <c r="C323" s="110"/>
      <c r="D323" s="110"/>
      <c r="E323" s="340"/>
      <c r="F323" s="330"/>
      <c r="G323" s="113"/>
      <c r="H323" s="332"/>
      <c r="I323" s="113"/>
      <c r="J323" s="332"/>
      <c r="K323" s="110"/>
      <c r="L323" s="110"/>
      <c r="M323" s="110"/>
      <c r="N323" s="110"/>
      <c r="O323" s="111"/>
      <c r="P323" s="424" t="str">
        <f>IF(OR(Table13[[#This Row],[Annual Increase Option]]="No increase",Table13[[#This Row],[Annual Increase Option]]=""),"",_xlfn.XLOOKUP(MONTH(Table13[[#This Row],[Commencement Date]]),Lookups!$I$19:$I$30,Lookups!$J$19:$J$30,0))</f>
        <v/>
      </c>
      <c r="Q323" s="340"/>
      <c r="R323" s="340"/>
      <c r="S323" s="360">
        <f>IF(Table13[[#This Row],[Life Cover Amount]]="",0,Table2[[#This Row],[Life Premium]])</f>
        <v>0</v>
      </c>
      <c r="T323" s="360">
        <f>IF(Table13[[#This Row],[Funeral Cover Amount]]=0,0,Table2[[#This Row],[Funeral Premium]])</f>
        <v>0</v>
      </c>
      <c r="U323" s="360">
        <f>IF(AND(Table13[[#This Row],[Life Cover Amount]]="",Table13[[#This Row],[Funeral Cover Amount]]=""),0,onboarding_calcs!AA323)</f>
        <v>0</v>
      </c>
      <c r="V323" s="111"/>
      <c r="W323" s="111"/>
      <c r="X323" s="333"/>
      <c r="Y323" s="110"/>
      <c r="Z323" s="113"/>
      <c r="AA323" s="425"/>
      <c r="AB323" s="425"/>
      <c r="AC323" s="113"/>
      <c r="AD323" s="110"/>
      <c r="AE323" s="110"/>
      <c r="AF323" s="110"/>
      <c r="AG323" s="110"/>
      <c r="AH323" s="110"/>
      <c r="AI323" s="113"/>
      <c r="AJ323" s="110"/>
      <c r="AK323" s="110"/>
      <c r="AL323" s="110"/>
      <c r="AM323" s="110"/>
      <c r="AN323" s="110"/>
      <c r="AO323" s="113"/>
      <c r="AP323" s="113"/>
      <c r="AQ323" s="113"/>
      <c r="AR323" s="110"/>
      <c r="AS323" s="113"/>
      <c r="AT323" s="113"/>
      <c r="AU323" s="112"/>
      <c r="AV323" s="338"/>
      <c r="AW323" s="110"/>
      <c r="AX323" s="110"/>
      <c r="AY323" s="113"/>
      <c r="AZ323" s="113"/>
      <c r="BA323" s="113"/>
      <c r="BB323" s="113"/>
      <c r="BC323" s="113"/>
      <c r="BD323" s="113"/>
      <c r="BF32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24" spans="1:58" x14ac:dyDescent="0.3">
      <c r="A324" s="422"/>
      <c r="B324" s="376"/>
      <c r="C324" s="110"/>
      <c r="D324" s="110"/>
      <c r="E324" s="340"/>
      <c r="F324" s="330"/>
      <c r="G324" s="113"/>
      <c r="H324" s="332"/>
      <c r="I324" s="113"/>
      <c r="J324" s="332"/>
      <c r="K324" s="110"/>
      <c r="L324" s="110"/>
      <c r="M324" s="110"/>
      <c r="N324" s="110"/>
      <c r="O324" s="111"/>
      <c r="P324" s="424" t="str">
        <f>IF(OR(Table13[[#This Row],[Annual Increase Option]]="No increase",Table13[[#This Row],[Annual Increase Option]]=""),"",_xlfn.XLOOKUP(MONTH(Table13[[#This Row],[Commencement Date]]),Lookups!$I$19:$I$30,Lookups!$J$19:$J$30,0))</f>
        <v/>
      </c>
      <c r="Q324" s="340"/>
      <c r="R324" s="340"/>
      <c r="S324" s="360">
        <f>IF(Table13[[#This Row],[Life Cover Amount]]="",0,Table2[[#This Row],[Life Premium]])</f>
        <v>0</v>
      </c>
      <c r="T324" s="360">
        <f>IF(Table13[[#This Row],[Funeral Cover Amount]]=0,0,Table2[[#This Row],[Funeral Premium]])</f>
        <v>0</v>
      </c>
      <c r="U324" s="360">
        <f>IF(AND(Table13[[#This Row],[Life Cover Amount]]="",Table13[[#This Row],[Funeral Cover Amount]]=""),0,onboarding_calcs!AA324)</f>
        <v>0</v>
      </c>
      <c r="V324" s="111"/>
      <c r="W324" s="111"/>
      <c r="X324" s="333"/>
      <c r="Y324" s="110"/>
      <c r="Z324" s="113"/>
      <c r="AA324" s="425"/>
      <c r="AB324" s="425"/>
      <c r="AC324" s="113"/>
      <c r="AD324" s="110"/>
      <c r="AE324" s="110"/>
      <c r="AF324" s="110"/>
      <c r="AG324" s="110"/>
      <c r="AH324" s="110"/>
      <c r="AI324" s="113"/>
      <c r="AJ324" s="110"/>
      <c r="AK324" s="110"/>
      <c r="AL324" s="110"/>
      <c r="AM324" s="110"/>
      <c r="AN324" s="110"/>
      <c r="AO324" s="113"/>
      <c r="AP324" s="113"/>
      <c r="AQ324" s="113"/>
      <c r="AR324" s="110"/>
      <c r="AS324" s="113"/>
      <c r="AT324" s="113"/>
      <c r="AU324" s="112"/>
      <c r="AV324" s="338"/>
      <c r="AW324" s="110"/>
      <c r="AX324" s="110"/>
      <c r="AY324" s="113"/>
      <c r="AZ324" s="113"/>
      <c r="BA324" s="113"/>
      <c r="BB324" s="113"/>
      <c r="BC324" s="113"/>
      <c r="BD324" s="113"/>
      <c r="BF32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25" spans="1:58" x14ac:dyDescent="0.3">
      <c r="A325" s="422"/>
      <c r="B325" s="376"/>
      <c r="C325" s="110"/>
      <c r="D325" s="110"/>
      <c r="E325" s="340"/>
      <c r="F325" s="330"/>
      <c r="G325" s="113"/>
      <c r="H325" s="332"/>
      <c r="I325" s="113"/>
      <c r="J325" s="332"/>
      <c r="K325" s="110"/>
      <c r="L325" s="110"/>
      <c r="M325" s="110"/>
      <c r="N325" s="110"/>
      <c r="O325" s="111"/>
      <c r="P325" s="424" t="str">
        <f>IF(OR(Table13[[#This Row],[Annual Increase Option]]="No increase",Table13[[#This Row],[Annual Increase Option]]=""),"",_xlfn.XLOOKUP(MONTH(Table13[[#This Row],[Commencement Date]]),Lookups!$I$19:$I$30,Lookups!$J$19:$J$30,0))</f>
        <v/>
      </c>
      <c r="Q325" s="340"/>
      <c r="R325" s="340"/>
      <c r="S325" s="360">
        <f>IF(Table13[[#This Row],[Life Cover Amount]]="",0,Table2[[#This Row],[Life Premium]])</f>
        <v>0</v>
      </c>
      <c r="T325" s="360">
        <f>IF(Table13[[#This Row],[Funeral Cover Amount]]=0,0,Table2[[#This Row],[Funeral Premium]])</f>
        <v>0</v>
      </c>
      <c r="U325" s="360">
        <f>IF(AND(Table13[[#This Row],[Life Cover Amount]]="",Table13[[#This Row],[Funeral Cover Amount]]=""),0,onboarding_calcs!AA325)</f>
        <v>0</v>
      </c>
      <c r="V325" s="111"/>
      <c r="W325" s="111"/>
      <c r="X325" s="333"/>
      <c r="Y325" s="110"/>
      <c r="Z325" s="113"/>
      <c r="AA325" s="425"/>
      <c r="AB325" s="425"/>
      <c r="AC325" s="113"/>
      <c r="AD325" s="110"/>
      <c r="AE325" s="110"/>
      <c r="AF325" s="110"/>
      <c r="AG325" s="110"/>
      <c r="AH325" s="110"/>
      <c r="AI325" s="113"/>
      <c r="AJ325" s="110"/>
      <c r="AK325" s="110"/>
      <c r="AL325" s="110"/>
      <c r="AM325" s="110"/>
      <c r="AN325" s="110"/>
      <c r="AO325" s="113"/>
      <c r="AP325" s="113"/>
      <c r="AQ325" s="113"/>
      <c r="AR325" s="110"/>
      <c r="AS325" s="113"/>
      <c r="AT325" s="113"/>
      <c r="AU325" s="112"/>
      <c r="AV325" s="338"/>
      <c r="AW325" s="110"/>
      <c r="AX325" s="110"/>
      <c r="AY325" s="113"/>
      <c r="AZ325" s="113"/>
      <c r="BA325" s="113"/>
      <c r="BB325" s="113"/>
      <c r="BC325" s="113"/>
      <c r="BD325" s="113"/>
      <c r="BF32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26" spans="1:58" x14ac:dyDescent="0.3">
      <c r="A326" s="422"/>
      <c r="B326" s="376"/>
      <c r="C326" s="110"/>
      <c r="D326" s="110"/>
      <c r="E326" s="340"/>
      <c r="F326" s="330"/>
      <c r="G326" s="113"/>
      <c r="H326" s="332"/>
      <c r="I326" s="113"/>
      <c r="J326" s="332"/>
      <c r="K326" s="110"/>
      <c r="L326" s="110"/>
      <c r="M326" s="110"/>
      <c r="N326" s="110"/>
      <c r="O326" s="111"/>
      <c r="P326" s="424" t="str">
        <f>IF(OR(Table13[[#This Row],[Annual Increase Option]]="No increase",Table13[[#This Row],[Annual Increase Option]]=""),"",_xlfn.XLOOKUP(MONTH(Table13[[#This Row],[Commencement Date]]),Lookups!$I$19:$I$30,Lookups!$J$19:$J$30,0))</f>
        <v/>
      </c>
      <c r="Q326" s="340"/>
      <c r="R326" s="340"/>
      <c r="S326" s="360">
        <f>IF(Table13[[#This Row],[Life Cover Amount]]="",0,Table2[[#This Row],[Life Premium]])</f>
        <v>0</v>
      </c>
      <c r="T326" s="360">
        <f>IF(Table13[[#This Row],[Funeral Cover Amount]]=0,0,Table2[[#This Row],[Funeral Premium]])</f>
        <v>0</v>
      </c>
      <c r="U326" s="360">
        <f>IF(AND(Table13[[#This Row],[Life Cover Amount]]="",Table13[[#This Row],[Funeral Cover Amount]]=""),0,onboarding_calcs!AA326)</f>
        <v>0</v>
      </c>
      <c r="V326" s="111"/>
      <c r="W326" s="111"/>
      <c r="X326" s="333"/>
      <c r="Y326" s="110"/>
      <c r="Z326" s="113"/>
      <c r="AA326" s="425"/>
      <c r="AB326" s="425"/>
      <c r="AC326" s="113"/>
      <c r="AD326" s="110"/>
      <c r="AE326" s="110"/>
      <c r="AF326" s="110"/>
      <c r="AG326" s="110"/>
      <c r="AH326" s="110"/>
      <c r="AI326" s="113"/>
      <c r="AJ326" s="110"/>
      <c r="AK326" s="110"/>
      <c r="AL326" s="110"/>
      <c r="AM326" s="110"/>
      <c r="AN326" s="110"/>
      <c r="AO326" s="113"/>
      <c r="AP326" s="113"/>
      <c r="AQ326" s="113"/>
      <c r="AR326" s="110"/>
      <c r="AS326" s="113"/>
      <c r="AT326" s="113"/>
      <c r="AU326" s="112"/>
      <c r="AV326" s="338"/>
      <c r="AW326" s="110"/>
      <c r="AX326" s="110"/>
      <c r="AY326" s="113"/>
      <c r="AZ326" s="113"/>
      <c r="BA326" s="113"/>
      <c r="BB326" s="113"/>
      <c r="BC326" s="113"/>
      <c r="BD326" s="113"/>
      <c r="BF32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27" spans="1:58" x14ac:dyDescent="0.3">
      <c r="A327" s="422"/>
      <c r="B327" s="376"/>
      <c r="C327" s="110"/>
      <c r="D327" s="110"/>
      <c r="E327" s="340"/>
      <c r="F327" s="330"/>
      <c r="G327" s="113"/>
      <c r="H327" s="332"/>
      <c r="I327" s="113"/>
      <c r="J327" s="332"/>
      <c r="K327" s="110"/>
      <c r="L327" s="110"/>
      <c r="M327" s="110"/>
      <c r="N327" s="110"/>
      <c r="O327" s="111"/>
      <c r="P327" s="424" t="str">
        <f>IF(OR(Table13[[#This Row],[Annual Increase Option]]="No increase",Table13[[#This Row],[Annual Increase Option]]=""),"",_xlfn.XLOOKUP(MONTH(Table13[[#This Row],[Commencement Date]]),Lookups!$I$19:$I$30,Lookups!$J$19:$J$30,0))</f>
        <v/>
      </c>
      <c r="Q327" s="340"/>
      <c r="R327" s="340"/>
      <c r="S327" s="360">
        <f>IF(Table13[[#This Row],[Life Cover Amount]]="",0,Table2[[#This Row],[Life Premium]])</f>
        <v>0</v>
      </c>
      <c r="T327" s="360">
        <f>IF(Table13[[#This Row],[Funeral Cover Amount]]=0,0,Table2[[#This Row],[Funeral Premium]])</f>
        <v>0</v>
      </c>
      <c r="U327" s="360">
        <f>IF(AND(Table13[[#This Row],[Life Cover Amount]]="",Table13[[#This Row],[Funeral Cover Amount]]=""),0,onboarding_calcs!AA327)</f>
        <v>0</v>
      </c>
      <c r="V327" s="111"/>
      <c r="W327" s="111"/>
      <c r="X327" s="333"/>
      <c r="Y327" s="110"/>
      <c r="Z327" s="113"/>
      <c r="AA327" s="425"/>
      <c r="AB327" s="425"/>
      <c r="AC327" s="113"/>
      <c r="AD327" s="110"/>
      <c r="AE327" s="110"/>
      <c r="AF327" s="110"/>
      <c r="AG327" s="110"/>
      <c r="AH327" s="110"/>
      <c r="AI327" s="113"/>
      <c r="AJ327" s="110"/>
      <c r="AK327" s="110"/>
      <c r="AL327" s="110"/>
      <c r="AM327" s="110"/>
      <c r="AN327" s="110"/>
      <c r="AO327" s="113"/>
      <c r="AP327" s="113"/>
      <c r="AQ327" s="113"/>
      <c r="AR327" s="110"/>
      <c r="AS327" s="113"/>
      <c r="AT327" s="113"/>
      <c r="AU327" s="112"/>
      <c r="AV327" s="338"/>
      <c r="AW327" s="110"/>
      <c r="AX327" s="110"/>
      <c r="AY327" s="113"/>
      <c r="AZ327" s="113"/>
      <c r="BA327" s="113"/>
      <c r="BB327" s="113"/>
      <c r="BC327" s="113"/>
      <c r="BD327" s="113"/>
      <c r="BF32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28" spans="1:58" x14ac:dyDescent="0.3">
      <c r="A328" s="422"/>
      <c r="B328" s="376"/>
      <c r="C328" s="110"/>
      <c r="D328" s="110"/>
      <c r="E328" s="340"/>
      <c r="F328" s="330"/>
      <c r="G328" s="113"/>
      <c r="H328" s="332"/>
      <c r="I328" s="113"/>
      <c r="J328" s="332"/>
      <c r="K328" s="110"/>
      <c r="L328" s="110"/>
      <c r="M328" s="110"/>
      <c r="N328" s="110"/>
      <c r="O328" s="111"/>
      <c r="P328" s="424" t="str">
        <f>IF(OR(Table13[[#This Row],[Annual Increase Option]]="No increase",Table13[[#This Row],[Annual Increase Option]]=""),"",_xlfn.XLOOKUP(MONTH(Table13[[#This Row],[Commencement Date]]),Lookups!$I$19:$I$30,Lookups!$J$19:$J$30,0))</f>
        <v/>
      </c>
      <c r="Q328" s="340"/>
      <c r="R328" s="340"/>
      <c r="S328" s="360">
        <f>IF(Table13[[#This Row],[Life Cover Amount]]="",0,Table2[[#This Row],[Life Premium]])</f>
        <v>0</v>
      </c>
      <c r="T328" s="360">
        <f>IF(Table13[[#This Row],[Funeral Cover Amount]]=0,0,Table2[[#This Row],[Funeral Premium]])</f>
        <v>0</v>
      </c>
      <c r="U328" s="360">
        <f>IF(AND(Table13[[#This Row],[Life Cover Amount]]="",Table13[[#This Row],[Funeral Cover Amount]]=""),0,onboarding_calcs!AA328)</f>
        <v>0</v>
      </c>
      <c r="V328" s="111"/>
      <c r="W328" s="111"/>
      <c r="X328" s="333"/>
      <c r="Y328" s="110"/>
      <c r="Z328" s="113"/>
      <c r="AA328" s="425"/>
      <c r="AB328" s="425"/>
      <c r="AC328" s="113"/>
      <c r="AD328" s="110"/>
      <c r="AE328" s="110"/>
      <c r="AF328" s="110"/>
      <c r="AG328" s="110"/>
      <c r="AH328" s="110"/>
      <c r="AI328" s="113"/>
      <c r="AJ328" s="110"/>
      <c r="AK328" s="110"/>
      <c r="AL328" s="110"/>
      <c r="AM328" s="110"/>
      <c r="AN328" s="110"/>
      <c r="AO328" s="113"/>
      <c r="AP328" s="113"/>
      <c r="AQ328" s="113"/>
      <c r="AR328" s="110"/>
      <c r="AS328" s="113"/>
      <c r="AT328" s="113"/>
      <c r="AU328" s="112"/>
      <c r="AV328" s="338"/>
      <c r="AW328" s="110"/>
      <c r="AX328" s="110"/>
      <c r="AY328" s="113"/>
      <c r="AZ328" s="113"/>
      <c r="BA328" s="113"/>
      <c r="BB328" s="113"/>
      <c r="BC328" s="113"/>
      <c r="BD328" s="113"/>
      <c r="BF32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29" spans="1:58" x14ac:dyDescent="0.3">
      <c r="A329" s="422"/>
      <c r="B329" s="376"/>
      <c r="C329" s="110"/>
      <c r="D329" s="110"/>
      <c r="E329" s="340"/>
      <c r="F329" s="330"/>
      <c r="G329" s="113"/>
      <c r="H329" s="332"/>
      <c r="I329" s="113"/>
      <c r="J329" s="332"/>
      <c r="K329" s="110"/>
      <c r="L329" s="110"/>
      <c r="M329" s="110"/>
      <c r="N329" s="110"/>
      <c r="O329" s="111"/>
      <c r="P329" s="424" t="str">
        <f>IF(OR(Table13[[#This Row],[Annual Increase Option]]="No increase",Table13[[#This Row],[Annual Increase Option]]=""),"",_xlfn.XLOOKUP(MONTH(Table13[[#This Row],[Commencement Date]]),Lookups!$I$19:$I$30,Lookups!$J$19:$J$30,0))</f>
        <v/>
      </c>
      <c r="Q329" s="340"/>
      <c r="R329" s="340"/>
      <c r="S329" s="360">
        <f>IF(Table13[[#This Row],[Life Cover Amount]]="",0,Table2[[#This Row],[Life Premium]])</f>
        <v>0</v>
      </c>
      <c r="T329" s="360">
        <f>IF(Table13[[#This Row],[Funeral Cover Amount]]=0,0,Table2[[#This Row],[Funeral Premium]])</f>
        <v>0</v>
      </c>
      <c r="U329" s="360">
        <f>IF(AND(Table13[[#This Row],[Life Cover Amount]]="",Table13[[#This Row],[Funeral Cover Amount]]=""),0,onboarding_calcs!AA329)</f>
        <v>0</v>
      </c>
      <c r="V329" s="111"/>
      <c r="W329" s="111"/>
      <c r="X329" s="333"/>
      <c r="Y329" s="110"/>
      <c r="Z329" s="113"/>
      <c r="AA329" s="425"/>
      <c r="AB329" s="425"/>
      <c r="AC329" s="113"/>
      <c r="AD329" s="110"/>
      <c r="AE329" s="110"/>
      <c r="AF329" s="110"/>
      <c r="AG329" s="110"/>
      <c r="AH329" s="110"/>
      <c r="AI329" s="113"/>
      <c r="AJ329" s="110"/>
      <c r="AK329" s="110"/>
      <c r="AL329" s="110"/>
      <c r="AM329" s="110"/>
      <c r="AN329" s="110"/>
      <c r="AO329" s="113"/>
      <c r="AP329" s="113"/>
      <c r="AQ329" s="113"/>
      <c r="AR329" s="110"/>
      <c r="AS329" s="113"/>
      <c r="AT329" s="113"/>
      <c r="AU329" s="112"/>
      <c r="AV329" s="338"/>
      <c r="AW329" s="110"/>
      <c r="AX329" s="110"/>
      <c r="AY329" s="113"/>
      <c r="AZ329" s="113"/>
      <c r="BA329" s="113"/>
      <c r="BB329" s="113"/>
      <c r="BC329" s="113"/>
      <c r="BD329" s="113"/>
      <c r="BF32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30" spans="1:58" x14ac:dyDescent="0.3">
      <c r="A330" s="422"/>
      <c r="B330" s="376"/>
      <c r="C330" s="110"/>
      <c r="D330" s="110"/>
      <c r="E330" s="340"/>
      <c r="F330" s="330"/>
      <c r="G330" s="113"/>
      <c r="H330" s="332"/>
      <c r="I330" s="113"/>
      <c r="J330" s="332"/>
      <c r="K330" s="110"/>
      <c r="L330" s="110"/>
      <c r="M330" s="110"/>
      <c r="N330" s="110"/>
      <c r="O330" s="111"/>
      <c r="P330" s="424" t="str">
        <f>IF(OR(Table13[[#This Row],[Annual Increase Option]]="No increase",Table13[[#This Row],[Annual Increase Option]]=""),"",_xlfn.XLOOKUP(MONTH(Table13[[#This Row],[Commencement Date]]),Lookups!$I$19:$I$30,Lookups!$J$19:$J$30,0))</f>
        <v/>
      </c>
      <c r="Q330" s="340"/>
      <c r="R330" s="340"/>
      <c r="S330" s="360">
        <f>IF(Table13[[#This Row],[Life Cover Amount]]="",0,Table2[[#This Row],[Life Premium]])</f>
        <v>0</v>
      </c>
      <c r="T330" s="360">
        <f>IF(Table13[[#This Row],[Funeral Cover Amount]]=0,0,Table2[[#This Row],[Funeral Premium]])</f>
        <v>0</v>
      </c>
      <c r="U330" s="360">
        <f>IF(AND(Table13[[#This Row],[Life Cover Amount]]="",Table13[[#This Row],[Funeral Cover Amount]]=""),0,onboarding_calcs!AA330)</f>
        <v>0</v>
      </c>
      <c r="V330" s="111"/>
      <c r="W330" s="111"/>
      <c r="X330" s="333"/>
      <c r="Y330" s="110"/>
      <c r="Z330" s="113"/>
      <c r="AA330" s="425"/>
      <c r="AB330" s="425"/>
      <c r="AC330" s="113"/>
      <c r="AD330" s="110"/>
      <c r="AE330" s="110"/>
      <c r="AF330" s="110"/>
      <c r="AG330" s="110"/>
      <c r="AH330" s="110"/>
      <c r="AI330" s="113"/>
      <c r="AJ330" s="110"/>
      <c r="AK330" s="110"/>
      <c r="AL330" s="110"/>
      <c r="AM330" s="110"/>
      <c r="AN330" s="110"/>
      <c r="AO330" s="113"/>
      <c r="AP330" s="113"/>
      <c r="AQ330" s="113"/>
      <c r="AR330" s="110"/>
      <c r="AS330" s="113"/>
      <c r="AT330" s="113"/>
      <c r="AU330" s="112"/>
      <c r="AV330" s="338"/>
      <c r="AW330" s="110"/>
      <c r="AX330" s="110"/>
      <c r="AY330" s="113"/>
      <c r="AZ330" s="113"/>
      <c r="BA330" s="113"/>
      <c r="BB330" s="113"/>
      <c r="BC330" s="113"/>
      <c r="BD330" s="113"/>
      <c r="BF33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31" spans="1:58" x14ac:dyDescent="0.3">
      <c r="A331" s="422"/>
      <c r="B331" s="376"/>
      <c r="C331" s="110"/>
      <c r="D331" s="110"/>
      <c r="E331" s="340"/>
      <c r="F331" s="330"/>
      <c r="G331" s="113"/>
      <c r="H331" s="332"/>
      <c r="I331" s="113"/>
      <c r="J331" s="332"/>
      <c r="K331" s="110"/>
      <c r="L331" s="110"/>
      <c r="M331" s="110"/>
      <c r="N331" s="110"/>
      <c r="O331" s="111"/>
      <c r="P331" s="424" t="str">
        <f>IF(OR(Table13[[#This Row],[Annual Increase Option]]="No increase",Table13[[#This Row],[Annual Increase Option]]=""),"",_xlfn.XLOOKUP(MONTH(Table13[[#This Row],[Commencement Date]]),Lookups!$I$19:$I$30,Lookups!$J$19:$J$30,0))</f>
        <v/>
      </c>
      <c r="Q331" s="340"/>
      <c r="R331" s="340"/>
      <c r="S331" s="360">
        <f>IF(Table13[[#This Row],[Life Cover Amount]]="",0,Table2[[#This Row],[Life Premium]])</f>
        <v>0</v>
      </c>
      <c r="T331" s="360">
        <f>IF(Table13[[#This Row],[Funeral Cover Amount]]=0,0,Table2[[#This Row],[Funeral Premium]])</f>
        <v>0</v>
      </c>
      <c r="U331" s="360">
        <f>IF(AND(Table13[[#This Row],[Life Cover Amount]]="",Table13[[#This Row],[Funeral Cover Amount]]=""),0,onboarding_calcs!AA331)</f>
        <v>0</v>
      </c>
      <c r="V331" s="111"/>
      <c r="W331" s="111"/>
      <c r="X331" s="333"/>
      <c r="Y331" s="110"/>
      <c r="Z331" s="113"/>
      <c r="AA331" s="425"/>
      <c r="AB331" s="425"/>
      <c r="AC331" s="113"/>
      <c r="AD331" s="110"/>
      <c r="AE331" s="110"/>
      <c r="AF331" s="110"/>
      <c r="AG331" s="110"/>
      <c r="AH331" s="110"/>
      <c r="AI331" s="113"/>
      <c r="AJ331" s="110"/>
      <c r="AK331" s="110"/>
      <c r="AL331" s="110"/>
      <c r="AM331" s="110"/>
      <c r="AN331" s="110"/>
      <c r="AO331" s="113"/>
      <c r="AP331" s="113"/>
      <c r="AQ331" s="113"/>
      <c r="AR331" s="110"/>
      <c r="AS331" s="113"/>
      <c r="AT331" s="113"/>
      <c r="AU331" s="112"/>
      <c r="AV331" s="338"/>
      <c r="AW331" s="110"/>
      <c r="AX331" s="110"/>
      <c r="AY331" s="113"/>
      <c r="AZ331" s="113"/>
      <c r="BA331" s="113"/>
      <c r="BB331" s="113"/>
      <c r="BC331" s="113"/>
      <c r="BD331" s="113"/>
      <c r="BF33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32" spans="1:58" x14ac:dyDescent="0.3">
      <c r="A332" s="422"/>
      <c r="B332" s="376"/>
      <c r="C332" s="110"/>
      <c r="D332" s="110"/>
      <c r="E332" s="340"/>
      <c r="F332" s="330"/>
      <c r="G332" s="113"/>
      <c r="H332" s="332"/>
      <c r="I332" s="113"/>
      <c r="J332" s="332"/>
      <c r="K332" s="110"/>
      <c r="L332" s="110"/>
      <c r="M332" s="110"/>
      <c r="N332" s="110"/>
      <c r="O332" s="111"/>
      <c r="P332" s="424" t="str">
        <f>IF(OR(Table13[[#This Row],[Annual Increase Option]]="No increase",Table13[[#This Row],[Annual Increase Option]]=""),"",_xlfn.XLOOKUP(MONTH(Table13[[#This Row],[Commencement Date]]),Lookups!$I$19:$I$30,Lookups!$J$19:$J$30,0))</f>
        <v/>
      </c>
      <c r="Q332" s="340"/>
      <c r="R332" s="340"/>
      <c r="S332" s="360">
        <f>IF(Table13[[#This Row],[Life Cover Amount]]="",0,Table2[[#This Row],[Life Premium]])</f>
        <v>0</v>
      </c>
      <c r="T332" s="360">
        <f>IF(Table13[[#This Row],[Funeral Cover Amount]]=0,0,Table2[[#This Row],[Funeral Premium]])</f>
        <v>0</v>
      </c>
      <c r="U332" s="360">
        <f>IF(AND(Table13[[#This Row],[Life Cover Amount]]="",Table13[[#This Row],[Funeral Cover Amount]]=""),0,onboarding_calcs!AA332)</f>
        <v>0</v>
      </c>
      <c r="V332" s="111"/>
      <c r="W332" s="111"/>
      <c r="X332" s="333"/>
      <c r="Y332" s="110"/>
      <c r="Z332" s="113"/>
      <c r="AA332" s="425"/>
      <c r="AB332" s="425"/>
      <c r="AC332" s="113"/>
      <c r="AD332" s="110"/>
      <c r="AE332" s="110"/>
      <c r="AF332" s="110"/>
      <c r="AG332" s="110"/>
      <c r="AH332" s="110"/>
      <c r="AI332" s="113"/>
      <c r="AJ332" s="110"/>
      <c r="AK332" s="110"/>
      <c r="AL332" s="110"/>
      <c r="AM332" s="110"/>
      <c r="AN332" s="110"/>
      <c r="AO332" s="113"/>
      <c r="AP332" s="113"/>
      <c r="AQ332" s="113"/>
      <c r="AR332" s="110"/>
      <c r="AS332" s="113"/>
      <c r="AT332" s="113"/>
      <c r="AU332" s="112"/>
      <c r="AV332" s="338"/>
      <c r="AW332" s="110"/>
      <c r="AX332" s="110"/>
      <c r="AY332" s="113"/>
      <c r="AZ332" s="113"/>
      <c r="BA332" s="113"/>
      <c r="BB332" s="113"/>
      <c r="BC332" s="113"/>
      <c r="BD332" s="113"/>
      <c r="BF33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33" spans="1:58" x14ac:dyDescent="0.3">
      <c r="A333" s="422"/>
      <c r="B333" s="376"/>
      <c r="C333" s="110"/>
      <c r="D333" s="110"/>
      <c r="E333" s="340"/>
      <c r="F333" s="330"/>
      <c r="G333" s="113"/>
      <c r="H333" s="332"/>
      <c r="I333" s="113"/>
      <c r="J333" s="332"/>
      <c r="K333" s="110"/>
      <c r="L333" s="110"/>
      <c r="M333" s="110"/>
      <c r="N333" s="110"/>
      <c r="O333" s="111"/>
      <c r="P333" s="424" t="str">
        <f>IF(OR(Table13[[#This Row],[Annual Increase Option]]="No increase",Table13[[#This Row],[Annual Increase Option]]=""),"",_xlfn.XLOOKUP(MONTH(Table13[[#This Row],[Commencement Date]]),Lookups!$I$19:$I$30,Lookups!$J$19:$J$30,0))</f>
        <v/>
      </c>
      <c r="Q333" s="340"/>
      <c r="R333" s="340"/>
      <c r="S333" s="360">
        <f>IF(Table13[[#This Row],[Life Cover Amount]]="",0,Table2[[#This Row],[Life Premium]])</f>
        <v>0</v>
      </c>
      <c r="T333" s="360">
        <f>IF(Table13[[#This Row],[Funeral Cover Amount]]=0,0,Table2[[#This Row],[Funeral Premium]])</f>
        <v>0</v>
      </c>
      <c r="U333" s="360">
        <f>IF(AND(Table13[[#This Row],[Life Cover Amount]]="",Table13[[#This Row],[Funeral Cover Amount]]=""),0,onboarding_calcs!AA333)</f>
        <v>0</v>
      </c>
      <c r="V333" s="111"/>
      <c r="W333" s="111"/>
      <c r="X333" s="333"/>
      <c r="Y333" s="110"/>
      <c r="Z333" s="113"/>
      <c r="AA333" s="425"/>
      <c r="AB333" s="425"/>
      <c r="AC333" s="113"/>
      <c r="AD333" s="110"/>
      <c r="AE333" s="110"/>
      <c r="AF333" s="110"/>
      <c r="AG333" s="110"/>
      <c r="AH333" s="110"/>
      <c r="AI333" s="113"/>
      <c r="AJ333" s="110"/>
      <c r="AK333" s="110"/>
      <c r="AL333" s="110"/>
      <c r="AM333" s="110"/>
      <c r="AN333" s="110"/>
      <c r="AO333" s="113"/>
      <c r="AP333" s="113"/>
      <c r="AQ333" s="113"/>
      <c r="AR333" s="110"/>
      <c r="AS333" s="113"/>
      <c r="AT333" s="113"/>
      <c r="AU333" s="112"/>
      <c r="AV333" s="338"/>
      <c r="AW333" s="110"/>
      <c r="AX333" s="110"/>
      <c r="AY333" s="113"/>
      <c r="AZ333" s="113"/>
      <c r="BA333" s="113"/>
      <c r="BB333" s="113"/>
      <c r="BC333" s="113"/>
      <c r="BD333" s="113"/>
      <c r="BF33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34" spans="1:58" x14ac:dyDescent="0.3">
      <c r="A334" s="422"/>
      <c r="B334" s="376"/>
      <c r="C334" s="110"/>
      <c r="D334" s="110"/>
      <c r="E334" s="340"/>
      <c r="F334" s="330"/>
      <c r="G334" s="113"/>
      <c r="H334" s="332"/>
      <c r="I334" s="113"/>
      <c r="J334" s="332"/>
      <c r="K334" s="110"/>
      <c r="L334" s="110"/>
      <c r="M334" s="110"/>
      <c r="N334" s="110"/>
      <c r="O334" s="111"/>
      <c r="P334" s="424" t="str">
        <f>IF(OR(Table13[[#This Row],[Annual Increase Option]]="No increase",Table13[[#This Row],[Annual Increase Option]]=""),"",_xlfn.XLOOKUP(MONTH(Table13[[#This Row],[Commencement Date]]),Lookups!$I$19:$I$30,Lookups!$J$19:$J$30,0))</f>
        <v/>
      </c>
      <c r="Q334" s="340"/>
      <c r="R334" s="340"/>
      <c r="S334" s="360">
        <f>IF(Table13[[#This Row],[Life Cover Amount]]="",0,Table2[[#This Row],[Life Premium]])</f>
        <v>0</v>
      </c>
      <c r="T334" s="360">
        <f>IF(Table13[[#This Row],[Funeral Cover Amount]]=0,0,Table2[[#This Row],[Funeral Premium]])</f>
        <v>0</v>
      </c>
      <c r="U334" s="360">
        <f>IF(AND(Table13[[#This Row],[Life Cover Amount]]="",Table13[[#This Row],[Funeral Cover Amount]]=""),0,onboarding_calcs!AA334)</f>
        <v>0</v>
      </c>
      <c r="V334" s="111"/>
      <c r="W334" s="111"/>
      <c r="X334" s="333"/>
      <c r="Y334" s="110"/>
      <c r="Z334" s="113"/>
      <c r="AA334" s="425"/>
      <c r="AB334" s="425"/>
      <c r="AC334" s="113"/>
      <c r="AD334" s="110"/>
      <c r="AE334" s="110"/>
      <c r="AF334" s="110"/>
      <c r="AG334" s="110"/>
      <c r="AH334" s="110"/>
      <c r="AI334" s="113"/>
      <c r="AJ334" s="110"/>
      <c r="AK334" s="110"/>
      <c r="AL334" s="110"/>
      <c r="AM334" s="110"/>
      <c r="AN334" s="110"/>
      <c r="AO334" s="113"/>
      <c r="AP334" s="113"/>
      <c r="AQ334" s="113"/>
      <c r="AR334" s="110"/>
      <c r="AS334" s="113"/>
      <c r="AT334" s="113"/>
      <c r="AU334" s="112"/>
      <c r="AV334" s="338"/>
      <c r="AW334" s="110"/>
      <c r="AX334" s="110"/>
      <c r="AY334" s="113"/>
      <c r="AZ334" s="113"/>
      <c r="BA334" s="113"/>
      <c r="BB334" s="113"/>
      <c r="BC334" s="113"/>
      <c r="BD334" s="113"/>
      <c r="BF33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35" spans="1:58" x14ac:dyDescent="0.3">
      <c r="A335" s="422"/>
      <c r="B335" s="376"/>
      <c r="C335" s="110"/>
      <c r="D335" s="110"/>
      <c r="E335" s="340"/>
      <c r="F335" s="330"/>
      <c r="G335" s="113"/>
      <c r="H335" s="332"/>
      <c r="I335" s="113"/>
      <c r="J335" s="332"/>
      <c r="K335" s="110"/>
      <c r="L335" s="110"/>
      <c r="M335" s="110"/>
      <c r="N335" s="110"/>
      <c r="O335" s="111"/>
      <c r="P335" s="424" t="str">
        <f>IF(OR(Table13[[#This Row],[Annual Increase Option]]="No increase",Table13[[#This Row],[Annual Increase Option]]=""),"",_xlfn.XLOOKUP(MONTH(Table13[[#This Row],[Commencement Date]]),Lookups!$I$19:$I$30,Lookups!$J$19:$J$30,0))</f>
        <v/>
      </c>
      <c r="Q335" s="340"/>
      <c r="R335" s="340"/>
      <c r="S335" s="360">
        <f>IF(Table13[[#This Row],[Life Cover Amount]]="",0,Table2[[#This Row],[Life Premium]])</f>
        <v>0</v>
      </c>
      <c r="T335" s="360">
        <f>IF(Table13[[#This Row],[Funeral Cover Amount]]=0,0,Table2[[#This Row],[Funeral Premium]])</f>
        <v>0</v>
      </c>
      <c r="U335" s="360">
        <f>IF(AND(Table13[[#This Row],[Life Cover Amount]]="",Table13[[#This Row],[Funeral Cover Amount]]=""),0,onboarding_calcs!AA335)</f>
        <v>0</v>
      </c>
      <c r="V335" s="111"/>
      <c r="W335" s="111"/>
      <c r="X335" s="333"/>
      <c r="Y335" s="110"/>
      <c r="Z335" s="113"/>
      <c r="AA335" s="425"/>
      <c r="AB335" s="425"/>
      <c r="AC335" s="113"/>
      <c r="AD335" s="110"/>
      <c r="AE335" s="110"/>
      <c r="AF335" s="110"/>
      <c r="AG335" s="110"/>
      <c r="AH335" s="110"/>
      <c r="AI335" s="113"/>
      <c r="AJ335" s="110"/>
      <c r="AK335" s="110"/>
      <c r="AL335" s="110"/>
      <c r="AM335" s="110"/>
      <c r="AN335" s="110"/>
      <c r="AO335" s="113"/>
      <c r="AP335" s="113"/>
      <c r="AQ335" s="113"/>
      <c r="AR335" s="110"/>
      <c r="AS335" s="113"/>
      <c r="AT335" s="113"/>
      <c r="AU335" s="112"/>
      <c r="AV335" s="338"/>
      <c r="AW335" s="110"/>
      <c r="AX335" s="110"/>
      <c r="AY335" s="113"/>
      <c r="AZ335" s="113"/>
      <c r="BA335" s="113"/>
      <c r="BB335" s="113"/>
      <c r="BC335" s="113"/>
      <c r="BD335" s="113"/>
      <c r="BF33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36" spans="1:58" x14ac:dyDescent="0.3">
      <c r="A336" s="422"/>
      <c r="B336" s="376"/>
      <c r="C336" s="110"/>
      <c r="D336" s="110"/>
      <c r="E336" s="340"/>
      <c r="F336" s="330"/>
      <c r="G336" s="113"/>
      <c r="H336" s="332"/>
      <c r="I336" s="113"/>
      <c r="J336" s="332"/>
      <c r="K336" s="110"/>
      <c r="L336" s="110"/>
      <c r="M336" s="110"/>
      <c r="N336" s="110"/>
      <c r="O336" s="111"/>
      <c r="P336" s="424" t="str">
        <f>IF(OR(Table13[[#This Row],[Annual Increase Option]]="No increase",Table13[[#This Row],[Annual Increase Option]]=""),"",_xlfn.XLOOKUP(MONTH(Table13[[#This Row],[Commencement Date]]),Lookups!$I$19:$I$30,Lookups!$J$19:$J$30,0))</f>
        <v/>
      </c>
      <c r="Q336" s="340"/>
      <c r="R336" s="340"/>
      <c r="S336" s="360">
        <f>IF(Table13[[#This Row],[Life Cover Amount]]="",0,Table2[[#This Row],[Life Premium]])</f>
        <v>0</v>
      </c>
      <c r="T336" s="360">
        <f>IF(Table13[[#This Row],[Funeral Cover Amount]]=0,0,Table2[[#This Row],[Funeral Premium]])</f>
        <v>0</v>
      </c>
      <c r="U336" s="360">
        <f>IF(AND(Table13[[#This Row],[Life Cover Amount]]="",Table13[[#This Row],[Funeral Cover Amount]]=""),0,onboarding_calcs!AA336)</f>
        <v>0</v>
      </c>
      <c r="V336" s="111"/>
      <c r="W336" s="111"/>
      <c r="X336" s="333"/>
      <c r="Y336" s="110"/>
      <c r="Z336" s="113"/>
      <c r="AA336" s="425"/>
      <c r="AB336" s="425"/>
      <c r="AC336" s="113"/>
      <c r="AD336" s="110"/>
      <c r="AE336" s="110"/>
      <c r="AF336" s="110"/>
      <c r="AG336" s="110"/>
      <c r="AH336" s="110"/>
      <c r="AI336" s="113"/>
      <c r="AJ336" s="110"/>
      <c r="AK336" s="110"/>
      <c r="AL336" s="110"/>
      <c r="AM336" s="110"/>
      <c r="AN336" s="110"/>
      <c r="AO336" s="113"/>
      <c r="AP336" s="113"/>
      <c r="AQ336" s="113"/>
      <c r="AR336" s="110"/>
      <c r="AS336" s="113"/>
      <c r="AT336" s="113"/>
      <c r="AU336" s="112"/>
      <c r="AV336" s="338"/>
      <c r="AW336" s="110"/>
      <c r="AX336" s="110"/>
      <c r="AY336" s="113"/>
      <c r="AZ336" s="113"/>
      <c r="BA336" s="113"/>
      <c r="BB336" s="113"/>
      <c r="BC336" s="113"/>
      <c r="BD336" s="113"/>
      <c r="BF33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37" spans="1:58" x14ac:dyDescent="0.3">
      <c r="A337" s="422"/>
      <c r="B337" s="376"/>
      <c r="C337" s="110"/>
      <c r="D337" s="110"/>
      <c r="E337" s="340"/>
      <c r="F337" s="330"/>
      <c r="G337" s="113"/>
      <c r="H337" s="332"/>
      <c r="I337" s="113"/>
      <c r="J337" s="332"/>
      <c r="K337" s="110"/>
      <c r="L337" s="110"/>
      <c r="M337" s="110"/>
      <c r="N337" s="110"/>
      <c r="O337" s="111"/>
      <c r="P337" s="424" t="str">
        <f>IF(OR(Table13[[#This Row],[Annual Increase Option]]="No increase",Table13[[#This Row],[Annual Increase Option]]=""),"",_xlfn.XLOOKUP(MONTH(Table13[[#This Row],[Commencement Date]]),Lookups!$I$19:$I$30,Lookups!$J$19:$J$30,0))</f>
        <v/>
      </c>
      <c r="Q337" s="340"/>
      <c r="R337" s="340"/>
      <c r="S337" s="360">
        <f>IF(Table13[[#This Row],[Life Cover Amount]]="",0,Table2[[#This Row],[Life Premium]])</f>
        <v>0</v>
      </c>
      <c r="T337" s="360">
        <f>IF(Table13[[#This Row],[Funeral Cover Amount]]=0,0,Table2[[#This Row],[Funeral Premium]])</f>
        <v>0</v>
      </c>
      <c r="U337" s="360">
        <f>IF(AND(Table13[[#This Row],[Life Cover Amount]]="",Table13[[#This Row],[Funeral Cover Amount]]=""),0,onboarding_calcs!AA337)</f>
        <v>0</v>
      </c>
      <c r="V337" s="111"/>
      <c r="W337" s="111"/>
      <c r="X337" s="333"/>
      <c r="Y337" s="110"/>
      <c r="Z337" s="113"/>
      <c r="AA337" s="425"/>
      <c r="AB337" s="425"/>
      <c r="AC337" s="113"/>
      <c r="AD337" s="110"/>
      <c r="AE337" s="110"/>
      <c r="AF337" s="110"/>
      <c r="AG337" s="110"/>
      <c r="AH337" s="110"/>
      <c r="AI337" s="113"/>
      <c r="AJ337" s="110"/>
      <c r="AK337" s="110"/>
      <c r="AL337" s="110"/>
      <c r="AM337" s="110"/>
      <c r="AN337" s="110"/>
      <c r="AO337" s="113"/>
      <c r="AP337" s="113"/>
      <c r="AQ337" s="113"/>
      <c r="AR337" s="110"/>
      <c r="AS337" s="113"/>
      <c r="AT337" s="113"/>
      <c r="AU337" s="112"/>
      <c r="AV337" s="338"/>
      <c r="AW337" s="110"/>
      <c r="AX337" s="110"/>
      <c r="AY337" s="113"/>
      <c r="AZ337" s="113"/>
      <c r="BA337" s="113"/>
      <c r="BB337" s="113"/>
      <c r="BC337" s="113"/>
      <c r="BD337" s="113"/>
      <c r="BF33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38" spans="1:58" x14ac:dyDescent="0.3">
      <c r="A338" s="422"/>
      <c r="B338" s="376"/>
      <c r="C338" s="110"/>
      <c r="D338" s="110"/>
      <c r="E338" s="340"/>
      <c r="F338" s="330"/>
      <c r="G338" s="113"/>
      <c r="H338" s="332"/>
      <c r="I338" s="113"/>
      <c r="J338" s="332"/>
      <c r="K338" s="110"/>
      <c r="L338" s="110"/>
      <c r="M338" s="110"/>
      <c r="N338" s="110"/>
      <c r="O338" s="111"/>
      <c r="P338" s="424" t="str">
        <f>IF(OR(Table13[[#This Row],[Annual Increase Option]]="No increase",Table13[[#This Row],[Annual Increase Option]]=""),"",_xlfn.XLOOKUP(MONTH(Table13[[#This Row],[Commencement Date]]),Lookups!$I$19:$I$30,Lookups!$J$19:$J$30,0))</f>
        <v/>
      </c>
      <c r="Q338" s="340"/>
      <c r="R338" s="340"/>
      <c r="S338" s="360">
        <f>IF(Table13[[#This Row],[Life Cover Amount]]="",0,Table2[[#This Row],[Life Premium]])</f>
        <v>0</v>
      </c>
      <c r="T338" s="360">
        <f>IF(Table13[[#This Row],[Funeral Cover Amount]]=0,0,Table2[[#This Row],[Funeral Premium]])</f>
        <v>0</v>
      </c>
      <c r="U338" s="360">
        <f>IF(AND(Table13[[#This Row],[Life Cover Amount]]="",Table13[[#This Row],[Funeral Cover Amount]]=""),0,onboarding_calcs!AA338)</f>
        <v>0</v>
      </c>
      <c r="V338" s="111"/>
      <c r="W338" s="111"/>
      <c r="X338" s="333"/>
      <c r="Y338" s="110"/>
      <c r="Z338" s="113"/>
      <c r="AA338" s="425"/>
      <c r="AB338" s="425"/>
      <c r="AC338" s="113"/>
      <c r="AD338" s="110"/>
      <c r="AE338" s="110"/>
      <c r="AF338" s="110"/>
      <c r="AG338" s="110"/>
      <c r="AH338" s="110"/>
      <c r="AI338" s="113"/>
      <c r="AJ338" s="110"/>
      <c r="AK338" s="110"/>
      <c r="AL338" s="110"/>
      <c r="AM338" s="110"/>
      <c r="AN338" s="110"/>
      <c r="AO338" s="113"/>
      <c r="AP338" s="113"/>
      <c r="AQ338" s="113"/>
      <c r="AR338" s="110"/>
      <c r="AS338" s="113"/>
      <c r="AT338" s="113"/>
      <c r="AU338" s="112"/>
      <c r="AV338" s="338"/>
      <c r="AW338" s="110"/>
      <c r="AX338" s="110"/>
      <c r="AY338" s="113"/>
      <c r="AZ338" s="113"/>
      <c r="BA338" s="113"/>
      <c r="BB338" s="113"/>
      <c r="BC338" s="113"/>
      <c r="BD338" s="113"/>
      <c r="BF33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39" spans="1:58" x14ac:dyDescent="0.3">
      <c r="A339" s="422"/>
      <c r="B339" s="376"/>
      <c r="C339" s="110"/>
      <c r="D339" s="110"/>
      <c r="E339" s="340"/>
      <c r="F339" s="330"/>
      <c r="G339" s="113"/>
      <c r="H339" s="332"/>
      <c r="I339" s="113"/>
      <c r="J339" s="332"/>
      <c r="K339" s="110"/>
      <c r="L339" s="110"/>
      <c r="M339" s="110"/>
      <c r="N339" s="110"/>
      <c r="O339" s="111"/>
      <c r="P339" s="424" t="str">
        <f>IF(OR(Table13[[#This Row],[Annual Increase Option]]="No increase",Table13[[#This Row],[Annual Increase Option]]=""),"",_xlfn.XLOOKUP(MONTH(Table13[[#This Row],[Commencement Date]]),Lookups!$I$19:$I$30,Lookups!$J$19:$J$30,0))</f>
        <v/>
      </c>
      <c r="Q339" s="340"/>
      <c r="R339" s="340"/>
      <c r="S339" s="360">
        <f>IF(Table13[[#This Row],[Life Cover Amount]]="",0,Table2[[#This Row],[Life Premium]])</f>
        <v>0</v>
      </c>
      <c r="T339" s="360">
        <f>IF(Table13[[#This Row],[Funeral Cover Amount]]=0,0,Table2[[#This Row],[Funeral Premium]])</f>
        <v>0</v>
      </c>
      <c r="U339" s="360">
        <f>IF(AND(Table13[[#This Row],[Life Cover Amount]]="",Table13[[#This Row],[Funeral Cover Amount]]=""),0,onboarding_calcs!AA339)</f>
        <v>0</v>
      </c>
      <c r="V339" s="111"/>
      <c r="W339" s="111"/>
      <c r="X339" s="333"/>
      <c r="Y339" s="110"/>
      <c r="Z339" s="113"/>
      <c r="AA339" s="425"/>
      <c r="AB339" s="425"/>
      <c r="AC339" s="113"/>
      <c r="AD339" s="110"/>
      <c r="AE339" s="110"/>
      <c r="AF339" s="110"/>
      <c r="AG339" s="110"/>
      <c r="AH339" s="110"/>
      <c r="AI339" s="113"/>
      <c r="AJ339" s="110"/>
      <c r="AK339" s="110"/>
      <c r="AL339" s="110"/>
      <c r="AM339" s="110"/>
      <c r="AN339" s="110"/>
      <c r="AO339" s="113"/>
      <c r="AP339" s="113"/>
      <c r="AQ339" s="113"/>
      <c r="AR339" s="110"/>
      <c r="AS339" s="113"/>
      <c r="AT339" s="113"/>
      <c r="AU339" s="112"/>
      <c r="AV339" s="338"/>
      <c r="AW339" s="110"/>
      <c r="AX339" s="110"/>
      <c r="AY339" s="113"/>
      <c r="AZ339" s="113"/>
      <c r="BA339" s="113"/>
      <c r="BB339" s="113"/>
      <c r="BC339" s="113"/>
      <c r="BD339" s="113"/>
      <c r="BF33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40" spans="1:58" x14ac:dyDescent="0.3">
      <c r="A340" s="422"/>
      <c r="B340" s="376"/>
      <c r="C340" s="110"/>
      <c r="D340" s="110"/>
      <c r="E340" s="340"/>
      <c r="F340" s="330"/>
      <c r="G340" s="113"/>
      <c r="H340" s="332"/>
      <c r="I340" s="113"/>
      <c r="J340" s="332"/>
      <c r="K340" s="110"/>
      <c r="L340" s="110"/>
      <c r="M340" s="110"/>
      <c r="N340" s="110"/>
      <c r="O340" s="111"/>
      <c r="P340" s="424" t="str">
        <f>IF(OR(Table13[[#This Row],[Annual Increase Option]]="No increase",Table13[[#This Row],[Annual Increase Option]]=""),"",_xlfn.XLOOKUP(MONTH(Table13[[#This Row],[Commencement Date]]),Lookups!$I$19:$I$30,Lookups!$J$19:$J$30,0))</f>
        <v/>
      </c>
      <c r="Q340" s="340"/>
      <c r="R340" s="340"/>
      <c r="S340" s="360">
        <f>IF(Table13[[#This Row],[Life Cover Amount]]="",0,Table2[[#This Row],[Life Premium]])</f>
        <v>0</v>
      </c>
      <c r="T340" s="360">
        <f>IF(Table13[[#This Row],[Funeral Cover Amount]]=0,0,Table2[[#This Row],[Funeral Premium]])</f>
        <v>0</v>
      </c>
      <c r="U340" s="360">
        <f>IF(AND(Table13[[#This Row],[Life Cover Amount]]="",Table13[[#This Row],[Funeral Cover Amount]]=""),0,onboarding_calcs!AA340)</f>
        <v>0</v>
      </c>
      <c r="V340" s="111"/>
      <c r="W340" s="111"/>
      <c r="X340" s="333"/>
      <c r="Y340" s="110"/>
      <c r="Z340" s="113"/>
      <c r="AA340" s="425"/>
      <c r="AB340" s="425"/>
      <c r="AC340" s="113"/>
      <c r="AD340" s="110"/>
      <c r="AE340" s="110"/>
      <c r="AF340" s="110"/>
      <c r="AG340" s="110"/>
      <c r="AH340" s="110"/>
      <c r="AI340" s="113"/>
      <c r="AJ340" s="110"/>
      <c r="AK340" s="110"/>
      <c r="AL340" s="110"/>
      <c r="AM340" s="110"/>
      <c r="AN340" s="110"/>
      <c r="AO340" s="113"/>
      <c r="AP340" s="113"/>
      <c r="AQ340" s="113"/>
      <c r="AR340" s="110"/>
      <c r="AS340" s="113"/>
      <c r="AT340" s="113"/>
      <c r="AU340" s="112"/>
      <c r="AV340" s="338"/>
      <c r="AW340" s="110"/>
      <c r="AX340" s="110"/>
      <c r="AY340" s="113"/>
      <c r="AZ340" s="113"/>
      <c r="BA340" s="113"/>
      <c r="BB340" s="113"/>
      <c r="BC340" s="113"/>
      <c r="BD340" s="113"/>
      <c r="BF34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41" spans="1:58" x14ac:dyDescent="0.3">
      <c r="A341" s="422"/>
      <c r="B341" s="376"/>
      <c r="C341" s="110"/>
      <c r="D341" s="110"/>
      <c r="E341" s="340"/>
      <c r="F341" s="330"/>
      <c r="G341" s="113"/>
      <c r="H341" s="332"/>
      <c r="I341" s="113"/>
      <c r="J341" s="332"/>
      <c r="K341" s="110"/>
      <c r="L341" s="110"/>
      <c r="M341" s="110"/>
      <c r="N341" s="110"/>
      <c r="O341" s="111"/>
      <c r="P341" s="424" t="str">
        <f>IF(OR(Table13[[#This Row],[Annual Increase Option]]="No increase",Table13[[#This Row],[Annual Increase Option]]=""),"",_xlfn.XLOOKUP(MONTH(Table13[[#This Row],[Commencement Date]]),Lookups!$I$19:$I$30,Lookups!$J$19:$J$30,0))</f>
        <v/>
      </c>
      <c r="Q341" s="340"/>
      <c r="R341" s="340"/>
      <c r="S341" s="360">
        <f>IF(Table13[[#This Row],[Life Cover Amount]]="",0,Table2[[#This Row],[Life Premium]])</f>
        <v>0</v>
      </c>
      <c r="T341" s="360">
        <f>IF(Table13[[#This Row],[Funeral Cover Amount]]=0,0,Table2[[#This Row],[Funeral Premium]])</f>
        <v>0</v>
      </c>
      <c r="U341" s="360">
        <f>IF(AND(Table13[[#This Row],[Life Cover Amount]]="",Table13[[#This Row],[Funeral Cover Amount]]=""),0,onboarding_calcs!AA341)</f>
        <v>0</v>
      </c>
      <c r="V341" s="111"/>
      <c r="W341" s="111"/>
      <c r="X341" s="333"/>
      <c r="Y341" s="110"/>
      <c r="Z341" s="113"/>
      <c r="AA341" s="425"/>
      <c r="AB341" s="425"/>
      <c r="AC341" s="113"/>
      <c r="AD341" s="110"/>
      <c r="AE341" s="110"/>
      <c r="AF341" s="110"/>
      <c r="AG341" s="110"/>
      <c r="AH341" s="110"/>
      <c r="AI341" s="113"/>
      <c r="AJ341" s="110"/>
      <c r="AK341" s="110"/>
      <c r="AL341" s="110"/>
      <c r="AM341" s="110"/>
      <c r="AN341" s="110"/>
      <c r="AO341" s="113"/>
      <c r="AP341" s="113"/>
      <c r="AQ341" s="113"/>
      <c r="AR341" s="110"/>
      <c r="AS341" s="113"/>
      <c r="AT341" s="113"/>
      <c r="AU341" s="112"/>
      <c r="AV341" s="338"/>
      <c r="AW341" s="110"/>
      <c r="AX341" s="110"/>
      <c r="AY341" s="113"/>
      <c r="AZ341" s="113"/>
      <c r="BA341" s="113"/>
      <c r="BB341" s="113"/>
      <c r="BC341" s="113"/>
      <c r="BD341" s="113"/>
      <c r="BF34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42" spans="1:58" x14ac:dyDescent="0.3">
      <c r="A342" s="422"/>
      <c r="B342" s="376"/>
      <c r="C342" s="110"/>
      <c r="D342" s="110"/>
      <c r="E342" s="340"/>
      <c r="F342" s="330"/>
      <c r="G342" s="113"/>
      <c r="H342" s="332"/>
      <c r="I342" s="113"/>
      <c r="J342" s="332"/>
      <c r="K342" s="110"/>
      <c r="L342" s="110"/>
      <c r="M342" s="110"/>
      <c r="N342" s="110"/>
      <c r="O342" s="111"/>
      <c r="P342" s="424" t="str">
        <f>IF(OR(Table13[[#This Row],[Annual Increase Option]]="No increase",Table13[[#This Row],[Annual Increase Option]]=""),"",_xlfn.XLOOKUP(MONTH(Table13[[#This Row],[Commencement Date]]),Lookups!$I$19:$I$30,Lookups!$J$19:$J$30,0))</f>
        <v/>
      </c>
      <c r="Q342" s="340"/>
      <c r="R342" s="340"/>
      <c r="S342" s="360">
        <f>IF(Table13[[#This Row],[Life Cover Amount]]="",0,Table2[[#This Row],[Life Premium]])</f>
        <v>0</v>
      </c>
      <c r="T342" s="360">
        <f>IF(Table13[[#This Row],[Funeral Cover Amount]]=0,0,Table2[[#This Row],[Funeral Premium]])</f>
        <v>0</v>
      </c>
      <c r="U342" s="360">
        <f>IF(AND(Table13[[#This Row],[Life Cover Amount]]="",Table13[[#This Row],[Funeral Cover Amount]]=""),0,onboarding_calcs!AA342)</f>
        <v>0</v>
      </c>
      <c r="V342" s="111"/>
      <c r="W342" s="111"/>
      <c r="X342" s="333"/>
      <c r="Y342" s="110"/>
      <c r="Z342" s="113"/>
      <c r="AA342" s="425"/>
      <c r="AB342" s="425"/>
      <c r="AC342" s="113"/>
      <c r="AD342" s="110"/>
      <c r="AE342" s="110"/>
      <c r="AF342" s="110"/>
      <c r="AG342" s="110"/>
      <c r="AH342" s="110"/>
      <c r="AI342" s="113"/>
      <c r="AJ342" s="110"/>
      <c r="AK342" s="110"/>
      <c r="AL342" s="110"/>
      <c r="AM342" s="110"/>
      <c r="AN342" s="110"/>
      <c r="AO342" s="113"/>
      <c r="AP342" s="113"/>
      <c r="AQ342" s="113"/>
      <c r="AR342" s="110"/>
      <c r="AS342" s="113"/>
      <c r="AT342" s="113"/>
      <c r="AU342" s="112"/>
      <c r="AV342" s="338"/>
      <c r="AW342" s="110"/>
      <c r="AX342" s="110"/>
      <c r="AY342" s="113"/>
      <c r="AZ342" s="113"/>
      <c r="BA342" s="113"/>
      <c r="BB342" s="113"/>
      <c r="BC342" s="113"/>
      <c r="BD342" s="113"/>
      <c r="BF34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43" spans="1:58" x14ac:dyDescent="0.3">
      <c r="A343" s="422"/>
      <c r="B343" s="376"/>
      <c r="C343" s="110"/>
      <c r="D343" s="110"/>
      <c r="E343" s="340"/>
      <c r="F343" s="330"/>
      <c r="G343" s="113"/>
      <c r="H343" s="332"/>
      <c r="I343" s="113"/>
      <c r="J343" s="332"/>
      <c r="K343" s="110"/>
      <c r="L343" s="110"/>
      <c r="M343" s="110"/>
      <c r="N343" s="110"/>
      <c r="O343" s="111"/>
      <c r="P343" s="424" t="str">
        <f>IF(OR(Table13[[#This Row],[Annual Increase Option]]="No increase",Table13[[#This Row],[Annual Increase Option]]=""),"",_xlfn.XLOOKUP(MONTH(Table13[[#This Row],[Commencement Date]]),Lookups!$I$19:$I$30,Lookups!$J$19:$J$30,0))</f>
        <v/>
      </c>
      <c r="Q343" s="340"/>
      <c r="R343" s="340"/>
      <c r="S343" s="360">
        <f>IF(Table13[[#This Row],[Life Cover Amount]]="",0,Table2[[#This Row],[Life Premium]])</f>
        <v>0</v>
      </c>
      <c r="T343" s="360">
        <f>IF(Table13[[#This Row],[Funeral Cover Amount]]=0,0,Table2[[#This Row],[Funeral Premium]])</f>
        <v>0</v>
      </c>
      <c r="U343" s="360">
        <f>IF(AND(Table13[[#This Row],[Life Cover Amount]]="",Table13[[#This Row],[Funeral Cover Amount]]=""),0,onboarding_calcs!AA343)</f>
        <v>0</v>
      </c>
      <c r="V343" s="111"/>
      <c r="W343" s="111"/>
      <c r="X343" s="333"/>
      <c r="Y343" s="110"/>
      <c r="Z343" s="113"/>
      <c r="AA343" s="425"/>
      <c r="AB343" s="425"/>
      <c r="AC343" s="113"/>
      <c r="AD343" s="110"/>
      <c r="AE343" s="110"/>
      <c r="AF343" s="110"/>
      <c r="AG343" s="110"/>
      <c r="AH343" s="110"/>
      <c r="AI343" s="113"/>
      <c r="AJ343" s="110"/>
      <c r="AK343" s="110"/>
      <c r="AL343" s="110"/>
      <c r="AM343" s="110"/>
      <c r="AN343" s="110"/>
      <c r="AO343" s="113"/>
      <c r="AP343" s="113"/>
      <c r="AQ343" s="113"/>
      <c r="AR343" s="110"/>
      <c r="AS343" s="113"/>
      <c r="AT343" s="113"/>
      <c r="AU343" s="112"/>
      <c r="AV343" s="338"/>
      <c r="AW343" s="110"/>
      <c r="AX343" s="110"/>
      <c r="AY343" s="113"/>
      <c r="AZ343" s="113"/>
      <c r="BA343" s="113"/>
      <c r="BB343" s="113"/>
      <c r="BC343" s="113"/>
      <c r="BD343" s="113"/>
      <c r="BF34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44" spans="1:58" x14ac:dyDescent="0.3">
      <c r="A344" s="422"/>
      <c r="B344" s="376"/>
      <c r="C344" s="110"/>
      <c r="D344" s="110"/>
      <c r="E344" s="340"/>
      <c r="F344" s="330"/>
      <c r="G344" s="113"/>
      <c r="H344" s="332"/>
      <c r="I344" s="113"/>
      <c r="J344" s="332"/>
      <c r="K344" s="110"/>
      <c r="L344" s="110"/>
      <c r="M344" s="110"/>
      <c r="N344" s="110"/>
      <c r="O344" s="111"/>
      <c r="P344" s="424" t="str">
        <f>IF(OR(Table13[[#This Row],[Annual Increase Option]]="No increase",Table13[[#This Row],[Annual Increase Option]]=""),"",_xlfn.XLOOKUP(MONTH(Table13[[#This Row],[Commencement Date]]),Lookups!$I$19:$I$30,Lookups!$J$19:$J$30,0))</f>
        <v/>
      </c>
      <c r="Q344" s="340"/>
      <c r="R344" s="340"/>
      <c r="S344" s="360">
        <f>IF(Table13[[#This Row],[Life Cover Amount]]="",0,Table2[[#This Row],[Life Premium]])</f>
        <v>0</v>
      </c>
      <c r="T344" s="360">
        <f>IF(Table13[[#This Row],[Funeral Cover Amount]]=0,0,Table2[[#This Row],[Funeral Premium]])</f>
        <v>0</v>
      </c>
      <c r="U344" s="360">
        <f>IF(AND(Table13[[#This Row],[Life Cover Amount]]="",Table13[[#This Row],[Funeral Cover Amount]]=""),0,onboarding_calcs!AA344)</f>
        <v>0</v>
      </c>
      <c r="V344" s="111"/>
      <c r="W344" s="111"/>
      <c r="X344" s="333"/>
      <c r="Y344" s="110"/>
      <c r="Z344" s="113"/>
      <c r="AA344" s="425"/>
      <c r="AB344" s="425"/>
      <c r="AC344" s="113"/>
      <c r="AD344" s="110"/>
      <c r="AE344" s="110"/>
      <c r="AF344" s="110"/>
      <c r="AG344" s="110"/>
      <c r="AH344" s="110"/>
      <c r="AI344" s="113"/>
      <c r="AJ344" s="110"/>
      <c r="AK344" s="110"/>
      <c r="AL344" s="110"/>
      <c r="AM344" s="110"/>
      <c r="AN344" s="110"/>
      <c r="AO344" s="113"/>
      <c r="AP344" s="113"/>
      <c r="AQ344" s="113"/>
      <c r="AR344" s="110"/>
      <c r="AS344" s="113"/>
      <c r="AT344" s="113"/>
      <c r="AU344" s="112"/>
      <c r="AV344" s="338"/>
      <c r="AW344" s="110"/>
      <c r="AX344" s="110"/>
      <c r="AY344" s="113"/>
      <c r="AZ344" s="113"/>
      <c r="BA344" s="113"/>
      <c r="BB344" s="113"/>
      <c r="BC344" s="113"/>
      <c r="BD344" s="113"/>
      <c r="BF34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45" spans="1:58" x14ac:dyDescent="0.3">
      <c r="A345" s="422"/>
      <c r="B345" s="376"/>
      <c r="C345" s="110"/>
      <c r="D345" s="110"/>
      <c r="E345" s="340"/>
      <c r="F345" s="330"/>
      <c r="G345" s="113"/>
      <c r="H345" s="332"/>
      <c r="I345" s="113"/>
      <c r="J345" s="332"/>
      <c r="K345" s="110"/>
      <c r="L345" s="110"/>
      <c r="M345" s="110"/>
      <c r="N345" s="110"/>
      <c r="O345" s="111"/>
      <c r="P345" s="424" t="str">
        <f>IF(OR(Table13[[#This Row],[Annual Increase Option]]="No increase",Table13[[#This Row],[Annual Increase Option]]=""),"",_xlfn.XLOOKUP(MONTH(Table13[[#This Row],[Commencement Date]]),Lookups!$I$19:$I$30,Lookups!$J$19:$J$30,0))</f>
        <v/>
      </c>
      <c r="Q345" s="340"/>
      <c r="R345" s="340"/>
      <c r="S345" s="360">
        <f>IF(Table13[[#This Row],[Life Cover Amount]]="",0,Table2[[#This Row],[Life Premium]])</f>
        <v>0</v>
      </c>
      <c r="T345" s="360">
        <f>IF(Table13[[#This Row],[Funeral Cover Amount]]=0,0,Table2[[#This Row],[Funeral Premium]])</f>
        <v>0</v>
      </c>
      <c r="U345" s="360">
        <f>IF(AND(Table13[[#This Row],[Life Cover Amount]]="",Table13[[#This Row],[Funeral Cover Amount]]=""),0,onboarding_calcs!AA345)</f>
        <v>0</v>
      </c>
      <c r="V345" s="111"/>
      <c r="W345" s="111"/>
      <c r="X345" s="333"/>
      <c r="Y345" s="110"/>
      <c r="Z345" s="113"/>
      <c r="AA345" s="425"/>
      <c r="AB345" s="425"/>
      <c r="AC345" s="113"/>
      <c r="AD345" s="110"/>
      <c r="AE345" s="110"/>
      <c r="AF345" s="110"/>
      <c r="AG345" s="110"/>
      <c r="AH345" s="110"/>
      <c r="AI345" s="113"/>
      <c r="AJ345" s="110"/>
      <c r="AK345" s="110"/>
      <c r="AL345" s="110"/>
      <c r="AM345" s="110"/>
      <c r="AN345" s="110"/>
      <c r="AO345" s="113"/>
      <c r="AP345" s="113"/>
      <c r="AQ345" s="113"/>
      <c r="AR345" s="110"/>
      <c r="AS345" s="113"/>
      <c r="AT345" s="113"/>
      <c r="AU345" s="112"/>
      <c r="AV345" s="338"/>
      <c r="AW345" s="110"/>
      <c r="AX345" s="110"/>
      <c r="AY345" s="113"/>
      <c r="AZ345" s="113"/>
      <c r="BA345" s="113"/>
      <c r="BB345" s="113"/>
      <c r="BC345" s="113"/>
      <c r="BD345" s="113"/>
      <c r="BF34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46" spans="1:58" x14ac:dyDescent="0.3">
      <c r="A346" s="422"/>
      <c r="B346" s="376"/>
      <c r="C346" s="110"/>
      <c r="D346" s="110"/>
      <c r="E346" s="340"/>
      <c r="F346" s="330"/>
      <c r="G346" s="113"/>
      <c r="H346" s="332"/>
      <c r="I346" s="113"/>
      <c r="J346" s="332"/>
      <c r="K346" s="110"/>
      <c r="L346" s="110"/>
      <c r="M346" s="110"/>
      <c r="N346" s="110"/>
      <c r="O346" s="111"/>
      <c r="P346" s="424" t="str">
        <f>IF(OR(Table13[[#This Row],[Annual Increase Option]]="No increase",Table13[[#This Row],[Annual Increase Option]]=""),"",_xlfn.XLOOKUP(MONTH(Table13[[#This Row],[Commencement Date]]),Lookups!$I$19:$I$30,Lookups!$J$19:$J$30,0))</f>
        <v/>
      </c>
      <c r="Q346" s="340"/>
      <c r="R346" s="340"/>
      <c r="S346" s="360">
        <f>IF(Table13[[#This Row],[Life Cover Amount]]="",0,Table2[[#This Row],[Life Premium]])</f>
        <v>0</v>
      </c>
      <c r="T346" s="360">
        <f>IF(Table13[[#This Row],[Funeral Cover Amount]]=0,0,Table2[[#This Row],[Funeral Premium]])</f>
        <v>0</v>
      </c>
      <c r="U346" s="360">
        <f>IF(AND(Table13[[#This Row],[Life Cover Amount]]="",Table13[[#This Row],[Funeral Cover Amount]]=""),0,onboarding_calcs!AA346)</f>
        <v>0</v>
      </c>
      <c r="V346" s="111"/>
      <c r="W346" s="111"/>
      <c r="X346" s="333"/>
      <c r="Y346" s="110"/>
      <c r="Z346" s="113"/>
      <c r="AA346" s="425"/>
      <c r="AB346" s="425"/>
      <c r="AC346" s="113"/>
      <c r="AD346" s="110"/>
      <c r="AE346" s="110"/>
      <c r="AF346" s="110"/>
      <c r="AG346" s="110"/>
      <c r="AH346" s="110"/>
      <c r="AI346" s="113"/>
      <c r="AJ346" s="110"/>
      <c r="AK346" s="110"/>
      <c r="AL346" s="110"/>
      <c r="AM346" s="110"/>
      <c r="AN346" s="110"/>
      <c r="AO346" s="113"/>
      <c r="AP346" s="113"/>
      <c r="AQ346" s="113"/>
      <c r="AR346" s="110"/>
      <c r="AS346" s="113"/>
      <c r="AT346" s="113"/>
      <c r="AU346" s="112"/>
      <c r="AV346" s="338"/>
      <c r="AW346" s="110"/>
      <c r="AX346" s="110"/>
      <c r="AY346" s="113"/>
      <c r="AZ346" s="113"/>
      <c r="BA346" s="113"/>
      <c r="BB346" s="113"/>
      <c r="BC346" s="113"/>
      <c r="BD346" s="113"/>
      <c r="BF34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47" spans="1:58" x14ac:dyDescent="0.3">
      <c r="A347" s="422"/>
      <c r="B347" s="376"/>
      <c r="C347" s="110"/>
      <c r="D347" s="110"/>
      <c r="E347" s="340"/>
      <c r="F347" s="330"/>
      <c r="G347" s="113"/>
      <c r="H347" s="332"/>
      <c r="I347" s="113"/>
      <c r="J347" s="332"/>
      <c r="K347" s="110"/>
      <c r="L347" s="110"/>
      <c r="M347" s="110"/>
      <c r="N347" s="110"/>
      <c r="O347" s="111"/>
      <c r="P347" s="424" t="str">
        <f>IF(OR(Table13[[#This Row],[Annual Increase Option]]="No increase",Table13[[#This Row],[Annual Increase Option]]=""),"",_xlfn.XLOOKUP(MONTH(Table13[[#This Row],[Commencement Date]]),Lookups!$I$19:$I$30,Lookups!$J$19:$J$30,0))</f>
        <v/>
      </c>
      <c r="Q347" s="340"/>
      <c r="R347" s="340"/>
      <c r="S347" s="360">
        <f>IF(Table13[[#This Row],[Life Cover Amount]]="",0,Table2[[#This Row],[Life Premium]])</f>
        <v>0</v>
      </c>
      <c r="T347" s="360">
        <f>IF(Table13[[#This Row],[Funeral Cover Amount]]=0,0,Table2[[#This Row],[Funeral Premium]])</f>
        <v>0</v>
      </c>
      <c r="U347" s="360">
        <f>IF(AND(Table13[[#This Row],[Life Cover Amount]]="",Table13[[#This Row],[Funeral Cover Amount]]=""),0,onboarding_calcs!AA347)</f>
        <v>0</v>
      </c>
      <c r="V347" s="111"/>
      <c r="W347" s="111"/>
      <c r="X347" s="333"/>
      <c r="Y347" s="110"/>
      <c r="Z347" s="113"/>
      <c r="AA347" s="425"/>
      <c r="AB347" s="425"/>
      <c r="AC347" s="113"/>
      <c r="AD347" s="110"/>
      <c r="AE347" s="110"/>
      <c r="AF347" s="110"/>
      <c r="AG347" s="110"/>
      <c r="AH347" s="110"/>
      <c r="AI347" s="113"/>
      <c r="AJ347" s="110"/>
      <c r="AK347" s="110"/>
      <c r="AL347" s="110"/>
      <c r="AM347" s="110"/>
      <c r="AN347" s="110"/>
      <c r="AO347" s="113"/>
      <c r="AP347" s="113"/>
      <c r="AQ347" s="113"/>
      <c r="AR347" s="110"/>
      <c r="AS347" s="113"/>
      <c r="AT347" s="113"/>
      <c r="AU347" s="112"/>
      <c r="AV347" s="338"/>
      <c r="AW347" s="110"/>
      <c r="AX347" s="110"/>
      <c r="AY347" s="113"/>
      <c r="AZ347" s="113"/>
      <c r="BA347" s="113"/>
      <c r="BB347" s="113"/>
      <c r="BC347" s="113"/>
      <c r="BD347" s="113"/>
      <c r="BF34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48" spans="1:58" x14ac:dyDescent="0.3">
      <c r="A348" s="422"/>
      <c r="B348" s="376"/>
      <c r="C348" s="110"/>
      <c r="D348" s="110"/>
      <c r="E348" s="340"/>
      <c r="F348" s="330"/>
      <c r="G348" s="113"/>
      <c r="H348" s="332"/>
      <c r="I348" s="113"/>
      <c r="J348" s="332"/>
      <c r="K348" s="110"/>
      <c r="L348" s="110"/>
      <c r="M348" s="110"/>
      <c r="N348" s="110"/>
      <c r="O348" s="111"/>
      <c r="P348" s="424" t="str">
        <f>IF(OR(Table13[[#This Row],[Annual Increase Option]]="No increase",Table13[[#This Row],[Annual Increase Option]]=""),"",_xlfn.XLOOKUP(MONTH(Table13[[#This Row],[Commencement Date]]),Lookups!$I$19:$I$30,Lookups!$J$19:$J$30,0))</f>
        <v/>
      </c>
      <c r="Q348" s="340"/>
      <c r="R348" s="340"/>
      <c r="S348" s="360">
        <f>IF(Table13[[#This Row],[Life Cover Amount]]="",0,Table2[[#This Row],[Life Premium]])</f>
        <v>0</v>
      </c>
      <c r="T348" s="360">
        <f>IF(Table13[[#This Row],[Funeral Cover Amount]]=0,0,Table2[[#This Row],[Funeral Premium]])</f>
        <v>0</v>
      </c>
      <c r="U348" s="360">
        <f>IF(AND(Table13[[#This Row],[Life Cover Amount]]="",Table13[[#This Row],[Funeral Cover Amount]]=""),0,onboarding_calcs!AA348)</f>
        <v>0</v>
      </c>
      <c r="V348" s="111"/>
      <c r="W348" s="111"/>
      <c r="X348" s="333"/>
      <c r="Y348" s="110"/>
      <c r="Z348" s="113"/>
      <c r="AA348" s="425"/>
      <c r="AB348" s="425"/>
      <c r="AC348" s="113"/>
      <c r="AD348" s="110"/>
      <c r="AE348" s="110"/>
      <c r="AF348" s="110"/>
      <c r="AG348" s="110"/>
      <c r="AH348" s="110"/>
      <c r="AI348" s="113"/>
      <c r="AJ348" s="110"/>
      <c r="AK348" s="110"/>
      <c r="AL348" s="110"/>
      <c r="AM348" s="110"/>
      <c r="AN348" s="110"/>
      <c r="AO348" s="113"/>
      <c r="AP348" s="113"/>
      <c r="AQ348" s="113"/>
      <c r="AR348" s="110"/>
      <c r="AS348" s="113"/>
      <c r="AT348" s="113"/>
      <c r="AU348" s="112"/>
      <c r="AV348" s="338"/>
      <c r="AW348" s="110"/>
      <c r="AX348" s="110"/>
      <c r="AY348" s="113"/>
      <c r="AZ348" s="113"/>
      <c r="BA348" s="113"/>
      <c r="BB348" s="113"/>
      <c r="BC348" s="113"/>
      <c r="BD348" s="113"/>
      <c r="BF34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49" spans="1:58" x14ac:dyDescent="0.3">
      <c r="A349" s="422"/>
      <c r="B349" s="376"/>
      <c r="C349" s="110"/>
      <c r="D349" s="110"/>
      <c r="E349" s="340"/>
      <c r="F349" s="330"/>
      <c r="G349" s="113"/>
      <c r="H349" s="332"/>
      <c r="I349" s="113"/>
      <c r="J349" s="332"/>
      <c r="K349" s="110"/>
      <c r="L349" s="110"/>
      <c r="M349" s="110"/>
      <c r="N349" s="110"/>
      <c r="O349" s="111"/>
      <c r="P349" s="424" t="str">
        <f>IF(OR(Table13[[#This Row],[Annual Increase Option]]="No increase",Table13[[#This Row],[Annual Increase Option]]=""),"",_xlfn.XLOOKUP(MONTH(Table13[[#This Row],[Commencement Date]]),Lookups!$I$19:$I$30,Lookups!$J$19:$J$30,0))</f>
        <v/>
      </c>
      <c r="Q349" s="340"/>
      <c r="R349" s="340"/>
      <c r="S349" s="360">
        <f>IF(Table13[[#This Row],[Life Cover Amount]]="",0,Table2[[#This Row],[Life Premium]])</f>
        <v>0</v>
      </c>
      <c r="T349" s="360">
        <f>IF(Table13[[#This Row],[Funeral Cover Amount]]=0,0,Table2[[#This Row],[Funeral Premium]])</f>
        <v>0</v>
      </c>
      <c r="U349" s="360">
        <f>IF(AND(Table13[[#This Row],[Life Cover Amount]]="",Table13[[#This Row],[Funeral Cover Amount]]=""),0,onboarding_calcs!AA349)</f>
        <v>0</v>
      </c>
      <c r="V349" s="111"/>
      <c r="W349" s="111"/>
      <c r="X349" s="333"/>
      <c r="Y349" s="110"/>
      <c r="Z349" s="113"/>
      <c r="AA349" s="425"/>
      <c r="AB349" s="425"/>
      <c r="AC349" s="113"/>
      <c r="AD349" s="110"/>
      <c r="AE349" s="110"/>
      <c r="AF349" s="110"/>
      <c r="AG349" s="110"/>
      <c r="AH349" s="110"/>
      <c r="AI349" s="113"/>
      <c r="AJ349" s="110"/>
      <c r="AK349" s="110"/>
      <c r="AL349" s="110"/>
      <c r="AM349" s="110"/>
      <c r="AN349" s="110"/>
      <c r="AO349" s="113"/>
      <c r="AP349" s="113"/>
      <c r="AQ349" s="113"/>
      <c r="AR349" s="110"/>
      <c r="AS349" s="113"/>
      <c r="AT349" s="113"/>
      <c r="AU349" s="112"/>
      <c r="AV349" s="338"/>
      <c r="AW349" s="110"/>
      <c r="AX349" s="110"/>
      <c r="AY349" s="113"/>
      <c r="AZ349" s="113"/>
      <c r="BA349" s="113"/>
      <c r="BB349" s="113"/>
      <c r="BC349" s="113"/>
      <c r="BD349" s="113"/>
      <c r="BF34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50" spans="1:58" x14ac:dyDescent="0.3">
      <c r="A350" s="422"/>
      <c r="B350" s="376"/>
      <c r="C350" s="110"/>
      <c r="D350" s="110"/>
      <c r="E350" s="340"/>
      <c r="F350" s="330"/>
      <c r="G350" s="113"/>
      <c r="H350" s="332"/>
      <c r="I350" s="113"/>
      <c r="J350" s="332"/>
      <c r="K350" s="110"/>
      <c r="L350" s="110"/>
      <c r="M350" s="110"/>
      <c r="N350" s="110"/>
      <c r="O350" s="111"/>
      <c r="P350" s="424" t="str">
        <f>IF(OR(Table13[[#This Row],[Annual Increase Option]]="No increase",Table13[[#This Row],[Annual Increase Option]]=""),"",_xlfn.XLOOKUP(MONTH(Table13[[#This Row],[Commencement Date]]),Lookups!$I$19:$I$30,Lookups!$J$19:$J$30,0))</f>
        <v/>
      </c>
      <c r="Q350" s="340"/>
      <c r="R350" s="340"/>
      <c r="S350" s="360">
        <f>IF(Table13[[#This Row],[Life Cover Amount]]="",0,Table2[[#This Row],[Life Premium]])</f>
        <v>0</v>
      </c>
      <c r="T350" s="360">
        <f>IF(Table13[[#This Row],[Funeral Cover Amount]]=0,0,Table2[[#This Row],[Funeral Premium]])</f>
        <v>0</v>
      </c>
      <c r="U350" s="360">
        <f>IF(AND(Table13[[#This Row],[Life Cover Amount]]="",Table13[[#This Row],[Funeral Cover Amount]]=""),0,onboarding_calcs!AA350)</f>
        <v>0</v>
      </c>
      <c r="V350" s="111"/>
      <c r="W350" s="111"/>
      <c r="X350" s="333"/>
      <c r="Y350" s="110"/>
      <c r="Z350" s="113"/>
      <c r="AA350" s="425"/>
      <c r="AB350" s="425"/>
      <c r="AC350" s="113"/>
      <c r="AD350" s="110"/>
      <c r="AE350" s="110"/>
      <c r="AF350" s="110"/>
      <c r="AG350" s="110"/>
      <c r="AH350" s="110"/>
      <c r="AI350" s="113"/>
      <c r="AJ350" s="110"/>
      <c r="AK350" s="110"/>
      <c r="AL350" s="110"/>
      <c r="AM350" s="110"/>
      <c r="AN350" s="110"/>
      <c r="AO350" s="113"/>
      <c r="AP350" s="113"/>
      <c r="AQ350" s="113"/>
      <c r="AR350" s="110"/>
      <c r="AS350" s="113"/>
      <c r="AT350" s="113"/>
      <c r="AU350" s="112"/>
      <c r="AV350" s="338"/>
      <c r="AW350" s="110"/>
      <c r="AX350" s="110"/>
      <c r="AY350" s="113"/>
      <c r="AZ350" s="113"/>
      <c r="BA350" s="113"/>
      <c r="BB350" s="113"/>
      <c r="BC350" s="113"/>
      <c r="BD350" s="113"/>
      <c r="BF35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51" spans="1:58" x14ac:dyDescent="0.3">
      <c r="A351" s="422"/>
      <c r="B351" s="376"/>
      <c r="C351" s="110"/>
      <c r="D351" s="110"/>
      <c r="E351" s="340"/>
      <c r="F351" s="330"/>
      <c r="G351" s="113"/>
      <c r="H351" s="332"/>
      <c r="I351" s="113"/>
      <c r="J351" s="332"/>
      <c r="K351" s="110"/>
      <c r="L351" s="110"/>
      <c r="M351" s="110"/>
      <c r="N351" s="110"/>
      <c r="O351" s="111"/>
      <c r="P351" s="424" t="str">
        <f>IF(OR(Table13[[#This Row],[Annual Increase Option]]="No increase",Table13[[#This Row],[Annual Increase Option]]=""),"",_xlfn.XLOOKUP(MONTH(Table13[[#This Row],[Commencement Date]]),Lookups!$I$19:$I$30,Lookups!$J$19:$J$30,0))</f>
        <v/>
      </c>
      <c r="Q351" s="340"/>
      <c r="R351" s="340"/>
      <c r="S351" s="360">
        <f>IF(Table13[[#This Row],[Life Cover Amount]]="",0,Table2[[#This Row],[Life Premium]])</f>
        <v>0</v>
      </c>
      <c r="T351" s="360">
        <f>IF(Table13[[#This Row],[Funeral Cover Amount]]=0,0,Table2[[#This Row],[Funeral Premium]])</f>
        <v>0</v>
      </c>
      <c r="U351" s="360">
        <f>IF(AND(Table13[[#This Row],[Life Cover Amount]]="",Table13[[#This Row],[Funeral Cover Amount]]=""),0,onboarding_calcs!AA351)</f>
        <v>0</v>
      </c>
      <c r="V351" s="111"/>
      <c r="W351" s="111"/>
      <c r="X351" s="333"/>
      <c r="Y351" s="110"/>
      <c r="Z351" s="113"/>
      <c r="AA351" s="425"/>
      <c r="AB351" s="425"/>
      <c r="AC351" s="113"/>
      <c r="AD351" s="110"/>
      <c r="AE351" s="110"/>
      <c r="AF351" s="110"/>
      <c r="AG351" s="110"/>
      <c r="AH351" s="110"/>
      <c r="AI351" s="113"/>
      <c r="AJ351" s="110"/>
      <c r="AK351" s="110"/>
      <c r="AL351" s="110"/>
      <c r="AM351" s="110"/>
      <c r="AN351" s="110"/>
      <c r="AO351" s="113"/>
      <c r="AP351" s="113"/>
      <c r="AQ351" s="113"/>
      <c r="AR351" s="110"/>
      <c r="AS351" s="113"/>
      <c r="AT351" s="113"/>
      <c r="AU351" s="112"/>
      <c r="AV351" s="338"/>
      <c r="AW351" s="110"/>
      <c r="AX351" s="110"/>
      <c r="AY351" s="113"/>
      <c r="AZ351" s="113"/>
      <c r="BA351" s="113"/>
      <c r="BB351" s="113"/>
      <c r="BC351" s="113"/>
      <c r="BD351" s="113"/>
      <c r="BF35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52" spans="1:58" x14ac:dyDescent="0.3">
      <c r="A352" s="422"/>
      <c r="B352" s="376"/>
      <c r="C352" s="110"/>
      <c r="D352" s="110"/>
      <c r="E352" s="340"/>
      <c r="F352" s="330"/>
      <c r="G352" s="113"/>
      <c r="H352" s="332"/>
      <c r="I352" s="113"/>
      <c r="J352" s="332"/>
      <c r="K352" s="110"/>
      <c r="L352" s="110"/>
      <c r="M352" s="110"/>
      <c r="N352" s="110"/>
      <c r="O352" s="111"/>
      <c r="P352" s="424" t="str">
        <f>IF(OR(Table13[[#This Row],[Annual Increase Option]]="No increase",Table13[[#This Row],[Annual Increase Option]]=""),"",_xlfn.XLOOKUP(MONTH(Table13[[#This Row],[Commencement Date]]),Lookups!$I$19:$I$30,Lookups!$J$19:$J$30,0))</f>
        <v/>
      </c>
      <c r="Q352" s="340"/>
      <c r="R352" s="340"/>
      <c r="S352" s="360">
        <f>IF(Table13[[#This Row],[Life Cover Amount]]="",0,Table2[[#This Row],[Life Premium]])</f>
        <v>0</v>
      </c>
      <c r="T352" s="360">
        <f>IF(Table13[[#This Row],[Funeral Cover Amount]]=0,0,Table2[[#This Row],[Funeral Premium]])</f>
        <v>0</v>
      </c>
      <c r="U352" s="360">
        <f>IF(AND(Table13[[#This Row],[Life Cover Amount]]="",Table13[[#This Row],[Funeral Cover Amount]]=""),0,onboarding_calcs!AA352)</f>
        <v>0</v>
      </c>
      <c r="V352" s="111"/>
      <c r="W352" s="111"/>
      <c r="X352" s="333"/>
      <c r="Y352" s="110"/>
      <c r="Z352" s="113"/>
      <c r="AA352" s="425"/>
      <c r="AB352" s="425"/>
      <c r="AC352" s="113"/>
      <c r="AD352" s="110"/>
      <c r="AE352" s="110"/>
      <c r="AF352" s="110"/>
      <c r="AG352" s="110"/>
      <c r="AH352" s="110"/>
      <c r="AI352" s="113"/>
      <c r="AJ352" s="110"/>
      <c r="AK352" s="110"/>
      <c r="AL352" s="110"/>
      <c r="AM352" s="110"/>
      <c r="AN352" s="110"/>
      <c r="AO352" s="113"/>
      <c r="AP352" s="113"/>
      <c r="AQ352" s="113"/>
      <c r="AR352" s="110"/>
      <c r="AS352" s="113"/>
      <c r="AT352" s="113"/>
      <c r="AU352" s="112"/>
      <c r="AV352" s="338"/>
      <c r="AW352" s="110"/>
      <c r="AX352" s="110"/>
      <c r="AY352" s="113"/>
      <c r="AZ352" s="113"/>
      <c r="BA352" s="113"/>
      <c r="BB352" s="113"/>
      <c r="BC352" s="113"/>
      <c r="BD352" s="113"/>
      <c r="BF35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53" spans="1:58" x14ac:dyDescent="0.3">
      <c r="A353" s="422"/>
      <c r="B353" s="376"/>
      <c r="C353" s="110"/>
      <c r="D353" s="110"/>
      <c r="E353" s="340"/>
      <c r="F353" s="330"/>
      <c r="G353" s="113"/>
      <c r="H353" s="332"/>
      <c r="I353" s="113"/>
      <c r="J353" s="332"/>
      <c r="K353" s="110"/>
      <c r="L353" s="110"/>
      <c r="M353" s="110"/>
      <c r="N353" s="110"/>
      <c r="O353" s="111"/>
      <c r="P353" s="424" t="str">
        <f>IF(OR(Table13[[#This Row],[Annual Increase Option]]="No increase",Table13[[#This Row],[Annual Increase Option]]=""),"",_xlfn.XLOOKUP(MONTH(Table13[[#This Row],[Commencement Date]]),Lookups!$I$19:$I$30,Lookups!$J$19:$J$30,0))</f>
        <v/>
      </c>
      <c r="Q353" s="340"/>
      <c r="R353" s="340"/>
      <c r="S353" s="360">
        <f>IF(Table13[[#This Row],[Life Cover Amount]]="",0,Table2[[#This Row],[Life Premium]])</f>
        <v>0</v>
      </c>
      <c r="T353" s="360">
        <f>IF(Table13[[#This Row],[Funeral Cover Amount]]=0,0,Table2[[#This Row],[Funeral Premium]])</f>
        <v>0</v>
      </c>
      <c r="U353" s="360">
        <f>IF(AND(Table13[[#This Row],[Life Cover Amount]]="",Table13[[#This Row],[Funeral Cover Amount]]=""),0,onboarding_calcs!AA353)</f>
        <v>0</v>
      </c>
      <c r="V353" s="111"/>
      <c r="W353" s="111"/>
      <c r="X353" s="333"/>
      <c r="Y353" s="110"/>
      <c r="Z353" s="113"/>
      <c r="AA353" s="425"/>
      <c r="AB353" s="425"/>
      <c r="AC353" s="113"/>
      <c r="AD353" s="110"/>
      <c r="AE353" s="110"/>
      <c r="AF353" s="110"/>
      <c r="AG353" s="110"/>
      <c r="AH353" s="110"/>
      <c r="AI353" s="113"/>
      <c r="AJ353" s="110"/>
      <c r="AK353" s="110"/>
      <c r="AL353" s="110"/>
      <c r="AM353" s="110"/>
      <c r="AN353" s="110"/>
      <c r="AO353" s="113"/>
      <c r="AP353" s="113"/>
      <c r="AQ353" s="113"/>
      <c r="AR353" s="110"/>
      <c r="AS353" s="113"/>
      <c r="AT353" s="113"/>
      <c r="AU353" s="112"/>
      <c r="AV353" s="338"/>
      <c r="AW353" s="110"/>
      <c r="AX353" s="110"/>
      <c r="AY353" s="113"/>
      <c r="AZ353" s="113"/>
      <c r="BA353" s="113"/>
      <c r="BB353" s="113"/>
      <c r="BC353" s="113"/>
      <c r="BD353" s="113"/>
      <c r="BF35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54" spans="1:58" x14ac:dyDescent="0.3">
      <c r="A354" s="422"/>
      <c r="B354" s="376"/>
      <c r="C354" s="110"/>
      <c r="D354" s="110"/>
      <c r="E354" s="340"/>
      <c r="F354" s="330"/>
      <c r="G354" s="113"/>
      <c r="H354" s="332"/>
      <c r="I354" s="113"/>
      <c r="J354" s="332"/>
      <c r="K354" s="110"/>
      <c r="L354" s="110"/>
      <c r="M354" s="110"/>
      <c r="N354" s="110"/>
      <c r="O354" s="111"/>
      <c r="P354" s="424" t="str">
        <f>IF(OR(Table13[[#This Row],[Annual Increase Option]]="No increase",Table13[[#This Row],[Annual Increase Option]]=""),"",_xlfn.XLOOKUP(MONTH(Table13[[#This Row],[Commencement Date]]),Lookups!$I$19:$I$30,Lookups!$J$19:$J$30,0))</f>
        <v/>
      </c>
      <c r="Q354" s="340"/>
      <c r="R354" s="340"/>
      <c r="S354" s="360">
        <f>IF(Table13[[#This Row],[Life Cover Amount]]="",0,Table2[[#This Row],[Life Premium]])</f>
        <v>0</v>
      </c>
      <c r="T354" s="360">
        <f>IF(Table13[[#This Row],[Funeral Cover Amount]]=0,0,Table2[[#This Row],[Funeral Premium]])</f>
        <v>0</v>
      </c>
      <c r="U354" s="360">
        <f>IF(AND(Table13[[#This Row],[Life Cover Amount]]="",Table13[[#This Row],[Funeral Cover Amount]]=""),0,onboarding_calcs!AA354)</f>
        <v>0</v>
      </c>
      <c r="V354" s="111"/>
      <c r="W354" s="111"/>
      <c r="X354" s="333"/>
      <c r="Y354" s="110"/>
      <c r="Z354" s="113"/>
      <c r="AA354" s="425"/>
      <c r="AB354" s="425"/>
      <c r="AC354" s="113"/>
      <c r="AD354" s="110"/>
      <c r="AE354" s="110"/>
      <c r="AF354" s="110"/>
      <c r="AG354" s="110"/>
      <c r="AH354" s="110"/>
      <c r="AI354" s="113"/>
      <c r="AJ354" s="110"/>
      <c r="AK354" s="110"/>
      <c r="AL354" s="110"/>
      <c r="AM354" s="110"/>
      <c r="AN354" s="110"/>
      <c r="AO354" s="113"/>
      <c r="AP354" s="113"/>
      <c r="AQ354" s="113"/>
      <c r="AR354" s="110"/>
      <c r="AS354" s="113"/>
      <c r="AT354" s="113"/>
      <c r="AU354" s="112"/>
      <c r="AV354" s="338"/>
      <c r="AW354" s="110"/>
      <c r="AX354" s="110"/>
      <c r="AY354" s="113"/>
      <c r="AZ354" s="113"/>
      <c r="BA354" s="113"/>
      <c r="BB354" s="113"/>
      <c r="BC354" s="113"/>
      <c r="BD354" s="113"/>
      <c r="BF35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55" spans="1:58" x14ac:dyDescent="0.3">
      <c r="A355" s="422"/>
      <c r="B355" s="376"/>
      <c r="C355" s="110"/>
      <c r="D355" s="110"/>
      <c r="E355" s="340"/>
      <c r="F355" s="330"/>
      <c r="G355" s="113"/>
      <c r="H355" s="332"/>
      <c r="I355" s="113"/>
      <c r="J355" s="332"/>
      <c r="K355" s="110"/>
      <c r="L355" s="110"/>
      <c r="M355" s="110"/>
      <c r="N355" s="110"/>
      <c r="O355" s="111"/>
      <c r="P355" s="424" t="str">
        <f>IF(OR(Table13[[#This Row],[Annual Increase Option]]="No increase",Table13[[#This Row],[Annual Increase Option]]=""),"",_xlfn.XLOOKUP(MONTH(Table13[[#This Row],[Commencement Date]]),Lookups!$I$19:$I$30,Lookups!$J$19:$J$30,0))</f>
        <v/>
      </c>
      <c r="Q355" s="340"/>
      <c r="R355" s="340"/>
      <c r="S355" s="360">
        <f>IF(Table13[[#This Row],[Life Cover Amount]]="",0,Table2[[#This Row],[Life Premium]])</f>
        <v>0</v>
      </c>
      <c r="T355" s="360">
        <f>IF(Table13[[#This Row],[Funeral Cover Amount]]=0,0,Table2[[#This Row],[Funeral Premium]])</f>
        <v>0</v>
      </c>
      <c r="U355" s="360">
        <f>IF(AND(Table13[[#This Row],[Life Cover Amount]]="",Table13[[#This Row],[Funeral Cover Amount]]=""),0,onboarding_calcs!AA355)</f>
        <v>0</v>
      </c>
      <c r="V355" s="111"/>
      <c r="W355" s="111"/>
      <c r="X355" s="333"/>
      <c r="Y355" s="110"/>
      <c r="Z355" s="113"/>
      <c r="AA355" s="425"/>
      <c r="AB355" s="425"/>
      <c r="AC355" s="113"/>
      <c r="AD355" s="110"/>
      <c r="AE355" s="110"/>
      <c r="AF355" s="110"/>
      <c r="AG355" s="110"/>
      <c r="AH355" s="110"/>
      <c r="AI355" s="113"/>
      <c r="AJ355" s="110"/>
      <c r="AK355" s="110"/>
      <c r="AL355" s="110"/>
      <c r="AM355" s="110"/>
      <c r="AN355" s="110"/>
      <c r="AO355" s="113"/>
      <c r="AP355" s="113"/>
      <c r="AQ355" s="113"/>
      <c r="AR355" s="110"/>
      <c r="AS355" s="113"/>
      <c r="AT355" s="113"/>
      <c r="AU355" s="112"/>
      <c r="AV355" s="338"/>
      <c r="AW355" s="110"/>
      <c r="AX355" s="110"/>
      <c r="AY355" s="113"/>
      <c r="AZ355" s="113"/>
      <c r="BA355" s="113"/>
      <c r="BB355" s="113"/>
      <c r="BC355" s="113"/>
      <c r="BD355" s="113"/>
      <c r="BF35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56" spans="1:58" x14ac:dyDescent="0.3">
      <c r="A356" s="422"/>
      <c r="B356" s="376"/>
      <c r="C356" s="110"/>
      <c r="D356" s="110"/>
      <c r="E356" s="340"/>
      <c r="F356" s="330"/>
      <c r="G356" s="113"/>
      <c r="H356" s="332"/>
      <c r="I356" s="113"/>
      <c r="J356" s="332"/>
      <c r="K356" s="110"/>
      <c r="L356" s="110"/>
      <c r="M356" s="110"/>
      <c r="N356" s="110"/>
      <c r="O356" s="111"/>
      <c r="P356" s="424" t="str">
        <f>IF(OR(Table13[[#This Row],[Annual Increase Option]]="No increase",Table13[[#This Row],[Annual Increase Option]]=""),"",_xlfn.XLOOKUP(MONTH(Table13[[#This Row],[Commencement Date]]),Lookups!$I$19:$I$30,Lookups!$J$19:$J$30,0))</f>
        <v/>
      </c>
      <c r="Q356" s="340"/>
      <c r="R356" s="340"/>
      <c r="S356" s="360">
        <f>IF(Table13[[#This Row],[Life Cover Amount]]="",0,Table2[[#This Row],[Life Premium]])</f>
        <v>0</v>
      </c>
      <c r="T356" s="360">
        <f>IF(Table13[[#This Row],[Funeral Cover Amount]]=0,0,Table2[[#This Row],[Funeral Premium]])</f>
        <v>0</v>
      </c>
      <c r="U356" s="360">
        <f>IF(AND(Table13[[#This Row],[Life Cover Amount]]="",Table13[[#This Row],[Funeral Cover Amount]]=""),0,onboarding_calcs!AA356)</f>
        <v>0</v>
      </c>
      <c r="V356" s="111"/>
      <c r="W356" s="111"/>
      <c r="X356" s="333"/>
      <c r="Y356" s="110"/>
      <c r="Z356" s="113"/>
      <c r="AA356" s="425"/>
      <c r="AB356" s="425"/>
      <c r="AC356" s="113"/>
      <c r="AD356" s="110"/>
      <c r="AE356" s="110"/>
      <c r="AF356" s="110"/>
      <c r="AG356" s="110"/>
      <c r="AH356" s="110"/>
      <c r="AI356" s="113"/>
      <c r="AJ356" s="110"/>
      <c r="AK356" s="110"/>
      <c r="AL356" s="110"/>
      <c r="AM356" s="110"/>
      <c r="AN356" s="110"/>
      <c r="AO356" s="113"/>
      <c r="AP356" s="113"/>
      <c r="AQ356" s="113"/>
      <c r="AR356" s="110"/>
      <c r="AS356" s="113"/>
      <c r="AT356" s="113"/>
      <c r="AU356" s="112"/>
      <c r="AV356" s="338"/>
      <c r="AW356" s="110"/>
      <c r="AX356" s="110"/>
      <c r="AY356" s="113"/>
      <c r="AZ356" s="113"/>
      <c r="BA356" s="113"/>
      <c r="BB356" s="113"/>
      <c r="BC356" s="113"/>
      <c r="BD356" s="113"/>
      <c r="BF35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57" spans="1:58" x14ac:dyDescent="0.3">
      <c r="A357" s="422"/>
      <c r="B357" s="376"/>
      <c r="C357" s="110"/>
      <c r="D357" s="110"/>
      <c r="E357" s="340"/>
      <c r="F357" s="330"/>
      <c r="G357" s="113"/>
      <c r="H357" s="332"/>
      <c r="I357" s="113"/>
      <c r="J357" s="332"/>
      <c r="K357" s="110"/>
      <c r="L357" s="110"/>
      <c r="M357" s="110"/>
      <c r="N357" s="110"/>
      <c r="O357" s="111"/>
      <c r="P357" s="424" t="str">
        <f>IF(OR(Table13[[#This Row],[Annual Increase Option]]="No increase",Table13[[#This Row],[Annual Increase Option]]=""),"",_xlfn.XLOOKUP(MONTH(Table13[[#This Row],[Commencement Date]]),Lookups!$I$19:$I$30,Lookups!$J$19:$J$30,0))</f>
        <v/>
      </c>
      <c r="Q357" s="340"/>
      <c r="R357" s="340"/>
      <c r="S357" s="360">
        <f>IF(Table13[[#This Row],[Life Cover Amount]]="",0,Table2[[#This Row],[Life Premium]])</f>
        <v>0</v>
      </c>
      <c r="T357" s="360">
        <f>IF(Table13[[#This Row],[Funeral Cover Amount]]=0,0,Table2[[#This Row],[Funeral Premium]])</f>
        <v>0</v>
      </c>
      <c r="U357" s="360">
        <f>IF(AND(Table13[[#This Row],[Life Cover Amount]]="",Table13[[#This Row],[Funeral Cover Amount]]=""),0,onboarding_calcs!AA357)</f>
        <v>0</v>
      </c>
      <c r="V357" s="111"/>
      <c r="W357" s="111"/>
      <c r="X357" s="333"/>
      <c r="Y357" s="110"/>
      <c r="Z357" s="113"/>
      <c r="AA357" s="425"/>
      <c r="AB357" s="425"/>
      <c r="AC357" s="113"/>
      <c r="AD357" s="110"/>
      <c r="AE357" s="110"/>
      <c r="AF357" s="110"/>
      <c r="AG357" s="110"/>
      <c r="AH357" s="110"/>
      <c r="AI357" s="113"/>
      <c r="AJ357" s="110"/>
      <c r="AK357" s="110"/>
      <c r="AL357" s="110"/>
      <c r="AM357" s="110"/>
      <c r="AN357" s="110"/>
      <c r="AO357" s="113"/>
      <c r="AP357" s="113"/>
      <c r="AQ357" s="113"/>
      <c r="AR357" s="110"/>
      <c r="AS357" s="113"/>
      <c r="AT357" s="113"/>
      <c r="AU357" s="112"/>
      <c r="AV357" s="338"/>
      <c r="AW357" s="110"/>
      <c r="AX357" s="110"/>
      <c r="AY357" s="113"/>
      <c r="AZ357" s="113"/>
      <c r="BA357" s="113"/>
      <c r="BB357" s="113"/>
      <c r="BC357" s="113"/>
      <c r="BD357" s="113"/>
      <c r="BF35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58" spans="1:58" x14ac:dyDescent="0.3">
      <c r="A358" s="422"/>
      <c r="B358" s="376"/>
      <c r="C358" s="110"/>
      <c r="D358" s="110"/>
      <c r="E358" s="340"/>
      <c r="F358" s="330"/>
      <c r="G358" s="113"/>
      <c r="H358" s="332"/>
      <c r="I358" s="113"/>
      <c r="J358" s="332"/>
      <c r="K358" s="110"/>
      <c r="L358" s="110"/>
      <c r="M358" s="110"/>
      <c r="N358" s="110"/>
      <c r="O358" s="111"/>
      <c r="P358" s="424" t="str">
        <f>IF(OR(Table13[[#This Row],[Annual Increase Option]]="No increase",Table13[[#This Row],[Annual Increase Option]]=""),"",_xlfn.XLOOKUP(MONTH(Table13[[#This Row],[Commencement Date]]),Lookups!$I$19:$I$30,Lookups!$J$19:$J$30,0))</f>
        <v/>
      </c>
      <c r="Q358" s="340"/>
      <c r="R358" s="340"/>
      <c r="S358" s="360">
        <f>IF(Table13[[#This Row],[Life Cover Amount]]="",0,Table2[[#This Row],[Life Premium]])</f>
        <v>0</v>
      </c>
      <c r="T358" s="360">
        <f>IF(Table13[[#This Row],[Funeral Cover Amount]]=0,0,Table2[[#This Row],[Funeral Premium]])</f>
        <v>0</v>
      </c>
      <c r="U358" s="360">
        <f>IF(AND(Table13[[#This Row],[Life Cover Amount]]="",Table13[[#This Row],[Funeral Cover Amount]]=""),0,onboarding_calcs!AA358)</f>
        <v>0</v>
      </c>
      <c r="V358" s="111"/>
      <c r="W358" s="111"/>
      <c r="X358" s="333"/>
      <c r="Y358" s="110"/>
      <c r="Z358" s="113"/>
      <c r="AA358" s="425"/>
      <c r="AB358" s="425"/>
      <c r="AC358" s="113"/>
      <c r="AD358" s="110"/>
      <c r="AE358" s="110"/>
      <c r="AF358" s="110"/>
      <c r="AG358" s="110"/>
      <c r="AH358" s="110"/>
      <c r="AI358" s="113"/>
      <c r="AJ358" s="110"/>
      <c r="AK358" s="110"/>
      <c r="AL358" s="110"/>
      <c r="AM358" s="110"/>
      <c r="AN358" s="110"/>
      <c r="AO358" s="113"/>
      <c r="AP358" s="113"/>
      <c r="AQ358" s="113"/>
      <c r="AR358" s="110"/>
      <c r="AS358" s="113"/>
      <c r="AT358" s="113"/>
      <c r="AU358" s="112"/>
      <c r="AV358" s="338"/>
      <c r="AW358" s="110"/>
      <c r="AX358" s="110"/>
      <c r="AY358" s="113"/>
      <c r="AZ358" s="113"/>
      <c r="BA358" s="113"/>
      <c r="BB358" s="113"/>
      <c r="BC358" s="113"/>
      <c r="BD358" s="113"/>
      <c r="BF35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59" spans="1:58" x14ac:dyDescent="0.3">
      <c r="A359" s="422"/>
      <c r="B359" s="376"/>
      <c r="C359" s="110"/>
      <c r="D359" s="110"/>
      <c r="E359" s="340"/>
      <c r="F359" s="330"/>
      <c r="G359" s="113"/>
      <c r="H359" s="332"/>
      <c r="I359" s="113"/>
      <c r="J359" s="332"/>
      <c r="K359" s="110"/>
      <c r="L359" s="110"/>
      <c r="M359" s="110"/>
      <c r="N359" s="110"/>
      <c r="O359" s="111"/>
      <c r="P359" s="424" t="str">
        <f>IF(OR(Table13[[#This Row],[Annual Increase Option]]="No increase",Table13[[#This Row],[Annual Increase Option]]=""),"",_xlfn.XLOOKUP(MONTH(Table13[[#This Row],[Commencement Date]]),Lookups!$I$19:$I$30,Lookups!$J$19:$J$30,0))</f>
        <v/>
      </c>
      <c r="Q359" s="340"/>
      <c r="R359" s="340"/>
      <c r="S359" s="360">
        <f>IF(Table13[[#This Row],[Life Cover Amount]]="",0,Table2[[#This Row],[Life Premium]])</f>
        <v>0</v>
      </c>
      <c r="T359" s="360">
        <f>IF(Table13[[#This Row],[Funeral Cover Amount]]=0,0,Table2[[#This Row],[Funeral Premium]])</f>
        <v>0</v>
      </c>
      <c r="U359" s="360">
        <f>IF(AND(Table13[[#This Row],[Life Cover Amount]]="",Table13[[#This Row],[Funeral Cover Amount]]=""),0,onboarding_calcs!AA359)</f>
        <v>0</v>
      </c>
      <c r="V359" s="111"/>
      <c r="W359" s="111"/>
      <c r="X359" s="333"/>
      <c r="Y359" s="110"/>
      <c r="Z359" s="113"/>
      <c r="AA359" s="425"/>
      <c r="AB359" s="425"/>
      <c r="AC359" s="113"/>
      <c r="AD359" s="110"/>
      <c r="AE359" s="110"/>
      <c r="AF359" s="110"/>
      <c r="AG359" s="110"/>
      <c r="AH359" s="110"/>
      <c r="AI359" s="113"/>
      <c r="AJ359" s="110"/>
      <c r="AK359" s="110"/>
      <c r="AL359" s="110"/>
      <c r="AM359" s="110"/>
      <c r="AN359" s="110"/>
      <c r="AO359" s="113"/>
      <c r="AP359" s="113"/>
      <c r="AQ359" s="113"/>
      <c r="AR359" s="110"/>
      <c r="AS359" s="113"/>
      <c r="AT359" s="113"/>
      <c r="AU359" s="112"/>
      <c r="AV359" s="338"/>
      <c r="AW359" s="110"/>
      <c r="AX359" s="110"/>
      <c r="AY359" s="113"/>
      <c r="AZ359" s="113"/>
      <c r="BA359" s="113"/>
      <c r="BB359" s="113"/>
      <c r="BC359" s="113"/>
      <c r="BD359" s="113"/>
      <c r="BF35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60" spans="1:58" x14ac:dyDescent="0.3">
      <c r="A360" s="422"/>
      <c r="B360" s="376"/>
      <c r="C360" s="110"/>
      <c r="D360" s="110"/>
      <c r="E360" s="340"/>
      <c r="F360" s="330"/>
      <c r="G360" s="113"/>
      <c r="H360" s="332"/>
      <c r="I360" s="113"/>
      <c r="J360" s="332"/>
      <c r="K360" s="110"/>
      <c r="L360" s="110"/>
      <c r="M360" s="110"/>
      <c r="N360" s="110"/>
      <c r="O360" s="111"/>
      <c r="P360" s="424" t="str">
        <f>IF(OR(Table13[[#This Row],[Annual Increase Option]]="No increase",Table13[[#This Row],[Annual Increase Option]]=""),"",_xlfn.XLOOKUP(MONTH(Table13[[#This Row],[Commencement Date]]),Lookups!$I$19:$I$30,Lookups!$J$19:$J$30,0))</f>
        <v/>
      </c>
      <c r="Q360" s="340"/>
      <c r="R360" s="340"/>
      <c r="S360" s="360">
        <f>IF(Table13[[#This Row],[Life Cover Amount]]="",0,Table2[[#This Row],[Life Premium]])</f>
        <v>0</v>
      </c>
      <c r="T360" s="360">
        <f>IF(Table13[[#This Row],[Funeral Cover Amount]]=0,0,Table2[[#This Row],[Funeral Premium]])</f>
        <v>0</v>
      </c>
      <c r="U360" s="360">
        <f>IF(AND(Table13[[#This Row],[Life Cover Amount]]="",Table13[[#This Row],[Funeral Cover Amount]]=""),0,onboarding_calcs!AA360)</f>
        <v>0</v>
      </c>
      <c r="V360" s="111"/>
      <c r="W360" s="111"/>
      <c r="X360" s="333"/>
      <c r="Y360" s="110"/>
      <c r="Z360" s="113"/>
      <c r="AA360" s="425"/>
      <c r="AB360" s="425"/>
      <c r="AC360" s="113"/>
      <c r="AD360" s="110"/>
      <c r="AE360" s="110"/>
      <c r="AF360" s="110"/>
      <c r="AG360" s="110"/>
      <c r="AH360" s="110"/>
      <c r="AI360" s="113"/>
      <c r="AJ360" s="110"/>
      <c r="AK360" s="110"/>
      <c r="AL360" s="110"/>
      <c r="AM360" s="110"/>
      <c r="AN360" s="110"/>
      <c r="AO360" s="113"/>
      <c r="AP360" s="113"/>
      <c r="AQ360" s="113"/>
      <c r="AR360" s="110"/>
      <c r="AS360" s="113"/>
      <c r="AT360" s="113"/>
      <c r="AU360" s="112"/>
      <c r="AV360" s="338"/>
      <c r="AW360" s="110"/>
      <c r="AX360" s="110"/>
      <c r="AY360" s="113"/>
      <c r="AZ360" s="113"/>
      <c r="BA360" s="113"/>
      <c r="BB360" s="113"/>
      <c r="BC360" s="113"/>
      <c r="BD360" s="113"/>
      <c r="BF36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61" spans="1:58" x14ac:dyDescent="0.3">
      <c r="A361" s="422"/>
      <c r="B361" s="376"/>
      <c r="C361" s="110"/>
      <c r="D361" s="110"/>
      <c r="E361" s="340"/>
      <c r="F361" s="330"/>
      <c r="G361" s="113"/>
      <c r="H361" s="332"/>
      <c r="I361" s="113"/>
      <c r="J361" s="332"/>
      <c r="K361" s="110"/>
      <c r="L361" s="110"/>
      <c r="M361" s="110"/>
      <c r="N361" s="110"/>
      <c r="O361" s="111"/>
      <c r="P361" s="424" t="str">
        <f>IF(OR(Table13[[#This Row],[Annual Increase Option]]="No increase",Table13[[#This Row],[Annual Increase Option]]=""),"",_xlfn.XLOOKUP(MONTH(Table13[[#This Row],[Commencement Date]]),Lookups!$I$19:$I$30,Lookups!$J$19:$J$30,0))</f>
        <v/>
      </c>
      <c r="Q361" s="340"/>
      <c r="R361" s="340"/>
      <c r="S361" s="360">
        <f>IF(Table13[[#This Row],[Life Cover Amount]]="",0,Table2[[#This Row],[Life Premium]])</f>
        <v>0</v>
      </c>
      <c r="T361" s="360">
        <f>IF(Table13[[#This Row],[Funeral Cover Amount]]=0,0,Table2[[#This Row],[Funeral Premium]])</f>
        <v>0</v>
      </c>
      <c r="U361" s="360">
        <f>IF(AND(Table13[[#This Row],[Life Cover Amount]]="",Table13[[#This Row],[Funeral Cover Amount]]=""),0,onboarding_calcs!AA361)</f>
        <v>0</v>
      </c>
      <c r="V361" s="111"/>
      <c r="W361" s="111"/>
      <c r="X361" s="333"/>
      <c r="Y361" s="110"/>
      <c r="Z361" s="113"/>
      <c r="AA361" s="425"/>
      <c r="AB361" s="425"/>
      <c r="AC361" s="113"/>
      <c r="AD361" s="110"/>
      <c r="AE361" s="110"/>
      <c r="AF361" s="110"/>
      <c r="AG361" s="110"/>
      <c r="AH361" s="110"/>
      <c r="AI361" s="113"/>
      <c r="AJ361" s="110"/>
      <c r="AK361" s="110"/>
      <c r="AL361" s="110"/>
      <c r="AM361" s="110"/>
      <c r="AN361" s="110"/>
      <c r="AO361" s="113"/>
      <c r="AP361" s="113"/>
      <c r="AQ361" s="113"/>
      <c r="AR361" s="110"/>
      <c r="AS361" s="113"/>
      <c r="AT361" s="113"/>
      <c r="AU361" s="112"/>
      <c r="AV361" s="338"/>
      <c r="AW361" s="110"/>
      <c r="AX361" s="110"/>
      <c r="AY361" s="113"/>
      <c r="AZ361" s="113"/>
      <c r="BA361" s="113"/>
      <c r="BB361" s="113"/>
      <c r="BC361" s="113"/>
      <c r="BD361" s="113"/>
      <c r="BF36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62" spans="1:58" x14ac:dyDescent="0.3">
      <c r="A362" s="422"/>
      <c r="B362" s="376"/>
      <c r="C362" s="110"/>
      <c r="D362" s="110"/>
      <c r="E362" s="340"/>
      <c r="F362" s="330"/>
      <c r="G362" s="113"/>
      <c r="H362" s="332"/>
      <c r="I362" s="113"/>
      <c r="J362" s="332"/>
      <c r="K362" s="110"/>
      <c r="L362" s="110"/>
      <c r="M362" s="110"/>
      <c r="N362" s="110"/>
      <c r="O362" s="111"/>
      <c r="P362" s="424" t="str">
        <f>IF(OR(Table13[[#This Row],[Annual Increase Option]]="No increase",Table13[[#This Row],[Annual Increase Option]]=""),"",_xlfn.XLOOKUP(MONTH(Table13[[#This Row],[Commencement Date]]),Lookups!$I$19:$I$30,Lookups!$J$19:$J$30,0))</f>
        <v/>
      </c>
      <c r="Q362" s="340"/>
      <c r="R362" s="340"/>
      <c r="S362" s="360">
        <f>IF(Table13[[#This Row],[Life Cover Amount]]="",0,Table2[[#This Row],[Life Premium]])</f>
        <v>0</v>
      </c>
      <c r="T362" s="360">
        <f>IF(Table13[[#This Row],[Funeral Cover Amount]]=0,0,Table2[[#This Row],[Funeral Premium]])</f>
        <v>0</v>
      </c>
      <c r="U362" s="360">
        <f>IF(AND(Table13[[#This Row],[Life Cover Amount]]="",Table13[[#This Row],[Funeral Cover Amount]]=""),0,onboarding_calcs!AA362)</f>
        <v>0</v>
      </c>
      <c r="V362" s="111"/>
      <c r="W362" s="111"/>
      <c r="X362" s="333"/>
      <c r="Y362" s="110"/>
      <c r="Z362" s="113"/>
      <c r="AA362" s="425"/>
      <c r="AB362" s="425"/>
      <c r="AC362" s="113"/>
      <c r="AD362" s="110"/>
      <c r="AE362" s="110"/>
      <c r="AF362" s="110"/>
      <c r="AG362" s="110"/>
      <c r="AH362" s="110"/>
      <c r="AI362" s="113"/>
      <c r="AJ362" s="110"/>
      <c r="AK362" s="110"/>
      <c r="AL362" s="110"/>
      <c r="AM362" s="110"/>
      <c r="AN362" s="110"/>
      <c r="AO362" s="113"/>
      <c r="AP362" s="113"/>
      <c r="AQ362" s="113"/>
      <c r="AR362" s="110"/>
      <c r="AS362" s="113"/>
      <c r="AT362" s="113"/>
      <c r="AU362" s="112"/>
      <c r="AV362" s="338"/>
      <c r="AW362" s="110"/>
      <c r="AX362" s="110"/>
      <c r="AY362" s="113"/>
      <c r="AZ362" s="113"/>
      <c r="BA362" s="113"/>
      <c r="BB362" s="113"/>
      <c r="BC362" s="113"/>
      <c r="BD362" s="113"/>
      <c r="BF36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63" spans="1:58" x14ac:dyDescent="0.3">
      <c r="A363" s="422"/>
      <c r="B363" s="376"/>
      <c r="C363" s="110"/>
      <c r="D363" s="110"/>
      <c r="E363" s="340"/>
      <c r="F363" s="330"/>
      <c r="G363" s="113"/>
      <c r="H363" s="332"/>
      <c r="I363" s="113"/>
      <c r="J363" s="332"/>
      <c r="K363" s="110"/>
      <c r="L363" s="110"/>
      <c r="M363" s="110"/>
      <c r="N363" s="110"/>
      <c r="O363" s="111"/>
      <c r="P363" s="424" t="str">
        <f>IF(OR(Table13[[#This Row],[Annual Increase Option]]="No increase",Table13[[#This Row],[Annual Increase Option]]=""),"",_xlfn.XLOOKUP(MONTH(Table13[[#This Row],[Commencement Date]]),Lookups!$I$19:$I$30,Lookups!$J$19:$J$30,0))</f>
        <v/>
      </c>
      <c r="Q363" s="340"/>
      <c r="R363" s="340"/>
      <c r="S363" s="360">
        <f>IF(Table13[[#This Row],[Life Cover Amount]]="",0,Table2[[#This Row],[Life Premium]])</f>
        <v>0</v>
      </c>
      <c r="T363" s="360">
        <f>IF(Table13[[#This Row],[Funeral Cover Amount]]=0,0,Table2[[#This Row],[Funeral Premium]])</f>
        <v>0</v>
      </c>
      <c r="U363" s="360">
        <f>IF(AND(Table13[[#This Row],[Life Cover Amount]]="",Table13[[#This Row],[Funeral Cover Amount]]=""),0,onboarding_calcs!AA363)</f>
        <v>0</v>
      </c>
      <c r="V363" s="111"/>
      <c r="W363" s="111"/>
      <c r="X363" s="333"/>
      <c r="Y363" s="110"/>
      <c r="Z363" s="113"/>
      <c r="AA363" s="425"/>
      <c r="AB363" s="425"/>
      <c r="AC363" s="113"/>
      <c r="AD363" s="110"/>
      <c r="AE363" s="110"/>
      <c r="AF363" s="110"/>
      <c r="AG363" s="110"/>
      <c r="AH363" s="110"/>
      <c r="AI363" s="113"/>
      <c r="AJ363" s="110"/>
      <c r="AK363" s="110"/>
      <c r="AL363" s="110"/>
      <c r="AM363" s="110"/>
      <c r="AN363" s="110"/>
      <c r="AO363" s="113"/>
      <c r="AP363" s="113"/>
      <c r="AQ363" s="113"/>
      <c r="AR363" s="110"/>
      <c r="AS363" s="113"/>
      <c r="AT363" s="113"/>
      <c r="AU363" s="112"/>
      <c r="AV363" s="338"/>
      <c r="AW363" s="110"/>
      <c r="AX363" s="110"/>
      <c r="AY363" s="113"/>
      <c r="AZ363" s="113"/>
      <c r="BA363" s="113"/>
      <c r="BB363" s="113"/>
      <c r="BC363" s="113"/>
      <c r="BD363" s="113"/>
      <c r="BF36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64" spans="1:58" x14ac:dyDescent="0.3">
      <c r="A364" s="422"/>
      <c r="B364" s="376"/>
      <c r="C364" s="110"/>
      <c r="D364" s="110"/>
      <c r="E364" s="340"/>
      <c r="F364" s="330"/>
      <c r="G364" s="113"/>
      <c r="H364" s="332"/>
      <c r="I364" s="113"/>
      <c r="J364" s="332"/>
      <c r="K364" s="110"/>
      <c r="L364" s="110"/>
      <c r="M364" s="110"/>
      <c r="N364" s="110"/>
      <c r="O364" s="111"/>
      <c r="P364" s="424" t="str">
        <f>IF(OR(Table13[[#This Row],[Annual Increase Option]]="No increase",Table13[[#This Row],[Annual Increase Option]]=""),"",_xlfn.XLOOKUP(MONTH(Table13[[#This Row],[Commencement Date]]),Lookups!$I$19:$I$30,Lookups!$J$19:$J$30,0))</f>
        <v/>
      </c>
      <c r="Q364" s="340"/>
      <c r="R364" s="340"/>
      <c r="S364" s="360">
        <f>IF(Table13[[#This Row],[Life Cover Amount]]="",0,Table2[[#This Row],[Life Premium]])</f>
        <v>0</v>
      </c>
      <c r="T364" s="360">
        <f>IF(Table13[[#This Row],[Funeral Cover Amount]]=0,0,Table2[[#This Row],[Funeral Premium]])</f>
        <v>0</v>
      </c>
      <c r="U364" s="360">
        <f>IF(AND(Table13[[#This Row],[Life Cover Amount]]="",Table13[[#This Row],[Funeral Cover Amount]]=""),0,onboarding_calcs!AA364)</f>
        <v>0</v>
      </c>
      <c r="V364" s="111"/>
      <c r="W364" s="111"/>
      <c r="X364" s="333"/>
      <c r="Y364" s="110"/>
      <c r="Z364" s="113"/>
      <c r="AA364" s="425"/>
      <c r="AB364" s="425"/>
      <c r="AC364" s="113"/>
      <c r="AD364" s="110"/>
      <c r="AE364" s="110"/>
      <c r="AF364" s="110"/>
      <c r="AG364" s="110"/>
      <c r="AH364" s="110"/>
      <c r="AI364" s="113"/>
      <c r="AJ364" s="110"/>
      <c r="AK364" s="110"/>
      <c r="AL364" s="110"/>
      <c r="AM364" s="110"/>
      <c r="AN364" s="110"/>
      <c r="AO364" s="113"/>
      <c r="AP364" s="113"/>
      <c r="AQ364" s="113"/>
      <c r="AR364" s="110"/>
      <c r="AS364" s="113"/>
      <c r="AT364" s="113"/>
      <c r="AU364" s="112"/>
      <c r="AV364" s="338"/>
      <c r="AW364" s="110"/>
      <c r="AX364" s="110"/>
      <c r="AY364" s="113"/>
      <c r="AZ364" s="113"/>
      <c r="BA364" s="113"/>
      <c r="BB364" s="113"/>
      <c r="BC364" s="113"/>
      <c r="BD364" s="113"/>
      <c r="BF36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65" spans="1:58" x14ac:dyDescent="0.3">
      <c r="A365" s="422"/>
      <c r="B365" s="376"/>
      <c r="C365" s="110"/>
      <c r="D365" s="110"/>
      <c r="E365" s="340"/>
      <c r="F365" s="330"/>
      <c r="G365" s="113"/>
      <c r="H365" s="332"/>
      <c r="I365" s="113"/>
      <c r="J365" s="332"/>
      <c r="K365" s="110"/>
      <c r="L365" s="110"/>
      <c r="M365" s="110"/>
      <c r="N365" s="110"/>
      <c r="O365" s="111"/>
      <c r="P365" s="424" t="str">
        <f>IF(OR(Table13[[#This Row],[Annual Increase Option]]="No increase",Table13[[#This Row],[Annual Increase Option]]=""),"",_xlfn.XLOOKUP(MONTH(Table13[[#This Row],[Commencement Date]]),Lookups!$I$19:$I$30,Lookups!$J$19:$J$30,0))</f>
        <v/>
      </c>
      <c r="Q365" s="340"/>
      <c r="R365" s="340"/>
      <c r="S365" s="360">
        <f>IF(Table13[[#This Row],[Life Cover Amount]]="",0,Table2[[#This Row],[Life Premium]])</f>
        <v>0</v>
      </c>
      <c r="T365" s="360">
        <f>IF(Table13[[#This Row],[Funeral Cover Amount]]=0,0,Table2[[#This Row],[Funeral Premium]])</f>
        <v>0</v>
      </c>
      <c r="U365" s="360">
        <f>IF(AND(Table13[[#This Row],[Life Cover Amount]]="",Table13[[#This Row],[Funeral Cover Amount]]=""),0,onboarding_calcs!AA365)</f>
        <v>0</v>
      </c>
      <c r="V365" s="111"/>
      <c r="W365" s="111"/>
      <c r="X365" s="333"/>
      <c r="Y365" s="110"/>
      <c r="Z365" s="113"/>
      <c r="AA365" s="425"/>
      <c r="AB365" s="425"/>
      <c r="AC365" s="113"/>
      <c r="AD365" s="110"/>
      <c r="AE365" s="110"/>
      <c r="AF365" s="110"/>
      <c r="AG365" s="110"/>
      <c r="AH365" s="110"/>
      <c r="AI365" s="113"/>
      <c r="AJ365" s="110"/>
      <c r="AK365" s="110"/>
      <c r="AL365" s="110"/>
      <c r="AM365" s="110"/>
      <c r="AN365" s="110"/>
      <c r="AO365" s="113"/>
      <c r="AP365" s="113"/>
      <c r="AQ365" s="113"/>
      <c r="AR365" s="110"/>
      <c r="AS365" s="113"/>
      <c r="AT365" s="113"/>
      <c r="AU365" s="112"/>
      <c r="AV365" s="338"/>
      <c r="AW365" s="110"/>
      <c r="AX365" s="110"/>
      <c r="AY365" s="113"/>
      <c r="AZ365" s="113"/>
      <c r="BA365" s="113"/>
      <c r="BB365" s="113"/>
      <c r="BC365" s="113"/>
      <c r="BD365" s="113"/>
      <c r="BF36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66" spans="1:58" x14ac:dyDescent="0.3">
      <c r="A366" s="422"/>
      <c r="B366" s="376"/>
      <c r="C366" s="110"/>
      <c r="D366" s="110"/>
      <c r="E366" s="340"/>
      <c r="F366" s="330"/>
      <c r="G366" s="113"/>
      <c r="H366" s="332"/>
      <c r="I366" s="113"/>
      <c r="J366" s="332"/>
      <c r="K366" s="110"/>
      <c r="L366" s="110"/>
      <c r="M366" s="110"/>
      <c r="N366" s="110"/>
      <c r="O366" s="111"/>
      <c r="P366" s="424" t="str">
        <f>IF(OR(Table13[[#This Row],[Annual Increase Option]]="No increase",Table13[[#This Row],[Annual Increase Option]]=""),"",_xlfn.XLOOKUP(MONTH(Table13[[#This Row],[Commencement Date]]),Lookups!$I$19:$I$30,Lookups!$J$19:$J$30,0))</f>
        <v/>
      </c>
      <c r="Q366" s="340"/>
      <c r="R366" s="340"/>
      <c r="S366" s="360">
        <f>IF(Table13[[#This Row],[Life Cover Amount]]="",0,Table2[[#This Row],[Life Premium]])</f>
        <v>0</v>
      </c>
      <c r="T366" s="360">
        <f>IF(Table13[[#This Row],[Funeral Cover Amount]]=0,0,Table2[[#This Row],[Funeral Premium]])</f>
        <v>0</v>
      </c>
      <c r="U366" s="360">
        <f>IF(AND(Table13[[#This Row],[Life Cover Amount]]="",Table13[[#This Row],[Funeral Cover Amount]]=""),0,onboarding_calcs!AA366)</f>
        <v>0</v>
      </c>
      <c r="V366" s="111"/>
      <c r="W366" s="111"/>
      <c r="X366" s="333"/>
      <c r="Y366" s="110"/>
      <c r="Z366" s="113"/>
      <c r="AA366" s="425"/>
      <c r="AB366" s="425"/>
      <c r="AC366" s="113"/>
      <c r="AD366" s="110"/>
      <c r="AE366" s="110"/>
      <c r="AF366" s="110"/>
      <c r="AG366" s="110"/>
      <c r="AH366" s="110"/>
      <c r="AI366" s="113"/>
      <c r="AJ366" s="110"/>
      <c r="AK366" s="110"/>
      <c r="AL366" s="110"/>
      <c r="AM366" s="110"/>
      <c r="AN366" s="110"/>
      <c r="AO366" s="113"/>
      <c r="AP366" s="113"/>
      <c r="AQ366" s="113"/>
      <c r="AR366" s="110"/>
      <c r="AS366" s="113"/>
      <c r="AT366" s="113"/>
      <c r="AU366" s="112"/>
      <c r="AV366" s="338"/>
      <c r="AW366" s="110"/>
      <c r="AX366" s="110"/>
      <c r="AY366" s="113"/>
      <c r="AZ366" s="113"/>
      <c r="BA366" s="113"/>
      <c r="BB366" s="113"/>
      <c r="BC366" s="113"/>
      <c r="BD366" s="113"/>
      <c r="BF36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67" spans="1:58" x14ac:dyDescent="0.3">
      <c r="A367" s="422"/>
      <c r="B367" s="376"/>
      <c r="C367" s="110"/>
      <c r="D367" s="110"/>
      <c r="E367" s="340"/>
      <c r="F367" s="330"/>
      <c r="G367" s="113"/>
      <c r="H367" s="332"/>
      <c r="I367" s="113"/>
      <c r="J367" s="332"/>
      <c r="K367" s="110"/>
      <c r="L367" s="110"/>
      <c r="M367" s="110"/>
      <c r="N367" s="110"/>
      <c r="O367" s="111"/>
      <c r="P367" s="424" t="str">
        <f>IF(OR(Table13[[#This Row],[Annual Increase Option]]="No increase",Table13[[#This Row],[Annual Increase Option]]=""),"",_xlfn.XLOOKUP(MONTH(Table13[[#This Row],[Commencement Date]]),Lookups!$I$19:$I$30,Lookups!$J$19:$J$30,0))</f>
        <v/>
      </c>
      <c r="Q367" s="340"/>
      <c r="R367" s="340"/>
      <c r="S367" s="360">
        <f>IF(Table13[[#This Row],[Life Cover Amount]]="",0,Table2[[#This Row],[Life Premium]])</f>
        <v>0</v>
      </c>
      <c r="T367" s="360">
        <f>IF(Table13[[#This Row],[Funeral Cover Amount]]=0,0,Table2[[#This Row],[Funeral Premium]])</f>
        <v>0</v>
      </c>
      <c r="U367" s="360">
        <f>IF(AND(Table13[[#This Row],[Life Cover Amount]]="",Table13[[#This Row],[Funeral Cover Amount]]=""),0,onboarding_calcs!AA367)</f>
        <v>0</v>
      </c>
      <c r="V367" s="111"/>
      <c r="W367" s="111"/>
      <c r="X367" s="333"/>
      <c r="Y367" s="110"/>
      <c r="Z367" s="113"/>
      <c r="AA367" s="425"/>
      <c r="AB367" s="425"/>
      <c r="AC367" s="113"/>
      <c r="AD367" s="110"/>
      <c r="AE367" s="110"/>
      <c r="AF367" s="110"/>
      <c r="AG367" s="110"/>
      <c r="AH367" s="110"/>
      <c r="AI367" s="113"/>
      <c r="AJ367" s="110"/>
      <c r="AK367" s="110"/>
      <c r="AL367" s="110"/>
      <c r="AM367" s="110"/>
      <c r="AN367" s="110"/>
      <c r="AO367" s="113"/>
      <c r="AP367" s="113"/>
      <c r="AQ367" s="113"/>
      <c r="AR367" s="110"/>
      <c r="AS367" s="113"/>
      <c r="AT367" s="113"/>
      <c r="AU367" s="112"/>
      <c r="AV367" s="338"/>
      <c r="AW367" s="110"/>
      <c r="AX367" s="110"/>
      <c r="AY367" s="113"/>
      <c r="AZ367" s="113"/>
      <c r="BA367" s="113"/>
      <c r="BB367" s="113"/>
      <c r="BC367" s="113"/>
      <c r="BD367" s="113"/>
      <c r="BF36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68" spans="1:58" x14ac:dyDescent="0.3">
      <c r="A368" s="422"/>
      <c r="B368" s="376"/>
      <c r="C368" s="110"/>
      <c r="D368" s="110"/>
      <c r="E368" s="340"/>
      <c r="F368" s="330"/>
      <c r="G368" s="113"/>
      <c r="H368" s="332"/>
      <c r="I368" s="113"/>
      <c r="J368" s="332"/>
      <c r="K368" s="110"/>
      <c r="L368" s="110"/>
      <c r="M368" s="110"/>
      <c r="N368" s="110"/>
      <c r="O368" s="111"/>
      <c r="P368" s="424" t="str">
        <f>IF(OR(Table13[[#This Row],[Annual Increase Option]]="No increase",Table13[[#This Row],[Annual Increase Option]]=""),"",_xlfn.XLOOKUP(MONTH(Table13[[#This Row],[Commencement Date]]),Lookups!$I$19:$I$30,Lookups!$J$19:$J$30,0))</f>
        <v/>
      </c>
      <c r="Q368" s="340"/>
      <c r="R368" s="340"/>
      <c r="S368" s="360">
        <f>IF(Table13[[#This Row],[Life Cover Amount]]="",0,Table2[[#This Row],[Life Premium]])</f>
        <v>0</v>
      </c>
      <c r="T368" s="360">
        <f>IF(Table13[[#This Row],[Funeral Cover Amount]]=0,0,Table2[[#This Row],[Funeral Premium]])</f>
        <v>0</v>
      </c>
      <c r="U368" s="360">
        <f>IF(AND(Table13[[#This Row],[Life Cover Amount]]="",Table13[[#This Row],[Funeral Cover Amount]]=""),0,onboarding_calcs!AA368)</f>
        <v>0</v>
      </c>
      <c r="V368" s="111"/>
      <c r="W368" s="111"/>
      <c r="X368" s="333"/>
      <c r="Y368" s="110"/>
      <c r="Z368" s="113"/>
      <c r="AA368" s="425"/>
      <c r="AB368" s="425"/>
      <c r="AC368" s="113"/>
      <c r="AD368" s="110"/>
      <c r="AE368" s="110"/>
      <c r="AF368" s="110"/>
      <c r="AG368" s="110"/>
      <c r="AH368" s="110"/>
      <c r="AI368" s="113"/>
      <c r="AJ368" s="110"/>
      <c r="AK368" s="110"/>
      <c r="AL368" s="110"/>
      <c r="AM368" s="110"/>
      <c r="AN368" s="110"/>
      <c r="AO368" s="113"/>
      <c r="AP368" s="113"/>
      <c r="AQ368" s="113"/>
      <c r="AR368" s="110"/>
      <c r="AS368" s="113"/>
      <c r="AT368" s="113"/>
      <c r="AU368" s="112"/>
      <c r="AV368" s="338"/>
      <c r="AW368" s="110"/>
      <c r="AX368" s="110"/>
      <c r="AY368" s="113"/>
      <c r="AZ368" s="113"/>
      <c r="BA368" s="113"/>
      <c r="BB368" s="113"/>
      <c r="BC368" s="113"/>
      <c r="BD368" s="113"/>
      <c r="BF36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69" spans="1:58" x14ac:dyDescent="0.3">
      <c r="A369" s="422"/>
      <c r="B369" s="376"/>
      <c r="C369" s="110"/>
      <c r="D369" s="110"/>
      <c r="E369" s="340"/>
      <c r="F369" s="330"/>
      <c r="G369" s="113"/>
      <c r="H369" s="332"/>
      <c r="I369" s="113"/>
      <c r="J369" s="332"/>
      <c r="K369" s="110"/>
      <c r="L369" s="110"/>
      <c r="M369" s="110"/>
      <c r="N369" s="110"/>
      <c r="O369" s="111"/>
      <c r="P369" s="424" t="str">
        <f>IF(OR(Table13[[#This Row],[Annual Increase Option]]="No increase",Table13[[#This Row],[Annual Increase Option]]=""),"",_xlfn.XLOOKUP(MONTH(Table13[[#This Row],[Commencement Date]]),Lookups!$I$19:$I$30,Lookups!$J$19:$J$30,0))</f>
        <v/>
      </c>
      <c r="Q369" s="340"/>
      <c r="R369" s="340"/>
      <c r="S369" s="360">
        <f>IF(Table13[[#This Row],[Life Cover Amount]]="",0,Table2[[#This Row],[Life Premium]])</f>
        <v>0</v>
      </c>
      <c r="T369" s="360">
        <f>IF(Table13[[#This Row],[Funeral Cover Amount]]=0,0,Table2[[#This Row],[Funeral Premium]])</f>
        <v>0</v>
      </c>
      <c r="U369" s="360">
        <f>IF(AND(Table13[[#This Row],[Life Cover Amount]]="",Table13[[#This Row],[Funeral Cover Amount]]=""),0,onboarding_calcs!AA369)</f>
        <v>0</v>
      </c>
      <c r="V369" s="111"/>
      <c r="W369" s="111"/>
      <c r="X369" s="333"/>
      <c r="Y369" s="110"/>
      <c r="Z369" s="113"/>
      <c r="AA369" s="425"/>
      <c r="AB369" s="425"/>
      <c r="AC369" s="113"/>
      <c r="AD369" s="110"/>
      <c r="AE369" s="110"/>
      <c r="AF369" s="110"/>
      <c r="AG369" s="110"/>
      <c r="AH369" s="110"/>
      <c r="AI369" s="113"/>
      <c r="AJ369" s="110"/>
      <c r="AK369" s="110"/>
      <c r="AL369" s="110"/>
      <c r="AM369" s="110"/>
      <c r="AN369" s="110"/>
      <c r="AO369" s="113"/>
      <c r="AP369" s="113"/>
      <c r="AQ369" s="113"/>
      <c r="AR369" s="110"/>
      <c r="AS369" s="113"/>
      <c r="AT369" s="113"/>
      <c r="AU369" s="112"/>
      <c r="AV369" s="338"/>
      <c r="AW369" s="110"/>
      <c r="AX369" s="110"/>
      <c r="AY369" s="113"/>
      <c r="AZ369" s="113"/>
      <c r="BA369" s="113"/>
      <c r="BB369" s="113"/>
      <c r="BC369" s="113"/>
      <c r="BD369" s="113"/>
      <c r="BF36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70" spans="1:58" x14ac:dyDescent="0.3">
      <c r="A370" s="422"/>
      <c r="B370" s="376"/>
      <c r="C370" s="110"/>
      <c r="D370" s="110"/>
      <c r="E370" s="340"/>
      <c r="F370" s="330"/>
      <c r="G370" s="113"/>
      <c r="H370" s="332"/>
      <c r="I370" s="113"/>
      <c r="J370" s="332"/>
      <c r="K370" s="110"/>
      <c r="L370" s="110"/>
      <c r="M370" s="110"/>
      <c r="N370" s="110"/>
      <c r="O370" s="111"/>
      <c r="P370" s="424" t="str">
        <f>IF(OR(Table13[[#This Row],[Annual Increase Option]]="No increase",Table13[[#This Row],[Annual Increase Option]]=""),"",_xlfn.XLOOKUP(MONTH(Table13[[#This Row],[Commencement Date]]),Lookups!$I$19:$I$30,Lookups!$J$19:$J$30,0))</f>
        <v/>
      </c>
      <c r="Q370" s="340"/>
      <c r="R370" s="340"/>
      <c r="S370" s="360">
        <f>IF(Table13[[#This Row],[Life Cover Amount]]="",0,Table2[[#This Row],[Life Premium]])</f>
        <v>0</v>
      </c>
      <c r="T370" s="360">
        <f>IF(Table13[[#This Row],[Funeral Cover Amount]]=0,0,Table2[[#This Row],[Funeral Premium]])</f>
        <v>0</v>
      </c>
      <c r="U370" s="360">
        <f>IF(AND(Table13[[#This Row],[Life Cover Amount]]="",Table13[[#This Row],[Funeral Cover Amount]]=""),0,onboarding_calcs!AA370)</f>
        <v>0</v>
      </c>
      <c r="V370" s="111"/>
      <c r="W370" s="111"/>
      <c r="X370" s="333"/>
      <c r="Y370" s="110"/>
      <c r="Z370" s="113"/>
      <c r="AA370" s="425"/>
      <c r="AB370" s="425"/>
      <c r="AC370" s="113"/>
      <c r="AD370" s="110"/>
      <c r="AE370" s="110"/>
      <c r="AF370" s="110"/>
      <c r="AG370" s="110"/>
      <c r="AH370" s="110"/>
      <c r="AI370" s="113"/>
      <c r="AJ370" s="110"/>
      <c r="AK370" s="110"/>
      <c r="AL370" s="110"/>
      <c r="AM370" s="110"/>
      <c r="AN370" s="110"/>
      <c r="AO370" s="113"/>
      <c r="AP370" s="113"/>
      <c r="AQ370" s="113"/>
      <c r="AR370" s="110"/>
      <c r="AS370" s="113"/>
      <c r="AT370" s="113"/>
      <c r="AU370" s="112"/>
      <c r="AV370" s="338"/>
      <c r="AW370" s="110"/>
      <c r="AX370" s="110"/>
      <c r="AY370" s="113"/>
      <c r="AZ370" s="113"/>
      <c r="BA370" s="113"/>
      <c r="BB370" s="113"/>
      <c r="BC370" s="113"/>
      <c r="BD370" s="113"/>
      <c r="BF37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71" spans="1:58" x14ac:dyDescent="0.3">
      <c r="A371" s="422"/>
      <c r="B371" s="376"/>
      <c r="C371" s="110"/>
      <c r="D371" s="110"/>
      <c r="E371" s="340"/>
      <c r="F371" s="330"/>
      <c r="G371" s="113"/>
      <c r="H371" s="332"/>
      <c r="I371" s="113"/>
      <c r="J371" s="332"/>
      <c r="K371" s="110"/>
      <c r="L371" s="110"/>
      <c r="M371" s="110"/>
      <c r="N371" s="110"/>
      <c r="O371" s="111"/>
      <c r="P371" s="424" t="str">
        <f>IF(OR(Table13[[#This Row],[Annual Increase Option]]="No increase",Table13[[#This Row],[Annual Increase Option]]=""),"",_xlfn.XLOOKUP(MONTH(Table13[[#This Row],[Commencement Date]]),Lookups!$I$19:$I$30,Lookups!$J$19:$J$30,0))</f>
        <v/>
      </c>
      <c r="Q371" s="340"/>
      <c r="R371" s="340"/>
      <c r="S371" s="360">
        <f>IF(Table13[[#This Row],[Life Cover Amount]]="",0,Table2[[#This Row],[Life Premium]])</f>
        <v>0</v>
      </c>
      <c r="T371" s="360">
        <f>IF(Table13[[#This Row],[Funeral Cover Amount]]=0,0,Table2[[#This Row],[Funeral Premium]])</f>
        <v>0</v>
      </c>
      <c r="U371" s="360">
        <f>IF(AND(Table13[[#This Row],[Life Cover Amount]]="",Table13[[#This Row],[Funeral Cover Amount]]=""),0,onboarding_calcs!AA371)</f>
        <v>0</v>
      </c>
      <c r="V371" s="111"/>
      <c r="W371" s="111"/>
      <c r="X371" s="333"/>
      <c r="Y371" s="110"/>
      <c r="Z371" s="113"/>
      <c r="AA371" s="425"/>
      <c r="AB371" s="425"/>
      <c r="AC371" s="113"/>
      <c r="AD371" s="110"/>
      <c r="AE371" s="110"/>
      <c r="AF371" s="110"/>
      <c r="AG371" s="110"/>
      <c r="AH371" s="110"/>
      <c r="AI371" s="113"/>
      <c r="AJ371" s="110"/>
      <c r="AK371" s="110"/>
      <c r="AL371" s="110"/>
      <c r="AM371" s="110"/>
      <c r="AN371" s="110"/>
      <c r="AO371" s="113"/>
      <c r="AP371" s="113"/>
      <c r="AQ371" s="113"/>
      <c r="AR371" s="110"/>
      <c r="AS371" s="113"/>
      <c r="AT371" s="113"/>
      <c r="AU371" s="112"/>
      <c r="AV371" s="338"/>
      <c r="AW371" s="110"/>
      <c r="AX371" s="110"/>
      <c r="AY371" s="113"/>
      <c r="AZ371" s="113"/>
      <c r="BA371" s="113"/>
      <c r="BB371" s="113"/>
      <c r="BC371" s="113"/>
      <c r="BD371" s="113"/>
      <c r="BF37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72" spans="1:58" x14ac:dyDescent="0.3">
      <c r="A372" s="422"/>
      <c r="B372" s="376"/>
      <c r="C372" s="110"/>
      <c r="D372" s="110"/>
      <c r="E372" s="340"/>
      <c r="F372" s="330"/>
      <c r="G372" s="113"/>
      <c r="H372" s="332"/>
      <c r="I372" s="113"/>
      <c r="J372" s="332"/>
      <c r="K372" s="110"/>
      <c r="L372" s="110"/>
      <c r="M372" s="110"/>
      <c r="N372" s="110"/>
      <c r="O372" s="111"/>
      <c r="P372" s="424" t="str">
        <f>IF(OR(Table13[[#This Row],[Annual Increase Option]]="No increase",Table13[[#This Row],[Annual Increase Option]]=""),"",_xlfn.XLOOKUP(MONTH(Table13[[#This Row],[Commencement Date]]),Lookups!$I$19:$I$30,Lookups!$J$19:$J$30,0))</f>
        <v/>
      </c>
      <c r="Q372" s="340"/>
      <c r="R372" s="340"/>
      <c r="S372" s="360">
        <f>IF(Table13[[#This Row],[Life Cover Amount]]="",0,Table2[[#This Row],[Life Premium]])</f>
        <v>0</v>
      </c>
      <c r="T372" s="360">
        <f>IF(Table13[[#This Row],[Funeral Cover Amount]]=0,0,Table2[[#This Row],[Funeral Premium]])</f>
        <v>0</v>
      </c>
      <c r="U372" s="360">
        <f>IF(AND(Table13[[#This Row],[Life Cover Amount]]="",Table13[[#This Row],[Funeral Cover Amount]]=""),0,onboarding_calcs!AA372)</f>
        <v>0</v>
      </c>
      <c r="V372" s="111"/>
      <c r="W372" s="111"/>
      <c r="X372" s="333"/>
      <c r="Y372" s="110"/>
      <c r="Z372" s="113"/>
      <c r="AA372" s="425"/>
      <c r="AB372" s="425"/>
      <c r="AC372" s="113"/>
      <c r="AD372" s="110"/>
      <c r="AE372" s="110"/>
      <c r="AF372" s="110"/>
      <c r="AG372" s="110"/>
      <c r="AH372" s="110"/>
      <c r="AI372" s="113"/>
      <c r="AJ372" s="110"/>
      <c r="AK372" s="110"/>
      <c r="AL372" s="110"/>
      <c r="AM372" s="110"/>
      <c r="AN372" s="110"/>
      <c r="AO372" s="113"/>
      <c r="AP372" s="113"/>
      <c r="AQ372" s="113"/>
      <c r="AR372" s="110"/>
      <c r="AS372" s="113"/>
      <c r="AT372" s="113"/>
      <c r="AU372" s="112"/>
      <c r="AV372" s="338"/>
      <c r="AW372" s="110"/>
      <c r="AX372" s="110"/>
      <c r="AY372" s="113"/>
      <c r="AZ372" s="113"/>
      <c r="BA372" s="113"/>
      <c r="BB372" s="113"/>
      <c r="BC372" s="113"/>
      <c r="BD372" s="113"/>
      <c r="BF37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73" spans="1:58" x14ac:dyDescent="0.3">
      <c r="A373" s="422"/>
      <c r="B373" s="376"/>
      <c r="C373" s="110"/>
      <c r="D373" s="110"/>
      <c r="E373" s="340"/>
      <c r="F373" s="330"/>
      <c r="G373" s="113"/>
      <c r="H373" s="332"/>
      <c r="I373" s="113"/>
      <c r="J373" s="332"/>
      <c r="K373" s="110"/>
      <c r="L373" s="110"/>
      <c r="M373" s="110"/>
      <c r="N373" s="110"/>
      <c r="O373" s="111"/>
      <c r="P373" s="424" t="str">
        <f>IF(OR(Table13[[#This Row],[Annual Increase Option]]="No increase",Table13[[#This Row],[Annual Increase Option]]=""),"",_xlfn.XLOOKUP(MONTH(Table13[[#This Row],[Commencement Date]]),Lookups!$I$19:$I$30,Lookups!$J$19:$J$30,0))</f>
        <v/>
      </c>
      <c r="Q373" s="340"/>
      <c r="R373" s="340"/>
      <c r="S373" s="360">
        <f>IF(Table13[[#This Row],[Life Cover Amount]]="",0,Table2[[#This Row],[Life Premium]])</f>
        <v>0</v>
      </c>
      <c r="T373" s="360">
        <f>IF(Table13[[#This Row],[Funeral Cover Amount]]=0,0,Table2[[#This Row],[Funeral Premium]])</f>
        <v>0</v>
      </c>
      <c r="U373" s="360">
        <f>IF(AND(Table13[[#This Row],[Life Cover Amount]]="",Table13[[#This Row],[Funeral Cover Amount]]=""),0,onboarding_calcs!AA373)</f>
        <v>0</v>
      </c>
      <c r="V373" s="111"/>
      <c r="W373" s="111"/>
      <c r="X373" s="333"/>
      <c r="Y373" s="110"/>
      <c r="Z373" s="113"/>
      <c r="AA373" s="425"/>
      <c r="AB373" s="425"/>
      <c r="AC373" s="113"/>
      <c r="AD373" s="110"/>
      <c r="AE373" s="110"/>
      <c r="AF373" s="110"/>
      <c r="AG373" s="110"/>
      <c r="AH373" s="110"/>
      <c r="AI373" s="113"/>
      <c r="AJ373" s="110"/>
      <c r="AK373" s="110"/>
      <c r="AL373" s="110"/>
      <c r="AM373" s="110"/>
      <c r="AN373" s="110"/>
      <c r="AO373" s="113"/>
      <c r="AP373" s="113"/>
      <c r="AQ373" s="113"/>
      <c r="AR373" s="110"/>
      <c r="AS373" s="113"/>
      <c r="AT373" s="113"/>
      <c r="AU373" s="112"/>
      <c r="AV373" s="338"/>
      <c r="AW373" s="110"/>
      <c r="AX373" s="110"/>
      <c r="AY373" s="113"/>
      <c r="AZ373" s="113"/>
      <c r="BA373" s="113"/>
      <c r="BB373" s="113"/>
      <c r="BC373" s="113"/>
      <c r="BD373" s="113"/>
      <c r="BF37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74" spans="1:58" x14ac:dyDescent="0.3">
      <c r="A374" s="422"/>
      <c r="B374" s="376"/>
      <c r="C374" s="110"/>
      <c r="D374" s="110"/>
      <c r="E374" s="340"/>
      <c r="F374" s="330"/>
      <c r="G374" s="113"/>
      <c r="H374" s="332"/>
      <c r="I374" s="113"/>
      <c r="J374" s="332"/>
      <c r="K374" s="110"/>
      <c r="L374" s="110"/>
      <c r="M374" s="110"/>
      <c r="N374" s="110"/>
      <c r="O374" s="111"/>
      <c r="P374" s="424" t="str">
        <f>IF(OR(Table13[[#This Row],[Annual Increase Option]]="No increase",Table13[[#This Row],[Annual Increase Option]]=""),"",_xlfn.XLOOKUP(MONTH(Table13[[#This Row],[Commencement Date]]),Lookups!$I$19:$I$30,Lookups!$J$19:$J$30,0))</f>
        <v/>
      </c>
      <c r="Q374" s="340"/>
      <c r="R374" s="340"/>
      <c r="S374" s="360">
        <f>IF(Table13[[#This Row],[Life Cover Amount]]="",0,Table2[[#This Row],[Life Premium]])</f>
        <v>0</v>
      </c>
      <c r="T374" s="360">
        <f>IF(Table13[[#This Row],[Funeral Cover Amount]]=0,0,Table2[[#This Row],[Funeral Premium]])</f>
        <v>0</v>
      </c>
      <c r="U374" s="360">
        <f>IF(AND(Table13[[#This Row],[Life Cover Amount]]="",Table13[[#This Row],[Funeral Cover Amount]]=""),0,onboarding_calcs!AA374)</f>
        <v>0</v>
      </c>
      <c r="V374" s="111"/>
      <c r="W374" s="111"/>
      <c r="X374" s="333"/>
      <c r="Y374" s="110"/>
      <c r="Z374" s="113"/>
      <c r="AA374" s="425"/>
      <c r="AB374" s="425"/>
      <c r="AC374" s="113"/>
      <c r="AD374" s="110"/>
      <c r="AE374" s="110"/>
      <c r="AF374" s="110"/>
      <c r="AG374" s="110"/>
      <c r="AH374" s="110"/>
      <c r="AI374" s="113"/>
      <c r="AJ374" s="110"/>
      <c r="AK374" s="110"/>
      <c r="AL374" s="110"/>
      <c r="AM374" s="110"/>
      <c r="AN374" s="110"/>
      <c r="AO374" s="113"/>
      <c r="AP374" s="113"/>
      <c r="AQ374" s="113"/>
      <c r="AR374" s="110"/>
      <c r="AS374" s="113"/>
      <c r="AT374" s="113"/>
      <c r="AU374" s="112"/>
      <c r="AV374" s="338"/>
      <c r="AW374" s="110"/>
      <c r="AX374" s="110"/>
      <c r="AY374" s="113"/>
      <c r="AZ374" s="113"/>
      <c r="BA374" s="113"/>
      <c r="BB374" s="113"/>
      <c r="BC374" s="113"/>
      <c r="BD374" s="113"/>
      <c r="BF37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75" spans="1:58" x14ac:dyDescent="0.3">
      <c r="A375" s="422"/>
      <c r="B375" s="376"/>
      <c r="C375" s="110"/>
      <c r="D375" s="110"/>
      <c r="E375" s="340"/>
      <c r="F375" s="330"/>
      <c r="G375" s="113"/>
      <c r="H375" s="332"/>
      <c r="I375" s="113"/>
      <c r="J375" s="332"/>
      <c r="K375" s="110"/>
      <c r="L375" s="110"/>
      <c r="M375" s="110"/>
      <c r="N375" s="110"/>
      <c r="O375" s="111"/>
      <c r="P375" s="424" t="str">
        <f>IF(OR(Table13[[#This Row],[Annual Increase Option]]="No increase",Table13[[#This Row],[Annual Increase Option]]=""),"",_xlfn.XLOOKUP(MONTH(Table13[[#This Row],[Commencement Date]]),Lookups!$I$19:$I$30,Lookups!$J$19:$J$30,0))</f>
        <v/>
      </c>
      <c r="Q375" s="340"/>
      <c r="R375" s="340"/>
      <c r="S375" s="360">
        <f>IF(Table13[[#This Row],[Life Cover Amount]]="",0,Table2[[#This Row],[Life Premium]])</f>
        <v>0</v>
      </c>
      <c r="T375" s="360">
        <f>IF(Table13[[#This Row],[Funeral Cover Amount]]=0,0,Table2[[#This Row],[Funeral Premium]])</f>
        <v>0</v>
      </c>
      <c r="U375" s="360">
        <f>IF(AND(Table13[[#This Row],[Life Cover Amount]]="",Table13[[#This Row],[Funeral Cover Amount]]=""),0,onboarding_calcs!AA375)</f>
        <v>0</v>
      </c>
      <c r="V375" s="111"/>
      <c r="W375" s="111"/>
      <c r="X375" s="333"/>
      <c r="Y375" s="110"/>
      <c r="Z375" s="113"/>
      <c r="AA375" s="425"/>
      <c r="AB375" s="425"/>
      <c r="AC375" s="113"/>
      <c r="AD375" s="110"/>
      <c r="AE375" s="110"/>
      <c r="AF375" s="110"/>
      <c r="AG375" s="110"/>
      <c r="AH375" s="110"/>
      <c r="AI375" s="113"/>
      <c r="AJ375" s="110"/>
      <c r="AK375" s="110"/>
      <c r="AL375" s="110"/>
      <c r="AM375" s="110"/>
      <c r="AN375" s="110"/>
      <c r="AO375" s="113"/>
      <c r="AP375" s="113"/>
      <c r="AQ375" s="113"/>
      <c r="AR375" s="110"/>
      <c r="AS375" s="113"/>
      <c r="AT375" s="113"/>
      <c r="AU375" s="112"/>
      <c r="AV375" s="338"/>
      <c r="AW375" s="110"/>
      <c r="AX375" s="110"/>
      <c r="AY375" s="113"/>
      <c r="AZ375" s="113"/>
      <c r="BA375" s="113"/>
      <c r="BB375" s="113"/>
      <c r="BC375" s="113"/>
      <c r="BD375" s="113"/>
      <c r="BF37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76" spans="1:58" x14ac:dyDescent="0.3">
      <c r="A376" s="422"/>
      <c r="B376" s="376"/>
      <c r="C376" s="110"/>
      <c r="D376" s="110"/>
      <c r="E376" s="340"/>
      <c r="F376" s="330"/>
      <c r="G376" s="113"/>
      <c r="H376" s="332"/>
      <c r="I376" s="113"/>
      <c r="J376" s="332"/>
      <c r="K376" s="110"/>
      <c r="L376" s="110"/>
      <c r="M376" s="110"/>
      <c r="N376" s="110"/>
      <c r="O376" s="111"/>
      <c r="P376" s="424" t="str">
        <f>IF(OR(Table13[[#This Row],[Annual Increase Option]]="No increase",Table13[[#This Row],[Annual Increase Option]]=""),"",_xlfn.XLOOKUP(MONTH(Table13[[#This Row],[Commencement Date]]),Lookups!$I$19:$I$30,Lookups!$J$19:$J$30,0))</f>
        <v/>
      </c>
      <c r="Q376" s="340"/>
      <c r="R376" s="340"/>
      <c r="S376" s="360">
        <f>IF(Table13[[#This Row],[Life Cover Amount]]="",0,Table2[[#This Row],[Life Premium]])</f>
        <v>0</v>
      </c>
      <c r="T376" s="360">
        <f>IF(Table13[[#This Row],[Funeral Cover Amount]]=0,0,Table2[[#This Row],[Funeral Premium]])</f>
        <v>0</v>
      </c>
      <c r="U376" s="360">
        <f>IF(AND(Table13[[#This Row],[Life Cover Amount]]="",Table13[[#This Row],[Funeral Cover Amount]]=""),0,onboarding_calcs!AA376)</f>
        <v>0</v>
      </c>
      <c r="V376" s="111"/>
      <c r="W376" s="111"/>
      <c r="X376" s="333"/>
      <c r="Y376" s="110"/>
      <c r="Z376" s="113"/>
      <c r="AA376" s="425"/>
      <c r="AB376" s="425"/>
      <c r="AC376" s="113"/>
      <c r="AD376" s="110"/>
      <c r="AE376" s="110"/>
      <c r="AF376" s="110"/>
      <c r="AG376" s="110"/>
      <c r="AH376" s="110"/>
      <c r="AI376" s="113"/>
      <c r="AJ376" s="110"/>
      <c r="AK376" s="110"/>
      <c r="AL376" s="110"/>
      <c r="AM376" s="110"/>
      <c r="AN376" s="110"/>
      <c r="AO376" s="113"/>
      <c r="AP376" s="113"/>
      <c r="AQ376" s="113"/>
      <c r="AR376" s="110"/>
      <c r="AS376" s="113"/>
      <c r="AT376" s="113"/>
      <c r="AU376" s="112"/>
      <c r="AV376" s="338"/>
      <c r="AW376" s="110"/>
      <c r="AX376" s="110"/>
      <c r="AY376" s="113"/>
      <c r="AZ376" s="113"/>
      <c r="BA376" s="113"/>
      <c r="BB376" s="113"/>
      <c r="BC376" s="113"/>
      <c r="BD376" s="113"/>
      <c r="BF37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77" spans="1:58" x14ac:dyDescent="0.3">
      <c r="A377" s="422"/>
      <c r="B377" s="376"/>
      <c r="C377" s="110"/>
      <c r="D377" s="110"/>
      <c r="E377" s="340"/>
      <c r="F377" s="330"/>
      <c r="G377" s="113"/>
      <c r="H377" s="332"/>
      <c r="I377" s="113"/>
      <c r="J377" s="332"/>
      <c r="K377" s="110"/>
      <c r="L377" s="110"/>
      <c r="M377" s="110"/>
      <c r="N377" s="110"/>
      <c r="O377" s="111"/>
      <c r="P377" s="424" t="str">
        <f>IF(OR(Table13[[#This Row],[Annual Increase Option]]="No increase",Table13[[#This Row],[Annual Increase Option]]=""),"",_xlfn.XLOOKUP(MONTH(Table13[[#This Row],[Commencement Date]]),Lookups!$I$19:$I$30,Lookups!$J$19:$J$30,0))</f>
        <v/>
      </c>
      <c r="Q377" s="340"/>
      <c r="R377" s="340"/>
      <c r="S377" s="360">
        <f>IF(Table13[[#This Row],[Life Cover Amount]]="",0,Table2[[#This Row],[Life Premium]])</f>
        <v>0</v>
      </c>
      <c r="T377" s="360">
        <f>IF(Table13[[#This Row],[Funeral Cover Amount]]=0,0,Table2[[#This Row],[Funeral Premium]])</f>
        <v>0</v>
      </c>
      <c r="U377" s="360">
        <f>IF(AND(Table13[[#This Row],[Life Cover Amount]]="",Table13[[#This Row],[Funeral Cover Amount]]=""),0,onboarding_calcs!AA377)</f>
        <v>0</v>
      </c>
      <c r="V377" s="111"/>
      <c r="W377" s="111"/>
      <c r="X377" s="333"/>
      <c r="Y377" s="110"/>
      <c r="Z377" s="113"/>
      <c r="AA377" s="425"/>
      <c r="AB377" s="425"/>
      <c r="AC377" s="113"/>
      <c r="AD377" s="110"/>
      <c r="AE377" s="110"/>
      <c r="AF377" s="110"/>
      <c r="AG377" s="110"/>
      <c r="AH377" s="110"/>
      <c r="AI377" s="113"/>
      <c r="AJ377" s="110"/>
      <c r="AK377" s="110"/>
      <c r="AL377" s="110"/>
      <c r="AM377" s="110"/>
      <c r="AN377" s="110"/>
      <c r="AO377" s="113"/>
      <c r="AP377" s="113"/>
      <c r="AQ377" s="113"/>
      <c r="AR377" s="110"/>
      <c r="AS377" s="113"/>
      <c r="AT377" s="113"/>
      <c r="AU377" s="112"/>
      <c r="AV377" s="338"/>
      <c r="AW377" s="110"/>
      <c r="AX377" s="110"/>
      <c r="AY377" s="113"/>
      <c r="AZ377" s="113"/>
      <c r="BA377" s="113"/>
      <c r="BB377" s="113"/>
      <c r="BC377" s="113"/>
      <c r="BD377" s="113"/>
      <c r="BF37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78" spans="1:58" x14ac:dyDescent="0.3">
      <c r="A378" s="422"/>
      <c r="B378" s="376"/>
      <c r="C378" s="110"/>
      <c r="D378" s="110"/>
      <c r="E378" s="340"/>
      <c r="F378" s="330"/>
      <c r="G378" s="113"/>
      <c r="H378" s="332"/>
      <c r="I378" s="113"/>
      <c r="J378" s="332"/>
      <c r="K378" s="110"/>
      <c r="L378" s="110"/>
      <c r="M378" s="110"/>
      <c r="N378" s="110"/>
      <c r="O378" s="111"/>
      <c r="P378" s="424" t="str">
        <f>IF(OR(Table13[[#This Row],[Annual Increase Option]]="No increase",Table13[[#This Row],[Annual Increase Option]]=""),"",_xlfn.XLOOKUP(MONTH(Table13[[#This Row],[Commencement Date]]),Lookups!$I$19:$I$30,Lookups!$J$19:$J$30,0))</f>
        <v/>
      </c>
      <c r="Q378" s="340"/>
      <c r="R378" s="340"/>
      <c r="S378" s="360">
        <f>IF(Table13[[#This Row],[Life Cover Amount]]="",0,Table2[[#This Row],[Life Premium]])</f>
        <v>0</v>
      </c>
      <c r="T378" s="360">
        <f>IF(Table13[[#This Row],[Funeral Cover Amount]]=0,0,Table2[[#This Row],[Funeral Premium]])</f>
        <v>0</v>
      </c>
      <c r="U378" s="360">
        <f>IF(AND(Table13[[#This Row],[Life Cover Amount]]="",Table13[[#This Row],[Funeral Cover Amount]]=""),0,onboarding_calcs!AA378)</f>
        <v>0</v>
      </c>
      <c r="V378" s="111"/>
      <c r="W378" s="111"/>
      <c r="X378" s="333"/>
      <c r="Y378" s="110"/>
      <c r="Z378" s="113"/>
      <c r="AA378" s="425"/>
      <c r="AB378" s="425"/>
      <c r="AC378" s="113"/>
      <c r="AD378" s="110"/>
      <c r="AE378" s="110"/>
      <c r="AF378" s="110"/>
      <c r="AG378" s="110"/>
      <c r="AH378" s="110"/>
      <c r="AI378" s="113"/>
      <c r="AJ378" s="110"/>
      <c r="AK378" s="110"/>
      <c r="AL378" s="110"/>
      <c r="AM378" s="110"/>
      <c r="AN378" s="110"/>
      <c r="AO378" s="113"/>
      <c r="AP378" s="113"/>
      <c r="AQ378" s="113"/>
      <c r="AR378" s="110"/>
      <c r="AS378" s="113"/>
      <c r="AT378" s="113"/>
      <c r="AU378" s="112"/>
      <c r="AV378" s="338"/>
      <c r="AW378" s="110"/>
      <c r="AX378" s="110"/>
      <c r="AY378" s="113"/>
      <c r="AZ378" s="113"/>
      <c r="BA378" s="113"/>
      <c r="BB378" s="113"/>
      <c r="BC378" s="113"/>
      <c r="BD378" s="113"/>
      <c r="BF37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79" spans="1:58" x14ac:dyDescent="0.3">
      <c r="A379" s="422"/>
      <c r="B379" s="376"/>
      <c r="C379" s="110"/>
      <c r="D379" s="110"/>
      <c r="E379" s="340"/>
      <c r="F379" s="330"/>
      <c r="G379" s="113"/>
      <c r="H379" s="332"/>
      <c r="I379" s="113"/>
      <c r="J379" s="332"/>
      <c r="K379" s="110"/>
      <c r="L379" s="110"/>
      <c r="M379" s="110"/>
      <c r="N379" s="110"/>
      <c r="O379" s="111"/>
      <c r="P379" s="424" t="str">
        <f>IF(OR(Table13[[#This Row],[Annual Increase Option]]="No increase",Table13[[#This Row],[Annual Increase Option]]=""),"",_xlfn.XLOOKUP(MONTH(Table13[[#This Row],[Commencement Date]]),Lookups!$I$19:$I$30,Lookups!$J$19:$J$30,0))</f>
        <v/>
      </c>
      <c r="Q379" s="340"/>
      <c r="R379" s="340"/>
      <c r="S379" s="360">
        <f>IF(Table13[[#This Row],[Life Cover Amount]]="",0,Table2[[#This Row],[Life Premium]])</f>
        <v>0</v>
      </c>
      <c r="T379" s="360">
        <f>IF(Table13[[#This Row],[Funeral Cover Amount]]=0,0,Table2[[#This Row],[Funeral Premium]])</f>
        <v>0</v>
      </c>
      <c r="U379" s="360">
        <f>IF(AND(Table13[[#This Row],[Life Cover Amount]]="",Table13[[#This Row],[Funeral Cover Amount]]=""),0,onboarding_calcs!AA379)</f>
        <v>0</v>
      </c>
      <c r="V379" s="111"/>
      <c r="W379" s="111"/>
      <c r="X379" s="333"/>
      <c r="Y379" s="110"/>
      <c r="Z379" s="113"/>
      <c r="AA379" s="425"/>
      <c r="AB379" s="425"/>
      <c r="AC379" s="113"/>
      <c r="AD379" s="110"/>
      <c r="AE379" s="110"/>
      <c r="AF379" s="110"/>
      <c r="AG379" s="110"/>
      <c r="AH379" s="110"/>
      <c r="AI379" s="113"/>
      <c r="AJ379" s="110"/>
      <c r="AK379" s="110"/>
      <c r="AL379" s="110"/>
      <c r="AM379" s="110"/>
      <c r="AN379" s="110"/>
      <c r="AO379" s="113"/>
      <c r="AP379" s="113"/>
      <c r="AQ379" s="113"/>
      <c r="AR379" s="110"/>
      <c r="AS379" s="113"/>
      <c r="AT379" s="113"/>
      <c r="AU379" s="112"/>
      <c r="AV379" s="338"/>
      <c r="AW379" s="110"/>
      <c r="AX379" s="110"/>
      <c r="AY379" s="113"/>
      <c r="AZ379" s="113"/>
      <c r="BA379" s="113"/>
      <c r="BB379" s="113"/>
      <c r="BC379" s="113"/>
      <c r="BD379" s="113"/>
      <c r="BF37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80" spans="1:58" x14ac:dyDescent="0.3">
      <c r="A380" s="422"/>
      <c r="B380" s="376"/>
      <c r="C380" s="110"/>
      <c r="D380" s="110"/>
      <c r="E380" s="340"/>
      <c r="F380" s="330"/>
      <c r="G380" s="113"/>
      <c r="H380" s="332"/>
      <c r="I380" s="113"/>
      <c r="J380" s="332"/>
      <c r="K380" s="110"/>
      <c r="L380" s="110"/>
      <c r="M380" s="110"/>
      <c r="N380" s="110"/>
      <c r="O380" s="111"/>
      <c r="P380" s="424" t="str">
        <f>IF(OR(Table13[[#This Row],[Annual Increase Option]]="No increase",Table13[[#This Row],[Annual Increase Option]]=""),"",_xlfn.XLOOKUP(MONTH(Table13[[#This Row],[Commencement Date]]),Lookups!$I$19:$I$30,Lookups!$J$19:$J$30,0))</f>
        <v/>
      </c>
      <c r="Q380" s="340"/>
      <c r="R380" s="340"/>
      <c r="S380" s="360">
        <f>IF(Table13[[#This Row],[Life Cover Amount]]="",0,Table2[[#This Row],[Life Premium]])</f>
        <v>0</v>
      </c>
      <c r="T380" s="360">
        <f>IF(Table13[[#This Row],[Funeral Cover Amount]]=0,0,Table2[[#This Row],[Funeral Premium]])</f>
        <v>0</v>
      </c>
      <c r="U380" s="360">
        <f>IF(AND(Table13[[#This Row],[Life Cover Amount]]="",Table13[[#This Row],[Funeral Cover Amount]]=""),0,onboarding_calcs!AA380)</f>
        <v>0</v>
      </c>
      <c r="V380" s="111"/>
      <c r="W380" s="111"/>
      <c r="X380" s="333"/>
      <c r="Y380" s="110"/>
      <c r="Z380" s="113"/>
      <c r="AA380" s="425"/>
      <c r="AB380" s="425"/>
      <c r="AC380" s="113"/>
      <c r="AD380" s="110"/>
      <c r="AE380" s="110"/>
      <c r="AF380" s="110"/>
      <c r="AG380" s="110"/>
      <c r="AH380" s="110"/>
      <c r="AI380" s="113"/>
      <c r="AJ380" s="110"/>
      <c r="AK380" s="110"/>
      <c r="AL380" s="110"/>
      <c r="AM380" s="110"/>
      <c r="AN380" s="110"/>
      <c r="AO380" s="113"/>
      <c r="AP380" s="113"/>
      <c r="AQ380" s="113"/>
      <c r="AR380" s="110"/>
      <c r="AS380" s="113"/>
      <c r="AT380" s="113"/>
      <c r="AU380" s="112"/>
      <c r="AV380" s="338"/>
      <c r="AW380" s="110"/>
      <c r="AX380" s="110"/>
      <c r="AY380" s="113"/>
      <c r="AZ380" s="113"/>
      <c r="BA380" s="113"/>
      <c r="BB380" s="113"/>
      <c r="BC380" s="113"/>
      <c r="BD380" s="113"/>
      <c r="BF38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81" spans="1:58" x14ac:dyDescent="0.3">
      <c r="A381" s="422"/>
      <c r="B381" s="376"/>
      <c r="C381" s="110"/>
      <c r="D381" s="110"/>
      <c r="E381" s="340"/>
      <c r="F381" s="330"/>
      <c r="G381" s="113"/>
      <c r="H381" s="332"/>
      <c r="I381" s="113"/>
      <c r="J381" s="332"/>
      <c r="K381" s="110"/>
      <c r="L381" s="110"/>
      <c r="M381" s="110"/>
      <c r="N381" s="110"/>
      <c r="O381" s="111"/>
      <c r="P381" s="424" t="str">
        <f>IF(OR(Table13[[#This Row],[Annual Increase Option]]="No increase",Table13[[#This Row],[Annual Increase Option]]=""),"",_xlfn.XLOOKUP(MONTH(Table13[[#This Row],[Commencement Date]]),Lookups!$I$19:$I$30,Lookups!$J$19:$J$30,0))</f>
        <v/>
      </c>
      <c r="Q381" s="340"/>
      <c r="R381" s="340"/>
      <c r="S381" s="360">
        <f>IF(Table13[[#This Row],[Life Cover Amount]]="",0,Table2[[#This Row],[Life Premium]])</f>
        <v>0</v>
      </c>
      <c r="T381" s="360">
        <f>IF(Table13[[#This Row],[Funeral Cover Amount]]=0,0,Table2[[#This Row],[Funeral Premium]])</f>
        <v>0</v>
      </c>
      <c r="U381" s="360">
        <f>IF(AND(Table13[[#This Row],[Life Cover Amount]]="",Table13[[#This Row],[Funeral Cover Amount]]=""),0,onboarding_calcs!AA381)</f>
        <v>0</v>
      </c>
      <c r="V381" s="111"/>
      <c r="W381" s="111"/>
      <c r="X381" s="333"/>
      <c r="Y381" s="110"/>
      <c r="Z381" s="113"/>
      <c r="AA381" s="425"/>
      <c r="AB381" s="425"/>
      <c r="AC381" s="113"/>
      <c r="AD381" s="110"/>
      <c r="AE381" s="110"/>
      <c r="AF381" s="110"/>
      <c r="AG381" s="110"/>
      <c r="AH381" s="110"/>
      <c r="AI381" s="113"/>
      <c r="AJ381" s="110"/>
      <c r="AK381" s="110"/>
      <c r="AL381" s="110"/>
      <c r="AM381" s="110"/>
      <c r="AN381" s="110"/>
      <c r="AO381" s="113"/>
      <c r="AP381" s="113"/>
      <c r="AQ381" s="113"/>
      <c r="AR381" s="110"/>
      <c r="AS381" s="113"/>
      <c r="AT381" s="113"/>
      <c r="AU381" s="112"/>
      <c r="AV381" s="338"/>
      <c r="AW381" s="110"/>
      <c r="AX381" s="110"/>
      <c r="AY381" s="113"/>
      <c r="AZ381" s="113"/>
      <c r="BA381" s="113"/>
      <c r="BB381" s="113"/>
      <c r="BC381" s="113"/>
      <c r="BD381" s="113"/>
      <c r="BF38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82" spans="1:58" x14ac:dyDescent="0.3">
      <c r="A382" s="422"/>
      <c r="B382" s="376"/>
      <c r="C382" s="110"/>
      <c r="D382" s="110"/>
      <c r="E382" s="340"/>
      <c r="F382" s="330"/>
      <c r="G382" s="113"/>
      <c r="H382" s="332"/>
      <c r="I382" s="113"/>
      <c r="J382" s="332"/>
      <c r="K382" s="110"/>
      <c r="L382" s="110"/>
      <c r="M382" s="110"/>
      <c r="N382" s="110"/>
      <c r="O382" s="111"/>
      <c r="P382" s="424" t="str">
        <f>IF(OR(Table13[[#This Row],[Annual Increase Option]]="No increase",Table13[[#This Row],[Annual Increase Option]]=""),"",_xlfn.XLOOKUP(MONTH(Table13[[#This Row],[Commencement Date]]),Lookups!$I$19:$I$30,Lookups!$J$19:$J$30,0))</f>
        <v/>
      </c>
      <c r="Q382" s="340"/>
      <c r="R382" s="340"/>
      <c r="S382" s="360">
        <f>IF(Table13[[#This Row],[Life Cover Amount]]="",0,Table2[[#This Row],[Life Premium]])</f>
        <v>0</v>
      </c>
      <c r="T382" s="360">
        <f>IF(Table13[[#This Row],[Funeral Cover Amount]]=0,0,Table2[[#This Row],[Funeral Premium]])</f>
        <v>0</v>
      </c>
      <c r="U382" s="360">
        <f>IF(AND(Table13[[#This Row],[Life Cover Amount]]="",Table13[[#This Row],[Funeral Cover Amount]]=""),0,onboarding_calcs!AA382)</f>
        <v>0</v>
      </c>
      <c r="V382" s="111"/>
      <c r="W382" s="111"/>
      <c r="X382" s="333"/>
      <c r="Y382" s="110"/>
      <c r="Z382" s="113"/>
      <c r="AA382" s="425"/>
      <c r="AB382" s="425"/>
      <c r="AC382" s="113"/>
      <c r="AD382" s="110"/>
      <c r="AE382" s="110"/>
      <c r="AF382" s="110"/>
      <c r="AG382" s="110"/>
      <c r="AH382" s="110"/>
      <c r="AI382" s="113"/>
      <c r="AJ382" s="110"/>
      <c r="AK382" s="110"/>
      <c r="AL382" s="110"/>
      <c r="AM382" s="110"/>
      <c r="AN382" s="110"/>
      <c r="AO382" s="113"/>
      <c r="AP382" s="113"/>
      <c r="AQ382" s="113"/>
      <c r="AR382" s="110"/>
      <c r="AS382" s="113"/>
      <c r="AT382" s="113"/>
      <c r="AU382" s="112"/>
      <c r="AV382" s="338"/>
      <c r="AW382" s="110"/>
      <c r="AX382" s="110"/>
      <c r="AY382" s="113"/>
      <c r="AZ382" s="113"/>
      <c r="BA382" s="113"/>
      <c r="BB382" s="113"/>
      <c r="BC382" s="113"/>
      <c r="BD382" s="113"/>
      <c r="BF38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83" spans="1:58" x14ac:dyDescent="0.3">
      <c r="A383" s="422"/>
      <c r="B383" s="376"/>
      <c r="C383" s="110"/>
      <c r="D383" s="110"/>
      <c r="E383" s="340"/>
      <c r="F383" s="330"/>
      <c r="G383" s="113"/>
      <c r="H383" s="332"/>
      <c r="I383" s="113"/>
      <c r="J383" s="332"/>
      <c r="K383" s="110"/>
      <c r="L383" s="110"/>
      <c r="M383" s="110"/>
      <c r="N383" s="110"/>
      <c r="O383" s="111"/>
      <c r="P383" s="424" t="str">
        <f>IF(OR(Table13[[#This Row],[Annual Increase Option]]="No increase",Table13[[#This Row],[Annual Increase Option]]=""),"",_xlfn.XLOOKUP(MONTH(Table13[[#This Row],[Commencement Date]]),Lookups!$I$19:$I$30,Lookups!$J$19:$J$30,0))</f>
        <v/>
      </c>
      <c r="Q383" s="340"/>
      <c r="R383" s="340"/>
      <c r="S383" s="360">
        <f>IF(Table13[[#This Row],[Life Cover Amount]]="",0,Table2[[#This Row],[Life Premium]])</f>
        <v>0</v>
      </c>
      <c r="T383" s="360">
        <f>IF(Table13[[#This Row],[Funeral Cover Amount]]=0,0,Table2[[#This Row],[Funeral Premium]])</f>
        <v>0</v>
      </c>
      <c r="U383" s="360">
        <f>IF(AND(Table13[[#This Row],[Life Cover Amount]]="",Table13[[#This Row],[Funeral Cover Amount]]=""),0,onboarding_calcs!AA383)</f>
        <v>0</v>
      </c>
      <c r="V383" s="111"/>
      <c r="W383" s="111"/>
      <c r="X383" s="333"/>
      <c r="Y383" s="110"/>
      <c r="Z383" s="113"/>
      <c r="AA383" s="425"/>
      <c r="AB383" s="425"/>
      <c r="AC383" s="113"/>
      <c r="AD383" s="110"/>
      <c r="AE383" s="110"/>
      <c r="AF383" s="110"/>
      <c r="AG383" s="110"/>
      <c r="AH383" s="110"/>
      <c r="AI383" s="113"/>
      <c r="AJ383" s="110"/>
      <c r="AK383" s="110"/>
      <c r="AL383" s="110"/>
      <c r="AM383" s="110"/>
      <c r="AN383" s="110"/>
      <c r="AO383" s="113"/>
      <c r="AP383" s="113"/>
      <c r="AQ383" s="113"/>
      <c r="AR383" s="110"/>
      <c r="AS383" s="113"/>
      <c r="AT383" s="113"/>
      <c r="AU383" s="112"/>
      <c r="AV383" s="338"/>
      <c r="AW383" s="110"/>
      <c r="AX383" s="110"/>
      <c r="AY383" s="113"/>
      <c r="AZ383" s="113"/>
      <c r="BA383" s="113"/>
      <c r="BB383" s="113"/>
      <c r="BC383" s="113"/>
      <c r="BD383" s="113"/>
      <c r="BF38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84" spans="1:58" x14ac:dyDescent="0.3">
      <c r="A384" s="422"/>
      <c r="B384" s="376"/>
      <c r="C384" s="110"/>
      <c r="D384" s="110"/>
      <c r="E384" s="340"/>
      <c r="F384" s="330"/>
      <c r="G384" s="113"/>
      <c r="H384" s="332"/>
      <c r="I384" s="113"/>
      <c r="J384" s="332"/>
      <c r="K384" s="110"/>
      <c r="L384" s="110"/>
      <c r="M384" s="110"/>
      <c r="N384" s="110"/>
      <c r="O384" s="111"/>
      <c r="P384" s="424" t="str">
        <f>IF(OR(Table13[[#This Row],[Annual Increase Option]]="No increase",Table13[[#This Row],[Annual Increase Option]]=""),"",_xlfn.XLOOKUP(MONTH(Table13[[#This Row],[Commencement Date]]),Lookups!$I$19:$I$30,Lookups!$J$19:$J$30,0))</f>
        <v/>
      </c>
      <c r="Q384" s="340"/>
      <c r="R384" s="340"/>
      <c r="S384" s="360">
        <f>IF(Table13[[#This Row],[Life Cover Amount]]="",0,Table2[[#This Row],[Life Premium]])</f>
        <v>0</v>
      </c>
      <c r="T384" s="360">
        <f>IF(Table13[[#This Row],[Funeral Cover Amount]]=0,0,Table2[[#This Row],[Funeral Premium]])</f>
        <v>0</v>
      </c>
      <c r="U384" s="360">
        <f>IF(AND(Table13[[#This Row],[Life Cover Amount]]="",Table13[[#This Row],[Funeral Cover Amount]]=""),0,onboarding_calcs!AA384)</f>
        <v>0</v>
      </c>
      <c r="V384" s="111"/>
      <c r="W384" s="111"/>
      <c r="X384" s="333"/>
      <c r="Y384" s="110"/>
      <c r="Z384" s="113"/>
      <c r="AA384" s="425"/>
      <c r="AB384" s="425"/>
      <c r="AC384" s="113"/>
      <c r="AD384" s="110"/>
      <c r="AE384" s="110"/>
      <c r="AF384" s="110"/>
      <c r="AG384" s="110"/>
      <c r="AH384" s="110"/>
      <c r="AI384" s="113"/>
      <c r="AJ384" s="110"/>
      <c r="AK384" s="110"/>
      <c r="AL384" s="110"/>
      <c r="AM384" s="110"/>
      <c r="AN384" s="110"/>
      <c r="AO384" s="113"/>
      <c r="AP384" s="113"/>
      <c r="AQ384" s="113"/>
      <c r="AR384" s="110"/>
      <c r="AS384" s="113"/>
      <c r="AT384" s="113"/>
      <c r="AU384" s="112"/>
      <c r="AV384" s="338"/>
      <c r="AW384" s="110"/>
      <c r="AX384" s="110"/>
      <c r="AY384" s="113"/>
      <c r="AZ384" s="113"/>
      <c r="BA384" s="113"/>
      <c r="BB384" s="113"/>
      <c r="BC384" s="113"/>
      <c r="BD384" s="113"/>
      <c r="BF38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85" spans="1:58" x14ac:dyDescent="0.3">
      <c r="A385" s="422"/>
      <c r="B385" s="376"/>
      <c r="C385" s="110"/>
      <c r="D385" s="110"/>
      <c r="E385" s="340"/>
      <c r="F385" s="330"/>
      <c r="G385" s="113"/>
      <c r="H385" s="332"/>
      <c r="I385" s="113"/>
      <c r="J385" s="332"/>
      <c r="K385" s="110"/>
      <c r="L385" s="110"/>
      <c r="M385" s="110"/>
      <c r="N385" s="110"/>
      <c r="O385" s="111"/>
      <c r="P385" s="424" t="str">
        <f>IF(OR(Table13[[#This Row],[Annual Increase Option]]="No increase",Table13[[#This Row],[Annual Increase Option]]=""),"",_xlfn.XLOOKUP(MONTH(Table13[[#This Row],[Commencement Date]]),Lookups!$I$19:$I$30,Lookups!$J$19:$J$30,0))</f>
        <v/>
      </c>
      <c r="Q385" s="340"/>
      <c r="R385" s="340"/>
      <c r="S385" s="360">
        <f>IF(Table13[[#This Row],[Life Cover Amount]]="",0,Table2[[#This Row],[Life Premium]])</f>
        <v>0</v>
      </c>
      <c r="T385" s="360">
        <f>IF(Table13[[#This Row],[Funeral Cover Amount]]=0,0,Table2[[#This Row],[Funeral Premium]])</f>
        <v>0</v>
      </c>
      <c r="U385" s="360">
        <f>IF(AND(Table13[[#This Row],[Life Cover Amount]]="",Table13[[#This Row],[Funeral Cover Amount]]=""),0,onboarding_calcs!AA385)</f>
        <v>0</v>
      </c>
      <c r="V385" s="111"/>
      <c r="W385" s="111"/>
      <c r="X385" s="333"/>
      <c r="Y385" s="110"/>
      <c r="Z385" s="113"/>
      <c r="AA385" s="425"/>
      <c r="AB385" s="425"/>
      <c r="AC385" s="113"/>
      <c r="AD385" s="110"/>
      <c r="AE385" s="110"/>
      <c r="AF385" s="110"/>
      <c r="AG385" s="110"/>
      <c r="AH385" s="110"/>
      <c r="AI385" s="113"/>
      <c r="AJ385" s="110"/>
      <c r="AK385" s="110"/>
      <c r="AL385" s="110"/>
      <c r="AM385" s="110"/>
      <c r="AN385" s="110"/>
      <c r="AO385" s="113"/>
      <c r="AP385" s="113"/>
      <c r="AQ385" s="113"/>
      <c r="AR385" s="110"/>
      <c r="AS385" s="113"/>
      <c r="AT385" s="113"/>
      <c r="AU385" s="112"/>
      <c r="AV385" s="338"/>
      <c r="AW385" s="110"/>
      <c r="AX385" s="110"/>
      <c r="AY385" s="113"/>
      <c r="AZ385" s="113"/>
      <c r="BA385" s="113"/>
      <c r="BB385" s="113"/>
      <c r="BC385" s="113"/>
      <c r="BD385" s="113"/>
      <c r="BF38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86" spans="1:58" x14ac:dyDescent="0.3">
      <c r="A386" s="422"/>
      <c r="B386" s="376"/>
      <c r="C386" s="110"/>
      <c r="D386" s="110"/>
      <c r="E386" s="340"/>
      <c r="F386" s="330"/>
      <c r="G386" s="113"/>
      <c r="H386" s="332"/>
      <c r="I386" s="113"/>
      <c r="J386" s="332"/>
      <c r="K386" s="110"/>
      <c r="L386" s="110"/>
      <c r="M386" s="110"/>
      <c r="N386" s="110"/>
      <c r="O386" s="111"/>
      <c r="P386" s="424" t="str">
        <f>IF(OR(Table13[[#This Row],[Annual Increase Option]]="No increase",Table13[[#This Row],[Annual Increase Option]]=""),"",_xlfn.XLOOKUP(MONTH(Table13[[#This Row],[Commencement Date]]),Lookups!$I$19:$I$30,Lookups!$J$19:$J$30,0))</f>
        <v/>
      </c>
      <c r="Q386" s="340"/>
      <c r="R386" s="340"/>
      <c r="S386" s="360">
        <f>IF(Table13[[#This Row],[Life Cover Amount]]="",0,Table2[[#This Row],[Life Premium]])</f>
        <v>0</v>
      </c>
      <c r="T386" s="360">
        <f>IF(Table13[[#This Row],[Funeral Cover Amount]]=0,0,Table2[[#This Row],[Funeral Premium]])</f>
        <v>0</v>
      </c>
      <c r="U386" s="360">
        <f>IF(AND(Table13[[#This Row],[Life Cover Amount]]="",Table13[[#This Row],[Funeral Cover Amount]]=""),0,onboarding_calcs!AA386)</f>
        <v>0</v>
      </c>
      <c r="V386" s="111"/>
      <c r="W386" s="111"/>
      <c r="X386" s="333"/>
      <c r="Y386" s="110"/>
      <c r="Z386" s="113"/>
      <c r="AA386" s="425"/>
      <c r="AB386" s="425"/>
      <c r="AC386" s="113"/>
      <c r="AD386" s="110"/>
      <c r="AE386" s="110"/>
      <c r="AF386" s="110"/>
      <c r="AG386" s="110"/>
      <c r="AH386" s="110"/>
      <c r="AI386" s="113"/>
      <c r="AJ386" s="110"/>
      <c r="AK386" s="110"/>
      <c r="AL386" s="110"/>
      <c r="AM386" s="110"/>
      <c r="AN386" s="110"/>
      <c r="AO386" s="113"/>
      <c r="AP386" s="113"/>
      <c r="AQ386" s="113"/>
      <c r="AR386" s="110"/>
      <c r="AS386" s="113"/>
      <c r="AT386" s="113"/>
      <c r="AU386" s="112"/>
      <c r="AV386" s="338"/>
      <c r="AW386" s="110"/>
      <c r="AX386" s="110"/>
      <c r="AY386" s="113"/>
      <c r="AZ386" s="113"/>
      <c r="BA386" s="113"/>
      <c r="BB386" s="113"/>
      <c r="BC386" s="113"/>
      <c r="BD386" s="113"/>
      <c r="BF38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87" spans="1:58" x14ac:dyDescent="0.3">
      <c r="A387" s="422"/>
      <c r="B387" s="376"/>
      <c r="C387" s="110"/>
      <c r="D387" s="110"/>
      <c r="E387" s="340"/>
      <c r="F387" s="330"/>
      <c r="G387" s="113"/>
      <c r="H387" s="332"/>
      <c r="I387" s="113"/>
      <c r="J387" s="332"/>
      <c r="K387" s="110"/>
      <c r="L387" s="110"/>
      <c r="M387" s="110"/>
      <c r="N387" s="110"/>
      <c r="O387" s="111"/>
      <c r="P387" s="424" t="str">
        <f>IF(OR(Table13[[#This Row],[Annual Increase Option]]="No increase",Table13[[#This Row],[Annual Increase Option]]=""),"",_xlfn.XLOOKUP(MONTH(Table13[[#This Row],[Commencement Date]]),Lookups!$I$19:$I$30,Lookups!$J$19:$J$30,0))</f>
        <v/>
      </c>
      <c r="Q387" s="340"/>
      <c r="R387" s="340"/>
      <c r="S387" s="360">
        <f>IF(Table13[[#This Row],[Life Cover Amount]]="",0,Table2[[#This Row],[Life Premium]])</f>
        <v>0</v>
      </c>
      <c r="T387" s="360">
        <f>IF(Table13[[#This Row],[Funeral Cover Amount]]=0,0,Table2[[#This Row],[Funeral Premium]])</f>
        <v>0</v>
      </c>
      <c r="U387" s="360">
        <f>IF(AND(Table13[[#This Row],[Life Cover Amount]]="",Table13[[#This Row],[Funeral Cover Amount]]=""),0,onboarding_calcs!AA387)</f>
        <v>0</v>
      </c>
      <c r="V387" s="111"/>
      <c r="W387" s="111"/>
      <c r="X387" s="333"/>
      <c r="Y387" s="110"/>
      <c r="Z387" s="113"/>
      <c r="AA387" s="425"/>
      <c r="AB387" s="425"/>
      <c r="AC387" s="113"/>
      <c r="AD387" s="110"/>
      <c r="AE387" s="110"/>
      <c r="AF387" s="110"/>
      <c r="AG387" s="110"/>
      <c r="AH387" s="110"/>
      <c r="AI387" s="113"/>
      <c r="AJ387" s="110"/>
      <c r="AK387" s="110"/>
      <c r="AL387" s="110"/>
      <c r="AM387" s="110"/>
      <c r="AN387" s="110"/>
      <c r="AO387" s="113"/>
      <c r="AP387" s="113"/>
      <c r="AQ387" s="113"/>
      <c r="AR387" s="110"/>
      <c r="AS387" s="113"/>
      <c r="AT387" s="113"/>
      <c r="AU387" s="112"/>
      <c r="AV387" s="338"/>
      <c r="AW387" s="110"/>
      <c r="AX387" s="110"/>
      <c r="AY387" s="113"/>
      <c r="AZ387" s="113"/>
      <c r="BA387" s="113"/>
      <c r="BB387" s="113"/>
      <c r="BC387" s="113"/>
      <c r="BD387" s="113"/>
      <c r="BF38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88" spans="1:58" x14ac:dyDescent="0.3">
      <c r="A388" s="422"/>
      <c r="B388" s="376"/>
      <c r="C388" s="110"/>
      <c r="D388" s="110"/>
      <c r="E388" s="340"/>
      <c r="F388" s="330"/>
      <c r="G388" s="113"/>
      <c r="H388" s="332"/>
      <c r="I388" s="113"/>
      <c r="J388" s="332"/>
      <c r="K388" s="110"/>
      <c r="L388" s="110"/>
      <c r="M388" s="110"/>
      <c r="N388" s="110"/>
      <c r="O388" s="111"/>
      <c r="P388" s="424" t="str">
        <f>IF(OR(Table13[[#This Row],[Annual Increase Option]]="No increase",Table13[[#This Row],[Annual Increase Option]]=""),"",_xlfn.XLOOKUP(MONTH(Table13[[#This Row],[Commencement Date]]),Lookups!$I$19:$I$30,Lookups!$J$19:$J$30,0))</f>
        <v/>
      </c>
      <c r="Q388" s="340"/>
      <c r="R388" s="340"/>
      <c r="S388" s="360">
        <f>IF(Table13[[#This Row],[Life Cover Amount]]="",0,Table2[[#This Row],[Life Premium]])</f>
        <v>0</v>
      </c>
      <c r="T388" s="360">
        <f>IF(Table13[[#This Row],[Funeral Cover Amount]]=0,0,Table2[[#This Row],[Funeral Premium]])</f>
        <v>0</v>
      </c>
      <c r="U388" s="360">
        <f>IF(AND(Table13[[#This Row],[Life Cover Amount]]="",Table13[[#This Row],[Funeral Cover Amount]]=""),0,onboarding_calcs!AA388)</f>
        <v>0</v>
      </c>
      <c r="V388" s="111"/>
      <c r="W388" s="111"/>
      <c r="X388" s="333"/>
      <c r="Y388" s="110"/>
      <c r="Z388" s="113"/>
      <c r="AA388" s="425"/>
      <c r="AB388" s="425"/>
      <c r="AC388" s="113"/>
      <c r="AD388" s="110"/>
      <c r="AE388" s="110"/>
      <c r="AF388" s="110"/>
      <c r="AG388" s="110"/>
      <c r="AH388" s="110"/>
      <c r="AI388" s="113"/>
      <c r="AJ388" s="110"/>
      <c r="AK388" s="110"/>
      <c r="AL388" s="110"/>
      <c r="AM388" s="110"/>
      <c r="AN388" s="110"/>
      <c r="AO388" s="113"/>
      <c r="AP388" s="113"/>
      <c r="AQ388" s="113"/>
      <c r="AR388" s="110"/>
      <c r="AS388" s="113"/>
      <c r="AT388" s="113"/>
      <c r="AU388" s="112"/>
      <c r="AV388" s="338"/>
      <c r="AW388" s="110"/>
      <c r="AX388" s="110"/>
      <c r="AY388" s="113"/>
      <c r="AZ388" s="113"/>
      <c r="BA388" s="113"/>
      <c r="BB388" s="113"/>
      <c r="BC388" s="113"/>
      <c r="BD388" s="113"/>
      <c r="BF38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89" spans="1:58" x14ac:dyDescent="0.3">
      <c r="A389" s="422"/>
      <c r="B389" s="376"/>
      <c r="C389" s="110"/>
      <c r="D389" s="110"/>
      <c r="E389" s="340"/>
      <c r="F389" s="330"/>
      <c r="G389" s="113"/>
      <c r="H389" s="332"/>
      <c r="I389" s="113"/>
      <c r="J389" s="332"/>
      <c r="K389" s="110"/>
      <c r="L389" s="110"/>
      <c r="M389" s="110"/>
      <c r="N389" s="110"/>
      <c r="O389" s="111"/>
      <c r="P389" s="424" t="str">
        <f>IF(OR(Table13[[#This Row],[Annual Increase Option]]="No increase",Table13[[#This Row],[Annual Increase Option]]=""),"",_xlfn.XLOOKUP(MONTH(Table13[[#This Row],[Commencement Date]]),Lookups!$I$19:$I$30,Lookups!$J$19:$J$30,0))</f>
        <v/>
      </c>
      <c r="Q389" s="340"/>
      <c r="R389" s="340"/>
      <c r="S389" s="360">
        <f>IF(Table13[[#This Row],[Life Cover Amount]]="",0,Table2[[#This Row],[Life Premium]])</f>
        <v>0</v>
      </c>
      <c r="T389" s="360">
        <f>IF(Table13[[#This Row],[Funeral Cover Amount]]=0,0,Table2[[#This Row],[Funeral Premium]])</f>
        <v>0</v>
      </c>
      <c r="U389" s="360">
        <f>IF(AND(Table13[[#This Row],[Life Cover Amount]]="",Table13[[#This Row],[Funeral Cover Amount]]=""),0,onboarding_calcs!AA389)</f>
        <v>0</v>
      </c>
      <c r="V389" s="111"/>
      <c r="W389" s="111"/>
      <c r="X389" s="333"/>
      <c r="Y389" s="110"/>
      <c r="Z389" s="113"/>
      <c r="AA389" s="425"/>
      <c r="AB389" s="425"/>
      <c r="AC389" s="113"/>
      <c r="AD389" s="110"/>
      <c r="AE389" s="110"/>
      <c r="AF389" s="110"/>
      <c r="AG389" s="110"/>
      <c r="AH389" s="110"/>
      <c r="AI389" s="113"/>
      <c r="AJ389" s="110"/>
      <c r="AK389" s="110"/>
      <c r="AL389" s="110"/>
      <c r="AM389" s="110"/>
      <c r="AN389" s="110"/>
      <c r="AO389" s="113"/>
      <c r="AP389" s="113"/>
      <c r="AQ389" s="113"/>
      <c r="AR389" s="110"/>
      <c r="AS389" s="113"/>
      <c r="AT389" s="113"/>
      <c r="AU389" s="112"/>
      <c r="AV389" s="338"/>
      <c r="AW389" s="110"/>
      <c r="AX389" s="110"/>
      <c r="AY389" s="113"/>
      <c r="AZ389" s="113"/>
      <c r="BA389" s="113"/>
      <c r="BB389" s="113"/>
      <c r="BC389" s="113"/>
      <c r="BD389" s="113"/>
      <c r="BF38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90" spans="1:58" x14ac:dyDescent="0.3">
      <c r="A390" s="422"/>
      <c r="B390" s="376"/>
      <c r="C390" s="110"/>
      <c r="D390" s="110"/>
      <c r="E390" s="340"/>
      <c r="F390" s="330"/>
      <c r="G390" s="113"/>
      <c r="H390" s="332"/>
      <c r="I390" s="113"/>
      <c r="J390" s="332"/>
      <c r="K390" s="110"/>
      <c r="L390" s="110"/>
      <c r="M390" s="110"/>
      <c r="N390" s="110"/>
      <c r="O390" s="111"/>
      <c r="P390" s="424" t="str">
        <f>IF(OR(Table13[[#This Row],[Annual Increase Option]]="No increase",Table13[[#This Row],[Annual Increase Option]]=""),"",_xlfn.XLOOKUP(MONTH(Table13[[#This Row],[Commencement Date]]),Lookups!$I$19:$I$30,Lookups!$J$19:$J$30,0))</f>
        <v/>
      </c>
      <c r="Q390" s="340"/>
      <c r="R390" s="340"/>
      <c r="S390" s="360">
        <f>IF(Table13[[#This Row],[Life Cover Amount]]="",0,Table2[[#This Row],[Life Premium]])</f>
        <v>0</v>
      </c>
      <c r="T390" s="360">
        <f>IF(Table13[[#This Row],[Funeral Cover Amount]]=0,0,Table2[[#This Row],[Funeral Premium]])</f>
        <v>0</v>
      </c>
      <c r="U390" s="360">
        <f>IF(AND(Table13[[#This Row],[Life Cover Amount]]="",Table13[[#This Row],[Funeral Cover Amount]]=""),0,onboarding_calcs!AA390)</f>
        <v>0</v>
      </c>
      <c r="V390" s="111"/>
      <c r="W390" s="111"/>
      <c r="X390" s="333"/>
      <c r="Y390" s="110"/>
      <c r="Z390" s="113"/>
      <c r="AA390" s="425"/>
      <c r="AB390" s="425"/>
      <c r="AC390" s="113"/>
      <c r="AD390" s="110"/>
      <c r="AE390" s="110"/>
      <c r="AF390" s="110"/>
      <c r="AG390" s="110"/>
      <c r="AH390" s="110"/>
      <c r="AI390" s="113"/>
      <c r="AJ390" s="110"/>
      <c r="AK390" s="110"/>
      <c r="AL390" s="110"/>
      <c r="AM390" s="110"/>
      <c r="AN390" s="110"/>
      <c r="AO390" s="113"/>
      <c r="AP390" s="113"/>
      <c r="AQ390" s="113"/>
      <c r="AR390" s="110"/>
      <c r="AS390" s="113"/>
      <c r="AT390" s="113"/>
      <c r="AU390" s="112"/>
      <c r="AV390" s="338"/>
      <c r="AW390" s="110"/>
      <c r="AX390" s="110"/>
      <c r="AY390" s="113"/>
      <c r="AZ390" s="113"/>
      <c r="BA390" s="113"/>
      <c r="BB390" s="113"/>
      <c r="BC390" s="113"/>
      <c r="BD390" s="113"/>
      <c r="BF39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91" spans="1:58" x14ac:dyDescent="0.3">
      <c r="A391" s="422"/>
      <c r="B391" s="376"/>
      <c r="C391" s="110"/>
      <c r="D391" s="110"/>
      <c r="E391" s="340"/>
      <c r="F391" s="330"/>
      <c r="G391" s="113"/>
      <c r="H391" s="332"/>
      <c r="I391" s="113"/>
      <c r="J391" s="332"/>
      <c r="K391" s="110"/>
      <c r="L391" s="110"/>
      <c r="M391" s="110"/>
      <c r="N391" s="110"/>
      <c r="O391" s="111"/>
      <c r="P391" s="424" t="str">
        <f>IF(OR(Table13[[#This Row],[Annual Increase Option]]="No increase",Table13[[#This Row],[Annual Increase Option]]=""),"",_xlfn.XLOOKUP(MONTH(Table13[[#This Row],[Commencement Date]]),Lookups!$I$19:$I$30,Lookups!$J$19:$J$30,0))</f>
        <v/>
      </c>
      <c r="Q391" s="340"/>
      <c r="R391" s="340"/>
      <c r="S391" s="360">
        <f>IF(Table13[[#This Row],[Life Cover Amount]]="",0,Table2[[#This Row],[Life Premium]])</f>
        <v>0</v>
      </c>
      <c r="T391" s="360">
        <f>IF(Table13[[#This Row],[Funeral Cover Amount]]=0,0,Table2[[#This Row],[Funeral Premium]])</f>
        <v>0</v>
      </c>
      <c r="U391" s="360">
        <f>IF(AND(Table13[[#This Row],[Life Cover Amount]]="",Table13[[#This Row],[Funeral Cover Amount]]=""),0,onboarding_calcs!AA391)</f>
        <v>0</v>
      </c>
      <c r="V391" s="111"/>
      <c r="W391" s="111"/>
      <c r="X391" s="333"/>
      <c r="Y391" s="110"/>
      <c r="Z391" s="113"/>
      <c r="AA391" s="425"/>
      <c r="AB391" s="425"/>
      <c r="AC391" s="113"/>
      <c r="AD391" s="110"/>
      <c r="AE391" s="110"/>
      <c r="AF391" s="110"/>
      <c r="AG391" s="110"/>
      <c r="AH391" s="110"/>
      <c r="AI391" s="113"/>
      <c r="AJ391" s="110"/>
      <c r="AK391" s="110"/>
      <c r="AL391" s="110"/>
      <c r="AM391" s="110"/>
      <c r="AN391" s="110"/>
      <c r="AO391" s="113"/>
      <c r="AP391" s="113"/>
      <c r="AQ391" s="113"/>
      <c r="AR391" s="110"/>
      <c r="AS391" s="113"/>
      <c r="AT391" s="113"/>
      <c r="AU391" s="112"/>
      <c r="AV391" s="338"/>
      <c r="AW391" s="110"/>
      <c r="AX391" s="110"/>
      <c r="AY391" s="113"/>
      <c r="AZ391" s="113"/>
      <c r="BA391" s="113"/>
      <c r="BB391" s="113"/>
      <c r="BC391" s="113"/>
      <c r="BD391" s="113"/>
      <c r="BF39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92" spans="1:58" x14ac:dyDescent="0.3">
      <c r="A392" s="422"/>
      <c r="B392" s="376"/>
      <c r="C392" s="110"/>
      <c r="D392" s="110"/>
      <c r="E392" s="340"/>
      <c r="F392" s="330"/>
      <c r="G392" s="113"/>
      <c r="H392" s="332"/>
      <c r="I392" s="113"/>
      <c r="J392" s="332"/>
      <c r="K392" s="110"/>
      <c r="L392" s="110"/>
      <c r="M392" s="110"/>
      <c r="N392" s="110"/>
      <c r="O392" s="111"/>
      <c r="P392" s="424" t="str">
        <f>IF(OR(Table13[[#This Row],[Annual Increase Option]]="No increase",Table13[[#This Row],[Annual Increase Option]]=""),"",_xlfn.XLOOKUP(MONTH(Table13[[#This Row],[Commencement Date]]),Lookups!$I$19:$I$30,Lookups!$J$19:$J$30,0))</f>
        <v/>
      </c>
      <c r="Q392" s="340"/>
      <c r="R392" s="340"/>
      <c r="S392" s="360">
        <f>IF(Table13[[#This Row],[Life Cover Amount]]="",0,Table2[[#This Row],[Life Premium]])</f>
        <v>0</v>
      </c>
      <c r="T392" s="360">
        <f>IF(Table13[[#This Row],[Funeral Cover Amount]]=0,0,Table2[[#This Row],[Funeral Premium]])</f>
        <v>0</v>
      </c>
      <c r="U392" s="360">
        <f>IF(AND(Table13[[#This Row],[Life Cover Amount]]="",Table13[[#This Row],[Funeral Cover Amount]]=""),0,onboarding_calcs!AA392)</f>
        <v>0</v>
      </c>
      <c r="V392" s="111"/>
      <c r="W392" s="111"/>
      <c r="X392" s="333"/>
      <c r="Y392" s="110"/>
      <c r="Z392" s="113"/>
      <c r="AA392" s="425"/>
      <c r="AB392" s="425"/>
      <c r="AC392" s="113"/>
      <c r="AD392" s="110"/>
      <c r="AE392" s="110"/>
      <c r="AF392" s="110"/>
      <c r="AG392" s="110"/>
      <c r="AH392" s="110"/>
      <c r="AI392" s="113"/>
      <c r="AJ392" s="110"/>
      <c r="AK392" s="110"/>
      <c r="AL392" s="110"/>
      <c r="AM392" s="110"/>
      <c r="AN392" s="110"/>
      <c r="AO392" s="113"/>
      <c r="AP392" s="113"/>
      <c r="AQ392" s="113"/>
      <c r="AR392" s="110"/>
      <c r="AS392" s="113"/>
      <c r="AT392" s="113"/>
      <c r="AU392" s="112"/>
      <c r="AV392" s="338"/>
      <c r="AW392" s="110"/>
      <c r="AX392" s="110"/>
      <c r="AY392" s="113"/>
      <c r="AZ392" s="113"/>
      <c r="BA392" s="113"/>
      <c r="BB392" s="113"/>
      <c r="BC392" s="113"/>
      <c r="BD392" s="113"/>
      <c r="BF39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93" spans="1:58" x14ac:dyDescent="0.3">
      <c r="A393" s="422"/>
      <c r="B393" s="376"/>
      <c r="C393" s="110"/>
      <c r="D393" s="110"/>
      <c r="E393" s="340"/>
      <c r="F393" s="330"/>
      <c r="G393" s="113"/>
      <c r="H393" s="332"/>
      <c r="I393" s="113"/>
      <c r="J393" s="332"/>
      <c r="K393" s="110"/>
      <c r="L393" s="110"/>
      <c r="M393" s="110"/>
      <c r="N393" s="110"/>
      <c r="O393" s="111"/>
      <c r="P393" s="424" t="str">
        <f>IF(OR(Table13[[#This Row],[Annual Increase Option]]="No increase",Table13[[#This Row],[Annual Increase Option]]=""),"",_xlfn.XLOOKUP(MONTH(Table13[[#This Row],[Commencement Date]]),Lookups!$I$19:$I$30,Lookups!$J$19:$J$30,0))</f>
        <v/>
      </c>
      <c r="Q393" s="340"/>
      <c r="R393" s="340"/>
      <c r="S393" s="360">
        <f>IF(Table13[[#This Row],[Life Cover Amount]]="",0,Table2[[#This Row],[Life Premium]])</f>
        <v>0</v>
      </c>
      <c r="T393" s="360">
        <f>IF(Table13[[#This Row],[Funeral Cover Amount]]=0,0,Table2[[#This Row],[Funeral Premium]])</f>
        <v>0</v>
      </c>
      <c r="U393" s="360">
        <f>IF(AND(Table13[[#This Row],[Life Cover Amount]]="",Table13[[#This Row],[Funeral Cover Amount]]=""),0,onboarding_calcs!AA393)</f>
        <v>0</v>
      </c>
      <c r="V393" s="111"/>
      <c r="W393" s="111"/>
      <c r="X393" s="333"/>
      <c r="Y393" s="110"/>
      <c r="Z393" s="113"/>
      <c r="AA393" s="425"/>
      <c r="AB393" s="425"/>
      <c r="AC393" s="113"/>
      <c r="AD393" s="110"/>
      <c r="AE393" s="110"/>
      <c r="AF393" s="110"/>
      <c r="AG393" s="110"/>
      <c r="AH393" s="110"/>
      <c r="AI393" s="113"/>
      <c r="AJ393" s="110"/>
      <c r="AK393" s="110"/>
      <c r="AL393" s="110"/>
      <c r="AM393" s="110"/>
      <c r="AN393" s="110"/>
      <c r="AO393" s="113"/>
      <c r="AP393" s="113"/>
      <c r="AQ393" s="113"/>
      <c r="AR393" s="110"/>
      <c r="AS393" s="113"/>
      <c r="AT393" s="113"/>
      <c r="AU393" s="112"/>
      <c r="AV393" s="338"/>
      <c r="AW393" s="110"/>
      <c r="AX393" s="110"/>
      <c r="AY393" s="113"/>
      <c r="AZ393" s="113"/>
      <c r="BA393" s="113"/>
      <c r="BB393" s="113"/>
      <c r="BC393" s="113"/>
      <c r="BD393" s="113"/>
      <c r="BF39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94" spans="1:58" x14ac:dyDescent="0.3">
      <c r="A394" s="422"/>
      <c r="B394" s="376"/>
      <c r="C394" s="110"/>
      <c r="D394" s="110"/>
      <c r="E394" s="340"/>
      <c r="F394" s="330"/>
      <c r="G394" s="113"/>
      <c r="H394" s="332"/>
      <c r="I394" s="113"/>
      <c r="J394" s="332"/>
      <c r="K394" s="110"/>
      <c r="L394" s="110"/>
      <c r="M394" s="110"/>
      <c r="N394" s="110"/>
      <c r="O394" s="111"/>
      <c r="P394" s="424" t="str">
        <f>IF(OR(Table13[[#This Row],[Annual Increase Option]]="No increase",Table13[[#This Row],[Annual Increase Option]]=""),"",_xlfn.XLOOKUP(MONTH(Table13[[#This Row],[Commencement Date]]),Lookups!$I$19:$I$30,Lookups!$J$19:$J$30,0))</f>
        <v/>
      </c>
      <c r="Q394" s="340"/>
      <c r="R394" s="340"/>
      <c r="S394" s="360">
        <f>IF(Table13[[#This Row],[Life Cover Amount]]="",0,Table2[[#This Row],[Life Premium]])</f>
        <v>0</v>
      </c>
      <c r="T394" s="360">
        <f>IF(Table13[[#This Row],[Funeral Cover Amount]]=0,0,Table2[[#This Row],[Funeral Premium]])</f>
        <v>0</v>
      </c>
      <c r="U394" s="360">
        <f>IF(AND(Table13[[#This Row],[Life Cover Amount]]="",Table13[[#This Row],[Funeral Cover Amount]]=""),0,onboarding_calcs!AA394)</f>
        <v>0</v>
      </c>
      <c r="V394" s="111"/>
      <c r="W394" s="111"/>
      <c r="X394" s="333"/>
      <c r="Y394" s="110"/>
      <c r="Z394" s="113"/>
      <c r="AA394" s="425"/>
      <c r="AB394" s="425"/>
      <c r="AC394" s="113"/>
      <c r="AD394" s="110"/>
      <c r="AE394" s="110"/>
      <c r="AF394" s="110"/>
      <c r="AG394" s="110"/>
      <c r="AH394" s="110"/>
      <c r="AI394" s="113"/>
      <c r="AJ394" s="110"/>
      <c r="AK394" s="110"/>
      <c r="AL394" s="110"/>
      <c r="AM394" s="110"/>
      <c r="AN394" s="110"/>
      <c r="AO394" s="113"/>
      <c r="AP394" s="113"/>
      <c r="AQ394" s="113"/>
      <c r="AR394" s="110"/>
      <c r="AS394" s="113"/>
      <c r="AT394" s="113"/>
      <c r="AU394" s="112"/>
      <c r="AV394" s="338"/>
      <c r="AW394" s="110"/>
      <c r="AX394" s="110"/>
      <c r="AY394" s="113"/>
      <c r="AZ394" s="113"/>
      <c r="BA394" s="113"/>
      <c r="BB394" s="113"/>
      <c r="BC394" s="113"/>
      <c r="BD394" s="113"/>
      <c r="BF39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95" spans="1:58" x14ac:dyDescent="0.3">
      <c r="A395" s="422"/>
      <c r="B395" s="376"/>
      <c r="C395" s="110"/>
      <c r="D395" s="110"/>
      <c r="E395" s="340"/>
      <c r="F395" s="330"/>
      <c r="G395" s="113"/>
      <c r="H395" s="332"/>
      <c r="I395" s="113"/>
      <c r="J395" s="332"/>
      <c r="K395" s="110"/>
      <c r="L395" s="110"/>
      <c r="M395" s="110"/>
      <c r="N395" s="110"/>
      <c r="O395" s="111"/>
      <c r="P395" s="424" t="str">
        <f>IF(OR(Table13[[#This Row],[Annual Increase Option]]="No increase",Table13[[#This Row],[Annual Increase Option]]=""),"",_xlfn.XLOOKUP(MONTH(Table13[[#This Row],[Commencement Date]]),Lookups!$I$19:$I$30,Lookups!$J$19:$J$30,0))</f>
        <v/>
      </c>
      <c r="Q395" s="340"/>
      <c r="R395" s="340"/>
      <c r="S395" s="360">
        <f>IF(Table13[[#This Row],[Life Cover Amount]]="",0,Table2[[#This Row],[Life Premium]])</f>
        <v>0</v>
      </c>
      <c r="T395" s="360">
        <f>IF(Table13[[#This Row],[Funeral Cover Amount]]=0,0,Table2[[#This Row],[Funeral Premium]])</f>
        <v>0</v>
      </c>
      <c r="U395" s="360">
        <f>IF(AND(Table13[[#This Row],[Life Cover Amount]]="",Table13[[#This Row],[Funeral Cover Amount]]=""),0,onboarding_calcs!AA395)</f>
        <v>0</v>
      </c>
      <c r="V395" s="111"/>
      <c r="W395" s="111"/>
      <c r="X395" s="333"/>
      <c r="Y395" s="110"/>
      <c r="Z395" s="113"/>
      <c r="AA395" s="425"/>
      <c r="AB395" s="425"/>
      <c r="AC395" s="113"/>
      <c r="AD395" s="110"/>
      <c r="AE395" s="110"/>
      <c r="AF395" s="110"/>
      <c r="AG395" s="110"/>
      <c r="AH395" s="110"/>
      <c r="AI395" s="113"/>
      <c r="AJ395" s="110"/>
      <c r="AK395" s="110"/>
      <c r="AL395" s="110"/>
      <c r="AM395" s="110"/>
      <c r="AN395" s="110"/>
      <c r="AO395" s="113"/>
      <c r="AP395" s="113"/>
      <c r="AQ395" s="113"/>
      <c r="AR395" s="110"/>
      <c r="AS395" s="113"/>
      <c r="AT395" s="113"/>
      <c r="AU395" s="112"/>
      <c r="AV395" s="338"/>
      <c r="AW395" s="110"/>
      <c r="AX395" s="110"/>
      <c r="AY395" s="113"/>
      <c r="AZ395" s="113"/>
      <c r="BA395" s="113"/>
      <c r="BB395" s="113"/>
      <c r="BC395" s="113"/>
      <c r="BD395" s="113"/>
      <c r="BF39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96" spans="1:58" x14ac:dyDescent="0.3">
      <c r="A396" s="422"/>
      <c r="B396" s="376"/>
      <c r="C396" s="110"/>
      <c r="D396" s="110"/>
      <c r="E396" s="340"/>
      <c r="F396" s="330"/>
      <c r="G396" s="113"/>
      <c r="H396" s="332"/>
      <c r="I396" s="113"/>
      <c r="J396" s="332"/>
      <c r="K396" s="110"/>
      <c r="L396" s="110"/>
      <c r="M396" s="110"/>
      <c r="N396" s="110"/>
      <c r="O396" s="111"/>
      <c r="P396" s="424" t="str">
        <f>IF(OR(Table13[[#This Row],[Annual Increase Option]]="No increase",Table13[[#This Row],[Annual Increase Option]]=""),"",_xlfn.XLOOKUP(MONTH(Table13[[#This Row],[Commencement Date]]),Lookups!$I$19:$I$30,Lookups!$J$19:$J$30,0))</f>
        <v/>
      </c>
      <c r="Q396" s="340"/>
      <c r="R396" s="340"/>
      <c r="S396" s="360">
        <f>IF(Table13[[#This Row],[Life Cover Amount]]="",0,Table2[[#This Row],[Life Premium]])</f>
        <v>0</v>
      </c>
      <c r="T396" s="360">
        <f>IF(Table13[[#This Row],[Funeral Cover Amount]]=0,0,Table2[[#This Row],[Funeral Premium]])</f>
        <v>0</v>
      </c>
      <c r="U396" s="360">
        <f>IF(AND(Table13[[#This Row],[Life Cover Amount]]="",Table13[[#This Row],[Funeral Cover Amount]]=""),0,onboarding_calcs!AA396)</f>
        <v>0</v>
      </c>
      <c r="V396" s="111"/>
      <c r="W396" s="111"/>
      <c r="X396" s="333"/>
      <c r="Y396" s="110"/>
      <c r="Z396" s="113"/>
      <c r="AA396" s="425"/>
      <c r="AB396" s="425"/>
      <c r="AC396" s="113"/>
      <c r="AD396" s="110"/>
      <c r="AE396" s="110"/>
      <c r="AF396" s="110"/>
      <c r="AG396" s="110"/>
      <c r="AH396" s="110"/>
      <c r="AI396" s="113"/>
      <c r="AJ396" s="110"/>
      <c r="AK396" s="110"/>
      <c r="AL396" s="110"/>
      <c r="AM396" s="110"/>
      <c r="AN396" s="110"/>
      <c r="AO396" s="113"/>
      <c r="AP396" s="113"/>
      <c r="AQ396" s="113"/>
      <c r="AR396" s="110"/>
      <c r="AS396" s="113"/>
      <c r="AT396" s="113"/>
      <c r="AU396" s="112"/>
      <c r="AV396" s="338"/>
      <c r="AW396" s="110"/>
      <c r="AX396" s="110"/>
      <c r="AY396" s="113"/>
      <c r="AZ396" s="113"/>
      <c r="BA396" s="113"/>
      <c r="BB396" s="113"/>
      <c r="BC396" s="113"/>
      <c r="BD396" s="113"/>
      <c r="BF39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97" spans="1:58" x14ac:dyDescent="0.3">
      <c r="A397" s="422"/>
      <c r="B397" s="376"/>
      <c r="C397" s="110"/>
      <c r="D397" s="110"/>
      <c r="E397" s="340"/>
      <c r="F397" s="330"/>
      <c r="G397" s="113"/>
      <c r="H397" s="332"/>
      <c r="I397" s="113"/>
      <c r="J397" s="332"/>
      <c r="K397" s="110"/>
      <c r="L397" s="110"/>
      <c r="M397" s="110"/>
      <c r="N397" s="110"/>
      <c r="O397" s="111"/>
      <c r="P397" s="424" t="str">
        <f>IF(OR(Table13[[#This Row],[Annual Increase Option]]="No increase",Table13[[#This Row],[Annual Increase Option]]=""),"",_xlfn.XLOOKUP(MONTH(Table13[[#This Row],[Commencement Date]]),Lookups!$I$19:$I$30,Lookups!$J$19:$J$30,0))</f>
        <v/>
      </c>
      <c r="Q397" s="340"/>
      <c r="R397" s="340"/>
      <c r="S397" s="360">
        <f>IF(Table13[[#This Row],[Life Cover Amount]]="",0,Table2[[#This Row],[Life Premium]])</f>
        <v>0</v>
      </c>
      <c r="T397" s="360">
        <f>IF(Table13[[#This Row],[Funeral Cover Amount]]=0,0,Table2[[#This Row],[Funeral Premium]])</f>
        <v>0</v>
      </c>
      <c r="U397" s="360">
        <f>IF(AND(Table13[[#This Row],[Life Cover Amount]]="",Table13[[#This Row],[Funeral Cover Amount]]=""),0,onboarding_calcs!AA397)</f>
        <v>0</v>
      </c>
      <c r="V397" s="111"/>
      <c r="W397" s="111"/>
      <c r="X397" s="333"/>
      <c r="Y397" s="110"/>
      <c r="Z397" s="113"/>
      <c r="AA397" s="425"/>
      <c r="AB397" s="425"/>
      <c r="AC397" s="113"/>
      <c r="AD397" s="110"/>
      <c r="AE397" s="110"/>
      <c r="AF397" s="110"/>
      <c r="AG397" s="110"/>
      <c r="AH397" s="110"/>
      <c r="AI397" s="113"/>
      <c r="AJ397" s="110"/>
      <c r="AK397" s="110"/>
      <c r="AL397" s="110"/>
      <c r="AM397" s="110"/>
      <c r="AN397" s="110"/>
      <c r="AO397" s="113"/>
      <c r="AP397" s="113"/>
      <c r="AQ397" s="113"/>
      <c r="AR397" s="110"/>
      <c r="AS397" s="113"/>
      <c r="AT397" s="113"/>
      <c r="AU397" s="112"/>
      <c r="AV397" s="338"/>
      <c r="AW397" s="110"/>
      <c r="AX397" s="110"/>
      <c r="AY397" s="113"/>
      <c r="AZ397" s="113"/>
      <c r="BA397" s="113"/>
      <c r="BB397" s="113"/>
      <c r="BC397" s="113"/>
      <c r="BD397" s="113"/>
      <c r="BF39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98" spans="1:58" x14ac:dyDescent="0.3">
      <c r="A398" s="422"/>
      <c r="B398" s="376"/>
      <c r="C398" s="110"/>
      <c r="D398" s="110"/>
      <c r="E398" s="340"/>
      <c r="F398" s="330"/>
      <c r="G398" s="113"/>
      <c r="H398" s="332"/>
      <c r="I398" s="113"/>
      <c r="J398" s="332"/>
      <c r="K398" s="110"/>
      <c r="L398" s="110"/>
      <c r="M398" s="110"/>
      <c r="N398" s="110"/>
      <c r="O398" s="111"/>
      <c r="P398" s="424" t="str">
        <f>IF(OR(Table13[[#This Row],[Annual Increase Option]]="No increase",Table13[[#This Row],[Annual Increase Option]]=""),"",_xlfn.XLOOKUP(MONTH(Table13[[#This Row],[Commencement Date]]),Lookups!$I$19:$I$30,Lookups!$J$19:$J$30,0))</f>
        <v/>
      </c>
      <c r="Q398" s="340"/>
      <c r="R398" s="340"/>
      <c r="S398" s="360">
        <f>IF(Table13[[#This Row],[Life Cover Amount]]="",0,Table2[[#This Row],[Life Premium]])</f>
        <v>0</v>
      </c>
      <c r="T398" s="360">
        <f>IF(Table13[[#This Row],[Funeral Cover Amount]]=0,0,Table2[[#This Row],[Funeral Premium]])</f>
        <v>0</v>
      </c>
      <c r="U398" s="360">
        <f>IF(AND(Table13[[#This Row],[Life Cover Amount]]="",Table13[[#This Row],[Funeral Cover Amount]]=""),0,onboarding_calcs!AA398)</f>
        <v>0</v>
      </c>
      <c r="V398" s="111"/>
      <c r="W398" s="111"/>
      <c r="X398" s="333"/>
      <c r="Y398" s="110"/>
      <c r="Z398" s="113"/>
      <c r="AA398" s="425"/>
      <c r="AB398" s="425"/>
      <c r="AC398" s="113"/>
      <c r="AD398" s="110"/>
      <c r="AE398" s="110"/>
      <c r="AF398" s="110"/>
      <c r="AG398" s="110"/>
      <c r="AH398" s="110"/>
      <c r="AI398" s="113"/>
      <c r="AJ398" s="110"/>
      <c r="AK398" s="110"/>
      <c r="AL398" s="110"/>
      <c r="AM398" s="110"/>
      <c r="AN398" s="110"/>
      <c r="AO398" s="113"/>
      <c r="AP398" s="113"/>
      <c r="AQ398" s="113"/>
      <c r="AR398" s="110"/>
      <c r="AS398" s="113"/>
      <c r="AT398" s="113"/>
      <c r="AU398" s="112"/>
      <c r="AV398" s="338"/>
      <c r="AW398" s="110"/>
      <c r="AX398" s="110"/>
      <c r="AY398" s="113"/>
      <c r="AZ398" s="113"/>
      <c r="BA398" s="113"/>
      <c r="BB398" s="113"/>
      <c r="BC398" s="113"/>
      <c r="BD398" s="113"/>
      <c r="BF39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399" spans="1:58" x14ac:dyDescent="0.3">
      <c r="A399" s="422"/>
      <c r="B399" s="376"/>
      <c r="C399" s="110"/>
      <c r="D399" s="110"/>
      <c r="E399" s="340"/>
      <c r="F399" s="330"/>
      <c r="G399" s="113"/>
      <c r="H399" s="332"/>
      <c r="I399" s="113"/>
      <c r="J399" s="332"/>
      <c r="K399" s="110"/>
      <c r="L399" s="110"/>
      <c r="M399" s="110"/>
      <c r="N399" s="110"/>
      <c r="O399" s="111"/>
      <c r="P399" s="424" t="str">
        <f>IF(OR(Table13[[#This Row],[Annual Increase Option]]="No increase",Table13[[#This Row],[Annual Increase Option]]=""),"",_xlfn.XLOOKUP(MONTH(Table13[[#This Row],[Commencement Date]]),Lookups!$I$19:$I$30,Lookups!$J$19:$J$30,0))</f>
        <v/>
      </c>
      <c r="Q399" s="340"/>
      <c r="R399" s="340"/>
      <c r="S399" s="360">
        <f>IF(Table13[[#This Row],[Life Cover Amount]]="",0,Table2[[#This Row],[Life Premium]])</f>
        <v>0</v>
      </c>
      <c r="T399" s="360">
        <f>IF(Table13[[#This Row],[Funeral Cover Amount]]=0,0,Table2[[#This Row],[Funeral Premium]])</f>
        <v>0</v>
      </c>
      <c r="U399" s="360">
        <f>IF(AND(Table13[[#This Row],[Life Cover Amount]]="",Table13[[#This Row],[Funeral Cover Amount]]=""),0,onboarding_calcs!AA399)</f>
        <v>0</v>
      </c>
      <c r="V399" s="111"/>
      <c r="W399" s="111"/>
      <c r="X399" s="333"/>
      <c r="Y399" s="110"/>
      <c r="Z399" s="113"/>
      <c r="AA399" s="425"/>
      <c r="AB399" s="425"/>
      <c r="AC399" s="113"/>
      <c r="AD399" s="110"/>
      <c r="AE399" s="110"/>
      <c r="AF399" s="110"/>
      <c r="AG399" s="110"/>
      <c r="AH399" s="110"/>
      <c r="AI399" s="113"/>
      <c r="AJ399" s="110"/>
      <c r="AK399" s="110"/>
      <c r="AL399" s="110"/>
      <c r="AM399" s="110"/>
      <c r="AN399" s="110"/>
      <c r="AO399" s="113"/>
      <c r="AP399" s="113"/>
      <c r="AQ399" s="113"/>
      <c r="AR399" s="110"/>
      <c r="AS399" s="113"/>
      <c r="AT399" s="113"/>
      <c r="AU399" s="112"/>
      <c r="AV399" s="338"/>
      <c r="AW399" s="110"/>
      <c r="AX399" s="110"/>
      <c r="AY399" s="113"/>
      <c r="AZ399" s="113"/>
      <c r="BA399" s="113"/>
      <c r="BB399" s="113"/>
      <c r="BC399" s="113"/>
      <c r="BD399" s="113"/>
      <c r="BF39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00" spans="1:58" x14ac:dyDescent="0.3">
      <c r="A400" s="422"/>
      <c r="B400" s="376"/>
      <c r="C400" s="110"/>
      <c r="D400" s="110"/>
      <c r="E400" s="340"/>
      <c r="F400" s="330"/>
      <c r="G400" s="113"/>
      <c r="H400" s="332"/>
      <c r="I400" s="113"/>
      <c r="J400" s="332"/>
      <c r="K400" s="110"/>
      <c r="L400" s="110"/>
      <c r="M400" s="110"/>
      <c r="N400" s="110"/>
      <c r="O400" s="111"/>
      <c r="P400" s="424" t="str">
        <f>IF(OR(Table13[[#This Row],[Annual Increase Option]]="No increase",Table13[[#This Row],[Annual Increase Option]]=""),"",_xlfn.XLOOKUP(MONTH(Table13[[#This Row],[Commencement Date]]),Lookups!$I$19:$I$30,Lookups!$J$19:$J$30,0))</f>
        <v/>
      </c>
      <c r="Q400" s="340"/>
      <c r="R400" s="340"/>
      <c r="S400" s="360">
        <f>IF(Table13[[#This Row],[Life Cover Amount]]="",0,Table2[[#This Row],[Life Premium]])</f>
        <v>0</v>
      </c>
      <c r="T400" s="360">
        <f>IF(Table13[[#This Row],[Funeral Cover Amount]]=0,0,Table2[[#This Row],[Funeral Premium]])</f>
        <v>0</v>
      </c>
      <c r="U400" s="360">
        <f>IF(AND(Table13[[#This Row],[Life Cover Amount]]="",Table13[[#This Row],[Funeral Cover Amount]]=""),0,onboarding_calcs!AA400)</f>
        <v>0</v>
      </c>
      <c r="V400" s="111"/>
      <c r="W400" s="111"/>
      <c r="X400" s="333"/>
      <c r="Y400" s="110"/>
      <c r="Z400" s="113"/>
      <c r="AA400" s="425"/>
      <c r="AB400" s="425"/>
      <c r="AC400" s="113"/>
      <c r="AD400" s="110"/>
      <c r="AE400" s="110"/>
      <c r="AF400" s="110"/>
      <c r="AG400" s="110"/>
      <c r="AH400" s="110"/>
      <c r="AI400" s="113"/>
      <c r="AJ400" s="110"/>
      <c r="AK400" s="110"/>
      <c r="AL400" s="110"/>
      <c r="AM400" s="110"/>
      <c r="AN400" s="110"/>
      <c r="AO400" s="113"/>
      <c r="AP400" s="113"/>
      <c r="AQ400" s="113"/>
      <c r="AR400" s="110"/>
      <c r="AS400" s="113"/>
      <c r="AT400" s="113"/>
      <c r="AU400" s="112"/>
      <c r="AV400" s="338"/>
      <c r="AW400" s="110"/>
      <c r="AX400" s="110"/>
      <c r="AY400" s="113"/>
      <c r="AZ400" s="113"/>
      <c r="BA400" s="113"/>
      <c r="BB400" s="113"/>
      <c r="BC400" s="113"/>
      <c r="BD400" s="113"/>
      <c r="BF40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01" spans="1:58" x14ac:dyDescent="0.3">
      <c r="A401" s="422"/>
      <c r="B401" s="376"/>
      <c r="C401" s="110"/>
      <c r="D401" s="110"/>
      <c r="E401" s="340"/>
      <c r="F401" s="330"/>
      <c r="G401" s="113"/>
      <c r="H401" s="332"/>
      <c r="I401" s="113"/>
      <c r="J401" s="332"/>
      <c r="K401" s="110"/>
      <c r="L401" s="110"/>
      <c r="M401" s="110"/>
      <c r="N401" s="110"/>
      <c r="O401" s="111"/>
      <c r="P401" s="424" t="str">
        <f>IF(OR(Table13[[#This Row],[Annual Increase Option]]="No increase",Table13[[#This Row],[Annual Increase Option]]=""),"",_xlfn.XLOOKUP(MONTH(Table13[[#This Row],[Commencement Date]]),Lookups!$I$19:$I$30,Lookups!$J$19:$J$30,0))</f>
        <v/>
      </c>
      <c r="Q401" s="340"/>
      <c r="R401" s="340"/>
      <c r="S401" s="360">
        <f>IF(Table13[[#This Row],[Life Cover Amount]]="",0,Table2[[#This Row],[Life Premium]])</f>
        <v>0</v>
      </c>
      <c r="T401" s="360">
        <f>IF(Table13[[#This Row],[Funeral Cover Amount]]=0,0,Table2[[#This Row],[Funeral Premium]])</f>
        <v>0</v>
      </c>
      <c r="U401" s="360">
        <f>IF(AND(Table13[[#This Row],[Life Cover Amount]]="",Table13[[#This Row],[Funeral Cover Amount]]=""),0,onboarding_calcs!AA401)</f>
        <v>0</v>
      </c>
      <c r="V401" s="111"/>
      <c r="W401" s="111"/>
      <c r="X401" s="333"/>
      <c r="Y401" s="110"/>
      <c r="Z401" s="113"/>
      <c r="AA401" s="425"/>
      <c r="AB401" s="425"/>
      <c r="AC401" s="113"/>
      <c r="AD401" s="110"/>
      <c r="AE401" s="110"/>
      <c r="AF401" s="110"/>
      <c r="AG401" s="110"/>
      <c r="AH401" s="110"/>
      <c r="AI401" s="113"/>
      <c r="AJ401" s="110"/>
      <c r="AK401" s="110"/>
      <c r="AL401" s="110"/>
      <c r="AM401" s="110"/>
      <c r="AN401" s="110"/>
      <c r="AO401" s="113"/>
      <c r="AP401" s="113"/>
      <c r="AQ401" s="113"/>
      <c r="AR401" s="110"/>
      <c r="AS401" s="113"/>
      <c r="AT401" s="113"/>
      <c r="AU401" s="112"/>
      <c r="AV401" s="338"/>
      <c r="AW401" s="110"/>
      <c r="AX401" s="110"/>
      <c r="AY401" s="113"/>
      <c r="AZ401" s="113"/>
      <c r="BA401" s="113"/>
      <c r="BB401" s="113"/>
      <c r="BC401" s="113"/>
      <c r="BD401" s="113"/>
      <c r="BF40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02" spans="1:58" x14ac:dyDescent="0.3">
      <c r="A402" s="422"/>
      <c r="B402" s="376"/>
      <c r="C402" s="110"/>
      <c r="D402" s="110"/>
      <c r="E402" s="340"/>
      <c r="F402" s="330"/>
      <c r="G402" s="113"/>
      <c r="H402" s="332"/>
      <c r="I402" s="113"/>
      <c r="J402" s="332"/>
      <c r="K402" s="110"/>
      <c r="L402" s="110"/>
      <c r="M402" s="110"/>
      <c r="N402" s="110"/>
      <c r="O402" s="111"/>
      <c r="P402" s="424" t="str">
        <f>IF(OR(Table13[[#This Row],[Annual Increase Option]]="No increase",Table13[[#This Row],[Annual Increase Option]]=""),"",_xlfn.XLOOKUP(MONTH(Table13[[#This Row],[Commencement Date]]),Lookups!$I$19:$I$30,Lookups!$J$19:$J$30,0))</f>
        <v/>
      </c>
      <c r="Q402" s="340"/>
      <c r="R402" s="340"/>
      <c r="S402" s="360">
        <f>IF(Table13[[#This Row],[Life Cover Amount]]="",0,Table2[[#This Row],[Life Premium]])</f>
        <v>0</v>
      </c>
      <c r="T402" s="360">
        <f>IF(Table13[[#This Row],[Funeral Cover Amount]]=0,0,Table2[[#This Row],[Funeral Premium]])</f>
        <v>0</v>
      </c>
      <c r="U402" s="360">
        <f>IF(AND(Table13[[#This Row],[Life Cover Amount]]="",Table13[[#This Row],[Funeral Cover Amount]]=""),0,onboarding_calcs!AA402)</f>
        <v>0</v>
      </c>
      <c r="V402" s="111"/>
      <c r="W402" s="111"/>
      <c r="X402" s="333"/>
      <c r="Y402" s="110"/>
      <c r="Z402" s="113"/>
      <c r="AA402" s="425"/>
      <c r="AB402" s="425"/>
      <c r="AC402" s="113"/>
      <c r="AD402" s="110"/>
      <c r="AE402" s="110"/>
      <c r="AF402" s="110"/>
      <c r="AG402" s="110"/>
      <c r="AH402" s="110"/>
      <c r="AI402" s="113"/>
      <c r="AJ402" s="110"/>
      <c r="AK402" s="110"/>
      <c r="AL402" s="110"/>
      <c r="AM402" s="110"/>
      <c r="AN402" s="110"/>
      <c r="AO402" s="113"/>
      <c r="AP402" s="113"/>
      <c r="AQ402" s="113"/>
      <c r="AR402" s="110"/>
      <c r="AS402" s="113"/>
      <c r="AT402" s="113"/>
      <c r="AU402" s="112"/>
      <c r="AV402" s="338"/>
      <c r="AW402" s="110"/>
      <c r="AX402" s="110"/>
      <c r="AY402" s="113"/>
      <c r="AZ402" s="113"/>
      <c r="BA402" s="113"/>
      <c r="BB402" s="113"/>
      <c r="BC402" s="113"/>
      <c r="BD402" s="113"/>
      <c r="BF40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03" spans="1:58" x14ac:dyDescent="0.3">
      <c r="A403" s="422"/>
      <c r="B403" s="376"/>
      <c r="C403" s="110"/>
      <c r="D403" s="110"/>
      <c r="E403" s="340"/>
      <c r="F403" s="330"/>
      <c r="G403" s="113"/>
      <c r="H403" s="332"/>
      <c r="I403" s="113"/>
      <c r="J403" s="332"/>
      <c r="K403" s="110"/>
      <c r="L403" s="110"/>
      <c r="M403" s="110"/>
      <c r="N403" s="110"/>
      <c r="O403" s="111"/>
      <c r="P403" s="424" t="str">
        <f>IF(OR(Table13[[#This Row],[Annual Increase Option]]="No increase",Table13[[#This Row],[Annual Increase Option]]=""),"",_xlfn.XLOOKUP(MONTH(Table13[[#This Row],[Commencement Date]]),Lookups!$I$19:$I$30,Lookups!$J$19:$J$30,0))</f>
        <v/>
      </c>
      <c r="Q403" s="340"/>
      <c r="R403" s="340"/>
      <c r="S403" s="360">
        <f>IF(Table13[[#This Row],[Life Cover Amount]]="",0,Table2[[#This Row],[Life Premium]])</f>
        <v>0</v>
      </c>
      <c r="T403" s="360">
        <f>IF(Table13[[#This Row],[Funeral Cover Amount]]=0,0,Table2[[#This Row],[Funeral Premium]])</f>
        <v>0</v>
      </c>
      <c r="U403" s="360">
        <f>IF(AND(Table13[[#This Row],[Life Cover Amount]]="",Table13[[#This Row],[Funeral Cover Amount]]=""),0,onboarding_calcs!AA403)</f>
        <v>0</v>
      </c>
      <c r="V403" s="111"/>
      <c r="W403" s="111"/>
      <c r="X403" s="333"/>
      <c r="Y403" s="110"/>
      <c r="Z403" s="113"/>
      <c r="AA403" s="425"/>
      <c r="AB403" s="425"/>
      <c r="AC403" s="113"/>
      <c r="AD403" s="110"/>
      <c r="AE403" s="110"/>
      <c r="AF403" s="110"/>
      <c r="AG403" s="110"/>
      <c r="AH403" s="110"/>
      <c r="AI403" s="113"/>
      <c r="AJ403" s="110"/>
      <c r="AK403" s="110"/>
      <c r="AL403" s="110"/>
      <c r="AM403" s="110"/>
      <c r="AN403" s="110"/>
      <c r="AO403" s="113"/>
      <c r="AP403" s="113"/>
      <c r="AQ403" s="113"/>
      <c r="AR403" s="110"/>
      <c r="AS403" s="113"/>
      <c r="AT403" s="113"/>
      <c r="AU403" s="112"/>
      <c r="AV403" s="338"/>
      <c r="AW403" s="110"/>
      <c r="AX403" s="110"/>
      <c r="AY403" s="113"/>
      <c r="AZ403" s="113"/>
      <c r="BA403" s="113"/>
      <c r="BB403" s="113"/>
      <c r="BC403" s="113"/>
      <c r="BD403" s="113"/>
      <c r="BF40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04" spans="1:58" x14ac:dyDescent="0.3">
      <c r="A404" s="422"/>
      <c r="B404" s="376"/>
      <c r="C404" s="110"/>
      <c r="D404" s="110"/>
      <c r="E404" s="340"/>
      <c r="F404" s="330"/>
      <c r="G404" s="113"/>
      <c r="H404" s="332"/>
      <c r="I404" s="113"/>
      <c r="J404" s="332"/>
      <c r="K404" s="110"/>
      <c r="L404" s="110"/>
      <c r="M404" s="110"/>
      <c r="N404" s="110"/>
      <c r="O404" s="111"/>
      <c r="P404" s="424" t="str">
        <f>IF(OR(Table13[[#This Row],[Annual Increase Option]]="No increase",Table13[[#This Row],[Annual Increase Option]]=""),"",_xlfn.XLOOKUP(MONTH(Table13[[#This Row],[Commencement Date]]),Lookups!$I$19:$I$30,Lookups!$J$19:$J$30,0))</f>
        <v/>
      </c>
      <c r="Q404" s="340"/>
      <c r="R404" s="340"/>
      <c r="S404" s="360">
        <f>IF(Table13[[#This Row],[Life Cover Amount]]="",0,Table2[[#This Row],[Life Premium]])</f>
        <v>0</v>
      </c>
      <c r="T404" s="360">
        <f>IF(Table13[[#This Row],[Funeral Cover Amount]]=0,0,Table2[[#This Row],[Funeral Premium]])</f>
        <v>0</v>
      </c>
      <c r="U404" s="360">
        <f>IF(AND(Table13[[#This Row],[Life Cover Amount]]="",Table13[[#This Row],[Funeral Cover Amount]]=""),0,onboarding_calcs!AA404)</f>
        <v>0</v>
      </c>
      <c r="V404" s="111"/>
      <c r="W404" s="111"/>
      <c r="X404" s="333"/>
      <c r="Y404" s="110"/>
      <c r="Z404" s="113"/>
      <c r="AA404" s="425"/>
      <c r="AB404" s="425"/>
      <c r="AC404" s="113"/>
      <c r="AD404" s="110"/>
      <c r="AE404" s="110"/>
      <c r="AF404" s="110"/>
      <c r="AG404" s="110"/>
      <c r="AH404" s="110"/>
      <c r="AI404" s="113"/>
      <c r="AJ404" s="110"/>
      <c r="AK404" s="110"/>
      <c r="AL404" s="110"/>
      <c r="AM404" s="110"/>
      <c r="AN404" s="110"/>
      <c r="AO404" s="113"/>
      <c r="AP404" s="113"/>
      <c r="AQ404" s="113"/>
      <c r="AR404" s="110"/>
      <c r="AS404" s="113"/>
      <c r="AT404" s="113"/>
      <c r="AU404" s="112"/>
      <c r="AV404" s="338"/>
      <c r="AW404" s="110"/>
      <c r="AX404" s="110"/>
      <c r="AY404" s="113"/>
      <c r="AZ404" s="113"/>
      <c r="BA404" s="113"/>
      <c r="BB404" s="113"/>
      <c r="BC404" s="113"/>
      <c r="BD404" s="113"/>
      <c r="BF40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05" spans="1:58" x14ac:dyDescent="0.3">
      <c r="A405" s="422"/>
      <c r="B405" s="376"/>
      <c r="C405" s="110"/>
      <c r="D405" s="110"/>
      <c r="E405" s="340"/>
      <c r="F405" s="330"/>
      <c r="G405" s="113"/>
      <c r="H405" s="332"/>
      <c r="I405" s="113"/>
      <c r="J405" s="332"/>
      <c r="K405" s="110"/>
      <c r="L405" s="110"/>
      <c r="M405" s="110"/>
      <c r="N405" s="110"/>
      <c r="O405" s="111"/>
      <c r="P405" s="424" t="str">
        <f>IF(OR(Table13[[#This Row],[Annual Increase Option]]="No increase",Table13[[#This Row],[Annual Increase Option]]=""),"",_xlfn.XLOOKUP(MONTH(Table13[[#This Row],[Commencement Date]]),Lookups!$I$19:$I$30,Lookups!$J$19:$J$30,0))</f>
        <v/>
      </c>
      <c r="Q405" s="340"/>
      <c r="R405" s="340"/>
      <c r="S405" s="360">
        <f>IF(Table13[[#This Row],[Life Cover Amount]]="",0,Table2[[#This Row],[Life Premium]])</f>
        <v>0</v>
      </c>
      <c r="T405" s="360">
        <f>IF(Table13[[#This Row],[Funeral Cover Amount]]=0,0,Table2[[#This Row],[Funeral Premium]])</f>
        <v>0</v>
      </c>
      <c r="U405" s="360">
        <f>IF(AND(Table13[[#This Row],[Life Cover Amount]]="",Table13[[#This Row],[Funeral Cover Amount]]=""),0,onboarding_calcs!AA405)</f>
        <v>0</v>
      </c>
      <c r="V405" s="111"/>
      <c r="W405" s="111"/>
      <c r="X405" s="333"/>
      <c r="Y405" s="110"/>
      <c r="Z405" s="113"/>
      <c r="AA405" s="425"/>
      <c r="AB405" s="425"/>
      <c r="AC405" s="113"/>
      <c r="AD405" s="110"/>
      <c r="AE405" s="110"/>
      <c r="AF405" s="110"/>
      <c r="AG405" s="110"/>
      <c r="AH405" s="110"/>
      <c r="AI405" s="113"/>
      <c r="AJ405" s="110"/>
      <c r="AK405" s="110"/>
      <c r="AL405" s="110"/>
      <c r="AM405" s="110"/>
      <c r="AN405" s="110"/>
      <c r="AO405" s="113"/>
      <c r="AP405" s="113"/>
      <c r="AQ405" s="113"/>
      <c r="AR405" s="110"/>
      <c r="AS405" s="113"/>
      <c r="AT405" s="113"/>
      <c r="AU405" s="112"/>
      <c r="AV405" s="338"/>
      <c r="AW405" s="110"/>
      <c r="AX405" s="110"/>
      <c r="AY405" s="113"/>
      <c r="AZ405" s="113"/>
      <c r="BA405" s="113"/>
      <c r="BB405" s="113"/>
      <c r="BC405" s="113"/>
      <c r="BD405" s="113"/>
      <c r="BF40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06" spans="1:58" x14ac:dyDescent="0.3">
      <c r="A406" s="422"/>
      <c r="B406" s="376"/>
      <c r="C406" s="110"/>
      <c r="D406" s="110"/>
      <c r="E406" s="340"/>
      <c r="F406" s="330"/>
      <c r="G406" s="113"/>
      <c r="H406" s="332"/>
      <c r="I406" s="113"/>
      <c r="J406" s="332"/>
      <c r="K406" s="110"/>
      <c r="L406" s="110"/>
      <c r="M406" s="110"/>
      <c r="N406" s="110"/>
      <c r="O406" s="111"/>
      <c r="P406" s="424" t="str">
        <f>IF(OR(Table13[[#This Row],[Annual Increase Option]]="No increase",Table13[[#This Row],[Annual Increase Option]]=""),"",_xlfn.XLOOKUP(MONTH(Table13[[#This Row],[Commencement Date]]),Lookups!$I$19:$I$30,Lookups!$J$19:$J$30,0))</f>
        <v/>
      </c>
      <c r="Q406" s="340"/>
      <c r="R406" s="340"/>
      <c r="S406" s="360">
        <f>IF(Table13[[#This Row],[Life Cover Amount]]="",0,Table2[[#This Row],[Life Premium]])</f>
        <v>0</v>
      </c>
      <c r="T406" s="360">
        <f>IF(Table13[[#This Row],[Funeral Cover Amount]]=0,0,Table2[[#This Row],[Funeral Premium]])</f>
        <v>0</v>
      </c>
      <c r="U406" s="360">
        <f>IF(AND(Table13[[#This Row],[Life Cover Amount]]="",Table13[[#This Row],[Funeral Cover Amount]]=""),0,onboarding_calcs!AA406)</f>
        <v>0</v>
      </c>
      <c r="V406" s="111"/>
      <c r="W406" s="111"/>
      <c r="X406" s="333"/>
      <c r="Y406" s="110"/>
      <c r="Z406" s="113"/>
      <c r="AA406" s="425"/>
      <c r="AB406" s="425"/>
      <c r="AC406" s="113"/>
      <c r="AD406" s="110"/>
      <c r="AE406" s="110"/>
      <c r="AF406" s="110"/>
      <c r="AG406" s="110"/>
      <c r="AH406" s="110"/>
      <c r="AI406" s="113"/>
      <c r="AJ406" s="110"/>
      <c r="AK406" s="110"/>
      <c r="AL406" s="110"/>
      <c r="AM406" s="110"/>
      <c r="AN406" s="110"/>
      <c r="AO406" s="113"/>
      <c r="AP406" s="113"/>
      <c r="AQ406" s="113"/>
      <c r="AR406" s="110"/>
      <c r="AS406" s="113"/>
      <c r="AT406" s="113"/>
      <c r="AU406" s="112"/>
      <c r="AV406" s="338"/>
      <c r="AW406" s="110"/>
      <c r="AX406" s="110"/>
      <c r="AY406" s="113"/>
      <c r="AZ406" s="113"/>
      <c r="BA406" s="113"/>
      <c r="BB406" s="113"/>
      <c r="BC406" s="113"/>
      <c r="BD406" s="113"/>
      <c r="BF40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07" spans="1:58" x14ac:dyDescent="0.3">
      <c r="A407" s="422"/>
      <c r="B407" s="376"/>
      <c r="C407" s="110"/>
      <c r="D407" s="110"/>
      <c r="E407" s="340"/>
      <c r="F407" s="330"/>
      <c r="G407" s="113"/>
      <c r="H407" s="332"/>
      <c r="I407" s="113"/>
      <c r="J407" s="332"/>
      <c r="K407" s="110"/>
      <c r="L407" s="110"/>
      <c r="M407" s="110"/>
      <c r="N407" s="110"/>
      <c r="O407" s="111"/>
      <c r="P407" s="424" t="str">
        <f>IF(OR(Table13[[#This Row],[Annual Increase Option]]="No increase",Table13[[#This Row],[Annual Increase Option]]=""),"",_xlfn.XLOOKUP(MONTH(Table13[[#This Row],[Commencement Date]]),Lookups!$I$19:$I$30,Lookups!$J$19:$J$30,0))</f>
        <v/>
      </c>
      <c r="Q407" s="340"/>
      <c r="R407" s="340"/>
      <c r="S407" s="360">
        <f>IF(Table13[[#This Row],[Life Cover Amount]]="",0,Table2[[#This Row],[Life Premium]])</f>
        <v>0</v>
      </c>
      <c r="T407" s="360">
        <f>IF(Table13[[#This Row],[Funeral Cover Amount]]=0,0,Table2[[#This Row],[Funeral Premium]])</f>
        <v>0</v>
      </c>
      <c r="U407" s="360">
        <f>IF(AND(Table13[[#This Row],[Life Cover Amount]]="",Table13[[#This Row],[Funeral Cover Amount]]=""),0,onboarding_calcs!AA407)</f>
        <v>0</v>
      </c>
      <c r="V407" s="111"/>
      <c r="W407" s="111"/>
      <c r="X407" s="333"/>
      <c r="Y407" s="110"/>
      <c r="Z407" s="113"/>
      <c r="AA407" s="425"/>
      <c r="AB407" s="425"/>
      <c r="AC407" s="113"/>
      <c r="AD407" s="110"/>
      <c r="AE407" s="110"/>
      <c r="AF407" s="110"/>
      <c r="AG407" s="110"/>
      <c r="AH407" s="110"/>
      <c r="AI407" s="113"/>
      <c r="AJ407" s="110"/>
      <c r="AK407" s="110"/>
      <c r="AL407" s="110"/>
      <c r="AM407" s="110"/>
      <c r="AN407" s="110"/>
      <c r="AO407" s="113"/>
      <c r="AP407" s="113"/>
      <c r="AQ407" s="113"/>
      <c r="AR407" s="110"/>
      <c r="AS407" s="113"/>
      <c r="AT407" s="113"/>
      <c r="AU407" s="112"/>
      <c r="AV407" s="338"/>
      <c r="AW407" s="110"/>
      <c r="AX407" s="110"/>
      <c r="AY407" s="113"/>
      <c r="AZ407" s="113"/>
      <c r="BA407" s="113"/>
      <c r="BB407" s="113"/>
      <c r="BC407" s="113"/>
      <c r="BD407" s="113"/>
      <c r="BF40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08" spans="1:58" x14ac:dyDescent="0.3">
      <c r="A408" s="422"/>
      <c r="B408" s="376"/>
      <c r="C408" s="110"/>
      <c r="D408" s="110"/>
      <c r="E408" s="340"/>
      <c r="F408" s="330"/>
      <c r="G408" s="113"/>
      <c r="H408" s="332"/>
      <c r="I408" s="113"/>
      <c r="J408" s="332"/>
      <c r="K408" s="110"/>
      <c r="L408" s="110"/>
      <c r="M408" s="110"/>
      <c r="N408" s="110"/>
      <c r="O408" s="111"/>
      <c r="P408" s="424" t="str">
        <f>IF(OR(Table13[[#This Row],[Annual Increase Option]]="No increase",Table13[[#This Row],[Annual Increase Option]]=""),"",_xlfn.XLOOKUP(MONTH(Table13[[#This Row],[Commencement Date]]),Lookups!$I$19:$I$30,Lookups!$J$19:$J$30,0))</f>
        <v/>
      </c>
      <c r="Q408" s="340"/>
      <c r="R408" s="340"/>
      <c r="S408" s="360">
        <f>IF(Table13[[#This Row],[Life Cover Amount]]="",0,Table2[[#This Row],[Life Premium]])</f>
        <v>0</v>
      </c>
      <c r="T408" s="360">
        <f>IF(Table13[[#This Row],[Funeral Cover Amount]]=0,0,Table2[[#This Row],[Funeral Premium]])</f>
        <v>0</v>
      </c>
      <c r="U408" s="360">
        <f>IF(AND(Table13[[#This Row],[Life Cover Amount]]="",Table13[[#This Row],[Funeral Cover Amount]]=""),0,onboarding_calcs!AA408)</f>
        <v>0</v>
      </c>
      <c r="V408" s="111"/>
      <c r="W408" s="111"/>
      <c r="X408" s="333"/>
      <c r="Y408" s="110"/>
      <c r="Z408" s="113"/>
      <c r="AA408" s="425"/>
      <c r="AB408" s="425"/>
      <c r="AC408" s="113"/>
      <c r="AD408" s="110"/>
      <c r="AE408" s="110"/>
      <c r="AF408" s="110"/>
      <c r="AG408" s="110"/>
      <c r="AH408" s="110"/>
      <c r="AI408" s="113"/>
      <c r="AJ408" s="110"/>
      <c r="AK408" s="110"/>
      <c r="AL408" s="110"/>
      <c r="AM408" s="110"/>
      <c r="AN408" s="110"/>
      <c r="AO408" s="113"/>
      <c r="AP408" s="113"/>
      <c r="AQ408" s="113"/>
      <c r="AR408" s="110"/>
      <c r="AS408" s="113"/>
      <c r="AT408" s="113"/>
      <c r="AU408" s="112"/>
      <c r="AV408" s="338"/>
      <c r="AW408" s="110"/>
      <c r="AX408" s="110"/>
      <c r="AY408" s="113"/>
      <c r="AZ408" s="113"/>
      <c r="BA408" s="113"/>
      <c r="BB408" s="113"/>
      <c r="BC408" s="113"/>
      <c r="BD408" s="113"/>
      <c r="BF40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09" spans="1:58" x14ac:dyDescent="0.3">
      <c r="A409" s="422"/>
      <c r="B409" s="376"/>
      <c r="C409" s="110"/>
      <c r="D409" s="110"/>
      <c r="E409" s="340"/>
      <c r="F409" s="330"/>
      <c r="G409" s="113"/>
      <c r="H409" s="332"/>
      <c r="I409" s="113"/>
      <c r="J409" s="332"/>
      <c r="K409" s="110"/>
      <c r="L409" s="110"/>
      <c r="M409" s="110"/>
      <c r="N409" s="110"/>
      <c r="O409" s="111"/>
      <c r="P409" s="424" t="str">
        <f>IF(OR(Table13[[#This Row],[Annual Increase Option]]="No increase",Table13[[#This Row],[Annual Increase Option]]=""),"",_xlfn.XLOOKUP(MONTH(Table13[[#This Row],[Commencement Date]]),Lookups!$I$19:$I$30,Lookups!$J$19:$J$30,0))</f>
        <v/>
      </c>
      <c r="Q409" s="340"/>
      <c r="R409" s="340"/>
      <c r="S409" s="360">
        <f>IF(Table13[[#This Row],[Life Cover Amount]]="",0,Table2[[#This Row],[Life Premium]])</f>
        <v>0</v>
      </c>
      <c r="T409" s="360">
        <f>IF(Table13[[#This Row],[Funeral Cover Amount]]=0,0,Table2[[#This Row],[Funeral Premium]])</f>
        <v>0</v>
      </c>
      <c r="U409" s="360">
        <f>IF(AND(Table13[[#This Row],[Life Cover Amount]]="",Table13[[#This Row],[Funeral Cover Amount]]=""),0,onboarding_calcs!AA409)</f>
        <v>0</v>
      </c>
      <c r="V409" s="111"/>
      <c r="W409" s="111"/>
      <c r="X409" s="333"/>
      <c r="Y409" s="110"/>
      <c r="Z409" s="113"/>
      <c r="AA409" s="425"/>
      <c r="AB409" s="425"/>
      <c r="AC409" s="113"/>
      <c r="AD409" s="110"/>
      <c r="AE409" s="110"/>
      <c r="AF409" s="110"/>
      <c r="AG409" s="110"/>
      <c r="AH409" s="110"/>
      <c r="AI409" s="113"/>
      <c r="AJ409" s="110"/>
      <c r="AK409" s="110"/>
      <c r="AL409" s="110"/>
      <c r="AM409" s="110"/>
      <c r="AN409" s="110"/>
      <c r="AO409" s="113"/>
      <c r="AP409" s="113"/>
      <c r="AQ409" s="113"/>
      <c r="AR409" s="110"/>
      <c r="AS409" s="113"/>
      <c r="AT409" s="113"/>
      <c r="AU409" s="112"/>
      <c r="AV409" s="338"/>
      <c r="AW409" s="110"/>
      <c r="AX409" s="110"/>
      <c r="AY409" s="113"/>
      <c r="AZ409" s="113"/>
      <c r="BA409" s="113"/>
      <c r="BB409" s="113"/>
      <c r="BC409" s="113"/>
      <c r="BD409" s="113"/>
      <c r="BF40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10" spans="1:58" x14ac:dyDescent="0.3">
      <c r="A410" s="422"/>
      <c r="B410" s="376"/>
      <c r="C410" s="110"/>
      <c r="D410" s="110"/>
      <c r="E410" s="340"/>
      <c r="F410" s="330"/>
      <c r="G410" s="113"/>
      <c r="H410" s="332"/>
      <c r="I410" s="113"/>
      <c r="J410" s="332"/>
      <c r="K410" s="110"/>
      <c r="L410" s="110"/>
      <c r="M410" s="110"/>
      <c r="N410" s="110"/>
      <c r="O410" s="111"/>
      <c r="P410" s="424" t="str">
        <f>IF(OR(Table13[[#This Row],[Annual Increase Option]]="No increase",Table13[[#This Row],[Annual Increase Option]]=""),"",_xlfn.XLOOKUP(MONTH(Table13[[#This Row],[Commencement Date]]),Lookups!$I$19:$I$30,Lookups!$J$19:$J$30,0))</f>
        <v/>
      </c>
      <c r="Q410" s="340"/>
      <c r="R410" s="340"/>
      <c r="S410" s="360">
        <f>IF(Table13[[#This Row],[Life Cover Amount]]="",0,Table2[[#This Row],[Life Premium]])</f>
        <v>0</v>
      </c>
      <c r="T410" s="360">
        <f>IF(Table13[[#This Row],[Funeral Cover Amount]]=0,0,Table2[[#This Row],[Funeral Premium]])</f>
        <v>0</v>
      </c>
      <c r="U410" s="360">
        <f>IF(AND(Table13[[#This Row],[Life Cover Amount]]="",Table13[[#This Row],[Funeral Cover Amount]]=""),0,onboarding_calcs!AA410)</f>
        <v>0</v>
      </c>
      <c r="V410" s="111"/>
      <c r="W410" s="111"/>
      <c r="X410" s="333"/>
      <c r="Y410" s="110"/>
      <c r="Z410" s="113"/>
      <c r="AA410" s="425"/>
      <c r="AB410" s="425"/>
      <c r="AC410" s="113"/>
      <c r="AD410" s="110"/>
      <c r="AE410" s="110"/>
      <c r="AF410" s="110"/>
      <c r="AG410" s="110"/>
      <c r="AH410" s="110"/>
      <c r="AI410" s="113"/>
      <c r="AJ410" s="110"/>
      <c r="AK410" s="110"/>
      <c r="AL410" s="110"/>
      <c r="AM410" s="110"/>
      <c r="AN410" s="110"/>
      <c r="AO410" s="113"/>
      <c r="AP410" s="113"/>
      <c r="AQ410" s="113"/>
      <c r="AR410" s="110"/>
      <c r="AS410" s="113"/>
      <c r="AT410" s="113"/>
      <c r="AU410" s="112"/>
      <c r="AV410" s="338"/>
      <c r="AW410" s="110"/>
      <c r="AX410" s="110"/>
      <c r="AY410" s="113"/>
      <c r="AZ410" s="113"/>
      <c r="BA410" s="113"/>
      <c r="BB410" s="113"/>
      <c r="BC410" s="113"/>
      <c r="BD410" s="113"/>
      <c r="BF41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11" spans="1:58" x14ac:dyDescent="0.3">
      <c r="A411" s="422"/>
      <c r="B411" s="376"/>
      <c r="C411" s="110"/>
      <c r="D411" s="110"/>
      <c r="E411" s="340"/>
      <c r="F411" s="330"/>
      <c r="G411" s="113"/>
      <c r="H411" s="332"/>
      <c r="I411" s="113"/>
      <c r="J411" s="332"/>
      <c r="K411" s="110"/>
      <c r="L411" s="110"/>
      <c r="M411" s="110"/>
      <c r="N411" s="110"/>
      <c r="O411" s="111"/>
      <c r="P411" s="424" t="str">
        <f>IF(OR(Table13[[#This Row],[Annual Increase Option]]="No increase",Table13[[#This Row],[Annual Increase Option]]=""),"",_xlfn.XLOOKUP(MONTH(Table13[[#This Row],[Commencement Date]]),Lookups!$I$19:$I$30,Lookups!$J$19:$J$30,0))</f>
        <v/>
      </c>
      <c r="Q411" s="340"/>
      <c r="R411" s="340"/>
      <c r="S411" s="360">
        <f>IF(Table13[[#This Row],[Life Cover Amount]]="",0,Table2[[#This Row],[Life Premium]])</f>
        <v>0</v>
      </c>
      <c r="T411" s="360">
        <f>IF(Table13[[#This Row],[Funeral Cover Amount]]=0,0,Table2[[#This Row],[Funeral Premium]])</f>
        <v>0</v>
      </c>
      <c r="U411" s="360">
        <f>IF(AND(Table13[[#This Row],[Life Cover Amount]]="",Table13[[#This Row],[Funeral Cover Amount]]=""),0,onboarding_calcs!AA411)</f>
        <v>0</v>
      </c>
      <c r="V411" s="111"/>
      <c r="W411" s="111"/>
      <c r="X411" s="333"/>
      <c r="Y411" s="110"/>
      <c r="Z411" s="113"/>
      <c r="AA411" s="425"/>
      <c r="AB411" s="425"/>
      <c r="AC411" s="113"/>
      <c r="AD411" s="110"/>
      <c r="AE411" s="110"/>
      <c r="AF411" s="110"/>
      <c r="AG411" s="110"/>
      <c r="AH411" s="110"/>
      <c r="AI411" s="113"/>
      <c r="AJ411" s="110"/>
      <c r="AK411" s="110"/>
      <c r="AL411" s="110"/>
      <c r="AM411" s="110"/>
      <c r="AN411" s="110"/>
      <c r="AO411" s="113"/>
      <c r="AP411" s="113"/>
      <c r="AQ411" s="113"/>
      <c r="AR411" s="110"/>
      <c r="AS411" s="113"/>
      <c r="AT411" s="113"/>
      <c r="AU411" s="112"/>
      <c r="AV411" s="338"/>
      <c r="AW411" s="110"/>
      <c r="AX411" s="110"/>
      <c r="AY411" s="113"/>
      <c r="AZ411" s="113"/>
      <c r="BA411" s="113"/>
      <c r="BB411" s="113"/>
      <c r="BC411" s="113"/>
      <c r="BD411" s="113"/>
      <c r="BF41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12" spans="1:58" x14ac:dyDescent="0.3">
      <c r="A412" s="422"/>
      <c r="B412" s="376"/>
      <c r="C412" s="110"/>
      <c r="D412" s="110"/>
      <c r="E412" s="340"/>
      <c r="F412" s="330"/>
      <c r="G412" s="113"/>
      <c r="H412" s="332"/>
      <c r="I412" s="113"/>
      <c r="J412" s="332"/>
      <c r="K412" s="110"/>
      <c r="L412" s="110"/>
      <c r="M412" s="110"/>
      <c r="N412" s="110"/>
      <c r="O412" s="111"/>
      <c r="P412" s="424" t="str">
        <f>IF(OR(Table13[[#This Row],[Annual Increase Option]]="No increase",Table13[[#This Row],[Annual Increase Option]]=""),"",_xlfn.XLOOKUP(MONTH(Table13[[#This Row],[Commencement Date]]),Lookups!$I$19:$I$30,Lookups!$J$19:$J$30,0))</f>
        <v/>
      </c>
      <c r="Q412" s="340"/>
      <c r="R412" s="340"/>
      <c r="S412" s="360">
        <f>IF(Table13[[#This Row],[Life Cover Amount]]="",0,Table2[[#This Row],[Life Premium]])</f>
        <v>0</v>
      </c>
      <c r="T412" s="360">
        <f>IF(Table13[[#This Row],[Funeral Cover Amount]]=0,0,Table2[[#This Row],[Funeral Premium]])</f>
        <v>0</v>
      </c>
      <c r="U412" s="360">
        <f>IF(AND(Table13[[#This Row],[Life Cover Amount]]="",Table13[[#This Row],[Funeral Cover Amount]]=""),0,onboarding_calcs!AA412)</f>
        <v>0</v>
      </c>
      <c r="V412" s="111"/>
      <c r="W412" s="111"/>
      <c r="X412" s="333"/>
      <c r="Y412" s="110"/>
      <c r="Z412" s="113"/>
      <c r="AA412" s="425"/>
      <c r="AB412" s="425"/>
      <c r="AC412" s="113"/>
      <c r="AD412" s="110"/>
      <c r="AE412" s="110"/>
      <c r="AF412" s="110"/>
      <c r="AG412" s="110"/>
      <c r="AH412" s="110"/>
      <c r="AI412" s="113"/>
      <c r="AJ412" s="110"/>
      <c r="AK412" s="110"/>
      <c r="AL412" s="110"/>
      <c r="AM412" s="110"/>
      <c r="AN412" s="110"/>
      <c r="AO412" s="113"/>
      <c r="AP412" s="113"/>
      <c r="AQ412" s="113"/>
      <c r="AR412" s="110"/>
      <c r="AS412" s="113"/>
      <c r="AT412" s="113"/>
      <c r="AU412" s="112"/>
      <c r="AV412" s="338"/>
      <c r="AW412" s="110"/>
      <c r="AX412" s="110"/>
      <c r="AY412" s="113"/>
      <c r="AZ412" s="113"/>
      <c r="BA412" s="113"/>
      <c r="BB412" s="113"/>
      <c r="BC412" s="113"/>
      <c r="BD412" s="113"/>
      <c r="BF41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13" spans="1:58" x14ac:dyDescent="0.3">
      <c r="A413" s="422"/>
      <c r="B413" s="376"/>
      <c r="C413" s="110"/>
      <c r="D413" s="110"/>
      <c r="E413" s="340"/>
      <c r="F413" s="330"/>
      <c r="G413" s="113"/>
      <c r="H413" s="332"/>
      <c r="I413" s="113"/>
      <c r="J413" s="332"/>
      <c r="K413" s="110"/>
      <c r="L413" s="110"/>
      <c r="M413" s="110"/>
      <c r="N413" s="110"/>
      <c r="O413" s="111"/>
      <c r="P413" s="424" t="str">
        <f>IF(OR(Table13[[#This Row],[Annual Increase Option]]="No increase",Table13[[#This Row],[Annual Increase Option]]=""),"",_xlfn.XLOOKUP(MONTH(Table13[[#This Row],[Commencement Date]]),Lookups!$I$19:$I$30,Lookups!$J$19:$J$30,0))</f>
        <v/>
      </c>
      <c r="Q413" s="340"/>
      <c r="R413" s="340"/>
      <c r="S413" s="360">
        <f>IF(Table13[[#This Row],[Life Cover Amount]]="",0,Table2[[#This Row],[Life Premium]])</f>
        <v>0</v>
      </c>
      <c r="T413" s="360">
        <f>IF(Table13[[#This Row],[Funeral Cover Amount]]=0,0,Table2[[#This Row],[Funeral Premium]])</f>
        <v>0</v>
      </c>
      <c r="U413" s="360">
        <f>IF(AND(Table13[[#This Row],[Life Cover Amount]]="",Table13[[#This Row],[Funeral Cover Amount]]=""),0,onboarding_calcs!AA413)</f>
        <v>0</v>
      </c>
      <c r="V413" s="111"/>
      <c r="W413" s="111"/>
      <c r="X413" s="333"/>
      <c r="Y413" s="110"/>
      <c r="Z413" s="113"/>
      <c r="AA413" s="425"/>
      <c r="AB413" s="425"/>
      <c r="AC413" s="113"/>
      <c r="AD413" s="110"/>
      <c r="AE413" s="110"/>
      <c r="AF413" s="110"/>
      <c r="AG413" s="110"/>
      <c r="AH413" s="110"/>
      <c r="AI413" s="113"/>
      <c r="AJ413" s="110"/>
      <c r="AK413" s="110"/>
      <c r="AL413" s="110"/>
      <c r="AM413" s="110"/>
      <c r="AN413" s="110"/>
      <c r="AO413" s="113"/>
      <c r="AP413" s="113"/>
      <c r="AQ413" s="113"/>
      <c r="AR413" s="110"/>
      <c r="AS413" s="113"/>
      <c r="AT413" s="113"/>
      <c r="AU413" s="112"/>
      <c r="AV413" s="338"/>
      <c r="AW413" s="110"/>
      <c r="AX413" s="110"/>
      <c r="AY413" s="113"/>
      <c r="AZ413" s="113"/>
      <c r="BA413" s="113"/>
      <c r="BB413" s="113"/>
      <c r="BC413" s="113"/>
      <c r="BD413" s="113"/>
      <c r="BF41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14" spans="1:58" x14ac:dyDescent="0.3">
      <c r="A414" s="422"/>
      <c r="B414" s="376"/>
      <c r="C414" s="110"/>
      <c r="D414" s="110"/>
      <c r="E414" s="340"/>
      <c r="F414" s="330"/>
      <c r="G414" s="113"/>
      <c r="H414" s="332"/>
      <c r="I414" s="113"/>
      <c r="J414" s="332"/>
      <c r="K414" s="110"/>
      <c r="L414" s="110"/>
      <c r="M414" s="110"/>
      <c r="N414" s="110"/>
      <c r="O414" s="111"/>
      <c r="P414" s="424" t="str">
        <f>IF(OR(Table13[[#This Row],[Annual Increase Option]]="No increase",Table13[[#This Row],[Annual Increase Option]]=""),"",_xlfn.XLOOKUP(MONTH(Table13[[#This Row],[Commencement Date]]),Lookups!$I$19:$I$30,Lookups!$J$19:$J$30,0))</f>
        <v/>
      </c>
      <c r="Q414" s="340"/>
      <c r="R414" s="340"/>
      <c r="S414" s="360">
        <f>IF(Table13[[#This Row],[Life Cover Amount]]="",0,Table2[[#This Row],[Life Premium]])</f>
        <v>0</v>
      </c>
      <c r="T414" s="360">
        <f>IF(Table13[[#This Row],[Funeral Cover Amount]]=0,0,Table2[[#This Row],[Funeral Premium]])</f>
        <v>0</v>
      </c>
      <c r="U414" s="360">
        <f>IF(AND(Table13[[#This Row],[Life Cover Amount]]="",Table13[[#This Row],[Funeral Cover Amount]]=""),0,onboarding_calcs!AA414)</f>
        <v>0</v>
      </c>
      <c r="V414" s="111"/>
      <c r="W414" s="111"/>
      <c r="X414" s="333"/>
      <c r="Y414" s="110"/>
      <c r="Z414" s="113"/>
      <c r="AA414" s="425"/>
      <c r="AB414" s="425"/>
      <c r="AC414" s="113"/>
      <c r="AD414" s="110"/>
      <c r="AE414" s="110"/>
      <c r="AF414" s="110"/>
      <c r="AG414" s="110"/>
      <c r="AH414" s="110"/>
      <c r="AI414" s="113"/>
      <c r="AJ414" s="110"/>
      <c r="AK414" s="110"/>
      <c r="AL414" s="110"/>
      <c r="AM414" s="110"/>
      <c r="AN414" s="110"/>
      <c r="AO414" s="113"/>
      <c r="AP414" s="113"/>
      <c r="AQ414" s="113"/>
      <c r="AR414" s="110"/>
      <c r="AS414" s="113"/>
      <c r="AT414" s="113"/>
      <c r="AU414" s="112"/>
      <c r="AV414" s="338"/>
      <c r="AW414" s="110"/>
      <c r="AX414" s="110"/>
      <c r="AY414" s="113"/>
      <c r="AZ414" s="113"/>
      <c r="BA414" s="113"/>
      <c r="BB414" s="113"/>
      <c r="BC414" s="113"/>
      <c r="BD414" s="113"/>
      <c r="BF41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15" spans="1:58" x14ac:dyDescent="0.3">
      <c r="A415" s="422"/>
      <c r="B415" s="376"/>
      <c r="C415" s="110"/>
      <c r="D415" s="110"/>
      <c r="E415" s="340"/>
      <c r="F415" s="330"/>
      <c r="G415" s="113"/>
      <c r="H415" s="332"/>
      <c r="I415" s="113"/>
      <c r="J415" s="332"/>
      <c r="K415" s="110"/>
      <c r="L415" s="110"/>
      <c r="M415" s="110"/>
      <c r="N415" s="110"/>
      <c r="O415" s="111"/>
      <c r="P415" s="424" t="str">
        <f>IF(OR(Table13[[#This Row],[Annual Increase Option]]="No increase",Table13[[#This Row],[Annual Increase Option]]=""),"",_xlfn.XLOOKUP(MONTH(Table13[[#This Row],[Commencement Date]]),Lookups!$I$19:$I$30,Lookups!$J$19:$J$30,0))</f>
        <v/>
      </c>
      <c r="Q415" s="340"/>
      <c r="R415" s="340"/>
      <c r="S415" s="360">
        <f>IF(Table13[[#This Row],[Life Cover Amount]]="",0,Table2[[#This Row],[Life Premium]])</f>
        <v>0</v>
      </c>
      <c r="T415" s="360">
        <f>IF(Table13[[#This Row],[Funeral Cover Amount]]=0,0,Table2[[#This Row],[Funeral Premium]])</f>
        <v>0</v>
      </c>
      <c r="U415" s="360">
        <f>IF(AND(Table13[[#This Row],[Life Cover Amount]]="",Table13[[#This Row],[Funeral Cover Amount]]=""),0,onboarding_calcs!AA415)</f>
        <v>0</v>
      </c>
      <c r="V415" s="111"/>
      <c r="W415" s="111"/>
      <c r="X415" s="333"/>
      <c r="Y415" s="110"/>
      <c r="Z415" s="113"/>
      <c r="AA415" s="425"/>
      <c r="AB415" s="425"/>
      <c r="AC415" s="113"/>
      <c r="AD415" s="110"/>
      <c r="AE415" s="110"/>
      <c r="AF415" s="110"/>
      <c r="AG415" s="110"/>
      <c r="AH415" s="110"/>
      <c r="AI415" s="113"/>
      <c r="AJ415" s="110"/>
      <c r="AK415" s="110"/>
      <c r="AL415" s="110"/>
      <c r="AM415" s="110"/>
      <c r="AN415" s="110"/>
      <c r="AO415" s="113"/>
      <c r="AP415" s="113"/>
      <c r="AQ415" s="113"/>
      <c r="AR415" s="110"/>
      <c r="AS415" s="113"/>
      <c r="AT415" s="113"/>
      <c r="AU415" s="112"/>
      <c r="AV415" s="338"/>
      <c r="AW415" s="110"/>
      <c r="AX415" s="110"/>
      <c r="AY415" s="113"/>
      <c r="AZ415" s="113"/>
      <c r="BA415" s="113"/>
      <c r="BB415" s="113"/>
      <c r="BC415" s="113"/>
      <c r="BD415" s="113"/>
      <c r="BF41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16" spans="1:58" x14ac:dyDescent="0.3">
      <c r="A416" s="422"/>
      <c r="B416" s="376"/>
      <c r="C416" s="110"/>
      <c r="D416" s="110"/>
      <c r="E416" s="340"/>
      <c r="F416" s="330"/>
      <c r="G416" s="113"/>
      <c r="H416" s="332"/>
      <c r="I416" s="113"/>
      <c r="J416" s="332"/>
      <c r="K416" s="110"/>
      <c r="L416" s="110"/>
      <c r="M416" s="110"/>
      <c r="N416" s="110"/>
      <c r="O416" s="111"/>
      <c r="P416" s="424" t="str">
        <f>IF(OR(Table13[[#This Row],[Annual Increase Option]]="No increase",Table13[[#This Row],[Annual Increase Option]]=""),"",_xlfn.XLOOKUP(MONTH(Table13[[#This Row],[Commencement Date]]),Lookups!$I$19:$I$30,Lookups!$J$19:$J$30,0))</f>
        <v/>
      </c>
      <c r="Q416" s="340"/>
      <c r="R416" s="340"/>
      <c r="S416" s="360">
        <f>IF(Table13[[#This Row],[Life Cover Amount]]="",0,Table2[[#This Row],[Life Premium]])</f>
        <v>0</v>
      </c>
      <c r="T416" s="360">
        <f>IF(Table13[[#This Row],[Funeral Cover Amount]]=0,0,Table2[[#This Row],[Funeral Premium]])</f>
        <v>0</v>
      </c>
      <c r="U416" s="360">
        <f>IF(AND(Table13[[#This Row],[Life Cover Amount]]="",Table13[[#This Row],[Funeral Cover Amount]]=""),0,onboarding_calcs!AA416)</f>
        <v>0</v>
      </c>
      <c r="V416" s="111"/>
      <c r="W416" s="111"/>
      <c r="X416" s="333"/>
      <c r="Y416" s="110"/>
      <c r="Z416" s="113"/>
      <c r="AA416" s="425"/>
      <c r="AB416" s="425"/>
      <c r="AC416" s="113"/>
      <c r="AD416" s="110"/>
      <c r="AE416" s="110"/>
      <c r="AF416" s="110"/>
      <c r="AG416" s="110"/>
      <c r="AH416" s="110"/>
      <c r="AI416" s="113"/>
      <c r="AJ416" s="110"/>
      <c r="AK416" s="110"/>
      <c r="AL416" s="110"/>
      <c r="AM416" s="110"/>
      <c r="AN416" s="110"/>
      <c r="AO416" s="113"/>
      <c r="AP416" s="113"/>
      <c r="AQ416" s="113"/>
      <c r="AR416" s="110"/>
      <c r="AS416" s="113"/>
      <c r="AT416" s="113"/>
      <c r="AU416" s="112"/>
      <c r="AV416" s="338"/>
      <c r="AW416" s="110"/>
      <c r="AX416" s="110"/>
      <c r="AY416" s="113"/>
      <c r="AZ416" s="113"/>
      <c r="BA416" s="113"/>
      <c r="BB416" s="113"/>
      <c r="BC416" s="113"/>
      <c r="BD416" s="113"/>
      <c r="BF41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17" spans="1:58" x14ac:dyDescent="0.3">
      <c r="A417" s="422"/>
      <c r="B417" s="376"/>
      <c r="C417" s="110"/>
      <c r="D417" s="110"/>
      <c r="E417" s="340"/>
      <c r="F417" s="330"/>
      <c r="G417" s="113"/>
      <c r="H417" s="332"/>
      <c r="I417" s="113"/>
      <c r="J417" s="332"/>
      <c r="K417" s="110"/>
      <c r="L417" s="110"/>
      <c r="M417" s="110"/>
      <c r="N417" s="110"/>
      <c r="O417" s="111"/>
      <c r="P417" s="424" t="str">
        <f>IF(OR(Table13[[#This Row],[Annual Increase Option]]="No increase",Table13[[#This Row],[Annual Increase Option]]=""),"",_xlfn.XLOOKUP(MONTH(Table13[[#This Row],[Commencement Date]]),Lookups!$I$19:$I$30,Lookups!$J$19:$J$30,0))</f>
        <v/>
      </c>
      <c r="Q417" s="340"/>
      <c r="R417" s="340"/>
      <c r="S417" s="360">
        <f>IF(Table13[[#This Row],[Life Cover Amount]]="",0,Table2[[#This Row],[Life Premium]])</f>
        <v>0</v>
      </c>
      <c r="T417" s="360">
        <f>IF(Table13[[#This Row],[Funeral Cover Amount]]=0,0,Table2[[#This Row],[Funeral Premium]])</f>
        <v>0</v>
      </c>
      <c r="U417" s="360">
        <f>IF(AND(Table13[[#This Row],[Life Cover Amount]]="",Table13[[#This Row],[Funeral Cover Amount]]=""),0,onboarding_calcs!AA417)</f>
        <v>0</v>
      </c>
      <c r="V417" s="111"/>
      <c r="W417" s="111"/>
      <c r="X417" s="333"/>
      <c r="Y417" s="110"/>
      <c r="Z417" s="113"/>
      <c r="AA417" s="425"/>
      <c r="AB417" s="425"/>
      <c r="AC417" s="113"/>
      <c r="AD417" s="110"/>
      <c r="AE417" s="110"/>
      <c r="AF417" s="110"/>
      <c r="AG417" s="110"/>
      <c r="AH417" s="110"/>
      <c r="AI417" s="113"/>
      <c r="AJ417" s="110"/>
      <c r="AK417" s="110"/>
      <c r="AL417" s="110"/>
      <c r="AM417" s="110"/>
      <c r="AN417" s="110"/>
      <c r="AO417" s="113"/>
      <c r="AP417" s="113"/>
      <c r="AQ417" s="113"/>
      <c r="AR417" s="110"/>
      <c r="AS417" s="113"/>
      <c r="AT417" s="113"/>
      <c r="AU417" s="112"/>
      <c r="AV417" s="338"/>
      <c r="AW417" s="110"/>
      <c r="AX417" s="110"/>
      <c r="AY417" s="113"/>
      <c r="AZ417" s="113"/>
      <c r="BA417" s="113"/>
      <c r="BB417" s="113"/>
      <c r="BC417" s="113"/>
      <c r="BD417" s="113"/>
      <c r="BF41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18" spans="1:58" x14ac:dyDescent="0.3">
      <c r="A418" s="422"/>
      <c r="B418" s="376"/>
      <c r="C418" s="110"/>
      <c r="D418" s="110"/>
      <c r="E418" s="340"/>
      <c r="F418" s="330"/>
      <c r="G418" s="113"/>
      <c r="H418" s="332"/>
      <c r="I418" s="113"/>
      <c r="J418" s="332"/>
      <c r="K418" s="110"/>
      <c r="L418" s="110"/>
      <c r="M418" s="110"/>
      <c r="N418" s="110"/>
      <c r="O418" s="111"/>
      <c r="P418" s="424" t="str">
        <f>IF(OR(Table13[[#This Row],[Annual Increase Option]]="No increase",Table13[[#This Row],[Annual Increase Option]]=""),"",_xlfn.XLOOKUP(MONTH(Table13[[#This Row],[Commencement Date]]),Lookups!$I$19:$I$30,Lookups!$J$19:$J$30,0))</f>
        <v/>
      </c>
      <c r="Q418" s="340"/>
      <c r="R418" s="340"/>
      <c r="S418" s="360">
        <f>IF(Table13[[#This Row],[Life Cover Amount]]="",0,Table2[[#This Row],[Life Premium]])</f>
        <v>0</v>
      </c>
      <c r="T418" s="360">
        <f>IF(Table13[[#This Row],[Funeral Cover Amount]]=0,0,Table2[[#This Row],[Funeral Premium]])</f>
        <v>0</v>
      </c>
      <c r="U418" s="360">
        <f>IF(AND(Table13[[#This Row],[Life Cover Amount]]="",Table13[[#This Row],[Funeral Cover Amount]]=""),0,onboarding_calcs!AA418)</f>
        <v>0</v>
      </c>
      <c r="V418" s="111"/>
      <c r="W418" s="111"/>
      <c r="X418" s="333"/>
      <c r="Y418" s="110"/>
      <c r="Z418" s="113"/>
      <c r="AA418" s="425"/>
      <c r="AB418" s="425"/>
      <c r="AC418" s="113"/>
      <c r="AD418" s="110"/>
      <c r="AE418" s="110"/>
      <c r="AF418" s="110"/>
      <c r="AG418" s="110"/>
      <c r="AH418" s="110"/>
      <c r="AI418" s="113"/>
      <c r="AJ418" s="110"/>
      <c r="AK418" s="110"/>
      <c r="AL418" s="110"/>
      <c r="AM418" s="110"/>
      <c r="AN418" s="110"/>
      <c r="AO418" s="113"/>
      <c r="AP418" s="113"/>
      <c r="AQ418" s="113"/>
      <c r="AR418" s="110"/>
      <c r="AS418" s="113"/>
      <c r="AT418" s="113"/>
      <c r="AU418" s="112"/>
      <c r="AV418" s="338"/>
      <c r="AW418" s="110"/>
      <c r="AX418" s="110"/>
      <c r="AY418" s="113"/>
      <c r="AZ418" s="113"/>
      <c r="BA418" s="113"/>
      <c r="BB418" s="113"/>
      <c r="BC418" s="113"/>
      <c r="BD418" s="113"/>
      <c r="BF41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19" spans="1:58" x14ac:dyDescent="0.3">
      <c r="A419" s="422"/>
      <c r="B419" s="376"/>
      <c r="C419" s="110"/>
      <c r="D419" s="110"/>
      <c r="E419" s="340"/>
      <c r="F419" s="330"/>
      <c r="G419" s="113"/>
      <c r="H419" s="332"/>
      <c r="I419" s="113"/>
      <c r="J419" s="332"/>
      <c r="K419" s="110"/>
      <c r="L419" s="110"/>
      <c r="M419" s="110"/>
      <c r="N419" s="110"/>
      <c r="O419" s="111"/>
      <c r="P419" s="424" t="str">
        <f>IF(OR(Table13[[#This Row],[Annual Increase Option]]="No increase",Table13[[#This Row],[Annual Increase Option]]=""),"",_xlfn.XLOOKUP(MONTH(Table13[[#This Row],[Commencement Date]]),Lookups!$I$19:$I$30,Lookups!$J$19:$J$30,0))</f>
        <v/>
      </c>
      <c r="Q419" s="340"/>
      <c r="R419" s="340"/>
      <c r="S419" s="360">
        <f>IF(Table13[[#This Row],[Life Cover Amount]]="",0,Table2[[#This Row],[Life Premium]])</f>
        <v>0</v>
      </c>
      <c r="T419" s="360">
        <f>IF(Table13[[#This Row],[Funeral Cover Amount]]=0,0,Table2[[#This Row],[Funeral Premium]])</f>
        <v>0</v>
      </c>
      <c r="U419" s="360">
        <f>IF(AND(Table13[[#This Row],[Life Cover Amount]]="",Table13[[#This Row],[Funeral Cover Amount]]=""),0,onboarding_calcs!AA419)</f>
        <v>0</v>
      </c>
      <c r="V419" s="111"/>
      <c r="W419" s="111"/>
      <c r="X419" s="333"/>
      <c r="Y419" s="110"/>
      <c r="Z419" s="113"/>
      <c r="AA419" s="425"/>
      <c r="AB419" s="425"/>
      <c r="AC419" s="113"/>
      <c r="AD419" s="110"/>
      <c r="AE419" s="110"/>
      <c r="AF419" s="110"/>
      <c r="AG419" s="110"/>
      <c r="AH419" s="110"/>
      <c r="AI419" s="113"/>
      <c r="AJ419" s="110"/>
      <c r="AK419" s="110"/>
      <c r="AL419" s="110"/>
      <c r="AM419" s="110"/>
      <c r="AN419" s="110"/>
      <c r="AO419" s="113"/>
      <c r="AP419" s="113"/>
      <c r="AQ419" s="113"/>
      <c r="AR419" s="110"/>
      <c r="AS419" s="113"/>
      <c r="AT419" s="113"/>
      <c r="AU419" s="112"/>
      <c r="AV419" s="338"/>
      <c r="AW419" s="110"/>
      <c r="AX419" s="110"/>
      <c r="AY419" s="113"/>
      <c r="AZ419" s="113"/>
      <c r="BA419" s="113"/>
      <c r="BB419" s="113"/>
      <c r="BC419" s="113"/>
      <c r="BD419" s="113"/>
      <c r="BF41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20" spans="1:58" x14ac:dyDescent="0.3">
      <c r="A420" s="422"/>
      <c r="B420" s="376"/>
      <c r="C420" s="110"/>
      <c r="D420" s="110"/>
      <c r="E420" s="340"/>
      <c r="F420" s="330"/>
      <c r="G420" s="113"/>
      <c r="H420" s="332"/>
      <c r="I420" s="113"/>
      <c r="J420" s="332"/>
      <c r="K420" s="110"/>
      <c r="L420" s="110"/>
      <c r="M420" s="110"/>
      <c r="N420" s="110"/>
      <c r="O420" s="111"/>
      <c r="P420" s="424" t="str">
        <f>IF(OR(Table13[[#This Row],[Annual Increase Option]]="No increase",Table13[[#This Row],[Annual Increase Option]]=""),"",_xlfn.XLOOKUP(MONTH(Table13[[#This Row],[Commencement Date]]),Lookups!$I$19:$I$30,Lookups!$J$19:$J$30,0))</f>
        <v/>
      </c>
      <c r="Q420" s="340"/>
      <c r="R420" s="340"/>
      <c r="S420" s="360">
        <f>IF(Table13[[#This Row],[Life Cover Amount]]="",0,Table2[[#This Row],[Life Premium]])</f>
        <v>0</v>
      </c>
      <c r="T420" s="360">
        <f>IF(Table13[[#This Row],[Funeral Cover Amount]]=0,0,Table2[[#This Row],[Funeral Premium]])</f>
        <v>0</v>
      </c>
      <c r="U420" s="360">
        <f>IF(AND(Table13[[#This Row],[Life Cover Amount]]="",Table13[[#This Row],[Funeral Cover Amount]]=""),0,onboarding_calcs!AA420)</f>
        <v>0</v>
      </c>
      <c r="V420" s="111"/>
      <c r="W420" s="111"/>
      <c r="X420" s="333"/>
      <c r="Y420" s="110"/>
      <c r="Z420" s="113"/>
      <c r="AA420" s="425"/>
      <c r="AB420" s="425"/>
      <c r="AC420" s="113"/>
      <c r="AD420" s="110"/>
      <c r="AE420" s="110"/>
      <c r="AF420" s="110"/>
      <c r="AG420" s="110"/>
      <c r="AH420" s="110"/>
      <c r="AI420" s="113"/>
      <c r="AJ420" s="110"/>
      <c r="AK420" s="110"/>
      <c r="AL420" s="110"/>
      <c r="AM420" s="110"/>
      <c r="AN420" s="110"/>
      <c r="AO420" s="113"/>
      <c r="AP420" s="113"/>
      <c r="AQ420" s="113"/>
      <c r="AR420" s="110"/>
      <c r="AS420" s="113"/>
      <c r="AT420" s="113"/>
      <c r="AU420" s="112"/>
      <c r="AV420" s="338"/>
      <c r="AW420" s="110"/>
      <c r="AX420" s="110"/>
      <c r="AY420" s="113"/>
      <c r="AZ420" s="113"/>
      <c r="BA420" s="113"/>
      <c r="BB420" s="113"/>
      <c r="BC420" s="113"/>
      <c r="BD420" s="113"/>
      <c r="BF42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21" spans="1:58" x14ac:dyDescent="0.3">
      <c r="A421" s="422"/>
      <c r="B421" s="376"/>
      <c r="C421" s="110"/>
      <c r="D421" s="110"/>
      <c r="E421" s="340"/>
      <c r="F421" s="330"/>
      <c r="G421" s="113"/>
      <c r="H421" s="332"/>
      <c r="I421" s="113"/>
      <c r="J421" s="332"/>
      <c r="K421" s="110"/>
      <c r="L421" s="110"/>
      <c r="M421" s="110"/>
      <c r="N421" s="110"/>
      <c r="O421" s="111"/>
      <c r="P421" s="424" t="str">
        <f>IF(OR(Table13[[#This Row],[Annual Increase Option]]="No increase",Table13[[#This Row],[Annual Increase Option]]=""),"",_xlfn.XLOOKUP(MONTH(Table13[[#This Row],[Commencement Date]]),Lookups!$I$19:$I$30,Lookups!$J$19:$J$30,0))</f>
        <v/>
      </c>
      <c r="Q421" s="340"/>
      <c r="R421" s="340"/>
      <c r="S421" s="360">
        <f>IF(Table13[[#This Row],[Life Cover Amount]]="",0,Table2[[#This Row],[Life Premium]])</f>
        <v>0</v>
      </c>
      <c r="T421" s="360">
        <f>IF(Table13[[#This Row],[Funeral Cover Amount]]=0,0,Table2[[#This Row],[Funeral Premium]])</f>
        <v>0</v>
      </c>
      <c r="U421" s="360">
        <f>IF(AND(Table13[[#This Row],[Life Cover Amount]]="",Table13[[#This Row],[Funeral Cover Amount]]=""),0,onboarding_calcs!AA421)</f>
        <v>0</v>
      </c>
      <c r="V421" s="111"/>
      <c r="W421" s="111"/>
      <c r="X421" s="333"/>
      <c r="Y421" s="110"/>
      <c r="Z421" s="113"/>
      <c r="AA421" s="425"/>
      <c r="AB421" s="425"/>
      <c r="AC421" s="113"/>
      <c r="AD421" s="110"/>
      <c r="AE421" s="110"/>
      <c r="AF421" s="110"/>
      <c r="AG421" s="110"/>
      <c r="AH421" s="110"/>
      <c r="AI421" s="113"/>
      <c r="AJ421" s="110"/>
      <c r="AK421" s="110"/>
      <c r="AL421" s="110"/>
      <c r="AM421" s="110"/>
      <c r="AN421" s="110"/>
      <c r="AO421" s="113"/>
      <c r="AP421" s="113"/>
      <c r="AQ421" s="113"/>
      <c r="AR421" s="110"/>
      <c r="AS421" s="113"/>
      <c r="AT421" s="113"/>
      <c r="AU421" s="112"/>
      <c r="AV421" s="338"/>
      <c r="AW421" s="110"/>
      <c r="AX421" s="110"/>
      <c r="AY421" s="113"/>
      <c r="AZ421" s="113"/>
      <c r="BA421" s="113"/>
      <c r="BB421" s="113"/>
      <c r="BC421" s="113"/>
      <c r="BD421" s="113"/>
      <c r="BF42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22" spans="1:58" x14ac:dyDescent="0.3">
      <c r="A422" s="422"/>
      <c r="B422" s="376"/>
      <c r="C422" s="110"/>
      <c r="D422" s="110"/>
      <c r="E422" s="340"/>
      <c r="F422" s="330"/>
      <c r="G422" s="113"/>
      <c r="H422" s="332"/>
      <c r="I422" s="113"/>
      <c r="J422" s="332"/>
      <c r="K422" s="110"/>
      <c r="L422" s="110"/>
      <c r="M422" s="110"/>
      <c r="N422" s="110"/>
      <c r="O422" s="111"/>
      <c r="P422" s="424" t="str">
        <f>IF(OR(Table13[[#This Row],[Annual Increase Option]]="No increase",Table13[[#This Row],[Annual Increase Option]]=""),"",_xlfn.XLOOKUP(MONTH(Table13[[#This Row],[Commencement Date]]),Lookups!$I$19:$I$30,Lookups!$J$19:$J$30,0))</f>
        <v/>
      </c>
      <c r="Q422" s="340"/>
      <c r="R422" s="340"/>
      <c r="S422" s="360">
        <f>IF(Table13[[#This Row],[Life Cover Amount]]="",0,Table2[[#This Row],[Life Premium]])</f>
        <v>0</v>
      </c>
      <c r="T422" s="360">
        <f>IF(Table13[[#This Row],[Funeral Cover Amount]]=0,0,Table2[[#This Row],[Funeral Premium]])</f>
        <v>0</v>
      </c>
      <c r="U422" s="360">
        <f>IF(AND(Table13[[#This Row],[Life Cover Amount]]="",Table13[[#This Row],[Funeral Cover Amount]]=""),0,onboarding_calcs!AA422)</f>
        <v>0</v>
      </c>
      <c r="V422" s="111"/>
      <c r="W422" s="111"/>
      <c r="X422" s="333"/>
      <c r="Y422" s="110"/>
      <c r="Z422" s="113"/>
      <c r="AA422" s="425"/>
      <c r="AB422" s="425"/>
      <c r="AC422" s="113"/>
      <c r="AD422" s="110"/>
      <c r="AE422" s="110"/>
      <c r="AF422" s="110"/>
      <c r="AG422" s="110"/>
      <c r="AH422" s="110"/>
      <c r="AI422" s="113"/>
      <c r="AJ422" s="110"/>
      <c r="AK422" s="110"/>
      <c r="AL422" s="110"/>
      <c r="AM422" s="110"/>
      <c r="AN422" s="110"/>
      <c r="AO422" s="113"/>
      <c r="AP422" s="113"/>
      <c r="AQ422" s="113"/>
      <c r="AR422" s="110"/>
      <c r="AS422" s="113"/>
      <c r="AT422" s="113"/>
      <c r="AU422" s="112"/>
      <c r="AV422" s="338"/>
      <c r="AW422" s="110"/>
      <c r="AX422" s="110"/>
      <c r="AY422" s="113"/>
      <c r="AZ422" s="113"/>
      <c r="BA422" s="113"/>
      <c r="BB422" s="113"/>
      <c r="BC422" s="113"/>
      <c r="BD422" s="113"/>
      <c r="BF42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23" spans="1:58" x14ac:dyDescent="0.3">
      <c r="A423" s="422"/>
      <c r="B423" s="376"/>
      <c r="C423" s="110"/>
      <c r="D423" s="110"/>
      <c r="E423" s="340"/>
      <c r="F423" s="330"/>
      <c r="G423" s="113"/>
      <c r="H423" s="332"/>
      <c r="I423" s="113"/>
      <c r="J423" s="332"/>
      <c r="K423" s="110"/>
      <c r="L423" s="110"/>
      <c r="M423" s="110"/>
      <c r="N423" s="110"/>
      <c r="O423" s="111"/>
      <c r="P423" s="424" t="str">
        <f>IF(OR(Table13[[#This Row],[Annual Increase Option]]="No increase",Table13[[#This Row],[Annual Increase Option]]=""),"",_xlfn.XLOOKUP(MONTH(Table13[[#This Row],[Commencement Date]]),Lookups!$I$19:$I$30,Lookups!$J$19:$J$30,0))</f>
        <v/>
      </c>
      <c r="Q423" s="340"/>
      <c r="R423" s="340"/>
      <c r="S423" s="360">
        <f>IF(Table13[[#This Row],[Life Cover Amount]]="",0,Table2[[#This Row],[Life Premium]])</f>
        <v>0</v>
      </c>
      <c r="T423" s="360">
        <f>IF(Table13[[#This Row],[Funeral Cover Amount]]=0,0,Table2[[#This Row],[Funeral Premium]])</f>
        <v>0</v>
      </c>
      <c r="U423" s="360">
        <f>IF(AND(Table13[[#This Row],[Life Cover Amount]]="",Table13[[#This Row],[Funeral Cover Amount]]=""),0,onboarding_calcs!AA423)</f>
        <v>0</v>
      </c>
      <c r="V423" s="111"/>
      <c r="W423" s="111"/>
      <c r="X423" s="333"/>
      <c r="Y423" s="110"/>
      <c r="Z423" s="113"/>
      <c r="AA423" s="425"/>
      <c r="AB423" s="425"/>
      <c r="AC423" s="113"/>
      <c r="AD423" s="110"/>
      <c r="AE423" s="110"/>
      <c r="AF423" s="110"/>
      <c r="AG423" s="110"/>
      <c r="AH423" s="110"/>
      <c r="AI423" s="113"/>
      <c r="AJ423" s="110"/>
      <c r="AK423" s="110"/>
      <c r="AL423" s="110"/>
      <c r="AM423" s="110"/>
      <c r="AN423" s="110"/>
      <c r="AO423" s="113"/>
      <c r="AP423" s="113"/>
      <c r="AQ423" s="113"/>
      <c r="AR423" s="110"/>
      <c r="AS423" s="113"/>
      <c r="AT423" s="113"/>
      <c r="AU423" s="112"/>
      <c r="AV423" s="338"/>
      <c r="AW423" s="110"/>
      <c r="AX423" s="110"/>
      <c r="AY423" s="113"/>
      <c r="AZ423" s="113"/>
      <c r="BA423" s="113"/>
      <c r="BB423" s="113"/>
      <c r="BC423" s="113"/>
      <c r="BD423" s="113"/>
      <c r="BF42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24" spans="1:58" x14ac:dyDescent="0.3">
      <c r="A424" s="422"/>
      <c r="B424" s="376"/>
      <c r="C424" s="110"/>
      <c r="D424" s="110"/>
      <c r="E424" s="340"/>
      <c r="F424" s="330"/>
      <c r="G424" s="113"/>
      <c r="H424" s="332"/>
      <c r="I424" s="113"/>
      <c r="J424" s="332"/>
      <c r="K424" s="110"/>
      <c r="L424" s="110"/>
      <c r="M424" s="110"/>
      <c r="N424" s="110"/>
      <c r="O424" s="111"/>
      <c r="P424" s="424" t="str">
        <f>IF(OR(Table13[[#This Row],[Annual Increase Option]]="No increase",Table13[[#This Row],[Annual Increase Option]]=""),"",_xlfn.XLOOKUP(MONTH(Table13[[#This Row],[Commencement Date]]),Lookups!$I$19:$I$30,Lookups!$J$19:$J$30,0))</f>
        <v/>
      </c>
      <c r="Q424" s="340"/>
      <c r="R424" s="340"/>
      <c r="S424" s="360">
        <f>IF(Table13[[#This Row],[Life Cover Amount]]="",0,Table2[[#This Row],[Life Premium]])</f>
        <v>0</v>
      </c>
      <c r="T424" s="360">
        <f>IF(Table13[[#This Row],[Funeral Cover Amount]]=0,0,Table2[[#This Row],[Funeral Premium]])</f>
        <v>0</v>
      </c>
      <c r="U424" s="360">
        <f>IF(AND(Table13[[#This Row],[Life Cover Amount]]="",Table13[[#This Row],[Funeral Cover Amount]]=""),0,onboarding_calcs!AA424)</f>
        <v>0</v>
      </c>
      <c r="V424" s="111"/>
      <c r="W424" s="111"/>
      <c r="X424" s="333"/>
      <c r="Y424" s="110"/>
      <c r="Z424" s="113"/>
      <c r="AA424" s="425"/>
      <c r="AB424" s="425"/>
      <c r="AC424" s="113"/>
      <c r="AD424" s="110"/>
      <c r="AE424" s="110"/>
      <c r="AF424" s="110"/>
      <c r="AG424" s="110"/>
      <c r="AH424" s="110"/>
      <c r="AI424" s="113"/>
      <c r="AJ424" s="110"/>
      <c r="AK424" s="110"/>
      <c r="AL424" s="110"/>
      <c r="AM424" s="110"/>
      <c r="AN424" s="110"/>
      <c r="AO424" s="113"/>
      <c r="AP424" s="113"/>
      <c r="AQ424" s="113"/>
      <c r="AR424" s="110"/>
      <c r="AS424" s="113"/>
      <c r="AT424" s="113"/>
      <c r="AU424" s="112"/>
      <c r="AV424" s="338"/>
      <c r="AW424" s="110"/>
      <c r="AX424" s="110"/>
      <c r="AY424" s="113"/>
      <c r="AZ424" s="113"/>
      <c r="BA424" s="113"/>
      <c r="BB424" s="113"/>
      <c r="BC424" s="113"/>
      <c r="BD424" s="113"/>
      <c r="BF42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25" spans="1:58" x14ac:dyDescent="0.3">
      <c r="A425" s="422"/>
      <c r="B425" s="376"/>
      <c r="C425" s="110"/>
      <c r="D425" s="110"/>
      <c r="E425" s="340"/>
      <c r="F425" s="330"/>
      <c r="G425" s="113"/>
      <c r="H425" s="332"/>
      <c r="I425" s="113"/>
      <c r="J425" s="332"/>
      <c r="K425" s="110"/>
      <c r="L425" s="110"/>
      <c r="M425" s="110"/>
      <c r="N425" s="110"/>
      <c r="O425" s="111"/>
      <c r="P425" s="424" t="str">
        <f>IF(OR(Table13[[#This Row],[Annual Increase Option]]="No increase",Table13[[#This Row],[Annual Increase Option]]=""),"",_xlfn.XLOOKUP(MONTH(Table13[[#This Row],[Commencement Date]]),Lookups!$I$19:$I$30,Lookups!$J$19:$J$30,0))</f>
        <v/>
      </c>
      <c r="Q425" s="340"/>
      <c r="R425" s="340"/>
      <c r="S425" s="360">
        <f>IF(Table13[[#This Row],[Life Cover Amount]]="",0,Table2[[#This Row],[Life Premium]])</f>
        <v>0</v>
      </c>
      <c r="T425" s="360">
        <f>IF(Table13[[#This Row],[Funeral Cover Amount]]=0,0,Table2[[#This Row],[Funeral Premium]])</f>
        <v>0</v>
      </c>
      <c r="U425" s="360">
        <f>IF(AND(Table13[[#This Row],[Life Cover Amount]]="",Table13[[#This Row],[Funeral Cover Amount]]=""),0,onboarding_calcs!AA425)</f>
        <v>0</v>
      </c>
      <c r="V425" s="111"/>
      <c r="W425" s="111"/>
      <c r="X425" s="333"/>
      <c r="Y425" s="110"/>
      <c r="Z425" s="113"/>
      <c r="AA425" s="425"/>
      <c r="AB425" s="425"/>
      <c r="AC425" s="113"/>
      <c r="AD425" s="110"/>
      <c r="AE425" s="110"/>
      <c r="AF425" s="110"/>
      <c r="AG425" s="110"/>
      <c r="AH425" s="110"/>
      <c r="AI425" s="113"/>
      <c r="AJ425" s="110"/>
      <c r="AK425" s="110"/>
      <c r="AL425" s="110"/>
      <c r="AM425" s="110"/>
      <c r="AN425" s="110"/>
      <c r="AO425" s="113"/>
      <c r="AP425" s="113"/>
      <c r="AQ425" s="113"/>
      <c r="AR425" s="110"/>
      <c r="AS425" s="113"/>
      <c r="AT425" s="113"/>
      <c r="AU425" s="112"/>
      <c r="AV425" s="338"/>
      <c r="AW425" s="110"/>
      <c r="AX425" s="110"/>
      <c r="AY425" s="113"/>
      <c r="AZ425" s="113"/>
      <c r="BA425" s="113"/>
      <c r="BB425" s="113"/>
      <c r="BC425" s="113"/>
      <c r="BD425" s="113"/>
      <c r="BF42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26" spans="1:58" x14ac:dyDescent="0.3">
      <c r="A426" s="422"/>
      <c r="B426" s="376"/>
      <c r="C426" s="110"/>
      <c r="D426" s="110"/>
      <c r="E426" s="340"/>
      <c r="F426" s="330"/>
      <c r="G426" s="113"/>
      <c r="H426" s="332"/>
      <c r="I426" s="113"/>
      <c r="J426" s="332"/>
      <c r="K426" s="110"/>
      <c r="L426" s="110"/>
      <c r="M426" s="110"/>
      <c r="N426" s="110"/>
      <c r="O426" s="111"/>
      <c r="P426" s="424" t="str">
        <f>IF(OR(Table13[[#This Row],[Annual Increase Option]]="No increase",Table13[[#This Row],[Annual Increase Option]]=""),"",_xlfn.XLOOKUP(MONTH(Table13[[#This Row],[Commencement Date]]),Lookups!$I$19:$I$30,Lookups!$J$19:$J$30,0))</f>
        <v/>
      </c>
      <c r="Q426" s="340"/>
      <c r="R426" s="340"/>
      <c r="S426" s="360">
        <f>IF(Table13[[#This Row],[Life Cover Amount]]="",0,Table2[[#This Row],[Life Premium]])</f>
        <v>0</v>
      </c>
      <c r="T426" s="360">
        <f>IF(Table13[[#This Row],[Funeral Cover Amount]]=0,0,Table2[[#This Row],[Funeral Premium]])</f>
        <v>0</v>
      </c>
      <c r="U426" s="360">
        <f>IF(AND(Table13[[#This Row],[Life Cover Amount]]="",Table13[[#This Row],[Funeral Cover Amount]]=""),0,onboarding_calcs!AA426)</f>
        <v>0</v>
      </c>
      <c r="V426" s="111"/>
      <c r="W426" s="111"/>
      <c r="X426" s="333"/>
      <c r="Y426" s="110"/>
      <c r="Z426" s="113"/>
      <c r="AA426" s="425"/>
      <c r="AB426" s="425"/>
      <c r="AC426" s="113"/>
      <c r="AD426" s="110"/>
      <c r="AE426" s="110"/>
      <c r="AF426" s="110"/>
      <c r="AG426" s="110"/>
      <c r="AH426" s="110"/>
      <c r="AI426" s="113"/>
      <c r="AJ426" s="110"/>
      <c r="AK426" s="110"/>
      <c r="AL426" s="110"/>
      <c r="AM426" s="110"/>
      <c r="AN426" s="110"/>
      <c r="AO426" s="113"/>
      <c r="AP426" s="113"/>
      <c r="AQ426" s="113"/>
      <c r="AR426" s="110"/>
      <c r="AS426" s="113"/>
      <c r="AT426" s="113"/>
      <c r="AU426" s="112"/>
      <c r="AV426" s="338"/>
      <c r="AW426" s="110"/>
      <c r="AX426" s="110"/>
      <c r="AY426" s="113"/>
      <c r="AZ426" s="113"/>
      <c r="BA426" s="113"/>
      <c r="BB426" s="113"/>
      <c r="BC426" s="113"/>
      <c r="BD426" s="113"/>
      <c r="BF42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27" spans="1:58" x14ac:dyDescent="0.3">
      <c r="A427" s="422"/>
      <c r="B427" s="376"/>
      <c r="C427" s="110"/>
      <c r="D427" s="110"/>
      <c r="E427" s="340"/>
      <c r="F427" s="330"/>
      <c r="G427" s="113"/>
      <c r="H427" s="332"/>
      <c r="I427" s="113"/>
      <c r="J427" s="332"/>
      <c r="K427" s="110"/>
      <c r="L427" s="110"/>
      <c r="M427" s="110"/>
      <c r="N427" s="110"/>
      <c r="O427" s="111"/>
      <c r="P427" s="424" t="str">
        <f>IF(OR(Table13[[#This Row],[Annual Increase Option]]="No increase",Table13[[#This Row],[Annual Increase Option]]=""),"",_xlfn.XLOOKUP(MONTH(Table13[[#This Row],[Commencement Date]]),Lookups!$I$19:$I$30,Lookups!$J$19:$J$30,0))</f>
        <v/>
      </c>
      <c r="Q427" s="340"/>
      <c r="R427" s="340"/>
      <c r="S427" s="360">
        <f>IF(Table13[[#This Row],[Life Cover Amount]]="",0,Table2[[#This Row],[Life Premium]])</f>
        <v>0</v>
      </c>
      <c r="T427" s="360">
        <f>IF(Table13[[#This Row],[Funeral Cover Amount]]=0,0,Table2[[#This Row],[Funeral Premium]])</f>
        <v>0</v>
      </c>
      <c r="U427" s="360">
        <f>IF(AND(Table13[[#This Row],[Life Cover Amount]]="",Table13[[#This Row],[Funeral Cover Amount]]=""),0,onboarding_calcs!AA427)</f>
        <v>0</v>
      </c>
      <c r="V427" s="111"/>
      <c r="W427" s="111"/>
      <c r="X427" s="333"/>
      <c r="Y427" s="110"/>
      <c r="Z427" s="113"/>
      <c r="AA427" s="425"/>
      <c r="AB427" s="425"/>
      <c r="AC427" s="113"/>
      <c r="AD427" s="110"/>
      <c r="AE427" s="110"/>
      <c r="AF427" s="110"/>
      <c r="AG427" s="110"/>
      <c r="AH427" s="110"/>
      <c r="AI427" s="113"/>
      <c r="AJ427" s="110"/>
      <c r="AK427" s="110"/>
      <c r="AL427" s="110"/>
      <c r="AM427" s="110"/>
      <c r="AN427" s="110"/>
      <c r="AO427" s="113"/>
      <c r="AP427" s="113"/>
      <c r="AQ427" s="113"/>
      <c r="AR427" s="110"/>
      <c r="AS427" s="113"/>
      <c r="AT427" s="113"/>
      <c r="AU427" s="112"/>
      <c r="AV427" s="338"/>
      <c r="AW427" s="110"/>
      <c r="AX427" s="110"/>
      <c r="AY427" s="113"/>
      <c r="AZ427" s="113"/>
      <c r="BA427" s="113"/>
      <c r="BB427" s="113"/>
      <c r="BC427" s="113"/>
      <c r="BD427" s="113"/>
      <c r="BF42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28" spans="1:58" x14ac:dyDescent="0.3">
      <c r="A428" s="422"/>
      <c r="B428" s="376"/>
      <c r="C428" s="110"/>
      <c r="D428" s="110"/>
      <c r="E428" s="340"/>
      <c r="F428" s="330"/>
      <c r="G428" s="113"/>
      <c r="H428" s="332"/>
      <c r="I428" s="113"/>
      <c r="J428" s="332"/>
      <c r="K428" s="110"/>
      <c r="L428" s="110"/>
      <c r="M428" s="110"/>
      <c r="N428" s="110"/>
      <c r="O428" s="111"/>
      <c r="P428" s="424" t="str">
        <f>IF(OR(Table13[[#This Row],[Annual Increase Option]]="No increase",Table13[[#This Row],[Annual Increase Option]]=""),"",_xlfn.XLOOKUP(MONTH(Table13[[#This Row],[Commencement Date]]),Lookups!$I$19:$I$30,Lookups!$J$19:$J$30,0))</f>
        <v/>
      </c>
      <c r="Q428" s="340"/>
      <c r="R428" s="340"/>
      <c r="S428" s="360">
        <f>IF(Table13[[#This Row],[Life Cover Amount]]="",0,Table2[[#This Row],[Life Premium]])</f>
        <v>0</v>
      </c>
      <c r="T428" s="360">
        <f>IF(Table13[[#This Row],[Funeral Cover Amount]]=0,0,Table2[[#This Row],[Funeral Premium]])</f>
        <v>0</v>
      </c>
      <c r="U428" s="360">
        <f>IF(AND(Table13[[#This Row],[Life Cover Amount]]="",Table13[[#This Row],[Funeral Cover Amount]]=""),0,onboarding_calcs!AA428)</f>
        <v>0</v>
      </c>
      <c r="V428" s="111"/>
      <c r="W428" s="111"/>
      <c r="X428" s="333"/>
      <c r="Y428" s="110"/>
      <c r="Z428" s="113"/>
      <c r="AA428" s="425"/>
      <c r="AB428" s="425"/>
      <c r="AC428" s="113"/>
      <c r="AD428" s="110"/>
      <c r="AE428" s="110"/>
      <c r="AF428" s="110"/>
      <c r="AG428" s="110"/>
      <c r="AH428" s="110"/>
      <c r="AI428" s="113"/>
      <c r="AJ428" s="110"/>
      <c r="AK428" s="110"/>
      <c r="AL428" s="110"/>
      <c r="AM428" s="110"/>
      <c r="AN428" s="110"/>
      <c r="AO428" s="113"/>
      <c r="AP428" s="113"/>
      <c r="AQ428" s="113"/>
      <c r="AR428" s="110"/>
      <c r="AS428" s="113"/>
      <c r="AT428" s="113"/>
      <c r="AU428" s="112"/>
      <c r="AV428" s="338"/>
      <c r="AW428" s="110"/>
      <c r="AX428" s="110"/>
      <c r="AY428" s="113"/>
      <c r="AZ428" s="113"/>
      <c r="BA428" s="113"/>
      <c r="BB428" s="113"/>
      <c r="BC428" s="113"/>
      <c r="BD428" s="113"/>
      <c r="BF42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29" spans="1:58" x14ac:dyDescent="0.3">
      <c r="A429" s="422"/>
      <c r="B429" s="376"/>
      <c r="C429" s="110"/>
      <c r="D429" s="110"/>
      <c r="E429" s="340"/>
      <c r="F429" s="330"/>
      <c r="G429" s="113"/>
      <c r="H429" s="332"/>
      <c r="I429" s="113"/>
      <c r="J429" s="332"/>
      <c r="K429" s="110"/>
      <c r="L429" s="110"/>
      <c r="M429" s="110"/>
      <c r="N429" s="110"/>
      <c r="O429" s="111"/>
      <c r="P429" s="424" t="str">
        <f>IF(OR(Table13[[#This Row],[Annual Increase Option]]="No increase",Table13[[#This Row],[Annual Increase Option]]=""),"",_xlfn.XLOOKUP(MONTH(Table13[[#This Row],[Commencement Date]]),Lookups!$I$19:$I$30,Lookups!$J$19:$J$30,0))</f>
        <v/>
      </c>
      <c r="Q429" s="340"/>
      <c r="R429" s="340"/>
      <c r="S429" s="360">
        <f>IF(Table13[[#This Row],[Life Cover Amount]]="",0,Table2[[#This Row],[Life Premium]])</f>
        <v>0</v>
      </c>
      <c r="T429" s="360">
        <f>IF(Table13[[#This Row],[Funeral Cover Amount]]=0,0,Table2[[#This Row],[Funeral Premium]])</f>
        <v>0</v>
      </c>
      <c r="U429" s="360">
        <f>IF(AND(Table13[[#This Row],[Life Cover Amount]]="",Table13[[#This Row],[Funeral Cover Amount]]=""),0,onboarding_calcs!AA429)</f>
        <v>0</v>
      </c>
      <c r="V429" s="111"/>
      <c r="W429" s="111"/>
      <c r="X429" s="333"/>
      <c r="Y429" s="110"/>
      <c r="Z429" s="113"/>
      <c r="AA429" s="425"/>
      <c r="AB429" s="425"/>
      <c r="AC429" s="113"/>
      <c r="AD429" s="110"/>
      <c r="AE429" s="110"/>
      <c r="AF429" s="110"/>
      <c r="AG429" s="110"/>
      <c r="AH429" s="110"/>
      <c r="AI429" s="113"/>
      <c r="AJ429" s="110"/>
      <c r="AK429" s="110"/>
      <c r="AL429" s="110"/>
      <c r="AM429" s="110"/>
      <c r="AN429" s="110"/>
      <c r="AO429" s="113"/>
      <c r="AP429" s="113"/>
      <c r="AQ429" s="113"/>
      <c r="AR429" s="110"/>
      <c r="AS429" s="113"/>
      <c r="AT429" s="113"/>
      <c r="AU429" s="112"/>
      <c r="AV429" s="338"/>
      <c r="AW429" s="110"/>
      <c r="AX429" s="110"/>
      <c r="AY429" s="113"/>
      <c r="AZ429" s="113"/>
      <c r="BA429" s="113"/>
      <c r="BB429" s="113"/>
      <c r="BC429" s="113"/>
      <c r="BD429" s="113"/>
      <c r="BF42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30" spans="1:58" x14ac:dyDescent="0.3">
      <c r="A430" s="422"/>
      <c r="B430" s="376"/>
      <c r="C430" s="110"/>
      <c r="D430" s="110"/>
      <c r="E430" s="340"/>
      <c r="F430" s="330"/>
      <c r="G430" s="113"/>
      <c r="H430" s="332"/>
      <c r="I430" s="113"/>
      <c r="J430" s="332"/>
      <c r="K430" s="110"/>
      <c r="L430" s="110"/>
      <c r="M430" s="110"/>
      <c r="N430" s="110"/>
      <c r="O430" s="111"/>
      <c r="P430" s="424" t="str">
        <f>IF(OR(Table13[[#This Row],[Annual Increase Option]]="No increase",Table13[[#This Row],[Annual Increase Option]]=""),"",_xlfn.XLOOKUP(MONTH(Table13[[#This Row],[Commencement Date]]),Lookups!$I$19:$I$30,Lookups!$J$19:$J$30,0))</f>
        <v/>
      </c>
      <c r="Q430" s="340"/>
      <c r="R430" s="340"/>
      <c r="S430" s="360">
        <f>IF(Table13[[#This Row],[Life Cover Amount]]="",0,Table2[[#This Row],[Life Premium]])</f>
        <v>0</v>
      </c>
      <c r="T430" s="360">
        <f>IF(Table13[[#This Row],[Funeral Cover Amount]]=0,0,Table2[[#This Row],[Funeral Premium]])</f>
        <v>0</v>
      </c>
      <c r="U430" s="360">
        <f>IF(AND(Table13[[#This Row],[Life Cover Amount]]="",Table13[[#This Row],[Funeral Cover Amount]]=""),0,onboarding_calcs!AA430)</f>
        <v>0</v>
      </c>
      <c r="V430" s="111"/>
      <c r="W430" s="111"/>
      <c r="X430" s="333"/>
      <c r="Y430" s="110"/>
      <c r="Z430" s="113"/>
      <c r="AA430" s="425"/>
      <c r="AB430" s="425"/>
      <c r="AC430" s="113"/>
      <c r="AD430" s="110"/>
      <c r="AE430" s="110"/>
      <c r="AF430" s="110"/>
      <c r="AG430" s="110"/>
      <c r="AH430" s="110"/>
      <c r="AI430" s="113"/>
      <c r="AJ430" s="110"/>
      <c r="AK430" s="110"/>
      <c r="AL430" s="110"/>
      <c r="AM430" s="110"/>
      <c r="AN430" s="110"/>
      <c r="AO430" s="113"/>
      <c r="AP430" s="113"/>
      <c r="AQ430" s="113"/>
      <c r="AR430" s="110"/>
      <c r="AS430" s="113"/>
      <c r="AT430" s="113"/>
      <c r="AU430" s="112"/>
      <c r="AV430" s="338"/>
      <c r="AW430" s="110"/>
      <c r="AX430" s="110"/>
      <c r="AY430" s="113"/>
      <c r="AZ430" s="113"/>
      <c r="BA430" s="113"/>
      <c r="BB430" s="113"/>
      <c r="BC430" s="113"/>
      <c r="BD430" s="113"/>
      <c r="BF43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31" spans="1:58" x14ac:dyDescent="0.3">
      <c r="A431" s="422"/>
      <c r="B431" s="376"/>
      <c r="C431" s="110"/>
      <c r="D431" s="110"/>
      <c r="E431" s="340"/>
      <c r="F431" s="330"/>
      <c r="G431" s="113"/>
      <c r="H431" s="332"/>
      <c r="I431" s="113"/>
      <c r="J431" s="332"/>
      <c r="K431" s="110"/>
      <c r="L431" s="110"/>
      <c r="M431" s="110"/>
      <c r="N431" s="110"/>
      <c r="O431" s="111"/>
      <c r="P431" s="424" t="str">
        <f>IF(OR(Table13[[#This Row],[Annual Increase Option]]="No increase",Table13[[#This Row],[Annual Increase Option]]=""),"",_xlfn.XLOOKUP(MONTH(Table13[[#This Row],[Commencement Date]]),Lookups!$I$19:$I$30,Lookups!$J$19:$J$30,0))</f>
        <v/>
      </c>
      <c r="Q431" s="340"/>
      <c r="R431" s="340"/>
      <c r="S431" s="360">
        <f>IF(Table13[[#This Row],[Life Cover Amount]]="",0,Table2[[#This Row],[Life Premium]])</f>
        <v>0</v>
      </c>
      <c r="T431" s="360">
        <f>IF(Table13[[#This Row],[Funeral Cover Amount]]=0,0,Table2[[#This Row],[Funeral Premium]])</f>
        <v>0</v>
      </c>
      <c r="U431" s="360">
        <f>IF(AND(Table13[[#This Row],[Life Cover Amount]]="",Table13[[#This Row],[Funeral Cover Amount]]=""),0,onboarding_calcs!AA431)</f>
        <v>0</v>
      </c>
      <c r="V431" s="111"/>
      <c r="W431" s="111"/>
      <c r="X431" s="333"/>
      <c r="Y431" s="110"/>
      <c r="Z431" s="113"/>
      <c r="AA431" s="425"/>
      <c r="AB431" s="425"/>
      <c r="AC431" s="113"/>
      <c r="AD431" s="110"/>
      <c r="AE431" s="110"/>
      <c r="AF431" s="110"/>
      <c r="AG431" s="110"/>
      <c r="AH431" s="110"/>
      <c r="AI431" s="113"/>
      <c r="AJ431" s="110"/>
      <c r="AK431" s="110"/>
      <c r="AL431" s="110"/>
      <c r="AM431" s="110"/>
      <c r="AN431" s="110"/>
      <c r="AO431" s="113"/>
      <c r="AP431" s="113"/>
      <c r="AQ431" s="113"/>
      <c r="AR431" s="110"/>
      <c r="AS431" s="113"/>
      <c r="AT431" s="113"/>
      <c r="AU431" s="112"/>
      <c r="AV431" s="338"/>
      <c r="AW431" s="110"/>
      <c r="AX431" s="110"/>
      <c r="AY431" s="113"/>
      <c r="AZ431" s="113"/>
      <c r="BA431" s="113"/>
      <c r="BB431" s="113"/>
      <c r="BC431" s="113"/>
      <c r="BD431" s="113"/>
      <c r="BF43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32" spans="1:58" x14ac:dyDescent="0.3">
      <c r="A432" s="422"/>
      <c r="B432" s="376"/>
      <c r="C432" s="110"/>
      <c r="D432" s="110"/>
      <c r="E432" s="340"/>
      <c r="F432" s="330"/>
      <c r="G432" s="113"/>
      <c r="H432" s="332"/>
      <c r="I432" s="113"/>
      <c r="J432" s="332"/>
      <c r="K432" s="110"/>
      <c r="L432" s="110"/>
      <c r="M432" s="110"/>
      <c r="N432" s="110"/>
      <c r="O432" s="111"/>
      <c r="P432" s="424" t="str">
        <f>IF(OR(Table13[[#This Row],[Annual Increase Option]]="No increase",Table13[[#This Row],[Annual Increase Option]]=""),"",_xlfn.XLOOKUP(MONTH(Table13[[#This Row],[Commencement Date]]),Lookups!$I$19:$I$30,Lookups!$J$19:$J$30,0))</f>
        <v/>
      </c>
      <c r="Q432" s="340"/>
      <c r="R432" s="340"/>
      <c r="S432" s="360">
        <f>IF(Table13[[#This Row],[Life Cover Amount]]="",0,Table2[[#This Row],[Life Premium]])</f>
        <v>0</v>
      </c>
      <c r="T432" s="360">
        <f>IF(Table13[[#This Row],[Funeral Cover Amount]]=0,0,Table2[[#This Row],[Funeral Premium]])</f>
        <v>0</v>
      </c>
      <c r="U432" s="360">
        <f>IF(AND(Table13[[#This Row],[Life Cover Amount]]="",Table13[[#This Row],[Funeral Cover Amount]]=""),0,onboarding_calcs!AA432)</f>
        <v>0</v>
      </c>
      <c r="V432" s="111"/>
      <c r="W432" s="111"/>
      <c r="X432" s="333"/>
      <c r="Y432" s="110"/>
      <c r="Z432" s="113"/>
      <c r="AA432" s="425"/>
      <c r="AB432" s="425"/>
      <c r="AC432" s="113"/>
      <c r="AD432" s="110"/>
      <c r="AE432" s="110"/>
      <c r="AF432" s="110"/>
      <c r="AG432" s="110"/>
      <c r="AH432" s="110"/>
      <c r="AI432" s="113"/>
      <c r="AJ432" s="110"/>
      <c r="AK432" s="110"/>
      <c r="AL432" s="110"/>
      <c r="AM432" s="110"/>
      <c r="AN432" s="110"/>
      <c r="AO432" s="113"/>
      <c r="AP432" s="113"/>
      <c r="AQ432" s="113"/>
      <c r="AR432" s="110"/>
      <c r="AS432" s="113"/>
      <c r="AT432" s="113"/>
      <c r="AU432" s="112"/>
      <c r="AV432" s="338"/>
      <c r="AW432" s="110"/>
      <c r="AX432" s="110"/>
      <c r="AY432" s="113"/>
      <c r="AZ432" s="113"/>
      <c r="BA432" s="113"/>
      <c r="BB432" s="113"/>
      <c r="BC432" s="113"/>
      <c r="BD432" s="113"/>
      <c r="BF43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33" spans="1:58" x14ac:dyDescent="0.3">
      <c r="A433" s="422"/>
      <c r="B433" s="376"/>
      <c r="C433" s="110"/>
      <c r="D433" s="110"/>
      <c r="E433" s="340"/>
      <c r="F433" s="330"/>
      <c r="G433" s="113"/>
      <c r="H433" s="332"/>
      <c r="I433" s="113"/>
      <c r="J433" s="332"/>
      <c r="K433" s="110"/>
      <c r="L433" s="110"/>
      <c r="M433" s="110"/>
      <c r="N433" s="110"/>
      <c r="O433" s="111"/>
      <c r="P433" s="424" t="str">
        <f>IF(OR(Table13[[#This Row],[Annual Increase Option]]="No increase",Table13[[#This Row],[Annual Increase Option]]=""),"",_xlfn.XLOOKUP(MONTH(Table13[[#This Row],[Commencement Date]]),Lookups!$I$19:$I$30,Lookups!$J$19:$J$30,0))</f>
        <v/>
      </c>
      <c r="Q433" s="340"/>
      <c r="R433" s="340"/>
      <c r="S433" s="360">
        <f>IF(Table13[[#This Row],[Life Cover Amount]]="",0,Table2[[#This Row],[Life Premium]])</f>
        <v>0</v>
      </c>
      <c r="T433" s="360">
        <f>IF(Table13[[#This Row],[Funeral Cover Amount]]=0,0,Table2[[#This Row],[Funeral Premium]])</f>
        <v>0</v>
      </c>
      <c r="U433" s="360">
        <f>IF(AND(Table13[[#This Row],[Life Cover Amount]]="",Table13[[#This Row],[Funeral Cover Amount]]=""),0,onboarding_calcs!AA433)</f>
        <v>0</v>
      </c>
      <c r="V433" s="111"/>
      <c r="W433" s="111"/>
      <c r="X433" s="333"/>
      <c r="Y433" s="110"/>
      <c r="Z433" s="113"/>
      <c r="AA433" s="425"/>
      <c r="AB433" s="425"/>
      <c r="AC433" s="113"/>
      <c r="AD433" s="110"/>
      <c r="AE433" s="110"/>
      <c r="AF433" s="110"/>
      <c r="AG433" s="110"/>
      <c r="AH433" s="110"/>
      <c r="AI433" s="113"/>
      <c r="AJ433" s="110"/>
      <c r="AK433" s="110"/>
      <c r="AL433" s="110"/>
      <c r="AM433" s="110"/>
      <c r="AN433" s="110"/>
      <c r="AO433" s="113"/>
      <c r="AP433" s="113"/>
      <c r="AQ433" s="113"/>
      <c r="AR433" s="110"/>
      <c r="AS433" s="113"/>
      <c r="AT433" s="113"/>
      <c r="AU433" s="112"/>
      <c r="AV433" s="338"/>
      <c r="AW433" s="110"/>
      <c r="AX433" s="110"/>
      <c r="AY433" s="113"/>
      <c r="AZ433" s="113"/>
      <c r="BA433" s="113"/>
      <c r="BB433" s="113"/>
      <c r="BC433" s="113"/>
      <c r="BD433" s="113"/>
      <c r="BF43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34" spans="1:58" x14ac:dyDescent="0.3">
      <c r="A434" s="422"/>
      <c r="B434" s="376"/>
      <c r="C434" s="110"/>
      <c r="D434" s="110"/>
      <c r="E434" s="340"/>
      <c r="F434" s="330"/>
      <c r="G434" s="113"/>
      <c r="H434" s="332"/>
      <c r="I434" s="113"/>
      <c r="J434" s="332"/>
      <c r="K434" s="110"/>
      <c r="L434" s="110"/>
      <c r="M434" s="110"/>
      <c r="N434" s="110"/>
      <c r="O434" s="111"/>
      <c r="P434" s="424" t="str">
        <f>IF(OR(Table13[[#This Row],[Annual Increase Option]]="No increase",Table13[[#This Row],[Annual Increase Option]]=""),"",_xlfn.XLOOKUP(MONTH(Table13[[#This Row],[Commencement Date]]),Lookups!$I$19:$I$30,Lookups!$J$19:$J$30,0))</f>
        <v/>
      </c>
      <c r="Q434" s="340"/>
      <c r="R434" s="340"/>
      <c r="S434" s="360">
        <f>IF(Table13[[#This Row],[Life Cover Amount]]="",0,Table2[[#This Row],[Life Premium]])</f>
        <v>0</v>
      </c>
      <c r="T434" s="360">
        <f>IF(Table13[[#This Row],[Funeral Cover Amount]]=0,0,Table2[[#This Row],[Funeral Premium]])</f>
        <v>0</v>
      </c>
      <c r="U434" s="360">
        <f>IF(AND(Table13[[#This Row],[Life Cover Amount]]="",Table13[[#This Row],[Funeral Cover Amount]]=""),0,onboarding_calcs!AA434)</f>
        <v>0</v>
      </c>
      <c r="V434" s="111"/>
      <c r="W434" s="111"/>
      <c r="X434" s="333"/>
      <c r="Y434" s="110"/>
      <c r="Z434" s="113"/>
      <c r="AA434" s="425"/>
      <c r="AB434" s="425"/>
      <c r="AC434" s="113"/>
      <c r="AD434" s="110"/>
      <c r="AE434" s="110"/>
      <c r="AF434" s="110"/>
      <c r="AG434" s="110"/>
      <c r="AH434" s="110"/>
      <c r="AI434" s="113"/>
      <c r="AJ434" s="110"/>
      <c r="AK434" s="110"/>
      <c r="AL434" s="110"/>
      <c r="AM434" s="110"/>
      <c r="AN434" s="110"/>
      <c r="AO434" s="113"/>
      <c r="AP434" s="113"/>
      <c r="AQ434" s="113"/>
      <c r="AR434" s="110"/>
      <c r="AS434" s="113"/>
      <c r="AT434" s="113"/>
      <c r="AU434" s="112"/>
      <c r="AV434" s="338"/>
      <c r="AW434" s="110"/>
      <c r="AX434" s="110"/>
      <c r="AY434" s="113"/>
      <c r="AZ434" s="113"/>
      <c r="BA434" s="113"/>
      <c r="BB434" s="113"/>
      <c r="BC434" s="113"/>
      <c r="BD434" s="113"/>
      <c r="BF43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35" spans="1:58" x14ac:dyDescent="0.3">
      <c r="A435" s="422"/>
      <c r="B435" s="376"/>
      <c r="C435" s="110"/>
      <c r="D435" s="110"/>
      <c r="E435" s="340"/>
      <c r="F435" s="330"/>
      <c r="G435" s="113"/>
      <c r="H435" s="332"/>
      <c r="I435" s="113"/>
      <c r="J435" s="332"/>
      <c r="K435" s="110"/>
      <c r="L435" s="110"/>
      <c r="M435" s="110"/>
      <c r="N435" s="110"/>
      <c r="O435" s="111"/>
      <c r="P435" s="424" t="str">
        <f>IF(OR(Table13[[#This Row],[Annual Increase Option]]="No increase",Table13[[#This Row],[Annual Increase Option]]=""),"",_xlfn.XLOOKUP(MONTH(Table13[[#This Row],[Commencement Date]]),Lookups!$I$19:$I$30,Lookups!$J$19:$J$30,0))</f>
        <v/>
      </c>
      <c r="Q435" s="340"/>
      <c r="R435" s="340"/>
      <c r="S435" s="360">
        <f>IF(Table13[[#This Row],[Life Cover Amount]]="",0,Table2[[#This Row],[Life Premium]])</f>
        <v>0</v>
      </c>
      <c r="T435" s="360">
        <f>IF(Table13[[#This Row],[Funeral Cover Amount]]=0,0,Table2[[#This Row],[Funeral Premium]])</f>
        <v>0</v>
      </c>
      <c r="U435" s="360">
        <f>IF(AND(Table13[[#This Row],[Life Cover Amount]]="",Table13[[#This Row],[Funeral Cover Amount]]=""),0,onboarding_calcs!AA435)</f>
        <v>0</v>
      </c>
      <c r="V435" s="111"/>
      <c r="W435" s="111"/>
      <c r="X435" s="333"/>
      <c r="Y435" s="110"/>
      <c r="Z435" s="113"/>
      <c r="AA435" s="425"/>
      <c r="AB435" s="425"/>
      <c r="AC435" s="113"/>
      <c r="AD435" s="110"/>
      <c r="AE435" s="110"/>
      <c r="AF435" s="110"/>
      <c r="AG435" s="110"/>
      <c r="AH435" s="110"/>
      <c r="AI435" s="113"/>
      <c r="AJ435" s="110"/>
      <c r="AK435" s="110"/>
      <c r="AL435" s="110"/>
      <c r="AM435" s="110"/>
      <c r="AN435" s="110"/>
      <c r="AO435" s="113"/>
      <c r="AP435" s="113"/>
      <c r="AQ435" s="113"/>
      <c r="AR435" s="110"/>
      <c r="AS435" s="113"/>
      <c r="AT435" s="113"/>
      <c r="AU435" s="112"/>
      <c r="AV435" s="338"/>
      <c r="AW435" s="110"/>
      <c r="AX435" s="110"/>
      <c r="AY435" s="113"/>
      <c r="AZ435" s="113"/>
      <c r="BA435" s="113"/>
      <c r="BB435" s="113"/>
      <c r="BC435" s="113"/>
      <c r="BD435" s="113"/>
      <c r="BF43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36" spans="1:58" x14ac:dyDescent="0.3">
      <c r="A436" s="422"/>
      <c r="B436" s="376"/>
      <c r="C436" s="110"/>
      <c r="D436" s="110"/>
      <c r="E436" s="340"/>
      <c r="F436" s="330"/>
      <c r="G436" s="113"/>
      <c r="H436" s="332"/>
      <c r="I436" s="113"/>
      <c r="J436" s="332"/>
      <c r="K436" s="110"/>
      <c r="L436" s="110"/>
      <c r="M436" s="110"/>
      <c r="N436" s="110"/>
      <c r="O436" s="111"/>
      <c r="P436" s="424" t="str">
        <f>IF(OR(Table13[[#This Row],[Annual Increase Option]]="No increase",Table13[[#This Row],[Annual Increase Option]]=""),"",_xlfn.XLOOKUP(MONTH(Table13[[#This Row],[Commencement Date]]),Lookups!$I$19:$I$30,Lookups!$J$19:$J$30,0))</f>
        <v/>
      </c>
      <c r="Q436" s="340"/>
      <c r="R436" s="340"/>
      <c r="S436" s="360">
        <f>IF(Table13[[#This Row],[Life Cover Amount]]="",0,Table2[[#This Row],[Life Premium]])</f>
        <v>0</v>
      </c>
      <c r="T436" s="360">
        <f>IF(Table13[[#This Row],[Funeral Cover Amount]]=0,0,Table2[[#This Row],[Funeral Premium]])</f>
        <v>0</v>
      </c>
      <c r="U436" s="360">
        <f>IF(AND(Table13[[#This Row],[Life Cover Amount]]="",Table13[[#This Row],[Funeral Cover Amount]]=""),0,onboarding_calcs!AA436)</f>
        <v>0</v>
      </c>
      <c r="V436" s="111"/>
      <c r="W436" s="111"/>
      <c r="X436" s="333"/>
      <c r="Y436" s="110"/>
      <c r="Z436" s="113"/>
      <c r="AA436" s="425"/>
      <c r="AB436" s="425"/>
      <c r="AC436" s="113"/>
      <c r="AD436" s="110"/>
      <c r="AE436" s="110"/>
      <c r="AF436" s="110"/>
      <c r="AG436" s="110"/>
      <c r="AH436" s="110"/>
      <c r="AI436" s="113"/>
      <c r="AJ436" s="110"/>
      <c r="AK436" s="110"/>
      <c r="AL436" s="110"/>
      <c r="AM436" s="110"/>
      <c r="AN436" s="110"/>
      <c r="AO436" s="113"/>
      <c r="AP436" s="113"/>
      <c r="AQ436" s="113"/>
      <c r="AR436" s="110"/>
      <c r="AS436" s="113"/>
      <c r="AT436" s="113"/>
      <c r="AU436" s="112"/>
      <c r="AV436" s="338"/>
      <c r="AW436" s="110"/>
      <c r="AX436" s="110"/>
      <c r="AY436" s="113"/>
      <c r="AZ436" s="113"/>
      <c r="BA436" s="113"/>
      <c r="BB436" s="113"/>
      <c r="BC436" s="113"/>
      <c r="BD436" s="113"/>
      <c r="BF43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37" spans="1:58" x14ac:dyDescent="0.3">
      <c r="A437" s="422"/>
      <c r="B437" s="376"/>
      <c r="C437" s="110"/>
      <c r="D437" s="110"/>
      <c r="E437" s="340"/>
      <c r="F437" s="330"/>
      <c r="G437" s="113"/>
      <c r="H437" s="332"/>
      <c r="I437" s="113"/>
      <c r="J437" s="332"/>
      <c r="K437" s="110"/>
      <c r="L437" s="110"/>
      <c r="M437" s="110"/>
      <c r="N437" s="110"/>
      <c r="O437" s="111"/>
      <c r="P437" s="424" t="str">
        <f>IF(OR(Table13[[#This Row],[Annual Increase Option]]="No increase",Table13[[#This Row],[Annual Increase Option]]=""),"",_xlfn.XLOOKUP(MONTH(Table13[[#This Row],[Commencement Date]]),Lookups!$I$19:$I$30,Lookups!$J$19:$J$30,0))</f>
        <v/>
      </c>
      <c r="Q437" s="340"/>
      <c r="R437" s="340"/>
      <c r="S437" s="360">
        <f>IF(Table13[[#This Row],[Life Cover Amount]]="",0,Table2[[#This Row],[Life Premium]])</f>
        <v>0</v>
      </c>
      <c r="T437" s="360">
        <f>IF(Table13[[#This Row],[Funeral Cover Amount]]=0,0,Table2[[#This Row],[Funeral Premium]])</f>
        <v>0</v>
      </c>
      <c r="U437" s="360">
        <f>IF(AND(Table13[[#This Row],[Life Cover Amount]]="",Table13[[#This Row],[Funeral Cover Amount]]=""),0,onboarding_calcs!AA437)</f>
        <v>0</v>
      </c>
      <c r="V437" s="111"/>
      <c r="W437" s="111"/>
      <c r="X437" s="333"/>
      <c r="Y437" s="110"/>
      <c r="Z437" s="113"/>
      <c r="AA437" s="425"/>
      <c r="AB437" s="425"/>
      <c r="AC437" s="113"/>
      <c r="AD437" s="110"/>
      <c r="AE437" s="110"/>
      <c r="AF437" s="110"/>
      <c r="AG437" s="110"/>
      <c r="AH437" s="110"/>
      <c r="AI437" s="113"/>
      <c r="AJ437" s="110"/>
      <c r="AK437" s="110"/>
      <c r="AL437" s="110"/>
      <c r="AM437" s="110"/>
      <c r="AN437" s="110"/>
      <c r="AO437" s="113"/>
      <c r="AP437" s="113"/>
      <c r="AQ437" s="113"/>
      <c r="AR437" s="110"/>
      <c r="AS437" s="113"/>
      <c r="AT437" s="113"/>
      <c r="AU437" s="112"/>
      <c r="AV437" s="338"/>
      <c r="AW437" s="110"/>
      <c r="AX437" s="110"/>
      <c r="AY437" s="113"/>
      <c r="AZ437" s="113"/>
      <c r="BA437" s="113"/>
      <c r="BB437" s="113"/>
      <c r="BC437" s="113"/>
      <c r="BD437" s="113"/>
      <c r="BF43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38" spans="1:58" x14ac:dyDescent="0.3">
      <c r="A438" s="422"/>
      <c r="B438" s="376"/>
      <c r="C438" s="110"/>
      <c r="D438" s="110"/>
      <c r="E438" s="340"/>
      <c r="F438" s="330"/>
      <c r="G438" s="113"/>
      <c r="H438" s="332"/>
      <c r="I438" s="113"/>
      <c r="J438" s="332"/>
      <c r="K438" s="110"/>
      <c r="L438" s="110"/>
      <c r="M438" s="110"/>
      <c r="N438" s="110"/>
      <c r="O438" s="111"/>
      <c r="P438" s="424" t="str">
        <f>IF(OR(Table13[[#This Row],[Annual Increase Option]]="No increase",Table13[[#This Row],[Annual Increase Option]]=""),"",_xlfn.XLOOKUP(MONTH(Table13[[#This Row],[Commencement Date]]),Lookups!$I$19:$I$30,Lookups!$J$19:$J$30,0))</f>
        <v/>
      </c>
      <c r="Q438" s="340"/>
      <c r="R438" s="340"/>
      <c r="S438" s="360">
        <f>IF(Table13[[#This Row],[Life Cover Amount]]="",0,Table2[[#This Row],[Life Premium]])</f>
        <v>0</v>
      </c>
      <c r="T438" s="360">
        <f>IF(Table13[[#This Row],[Funeral Cover Amount]]=0,0,Table2[[#This Row],[Funeral Premium]])</f>
        <v>0</v>
      </c>
      <c r="U438" s="360">
        <f>IF(AND(Table13[[#This Row],[Life Cover Amount]]="",Table13[[#This Row],[Funeral Cover Amount]]=""),0,onboarding_calcs!AA438)</f>
        <v>0</v>
      </c>
      <c r="V438" s="111"/>
      <c r="W438" s="111"/>
      <c r="X438" s="333"/>
      <c r="Y438" s="110"/>
      <c r="Z438" s="113"/>
      <c r="AA438" s="425"/>
      <c r="AB438" s="425"/>
      <c r="AC438" s="113"/>
      <c r="AD438" s="110"/>
      <c r="AE438" s="110"/>
      <c r="AF438" s="110"/>
      <c r="AG438" s="110"/>
      <c r="AH438" s="110"/>
      <c r="AI438" s="113"/>
      <c r="AJ438" s="110"/>
      <c r="AK438" s="110"/>
      <c r="AL438" s="110"/>
      <c r="AM438" s="110"/>
      <c r="AN438" s="110"/>
      <c r="AO438" s="113"/>
      <c r="AP438" s="113"/>
      <c r="AQ438" s="113"/>
      <c r="AR438" s="110"/>
      <c r="AS438" s="113"/>
      <c r="AT438" s="113"/>
      <c r="AU438" s="112"/>
      <c r="AV438" s="338"/>
      <c r="AW438" s="110"/>
      <c r="AX438" s="110"/>
      <c r="AY438" s="113"/>
      <c r="AZ438" s="113"/>
      <c r="BA438" s="113"/>
      <c r="BB438" s="113"/>
      <c r="BC438" s="113"/>
      <c r="BD438" s="113"/>
      <c r="BF43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39" spans="1:58" x14ac:dyDescent="0.3">
      <c r="A439" s="422"/>
      <c r="B439" s="376"/>
      <c r="C439" s="110"/>
      <c r="D439" s="110"/>
      <c r="E439" s="340"/>
      <c r="F439" s="330"/>
      <c r="G439" s="113"/>
      <c r="H439" s="332"/>
      <c r="I439" s="113"/>
      <c r="J439" s="332"/>
      <c r="K439" s="110"/>
      <c r="L439" s="110"/>
      <c r="M439" s="110"/>
      <c r="N439" s="110"/>
      <c r="O439" s="111"/>
      <c r="P439" s="424" t="str">
        <f>IF(OR(Table13[[#This Row],[Annual Increase Option]]="No increase",Table13[[#This Row],[Annual Increase Option]]=""),"",_xlfn.XLOOKUP(MONTH(Table13[[#This Row],[Commencement Date]]),Lookups!$I$19:$I$30,Lookups!$J$19:$J$30,0))</f>
        <v/>
      </c>
      <c r="Q439" s="340"/>
      <c r="R439" s="340"/>
      <c r="S439" s="360">
        <f>IF(Table13[[#This Row],[Life Cover Amount]]="",0,Table2[[#This Row],[Life Premium]])</f>
        <v>0</v>
      </c>
      <c r="T439" s="360">
        <f>IF(Table13[[#This Row],[Funeral Cover Amount]]=0,0,Table2[[#This Row],[Funeral Premium]])</f>
        <v>0</v>
      </c>
      <c r="U439" s="360">
        <f>IF(AND(Table13[[#This Row],[Life Cover Amount]]="",Table13[[#This Row],[Funeral Cover Amount]]=""),0,onboarding_calcs!AA439)</f>
        <v>0</v>
      </c>
      <c r="V439" s="111"/>
      <c r="W439" s="111"/>
      <c r="X439" s="333"/>
      <c r="Y439" s="110"/>
      <c r="Z439" s="113"/>
      <c r="AA439" s="425"/>
      <c r="AB439" s="425"/>
      <c r="AC439" s="113"/>
      <c r="AD439" s="110"/>
      <c r="AE439" s="110"/>
      <c r="AF439" s="110"/>
      <c r="AG439" s="110"/>
      <c r="AH439" s="110"/>
      <c r="AI439" s="113"/>
      <c r="AJ439" s="110"/>
      <c r="AK439" s="110"/>
      <c r="AL439" s="110"/>
      <c r="AM439" s="110"/>
      <c r="AN439" s="110"/>
      <c r="AO439" s="113"/>
      <c r="AP439" s="113"/>
      <c r="AQ439" s="113"/>
      <c r="AR439" s="110"/>
      <c r="AS439" s="113"/>
      <c r="AT439" s="113"/>
      <c r="AU439" s="112"/>
      <c r="AV439" s="338"/>
      <c r="AW439" s="110"/>
      <c r="AX439" s="110"/>
      <c r="AY439" s="113"/>
      <c r="AZ439" s="113"/>
      <c r="BA439" s="113"/>
      <c r="BB439" s="113"/>
      <c r="BC439" s="113"/>
      <c r="BD439" s="113"/>
      <c r="BF43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40" spans="1:58" x14ac:dyDescent="0.3">
      <c r="A440" s="422"/>
      <c r="B440" s="376"/>
      <c r="C440" s="110"/>
      <c r="D440" s="110"/>
      <c r="E440" s="340"/>
      <c r="F440" s="330"/>
      <c r="G440" s="113"/>
      <c r="H440" s="332"/>
      <c r="I440" s="113"/>
      <c r="J440" s="332"/>
      <c r="K440" s="110"/>
      <c r="L440" s="110"/>
      <c r="M440" s="110"/>
      <c r="N440" s="110"/>
      <c r="O440" s="111"/>
      <c r="P440" s="424" t="str">
        <f>IF(OR(Table13[[#This Row],[Annual Increase Option]]="No increase",Table13[[#This Row],[Annual Increase Option]]=""),"",_xlfn.XLOOKUP(MONTH(Table13[[#This Row],[Commencement Date]]),Lookups!$I$19:$I$30,Lookups!$J$19:$J$30,0))</f>
        <v/>
      </c>
      <c r="Q440" s="340"/>
      <c r="R440" s="340"/>
      <c r="S440" s="360">
        <f>IF(Table13[[#This Row],[Life Cover Amount]]="",0,Table2[[#This Row],[Life Premium]])</f>
        <v>0</v>
      </c>
      <c r="T440" s="360">
        <f>IF(Table13[[#This Row],[Funeral Cover Amount]]=0,0,Table2[[#This Row],[Funeral Premium]])</f>
        <v>0</v>
      </c>
      <c r="U440" s="360">
        <f>IF(AND(Table13[[#This Row],[Life Cover Amount]]="",Table13[[#This Row],[Funeral Cover Amount]]=""),0,onboarding_calcs!AA440)</f>
        <v>0</v>
      </c>
      <c r="V440" s="111"/>
      <c r="W440" s="111"/>
      <c r="X440" s="333"/>
      <c r="Y440" s="110"/>
      <c r="Z440" s="113"/>
      <c r="AA440" s="425"/>
      <c r="AB440" s="425"/>
      <c r="AC440" s="113"/>
      <c r="AD440" s="110"/>
      <c r="AE440" s="110"/>
      <c r="AF440" s="110"/>
      <c r="AG440" s="110"/>
      <c r="AH440" s="110"/>
      <c r="AI440" s="113"/>
      <c r="AJ440" s="110"/>
      <c r="AK440" s="110"/>
      <c r="AL440" s="110"/>
      <c r="AM440" s="110"/>
      <c r="AN440" s="110"/>
      <c r="AO440" s="113"/>
      <c r="AP440" s="113"/>
      <c r="AQ440" s="113"/>
      <c r="AR440" s="110"/>
      <c r="AS440" s="113"/>
      <c r="AT440" s="113"/>
      <c r="AU440" s="112"/>
      <c r="AV440" s="338"/>
      <c r="AW440" s="110"/>
      <c r="AX440" s="110"/>
      <c r="AY440" s="113"/>
      <c r="AZ440" s="113"/>
      <c r="BA440" s="113"/>
      <c r="BB440" s="113"/>
      <c r="BC440" s="113"/>
      <c r="BD440" s="113"/>
      <c r="BF44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41" spans="1:58" x14ac:dyDescent="0.3">
      <c r="A441" s="422"/>
      <c r="B441" s="376"/>
      <c r="C441" s="110"/>
      <c r="D441" s="110"/>
      <c r="E441" s="340"/>
      <c r="F441" s="330"/>
      <c r="G441" s="113"/>
      <c r="H441" s="332"/>
      <c r="I441" s="113"/>
      <c r="J441" s="332"/>
      <c r="K441" s="110"/>
      <c r="L441" s="110"/>
      <c r="M441" s="110"/>
      <c r="N441" s="110"/>
      <c r="O441" s="111"/>
      <c r="P441" s="424" t="str">
        <f>IF(OR(Table13[[#This Row],[Annual Increase Option]]="No increase",Table13[[#This Row],[Annual Increase Option]]=""),"",_xlfn.XLOOKUP(MONTH(Table13[[#This Row],[Commencement Date]]),Lookups!$I$19:$I$30,Lookups!$J$19:$J$30,0))</f>
        <v/>
      </c>
      <c r="Q441" s="340"/>
      <c r="R441" s="340"/>
      <c r="S441" s="360">
        <f>IF(Table13[[#This Row],[Life Cover Amount]]="",0,Table2[[#This Row],[Life Premium]])</f>
        <v>0</v>
      </c>
      <c r="T441" s="360">
        <f>IF(Table13[[#This Row],[Funeral Cover Amount]]=0,0,Table2[[#This Row],[Funeral Premium]])</f>
        <v>0</v>
      </c>
      <c r="U441" s="360">
        <f>IF(AND(Table13[[#This Row],[Life Cover Amount]]="",Table13[[#This Row],[Funeral Cover Amount]]=""),0,onboarding_calcs!AA441)</f>
        <v>0</v>
      </c>
      <c r="V441" s="111"/>
      <c r="W441" s="111"/>
      <c r="X441" s="333"/>
      <c r="Y441" s="110"/>
      <c r="Z441" s="113"/>
      <c r="AA441" s="425"/>
      <c r="AB441" s="425"/>
      <c r="AC441" s="113"/>
      <c r="AD441" s="110"/>
      <c r="AE441" s="110"/>
      <c r="AF441" s="110"/>
      <c r="AG441" s="110"/>
      <c r="AH441" s="110"/>
      <c r="AI441" s="113"/>
      <c r="AJ441" s="110"/>
      <c r="AK441" s="110"/>
      <c r="AL441" s="110"/>
      <c r="AM441" s="110"/>
      <c r="AN441" s="110"/>
      <c r="AO441" s="113"/>
      <c r="AP441" s="113"/>
      <c r="AQ441" s="113"/>
      <c r="AR441" s="110"/>
      <c r="AS441" s="113"/>
      <c r="AT441" s="113"/>
      <c r="AU441" s="112"/>
      <c r="AV441" s="338"/>
      <c r="AW441" s="110"/>
      <c r="AX441" s="110"/>
      <c r="AY441" s="113"/>
      <c r="AZ441" s="113"/>
      <c r="BA441" s="113"/>
      <c r="BB441" s="113"/>
      <c r="BC441" s="113"/>
      <c r="BD441" s="113"/>
      <c r="BF44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42" spans="1:58" x14ac:dyDescent="0.3">
      <c r="A442" s="422"/>
      <c r="B442" s="376"/>
      <c r="C442" s="110"/>
      <c r="D442" s="110"/>
      <c r="E442" s="340"/>
      <c r="F442" s="330"/>
      <c r="G442" s="113"/>
      <c r="H442" s="332"/>
      <c r="I442" s="113"/>
      <c r="J442" s="332"/>
      <c r="K442" s="110"/>
      <c r="L442" s="110"/>
      <c r="M442" s="110"/>
      <c r="N442" s="110"/>
      <c r="O442" s="111"/>
      <c r="P442" s="424" t="str">
        <f>IF(OR(Table13[[#This Row],[Annual Increase Option]]="No increase",Table13[[#This Row],[Annual Increase Option]]=""),"",_xlfn.XLOOKUP(MONTH(Table13[[#This Row],[Commencement Date]]),Lookups!$I$19:$I$30,Lookups!$J$19:$J$30,0))</f>
        <v/>
      </c>
      <c r="Q442" s="340"/>
      <c r="R442" s="340"/>
      <c r="S442" s="360">
        <f>IF(Table13[[#This Row],[Life Cover Amount]]="",0,Table2[[#This Row],[Life Premium]])</f>
        <v>0</v>
      </c>
      <c r="T442" s="360">
        <f>IF(Table13[[#This Row],[Funeral Cover Amount]]=0,0,Table2[[#This Row],[Funeral Premium]])</f>
        <v>0</v>
      </c>
      <c r="U442" s="360">
        <f>IF(AND(Table13[[#This Row],[Life Cover Amount]]="",Table13[[#This Row],[Funeral Cover Amount]]=""),0,onboarding_calcs!AA442)</f>
        <v>0</v>
      </c>
      <c r="V442" s="111"/>
      <c r="W442" s="111"/>
      <c r="X442" s="333"/>
      <c r="Y442" s="110"/>
      <c r="Z442" s="113"/>
      <c r="AA442" s="425"/>
      <c r="AB442" s="425"/>
      <c r="AC442" s="113"/>
      <c r="AD442" s="110"/>
      <c r="AE442" s="110"/>
      <c r="AF442" s="110"/>
      <c r="AG442" s="110"/>
      <c r="AH442" s="110"/>
      <c r="AI442" s="113"/>
      <c r="AJ442" s="110"/>
      <c r="AK442" s="110"/>
      <c r="AL442" s="110"/>
      <c r="AM442" s="110"/>
      <c r="AN442" s="110"/>
      <c r="AO442" s="113"/>
      <c r="AP442" s="113"/>
      <c r="AQ442" s="113"/>
      <c r="AR442" s="110"/>
      <c r="AS442" s="113"/>
      <c r="AT442" s="113"/>
      <c r="AU442" s="112"/>
      <c r="AV442" s="338"/>
      <c r="AW442" s="110"/>
      <c r="AX442" s="110"/>
      <c r="AY442" s="113"/>
      <c r="AZ442" s="113"/>
      <c r="BA442" s="113"/>
      <c r="BB442" s="113"/>
      <c r="BC442" s="113"/>
      <c r="BD442" s="113"/>
      <c r="BF44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43" spans="1:58" x14ac:dyDescent="0.3">
      <c r="A443" s="422"/>
      <c r="B443" s="376"/>
      <c r="C443" s="110"/>
      <c r="D443" s="110"/>
      <c r="E443" s="340"/>
      <c r="F443" s="330"/>
      <c r="G443" s="113"/>
      <c r="H443" s="332"/>
      <c r="I443" s="113"/>
      <c r="J443" s="332"/>
      <c r="K443" s="110"/>
      <c r="L443" s="110"/>
      <c r="M443" s="110"/>
      <c r="N443" s="110"/>
      <c r="O443" s="111"/>
      <c r="P443" s="424" t="str">
        <f>IF(OR(Table13[[#This Row],[Annual Increase Option]]="No increase",Table13[[#This Row],[Annual Increase Option]]=""),"",_xlfn.XLOOKUP(MONTH(Table13[[#This Row],[Commencement Date]]),Lookups!$I$19:$I$30,Lookups!$J$19:$J$30,0))</f>
        <v/>
      </c>
      <c r="Q443" s="340"/>
      <c r="R443" s="340"/>
      <c r="S443" s="360">
        <f>IF(Table13[[#This Row],[Life Cover Amount]]="",0,Table2[[#This Row],[Life Premium]])</f>
        <v>0</v>
      </c>
      <c r="T443" s="360">
        <f>IF(Table13[[#This Row],[Funeral Cover Amount]]=0,0,Table2[[#This Row],[Funeral Premium]])</f>
        <v>0</v>
      </c>
      <c r="U443" s="360">
        <f>IF(AND(Table13[[#This Row],[Life Cover Amount]]="",Table13[[#This Row],[Funeral Cover Amount]]=""),0,onboarding_calcs!AA443)</f>
        <v>0</v>
      </c>
      <c r="V443" s="111"/>
      <c r="W443" s="111"/>
      <c r="X443" s="333"/>
      <c r="Y443" s="110"/>
      <c r="Z443" s="113"/>
      <c r="AA443" s="425"/>
      <c r="AB443" s="425"/>
      <c r="AC443" s="113"/>
      <c r="AD443" s="110"/>
      <c r="AE443" s="110"/>
      <c r="AF443" s="110"/>
      <c r="AG443" s="110"/>
      <c r="AH443" s="110"/>
      <c r="AI443" s="113"/>
      <c r="AJ443" s="110"/>
      <c r="AK443" s="110"/>
      <c r="AL443" s="110"/>
      <c r="AM443" s="110"/>
      <c r="AN443" s="110"/>
      <c r="AO443" s="113"/>
      <c r="AP443" s="113"/>
      <c r="AQ443" s="113"/>
      <c r="AR443" s="110"/>
      <c r="AS443" s="113"/>
      <c r="AT443" s="113"/>
      <c r="AU443" s="112"/>
      <c r="AV443" s="338"/>
      <c r="AW443" s="110"/>
      <c r="AX443" s="110"/>
      <c r="AY443" s="113"/>
      <c r="AZ443" s="113"/>
      <c r="BA443" s="113"/>
      <c r="BB443" s="113"/>
      <c r="BC443" s="113"/>
      <c r="BD443" s="113"/>
      <c r="BF44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44" spans="1:58" x14ac:dyDescent="0.3">
      <c r="A444" s="422"/>
      <c r="B444" s="376"/>
      <c r="C444" s="110"/>
      <c r="D444" s="110"/>
      <c r="E444" s="340"/>
      <c r="F444" s="330"/>
      <c r="G444" s="113"/>
      <c r="H444" s="332"/>
      <c r="I444" s="113"/>
      <c r="J444" s="332"/>
      <c r="K444" s="110"/>
      <c r="L444" s="110"/>
      <c r="M444" s="110"/>
      <c r="N444" s="110"/>
      <c r="O444" s="111"/>
      <c r="P444" s="424" t="str">
        <f>IF(OR(Table13[[#This Row],[Annual Increase Option]]="No increase",Table13[[#This Row],[Annual Increase Option]]=""),"",_xlfn.XLOOKUP(MONTH(Table13[[#This Row],[Commencement Date]]),Lookups!$I$19:$I$30,Lookups!$J$19:$J$30,0))</f>
        <v/>
      </c>
      <c r="Q444" s="340"/>
      <c r="R444" s="340"/>
      <c r="S444" s="360">
        <f>IF(Table13[[#This Row],[Life Cover Amount]]="",0,Table2[[#This Row],[Life Premium]])</f>
        <v>0</v>
      </c>
      <c r="T444" s="360">
        <f>IF(Table13[[#This Row],[Funeral Cover Amount]]=0,0,Table2[[#This Row],[Funeral Premium]])</f>
        <v>0</v>
      </c>
      <c r="U444" s="360">
        <f>IF(AND(Table13[[#This Row],[Life Cover Amount]]="",Table13[[#This Row],[Funeral Cover Amount]]=""),0,onboarding_calcs!AA444)</f>
        <v>0</v>
      </c>
      <c r="V444" s="111"/>
      <c r="W444" s="111"/>
      <c r="X444" s="333"/>
      <c r="Y444" s="110"/>
      <c r="Z444" s="113"/>
      <c r="AA444" s="425"/>
      <c r="AB444" s="425"/>
      <c r="AC444" s="113"/>
      <c r="AD444" s="110"/>
      <c r="AE444" s="110"/>
      <c r="AF444" s="110"/>
      <c r="AG444" s="110"/>
      <c r="AH444" s="110"/>
      <c r="AI444" s="113"/>
      <c r="AJ444" s="110"/>
      <c r="AK444" s="110"/>
      <c r="AL444" s="110"/>
      <c r="AM444" s="110"/>
      <c r="AN444" s="110"/>
      <c r="AO444" s="113"/>
      <c r="AP444" s="113"/>
      <c r="AQ444" s="113"/>
      <c r="AR444" s="110"/>
      <c r="AS444" s="113"/>
      <c r="AT444" s="113"/>
      <c r="AU444" s="112"/>
      <c r="AV444" s="338"/>
      <c r="AW444" s="110"/>
      <c r="AX444" s="110"/>
      <c r="AY444" s="113"/>
      <c r="AZ444" s="113"/>
      <c r="BA444" s="113"/>
      <c r="BB444" s="113"/>
      <c r="BC444" s="113"/>
      <c r="BD444" s="113"/>
      <c r="BF44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45" spans="1:58" x14ac:dyDescent="0.3">
      <c r="A445" s="422"/>
      <c r="B445" s="376"/>
      <c r="C445" s="110"/>
      <c r="D445" s="110"/>
      <c r="E445" s="340"/>
      <c r="F445" s="330"/>
      <c r="G445" s="113"/>
      <c r="H445" s="332"/>
      <c r="I445" s="113"/>
      <c r="J445" s="332"/>
      <c r="K445" s="110"/>
      <c r="L445" s="110"/>
      <c r="M445" s="110"/>
      <c r="N445" s="110"/>
      <c r="O445" s="111"/>
      <c r="P445" s="424" t="str">
        <f>IF(OR(Table13[[#This Row],[Annual Increase Option]]="No increase",Table13[[#This Row],[Annual Increase Option]]=""),"",_xlfn.XLOOKUP(MONTH(Table13[[#This Row],[Commencement Date]]),Lookups!$I$19:$I$30,Lookups!$J$19:$J$30,0))</f>
        <v/>
      </c>
      <c r="Q445" s="340"/>
      <c r="R445" s="340"/>
      <c r="S445" s="360">
        <f>IF(Table13[[#This Row],[Life Cover Amount]]="",0,Table2[[#This Row],[Life Premium]])</f>
        <v>0</v>
      </c>
      <c r="T445" s="360">
        <f>IF(Table13[[#This Row],[Funeral Cover Amount]]=0,0,Table2[[#This Row],[Funeral Premium]])</f>
        <v>0</v>
      </c>
      <c r="U445" s="360">
        <f>IF(AND(Table13[[#This Row],[Life Cover Amount]]="",Table13[[#This Row],[Funeral Cover Amount]]=""),0,onboarding_calcs!AA445)</f>
        <v>0</v>
      </c>
      <c r="V445" s="111"/>
      <c r="W445" s="111"/>
      <c r="X445" s="333"/>
      <c r="Y445" s="110"/>
      <c r="Z445" s="113"/>
      <c r="AA445" s="425"/>
      <c r="AB445" s="425"/>
      <c r="AC445" s="113"/>
      <c r="AD445" s="110"/>
      <c r="AE445" s="110"/>
      <c r="AF445" s="110"/>
      <c r="AG445" s="110"/>
      <c r="AH445" s="110"/>
      <c r="AI445" s="113"/>
      <c r="AJ445" s="110"/>
      <c r="AK445" s="110"/>
      <c r="AL445" s="110"/>
      <c r="AM445" s="110"/>
      <c r="AN445" s="110"/>
      <c r="AO445" s="113"/>
      <c r="AP445" s="113"/>
      <c r="AQ445" s="113"/>
      <c r="AR445" s="110"/>
      <c r="AS445" s="113"/>
      <c r="AT445" s="113"/>
      <c r="AU445" s="112"/>
      <c r="AV445" s="338"/>
      <c r="AW445" s="110"/>
      <c r="AX445" s="110"/>
      <c r="AY445" s="113"/>
      <c r="AZ445" s="113"/>
      <c r="BA445" s="113"/>
      <c r="BB445" s="113"/>
      <c r="BC445" s="113"/>
      <c r="BD445" s="113"/>
      <c r="BF44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46" spans="1:58" x14ac:dyDescent="0.3">
      <c r="A446" s="422"/>
      <c r="B446" s="376"/>
      <c r="C446" s="110"/>
      <c r="D446" s="110"/>
      <c r="E446" s="340"/>
      <c r="F446" s="330"/>
      <c r="G446" s="113"/>
      <c r="H446" s="332"/>
      <c r="I446" s="113"/>
      <c r="J446" s="332"/>
      <c r="K446" s="110"/>
      <c r="L446" s="110"/>
      <c r="M446" s="110"/>
      <c r="N446" s="110"/>
      <c r="O446" s="111"/>
      <c r="P446" s="424" t="str">
        <f>IF(OR(Table13[[#This Row],[Annual Increase Option]]="No increase",Table13[[#This Row],[Annual Increase Option]]=""),"",_xlfn.XLOOKUP(MONTH(Table13[[#This Row],[Commencement Date]]),Lookups!$I$19:$I$30,Lookups!$J$19:$J$30,0))</f>
        <v/>
      </c>
      <c r="Q446" s="340"/>
      <c r="R446" s="340"/>
      <c r="S446" s="360">
        <f>IF(Table13[[#This Row],[Life Cover Amount]]="",0,Table2[[#This Row],[Life Premium]])</f>
        <v>0</v>
      </c>
      <c r="T446" s="360">
        <f>IF(Table13[[#This Row],[Funeral Cover Amount]]=0,0,Table2[[#This Row],[Funeral Premium]])</f>
        <v>0</v>
      </c>
      <c r="U446" s="360">
        <f>IF(AND(Table13[[#This Row],[Life Cover Amount]]="",Table13[[#This Row],[Funeral Cover Amount]]=""),0,onboarding_calcs!AA446)</f>
        <v>0</v>
      </c>
      <c r="V446" s="111"/>
      <c r="W446" s="111"/>
      <c r="X446" s="333"/>
      <c r="Y446" s="110"/>
      <c r="Z446" s="113"/>
      <c r="AA446" s="425"/>
      <c r="AB446" s="425"/>
      <c r="AC446" s="113"/>
      <c r="AD446" s="110"/>
      <c r="AE446" s="110"/>
      <c r="AF446" s="110"/>
      <c r="AG446" s="110"/>
      <c r="AH446" s="110"/>
      <c r="AI446" s="113"/>
      <c r="AJ446" s="110"/>
      <c r="AK446" s="110"/>
      <c r="AL446" s="110"/>
      <c r="AM446" s="110"/>
      <c r="AN446" s="110"/>
      <c r="AO446" s="113"/>
      <c r="AP446" s="113"/>
      <c r="AQ446" s="113"/>
      <c r="AR446" s="110"/>
      <c r="AS446" s="113"/>
      <c r="AT446" s="113"/>
      <c r="AU446" s="112"/>
      <c r="AV446" s="338"/>
      <c r="AW446" s="110"/>
      <c r="AX446" s="110"/>
      <c r="AY446" s="113"/>
      <c r="AZ446" s="113"/>
      <c r="BA446" s="113"/>
      <c r="BB446" s="113"/>
      <c r="BC446" s="113"/>
      <c r="BD446" s="113"/>
      <c r="BF44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47" spans="1:58" x14ac:dyDescent="0.3">
      <c r="A447" s="422"/>
      <c r="B447" s="376"/>
      <c r="C447" s="110"/>
      <c r="D447" s="110"/>
      <c r="E447" s="340"/>
      <c r="F447" s="330"/>
      <c r="G447" s="113"/>
      <c r="H447" s="332"/>
      <c r="I447" s="113"/>
      <c r="J447" s="332"/>
      <c r="K447" s="110"/>
      <c r="L447" s="110"/>
      <c r="M447" s="110"/>
      <c r="N447" s="110"/>
      <c r="O447" s="111"/>
      <c r="P447" s="424" t="str">
        <f>IF(OR(Table13[[#This Row],[Annual Increase Option]]="No increase",Table13[[#This Row],[Annual Increase Option]]=""),"",_xlfn.XLOOKUP(MONTH(Table13[[#This Row],[Commencement Date]]),Lookups!$I$19:$I$30,Lookups!$J$19:$J$30,0))</f>
        <v/>
      </c>
      <c r="Q447" s="340"/>
      <c r="R447" s="340"/>
      <c r="S447" s="360">
        <f>IF(Table13[[#This Row],[Life Cover Amount]]="",0,Table2[[#This Row],[Life Premium]])</f>
        <v>0</v>
      </c>
      <c r="T447" s="360">
        <f>IF(Table13[[#This Row],[Funeral Cover Amount]]=0,0,Table2[[#This Row],[Funeral Premium]])</f>
        <v>0</v>
      </c>
      <c r="U447" s="360">
        <f>IF(AND(Table13[[#This Row],[Life Cover Amount]]="",Table13[[#This Row],[Funeral Cover Amount]]=""),0,onboarding_calcs!AA447)</f>
        <v>0</v>
      </c>
      <c r="V447" s="111"/>
      <c r="W447" s="111"/>
      <c r="X447" s="333"/>
      <c r="Y447" s="110"/>
      <c r="Z447" s="113"/>
      <c r="AA447" s="425"/>
      <c r="AB447" s="425"/>
      <c r="AC447" s="113"/>
      <c r="AD447" s="110"/>
      <c r="AE447" s="110"/>
      <c r="AF447" s="110"/>
      <c r="AG447" s="110"/>
      <c r="AH447" s="110"/>
      <c r="AI447" s="113"/>
      <c r="AJ447" s="110"/>
      <c r="AK447" s="110"/>
      <c r="AL447" s="110"/>
      <c r="AM447" s="110"/>
      <c r="AN447" s="110"/>
      <c r="AO447" s="113"/>
      <c r="AP447" s="113"/>
      <c r="AQ447" s="113"/>
      <c r="AR447" s="110"/>
      <c r="AS447" s="113"/>
      <c r="AT447" s="113"/>
      <c r="AU447" s="112"/>
      <c r="AV447" s="338"/>
      <c r="AW447" s="110"/>
      <c r="AX447" s="110"/>
      <c r="AY447" s="113"/>
      <c r="AZ447" s="113"/>
      <c r="BA447" s="113"/>
      <c r="BB447" s="113"/>
      <c r="BC447" s="113"/>
      <c r="BD447" s="113"/>
      <c r="BF44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48" spans="1:58" x14ac:dyDescent="0.3">
      <c r="A448" s="422"/>
      <c r="B448" s="376"/>
      <c r="C448" s="110"/>
      <c r="D448" s="110"/>
      <c r="E448" s="340"/>
      <c r="F448" s="330"/>
      <c r="G448" s="113"/>
      <c r="H448" s="332"/>
      <c r="I448" s="113"/>
      <c r="J448" s="332"/>
      <c r="K448" s="110"/>
      <c r="L448" s="110"/>
      <c r="M448" s="110"/>
      <c r="N448" s="110"/>
      <c r="O448" s="111"/>
      <c r="P448" s="424" t="str">
        <f>IF(OR(Table13[[#This Row],[Annual Increase Option]]="No increase",Table13[[#This Row],[Annual Increase Option]]=""),"",_xlfn.XLOOKUP(MONTH(Table13[[#This Row],[Commencement Date]]),Lookups!$I$19:$I$30,Lookups!$J$19:$J$30,0))</f>
        <v/>
      </c>
      <c r="Q448" s="340"/>
      <c r="R448" s="340"/>
      <c r="S448" s="360">
        <f>IF(Table13[[#This Row],[Life Cover Amount]]="",0,Table2[[#This Row],[Life Premium]])</f>
        <v>0</v>
      </c>
      <c r="T448" s="360">
        <f>IF(Table13[[#This Row],[Funeral Cover Amount]]=0,0,Table2[[#This Row],[Funeral Premium]])</f>
        <v>0</v>
      </c>
      <c r="U448" s="360">
        <f>IF(AND(Table13[[#This Row],[Life Cover Amount]]="",Table13[[#This Row],[Funeral Cover Amount]]=""),0,onboarding_calcs!AA448)</f>
        <v>0</v>
      </c>
      <c r="V448" s="111"/>
      <c r="W448" s="111"/>
      <c r="X448" s="333"/>
      <c r="Y448" s="110"/>
      <c r="Z448" s="113"/>
      <c r="AA448" s="425"/>
      <c r="AB448" s="425"/>
      <c r="AC448" s="113"/>
      <c r="AD448" s="110"/>
      <c r="AE448" s="110"/>
      <c r="AF448" s="110"/>
      <c r="AG448" s="110"/>
      <c r="AH448" s="110"/>
      <c r="AI448" s="113"/>
      <c r="AJ448" s="110"/>
      <c r="AK448" s="110"/>
      <c r="AL448" s="110"/>
      <c r="AM448" s="110"/>
      <c r="AN448" s="110"/>
      <c r="AO448" s="113"/>
      <c r="AP448" s="113"/>
      <c r="AQ448" s="113"/>
      <c r="AR448" s="110"/>
      <c r="AS448" s="113"/>
      <c r="AT448" s="113"/>
      <c r="AU448" s="112"/>
      <c r="AV448" s="338"/>
      <c r="AW448" s="110"/>
      <c r="AX448" s="110"/>
      <c r="AY448" s="113"/>
      <c r="AZ448" s="113"/>
      <c r="BA448" s="113"/>
      <c r="BB448" s="113"/>
      <c r="BC448" s="113"/>
      <c r="BD448" s="113"/>
      <c r="BF44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49" spans="1:58" x14ac:dyDescent="0.3">
      <c r="A449" s="422"/>
      <c r="B449" s="376"/>
      <c r="C449" s="110"/>
      <c r="D449" s="110"/>
      <c r="E449" s="340"/>
      <c r="F449" s="330"/>
      <c r="G449" s="113"/>
      <c r="H449" s="332"/>
      <c r="I449" s="113"/>
      <c r="J449" s="332"/>
      <c r="K449" s="110"/>
      <c r="L449" s="110"/>
      <c r="M449" s="110"/>
      <c r="N449" s="110"/>
      <c r="O449" s="111"/>
      <c r="P449" s="424" t="str">
        <f>IF(OR(Table13[[#This Row],[Annual Increase Option]]="No increase",Table13[[#This Row],[Annual Increase Option]]=""),"",_xlfn.XLOOKUP(MONTH(Table13[[#This Row],[Commencement Date]]),Lookups!$I$19:$I$30,Lookups!$J$19:$J$30,0))</f>
        <v/>
      </c>
      <c r="Q449" s="340"/>
      <c r="R449" s="340"/>
      <c r="S449" s="360">
        <f>IF(Table13[[#This Row],[Life Cover Amount]]="",0,Table2[[#This Row],[Life Premium]])</f>
        <v>0</v>
      </c>
      <c r="T449" s="360">
        <f>IF(Table13[[#This Row],[Funeral Cover Amount]]=0,0,Table2[[#This Row],[Funeral Premium]])</f>
        <v>0</v>
      </c>
      <c r="U449" s="360">
        <f>IF(AND(Table13[[#This Row],[Life Cover Amount]]="",Table13[[#This Row],[Funeral Cover Amount]]=""),0,onboarding_calcs!AA449)</f>
        <v>0</v>
      </c>
      <c r="V449" s="111"/>
      <c r="W449" s="111"/>
      <c r="X449" s="333"/>
      <c r="Y449" s="110"/>
      <c r="Z449" s="113"/>
      <c r="AA449" s="425"/>
      <c r="AB449" s="425"/>
      <c r="AC449" s="113"/>
      <c r="AD449" s="110"/>
      <c r="AE449" s="110"/>
      <c r="AF449" s="110"/>
      <c r="AG449" s="110"/>
      <c r="AH449" s="110"/>
      <c r="AI449" s="113"/>
      <c r="AJ449" s="110"/>
      <c r="AK449" s="110"/>
      <c r="AL449" s="110"/>
      <c r="AM449" s="110"/>
      <c r="AN449" s="110"/>
      <c r="AO449" s="113"/>
      <c r="AP449" s="113"/>
      <c r="AQ449" s="113"/>
      <c r="AR449" s="110"/>
      <c r="AS449" s="113"/>
      <c r="AT449" s="113"/>
      <c r="AU449" s="112"/>
      <c r="AV449" s="338"/>
      <c r="AW449" s="110"/>
      <c r="AX449" s="110"/>
      <c r="AY449" s="113"/>
      <c r="AZ449" s="113"/>
      <c r="BA449" s="113"/>
      <c r="BB449" s="113"/>
      <c r="BC449" s="113"/>
      <c r="BD449" s="113"/>
      <c r="BF44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50" spans="1:58" x14ac:dyDescent="0.3">
      <c r="A450" s="422"/>
      <c r="B450" s="376"/>
      <c r="C450" s="110"/>
      <c r="D450" s="110"/>
      <c r="E450" s="340"/>
      <c r="F450" s="330"/>
      <c r="G450" s="113"/>
      <c r="H450" s="332"/>
      <c r="I450" s="113"/>
      <c r="J450" s="332"/>
      <c r="K450" s="110"/>
      <c r="L450" s="110"/>
      <c r="M450" s="110"/>
      <c r="N450" s="110"/>
      <c r="O450" s="111"/>
      <c r="P450" s="424" t="str">
        <f>IF(OR(Table13[[#This Row],[Annual Increase Option]]="No increase",Table13[[#This Row],[Annual Increase Option]]=""),"",_xlfn.XLOOKUP(MONTH(Table13[[#This Row],[Commencement Date]]),Lookups!$I$19:$I$30,Lookups!$J$19:$J$30,0))</f>
        <v/>
      </c>
      <c r="Q450" s="340"/>
      <c r="R450" s="340"/>
      <c r="S450" s="360">
        <f>IF(Table13[[#This Row],[Life Cover Amount]]="",0,Table2[[#This Row],[Life Premium]])</f>
        <v>0</v>
      </c>
      <c r="T450" s="360">
        <f>IF(Table13[[#This Row],[Funeral Cover Amount]]=0,0,Table2[[#This Row],[Funeral Premium]])</f>
        <v>0</v>
      </c>
      <c r="U450" s="360">
        <f>IF(AND(Table13[[#This Row],[Life Cover Amount]]="",Table13[[#This Row],[Funeral Cover Amount]]=""),0,onboarding_calcs!AA450)</f>
        <v>0</v>
      </c>
      <c r="V450" s="111"/>
      <c r="W450" s="111"/>
      <c r="X450" s="333"/>
      <c r="Y450" s="110"/>
      <c r="Z450" s="113"/>
      <c r="AA450" s="425"/>
      <c r="AB450" s="425"/>
      <c r="AC450" s="113"/>
      <c r="AD450" s="110"/>
      <c r="AE450" s="110"/>
      <c r="AF450" s="110"/>
      <c r="AG450" s="110"/>
      <c r="AH450" s="110"/>
      <c r="AI450" s="113"/>
      <c r="AJ450" s="110"/>
      <c r="AK450" s="110"/>
      <c r="AL450" s="110"/>
      <c r="AM450" s="110"/>
      <c r="AN450" s="110"/>
      <c r="AO450" s="113"/>
      <c r="AP450" s="113"/>
      <c r="AQ450" s="113"/>
      <c r="AR450" s="110"/>
      <c r="AS450" s="113"/>
      <c r="AT450" s="113"/>
      <c r="AU450" s="112"/>
      <c r="AV450" s="338"/>
      <c r="AW450" s="110"/>
      <c r="AX450" s="110"/>
      <c r="AY450" s="113"/>
      <c r="AZ450" s="113"/>
      <c r="BA450" s="113"/>
      <c r="BB450" s="113"/>
      <c r="BC450" s="113"/>
      <c r="BD450" s="113"/>
      <c r="BF45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51" spans="1:58" x14ac:dyDescent="0.3">
      <c r="A451" s="422"/>
      <c r="B451" s="376"/>
      <c r="C451" s="110"/>
      <c r="D451" s="110"/>
      <c r="E451" s="340"/>
      <c r="F451" s="330"/>
      <c r="G451" s="113"/>
      <c r="H451" s="332"/>
      <c r="I451" s="113"/>
      <c r="J451" s="332"/>
      <c r="K451" s="110"/>
      <c r="L451" s="110"/>
      <c r="M451" s="110"/>
      <c r="N451" s="110"/>
      <c r="O451" s="111"/>
      <c r="P451" s="424" t="str">
        <f>IF(OR(Table13[[#This Row],[Annual Increase Option]]="No increase",Table13[[#This Row],[Annual Increase Option]]=""),"",_xlfn.XLOOKUP(MONTH(Table13[[#This Row],[Commencement Date]]),Lookups!$I$19:$I$30,Lookups!$J$19:$J$30,0))</f>
        <v/>
      </c>
      <c r="Q451" s="340"/>
      <c r="R451" s="340"/>
      <c r="S451" s="360">
        <f>IF(Table13[[#This Row],[Life Cover Amount]]="",0,Table2[[#This Row],[Life Premium]])</f>
        <v>0</v>
      </c>
      <c r="T451" s="360">
        <f>IF(Table13[[#This Row],[Funeral Cover Amount]]=0,0,Table2[[#This Row],[Funeral Premium]])</f>
        <v>0</v>
      </c>
      <c r="U451" s="360">
        <f>IF(AND(Table13[[#This Row],[Life Cover Amount]]="",Table13[[#This Row],[Funeral Cover Amount]]=""),0,onboarding_calcs!AA451)</f>
        <v>0</v>
      </c>
      <c r="V451" s="111"/>
      <c r="W451" s="111"/>
      <c r="X451" s="333"/>
      <c r="Y451" s="110"/>
      <c r="Z451" s="113"/>
      <c r="AA451" s="425"/>
      <c r="AB451" s="425"/>
      <c r="AC451" s="113"/>
      <c r="AD451" s="110"/>
      <c r="AE451" s="110"/>
      <c r="AF451" s="110"/>
      <c r="AG451" s="110"/>
      <c r="AH451" s="110"/>
      <c r="AI451" s="113"/>
      <c r="AJ451" s="110"/>
      <c r="AK451" s="110"/>
      <c r="AL451" s="110"/>
      <c r="AM451" s="110"/>
      <c r="AN451" s="110"/>
      <c r="AO451" s="113"/>
      <c r="AP451" s="113"/>
      <c r="AQ451" s="113"/>
      <c r="AR451" s="110"/>
      <c r="AS451" s="113"/>
      <c r="AT451" s="113"/>
      <c r="AU451" s="112"/>
      <c r="AV451" s="338"/>
      <c r="AW451" s="110"/>
      <c r="AX451" s="110"/>
      <c r="AY451" s="113"/>
      <c r="AZ451" s="113"/>
      <c r="BA451" s="113"/>
      <c r="BB451" s="113"/>
      <c r="BC451" s="113"/>
      <c r="BD451" s="113"/>
      <c r="BF45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52" spans="1:58" x14ac:dyDescent="0.3">
      <c r="A452" s="422"/>
      <c r="B452" s="376"/>
      <c r="C452" s="110"/>
      <c r="D452" s="110"/>
      <c r="E452" s="340"/>
      <c r="F452" s="330"/>
      <c r="G452" s="113"/>
      <c r="H452" s="332"/>
      <c r="I452" s="113"/>
      <c r="J452" s="332"/>
      <c r="K452" s="110"/>
      <c r="L452" s="110"/>
      <c r="M452" s="110"/>
      <c r="N452" s="110"/>
      <c r="O452" s="111"/>
      <c r="P452" s="424" t="str">
        <f>IF(OR(Table13[[#This Row],[Annual Increase Option]]="No increase",Table13[[#This Row],[Annual Increase Option]]=""),"",_xlfn.XLOOKUP(MONTH(Table13[[#This Row],[Commencement Date]]),Lookups!$I$19:$I$30,Lookups!$J$19:$J$30,0))</f>
        <v/>
      </c>
      <c r="Q452" s="340"/>
      <c r="R452" s="340"/>
      <c r="S452" s="360">
        <f>IF(Table13[[#This Row],[Life Cover Amount]]="",0,Table2[[#This Row],[Life Premium]])</f>
        <v>0</v>
      </c>
      <c r="T452" s="360">
        <f>IF(Table13[[#This Row],[Funeral Cover Amount]]=0,0,Table2[[#This Row],[Funeral Premium]])</f>
        <v>0</v>
      </c>
      <c r="U452" s="360">
        <f>IF(AND(Table13[[#This Row],[Life Cover Amount]]="",Table13[[#This Row],[Funeral Cover Amount]]=""),0,onboarding_calcs!AA452)</f>
        <v>0</v>
      </c>
      <c r="V452" s="111"/>
      <c r="W452" s="111"/>
      <c r="X452" s="333"/>
      <c r="Y452" s="110"/>
      <c r="Z452" s="113"/>
      <c r="AA452" s="425"/>
      <c r="AB452" s="425"/>
      <c r="AC452" s="113"/>
      <c r="AD452" s="110"/>
      <c r="AE452" s="110"/>
      <c r="AF452" s="110"/>
      <c r="AG452" s="110"/>
      <c r="AH452" s="110"/>
      <c r="AI452" s="113"/>
      <c r="AJ452" s="110"/>
      <c r="AK452" s="110"/>
      <c r="AL452" s="110"/>
      <c r="AM452" s="110"/>
      <c r="AN452" s="110"/>
      <c r="AO452" s="113"/>
      <c r="AP452" s="113"/>
      <c r="AQ452" s="113"/>
      <c r="AR452" s="110"/>
      <c r="AS452" s="113"/>
      <c r="AT452" s="113"/>
      <c r="AU452" s="112"/>
      <c r="AV452" s="338"/>
      <c r="AW452" s="110"/>
      <c r="AX452" s="110"/>
      <c r="AY452" s="113"/>
      <c r="AZ452" s="113"/>
      <c r="BA452" s="113"/>
      <c r="BB452" s="113"/>
      <c r="BC452" s="113"/>
      <c r="BD452" s="113"/>
      <c r="BF45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53" spans="1:58" x14ac:dyDescent="0.3">
      <c r="A453" s="422"/>
      <c r="B453" s="376"/>
      <c r="C453" s="110"/>
      <c r="D453" s="110"/>
      <c r="E453" s="340"/>
      <c r="F453" s="330"/>
      <c r="G453" s="113"/>
      <c r="H453" s="332"/>
      <c r="I453" s="113"/>
      <c r="J453" s="332"/>
      <c r="K453" s="110"/>
      <c r="L453" s="110"/>
      <c r="M453" s="110"/>
      <c r="N453" s="110"/>
      <c r="O453" s="111"/>
      <c r="P453" s="424" t="str">
        <f>IF(OR(Table13[[#This Row],[Annual Increase Option]]="No increase",Table13[[#This Row],[Annual Increase Option]]=""),"",_xlfn.XLOOKUP(MONTH(Table13[[#This Row],[Commencement Date]]),Lookups!$I$19:$I$30,Lookups!$J$19:$J$30,0))</f>
        <v/>
      </c>
      <c r="Q453" s="340"/>
      <c r="R453" s="340"/>
      <c r="S453" s="360">
        <f>IF(Table13[[#This Row],[Life Cover Amount]]="",0,Table2[[#This Row],[Life Premium]])</f>
        <v>0</v>
      </c>
      <c r="T453" s="360">
        <f>IF(Table13[[#This Row],[Funeral Cover Amount]]=0,0,Table2[[#This Row],[Funeral Premium]])</f>
        <v>0</v>
      </c>
      <c r="U453" s="360">
        <f>IF(AND(Table13[[#This Row],[Life Cover Amount]]="",Table13[[#This Row],[Funeral Cover Amount]]=""),0,onboarding_calcs!AA453)</f>
        <v>0</v>
      </c>
      <c r="V453" s="111"/>
      <c r="W453" s="111"/>
      <c r="X453" s="333"/>
      <c r="Y453" s="110"/>
      <c r="Z453" s="113"/>
      <c r="AA453" s="425"/>
      <c r="AB453" s="425"/>
      <c r="AC453" s="113"/>
      <c r="AD453" s="110"/>
      <c r="AE453" s="110"/>
      <c r="AF453" s="110"/>
      <c r="AG453" s="110"/>
      <c r="AH453" s="110"/>
      <c r="AI453" s="113"/>
      <c r="AJ453" s="110"/>
      <c r="AK453" s="110"/>
      <c r="AL453" s="110"/>
      <c r="AM453" s="110"/>
      <c r="AN453" s="110"/>
      <c r="AO453" s="113"/>
      <c r="AP453" s="113"/>
      <c r="AQ453" s="113"/>
      <c r="AR453" s="110"/>
      <c r="AS453" s="113"/>
      <c r="AT453" s="113"/>
      <c r="AU453" s="112"/>
      <c r="AV453" s="338"/>
      <c r="AW453" s="110"/>
      <c r="AX453" s="110"/>
      <c r="AY453" s="113"/>
      <c r="AZ453" s="113"/>
      <c r="BA453" s="113"/>
      <c r="BB453" s="113"/>
      <c r="BC453" s="113"/>
      <c r="BD453" s="113"/>
      <c r="BF45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54" spans="1:58" x14ac:dyDescent="0.3">
      <c r="A454" s="422"/>
      <c r="B454" s="376"/>
      <c r="C454" s="110"/>
      <c r="D454" s="110"/>
      <c r="E454" s="340"/>
      <c r="F454" s="330"/>
      <c r="G454" s="113"/>
      <c r="H454" s="332"/>
      <c r="I454" s="113"/>
      <c r="J454" s="332"/>
      <c r="K454" s="110"/>
      <c r="L454" s="110"/>
      <c r="M454" s="110"/>
      <c r="N454" s="110"/>
      <c r="O454" s="111"/>
      <c r="P454" s="424" t="str">
        <f>IF(OR(Table13[[#This Row],[Annual Increase Option]]="No increase",Table13[[#This Row],[Annual Increase Option]]=""),"",_xlfn.XLOOKUP(MONTH(Table13[[#This Row],[Commencement Date]]),Lookups!$I$19:$I$30,Lookups!$J$19:$J$30,0))</f>
        <v/>
      </c>
      <c r="Q454" s="340"/>
      <c r="R454" s="340"/>
      <c r="S454" s="360">
        <f>IF(Table13[[#This Row],[Life Cover Amount]]="",0,Table2[[#This Row],[Life Premium]])</f>
        <v>0</v>
      </c>
      <c r="T454" s="360">
        <f>IF(Table13[[#This Row],[Funeral Cover Amount]]=0,0,Table2[[#This Row],[Funeral Premium]])</f>
        <v>0</v>
      </c>
      <c r="U454" s="360">
        <f>IF(AND(Table13[[#This Row],[Life Cover Amount]]="",Table13[[#This Row],[Funeral Cover Amount]]=""),0,onboarding_calcs!AA454)</f>
        <v>0</v>
      </c>
      <c r="V454" s="111"/>
      <c r="W454" s="111"/>
      <c r="X454" s="333"/>
      <c r="Y454" s="110"/>
      <c r="Z454" s="113"/>
      <c r="AA454" s="425"/>
      <c r="AB454" s="425"/>
      <c r="AC454" s="113"/>
      <c r="AD454" s="110"/>
      <c r="AE454" s="110"/>
      <c r="AF454" s="110"/>
      <c r="AG454" s="110"/>
      <c r="AH454" s="110"/>
      <c r="AI454" s="113"/>
      <c r="AJ454" s="110"/>
      <c r="AK454" s="110"/>
      <c r="AL454" s="110"/>
      <c r="AM454" s="110"/>
      <c r="AN454" s="110"/>
      <c r="AO454" s="113"/>
      <c r="AP454" s="113"/>
      <c r="AQ454" s="113"/>
      <c r="AR454" s="110"/>
      <c r="AS454" s="113"/>
      <c r="AT454" s="113"/>
      <c r="AU454" s="112"/>
      <c r="AV454" s="338"/>
      <c r="AW454" s="110"/>
      <c r="AX454" s="110"/>
      <c r="AY454" s="113"/>
      <c r="AZ454" s="113"/>
      <c r="BA454" s="113"/>
      <c r="BB454" s="113"/>
      <c r="BC454" s="113"/>
      <c r="BD454" s="113"/>
      <c r="BF45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55" spans="1:58" x14ac:dyDescent="0.3">
      <c r="A455" s="422"/>
      <c r="B455" s="376"/>
      <c r="C455" s="110"/>
      <c r="D455" s="110"/>
      <c r="E455" s="340"/>
      <c r="F455" s="330"/>
      <c r="G455" s="113"/>
      <c r="H455" s="332"/>
      <c r="I455" s="113"/>
      <c r="J455" s="332"/>
      <c r="K455" s="110"/>
      <c r="L455" s="110"/>
      <c r="M455" s="110"/>
      <c r="N455" s="110"/>
      <c r="O455" s="111"/>
      <c r="P455" s="424" t="str">
        <f>IF(OR(Table13[[#This Row],[Annual Increase Option]]="No increase",Table13[[#This Row],[Annual Increase Option]]=""),"",_xlfn.XLOOKUP(MONTH(Table13[[#This Row],[Commencement Date]]),Lookups!$I$19:$I$30,Lookups!$J$19:$J$30,0))</f>
        <v/>
      </c>
      <c r="Q455" s="340"/>
      <c r="R455" s="340"/>
      <c r="S455" s="360">
        <f>IF(Table13[[#This Row],[Life Cover Amount]]="",0,Table2[[#This Row],[Life Premium]])</f>
        <v>0</v>
      </c>
      <c r="T455" s="360">
        <f>IF(Table13[[#This Row],[Funeral Cover Amount]]=0,0,Table2[[#This Row],[Funeral Premium]])</f>
        <v>0</v>
      </c>
      <c r="U455" s="360">
        <f>IF(AND(Table13[[#This Row],[Life Cover Amount]]="",Table13[[#This Row],[Funeral Cover Amount]]=""),0,onboarding_calcs!AA455)</f>
        <v>0</v>
      </c>
      <c r="V455" s="111"/>
      <c r="W455" s="111"/>
      <c r="X455" s="333"/>
      <c r="Y455" s="110"/>
      <c r="Z455" s="113"/>
      <c r="AA455" s="425"/>
      <c r="AB455" s="425"/>
      <c r="AC455" s="113"/>
      <c r="AD455" s="110"/>
      <c r="AE455" s="110"/>
      <c r="AF455" s="110"/>
      <c r="AG455" s="110"/>
      <c r="AH455" s="110"/>
      <c r="AI455" s="113"/>
      <c r="AJ455" s="110"/>
      <c r="AK455" s="110"/>
      <c r="AL455" s="110"/>
      <c r="AM455" s="110"/>
      <c r="AN455" s="110"/>
      <c r="AO455" s="113"/>
      <c r="AP455" s="113"/>
      <c r="AQ455" s="113"/>
      <c r="AR455" s="110"/>
      <c r="AS455" s="113"/>
      <c r="AT455" s="113"/>
      <c r="AU455" s="112"/>
      <c r="AV455" s="338"/>
      <c r="AW455" s="110"/>
      <c r="AX455" s="110"/>
      <c r="AY455" s="113"/>
      <c r="AZ455" s="113"/>
      <c r="BA455" s="113"/>
      <c r="BB455" s="113"/>
      <c r="BC455" s="113"/>
      <c r="BD455" s="113"/>
      <c r="BF45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56" spans="1:58" x14ac:dyDescent="0.3">
      <c r="A456" s="422"/>
      <c r="B456" s="376"/>
      <c r="C456" s="110"/>
      <c r="D456" s="110"/>
      <c r="E456" s="340"/>
      <c r="F456" s="330"/>
      <c r="G456" s="113"/>
      <c r="H456" s="332"/>
      <c r="I456" s="113"/>
      <c r="J456" s="332"/>
      <c r="K456" s="110"/>
      <c r="L456" s="110"/>
      <c r="M456" s="110"/>
      <c r="N456" s="110"/>
      <c r="O456" s="111"/>
      <c r="P456" s="424" t="str">
        <f>IF(OR(Table13[[#This Row],[Annual Increase Option]]="No increase",Table13[[#This Row],[Annual Increase Option]]=""),"",_xlfn.XLOOKUP(MONTH(Table13[[#This Row],[Commencement Date]]),Lookups!$I$19:$I$30,Lookups!$J$19:$J$30,0))</f>
        <v/>
      </c>
      <c r="Q456" s="340"/>
      <c r="R456" s="340"/>
      <c r="S456" s="360">
        <f>IF(Table13[[#This Row],[Life Cover Amount]]="",0,Table2[[#This Row],[Life Premium]])</f>
        <v>0</v>
      </c>
      <c r="T456" s="360">
        <f>IF(Table13[[#This Row],[Funeral Cover Amount]]=0,0,Table2[[#This Row],[Funeral Premium]])</f>
        <v>0</v>
      </c>
      <c r="U456" s="360">
        <f>IF(AND(Table13[[#This Row],[Life Cover Amount]]="",Table13[[#This Row],[Funeral Cover Amount]]=""),0,onboarding_calcs!AA456)</f>
        <v>0</v>
      </c>
      <c r="V456" s="111"/>
      <c r="W456" s="111"/>
      <c r="X456" s="333"/>
      <c r="Y456" s="110"/>
      <c r="Z456" s="113"/>
      <c r="AA456" s="425"/>
      <c r="AB456" s="425"/>
      <c r="AC456" s="113"/>
      <c r="AD456" s="110"/>
      <c r="AE456" s="110"/>
      <c r="AF456" s="110"/>
      <c r="AG456" s="110"/>
      <c r="AH456" s="110"/>
      <c r="AI456" s="113"/>
      <c r="AJ456" s="110"/>
      <c r="AK456" s="110"/>
      <c r="AL456" s="110"/>
      <c r="AM456" s="110"/>
      <c r="AN456" s="110"/>
      <c r="AO456" s="113"/>
      <c r="AP456" s="113"/>
      <c r="AQ456" s="113"/>
      <c r="AR456" s="110"/>
      <c r="AS456" s="113"/>
      <c r="AT456" s="113"/>
      <c r="AU456" s="112"/>
      <c r="AV456" s="338"/>
      <c r="AW456" s="110"/>
      <c r="AX456" s="110"/>
      <c r="AY456" s="113"/>
      <c r="AZ456" s="113"/>
      <c r="BA456" s="113"/>
      <c r="BB456" s="113"/>
      <c r="BC456" s="113"/>
      <c r="BD456" s="113"/>
      <c r="BF45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57" spans="1:58" x14ac:dyDescent="0.3">
      <c r="A457" s="422"/>
      <c r="B457" s="376"/>
      <c r="C457" s="110"/>
      <c r="D457" s="110"/>
      <c r="E457" s="340"/>
      <c r="F457" s="330"/>
      <c r="G457" s="113"/>
      <c r="H457" s="332"/>
      <c r="I457" s="113"/>
      <c r="J457" s="332"/>
      <c r="K457" s="110"/>
      <c r="L457" s="110"/>
      <c r="M457" s="110"/>
      <c r="N457" s="110"/>
      <c r="O457" s="111"/>
      <c r="P457" s="424" t="str">
        <f>IF(OR(Table13[[#This Row],[Annual Increase Option]]="No increase",Table13[[#This Row],[Annual Increase Option]]=""),"",_xlfn.XLOOKUP(MONTH(Table13[[#This Row],[Commencement Date]]),Lookups!$I$19:$I$30,Lookups!$J$19:$J$30,0))</f>
        <v/>
      </c>
      <c r="Q457" s="340"/>
      <c r="R457" s="340"/>
      <c r="S457" s="360">
        <f>IF(Table13[[#This Row],[Life Cover Amount]]="",0,Table2[[#This Row],[Life Premium]])</f>
        <v>0</v>
      </c>
      <c r="T457" s="360">
        <f>IF(Table13[[#This Row],[Funeral Cover Amount]]=0,0,Table2[[#This Row],[Funeral Premium]])</f>
        <v>0</v>
      </c>
      <c r="U457" s="360">
        <f>IF(AND(Table13[[#This Row],[Life Cover Amount]]="",Table13[[#This Row],[Funeral Cover Amount]]=""),0,onboarding_calcs!AA457)</f>
        <v>0</v>
      </c>
      <c r="V457" s="111"/>
      <c r="W457" s="111"/>
      <c r="X457" s="333"/>
      <c r="Y457" s="110"/>
      <c r="Z457" s="113"/>
      <c r="AA457" s="425"/>
      <c r="AB457" s="425"/>
      <c r="AC457" s="113"/>
      <c r="AD457" s="110"/>
      <c r="AE457" s="110"/>
      <c r="AF457" s="110"/>
      <c r="AG457" s="110"/>
      <c r="AH457" s="110"/>
      <c r="AI457" s="113"/>
      <c r="AJ457" s="110"/>
      <c r="AK457" s="110"/>
      <c r="AL457" s="110"/>
      <c r="AM457" s="110"/>
      <c r="AN457" s="110"/>
      <c r="AO457" s="113"/>
      <c r="AP457" s="113"/>
      <c r="AQ457" s="113"/>
      <c r="AR457" s="110"/>
      <c r="AS457" s="113"/>
      <c r="AT457" s="113"/>
      <c r="AU457" s="112"/>
      <c r="AV457" s="338"/>
      <c r="AW457" s="110"/>
      <c r="AX457" s="110"/>
      <c r="AY457" s="113"/>
      <c r="AZ457" s="113"/>
      <c r="BA457" s="113"/>
      <c r="BB457" s="113"/>
      <c r="BC457" s="113"/>
      <c r="BD457" s="113"/>
      <c r="BF45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58" spans="1:58" x14ac:dyDescent="0.3">
      <c r="A458" s="422"/>
      <c r="B458" s="376"/>
      <c r="C458" s="110"/>
      <c r="D458" s="110"/>
      <c r="E458" s="340"/>
      <c r="F458" s="330"/>
      <c r="G458" s="113"/>
      <c r="H458" s="332"/>
      <c r="I458" s="113"/>
      <c r="J458" s="332"/>
      <c r="K458" s="110"/>
      <c r="L458" s="110"/>
      <c r="M458" s="110"/>
      <c r="N458" s="110"/>
      <c r="O458" s="111"/>
      <c r="P458" s="424" t="str">
        <f>IF(OR(Table13[[#This Row],[Annual Increase Option]]="No increase",Table13[[#This Row],[Annual Increase Option]]=""),"",_xlfn.XLOOKUP(MONTH(Table13[[#This Row],[Commencement Date]]),Lookups!$I$19:$I$30,Lookups!$J$19:$J$30,0))</f>
        <v/>
      </c>
      <c r="Q458" s="340"/>
      <c r="R458" s="340"/>
      <c r="S458" s="360">
        <f>IF(Table13[[#This Row],[Life Cover Amount]]="",0,Table2[[#This Row],[Life Premium]])</f>
        <v>0</v>
      </c>
      <c r="T458" s="360">
        <f>IF(Table13[[#This Row],[Funeral Cover Amount]]=0,0,Table2[[#This Row],[Funeral Premium]])</f>
        <v>0</v>
      </c>
      <c r="U458" s="360">
        <f>IF(AND(Table13[[#This Row],[Life Cover Amount]]="",Table13[[#This Row],[Funeral Cover Amount]]=""),0,onboarding_calcs!AA458)</f>
        <v>0</v>
      </c>
      <c r="V458" s="111"/>
      <c r="W458" s="111"/>
      <c r="X458" s="333"/>
      <c r="Y458" s="110"/>
      <c r="Z458" s="113"/>
      <c r="AA458" s="425"/>
      <c r="AB458" s="425"/>
      <c r="AC458" s="113"/>
      <c r="AD458" s="110"/>
      <c r="AE458" s="110"/>
      <c r="AF458" s="110"/>
      <c r="AG458" s="110"/>
      <c r="AH458" s="110"/>
      <c r="AI458" s="113"/>
      <c r="AJ458" s="110"/>
      <c r="AK458" s="110"/>
      <c r="AL458" s="110"/>
      <c r="AM458" s="110"/>
      <c r="AN458" s="110"/>
      <c r="AO458" s="113"/>
      <c r="AP458" s="113"/>
      <c r="AQ458" s="113"/>
      <c r="AR458" s="110"/>
      <c r="AS458" s="113"/>
      <c r="AT458" s="113"/>
      <c r="AU458" s="112"/>
      <c r="AV458" s="338"/>
      <c r="AW458" s="110"/>
      <c r="AX458" s="110"/>
      <c r="AY458" s="113"/>
      <c r="AZ458" s="113"/>
      <c r="BA458" s="113"/>
      <c r="BB458" s="113"/>
      <c r="BC458" s="113"/>
      <c r="BD458" s="113"/>
      <c r="BF45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59" spans="1:58" x14ac:dyDescent="0.3">
      <c r="A459" s="422"/>
      <c r="B459" s="376"/>
      <c r="C459" s="110"/>
      <c r="D459" s="110"/>
      <c r="E459" s="340"/>
      <c r="F459" s="330"/>
      <c r="G459" s="113"/>
      <c r="H459" s="332"/>
      <c r="I459" s="113"/>
      <c r="J459" s="332"/>
      <c r="K459" s="110"/>
      <c r="L459" s="110"/>
      <c r="M459" s="110"/>
      <c r="N459" s="110"/>
      <c r="O459" s="111"/>
      <c r="P459" s="424" t="str">
        <f>IF(OR(Table13[[#This Row],[Annual Increase Option]]="No increase",Table13[[#This Row],[Annual Increase Option]]=""),"",_xlfn.XLOOKUP(MONTH(Table13[[#This Row],[Commencement Date]]),Lookups!$I$19:$I$30,Lookups!$J$19:$J$30,0))</f>
        <v/>
      </c>
      <c r="Q459" s="340"/>
      <c r="R459" s="340"/>
      <c r="S459" s="360">
        <f>IF(Table13[[#This Row],[Life Cover Amount]]="",0,Table2[[#This Row],[Life Premium]])</f>
        <v>0</v>
      </c>
      <c r="T459" s="360">
        <f>IF(Table13[[#This Row],[Funeral Cover Amount]]=0,0,Table2[[#This Row],[Funeral Premium]])</f>
        <v>0</v>
      </c>
      <c r="U459" s="360">
        <f>IF(AND(Table13[[#This Row],[Life Cover Amount]]="",Table13[[#This Row],[Funeral Cover Amount]]=""),0,onboarding_calcs!AA459)</f>
        <v>0</v>
      </c>
      <c r="V459" s="111"/>
      <c r="W459" s="111"/>
      <c r="X459" s="333"/>
      <c r="Y459" s="110"/>
      <c r="Z459" s="113"/>
      <c r="AA459" s="425"/>
      <c r="AB459" s="425"/>
      <c r="AC459" s="113"/>
      <c r="AD459" s="110"/>
      <c r="AE459" s="110"/>
      <c r="AF459" s="110"/>
      <c r="AG459" s="110"/>
      <c r="AH459" s="110"/>
      <c r="AI459" s="113"/>
      <c r="AJ459" s="110"/>
      <c r="AK459" s="110"/>
      <c r="AL459" s="110"/>
      <c r="AM459" s="110"/>
      <c r="AN459" s="110"/>
      <c r="AO459" s="113"/>
      <c r="AP459" s="113"/>
      <c r="AQ459" s="113"/>
      <c r="AR459" s="110"/>
      <c r="AS459" s="113"/>
      <c r="AT459" s="113"/>
      <c r="AU459" s="112"/>
      <c r="AV459" s="338"/>
      <c r="AW459" s="110"/>
      <c r="AX459" s="110"/>
      <c r="AY459" s="113"/>
      <c r="AZ459" s="113"/>
      <c r="BA459" s="113"/>
      <c r="BB459" s="113"/>
      <c r="BC459" s="113"/>
      <c r="BD459" s="113"/>
      <c r="BF45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60" spans="1:58" x14ac:dyDescent="0.3">
      <c r="A460" s="422"/>
      <c r="B460" s="376"/>
      <c r="C460" s="110"/>
      <c r="D460" s="110"/>
      <c r="E460" s="340"/>
      <c r="F460" s="330"/>
      <c r="G460" s="113"/>
      <c r="H460" s="332"/>
      <c r="I460" s="113"/>
      <c r="J460" s="332"/>
      <c r="K460" s="110"/>
      <c r="L460" s="110"/>
      <c r="M460" s="110"/>
      <c r="N460" s="110"/>
      <c r="O460" s="111"/>
      <c r="P460" s="424" t="str">
        <f>IF(OR(Table13[[#This Row],[Annual Increase Option]]="No increase",Table13[[#This Row],[Annual Increase Option]]=""),"",_xlfn.XLOOKUP(MONTH(Table13[[#This Row],[Commencement Date]]),Lookups!$I$19:$I$30,Lookups!$J$19:$J$30,0))</f>
        <v/>
      </c>
      <c r="Q460" s="340"/>
      <c r="R460" s="340"/>
      <c r="S460" s="360">
        <f>IF(Table13[[#This Row],[Life Cover Amount]]="",0,Table2[[#This Row],[Life Premium]])</f>
        <v>0</v>
      </c>
      <c r="T460" s="360">
        <f>IF(Table13[[#This Row],[Funeral Cover Amount]]=0,0,Table2[[#This Row],[Funeral Premium]])</f>
        <v>0</v>
      </c>
      <c r="U460" s="360">
        <f>IF(AND(Table13[[#This Row],[Life Cover Amount]]="",Table13[[#This Row],[Funeral Cover Amount]]=""),0,onboarding_calcs!AA460)</f>
        <v>0</v>
      </c>
      <c r="V460" s="111"/>
      <c r="W460" s="111"/>
      <c r="X460" s="333"/>
      <c r="Y460" s="110"/>
      <c r="Z460" s="113"/>
      <c r="AA460" s="425"/>
      <c r="AB460" s="425"/>
      <c r="AC460" s="113"/>
      <c r="AD460" s="110"/>
      <c r="AE460" s="110"/>
      <c r="AF460" s="110"/>
      <c r="AG460" s="110"/>
      <c r="AH460" s="110"/>
      <c r="AI460" s="113"/>
      <c r="AJ460" s="110"/>
      <c r="AK460" s="110"/>
      <c r="AL460" s="110"/>
      <c r="AM460" s="110"/>
      <c r="AN460" s="110"/>
      <c r="AO460" s="113"/>
      <c r="AP460" s="113"/>
      <c r="AQ460" s="113"/>
      <c r="AR460" s="110"/>
      <c r="AS460" s="113"/>
      <c r="AT460" s="113"/>
      <c r="AU460" s="112"/>
      <c r="AV460" s="338"/>
      <c r="AW460" s="110"/>
      <c r="AX460" s="110"/>
      <c r="AY460" s="113"/>
      <c r="AZ460" s="113"/>
      <c r="BA460" s="113"/>
      <c r="BB460" s="113"/>
      <c r="BC460" s="113"/>
      <c r="BD460" s="113"/>
      <c r="BF46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61" spans="1:58" x14ac:dyDescent="0.3">
      <c r="A461" s="422"/>
      <c r="B461" s="376"/>
      <c r="C461" s="110"/>
      <c r="D461" s="110"/>
      <c r="E461" s="340"/>
      <c r="F461" s="330"/>
      <c r="G461" s="113"/>
      <c r="H461" s="332"/>
      <c r="I461" s="113"/>
      <c r="J461" s="332"/>
      <c r="K461" s="110"/>
      <c r="L461" s="110"/>
      <c r="M461" s="110"/>
      <c r="N461" s="110"/>
      <c r="O461" s="111"/>
      <c r="P461" s="424" t="str">
        <f>IF(OR(Table13[[#This Row],[Annual Increase Option]]="No increase",Table13[[#This Row],[Annual Increase Option]]=""),"",_xlfn.XLOOKUP(MONTH(Table13[[#This Row],[Commencement Date]]),Lookups!$I$19:$I$30,Lookups!$J$19:$J$30,0))</f>
        <v/>
      </c>
      <c r="Q461" s="340"/>
      <c r="R461" s="340"/>
      <c r="S461" s="360">
        <f>IF(Table13[[#This Row],[Life Cover Amount]]="",0,Table2[[#This Row],[Life Premium]])</f>
        <v>0</v>
      </c>
      <c r="T461" s="360">
        <f>IF(Table13[[#This Row],[Funeral Cover Amount]]=0,0,Table2[[#This Row],[Funeral Premium]])</f>
        <v>0</v>
      </c>
      <c r="U461" s="360">
        <f>IF(AND(Table13[[#This Row],[Life Cover Amount]]="",Table13[[#This Row],[Funeral Cover Amount]]=""),0,onboarding_calcs!AA461)</f>
        <v>0</v>
      </c>
      <c r="V461" s="111"/>
      <c r="W461" s="111"/>
      <c r="X461" s="333"/>
      <c r="Y461" s="110"/>
      <c r="Z461" s="113"/>
      <c r="AA461" s="425"/>
      <c r="AB461" s="425"/>
      <c r="AC461" s="113"/>
      <c r="AD461" s="110"/>
      <c r="AE461" s="110"/>
      <c r="AF461" s="110"/>
      <c r="AG461" s="110"/>
      <c r="AH461" s="110"/>
      <c r="AI461" s="113"/>
      <c r="AJ461" s="110"/>
      <c r="AK461" s="110"/>
      <c r="AL461" s="110"/>
      <c r="AM461" s="110"/>
      <c r="AN461" s="110"/>
      <c r="AO461" s="113"/>
      <c r="AP461" s="113"/>
      <c r="AQ461" s="113"/>
      <c r="AR461" s="110"/>
      <c r="AS461" s="113"/>
      <c r="AT461" s="113"/>
      <c r="AU461" s="112"/>
      <c r="AV461" s="338"/>
      <c r="AW461" s="110"/>
      <c r="AX461" s="110"/>
      <c r="AY461" s="113"/>
      <c r="AZ461" s="113"/>
      <c r="BA461" s="113"/>
      <c r="BB461" s="113"/>
      <c r="BC461" s="113"/>
      <c r="BD461" s="113"/>
      <c r="BF46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62" spans="1:58" x14ac:dyDescent="0.3">
      <c r="A462" s="422"/>
      <c r="B462" s="376"/>
      <c r="C462" s="110"/>
      <c r="D462" s="110"/>
      <c r="E462" s="340"/>
      <c r="F462" s="330"/>
      <c r="G462" s="113"/>
      <c r="H462" s="332"/>
      <c r="I462" s="113"/>
      <c r="J462" s="332"/>
      <c r="K462" s="110"/>
      <c r="L462" s="110"/>
      <c r="M462" s="110"/>
      <c r="N462" s="110"/>
      <c r="O462" s="111"/>
      <c r="P462" s="424" t="str">
        <f>IF(OR(Table13[[#This Row],[Annual Increase Option]]="No increase",Table13[[#This Row],[Annual Increase Option]]=""),"",_xlfn.XLOOKUP(MONTH(Table13[[#This Row],[Commencement Date]]),Lookups!$I$19:$I$30,Lookups!$J$19:$J$30,0))</f>
        <v/>
      </c>
      <c r="Q462" s="340"/>
      <c r="R462" s="340"/>
      <c r="S462" s="360">
        <f>IF(Table13[[#This Row],[Life Cover Amount]]="",0,Table2[[#This Row],[Life Premium]])</f>
        <v>0</v>
      </c>
      <c r="T462" s="360">
        <f>IF(Table13[[#This Row],[Funeral Cover Amount]]=0,0,Table2[[#This Row],[Funeral Premium]])</f>
        <v>0</v>
      </c>
      <c r="U462" s="360">
        <f>IF(AND(Table13[[#This Row],[Life Cover Amount]]="",Table13[[#This Row],[Funeral Cover Amount]]=""),0,onboarding_calcs!AA462)</f>
        <v>0</v>
      </c>
      <c r="V462" s="111"/>
      <c r="W462" s="111"/>
      <c r="X462" s="333"/>
      <c r="Y462" s="110"/>
      <c r="Z462" s="113"/>
      <c r="AA462" s="425"/>
      <c r="AB462" s="425"/>
      <c r="AC462" s="113"/>
      <c r="AD462" s="110"/>
      <c r="AE462" s="110"/>
      <c r="AF462" s="110"/>
      <c r="AG462" s="110"/>
      <c r="AH462" s="110"/>
      <c r="AI462" s="113"/>
      <c r="AJ462" s="110"/>
      <c r="AK462" s="110"/>
      <c r="AL462" s="110"/>
      <c r="AM462" s="110"/>
      <c r="AN462" s="110"/>
      <c r="AO462" s="113"/>
      <c r="AP462" s="113"/>
      <c r="AQ462" s="113"/>
      <c r="AR462" s="110"/>
      <c r="AS462" s="113"/>
      <c r="AT462" s="113"/>
      <c r="AU462" s="112"/>
      <c r="AV462" s="338"/>
      <c r="AW462" s="110"/>
      <c r="AX462" s="110"/>
      <c r="AY462" s="113"/>
      <c r="AZ462" s="113"/>
      <c r="BA462" s="113"/>
      <c r="BB462" s="113"/>
      <c r="BC462" s="113"/>
      <c r="BD462" s="113"/>
      <c r="BF46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63" spans="1:58" x14ac:dyDescent="0.3">
      <c r="A463" s="422"/>
      <c r="B463" s="376"/>
      <c r="C463" s="110"/>
      <c r="D463" s="110"/>
      <c r="E463" s="340"/>
      <c r="F463" s="330"/>
      <c r="G463" s="113"/>
      <c r="H463" s="332"/>
      <c r="I463" s="113"/>
      <c r="J463" s="332"/>
      <c r="K463" s="110"/>
      <c r="L463" s="110"/>
      <c r="M463" s="110"/>
      <c r="N463" s="110"/>
      <c r="O463" s="111"/>
      <c r="P463" s="424" t="str">
        <f>IF(OR(Table13[[#This Row],[Annual Increase Option]]="No increase",Table13[[#This Row],[Annual Increase Option]]=""),"",_xlfn.XLOOKUP(MONTH(Table13[[#This Row],[Commencement Date]]),Lookups!$I$19:$I$30,Lookups!$J$19:$J$30,0))</f>
        <v/>
      </c>
      <c r="Q463" s="340"/>
      <c r="R463" s="340"/>
      <c r="S463" s="360">
        <f>IF(Table13[[#This Row],[Life Cover Amount]]="",0,Table2[[#This Row],[Life Premium]])</f>
        <v>0</v>
      </c>
      <c r="T463" s="360">
        <f>IF(Table13[[#This Row],[Funeral Cover Amount]]=0,0,Table2[[#This Row],[Funeral Premium]])</f>
        <v>0</v>
      </c>
      <c r="U463" s="360">
        <f>IF(AND(Table13[[#This Row],[Life Cover Amount]]="",Table13[[#This Row],[Funeral Cover Amount]]=""),0,onboarding_calcs!AA463)</f>
        <v>0</v>
      </c>
      <c r="V463" s="111"/>
      <c r="W463" s="111"/>
      <c r="X463" s="333"/>
      <c r="Y463" s="110"/>
      <c r="Z463" s="113"/>
      <c r="AA463" s="425"/>
      <c r="AB463" s="425"/>
      <c r="AC463" s="113"/>
      <c r="AD463" s="110"/>
      <c r="AE463" s="110"/>
      <c r="AF463" s="110"/>
      <c r="AG463" s="110"/>
      <c r="AH463" s="110"/>
      <c r="AI463" s="113"/>
      <c r="AJ463" s="110"/>
      <c r="AK463" s="110"/>
      <c r="AL463" s="110"/>
      <c r="AM463" s="110"/>
      <c r="AN463" s="110"/>
      <c r="AO463" s="113"/>
      <c r="AP463" s="113"/>
      <c r="AQ463" s="113"/>
      <c r="AR463" s="110"/>
      <c r="AS463" s="113"/>
      <c r="AT463" s="113"/>
      <c r="AU463" s="112"/>
      <c r="AV463" s="338"/>
      <c r="AW463" s="110"/>
      <c r="AX463" s="110"/>
      <c r="AY463" s="113"/>
      <c r="AZ463" s="113"/>
      <c r="BA463" s="113"/>
      <c r="BB463" s="113"/>
      <c r="BC463" s="113"/>
      <c r="BD463" s="113"/>
      <c r="BF46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64" spans="1:58" x14ac:dyDescent="0.3">
      <c r="A464" s="422"/>
      <c r="B464" s="376"/>
      <c r="C464" s="110"/>
      <c r="D464" s="110"/>
      <c r="E464" s="340"/>
      <c r="F464" s="330"/>
      <c r="G464" s="113"/>
      <c r="H464" s="332"/>
      <c r="I464" s="113"/>
      <c r="J464" s="332"/>
      <c r="K464" s="110"/>
      <c r="L464" s="110"/>
      <c r="M464" s="110"/>
      <c r="N464" s="110"/>
      <c r="O464" s="111"/>
      <c r="P464" s="424" t="str">
        <f>IF(OR(Table13[[#This Row],[Annual Increase Option]]="No increase",Table13[[#This Row],[Annual Increase Option]]=""),"",_xlfn.XLOOKUP(MONTH(Table13[[#This Row],[Commencement Date]]),Lookups!$I$19:$I$30,Lookups!$J$19:$J$30,0))</f>
        <v/>
      </c>
      <c r="Q464" s="340"/>
      <c r="R464" s="340"/>
      <c r="S464" s="360">
        <f>IF(Table13[[#This Row],[Life Cover Amount]]="",0,Table2[[#This Row],[Life Premium]])</f>
        <v>0</v>
      </c>
      <c r="T464" s="360">
        <f>IF(Table13[[#This Row],[Funeral Cover Amount]]=0,0,Table2[[#This Row],[Funeral Premium]])</f>
        <v>0</v>
      </c>
      <c r="U464" s="360">
        <f>IF(AND(Table13[[#This Row],[Life Cover Amount]]="",Table13[[#This Row],[Funeral Cover Amount]]=""),0,onboarding_calcs!AA464)</f>
        <v>0</v>
      </c>
      <c r="V464" s="111"/>
      <c r="W464" s="111"/>
      <c r="X464" s="333"/>
      <c r="Y464" s="110"/>
      <c r="Z464" s="113"/>
      <c r="AA464" s="425"/>
      <c r="AB464" s="425"/>
      <c r="AC464" s="113"/>
      <c r="AD464" s="110"/>
      <c r="AE464" s="110"/>
      <c r="AF464" s="110"/>
      <c r="AG464" s="110"/>
      <c r="AH464" s="110"/>
      <c r="AI464" s="113"/>
      <c r="AJ464" s="110"/>
      <c r="AK464" s="110"/>
      <c r="AL464" s="110"/>
      <c r="AM464" s="110"/>
      <c r="AN464" s="110"/>
      <c r="AO464" s="113"/>
      <c r="AP464" s="113"/>
      <c r="AQ464" s="113"/>
      <c r="AR464" s="110"/>
      <c r="AS464" s="113"/>
      <c r="AT464" s="113"/>
      <c r="AU464" s="112"/>
      <c r="AV464" s="338"/>
      <c r="AW464" s="110"/>
      <c r="AX464" s="110"/>
      <c r="AY464" s="113"/>
      <c r="AZ464" s="113"/>
      <c r="BA464" s="113"/>
      <c r="BB464" s="113"/>
      <c r="BC464" s="113"/>
      <c r="BD464" s="113"/>
      <c r="BF46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65" spans="1:58" x14ac:dyDescent="0.3">
      <c r="A465" s="422"/>
      <c r="B465" s="376"/>
      <c r="C465" s="110"/>
      <c r="D465" s="110"/>
      <c r="E465" s="340"/>
      <c r="F465" s="330"/>
      <c r="G465" s="113"/>
      <c r="H465" s="332"/>
      <c r="I465" s="113"/>
      <c r="J465" s="332"/>
      <c r="K465" s="110"/>
      <c r="L465" s="110"/>
      <c r="M465" s="110"/>
      <c r="N465" s="110"/>
      <c r="O465" s="111"/>
      <c r="P465" s="424" t="str">
        <f>IF(OR(Table13[[#This Row],[Annual Increase Option]]="No increase",Table13[[#This Row],[Annual Increase Option]]=""),"",_xlfn.XLOOKUP(MONTH(Table13[[#This Row],[Commencement Date]]),Lookups!$I$19:$I$30,Lookups!$J$19:$J$30,0))</f>
        <v/>
      </c>
      <c r="Q465" s="340"/>
      <c r="R465" s="340"/>
      <c r="S465" s="360">
        <f>IF(Table13[[#This Row],[Life Cover Amount]]="",0,Table2[[#This Row],[Life Premium]])</f>
        <v>0</v>
      </c>
      <c r="T465" s="360">
        <f>IF(Table13[[#This Row],[Funeral Cover Amount]]=0,0,Table2[[#This Row],[Funeral Premium]])</f>
        <v>0</v>
      </c>
      <c r="U465" s="360">
        <f>IF(AND(Table13[[#This Row],[Life Cover Amount]]="",Table13[[#This Row],[Funeral Cover Amount]]=""),0,onboarding_calcs!AA465)</f>
        <v>0</v>
      </c>
      <c r="V465" s="111"/>
      <c r="W465" s="111"/>
      <c r="X465" s="333"/>
      <c r="Y465" s="110"/>
      <c r="Z465" s="113"/>
      <c r="AA465" s="425"/>
      <c r="AB465" s="425"/>
      <c r="AC465" s="113"/>
      <c r="AD465" s="110"/>
      <c r="AE465" s="110"/>
      <c r="AF465" s="110"/>
      <c r="AG465" s="110"/>
      <c r="AH465" s="110"/>
      <c r="AI465" s="113"/>
      <c r="AJ465" s="110"/>
      <c r="AK465" s="110"/>
      <c r="AL465" s="110"/>
      <c r="AM465" s="110"/>
      <c r="AN465" s="110"/>
      <c r="AO465" s="113"/>
      <c r="AP465" s="113"/>
      <c r="AQ465" s="113"/>
      <c r="AR465" s="110"/>
      <c r="AS465" s="113"/>
      <c r="AT465" s="113"/>
      <c r="AU465" s="112"/>
      <c r="AV465" s="338"/>
      <c r="AW465" s="110"/>
      <c r="AX465" s="110"/>
      <c r="AY465" s="113"/>
      <c r="AZ465" s="113"/>
      <c r="BA465" s="113"/>
      <c r="BB465" s="113"/>
      <c r="BC465" s="113"/>
      <c r="BD465" s="113"/>
      <c r="BF46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66" spans="1:58" x14ac:dyDescent="0.3">
      <c r="A466" s="422"/>
      <c r="B466" s="376"/>
      <c r="C466" s="110"/>
      <c r="D466" s="110"/>
      <c r="E466" s="340"/>
      <c r="F466" s="330"/>
      <c r="G466" s="113"/>
      <c r="H466" s="332"/>
      <c r="I466" s="113"/>
      <c r="J466" s="332"/>
      <c r="K466" s="110"/>
      <c r="L466" s="110"/>
      <c r="M466" s="110"/>
      <c r="N466" s="110"/>
      <c r="O466" s="111"/>
      <c r="P466" s="424" t="str">
        <f>IF(OR(Table13[[#This Row],[Annual Increase Option]]="No increase",Table13[[#This Row],[Annual Increase Option]]=""),"",_xlfn.XLOOKUP(MONTH(Table13[[#This Row],[Commencement Date]]),Lookups!$I$19:$I$30,Lookups!$J$19:$J$30,0))</f>
        <v/>
      </c>
      <c r="Q466" s="340"/>
      <c r="R466" s="340"/>
      <c r="S466" s="360">
        <f>IF(Table13[[#This Row],[Life Cover Amount]]="",0,Table2[[#This Row],[Life Premium]])</f>
        <v>0</v>
      </c>
      <c r="T466" s="360">
        <f>IF(Table13[[#This Row],[Funeral Cover Amount]]=0,0,Table2[[#This Row],[Funeral Premium]])</f>
        <v>0</v>
      </c>
      <c r="U466" s="360">
        <f>IF(AND(Table13[[#This Row],[Life Cover Amount]]="",Table13[[#This Row],[Funeral Cover Amount]]=""),0,onboarding_calcs!AA466)</f>
        <v>0</v>
      </c>
      <c r="V466" s="111"/>
      <c r="W466" s="111"/>
      <c r="X466" s="333"/>
      <c r="Y466" s="110"/>
      <c r="Z466" s="113"/>
      <c r="AA466" s="425"/>
      <c r="AB466" s="425"/>
      <c r="AC466" s="113"/>
      <c r="AD466" s="110"/>
      <c r="AE466" s="110"/>
      <c r="AF466" s="110"/>
      <c r="AG466" s="110"/>
      <c r="AH466" s="110"/>
      <c r="AI466" s="113"/>
      <c r="AJ466" s="110"/>
      <c r="AK466" s="110"/>
      <c r="AL466" s="110"/>
      <c r="AM466" s="110"/>
      <c r="AN466" s="110"/>
      <c r="AO466" s="113"/>
      <c r="AP466" s="113"/>
      <c r="AQ466" s="113"/>
      <c r="AR466" s="110"/>
      <c r="AS466" s="113"/>
      <c r="AT466" s="113"/>
      <c r="AU466" s="112"/>
      <c r="AV466" s="338"/>
      <c r="AW466" s="110"/>
      <c r="AX466" s="110"/>
      <c r="AY466" s="113"/>
      <c r="AZ466" s="113"/>
      <c r="BA466" s="113"/>
      <c r="BB466" s="113"/>
      <c r="BC466" s="113"/>
      <c r="BD466" s="113"/>
      <c r="BF46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67" spans="1:58" x14ac:dyDescent="0.3">
      <c r="A467" s="422"/>
      <c r="B467" s="376"/>
      <c r="C467" s="110"/>
      <c r="D467" s="110"/>
      <c r="E467" s="340"/>
      <c r="F467" s="330"/>
      <c r="G467" s="113"/>
      <c r="H467" s="332"/>
      <c r="I467" s="113"/>
      <c r="J467" s="332"/>
      <c r="K467" s="110"/>
      <c r="L467" s="110"/>
      <c r="M467" s="110"/>
      <c r="N467" s="110"/>
      <c r="O467" s="111"/>
      <c r="P467" s="424" t="str">
        <f>IF(OR(Table13[[#This Row],[Annual Increase Option]]="No increase",Table13[[#This Row],[Annual Increase Option]]=""),"",_xlfn.XLOOKUP(MONTH(Table13[[#This Row],[Commencement Date]]),Lookups!$I$19:$I$30,Lookups!$J$19:$J$30,0))</f>
        <v/>
      </c>
      <c r="Q467" s="340"/>
      <c r="R467" s="340"/>
      <c r="S467" s="360">
        <f>IF(Table13[[#This Row],[Life Cover Amount]]="",0,Table2[[#This Row],[Life Premium]])</f>
        <v>0</v>
      </c>
      <c r="T467" s="360">
        <f>IF(Table13[[#This Row],[Funeral Cover Amount]]=0,0,Table2[[#This Row],[Funeral Premium]])</f>
        <v>0</v>
      </c>
      <c r="U467" s="360">
        <f>IF(AND(Table13[[#This Row],[Life Cover Amount]]="",Table13[[#This Row],[Funeral Cover Amount]]=""),0,onboarding_calcs!AA467)</f>
        <v>0</v>
      </c>
      <c r="V467" s="111"/>
      <c r="W467" s="111"/>
      <c r="X467" s="333"/>
      <c r="Y467" s="110"/>
      <c r="Z467" s="113"/>
      <c r="AA467" s="425"/>
      <c r="AB467" s="425"/>
      <c r="AC467" s="113"/>
      <c r="AD467" s="110"/>
      <c r="AE467" s="110"/>
      <c r="AF467" s="110"/>
      <c r="AG467" s="110"/>
      <c r="AH467" s="110"/>
      <c r="AI467" s="113"/>
      <c r="AJ467" s="110"/>
      <c r="AK467" s="110"/>
      <c r="AL467" s="110"/>
      <c r="AM467" s="110"/>
      <c r="AN467" s="110"/>
      <c r="AO467" s="113"/>
      <c r="AP467" s="113"/>
      <c r="AQ467" s="113"/>
      <c r="AR467" s="110"/>
      <c r="AS467" s="113"/>
      <c r="AT467" s="113"/>
      <c r="AU467" s="112"/>
      <c r="AV467" s="338"/>
      <c r="AW467" s="110"/>
      <c r="AX467" s="110"/>
      <c r="AY467" s="113"/>
      <c r="AZ467" s="113"/>
      <c r="BA467" s="113"/>
      <c r="BB467" s="113"/>
      <c r="BC467" s="113"/>
      <c r="BD467" s="113"/>
      <c r="BF46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68" spans="1:58" x14ac:dyDescent="0.3">
      <c r="A468" s="422"/>
      <c r="B468" s="376"/>
      <c r="C468" s="110"/>
      <c r="D468" s="110"/>
      <c r="E468" s="340"/>
      <c r="F468" s="330"/>
      <c r="G468" s="113"/>
      <c r="H468" s="332"/>
      <c r="I468" s="113"/>
      <c r="J468" s="332"/>
      <c r="K468" s="110"/>
      <c r="L468" s="110"/>
      <c r="M468" s="110"/>
      <c r="N468" s="110"/>
      <c r="O468" s="111"/>
      <c r="P468" s="424" t="str">
        <f>IF(OR(Table13[[#This Row],[Annual Increase Option]]="No increase",Table13[[#This Row],[Annual Increase Option]]=""),"",_xlfn.XLOOKUP(MONTH(Table13[[#This Row],[Commencement Date]]),Lookups!$I$19:$I$30,Lookups!$J$19:$J$30,0))</f>
        <v/>
      </c>
      <c r="Q468" s="340"/>
      <c r="R468" s="340"/>
      <c r="S468" s="360">
        <f>IF(Table13[[#This Row],[Life Cover Amount]]="",0,Table2[[#This Row],[Life Premium]])</f>
        <v>0</v>
      </c>
      <c r="T468" s="360">
        <f>IF(Table13[[#This Row],[Funeral Cover Amount]]=0,0,Table2[[#This Row],[Funeral Premium]])</f>
        <v>0</v>
      </c>
      <c r="U468" s="360">
        <f>IF(AND(Table13[[#This Row],[Life Cover Amount]]="",Table13[[#This Row],[Funeral Cover Amount]]=""),0,onboarding_calcs!AA468)</f>
        <v>0</v>
      </c>
      <c r="V468" s="111"/>
      <c r="W468" s="111"/>
      <c r="X468" s="333"/>
      <c r="Y468" s="110"/>
      <c r="Z468" s="113"/>
      <c r="AA468" s="425"/>
      <c r="AB468" s="425"/>
      <c r="AC468" s="113"/>
      <c r="AD468" s="110"/>
      <c r="AE468" s="110"/>
      <c r="AF468" s="110"/>
      <c r="AG468" s="110"/>
      <c r="AH468" s="110"/>
      <c r="AI468" s="113"/>
      <c r="AJ468" s="110"/>
      <c r="AK468" s="110"/>
      <c r="AL468" s="110"/>
      <c r="AM468" s="110"/>
      <c r="AN468" s="110"/>
      <c r="AO468" s="113"/>
      <c r="AP468" s="113"/>
      <c r="AQ468" s="113"/>
      <c r="AR468" s="110"/>
      <c r="AS468" s="113"/>
      <c r="AT468" s="113"/>
      <c r="AU468" s="112"/>
      <c r="AV468" s="338"/>
      <c r="AW468" s="110"/>
      <c r="AX468" s="110"/>
      <c r="AY468" s="113"/>
      <c r="AZ468" s="113"/>
      <c r="BA468" s="113"/>
      <c r="BB468" s="113"/>
      <c r="BC468" s="113"/>
      <c r="BD468" s="113"/>
      <c r="BF46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69" spans="1:58" x14ac:dyDescent="0.3">
      <c r="A469" s="422"/>
      <c r="B469" s="376"/>
      <c r="C469" s="110"/>
      <c r="D469" s="110"/>
      <c r="E469" s="340"/>
      <c r="F469" s="330"/>
      <c r="G469" s="113"/>
      <c r="H469" s="332"/>
      <c r="I469" s="113"/>
      <c r="J469" s="332"/>
      <c r="K469" s="110"/>
      <c r="L469" s="110"/>
      <c r="M469" s="110"/>
      <c r="N469" s="110"/>
      <c r="O469" s="111"/>
      <c r="P469" s="424" t="str">
        <f>IF(OR(Table13[[#This Row],[Annual Increase Option]]="No increase",Table13[[#This Row],[Annual Increase Option]]=""),"",_xlfn.XLOOKUP(MONTH(Table13[[#This Row],[Commencement Date]]),Lookups!$I$19:$I$30,Lookups!$J$19:$J$30,0))</f>
        <v/>
      </c>
      <c r="Q469" s="340"/>
      <c r="R469" s="340"/>
      <c r="S469" s="360">
        <f>IF(Table13[[#This Row],[Life Cover Amount]]="",0,Table2[[#This Row],[Life Premium]])</f>
        <v>0</v>
      </c>
      <c r="T469" s="360">
        <f>IF(Table13[[#This Row],[Funeral Cover Amount]]=0,0,Table2[[#This Row],[Funeral Premium]])</f>
        <v>0</v>
      </c>
      <c r="U469" s="360">
        <f>IF(AND(Table13[[#This Row],[Life Cover Amount]]="",Table13[[#This Row],[Funeral Cover Amount]]=""),0,onboarding_calcs!AA469)</f>
        <v>0</v>
      </c>
      <c r="V469" s="111"/>
      <c r="W469" s="111"/>
      <c r="X469" s="333"/>
      <c r="Y469" s="110"/>
      <c r="Z469" s="113"/>
      <c r="AA469" s="425"/>
      <c r="AB469" s="425"/>
      <c r="AC469" s="113"/>
      <c r="AD469" s="110"/>
      <c r="AE469" s="110"/>
      <c r="AF469" s="110"/>
      <c r="AG469" s="110"/>
      <c r="AH469" s="110"/>
      <c r="AI469" s="113"/>
      <c r="AJ469" s="110"/>
      <c r="AK469" s="110"/>
      <c r="AL469" s="110"/>
      <c r="AM469" s="110"/>
      <c r="AN469" s="110"/>
      <c r="AO469" s="113"/>
      <c r="AP469" s="113"/>
      <c r="AQ469" s="113"/>
      <c r="AR469" s="110"/>
      <c r="AS469" s="113"/>
      <c r="AT469" s="113"/>
      <c r="AU469" s="112"/>
      <c r="AV469" s="338"/>
      <c r="AW469" s="110"/>
      <c r="AX469" s="110"/>
      <c r="AY469" s="113"/>
      <c r="AZ469" s="113"/>
      <c r="BA469" s="113"/>
      <c r="BB469" s="113"/>
      <c r="BC469" s="113"/>
      <c r="BD469" s="113"/>
      <c r="BF46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70" spans="1:58" x14ac:dyDescent="0.3">
      <c r="A470" s="422"/>
      <c r="B470" s="376"/>
      <c r="C470" s="110"/>
      <c r="D470" s="110"/>
      <c r="E470" s="340"/>
      <c r="F470" s="330"/>
      <c r="G470" s="113"/>
      <c r="H470" s="332"/>
      <c r="I470" s="113"/>
      <c r="J470" s="332"/>
      <c r="K470" s="110"/>
      <c r="L470" s="110"/>
      <c r="M470" s="110"/>
      <c r="N470" s="110"/>
      <c r="O470" s="111"/>
      <c r="P470" s="424" t="str">
        <f>IF(OR(Table13[[#This Row],[Annual Increase Option]]="No increase",Table13[[#This Row],[Annual Increase Option]]=""),"",_xlfn.XLOOKUP(MONTH(Table13[[#This Row],[Commencement Date]]),Lookups!$I$19:$I$30,Lookups!$J$19:$J$30,0))</f>
        <v/>
      </c>
      <c r="Q470" s="340"/>
      <c r="R470" s="340"/>
      <c r="S470" s="360">
        <f>IF(Table13[[#This Row],[Life Cover Amount]]="",0,Table2[[#This Row],[Life Premium]])</f>
        <v>0</v>
      </c>
      <c r="T470" s="360">
        <f>IF(Table13[[#This Row],[Funeral Cover Amount]]=0,0,Table2[[#This Row],[Funeral Premium]])</f>
        <v>0</v>
      </c>
      <c r="U470" s="360">
        <f>IF(AND(Table13[[#This Row],[Life Cover Amount]]="",Table13[[#This Row],[Funeral Cover Amount]]=""),0,onboarding_calcs!AA470)</f>
        <v>0</v>
      </c>
      <c r="V470" s="111"/>
      <c r="W470" s="111"/>
      <c r="X470" s="333"/>
      <c r="Y470" s="110"/>
      <c r="Z470" s="113"/>
      <c r="AA470" s="425"/>
      <c r="AB470" s="425"/>
      <c r="AC470" s="113"/>
      <c r="AD470" s="110"/>
      <c r="AE470" s="110"/>
      <c r="AF470" s="110"/>
      <c r="AG470" s="110"/>
      <c r="AH470" s="110"/>
      <c r="AI470" s="113"/>
      <c r="AJ470" s="110"/>
      <c r="AK470" s="110"/>
      <c r="AL470" s="110"/>
      <c r="AM470" s="110"/>
      <c r="AN470" s="110"/>
      <c r="AO470" s="113"/>
      <c r="AP470" s="113"/>
      <c r="AQ470" s="113"/>
      <c r="AR470" s="110"/>
      <c r="AS470" s="113"/>
      <c r="AT470" s="113"/>
      <c r="AU470" s="112"/>
      <c r="AV470" s="338"/>
      <c r="AW470" s="110"/>
      <c r="AX470" s="110"/>
      <c r="AY470" s="113"/>
      <c r="AZ470" s="113"/>
      <c r="BA470" s="113"/>
      <c r="BB470" s="113"/>
      <c r="BC470" s="113"/>
      <c r="BD470" s="113"/>
      <c r="BF47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71" spans="1:58" x14ac:dyDescent="0.3">
      <c r="A471" s="422"/>
      <c r="B471" s="376"/>
      <c r="C471" s="110"/>
      <c r="D471" s="110"/>
      <c r="E471" s="340"/>
      <c r="F471" s="330"/>
      <c r="G471" s="113"/>
      <c r="H471" s="332"/>
      <c r="I471" s="113"/>
      <c r="J471" s="332"/>
      <c r="K471" s="110"/>
      <c r="L471" s="110"/>
      <c r="M471" s="110"/>
      <c r="N471" s="110"/>
      <c r="O471" s="111"/>
      <c r="P471" s="424" t="str">
        <f>IF(OR(Table13[[#This Row],[Annual Increase Option]]="No increase",Table13[[#This Row],[Annual Increase Option]]=""),"",_xlfn.XLOOKUP(MONTH(Table13[[#This Row],[Commencement Date]]),Lookups!$I$19:$I$30,Lookups!$J$19:$J$30,0))</f>
        <v/>
      </c>
      <c r="Q471" s="340"/>
      <c r="R471" s="340"/>
      <c r="S471" s="360">
        <f>IF(Table13[[#This Row],[Life Cover Amount]]="",0,Table2[[#This Row],[Life Premium]])</f>
        <v>0</v>
      </c>
      <c r="T471" s="360">
        <f>IF(Table13[[#This Row],[Funeral Cover Amount]]=0,0,Table2[[#This Row],[Funeral Premium]])</f>
        <v>0</v>
      </c>
      <c r="U471" s="360">
        <f>IF(AND(Table13[[#This Row],[Life Cover Amount]]="",Table13[[#This Row],[Funeral Cover Amount]]=""),0,onboarding_calcs!AA471)</f>
        <v>0</v>
      </c>
      <c r="V471" s="111"/>
      <c r="W471" s="111"/>
      <c r="X471" s="333"/>
      <c r="Y471" s="110"/>
      <c r="Z471" s="113"/>
      <c r="AA471" s="425"/>
      <c r="AB471" s="425"/>
      <c r="AC471" s="113"/>
      <c r="AD471" s="110"/>
      <c r="AE471" s="110"/>
      <c r="AF471" s="110"/>
      <c r="AG471" s="110"/>
      <c r="AH471" s="110"/>
      <c r="AI471" s="113"/>
      <c r="AJ471" s="110"/>
      <c r="AK471" s="110"/>
      <c r="AL471" s="110"/>
      <c r="AM471" s="110"/>
      <c r="AN471" s="110"/>
      <c r="AO471" s="113"/>
      <c r="AP471" s="113"/>
      <c r="AQ471" s="113"/>
      <c r="AR471" s="110"/>
      <c r="AS471" s="113"/>
      <c r="AT471" s="113"/>
      <c r="AU471" s="112"/>
      <c r="AV471" s="338"/>
      <c r="AW471" s="110"/>
      <c r="AX471" s="110"/>
      <c r="AY471" s="113"/>
      <c r="AZ471" s="113"/>
      <c r="BA471" s="113"/>
      <c r="BB471" s="113"/>
      <c r="BC471" s="113"/>
      <c r="BD471" s="113"/>
      <c r="BF47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72" spans="1:58" x14ac:dyDescent="0.3">
      <c r="A472" s="422"/>
      <c r="B472" s="376"/>
      <c r="C472" s="110"/>
      <c r="D472" s="110"/>
      <c r="E472" s="340"/>
      <c r="F472" s="330"/>
      <c r="G472" s="113"/>
      <c r="H472" s="332"/>
      <c r="I472" s="113"/>
      <c r="J472" s="332"/>
      <c r="K472" s="110"/>
      <c r="L472" s="110"/>
      <c r="M472" s="110"/>
      <c r="N472" s="110"/>
      <c r="O472" s="111"/>
      <c r="P472" s="424" t="str">
        <f>IF(OR(Table13[[#This Row],[Annual Increase Option]]="No increase",Table13[[#This Row],[Annual Increase Option]]=""),"",_xlfn.XLOOKUP(MONTH(Table13[[#This Row],[Commencement Date]]),Lookups!$I$19:$I$30,Lookups!$J$19:$J$30,0))</f>
        <v/>
      </c>
      <c r="Q472" s="340"/>
      <c r="R472" s="340"/>
      <c r="S472" s="360">
        <f>IF(Table13[[#This Row],[Life Cover Amount]]="",0,Table2[[#This Row],[Life Premium]])</f>
        <v>0</v>
      </c>
      <c r="T472" s="360">
        <f>IF(Table13[[#This Row],[Funeral Cover Amount]]=0,0,Table2[[#This Row],[Funeral Premium]])</f>
        <v>0</v>
      </c>
      <c r="U472" s="360">
        <f>IF(AND(Table13[[#This Row],[Life Cover Amount]]="",Table13[[#This Row],[Funeral Cover Amount]]=""),0,onboarding_calcs!AA472)</f>
        <v>0</v>
      </c>
      <c r="V472" s="111"/>
      <c r="W472" s="111"/>
      <c r="X472" s="333"/>
      <c r="Y472" s="110"/>
      <c r="Z472" s="113"/>
      <c r="AA472" s="425"/>
      <c r="AB472" s="425"/>
      <c r="AC472" s="113"/>
      <c r="AD472" s="110"/>
      <c r="AE472" s="110"/>
      <c r="AF472" s="110"/>
      <c r="AG472" s="110"/>
      <c r="AH472" s="110"/>
      <c r="AI472" s="113"/>
      <c r="AJ472" s="110"/>
      <c r="AK472" s="110"/>
      <c r="AL472" s="110"/>
      <c r="AM472" s="110"/>
      <c r="AN472" s="110"/>
      <c r="AO472" s="113"/>
      <c r="AP472" s="113"/>
      <c r="AQ472" s="113"/>
      <c r="AR472" s="110"/>
      <c r="AS472" s="113"/>
      <c r="AT472" s="113"/>
      <c r="AU472" s="112"/>
      <c r="AV472" s="338"/>
      <c r="AW472" s="110"/>
      <c r="AX472" s="110"/>
      <c r="AY472" s="113"/>
      <c r="AZ472" s="113"/>
      <c r="BA472" s="113"/>
      <c r="BB472" s="113"/>
      <c r="BC472" s="113"/>
      <c r="BD472" s="113"/>
      <c r="BF47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73" spans="1:58" x14ac:dyDescent="0.3">
      <c r="A473" s="422"/>
      <c r="B473" s="376"/>
      <c r="C473" s="110"/>
      <c r="D473" s="110"/>
      <c r="E473" s="340"/>
      <c r="F473" s="330"/>
      <c r="G473" s="113"/>
      <c r="H473" s="332"/>
      <c r="I473" s="113"/>
      <c r="J473" s="332"/>
      <c r="K473" s="110"/>
      <c r="L473" s="110"/>
      <c r="M473" s="110"/>
      <c r="N473" s="110"/>
      <c r="O473" s="111"/>
      <c r="P473" s="424" t="str">
        <f>IF(OR(Table13[[#This Row],[Annual Increase Option]]="No increase",Table13[[#This Row],[Annual Increase Option]]=""),"",_xlfn.XLOOKUP(MONTH(Table13[[#This Row],[Commencement Date]]),Lookups!$I$19:$I$30,Lookups!$J$19:$J$30,0))</f>
        <v/>
      </c>
      <c r="Q473" s="340"/>
      <c r="R473" s="340"/>
      <c r="S473" s="360">
        <f>IF(Table13[[#This Row],[Life Cover Amount]]="",0,Table2[[#This Row],[Life Premium]])</f>
        <v>0</v>
      </c>
      <c r="T473" s="360">
        <f>IF(Table13[[#This Row],[Funeral Cover Amount]]=0,0,Table2[[#This Row],[Funeral Premium]])</f>
        <v>0</v>
      </c>
      <c r="U473" s="360">
        <f>IF(AND(Table13[[#This Row],[Life Cover Amount]]="",Table13[[#This Row],[Funeral Cover Amount]]=""),0,onboarding_calcs!AA473)</f>
        <v>0</v>
      </c>
      <c r="V473" s="111"/>
      <c r="W473" s="111"/>
      <c r="X473" s="333"/>
      <c r="Y473" s="110"/>
      <c r="Z473" s="113"/>
      <c r="AA473" s="425"/>
      <c r="AB473" s="425"/>
      <c r="AC473" s="113"/>
      <c r="AD473" s="110"/>
      <c r="AE473" s="110"/>
      <c r="AF473" s="110"/>
      <c r="AG473" s="110"/>
      <c r="AH473" s="110"/>
      <c r="AI473" s="113"/>
      <c r="AJ473" s="110"/>
      <c r="AK473" s="110"/>
      <c r="AL473" s="110"/>
      <c r="AM473" s="110"/>
      <c r="AN473" s="110"/>
      <c r="AO473" s="113"/>
      <c r="AP473" s="113"/>
      <c r="AQ473" s="113"/>
      <c r="AR473" s="110"/>
      <c r="AS473" s="113"/>
      <c r="AT473" s="113"/>
      <c r="AU473" s="112"/>
      <c r="AV473" s="338"/>
      <c r="AW473" s="110"/>
      <c r="AX473" s="110"/>
      <c r="AY473" s="113"/>
      <c r="AZ473" s="113"/>
      <c r="BA473" s="113"/>
      <c r="BB473" s="113"/>
      <c r="BC473" s="113"/>
      <c r="BD473" s="113"/>
      <c r="BF47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74" spans="1:58" x14ac:dyDescent="0.3">
      <c r="A474" s="422"/>
      <c r="B474" s="376"/>
      <c r="C474" s="110"/>
      <c r="D474" s="110"/>
      <c r="E474" s="340"/>
      <c r="F474" s="330"/>
      <c r="G474" s="113"/>
      <c r="H474" s="332"/>
      <c r="I474" s="113"/>
      <c r="J474" s="332"/>
      <c r="K474" s="110"/>
      <c r="L474" s="110"/>
      <c r="M474" s="110"/>
      <c r="N474" s="110"/>
      <c r="O474" s="111"/>
      <c r="P474" s="424" t="str">
        <f>IF(OR(Table13[[#This Row],[Annual Increase Option]]="No increase",Table13[[#This Row],[Annual Increase Option]]=""),"",_xlfn.XLOOKUP(MONTH(Table13[[#This Row],[Commencement Date]]),Lookups!$I$19:$I$30,Lookups!$J$19:$J$30,0))</f>
        <v/>
      </c>
      <c r="Q474" s="340"/>
      <c r="R474" s="340"/>
      <c r="S474" s="360">
        <f>IF(Table13[[#This Row],[Life Cover Amount]]="",0,Table2[[#This Row],[Life Premium]])</f>
        <v>0</v>
      </c>
      <c r="T474" s="360">
        <f>IF(Table13[[#This Row],[Funeral Cover Amount]]=0,0,Table2[[#This Row],[Funeral Premium]])</f>
        <v>0</v>
      </c>
      <c r="U474" s="360">
        <f>IF(AND(Table13[[#This Row],[Life Cover Amount]]="",Table13[[#This Row],[Funeral Cover Amount]]=""),0,onboarding_calcs!AA474)</f>
        <v>0</v>
      </c>
      <c r="V474" s="111"/>
      <c r="W474" s="111"/>
      <c r="X474" s="333"/>
      <c r="Y474" s="110"/>
      <c r="Z474" s="113"/>
      <c r="AA474" s="425"/>
      <c r="AB474" s="425"/>
      <c r="AC474" s="113"/>
      <c r="AD474" s="110"/>
      <c r="AE474" s="110"/>
      <c r="AF474" s="110"/>
      <c r="AG474" s="110"/>
      <c r="AH474" s="110"/>
      <c r="AI474" s="113"/>
      <c r="AJ474" s="110"/>
      <c r="AK474" s="110"/>
      <c r="AL474" s="110"/>
      <c r="AM474" s="110"/>
      <c r="AN474" s="110"/>
      <c r="AO474" s="113"/>
      <c r="AP474" s="113"/>
      <c r="AQ474" s="113"/>
      <c r="AR474" s="110"/>
      <c r="AS474" s="113"/>
      <c r="AT474" s="113"/>
      <c r="AU474" s="112"/>
      <c r="AV474" s="338"/>
      <c r="AW474" s="110"/>
      <c r="AX474" s="110"/>
      <c r="AY474" s="113"/>
      <c r="AZ474" s="113"/>
      <c r="BA474" s="113"/>
      <c r="BB474" s="113"/>
      <c r="BC474" s="113"/>
      <c r="BD474" s="113"/>
      <c r="BF47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75" spans="1:58" x14ac:dyDescent="0.3">
      <c r="A475" s="422"/>
      <c r="B475" s="376"/>
      <c r="C475" s="110"/>
      <c r="D475" s="110"/>
      <c r="E475" s="340"/>
      <c r="F475" s="330"/>
      <c r="G475" s="113"/>
      <c r="H475" s="332"/>
      <c r="I475" s="113"/>
      <c r="J475" s="332"/>
      <c r="K475" s="110"/>
      <c r="L475" s="110"/>
      <c r="M475" s="110"/>
      <c r="N475" s="110"/>
      <c r="O475" s="111"/>
      <c r="P475" s="424" t="str">
        <f>IF(OR(Table13[[#This Row],[Annual Increase Option]]="No increase",Table13[[#This Row],[Annual Increase Option]]=""),"",_xlfn.XLOOKUP(MONTH(Table13[[#This Row],[Commencement Date]]),Lookups!$I$19:$I$30,Lookups!$J$19:$J$30,0))</f>
        <v/>
      </c>
      <c r="Q475" s="340"/>
      <c r="R475" s="340"/>
      <c r="S475" s="360">
        <f>IF(Table13[[#This Row],[Life Cover Amount]]="",0,Table2[[#This Row],[Life Premium]])</f>
        <v>0</v>
      </c>
      <c r="T475" s="360">
        <f>IF(Table13[[#This Row],[Funeral Cover Amount]]=0,0,Table2[[#This Row],[Funeral Premium]])</f>
        <v>0</v>
      </c>
      <c r="U475" s="360">
        <f>IF(AND(Table13[[#This Row],[Life Cover Amount]]="",Table13[[#This Row],[Funeral Cover Amount]]=""),0,onboarding_calcs!AA475)</f>
        <v>0</v>
      </c>
      <c r="V475" s="111"/>
      <c r="W475" s="111"/>
      <c r="X475" s="333"/>
      <c r="Y475" s="110"/>
      <c r="Z475" s="113"/>
      <c r="AA475" s="425"/>
      <c r="AB475" s="425"/>
      <c r="AC475" s="113"/>
      <c r="AD475" s="110"/>
      <c r="AE475" s="110"/>
      <c r="AF475" s="110"/>
      <c r="AG475" s="110"/>
      <c r="AH475" s="110"/>
      <c r="AI475" s="113"/>
      <c r="AJ475" s="110"/>
      <c r="AK475" s="110"/>
      <c r="AL475" s="110"/>
      <c r="AM475" s="110"/>
      <c r="AN475" s="110"/>
      <c r="AO475" s="113"/>
      <c r="AP475" s="113"/>
      <c r="AQ475" s="113"/>
      <c r="AR475" s="110"/>
      <c r="AS475" s="113"/>
      <c r="AT475" s="113"/>
      <c r="AU475" s="112"/>
      <c r="AV475" s="338"/>
      <c r="AW475" s="110"/>
      <c r="AX475" s="110"/>
      <c r="AY475" s="113"/>
      <c r="AZ475" s="113"/>
      <c r="BA475" s="113"/>
      <c r="BB475" s="113"/>
      <c r="BC475" s="113"/>
      <c r="BD475" s="113"/>
      <c r="BF47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76" spans="1:58" x14ac:dyDescent="0.3">
      <c r="A476" s="422"/>
      <c r="B476" s="376"/>
      <c r="C476" s="110"/>
      <c r="D476" s="110"/>
      <c r="E476" s="340"/>
      <c r="F476" s="330"/>
      <c r="G476" s="113"/>
      <c r="H476" s="332"/>
      <c r="I476" s="113"/>
      <c r="J476" s="332"/>
      <c r="K476" s="110"/>
      <c r="L476" s="110"/>
      <c r="M476" s="110"/>
      <c r="N476" s="110"/>
      <c r="O476" s="111"/>
      <c r="P476" s="424" t="str">
        <f>IF(OR(Table13[[#This Row],[Annual Increase Option]]="No increase",Table13[[#This Row],[Annual Increase Option]]=""),"",_xlfn.XLOOKUP(MONTH(Table13[[#This Row],[Commencement Date]]),Lookups!$I$19:$I$30,Lookups!$J$19:$J$30,0))</f>
        <v/>
      </c>
      <c r="Q476" s="340"/>
      <c r="R476" s="340"/>
      <c r="S476" s="360">
        <f>IF(Table13[[#This Row],[Life Cover Amount]]="",0,Table2[[#This Row],[Life Premium]])</f>
        <v>0</v>
      </c>
      <c r="T476" s="360">
        <f>IF(Table13[[#This Row],[Funeral Cover Amount]]=0,0,Table2[[#This Row],[Funeral Premium]])</f>
        <v>0</v>
      </c>
      <c r="U476" s="360">
        <f>IF(AND(Table13[[#This Row],[Life Cover Amount]]="",Table13[[#This Row],[Funeral Cover Amount]]=""),0,onboarding_calcs!AA476)</f>
        <v>0</v>
      </c>
      <c r="V476" s="111"/>
      <c r="W476" s="111"/>
      <c r="X476" s="333"/>
      <c r="Y476" s="110"/>
      <c r="Z476" s="113"/>
      <c r="AA476" s="425"/>
      <c r="AB476" s="425"/>
      <c r="AC476" s="113"/>
      <c r="AD476" s="110"/>
      <c r="AE476" s="110"/>
      <c r="AF476" s="110"/>
      <c r="AG476" s="110"/>
      <c r="AH476" s="110"/>
      <c r="AI476" s="113"/>
      <c r="AJ476" s="110"/>
      <c r="AK476" s="110"/>
      <c r="AL476" s="110"/>
      <c r="AM476" s="110"/>
      <c r="AN476" s="110"/>
      <c r="AO476" s="113"/>
      <c r="AP476" s="113"/>
      <c r="AQ476" s="113"/>
      <c r="AR476" s="110"/>
      <c r="AS476" s="113"/>
      <c r="AT476" s="113"/>
      <c r="AU476" s="112"/>
      <c r="AV476" s="338"/>
      <c r="AW476" s="110"/>
      <c r="AX476" s="110"/>
      <c r="AY476" s="113"/>
      <c r="AZ476" s="113"/>
      <c r="BA476" s="113"/>
      <c r="BB476" s="113"/>
      <c r="BC476" s="113"/>
      <c r="BD476" s="113"/>
      <c r="BF47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77" spans="1:58" x14ac:dyDescent="0.3">
      <c r="A477" s="422"/>
      <c r="B477" s="376"/>
      <c r="C477" s="110"/>
      <c r="D477" s="110"/>
      <c r="E477" s="340"/>
      <c r="F477" s="330"/>
      <c r="G477" s="113"/>
      <c r="H477" s="332"/>
      <c r="I477" s="113"/>
      <c r="J477" s="332"/>
      <c r="K477" s="110"/>
      <c r="L477" s="110"/>
      <c r="M477" s="110"/>
      <c r="N477" s="110"/>
      <c r="O477" s="111"/>
      <c r="P477" s="424" t="str">
        <f>IF(OR(Table13[[#This Row],[Annual Increase Option]]="No increase",Table13[[#This Row],[Annual Increase Option]]=""),"",_xlfn.XLOOKUP(MONTH(Table13[[#This Row],[Commencement Date]]),Lookups!$I$19:$I$30,Lookups!$J$19:$J$30,0))</f>
        <v/>
      </c>
      <c r="Q477" s="340"/>
      <c r="R477" s="340"/>
      <c r="S477" s="360">
        <f>IF(Table13[[#This Row],[Life Cover Amount]]="",0,Table2[[#This Row],[Life Premium]])</f>
        <v>0</v>
      </c>
      <c r="T477" s="360">
        <f>IF(Table13[[#This Row],[Funeral Cover Amount]]=0,0,Table2[[#This Row],[Funeral Premium]])</f>
        <v>0</v>
      </c>
      <c r="U477" s="360">
        <f>IF(AND(Table13[[#This Row],[Life Cover Amount]]="",Table13[[#This Row],[Funeral Cover Amount]]=""),0,onboarding_calcs!AA477)</f>
        <v>0</v>
      </c>
      <c r="V477" s="111"/>
      <c r="W477" s="111"/>
      <c r="X477" s="333"/>
      <c r="Y477" s="110"/>
      <c r="Z477" s="113"/>
      <c r="AA477" s="425"/>
      <c r="AB477" s="425"/>
      <c r="AC477" s="113"/>
      <c r="AD477" s="110"/>
      <c r="AE477" s="110"/>
      <c r="AF477" s="110"/>
      <c r="AG477" s="110"/>
      <c r="AH477" s="110"/>
      <c r="AI477" s="113"/>
      <c r="AJ477" s="110"/>
      <c r="AK477" s="110"/>
      <c r="AL477" s="110"/>
      <c r="AM477" s="110"/>
      <c r="AN477" s="110"/>
      <c r="AO477" s="113"/>
      <c r="AP477" s="113"/>
      <c r="AQ477" s="113"/>
      <c r="AR477" s="110"/>
      <c r="AS477" s="113"/>
      <c r="AT477" s="113"/>
      <c r="AU477" s="112"/>
      <c r="AV477" s="338"/>
      <c r="AW477" s="110"/>
      <c r="AX477" s="110"/>
      <c r="AY477" s="113"/>
      <c r="AZ477" s="113"/>
      <c r="BA477" s="113"/>
      <c r="BB477" s="113"/>
      <c r="BC477" s="113"/>
      <c r="BD477" s="113"/>
      <c r="BF47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78" spans="1:58" x14ac:dyDescent="0.3">
      <c r="A478" s="422"/>
      <c r="B478" s="376"/>
      <c r="C478" s="110"/>
      <c r="D478" s="110"/>
      <c r="E478" s="340"/>
      <c r="F478" s="330"/>
      <c r="G478" s="113"/>
      <c r="H478" s="332"/>
      <c r="I478" s="113"/>
      <c r="J478" s="332"/>
      <c r="K478" s="110"/>
      <c r="L478" s="110"/>
      <c r="M478" s="110"/>
      <c r="N478" s="110"/>
      <c r="O478" s="111"/>
      <c r="P478" s="424" t="str">
        <f>IF(OR(Table13[[#This Row],[Annual Increase Option]]="No increase",Table13[[#This Row],[Annual Increase Option]]=""),"",_xlfn.XLOOKUP(MONTH(Table13[[#This Row],[Commencement Date]]),Lookups!$I$19:$I$30,Lookups!$J$19:$J$30,0))</f>
        <v/>
      </c>
      <c r="Q478" s="340"/>
      <c r="R478" s="340"/>
      <c r="S478" s="360">
        <f>IF(Table13[[#This Row],[Life Cover Amount]]="",0,Table2[[#This Row],[Life Premium]])</f>
        <v>0</v>
      </c>
      <c r="T478" s="360">
        <f>IF(Table13[[#This Row],[Funeral Cover Amount]]=0,0,Table2[[#This Row],[Funeral Premium]])</f>
        <v>0</v>
      </c>
      <c r="U478" s="360">
        <f>IF(AND(Table13[[#This Row],[Life Cover Amount]]="",Table13[[#This Row],[Funeral Cover Amount]]=""),0,onboarding_calcs!AA478)</f>
        <v>0</v>
      </c>
      <c r="V478" s="111"/>
      <c r="W478" s="111"/>
      <c r="X478" s="333"/>
      <c r="Y478" s="110"/>
      <c r="Z478" s="113"/>
      <c r="AA478" s="425"/>
      <c r="AB478" s="425"/>
      <c r="AC478" s="113"/>
      <c r="AD478" s="110"/>
      <c r="AE478" s="110"/>
      <c r="AF478" s="110"/>
      <c r="AG478" s="110"/>
      <c r="AH478" s="110"/>
      <c r="AI478" s="113"/>
      <c r="AJ478" s="110"/>
      <c r="AK478" s="110"/>
      <c r="AL478" s="110"/>
      <c r="AM478" s="110"/>
      <c r="AN478" s="110"/>
      <c r="AO478" s="113"/>
      <c r="AP478" s="113"/>
      <c r="AQ478" s="113"/>
      <c r="AR478" s="110"/>
      <c r="AS478" s="113"/>
      <c r="AT478" s="113"/>
      <c r="AU478" s="112"/>
      <c r="AV478" s="338"/>
      <c r="AW478" s="110"/>
      <c r="AX478" s="110"/>
      <c r="AY478" s="113"/>
      <c r="AZ478" s="113"/>
      <c r="BA478" s="113"/>
      <c r="BB478" s="113"/>
      <c r="BC478" s="113"/>
      <c r="BD478" s="113"/>
      <c r="BF47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79" spans="1:58" x14ac:dyDescent="0.3">
      <c r="A479" s="422"/>
      <c r="B479" s="376"/>
      <c r="C479" s="110"/>
      <c r="D479" s="110"/>
      <c r="E479" s="340"/>
      <c r="F479" s="330"/>
      <c r="G479" s="113"/>
      <c r="H479" s="332"/>
      <c r="I479" s="113"/>
      <c r="J479" s="332"/>
      <c r="K479" s="110"/>
      <c r="L479" s="110"/>
      <c r="M479" s="110"/>
      <c r="N479" s="110"/>
      <c r="O479" s="111"/>
      <c r="P479" s="424" t="str">
        <f>IF(OR(Table13[[#This Row],[Annual Increase Option]]="No increase",Table13[[#This Row],[Annual Increase Option]]=""),"",_xlfn.XLOOKUP(MONTH(Table13[[#This Row],[Commencement Date]]),Lookups!$I$19:$I$30,Lookups!$J$19:$J$30,0))</f>
        <v/>
      </c>
      <c r="Q479" s="340"/>
      <c r="R479" s="340"/>
      <c r="S479" s="360">
        <f>IF(Table13[[#This Row],[Life Cover Amount]]="",0,Table2[[#This Row],[Life Premium]])</f>
        <v>0</v>
      </c>
      <c r="T479" s="360">
        <f>IF(Table13[[#This Row],[Funeral Cover Amount]]=0,0,Table2[[#This Row],[Funeral Premium]])</f>
        <v>0</v>
      </c>
      <c r="U479" s="360">
        <f>IF(AND(Table13[[#This Row],[Life Cover Amount]]="",Table13[[#This Row],[Funeral Cover Amount]]=""),0,onboarding_calcs!AA479)</f>
        <v>0</v>
      </c>
      <c r="V479" s="111"/>
      <c r="W479" s="111"/>
      <c r="X479" s="333"/>
      <c r="Y479" s="110"/>
      <c r="Z479" s="113"/>
      <c r="AA479" s="425"/>
      <c r="AB479" s="425"/>
      <c r="AC479" s="113"/>
      <c r="AD479" s="110"/>
      <c r="AE479" s="110"/>
      <c r="AF479" s="110"/>
      <c r="AG479" s="110"/>
      <c r="AH479" s="110"/>
      <c r="AI479" s="113"/>
      <c r="AJ479" s="110"/>
      <c r="AK479" s="110"/>
      <c r="AL479" s="110"/>
      <c r="AM479" s="110"/>
      <c r="AN479" s="110"/>
      <c r="AO479" s="113"/>
      <c r="AP479" s="113"/>
      <c r="AQ479" s="113"/>
      <c r="AR479" s="110"/>
      <c r="AS479" s="113"/>
      <c r="AT479" s="113"/>
      <c r="AU479" s="112"/>
      <c r="AV479" s="338"/>
      <c r="AW479" s="110"/>
      <c r="AX479" s="110"/>
      <c r="AY479" s="113"/>
      <c r="AZ479" s="113"/>
      <c r="BA479" s="113"/>
      <c r="BB479" s="113"/>
      <c r="BC479" s="113"/>
      <c r="BD479" s="113"/>
      <c r="BF47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80" spans="1:58" x14ac:dyDescent="0.3">
      <c r="A480" s="422"/>
      <c r="B480" s="376"/>
      <c r="C480" s="110"/>
      <c r="D480" s="110"/>
      <c r="E480" s="340"/>
      <c r="F480" s="330"/>
      <c r="G480" s="113"/>
      <c r="H480" s="332"/>
      <c r="I480" s="113"/>
      <c r="J480" s="332"/>
      <c r="K480" s="110"/>
      <c r="L480" s="110"/>
      <c r="M480" s="110"/>
      <c r="N480" s="110"/>
      <c r="O480" s="111"/>
      <c r="P480" s="424" t="str">
        <f>IF(OR(Table13[[#This Row],[Annual Increase Option]]="No increase",Table13[[#This Row],[Annual Increase Option]]=""),"",_xlfn.XLOOKUP(MONTH(Table13[[#This Row],[Commencement Date]]),Lookups!$I$19:$I$30,Lookups!$J$19:$J$30,0))</f>
        <v/>
      </c>
      <c r="Q480" s="340"/>
      <c r="R480" s="340"/>
      <c r="S480" s="360">
        <f>IF(Table13[[#This Row],[Life Cover Amount]]="",0,Table2[[#This Row],[Life Premium]])</f>
        <v>0</v>
      </c>
      <c r="T480" s="360">
        <f>IF(Table13[[#This Row],[Funeral Cover Amount]]=0,0,Table2[[#This Row],[Funeral Premium]])</f>
        <v>0</v>
      </c>
      <c r="U480" s="360">
        <f>IF(AND(Table13[[#This Row],[Life Cover Amount]]="",Table13[[#This Row],[Funeral Cover Amount]]=""),0,onboarding_calcs!AA480)</f>
        <v>0</v>
      </c>
      <c r="V480" s="111"/>
      <c r="W480" s="111"/>
      <c r="X480" s="333"/>
      <c r="Y480" s="110"/>
      <c r="Z480" s="113"/>
      <c r="AA480" s="425"/>
      <c r="AB480" s="425"/>
      <c r="AC480" s="113"/>
      <c r="AD480" s="110"/>
      <c r="AE480" s="110"/>
      <c r="AF480" s="110"/>
      <c r="AG480" s="110"/>
      <c r="AH480" s="110"/>
      <c r="AI480" s="113"/>
      <c r="AJ480" s="110"/>
      <c r="AK480" s="110"/>
      <c r="AL480" s="110"/>
      <c r="AM480" s="110"/>
      <c r="AN480" s="110"/>
      <c r="AO480" s="113"/>
      <c r="AP480" s="113"/>
      <c r="AQ480" s="113"/>
      <c r="AR480" s="110"/>
      <c r="AS480" s="113"/>
      <c r="AT480" s="113"/>
      <c r="AU480" s="112"/>
      <c r="AV480" s="338"/>
      <c r="AW480" s="110"/>
      <c r="AX480" s="110"/>
      <c r="AY480" s="113"/>
      <c r="AZ480" s="113"/>
      <c r="BA480" s="113"/>
      <c r="BB480" s="113"/>
      <c r="BC480" s="113"/>
      <c r="BD480" s="113"/>
      <c r="BF48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81" spans="1:58" x14ac:dyDescent="0.3">
      <c r="A481" s="422"/>
      <c r="B481" s="376"/>
      <c r="C481" s="110"/>
      <c r="D481" s="110"/>
      <c r="E481" s="340"/>
      <c r="F481" s="330"/>
      <c r="G481" s="113"/>
      <c r="H481" s="332"/>
      <c r="I481" s="113"/>
      <c r="J481" s="332"/>
      <c r="K481" s="110"/>
      <c r="L481" s="110"/>
      <c r="M481" s="110"/>
      <c r="N481" s="110"/>
      <c r="O481" s="111"/>
      <c r="P481" s="424" t="str">
        <f>IF(OR(Table13[[#This Row],[Annual Increase Option]]="No increase",Table13[[#This Row],[Annual Increase Option]]=""),"",_xlfn.XLOOKUP(MONTH(Table13[[#This Row],[Commencement Date]]),Lookups!$I$19:$I$30,Lookups!$J$19:$J$30,0))</f>
        <v/>
      </c>
      <c r="Q481" s="340"/>
      <c r="R481" s="340"/>
      <c r="S481" s="360">
        <f>IF(Table13[[#This Row],[Life Cover Amount]]="",0,Table2[[#This Row],[Life Premium]])</f>
        <v>0</v>
      </c>
      <c r="T481" s="360">
        <f>IF(Table13[[#This Row],[Funeral Cover Amount]]=0,0,Table2[[#This Row],[Funeral Premium]])</f>
        <v>0</v>
      </c>
      <c r="U481" s="360">
        <f>IF(AND(Table13[[#This Row],[Life Cover Amount]]="",Table13[[#This Row],[Funeral Cover Amount]]=""),0,onboarding_calcs!AA481)</f>
        <v>0</v>
      </c>
      <c r="V481" s="111"/>
      <c r="W481" s="111"/>
      <c r="X481" s="333"/>
      <c r="Y481" s="110"/>
      <c r="Z481" s="113"/>
      <c r="AA481" s="425"/>
      <c r="AB481" s="425"/>
      <c r="AC481" s="113"/>
      <c r="AD481" s="110"/>
      <c r="AE481" s="110"/>
      <c r="AF481" s="110"/>
      <c r="AG481" s="110"/>
      <c r="AH481" s="110"/>
      <c r="AI481" s="113"/>
      <c r="AJ481" s="110"/>
      <c r="AK481" s="110"/>
      <c r="AL481" s="110"/>
      <c r="AM481" s="110"/>
      <c r="AN481" s="110"/>
      <c r="AO481" s="113"/>
      <c r="AP481" s="113"/>
      <c r="AQ481" s="113"/>
      <c r="AR481" s="110"/>
      <c r="AS481" s="113"/>
      <c r="AT481" s="113"/>
      <c r="AU481" s="112"/>
      <c r="AV481" s="338"/>
      <c r="AW481" s="110"/>
      <c r="AX481" s="110"/>
      <c r="AY481" s="113"/>
      <c r="AZ481" s="113"/>
      <c r="BA481" s="113"/>
      <c r="BB481" s="113"/>
      <c r="BC481" s="113"/>
      <c r="BD481" s="113"/>
      <c r="BF48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82" spans="1:58" x14ac:dyDescent="0.3">
      <c r="A482" s="422"/>
      <c r="B482" s="376"/>
      <c r="C482" s="110"/>
      <c r="D482" s="110"/>
      <c r="E482" s="340"/>
      <c r="F482" s="330"/>
      <c r="G482" s="113"/>
      <c r="H482" s="332"/>
      <c r="I482" s="113"/>
      <c r="J482" s="332"/>
      <c r="K482" s="110"/>
      <c r="L482" s="110"/>
      <c r="M482" s="110"/>
      <c r="N482" s="110"/>
      <c r="O482" s="111"/>
      <c r="P482" s="424" t="str">
        <f>IF(OR(Table13[[#This Row],[Annual Increase Option]]="No increase",Table13[[#This Row],[Annual Increase Option]]=""),"",_xlfn.XLOOKUP(MONTH(Table13[[#This Row],[Commencement Date]]),Lookups!$I$19:$I$30,Lookups!$J$19:$J$30,0))</f>
        <v/>
      </c>
      <c r="Q482" s="340"/>
      <c r="R482" s="340"/>
      <c r="S482" s="360">
        <f>IF(Table13[[#This Row],[Life Cover Amount]]="",0,Table2[[#This Row],[Life Premium]])</f>
        <v>0</v>
      </c>
      <c r="T482" s="360">
        <f>IF(Table13[[#This Row],[Funeral Cover Amount]]=0,0,Table2[[#This Row],[Funeral Premium]])</f>
        <v>0</v>
      </c>
      <c r="U482" s="360">
        <f>IF(AND(Table13[[#This Row],[Life Cover Amount]]="",Table13[[#This Row],[Funeral Cover Amount]]=""),0,onboarding_calcs!AA482)</f>
        <v>0</v>
      </c>
      <c r="V482" s="111"/>
      <c r="W482" s="111"/>
      <c r="X482" s="333"/>
      <c r="Y482" s="110"/>
      <c r="Z482" s="113"/>
      <c r="AA482" s="425"/>
      <c r="AB482" s="425"/>
      <c r="AC482" s="113"/>
      <c r="AD482" s="110"/>
      <c r="AE482" s="110"/>
      <c r="AF482" s="110"/>
      <c r="AG482" s="110"/>
      <c r="AH482" s="110"/>
      <c r="AI482" s="113"/>
      <c r="AJ482" s="110"/>
      <c r="AK482" s="110"/>
      <c r="AL482" s="110"/>
      <c r="AM482" s="110"/>
      <c r="AN482" s="110"/>
      <c r="AO482" s="113"/>
      <c r="AP482" s="113"/>
      <c r="AQ482" s="113"/>
      <c r="AR482" s="110"/>
      <c r="AS482" s="113"/>
      <c r="AT482" s="113"/>
      <c r="AU482" s="112"/>
      <c r="AV482" s="338"/>
      <c r="AW482" s="110"/>
      <c r="AX482" s="110"/>
      <c r="AY482" s="113"/>
      <c r="AZ482" s="113"/>
      <c r="BA482" s="113"/>
      <c r="BB482" s="113"/>
      <c r="BC482" s="113"/>
      <c r="BD482" s="113"/>
      <c r="BF48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83" spans="1:58" x14ac:dyDescent="0.3">
      <c r="A483" s="422"/>
      <c r="B483" s="376"/>
      <c r="C483" s="110"/>
      <c r="D483" s="110"/>
      <c r="E483" s="340"/>
      <c r="F483" s="330"/>
      <c r="G483" s="113"/>
      <c r="H483" s="332"/>
      <c r="I483" s="113"/>
      <c r="J483" s="332"/>
      <c r="K483" s="110"/>
      <c r="L483" s="110"/>
      <c r="M483" s="110"/>
      <c r="N483" s="110"/>
      <c r="O483" s="111"/>
      <c r="P483" s="424" t="str">
        <f>IF(OR(Table13[[#This Row],[Annual Increase Option]]="No increase",Table13[[#This Row],[Annual Increase Option]]=""),"",_xlfn.XLOOKUP(MONTH(Table13[[#This Row],[Commencement Date]]),Lookups!$I$19:$I$30,Lookups!$J$19:$J$30,0))</f>
        <v/>
      </c>
      <c r="Q483" s="340"/>
      <c r="R483" s="340"/>
      <c r="S483" s="360">
        <f>IF(Table13[[#This Row],[Life Cover Amount]]="",0,Table2[[#This Row],[Life Premium]])</f>
        <v>0</v>
      </c>
      <c r="T483" s="360">
        <f>IF(Table13[[#This Row],[Funeral Cover Amount]]=0,0,Table2[[#This Row],[Funeral Premium]])</f>
        <v>0</v>
      </c>
      <c r="U483" s="360">
        <f>IF(AND(Table13[[#This Row],[Life Cover Amount]]="",Table13[[#This Row],[Funeral Cover Amount]]=""),0,onboarding_calcs!AA483)</f>
        <v>0</v>
      </c>
      <c r="V483" s="111"/>
      <c r="W483" s="111"/>
      <c r="X483" s="333"/>
      <c r="Y483" s="110"/>
      <c r="Z483" s="113"/>
      <c r="AA483" s="425"/>
      <c r="AB483" s="425"/>
      <c r="AC483" s="113"/>
      <c r="AD483" s="110"/>
      <c r="AE483" s="110"/>
      <c r="AF483" s="110"/>
      <c r="AG483" s="110"/>
      <c r="AH483" s="110"/>
      <c r="AI483" s="113"/>
      <c r="AJ483" s="110"/>
      <c r="AK483" s="110"/>
      <c r="AL483" s="110"/>
      <c r="AM483" s="110"/>
      <c r="AN483" s="110"/>
      <c r="AO483" s="113"/>
      <c r="AP483" s="113"/>
      <c r="AQ483" s="113"/>
      <c r="AR483" s="110"/>
      <c r="AS483" s="113"/>
      <c r="AT483" s="113"/>
      <c r="AU483" s="112"/>
      <c r="AV483" s="338"/>
      <c r="AW483" s="110"/>
      <c r="AX483" s="110"/>
      <c r="AY483" s="113"/>
      <c r="AZ483" s="113"/>
      <c r="BA483" s="113"/>
      <c r="BB483" s="113"/>
      <c r="BC483" s="113"/>
      <c r="BD483" s="113"/>
      <c r="BF48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84" spans="1:58" x14ac:dyDescent="0.3">
      <c r="A484" s="422"/>
      <c r="B484" s="376"/>
      <c r="C484" s="110"/>
      <c r="D484" s="110"/>
      <c r="E484" s="340"/>
      <c r="F484" s="330"/>
      <c r="G484" s="113"/>
      <c r="H484" s="332"/>
      <c r="I484" s="113"/>
      <c r="J484" s="332"/>
      <c r="K484" s="110"/>
      <c r="L484" s="110"/>
      <c r="M484" s="110"/>
      <c r="N484" s="110"/>
      <c r="O484" s="111"/>
      <c r="P484" s="424" t="str">
        <f>IF(OR(Table13[[#This Row],[Annual Increase Option]]="No increase",Table13[[#This Row],[Annual Increase Option]]=""),"",_xlfn.XLOOKUP(MONTH(Table13[[#This Row],[Commencement Date]]),Lookups!$I$19:$I$30,Lookups!$J$19:$J$30,0))</f>
        <v/>
      </c>
      <c r="Q484" s="340"/>
      <c r="R484" s="340"/>
      <c r="S484" s="360">
        <f>IF(Table13[[#This Row],[Life Cover Amount]]="",0,Table2[[#This Row],[Life Premium]])</f>
        <v>0</v>
      </c>
      <c r="T484" s="360">
        <f>IF(Table13[[#This Row],[Funeral Cover Amount]]=0,0,Table2[[#This Row],[Funeral Premium]])</f>
        <v>0</v>
      </c>
      <c r="U484" s="360">
        <f>IF(AND(Table13[[#This Row],[Life Cover Amount]]="",Table13[[#This Row],[Funeral Cover Amount]]=""),0,onboarding_calcs!AA484)</f>
        <v>0</v>
      </c>
      <c r="V484" s="111"/>
      <c r="W484" s="111"/>
      <c r="X484" s="333"/>
      <c r="Y484" s="110"/>
      <c r="Z484" s="113"/>
      <c r="AA484" s="425"/>
      <c r="AB484" s="425"/>
      <c r="AC484" s="113"/>
      <c r="AD484" s="110"/>
      <c r="AE484" s="110"/>
      <c r="AF484" s="110"/>
      <c r="AG484" s="110"/>
      <c r="AH484" s="110"/>
      <c r="AI484" s="113"/>
      <c r="AJ484" s="110"/>
      <c r="AK484" s="110"/>
      <c r="AL484" s="110"/>
      <c r="AM484" s="110"/>
      <c r="AN484" s="110"/>
      <c r="AO484" s="113"/>
      <c r="AP484" s="113"/>
      <c r="AQ484" s="113"/>
      <c r="AR484" s="110"/>
      <c r="AS484" s="113"/>
      <c r="AT484" s="113"/>
      <c r="AU484" s="112"/>
      <c r="AV484" s="338"/>
      <c r="AW484" s="110"/>
      <c r="AX484" s="110"/>
      <c r="AY484" s="113"/>
      <c r="AZ484" s="113"/>
      <c r="BA484" s="113"/>
      <c r="BB484" s="113"/>
      <c r="BC484" s="113"/>
      <c r="BD484" s="113"/>
      <c r="BF48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85" spans="1:58" x14ac:dyDescent="0.3">
      <c r="A485" s="422"/>
      <c r="B485" s="376"/>
      <c r="C485" s="110"/>
      <c r="D485" s="110"/>
      <c r="E485" s="340"/>
      <c r="F485" s="330"/>
      <c r="G485" s="113"/>
      <c r="H485" s="332"/>
      <c r="I485" s="113"/>
      <c r="J485" s="332"/>
      <c r="K485" s="110"/>
      <c r="L485" s="110"/>
      <c r="M485" s="110"/>
      <c r="N485" s="110"/>
      <c r="O485" s="111"/>
      <c r="P485" s="424" t="str">
        <f>IF(OR(Table13[[#This Row],[Annual Increase Option]]="No increase",Table13[[#This Row],[Annual Increase Option]]=""),"",_xlfn.XLOOKUP(MONTH(Table13[[#This Row],[Commencement Date]]),Lookups!$I$19:$I$30,Lookups!$J$19:$J$30,0))</f>
        <v/>
      </c>
      <c r="Q485" s="340"/>
      <c r="R485" s="340"/>
      <c r="S485" s="360">
        <f>IF(Table13[[#This Row],[Life Cover Amount]]="",0,Table2[[#This Row],[Life Premium]])</f>
        <v>0</v>
      </c>
      <c r="T485" s="360">
        <f>IF(Table13[[#This Row],[Funeral Cover Amount]]=0,0,Table2[[#This Row],[Funeral Premium]])</f>
        <v>0</v>
      </c>
      <c r="U485" s="360">
        <f>IF(AND(Table13[[#This Row],[Life Cover Amount]]="",Table13[[#This Row],[Funeral Cover Amount]]=""),0,onboarding_calcs!AA485)</f>
        <v>0</v>
      </c>
      <c r="V485" s="111"/>
      <c r="W485" s="111"/>
      <c r="X485" s="333"/>
      <c r="Y485" s="110"/>
      <c r="Z485" s="113"/>
      <c r="AA485" s="425"/>
      <c r="AB485" s="425"/>
      <c r="AC485" s="113"/>
      <c r="AD485" s="110"/>
      <c r="AE485" s="110"/>
      <c r="AF485" s="110"/>
      <c r="AG485" s="110"/>
      <c r="AH485" s="110"/>
      <c r="AI485" s="113"/>
      <c r="AJ485" s="110"/>
      <c r="AK485" s="110"/>
      <c r="AL485" s="110"/>
      <c r="AM485" s="110"/>
      <c r="AN485" s="110"/>
      <c r="AO485" s="113"/>
      <c r="AP485" s="113"/>
      <c r="AQ485" s="113"/>
      <c r="AR485" s="110"/>
      <c r="AS485" s="113"/>
      <c r="AT485" s="113"/>
      <c r="AU485" s="112"/>
      <c r="AV485" s="338"/>
      <c r="AW485" s="110"/>
      <c r="AX485" s="110"/>
      <c r="AY485" s="113"/>
      <c r="AZ485" s="113"/>
      <c r="BA485" s="113"/>
      <c r="BB485" s="113"/>
      <c r="BC485" s="113"/>
      <c r="BD485" s="113"/>
      <c r="BF48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86" spans="1:58" x14ac:dyDescent="0.3">
      <c r="A486" s="422"/>
      <c r="B486" s="376"/>
      <c r="C486" s="110"/>
      <c r="D486" s="110"/>
      <c r="E486" s="340"/>
      <c r="F486" s="330"/>
      <c r="G486" s="113"/>
      <c r="H486" s="332"/>
      <c r="I486" s="113"/>
      <c r="J486" s="332"/>
      <c r="K486" s="110"/>
      <c r="L486" s="110"/>
      <c r="M486" s="110"/>
      <c r="N486" s="110"/>
      <c r="O486" s="111"/>
      <c r="P486" s="424" t="str">
        <f>IF(OR(Table13[[#This Row],[Annual Increase Option]]="No increase",Table13[[#This Row],[Annual Increase Option]]=""),"",_xlfn.XLOOKUP(MONTH(Table13[[#This Row],[Commencement Date]]),Lookups!$I$19:$I$30,Lookups!$J$19:$J$30,0))</f>
        <v/>
      </c>
      <c r="Q486" s="340"/>
      <c r="R486" s="340"/>
      <c r="S486" s="360">
        <f>IF(Table13[[#This Row],[Life Cover Amount]]="",0,Table2[[#This Row],[Life Premium]])</f>
        <v>0</v>
      </c>
      <c r="T486" s="360">
        <f>IF(Table13[[#This Row],[Funeral Cover Amount]]=0,0,Table2[[#This Row],[Funeral Premium]])</f>
        <v>0</v>
      </c>
      <c r="U486" s="360">
        <f>IF(AND(Table13[[#This Row],[Life Cover Amount]]="",Table13[[#This Row],[Funeral Cover Amount]]=""),0,onboarding_calcs!AA486)</f>
        <v>0</v>
      </c>
      <c r="V486" s="111"/>
      <c r="W486" s="111"/>
      <c r="X486" s="333"/>
      <c r="Y486" s="110"/>
      <c r="Z486" s="113"/>
      <c r="AA486" s="425"/>
      <c r="AB486" s="425"/>
      <c r="AC486" s="113"/>
      <c r="AD486" s="110"/>
      <c r="AE486" s="110"/>
      <c r="AF486" s="110"/>
      <c r="AG486" s="110"/>
      <c r="AH486" s="110"/>
      <c r="AI486" s="113"/>
      <c r="AJ486" s="110"/>
      <c r="AK486" s="110"/>
      <c r="AL486" s="110"/>
      <c r="AM486" s="110"/>
      <c r="AN486" s="110"/>
      <c r="AO486" s="113"/>
      <c r="AP486" s="113"/>
      <c r="AQ486" s="113"/>
      <c r="AR486" s="110"/>
      <c r="AS486" s="113"/>
      <c r="AT486" s="113"/>
      <c r="AU486" s="112"/>
      <c r="AV486" s="338"/>
      <c r="AW486" s="110"/>
      <c r="AX486" s="110"/>
      <c r="AY486" s="113"/>
      <c r="AZ486" s="113"/>
      <c r="BA486" s="113"/>
      <c r="BB486" s="113"/>
      <c r="BC486" s="113"/>
      <c r="BD486" s="113"/>
      <c r="BF48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87" spans="1:58" x14ac:dyDescent="0.3">
      <c r="A487" s="422"/>
      <c r="B487" s="376"/>
      <c r="C487" s="110"/>
      <c r="D487" s="110"/>
      <c r="E487" s="340"/>
      <c r="F487" s="330"/>
      <c r="G487" s="113"/>
      <c r="H487" s="332"/>
      <c r="I487" s="113"/>
      <c r="J487" s="332"/>
      <c r="K487" s="110"/>
      <c r="L487" s="110"/>
      <c r="M487" s="110"/>
      <c r="N487" s="110"/>
      <c r="O487" s="111"/>
      <c r="P487" s="424" t="str">
        <f>IF(OR(Table13[[#This Row],[Annual Increase Option]]="No increase",Table13[[#This Row],[Annual Increase Option]]=""),"",_xlfn.XLOOKUP(MONTH(Table13[[#This Row],[Commencement Date]]),Lookups!$I$19:$I$30,Lookups!$J$19:$J$30,0))</f>
        <v/>
      </c>
      <c r="Q487" s="340"/>
      <c r="R487" s="340"/>
      <c r="S487" s="360">
        <f>IF(Table13[[#This Row],[Life Cover Amount]]="",0,Table2[[#This Row],[Life Premium]])</f>
        <v>0</v>
      </c>
      <c r="T487" s="360">
        <f>IF(Table13[[#This Row],[Funeral Cover Amount]]=0,0,Table2[[#This Row],[Funeral Premium]])</f>
        <v>0</v>
      </c>
      <c r="U487" s="360">
        <f>IF(AND(Table13[[#This Row],[Life Cover Amount]]="",Table13[[#This Row],[Funeral Cover Amount]]=""),0,onboarding_calcs!AA487)</f>
        <v>0</v>
      </c>
      <c r="V487" s="111"/>
      <c r="W487" s="111"/>
      <c r="X487" s="333"/>
      <c r="Y487" s="110"/>
      <c r="Z487" s="113"/>
      <c r="AA487" s="425"/>
      <c r="AB487" s="425"/>
      <c r="AC487" s="113"/>
      <c r="AD487" s="110"/>
      <c r="AE487" s="110"/>
      <c r="AF487" s="110"/>
      <c r="AG487" s="110"/>
      <c r="AH487" s="110"/>
      <c r="AI487" s="113"/>
      <c r="AJ487" s="110"/>
      <c r="AK487" s="110"/>
      <c r="AL487" s="110"/>
      <c r="AM487" s="110"/>
      <c r="AN487" s="110"/>
      <c r="AO487" s="113"/>
      <c r="AP487" s="113"/>
      <c r="AQ487" s="113"/>
      <c r="AR487" s="110"/>
      <c r="AS487" s="113"/>
      <c r="AT487" s="113"/>
      <c r="AU487" s="112"/>
      <c r="AV487" s="338"/>
      <c r="AW487" s="110"/>
      <c r="AX487" s="110"/>
      <c r="AY487" s="113"/>
      <c r="AZ487" s="113"/>
      <c r="BA487" s="113"/>
      <c r="BB487" s="113"/>
      <c r="BC487" s="113"/>
      <c r="BD487" s="113"/>
      <c r="BF48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88" spans="1:58" x14ac:dyDescent="0.3">
      <c r="A488" s="422"/>
      <c r="B488" s="376"/>
      <c r="C488" s="110"/>
      <c r="D488" s="110"/>
      <c r="E488" s="340"/>
      <c r="F488" s="330"/>
      <c r="G488" s="113"/>
      <c r="H488" s="332"/>
      <c r="I488" s="113"/>
      <c r="J488" s="332"/>
      <c r="K488" s="110"/>
      <c r="L488" s="110"/>
      <c r="M488" s="110"/>
      <c r="N488" s="110"/>
      <c r="O488" s="111"/>
      <c r="P488" s="424" t="str">
        <f>IF(OR(Table13[[#This Row],[Annual Increase Option]]="No increase",Table13[[#This Row],[Annual Increase Option]]=""),"",_xlfn.XLOOKUP(MONTH(Table13[[#This Row],[Commencement Date]]),Lookups!$I$19:$I$30,Lookups!$J$19:$J$30,0))</f>
        <v/>
      </c>
      <c r="Q488" s="340"/>
      <c r="R488" s="340"/>
      <c r="S488" s="360">
        <f>IF(Table13[[#This Row],[Life Cover Amount]]="",0,Table2[[#This Row],[Life Premium]])</f>
        <v>0</v>
      </c>
      <c r="T488" s="360">
        <f>IF(Table13[[#This Row],[Funeral Cover Amount]]=0,0,Table2[[#This Row],[Funeral Premium]])</f>
        <v>0</v>
      </c>
      <c r="U488" s="360">
        <f>IF(AND(Table13[[#This Row],[Life Cover Amount]]="",Table13[[#This Row],[Funeral Cover Amount]]=""),0,onboarding_calcs!AA488)</f>
        <v>0</v>
      </c>
      <c r="V488" s="111"/>
      <c r="W488" s="111"/>
      <c r="X488" s="333"/>
      <c r="Y488" s="110"/>
      <c r="Z488" s="113"/>
      <c r="AA488" s="425"/>
      <c r="AB488" s="425"/>
      <c r="AC488" s="113"/>
      <c r="AD488" s="110"/>
      <c r="AE488" s="110"/>
      <c r="AF488" s="110"/>
      <c r="AG488" s="110"/>
      <c r="AH488" s="110"/>
      <c r="AI488" s="113"/>
      <c r="AJ488" s="110"/>
      <c r="AK488" s="110"/>
      <c r="AL488" s="110"/>
      <c r="AM488" s="110"/>
      <c r="AN488" s="110"/>
      <c r="AO488" s="113"/>
      <c r="AP488" s="113"/>
      <c r="AQ488" s="113"/>
      <c r="AR488" s="110"/>
      <c r="AS488" s="113"/>
      <c r="AT488" s="113"/>
      <c r="AU488" s="112"/>
      <c r="AV488" s="338"/>
      <c r="AW488" s="110"/>
      <c r="AX488" s="110"/>
      <c r="AY488" s="113"/>
      <c r="AZ488" s="113"/>
      <c r="BA488" s="113"/>
      <c r="BB488" s="113"/>
      <c r="BC488" s="113"/>
      <c r="BD488" s="113"/>
      <c r="BF48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89" spans="1:58" x14ac:dyDescent="0.3">
      <c r="A489" s="422"/>
      <c r="B489" s="376"/>
      <c r="C489" s="110"/>
      <c r="D489" s="110"/>
      <c r="E489" s="340"/>
      <c r="F489" s="330"/>
      <c r="G489" s="113"/>
      <c r="H489" s="332"/>
      <c r="I489" s="113"/>
      <c r="J489" s="332"/>
      <c r="K489" s="110"/>
      <c r="L489" s="110"/>
      <c r="M489" s="110"/>
      <c r="N489" s="110"/>
      <c r="O489" s="111"/>
      <c r="P489" s="424" t="str">
        <f>IF(OR(Table13[[#This Row],[Annual Increase Option]]="No increase",Table13[[#This Row],[Annual Increase Option]]=""),"",_xlfn.XLOOKUP(MONTH(Table13[[#This Row],[Commencement Date]]),Lookups!$I$19:$I$30,Lookups!$J$19:$J$30,0))</f>
        <v/>
      </c>
      <c r="Q489" s="340"/>
      <c r="R489" s="340"/>
      <c r="S489" s="360">
        <f>IF(Table13[[#This Row],[Life Cover Amount]]="",0,Table2[[#This Row],[Life Premium]])</f>
        <v>0</v>
      </c>
      <c r="T489" s="360">
        <f>IF(Table13[[#This Row],[Funeral Cover Amount]]=0,0,Table2[[#This Row],[Funeral Premium]])</f>
        <v>0</v>
      </c>
      <c r="U489" s="360">
        <f>IF(AND(Table13[[#This Row],[Life Cover Amount]]="",Table13[[#This Row],[Funeral Cover Amount]]=""),0,onboarding_calcs!AA489)</f>
        <v>0</v>
      </c>
      <c r="V489" s="111"/>
      <c r="W489" s="111"/>
      <c r="X489" s="333"/>
      <c r="Y489" s="110"/>
      <c r="Z489" s="113"/>
      <c r="AA489" s="425"/>
      <c r="AB489" s="425"/>
      <c r="AC489" s="113"/>
      <c r="AD489" s="110"/>
      <c r="AE489" s="110"/>
      <c r="AF489" s="110"/>
      <c r="AG489" s="110"/>
      <c r="AH489" s="110"/>
      <c r="AI489" s="113"/>
      <c r="AJ489" s="110"/>
      <c r="AK489" s="110"/>
      <c r="AL489" s="110"/>
      <c r="AM489" s="110"/>
      <c r="AN489" s="110"/>
      <c r="AO489" s="113"/>
      <c r="AP489" s="113"/>
      <c r="AQ489" s="113"/>
      <c r="AR489" s="110"/>
      <c r="AS489" s="113"/>
      <c r="AT489" s="113"/>
      <c r="AU489" s="112"/>
      <c r="AV489" s="338"/>
      <c r="AW489" s="110"/>
      <c r="AX489" s="110"/>
      <c r="AY489" s="113"/>
      <c r="AZ489" s="113"/>
      <c r="BA489" s="113"/>
      <c r="BB489" s="113"/>
      <c r="BC489" s="113"/>
      <c r="BD489" s="113"/>
      <c r="BF48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90" spans="1:58" x14ac:dyDescent="0.3">
      <c r="A490" s="422"/>
      <c r="B490" s="376"/>
      <c r="C490" s="110"/>
      <c r="D490" s="110"/>
      <c r="E490" s="340"/>
      <c r="F490" s="330"/>
      <c r="G490" s="113"/>
      <c r="H490" s="332"/>
      <c r="I490" s="113"/>
      <c r="J490" s="332"/>
      <c r="K490" s="110"/>
      <c r="L490" s="110"/>
      <c r="M490" s="110"/>
      <c r="N490" s="110"/>
      <c r="O490" s="111"/>
      <c r="P490" s="424" t="str">
        <f>IF(OR(Table13[[#This Row],[Annual Increase Option]]="No increase",Table13[[#This Row],[Annual Increase Option]]=""),"",_xlfn.XLOOKUP(MONTH(Table13[[#This Row],[Commencement Date]]),Lookups!$I$19:$I$30,Lookups!$J$19:$J$30,0))</f>
        <v/>
      </c>
      <c r="Q490" s="340"/>
      <c r="R490" s="340"/>
      <c r="S490" s="360">
        <f>IF(Table13[[#This Row],[Life Cover Amount]]="",0,Table2[[#This Row],[Life Premium]])</f>
        <v>0</v>
      </c>
      <c r="T490" s="360">
        <f>IF(Table13[[#This Row],[Funeral Cover Amount]]=0,0,Table2[[#This Row],[Funeral Premium]])</f>
        <v>0</v>
      </c>
      <c r="U490" s="360">
        <f>IF(AND(Table13[[#This Row],[Life Cover Amount]]="",Table13[[#This Row],[Funeral Cover Amount]]=""),0,onboarding_calcs!AA490)</f>
        <v>0</v>
      </c>
      <c r="V490" s="111"/>
      <c r="W490" s="111"/>
      <c r="X490" s="333"/>
      <c r="Y490" s="110"/>
      <c r="Z490" s="113"/>
      <c r="AA490" s="425"/>
      <c r="AB490" s="425"/>
      <c r="AC490" s="113"/>
      <c r="AD490" s="110"/>
      <c r="AE490" s="110"/>
      <c r="AF490" s="110"/>
      <c r="AG490" s="110"/>
      <c r="AH490" s="110"/>
      <c r="AI490" s="113"/>
      <c r="AJ490" s="110"/>
      <c r="AK490" s="110"/>
      <c r="AL490" s="110"/>
      <c r="AM490" s="110"/>
      <c r="AN490" s="110"/>
      <c r="AO490" s="113"/>
      <c r="AP490" s="113"/>
      <c r="AQ490" s="113"/>
      <c r="AR490" s="110"/>
      <c r="AS490" s="113"/>
      <c r="AT490" s="113"/>
      <c r="AU490" s="112"/>
      <c r="AV490" s="338"/>
      <c r="AW490" s="110"/>
      <c r="AX490" s="110"/>
      <c r="AY490" s="113"/>
      <c r="AZ490" s="113"/>
      <c r="BA490" s="113"/>
      <c r="BB490" s="113"/>
      <c r="BC490" s="113"/>
      <c r="BD490" s="113"/>
      <c r="BF49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91" spans="1:58" x14ac:dyDescent="0.3">
      <c r="A491" s="422"/>
      <c r="B491" s="376"/>
      <c r="C491" s="110"/>
      <c r="D491" s="110"/>
      <c r="E491" s="340"/>
      <c r="F491" s="330"/>
      <c r="G491" s="113"/>
      <c r="H491" s="332"/>
      <c r="I491" s="113"/>
      <c r="J491" s="332"/>
      <c r="K491" s="110"/>
      <c r="L491" s="110"/>
      <c r="M491" s="110"/>
      <c r="N491" s="110"/>
      <c r="O491" s="111"/>
      <c r="P491" s="424" t="str">
        <f>IF(OR(Table13[[#This Row],[Annual Increase Option]]="No increase",Table13[[#This Row],[Annual Increase Option]]=""),"",_xlfn.XLOOKUP(MONTH(Table13[[#This Row],[Commencement Date]]),Lookups!$I$19:$I$30,Lookups!$J$19:$J$30,0))</f>
        <v/>
      </c>
      <c r="Q491" s="340"/>
      <c r="R491" s="340"/>
      <c r="S491" s="360">
        <f>IF(Table13[[#This Row],[Life Cover Amount]]="",0,Table2[[#This Row],[Life Premium]])</f>
        <v>0</v>
      </c>
      <c r="T491" s="360">
        <f>IF(Table13[[#This Row],[Funeral Cover Amount]]=0,0,Table2[[#This Row],[Funeral Premium]])</f>
        <v>0</v>
      </c>
      <c r="U491" s="360">
        <f>IF(AND(Table13[[#This Row],[Life Cover Amount]]="",Table13[[#This Row],[Funeral Cover Amount]]=""),0,onboarding_calcs!AA491)</f>
        <v>0</v>
      </c>
      <c r="V491" s="111"/>
      <c r="W491" s="111"/>
      <c r="X491" s="333"/>
      <c r="Y491" s="110"/>
      <c r="Z491" s="113"/>
      <c r="AA491" s="425"/>
      <c r="AB491" s="425"/>
      <c r="AC491" s="113"/>
      <c r="AD491" s="110"/>
      <c r="AE491" s="110"/>
      <c r="AF491" s="110"/>
      <c r="AG491" s="110"/>
      <c r="AH491" s="110"/>
      <c r="AI491" s="113"/>
      <c r="AJ491" s="110"/>
      <c r="AK491" s="110"/>
      <c r="AL491" s="110"/>
      <c r="AM491" s="110"/>
      <c r="AN491" s="110"/>
      <c r="AO491" s="113"/>
      <c r="AP491" s="113"/>
      <c r="AQ491" s="113"/>
      <c r="AR491" s="110"/>
      <c r="AS491" s="113"/>
      <c r="AT491" s="113"/>
      <c r="AU491" s="112"/>
      <c r="AV491" s="338"/>
      <c r="AW491" s="110"/>
      <c r="AX491" s="110"/>
      <c r="AY491" s="113"/>
      <c r="AZ491" s="113"/>
      <c r="BA491" s="113"/>
      <c r="BB491" s="113"/>
      <c r="BC491" s="113"/>
      <c r="BD491" s="113"/>
      <c r="BF49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92" spans="1:58" x14ac:dyDescent="0.3">
      <c r="A492" s="422"/>
      <c r="B492" s="376"/>
      <c r="C492" s="110"/>
      <c r="D492" s="110"/>
      <c r="E492" s="340"/>
      <c r="F492" s="330"/>
      <c r="G492" s="113"/>
      <c r="H492" s="332"/>
      <c r="I492" s="113"/>
      <c r="J492" s="332"/>
      <c r="K492" s="110"/>
      <c r="L492" s="110"/>
      <c r="M492" s="110"/>
      <c r="N492" s="110"/>
      <c r="O492" s="111"/>
      <c r="P492" s="424" t="str">
        <f>IF(OR(Table13[[#This Row],[Annual Increase Option]]="No increase",Table13[[#This Row],[Annual Increase Option]]=""),"",_xlfn.XLOOKUP(MONTH(Table13[[#This Row],[Commencement Date]]),Lookups!$I$19:$I$30,Lookups!$J$19:$J$30,0))</f>
        <v/>
      </c>
      <c r="Q492" s="340"/>
      <c r="R492" s="340"/>
      <c r="S492" s="360">
        <f>IF(Table13[[#This Row],[Life Cover Amount]]="",0,Table2[[#This Row],[Life Premium]])</f>
        <v>0</v>
      </c>
      <c r="T492" s="360">
        <f>IF(Table13[[#This Row],[Funeral Cover Amount]]=0,0,Table2[[#This Row],[Funeral Premium]])</f>
        <v>0</v>
      </c>
      <c r="U492" s="360">
        <f>IF(AND(Table13[[#This Row],[Life Cover Amount]]="",Table13[[#This Row],[Funeral Cover Amount]]=""),0,onboarding_calcs!AA492)</f>
        <v>0</v>
      </c>
      <c r="V492" s="111"/>
      <c r="W492" s="111"/>
      <c r="X492" s="333"/>
      <c r="Y492" s="110"/>
      <c r="Z492" s="113"/>
      <c r="AA492" s="425"/>
      <c r="AB492" s="425"/>
      <c r="AC492" s="113"/>
      <c r="AD492" s="110"/>
      <c r="AE492" s="110"/>
      <c r="AF492" s="110"/>
      <c r="AG492" s="110"/>
      <c r="AH492" s="110"/>
      <c r="AI492" s="113"/>
      <c r="AJ492" s="110"/>
      <c r="AK492" s="110"/>
      <c r="AL492" s="110"/>
      <c r="AM492" s="110"/>
      <c r="AN492" s="110"/>
      <c r="AO492" s="113"/>
      <c r="AP492" s="113"/>
      <c r="AQ492" s="113"/>
      <c r="AR492" s="110"/>
      <c r="AS492" s="113"/>
      <c r="AT492" s="113"/>
      <c r="AU492" s="112"/>
      <c r="AV492" s="338"/>
      <c r="AW492" s="110"/>
      <c r="AX492" s="110"/>
      <c r="AY492" s="113"/>
      <c r="AZ492" s="113"/>
      <c r="BA492" s="113"/>
      <c r="BB492" s="113"/>
      <c r="BC492" s="113"/>
      <c r="BD492" s="113"/>
      <c r="BF49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93" spans="1:58" x14ac:dyDescent="0.3">
      <c r="A493" s="422"/>
      <c r="B493" s="376"/>
      <c r="C493" s="110"/>
      <c r="D493" s="110"/>
      <c r="E493" s="340"/>
      <c r="F493" s="330"/>
      <c r="G493" s="113"/>
      <c r="H493" s="332"/>
      <c r="I493" s="113"/>
      <c r="J493" s="332"/>
      <c r="K493" s="110"/>
      <c r="L493" s="110"/>
      <c r="M493" s="110"/>
      <c r="N493" s="110"/>
      <c r="O493" s="111"/>
      <c r="P493" s="424" t="str">
        <f>IF(OR(Table13[[#This Row],[Annual Increase Option]]="No increase",Table13[[#This Row],[Annual Increase Option]]=""),"",_xlfn.XLOOKUP(MONTH(Table13[[#This Row],[Commencement Date]]),Lookups!$I$19:$I$30,Lookups!$J$19:$J$30,0))</f>
        <v/>
      </c>
      <c r="Q493" s="340"/>
      <c r="R493" s="340"/>
      <c r="S493" s="360">
        <f>IF(Table13[[#This Row],[Life Cover Amount]]="",0,Table2[[#This Row],[Life Premium]])</f>
        <v>0</v>
      </c>
      <c r="T493" s="360">
        <f>IF(Table13[[#This Row],[Funeral Cover Amount]]=0,0,Table2[[#This Row],[Funeral Premium]])</f>
        <v>0</v>
      </c>
      <c r="U493" s="360">
        <f>IF(AND(Table13[[#This Row],[Life Cover Amount]]="",Table13[[#This Row],[Funeral Cover Amount]]=""),0,onboarding_calcs!AA493)</f>
        <v>0</v>
      </c>
      <c r="V493" s="111"/>
      <c r="W493" s="111"/>
      <c r="X493" s="333"/>
      <c r="Y493" s="110"/>
      <c r="Z493" s="113"/>
      <c r="AA493" s="425"/>
      <c r="AB493" s="425"/>
      <c r="AC493" s="113"/>
      <c r="AD493" s="110"/>
      <c r="AE493" s="110"/>
      <c r="AF493" s="110"/>
      <c r="AG493" s="110"/>
      <c r="AH493" s="110"/>
      <c r="AI493" s="113"/>
      <c r="AJ493" s="110"/>
      <c r="AK493" s="110"/>
      <c r="AL493" s="110"/>
      <c r="AM493" s="110"/>
      <c r="AN493" s="110"/>
      <c r="AO493" s="113"/>
      <c r="AP493" s="113"/>
      <c r="AQ493" s="113"/>
      <c r="AR493" s="110"/>
      <c r="AS493" s="113"/>
      <c r="AT493" s="113"/>
      <c r="AU493" s="112"/>
      <c r="AV493" s="338"/>
      <c r="AW493" s="110"/>
      <c r="AX493" s="110"/>
      <c r="AY493" s="113"/>
      <c r="AZ493" s="113"/>
      <c r="BA493" s="113"/>
      <c r="BB493" s="113"/>
      <c r="BC493" s="113"/>
      <c r="BD493" s="113"/>
      <c r="BF49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94" spans="1:58" x14ac:dyDescent="0.3">
      <c r="A494" s="422"/>
      <c r="B494" s="376"/>
      <c r="C494" s="110"/>
      <c r="D494" s="110"/>
      <c r="E494" s="340"/>
      <c r="F494" s="330"/>
      <c r="G494" s="113"/>
      <c r="H494" s="332"/>
      <c r="I494" s="113"/>
      <c r="J494" s="332"/>
      <c r="K494" s="110"/>
      <c r="L494" s="110"/>
      <c r="M494" s="110"/>
      <c r="N494" s="110"/>
      <c r="O494" s="111"/>
      <c r="P494" s="424" t="str">
        <f>IF(OR(Table13[[#This Row],[Annual Increase Option]]="No increase",Table13[[#This Row],[Annual Increase Option]]=""),"",_xlfn.XLOOKUP(MONTH(Table13[[#This Row],[Commencement Date]]),Lookups!$I$19:$I$30,Lookups!$J$19:$J$30,0))</f>
        <v/>
      </c>
      <c r="Q494" s="340"/>
      <c r="R494" s="340"/>
      <c r="S494" s="360">
        <f>IF(Table13[[#This Row],[Life Cover Amount]]="",0,Table2[[#This Row],[Life Premium]])</f>
        <v>0</v>
      </c>
      <c r="T494" s="360">
        <f>IF(Table13[[#This Row],[Funeral Cover Amount]]=0,0,Table2[[#This Row],[Funeral Premium]])</f>
        <v>0</v>
      </c>
      <c r="U494" s="360">
        <f>IF(AND(Table13[[#This Row],[Life Cover Amount]]="",Table13[[#This Row],[Funeral Cover Amount]]=""),0,onboarding_calcs!AA494)</f>
        <v>0</v>
      </c>
      <c r="V494" s="111"/>
      <c r="W494" s="111"/>
      <c r="X494" s="333"/>
      <c r="Y494" s="110"/>
      <c r="Z494" s="113"/>
      <c r="AA494" s="425"/>
      <c r="AB494" s="425"/>
      <c r="AC494" s="113"/>
      <c r="AD494" s="110"/>
      <c r="AE494" s="110"/>
      <c r="AF494" s="110"/>
      <c r="AG494" s="110"/>
      <c r="AH494" s="110"/>
      <c r="AI494" s="113"/>
      <c r="AJ494" s="110"/>
      <c r="AK494" s="110"/>
      <c r="AL494" s="110"/>
      <c r="AM494" s="110"/>
      <c r="AN494" s="110"/>
      <c r="AO494" s="113"/>
      <c r="AP494" s="113"/>
      <c r="AQ494" s="113"/>
      <c r="AR494" s="110"/>
      <c r="AS494" s="113"/>
      <c r="AT494" s="113"/>
      <c r="AU494" s="112"/>
      <c r="AV494" s="338"/>
      <c r="AW494" s="110"/>
      <c r="AX494" s="110"/>
      <c r="AY494" s="113"/>
      <c r="AZ494" s="113"/>
      <c r="BA494" s="113"/>
      <c r="BB494" s="113"/>
      <c r="BC494" s="113"/>
      <c r="BD494" s="113"/>
      <c r="BF49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95" spans="1:58" x14ac:dyDescent="0.3">
      <c r="A495" s="422"/>
      <c r="B495" s="376"/>
      <c r="C495" s="110"/>
      <c r="D495" s="110"/>
      <c r="E495" s="340"/>
      <c r="F495" s="330"/>
      <c r="G495" s="113"/>
      <c r="H495" s="332"/>
      <c r="I495" s="113"/>
      <c r="J495" s="332"/>
      <c r="K495" s="110"/>
      <c r="L495" s="110"/>
      <c r="M495" s="110"/>
      <c r="N495" s="110"/>
      <c r="O495" s="111"/>
      <c r="P495" s="424" t="str">
        <f>IF(OR(Table13[[#This Row],[Annual Increase Option]]="No increase",Table13[[#This Row],[Annual Increase Option]]=""),"",_xlfn.XLOOKUP(MONTH(Table13[[#This Row],[Commencement Date]]),Lookups!$I$19:$I$30,Lookups!$J$19:$J$30,0))</f>
        <v/>
      </c>
      <c r="Q495" s="340"/>
      <c r="R495" s="340"/>
      <c r="S495" s="360">
        <f>IF(Table13[[#This Row],[Life Cover Amount]]="",0,Table2[[#This Row],[Life Premium]])</f>
        <v>0</v>
      </c>
      <c r="T495" s="360">
        <f>IF(Table13[[#This Row],[Funeral Cover Amount]]=0,0,Table2[[#This Row],[Funeral Premium]])</f>
        <v>0</v>
      </c>
      <c r="U495" s="360">
        <f>IF(AND(Table13[[#This Row],[Life Cover Amount]]="",Table13[[#This Row],[Funeral Cover Amount]]=""),0,onboarding_calcs!AA495)</f>
        <v>0</v>
      </c>
      <c r="V495" s="111"/>
      <c r="W495" s="111"/>
      <c r="X495" s="333"/>
      <c r="Y495" s="110"/>
      <c r="Z495" s="113"/>
      <c r="AA495" s="425"/>
      <c r="AB495" s="425"/>
      <c r="AC495" s="113"/>
      <c r="AD495" s="110"/>
      <c r="AE495" s="110"/>
      <c r="AF495" s="110"/>
      <c r="AG495" s="110"/>
      <c r="AH495" s="110"/>
      <c r="AI495" s="113"/>
      <c r="AJ495" s="110"/>
      <c r="AK495" s="110"/>
      <c r="AL495" s="110"/>
      <c r="AM495" s="110"/>
      <c r="AN495" s="110"/>
      <c r="AO495" s="113"/>
      <c r="AP495" s="113"/>
      <c r="AQ495" s="113"/>
      <c r="AR495" s="110"/>
      <c r="AS495" s="113"/>
      <c r="AT495" s="113"/>
      <c r="AU495" s="112"/>
      <c r="AV495" s="338"/>
      <c r="AW495" s="110"/>
      <c r="AX495" s="110"/>
      <c r="AY495" s="113"/>
      <c r="AZ495" s="113"/>
      <c r="BA495" s="113"/>
      <c r="BB495" s="113"/>
      <c r="BC495" s="113"/>
      <c r="BD495" s="113"/>
      <c r="BF49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96" spans="1:58" x14ac:dyDescent="0.3">
      <c r="A496" s="422"/>
      <c r="B496" s="376"/>
      <c r="C496" s="110"/>
      <c r="D496" s="110"/>
      <c r="E496" s="340"/>
      <c r="F496" s="330"/>
      <c r="G496" s="113"/>
      <c r="H496" s="332"/>
      <c r="I496" s="113"/>
      <c r="J496" s="332"/>
      <c r="K496" s="110"/>
      <c r="L496" s="110"/>
      <c r="M496" s="110"/>
      <c r="N496" s="110"/>
      <c r="O496" s="111"/>
      <c r="P496" s="424" t="str">
        <f>IF(OR(Table13[[#This Row],[Annual Increase Option]]="No increase",Table13[[#This Row],[Annual Increase Option]]=""),"",_xlfn.XLOOKUP(MONTH(Table13[[#This Row],[Commencement Date]]),Lookups!$I$19:$I$30,Lookups!$J$19:$J$30,0))</f>
        <v/>
      </c>
      <c r="Q496" s="340"/>
      <c r="R496" s="340"/>
      <c r="S496" s="360">
        <f>IF(Table13[[#This Row],[Life Cover Amount]]="",0,Table2[[#This Row],[Life Premium]])</f>
        <v>0</v>
      </c>
      <c r="T496" s="360">
        <f>IF(Table13[[#This Row],[Funeral Cover Amount]]=0,0,Table2[[#This Row],[Funeral Premium]])</f>
        <v>0</v>
      </c>
      <c r="U496" s="360">
        <f>IF(AND(Table13[[#This Row],[Life Cover Amount]]="",Table13[[#This Row],[Funeral Cover Amount]]=""),0,onboarding_calcs!AA496)</f>
        <v>0</v>
      </c>
      <c r="V496" s="111"/>
      <c r="W496" s="111"/>
      <c r="X496" s="333"/>
      <c r="Y496" s="110"/>
      <c r="Z496" s="113"/>
      <c r="AA496" s="425"/>
      <c r="AB496" s="425"/>
      <c r="AC496" s="113"/>
      <c r="AD496" s="110"/>
      <c r="AE496" s="110"/>
      <c r="AF496" s="110"/>
      <c r="AG496" s="110"/>
      <c r="AH496" s="110"/>
      <c r="AI496" s="113"/>
      <c r="AJ496" s="110"/>
      <c r="AK496" s="110"/>
      <c r="AL496" s="110"/>
      <c r="AM496" s="110"/>
      <c r="AN496" s="110"/>
      <c r="AO496" s="113"/>
      <c r="AP496" s="113"/>
      <c r="AQ496" s="113"/>
      <c r="AR496" s="110"/>
      <c r="AS496" s="113"/>
      <c r="AT496" s="113"/>
      <c r="AU496" s="112"/>
      <c r="AV496" s="338"/>
      <c r="AW496" s="110"/>
      <c r="AX496" s="110"/>
      <c r="AY496" s="113"/>
      <c r="AZ496" s="113"/>
      <c r="BA496" s="113"/>
      <c r="BB496" s="113"/>
      <c r="BC496" s="113"/>
      <c r="BD496" s="113"/>
      <c r="BF49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97" spans="1:58" x14ac:dyDescent="0.3">
      <c r="A497" s="422"/>
      <c r="B497" s="376"/>
      <c r="C497" s="110"/>
      <c r="D497" s="110"/>
      <c r="E497" s="340"/>
      <c r="F497" s="330"/>
      <c r="G497" s="113"/>
      <c r="H497" s="332"/>
      <c r="I497" s="113"/>
      <c r="J497" s="332"/>
      <c r="K497" s="110"/>
      <c r="L497" s="110"/>
      <c r="M497" s="110"/>
      <c r="N497" s="110"/>
      <c r="O497" s="111"/>
      <c r="P497" s="424" t="str">
        <f>IF(OR(Table13[[#This Row],[Annual Increase Option]]="No increase",Table13[[#This Row],[Annual Increase Option]]=""),"",_xlfn.XLOOKUP(MONTH(Table13[[#This Row],[Commencement Date]]),Lookups!$I$19:$I$30,Lookups!$J$19:$J$30,0))</f>
        <v/>
      </c>
      <c r="Q497" s="340"/>
      <c r="R497" s="340"/>
      <c r="S497" s="360">
        <f>IF(Table13[[#This Row],[Life Cover Amount]]="",0,Table2[[#This Row],[Life Premium]])</f>
        <v>0</v>
      </c>
      <c r="T497" s="360">
        <f>IF(Table13[[#This Row],[Funeral Cover Amount]]=0,0,Table2[[#This Row],[Funeral Premium]])</f>
        <v>0</v>
      </c>
      <c r="U497" s="360">
        <f>IF(AND(Table13[[#This Row],[Life Cover Amount]]="",Table13[[#This Row],[Funeral Cover Amount]]=""),0,onboarding_calcs!AA497)</f>
        <v>0</v>
      </c>
      <c r="V497" s="111"/>
      <c r="W497" s="111"/>
      <c r="X497" s="333"/>
      <c r="Y497" s="110"/>
      <c r="Z497" s="113"/>
      <c r="AA497" s="425"/>
      <c r="AB497" s="425"/>
      <c r="AC497" s="113"/>
      <c r="AD497" s="110"/>
      <c r="AE497" s="110"/>
      <c r="AF497" s="110"/>
      <c r="AG497" s="110"/>
      <c r="AH497" s="110"/>
      <c r="AI497" s="113"/>
      <c r="AJ497" s="110"/>
      <c r="AK497" s="110"/>
      <c r="AL497" s="110"/>
      <c r="AM497" s="110"/>
      <c r="AN497" s="110"/>
      <c r="AO497" s="113"/>
      <c r="AP497" s="113"/>
      <c r="AQ497" s="113"/>
      <c r="AR497" s="110"/>
      <c r="AS497" s="113"/>
      <c r="AT497" s="113"/>
      <c r="AU497" s="112"/>
      <c r="AV497" s="338"/>
      <c r="AW497" s="110"/>
      <c r="AX497" s="110"/>
      <c r="AY497" s="113"/>
      <c r="AZ497" s="113"/>
      <c r="BA497" s="113"/>
      <c r="BB497" s="113"/>
      <c r="BC497" s="113"/>
      <c r="BD497" s="113"/>
      <c r="BF49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98" spans="1:58" x14ac:dyDescent="0.3">
      <c r="A498" s="422"/>
      <c r="B498" s="376"/>
      <c r="C498" s="110"/>
      <c r="D498" s="110"/>
      <c r="E498" s="340"/>
      <c r="F498" s="330"/>
      <c r="G498" s="113"/>
      <c r="H498" s="332"/>
      <c r="I498" s="113"/>
      <c r="J498" s="332"/>
      <c r="K498" s="110"/>
      <c r="L498" s="110"/>
      <c r="M498" s="110"/>
      <c r="N498" s="110"/>
      <c r="O498" s="111"/>
      <c r="P498" s="424" t="str">
        <f>IF(OR(Table13[[#This Row],[Annual Increase Option]]="No increase",Table13[[#This Row],[Annual Increase Option]]=""),"",_xlfn.XLOOKUP(MONTH(Table13[[#This Row],[Commencement Date]]),Lookups!$I$19:$I$30,Lookups!$J$19:$J$30,0))</f>
        <v/>
      </c>
      <c r="Q498" s="340"/>
      <c r="R498" s="340"/>
      <c r="S498" s="360">
        <f>IF(Table13[[#This Row],[Life Cover Amount]]="",0,Table2[[#This Row],[Life Premium]])</f>
        <v>0</v>
      </c>
      <c r="T498" s="360">
        <f>IF(Table13[[#This Row],[Funeral Cover Amount]]=0,0,Table2[[#This Row],[Funeral Premium]])</f>
        <v>0</v>
      </c>
      <c r="U498" s="360">
        <f>IF(AND(Table13[[#This Row],[Life Cover Amount]]="",Table13[[#This Row],[Funeral Cover Amount]]=""),0,onboarding_calcs!AA498)</f>
        <v>0</v>
      </c>
      <c r="V498" s="111"/>
      <c r="W498" s="111"/>
      <c r="X498" s="333"/>
      <c r="Y498" s="110"/>
      <c r="Z498" s="113"/>
      <c r="AA498" s="425"/>
      <c r="AB498" s="425"/>
      <c r="AC498" s="113"/>
      <c r="AD498" s="110"/>
      <c r="AE498" s="110"/>
      <c r="AF498" s="110"/>
      <c r="AG498" s="110"/>
      <c r="AH498" s="110"/>
      <c r="AI498" s="113"/>
      <c r="AJ498" s="110"/>
      <c r="AK498" s="110"/>
      <c r="AL498" s="110"/>
      <c r="AM498" s="110"/>
      <c r="AN498" s="110"/>
      <c r="AO498" s="113"/>
      <c r="AP498" s="113"/>
      <c r="AQ498" s="113"/>
      <c r="AR498" s="110"/>
      <c r="AS498" s="113"/>
      <c r="AT498" s="113"/>
      <c r="AU498" s="112"/>
      <c r="AV498" s="338"/>
      <c r="AW498" s="110"/>
      <c r="AX498" s="110"/>
      <c r="AY498" s="113"/>
      <c r="AZ498" s="113"/>
      <c r="BA498" s="113"/>
      <c r="BB498" s="113"/>
      <c r="BC498" s="113"/>
      <c r="BD498" s="113"/>
      <c r="BF49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499" spans="1:58" x14ac:dyDescent="0.3">
      <c r="A499" s="422"/>
      <c r="B499" s="376"/>
      <c r="C499" s="110"/>
      <c r="D499" s="110"/>
      <c r="E499" s="340"/>
      <c r="F499" s="330"/>
      <c r="G499" s="113"/>
      <c r="H499" s="332"/>
      <c r="I499" s="113"/>
      <c r="J499" s="332"/>
      <c r="K499" s="110"/>
      <c r="L499" s="110"/>
      <c r="M499" s="110"/>
      <c r="N499" s="110"/>
      <c r="O499" s="111"/>
      <c r="P499" s="424" t="str">
        <f>IF(OR(Table13[[#This Row],[Annual Increase Option]]="No increase",Table13[[#This Row],[Annual Increase Option]]=""),"",_xlfn.XLOOKUP(MONTH(Table13[[#This Row],[Commencement Date]]),Lookups!$I$19:$I$30,Lookups!$J$19:$J$30,0))</f>
        <v/>
      </c>
      <c r="Q499" s="340"/>
      <c r="R499" s="340"/>
      <c r="S499" s="360">
        <f>IF(Table13[[#This Row],[Life Cover Amount]]="",0,Table2[[#This Row],[Life Premium]])</f>
        <v>0</v>
      </c>
      <c r="T499" s="360">
        <f>IF(Table13[[#This Row],[Funeral Cover Amount]]=0,0,Table2[[#This Row],[Funeral Premium]])</f>
        <v>0</v>
      </c>
      <c r="U499" s="360">
        <f>IF(AND(Table13[[#This Row],[Life Cover Amount]]="",Table13[[#This Row],[Funeral Cover Amount]]=""),0,onboarding_calcs!AA499)</f>
        <v>0</v>
      </c>
      <c r="V499" s="111"/>
      <c r="W499" s="111"/>
      <c r="X499" s="333"/>
      <c r="Y499" s="110"/>
      <c r="Z499" s="113"/>
      <c r="AA499" s="425"/>
      <c r="AB499" s="425"/>
      <c r="AC499" s="113"/>
      <c r="AD499" s="110"/>
      <c r="AE499" s="110"/>
      <c r="AF499" s="110"/>
      <c r="AG499" s="110"/>
      <c r="AH499" s="110"/>
      <c r="AI499" s="113"/>
      <c r="AJ499" s="110"/>
      <c r="AK499" s="110"/>
      <c r="AL499" s="110"/>
      <c r="AM499" s="110"/>
      <c r="AN499" s="110"/>
      <c r="AO499" s="113"/>
      <c r="AP499" s="113"/>
      <c r="AQ499" s="113"/>
      <c r="AR499" s="110"/>
      <c r="AS499" s="113"/>
      <c r="AT499" s="113"/>
      <c r="AU499" s="112"/>
      <c r="AV499" s="338"/>
      <c r="AW499" s="110"/>
      <c r="AX499" s="110"/>
      <c r="AY499" s="113"/>
      <c r="AZ499" s="113"/>
      <c r="BA499" s="113"/>
      <c r="BB499" s="113"/>
      <c r="BC499" s="113"/>
      <c r="BD499" s="113"/>
      <c r="BF49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00" spans="1:58" x14ac:dyDescent="0.3">
      <c r="A500" s="422"/>
      <c r="B500" s="376"/>
      <c r="C500" s="110"/>
      <c r="D500" s="110"/>
      <c r="E500" s="340"/>
      <c r="F500" s="330"/>
      <c r="G500" s="113"/>
      <c r="H500" s="332"/>
      <c r="I500" s="113"/>
      <c r="J500" s="332"/>
      <c r="K500" s="110"/>
      <c r="L500" s="110"/>
      <c r="M500" s="110"/>
      <c r="N500" s="110"/>
      <c r="O500" s="111"/>
      <c r="P500" s="424" t="str">
        <f>IF(OR(Table13[[#This Row],[Annual Increase Option]]="No increase",Table13[[#This Row],[Annual Increase Option]]=""),"",_xlfn.XLOOKUP(MONTH(Table13[[#This Row],[Commencement Date]]),Lookups!$I$19:$I$30,Lookups!$J$19:$J$30,0))</f>
        <v/>
      </c>
      <c r="Q500" s="340"/>
      <c r="R500" s="340"/>
      <c r="S500" s="360">
        <f>IF(Table13[[#This Row],[Life Cover Amount]]="",0,Table2[[#This Row],[Life Premium]])</f>
        <v>0</v>
      </c>
      <c r="T500" s="360">
        <f>IF(Table13[[#This Row],[Funeral Cover Amount]]=0,0,Table2[[#This Row],[Funeral Premium]])</f>
        <v>0</v>
      </c>
      <c r="U500" s="360">
        <f>IF(AND(Table13[[#This Row],[Life Cover Amount]]="",Table13[[#This Row],[Funeral Cover Amount]]=""),0,onboarding_calcs!AA500)</f>
        <v>0</v>
      </c>
      <c r="V500" s="111"/>
      <c r="W500" s="111"/>
      <c r="X500" s="333"/>
      <c r="Y500" s="110"/>
      <c r="Z500" s="113"/>
      <c r="AA500" s="425"/>
      <c r="AB500" s="425"/>
      <c r="AC500" s="113"/>
      <c r="AD500" s="110"/>
      <c r="AE500" s="110"/>
      <c r="AF500" s="110"/>
      <c r="AG500" s="110"/>
      <c r="AH500" s="110"/>
      <c r="AI500" s="113"/>
      <c r="AJ500" s="110"/>
      <c r="AK500" s="110"/>
      <c r="AL500" s="110"/>
      <c r="AM500" s="110"/>
      <c r="AN500" s="110"/>
      <c r="AO500" s="113"/>
      <c r="AP500" s="113"/>
      <c r="AQ500" s="113"/>
      <c r="AR500" s="110"/>
      <c r="AS500" s="113"/>
      <c r="AT500" s="113"/>
      <c r="AU500" s="112"/>
      <c r="AV500" s="338"/>
      <c r="AW500" s="110"/>
      <c r="AX500" s="110"/>
      <c r="AY500" s="113"/>
      <c r="AZ500" s="113"/>
      <c r="BA500" s="113"/>
      <c r="BB500" s="113"/>
      <c r="BC500" s="113"/>
      <c r="BD500" s="113"/>
      <c r="BF50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01" spans="1:58" x14ac:dyDescent="0.3">
      <c r="A501" s="422"/>
      <c r="B501" s="376"/>
      <c r="C501" s="110"/>
      <c r="D501" s="110"/>
      <c r="E501" s="340"/>
      <c r="F501" s="330"/>
      <c r="G501" s="113"/>
      <c r="H501" s="332"/>
      <c r="I501" s="113"/>
      <c r="J501" s="332"/>
      <c r="K501" s="110"/>
      <c r="L501" s="110"/>
      <c r="M501" s="110"/>
      <c r="N501" s="110"/>
      <c r="O501" s="111"/>
      <c r="P501" s="424" t="str">
        <f>IF(OR(Table13[[#This Row],[Annual Increase Option]]="No increase",Table13[[#This Row],[Annual Increase Option]]=""),"",_xlfn.XLOOKUP(MONTH(Table13[[#This Row],[Commencement Date]]),Lookups!$I$19:$I$30,Lookups!$J$19:$J$30,0))</f>
        <v/>
      </c>
      <c r="Q501" s="340"/>
      <c r="R501" s="340"/>
      <c r="S501" s="360">
        <f>IF(Table13[[#This Row],[Life Cover Amount]]="",0,Table2[[#This Row],[Life Premium]])</f>
        <v>0</v>
      </c>
      <c r="T501" s="360">
        <f>IF(Table13[[#This Row],[Funeral Cover Amount]]=0,0,Table2[[#This Row],[Funeral Premium]])</f>
        <v>0</v>
      </c>
      <c r="U501" s="360">
        <f>IF(AND(Table13[[#This Row],[Life Cover Amount]]="",Table13[[#This Row],[Funeral Cover Amount]]=""),0,onboarding_calcs!AA501)</f>
        <v>0</v>
      </c>
      <c r="V501" s="111"/>
      <c r="W501" s="111"/>
      <c r="X501" s="333"/>
      <c r="Y501" s="110"/>
      <c r="Z501" s="113"/>
      <c r="AA501" s="425"/>
      <c r="AB501" s="425"/>
      <c r="AC501" s="113"/>
      <c r="AD501" s="110"/>
      <c r="AE501" s="110"/>
      <c r="AF501" s="110"/>
      <c r="AG501" s="110"/>
      <c r="AH501" s="110"/>
      <c r="AI501" s="113"/>
      <c r="AJ501" s="110"/>
      <c r="AK501" s="110"/>
      <c r="AL501" s="110"/>
      <c r="AM501" s="110"/>
      <c r="AN501" s="110"/>
      <c r="AO501" s="113"/>
      <c r="AP501" s="113"/>
      <c r="AQ501" s="113"/>
      <c r="AR501" s="110"/>
      <c r="AS501" s="113"/>
      <c r="AT501" s="113"/>
      <c r="AU501" s="112"/>
      <c r="AV501" s="338"/>
      <c r="AW501" s="110"/>
      <c r="AX501" s="110"/>
      <c r="AY501" s="113"/>
      <c r="AZ501" s="113"/>
      <c r="BA501" s="113"/>
      <c r="BB501" s="113"/>
      <c r="BC501" s="113"/>
      <c r="BD501" s="113"/>
      <c r="BF50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02" spans="1:58" x14ac:dyDescent="0.3">
      <c r="A502" s="422"/>
      <c r="B502" s="376"/>
      <c r="C502" s="110"/>
      <c r="D502" s="110"/>
      <c r="E502" s="340"/>
      <c r="F502" s="330"/>
      <c r="G502" s="113"/>
      <c r="H502" s="332"/>
      <c r="I502" s="113"/>
      <c r="J502" s="332"/>
      <c r="K502" s="110"/>
      <c r="L502" s="110"/>
      <c r="M502" s="110"/>
      <c r="N502" s="110"/>
      <c r="O502" s="111"/>
      <c r="P502" s="424" t="str">
        <f>IF(OR(Table13[[#This Row],[Annual Increase Option]]="No increase",Table13[[#This Row],[Annual Increase Option]]=""),"",_xlfn.XLOOKUP(MONTH(Table13[[#This Row],[Commencement Date]]),Lookups!$I$19:$I$30,Lookups!$J$19:$J$30,0))</f>
        <v/>
      </c>
      <c r="Q502" s="340"/>
      <c r="R502" s="340"/>
      <c r="S502" s="360">
        <f>IF(Table13[[#This Row],[Life Cover Amount]]="",0,Table2[[#This Row],[Life Premium]])</f>
        <v>0</v>
      </c>
      <c r="T502" s="360">
        <f>IF(Table13[[#This Row],[Funeral Cover Amount]]=0,0,Table2[[#This Row],[Funeral Premium]])</f>
        <v>0</v>
      </c>
      <c r="U502" s="360">
        <f>IF(AND(Table13[[#This Row],[Life Cover Amount]]="",Table13[[#This Row],[Funeral Cover Amount]]=""),0,onboarding_calcs!AA502)</f>
        <v>0</v>
      </c>
      <c r="V502" s="111"/>
      <c r="W502" s="111"/>
      <c r="X502" s="333"/>
      <c r="Y502" s="110"/>
      <c r="Z502" s="113"/>
      <c r="AA502" s="425"/>
      <c r="AB502" s="425"/>
      <c r="AC502" s="113"/>
      <c r="AD502" s="110"/>
      <c r="AE502" s="110"/>
      <c r="AF502" s="110"/>
      <c r="AG502" s="110"/>
      <c r="AH502" s="110"/>
      <c r="AI502" s="113"/>
      <c r="AJ502" s="110"/>
      <c r="AK502" s="110"/>
      <c r="AL502" s="110"/>
      <c r="AM502" s="110"/>
      <c r="AN502" s="110"/>
      <c r="AO502" s="113"/>
      <c r="AP502" s="113"/>
      <c r="AQ502" s="113"/>
      <c r="AR502" s="110"/>
      <c r="AS502" s="113"/>
      <c r="AT502" s="113"/>
      <c r="AU502" s="112"/>
      <c r="AV502" s="338"/>
      <c r="AW502" s="110"/>
      <c r="AX502" s="110"/>
      <c r="AY502" s="113"/>
      <c r="AZ502" s="113"/>
      <c r="BA502" s="113"/>
      <c r="BB502" s="113"/>
      <c r="BC502" s="113"/>
      <c r="BD502" s="113"/>
      <c r="BF50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03" spans="1:58" x14ac:dyDescent="0.3">
      <c r="A503" s="422"/>
      <c r="B503" s="376"/>
      <c r="C503" s="110"/>
      <c r="D503" s="110"/>
      <c r="E503" s="340"/>
      <c r="F503" s="330"/>
      <c r="G503" s="113"/>
      <c r="H503" s="332"/>
      <c r="I503" s="113"/>
      <c r="J503" s="332"/>
      <c r="K503" s="110"/>
      <c r="L503" s="110"/>
      <c r="M503" s="110"/>
      <c r="N503" s="110"/>
      <c r="O503" s="111"/>
      <c r="P503" s="424" t="str">
        <f>IF(OR(Table13[[#This Row],[Annual Increase Option]]="No increase",Table13[[#This Row],[Annual Increase Option]]=""),"",_xlfn.XLOOKUP(MONTH(Table13[[#This Row],[Commencement Date]]),Lookups!$I$19:$I$30,Lookups!$J$19:$J$30,0))</f>
        <v/>
      </c>
      <c r="Q503" s="340"/>
      <c r="R503" s="340"/>
      <c r="S503" s="360">
        <f>IF(Table13[[#This Row],[Life Cover Amount]]="",0,Table2[[#This Row],[Life Premium]])</f>
        <v>0</v>
      </c>
      <c r="T503" s="360">
        <f>IF(Table13[[#This Row],[Funeral Cover Amount]]=0,0,Table2[[#This Row],[Funeral Premium]])</f>
        <v>0</v>
      </c>
      <c r="U503" s="360">
        <f>IF(AND(Table13[[#This Row],[Life Cover Amount]]="",Table13[[#This Row],[Funeral Cover Amount]]=""),0,onboarding_calcs!AA503)</f>
        <v>0</v>
      </c>
      <c r="V503" s="111"/>
      <c r="W503" s="111"/>
      <c r="X503" s="333"/>
      <c r="Y503" s="110"/>
      <c r="Z503" s="113"/>
      <c r="AA503" s="425"/>
      <c r="AB503" s="425"/>
      <c r="AC503" s="113"/>
      <c r="AD503" s="110"/>
      <c r="AE503" s="110"/>
      <c r="AF503" s="110"/>
      <c r="AG503" s="110"/>
      <c r="AH503" s="110"/>
      <c r="AI503" s="113"/>
      <c r="AJ503" s="110"/>
      <c r="AK503" s="110"/>
      <c r="AL503" s="110"/>
      <c r="AM503" s="110"/>
      <c r="AN503" s="110"/>
      <c r="AO503" s="113"/>
      <c r="AP503" s="113"/>
      <c r="AQ503" s="113"/>
      <c r="AR503" s="110"/>
      <c r="AS503" s="113"/>
      <c r="AT503" s="113"/>
      <c r="AU503" s="112"/>
      <c r="AV503" s="338"/>
      <c r="AW503" s="110"/>
      <c r="AX503" s="110"/>
      <c r="AY503" s="113"/>
      <c r="AZ503" s="113"/>
      <c r="BA503" s="113"/>
      <c r="BB503" s="113"/>
      <c r="BC503" s="113"/>
      <c r="BD503" s="113"/>
      <c r="BF50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04" spans="1:58" x14ac:dyDescent="0.3">
      <c r="A504" s="422"/>
      <c r="B504" s="376"/>
      <c r="C504" s="110"/>
      <c r="D504" s="110"/>
      <c r="E504" s="340"/>
      <c r="F504" s="330"/>
      <c r="G504" s="113"/>
      <c r="H504" s="332"/>
      <c r="I504" s="113"/>
      <c r="J504" s="332"/>
      <c r="K504" s="110"/>
      <c r="L504" s="110"/>
      <c r="M504" s="110"/>
      <c r="N504" s="110"/>
      <c r="O504" s="111"/>
      <c r="P504" s="424" t="str">
        <f>IF(OR(Table13[[#This Row],[Annual Increase Option]]="No increase",Table13[[#This Row],[Annual Increase Option]]=""),"",_xlfn.XLOOKUP(MONTH(Table13[[#This Row],[Commencement Date]]),Lookups!$I$19:$I$30,Lookups!$J$19:$J$30,0))</f>
        <v/>
      </c>
      <c r="Q504" s="340"/>
      <c r="R504" s="340"/>
      <c r="S504" s="360">
        <f>IF(Table13[[#This Row],[Life Cover Amount]]="",0,Table2[[#This Row],[Life Premium]])</f>
        <v>0</v>
      </c>
      <c r="T504" s="360">
        <f>IF(Table13[[#This Row],[Funeral Cover Amount]]=0,0,Table2[[#This Row],[Funeral Premium]])</f>
        <v>0</v>
      </c>
      <c r="U504" s="360">
        <f>IF(AND(Table13[[#This Row],[Life Cover Amount]]="",Table13[[#This Row],[Funeral Cover Amount]]=""),0,onboarding_calcs!AA504)</f>
        <v>0</v>
      </c>
      <c r="V504" s="111"/>
      <c r="W504" s="111"/>
      <c r="X504" s="333"/>
      <c r="Y504" s="110"/>
      <c r="Z504" s="113"/>
      <c r="AA504" s="425"/>
      <c r="AB504" s="425"/>
      <c r="AC504" s="113"/>
      <c r="AD504" s="110"/>
      <c r="AE504" s="110"/>
      <c r="AF504" s="110"/>
      <c r="AG504" s="110"/>
      <c r="AH504" s="110"/>
      <c r="AI504" s="113"/>
      <c r="AJ504" s="110"/>
      <c r="AK504" s="110"/>
      <c r="AL504" s="110"/>
      <c r="AM504" s="110"/>
      <c r="AN504" s="110"/>
      <c r="AO504" s="113"/>
      <c r="AP504" s="113"/>
      <c r="AQ504" s="113"/>
      <c r="AR504" s="110"/>
      <c r="AS504" s="113"/>
      <c r="AT504" s="113"/>
      <c r="AU504" s="112"/>
      <c r="AV504" s="338"/>
      <c r="AW504" s="110"/>
      <c r="AX504" s="110"/>
      <c r="AY504" s="113"/>
      <c r="AZ504" s="113"/>
      <c r="BA504" s="113"/>
      <c r="BB504" s="113"/>
      <c r="BC504" s="113"/>
      <c r="BD504" s="113"/>
      <c r="BF50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05" spans="1:58" x14ac:dyDescent="0.3">
      <c r="A505" s="422"/>
      <c r="B505" s="376"/>
      <c r="C505" s="110"/>
      <c r="D505" s="110"/>
      <c r="E505" s="340"/>
      <c r="F505" s="330"/>
      <c r="G505" s="113"/>
      <c r="H505" s="332"/>
      <c r="I505" s="113"/>
      <c r="J505" s="332"/>
      <c r="K505" s="110"/>
      <c r="L505" s="110"/>
      <c r="M505" s="110"/>
      <c r="N505" s="110"/>
      <c r="O505" s="111"/>
      <c r="P505" s="424" t="str">
        <f>IF(OR(Table13[[#This Row],[Annual Increase Option]]="No increase",Table13[[#This Row],[Annual Increase Option]]=""),"",_xlfn.XLOOKUP(MONTH(Table13[[#This Row],[Commencement Date]]),Lookups!$I$19:$I$30,Lookups!$J$19:$J$30,0))</f>
        <v/>
      </c>
      <c r="Q505" s="340"/>
      <c r="R505" s="340"/>
      <c r="S505" s="360">
        <f>IF(Table13[[#This Row],[Life Cover Amount]]="",0,Table2[[#This Row],[Life Premium]])</f>
        <v>0</v>
      </c>
      <c r="T505" s="360">
        <f>IF(Table13[[#This Row],[Funeral Cover Amount]]=0,0,Table2[[#This Row],[Funeral Premium]])</f>
        <v>0</v>
      </c>
      <c r="U505" s="360">
        <f>IF(AND(Table13[[#This Row],[Life Cover Amount]]="",Table13[[#This Row],[Funeral Cover Amount]]=""),0,onboarding_calcs!AA505)</f>
        <v>0</v>
      </c>
      <c r="V505" s="111"/>
      <c r="W505" s="111"/>
      <c r="X505" s="333"/>
      <c r="Y505" s="110"/>
      <c r="Z505" s="113"/>
      <c r="AA505" s="425"/>
      <c r="AB505" s="425"/>
      <c r="AC505" s="113"/>
      <c r="AD505" s="110"/>
      <c r="AE505" s="110"/>
      <c r="AF505" s="110"/>
      <c r="AG505" s="110"/>
      <c r="AH505" s="110"/>
      <c r="AI505" s="113"/>
      <c r="AJ505" s="110"/>
      <c r="AK505" s="110"/>
      <c r="AL505" s="110"/>
      <c r="AM505" s="110"/>
      <c r="AN505" s="110"/>
      <c r="AO505" s="113"/>
      <c r="AP505" s="113"/>
      <c r="AQ505" s="113"/>
      <c r="AR505" s="110"/>
      <c r="AS505" s="113"/>
      <c r="AT505" s="113"/>
      <c r="AU505" s="112"/>
      <c r="AV505" s="338"/>
      <c r="AW505" s="110"/>
      <c r="AX505" s="110"/>
      <c r="AY505" s="113"/>
      <c r="AZ505" s="113"/>
      <c r="BA505" s="113"/>
      <c r="BB505" s="113"/>
      <c r="BC505" s="113"/>
      <c r="BD505" s="113"/>
      <c r="BF50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06" spans="1:58" x14ac:dyDescent="0.3">
      <c r="A506" s="422"/>
      <c r="B506" s="376"/>
      <c r="C506" s="110"/>
      <c r="D506" s="110"/>
      <c r="E506" s="340"/>
      <c r="F506" s="330"/>
      <c r="G506" s="113"/>
      <c r="H506" s="332"/>
      <c r="I506" s="113"/>
      <c r="J506" s="332"/>
      <c r="K506" s="110"/>
      <c r="L506" s="110"/>
      <c r="M506" s="110"/>
      <c r="N506" s="110"/>
      <c r="O506" s="111"/>
      <c r="P506" s="424" t="str">
        <f>IF(OR(Table13[[#This Row],[Annual Increase Option]]="No increase",Table13[[#This Row],[Annual Increase Option]]=""),"",_xlfn.XLOOKUP(MONTH(Table13[[#This Row],[Commencement Date]]),Lookups!$I$19:$I$30,Lookups!$J$19:$J$30,0))</f>
        <v/>
      </c>
      <c r="Q506" s="340"/>
      <c r="R506" s="340"/>
      <c r="S506" s="360">
        <f>IF(Table13[[#This Row],[Life Cover Amount]]="",0,Table2[[#This Row],[Life Premium]])</f>
        <v>0</v>
      </c>
      <c r="T506" s="360">
        <f>IF(Table13[[#This Row],[Funeral Cover Amount]]=0,0,Table2[[#This Row],[Funeral Premium]])</f>
        <v>0</v>
      </c>
      <c r="U506" s="360">
        <f>IF(AND(Table13[[#This Row],[Life Cover Amount]]="",Table13[[#This Row],[Funeral Cover Amount]]=""),0,onboarding_calcs!AA506)</f>
        <v>0</v>
      </c>
      <c r="V506" s="111"/>
      <c r="W506" s="111"/>
      <c r="X506" s="333"/>
      <c r="Y506" s="110"/>
      <c r="Z506" s="113"/>
      <c r="AA506" s="425"/>
      <c r="AB506" s="425"/>
      <c r="AC506" s="113"/>
      <c r="AD506" s="110"/>
      <c r="AE506" s="110"/>
      <c r="AF506" s="110"/>
      <c r="AG506" s="110"/>
      <c r="AH506" s="110"/>
      <c r="AI506" s="113"/>
      <c r="AJ506" s="110"/>
      <c r="AK506" s="110"/>
      <c r="AL506" s="110"/>
      <c r="AM506" s="110"/>
      <c r="AN506" s="110"/>
      <c r="AO506" s="113"/>
      <c r="AP506" s="113"/>
      <c r="AQ506" s="113"/>
      <c r="AR506" s="110"/>
      <c r="AS506" s="113"/>
      <c r="AT506" s="113"/>
      <c r="AU506" s="112"/>
      <c r="AV506" s="338"/>
      <c r="AW506" s="110"/>
      <c r="AX506" s="110"/>
      <c r="AY506" s="113"/>
      <c r="AZ506" s="113"/>
      <c r="BA506" s="113"/>
      <c r="BB506" s="113"/>
      <c r="BC506" s="113"/>
      <c r="BD506" s="113"/>
      <c r="BF50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07" spans="1:58" x14ac:dyDescent="0.3">
      <c r="A507" s="422"/>
      <c r="B507" s="376"/>
      <c r="C507" s="110"/>
      <c r="D507" s="110"/>
      <c r="E507" s="340"/>
      <c r="F507" s="330"/>
      <c r="G507" s="113"/>
      <c r="H507" s="332"/>
      <c r="I507" s="113"/>
      <c r="J507" s="332"/>
      <c r="K507" s="110"/>
      <c r="L507" s="110"/>
      <c r="M507" s="110"/>
      <c r="N507" s="110"/>
      <c r="O507" s="111"/>
      <c r="P507" s="424" t="str">
        <f>IF(OR(Table13[[#This Row],[Annual Increase Option]]="No increase",Table13[[#This Row],[Annual Increase Option]]=""),"",_xlfn.XLOOKUP(MONTH(Table13[[#This Row],[Commencement Date]]),Lookups!$I$19:$I$30,Lookups!$J$19:$J$30,0))</f>
        <v/>
      </c>
      <c r="Q507" s="340"/>
      <c r="R507" s="340"/>
      <c r="S507" s="360">
        <f>IF(Table13[[#This Row],[Life Cover Amount]]="",0,Table2[[#This Row],[Life Premium]])</f>
        <v>0</v>
      </c>
      <c r="T507" s="360">
        <f>IF(Table13[[#This Row],[Funeral Cover Amount]]=0,0,Table2[[#This Row],[Funeral Premium]])</f>
        <v>0</v>
      </c>
      <c r="U507" s="360">
        <f>IF(AND(Table13[[#This Row],[Life Cover Amount]]="",Table13[[#This Row],[Funeral Cover Amount]]=""),0,onboarding_calcs!AA507)</f>
        <v>0</v>
      </c>
      <c r="V507" s="111"/>
      <c r="W507" s="111"/>
      <c r="X507" s="333"/>
      <c r="Y507" s="110"/>
      <c r="Z507" s="113"/>
      <c r="AA507" s="425"/>
      <c r="AB507" s="425"/>
      <c r="AC507" s="113"/>
      <c r="AD507" s="110"/>
      <c r="AE507" s="110"/>
      <c r="AF507" s="110"/>
      <c r="AG507" s="110"/>
      <c r="AH507" s="110"/>
      <c r="AI507" s="113"/>
      <c r="AJ507" s="110"/>
      <c r="AK507" s="110"/>
      <c r="AL507" s="110"/>
      <c r="AM507" s="110"/>
      <c r="AN507" s="110"/>
      <c r="AO507" s="113"/>
      <c r="AP507" s="113"/>
      <c r="AQ507" s="113"/>
      <c r="AR507" s="110"/>
      <c r="AS507" s="113"/>
      <c r="AT507" s="113"/>
      <c r="AU507" s="112"/>
      <c r="AV507" s="338"/>
      <c r="AW507" s="110"/>
      <c r="AX507" s="110"/>
      <c r="AY507" s="113"/>
      <c r="AZ507" s="113"/>
      <c r="BA507" s="113"/>
      <c r="BB507" s="113"/>
      <c r="BC507" s="113"/>
      <c r="BD507" s="113"/>
      <c r="BF50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08" spans="1:58" x14ac:dyDescent="0.3">
      <c r="A508" s="422"/>
      <c r="B508" s="376"/>
      <c r="C508" s="110"/>
      <c r="D508" s="110"/>
      <c r="E508" s="340"/>
      <c r="F508" s="330"/>
      <c r="G508" s="113"/>
      <c r="H508" s="332"/>
      <c r="I508" s="113"/>
      <c r="J508" s="332"/>
      <c r="K508" s="110"/>
      <c r="L508" s="110"/>
      <c r="M508" s="110"/>
      <c r="N508" s="110"/>
      <c r="O508" s="111"/>
      <c r="P508" s="424" t="str">
        <f>IF(OR(Table13[[#This Row],[Annual Increase Option]]="No increase",Table13[[#This Row],[Annual Increase Option]]=""),"",_xlfn.XLOOKUP(MONTH(Table13[[#This Row],[Commencement Date]]),Lookups!$I$19:$I$30,Lookups!$J$19:$J$30,0))</f>
        <v/>
      </c>
      <c r="Q508" s="340"/>
      <c r="R508" s="340"/>
      <c r="S508" s="360">
        <f>IF(Table13[[#This Row],[Life Cover Amount]]="",0,Table2[[#This Row],[Life Premium]])</f>
        <v>0</v>
      </c>
      <c r="T508" s="360">
        <f>IF(Table13[[#This Row],[Funeral Cover Amount]]=0,0,Table2[[#This Row],[Funeral Premium]])</f>
        <v>0</v>
      </c>
      <c r="U508" s="360">
        <f>IF(AND(Table13[[#This Row],[Life Cover Amount]]="",Table13[[#This Row],[Funeral Cover Amount]]=""),0,onboarding_calcs!AA508)</f>
        <v>0</v>
      </c>
      <c r="V508" s="111"/>
      <c r="W508" s="111"/>
      <c r="X508" s="333"/>
      <c r="Y508" s="110"/>
      <c r="Z508" s="113"/>
      <c r="AA508" s="425"/>
      <c r="AB508" s="425"/>
      <c r="AC508" s="113"/>
      <c r="AD508" s="110"/>
      <c r="AE508" s="110"/>
      <c r="AF508" s="110"/>
      <c r="AG508" s="110"/>
      <c r="AH508" s="110"/>
      <c r="AI508" s="113"/>
      <c r="AJ508" s="110"/>
      <c r="AK508" s="110"/>
      <c r="AL508" s="110"/>
      <c r="AM508" s="110"/>
      <c r="AN508" s="110"/>
      <c r="AO508" s="113"/>
      <c r="AP508" s="113"/>
      <c r="AQ508" s="113"/>
      <c r="AR508" s="110"/>
      <c r="AS508" s="113"/>
      <c r="AT508" s="113"/>
      <c r="AU508" s="112"/>
      <c r="AV508" s="338"/>
      <c r="AW508" s="110"/>
      <c r="AX508" s="110"/>
      <c r="AY508" s="113"/>
      <c r="AZ508" s="113"/>
      <c r="BA508" s="113"/>
      <c r="BB508" s="113"/>
      <c r="BC508" s="113"/>
      <c r="BD508" s="113"/>
      <c r="BF50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09" spans="1:58" x14ac:dyDescent="0.3">
      <c r="A509" s="422"/>
      <c r="B509" s="376"/>
      <c r="C509" s="110"/>
      <c r="D509" s="110"/>
      <c r="E509" s="340"/>
      <c r="F509" s="330"/>
      <c r="G509" s="113"/>
      <c r="H509" s="332"/>
      <c r="I509" s="113"/>
      <c r="J509" s="332"/>
      <c r="K509" s="110"/>
      <c r="L509" s="110"/>
      <c r="M509" s="110"/>
      <c r="N509" s="110"/>
      <c r="O509" s="111"/>
      <c r="P509" s="424" t="str">
        <f>IF(OR(Table13[[#This Row],[Annual Increase Option]]="No increase",Table13[[#This Row],[Annual Increase Option]]=""),"",_xlfn.XLOOKUP(MONTH(Table13[[#This Row],[Commencement Date]]),Lookups!$I$19:$I$30,Lookups!$J$19:$J$30,0))</f>
        <v/>
      </c>
      <c r="Q509" s="340"/>
      <c r="R509" s="340"/>
      <c r="S509" s="360">
        <f>IF(Table13[[#This Row],[Life Cover Amount]]="",0,Table2[[#This Row],[Life Premium]])</f>
        <v>0</v>
      </c>
      <c r="T509" s="360">
        <f>IF(Table13[[#This Row],[Funeral Cover Amount]]=0,0,Table2[[#This Row],[Funeral Premium]])</f>
        <v>0</v>
      </c>
      <c r="U509" s="360">
        <f>IF(AND(Table13[[#This Row],[Life Cover Amount]]="",Table13[[#This Row],[Funeral Cover Amount]]=""),0,onboarding_calcs!AA509)</f>
        <v>0</v>
      </c>
      <c r="V509" s="111"/>
      <c r="W509" s="111"/>
      <c r="X509" s="333"/>
      <c r="Y509" s="110"/>
      <c r="Z509" s="113"/>
      <c r="AA509" s="425"/>
      <c r="AB509" s="425"/>
      <c r="AC509" s="113"/>
      <c r="AD509" s="110"/>
      <c r="AE509" s="110"/>
      <c r="AF509" s="110"/>
      <c r="AG509" s="110"/>
      <c r="AH509" s="110"/>
      <c r="AI509" s="113"/>
      <c r="AJ509" s="110"/>
      <c r="AK509" s="110"/>
      <c r="AL509" s="110"/>
      <c r="AM509" s="110"/>
      <c r="AN509" s="110"/>
      <c r="AO509" s="113"/>
      <c r="AP509" s="113"/>
      <c r="AQ509" s="113"/>
      <c r="AR509" s="110"/>
      <c r="AS509" s="113"/>
      <c r="AT509" s="113"/>
      <c r="AU509" s="112"/>
      <c r="AV509" s="338"/>
      <c r="AW509" s="110"/>
      <c r="AX509" s="110"/>
      <c r="AY509" s="113"/>
      <c r="AZ509" s="113"/>
      <c r="BA509" s="113"/>
      <c r="BB509" s="113"/>
      <c r="BC509" s="113"/>
      <c r="BD509" s="113"/>
      <c r="BF50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10" spans="1:58" x14ac:dyDescent="0.3">
      <c r="A510" s="422"/>
      <c r="B510" s="376"/>
      <c r="C510" s="110"/>
      <c r="D510" s="110"/>
      <c r="E510" s="340"/>
      <c r="F510" s="330"/>
      <c r="G510" s="113"/>
      <c r="H510" s="332"/>
      <c r="I510" s="113"/>
      <c r="J510" s="332"/>
      <c r="K510" s="110"/>
      <c r="L510" s="110"/>
      <c r="M510" s="110"/>
      <c r="N510" s="110"/>
      <c r="O510" s="111"/>
      <c r="P510" s="424" t="str">
        <f>IF(OR(Table13[[#This Row],[Annual Increase Option]]="No increase",Table13[[#This Row],[Annual Increase Option]]=""),"",_xlfn.XLOOKUP(MONTH(Table13[[#This Row],[Commencement Date]]),Lookups!$I$19:$I$30,Lookups!$J$19:$J$30,0))</f>
        <v/>
      </c>
      <c r="Q510" s="340"/>
      <c r="R510" s="340"/>
      <c r="S510" s="360">
        <f>IF(Table13[[#This Row],[Life Cover Amount]]="",0,Table2[[#This Row],[Life Premium]])</f>
        <v>0</v>
      </c>
      <c r="T510" s="360">
        <f>IF(Table13[[#This Row],[Funeral Cover Amount]]=0,0,Table2[[#This Row],[Funeral Premium]])</f>
        <v>0</v>
      </c>
      <c r="U510" s="360">
        <f>IF(AND(Table13[[#This Row],[Life Cover Amount]]="",Table13[[#This Row],[Funeral Cover Amount]]=""),0,onboarding_calcs!AA510)</f>
        <v>0</v>
      </c>
      <c r="V510" s="111"/>
      <c r="W510" s="111"/>
      <c r="X510" s="333"/>
      <c r="Y510" s="110"/>
      <c r="Z510" s="113"/>
      <c r="AA510" s="425"/>
      <c r="AB510" s="425"/>
      <c r="AC510" s="113"/>
      <c r="AD510" s="110"/>
      <c r="AE510" s="110"/>
      <c r="AF510" s="110"/>
      <c r="AG510" s="110"/>
      <c r="AH510" s="110"/>
      <c r="AI510" s="113"/>
      <c r="AJ510" s="110"/>
      <c r="AK510" s="110"/>
      <c r="AL510" s="110"/>
      <c r="AM510" s="110"/>
      <c r="AN510" s="110"/>
      <c r="AO510" s="113"/>
      <c r="AP510" s="113"/>
      <c r="AQ510" s="113"/>
      <c r="AR510" s="110"/>
      <c r="AS510" s="113"/>
      <c r="AT510" s="113"/>
      <c r="AU510" s="112"/>
      <c r="AV510" s="338"/>
      <c r="AW510" s="110"/>
      <c r="AX510" s="110"/>
      <c r="AY510" s="113"/>
      <c r="AZ510" s="113"/>
      <c r="BA510" s="113"/>
      <c r="BB510" s="113"/>
      <c r="BC510" s="113"/>
      <c r="BD510" s="113"/>
      <c r="BF51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11" spans="1:58" x14ac:dyDescent="0.3">
      <c r="A511" s="422"/>
      <c r="B511" s="376"/>
      <c r="C511" s="110"/>
      <c r="D511" s="110"/>
      <c r="E511" s="340"/>
      <c r="F511" s="330"/>
      <c r="G511" s="113"/>
      <c r="H511" s="332"/>
      <c r="I511" s="113"/>
      <c r="J511" s="332"/>
      <c r="K511" s="110"/>
      <c r="L511" s="110"/>
      <c r="M511" s="110"/>
      <c r="N511" s="110"/>
      <c r="O511" s="111"/>
      <c r="P511" s="424" t="str">
        <f>IF(OR(Table13[[#This Row],[Annual Increase Option]]="No increase",Table13[[#This Row],[Annual Increase Option]]=""),"",_xlfn.XLOOKUP(MONTH(Table13[[#This Row],[Commencement Date]]),Lookups!$I$19:$I$30,Lookups!$J$19:$J$30,0))</f>
        <v/>
      </c>
      <c r="Q511" s="340"/>
      <c r="R511" s="340"/>
      <c r="S511" s="360">
        <f>IF(Table13[[#This Row],[Life Cover Amount]]="",0,Table2[[#This Row],[Life Premium]])</f>
        <v>0</v>
      </c>
      <c r="T511" s="360">
        <f>IF(Table13[[#This Row],[Funeral Cover Amount]]=0,0,Table2[[#This Row],[Funeral Premium]])</f>
        <v>0</v>
      </c>
      <c r="U511" s="360">
        <f>IF(AND(Table13[[#This Row],[Life Cover Amount]]="",Table13[[#This Row],[Funeral Cover Amount]]=""),0,onboarding_calcs!AA511)</f>
        <v>0</v>
      </c>
      <c r="V511" s="111"/>
      <c r="W511" s="111"/>
      <c r="X511" s="333"/>
      <c r="Y511" s="110"/>
      <c r="Z511" s="113"/>
      <c r="AA511" s="425"/>
      <c r="AB511" s="425"/>
      <c r="AC511" s="113"/>
      <c r="AD511" s="110"/>
      <c r="AE511" s="110"/>
      <c r="AF511" s="110"/>
      <c r="AG511" s="110"/>
      <c r="AH511" s="110"/>
      <c r="AI511" s="113"/>
      <c r="AJ511" s="110"/>
      <c r="AK511" s="110"/>
      <c r="AL511" s="110"/>
      <c r="AM511" s="110"/>
      <c r="AN511" s="110"/>
      <c r="AO511" s="113"/>
      <c r="AP511" s="113"/>
      <c r="AQ511" s="113"/>
      <c r="AR511" s="110"/>
      <c r="AS511" s="113"/>
      <c r="AT511" s="113"/>
      <c r="AU511" s="112"/>
      <c r="AV511" s="338"/>
      <c r="AW511" s="110"/>
      <c r="AX511" s="110"/>
      <c r="AY511" s="113"/>
      <c r="AZ511" s="113"/>
      <c r="BA511" s="113"/>
      <c r="BB511" s="113"/>
      <c r="BC511" s="113"/>
      <c r="BD511" s="113"/>
      <c r="BF51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12" spans="1:58" x14ac:dyDescent="0.3">
      <c r="A512" s="422"/>
      <c r="B512" s="376"/>
      <c r="C512" s="110"/>
      <c r="D512" s="110"/>
      <c r="E512" s="340"/>
      <c r="F512" s="330"/>
      <c r="G512" s="113"/>
      <c r="H512" s="332"/>
      <c r="I512" s="113"/>
      <c r="J512" s="332"/>
      <c r="K512" s="110"/>
      <c r="L512" s="110"/>
      <c r="M512" s="110"/>
      <c r="N512" s="110"/>
      <c r="O512" s="111"/>
      <c r="P512" s="424" t="str">
        <f>IF(OR(Table13[[#This Row],[Annual Increase Option]]="No increase",Table13[[#This Row],[Annual Increase Option]]=""),"",_xlfn.XLOOKUP(MONTH(Table13[[#This Row],[Commencement Date]]),Lookups!$I$19:$I$30,Lookups!$J$19:$J$30,0))</f>
        <v/>
      </c>
      <c r="Q512" s="340"/>
      <c r="R512" s="340"/>
      <c r="S512" s="360">
        <f>IF(Table13[[#This Row],[Life Cover Amount]]="",0,Table2[[#This Row],[Life Premium]])</f>
        <v>0</v>
      </c>
      <c r="T512" s="360">
        <f>IF(Table13[[#This Row],[Funeral Cover Amount]]=0,0,Table2[[#This Row],[Funeral Premium]])</f>
        <v>0</v>
      </c>
      <c r="U512" s="360">
        <f>IF(AND(Table13[[#This Row],[Life Cover Amount]]="",Table13[[#This Row],[Funeral Cover Amount]]=""),0,onboarding_calcs!AA512)</f>
        <v>0</v>
      </c>
      <c r="V512" s="111"/>
      <c r="W512" s="111"/>
      <c r="X512" s="333"/>
      <c r="Y512" s="110"/>
      <c r="Z512" s="113"/>
      <c r="AA512" s="425"/>
      <c r="AB512" s="425"/>
      <c r="AC512" s="113"/>
      <c r="AD512" s="110"/>
      <c r="AE512" s="110"/>
      <c r="AF512" s="110"/>
      <c r="AG512" s="110"/>
      <c r="AH512" s="110"/>
      <c r="AI512" s="113"/>
      <c r="AJ512" s="110"/>
      <c r="AK512" s="110"/>
      <c r="AL512" s="110"/>
      <c r="AM512" s="110"/>
      <c r="AN512" s="110"/>
      <c r="AO512" s="113"/>
      <c r="AP512" s="113"/>
      <c r="AQ512" s="113"/>
      <c r="AR512" s="110"/>
      <c r="AS512" s="113"/>
      <c r="AT512" s="113"/>
      <c r="AU512" s="112"/>
      <c r="AV512" s="338"/>
      <c r="AW512" s="110"/>
      <c r="AX512" s="110"/>
      <c r="AY512" s="113"/>
      <c r="AZ512" s="113"/>
      <c r="BA512" s="113"/>
      <c r="BB512" s="113"/>
      <c r="BC512" s="113"/>
      <c r="BD512" s="113"/>
      <c r="BF51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13" spans="1:58" x14ac:dyDescent="0.3">
      <c r="A513" s="422"/>
      <c r="B513" s="376"/>
      <c r="C513" s="110"/>
      <c r="D513" s="110"/>
      <c r="E513" s="340"/>
      <c r="F513" s="330"/>
      <c r="G513" s="113"/>
      <c r="H513" s="332"/>
      <c r="I513" s="113"/>
      <c r="J513" s="332"/>
      <c r="K513" s="110"/>
      <c r="L513" s="110"/>
      <c r="M513" s="110"/>
      <c r="N513" s="110"/>
      <c r="O513" s="111"/>
      <c r="P513" s="424" t="str">
        <f>IF(OR(Table13[[#This Row],[Annual Increase Option]]="No increase",Table13[[#This Row],[Annual Increase Option]]=""),"",_xlfn.XLOOKUP(MONTH(Table13[[#This Row],[Commencement Date]]),Lookups!$I$19:$I$30,Lookups!$J$19:$J$30,0))</f>
        <v/>
      </c>
      <c r="Q513" s="340"/>
      <c r="R513" s="340"/>
      <c r="S513" s="360">
        <f>IF(Table13[[#This Row],[Life Cover Amount]]="",0,Table2[[#This Row],[Life Premium]])</f>
        <v>0</v>
      </c>
      <c r="T513" s="360">
        <f>IF(Table13[[#This Row],[Funeral Cover Amount]]=0,0,Table2[[#This Row],[Funeral Premium]])</f>
        <v>0</v>
      </c>
      <c r="U513" s="360">
        <f>IF(AND(Table13[[#This Row],[Life Cover Amount]]="",Table13[[#This Row],[Funeral Cover Amount]]=""),0,onboarding_calcs!AA513)</f>
        <v>0</v>
      </c>
      <c r="V513" s="111"/>
      <c r="W513" s="111"/>
      <c r="X513" s="333"/>
      <c r="Y513" s="110"/>
      <c r="Z513" s="113"/>
      <c r="AA513" s="425"/>
      <c r="AB513" s="425"/>
      <c r="AC513" s="113"/>
      <c r="AD513" s="110"/>
      <c r="AE513" s="110"/>
      <c r="AF513" s="110"/>
      <c r="AG513" s="110"/>
      <c r="AH513" s="110"/>
      <c r="AI513" s="113"/>
      <c r="AJ513" s="110"/>
      <c r="AK513" s="110"/>
      <c r="AL513" s="110"/>
      <c r="AM513" s="110"/>
      <c r="AN513" s="110"/>
      <c r="AO513" s="113"/>
      <c r="AP513" s="113"/>
      <c r="AQ513" s="113"/>
      <c r="AR513" s="110"/>
      <c r="AS513" s="113"/>
      <c r="AT513" s="113"/>
      <c r="AU513" s="112"/>
      <c r="AV513" s="338"/>
      <c r="AW513" s="110"/>
      <c r="AX513" s="110"/>
      <c r="AY513" s="113"/>
      <c r="AZ513" s="113"/>
      <c r="BA513" s="113"/>
      <c r="BB513" s="113"/>
      <c r="BC513" s="113"/>
      <c r="BD513" s="113"/>
      <c r="BF51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14" spans="1:58" x14ac:dyDescent="0.3">
      <c r="A514" s="422"/>
      <c r="B514" s="376"/>
      <c r="C514" s="110"/>
      <c r="D514" s="110"/>
      <c r="E514" s="340"/>
      <c r="F514" s="330"/>
      <c r="G514" s="113"/>
      <c r="H514" s="332"/>
      <c r="I514" s="113"/>
      <c r="J514" s="332"/>
      <c r="K514" s="110"/>
      <c r="L514" s="110"/>
      <c r="M514" s="110"/>
      <c r="N514" s="110"/>
      <c r="O514" s="111"/>
      <c r="P514" s="424" t="str">
        <f>IF(OR(Table13[[#This Row],[Annual Increase Option]]="No increase",Table13[[#This Row],[Annual Increase Option]]=""),"",_xlfn.XLOOKUP(MONTH(Table13[[#This Row],[Commencement Date]]),Lookups!$I$19:$I$30,Lookups!$J$19:$J$30,0))</f>
        <v/>
      </c>
      <c r="Q514" s="340"/>
      <c r="R514" s="340"/>
      <c r="S514" s="360">
        <f>IF(Table13[[#This Row],[Life Cover Amount]]="",0,Table2[[#This Row],[Life Premium]])</f>
        <v>0</v>
      </c>
      <c r="T514" s="360">
        <f>IF(Table13[[#This Row],[Funeral Cover Amount]]=0,0,Table2[[#This Row],[Funeral Premium]])</f>
        <v>0</v>
      </c>
      <c r="U514" s="360">
        <f>IF(AND(Table13[[#This Row],[Life Cover Amount]]="",Table13[[#This Row],[Funeral Cover Amount]]=""),0,onboarding_calcs!AA514)</f>
        <v>0</v>
      </c>
      <c r="V514" s="111"/>
      <c r="W514" s="111"/>
      <c r="X514" s="333"/>
      <c r="Y514" s="110"/>
      <c r="Z514" s="113"/>
      <c r="AA514" s="425"/>
      <c r="AB514" s="425"/>
      <c r="AC514" s="113"/>
      <c r="AD514" s="110"/>
      <c r="AE514" s="110"/>
      <c r="AF514" s="110"/>
      <c r="AG514" s="110"/>
      <c r="AH514" s="110"/>
      <c r="AI514" s="113"/>
      <c r="AJ514" s="110"/>
      <c r="AK514" s="110"/>
      <c r="AL514" s="110"/>
      <c r="AM514" s="110"/>
      <c r="AN514" s="110"/>
      <c r="AO514" s="113"/>
      <c r="AP514" s="113"/>
      <c r="AQ514" s="113"/>
      <c r="AR514" s="110"/>
      <c r="AS514" s="113"/>
      <c r="AT514" s="113"/>
      <c r="AU514" s="112"/>
      <c r="AV514" s="338"/>
      <c r="AW514" s="110"/>
      <c r="AX514" s="110"/>
      <c r="AY514" s="113"/>
      <c r="AZ514" s="113"/>
      <c r="BA514" s="113"/>
      <c r="BB514" s="113"/>
      <c r="BC514" s="113"/>
      <c r="BD514" s="113"/>
      <c r="BF51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15" spans="1:58" x14ac:dyDescent="0.3">
      <c r="A515" s="422"/>
      <c r="B515" s="376"/>
      <c r="C515" s="110"/>
      <c r="D515" s="110"/>
      <c r="E515" s="340"/>
      <c r="F515" s="330"/>
      <c r="G515" s="113"/>
      <c r="H515" s="332"/>
      <c r="I515" s="113"/>
      <c r="J515" s="332"/>
      <c r="K515" s="110"/>
      <c r="L515" s="110"/>
      <c r="M515" s="110"/>
      <c r="N515" s="110"/>
      <c r="O515" s="111"/>
      <c r="P515" s="424" t="str">
        <f>IF(OR(Table13[[#This Row],[Annual Increase Option]]="No increase",Table13[[#This Row],[Annual Increase Option]]=""),"",_xlfn.XLOOKUP(MONTH(Table13[[#This Row],[Commencement Date]]),Lookups!$I$19:$I$30,Lookups!$J$19:$J$30,0))</f>
        <v/>
      </c>
      <c r="Q515" s="340"/>
      <c r="R515" s="340"/>
      <c r="S515" s="360">
        <f>IF(Table13[[#This Row],[Life Cover Amount]]="",0,Table2[[#This Row],[Life Premium]])</f>
        <v>0</v>
      </c>
      <c r="T515" s="360">
        <f>IF(Table13[[#This Row],[Funeral Cover Amount]]=0,0,Table2[[#This Row],[Funeral Premium]])</f>
        <v>0</v>
      </c>
      <c r="U515" s="360">
        <f>IF(AND(Table13[[#This Row],[Life Cover Amount]]="",Table13[[#This Row],[Funeral Cover Amount]]=""),0,onboarding_calcs!AA515)</f>
        <v>0</v>
      </c>
      <c r="V515" s="111"/>
      <c r="W515" s="111"/>
      <c r="X515" s="333"/>
      <c r="Y515" s="110"/>
      <c r="Z515" s="113"/>
      <c r="AA515" s="425"/>
      <c r="AB515" s="425"/>
      <c r="AC515" s="113"/>
      <c r="AD515" s="110"/>
      <c r="AE515" s="110"/>
      <c r="AF515" s="110"/>
      <c r="AG515" s="110"/>
      <c r="AH515" s="110"/>
      <c r="AI515" s="113"/>
      <c r="AJ515" s="110"/>
      <c r="AK515" s="110"/>
      <c r="AL515" s="110"/>
      <c r="AM515" s="110"/>
      <c r="AN515" s="110"/>
      <c r="AO515" s="113"/>
      <c r="AP515" s="113"/>
      <c r="AQ515" s="113"/>
      <c r="AR515" s="110"/>
      <c r="AS515" s="113"/>
      <c r="AT515" s="113"/>
      <c r="AU515" s="112"/>
      <c r="AV515" s="338"/>
      <c r="AW515" s="110"/>
      <c r="AX515" s="110"/>
      <c r="AY515" s="113"/>
      <c r="AZ515" s="113"/>
      <c r="BA515" s="113"/>
      <c r="BB515" s="113"/>
      <c r="BC515" s="113"/>
      <c r="BD515" s="113"/>
      <c r="BF51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16" spans="1:58" x14ac:dyDescent="0.3">
      <c r="A516" s="422"/>
      <c r="B516" s="376"/>
      <c r="C516" s="110"/>
      <c r="D516" s="110"/>
      <c r="E516" s="340"/>
      <c r="F516" s="330"/>
      <c r="G516" s="113"/>
      <c r="H516" s="332"/>
      <c r="I516" s="113"/>
      <c r="J516" s="332"/>
      <c r="K516" s="110"/>
      <c r="L516" s="110"/>
      <c r="M516" s="110"/>
      <c r="N516" s="110"/>
      <c r="O516" s="111"/>
      <c r="P516" s="424" t="str">
        <f>IF(OR(Table13[[#This Row],[Annual Increase Option]]="No increase",Table13[[#This Row],[Annual Increase Option]]=""),"",_xlfn.XLOOKUP(MONTH(Table13[[#This Row],[Commencement Date]]),Lookups!$I$19:$I$30,Lookups!$J$19:$J$30,0))</f>
        <v/>
      </c>
      <c r="Q516" s="340"/>
      <c r="R516" s="340"/>
      <c r="S516" s="360">
        <f>IF(Table13[[#This Row],[Life Cover Amount]]="",0,Table2[[#This Row],[Life Premium]])</f>
        <v>0</v>
      </c>
      <c r="T516" s="360">
        <f>IF(Table13[[#This Row],[Funeral Cover Amount]]=0,0,Table2[[#This Row],[Funeral Premium]])</f>
        <v>0</v>
      </c>
      <c r="U516" s="360">
        <f>IF(AND(Table13[[#This Row],[Life Cover Amount]]="",Table13[[#This Row],[Funeral Cover Amount]]=""),0,onboarding_calcs!AA516)</f>
        <v>0</v>
      </c>
      <c r="V516" s="111"/>
      <c r="W516" s="111"/>
      <c r="X516" s="333"/>
      <c r="Y516" s="110"/>
      <c r="Z516" s="113"/>
      <c r="AA516" s="425"/>
      <c r="AB516" s="425"/>
      <c r="AC516" s="113"/>
      <c r="AD516" s="110"/>
      <c r="AE516" s="110"/>
      <c r="AF516" s="110"/>
      <c r="AG516" s="110"/>
      <c r="AH516" s="110"/>
      <c r="AI516" s="113"/>
      <c r="AJ516" s="110"/>
      <c r="AK516" s="110"/>
      <c r="AL516" s="110"/>
      <c r="AM516" s="110"/>
      <c r="AN516" s="110"/>
      <c r="AO516" s="113"/>
      <c r="AP516" s="113"/>
      <c r="AQ516" s="113"/>
      <c r="AR516" s="110"/>
      <c r="AS516" s="113"/>
      <c r="AT516" s="113"/>
      <c r="AU516" s="112"/>
      <c r="AV516" s="338"/>
      <c r="AW516" s="110"/>
      <c r="AX516" s="110"/>
      <c r="AY516" s="113"/>
      <c r="AZ516" s="113"/>
      <c r="BA516" s="113"/>
      <c r="BB516" s="113"/>
      <c r="BC516" s="113"/>
      <c r="BD516" s="113"/>
      <c r="BF51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17" spans="1:58" x14ac:dyDescent="0.3">
      <c r="A517" s="422"/>
      <c r="B517" s="376"/>
      <c r="C517" s="110"/>
      <c r="D517" s="110"/>
      <c r="E517" s="340"/>
      <c r="F517" s="330"/>
      <c r="G517" s="113"/>
      <c r="H517" s="332"/>
      <c r="I517" s="113"/>
      <c r="J517" s="332"/>
      <c r="K517" s="110"/>
      <c r="L517" s="110"/>
      <c r="M517" s="110"/>
      <c r="N517" s="110"/>
      <c r="O517" s="111"/>
      <c r="P517" s="424" t="str">
        <f>IF(OR(Table13[[#This Row],[Annual Increase Option]]="No increase",Table13[[#This Row],[Annual Increase Option]]=""),"",_xlfn.XLOOKUP(MONTH(Table13[[#This Row],[Commencement Date]]),Lookups!$I$19:$I$30,Lookups!$J$19:$J$30,0))</f>
        <v/>
      </c>
      <c r="Q517" s="340"/>
      <c r="R517" s="340"/>
      <c r="S517" s="360">
        <f>IF(Table13[[#This Row],[Life Cover Amount]]="",0,Table2[[#This Row],[Life Premium]])</f>
        <v>0</v>
      </c>
      <c r="T517" s="360">
        <f>IF(Table13[[#This Row],[Funeral Cover Amount]]=0,0,Table2[[#This Row],[Funeral Premium]])</f>
        <v>0</v>
      </c>
      <c r="U517" s="360">
        <f>IF(AND(Table13[[#This Row],[Life Cover Amount]]="",Table13[[#This Row],[Funeral Cover Amount]]=""),0,onboarding_calcs!AA517)</f>
        <v>0</v>
      </c>
      <c r="V517" s="111"/>
      <c r="W517" s="111"/>
      <c r="X517" s="333"/>
      <c r="Y517" s="110"/>
      <c r="Z517" s="113"/>
      <c r="AA517" s="425"/>
      <c r="AB517" s="425"/>
      <c r="AC517" s="113"/>
      <c r="AD517" s="110"/>
      <c r="AE517" s="110"/>
      <c r="AF517" s="110"/>
      <c r="AG517" s="110"/>
      <c r="AH517" s="110"/>
      <c r="AI517" s="113"/>
      <c r="AJ517" s="110"/>
      <c r="AK517" s="110"/>
      <c r="AL517" s="110"/>
      <c r="AM517" s="110"/>
      <c r="AN517" s="110"/>
      <c r="AO517" s="113"/>
      <c r="AP517" s="113"/>
      <c r="AQ517" s="113"/>
      <c r="AR517" s="110"/>
      <c r="AS517" s="113"/>
      <c r="AT517" s="113"/>
      <c r="AU517" s="112"/>
      <c r="AV517" s="338"/>
      <c r="AW517" s="110"/>
      <c r="AX517" s="110"/>
      <c r="AY517" s="113"/>
      <c r="AZ517" s="113"/>
      <c r="BA517" s="113"/>
      <c r="BB517" s="113"/>
      <c r="BC517" s="113"/>
      <c r="BD517" s="113"/>
      <c r="BF51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18" spans="1:58" x14ac:dyDescent="0.3">
      <c r="A518" s="422"/>
      <c r="B518" s="376"/>
      <c r="C518" s="110"/>
      <c r="D518" s="110"/>
      <c r="E518" s="340"/>
      <c r="F518" s="330"/>
      <c r="G518" s="113"/>
      <c r="H518" s="332"/>
      <c r="I518" s="113"/>
      <c r="J518" s="332"/>
      <c r="K518" s="110"/>
      <c r="L518" s="110"/>
      <c r="M518" s="110"/>
      <c r="N518" s="110"/>
      <c r="O518" s="111"/>
      <c r="P518" s="424" t="str">
        <f>IF(OR(Table13[[#This Row],[Annual Increase Option]]="No increase",Table13[[#This Row],[Annual Increase Option]]=""),"",_xlfn.XLOOKUP(MONTH(Table13[[#This Row],[Commencement Date]]),Lookups!$I$19:$I$30,Lookups!$J$19:$J$30,0))</f>
        <v/>
      </c>
      <c r="Q518" s="340"/>
      <c r="R518" s="340"/>
      <c r="S518" s="360">
        <f>IF(Table13[[#This Row],[Life Cover Amount]]="",0,Table2[[#This Row],[Life Premium]])</f>
        <v>0</v>
      </c>
      <c r="T518" s="360">
        <f>IF(Table13[[#This Row],[Funeral Cover Amount]]=0,0,Table2[[#This Row],[Funeral Premium]])</f>
        <v>0</v>
      </c>
      <c r="U518" s="360">
        <f>IF(AND(Table13[[#This Row],[Life Cover Amount]]="",Table13[[#This Row],[Funeral Cover Amount]]=""),0,onboarding_calcs!AA518)</f>
        <v>0</v>
      </c>
      <c r="V518" s="111"/>
      <c r="W518" s="111"/>
      <c r="X518" s="333"/>
      <c r="Y518" s="110"/>
      <c r="Z518" s="113"/>
      <c r="AA518" s="425"/>
      <c r="AB518" s="425"/>
      <c r="AC518" s="113"/>
      <c r="AD518" s="110"/>
      <c r="AE518" s="110"/>
      <c r="AF518" s="110"/>
      <c r="AG518" s="110"/>
      <c r="AH518" s="110"/>
      <c r="AI518" s="113"/>
      <c r="AJ518" s="110"/>
      <c r="AK518" s="110"/>
      <c r="AL518" s="110"/>
      <c r="AM518" s="110"/>
      <c r="AN518" s="110"/>
      <c r="AO518" s="113"/>
      <c r="AP518" s="113"/>
      <c r="AQ518" s="113"/>
      <c r="AR518" s="110"/>
      <c r="AS518" s="113"/>
      <c r="AT518" s="113"/>
      <c r="AU518" s="112"/>
      <c r="AV518" s="338"/>
      <c r="AW518" s="110"/>
      <c r="AX518" s="110"/>
      <c r="AY518" s="113"/>
      <c r="AZ518" s="113"/>
      <c r="BA518" s="113"/>
      <c r="BB518" s="113"/>
      <c r="BC518" s="113"/>
      <c r="BD518" s="113"/>
      <c r="BF51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19" spans="1:58" x14ac:dyDescent="0.3">
      <c r="A519" s="422"/>
      <c r="B519" s="376"/>
      <c r="C519" s="110"/>
      <c r="D519" s="110"/>
      <c r="E519" s="340"/>
      <c r="F519" s="330"/>
      <c r="G519" s="113"/>
      <c r="H519" s="332"/>
      <c r="I519" s="113"/>
      <c r="J519" s="332"/>
      <c r="K519" s="110"/>
      <c r="L519" s="110"/>
      <c r="M519" s="110"/>
      <c r="N519" s="110"/>
      <c r="O519" s="111"/>
      <c r="P519" s="424" t="str">
        <f>IF(OR(Table13[[#This Row],[Annual Increase Option]]="No increase",Table13[[#This Row],[Annual Increase Option]]=""),"",_xlfn.XLOOKUP(MONTH(Table13[[#This Row],[Commencement Date]]),Lookups!$I$19:$I$30,Lookups!$J$19:$J$30,0))</f>
        <v/>
      </c>
      <c r="Q519" s="340"/>
      <c r="R519" s="340"/>
      <c r="S519" s="360">
        <f>IF(Table13[[#This Row],[Life Cover Amount]]="",0,Table2[[#This Row],[Life Premium]])</f>
        <v>0</v>
      </c>
      <c r="T519" s="360">
        <f>IF(Table13[[#This Row],[Funeral Cover Amount]]=0,0,Table2[[#This Row],[Funeral Premium]])</f>
        <v>0</v>
      </c>
      <c r="U519" s="360">
        <f>IF(AND(Table13[[#This Row],[Life Cover Amount]]="",Table13[[#This Row],[Funeral Cover Amount]]=""),0,onboarding_calcs!AA519)</f>
        <v>0</v>
      </c>
      <c r="V519" s="111"/>
      <c r="W519" s="111"/>
      <c r="X519" s="333"/>
      <c r="Y519" s="110"/>
      <c r="Z519" s="113"/>
      <c r="AA519" s="425"/>
      <c r="AB519" s="425"/>
      <c r="AC519" s="113"/>
      <c r="AD519" s="110"/>
      <c r="AE519" s="110"/>
      <c r="AF519" s="110"/>
      <c r="AG519" s="110"/>
      <c r="AH519" s="110"/>
      <c r="AI519" s="113"/>
      <c r="AJ519" s="110"/>
      <c r="AK519" s="110"/>
      <c r="AL519" s="110"/>
      <c r="AM519" s="110"/>
      <c r="AN519" s="110"/>
      <c r="AO519" s="113"/>
      <c r="AP519" s="113"/>
      <c r="AQ519" s="113"/>
      <c r="AR519" s="110"/>
      <c r="AS519" s="113"/>
      <c r="AT519" s="113"/>
      <c r="AU519" s="112"/>
      <c r="AV519" s="338"/>
      <c r="AW519" s="110"/>
      <c r="AX519" s="110"/>
      <c r="AY519" s="113"/>
      <c r="AZ519" s="113"/>
      <c r="BA519" s="113"/>
      <c r="BB519" s="113"/>
      <c r="BC519" s="113"/>
      <c r="BD519" s="113"/>
      <c r="BF51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20" spans="1:58" x14ac:dyDescent="0.3">
      <c r="A520" s="422"/>
      <c r="B520" s="376"/>
      <c r="C520" s="110"/>
      <c r="D520" s="110"/>
      <c r="E520" s="340"/>
      <c r="F520" s="330"/>
      <c r="G520" s="113"/>
      <c r="H520" s="332"/>
      <c r="I520" s="113"/>
      <c r="J520" s="332"/>
      <c r="K520" s="110"/>
      <c r="L520" s="110"/>
      <c r="M520" s="110"/>
      <c r="N520" s="110"/>
      <c r="O520" s="111"/>
      <c r="P520" s="424" t="str">
        <f>IF(OR(Table13[[#This Row],[Annual Increase Option]]="No increase",Table13[[#This Row],[Annual Increase Option]]=""),"",_xlfn.XLOOKUP(MONTH(Table13[[#This Row],[Commencement Date]]),Lookups!$I$19:$I$30,Lookups!$J$19:$J$30,0))</f>
        <v/>
      </c>
      <c r="Q520" s="340"/>
      <c r="R520" s="340"/>
      <c r="S520" s="360">
        <f>IF(Table13[[#This Row],[Life Cover Amount]]="",0,Table2[[#This Row],[Life Premium]])</f>
        <v>0</v>
      </c>
      <c r="T520" s="360">
        <f>IF(Table13[[#This Row],[Funeral Cover Amount]]=0,0,Table2[[#This Row],[Funeral Premium]])</f>
        <v>0</v>
      </c>
      <c r="U520" s="360">
        <f>IF(AND(Table13[[#This Row],[Life Cover Amount]]="",Table13[[#This Row],[Funeral Cover Amount]]=""),0,onboarding_calcs!AA520)</f>
        <v>0</v>
      </c>
      <c r="V520" s="111"/>
      <c r="W520" s="111"/>
      <c r="X520" s="333"/>
      <c r="Y520" s="110"/>
      <c r="Z520" s="113"/>
      <c r="AA520" s="425"/>
      <c r="AB520" s="425"/>
      <c r="AC520" s="113"/>
      <c r="AD520" s="110"/>
      <c r="AE520" s="110"/>
      <c r="AF520" s="110"/>
      <c r="AG520" s="110"/>
      <c r="AH520" s="110"/>
      <c r="AI520" s="113"/>
      <c r="AJ520" s="110"/>
      <c r="AK520" s="110"/>
      <c r="AL520" s="110"/>
      <c r="AM520" s="110"/>
      <c r="AN520" s="110"/>
      <c r="AO520" s="113"/>
      <c r="AP520" s="113"/>
      <c r="AQ520" s="113"/>
      <c r="AR520" s="110"/>
      <c r="AS520" s="113"/>
      <c r="AT520" s="113"/>
      <c r="AU520" s="112"/>
      <c r="AV520" s="338"/>
      <c r="AW520" s="110"/>
      <c r="AX520" s="110"/>
      <c r="AY520" s="113"/>
      <c r="AZ520" s="113"/>
      <c r="BA520" s="113"/>
      <c r="BB520" s="113"/>
      <c r="BC520" s="113"/>
      <c r="BD520" s="113"/>
      <c r="BF52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21" spans="1:58" x14ac:dyDescent="0.3">
      <c r="A521" s="422"/>
      <c r="B521" s="376"/>
      <c r="C521" s="110"/>
      <c r="D521" s="110"/>
      <c r="E521" s="340"/>
      <c r="F521" s="330"/>
      <c r="G521" s="113"/>
      <c r="H521" s="332"/>
      <c r="I521" s="113"/>
      <c r="J521" s="332"/>
      <c r="K521" s="110"/>
      <c r="L521" s="110"/>
      <c r="M521" s="110"/>
      <c r="N521" s="110"/>
      <c r="O521" s="111"/>
      <c r="P521" s="424" t="str">
        <f>IF(OR(Table13[[#This Row],[Annual Increase Option]]="No increase",Table13[[#This Row],[Annual Increase Option]]=""),"",_xlfn.XLOOKUP(MONTH(Table13[[#This Row],[Commencement Date]]),Lookups!$I$19:$I$30,Lookups!$J$19:$J$30,0))</f>
        <v/>
      </c>
      <c r="Q521" s="340"/>
      <c r="R521" s="340"/>
      <c r="S521" s="360">
        <f>IF(Table13[[#This Row],[Life Cover Amount]]="",0,Table2[[#This Row],[Life Premium]])</f>
        <v>0</v>
      </c>
      <c r="T521" s="360">
        <f>IF(Table13[[#This Row],[Funeral Cover Amount]]=0,0,Table2[[#This Row],[Funeral Premium]])</f>
        <v>0</v>
      </c>
      <c r="U521" s="360">
        <f>IF(AND(Table13[[#This Row],[Life Cover Amount]]="",Table13[[#This Row],[Funeral Cover Amount]]=""),0,onboarding_calcs!AA521)</f>
        <v>0</v>
      </c>
      <c r="V521" s="111"/>
      <c r="W521" s="111"/>
      <c r="X521" s="333"/>
      <c r="Y521" s="110"/>
      <c r="Z521" s="113"/>
      <c r="AA521" s="425"/>
      <c r="AB521" s="425"/>
      <c r="AC521" s="113"/>
      <c r="AD521" s="110"/>
      <c r="AE521" s="110"/>
      <c r="AF521" s="110"/>
      <c r="AG521" s="110"/>
      <c r="AH521" s="110"/>
      <c r="AI521" s="113"/>
      <c r="AJ521" s="110"/>
      <c r="AK521" s="110"/>
      <c r="AL521" s="110"/>
      <c r="AM521" s="110"/>
      <c r="AN521" s="110"/>
      <c r="AO521" s="113"/>
      <c r="AP521" s="113"/>
      <c r="AQ521" s="113"/>
      <c r="AR521" s="110"/>
      <c r="AS521" s="113"/>
      <c r="AT521" s="113"/>
      <c r="AU521" s="112"/>
      <c r="AV521" s="338"/>
      <c r="AW521" s="110"/>
      <c r="AX521" s="110"/>
      <c r="AY521" s="113"/>
      <c r="AZ521" s="113"/>
      <c r="BA521" s="113"/>
      <c r="BB521" s="113"/>
      <c r="BC521" s="113"/>
      <c r="BD521" s="113"/>
      <c r="BF52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22" spans="1:58" x14ac:dyDescent="0.3">
      <c r="A522" s="422"/>
      <c r="B522" s="376"/>
      <c r="C522" s="110"/>
      <c r="D522" s="110"/>
      <c r="E522" s="340"/>
      <c r="F522" s="330"/>
      <c r="G522" s="113"/>
      <c r="H522" s="332"/>
      <c r="I522" s="113"/>
      <c r="J522" s="332"/>
      <c r="K522" s="110"/>
      <c r="L522" s="110"/>
      <c r="M522" s="110"/>
      <c r="N522" s="110"/>
      <c r="O522" s="111"/>
      <c r="P522" s="424" t="str">
        <f>IF(OR(Table13[[#This Row],[Annual Increase Option]]="No increase",Table13[[#This Row],[Annual Increase Option]]=""),"",_xlfn.XLOOKUP(MONTH(Table13[[#This Row],[Commencement Date]]),Lookups!$I$19:$I$30,Lookups!$J$19:$J$30,0))</f>
        <v/>
      </c>
      <c r="Q522" s="340"/>
      <c r="R522" s="340"/>
      <c r="S522" s="360">
        <f>IF(Table13[[#This Row],[Life Cover Amount]]="",0,Table2[[#This Row],[Life Premium]])</f>
        <v>0</v>
      </c>
      <c r="T522" s="360">
        <f>IF(Table13[[#This Row],[Funeral Cover Amount]]=0,0,Table2[[#This Row],[Funeral Premium]])</f>
        <v>0</v>
      </c>
      <c r="U522" s="360">
        <f>IF(AND(Table13[[#This Row],[Life Cover Amount]]="",Table13[[#This Row],[Funeral Cover Amount]]=""),0,onboarding_calcs!AA522)</f>
        <v>0</v>
      </c>
      <c r="V522" s="111"/>
      <c r="W522" s="111"/>
      <c r="X522" s="333"/>
      <c r="Y522" s="110"/>
      <c r="Z522" s="113"/>
      <c r="AA522" s="425"/>
      <c r="AB522" s="425"/>
      <c r="AC522" s="113"/>
      <c r="AD522" s="110"/>
      <c r="AE522" s="110"/>
      <c r="AF522" s="110"/>
      <c r="AG522" s="110"/>
      <c r="AH522" s="110"/>
      <c r="AI522" s="113"/>
      <c r="AJ522" s="110"/>
      <c r="AK522" s="110"/>
      <c r="AL522" s="110"/>
      <c r="AM522" s="110"/>
      <c r="AN522" s="110"/>
      <c r="AO522" s="113"/>
      <c r="AP522" s="113"/>
      <c r="AQ522" s="113"/>
      <c r="AR522" s="110"/>
      <c r="AS522" s="113"/>
      <c r="AT522" s="113"/>
      <c r="AU522" s="112"/>
      <c r="AV522" s="338"/>
      <c r="AW522" s="110"/>
      <c r="AX522" s="110"/>
      <c r="AY522" s="113"/>
      <c r="AZ522" s="113"/>
      <c r="BA522" s="113"/>
      <c r="BB522" s="113"/>
      <c r="BC522" s="113"/>
      <c r="BD522" s="113"/>
      <c r="BF52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23" spans="1:58" x14ac:dyDescent="0.3">
      <c r="A523" s="422"/>
      <c r="B523" s="376"/>
      <c r="C523" s="110"/>
      <c r="D523" s="110"/>
      <c r="E523" s="340"/>
      <c r="F523" s="330"/>
      <c r="G523" s="113"/>
      <c r="H523" s="332"/>
      <c r="I523" s="113"/>
      <c r="J523" s="332"/>
      <c r="K523" s="110"/>
      <c r="L523" s="110"/>
      <c r="M523" s="110"/>
      <c r="N523" s="110"/>
      <c r="O523" s="111"/>
      <c r="P523" s="424" t="str">
        <f>IF(OR(Table13[[#This Row],[Annual Increase Option]]="No increase",Table13[[#This Row],[Annual Increase Option]]=""),"",_xlfn.XLOOKUP(MONTH(Table13[[#This Row],[Commencement Date]]),Lookups!$I$19:$I$30,Lookups!$J$19:$J$30,0))</f>
        <v/>
      </c>
      <c r="Q523" s="340"/>
      <c r="R523" s="340"/>
      <c r="S523" s="360">
        <f>IF(Table13[[#This Row],[Life Cover Amount]]="",0,Table2[[#This Row],[Life Premium]])</f>
        <v>0</v>
      </c>
      <c r="T523" s="360">
        <f>IF(Table13[[#This Row],[Funeral Cover Amount]]=0,0,Table2[[#This Row],[Funeral Premium]])</f>
        <v>0</v>
      </c>
      <c r="U523" s="360">
        <f>IF(AND(Table13[[#This Row],[Life Cover Amount]]="",Table13[[#This Row],[Funeral Cover Amount]]=""),0,onboarding_calcs!AA523)</f>
        <v>0</v>
      </c>
      <c r="V523" s="111"/>
      <c r="W523" s="111"/>
      <c r="X523" s="333"/>
      <c r="Y523" s="110"/>
      <c r="Z523" s="113"/>
      <c r="AA523" s="425"/>
      <c r="AB523" s="425"/>
      <c r="AC523" s="113"/>
      <c r="AD523" s="110"/>
      <c r="AE523" s="110"/>
      <c r="AF523" s="110"/>
      <c r="AG523" s="110"/>
      <c r="AH523" s="110"/>
      <c r="AI523" s="113"/>
      <c r="AJ523" s="110"/>
      <c r="AK523" s="110"/>
      <c r="AL523" s="110"/>
      <c r="AM523" s="110"/>
      <c r="AN523" s="110"/>
      <c r="AO523" s="113"/>
      <c r="AP523" s="113"/>
      <c r="AQ523" s="113"/>
      <c r="AR523" s="110"/>
      <c r="AS523" s="113"/>
      <c r="AT523" s="113"/>
      <c r="AU523" s="112"/>
      <c r="AV523" s="338"/>
      <c r="AW523" s="110"/>
      <c r="AX523" s="110"/>
      <c r="AY523" s="113"/>
      <c r="AZ523" s="113"/>
      <c r="BA523" s="113"/>
      <c r="BB523" s="113"/>
      <c r="BC523" s="113"/>
      <c r="BD523" s="113"/>
      <c r="BF52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24" spans="1:58" x14ac:dyDescent="0.3">
      <c r="A524" s="422"/>
      <c r="B524" s="376"/>
      <c r="C524" s="110"/>
      <c r="D524" s="110"/>
      <c r="E524" s="340"/>
      <c r="F524" s="330"/>
      <c r="G524" s="113"/>
      <c r="H524" s="332"/>
      <c r="I524" s="113"/>
      <c r="J524" s="332"/>
      <c r="K524" s="110"/>
      <c r="L524" s="110"/>
      <c r="M524" s="110"/>
      <c r="N524" s="110"/>
      <c r="O524" s="111"/>
      <c r="P524" s="424" t="str">
        <f>IF(OR(Table13[[#This Row],[Annual Increase Option]]="No increase",Table13[[#This Row],[Annual Increase Option]]=""),"",_xlfn.XLOOKUP(MONTH(Table13[[#This Row],[Commencement Date]]),Lookups!$I$19:$I$30,Lookups!$J$19:$J$30,0))</f>
        <v/>
      </c>
      <c r="Q524" s="340"/>
      <c r="R524" s="340"/>
      <c r="S524" s="360">
        <f>IF(Table13[[#This Row],[Life Cover Amount]]="",0,Table2[[#This Row],[Life Premium]])</f>
        <v>0</v>
      </c>
      <c r="T524" s="360">
        <f>IF(Table13[[#This Row],[Funeral Cover Amount]]=0,0,Table2[[#This Row],[Funeral Premium]])</f>
        <v>0</v>
      </c>
      <c r="U524" s="360">
        <f>IF(AND(Table13[[#This Row],[Life Cover Amount]]="",Table13[[#This Row],[Funeral Cover Amount]]=""),0,onboarding_calcs!AA524)</f>
        <v>0</v>
      </c>
      <c r="V524" s="111"/>
      <c r="W524" s="111"/>
      <c r="X524" s="333"/>
      <c r="Y524" s="110"/>
      <c r="Z524" s="113"/>
      <c r="AA524" s="425"/>
      <c r="AB524" s="425"/>
      <c r="AC524" s="113"/>
      <c r="AD524" s="110"/>
      <c r="AE524" s="110"/>
      <c r="AF524" s="110"/>
      <c r="AG524" s="110"/>
      <c r="AH524" s="110"/>
      <c r="AI524" s="113"/>
      <c r="AJ524" s="110"/>
      <c r="AK524" s="110"/>
      <c r="AL524" s="110"/>
      <c r="AM524" s="110"/>
      <c r="AN524" s="110"/>
      <c r="AO524" s="113"/>
      <c r="AP524" s="113"/>
      <c r="AQ524" s="113"/>
      <c r="AR524" s="110"/>
      <c r="AS524" s="113"/>
      <c r="AT524" s="113"/>
      <c r="AU524" s="112"/>
      <c r="AV524" s="338"/>
      <c r="AW524" s="110"/>
      <c r="AX524" s="110"/>
      <c r="AY524" s="113"/>
      <c r="AZ524" s="113"/>
      <c r="BA524" s="113"/>
      <c r="BB524" s="113"/>
      <c r="BC524" s="113"/>
      <c r="BD524" s="113"/>
      <c r="BF52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25" spans="1:58" x14ac:dyDescent="0.3">
      <c r="A525" s="422"/>
      <c r="B525" s="376"/>
      <c r="C525" s="110"/>
      <c r="D525" s="110"/>
      <c r="E525" s="340"/>
      <c r="F525" s="330"/>
      <c r="G525" s="113"/>
      <c r="H525" s="332"/>
      <c r="I525" s="113"/>
      <c r="J525" s="332"/>
      <c r="K525" s="110"/>
      <c r="L525" s="110"/>
      <c r="M525" s="110"/>
      <c r="N525" s="110"/>
      <c r="O525" s="111"/>
      <c r="P525" s="424" t="str">
        <f>IF(OR(Table13[[#This Row],[Annual Increase Option]]="No increase",Table13[[#This Row],[Annual Increase Option]]=""),"",_xlfn.XLOOKUP(MONTH(Table13[[#This Row],[Commencement Date]]),Lookups!$I$19:$I$30,Lookups!$J$19:$J$30,0))</f>
        <v/>
      </c>
      <c r="Q525" s="340"/>
      <c r="R525" s="340"/>
      <c r="S525" s="360">
        <f>IF(Table13[[#This Row],[Life Cover Amount]]="",0,Table2[[#This Row],[Life Premium]])</f>
        <v>0</v>
      </c>
      <c r="T525" s="360">
        <f>IF(Table13[[#This Row],[Funeral Cover Amount]]=0,0,Table2[[#This Row],[Funeral Premium]])</f>
        <v>0</v>
      </c>
      <c r="U525" s="360">
        <f>IF(AND(Table13[[#This Row],[Life Cover Amount]]="",Table13[[#This Row],[Funeral Cover Amount]]=""),0,onboarding_calcs!AA525)</f>
        <v>0</v>
      </c>
      <c r="V525" s="111"/>
      <c r="W525" s="111"/>
      <c r="X525" s="333"/>
      <c r="Y525" s="110"/>
      <c r="Z525" s="113"/>
      <c r="AA525" s="425"/>
      <c r="AB525" s="425"/>
      <c r="AC525" s="113"/>
      <c r="AD525" s="110"/>
      <c r="AE525" s="110"/>
      <c r="AF525" s="110"/>
      <c r="AG525" s="110"/>
      <c r="AH525" s="110"/>
      <c r="AI525" s="113"/>
      <c r="AJ525" s="110"/>
      <c r="AK525" s="110"/>
      <c r="AL525" s="110"/>
      <c r="AM525" s="110"/>
      <c r="AN525" s="110"/>
      <c r="AO525" s="113"/>
      <c r="AP525" s="113"/>
      <c r="AQ525" s="113"/>
      <c r="AR525" s="110"/>
      <c r="AS525" s="113"/>
      <c r="AT525" s="113"/>
      <c r="AU525" s="112"/>
      <c r="AV525" s="338"/>
      <c r="AW525" s="110"/>
      <c r="AX525" s="110"/>
      <c r="AY525" s="113"/>
      <c r="AZ525" s="113"/>
      <c r="BA525" s="113"/>
      <c r="BB525" s="113"/>
      <c r="BC525" s="113"/>
      <c r="BD525" s="113"/>
      <c r="BF52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26" spans="1:58" x14ac:dyDescent="0.3">
      <c r="A526" s="422"/>
      <c r="B526" s="376"/>
      <c r="C526" s="110"/>
      <c r="D526" s="110"/>
      <c r="E526" s="340"/>
      <c r="F526" s="330"/>
      <c r="G526" s="113"/>
      <c r="H526" s="332"/>
      <c r="I526" s="113"/>
      <c r="J526" s="332"/>
      <c r="K526" s="110"/>
      <c r="L526" s="110"/>
      <c r="M526" s="110"/>
      <c r="N526" s="110"/>
      <c r="O526" s="111"/>
      <c r="P526" s="424" t="str">
        <f>IF(OR(Table13[[#This Row],[Annual Increase Option]]="No increase",Table13[[#This Row],[Annual Increase Option]]=""),"",_xlfn.XLOOKUP(MONTH(Table13[[#This Row],[Commencement Date]]),Lookups!$I$19:$I$30,Lookups!$J$19:$J$30,0))</f>
        <v/>
      </c>
      <c r="Q526" s="340"/>
      <c r="R526" s="340"/>
      <c r="S526" s="360">
        <f>IF(Table13[[#This Row],[Life Cover Amount]]="",0,Table2[[#This Row],[Life Premium]])</f>
        <v>0</v>
      </c>
      <c r="T526" s="360">
        <f>IF(Table13[[#This Row],[Funeral Cover Amount]]=0,0,Table2[[#This Row],[Funeral Premium]])</f>
        <v>0</v>
      </c>
      <c r="U526" s="360">
        <f>IF(AND(Table13[[#This Row],[Life Cover Amount]]="",Table13[[#This Row],[Funeral Cover Amount]]=""),0,onboarding_calcs!AA526)</f>
        <v>0</v>
      </c>
      <c r="V526" s="111"/>
      <c r="W526" s="111"/>
      <c r="X526" s="333"/>
      <c r="Y526" s="110"/>
      <c r="Z526" s="113"/>
      <c r="AA526" s="425"/>
      <c r="AB526" s="425"/>
      <c r="AC526" s="113"/>
      <c r="AD526" s="110"/>
      <c r="AE526" s="110"/>
      <c r="AF526" s="110"/>
      <c r="AG526" s="110"/>
      <c r="AH526" s="110"/>
      <c r="AI526" s="113"/>
      <c r="AJ526" s="110"/>
      <c r="AK526" s="110"/>
      <c r="AL526" s="110"/>
      <c r="AM526" s="110"/>
      <c r="AN526" s="110"/>
      <c r="AO526" s="113"/>
      <c r="AP526" s="113"/>
      <c r="AQ526" s="113"/>
      <c r="AR526" s="110"/>
      <c r="AS526" s="113"/>
      <c r="AT526" s="113"/>
      <c r="AU526" s="112"/>
      <c r="AV526" s="338"/>
      <c r="AW526" s="110"/>
      <c r="AX526" s="110"/>
      <c r="AY526" s="113"/>
      <c r="AZ526" s="113"/>
      <c r="BA526" s="113"/>
      <c r="BB526" s="113"/>
      <c r="BC526" s="113"/>
      <c r="BD526" s="113"/>
      <c r="BF52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27" spans="1:58" x14ac:dyDescent="0.3">
      <c r="A527" s="422"/>
      <c r="B527" s="376"/>
      <c r="C527" s="110"/>
      <c r="D527" s="110"/>
      <c r="E527" s="340"/>
      <c r="F527" s="330"/>
      <c r="G527" s="113"/>
      <c r="H527" s="332"/>
      <c r="I527" s="113"/>
      <c r="J527" s="332"/>
      <c r="K527" s="110"/>
      <c r="L527" s="110"/>
      <c r="M527" s="110"/>
      <c r="N527" s="110"/>
      <c r="O527" s="111"/>
      <c r="P527" s="424" t="str">
        <f>IF(OR(Table13[[#This Row],[Annual Increase Option]]="No increase",Table13[[#This Row],[Annual Increase Option]]=""),"",_xlfn.XLOOKUP(MONTH(Table13[[#This Row],[Commencement Date]]),Lookups!$I$19:$I$30,Lookups!$J$19:$J$30,0))</f>
        <v/>
      </c>
      <c r="Q527" s="340"/>
      <c r="R527" s="340"/>
      <c r="S527" s="360">
        <f>IF(Table13[[#This Row],[Life Cover Amount]]="",0,Table2[[#This Row],[Life Premium]])</f>
        <v>0</v>
      </c>
      <c r="T527" s="360">
        <f>IF(Table13[[#This Row],[Funeral Cover Amount]]=0,0,Table2[[#This Row],[Funeral Premium]])</f>
        <v>0</v>
      </c>
      <c r="U527" s="360">
        <f>IF(AND(Table13[[#This Row],[Life Cover Amount]]="",Table13[[#This Row],[Funeral Cover Amount]]=""),0,onboarding_calcs!AA527)</f>
        <v>0</v>
      </c>
      <c r="V527" s="111"/>
      <c r="W527" s="111"/>
      <c r="X527" s="333"/>
      <c r="Y527" s="110"/>
      <c r="Z527" s="113"/>
      <c r="AA527" s="425"/>
      <c r="AB527" s="425"/>
      <c r="AC527" s="113"/>
      <c r="AD527" s="110"/>
      <c r="AE527" s="110"/>
      <c r="AF527" s="110"/>
      <c r="AG527" s="110"/>
      <c r="AH527" s="110"/>
      <c r="AI527" s="113"/>
      <c r="AJ527" s="110"/>
      <c r="AK527" s="110"/>
      <c r="AL527" s="110"/>
      <c r="AM527" s="110"/>
      <c r="AN527" s="110"/>
      <c r="AO527" s="113"/>
      <c r="AP527" s="113"/>
      <c r="AQ527" s="113"/>
      <c r="AR527" s="110"/>
      <c r="AS527" s="113"/>
      <c r="AT527" s="113"/>
      <c r="AU527" s="112"/>
      <c r="AV527" s="338"/>
      <c r="AW527" s="110"/>
      <c r="AX527" s="110"/>
      <c r="AY527" s="113"/>
      <c r="AZ527" s="113"/>
      <c r="BA527" s="113"/>
      <c r="BB527" s="113"/>
      <c r="BC527" s="113"/>
      <c r="BD527" s="113"/>
      <c r="BF52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28" spans="1:58" x14ac:dyDescent="0.3">
      <c r="A528" s="422"/>
      <c r="B528" s="376"/>
      <c r="C528" s="110"/>
      <c r="D528" s="110"/>
      <c r="E528" s="340"/>
      <c r="F528" s="330"/>
      <c r="G528" s="113"/>
      <c r="H528" s="332"/>
      <c r="I528" s="113"/>
      <c r="J528" s="332"/>
      <c r="K528" s="110"/>
      <c r="L528" s="110"/>
      <c r="M528" s="110"/>
      <c r="N528" s="110"/>
      <c r="O528" s="111"/>
      <c r="P528" s="424" t="str">
        <f>IF(OR(Table13[[#This Row],[Annual Increase Option]]="No increase",Table13[[#This Row],[Annual Increase Option]]=""),"",_xlfn.XLOOKUP(MONTH(Table13[[#This Row],[Commencement Date]]),Lookups!$I$19:$I$30,Lookups!$J$19:$J$30,0))</f>
        <v/>
      </c>
      <c r="Q528" s="340"/>
      <c r="R528" s="340"/>
      <c r="S528" s="360">
        <f>IF(Table13[[#This Row],[Life Cover Amount]]="",0,Table2[[#This Row],[Life Premium]])</f>
        <v>0</v>
      </c>
      <c r="T528" s="360">
        <f>IF(Table13[[#This Row],[Funeral Cover Amount]]=0,0,Table2[[#This Row],[Funeral Premium]])</f>
        <v>0</v>
      </c>
      <c r="U528" s="360">
        <f>IF(AND(Table13[[#This Row],[Life Cover Amount]]="",Table13[[#This Row],[Funeral Cover Amount]]=""),0,onboarding_calcs!AA528)</f>
        <v>0</v>
      </c>
      <c r="V528" s="111"/>
      <c r="W528" s="111"/>
      <c r="X528" s="333"/>
      <c r="Y528" s="110"/>
      <c r="Z528" s="113"/>
      <c r="AA528" s="425"/>
      <c r="AB528" s="425"/>
      <c r="AC528" s="113"/>
      <c r="AD528" s="110"/>
      <c r="AE528" s="110"/>
      <c r="AF528" s="110"/>
      <c r="AG528" s="110"/>
      <c r="AH528" s="110"/>
      <c r="AI528" s="113"/>
      <c r="AJ528" s="110"/>
      <c r="AK528" s="110"/>
      <c r="AL528" s="110"/>
      <c r="AM528" s="110"/>
      <c r="AN528" s="110"/>
      <c r="AO528" s="113"/>
      <c r="AP528" s="113"/>
      <c r="AQ528" s="113"/>
      <c r="AR528" s="110"/>
      <c r="AS528" s="113"/>
      <c r="AT528" s="113"/>
      <c r="AU528" s="112"/>
      <c r="AV528" s="338"/>
      <c r="AW528" s="110"/>
      <c r="AX528" s="110"/>
      <c r="AY528" s="113"/>
      <c r="AZ528" s="113"/>
      <c r="BA528" s="113"/>
      <c r="BB528" s="113"/>
      <c r="BC528" s="113"/>
      <c r="BD528" s="113"/>
      <c r="BF52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29" spans="1:58" x14ac:dyDescent="0.3">
      <c r="A529" s="422"/>
      <c r="B529" s="376"/>
      <c r="C529" s="110"/>
      <c r="D529" s="110"/>
      <c r="E529" s="340"/>
      <c r="F529" s="330"/>
      <c r="G529" s="113"/>
      <c r="H529" s="332"/>
      <c r="I529" s="113"/>
      <c r="J529" s="332"/>
      <c r="K529" s="110"/>
      <c r="L529" s="110"/>
      <c r="M529" s="110"/>
      <c r="N529" s="110"/>
      <c r="O529" s="111"/>
      <c r="P529" s="424" t="str">
        <f>IF(OR(Table13[[#This Row],[Annual Increase Option]]="No increase",Table13[[#This Row],[Annual Increase Option]]=""),"",_xlfn.XLOOKUP(MONTH(Table13[[#This Row],[Commencement Date]]),Lookups!$I$19:$I$30,Lookups!$J$19:$J$30,0))</f>
        <v/>
      </c>
      <c r="Q529" s="340"/>
      <c r="R529" s="340"/>
      <c r="S529" s="360">
        <f>IF(Table13[[#This Row],[Life Cover Amount]]="",0,Table2[[#This Row],[Life Premium]])</f>
        <v>0</v>
      </c>
      <c r="T529" s="360">
        <f>IF(Table13[[#This Row],[Funeral Cover Amount]]=0,0,Table2[[#This Row],[Funeral Premium]])</f>
        <v>0</v>
      </c>
      <c r="U529" s="360">
        <f>IF(AND(Table13[[#This Row],[Life Cover Amount]]="",Table13[[#This Row],[Funeral Cover Amount]]=""),0,onboarding_calcs!AA529)</f>
        <v>0</v>
      </c>
      <c r="V529" s="111"/>
      <c r="W529" s="111"/>
      <c r="X529" s="333"/>
      <c r="Y529" s="110"/>
      <c r="Z529" s="113"/>
      <c r="AA529" s="425"/>
      <c r="AB529" s="425"/>
      <c r="AC529" s="113"/>
      <c r="AD529" s="110"/>
      <c r="AE529" s="110"/>
      <c r="AF529" s="110"/>
      <c r="AG529" s="110"/>
      <c r="AH529" s="110"/>
      <c r="AI529" s="113"/>
      <c r="AJ529" s="110"/>
      <c r="AK529" s="110"/>
      <c r="AL529" s="110"/>
      <c r="AM529" s="110"/>
      <c r="AN529" s="110"/>
      <c r="AO529" s="113"/>
      <c r="AP529" s="113"/>
      <c r="AQ529" s="113"/>
      <c r="AR529" s="110"/>
      <c r="AS529" s="113"/>
      <c r="AT529" s="113"/>
      <c r="AU529" s="112"/>
      <c r="AV529" s="338"/>
      <c r="AW529" s="110"/>
      <c r="AX529" s="110"/>
      <c r="AY529" s="113"/>
      <c r="AZ529" s="113"/>
      <c r="BA529" s="113"/>
      <c r="BB529" s="113"/>
      <c r="BC529" s="113"/>
      <c r="BD529" s="113"/>
      <c r="BF52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30" spans="1:58" x14ac:dyDescent="0.3">
      <c r="A530" s="422"/>
      <c r="B530" s="376"/>
      <c r="C530" s="110"/>
      <c r="D530" s="110"/>
      <c r="E530" s="340"/>
      <c r="F530" s="330"/>
      <c r="G530" s="113"/>
      <c r="H530" s="332"/>
      <c r="I530" s="113"/>
      <c r="J530" s="332"/>
      <c r="K530" s="110"/>
      <c r="L530" s="110"/>
      <c r="M530" s="110"/>
      <c r="N530" s="110"/>
      <c r="O530" s="111"/>
      <c r="P530" s="424" t="str">
        <f>IF(OR(Table13[[#This Row],[Annual Increase Option]]="No increase",Table13[[#This Row],[Annual Increase Option]]=""),"",_xlfn.XLOOKUP(MONTH(Table13[[#This Row],[Commencement Date]]),Lookups!$I$19:$I$30,Lookups!$J$19:$J$30,0))</f>
        <v/>
      </c>
      <c r="Q530" s="340"/>
      <c r="R530" s="340"/>
      <c r="S530" s="360">
        <f>IF(Table13[[#This Row],[Life Cover Amount]]="",0,Table2[[#This Row],[Life Premium]])</f>
        <v>0</v>
      </c>
      <c r="T530" s="360">
        <f>IF(Table13[[#This Row],[Funeral Cover Amount]]=0,0,Table2[[#This Row],[Funeral Premium]])</f>
        <v>0</v>
      </c>
      <c r="U530" s="360">
        <f>IF(AND(Table13[[#This Row],[Life Cover Amount]]="",Table13[[#This Row],[Funeral Cover Amount]]=""),0,onboarding_calcs!AA530)</f>
        <v>0</v>
      </c>
      <c r="V530" s="111"/>
      <c r="W530" s="111"/>
      <c r="X530" s="333"/>
      <c r="Y530" s="110"/>
      <c r="Z530" s="113"/>
      <c r="AA530" s="425"/>
      <c r="AB530" s="425"/>
      <c r="AC530" s="113"/>
      <c r="AD530" s="110"/>
      <c r="AE530" s="110"/>
      <c r="AF530" s="110"/>
      <c r="AG530" s="110"/>
      <c r="AH530" s="110"/>
      <c r="AI530" s="113"/>
      <c r="AJ530" s="110"/>
      <c r="AK530" s="110"/>
      <c r="AL530" s="110"/>
      <c r="AM530" s="110"/>
      <c r="AN530" s="110"/>
      <c r="AO530" s="113"/>
      <c r="AP530" s="113"/>
      <c r="AQ530" s="113"/>
      <c r="AR530" s="110"/>
      <c r="AS530" s="113"/>
      <c r="AT530" s="113"/>
      <c r="AU530" s="112"/>
      <c r="AV530" s="338"/>
      <c r="AW530" s="110"/>
      <c r="AX530" s="110"/>
      <c r="AY530" s="113"/>
      <c r="AZ530" s="113"/>
      <c r="BA530" s="113"/>
      <c r="BB530" s="113"/>
      <c r="BC530" s="113"/>
      <c r="BD530" s="113"/>
      <c r="BF53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31" spans="1:58" x14ac:dyDescent="0.3">
      <c r="A531" s="422"/>
      <c r="B531" s="376"/>
      <c r="C531" s="110"/>
      <c r="D531" s="110"/>
      <c r="E531" s="340"/>
      <c r="F531" s="330"/>
      <c r="G531" s="113"/>
      <c r="H531" s="332"/>
      <c r="I531" s="113"/>
      <c r="J531" s="332"/>
      <c r="K531" s="110"/>
      <c r="L531" s="110"/>
      <c r="M531" s="110"/>
      <c r="N531" s="110"/>
      <c r="O531" s="111"/>
      <c r="P531" s="424" t="str">
        <f>IF(OR(Table13[[#This Row],[Annual Increase Option]]="No increase",Table13[[#This Row],[Annual Increase Option]]=""),"",_xlfn.XLOOKUP(MONTH(Table13[[#This Row],[Commencement Date]]),Lookups!$I$19:$I$30,Lookups!$J$19:$J$30,0))</f>
        <v/>
      </c>
      <c r="Q531" s="340"/>
      <c r="R531" s="340"/>
      <c r="S531" s="360">
        <f>IF(Table13[[#This Row],[Life Cover Amount]]="",0,Table2[[#This Row],[Life Premium]])</f>
        <v>0</v>
      </c>
      <c r="T531" s="360">
        <f>IF(Table13[[#This Row],[Funeral Cover Amount]]=0,0,Table2[[#This Row],[Funeral Premium]])</f>
        <v>0</v>
      </c>
      <c r="U531" s="360">
        <f>IF(AND(Table13[[#This Row],[Life Cover Amount]]="",Table13[[#This Row],[Funeral Cover Amount]]=""),0,onboarding_calcs!AA531)</f>
        <v>0</v>
      </c>
      <c r="V531" s="111"/>
      <c r="W531" s="111"/>
      <c r="X531" s="333"/>
      <c r="Y531" s="110"/>
      <c r="Z531" s="113"/>
      <c r="AA531" s="425"/>
      <c r="AB531" s="425"/>
      <c r="AC531" s="113"/>
      <c r="AD531" s="110"/>
      <c r="AE531" s="110"/>
      <c r="AF531" s="110"/>
      <c r="AG531" s="110"/>
      <c r="AH531" s="110"/>
      <c r="AI531" s="113"/>
      <c r="AJ531" s="110"/>
      <c r="AK531" s="110"/>
      <c r="AL531" s="110"/>
      <c r="AM531" s="110"/>
      <c r="AN531" s="110"/>
      <c r="AO531" s="113"/>
      <c r="AP531" s="113"/>
      <c r="AQ531" s="113"/>
      <c r="AR531" s="110"/>
      <c r="AS531" s="113"/>
      <c r="AT531" s="113"/>
      <c r="AU531" s="112"/>
      <c r="AV531" s="338"/>
      <c r="AW531" s="110"/>
      <c r="AX531" s="110"/>
      <c r="AY531" s="113"/>
      <c r="AZ531" s="113"/>
      <c r="BA531" s="113"/>
      <c r="BB531" s="113"/>
      <c r="BC531" s="113"/>
      <c r="BD531" s="113"/>
      <c r="BF53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32" spans="1:58" x14ac:dyDescent="0.3">
      <c r="A532" s="422"/>
      <c r="B532" s="376"/>
      <c r="C532" s="110"/>
      <c r="D532" s="110"/>
      <c r="E532" s="340"/>
      <c r="F532" s="330"/>
      <c r="G532" s="113"/>
      <c r="H532" s="332"/>
      <c r="I532" s="113"/>
      <c r="J532" s="332"/>
      <c r="K532" s="110"/>
      <c r="L532" s="110"/>
      <c r="M532" s="110"/>
      <c r="N532" s="110"/>
      <c r="O532" s="111"/>
      <c r="P532" s="424" t="str">
        <f>IF(OR(Table13[[#This Row],[Annual Increase Option]]="No increase",Table13[[#This Row],[Annual Increase Option]]=""),"",_xlfn.XLOOKUP(MONTH(Table13[[#This Row],[Commencement Date]]),Lookups!$I$19:$I$30,Lookups!$J$19:$J$30,0))</f>
        <v/>
      </c>
      <c r="Q532" s="340"/>
      <c r="R532" s="340"/>
      <c r="S532" s="360">
        <f>IF(Table13[[#This Row],[Life Cover Amount]]="",0,Table2[[#This Row],[Life Premium]])</f>
        <v>0</v>
      </c>
      <c r="T532" s="360">
        <f>IF(Table13[[#This Row],[Funeral Cover Amount]]=0,0,Table2[[#This Row],[Funeral Premium]])</f>
        <v>0</v>
      </c>
      <c r="U532" s="360">
        <f>IF(AND(Table13[[#This Row],[Life Cover Amount]]="",Table13[[#This Row],[Funeral Cover Amount]]=""),0,onboarding_calcs!AA532)</f>
        <v>0</v>
      </c>
      <c r="V532" s="111"/>
      <c r="W532" s="111"/>
      <c r="X532" s="333"/>
      <c r="Y532" s="110"/>
      <c r="Z532" s="113"/>
      <c r="AA532" s="425"/>
      <c r="AB532" s="425"/>
      <c r="AC532" s="113"/>
      <c r="AD532" s="110"/>
      <c r="AE532" s="110"/>
      <c r="AF532" s="110"/>
      <c r="AG532" s="110"/>
      <c r="AH532" s="110"/>
      <c r="AI532" s="113"/>
      <c r="AJ532" s="110"/>
      <c r="AK532" s="110"/>
      <c r="AL532" s="110"/>
      <c r="AM532" s="110"/>
      <c r="AN532" s="110"/>
      <c r="AO532" s="113"/>
      <c r="AP532" s="113"/>
      <c r="AQ532" s="113"/>
      <c r="AR532" s="110"/>
      <c r="AS532" s="113"/>
      <c r="AT532" s="113"/>
      <c r="AU532" s="112"/>
      <c r="AV532" s="338"/>
      <c r="AW532" s="110"/>
      <c r="AX532" s="110"/>
      <c r="AY532" s="113"/>
      <c r="AZ532" s="113"/>
      <c r="BA532" s="113"/>
      <c r="BB532" s="113"/>
      <c r="BC532" s="113"/>
      <c r="BD532" s="113"/>
      <c r="BF53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33" spans="1:58" x14ac:dyDescent="0.3">
      <c r="A533" s="422"/>
      <c r="B533" s="376"/>
      <c r="C533" s="110"/>
      <c r="D533" s="110"/>
      <c r="E533" s="340"/>
      <c r="F533" s="330"/>
      <c r="G533" s="113"/>
      <c r="H533" s="332"/>
      <c r="I533" s="113"/>
      <c r="J533" s="332"/>
      <c r="K533" s="110"/>
      <c r="L533" s="110"/>
      <c r="M533" s="110"/>
      <c r="N533" s="110"/>
      <c r="O533" s="111"/>
      <c r="P533" s="424" t="str">
        <f>IF(OR(Table13[[#This Row],[Annual Increase Option]]="No increase",Table13[[#This Row],[Annual Increase Option]]=""),"",_xlfn.XLOOKUP(MONTH(Table13[[#This Row],[Commencement Date]]),Lookups!$I$19:$I$30,Lookups!$J$19:$J$30,0))</f>
        <v/>
      </c>
      <c r="Q533" s="340"/>
      <c r="R533" s="340"/>
      <c r="S533" s="360">
        <f>IF(Table13[[#This Row],[Life Cover Amount]]="",0,Table2[[#This Row],[Life Premium]])</f>
        <v>0</v>
      </c>
      <c r="T533" s="360">
        <f>IF(Table13[[#This Row],[Funeral Cover Amount]]=0,0,Table2[[#This Row],[Funeral Premium]])</f>
        <v>0</v>
      </c>
      <c r="U533" s="360">
        <f>IF(AND(Table13[[#This Row],[Life Cover Amount]]="",Table13[[#This Row],[Funeral Cover Amount]]=""),0,onboarding_calcs!AA533)</f>
        <v>0</v>
      </c>
      <c r="V533" s="111"/>
      <c r="W533" s="111"/>
      <c r="X533" s="333"/>
      <c r="Y533" s="110"/>
      <c r="Z533" s="113"/>
      <c r="AA533" s="425"/>
      <c r="AB533" s="425"/>
      <c r="AC533" s="113"/>
      <c r="AD533" s="110"/>
      <c r="AE533" s="110"/>
      <c r="AF533" s="110"/>
      <c r="AG533" s="110"/>
      <c r="AH533" s="110"/>
      <c r="AI533" s="113"/>
      <c r="AJ533" s="110"/>
      <c r="AK533" s="110"/>
      <c r="AL533" s="110"/>
      <c r="AM533" s="110"/>
      <c r="AN533" s="110"/>
      <c r="AO533" s="113"/>
      <c r="AP533" s="113"/>
      <c r="AQ533" s="113"/>
      <c r="AR533" s="110"/>
      <c r="AS533" s="113"/>
      <c r="AT533" s="113"/>
      <c r="AU533" s="112"/>
      <c r="AV533" s="338"/>
      <c r="AW533" s="110"/>
      <c r="AX533" s="110"/>
      <c r="AY533" s="113"/>
      <c r="AZ533" s="113"/>
      <c r="BA533" s="113"/>
      <c r="BB533" s="113"/>
      <c r="BC533" s="113"/>
      <c r="BD533" s="113"/>
      <c r="BF53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34" spans="1:58" x14ac:dyDescent="0.3">
      <c r="A534" s="422"/>
      <c r="B534" s="376"/>
      <c r="C534" s="110"/>
      <c r="D534" s="110"/>
      <c r="E534" s="340"/>
      <c r="F534" s="330"/>
      <c r="G534" s="113"/>
      <c r="H534" s="332"/>
      <c r="I534" s="113"/>
      <c r="J534" s="332"/>
      <c r="K534" s="110"/>
      <c r="L534" s="110"/>
      <c r="M534" s="110"/>
      <c r="N534" s="110"/>
      <c r="O534" s="111"/>
      <c r="P534" s="424" t="str">
        <f>IF(OR(Table13[[#This Row],[Annual Increase Option]]="No increase",Table13[[#This Row],[Annual Increase Option]]=""),"",_xlfn.XLOOKUP(MONTH(Table13[[#This Row],[Commencement Date]]),Lookups!$I$19:$I$30,Lookups!$J$19:$J$30,0))</f>
        <v/>
      </c>
      <c r="Q534" s="340"/>
      <c r="R534" s="340"/>
      <c r="S534" s="360">
        <f>IF(Table13[[#This Row],[Life Cover Amount]]="",0,Table2[[#This Row],[Life Premium]])</f>
        <v>0</v>
      </c>
      <c r="T534" s="360">
        <f>IF(Table13[[#This Row],[Funeral Cover Amount]]=0,0,Table2[[#This Row],[Funeral Premium]])</f>
        <v>0</v>
      </c>
      <c r="U534" s="360">
        <f>IF(AND(Table13[[#This Row],[Life Cover Amount]]="",Table13[[#This Row],[Funeral Cover Amount]]=""),0,onboarding_calcs!AA534)</f>
        <v>0</v>
      </c>
      <c r="V534" s="111"/>
      <c r="W534" s="111"/>
      <c r="X534" s="333"/>
      <c r="Y534" s="110"/>
      <c r="Z534" s="113"/>
      <c r="AA534" s="425"/>
      <c r="AB534" s="425"/>
      <c r="AC534" s="113"/>
      <c r="AD534" s="110"/>
      <c r="AE534" s="110"/>
      <c r="AF534" s="110"/>
      <c r="AG534" s="110"/>
      <c r="AH534" s="110"/>
      <c r="AI534" s="113"/>
      <c r="AJ534" s="110"/>
      <c r="AK534" s="110"/>
      <c r="AL534" s="110"/>
      <c r="AM534" s="110"/>
      <c r="AN534" s="110"/>
      <c r="AO534" s="113"/>
      <c r="AP534" s="113"/>
      <c r="AQ534" s="113"/>
      <c r="AR534" s="110"/>
      <c r="AS534" s="113"/>
      <c r="AT534" s="113"/>
      <c r="AU534" s="112"/>
      <c r="AV534" s="338"/>
      <c r="AW534" s="110"/>
      <c r="AX534" s="110"/>
      <c r="AY534" s="113"/>
      <c r="AZ534" s="113"/>
      <c r="BA534" s="113"/>
      <c r="BB534" s="113"/>
      <c r="BC534" s="113"/>
      <c r="BD534" s="113"/>
      <c r="BF53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35" spans="1:58" x14ac:dyDescent="0.3">
      <c r="A535" s="422"/>
      <c r="B535" s="376"/>
      <c r="C535" s="110"/>
      <c r="D535" s="110"/>
      <c r="E535" s="340"/>
      <c r="F535" s="330"/>
      <c r="G535" s="113"/>
      <c r="H535" s="332"/>
      <c r="I535" s="113"/>
      <c r="J535" s="332"/>
      <c r="K535" s="110"/>
      <c r="L535" s="110"/>
      <c r="M535" s="110"/>
      <c r="N535" s="110"/>
      <c r="O535" s="111"/>
      <c r="P535" s="424" t="str">
        <f>IF(OR(Table13[[#This Row],[Annual Increase Option]]="No increase",Table13[[#This Row],[Annual Increase Option]]=""),"",_xlfn.XLOOKUP(MONTH(Table13[[#This Row],[Commencement Date]]),Lookups!$I$19:$I$30,Lookups!$J$19:$J$30,0))</f>
        <v/>
      </c>
      <c r="Q535" s="340"/>
      <c r="R535" s="340"/>
      <c r="S535" s="360">
        <f>IF(Table13[[#This Row],[Life Cover Amount]]="",0,Table2[[#This Row],[Life Premium]])</f>
        <v>0</v>
      </c>
      <c r="T535" s="360">
        <f>IF(Table13[[#This Row],[Funeral Cover Amount]]=0,0,Table2[[#This Row],[Funeral Premium]])</f>
        <v>0</v>
      </c>
      <c r="U535" s="360">
        <f>IF(AND(Table13[[#This Row],[Life Cover Amount]]="",Table13[[#This Row],[Funeral Cover Amount]]=""),0,onboarding_calcs!AA535)</f>
        <v>0</v>
      </c>
      <c r="V535" s="111"/>
      <c r="W535" s="111"/>
      <c r="X535" s="333"/>
      <c r="Y535" s="110"/>
      <c r="Z535" s="113"/>
      <c r="AA535" s="425"/>
      <c r="AB535" s="425"/>
      <c r="AC535" s="113"/>
      <c r="AD535" s="110"/>
      <c r="AE535" s="110"/>
      <c r="AF535" s="110"/>
      <c r="AG535" s="110"/>
      <c r="AH535" s="110"/>
      <c r="AI535" s="113"/>
      <c r="AJ535" s="110"/>
      <c r="AK535" s="110"/>
      <c r="AL535" s="110"/>
      <c r="AM535" s="110"/>
      <c r="AN535" s="110"/>
      <c r="AO535" s="113"/>
      <c r="AP535" s="113"/>
      <c r="AQ535" s="113"/>
      <c r="AR535" s="110"/>
      <c r="AS535" s="113"/>
      <c r="AT535" s="113"/>
      <c r="AU535" s="112"/>
      <c r="AV535" s="338"/>
      <c r="AW535" s="110"/>
      <c r="AX535" s="110"/>
      <c r="AY535" s="113"/>
      <c r="AZ535" s="113"/>
      <c r="BA535" s="113"/>
      <c r="BB535" s="113"/>
      <c r="BC535" s="113"/>
      <c r="BD535" s="113"/>
      <c r="BF53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36" spans="1:58" x14ac:dyDescent="0.3">
      <c r="A536" s="422"/>
      <c r="B536" s="376"/>
      <c r="C536" s="110"/>
      <c r="D536" s="110"/>
      <c r="E536" s="340"/>
      <c r="F536" s="330"/>
      <c r="G536" s="113"/>
      <c r="H536" s="332"/>
      <c r="I536" s="113"/>
      <c r="J536" s="332"/>
      <c r="K536" s="110"/>
      <c r="L536" s="110"/>
      <c r="M536" s="110"/>
      <c r="N536" s="110"/>
      <c r="O536" s="111"/>
      <c r="P536" s="424" t="str">
        <f>IF(OR(Table13[[#This Row],[Annual Increase Option]]="No increase",Table13[[#This Row],[Annual Increase Option]]=""),"",_xlfn.XLOOKUP(MONTH(Table13[[#This Row],[Commencement Date]]),Lookups!$I$19:$I$30,Lookups!$J$19:$J$30,0))</f>
        <v/>
      </c>
      <c r="Q536" s="340"/>
      <c r="R536" s="340"/>
      <c r="S536" s="360">
        <f>IF(Table13[[#This Row],[Life Cover Amount]]="",0,Table2[[#This Row],[Life Premium]])</f>
        <v>0</v>
      </c>
      <c r="T536" s="360">
        <f>IF(Table13[[#This Row],[Funeral Cover Amount]]=0,0,Table2[[#This Row],[Funeral Premium]])</f>
        <v>0</v>
      </c>
      <c r="U536" s="360">
        <f>IF(AND(Table13[[#This Row],[Life Cover Amount]]="",Table13[[#This Row],[Funeral Cover Amount]]=""),0,onboarding_calcs!AA536)</f>
        <v>0</v>
      </c>
      <c r="V536" s="111"/>
      <c r="W536" s="111"/>
      <c r="X536" s="333"/>
      <c r="Y536" s="110"/>
      <c r="Z536" s="113"/>
      <c r="AA536" s="425"/>
      <c r="AB536" s="425"/>
      <c r="AC536" s="113"/>
      <c r="AD536" s="110"/>
      <c r="AE536" s="110"/>
      <c r="AF536" s="110"/>
      <c r="AG536" s="110"/>
      <c r="AH536" s="110"/>
      <c r="AI536" s="113"/>
      <c r="AJ536" s="110"/>
      <c r="AK536" s="110"/>
      <c r="AL536" s="110"/>
      <c r="AM536" s="110"/>
      <c r="AN536" s="110"/>
      <c r="AO536" s="113"/>
      <c r="AP536" s="113"/>
      <c r="AQ536" s="113"/>
      <c r="AR536" s="110"/>
      <c r="AS536" s="113"/>
      <c r="AT536" s="113"/>
      <c r="AU536" s="112"/>
      <c r="AV536" s="338"/>
      <c r="AW536" s="110"/>
      <c r="AX536" s="110"/>
      <c r="AY536" s="113"/>
      <c r="AZ536" s="113"/>
      <c r="BA536" s="113"/>
      <c r="BB536" s="113"/>
      <c r="BC536" s="113"/>
      <c r="BD536" s="113"/>
      <c r="BF53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37" spans="1:58" x14ac:dyDescent="0.3">
      <c r="A537" s="422"/>
      <c r="B537" s="376"/>
      <c r="C537" s="110"/>
      <c r="D537" s="110"/>
      <c r="E537" s="340"/>
      <c r="F537" s="330"/>
      <c r="G537" s="113"/>
      <c r="H537" s="332"/>
      <c r="I537" s="113"/>
      <c r="J537" s="332"/>
      <c r="K537" s="110"/>
      <c r="L537" s="110"/>
      <c r="M537" s="110"/>
      <c r="N537" s="110"/>
      <c r="O537" s="111"/>
      <c r="P537" s="424" t="str">
        <f>IF(OR(Table13[[#This Row],[Annual Increase Option]]="No increase",Table13[[#This Row],[Annual Increase Option]]=""),"",_xlfn.XLOOKUP(MONTH(Table13[[#This Row],[Commencement Date]]),Lookups!$I$19:$I$30,Lookups!$J$19:$J$30,0))</f>
        <v/>
      </c>
      <c r="Q537" s="340"/>
      <c r="R537" s="340"/>
      <c r="S537" s="360">
        <f>IF(Table13[[#This Row],[Life Cover Amount]]="",0,Table2[[#This Row],[Life Premium]])</f>
        <v>0</v>
      </c>
      <c r="T537" s="360">
        <f>IF(Table13[[#This Row],[Funeral Cover Amount]]=0,0,Table2[[#This Row],[Funeral Premium]])</f>
        <v>0</v>
      </c>
      <c r="U537" s="360">
        <f>IF(AND(Table13[[#This Row],[Life Cover Amount]]="",Table13[[#This Row],[Funeral Cover Amount]]=""),0,onboarding_calcs!AA537)</f>
        <v>0</v>
      </c>
      <c r="V537" s="111"/>
      <c r="W537" s="111"/>
      <c r="X537" s="333"/>
      <c r="Y537" s="110"/>
      <c r="Z537" s="113"/>
      <c r="AA537" s="425"/>
      <c r="AB537" s="425"/>
      <c r="AC537" s="113"/>
      <c r="AD537" s="110"/>
      <c r="AE537" s="110"/>
      <c r="AF537" s="110"/>
      <c r="AG537" s="110"/>
      <c r="AH537" s="110"/>
      <c r="AI537" s="113"/>
      <c r="AJ537" s="110"/>
      <c r="AK537" s="110"/>
      <c r="AL537" s="110"/>
      <c r="AM537" s="110"/>
      <c r="AN537" s="110"/>
      <c r="AO537" s="113"/>
      <c r="AP537" s="113"/>
      <c r="AQ537" s="113"/>
      <c r="AR537" s="110"/>
      <c r="AS537" s="113"/>
      <c r="AT537" s="113"/>
      <c r="AU537" s="112"/>
      <c r="AV537" s="338"/>
      <c r="AW537" s="110"/>
      <c r="AX537" s="110"/>
      <c r="AY537" s="113"/>
      <c r="AZ537" s="113"/>
      <c r="BA537" s="113"/>
      <c r="BB537" s="113"/>
      <c r="BC537" s="113"/>
      <c r="BD537" s="113"/>
      <c r="BF53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38" spans="1:58" x14ac:dyDescent="0.3">
      <c r="A538" s="422"/>
      <c r="B538" s="376"/>
      <c r="C538" s="110"/>
      <c r="D538" s="110"/>
      <c r="E538" s="340"/>
      <c r="F538" s="330"/>
      <c r="G538" s="113"/>
      <c r="H538" s="332"/>
      <c r="I538" s="113"/>
      <c r="J538" s="332"/>
      <c r="K538" s="110"/>
      <c r="L538" s="110"/>
      <c r="M538" s="110"/>
      <c r="N538" s="110"/>
      <c r="O538" s="111"/>
      <c r="P538" s="424" t="str">
        <f>IF(OR(Table13[[#This Row],[Annual Increase Option]]="No increase",Table13[[#This Row],[Annual Increase Option]]=""),"",_xlfn.XLOOKUP(MONTH(Table13[[#This Row],[Commencement Date]]),Lookups!$I$19:$I$30,Lookups!$J$19:$J$30,0))</f>
        <v/>
      </c>
      <c r="Q538" s="340"/>
      <c r="R538" s="340"/>
      <c r="S538" s="360">
        <f>IF(Table13[[#This Row],[Life Cover Amount]]="",0,Table2[[#This Row],[Life Premium]])</f>
        <v>0</v>
      </c>
      <c r="T538" s="360">
        <f>IF(Table13[[#This Row],[Funeral Cover Amount]]=0,0,Table2[[#This Row],[Funeral Premium]])</f>
        <v>0</v>
      </c>
      <c r="U538" s="360">
        <f>IF(AND(Table13[[#This Row],[Life Cover Amount]]="",Table13[[#This Row],[Funeral Cover Amount]]=""),0,onboarding_calcs!AA538)</f>
        <v>0</v>
      </c>
      <c r="V538" s="111"/>
      <c r="W538" s="111"/>
      <c r="X538" s="333"/>
      <c r="Y538" s="110"/>
      <c r="Z538" s="113"/>
      <c r="AA538" s="425"/>
      <c r="AB538" s="425"/>
      <c r="AC538" s="113"/>
      <c r="AD538" s="110"/>
      <c r="AE538" s="110"/>
      <c r="AF538" s="110"/>
      <c r="AG538" s="110"/>
      <c r="AH538" s="110"/>
      <c r="AI538" s="113"/>
      <c r="AJ538" s="110"/>
      <c r="AK538" s="110"/>
      <c r="AL538" s="110"/>
      <c r="AM538" s="110"/>
      <c r="AN538" s="110"/>
      <c r="AO538" s="113"/>
      <c r="AP538" s="113"/>
      <c r="AQ538" s="113"/>
      <c r="AR538" s="110"/>
      <c r="AS538" s="113"/>
      <c r="AT538" s="113"/>
      <c r="AU538" s="112"/>
      <c r="AV538" s="338"/>
      <c r="AW538" s="110"/>
      <c r="AX538" s="110"/>
      <c r="AY538" s="113"/>
      <c r="AZ538" s="113"/>
      <c r="BA538" s="113"/>
      <c r="BB538" s="113"/>
      <c r="BC538" s="113"/>
      <c r="BD538" s="113"/>
      <c r="BF53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39" spans="1:58" x14ac:dyDescent="0.3">
      <c r="A539" s="422"/>
      <c r="B539" s="376"/>
      <c r="C539" s="110"/>
      <c r="D539" s="110"/>
      <c r="E539" s="340"/>
      <c r="F539" s="330"/>
      <c r="G539" s="113"/>
      <c r="H539" s="332"/>
      <c r="I539" s="113"/>
      <c r="J539" s="332"/>
      <c r="K539" s="110"/>
      <c r="L539" s="110"/>
      <c r="M539" s="110"/>
      <c r="N539" s="110"/>
      <c r="O539" s="111"/>
      <c r="P539" s="424" t="str">
        <f>IF(OR(Table13[[#This Row],[Annual Increase Option]]="No increase",Table13[[#This Row],[Annual Increase Option]]=""),"",_xlfn.XLOOKUP(MONTH(Table13[[#This Row],[Commencement Date]]),Lookups!$I$19:$I$30,Lookups!$J$19:$J$30,0))</f>
        <v/>
      </c>
      <c r="Q539" s="340"/>
      <c r="R539" s="340"/>
      <c r="S539" s="360">
        <f>IF(Table13[[#This Row],[Life Cover Amount]]="",0,Table2[[#This Row],[Life Premium]])</f>
        <v>0</v>
      </c>
      <c r="T539" s="360">
        <f>IF(Table13[[#This Row],[Funeral Cover Amount]]=0,0,Table2[[#This Row],[Funeral Premium]])</f>
        <v>0</v>
      </c>
      <c r="U539" s="360">
        <f>IF(AND(Table13[[#This Row],[Life Cover Amount]]="",Table13[[#This Row],[Funeral Cover Amount]]=""),0,onboarding_calcs!AA539)</f>
        <v>0</v>
      </c>
      <c r="V539" s="111"/>
      <c r="W539" s="111"/>
      <c r="X539" s="333"/>
      <c r="Y539" s="110"/>
      <c r="Z539" s="113"/>
      <c r="AA539" s="425"/>
      <c r="AB539" s="425"/>
      <c r="AC539" s="113"/>
      <c r="AD539" s="110"/>
      <c r="AE539" s="110"/>
      <c r="AF539" s="110"/>
      <c r="AG539" s="110"/>
      <c r="AH539" s="110"/>
      <c r="AI539" s="113"/>
      <c r="AJ539" s="110"/>
      <c r="AK539" s="110"/>
      <c r="AL539" s="110"/>
      <c r="AM539" s="110"/>
      <c r="AN539" s="110"/>
      <c r="AO539" s="113"/>
      <c r="AP539" s="113"/>
      <c r="AQ539" s="113"/>
      <c r="AR539" s="110"/>
      <c r="AS539" s="113"/>
      <c r="AT539" s="113"/>
      <c r="AU539" s="112"/>
      <c r="AV539" s="338"/>
      <c r="AW539" s="110"/>
      <c r="AX539" s="110"/>
      <c r="AY539" s="113"/>
      <c r="AZ539" s="113"/>
      <c r="BA539" s="113"/>
      <c r="BB539" s="113"/>
      <c r="BC539" s="113"/>
      <c r="BD539" s="113"/>
      <c r="BF53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40" spans="1:58" x14ac:dyDescent="0.3">
      <c r="A540" s="422"/>
      <c r="B540" s="376"/>
      <c r="C540" s="110"/>
      <c r="D540" s="110"/>
      <c r="E540" s="340"/>
      <c r="F540" s="330"/>
      <c r="G540" s="113"/>
      <c r="H540" s="332"/>
      <c r="I540" s="113"/>
      <c r="J540" s="332"/>
      <c r="K540" s="110"/>
      <c r="L540" s="110"/>
      <c r="M540" s="110"/>
      <c r="N540" s="110"/>
      <c r="O540" s="111"/>
      <c r="P540" s="424" t="str">
        <f>IF(OR(Table13[[#This Row],[Annual Increase Option]]="No increase",Table13[[#This Row],[Annual Increase Option]]=""),"",_xlfn.XLOOKUP(MONTH(Table13[[#This Row],[Commencement Date]]),Lookups!$I$19:$I$30,Lookups!$J$19:$J$30,0))</f>
        <v/>
      </c>
      <c r="Q540" s="340"/>
      <c r="R540" s="340"/>
      <c r="S540" s="360">
        <f>IF(Table13[[#This Row],[Life Cover Amount]]="",0,Table2[[#This Row],[Life Premium]])</f>
        <v>0</v>
      </c>
      <c r="T540" s="360">
        <f>IF(Table13[[#This Row],[Funeral Cover Amount]]=0,0,Table2[[#This Row],[Funeral Premium]])</f>
        <v>0</v>
      </c>
      <c r="U540" s="360">
        <f>IF(AND(Table13[[#This Row],[Life Cover Amount]]="",Table13[[#This Row],[Funeral Cover Amount]]=""),0,onboarding_calcs!AA540)</f>
        <v>0</v>
      </c>
      <c r="V540" s="111"/>
      <c r="W540" s="111"/>
      <c r="X540" s="333"/>
      <c r="Y540" s="110"/>
      <c r="Z540" s="113"/>
      <c r="AA540" s="425"/>
      <c r="AB540" s="425"/>
      <c r="AC540" s="113"/>
      <c r="AD540" s="110"/>
      <c r="AE540" s="110"/>
      <c r="AF540" s="110"/>
      <c r="AG540" s="110"/>
      <c r="AH540" s="110"/>
      <c r="AI540" s="113"/>
      <c r="AJ540" s="110"/>
      <c r="AK540" s="110"/>
      <c r="AL540" s="110"/>
      <c r="AM540" s="110"/>
      <c r="AN540" s="110"/>
      <c r="AO540" s="113"/>
      <c r="AP540" s="113"/>
      <c r="AQ540" s="113"/>
      <c r="AR540" s="110"/>
      <c r="AS540" s="113"/>
      <c r="AT540" s="113"/>
      <c r="AU540" s="112"/>
      <c r="AV540" s="338"/>
      <c r="AW540" s="110"/>
      <c r="AX540" s="110"/>
      <c r="AY540" s="113"/>
      <c r="AZ540" s="113"/>
      <c r="BA540" s="113"/>
      <c r="BB540" s="113"/>
      <c r="BC540" s="113"/>
      <c r="BD540" s="113"/>
      <c r="BF54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41" spans="1:58" x14ac:dyDescent="0.3">
      <c r="A541" s="422"/>
      <c r="B541" s="376"/>
      <c r="C541" s="110"/>
      <c r="D541" s="110"/>
      <c r="E541" s="340"/>
      <c r="F541" s="330"/>
      <c r="G541" s="113"/>
      <c r="H541" s="332"/>
      <c r="I541" s="113"/>
      <c r="J541" s="332"/>
      <c r="K541" s="110"/>
      <c r="L541" s="110"/>
      <c r="M541" s="110"/>
      <c r="N541" s="110"/>
      <c r="O541" s="111"/>
      <c r="P541" s="424" t="str">
        <f>IF(OR(Table13[[#This Row],[Annual Increase Option]]="No increase",Table13[[#This Row],[Annual Increase Option]]=""),"",_xlfn.XLOOKUP(MONTH(Table13[[#This Row],[Commencement Date]]),Lookups!$I$19:$I$30,Lookups!$J$19:$J$30,0))</f>
        <v/>
      </c>
      <c r="Q541" s="340"/>
      <c r="R541" s="340"/>
      <c r="S541" s="360">
        <f>IF(Table13[[#This Row],[Life Cover Amount]]="",0,Table2[[#This Row],[Life Premium]])</f>
        <v>0</v>
      </c>
      <c r="T541" s="360">
        <f>IF(Table13[[#This Row],[Funeral Cover Amount]]=0,0,Table2[[#This Row],[Funeral Premium]])</f>
        <v>0</v>
      </c>
      <c r="U541" s="360">
        <f>IF(AND(Table13[[#This Row],[Life Cover Amount]]="",Table13[[#This Row],[Funeral Cover Amount]]=""),0,onboarding_calcs!AA541)</f>
        <v>0</v>
      </c>
      <c r="V541" s="111"/>
      <c r="W541" s="111"/>
      <c r="X541" s="333"/>
      <c r="Y541" s="110"/>
      <c r="Z541" s="113"/>
      <c r="AA541" s="425"/>
      <c r="AB541" s="425"/>
      <c r="AC541" s="113"/>
      <c r="AD541" s="110"/>
      <c r="AE541" s="110"/>
      <c r="AF541" s="110"/>
      <c r="AG541" s="110"/>
      <c r="AH541" s="110"/>
      <c r="AI541" s="113"/>
      <c r="AJ541" s="110"/>
      <c r="AK541" s="110"/>
      <c r="AL541" s="110"/>
      <c r="AM541" s="110"/>
      <c r="AN541" s="110"/>
      <c r="AO541" s="113"/>
      <c r="AP541" s="113"/>
      <c r="AQ541" s="113"/>
      <c r="AR541" s="110"/>
      <c r="AS541" s="113"/>
      <c r="AT541" s="113"/>
      <c r="AU541" s="112"/>
      <c r="AV541" s="338"/>
      <c r="AW541" s="110"/>
      <c r="AX541" s="110"/>
      <c r="AY541" s="113"/>
      <c r="AZ541" s="113"/>
      <c r="BA541" s="113"/>
      <c r="BB541" s="113"/>
      <c r="BC541" s="113"/>
      <c r="BD541" s="113"/>
      <c r="BF54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42" spans="1:58" x14ac:dyDescent="0.3">
      <c r="A542" s="422"/>
      <c r="B542" s="376"/>
      <c r="C542" s="110"/>
      <c r="D542" s="110"/>
      <c r="E542" s="340"/>
      <c r="F542" s="330"/>
      <c r="G542" s="113"/>
      <c r="H542" s="332"/>
      <c r="I542" s="113"/>
      <c r="J542" s="332"/>
      <c r="K542" s="110"/>
      <c r="L542" s="110"/>
      <c r="M542" s="110"/>
      <c r="N542" s="110"/>
      <c r="O542" s="111"/>
      <c r="P542" s="424" t="str">
        <f>IF(OR(Table13[[#This Row],[Annual Increase Option]]="No increase",Table13[[#This Row],[Annual Increase Option]]=""),"",_xlfn.XLOOKUP(MONTH(Table13[[#This Row],[Commencement Date]]),Lookups!$I$19:$I$30,Lookups!$J$19:$J$30,0))</f>
        <v/>
      </c>
      <c r="Q542" s="340"/>
      <c r="R542" s="340"/>
      <c r="S542" s="360">
        <f>IF(Table13[[#This Row],[Life Cover Amount]]="",0,Table2[[#This Row],[Life Premium]])</f>
        <v>0</v>
      </c>
      <c r="T542" s="360">
        <f>IF(Table13[[#This Row],[Funeral Cover Amount]]=0,0,Table2[[#This Row],[Funeral Premium]])</f>
        <v>0</v>
      </c>
      <c r="U542" s="360">
        <f>IF(AND(Table13[[#This Row],[Life Cover Amount]]="",Table13[[#This Row],[Funeral Cover Amount]]=""),0,onboarding_calcs!AA542)</f>
        <v>0</v>
      </c>
      <c r="V542" s="111"/>
      <c r="W542" s="111"/>
      <c r="X542" s="333"/>
      <c r="Y542" s="110"/>
      <c r="Z542" s="113"/>
      <c r="AA542" s="425"/>
      <c r="AB542" s="425"/>
      <c r="AC542" s="113"/>
      <c r="AD542" s="110"/>
      <c r="AE542" s="110"/>
      <c r="AF542" s="110"/>
      <c r="AG542" s="110"/>
      <c r="AH542" s="110"/>
      <c r="AI542" s="113"/>
      <c r="AJ542" s="110"/>
      <c r="AK542" s="110"/>
      <c r="AL542" s="110"/>
      <c r="AM542" s="110"/>
      <c r="AN542" s="110"/>
      <c r="AO542" s="113"/>
      <c r="AP542" s="113"/>
      <c r="AQ542" s="113"/>
      <c r="AR542" s="110"/>
      <c r="AS542" s="113"/>
      <c r="AT542" s="113"/>
      <c r="AU542" s="112"/>
      <c r="AV542" s="338"/>
      <c r="AW542" s="110"/>
      <c r="AX542" s="110"/>
      <c r="AY542" s="113"/>
      <c r="AZ542" s="113"/>
      <c r="BA542" s="113"/>
      <c r="BB542" s="113"/>
      <c r="BC542" s="113"/>
      <c r="BD542" s="113"/>
      <c r="BF54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43" spans="1:58" x14ac:dyDescent="0.3">
      <c r="A543" s="422"/>
      <c r="B543" s="376"/>
      <c r="C543" s="110"/>
      <c r="D543" s="110"/>
      <c r="E543" s="340"/>
      <c r="F543" s="330"/>
      <c r="G543" s="113"/>
      <c r="H543" s="332"/>
      <c r="I543" s="113"/>
      <c r="J543" s="332"/>
      <c r="K543" s="110"/>
      <c r="L543" s="110"/>
      <c r="M543" s="110"/>
      <c r="N543" s="110"/>
      <c r="O543" s="111"/>
      <c r="P543" s="424" t="str">
        <f>IF(OR(Table13[[#This Row],[Annual Increase Option]]="No increase",Table13[[#This Row],[Annual Increase Option]]=""),"",_xlfn.XLOOKUP(MONTH(Table13[[#This Row],[Commencement Date]]),Lookups!$I$19:$I$30,Lookups!$J$19:$J$30,0))</f>
        <v/>
      </c>
      <c r="Q543" s="340"/>
      <c r="R543" s="340"/>
      <c r="S543" s="360">
        <f>IF(Table13[[#This Row],[Life Cover Amount]]="",0,Table2[[#This Row],[Life Premium]])</f>
        <v>0</v>
      </c>
      <c r="T543" s="360">
        <f>IF(Table13[[#This Row],[Funeral Cover Amount]]=0,0,Table2[[#This Row],[Funeral Premium]])</f>
        <v>0</v>
      </c>
      <c r="U543" s="360">
        <f>IF(AND(Table13[[#This Row],[Life Cover Amount]]="",Table13[[#This Row],[Funeral Cover Amount]]=""),0,onboarding_calcs!AA543)</f>
        <v>0</v>
      </c>
      <c r="V543" s="111"/>
      <c r="W543" s="111"/>
      <c r="X543" s="333"/>
      <c r="Y543" s="110"/>
      <c r="Z543" s="113"/>
      <c r="AA543" s="425"/>
      <c r="AB543" s="425"/>
      <c r="AC543" s="113"/>
      <c r="AD543" s="110"/>
      <c r="AE543" s="110"/>
      <c r="AF543" s="110"/>
      <c r="AG543" s="110"/>
      <c r="AH543" s="110"/>
      <c r="AI543" s="113"/>
      <c r="AJ543" s="110"/>
      <c r="AK543" s="110"/>
      <c r="AL543" s="110"/>
      <c r="AM543" s="110"/>
      <c r="AN543" s="110"/>
      <c r="AO543" s="113"/>
      <c r="AP543" s="113"/>
      <c r="AQ543" s="113"/>
      <c r="AR543" s="110"/>
      <c r="AS543" s="113"/>
      <c r="AT543" s="113"/>
      <c r="AU543" s="112"/>
      <c r="AV543" s="338"/>
      <c r="AW543" s="110"/>
      <c r="AX543" s="110"/>
      <c r="AY543" s="113"/>
      <c r="AZ543" s="113"/>
      <c r="BA543" s="113"/>
      <c r="BB543" s="113"/>
      <c r="BC543" s="113"/>
      <c r="BD543" s="113"/>
      <c r="BF54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44" spans="1:58" x14ac:dyDescent="0.3">
      <c r="A544" s="422"/>
      <c r="B544" s="376"/>
      <c r="C544" s="110"/>
      <c r="D544" s="110"/>
      <c r="E544" s="340"/>
      <c r="F544" s="330"/>
      <c r="G544" s="113"/>
      <c r="H544" s="332"/>
      <c r="I544" s="113"/>
      <c r="J544" s="332"/>
      <c r="K544" s="110"/>
      <c r="L544" s="110"/>
      <c r="M544" s="110"/>
      <c r="N544" s="110"/>
      <c r="O544" s="111"/>
      <c r="P544" s="424" t="str">
        <f>IF(OR(Table13[[#This Row],[Annual Increase Option]]="No increase",Table13[[#This Row],[Annual Increase Option]]=""),"",_xlfn.XLOOKUP(MONTH(Table13[[#This Row],[Commencement Date]]),Lookups!$I$19:$I$30,Lookups!$J$19:$J$30,0))</f>
        <v/>
      </c>
      <c r="Q544" s="340"/>
      <c r="R544" s="340"/>
      <c r="S544" s="360">
        <f>IF(Table13[[#This Row],[Life Cover Amount]]="",0,Table2[[#This Row],[Life Premium]])</f>
        <v>0</v>
      </c>
      <c r="T544" s="360">
        <f>IF(Table13[[#This Row],[Funeral Cover Amount]]=0,0,Table2[[#This Row],[Funeral Premium]])</f>
        <v>0</v>
      </c>
      <c r="U544" s="360">
        <f>IF(AND(Table13[[#This Row],[Life Cover Amount]]="",Table13[[#This Row],[Funeral Cover Amount]]=""),0,onboarding_calcs!AA544)</f>
        <v>0</v>
      </c>
      <c r="V544" s="111"/>
      <c r="W544" s="111"/>
      <c r="X544" s="333"/>
      <c r="Y544" s="110"/>
      <c r="Z544" s="113"/>
      <c r="AA544" s="425"/>
      <c r="AB544" s="425"/>
      <c r="AC544" s="113"/>
      <c r="AD544" s="110"/>
      <c r="AE544" s="110"/>
      <c r="AF544" s="110"/>
      <c r="AG544" s="110"/>
      <c r="AH544" s="110"/>
      <c r="AI544" s="113"/>
      <c r="AJ544" s="110"/>
      <c r="AK544" s="110"/>
      <c r="AL544" s="110"/>
      <c r="AM544" s="110"/>
      <c r="AN544" s="110"/>
      <c r="AO544" s="113"/>
      <c r="AP544" s="113"/>
      <c r="AQ544" s="113"/>
      <c r="AR544" s="110"/>
      <c r="AS544" s="113"/>
      <c r="AT544" s="113"/>
      <c r="AU544" s="112"/>
      <c r="AV544" s="338"/>
      <c r="AW544" s="110"/>
      <c r="AX544" s="110"/>
      <c r="AY544" s="113"/>
      <c r="AZ544" s="113"/>
      <c r="BA544" s="113"/>
      <c r="BB544" s="113"/>
      <c r="BC544" s="113"/>
      <c r="BD544" s="113"/>
      <c r="BF54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45" spans="1:58" x14ac:dyDescent="0.3">
      <c r="A545" s="422"/>
      <c r="B545" s="376"/>
      <c r="C545" s="110"/>
      <c r="D545" s="110"/>
      <c r="E545" s="340"/>
      <c r="F545" s="330"/>
      <c r="G545" s="113"/>
      <c r="H545" s="332"/>
      <c r="I545" s="113"/>
      <c r="J545" s="332"/>
      <c r="K545" s="110"/>
      <c r="L545" s="110"/>
      <c r="M545" s="110"/>
      <c r="N545" s="110"/>
      <c r="O545" s="111"/>
      <c r="P545" s="424" t="str">
        <f>IF(OR(Table13[[#This Row],[Annual Increase Option]]="No increase",Table13[[#This Row],[Annual Increase Option]]=""),"",_xlfn.XLOOKUP(MONTH(Table13[[#This Row],[Commencement Date]]),Lookups!$I$19:$I$30,Lookups!$J$19:$J$30,0))</f>
        <v/>
      </c>
      <c r="Q545" s="340"/>
      <c r="R545" s="340"/>
      <c r="S545" s="360">
        <f>IF(Table13[[#This Row],[Life Cover Amount]]="",0,Table2[[#This Row],[Life Premium]])</f>
        <v>0</v>
      </c>
      <c r="T545" s="360">
        <f>IF(Table13[[#This Row],[Funeral Cover Amount]]=0,0,Table2[[#This Row],[Funeral Premium]])</f>
        <v>0</v>
      </c>
      <c r="U545" s="360">
        <f>IF(AND(Table13[[#This Row],[Life Cover Amount]]="",Table13[[#This Row],[Funeral Cover Amount]]=""),0,onboarding_calcs!AA545)</f>
        <v>0</v>
      </c>
      <c r="V545" s="111"/>
      <c r="W545" s="111"/>
      <c r="X545" s="333"/>
      <c r="Y545" s="110"/>
      <c r="Z545" s="113"/>
      <c r="AA545" s="425"/>
      <c r="AB545" s="425"/>
      <c r="AC545" s="113"/>
      <c r="AD545" s="110"/>
      <c r="AE545" s="110"/>
      <c r="AF545" s="110"/>
      <c r="AG545" s="110"/>
      <c r="AH545" s="110"/>
      <c r="AI545" s="113"/>
      <c r="AJ545" s="110"/>
      <c r="AK545" s="110"/>
      <c r="AL545" s="110"/>
      <c r="AM545" s="110"/>
      <c r="AN545" s="110"/>
      <c r="AO545" s="113"/>
      <c r="AP545" s="113"/>
      <c r="AQ545" s="113"/>
      <c r="AR545" s="110"/>
      <c r="AS545" s="113"/>
      <c r="AT545" s="113"/>
      <c r="AU545" s="112"/>
      <c r="AV545" s="338"/>
      <c r="AW545" s="110"/>
      <c r="AX545" s="110"/>
      <c r="AY545" s="113"/>
      <c r="AZ545" s="113"/>
      <c r="BA545" s="113"/>
      <c r="BB545" s="113"/>
      <c r="BC545" s="113"/>
      <c r="BD545" s="113"/>
      <c r="BF54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46" spans="1:58" x14ac:dyDescent="0.3">
      <c r="A546" s="422"/>
      <c r="B546" s="376"/>
      <c r="C546" s="110"/>
      <c r="D546" s="110"/>
      <c r="E546" s="340"/>
      <c r="F546" s="330"/>
      <c r="G546" s="113"/>
      <c r="H546" s="332"/>
      <c r="I546" s="113"/>
      <c r="J546" s="332"/>
      <c r="K546" s="110"/>
      <c r="L546" s="110"/>
      <c r="M546" s="110"/>
      <c r="N546" s="110"/>
      <c r="O546" s="111"/>
      <c r="P546" s="424" t="str">
        <f>IF(OR(Table13[[#This Row],[Annual Increase Option]]="No increase",Table13[[#This Row],[Annual Increase Option]]=""),"",_xlfn.XLOOKUP(MONTH(Table13[[#This Row],[Commencement Date]]),Lookups!$I$19:$I$30,Lookups!$J$19:$J$30,0))</f>
        <v/>
      </c>
      <c r="Q546" s="340"/>
      <c r="R546" s="340"/>
      <c r="S546" s="360">
        <f>IF(Table13[[#This Row],[Life Cover Amount]]="",0,Table2[[#This Row],[Life Premium]])</f>
        <v>0</v>
      </c>
      <c r="T546" s="360">
        <f>IF(Table13[[#This Row],[Funeral Cover Amount]]=0,0,Table2[[#This Row],[Funeral Premium]])</f>
        <v>0</v>
      </c>
      <c r="U546" s="360">
        <f>IF(AND(Table13[[#This Row],[Life Cover Amount]]="",Table13[[#This Row],[Funeral Cover Amount]]=""),0,onboarding_calcs!AA546)</f>
        <v>0</v>
      </c>
      <c r="V546" s="111"/>
      <c r="W546" s="111"/>
      <c r="X546" s="333"/>
      <c r="Y546" s="110"/>
      <c r="Z546" s="113"/>
      <c r="AA546" s="425"/>
      <c r="AB546" s="425"/>
      <c r="AC546" s="113"/>
      <c r="AD546" s="110"/>
      <c r="AE546" s="110"/>
      <c r="AF546" s="110"/>
      <c r="AG546" s="110"/>
      <c r="AH546" s="110"/>
      <c r="AI546" s="113"/>
      <c r="AJ546" s="110"/>
      <c r="AK546" s="110"/>
      <c r="AL546" s="110"/>
      <c r="AM546" s="110"/>
      <c r="AN546" s="110"/>
      <c r="AO546" s="113"/>
      <c r="AP546" s="113"/>
      <c r="AQ546" s="113"/>
      <c r="AR546" s="110"/>
      <c r="AS546" s="113"/>
      <c r="AT546" s="113"/>
      <c r="AU546" s="112"/>
      <c r="AV546" s="338"/>
      <c r="AW546" s="110"/>
      <c r="AX546" s="110"/>
      <c r="AY546" s="113"/>
      <c r="AZ546" s="113"/>
      <c r="BA546" s="113"/>
      <c r="BB546" s="113"/>
      <c r="BC546" s="113"/>
      <c r="BD546" s="113"/>
      <c r="BF54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47" spans="1:58" x14ac:dyDescent="0.3">
      <c r="A547" s="422"/>
      <c r="B547" s="376"/>
      <c r="C547" s="110"/>
      <c r="D547" s="110"/>
      <c r="E547" s="340"/>
      <c r="F547" s="330"/>
      <c r="G547" s="113"/>
      <c r="H547" s="332"/>
      <c r="I547" s="113"/>
      <c r="J547" s="332"/>
      <c r="K547" s="110"/>
      <c r="L547" s="110"/>
      <c r="M547" s="110"/>
      <c r="N547" s="110"/>
      <c r="O547" s="111"/>
      <c r="P547" s="424" t="str">
        <f>IF(OR(Table13[[#This Row],[Annual Increase Option]]="No increase",Table13[[#This Row],[Annual Increase Option]]=""),"",_xlfn.XLOOKUP(MONTH(Table13[[#This Row],[Commencement Date]]),Lookups!$I$19:$I$30,Lookups!$J$19:$J$30,0))</f>
        <v/>
      </c>
      <c r="Q547" s="340"/>
      <c r="R547" s="340"/>
      <c r="S547" s="360">
        <f>IF(Table13[[#This Row],[Life Cover Amount]]="",0,Table2[[#This Row],[Life Premium]])</f>
        <v>0</v>
      </c>
      <c r="T547" s="360">
        <f>IF(Table13[[#This Row],[Funeral Cover Amount]]=0,0,Table2[[#This Row],[Funeral Premium]])</f>
        <v>0</v>
      </c>
      <c r="U547" s="360">
        <f>IF(AND(Table13[[#This Row],[Life Cover Amount]]="",Table13[[#This Row],[Funeral Cover Amount]]=""),0,onboarding_calcs!AA547)</f>
        <v>0</v>
      </c>
      <c r="V547" s="111"/>
      <c r="W547" s="111"/>
      <c r="X547" s="333"/>
      <c r="Y547" s="110"/>
      <c r="Z547" s="113"/>
      <c r="AA547" s="425"/>
      <c r="AB547" s="425"/>
      <c r="AC547" s="113"/>
      <c r="AD547" s="110"/>
      <c r="AE547" s="110"/>
      <c r="AF547" s="110"/>
      <c r="AG547" s="110"/>
      <c r="AH547" s="110"/>
      <c r="AI547" s="113"/>
      <c r="AJ547" s="110"/>
      <c r="AK547" s="110"/>
      <c r="AL547" s="110"/>
      <c r="AM547" s="110"/>
      <c r="AN547" s="110"/>
      <c r="AO547" s="113"/>
      <c r="AP547" s="113"/>
      <c r="AQ547" s="113"/>
      <c r="AR547" s="110"/>
      <c r="AS547" s="113"/>
      <c r="AT547" s="113"/>
      <c r="AU547" s="112"/>
      <c r="AV547" s="338"/>
      <c r="AW547" s="110"/>
      <c r="AX547" s="110"/>
      <c r="AY547" s="113"/>
      <c r="AZ547" s="113"/>
      <c r="BA547" s="113"/>
      <c r="BB547" s="113"/>
      <c r="BC547" s="113"/>
      <c r="BD547" s="113"/>
      <c r="BF54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48" spans="1:58" x14ac:dyDescent="0.3">
      <c r="A548" s="422"/>
      <c r="B548" s="376"/>
      <c r="C548" s="110"/>
      <c r="D548" s="110"/>
      <c r="E548" s="340"/>
      <c r="F548" s="330"/>
      <c r="G548" s="113"/>
      <c r="H548" s="332"/>
      <c r="I548" s="113"/>
      <c r="J548" s="332"/>
      <c r="K548" s="110"/>
      <c r="L548" s="110"/>
      <c r="M548" s="110"/>
      <c r="N548" s="110"/>
      <c r="O548" s="111"/>
      <c r="P548" s="424" t="str">
        <f>IF(OR(Table13[[#This Row],[Annual Increase Option]]="No increase",Table13[[#This Row],[Annual Increase Option]]=""),"",_xlfn.XLOOKUP(MONTH(Table13[[#This Row],[Commencement Date]]),Lookups!$I$19:$I$30,Lookups!$J$19:$J$30,0))</f>
        <v/>
      </c>
      <c r="Q548" s="340"/>
      <c r="R548" s="340"/>
      <c r="S548" s="360">
        <f>IF(Table13[[#This Row],[Life Cover Amount]]="",0,Table2[[#This Row],[Life Premium]])</f>
        <v>0</v>
      </c>
      <c r="T548" s="360">
        <f>IF(Table13[[#This Row],[Funeral Cover Amount]]=0,0,Table2[[#This Row],[Funeral Premium]])</f>
        <v>0</v>
      </c>
      <c r="U548" s="360">
        <f>IF(AND(Table13[[#This Row],[Life Cover Amount]]="",Table13[[#This Row],[Funeral Cover Amount]]=""),0,onboarding_calcs!AA548)</f>
        <v>0</v>
      </c>
      <c r="V548" s="111"/>
      <c r="W548" s="111"/>
      <c r="X548" s="333"/>
      <c r="Y548" s="110"/>
      <c r="Z548" s="113"/>
      <c r="AA548" s="425"/>
      <c r="AB548" s="425"/>
      <c r="AC548" s="113"/>
      <c r="AD548" s="110"/>
      <c r="AE548" s="110"/>
      <c r="AF548" s="110"/>
      <c r="AG548" s="110"/>
      <c r="AH548" s="110"/>
      <c r="AI548" s="113"/>
      <c r="AJ548" s="110"/>
      <c r="AK548" s="110"/>
      <c r="AL548" s="110"/>
      <c r="AM548" s="110"/>
      <c r="AN548" s="110"/>
      <c r="AO548" s="113"/>
      <c r="AP548" s="113"/>
      <c r="AQ548" s="113"/>
      <c r="AR548" s="110"/>
      <c r="AS548" s="113"/>
      <c r="AT548" s="113"/>
      <c r="AU548" s="112"/>
      <c r="AV548" s="338"/>
      <c r="AW548" s="110"/>
      <c r="AX548" s="110"/>
      <c r="AY548" s="113"/>
      <c r="AZ548" s="113"/>
      <c r="BA548" s="113"/>
      <c r="BB548" s="113"/>
      <c r="BC548" s="113"/>
      <c r="BD548" s="113"/>
      <c r="BF54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49" spans="1:58" x14ac:dyDescent="0.3">
      <c r="A549" s="422"/>
      <c r="B549" s="376"/>
      <c r="C549" s="110"/>
      <c r="D549" s="110"/>
      <c r="E549" s="340"/>
      <c r="F549" s="330"/>
      <c r="G549" s="113"/>
      <c r="H549" s="332"/>
      <c r="I549" s="113"/>
      <c r="J549" s="332"/>
      <c r="K549" s="110"/>
      <c r="L549" s="110"/>
      <c r="M549" s="110"/>
      <c r="N549" s="110"/>
      <c r="O549" s="111"/>
      <c r="P549" s="424" t="str">
        <f>IF(OR(Table13[[#This Row],[Annual Increase Option]]="No increase",Table13[[#This Row],[Annual Increase Option]]=""),"",_xlfn.XLOOKUP(MONTH(Table13[[#This Row],[Commencement Date]]),Lookups!$I$19:$I$30,Lookups!$J$19:$J$30,0))</f>
        <v/>
      </c>
      <c r="Q549" s="340"/>
      <c r="R549" s="340"/>
      <c r="S549" s="360">
        <f>IF(Table13[[#This Row],[Life Cover Amount]]="",0,Table2[[#This Row],[Life Premium]])</f>
        <v>0</v>
      </c>
      <c r="T549" s="360">
        <f>IF(Table13[[#This Row],[Funeral Cover Amount]]=0,0,Table2[[#This Row],[Funeral Premium]])</f>
        <v>0</v>
      </c>
      <c r="U549" s="360">
        <f>IF(AND(Table13[[#This Row],[Life Cover Amount]]="",Table13[[#This Row],[Funeral Cover Amount]]=""),0,onboarding_calcs!AA549)</f>
        <v>0</v>
      </c>
      <c r="V549" s="111"/>
      <c r="W549" s="111"/>
      <c r="X549" s="333"/>
      <c r="Y549" s="110"/>
      <c r="Z549" s="113"/>
      <c r="AA549" s="425"/>
      <c r="AB549" s="425"/>
      <c r="AC549" s="113"/>
      <c r="AD549" s="110"/>
      <c r="AE549" s="110"/>
      <c r="AF549" s="110"/>
      <c r="AG549" s="110"/>
      <c r="AH549" s="110"/>
      <c r="AI549" s="113"/>
      <c r="AJ549" s="110"/>
      <c r="AK549" s="110"/>
      <c r="AL549" s="110"/>
      <c r="AM549" s="110"/>
      <c r="AN549" s="110"/>
      <c r="AO549" s="113"/>
      <c r="AP549" s="113"/>
      <c r="AQ549" s="113"/>
      <c r="AR549" s="110"/>
      <c r="AS549" s="113"/>
      <c r="AT549" s="113"/>
      <c r="AU549" s="112"/>
      <c r="AV549" s="338"/>
      <c r="AW549" s="110"/>
      <c r="AX549" s="110"/>
      <c r="AY549" s="113"/>
      <c r="AZ549" s="113"/>
      <c r="BA549" s="113"/>
      <c r="BB549" s="113"/>
      <c r="BC549" s="113"/>
      <c r="BD549" s="113"/>
      <c r="BF54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50" spans="1:58" x14ac:dyDescent="0.3">
      <c r="A550" s="422"/>
      <c r="B550" s="376"/>
      <c r="C550" s="110"/>
      <c r="D550" s="110"/>
      <c r="E550" s="340"/>
      <c r="F550" s="330"/>
      <c r="G550" s="113"/>
      <c r="H550" s="332"/>
      <c r="I550" s="113"/>
      <c r="J550" s="332"/>
      <c r="K550" s="110"/>
      <c r="L550" s="110"/>
      <c r="M550" s="110"/>
      <c r="N550" s="110"/>
      <c r="O550" s="111"/>
      <c r="P550" s="424" t="str">
        <f>IF(OR(Table13[[#This Row],[Annual Increase Option]]="No increase",Table13[[#This Row],[Annual Increase Option]]=""),"",_xlfn.XLOOKUP(MONTH(Table13[[#This Row],[Commencement Date]]),Lookups!$I$19:$I$30,Lookups!$J$19:$J$30,0))</f>
        <v/>
      </c>
      <c r="Q550" s="340"/>
      <c r="R550" s="340"/>
      <c r="S550" s="360">
        <f>IF(Table13[[#This Row],[Life Cover Amount]]="",0,Table2[[#This Row],[Life Premium]])</f>
        <v>0</v>
      </c>
      <c r="T550" s="360">
        <f>IF(Table13[[#This Row],[Funeral Cover Amount]]=0,0,Table2[[#This Row],[Funeral Premium]])</f>
        <v>0</v>
      </c>
      <c r="U550" s="360">
        <f>IF(AND(Table13[[#This Row],[Life Cover Amount]]="",Table13[[#This Row],[Funeral Cover Amount]]=""),0,onboarding_calcs!AA550)</f>
        <v>0</v>
      </c>
      <c r="V550" s="111"/>
      <c r="W550" s="111"/>
      <c r="X550" s="333"/>
      <c r="Y550" s="110"/>
      <c r="Z550" s="113"/>
      <c r="AA550" s="425"/>
      <c r="AB550" s="425"/>
      <c r="AC550" s="113"/>
      <c r="AD550" s="110"/>
      <c r="AE550" s="110"/>
      <c r="AF550" s="110"/>
      <c r="AG550" s="110"/>
      <c r="AH550" s="110"/>
      <c r="AI550" s="113"/>
      <c r="AJ550" s="110"/>
      <c r="AK550" s="110"/>
      <c r="AL550" s="110"/>
      <c r="AM550" s="110"/>
      <c r="AN550" s="110"/>
      <c r="AO550" s="113"/>
      <c r="AP550" s="113"/>
      <c r="AQ550" s="113"/>
      <c r="AR550" s="110"/>
      <c r="AS550" s="113"/>
      <c r="AT550" s="113"/>
      <c r="AU550" s="112"/>
      <c r="AV550" s="338"/>
      <c r="AW550" s="110"/>
      <c r="AX550" s="110"/>
      <c r="AY550" s="113"/>
      <c r="AZ550" s="113"/>
      <c r="BA550" s="113"/>
      <c r="BB550" s="113"/>
      <c r="BC550" s="113"/>
      <c r="BD550" s="113"/>
      <c r="BF55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51" spans="1:58" x14ac:dyDescent="0.3">
      <c r="A551" s="422"/>
      <c r="B551" s="376"/>
      <c r="C551" s="110"/>
      <c r="D551" s="110"/>
      <c r="E551" s="340"/>
      <c r="F551" s="330"/>
      <c r="G551" s="113"/>
      <c r="H551" s="332"/>
      <c r="I551" s="113"/>
      <c r="J551" s="332"/>
      <c r="K551" s="110"/>
      <c r="L551" s="110"/>
      <c r="M551" s="110"/>
      <c r="N551" s="110"/>
      <c r="O551" s="111"/>
      <c r="P551" s="424" t="str">
        <f>IF(OR(Table13[[#This Row],[Annual Increase Option]]="No increase",Table13[[#This Row],[Annual Increase Option]]=""),"",_xlfn.XLOOKUP(MONTH(Table13[[#This Row],[Commencement Date]]),Lookups!$I$19:$I$30,Lookups!$J$19:$J$30,0))</f>
        <v/>
      </c>
      <c r="Q551" s="340"/>
      <c r="R551" s="340"/>
      <c r="S551" s="360">
        <f>IF(Table13[[#This Row],[Life Cover Amount]]="",0,Table2[[#This Row],[Life Premium]])</f>
        <v>0</v>
      </c>
      <c r="T551" s="360">
        <f>IF(Table13[[#This Row],[Funeral Cover Amount]]=0,0,Table2[[#This Row],[Funeral Premium]])</f>
        <v>0</v>
      </c>
      <c r="U551" s="360">
        <f>IF(AND(Table13[[#This Row],[Life Cover Amount]]="",Table13[[#This Row],[Funeral Cover Amount]]=""),0,onboarding_calcs!AA551)</f>
        <v>0</v>
      </c>
      <c r="V551" s="111"/>
      <c r="W551" s="111"/>
      <c r="X551" s="333"/>
      <c r="Y551" s="110"/>
      <c r="Z551" s="113"/>
      <c r="AA551" s="425"/>
      <c r="AB551" s="425"/>
      <c r="AC551" s="113"/>
      <c r="AD551" s="110"/>
      <c r="AE551" s="110"/>
      <c r="AF551" s="110"/>
      <c r="AG551" s="110"/>
      <c r="AH551" s="110"/>
      <c r="AI551" s="113"/>
      <c r="AJ551" s="110"/>
      <c r="AK551" s="110"/>
      <c r="AL551" s="110"/>
      <c r="AM551" s="110"/>
      <c r="AN551" s="110"/>
      <c r="AO551" s="113"/>
      <c r="AP551" s="113"/>
      <c r="AQ551" s="113"/>
      <c r="AR551" s="110"/>
      <c r="AS551" s="113"/>
      <c r="AT551" s="113"/>
      <c r="AU551" s="112"/>
      <c r="AV551" s="338"/>
      <c r="AW551" s="110"/>
      <c r="AX551" s="110"/>
      <c r="AY551" s="113"/>
      <c r="AZ551" s="113"/>
      <c r="BA551" s="113"/>
      <c r="BB551" s="113"/>
      <c r="BC551" s="113"/>
      <c r="BD551" s="113"/>
      <c r="BF55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52" spans="1:58" x14ac:dyDescent="0.3">
      <c r="A552" s="422"/>
      <c r="B552" s="376"/>
      <c r="C552" s="110"/>
      <c r="D552" s="110"/>
      <c r="E552" s="340"/>
      <c r="F552" s="330"/>
      <c r="G552" s="113"/>
      <c r="H552" s="332"/>
      <c r="I552" s="113"/>
      <c r="J552" s="332"/>
      <c r="K552" s="110"/>
      <c r="L552" s="110"/>
      <c r="M552" s="110"/>
      <c r="N552" s="110"/>
      <c r="O552" s="111"/>
      <c r="P552" s="424" t="str">
        <f>IF(OR(Table13[[#This Row],[Annual Increase Option]]="No increase",Table13[[#This Row],[Annual Increase Option]]=""),"",_xlfn.XLOOKUP(MONTH(Table13[[#This Row],[Commencement Date]]),Lookups!$I$19:$I$30,Lookups!$J$19:$J$30,0))</f>
        <v/>
      </c>
      <c r="Q552" s="340"/>
      <c r="R552" s="340"/>
      <c r="S552" s="360">
        <f>IF(Table13[[#This Row],[Life Cover Amount]]="",0,Table2[[#This Row],[Life Premium]])</f>
        <v>0</v>
      </c>
      <c r="T552" s="360">
        <f>IF(Table13[[#This Row],[Funeral Cover Amount]]=0,0,Table2[[#This Row],[Funeral Premium]])</f>
        <v>0</v>
      </c>
      <c r="U552" s="360">
        <f>IF(AND(Table13[[#This Row],[Life Cover Amount]]="",Table13[[#This Row],[Funeral Cover Amount]]=""),0,onboarding_calcs!AA552)</f>
        <v>0</v>
      </c>
      <c r="V552" s="111"/>
      <c r="W552" s="111"/>
      <c r="X552" s="333"/>
      <c r="Y552" s="110"/>
      <c r="Z552" s="113"/>
      <c r="AA552" s="425"/>
      <c r="AB552" s="425"/>
      <c r="AC552" s="113"/>
      <c r="AD552" s="110"/>
      <c r="AE552" s="110"/>
      <c r="AF552" s="110"/>
      <c r="AG552" s="110"/>
      <c r="AH552" s="110"/>
      <c r="AI552" s="113"/>
      <c r="AJ552" s="110"/>
      <c r="AK552" s="110"/>
      <c r="AL552" s="110"/>
      <c r="AM552" s="110"/>
      <c r="AN552" s="110"/>
      <c r="AO552" s="113"/>
      <c r="AP552" s="113"/>
      <c r="AQ552" s="113"/>
      <c r="AR552" s="110"/>
      <c r="AS552" s="113"/>
      <c r="AT552" s="113"/>
      <c r="AU552" s="112"/>
      <c r="AV552" s="338"/>
      <c r="AW552" s="110"/>
      <c r="AX552" s="110"/>
      <c r="AY552" s="113"/>
      <c r="AZ552" s="113"/>
      <c r="BA552" s="113"/>
      <c r="BB552" s="113"/>
      <c r="BC552" s="113"/>
      <c r="BD552" s="113"/>
      <c r="BF55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53" spans="1:58" x14ac:dyDescent="0.3">
      <c r="A553" s="422"/>
      <c r="B553" s="376"/>
      <c r="C553" s="110"/>
      <c r="D553" s="110"/>
      <c r="E553" s="340"/>
      <c r="F553" s="330"/>
      <c r="G553" s="113"/>
      <c r="H553" s="332"/>
      <c r="I553" s="113"/>
      <c r="J553" s="332"/>
      <c r="K553" s="110"/>
      <c r="L553" s="110"/>
      <c r="M553" s="110"/>
      <c r="N553" s="110"/>
      <c r="O553" s="111"/>
      <c r="P553" s="424" t="str">
        <f>IF(OR(Table13[[#This Row],[Annual Increase Option]]="No increase",Table13[[#This Row],[Annual Increase Option]]=""),"",_xlfn.XLOOKUP(MONTH(Table13[[#This Row],[Commencement Date]]),Lookups!$I$19:$I$30,Lookups!$J$19:$J$30,0))</f>
        <v/>
      </c>
      <c r="Q553" s="340"/>
      <c r="R553" s="340"/>
      <c r="S553" s="360">
        <f>IF(Table13[[#This Row],[Life Cover Amount]]="",0,Table2[[#This Row],[Life Premium]])</f>
        <v>0</v>
      </c>
      <c r="T553" s="360">
        <f>IF(Table13[[#This Row],[Funeral Cover Amount]]=0,0,Table2[[#This Row],[Funeral Premium]])</f>
        <v>0</v>
      </c>
      <c r="U553" s="360">
        <f>IF(AND(Table13[[#This Row],[Life Cover Amount]]="",Table13[[#This Row],[Funeral Cover Amount]]=""),0,onboarding_calcs!AA553)</f>
        <v>0</v>
      </c>
      <c r="V553" s="111"/>
      <c r="W553" s="111"/>
      <c r="X553" s="333"/>
      <c r="Y553" s="110"/>
      <c r="Z553" s="113"/>
      <c r="AA553" s="425"/>
      <c r="AB553" s="425"/>
      <c r="AC553" s="113"/>
      <c r="AD553" s="110"/>
      <c r="AE553" s="110"/>
      <c r="AF553" s="110"/>
      <c r="AG553" s="110"/>
      <c r="AH553" s="110"/>
      <c r="AI553" s="113"/>
      <c r="AJ553" s="110"/>
      <c r="AK553" s="110"/>
      <c r="AL553" s="110"/>
      <c r="AM553" s="110"/>
      <c r="AN553" s="110"/>
      <c r="AO553" s="113"/>
      <c r="AP553" s="113"/>
      <c r="AQ553" s="113"/>
      <c r="AR553" s="110"/>
      <c r="AS553" s="113"/>
      <c r="AT553" s="113"/>
      <c r="AU553" s="112"/>
      <c r="AV553" s="338"/>
      <c r="AW553" s="110"/>
      <c r="AX553" s="110"/>
      <c r="AY553" s="113"/>
      <c r="AZ553" s="113"/>
      <c r="BA553" s="113"/>
      <c r="BB553" s="113"/>
      <c r="BC553" s="113"/>
      <c r="BD553" s="113"/>
      <c r="BF55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54" spans="1:58" x14ac:dyDescent="0.3">
      <c r="A554" s="422"/>
      <c r="B554" s="376"/>
      <c r="C554" s="110"/>
      <c r="D554" s="110"/>
      <c r="E554" s="340"/>
      <c r="F554" s="330"/>
      <c r="G554" s="113"/>
      <c r="H554" s="332"/>
      <c r="I554" s="113"/>
      <c r="J554" s="332"/>
      <c r="K554" s="110"/>
      <c r="L554" s="110"/>
      <c r="M554" s="110"/>
      <c r="N554" s="110"/>
      <c r="O554" s="111"/>
      <c r="P554" s="424" t="str">
        <f>IF(OR(Table13[[#This Row],[Annual Increase Option]]="No increase",Table13[[#This Row],[Annual Increase Option]]=""),"",_xlfn.XLOOKUP(MONTH(Table13[[#This Row],[Commencement Date]]),Lookups!$I$19:$I$30,Lookups!$J$19:$J$30,0))</f>
        <v/>
      </c>
      <c r="Q554" s="340"/>
      <c r="R554" s="340"/>
      <c r="S554" s="360">
        <f>IF(Table13[[#This Row],[Life Cover Amount]]="",0,Table2[[#This Row],[Life Premium]])</f>
        <v>0</v>
      </c>
      <c r="T554" s="360">
        <f>IF(Table13[[#This Row],[Funeral Cover Amount]]=0,0,Table2[[#This Row],[Funeral Premium]])</f>
        <v>0</v>
      </c>
      <c r="U554" s="360">
        <f>IF(AND(Table13[[#This Row],[Life Cover Amount]]="",Table13[[#This Row],[Funeral Cover Amount]]=""),0,onboarding_calcs!AA554)</f>
        <v>0</v>
      </c>
      <c r="V554" s="111"/>
      <c r="W554" s="111"/>
      <c r="X554" s="333"/>
      <c r="Y554" s="110"/>
      <c r="Z554" s="113"/>
      <c r="AA554" s="425"/>
      <c r="AB554" s="425"/>
      <c r="AC554" s="113"/>
      <c r="AD554" s="110"/>
      <c r="AE554" s="110"/>
      <c r="AF554" s="110"/>
      <c r="AG554" s="110"/>
      <c r="AH554" s="110"/>
      <c r="AI554" s="113"/>
      <c r="AJ554" s="110"/>
      <c r="AK554" s="110"/>
      <c r="AL554" s="110"/>
      <c r="AM554" s="110"/>
      <c r="AN554" s="110"/>
      <c r="AO554" s="113"/>
      <c r="AP554" s="113"/>
      <c r="AQ554" s="113"/>
      <c r="AR554" s="110"/>
      <c r="AS554" s="113"/>
      <c r="AT554" s="113"/>
      <c r="AU554" s="112"/>
      <c r="AV554" s="338"/>
      <c r="AW554" s="110"/>
      <c r="AX554" s="110"/>
      <c r="AY554" s="113"/>
      <c r="AZ554" s="113"/>
      <c r="BA554" s="113"/>
      <c r="BB554" s="113"/>
      <c r="BC554" s="113"/>
      <c r="BD554" s="113"/>
      <c r="BF55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55" spans="1:58" x14ac:dyDescent="0.3">
      <c r="A555" s="422"/>
      <c r="B555" s="376"/>
      <c r="C555" s="110"/>
      <c r="D555" s="110"/>
      <c r="E555" s="340"/>
      <c r="F555" s="330"/>
      <c r="G555" s="113"/>
      <c r="H555" s="332"/>
      <c r="I555" s="113"/>
      <c r="J555" s="332"/>
      <c r="K555" s="110"/>
      <c r="L555" s="110"/>
      <c r="M555" s="110"/>
      <c r="N555" s="110"/>
      <c r="O555" s="111"/>
      <c r="P555" s="424" t="str">
        <f>IF(OR(Table13[[#This Row],[Annual Increase Option]]="No increase",Table13[[#This Row],[Annual Increase Option]]=""),"",_xlfn.XLOOKUP(MONTH(Table13[[#This Row],[Commencement Date]]),Lookups!$I$19:$I$30,Lookups!$J$19:$J$30,0))</f>
        <v/>
      </c>
      <c r="Q555" s="340"/>
      <c r="R555" s="340"/>
      <c r="S555" s="360">
        <f>IF(Table13[[#This Row],[Life Cover Amount]]="",0,Table2[[#This Row],[Life Premium]])</f>
        <v>0</v>
      </c>
      <c r="T555" s="360">
        <f>IF(Table13[[#This Row],[Funeral Cover Amount]]=0,0,Table2[[#This Row],[Funeral Premium]])</f>
        <v>0</v>
      </c>
      <c r="U555" s="360">
        <f>IF(AND(Table13[[#This Row],[Life Cover Amount]]="",Table13[[#This Row],[Funeral Cover Amount]]=""),0,onboarding_calcs!AA555)</f>
        <v>0</v>
      </c>
      <c r="V555" s="111"/>
      <c r="W555" s="111"/>
      <c r="X555" s="333"/>
      <c r="Y555" s="110"/>
      <c r="Z555" s="113"/>
      <c r="AA555" s="425"/>
      <c r="AB555" s="425"/>
      <c r="AC555" s="113"/>
      <c r="AD555" s="110"/>
      <c r="AE555" s="110"/>
      <c r="AF555" s="110"/>
      <c r="AG555" s="110"/>
      <c r="AH555" s="110"/>
      <c r="AI555" s="113"/>
      <c r="AJ555" s="110"/>
      <c r="AK555" s="110"/>
      <c r="AL555" s="110"/>
      <c r="AM555" s="110"/>
      <c r="AN555" s="110"/>
      <c r="AO555" s="113"/>
      <c r="AP555" s="113"/>
      <c r="AQ555" s="113"/>
      <c r="AR555" s="110"/>
      <c r="AS555" s="113"/>
      <c r="AT555" s="113"/>
      <c r="AU555" s="112"/>
      <c r="AV555" s="338"/>
      <c r="AW555" s="110"/>
      <c r="AX555" s="110"/>
      <c r="AY555" s="113"/>
      <c r="AZ555" s="113"/>
      <c r="BA555" s="113"/>
      <c r="BB555" s="113"/>
      <c r="BC555" s="113"/>
      <c r="BD555" s="113"/>
      <c r="BF55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56" spans="1:58" x14ac:dyDescent="0.3">
      <c r="A556" s="422"/>
      <c r="B556" s="376"/>
      <c r="C556" s="110"/>
      <c r="D556" s="110"/>
      <c r="E556" s="340"/>
      <c r="F556" s="330"/>
      <c r="G556" s="113"/>
      <c r="H556" s="332"/>
      <c r="I556" s="113"/>
      <c r="J556" s="332"/>
      <c r="K556" s="110"/>
      <c r="L556" s="110"/>
      <c r="M556" s="110"/>
      <c r="N556" s="110"/>
      <c r="O556" s="111"/>
      <c r="P556" s="424" t="str">
        <f>IF(OR(Table13[[#This Row],[Annual Increase Option]]="No increase",Table13[[#This Row],[Annual Increase Option]]=""),"",_xlfn.XLOOKUP(MONTH(Table13[[#This Row],[Commencement Date]]),Lookups!$I$19:$I$30,Lookups!$J$19:$J$30,0))</f>
        <v/>
      </c>
      <c r="Q556" s="340"/>
      <c r="R556" s="340"/>
      <c r="S556" s="360">
        <f>IF(Table13[[#This Row],[Life Cover Amount]]="",0,Table2[[#This Row],[Life Premium]])</f>
        <v>0</v>
      </c>
      <c r="T556" s="360">
        <f>IF(Table13[[#This Row],[Funeral Cover Amount]]=0,0,Table2[[#This Row],[Funeral Premium]])</f>
        <v>0</v>
      </c>
      <c r="U556" s="360">
        <f>IF(AND(Table13[[#This Row],[Life Cover Amount]]="",Table13[[#This Row],[Funeral Cover Amount]]=""),0,onboarding_calcs!AA556)</f>
        <v>0</v>
      </c>
      <c r="V556" s="111"/>
      <c r="W556" s="111"/>
      <c r="X556" s="333"/>
      <c r="Y556" s="110"/>
      <c r="Z556" s="113"/>
      <c r="AA556" s="425"/>
      <c r="AB556" s="425"/>
      <c r="AC556" s="113"/>
      <c r="AD556" s="110"/>
      <c r="AE556" s="110"/>
      <c r="AF556" s="110"/>
      <c r="AG556" s="110"/>
      <c r="AH556" s="110"/>
      <c r="AI556" s="113"/>
      <c r="AJ556" s="110"/>
      <c r="AK556" s="110"/>
      <c r="AL556" s="110"/>
      <c r="AM556" s="110"/>
      <c r="AN556" s="110"/>
      <c r="AO556" s="113"/>
      <c r="AP556" s="113"/>
      <c r="AQ556" s="113"/>
      <c r="AR556" s="110"/>
      <c r="AS556" s="113"/>
      <c r="AT556" s="113"/>
      <c r="AU556" s="112"/>
      <c r="AV556" s="338"/>
      <c r="AW556" s="110"/>
      <c r="AX556" s="110"/>
      <c r="AY556" s="113"/>
      <c r="AZ556" s="113"/>
      <c r="BA556" s="113"/>
      <c r="BB556" s="113"/>
      <c r="BC556" s="113"/>
      <c r="BD556" s="113"/>
      <c r="BF55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57" spans="1:58" x14ac:dyDescent="0.3">
      <c r="A557" s="422"/>
      <c r="B557" s="376"/>
      <c r="C557" s="110"/>
      <c r="D557" s="110"/>
      <c r="E557" s="340"/>
      <c r="F557" s="330"/>
      <c r="G557" s="113"/>
      <c r="H557" s="332"/>
      <c r="I557" s="113"/>
      <c r="J557" s="332"/>
      <c r="K557" s="110"/>
      <c r="L557" s="110"/>
      <c r="M557" s="110"/>
      <c r="N557" s="110"/>
      <c r="O557" s="111"/>
      <c r="P557" s="424" t="str">
        <f>IF(OR(Table13[[#This Row],[Annual Increase Option]]="No increase",Table13[[#This Row],[Annual Increase Option]]=""),"",_xlfn.XLOOKUP(MONTH(Table13[[#This Row],[Commencement Date]]),Lookups!$I$19:$I$30,Lookups!$J$19:$J$30,0))</f>
        <v/>
      </c>
      <c r="Q557" s="340"/>
      <c r="R557" s="340"/>
      <c r="S557" s="360">
        <f>IF(Table13[[#This Row],[Life Cover Amount]]="",0,Table2[[#This Row],[Life Premium]])</f>
        <v>0</v>
      </c>
      <c r="T557" s="360">
        <f>IF(Table13[[#This Row],[Funeral Cover Amount]]=0,0,Table2[[#This Row],[Funeral Premium]])</f>
        <v>0</v>
      </c>
      <c r="U557" s="360">
        <f>IF(AND(Table13[[#This Row],[Life Cover Amount]]="",Table13[[#This Row],[Funeral Cover Amount]]=""),0,onboarding_calcs!AA557)</f>
        <v>0</v>
      </c>
      <c r="V557" s="111"/>
      <c r="W557" s="111"/>
      <c r="X557" s="333"/>
      <c r="Y557" s="110"/>
      <c r="Z557" s="113"/>
      <c r="AA557" s="425"/>
      <c r="AB557" s="425"/>
      <c r="AC557" s="113"/>
      <c r="AD557" s="110"/>
      <c r="AE557" s="110"/>
      <c r="AF557" s="110"/>
      <c r="AG557" s="110"/>
      <c r="AH557" s="110"/>
      <c r="AI557" s="113"/>
      <c r="AJ557" s="110"/>
      <c r="AK557" s="110"/>
      <c r="AL557" s="110"/>
      <c r="AM557" s="110"/>
      <c r="AN557" s="110"/>
      <c r="AO557" s="113"/>
      <c r="AP557" s="113"/>
      <c r="AQ557" s="113"/>
      <c r="AR557" s="110"/>
      <c r="AS557" s="113"/>
      <c r="AT557" s="113"/>
      <c r="AU557" s="112"/>
      <c r="AV557" s="338"/>
      <c r="AW557" s="110"/>
      <c r="AX557" s="110"/>
      <c r="AY557" s="113"/>
      <c r="AZ557" s="113"/>
      <c r="BA557" s="113"/>
      <c r="BB557" s="113"/>
      <c r="BC557" s="113"/>
      <c r="BD557" s="113"/>
      <c r="BF55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58" spans="1:58" x14ac:dyDescent="0.3">
      <c r="A558" s="422"/>
      <c r="B558" s="376"/>
      <c r="C558" s="110"/>
      <c r="D558" s="110"/>
      <c r="E558" s="340"/>
      <c r="F558" s="330"/>
      <c r="G558" s="113"/>
      <c r="H558" s="332"/>
      <c r="I558" s="113"/>
      <c r="J558" s="332"/>
      <c r="K558" s="110"/>
      <c r="L558" s="110"/>
      <c r="M558" s="110"/>
      <c r="N558" s="110"/>
      <c r="O558" s="111"/>
      <c r="P558" s="424" t="str">
        <f>IF(OR(Table13[[#This Row],[Annual Increase Option]]="No increase",Table13[[#This Row],[Annual Increase Option]]=""),"",_xlfn.XLOOKUP(MONTH(Table13[[#This Row],[Commencement Date]]),Lookups!$I$19:$I$30,Lookups!$J$19:$J$30,0))</f>
        <v/>
      </c>
      <c r="Q558" s="340"/>
      <c r="R558" s="340"/>
      <c r="S558" s="360">
        <f>IF(Table13[[#This Row],[Life Cover Amount]]="",0,Table2[[#This Row],[Life Premium]])</f>
        <v>0</v>
      </c>
      <c r="T558" s="360">
        <f>IF(Table13[[#This Row],[Funeral Cover Amount]]=0,0,Table2[[#This Row],[Funeral Premium]])</f>
        <v>0</v>
      </c>
      <c r="U558" s="360">
        <f>IF(AND(Table13[[#This Row],[Life Cover Amount]]="",Table13[[#This Row],[Funeral Cover Amount]]=""),0,onboarding_calcs!AA558)</f>
        <v>0</v>
      </c>
      <c r="V558" s="111"/>
      <c r="W558" s="111"/>
      <c r="X558" s="333"/>
      <c r="Y558" s="110"/>
      <c r="Z558" s="113"/>
      <c r="AA558" s="425"/>
      <c r="AB558" s="425"/>
      <c r="AC558" s="113"/>
      <c r="AD558" s="110"/>
      <c r="AE558" s="110"/>
      <c r="AF558" s="110"/>
      <c r="AG558" s="110"/>
      <c r="AH558" s="110"/>
      <c r="AI558" s="113"/>
      <c r="AJ558" s="110"/>
      <c r="AK558" s="110"/>
      <c r="AL558" s="110"/>
      <c r="AM558" s="110"/>
      <c r="AN558" s="110"/>
      <c r="AO558" s="113"/>
      <c r="AP558" s="113"/>
      <c r="AQ558" s="113"/>
      <c r="AR558" s="110"/>
      <c r="AS558" s="113"/>
      <c r="AT558" s="113"/>
      <c r="AU558" s="112"/>
      <c r="AV558" s="338"/>
      <c r="AW558" s="110"/>
      <c r="AX558" s="110"/>
      <c r="AY558" s="113"/>
      <c r="AZ558" s="113"/>
      <c r="BA558" s="113"/>
      <c r="BB558" s="113"/>
      <c r="BC558" s="113"/>
      <c r="BD558" s="113"/>
      <c r="BF55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59" spans="1:58" x14ac:dyDescent="0.3">
      <c r="A559" s="422"/>
      <c r="B559" s="376"/>
      <c r="C559" s="110"/>
      <c r="D559" s="110"/>
      <c r="E559" s="340"/>
      <c r="F559" s="330"/>
      <c r="G559" s="113"/>
      <c r="H559" s="332"/>
      <c r="I559" s="113"/>
      <c r="J559" s="332"/>
      <c r="K559" s="110"/>
      <c r="L559" s="110"/>
      <c r="M559" s="110"/>
      <c r="N559" s="110"/>
      <c r="O559" s="111"/>
      <c r="P559" s="424" t="str">
        <f>IF(OR(Table13[[#This Row],[Annual Increase Option]]="No increase",Table13[[#This Row],[Annual Increase Option]]=""),"",_xlfn.XLOOKUP(MONTH(Table13[[#This Row],[Commencement Date]]),Lookups!$I$19:$I$30,Lookups!$J$19:$J$30,0))</f>
        <v/>
      </c>
      <c r="Q559" s="340"/>
      <c r="R559" s="340"/>
      <c r="S559" s="360">
        <f>IF(Table13[[#This Row],[Life Cover Amount]]="",0,Table2[[#This Row],[Life Premium]])</f>
        <v>0</v>
      </c>
      <c r="T559" s="360">
        <f>IF(Table13[[#This Row],[Funeral Cover Amount]]=0,0,Table2[[#This Row],[Funeral Premium]])</f>
        <v>0</v>
      </c>
      <c r="U559" s="360">
        <f>IF(AND(Table13[[#This Row],[Life Cover Amount]]="",Table13[[#This Row],[Funeral Cover Amount]]=""),0,onboarding_calcs!AA559)</f>
        <v>0</v>
      </c>
      <c r="V559" s="111"/>
      <c r="W559" s="111"/>
      <c r="X559" s="333"/>
      <c r="Y559" s="110"/>
      <c r="Z559" s="113"/>
      <c r="AA559" s="425"/>
      <c r="AB559" s="425"/>
      <c r="AC559" s="113"/>
      <c r="AD559" s="110"/>
      <c r="AE559" s="110"/>
      <c r="AF559" s="110"/>
      <c r="AG559" s="110"/>
      <c r="AH559" s="110"/>
      <c r="AI559" s="113"/>
      <c r="AJ559" s="110"/>
      <c r="AK559" s="110"/>
      <c r="AL559" s="110"/>
      <c r="AM559" s="110"/>
      <c r="AN559" s="110"/>
      <c r="AO559" s="113"/>
      <c r="AP559" s="113"/>
      <c r="AQ559" s="113"/>
      <c r="AR559" s="110"/>
      <c r="AS559" s="113"/>
      <c r="AT559" s="113"/>
      <c r="AU559" s="112"/>
      <c r="AV559" s="338"/>
      <c r="AW559" s="110"/>
      <c r="AX559" s="110"/>
      <c r="AY559" s="113"/>
      <c r="AZ559" s="113"/>
      <c r="BA559" s="113"/>
      <c r="BB559" s="113"/>
      <c r="BC559" s="113"/>
      <c r="BD559" s="113"/>
      <c r="BF55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60" spans="1:58" x14ac:dyDescent="0.3">
      <c r="A560" s="422"/>
      <c r="B560" s="376"/>
      <c r="C560" s="110"/>
      <c r="D560" s="110"/>
      <c r="E560" s="340"/>
      <c r="F560" s="330"/>
      <c r="G560" s="113"/>
      <c r="H560" s="332"/>
      <c r="I560" s="113"/>
      <c r="J560" s="332"/>
      <c r="K560" s="110"/>
      <c r="L560" s="110"/>
      <c r="M560" s="110"/>
      <c r="N560" s="110"/>
      <c r="O560" s="111"/>
      <c r="P560" s="424" t="str">
        <f>IF(OR(Table13[[#This Row],[Annual Increase Option]]="No increase",Table13[[#This Row],[Annual Increase Option]]=""),"",_xlfn.XLOOKUP(MONTH(Table13[[#This Row],[Commencement Date]]),Lookups!$I$19:$I$30,Lookups!$J$19:$J$30,0))</f>
        <v/>
      </c>
      <c r="Q560" s="340"/>
      <c r="R560" s="340"/>
      <c r="S560" s="360">
        <f>IF(Table13[[#This Row],[Life Cover Amount]]="",0,Table2[[#This Row],[Life Premium]])</f>
        <v>0</v>
      </c>
      <c r="T560" s="360">
        <f>IF(Table13[[#This Row],[Funeral Cover Amount]]=0,0,Table2[[#This Row],[Funeral Premium]])</f>
        <v>0</v>
      </c>
      <c r="U560" s="360">
        <f>IF(AND(Table13[[#This Row],[Life Cover Amount]]="",Table13[[#This Row],[Funeral Cover Amount]]=""),0,onboarding_calcs!AA560)</f>
        <v>0</v>
      </c>
      <c r="V560" s="111"/>
      <c r="W560" s="111"/>
      <c r="X560" s="333"/>
      <c r="Y560" s="110"/>
      <c r="Z560" s="113"/>
      <c r="AA560" s="425"/>
      <c r="AB560" s="425"/>
      <c r="AC560" s="113"/>
      <c r="AD560" s="110"/>
      <c r="AE560" s="110"/>
      <c r="AF560" s="110"/>
      <c r="AG560" s="110"/>
      <c r="AH560" s="110"/>
      <c r="AI560" s="113"/>
      <c r="AJ560" s="110"/>
      <c r="AK560" s="110"/>
      <c r="AL560" s="110"/>
      <c r="AM560" s="110"/>
      <c r="AN560" s="110"/>
      <c r="AO560" s="113"/>
      <c r="AP560" s="113"/>
      <c r="AQ560" s="113"/>
      <c r="AR560" s="110"/>
      <c r="AS560" s="113"/>
      <c r="AT560" s="113"/>
      <c r="AU560" s="112"/>
      <c r="AV560" s="338"/>
      <c r="AW560" s="110"/>
      <c r="AX560" s="110"/>
      <c r="AY560" s="113"/>
      <c r="AZ560" s="113"/>
      <c r="BA560" s="113"/>
      <c r="BB560" s="113"/>
      <c r="BC560" s="113"/>
      <c r="BD560" s="113"/>
      <c r="BF56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61" spans="1:58" x14ac:dyDescent="0.3">
      <c r="A561" s="422"/>
      <c r="B561" s="376"/>
      <c r="C561" s="110"/>
      <c r="D561" s="110"/>
      <c r="E561" s="340"/>
      <c r="F561" s="330"/>
      <c r="G561" s="113"/>
      <c r="H561" s="332"/>
      <c r="I561" s="113"/>
      <c r="J561" s="332"/>
      <c r="K561" s="110"/>
      <c r="L561" s="110"/>
      <c r="M561" s="110"/>
      <c r="N561" s="110"/>
      <c r="O561" s="111"/>
      <c r="P561" s="424" t="str">
        <f>IF(OR(Table13[[#This Row],[Annual Increase Option]]="No increase",Table13[[#This Row],[Annual Increase Option]]=""),"",_xlfn.XLOOKUP(MONTH(Table13[[#This Row],[Commencement Date]]),Lookups!$I$19:$I$30,Lookups!$J$19:$J$30,0))</f>
        <v/>
      </c>
      <c r="Q561" s="340"/>
      <c r="R561" s="340"/>
      <c r="S561" s="360">
        <f>IF(Table13[[#This Row],[Life Cover Amount]]="",0,Table2[[#This Row],[Life Premium]])</f>
        <v>0</v>
      </c>
      <c r="T561" s="360">
        <f>IF(Table13[[#This Row],[Funeral Cover Amount]]=0,0,Table2[[#This Row],[Funeral Premium]])</f>
        <v>0</v>
      </c>
      <c r="U561" s="360">
        <f>IF(AND(Table13[[#This Row],[Life Cover Amount]]="",Table13[[#This Row],[Funeral Cover Amount]]=""),0,onboarding_calcs!AA561)</f>
        <v>0</v>
      </c>
      <c r="V561" s="111"/>
      <c r="W561" s="111"/>
      <c r="X561" s="333"/>
      <c r="Y561" s="110"/>
      <c r="Z561" s="113"/>
      <c r="AA561" s="425"/>
      <c r="AB561" s="425"/>
      <c r="AC561" s="113"/>
      <c r="AD561" s="110"/>
      <c r="AE561" s="110"/>
      <c r="AF561" s="110"/>
      <c r="AG561" s="110"/>
      <c r="AH561" s="110"/>
      <c r="AI561" s="113"/>
      <c r="AJ561" s="110"/>
      <c r="AK561" s="110"/>
      <c r="AL561" s="110"/>
      <c r="AM561" s="110"/>
      <c r="AN561" s="110"/>
      <c r="AO561" s="113"/>
      <c r="AP561" s="113"/>
      <c r="AQ561" s="113"/>
      <c r="AR561" s="110"/>
      <c r="AS561" s="113"/>
      <c r="AT561" s="113"/>
      <c r="AU561" s="112"/>
      <c r="AV561" s="338"/>
      <c r="AW561" s="110"/>
      <c r="AX561" s="110"/>
      <c r="AY561" s="113"/>
      <c r="AZ561" s="113"/>
      <c r="BA561" s="113"/>
      <c r="BB561" s="113"/>
      <c r="BC561" s="113"/>
      <c r="BD561" s="113"/>
      <c r="BF56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62" spans="1:58" x14ac:dyDescent="0.3">
      <c r="A562" s="422"/>
      <c r="B562" s="376"/>
      <c r="C562" s="110"/>
      <c r="D562" s="110"/>
      <c r="E562" s="340"/>
      <c r="F562" s="330"/>
      <c r="G562" s="113"/>
      <c r="H562" s="332"/>
      <c r="I562" s="113"/>
      <c r="J562" s="332"/>
      <c r="K562" s="110"/>
      <c r="L562" s="110"/>
      <c r="M562" s="110"/>
      <c r="N562" s="110"/>
      <c r="O562" s="111"/>
      <c r="P562" s="424" t="str">
        <f>IF(OR(Table13[[#This Row],[Annual Increase Option]]="No increase",Table13[[#This Row],[Annual Increase Option]]=""),"",_xlfn.XLOOKUP(MONTH(Table13[[#This Row],[Commencement Date]]),Lookups!$I$19:$I$30,Lookups!$J$19:$J$30,0))</f>
        <v/>
      </c>
      <c r="Q562" s="340"/>
      <c r="R562" s="340"/>
      <c r="S562" s="360">
        <f>IF(Table13[[#This Row],[Life Cover Amount]]="",0,Table2[[#This Row],[Life Premium]])</f>
        <v>0</v>
      </c>
      <c r="T562" s="360">
        <f>IF(Table13[[#This Row],[Funeral Cover Amount]]=0,0,Table2[[#This Row],[Funeral Premium]])</f>
        <v>0</v>
      </c>
      <c r="U562" s="360">
        <f>IF(AND(Table13[[#This Row],[Life Cover Amount]]="",Table13[[#This Row],[Funeral Cover Amount]]=""),0,onboarding_calcs!AA562)</f>
        <v>0</v>
      </c>
      <c r="V562" s="111"/>
      <c r="W562" s="111"/>
      <c r="X562" s="333"/>
      <c r="Y562" s="110"/>
      <c r="Z562" s="113"/>
      <c r="AA562" s="425"/>
      <c r="AB562" s="425"/>
      <c r="AC562" s="113"/>
      <c r="AD562" s="110"/>
      <c r="AE562" s="110"/>
      <c r="AF562" s="110"/>
      <c r="AG562" s="110"/>
      <c r="AH562" s="110"/>
      <c r="AI562" s="113"/>
      <c r="AJ562" s="110"/>
      <c r="AK562" s="110"/>
      <c r="AL562" s="110"/>
      <c r="AM562" s="110"/>
      <c r="AN562" s="110"/>
      <c r="AO562" s="113"/>
      <c r="AP562" s="113"/>
      <c r="AQ562" s="113"/>
      <c r="AR562" s="110"/>
      <c r="AS562" s="113"/>
      <c r="AT562" s="113"/>
      <c r="AU562" s="112"/>
      <c r="AV562" s="338"/>
      <c r="AW562" s="110"/>
      <c r="AX562" s="110"/>
      <c r="AY562" s="113"/>
      <c r="AZ562" s="113"/>
      <c r="BA562" s="113"/>
      <c r="BB562" s="113"/>
      <c r="BC562" s="113"/>
      <c r="BD562" s="113"/>
      <c r="BF56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63" spans="1:58" x14ac:dyDescent="0.3">
      <c r="A563" s="422"/>
      <c r="B563" s="376"/>
      <c r="C563" s="110"/>
      <c r="D563" s="110"/>
      <c r="E563" s="340"/>
      <c r="F563" s="330"/>
      <c r="G563" s="113"/>
      <c r="H563" s="332"/>
      <c r="I563" s="113"/>
      <c r="J563" s="332"/>
      <c r="K563" s="110"/>
      <c r="L563" s="110"/>
      <c r="M563" s="110"/>
      <c r="N563" s="110"/>
      <c r="O563" s="111"/>
      <c r="P563" s="424" t="str">
        <f>IF(OR(Table13[[#This Row],[Annual Increase Option]]="No increase",Table13[[#This Row],[Annual Increase Option]]=""),"",_xlfn.XLOOKUP(MONTH(Table13[[#This Row],[Commencement Date]]),Lookups!$I$19:$I$30,Lookups!$J$19:$J$30,0))</f>
        <v/>
      </c>
      <c r="Q563" s="340"/>
      <c r="R563" s="340"/>
      <c r="S563" s="360">
        <f>IF(Table13[[#This Row],[Life Cover Amount]]="",0,Table2[[#This Row],[Life Premium]])</f>
        <v>0</v>
      </c>
      <c r="T563" s="360">
        <f>IF(Table13[[#This Row],[Funeral Cover Amount]]=0,0,Table2[[#This Row],[Funeral Premium]])</f>
        <v>0</v>
      </c>
      <c r="U563" s="360">
        <f>IF(AND(Table13[[#This Row],[Life Cover Amount]]="",Table13[[#This Row],[Funeral Cover Amount]]=""),0,onboarding_calcs!AA563)</f>
        <v>0</v>
      </c>
      <c r="V563" s="111"/>
      <c r="W563" s="111"/>
      <c r="X563" s="333"/>
      <c r="Y563" s="110"/>
      <c r="Z563" s="113"/>
      <c r="AA563" s="425"/>
      <c r="AB563" s="425"/>
      <c r="AC563" s="113"/>
      <c r="AD563" s="110"/>
      <c r="AE563" s="110"/>
      <c r="AF563" s="110"/>
      <c r="AG563" s="110"/>
      <c r="AH563" s="110"/>
      <c r="AI563" s="113"/>
      <c r="AJ563" s="110"/>
      <c r="AK563" s="110"/>
      <c r="AL563" s="110"/>
      <c r="AM563" s="110"/>
      <c r="AN563" s="110"/>
      <c r="AO563" s="113"/>
      <c r="AP563" s="113"/>
      <c r="AQ563" s="113"/>
      <c r="AR563" s="110"/>
      <c r="AS563" s="113"/>
      <c r="AT563" s="113"/>
      <c r="AU563" s="112"/>
      <c r="AV563" s="338"/>
      <c r="AW563" s="110"/>
      <c r="AX563" s="110"/>
      <c r="AY563" s="113"/>
      <c r="AZ563" s="113"/>
      <c r="BA563" s="113"/>
      <c r="BB563" s="113"/>
      <c r="BC563" s="113"/>
      <c r="BD563" s="113"/>
      <c r="BF56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64" spans="1:58" x14ac:dyDescent="0.3">
      <c r="A564" s="422"/>
      <c r="B564" s="376"/>
      <c r="C564" s="110"/>
      <c r="D564" s="110"/>
      <c r="E564" s="340"/>
      <c r="F564" s="330"/>
      <c r="G564" s="113"/>
      <c r="H564" s="332"/>
      <c r="I564" s="113"/>
      <c r="J564" s="332"/>
      <c r="K564" s="110"/>
      <c r="L564" s="110"/>
      <c r="M564" s="110"/>
      <c r="N564" s="110"/>
      <c r="O564" s="111"/>
      <c r="P564" s="424" t="str">
        <f>IF(OR(Table13[[#This Row],[Annual Increase Option]]="No increase",Table13[[#This Row],[Annual Increase Option]]=""),"",_xlfn.XLOOKUP(MONTH(Table13[[#This Row],[Commencement Date]]),Lookups!$I$19:$I$30,Lookups!$J$19:$J$30,0))</f>
        <v/>
      </c>
      <c r="Q564" s="340"/>
      <c r="R564" s="340"/>
      <c r="S564" s="360">
        <f>IF(Table13[[#This Row],[Life Cover Amount]]="",0,Table2[[#This Row],[Life Premium]])</f>
        <v>0</v>
      </c>
      <c r="T564" s="360">
        <f>IF(Table13[[#This Row],[Funeral Cover Amount]]=0,0,Table2[[#This Row],[Funeral Premium]])</f>
        <v>0</v>
      </c>
      <c r="U564" s="360">
        <f>IF(AND(Table13[[#This Row],[Life Cover Amount]]="",Table13[[#This Row],[Funeral Cover Amount]]=""),0,onboarding_calcs!AA564)</f>
        <v>0</v>
      </c>
      <c r="V564" s="111"/>
      <c r="W564" s="111"/>
      <c r="X564" s="333"/>
      <c r="Y564" s="110"/>
      <c r="Z564" s="113"/>
      <c r="AA564" s="425"/>
      <c r="AB564" s="425"/>
      <c r="AC564" s="113"/>
      <c r="AD564" s="110"/>
      <c r="AE564" s="110"/>
      <c r="AF564" s="110"/>
      <c r="AG564" s="110"/>
      <c r="AH564" s="110"/>
      <c r="AI564" s="113"/>
      <c r="AJ564" s="110"/>
      <c r="AK564" s="110"/>
      <c r="AL564" s="110"/>
      <c r="AM564" s="110"/>
      <c r="AN564" s="110"/>
      <c r="AO564" s="113"/>
      <c r="AP564" s="113"/>
      <c r="AQ564" s="113"/>
      <c r="AR564" s="110"/>
      <c r="AS564" s="113"/>
      <c r="AT564" s="113"/>
      <c r="AU564" s="112"/>
      <c r="AV564" s="338"/>
      <c r="AW564" s="110"/>
      <c r="AX564" s="110"/>
      <c r="AY564" s="113"/>
      <c r="AZ564" s="113"/>
      <c r="BA564" s="113"/>
      <c r="BB564" s="113"/>
      <c r="BC564" s="113"/>
      <c r="BD564" s="113"/>
      <c r="BF56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65" spans="1:58" x14ac:dyDescent="0.3">
      <c r="A565" s="422"/>
      <c r="B565" s="376"/>
      <c r="C565" s="110"/>
      <c r="D565" s="110"/>
      <c r="E565" s="340"/>
      <c r="F565" s="330"/>
      <c r="G565" s="113"/>
      <c r="H565" s="332"/>
      <c r="I565" s="113"/>
      <c r="J565" s="332"/>
      <c r="K565" s="110"/>
      <c r="L565" s="110"/>
      <c r="M565" s="110"/>
      <c r="N565" s="110"/>
      <c r="O565" s="111"/>
      <c r="P565" s="424" t="str">
        <f>IF(OR(Table13[[#This Row],[Annual Increase Option]]="No increase",Table13[[#This Row],[Annual Increase Option]]=""),"",_xlfn.XLOOKUP(MONTH(Table13[[#This Row],[Commencement Date]]),Lookups!$I$19:$I$30,Lookups!$J$19:$J$30,0))</f>
        <v/>
      </c>
      <c r="Q565" s="340"/>
      <c r="R565" s="340"/>
      <c r="S565" s="360">
        <f>IF(Table13[[#This Row],[Life Cover Amount]]="",0,Table2[[#This Row],[Life Premium]])</f>
        <v>0</v>
      </c>
      <c r="T565" s="360">
        <f>IF(Table13[[#This Row],[Funeral Cover Amount]]=0,0,Table2[[#This Row],[Funeral Premium]])</f>
        <v>0</v>
      </c>
      <c r="U565" s="360">
        <f>IF(AND(Table13[[#This Row],[Life Cover Amount]]="",Table13[[#This Row],[Funeral Cover Amount]]=""),0,onboarding_calcs!AA565)</f>
        <v>0</v>
      </c>
      <c r="V565" s="111"/>
      <c r="W565" s="111"/>
      <c r="X565" s="333"/>
      <c r="Y565" s="110"/>
      <c r="Z565" s="113"/>
      <c r="AA565" s="425"/>
      <c r="AB565" s="425"/>
      <c r="AC565" s="113"/>
      <c r="AD565" s="110"/>
      <c r="AE565" s="110"/>
      <c r="AF565" s="110"/>
      <c r="AG565" s="110"/>
      <c r="AH565" s="110"/>
      <c r="AI565" s="113"/>
      <c r="AJ565" s="110"/>
      <c r="AK565" s="110"/>
      <c r="AL565" s="110"/>
      <c r="AM565" s="110"/>
      <c r="AN565" s="110"/>
      <c r="AO565" s="113"/>
      <c r="AP565" s="113"/>
      <c r="AQ565" s="113"/>
      <c r="AR565" s="110"/>
      <c r="AS565" s="113"/>
      <c r="AT565" s="113"/>
      <c r="AU565" s="112"/>
      <c r="AV565" s="338"/>
      <c r="AW565" s="110"/>
      <c r="AX565" s="110"/>
      <c r="AY565" s="113"/>
      <c r="AZ565" s="113"/>
      <c r="BA565" s="113"/>
      <c r="BB565" s="113"/>
      <c r="BC565" s="113"/>
      <c r="BD565" s="113"/>
      <c r="BF56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66" spans="1:58" x14ac:dyDescent="0.3">
      <c r="A566" s="422"/>
      <c r="B566" s="376"/>
      <c r="C566" s="110"/>
      <c r="D566" s="110"/>
      <c r="E566" s="340"/>
      <c r="F566" s="330"/>
      <c r="G566" s="113"/>
      <c r="H566" s="332"/>
      <c r="I566" s="113"/>
      <c r="J566" s="332"/>
      <c r="K566" s="110"/>
      <c r="L566" s="110"/>
      <c r="M566" s="110"/>
      <c r="N566" s="110"/>
      <c r="O566" s="111"/>
      <c r="P566" s="424" t="str">
        <f>IF(OR(Table13[[#This Row],[Annual Increase Option]]="No increase",Table13[[#This Row],[Annual Increase Option]]=""),"",_xlfn.XLOOKUP(MONTH(Table13[[#This Row],[Commencement Date]]),Lookups!$I$19:$I$30,Lookups!$J$19:$J$30,0))</f>
        <v/>
      </c>
      <c r="Q566" s="340"/>
      <c r="R566" s="340"/>
      <c r="S566" s="360">
        <f>IF(Table13[[#This Row],[Life Cover Amount]]="",0,Table2[[#This Row],[Life Premium]])</f>
        <v>0</v>
      </c>
      <c r="T566" s="360">
        <f>IF(Table13[[#This Row],[Funeral Cover Amount]]=0,0,Table2[[#This Row],[Funeral Premium]])</f>
        <v>0</v>
      </c>
      <c r="U566" s="360">
        <f>IF(AND(Table13[[#This Row],[Life Cover Amount]]="",Table13[[#This Row],[Funeral Cover Amount]]=""),0,onboarding_calcs!AA566)</f>
        <v>0</v>
      </c>
      <c r="V566" s="111"/>
      <c r="W566" s="111"/>
      <c r="X566" s="333"/>
      <c r="Y566" s="110"/>
      <c r="Z566" s="113"/>
      <c r="AA566" s="425"/>
      <c r="AB566" s="425"/>
      <c r="AC566" s="113"/>
      <c r="AD566" s="110"/>
      <c r="AE566" s="110"/>
      <c r="AF566" s="110"/>
      <c r="AG566" s="110"/>
      <c r="AH566" s="110"/>
      <c r="AI566" s="113"/>
      <c r="AJ566" s="110"/>
      <c r="AK566" s="110"/>
      <c r="AL566" s="110"/>
      <c r="AM566" s="110"/>
      <c r="AN566" s="110"/>
      <c r="AO566" s="113"/>
      <c r="AP566" s="113"/>
      <c r="AQ566" s="113"/>
      <c r="AR566" s="110"/>
      <c r="AS566" s="113"/>
      <c r="AT566" s="113"/>
      <c r="AU566" s="112"/>
      <c r="AV566" s="338"/>
      <c r="AW566" s="110"/>
      <c r="AX566" s="110"/>
      <c r="AY566" s="113"/>
      <c r="AZ566" s="113"/>
      <c r="BA566" s="113"/>
      <c r="BB566" s="113"/>
      <c r="BC566" s="113"/>
      <c r="BD566" s="113"/>
      <c r="BF56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67" spans="1:58" x14ac:dyDescent="0.3">
      <c r="A567" s="422"/>
      <c r="B567" s="376"/>
      <c r="C567" s="110"/>
      <c r="D567" s="110"/>
      <c r="E567" s="340"/>
      <c r="F567" s="330"/>
      <c r="G567" s="113"/>
      <c r="H567" s="332"/>
      <c r="I567" s="113"/>
      <c r="J567" s="332"/>
      <c r="K567" s="110"/>
      <c r="L567" s="110"/>
      <c r="M567" s="110"/>
      <c r="N567" s="110"/>
      <c r="O567" s="111"/>
      <c r="P567" s="424" t="str">
        <f>IF(OR(Table13[[#This Row],[Annual Increase Option]]="No increase",Table13[[#This Row],[Annual Increase Option]]=""),"",_xlfn.XLOOKUP(MONTH(Table13[[#This Row],[Commencement Date]]),Lookups!$I$19:$I$30,Lookups!$J$19:$J$30,0))</f>
        <v/>
      </c>
      <c r="Q567" s="340"/>
      <c r="R567" s="340"/>
      <c r="S567" s="360">
        <f>IF(Table13[[#This Row],[Life Cover Amount]]="",0,Table2[[#This Row],[Life Premium]])</f>
        <v>0</v>
      </c>
      <c r="T567" s="360">
        <f>IF(Table13[[#This Row],[Funeral Cover Amount]]=0,0,Table2[[#This Row],[Funeral Premium]])</f>
        <v>0</v>
      </c>
      <c r="U567" s="360">
        <f>IF(AND(Table13[[#This Row],[Life Cover Amount]]="",Table13[[#This Row],[Funeral Cover Amount]]=""),0,onboarding_calcs!AA567)</f>
        <v>0</v>
      </c>
      <c r="V567" s="111"/>
      <c r="W567" s="111"/>
      <c r="X567" s="333"/>
      <c r="Y567" s="110"/>
      <c r="Z567" s="113"/>
      <c r="AA567" s="425"/>
      <c r="AB567" s="425"/>
      <c r="AC567" s="113"/>
      <c r="AD567" s="110"/>
      <c r="AE567" s="110"/>
      <c r="AF567" s="110"/>
      <c r="AG567" s="110"/>
      <c r="AH567" s="110"/>
      <c r="AI567" s="113"/>
      <c r="AJ567" s="110"/>
      <c r="AK567" s="110"/>
      <c r="AL567" s="110"/>
      <c r="AM567" s="110"/>
      <c r="AN567" s="110"/>
      <c r="AO567" s="113"/>
      <c r="AP567" s="113"/>
      <c r="AQ567" s="113"/>
      <c r="AR567" s="110"/>
      <c r="AS567" s="113"/>
      <c r="AT567" s="113"/>
      <c r="AU567" s="112"/>
      <c r="AV567" s="338"/>
      <c r="AW567" s="110"/>
      <c r="AX567" s="110"/>
      <c r="AY567" s="113"/>
      <c r="AZ567" s="113"/>
      <c r="BA567" s="113"/>
      <c r="BB567" s="113"/>
      <c r="BC567" s="113"/>
      <c r="BD567" s="113"/>
      <c r="BF56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68" spans="1:58" x14ac:dyDescent="0.3">
      <c r="A568" s="422"/>
      <c r="B568" s="376"/>
      <c r="C568" s="110"/>
      <c r="D568" s="110"/>
      <c r="E568" s="340"/>
      <c r="F568" s="330"/>
      <c r="G568" s="113"/>
      <c r="H568" s="332"/>
      <c r="I568" s="113"/>
      <c r="J568" s="332"/>
      <c r="K568" s="110"/>
      <c r="L568" s="110"/>
      <c r="M568" s="110"/>
      <c r="N568" s="110"/>
      <c r="O568" s="111"/>
      <c r="P568" s="424" t="str">
        <f>IF(OR(Table13[[#This Row],[Annual Increase Option]]="No increase",Table13[[#This Row],[Annual Increase Option]]=""),"",_xlfn.XLOOKUP(MONTH(Table13[[#This Row],[Commencement Date]]),Lookups!$I$19:$I$30,Lookups!$J$19:$J$30,0))</f>
        <v/>
      </c>
      <c r="Q568" s="340"/>
      <c r="R568" s="340"/>
      <c r="S568" s="360">
        <f>IF(Table13[[#This Row],[Life Cover Amount]]="",0,Table2[[#This Row],[Life Premium]])</f>
        <v>0</v>
      </c>
      <c r="T568" s="360">
        <f>IF(Table13[[#This Row],[Funeral Cover Amount]]=0,0,Table2[[#This Row],[Funeral Premium]])</f>
        <v>0</v>
      </c>
      <c r="U568" s="360">
        <f>IF(AND(Table13[[#This Row],[Life Cover Amount]]="",Table13[[#This Row],[Funeral Cover Amount]]=""),0,onboarding_calcs!AA568)</f>
        <v>0</v>
      </c>
      <c r="V568" s="111"/>
      <c r="W568" s="111"/>
      <c r="X568" s="333"/>
      <c r="Y568" s="110"/>
      <c r="Z568" s="113"/>
      <c r="AA568" s="425"/>
      <c r="AB568" s="425"/>
      <c r="AC568" s="113"/>
      <c r="AD568" s="110"/>
      <c r="AE568" s="110"/>
      <c r="AF568" s="110"/>
      <c r="AG568" s="110"/>
      <c r="AH568" s="110"/>
      <c r="AI568" s="113"/>
      <c r="AJ568" s="110"/>
      <c r="AK568" s="110"/>
      <c r="AL568" s="110"/>
      <c r="AM568" s="110"/>
      <c r="AN568" s="110"/>
      <c r="AO568" s="113"/>
      <c r="AP568" s="113"/>
      <c r="AQ568" s="113"/>
      <c r="AR568" s="110"/>
      <c r="AS568" s="113"/>
      <c r="AT568" s="113"/>
      <c r="AU568" s="112"/>
      <c r="AV568" s="338"/>
      <c r="AW568" s="110"/>
      <c r="AX568" s="110"/>
      <c r="AY568" s="113"/>
      <c r="AZ568" s="113"/>
      <c r="BA568" s="113"/>
      <c r="BB568" s="113"/>
      <c r="BC568" s="113"/>
      <c r="BD568" s="113"/>
      <c r="BF56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69" spans="1:58" x14ac:dyDescent="0.3">
      <c r="A569" s="422"/>
      <c r="B569" s="376"/>
      <c r="C569" s="110"/>
      <c r="D569" s="110"/>
      <c r="E569" s="340"/>
      <c r="F569" s="330"/>
      <c r="G569" s="113"/>
      <c r="H569" s="332"/>
      <c r="I569" s="113"/>
      <c r="J569" s="332"/>
      <c r="K569" s="110"/>
      <c r="L569" s="110"/>
      <c r="M569" s="110"/>
      <c r="N569" s="110"/>
      <c r="O569" s="111"/>
      <c r="P569" s="424" t="str">
        <f>IF(OR(Table13[[#This Row],[Annual Increase Option]]="No increase",Table13[[#This Row],[Annual Increase Option]]=""),"",_xlfn.XLOOKUP(MONTH(Table13[[#This Row],[Commencement Date]]),Lookups!$I$19:$I$30,Lookups!$J$19:$J$30,0))</f>
        <v/>
      </c>
      <c r="Q569" s="340"/>
      <c r="R569" s="340"/>
      <c r="S569" s="360">
        <f>IF(Table13[[#This Row],[Life Cover Amount]]="",0,Table2[[#This Row],[Life Premium]])</f>
        <v>0</v>
      </c>
      <c r="T569" s="360">
        <f>IF(Table13[[#This Row],[Funeral Cover Amount]]=0,0,Table2[[#This Row],[Funeral Premium]])</f>
        <v>0</v>
      </c>
      <c r="U569" s="360">
        <f>IF(AND(Table13[[#This Row],[Life Cover Amount]]="",Table13[[#This Row],[Funeral Cover Amount]]=""),0,onboarding_calcs!AA569)</f>
        <v>0</v>
      </c>
      <c r="V569" s="111"/>
      <c r="W569" s="111"/>
      <c r="X569" s="333"/>
      <c r="Y569" s="110"/>
      <c r="Z569" s="113"/>
      <c r="AA569" s="425"/>
      <c r="AB569" s="425"/>
      <c r="AC569" s="113"/>
      <c r="AD569" s="110"/>
      <c r="AE569" s="110"/>
      <c r="AF569" s="110"/>
      <c r="AG569" s="110"/>
      <c r="AH569" s="110"/>
      <c r="AI569" s="113"/>
      <c r="AJ569" s="110"/>
      <c r="AK569" s="110"/>
      <c r="AL569" s="110"/>
      <c r="AM569" s="110"/>
      <c r="AN569" s="110"/>
      <c r="AO569" s="113"/>
      <c r="AP569" s="113"/>
      <c r="AQ569" s="113"/>
      <c r="AR569" s="110"/>
      <c r="AS569" s="113"/>
      <c r="AT569" s="113"/>
      <c r="AU569" s="112"/>
      <c r="AV569" s="338"/>
      <c r="AW569" s="110"/>
      <c r="AX569" s="110"/>
      <c r="AY569" s="113"/>
      <c r="AZ569" s="113"/>
      <c r="BA569" s="113"/>
      <c r="BB569" s="113"/>
      <c r="BC569" s="113"/>
      <c r="BD569" s="113"/>
      <c r="BF56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70" spans="1:58" x14ac:dyDescent="0.3">
      <c r="A570" s="422"/>
      <c r="B570" s="376"/>
      <c r="C570" s="110"/>
      <c r="D570" s="110"/>
      <c r="E570" s="340"/>
      <c r="F570" s="330"/>
      <c r="G570" s="113"/>
      <c r="H570" s="332"/>
      <c r="I570" s="113"/>
      <c r="J570" s="332"/>
      <c r="K570" s="110"/>
      <c r="L570" s="110"/>
      <c r="M570" s="110"/>
      <c r="N570" s="110"/>
      <c r="O570" s="111"/>
      <c r="P570" s="424" t="str">
        <f>IF(OR(Table13[[#This Row],[Annual Increase Option]]="No increase",Table13[[#This Row],[Annual Increase Option]]=""),"",_xlfn.XLOOKUP(MONTH(Table13[[#This Row],[Commencement Date]]),Lookups!$I$19:$I$30,Lookups!$J$19:$J$30,0))</f>
        <v/>
      </c>
      <c r="Q570" s="340"/>
      <c r="R570" s="340"/>
      <c r="S570" s="360">
        <f>IF(Table13[[#This Row],[Life Cover Amount]]="",0,Table2[[#This Row],[Life Premium]])</f>
        <v>0</v>
      </c>
      <c r="T570" s="360">
        <f>IF(Table13[[#This Row],[Funeral Cover Amount]]=0,0,Table2[[#This Row],[Funeral Premium]])</f>
        <v>0</v>
      </c>
      <c r="U570" s="360">
        <f>IF(AND(Table13[[#This Row],[Life Cover Amount]]="",Table13[[#This Row],[Funeral Cover Amount]]=""),0,onboarding_calcs!AA570)</f>
        <v>0</v>
      </c>
      <c r="V570" s="111"/>
      <c r="W570" s="111"/>
      <c r="X570" s="333"/>
      <c r="Y570" s="110"/>
      <c r="Z570" s="113"/>
      <c r="AA570" s="425"/>
      <c r="AB570" s="425"/>
      <c r="AC570" s="113"/>
      <c r="AD570" s="110"/>
      <c r="AE570" s="110"/>
      <c r="AF570" s="110"/>
      <c r="AG570" s="110"/>
      <c r="AH570" s="110"/>
      <c r="AI570" s="113"/>
      <c r="AJ570" s="110"/>
      <c r="AK570" s="110"/>
      <c r="AL570" s="110"/>
      <c r="AM570" s="110"/>
      <c r="AN570" s="110"/>
      <c r="AO570" s="113"/>
      <c r="AP570" s="113"/>
      <c r="AQ570" s="113"/>
      <c r="AR570" s="110"/>
      <c r="AS570" s="113"/>
      <c r="AT570" s="113"/>
      <c r="AU570" s="112"/>
      <c r="AV570" s="338"/>
      <c r="AW570" s="110"/>
      <c r="AX570" s="110"/>
      <c r="AY570" s="113"/>
      <c r="AZ570" s="113"/>
      <c r="BA570" s="113"/>
      <c r="BB570" s="113"/>
      <c r="BC570" s="113"/>
      <c r="BD570" s="113"/>
      <c r="BF57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71" spans="1:58" x14ac:dyDescent="0.3">
      <c r="A571" s="422"/>
      <c r="B571" s="376"/>
      <c r="C571" s="110"/>
      <c r="D571" s="110"/>
      <c r="E571" s="340"/>
      <c r="F571" s="330"/>
      <c r="G571" s="113"/>
      <c r="H571" s="332"/>
      <c r="I571" s="113"/>
      <c r="J571" s="332"/>
      <c r="K571" s="110"/>
      <c r="L571" s="110"/>
      <c r="M571" s="110"/>
      <c r="N571" s="110"/>
      <c r="O571" s="111"/>
      <c r="P571" s="424" t="str">
        <f>IF(OR(Table13[[#This Row],[Annual Increase Option]]="No increase",Table13[[#This Row],[Annual Increase Option]]=""),"",_xlfn.XLOOKUP(MONTH(Table13[[#This Row],[Commencement Date]]),Lookups!$I$19:$I$30,Lookups!$J$19:$J$30,0))</f>
        <v/>
      </c>
      <c r="Q571" s="340"/>
      <c r="R571" s="340"/>
      <c r="S571" s="360">
        <f>IF(Table13[[#This Row],[Life Cover Amount]]="",0,Table2[[#This Row],[Life Premium]])</f>
        <v>0</v>
      </c>
      <c r="T571" s="360">
        <f>IF(Table13[[#This Row],[Funeral Cover Amount]]=0,0,Table2[[#This Row],[Funeral Premium]])</f>
        <v>0</v>
      </c>
      <c r="U571" s="360">
        <f>IF(AND(Table13[[#This Row],[Life Cover Amount]]="",Table13[[#This Row],[Funeral Cover Amount]]=""),0,onboarding_calcs!AA571)</f>
        <v>0</v>
      </c>
      <c r="V571" s="111"/>
      <c r="W571" s="111"/>
      <c r="X571" s="333"/>
      <c r="Y571" s="110"/>
      <c r="Z571" s="113"/>
      <c r="AA571" s="425"/>
      <c r="AB571" s="425"/>
      <c r="AC571" s="113"/>
      <c r="AD571" s="110"/>
      <c r="AE571" s="110"/>
      <c r="AF571" s="110"/>
      <c r="AG571" s="110"/>
      <c r="AH571" s="110"/>
      <c r="AI571" s="113"/>
      <c r="AJ571" s="110"/>
      <c r="AK571" s="110"/>
      <c r="AL571" s="110"/>
      <c r="AM571" s="110"/>
      <c r="AN571" s="110"/>
      <c r="AO571" s="113"/>
      <c r="AP571" s="113"/>
      <c r="AQ571" s="113"/>
      <c r="AR571" s="110"/>
      <c r="AS571" s="113"/>
      <c r="AT571" s="113"/>
      <c r="AU571" s="112"/>
      <c r="AV571" s="338"/>
      <c r="AW571" s="110"/>
      <c r="AX571" s="110"/>
      <c r="AY571" s="113"/>
      <c r="AZ571" s="113"/>
      <c r="BA571" s="113"/>
      <c r="BB571" s="113"/>
      <c r="BC571" s="113"/>
      <c r="BD571" s="113"/>
      <c r="BF57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72" spans="1:58" x14ac:dyDescent="0.3">
      <c r="A572" s="422"/>
      <c r="B572" s="376"/>
      <c r="C572" s="110"/>
      <c r="D572" s="110"/>
      <c r="E572" s="340"/>
      <c r="F572" s="330"/>
      <c r="G572" s="113"/>
      <c r="H572" s="332"/>
      <c r="I572" s="113"/>
      <c r="J572" s="332"/>
      <c r="K572" s="110"/>
      <c r="L572" s="110"/>
      <c r="M572" s="110"/>
      <c r="N572" s="110"/>
      <c r="O572" s="111"/>
      <c r="P572" s="424" t="str">
        <f>IF(OR(Table13[[#This Row],[Annual Increase Option]]="No increase",Table13[[#This Row],[Annual Increase Option]]=""),"",_xlfn.XLOOKUP(MONTH(Table13[[#This Row],[Commencement Date]]),Lookups!$I$19:$I$30,Lookups!$J$19:$J$30,0))</f>
        <v/>
      </c>
      <c r="Q572" s="340"/>
      <c r="R572" s="340"/>
      <c r="S572" s="360">
        <f>IF(Table13[[#This Row],[Life Cover Amount]]="",0,Table2[[#This Row],[Life Premium]])</f>
        <v>0</v>
      </c>
      <c r="T572" s="360">
        <f>IF(Table13[[#This Row],[Funeral Cover Amount]]=0,0,Table2[[#This Row],[Funeral Premium]])</f>
        <v>0</v>
      </c>
      <c r="U572" s="360">
        <f>IF(AND(Table13[[#This Row],[Life Cover Amount]]="",Table13[[#This Row],[Funeral Cover Amount]]=""),0,onboarding_calcs!AA572)</f>
        <v>0</v>
      </c>
      <c r="V572" s="111"/>
      <c r="W572" s="111"/>
      <c r="X572" s="333"/>
      <c r="Y572" s="110"/>
      <c r="Z572" s="113"/>
      <c r="AA572" s="425"/>
      <c r="AB572" s="425"/>
      <c r="AC572" s="113"/>
      <c r="AD572" s="110"/>
      <c r="AE572" s="110"/>
      <c r="AF572" s="110"/>
      <c r="AG572" s="110"/>
      <c r="AH572" s="110"/>
      <c r="AI572" s="113"/>
      <c r="AJ572" s="110"/>
      <c r="AK572" s="110"/>
      <c r="AL572" s="110"/>
      <c r="AM572" s="110"/>
      <c r="AN572" s="110"/>
      <c r="AO572" s="113"/>
      <c r="AP572" s="113"/>
      <c r="AQ572" s="113"/>
      <c r="AR572" s="110"/>
      <c r="AS572" s="113"/>
      <c r="AT572" s="113"/>
      <c r="AU572" s="112"/>
      <c r="AV572" s="338"/>
      <c r="AW572" s="110"/>
      <c r="AX572" s="110"/>
      <c r="AY572" s="113"/>
      <c r="AZ572" s="113"/>
      <c r="BA572" s="113"/>
      <c r="BB572" s="113"/>
      <c r="BC572" s="113"/>
      <c r="BD572" s="113"/>
      <c r="BF57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73" spans="1:58" x14ac:dyDescent="0.3">
      <c r="A573" s="422"/>
      <c r="B573" s="376"/>
      <c r="C573" s="110"/>
      <c r="D573" s="110"/>
      <c r="E573" s="340"/>
      <c r="F573" s="330"/>
      <c r="G573" s="113"/>
      <c r="H573" s="332"/>
      <c r="I573" s="113"/>
      <c r="J573" s="332"/>
      <c r="K573" s="110"/>
      <c r="L573" s="110"/>
      <c r="M573" s="110"/>
      <c r="N573" s="110"/>
      <c r="O573" s="111"/>
      <c r="P573" s="424" t="str">
        <f>IF(OR(Table13[[#This Row],[Annual Increase Option]]="No increase",Table13[[#This Row],[Annual Increase Option]]=""),"",_xlfn.XLOOKUP(MONTH(Table13[[#This Row],[Commencement Date]]),Lookups!$I$19:$I$30,Lookups!$J$19:$J$30,0))</f>
        <v/>
      </c>
      <c r="Q573" s="340"/>
      <c r="R573" s="340"/>
      <c r="S573" s="360">
        <f>IF(Table13[[#This Row],[Life Cover Amount]]="",0,Table2[[#This Row],[Life Premium]])</f>
        <v>0</v>
      </c>
      <c r="T573" s="360">
        <f>IF(Table13[[#This Row],[Funeral Cover Amount]]=0,0,Table2[[#This Row],[Funeral Premium]])</f>
        <v>0</v>
      </c>
      <c r="U573" s="360">
        <f>IF(AND(Table13[[#This Row],[Life Cover Amount]]="",Table13[[#This Row],[Funeral Cover Amount]]=""),0,onboarding_calcs!AA573)</f>
        <v>0</v>
      </c>
      <c r="V573" s="111"/>
      <c r="W573" s="111"/>
      <c r="X573" s="333"/>
      <c r="Y573" s="110"/>
      <c r="Z573" s="113"/>
      <c r="AA573" s="425"/>
      <c r="AB573" s="425"/>
      <c r="AC573" s="113"/>
      <c r="AD573" s="110"/>
      <c r="AE573" s="110"/>
      <c r="AF573" s="110"/>
      <c r="AG573" s="110"/>
      <c r="AH573" s="110"/>
      <c r="AI573" s="113"/>
      <c r="AJ573" s="110"/>
      <c r="AK573" s="110"/>
      <c r="AL573" s="110"/>
      <c r="AM573" s="110"/>
      <c r="AN573" s="110"/>
      <c r="AO573" s="113"/>
      <c r="AP573" s="113"/>
      <c r="AQ573" s="113"/>
      <c r="AR573" s="110"/>
      <c r="AS573" s="113"/>
      <c r="AT573" s="113"/>
      <c r="AU573" s="112"/>
      <c r="AV573" s="338"/>
      <c r="AW573" s="110"/>
      <c r="AX573" s="110"/>
      <c r="AY573" s="113"/>
      <c r="AZ573" s="113"/>
      <c r="BA573" s="113"/>
      <c r="BB573" s="113"/>
      <c r="BC573" s="113"/>
      <c r="BD573" s="113"/>
      <c r="BF57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74" spans="1:58" x14ac:dyDescent="0.3">
      <c r="A574" s="422"/>
      <c r="B574" s="376"/>
      <c r="C574" s="110"/>
      <c r="D574" s="110"/>
      <c r="E574" s="340"/>
      <c r="F574" s="330"/>
      <c r="G574" s="113"/>
      <c r="H574" s="332"/>
      <c r="I574" s="113"/>
      <c r="J574" s="332"/>
      <c r="K574" s="110"/>
      <c r="L574" s="110"/>
      <c r="M574" s="110"/>
      <c r="N574" s="110"/>
      <c r="O574" s="111"/>
      <c r="P574" s="424" t="str">
        <f>IF(OR(Table13[[#This Row],[Annual Increase Option]]="No increase",Table13[[#This Row],[Annual Increase Option]]=""),"",_xlfn.XLOOKUP(MONTH(Table13[[#This Row],[Commencement Date]]),Lookups!$I$19:$I$30,Lookups!$J$19:$J$30,0))</f>
        <v/>
      </c>
      <c r="Q574" s="340"/>
      <c r="R574" s="340"/>
      <c r="S574" s="360">
        <f>IF(Table13[[#This Row],[Life Cover Amount]]="",0,Table2[[#This Row],[Life Premium]])</f>
        <v>0</v>
      </c>
      <c r="T574" s="360">
        <f>IF(Table13[[#This Row],[Funeral Cover Amount]]=0,0,Table2[[#This Row],[Funeral Premium]])</f>
        <v>0</v>
      </c>
      <c r="U574" s="360">
        <f>IF(AND(Table13[[#This Row],[Life Cover Amount]]="",Table13[[#This Row],[Funeral Cover Amount]]=""),0,onboarding_calcs!AA574)</f>
        <v>0</v>
      </c>
      <c r="V574" s="111"/>
      <c r="W574" s="111"/>
      <c r="X574" s="333"/>
      <c r="Y574" s="110"/>
      <c r="Z574" s="113"/>
      <c r="AA574" s="425"/>
      <c r="AB574" s="425"/>
      <c r="AC574" s="113"/>
      <c r="AD574" s="110"/>
      <c r="AE574" s="110"/>
      <c r="AF574" s="110"/>
      <c r="AG574" s="110"/>
      <c r="AH574" s="110"/>
      <c r="AI574" s="113"/>
      <c r="AJ574" s="110"/>
      <c r="AK574" s="110"/>
      <c r="AL574" s="110"/>
      <c r="AM574" s="110"/>
      <c r="AN574" s="110"/>
      <c r="AO574" s="113"/>
      <c r="AP574" s="113"/>
      <c r="AQ574" s="113"/>
      <c r="AR574" s="110"/>
      <c r="AS574" s="113"/>
      <c r="AT574" s="113"/>
      <c r="AU574" s="112"/>
      <c r="AV574" s="338"/>
      <c r="AW574" s="110"/>
      <c r="AX574" s="110"/>
      <c r="AY574" s="113"/>
      <c r="AZ574" s="113"/>
      <c r="BA574" s="113"/>
      <c r="BB574" s="113"/>
      <c r="BC574" s="113"/>
      <c r="BD574" s="113"/>
      <c r="BF57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75" spans="1:58" x14ac:dyDescent="0.3">
      <c r="A575" s="422"/>
      <c r="B575" s="376"/>
      <c r="C575" s="110"/>
      <c r="D575" s="110"/>
      <c r="E575" s="340"/>
      <c r="F575" s="330"/>
      <c r="G575" s="113"/>
      <c r="H575" s="332"/>
      <c r="I575" s="113"/>
      <c r="J575" s="332"/>
      <c r="K575" s="110"/>
      <c r="L575" s="110"/>
      <c r="M575" s="110"/>
      <c r="N575" s="110"/>
      <c r="O575" s="111"/>
      <c r="P575" s="424" t="str">
        <f>IF(OR(Table13[[#This Row],[Annual Increase Option]]="No increase",Table13[[#This Row],[Annual Increase Option]]=""),"",_xlfn.XLOOKUP(MONTH(Table13[[#This Row],[Commencement Date]]),Lookups!$I$19:$I$30,Lookups!$J$19:$J$30,0))</f>
        <v/>
      </c>
      <c r="Q575" s="340"/>
      <c r="R575" s="340"/>
      <c r="S575" s="360">
        <f>IF(Table13[[#This Row],[Life Cover Amount]]="",0,Table2[[#This Row],[Life Premium]])</f>
        <v>0</v>
      </c>
      <c r="T575" s="360">
        <f>IF(Table13[[#This Row],[Funeral Cover Amount]]=0,0,Table2[[#This Row],[Funeral Premium]])</f>
        <v>0</v>
      </c>
      <c r="U575" s="360">
        <f>IF(AND(Table13[[#This Row],[Life Cover Amount]]="",Table13[[#This Row],[Funeral Cover Amount]]=""),0,onboarding_calcs!AA575)</f>
        <v>0</v>
      </c>
      <c r="V575" s="111"/>
      <c r="W575" s="111"/>
      <c r="X575" s="333"/>
      <c r="Y575" s="110"/>
      <c r="Z575" s="113"/>
      <c r="AA575" s="425"/>
      <c r="AB575" s="425"/>
      <c r="AC575" s="113"/>
      <c r="AD575" s="110"/>
      <c r="AE575" s="110"/>
      <c r="AF575" s="110"/>
      <c r="AG575" s="110"/>
      <c r="AH575" s="110"/>
      <c r="AI575" s="113"/>
      <c r="AJ575" s="110"/>
      <c r="AK575" s="110"/>
      <c r="AL575" s="110"/>
      <c r="AM575" s="110"/>
      <c r="AN575" s="110"/>
      <c r="AO575" s="113"/>
      <c r="AP575" s="113"/>
      <c r="AQ575" s="113"/>
      <c r="AR575" s="110"/>
      <c r="AS575" s="113"/>
      <c r="AT575" s="113"/>
      <c r="AU575" s="112"/>
      <c r="AV575" s="338"/>
      <c r="AW575" s="110"/>
      <c r="AX575" s="110"/>
      <c r="AY575" s="113"/>
      <c r="AZ575" s="113"/>
      <c r="BA575" s="113"/>
      <c r="BB575" s="113"/>
      <c r="BC575" s="113"/>
      <c r="BD575" s="113"/>
      <c r="BF57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76" spans="1:58" x14ac:dyDescent="0.3">
      <c r="A576" s="422"/>
      <c r="B576" s="376"/>
      <c r="C576" s="110"/>
      <c r="D576" s="110"/>
      <c r="E576" s="340"/>
      <c r="F576" s="330"/>
      <c r="G576" s="113"/>
      <c r="H576" s="332"/>
      <c r="I576" s="113"/>
      <c r="J576" s="332"/>
      <c r="K576" s="110"/>
      <c r="L576" s="110"/>
      <c r="M576" s="110"/>
      <c r="N576" s="110"/>
      <c r="O576" s="111"/>
      <c r="P576" s="424" t="str">
        <f>IF(OR(Table13[[#This Row],[Annual Increase Option]]="No increase",Table13[[#This Row],[Annual Increase Option]]=""),"",_xlfn.XLOOKUP(MONTH(Table13[[#This Row],[Commencement Date]]),Lookups!$I$19:$I$30,Lookups!$J$19:$J$30,0))</f>
        <v/>
      </c>
      <c r="Q576" s="340"/>
      <c r="R576" s="340"/>
      <c r="S576" s="360">
        <f>IF(Table13[[#This Row],[Life Cover Amount]]="",0,Table2[[#This Row],[Life Premium]])</f>
        <v>0</v>
      </c>
      <c r="T576" s="360">
        <f>IF(Table13[[#This Row],[Funeral Cover Amount]]=0,0,Table2[[#This Row],[Funeral Premium]])</f>
        <v>0</v>
      </c>
      <c r="U576" s="360">
        <f>IF(AND(Table13[[#This Row],[Life Cover Amount]]="",Table13[[#This Row],[Funeral Cover Amount]]=""),0,onboarding_calcs!AA576)</f>
        <v>0</v>
      </c>
      <c r="V576" s="111"/>
      <c r="W576" s="111"/>
      <c r="X576" s="333"/>
      <c r="Y576" s="110"/>
      <c r="Z576" s="113"/>
      <c r="AA576" s="425"/>
      <c r="AB576" s="425"/>
      <c r="AC576" s="113"/>
      <c r="AD576" s="110"/>
      <c r="AE576" s="110"/>
      <c r="AF576" s="110"/>
      <c r="AG576" s="110"/>
      <c r="AH576" s="110"/>
      <c r="AI576" s="113"/>
      <c r="AJ576" s="110"/>
      <c r="AK576" s="110"/>
      <c r="AL576" s="110"/>
      <c r="AM576" s="110"/>
      <c r="AN576" s="110"/>
      <c r="AO576" s="113"/>
      <c r="AP576" s="113"/>
      <c r="AQ576" s="113"/>
      <c r="AR576" s="110"/>
      <c r="AS576" s="113"/>
      <c r="AT576" s="113"/>
      <c r="AU576" s="112"/>
      <c r="AV576" s="338"/>
      <c r="AW576" s="110"/>
      <c r="AX576" s="110"/>
      <c r="AY576" s="113"/>
      <c r="AZ576" s="113"/>
      <c r="BA576" s="113"/>
      <c r="BB576" s="113"/>
      <c r="BC576" s="113"/>
      <c r="BD576" s="113"/>
      <c r="BF57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77" spans="1:58" x14ac:dyDescent="0.3">
      <c r="A577" s="422"/>
      <c r="B577" s="376"/>
      <c r="C577" s="110"/>
      <c r="D577" s="110"/>
      <c r="E577" s="340"/>
      <c r="F577" s="330"/>
      <c r="G577" s="113"/>
      <c r="H577" s="332"/>
      <c r="I577" s="113"/>
      <c r="J577" s="332"/>
      <c r="K577" s="110"/>
      <c r="L577" s="110"/>
      <c r="M577" s="110"/>
      <c r="N577" s="110"/>
      <c r="O577" s="111"/>
      <c r="P577" s="424" t="str">
        <f>IF(OR(Table13[[#This Row],[Annual Increase Option]]="No increase",Table13[[#This Row],[Annual Increase Option]]=""),"",_xlfn.XLOOKUP(MONTH(Table13[[#This Row],[Commencement Date]]),Lookups!$I$19:$I$30,Lookups!$J$19:$J$30,0))</f>
        <v/>
      </c>
      <c r="Q577" s="340"/>
      <c r="R577" s="340"/>
      <c r="S577" s="360">
        <f>IF(Table13[[#This Row],[Life Cover Amount]]="",0,Table2[[#This Row],[Life Premium]])</f>
        <v>0</v>
      </c>
      <c r="T577" s="360">
        <f>IF(Table13[[#This Row],[Funeral Cover Amount]]=0,0,Table2[[#This Row],[Funeral Premium]])</f>
        <v>0</v>
      </c>
      <c r="U577" s="360">
        <f>IF(AND(Table13[[#This Row],[Life Cover Amount]]="",Table13[[#This Row],[Funeral Cover Amount]]=""),0,onboarding_calcs!AA577)</f>
        <v>0</v>
      </c>
      <c r="V577" s="111"/>
      <c r="W577" s="111"/>
      <c r="X577" s="333"/>
      <c r="Y577" s="110"/>
      <c r="Z577" s="113"/>
      <c r="AA577" s="425"/>
      <c r="AB577" s="425"/>
      <c r="AC577" s="113"/>
      <c r="AD577" s="110"/>
      <c r="AE577" s="110"/>
      <c r="AF577" s="110"/>
      <c r="AG577" s="110"/>
      <c r="AH577" s="110"/>
      <c r="AI577" s="113"/>
      <c r="AJ577" s="110"/>
      <c r="AK577" s="110"/>
      <c r="AL577" s="110"/>
      <c r="AM577" s="110"/>
      <c r="AN577" s="110"/>
      <c r="AO577" s="113"/>
      <c r="AP577" s="113"/>
      <c r="AQ577" s="113"/>
      <c r="AR577" s="110"/>
      <c r="AS577" s="113"/>
      <c r="AT577" s="113"/>
      <c r="AU577" s="112"/>
      <c r="AV577" s="338"/>
      <c r="AW577" s="110"/>
      <c r="AX577" s="110"/>
      <c r="AY577" s="113"/>
      <c r="AZ577" s="113"/>
      <c r="BA577" s="113"/>
      <c r="BB577" s="113"/>
      <c r="BC577" s="113"/>
      <c r="BD577" s="113"/>
      <c r="BF57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78" spans="1:58" x14ac:dyDescent="0.3">
      <c r="A578" s="422"/>
      <c r="B578" s="376"/>
      <c r="C578" s="110"/>
      <c r="D578" s="110"/>
      <c r="E578" s="340"/>
      <c r="F578" s="330"/>
      <c r="G578" s="113"/>
      <c r="H578" s="332"/>
      <c r="I578" s="113"/>
      <c r="J578" s="332"/>
      <c r="K578" s="110"/>
      <c r="L578" s="110"/>
      <c r="M578" s="110"/>
      <c r="N578" s="110"/>
      <c r="O578" s="111"/>
      <c r="P578" s="424" t="str">
        <f>IF(OR(Table13[[#This Row],[Annual Increase Option]]="No increase",Table13[[#This Row],[Annual Increase Option]]=""),"",_xlfn.XLOOKUP(MONTH(Table13[[#This Row],[Commencement Date]]),Lookups!$I$19:$I$30,Lookups!$J$19:$J$30,0))</f>
        <v/>
      </c>
      <c r="Q578" s="340"/>
      <c r="R578" s="340"/>
      <c r="S578" s="360">
        <f>IF(Table13[[#This Row],[Life Cover Amount]]="",0,Table2[[#This Row],[Life Premium]])</f>
        <v>0</v>
      </c>
      <c r="T578" s="360">
        <f>IF(Table13[[#This Row],[Funeral Cover Amount]]=0,0,Table2[[#This Row],[Funeral Premium]])</f>
        <v>0</v>
      </c>
      <c r="U578" s="360">
        <f>IF(AND(Table13[[#This Row],[Life Cover Amount]]="",Table13[[#This Row],[Funeral Cover Amount]]=""),0,onboarding_calcs!AA578)</f>
        <v>0</v>
      </c>
      <c r="V578" s="111"/>
      <c r="W578" s="111"/>
      <c r="X578" s="333"/>
      <c r="Y578" s="110"/>
      <c r="Z578" s="113"/>
      <c r="AA578" s="425"/>
      <c r="AB578" s="425"/>
      <c r="AC578" s="113"/>
      <c r="AD578" s="110"/>
      <c r="AE578" s="110"/>
      <c r="AF578" s="110"/>
      <c r="AG578" s="110"/>
      <c r="AH578" s="110"/>
      <c r="AI578" s="113"/>
      <c r="AJ578" s="110"/>
      <c r="AK578" s="110"/>
      <c r="AL578" s="110"/>
      <c r="AM578" s="110"/>
      <c r="AN578" s="110"/>
      <c r="AO578" s="113"/>
      <c r="AP578" s="113"/>
      <c r="AQ578" s="113"/>
      <c r="AR578" s="110"/>
      <c r="AS578" s="113"/>
      <c r="AT578" s="113"/>
      <c r="AU578" s="112"/>
      <c r="AV578" s="338"/>
      <c r="AW578" s="110"/>
      <c r="AX578" s="110"/>
      <c r="AY578" s="113"/>
      <c r="AZ578" s="113"/>
      <c r="BA578" s="113"/>
      <c r="BB578" s="113"/>
      <c r="BC578" s="113"/>
      <c r="BD578" s="113"/>
      <c r="BF57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79" spans="1:58" x14ac:dyDescent="0.3">
      <c r="A579" s="422"/>
      <c r="B579" s="376"/>
      <c r="C579" s="110"/>
      <c r="D579" s="110"/>
      <c r="E579" s="340"/>
      <c r="F579" s="330"/>
      <c r="G579" s="113"/>
      <c r="H579" s="332"/>
      <c r="I579" s="113"/>
      <c r="J579" s="332"/>
      <c r="K579" s="110"/>
      <c r="L579" s="110"/>
      <c r="M579" s="110"/>
      <c r="N579" s="110"/>
      <c r="O579" s="111"/>
      <c r="P579" s="424" t="str">
        <f>IF(OR(Table13[[#This Row],[Annual Increase Option]]="No increase",Table13[[#This Row],[Annual Increase Option]]=""),"",_xlfn.XLOOKUP(MONTH(Table13[[#This Row],[Commencement Date]]),Lookups!$I$19:$I$30,Lookups!$J$19:$J$30,0))</f>
        <v/>
      </c>
      <c r="Q579" s="340"/>
      <c r="R579" s="340"/>
      <c r="S579" s="360">
        <f>IF(Table13[[#This Row],[Life Cover Amount]]="",0,Table2[[#This Row],[Life Premium]])</f>
        <v>0</v>
      </c>
      <c r="T579" s="360">
        <f>IF(Table13[[#This Row],[Funeral Cover Amount]]=0,0,Table2[[#This Row],[Funeral Premium]])</f>
        <v>0</v>
      </c>
      <c r="U579" s="360">
        <f>IF(AND(Table13[[#This Row],[Life Cover Amount]]="",Table13[[#This Row],[Funeral Cover Amount]]=""),0,onboarding_calcs!AA579)</f>
        <v>0</v>
      </c>
      <c r="V579" s="111"/>
      <c r="W579" s="111"/>
      <c r="X579" s="333"/>
      <c r="Y579" s="110"/>
      <c r="Z579" s="113"/>
      <c r="AA579" s="425"/>
      <c r="AB579" s="425"/>
      <c r="AC579" s="113"/>
      <c r="AD579" s="110"/>
      <c r="AE579" s="110"/>
      <c r="AF579" s="110"/>
      <c r="AG579" s="110"/>
      <c r="AH579" s="110"/>
      <c r="AI579" s="113"/>
      <c r="AJ579" s="110"/>
      <c r="AK579" s="110"/>
      <c r="AL579" s="110"/>
      <c r="AM579" s="110"/>
      <c r="AN579" s="110"/>
      <c r="AO579" s="113"/>
      <c r="AP579" s="113"/>
      <c r="AQ579" s="113"/>
      <c r="AR579" s="110"/>
      <c r="AS579" s="113"/>
      <c r="AT579" s="113"/>
      <c r="AU579" s="112"/>
      <c r="AV579" s="338"/>
      <c r="AW579" s="110"/>
      <c r="AX579" s="110"/>
      <c r="AY579" s="113"/>
      <c r="AZ579" s="113"/>
      <c r="BA579" s="113"/>
      <c r="BB579" s="113"/>
      <c r="BC579" s="113"/>
      <c r="BD579" s="113"/>
      <c r="BF57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80" spans="1:58" x14ac:dyDescent="0.3">
      <c r="A580" s="422"/>
      <c r="B580" s="376"/>
      <c r="C580" s="110"/>
      <c r="D580" s="110"/>
      <c r="E580" s="340"/>
      <c r="F580" s="330"/>
      <c r="G580" s="113"/>
      <c r="H580" s="332"/>
      <c r="I580" s="113"/>
      <c r="J580" s="332"/>
      <c r="K580" s="110"/>
      <c r="L580" s="110"/>
      <c r="M580" s="110"/>
      <c r="N580" s="110"/>
      <c r="O580" s="111"/>
      <c r="P580" s="424" t="str">
        <f>IF(OR(Table13[[#This Row],[Annual Increase Option]]="No increase",Table13[[#This Row],[Annual Increase Option]]=""),"",_xlfn.XLOOKUP(MONTH(Table13[[#This Row],[Commencement Date]]),Lookups!$I$19:$I$30,Lookups!$J$19:$J$30,0))</f>
        <v/>
      </c>
      <c r="Q580" s="340"/>
      <c r="R580" s="340"/>
      <c r="S580" s="360">
        <f>IF(Table13[[#This Row],[Life Cover Amount]]="",0,Table2[[#This Row],[Life Premium]])</f>
        <v>0</v>
      </c>
      <c r="T580" s="360">
        <f>IF(Table13[[#This Row],[Funeral Cover Amount]]=0,0,Table2[[#This Row],[Funeral Premium]])</f>
        <v>0</v>
      </c>
      <c r="U580" s="360">
        <f>IF(AND(Table13[[#This Row],[Life Cover Amount]]="",Table13[[#This Row],[Funeral Cover Amount]]=""),0,onboarding_calcs!AA580)</f>
        <v>0</v>
      </c>
      <c r="V580" s="111"/>
      <c r="W580" s="111"/>
      <c r="X580" s="333"/>
      <c r="Y580" s="110"/>
      <c r="Z580" s="113"/>
      <c r="AA580" s="425"/>
      <c r="AB580" s="425"/>
      <c r="AC580" s="113"/>
      <c r="AD580" s="110"/>
      <c r="AE580" s="110"/>
      <c r="AF580" s="110"/>
      <c r="AG580" s="110"/>
      <c r="AH580" s="110"/>
      <c r="AI580" s="113"/>
      <c r="AJ580" s="110"/>
      <c r="AK580" s="110"/>
      <c r="AL580" s="110"/>
      <c r="AM580" s="110"/>
      <c r="AN580" s="110"/>
      <c r="AO580" s="113"/>
      <c r="AP580" s="113"/>
      <c r="AQ580" s="113"/>
      <c r="AR580" s="110"/>
      <c r="AS580" s="113"/>
      <c r="AT580" s="113"/>
      <c r="AU580" s="112"/>
      <c r="AV580" s="338"/>
      <c r="AW580" s="110"/>
      <c r="AX580" s="110"/>
      <c r="AY580" s="113"/>
      <c r="AZ580" s="113"/>
      <c r="BA580" s="113"/>
      <c r="BB580" s="113"/>
      <c r="BC580" s="113"/>
      <c r="BD580" s="113"/>
      <c r="BF58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81" spans="1:58" x14ac:dyDescent="0.3">
      <c r="A581" s="422"/>
      <c r="B581" s="376"/>
      <c r="C581" s="110"/>
      <c r="D581" s="110"/>
      <c r="E581" s="340"/>
      <c r="F581" s="330"/>
      <c r="G581" s="113"/>
      <c r="H581" s="332"/>
      <c r="I581" s="113"/>
      <c r="J581" s="332"/>
      <c r="K581" s="110"/>
      <c r="L581" s="110"/>
      <c r="M581" s="110"/>
      <c r="N581" s="110"/>
      <c r="O581" s="111"/>
      <c r="P581" s="424" t="str">
        <f>IF(OR(Table13[[#This Row],[Annual Increase Option]]="No increase",Table13[[#This Row],[Annual Increase Option]]=""),"",_xlfn.XLOOKUP(MONTH(Table13[[#This Row],[Commencement Date]]),Lookups!$I$19:$I$30,Lookups!$J$19:$J$30,0))</f>
        <v/>
      </c>
      <c r="Q581" s="340"/>
      <c r="R581" s="340"/>
      <c r="S581" s="360">
        <f>IF(Table13[[#This Row],[Life Cover Amount]]="",0,Table2[[#This Row],[Life Premium]])</f>
        <v>0</v>
      </c>
      <c r="T581" s="360">
        <f>IF(Table13[[#This Row],[Funeral Cover Amount]]=0,0,Table2[[#This Row],[Funeral Premium]])</f>
        <v>0</v>
      </c>
      <c r="U581" s="360">
        <f>IF(AND(Table13[[#This Row],[Life Cover Amount]]="",Table13[[#This Row],[Funeral Cover Amount]]=""),0,onboarding_calcs!AA581)</f>
        <v>0</v>
      </c>
      <c r="V581" s="111"/>
      <c r="W581" s="111"/>
      <c r="X581" s="333"/>
      <c r="Y581" s="110"/>
      <c r="Z581" s="113"/>
      <c r="AA581" s="425"/>
      <c r="AB581" s="425"/>
      <c r="AC581" s="113"/>
      <c r="AD581" s="110"/>
      <c r="AE581" s="110"/>
      <c r="AF581" s="110"/>
      <c r="AG581" s="110"/>
      <c r="AH581" s="110"/>
      <c r="AI581" s="113"/>
      <c r="AJ581" s="110"/>
      <c r="AK581" s="110"/>
      <c r="AL581" s="110"/>
      <c r="AM581" s="110"/>
      <c r="AN581" s="110"/>
      <c r="AO581" s="113"/>
      <c r="AP581" s="113"/>
      <c r="AQ581" s="113"/>
      <c r="AR581" s="110"/>
      <c r="AS581" s="113"/>
      <c r="AT581" s="113"/>
      <c r="AU581" s="112"/>
      <c r="AV581" s="338"/>
      <c r="AW581" s="110"/>
      <c r="AX581" s="110"/>
      <c r="AY581" s="113"/>
      <c r="AZ581" s="113"/>
      <c r="BA581" s="113"/>
      <c r="BB581" s="113"/>
      <c r="BC581" s="113"/>
      <c r="BD581" s="113"/>
      <c r="BF58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82" spans="1:58" x14ac:dyDescent="0.3">
      <c r="A582" s="422"/>
      <c r="B582" s="376"/>
      <c r="C582" s="110"/>
      <c r="D582" s="110"/>
      <c r="E582" s="340"/>
      <c r="F582" s="330"/>
      <c r="G582" s="113"/>
      <c r="H582" s="332"/>
      <c r="I582" s="113"/>
      <c r="J582" s="332"/>
      <c r="K582" s="110"/>
      <c r="L582" s="110"/>
      <c r="M582" s="110"/>
      <c r="N582" s="110"/>
      <c r="O582" s="111"/>
      <c r="P582" s="424" t="str">
        <f>IF(OR(Table13[[#This Row],[Annual Increase Option]]="No increase",Table13[[#This Row],[Annual Increase Option]]=""),"",_xlfn.XLOOKUP(MONTH(Table13[[#This Row],[Commencement Date]]),Lookups!$I$19:$I$30,Lookups!$J$19:$J$30,0))</f>
        <v/>
      </c>
      <c r="Q582" s="340"/>
      <c r="R582" s="340"/>
      <c r="S582" s="360">
        <f>IF(Table13[[#This Row],[Life Cover Amount]]="",0,Table2[[#This Row],[Life Premium]])</f>
        <v>0</v>
      </c>
      <c r="T582" s="360">
        <f>IF(Table13[[#This Row],[Funeral Cover Amount]]=0,0,Table2[[#This Row],[Funeral Premium]])</f>
        <v>0</v>
      </c>
      <c r="U582" s="360">
        <f>IF(AND(Table13[[#This Row],[Life Cover Amount]]="",Table13[[#This Row],[Funeral Cover Amount]]=""),0,onboarding_calcs!AA582)</f>
        <v>0</v>
      </c>
      <c r="V582" s="111"/>
      <c r="W582" s="111"/>
      <c r="X582" s="333"/>
      <c r="Y582" s="110"/>
      <c r="Z582" s="113"/>
      <c r="AA582" s="425"/>
      <c r="AB582" s="425"/>
      <c r="AC582" s="113"/>
      <c r="AD582" s="110"/>
      <c r="AE582" s="110"/>
      <c r="AF582" s="110"/>
      <c r="AG582" s="110"/>
      <c r="AH582" s="110"/>
      <c r="AI582" s="113"/>
      <c r="AJ582" s="110"/>
      <c r="AK582" s="110"/>
      <c r="AL582" s="110"/>
      <c r="AM582" s="110"/>
      <c r="AN582" s="110"/>
      <c r="AO582" s="113"/>
      <c r="AP582" s="113"/>
      <c r="AQ582" s="113"/>
      <c r="AR582" s="110"/>
      <c r="AS582" s="113"/>
      <c r="AT582" s="113"/>
      <c r="AU582" s="112"/>
      <c r="AV582" s="338"/>
      <c r="AW582" s="110"/>
      <c r="AX582" s="110"/>
      <c r="AY582" s="113"/>
      <c r="AZ582" s="113"/>
      <c r="BA582" s="113"/>
      <c r="BB582" s="113"/>
      <c r="BC582" s="113"/>
      <c r="BD582" s="113"/>
      <c r="BF58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83" spans="1:58" x14ac:dyDescent="0.3">
      <c r="A583" s="422"/>
      <c r="B583" s="376"/>
      <c r="C583" s="110"/>
      <c r="D583" s="110"/>
      <c r="E583" s="340"/>
      <c r="F583" s="330"/>
      <c r="G583" s="113"/>
      <c r="H583" s="332"/>
      <c r="I583" s="113"/>
      <c r="J583" s="332"/>
      <c r="K583" s="110"/>
      <c r="L583" s="110"/>
      <c r="M583" s="110"/>
      <c r="N583" s="110"/>
      <c r="O583" s="111"/>
      <c r="P583" s="424" t="str">
        <f>IF(OR(Table13[[#This Row],[Annual Increase Option]]="No increase",Table13[[#This Row],[Annual Increase Option]]=""),"",_xlfn.XLOOKUP(MONTH(Table13[[#This Row],[Commencement Date]]),Lookups!$I$19:$I$30,Lookups!$J$19:$J$30,0))</f>
        <v/>
      </c>
      <c r="Q583" s="340"/>
      <c r="R583" s="340"/>
      <c r="S583" s="360">
        <f>IF(Table13[[#This Row],[Life Cover Amount]]="",0,Table2[[#This Row],[Life Premium]])</f>
        <v>0</v>
      </c>
      <c r="T583" s="360">
        <f>IF(Table13[[#This Row],[Funeral Cover Amount]]=0,0,Table2[[#This Row],[Funeral Premium]])</f>
        <v>0</v>
      </c>
      <c r="U583" s="360">
        <f>IF(AND(Table13[[#This Row],[Life Cover Amount]]="",Table13[[#This Row],[Funeral Cover Amount]]=""),0,onboarding_calcs!AA583)</f>
        <v>0</v>
      </c>
      <c r="V583" s="111"/>
      <c r="W583" s="111"/>
      <c r="X583" s="333"/>
      <c r="Y583" s="110"/>
      <c r="Z583" s="113"/>
      <c r="AA583" s="425"/>
      <c r="AB583" s="425"/>
      <c r="AC583" s="113"/>
      <c r="AD583" s="110"/>
      <c r="AE583" s="110"/>
      <c r="AF583" s="110"/>
      <c r="AG583" s="110"/>
      <c r="AH583" s="110"/>
      <c r="AI583" s="113"/>
      <c r="AJ583" s="110"/>
      <c r="AK583" s="110"/>
      <c r="AL583" s="110"/>
      <c r="AM583" s="110"/>
      <c r="AN583" s="110"/>
      <c r="AO583" s="113"/>
      <c r="AP583" s="113"/>
      <c r="AQ583" s="113"/>
      <c r="AR583" s="110"/>
      <c r="AS583" s="113"/>
      <c r="AT583" s="113"/>
      <c r="AU583" s="112"/>
      <c r="AV583" s="338"/>
      <c r="AW583" s="110"/>
      <c r="AX583" s="110"/>
      <c r="AY583" s="113"/>
      <c r="AZ583" s="113"/>
      <c r="BA583" s="113"/>
      <c r="BB583" s="113"/>
      <c r="BC583" s="113"/>
      <c r="BD583" s="113"/>
      <c r="BF58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84" spans="1:58" x14ac:dyDescent="0.3">
      <c r="A584" s="422"/>
      <c r="B584" s="376"/>
      <c r="C584" s="110"/>
      <c r="D584" s="110"/>
      <c r="E584" s="340"/>
      <c r="F584" s="330"/>
      <c r="G584" s="113"/>
      <c r="H584" s="332"/>
      <c r="I584" s="113"/>
      <c r="J584" s="332"/>
      <c r="K584" s="110"/>
      <c r="L584" s="110"/>
      <c r="M584" s="110"/>
      <c r="N584" s="110"/>
      <c r="O584" s="111"/>
      <c r="P584" s="424" t="str">
        <f>IF(OR(Table13[[#This Row],[Annual Increase Option]]="No increase",Table13[[#This Row],[Annual Increase Option]]=""),"",_xlfn.XLOOKUP(MONTH(Table13[[#This Row],[Commencement Date]]),Lookups!$I$19:$I$30,Lookups!$J$19:$J$30,0))</f>
        <v/>
      </c>
      <c r="Q584" s="340"/>
      <c r="R584" s="340"/>
      <c r="S584" s="360">
        <f>IF(Table13[[#This Row],[Life Cover Amount]]="",0,Table2[[#This Row],[Life Premium]])</f>
        <v>0</v>
      </c>
      <c r="T584" s="360">
        <f>IF(Table13[[#This Row],[Funeral Cover Amount]]=0,0,Table2[[#This Row],[Funeral Premium]])</f>
        <v>0</v>
      </c>
      <c r="U584" s="360">
        <f>IF(AND(Table13[[#This Row],[Life Cover Amount]]="",Table13[[#This Row],[Funeral Cover Amount]]=""),0,onboarding_calcs!AA584)</f>
        <v>0</v>
      </c>
      <c r="V584" s="111"/>
      <c r="W584" s="111"/>
      <c r="X584" s="333"/>
      <c r="Y584" s="110"/>
      <c r="Z584" s="113"/>
      <c r="AA584" s="425"/>
      <c r="AB584" s="425"/>
      <c r="AC584" s="113"/>
      <c r="AD584" s="110"/>
      <c r="AE584" s="110"/>
      <c r="AF584" s="110"/>
      <c r="AG584" s="110"/>
      <c r="AH584" s="110"/>
      <c r="AI584" s="113"/>
      <c r="AJ584" s="110"/>
      <c r="AK584" s="110"/>
      <c r="AL584" s="110"/>
      <c r="AM584" s="110"/>
      <c r="AN584" s="110"/>
      <c r="AO584" s="113"/>
      <c r="AP584" s="113"/>
      <c r="AQ584" s="113"/>
      <c r="AR584" s="110"/>
      <c r="AS584" s="113"/>
      <c r="AT584" s="113"/>
      <c r="AU584" s="112"/>
      <c r="AV584" s="338"/>
      <c r="AW584" s="110"/>
      <c r="AX584" s="110"/>
      <c r="AY584" s="113"/>
      <c r="AZ584" s="113"/>
      <c r="BA584" s="113"/>
      <c r="BB584" s="113"/>
      <c r="BC584" s="113"/>
      <c r="BD584" s="113"/>
      <c r="BF58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85" spans="1:58" x14ac:dyDescent="0.3">
      <c r="A585" s="422"/>
      <c r="B585" s="376"/>
      <c r="C585" s="110"/>
      <c r="D585" s="110"/>
      <c r="E585" s="340"/>
      <c r="F585" s="330"/>
      <c r="G585" s="113"/>
      <c r="H585" s="332"/>
      <c r="I585" s="113"/>
      <c r="J585" s="332"/>
      <c r="K585" s="110"/>
      <c r="L585" s="110"/>
      <c r="M585" s="110"/>
      <c r="N585" s="110"/>
      <c r="O585" s="111"/>
      <c r="P585" s="424" t="str">
        <f>IF(OR(Table13[[#This Row],[Annual Increase Option]]="No increase",Table13[[#This Row],[Annual Increase Option]]=""),"",_xlfn.XLOOKUP(MONTH(Table13[[#This Row],[Commencement Date]]),Lookups!$I$19:$I$30,Lookups!$J$19:$J$30,0))</f>
        <v/>
      </c>
      <c r="Q585" s="340"/>
      <c r="R585" s="340"/>
      <c r="S585" s="360">
        <f>IF(Table13[[#This Row],[Life Cover Amount]]="",0,Table2[[#This Row],[Life Premium]])</f>
        <v>0</v>
      </c>
      <c r="T585" s="360">
        <f>IF(Table13[[#This Row],[Funeral Cover Amount]]=0,0,Table2[[#This Row],[Funeral Premium]])</f>
        <v>0</v>
      </c>
      <c r="U585" s="360">
        <f>IF(AND(Table13[[#This Row],[Life Cover Amount]]="",Table13[[#This Row],[Funeral Cover Amount]]=""),0,onboarding_calcs!AA585)</f>
        <v>0</v>
      </c>
      <c r="V585" s="111"/>
      <c r="W585" s="111"/>
      <c r="X585" s="333"/>
      <c r="Y585" s="110"/>
      <c r="Z585" s="113"/>
      <c r="AA585" s="425"/>
      <c r="AB585" s="425"/>
      <c r="AC585" s="113"/>
      <c r="AD585" s="110"/>
      <c r="AE585" s="110"/>
      <c r="AF585" s="110"/>
      <c r="AG585" s="110"/>
      <c r="AH585" s="110"/>
      <c r="AI585" s="113"/>
      <c r="AJ585" s="110"/>
      <c r="AK585" s="110"/>
      <c r="AL585" s="110"/>
      <c r="AM585" s="110"/>
      <c r="AN585" s="110"/>
      <c r="AO585" s="113"/>
      <c r="AP585" s="113"/>
      <c r="AQ585" s="113"/>
      <c r="AR585" s="110"/>
      <c r="AS585" s="113"/>
      <c r="AT585" s="113"/>
      <c r="AU585" s="112"/>
      <c r="AV585" s="338"/>
      <c r="AW585" s="110"/>
      <c r="AX585" s="110"/>
      <c r="AY585" s="113"/>
      <c r="AZ585" s="113"/>
      <c r="BA585" s="113"/>
      <c r="BB585" s="113"/>
      <c r="BC585" s="113"/>
      <c r="BD585" s="113"/>
      <c r="BF58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86" spans="1:58" x14ac:dyDescent="0.3">
      <c r="A586" s="422"/>
      <c r="B586" s="376"/>
      <c r="C586" s="110"/>
      <c r="D586" s="110"/>
      <c r="E586" s="340"/>
      <c r="F586" s="330"/>
      <c r="G586" s="113"/>
      <c r="H586" s="332"/>
      <c r="I586" s="113"/>
      <c r="J586" s="332"/>
      <c r="K586" s="110"/>
      <c r="L586" s="110"/>
      <c r="M586" s="110"/>
      <c r="N586" s="110"/>
      <c r="O586" s="111"/>
      <c r="P586" s="424" t="str">
        <f>IF(OR(Table13[[#This Row],[Annual Increase Option]]="No increase",Table13[[#This Row],[Annual Increase Option]]=""),"",_xlfn.XLOOKUP(MONTH(Table13[[#This Row],[Commencement Date]]),Lookups!$I$19:$I$30,Lookups!$J$19:$J$30,0))</f>
        <v/>
      </c>
      <c r="Q586" s="340"/>
      <c r="R586" s="340"/>
      <c r="S586" s="360">
        <f>IF(Table13[[#This Row],[Life Cover Amount]]="",0,Table2[[#This Row],[Life Premium]])</f>
        <v>0</v>
      </c>
      <c r="T586" s="360">
        <f>IF(Table13[[#This Row],[Funeral Cover Amount]]=0,0,Table2[[#This Row],[Funeral Premium]])</f>
        <v>0</v>
      </c>
      <c r="U586" s="360">
        <f>IF(AND(Table13[[#This Row],[Life Cover Amount]]="",Table13[[#This Row],[Funeral Cover Amount]]=""),0,onboarding_calcs!AA586)</f>
        <v>0</v>
      </c>
      <c r="V586" s="111"/>
      <c r="W586" s="111"/>
      <c r="X586" s="333"/>
      <c r="Y586" s="110"/>
      <c r="Z586" s="113"/>
      <c r="AA586" s="425"/>
      <c r="AB586" s="425"/>
      <c r="AC586" s="113"/>
      <c r="AD586" s="110"/>
      <c r="AE586" s="110"/>
      <c r="AF586" s="110"/>
      <c r="AG586" s="110"/>
      <c r="AH586" s="110"/>
      <c r="AI586" s="113"/>
      <c r="AJ586" s="110"/>
      <c r="AK586" s="110"/>
      <c r="AL586" s="110"/>
      <c r="AM586" s="110"/>
      <c r="AN586" s="110"/>
      <c r="AO586" s="113"/>
      <c r="AP586" s="113"/>
      <c r="AQ586" s="113"/>
      <c r="AR586" s="110"/>
      <c r="AS586" s="113"/>
      <c r="AT586" s="113"/>
      <c r="AU586" s="112"/>
      <c r="AV586" s="338"/>
      <c r="AW586" s="110"/>
      <c r="AX586" s="110"/>
      <c r="AY586" s="113"/>
      <c r="AZ586" s="113"/>
      <c r="BA586" s="113"/>
      <c r="BB586" s="113"/>
      <c r="BC586" s="113"/>
      <c r="BD586" s="113"/>
      <c r="BF58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87" spans="1:58" x14ac:dyDescent="0.3">
      <c r="A587" s="422"/>
      <c r="B587" s="376"/>
      <c r="C587" s="110"/>
      <c r="D587" s="110"/>
      <c r="E587" s="340"/>
      <c r="F587" s="330"/>
      <c r="G587" s="113"/>
      <c r="H587" s="332"/>
      <c r="I587" s="113"/>
      <c r="J587" s="332"/>
      <c r="K587" s="110"/>
      <c r="L587" s="110"/>
      <c r="M587" s="110"/>
      <c r="N587" s="110"/>
      <c r="O587" s="111"/>
      <c r="P587" s="424" t="str">
        <f>IF(OR(Table13[[#This Row],[Annual Increase Option]]="No increase",Table13[[#This Row],[Annual Increase Option]]=""),"",_xlfn.XLOOKUP(MONTH(Table13[[#This Row],[Commencement Date]]),Lookups!$I$19:$I$30,Lookups!$J$19:$J$30,0))</f>
        <v/>
      </c>
      <c r="Q587" s="340"/>
      <c r="R587" s="340"/>
      <c r="S587" s="360">
        <f>IF(Table13[[#This Row],[Life Cover Amount]]="",0,Table2[[#This Row],[Life Premium]])</f>
        <v>0</v>
      </c>
      <c r="T587" s="360">
        <f>IF(Table13[[#This Row],[Funeral Cover Amount]]=0,0,Table2[[#This Row],[Funeral Premium]])</f>
        <v>0</v>
      </c>
      <c r="U587" s="360">
        <f>IF(AND(Table13[[#This Row],[Life Cover Amount]]="",Table13[[#This Row],[Funeral Cover Amount]]=""),0,onboarding_calcs!AA587)</f>
        <v>0</v>
      </c>
      <c r="V587" s="111"/>
      <c r="W587" s="111"/>
      <c r="X587" s="333"/>
      <c r="Y587" s="110"/>
      <c r="Z587" s="113"/>
      <c r="AA587" s="425"/>
      <c r="AB587" s="425"/>
      <c r="AC587" s="113"/>
      <c r="AD587" s="110"/>
      <c r="AE587" s="110"/>
      <c r="AF587" s="110"/>
      <c r="AG587" s="110"/>
      <c r="AH587" s="110"/>
      <c r="AI587" s="113"/>
      <c r="AJ587" s="110"/>
      <c r="AK587" s="110"/>
      <c r="AL587" s="110"/>
      <c r="AM587" s="110"/>
      <c r="AN587" s="110"/>
      <c r="AO587" s="113"/>
      <c r="AP587" s="113"/>
      <c r="AQ587" s="113"/>
      <c r="AR587" s="110"/>
      <c r="AS587" s="113"/>
      <c r="AT587" s="113"/>
      <c r="AU587" s="112"/>
      <c r="AV587" s="338"/>
      <c r="AW587" s="110"/>
      <c r="AX587" s="110"/>
      <c r="AY587" s="113"/>
      <c r="AZ587" s="113"/>
      <c r="BA587" s="113"/>
      <c r="BB587" s="113"/>
      <c r="BC587" s="113"/>
      <c r="BD587" s="113"/>
      <c r="BF58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88" spans="1:58" x14ac:dyDescent="0.3">
      <c r="A588" s="422"/>
      <c r="B588" s="376"/>
      <c r="C588" s="110"/>
      <c r="D588" s="110"/>
      <c r="E588" s="340"/>
      <c r="F588" s="330"/>
      <c r="G588" s="113"/>
      <c r="H588" s="332"/>
      <c r="I588" s="113"/>
      <c r="J588" s="332"/>
      <c r="K588" s="110"/>
      <c r="L588" s="110"/>
      <c r="M588" s="110"/>
      <c r="N588" s="110"/>
      <c r="O588" s="111"/>
      <c r="P588" s="424" t="str">
        <f>IF(OR(Table13[[#This Row],[Annual Increase Option]]="No increase",Table13[[#This Row],[Annual Increase Option]]=""),"",_xlfn.XLOOKUP(MONTH(Table13[[#This Row],[Commencement Date]]),Lookups!$I$19:$I$30,Lookups!$J$19:$J$30,0))</f>
        <v/>
      </c>
      <c r="Q588" s="340"/>
      <c r="R588" s="340"/>
      <c r="S588" s="360">
        <f>IF(Table13[[#This Row],[Life Cover Amount]]="",0,Table2[[#This Row],[Life Premium]])</f>
        <v>0</v>
      </c>
      <c r="T588" s="360">
        <f>IF(Table13[[#This Row],[Funeral Cover Amount]]=0,0,Table2[[#This Row],[Funeral Premium]])</f>
        <v>0</v>
      </c>
      <c r="U588" s="360">
        <f>IF(AND(Table13[[#This Row],[Life Cover Amount]]="",Table13[[#This Row],[Funeral Cover Amount]]=""),0,onboarding_calcs!AA588)</f>
        <v>0</v>
      </c>
      <c r="V588" s="111"/>
      <c r="W588" s="111"/>
      <c r="X588" s="333"/>
      <c r="Y588" s="110"/>
      <c r="Z588" s="113"/>
      <c r="AA588" s="425"/>
      <c r="AB588" s="425"/>
      <c r="AC588" s="113"/>
      <c r="AD588" s="110"/>
      <c r="AE588" s="110"/>
      <c r="AF588" s="110"/>
      <c r="AG588" s="110"/>
      <c r="AH588" s="110"/>
      <c r="AI588" s="113"/>
      <c r="AJ588" s="110"/>
      <c r="AK588" s="110"/>
      <c r="AL588" s="110"/>
      <c r="AM588" s="110"/>
      <c r="AN588" s="110"/>
      <c r="AO588" s="113"/>
      <c r="AP588" s="113"/>
      <c r="AQ588" s="113"/>
      <c r="AR588" s="110"/>
      <c r="AS588" s="113"/>
      <c r="AT588" s="113"/>
      <c r="AU588" s="112"/>
      <c r="AV588" s="338"/>
      <c r="AW588" s="110"/>
      <c r="AX588" s="110"/>
      <c r="AY588" s="113"/>
      <c r="AZ588" s="113"/>
      <c r="BA588" s="113"/>
      <c r="BB588" s="113"/>
      <c r="BC588" s="113"/>
      <c r="BD588" s="113"/>
      <c r="BF58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89" spans="1:58" x14ac:dyDescent="0.3">
      <c r="A589" s="422"/>
      <c r="B589" s="376"/>
      <c r="C589" s="110"/>
      <c r="D589" s="110"/>
      <c r="E589" s="340"/>
      <c r="F589" s="330"/>
      <c r="G589" s="113"/>
      <c r="H589" s="332"/>
      <c r="I589" s="113"/>
      <c r="J589" s="332"/>
      <c r="K589" s="110"/>
      <c r="L589" s="110"/>
      <c r="M589" s="110"/>
      <c r="N589" s="110"/>
      <c r="O589" s="111"/>
      <c r="P589" s="424" t="str">
        <f>IF(OR(Table13[[#This Row],[Annual Increase Option]]="No increase",Table13[[#This Row],[Annual Increase Option]]=""),"",_xlfn.XLOOKUP(MONTH(Table13[[#This Row],[Commencement Date]]),Lookups!$I$19:$I$30,Lookups!$J$19:$J$30,0))</f>
        <v/>
      </c>
      <c r="Q589" s="340"/>
      <c r="R589" s="340"/>
      <c r="S589" s="360">
        <f>IF(Table13[[#This Row],[Life Cover Amount]]="",0,Table2[[#This Row],[Life Premium]])</f>
        <v>0</v>
      </c>
      <c r="T589" s="360">
        <f>IF(Table13[[#This Row],[Funeral Cover Amount]]=0,0,Table2[[#This Row],[Funeral Premium]])</f>
        <v>0</v>
      </c>
      <c r="U589" s="360">
        <f>IF(AND(Table13[[#This Row],[Life Cover Amount]]="",Table13[[#This Row],[Funeral Cover Amount]]=""),0,onboarding_calcs!AA589)</f>
        <v>0</v>
      </c>
      <c r="V589" s="111"/>
      <c r="W589" s="111"/>
      <c r="X589" s="333"/>
      <c r="Y589" s="110"/>
      <c r="Z589" s="113"/>
      <c r="AA589" s="425"/>
      <c r="AB589" s="425"/>
      <c r="AC589" s="113"/>
      <c r="AD589" s="110"/>
      <c r="AE589" s="110"/>
      <c r="AF589" s="110"/>
      <c r="AG589" s="110"/>
      <c r="AH589" s="110"/>
      <c r="AI589" s="113"/>
      <c r="AJ589" s="110"/>
      <c r="AK589" s="110"/>
      <c r="AL589" s="110"/>
      <c r="AM589" s="110"/>
      <c r="AN589" s="110"/>
      <c r="AO589" s="113"/>
      <c r="AP589" s="113"/>
      <c r="AQ589" s="113"/>
      <c r="AR589" s="110"/>
      <c r="AS589" s="113"/>
      <c r="AT589" s="113"/>
      <c r="AU589" s="112"/>
      <c r="AV589" s="338"/>
      <c r="AW589" s="110"/>
      <c r="AX589" s="110"/>
      <c r="AY589" s="113"/>
      <c r="AZ589" s="113"/>
      <c r="BA589" s="113"/>
      <c r="BB589" s="113"/>
      <c r="BC589" s="113"/>
      <c r="BD589" s="113"/>
      <c r="BF58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90" spans="1:58" x14ac:dyDescent="0.3">
      <c r="A590" s="422"/>
      <c r="B590" s="376"/>
      <c r="C590" s="110"/>
      <c r="D590" s="110"/>
      <c r="E590" s="340"/>
      <c r="F590" s="330"/>
      <c r="G590" s="113"/>
      <c r="H590" s="332"/>
      <c r="I590" s="113"/>
      <c r="J590" s="332"/>
      <c r="K590" s="110"/>
      <c r="L590" s="110"/>
      <c r="M590" s="110"/>
      <c r="N590" s="110"/>
      <c r="O590" s="111"/>
      <c r="P590" s="424" t="str">
        <f>IF(OR(Table13[[#This Row],[Annual Increase Option]]="No increase",Table13[[#This Row],[Annual Increase Option]]=""),"",_xlfn.XLOOKUP(MONTH(Table13[[#This Row],[Commencement Date]]),Lookups!$I$19:$I$30,Lookups!$J$19:$J$30,0))</f>
        <v/>
      </c>
      <c r="Q590" s="340"/>
      <c r="R590" s="340"/>
      <c r="S590" s="360">
        <f>IF(Table13[[#This Row],[Life Cover Amount]]="",0,Table2[[#This Row],[Life Premium]])</f>
        <v>0</v>
      </c>
      <c r="T590" s="360">
        <f>IF(Table13[[#This Row],[Funeral Cover Amount]]=0,0,Table2[[#This Row],[Funeral Premium]])</f>
        <v>0</v>
      </c>
      <c r="U590" s="360">
        <f>IF(AND(Table13[[#This Row],[Life Cover Amount]]="",Table13[[#This Row],[Funeral Cover Amount]]=""),0,onboarding_calcs!AA590)</f>
        <v>0</v>
      </c>
      <c r="V590" s="111"/>
      <c r="W590" s="111"/>
      <c r="X590" s="333"/>
      <c r="Y590" s="110"/>
      <c r="Z590" s="113"/>
      <c r="AA590" s="425"/>
      <c r="AB590" s="425"/>
      <c r="AC590" s="113"/>
      <c r="AD590" s="110"/>
      <c r="AE590" s="110"/>
      <c r="AF590" s="110"/>
      <c r="AG590" s="110"/>
      <c r="AH590" s="110"/>
      <c r="AI590" s="113"/>
      <c r="AJ590" s="110"/>
      <c r="AK590" s="110"/>
      <c r="AL590" s="110"/>
      <c r="AM590" s="110"/>
      <c r="AN590" s="110"/>
      <c r="AO590" s="113"/>
      <c r="AP590" s="113"/>
      <c r="AQ590" s="113"/>
      <c r="AR590" s="110"/>
      <c r="AS590" s="113"/>
      <c r="AT590" s="113"/>
      <c r="AU590" s="112"/>
      <c r="AV590" s="338"/>
      <c r="AW590" s="110"/>
      <c r="AX590" s="110"/>
      <c r="AY590" s="113"/>
      <c r="AZ590" s="113"/>
      <c r="BA590" s="113"/>
      <c r="BB590" s="113"/>
      <c r="BC590" s="113"/>
      <c r="BD590" s="113"/>
      <c r="BF59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91" spans="1:58" x14ac:dyDescent="0.3">
      <c r="A591" s="422"/>
      <c r="B591" s="376"/>
      <c r="C591" s="110"/>
      <c r="D591" s="110"/>
      <c r="E591" s="340"/>
      <c r="F591" s="330"/>
      <c r="G591" s="113"/>
      <c r="H591" s="332"/>
      <c r="I591" s="113"/>
      <c r="J591" s="332"/>
      <c r="K591" s="110"/>
      <c r="L591" s="110"/>
      <c r="M591" s="110"/>
      <c r="N591" s="110"/>
      <c r="O591" s="111"/>
      <c r="P591" s="424" t="str">
        <f>IF(OR(Table13[[#This Row],[Annual Increase Option]]="No increase",Table13[[#This Row],[Annual Increase Option]]=""),"",_xlfn.XLOOKUP(MONTH(Table13[[#This Row],[Commencement Date]]),Lookups!$I$19:$I$30,Lookups!$J$19:$J$30,0))</f>
        <v/>
      </c>
      <c r="Q591" s="340"/>
      <c r="R591" s="340"/>
      <c r="S591" s="360">
        <f>IF(Table13[[#This Row],[Life Cover Amount]]="",0,Table2[[#This Row],[Life Premium]])</f>
        <v>0</v>
      </c>
      <c r="T591" s="360">
        <f>IF(Table13[[#This Row],[Funeral Cover Amount]]=0,0,Table2[[#This Row],[Funeral Premium]])</f>
        <v>0</v>
      </c>
      <c r="U591" s="360">
        <f>IF(AND(Table13[[#This Row],[Life Cover Amount]]="",Table13[[#This Row],[Funeral Cover Amount]]=""),0,onboarding_calcs!AA591)</f>
        <v>0</v>
      </c>
      <c r="V591" s="111"/>
      <c r="W591" s="111"/>
      <c r="X591" s="333"/>
      <c r="Y591" s="110"/>
      <c r="Z591" s="113"/>
      <c r="AA591" s="425"/>
      <c r="AB591" s="425"/>
      <c r="AC591" s="113"/>
      <c r="AD591" s="110"/>
      <c r="AE591" s="110"/>
      <c r="AF591" s="110"/>
      <c r="AG591" s="110"/>
      <c r="AH591" s="110"/>
      <c r="AI591" s="113"/>
      <c r="AJ591" s="110"/>
      <c r="AK591" s="110"/>
      <c r="AL591" s="110"/>
      <c r="AM591" s="110"/>
      <c r="AN591" s="110"/>
      <c r="AO591" s="113"/>
      <c r="AP591" s="113"/>
      <c r="AQ591" s="113"/>
      <c r="AR591" s="110"/>
      <c r="AS591" s="113"/>
      <c r="AT591" s="113"/>
      <c r="AU591" s="112"/>
      <c r="AV591" s="338"/>
      <c r="AW591" s="110"/>
      <c r="AX591" s="110"/>
      <c r="AY591" s="113"/>
      <c r="AZ591" s="113"/>
      <c r="BA591" s="113"/>
      <c r="BB591" s="113"/>
      <c r="BC591" s="113"/>
      <c r="BD591" s="113"/>
      <c r="BF59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92" spans="1:58" x14ac:dyDescent="0.3">
      <c r="A592" s="422"/>
      <c r="B592" s="376"/>
      <c r="C592" s="110"/>
      <c r="D592" s="110"/>
      <c r="E592" s="340"/>
      <c r="F592" s="330"/>
      <c r="G592" s="113"/>
      <c r="H592" s="332"/>
      <c r="I592" s="113"/>
      <c r="J592" s="332"/>
      <c r="K592" s="110"/>
      <c r="L592" s="110"/>
      <c r="M592" s="110"/>
      <c r="N592" s="110"/>
      <c r="O592" s="111"/>
      <c r="P592" s="424" t="str">
        <f>IF(OR(Table13[[#This Row],[Annual Increase Option]]="No increase",Table13[[#This Row],[Annual Increase Option]]=""),"",_xlfn.XLOOKUP(MONTH(Table13[[#This Row],[Commencement Date]]),Lookups!$I$19:$I$30,Lookups!$J$19:$J$30,0))</f>
        <v/>
      </c>
      <c r="Q592" s="340"/>
      <c r="R592" s="340"/>
      <c r="S592" s="360">
        <f>IF(Table13[[#This Row],[Life Cover Amount]]="",0,Table2[[#This Row],[Life Premium]])</f>
        <v>0</v>
      </c>
      <c r="T592" s="360">
        <f>IF(Table13[[#This Row],[Funeral Cover Amount]]=0,0,Table2[[#This Row],[Funeral Premium]])</f>
        <v>0</v>
      </c>
      <c r="U592" s="360">
        <f>IF(AND(Table13[[#This Row],[Life Cover Amount]]="",Table13[[#This Row],[Funeral Cover Amount]]=""),0,onboarding_calcs!AA592)</f>
        <v>0</v>
      </c>
      <c r="V592" s="111"/>
      <c r="W592" s="111"/>
      <c r="X592" s="333"/>
      <c r="Y592" s="110"/>
      <c r="Z592" s="113"/>
      <c r="AA592" s="425"/>
      <c r="AB592" s="425"/>
      <c r="AC592" s="113"/>
      <c r="AD592" s="110"/>
      <c r="AE592" s="110"/>
      <c r="AF592" s="110"/>
      <c r="AG592" s="110"/>
      <c r="AH592" s="110"/>
      <c r="AI592" s="113"/>
      <c r="AJ592" s="110"/>
      <c r="AK592" s="110"/>
      <c r="AL592" s="110"/>
      <c r="AM592" s="110"/>
      <c r="AN592" s="110"/>
      <c r="AO592" s="113"/>
      <c r="AP592" s="113"/>
      <c r="AQ592" s="113"/>
      <c r="AR592" s="110"/>
      <c r="AS592" s="113"/>
      <c r="AT592" s="113"/>
      <c r="AU592" s="112"/>
      <c r="AV592" s="338"/>
      <c r="AW592" s="110"/>
      <c r="AX592" s="110"/>
      <c r="AY592" s="113"/>
      <c r="AZ592" s="113"/>
      <c r="BA592" s="113"/>
      <c r="BB592" s="113"/>
      <c r="BC592" s="113"/>
      <c r="BD592" s="113"/>
      <c r="BF59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93" spans="1:58" x14ac:dyDescent="0.3">
      <c r="A593" s="422"/>
      <c r="B593" s="376"/>
      <c r="C593" s="110"/>
      <c r="D593" s="110"/>
      <c r="E593" s="340"/>
      <c r="F593" s="330"/>
      <c r="G593" s="113"/>
      <c r="H593" s="332"/>
      <c r="I593" s="113"/>
      <c r="J593" s="332"/>
      <c r="K593" s="110"/>
      <c r="L593" s="110"/>
      <c r="M593" s="110"/>
      <c r="N593" s="110"/>
      <c r="O593" s="111"/>
      <c r="P593" s="424" t="str">
        <f>IF(OR(Table13[[#This Row],[Annual Increase Option]]="No increase",Table13[[#This Row],[Annual Increase Option]]=""),"",_xlfn.XLOOKUP(MONTH(Table13[[#This Row],[Commencement Date]]),Lookups!$I$19:$I$30,Lookups!$J$19:$J$30,0))</f>
        <v/>
      </c>
      <c r="Q593" s="340"/>
      <c r="R593" s="340"/>
      <c r="S593" s="360">
        <f>IF(Table13[[#This Row],[Life Cover Amount]]="",0,Table2[[#This Row],[Life Premium]])</f>
        <v>0</v>
      </c>
      <c r="T593" s="360">
        <f>IF(Table13[[#This Row],[Funeral Cover Amount]]=0,0,Table2[[#This Row],[Funeral Premium]])</f>
        <v>0</v>
      </c>
      <c r="U593" s="360">
        <f>IF(AND(Table13[[#This Row],[Life Cover Amount]]="",Table13[[#This Row],[Funeral Cover Amount]]=""),0,onboarding_calcs!AA593)</f>
        <v>0</v>
      </c>
      <c r="V593" s="111"/>
      <c r="W593" s="111"/>
      <c r="X593" s="333"/>
      <c r="Y593" s="110"/>
      <c r="Z593" s="113"/>
      <c r="AA593" s="425"/>
      <c r="AB593" s="425"/>
      <c r="AC593" s="113"/>
      <c r="AD593" s="110"/>
      <c r="AE593" s="110"/>
      <c r="AF593" s="110"/>
      <c r="AG593" s="110"/>
      <c r="AH593" s="110"/>
      <c r="AI593" s="113"/>
      <c r="AJ593" s="110"/>
      <c r="AK593" s="110"/>
      <c r="AL593" s="110"/>
      <c r="AM593" s="110"/>
      <c r="AN593" s="110"/>
      <c r="AO593" s="113"/>
      <c r="AP593" s="113"/>
      <c r="AQ593" s="113"/>
      <c r="AR593" s="110"/>
      <c r="AS593" s="113"/>
      <c r="AT593" s="113"/>
      <c r="AU593" s="112"/>
      <c r="AV593" s="338"/>
      <c r="AW593" s="110"/>
      <c r="AX593" s="110"/>
      <c r="AY593" s="113"/>
      <c r="AZ593" s="113"/>
      <c r="BA593" s="113"/>
      <c r="BB593" s="113"/>
      <c r="BC593" s="113"/>
      <c r="BD593" s="113"/>
      <c r="BF59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94" spans="1:58" x14ac:dyDescent="0.3">
      <c r="A594" s="422"/>
      <c r="B594" s="376"/>
      <c r="C594" s="110"/>
      <c r="D594" s="110"/>
      <c r="E594" s="340"/>
      <c r="F594" s="330"/>
      <c r="G594" s="113"/>
      <c r="H594" s="332"/>
      <c r="I594" s="113"/>
      <c r="J594" s="332"/>
      <c r="K594" s="110"/>
      <c r="L594" s="110"/>
      <c r="M594" s="110"/>
      <c r="N594" s="110"/>
      <c r="O594" s="111"/>
      <c r="P594" s="424" t="str">
        <f>IF(OR(Table13[[#This Row],[Annual Increase Option]]="No increase",Table13[[#This Row],[Annual Increase Option]]=""),"",_xlfn.XLOOKUP(MONTH(Table13[[#This Row],[Commencement Date]]),Lookups!$I$19:$I$30,Lookups!$J$19:$J$30,0))</f>
        <v/>
      </c>
      <c r="Q594" s="340"/>
      <c r="R594" s="340"/>
      <c r="S594" s="360">
        <f>IF(Table13[[#This Row],[Life Cover Amount]]="",0,Table2[[#This Row],[Life Premium]])</f>
        <v>0</v>
      </c>
      <c r="T594" s="360">
        <f>IF(Table13[[#This Row],[Funeral Cover Amount]]=0,0,Table2[[#This Row],[Funeral Premium]])</f>
        <v>0</v>
      </c>
      <c r="U594" s="360">
        <f>IF(AND(Table13[[#This Row],[Life Cover Amount]]="",Table13[[#This Row],[Funeral Cover Amount]]=""),0,onboarding_calcs!AA594)</f>
        <v>0</v>
      </c>
      <c r="V594" s="111"/>
      <c r="W594" s="111"/>
      <c r="X594" s="333"/>
      <c r="Y594" s="110"/>
      <c r="Z594" s="113"/>
      <c r="AA594" s="425"/>
      <c r="AB594" s="425"/>
      <c r="AC594" s="113"/>
      <c r="AD594" s="110"/>
      <c r="AE594" s="110"/>
      <c r="AF594" s="110"/>
      <c r="AG594" s="110"/>
      <c r="AH594" s="110"/>
      <c r="AI594" s="113"/>
      <c r="AJ594" s="110"/>
      <c r="AK594" s="110"/>
      <c r="AL594" s="110"/>
      <c r="AM594" s="110"/>
      <c r="AN594" s="110"/>
      <c r="AO594" s="113"/>
      <c r="AP594" s="113"/>
      <c r="AQ594" s="113"/>
      <c r="AR594" s="110"/>
      <c r="AS594" s="113"/>
      <c r="AT594" s="113"/>
      <c r="AU594" s="112"/>
      <c r="AV594" s="338"/>
      <c r="AW594" s="110"/>
      <c r="AX594" s="110"/>
      <c r="AY594" s="113"/>
      <c r="AZ594" s="113"/>
      <c r="BA594" s="113"/>
      <c r="BB594" s="113"/>
      <c r="BC594" s="113"/>
      <c r="BD594" s="113"/>
      <c r="BF59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95" spans="1:58" x14ac:dyDescent="0.3">
      <c r="A595" s="422"/>
      <c r="B595" s="376"/>
      <c r="C595" s="110"/>
      <c r="D595" s="110"/>
      <c r="E595" s="340"/>
      <c r="F595" s="330"/>
      <c r="G595" s="113"/>
      <c r="H595" s="332"/>
      <c r="I595" s="113"/>
      <c r="J595" s="332"/>
      <c r="K595" s="110"/>
      <c r="L595" s="110"/>
      <c r="M595" s="110"/>
      <c r="N595" s="110"/>
      <c r="O595" s="111"/>
      <c r="P595" s="424" t="str">
        <f>IF(OR(Table13[[#This Row],[Annual Increase Option]]="No increase",Table13[[#This Row],[Annual Increase Option]]=""),"",_xlfn.XLOOKUP(MONTH(Table13[[#This Row],[Commencement Date]]),Lookups!$I$19:$I$30,Lookups!$J$19:$J$30,0))</f>
        <v/>
      </c>
      <c r="Q595" s="340"/>
      <c r="R595" s="340"/>
      <c r="S595" s="360">
        <f>IF(Table13[[#This Row],[Life Cover Amount]]="",0,Table2[[#This Row],[Life Premium]])</f>
        <v>0</v>
      </c>
      <c r="T595" s="360">
        <f>IF(Table13[[#This Row],[Funeral Cover Amount]]=0,0,Table2[[#This Row],[Funeral Premium]])</f>
        <v>0</v>
      </c>
      <c r="U595" s="360">
        <f>IF(AND(Table13[[#This Row],[Life Cover Amount]]="",Table13[[#This Row],[Funeral Cover Amount]]=""),0,onboarding_calcs!AA595)</f>
        <v>0</v>
      </c>
      <c r="V595" s="111"/>
      <c r="W595" s="111"/>
      <c r="X595" s="333"/>
      <c r="Y595" s="110"/>
      <c r="Z595" s="113"/>
      <c r="AA595" s="425"/>
      <c r="AB595" s="425"/>
      <c r="AC595" s="113"/>
      <c r="AD595" s="110"/>
      <c r="AE595" s="110"/>
      <c r="AF595" s="110"/>
      <c r="AG595" s="110"/>
      <c r="AH595" s="110"/>
      <c r="AI595" s="113"/>
      <c r="AJ595" s="110"/>
      <c r="AK595" s="110"/>
      <c r="AL595" s="110"/>
      <c r="AM595" s="110"/>
      <c r="AN595" s="110"/>
      <c r="AO595" s="113"/>
      <c r="AP595" s="113"/>
      <c r="AQ595" s="113"/>
      <c r="AR595" s="110"/>
      <c r="AS595" s="113"/>
      <c r="AT595" s="113"/>
      <c r="AU595" s="112"/>
      <c r="AV595" s="338"/>
      <c r="AW595" s="110"/>
      <c r="AX595" s="110"/>
      <c r="AY595" s="113"/>
      <c r="AZ595" s="113"/>
      <c r="BA595" s="113"/>
      <c r="BB595" s="113"/>
      <c r="BC595" s="113"/>
      <c r="BD595" s="113"/>
      <c r="BF59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96" spans="1:58" x14ac:dyDescent="0.3">
      <c r="A596" s="422"/>
      <c r="B596" s="376"/>
      <c r="C596" s="110"/>
      <c r="D596" s="110"/>
      <c r="E596" s="340"/>
      <c r="F596" s="330"/>
      <c r="G596" s="113"/>
      <c r="H596" s="332"/>
      <c r="I596" s="113"/>
      <c r="J596" s="332"/>
      <c r="K596" s="110"/>
      <c r="L596" s="110"/>
      <c r="M596" s="110"/>
      <c r="N596" s="110"/>
      <c r="O596" s="111"/>
      <c r="P596" s="424" t="str">
        <f>IF(OR(Table13[[#This Row],[Annual Increase Option]]="No increase",Table13[[#This Row],[Annual Increase Option]]=""),"",_xlfn.XLOOKUP(MONTH(Table13[[#This Row],[Commencement Date]]),Lookups!$I$19:$I$30,Lookups!$J$19:$J$30,0))</f>
        <v/>
      </c>
      <c r="Q596" s="340"/>
      <c r="R596" s="340"/>
      <c r="S596" s="360">
        <f>IF(Table13[[#This Row],[Life Cover Amount]]="",0,Table2[[#This Row],[Life Premium]])</f>
        <v>0</v>
      </c>
      <c r="T596" s="360">
        <f>IF(Table13[[#This Row],[Funeral Cover Amount]]=0,0,Table2[[#This Row],[Funeral Premium]])</f>
        <v>0</v>
      </c>
      <c r="U596" s="360">
        <f>IF(AND(Table13[[#This Row],[Life Cover Amount]]="",Table13[[#This Row],[Funeral Cover Amount]]=""),0,onboarding_calcs!AA596)</f>
        <v>0</v>
      </c>
      <c r="V596" s="111"/>
      <c r="W596" s="111"/>
      <c r="X596" s="333"/>
      <c r="Y596" s="110"/>
      <c r="Z596" s="113"/>
      <c r="AA596" s="425"/>
      <c r="AB596" s="425"/>
      <c r="AC596" s="113"/>
      <c r="AD596" s="110"/>
      <c r="AE596" s="110"/>
      <c r="AF596" s="110"/>
      <c r="AG596" s="110"/>
      <c r="AH596" s="110"/>
      <c r="AI596" s="113"/>
      <c r="AJ596" s="110"/>
      <c r="AK596" s="110"/>
      <c r="AL596" s="110"/>
      <c r="AM596" s="110"/>
      <c r="AN596" s="110"/>
      <c r="AO596" s="113"/>
      <c r="AP596" s="113"/>
      <c r="AQ596" s="113"/>
      <c r="AR596" s="110"/>
      <c r="AS596" s="113"/>
      <c r="AT596" s="113"/>
      <c r="AU596" s="112"/>
      <c r="AV596" s="338"/>
      <c r="AW596" s="110"/>
      <c r="AX596" s="110"/>
      <c r="AY596" s="113"/>
      <c r="AZ596" s="113"/>
      <c r="BA596" s="113"/>
      <c r="BB596" s="113"/>
      <c r="BC596" s="113"/>
      <c r="BD596" s="113"/>
      <c r="BF59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97" spans="1:58" x14ac:dyDescent="0.3">
      <c r="A597" s="422"/>
      <c r="B597" s="376"/>
      <c r="C597" s="110"/>
      <c r="D597" s="110"/>
      <c r="E597" s="340"/>
      <c r="F597" s="330"/>
      <c r="G597" s="113"/>
      <c r="H597" s="332"/>
      <c r="I597" s="113"/>
      <c r="J597" s="332"/>
      <c r="K597" s="110"/>
      <c r="L597" s="110"/>
      <c r="M597" s="110"/>
      <c r="N597" s="110"/>
      <c r="O597" s="111"/>
      <c r="P597" s="424" t="str">
        <f>IF(OR(Table13[[#This Row],[Annual Increase Option]]="No increase",Table13[[#This Row],[Annual Increase Option]]=""),"",_xlfn.XLOOKUP(MONTH(Table13[[#This Row],[Commencement Date]]),Lookups!$I$19:$I$30,Lookups!$J$19:$J$30,0))</f>
        <v/>
      </c>
      <c r="Q597" s="340"/>
      <c r="R597" s="340"/>
      <c r="S597" s="360">
        <f>IF(Table13[[#This Row],[Life Cover Amount]]="",0,Table2[[#This Row],[Life Premium]])</f>
        <v>0</v>
      </c>
      <c r="T597" s="360">
        <f>IF(Table13[[#This Row],[Funeral Cover Amount]]=0,0,Table2[[#This Row],[Funeral Premium]])</f>
        <v>0</v>
      </c>
      <c r="U597" s="360">
        <f>IF(AND(Table13[[#This Row],[Life Cover Amount]]="",Table13[[#This Row],[Funeral Cover Amount]]=""),0,onboarding_calcs!AA597)</f>
        <v>0</v>
      </c>
      <c r="V597" s="111"/>
      <c r="W597" s="111"/>
      <c r="X597" s="333"/>
      <c r="Y597" s="110"/>
      <c r="Z597" s="113"/>
      <c r="AA597" s="425"/>
      <c r="AB597" s="425"/>
      <c r="AC597" s="113"/>
      <c r="AD597" s="110"/>
      <c r="AE597" s="110"/>
      <c r="AF597" s="110"/>
      <c r="AG597" s="110"/>
      <c r="AH597" s="110"/>
      <c r="AI597" s="113"/>
      <c r="AJ597" s="110"/>
      <c r="AK597" s="110"/>
      <c r="AL597" s="110"/>
      <c r="AM597" s="110"/>
      <c r="AN597" s="110"/>
      <c r="AO597" s="113"/>
      <c r="AP597" s="113"/>
      <c r="AQ597" s="113"/>
      <c r="AR597" s="110"/>
      <c r="AS597" s="113"/>
      <c r="AT597" s="113"/>
      <c r="AU597" s="112"/>
      <c r="AV597" s="338"/>
      <c r="AW597" s="110"/>
      <c r="AX597" s="110"/>
      <c r="AY597" s="113"/>
      <c r="AZ597" s="113"/>
      <c r="BA597" s="113"/>
      <c r="BB597" s="113"/>
      <c r="BC597" s="113"/>
      <c r="BD597" s="113"/>
      <c r="BF59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98" spans="1:58" x14ac:dyDescent="0.3">
      <c r="A598" s="422"/>
      <c r="B598" s="376"/>
      <c r="C598" s="110"/>
      <c r="D598" s="110"/>
      <c r="E598" s="340"/>
      <c r="F598" s="330"/>
      <c r="G598" s="113"/>
      <c r="H598" s="332"/>
      <c r="I598" s="113"/>
      <c r="J598" s="332"/>
      <c r="K598" s="110"/>
      <c r="L598" s="110"/>
      <c r="M598" s="110"/>
      <c r="N598" s="110"/>
      <c r="O598" s="111"/>
      <c r="P598" s="424" t="str">
        <f>IF(OR(Table13[[#This Row],[Annual Increase Option]]="No increase",Table13[[#This Row],[Annual Increase Option]]=""),"",_xlfn.XLOOKUP(MONTH(Table13[[#This Row],[Commencement Date]]),Lookups!$I$19:$I$30,Lookups!$J$19:$J$30,0))</f>
        <v/>
      </c>
      <c r="Q598" s="340"/>
      <c r="R598" s="340"/>
      <c r="S598" s="360">
        <f>IF(Table13[[#This Row],[Life Cover Amount]]="",0,Table2[[#This Row],[Life Premium]])</f>
        <v>0</v>
      </c>
      <c r="T598" s="360">
        <f>IF(Table13[[#This Row],[Funeral Cover Amount]]=0,0,Table2[[#This Row],[Funeral Premium]])</f>
        <v>0</v>
      </c>
      <c r="U598" s="360">
        <f>IF(AND(Table13[[#This Row],[Life Cover Amount]]="",Table13[[#This Row],[Funeral Cover Amount]]=""),0,onboarding_calcs!AA598)</f>
        <v>0</v>
      </c>
      <c r="V598" s="111"/>
      <c r="W598" s="111"/>
      <c r="X598" s="333"/>
      <c r="Y598" s="110"/>
      <c r="Z598" s="113"/>
      <c r="AA598" s="425"/>
      <c r="AB598" s="425"/>
      <c r="AC598" s="113"/>
      <c r="AD598" s="110"/>
      <c r="AE598" s="110"/>
      <c r="AF598" s="110"/>
      <c r="AG598" s="110"/>
      <c r="AH598" s="110"/>
      <c r="AI598" s="113"/>
      <c r="AJ598" s="110"/>
      <c r="AK598" s="110"/>
      <c r="AL598" s="110"/>
      <c r="AM598" s="110"/>
      <c r="AN598" s="110"/>
      <c r="AO598" s="113"/>
      <c r="AP598" s="113"/>
      <c r="AQ598" s="113"/>
      <c r="AR598" s="110"/>
      <c r="AS598" s="113"/>
      <c r="AT598" s="113"/>
      <c r="AU598" s="112"/>
      <c r="AV598" s="338"/>
      <c r="AW598" s="110"/>
      <c r="AX598" s="110"/>
      <c r="AY598" s="113"/>
      <c r="AZ598" s="113"/>
      <c r="BA598" s="113"/>
      <c r="BB598" s="113"/>
      <c r="BC598" s="113"/>
      <c r="BD598" s="113"/>
      <c r="BF59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599" spans="1:58" x14ac:dyDescent="0.3">
      <c r="A599" s="422"/>
      <c r="B599" s="376"/>
      <c r="C599" s="110"/>
      <c r="D599" s="110"/>
      <c r="E599" s="340"/>
      <c r="F599" s="330"/>
      <c r="G599" s="113"/>
      <c r="H599" s="332"/>
      <c r="I599" s="113"/>
      <c r="J599" s="332"/>
      <c r="K599" s="110"/>
      <c r="L599" s="110"/>
      <c r="M599" s="110"/>
      <c r="N599" s="110"/>
      <c r="O599" s="111"/>
      <c r="P599" s="424" t="str">
        <f>IF(OR(Table13[[#This Row],[Annual Increase Option]]="No increase",Table13[[#This Row],[Annual Increase Option]]=""),"",_xlfn.XLOOKUP(MONTH(Table13[[#This Row],[Commencement Date]]),Lookups!$I$19:$I$30,Lookups!$J$19:$J$30,0))</f>
        <v/>
      </c>
      <c r="Q599" s="340"/>
      <c r="R599" s="340"/>
      <c r="S599" s="360">
        <f>IF(Table13[[#This Row],[Life Cover Amount]]="",0,Table2[[#This Row],[Life Premium]])</f>
        <v>0</v>
      </c>
      <c r="T599" s="360">
        <f>IF(Table13[[#This Row],[Funeral Cover Amount]]=0,0,Table2[[#This Row],[Funeral Premium]])</f>
        <v>0</v>
      </c>
      <c r="U599" s="360">
        <f>IF(AND(Table13[[#This Row],[Life Cover Amount]]="",Table13[[#This Row],[Funeral Cover Amount]]=""),0,onboarding_calcs!AA599)</f>
        <v>0</v>
      </c>
      <c r="V599" s="111"/>
      <c r="W599" s="111"/>
      <c r="X599" s="333"/>
      <c r="Y599" s="110"/>
      <c r="Z599" s="113"/>
      <c r="AA599" s="425"/>
      <c r="AB599" s="425"/>
      <c r="AC599" s="113"/>
      <c r="AD599" s="110"/>
      <c r="AE599" s="110"/>
      <c r="AF599" s="110"/>
      <c r="AG599" s="110"/>
      <c r="AH599" s="110"/>
      <c r="AI599" s="113"/>
      <c r="AJ599" s="110"/>
      <c r="AK599" s="110"/>
      <c r="AL599" s="110"/>
      <c r="AM599" s="110"/>
      <c r="AN599" s="110"/>
      <c r="AO599" s="113"/>
      <c r="AP599" s="113"/>
      <c r="AQ599" s="113"/>
      <c r="AR599" s="110"/>
      <c r="AS599" s="113"/>
      <c r="AT599" s="113"/>
      <c r="AU599" s="112"/>
      <c r="AV599" s="338"/>
      <c r="AW599" s="110"/>
      <c r="AX599" s="110"/>
      <c r="AY599" s="113"/>
      <c r="AZ599" s="113"/>
      <c r="BA599" s="113"/>
      <c r="BB599" s="113"/>
      <c r="BC599" s="113"/>
      <c r="BD599" s="113"/>
      <c r="BF59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00" spans="1:58" x14ac:dyDescent="0.3">
      <c r="A600" s="422"/>
      <c r="B600" s="376"/>
      <c r="C600" s="110"/>
      <c r="D600" s="110"/>
      <c r="E600" s="340"/>
      <c r="F600" s="330"/>
      <c r="G600" s="113"/>
      <c r="H600" s="332"/>
      <c r="I600" s="113"/>
      <c r="J600" s="332"/>
      <c r="K600" s="110"/>
      <c r="L600" s="110"/>
      <c r="M600" s="110"/>
      <c r="N600" s="110"/>
      <c r="O600" s="111"/>
      <c r="P600" s="424" t="str">
        <f>IF(OR(Table13[[#This Row],[Annual Increase Option]]="No increase",Table13[[#This Row],[Annual Increase Option]]=""),"",_xlfn.XLOOKUP(MONTH(Table13[[#This Row],[Commencement Date]]),Lookups!$I$19:$I$30,Lookups!$J$19:$J$30,0))</f>
        <v/>
      </c>
      <c r="Q600" s="340"/>
      <c r="R600" s="340"/>
      <c r="S600" s="360">
        <f>IF(Table13[[#This Row],[Life Cover Amount]]="",0,Table2[[#This Row],[Life Premium]])</f>
        <v>0</v>
      </c>
      <c r="T600" s="360">
        <f>IF(Table13[[#This Row],[Funeral Cover Amount]]=0,0,Table2[[#This Row],[Funeral Premium]])</f>
        <v>0</v>
      </c>
      <c r="U600" s="360">
        <f>IF(AND(Table13[[#This Row],[Life Cover Amount]]="",Table13[[#This Row],[Funeral Cover Amount]]=""),0,onboarding_calcs!AA600)</f>
        <v>0</v>
      </c>
      <c r="V600" s="111"/>
      <c r="W600" s="111"/>
      <c r="X600" s="333"/>
      <c r="Y600" s="110"/>
      <c r="Z600" s="113"/>
      <c r="AA600" s="425"/>
      <c r="AB600" s="425"/>
      <c r="AC600" s="113"/>
      <c r="AD600" s="110"/>
      <c r="AE600" s="110"/>
      <c r="AF600" s="110"/>
      <c r="AG600" s="110"/>
      <c r="AH600" s="110"/>
      <c r="AI600" s="113"/>
      <c r="AJ600" s="110"/>
      <c r="AK600" s="110"/>
      <c r="AL600" s="110"/>
      <c r="AM600" s="110"/>
      <c r="AN600" s="110"/>
      <c r="AO600" s="113"/>
      <c r="AP600" s="113"/>
      <c r="AQ600" s="113"/>
      <c r="AR600" s="110"/>
      <c r="AS600" s="113"/>
      <c r="AT600" s="113"/>
      <c r="AU600" s="112"/>
      <c r="AV600" s="338"/>
      <c r="AW600" s="110"/>
      <c r="AX600" s="110"/>
      <c r="AY600" s="113"/>
      <c r="AZ600" s="113"/>
      <c r="BA600" s="113"/>
      <c r="BB600" s="113"/>
      <c r="BC600" s="113"/>
      <c r="BD600" s="113"/>
      <c r="BF60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01" spans="1:58" x14ac:dyDescent="0.3">
      <c r="A601" s="422"/>
      <c r="B601" s="376"/>
      <c r="C601" s="110"/>
      <c r="D601" s="110"/>
      <c r="E601" s="340"/>
      <c r="F601" s="330"/>
      <c r="G601" s="113"/>
      <c r="H601" s="332"/>
      <c r="I601" s="113"/>
      <c r="J601" s="332"/>
      <c r="K601" s="110"/>
      <c r="L601" s="110"/>
      <c r="M601" s="110"/>
      <c r="N601" s="110"/>
      <c r="O601" s="111"/>
      <c r="P601" s="424" t="str">
        <f>IF(OR(Table13[[#This Row],[Annual Increase Option]]="No increase",Table13[[#This Row],[Annual Increase Option]]=""),"",_xlfn.XLOOKUP(MONTH(Table13[[#This Row],[Commencement Date]]),Lookups!$I$19:$I$30,Lookups!$J$19:$J$30,0))</f>
        <v/>
      </c>
      <c r="Q601" s="340"/>
      <c r="R601" s="340"/>
      <c r="S601" s="360">
        <f>IF(Table13[[#This Row],[Life Cover Amount]]="",0,Table2[[#This Row],[Life Premium]])</f>
        <v>0</v>
      </c>
      <c r="T601" s="360">
        <f>IF(Table13[[#This Row],[Funeral Cover Amount]]=0,0,Table2[[#This Row],[Funeral Premium]])</f>
        <v>0</v>
      </c>
      <c r="U601" s="360">
        <f>IF(AND(Table13[[#This Row],[Life Cover Amount]]="",Table13[[#This Row],[Funeral Cover Amount]]=""),0,onboarding_calcs!AA601)</f>
        <v>0</v>
      </c>
      <c r="V601" s="111"/>
      <c r="W601" s="111"/>
      <c r="X601" s="333"/>
      <c r="Y601" s="110"/>
      <c r="Z601" s="113"/>
      <c r="AA601" s="425"/>
      <c r="AB601" s="425"/>
      <c r="AC601" s="113"/>
      <c r="AD601" s="110"/>
      <c r="AE601" s="110"/>
      <c r="AF601" s="110"/>
      <c r="AG601" s="110"/>
      <c r="AH601" s="110"/>
      <c r="AI601" s="113"/>
      <c r="AJ601" s="110"/>
      <c r="AK601" s="110"/>
      <c r="AL601" s="110"/>
      <c r="AM601" s="110"/>
      <c r="AN601" s="110"/>
      <c r="AO601" s="113"/>
      <c r="AP601" s="113"/>
      <c r="AQ601" s="113"/>
      <c r="AR601" s="110"/>
      <c r="AS601" s="113"/>
      <c r="AT601" s="113"/>
      <c r="AU601" s="112"/>
      <c r="AV601" s="338"/>
      <c r="AW601" s="110"/>
      <c r="AX601" s="110"/>
      <c r="AY601" s="113"/>
      <c r="AZ601" s="113"/>
      <c r="BA601" s="113"/>
      <c r="BB601" s="113"/>
      <c r="BC601" s="113"/>
      <c r="BD601" s="113"/>
      <c r="BF60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02" spans="1:58" x14ac:dyDescent="0.3">
      <c r="A602" s="422"/>
      <c r="B602" s="376"/>
      <c r="C602" s="110"/>
      <c r="D602" s="110"/>
      <c r="E602" s="340"/>
      <c r="F602" s="330"/>
      <c r="G602" s="113"/>
      <c r="H602" s="332"/>
      <c r="I602" s="113"/>
      <c r="J602" s="332"/>
      <c r="K602" s="110"/>
      <c r="L602" s="110"/>
      <c r="M602" s="110"/>
      <c r="N602" s="110"/>
      <c r="O602" s="111"/>
      <c r="P602" s="424" t="str">
        <f>IF(OR(Table13[[#This Row],[Annual Increase Option]]="No increase",Table13[[#This Row],[Annual Increase Option]]=""),"",_xlfn.XLOOKUP(MONTH(Table13[[#This Row],[Commencement Date]]),Lookups!$I$19:$I$30,Lookups!$J$19:$J$30,0))</f>
        <v/>
      </c>
      <c r="Q602" s="340"/>
      <c r="R602" s="340"/>
      <c r="S602" s="360">
        <f>IF(Table13[[#This Row],[Life Cover Amount]]="",0,Table2[[#This Row],[Life Premium]])</f>
        <v>0</v>
      </c>
      <c r="T602" s="360">
        <f>IF(Table13[[#This Row],[Funeral Cover Amount]]=0,0,Table2[[#This Row],[Funeral Premium]])</f>
        <v>0</v>
      </c>
      <c r="U602" s="360">
        <f>IF(AND(Table13[[#This Row],[Life Cover Amount]]="",Table13[[#This Row],[Funeral Cover Amount]]=""),0,onboarding_calcs!AA602)</f>
        <v>0</v>
      </c>
      <c r="V602" s="111"/>
      <c r="W602" s="111"/>
      <c r="X602" s="333"/>
      <c r="Y602" s="110"/>
      <c r="Z602" s="113"/>
      <c r="AA602" s="425"/>
      <c r="AB602" s="425"/>
      <c r="AC602" s="113"/>
      <c r="AD602" s="110"/>
      <c r="AE602" s="110"/>
      <c r="AF602" s="110"/>
      <c r="AG602" s="110"/>
      <c r="AH602" s="110"/>
      <c r="AI602" s="113"/>
      <c r="AJ602" s="110"/>
      <c r="AK602" s="110"/>
      <c r="AL602" s="110"/>
      <c r="AM602" s="110"/>
      <c r="AN602" s="110"/>
      <c r="AO602" s="113"/>
      <c r="AP602" s="113"/>
      <c r="AQ602" s="113"/>
      <c r="AR602" s="110"/>
      <c r="AS602" s="113"/>
      <c r="AT602" s="113"/>
      <c r="AU602" s="112"/>
      <c r="AV602" s="338"/>
      <c r="AW602" s="110"/>
      <c r="AX602" s="110"/>
      <c r="AY602" s="113"/>
      <c r="AZ602" s="113"/>
      <c r="BA602" s="113"/>
      <c r="BB602" s="113"/>
      <c r="BC602" s="113"/>
      <c r="BD602" s="113"/>
      <c r="BF60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03" spans="1:58" x14ac:dyDescent="0.3">
      <c r="A603" s="422"/>
      <c r="B603" s="376"/>
      <c r="C603" s="110"/>
      <c r="D603" s="110"/>
      <c r="E603" s="340"/>
      <c r="F603" s="330"/>
      <c r="G603" s="113"/>
      <c r="H603" s="332"/>
      <c r="I603" s="113"/>
      <c r="J603" s="332"/>
      <c r="K603" s="110"/>
      <c r="L603" s="110"/>
      <c r="M603" s="110"/>
      <c r="N603" s="110"/>
      <c r="O603" s="111"/>
      <c r="P603" s="424" t="str">
        <f>IF(OR(Table13[[#This Row],[Annual Increase Option]]="No increase",Table13[[#This Row],[Annual Increase Option]]=""),"",_xlfn.XLOOKUP(MONTH(Table13[[#This Row],[Commencement Date]]),Lookups!$I$19:$I$30,Lookups!$J$19:$J$30,0))</f>
        <v/>
      </c>
      <c r="Q603" s="340"/>
      <c r="R603" s="340"/>
      <c r="S603" s="360">
        <f>IF(Table13[[#This Row],[Life Cover Amount]]="",0,Table2[[#This Row],[Life Premium]])</f>
        <v>0</v>
      </c>
      <c r="T603" s="360">
        <f>IF(Table13[[#This Row],[Funeral Cover Amount]]=0,0,Table2[[#This Row],[Funeral Premium]])</f>
        <v>0</v>
      </c>
      <c r="U603" s="360">
        <f>IF(AND(Table13[[#This Row],[Life Cover Amount]]="",Table13[[#This Row],[Funeral Cover Amount]]=""),0,onboarding_calcs!AA603)</f>
        <v>0</v>
      </c>
      <c r="V603" s="111"/>
      <c r="W603" s="111"/>
      <c r="X603" s="333"/>
      <c r="Y603" s="110"/>
      <c r="Z603" s="113"/>
      <c r="AA603" s="425"/>
      <c r="AB603" s="425"/>
      <c r="AC603" s="113"/>
      <c r="AD603" s="110"/>
      <c r="AE603" s="110"/>
      <c r="AF603" s="110"/>
      <c r="AG603" s="110"/>
      <c r="AH603" s="110"/>
      <c r="AI603" s="113"/>
      <c r="AJ603" s="110"/>
      <c r="AK603" s="110"/>
      <c r="AL603" s="110"/>
      <c r="AM603" s="110"/>
      <c r="AN603" s="110"/>
      <c r="AO603" s="113"/>
      <c r="AP603" s="113"/>
      <c r="AQ603" s="113"/>
      <c r="AR603" s="110"/>
      <c r="AS603" s="113"/>
      <c r="AT603" s="113"/>
      <c r="AU603" s="112"/>
      <c r="AV603" s="338"/>
      <c r="AW603" s="110"/>
      <c r="AX603" s="110"/>
      <c r="AY603" s="113"/>
      <c r="AZ603" s="113"/>
      <c r="BA603" s="113"/>
      <c r="BB603" s="113"/>
      <c r="BC603" s="113"/>
      <c r="BD603" s="113"/>
      <c r="BF60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04" spans="1:58" x14ac:dyDescent="0.3">
      <c r="A604" s="422"/>
      <c r="B604" s="376"/>
      <c r="C604" s="110"/>
      <c r="D604" s="110"/>
      <c r="E604" s="340"/>
      <c r="F604" s="330"/>
      <c r="G604" s="113"/>
      <c r="H604" s="332"/>
      <c r="I604" s="113"/>
      <c r="J604" s="332"/>
      <c r="K604" s="110"/>
      <c r="L604" s="110"/>
      <c r="M604" s="110"/>
      <c r="N604" s="110"/>
      <c r="O604" s="111"/>
      <c r="P604" s="424" t="str">
        <f>IF(OR(Table13[[#This Row],[Annual Increase Option]]="No increase",Table13[[#This Row],[Annual Increase Option]]=""),"",_xlfn.XLOOKUP(MONTH(Table13[[#This Row],[Commencement Date]]),Lookups!$I$19:$I$30,Lookups!$J$19:$J$30,0))</f>
        <v/>
      </c>
      <c r="Q604" s="340"/>
      <c r="R604" s="340"/>
      <c r="S604" s="360">
        <f>IF(Table13[[#This Row],[Life Cover Amount]]="",0,Table2[[#This Row],[Life Premium]])</f>
        <v>0</v>
      </c>
      <c r="T604" s="360">
        <f>IF(Table13[[#This Row],[Funeral Cover Amount]]=0,0,Table2[[#This Row],[Funeral Premium]])</f>
        <v>0</v>
      </c>
      <c r="U604" s="360">
        <f>IF(AND(Table13[[#This Row],[Life Cover Amount]]="",Table13[[#This Row],[Funeral Cover Amount]]=""),0,onboarding_calcs!AA604)</f>
        <v>0</v>
      </c>
      <c r="V604" s="111"/>
      <c r="W604" s="111"/>
      <c r="X604" s="333"/>
      <c r="Y604" s="110"/>
      <c r="Z604" s="113"/>
      <c r="AA604" s="425"/>
      <c r="AB604" s="425"/>
      <c r="AC604" s="113"/>
      <c r="AD604" s="110"/>
      <c r="AE604" s="110"/>
      <c r="AF604" s="110"/>
      <c r="AG604" s="110"/>
      <c r="AH604" s="110"/>
      <c r="AI604" s="113"/>
      <c r="AJ604" s="110"/>
      <c r="AK604" s="110"/>
      <c r="AL604" s="110"/>
      <c r="AM604" s="110"/>
      <c r="AN604" s="110"/>
      <c r="AO604" s="113"/>
      <c r="AP604" s="113"/>
      <c r="AQ604" s="113"/>
      <c r="AR604" s="110"/>
      <c r="AS604" s="113"/>
      <c r="AT604" s="113"/>
      <c r="AU604" s="112"/>
      <c r="AV604" s="338"/>
      <c r="AW604" s="110"/>
      <c r="AX604" s="110"/>
      <c r="AY604" s="113"/>
      <c r="AZ604" s="113"/>
      <c r="BA604" s="113"/>
      <c r="BB604" s="113"/>
      <c r="BC604" s="113"/>
      <c r="BD604" s="113"/>
      <c r="BF60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05" spans="1:58" x14ac:dyDescent="0.3">
      <c r="A605" s="422"/>
      <c r="B605" s="376"/>
      <c r="C605" s="110"/>
      <c r="D605" s="110"/>
      <c r="E605" s="340"/>
      <c r="F605" s="330"/>
      <c r="G605" s="113"/>
      <c r="H605" s="332"/>
      <c r="I605" s="113"/>
      <c r="J605" s="332"/>
      <c r="K605" s="110"/>
      <c r="L605" s="110"/>
      <c r="M605" s="110"/>
      <c r="N605" s="110"/>
      <c r="O605" s="111"/>
      <c r="P605" s="424" t="str">
        <f>IF(OR(Table13[[#This Row],[Annual Increase Option]]="No increase",Table13[[#This Row],[Annual Increase Option]]=""),"",_xlfn.XLOOKUP(MONTH(Table13[[#This Row],[Commencement Date]]),Lookups!$I$19:$I$30,Lookups!$J$19:$J$30,0))</f>
        <v/>
      </c>
      <c r="Q605" s="340"/>
      <c r="R605" s="340"/>
      <c r="S605" s="360">
        <f>IF(Table13[[#This Row],[Life Cover Amount]]="",0,Table2[[#This Row],[Life Premium]])</f>
        <v>0</v>
      </c>
      <c r="T605" s="360">
        <f>IF(Table13[[#This Row],[Funeral Cover Amount]]=0,0,Table2[[#This Row],[Funeral Premium]])</f>
        <v>0</v>
      </c>
      <c r="U605" s="360">
        <f>IF(AND(Table13[[#This Row],[Life Cover Amount]]="",Table13[[#This Row],[Funeral Cover Amount]]=""),0,onboarding_calcs!AA605)</f>
        <v>0</v>
      </c>
      <c r="V605" s="111"/>
      <c r="W605" s="111"/>
      <c r="X605" s="333"/>
      <c r="Y605" s="110"/>
      <c r="Z605" s="113"/>
      <c r="AA605" s="425"/>
      <c r="AB605" s="425"/>
      <c r="AC605" s="113"/>
      <c r="AD605" s="110"/>
      <c r="AE605" s="110"/>
      <c r="AF605" s="110"/>
      <c r="AG605" s="110"/>
      <c r="AH605" s="110"/>
      <c r="AI605" s="113"/>
      <c r="AJ605" s="110"/>
      <c r="AK605" s="110"/>
      <c r="AL605" s="110"/>
      <c r="AM605" s="110"/>
      <c r="AN605" s="110"/>
      <c r="AO605" s="113"/>
      <c r="AP605" s="113"/>
      <c r="AQ605" s="113"/>
      <c r="AR605" s="110"/>
      <c r="AS605" s="113"/>
      <c r="AT605" s="113"/>
      <c r="AU605" s="112"/>
      <c r="AV605" s="338"/>
      <c r="AW605" s="110"/>
      <c r="AX605" s="110"/>
      <c r="AY605" s="113"/>
      <c r="AZ605" s="113"/>
      <c r="BA605" s="113"/>
      <c r="BB605" s="113"/>
      <c r="BC605" s="113"/>
      <c r="BD605" s="113"/>
      <c r="BF60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06" spans="1:58" x14ac:dyDescent="0.3">
      <c r="A606" s="422"/>
      <c r="B606" s="376"/>
      <c r="C606" s="110"/>
      <c r="D606" s="110"/>
      <c r="E606" s="340"/>
      <c r="F606" s="330"/>
      <c r="G606" s="113"/>
      <c r="H606" s="332"/>
      <c r="I606" s="113"/>
      <c r="J606" s="332"/>
      <c r="K606" s="110"/>
      <c r="L606" s="110"/>
      <c r="M606" s="110"/>
      <c r="N606" s="110"/>
      <c r="O606" s="111"/>
      <c r="P606" s="424" t="str">
        <f>IF(OR(Table13[[#This Row],[Annual Increase Option]]="No increase",Table13[[#This Row],[Annual Increase Option]]=""),"",_xlfn.XLOOKUP(MONTH(Table13[[#This Row],[Commencement Date]]),Lookups!$I$19:$I$30,Lookups!$J$19:$J$30,0))</f>
        <v/>
      </c>
      <c r="Q606" s="340"/>
      <c r="R606" s="340"/>
      <c r="S606" s="360">
        <f>IF(Table13[[#This Row],[Life Cover Amount]]="",0,Table2[[#This Row],[Life Premium]])</f>
        <v>0</v>
      </c>
      <c r="T606" s="360">
        <f>IF(Table13[[#This Row],[Funeral Cover Amount]]=0,0,Table2[[#This Row],[Funeral Premium]])</f>
        <v>0</v>
      </c>
      <c r="U606" s="360">
        <f>IF(AND(Table13[[#This Row],[Life Cover Amount]]="",Table13[[#This Row],[Funeral Cover Amount]]=""),0,onboarding_calcs!AA606)</f>
        <v>0</v>
      </c>
      <c r="V606" s="111"/>
      <c r="W606" s="111"/>
      <c r="X606" s="333"/>
      <c r="Y606" s="110"/>
      <c r="Z606" s="113"/>
      <c r="AA606" s="425"/>
      <c r="AB606" s="425"/>
      <c r="AC606" s="113"/>
      <c r="AD606" s="110"/>
      <c r="AE606" s="110"/>
      <c r="AF606" s="110"/>
      <c r="AG606" s="110"/>
      <c r="AH606" s="110"/>
      <c r="AI606" s="113"/>
      <c r="AJ606" s="110"/>
      <c r="AK606" s="110"/>
      <c r="AL606" s="110"/>
      <c r="AM606" s="110"/>
      <c r="AN606" s="110"/>
      <c r="AO606" s="113"/>
      <c r="AP606" s="113"/>
      <c r="AQ606" s="113"/>
      <c r="AR606" s="110"/>
      <c r="AS606" s="113"/>
      <c r="AT606" s="113"/>
      <c r="AU606" s="112"/>
      <c r="AV606" s="338"/>
      <c r="AW606" s="110"/>
      <c r="AX606" s="110"/>
      <c r="AY606" s="113"/>
      <c r="AZ606" s="113"/>
      <c r="BA606" s="113"/>
      <c r="BB606" s="113"/>
      <c r="BC606" s="113"/>
      <c r="BD606" s="113"/>
      <c r="BF60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07" spans="1:58" x14ac:dyDescent="0.3">
      <c r="A607" s="422"/>
      <c r="B607" s="376"/>
      <c r="C607" s="110"/>
      <c r="D607" s="110"/>
      <c r="E607" s="340"/>
      <c r="F607" s="330"/>
      <c r="G607" s="113"/>
      <c r="H607" s="332"/>
      <c r="I607" s="113"/>
      <c r="J607" s="332"/>
      <c r="K607" s="110"/>
      <c r="L607" s="110"/>
      <c r="M607" s="110"/>
      <c r="N607" s="110"/>
      <c r="O607" s="111"/>
      <c r="P607" s="424" t="str">
        <f>IF(OR(Table13[[#This Row],[Annual Increase Option]]="No increase",Table13[[#This Row],[Annual Increase Option]]=""),"",_xlfn.XLOOKUP(MONTH(Table13[[#This Row],[Commencement Date]]),Lookups!$I$19:$I$30,Lookups!$J$19:$J$30,0))</f>
        <v/>
      </c>
      <c r="Q607" s="340"/>
      <c r="R607" s="340"/>
      <c r="S607" s="360">
        <f>IF(Table13[[#This Row],[Life Cover Amount]]="",0,Table2[[#This Row],[Life Premium]])</f>
        <v>0</v>
      </c>
      <c r="T607" s="360">
        <f>IF(Table13[[#This Row],[Funeral Cover Amount]]=0,0,Table2[[#This Row],[Funeral Premium]])</f>
        <v>0</v>
      </c>
      <c r="U607" s="360">
        <f>IF(AND(Table13[[#This Row],[Life Cover Amount]]="",Table13[[#This Row],[Funeral Cover Amount]]=""),0,onboarding_calcs!AA607)</f>
        <v>0</v>
      </c>
      <c r="V607" s="111"/>
      <c r="W607" s="111"/>
      <c r="X607" s="333"/>
      <c r="Y607" s="110"/>
      <c r="Z607" s="113"/>
      <c r="AA607" s="425"/>
      <c r="AB607" s="425"/>
      <c r="AC607" s="113"/>
      <c r="AD607" s="110"/>
      <c r="AE607" s="110"/>
      <c r="AF607" s="110"/>
      <c r="AG607" s="110"/>
      <c r="AH607" s="110"/>
      <c r="AI607" s="113"/>
      <c r="AJ607" s="110"/>
      <c r="AK607" s="110"/>
      <c r="AL607" s="110"/>
      <c r="AM607" s="110"/>
      <c r="AN607" s="110"/>
      <c r="AO607" s="113"/>
      <c r="AP607" s="113"/>
      <c r="AQ607" s="113"/>
      <c r="AR607" s="110"/>
      <c r="AS607" s="113"/>
      <c r="AT607" s="113"/>
      <c r="AU607" s="112"/>
      <c r="AV607" s="338"/>
      <c r="AW607" s="110"/>
      <c r="AX607" s="110"/>
      <c r="AY607" s="113"/>
      <c r="AZ607" s="113"/>
      <c r="BA607" s="113"/>
      <c r="BB607" s="113"/>
      <c r="BC607" s="113"/>
      <c r="BD607" s="113"/>
      <c r="BF60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08" spans="1:58" x14ac:dyDescent="0.3">
      <c r="A608" s="422"/>
      <c r="B608" s="376"/>
      <c r="C608" s="110"/>
      <c r="D608" s="110"/>
      <c r="E608" s="340"/>
      <c r="F608" s="330"/>
      <c r="G608" s="113"/>
      <c r="H608" s="332"/>
      <c r="I608" s="113"/>
      <c r="J608" s="332"/>
      <c r="K608" s="110"/>
      <c r="L608" s="110"/>
      <c r="M608" s="110"/>
      <c r="N608" s="110"/>
      <c r="O608" s="111"/>
      <c r="P608" s="424" t="str">
        <f>IF(OR(Table13[[#This Row],[Annual Increase Option]]="No increase",Table13[[#This Row],[Annual Increase Option]]=""),"",_xlfn.XLOOKUP(MONTH(Table13[[#This Row],[Commencement Date]]),Lookups!$I$19:$I$30,Lookups!$J$19:$J$30,0))</f>
        <v/>
      </c>
      <c r="Q608" s="340"/>
      <c r="R608" s="340"/>
      <c r="S608" s="360">
        <f>IF(Table13[[#This Row],[Life Cover Amount]]="",0,Table2[[#This Row],[Life Premium]])</f>
        <v>0</v>
      </c>
      <c r="T608" s="360">
        <f>IF(Table13[[#This Row],[Funeral Cover Amount]]=0,0,Table2[[#This Row],[Funeral Premium]])</f>
        <v>0</v>
      </c>
      <c r="U608" s="360">
        <f>IF(AND(Table13[[#This Row],[Life Cover Amount]]="",Table13[[#This Row],[Funeral Cover Amount]]=""),0,onboarding_calcs!AA608)</f>
        <v>0</v>
      </c>
      <c r="V608" s="111"/>
      <c r="W608" s="111"/>
      <c r="X608" s="333"/>
      <c r="Y608" s="110"/>
      <c r="Z608" s="113"/>
      <c r="AA608" s="425"/>
      <c r="AB608" s="425"/>
      <c r="AC608" s="113"/>
      <c r="AD608" s="110"/>
      <c r="AE608" s="110"/>
      <c r="AF608" s="110"/>
      <c r="AG608" s="110"/>
      <c r="AH608" s="110"/>
      <c r="AI608" s="113"/>
      <c r="AJ608" s="110"/>
      <c r="AK608" s="110"/>
      <c r="AL608" s="110"/>
      <c r="AM608" s="110"/>
      <c r="AN608" s="110"/>
      <c r="AO608" s="113"/>
      <c r="AP608" s="113"/>
      <c r="AQ608" s="113"/>
      <c r="AR608" s="110"/>
      <c r="AS608" s="113"/>
      <c r="AT608" s="113"/>
      <c r="AU608" s="112"/>
      <c r="AV608" s="338"/>
      <c r="AW608" s="110"/>
      <c r="AX608" s="110"/>
      <c r="AY608" s="113"/>
      <c r="AZ608" s="113"/>
      <c r="BA608" s="113"/>
      <c r="BB608" s="113"/>
      <c r="BC608" s="113"/>
      <c r="BD608" s="113"/>
      <c r="BF60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09" spans="1:58" x14ac:dyDescent="0.3">
      <c r="A609" s="422"/>
      <c r="B609" s="376"/>
      <c r="C609" s="110"/>
      <c r="D609" s="110"/>
      <c r="E609" s="340"/>
      <c r="F609" s="330"/>
      <c r="G609" s="113"/>
      <c r="H609" s="332"/>
      <c r="I609" s="113"/>
      <c r="J609" s="332"/>
      <c r="K609" s="110"/>
      <c r="L609" s="110"/>
      <c r="M609" s="110"/>
      <c r="N609" s="110"/>
      <c r="O609" s="111"/>
      <c r="P609" s="424" t="str">
        <f>IF(OR(Table13[[#This Row],[Annual Increase Option]]="No increase",Table13[[#This Row],[Annual Increase Option]]=""),"",_xlfn.XLOOKUP(MONTH(Table13[[#This Row],[Commencement Date]]),Lookups!$I$19:$I$30,Lookups!$J$19:$J$30,0))</f>
        <v/>
      </c>
      <c r="Q609" s="340"/>
      <c r="R609" s="340"/>
      <c r="S609" s="360">
        <f>IF(Table13[[#This Row],[Life Cover Amount]]="",0,Table2[[#This Row],[Life Premium]])</f>
        <v>0</v>
      </c>
      <c r="T609" s="360">
        <f>IF(Table13[[#This Row],[Funeral Cover Amount]]=0,0,Table2[[#This Row],[Funeral Premium]])</f>
        <v>0</v>
      </c>
      <c r="U609" s="360">
        <f>IF(AND(Table13[[#This Row],[Life Cover Amount]]="",Table13[[#This Row],[Funeral Cover Amount]]=""),0,onboarding_calcs!AA609)</f>
        <v>0</v>
      </c>
      <c r="V609" s="111"/>
      <c r="W609" s="111"/>
      <c r="X609" s="333"/>
      <c r="Y609" s="110"/>
      <c r="Z609" s="113"/>
      <c r="AA609" s="425"/>
      <c r="AB609" s="425"/>
      <c r="AC609" s="113"/>
      <c r="AD609" s="110"/>
      <c r="AE609" s="110"/>
      <c r="AF609" s="110"/>
      <c r="AG609" s="110"/>
      <c r="AH609" s="110"/>
      <c r="AI609" s="113"/>
      <c r="AJ609" s="110"/>
      <c r="AK609" s="110"/>
      <c r="AL609" s="110"/>
      <c r="AM609" s="110"/>
      <c r="AN609" s="110"/>
      <c r="AO609" s="113"/>
      <c r="AP609" s="113"/>
      <c r="AQ609" s="113"/>
      <c r="AR609" s="110"/>
      <c r="AS609" s="113"/>
      <c r="AT609" s="113"/>
      <c r="AU609" s="112"/>
      <c r="AV609" s="338"/>
      <c r="AW609" s="110"/>
      <c r="AX609" s="110"/>
      <c r="AY609" s="113"/>
      <c r="AZ609" s="113"/>
      <c r="BA609" s="113"/>
      <c r="BB609" s="113"/>
      <c r="BC609" s="113"/>
      <c r="BD609" s="113"/>
      <c r="BF60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10" spans="1:58" x14ac:dyDescent="0.3">
      <c r="A610" s="422"/>
      <c r="B610" s="376"/>
      <c r="C610" s="110"/>
      <c r="D610" s="110"/>
      <c r="E610" s="340"/>
      <c r="F610" s="330"/>
      <c r="G610" s="113"/>
      <c r="H610" s="332"/>
      <c r="I610" s="113"/>
      <c r="J610" s="332"/>
      <c r="K610" s="110"/>
      <c r="L610" s="110"/>
      <c r="M610" s="110"/>
      <c r="N610" s="110"/>
      <c r="O610" s="111"/>
      <c r="P610" s="424" t="str">
        <f>IF(OR(Table13[[#This Row],[Annual Increase Option]]="No increase",Table13[[#This Row],[Annual Increase Option]]=""),"",_xlfn.XLOOKUP(MONTH(Table13[[#This Row],[Commencement Date]]),Lookups!$I$19:$I$30,Lookups!$J$19:$J$30,0))</f>
        <v/>
      </c>
      <c r="Q610" s="340"/>
      <c r="R610" s="340"/>
      <c r="S610" s="360">
        <f>IF(Table13[[#This Row],[Life Cover Amount]]="",0,Table2[[#This Row],[Life Premium]])</f>
        <v>0</v>
      </c>
      <c r="T610" s="360">
        <f>IF(Table13[[#This Row],[Funeral Cover Amount]]=0,0,Table2[[#This Row],[Funeral Premium]])</f>
        <v>0</v>
      </c>
      <c r="U610" s="360">
        <f>IF(AND(Table13[[#This Row],[Life Cover Amount]]="",Table13[[#This Row],[Funeral Cover Amount]]=""),0,onboarding_calcs!AA610)</f>
        <v>0</v>
      </c>
      <c r="V610" s="111"/>
      <c r="W610" s="111"/>
      <c r="X610" s="333"/>
      <c r="Y610" s="110"/>
      <c r="Z610" s="113"/>
      <c r="AA610" s="425"/>
      <c r="AB610" s="425"/>
      <c r="AC610" s="113"/>
      <c r="AD610" s="110"/>
      <c r="AE610" s="110"/>
      <c r="AF610" s="110"/>
      <c r="AG610" s="110"/>
      <c r="AH610" s="110"/>
      <c r="AI610" s="113"/>
      <c r="AJ610" s="110"/>
      <c r="AK610" s="110"/>
      <c r="AL610" s="110"/>
      <c r="AM610" s="110"/>
      <c r="AN610" s="110"/>
      <c r="AO610" s="113"/>
      <c r="AP610" s="113"/>
      <c r="AQ610" s="113"/>
      <c r="AR610" s="110"/>
      <c r="AS610" s="113"/>
      <c r="AT610" s="113"/>
      <c r="AU610" s="112"/>
      <c r="AV610" s="338"/>
      <c r="AW610" s="110"/>
      <c r="AX610" s="110"/>
      <c r="AY610" s="113"/>
      <c r="AZ610" s="113"/>
      <c r="BA610" s="113"/>
      <c r="BB610" s="113"/>
      <c r="BC610" s="113"/>
      <c r="BD610" s="113"/>
      <c r="BF61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11" spans="1:58" x14ac:dyDescent="0.3">
      <c r="A611" s="422"/>
      <c r="B611" s="376"/>
      <c r="C611" s="110"/>
      <c r="D611" s="110"/>
      <c r="E611" s="340"/>
      <c r="F611" s="330"/>
      <c r="G611" s="113"/>
      <c r="H611" s="332"/>
      <c r="I611" s="113"/>
      <c r="J611" s="332"/>
      <c r="K611" s="110"/>
      <c r="L611" s="110"/>
      <c r="M611" s="110"/>
      <c r="N611" s="110"/>
      <c r="O611" s="111"/>
      <c r="P611" s="424" t="str">
        <f>IF(OR(Table13[[#This Row],[Annual Increase Option]]="No increase",Table13[[#This Row],[Annual Increase Option]]=""),"",_xlfn.XLOOKUP(MONTH(Table13[[#This Row],[Commencement Date]]),Lookups!$I$19:$I$30,Lookups!$J$19:$J$30,0))</f>
        <v/>
      </c>
      <c r="Q611" s="340"/>
      <c r="R611" s="340"/>
      <c r="S611" s="360">
        <f>IF(Table13[[#This Row],[Life Cover Amount]]="",0,Table2[[#This Row],[Life Premium]])</f>
        <v>0</v>
      </c>
      <c r="T611" s="360">
        <f>IF(Table13[[#This Row],[Funeral Cover Amount]]=0,0,Table2[[#This Row],[Funeral Premium]])</f>
        <v>0</v>
      </c>
      <c r="U611" s="360">
        <f>IF(AND(Table13[[#This Row],[Life Cover Amount]]="",Table13[[#This Row],[Funeral Cover Amount]]=""),0,onboarding_calcs!AA611)</f>
        <v>0</v>
      </c>
      <c r="V611" s="111"/>
      <c r="W611" s="111"/>
      <c r="X611" s="333"/>
      <c r="Y611" s="110"/>
      <c r="Z611" s="113"/>
      <c r="AA611" s="425"/>
      <c r="AB611" s="425"/>
      <c r="AC611" s="113"/>
      <c r="AD611" s="110"/>
      <c r="AE611" s="110"/>
      <c r="AF611" s="110"/>
      <c r="AG611" s="110"/>
      <c r="AH611" s="110"/>
      <c r="AI611" s="113"/>
      <c r="AJ611" s="110"/>
      <c r="AK611" s="110"/>
      <c r="AL611" s="110"/>
      <c r="AM611" s="110"/>
      <c r="AN611" s="110"/>
      <c r="AO611" s="113"/>
      <c r="AP611" s="113"/>
      <c r="AQ611" s="113"/>
      <c r="AR611" s="110"/>
      <c r="AS611" s="113"/>
      <c r="AT611" s="113"/>
      <c r="AU611" s="112"/>
      <c r="AV611" s="338"/>
      <c r="AW611" s="110"/>
      <c r="AX611" s="110"/>
      <c r="AY611" s="113"/>
      <c r="AZ611" s="113"/>
      <c r="BA611" s="113"/>
      <c r="BB611" s="113"/>
      <c r="BC611" s="113"/>
      <c r="BD611" s="113"/>
      <c r="BF61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12" spans="1:58" x14ac:dyDescent="0.3">
      <c r="A612" s="422"/>
      <c r="B612" s="376"/>
      <c r="C612" s="110"/>
      <c r="D612" s="110"/>
      <c r="E612" s="340"/>
      <c r="F612" s="330"/>
      <c r="G612" s="113"/>
      <c r="H612" s="332"/>
      <c r="I612" s="113"/>
      <c r="J612" s="332"/>
      <c r="K612" s="110"/>
      <c r="L612" s="110"/>
      <c r="M612" s="110"/>
      <c r="N612" s="110"/>
      <c r="O612" s="111"/>
      <c r="P612" s="424" t="str">
        <f>IF(OR(Table13[[#This Row],[Annual Increase Option]]="No increase",Table13[[#This Row],[Annual Increase Option]]=""),"",_xlfn.XLOOKUP(MONTH(Table13[[#This Row],[Commencement Date]]),Lookups!$I$19:$I$30,Lookups!$J$19:$J$30,0))</f>
        <v/>
      </c>
      <c r="Q612" s="340"/>
      <c r="R612" s="340"/>
      <c r="S612" s="360">
        <f>IF(Table13[[#This Row],[Life Cover Amount]]="",0,Table2[[#This Row],[Life Premium]])</f>
        <v>0</v>
      </c>
      <c r="T612" s="360">
        <f>IF(Table13[[#This Row],[Funeral Cover Amount]]=0,0,Table2[[#This Row],[Funeral Premium]])</f>
        <v>0</v>
      </c>
      <c r="U612" s="360">
        <f>IF(AND(Table13[[#This Row],[Life Cover Amount]]="",Table13[[#This Row],[Funeral Cover Amount]]=""),0,onboarding_calcs!AA612)</f>
        <v>0</v>
      </c>
      <c r="V612" s="111"/>
      <c r="W612" s="111"/>
      <c r="X612" s="333"/>
      <c r="Y612" s="110"/>
      <c r="Z612" s="113"/>
      <c r="AA612" s="425"/>
      <c r="AB612" s="425"/>
      <c r="AC612" s="113"/>
      <c r="AD612" s="110"/>
      <c r="AE612" s="110"/>
      <c r="AF612" s="110"/>
      <c r="AG612" s="110"/>
      <c r="AH612" s="110"/>
      <c r="AI612" s="113"/>
      <c r="AJ612" s="110"/>
      <c r="AK612" s="110"/>
      <c r="AL612" s="110"/>
      <c r="AM612" s="110"/>
      <c r="AN612" s="110"/>
      <c r="AO612" s="113"/>
      <c r="AP612" s="113"/>
      <c r="AQ612" s="113"/>
      <c r="AR612" s="110"/>
      <c r="AS612" s="113"/>
      <c r="AT612" s="113"/>
      <c r="AU612" s="112"/>
      <c r="AV612" s="338"/>
      <c r="AW612" s="110"/>
      <c r="AX612" s="110"/>
      <c r="AY612" s="113"/>
      <c r="AZ612" s="113"/>
      <c r="BA612" s="113"/>
      <c r="BB612" s="113"/>
      <c r="BC612" s="113"/>
      <c r="BD612" s="113"/>
      <c r="BF61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13" spans="1:58" x14ac:dyDescent="0.3">
      <c r="A613" s="422"/>
      <c r="B613" s="376"/>
      <c r="C613" s="110"/>
      <c r="D613" s="110"/>
      <c r="E613" s="340"/>
      <c r="F613" s="330"/>
      <c r="G613" s="113"/>
      <c r="H613" s="332"/>
      <c r="I613" s="113"/>
      <c r="J613" s="332"/>
      <c r="K613" s="110"/>
      <c r="L613" s="110"/>
      <c r="M613" s="110"/>
      <c r="N613" s="110"/>
      <c r="O613" s="111"/>
      <c r="P613" s="424" t="str">
        <f>IF(OR(Table13[[#This Row],[Annual Increase Option]]="No increase",Table13[[#This Row],[Annual Increase Option]]=""),"",_xlfn.XLOOKUP(MONTH(Table13[[#This Row],[Commencement Date]]),Lookups!$I$19:$I$30,Lookups!$J$19:$J$30,0))</f>
        <v/>
      </c>
      <c r="Q613" s="340"/>
      <c r="R613" s="340"/>
      <c r="S613" s="360">
        <f>IF(Table13[[#This Row],[Life Cover Amount]]="",0,Table2[[#This Row],[Life Premium]])</f>
        <v>0</v>
      </c>
      <c r="T613" s="360">
        <f>IF(Table13[[#This Row],[Funeral Cover Amount]]=0,0,Table2[[#This Row],[Funeral Premium]])</f>
        <v>0</v>
      </c>
      <c r="U613" s="360">
        <f>IF(AND(Table13[[#This Row],[Life Cover Amount]]="",Table13[[#This Row],[Funeral Cover Amount]]=""),0,onboarding_calcs!AA613)</f>
        <v>0</v>
      </c>
      <c r="V613" s="111"/>
      <c r="W613" s="111"/>
      <c r="X613" s="333"/>
      <c r="Y613" s="110"/>
      <c r="Z613" s="113"/>
      <c r="AA613" s="425"/>
      <c r="AB613" s="425"/>
      <c r="AC613" s="113"/>
      <c r="AD613" s="110"/>
      <c r="AE613" s="110"/>
      <c r="AF613" s="110"/>
      <c r="AG613" s="110"/>
      <c r="AH613" s="110"/>
      <c r="AI613" s="113"/>
      <c r="AJ613" s="110"/>
      <c r="AK613" s="110"/>
      <c r="AL613" s="110"/>
      <c r="AM613" s="110"/>
      <c r="AN613" s="110"/>
      <c r="AO613" s="113"/>
      <c r="AP613" s="113"/>
      <c r="AQ613" s="113"/>
      <c r="AR613" s="110"/>
      <c r="AS613" s="113"/>
      <c r="AT613" s="113"/>
      <c r="AU613" s="112"/>
      <c r="AV613" s="338"/>
      <c r="AW613" s="110"/>
      <c r="AX613" s="110"/>
      <c r="AY613" s="113"/>
      <c r="AZ613" s="113"/>
      <c r="BA613" s="113"/>
      <c r="BB613" s="113"/>
      <c r="BC613" s="113"/>
      <c r="BD613" s="113"/>
      <c r="BF61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14" spans="1:58" x14ac:dyDescent="0.3">
      <c r="A614" s="422"/>
      <c r="B614" s="376"/>
      <c r="C614" s="110"/>
      <c r="D614" s="110"/>
      <c r="E614" s="340"/>
      <c r="F614" s="330"/>
      <c r="G614" s="113"/>
      <c r="H614" s="332"/>
      <c r="I614" s="113"/>
      <c r="J614" s="332"/>
      <c r="K614" s="110"/>
      <c r="L614" s="110"/>
      <c r="M614" s="110"/>
      <c r="N614" s="110"/>
      <c r="O614" s="111"/>
      <c r="P614" s="424" t="str">
        <f>IF(OR(Table13[[#This Row],[Annual Increase Option]]="No increase",Table13[[#This Row],[Annual Increase Option]]=""),"",_xlfn.XLOOKUP(MONTH(Table13[[#This Row],[Commencement Date]]),Lookups!$I$19:$I$30,Lookups!$J$19:$J$30,0))</f>
        <v/>
      </c>
      <c r="Q614" s="340"/>
      <c r="R614" s="340"/>
      <c r="S614" s="360">
        <f>IF(Table13[[#This Row],[Life Cover Amount]]="",0,Table2[[#This Row],[Life Premium]])</f>
        <v>0</v>
      </c>
      <c r="T614" s="360">
        <f>IF(Table13[[#This Row],[Funeral Cover Amount]]=0,0,Table2[[#This Row],[Funeral Premium]])</f>
        <v>0</v>
      </c>
      <c r="U614" s="360">
        <f>IF(AND(Table13[[#This Row],[Life Cover Amount]]="",Table13[[#This Row],[Funeral Cover Amount]]=""),0,onboarding_calcs!AA614)</f>
        <v>0</v>
      </c>
      <c r="V614" s="111"/>
      <c r="W614" s="111"/>
      <c r="X614" s="333"/>
      <c r="Y614" s="110"/>
      <c r="Z614" s="113"/>
      <c r="AA614" s="425"/>
      <c r="AB614" s="425"/>
      <c r="AC614" s="113"/>
      <c r="AD614" s="110"/>
      <c r="AE614" s="110"/>
      <c r="AF614" s="110"/>
      <c r="AG614" s="110"/>
      <c r="AH614" s="110"/>
      <c r="AI614" s="113"/>
      <c r="AJ614" s="110"/>
      <c r="AK614" s="110"/>
      <c r="AL614" s="110"/>
      <c r="AM614" s="110"/>
      <c r="AN614" s="110"/>
      <c r="AO614" s="113"/>
      <c r="AP614" s="113"/>
      <c r="AQ614" s="113"/>
      <c r="AR614" s="110"/>
      <c r="AS614" s="113"/>
      <c r="AT614" s="113"/>
      <c r="AU614" s="112"/>
      <c r="AV614" s="338"/>
      <c r="AW614" s="110"/>
      <c r="AX614" s="110"/>
      <c r="AY614" s="113"/>
      <c r="AZ614" s="113"/>
      <c r="BA614" s="113"/>
      <c r="BB614" s="113"/>
      <c r="BC614" s="113"/>
      <c r="BD614" s="113"/>
      <c r="BF61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15" spans="1:58" x14ac:dyDescent="0.3">
      <c r="A615" s="422"/>
      <c r="B615" s="376"/>
      <c r="C615" s="110"/>
      <c r="D615" s="110"/>
      <c r="E615" s="340"/>
      <c r="F615" s="330"/>
      <c r="G615" s="113"/>
      <c r="H615" s="332"/>
      <c r="I615" s="113"/>
      <c r="J615" s="332"/>
      <c r="K615" s="110"/>
      <c r="L615" s="110"/>
      <c r="M615" s="110"/>
      <c r="N615" s="110"/>
      <c r="O615" s="111"/>
      <c r="P615" s="424" t="str">
        <f>IF(OR(Table13[[#This Row],[Annual Increase Option]]="No increase",Table13[[#This Row],[Annual Increase Option]]=""),"",_xlfn.XLOOKUP(MONTH(Table13[[#This Row],[Commencement Date]]),Lookups!$I$19:$I$30,Lookups!$J$19:$J$30,0))</f>
        <v/>
      </c>
      <c r="Q615" s="340"/>
      <c r="R615" s="340"/>
      <c r="S615" s="360">
        <f>IF(Table13[[#This Row],[Life Cover Amount]]="",0,Table2[[#This Row],[Life Premium]])</f>
        <v>0</v>
      </c>
      <c r="T615" s="360">
        <f>IF(Table13[[#This Row],[Funeral Cover Amount]]=0,0,Table2[[#This Row],[Funeral Premium]])</f>
        <v>0</v>
      </c>
      <c r="U615" s="360">
        <f>IF(AND(Table13[[#This Row],[Life Cover Amount]]="",Table13[[#This Row],[Funeral Cover Amount]]=""),0,onboarding_calcs!AA615)</f>
        <v>0</v>
      </c>
      <c r="V615" s="111"/>
      <c r="W615" s="111"/>
      <c r="X615" s="333"/>
      <c r="Y615" s="110"/>
      <c r="Z615" s="113"/>
      <c r="AA615" s="425"/>
      <c r="AB615" s="425"/>
      <c r="AC615" s="113"/>
      <c r="AD615" s="110"/>
      <c r="AE615" s="110"/>
      <c r="AF615" s="110"/>
      <c r="AG615" s="110"/>
      <c r="AH615" s="110"/>
      <c r="AI615" s="113"/>
      <c r="AJ615" s="110"/>
      <c r="AK615" s="110"/>
      <c r="AL615" s="110"/>
      <c r="AM615" s="110"/>
      <c r="AN615" s="110"/>
      <c r="AO615" s="113"/>
      <c r="AP615" s="113"/>
      <c r="AQ615" s="113"/>
      <c r="AR615" s="110"/>
      <c r="AS615" s="113"/>
      <c r="AT615" s="113"/>
      <c r="AU615" s="112"/>
      <c r="AV615" s="338"/>
      <c r="AW615" s="110"/>
      <c r="AX615" s="110"/>
      <c r="AY615" s="113"/>
      <c r="AZ615" s="113"/>
      <c r="BA615" s="113"/>
      <c r="BB615" s="113"/>
      <c r="BC615" s="113"/>
      <c r="BD615" s="113"/>
      <c r="BF61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16" spans="1:58" x14ac:dyDescent="0.3">
      <c r="A616" s="422"/>
      <c r="B616" s="376"/>
      <c r="C616" s="110"/>
      <c r="D616" s="110"/>
      <c r="E616" s="340"/>
      <c r="F616" s="330"/>
      <c r="G616" s="113"/>
      <c r="H616" s="332"/>
      <c r="I616" s="113"/>
      <c r="J616" s="332"/>
      <c r="K616" s="110"/>
      <c r="L616" s="110"/>
      <c r="M616" s="110"/>
      <c r="N616" s="110"/>
      <c r="O616" s="111"/>
      <c r="P616" s="424" t="str">
        <f>IF(OR(Table13[[#This Row],[Annual Increase Option]]="No increase",Table13[[#This Row],[Annual Increase Option]]=""),"",_xlfn.XLOOKUP(MONTH(Table13[[#This Row],[Commencement Date]]),Lookups!$I$19:$I$30,Lookups!$J$19:$J$30,0))</f>
        <v/>
      </c>
      <c r="Q616" s="340"/>
      <c r="R616" s="340"/>
      <c r="S616" s="360">
        <f>IF(Table13[[#This Row],[Life Cover Amount]]="",0,Table2[[#This Row],[Life Premium]])</f>
        <v>0</v>
      </c>
      <c r="T616" s="360">
        <f>IF(Table13[[#This Row],[Funeral Cover Amount]]=0,0,Table2[[#This Row],[Funeral Premium]])</f>
        <v>0</v>
      </c>
      <c r="U616" s="360">
        <f>IF(AND(Table13[[#This Row],[Life Cover Amount]]="",Table13[[#This Row],[Funeral Cover Amount]]=""),0,onboarding_calcs!AA616)</f>
        <v>0</v>
      </c>
      <c r="V616" s="111"/>
      <c r="W616" s="111"/>
      <c r="X616" s="333"/>
      <c r="Y616" s="110"/>
      <c r="Z616" s="113"/>
      <c r="AA616" s="425"/>
      <c r="AB616" s="425"/>
      <c r="AC616" s="113"/>
      <c r="AD616" s="110"/>
      <c r="AE616" s="110"/>
      <c r="AF616" s="110"/>
      <c r="AG616" s="110"/>
      <c r="AH616" s="110"/>
      <c r="AI616" s="113"/>
      <c r="AJ616" s="110"/>
      <c r="AK616" s="110"/>
      <c r="AL616" s="110"/>
      <c r="AM616" s="110"/>
      <c r="AN616" s="110"/>
      <c r="AO616" s="113"/>
      <c r="AP616" s="113"/>
      <c r="AQ616" s="113"/>
      <c r="AR616" s="110"/>
      <c r="AS616" s="113"/>
      <c r="AT616" s="113"/>
      <c r="AU616" s="112"/>
      <c r="AV616" s="338"/>
      <c r="AW616" s="110"/>
      <c r="AX616" s="110"/>
      <c r="AY616" s="113"/>
      <c r="AZ616" s="113"/>
      <c r="BA616" s="113"/>
      <c r="BB616" s="113"/>
      <c r="BC616" s="113"/>
      <c r="BD616" s="113"/>
      <c r="BF61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17" spans="1:58" x14ac:dyDescent="0.3">
      <c r="A617" s="422"/>
      <c r="B617" s="376"/>
      <c r="C617" s="110"/>
      <c r="D617" s="110"/>
      <c r="E617" s="340"/>
      <c r="F617" s="330"/>
      <c r="G617" s="113"/>
      <c r="H617" s="332"/>
      <c r="I617" s="113"/>
      <c r="J617" s="332"/>
      <c r="K617" s="110"/>
      <c r="L617" s="110"/>
      <c r="M617" s="110"/>
      <c r="N617" s="110"/>
      <c r="O617" s="111"/>
      <c r="P617" s="424" t="str">
        <f>IF(OR(Table13[[#This Row],[Annual Increase Option]]="No increase",Table13[[#This Row],[Annual Increase Option]]=""),"",_xlfn.XLOOKUP(MONTH(Table13[[#This Row],[Commencement Date]]),Lookups!$I$19:$I$30,Lookups!$J$19:$J$30,0))</f>
        <v/>
      </c>
      <c r="Q617" s="340"/>
      <c r="R617" s="340"/>
      <c r="S617" s="360">
        <f>IF(Table13[[#This Row],[Life Cover Amount]]="",0,Table2[[#This Row],[Life Premium]])</f>
        <v>0</v>
      </c>
      <c r="T617" s="360">
        <f>IF(Table13[[#This Row],[Funeral Cover Amount]]=0,0,Table2[[#This Row],[Funeral Premium]])</f>
        <v>0</v>
      </c>
      <c r="U617" s="360">
        <f>IF(AND(Table13[[#This Row],[Life Cover Amount]]="",Table13[[#This Row],[Funeral Cover Amount]]=""),0,onboarding_calcs!AA617)</f>
        <v>0</v>
      </c>
      <c r="V617" s="111"/>
      <c r="W617" s="111"/>
      <c r="X617" s="333"/>
      <c r="Y617" s="110"/>
      <c r="Z617" s="113"/>
      <c r="AA617" s="425"/>
      <c r="AB617" s="425"/>
      <c r="AC617" s="113"/>
      <c r="AD617" s="110"/>
      <c r="AE617" s="110"/>
      <c r="AF617" s="110"/>
      <c r="AG617" s="110"/>
      <c r="AH617" s="110"/>
      <c r="AI617" s="113"/>
      <c r="AJ617" s="110"/>
      <c r="AK617" s="110"/>
      <c r="AL617" s="110"/>
      <c r="AM617" s="110"/>
      <c r="AN617" s="110"/>
      <c r="AO617" s="113"/>
      <c r="AP617" s="113"/>
      <c r="AQ617" s="113"/>
      <c r="AR617" s="110"/>
      <c r="AS617" s="113"/>
      <c r="AT617" s="113"/>
      <c r="AU617" s="112"/>
      <c r="AV617" s="338"/>
      <c r="AW617" s="110"/>
      <c r="AX617" s="110"/>
      <c r="AY617" s="113"/>
      <c r="AZ617" s="113"/>
      <c r="BA617" s="113"/>
      <c r="BB617" s="113"/>
      <c r="BC617" s="113"/>
      <c r="BD617" s="113"/>
      <c r="BF61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18" spans="1:58" x14ac:dyDescent="0.3">
      <c r="A618" s="422"/>
      <c r="B618" s="376"/>
      <c r="C618" s="110"/>
      <c r="D618" s="110"/>
      <c r="E618" s="340"/>
      <c r="F618" s="330"/>
      <c r="G618" s="113"/>
      <c r="H618" s="332"/>
      <c r="I618" s="113"/>
      <c r="J618" s="332"/>
      <c r="K618" s="110"/>
      <c r="L618" s="110"/>
      <c r="M618" s="110"/>
      <c r="N618" s="110"/>
      <c r="O618" s="111"/>
      <c r="P618" s="424" t="str">
        <f>IF(OR(Table13[[#This Row],[Annual Increase Option]]="No increase",Table13[[#This Row],[Annual Increase Option]]=""),"",_xlfn.XLOOKUP(MONTH(Table13[[#This Row],[Commencement Date]]),Lookups!$I$19:$I$30,Lookups!$J$19:$J$30,0))</f>
        <v/>
      </c>
      <c r="Q618" s="340"/>
      <c r="R618" s="340"/>
      <c r="S618" s="360">
        <f>IF(Table13[[#This Row],[Life Cover Amount]]="",0,Table2[[#This Row],[Life Premium]])</f>
        <v>0</v>
      </c>
      <c r="T618" s="360">
        <f>IF(Table13[[#This Row],[Funeral Cover Amount]]=0,0,Table2[[#This Row],[Funeral Premium]])</f>
        <v>0</v>
      </c>
      <c r="U618" s="360">
        <f>IF(AND(Table13[[#This Row],[Life Cover Amount]]="",Table13[[#This Row],[Funeral Cover Amount]]=""),0,onboarding_calcs!AA618)</f>
        <v>0</v>
      </c>
      <c r="V618" s="111"/>
      <c r="W618" s="111"/>
      <c r="X618" s="333"/>
      <c r="Y618" s="110"/>
      <c r="Z618" s="113"/>
      <c r="AA618" s="425"/>
      <c r="AB618" s="425"/>
      <c r="AC618" s="113"/>
      <c r="AD618" s="110"/>
      <c r="AE618" s="110"/>
      <c r="AF618" s="110"/>
      <c r="AG618" s="110"/>
      <c r="AH618" s="110"/>
      <c r="AI618" s="113"/>
      <c r="AJ618" s="110"/>
      <c r="AK618" s="110"/>
      <c r="AL618" s="110"/>
      <c r="AM618" s="110"/>
      <c r="AN618" s="110"/>
      <c r="AO618" s="113"/>
      <c r="AP618" s="113"/>
      <c r="AQ618" s="113"/>
      <c r="AR618" s="110"/>
      <c r="AS618" s="113"/>
      <c r="AT618" s="113"/>
      <c r="AU618" s="112"/>
      <c r="AV618" s="338"/>
      <c r="AW618" s="110"/>
      <c r="AX618" s="110"/>
      <c r="AY618" s="113"/>
      <c r="AZ618" s="113"/>
      <c r="BA618" s="113"/>
      <c r="BB618" s="113"/>
      <c r="BC618" s="113"/>
      <c r="BD618" s="113"/>
      <c r="BF61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19" spans="1:58" x14ac:dyDescent="0.3">
      <c r="A619" s="422"/>
      <c r="B619" s="376"/>
      <c r="C619" s="110"/>
      <c r="D619" s="110"/>
      <c r="E619" s="340"/>
      <c r="F619" s="330"/>
      <c r="G619" s="113"/>
      <c r="H619" s="332"/>
      <c r="I619" s="113"/>
      <c r="J619" s="332"/>
      <c r="K619" s="110"/>
      <c r="L619" s="110"/>
      <c r="M619" s="110"/>
      <c r="N619" s="110"/>
      <c r="O619" s="111"/>
      <c r="P619" s="424" t="str">
        <f>IF(OR(Table13[[#This Row],[Annual Increase Option]]="No increase",Table13[[#This Row],[Annual Increase Option]]=""),"",_xlfn.XLOOKUP(MONTH(Table13[[#This Row],[Commencement Date]]),Lookups!$I$19:$I$30,Lookups!$J$19:$J$30,0))</f>
        <v/>
      </c>
      <c r="Q619" s="340"/>
      <c r="R619" s="340"/>
      <c r="S619" s="360">
        <f>IF(Table13[[#This Row],[Life Cover Amount]]="",0,Table2[[#This Row],[Life Premium]])</f>
        <v>0</v>
      </c>
      <c r="T619" s="360">
        <f>IF(Table13[[#This Row],[Funeral Cover Amount]]=0,0,Table2[[#This Row],[Funeral Premium]])</f>
        <v>0</v>
      </c>
      <c r="U619" s="360">
        <f>IF(AND(Table13[[#This Row],[Life Cover Amount]]="",Table13[[#This Row],[Funeral Cover Amount]]=""),0,onboarding_calcs!AA619)</f>
        <v>0</v>
      </c>
      <c r="V619" s="111"/>
      <c r="W619" s="111"/>
      <c r="X619" s="333"/>
      <c r="Y619" s="110"/>
      <c r="Z619" s="113"/>
      <c r="AA619" s="425"/>
      <c r="AB619" s="425"/>
      <c r="AC619" s="113"/>
      <c r="AD619" s="110"/>
      <c r="AE619" s="110"/>
      <c r="AF619" s="110"/>
      <c r="AG619" s="110"/>
      <c r="AH619" s="110"/>
      <c r="AI619" s="113"/>
      <c r="AJ619" s="110"/>
      <c r="AK619" s="110"/>
      <c r="AL619" s="110"/>
      <c r="AM619" s="110"/>
      <c r="AN619" s="110"/>
      <c r="AO619" s="113"/>
      <c r="AP619" s="113"/>
      <c r="AQ619" s="113"/>
      <c r="AR619" s="110"/>
      <c r="AS619" s="113"/>
      <c r="AT619" s="113"/>
      <c r="AU619" s="112"/>
      <c r="AV619" s="338"/>
      <c r="AW619" s="110"/>
      <c r="AX619" s="110"/>
      <c r="AY619" s="113"/>
      <c r="AZ619" s="113"/>
      <c r="BA619" s="113"/>
      <c r="BB619" s="113"/>
      <c r="BC619" s="113"/>
      <c r="BD619" s="113"/>
      <c r="BF61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20" spans="1:58" x14ac:dyDescent="0.3">
      <c r="A620" s="422"/>
      <c r="B620" s="376"/>
      <c r="C620" s="110"/>
      <c r="D620" s="110"/>
      <c r="E620" s="340"/>
      <c r="F620" s="330"/>
      <c r="G620" s="113"/>
      <c r="H620" s="332"/>
      <c r="I620" s="113"/>
      <c r="J620" s="332"/>
      <c r="K620" s="110"/>
      <c r="L620" s="110"/>
      <c r="M620" s="110"/>
      <c r="N620" s="110"/>
      <c r="O620" s="111"/>
      <c r="P620" s="424" t="str">
        <f>IF(OR(Table13[[#This Row],[Annual Increase Option]]="No increase",Table13[[#This Row],[Annual Increase Option]]=""),"",_xlfn.XLOOKUP(MONTH(Table13[[#This Row],[Commencement Date]]),Lookups!$I$19:$I$30,Lookups!$J$19:$J$30,0))</f>
        <v/>
      </c>
      <c r="Q620" s="340"/>
      <c r="R620" s="340"/>
      <c r="S620" s="360">
        <f>IF(Table13[[#This Row],[Life Cover Amount]]="",0,Table2[[#This Row],[Life Premium]])</f>
        <v>0</v>
      </c>
      <c r="T620" s="360">
        <f>IF(Table13[[#This Row],[Funeral Cover Amount]]=0,0,Table2[[#This Row],[Funeral Premium]])</f>
        <v>0</v>
      </c>
      <c r="U620" s="360">
        <f>IF(AND(Table13[[#This Row],[Life Cover Amount]]="",Table13[[#This Row],[Funeral Cover Amount]]=""),0,onboarding_calcs!AA620)</f>
        <v>0</v>
      </c>
      <c r="V620" s="111"/>
      <c r="W620" s="111"/>
      <c r="X620" s="333"/>
      <c r="Y620" s="110"/>
      <c r="Z620" s="113"/>
      <c r="AA620" s="425"/>
      <c r="AB620" s="425"/>
      <c r="AC620" s="113"/>
      <c r="AD620" s="110"/>
      <c r="AE620" s="110"/>
      <c r="AF620" s="110"/>
      <c r="AG620" s="110"/>
      <c r="AH620" s="110"/>
      <c r="AI620" s="113"/>
      <c r="AJ620" s="110"/>
      <c r="AK620" s="110"/>
      <c r="AL620" s="110"/>
      <c r="AM620" s="110"/>
      <c r="AN620" s="110"/>
      <c r="AO620" s="113"/>
      <c r="AP620" s="113"/>
      <c r="AQ620" s="113"/>
      <c r="AR620" s="110"/>
      <c r="AS620" s="113"/>
      <c r="AT620" s="113"/>
      <c r="AU620" s="112"/>
      <c r="AV620" s="338"/>
      <c r="AW620" s="110"/>
      <c r="AX620" s="110"/>
      <c r="AY620" s="113"/>
      <c r="AZ620" s="113"/>
      <c r="BA620" s="113"/>
      <c r="BB620" s="113"/>
      <c r="BC620" s="113"/>
      <c r="BD620" s="113"/>
      <c r="BF62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21" spans="1:58" x14ac:dyDescent="0.3">
      <c r="A621" s="422"/>
      <c r="B621" s="376"/>
      <c r="C621" s="110"/>
      <c r="D621" s="110"/>
      <c r="E621" s="340"/>
      <c r="F621" s="330"/>
      <c r="G621" s="113"/>
      <c r="H621" s="332"/>
      <c r="I621" s="113"/>
      <c r="J621" s="332"/>
      <c r="K621" s="110"/>
      <c r="L621" s="110"/>
      <c r="M621" s="110"/>
      <c r="N621" s="110"/>
      <c r="O621" s="111"/>
      <c r="P621" s="424" t="str">
        <f>IF(OR(Table13[[#This Row],[Annual Increase Option]]="No increase",Table13[[#This Row],[Annual Increase Option]]=""),"",_xlfn.XLOOKUP(MONTH(Table13[[#This Row],[Commencement Date]]),Lookups!$I$19:$I$30,Lookups!$J$19:$J$30,0))</f>
        <v/>
      </c>
      <c r="Q621" s="340"/>
      <c r="R621" s="340"/>
      <c r="S621" s="360">
        <f>IF(Table13[[#This Row],[Life Cover Amount]]="",0,Table2[[#This Row],[Life Premium]])</f>
        <v>0</v>
      </c>
      <c r="T621" s="360">
        <f>IF(Table13[[#This Row],[Funeral Cover Amount]]=0,0,Table2[[#This Row],[Funeral Premium]])</f>
        <v>0</v>
      </c>
      <c r="U621" s="360">
        <f>IF(AND(Table13[[#This Row],[Life Cover Amount]]="",Table13[[#This Row],[Funeral Cover Amount]]=""),0,onboarding_calcs!AA621)</f>
        <v>0</v>
      </c>
      <c r="V621" s="111"/>
      <c r="W621" s="111"/>
      <c r="X621" s="333"/>
      <c r="Y621" s="110"/>
      <c r="Z621" s="113"/>
      <c r="AA621" s="425"/>
      <c r="AB621" s="425"/>
      <c r="AC621" s="113"/>
      <c r="AD621" s="110"/>
      <c r="AE621" s="110"/>
      <c r="AF621" s="110"/>
      <c r="AG621" s="110"/>
      <c r="AH621" s="110"/>
      <c r="AI621" s="113"/>
      <c r="AJ621" s="110"/>
      <c r="AK621" s="110"/>
      <c r="AL621" s="110"/>
      <c r="AM621" s="110"/>
      <c r="AN621" s="110"/>
      <c r="AO621" s="113"/>
      <c r="AP621" s="113"/>
      <c r="AQ621" s="113"/>
      <c r="AR621" s="110"/>
      <c r="AS621" s="113"/>
      <c r="AT621" s="113"/>
      <c r="AU621" s="112"/>
      <c r="AV621" s="338"/>
      <c r="AW621" s="110"/>
      <c r="AX621" s="110"/>
      <c r="AY621" s="113"/>
      <c r="AZ621" s="113"/>
      <c r="BA621" s="113"/>
      <c r="BB621" s="113"/>
      <c r="BC621" s="113"/>
      <c r="BD621" s="113"/>
      <c r="BF62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22" spans="1:58" x14ac:dyDescent="0.3">
      <c r="A622" s="422"/>
      <c r="B622" s="376"/>
      <c r="C622" s="110"/>
      <c r="D622" s="110"/>
      <c r="E622" s="340"/>
      <c r="F622" s="330"/>
      <c r="G622" s="113"/>
      <c r="H622" s="332"/>
      <c r="I622" s="113"/>
      <c r="J622" s="332"/>
      <c r="K622" s="110"/>
      <c r="L622" s="110"/>
      <c r="M622" s="110"/>
      <c r="N622" s="110"/>
      <c r="O622" s="111"/>
      <c r="P622" s="424" t="str">
        <f>IF(OR(Table13[[#This Row],[Annual Increase Option]]="No increase",Table13[[#This Row],[Annual Increase Option]]=""),"",_xlfn.XLOOKUP(MONTH(Table13[[#This Row],[Commencement Date]]),Lookups!$I$19:$I$30,Lookups!$J$19:$J$30,0))</f>
        <v/>
      </c>
      <c r="Q622" s="340"/>
      <c r="R622" s="340"/>
      <c r="S622" s="360">
        <f>IF(Table13[[#This Row],[Life Cover Amount]]="",0,Table2[[#This Row],[Life Premium]])</f>
        <v>0</v>
      </c>
      <c r="T622" s="360">
        <f>IF(Table13[[#This Row],[Funeral Cover Amount]]=0,0,Table2[[#This Row],[Funeral Premium]])</f>
        <v>0</v>
      </c>
      <c r="U622" s="360">
        <f>IF(AND(Table13[[#This Row],[Life Cover Amount]]="",Table13[[#This Row],[Funeral Cover Amount]]=""),0,onboarding_calcs!AA622)</f>
        <v>0</v>
      </c>
      <c r="V622" s="111"/>
      <c r="W622" s="111"/>
      <c r="X622" s="333"/>
      <c r="Y622" s="110"/>
      <c r="Z622" s="113"/>
      <c r="AA622" s="425"/>
      <c r="AB622" s="425"/>
      <c r="AC622" s="113"/>
      <c r="AD622" s="110"/>
      <c r="AE622" s="110"/>
      <c r="AF622" s="110"/>
      <c r="AG622" s="110"/>
      <c r="AH622" s="110"/>
      <c r="AI622" s="113"/>
      <c r="AJ622" s="110"/>
      <c r="AK622" s="110"/>
      <c r="AL622" s="110"/>
      <c r="AM622" s="110"/>
      <c r="AN622" s="110"/>
      <c r="AO622" s="113"/>
      <c r="AP622" s="113"/>
      <c r="AQ622" s="113"/>
      <c r="AR622" s="110"/>
      <c r="AS622" s="113"/>
      <c r="AT622" s="113"/>
      <c r="AU622" s="112"/>
      <c r="AV622" s="338"/>
      <c r="AW622" s="110"/>
      <c r="AX622" s="110"/>
      <c r="AY622" s="113"/>
      <c r="AZ622" s="113"/>
      <c r="BA622" s="113"/>
      <c r="BB622" s="113"/>
      <c r="BC622" s="113"/>
      <c r="BD622" s="113"/>
      <c r="BF62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23" spans="1:58" x14ac:dyDescent="0.3">
      <c r="A623" s="422"/>
      <c r="B623" s="376"/>
      <c r="C623" s="110"/>
      <c r="D623" s="110"/>
      <c r="E623" s="340"/>
      <c r="F623" s="330"/>
      <c r="G623" s="113"/>
      <c r="H623" s="332"/>
      <c r="I623" s="113"/>
      <c r="J623" s="332"/>
      <c r="K623" s="110"/>
      <c r="L623" s="110"/>
      <c r="M623" s="110"/>
      <c r="N623" s="110"/>
      <c r="O623" s="111"/>
      <c r="P623" s="424" t="str">
        <f>IF(OR(Table13[[#This Row],[Annual Increase Option]]="No increase",Table13[[#This Row],[Annual Increase Option]]=""),"",_xlfn.XLOOKUP(MONTH(Table13[[#This Row],[Commencement Date]]),Lookups!$I$19:$I$30,Lookups!$J$19:$J$30,0))</f>
        <v/>
      </c>
      <c r="Q623" s="340"/>
      <c r="R623" s="340"/>
      <c r="S623" s="360">
        <f>IF(Table13[[#This Row],[Life Cover Amount]]="",0,Table2[[#This Row],[Life Premium]])</f>
        <v>0</v>
      </c>
      <c r="T623" s="360">
        <f>IF(Table13[[#This Row],[Funeral Cover Amount]]=0,0,Table2[[#This Row],[Funeral Premium]])</f>
        <v>0</v>
      </c>
      <c r="U623" s="360">
        <f>IF(AND(Table13[[#This Row],[Life Cover Amount]]="",Table13[[#This Row],[Funeral Cover Amount]]=""),0,onboarding_calcs!AA623)</f>
        <v>0</v>
      </c>
      <c r="V623" s="111"/>
      <c r="W623" s="111"/>
      <c r="X623" s="333"/>
      <c r="Y623" s="110"/>
      <c r="Z623" s="113"/>
      <c r="AA623" s="425"/>
      <c r="AB623" s="425"/>
      <c r="AC623" s="113"/>
      <c r="AD623" s="110"/>
      <c r="AE623" s="110"/>
      <c r="AF623" s="110"/>
      <c r="AG623" s="110"/>
      <c r="AH623" s="110"/>
      <c r="AI623" s="113"/>
      <c r="AJ623" s="110"/>
      <c r="AK623" s="110"/>
      <c r="AL623" s="110"/>
      <c r="AM623" s="110"/>
      <c r="AN623" s="110"/>
      <c r="AO623" s="113"/>
      <c r="AP623" s="113"/>
      <c r="AQ623" s="113"/>
      <c r="AR623" s="110"/>
      <c r="AS623" s="113"/>
      <c r="AT623" s="113"/>
      <c r="AU623" s="112"/>
      <c r="AV623" s="338"/>
      <c r="AW623" s="110"/>
      <c r="AX623" s="110"/>
      <c r="AY623" s="113"/>
      <c r="AZ623" s="113"/>
      <c r="BA623" s="113"/>
      <c r="BB623" s="113"/>
      <c r="BC623" s="113"/>
      <c r="BD623" s="113"/>
      <c r="BF62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24" spans="1:58" x14ac:dyDescent="0.3">
      <c r="A624" s="422"/>
      <c r="B624" s="376"/>
      <c r="C624" s="110"/>
      <c r="D624" s="110"/>
      <c r="E624" s="340"/>
      <c r="F624" s="330"/>
      <c r="G624" s="113"/>
      <c r="H624" s="332"/>
      <c r="I624" s="113"/>
      <c r="J624" s="332"/>
      <c r="K624" s="110"/>
      <c r="L624" s="110"/>
      <c r="M624" s="110"/>
      <c r="N624" s="110"/>
      <c r="O624" s="111"/>
      <c r="P624" s="424" t="str">
        <f>IF(OR(Table13[[#This Row],[Annual Increase Option]]="No increase",Table13[[#This Row],[Annual Increase Option]]=""),"",_xlfn.XLOOKUP(MONTH(Table13[[#This Row],[Commencement Date]]),Lookups!$I$19:$I$30,Lookups!$J$19:$J$30,0))</f>
        <v/>
      </c>
      <c r="Q624" s="340"/>
      <c r="R624" s="340"/>
      <c r="S624" s="360">
        <f>IF(Table13[[#This Row],[Life Cover Amount]]="",0,Table2[[#This Row],[Life Premium]])</f>
        <v>0</v>
      </c>
      <c r="T624" s="360">
        <f>IF(Table13[[#This Row],[Funeral Cover Amount]]=0,0,Table2[[#This Row],[Funeral Premium]])</f>
        <v>0</v>
      </c>
      <c r="U624" s="360">
        <f>IF(AND(Table13[[#This Row],[Life Cover Amount]]="",Table13[[#This Row],[Funeral Cover Amount]]=""),0,onboarding_calcs!AA624)</f>
        <v>0</v>
      </c>
      <c r="V624" s="111"/>
      <c r="W624" s="111"/>
      <c r="X624" s="333"/>
      <c r="Y624" s="110"/>
      <c r="Z624" s="113"/>
      <c r="AA624" s="425"/>
      <c r="AB624" s="425"/>
      <c r="AC624" s="113"/>
      <c r="AD624" s="110"/>
      <c r="AE624" s="110"/>
      <c r="AF624" s="110"/>
      <c r="AG624" s="110"/>
      <c r="AH624" s="110"/>
      <c r="AI624" s="113"/>
      <c r="AJ624" s="110"/>
      <c r="AK624" s="110"/>
      <c r="AL624" s="110"/>
      <c r="AM624" s="110"/>
      <c r="AN624" s="110"/>
      <c r="AO624" s="113"/>
      <c r="AP624" s="113"/>
      <c r="AQ624" s="113"/>
      <c r="AR624" s="110"/>
      <c r="AS624" s="113"/>
      <c r="AT624" s="113"/>
      <c r="AU624" s="112"/>
      <c r="AV624" s="338"/>
      <c r="AW624" s="110"/>
      <c r="AX624" s="110"/>
      <c r="AY624" s="113"/>
      <c r="AZ624" s="113"/>
      <c r="BA624" s="113"/>
      <c r="BB624" s="113"/>
      <c r="BC624" s="113"/>
      <c r="BD624" s="113"/>
      <c r="BF62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25" spans="1:58" x14ac:dyDescent="0.3">
      <c r="A625" s="422"/>
      <c r="B625" s="376"/>
      <c r="C625" s="110"/>
      <c r="D625" s="110"/>
      <c r="E625" s="340"/>
      <c r="F625" s="330"/>
      <c r="G625" s="113"/>
      <c r="H625" s="332"/>
      <c r="I625" s="113"/>
      <c r="J625" s="332"/>
      <c r="K625" s="110"/>
      <c r="L625" s="110"/>
      <c r="M625" s="110"/>
      <c r="N625" s="110"/>
      <c r="O625" s="111"/>
      <c r="P625" s="424" t="str">
        <f>IF(OR(Table13[[#This Row],[Annual Increase Option]]="No increase",Table13[[#This Row],[Annual Increase Option]]=""),"",_xlfn.XLOOKUP(MONTH(Table13[[#This Row],[Commencement Date]]),Lookups!$I$19:$I$30,Lookups!$J$19:$J$30,0))</f>
        <v/>
      </c>
      <c r="Q625" s="340"/>
      <c r="R625" s="340"/>
      <c r="S625" s="360">
        <f>IF(Table13[[#This Row],[Life Cover Amount]]="",0,Table2[[#This Row],[Life Premium]])</f>
        <v>0</v>
      </c>
      <c r="T625" s="360">
        <f>IF(Table13[[#This Row],[Funeral Cover Amount]]=0,0,Table2[[#This Row],[Funeral Premium]])</f>
        <v>0</v>
      </c>
      <c r="U625" s="360">
        <f>IF(AND(Table13[[#This Row],[Life Cover Amount]]="",Table13[[#This Row],[Funeral Cover Amount]]=""),0,onboarding_calcs!AA625)</f>
        <v>0</v>
      </c>
      <c r="V625" s="111"/>
      <c r="W625" s="111"/>
      <c r="X625" s="333"/>
      <c r="Y625" s="110"/>
      <c r="Z625" s="113"/>
      <c r="AA625" s="425"/>
      <c r="AB625" s="425"/>
      <c r="AC625" s="113"/>
      <c r="AD625" s="110"/>
      <c r="AE625" s="110"/>
      <c r="AF625" s="110"/>
      <c r="AG625" s="110"/>
      <c r="AH625" s="110"/>
      <c r="AI625" s="113"/>
      <c r="AJ625" s="110"/>
      <c r="AK625" s="110"/>
      <c r="AL625" s="110"/>
      <c r="AM625" s="110"/>
      <c r="AN625" s="110"/>
      <c r="AO625" s="113"/>
      <c r="AP625" s="113"/>
      <c r="AQ625" s="113"/>
      <c r="AR625" s="110"/>
      <c r="AS625" s="113"/>
      <c r="AT625" s="113"/>
      <c r="AU625" s="112"/>
      <c r="AV625" s="338"/>
      <c r="AW625" s="110"/>
      <c r="AX625" s="110"/>
      <c r="AY625" s="113"/>
      <c r="AZ625" s="113"/>
      <c r="BA625" s="113"/>
      <c r="BB625" s="113"/>
      <c r="BC625" s="113"/>
      <c r="BD625" s="113"/>
      <c r="BF62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26" spans="1:58" x14ac:dyDescent="0.3">
      <c r="A626" s="422"/>
      <c r="B626" s="376"/>
      <c r="C626" s="110"/>
      <c r="D626" s="110"/>
      <c r="E626" s="340"/>
      <c r="F626" s="330"/>
      <c r="G626" s="113"/>
      <c r="H626" s="332"/>
      <c r="I626" s="113"/>
      <c r="J626" s="332"/>
      <c r="K626" s="110"/>
      <c r="L626" s="110"/>
      <c r="M626" s="110"/>
      <c r="N626" s="110"/>
      <c r="O626" s="111"/>
      <c r="P626" s="424" t="str">
        <f>IF(OR(Table13[[#This Row],[Annual Increase Option]]="No increase",Table13[[#This Row],[Annual Increase Option]]=""),"",_xlfn.XLOOKUP(MONTH(Table13[[#This Row],[Commencement Date]]),Lookups!$I$19:$I$30,Lookups!$J$19:$J$30,0))</f>
        <v/>
      </c>
      <c r="Q626" s="340"/>
      <c r="R626" s="340"/>
      <c r="S626" s="360">
        <f>IF(Table13[[#This Row],[Life Cover Amount]]="",0,Table2[[#This Row],[Life Premium]])</f>
        <v>0</v>
      </c>
      <c r="T626" s="360">
        <f>IF(Table13[[#This Row],[Funeral Cover Amount]]=0,0,Table2[[#This Row],[Funeral Premium]])</f>
        <v>0</v>
      </c>
      <c r="U626" s="360">
        <f>IF(AND(Table13[[#This Row],[Life Cover Amount]]="",Table13[[#This Row],[Funeral Cover Amount]]=""),0,onboarding_calcs!AA626)</f>
        <v>0</v>
      </c>
      <c r="V626" s="111"/>
      <c r="W626" s="111"/>
      <c r="X626" s="333"/>
      <c r="Y626" s="110"/>
      <c r="Z626" s="113"/>
      <c r="AA626" s="425"/>
      <c r="AB626" s="425"/>
      <c r="AC626" s="113"/>
      <c r="AD626" s="110"/>
      <c r="AE626" s="110"/>
      <c r="AF626" s="110"/>
      <c r="AG626" s="110"/>
      <c r="AH626" s="110"/>
      <c r="AI626" s="113"/>
      <c r="AJ626" s="110"/>
      <c r="AK626" s="110"/>
      <c r="AL626" s="110"/>
      <c r="AM626" s="110"/>
      <c r="AN626" s="110"/>
      <c r="AO626" s="113"/>
      <c r="AP626" s="113"/>
      <c r="AQ626" s="113"/>
      <c r="AR626" s="110"/>
      <c r="AS626" s="113"/>
      <c r="AT626" s="113"/>
      <c r="AU626" s="112"/>
      <c r="AV626" s="338"/>
      <c r="AW626" s="110"/>
      <c r="AX626" s="110"/>
      <c r="AY626" s="113"/>
      <c r="AZ626" s="113"/>
      <c r="BA626" s="113"/>
      <c r="BB626" s="113"/>
      <c r="BC626" s="113"/>
      <c r="BD626" s="113"/>
      <c r="BF62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27" spans="1:58" x14ac:dyDescent="0.3">
      <c r="A627" s="422"/>
      <c r="B627" s="376"/>
      <c r="C627" s="110"/>
      <c r="D627" s="110"/>
      <c r="E627" s="340"/>
      <c r="F627" s="330"/>
      <c r="G627" s="113"/>
      <c r="H627" s="332"/>
      <c r="I627" s="113"/>
      <c r="J627" s="332"/>
      <c r="K627" s="110"/>
      <c r="L627" s="110"/>
      <c r="M627" s="110"/>
      <c r="N627" s="110"/>
      <c r="O627" s="111"/>
      <c r="P627" s="424" t="str">
        <f>IF(OR(Table13[[#This Row],[Annual Increase Option]]="No increase",Table13[[#This Row],[Annual Increase Option]]=""),"",_xlfn.XLOOKUP(MONTH(Table13[[#This Row],[Commencement Date]]),Lookups!$I$19:$I$30,Lookups!$J$19:$J$30,0))</f>
        <v/>
      </c>
      <c r="Q627" s="340"/>
      <c r="R627" s="340"/>
      <c r="S627" s="360">
        <f>IF(Table13[[#This Row],[Life Cover Amount]]="",0,Table2[[#This Row],[Life Premium]])</f>
        <v>0</v>
      </c>
      <c r="T627" s="360">
        <f>IF(Table13[[#This Row],[Funeral Cover Amount]]=0,0,Table2[[#This Row],[Funeral Premium]])</f>
        <v>0</v>
      </c>
      <c r="U627" s="360">
        <f>IF(AND(Table13[[#This Row],[Life Cover Amount]]="",Table13[[#This Row],[Funeral Cover Amount]]=""),0,onboarding_calcs!AA627)</f>
        <v>0</v>
      </c>
      <c r="V627" s="111"/>
      <c r="W627" s="111"/>
      <c r="X627" s="333"/>
      <c r="Y627" s="110"/>
      <c r="Z627" s="113"/>
      <c r="AA627" s="425"/>
      <c r="AB627" s="425"/>
      <c r="AC627" s="113"/>
      <c r="AD627" s="110"/>
      <c r="AE627" s="110"/>
      <c r="AF627" s="110"/>
      <c r="AG627" s="110"/>
      <c r="AH627" s="110"/>
      <c r="AI627" s="113"/>
      <c r="AJ627" s="110"/>
      <c r="AK627" s="110"/>
      <c r="AL627" s="110"/>
      <c r="AM627" s="110"/>
      <c r="AN627" s="110"/>
      <c r="AO627" s="113"/>
      <c r="AP627" s="113"/>
      <c r="AQ627" s="113"/>
      <c r="AR627" s="110"/>
      <c r="AS627" s="113"/>
      <c r="AT627" s="113"/>
      <c r="AU627" s="112"/>
      <c r="AV627" s="338"/>
      <c r="AW627" s="110"/>
      <c r="AX627" s="110"/>
      <c r="AY627" s="113"/>
      <c r="AZ627" s="113"/>
      <c r="BA627" s="113"/>
      <c r="BB627" s="113"/>
      <c r="BC627" s="113"/>
      <c r="BD627" s="113"/>
      <c r="BF62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28" spans="1:58" x14ac:dyDescent="0.3">
      <c r="A628" s="422"/>
      <c r="B628" s="376"/>
      <c r="C628" s="110"/>
      <c r="D628" s="110"/>
      <c r="E628" s="340"/>
      <c r="F628" s="330"/>
      <c r="G628" s="113"/>
      <c r="H628" s="332"/>
      <c r="I628" s="113"/>
      <c r="J628" s="332"/>
      <c r="K628" s="110"/>
      <c r="L628" s="110"/>
      <c r="M628" s="110"/>
      <c r="N628" s="110"/>
      <c r="O628" s="111"/>
      <c r="P628" s="424" t="str">
        <f>IF(OR(Table13[[#This Row],[Annual Increase Option]]="No increase",Table13[[#This Row],[Annual Increase Option]]=""),"",_xlfn.XLOOKUP(MONTH(Table13[[#This Row],[Commencement Date]]),Lookups!$I$19:$I$30,Lookups!$J$19:$J$30,0))</f>
        <v/>
      </c>
      <c r="Q628" s="340"/>
      <c r="R628" s="340"/>
      <c r="S628" s="360">
        <f>IF(Table13[[#This Row],[Life Cover Amount]]="",0,Table2[[#This Row],[Life Premium]])</f>
        <v>0</v>
      </c>
      <c r="T628" s="360">
        <f>IF(Table13[[#This Row],[Funeral Cover Amount]]=0,0,Table2[[#This Row],[Funeral Premium]])</f>
        <v>0</v>
      </c>
      <c r="U628" s="360">
        <f>IF(AND(Table13[[#This Row],[Life Cover Amount]]="",Table13[[#This Row],[Funeral Cover Amount]]=""),0,onboarding_calcs!AA628)</f>
        <v>0</v>
      </c>
      <c r="V628" s="111"/>
      <c r="W628" s="111"/>
      <c r="X628" s="333"/>
      <c r="Y628" s="110"/>
      <c r="Z628" s="113"/>
      <c r="AA628" s="425"/>
      <c r="AB628" s="425"/>
      <c r="AC628" s="113"/>
      <c r="AD628" s="110"/>
      <c r="AE628" s="110"/>
      <c r="AF628" s="110"/>
      <c r="AG628" s="110"/>
      <c r="AH628" s="110"/>
      <c r="AI628" s="113"/>
      <c r="AJ628" s="110"/>
      <c r="AK628" s="110"/>
      <c r="AL628" s="110"/>
      <c r="AM628" s="110"/>
      <c r="AN628" s="110"/>
      <c r="AO628" s="113"/>
      <c r="AP628" s="113"/>
      <c r="AQ628" s="113"/>
      <c r="AR628" s="110"/>
      <c r="AS628" s="113"/>
      <c r="AT628" s="113"/>
      <c r="AU628" s="112"/>
      <c r="AV628" s="338"/>
      <c r="AW628" s="110"/>
      <c r="AX628" s="110"/>
      <c r="AY628" s="113"/>
      <c r="AZ628" s="113"/>
      <c r="BA628" s="113"/>
      <c r="BB628" s="113"/>
      <c r="BC628" s="113"/>
      <c r="BD628" s="113"/>
      <c r="BF62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29" spans="1:58" x14ac:dyDescent="0.3">
      <c r="A629" s="422"/>
      <c r="B629" s="376"/>
      <c r="C629" s="110"/>
      <c r="D629" s="110"/>
      <c r="E629" s="340"/>
      <c r="F629" s="330"/>
      <c r="G629" s="113"/>
      <c r="H629" s="332"/>
      <c r="I629" s="113"/>
      <c r="J629" s="332"/>
      <c r="K629" s="110"/>
      <c r="L629" s="110"/>
      <c r="M629" s="110"/>
      <c r="N629" s="110"/>
      <c r="O629" s="111"/>
      <c r="P629" s="424" t="str">
        <f>IF(OR(Table13[[#This Row],[Annual Increase Option]]="No increase",Table13[[#This Row],[Annual Increase Option]]=""),"",_xlfn.XLOOKUP(MONTH(Table13[[#This Row],[Commencement Date]]),Lookups!$I$19:$I$30,Lookups!$J$19:$J$30,0))</f>
        <v/>
      </c>
      <c r="Q629" s="340"/>
      <c r="R629" s="340"/>
      <c r="S629" s="360">
        <f>IF(Table13[[#This Row],[Life Cover Amount]]="",0,Table2[[#This Row],[Life Premium]])</f>
        <v>0</v>
      </c>
      <c r="T629" s="360">
        <f>IF(Table13[[#This Row],[Funeral Cover Amount]]=0,0,Table2[[#This Row],[Funeral Premium]])</f>
        <v>0</v>
      </c>
      <c r="U629" s="360">
        <f>IF(AND(Table13[[#This Row],[Life Cover Amount]]="",Table13[[#This Row],[Funeral Cover Amount]]=""),0,onboarding_calcs!AA629)</f>
        <v>0</v>
      </c>
      <c r="V629" s="111"/>
      <c r="W629" s="111"/>
      <c r="X629" s="333"/>
      <c r="Y629" s="110"/>
      <c r="Z629" s="113"/>
      <c r="AA629" s="425"/>
      <c r="AB629" s="425"/>
      <c r="AC629" s="113"/>
      <c r="AD629" s="110"/>
      <c r="AE629" s="110"/>
      <c r="AF629" s="110"/>
      <c r="AG629" s="110"/>
      <c r="AH629" s="110"/>
      <c r="AI629" s="113"/>
      <c r="AJ629" s="110"/>
      <c r="AK629" s="110"/>
      <c r="AL629" s="110"/>
      <c r="AM629" s="110"/>
      <c r="AN629" s="110"/>
      <c r="AO629" s="113"/>
      <c r="AP629" s="113"/>
      <c r="AQ629" s="113"/>
      <c r="AR629" s="110"/>
      <c r="AS629" s="113"/>
      <c r="AT629" s="113"/>
      <c r="AU629" s="112"/>
      <c r="AV629" s="338"/>
      <c r="AW629" s="110"/>
      <c r="AX629" s="110"/>
      <c r="AY629" s="113"/>
      <c r="AZ629" s="113"/>
      <c r="BA629" s="113"/>
      <c r="BB629" s="113"/>
      <c r="BC629" s="113"/>
      <c r="BD629" s="113"/>
      <c r="BF62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30" spans="1:58" x14ac:dyDescent="0.3">
      <c r="A630" s="422"/>
      <c r="B630" s="376"/>
      <c r="C630" s="110"/>
      <c r="D630" s="110"/>
      <c r="E630" s="340"/>
      <c r="F630" s="330"/>
      <c r="G630" s="113"/>
      <c r="H630" s="332"/>
      <c r="I630" s="113"/>
      <c r="J630" s="332"/>
      <c r="K630" s="110"/>
      <c r="L630" s="110"/>
      <c r="M630" s="110"/>
      <c r="N630" s="110"/>
      <c r="O630" s="111"/>
      <c r="P630" s="424" t="str">
        <f>IF(OR(Table13[[#This Row],[Annual Increase Option]]="No increase",Table13[[#This Row],[Annual Increase Option]]=""),"",_xlfn.XLOOKUP(MONTH(Table13[[#This Row],[Commencement Date]]),Lookups!$I$19:$I$30,Lookups!$J$19:$J$30,0))</f>
        <v/>
      </c>
      <c r="Q630" s="340"/>
      <c r="R630" s="340"/>
      <c r="S630" s="360">
        <f>IF(Table13[[#This Row],[Life Cover Amount]]="",0,Table2[[#This Row],[Life Premium]])</f>
        <v>0</v>
      </c>
      <c r="T630" s="360">
        <f>IF(Table13[[#This Row],[Funeral Cover Amount]]=0,0,Table2[[#This Row],[Funeral Premium]])</f>
        <v>0</v>
      </c>
      <c r="U630" s="360">
        <f>IF(AND(Table13[[#This Row],[Life Cover Amount]]="",Table13[[#This Row],[Funeral Cover Amount]]=""),0,onboarding_calcs!AA630)</f>
        <v>0</v>
      </c>
      <c r="V630" s="111"/>
      <c r="W630" s="111"/>
      <c r="X630" s="333"/>
      <c r="Y630" s="110"/>
      <c r="Z630" s="113"/>
      <c r="AA630" s="425"/>
      <c r="AB630" s="425"/>
      <c r="AC630" s="113"/>
      <c r="AD630" s="110"/>
      <c r="AE630" s="110"/>
      <c r="AF630" s="110"/>
      <c r="AG630" s="110"/>
      <c r="AH630" s="110"/>
      <c r="AI630" s="113"/>
      <c r="AJ630" s="110"/>
      <c r="AK630" s="110"/>
      <c r="AL630" s="110"/>
      <c r="AM630" s="110"/>
      <c r="AN630" s="110"/>
      <c r="AO630" s="113"/>
      <c r="AP630" s="113"/>
      <c r="AQ630" s="113"/>
      <c r="AR630" s="110"/>
      <c r="AS630" s="113"/>
      <c r="AT630" s="113"/>
      <c r="AU630" s="112"/>
      <c r="AV630" s="338"/>
      <c r="AW630" s="110"/>
      <c r="AX630" s="110"/>
      <c r="AY630" s="113"/>
      <c r="AZ630" s="113"/>
      <c r="BA630" s="113"/>
      <c r="BB630" s="113"/>
      <c r="BC630" s="113"/>
      <c r="BD630" s="113"/>
      <c r="BF63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31" spans="1:58" x14ac:dyDescent="0.3">
      <c r="A631" s="422"/>
      <c r="B631" s="376"/>
      <c r="C631" s="110"/>
      <c r="D631" s="110"/>
      <c r="E631" s="340"/>
      <c r="F631" s="330"/>
      <c r="G631" s="113"/>
      <c r="H631" s="332"/>
      <c r="I631" s="113"/>
      <c r="J631" s="332"/>
      <c r="K631" s="110"/>
      <c r="L631" s="110"/>
      <c r="M631" s="110"/>
      <c r="N631" s="110"/>
      <c r="O631" s="111"/>
      <c r="P631" s="424" t="str">
        <f>IF(OR(Table13[[#This Row],[Annual Increase Option]]="No increase",Table13[[#This Row],[Annual Increase Option]]=""),"",_xlfn.XLOOKUP(MONTH(Table13[[#This Row],[Commencement Date]]),Lookups!$I$19:$I$30,Lookups!$J$19:$J$30,0))</f>
        <v/>
      </c>
      <c r="Q631" s="340"/>
      <c r="R631" s="340"/>
      <c r="S631" s="360">
        <f>IF(Table13[[#This Row],[Life Cover Amount]]="",0,Table2[[#This Row],[Life Premium]])</f>
        <v>0</v>
      </c>
      <c r="T631" s="360">
        <f>IF(Table13[[#This Row],[Funeral Cover Amount]]=0,0,Table2[[#This Row],[Funeral Premium]])</f>
        <v>0</v>
      </c>
      <c r="U631" s="360">
        <f>IF(AND(Table13[[#This Row],[Life Cover Amount]]="",Table13[[#This Row],[Funeral Cover Amount]]=""),0,onboarding_calcs!AA631)</f>
        <v>0</v>
      </c>
      <c r="V631" s="111"/>
      <c r="W631" s="111"/>
      <c r="X631" s="333"/>
      <c r="Y631" s="110"/>
      <c r="Z631" s="113"/>
      <c r="AA631" s="425"/>
      <c r="AB631" s="425"/>
      <c r="AC631" s="113"/>
      <c r="AD631" s="110"/>
      <c r="AE631" s="110"/>
      <c r="AF631" s="110"/>
      <c r="AG631" s="110"/>
      <c r="AH631" s="110"/>
      <c r="AI631" s="113"/>
      <c r="AJ631" s="110"/>
      <c r="AK631" s="110"/>
      <c r="AL631" s="110"/>
      <c r="AM631" s="110"/>
      <c r="AN631" s="110"/>
      <c r="AO631" s="113"/>
      <c r="AP631" s="113"/>
      <c r="AQ631" s="113"/>
      <c r="AR631" s="110"/>
      <c r="AS631" s="113"/>
      <c r="AT631" s="113"/>
      <c r="AU631" s="112"/>
      <c r="AV631" s="338"/>
      <c r="AW631" s="110"/>
      <c r="AX631" s="110"/>
      <c r="AY631" s="113"/>
      <c r="AZ631" s="113"/>
      <c r="BA631" s="113"/>
      <c r="BB631" s="113"/>
      <c r="BC631" s="113"/>
      <c r="BD631" s="113"/>
      <c r="BF63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32" spans="1:58" x14ac:dyDescent="0.3">
      <c r="A632" s="422"/>
      <c r="B632" s="376"/>
      <c r="C632" s="110"/>
      <c r="D632" s="110"/>
      <c r="E632" s="340"/>
      <c r="F632" s="330"/>
      <c r="G632" s="113"/>
      <c r="H632" s="332"/>
      <c r="I632" s="113"/>
      <c r="J632" s="332"/>
      <c r="K632" s="110"/>
      <c r="L632" s="110"/>
      <c r="M632" s="110"/>
      <c r="N632" s="110"/>
      <c r="O632" s="111"/>
      <c r="P632" s="424" t="str">
        <f>IF(OR(Table13[[#This Row],[Annual Increase Option]]="No increase",Table13[[#This Row],[Annual Increase Option]]=""),"",_xlfn.XLOOKUP(MONTH(Table13[[#This Row],[Commencement Date]]),Lookups!$I$19:$I$30,Lookups!$J$19:$J$30,0))</f>
        <v/>
      </c>
      <c r="Q632" s="340"/>
      <c r="R632" s="340"/>
      <c r="S632" s="360">
        <f>IF(Table13[[#This Row],[Life Cover Amount]]="",0,Table2[[#This Row],[Life Premium]])</f>
        <v>0</v>
      </c>
      <c r="T632" s="360">
        <f>IF(Table13[[#This Row],[Funeral Cover Amount]]=0,0,Table2[[#This Row],[Funeral Premium]])</f>
        <v>0</v>
      </c>
      <c r="U632" s="360">
        <f>IF(AND(Table13[[#This Row],[Life Cover Amount]]="",Table13[[#This Row],[Funeral Cover Amount]]=""),0,onboarding_calcs!AA632)</f>
        <v>0</v>
      </c>
      <c r="V632" s="111"/>
      <c r="W632" s="111"/>
      <c r="X632" s="333"/>
      <c r="Y632" s="110"/>
      <c r="Z632" s="113"/>
      <c r="AA632" s="425"/>
      <c r="AB632" s="425"/>
      <c r="AC632" s="113"/>
      <c r="AD632" s="110"/>
      <c r="AE632" s="110"/>
      <c r="AF632" s="110"/>
      <c r="AG632" s="110"/>
      <c r="AH632" s="110"/>
      <c r="AI632" s="113"/>
      <c r="AJ632" s="110"/>
      <c r="AK632" s="110"/>
      <c r="AL632" s="110"/>
      <c r="AM632" s="110"/>
      <c r="AN632" s="110"/>
      <c r="AO632" s="113"/>
      <c r="AP632" s="113"/>
      <c r="AQ632" s="113"/>
      <c r="AR632" s="110"/>
      <c r="AS632" s="113"/>
      <c r="AT632" s="113"/>
      <c r="AU632" s="112"/>
      <c r="AV632" s="338"/>
      <c r="AW632" s="110"/>
      <c r="AX632" s="110"/>
      <c r="AY632" s="113"/>
      <c r="AZ632" s="113"/>
      <c r="BA632" s="113"/>
      <c r="BB632" s="113"/>
      <c r="BC632" s="113"/>
      <c r="BD632" s="113"/>
      <c r="BF63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33" spans="1:58" x14ac:dyDescent="0.3">
      <c r="A633" s="422"/>
      <c r="B633" s="376"/>
      <c r="C633" s="110"/>
      <c r="D633" s="110"/>
      <c r="E633" s="340"/>
      <c r="F633" s="330"/>
      <c r="G633" s="113"/>
      <c r="H633" s="332"/>
      <c r="I633" s="113"/>
      <c r="J633" s="332"/>
      <c r="K633" s="110"/>
      <c r="L633" s="110"/>
      <c r="M633" s="110"/>
      <c r="N633" s="110"/>
      <c r="O633" s="111"/>
      <c r="P633" s="424" t="str">
        <f>IF(OR(Table13[[#This Row],[Annual Increase Option]]="No increase",Table13[[#This Row],[Annual Increase Option]]=""),"",_xlfn.XLOOKUP(MONTH(Table13[[#This Row],[Commencement Date]]),Lookups!$I$19:$I$30,Lookups!$J$19:$J$30,0))</f>
        <v/>
      </c>
      <c r="Q633" s="340"/>
      <c r="R633" s="340"/>
      <c r="S633" s="360">
        <f>IF(Table13[[#This Row],[Life Cover Amount]]="",0,Table2[[#This Row],[Life Premium]])</f>
        <v>0</v>
      </c>
      <c r="T633" s="360">
        <f>IF(Table13[[#This Row],[Funeral Cover Amount]]=0,0,Table2[[#This Row],[Funeral Premium]])</f>
        <v>0</v>
      </c>
      <c r="U633" s="360">
        <f>IF(AND(Table13[[#This Row],[Life Cover Amount]]="",Table13[[#This Row],[Funeral Cover Amount]]=""),0,onboarding_calcs!AA633)</f>
        <v>0</v>
      </c>
      <c r="V633" s="111"/>
      <c r="W633" s="111"/>
      <c r="X633" s="333"/>
      <c r="Y633" s="110"/>
      <c r="Z633" s="113"/>
      <c r="AA633" s="425"/>
      <c r="AB633" s="425"/>
      <c r="AC633" s="113"/>
      <c r="AD633" s="110"/>
      <c r="AE633" s="110"/>
      <c r="AF633" s="110"/>
      <c r="AG633" s="110"/>
      <c r="AH633" s="110"/>
      <c r="AI633" s="113"/>
      <c r="AJ633" s="110"/>
      <c r="AK633" s="110"/>
      <c r="AL633" s="110"/>
      <c r="AM633" s="110"/>
      <c r="AN633" s="110"/>
      <c r="AO633" s="113"/>
      <c r="AP633" s="113"/>
      <c r="AQ633" s="113"/>
      <c r="AR633" s="110"/>
      <c r="AS633" s="113"/>
      <c r="AT633" s="113"/>
      <c r="AU633" s="112"/>
      <c r="AV633" s="338"/>
      <c r="AW633" s="110"/>
      <c r="AX633" s="110"/>
      <c r="AY633" s="113"/>
      <c r="AZ633" s="113"/>
      <c r="BA633" s="113"/>
      <c r="BB633" s="113"/>
      <c r="BC633" s="113"/>
      <c r="BD633" s="113"/>
      <c r="BF63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34" spans="1:58" x14ac:dyDescent="0.3">
      <c r="A634" s="422"/>
      <c r="B634" s="376"/>
      <c r="C634" s="110"/>
      <c r="D634" s="110"/>
      <c r="E634" s="340"/>
      <c r="F634" s="330"/>
      <c r="G634" s="113"/>
      <c r="H634" s="332"/>
      <c r="I634" s="113"/>
      <c r="J634" s="332"/>
      <c r="K634" s="110"/>
      <c r="L634" s="110"/>
      <c r="M634" s="110"/>
      <c r="N634" s="110"/>
      <c r="O634" s="111"/>
      <c r="P634" s="424" t="str">
        <f>IF(OR(Table13[[#This Row],[Annual Increase Option]]="No increase",Table13[[#This Row],[Annual Increase Option]]=""),"",_xlfn.XLOOKUP(MONTH(Table13[[#This Row],[Commencement Date]]),Lookups!$I$19:$I$30,Lookups!$J$19:$J$30,0))</f>
        <v/>
      </c>
      <c r="Q634" s="340"/>
      <c r="R634" s="340"/>
      <c r="S634" s="360">
        <f>IF(Table13[[#This Row],[Life Cover Amount]]="",0,Table2[[#This Row],[Life Premium]])</f>
        <v>0</v>
      </c>
      <c r="T634" s="360">
        <f>IF(Table13[[#This Row],[Funeral Cover Amount]]=0,0,Table2[[#This Row],[Funeral Premium]])</f>
        <v>0</v>
      </c>
      <c r="U634" s="360">
        <f>IF(AND(Table13[[#This Row],[Life Cover Amount]]="",Table13[[#This Row],[Funeral Cover Amount]]=""),0,onboarding_calcs!AA634)</f>
        <v>0</v>
      </c>
      <c r="V634" s="111"/>
      <c r="W634" s="111"/>
      <c r="X634" s="333"/>
      <c r="Y634" s="110"/>
      <c r="Z634" s="113"/>
      <c r="AA634" s="425"/>
      <c r="AB634" s="425"/>
      <c r="AC634" s="113"/>
      <c r="AD634" s="110"/>
      <c r="AE634" s="110"/>
      <c r="AF634" s="110"/>
      <c r="AG634" s="110"/>
      <c r="AH634" s="110"/>
      <c r="AI634" s="113"/>
      <c r="AJ634" s="110"/>
      <c r="AK634" s="110"/>
      <c r="AL634" s="110"/>
      <c r="AM634" s="110"/>
      <c r="AN634" s="110"/>
      <c r="AO634" s="113"/>
      <c r="AP634" s="113"/>
      <c r="AQ634" s="113"/>
      <c r="AR634" s="110"/>
      <c r="AS634" s="113"/>
      <c r="AT634" s="113"/>
      <c r="AU634" s="112"/>
      <c r="AV634" s="338"/>
      <c r="AW634" s="110"/>
      <c r="AX634" s="110"/>
      <c r="AY634" s="113"/>
      <c r="AZ634" s="113"/>
      <c r="BA634" s="113"/>
      <c r="BB634" s="113"/>
      <c r="BC634" s="113"/>
      <c r="BD634" s="113"/>
      <c r="BF63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35" spans="1:58" x14ac:dyDescent="0.3">
      <c r="A635" s="422"/>
      <c r="B635" s="376"/>
      <c r="C635" s="110"/>
      <c r="D635" s="110"/>
      <c r="E635" s="340"/>
      <c r="F635" s="330"/>
      <c r="G635" s="113"/>
      <c r="H635" s="332"/>
      <c r="I635" s="113"/>
      <c r="J635" s="332"/>
      <c r="K635" s="110"/>
      <c r="L635" s="110"/>
      <c r="M635" s="110"/>
      <c r="N635" s="110"/>
      <c r="O635" s="111"/>
      <c r="P635" s="424" t="str">
        <f>IF(OR(Table13[[#This Row],[Annual Increase Option]]="No increase",Table13[[#This Row],[Annual Increase Option]]=""),"",_xlfn.XLOOKUP(MONTH(Table13[[#This Row],[Commencement Date]]),Lookups!$I$19:$I$30,Lookups!$J$19:$J$30,0))</f>
        <v/>
      </c>
      <c r="Q635" s="340"/>
      <c r="R635" s="340"/>
      <c r="S635" s="360">
        <f>IF(Table13[[#This Row],[Life Cover Amount]]="",0,Table2[[#This Row],[Life Premium]])</f>
        <v>0</v>
      </c>
      <c r="T635" s="360">
        <f>IF(Table13[[#This Row],[Funeral Cover Amount]]=0,0,Table2[[#This Row],[Funeral Premium]])</f>
        <v>0</v>
      </c>
      <c r="U635" s="360">
        <f>IF(AND(Table13[[#This Row],[Life Cover Amount]]="",Table13[[#This Row],[Funeral Cover Amount]]=""),0,onboarding_calcs!AA635)</f>
        <v>0</v>
      </c>
      <c r="V635" s="111"/>
      <c r="W635" s="111"/>
      <c r="X635" s="333"/>
      <c r="Y635" s="110"/>
      <c r="Z635" s="113"/>
      <c r="AA635" s="425"/>
      <c r="AB635" s="425"/>
      <c r="AC635" s="113"/>
      <c r="AD635" s="110"/>
      <c r="AE635" s="110"/>
      <c r="AF635" s="110"/>
      <c r="AG635" s="110"/>
      <c r="AH635" s="110"/>
      <c r="AI635" s="113"/>
      <c r="AJ635" s="110"/>
      <c r="AK635" s="110"/>
      <c r="AL635" s="110"/>
      <c r="AM635" s="110"/>
      <c r="AN635" s="110"/>
      <c r="AO635" s="113"/>
      <c r="AP635" s="113"/>
      <c r="AQ635" s="113"/>
      <c r="AR635" s="110"/>
      <c r="AS635" s="113"/>
      <c r="AT635" s="113"/>
      <c r="AU635" s="112"/>
      <c r="AV635" s="338"/>
      <c r="AW635" s="110"/>
      <c r="AX635" s="110"/>
      <c r="AY635" s="113"/>
      <c r="AZ635" s="113"/>
      <c r="BA635" s="113"/>
      <c r="BB635" s="113"/>
      <c r="BC635" s="113"/>
      <c r="BD635" s="113"/>
      <c r="BF63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36" spans="1:58" x14ac:dyDescent="0.3">
      <c r="A636" s="422"/>
      <c r="B636" s="376"/>
      <c r="C636" s="110"/>
      <c r="D636" s="110"/>
      <c r="E636" s="340"/>
      <c r="F636" s="330"/>
      <c r="G636" s="113"/>
      <c r="H636" s="332"/>
      <c r="I636" s="113"/>
      <c r="J636" s="332"/>
      <c r="K636" s="110"/>
      <c r="L636" s="110"/>
      <c r="M636" s="110"/>
      <c r="N636" s="110"/>
      <c r="O636" s="111"/>
      <c r="P636" s="424" t="str">
        <f>IF(OR(Table13[[#This Row],[Annual Increase Option]]="No increase",Table13[[#This Row],[Annual Increase Option]]=""),"",_xlfn.XLOOKUP(MONTH(Table13[[#This Row],[Commencement Date]]),Lookups!$I$19:$I$30,Lookups!$J$19:$J$30,0))</f>
        <v/>
      </c>
      <c r="Q636" s="340"/>
      <c r="R636" s="340"/>
      <c r="S636" s="360">
        <f>IF(Table13[[#This Row],[Life Cover Amount]]="",0,Table2[[#This Row],[Life Premium]])</f>
        <v>0</v>
      </c>
      <c r="T636" s="360">
        <f>IF(Table13[[#This Row],[Funeral Cover Amount]]=0,0,Table2[[#This Row],[Funeral Premium]])</f>
        <v>0</v>
      </c>
      <c r="U636" s="360">
        <f>IF(AND(Table13[[#This Row],[Life Cover Amount]]="",Table13[[#This Row],[Funeral Cover Amount]]=""),0,onboarding_calcs!AA636)</f>
        <v>0</v>
      </c>
      <c r="V636" s="111"/>
      <c r="W636" s="111"/>
      <c r="X636" s="333"/>
      <c r="Y636" s="110"/>
      <c r="Z636" s="113"/>
      <c r="AA636" s="425"/>
      <c r="AB636" s="425"/>
      <c r="AC636" s="113"/>
      <c r="AD636" s="110"/>
      <c r="AE636" s="110"/>
      <c r="AF636" s="110"/>
      <c r="AG636" s="110"/>
      <c r="AH636" s="110"/>
      <c r="AI636" s="113"/>
      <c r="AJ636" s="110"/>
      <c r="AK636" s="110"/>
      <c r="AL636" s="110"/>
      <c r="AM636" s="110"/>
      <c r="AN636" s="110"/>
      <c r="AO636" s="113"/>
      <c r="AP636" s="113"/>
      <c r="AQ636" s="113"/>
      <c r="AR636" s="110"/>
      <c r="AS636" s="113"/>
      <c r="AT636" s="113"/>
      <c r="AU636" s="112"/>
      <c r="AV636" s="338"/>
      <c r="AW636" s="110"/>
      <c r="AX636" s="110"/>
      <c r="AY636" s="113"/>
      <c r="AZ636" s="113"/>
      <c r="BA636" s="113"/>
      <c r="BB636" s="113"/>
      <c r="BC636" s="113"/>
      <c r="BD636" s="113"/>
      <c r="BF63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37" spans="1:58" x14ac:dyDescent="0.3">
      <c r="A637" s="422"/>
      <c r="B637" s="376"/>
      <c r="C637" s="110"/>
      <c r="D637" s="110"/>
      <c r="E637" s="340"/>
      <c r="F637" s="330"/>
      <c r="G637" s="113"/>
      <c r="H637" s="332"/>
      <c r="I637" s="113"/>
      <c r="J637" s="332"/>
      <c r="K637" s="110"/>
      <c r="L637" s="110"/>
      <c r="M637" s="110"/>
      <c r="N637" s="110"/>
      <c r="O637" s="111"/>
      <c r="P637" s="424" t="str">
        <f>IF(OR(Table13[[#This Row],[Annual Increase Option]]="No increase",Table13[[#This Row],[Annual Increase Option]]=""),"",_xlfn.XLOOKUP(MONTH(Table13[[#This Row],[Commencement Date]]),Lookups!$I$19:$I$30,Lookups!$J$19:$J$30,0))</f>
        <v/>
      </c>
      <c r="Q637" s="340"/>
      <c r="R637" s="340"/>
      <c r="S637" s="360">
        <f>IF(Table13[[#This Row],[Life Cover Amount]]="",0,Table2[[#This Row],[Life Premium]])</f>
        <v>0</v>
      </c>
      <c r="T637" s="360">
        <f>IF(Table13[[#This Row],[Funeral Cover Amount]]=0,0,Table2[[#This Row],[Funeral Premium]])</f>
        <v>0</v>
      </c>
      <c r="U637" s="360">
        <f>IF(AND(Table13[[#This Row],[Life Cover Amount]]="",Table13[[#This Row],[Funeral Cover Amount]]=""),0,onboarding_calcs!AA637)</f>
        <v>0</v>
      </c>
      <c r="V637" s="111"/>
      <c r="W637" s="111"/>
      <c r="X637" s="333"/>
      <c r="Y637" s="110"/>
      <c r="Z637" s="113"/>
      <c r="AA637" s="425"/>
      <c r="AB637" s="425"/>
      <c r="AC637" s="113"/>
      <c r="AD637" s="110"/>
      <c r="AE637" s="110"/>
      <c r="AF637" s="110"/>
      <c r="AG637" s="110"/>
      <c r="AH637" s="110"/>
      <c r="AI637" s="113"/>
      <c r="AJ637" s="110"/>
      <c r="AK637" s="110"/>
      <c r="AL637" s="110"/>
      <c r="AM637" s="110"/>
      <c r="AN637" s="110"/>
      <c r="AO637" s="113"/>
      <c r="AP637" s="113"/>
      <c r="AQ637" s="113"/>
      <c r="AR637" s="110"/>
      <c r="AS637" s="113"/>
      <c r="AT637" s="113"/>
      <c r="AU637" s="112"/>
      <c r="AV637" s="338"/>
      <c r="AW637" s="110"/>
      <c r="AX637" s="110"/>
      <c r="AY637" s="113"/>
      <c r="AZ637" s="113"/>
      <c r="BA637" s="113"/>
      <c r="BB637" s="113"/>
      <c r="BC637" s="113"/>
      <c r="BD637" s="113"/>
      <c r="BF63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38" spans="1:58" x14ac:dyDescent="0.3">
      <c r="A638" s="422"/>
      <c r="B638" s="376"/>
      <c r="C638" s="110"/>
      <c r="D638" s="110"/>
      <c r="E638" s="340"/>
      <c r="F638" s="330"/>
      <c r="G638" s="113"/>
      <c r="H638" s="332"/>
      <c r="I638" s="113"/>
      <c r="J638" s="332"/>
      <c r="K638" s="110"/>
      <c r="L638" s="110"/>
      <c r="M638" s="110"/>
      <c r="N638" s="110"/>
      <c r="O638" s="111"/>
      <c r="P638" s="424" t="str">
        <f>IF(OR(Table13[[#This Row],[Annual Increase Option]]="No increase",Table13[[#This Row],[Annual Increase Option]]=""),"",_xlfn.XLOOKUP(MONTH(Table13[[#This Row],[Commencement Date]]),Lookups!$I$19:$I$30,Lookups!$J$19:$J$30,0))</f>
        <v/>
      </c>
      <c r="Q638" s="340"/>
      <c r="R638" s="340"/>
      <c r="S638" s="360">
        <f>IF(Table13[[#This Row],[Life Cover Amount]]="",0,Table2[[#This Row],[Life Premium]])</f>
        <v>0</v>
      </c>
      <c r="T638" s="360">
        <f>IF(Table13[[#This Row],[Funeral Cover Amount]]=0,0,Table2[[#This Row],[Funeral Premium]])</f>
        <v>0</v>
      </c>
      <c r="U638" s="360">
        <f>IF(AND(Table13[[#This Row],[Life Cover Amount]]="",Table13[[#This Row],[Funeral Cover Amount]]=""),0,onboarding_calcs!AA638)</f>
        <v>0</v>
      </c>
      <c r="V638" s="111"/>
      <c r="W638" s="111"/>
      <c r="X638" s="333"/>
      <c r="Y638" s="110"/>
      <c r="Z638" s="113"/>
      <c r="AA638" s="425"/>
      <c r="AB638" s="425"/>
      <c r="AC638" s="113"/>
      <c r="AD638" s="110"/>
      <c r="AE638" s="110"/>
      <c r="AF638" s="110"/>
      <c r="AG638" s="110"/>
      <c r="AH638" s="110"/>
      <c r="AI638" s="113"/>
      <c r="AJ638" s="110"/>
      <c r="AK638" s="110"/>
      <c r="AL638" s="110"/>
      <c r="AM638" s="110"/>
      <c r="AN638" s="110"/>
      <c r="AO638" s="113"/>
      <c r="AP638" s="113"/>
      <c r="AQ638" s="113"/>
      <c r="AR638" s="110"/>
      <c r="AS638" s="113"/>
      <c r="AT638" s="113"/>
      <c r="AU638" s="112"/>
      <c r="AV638" s="338"/>
      <c r="AW638" s="110"/>
      <c r="AX638" s="110"/>
      <c r="AY638" s="113"/>
      <c r="AZ638" s="113"/>
      <c r="BA638" s="113"/>
      <c r="BB638" s="113"/>
      <c r="BC638" s="113"/>
      <c r="BD638" s="113"/>
      <c r="BF63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39" spans="1:58" x14ac:dyDescent="0.3">
      <c r="A639" s="422"/>
      <c r="B639" s="376"/>
      <c r="C639" s="110"/>
      <c r="D639" s="110"/>
      <c r="E639" s="340"/>
      <c r="F639" s="330"/>
      <c r="G639" s="113"/>
      <c r="H639" s="332"/>
      <c r="I639" s="113"/>
      <c r="J639" s="332"/>
      <c r="K639" s="110"/>
      <c r="L639" s="110"/>
      <c r="M639" s="110"/>
      <c r="N639" s="110"/>
      <c r="O639" s="111"/>
      <c r="P639" s="424" t="str">
        <f>IF(OR(Table13[[#This Row],[Annual Increase Option]]="No increase",Table13[[#This Row],[Annual Increase Option]]=""),"",_xlfn.XLOOKUP(MONTH(Table13[[#This Row],[Commencement Date]]),Lookups!$I$19:$I$30,Lookups!$J$19:$J$30,0))</f>
        <v/>
      </c>
      <c r="Q639" s="340"/>
      <c r="R639" s="340"/>
      <c r="S639" s="360">
        <f>IF(Table13[[#This Row],[Life Cover Amount]]="",0,Table2[[#This Row],[Life Premium]])</f>
        <v>0</v>
      </c>
      <c r="T639" s="360">
        <f>IF(Table13[[#This Row],[Funeral Cover Amount]]=0,0,Table2[[#This Row],[Funeral Premium]])</f>
        <v>0</v>
      </c>
      <c r="U639" s="360">
        <f>IF(AND(Table13[[#This Row],[Life Cover Amount]]="",Table13[[#This Row],[Funeral Cover Amount]]=""),0,onboarding_calcs!AA639)</f>
        <v>0</v>
      </c>
      <c r="V639" s="111"/>
      <c r="W639" s="111"/>
      <c r="X639" s="333"/>
      <c r="Y639" s="110"/>
      <c r="Z639" s="113"/>
      <c r="AA639" s="425"/>
      <c r="AB639" s="425"/>
      <c r="AC639" s="113"/>
      <c r="AD639" s="110"/>
      <c r="AE639" s="110"/>
      <c r="AF639" s="110"/>
      <c r="AG639" s="110"/>
      <c r="AH639" s="110"/>
      <c r="AI639" s="113"/>
      <c r="AJ639" s="110"/>
      <c r="AK639" s="110"/>
      <c r="AL639" s="110"/>
      <c r="AM639" s="110"/>
      <c r="AN639" s="110"/>
      <c r="AO639" s="113"/>
      <c r="AP639" s="113"/>
      <c r="AQ639" s="113"/>
      <c r="AR639" s="110"/>
      <c r="AS639" s="113"/>
      <c r="AT639" s="113"/>
      <c r="AU639" s="112"/>
      <c r="AV639" s="338"/>
      <c r="AW639" s="110"/>
      <c r="AX639" s="110"/>
      <c r="AY639" s="113"/>
      <c r="AZ639" s="113"/>
      <c r="BA639" s="113"/>
      <c r="BB639" s="113"/>
      <c r="BC639" s="113"/>
      <c r="BD639" s="113"/>
      <c r="BF63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40" spans="1:58" x14ac:dyDescent="0.3">
      <c r="A640" s="422"/>
      <c r="B640" s="376"/>
      <c r="C640" s="110"/>
      <c r="D640" s="110"/>
      <c r="E640" s="340"/>
      <c r="F640" s="330"/>
      <c r="G640" s="113"/>
      <c r="H640" s="332"/>
      <c r="I640" s="113"/>
      <c r="J640" s="332"/>
      <c r="K640" s="110"/>
      <c r="L640" s="110"/>
      <c r="M640" s="110"/>
      <c r="N640" s="110"/>
      <c r="O640" s="111"/>
      <c r="P640" s="424" t="str">
        <f>IF(OR(Table13[[#This Row],[Annual Increase Option]]="No increase",Table13[[#This Row],[Annual Increase Option]]=""),"",_xlfn.XLOOKUP(MONTH(Table13[[#This Row],[Commencement Date]]),Lookups!$I$19:$I$30,Lookups!$J$19:$J$30,0))</f>
        <v/>
      </c>
      <c r="Q640" s="340"/>
      <c r="R640" s="340"/>
      <c r="S640" s="360">
        <f>IF(Table13[[#This Row],[Life Cover Amount]]="",0,Table2[[#This Row],[Life Premium]])</f>
        <v>0</v>
      </c>
      <c r="T640" s="360">
        <f>IF(Table13[[#This Row],[Funeral Cover Amount]]=0,0,Table2[[#This Row],[Funeral Premium]])</f>
        <v>0</v>
      </c>
      <c r="U640" s="360">
        <f>IF(AND(Table13[[#This Row],[Life Cover Amount]]="",Table13[[#This Row],[Funeral Cover Amount]]=""),0,onboarding_calcs!AA640)</f>
        <v>0</v>
      </c>
      <c r="V640" s="111"/>
      <c r="W640" s="111"/>
      <c r="X640" s="333"/>
      <c r="Y640" s="110"/>
      <c r="Z640" s="113"/>
      <c r="AA640" s="425"/>
      <c r="AB640" s="425"/>
      <c r="AC640" s="113"/>
      <c r="AD640" s="110"/>
      <c r="AE640" s="110"/>
      <c r="AF640" s="110"/>
      <c r="AG640" s="110"/>
      <c r="AH640" s="110"/>
      <c r="AI640" s="113"/>
      <c r="AJ640" s="110"/>
      <c r="AK640" s="110"/>
      <c r="AL640" s="110"/>
      <c r="AM640" s="110"/>
      <c r="AN640" s="110"/>
      <c r="AO640" s="113"/>
      <c r="AP640" s="113"/>
      <c r="AQ640" s="113"/>
      <c r="AR640" s="110"/>
      <c r="AS640" s="113"/>
      <c r="AT640" s="113"/>
      <c r="AU640" s="112"/>
      <c r="AV640" s="338"/>
      <c r="AW640" s="110"/>
      <c r="AX640" s="110"/>
      <c r="AY640" s="113"/>
      <c r="AZ640" s="113"/>
      <c r="BA640" s="113"/>
      <c r="BB640" s="113"/>
      <c r="BC640" s="113"/>
      <c r="BD640" s="113"/>
      <c r="BF64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41" spans="1:58" x14ac:dyDescent="0.3">
      <c r="A641" s="422"/>
      <c r="B641" s="376"/>
      <c r="C641" s="110"/>
      <c r="D641" s="110"/>
      <c r="E641" s="340"/>
      <c r="F641" s="330"/>
      <c r="G641" s="113"/>
      <c r="H641" s="332"/>
      <c r="I641" s="113"/>
      <c r="J641" s="332"/>
      <c r="K641" s="110"/>
      <c r="L641" s="110"/>
      <c r="M641" s="110"/>
      <c r="N641" s="110"/>
      <c r="O641" s="111"/>
      <c r="P641" s="424" t="str">
        <f>IF(OR(Table13[[#This Row],[Annual Increase Option]]="No increase",Table13[[#This Row],[Annual Increase Option]]=""),"",_xlfn.XLOOKUP(MONTH(Table13[[#This Row],[Commencement Date]]),Lookups!$I$19:$I$30,Lookups!$J$19:$J$30,0))</f>
        <v/>
      </c>
      <c r="Q641" s="340"/>
      <c r="R641" s="340"/>
      <c r="S641" s="360">
        <f>IF(Table13[[#This Row],[Life Cover Amount]]="",0,Table2[[#This Row],[Life Premium]])</f>
        <v>0</v>
      </c>
      <c r="T641" s="360">
        <f>IF(Table13[[#This Row],[Funeral Cover Amount]]=0,0,Table2[[#This Row],[Funeral Premium]])</f>
        <v>0</v>
      </c>
      <c r="U641" s="360">
        <f>IF(AND(Table13[[#This Row],[Life Cover Amount]]="",Table13[[#This Row],[Funeral Cover Amount]]=""),0,onboarding_calcs!AA641)</f>
        <v>0</v>
      </c>
      <c r="V641" s="111"/>
      <c r="W641" s="111"/>
      <c r="X641" s="333"/>
      <c r="Y641" s="110"/>
      <c r="Z641" s="113"/>
      <c r="AA641" s="425"/>
      <c r="AB641" s="425"/>
      <c r="AC641" s="113"/>
      <c r="AD641" s="110"/>
      <c r="AE641" s="110"/>
      <c r="AF641" s="110"/>
      <c r="AG641" s="110"/>
      <c r="AH641" s="110"/>
      <c r="AI641" s="113"/>
      <c r="AJ641" s="110"/>
      <c r="AK641" s="110"/>
      <c r="AL641" s="110"/>
      <c r="AM641" s="110"/>
      <c r="AN641" s="110"/>
      <c r="AO641" s="113"/>
      <c r="AP641" s="113"/>
      <c r="AQ641" s="113"/>
      <c r="AR641" s="110"/>
      <c r="AS641" s="113"/>
      <c r="AT641" s="113"/>
      <c r="AU641" s="112"/>
      <c r="AV641" s="338"/>
      <c r="AW641" s="110"/>
      <c r="AX641" s="110"/>
      <c r="AY641" s="113"/>
      <c r="AZ641" s="113"/>
      <c r="BA641" s="113"/>
      <c r="BB641" s="113"/>
      <c r="BC641" s="113"/>
      <c r="BD641" s="113"/>
      <c r="BF641"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42" spans="1:58" x14ac:dyDescent="0.3">
      <c r="A642" s="422"/>
      <c r="B642" s="376"/>
      <c r="C642" s="110"/>
      <c r="D642" s="110"/>
      <c r="E642" s="340"/>
      <c r="F642" s="330"/>
      <c r="G642" s="113"/>
      <c r="H642" s="332"/>
      <c r="I642" s="113"/>
      <c r="J642" s="332"/>
      <c r="K642" s="110"/>
      <c r="L642" s="110"/>
      <c r="M642" s="110"/>
      <c r="N642" s="110"/>
      <c r="O642" s="111"/>
      <c r="P642" s="424" t="str">
        <f>IF(OR(Table13[[#This Row],[Annual Increase Option]]="No increase",Table13[[#This Row],[Annual Increase Option]]=""),"",_xlfn.XLOOKUP(MONTH(Table13[[#This Row],[Commencement Date]]),Lookups!$I$19:$I$30,Lookups!$J$19:$J$30,0))</f>
        <v/>
      </c>
      <c r="Q642" s="340"/>
      <c r="R642" s="340"/>
      <c r="S642" s="360">
        <f>IF(Table13[[#This Row],[Life Cover Amount]]="",0,Table2[[#This Row],[Life Premium]])</f>
        <v>0</v>
      </c>
      <c r="T642" s="360">
        <f>IF(Table13[[#This Row],[Funeral Cover Amount]]=0,0,Table2[[#This Row],[Funeral Premium]])</f>
        <v>0</v>
      </c>
      <c r="U642" s="360">
        <f>IF(AND(Table13[[#This Row],[Life Cover Amount]]="",Table13[[#This Row],[Funeral Cover Amount]]=""),0,onboarding_calcs!AA642)</f>
        <v>0</v>
      </c>
      <c r="V642" s="111"/>
      <c r="W642" s="111"/>
      <c r="X642" s="333"/>
      <c r="Y642" s="110"/>
      <c r="Z642" s="113"/>
      <c r="AA642" s="425"/>
      <c r="AB642" s="425"/>
      <c r="AC642" s="113"/>
      <c r="AD642" s="110"/>
      <c r="AE642" s="110"/>
      <c r="AF642" s="110"/>
      <c r="AG642" s="110"/>
      <c r="AH642" s="110"/>
      <c r="AI642" s="113"/>
      <c r="AJ642" s="110"/>
      <c r="AK642" s="110"/>
      <c r="AL642" s="110"/>
      <c r="AM642" s="110"/>
      <c r="AN642" s="110"/>
      <c r="AO642" s="113"/>
      <c r="AP642" s="113"/>
      <c r="AQ642" s="113"/>
      <c r="AR642" s="110"/>
      <c r="AS642" s="113"/>
      <c r="AT642" s="113"/>
      <c r="AU642" s="112"/>
      <c r="AV642" s="338"/>
      <c r="AW642" s="110"/>
      <c r="AX642" s="110"/>
      <c r="AY642" s="113"/>
      <c r="AZ642" s="113"/>
      <c r="BA642" s="113"/>
      <c r="BB642" s="113"/>
      <c r="BC642" s="113"/>
      <c r="BD642" s="113"/>
      <c r="BF642"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43" spans="1:58" x14ac:dyDescent="0.3">
      <c r="A643" s="422"/>
      <c r="B643" s="376"/>
      <c r="C643" s="110"/>
      <c r="D643" s="110"/>
      <c r="E643" s="340"/>
      <c r="F643" s="330"/>
      <c r="G643" s="113"/>
      <c r="H643" s="332"/>
      <c r="I643" s="113"/>
      <c r="J643" s="332"/>
      <c r="K643" s="110"/>
      <c r="L643" s="110"/>
      <c r="M643" s="110"/>
      <c r="N643" s="110"/>
      <c r="O643" s="111"/>
      <c r="P643" s="424" t="str">
        <f>IF(OR(Table13[[#This Row],[Annual Increase Option]]="No increase",Table13[[#This Row],[Annual Increase Option]]=""),"",_xlfn.XLOOKUP(MONTH(Table13[[#This Row],[Commencement Date]]),Lookups!$I$19:$I$30,Lookups!$J$19:$J$30,0))</f>
        <v/>
      </c>
      <c r="Q643" s="340"/>
      <c r="R643" s="340"/>
      <c r="S643" s="360">
        <f>IF(Table13[[#This Row],[Life Cover Amount]]="",0,Table2[[#This Row],[Life Premium]])</f>
        <v>0</v>
      </c>
      <c r="T643" s="360">
        <f>IF(Table13[[#This Row],[Funeral Cover Amount]]=0,0,Table2[[#This Row],[Funeral Premium]])</f>
        <v>0</v>
      </c>
      <c r="U643" s="360">
        <f>IF(AND(Table13[[#This Row],[Life Cover Amount]]="",Table13[[#This Row],[Funeral Cover Amount]]=""),0,onboarding_calcs!AA643)</f>
        <v>0</v>
      </c>
      <c r="V643" s="111"/>
      <c r="W643" s="111"/>
      <c r="X643" s="333"/>
      <c r="Y643" s="110"/>
      <c r="Z643" s="113"/>
      <c r="AA643" s="425"/>
      <c r="AB643" s="425"/>
      <c r="AC643" s="113"/>
      <c r="AD643" s="110"/>
      <c r="AE643" s="110"/>
      <c r="AF643" s="110"/>
      <c r="AG643" s="110"/>
      <c r="AH643" s="110"/>
      <c r="AI643" s="113"/>
      <c r="AJ643" s="110"/>
      <c r="AK643" s="110"/>
      <c r="AL643" s="110"/>
      <c r="AM643" s="110"/>
      <c r="AN643" s="110"/>
      <c r="AO643" s="113"/>
      <c r="AP643" s="113"/>
      <c r="AQ643" s="113"/>
      <c r="AR643" s="110"/>
      <c r="AS643" s="113"/>
      <c r="AT643" s="113"/>
      <c r="AU643" s="112"/>
      <c r="AV643" s="338"/>
      <c r="AW643" s="110"/>
      <c r="AX643" s="110"/>
      <c r="AY643" s="113"/>
      <c r="AZ643" s="113"/>
      <c r="BA643" s="113"/>
      <c r="BB643" s="113"/>
      <c r="BC643" s="113"/>
      <c r="BD643" s="113"/>
      <c r="BF643"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44" spans="1:58" x14ac:dyDescent="0.3">
      <c r="A644" s="422"/>
      <c r="B644" s="376"/>
      <c r="C644" s="110"/>
      <c r="D644" s="110"/>
      <c r="E644" s="340"/>
      <c r="F644" s="330"/>
      <c r="G644" s="113"/>
      <c r="H644" s="332"/>
      <c r="I644" s="113"/>
      <c r="J644" s="332"/>
      <c r="K644" s="110"/>
      <c r="L644" s="110"/>
      <c r="M644" s="110"/>
      <c r="N644" s="110"/>
      <c r="O644" s="111"/>
      <c r="P644" s="424" t="str">
        <f>IF(OR(Table13[[#This Row],[Annual Increase Option]]="No increase",Table13[[#This Row],[Annual Increase Option]]=""),"",_xlfn.XLOOKUP(MONTH(Table13[[#This Row],[Commencement Date]]),Lookups!$I$19:$I$30,Lookups!$J$19:$J$30,0))</f>
        <v/>
      </c>
      <c r="Q644" s="340"/>
      <c r="R644" s="340"/>
      <c r="S644" s="360">
        <f>IF(Table13[[#This Row],[Life Cover Amount]]="",0,Table2[[#This Row],[Life Premium]])</f>
        <v>0</v>
      </c>
      <c r="T644" s="360">
        <f>IF(Table13[[#This Row],[Funeral Cover Amount]]=0,0,Table2[[#This Row],[Funeral Premium]])</f>
        <v>0</v>
      </c>
      <c r="U644" s="360">
        <f>IF(AND(Table13[[#This Row],[Life Cover Amount]]="",Table13[[#This Row],[Funeral Cover Amount]]=""),0,onboarding_calcs!AA644)</f>
        <v>0</v>
      </c>
      <c r="V644" s="111"/>
      <c r="W644" s="111"/>
      <c r="X644" s="333"/>
      <c r="Y644" s="110"/>
      <c r="Z644" s="113"/>
      <c r="AA644" s="425"/>
      <c r="AB644" s="425"/>
      <c r="AC644" s="113"/>
      <c r="AD644" s="110"/>
      <c r="AE644" s="110"/>
      <c r="AF644" s="110"/>
      <c r="AG644" s="110"/>
      <c r="AH644" s="110"/>
      <c r="AI644" s="113"/>
      <c r="AJ644" s="110"/>
      <c r="AK644" s="110"/>
      <c r="AL644" s="110"/>
      <c r="AM644" s="110"/>
      <c r="AN644" s="110"/>
      <c r="AO644" s="113"/>
      <c r="AP644" s="113"/>
      <c r="AQ644" s="113"/>
      <c r="AR644" s="110"/>
      <c r="AS644" s="113"/>
      <c r="AT644" s="113"/>
      <c r="AU644" s="112"/>
      <c r="AV644" s="338"/>
      <c r="AW644" s="110"/>
      <c r="AX644" s="110"/>
      <c r="AY644" s="113"/>
      <c r="AZ644" s="113"/>
      <c r="BA644" s="113"/>
      <c r="BB644" s="113"/>
      <c r="BC644" s="113"/>
      <c r="BD644" s="113"/>
      <c r="BF644"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45" spans="1:58" x14ac:dyDescent="0.3">
      <c r="A645" s="422"/>
      <c r="B645" s="376"/>
      <c r="C645" s="110"/>
      <c r="D645" s="110"/>
      <c r="E645" s="340"/>
      <c r="F645" s="330"/>
      <c r="G645" s="113"/>
      <c r="H645" s="332"/>
      <c r="I645" s="113"/>
      <c r="J645" s="332"/>
      <c r="K645" s="110"/>
      <c r="L645" s="110"/>
      <c r="M645" s="110"/>
      <c r="N645" s="110"/>
      <c r="O645" s="111"/>
      <c r="P645" s="424" t="str">
        <f>IF(OR(Table13[[#This Row],[Annual Increase Option]]="No increase",Table13[[#This Row],[Annual Increase Option]]=""),"",_xlfn.XLOOKUP(MONTH(Table13[[#This Row],[Commencement Date]]),Lookups!$I$19:$I$30,Lookups!$J$19:$J$30,0))</f>
        <v/>
      </c>
      <c r="Q645" s="340"/>
      <c r="R645" s="340"/>
      <c r="S645" s="360">
        <f>IF(Table13[[#This Row],[Life Cover Amount]]="",0,Table2[[#This Row],[Life Premium]])</f>
        <v>0</v>
      </c>
      <c r="T645" s="360">
        <f>IF(Table13[[#This Row],[Funeral Cover Amount]]=0,0,Table2[[#This Row],[Funeral Premium]])</f>
        <v>0</v>
      </c>
      <c r="U645" s="360">
        <f>IF(AND(Table13[[#This Row],[Life Cover Amount]]="",Table13[[#This Row],[Funeral Cover Amount]]=""),0,onboarding_calcs!AA645)</f>
        <v>0</v>
      </c>
      <c r="V645" s="111"/>
      <c r="W645" s="111"/>
      <c r="X645" s="333"/>
      <c r="Y645" s="110"/>
      <c r="Z645" s="113"/>
      <c r="AA645" s="425"/>
      <c r="AB645" s="425"/>
      <c r="AC645" s="113"/>
      <c r="AD645" s="110"/>
      <c r="AE645" s="110"/>
      <c r="AF645" s="110"/>
      <c r="AG645" s="110"/>
      <c r="AH645" s="110"/>
      <c r="AI645" s="113"/>
      <c r="AJ645" s="110"/>
      <c r="AK645" s="110"/>
      <c r="AL645" s="110"/>
      <c r="AM645" s="110"/>
      <c r="AN645" s="110"/>
      <c r="AO645" s="113"/>
      <c r="AP645" s="113"/>
      <c r="AQ645" s="113"/>
      <c r="AR645" s="110"/>
      <c r="AS645" s="113"/>
      <c r="AT645" s="113"/>
      <c r="AU645" s="112"/>
      <c r="AV645" s="338"/>
      <c r="AW645" s="110"/>
      <c r="AX645" s="110"/>
      <c r="AY645" s="113"/>
      <c r="AZ645" s="113"/>
      <c r="BA645" s="113"/>
      <c r="BB645" s="113"/>
      <c r="BC645" s="113"/>
      <c r="BD645" s="113"/>
      <c r="BF645"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46" spans="1:58" x14ac:dyDescent="0.3">
      <c r="A646" s="422"/>
      <c r="B646" s="376"/>
      <c r="C646" s="110"/>
      <c r="D646" s="110"/>
      <c r="E646" s="340"/>
      <c r="F646" s="330"/>
      <c r="G646" s="113"/>
      <c r="H646" s="332"/>
      <c r="I646" s="113"/>
      <c r="J646" s="332"/>
      <c r="K646" s="110"/>
      <c r="L646" s="110"/>
      <c r="M646" s="110"/>
      <c r="N646" s="110"/>
      <c r="O646" s="111"/>
      <c r="P646" s="424" t="str">
        <f>IF(OR(Table13[[#This Row],[Annual Increase Option]]="No increase",Table13[[#This Row],[Annual Increase Option]]=""),"",_xlfn.XLOOKUP(MONTH(Table13[[#This Row],[Commencement Date]]),Lookups!$I$19:$I$30,Lookups!$J$19:$J$30,0))</f>
        <v/>
      </c>
      <c r="Q646" s="340"/>
      <c r="R646" s="340"/>
      <c r="S646" s="360">
        <f>IF(Table13[[#This Row],[Life Cover Amount]]="",0,Table2[[#This Row],[Life Premium]])</f>
        <v>0</v>
      </c>
      <c r="T646" s="360">
        <f>IF(Table13[[#This Row],[Funeral Cover Amount]]=0,0,Table2[[#This Row],[Funeral Premium]])</f>
        <v>0</v>
      </c>
      <c r="U646" s="360">
        <f>IF(AND(Table13[[#This Row],[Life Cover Amount]]="",Table13[[#This Row],[Funeral Cover Amount]]=""),0,onboarding_calcs!AA646)</f>
        <v>0</v>
      </c>
      <c r="V646" s="111"/>
      <c r="W646" s="111"/>
      <c r="X646" s="333"/>
      <c r="Y646" s="110"/>
      <c r="Z646" s="113"/>
      <c r="AA646" s="425"/>
      <c r="AB646" s="425"/>
      <c r="AC646" s="113"/>
      <c r="AD646" s="110"/>
      <c r="AE646" s="110"/>
      <c r="AF646" s="110"/>
      <c r="AG646" s="110"/>
      <c r="AH646" s="110"/>
      <c r="AI646" s="113"/>
      <c r="AJ646" s="110"/>
      <c r="AK646" s="110"/>
      <c r="AL646" s="110"/>
      <c r="AM646" s="110"/>
      <c r="AN646" s="110"/>
      <c r="AO646" s="113"/>
      <c r="AP646" s="113"/>
      <c r="AQ646" s="113"/>
      <c r="AR646" s="110"/>
      <c r="AS646" s="113"/>
      <c r="AT646" s="113"/>
      <c r="AU646" s="112"/>
      <c r="AV646" s="338"/>
      <c r="AW646" s="110"/>
      <c r="AX646" s="110"/>
      <c r="AY646" s="113"/>
      <c r="AZ646" s="113"/>
      <c r="BA646" s="113"/>
      <c r="BB646" s="113"/>
      <c r="BC646" s="113"/>
      <c r="BD646" s="113"/>
      <c r="BF646"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47" spans="1:58" x14ac:dyDescent="0.3">
      <c r="A647" s="422"/>
      <c r="B647" s="376"/>
      <c r="C647" s="110"/>
      <c r="D647" s="110"/>
      <c r="E647" s="340"/>
      <c r="F647" s="330"/>
      <c r="G647" s="113"/>
      <c r="H647" s="332"/>
      <c r="I647" s="113"/>
      <c r="J647" s="332"/>
      <c r="K647" s="110"/>
      <c r="L647" s="110"/>
      <c r="M647" s="110"/>
      <c r="N647" s="110"/>
      <c r="O647" s="111"/>
      <c r="P647" s="424" t="str">
        <f>IF(OR(Table13[[#This Row],[Annual Increase Option]]="No increase",Table13[[#This Row],[Annual Increase Option]]=""),"",_xlfn.XLOOKUP(MONTH(Table13[[#This Row],[Commencement Date]]),Lookups!$I$19:$I$30,Lookups!$J$19:$J$30,0))</f>
        <v/>
      </c>
      <c r="Q647" s="340"/>
      <c r="R647" s="340"/>
      <c r="S647" s="360">
        <f>IF(Table13[[#This Row],[Life Cover Amount]]="",0,Table2[[#This Row],[Life Premium]])</f>
        <v>0</v>
      </c>
      <c r="T647" s="360">
        <f>IF(Table13[[#This Row],[Funeral Cover Amount]]=0,0,Table2[[#This Row],[Funeral Premium]])</f>
        <v>0</v>
      </c>
      <c r="U647" s="360">
        <f>IF(AND(Table13[[#This Row],[Life Cover Amount]]="",Table13[[#This Row],[Funeral Cover Amount]]=""),0,onboarding_calcs!AA647)</f>
        <v>0</v>
      </c>
      <c r="V647" s="111"/>
      <c r="W647" s="111"/>
      <c r="X647" s="333"/>
      <c r="Y647" s="110"/>
      <c r="Z647" s="113"/>
      <c r="AA647" s="425"/>
      <c r="AB647" s="425"/>
      <c r="AC647" s="113"/>
      <c r="AD647" s="110"/>
      <c r="AE647" s="110"/>
      <c r="AF647" s="110"/>
      <c r="AG647" s="110"/>
      <c r="AH647" s="110"/>
      <c r="AI647" s="113"/>
      <c r="AJ647" s="110"/>
      <c r="AK647" s="110"/>
      <c r="AL647" s="110"/>
      <c r="AM647" s="110"/>
      <c r="AN647" s="110"/>
      <c r="AO647" s="113"/>
      <c r="AP647" s="113"/>
      <c r="AQ647" s="113"/>
      <c r="AR647" s="110"/>
      <c r="AS647" s="113"/>
      <c r="AT647" s="113"/>
      <c r="AU647" s="112"/>
      <c r="AV647" s="338"/>
      <c r="AW647" s="110"/>
      <c r="AX647" s="110"/>
      <c r="AY647" s="113"/>
      <c r="AZ647" s="113"/>
      <c r="BA647" s="113"/>
      <c r="BB647" s="113"/>
      <c r="BC647" s="113"/>
      <c r="BD647" s="113"/>
      <c r="BF647"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48" spans="1:58" x14ac:dyDescent="0.3">
      <c r="A648" s="422"/>
      <c r="B648" s="376"/>
      <c r="C648" s="110"/>
      <c r="D648" s="110"/>
      <c r="E648" s="340"/>
      <c r="F648" s="330"/>
      <c r="G648" s="113"/>
      <c r="H648" s="332"/>
      <c r="I648" s="113"/>
      <c r="J648" s="332"/>
      <c r="K648" s="110"/>
      <c r="L648" s="110"/>
      <c r="M648" s="110"/>
      <c r="N648" s="110"/>
      <c r="O648" s="111"/>
      <c r="P648" s="424" t="str">
        <f>IF(OR(Table13[[#This Row],[Annual Increase Option]]="No increase",Table13[[#This Row],[Annual Increase Option]]=""),"",_xlfn.XLOOKUP(MONTH(Table13[[#This Row],[Commencement Date]]),Lookups!$I$19:$I$30,Lookups!$J$19:$J$30,0))</f>
        <v/>
      </c>
      <c r="Q648" s="340"/>
      <c r="R648" s="340"/>
      <c r="S648" s="360">
        <f>IF(Table13[[#This Row],[Life Cover Amount]]="",0,Table2[[#This Row],[Life Premium]])</f>
        <v>0</v>
      </c>
      <c r="T648" s="360">
        <f>IF(Table13[[#This Row],[Funeral Cover Amount]]=0,0,Table2[[#This Row],[Funeral Premium]])</f>
        <v>0</v>
      </c>
      <c r="U648" s="360">
        <f>IF(AND(Table13[[#This Row],[Life Cover Amount]]="",Table13[[#This Row],[Funeral Cover Amount]]=""),0,onboarding_calcs!AA648)</f>
        <v>0</v>
      </c>
      <c r="V648" s="111"/>
      <c r="W648" s="111"/>
      <c r="X648" s="333"/>
      <c r="Y648" s="110"/>
      <c r="Z648" s="113"/>
      <c r="AA648" s="425"/>
      <c r="AB648" s="425"/>
      <c r="AC648" s="113"/>
      <c r="AD648" s="110"/>
      <c r="AE648" s="110"/>
      <c r="AF648" s="110"/>
      <c r="AG648" s="110"/>
      <c r="AH648" s="110"/>
      <c r="AI648" s="113"/>
      <c r="AJ648" s="110"/>
      <c r="AK648" s="110"/>
      <c r="AL648" s="110"/>
      <c r="AM648" s="110"/>
      <c r="AN648" s="110"/>
      <c r="AO648" s="113"/>
      <c r="AP648" s="113"/>
      <c r="AQ648" s="113"/>
      <c r="AR648" s="110"/>
      <c r="AS648" s="113"/>
      <c r="AT648" s="113"/>
      <c r="AU648" s="112"/>
      <c r="AV648" s="338"/>
      <c r="AW648" s="110"/>
      <c r="AX648" s="110"/>
      <c r="AY648" s="113"/>
      <c r="AZ648" s="113"/>
      <c r="BA648" s="113"/>
      <c r="BB648" s="113"/>
      <c r="BC648" s="113"/>
      <c r="BD648" s="113"/>
      <c r="BF648"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49" spans="1:58" x14ac:dyDescent="0.3">
      <c r="A649" s="422"/>
      <c r="B649" s="376"/>
      <c r="C649" s="110"/>
      <c r="D649" s="110"/>
      <c r="E649" s="340"/>
      <c r="F649" s="330"/>
      <c r="G649" s="113"/>
      <c r="H649" s="332"/>
      <c r="I649" s="113"/>
      <c r="J649" s="332"/>
      <c r="K649" s="110"/>
      <c r="L649" s="110"/>
      <c r="M649" s="110"/>
      <c r="N649" s="110"/>
      <c r="O649" s="111"/>
      <c r="P649" s="424" t="str">
        <f>IF(OR(Table13[[#This Row],[Annual Increase Option]]="No increase",Table13[[#This Row],[Annual Increase Option]]=""),"",_xlfn.XLOOKUP(MONTH(Table13[[#This Row],[Commencement Date]]),Lookups!$I$19:$I$30,Lookups!$J$19:$J$30,0))</f>
        <v/>
      </c>
      <c r="Q649" s="340"/>
      <c r="R649" s="340"/>
      <c r="S649" s="360">
        <f>IF(Table13[[#This Row],[Life Cover Amount]]="",0,Table2[[#This Row],[Life Premium]])</f>
        <v>0</v>
      </c>
      <c r="T649" s="360">
        <f>IF(Table13[[#This Row],[Funeral Cover Amount]]=0,0,Table2[[#This Row],[Funeral Premium]])</f>
        <v>0</v>
      </c>
      <c r="U649" s="360">
        <f>IF(AND(Table13[[#This Row],[Life Cover Amount]]="",Table13[[#This Row],[Funeral Cover Amount]]=""),0,onboarding_calcs!AA649)</f>
        <v>0</v>
      </c>
      <c r="V649" s="111"/>
      <c r="W649" s="111"/>
      <c r="X649" s="333"/>
      <c r="Y649" s="110"/>
      <c r="Z649" s="113"/>
      <c r="AA649" s="425"/>
      <c r="AB649" s="425"/>
      <c r="AC649" s="113"/>
      <c r="AD649" s="110"/>
      <c r="AE649" s="110"/>
      <c r="AF649" s="110"/>
      <c r="AG649" s="110"/>
      <c r="AH649" s="110"/>
      <c r="AI649" s="113"/>
      <c r="AJ649" s="110"/>
      <c r="AK649" s="110"/>
      <c r="AL649" s="110"/>
      <c r="AM649" s="110"/>
      <c r="AN649" s="110"/>
      <c r="AO649" s="113"/>
      <c r="AP649" s="113"/>
      <c r="AQ649" s="113"/>
      <c r="AR649" s="110"/>
      <c r="AS649" s="113"/>
      <c r="AT649" s="113"/>
      <c r="AU649" s="112"/>
      <c r="AV649" s="338"/>
      <c r="AW649" s="110"/>
      <c r="AX649" s="110"/>
      <c r="AY649" s="113"/>
      <c r="AZ649" s="113"/>
      <c r="BA649" s="113"/>
      <c r="BB649" s="113"/>
      <c r="BC649" s="113"/>
      <c r="BD649" s="113"/>
      <c r="BF649"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50" spans="1:58" x14ac:dyDescent="0.3">
      <c r="A650" s="422"/>
      <c r="B650" s="376"/>
      <c r="C650" s="110"/>
      <c r="D650" s="110"/>
      <c r="E650" s="340"/>
      <c r="F650" s="330"/>
      <c r="G650" s="113"/>
      <c r="H650" s="332"/>
      <c r="I650" s="113"/>
      <c r="J650" s="332"/>
      <c r="K650" s="110"/>
      <c r="L650" s="110"/>
      <c r="M650" s="110"/>
      <c r="N650" s="110"/>
      <c r="O650" s="111"/>
      <c r="P650" s="424" t="str">
        <f>IF(OR(Table13[[#This Row],[Annual Increase Option]]="No increase",Table13[[#This Row],[Annual Increase Option]]=""),"",_xlfn.XLOOKUP(MONTH(Table13[[#This Row],[Commencement Date]]),Lookups!$I$19:$I$30,Lookups!$J$19:$J$30,0))</f>
        <v/>
      </c>
      <c r="Q650" s="340"/>
      <c r="R650" s="340"/>
      <c r="S650" s="360">
        <f>IF(Table13[[#This Row],[Life Cover Amount]]="",0,Table2[[#This Row],[Life Premium]])</f>
        <v>0</v>
      </c>
      <c r="T650" s="360">
        <f>IF(Table13[[#This Row],[Funeral Cover Amount]]=0,0,Table2[[#This Row],[Funeral Premium]])</f>
        <v>0</v>
      </c>
      <c r="U650" s="360">
        <f>IF(AND(Table13[[#This Row],[Life Cover Amount]]="",Table13[[#This Row],[Funeral Cover Amount]]=""),0,onboarding_calcs!AA650)</f>
        <v>0</v>
      </c>
      <c r="V650" s="111"/>
      <c r="W650" s="111"/>
      <c r="X650" s="333"/>
      <c r="Y650" s="110"/>
      <c r="Z650" s="113"/>
      <c r="AA650" s="425"/>
      <c r="AB650" s="425"/>
      <c r="AC650" s="113"/>
      <c r="AD650" s="110"/>
      <c r="AE650" s="110"/>
      <c r="AF650" s="110"/>
      <c r="AG650" s="110"/>
      <c r="AH650" s="110"/>
      <c r="AI650" s="113"/>
      <c r="AJ650" s="110"/>
      <c r="AK650" s="110"/>
      <c r="AL650" s="110"/>
      <c r="AM650" s="110"/>
      <c r="AN650" s="110"/>
      <c r="AO650" s="113"/>
      <c r="AP650" s="113"/>
      <c r="AQ650" s="113"/>
      <c r="AR650" s="110"/>
      <c r="AS650" s="113"/>
      <c r="AT650" s="113"/>
      <c r="AU650" s="112"/>
      <c r="AV650" s="338"/>
      <c r="AW650" s="110"/>
      <c r="AX650" s="110"/>
      <c r="AY650" s="113"/>
      <c r="AZ650" s="113"/>
      <c r="BA650" s="113"/>
      <c r="BB650" s="113"/>
      <c r="BC650" s="113"/>
      <c r="BD650" s="113"/>
      <c r="BF650" s="373" t="str">
        <f>IF(Table2[[#This Row],[Upper bound for age]]=FALSE,"Check Date of Birth or Commencement Date",
IF(Table2[[#This Row],[Upper bound for age]]="Max age","Check Max Entry Age",
IF(AND(Table13[[#This Row],[Member Type]]="Child",Table2[[#This Row],[Age Next Birthday]]&gt;21),"Change Member Type to Extended",
IFERROR(IF(OR(Table13[[#This Row],[Product Option]]="My Value Plus Life",Table13[[#This Row],[Member Type]]="Beneficiary"),"Not applicable",
IF(AND(Table13[[#This Row],[Member Type]],Table13[[#This Row],[Product Option]]="My Value Plus Life &amp; Funeral")="Main Member","Any amount from R10,000 to R150,000",
IF(AND(OR(Table13[[#This Row],[Member Type]]="Spouse",Table13[[#This Row],[Member Type]]="Child"),Table13[[#This Row],[Product Option]]="My Value Plus Life &amp; Funeral"),Table2[[#This Row],[Validation check for Funeral Cover Amount]],
IF(AND(OR(Table13[[#This Row],[Member Type]]="Extended",Table13[[#This Row],[Member Type]]="Parent"),Table13[[#This Row],[Product Option]]="My Value Plus Life &amp; Funeral"),"Any amount from R10,000 to "&amp;TEXT(Table2[[#This Row],[Validation check for Funeral Cover Amount]],"R#,##0"),
IF(Table13[[#This Row],[Member Type]]="","",
))))),"Check Date of Birth or Commencement Date"))))</f>
        <v/>
      </c>
    </row>
    <row r="651" spans="1:58" x14ac:dyDescent="0.3"/>
  </sheetData>
  <sheetProtection algorithmName="SHA-512" hashValue="t/Hf41VUuhs666ci8qsWxlNArp7+Eew6x17xHNmkYKtkemsxrVXB2HmjxbWbTHM5wqtu8gljTOi79RS+Y3V2GQ==" saltValue="TFlIMv6MR8N8xw2QSExUzQ==" spinCount="100000" sheet="1" objects="1" scenarios="1"/>
  <mergeCells count="15">
    <mergeCell ref="B1:C1"/>
    <mergeCell ref="C3:D3"/>
    <mergeCell ref="AA3:AB3"/>
    <mergeCell ref="V2:W2"/>
    <mergeCell ref="F3:G3"/>
    <mergeCell ref="Y2:AC2"/>
    <mergeCell ref="V3:W3"/>
    <mergeCell ref="K2:U2"/>
    <mergeCell ref="S3:U3"/>
    <mergeCell ref="A2:J2"/>
    <mergeCell ref="AD2:AI2"/>
    <mergeCell ref="AJ2:AO2"/>
    <mergeCell ref="AP2:AS2"/>
    <mergeCell ref="AT2:AW2"/>
    <mergeCell ref="AX2:BC2"/>
  </mergeCells>
  <phoneticPr fontId="4" type="noConversion"/>
  <conditionalFormatting sqref="A5:BD650 BF5:BF650">
    <cfRule type="expression" dxfId="6" priority="8">
      <formula>$B5="Main Member"</formula>
    </cfRule>
  </conditionalFormatting>
  <conditionalFormatting sqref="C7:D7 G7:H7">
    <cfRule type="expression" dxfId="5" priority="6">
      <formula>$B7="Main Member"</formula>
    </cfRule>
  </conditionalFormatting>
  <conditionalFormatting sqref="D8:D11">
    <cfRule type="expression" dxfId="4" priority="1">
      <formula>$B8="Main Member"</formula>
    </cfRule>
  </conditionalFormatting>
  <conditionalFormatting sqref="E7:E11">
    <cfRule type="expression" dxfId="3" priority="3">
      <formula>$B7="Main Member"</formula>
    </cfRule>
  </conditionalFormatting>
  <conditionalFormatting sqref="F7">
    <cfRule type="expression" dxfId="2" priority="5">
      <formula>$B7="Main Member"</formula>
    </cfRule>
  </conditionalFormatting>
  <conditionalFormatting sqref="V73:W75">
    <cfRule type="expression" dxfId="1" priority="7">
      <formula>$B73="Main Member"</formula>
    </cfRule>
  </conditionalFormatting>
  <dataValidations xWindow="1047" yWindow="499" count="8">
    <dataValidation type="textLength" operator="equal" allowBlank="1" showInputMessage="1" showErrorMessage="1" errorTitle="Length is 13" error="ID No must be 13 digits" sqref="E17:E28 F36:F37 F46:F49 F52:F650 F12:F13 F5 F20:F28 F15:F18 F7:F9 E5 E8:E11" xr:uid="{28F9DD83-7C1A-4C64-B6B2-E02EA065D3BD}">
      <formula1>13</formula1>
    </dataValidation>
    <dataValidation type="whole" allowBlank="1" showInputMessage="1" showErrorMessage="1" sqref="BC5:BC27" xr:uid="{B19A51A1-44D5-4625-B3A7-111968E6E102}">
      <formula1>1</formula1>
      <formula2>31</formula2>
    </dataValidation>
    <dataValidation showInputMessage="1" showErrorMessage="1" sqref="X4" xr:uid="{9523A4F3-DACD-406F-9EC2-6BC2205EAF99}"/>
    <dataValidation type="list" allowBlank="1" showInputMessage="1" showErrorMessage="1" sqref="I5:I650" xr:uid="{65844721-D8E2-4E54-8917-089853E7262E}">
      <formula1>"Male,Female"</formula1>
    </dataValidation>
    <dataValidation errorStyle="information" allowBlank="1" showInputMessage="1" showErrorMessage="1" errorTitle="Funeral Cover Limits" error="The Funeral Cover amount should be a positive value and should not exceed the maximum limit of R100,000 per life." sqref="U5:U650" xr:uid="{E9A21032-8652-4694-9A6C-8BA187BE4D0A}"/>
    <dataValidation operator="lessThan" allowBlank="1" showInputMessage="1" showErrorMessage="1" sqref="AA5:AB650" xr:uid="{3207A1DB-C1BB-4CE6-B5A4-7C03031B55EC}"/>
    <dataValidation type="whole" errorStyle="information" operator="greaterThan" allowBlank="1" showInputMessage="1" showErrorMessage="1" error="Cover Amount should be a positive value." sqref="AC5:AC650" xr:uid="{8DA885B4-81CC-4B32-8901-686261B29869}">
      <formula1>0</formula1>
    </dataValidation>
    <dataValidation type="decimal" operator="lessThanOrEqual" allowBlank="1" showInputMessage="1" showErrorMessage="1" errorTitle="Beneficiaries of Life Cover" error="1. Complete % split between any added beneficiaries linked to a Main Member._x000a_2. Ensure % of all beneficiaries sums up to 100% in the benefit column._x000a_3. Only input data on the rows relating to Beneficiary details." sqref="V5:V650" xr:uid="{3176B798-4C8B-4CB5-AB5B-01100226B174}">
      <formula1>IF(B5="Beneficiary",1-SUMIFS($V$4:$V4,$E$4:$E4,E5),0)</formula1>
    </dataValidation>
  </dataValidations>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xWindow="1047" yWindow="499" count="16">
        <x14:dataValidation type="list" allowBlank="1" showInputMessage="1" showErrorMessage="1" xr:uid="{B3E9C43A-112C-428E-AF58-2908A5A5567B}">
          <x14:formula1>
            <xm:f>Lookups!$J$3:$J$16</xm:f>
          </x14:formula1>
          <xm:sqref>AY13:AY650</xm:sqref>
        </x14:dataValidation>
        <x14:dataValidation type="list" allowBlank="1" showInputMessage="1" showErrorMessage="1" xr:uid="{7F91534E-7437-4F8E-ACF9-F339DB0E7849}">
          <x14:formula1>
            <xm:f>Lookups!$A$3:$A$8</xm:f>
          </x14:formula1>
          <xm:sqref>B5:B650</xm:sqref>
        </x14:dataValidation>
        <x14:dataValidation type="list" allowBlank="1" showInputMessage="1" showErrorMessage="1" xr:uid="{BB9084FB-864E-443F-8046-0E31283713FE}">
          <x14:formula1>
            <xm:f>Lookups!$F$3:$F$5</xm:f>
          </x14:formula1>
          <xm:sqref>AS5:AS650</xm:sqref>
        </x14:dataValidation>
        <x14:dataValidation type="list" allowBlank="1" showInputMessage="1" showErrorMessage="1" xr:uid="{054F6A1C-BBF2-4600-9A59-53FFC08922E1}">
          <x14:formula1>
            <xm:f>IF(B5="Main Member",Lookups!$P$4:$P$5,Lookups!$P$3)</xm:f>
          </x14:formula1>
          <xm:sqref>N5:N650</xm:sqref>
        </x14:dataValidation>
        <x14:dataValidation type="list" allowBlank="1" showInputMessage="1" showErrorMessage="1" xr:uid="{00229711-17D0-41AB-B3F7-71BCDB1FF09B}">
          <x14:formula1>
            <xm:f>IF(B5="Main Member",Lookups!$G$4:$G$6,Lookups!$G$3)</xm:f>
          </x14:formula1>
          <xm:sqref>O5:O650</xm:sqref>
        </x14:dataValidation>
        <x14:dataValidation type="list" allowBlank="1" showInputMessage="1" showErrorMessage="1" xr:uid="{65C655BC-1335-4132-B623-A4466ED0FFC4}">
          <x14:formula1>
            <xm:f>Lookups!$N$4:$N$5</xm:f>
          </x14:formula1>
          <xm:sqref>X5:X650</xm:sqref>
        </x14:dataValidation>
        <x14:dataValidation type="list" operator="lessThanOrEqual" allowBlank="1" showInputMessage="1" showErrorMessage="1" errorTitle="Beneficiaries of Funeral Cover" error="Only 1 Beneficiary is allowed to receive the Funeral cover sum assured. Please select 100% for that beneficiary and 0% on any other available beneficiaries." xr:uid="{72DBFC95-C872-4169-8CA0-394835188537}">
          <x14:formula1>
            <xm:f>IF($B5&lt;&gt;"Beneficiary",Lookups!$S$2,IF(_xlfn.XLOOKUP($E5,$E$5:$E$650,$K$5:$K$650,0)="My Value Plus Life",Lookups!$S$3,IF(SUMIFS($W$5:$W$650,$E$5:$E$650,$E5)&lt;=1,Lookups!$S$3:$S$4,Lookups!$S$3)))</xm:f>
          </x14:formula1>
          <xm:sqref>W5:W72 W76:W650</xm:sqref>
        </x14:dataValidation>
        <x14:dataValidation type="list" allowBlank="1" showInputMessage="1" showErrorMessage="1" xr:uid="{44389B10-5F04-4D2E-BFCB-013388855F6E}">
          <x14:formula1>
            <xm:f>Lookups!$L$3:$L$21</xm:f>
          </x14:formula1>
          <xm:sqref>Y5:Y650</xm:sqref>
        </x14:dataValidation>
        <x14:dataValidation type="list" allowBlank="1" showInputMessage="1" showErrorMessage="1" xr:uid="{7D977C9C-6417-4724-BC68-3C73964B4C8C}">
          <x14:formula1>
            <xm:f>Lookups!$O$4:$O$6</xm:f>
          </x14:formula1>
          <xm:sqref>AX5:AX650</xm:sqref>
        </x14:dataValidation>
        <x14:dataValidation type="list" allowBlank="1" showInputMessage="1" showErrorMessage="1" xr:uid="{ED026BA8-60EE-42C9-8EAE-1A0B9F9E792A}">
          <x14:formula1>
            <xm:f>onboarding_calcs!$AE5:$AH5</xm:f>
          </x14:formula1>
          <xm:sqref>L5:L650</xm:sqref>
        </x14:dataValidation>
        <x14:dataValidation type="list" allowBlank="1" showInputMessage="1" showErrorMessage="1" xr:uid="{C24B32AF-1275-4177-851A-68B1B173F1EF}">
          <x14:formula1>
            <xm:f>onboarding_calcs!$AC5:$AD5</xm:f>
          </x14:formula1>
          <xm:sqref>K5:K650</xm:sqref>
        </x14:dataValidation>
        <x14:dataValidation type="list" allowBlank="1" showInputMessage="1" showErrorMessage="1" xr:uid="{43F8602D-BF58-4422-B90E-08A8AE7EA354}">
          <x14:formula1>
            <xm:f>IF(onboarding_calcs!$AI5=1,Lookups!$R$3:$R$9,IF(onboarding_calcs!$AI5=2,Lookups!$R$3,onboarding_calcs!$AI5))</xm:f>
          </x14:formula1>
          <xm:sqref>M5:M650</xm:sqref>
        </x14:dataValidation>
        <x14:dataValidation type="whole" errorStyle="information" allowBlank="1" showInputMessage="1" showErrorMessage="1" errorTitle="Funeral Cover Limits" error="Cover amount:_x000a_1) Applies to MVP Life &amp; Funeral Plan _x000a_2) should be a positive value; or_x000a_3) must not exceed the Main Member's funeral cover; or_x000a_4) must not exceed max limit (refer to column BF and Important Notes)." promptTitle="Full details in Important Notes" prompt="Main Member --&gt; Min R10,000 ; Max R150,000_x000a_Spouse cover = Main Member cover_x000a_Child cover = applicable benefit scales and max amount_x000a_Parent &amp; Extended --&gt; up to max R75,000_x000a_&lt;Column BF shows the applicable funeral cover amount of each member under a policy&gt;" xr:uid="{28AF33A4-A574-479C-AEB1-156B9DF7B0AA}">
          <x14:formula1>
            <xm:f>IF(K5="My Value Plus Life",0,IF(B5="Beneficiary",0,IF(OR(B5="Spouse",B5="Child"),onboarding_calcs!Z5,10000)))</xm:f>
          </x14:formula1>
          <x14:formula2>
            <xm:f>onboarding_calcs!Z5</xm:f>
          </x14:formula2>
          <xm:sqref>R5:R650</xm:sqref>
        </x14:dataValidation>
        <x14:dataValidation type="whole" errorStyle="information" allowBlank="1" showInputMessage="1" showErrorMessage="1" errorTitle="Life Cover Limits" error="Life Cover is only available for the Main Member and Spouse, min of R50,000 per life. _x000a__x000a_The Life Cover amount should be a positive value, should not exceed the Main Member's cover amount or the max limit of R500,000 per life." xr:uid="{03BDA294-E865-47FF-A676-6D90D40F9120}">
          <x14:formula1>
            <xm:f>IF(B5="Beneficiary",0,IF(OR(B5="Spouse",B5="Main Member"),50000))</xm:f>
          </x14:formula1>
          <x14:formula2>
            <xm:f>onboarding_calcs!Y5</xm:f>
          </x14:formula2>
          <xm:sqref>Q5:Q650</xm:sqref>
        </x14:dataValidation>
        <x14:dataValidation type="date" allowBlank="1" showInputMessage="1" showErrorMessage="1" error="Please insert a current and valid commencement date._x000a_Up to 90 days, from today, is allowed as a valid commencement date." xr:uid="{B70AAFC5-AE94-44EF-B7BF-97F5585D8473}">
          <x14:formula1>
            <xm:f>TODAY()</xm:f>
          </x14:formula1>
          <x14:formula2>
            <xm:f>Lookups!$D$2</xm:f>
          </x14:formula2>
          <xm:sqref>J5:J650</xm:sqref>
        </x14:dataValidation>
        <x14:dataValidation type="date" allowBlank="1" showInputMessage="1" showErrorMessage="1" xr:uid="{11EB3308-B1AB-4528-AF75-4CFC51801FFB}">
          <x14:formula1>
            <xm:f>TODAY()</xm:f>
          </x14:formula1>
          <x14:formula2>
            <xm:f>Lookups!$D$2</xm:f>
          </x14:formula2>
          <xm:sqref>J5:J650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83199-CE03-4D50-8A8C-3A70552440BD}">
  <dimension ref="A1:AK652"/>
  <sheetViews>
    <sheetView topLeftCell="A4" zoomScale="80" zoomScaleNormal="80" workbookViewId="0">
      <pane xSplit="2" ySplit="1" topLeftCell="C5" activePane="bottomRight" state="frozen"/>
      <selection activeCell="A4" sqref="A4"/>
      <selection pane="topRight" activeCell="C4" sqref="C4"/>
      <selection pane="bottomLeft" activeCell="A5" sqref="A5"/>
      <selection pane="bottomRight" activeCell="A4" sqref="A4"/>
    </sheetView>
  </sheetViews>
  <sheetFormatPr defaultColWidth="8.6640625" defaultRowHeight="14.4" x14ac:dyDescent="0.3"/>
  <cols>
    <col min="1" max="1" width="14.33203125" style="283" bestFit="1" customWidth="1"/>
    <col min="2" max="2" width="19.5546875" style="283" customWidth="1"/>
    <col min="3" max="3" width="14.88671875" style="283" bestFit="1" customWidth="1"/>
    <col min="4" max="4" width="13.33203125" style="283" customWidth="1"/>
    <col min="5" max="5" width="20.88671875" style="283" customWidth="1"/>
    <col min="6" max="6" width="17.33203125" style="283" customWidth="1"/>
    <col min="7" max="7" width="19.33203125" style="283" customWidth="1"/>
    <col min="8" max="8" width="24.5546875" style="300" customWidth="1"/>
    <col min="9" max="9" width="24.6640625" style="300" customWidth="1"/>
    <col min="10" max="10" width="18.6640625" style="300" customWidth="1"/>
    <col min="11" max="11" width="11.33203125" style="300" customWidth="1"/>
    <col min="12" max="12" width="14.6640625" style="300" customWidth="1"/>
    <col min="13" max="13" width="13.6640625" style="300" customWidth="1"/>
    <col min="14" max="14" width="47.88671875" style="283" bestFit="1" customWidth="1"/>
    <col min="15" max="15" width="22.6640625" style="283" customWidth="1"/>
    <col min="16" max="17" width="21.6640625" style="283" customWidth="1"/>
    <col min="18" max="18" width="15.88671875" style="283" customWidth="1"/>
    <col min="19" max="19" width="16.6640625" style="283" customWidth="1"/>
    <col min="20" max="20" width="20.6640625" style="283" customWidth="1"/>
    <col min="21" max="21" width="30" style="283" bestFit="1" customWidth="1"/>
    <col min="22" max="22" width="22.88671875" style="283" bestFit="1" customWidth="1"/>
    <col min="23" max="23" width="17.88671875" style="283" customWidth="1"/>
    <col min="24" max="24" width="21" style="283" customWidth="1"/>
    <col min="25" max="25" width="13.6640625" customWidth="1"/>
    <col min="26" max="27" width="13.6640625" style="283" customWidth="1"/>
    <col min="28" max="28" width="2.6640625" style="283" customWidth="1"/>
    <col min="29" max="29" width="26.6640625" style="166" bestFit="1" customWidth="1"/>
    <col min="30" max="30" width="26.6640625" style="299" bestFit="1" customWidth="1"/>
    <col min="31" max="31" width="47.88671875" style="299" bestFit="1" customWidth="1"/>
    <col min="32" max="33" width="49.109375" style="299" bestFit="1" customWidth="1"/>
    <col min="34" max="34" width="40.44140625" style="299" bestFit="1" customWidth="1"/>
    <col min="35" max="35" width="27.33203125" style="329" bestFit="1" customWidth="1"/>
    <col min="36" max="37" width="14" style="283" customWidth="1"/>
    <col min="38" max="38" width="12.33203125" style="283" bestFit="1" customWidth="1"/>
    <col min="39" max="39" width="15.44140625" style="283" bestFit="1" customWidth="1"/>
    <col min="40" max="40" width="10.33203125" style="283" customWidth="1"/>
    <col min="41" max="41" width="18.44140625" style="283" customWidth="1"/>
    <col min="42" max="16384" width="8.6640625" style="283"/>
  </cols>
  <sheetData>
    <row r="1" spans="1:37" s="137" customFormat="1" hidden="1" x14ac:dyDescent="0.3">
      <c r="A1" s="135"/>
      <c r="B1" s="135"/>
      <c r="C1" s="135"/>
      <c r="D1" s="135"/>
      <c r="E1" s="135"/>
      <c r="F1" s="135"/>
      <c r="G1" s="135"/>
      <c r="H1" s="135"/>
      <c r="I1" s="135"/>
      <c r="J1" s="135"/>
      <c r="K1" s="135"/>
      <c r="L1" s="135"/>
      <c r="M1" s="135"/>
      <c r="N1" s="135"/>
      <c r="O1" s="135"/>
      <c r="P1" s="135"/>
      <c r="Q1" s="135"/>
      <c r="R1" s="135"/>
      <c r="S1" s="135"/>
      <c r="T1" s="135"/>
      <c r="U1" s="136"/>
      <c r="V1" s="136"/>
      <c r="W1" s="135"/>
      <c r="X1" s="135"/>
      <c r="AA1" s="135"/>
      <c r="AC1" s="320"/>
      <c r="AD1" s="320"/>
      <c r="AE1" s="320"/>
      <c r="AF1" s="320"/>
      <c r="AG1" s="320"/>
      <c r="AH1" s="320"/>
      <c r="AI1" s="321"/>
    </row>
    <row r="2" spans="1:37" s="137" customFormat="1" ht="15" hidden="1" customHeight="1" x14ac:dyDescent="0.3">
      <c r="A2" s="138"/>
      <c r="B2" s="138"/>
      <c r="C2" s="138"/>
      <c r="D2" s="138"/>
      <c r="E2" s="138"/>
      <c r="F2" s="138"/>
      <c r="G2" s="138"/>
      <c r="H2" s="139"/>
      <c r="I2" s="139"/>
      <c r="J2" s="139"/>
      <c r="K2" s="139"/>
      <c r="L2" s="139"/>
      <c r="M2" s="139"/>
      <c r="N2" s="139"/>
      <c r="O2" s="139"/>
      <c r="P2" s="139"/>
      <c r="Q2" s="139"/>
      <c r="R2" s="139"/>
      <c r="S2" s="139"/>
      <c r="T2" s="139"/>
      <c r="U2" s="139"/>
      <c r="V2" s="139"/>
      <c r="W2" s="139"/>
      <c r="X2" s="139"/>
      <c r="Y2" s="282"/>
      <c r="Z2" s="282"/>
      <c r="AA2" s="139"/>
      <c r="AB2" s="282"/>
      <c r="AC2" s="322"/>
      <c r="AD2" s="322"/>
      <c r="AE2" s="322"/>
      <c r="AF2" s="322"/>
      <c r="AG2" s="322"/>
      <c r="AH2" s="322"/>
      <c r="AI2" s="323"/>
      <c r="AJ2" s="282"/>
    </row>
    <row r="3" spans="1:37" s="137" customFormat="1" hidden="1" x14ac:dyDescent="0.3">
      <c r="A3" s="140"/>
      <c r="B3" s="140"/>
      <c r="C3" s="141"/>
      <c r="D3" s="141"/>
      <c r="E3" s="140"/>
      <c r="F3" s="140"/>
      <c r="G3" s="140"/>
      <c r="H3" s="140"/>
      <c r="I3" s="140"/>
      <c r="J3" s="140"/>
      <c r="K3" s="140"/>
      <c r="L3" s="140"/>
      <c r="M3" s="140"/>
      <c r="N3" s="140"/>
      <c r="O3" s="140"/>
      <c r="P3" s="140"/>
      <c r="Q3" s="140"/>
      <c r="R3" s="140"/>
      <c r="S3" s="140"/>
      <c r="T3" s="140"/>
      <c r="U3" s="140"/>
      <c r="V3" s="140"/>
      <c r="W3" s="140"/>
      <c r="X3" s="140"/>
      <c r="AA3" s="140"/>
      <c r="AC3" s="324"/>
      <c r="AD3" s="324"/>
      <c r="AE3" s="324"/>
      <c r="AF3" s="324"/>
      <c r="AG3" s="324"/>
      <c r="AH3" s="324"/>
      <c r="AI3" s="321"/>
    </row>
    <row r="4" spans="1:37" ht="57.6" x14ac:dyDescent="0.3">
      <c r="A4" s="160" t="s">
        <v>8</v>
      </c>
      <c r="B4" s="161" t="s">
        <v>11</v>
      </c>
      <c r="C4" s="161" t="s">
        <v>12</v>
      </c>
      <c r="D4" s="161" t="s">
        <v>14</v>
      </c>
      <c r="E4" s="161" t="s">
        <v>18</v>
      </c>
      <c r="F4" s="162" t="s">
        <v>276</v>
      </c>
      <c r="G4" s="162" t="s">
        <v>174</v>
      </c>
      <c r="H4" s="161" t="s">
        <v>16</v>
      </c>
      <c r="I4" s="162" t="s">
        <v>277</v>
      </c>
      <c r="J4" s="162" t="s">
        <v>198</v>
      </c>
      <c r="K4" s="162" t="s">
        <v>320</v>
      </c>
      <c r="L4" s="162" t="s">
        <v>318</v>
      </c>
      <c r="M4" s="162" t="s">
        <v>282</v>
      </c>
      <c r="N4" s="161" t="s">
        <v>17</v>
      </c>
      <c r="O4" s="162" t="s">
        <v>278</v>
      </c>
      <c r="P4" s="162" t="s">
        <v>197</v>
      </c>
      <c r="Q4" s="162" t="s">
        <v>379</v>
      </c>
      <c r="R4" s="162" t="s">
        <v>319</v>
      </c>
      <c r="S4" s="162" t="s">
        <v>283</v>
      </c>
      <c r="T4" s="161" t="s">
        <v>20</v>
      </c>
      <c r="U4" s="163" t="s">
        <v>42</v>
      </c>
      <c r="V4" s="164" t="s">
        <v>43</v>
      </c>
      <c r="W4" s="161" t="s">
        <v>261</v>
      </c>
      <c r="X4" s="161" t="s">
        <v>260</v>
      </c>
      <c r="Y4" s="303" t="s">
        <v>305</v>
      </c>
      <c r="Z4" s="303" t="s">
        <v>306</v>
      </c>
      <c r="AA4" s="162" t="s">
        <v>321</v>
      </c>
      <c r="AC4" s="325" t="s">
        <v>311</v>
      </c>
      <c r="AD4" s="325" t="s">
        <v>312</v>
      </c>
      <c r="AE4" s="325" t="s">
        <v>313</v>
      </c>
      <c r="AF4" s="325" t="s">
        <v>314</v>
      </c>
      <c r="AG4" s="325" t="s">
        <v>315</v>
      </c>
      <c r="AH4" s="325" t="s">
        <v>316</v>
      </c>
      <c r="AI4" s="325" t="s">
        <v>317</v>
      </c>
      <c r="AJ4" s="369" t="s">
        <v>366</v>
      </c>
      <c r="AK4" s="369" t="s">
        <v>368</v>
      </c>
    </row>
    <row r="5" spans="1:37" x14ac:dyDescent="0.3">
      <c r="A5" s="284" t="str">
        <f>Table13[[#This Row],[Member Type]]</f>
        <v>Main Member</v>
      </c>
      <c r="B5" s="284">
        <f>Table13[[#This Row],[Main Member Link ID]]</f>
        <v>9403175795084</v>
      </c>
      <c r="C5" s="284">
        <f>Table13[[#This Row],[ID Number]]</f>
        <v>9403175795084</v>
      </c>
      <c r="D5" s="285">
        <f>Table13[[#This Row],[Date Of Birth]]</f>
        <v>33075</v>
      </c>
      <c r="E5" s="285">
        <f>Table13[[#This Row],[Commencement Date]]</f>
        <v>46023</v>
      </c>
      <c r="F5" s="284">
        <f t="shared" ref="F5:F68" si="0">IF(D5="","",
IF(OR($A5="Main Member",$A5="Spouse",$A5="Child"),IFERROR(IF((IF($D5="",-1,DATEDIF($D5,$E5,"Y"))+1)&gt;75,"Max age",IF($D5="",-1,DATEDIF($D5,$E5,"Y"))+1),FALSE),
IFERROR(IF((IF($D5="",-1,DATEDIF($D5,$E5,"Y"))+1)&gt;75,"Max age",IF($D5="",-1,DATEDIF($D5,$E5,"Y"))+1),FALSE)))</f>
        <v>36</v>
      </c>
      <c r="G5" s="284">
        <f>IF(F5="","",
IF(F5="Max age","Max age",
IF(OR($A5="Main Member",$A5="Spouse",$A5="Child"),IF($F5=0,"",IF($F5&lt;26,25,IF($F5&lt;36,35,IF($F5&lt;46,45,IF($F5&lt;51,50,IF($F5&lt;56,55,IF($F5&lt;61,60,IF($F5&lt;66,65,IF($F5&lt;71,70,IF($F5&lt;76,75)))))))))),
IF($F5=0,"",IF($F5&lt;26,25,IF($F5&lt;36,35,IF($F5&lt;46,45,IF($F5&lt;51,50,IF($F5&lt;56,55,IF($F5&lt;61,60,IF($F5&lt;66,65,IF($F5&lt;71,70,IF($F5&lt;76,75)))))))))))))</f>
        <v>45</v>
      </c>
      <c r="H5" s="286" t="str">
        <f>Table13[[#This Row],[Product Option]]</f>
        <v>My Value Plus Life</v>
      </c>
      <c r="I5" s="284" t="str">
        <f>IF(AND($A5="Main Member",Table2[[#This Row],[Product Option]]="My Value Plus Life"),"MM_LIFE",
IF(AND($A5="Spouse",Table2[[#This Row],[Product Option]]="My Value Plus Life"),"SP_LIFE",
IF(AND($A5="Main Member",Table2[[#This Row],[Product Option]]="My Value Plus Life &amp; Funeral"),"MM_LIFE",
IF(AND($A5="Spouse",Table2[[#This Row],[Product Option]]="My Value Plus Life &amp; Funeral"),_xlfn.XLOOKUP(Table2[[#This Row],[Benefit Name]],Lookups!$D$18:$D$23,Lookups!$E$18:$E$23,0),
0))))</f>
        <v>MM_LIFE</v>
      </c>
      <c r="J5" s="284">
        <f>IF($I5="","",
IF($I5="MM_LIFE",INDEX('Quotation Tool'!$S$54:$V$60,MATCH($T5,'Quotation Tool'!$S$54:$S$60,0),4),
IF($I5="SP_LIFE",_xlfn.XLOOKUP(B4,$B:$B,$J:$J,0),0)))</f>
        <v>4</v>
      </c>
      <c r="K5" s="287">
        <f ca="1">IFERROR(VLOOKUP($G5,INDIRECT($I5),$J5,FALSE),0)</f>
        <v>103.5</v>
      </c>
      <c r="L5" s="288">
        <f ca="1">IFERROR(VLOOKUP($G5,INDIRECT($I5),$J5+1,FALSE),0)</f>
        <v>1.4624999999999999</v>
      </c>
      <c r="M5" s="289">
        <f t="shared" ref="M5:M68" ca="1" si="1">K5+L5/1000*W5</f>
        <v>249.74999999999997</v>
      </c>
      <c r="N5" s="286" t="str">
        <f>Table13[[#This Row],[Benefit Option]]</f>
        <v>Life - Main Member</v>
      </c>
      <c r="O5" s="284">
        <f>IF(OR(Table2[[#This Row],[Member Type]]="Spouse",Table2[[#This Row],[Member Type]]="Child"),0,
IF(_xlfn.XLOOKUP($N5,Lookups!$D$13:$D$27,Lookups!$F$13:$F$27,0)=Table2[[#This Row],[Table Lookup for Life Cover]],0,
_xlfn.XLOOKUP($N5,Lookups!$D$13:$D$27,Lookups!$F$13:$F$27,0)))</f>
        <v>0</v>
      </c>
      <c r="P5" s="284">
        <f>IF(Table2[[#This Row],[Table Lookup for Funeral]]=0,0,IFERROR(INDEX('Quotation Tool'!$S$54:$V$60,MATCH($T5,'Quotation Tool'!$S$54:$S$60,0),3),0))</f>
        <v>0</v>
      </c>
      <c r="Q5" s="288">
        <f ca="1">IF(OR(Table2[[#This Row],[Benefit Name]]="My Value Plus Life - Main Member",Table2[[#This Row],[Benefit Name]]="My Value Plus Life - Spouse"),0,
IFERROR(VLOOKUP($G5,INDIRECT($O5),$P5,FALSE),0))</f>
        <v>0</v>
      </c>
      <c r="R5" s="288">
        <f ca="1">IF(OR(Table2[[#This Row],[Benefit Name]]="My Value Plus Life - Main Member",Table2[[#This Row],[Benefit Name]]="My Value Plus Life - Spouse"),0,
IFERROR(VLOOKUP($G5,INDIRECT($O5),$P5+1,FALSE),0))</f>
        <v>0</v>
      </c>
      <c r="S5" s="289">
        <f t="shared" ref="S5:S68" ca="1" si="2">Q5+R5/1000*X5</f>
        <v>0</v>
      </c>
      <c r="T5" s="284" t="str">
        <f>IF(Table13[[#This Row],[Premium Waiver]]="","None",Table13[[#This Row],[Premium Waiver]])</f>
        <v>Death only - 5 years</v>
      </c>
      <c r="U5" s="284" t="str">
        <f>Table13[[#This Row],[VAPs Options]]</f>
        <v>Compulsory and Optional (R 9.13)</v>
      </c>
      <c r="V5" s="284">
        <f>Table13[[#This Row],[Annual Increase Option]]</f>
        <v>0.05</v>
      </c>
      <c r="W5" s="290">
        <f>Table13[[#This Row],[Life Cover Amount]]</f>
        <v>100000</v>
      </c>
      <c r="X5" s="290">
        <f>Table13[[#This Row],[Funeral Cover Amount]]</f>
        <v>50000</v>
      </c>
      <c r="Y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500000</v>
      </c>
      <c r="Z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 s="301">
        <f t="shared" ref="AA5:AA68" ca="1" si="3">S5+M5</f>
        <v>249.74999999999997</v>
      </c>
      <c r="AB5" s="298"/>
      <c r="AC5" s="326" t="str">
        <f>IF(Table2[[#This Row],[Member Type]]="Main Member",Lookups!$C$13,
IF(Table2[[#This Row],[Member Type]]="Spouse",_xlfn.XLOOKUP(B5,Table2[Main Member Link ID],Table2[Product Option],0),
IF(AND(Table2[[#This Row],[Member Type]]="Child",_xlfn.XLOOKUP(B5,Table2[Main Member Link ID],Table2[Product Option],0)&lt;&gt;"My Value Plus Life"),Lookups!$C$24,
IF(AND(OR(Table2[[#This Row],[Member Type]]="Parent",Table2[[#This Row],[Member Type]]="Extended"),_xlfn.XLOOKUP(B5,Table2[Main Member Link ID],Table2[Product Option],0)&lt;&gt;"My Value Plus Life"),Lookups!$C$26,""))))</f>
        <v>My Value Plus Life</v>
      </c>
      <c r="AD5" s="326" t="str">
        <f>IF(Table2[[#This Row],[Member Type]]="Main Member",Lookups!$C$14,"")</f>
        <v>My Value Plus Life &amp; Funeral</v>
      </c>
      <c r="AE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Funeral",_xlfn.XLOOKUP(B5,Table2[Main Member Link ID],Table2[Benefit Name],0)=Lookups!$D$14),"",
IF(AND(Table2[[#This Row],[Member Type]]="Spouse",Table2[[#This Row],[Product Option]]="My Value Plus Life &amp; Funeral",_xlfn.XLOOKUP(B4,Table2[Main Member Link ID],Table2[Benefit Name],0)=Lookups!$D$15),Lookups!$D$20,
IF(AND(Table2[[#This Row],[Member Type]]="Spouse",Table2[[#This Row],[Product Option]]="My Value Plus Life &amp; Funeral",_xlfn.XLOOKUP(B4,Table2[Main Member Link ID],Table2[Benefit Name],0)=Lookups!$D$16),"",
IF(AND(Table2[[#This Row],[Member Type]]="Spouse",Table2[[#This Row],[Product Option]]="My Value Plus Life &amp; Funeral",_xlfn.XLOOKUP(B4,Table2[Main Member Link ID],Table2[Benefit Name],0)=Lookups!$D$17),Lookups!$D$21,
IF(AND(Table2[[#This Row],[Member Type]]="Child",Table2[[#This Row],[Product Option]]="My Value Plus Life &amp; Funeral",_xlfn.XLOOKUP(B5,Table2[Main Member Link ID],Table2[Benefit Name],0)=Lookups!$D$14),"",
IF(AND(Table2[[#This Row],[Member Type]]="Child",Table2[[#This Row],[Product Option]]="My Value Plus Life &amp; Funeral",_xlfn.XLOOKUP(B5,Table2[Main Member Link ID],Table2[Benefit Name],0)=Lookups!$D$15),"",
IF(AND(Table2[[#This Row],[Member Type]]="Child",Table2[[#This Row],[Product Option]]="My Value Plus Life &amp; Funeral",_xlfn.XLOOKUP(B5,Table2[Main Member Link ID],Table2[Benefit Name],0)=Lookups!$D$16),Lookups!$D$24,
IF(AND(Table2[[#This Row],[Member Type]]="Child",Table2[[#This Row],[Product Option]]="My Value Plus Life &amp; Funeral",_xlfn.XLOOKUP(B5,Table2[Main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Funeral",_xlfn.XLOOKUP(B5,Table2[Main Member Link ID],Table2[Benefit Name],0)&lt;&gt;Lookups!$D$14),
IF(_xlfn.XLOOKUP(B5,Table2[Main Member Link ID],Table2[Benefit Name],0)=0,"",_xlfn.XLOOKUP(B5,Table2[Main Member Link ID],Table2[Benefit Name],0)),"")))))))))))))))</f>
        <v>Life - Main Member</v>
      </c>
      <c r="AF5" s="327" t="str">
        <f>IF(AND(Table2[[#This Row],[Member Type]]="Main Member",Table2[[#This Row],[Product Option]]="My Value Plus Life &amp; Funeral"),Lookups!$D$15,
IF(AND(Table2[[#This Row],[Member Type]]="Spouse",Table2[[#This Row],[Product Option]]="My Value Plus Life &amp; Funeral",_xlfn.XLOOKUP(B5,Table2[Main Member Link ID],Table2[Benefit Name],0)=Lookups!$D$14),"",
IF(AND(Table2[[#This Row],[Member Type]]="Spouse",Table2[[#This Row],[Product Option]]="My Value Plus Life &amp; Funeral",_xlfn.XLOOKUP(B4,Table2[Main Member Link ID],Table2[Benefit Name],0)=Lookups!$D$16),"",
IF(AND(Table2[[#This Row],[Member Type]]="Spouse",Table2[[#This Row],[Product Option]]="My Value Plus Life &amp; Funeral",_xlfn.XLOOKUP(B4,Table2[Main Member Link ID],Table2[Benefit Name],0)=Lookups!$D$15),"",
IF(AND(Table2[[#This Row],[Member Type]]="Spouse",Table2[[#This Row],[Product Option]]="My Value Plus Life &amp; Funeral",_xlfn.XLOOKUP(B4,Table2[Main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Funeral",_xlfn.XLOOKUP(B5,Table2[Main Member Link ID],Table2[Benefit Name],0)&lt;&gt;Lookups!$D$15),
IF(_xlfn.XLOOKUP(B5,Table2[Main Member Link ID],Table2[Benefit Name],0)=0,"",_xlfn.XLOOKUP(B5,Table2[Main Member Link ID],Table2[Benefit Name],0)),"")
))))))</f>
        <v/>
      </c>
      <c r="AG5" s="327" t="str">
        <f>IF(AND(Table2[[#This Row],[Member Type]]="Main Member",Table2[[#This Row],[Product Option]]="My Value Plus Life &amp; Funeral"),Lookups!$D$16,
IF(AND(Table2[[#This Row],[Member Type]]="Spouse",Table2[[#This Row],[Product Option]]="My Value Plus Life &amp; Funeral",_xlfn.XLOOKUP(B5,Table2[Main Member Link ID],Table2[Benefit Name],0)=Lookups!$D$14),"",
IF(AND(Table2[[#This Row],[Member Type]]="Spouse",Table2[[#This Row],[Product Option]]="My Value Plus Life &amp; Funeral",_xlfn.XLOOKUP(B4,Table2[Main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Funeral",_xlfn.XLOOKUP(B5,Table2[Main Member Link ID],Table2[Benefit Name],0)&lt;&gt;Lookups!$D$16),
IF(_xlfn.XLOOKUP(B5,Table2[Main Member Link ID],Table2[Benefit Name],0)=0,"",_xlfn.XLOOKUP(B5,Table2[Main Member Link ID],Table2[Benefit Name],0)),"")
))))</f>
        <v/>
      </c>
      <c r="AH5" s="327" t="str">
        <f>IF(AND(Table2[[#This Row],[Member Type]]="Main Member",Table2[[#This Row],[Product Option]]="My Value Plus Life &amp; Funeral"),Lookups!$D$17,
IF(AND(Table2[[#This Row],[Member Type]]="Spouse",Table2[[#This Row],[Product Option]]="My Value Plus Life &amp; Funeral",_xlfn.XLOOKUP(B5,Table2[Main Member Link ID],Table2[Benefit Name],0)=Lookups!$D$14),"",
IF(AND(Table2[[#This Row],[Member Type]]="Spouse",Table2[[#This Row],[Product Option]]="My Value Plus Life &amp; Funeral",_xlfn.XLOOKUP(B4,Table2[Main Member Link ID],Table2[Benefit Name],0)=Lookups!$D$16),"",
IF(AND(Table2[[#This Row],[Member Type]]="Child",Table2[[#This Row],[Product Option]]="My Value Plus Life &amp; Funeral"),"",
IF(AND(Table2[[#This Row],[Member Type]]="Child",Table2[[#This Row],[Product Option]]="My Value Plus Life &amp; Funeral",_xlfn.XLOOKUP(B5,Table2[Main Member Link ID],Table2[Benefit Name],0)=Lookups!$D$15),"",
IF(AND(OR(Table2[[#This Row],[Member Type]]="Spouse",Table2[[#This Row],[Member Type]]="Child"),Table2[[#This Row],[Product Option]]="My Value Plus Life &amp; Funeral",_xlfn.XLOOKUP(B5,Table2[Main Member Link ID],Table2[Benefit Name],0)&lt;&gt;Lookups!$D$17),
IF(_xlfn.XLOOKUP(B5,Table2[Main Member Link ID],Table2[Benefit Name],0)=0,"",_xlfn.XLOOKUP(B5,Table2[Main Member Link ID],Table2[Benefit Name],0)),""))))))</f>
        <v/>
      </c>
      <c r="AI5" s="328">
        <f>IF(AND(Table2[[#This Row],[Member Type]]="Main Member",Table2[[#This Row],[Table Lookup for Life Cover]]="MM_LIFE",Table2[[#This Row],[Age Next Birthday]]&lt;56),1,
IF(AND(Table2[[#This Row],[Member Type]]="Main Member",Table2[[#This Row],[Table Lookup for Life Cover]]="MM_LIFE",Table2[[#This Row],[Age Next Birthday]]&gt;=56),2,
""))</f>
        <v>1</v>
      </c>
      <c r="AJ5" s="328">
        <v>1</v>
      </c>
      <c r="AK5" s="328">
        <f>IF(Table2[[#This Row],[Member Type]]=0,0,
IF(OR(Table2[[#This Row],[Member Type]]="Main Member",Table2[[#This Row],[Main Member Link ID]]&lt;&gt;B5),COUNTIFS(B:B,Table2[[#This Row],[Main Member Link ID]]),
COUNTIFS(B:B,Table2[[#This Row],[Main Member Link ID]],A:A,Table2[[#This Row],[Member Type]])))</f>
        <v>8</v>
      </c>
    </row>
    <row r="6" spans="1:37" x14ac:dyDescent="0.3">
      <c r="A6" s="284" t="str">
        <f>Table13[[#This Row],[Member Type]]</f>
        <v>Spouse</v>
      </c>
      <c r="B6" s="284">
        <f>Table13[[#This Row],[Main Member Link ID]]</f>
        <v>9403175795084</v>
      </c>
      <c r="C6" s="284">
        <f>Table13[[#This Row],[ID Number]]</f>
        <v>9404172666088</v>
      </c>
      <c r="D6" s="285">
        <f>Table13[[#This Row],[Date Of Birth]]</f>
        <v>33075</v>
      </c>
      <c r="E6" s="285">
        <f>Table13[[#This Row],[Commencement Date]]</f>
        <v>46023</v>
      </c>
      <c r="F6" s="284">
        <f t="shared" si="0"/>
        <v>36</v>
      </c>
      <c r="G6" s="284">
        <f t="shared" ref="G6:G68" si="4">IF(F6="","",
IF(F6="Max age","Max age",
IF(OR($A6="Main Member",$A6="Spouse",$A6="Child"),IF($F6=0,"",IF($F6&lt;26,25,IF($F6&lt;36,35,IF($F6&lt;46,45,IF($F6&lt;51,50,IF($F6&lt;56,55,IF($F6&lt;61,60,IF($F6&lt;66,65,IF($F6&lt;71,70,IF($F6&lt;76,75)))))))))),
IF($F6=0,"",IF($F6&lt;26,25,IF($F6&lt;36,35,IF($F6&lt;46,45,IF($F6&lt;51,50,IF($F6&lt;56,55,IF($F6&lt;61,60,IF($F6&lt;66,65,IF($F6&lt;71,70,IF($F6&lt;76,75)))))))))))))</f>
        <v>45</v>
      </c>
      <c r="H6" s="286" t="str">
        <f>Table13[[#This Row],[Product Option]]</f>
        <v>My Value Plus Life</v>
      </c>
      <c r="I6" s="284" t="str">
        <f>IF(AND($A6="Main Member",Table2[[#This Row],[Product Option]]="My Value Plus Life"),"MM_LIFE",
IF(AND($A6="Spouse",Table2[[#This Row],[Product Option]]="My Value Plus Life"),"SP_LIFE",
IF(AND($A6="Main Member",Table2[[#This Row],[Product Option]]="My Value Plus Life &amp; Funeral"),"MM_LIFE",
IF(AND($A6="Spouse",Table2[[#This Row],[Product Option]]="My Value Plus Life &amp; Funeral"),_xlfn.XLOOKUP(Table2[[#This Row],[Benefit Name]],Lookups!$D$18:$D$23,Lookups!$E$18:$E$23,0),
0))))</f>
        <v>SP_LIFE</v>
      </c>
      <c r="J6" s="284">
        <f>IF($I6="","",
IF($I6="MM_LIFE",INDEX('Quotation Tool'!$S$54:$V$60,MATCH($T6,'Quotation Tool'!$S$54:$S$60,0),4),
IF($I6="SP_LIFE",_xlfn.XLOOKUP(B5,$B:$B,$J:$J,0),0)))</f>
        <v>4</v>
      </c>
      <c r="K6" s="287">
        <f t="shared" ref="K6:K69" ca="1" si="5">IFERROR(VLOOKUP($G6,INDIRECT($I6),$J6,FALSE),0)</f>
        <v>0</v>
      </c>
      <c r="L6" s="288">
        <f t="shared" ref="L6:L69" ca="1" si="6">IFERROR(VLOOKUP($G6,INDIRECT($I6),$J6+1,FALSE),0)</f>
        <v>1.5305268000000001</v>
      </c>
      <c r="M6" s="289">
        <f t="shared" ca="1" si="1"/>
        <v>153.05268000000001</v>
      </c>
      <c r="N6" s="286" t="str">
        <f>Table13[[#This Row],[Benefit Option]]</f>
        <v>Life - Spouse</v>
      </c>
      <c r="O6" s="284">
        <f>IF(OR(Table2[[#This Row],[Member Type]]="Spouse",Table2[[#This Row],[Member Type]]="Child"),0,
IF(_xlfn.XLOOKUP($N6,Lookups!$D$13:$D$27,Lookups!$F$13:$F$27,0)=Table2[[#This Row],[Table Lookup for Life Cover]],0,
_xlfn.XLOOKUP($N6,Lookups!$D$13:$D$27,Lookups!$F$13:$F$27,0)))</f>
        <v>0</v>
      </c>
      <c r="P6" s="284">
        <f>IF(Table2[[#This Row],[Table Lookup for Funeral]]=0,0,IFERROR(INDEX('Quotation Tool'!$S$54:$V$60,MATCH($T6,'Quotation Tool'!$S$54:$S$60,0),3),0))</f>
        <v>0</v>
      </c>
      <c r="Q6" s="288">
        <f ca="1">IF(OR(Table2[[#This Row],[Benefit Name]]="My Value Plus Life - Main Member",Table2[[#This Row],[Benefit Name]]="My Value Plus Life - Spouse"),0,
IFERROR(VLOOKUP($G6,INDIRECT($O6),$P6,FALSE),0))</f>
        <v>0</v>
      </c>
      <c r="R6" s="288">
        <f ca="1">IF(OR(Table2[[#This Row],[Benefit Name]]="My Value Plus Life - Main Member",Table2[[#This Row],[Benefit Name]]="My Value Plus Life - Spouse"),0,
IFERROR(VLOOKUP($G6,INDIRECT($O6),$P6+1,FALSE),0))</f>
        <v>0</v>
      </c>
      <c r="S6" s="289">
        <f t="shared" ca="1" si="2"/>
        <v>0</v>
      </c>
      <c r="T6" s="284" t="str">
        <f>IF(Table13[[#This Row],[Premium Waiver]]="","None",Table13[[#This Row],[Premium Waiver]])</f>
        <v>None</v>
      </c>
      <c r="U6" s="284">
        <f>Table13[[#This Row],[VAPs Options]]</f>
        <v>0</v>
      </c>
      <c r="V6" s="284">
        <f>Table13[[#This Row],[Annual Increase Option]]</f>
        <v>0</v>
      </c>
      <c r="W6" s="290">
        <f>Table13[[#This Row],[Life Cover Amount]]</f>
        <v>100000</v>
      </c>
      <c r="X6" s="290">
        <f>Table13[[#This Row],[Funeral Cover Amount]]</f>
        <v>100</v>
      </c>
      <c r="Y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100000</v>
      </c>
      <c r="Z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 s="301">
        <f t="shared" ca="1" si="3"/>
        <v>153.05268000000001</v>
      </c>
      <c r="AB6" s="298"/>
      <c r="AC6" s="326" t="str">
        <f>IF(Table2[[#This Row],[Member Type]]="Main Member",Lookups!$C$13,
IF(Table2[[#This Row],[Member Type]]="Spouse",_xlfn.XLOOKUP(B6,Table2[Main Member Link ID],Table2[Product Option],0),
IF(AND(Table2[[#This Row],[Member Type]]="Child",_xlfn.XLOOKUP(B6,Table2[Main Member Link ID],Table2[Product Option],0)&lt;&gt;"My Value Plus Life"),Lookups!$C$24,
IF(AND(OR(Table2[[#This Row],[Member Type]]="Parent",Table2[[#This Row],[Member Type]]="Extended"),_xlfn.XLOOKUP(B6,Table2[Main Member Link ID],Table2[Product Option],0)&lt;&gt;"My Value Plus Life"),Lookups!$C$26,""))))</f>
        <v>My Value Plus Life</v>
      </c>
      <c r="AD6" s="326" t="str">
        <f>IF(Table2[[#This Row],[Member Type]]="Main Member",Lookups!$C$14,"")</f>
        <v/>
      </c>
      <c r="AE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Funeral",_xlfn.XLOOKUP(B6,Table2[Main Member Link ID],Table2[Benefit Name],0)=Lookups!$D$14),"",
IF(AND(Table2[[#This Row],[Member Type]]="Spouse",Table2[[#This Row],[Product Option]]="My Value Plus Life &amp; Funeral",_xlfn.XLOOKUP(B5,Table2[Main Member Link ID],Table2[Benefit Name],0)=Lookups!$D$15),Lookups!$D$20,
IF(AND(Table2[[#This Row],[Member Type]]="Spouse",Table2[[#This Row],[Product Option]]="My Value Plus Life &amp; Funeral",_xlfn.XLOOKUP(B5,Table2[Main Member Link ID],Table2[Benefit Name],0)=Lookups!$D$16),"",
IF(AND(Table2[[#This Row],[Member Type]]="Spouse",Table2[[#This Row],[Product Option]]="My Value Plus Life &amp; Funeral",_xlfn.XLOOKUP(B5,Table2[Main Member Link ID],Table2[Benefit Name],0)=Lookups!$D$17),Lookups!$D$21,
IF(AND(Table2[[#This Row],[Member Type]]="Child",Table2[[#This Row],[Product Option]]="My Value Plus Life &amp; Funeral",_xlfn.XLOOKUP(B6,Table2[Main Member Link ID],Table2[Benefit Name],0)=Lookups!$D$14),"",
IF(AND(Table2[[#This Row],[Member Type]]="Child",Table2[[#This Row],[Product Option]]="My Value Plus Life &amp; Funeral",_xlfn.XLOOKUP(B6,Table2[Main Member Link ID],Table2[Benefit Name],0)=Lookups!$D$15),"",
IF(AND(Table2[[#This Row],[Member Type]]="Child",Table2[[#This Row],[Product Option]]="My Value Plus Life &amp; Funeral",_xlfn.XLOOKUP(B6,Table2[Main Member Link ID],Table2[Benefit Name],0)=Lookups!$D$16),Lookups!$D$24,
IF(AND(Table2[[#This Row],[Member Type]]="Child",Table2[[#This Row],[Product Option]]="My Value Plus Life &amp; Funeral",_xlfn.XLOOKUP(B6,Table2[Main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Funeral",_xlfn.XLOOKUP(B6,Table2[Main Member Link ID],Table2[Benefit Name],0)&lt;&gt;Lookups!$D$14),
IF(_xlfn.XLOOKUP(B6,Table2[Main Member Link ID],Table2[Benefit Name],0)=0,"",_xlfn.XLOOKUP(B6,Table2[Main Member Link ID],Table2[Benefit Name],0)),"")))))))))))))))</f>
        <v>Life - Spouse</v>
      </c>
      <c r="AF6" s="327" t="str">
        <f>IF(AND(Table2[[#This Row],[Member Type]]="Main Member",Table2[[#This Row],[Product Option]]="My Value Plus Life &amp; Funeral"),Lookups!$D$15,
IF(AND(Table2[[#This Row],[Member Type]]="Spouse",Table2[[#This Row],[Product Option]]="My Value Plus Life &amp; Funeral",_xlfn.XLOOKUP(B6,Table2[Main Member Link ID],Table2[Benefit Name],0)=Lookups!$D$14),"",
IF(AND(Table2[[#This Row],[Member Type]]="Spouse",Table2[[#This Row],[Product Option]]="My Value Plus Life &amp; Funeral",_xlfn.XLOOKUP(B5,Table2[Main Member Link ID],Table2[Benefit Name],0)=Lookups!$D$16),"",
IF(AND(Table2[[#This Row],[Member Type]]="Spouse",Table2[[#This Row],[Product Option]]="My Value Plus Life &amp; Funeral",_xlfn.XLOOKUP(B5,Table2[Main Member Link ID],Table2[Benefit Name],0)=Lookups!$D$15),"",
IF(AND(Table2[[#This Row],[Member Type]]="Spouse",Table2[[#This Row],[Product Option]]="My Value Plus Life &amp; Funeral",_xlfn.XLOOKUP(B5,Table2[Main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Funeral",_xlfn.XLOOKUP(B6,Table2[Main Member Link ID],Table2[Benefit Name],0)&lt;&gt;Lookups!$D$15),
IF(_xlfn.XLOOKUP(B6,Table2[Main Member Link ID],Table2[Benefit Name],0)=0,"",_xlfn.XLOOKUP(B6,Table2[Main Member Link ID],Table2[Benefit Name],0)),"")
))))))</f>
        <v/>
      </c>
      <c r="AG6" s="327" t="str">
        <f>IF(AND(Table2[[#This Row],[Member Type]]="Main Member",Table2[[#This Row],[Product Option]]="My Value Plus Life &amp; Funeral"),Lookups!$D$16,
IF(AND(Table2[[#This Row],[Member Type]]="Spouse",Table2[[#This Row],[Product Option]]="My Value Plus Life &amp; Funeral",_xlfn.XLOOKUP(B6,Table2[Main Member Link ID],Table2[Benefit Name],0)=Lookups!$D$14),"",
IF(AND(Table2[[#This Row],[Member Type]]="Spouse",Table2[[#This Row],[Product Option]]="My Value Plus Life &amp; Funeral",_xlfn.XLOOKUP(B5,Table2[Main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Funeral",_xlfn.XLOOKUP(B6,Table2[Main Member Link ID],Table2[Benefit Name],0)&lt;&gt;Lookups!$D$16),
IF(_xlfn.XLOOKUP(B6,Table2[Main Member Link ID],Table2[Benefit Name],0)=0,"",_xlfn.XLOOKUP(B6,Table2[Main Member Link ID],Table2[Benefit Name],0)),"")
))))</f>
        <v/>
      </c>
      <c r="AH6" s="327" t="str">
        <f>IF(AND(Table2[[#This Row],[Member Type]]="Main Member",Table2[[#This Row],[Product Option]]="My Value Plus Life &amp; Funeral"),Lookups!$D$17,
IF(AND(Table2[[#This Row],[Member Type]]="Spouse",Table2[[#This Row],[Product Option]]="My Value Plus Life &amp; Funeral",_xlfn.XLOOKUP(B6,Table2[Main Member Link ID],Table2[Benefit Name],0)=Lookups!$D$14),"",
IF(AND(Table2[[#This Row],[Member Type]]="Spouse",Table2[[#This Row],[Product Option]]="My Value Plus Life &amp; Funeral",_xlfn.XLOOKUP(B5,Table2[Main Member Link ID],Table2[Benefit Name],0)=Lookups!$D$16),"",
IF(AND(Table2[[#This Row],[Member Type]]="Child",Table2[[#This Row],[Product Option]]="My Value Plus Life &amp; Funeral"),"",
IF(AND(Table2[[#This Row],[Member Type]]="Child",Table2[[#This Row],[Product Option]]="My Value Plus Life &amp; Funeral",_xlfn.XLOOKUP(B6,Table2[Main Member Link ID],Table2[Benefit Name],0)=Lookups!$D$15),"",
IF(AND(OR(Table2[[#This Row],[Member Type]]="Spouse",Table2[[#This Row],[Member Type]]="Child"),Table2[[#This Row],[Product Option]]="My Value Plus Life &amp; Funeral",_xlfn.XLOOKUP(B6,Table2[Main Member Link ID],Table2[Benefit Name],0)&lt;&gt;Lookups!$D$17),
IF(_xlfn.XLOOKUP(B6,Table2[Main Member Link ID],Table2[Benefit Name],0)=0,"",_xlfn.XLOOKUP(B6,Table2[Main Member Link ID],Table2[Benefit Name],0)),""))))))</f>
        <v/>
      </c>
      <c r="AI6" s="328" t="str">
        <f>IF(AND(Table2[[#This Row],[Member Type]]="Main Member",Table2[[#This Row],[Table Lookup for Life Cover]]="MM_LIFE",Table2[[#This Row],[Age Next Birthday]]&lt;56),1,
IF(AND(Table2[[#This Row],[Member Type]]="Main Member",Table2[[#This Row],[Table Lookup for Life Cover]]="MM_LIFE",Table2[[#This Row],[Age Next Birthday]]&gt;=56),2,
""))</f>
        <v/>
      </c>
      <c r="AJ6" s="328">
        <f>IF(OR(Table2[[#This Row],[Member Type]]="Main Member",Table2[[#This Row],[Main Member Link ID]]=B5),1,0)</f>
        <v>1</v>
      </c>
      <c r="AK6" s="328">
        <f>IF(Table2[[#This Row],[Member Type]]=0,0,
IF(OR(Table2[[#This Row],[Member Type]]="Main Member",Table2[[#This Row],[Main Member Link ID]]&lt;&gt;B6),COUNTIFS(B:B,Table2[[#This Row],[Main Member Link ID]]),
COUNTIFS(B:B,Table2[[#This Row],[Main Member Link ID]],A:A,Table2[[#This Row],[Member Type]])))</f>
        <v>1</v>
      </c>
    </row>
    <row r="7" spans="1:37" x14ac:dyDescent="0.3">
      <c r="A7" s="284" t="str">
        <f>Table13[[#This Row],[Member Type]]</f>
        <v>Parent</v>
      </c>
      <c r="B7" s="284">
        <f>Table13[[#This Row],[Main Member Link ID]]</f>
        <v>9403175795084</v>
      </c>
      <c r="C7" s="284">
        <f>Table13[[#This Row],[ID Number]]</f>
        <v>9404179085183</v>
      </c>
      <c r="D7" s="285" t="str">
        <f>Table13[[#This Row],[Date Of Birth]]</f>
        <v>1984-01-01</v>
      </c>
      <c r="E7" s="285">
        <f>Table13[[#This Row],[Commencement Date]]</f>
        <v>46023</v>
      </c>
      <c r="F7" s="284">
        <f t="shared" si="0"/>
        <v>43</v>
      </c>
      <c r="G7" s="284">
        <f t="shared" si="4"/>
        <v>45</v>
      </c>
      <c r="H7" s="286" t="str">
        <f>Table13[[#This Row],[Product Option]]</f>
        <v>My Value Plus Life</v>
      </c>
      <c r="I7" s="284">
        <f>IF(AND($A7="Main Member",Table2[[#This Row],[Product Option]]="My Value Plus Life"),"MM_LIFE",
IF(AND($A7="Spouse",Table2[[#This Row],[Product Option]]="My Value Plus Life"),"SP_LIFE",
IF(AND($A7="Main Member",Table2[[#This Row],[Product Option]]="My Value Plus Life &amp; Funeral"),"MM_LIFE",
IF(AND($A7="Spouse",Table2[[#This Row],[Product Option]]="My Value Plus Life &amp; Funeral"),_xlfn.XLOOKUP(Table2[[#This Row],[Benefit Name]],Lookups!$D$18:$D$23,Lookups!$E$18:$E$23,0),
0))))</f>
        <v>0</v>
      </c>
      <c r="J7" s="284">
        <f>IF($I7="","",
IF($I7="MM_LIFE",INDEX('Quotation Tool'!$S$54:$V$60,MATCH($T7,'Quotation Tool'!$S$54:$S$60,0),4),
IF($I7="SP_LIFE",_xlfn.XLOOKUP(B6,$B:$B,$J:$J,0),0)))</f>
        <v>0</v>
      </c>
      <c r="K7" s="287">
        <f t="shared" ca="1" si="5"/>
        <v>0</v>
      </c>
      <c r="L7" s="288">
        <f t="shared" ca="1" si="6"/>
        <v>0</v>
      </c>
      <c r="M7" s="289">
        <f t="shared" ca="1" si="1"/>
        <v>0</v>
      </c>
      <c r="N7" s="286">
        <f>Table13[[#This Row],[Benefit Option]]</f>
        <v>0</v>
      </c>
      <c r="O7" s="284">
        <f>IF(OR(Table2[[#This Row],[Member Type]]="Spouse",Table2[[#This Row],[Member Type]]="Child"),0,
IF(_xlfn.XLOOKUP($N7,Lookups!$D$13:$D$27,Lookups!$F$13:$F$27,0)=Table2[[#This Row],[Table Lookup for Life Cover]],0,
_xlfn.XLOOKUP($N7,Lookups!$D$13:$D$27,Lookups!$F$13:$F$27,0)))</f>
        <v>0</v>
      </c>
      <c r="P7" s="284">
        <f>IF(Table2[[#This Row],[Table Lookup for Funeral]]=0,0,IFERROR(INDEX('Quotation Tool'!$S$54:$V$60,MATCH($T7,'Quotation Tool'!$S$54:$S$60,0),3),0))</f>
        <v>0</v>
      </c>
      <c r="Q7" s="288">
        <f ca="1">IF(OR(Table2[[#This Row],[Benefit Name]]="My Value Plus Life - Main Member",Table2[[#This Row],[Benefit Name]]="My Value Plus Life - Spouse"),0,
IFERROR(VLOOKUP($G7,INDIRECT($O7),$P7,FALSE),0))</f>
        <v>0</v>
      </c>
      <c r="R7" s="288">
        <f ca="1">IF(OR(Table2[[#This Row],[Benefit Name]]="My Value Plus Life - Main Member",Table2[[#This Row],[Benefit Name]]="My Value Plus Life - Spouse"),0,
IFERROR(VLOOKUP($G7,INDIRECT($O7),$P7+1,FALSE),0))</f>
        <v>0</v>
      </c>
      <c r="S7" s="289">
        <f t="shared" ca="1" si="2"/>
        <v>0</v>
      </c>
      <c r="T7" s="284" t="str">
        <f>IF(Table13[[#This Row],[Premium Waiver]]="","None",Table13[[#This Row],[Premium Waiver]])</f>
        <v>None</v>
      </c>
      <c r="U7" s="284">
        <f>Table13[[#This Row],[VAPs Options]]</f>
        <v>0</v>
      </c>
      <c r="V7" s="284">
        <f>Table13[[#This Row],[Annual Increase Option]]</f>
        <v>0</v>
      </c>
      <c r="W7" s="290">
        <f>Table13[[#This Row],[Life Cover Amount]]</f>
        <v>0</v>
      </c>
      <c r="X7" s="290">
        <f>Table13[[#This Row],[Funeral Cover Amount]]</f>
        <v>50000</v>
      </c>
      <c r="Y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7" s="301">
        <f t="shared" ca="1" si="3"/>
        <v>0</v>
      </c>
      <c r="AB7" s="298"/>
      <c r="AC7" s="326" t="str">
        <f>IF(Table2[[#This Row],[Member Type]]="Main Member",Lookups!$C$13,
IF(Table2[[#This Row],[Member Type]]="Spouse",_xlfn.XLOOKUP(B7,Table2[Main Member Link ID],Table2[Product Option],0),
IF(AND(Table2[[#This Row],[Member Type]]="Child",_xlfn.XLOOKUP(B7,Table2[Main Member Link ID],Table2[Product Option],0)&lt;&gt;"My Value Plus Life"),Lookups!$C$24,
IF(AND(OR(Table2[[#This Row],[Member Type]]="Parent",Table2[[#This Row],[Member Type]]="Extended"),_xlfn.XLOOKUP(B7,Table2[Main Member Link ID],Table2[Product Option],0)&lt;&gt;"My Value Plus Life"),Lookups!$C$26,""))))</f>
        <v/>
      </c>
      <c r="AD7" s="326" t="str">
        <f>IF(Table2[[#This Row],[Member Type]]="Main Member",Lookups!$C$14,"")</f>
        <v/>
      </c>
      <c r="AE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Funeral",_xlfn.XLOOKUP(B7,Table2[Main Member Link ID],Table2[Benefit Name],0)=Lookups!$D$14),"",
IF(AND(Table2[[#This Row],[Member Type]]="Spouse",Table2[[#This Row],[Product Option]]="My Value Plus Life &amp; Funeral",_xlfn.XLOOKUP(B6,Table2[Main Member Link ID],Table2[Benefit Name],0)=Lookups!$D$15),Lookups!$D$20,
IF(AND(Table2[[#This Row],[Member Type]]="Spouse",Table2[[#This Row],[Product Option]]="My Value Plus Life &amp; Funeral",_xlfn.XLOOKUP(B6,Table2[Main Member Link ID],Table2[Benefit Name],0)=Lookups!$D$16),"",
IF(AND(Table2[[#This Row],[Member Type]]="Spouse",Table2[[#This Row],[Product Option]]="My Value Plus Life &amp; Funeral",_xlfn.XLOOKUP(B6,Table2[Main Member Link ID],Table2[Benefit Name],0)=Lookups!$D$17),Lookups!$D$21,
IF(AND(Table2[[#This Row],[Member Type]]="Child",Table2[[#This Row],[Product Option]]="My Value Plus Life &amp; Funeral",_xlfn.XLOOKUP(B7,Table2[Main Member Link ID],Table2[Benefit Name],0)=Lookups!$D$14),"",
IF(AND(Table2[[#This Row],[Member Type]]="Child",Table2[[#This Row],[Product Option]]="My Value Plus Life &amp; Funeral",_xlfn.XLOOKUP(B7,Table2[Main Member Link ID],Table2[Benefit Name],0)=Lookups!$D$15),"",
IF(AND(Table2[[#This Row],[Member Type]]="Child",Table2[[#This Row],[Product Option]]="My Value Plus Life &amp; Funeral",_xlfn.XLOOKUP(B7,Table2[Main Member Link ID],Table2[Benefit Name],0)=Lookups!$D$16),Lookups!$D$24,
IF(AND(Table2[[#This Row],[Member Type]]="Child",Table2[[#This Row],[Product Option]]="My Value Plus Life &amp; Funeral",_xlfn.XLOOKUP(B7,Table2[Main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Funeral",_xlfn.XLOOKUP(B7,Table2[Main Member Link ID],Table2[Benefit Name],0)&lt;&gt;Lookups!$D$14),
IF(_xlfn.XLOOKUP(B7,Table2[Main Member Link ID],Table2[Benefit Name],0)=0,"",_xlfn.XLOOKUP(B7,Table2[Main Member Link ID],Table2[Benefit Name],0)),"")))))))))))))))</f>
        <v/>
      </c>
      <c r="AF7" s="327" t="str">
        <f>IF(AND(Table2[[#This Row],[Member Type]]="Main Member",Table2[[#This Row],[Product Option]]="My Value Plus Life &amp; Funeral"),Lookups!$D$15,
IF(AND(Table2[[#This Row],[Member Type]]="Spouse",Table2[[#This Row],[Product Option]]="My Value Plus Life &amp; Funeral",_xlfn.XLOOKUP(B7,Table2[Main Member Link ID],Table2[Benefit Name],0)=Lookups!$D$14),"",
IF(AND(Table2[[#This Row],[Member Type]]="Spouse",Table2[[#This Row],[Product Option]]="My Value Plus Life &amp; Funeral",_xlfn.XLOOKUP(B6,Table2[Main Member Link ID],Table2[Benefit Name],0)=Lookups!$D$16),"",
IF(AND(Table2[[#This Row],[Member Type]]="Spouse",Table2[[#This Row],[Product Option]]="My Value Plus Life &amp; Funeral",_xlfn.XLOOKUP(B6,Table2[Main Member Link ID],Table2[Benefit Name],0)=Lookups!$D$15),"",
IF(AND(Table2[[#This Row],[Member Type]]="Spouse",Table2[[#This Row],[Product Option]]="My Value Plus Life &amp; Funeral",_xlfn.XLOOKUP(B6,Table2[Main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Funeral",_xlfn.XLOOKUP(B7,Table2[Main Member Link ID],Table2[Benefit Name],0)&lt;&gt;Lookups!$D$15),
IF(_xlfn.XLOOKUP(B7,Table2[Main Member Link ID],Table2[Benefit Name],0)=0,"",_xlfn.XLOOKUP(B7,Table2[Main Member Link ID],Table2[Benefit Name],0)),"")
))))))</f>
        <v/>
      </c>
      <c r="AG7" s="327" t="str">
        <f>IF(AND(Table2[[#This Row],[Member Type]]="Main Member",Table2[[#This Row],[Product Option]]="My Value Plus Life &amp; Funeral"),Lookups!$D$16,
IF(AND(Table2[[#This Row],[Member Type]]="Spouse",Table2[[#This Row],[Product Option]]="My Value Plus Life &amp; Funeral",_xlfn.XLOOKUP(B7,Table2[Main Member Link ID],Table2[Benefit Name],0)=Lookups!$D$14),"",
IF(AND(Table2[[#This Row],[Member Type]]="Spouse",Table2[[#This Row],[Product Option]]="My Value Plus Life &amp; Funeral",_xlfn.XLOOKUP(B6,Table2[Main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Funeral",_xlfn.XLOOKUP(B7,Table2[Main Member Link ID],Table2[Benefit Name],0)&lt;&gt;Lookups!$D$16),
IF(_xlfn.XLOOKUP(B7,Table2[Main Member Link ID],Table2[Benefit Name],0)=0,"",_xlfn.XLOOKUP(B7,Table2[Main Member Link ID],Table2[Benefit Name],0)),"")
))))</f>
        <v/>
      </c>
      <c r="AH7" s="327" t="str">
        <f>IF(AND(Table2[[#This Row],[Member Type]]="Main Member",Table2[[#This Row],[Product Option]]="My Value Plus Life &amp; Funeral"),Lookups!$D$17,
IF(AND(Table2[[#This Row],[Member Type]]="Spouse",Table2[[#This Row],[Product Option]]="My Value Plus Life &amp; Funeral",_xlfn.XLOOKUP(B7,Table2[Main Member Link ID],Table2[Benefit Name],0)=Lookups!$D$14),"",
IF(AND(Table2[[#This Row],[Member Type]]="Spouse",Table2[[#This Row],[Product Option]]="My Value Plus Life &amp; Funeral",_xlfn.XLOOKUP(B6,Table2[Main Member Link ID],Table2[Benefit Name],0)=Lookups!$D$16),"",
IF(AND(Table2[[#This Row],[Member Type]]="Child",Table2[[#This Row],[Product Option]]="My Value Plus Life &amp; Funeral"),"",
IF(AND(Table2[[#This Row],[Member Type]]="Child",Table2[[#This Row],[Product Option]]="My Value Plus Life &amp; Funeral",_xlfn.XLOOKUP(B7,Table2[Main Member Link ID],Table2[Benefit Name],0)=Lookups!$D$15),"",
IF(AND(OR(Table2[[#This Row],[Member Type]]="Spouse",Table2[[#This Row],[Member Type]]="Child"),Table2[[#This Row],[Product Option]]="My Value Plus Life &amp; Funeral",_xlfn.XLOOKUP(B7,Table2[Main Member Link ID],Table2[Benefit Name],0)&lt;&gt;Lookups!$D$17),
IF(_xlfn.XLOOKUP(B7,Table2[Main Member Link ID],Table2[Benefit Name],0)=0,"",_xlfn.XLOOKUP(B7,Table2[Main Member Link ID],Table2[Benefit Name],0)),""))))))</f>
        <v/>
      </c>
      <c r="AI7" s="328" t="str">
        <f>IF(AND(Table2[[#This Row],[Member Type]]="Main Member",Table2[[#This Row],[Table Lookup for Life Cover]]="MM_LIFE",Table2[[#This Row],[Age Next Birthday]]&lt;56),1,
IF(AND(Table2[[#This Row],[Member Type]]="Main Member",Table2[[#This Row],[Table Lookup for Life Cover]]="MM_LIFE",Table2[[#This Row],[Age Next Birthday]]&gt;=56),2,
""))</f>
        <v/>
      </c>
      <c r="AJ7" s="328">
        <f>IF(OR(Table2[[#This Row],[Member Type]]="Main Member",Table2[[#This Row],[Main Member Link ID]]=B6),1,0)</f>
        <v>1</v>
      </c>
      <c r="AK7" s="328">
        <f>IF(Table2[[#This Row],[Member Type]]=0,0,
IF(OR(Table2[[#This Row],[Member Type]]="Main Member",Table2[[#This Row],[Main Member Link ID]]&lt;&gt;B7),COUNTIFS(B:B,Table2[[#This Row],[Main Member Link ID]]),
COUNTIFS(B:B,Table2[[#This Row],[Main Member Link ID]],A:A,Table2[[#This Row],[Member Type]])))</f>
        <v>2</v>
      </c>
    </row>
    <row r="8" spans="1:37" x14ac:dyDescent="0.3">
      <c r="A8" s="284" t="str">
        <f>Table13[[#This Row],[Member Type]]</f>
        <v>Beneficiary</v>
      </c>
      <c r="B8" s="284">
        <f>Table13[[#This Row],[Main Member Link ID]]</f>
        <v>9403175795084</v>
      </c>
      <c r="C8" s="284">
        <f>Table13[[#This Row],[ID Number]]</f>
        <v>0</v>
      </c>
      <c r="D8" s="285" t="str">
        <f>Table13[[#This Row],[Date Of Birth]]</f>
        <v>1966-01-01</v>
      </c>
      <c r="E8" s="285">
        <f>Table13[[#This Row],[Commencement Date]]</f>
        <v>46023</v>
      </c>
      <c r="F8" s="284">
        <f t="shared" si="0"/>
        <v>61</v>
      </c>
      <c r="G8" s="284">
        <f t="shared" si="4"/>
        <v>65</v>
      </c>
      <c r="H8" s="286" t="str">
        <f>Table13[[#This Row],[Product Option]]</f>
        <v>My Value Plus Life</v>
      </c>
      <c r="I8" s="284">
        <f>IF(AND($A8="Main Member",Table2[[#This Row],[Product Option]]="My Value Plus Life"),"MM_LIFE",
IF(AND($A8="Spouse",Table2[[#This Row],[Product Option]]="My Value Plus Life"),"SP_LIFE",
IF(AND($A8="Main Member",Table2[[#This Row],[Product Option]]="My Value Plus Life &amp; Funeral"),"MM_LIFE",
IF(AND($A8="Spouse",Table2[[#This Row],[Product Option]]="My Value Plus Life &amp; Funeral"),_xlfn.XLOOKUP(Table2[[#This Row],[Benefit Name]],Lookups!$D$18:$D$23,Lookups!$E$18:$E$23,0),
0))))</f>
        <v>0</v>
      </c>
      <c r="J8" s="284">
        <f>IF($I8="","",
IF($I8="MM_LIFE",INDEX('Quotation Tool'!$S$54:$V$60,MATCH($T8,'Quotation Tool'!$S$54:$S$60,0),4),
IF($I8="SP_LIFE",_xlfn.XLOOKUP(B7,$B:$B,$J:$J,0),0)))</f>
        <v>0</v>
      </c>
      <c r="K8" s="287">
        <f t="shared" ca="1" si="5"/>
        <v>0</v>
      </c>
      <c r="L8" s="288">
        <f t="shared" ca="1" si="6"/>
        <v>0</v>
      </c>
      <c r="M8" s="289">
        <f t="shared" ca="1" si="1"/>
        <v>0</v>
      </c>
      <c r="N8" s="286">
        <f>Table13[[#This Row],[Benefit Option]]</f>
        <v>0</v>
      </c>
      <c r="O8" s="284">
        <f>IF(OR(Table2[[#This Row],[Member Type]]="Spouse",Table2[[#This Row],[Member Type]]="Child"),0,
IF(_xlfn.XLOOKUP($N8,Lookups!$D$13:$D$27,Lookups!$F$13:$F$27,0)=Table2[[#This Row],[Table Lookup for Life Cover]],0,
_xlfn.XLOOKUP($N8,Lookups!$D$13:$D$27,Lookups!$F$13:$F$27,0)))</f>
        <v>0</v>
      </c>
      <c r="P8" s="284">
        <f>IF(Table2[[#This Row],[Table Lookup for Funeral]]=0,0,IFERROR(INDEX('Quotation Tool'!$S$54:$V$60,MATCH($T8,'Quotation Tool'!$S$54:$S$60,0),3),0))</f>
        <v>0</v>
      </c>
      <c r="Q8" s="288">
        <f ca="1">IF(OR(Table2[[#This Row],[Benefit Name]]="My Value Plus Life - Main Member",Table2[[#This Row],[Benefit Name]]="My Value Plus Life - Spouse"),0,
IFERROR(VLOOKUP($G8,INDIRECT($O8),$P8,FALSE),0))</f>
        <v>0</v>
      </c>
      <c r="R8" s="288">
        <f ca="1">IF(OR(Table2[[#This Row],[Benefit Name]]="My Value Plus Life - Main Member",Table2[[#This Row],[Benefit Name]]="My Value Plus Life - Spouse"),0,
IFERROR(VLOOKUP($G8,INDIRECT($O8),$P8+1,FALSE),0))</f>
        <v>0</v>
      </c>
      <c r="S8" s="289">
        <f t="shared" ca="1" si="2"/>
        <v>0</v>
      </c>
      <c r="T8" s="284" t="str">
        <f>IF(Table13[[#This Row],[Premium Waiver]]="","None",Table13[[#This Row],[Premium Waiver]])</f>
        <v>None</v>
      </c>
      <c r="U8" s="284">
        <f>Table13[[#This Row],[VAPs Options]]</f>
        <v>0</v>
      </c>
      <c r="V8" s="284">
        <f>Table13[[#This Row],[Annual Increase Option]]</f>
        <v>0</v>
      </c>
      <c r="W8" s="290">
        <f>Table13[[#This Row],[Life Cover Amount]]</f>
        <v>0</v>
      </c>
      <c r="X8" s="290">
        <f>Table13[[#This Row],[Funeral Cover Amount]]</f>
        <v>0</v>
      </c>
      <c r="Y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8" s="301">
        <f t="shared" ca="1" si="3"/>
        <v>0</v>
      </c>
      <c r="AB8" s="298"/>
      <c r="AC8" s="326" t="str">
        <f>IF(Table2[[#This Row],[Member Type]]="Main Member",Lookups!$C$13,
IF(Table2[[#This Row],[Member Type]]="Spouse",_xlfn.XLOOKUP(B8,Table2[Main Member Link ID],Table2[Product Option],0),
IF(AND(Table2[[#This Row],[Member Type]]="Child",_xlfn.XLOOKUP(B8,Table2[Main Member Link ID],Table2[Product Option],0)&lt;&gt;"My Value Plus Life"),Lookups!$C$24,
IF(AND(OR(Table2[[#This Row],[Member Type]]="Parent",Table2[[#This Row],[Member Type]]="Extended"),_xlfn.XLOOKUP(B8,Table2[Main Member Link ID],Table2[Product Option],0)&lt;&gt;"My Value Plus Life"),Lookups!$C$26,""))))</f>
        <v/>
      </c>
      <c r="AD8" s="326" t="str">
        <f>IF(Table2[[#This Row],[Member Type]]="Main Member",Lookups!$C$14,"")</f>
        <v/>
      </c>
      <c r="AE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Funeral",_xlfn.XLOOKUP(B8,Table2[Main Member Link ID],Table2[Benefit Name],0)=Lookups!$D$14),"",
IF(AND(Table2[[#This Row],[Member Type]]="Spouse",Table2[[#This Row],[Product Option]]="My Value Plus Life &amp; Funeral",_xlfn.XLOOKUP(B7,Table2[Main Member Link ID],Table2[Benefit Name],0)=Lookups!$D$15),Lookups!$D$20,
IF(AND(Table2[[#This Row],[Member Type]]="Spouse",Table2[[#This Row],[Product Option]]="My Value Plus Life &amp; Funeral",_xlfn.XLOOKUP(B7,Table2[Main Member Link ID],Table2[Benefit Name],0)=Lookups!$D$16),"",
IF(AND(Table2[[#This Row],[Member Type]]="Spouse",Table2[[#This Row],[Product Option]]="My Value Plus Life &amp; Funeral",_xlfn.XLOOKUP(B7,Table2[Main Member Link ID],Table2[Benefit Name],0)=Lookups!$D$17),Lookups!$D$21,
IF(AND(Table2[[#This Row],[Member Type]]="Child",Table2[[#This Row],[Product Option]]="My Value Plus Life &amp; Funeral",_xlfn.XLOOKUP(B8,Table2[Main Member Link ID],Table2[Benefit Name],0)=Lookups!$D$14),"",
IF(AND(Table2[[#This Row],[Member Type]]="Child",Table2[[#This Row],[Product Option]]="My Value Plus Life &amp; Funeral",_xlfn.XLOOKUP(B8,Table2[Main Member Link ID],Table2[Benefit Name],0)=Lookups!$D$15),"",
IF(AND(Table2[[#This Row],[Member Type]]="Child",Table2[[#This Row],[Product Option]]="My Value Plus Life &amp; Funeral",_xlfn.XLOOKUP(B8,Table2[Main Member Link ID],Table2[Benefit Name],0)=Lookups!$D$16),Lookups!$D$24,
IF(AND(Table2[[#This Row],[Member Type]]="Child",Table2[[#This Row],[Product Option]]="My Value Plus Life &amp; Funeral",_xlfn.XLOOKUP(B8,Table2[Main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Funeral",_xlfn.XLOOKUP(B8,Table2[Main Member Link ID],Table2[Benefit Name],0)&lt;&gt;Lookups!$D$14),
IF(_xlfn.XLOOKUP(B8,Table2[Main Member Link ID],Table2[Benefit Name],0)=0,"",_xlfn.XLOOKUP(B8,Table2[Main Member Link ID],Table2[Benefit Name],0)),"")))))))))))))))</f>
        <v/>
      </c>
      <c r="AF8" s="327" t="str">
        <f>IF(AND(Table2[[#This Row],[Member Type]]="Main Member",Table2[[#This Row],[Product Option]]="My Value Plus Life &amp; Funeral"),Lookups!$D$15,
IF(AND(Table2[[#This Row],[Member Type]]="Spouse",Table2[[#This Row],[Product Option]]="My Value Plus Life &amp; Funeral",_xlfn.XLOOKUP(B8,Table2[Main Member Link ID],Table2[Benefit Name],0)=Lookups!$D$14),"",
IF(AND(Table2[[#This Row],[Member Type]]="Spouse",Table2[[#This Row],[Product Option]]="My Value Plus Life &amp; Funeral",_xlfn.XLOOKUP(B7,Table2[Main Member Link ID],Table2[Benefit Name],0)=Lookups!$D$16),"",
IF(AND(Table2[[#This Row],[Member Type]]="Spouse",Table2[[#This Row],[Product Option]]="My Value Plus Life &amp; Funeral",_xlfn.XLOOKUP(B7,Table2[Main Member Link ID],Table2[Benefit Name],0)=Lookups!$D$15),"",
IF(AND(Table2[[#This Row],[Member Type]]="Spouse",Table2[[#This Row],[Product Option]]="My Value Plus Life &amp; Funeral",_xlfn.XLOOKUP(B7,Table2[Main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Funeral",_xlfn.XLOOKUP(B8,Table2[Main Member Link ID],Table2[Benefit Name],0)&lt;&gt;Lookups!$D$15),
IF(_xlfn.XLOOKUP(B8,Table2[Main Member Link ID],Table2[Benefit Name],0)=0,"",_xlfn.XLOOKUP(B8,Table2[Main Member Link ID],Table2[Benefit Name],0)),"")
))))))</f>
        <v/>
      </c>
      <c r="AG8" s="327" t="str">
        <f>IF(AND(Table2[[#This Row],[Member Type]]="Main Member",Table2[[#This Row],[Product Option]]="My Value Plus Life &amp; Funeral"),Lookups!$D$16,
IF(AND(Table2[[#This Row],[Member Type]]="Spouse",Table2[[#This Row],[Product Option]]="My Value Plus Life &amp; Funeral",_xlfn.XLOOKUP(B8,Table2[Main Member Link ID],Table2[Benefit Name],0)=Lookups!$D$14),"",
IF(AND(Table2[[#This Row],[Member Type]]="Spouse",Table2[[#This Row],[Product Option]]="My Value Plus Life &amp; Funeral",_xlfn.XLOOKUP(B7,Table2[Main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Funeral",_xlfn.XLOOKUP(B8,Table2[Main Member Link ID],Table2[Benefit Name],0)&lt;&gt;Lookups!$D$16),
IF(_xlfn.XLOOKUP(B8,Table2[Main Member Link ID],Table2[Benefit Name],0)=0,"",_xlfn.XLOOKUP(B8,Table2[Main Member Link ID],Table2[Benefit Name],0)),"")
))))</f>
        <v/>
      </c>
      <c r="AH8" s="327" t="str">
        <f>IF(AND(Table2[[#This Row],[Member Type]]="Main Member",Table2[[#This Row],[Product Option]]="My Value Plus Life &amp; Funeral"),Lookups!$D$17,
IF(AND(Table2[[#This Row],[Member Type]]="Spouse",Table2[[#This Row],[Product Option]]="My Value Plus Life &amp; Funeral",_xlfn.XLOOKUP(B8,Table2[Main Member Link ID],Table2[Benefit Name],0)=Lookups!$D$14),"",
IF(AND(Table2[[#This Row],[Member Type]]="Spouse",Table2[[#This Row],[Product Option]]="My Value Plus Life &amp; Funeral",_xlfn.XLOOKUP(B7,Table2[Main Member Link ID],Table2[Benefit Name],0)=Lookups!$D$16),"",
IF(AND(Table2[[#This Row],[Member Type]]="Child",Table2[[#This Row],[Product Option]]="My Value Plus Life &amp; Funeral"),"",
IF(AND(Table2[[#This Row],[Member Type]]="Child",Table2[[#This Row],[Product Option]]="My Value Plus Life &amp; Funeral",_xlfn.XLOOKUP(B8,Table2[Main Member Link ID],Table2[Benefit Name],0)=Lookups!$D$15),"",
IF(AND(OR(Table2[[#This Row],[Member Type]]="Spouse",Table2[[#This Row],[Member Type]]="Child"),Table2[[#This Row],[Product Option]]="My Value Plus Life &amp; Funeral",_xlfn.XLOOKUP(B8,Table2[Main Member Link ID],Table2[Benefit Name],0)&lt;&gt;Lookups!$D$17),
IF(_xlfn.XLOOKUP(B8,Table2[Main Member Link ID],Table2[Benefit Name],0)=0,"",_xlfn.XLOOKUP(B8,Table2[Main Member Link ID],Table2[Benefit Name],0)),""))))))</f>
        <v/>
      </c>
      <c r="AI8" s="328" t="str">
        <f>IF(AND(Table2[[#This Row],[Member Type]]="Main Member",Table2[[#This Row],[Table Lookup for Life Cover]]="MM_LIFE",Table2[[#This Row],[Age Next Birthday]]&lt;56),1,
IF(AND(Table2[[#This Row],[Member Type]]="Main Member",Table2[[#This Row],[Table Lookup for Life Cover]]="MM_LIFE",Table2[[#This Row],[Age Next Birthday]]&gt;=56),2,
""))</f>
        <v/>
      </c>
      <c r="AJ8" s="328">
        <f>IF(OR(Table2[[#This Row],[Member Type]]="Main Member",Table2[[#This Row],[Main Member Link ID]]=B7),1,0)</f>
        <v>1</v>
      </c>
      <c r="AK8" s="328">
        <f>IF(Table2[[#This Row],[Member Type]]=0,0,
IF(OR(Table2[[#This Row],[Member Type]]="Main Member",Table2[[#This Row],[Main Member Link ID]]&lt;&gt;B8),COUNTIFS(B:B,Table2[[#This Row],[Main Member Link ID]]),
COUNTIFS(B:B,Table2[[#This Row],[Main Member Link ID]],A:A,Table2[[#This Row],[Member Type]])))</f>
        <v>3</v>
      </c>
    </row>
    <row r="9" spans="1:37" x14ac:dyDescent="0.3">
      <c r="A9" s="284" t="str">
        <f>Table13[[#This Row],[Member Type]]</f>
        <v>Extended</v>
      </c>
      <c r="B9" s="284">
        <f>Table13[[#This Row],[Main Member Link ID]]</f>
        <v>9403175795084</v>
      </c>
      <c r="C9" s="284">
        <f>Table13[[#This Row],[ID Number]]</f>
        <v>0</v>
      </c>
      <c r="D9" s="285" t="str">
        <f>Table13[[#This Row],[Date Of Birth]]</f>
        <v>1973-01-01</v>
      </c>
      <c r="E9" s="285">
        <f>Table13[[#This Row],[Commencement Date]]</f>
        <v>46023</v>
      </c>
      <c r="F9" s="284">
        <f t="shared" si="0"/>
        <v>54</v>
      </c>
      <c r="G9" s="284">
        <f t="shared" si="4"/>
        <v>55</v>
      </c>
      <c r="H9" s="286" t="str">
        <f>Table13[[#This Row],[Product Option]]</f>
        <v>My Value Plus Life</v>
      </c>
      <c r="I9" s="284">
        <f>IF(AND($A9="Main Member",Table2[[#This Row],[Product Option]]="My Value Plus Life"),"MM_LIFE",
IF(AND($A9="Spouse",Table2[[#This Row],[Product Option]]="My Value Plus Life"),"SP_LIFE",
IF(AND($A9="Main Member",Table2[[#This Row],[Product Option]]="My Value Plus Life &amp; Funeral"),"MM_LIFE",
IF(AND($A9="Spouse",Table2[[#This Row],[Product Option]]="My Value Plus Life &amp; Funeral"),_xlfn.XLOOKUP(Table2[[#This Row],[Benefit Name]],Lookups!$D$18:$D$23,Lookups!$E$18:$E$23,0),
0))))</f>
        <v>0</v>
      </c>
      <c r="J9" s="284">
        <f>IF($I9="","",
IF($I9="MM_LIFE",INDEX('Quotation Tool'!$S$54:$V$60,MATCH($T9,'Quotation Tool'!$S$54:$S$60,0),4),
IF($I9="SP_LIFE",_xlfn.XLOOKUP(B8,$B:$B,$J:$J,0),0)))</f>
        <v>0</v>
      </c>
      <c r="K9" s="287">
        <f t="shared" ca="1" si="5"/>
        <v>0</v>
      </c>
      <c r="L9" s="288">
        <f t="shared" ca="1" si="6"/>
        <v>0</v>
      </c>
      <c r="M9" s="289">
        <f t="shared" ca="1" si="1"/>
        <v>0</v>
      </c>
      <c r="N9" s="286" t="str">
        <f>Table13[[#This Row],[Benefit Option]]</f>
        <v>Funeral - Extended</v>
      </c>
      <c r="O9" s="284" t="str">
        <f>IF(OR(Table2[[#This Row],[Member Type]]="Spouse",Table2[[#This Row],[Member Type]]="Child"),0,
IF(_xlfn.XLOOKUP($N9,Lookups!$D$13:$D$27,Lookups!$F$13:$F$27,0)=Table2[[#This Row],[Table Lookup for Life Cover]],0,
_xlfn.XLOOKUP($N9,Lookups!$D$13:$D$27,Lookups!$F$13:$F$27,0)))</f>
        <v>Ext</v>
      </c>
      <c r="P9" s="284">
        <f>IF(Table2[[#This Row],[Table Lookup for Funeral]]=0,0,IFERROR(INDEX('Quotation Tool'!$S$54:$V$60,MATCH($T9,'Quotation Tool'!$S$54:$S$60,0),3),0))</f>
        <v>2</v>
      </c>
      <c r="Q9" s="288">
        <f ca="1">IF(OR(Table2[[#This Row],[Benefit Name]]="My Value Plus Life - Main Member",Table2[[#This Row],[Benefit Name]]="My Value Plus Life - Spouse"),0,
IFERROR(VLOOKUP($G9,INDIRECT($O9),$P9,FALSE),0))</f>
        <v>-1.5469999999999999</v>
      </c>
      <c r="R9" s="288">
        <f ca="1">IF(OR(Table2[[#This Row],[Benefit Name]]="My Value Plus Life - Main Member",Table2[[#This Row],[Benefit Name]]="My Value Plus Life - Spouse"),0,
IFERROR(VLOOKUP($G9,INDIRECT($O9),$P9+1,FALSE),0))</f>
        <v>3.2402000000000002</v>
      </c>
      <c r="S9" s="289">
        <f t="shared" ca="1" si="2"/>
        <v>160.46300000000002</v>
      </c>
      <c r="T9" s="284" t="str">
        <f>IF(Table13[[#This Row],[Premium Waiver]]="","None",Table13[[#This Row],[Premium Waiver]])</f>
        <v>None</v>
      </c>
      <c r="U9" s="284">
        <f>Table13[[#This Row],[VAPs Options]]</f>
        <v>0</v>
      </c>
      <c r="V9" s="284">
        <f>Table13[[#This Row],[Annual Increase Option]]</f>
        <v>0</v>
      </c>
      <c r="W9" s="290">
        <f>Table13[[#This Row],[Life Cover Amount]]</f>
        <v>0</v>
      </c>
      <c r="X9" s="290">
        <f>Table13[[#This Row],[Funeral Cover Amount]]</f>
        <v>50000</v>
      </c>
      <c r="Y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9" s="301">
        <f t="shared" ca="1" si="3"/>
        <v>160.46300000000002</v>
      </c>
      <c r="AB9" s="298"/>
      <c r="AC9" s="326" t="str">
        <f>IF(Table2[[#This Row],[Member Type]]="Main Member",Lookups!$C$13,
IF(Table2[[#This Row],[Member Type]]="Spouse",_xlfn.XLOOKUP(B9,Table2[Main Member Link ID],Table2[Product Option],0),
IF(AND(Table2[[#This Row],[Member Type]]="Child",_xlfn.XLOOKUP(B9,Table2[Main Member Link ID],Table2[Product Option],0)&lt;&gt;"My Value Plus Life"),Lookups!$C$24,
IF(AND(OR(Table2[[#This Row],[Member Type]]="Parent",Table2[[#This Row],[Member Type]]="Extended"),_xlfn.XLOOKUP(B9,Table2[Main Member Link ID],Table2[Product Option],0)&lt;&gt;"My Value Plus Life"),Lookups!$C$26,""))))</f>
        <v/>
      </c>
      <c r="AD9" s="326" t="str">
        <f>IF(Table2[[#This Row],[Member Type]]="Main Member",Lookups!$C$14,"")</f>
        <v/>
      </c>
      <c r="AE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Funeral",_xlfn.XLOOKUP(B9,Table2[Main Member Link ID],Table2[Benefit Name],0)=Lookups!$D$14),"",
IF(AND(Table2[[#This Row],[Member Type]]="Spouse",Table2[[#This Row],[Product Option]]="My Value Plus Life &amp; Funeral",_xlfn.XLOOKUP(B8,Table2[Main Member Link ID],Table2[Benefit Name],0)=Lookups!$D$15),Lookups!$D$20,
IF(AND(Table2[[#This Row],[Member Type]]="Spouse",Table2[[#This Row],[Product Option]]="My Value Plus Life &amp; Funeral",_xlfn.XLOOKUP(B8,Table2[Main Member Link ID],Table2[Benefit Name],0)=Lookups!$D$16),"",
IF(AND(Table2[[#This Row],[Member Type]]="Spouse",Table2[[#This Row],[Product Option]]="My Value Plus Life &amp; Funeral",_xlfn.XLOOKUP(B8,Table2[Main Member Link ID],Table2[Benefit Name],0)=Lookups!$D$17),Lookups!$D$21,
IF(AND(Table2[[#This Row],[Member Type]]="Child",Table2[[#This Row],[Product Option]]="My Value Plus Life &amp; Funeral",_xlfn.XLOOKUP(B9,Table2[Main Member Link ID],Table2[Benefit Name],0)=Lookups!$D$14),"",
IF(AND(Table2[[#This Row],[Member Type]]="Child",Table2[[#This Row],[Product Option]]="My Value Plus Life &amp; Funeral",_xlfn.XLOOKUP(B9,Table2[Main Member Link ID],Table2[Benefit Name],0)=Lookups!$D$15),"",
IF(AND(Table2[[#This Row],[Member Type]]="Child",Table2[[#This Row],[Product Option]]="My Value Plus Life &amp; Funeral",_xlfn.XLOOKUP(B9,Table2[Main Member Link ID],Table2[Benefit Name],0)=Lookups!$D$16),Lookups!$D$24,
IF(AND(Table2[[#This Row],[Member Type]]="Child",Table2[[#This Row],[Product Option]]="My Value Plus Life &amp; Funeral",_xlfn.XLOOKUP(B9,Table2[Main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Funeral",_xlfn.XLOOKUP(B9,Table2[Main Member Link ID],Table2[Benefit Name],0)&lt;&gt;Lookups!$D$14),
IF(_xlfn.XLOOKUP(B9,Table2[Main Member Link ID],Table2[Benefit Name],0)=0,"",_xlfn.XLOOKUP(B9,Table2[Main Member Link ID],Table2[Benefit Name],0)),"")))))))))))))))</f>
        <v/>
      </c>
      <c r="AF9" s="327" t="str">
        <f>IF(AND(Table2[[#This Row],[Member Type]]="Main Member",Table2[[#This Row],[Product Option]]="My Value Plus Life &amp; Funeral"),Lookups!$D$15,
IF(AND(Table2[[#This Row],[Member Type]]="Spouse",Table2[[#This Row],[Product Option]]="My Value Plus Life &amp; Funeral",_xlfn.XLOOKUP(B9,Table2[Main Member Link ID],Table2[Benefit Name],0)=Lookups!$D$14),"",
IF(AND(Table2[[#This Row],[Member Type]]="Spouse",Table2[[#This Row],[Product Option]]="My Value Plus Life &amp; Funeral",_xlfn.XLOOKUP(B8,Table2[Main Member Link ID],Table2[Benefit Name],0)=Lookups!$D$16),"",
IF(AND(Table2[[#This Row],[Member Type]]="Spouse",Table2[[#This Row],[Product Option]]="My Value Plus Life &amp; Funeral",_xlfn.XLOOKUP(B8,Table2[Main Member Link ID],Table2[Benefit Name],0)=Lookups!$D$15),"",
IF(AND(Table2[[#This Row],[Member Type]]="Spouse",Table2[[#This Row],[Product Option]]="My Value Plus Life &amp; Funeral",_xlfn.XLOOKUP(B8,Table2[Main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Funeral",_xlfn.XLOOKUP(B9,Table2[Main Member Link ID],Table2[Benefit Name],0)&lt;&gt;Lookups!$D$15),
IF(_xlfn.XLOOKUP(B9,Table2[Main Member Link ID],Table2[Benefit Name],0)=0,"",_xlfn.XLOOKUP(B9,Table2[Main Member Link ID],Table2[Benefit Name],0)),"")
))))))</f>
        <v/>
      </c>
      <c r="AG9" s="327" t="str">
        <f>IF(AND(Table2[[#This Row],[Member Type]]="Main Member",Table2[[#This Row],[Product Option]]="My Value Plus Life &amp; Funeral"),Lookups!$D$16,
IF(AND(Table2[[#This Row],[Member Type]]="Spouse",Table2[[#This Row],[Product Option]]="My Value Plus Life &amp; Funeral",_xlfn.XLOOKUP(B9,Table2[Main Member Link ID],Table2[Benefit Name],0)=Lookups!$D$14),"",
IF(AND(Table2[[#This Row],[Member Type]]="Spouse",Table2[[#This Row],[Product Option]]="My Value Plus Life &amp; Funeral",_xlfn.XLOOKUP(B8,Table2[Main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Funeral",_xlfn.XLOOKUP(B9,Table2[Main Member Link ID],Table2[Benefit Name],0)&lt;&gt;Lookups!$D$16),
IF(_xlfn.XLOOKUP(B9,Table2[Main Member Link ID],Table2[Benefit Name],0)=0,"",_xlfn.XLOOKUP(B9,Table2[Main Member Link ID],Table2[Benefit Name],0)),"")
))))</f>
        <v/>
      </c>
      <c r="AH9" s="327" t="str">
        <f>IF(AND(Table2[[#This Row],[Member Type]]="Main Member",Table2[[#This Row],[Product Option]]="My Value Plus Life &amp; Funeral"),Lookups!$D$17,
IF(AND(Table2[[#This Row],[Member Type]]="Spouse",Table2[[#This Row],[Product Option]]="My Value Plus Life &amp; Funeral",_xlfn.XLOOKUP(B9,Table2[Main Member Link ID],Table2[Benefit Name],0)=Lookups!$D$14),"",
IF(AND(Table2[[#This Row],[Member Type]]="Spouse",Table2[[#This Row],[Product Option]]="My Value Plus Life &amp; Funeral",_xlfn.XLOOKUP(B8,Table2[Main Member Link ID],Table2[Benefit Name],0)=Lookups!$D$16),"",
IF(AND(Table2[[#This Row],[Member Type]]="Child",Table2[[#This Row],[Product Option]]="My Value Plus Life &amp; Funeral"),"",
IF(AND(Table2[[#This Row],[Member Type]]="Child",Table2[[#This Row],[Product Option]]="My Value Plus Life &amp; Funeral",_xlfn.XLOOKUP(B9,Table2[Main Member Link ID],Table2[Benefit Name],0)=Lookups!$D$15),"",
IF(AND(OR(Table2[[#This Row],[Member Type]]="Spouse",Table2[[#This Row],[Member Type]]="Child"),Table2[[#This Row],[Product Option]]="My Value Plus Life &amp; Funeral",_xlfn.XLOOKUP(B9,Table2[Main Member Link ID],Table2[Benefit Name],0)&lt;&gt;Lookups!$D$17),
IF(_xlfn.XLOOKUP(B9,Table2[Main Member Link ID],Table2[Benefit Name],0)=0,"",_xlfn.XLOOKUP(B9,Table2[Main Member Link ID],Table2[Benefit Name],0)),""))))))</f>
        <v/>
      </c>
      <c r="AI9" s="328" t="str">
        <f>IF(AND(Table2[[#This Row],[Member Type]]="Main Member",Table2[[#This Row],[Table Lookup for Life Cover]]="MM_LIFE",Table2[[#This Row],[Age Next Birthday]]&lt;56),1,
IF(AND(Table2[[#This Row],[Member Type]]="Main Member",Table2[[#This Row],[Table Lookup for Life Cover]]="MM_LIFE",Table2[[#This Row],[Age Next Birthday]]&gt;=56),2,
""))</f>
        <v/>
      </c>
      <c r="AJ9" s="328">
        <f>IF(OR(Table2[[#This Row],[Member Type]]="Main Member",Table2[[#This Row],[Main Member Link ID]]=B8),1,0)</f>
        <v>1</v>
      </c>
      <c r="AK9" s="328">
        <f>IF(Table2[[#This Row],[Member Type]]=0,0,
IF(OR(Table2[[#This Row],[Member Type]]="Main Member",Table2[[#This Row],[Main Member Link ID]]&lt;&gt;B9),COUNTIFS(B:B,Table2[[#This Row],[Main Member Link ID]]),
COUNTIFS(B:B,Table2[[#This Row],[Main Member Link ID]],A:A,Table2[[#This Row],[Member Type]])))</f>
        <v>1</v>
      </c>
    </row>
    <row r="10" spans="1:37" x14ac:dyDescent="0.3">
      <c r="A10" s="284" t="str">
        <f>Table13[[#This Row],[Member Type]]</f>
        <v>Beneficiary</v>
      </c>
      <c r="B10" s="284">
        <f>Table13[[#This Row],[Main Member Link ID]]</f>
        <v>9403175795084</v>
      </c>
      <c r="C10" s="284" t="str">
        <f>Table13[[#This Row],[ID Number]]</f>
        <v>9403179351181</v>
      </c>
      <c r="D10" s="285">
        <f>Table13[[#This Row],[Date Of Birth]]</f>
        <v>33604</v>
      </c>
      <c r="E10" s="285">
        <f>Table13[[#This Row],[Commencement Date]]</f>
        <v>46023</v>
      </c>
      <c r="F10" s="284">
        <f t="shared" si="0"/>
        <v>35</v>
      </c>
      <c r="G10" s="284">
        <f t="shared" si="4"/>
        <v>35</v>
      </c>
      <c r="H10" s="286" t="str">
        <f>Table13[[#This Row],[Product Option]]</f>
        <v>My Value Plus Life</v>
      </c>
      <c r="I10" s="284">
        <f>IF(AND($A10="Main Member",Table2[[#This Row],[Product Option]]="My Value Plus Life"),"MM_LIFE",
IF(AND($A10="Spouse",Table2[[#This Row],[Product Option]]="My Value Plus Life"),"SP_LIFE",
IF(AND($A10="Main Member",Table2[[#This Row],[Product Option]]="My Value Plus Life &amp; Funeral"),"MM_LIFE",
IF(AND($A10="Spouse",Table2[[#This Row],[Product Option]]="My Value Plus Life &amp; Funeral"),_xlfn.XLOOKUP(Table2[[#This Row],[Benefit Name]],Lookups!$D$18:$D$23,Lookups!$E$18:$E$23,0),
0))))</f>
        <v>0</v>
      </c>
      <c r="J10" s="284">
        <f>IF($I10="","",
IF($I10="MM_LIFE",INDEX('Quotation Tool'!$S$54:$V$60,MATCH($T10,'Quotation Tool'!$S$54:$S$60,0),4),
IF($I10="SP_LIFE",_xlfn.XLOOKUP(B9,$B:$B,$J:$J,0),0)))</f>
        <v>0</v>
      </c>
      <c r="K10" s="287">
        <f t="shared" ca="1" si="5"/>
        <v>0</v>
      </c>
      <c r="L10" s="288">
        <f t="shared" ca="1" si="6"/>
        <v>0</v>
      </c>
      <c r="M10" s="289">
        <f t="shared" ca="1" si="1"/>
        <v>0</v>
      </c>
      <c r="N10" s="286">
        <f>Table13[[#This Row],[Benefit Option]]</f>
        <v>0</v>
      </c>
      <c r="O10" s="284">
        <f>IF(OR(Table2[[#This Row],[Member Type]]="Spouse",Table2[[#This Row],[Member Type]]="Child"),0,
IF(_xlfn.XLOOKUP($N10,Lookups!$D$13:$D$27,Lookups!$F$13:$F$27,0)=Table2[[#This Row],[Table Lookup for Life Cover]],0,
_xlfn.XLOOKUP($N10,Lookups!$D$13:$D$27,Lookups!$F$13:$F$27,0)))</f>
        <v>0</v>
      </c>
      <c r="P10" s="284">
        <f>IF(Table2[[#This Row],[Table Lookup for Funeral]]=0,0,IFERROR(INDEX('Quotation Tool'!$S$54:$V$60,MATCH($T10,'Quotation Tool'!$S$54:$S$60,0),3),0))</f>
        <v>0</v>
      </c>
      <c r="Q10" s="288">
        <f ca="1">IF(OR(Table2[[#This Row],[Benefit Name]]="My Value Plus Life - Main Member",Table2[[#This Row],[Benefit Name]]="My Value Plus Life - Spouse"),0,
IFERROR(VLOOKUP($G10,INDIRECT($O10),$P10,FALSE),0))</f>
        <v>0</v>
      </c>
      <c r="R10" s="288">
        <f ca="1">IF(OR(Table2[[#This Row],[Benefit Name]]="My Value Plus Life - Main Member",Table2[[#This Row],[Benefit Name]]="My Value Plus Life - Spouse"),0,
IFERROR(VLOOKUP($G10,INDIRECT($O10),$P10+1,FALSE),0))</f>
        <v>0</v>
      </c>
      <c r="S10" s="289">
        <f t="shared" ca="1" si="2"/>
        <v>0</v>
      </c>
      <c r="T10" s="284" t="str">
        <f>IF(Table13[[#This Row],[Premium Waiver]]="","None",Table13[[#This Row],[Premium Waiver]])</f>
        <v>None</v>
      </c>
      <c r="U10" s="284">
        <f>Table13[[#This Row],[VAPs Options]]</f>
        <v>0</v>
      </c>
      <c r="V10" s="284">
        <f>Table13[[#This Row],[Annual Increase Option]]</f>
        <v>0</v>
      </c>
      <c r="W10" s="290">
        <f>Table13[[#This Row],[Life Cover Amount]]</f>
        <v>0</v>
      </c>
      <c r="X10" s="290">
        <f>Table13[[#This Row],[Funeral Cover Amount]]</f>
        <v>0</v>
      </c>
      <c r="Y1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0" s="301">
        <f t="shared" ca="1" si="3"/>
        <v>0</v>
      </c>
      <c r="AB10" s="298"/>
      <c r="AC10" s="326" t="str">
        <f>IF(Table2[[#This Row],[Member Type]]="Main Member",Lookups!$C$13,
IF(Table2[[#This Row],[Member Type]]="Spouse",_xlfn.XLOOKUP(B10,Table2[Main Member Link ID],Table2[Product Option],0),
IF(AND(Table2[[#This Row],[Member Type]]="Child",_xlfn.XLOOKUP(B10,Table2[Main Member Link ID],Table2[Product Option],0)&lt;&gt;"My Value Plus Life"),Lookups!$C$24,
IF(AND(OR(Table2[[#This Row],[Member Type]]="Parent",Table2[[#This Row],[Member Type]]="Extended"),_xlfn.XLOOKUP(B10,Table2[Main Member Link ID],Table2[Product Option],0)&lt;&gt;"My Value Plus Life"),Lookups!$C$26,""))))</f>
        <v/>
      </c>
      <c r="AD10" s="326" t="str">
        <f>IF(Table2[[#This Row],[Member Type]]="Main Member",Lookups!$C$14,"")</f>
        <v/>
      </c>
      <c r="AE1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Funeral",_xlfn.XLOOKUP(B10,Table2[Main Member Link ID],Table2[Benefit Name],0)=Lookups!$D$14),"",
IF(AND(Table2[[#This Row],[Member Type]]="Spouse",Table2[[#This Row],[Product Option]]="My Value Plus Life &amp; Funeral",_xlfn.XLOOKUP(B9,Table2[Main Member Link ID],Table2[Benefit Name],0)=Lookups!$D$15),Lookups!$D$20,
IF(AND(Table2[[#This Row],[Member Type]]="Spouse",Table2[[#This Row],[Product Option]]="My Value Plus Life &amp; Funeral",_xlfn.XLOOKUP(B9,Table2[Main Member Link ID],Table2[Benefit Name],0)=Lookups!$D$16),"",
IF(AND(Table2[[#This Row],[Member Type]]="Spouse",Table2[[#This Row],[Product Option]]="My Value Plus Life &amp; Funeral",_xlfn.XLOOKUP(B9,Table2[Main Member Link ID],Table2[Benefit Name],0)=Lookups!$D$17),Lookups!$D$21,
IF(AND(Table2[[#This Row],[Member Type]]="Child",Table2[[#This Row],[Product Option]]="My Value Plus Life &amp; Funeral",_xlfn.XLOOKUP(B10,Table2[Main Member Link ID],Table2[Benefit Name],0)=Lookups!$D$14),"",
IF(AND(Table2[[#This Row],[Member Type]]="Child",Table2[[#This Row],[Product Option]]="My Value Plus Life &amp; Funeral",_xlfn.XLOOKUP(B10,Table2[Main Member Link ID],Table2[Benefit Name],0)=Lookups!$D$15),"",
IF(AND(Table2[[#This Row],[Member Type]]="Child",Table2[[#This Row],[Product Option]]="My Value Plus Life &amp; Funeral",_xlfn.XLOOKUP(B10,Table2[Main Member Link ID],Table2[Benefit Name],0)=Lookups!$D$16),Lookups!$D$24,
IF(AND(Table2[[#This Row],[Member Type]]="Child",Table2[[#This Row],[Product Option]]="My Value Plus Life &amp; Funeral",_xlfn.XLOOKUP(B10,Table2[Main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Funeral",_xlfn.XLOOKUP(B10,Table2[Main Member Link ID],Table2[Benefit Name],0)&lt;&gt;Lookups!$D$14),
IF(_xlfn.XLOOKUP(B10,Table2[Main Member Link ID],Table2[Benefit Name],0)=0,"",_xlfn.XLOOKUP(B10,Table2[Main Member Link ID],Table2[Benefit Name],0)),"")))))))))))))))</f>
        <v/>
      </c>
      <c r="AF10" s="327" t="str">
        <f>IF(AND(Table2[[#This Row],[Member Type]]="Main Member",Table2[[#This Row],[Product Option]]="My Value Plus Life &amp; Funeral"),Lookups!$D$15,
IF(AND(Table2[[#This Row],[Member Type]]="Spouse",Table2[[#This Row],[Product Option]]="My Value Plus Life &amp; Funeral",_xlfn.XLOOKUP(B10,Table2[Main Member Link ID],Table2[Benefit Name],0)=Lookups!$D$14),"",
IF(AND(Table2[[#This Row],[Member Type]]="Spouse",Table2[[#This Row],[Product Option]]="My Value Plus Life &amp; Funeral",_xlfn.XLOOKUP(B9,Table2[Main Member Link ID],Table2[Benefit Name],0)=Lookups!$D$16),"",
IF(AND(Table2[[#This Row],[Member Type]]="Spouse",Table2[[#This Row],[Product Option]]="My Value Plus Life &amp; Funeral",_xlfn.XLOOKUP(B9,Table2[Main Member Link ID],Table2[Benefit Name],0)=Lookups!$D$15),"",
IF(AND(Table2[[#This Row],[Member Type]]="Spouse",Table2[[#This Row],[Product Option]]="My Value Plus Life &amp; Funeral",_xlfn.XLOOKUP(B9,Table2[Main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Funeral",_xlfn.XLOOKUP(B10,Table2[Main Member Link ID],Table2[Benefit Name],0)&lt;&gt;Lookups!$D$15),
IF(_xlfn.XLOOKUP(B10,Table2[Main Member Link ID],Table2[Benefit Name],0)=0,"",_xlfn.XLOOKUP(B10,Table2[Main Member Link ID],Table2[Benefit Name],0)),"")
))))))</f>
        <v/>
      </c>
      <c r="AG10" s="327" t="str">
        <f>IF(AND(Table2[[#This Row],[Member Type]]="Main Member",Table2[[#This Row],[Product Option]]="My Value Plus Life &amp; Funeral"),Lookups!$D$16,
IF(AND(Table2[[#This Row],[Member Type]]="Spouse",Table2[[#This Row],[Product Option]]="My Value Plus Life &amp; Funeral",_xlfn.XLOOKUP(B10,Table2[Main Member Link ID],Table2[Benefit Name],0)=Lookups!$D$14),"",
IF(AND(Table2[[#This Row],[Member Type]]="Spouse",Table2[[#This Row],[Product Option]]="My Value Plus Life &amp; Funeral",_xlfn.XLOOKUP(B9,Table2[Main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Funeral",_xlfn.XLOOKUP(B10,Table2[Main Member Link ID],Table2[Benefit Name],0)&lt;&gt;Lookups!$D$16),
IF(_xlfn.XLOOKUP(B10,Table2[Main Member Link ID],Table2[Benefit Name],0)=0,"",_xlfn.XLOOKUP(B10,Table2[Main Member Link ID],Table2[Benefit Name],0)),"")
))))</f>
        <v/>
      </c>
      <c r="AH10" s="327" t="str">
        <f>IF(AND(Table2[[#This Row],[Member Type]]="Main Member",Table2[[#This Row],[Product Option]]="My Value Plus Life &amp; Funeral"),Lookups!$D$17,
IF(AND(Table2[[#This Row],[Member Type]]="Spouse",Table2[[#This Row],[Product Option]]="My Value Plus Life &amp; Funeral",_xlfn.XLOOKUP(B10,Table2[Main Member Link ID],Table2[Benefit Name],0)=Lookups!$D$14),"",
IF(AND(Table2[[#This Row],[Member Type]]="Spouse",Table2[[#This Row],[Product Option]]="My Value Plus Life &amp; Funeral",_xlfn.XLOOKUP(B9,Table2[Main Member Link ID],Table2[Benefit Name],0)=Lookups!$D$16),"",
IF(AND(Table2[[#This Row],[Member Type]]="Child",Table2[[#This Row],[Product Option]]="My Value Plus Life &amp; Funeral"),"",
IF(AND(Table2[[#This Row],[Member Type]]="Child",Table2[[#This Row],[Product Option]]="My Value Plus Life &amp; Funeral",_xlfn.XLOOKUP(B10,Table2[Main Member Link ID],Table2[Benefit Name],0)=Lookups!$D$15),"",
IF(AND(OR(Table2[[#This Row],[Member Type]]="Spouse",Table2[[#This Row],[Member Type]]="Child"),Table2[[#This Row],[Product Option]]="My Value Plus Life &amp; Funeral",_xlfn.XLOOKUP(B10,Table2[Main Member Link ID],Table2[Benefit Name],0)&lt;&gt;Lookups!$D$17),
IF(_xlfn.XLOOKUP(B10,Table2[Main Member Link ID],Table2[Benefit Name],0)=0,"",_xlfn.XLOOKUP(B10,Table2[Main Member Link ID],Table2[Benefit Name],0)),""))))))</f>
        <v/>
      </c>
      <c r="AI10" s="328" t="str">
        <f>IF(AND(Table2[[#This Row],[Member Type]]="Main Member",Table2[[#This Row],[Table Lookup for Life Cover]]="MM_LIFE",Table2[[#This Row],[Age Next Birthday]]&lt;56),1,
IF(AND(Table2[[#This Row],[Member Type]]="Main Member",Table2[[#This Row],[Table Lookup for Life Cover]]="MM_LIFE",Table2[[#This Row],[Age Next Birthday]]&gt;=56),2,
""))</f>
        <v/>
      </c>
      <c r="AJ10" s="328">
        <f>IF(OR(Table2[[#This Row],[Member Type]]="Main Member",Table2[[#This Row],[Main Member Link ID]]=B9),1,0)</f>
        <v>1</v>
      </c>
      <c r="AK10" s="328">
        <f>IF(Table2[[#This Row],[Member Type]]=0,0,
IF(OR(Table2[[#This Row],[Member Type]]="Main Member",Table2[[#This Row],[Main Member Link ID]]&lt;&gt;B10),COUNTIFS(B:B,Table2[[#This Row],[Main Member Link ID]]),
COUNTIFS(B:B,Table2[[#This Row],[Main Member Link ID]],A:A,Table2[[#This Row],[Member Type]])))</f>
        <v>3</v>
      </c>
    </row>
    <row r="11" spans="1:37" x14ac:dyDescent="0.3">
      <c r="A11" s="284" t="str">
        <f>Table13[[#This Row],[Member Type]]</f>
        <v>Beneficiary</v>
      </c>
      <c r="B11" s="284">
        <f>Table13[[#This Row],[Main Member Link ID]]</f>
        <v>9403175795084</v>
      </c>
      <c r="C11" s="284">
        <f>Table13[[#This Row],[ID Number]]</f>
        <v>9201015509081</v>
      </c>
      <c r="D11" s="285">
        <f>Table13[[#This Row],[Date Of Birth]]</f>
        <v>33604</v>
      </c>
      <c r="E11" s="285">
        <f>Table13[[#This Row],[Commencement Date]]</f>
        <v>46023</v>
      </c>
      <c r="F11" s="284">
        <f t="shared" si="0"/>
        <v>35</v>
      </c>
      <c r="G11" s="284">
        <f t="shared" si="4"/>
        <v>35</v>
      </c>
      <c r="H11" s="286" t="str">
        <f>Table13[[#This Row],[Product Option]]</f>
        <v>My Value Plus Life</v>
      </c>
      <c r="I11" s="284">
        <f>IF(AND($A11="Main Member",Table2[[#This Row],[Product Option]]="My Value Plus Life"),"MM_LIFE",
IF(AND($A11="Spouse",Table2[[#This Row],[Product Option]]="My Value Plus Life"),"SP_LIFE",
IF(AND($A11="Main Member",Table2[[#This Row],[Product Option]]="My Value Plus Life &amp; Funeral"),"MM_LIFE",
IF(AND($A11="Spouse",Table2[[#This Row],[Product Option]]="My Value Plus Life &amp; Funeral"),_xlfn.XLOOKUP(Table2[[#This Row],[Benefit Name]],Lookups!$D$18:$D$23,Lookups!$E$18:$E$23,0),
0))))</f>
        <v>0</v>
      </c>
      <c r="J11" s="284">
        <f>IF($I11="","",
IF($I11="MM_LIFE",INDEX('Quotation Tool'!$S$54:$V$60,MATCH($T11,'Quotation Tool'!$S$54:$S$60,0),4),
IF($I11="SP_LIFE",_xlfn.XLOOKUP(B10,$B:$B,$J:$J,0),0)))</f>
        <v>0</v>
      </c>
      <c r="K11" s="287">
        <f t="shared" ca="1" si="5"/>
        <v>0</v>
      </c>
      <c r="L11" s="288">
        <f t="shared" ca="1" si="6"/>
        <v>0</v>
      </c>
      <c r="M11" s="289">
        <f t="shared" ca="1" si="1"/>
        <v>0</v>
      </c>
      <c r="N11" s="286">
        <f>Table13[[#This Row],[Benefit Option]]</f>
        <v>0</v>
      </c>
      <c r="O11" s="284">
        <f>IF(OR(Table2[[#This Row],[Member Type]]="Spouse",Table2[[#This Row],[Member Type]]="Child"),0,
IF(_xlfn.XLOOKUP($N11,Lookups!$D$13:$D$27,Lookups!$F$13:$F$27,0)=Table2[[#This Row],[Table Lookup for Life Cover]],0,
_xlfn.XLOOKUP($N11,Lookups!$D$13:$D$27,Lookups!$F$13:$F$27,0)))</f>
        <v>0</v>
      </c>
      <c r="P11" s="284">
        <f>IF(Table2[[#This Row],[Table Lookup for Funeral]]=0,0,IFERROR(INDEX('Quotation Tool'!$S$54:$V$60,MATCH($T11,'Quotation Tool'!$S$54:$S$60,0),3),0))</f>
        <v>0</v>
      </c>
      <c r="Q11" s="288">
        <f ca="1">IF(OR(Table2[[#This Row],[Benefit Name]]="My Value Plus Life - Main Member",Table2[[#This Row],[Benefit Name]]="My Value Plus Life - Spouse"),0,
IFERROR(VLOOKUP($G11,INDIRECT($O11),$P11,FALSE),0))</f>
        <v>0</v>
      </c>
      <c r="R11" s="288">
        <f ca="1">IF(OR(Table2[[#This Row],[Benefit Name]]="My Value Plus Life - Main Member",Table2[[#This Row],[Benefit Name]]="My Value Plus Life - Spouse"),0,
IFERROR(VLOOKUP($G11,INDIRECT($O11),$P11+1,FALSE),0))</f>
        <v>0</v>
      </c>
      <c r="S11" s="289">
        <f t="shared" ca="1" si="2"/>
        <v>0</v>
      </c>
      <c r="T11" s="284" t="str">
        <f>IF(Table13[[#This Row],[Premium Waiver]]="","None",Table13[[#This Row],[Premium Waiver]])</f>
        <v>None</v>
      </c>
      <c r="U11" s="284">
        <f>Table13[[#This Row],[VAPs Options]]</f>
        <v>0</v>
      </c>
      <c r="V11" s="284">
        <f>Table13[[#This Row],[Annual Increase Option]]</f>
        <v>0</v>
      </c>
      <c r="W11" s="290">
        <f>Table13[[#This Row],[Life Cover Amount]]</f>
        <v>0</v>
      </c>
      <c r="X11" s="290">
        <f>Table13[[#This Row],[Funeral Cover Amount]]</f>
        <v>0</v>
      </c>
      <c r="Y1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1" s="301">
        <f t="shared" ca="1" si="3"/>
        <v>0</v>
      </c>
      <c r="AB11" s="298"/>
      <c r="AC11" s="326" t="str">
        <f>IF(Table2[[#This Row],[Member Type]]="Main Member",Lookups!$C$13,
IF(Table2[[#This Row],[Member Type]]="Spouse",_xlfn.XLOOKUP(B11,Table2[Main Member Link ID],Table2[Product Option],0),
IF(AND(Table2[[#This Row],[Member Type]]="Child",_xlfn.XLOOKUP(B11,Table2[Main Member Link ID],Table2[Product Option],0)&lt;&gt;"My Value Plus Life"),Lookups!$C$24,
IF(AND(OR(Table2[[#This Row],[Member Type]]="Parent",Table2[[#This Row],[Member Type]]="Extended"),_xlfn.XLOOKUP(B11,Table2[Main Member Link ID],Table2[Product Option],0)&lt;&gt;"My Value Plus Life"),Lookups!$C$26,""))))</f>
        <v/>
      </c>
      <c r="AD11" s="326" t="str">
        <f>IF(Table2[[#This Row],[Member Type]]="Main Member",Lookups!$C$14,"")</f>
        <v/>
      </c>
      <c r="AE1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Funeral",_xlfn.XLOOKUP(B11,Table2[Main Member Link ID],Table2[Benefit Name],0)=Lookups!$D$14),"",
IF(AND(Table2[[#This Row],[Member Type]]="Spouse",Table2[[#This Row],[Product Option]]="My Value Plus Life &amp; Funeral",_xlfn.XLOOKUP(B10,Table2[Main Member Link ID],Table2[Benefit Name],0)=Lookups!$D$15),Lookups!$D$20,
IF(AND(Table2[[#This Row],[Member Type]]="Spouse",Table2[[#This Row],[Product Option]]="My Value Plus Life &amp; Funeral",_xlfn.XLOOKUP(B10,Table2[Main Member Link ID],Table2[Benefit Name],0)=Lookups!$D$16),"",
IF(AND(Table2[[#This Row],[Member Type]]="Spouse",Table2[[#This Row],[Product Option]]="My Value Plus Life &amp; Funeral",_xlfn.XLOOKUP(B10,Table2[Main Member Link ID],Table2[Benefit Name],0)=Lookups!$D$17),Lookups!$D$21,
IF(AND(Table2[[#This Row],[Member Type]]="Child",Table2[[#This Row],[Product Option]]="My Value Plus Life &amp; Funeral",_xlfn.XLOOKUP(B11,Table2[Main Member Link ID],Table2[Benefit Name],0)=Lookups!$D$14),"",
IF(AND(Table2[[#This Row],[Member Type]]="Child",Table2[[#This Row],[Product Option]]="My Value Plus Life &amp; Funeral",_xlfn.XLOOKUP(B11,Table2[Main Member Link ID],Table2[Benefit Name],0)=Lookups!$D$15),"",
IF(AND(Table2[[#This Row],[Member Type]]="Child",Table2[[#This Row],[Product Option]]="My Value Plus Life &amp; Funeral",_xlfn.XLOOKUP(B11,Table2[Main Member Link ID],Table2[Benefit Name],0)=Lookups!$D$16),Lookups!$D$24,
IF(AND(Table2[[#This Row],[Member Type]]="Child",Table2[[#This Row],[Product Option]]="My Value Plus Life &amp; Funeral",_xlfn.XLOOKUP(B11,Table2[Main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Funeral",_xlfn.XLOOKUP(B11,Table2[Main Member Link ID],Table2[Benefit Name],0)&lt;&gt;Lookups!$D$14),
IF(_xlfn.XLOOKUP(B11,Table2[Main Member Link ID],Table2[Benefit Name],0)=0,"",_xlfn.XLOOKUP(B11,Table2[Main Member Link ID],Table2[Benefit Name],0)),"")))))))))))))))</f>
        <v/>
      </c>
      <c r="AF11" s="327" t="str">
        <f>IF(AND(Table2[[#This Row],[Member Type]]="Main Member",Table2[[#This Row],[Product Option]]="My Value Plus Life &amp; Funeral"),Lookups!$D$15,
IF(AND(Table2[[#This Row],[Member Type]]="Spouse",Table2[[#This Row],[Product Option]]="My Value Plus Life &amp; Funeral",_xlfn.XLOOKUP(B11,Table2[Main Member Link ID],Table2[Benefit Name],0)=Lookups!$D$14),"",
IF(AND(Table2[[#This Row],[Member Type]]="Spouse",Table2[[#This Row],[Product Option]]="My Value Plus Life &amp; Funeral",_xlfn.XLOOKUP(B10,Table2[Main Member Link ID],Table2[Benefit Name],0)=Lookups!$D$16),"",
IF(AND(Table2[[#This Row],[Member Type]]="Spouse",Table2[[#This Row],[Product Option]]="My Value Plus Life &amp; Funeral",_xlfn.XLOOKUP(B10,Table2[Main Member Link ID],Table2[Benefit Name],0)=Lookups!$D$15),"",
IF(AND(Table2[[#This Row],[Member Type]]="Spouse",Table2[[#This Row],[Product Option]]="My Value Plus Life &amp; Funeral",_xlfn.XLOOKUP(B10,Table2[Main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Funeral",_xlfn.XLOOKUP(B11,Table2[Main Member Link ID],Table2[Benefit Name],0)&lt;&gt;Lookups!$D$15),
IF(_xlfn.XLOOKUP(B11,Table2[Main Member Link ID],Table2[Benefit Name],0)=0,"",_xlfn.XLOOKUP(B11,Table2[Main Member Link ID],Table2[Benefit Name],0)),"")
))))))</f>
        <v/>
      </c>
      <c r="AG11" s="327" t="str">
        <f>IF(AND(Table2[[#This Row],[Member Type]]="Main Member",Table2[[#This Row],[Product Option]]="My Value Plus Life &amp; Funeral"),Lookups!$D$16,
IF(AND(Table2[[#This Row],[Member Type]]="Spouse",Table2[[#This Row],[Product Option]]="My Value Plus Life &amp; Funeral",_xlfn.XLOOKUP(B11,Table2[Main Member Link ID],Table2[Benefit Name],0)=Lookups!$D$14),"",
IF(AND(Table2[[#This Row],[Member Type]]="Spouse",Table2[[#This Row],[Product Option]]="My Value Plus Life &amp; Funeral",_xlfn.XLOOKUP(B10,Table2[Main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Funeral",_xlfn.XLOOKUP(B11,Table2[Main Member Link ID],Table2[Benefit Name],0)&lt;&gt;Lookups!$D$16),
IF(_xlfn.XLOOKUP(B11,Table2[Main Member Link ID],Table2[Benefit Name],0)=0,"",_xlfn.XLOOKUP(B11,Table2[Main Member Link ID],Table2[Benefit Name],0)),"")
))))</f>
        <v/>
      </c>
      <c r="AH11" s="327" t="str">
        <f>IF(AND(Table2[[#This Row],[Member Type]]="Main Member",Table2[[#This Row],[Product Option]]="My Value Plus Life &amp; Funeral"),Lookups!$D$17,
IF(AND(Table2[[#This Row],[Member Type]]="Spouse",Table2[[#This Row],[Product Option]]="My Value Plus Life &amp; Funeral",_xlfn.XLOOKUP(B11,Table2[Main Member Link ID],Table2[Benefit Name],0)=Lookups!$D$14),"",
IF(AND(Table2[[#This Row],[Member Type]]="Spouse",Table2[[#This Row],[Product Option]]="My Value Plus Life &amp; Funeral",_xlfn.XLOOKUP(B10,Table2[Main Member Link ID],Table2[Benefit Name],0)=Lookups!$D$16),"",
IF(AND(Table2[[#This Row],[Member Type]]="Child",Table2[[#This Row],[Product Option]]="My Value Plus Life &amp; Funeral"),"",
IF(AND(Table2[[#This Row],[Member Type]]="Child",Table2[[#This Row],[Product Option]]="My Value Plus Life &amp; Funeral",_xlfn.XLOOKUP(B11,Table2[Main Member Link ID],Table2[Benefit Name],0)=Lookups!$D$15),"",
IF(AND(OR(Table2[[#This Row],[Member Type]]="Spouse",Table2[[#This Row],[Member Type]]="Child"),Table2[[#This Row],[Product Option]]="My Value Plus Life &amp; Funeral",_xlfn.XLOOKUP(B11,Table2[Main Member Link ID],Table2[Benefit Name],0)&lt;&gt;Lookups!$D$17),
IF(_xlfn.XLOOKUP(B11,Table2[Main Member Link ID],Table2[Benefit Name],0)=0,"",_xlfn.XLOOKUP(B11,Table2[Main Member Link ID],Table2[Benefit Name],0)),""))))))</f>
        <v/>
      </c>
      <c r="AI11" s="328" t="str">
        <f>IF(AND(Table2[[#This Row],[Member Type]]="Main Member",Table2[[#This Row],[Table Lookup for Life Cover]]="MM_LIFE",Table2[[#This Row],[Age Next Birthday]]&lt;56),1,
IF(AND(Table2[[#This Row],[Member Type]]="Main Member",Table2[[#This Row],[Table Lookup for Life Cover]]="MM_LIFE",Table2[[#This Row],[Age Next Birthday]]&gt;=56),2,
""))</f>
        <v/>
      </c>
      <c r="AJ11" s="328">
        <f>IF(OR(Table2[[#This Row],[Member Type]]="Main Member",Table2[[#This Row],[Main Member Link ID]]=B10),1,0)</f>
        <v>1</v>
      </c>
      <c r="AK11" s="328">
        <f>IF(Table2[[#This Row],[Member Type]]=0,0,
IF(OR(Table2[[#This Row],[Member Type]]="Main Member",Table2[[#This Row],[Main Member Link ID]]&lt;&gt;B11),COUNTIFS(B:B,Table2[[#This Row],[Main Member Link ID]]),
COUNTIFS(B:B,Table2[[#This Row],[Main Member Link ID]],A:A,Table2[[#This Row],[Member Type]])))</f>
        <v>3</v>
      </c>
    </row>
    <row r="12" spans="1:37" x14ac:dyDescent="0.3">
      <c r="A12" s="284" t="str">
        <f>Table13[[#This Row],[Member Type]]</f>
        <v>Parent</v>
      </c>
      <c r="B12" s="284">
        <f>Table13[[#This Row],[Main Member Link ID]]</f>
        <v>9403175795084</v>
      </c>
      <c r="C12" s="284">
        <f>Table13[[#This Row],[ID Number]]</f>
        <v>0</v>
      </c>
      <c r="D12" s="285" t="str">
        <f>Table13[[#This Row],[Date Of Birth]]</f>
        <v>1991-01-01</v>
      </c>
      <c r="E12" s="285">
        <f>Table13[[#This Row],[Commencement Date]]</f>
        <v>46023</v>
      </c>
      <c r="F12" s="284">
        <f t="shared" si="0"/>
        <v>36</v>
      </c>
      <c r="G12" s="284">
        <f t="shared" si="4"/>
        <v>45</v>
      </c>
      <c r="H12" s="286" t="str">
        <f>Table13[[#This Row],[Product Option]]</f>
        <v>My Value Plus Life</v>
      </c>
      <c r="I12" s="284">
        <f>IF(AND($A12="Main Member",Table2[[#This Row],[Product Option]]="My Value Plus Life"),"MM_LIFE",
IF(AND($A12="Spouse",Table2[[#This Row],[Product Option]]="My Value Plus Life"),"SP_LIFE",
IF(AND($A12="Main Member",Table2[[#This Row],[Product Option]]="My Value Plus Life &amp; Funeral"),"MM_LIFE",
IF(AND($A12="Spouse",Table2[[#This Row],[Product Option]]="My Value Plus Life &amp; Funeral"),_xlfn.XLOOKUP(Table2[[#This Row],[Benefit Name]],Lookups!$D$18:$D$23,Lookups!$E$18:$E$23,0),
0))))</f>
        <v>0</v>
      </c>
      <c r="J12" s="284">
        <f>IF($I12="","",
IF($I12="MM_LIFE",INDEX('Quotation Tool'!$S$54:$V$60,MATCH($T12,'Quotation Tool'!$S$54:$S$60,0),4),
IF($I12="SP_LIFE",_xlfn.XLOOKUP(B11,$B:$B,$J:$J,0),0)))</f>
        <v>0</v>
      </c>
      <c r="K12" s="287">
        <f t="shared" ca="1" si="5"/>
        <v>0</v>
      </c>
      <c r="L12" s="288">
        <f t="shared" ca="1" si="6"/>
        <v>0</v>
      </c>
      <c r="M12" s="289">
        <f t="shared" ca="1" si="1"/>
        <v>0</v>
      </c>
      <c r="N12" s="286" t="str">
        <f>Table13[[#This Row],[Benefit Option]]</f>
        <v>Funeral - Parent</v>
      </c>
      <c r="O12" s="284" t="str">
        <f>IF(OR(Table2[[#This Row],[Member Type]]="Spouse",Table2[[#This Row],[Member Type]]="Child"),0,
IF(_xlfn.XLOOKUP($N12,Lookups!$D$13:$D$27,Lookups!$F$13:$F$27,0)=Table2[[#This Row],[Table Lookup for Life Cover]],0,
_xlfn.XLOOKUP($N12,Lookups!$D$13:$D$27,Lookups!$F$13:$F$27,0)))</f>
        <v>Par</v>
      </c>
      <c r="P12" s="284">
        <f>IF(Table2[[#This Row],[Table Lookup for Funeral]]=0,0,IFERROR(INDEX('Quotation Tool'!$S$54:$V$60,MATCH($T12,'Quotation Tool'!$S$54:$S$60,0),3),0))</f>
        <v>2</v>
      </c>
      <c r="Q12" s="288">
        <f ca="1">IF(OR(Table2[[#This Row],[Benefit Name]]="My Value Plus Life - Main Member",Table2[[#This Row],[Benefit Name]]="My Value Plus Life - Spouse"),0,
IFERROR(VLOOKUP($G12,INDIRECT($O12),$P12,FALSE),0))</f>
        <v>0</v>
      </c>
      <c r="R12" s="288">
        <f ca="1">IF(OR(Table2[[#This Row],[Benefit Name]]="My Value Plus Life - Main Member",Table2[[#This Row],[Benefit Name]]="My Value Plus Life - Spouse"),0,
IFERROR(VLOOKUP($G12,INDIRECT($O12),$P12+1,FALSE),0))</f>
        <v>2.363</v>
      </c>
      <c r="S12" s="289">
        <f t="shared" ca="1" si="2"/>
        <v>118.15</v>
      </c>
      <c r="T12" s="284" t="str">
        <f>IF(Table13[[#This Row],[Premium Waiver]]="","None",Table13[[#This Row],[Premium Waiver]])</f>
        <v>None</v>
      </c>
      <c r="U12" s="284">
        <f>Table13[[#This Row],[VAPs Options]]</f>
        <v>0</v>
      </c>
      <c r="V12" s="284">
        <f>Table13[[#This Row],[Annual Increase Option]]</f>
        <v>0</v>
      </c>
      <c r="W12" s="290">
        <f>Table13[[#This Row],[Life Cover Amount]]</f>
        <v>0</v>
      </c>
      <c r="X12" s="290">
        <f>Table13[[#This Row],[Funeral Cover Amount]]</f>
        <v>50000</v>
      </c>
      <c r="Y1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2" s="301">
        <f t="shared" ca="1" si="3"/>
        <v>118.15</v>
      </c>
      <c r="AB12" s="298"/>
      <c r="AC12" s="326" t="str">
        <f>IF(Table2[[#This Row],[Member Type]]="Main Member",Lookups!$C$13,
IF(Table2[[#This Row],[Member Type]]="Spouse",_xlfn.XLOOKUP(B12,Table2[Main Member Link ID],Table2[Product Option],0),
IF(AND(Table2[[#This Row],[Member Type]]="Child",_xlfn.XLOOKUP(B12,Table2[Main Member Link ID],Table2[Product Option],0)&lt;&gt;"My Value Plus Life"),Lookups!$C$24,
IF(AND(OR(Table2[[#This Row],[Member Type]]="Parent",Table2[[#This Row],[Member Type]]="Extended"),_xlfn.XLOOKUP(B12,Table2[Main Member Link ID],Table2[Product Option],0)&lt;&gt;"My Value Plus Life"),Lookups!$C$26,""))))</f>
        <v/>
      </c>
      <c r="AD12" s="326" t="str">
        <f>IF(Table2[[#This Row],[Member Type]]="Main Member",Lookups!$C$14,"")</f>
        <v/>
      </c>
      <c r="AE1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Funeral",_xlfn.XLOOKUP(B12,Table2[Main Member Link ID],Table2[Benefit Name],0)=Lookups!$D$14),"",
IF(AND(Table2[[#This Row],[Member Type]]="Spouse",Table2[[#This Row],[Product Option]]="My Value Plus Life &amp; Funeral",_xlfn.XLOOKUP(B11,Table2[Main Member Link ID],Table2[Benefit Name],0)=Lookups!$D$15),Lookups!$D$20,
IF(AND(Table2[[#This Row],[Member Type]]="Spouse",Table2[[#This Row],[Product Option]]="My Value Plus Life &amp; Funeral",_xlfn.XLOOKUP(B11,Table2[Main Member Link ID],Table2[Benefit Name],0)=Lookups!$D$16),"",
IF(AND(Table2[[#This Row],[Member Type]]="Spouse",Table2[[#This Row],[Product Option]]="My Value Plus Life &amp; Funeral",_xlfn.XLOOKUP(B11,Table2[Main Member Link ID],Table2[Benefit Name],0)=Lookups!$D$17),Lookups!$D$21,
IF(AND(Table2[[#This Row],[Member Type]]="Child",Table2[[#This Row],[Product Option]]="My Value Plus Life &amp; Funeral",_xlfn.XLOOKUP(B12,Table2[Main Member Link ID],Table2[Benefit Name],0)=Lookups!$D$14),"",
IF(AND(Table2[[#This Row],[Member Type]]="Child",Table2[[#This Row],[Product Option]]="My Value Plus Life &amp; Funeral",_xlfn.XLOOKUP(B12,Table2[Main Member Link ID],Table2[Benefit Name],0)=Lookups!$D$15),"",
IF(AND(Table2[[#This Row],[Member Type]]="Child",Table2[[#This Row],[Product Option]]="My Value Plus Life &amp; Funeral",_xlfn.XLOOKUP(B12,Table2[Main Member Link ID],Table2[Benefit Name],0)=Lookups!$D$16),Lookups!$D$24,
IF(AND(Table2[[#This Row],[Member Type]]="Child",Table2[[#This Row],[Product Option]]="My Value Plus Life &amp; Funeral",_xlfn.XLOOKUP(B12,Table2[Main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Funeral",_xlfn.XLOOKUP(B12,Table2[Main Member Link ID],Table2[Benefit Name],0)&lt;&gt;Lookups!$D$14),
IF(_xlfn.XLOOKUP(B12,Table2[Main Member Link ID],Table2[Benefit Name],0)=0,"",_xlfn.XLOOKUP(B12,Table2[Main Member Link ID],Table2[Benefit Name],0)),"")))))))))))))))</f>
        <v/>
      </c>
      <c r="AF12" s="327" t="str">
        <f>IF(AND(Table2[[#This Row],[Member Type]]="Main Member",Table2[[#This Row],[Product Option]]="My Value Plus Life &amp; Funeral"),Lookups!$D$15,
IF(AND(Table2[[#This Row],[Member Type]]="Spouse",Table2[[#This Row],[Product Option]]="My Value Plus Life &amp; Funeral",_xlfn.XLOOKUP(B12,Table2[Main Member Link ID],Table2[Benefit Name],0)=Lookups!$D$14),"",
IF(AND(Table2[[#This Row],[Member Type]]="Spouse",Table2[[#This Row],[Product Option]]="My Value Plus Life &amp; Funeral",_xlfn.XLOOKUP(B11,Table2[Main Member Link ID],Table2[Benefit Name],0)=Lookups!$D$16),"",
IF(AND(Table2[[#This Row],[Member Type]]="Spouse",Table2[[#This Row],[Product Option]]="My Value Plus Life &amp; Funeral",_xlfn.XLOOKUP(B11,Table2[Main Member Link ID],Table2[Benefit Name],0)=Lookups!$D$15),"",
IF(AND(Table2[[#This Row],[Member Type]]="Spouse",Table2[[#This Row],[Product Option]]="My Value Plus Life &amp; Funeral",_xlfn.XLOOKUP(B11,Table2[Main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Funeral",_xlfn.XLOOKUP(B12,Table2[Main Member Link ID],Table2[Benefit Name],0)&lt;&gt;Lookups!$D$15),
IF(_xlfn.XLOOKUP(B12,Table2[Main Member Link ID],Table2[Benefit Name],0)=0,"",_xlfn.XLOOKUP(B12,Table2[Main Member Link ID],Table2[Benefit Name],0)),"")
))))))</f>
        <v/>
      </c>
      <c r="AG12" s="327" t="str">
        <f>IF(AND(Table2[[#This Row],[Member Type]]="Main Member",Table2[[#This Row],[Product Option]]="My Value Plus Life &amp; Funeral"),Lookups!$D$16,
IF(AND(Table2[[#This Row],[Member Type]]="Spouse",Table2[[#This Row],[Product Option]]="My Value Plus Life &amp; Funeral",_xlfn.XLOOKUP(B12,Table2[Main Member Link ID],Table2[Benefit Name],0)=Lookups!$D$14),"",
IF(AND(Table2[[#This Row],[Member Type]]="Spouse",Table2[[#This Row],[Product Option]]="My Value Plus Life &amp; Funeral",_xlfn.XLOOKUP(B11,Table2[Main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Funeral",_xlfn.XLOOKUP(B12,Table2[Main Member Link ID],Table2[Benefit Name],0)&lt;&gt;Lookups!$D$16),
IF(_xlfn.XLOOKUP(B12,Table2[Main Member Link ID],Table2[Benefit Name],0)=0,"",_xlfn.XLOOKUP(B12,Table2[Main Member Link ID],Table2[Benefit Name],0)),"")
))))</f>
        <v/>
      </c>
      <c r="AH12" s="327" t="str">
        <f>IF(AND(Table2[[#This Row],[Member Type]]="Main Member",Table2[[#This Row],[Product Option]]="My Value Plus Life &amp; Funeral"),Lookups!$D$17,
IF(AND(Table2[[#This Row],[Member Type]]="Spouse",Table2[[#This Row],[Product Option]]="My Value Plus Life &amp; Funeral",_xlfn.XLOOKUP(B12,Table2[Main Member Link ID],Table2[Benefit Name],0)=Lookups!$D$14),"",
IF(AND(Table2[[#This Row],[Member Type]]="Spouse",Table2[[#This Row],[Product Option]]="My Value Plus Life &amp; Funeral",_xlfn.XLOOKUP(B11,Table2[Main Member Link ID],Table2[Benefit Name],0)=Lookups!$D$16),"",
IF(AND(Table2[[#This Row],[Member Type]]="Child",Table2[[#This Row],[Product Option]]="My Value Plus Life &amp; Funeral"),"",
IF(AND(Table2[[#This Row],[Member Type]]="Child",Table2[[#This Row],[Product Option]]="My Value Plus Life &amp; Funeral",_xlfn.XLOOKUP(B12,Table2[Main Member Link ID],Table2[Benefit Name],0)=Lookups!$D$15),"",
IF(AND(OR(Table2[[#This Row],[Member Type]]="Spouse",Table2[[#This Row],[Member Type]]="Child"),Table2[[#This Row],[Product Option]]="My Value Plus Life &amp; Funeral",_xlfn.XLOOKUP(B12,Table2[Main Member Link ID],Table2[Benefit Name],0)&lt;&gt;Lookups!$D$17),
IF(_xlfn.XLOOKUP(B12,Table2[Main Member Link ID],Table2[Benefit Name],0)=0,"",_xlfn.XLOOKUP(B12,Table2[Main Member Link ID],Table2[Benefit Name],0)),""))))))</f>
        <v/>
      </c>
      <c r="AI12" s="328" t="str">
        <f>IF(AND(Table2[[#This Row],[Member Type]]="Main Member",Table2[[#This Row],[Table Lookup for Life Cover]]="MM_LIFE",Table2[[#This Row],[Age Next Birthday]]&lt;56),1,
IF(AND(Table2[[#This Row],[Member Type]]="Main Member",Table2[[#This Row],[Table Lookup for Life Cover]]="MM_LIFE",Table2[[#This Row],[Age Next Birthday]]&gt;=56),2,
""))</f>
        <v/>
      </c>
      <c r="AJ12" s="328">
        <f>IF(OR(Table2[[#This Row],[Member Type]]="Main Member",Table2[[#This Row],[Main Member Link ID]]=B11),1,0)</f>
        <v>1</v>
      </c>
      <c r="AK12" s="328">
        <f>IF(Table2[[#This Row],[Member Type]]=0,0,
IF(OR(Table2[[#This Row],[Member Type]]="Main Member",Table2[[#This Row],[Main Member Link ID]]&lt;&gt;B12),COUNTIFS(B:B,Table2[[#This Row],[Main Member Link ID]]),
COUNTIFS(B:B,Table2[[#This Row],[Main Member Link ID]],A:A,Table2[[#This Row],[Member Type]])))</f>
        <v>2</v>
      </c>
    </row>
    <row r="13" spans="1:37" x14ac:dyDescent="0.3">
      <c r="A13" s="284">
        <f>Table13[[#This Row],[Member Type]]</f>
        <v>0</v>
      </c>
      <c r="B13" s="284">
        <f>Table13[[#This Row],[Main Member Link ID]]</f>
        <v>0</v>
      </c>
      <c r="C13" s="284">
        <f>Table13[[#This Row],[ID Number]]</f>
        <v>0</v>
      </c>
      <c r="D13" s="285">
        <f>Table13[[#This Row],[Date Of Birth]]</f>
        <v>0</v>
      </c>
      <c r="E13" s="285">
        <f>Table13[[#This Row],[Commencement Date]]</f>
        <v>0</v>
      </c>
      <c r="F13" s="284">
        <f t="shared" si="0"/>
        <v>1</v>
      </c>
      <c r="G13" s="284">
        <f t="shared" si="4"/>
        <v>25</v>
      </c>
      <c r="H13" s="286">
        <f>Table13[[#This Row],[Product Option]]</f>
        <v>0</v>
      </c>
      <c r="I13" s="284">
        <f>IF(AND($A13="Main Member",Table2[[#This Row],[Product Option]]="My Value Plus Life"),"MM_LIFE",
IF(AND($A13="Spouse",Table2[[#This Row],[Product Option]]="My Value Plus Life"),"SP_LIFE",
IF(AND($A13="Main Member",Table2[[#This Row],[Product Option]]="My Value Plus Life &amp; Funeral"),"MM_LIFE",
IF(AND($A13="Spouse",Table2[[#This Row],[Product Option]]="My Value Plus Life &amp; Funeral"),_xlfn.XLOOKUP(Table2[[#This Row],[Benefit Name]],Lookups!$D$18:$D$23,Lookups!$E$18:$E$23,0),
0))))</f>
        <v>0</v>
      </c>
      <c r="J13" s="284">
        <f>IF($I13="","",
IF($I13="MM_LIFE",INDEX('Quotation Tool'!$S$54:$V$60,MATCH($T13,'Quotation Tool'!$S$54:$S$60,0),4),
IF($I13="SP_LIFE",_xlfn.XLOOKUP(B12,$B:$B,$J:$J,0),0)))</f>
        <v>0</v>
      </c>
      <c r="K13" s="287">
        <f t="shared" ca="1" si="5"/>
        <v>0</v>
      </c>
      <c r="L13" s="288">
        <f t="shared" ca="1" si="6"/>
        <v>0</v>
      </c>
      <c r="M13" s="289">
        <f t="shared" ca="1" si="1"/>
        <v>0</v>
      </c>
      <c r="N13" s="286">
        <f>Table13[[#This Row],[Benefit Option]]</f>
        <v>0</v>
      </c>
      <c r="O13" s="284">
        <f>IF(OR(Table2[[#This Row],[Member Type]]="Spouse",Table2[[#This Row],[Member Type]]="Child"),0,
IF(_xlfn.XLOOKUP($N13,Lookups!$D$13:$D$27,Lookups!$F$13:$F$27,0)=Table2[[#This Row],[Table Lookup for Life Cover]],0,
_xlfn.XLOOKUP($N13,Lookups!$D$13:$D$27,Lookups!$F$13:$F$27,0)))</f>
        <v>0</v>
      </c>
      <c r="P13" s="284">
        <f>IF(Table2[[#This Row],[Table Lookup for Funeral]]=0,0,IFERROR(INDEX('Quotation Tool'!$S$54:$V$60,MATCH($T13,'Quotation Tool'!$S$54:$S$60,0),3),0))</f>
        <v>0</v>
      </c>
      <c r="Q13" s="288">
        <f ca="1">IF(OR(Table2[[#This Row],[Benefit Name]]="My Value Plus Life - Main Member",Table2[[#This Row],[Benefit Name]]="My Value Plus Life - Spouse"),0,
IFERROR(VLOOKUP($G13,INDIRECT($O13),$P13,FALSE),0))</f>
        <v>0</v>
      </c>
      <c r="R13" s="288">
        <f ca="1">IF(OR(Table2[[#This Row],[Benefit Name]]="My Value Plus Life - Main Member",Table2[[#This Row],[Benefit Name]]="My Value Plus Life - Spouse"),0,
IFERROR(VLOOKUP($G13,INDIRECT($O13),$P13+1,FALSE),0))</f>
        <v>0</v>
      </c>
      <c r="S13" s="289">
        <f t="shared" ca="1" si="2"/>
        <v>0</v>
      </c>
      <c r="T13" s="284" t="str">
        <f>IF(Table13[[#This Row],[Premium Waiver]]="","None",Table13[[#This Row],[Premium Waiver]])</f>
        <v>None</v>
      </c>
      <c r="U13" s="284">
        <f>Table13[[#This Row],[VAPs Options]]</f>
        <v>0</v>
      </c>
      <c r="V13" s="284">
        <f>Table13[[#This Row],[Annual Increase Option]]</f>
        <v>0</v>
      </c>
      <c r="W13" s="290">
        <f>Table13[[#This Row],[Life Cover Amount]]</f>
        <v>0</v>
      </c>
      <c r="X13" s="290">
        <f>Table13[[#This Row],[Funeral Cover Amount]]</f>
        <v>0</v>
      </c>
      <c r="Y1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3" s="301">
        <f t="shared" ca="1" si="3"/>
        <v>0</v>
      </c>
      <c r="AB13" s="298"/>
      <c r="AC13" s="326" t="str">
        <f>IF(Table2[[#This Row],[Member Type]]="Main Member",Lookups!$C$13,
IF(Table2[[#This Row],[Member Type]]="Spouse",_xlfn.XLOOKUP(B13,Table2[Main Member Link ID],Table2[Product Option],0),
IF(AND(Table2[[#This Row],[Member Type]]="Child",_xlfn.XLOOKUP(B13,Table2[Main Member Link ID],Table2[Product Option],0)&lt;&gt;"My Value Plus Life"),Lookups!$C$24,
IF(AND(OR(Table2[[#This Row],[Member Type]]="Parent",Table2[[#This Row],[Member Type]]="Extended"),_xlfn.XLOOKUP(B13,Table2[Main Member Link ID],Table2[Product Option],0)&lt;&gt;"My Value Plus Life"),Lookups!$C$26,""))))</f>
        <v/>
      </c>
      <c r="AD13" s="326" t="str">
        <f>IF(Table2[[#This Row],[Member Type]]="Main Member",Lookups!$C$14,"")</f>
        <v/>
      </c>
      <c r="AE1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Funeral",_xlfn.XLOOKUP(B13,Table2[Main Member Link ID],Table2[Benefit Name],0)=Lookups!$D$14),"",
IF(AND(Table2[[#This Row],[Member Type]]="Spouse",Table2[[#This Row],[Product Option]]="My Value Plus Life &amp; Funeral",_xlfn.XLOOKUP(B12,Table2[Main Member Link ID],Table2[Benefit Name],0)=Lookups!$D$15),Lookups!$D$20,
IF(AND(Table2[[#This Row],[Member Type]]="Spouse",Table2[[#This Row],[Product Option]]="My Value Plus Life &amp; Funeral",_xlfn.XLOOKUP(B12,Table2[Main Member Link ID],Table2[Benefit Name],0)=Lookups!$D$16),"",
IF(AND(Table2[[#This Row],[Member Type]]="Spouse",Table2[[#This Row],[Product Option]]="My Value Plus Life &amp; Funeral",_xlfn.XLOOKUP(B12,Table2[Main Member Link ID],Table2[Benefit Name],0)=Lookups!$D$17),Lookups!$D$21,
IF(AND(Table2[[#This Row],[Member Type]]="Child",Table2[[#This Row],[Product Option]]="My Value Plus Life &amp; Funeral",_xlfn.XLOOKUP(B13,Table2[Main Member Link ID],Table2[Benefit Name],0)=Lookups!$D$14),"",
IF(AND(Table2[[#This Row],[Member Type]]="Child",Table2[[#This Row],[Product Option]]="My Value Plus Life &amp; Funeral",_xlfn.XLOOKUP(B13,Table2[Main Member Link ID],Table2[Benefit Name],0)=Lookups!$D$15),"",
IF(AND(Table2[[#This Row],[Member Type]]="Child",Table2[[#This Row],[Product Option]]="My Value Plus Life &amp; Funeral",_xlfn.XLOOKUP(B13,Table2[Main Member Link ID],Table2[Benefit Name],0)=Lookups!$D$16),Lookups!$D$24,
IF(AND(Table2[[#This Row],[Member Type]]="Child",Table2[[#This Row],[Product Option]]="My Value Plus Life &amp; Funeral",_xlfn.XLOOKUP(B13,Table2[Main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Funeral",_xlfn.XLOOKUP(B13,Table2[Main Member Link ID],Table2[Benefit Name],0)&lt;&gt;Lookups!$D$14),
IF(_xlfn.XLOOKUP(B13,Table2[Main Member Link ID],Table2[Benefit Name],0)=0,"",_xlfn.XLOOKUP(B13,Table2[Main Member Link ID],Table2[Benefit Name],0)),"")))))))))))))))</f>
        <v/>
      </c>
      <c r="AF13" s="327" t="str">
        <f>IF(AND(Table2[[#This Row],[Member Type]]="Main Member",Table2[[#This Row],[Product Option]]="My Value Plus Life &amp; Funeral"),Lookups!$D$15,
IF(AND(Table2[[#This Row],[Member Type]]="Spouse",Table2[[#This Row],[Product Option]]="My Value Plus Life &amp; Funeral",_xlfn.XLOOKUP(B13,Table2[Main Member Link ID],Table2[Benefit Name],0)=Lookups!$D$14),"",
IF(AND(Table2[[#This Row],[Member Type]]="Spouse",Table2[[#This Row],[Product Option]]="My Value Plus Life &amp; Funeral",_xlfn.XLOOKUP(B12,Table2[Main Member Link ID],Table2[Benefit Name],0)=Lookups!$D$16),"",
IF(AND(Table2[[#This Row],[Member Type]]="Spouse",Table2[[#This Row],[Product Option]]="My Value Plus Life &amp; Funeral",_xlfn.XLOOKUP(B12,Table2[Main Member Link ID],Table2[Benefit Name],0)=Lookups!$D$15),"",
IF(AND(Table2[[#This Row],[Member Type]]="Spouse",Table2[[#This Row],[Product Option]]="My Value Plus Life &amp; Funeral",_xlfn.XLOOKUP(B12,Table2[Main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Funeral",_xlfn.XLOOKUP(B13,Table2[Main Member Link ID],Table2[Benefit Name],0)&lt;&gt;Lookups!$D$15),
IF(_xlfn.XLOOKUP(B13,Table2[Main Member Link ID],Table2[Benefit Name],0)=0,"",_xlfn.XLOOKUP(B13,Table2[Main Member Link ID],Table2[Benefit Name],0)),"")
))))))</f>
        <v/>
      </c>
      <c r="AG13" s="327" t="str">
        <f>IF(AND(Table2[[#This Row],[Member Type]]="Main Member",Table2[[#This Row],[Product Option]]="My Value Plus Life &amp; Funeral"),Lookups!$D$16,
IF(AND(Table2[[#This Row],[Member Type]]="Spouse",Table2[[#This Row],[Product Option]]="My Value Plus Life &amp; Funeral",_xlfn.XLOOKUP(B13,Table2[Main Member Link ID],Table2[Benefit Name],0)=Lookups!$D$14),"",
IF(AND(Table2[[#This Row],[Member Type]]="Spouse",Table2[[#This Row],[Product Option]]="My Value Plus Life &amp; Funeral",_xlfn.XLOOKUP(B12,Table2[Main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Funeral",_xlfn.XLOOKUP(B13,Table2[Main Member Link ID],Table2[Benefit Name],0)&lt;&gt;Lookups!$D$16),
IF(_xlfn.XLOOKUP(B13,Table2[Main Member Link ID],Table2[Benefit Name],0)=0,"",_xlfn.XLOOKUP(B13,Table2[Main Member Link ID],Table2[Benefit Name],0)),"")
))))</f>
        <v/>
      </c>
      <c r="AH13" s="327" t="str">
        <f>IF(AND(Table2[[#This Row],[Member Type]]="Main Member",Table2[[#This Row],[Product Option]]="My Value Plus Life &amp; Funeral"),Lookups!$D$17,
IF(AND(Table2[[#This Row],[Member Type]]="Spouse",Table2[[#This Row],[Product Option]]="My Value Plus Life &amp; Funeral",_xlfn.XLOOKUP(B13,Table2[Main Member Link ID],Table2[Benefit Name],0)=Lookups!$D$14),"",
IF(AND(Table2[[#This Row],[Member Type]]="Spouse",Table2[[#This Row],[Product Option]]="My Value Plus Life &amp; Funeral",_xlfn.XLOOKUP(B12,Table2[Main Member Link ID],Table2[Benefit Name],0)=Lookups!$D$16),"",
IF(AND(Table2[[#This Row],[Member Type]]="Child",Table2[[#This Row],[Product Option]]="My Value Plus Life &amp; Funeral"),"",
IF(AND(Table2[[#This Row],[Member Type]]="Child",Table2[[#This Row],[Product Option]]="My Value Plus Life &amp; Funeral",_xlfn.XLOOKUP(B13,Table2[Main Member Link ID],Table2[Benefit Name],0)=Lookups!$D$15),"",
IF(AND(OR(Table2[[#This Row],[Member Type]]="Spouse",Table2[[#This Row],[Member Type]]="Child"),Table2[[#This Row],[Product Option]]="My Value Plus Life &amp; Funeral",_xlfn.XLOOKUP(B13,Table2[Main Member Link ID],Table2[Benefit Name],0)&lt;&gt;Lookups!$D$17),
IF(_xlfn.XLOOKUP(B13,Table2[Main Member Link ID],Table2[Benefit Name],0)=0,"",_xlfn.XLOOKUP(B13,Table2[Main Member Link ID],Table2[Benefit Name],0)),""))))))</f>
        <v/>
      </c>
      <c r="AI13" s="328" t="str">
        <f>IF(AND(Table2[[#This Row],[Member Type]]="Main Member",Table2[[#This Row],[Table Lookup for Life Cover]]="MM_LIFE",Table2[[#This Row],[Age Next Birthday]]&lt;56),1,
IF(AND(Table2[[#This Row],[Member Type]]="Main Member",Table2[[#This Row],[Table Lookup for Life Cover]]="MM_LIFE",Table2[[#This Row],[Age Next Birthday]]&gt;=56),2,
""))</f>
        <v/>
      </c>
      <c r="AJ13" s="328">
        <f>IF(OR(Table2[[#This Row],[Member Type]]="Main Member",Table2[[#This Row],[Main Member Link ID]]=B12),1,0)</f>
        <v>0</v>
      </c>
      <c r="AK13" s="328">
        <f>IF(Table2[[#This Row],[Member Type]]=0,0,
IF(OR(Table2[[#This Row],[Member Type]]="Main Member",Table2[[#This Row],[Main Member Link ID]]&lt;&gt;B13),COUNTIFS(B:B,Table2[[#This Row],[Main Member Link ID]]),
COUNTIFS(B:B,Table2[[#This Row],[Main Member Link ID]],A:A,Table2[[#This Row],[Member Type]])))</f>
        <v>0</v>
      </c>
    </row>
    <row r="14" spans="1:37" x14ac:dyDescent="0.3">
      <c r="A14" s="284">
        <f>Table13[[#This Row],[Member Type]]</f>
        <v>0</v>
      </c>
      <c r="B14" s="284">
        <f>Table13[[#This Row],[Main Member Link ID]]</f>
        <v>0</v>
      </c>
      <c r="C14" s="284">
        <f>Table13[[#This Row],[ID Number]]</f>
        <v>0</v>
      </c>
      <c r="D14" s="285">
        <f>Table13[[#This Row],[Date Of Birth]]</f>
        <v>0</v>
      </c>
      <c r="E14" s="285">
        <f>Table13[[#This Row],[Commencement Date]]</f>
        <v>0</v>
      </c>
      <c r="F14" s="284">
        <f t="shared" si="0"/>
        <v>1</v>
      </c>
      <c r="G14" s="284">
        <f t="shared" si="4"/>
        <v>25</v>
      </c>
      <c r="H14" s="286">
        <f>Table13[[#This Row],[Product Option]]</f>
        <v>0</v>
      </c>
      <c r="I14" s="284">
        <f>IF(AND($A14="Main Member",Table2[[#This Row],[Product Option]]="My Value Plus Life"),"MM_LIFE",
IF(AND($A14="Spouse",Table2[[#This Row],[Product Option]]="My Value Plus Life"),"SP_LIFE",
IF(AND($A14="Main Member",Table2[[#This Row],[Product Option]]="My Value Plus Life &amp; Funeral"),"MM_LIFE",
IF(AND($A14="Spouse",Table2[[#This Row],[Product Option]]="My Value Plus Life &amp; Funeral"),_xlfn.XLOOKUP(Table2[[#This Row],[Benefit Name]],Lookups!$D$18:$D$23,Lookups!$E$18:$E$23,0),
0))))</f>
        <v>0</v>
      </c>
      <c r="J14" s="284">
        <f>IF($I14="","",
IF($I14="MM_LIFE",INDEX('Quotation Tool'!$S$54:$V$60,MATCH($T14,'Quotation Tool'!$S$54:$S$60,0),4),
IF($I14="SP_LIFE",_xlfn.XLOOKUP(B13,$B:$B,$J:$J,0),0)))</f>
        <v>0</v>
      </c>
      <c r="K14" s="287">
        <f t="shared" ca="1" si="5"/>
        <v>0</v>
      </c>
      <c r="L14" s="288">
        <f t="shared" ca="1" si="6"/>
        <v>0</v>
      </c>
      <c r="M14" s="289">
        <f t="shared" ca="1" si="1"/>
        <v>0</v>
      </c>
      <c r="N14" s="286">
        <f>Table13[[#This Row],[Benefit Option]]</f>
        <v>0</v>
      </c>
      <c r="O14" s="284">
        <f>IF(OR(Table2[[#This Row],[Member Type]]="Spouse",Table2[[#This Row],[Member Type]]="Child"),0,
IF(_xlfn.XLOOKUP($N14,Lookups!$D$13:$D$27,Lookups!$F$13:$F$27,0)=Table2[[#This Row],[Table Lookup for Life Cover]],0,
_xlfn.XLOOKUP($N14,Lookups!$D$13:$D$27,Lookups!$F$13:$F$27,0)))</f>
        <v>0</v>
      </c>
      <c r="P14" s="284">
        <f>IF(Table2[[#This Row],[Table Lookup for Funeral]]=0,0,IFERROR(INDEX('Quotation Tool'!$S$54:$V$60,MATCH($T14,'Quotation Tool'!$S$54:$S$60,0),3),0))</f>
        <v>0</v>
      </c>
      <c r="Q14" s="288">
        <f ca="1">IF(OR(Table2[[#This Row],[Benefit Name]]="My Value Plus Life - Main Member",Table2[[#This Row],[Benefit Name]]="My Value Plus Life - Spouse"),0,
IFERROR(VLOOKUP($G14,INDIRECT($O14),$P14,FALSE),0))</f>
        <v>0</v>
      </c>
      <c r="R14" s="288">
        <f ca="1">IF(OR(Table2[[#This Row],[Benefit Name]]="My Value Plus Life - Main Member",Table2[[#This Row],[Benefit Name]]="My Value Plus Life - Spouse"),0,
IFERROR(VLOOKUP($G14,INDIRECT($O14),$P14+1,FALSE),0))</f>
        <v>0</v>
      </c>
      <c r="S14" s="289">
        <f t="shared" ca="1" si="2"/>
        <v>0</v>
      </c>
      <c r="T14" s="284" t="str">
        <f>IF(Table13[[#This Row],[Premium Waiver]]="","None",Table13[[#This Row],[Premium Waiver]])</f>
        <v>None</v>
      </c>
      <c r="U14" s="284">
        <f>Table13[[#This Row],[VAPs Options]]</f>
        <v>0</v>
      </c>
      <c r="V14" s="284">
        <f>Table13[[#This Row],[Annual Increase Option]]</f>
        <v>0</v>
      </c>
      <c r="W14" s="290">
        <f>Table13[[#This Row],[Life Cover Amount]]</f>
        <v>0</v>
      </c>
      <c r="X14" s="290">
        <f>Table13[[#This Row],[Funeral Cover Amount]]</f>
        <v>0</v>
      </c>
      <c r="Y1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4" s="301">
        <f t="shared" ca="1" si="3"/>
        <v>0</v>
      </c>
      <c r="AB14" s="298"/>
      <c r="AC14" s="326" t="str">
        <f>IF(Table2[[#This Row],[Member Type]]="Main Member",Lookups!$C$13,
IF(Table2[[#This Row],[Member Type]]="Spouse",_xlfn.XLOOKUP(B14,Table2[Main Member Link ID],Table2[Product Option],0),
IF(AND(Table2[[#This Row],[Member Type]]="Child",_xlfn.XLOOKUP(B14,Table2[Main Member Link ID],Table2[Product Option],0)&lt;&gt;"My Value Plus Life"),Lookups!$C$24,
IF(AND(OR(Table2[[#This Row],[Member Type]]="Parent",Table2[[#This Row],[Member Type]]="Extended"),_xlfn.XLOOKUP(B14,Table2[Main Member Link ID],Table2[Product Option],0)&lt;&gt;"My Value Plus Life"),Lookups!$C$26,""))))</f>
        <v/>
      </c>
      <c r="AD14" s="326" t="str">
        <f>IF(Table2[[#This Row],[Member Type]]="Main Member",Lookups!$C$14,"")</f>
        <v/>
      </c>
      <c r="AE1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Funeral",_xlfn.XLOOKUP(B14,Table2[Main Member Link ID],Table2[Benefit Name],0)=Lookups!$D$14),"",
IF(AND(Table2[[#This Row],[Member Type]]="Spouse",Table2[[#This Row],[Product Option]]="My Value Plus Life &amp; Funeral",_xlfn.XLOOKUP(B13,Table2[Main Member Link ID],Table2[Benefit Name],0)=Lookups!$D$15),Lookups!$D$20,
IF(AND(Table2[[#This Row],[Member Type]]="Spouse",Table2[[#This Row],[Product Option]]="My Value Plus Life &amp; Funeral",_xlfn.XLOOKUP(B13,Table2[Main Member Link ID],Table2[Benefit Name],0)=Lookups!$D$16),"",
IF(AND(Table2[[#This Row],[Member Type]]="Spouse",Table2[[#This Row],[Product Option]]="My Value Plus Life &amp; Funeral",_xlfn.XLOOKUP(B13,Table2[Main Member Link ID],Table2[Benefit Name],0)=Lookups!$D$17),Lookups!$D$21,
IF(AND(Table2[[#This Row],[Member Type]]="Child",Table2[[#This Row],[Product Option]]="My Value Plus Life &amp; Funeral",_xlfn.XLOOKUP(B14,Table2[Main Member Link ID],Table2[Benefit Name],0)=Lookups!$D$14),"",
IF(AND(Table2[[#This Row],[Member Type]]="Child",Table2[[#This Row],[Product Option]]="My Value Plus Life &amp; Funeral",_xlfn.XLOOKUP(B14,Table2[Main Member Link ID],Table2[Benefit Name],0)=Lookups!$D$15),"",
IF(AND(Table2[[#This Row],[Member Type]]="Child",Table2[[#This Row],[Product Option]]="My Value Plus Life &amp; Funeral",_xlfn.XLOOKUP(B14,Table2[Main Member Link ID],Table2[Benefit Name],0)=Lookups!$D$16),Lookups!$D$24,
IF(AND(Table2[[#This Row],[Member Type]]="Child",Table2[[#This Row],[Product Option]]="My Value Plus Life &amp; Funeral",_xlfn.XLOOKUP(B14,Table2[Main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Funeral",_xlfn.XLOOKUP(B14,Table2[Main Member Link ID],Table2[Benefit Name],0)&lt;&gt;Lookups!$D$14),
IF(_xlfn.XLOOKUP(B14,Table2[Main Member Link ID],Table2[Benefit Name],0)=0,"",_xlfn.XLOOKUP(B14,Table2[Main Member Link ID],Table2[Benefit Name],0)),"")))))))))))))))</f>
        <v/>
      </c>
      <c r="AF14" s="327" t="str">
        <f>IF(AND(Table2[[#This Row],[Member Type]]="Main Member",Table2[[#This Row],[Product Option]]="My Value Plus Life &amp; Funeral"),Lookups!$D$15,
IF(AND(Table2[[#This Row],[Member Type]]="Spouse",Table2[[#This Row],[Product Option]]="My Value Plus Life &amp; Funeral",_xlfn.XLOOKUP(B14,Table2[Main Member Link ID],Table2[Benefit Name],0)=Lookups!$D$14),"",
IF(AND(Table2[[#This Row],[Member Type]]="Spouse",Table2[[#This Row],[Product Option]]="My Value Plus Life &amp; Funeral",_xlfn.XLOOKUP(B13,Table2[Main Member Link ID],Table2[Benefit Name],0)=Lookups!$D$16),"",
IF(AND(Table2[[#This Row],[Member Type]]="Spouse",Table2[[#This Row],[Product Option]]="My Value Plus Life &amp; Funeral",_xlfn.XLOOKUP(B13,Table2[Main Member Link ID],Table2[Benefit Name],0)=Lookups!$D$15),"",
IF(AND(Table2[[#This Row],[Member Type]]="Spouse",Table2[[#This Row],[Product Option]]="My Value Plus Life &amp; Funeral",_xlfn.XLOOKUP(B13,Table2[Main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Funeral",_xlfn.XLOOKUP(B14,Table2[Main Member Link ID],Table2[Benefit Name],0)&lt;&gt;Lookups!$D$15),
IF(_xlfn.XLOOKUP(B14,Table2[Main Member Link ID],Table2[Benefit Name],0)=0,"",_xlfn.XLOOKUP(B14,Table2[Main Member Link ID],Table2[Benefit Name],0)),"")
))))))</f>
        <v/>
      </c>
      <c r="AG14" s="327" t="str">
        <f>IF(AND(Table2[[#This Row],[Member Type]]="Main Member",Table2[[#This Row],[Product Option]]="My Value Plus Life &amp; Funeral"),Lookups!$D$16,
IF(AND(Table2[[#This Row],[Member Type]]="Spouse",Table2[[#This Row],[Product Option]]="My Value Plus Life &amp; Funeral",_xlfn.XLOOKUP(B14,Table2[Main Member Link ID],Table2[Benefit Name],0)=Lookups!$D$14),"",
IF(AND(Table2[[#This Row],[Member Type]]="Spouse",Table2[[#This Row],[Product Option]]="My Value Plus Life &amp; Funeral",_xlfn.XLOOKUP(B13,Table2[Main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Funeral",_xlfn.XLOOKUP(B14,Table2[Main Member Link ID],Table2[Benefit Name],0)&lt;&gt;Lookups!$D$16),
IF(_xlfn.XLOOKUP(B14,Table2[Main Member Link ID],Table2[Benefit Name],0)=0,"",_xlfn.XLOOKUP(B14,Table2[Main Member Link ID],Table2[Benefit Name],0)),"")
))))</f>
        <v/>
      </c>
      <c r="AH14" s="327" t="str">
        <f>IF(AND(Table2[[#This Row],[Member Type]]="Main Member",Table2[[#This Row],[Product Option]]="My Value Plus Life &amp; Funeral"),Lookups!$D$17,
IF(AND(Table2[[#This Row],[Member Type]]="Spouse",Table2[[#This Row],[Product Option]]="My Value Plus Life &amp; Funeral",_xlfn.XLOOKUP(B14,Table2[Main Member Link ID],Table2[Benefit Name],0)=Lookups!$D$14),"",
IF(AND(Table2[[#This Row],[Member Type]]="Spouse",Table2[[#This Row],[Product Option]]="My Value Plus Life &amp; Funeral",_xlfn.XLOOKUP(B13,Table2[Main Member Link ID],Table2[Benefit Name],0)=Lookups!$D$16),"",
IF(AND(Table2[[#This Row],[Member Type]]="Child",Table2[[#This Row],[Product Option]]="My Value Plus Life &amp; Funeral"),"",
IF(AND(Table2[[#This Row],[Member Type]]="Child",Table2[[#This Row],[Product Option]]="My Value Plus Life &amp; Funeral",_xlfn.XLOOKUP(B14,Table2[Main Member Link ID],Table2[Benefit Name],0)=Lookups!$D$15),"",
IF(AND(OR(Table2[[#This Row],[Member Type]]="Spouse",Table2[[#This Row],[Member Type]]="Child"),Table2[[#This Row],[Product Option]]="My Value Plus Life &amp; Funeral",_xlfn.XLOOKUP(B14,Table2[Main Member Link ID],Table2[Benefit Name],0)&lt;&gt;Lookups!$D$17),
IF(_xlfn.XLOOKUP(B14,Table2[Main Member Link ID],Table2[Benefit Name],0)=0,"",_xlfn.XLOOKUP(B14,Table2[Main Member Link ID],Table2[Benefit Name],0)),""))))))</f>
        <v/>
      </c>
      <c r="AI14" s="328" t="str">
        <f>IF(AND(Table2[[#This Row],[Member Type]]="Main Member",Table2[[#This Row],[Table Lookup for Life Cover]]="MM_LIFE",Table2[[#This Row],[Age Next Birthday]]&lt;56),1,
IF(AND(Table2[[#This Row],[Member Type]]="Main Member",Table2[[#This Row],[Table Lookup for Life Cover]]="MM_LIFE",Table2[[#This Row],[Age Next Birthday]]&gt;=56),2,
""))</f>
        <v/>
      </c>
      <c r="AJ14" s="328">
        <f>IF(OR(Table2[[#This Row],[Member Type]]="Main Member",Table2[[#This Row],[Main Member Link ID]]=B13),1,0)</f>
        <v>1</v>
      </c>
      <c r="AK14" s="328">
        <f>IF(Table2[[#This Row],[Member Type]]=0,0,
IF(OR(Table2[[#This Row],[Member Type]]="Main Member",Table2[[#This Row],[Main Member Link ID]]&lt;&gt;B14),COUNTIFS(B:B,Table2[[#This Row],[Main Member Link ID]]),
COUNTIFS(B:B,Table2[[#This Row],[Main Member Link ID]],A:A,Table2[[#This Row],[Member Type]])))</f>
        <v>0</v>
      </c>
    </row>
    <row r="15" spans="1:37" x14ac:dyDescent="0.3">
      <c r="A15" s="284">
        <f>Table13[[#This Row],[Member Type]]</f>
        <v>0</v>
      </c>
      <c r="B15" s="284">
        <f>Table13[[#This Row],[Main Member Link ID]]</f>
        <v>0</v>
      </c>
      <c r="C15" s="284">
        <f>Table13[[#This Row],[ID Number]]</f>
        <v>0</v>
      </c>
      <c r="D15" s="285">
        <f>Table13[[#This Row],[Date Of Birth]]</f>
        <v>0</v>
      </c>
      <c r="E15" s="285">
        <f>Table13[[#This Row],[Commencement Date]]</f>
        <v>0</v>
      </c>
      <c r="F15" s="284">
        <f t="shared" si="0"/>
        <v>1</v>
      </c>
      <c r="G15" s="284">
        <f t="shared" si="4"/>
        <v>25</v>
      </c>
      <c r="H15" s="286">
        <f>Table13[[#This Row],[Product Option]]</f>
        <v>0</v>
      </c>
      <c r="I15" s="284">
        <f>IF(AND($A15="Main Member",Table2[[#This Row],[Product Option]]="My Value Plus Life"),"MM_LIFE",
IF(AND($A15="Spouse",Table2[[#This Row],[Product Option]]="My Value Plus Life"),"SP_LIFE",
IF(AND($A15="Main Member",Table2[[#This Row],[Product Option]]="My Value Plus Life &amp; Funeral"),"MM_LIFE",
IF(AND($A15="Spouse",Table2[[#This Row],[Product Option]]="My Value Plus Life &amp; Funeral"),_xlfn.XLOOKUP(Table2[[#This Row],[Benefit Name]],Lookups!$D$18:$D$23,Lookups!$E$18:$E$23,0),
0))))</f>
        <v>0</v>
      </c>
      <c r="J15" s="284">
        <f>IF($I15="","",
IF($I15="MM_LIFE",INDEX('Quotation Tool'!$S$54:$V$60,MATCH($T15,'Quotation Tool'!$S$54:$S$60,0),4),
IF($I15="SP_LIFE",_xlfn.XLOOKUP(B14,$B:$B,$J:$J,0),0)))</f>
        <v>0</v>
      </c>
      <c r="K15" s="287">
        <f t="shared" ca="1" si="5"/>
        <v>0</v>
      </c>
      <c r="L15" s="288">
        <f t="shared" ca="1" si="6"/>
        <v>0</v>
      </c>
      <c r="M15" s="289">
        <f t="shared" ca="1" si="1"/>
        <v>0</v>
      </c>
      <c r="N15" s="286">
        <f>Table13[[#This Row],[Benefit Option]]</f>
        <v>0</v>
      </c>
      <c r="O15" s="284">
        <f>IF(OR(Table2[[#This Row],[Member Type]]="Spouse",Table2[[#This Row],[Member Type]]="Child"),0,
IF(_xlfn.XLOOKUP($N15,Lookups!$D$13:$D$27,Lookups!$F$13:$F$27,0)=Table2[[#This Row],[Table Lookup for Life Cover]],0,
_xlfn.XLOOKUP($N15,Lookups!$D$13:$D$27,Lookups!$F$13:$F$27,0)))</f>
        <v>0</v>
      </c>
      <c r="P15" s="284">
        <f>IF(Table2[[#This Row],[Table Lookup for Funeral]]=0,0,IFERROR(INDEX('Quotation Tool'!$S$54:$V$60,MATCH($T15,'Quotation Tool'!$S$54:$S$60,0),3),0))</f>
        <v>0</v>
      </c>
      <c r="Q15" s="288">
        <f ca="1">IF(OR(Table2[[#This Row],[Benefit Name]]="My Value Plus Life - Main Member",Table2[[#This Row],[Benefit Name]]="My Value Plus Life - Spouse"),0,
IFERROR(VLOOKUP($G15,INDIRECT($O15),$P15,FALSE),0))</f>
        <v>0</v>
      </c>
      <c r="R15" s="288">
        <f ca="1">IF(OR(Table2[[#This Row],[Benefit Name]]="My Value Plus Life - Main Member",Table2[[#This Row],[Benefit Name]]="My Value Plus Life - Spouse"),0,
IFERROR(VLOOKUP($G15,INDIRECT($O15),$P15+1,FALSE),0))</f>
        <v>0</v>
      </c>
      <c r="S15" s="289">
        <f t="shared" ca="1" si="2"/>
        <v>0</v>
      </c>
      <c r="T15" s="284" t="str">
        <f>IF(Table13[[#This Row],[Premium Waiver]]="","None",Table13[[#This Row],[Premium Waiver]])</f>
        <v>None</v>
      </c>
      <c r="U15" s="284">
        <f>Table13[[#This Row],[VAPs Options]]</f>
        <v>0</v>
      </c>
      <c r="V15" s="284">
        <f>Table13[[#This Row],[Annual Increase Option]]</f>
        <v>0</v>
      </c>
      <c r="W15" s="290">
        <f>Table13[[#This Row],[Life Cover Amount]]</f>
        <v>0</v>
      </c>
      <c r="X15" s="290">
        <f>Table13[[#This Row],[Funeral Cover Amount]]</f>
        <v>0</v>
      </c>
      <c r="Y1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5" s="301">
        <f t="shared" ca="1" si="3"/>
        <v>0</v>
      </c>
      <c r="AB15" s="298"/>
      <c r="AC15" s="326" t="str">
        <f>IF(Table2[[#This Row],[Member Type]]="Main Member",Lookups!$C$13,
IF(Table2[[#This Row],[Member Type]]="Spouse",_xlfn.XLOOKUP(B15,Table2[Main Member Link ID],Table2[Product Option],0),
IF(AND(Table2[[#This Row],[Member Type]]="Child",_xlfn.XLOOKUP(B15,Table2[Main Member Link ID],Table2[Product Option],0)&lt;&gt;"My Value Plus Life"),Lookups!$C$24,
IF(AND(OR(Table2[[#This Row],[Member Type]]="Parent",Table2[[#This Row],[Member Type]]="Extended"),_xlfn.XLOOKUP(B15,Table2[Main Member Link ID],Table2[Product Option],0)&lt;&gt;"My Value Plus Life"),Lookups!$C$26,""))))</f>
        <v/>
      </c>
      <c r="AD15" s="326" t="str">
        <f>IF(Table2[[#This Row],[Member Type]]="Main Member",Lookups!$C$14,"")</f>
        <v/>
      </c>
      <c r="AE1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Funeral",_xlfn.XLOOKUP(B15,Table2[Main Member Link ID],Table2[Benefit Name],0)=Lookups!$D$14),"",
IF(AND(Table2[[#This Row],[Member Type]]="Spouse",Table2[[#This Row],[Product Option]]="My Value Plus Life &amp; Funeral",_xlfn.XLOOKUP(B14,Table2[Main Member Link ID],Table2[Benefit Name],0)=Lookups!$D$15),Lookups!$D$20,
IF(AND(Table2[[#This Row],[Member Type]]="Spouse",Table2[[#This Row],[Product Option]]="My Value Plus Life &amp; Funeral",_xlfn.XLOOKUP(B14,Table2[Main Member Link ID],Table2[Benefit Name],0)=Lookups!$D$16),"",
IF(AND(Table2[[#This Row],[Member Type]]="Spouse",Table2[[#This Row],[Product Option]]="My Value Plus Life &amp; Funeral",_xlfn.XLOOKUP(B14,Table2[Main Member Link ID],Table2[Benefit Name],0)=Lookups!$D$17),Lookups!$D$21,
IF(AND(Table2[[#This Row],[Member Type]]="Child",Table2[[#This Row],[Product Option]]="My Value Plus Life &amp; Funeral",_xlfn.XLOOKUP(B15,Table2[Main Member Link ID],Table2[Benefit Name],0)=Lookups!$D$14),"",
IF(AND(Table2[[#This Row],[Member Type]]="Child",Table2[[#This Row],[Product Option]]="My Value Plus Life &amp; Funeral",_xlfn.XLOOKUP(B15,Table2[Main Member Link ID],Table2[Benefit Name],0)=Lookups!$D$15),"",
IF(AND(Table2[[#This Row],[Member Type]]="Child",Table2[[#This Row],[Product Option]]="My Value Plus Life &amp; Funeral",_xlfn.XLOOKUP(B15,Table2[Main Member Link ID],Table2[Benefit Name],0)=Lookups!$D$16),Lookups!$D$24,
IF(AND(Table2[[#This Row],[Member Type]]="Child",Table2[[#This Row],[Product Option]]="My Value Plus Life &amp; Funeral",_xlfn.XLOOKUP(B15,Table2[Main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Funeral",_xlfn.XLOOKUP(B15,Table2[Main Member Link ID],Table2[Benefit Name],0)&lt;&gt;Lookups!$D$14),
IF(_xlfn.XLOOKUP(B15,Table2[Main Member Link ID],Table2[Benefit Name],0)=0,"",_xlfn.XLOOKUP(B15,Table2[Main Member Link ID],Table2[Benefit Name],0)),"")))))))))))))))</f>
        <v/>
      </c>
      <c r="AF15" s="327" t="str">
        <f>IF(AND(Table2[[#This Row],[Member Type]]="Main Member",Table2[[#This Row],[Product Option]]="My Value Plus Life &amp; Funeral"),Lookups!$D$15,
IF(AND(Table2[[#This Row],[Member Type]]="Spouse",Table2[[#This Row],[Product Option]]="My Value Plus Life &amp; Funeral",_xlfn.XLOOKUP(B15,Table2[Main Member Link ID],Table2[Benefit Name],0)=Lookups!$D$14),"",
IF(AND(Table2[[#This Row],[Member Type]]="Spouse",Table2[[#This Row],[Product Option]]="My Value Plus Life &amp; Funeral",_xlfn.XLOOKUP(B14,Table2[Main Member Link ID],Table2[Benefit Name],0)=Lookups!$D$16),"",
IF(AND(Table2[[#This Row],[Member Type]]="Spouse",Table2[[#This Row],[Product Option]]="My Value Plus Life &amp; Funeral",_xlfn.XLOOKUP(B14,Table2[Main Member Link ID],Table2[Benefit Name],0)=Lookups!$D$15),"",
IF(AND(Table2[[#This Row],[Member Type]]="Spouse",Table2[[#This Row],[Product Option]]="My Value Plus Life &amp; Funeral",_xlfn.XLOOKUP(B14,Table2[Main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Funeral",_xlfn.XLOOKUP(B15,Table2[Main Member Link ID],Table2[Benefit Name],0)&lt;&gt;Lookups!$D$15),
IF(_xlfn.XLOOKUP(B15,Table2[Main Member Link ID],Table2[Benefit Name],0)=0,"",_xlfn.XLOOKUP(B15,Table2[Main Member Link ID],Table2[Benefit Name],0)),"")
))))))</f>
        <v/>
      </c>
      <c r="AG15" s="327" t="str">
        <f>IF(AND(Table2[[#This Row],[Member Type]]="Main Member",Table2[[#This Row],[Product Option]]="My Value Plus Life &amp; Funeral"),Lookups!$D$16,
IF(AND(Table2[[#This Row],[Member Type]]="Spouse",Table2[[#This Row],[Product Option]]="My Value Plus Life &amp; Funeral",_xlfn.XLOOKUP(B15,Table2[Main Member Link ID],Table2[Benefit Name],0)=Lookups!$D$14),"",
IF(AND(Table2[[#This Row],[Member Type]]="Spouse",Table2[[#This Row],[Product Option]]="My Value Plus Life &amp; Funeral",_xlfn.XLOOKUP(B14,Table2[Main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Funeral",_xlfn.XLOOKUP(B15,Table2[Main Member Link ID],Table2[Benefit Name],0)&lt;&gt;Lookups!$D$16),
IF(_xlfn.XLOOKUP(B15,Table2[Main Member Link ID],Table2[Benefit Name],0)=0,"",_xlfn.XLOOKUP(B15,Table2[Main Member Link ID],Table2[Benefit Name],0)),"")
))))</f>
        <v/>
      </c>
      <c r="AH15" s="327" t="str">
        <f>IF(AND(Table2[[#This Row],[Member Type]]="Main Member",Table2[[#This Row],[Product Option]]="My Value Plus Life &amp; Funeral"),Lookups!$D$17,
IF(AND(Table2[[#This Row],[Member Type]]="Spouse",Table2[[#This Row],[Product Option]]="My Value Plus Life &amp; Funeral",_xlfn.XLOOKUP(B15,Table2[Main Member Link ID],Table2[Benefit Name],0)=Lookups!$D$14),"",
IF(AND(Table2[[#This Row],[Member Type]]="Spouse",Table2[[#This Row],[Product Option]]="My Value Plus Life &amp; Funeral",_xlfn.XLOOKUP(B14,Table2[Main Member Link ID],Table2[Benefit Name],0)=Lookups!$D$16),"",
IF(AND(Table2[[#This Row],[Member Type]]="Child",Table2[[#This Row],[Product Option]]="My Value Plus Life &amp; Funeral"),"",
IF(AND(Table2[[#This Row],[Member Type]]="Child",Table2[[#This Row],[Product Option]]="My Value Plus Life &amp; Funeral",_xlfn.XLOOKUP(B15,Table2[Main Member Link ID],Table2[Benefit Name],0)=Lookups!$D$15),"",
IF(AND(OR(Table2[[#This Row],[Member Type]]="Spouse",Table2[[#This Row],[Member Type]]="Child"),Table2[[#This Row],[Product Option]]="My Value Plus Life &amp; Funeral",_xlfn.XLOOKUP(B15,Table2[Main Member Link ID],Table2[Benefit Name],0)&lt;&gt;Lookups!$D$17),
IF(_xlfn.XLOOKUP(B15,Table2[Main Member Link ID],Table2[Benefit Name],0)=0,"",_xlfn.XLOOKUP(B15,Table2[Main Member Link ID],Table2[Benefit Name],0)),""))))))</f>
        <v/>
      </c>
      <c r="AI15" s="328" t="str">
        <f>IF(AND(Table2[[#This Row],[Member Type]]="Main Member",Table2[[#This Row],[Table Lookup for Life Cover]]="MM_LIFE",Table2[[#This Row],[Age Next Birthday]]&lt;56),1,
IF(AND(Table2[[#This Row],[Member Type]]="Main Member",Table2[[#This Row],[Table Lookup for Life Cover]]="MM_LIFE",Table2[[#This Row],[Age Next Birthday]]&gt;=56),2,
""))</f>
        <v/>
      </c>
      <c r="AJ15" s="328">
        <f>IF(OR(Table2[[#This Row],[Member Type]]="Main Member",Table2[[#This Row],[Main Member Link ID]]=B14),1,0)</f>
        <v>1</v>
      </c>
      <c r="AK15" s="328">
        <f>IF(Table2[[#This Row],[Member Type]]=0,0,
IF(OR(Table2[[#This Row],[Member Type]]="Main Member",Table2[[#This Row],[Main Member Link ID]]&lt;&gt;B15),COUNTIFS(B:B,Table2[[#This Row],[Main Member Link ID]]),
COUNTIFS(B:B,Table2[[#This Row],[Main Member Link ID]],A:A,Table2[[#This Row],[Member Type]])))</f>
        <v>0</v>
      </c>
    </row>
    <row r="16" spans="1:37" x14ac:dyDescent="0.3">
      <c r="A16" s="284">
        <f>Table13[[#This Row],[Member Type]]</f>
        <v>0</v>
      </c>
      <c r="B16" s="284">
        <f>Table13[[#This Row],[Main Member Link ID]]</f>
        <v>0</v>
      </c>
      <c r="C16" s="284">
        <f>Table13[[#This Row],[ID Number]]</f>
        <v>0</v>
      </c>
      <c r="D16" s="285">
        <f>Table13[[#This Row],[Date Of Birth]]</f>
        <v>0</v>
      </c>
      <c r="E16" s="285">
        <f>Table13[[#This Row],[Commencement Date]]</f>
        <v>0</v>
      </c>
      <c r="F16" s="284">
        <f t="shared" si="0"/>
        <v>1</v>
      </c>
      <c r="G16" s="284">
        <f t="shared" si="4"/>
        <v>25</v>
      </c>
      <c r="H16" s="286">
        <f>Table13[[#This Row],[Product Option]]</f>
        <v>0</v>
      </c>
      <c r="I16" s="284">
        <f>IF(AND($A16="Main Member",Table2[[#This Row],[Product Option]]="My Value Plus Life"),"MM_LIFE",
IF(AND($A16="Spouse",Table2[[#This Row],[Product Option]]="My Value Plus Life"),"SP_LIFE",
IF(AND($A16="Main Member",Table2[[#This Row],[Product Option]]="My Value Plus Life &amp; Funeral"),"MM_LIFE",
IF(AND($A16="Spouse",Table2[[#This Row],[Product Option]]="My Value Plus Life &amp; Funeral"),_xlfn.XLOOKUP(Table2[[#This Row],[Benefit Name]],Lookups!$D$18:$D$23,Lookups!$E$18:$E$23,0),
0))))</f>
        <v>0</v>
      </c>
      <c r="J16" s="284">
        <f>IF($I16="","",
IF($I16="MM_LIFE",INDEX('Quotation Tool'!$S$54:$V$60,MATCH($T16,'Quotation Tool'!$S$54:$S$60,0),4),
IF($I16="SP_LIFE",_xlfn.XLOOKUP(B15,$B:$B,$J:$J,0),0)))</f>
        <v>0</v>
      </c>
      <c r="K16" s="287">
        <f t="shared" ca="1" si="5"/>
        <v>0</v>
      </c>
      <c r="L16" s="288">
        <f t="shared" ca="1" si="6"/>
        <v>0</v>
      </c>
      <c r="M16" s="289">
        <f t="shared" ca="1" si="1"/>
        <v>0</v>
      </c>
      <c r="N16" s="286">
        <f>Table13[[#This Row],[Benefit Option]]</f>
        <v>0</v>
      </c>
      <c r="O16" s="284">
        <f>IF(OR(Table2[[#This Row],[Member Type]]="Spouse",Table2[[#This Row],[Member Type]]="Child"),0,
IF(_xlfn.XLOOKUP($N16,Lookups!$D$13:$D$27,Lookups!$F$13:$F$27,0)=Table2[[#This Row],[Table Lookup for Life Cover]],0,
_xlfn.XLOOKUP($N16,Lookups!$D$13:$D$27,Lookups!$F$13:$F$27,0)))</f>
        <v>0</v>
      </c>
      <c r="P16" s="284">
        <f>IF(Table2[[#This Row],[Table Lookup for Funeral]]=0,0,IFERROR(INDEX('Quotation Tool'!$S$54:$V$60,MATCH($T16,'Quotation Tool'!$S$54:$S$60,0),3),0))</f>
        <v>0</v>
      </c>
      <c r="Q16" s="288">
        <f ca="1">IF(OR(Table2[[#This Row],[Benefit Name]]="My Value Plus Life - Main Member",Table2[[#This Row],[Benefit Name]]="My Value Plus Life - Spouse"),0,
IFERROR(VLOOKUP($G16,INDIRECT($O16),$P16,FALSE),0))</f>
        <v>0</v>
      </c>
      <c r="R16" s="288">
        <f ca="1">IF(OR(Table2[[#This Row],[Benefit Name]]="My Value Plus Life - Main Member",Table2[[#This Row],[Benefit Name]]="My Value Plus Life - Spouse"),0,
IFERROR(VLOOKUP($G16,INDIRECT($O16),$P16+1,FALSE),0))</f>
        <v>0</v>
      </c>
      <c r="S16" s="289">
        <f t="shared" ca="1" si="2"/>
        <v>0</v>
      </c>
      <c r="T16" s="284" t="str">
        <f>IF(Table13[[#This Row],[Premium Waiver]]="","None",Table13[[#This Row],[Premium Waiver]])</f>
        <v>None</v>
      </c>
      <c r="U16" s="284">
        <f>Table13[[#This Row],[VAPs Options]]</f>
        <v>0</v>
      </c>
      <c r="V16" s="284">
        <f>Table13[[#This Row],[Annual Increase Option]]</f>
        <v>0</v>
      </c>
      <c r="W16" s="290">
        <f>Table13[[#This Row],[Life Cover Amount]]</f>
        <v>0</v>
      </c>
      <c r="X16" s="290">
        <f>Table13[[#This Row],[Funeral Cover Amount]]</f>
        <v>0</v>
      </c>
      <c r="Y1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6" s="301">
        <f t="shared" ca="1" si="3"/>
        <v>0</v>
      </c>
      <c r="AB16" s="298"/>
      <c r="AC16" s="326" t="str">
        <f>IF(Table2[[#This Row],[Member Type]]="Main Member",Lookups!$C$13,
IF(Table2[[#This Row],[Member Type]]="Spouse",_xlfn.XLOOKUP(B16,Table2[Main Member Link ID],Table2[Product Option],0),
IF(AND(Table2[[#This Row],[Member Type]]="Child",_xlfn.XLOOKUP(B16,Table2[Main Member Link ID],Table2[Product Option],0)&lt;&gt;"My Value Plus Life"),Lookups!$C$24,
IF(AND(OR(Table2[[#This Row],[Member Type]]="Parent",Table2[[#This Row],[Member Type]]="Extended"),_xlfn.XLOOKUP(B16,Table2[Main Member Link ID],Table2[Product Option],0)&lt;&gt;"My Value Plus Life"),Lookups!$C$26,""))))</f>
        <v/>
      </c>
      <c r="AD16" s="326" t="str">
        <f>IF(Table2[[#This Row],[Member Type]]="Main Member",Lookups!$C$14,"")</f>
        <v/>
      </c>
      <c r="AE1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Funeral",_xlfn.XLOOKUP(B16,Table2[Main Member Link ID],Table2[Benefit Name],0)=Lookups!$D$14),"",
IF(AND(Table2[[#This Row],[Member Type]]="Spouse",Table2[[#This Row],[Product Option]]="My Value Plus Life &amp; Funeral",_xlfn.XLOOKUP(B15,Table2[Main Member Link ID],Table2[Benefit Name],0)=Lookups!$D$15),Lookups!$D$20,
IF(AND(Table2[[#This Row],[Member Type]]="Spouse",Table2[[#This Row],[Product Option]]="My Value Plus Life &amp; Funeral",_xlfn.XLOOKUP(B15,Table2[Main Member Link ID],Table2[Benefit Name],0)=Lookups!$D$16),"",
IF(AND(Table2[[#This Row],[Member Type]]="Spouse",Table2[[#This Row],[Product Option]]="My Value Plus Life &amp; Funeral",_xlfn.XLOOKUP(B15,Table2[Main Member Link ID],Table2[Benefit Name],0)=Lookups!$D$17),Lookups!$D$21,
IF(AND(Table2[[#This Row],[Member Type]]="Child",Table2[[#This Row],[Product Option]]="My Value Plus Life &amp; Funeral",_xlfn.XLOOKUP(B16,Table2[Main Member Link ID],Table2[Benefit Name],0)=Lookups!$D$14),"",
IF(AND(Table2[[#This Row],[Member Type]]="Child",Table2[[#This Row],[Product Option]]="My Value Plus Life &amp; Funeral",_xlfn.XLOOKUP(B16,Table2[Main Member Link ID],Table2[Benefit Name],0)=Lookups!$D$15),"",
IF(AND(Table2[[#This Row],[Member Type]]="Child",Table2[[#This Row],[Product Option]]="My Value Plus Life &amp; Funeral",_xlfn.XLOOKUP(B16,Table2[Main Member Link ID],Table2[Benefit Name],0)=Lookups!$D$16),Lookups!$D$24,
IF(AND(Table2[[#This Row],[Member Type]]="Child",Table2[[#This Row],[Product Option]]="My Value Plus Life &amp; Funeral",_xlfn.XLOOKUP(B16,Table2[Main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Funeral",_xlfn.XLOOKUP(B16,Table2[Main Member Link ID],Table2[Benefit Name],0)&lt;&gt;Lookups!$D$14),
IF(_xlfn.XLOOKUP(B16,Table2[Main Member Link ID],Table2[Benefit Name],0)=0,"",_xlfn.XLOOKUP(B16,Table2[Main Member Link ID],Table2[Benefit Name],0)),"")))))))))))))))</f>
        <v/>
      </c>
      <c r="AF16" s="327" t="str">
        <f>IF(AND(Table2[[#This Row],[Member Type]]="Main Member",Table2[[#This Row],[Product Option]]="My Value Plus Life &amp; Funeral"),Lookups!$D$15,
IF(AND(Table2[[#This Row],[Member Type]]="Spouse",Table2[[#This Row],[Product Option]]="My Value Plus Life &amp; Funeral",_xlfn.XLOOKUP(B16,Table2[Main Member Link ID],Table2[Benefit Name],0)=Lookups!$D$14),"",
IF(AND(Table2[[#This Row],[Member Type]]="Spouse",Table2[[#This Row],[Product Option]]="My Value Plus Life &amp; Funeral",_xlfn.XLOOKUP(B15,Table2[Main Member Link ID],Table2[Benefit Name],0)=Lookups!$D$16),"",
IF(AND(Table2[[#This Row],[Member Type]]="Spouse",Table2[[#This Row],[Product Option]]="My Value Plus Life &amp; Funeral",_xlfn.XLOOKUP(B15,Table2[Main Member Link ID],Table2[Benefit Name],0)=Lookups!$D$15),"",
IF(AND(Table2[[#This Row],[Member Type]]="Spouse",Table2[[#This Row],[Product Option]]="My Value Plus Life &amp; Funeral",_xlfn.XLOOKUP(B15,Table2[Main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Funeral",_xlfn.XLOOKUP(B16,Table2[Main Member Link ID],Table2[Benefit Name],0)&lt;&gt;Lookups!$D$15),
IF(_xlfn.XLOOKUP(B16,Table2[Main Member Link ID],Table2[Benefit Name],0)=0,"",_xlfn.XLOOKUP(B16,Table2[Main Member Link ID],Table2[Benefit Name],0)),"")
))))))</f>
        <v/>
      </c>
      <c r="AG16" s="327" t="str">
        <f>IF(AND(Table2[[#This Row],[Member Type]]="Main Member",Table2[[#This Row],[Product Option]]="My Value Plus Life &amp; Funeral"),Lookups!$D$16,
IF(AND(Table2[[#This Row],[Member Type]]="Spouse",Table2[[#This Row],[Product Option]]="My Value Plus Life &amp; Funeral",_xlfn.XLOOKUP(B16,Table2[Main Member Link ID],Table2[Benefit Name],0)=Lookups!$D$14),"",
IF(AND(Table2[[#This Row],[Member Type]]="Spouse",Table2[[#This Row],[Product Option]]="My Value Plus Life &amp; Funeral",_xlfn.XLOOKUP(B15,Table2[Main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Funeral",_xlfn.XLOOKUP(B16,Table2[Main Member Link ID],Table2[Benefit Name],0)&lt;&gt;Lookups!$D$16),
IF(_xlfn.XLOOKUP(B16,Table2[Main Member Link ID],Table2[Benefit Name],0)=0,"",_xlfn.XLOOKUP(B16,Table2[Main Member Link ID],Table2[Benefit Name],0)),"")
))))</f>
        <v/>
      </c>
      <c r="AH16" s="327" t="str">
        <f>IF(AND(Table2[[#This Row],[Member Type]]="Main Member",Table2[[#This Row],[Product Option]]="My Value Plus Life &amp; Funeral"),Lookups!$D$17,
IF(AND(Table2[[#This Row],[Member Type]]="Spouse",Table2[[#This Row],[Product Option]]="My Value Plus Life &amp; Funeral",_xlfn.XLOOKUP(B16,Table2[Main Member Link ID],Table2[Benefit Name],0)=Lookups!$D$14),"",
IF(AND(Table2[[#This Row],[Member Type]]="Spouse",Table2[[#This Row],[Product Option]]="My Value Plus Life &amp; Funeral",_xlfn.XLOOKUP(B15,Table2[Main Member Link ID],Table2[Benefit Name],0)=Lookups!$D$16),"",
IF(AND(Table2[[#This Row],[Member Type]]="Child",Table2[[#This Row],[Product Option]]="My Value Plus Life &amp; Funeral"),"",
IF(AND(Table2[[#This Row],[Member Type]]="Child",Table2[[#This Row],[Product Option]]="My Value Plus Life &amp; Funeral",_xlfn.XLOOKUP(B16,Table2[Main Member Link ID],Table2[Benefit Name],0)=Lookups!$D$15),"",
IF(AND(OR(Table2[[#This Row],[Member Type]]="Spouse",Table2[[#This Row],[Member Type]]="Child"),Table2[[#This Row],[Product Option]]="My Value Plus Life &amp; Funeral",_xlfn.XLOOKUP(B16,Table2[Main Member Link ID],Table2[Benefit Name],0)&lt;&gt;Lookups!$D$17),
IF(_xlfn.XLOOKUP(B16,Table2[Main Member Link ID],Table2[Benefit Name],0)=0,"",_xlfn.XLOOKUP(B16,Table2[Main Member Link ID],Table2[Benefit Name],0)),""))))))</f>
        <v/>
      </c>
      <c r="AI16" s="328" t="str">
        <f>IF(AND(Table2[[#This Row],[Member Type]]="Main Member",Table2[[#This Row],[Table Lookup for Life Cover]]="MM_LIFE",Table2[[#This Row],[Age Next Birthday]]&lt;56),1,
IF(AND(Table2[[#This Row],[Member Type]]="Main Member",Table2[[#This Row],[Table Lookup for Life Cover]]="MM_LIFE",Table2[[#This Row],[Age Next Birthday]]&gt;=56),2,
""))</f>
        <v/>
      </c>
      <c r="AJ16" s="328">
        <f>IF(OR(Table2[[#This Row],[Member Type]]="Main Member",Table2[[#This Row],[Main Member Link ID]]=B15),1,0)</f>
        <v>1</v>
      </c>
      <c r="AK16" s="328">
        <f>IF(Table2[[#This Row],[Member Type]]=0,0,
IF(OR(Table2[[#This Row],[Member Type]]="Main Member",Table2[[#This Row],[Main Member Link ID]]&lt;&gt;B16),COUNTIFS(B:B,Table2[[#This Row],[Main Member Link ID]]),
COUNTIFS(B:B,Table2[[#This Row],[Main Member Link ID]],A:A,Table2[[#This Row],[Member Type]])))</f>
        <v>0</v>
      </c>
    </row>
    <row r="17" spans="1:37" x14ac:dyDescent="0.3">
      <c r="A17" s="284">
        <f>Table13[[#This Row],[Member Type]]</f>
        <v>0</v>
      </c>
      <c r="B17" s="284">
        <f>Table13[[#This Row],[Main Member Link ID]]</f>
        <v>0</v>
      </c>
      <c r="C17" s="284">
        <f>Table13[[#This Row],[ID Number]]</f>
        <v>0</v>
      </c>
      <c r="D17" s="285">
        <f>Table13[[#This Row],[Date Of Birth]]</f>
        <v>0</v>
      </c>
      <c r="E17" s="285">
        <f>Table13[[#This Row],[Commencement Date]]</f>
        <v>0</v>
      </c>
      <c r="F17" s="284">
        <f t="shared" si="0"/>
        <v>1</v>
      </c>
      <c r="G17" s="284">
        <f t="shared" si="4"/>
        <v>25</v>
      </c>
      <c r="H17" s="286">
        <f>Table13[[#This Row],[Product Option]]</f>
        <v>0</v>
      </c>
      <c r="I17" s="284">
        <f>IF(AND($A17="Main Member",Table2[[#This Row],[Product Option]]="My Value Plus Life"),"MM_LIFE",
IF(AND($A17="Spouse",Table2[[#This Row],[Product Option]]="My Value Plus Life"),"SP_LIFE",
IF(AND($A17="Main Member",Table2[[#This Row],[Product Option]]="My Value Plus Life &amp; Funeral"),"MM_LIFE",
IF(AND($A17="Spouse",Table2[[#This Row],[Product Option]]="My Value Plus Life &amp; Funeral"),_xlfn.XLOOKUP(Table2[[#This Row],[Benefit Name]],Lookups!$D$18:$D$23,Lookups!$E$18:$E$23,0),
0))))</f>
        <v>0</v>
      </c>
      <c r="J17" s="284">
        <f>IF($I17="","",
IF($I17="MM_LIFE",INDEX('Quotation Tool'!$S$54:$V$60,MATCH($T17,'Quotation Tool'!$S$54:$S$60,0),4),
IF($I17="SP_LIFE",_xlfn.XLOOKUP(B16,$B:$B,$J:$J,0),0)))</f>
        <v>0</v>
      </c>
      <c r="K17" s="287">
        <f t="shared" ca="1" si="5"/>
        <v>0</v>
      </c>
      <c r="L17" s="288">
        <f t="shared" ca="1" si="6"/>
        <v>0</v>
      </c>
      <c r="M17" s="289">
        <f t="shared" ca="1" si="1"/>
        <v>0</v>
      </c>
      <c r="N17" s="286">
        <f>Table13[[#This Row],[Benefit Option]]</f>
        <v>0</v>
      </c>
      <c r="O17" s="284">
        <f>IF(OR(Table2[[#This Row],[Member Type]]="Spouse",Table2[[#This Row],[Member Type]]="Child"),0,
IF(_xlfn.XLOOKUP($N17,Lookups!$D$13:$D$27,Lookups!$F$13:$F$27,0)=Table2[[#This Row],[Table Lookup for Life Cover]],0,
_xlfn.XLOOKUP($N17,Lookups!$D$13:$D$27,Lookups!$F$13:$F$27,0)))</f>
        <v>0</v>
      </c>
      <c r="P17" s="284">
        <f>IF(Table2[[#This Row],[Table Lookup for Funeral]]=0,0,IFERROR(INDEX('Quotation Tool'!$S$54:$V$60,MATCH($T17,'Quotation Tool'!$S$54:$S$60,0),3),0))</f>
        <v>0</v>
      </c>
      <c r="Q17" s="288">
        <f ca="1">IF(OR(Table2[[#This Row],[Benefit Name]]="My Value Plus Life - Main Member",Table2[[#This Row],[Benefit Name]]="My Value Plus Life - Spouse"),0,
IFERROR(VLOOKUP($G17,INDIRECT($O17),$P17,FALSE),0))</f>
        <v>0</v>
      </c>
      <c r="R17" s="288">
        <f ca="1">IF(OR(Table2[[#This Row],[Benefit Name]]="My Value Plus Life - Main Member",Table2[[#This Row],[Benefit Name]]="My Value Plus Life - Spouse"),0,
IFERROR(VLOOKUP($G17,INDIRECT($O17),$P17+1,FALSE),0))</f>
        <v>0</v>
      </c>
      <c r="S17" s="289">
        <f t="shared" ca="1" si="2"/>
        <v>0</v>
      </c>
      <c r="T17" s="284" t="str">
        <f>IF(Table13[[#This Row],[Premium Waiver]]="","None",Table13[[#This Row],[Premium Waiver]])</f>
        <v>None</v>
      </c>
      <c r="U17" s="284">
        <f>Table13[[#This Row],[VAPs Options]]</f>
        <v>0</v>
      </c>
      <c r="V17" s="284">
        <f>Table13[[#This Row],[Annual Increase Option]]</f>
        <v>0</v>
      </c>
      <c r="W17" s="290">
        <f>Table13[[#This Row],[Life Cover Amount]]</f>
        <v>0</v>
      </c>
      <c r="X17" s="290">
        <f>Table13[[#This Row],[Funeral Cover Amount]]</f>
        <v>0</v>
      </c>
      <c r="Y1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7" s="301">
        <f t="shared" ca="1" si="3"/>
        <v>0</v>
      </c>
      <c r="AB17" s="298"/>
      <c r="AC17" s="326" t="str">
        <f>IF(Table2[[#This Row],[Member Type]]="Main Member",Lookups!$C$13,
IF(Table2[[#This Row],[Member Type]]="Spouse",_xlfn.XLOOKUP(B17,Table2[Main Member Link ID],Table2[Product Option],0),
IF(AND(Table2[[#This Row],[Member Type]]="Child",_xlfn.XLOOKUP(B17,Table2[Main Member Link ID],Table2[Product Option],0)&lt;&gt;"My Value Plus Life"),Lookups!$C$24,
IF(AND(OR(Table2[[#This Row],[Member Type]]="Parent",Table2[[#This Row],[Member Type]]="Extended"),_xlfn.XLOOKUP(B17,Table2[Main Member Link ID],Table2[Product Option],0)&lt;&gt;"My Value Plus Life"),Lookups!$C$26,""))))</f>
        <v/>
      </c>
      <c r="AD17" s="326" t="str">
        <f>IF(Table2[[#This Row],[Member Type]]="Main Member",Lookups!$C$14,"")</f>
        <v/>
      </c>
      <c r="AE1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Funeral",_xlfn.XLOOKUP(B17,Table2[Main Member Link ID],Table2[Benefit Name],0)=Lookups!$D$14),"",
IF(AND(Table2[[#This Row],[Member Type]]="Spouse",Table2[[#This Row],[Product Option]]="My Value Plus Life &amp; Funeral",_xlfn.XLOOKUP(B16,Table2[Main Member Link ID],Table2[Benefit Name],0)=Lookups!$D$15),Lookups!$D$20,
IF(AND(Table2[[#This Row],[Member Type]]="Spouse",Table2[[#This Row],[Product Option]]="My Value Plus Life &amp; Funeral",_xlfn.XLOOKUP(B16,Table2[Main Member Link ID],Table2[Benefit Name],0)=Lookups!$D$16),"",
IF(AND(Table2[[#This Row],[Member Type]]="Spouse",Table2[[#This Row],[Product Option]]="My Value Plus Life &amp; Funeral",_xlfn.XLOOKUP(B16,Table2[Main Member Link ID],Table2[Benefit Name],0)=Lookups!$D$17),Lookups!$D$21,
IF(AND(Table2[[#This Row],[Member Type]]="Child",Table2[[#This Row],[Product Option]]="My Value Plus Life &amp; Funeral",_xlfn.XLOOKUP(B17,Table2[Main Member Link ID],Table2[Benefit Name],0)=Lookups!$D$14),"",
IF(AND(Table2[[#This Row],[Member Type]]="Child",Table2[[#This Row],[Product Option]]="My Value Plus Life &amp; Funeral",_xlfn.XLOOKUP(B17,Table2[Main Member Link ID],Table2[Benefit Name],0)=Lookups!$D$15),"",
IF(AND(Table2[[#This Row],[Member Type]]="Child",Table2[[#This Row],[Product Option]]="My Value Plus Life &amp; Funeral",_xlfn.XLOOKUP(B17,Table2[Main Member Link ID],Table2[Benefit Name],0)=Lookups!$D$16),Lookups!$D$24,
IF(AND(Table2[[#This Row],[Member Type]]="Child",Table2[[#This Row],[Product Option]]="My Value Plus Life &amp; Funeral",_xlfn.XLOOKUP(B17,Table2[Main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Funeral",_xlfn.XLOOKUP(B17,Table2[Main Member Link ID],Table2[Benefit Name],0)&lt;&gt;Lookups!$D$14),
IF(_xlfn.XLOOKUP(B17,Table2[Main Member Link ID],Table2[Benefit Name],0)=0,"",_xlfn.XLOOKUP(B17,Table2[Main Member Link ID],Table2[Benefit Name],0)),"")))))))))))))))</f>
        <v/>
      </c>
      <c r="AF17" s="327" t="str">
        <f>IF(AND(Table2[[#This Row],[Member Type]]="Main Member",Table2[[#This Row],[Product Option]]="My Value Plus Life &amp; Funeral"),Lookups!$D$15,
IF(AND(Table2[[#This Row],[Member Type]]="Spouse",Table2[[#This Row],[Product Option]]="My Value Plus Life &amp; Funeral",_xlfn.XLOOKUP(B17,Table2[Main Member Link ID],Table2[Benefit Name],0)=Lookups!$D$14),"",
IF(AND(Table2[[#This Row],[Member Type]]="Spouse",Table2[[#This Row],[Product Option]]="My Value Plus Life &amp; Funeral",_xlfn.XLOOKUP(B16,Table2[Main Member Link ID],Table2[Benefit Name],0)=Lookups!$D$16),"",
IF(AND(Table2[[#This Row],[Member Type]]="Spouse",Table2[[#This Row],[Product Option]]="My Value Plus Life &amp; Funeral",_xlfn.XLOOKUP(B16,Table2[Main Member Link ID],Table2[Benefit Name],0)=Lookups!$D$15),"",
IF(AND(Table2[[#This Row],[Member Type]]="Spouse",Table2[[#This Row],[Product Option]]="My Value Plus Life &amp; Funeral",_xlfn.XLOOKUP(B16,Table2[Main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Funeral",_xlfn.XLOOKUP(B17,Table2[Main Member Link ID],Table2[Benefit Name],0)&lt;&gt;Lookups!$D$15),
IF(_xlfn.XLOOKUP(B17,Table2[Main Member Link ID],Table2[Benefit Name],0)=0,"",_xlfn.XLOOKUP(B17,Table2[Main Member Link ID],Table2[Benefit Name],0)),"")
))))))</f>
        <v/>
      </c>
      <c r="AG17" s="327" t="str">
        <f>IF(AND(Table2[[#This Row],[Member Type]]="Main Member",Table2[[#This Row],[Product Option]]="My Value Plus Life &amp; Funeral"),Lookups!$D$16,
IF(AND(Table2[[#This Row],[Member Type]]="Spouse",Table2[[#This Row],[Product Option]]="My Value Plus Life &amp; Funeral",_xlfn.XLOOKUP(B17,Table2[Main Member Link ID],Table2[Benefit Name],0)=Lookups!$D$14),"",
IF(AND(Table2[[#This Row],[Member Type]]="Spouse",Table2[[#This Row],[Product Option]]="My Value Plus Life &amp; Funeral",_xlfn.XLOOKUP(B16,Table2[Main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Funeral",_xlfn.XLOOKUP(B17,Table2[Main Member Link ID],Table2[Benefit Name],0)&lt;&gt;Lookups!$D$16),
IF(_xlfn.XLOOKUP(B17,Table2[Main Member Link ID],Table2[Benefit Name],0)=0,"",_xlfn.XLOOKUP(B17,Table2[Main Member Link ID],Table2[Benefit Name],0)),"")
))))</f>
        <v/>
      </c>
      <c r="AH17" s="327" t="str">
        <f>IF(AND(Table2[[#This Row],[Member Type]]="Main Member",Table2[[#This Row],[Product Option]]="My Value Plus Life &amp; Funeral"),Lookups!$D$17,
IF(AND(Table2[[#This Row],[Member Type]]="Spouse",Table2[[#This Row],[Product Option]]="My Value Plus Life &amp; Funeral",_xlfn.XLOOKUP(B17,Table2[Main Member Link ID],Table2[Benefit Name],0)=Lookups!$D$14),"",
IF(AND(Table2[[#This Row],[Member Type]]="Spouse",Table2[[#This Row],[Product Option]]="My Value Plus Life &amp; Funeral",_xlfn.XLOOKUP(B16,Table2[Main Member Link ID],Table2[Benefit Name],0)=Lookups!$D$16),"",
IF(AND(Table2[[#This Row],[Member Type]]="Child",Table2[[#This Row],[Product Option]]="My Value Plus Life &amp; Funeral"),"",
IF(AND(Table2[[#This Row],[Member Type]]="Child",Table2[[#This Row],[Product Option]]="My Value Plus Life &amp; Funeral",_xlfn.XLOOKUP(B17,Table2[Main Member Link ID],Table2[Benefit Name],0)=Lookups!$D$15),"",
IF(AND(OR(Table2[[#This Row],[Member Type]]="Spouse",Table2[[#This Row],[Member Type]]="Child"),Table2[[#This Row],[Product Option]]="My Value Plus Life &amp; Funeral",_xlfn.XLOOKUP(B17,Table2[Main Member Link ID],Table2[Benefit Name],0)&lt;&gt;Lookups!$D$17),
IF(_xlfn.XLOOKUP(B17,Table2[Main Member Link ID],Table2[Benefit Name],0)=0,"",_xlfn.XLOOKUP(B17,Table2[Main Member Link ID],Table2[Benefit Name],0)),""))))))</f>
        <v/>
      </c>
      <c r="AI17" s="328" t="str">
        <f>IF(AND(Table2[[#This Row],[Member Type]]="Main Member",Table2[[#This Row],[Table Lookup for Life Cover]]="MM_LIFE",Table2[[#This Row],[Age Next Birthday]]&lt;56),1,
IF(AND(Table2[[#This Row],[Member Type]]="Main Member",Table2[[#This Row],[Table Lookup for Life Cover]]="MM_LIFE",Table2[[#This Row],[Age Next Birthday]]&gt;=56),2,
""))</f>
        <v/>
      </c>
      <c r="AJ17" s="328">
        <f>IF(OR(Table2[[#This Row],[Member Type]]="Main Member",Table2[[#This Row],[Main Member Link ID]]=B16),1,0)</f>
        <v>1</v>
      </c>
      <c r="AK17" s="328">
        <f>IF(Table2[[#This Row],[Member Type]]=0,0,
IF(OR(Table2[[#This Row],[Member Type]]="Main Member",Table2[[#This Row],[Main Member Link ID]]&lt;&gt;B17),COUNTIFS(B:B,Table2[[#This Row],[Main Member Link ID]]),
COUNTIFS(B:B,Table2[[#This Row],[Main Member Link ID]],A:A,Table2[[#This Row],[Member Type]])))</f>
        <v>0</v>
      </c>
    </row>
    <row r="18" spans="1:37" x14ac:dyDescent="0.3">
      <c r="A18" s="284">
        <f>Table13[[#This Row],[Member Type]]</f>
        <v>0</v>
      </c>
      <c r="B18" s="284">
        <f>Table13[[#This Row],[Main Member Link ID]]</f>
        <v>0</v>
      </c>
      <c r="C18" s="284">
        <f>Table13[[#This Row],[ID Number]]</f>
        <v>0</v>
      </c>
      <c r="D18" s="285">
        <f>Table13[[#This Row],[Date Of Birth]]</f>
        <v>0</v>
      </c>
      <c r="E18" s="285">
        <f>Table13[[#This Row],[Commencement Date]]</f>
        <v>0</v>
      </c>
      <c r="F18" s="284">
        <f t="shared" si="0"/>
        <v>1</v>
      </c>
      <c r="G18" s="284">
        <f t="shared" si="4"/>
        <v>25</v>
      </c>
      <c r="H18" s="286">
        <f>Table13[[#This Row],[Product Option]]</f>
        <v>0</v>
      </c>
      <c r="I18" s="284">
        <f>IF(AND($A18="Main Member",Table2[[#This Row],[Product Option]]="My Value Plus Life"),"MM_LIFE",
IF(AND($A18="Spouse",Table2[[#This Row],[Product Option]]="My Value Plus Life"),"SP_LIFE",
IF(AND($A18="Main Member",Table2[[#This Row],[Product Option]]="My Value Plus Life &amp; Funeral"),"MM_LIFE",
IF(AND($A18="Spouse",Table2[[#This Row],[Product Option]]="My Value Plus Life &amp; Funeral"),_xlfn.XLOOKUP(Table2[[#This Row],[Benefit Name]],Lookups!$D$18:$D$23,Lookups!$E$18:$E$23,0),
0))))</f>
        <v>0</v>
      </c>
      <c r="J18" s="284">
        <f>IF($I18="","",
IF($I18="MM_LIFE",INDEX('Quotation Tool'!$S$54:$V$60,MATCH($T18,'Quotation Tool'!$S$54:$S$60,0),4),
IF($I18="SP_LIFE",_xlfn.XLOOKUP(B17,$B:$B,$J:$J,0),0)))</f>
        <v>0</v>
      </c>
      <c r="K18" s="287">
        <f t="shared" ca="1" si="5"/>
        <v>0</v>
      </c>
      <c r="L18" s="288">
        <f t="shared" ca="1" si="6"/>
        <v>0</v>
      </c>
      <c r="M18" s="289">
        <f t="shared" ca="1" si="1"/>
        <v>0</v>
      </c>
      <c r="N18" s="286">
        <f>Table13[[#This Row],[Benefit Option]]</f>
        <v>0</v>
      </c>
      <c r="O18" s="284">
        <f>IF(OR(Table2[[#This Row],[Member Type]]="Spouse",Table2[[#This Row],[Member Type]]="Child"),0,
IF(_xlfn.XLOOKUP($N18,Lookups!$D$13:$D$27,Lookups!$F$13:$F$27,0)=Table2[[#This Row],[Table Lookup for Life Cover]],0,
_xlfn.XLOOKUP($N18,Lookups!$D$13:$D$27,Lookups!$F$13:$F$27,0)))</f>
        <v>0</v>
      </c>
      <c r="P18" s="284">
        <f>IF(Table2[[#This Row],[Table Lookup for Funeral]]=0,0,IFERROR(INDEX('Quotation Tool'!$S$54:$V$60,MATCH($T18,'Quotation Tool'!$S$54:$S$60,0),3),0))</f>
        <v>0</v>
      </c>
      <c r="Q18" s="288">
        <f ca="1">IF(OR(Table2[[#This Row],[Benefit Name]]="My Value Plus Life - Main Member",Table2[[#This Row],[Benefit Name]]="My Value Plus Life - Spouse"),0,
IFERROR(VLOOKUP($G18,INDIRECT($O18),$P18,FALSE),0))</f>
        <v>0</v>
      </c>
      <c r="R18" s="288">
        <f ca="1">IF(OR(Table2[[#This Row],[Benefit Name]]="My Value Plus Life - Main Member",Table2[[#This Row],[Benefit Name]]="My Value Plus Life - Spouse"),0,
IFERROR(VLOOKUP($G18,INDIRECT($O18),$P18+1,FALSE),0))</f>
        <v>0</v>
      </c>
      <c r="S18" s="289">
        <f t="shared" ca="1" si="2"/>
        <v>0</v>
      </c>
      <c r="T18" s="284" t="str">
        <f>IF(Table13[[#This Row],[Premium Waiver]]="","None",Table13[[#This Row],[Premium Waiver]])</f>
        <v>None</v>
      </c>
      <c r="U18" s="284">
        <f>Table13[[#This Row],[VAPs Options]]</f>
        <v>0</v>
      </c>
      <c r="V18" s="284">
        <f>Table13[[#This Row],[Annual Increase Option]]</f>
        <v>0</v>
      </c>
      <c r="W18" s="290">
        <f>Table13[[#This Row],[Life Cover Amount]]</f>
        <v>0</v>
      </c>
      <c r="X18" s="290">
        <f>Table13[[#This Row],[Funeral Cover Amount]]</f>
        <v>0</v>
      </c>
      <c r="Y1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8" s="301">
        <f t="shared" ca="1" si="3"/>
        <v>0</v>
      </c>
      <c r="AB18" s="298"/>
      <c r="AC18" s="326" t="str">
        <f>IF(Table2[[#This Row],[Member Type]]="Main Member",Lookups!$C$13,
IF(Table2[[#This Row],[Member Type]]="Spouse",_xlfn.XLOOKUP(B18,Table2[Main Member Link ID],Table2[Product Option],0),
IF(AND(Table2[[#This Row],[Member Type]]="Child",_xlfn.XLOOKUP(B18,Table2[Main Member Link ID],Table2[Product Option],0)&lt;&gt;"My Value Plus Life"),Lookups!$C$24,
IF(AND(OR(Table2[[#This Row],[Member Type]]="Parent",Table2[[#This Row],[Member Type]]="Extended"),_xlfn.XLOOKUP(B18,Table2[Main Member Link ID],Table2[Product Option],0)&lt;&gt;"My Value Plus Life"),Lookups!$C$26,""))))</f>
        <v/>
      </c>
      <c r="AD18" s="326" t="str">
        <f>IF(Table2[[#This Row],[Member Type]]="Main Member",Lookups!$C$14,"")</f>
        <v/>
      </c>
      <c r="AE1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Funeral",_xlfn.XLOOKUP(B18,Table2[Main Member Link ID],Table2[Benefit Name],0)=Lookups!$D$14),"",
IF(AND(Table2[[#This Row],[Member Type]]="Spouse",Table2[[#This Row],[Product Option]]="My Value Plus Life &amp; Funeral",_xlfn.XLOOKUP(B17,Table2[Main Member Link ID],Table2[Benefit Name],0)=Lookups!$D$15),Lookups!$D$20,
IF(AND(Table2[[#This Row],[Member Type]]="Spouse",Table2[[#This Row],[Product Option]]="My Value Plus Life &amp; Funeral",_xlfn.XLOOKUP(B17,Table2[Main Member Link ID],Table2[Benefit Name],0)=Lookups!$D$16),"",
IF(AND(Table2[[#This Row],[Member Type]]="Spouse",Table2[[#This Row],[Product Option]]="My Value Plus Life &amp; Funeral",_xlfn.XLOOKUP(B17,Table2[Main Member Link ID],Table2[Benefit Name],0)=Lookups!$D$17),Lookups!$D$21,
IF(AND(Table2[[#This Row],[Member Type]]="Child",Table2[[#This Row],[Product Option]]="My Value Plus Life &amp; Funeral",_xlfn.XLOOKUP(B18,Table2[Main Member Link ID],Table2[Benefit Name],0)=Lookups!$D$14),"",
IF(AND(Table2[[#This Row],[Member Type]]="Child",Table2[[#This Row],[Product Option]]="My Value Plus Life &amp; Funeral",_xlfn.XLOOKUP(B18,Table2[Main Member Link ID],Table2[Benefit Name],0)=Lookups!$D$15),"",
IF(AND(Table2[[#This Row],[Member Type]]="Child",Table2[[#This Row],[Product Option]]="My Value Plus Life &amp; Funeral",_xlfn.XLOOKUP(B18,Table2[Main Member Link ID],Table2[Benefit Name],0)=Lookups!$D$16),Lookups!$D$24,
IF(AND(Table2[[#This Row],[Member Type]]="Child",Table2[[#This Row],[Product Option]]="My Value Plus Life &amp; Funeral",_xlfn.XLOOKUP(B18,Table2[Main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Funeral",_xlfn.XLOOKUP(B18,Table2[Main Member Link ID],Table2[Benefit Name],0)&lt;&gt;Lookups!$D$14),
IF(_xlfn.XLOOKUP(B18,Table2[Main Member Link ID],Table2[Benefit Name],0)=0,"",_xlfn.XLOOKUP(B18,Table2[Main Member Link ID],Table2[Benefit Name],0)),"")))))))))))))))</f>
        <v/>
      </c>
      <c r="AF18" s="327" t="str">
        <f>IF(AND(Table2[[#This Row],[Member Type]]="Main Member",Table2[[#This Row],[Product Option]]="My Value Plus Life &amp; Funeral"),Lookups!$D$15,
IF(AND(Table2[[#This Row],[Member Type]]="Spouse",Table2[[#This Row],[Product Option]]="My Value Plus Life &amp; Funeral",_xlfn.XLOOKUP(B18,Table2[Main Member Link ID],Table2[Benefit Name],0)=Lookups!$D$14),"",
IF(AND(Table2[[#This Row],[Member Type]]="Spouse",Table2[[#This Row],[Product Option]]="My Value Plus Life &amp; Funeral",_xlfn.XLOOKUP(B17,Table2[Main Member Link ID],Table2[Benefit Name],0)=Lookups!$D$16),"",
IF(AND(Table2[[#This Row],[Member Type]]="Spouse",Table2[[#This Row],[Product Option]]="My Value Plus Life &amp; Funeral",_xlfn.XLOOKUP(B17,Table2[Main Member Link ID],Table2[Benefit Name],0)=Lookups!$D$15),"",
IF(AND(Table2[[#This Row],[Member Type]]="Spouse",Table2[[#This Row],[Product Option]]="My Value Plus Life &amp; Funeral",_xlfn.XLOOKUP(B17,Table2[Main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Funeral",_xlfn.XLOOKUP(B18,Table2[Main Member Link ID],Table2[Benefit Name],0)&lt;&gt;Lookups!$D$15),
IF(_xlfn.XLOOKUP(B18,Table2[Main Member Link ID],Table2[Benefit Name],0)=0,"",_xlfn.XLOOKUP(B18,Table2[Main Member Link ID],Table2[Benefit Name],0)),"")
))))))</f>
        <v/>
      </c>
      <c r="AG18" s="327" t="str">
        <f>IF(AND(Table2[[#This Row],[Member Type]]="Main Member",Table2[[#This Row],[Product Option]]="My Value Plus Life &amp; Funeral"),Lookups!$D$16,
IF(AND(Table2[[#This Row],[Member Type]]="Spouse",Table2[[#This Row],[Product Option]]="My Value Plus Life &amp; Funeral",_xlfn.XLOOKUP(B18,Table2[Main Member Link ID],Table2[Benefit Name],0)=Lookups!$D$14),"",
IF(AND(Table2[[#This Row],[Member Type]]="Spouse",Table2[[#This Row],[Product Option]]="My Value Plus Life &amp; Funeral",_xlfn.XLOOKUP(B17,Table2[Main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Funeral",_xlfn.XLOOKUP(B18,Table2[Main Member Link ID],Table2[Benefit Name],0)&lt;&gt;Lookups!$D$16),
IF(_xlfn.XLOOKUP(B18,Table2[Main Member Link ID],Table2[Benefit Name],0)=0,"",_xlfn.XLOOKUP(B18,Table2[Main Member Link ID],Table2[Benefit Name],0)),"")
))))</f>
        <v/>
      </c>
      <c r="AH18" s="327" t="str">
        <f>IF(AND(Table2[[#This Row],[Member Type]]="Main Member",Table2[[#This Row],[Product Option]]="My Value Plus Life &amp; Funeral"),Lookups!$D$17,
IF(AND(Table2[[#This Row],[Member Type]]="Spouse",Table2[[#This Row],[Product Option]]="My Value Plus Life &amp; Funeral",_xlfn.XLOOKUP(B18,Table2[Main Member Link ID],Table2[Benefit Name],0)=Lookups!$D$14),"",
IF(AND(Table2[[#This Row],[Member Type]]="Spouse",Table2[[#This Row],[Product Option]]="My Value Plus Life &amp; Funeral",_xlfn.XLOOKUP(B17,Table2[Main Member Link ID],Table2[Benefit Name],0)=Lookups!$D$16),"",
IF(AND(Table2[[#This Row],[Member Type]]="Child",Table2[[#This Row],[Product Option]]="My Value Plus Life &amp; Funeral"),"",
IF(AND(Table2[[#This Row],[Member Type]]="Child",Table2[[#This Row],[Product Option]]="My Value Plus Life &amp; Funeral",_xlfn.XLOOKUP(B18,Table2[Main Member Link ID],Table2[Benefit Name],0)=Lookups!$D$15),"",
IF(AND(OR(Table2[[#This Row],[Member Type]]="Spouse",Table2[[#This Row],[Member Type]]="Child"),Table2[[#This Row],[Product Option]]="My Value Plus Life &amp; Funeral",_xlfn.XLOOKUP(B18,Table2[Main Member Link ID],Table2[Benefit Name],0)&lt;&gt;Lookups!$D$17),
IF(_xlfn.XLOOKUP(B18,Table2[Main Member Link ID],Table2[Benefit Name],0)=0,"",_xlfn.XLOOKUP(B18,Table2[Main Member Link ID],Table2[Benefit Name],0)),""))))))</f>
        <v/>
      </c>
      <c r="AI18" s="328" t="str">
        <f>IF(AND(Table2[[#This Row],[Member Type]]="Main Member",Table2[[#This Row],[Table Lookup for Life Cover]]="MM_LIFE",Table2[[#This Row],[Age Next Birthday]]&lt;56),1,
IF(AND(Table2[[#This Row],[Member Type]]="Main Member",Table2[[#This Row],[Table Lookup for Life Cover]]="MM_LIFE",Table2[[#This Row],[Age Next Birthday]]&gt;=56),2,
""))</f>
        <v/>
      </c>
      <c r="AJ18" s="328">
        <f>IF(OR(Table2[[#This Row],[Member Type]]="Main Member",Table2[[#This Row],[Main Member Link ID]]=B17),1,0)</f>
        <v>1</v>
      </c>
      <c r="AK18" s="328">
        <f>IF(Table2[[#This Row],[Member Type]]=0,0,
IF(OR(Table2[[#This Row],[Member Type]]="Main Member",Table2[[#This Row],[Main Member Link ID]]&lt;&gt;B18),COUNTIFS(B:B,Table2[[#This Row],[Main Member Link ID]]),
COUNTIFS(B:B,Table2[[#This Row],[Main Member Link ID]],A:A,Table2[[#This Row],[Member Type]])))</f>
        <v>0</v>
      </c>
    </row>
    <row r="19" spans="1:37" x14ac:dyDescent="0.3">
      <c r="A19" s="284">
        <f>Table13[[#This Row],[Member Type]]</f>
        <v>0</v>
      </c>
      <c r="B19" s="284">
        <f>Table13[[#This Row],[Main Member Link ID]]</f>
        <v>0</v>
      </c>
      <c r="C19" s="284">
        <f>Table13[[#This Row],[ID Number]]</f>
        <v>0</v>
      </c>
      <c r="D19" s="285">
        <f>Table13[[#This Row],[Date Of Birth]]</f>
        <v>0</v>
      </c>
      <c r="E19" s="285">
        <f>Table13[[#This Row],[Commencement Date]]</f>
        <v>0</v>
      </c>
      <c r="F19" s="284">
        <f t="shared" si="0"/>
        <v>1</v>
      </c>
      <c r="G19" s="284">
        <f t="shared" si="4"/>
        <v>25</v>
      </c>
      <c r="H19" s="286">
        <f>Table13[[#This Row],[Product Option]]</f>
        <v>0</v>
      </c>
      <c r="I19" s="284">
        <f>IF(AND($A19="Main Member",Table2[[#This Row],[Product Option]]="My Value Plus Life"),"MM_LIFE",
IF(AND($A19="Spouse",Table2[[#This Row],[Product Option]]="My Value Plus Life"),"SP_LIFE",
IF(AND($A19="Main Member",Table2[[#This Row],[Product Option]]="My Value Plus Life &amp; Funeral"),"MM_LIFE",
IF(AND($A19="Spouse",Table2[[#This Row],[Product Option]]="My Value Plus Life &amp; Funeral"),_xlfn.XLOOKUP(Table2[[#This Row],[Benefit Name]],Lookups!$D$18:$D$23,Lookups!$E$18:$E$23,0),
0))))</f>
        <v>0</v>
      </c>
      <c r="J19" s="284">
        <f>IF($I19="","",
IF($I19="MM_LIFE",INDEX('Quotation Tool'!$S$54:$V$60,MATCH($T19,'Quotation Tool'!$S$54:$S$60,0),4),
IF($I19="SP_LIFE",_xlfn.XLOOKUP(B18,$B:$B,$J:$J,0),0)))</f>
        <v>0</v>
      </c>
      <c r="K19" s="287">
        <f t="shared" ca="1" si="5"/>
        <v>0</v>
      </c>
      <c r="L19" s="288">
        <f t="shared" ca="1" si="6"/>
        <v>0</v>
      </c>
      <c r="M19" s="289">
        <f t="shared" ca="1" si="1"/>
        <v>0</v>
      </c>
      <c r="N19" s="286">
        <f>Table13[[#This Row],[Benefit Option]]</f>
        <v>0</v>
      </c>
      <c r="O19" s="284">
        <f>IF(OR(Table2[[#This Row],[Member Type]]="Spouse",Table2[[#This Row],[Member Type]]="Child"),0,
IF(_xlfn.XLOOKUP($N19,Lookups!$D$13:$D$27,Lookups!$F$13:$F$27,0)=Table2[[#This Row],[Table Lookup for Life Cover]],0,
_xlfn.XLOOKUP($N19,Lookups!$D$13:$D$27,Lookups!$F$13:$F$27,0)))</f>
        <v>0</v>
      </c>
      <c r="P19" s="284">
        <f>IF(Table2[[#This Row],[Table Lookup for Funeral]]=0,0,IFERROR(INDEX('Quotation Tool'!$S$54:$V$60,MATCH($T19,'Quotation Tool'!$S$54:$S$60,0),3),0))</f>
        <v>0</v>
      </c>
      <c r="Q19" s="288">
        <f ca="1">IF(OR(Table2[[#This Row],[Benefit Name]]="My Value Plus Life - Main Member",Table2[[#This Row],[Benefit Name]]="My Value Plus Life - Spouse"),0,
IFERROR(VLOOKUP($G19,INDIRECT($O19),$P19,FALSE),0))</f>
        <v>0</v>
      </c>
      <c r="R19" s="288">
        <f ca="1">IF(OR(Table2[[#This Row],[Benefit Name]]="My Value Plus Life - Main Member",Table2[[#This Row],[Benefit Name]]="My Value Plus Life - Spouse"),0,
IFERROR(VLOOKUP($G19,INDIRECT($O19),$P19+1,FALSE),0))</f>
        <v>0</v>
      </c>
      <c r="S19" s="289">
        <f t="shared" ca="1" si="2"/>
        <v>0</v>
      </c>
      <c r="T19" s="284" t="str">
        <f>IF(Table13[[#This Row],[Premium Waiver]]="","None",Table13[[#This Row],[Premium Waiver]])</f>
        <v>None</v>
      </c>
      <c r="U19" s="284">
        <f>Table13[[#This Row],[VAPs Options]]</f>
        <v>0</v>
      </c>
      <c r="V19" s="284">
        <f>Table13[[#This Row],[Annual Increase Option]]</f>
        <v>0</v>
      </c>
      <c r="W19" s="290">
        <f>Table13[[#This Row],[Life Cover Amount]]</f>
        <v>0</v>
      </c>
      <c r="X19" s="290">
        <f>Table13[[#This Row],[Funeral Cover Amount]]</f>
        <v>0</v>
      </c>
      <c r="Y1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9" s="301">
        <f t="shared" ca="1" si="3"/>
        <v>0</v>
      </c>
      <c r="AB19" s="298"/>
      <c r="AC19" s="326" t="str">
        <f>IF(Table2[[#This Row],[Member Type]]="Main Member",Lookups!$C$13,
IF(Table2[[#This Row],[Member Type]]="Spouse",_xlfn.XLOOKUP(B19,Table2[Main Member Link ID],Table2[Product Option],0),
IF(AND(Table2[[#This Row],[Member Type]]="Child",_xlfn.XLOOKUP(B19,Table2[Main Member Link ID],Table2[Product Option],0)&lt;&gt;"My Value Plus Life"),Lookups!$C$24,
IF(AND(OR(Table2[[#This Row],[Member Type]]="Parent",Table2[[#This Row],[Member Type]]="Extended"),_xlfn.XLOOKUP(B19,Table2[Main Member Link ID],Table2[Product Option],0)&lt;&gt;"My Value Plus Life"),Lookups!$C$26,""))))</f>
        <v/>
      </c>
      <c r="AD19" s="326" t="str">
        <f>IF(Table2[[#This Row],[Member Type]]="Main Member",Lookups!$C$14,"")</f>
        <v/>
      </c>
      <c r="AE1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Funeral",_xlfn.XLOOKUP(B19,Table2[Main Member Link ID],Table2[Benefit Name],0)=Lookups!$D$14),"",
IF(AND(Table2[[#This Row],[Member Type]]="Spouse",Table2[[#This Row],[Product Option]]="My Value Plus Life &amp; Funeral",_xlfn.XLOOKUP(B18,Table2[Main Member Link ID],Table2[Benefit Name],0)=Lookups!$D$15),Lookups!$D$20,
IF(AND(Table2[[#This Row],[Member Type]]="Spouse",Table2[[#This Row],[Product Option]]="My Value Plus Life &amp; Funeral",_xlfn.XLOOKUP(B18,Table2[Main Member Link ID],Table2[Benefit Name],0)=Lookups!$D$16),"",
IF(AND(Table2[[#This Row],[Member Type]]="Spouse",Table2[[#This Row],[Product Option]]="My Value Plus Life &amp; Funeral",_xlfn.XLOOKUP(B18,Table2[Main Member Link ID],Table2[Benefit Name],0)=Lookups!$D$17),Lookups!$D$21,
IF(AND(Table2[[#This Row],[Member Type]]="Child",Table2[[#This Row],[Product Option]]="My Value Plus Life &amp; Funeral",_xlfn.XLOOKUP(B19,Table2[Main Member Link ID],Table2[Benefit Name],0)=Lookups!$D$14),"",
IF(AND(Table2[[#This Row],[Member Type]]="Child",Table2[[#This Row],[Product Option]]="My Value Plus Life &amp; Funeral",_xlfn.XLOOKUP(B19,Table2[Main Member Link ID],Table2[Benefit Name],0)=Lookups!$D$15),"",
IF(AND(Table2[[#This Row],[Member Type]]="Child",Table2[[#This Row],[Product Option]]="My Value Plus Life &amp; Funeral",_xlfn.XLOOKUP(B19,Table2[Main Member Link ID],Table2[Benefit Name],0)=Lookups!$D$16),Lookups!$D$24,
IF(AND(Table2[[#This Row],[Member Type]]="Child",Table2[[#This Row],[Product Option]]="My Value Plus Life &amp; Funeral",_xlfn.XLOOKUP(B19,Table2[Main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Funeral",_xlfn.XLOOKUP(B19,Table2[Main Member Link ID],Table2[Benefit Name],0)&lt;&gt;Lookups!$D$14),
IF(_xlfn.XLOOKUP(B19,Table2[Main Member Link ID],Table2[Benefit Name],0)=0,"",_xlfn.XLOOKUP(B19,Table2[Main Member Link ID],Table2[Benefit Name],0)),"")))))))))))))))</f>
        <v/>
      </c>
      <c r="AF19" s="327" t="str">
        <f>IF(AND(Table2[[#This Row],[Member Type]]="Main Member",Table2[[#This Row],[Product Option]]="My Value Plus Life &amp; Funeral"),Lookups!$D$15,
IF(AND(Table2[[#This Row],[Member Type]]="Spouse",Table2[[#This Row],[Product Option]]="My Value Plus Life &amp; Funeral",_xlfn.XLOOKUP(B19,Table2[Main Member Link ID],Table2[Benefit Name],0)=Lookups!$D$14),"",
IF(AND(Table2[[#This Row],[Member Type]]="Spouse",Table2[[#This Row],[Product Option]]="My Value Plus Life &amp; Funeral",_xlfn.XLOOKUP(B18,Table2[Main Member Link ID],Table2[Benefit Name],0)=Lookups!$D$16),"",
IF(AND(Table2[[#This Row],[Member Type]]="Spouse",Table2[[#This Row],[Product Option]]="My Value Plus Life &amp; Funeral",_xlfn.XLOOKUP(B18,Table2[Main Member Link ID],Table2[Benefit Name],0)=Lookups!$D$15),"",
IF(AND(Table2[[#This Row],[Member Type]]="Spouse",Table2[[#This Row],[Product Option]]="My Value Plus Life &amp; Funeral",_xlfn.XLOOKUP(B18,Table2[Main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Funeral",_xlfn.XLOOKUP(B19,Table2[Main Member Link ID],Table2[Benefit Name],0)&lt;&gt;Lookups!$D$15),
IF(_xlfn.XLOOKUP(B19,Table2[Main Member Link ID],Table2[Benefit Name],0)=0,"",_xlfn.XLOOKUP(B19,Table2[Main Member Link ID],Table2[Benefit Name],0)),"")
))))))</f>
        <v/>
      </c>
      <c r="AG19" s="327" t="str">
        <f>IF(AND(Table2[[#This Row],[Member Type]]="Main Member",Table2[[#This Row],[Product Option]]="My Value Plus Life &amp; Funeral"),Lookups!$D$16,
IF(AND(Table2[[#This Row],[Member Type]]="Spouse",Table2[[#This Row],[Product Option]]="My Value Plus Life &amp; Funeral",_xlfn.XLOOKUP(B19,Table2[Main Member Link ID],Table2[Benefit Name],0)=Lookups!$D$14),"",
IF(AND(Table2[[#This Row],[Member Type]]="Spouse",Table2[[#This Row],[Product Option]]="My Value Plus Life &amp; Funeral",_xlfn.XLOOKUP(B18,Table2[Main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Funeral",_xlfn.XLOOKUP(B19,Table2[Main Member Link ID],Table2[Benefit Name],0)&lt;&gt;Lookups!$D$16),
IF(_xlfn.XLOOKUP(B19,Table2[Main Member Link ID],Table2[Benefit Name],0)=0,"",_xlfn.XLOOKUP(B19,Table2[Main Member Link ID],Table2[Benefit Name],0)),"")
))))</f>
        <v/>
      </c>
      <c r="AH19" s="327" t="str">
        <f>IF(AND(Table2[[#This Row],[Member Type]]="Main Member",Table2[[#This Row],[Product Option]]="My Value Plus Life &amp; Funeral"),Lookups!$D$17,
IF(AND(Table2[[#This Row],[Member Type]]="Spouse",Table2[[#This Row],[Product Option]]="My Value Plus Life &amp; Funeral",_xlfn.XLOOKUP(B19,Table2[Main Member Link ID],Table2[Benefit Name],0)=Lookups!$D$14),"",
IF(AND(Table2[[#This Row],[Member Type]]="Spouse",Table2[[#This Row],[Product Option]]="My Value Plus Life &amp; Funeral",_xlfn.XLOOKUP(B18,Table2[Main Member Link ID],Table2[Benefit Name],0)=Lookups!$D$16),"",
IF(AND(Table2[[#This Row],[Member Type]]="Child",Table2[[#This Row],[Product Option]]="My Value Plus Life &amp; Funeral"),"",
IF(AND(Table2[[#This Row],[Member Type]]="Child",Table2[[#This Row],[Product Option]]="My Value Plus Life &amp; Funeral",_xlfn.XLOOKUP(B19,Table2[Main Member Link ID],Table2[Benefit Name],0)=Lookups!$D$15),"",
IF(AND(OR(Table2[[#This Row],[Member Type]]="Spouse",Table2[[#This Row],[Member Type]]="Child"),Table2[[#This Row],[Product Option]]="My Value Plus Life &amp; Funeral",_xlfn.XLOOKUP(B19,Table2[Main Member Link ID],Table2[Benefit Name],0)&lt;&gt;Lookups!$D$17),
IF(_xlfn.XLOOKUP(B19,Table2[Main Member Link ID],Table2[Benefit Name],0)=0,"",_xlfn.XLOOKUP(B19,Table2[Main Member Link ID],Table2[Benefit Name],0)),""))))))</f>
        <v/>
      </c>
      <c r="AI19" s="328" t="str">
        <f>IF(AND(Table2[[#This Row],[Member Type]]="Main Member",Table2[[#This Row],[Table Lookup for Life Cover]]="MM_LIFE",Table2[[#This Row],[Age Next Birthday]]&lt;56),1,
IF(AND(Table2[[#This Row],[Member Type]]="Main Member",Table2[[#This Row],[Table Lookup for Life Cover]]="MM_LIFE",Table2[[#This Row],[Age Next Birthday]]&gt;=56),2,
""))</f>
        <v/>
      </c>
      <c r="AJ19" s="328">
        <f>IF(OR(Table2[[#This Row],[Member Type]]="Main Member",Table2[[#This Row],[Main Member Link ID]]=B18),1,0)</f>
        <v>1</v>
      </c>
      <c r="AK19" s="328">
        <f>IF(Table2[[#This Row],[Member Type]]=0,0,
IF(OR(Table2[[#This Row],[Member Type]]="Main Member",Table2[[#This Row],[Main Member Link ID]]&lt;&gt;B19),COUNTIFS(B:B,Table2[[#This Row],[Main Member Link ID]]),
COUNTIFS(B:B,Table2[[#This Row],[Main Member Link ID]],A:A,Table2[[#This Row],[Member Type]])))</f>
        <v>0</v>
      </c>
    </row>
    <row r="20" spans="1:37" x14ac:dyDescent="0.3">
      <c r="A20" s="284">
        <f>Table13[[#This Row],[Member Type]]</f>
        <v>0</v>
      </c>
      <c r="B20" s="284">
        <f>Table13[[#This Row],[Main Member Link ID]]</f>
        <v>0</v>
      </c>
      <c r="C20" s="284">
        <f>Table13[[#This Row],[ID Number]]</f>
        <v>0</v>
      </c>
      <c r="D20" s="285">
        <f>Table13[[#This Row],[Date Of Birth]]</f>
        <v>0</v>
      </c>
      <c r="E20" s="285">
        <f>Table13[[#This Row],[Commencement Date]]</f>
        <v>0</v>
      </c>
      <c r="F20" s="284">
        <f t="shared" si="0"/>
        <v>1</v>
      </c>
      <c r="G20" s="284">
        <f t="shared" si="4"/>
        <v>25</v>
      </c>
      <c r="H20" s="286">
        <f>Table13[[#This Row],[Product Option]]</f>
        <v>0</v>
      </c>
      <c r="I20" s="284">
        <f>IF(AND($A20="Main Member",Table2[[#This Row],[Product Option]]="My Value Plus Life"),"MM_LIFE",
IF(AND($A20="Spouse",Table2[[#This Row],[Product Option]]="My Value Plus Life"),"SP_LIFE",
IF(AND($A20="Main Member",Table2[[#This Row],[Product Option]]="My Value Plus Life &amp; Funeral"),"MM_LIFE",
IF(AND($A20="Spouse",Table2[[#This Row],[Product Option]]="My Value Plus Life &amp; Funeral"),_xlfn.XLOOKUP(Table2[[#This Row],[Benefit Name]],Lookups!$D$18:$D$23,Lookups!$E$18:$E$23,0),
0))))</f>
        <v>0</v>
      </c>
      <c r="J20" s="284">
        <f>IF($I20="","",
IF($I20="MM_LIFE",INDEX('Quotation Tool'!$S$54:$V$60,MATCH($T20,'Quotation Tool'!$S$54:$S$60,0),4),
IF($I20="SP_LIFE",_xlfn.XLOOKUP(B19,$B:$B,$J:$J,0),0)))</f>
        <v>0</v>
      </c>
      <c r="K20" s="287">
        <f t="shared" ca="1" si="5"/>
        <v>0</v>
      </c>
      <c r="L20" s="288">
        <f t="shared" ca="1" si="6"/>
        <v>0</v>
      </c>
      <c r="M20" s="289">
        <f t="shared" ca="1" si="1"/>
        <v>0</v>
      </c>
      <c r="N20" s="286">
        <f>Table13[[#This Row],[Benefit Option]]</f>
        <v>0</v>
      </c>
      <c r="O20" s="284">
        <f>IF(OR(Table2[[#This Row],[Member Type]]="Spouse",Table2[[#This Row],[Member Type]]="Child"),0,
IF(_xlfn.XLOOKUP($N20,Lookups!$D$13:$D$27,Lookups!$F$13:$F$27,0)=Table2[[#This Row],[Table Lookup for Life Cover]],0,
_xlfn.XLOOKUP($N20,Lookups!$D$13:$D$27,Lookups!$F$13:$F$27,0)))</f>
        <v>0</v>
      </c>
      <c r="P20" s="284">
        <f>IF(Table2[[#This Row],[Table Lookup for Funeral]]=0,0,IFERROR(INDEX('Quotation Tool'!$S$54:$V$60,MATCH($T20,'Quotation Tool'!$S$54:$S$60,0),3),0))</f>
        <v>0</v>
      </c>
      <c r="Q20" s="288">
        <f ca="1">IF(OR(Table2[[#This Row],[Benefit Name]]="My Value Plus Life - Main Member",Table2[[#This Row],[Benefit Name]]="My Value Plus Life - Spouse"),0,
IFERROR(VLOOKUP($G20,INDIRECT($O20),$P20,FALSE),0))</f>
        <v>0</v>
      </c>
      <c r="R20" s="288">
        <f ca="1">IF(OR(Table2[[#This Row],[Benefit Name]]="My Value Plus Life - Main Member",Table2[[#This Row],[Benefit Name]]="My Value Plus Life - Spouse"),0,
IFERROR(VLOOKUP($G20,INDIRECT($O20),$P20+1,FALSE),0))</f>
        <v>0</v>
      </c>
      <c r="S20" s="289">
        <f t="shared" ca="1" si="2"/>
        <v>0</v>
      </c>
      <c r="T20" s="284" t="str">
        <f>IF(Table13[[#This Row],[Premium Waiver]]="","None",Table13[[#This Row],[Premium Waiver]])</f>
        <v>None</v>
      </c>
      <c r="U20" s="284">
        <f>Table13[[#This Row],[VAPs Options]]</f>
        <v>0</v>
      </c>
      <c r="V20" s="284">
        <f>Table13[[#This Row],[Annual Increase Option]]</f>
        <v>0</v>
      </c>
      <c r="W20" s="290">
        <f>Table13[[#This Row],[Life Cover Amount]]</f>
        <v>0</v>
      </c>
      <c r="X20" s="290">
        <f>Table13[[#This Row],[Funeral Cover Amount]]</f>
        <v>0</v>
      </c>
      <c r="Y2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0" s="301">
        <f t="shared" ca="1" si="3"/>
        <v>0</v>
      </c>
      <c r="AB20" s="298"/>
      <c r="AC20" s="326" t="str">
        <f>IF(Table2[[#This Row],[Member Type]]="Main Member",Lookups!$C$13,
IF(Table2[[#This Row],[Member Type]]="Spouse",_xlfn.XLOOKUP(B20,Table2[Main Member Link ID],Table2[Product Option],0),
IF(AND(Table2[[#This Row],[Member Type]]="Child",_xlfn.XLOOKUP(B20,Table2[Main Member Link ID],Table2[Product Option],0)&lt;&gt;"My Value Plus Life"),Lookups!$C$24,
IF(AND(OR(Table2[[#This Row],[Member Type]]="Parent",Table2[[#This Row],[Member Type]]="Extended"),_xlfn.XLOOKUP(B20,Table2[Main Member Link ID],Table2[Product Option],0)&lt;&gt;"My Value Plus Life"),Lookups!$C$26,""))))</f>
        <v/>
      </c>
      <c r="AD20" s="326" t="str">
        <f>IF(Table2[[#This Row],[Member Type]]="Main Member",Lookups!$C$14,"")</f>
        <v/>
      </c>
      <c r="AE2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Funeral",_xlfn.XLOOKUP(B20,Table2[Main Member Link ID],Table2[Benefit Name],0)=Lookups!$D$14),"",
IF(AND(Table2[[#This Row],[Member Type]]="Spouse",Table2[[#This Row],[Product Option]]="My Value Plus Life &amp; Funeral",_xlfn.XLOOKUP(B19,Table2[Main Member Link ID],Table2[Benefit Name],0)=Lookups!$D$15),Lookups!$D$20,
IF(AND(Table2[[#This Row],[Member Type]]="Spouse",Table2[[#This Row],[Product Option]]="My Value Plus Life &amp; Funeral",_xlfn.XLOOKUP(B19,Table2[Main Member Link ID],Table2[Benefit Name],0)=Lookups!$D$16),"",
IF(AND(Table2[[#This Row],[Member Type]]="Spouse",Table2[[#This Row],[Product Option]]="My Value Plus Life &amp; Funeral",_xlfn.XLOOKUP(B19,Table2[Main Member Link ID],Table2[Benefit Name],0)=Lookups!$D$17),Lookups!$D$21,
IF(AND(Table2[[#This Row],[Member Type]]="Child",Table2[[#This Row],[Product Option]]="My Value Plus Life &amp; Funeral",_xlfn.XLOOKUP(B20,Table2[Main Member Link ID],Table2[Benefit Name],0)=Lookups!$D$14),"",
IF(AND(Table2[[#This Row],[Member Type]]="Child",Table2[[#This Row],[Product Option]]="My Value Plus Life &amp; Funeral",_xlfn.XLOOKUP(B20,Table2[Main Member Link ID],Table2[Benefit Name],0)=Lookups!$D$15),"",
IF(AND(Table2[[#This Row],[Member Type]]="Child",Table2[[#This Row],[Product Option]]="My Value Plus Life &amp; Funeral",_xlfn.XLOOKUP(B20,Table2[Main Member Link ID],Table2[Benefit Name],0)=Lookups!$D$16),Lookups!$D$24,
IF(AND(Table2[[#This Row],[Member Type]]="Child",Table2[[#This Row],[Product Option]]="My Value Plus Life &amp; Funeral",_xlfn.XLOOKUP(B20,Table2[Main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Funeral",_xlfn.XLOOKUP(B20,Table2[Main Member Link ID],Table2[Benefit Name],0)&lt;&gt;Lookups!$D$14),
IF(_xlfn.XLOOKUP(B20,Table2[Main Member Link ID],Table2[Benefit Name],0)=0,"",_xlfn.XLOOKUP(B20,Table2[Main Member Link ID],Table2[Benefit Name],0)),"")))))))))))))))</f>
        <v/>
      </c>
      <c r="AF20" s="327" t="str">
        <f>IF(AND(Table2[[#This Row],[Member Type]]="Main Member",Table2[[#This Row],[Product Option]]="My Value Plus Life &amp; Funeral"),Lookups!$D$15,
IF(AND(Table2[[#This Row],[Member Type]]="Spouse",Table2[[#This Row],[Product Option]]="My Value Plus Life &amp; Funeral",_xlfn.XLOOKUP(B20,Table2[Main Member Link ID],Table2[Benefit Name],0)=Lookups!$D$14),"",
IF(AND(Table2[[#This Row],[Member Type]]="Spouse",Table2[[#This Row],[Product Option]]="My Value Plus Life &amp; Funeral",_xlfn.XLOOKUP(B19,Table2[Main Member Link ID],Table2[Benefit Name],0)=Lookups!$D$16),"",
IF(AND(Table2[[#This Row],[Member Type]]="Spouse",Table2[[#This Row],[Product Option]]="My Value Plus Life &amp; Funeral",_xlfn.XLOOKUP(B19,Table2[Main Member Link ID],Table2[Benefit Name],0)=Lookups!$D$15),"",
IF(AND(Table2[[#This Row],[Member Type]]="Spouse",Table2[[#This Row],[Product Option]]="My Value Plus Life &amp; Funeral",_xlfn.XLOOKUP(B19,Table2[Main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Funeral",_xlfn.XLOOKUP(B20,Table2[Main Member Link ID],Table2[Benefit Name],0)&lt;&gt;Lookups!$D$15),
IF(_xlfn.XLOOKUP(B20,Table2[Main Member Link ID],Table2[Benefit Name],0)=0,"",_xlfn.XLOOKUP(B20,Table2[Main Member Link ID],Table2[Benefit Name],0)),"")
))))))</f>
        <v/>
      </c>
      <c r="AG20" s="327" t="str">
        <f>IF(AND(Table2[[#This Row],[Member Type]]="Main Member",Table2[[#This Row],[Product Option]]="My Value Plus Life &amp; Funeral"),Lookups!$D$16,
IF(AND(Table2[[#This Row],[Member Type]]="Spouse",Table2[[#This Row],[Product Option]]="My Value Plus Life &amp; Funeral",_xlfn.XLOOKUP(B20,Table2[Main Member Link ID],Table2[Benefit Name],0)=Lookups!$D$14),"",
IF(AND(Table2[[#This Row],[Member Type]]="Spouse",Table2[[#This Row],[Product Option]]="My Value Plus Life &amp; Funeral",_xlfn.XLOOKUP(B19,Table2[Main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Funeral",_xlfn.XLOOKUP(B20,Table2[Main Member Link ID],Table2[Benefit Name],0)&lt;&gt;Lookups!$D$16),
IF(_xlfn.XLOOKUP(B20,Table2[Main Member Link ID],Table2[Benefit Name],0)=0,"",_xlfn.XLOOKUP(B20,Table2[Main Member Link ID],Table2[Benefit Name],0)),"")
))))</f>
        <v/>
      </c>
      <c r="AH20" s="327" t="str">
        <f>IF(AND(Table2[[#This Row],[Member Type]]="Main Member",Table2[[#This Row],[Product Option]]="My Value Plus Life &amp; Funeral"),Lookups!$D$17,
IF(AND(Table2[[#This Row],[Member Type]]="Spouse",Table2[[#This Row],[Product Option]]="My Value Plus Life &amp; Funeral",_xlfn.XLOOKUP(B20,Table2[Main Member Link ID],Table2[Benefit Name],0)=Lookups!$D$14),"",
IF(AND(Table2[[#This Row],[Member Type]]="Spouse",Table2[[#This Row],[Product Option]]="My Value Plus Life &amp; Funeral",_xlfn.XLOOKUP(B19,Table2[Main Member Link ID],Table2[Benefit Name],0)=Lookups!$D$16),"",
IF(AND(Table2[[#This Row],[Member Type]]="Child",Table2[[#This Row],[Product Option]]="My Value Plus Life &amp; Funeral"),"",
IF(AND(Table2[[#This Row],[Member Type]]="Child",Table2[[#This Row],[Product Option]]="My Value Plus Life &amp; Funeral",_xlfn.XLOOKUP(B20,Table2[Main Member Link ID],Table2[Benefit Name],0)=Lookups!$D$15),"",
IF(AND(OR(Table2[[#This Row],[Member Type]]="Spouse",Table2[[#This Row],[Member Type]]="Child"),Table2[[#This Row],[Product Option]]="My Value Plus Life &amp; Funeral",_xlfn.XLOOKUP(B20,Table2[Main Member Link ID],Table2[Benefit Name],0)&lt;&gt;Lookups!$D$17),
IF(_xlfn.XLOOKUP(B20,Table2[Main Member Link ID],Table2[Benefit Name],0)=0,"",_xlfn.XLOOKUP(B20,Table2[Main Member Link ID],Table2[Benefit Name],0)),""))))))</f>
        <v/>
      </c>
      <c r="AI20" s="328" t="str">
        <f>IF(AND(Table2[[#This Row],[Member Type]]="Main Member",Table2[[#This Row],[Table Lookup for Life Cover]]="MM_LIFE",Table2[[#This Row],[Age Next Birthday]]&lt;56),1,
IF(AND(Table2[[#This Row],[Member Type]]="Main Member",Table2[[#This Row],[Table Lookup for Life Cover]]="MM_LIFE",Table2[[#This Row],[Age Next Birthday]]&gt;=56),2,
""))</f>
        <v/>
      </c>
      <c r="AJ20" s="328">
        <f>IF(OR(Table2[[#This Row],[Member Type]]="Main Member",Table2[[#This Row],[Main Member Link ID]]=B19),1,0)</f>
        <v>1</v>
      </c>
      <c r="AK20" s="328">
        <f>IF(Table2[[#This Row],[Member Type]]=0,0,
IF(OR(Table2[[#This Row],[Member Type]]="Main Member",Table2[[#This Row],[Main Member Link ID]]&lt;&gt;B20),COUNTIFS(B:B,Table2[[#This Row],[Main Member Link ID]]),
COUNTIFS(B:B,Table2[[#This Row],[Main Member Link ID]],A:A,Table2[[#This Row],[Member Type]])))</f>
        <v>0</v>
      </c>
    </row>
    <row r="21" spans="1:37" x14ac:dyDescent="0.3">
      <c r="A21" s="284">
        <f>Table13[[#This Row],[Member Type]]</f>
        <v>0</v>
      </c>
      <c r="B21" s="284">
        <f>Table13[[#This Row],[Main Member Link ID]]</f>
        <v>0</v>
      </c>
      <c r="C21" s="284">
        <f>Table13[[#This Row],[ID Number]]</f>
        <v>0</v>
      </c>
      <c r="D21" s="285">
        <f>Table13[[#This Row],[Date Of Birth]]</f>
        <v>0</v>
      </c>
      <c r="E21" s="285">
        <f>Table13[[#This Row],[Commencement Date]]</f>
        <v>0</v>
      </c>
      <c r="F21" s="284">
        <f t="shared" si="0"/>
        <v>1</v>
      </c>
      <c r="G21" s="284">
        <f t="shared" si="4"/>
        <v>25</v>
      </c>
      <c r="H21" s="286">
        <f>Table13[[#This Row],[Product Option]]</f>
        <v>0</v>
      </c>
      <c r="I21" s="284">
        <f>IF(AND($A21="Main Member",Table2[[#This Row],[Product Option]]="My Value Plus Life"),"MM_LIFE",
IF(AND($A21="Spouse",Table2[[#This Row],[Product Option]]="My Value Plus Life"),"SP_LIFE",
IF(AND($A21="Main Member",Table2[[#This Row],[Product Option]]="My Value Plus Life &amp; Funeral"),"MM_LIFE",
IF(AND($A21="Spouse",Table2[[#This Row],[Product Option]]="My Value Plus Life &amp; Funeral"),_xlfn.XLOOKUP(Table2[[#This Row],[Benefit Name]],Lookups!$D$18:$D$23,Lookups!$E$18:$E$23,0),
0))))</f>
        <v>0</v>
      </c>
      <c r="J21" s="284">
        <f>IF($I21="","",
IF($I21="MM_LIFE",INDEX('Quotation Tool'!$S$54:$V$60,MATCH($T21,'Quotation Tool'!$S$54:$S$60,0),4),
IF($I21="SP_LIFE",_xlfn.XLOOKUP(B20,$B:$B,$J:$J,0),0)))</f>
        <v>0</v>
      </c>
      <c r="K21" s="287">
        <f t="shared" ca="1" si="5"/>
        <v>0</v>
      </c>
      <c r="L21" s="288">
        <f t="shared" ca="1" si="6"/>
        <v>0</v>
      </c>
      <c r="M21" s="289">
        <f t="shared" ca="1" si="1"/>
        <v>0</v>
      </c>
      <c r="N21" s="286">
        <f>Table13[[#This Row],[Benefit Option]]</f>
        <v>0</v>
      </c>
      <c r="O21" s="284">
        <f>IF(OR(Table2[[#This Row],[Member Type]]="Spouse",Table2[[#This Row],[Member Type]]="Child"),0,
IF(_xlfn.XLOOKUP($N21,Lookups!$D$13:$D$27,Lookups!$F$13:$F$27,0)=Table2[[#This Row],[Table Lookup for Life Cover]],0,
_xlfn.XLOOKUP($N21,Lookups!$D$13:$D$27,Lookups!$F$13:$F$27,0)))</f>
        <v>0</v>
      </c>
      <c r="P21" s="284">
        <f>IF(Table2[[#This Row],[Table Lookup for Funeral]]=0,0,IFERROR(INDEX('Quotation Tool'!$S$54:$V$60,MATCH($T21,'Quotation Tool'!$S$54:$S$60,0),3),0))</f>
        <v>0</v>
      </c>
      <c r="Q21" s="288">
        <f ca="1">IF(OR(Table2[[#This Row],[Benefit Name]]="My Value Plus Life - Main Member",Table2[[#This Row],[Benefit Name]]="My Value Plus Life - Spouse"),0,
IFERROR(VLOOKUP($G21,INDIRECT($O21),$P21,FALSE),0))</f>
        <v>0</v>
      </c>
      <c r="R21" s="288">
        <f ca="1">IF(OR(Table2[[#This Row],[Benefit Name]]="My Value Plus Life - Main Member",Table2[[#This Row],[Benefit Name]]="My Value Plus Life - Spouse"),0,
IFERROR(VLOOKUP($G21,INDIRECT($O21),$P21+1,FALSE),0))</f>
        <v>0</v>
      </c>
      <c r="S21" s="289">
        <f t="shared" ca="1" si="2"/>
        <v>0</v>
      </c>
      <c r="T21" s="284" t="str">
        <f>IF(Table13[[#This Row],[Premium Waiver]]="","None",Table13[[#This Row],[Premium Waiver]])</f>
        <v>None</v>
      </c>
      <c r="U21" s="284">
        <f>Table13[[#This Row],[VAPs Options]]</f>
        <v>0</v>
      </c>
      <c r="V21" s="284">
        <f>Table13[[#This Row],[Annual Increase Option]]</f>
        <v>0</v>
      </c>
      <c r="W21" s="290">
        <f>Table13[[#This Row],[Life Cover Amount]]</f>
        <v>0</v>
      </c>
      <c r="X21" s="290">
        <f>Table13[[#This Row],[Funeral Cover Amount]]</f>
        <v>0</v>
      </c>
      <c r="Y2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1" s="301">
        <f t="shared" ca="1" si="3"/>
        <v>0</v>
      </c>
      <c r="AB21" s="298"/>
      <c r="AC21" s="326" t="str">
        <f>IF(Table2[[#This Row],[Member Type]]="Main Member",Lookups!$C$13,
IF(Table2[[#This Row],[Member Type]]="Spouse",_xlfn.XLOOKUP(B21,Table2[Main Member Link ID],Table2[Product Option],0),
IF(AND(Table2[[#This Row],[Member Type]]="Child",_xlfn.XLOOKUP(B21,Table2[Main Member Link ID],Table2[Product Option],0)&lt;&gt;"My Value Plus Life"),Lookups!$C$24,
IF(AND(OR(Table2[[#This Row],[Member Type]]="Parent",Table2[[#This Row],[Member Type]]="Extended"),_xlfn.XLOOKUP(B21,Table2[Main Member Link ID],Table2[Product Option],0)&lt;&gt;"My Value Plus Life"),Lookups!$C$26,""))))</f>
        <v/>
      </c>
      <c r="AD21" s="326" t="str">
        <f>IF(Table2[[#This Row],[Member Type]]="Main Member",Lookups!$C$14,"")</f>
        <v/>
      </c>
      <c r="AE2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Funeral",_xlfn.XLOOKUP(B21,Table2[Main Member Link ID],Table2[Benefit Name],0)=Lookups!$D$14),"",
IF(AND(Table2[[#This Row],[Member Type]]="Spouse",Table2[[#This Row],[Product Option]]="My Value Plus Life &amp; Funeral",_xlfn.XLOOKUP(B20,Table2[Main Member Link ID],Table2[Benefit Name],0)=Lookups!$D$15),Lookups!$D$20,
IF(AND(Table2[[#This Row],[Member Type]]="Spouse",Table2[[#This Row],[Product Option]]="My Value Plus Life &amp; Funeral",_xlfn.XLOOKUP(B20,Table2[Main Member Link ID],Table2[Benefit Name],0)=Lookups!$D$16),"",
IF(AND(Table2[[#This Row],[Member Type]]="Spouse",Table2[[#This Row],[Product Option]]="My Value Plus Life &amp; Funeral",_xlfn.XLOOKUP(B20,Table2[Main Member Link ID],Table2[Benefit Name],0)=Lookups!$D$17),Lookups!$D$21,
IF(AND(Table2[[#This Row],[Member Type]]="Child",Table2[[#This Row],[Product Option]]="My Value Plus Life &amp; Funeral",_xlfn.XLOOKUP(B21,Table2[Main Member Link ID],Table2[Benefit Name],0)=Lookups!$D$14),"",
IF(AND(Table2[[#This Row],[Member Type]]="Child",Table2[[#This Row],[Product Option]]="My Value Plus Life &amp; Funeral",_xlfn.XLOOKUP(B21,Table2[Main Member Link ID],Table2[Benefit Name],0)=Lookups!$D$15),"",
IF(AND(Table2[[#This Row],[Member Type]]="Child",Table2[[#This Row],[Product Option]]="My Value Plus Life &amp; Funeral",_xlfn.XLOOKUP(B21,Table2[Main Member Link ID],Table2[Benefit Name],0)=Lookups!$D$16),Lookups!$D$24,
IF(AND(Table2[[#This Row],[Member Type]]="Child",Table2[[#This Row],[Product Option]]="My Value Plus Life &amp; Funeral",_xlfn.XLOOKUP(B21,Table2[Main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Funeral",_xlfn.XLOOKUP(B21,Table2[Main Member Link ID],Table2[Benefit Name],0)&lt;&gt;Lookups!$D$14),
IF(_xlfn.XLOOKUP(B21,Table2[Main Member Link ID],Table2[Benefit Name],0)=0,"",_xlfn.XLOOKUP(B21,Table2[Main Member Link ID],Table2[Benefit Name],0)),"")))))))))))))))</f>
        <v/>
      </c>
      <c r="AF21" s="327" t="str">
        <f>IF(AND(Table2[[#This Row],[Member Type]]="Main Member",Table2[[#This Row],[Product Option]]="My Value Plus Life &amp; Funeral"),Lookups!$D$15,
IF(AND(Table2[[#This Row],[Member Type]]="Spouse",Table2[[#This Row],[Product Option]]="My Value Plus Life &amp; Funeral",_xlfn.XLOOKUP(B21,Table2[Main Member Link ID],Table2[Benefit Name],0)=Lookups!$D$14),"",
IF(AND(Table2[[#This Row],[Member Type]]="Spouse",Table2[[#This Row],[Product Option]]="My Value Plus Life &amp; Funeral",_xlfn.XLOOKUP(B20,Table2[Main Member Link ID],Table2[Benefit Name],0)=Lookups!$D$16),"",
IF(AND(Table2[[#This Row],[Member Type]]="Spouse",Table2[[#This Row],[Product Option]]="My Value Plus Life &amp; Funeral",_xlfn.XLOOKUP(B20,Table2[Main Member Link ID],Table2[Benefit Name],0)=Lookups!$D$15),"",
IF(AND(Table2[[#This Row],[Member Type]]="Spouse",Table2[[#This Row],[Product Option]]="My Value Plus Life &amp; Funeral",_xlfn.XLOOKUP(B20,Table2[Main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Funeral",_xlfn.XLOOKUP(B21,Table2[Main Member Link ID],Table2[Benefit Name],0)&lt;&gt;Lookups!$D$15),
IF(_xlfn.XLOOKUP(B21,Table2[Main Member Link ID],Table2[Benefit Name],0)=0,"",_xlfn.XLOOKUP(B21,Table2[Main Member Link ID],Table2[Benefit Name],0)),"")
))))))</f>
        <v/>
      </c>
      <c r="AG21" s="327" t="str">
        <f>IF(AND(Table2[[#This Row],[Member Type]]="Main Member",Table2[[#This Row],[Product Option]]="My Value Plus Life &amp; Funeral"),Lookups!$D$16,
IF(AND(Table2[[#This Row],[Member Type]]="Spouse",Table2[[#This Row],[Product Option]]="My Value Plus Life &amp; Funeral",_xlfn.XLOOKUP(B21,Table2[Main Member Link ID],Table2[Benefit Name],0)=Lookups!$D$14),"",
IF(AND(Table2[[#This Row],[Member Type]]="Spouse",Table2[[#This Row],[Product Option]]="My Value Plus Life &amp; Funeral",_xlfn.XLOOKUP(B20,Table2[Main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Funeral",_xlfn.XLOOKUP(B21,Table2[Main Member Link ID],Table2[Benefit Name],0)&lt;&gt;Lookups!$D$16),
IF(_xlfn.XLOOKUP(B21,Table2[Main Member Link ID],Table2[Benefit Name],0)=0,"",_xlfn.XLOOKUP(B21,Table2[Main Member Link ID],Table2[Benefit Name],0)),"")
))))</f>
        <v/>
      </c>
      <c r="AH21" s="327" t="str">
        <f>IF(AND(Table2[[#This Row],[Member Type]]="Main Member",Table2[[#This Row],[Product Option]]="My Value Plus Life &amp; Funeral"),Lookups!$D$17,
IF(AND(Table2[[#This Row],[Member Type]]="Spouse",Table2[[#This Row],[Product Option]]="My Value Plus Life &amp; Funeral",_xlfn.XLOOKUP(B21,Table2[Main Member Link ID],Table2[Benefit Name],0)=Lookups!$D$14),"",
IF(AND(Table2[[#This Row],[Member Type]]="Spouse",Table2[[#This Row],[Product Option]]="My Value Plus Life &amp; Funeral",_xlfn.XLOOKUP(B20,Table2[Main Member Link ID],Table2[Benefit Name],0)=Lookups!$D$16),"",
IF(AND(Table2[[#This Row],[Member Type]]="Child",Table2[[#This Row],[Product Option]]="My Value Plus Life &amp; Funeral"),"",
IF(AND(Table2[[#This Row],[Member Type]]="Child",Table2[[#This Row],[Product Option]]="My Value Plus Life &amp; Funeral",_xlfn.XLOOKUP(B21,Table2[Main Member Link ID],Table2[Benefit Name],0)=Lookups!$D$15),"",
IF(AND(OR(Table2[[#This Row],[Member Type]]="Spouse",Table2[[#This Row],[Member Type]]="Child"),Table2[[#This Row],[Product Option]]="My Value Plus Life &amp; Funeral",_xlfn.XLOOKUP(B21,Table2[Main Member Link ID],Table2[Benefit Name],0)&lt;&gt;Lookups!$D$17),
IF(_xlfn.XLOOKUP(B21,Table2[Main Member Link ID],Table2[Benefit Name],0)=0,"",_xlfn.XLOOKUP(B21,Table2[Main Member Link ID],Table2[Benefit Name],0)),""))))))</f>
        <v/>
      </c>
      <c r="AI21" s="328" t="str">
        <f>IF(AND(Table2[[#This Row],[Member Type]]="Main Member",Table2[[#This Row],[Table Lookup for Life Cover]]="MM_LIFE",Table2[[#This Row],[Age Next Birthday]]&lt;56),1,
IF(AND(Table2[[#This Row],[Member Type]]="Main Member",Table2[[#This Row],[Table Lookup for Life Cover]]="MM_LIFE",Table2[[#This Row],[Age Next Birthday]]&gt;=56),2,
""))</f>
        <v/>
      </c>
      <c r="AJ21" s="328">
        <f>IF(OR(Table2[[#This Row],[Member Type]]="Main Member",Table2[[#This Row],[Main Member Link ID]]=B20),1,0)</f>
        <v>1</v>
      </c>
      <c r="AK21" s="328">
        <f>IF(Table2[[#This Row],[Member Type]]=0,0,
IF(OR(Table2[[#This Row],[Member Type]]="Main Member",Table2[[#This Row],[Main Member Link ID]]&lt;&gt;B21),COUNTIFS(B:B,Table2[[#This Row],[Main Member Link ID]]),
COUNTIFS(B:B,Table2[[#This Row],[Main Member Link ID]],A:A,Table2[[#This Row],[Member Type]])))</f>
        <v>0</v>
      </c>
    </row>
    <row r="22" spans="1:37" x14ac:dyDescent="0.3">
      <c r="A22" s="284">
        <f>Table13[[#This Row],[Member Type]]</f>
        <v>0</v>
      </c>
      <c r="B22" s="284">
        <f>Table13[[#This Row],[Main Member Link ID]]</f>
        <v>0</v>
      </c>
      <c r="C22" s="284">
        <f>Table13[[#This Row],[ID Number]]</f>
        <v>0</v>
      </c>
      <c r="D22" s="285">
        <f>Table13[[#This Row],[Date Of Birth]]</f>
        <v>0</v>
      </c>
      <c r="E22" s="285">
        <f>Table13[[#This Row],[Commencement Date]]</f>
        <v>0</v>
      </c>
      <c r="F22" s="284">
        <f t="shared" si="0"/>
        <v>1</v>
      </c>
      <c r="G22" s="284">
        <f t="shared" si="4"/>
        <v>25</v>
      </c>
      <c r="H22" s="286">
        <f>Table13[[#This Row],[Product Option]]</f>
        <v>0</v>
      </c>
      <c r="I22" s="284">
        <f>IF(AND($A22="Main Member",Table2[[#This Row],[Product Option]]="My Value Plus Life"),"MM_LIFE",
IF(AND($A22="Spouse",Table2[[#This Row],[Product Option]]="My Value Plus Life"),"SP_LIFE",
IF(AND($A22="Main Member",Table2[[#This Row],[Product Option]]="My Value Plus Life &amp; Funeral"),"MM_LIFE",
IF(AND($A22="Spouse",Table2[[#This Row],[Product Option]]="My Value Plus Life &amp; Funeral"),_xlfn.XLOOKUP(Table2[[#This Row],[Benefit Name]],Lookups!$D$18:$D$23,Lookups!$E$18:$E$23,0),
0))))</f>
        <v>0</v>
      </c>
      <c r="J22" s="284">
        <f>IF($I22="","",
IF($I22="MM_LIFE",INDEX('Quotation Tool'!$S$54:$V$60,MATCH($T22,'Quotation Tool'!$S$54:$S$60,0),4),
IF($I22="SP_LIFE",_xlfn.XLOOKUP(B21,$B:$B,$J:$J,0),0)))</f>
        <v>0</v>
      </c>
      <c r="K22" s="287">
        <f t="shared" ca="1" si="5"/>
        <v>0</v>
      </c>
      <c r="L22" s="288">
        <f t="shared" ca="1" si="6"/>
        <v>0</v>
      </c>
      <c r="M22" s="289">
        <f t="shared" ca="1" si="1"/>
        <v>0</v>
      </c>
      <c r="N22" s="286">
        <f>Table13[[#This Row],[Benefit Option]]</f>
        <v>0</v>
      </c>
      <c r="O22" s="284">
        <f>IF(OR(Table2[[#This Row],[Member Type]]="Spouse",Table2[[#This Row],[Member Type]]="Child"),0,
IF(_xlfn.XLOOKUP($N22,Lookups!$D$13:$D$27,Lookups!$F$13:$F$27,0)=Table2[[#This Row],[Table Lookup for Life Cover]],0,
_xlfn.XLOOKUP($N22,Lookups!$D$13:$D$27,Lookups!$F$13:$F$27,0)))</f>
        <v>0</v>
      </c>
      <c r="P22" s="284">
        <f>IF(Table2[[#This Row],[Table Lookup for Funeral]]=0,0,IFERROR(INDEX('Quotation Tool'!$S$54:$V$60,MATCH($T22,'Quotation Tool'!$S$54:$S$60,0),3),0))</f>
        <v>0</v>
      </c>
      <c r="Q22" s="288">
        <f ca="1">IF(OR(Table2[[#This Row],[Benefit Name]]="My Value Plus Life - Main Member",Table2[[#This Row],[Benefit Name]]="My Value Plus Life - Spouse"),0,
IFERROR(VLOOKUP($G22,INDIRECT($O22),$P22,FALSE),0))</f>
        <v>0</v>
      </c>
      <c r="R22" s="288">
        <f ca="1">IF(OR(Table2[[#This Row],[Benefit Name]]="My Value Plus Life - Main Member",Table2[[#This Row],[Benefit Name]]="My Value Plus Life - Spouse"),0,
IFERROR(VLOOKUP($G22,INDIRECT($O22),$P22+1,FALSE),0))</f>
        <v>0</v>
      </c>
      <c r="S22" s="289">
        <f t="shared" ca="1" si="2"/>
        <v>0</v>
      </c>
      <c r="T22" s="284" t="str">
        <f>IF(Table13[[#This Row],[Premium Waiver]]="","None",Table13[[#This Row],[Premium Waiver]])</f>
        <v>None</v>
      </c>
      <c r="U22" s="284">
        <f>Table13[[#This Row],[VAPs Options]]</f>
        <v>0</v>
      </c>
      <c r="V22" s="284">
        <f>Table13[[#This Row],[Annual Increase Option]]</f>
        <v>0</v>
      </c>
      <c r="W22" s="290">
        <f>Table13[[#This Row],[Life Cover Amount]]</f>
        <v>0</v>
      </c>
      <c r="X22" s="290">
        <f>Table13[[#This Row],[Funeral Cover Amount]]</f>
        <v>0</v>
      </c>
      <c r="Y2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2" s="301">
        <f t="shared" ca="1" si="3"/>
        <v>0</v>
      </c>
      <c r="AB22" s="298"/>
      <c r="AC22" s="326" t="str">
        <f>IF(Table2[[#This Row],[Member Type]]="Main Member",Lookups!$C$13,
IF(Table2[[#This Row],[Member Type]]="Spouse",_xlfn.XLOOKUP(B22,Table2[Main Member Link ID],Table2[Product Option],0),
IF(AND(Table2[[#This Row],[Member Type]]="Child",_xlfn.XLOOKUP(B22,Table2[Main Member Link ID],Table2[Product Option],0)&lt;&gt;"My Value Plus Life"),Lookups!$C$24,
IF(AND(OR(Table2[[#This Row],[Member Type]]="Parent",Table2[[#This Row],[Member Type]]="Extended"),_xlfn.XLOOKUP(B22,Table2[Main Member Link ID],Table2[Product Option],0)&lt;&gt;"My Value Plus Life"),Lookups!$C$26,""))))</f>
        <v/>
      </c>
      <c r="AD22" s="326" t="str">
        <f>IF(Table2[[#This Row],[Member Type]]="Main Member",Lookups!$C$14,"")</f>
        <v/>
      </c>
      <c r="AE2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Funeral",_xlfn.XLOOKUP(B22,Table2[Main Member Link ID],Table2[Benefit Name],0)=Lookups!$D$14),"",
IF(AND(Table2[[#This Row],[Member Type]]="Spouse",Table2[[#This Row],[Product Option]]="My Value Plus Life &amp; Funeral",_xlfn.XLOOKUP(B21,Table2[Main Member Link ID],Table2[Benefit Name],0)=Lookups!$D$15),Lookups!$D$20,
IF(AND(Table2[[#This Row],[Member Type]]="Spouse",Table2[[#This Row],[Product Option]]="My Value Plus Life &amp; Funeral",_xlfn.XLOOKUP(B21,Table2[Main Member Link ID],Table2[Benefit Name],0)=Lookups!$D$16),"",
IF(AND(Table2[[#This Row],[Member Type]]="Spouse",Table2[[#This Row],[Product Option]]="My Value Plus Life &amp; Funeral",_xlfn.XLOOKUP(B21,Table2[Main Member Link ID],Table2[Benefit Name],0)=Lookups!$D$17),Lookups!$D$21,
IF(AND(Table2[[#This Row],[Member Type]]="Child",Table2[[#This Row],[Product Option]]="My Value Plus Life &amp; Funeral",_xlfn.XLOOKUP(B22,Table2[Main Member Link ID],Table2[Benefit Name],0)=Lookups!$D$14),"",
IF(AND(Table2[[#This Row],[Member Type]]="Child",Table2[[#This Row],[Product Option]]="My Value Plus Life &amp; Funeral",_xlfn.XLOOKUP(B22,Table2[Main Member Link ID],Table2[Benefit Name],0)=Lookups!$D$15),"",
IF(AND(Table2[[#This Row],[Member Type]]="Child",Table2[[#This Row],[Product Option]]="My Value Plus Life &amp; Funeral",_xlfn.XLOOKUP(B22,Table2[Main Member Link ID],Table2[Benefit Name],0)=Lookups!$D$16),Lookups!$D$24,
IF(AND(Table2[[#This Row],[Member Type]]="Child",Table2[[#This Row],[Product Option]]="My Value Plus Life &amp; Funeral",_xlfn.XLOOKUP(B22,Table2[Main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Funeral",_xlfn.XLOOKUP(B22,Table2[Main Member Link ID],Table2[Benefit Name],0)&lt;&gt;Lookups!$D$14),
IF(_xlfn.XLOOKUP(B22,Table2[Main Member Link ID],Table2[Benefit Name],0)=0,"",_xlfn.XLOOKUP(B22,Table2[Main Member Link ID],Table2[Benefit Name],0)),"")))))))))))))))</f>
        <v/>
      </c>
      <c r="AF22" s="327" t="str">
        <f>IF(AND(Table2[[#This Row],[Member Type]]="Main Member",Table2[[#This Row],[Product Option]]="My Value Plus Life &amp; Funeral"),Lookups!$D$15,
IF(AND(Table2[[#This Row],[Member Type]]="Spouse",Table2[[#This Row],[Product Option]]="My Value Plus Life &amp; Funeral",_xlfn.XLOOKUP(B22,Table2[Main Member Link ID],Table2[Benefit Name],0)=Lookups!$D$14),"",
IF(AND(Table2[[#This Row],[Member Type]]="Spouse",Table2[[#This Row],[Product Option]]="My Value Plus Life &amp; Funeral",_xlfn.XLOOKUP(B21,Table2[Main Member Link ID],Table2[Benefit Name],0)=Lookups!$D$16),"",
IF(AND(Table2[[#This Row],[Member Type]]="Spouse",Table2[[#This Row],[Product Option]]="My Value Plus Life &amp; Funeral",_xlfn.XLOOKUP(B21,Table2[Main Member Link ID],Table2[Benefit Name],0)=Lookups!$D$15),"",
IF(AND(Table2[[#This Row],[Member Type]]="Spouse",Table2[[#This Row],[Product Option]]="My Value Plus Life &amp; Funeral",_xlfn.XLOOKUP(B21,Table2[Main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Funeral",_xlfn.XLOOKUP(B22,Table2[Main Member Link ID],Table2[Benefit Name],0)&lt;&gt;Lookups!$D$15),
IF(_xlfn.XLOOKUP(B22,Table2[Main Member Link ID],Table2[Benefit Name],0)=0,"",_xlfn.XLOOKUP(B22,Table2[Main Member Link ID],Table2[Benefit Name],0)),"")
))))))</f>
        <v/>
      </c>
      <c r="AG22" s="327" t="str">
        <f>IF(AND(Table2[[#This Row],[Member Type]]="Main Member",Table2[[#This Row],[Product Option]]="My Value Plus Life &amp; Funeral"),Lookups!$D$16,
IF(AND(Table2[[#This Row],[Member Type]]="Spouse",Table2[[#This Row],[Product Option]]="My Value Plus Life &amp; Funeral",_xlfn.XLOOKUP(B22,Table2[Main Member Link ID],Table2[Benefit Name],0)=Lookups!$D$14),"",
IF(AND(Table2[[#This Row],[Member Type]]="Spouse",Table2[[#This Row],[Product Option]]="My Value Plus Life &amp; Funeral",_xlfn.XLOOKUP(B21,Table2[Main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Funeral",_xlfn.XLOOKUP(B22,Table2[Main Member Link ID],Table2[Benefit Name],0)&lt;&gt;Lookups!$D$16),
IF(_xlfn.XLOOKUP(B22,Table2[Main Member Link ID],Table2[Benefit Name],0)=0,"",_xlfn.XLOOKUP(B22,Table2[Main Member Link ID],Table2[Benefit Name],0)),"")
))))</f>
        <v/>
      </c>
      <c r="AH22" s="327" t="str">
        <f>IF(AND(Table2[[#This Row],[Member Type]]="Main Member",Table2[[#This Row],[Product Option]]="My Value Plus Life &amp; Funeral"),Lookups!$D$17,
IF(AND(Table2[[#This Row],[Member Type]]="Spouse",Table2[[#This Row],[Product Option]]="My Value Plus Life &amp; Funeral",_xlfn.XLOOKUP(B22,Table2[Main Member Link ID],Table2[Benefit Name],0)=Lookups!$D$14),"",
IF(AND(Table2[[#This Row],[Member Type]]="Spouse",Table2[[#This Row],[Product Option]]="My Value Plus Life &amp; Funeral",_xlfn.XLOOKUP(B21,Table2[Main Member Link ID],Table2[Benefit Name],0)=Lookups!$D$16),"",
IF(AND(Table2[[#This Row],[Member Type]]="Child",Table2[[#This Row],[Product Option]]="My Value Plus Life &amp; Funeral"),"",
IF(AND(Table2[[#This Row],[Member Type]]="Child",Table2[[#This Row],[Product Option]]="My Value Plus Life &amp; Funeral",_xlfn.XLOOKUP(B22,Table2[Main Member Link ID],Table2[Benefit Name],0)=Lookups!$D$15),"",
IF(AND(OR(Table2[[#This Row],[Member Type]]="Spouse",Table2[[#This Row],[Member Type]]="Child"),Table2[[#This Row],[Product Option]]="My Value Plus Life &amp; Funeral",_xlfn.XLOOKUP(B22,Table2[Main Member Link ID],Table2[Benefit Name],0)&lt;&gt;Lookups!$D$17),
IF(_xlfn.XLOOKUP(B22,Table2[Main Member Link ID],Table2[Benefit Name],0)=0,"",_xlfn.XLOOKUP(B22,Table2[Main Member Link ID],Table2[Benefit Name],0)),""))))))</f>
        <v/>
      </c>
      <c r="AI22" s="328" t="str">
        <f>IF(AND(Table2[[#This Row],[Member Type]]="Main Member",Table2[[#This Row],[Table Lookup for Life Cover]]="MM_LIFE",Table2[[#This Row],[Age Next Birthday]]&lt;56),1,
IF(AND(Table2[[#This Row],[Member Type]]="Main Member",Table2[[#This Row],[Table Lookup for Life Cover]]="MM_LIFE",Table2[[#This Row],[Age Next Birthday]]&gt;=56),2,
""))</f>
        <v/>
      </c>
      <c r="AJ22" s="328">
        <f>IF(OR(Table2[[#This Row],[Member Type]]="Main Member",Table2[[#This Row],[Main Member Link ID]]=B21),1,0)</f>
        <v>1</v>
      </c>
      <c r="AK22" s="328">
        <f>IF(Table2[[#This Row],[Member Type]]=0,0,
IF(OR(Table2[[#This Row],[Member Type]]="Main Member",Table2[[#This Row],[Main Member Link ID]]&lt;&gt;B22),COUNTIFS(B:B,Table2[[#This Row],[Main Member Link ID]]),
COUNTIFS(B:B,Table2[[#This Row],[Main Member Link ID]],A:A,Table2[[#This Row],[Member Type]])))</f>
        <v>0</v>
      </c>
    </row>
    <row r="23" spans="1:37" x14ac:dyDescent="0.3">
      <c r="A23" s="284">
        <f>Table13[[#This Row],[Member Type]]</f>
        <v>0</v>
      </c>
      <c r="B23" s="284">
        <f>Table13[[#This Row],[Main Member Link ID]]</f>
        <v>0</v>
      </c>
      <c r="C23" s="284">
        <f>Table13[[#This Row],[ID Number]]</f>
        <v>0</v>
      </c>
      <c r="D23" s="285">
        <f>Table13[[#This Row],[Date Of Birth]]</f>
        <v>0</v>
      </c>
      <c r="E23" s="285">
        <f>Table13[[#This Row],[Commencement Date]]</f>
        <v>0</v>
      </c>
      <c r="F23" s="284">
        <f t="shared" si="0"/>
        <v>1</v>
      </c>
      <c r="G23" s="284">
        <f t="shared" si="4"/>
        <v>25</v>
      </c>
      <c r="H23" s="286">
        <f>Table13[[#This Row],[Product Option]]</f>
        <v>0</v>
      </c>
      <c r="I23" s="284">
        <f>IF(AND($A23="Main Member",Table2[[#This Row],[Product Option]]="My Value Plus Life"),"MM_LIFE",
IF(AND($A23="Spouse",Table2[[#This Row],[Product Option]]="My Value Plus Life"),"SP_LIFE",
IF(AND($A23="Main Member",Table2[[#This Row],[Product Option]]="My Value Plus Life &amp; Funeral"),"MM_LIFE",
IF(AND($A23="Spouse",Table2[[#This Row],[Product Option]]="My Value Plus Life &amp; Funeral"),_xlfn.XLOOKUP(Table2[[#This Row],[Benefit Name]],Lookups!$D$18:$D$23,Lookups!$E$18:$E$23,0),
0))))</f>
        <v>0</v>
      </c>
      <c r="J23" s="284">
        <f>IF($I23="","",
IF($I23="MM_LIFE",INDEX('Quotation Tool'!$S$54:$V$60,MATCH($T23,'Quotation Tool'!$S$54:$S$60,0),4),
IF($I23="SP_LIFE",_xlfn.XLOOKUP(B22,$B:$B,$J:$J,0),0)))</f>
        <v>0</v>
      </c>
      <c r="K23" s="287">
        <f t="shared" ca="1" si="5"/>
        <v>0</v>
      </c>
      <c r="L23" s="288">
        <f t="shared" ca="1" si="6"/>
        <v>0</v>
      </c>
      <c r="M23" s="289">
        <f t="shared" ca="1" si="1"/>
        <v>0</v>
      </c>
      <c r="N23" s="286">
        <f>Table13[[#This Row],[Benefit Option]]</f>
        <v>0</v>
      </c>
      <c r="O23" s="284">
        <f>IF(OR(Table2[[#This Row],[Member Type]]="Spouse",Table2[[#This Row],[Member Type]]="Child"),0,
IF(_xlfn.XLOOKUP($N23,Lookups!$D$13:$D$27,Lookups!$F$13:$F$27,0)=Table2[[#This Row],[Table Lookup for Life Cover]],0,
_xlfn.XLOOKUP($N23,Lookups!$D$13:$D$27,Lookups!$F$13:$F$27,0)))</f>
        <v>0</v>
      </c>
      <c r="P23" s="284">
        <f>IF(Table2[[#This Row],[Table Lookup for Funeral]]=0,0,IFERROR(INDEX('Quotation Tool'!$S$54:$V$60,MATCH($T23,'Quotation Tool'!$S$54:$S$60,0),3),0))</f>
        <v>0</v>
      </c>
      <c r="Q23" s="288">
        <f ca="1">IF(OR(Table2[[#This Row],[Benefit Name]]="My Value Plus Life - Main Member",Table2[[#This Row],[Benefit Name]]="My Value Plus Life - Spouse"),0,
IFERROR(VLOOKUP($G23,INDIRECT($O23),$P23,FALSE),0))</f>
        <v>0</v>
      </c>
      <c r="R23" s="288">
        <f ca="1">IF(OR(Table2[[#This Row],[Benefit Name]]="My Value Plus Life - Main Member",Table2[[#This Row],[Benefit Name]]="My Value Plus Life - Spouse"),0,
IFERROR(VLOOKUP($G23,INDIRECT($O23),$P23+1,FALSE),0))</f>
        <v>0</v>
      </c>
      <c r="S23" s="289">
        <f t="shared" ca="1" si="2"/>
        <v>0</v>
      </c>
      <c r="T23" s="284" t="str">
        <f>IF(Table13[[#This Row],[Premium Waiver]]="","None",Table13[[#This Row],[Premium Waiver]])</f>
        <v>None</v>
      </c>
      <c r="U23" s="284">
        <f>Table13[[#This Row],[VAPs Options]]</f>
        <v>0</v>
      </c>
      <c r="V23" s="284">
        <f>Table13[[#This Row],[Annual Increase Option]]</f>
        <v>0</v>
      </c>
      <c r="W23" s="290">
        <f>Table13[[#This Row],[Life Cover Amount]]</f>
        <v>0</v>
      </c>
      <c r="X23" s="290">
        <f>Table13[[#This Row],[Funeral Cover Amount]]</f>
        <v>0</v>
      </c>
      <c r="Y2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3" s="301">
        <f t="shared" ca="1" si="3"/>
        <v>0</v>
      </c>
      <c r="AB23" s="298"/>
      <c r="AC23" s="326" t="str">
        <f>IF(Table2[[#This Row],[Member Type]]="Main Member",Lookups!$C$13,
IF(Table2[[#This Row],[Member Type]]="Spouse",_xlfn.XLOOKUP(B23,Table2[Main Member Link ID],Table2[Product Option],0),
IF(AND(Table2[[#This Row],[Member Type]]="Child",_xlfn.XLOOKUP(B23,Table2[Main Member Link ID],Table2[Product Option],0)&lt;&gt;"My Value Plus Life"),Lookups!$C$24,
IF(AND(OR(Table2[[#This Row],[Member Type]]="Parent",Table2[[#This Row],[Member Type]]="Extended"),_xlfn.XLOOKUP(B23,Table2[Main Member Link ID],Table2[Product Option],0)&lt;&gt;"My Value Plus Life"),Lookups!$C$26,""))))</f>
        <v/>
      </c>
      <c r="AD23" s="326" t="str">
        <f>IF(Table2[[#This Row],[Member Type]]="Main Member",Lookups!$C$14,"")</f>
        <v/>
      </c>
      <c r="AE2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Funeral",_xlfn.XLOOKUP(B23,Table2[Main Member Link ID],Table2[Benefit Name],0)=Lookups!$D$14),"",
IF(AND(Table2[[#This Row],[Member Type]]="Spouse",Table2[[#This Row],[Product Option]]="My Value Plus Life &amp; Funeral",_xlfn.XLOOKUP(B22,Table2[Main Member Link ID],Table2[Benefit Name],0)=Lookups!$D$15),Lookups!$D$20,
IF(AND(Table2[[#This Row],[Member Type]]="Spouse",Table2[[#This Row],[Product Option]]="My Value Plus Life &amp; Funeral",_xlfn.XLOOKUP(B22,Table2[Main Member Link ID],Table2[Benefit Name],0)=Lookups!$D$16),"",
IF(AND(Table2[[#This Row],[Member Type]]="Spouse",Table2[[#This Row],[Product Option]]="My Value Plus Life &amp; Funeral",_xlfn.XLOOKUP(B22,Table2[Main Member Link ID],Table2[Benefit Name],0)=Lookups!$D$17),Lookups!$D$21,
IF(AND(Table2[[#This Row],[Member Type]]="Child",Table2[[#This Row],[Product Option]]="My Value Plus Life &amp; Funeral",_xlfn.XLOOKUP(B23,Table2[Main Member Link ID],Table2[Benefit Name],0)=Lookups!$D$14),"",
IF(AND(Table2[[#This Row],[Member Type]]="Child",Table2[[#This Row],[Product Option]]="My Value Plus Life &amp; Funeral",_xlfn.XLOOKUP(B23,Table2[Main Member Link ID],Table2[Benefit Name],0)=Lookups!$D$15),"",
IF(AND(Table2[[#This Row],[Member Type]]="Child",Table2[[#This Row],[Product Option]]="My Value Plus Life &amp; Funeral",_xlfn.XLOOKUP(B23,Table2[Main Member Link ID],Table2[Benefit Name],0)=Lookups!$D$16),Lookups!$D$24,
IF(AND(Table2[[#This Row],[Member Type]]="Child",Table2[[#This Row],[Product Option]]="My Value Plus Life &amp; Funeral",_xlfn.XLOOKUP(B23,Table2[Main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Funeral",_xlfn.XLOOKUP(B23,Table2[Main Member Link ID],Table2[Benefit Name],0)&lt;&gt;Lookups!$D$14),
IF(_xlfn.XLOOKUP(B23,Table2[Main Member Link ID],Table2[Benefit Name],0)=0,"",_xlfn.XLOOKUP(B23,Table2[Main Member Link ID],Table2[Benefit Name],0)),"")))))))))))))))</f>
        <v/>
      </c>
      <c r="AF23" s="327" t="str">
        <f>IF(AND(Table2[[#This Row],[Member Type]]="Main Member",Table2[[#This Row],[Product Option]]="My Value Plus Life &amp; Funeral"),Lookups!$D$15,
IF(AND(Table2[[#This Row],[Member Type]]="Spouse",Table2[[#This Row],[Product Option]]="My Value Plus Life &amp; Funeral",_xlfn.XLOOKUP(B23,Table2[Main Member Link ID],Table2[Benefit Name],0)=Lookups!$D$14),"",
IF(AND(Table2[[#This Row],[Member Type]]="Spouse",Table2[[#This Row],[Product Option]]="My Value Plus Life &amp; Funeral",_xlfn.XLOOKUP(B22,Table2[Main Member Link ID],Table2[Benefit Name],0)=Lookups!$D$16),"",
IF(AND(Table2[[#This Row],[Member Type]]="Spouse",Table2[[#This Row],[Product Option]]="My Value Plus Life &amp; Funeral",_xlfn.XLOOKUP(B22,Table2[Main Member Link ID],Table2[Benefit Name],0)=Lookups!$D$15),"",
IF(AND(Table2[[#This Row],[Member Type]]="Spouse",Table2[[#This Row],[Product Option]]="My Value Plus Life &amp; Funeral",_xlfn.XLOOKUP(B22,Table2[Main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Funeral",_xlfn.XLOOKUP(B23,Table2[Main Member Link ID],Table2[Benefit Name],0)&lt;&gt;Lookups!$D$15),
IF(_xlfn.XLOOKUP(B23,Table2[Main Member Link ID],Table2[Benefit Name],0)=0,"",_xlfn.XLOOKUP(B23,Table2[Main Member Link ID],Table2[Benefit Name],0)),"")
))))))</f>
        <v/>
      </c>
      <c r="AG23" s="327" t="str">
        <f>IF(AND(Table2[[#This Row],[Member Type]]="Main Member",Table2[[#This Row],[Product Option]]="My Value Plus Life &amp; Funeral"),Lookups!$D$16,
IF(AND(Table2[[#This Row],[Member Type]]="Spouse",Table2[[#This Row],[Product Option]]="My Value Plus Life &amp; Funeral",_xlfn.XLOOKUP(B23,Table2[Main Member Link ID],Table2[Benefit Name],0)=Lookups!$D$14),"",
IF(AND(Table2[[#This Row],[Member Type]]="Spouse",Table2[[#This Row],[Product Option]]="My Value Plus Life &amp; Funeral",_xlfn.XLOOKUP(B22,Table2[Main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Funeral",_xlfn.XLOOKUP(B23,Table2[Main Member Link ID],Table2[Benefit Name],0)&lt;&gt;Lookups!$D$16),
IF(_xlfn.XLOOKUP(B23,Table2[Main Member Link ID],Table2[Benefit Name],0)=0,"",_xlfn.XLOOKUP(B23,Table2[Main Member Link ID],Table2[Benefit Name],0)),"")
))))</f>
        <v/>
      </c>
      <c r="AH23" s="327" t="str">
        <f>IF(AND(Table2[[#This Row],[Member Type]]="Main Member",Table2[[#This Row],[Product Option]]="My Value Plus Life &amp; Funeral"),Lookups!$D$17,
IF(AND(Table2[[#This Row],[Member Type]]="Spouse",Table2[[#This Row],[Product Option]]="My Value Plus Life &amp; Funeral",_xlfn.XLOOKUP(B23,Table2[Main Member Link ID],Table2[Benefit Name],0)=Lookups!$D$14),"",
IF(AND(Table2[[#This Row],[Member Type]]="Spouse",Table2[[#This Row],[Product Option]]="My Value Plus Life &amp; Funeral",_xlfn.XLOOKUP(B22,Table2[Main Member Link ID],Table2[Benefit Name],0)=Lookups!$D$16),"",
IF(AND(Table2[[#This Row],[Member Type]]="Child",Table2[[#This Row],[Product Option]]="My Value Plus Life &amp; Funeral"),"",
IF(AND(Table2[[#This Row],[Member Type]]="Child",Table2[[#This Row],[Product Option]]="My Value Plus Life &amp; Funeral",_xlfn.XLOOKUP(B23,Table2[Main Member Link ID],Table2[Benefit Name],0)=Lookups!$D$15),"",
IF(AND(OR(Table2[[#This Row],[Member Type]]="Spouse",Table2[[#This Row],[Member Type]]="Child"),Table2[[#This Row],[Product Option]]="My Value Plus Life &amp; Funeral",_xlfn.XLOOKUP(B23,Table2[Main Member Link ID],Table2[Benefit Name],0)&lt;&gt;Lookups!$D$17),
IF(_xlfn.XLOOKUP(B23,Table2[Main Member Link ID],Table2[Benefit Name],0)=0,"",_xlfn.XLOOKUP(B23,Table2[Main Member Link ID],Table2[Benefit Name],0)),""))))))</f>
        <v/>
      </c>
      <c r="AI23" s="328" t="str">
        <f>IF(AND(Table2[[#This Row],[Member Type]]="Main Member",Table2[[#This Row],[Table Lookup for Life Cover]]="MM_LIFE",Table2[[#This Row],[Age Next Birthday]]&lt;56),1,
IF(AND(Table2[[#This Row],[Member Type]]="Main Member",Table2[[#This Row],[Table Lookup for Life Cover]]="MM_LIFE",Table2[[#This Row],[Age Next Birthday]]&gt;=56),2,
""))</f>
        <v/>
      </c>
      <c r="AJ23" s="328">
        <f>IF(OR(Table2[[#This Row],[Member Type]]="Main Member",Table2[[#This Row],[Main Member Link ID]]=B22),1,0)</f>
        <v>1</v>
      </c>
      <c r="AK23" s="328">
        <f>IF(Table2[[#This Row],[Member Type]]=0,0,
IF(OR(Table2[[#This Row],[Member Type]]="Main Member",Table2[[#This Row],[Main Member Link ID]]&lt;&gt;B23),COUNTIFS(B:B,Table2[[#This Row],[Main Member Link ID]]),
COUNTIFS(B:B,Table2[[#This Row],[Main Member Link ID]],A:A,Table2[[#This Row],[Member Type]])))</f>
        <v>0</v>
      </c>
    </row>
    <row r="24" spans="1:37" x14ac:dyDescent="0.3">
      <c r="A24" s="284">
        <f>Table13[[#This Row],[Member Type]]</f>
        <v>0</v>
      </c>
      <c r="B24" s="284">
        <f>Table13[[#This Row],[Main Member Link ID]]</f>
        <v>0</v>
      </c>
      <c r="C24" s="284">
        <f>Table13[[#This Row],[ID Number]]</f>
        <v>0</v>
      </c>
      <c r="D24" s="285">
        <f>Table13[[#This Row],[Date Of Birth]]</f>
        <v>0</v>
      </c>
      <c r="E24" s="285">
        <f>Table13[[#This Row],[Commencement Date]]</f>
        <v>0</v>
      </c>
      <c r="F24" s="284">
        <f t="shared" si="0"/>
        <v>1</v>
      </c>
      <c r="G24" s="284">
        <f t="shared" si="4"/>
        <v>25</v>
      </c>
      <c r="H24" s="286">
        <f>Table13[[#This Row],[Product Option]]</f>
        <v>0</v>
      </c>
      <c r="I24" s="284">
        <f>IF(AND($A24="Main Member",Table2[[#This Row],[Product Option]]="My Value Plus Life"),"MM_LIFE",
IF(AND($A24="Spouse",Table2[[#This Row],[Product Option]]="My Value Plus Life"),"SP_LIFE",
IF(AND($A24="Main Member",Table2[[#This Row],[Product Option]]="My Value Plus Life &amp; Funeral"),"MM_LIFE",
IF(AND($A24="Spouse",Table2[[#This Row],[Product Option]]="My Value Plus Life &amp; Funeral"),_xlfn.XLOOKUP(Table2[[#This Row],[Benefit Name]],Lookups!$D$18:$D$23,Lookups!$E$18:$E$23,0),
0))))</f>
        <v>0</v>
      </c>
      <c r="J24" s="284">
        <f>IF($I24="","",
IF($I24="MM_LIFE",INDEX('Quotation Tool'!$S$54:$V$60,MATCH($T24,'Quotation Tool'!$S$54:$S$60,0),4),
IF($I24="SP_LIFE",_xlfn.XLOOKUP(B23,$B:$B,$J:$J,0),0)))</f>
        <v>0</v>
      </c>
      <c r="K24" s="287">
        <f t="shared" ca="1" si="5"/>
        <v>0</v>
      </c>
      <c r="L24" s="288">
        <f t="shared" ca="1" si="6"/>
        <v>0</v>
      </c>
      <c r="M24" s="289">
        <f t="shared" ca="1" si="1"/>
        <v>0</v>
      </c>
      <c r="N24" s="286">
        <f>Table13[[#This Row],[Benefit Option]]</f>
        <v>0</v>
      </c>
      <c r="O24" s="284">
        <f>IF(OR(Table2[[#This Row],[Member Type]]="Spouse",Table2[[#This Row],[Member Type]]="Child"),0,
IF(_xlfn.XLOOKUP($N24,Lookups!$D$13:$D$27,Lookups!$F$13:$F$27,0)=Table2[[#This Row],[Table Lookup for Life Cover]],0,
_xlfn.XLOOKUP($N24,Lookups!$D$13:$D$27,Lookups!$F$13:$F$27,0)))</f>
        <v>0</v>
      </c>
      <c r="P24" s="284">
        <f>IF(Table2[[#This Row],[Table Lookup for Funeral]]=0,0,IFERROR(INDEX('Quotation Tool'!$S$54:$V$60,MATCH($T24,'Quotation Tool'!$S$54:$S$60,0),3),0))</f>
        <v>0</v>
      </c>
      <c r="Q24" s="288">
        <f ca="1">IF(OR(Table2[[#This Row],[Benefit Name]]="My Value Plus Life - Main Member",Table2[[#This Row],[Benefit Name]]="My Value Plus Life - Spouse"),0,
IFERROR(VLOOKUP($G24,INDIRECT($O24),$P24,FALSE),0))</f>
        <v>0</v>
      </c>
      <c r="R24" s="288">
        <f ca="1">IF(OR(Table2[[#This Row],[Benefit Name]]="My Value Plus Life - Main Member",Table2[[#This Row],[Benefit Name]]="My Value Plus Life - Spouse"),0,
IFERROR(VLOOKUP($G24,INDIRECT($O24),$P24+1,FALSE),0))</f>
        <v>0</v>
      </c>
      <c r="S24" s="289">
        <f t="shared" ca="1" si="2"/>
        <v>0</v>
      </c>
      <c r="T24" s="284" t="str">
        <f>IF(Table13[[#This Row],[Premium Waiver]]="","None",Table13[[#This Row],[Premium Waiver]])</f>
        <v>None</v>
      </c>
      <c r="U24" s="284">
        <f>Table13[[#This Row],[VAPs Options]]</f>
        <v>0</v>
      </c>
      <c r="V24" s="284">
        <f>Table13[[#This Row],[Annual Increase Option]]</f>
        <v>0</v>
      </c>
      <c r="W24" s="290">
        <f>Table13[[#This Row],[Life Cover Amount]]</f>
        <v>0</v>
      </c>
      <c r="X24" s="290">
        <f>Table13[[#This Row],[Funeral Cover Amount]]</f>
        <v>0</v>
      </c>
      <c r="Y2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4" s="301">
        <f t="shared" ca="1" si="3"/>
        <v>0</v>
      </c>
      <c r="AB24" s="298"/>
      <c r="AC24" s="326" t="str">
        <f>IF(Table2[[#This Row],[Member Type]]="Main Member",Lookups!$C$13,
IF(Table2[[#This Row],[Member Type]]="Spouse",_xlfn.XLOOKUP(B24,Table2[Main Member Link ID],Table2[Product Option],0),
IF(AND(Table2[[#This Row],[Member Type]]="Child",_xlfn.XLOOKUP(B24,Table2[Main Member Link ID],Table2[Product Option],0)&lt;&gt;"My Value Plus Life"),Lookups!$C$24,
IF(AND(OR(Table2[[#This Row],[Member Type]]="Parent",Table2[[#This Row],[Member Type]]="Extended"),_xlfn.XLOOKUP(B24,Table2[Main Member Link ID],Table2[Product Option],0)&lt;&gt;"My Value Plus Life"),Lookups!$C$26,""))))</f>
        <v/>
      </c>
      <c r="AD24" s="326" t="str">
        <f>IF(Table2[[#This Row],[Member Type]]="Main Member",Lookups!$C$14,"")</f>
        <v/>
      </c>
      <c r="AE2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Funeral",_xlfn.XLOOKUP(B24,Table2[Main Member Link ID],Table2[Benefit Name],0)=Lookups!$D$14),"",
IF(AND(Table2[[#This Row],[Member Type]]="Spouse",Table2[[#This Row],[Product Option]]="My Value Plus Life &amp; Funeral",_xlfn.XLOOKUP(B23,Table2[Main Member Link ID],Table2[Benefit Name],0)=Lookups!$D$15),Lookups!$D$20,
IF(AND(Table2[[#This Row],[Member Type]]="Spouse",Table2[[#This Row],[Product Option]]="My Value Plus Life &amp; Funeral",_xlfn.XLOOKUP(B23,Table2[Main Member Link ID],Table2[Benefit Name],0)=Lookups!$D$16),"",
IF(AND(Table2[[#This Row],[Member Type]]="Spouse",Table2[[#This Row],[Product Option]]="My Value Plus Life &amp; Funeral",_xlfn.XLOOKUP(B23,Table2[Main Member Link ID],Table2[Benefit Name],0)=Lookups!$D$17),Lookups!$D$21,
IF(AND(Table2[[#This Row],[Member Type]]="Child",Table2[[#This Row],[Product Option]]="My Value Plus Life &amp; Funeral",_xlfn.XLOOKUP(B24,Table2[Main Member Link ID],Table2[Benefit Name],0)=Lookups!$D$14),"",
IF(AND(Table2[[#This Row],[Member Type]]="Child",Table2[[#This Row],[Product Option]]="My Value Plus Life &amp; Funeral",_xlfn.XLOOKUP(B24,Table2[Main Member Link ID],Table2[Benefit Name],0)=Lookups!$D$15),"",
IF(AND(Table2[[#This Row],[Member Type]]="Child",Table2[[#This Row],[Product Option]]="My Value Plus Life &amp; Funeral",_xlfn.XLOOKUP(B24,Table2[Main Member Link ID],Table2[Benefit Name],0)=Lookups!$D$16),Lookups!$D$24,
IF(AND(Table2[[#This Row],[Member Type]]="Child",Table2[[#This Row],[Product Option]]="My Value Plus Life &amp; Funeral",_xlfn.XLOOKUP(B24,Table2[Main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Funeral",_xlfn.XLOOKUP(B24,Table2[Main Member Link ID],Table2[Benefit Name],0)&lt;&gt;Lookups!$D$14),
IF(_xlfn.XLOOKUP(B24,Table2[Main Member Link ID],Table2[Benefit Name],0)=0,"",_xlfn.XLOOKUP(B24,Table2[Main Member Link ID],Table2[Benefit Name],0)),"")))))))))))))))</f>
        <v/>
      </c>
      <c r="AF24" s="327" t="str">
        <f>IF(AND(Table2[[#This Row],[Member Type]]="Main Member",Table2[[#This Row],[Product Option]]="My Value Plus Life &amp; Funeral"),Lookups!$D$15,
IF(AND(Table2[[#This Row],[Member Type]]="Spouse",Table2[[#This Row],[Product Option]]="My Value Plus Life &amp; Funeral",_xlfn.XLOOKUP(B24,Table2[Main Member Link ID],Table2[Benefit Name],0)=Lookups!$D$14),"",
IF(AND(Table2[[#This Row],[Member Type]]="Spouse",Table2[[#This Row],[Product Option]]="My Value Plus Life &amp; Funeral",_xlfn.XLOOKUP(B23,Table2[Main Member Link ID],Table2[Benefit Name],0)=Lookups!$D$16),"",
IF(AND(Table2[[#This Row],[Member Type]]="Spouse",Table2[[#This Row],[Product Option]]="My Value Plus Life &amp; Funeral",_xlfn.XLOOKUP(B23,Table2[Main Member Link ID],Table2[Benefit Name],0)=Lookups!$D$15),"",
IF(AND(Table2[[#This Row],[Member Type]]="Spouse",Table2[[#This Row],[Product Option]]="My Value Plus Life &amp; Funeral",_xlfn.XLOOKUP(B23,Table2[Main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Funeral",_xlfn.XLOOKUP(B24,Table2[Main Member Link ID],Table2[Benefit Name],0)&lt;&gt;Lookups!$D$15),
IF(_xlfn.XLOOKUP(B24,Table2[Main Member Link ID],Table2[Benefit Name],0)=0,"",_xlfn.XLOOKUP(B24,Table2[Main Member Link ID],Table2[Benefit Name],0)),"")
))))))</f>
        <v/>
      </c>
      <c r="AG24" s="327" t="str">
        <f>IF(AND(Table2[[#This Row],[Member Type]]="Main Member",Table2[[#This Row],[Product Option]]="My Value Plus Life &amp; Funeral"),Lookups!$D$16,
IF(AND(Table2[[#This Row],[Member Type]]="Spouse",Table2[[#This Row],[Product Option]]="My Value Plus Life &amp; Funeral",_xlfn.XLOOKUP(B24,Table2[Main Member Link ID],Table2[Benefit Name],0)=Lookups!$D$14),"",
IF(AND(Table2[[#This Row],[Member Type]]="Spouse",Table2[[#This Row],[Product Option]]="My Value Plus Life &amp; Funeral",_xlfn.XLOOKUP(B23,Table2[Main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Funeral",_xlfn.XLOOKUP(B24,Table2[Main Member Link ID],Table2[Benefit Name],0)&lt;&gt;Lookups!$D$16),
IF(_xlfn.XLOOKUP(B24,Table2[Main Member Link ID],Table2[Benefit Name],0)=0,"",_xlfn.XLOOKUP(B24,Table2[Main Member Link ID],Table2[Benefit Name],0)),"")
))))</f>
        <v/>
      </c>
      <c r="AH24" s="327" t="str">
        <f>IF(AND(Table2[[#This Row],[Member Type]]="Main Member",Table2[[#This Row],[Product Option]]="My Value Plus Life &amp; Funeral"),Lookups!$D$17,
IF(AND(Table2[[#This Row],[Member Type]]="Spouse",Table2[[#This Row],[Product Option]]="My Value Plus Life &amp; Funeral",_xlfn.XLOOKUP(B24,Table2[Main Member Link ID],Table2[Benefit Name],0)=Lookups!$D$14),"",
IF(AND(Table2[[#This Row],[Member Type]]="Spouse",Table2[[#This Row],[Product Option]]="My Value Plus Life &amp; Funeral",_xlfn.XLOOKUP(B23,Table2[Main Member Link ID],Table2[Benefit Name],0)=Lookups!$D$16),"",
IF(AND(Table2[[#This Row],[Member Type]]="Child",Table2[[#This Row],[Product Option]]="My Value Plus Life &amp; Funeral"),"",
IF(AND(Table2[[#This Row],[Member Type]]="Child",Table2[[#This Row],[Product Option]]="My Value Plus Life &amp; Funeral",_xlfn.XLOOKUP(B24,Table2[Main Member Link ID],Table2[Benefit Name],0)=Lookups!$D$15),"",
IF(AND(OR(Table2[[#This Row],[Member Type]]="Spouse",Table2[[#This Row],[Member Type]]="Child"),Table2[[#This Row],[Product Option]]="My Value Plus Life &amp; Funeral",_xlfn.XLOOKUP(B24,Table2[Main Member Link ID],Table2[Benefit Name],0)&lt;&gt;Lookups!$D$17),
IF(_xlfn.XLOOKUP(B24,Table2[Main Member Link ID],Table2[Benefit Name],0)=0,"",_xlfn.XLOOKUP(B24,Table2[Main Member Link ID],Table2[Benefit Name],0)),""))))))</f>
        <v/>
      </c>
      <c r="AI24" s="328" t="str">
        <f>IF(AND(Table2[[#This Row],[Member Type]]="Main Member",Table2[[#This Row],[Table Lookup for Life Cover]]="MM_LIFE",Table2[[#This Row],[Age Next Birthday]]&lt;56),1,
IF(AND(Table2[[#This Row],[Member Type]]="Main Member",Table2[[#This Row],[Table Lookup for Life Cover]]="MM_LIFE",Table2[[#This Row],[Age Next Birthday]]&gt;=56),2,
""))</f>
        <v/>
      </c>
      <c r="AJ24" s="328">
        <f>IF(OR(Table2[[#This Row],[Member Type]]="Main Member",Table2[[#This Row],[Main Member Link ID]]=B23),1,0)</f>
        <v>1</v>
      </c>
      <c r="AK24" s="328">
        <f>IF(Table2[[#This Row],[Member Type]]=0,0,
IF(OR(Table2[[#This Row],[Member Type]]="Main Member",Table2[[#This Row],[Main Member Link ID]]&lt;&gt;B24),COUNTIFS(B:B,Table2[[#This Row],[Main Member Link ID]]),
COUNTIFS(B:B,Table2[[#This Row],[Main Member Link ID]],A:A,Table2[[#This Row],[Member Type]])))</f>
        <v>0</v>
      </c>
    </row>
    <row r="25" spans="1:37" x14ac:dyDescent="0.3">
      <c r="A25" s="284">
        <f>Table13[[#This Row],[Member Type]]</f>
        <v>0</v>
      </c>
      <c r="B25" s="284">
        <f>Table13[[#This Row],[Main Member Link ID]]</f>
        <v>0</v>
      </c>
      <c r="C25" s="284">
        <f>Table13[[#This Row],[ID Number]]</f>
        <v>0</v>
      </c>
      <c r="D25" s="285">
        <f>Table13[[#This Row],[Date Of Birth]]</f>
        <v>0</v>
      </c>
      <c r="E25" s="285">
        <f>Table13[[#This Row],[Commencement Date]]</f>
        <v>0</v>
      </c>
      <c r="F25" s="284">
        <f t="shared" si="0"/>
        <v>1</v>
      </c>
      <c r="G25" s="284">
        <f t="shared" si="4"/>
        <v>25</v>
      </c>
      <c r="H25" s="286">
        <f>Table13[[#This Row],[Product Option]]</f>
        <v>0</v>
      </c>
      <c r="I25" s="284">
        <f>IF(AND($A25="Main Member",Table2[[#This Row],[Product Option]]="My Value Plus Life"),"MM_LIFE",
IF(AND($A25="Spouse",Table2[[#This Row],[Product Option]]="My Value Plus Life"),"SP_LIFE",
IF(AND($A25="Main Member",Table2[[#This Row],[Product Option]]="My Value Plus Life &amp; Funeral"),"MM_LIFE",
IF(AND($A25="Spouse",Table2[[#This Row],[Product Option]]="My Value Plus Life &amp; Funeral"),_xlfn.XLOOKUP(Table2[[#This Row],[Benefit Name]],Lookups!$D$18:$D$23,Lookups!$E$18:$E$23,0),
0))))</f>
        <v>0</v>
      </c>
      <c r="J25" s="284">
        <f>IF($I25="","",
IF($I25="MM_LIFE",INDEX('Quotation Tool'!$S$54:$V$60,MATCH($T25,'Quotation Tool'!$S$54:$S$60,0),4),
IF($I25="SP_LIFE",_xlfn.XLOOKUP(B24,$B:$B,$J:$J,0),0)))</f>
        <v>0</v>
      </c>
      <c r="K25" s="287">
        <f t="shared" ca="1" si="5"/>
        <v>0</v>
      </c>
      <c r="L25" s="288">
        <f t="shared" ca="1" si="6"/>
        <v>0</v>
      </c>
      <c r="M25" s="289">
        <f t="shared" ca="1" si="1"/>
        <v>0</v>
      </c>
      <c r="N25" s="286">
        <f>Table13[[#This Row],[Benefit Option]]</f>
        <v>0</v>
      </c>
      <c r="O25" s="284">
        <f>IF(OR(Table2[[#This Row],[Member Type]]="Spouse",Table2[[#This Row],[Member Type]]="Child"),0,
IF(_xlfn.XLOOKUP($N25,Lookups!$D$13:$D$27,Lookups!$F$13:$F$27,0)=Table2[[#This Row],[Table Lookup for Life Cover]],0,
_xlfn.XLOOKUP($N25,Lookups!$D$13:$D$27,Lookups!$F$13:$F$27,0)))</f>
        <v>0</v>
      </c>
      <c r="P25" s="284">
        <f>IF(Table2[[#This Row],[Table Lookup for Funeral]]=0,0,IFERROR(INDEX('Quotation Tool'!$S$54:$V$60,MATCH($T25,'Quotation Tool'!$S$54:$S$60,0),3),0))</f>
        <v>0</v>
      </c>
      <c r="Q25" s="288">
        <f ca="1">IF(OR(Table2[[#This Row],[Benefit Name]]="My Value Plus Life - Main Member",Table2[[#This Row],[Benefit Name]]="My Value Plus Life - Spouse"),0,
IFERROR(VLOOKUP($G25,INDIRECT($O25),$P25,FALSE),0))</f>
        <v>0</v>
      </c>
      <c r="R25" s="288">
        <f ca="1">IF(OR(Table2[[#This Row],[Benefit Name]]="My Value Plus Life - Main Member",Table2[[#This Row],[Benefit Name]]="My Value Plus Life - Spouse"),0,
IFERROR(VLOOKUP($G25,INDIRECT($O25),$P25+1,FALSE),0))</f>
        <v>0</v>
      </c>
      <c r="S25" s="289">
        <f t="shared" ca="1" si="2"/>
        <v>0</v>
      </c>
      <c r="T25" s="284" t="str">
        <f>IF(Table13[[#This Row],[Premium Waiver]]="","None",Table13[[#This Row],[Premium Waiver]])</f>
        <v>None</v>
      </c>
      <c r="U25" s="284">
        <f>Table13[[#This Row],[VAPs Options]]</f>
        <v>0</v>
      </c>
      <c r="V25" s="284">
        <f>Table13[[#This Row],[Annual Increase Option]]</f>
        <v>0</v>
      </c>
      <c r="W25" s="290">
        <f>Table13[[#This Row],[Life Cover Amount]]</f>
        <v>0</v>
      </c>
      <c r="X25" s="290">
        <f>Table13[[#This Row],[Funeral Cover Amount]]</f>
        <v>0</v>
      </c>
      <c r="Y2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5" s="301">
        <f t="shared" ca="1" si="3"/>
        <v>0</v>
      </c>
      <c r="AB25" s="298"/>
      <c r="AC25" s="326" t="str">
        <f>IF(Table2[[#This Row],[Member Type]]="Main Member",Lookups!$C$13,
IF(Table2[[#This Row],[Member Type]]="Spouse",_xlfn.XLOOKUP(B25,Table2[Main Member Link ID],Table2[Product Option],0),
IF(AND(Table2[[#This Row],[Member Type]]="Child",_xlfn.XLOOKUP(B25,Table2[Main Member Link ID],Table2[Product Option],0)&lt;&gt;"My Value Plus Life"),Lookups!$C$24,
IF(AND(OR(Table2[[#This Row],[Member Type]]="Parent",Table2[[#This Row],[Member Type]]="Extended"),_xlfn.XLOOKUP(B25,Table2[Main Member Link ID],Table2[Product Option],0)&lt;&gt;"My Value Plus Life"),Lookups!$C$26,""))))</f>
        <v/>
      </c>
      <c r="AD25" s="326" t="str">
        <f>IF(Table2[[#This Row],[Member Type]]="Main Member",Lookups!$C$14,"")</f>
        <v/>
      </c>
      <c r="AE2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Funeral",_xlfn.XLOOKUP(B25,Table2[Main Member Link ID],Table2[Benefit Name],0)=Lookups!$D$14),"",
IF(AND(Table2[[#This Row],[Member Type]]="Spouse",Table2[[#This Row],[Product Option]]="My Value Plus Life &amp; Funeral",_xlfn.XLOOKUP(B24,Table2[Main Member Link ID],Table2[Benefit Name],0)=Lookups!$D$15),Lookups!$D$20,
IF(AND(Table2[[#This Row],[Member Type]]="Spouse",Table2[[#This Row],[Product Option]]="My Value Plus Life &amp; Funeral",_xlfn.XLOOKUP(B24,Table2[Main Member Link ID],Table2[Benefit Name],0)=Lookups!$D$16),"",
IF(AND(Table2[[#This Row],[Member Type]]="Spouse",Table2[[#This Row],[Product Option]]="My Value Plus Life &amp; Funeral",_xlfn.XLOOKUP(B24,Table2[Main Member Link ID],Table2[Benefit Name],0)=Lookups!$D$17),Lookups!$D$21,
IF(AND(Table2[[#This Row],[Member Type]]="Child",Table2[[#This Row],[Product Option]]="My Value Plus Life &amp; Funeral",_xlfn.XLOOKUP(B25,Table2[Main Member Link ID],Table2[Benefit Name],0)=Lookups!$D$14),"",
IF(AND(Table2[[#This Row],[Member Type]]="Child",Table2[[#This Row],[Product Option]]="My Value Plus Life &amp; Funeral",_xlfn.XLOOKUP(B25,Table2[Main Member Link ID],Table2[Benefit Name],0)=Lookups!$D$15),"",
IF(AND(Table2[[#This Row],[Member Type]]="Child",Table2[[#This Row],[Product Option]]="My Value Plus Life &amp; Funeral",_xlfn.XLOOKUP(B25,Table2[Main Member Link ID],Table2[Benefit Name],0)=Lookups!$D$16),Lookups!$D$24,
IF(AND(Table2[[#This Row],[Member Type]]="Child",Table2[[#This Row],[Product Option]]="My Value Plus Life &amp; Funeral",_xlfn.XLOOKUP(B25,Table2[Main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Funeral",_xlfn.XLOOKUP(B25,Table2[Main Member Link ID],Table2[Benefit Name],0)&lt;&gt;Lookups!$D$14),
IF(_xlfn.XLOOKUP(B25,Table2[Main Member Link ID],Table2[Benefit Name],0)=0,"",_xlfn.XLOOKUP(B25,Table2[Main Member Link ID],Table2[Benefit Name],0)),"")))))))))))))))</f>
        <v/>
      </c>
      <c r="AF25" s="327" t="str">
        <f>IF(AND(Table2[[#This Row],[Member Type]]="Main Member",Table2[[#This Row],[Product Option]]="My Value Plus Life &amp; Funeral"),Lookups!$D$15,
IF(AND(Table2[[#This Row],[Member Type]]="Spouse",Table2[[#This Row],[Product Option]]="My Value Plus Life &amp; Funeral",_xlfn.XLOOKUP(B25,Table2[Main Member Link ID],Table2[Benefit Name],0)=Lookups!$D$14),"",
IF(AND(Table2[[#This Row],[Member Type]]="Spouse",Table2[[#This Row],[Product Option]]="My Value Plus Life &amp; Funeral",_xlfn.XLOOKUP(B24,Table2[Main Member Link ID],Table2[Benefit Name],0)=Lookups!$D$16),"",
IF(AND(Table2[[#This Row],[Member Type]]="Spouse",Table2[[#This Row],[Product Option]]="My Value Plus Life &amp; Funeral",_xlfn.XLOOKUP(B24,Table2[Main Member Link ID],Table2[Benefit Name],0)=Lookups!$D$15),"",
IF(AND(Table2[[#This Row],[Member Type]]="Spouse",Table2[[#This Row],[Product Option]]="My Value Plus Life &amp; Funeral",_xlfn.XLOOKUP(B24,Table2[Main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Funeral",_xlfn.XLOOKUP(B25,Table2[Main Member Link ID],Table2[Benefit Name],0)&lt;&gt;Lookups!$D$15),
IF(_xlfn.XLOOKUP(B25,Table2[Main Member Link ID],Table2[Benefit Name],0)=0,"",_xlfn.XLOOKUP(B25,Table2[Main Member Link ID],Table2[Benefit Name],0)),"")
))))))</f>
        <v/>
      </c>
      <c r="AG25" s="327" t="str">
        <f>IF(AND(Table2[[#This Row],[Member Type]]="Main Member",Table2[[#This Row],[Product Option]]="My Value Plus Life &amp; Funeral"),Lookups!$D$16,
IF(AND(Table2[[#This Row],[Member Type]]="Spouse",Table2[[#This Row],[Product Option]]="My Value Plus Life &amp; Funeral",_xlfn.XLOOKUP(B25,Table2[Main Member Link ID],Table2[Benefit Name],0)=Lookups!$D$14),"",
IF(AND(Table2[[#This Row],[Member Type]]="Spouse",Table2[[#This Row],[Product Option]]="My Value Plus Life &amp; Funeral",_xlfn.XLOOKUP(B24,Table2[Main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Funeral",_xlfn.XLOOKUP(B25,Table2[Main Member Link ID],Table2[Benefit Name],0)&lt;&gt;Lookups!$D$16),
IF(_xlfn.XLOOKUP(B25,Table2[Main Member Link ID],Table2[Benefit Name],0)=0,"",_xlfn.XLOOKUP(B25,Table2[Main Member Link ID],Table2[Benefit Name],0)),"")
))))</f>
        <v/>
      </c>
      <c r="AH25" s="327" t="str">
        <f>IF(AND(Table2[[#This Row],[Member Type]]="Main Member",Table2[[#This Row],[Product Option]]="My Value Plus Life &amp; Funeral"),Lookups!$D$17,
IF(AND(Table2[[#This Row],[Member Type]]="Spouse",Table2[[#This Row],[Product Option]]="My Value Plus Life &amp; Funeral",_xlfn.XLOOKUP(B25,Table2[Main Member Link ID],Table2[Benefit Name],0)=Lookups!$D$14),"",
IF(AND(Table2[[#This Row],[Member Type]]="Spouse",Table2[[#This Row],[Product Option]]="My Value Plus Life &amp; Funeral",_xlfn.XLOOKUP(B24,Table2[Main Member Link ID],Table2[Benefit Name],0)=Lookups!$D$16),"",
IF(AND(Table2[[#This Row],[Member Type]]="Child",Table2[[#This Row],[Product Option]]="My Value Plus Life &amp; Funeral"),"",
IF(AND(Table2[[#This Row],[Member Type]]="Child",Table2[[#This Row],[Product Option]]="My Value Plus Life &amp; Funeral",_xlfn.XLOOKUP(B25,Table2[Main Member Link ID],Table2[Benefit Name],0)=Lookups!$D$15),"",
IF(AND(OR(Table2[[#This Row],[Member Type]]="Spouse",Table2[[#This Row],[Member Type]]="Child"),Table2[[#This Row],[Product Option]]="My Value Plus Life &amp; Funeral",_xlfn.XLOOKUP(B25,Table2[Main Member Link ID],Table2[Benefit Name],0)&lt;&gt;Lookups!$D$17),
IF(_xlfn.XLOOKUP(B25,Table2[Main Member Link ID],Table2[Benefit Name],0)=0,"",_xlfn.XLOOKUP(B25,Table2[Main Member Link ID],Table2[Benefit Name],0)),""))))))</f>
        <v/>
      </c>
      <c r="AI25" s="328" t="str">
        <f>IF(AND(Table2[[#This Row],[Member Type]]="Main Member",Table2[[#This Row],[Table Lookup for Life Cover]]="MM_LIFE",Table2[[#This Row],[Age Next Birthday]]&lt;56),1,
IF(AND(Table2[[#This Row],[Member Type]]="Main Member",Table2[[#This Row],[Table Lookup for Life Cover]]="MM_LIFE",Table2[[#This Row],[Age Next Birthday]]&gt;=56),2,
""))</f>
        <v/>
      </c>
      <c r="AJ25" s="328">
        <f>IF(OR(Table2[[#This Row],[Member Type]]="Main Member",Table2[[#This Row],[Main Member Link ID]]=B24),1,0)</f>
        <v>1</v>
      </c>
      <c r="AK25" s="328">
        <f>IF(Table2[[#This Row],[Member Type]]=0,0,
IF(OR(Table2[[#This Row],[Member Type]]="Main Member",Table2[[#This Row],[Main Member Link ID]]&lt;&gt;B25),COUNTIFS(B:B,Table2[[#This Row],[Main Member Link ID]]),
COUNTIFS(B:B,Table2[[#This Row],[Main Member Link ID]],A:A,Table2[[#This Row],[Member Type]])))</f>
        <v>0</v>
      </c>
    </row>
    <row r="26" spans="1:37" x14ac:dyDescent="0.3">
      <c r="A26" s="284">
        <f>Table13[[#This Row],[Member Type]]</f>
        <v>0</v>
      </c>
      <c r="B26" s="284">
        <f>Table13[[#This Row],[Main Member Link ID]]</f>
        <v>0</v>
      </c>
      <c r="C26" s="284">
        <f>Table13[[#This Row],[ID Number]]</f>
        <v>0</v>
      </c>
      <c r="D26" s="285">
        <f>Table13[[#This Row],[Date Of Birth]]</f>
        <v>0</v>
      </c>
      <c r="E26" s="285">
        <f>Table13[[#This Row],[Commencement Date]]</f>
        <v>0</v>
      </c>
      <c r="F26" s="284">
        <f t="shared" si="0"/>
        <v>1</v>
      </c>
      <c r="G26" s="284">
        <f t="shared" si="4"/>
        <v>25</v>
      </c>
      <c r="H26" s="286">
        <f>Table13[[#This Row],[Product Option]]</f>
        <v>0</v>
      </c>
      <c r="I26" s="284">
        <f>IF(AND($A26="Main Member",Table2[[#This Row],[Product Option]]="My Value Plus Life"),"MM_LIFE",
IF(AND($A26="Spouse",Table2[[#This Row],[Product Option]]="My Value Plus Life"),"SP_LIFE",
IF(AND($A26="Main Member",Table2[[#This Row],[Product Option]]="My Value Plus Life &amp; Funeral"),"MM_LIFE",
IF(AND($A26="Spouse",Table2[[#This Row],[Product Option]]="My Value Plus Life &amp; Funeral"),_xlfn.XLOOKUP(Table2[[#This Row],[Benefit Name]],Lookups!$D$18:$D$23,Lookups!$E$18:$E$23,0),
0))))</f>
        <v>0</v>
      </c>
      <c r="J26" s="284">
        <f>IF($I26="","",
IF($I26="MM_LIFE",INDEX('Quotation Tool'!$S$54:$V$60,MATCH($T26,'Quotation Tool'!$S$54:$S$60,0),4),
IF($I26="SP_LIFE",_xlfn.XLOOKUP(B25,$B:$B,$J:$J,0),0)))</f>
        <v>0</v>
      </c>
      <c r="K26" s="287">
        <f t="shared" ca="1" si="5"/>
        <v>0</v>
      </c>
      <c r="L26" s="288">
        <f t="shared" ca="1" si="6"/>
        <v>0</v>
      </c>
      <c r="M26" s="289">
        <f t="shared" ca="1" si="1"/>
        <v>0</v>
      </c>
      <c r="N26" s="286">
        <f>Table13[[#This Row],[Benefit Option]]</f>
        <v>0</v>
      </c>
      <c r="O26" s="284">
        <f>IF(OR(Table2[[#This Row],[Member Type]]="Spouse",Table2[[#This Row],[Member Type]]="Child"),0,
IF(_xlfn.XLOOKUP($N26,Lookups!$D$13:$D$27,Lookups!$F$13:$F$27,0)=Table2[[#This Row],[Table Lookup for Life Cover]],0,
_xlfn.XLOOKUP($N26,Lookups!$D$13:$D$27,Lookups!$F$13:$F$27,0)))</f>
        <v>0</v>
      </c>
      <c r="P26" s="284">
        <f>IF(Table2[[#This Row],[Table Lookup for Funeral]]=0,0,IFERROR(INDEX('Quotation Tool'!$S$54:$V$60,MATCH($T26,'Quotation Tool'!$S$54:$S$60,0),3),0))</f>
        <v>0</v>
      </c>
      <c r="Q26" s="288">
        <f ca="1">IF(OR(Table2[[#This Row],[Benefit Name]]="My Value Plus Life - Main Member",Table2[[#This Row],[Benefit Name]]="My Value Plus Life - Spouse"),0,
IFERROR(VLOOKUP($G26,INDIRECT($O26),$P26,FALSE),0))</f>
        <v>0</v>
      </c>
      <c r="R26" s="288">
        <f ca="1">IF(OR(Table2[[#This Row],[Benefit Name]]="My Value Plus Life - Main Member",Table2[[#This Row],[Benefit Name]]="My Value Plus Life - Spouse"),0,
IFERROR(VLOOKUP($G26,INDIRECT($O26),$P26+1,FALSE),0))</f>
        <v>0</v>
      </c>
      <c r="S26" s="289">
        <f t="shared" ca="1" si="2"/>
        <v>0</v>
      </c>
      <c r="T26" s="284" t="str">
        <f>IF(Table13[[#This Row],[Premium Waiver]]="","None",Table13[[#This Row],[Premium Waiver]])</f>
        <v>None</v>
      </c>
      <c r="U26" s="284">
        <f>Table13[[#This Row],[VAPs Options]]</f>
        <v>0</v>
      </c>
      <c r="V26" s="284">
        <f>Table13[[#This Row],[Annual Increase Option]]</f>
        <v>0</v>
      </c>
      <c r="W26" s="290">
        <f>Table13[[#This Row],[Life Cover Amount]]</f>
        <v>0</v>
      </c>
      <c r="X26" s="290">
        <f>Table13[[#This Row],[Funeral Cover Amount]]</f>
        <v>0</v>
      </c>
      <c r="Y2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6" s="301">
        <f t="shared" ca="1" si="3"/>
        <v>0</v>
      </c>
      <c r="AB26" s="298"/>
      <c r="AC26" s="326" t="str">
        <f>IF(Table2[[#This Row],[Member Type]]="Main Member",Lookups!$C$13,
IF(Table2[[#This Row],[Member Type]]="Spouse",_xlfn.XLOOKUP(B26,Table2[Main Member Link ID],Table2[Product Option],0),
IF(AND(Table2[[#This Row],[Member Type]]="Child",_xlfn.XLOOKUP(B26,Table2[Main Member Link ID],Table2[Product Option],0)&lt;&gt;"My Value Plus Life"),Lookups!$C$24,
IF(AND(OR(Table2[[#This Row],[Member Type]]="Parent",Table2[[#This Row],[Member Type]]="Extended"),_xlfn.XLOOKUP(B26,Table2[Main Member Link ID],Table2[Product Option],0)&lt;&gt;"My Value Plus Life"),Lookups!$C$26,""))))</f>
        <v/>
      </c>
      <c r="AD26" s="326" t="str">
        <f>IF(Table2[[#This Row],[Member Type]]="Main Member",Lookups!$C$14,"")</f>
        <v/>
      </c>
      <c r="AE2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Funeral",_xlfn.XLOOKUP(B26,Table2[Main Member Link ID],Table2[Benefit Name],0)=Lookups!$D$14),"",
IF(AND(Table2[[#This Row],[Member Type]]="Spouse",Table2[[#This Row],[Product Option]]="My Value Plus Life &amp; Funeral",_xlfn.XLOOKUP(B25,Table2[Main Member Link ID],Table2[Benefit Name],0)=Lookups!$D$15),Lookups!$D$20,
IF(AND(Table2[[#This Row],[Member Type]]="Spouse",Table2[[#This Row],[Product Option]]="My Value Plus Life &amp; Funeral",_xlfn.XLOOKUP(B25,Table2[Main Member Link ID],Table2[Benefit Name],0)=Lookups!$D$16),"",
IF(AND(Table2[[#This Row],[Member Type]]="Spouse",Table2[[#This Row],[Product Option]]="My Value Plus Life &amp; Funeral",_xlfn.XLOOKUP(B25,Table2[Main Member Link ID],Table2[Benefit Name],0)=Lookups!$D$17),Lookups!$D$21,
IF(AND(Table2[[#This Row],[Member Type]]="Child",Table2[[#This Row],[Product Option]]="My Value Plus Life &amp; Funeral",_xlfn.XLOOKUP(B26,Table2[Main Member Link ID],Table2[Benefit Name],0)=Lookups!$D$14),"",
IF(AND(Table2[[#This Row],[Member Type]]="Child",Table2[[#This Row],[Product Option]]="My Value Plus Life &amp; Funeral",_xlfn.XLOOKUP(B26,Table2[Main Member Link ID],Table2[Benefit Name],0)=Lookups!$D$15),"",
IF(AND(Table2[[#This Row],[Member Type]]="Child",Table2[[#This Row],[Product Option]]="My Value Plus Life &amp; Funeral",_xlfn.XLOOKUP(B26,Table2[Main Member Link ID],Table2[Benefit Name],0)=Lookups!$D$16),Lookups!$D$24,
IF(AND(Table2[[#This Row],[Member Type]]="Child",Table2[[#This Row],[Product Option]]="My Value Plus Life &amp; Funeral",_xlfn.XLOOKUP(B26,Table2[Main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Funeral",_xlfn.XLOOKUP(B26,Table2[Main Member Link ID],Table2[Benefit Name],0)&lt;&gt;Lookups!$D$14),
IF(_xlfn.XLOOKUP(B26,Table2[Main Member Link ID],Table2[Benefit Name],0)=0,"",_xlfn.XLOOKUP(B26,Table2[Main Member Link ID],Table2[Benefit Name],0)),"")))))))))))))))</f>
        <v/>
      </c>
      <c r="AF26" s="327" t="str">
        <f>IF(AND(Table2[[#This Row],[Member Type]]="Main Member",Table2[[#This Row],[Product Option]]="My Value Plus Life &amp; Funeral"),Lookups!$D$15,
IF(AND(Table2[[#This Row],[Member Type]]="Spouse",Table2[[#This Row],[Product Option]]="My Value Plus Life &amp; Funeral",_xlfn.XLOOKUP(B26,Table2[Main Member Link ID],Table2[Benefit Name],0)=Lookups!$D$14),"",
IF(AND(Table2[[#This Row],[Member Type]]="Spouse",Table2[[#This Row],[Product Option]]="My Value Plus Life &amp; Funeral",_xlfn.XLOOKUP(B25,Table2[Main Member Link ID],Table2[Benefit Name],0)=Lookups!$D$16),"",
IF(AND(Table2[[#This Row],[Member Type]]="Spouse",Table2[[#This Row],[Product Option]]="My Value Plus Life &amp; Funeral",_xlfn.XLOOKUP(B25,Table2[Main Member Link ID],Table2[Benefit Name],0)=Lookups!$D$15),"",
IF(AND(Table2[[#This Row],[Member Type]]="Spouse",Table2[[#This Row],[Product Option]]="My Value Plus Life &amp; Funeral",_xlfn.XLOOKUP(B25,Table2[Main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Funeral",_xlfn.XLOOKUP(B26,Table2[Main Member Link ID],Table2[Benefit Name],0)&lt;&gt;Lookups!$D$15),
IF(_xlfn.XLOOKUP(B26,Table2[Main Member Link ID],Table2[Benefit Name],0)=0,"",_xlfn.XLOOKUP(B26,Table2[Main Member Link ID],Table2[Benefit Name],0)),"")
))))))</f>
        <v/>
      </c>
      <c r="AG26" s="327" t="str">
        <f>IF(AND(Table2[[#This Row],[Member Type]]="Main Member",Table2[[#This Row],[Product Option]]="My Value Plus Life &amp; Funeral"),Lookups!$D$16,
IF(AND(Table2[[#This Row],[Member Type]]="Spouse",Table2[[#This Row],[Product Option]]="My Value Plus Life &amp; Funeral",_xlfn.XLOOKUP(B26,Table2[Main Member Link ID],Table2[Benefit Name],0)=Lookups!$D$14),"",
IF(AND(Table2[[#This Row],[Member Type]]="Spouse",Table2[[#This Row],[Product Option]]="My Value Plus Life &amp; Funeral",_xlfn.XLOOKUP(B25,Table2[Main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Funeral",_xlfn.XLOOKUP(B26,Table2[Main Member Link ID],Table2[Benefit Name],0)&lt;&gt;Lookups!$D$16),
IF(_xlfn.XLOOKUP(B26,Table2[Main Member Link ID],Table2[Benefit Name],0)=0,"",_xlfn.XLOOKUP(B26,Table2[Main Member Link ID],Table2[Benefit Name],0)),"")
))))</f>
        <v/>
      </c>
      <c r="AH26" s="327" t="str">
        <f>IF(AND(Table2[[#This Row],[Member Type]]="Main Member",Table2[[#This Row],[Product Option]]="My Value Plus Life &amp; Funeral"),Lookups!$D$17,
IF(AND(Table2[[#This Row],[Member Type]]="Spouse",Table2[[#This Row],[Product Option]]="My Value Plus Life &amp; Funeral",_xlfn.XLOOKUP(B26,Table2[Main Member Link ID],Table2[Benefit Name],0)=Lookups!$D$14),"",
IF(AND(Table2[[#This Row],[Member Type]]="Spouse",Table2[[#This Row],[Product Option]]="My Value Plus Life &amp; Funeral",_xlfn.XLOOKUP(B25,Table2[Main Member Link ID],Table2[Benefit Name],0)=Lookups!$D$16),"",
IF(AND(Table2[[#This Row],[Member Type]]="Child",Table2[[#This Row],[Product Option]]="My Value Plus Life &amp; Funeral"),"",
IF(AND(Table2[[#This Row],[Member Type]]="Child",Table2[[#This Row],[Product Option]]="My Value Plus Life &amp; Funeral",_xlfn.XLOOKUP(B26,Table2[Main Member Link ID],Table2[Benefit Name],0)=Lookups!$D$15),"",
IF(AND(OR(Table2[[#This Row],[Member Type]]="Spouse",Table2[[#This Row],[Member Type]]="Child"),Table2[[#This Row],[Product Option]]="My Value Plus Life &amp; Funeral",_xlfn.XLOOKUP(B26,Table2[Main Member Link ID],Table2[Benefit Name],0)&lt;&gt;Lookups!$D$17),
IF(_xlfn.XLOOKUP(B26,Table2[Main Member Link ID],Table2[Benefit Name],0)=0,"",_xlfn.XLOOKUP(B26,Table2[Main Member Link ID],Table2[Benefit Name],0)),""))))))</f>
        <v/>
      </c>
      <c r="AI26" s="328" t="str">
        <f>IF(AND(Table2[[#This Row],[Member Type]]="Main Member",Table2[[#This Row],[Table Lookup for Life Cover]]="MM_LIFE",Table2[[#This Row],[Age Next Birthday]]&lt;56),1,
IF(AND(Table2[[#This Row],[Member Type]]="Main Member",Table2[[#This Row],[Table Lookup for Life Cover]]="MM_LIFE",Table2[[#This Row],[Age Next Birthday]]&gt;=56),2,
""))</f>
        <v/>
      </c>
      <c r="AJ26" s="328">
        <f>IF(OR(Table2[[#This Row],[Member Type]]="Main Member",Table2[[#This Row],[Main Member Link ID]]=B25),1,0)</f>
        <v>1</v>
      </c>
      <c r="AK26" s="328">
        <f>IF(Table2[[#This Row],[Member Type]]=0,0,
IF(OR(Table2[[#This Row],[Member Type]]="Main Member",Table2[[#This Row],[Main Member Link ID]]&lt;&gt;B26),COUNTIFS(B:B,Table2[[#This Row],[Main Member Link ID]]),
COUNTIFS(B:B,Table2[[#This Row],[Main Member Link ID]],A:A,Table2[[#This Row],[Member Type]])))</f>
        <v>0</v>
      </c>
    </row>
    <row r="27" spans="1:37" x14ac:dyDescent="0.3">
      <c r="A27" s="284">
        <f>Table13[[#This Row],[Member Type]]</f>
        <v>0</v>
      </c>
      <c r="B27" s="284">
        <f>Table13[[#This Row],[Main Member Link ID]]</f>
        <v>0</v>
      </c>
      <c r="C27" s="284">
        <f>Table13[[#This Row],[ID Number]]</f>
        <v>0</v>
      </c>
      <c r="D27" s="285">
        <f>Table13[[#This Row],[Date Of Birth]]</f>
        <v>0</v>
      </c>
      <c r="E27" s="285">
        <f>Table13[[#This Row],[Commencement Date]]</f>
        <v>0</v>
      </c>
      <c r="F27" s="284">
        <f t="shared" si="0"/>
        <v>1</v>
      </c>
      <c r="G27" s="284">
        <f t="shared" si="4"/>
        <v>25</v>
      </c>
      <c r="H27" s="286">
        <f>Table13[[#This Row],[Product Option]]</f>
        <v>0</v>
      </c>
      <c r="I27" s="284">
        <f>IF(AND($A27="Main Member",Table2[[#This Row],[Product Option]]="My Value Plus Life"),"MM_LIFE",
IF(AND($A27="Spouse",Table2[[#This Row],[Product Option]]="My Value Plus Life"),"SP_LIFE",
IF(AND($A27="Main Member",Table2[[#This Row],[Product Option]]="My Value Plus Life &amp; Funeral"),"MM_LIFE",
IF(AND($A27="Spouse",Table2[[#This Row],[Product Option]]="My Value Plus Life &amp; Funeral"),_xlfn.XLOOKUP(Table2[[#This Row],[Benefit Name]],Lookups!$D$18:$D$23,Lookups!$E$18:$E$23,0),
0))))</f>
        <v>0</v>
      </c>
      <c r="J27" s="284">
        <f>IF($I27="","",
IF($I27="MM_LIFE",INDEX('Quotation Tool'!$S$54:$V$60,MATCH($T27,'Quotation Tool'!$S$54:$S$60,0),4),
IF($I27="SP_LIFE",_xlfn.XLOOKUP(B26,$B:$B,$J:$J,0),0)))</f>
        <v>0</v>
      </c>
      <c r="K27" s="287">
        <f t="shared" ca="1" si="5"/>
        <v>0</v>
      </c>
      <c r="L27" s="288">
        <f t="shared" ca="1" si="6"/>
        <v>0</v>
      </c>
      <c r="M27" s="289">
        <f t="shared" ca="1" si="1"/>
        <v>0</v>
      </c>
      <c r="N27" s="286">
        <f>Table13[[#This Row],[Benefit Option]]</f>
        <v>0</v>
      </c>
      <c r="O27" s="284">
        <f>IF(OR(Table2[[#This Row],[Member Type]]="Spouse",Table2[[#This Row],[Member Type]]="Child"),0,
IF(_xlfn.XLOOKUP($N27,Lookups!$D$13:$D$27,Lookups!$F$13:$F$27,0)=Table2[[#This Row],[Table Lookup for Life Cover]],0,
_xlfn.XLOOKUP($N27,Lookups!$D$13:$D$27,Lookups!$F$13:$F$27,0)))</f>
        <v>0</v>
      </c>
      <c r="P27" s="284">
        <f>IF(Table2[[#This Row],[Table Lookup for Funeral]]=0,0,IFERROR(INDEX('Quotation Tool'!$S$54:$V$60,MATCH($T27,'Quotation Tool'!$S$54:$S$60,0),3),0))</f>
        <v>0</v>
      </c>
      <c r="Q27" s="288">
        <f ca="1">IF(OR(Table2[[#This Row],[Benefit Name]]="My Value Plus Life - Main Member",Table2[[#This Row],[Benefit Name]]="My Value Plus Life - Spouse"),0,
IFERROR(VLOOKUP($G27,INDIRECT($O27),$P27,FALSE),0))</f>
        <v>0</v>
      </c>
      <c r="R27" s="288">
        <f ca="1">IF(OR(Table2[[#This Row],[Benefit Name]]="My Value Plus Life - Main Member",Table2[[#This Row],[Benefit Name]]="My Value Plus Life - Spouse"),0,
IFERROR(VLOOKUP($G27,INDIRECT($O27),$P27+1,FALSE),0))</f>
        <v>0</v>
      </c>
      <c r="S27" s="289">
        <f t="shared" ca="1" si="2"/>
        <v>0</v>
      </c>
      <c r="T27" s="284" t="str">
        <f>IF(Table13[[#This Row],[Premium Waiver]]="","None",Table13[[#This Row],[Premium Waiver]])</f>
        <v>None</v>
      </c>
      <c r="U27" s="284">
        <f>Table13[[#This Row],[VAPs Options]]</f>
        <v>0</v>
      </c>
      <c r="V27" s="284">
        <f>Table13[[#This Row],[Annual Increase Option]]</f>
        <v>0</v>
      </c>
      <c r="W27" s="290">
        <f>Table13[[#This Row],[Life Cover Amount]]</f>
        <v>0</v>
      </c>
      <c r="X27" s="290">
        <f>Table13[[#This Row],[Funeral Cover Amount]]</f>
        <v>0</v>
      </c>
      <c r="Y2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7" s="301">
        <f t="shared" ca="1" si="3"/>
        <v>0</v>
      </c>
      <c r="AB27" s="298"/>
      <c r="AC27" s="326" t="str">
        <f>IF(Table2[[#This Row],[Member Type]]="Main Member",Lookups!$C$13,
IF(Table2[[#This Row],[Member Type]]="Spouse",_xlfn.XLOOKUP(B27,Table2[Main Member Link ID],Table2[Product Option],0),
IF(AND(Table2[[#This Row],[Member Type]]="Child",_xlfn.XLOOKUP(B27,Table2[Main Member Link ID],Table2[Product Option],0)&lt;&gt;"My Value Plus Life"),Lookups!$C$24,
IF(AND(OR(Table2[[#This Row],[Member Type]]="Parent",Table2[[#This Row],[Member Type]]="Extended"),_xlfn.XLOOKUP(B27,Table2[Main Member Link ID],Table2[Product Option],0)&lt;&gt;"My Value Plus Life"),Lookups!$C$26,""))))</f>
        <v/>
      </c>
      <c r="AD27" s="326" t="str">
        <f>IF(Table2[[#This Row],[Member Type]]="Main Member",Lookups!$C$14,"")</f>
        <v/>
      </c>
      <c r="AE2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Funeral",_xlfn.XLOOKUP(B27,Table2[Main Member Link ID],Table2[Benefit Name],0)=Lookups!$D$14),"",
IF(AND(Table2[[#This Row],[Member Type]]="Spouse",Table2[[#This Row],[Product Option]]="My Value Plus Life &amp; Funeral",_xlfn.XLOOKUP(B26,Table2[Main Member Link ID],Table2[Benefit Name],0)=Lookups!$D$15),Lookups!$D$20,
IF(AND(Table2[[#This Row],[Member Type]]="Spouse",Table2[[#This Row],[Product Option]]="My Value Plus Life &amp; Funeral",_xlfn.XLOOKUP(B26,Table2[Main Member Link ID],Table2[Benefit Name],0)=Lookups!$D$16),"",
IF(AND(Table2[[#This Row],[Member Type]]="Spouse",Table2[[#This Row],[Product Option]]="My Value Plus Life &amp; Funeral",_xlfn.XLOOKUP(B26,Table2[Main Member Link ID],Table2[Benefit Name],0)=Lookups!$D$17),Lookups!$D$21,
IF(AND(Table2[[#This Row],[Member Type]]="Child",Table2[[#This Row],[Product Option]]="My Value Plus Life &amp; Funeral",_xlfn.XLOOKUP(B27,Table2[Main Member Link ID],Table2[Benefit Name],0)=Lookups!$D$14),"",
IF(AND(Table2[[#This Row],[Member Type]]="Child",Table2[[#This Row],[Product Option]]="My Value Plus Life &amp; Funeral",_xlfn.XLOOKUP(B27,Table2[Main Member Link ID],Table2[Benefit Name],0)=Lookups!$D$15),"",
IF(AND(Table2[[#This Row],[Member Type]]="Child",Table2[[#This Row],[Product Option]]="My Value Plus Life &amp; Funeral",_xlfn.XLOOKUP(B27,Table2[Main Member Link ID],Table2[Benefit Name],0)=Lookups!$D$16),Lookups!$D$24,
IF(AND(Table2[[#This Row],[Member Type]]="Child",Table2[[#This Row],[Product Option]]="My Value Plus Life &amp; Funeral",_xlfn.XLOOKUP(B27,Table2[Main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Funeral",_xlfn.XLOOKUP(B27,Table2[Main Member Link ID],Table2[Benefit Name],0)&lt;&gt;Lookups!$D$14),
IF(_xlfn.XLOOKUP(B27,Table2[Main Member Link ID],Table2[Benefit Name],0)=0,"",_xlfn.XLOOKUP(B27,Table2[Main Member Link ID],Table2[Benefit Name],0)),"")))))))))))))))</f>
        <v/>
      </c>
      <c r="AF27" s="327" t="str">
        <f>IF(AND(Table2[[#This Row],[Member Type]]="Main Member",Table2[[#This Row],[Product Option]]="My Value Plus Life &amp; Funeral"),Lookups!$D$15,
IF(AND(Table2[[#This Row],[Member Type]]="Spouse",Table2[[#This Row],[Product Option]]="My Value Plus Life &amp; Funeral",_xlfn.XLOOKUP(B27,Table2[Main Member Link ID],Table2[Benefit Name],0)=Lookups!$D$14),"",
IF(AND(Table2[[#This Row],[Member Type]]="Spouse",Table2[[#This Row],[Product Option]]="My Value Plus Life &amp; Funeral",_xlfn.XLOOKUP(B26,Table2[Main Member Link ID],Table2[Benefit Name],0)=Lookups!$D$16),"",
IF(AND(Table2[[#This Row],[Member Type]]="Spouse",Table2[[#This Row],[Product Option]]="My Value Plus Life &amp; Funeral",_xlfn.XLOOKUP(B26,Table2[Main Member Link ID],Table2[Benefit Name],0)=Lookups!$D$15),"",
IF(AND(Table2[[#This Row],[Member Type]]="Spouse",Table2[[#This Row],[Product Option]]="My Value Plus Life &amp; Funeral",_xlfn.XLOOKUP(B26,Table2[Main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Funeral",_xlfn.XLOOKUP(B27,Table2[Main Member Link ID],Table2[Benefit Name],0)&lt;&gt;Lookups!$D$15),
IF(_xlfn.XLOOKUP(B27,Table2[Main Member Link ID],Table2[Benefit Name],0)=0,"",_xlfn.XLOOKUP(B27,Table2[Main Member Link ID],Table2[Benefit Name],0)),"")
))))))</f>
        <v/>
      </c>
      <c r="AG27" s="327" t="str">
        <f>IF(AND(Table2[[#This Row],[Member Type]]="Main Member",Table2[[#This Row],[Product Option]]="My Value Plus Life &amp; Funeral"),Lookups!$D$16,
IF(AND(Table2[[#This Row],[Member Type]]="Spouse",Table2[[#This Row],[Product Option]]="My Value Plus Life &amp; Funeral",_xlfn.XLOOKUP(B27,Table2[Main Member Link ID],Table2[Benefit Name],0)=Lookups!$D$14),"",
IF(AND(Table2[[#This Row],[Member Type]]="Spouse",Table2[[#This Row],[Product Option]]="My Value Plus Life &amp; Funeral",_xlfn.XLOOKUP(B26,Table2[Main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Funeral",_xlfn.XLOOKUP(B27,Table2[Main Member Link ID],Table2[Benefit Name],0)&lt;&gt;Lookups!$D$16),
IF(_xlfn.XLOOKUP(B27,Table2[Main Member Link ID],Table2[Benefit Name],0)=0,"",_xlfn.XLOOKUP(B27,Table2[Main Member Link ID],Table2[Benefit Name],0)),"")
))))</f>
        <v/>
      </c>
      <c r="AH27" s="327" t="str">
        <f>IF(AND(Table2[[#This Row],[Member Type]]="Main Member",Table2[[#This Row],[Product Option]]="My Value Plus Life &amp; Funeral"),Lookups!$D$17,
IF(AND(Table2[[#This Row],[Member Type]]="Spouse",Table2[[#This Row],[Product Option]]="My Value Plus Life &amp; Funeral",_xlfn.XLOOKUP(B27,Table2[Main Member Link ID],Table2[Benefit Name],0)=Lookups!$D$14),"",
IF(AND(Table2[[#This Row],[Member Type]]="Spouse",Table2[[#This Row],[Product Option]]="My Value Plus Life &amp; Funeral",_xlfn.XLOOKUP(B26,Table2[Main Member Link ID],Table2[Benefit Name],0)=Lookups!$D$16),"",
IF(AND(Table2[[#This Row],[Member Type]]="Child",Table2[[#This Row],[Product Option]]="My Value Plus Life &amp; Funeral"),"",
IF(AND(Table2[[#This Row],[Member Type]]="Child",Table2[[#This Row],[Product Option]]="My Value Plus Life &amp; Funeral",_xlfn.XLOOKUP(B27,Table2[Main Member Link ID],Table2[Benefit Name],0)=Lookups!$D$15),"",
IF(AND(OR(Table2[[#This Row],[Member Type]]="Spouse",Table2[[#This Row],[Member Type]]="Child"),Table2[[#This Row],[Product Option]]="My Value Plus Life &amp; Funeral",_xlfn.XLOOKUP(B27,Table2[Main Member Link ID],Table2[Benefit Name],0)&lt;&gt;Lookups!$D$17),
IF(_xlfn.XLOOKUP(B27,Table2[Main Member Link ID],Table2[Benefit Name],0)=0,"",_xlfn.XLOOKUP(B27,Table2[Main Member Link ID],Table2[Benefit Name],0)),""))))))</f>
        <v/>
      </c>
      <c r="AI27" s="328" t="str">
        <f>IF(AND(Table2[[#This Row],[Member Type]]="Main Member",Table2[[#This Row],[Table Lookup for Life Cover]]="MM_LIFE",Table2[[#This Row],[Age Next Birthday]]&lt;56),1,
IF(AND(Table2[[#This Row],[Member Type]]="Main Member",Table2[[#This Row],[Table Lookup for Life Cover]]="MM_LIFE",Table2[[#This Row],[Age Next Birthday]]&gt;=56),2,
""))</f>
        <v/>
      </c>
      <c r="AJ27" s="328">
        <f>IF(OR(Table2[[#This Row],[Member Type]]="Main Member",Table2[[#This Row],[Main Member Link ID]]=B26),1,0)</f>
        <v>1</v>
      </c>
      <c r="AK27" s="328">
        <f>IF(Table2[[#This Row],[Member Type]]=0,0,
IF(OR(Table2[[#This Row],[Member Type]]="Main Member",Table2[[#This Row],[Main Member Link ID]]&lt;&gt;B27),COUNTIFS(B:B,Table2[[#This Row],[Main Member Link ID]]),
COUNTIFS(B:B,Table2[[#This Row],[Main Member Link ID]],A:A,Table2[[#This Row],[Member Type]])))</f>
        <v>0</v>
      </c>
    </row>
    <row r="28" spans="1:37" x14ac:dyDescent="0.3">
      <c r="A28" s="284">
        <f>Table13[[#This Row],[Member Type]]</f>
        <v>0</v>
      </c>
      <c r="B28" s="284">
        <f>Table13[[#This Row],[Main Member Link ID]]</f>
        <v>0</v>
      </c>
      <c r="C28" s="284">
        <f>Table13[[#This Row],[ID Number]]</f>
        <v>0</v>
      </c>
      <c r="D28" s="285">
        <f>Table13[[#This Row],[Date Of Birth]]</f>
        <v>0</v>
      </c>
      <c r="E28" s="285">
        <f>Table13[[#This Row],[Commencement Date]]</f>
        <v>0</v>
      </c>
      <c r="F28" s="284">
        <f t="shared" si="0"/>
        <v>1</v>
      </c>
      <c r="G28" s="284">
        <f t="shared" si="4"/>
        <v>25</v>
      </c>
      <c r="H28" s="286">
        <f>Table13[[#This Row],[Product Option]]</f>
        <v>0</v>
      </c>
      <c r="I28" s="284">
        <f>IF(AND($A28="Main Member",Table2[[#This Row],[Product Option]]="My Value Plus Life"),"MM_LIFE",
IF(AND($A28="Spouse",Table2[[#This Row],[Product Option]]="My Value Plus Life"),"SP_LIFE",
IF(AND($A28="Main Member",Table2[[#This Row],[Product Option]]="My Value Plus Life &amp; Funeral"),"MM_LIFE",
IF(AND($A28="Spouse",Table2[[#This Row],[Product Option]]="My Value Plus Life &amp; Funeral"),_xlfn.XLOOKUP(Table2[[#This Row],[Benefit Name]],Lookups!$D$18:$D$23,Lookups!$E$18:$E$23,0),
0))))</f>
        <v>0</v>
      </c>
      <c r="J28" s="284">
        <f>IF($I28="","",
IF($I28="MM_LIFE",INDEX('Quotation Tool'!$S$54:$V$60,MATCH($T28,'Quotation Tool'!$S$54:$S$60,0),4),
IF($I28="SP_LIFE",_xlfn.XLOOKUP(B27,$B:$B,$J:$J,0),0)))</f>
        <v>0</v>
      </c>
      <c r="K28" s="287">
        <f t="shared" ca="1" si="5"/>
        <v>0</v>
      </c>
      <c r="L28" s="288">
        <f t="shared" ca="1" si="6"/>
        <v>0</v>
      </c>
      <c r="M28" s="289">
        <f t="shared" ca="1" si="1"/>
        <v>0</v>
      </c>
      <c r="N28" s="286">
        <f>Table13[[#This Row],[Benefit Option]]</f>
        <v>0</v>
      </c>
      <c r="O28" s="284">
        <f>IF(OR(Table2[[#This Row],[Member Type]]="Spouse",Table2[[#This Row],[Member Type]]="Child"),0,
IF(_xlfn.XLOOKUP($N28,Lookups!$D$13:$D$27,Lookups!$F$13:$F$27,0)=Table2[[#This Row],[Table Lookup for Life Cover]],0,
_xlfn.XLOOKUP($N28,Lookups!$D$13:$D$27,Lookups!$F$13:$F$27,0)))</f>
        <v>0</v>
      </c>
      <c r="P28" s="284">
        <f>IF(Table2[[#This Row],[Table Lookup for Funeral]]=0,0,IFERROR(INDEX('Quotation Tool'!$S$54:$V$60,MATCH($T28,'Quotation Tool'!$S$54:$S$60,0),3),0))</f>
        <v>0</v>
      </c>
      <c r="Q28" s="288">
        <f ca="1">IF(OR(Table2[[#This Row],[Benefit Name]]="My Value Plus Life - Main Member",Table2[[#This Row],[Benefit Name]]="My Value Plus Life - Spouse"),0,
IFERROR(VLOOKUP($G28,INDIRECT($O28),$P28,FALSE),0))</f>
        <v>0</v>
      </c>
      <c r="R28" s="288">
        <f ca="1">IF(OR(Table2[[#This Row],[Benefit Name]]="My Value Plus Life - Main Member",Table2[[#This Row],[Benefit Name]]="My Value Plus Life - Spouse"),0,
IFERROR(VLOOKUP($G28,INDIRECT($O28),$P28+1,FALSE),0))</f>
        <v>0</v>
      </c>
      <c r="S28" s="289">
        <f t="shared" ca="1" si="2"/>
        <v>0</v>
      </c>
      <c r="T28" s="284" t="str">
        <f>IF(Table13[[#This Row],[Premium Waiver]]="","None",Table13[[#This Row],[Premium Waiver]])</f>
        <v>None</v>
      </c>
      <c r="U28" s="284">
        <f>Table13[[#This Row],[VAPs Options]]</f>
        <v>0</v>
      </c>
      <c r="V28" s="284">
        <f>Table13[[#This Row],[Annual Increase Option]]</f>
        <v>0</v>
      </c>
      <c r="W28" s="290">
        <f>Table13[[#This Row],[Life Cover Amount]]</f>
        <v>0</v>
      </c>
      <c r="X28" s="290">
        <f>Table13[[#This Row],[Funeral Cover Amount]]</f>
        <v>0</v>
      </c>
      <c r="Y2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8" s="301">
        <f t="shared" ca="1" si="3"/>
        <v>0</v>
      </c>
      <c r="AB28" s="298"/>
      <c r="AC28" s="326" t="str">
        <f>IF(Table2[[#This Row],[Member Type]]="Main Member",Lookups!$C$13,
IF(Table2[[#This Row],[Member Type]]="Spouse",_xlfn.XLOOKUP(B28,Table2[Main Member Link ID],Table2[Product Option],0),
IF(AND(Table2[[#This Row],[Member Type]]="Child",_xlfn.XLOOKUP(B28,Table2[Main Member Link ID],Table2[Product Option],0)&lt;&gt;"My Value Plus Life"),Lookups!$C$24,
IF(AND(OR(Table2[[#This Row],[Member Type]]="Parent",Table2[[#This Row],[Member Type]]="Extended"),_xlfn.XLOOKUP(B28,Table2[Main Member Link ID],Table2[Product Option],0)&lt;&gt;"My Value Plus Life"),Lookups!$C$26,""))))</f>
        <v/>
      </c>
      <c r="AD28" s="326" t="str">
        <f>IF(Table2[[#This Row],[Member Type]]="Main Member",Lookups!$C$14,"")</f>
        <v/>
      </c>
      <c r="AE2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Funeral",_xlfn.XLOOKUP(B28,Table2[Main Member Link ID],Table2[Benefit Name],0)=Lookups!$D$14),"",
IF(AND(Table2[[#This Row],[Member Type]]="Spouse",Table2[[#This Row],[Product Option]]="My Value Plus Life &amp; Funeral",_xlfn.XLOOKUP(B27,Table2[Main Member Link ID],Table2[Benefit Name],0)=Lookups!$D$15),Lookups!$D$20,
IF(AND(Table2[[#This Row],[Member Type]]="Spouse",Table2[[#This Row],[Product Option]]="My Value Plus Life &amp; Funeral",_xlfn.XLOOKUP(B27,Table2[Main Member Link ID],Table2[Benefit Name],0)=Lookups!$D$16),"",
IF(AND(Table2[[#This Row],[Member Type]]="Spouse",Table2[[#This Row],[Product Option]]="My Value Plus Life &amp; Funeral",_xlfn.XLOOKUP(B27,Table2[Main Member Link ID],Table2[Benefit Name],0)=Lookups!$D$17),Lookups!$D$21,
IF(AND(Table2[[#This Row],[Member Type]]="Child",Table2[[#This Row],[Product Option]]="My Value Plus Life &amp; Funeral",_xlfn.XLOOKUP(B28,Table2[Main Member Link ID],Table2[Benefit Name],0)=Lookups!$D$14),"",
IF(AND(Table2[[#This Row],[Member Type]]="Child",Table2[[#This Row],[Product Option]]="My Value Plus Life &amp; Funeral",_xlfn.XLOOKUP(B28,Table2[Main Member Link ID],Table2[Benefit Name],0)=Lookups!$D$15),"",
IF(AND(Table2[[#This Row],[Member Type]]="Child",Table2[[#This Row],[Product Option]]="My Value Plus Life &amp; Funeral",_xlfn.XLOOKUP(B28,Table2[Main Member Link ID],Table2[Benefit Name],0)=Lookups!$D$16),Lookups!$D$24,
IF(AND(Table2[[#This Row],[Member Type]]="Child",Table2[[#This Row],[Product Option]]="My Value Plus Life &amp; Funeral",_xlfn.XLOOKUP(B28,Table2[Main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Funeral",_xlfn.XLOOKUP(B28,Table2[Main Member Link ID],Table2[Benefit Name],0)&lt;&gt;Lookups!$D$14),
IF(_xlfn.XLOOKUP(B28,Table2[Main Member Link ID],Table2[Benefit Name],0)=0,"",_xlfn.XLOOKUP(B28,Table2[Main Member Link ID],Table2[Benefit Name],0)),"")))))))))))))))</f>
        <v/>
      </c>
      <c r="AF28" s="327" t="str">
        <f>IF(AND(Table2[[#This Row],[Member Type]]="Main Member",Table2[[#This Row],[Product Option]]="My Value Plus Life &amp; Funeral"),Lookups!$D$15,
IF(AND(Table2[[#This Row],[Member Type]]="Spouse",Table2[[#This Row],[Product Option]]="My Value Plus Life &amp; Funeral",_xlfn.XLOOKUP(B28,Table2[Main Member Link ID],Table2[Benefit Name],0)=Lookups!$D$14),"",
IF(AND(Table2[[#This Row],[Member Type]]="Spouse",Table2[[#This Row],[Product Option]]="My Value Plus Life &amp; Funeral",_xlfn.XLOOKUP(B27,Table2[Main Member Link ID],Table2[Benefit Name],0)=Lookups!$D$16),"",
IF(AND(Table2[[#This Row],[Member Type]]="Spouse",Table2[[#This Row],[Product Option]]="My Value Plus Life &amp; Funeral",_xlfn.XLOOKUP(B27,Table2[Main Member Link ID],Table2[Benefit Name],0)=Lookups!$D$15),"",
IF(AND(Table2[[#This Row],[Member Type]]="Spouse",Table2[[#This Row],[Product Option]]="My Value Plus Life &amp; Funeral",_xlfn.XLOOKUP(B27,Table2[Main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Funeral",_xlfn.XLOOKUP(B28,Table2[Main Member Link ID],Table2[Benefit Name],0)&lt;&gt;Lookups!$D$15),
IF(_xlfn.XLOOKUP(B28,Table2[Main Member Link ID],Table2[Benefit Name],0)=0,"",_xlfn.XLOOKUP(B28,Table2[Main Member Link ID],Table2[Benefit Name],0)),"")
))))))</f>
        <v/>
      </c>
      <c r="AG28" s="327" t="str">
        <f>IF(AND(Table2[[#This Row],[Member Type]]="Main Member",Table2[[#This Row],[Product Option]]="My Value Plus Life &amp; Funeral"),Lookups!$D$16,
IF(AND(Table2[[#This Row],[Member Type]]="Spouse",Table2[[#This Row],[Product Option]]="My Value Plus Life &amp; Funeral",_xlfn.XLOOKUP(B28,Table2[Main Member Link ID],Table2[Benefit Name],0)=Lookups!$D$14),"",
IF(AND(Table2[[#This Row],[Member Type]]="Spouse",Table2[[#This Row],[Product Option]]="My Value Plus Life &amp; Funeral",_xlfn.XLOOKUP(B27,Table2[Main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Funeral",_xlfn.XLOOKUP(B28,Table2[Main Member Link ID],Table2[Benefit Name],0)&lt;&gt;Lookups!$D$16),
IF(_xlfn.XLOOKUP(B28,Table2[Main Member Link ID],Table2[Benefit Name],0)=0,"",_xlfn.XLOOKUP(B28,Table2[Main Member Link ID],Table2[Benefit Name],0)),"")
))))</f>
        <v/>
      </c>
      <c r="AH28" s="327" t="str">
        <f>IF(AND(Table2[[#This Row],[Member Type]]="Main Member",Table2[[#This Row],[Product Option]]="My Value Plus Life &amp; Funeral"),Lookups!$D$17,
IF(AND(Table2[[#This Row],[Member Type]]="Spouse",Table2[[#This Row],[Product Option]]="My Value Plus Life &amp; Funeral",_xlfn.XLOOKUP(B28,Table2[Main Member Link ID],Table2[Benefit Name],0)=Lookups!$D$14),"",
IF(AND(Table2[[#This Row],[Member Type]]="Spouse",Table2[[#This Row],[Product Option]]="My Value Plus Life &amp; Funeral",_xlfn.XLOOKUP(B27,Table2[Main Member Link ID],Table2[Benefit Name],0)=Lookups!$D$16),"",
IF(AND(Table2[[#This Row],[Member Type]]="Child",Table2[[#This Row],[Product Option]]="My Value Plus Life &amp; Funeral"),"",
IF(AND(Table2[[#This Row],[Member Type]]="Child",Table2[[#This Row],[Product Option]]="My Value Plus Life &amp; Funeral",_xlfn.XLOOKUP(B28,Table2[Main Member Link ID],Table2[Benefit Name],0)=Lookups!$D$15),"",
IF(AND(OR(Table2[[#This Row],[Member Type]]="Spouse",Table2[[#This Row],[Member Type]]="Child"),Table2[[#This Row],[Product Option]]="My Value Plus Life &amp; Funeral",_xlfn.XLOOKUP(B28,Table2[Main Member Link ID],Table2[Benefit Name],0)&lt;&gt;Lookups!$D$17),
IF(_xlfn.XLOOKUP(B28,Table2[Main Member Link ID],Table2[Benefit Name],0)=0,"",_xlfn.XLOOKUP(B28,Table2[Main Member Link ID],Table2[Benefit Name],0)),""))))))</f>
        <v/>
      </c>
      <c r="AI28" s="328" t="str">
        <f>IF(AND(Table2[[#This Row],[Member Type]]="Main Member",Table2[[#This Row],[Table Lookup for Life Cover]]="MM_LIFE",Table2[[#This Row],[Age Next Birthday]]&lt;56),1,
IF(AND(Table2[[#This Row],[Member Type]]="Main Member",Table2[[#This Row],[Table Lookup for Life Cover]]="MM_LIFE",Table2[[#This Row],[Age Next Birthday]]&gt;=56),2,
""))</f>
        <v/>
      </c>
      <c r="AJ28" s="328">
        <f>IF(OR(Table2[[#This Row],[Member Type]]="Main Member",Table2[[#This Row],[Main Member Link ID]]=B27),1,0)</f>
        <v>1</v>
      </c>
      <c r="AK28" s="328">
        <f>IF(Table2[[#This Row],[Member Type]]=0,0,
IF(OR(Table2[[#This Row],[Member Type]]="Main Member",Table2[[#This Row],[Main Member Link ID]]&lt;&gt;B28),COUNTIFS(B:B,Table2[[#This Row],[Main Member Link ID]]),
COUNTIFS(B:B,Table2[[#This Row],[Main Member Link ID]],A:A,Table2[[#This Row],[Member Type]])))</f>
        <v>0</v>
      </c>
    </row>
    <row r="29" spans="1:37" x14ac:dyDescent="0.3">
      <c r="A29" s="284">
        <f>Table13[[#This Row],[Member Type]]</f>
        <v>0</v>
      </c>
      <c r="B29" s="284">
        <f>Table13[[#This Row],[Main Member Link ID]]</f>
        <v>0</v>
      </c>
      <c r="C29" s="284">
        <f>Table13[[#This Row],[ID Number]]</f>
        <v>0</v>
      </c>
      <c r="D29" s="285">
        <f>Table13[[#This Row],[Date Of Birth]]</f>
        <v>0</v>
      </c>
      <c r="E29" s="285">
        <f>Table13[[#This Row],[Commencement Date]]</f>
        <v>0</v>
      </c>
      <c r="F29" s="284">
        <f t="shared" si="0"/>
        <v>1</v>
      </c>
      <c r="G29" s="284">
        <f t="shared" si="4"/>
        <v>25</v>
      </c>
      <c r="H29" s="286">
        <f>Table13[[#This Row],[Product Option]]</f>
        <v>0</v>
      </c>
      <c r="I29" s="284">
        <f>IF(AND($A29="Main Member",Table2[[#This Row],[Product Option]]="My Value Plus Life"),"MM_LIFE",
IF(AND($A29="Spouse",Table2[[#This Row],[Product Option]]="My Value Plus Life"),"SP_LIFE",
IF(AND($A29="Main Member",Table2[[#This Row],[Product Option]]="My Value Plus Life &amp; Funeral"),"MM_LIFE",
IF(AND($A29="Spouse",Table2[[#This Row],[Product Option]]="My Value Plus Life &amp; Funeral"),_xlfn.XLOOKUP(Table2[[#This Row],[Benefit Name]],Lookups!$D$18:$D$23,Lookups!$E$18:$E$23,0),
0))))</f>
        <v>0</v>
      </c>
      <c r="J29" s="284">
        <f>IF($I29="","",
IF($I29="MM_LIFE",INDEX('Quotation Tool'!$S$54:$V$60,MATCH($T29,'Quotation Tool'!$S$54:$S$60,0),4),
IF($I29="SP_LIFE",_xlfn.XLOOKUP(B28,$B:$B,$J:$J,0),0)))</f>
        <v>0</v>
      </c>
      <c r="K29" s="287">
        <f t="shared" ca="1" si="5"/>
        <v>0</v>
      </c>
      <c r="L29" s="288">
        <f t="shared" ca="1" si="6"/>
        <v>0</v>
      </c>
      <c r="M29" s="289">
        <f t="shared" ca="1" si="1"/>
        <v>0</v>
      </c>
      <c r="N29" s="286">
        <f>Table13[[#This Row],[Benefit Option]]</f>
        <v>0</v>
      </c>
      <c r="O29" s="284">
        <f>IF(OR(Table2[[#This Row],[Member Type]]="Spouse",Table2[[#This Row],[Member Type]]="Child"),0,
IF(_xlfn.XLOOKUP($N29,Lookups!$D$13:$D$27,Lookups!$F$13:$F$27,0)=Table2[[#This Row],[Table Lookup for Life Cover]],0,
_xlfn.XLOOKUP($N29,Lookups!$D$13:$D$27,Lookups!$F$13:$F$27,0)))</f>
        <v>0</v>
      </c>
      <c r="P29" s="284">
        <f>IF(Table2[[#This Row],[Table Lookup for Funeral]]=0,0,IFERROR(INDEX('Quotation Tool'!$S$54:$V$60,MATCH($T29,'Quotation Tool'!$S$54:$S$60,0),3),0))</f>
        <v>0</v>
      </c>
      <c r="Q29" s="288">
        <f ca="1">IF(OR(Table2[[#This Row],[Benefit Name]]="My Value Plus Life - Main Member",Table2[[#This Row],[Benefit Name]]="My Value Plus Life - Spouse"),0,
IFERROR(VLOOKUP($G29,INDIRECT($O29),$P29,FALSE),0))</f>
        <v>0</v>
      </c>
      <c r="R29" s="288">
        <f ca="1">IF(OR(Table2[[#This Row],[Benefit Name]]="My Value Plus Life - Main Member",Table2[[#This Row],[Benefit Name]]="My Value Plus Life - Spouse"),0,
IFERROR(VLOOKUP($G29,INDIRECT($O29),$P29+1,FALSE),0))</f>
        <v>0</v>
      </c>
      <c r="S29" s="289">
        <f t="shared" ca="1" si="2"/>
        <v>0</v>
      </c>
      <c r="T29" s="284" t="str">
        <f>IF(Table13[[#This Row],[Premium Waiver]]="","None",Table13[[#This Row],[Premium Waiver]])</f>
        <v>None</v>
      </c>
      <c r="U29" s="284">
        <f>Table13[[#This Row],[VAPs Options]]</f>
        <v>0</v>
      </c>
      <c r="V29" s="284">
        <f>Table13[[#This Row],[Annual Increase Option]]</f>
        <v>0</v>
      </c>
      <c r="W29" s="290">
        <f>Table13[[#This Row],[Life Cover Amount]]</f>
        <v>0</v>
      </c>
      <c r="X29" s="290">
        <f>Table13[[#This Row],[Funeral Cover Amount]]</f>
        <v>0</v>
      </c>
      <c r="Y2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9" s="301">
        <f t="shared" ca="1" si="3"/>
        <v>0</v>
      </c>
      <c r="AB29" s="298"/>
      <c r="AC29" s="326" t="str">
        <f>IF(Table2[[#This Row],[Member Type]]="Main Member",Lookups!$C$13,
IF(Table2[[#This Row],[Member Type]]="Spouse",_xlfn.XLOOKUP(B29,Table2[Main Member Link ID],Table2[Product Option],0),
IF(AND(Table2[[#This Row],[Member Type]]="Child",_xlfn.XLOOKUP(B29,Table2[Main Member Link ID],Table2[Product Option],0)&lt;&gt;"My Value Plus Life"),Lookups!$C$24,
IF(AND(OR(Table2[[#This Row],[Member Type]]="Parent",Table2[[#This Row],[Member Type]]="Extended"),_xlfn.XLOOKUP(B29,Table2[Main Member Link ID],Table2[Product Option],0)&lt;&gt;"My Value Plus Life"),Lookups!$C$26,""))))</f>
        <v/>
      </c>
      <c r="AD29" s="326" t="str">
        <f>IF(Table2[[#This Row],[Member Type]]="Main Member",Lookups!$C$14,"")</f>
        <v/>
      </c>
      <c r="AE2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Funeral",_xlfn.XLOOKUP(B29,Table2[Main Member Link ID],Table2[Benefit Name],0)=Lookups!$D$14),"",
IF(AND(Table2[[#This Row],[Member Type]]="Spouse",Table2[[#This Row],[Product Option]]="My Value Plus Life &amp; Funeral",_xlfn.XLOOKUP(B28,Table2[Main Member Link ID],Table2[Benefit Name],0)=Lookups!$D$15),Lookups!$D$20,
IF(AND(Table2[[#This Row],[Member Type]]="Spouse",Table2[[#This Row],[Product Option]]="My Value Plus Life &amp; Funeral",_xlfn.XLOOKUP(B28,Table2[Main Member Link ID],Table2[Benefit Name],0)=Lookups!$D$16),"",
IF(AND(Table2[[#This Row],[Member Type]]="Spouse",Table2[[#This Row],[Product Option]]="My Value Plus Life &amp; Funeral",_xlfn.XLOOKUP(B28,Table2[Main Member Link ID],Table2[Benefit Name],0)=Lookups!$D$17),Lookups!$D$21,
IF(AND(Table2[[#This Row],[Member Type]]="Child",Table2[[#This Row],[Product Option]]="My Value Plus Life &amp; Funeral",_xlfn.XLOOKUP(B29,Table2[Main Member Link ID],Table2[Benefit Name],0)=Lookups!$D$14),"",
IF(AND(Table2[[#This Row],[Member Type]]="Child",Table2[[#This Row],[Product Option]]="My Value Plus Life &amp; Funeral",_xlfn.XLOOKUP(B29,Table2[Main Member Link ID],Table2[Benefit Name],0)=Lookups!$D$15),"",
IF(AND(Table2[[#This Row],[Member Type]]="Child",Table2[[#This Row],[Product Option]]="My Value Plus Life &amp; Funeral",_xlfn.XLOOKUP(B29,Table2[Main Member Link ID],Table2[Benefit Name],0)=Lookups!$D$16),Lookups!$D$24,
IF(AND(Table2[[#This Row],[Member Type]]="Child",Table2[[#This Row],[Product Option]]="My Value Plus Life &amp; Funeral",_xlfn.XLOOKUP(B29,Table2[Main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Funeral",_xlfn.XLOOKUP(B29,Table2[Main Member Link ID],Table2[Benefit Name],0)&lt;&gt;Lookups!$D$14),
IF(_xlfn.XLOOKUP(B29,Table2[Main Member Link ID],Table2[Benefit Name],0)=0,"",_xlfn.XLOOKUP(B29,Table2[Main Member Link ID],Table2[Benefit Name],0)),"")))))))))))))))</f>
        <v/>
      </c>
      <c r="AF29" s="327" t="str">
        <f>IF(AND(Table2[[#This Row],[Member Type]]="Main Member",Table2[[#This Row],[Product Option]]="My Value Plus Life &amp; Funeral"),Lookups!$D$15,
IF(AND(Table2[[#This Row],[Member Type]]="Spouse",Table2[[#This Row],[Product Option]]="My Value Plus Life &amp; Funeral",_xlfn.XLOOKUP(B29,Table2[Main Member Link ID],Table2[Benefit Name],0)=Lookups!$D$14),"",
IF(AND(Table2[[#This Row],[Member Type]]="Spouse",Table2[[#This Row],[Product Option]]="My Value Plus Life &amp; Funeral",_xlfn.XLOOKUP(B28,Table2[Main Member Link ID],Table2[Benefit Name],0)=Lookups!$D$16),"",
IF(AND(Table2[[#This Row],[Member Type]]="Spouse",Table2[[#This Row],[Product Option]]="My Value Plus Life &amp; Funeral",_xlfn.XLOOKUP(B28,Table2[Main Member Link ID],Table2[Benefit Name],0)=Lookups!$D$15),"",
IF(AND(Table2[[#This Row],[Member Type]]="Spouse",Table2[[#This Row],[Product Option]]="My Value Plus Life &amp; Funeral",_xlfn.XLOOKUP(B28,Table2[Main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Funeral",_xlfn.XLOOKUP(B29,Table2[Main Member Link ID],Table2[Benefit Name],0)&lt;&gt;Lookups!$D$15),
IF(_xlfn.XLOOKUP(B29,Table2[Main Member Link ID],Table2[Benefit Name],0)=0,"",_xlfn.XLOOKUP(B29,Table2[Main Member Link ID],Table2[Benefit Name],0)),"")
))))))</f>
        <v/>
      </c>
      <c r="AG29" s="327" t="str">
        <f>IF(AND(Table2[[#This Row],[Member Type]]="Main Member",Table2[[#This Row],[Product Option]]="My Value Plus Life &amp; Funeral"),Lookups!$D$16,
IF(AND(Table2[[#This Row],[Member Type]]="Spouse",Table2[[#This Row],[Product Option]]="My Value Plus Life &amp; Funeral",_xlfn.XLOOKUP(B29,Table2[Main Member Link ID],Table2[Benefit Name],0)=Lookups!$D$14),"",
IF(AND(Table2[[#This Row],[Member Type]]="Spouse",Table2[[#This Row],[Product Option]]="My Value Plus Life &amp; Funeral",_xlfn.XLOOKUP(B28,Table2[Main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Funeral",_xlfn.XLOOKUP(B29,Table2[Main Member Link ID],Table2[Benefit Name],0)&lt;&gt;Lookups!$D$16),
IF(_xlfn.XLOOKUP(B29,Table2[Main Member Link ID],Table2[Benefit Name],0)=0,"",_xlfn.XLOOKUP(B29,Table2[Main Member Link ID],Table2[Benefit Name],0)),"")
))))</f>
        <v/>
      </c>
      <c r="AH29" s="327" t="str">
        <f>IF(AND(Table2[[#This Row],[Member Type]]="Main Member",Table2[[#This Row],[Product Option]]="My Value Plus Life &amp; Funeral"),Lookups!$D$17,
IF(AND(Table2[[#This Row],[Member Type]]="Spouse",Table2[[#This Row],[Product Option]]="My Value Plus Life &amp; Funeral",_xlfn.XLOOKUP(B29,Table2[Main Member Link ID],Table2[Benefit Name],0)=Lookups!$D$14),"",
IF(AND(Table2[[#This Row],[Member Type]]="Spouse",Table2[[#This Row],[Product Option]]="My Value Plus Life &amp; Funeral",_xlfn.XLOOKUP(B28,Table2[Main Member Link ID],Table2[Benefit Name],0)=Lookups!$D$16),"",
IF(AND(Table2[[#This Row],[Member Type]]="Child",Table2[[#This Row],[Product Option]]="My Value Plus Life &amp; Funeral"),"",
IF(AND(Table2[[#This Row],[Member Type]]="Child",Table2[[#This Row],[Product Option]]="My Value Plus Life &amp; Funeral",_xlfn.XLOOKUP(B29,Table2[Main Member Link ID],Table2[Benefit Name],0)=Lookups!$D$15),"",
IF(AND(OR(Table2[[#This Row],[Member Type]]="Spouse",Table2[[#This Row],[Member Type]]="Child"),Table2[[#This Row],[Product Option]]="My Value Plus Life &amp; Funeral",_xlfn.XLOOKUP(B29,Table2[Main Member Link ID],Table2[Benefit Name],0)&lt;&gt;Lookups!$D$17),
IF(_xlfn.XLOOKUP(B29,Table2[Main Member Link ID],Table2[Benefit Name],0)=0,"",_xlfn.XLOOKUP(B29,Table2[Main Member Link ID],Table2[Benefit Name],0)),""))))))</f>
        <v/>
      </c>
      <c r="AI29" s="328" t="str">
        <f>IF(AND(Table2[[#This Row],[Member Type]]="Main Member",Table2[[#This Row],[Table Lookup for Life Cover]]="MM_LIFE",Table2[[#This Row],[Age Next Birthday]]&lt;56),1,
IF(AND(Table2[[#This Row],[Member Type]]="Main Member",Table2[[#This Row],[Table Lookup for Life Cover]]="MM_LIFE",Table2[[#This Row],[Age Next Birthday]]&gt;=56),2,
""))</f>
        <v/>
      </c>
      <c r="AJ29" s="328">
        <f>IF(OR(Table2[[#This Row],[Member Type]]="Main Member",Table2[[#This Row],[Main Member Link ID]]=B28),1,0)</f>
        <v>1</v>
      </c>
      <c r="AK29" s="328">
        <f>IF(Table2[[#This Row],[Member Type]]=0,0,
IF(OR(Table2[[#This Row],[Member Type]]="Main Member",Table2[[#This Row],[Main Member Link ID]]&lt;&gt;B29),COUNTIFS(B:B,Table2[[#This Row],[Main Member Link ID]]),
COUNTIFS(B:B,Table2[[#This Row],[Main Member Link ID]],A:A,Table2[[#This Row],[Member Type]])))</f>
        <v>0</v>
      </c>
    </row>
    <row r="30" spans="1:37" x14ac:dyDescent="0.3">
      <c r="A30" s="284">
        <f>Table13[[#This Row],[Member Type]]</f>
        <v>0</v>
      </c>
      <c r="B30" s="284">
        <f>Table13[[#This Row],[Main Member Link ID]]</f>
        <v>0</v>
      </c>
      <c r="C30" s="284">
        <f>Table13[[#This Row],[ID Number]]</f>
        <v>0</v>
      </c>
      <c r="D30" s="285">
        <f>Table13[[#This Row],[Date Of Birth]]</f>
        <v>0</v>
      </c>
      <c r="E30" s="285">
        <f>Table13[[#This Row],[Commencement Date]]</f>
        <v>0</v>
      </c>
      <c r="F30" s="284">
        <f t="shared" si="0"/>
        <v>1</v>
      </c>
      <c r="G30" s="284">
        <f t="shared" si="4"/>
        <v>25</v>
      </c>
      <c r="H30" s="286">
        <f>Table13[[#This Row],[Product Option]]</f>
        <v>0</v>
      </c>
      <c r="I30" s="284">
        <f>IF(AND($A30="Main Member",Table2[[#This Row],[Product Option]]="My Value Plus Life"),"MM_LIFE",
IF(AND($A30="Spouse",Table2[[#This Row],[Product Option]]="My Value Plus Life"),"SP_LIFE",
IF(AND($A30="Main Member",Table2[[#This Row],[Product Option]]="My Value Plus Life &amp; Funeral"),"MM_LIFE",
IF(AND($A30="Spouse",Table2[[#This Row],[Product Option]]="My Value Plus Life &amp; Funeral"),_xlfn.XLOOKUP(Table2[[#This Row],[Benefit Name]],Lookups!$D$18:$D$23,Lookups!$E$18:$E$23,0),
0))))</f>
        <v>0</v>
      </c>
      <c r="J30" s="284">
        <f>IF($I30="","",
IF($I30="MM_LIFE",INDEX('Quotation Tool'!$S$54:$V$60,MATCH($T30,'Quotation Tool'!$S$54:$S$60,0),4),
IF($I30="SP_LIFE",_xlfn.XLOOKUP(B29,$B:$B,$J:$J,0),0)))</f>
        <v>0</v>
      </c>
      <c r="K30" s="287">
        <f t="shared" ca="1" si="5"/>
        <v>0</v>
      </c>
      <c r="L30" s="288">
        <f t="shared" ca="1" si="6"/>
        <v>0</v>
      </c>
      <c r="M30" s="289">
        <f t="shared" ca="1" si="1"/>
        <v>0</v>
      </c>
      <c r="N30" s="286">
        <f>Table13[[#This Row],[Benefit Option]]</f>
        <v>0</v>
      </c>
      <c r="O30" s="284">
        <f>IF(OR(Table2[[#This Row],[Member Type]]="Spouse",Table2[[#This Row],[Member Type]]="Child"),0,
IF(_xlfn.XLOOKUP($N30,Lookups!$D$13:$D$27,Lookups!$F$13:$F$27,0)=Table2[[#This Row],[Table Lookup for Life Cover]],0,
_xlfn.XLOOKUP($N30,Lookups!$D$13:$D$27,Lookups!$F$13:$F$27,0)))</f>
        <v>0</v>
      </c>
      <c r="P30" s="284">
        <f>IF(Table2[[#This Row],[Table Lookup for Funeral]]=0,0,IFERROR(INDEX('Quotation Tool'!$S$54:$V$60,MATCH($T30,'Quotation Tool'!$S$54:$S$60,0),3),0))</f>
        <v>0</v>
      </c>
      <c r="Q30" s="288">
        <f ca="1">IF(OR(Table2[[#This Row],[Benefit Name]]="My Value Plus Life - Main Member",Table2[[#This Row],[Benefit Name]]="My Value Plus Life - Spouse"),0,
IFERROR(VLOOKUP($G30,INDIRECT($O30),$P30,FALSE),0))</f>
        <v>0</v>
      </c>
      <c r="R30" s="288">
        <f ca="1">IF(OR(Table2[[#This Row],[Benefit Name]]="My Value Plus Life - Main Member",Table2[[#This Row],[Benefit Name]]="My Value Plus Life - Spouse"),0,
IFERROR(VLOOKUP($G30,INDIRECT($O30),$P30+1,FALSE),0))</f>
        <v>0</v>
      </c>
      <c r="S30" s="289">
        <f t="shared" ca="1" si="2"/>
        <v>0</v>
      </c>
      <c r="T30" s="284" t="str">
        <f>IF(Table13[[#This Row],[Premium Waiver]]="","None",Table13[[#This Row],[Premium Waiver]])</f>
        <v>None</v>
      </c>
      <c r="U30" s="284">
        <f>Table13[[#This Row],[VAPs Options]]</f>
        <v>0</v>
      </c>
      <c r="V30" s="284">
        <f>Table13[[#This Row],[Annual Increase Option]]</f>
        <v>0</v>
      </c>
      <c r="W30" s="290">
        <f>Table13[[#This Row],[Life Cover Amount]]</f>
        <v>0</v>
      </c>
      <c r="X30" s="290">
        <f>Table13[[#This Row],[Funeral Cover Amount]]</f>
        <v>0</v>
      </c>
      <c r="Y3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0" s="301">
        <f t="shared" ca="1" si="3"/>
        <v>0</v>
      </c>
      <c r="AB30" s="298"/>
      <c r="AC30" s="326" t="str">
        <f>IF(Table2[[#This Row],[Member Type]]="Main Member",Lookups!$C$13,
IF(Table2[[#This Row],[Member Type]]="Spouse",_xlfn.XLOOKUP(B30,Table2[Main Member Link ID],Table2[Product Option],0),
IF(AND(Table2[[#This Row],[Member Type]]="Child",_xlfn.XLOOKUP(B30,Table2[Main Member Link ID],Table2[Product Option],0)&lt;&gt;"My Value Plus Life"),Lookups!$C$24,
IF(AND(OR(Table2[[#This Row],[Member Type]]="Parent",Table2[[#This Row],[Member Type]]="Extended"),_xlfn.XLOOKUP(B30,Table2[Main Member Link ID],Table2[Product Option],0)&lt;&gt;"My Value Plus Life"),Lookups!$C$26,""))))</f>
        <v/>
      </c>
      <c r="AD30" s="326" t="str">
        <f>IF(Table2[[#This Row],[Member Type]]="Main Member",Lookups!$C$14,"")</f>
        <v/>
      </c>
      <c r="AE3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Funeral",_xlfn.XLOOKUP(B30,Table2[Main Member Link ID],Table2[Benefit Name],0)=Lookups!$D$14),"",
IF(AND(Table2[[#This Row],[Member Type]]="Spouse",Table2[[#This Row],[Product Option]]="My Value Plus Life &amp; Funeral",_xlfn.XLOOKUP(B29,Table2[Main Member Link ID],Table2[Benefit Name],0)=Lookups!$D$15),Lookups!$D$20,
IF(AND(Table2[[#This Row],[Member Type]]="Spouse",Table2[[#This Row],[Product Option]]="My Value Plus Life &amp; Funeral",_xlfn.XLOOKUP(B29,Table2[Main Member Link ID],Table2[Benefit Name],0)=Lookups!$D$16),"",
IF(AND(Table2[[#This Row],[Member Type]]="Spouse",Table2[[#This Row],[Product Option]]="My Value Plus Life &amp; Funeral",_xlfn.XLOOKUP(B29,Table2[Main Member Link ID],Table2[Benefit Name],0)=Lookups!$D$17),Lookups!$D$21,
IF(AND(Table2[[#This Row],[Member Type]]="Child",Table2[[#This Row],[Product Option]]="My Value Plus Life &amp; Funeral",_xlfn.XLOOKUP(B30,Table2[Main Member Link ID],Table2[Benefit Name],0)=Lookups!$D$14),"",
IF(AND(Table2[[#This Row],[Member Type]]="Child",Table2[[#This Row],[Product Option]]="My Value Plus Life &amp; Funeral",_xlfn.XLOOKUP(B30,Table2[Main Member Link ID],Table2[Benefit Name],0)=Lookups!$D$15),"",
IF(AND(Table2[[#This Row],[Member Type]]="Child",Table2[[#This Row],[Product Option]]="My Value Plus Life &amp; Funeral",_xlfn.XLOOKUP(B30,Table2[Main Member Link ID],Table2[Benefit Name],0)=Lookups!$D$16),Lookups!$D$24,
IF(AND(Table2[[#This Row],[Member Type]]="Child",Table2[[#This Row],[Product Option]]="My Value Plus Life &amp; Funeral",_xlfn.XLOOKUP(B30,Table2[Main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Funeral",_xlfn.XLOOKUP(B30,Table2[Main Member Link ID],Table2[Benefit Name],0)&lt;&gt;Lookups!$D$14),
IF(_xlfn.XLOOKUP(B30,Table2[Main Member Link ID],Table2[Benefit Name],0)=0,"",_xlfn.XLOOKUP(B30,Table2[Main Member Link ID],Table2[Benefit Name],0)),"")))))))))))))))</f>
        <v/>
      </c>
      <c r="AF30" s="327" t="str">
        <f>IF(AND(Table2[[#This Row],[Member Type]]="Main Member",Table2[[#This Row],[Product Option]]="My Value Plus Life &amp; Funeral"),Lookups!$D$15,
IF(AND(Table2[[#This Row],[Member Type]]="Spouse",Table2[[#This Row],[Product Option]]="My Value Plus Life &amp; Funeral",_xlfn.XLOOKUP(B30,Table2[Main Member Link ID],Table2[Benefit Name],0)=Lookups!$D$14),"",
IF(AND(Table2[[#This Row],[Member Type]]="Spouse",Table2[[#This Row],[Product Option]]="My Value Plus Life &amp; Funeral",_xlfn.XLOOKUP(B29,Table2[Main Member Link ID],Table2[Benefit Name],0)=Lookups!$D$16),"",
IF(AND(Table2[[#This Row],[Member Type]]="Spouse",Table2[[#This Row],[Product Option]]="My Value Plus Life &amp; Funeral",_xlfn.XLOOKUP(B29,Table2[Main Member Link ID],Table2[Benefit Name],0)=Lookups!$D$15),"",
IF(AND(Table2[[#This Row],[Member Type]]="Spouse",Table2[[#This Row],[Product Option]]="My Value Plus Life &amp; Funeral",_xlfn.XLOOKUP(B29,Table2[Main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Funeral",_xlfn.XLOOKUP(B30,Table2[Main Member Link ID],Table2[Benefit Name],0)&lt;&gt;Lookups!$D$15),
IF(_xlfn.XLOOKUP(B30,Table2[Main Member Link ID],Table2[Benefit Name],0)=0,"",_xlfn.XLOOKUP(B30,Table2[Main Member Link ID],Table2[Benefit Name],0)),"")
))))))</f>
        <v/>
      </c>
      <c r="AG30" s="327" t="str">
        <f>IF(AND(Table2[[#This Row],[Member Type]]="Main Member",Table2[[#This Row],[Product Option]]="My Value Plus Life &amp; Funeral"),Lookups!$D$16,
IF(AND(Table2[[#This Row],[Member Type]]="Spouse",Table2[[#This Row],[Product Option]]="My Value Plus Life &amp; Funeral",_xlfn.XLOOKUP(B30,Table2[Main Member Link ID],Table2[Benefit Name],0)=Lookups!$D$14),"",
IF(AND(Table2[[#This Row],[Member Type]]="Spouse",Table2[[#This Row],[Product Option]]="My Value Plus Life &amp; Funeral",_xlfn.XLOOKUP(B29,Table2[Main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Funeral",_xlfn.XLOOKUP(B30,Table2[Main Member Link ID],Table2[Benefit Name],0)&lt;&gt;Lookups!$D$16),
IF(_xlfn.XLOOKUP(B30,Table2[Main Member Link ID],Table2[Benefit Name],0)=0,"",_xlfn.XLOOKUP(B30,Table2[Main Member Link ID],Table2[Benefit Name],0)),"")
))))</f>
        <v/>
      </c>
      <c r="AH30" s="327" t="str">
        <f>IF(AND(Table2[[#This Row],[Member Type]]="Main Member",Table2[[#This Row],[Product Option]]="My Value Plus Life &amp; Funeral"),Lookups!$D$17,
IF(AND(Table2[[#This Row],[Member Type]]="Spouse",Table2[[#This Row],[Product Option]]="My Value Plus Life &amp; Funeral",_xlfn.XLOOKUP(B30,Table2[Main Member Link ID],Table2[Benefit Name],0)=Lookups!$D$14),"",
IF(AND(Table2[[#This Row],[Member Type]]="Spouse",Table2[[#This Row],[Product Option]]="My Value Plus Life &amp; Funeral",_xlfn.XLOOKUP(B29,Table2[Main Member Link ID],Table2[Benefit Name],0)=Lookups!$D$16),"",
IF(AND(Table2[[#This Row],[Member Type]]="Child",Table2[[#This Row],[Product Option]]="My Value Plus Life &amp; Funeral"),"",
IF(AND(Table2[[#This Row],[Member Type]]="Child",Table2[[#This Row],[Product Option]]="My Value Plus Life &amp; Funeral",_xlfn.XLOOKUP(B30,Table2[Main Member Link ID],Table2[Benefit Name],0)=Lookups!$D$15),"",
IF(AND(OR(Table2[[#This Row],[Member Type]]="Spouse",Table2[[#This Row],[Member Type]]="Child"),Table2[[#This Row],[Product Option]]="My Value Plus Life &amp; Funeral",_xlfn.XLOOKUP(B30,Table2[Main Member Link ID],Table2[Benefit Name],0)&lt;&gt;Lookups!$D$17),
IF(_xlfn.XLOOKUP(B30,Table2[Main Member Link ID],Table2[Benefit Name],0)=0,"",_xlfn.XLOOKUP(B30,Table2[Main Member Link ID],Table2[Benefit Name],0)),""))))))</f>
        <v/>
      </c>
      <c r="AI30" s="328" t="str">
        <f>IF(AND(Table2[[#This Row],[Member Type]]="Main Member",Table2[[#This Row],[Table Lookup for Life Cover]]="MM_LIFE",Table2[[#This Row],[Age Next Birthday]]&lt;56),1,
IF(AND(Table2[[#This Row],[Member Type]]="Main Member",Table2[[#This Row],[Table Lookup for Life Cover]]="MM_LIFE",Table2[[#This Row],[Age Next Birthday]]&gt;=56),2,
""))</f>
        <v/>
      </c>
      <c r="AJ30" s="328">
        <f>IF(OR(Table2[[#This Row],[Member Type]]="Main Member",Table2[[#This Row],[Main Member Link ID]]=B29),1,0)</f>
        <v>1</v>
      </c>
      <c r="AK30" s="328">
        <f>IF(Table2[[#This Row],[Member Type]]=0,0,
IF(OR(Table2[[#This Row],[Member Type]]="Main Member",Table2[[#This Row],[Main Member Link ID]]&lt;&gt;B30),COUNTIFS(B:B,Table2[[#This Row],[Main Member Link ID]]),
COUNTIFS(B:B,Table2[[#This Row],[Main Member Link ID]],A:A,Table2[[#This Row],[Member Type]])))</f>
        <v>0</v>
      </c>
    </row>
    <row r="31" spans="1:37" x14ac:dyDescent="0.3">
      <c r="A31" s="284">
        <f>Table13[[#This Row],[Member Type]]</f>
        <v>0</v>
      </c>
      <c r="B31" s="284">
        <f>Table13[[#This Row],[Main Member Link ID]]</f>
        <v>0</v>
      </c>
      <c r="C31" s="284">
        <f>Table13[[#This Row],[ID Number]]</f>
        <v>0</v>
      </c>
      <c r="D31" s="285">
        <f>Table13[[#This Row],[Date Of Birth]]</f>
        <v>0</v>
      </c>
      <c r="E31" s="285">
        <f>Table13[[#This Row],[Commencement Date]]</f>
        <v>0</v>
      </c>
      <c r="F31" s="284">
        <f t="shared" si="0"/>
        <v>1</v>
      </c>
      <c r="G31" s="284">
        <f t="shared" si="4"/>
        <v>25</v>
      </c>
      <c r="H31" s="286">
        <f>Table13[[#This Row],[Product Option]]</f>
        <v>0</v>
      </c>
      <c r="I31" s="284">
        <f>IF(AND($A31="Main Member",Table2[[#This Row],[Product Option]]="My Value Plus Life"),"MM_LIFE",
IF(AND($A31="Spouse",Table2[[#This Row],[Product Option]]="My Value Plus Life"),"SP_LIFE",
IF(AND($A31="Main Member",Table2[[#This Row],[Product Option]]="My Value Plus Life &amp; Funeral"),"MM_LIFE",
IF(AND($A31="Spouse",Table2[[#This Row],[Product Option]]="My Value Plus Life &amp; Funeral"),_xlfn.XLOOKUP(Table2[[#This Row],[Benefit Name]],Lookups!$D$18:$D$23,Lookups!$E$18:$E$23,0),
0))))</f>
        <v>0</v>
      </c>
      <c r="J31" s="284">
        <f>IF($I31="","",
IF($I31="MM_LIFE",INDEX('Quotation Tool'!$S$54:$V$60,MATCH($T31,'Quotation Tool'!$S$54:$S$60,0),4),
IF($I31="SP_LIFE",_xlfn.XLOOKUP(B30,$B:$B,$J:$J,0),0)))</f>
        <v>0</v>
      </c>
      <c r="K31" s="287">
        <f t="shared" ca="1" si="5"/>
        <v>0</v>
      </c>
      <c r="L31" s="288">
        <f t="shared" ca="1" si="6"/>
        <v>0</v>
      </c>
      <c r="M31" s="289">
        <f t="shared" ca="1" si="1"/>
        <v>0</v>
      </c>
      <c r="N31" s="286">
        <f>Table13[[#This Row],[Benefit Option]]</f>
        <v>0</v>
      </c>
      <c r="O31" s="284">
        <f>IF(OR(Table2[[#This Row],[Member Type]]="Spouse",Table2[[#This Row],[Member Type]]="Child"),0,
IF(_xlfn.XLOOKUP($N31,Lookups!$D$13:$D$27,Lookups!$F$13:$F$27,0)=Table2[[#This Row],[Table Lookup for Life Cover]],0,
_xlfn.XLOOKUP($N31,Lookups!$D$13:$D$27,Lookups!$F$13:$F$27,0)))</f>
        <v>0</v>
      </c>
      <c r="P31" s="284">
        <f>IF(Table2[[#This Row],[Table Lookup for Funeral]]=0,0,IFERROR(INDEX('Quotation Tool'!$S$54:$V$60,MATCH($T31,'Quotation Tool'!$S$54:$S$60,0),3),0))</f>
        <v>0</v>
      </c>
      <c r="Q31" s="288">
        <f ca="1">IF(OR(Table2[[#This Row],[Benefit Name]]="My Value Plus Life - Main Member",Table2[[#This Row],[Benefit Name]]="My Value Plus Life - Spouse"),0,
IFERROR(VLOOKUP($G31,INDIRECT($O31),$P31,FALSE),0))</f>
        <v>0</v>
      </c>
      <c r="R31" s="288">
        <f ca="1">IF(OR(Table2[[#This Row],[Benefit Name]]="My Value Plus Life - Main Member",Table2[[#This Row],[Benefit Name]]="My Value Plus Life - Spouse"),0,
IFERROR(VLOOKUP($G31,INDIRECT($O31),$P31+1,FALSE),0))</f>
        <v>0</v>
      </c>
      <c r="S31" s="289">
        <f t="shared" ca="1" si="2"/>
        <v>0</v>
      </c>
      <c r="T31" s="284" t="str">
        <f>IF(Table13[[#This Row],[Premium Waiver]]="","None",Table13[[#This Row],[Premium Waiver]])</f>
        <v>None</v>
      </c>
      <c r="U31" s="284">
        <f>Table13[[#This Row],[VAPs Options]]</f>
        <v>0</v>
      </c>
      <c r="V31" s="284">
        <f>Table13[[#This Row],[Annual Increase Option]]</f>
        <v>0</v>
      </c>
      <c r="W31" s="290">
        <f>Table13[[#This Row],[Life Cover Amount]]</f>
        <v>0</v>
      </c>
      <c r="X31" s="290">
        <f>Table13[[#This Row],[Funeral Cover Amount]]</f>
        <v>0</v>
      </c>
      <c r="Y3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1" s="301">
        <f t="shared" ca="1" si="3"/>
        <v>0</v>
      </c>
      <c r="AB31" s="298"/>
      <c r="AC31" s="326" t="str">
        <f>IF(Table2[[#This Row],[Member Type]]="Main Member",Lookups!$C$13,
IF(Table2[[#This Row],[Member Type]]="Spouse",_xlfn.XLOOKUP(B31,Table2[Main Member Link ID],Table2[Product Option],0),
IF(AND(Table2[[#This Row],[Member Type]]="Child",_xlfn.XLOOKUP(B31,Table2[Main Member Link ID],Table2[Product Option],0)&lt;&gt;"My Value Plus Life"),Lookups!$C$24,
IF(AND(OR(Table2[[#This Row],[Member Type]]="Parent",Table2[[#This Row],[Member Type]]="Extended"),_xlfn.XLOOKUP(B31,Table2[Main Member Link ID],Table2[Product Option],0)&lt;&gt;"My Value Plus Life"),Lookups!$C$26,""))))</f>
        <v/>
      </c>
      <c r="AD31" s="326" t="str">
        <f>IF(Table2[[#This Row],[Member Type]]="Main Member",Lookups!$C$14,"")</f>
        <v/>
      </c>
      <c r="AE3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Funeral",_xlfn.XLOOKUP(B31,Table2[Main Member Link ID],Table2[Benefit Name],0)=Lookups!$D$14),"",
IF(AND(Table2[[#This Row],[Member Type]]="Spouse",Table2[[#This Row],[Product Option]]="My Value Plus Life &amp; Funeral",_xlfn.XLOOKUP(B30,Table2[Main Member Link ID],Table2[Benefit Name],0)=Lookups!$D$15),Lookups!$D$20,
IF(AND(Table2[[#This Row],[Member Type]]="Spouse",Table2[[#This Row],[Product Option]]="My Value Plus Life &amp; Funeral",_xlfn.XLOOKUP(B30,Table2[Main Member Link ID],Table2[Benefit Name],0)=Lookups!$D$16),"",
IF(AND(Table2[[#This Row],[Member Type]]="Spouse",Table2[[#This Row],[Product Option]]="My Value Plus Life &amp; Funeral",_xlfn.XLOOKUP(B30,Table2[Main Member Link ID],Table2[Benefit Name],0)=Lookups!$D$17),Lookups!$D$21,
IF(AND(Table2[[#This Row],[Member Type]]="Child",Table2[[#This Row],[Product Option]]="My Value Plus Life &amp; Funeral",_xlfn.XLOOKUP(B31,Table2[Main Member Link ID],Table2[Benefit Name],0)=Lookups!$D$14),"",
IF(AND(Table2[[#This Row],[Member Type]]="Child",Table2[[#This Row],[Product Option]]="My Value Plus Life &amp; Funeral",_xlfn.XLOOKUP(B31,Table2[Main Member Link ID],Table2[Benefit Name],0)=Lookups!$D$15),"",
IF(AND(Table2[[#This Row],[Member Type]]="Child",Table2[[#This Row],[Product Option]]="My Value Plus Life &amp; Funeral",_xlfn.XLOOKUP(B31,Table2[Main Member Link ID],Table2[Benefit Name],0)=Lookups!$D$16),Lookups!$D$24,
IF(AND(Table2[[#This Row],[Member Type]]="Child",Table2[[#This Row],[Product Option]]="My Value Plus Life &amp; Funeral",_xlfn.XLOOKUP(B31,Table2[Main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Funeral",_xlfn.XLOOKUP(B31,Table2[Main Member Link ID],Table2[Benefit Name],0)&lt;&gt;Lookups!$D$14),
IF(_xlfn.XLOOKUP(B31,Table2[Main Member Link ID],Table2[Benefit Name],0)=0,"",_xlfn.XLOOKUP(B31,Table2[Main Member Link ID],Table2[Benefit Name],0)),"")))))))))))))))</f>
        <v/>
      </c>
      <c r="AF31" s="327" t="str">
        <f>IF(AND(Table2[[#This Row],[Member Type]]="Main Member",Table2[[#This Row],[Product Option]]="My Value Plus Life &amp; Funeral"),Lookups!$D$15,
IF(AND(Table2[[#This Row],[Member Type]]="Spouse",Table2[[#This Row],[Product Option]]="My Value Plus Life &amp; Funeral",_xlfn.XLOOKUP(B31,Table2[Main Member Link ID],Table2[Benefit Name],0)=Lookups!$D$14),"",
IF(AND(Table2[[#This Row],[Member Type]]="Spouse",Table2[[#This Row],[Product Option]]="My Value Plus Life &amp; Funeral",_xlfn.XLOOKUP(B30,Table2[Main Member Link ID],Table2[Benefit Name],0)=Lookups!$D$16),"",
IF(AND(Table2[[#This Row],[Member Type]]="Spouse",Table2[[#This Row],[Product Option]]="My Value Plus Life &amp; Funeral",_xlfn.XLOOKUP(B30,Table2[Main Member Link ID],Table2[Benefit Name],0)=Lookups!$D$15),"",
IF(AND(Table2[[#This Row],[Member Type]]="Spouse",Table2[[#This Row],[Product Option]]="My Value Plus Life &amp; Funeral",_xlfn.XLOOKUP(B30,Table2[Main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Funeral",_xlfn.XLOOKUP(B31,Table2[Main Member Link ID],Table2[Benefit Name],0)&lt;&gt;Lookups!$D$15),
IF(_xlfn.XLOOKUP(B31,Table2[Main Member Link ID],Table2[Benefit Name],0)=0,"",_xlfn.XLOOKUP(B31,Table2[Main Member Link ID],Table2[Benefit Name],0)),"")
))))))</f>
        <v/>
      </c>
      <c r="AG31" s="327" t="str">
        <f>IF(AND(Table2[[#This Row],[Member Type]]="Main Member",Table2[[#This Row],[Product Option]]="My Value Plus Life &amp; Funeral"),Lookups!$D$16,
IF(AND(Table2[[#This Row],[Member Type]]="Spouse",Table2[[#This Row],[Product Option]]="My Value Plus Life &amp; Funeral",_xlfn.XLOOKUP(B31,Table2[Main Member Link ID],Table2[Benefit Name],0)=Lookups!$D$14),"",
IF(AND(Table2[[#This Row],[Member Type]]="Spouse",Table2[[#This Row],[Product Option]]="My Value Plus Life &amp; Funeral",_xlfn.XLOOKUP(B30,Table2[Main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Funeral",_xlfn.XLOOKUP(B31,Table2[Main Member Link ID],Table2[Benefit Name],0)&lt;&gt;Lookups!$D$16),
IF(_xlfn.XLOOKUP(B31,Table2[Main Member Link ID],Table2[Benefit Name],0)=0,"",_xlfn.XLOOKUP(B31,Table2[Main Member Link ID],Table2[Benefit Name],0)),"")
))))</f>
        <v/>
      </c>
      <c r="AH31" s="327" t="str">
        <f>IF(AND(Table2[[#This Row],[Member Type]]="Main Member",Table2[[#This Row],[Product Option]]="My Value Plus Life &amp; Funeral"),Lookups!$D$17,
IF(AND(Table2[[#This Row],[Member Type]]="Spouse",Table2[[#This Row],[Product Option]]="My Value Plus Life &amp; Funeral",_xlfn.XLOOKUP(B31,Table2[Main Member Link ID],Table2[Benefit Name],0)=Lookups!$D$14),"",
IF(AND(Table2[[#This Row],[Member Type]]="Spouse",Table2[[#This Row],[Product Option]]="My Value Plus Life &amp; Funeral",_xlfn.XLOOKUP(B30,Table2[Main Member Link ID],Table2[Benefit Name],0)=Lookups!$D$16),"",
IF(AND(Table2[[#This Row],[Member Type]]="Child",Table2[[#This Row],[Product Option]]="My Value Plus Life &amp; Funeral"),"",
IF(AND(Table2[[#This Row],[Member Type]]="Child",Table2[[#This Row],[Product Option]]="My Value Plus Life &amp; Funeral",_xlfn.XLOOKUP(B31,Table2[Main Member Link ID],Table2[Benefit Name],0)=Lookups!$D$15),"",
IF(AND(OR(Table2[[#This Row],[Member Type]]="Spouse",Table2[[#This Row],[Member Type]]="Child"),Table2[[#This Row],[Product Option]]="My Value Plus Life &amp; Funeral",_xlfn.XLOOKUP(B31,Table2[Main Member Link ID],Table2[Benefit Name],0)&lt;&gt;Lookups!$D$17),
IF(_xlfn.XLOOKUP(B31,Table2[Main Member Link ID],Table2[Benefit Name],0)=0,"",_xlfn.XLOOKUP(B31,Table2[Main Member Link ID],Table2[Benefit Name],0)),""))))))</f>
        <v/>
      </c>
      <c r="AI31" s="328" t="str">
        <f>IF(AND(Table2[[#This Row],[Member Type]]="Main Member",Table2[[#This Row],[Table Lookup for Life Cover]]="MM_LIFE",Table2[[#This Row],[Age Next Birthday]]&lt;56),1,
IF(AND(Table2[[#This Row],[Member Type]]="Main Member",Table2[[#This Row],[Table Lookup for Life Cover]]="MM_LIFE",Table2[[#This Row],[Age Next Birthday]]&gt;=56),2,
""))</f>
        <v/>
      </c>
      <c r="AJ31" s="328">
        <f>IF(OR(Table2[[#This Row],[Member Type]]="Main Member",Table2[[#This Row],[Main Member Link ID]]=B30),1,0)</f>
        <v>1</v>
      </c>
      <c r="AK31" s="328">
        <f>IF(Table2[[#This Row],[Member Type]]=0,0,
IF(OR(Table2[[#This Row],[Member Type]]="Main Member",Table2[[#This Row],[Main Member Link ID]]&lt;&gt;B31),COUNTIFS(B:B,Table2[[#This Row],[Main Member Link ID]]),
COUNTIFS(B:B,Table2[[#This Row],[Main Member Link ID]],A:A,Table2[[#This Row],[Member Type]])))</f>
        <v>0</v>
      </c>
    </row>
    <row r="32" spans="1:37" x14ac:dyDescent="0.3">
      <c r="A32" s="284">
        <f>Table13[[#This Row],[Member Type]]</f>
        <v>0</v>
      </c>
      <c r="B32" s="284">
        <f>Table13[[#This Row],[Main Member Link ID]]</f>
        <v>0</v>
      </c>
      <c r="C32" s="284">
        <f>Table13[[#This Row],[ID Number]]</f>
        <v>0</v>
      </c>
      <c r="D32" s="285">
        <f>Table13[[#This Row],[Date Of Birth]]</f>
        <v>0</v>
      </c>
      <c r="E32" s="285">
        <f>Table13[[#This Row],[Commencement Date]]</f>
        <v>0</v>
      </c>
      <c r="F32" s="284">
        <f t="shared" si="0"/>
        <v>1</v>
      </c>
      <c r="G32" s="284">
        <f t="shared" si="4"/>
        <v>25</v>
      </c>
      <c r="H32" s="286">
        <f>Table13[[#This Row],[Product Option]]</f>
        <v>0</v>
      </c>
      <c r="I32" s="284">
        <f>IF(AND($A32="Main Member",Table2[[#This Row],[Product Option]]="My Value Plus Life"),"MM_LIFE",
IF(AND($A32="Spouse",Table2[[#This Row],[Product Option]]="My Value Plus Life"),"SP_LIFE",
IF(AND($A32="Main Member",Table2[[#This Row],[Product Option]]="My Value Plus Life &amp; Funeral"),"MM_LIFE",
IF(AND($A32="Spouse",Table2[[#This Row],[Product Option]]="My Value Plus Life &amp; Funeral"),_xlfn.XLOOKUP(Table2[[#This Row],[Benefit Name]],Lookups!$D$18:$D$23,Lookups!$E$18:$E$23,0),
0))))</f>
        <v>0</v>
      </c>
      <c r="J32" s="284">
        <f>IF($I32="","",
IF($I32="MM_LIFE",INDEX('Quotation Tool'!$S$54:$V$60,MATCH($T32,'Quotation Tool'!$S$54:$S$60,0),4),
IF($I32="SP_LIFE",_xlfn.XLOOKUP(B31,$B:$B,$J:$J,0),0)))</f>
        <v>0</v>
      </c>
      <c r="K32" s="287">
        <f t="shared" ca="1" si="5"/>
        <v>0</v>
      </c>
      <c r="L32" s="288">
        <f t="shared" ca="1" si="6"/>
        <v>0</v>
      </c>
      <c r="M32" s="289">
        <f t="shared" ca="1" si="1"/>
        <v>0</v>
      </c>
      <c r="N32" s="286">
        <f>Table13[[#This Row],[Benefit Option]]</f>
        <v>0</v>
      </c>
      <c r="O32" s="284">
        <f>IF(OR(Table2[[#This Row],[Member Type]]="Spouse",Table2[[#This Row],[Member Type]]="Child"),0,
IF(_xlfn.XLOOKUP($N32,Lookups!$D$13:$D$27,Lookups!$F$13:$F$27,0)=Table2[[#This Row],[Table Lookup for Life Cover]],0,
_xlfn.XLOOKUP($N32,Lookups!$D$13:$D$27,Lookups!$F$13:$F$27,0)))</f>
        <v>0</v>
      </c>
      <c r="P32" s="284">
        <f>IF(Table2[[#This Row],[Table Lookup for Funeral]]=0,0,IFERROR(INDEX('Quotation Tool'!$S$54:$V$60,MATCH($T32,'Quotation Tool'!$S$54:$S$60,0),3),0))</f>
        <v>0</v>
      </c>
      <c r="Q32" s="288">
        <f ca="1">IF(OR(Table2[[#This Row],[Benefit Name]]="My Value Plus Life - Main Member",Table2[[#This Row],[Benefit Name]]="My Value Plus Life - Spouse"),0,
IFERROR(VLOOKUP($G32,INDIRECT($O32),$P32,FALSE),0))</f>
        <v>0</v>
      </c>
      <c r="R32" s="288">
        <f ca="1">IF(OR(Table2[[#This Row],[Benefit Name]]="My Value Plus Life - Main Member",Table2[[#This Row],[Benefit Name]]="My Value Plus Life - Spouse"),0,
IFERROR(VLOOKUP($G32,INDIRECT($O32),$P32+1,FALSE),0))</f>
        <v>0</v>
      </c>
      <c r="S32" s="289">
        <f t="shared" ca="1" si="2"/>
        <v>0</v>
      </c>
      <c r="T32" s="284" t="str">
        <f>IF(Table13[[#This Row],[Premium Waiver]]="","None",Table13[[#This Row],[Premium Waiver]])</f>
        <v>None</v>
      </c>
      <c r="U32" s="284">
        <f>Table13[[#This Row],[VAPs Options]]</f>
        <v>0</v>
      </c>
      <c r="V32" s="284">
        <f>Table13[[#This Row],[Annual Increase Option]]</f>
        <v>0</v>
      </c>
      <c r="W32" s="290">
        <f>Table13[[#This Row],[Life Cover Amount]]</f>
        <v>0</v>
      </c>
      <c r="X32" s="290">
        <f>Table13[[#This Row],[Funeral Cover Amount]]</f>
        <v>0</v>
      </c>
      <c r="Y3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2" s="301">
        <f t="shared" ca="1" si="3"/>
        <v>0</v>
      </c>
      <c r="AB32" s="298"/>
      <c r="AC32" s="326" t="str">
        <f>IF(Table2[[#This Row],[Member Type]]="Main Member",Lookups!$C$13,
IF(Table2[[#This Row],[Member Type]]="Spouse",_xlfn.XLOOKUP(B32,Table2[Main Member Link ID],Table2[Product Option],0),
IF(AND(Table2[[#This Row],[Member Type]]="Child",_xlfn.XLOOKUP(B32,Table2[Main Member Link ID],Table2[Product Option],0)&lt;&gt;"My Value Plus Life"),Lookups!$C$24,
IF(AND(OR(Table2[[#This Row],[Member Type]]="Parent",Table2[[#This Row],[Member Type]]="Extended"),_xlfn.XLOOKUP(B32,Table2[Main Member Link ID],Table2[Product Option],0)&lt;&gt;"My Value Plus Life"),Lookups!$C$26,""))))</f>
        <v/>
      </c>
      <c r="AD32" s="326" t="str">
        <f>IF(Table2[[#This Row],[Member Type]]="Main Member",Lookups!$C$14,"")</f>
        <v/>
      </c>
      <c r="AE3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Funeral",_xlfn.XLOOKUP(B32,Table2[Main Member Link ID],Table2[Benefit Name],0)=Lookups!$D$14),"",
IF(AND(Table2[[#This Row],[Member Type]]="Spouse",Table2[[#This Row],[Product Option]]="My Value Plus Life &amp; Funeral",_xlfn.XLOOKUP(B31,Table2[Main Member Link ID],Table2[Benefit Name],0)=Lookups!$D$15),Lookups!$D$20,
IF(AND(Table2[[#This Row],[Member Type]]="Spouse",Table2[[#This Row],[Product Option]]="My Value Plus Life &amp; Funeral",_xlfn.XLOOKUP(B31,Table2[Main Member Link ID],Table2[Benefit Name],0)=Lookups!$D$16),"",
IF(AND(Table2[[#This Row],[Member Type]]="Spouse",Table2[[#This Row],[Product Option]]="My Value Plus Life &amp; Funeral",_xlfn.XLOOKUP(B31,Table2[Main Member Link ID],Table2[Benefit Name],0)=Lookups!$D$17),Lookups!$D$21,
IF(AND(Table2[[#This Row],[Member Type]]="Child",Table2[[#This Row],[Product Option]]="My Value Plus Life &amp; Funeral",_xlfn.XLOOKUP(B32,Table2[Main Member Link ID],Table2[Benefit Name],0)=Lookups!$D$14),"",
IF(AND(Table2[[#This Row],[Member Type]]="Child",Table2[[#This Row],[Product Option]]="My Value Plus Life &amp; Funeral",_xlfn.XLOOKUP(B32,Table2[Main Member Link ID],Table2[Benefit Name],0)=Lookups!$D$15),"",
IF(AND(Table2[[#This Row],[Member Type]]="Child",Table2[[#This Row],[Product Option]]="My Value Plus Life &amp; Funeral",_xlfn.XLOOKUP(B32,Table2[Main Member Link ID],Table2[Benefit Name],0)=Lookups!$D$16),Lookups!$D$24,
IF(AND(Table2[[#This Row],[Member Type]]="Child",Table2[[#This Row],[Product Option]]="My Value Plus Life &amp; Funeral",_xlfn.XLOOKUP(B32,Table2[Main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Funeral",_xlfn.XLOOKUP(B32,Table2[Main Member Link ID],Table2[Benefit Name],0)&lt;&gt;Lookups!$D$14),
IF(_xlfn.XLOOKUP(B32,Table2[Main Member Link ID],Table2[Benefit Name],0)=0,"",_xlfn.XLOOKUP(B32,Table2[Main Member Link ID],Table2[Benefit Name],0)),"")))))))))))))))</f>
        <v/>
      </c>
      <c r="AF32" s="327" t="str">
        <f>IF(AND(Table2[[#This Row],[Member Type]]="Main Member",Table2[[#This Row],[Product Option]]="My Value Plus Life &amp; Funeral"),Lookups!$D$15,
IF(AND(Table2[[#This Row],[Member Type]]="Spouse",Table2[[#This Row],[Product Option]]="My Value Plus Life &amp; Funeral",_xlfn.XLOOKUP(B32,Table2[Main Member Link ID],Table2[Benefit Name],0)=Lookups!$D$14),"",
IF(AND(Table2[[#This Row],[Member Type]]="Spouse",Table2[[#This Row],[Product Option]]="My Value Plus Life &amp; Funeral",_xlfn.XLOOKUP(B31,Table2[Main Member Link ID],Table2[Benefit Name],0)=Lookups!$D$16),"",
IF(AND(Table2[[#This Row],[Member Type]]="Spouse",Table2[[#This Row],[Product Option]]="My Value Plus Life &amp; Funeral",_xlfn.XLOOKUP(B31,Table2[Main Member Link ID],Table2[Benefit Name],0)=Lookups!$D$15),"",
IF(AND(Table2[[#This Row],[Member Type]]="Spouse",Table2[[#This Row],[Product Option]]="My Value Plus Life &amp; Funeral",_xlfn.XLOOKUP(B31,Table2[Main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Funeral",_xlfn.XLOOKUP(B32,Table2[Main Member Link ID],Table2[Benefit Name],0)&lt;&gt;Lookups!$D$15),
IF(_xlfn.XLOOKUP(B32,Table2[Main Member Link ID],Table2[Benefit Name],0)=0,"",_xlfn.XLOOKUP(B32,Table2[Main Member Link ID],Table2[Benefit Name],0)),"")
))))))</f>
        <v/>
      </c>
      <c r="AG32" s="327" t="str">
        <f>IF(AND(Table2[[#This Row],[Member Type]]="Main Member",Table2[[#This Row],[Product Option]]="My Value Plus Life &amp; Funeral"),Lookups!$D$16,
IF(AND(Table2[[#This Row],[Member Type]]="Spouse",Table2[[#This Row],[Product Option]]="My Value Plus Life &amp; Funeral",_xlfn.XLOOKUP(B32,Table2[Main Member Link ID],Table2[Benefit Name],0)=Lookups!$D$14),"",
IF(AND(Table2[[#This Row],[Member Type]]="Spouse",Table2[[#This Row],[Product Option]]="My Value Plus Life &amp; Funeral",_xlfn.XLOOKUP(B31,Table2[Main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Funeral",_xlfn.XLOOKUP(B32,Table2[Main Member Link ID],Table2[Benefit Name],0)&lt;&gt;Lookups!$D$16),
IF(_xlfn.XLOOKUP(B32,Table2[Main Member Link ID],Table2[Benefit Name],0)=0,"",_xlfn.XLOOKUP(B32,Table2[Main Member Link ID],Table2[Benefit Name],0)),"")
))))</f>
        <v/>
      </c>
      <c r="AH32" s="327" t="str">
        <f>IF(AND(Table2[[#This Row],[Member Type]]="Main Member",Table2[[#This Row],[Product Option]]="My Value Plus Life &amp; Funeral"),Lookups!$D$17,
IF(AND(Table2[[#This Row],[Member Type]]="Spouse",Table2[[#This Row],[Product Option]]="My Value Plus Life &amp; Funeral",_xlfn.XLOOKUP(B32,Table2[Main Member Link ID],Table2[Benefit Name],0)=Lookups!$D$14),"",
IF(AND(Table2[[#This Row],[Member Type]]="Spouse",Table2[[#This Row],[Product Option]]="My Value Plus Life &amp; Funeral",_xlfn.XLOOKUP(B31,Table2[Main Member Link ID],Table2[Benefit Name],0)=Lookups!$D$16),"",
IF(AND(Table2[[#This Row],[Member Type]]="Child",Table2[[#This Row],[Product Option]]="My Value Plus Life &amp; Funeral"),"",
IF(AND(Table2[[#This Row],[Member Type]]="Child",Table2[[#This Row],[Product Option]]="My Value Plus Life &amp; Funeral",_xlfn.XLOOKUP(B32,Table2[Main Member Link ID],Table2[Benefit Name],0)=Lookups!$D$15),"",
IF(AND(OR(Table2[[#This Row],[Member Type]]="Spouse",Table2[[#This Row],[Member Type]]="Child"),Table2[[#This Row],[Product Option]]="My Value Plus Life &amp; Funeral",_xlfn.XLOOKUP(B32,Table2[Main Member Link ID],Table2[Benefit Name],0)&lt;&gt;Lookups!$D$17),
IF(_xlfn.XLOOKUP(B32,Table2[Main Member Link ID],Table2[Benefit Name],0)=0,"",_xlfn.XLOOKUP(B32,Table2[Main Member Link ID],Table2[Benefit Name],0)),""))))))</f>
        <v/>
      </c>
      <c r="AI32" s="328" t="str">
        <f>IF(AND(Table2[[#This Row],[Member Type]]="Main Member",Table2[[#This Row],[Table Lookup for Life Cover]]="MM_LIFE",Table2[[#This Row],[Age Next Birthday]]&lt;56),1,
IF(AND(Table2[[#This Row],[Member Type]]="Main Member",Table2[[#This Row],[Table Lookup for Life Cover]]="MM_LIFE",Table2[[#This Row],[Age Next Birthday]]&gt;=56),2,
""))</f>
        <v/>
      </c>
      <c r="AJ32" s="328">
        <f>IF(OR(Table2[[#This Row],[Member Type]]="Main Member",Table2[[#This Row],[Main Member Link ID]]=B31),1,0)</f>
        <v>1</v>
      </c>
      <c r="AK32" s="328">
        <f>IF(Table2[[#This Row],[Member Type]]=0,0,
IF(OR(Table2[[#This Row],[Member Type]]="Main Member",Table2[[#This Row],[Main Member Link ID]]&lt;&gt;B32),COUNTIFS(B:B,Table2[[#This Row],[Main Member Link ID]]),
COUNTIFS(B:B,Table2[[#This Row],[Main Member Link ID]],A:A,Table2[[#This Row],[Member Type]])))</f>
        <v>0</v>
      </c>
    </row>
    <row r="33" spans="1:37" x14ac:dyDescent="0.3">
      <c r="A33" s="284">
        <f>Table13[[#This Row],[Member Type]]</f>
        <v>0</v>
      </c>
      <c r="B33" s="284">
        <f>Table13[[#This Row],[Main Member Link ID]]</f>
        <v>0</v>
      </c>
      <c r="C33" s="284">
        <f>Table13[[#This Row],[ID Number]]</f>
        <v>0</v>
      </c>
      <c r="D33" s="285">
        <f>Table13[[#This Row],[Date Of Birth]]</f>
        <v>0</v>
      </c>
      <c r="E33" s="285">
        <f>Table13[[#This Row],[Commencement Date]]</f>
        <v>0</v>
      </c>
      <c r="F33" s="284">
        <f t="shared" si="0"/>
        <v>1</v>
      </c>
      <c r="G33" s="284">
        <f t="shared" si="4"/>
        <v>25</v>
      </c>
      <c r="H33" s="286">
        <f>Table13[[#This Row],[Product Option]]</f>
        <v>0</v>
      </c>
      <c r="I33" s="284">
        <f>IF(AND($A33="Main Member",Table2[[#This Row],[Product Option]]="My Value Plus Life"),"MM_LIFE",
IF(AND($A33="Spouse",Table2[[#This Row],[Product Option]]="My Value Plus Life"),"SP_LIFE",
IF(AND($A33="Main Member",Table2[[#This Row],[Product Option]]="My Value Plus Life &amp; Funeral"),"MM_LIFE",
IF(AND($A33="Spouse",Table2[[#This Row],[Product Option]]="My Value Plus Life &amp; Funeral"),_xlfn.XLOOKUP(Table2[[#This Row],[Benefit Name]],Lookups!$D$18:$D$23,Lookups!$E$18:$E$23,0),
0))))</f>
        <v>0</v>
      </c>
      <c r="J33" s="284">
        <f>IF($I33="","",
IF($I33="MM_LIFE",INDEX('Quotation Tool'!$S$54:$V$60,MATCH($T33,'Quotation Tool'!$S$54:$S$60,0),4),
IF($I33="SP_LIFE",_xlfn.XLOOKUP(B32,$B:$B,$J:$J,0),0)))</f>
        <v>0</v>
      </c>
      <c r="K33" s="287">
        <f t="shared" ca="1" si="5"/>
        <v>0</v>
      </c>
      <c r="L33" s="288">
        <f t="shared" ca="1" si="6"/>
        <v>0</v>
      </c>
      <c r="M33" s="289">
        <f t="shared" ca="1" si="1"/>
        <v>0</v>
      </c>
      <c r="N33" s="286">
        <f>Table13[[#This Row],[Benefit Option]]</f>
        <v>0</v>
      </c>
      <c r="O33" s="284">
        <f>IF(OR(Table2[[#This Row],[Member Type]]="Spouse",Table2[[#This Row],[Member Type]]="Child"),0,
IF(_xlfn.XLOOKUP($N33,Lookups!$D$13:$D$27,Lookups!$F$13:$F$27,0)=Table2[[#This Row],[Table Lookup for Life Cover]],0,
_xlfn.XLOOKUP($N33,Lookups!$D$13:$D$27,Lookups!$F$13:$F$27,0)))</f>
        <v>0</v>
      </c>
      <c r="P33" s="284">
        <f>IF(Table2[[#This Row],[Table Lookup for Funeral]]=0,0,IFERROR(INDEX('Quotation Tool'!$S$54:$V$60,MATCH($T33,'Quotation Tool'!$S$54:$S$60,0),3),0))</f>
        <v>0</v>
      </c>
      <c r="Q33" s="288">
        <f ca="1">IF(OR(Table2[[#This Row],[Benefit Name]]="My Value Plus Life - Main Member",Table2[[#This Row],[Benefit Name]]="My Value Plus Life - Spouse"),0,
IFERROR(VLOOKUP($G33,INDIRECT($O33),$P33,FALSE),0))</f>
        <v>0</v>
      </c>
      <c r="R33" s="288">
        <f ca="1">IF(OR(Table2[[#This Row],[Benefit Name]]="My Value Plus Life - Main Member",Table2[[#This Row],[Benefit Name]]="My Value Plus Life - Spouse"),0,
IFERROR(VLOOKUP($G33,INDIRECT($O33),$P33+1,FALSE),0))</f>
        <v>0</v>
      </c>
      <c r="S33" s="289">
        <f t="shared" ca="1" si="2"/>
        <v>0</v>
      </c>
      <c r="T33" s="284" t="str">
        <f>IF(Table13[[#This Row],[Premium Waiver]]="","None",Table13[[#This Row],[Premium Waiver]])</f>
        <v>None</v>
      </c>
      <c r="U33" s="284">
        <f>Table13[[#This Row],[VAPs Options]]</f>
        <v>0</v>
      </c>
      <c r="V33" s="284">
        <f>Table13[[#This Row],[Annual Increase Option]]</f>
        <v>0</v>
      </c>
      <c r="W33" s="290">
        <f>Table13[[#This Row],[Life Cover Amount]]</f>
        <v>0</v>
      </c>
      <c r="X33" s="290">
        <f>Table13[[#This Row],[Funeral Cover Amount]]</f>
        <v>0</v>
      </c>
      <c r="Y3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3" s="301">
        <f t="shared" ca="1" si="3"/>
        <v>0</v>
      </c>
      <c r="AB33" s="298"/>
      <c r="AC33" s="326" t="str">
        <f>IF(Table2[[#This Row],[Member Type]]="Main Member",Lookups!$C$13,
IF(Table2[[#This Row],[Member Type]]="Spouse",_xlfn.XLOOKUP(B33,Table2[Main Member Link ID],Table2[Product Option],0),
IF(AND(Table2[[#This Row],[Member Type]]="Child",_xlfn.XLOOKUP(B33,Table2[Main Member Link ID],Table2[Product Option],0)&lt;&gt;"My Value Plus Life"),Lookups!$C$24,
IF(AND(OR(Table2[[#This Row],[Member Type]]="Parent",Table2[[#This Row],[Member Type]]="Extended"),_xlfn.XLOOKUP(B33,Table2[Main Member Link ID],Table2[Product Option],0)&lt;&gt;"My Value Plus Life"),Lookups!$C$26,""))))</f>
        <v/>
      </c>
      <c r="AD33" s="326" t="str">
        <f>IF(Table2[[#This Row],[Member Type]]="Main Member",Lookups!$C$14,"")</f>
        <v/>
      </c>
      <c r="AE3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Funeral",_xlfn.XLOOKUP(B33,Table2[Main Member Link ID],Table2[Benefit Name],0)=Lookups!$D$14),"",
IF(AND(Table2[[#This Row],[Member Type]]="Spouse",Table2[[#This Row],[Product Option]]="My Value Plus Life &amp; Funeral",_xlfn.XLOOKUP(B32,Table2[Main Member Link ID],Table2[Benefit Name],0)=Lookups!$D$15),Lookups!$D$20,
IF(AND(Table2[[#This Row],[Member Type]]="Spouse",Table2[[#This Row],[Product Option]]="My Value Plus Life &amp; Funeral",_xlfn.XLOOKUP(B32,Table2[Main Member Link ID],Table2[Benefit Name],0)=Lookups!$D$16),"",
IF(AND(Table2[[#This Row],[Member Type]]="Spouse",Table2[[#This Row],[Product Option]]="My Value Plus Life &amp; Funeral",_xlfn.XLOOKUP(B32,Table2[Main Member Link ID],Table2[Benefit Name],0)=Lookups!$D$17),Lookups!$D$21,
IF(AND(Table2[[#This Row],[Member Type]]="Child",Table2[[#This Row],[Product Option]]="My Value Plus Life &amp; Funeral",_xlfn.XLOOKUP(B33,Table2[Main Member Link ID],Table2[Benefit Name],0)=Lookups!$D$14),"",
IF(AND(Table2[[#This Row],[Member Type]]="Child",Table2[[#This Row],[Product Option]]="My Value Plus Life &amp; Funeral",_xlfn.XLOOKUP(B33,Table2[Main Member Link ID],Table2[Benefit Name],0)=Lookups!$D$15),"",
IF(AND(Table2[[#This Row],[Member Type]]="Child",Table2[[#This Row],[Product Option]]="My Value Plus Life &amp; Funeral",_xlfn.XLOOKUP(B33,Table2[Main Member Link ID],Table2[Benefit Name],0)=Lookups!$D$16),Lookups!$D$24,
IF(AND(Table2[[#This Row],[Member Type]]="Child",Table2[[#This Row],[Product Option]]="My Value Plus Life &amp; Funeral",_xlfn.XLOOKUP(B33,Table2[Main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Funeral",_xlfn.XLOOKUP(B33,Table2[Main Member Link ID],Table2[Benefit Name],0)&lt;&gt;Lookups!$D$14),
IF(_xlfn.XLOOKUP(B33,Table2[Main Member Link ID],Table2[Benefit Name],0)=0,"",_xlfn.XLOOKUP(B33,Table2[Main Member Link ID],Table2[Benefit Name],0)),"")))))))))))))))</f>
        <v/>
      </c>
      <c r="AF33" s="327" t="str">
        <f>IF(AND(Table2[[#This Row],[Member Type]]="Main Member",Table2[[#This Row],[Product Option]]="My Value Plus Life &amp; Funeral"),Lookups!$D$15,
IF(AND(Table2[[#This Row],[Member Type]]="Spouse",Table2[[#This Row],[Product Option]]="My Value Plus Life &amp; Funeral",_xlfn.XLOOKUP(B33,Table2[Main Member Link ID],Table2[Benefit Name],0)=Lookups!$D$14),"",
IF(AND(Table2[[#This Row],[Member Type]]="Spouse",Table2[[#This Row],[Product Option]]="My Value Plus Life &amp; Funeral",_xlfn.XLOOKUP(B32,Table2[Main Member Link ID],Table2[Benefit Name],0)=Lookups!$D$16),"",
IF(AND(Table2[[#This Row],[Member Type]]="Spouse",Table2[[#This Row],[Product Option]]="My Value Plus Life &amp; Funeral",_xlfn.XLOOKUP(B32,Table2[Main Member Link ID],Table2[Benefit Name],0)=Lookups!$D$15),"",
IF(AND(Table2[[#This Row],[Member Type]]="Spouse",Table2[[#This Row],[Product Option]]="My Value Plus Life &amp; Funeral",_xlfn.XLOOKUP(B32,Table2[Main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Funeral",_xlfn.XLOOKUP(B33,Table2[Main Member Link ID],Table2[Benefit Name],0)&lt;&gt;Lookups!$D$15),
IF(_xlfn.XLOOKUP(B33,Table2[Main Member Link ID],Table2[Benefit Name],0)=0,"",_xlfn.XLOOKUP(B33,Table2[Main Member Link ID],Table2[Benefit Name],0)),"")
))))))</f>
        <v/>
      </c>
      <c r="AG33" s="327" t="str">
        <f>IF(AND(Table2[[#This Row],[Member Type]]="Main Member",Table2[[#This Row],[Product Option]]="My Value Plus Life &amp; Funeral"),Lookups!$D$16,
IF(AND(Table2[[#This Row],[Member Type]]="Spouse",Table2[[#This Row],[Product Option]]="My Value Plus Life &amp; Funeral",_xlfn.XLOOKUP(B33,Table2[Main Member Link ID],Table2[Benefit Name],0)=Lookups!$D$14),"",
IF(AND(Table2[[#This Row],[Member Type]]="Spouse",Table2[[#This Row],[Product Option]]="My Value Plus Life &amp; Funeral",_xlfn.XLOOKUP(B32,Table2[Main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Funeral",_xlfn.XLOOKUP(B33,Table2[Main Member Link ID],Table2[Benefit Name],0)&lt;&gt;Lookups!$D$16),
IF(_xlfn.XLOOKUP(B33,Table2[Main Member Link ID],Table2[Benefit Name],0)=0,"",_xlfn.XLOOKUP(B33,Table2[Main Member Link ID],Table2[Benefit Name],0)),"")
))))</f>
        <v/>
      </c>
      <c r="AH33" s="327" t="str">
        <f>IF(AND(Table2[[#This Row],[Member Type]]="Main Member",Table2[[#This Row],[Product Option]]="My Value Plus Life &amp; Funeral"),Lookups!$D$17,
IF(AND(Table2[[#This Row],[Member Type]]="Spouse",Table2[[#This Row],[Product Option]]="My Value Plus Life &amp; Funeral",_xlfn.XLOOKUP(B33,Table2[Main Member Link ID],Table2[Benefit Name],0)=Lookups!$D$14),"",
IF(AND(Table2[[#This Row],[Member Type]]="Spouse",Table2[[#This Row],[Product Option]]="My Value Plus Life &amp; Funeral",_xlfn.XLOOKUP(B32,Table2[Main Member Link ID],Table2[Benefit Name],0)=Lookups!$D$16),"",
IF(AND(Table2[[#This Row],[Member Type]]="Child",Table2[[#This Row],[Product Option]]="My Value Plus Life &amp; Funeral"),"",
IF(AND(Table2[[#This Row],[Member Type]]="Child",Table2[[#This Row],[Product Option]]="My Value Plus Life &amp; Funeral",_xlfn.XLOOKUP(B33,Table2[Main Member Link ID],Table2[Benefit Name],0)=Lookups!$D$15),"",
IF(AND(OR(Table2[[#This Row],[Member Type]]="Spouse",Table2[[#This Row],[Member Type]]="Child"),Table2[[#This Row],[Product Option]]="My Value Plus Life &amp; Funeral",_xlfn.XLOOKUP(B33,Table2[Main Member Link ID],Table2[Benefit Name],0)&lt;&gt;Lookups!$D$17),
IF(_xlfn.XLOOKUP(B33,Table2[Main Member Link ID],Table2[Benefit Name],0)=0,"",_xlfn.XLOOKUP(B33,Table2[Main Member Link ID],Table2[Benefit Name],0)),""))))))</f>
        <v/>
      </c>
      <c r="AI33" s="328" t="str">
        <f>IF(AND(Table2[[#This Row],[Member Type]]="Main Member",Table2[[#This Row],[Table Lookup for Life Cover]]="MM_LIFE",Table2[[#This Row],[Age Next Birthday]]&lt;56),1,
IF(AND(Table2[[#This Row],[Member Type]]="Main Member",Table2[[#This Row],[Table Lookup for Life Cover]]="MM_LIFE",Table2[[#This Row],[Age Next Birthday]]&gt;=56),2,
""))</f>
        <v/>
      </c>
      <c r="AJ33" s="328">
        <f>IF(OR(Table2[[#This Row],[Member Type]]="Main Member",Table2[[#This Row],[Main Member Link ID]]=B32),1,0)</f>
        <v>1</v>
      </c>
      <c r="AK33" s="328">
        <f>IF(Table2[[#This Row],[Member Type]]=0,0,
IF(OR(Table2[[#This Row],[Member Type]]="Main Member",Table2[[#This Row],[Main Member Link ID]]&lt;&gt;B33),COUNTIFS(B:B,Table2[[#This Row],[Main Member Link ID]]),
COUNTIFS(B:B,Table2[[#This Row],[Main Member Link ID]],A:A,Table2[[#This Row],[Member Type]])))</f>
        <v>0</v>
      </c>
    </row>
    <row r="34" spans="1:37" x14ac:dyDescent="0.3">
      <c r="A34" s="284">
        <f>Table13[[#This Row],[Member Type]]</f>
        <v>0</v>
      </c>
      <c r="B34" s="284">
        <f>Table13[[#This Row],[Main Member Link ID]]</f>
        <v>0</v>
      </c>
      <c r="C34" s="284">
        <f>Table13[[#This Row],[ID Number]]</f>
        <v>0</v>
      </c>
      <c r="D34" s="285">
        <f>Table13[[#This Row],[Date Of Birth]]</f>
        <v>0</v>
      </c>
      <c r="E34" s="285">
        <f>Table13[[#This Row],[Commencement Date]]</f>
        <v>0</v>
      </c>
      <c r="F34" s="284">
        <f t="shared" si="0"/>
        <v>1</v>
      </c>
      <c r="G34" s="284">
        <f t="shared" si="4"/>
        <v>25</v>
      </c>
      <c r="H34" s="286">
        <f>Table13[[#This Row],[Product Option]]</f>
        <v>0</v>
      </c>
      <c r="I34" s="284">
        <f>IF(AND($A34="Main Member",Table2[[#This Row],[Product Option]]="My Value Plus Life"),"MM_LIFE",
IF(AND($A34="Spouse",Table2[[#This Row],[Product Option]]="My Value Plus Life"),"SP_LIFE",
IF(AND($A34="Main Member",Table2[[#This Row],[Product Option]]="My Value Plus Life &amp; Funeral"),"MM_LIFE",
IF(AND($A34="Spouse",Table2[[#This Row],[Product Option]]="My Value Plus Life &amp; Funeral"),_xlfn.XLOOKUP(Table2[[#This Row],[Benefit Name]],Lookups!$D$18:$D$23,Lookups!$E$18:$E$23,0),
0))))</f>
        <v>0</v>
      </c>
      <c r="J34" s="284">
        <f>IF($I34="","",
IF($I34="MM_LIFE",INDEX('Quotation Tool'!$S$54:$V$60,MATCH($T34,'Quotation Tool'!$S$54:$S$60,0),4),
IF($I34="SP_LIFE",_xlfn.XLOOKUP(B33,$B:$B,$J:$J,0),0)))</f>
        <v>0</v>
      </c>
      <c r="K34" s="287">
        <f t="shared" ca="1" si="5"/>
        <v>0</v>
      </c>
      <c r="L34" s="288">
        <f t="shared" ca="1" si="6"/>
        <v>0</v>
      </c>
      <c r="M34" s="289">
        <f t="shared" ca="1" si="1"/>
        <v>0</v>
      </c>
      <c r="N34" s="286">
        <f>Table13[[#This Row],[Benefit Option]]</f>
        <v>0</v>
      </c>
      <c r="O34" s="284">
        <f>IF(OR(Table2[[#This Row],[Member Type]]="Spouse",Table2[[#This Row],[Member Type]]="Child"),0,
IF(_xlfn.XLOOKUP($N34,Lookups!$D$13:$D$27,Lookups!$F$13:$F$27,0)=Table2[[#This Row],[Table Lookup for Life Cover]],0,
_xlfn.XLOOKUP($N34,Lookups!$D$13:$D$27,Lookups!$F$13:$F$27,0)))</f>
        <v>0</v>
      </c>
      <c r="P34" s="284">
        <f>IF(Table2[[#This Row],[Table Lookup for Funeral]]=0,0,IFERROR(INDEX('Quotation Tool'!$S$54:$V$60,MATCH($T34,'Quotation Tool'!$S$54:$S$60,0),3),0))</f>
        <v>0</v>
      </c>
      <c r="Q34" s="288">
        <f ca="1">IF(OR(Table2[[#This Row],[Benefit Name]]="My Value Plus Life - Main Member",Table2[[#This Row],[Benefit Name]]="My Value Plus Life - Spouse"),0,
IFERROR(VLOOKUP($G34,INDIRECT($O34),$P34,FALSE),0))</f>
        <v>0</v>
      </c>
      <c r="R34" s="288">
        <f ca="1">IF(OR(Table2[[#This Row],[Benefit Name]]="My Value Plus Life - Main Member",Table2[[#This Row],[Benefit Name]]="My Value Plus Life - Spouse"),0,
IFERROR(VLOOKUP($G34,INDIRECT($O34),$P34+1,FALSE),0))</f>
        <v>0</v>
      </c>
      <c r="S34" s="289">
        <f t="shared" ca="1" si="2"/>
        <v>0</v>
      </c>
      <c r="T34" s="284" t="str">
        <f>IF(Table13[[#This Row],[Premium Waiver]]="","None",Table13[[#This Row],[Premium Waiver]])</f>
        <v>None</v>
      </c>
      <c r="U34" s="284">
        <f>Table13[[#This Row],[VAPs Options]]</f>
        <v>0</v>
      </c>
      <c r="V34" s="284">
        <f>Table13[[#This Row],[Annual Increase Option]]</f>
        <v>0</v>
      </c>
      <c r="W34" s="290">
        <f>Table13[[#This Row],[Life Cover Amount]]</f>
        <v>0</v>
      </c>
      <c r="X34" s="290">
        <f>Table13[[#This Row],[Funeral Cover Amount]]</f>
        <v>0</v>
      </c>
      <c r="Y3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4" s="301">
        <f t="shared" ca="1" si="3"/>
        <v>0</v>
      </c>
      <c r="AB34" s="298"/>
      <c r="AC34" s="326" t="str">
        <f>IF(Table2[[#This Row],[Member Type]]="Main Member",Lookups!$C$13,
IF(Table2[[#This Row],[Member Type]]="Spouse",_xlfn.XLOOKUP(B34,Table2[Main Member Link ID],Table2[Product Option],0),
IF(AND(Table2[[#This Row],[Member Type]]="Child",_xlfn.XLOOKUP(B34,Table2[Main Member Link ID],Table2[Product Option],0)&lt;&gt;"My Value Plus Life"),Lookups!$C$24,
IF(AND(OR(Table2[[#This Row],[Member Type]]="Parent",Table2[[#This Row],[Member Type]]="Extended"),_xlfn.XLOOKUP(B34,Table2[Main Member Link ID],Table2[Product Option],0)&lt;&gt;"My Value Plus Life"),Lookups!$C$26,""))))</f>
        <v/>
      </c>
      <c r="AD34" s="326" t="str">
        <f>IF(Table2[[#This Row],[Member Type]]="Main Member",Lookups!$C$14,"")</f>
        <v/>
      </c>
      <c r="AE3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Funeral",_xlfn.XLOOKUP(B34,Table2[Main Member Link ID],Table2[Benefit Name],0)=Lookups!$D$14),"",
IF(AND(Table2[[#This Row],[Member Type]]="Spouse",Table2[[#This Row],[Product Option]]="My Value Plus Life &amp; Funeral",_xlfn.XLOOKUP(B33,Table2[Main Member Link ID],Table2[Benefit Name],0)=Lookups!$D$15),Lookups!$D$20,
IF(AND(Table2[[#This Row],[Member Type]]="Spouse",Table2[[#This Row],[Product Option]]="My Value Plus Life &amp; Funeral",_xlfn.XLOOKUP(B33,Table2[Main Member Link ID],Table2[Benefit Name],0)=Lookups!$D$16),"",
IF(AND(Table2[[#This Row],[Member Type]]="Spouse",Table2[[#This Row],[Product Option]]="My Value Plus Life &amp; Funeral",_xlfn.XLOOKUP(B33,Table2[Main Member Link ID],Table2[Benefit Name],0)=Lookups!$D$17),Lookups!$D$21,
IF(AND(Table2[[#This Row],[Member Type]]="Child",Table2[[#This Row],[Product Option]]="My Value Plus Life &amp; Funeral",_xlfn.XLOOKUP(B34,Table2[Main Member Link ID],Table2[Benefit Name],0)=Lookups!$D$14),"",
IF(AND(Table2[[#This Row],[Member Type]]="Child",Table2[[#This Row],[Product Option]]="My Value Plus Life &amp; Funeral",_xlfn.XLOOKUP(B34,Table2[Main Member Link ID],Table2[Benefit Name],0)=Lookups!$D$15),"",
IF(AND(Table2[[#This Row],[Member Type]]="Child",Table2[[#This Row],[Product Option]]="My Value Plus Life &amp; Funeral",_xlfn.XLOOKUP(B34,Table2[Main Member Link ID],Table2[Benefit Name],0)=Lookups!$D$16),Lookups!$D$24,
IF(AND(Table2[[#This Row],[Member Type]]="Child",Table2[[#This Row],[Product Option]]="My Value Plus Life &amp; Funeral",_xlfn.XLOOKUP(B34,Table2[Main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Funeral",_xlfn.XLOOKUP(B34,Table2[Main Member Link ID],Table2[Benefit Name],0)&lt;&gt;Lookups!$D$14),
IF(_xlfn.XLOOKUP(B34,Table2[Main Member Link ID],Table2[Benefit Name],0)=0,"",_xlfn.XLOOKUP(B34,Table2[Main Member Link ID],Table2[Benefit Name],0)),"")))))))))))))))</f>
        <v/>
      </c>
      <c r="AF34" s="327" t="str">
        <f>IF(AND(Table2[[#This Row],[Member Type]]="Main Member",Table2[[#This Row],[Product Option]]="My Value Plus Life &amp; Funeral"),Lookups!$D$15,
IF(AND(Table2[[#This Row],[Member Type]]="Spouse",Table2[[#This Row],[Product Option]]="My Value Plus Life &amp; Funeral",_xlfn.XLOOKUP(B34,Table2[Main Member Link ID],Table2[Benefit Name],0)=Lookups!$D$14),"",
IF(AND(Table2[[#This Row],[Member Type]]="Spouse",Table2[[#This Row],[Product Option]]="My Value Plus Life &amp; Funeral",_xlfn.XLOOKUP(B33,Table2[Main Member Link ID],Table2[Benefit Name],0)=Lookups!$D$16),"",
IF(AND(Table2[[#This Row],[Member Type]]="Spouse",Table2[[#This Row],[Product Option]]="My Value Plus Life &amp; Funeral",_xlfn.XLOOKUP(B33,Table2[Main Member Link ID],Table2[Benefit Name],0)=Lookups!$D$15),"",
IF(AND(Table2[[#This Row],[Member Type]]="Spouse",Table2[[#This Row],[Product Option]]="My Value Plus Life &amp; Funeral",_xlfn.XLOOKUP(B33,Table2[Main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Funeral",_xlfn.XLOOKUP(B34,Table2[Main Member Link ID],Table2[Benefit Name],0)&lt;&gt;Lookups!$D$15),
IF(_xlfn.XLOOKUP(B34,Table2[Main Member Link ID],Table2[Benefit Name],0)=0,"",_xlfn.XLOOKUP(B34,Table2[Main Member Link ID],Table2[Benefit Name],0)),"")
))))))</f>
        <v/>
      </c>
      <c r="AG34" s="327" t="str">
        <f>IF(AND(Table2[[#This Row],[Member Type]]="Main Member",Table2[[#This Row],[Product Option]]="My Value Plus Life &amp; Funeral"),Lookups!$D$16,
IF(AND(Table2[[#This Row],[Member Type]]="Spouse",Table2[[#This Row],[Product Option]]="My Value Plus Life &amp; Funeral",_xlfn.XLOOKUP(B34,Table2[Main Member Link ID],Table2[Benefit Name],0)=Lookups!$D$14),"",
IF(AND(Table2[[#This Row],[Member Type]]="Spouse",Table2[[#This Row],[Product Option]]="My Value Plus Life &amp; Funeral",_xlfn.XLOOKUP(B33,Table2[Main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Funeral",_xlfn.XLOOKUP(B34,Table2[Main Member Link ID],Table2[Benefit Name],0)&lt;&gt;Lookups!$D$16),
IF(_xlfn.XLOOKUP(B34,Table2[Main Member Link ID],Table2[Benefit Name],0)=0,"",_xlfn.XLOOKUP(B34,Table2[Main Member Link ID],Table2[Benefit Name],0)),"")
))))</f>
        <v/>
      </c>
      <c r="AH34" s="327" t="str">
        <f>IF(AND(Table2[[#This Row],[Member Type]]="Main Member",Table2[[#This Row],[Product Option]]="My Value Plus Life &amp; Funeral"),Lookups!$D$17,
IF(AND(Table2[[#This Row],[Member Type]]="Spouse",Table2[[#This Row],[Product Option]]="My Value Plus Life &amp; Funeral",_xlfn.XLOOKUP(B34,Table2[Main Member Link ID],Table2[Benefit Name],0)=Lookups!$D$14),"",
IF(AND(Table2[[#This Row],[Member Type]]="Spouse",Table2[[#This Row],[Product Option]]="My Value Plus Life &amp; Funeral",_xlfn.XLOOKUP(B33,Table2[Main Member Link ID],Table2[Benefit Name],0)=Lookups!$D$16),"",
IF(AND(Table2[[#This Row],[Member Type]]="Child",Table2[[#This Row],[Product Option]]="My Value Plus Life &amp; Funeral"),"",
IF(AND(Table2[[#This Row],[Member Type]]="Child",Table2[[#This Row],[Product Option]]="My Value Plus Life &amp; Funeral",_xlfn.XLOOKUP(B34,Table2[Main Member Link ID],Table2[Benefit Name],0)=Lookups!$D$15),"",
IF(AND(OR(Table2[[#This Row],[Member Type]]="Spouse",Table2[[#This Row],[Member Type]]="Child"),Table2[[#This Row],[Product Option]]="My Value Plus Life &amp; Funeral",_xlfn.XLOOKUP(B34,Table2[Main Member Link ID],Table2[Benefit Name],0)&lt;&gt;Lookups!$D$17),
IF(_xlfn.XLOOKUP(B34,Table2[Main Member Link ID],Table2[Benefit Name],0)=0,"",_xlfn.XLOOKUP(B34,Table2[Main Member Link ID],Table2[Benefit Name],0)),""))))))</f>
        <v/>
      </c>
      <c r="AI34" s="328" t="str">
        <f>IF(AND(Table2[[#This Row],[Member Type]]="Main Member",Table2[[#This Row],[Table Lookup for Life Cover]]="MM_LIFE",Table2[[#This Row],[Age Next Birthday]]&lt;56),1,
IF(AND(Table2[[#This Row],[Member Type]]="Main Member",Table2[[#This Row],[Table Lookup for Life Cover]]="MM_LIFE",Table2[[#This Row],[Age Next Birthday]]&gt;=56),2,
""))</f>
        <v/>
      </c>
      <c r="AJ34" s="328">
        <f>IF(OR(Table2[[#This Row],[Member Type]]="Main Member",Table2[[#This Row],[Main Member Link ID]]=B33),1,0)</f>
        <v>1</v>
      </c>
      <c r="AK34" s="328">
        <f>IF(Table2[[#This Row],[Member Type]]=0,0,
IF(OR(Table2[[#This Row],[Member Type]]="Main Member",Table2[[#This Row],[Main Member Link ID]]&lt;&gt;B34),COUNTIFS(B:B,Table2[[#This Row],[Main Member Link ID]]),
COUNTIFS(B:B,Table2[[#This Row],[Main Member Link ID]],A:A,Table2[[#This Row],[Member Type]])))</f>
        <v>0</v>
      </c>
    </row>
    <row r="35" spans="1:37" x14ac:dyDescent="0.3">
      <c r="A35" s="284">
        <f>Table13[[#This Row],[Member Type]]</f>
        <v>0</v>
      </c>
      <c r="B35" s="284">
        <f>Table13[[#This Row],[Main Member Link ID]]</f>
        <v>0</v>
      </c>
      <c r="C35" s="284">
        <f>Table13[[#This Row],[ID Number]]</f>
        <v>0</v>
      </c>
      <c r="D35" s="285">
        <f>Table13[[#This Row],[Date Of Birth]]</f>
        <v>0</v>
      </c>
      <c r="E35" s="285">
        <f>Table13[[#This Row],[Commencement Date]]</f>
        <v>0</v>
      </c>
      <c r="F35" s="284">
        <f t="shared" si="0"/>
        <v>1</v>
      </c>
      <c r="G35" s="284">
        <f t="shared" si="4"/>
        <v>25</v>
      </c>
      <c r="H35" s="286">
        <f>Table13[[#This Row],[Product Option]]</f>
        <v>0</v>
      </c>
      <c r="I35" s="284">
        <f>IF(AND($A35="Main Member",Table2[[#This Row],[Product Option]]="My Value Plus Life"),"MM_LIFE",
IF(AND($A35="Spouse",Table2[[#This Row],[Product Option]]="My Value Plus Life"),"SP_LIFE",
IF(AND($A35="Main Member",Table2[[#This Row],[Product Option]]="My Value Plus Life &amp; Funeral"),"MM_LIFE",
IF(AND($A35="Spouse",Table2[[#This Row],[Product Option]]="My Value Plus Life &amp; Funeral"),_xlfn.XLOOKUP(Table2[[#This Row],[Benefit Name]],Lookups!$D$18:$D$23,Lookups!$E$18:$E$23,0),
0))))</f>
        <v>0</v>
      </c>
      <c r="J35" s="284">
        <f>IF($I35="","",
IF($I35="MM_LIFE",INDEX('Quotation Tool'!$S$54:$V$60,MATCH($T35,'Quotation Tool'!$S$54:$S$60,0),4),
IF($I35="SP_LIFE",_xlfn.XLOOKUP(B34,$B:$B,$J:$J,0),0)))</f>
        <v>0</v>
      </c>
      <c r="K35" s="287">
        <f t="shared" ca="1" si="5"/>
        <v>0</v>
      </c>
      <c r="L35" s="288">
        <f t="shared" ca="1" si="6"/>
        <v>0</v>
      </c>
      <c r="M35" s="289">
        <f t="shared" ca="1" si="1"/>
        <v>0</v>
      </c>
      <c r="N35" s="286">
        <f>Table13[[#This Row],[Benefit Option]]</f>
        <v>0</v>
      </c>
      <c r="O35" s="284">
        <f>IF(OR(Table2[[#This Row],[Member Type]]="Spouse",Table2[[#This Row],[Member Type]]="Child"),0,
IF(_xlfn.XLOOKUP($N35,Lookups!$D$13:$D$27,Lookups!$F$13:$F$27,0)=Table2[[#This Row],[Table Lookup for Life Cover]],0,
_xlfn.XLOOKUP($N35,Lookups!$D$13:$D$27,Lookups!$F$13:$F$27,0)))</f>
        <v>0</v>
      </c>
      <c r="P35" s="284">
        <f>IF(Table2[[#This Row],[Table Lookup for Funeral]]=0,0,IFERROR(INDEX('Quotation Tool'!$S$54:$V$60,MATCH($T35,'Quotation Tool'!$S$54:$S$60,0),3),0))</f>
        <v>0</v>
      </c>
      <c r="Q35" s="288">
        <f ca="1">IF(OR(Table2[[#This Row],[Benefit Name]]="My Value Plus Life - Main Member",Table2[[#This Row],[Benefit Name]]="My Value Plus Life - Spouse"),0,
IFERROR(VLOOKUP($G35,INDIRECT($O35),$P35,FALSE),0))</f>
        <v>0</v>
      </c>
      <c r="R35" s="288">
        <f ca="1">IF(OR(Table2[[#This Row],[Benefit Name]]="My Value Plus Life - Main Member",Table2[[#This Row],[Benefit Name]]="My Value Plus Life - Spouse"),0,
IFERROR(VLOOKUP($G35,INDIRECT($O35),$P35+1,FALSE),0))</f>
        <v>0</v>
      </c>
      <c r="S35" s="289">
        <f t="shared" ca="1" si="2"/>
        <v>0</v>
      </c>
      <c r="T35" s="284" t="str">
        <f>IF(Table13[[#This Row],[Premium Waiver]]="","None",Table13[[#This Row],[Premium Waiver]])</f>
        <v>None</v>
      </c>
      <c r="U35" s="284">
        <f>Table13[[#This Row],[VAPs Options]]</f>
        <v>0</v>
      </c>
      <c r="V35" s="284">
        <f>Table13[[#This Row],[Annual Increase Option]]</f>
        <v>0</v>
      </c>
      <c r="W35" s="290">
        <f>Table13[[#This Row],[Life Cover Amount]]</f>
        <v>0</v>
      </c>
      <c r="X35" s="290">
        <f>Table13[[#This Row],[Funeral Cover Amount]]</f>
        <v>0</v>
      </c>
      <c r="Y3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5" s="301">
        <f t="shared" ca="1" si="3"/>
        <v>0</v>
      </c>
      <c r="AB35" s="298"/>
      <c r="AC35" s="326" t="str">
        <f>IF(Table2[[#This Row],[Member Type]]="Main Member",Lookups!$C$13,
IF(Table2[[#This Row],[Member Type]]="Spouse",_xlfn.XLOOKUP(B35,Table2[Main Member Link ID],Table2[Product Option],0),
IF(AND(Table2[[#This Row],[Member Type]]="Child",_xlfn.XLOOKUP(B35,Table2[Main Member Link ID],Table2[Product Option],0)&lt;&gt;"My Value Plus Life"),Lookups!$C$24,
IF(AND(OR(Table2[[#This Row],[Member Type]]="Parent",Table2[[#This Row],[Member Type]]="Extended"),_xlfn.XLOOKUP(B35,Table2[Main Member Link ID],Table2[Product Option],0)&lt;&gt;"My Value Plus Life"),Lookups!$C$26,""))))</f>
        <v/>
      </c>
      <c r="AD35" s="326" t="str">
        <f>IF(Table2[[#This Row],[Member Type]]="Main Member",Lookups!$C$14,"")</f>
        <v/>
      </c>
      <c r="AE3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Funeral",_xlfn.XLOOKUP(B35,Table2[Main Member Link ID],Table2[Benefit Name],0)=Lookups!$D$14),"",
IF(AND(Table2[[#This Row],[Member Type]]="Spouse",Table2[[#This Row],[Product Option]]="My Value Plus Life &amp; Funeral",_xlfn.XLOOKUP(B34,Table2[Main Member Link ID],Table2[Benefit Name],0)=Lookups!$D$15),Lookups!$D$20,
IF(AND(Table2[[#This Row],[Member Type]]="Spouse",Table2[[#This Row],[Product Option]]="My Value Plus Life &amp; Funeral",_xlfn.XLOOKUP(B34,Table2[Main Member Link ID],Table2[Benefit Name],0)=Lookups!$D$16),"",
IF(AND(Table2[[#This Row],[Member Type]]="Spouse",Table2[[#This Row],[Product Option]]="My Value Plus Life &amp; Funeral",_xlfn.XLOOKUP(B34,Table2[Main Member Link ID],Table2[Benefit Name],0)=Lookups!$D$17),Lookups!$D$21,
IF(AND(Table2[[#This Row],[Member Type]]="Child",Table2[[#This Row],[Product Option]]="My Value Plus Life &amp; Funeral",_xlfn.XLOOKUP(B35,Table2[Main Member Link ID],Table2[Benefit Name],0)=Lookups!$D$14),"",
IF(AND(Table2[[#This Row],[Member Type]]="Child",Table2[[#This Row],[Product Option]]="My Value Plus Life &amp; Funeral",_xlfn.XLOOKUP(B35,Table2[Main Member Link ID],Table2[Benefit Name],0)=Lookups!$D$15),"",
IF(AND(Table2[[#This Row],[Member Type]]="Child",Table2[[#This Row],[Product Option]]="My Value Plus Life &amp; Funeral",_xlfn.XLOOKUP(B35,Table2[Main Member Link ID],Table2[Benefit Name],0)=Lookups!$D$16),Lookups!$D$24,
IF(AND(Table2[[#This Row],[Member Type]]="Child",Table2[[#This Row],[Product Option]]="My Value Plus Life &amp; Funeral",_xlfn.XLOOKUP(B35,Table2[Main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Funeral",_xlfn.XLOOKUP(B35,Table2[Main Member Link ID],Table2[Benefit Name],0)&lt;&gt;Lookups!$D$14),
IF(_xlfn.XLOOKUP(B35,Table2[Main Member Link ID],Table2[Benefit Name],0)=0,"",_xlfn.XLOOKUP(B35,Table2[Main Member Link ID],Table2[Benefit Name],0)),"")))))))))))))))</f>
        <v/>
      </c>
      <c r="AF35" s="327" t="str">
        <f>IF(AND(Table2[[#This Row],[Member Type]]="Main Member",Table2[[#This Row],[Product Option]]="My Value Plus Life &amp; Funeral"),Lookups!$D$15,
IF(AND(Table2[[#This Row],[Member Type]]="Spouse",Table2[[#This Row],[Product Option]]="My Value Plus Life &amp; Funeral",_xlfn.XLOOKUP(B35,Table2[Main Member Link ID],Table2[Benefit Name],0)=Lookups!$D$14),"",
IF(AND(Table2[[#This Row],[Member Type]]="Spouse",Table2[[#This Row],[Product Option]]="My Value Plus Life &amp; Funeral",_xlfn.XLOOKUP(B34,Table2[Main Member Link ID],Table2[Benefit Name],0)=Lookups!$D$16),"",
IF(AND(Table2[[#This Row],[Member Type]]="Spouse",Table2[[#This Row],[Product Option]]="My Value Plus Life &amp; Funeral",_xlfn.XLOOKUP(B34,Table2[Main Member Link ID],Table2[Benefit Name],0)=Lookups!$D$15),"",
IF(AND(Table2[[#This Row],[Member Type]]="Spouse",Table2[[#This Row],[Product Option]]="My Value Plus Life &amp; Funeral",_xlfn.XLOOKUP(B34,Table2[Main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Funeral",_xlfn.XLOOKUP(B35,Table2[Main Member Link ID],Table2[Benefit Name],0)&lt;&gt;Lookups!$D$15),
IF(_xlfn.XLOOKUP(B35,Table2[Main Member Link ID],Table2[Benefit Name],0)=0,"",_xlfn.XLOOKUP(B35,Table2[Main Member Link ID],Table2[Benefit Name],0)),"")
))))))</f>
        <v/>
      </c>
      <c r="AG35" s="327" t="str">
        <f>IF(AND(Table2[[#This Row],[Member Type]]="Main Member",Table2[[#This Row],[Product Option]]="My Value Plus Life &amp; Funeral"),Lookups!$D$16,
IF(AND(Table2[[#This Row],[Member Type]]="Spouse",Table2[[#This Row],[Product Option]]="My Value Plus Life &amp; Funeral",_xlfn.XLOOKUP(B35,Table2[Main Member Link ID],Table2[Benefit Name],0)=Lookups!$D$14),"",
IF(AND(Table2[[#This Row],[Member Type]]="Spouse",Table2[[#This Row],[Product Option]]="My Value Plus Life &amp; Funeral",_xlfn.XLOOKUP(B34,Table2[Main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Funeral",_xlfn.XLOOKUP(B35,Table2[Main Member Link ID],Table2[Benefit Name],0)&lt;&gt;Lookups!$D$16),
IF(_xlfn.XLOOKUP(B35,Table2[Main Member Link ID],Table2[Benefit Name],0)=0,"",_xlfn.XLOOKUP(B35,Table2[Main Member Link ID],Table2[Benefit Name],0)),"")
))))</f>
        <v/>
      </c>
      <c r="AH35" s="327" t="str">
        <f>IF(AND(Table2[[#This Row],[Member Type]]="Main Member",Table2[[#This Row],[Product Option]]="My Value Plus Life &amp; Funeral"),Lookups!$D$17,
IF(AND(Table2[[#This Row],[Member Type]]="Spouse",Table2[[#This Row],[Product Option]]="My Value Plus Life &amp; Funeral",_xlfn.XLOOKUP(B35,Table2[Main Member Link ID],Table2[Benefit Name],0)=Lookups!$D$14),"",
IF(AND(Table2[[#This Row],[Member Type]]="Spouse",Table2[[#This Row],[Product Option]]="My Value Plus Life &amp; Funeral",_xlfn.XLOOKUP(B34,Table2[Main Member Link ID],Table2[Benefit Name],0)=Lookups!$D$16),"",
IF(AND(Table2[[#This Row],[Member Type]]="Child",Table2[[#This Row],[Product Option]]="My Value Plus Life &amp; Funeral"),"",
IF(AND(Table2[[#This Row],[Member Type]]="Child",Table2[[#This Row],[Product Option]]="My Value Plus Life &amp; Funeral",_xlfn.XLOOKUP(B35,Table2[Main Member Link ID],Table2[Benefit Name],0)=Lookups!$D$15),"",
IF(AND(OR(Table2[[#This Row],[Member Type]]="Spouse",Table2[[#This Row],[Member Type]]="Child"),Table2[[#This Row],[Product Option]]="My Value Plus Life &amp; Funeral",_xlfn.XLOOKUP(B35,Table2[Main Member Link ID],Table2[Benefit Name],0)&lt;&gt;Lookups!$D$17),
IF(_xlfn.XLOOKUP(B35,Table2[Main Member Link ID],Table2[Benefit Name],0)=0,"",_xlfn.XLOOKUP(B35,Table2[Main Member Link ID],Table2[Benefit Name],0)),""))))))</f>
        <v/>
      </c>
      <c r="AI35" s="328" t="str">
        <f>IF(AND(Table2[[#This Row],[Member Type]]="Main Member",Table2[[#This Row],[Table Lookup for Life Cover]]="MM_LIFE",Table2[[#This Row],[Age Next Birthday]]&lt;56),1,
IF(AND(Table2[[#This Row],[Member Type]]="Main Member",Table2[[#This Row],[Table Lookup for Life Cover]]="MM_LIFE",Table2[[#This Row],[Age Next Birthday]]&gt;=56),2,
""))</f>
        <v/>
      </c>
      <c r="AJ35" s="328">
        <f>IF(OR(Table2[[#This Row],[Member Type]]="Main Member",Table2[[#This Row],[Main Member Link ID]]=B34),1,0)</f>
        <v>1</v>
      </c>
      <c r="AK35" s="328">
        <f>IF(Table2[[#This Row],[Member Type]]=0,0,
IF(OR(Table2[[#This Row],[Member Type]]="Main Member",Table2[[#This Row],[Main Member Link ID]]&lt;&gt;B35),COUNTIFS(B:B,Table2[[#This Row],[Main Member Link ID]]),
COUNTIFS(B:B,Table2[[#This Row],[Main Member Link ID]],A:A,Table2[[#This Row],[Member Type]])))</f>
        <v>0</v>
      </c>
    </row>
    <row r="36" spans="1:37" x14ac:dyDescent="0.3">
      <c r="A36" s="284">
        <f>Table13[[#This Row],[Member Type]]</f>
        <v>0</v>
      </c>
      <c r="B36" s="284">
        <f>Table13[[#This Row],[Main Member Link ID]]</f>
        <v>0</v>
      </c>
      <c r="C36" s="284">
        <f>Table13[[#This Row],[ID Number]]</f>
        <v>0</v>
      </c>
      <c r="D36" s="285">
        <f>Table13[[#This Row],[Date Of Birth]]</f>
        <v>0</v>
      </c>
      <c r="E36" s="285">
        <f>Table13[[#This Row],[Commencement Date]]</f>
        <v>0</v>
      </c>
      <c r="F36" s="284">
        <f t="shared" si="0"/>
        <v>1</v>
      </c>
      <c r="G36" s="284">
        <f t="shared" si="4"/>
        <v>25</v>
      </c>
      <c r="H36" s="286">
        <f>Table13[[#This Row],[Product Option]]</f>
        <v>0</v>
      </c>
      <c r="I36" s="284">
        <f>IF(AND($A36="Main Member",Table2[[#This Row],[Product Option]]="My Value Plus Life"),"MM_LIFE",
IF(AND($A36="Spouse",Table2[[#This Row],[Product Option]]="My Value Plus Life"),"SP_LIFE",
IF(AND($A36="Main Member",Table2[[#This Row],[Product Option]]="My Value Plus Life &amp; Funeral"),"MM_LIFE",
IF(AND($A36="Spouse",Table2[[#This Row],[Product Option]]="My Value Plus Life &amp; Funeral"),_xlfn.XLOOKUP(Table2[[#This Row],[Benefit Name]],Lookups!$D$18:$D$23,Lookups!$E$18:$E$23,0),
0))))</f>
        <v>0</v>
      </c>
      <c r="J36" s="284">
        <f>IF($I36="","",
IF($I36="MM_LIFE",INDEX('Quotation Tool'!$S$54:$V$60,MATCH($T36,'Quotation Tool'!$S$54:$S$60,0),4),
IF($I36="SP_LIFE",_xlfn.XLOOKUP(B35,$B:$B,$J:$J,0),0)))</f>
        <v>0</v>
      </c>
      <c r="K36" s="287">
        <f t="shared" ca="1" si="5"/>
        <v>0</v>
      </c>
      <c r="L36" s="288">
        <f t="shared" ca="1" si="6"/>
        <v>0</v>
      </c>
      <c r="M36" s="289">
        <f t="shared" ca="1" si="1"/>
        <v>0</v>
      </c>
      <c r="N36" s="286">
        <f>Table13[[#This Row],[Benefit Option]]</f>
        <v>0</v>
      </c>
      <c r="O36" s="284">
        <f>IF(OR(Table2[[#This Row],[Member Type]]="Spouse",Table2[[#This Row],[Member Type]]="Child"),0,
IF(_xlfn.XLOOKUP($N36,Lookups!$D$13:$D$27,Lookups!$F$13:$F$27,0)=Table2[[#This Row],[Table Lookup for Life Cover]],0,
_xlfn.XLOOKUP($N36,Lookups!$D$13:$D$27,Lookups!$F$13:$F$27,0)))</f>
        <v>0</v>
      </c>
      <c r="P36" s="284">
        <f>IF(Table2[[#This Row],[Table Lookup for Funeral]]=0,0,IFERROR(INDEX('Quotation Tool'!$S$54:$V$60,MATCH($T36,'Quotation Tool'!$S$54:$S$60,0),3),0))</f>
        <v>0</v>
      </c>
      <c r="Q36" s="288">
        <f ca="1">IF(OR(Table2[[#This Row],[Benefit Name]]="My Value Plus Life - Main Member",Table2[[#This Row],[Benefit Name]]="My Value Plus Life - Spouse"),0,
IFERROR(VLOOKUP($G36,INDIRECT($O36),$P36,FALSE),0))</f>
        <v>0</v>
      </c>
      <c r="R36" s="288">
        <f ca="1">IF(OR(Table2[[#This Row],[Benefit Name]]="My Value Plus Life - Main Member",Table2[[#This Row],[Benefit Name]]="My Value Plus Life - Spouse"),0,
IFERROR(VLOOKUP($G36,INDIRECT($O36),$P36+1,FALSE),0))</f>
        <v>0</v>
      </c>
      <c r="S36" s="289">
        <f t="shared" ca="1" si="2"/>
        <v>0</v>
      </c>
      <c r="T36" s="284" t="str">
        <f>IF(Table13[[#This Row],[Premium Waiver]]="","None",Table13[[#This Row],[Premium Waiver]])</f>
        <v>None</v>
      </c>
      <c r="U36" s="284">
        <f>Table13[[#This Row],[VAPs Options]]</f>
        <v>0</v>
      </c>
      <c r="V36" s="284">
        <f>Table13[[#This Row],[Annual Increase Option]]</f>
        <v>0</v>
      </c>
      <c r="W36" s="290">
        <f>Table13[[#This Row],[Life Cover Amount]]</f>
        <v>0</v>
      </c>
      <c r="X36" s="290">
        <f>Table13[[#This Row],[Funeral Cover Amount]]</f>
        <v>0</v>
      </c>
      <c r="Y3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6" s="301">
        <f t="shared" ca="1" si="3"/>
        <v>0</v>
      </c>
      <c r="AB36" s="298"/>
      <c r="AC36" s="326" t="str">
        <f>IF(Table2[[#This Row],[Member Type]]="Main Member",Lookups!$C$13,
IF(Table2[[#This Row],[Member Type]]="Spouse",_xlfn.XLOOKUP(B36,Table2[Main Member Link ID],Table2[Product Option],0),
IF(AND(Table2[[#This Row],[Member Type]]="Child",_xlfn.XLOOKUP(B36,Table2[Main Member Link ID],Table2[Product Option],0)&lt;&gt;"My Value Plus Life"),Lookups!$C$24,
IF(AND(OR(Table2[[#This Row],[Member Type]]="Parent",Table2[[#This Row],[Member Type]]="Extended"),_xlfn.XLOOKUP(B36,Table2[Main Member Link ID],Table2[Product Option],0)&lt;&gt;"My Value Plus Life"),Lookups!$C$26,""))))</f>
        <v/>
      </c>
      <c r="AD36" s="326" t="str">
        <f>IF(Table2[[#This Row],[Member Type]]="Main Member",Lookups!$C$14,"")</f>
        <v/>
      </c>
      <c r="AE3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Funeral",_xlfn.XLOOKUP(B36,Table2[Main Member Link ID],Table2[Benefit Name],0)=Lookups!$D$14),"",
IF(AND(Table2[[#This Row],[Member Type]]="Spouse",Table2[[#This Row],[Product Option]]="My Value Plus Life &amp; Funeral",_xlfn.XLOOKUP(B35,Table2[Main Member Link ID],Table2[Benefit Name],0)=Lookups!$D$15),Lookups!$D$20,
IF(AND(Table2[[#This Row],[Member Type]]="Spouse",Table2[[#This Row],[Product Option]]="My Value Plus Life &amp; Funeral",_xlfn.XLOOKUP(B35,Table2[Main Member Link ID],Table2[Benefit Name],0)=Lookups!$D$16),"",
IF(AND(Table2[[#This Row],[Member Type]]="Spouse",Table2[[#This Row],[Product Option]]="My Value Plus Life &amp; Funeral",_xlfn.XLOOKUP(B35,Table2[Main Member Link ID],Table2[Benefit Name],0)=Lookups!$D$17),Lookups!$D$21,
IF(AND(Table2[[#This Row],[Member Type]]="Child",Table2[[#This Row],[Product Option]]="My Value Plus Life &amp; Funeral",_xlfn.XLOOKUP(B36,Table2[Main Member Link ID],Table2[Benefit Name],0)=Lookups!$D$14),"",
IF(AND(Table2[[#This Row],[Member Type]]="Child",Table2[[#This Row],[Product Option]]="My Value Plus Life &amp; Funeral",_xlfn.XLOOKUP(B36,Table2[Main Member Link ID],Table2[Benefit Name],0)=Lookups!$D$15),"",
IF(AND(Table2[[#This Row],[Member Type]]="Child",Table2[[#This Row],[Product Option]]="My Value Plus Life &amp; Funeral",_xlfn.XLOOKUP(B36,Table2[Main Member Link ID],Table2[Benefit Name],0)=Lookups!$D$16),Lookups!$D$24,
IF(AND(Table2[[#This Row],[Member Type]]="Child",Table2[[#This Row],[Product Option]]="My Value Plus Life &amp; Funeral",_xlfn.XLOOKUP(B36,Table2[Main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Funeral",_xlfn.XLOOKUP(B36,Table2[Main Member Link ID],Table2[Benefit Name],0)&lt;&gt;Lookups!$D$14),
IF(_xlfn.XLOOKUP(B36,Table2[Main Member Link ID],Table2[Benefit Name],0)=0,"",_xlfn.XLOOKUP(B36,Table2[Main Member Link ID],Table2[Benefit Name],0)),"")))))))))))))))</f>
        <v/>
      </c>
      <c r="AF36" s="327" t="str">
        <f>IF(AND(Table2[[#This Row],[Member Type]]="Main Member",Table2[[#This Row],[Product Option]]="My Value Plus Life &amp; Funeral"),Lookups!$D$15,
IF(AND(Table2[[#This Row],[Member Type]]="Spouse",Table2[[#This Row],[Product Option]]="My Value Plus Life &amp; Funeral",_xlfn.XLOOKUP(B36,Table2[Main Member Link ID],Table2[Benefit Name],0)=Lookups!$D$14),"",
IF(AND(Table2[[#This Row],[Member Type]]="Spouse",Table2[[#This Row],[Product Option]]="My Value Plus Life &amp; Funeral",_xlfn.XLOOKUP(B35,Table2[Main Member Link ID],Table2[Benefit Name],0)=Lookups!$D$16),"",
IF(AND(Table2[[#This Row],[Member Type]]="Spouse",Table2[[#This Row],[Product Option]]="My Value Plus Life &amp; Funeral",_xlfn.XLOOKUP(B35,Table2[Main Member Link ID],Table2[Benefit Name],0)=Lookups!$D$15),"",
IF(AND(Table2[[#This Row],[Member Type]]="Spouse",Table2[[#This Row],[Product Option]]="My Value Plus Life &amp; Funeral",_xlfn.XLOOKUP(B35,Table2[Main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Funeral",_xlfn.XLOOKUP(B36,Table2[Main Member Link ID],Table2[Benefit Name],0)&lt;&gt;Lookups!$D$15),
IF(_xlfn.XLOOKUP(B36,Table2[Main Member Link ID],Table2[Benefit Name],0)=0,"",_xlfn.XLOOKUP(B36,Table2[Main Member Link ID],Table2[Benefit Name],0)),"")
))))))</f>
        <v/>
      </c>
      <c r="AG36" s="327" t="str">
        <f>IF(AND(Table2[[#This Row],[Member Type]]="Main Member",Table2[[#This Row],[Product Option]]="My Value Plus Life &amp; Funeral"),Lookups!$D$16,
IF(AND(Table2[[#This Row],[Member Type]]="Spouse",Table2[[#This Row],[Product Option]]="My Value Plus Life &amp; Funeral",_xlfn.XLOOKUP(B36,Table2[Main Member Link ID],Table2[Benefit Name],0)=Lookups!$D$14),"",
IF(AND(Table2[[#This Row],[Member Type]]="Spouse",Table2[[#This Row],[Product Option]]="My Value Plus Life &amp; Funeral",_xlfn.XLOOKUP(B35,Table2[Main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Funeral",_xlfn.XLOOKUP(B36,Table2[Main Member Link ID],Table2[Benefit Name],0)&lt;&gt;Lookups!$D$16),
IF(_xlfn.XLOOKUP(B36,Table2[Main Member Link ID],Table2[Benefit Name],0)=0,"",_xlfn.XLOOKUP(B36,Table2[Main Member Link ID],Table2[Benefit Name],0)),"")
))))</f>
        <v/>
      </c>
      <c r="AH36" s="327" t="str">
        <f>IF(AND(Table2[[#This Row],[Member Type]]="Main Member",Table2[[#This Row],[Product Option]]="My Value Plus Life &amp; Funeral"),Lookups!$D$17,
IF(AND(Table2[[#This Row],[Member Type]]="Spouse",Table2[[#This Row],[Product Option]]="My Value Plus Life &amp; Funeral",_xlfn.XLOOKUP(B36,Table2[Main Member Link ID],Table2[Benefit Name],0)=Lookups!$D$14),"",
IF(AND(Table2[[#This Row],[Member Type]]="Spouse",Table2[[#This Row],[Product Option]]="My Value Plus Life &amp; Funeral",_xlfn.XLOOKUP(B35,Table2[Main Member Link ID],Table2[Benefit Name],0)=Lookups!$D$16),"",
IF(AND(Table2[[#This Row],[Member Type]]="Child",Table2[[#This Row],[Product Option]]="My Value Plus Life &amp; Funeral"),"",
IF(AND(Table2[[#This Row],[Member Type]]="Child",Table2[[#This Row],[Product Option]]="My Value Plus Life &amp; Funeral",_xlfn.XLOOKUP(B36,Table2[Main Member Link ID],Table2[Benefit Name],0)=Lookups!$D$15),"",
IF(AND(OR(Table2[[#This Row],[Member Type]]="Spouse",Table2[[#This Row],[Member Type]]="Child"),Table2[[#This Row],[Product Option]]="My Value Plus Life &amp; Funeral",_xlfn.XLOOKUP(B36,Table2[Main Member Link ID],Table2[Benefit Name],0)&lt;&gt;Lookups!$D$17),
IF(_xlfn.XLOOKUP(B36,Table2[Main Member Link ID],Table2[Benefit Name],0)=0,"",_xlfn.XLOOKUP(B36,Table2[Main Member Link ID],Table2[Benefit Name],0)),""))))))</f>
        <v/>
      </c>
      <c r="AI36" s="328" t="str">
        <f>IF(AND(Table2[[#This Row],[Member Type]]="Main Member",Table2[[#This Row],[Table Lookup for Life Cover]]="MM_LIFE",Table2[[#This Row],[Age Next Birthday]]&lt;56),1,
IF(AND(Table2[[#This Row],[Member Type]]="Main Member",Table2[[#This Row],[Table Lookup for Life Cover]]="MM_LIFE",Table2[[#This Row],[Age Next Birthday]]&gt;=56),2,
""))</f>
        <v/>
      </c>
      <c r="AJ36" s="328">
        <f>IF(OR(Table2[[#This Row],[Member Type]]="Main Member",Table2[[#This Row],[Main Member Link ID]]=B35),1,0)</f>
        <v>1</v>
      </c>
      <c r="AK36" s="328">
        <f>IF(Table2[[#This Row],[Member Type]]=0,0,
IF(OR(Table2[[#This Row],[Member Type]]="Main Member",Table2[[#This Row],[Main Member Link ID]]&lt;&gt;B36),COUNTIFS(B:B,Table2[[#This Row],[Main Member Link ID]]),
COUNTIFS(B:B,Table2[[#This Row],[Main Member Link ID]],A:A,Table2[[#This Row],[Member Type]])))</f>
        <v>0</v>
      </c>
    </row>
    <row r="37" spans="1:37" x14ac:dyDescent="0.3">
      <c r="A37" s="284">
        <f>Table13[[#This Row],[Member Type]]</f>
        <v>0</v>
      </c>
      <c r="B37" s="284">
        <f>Table13[[#This Row],[Main Member Link ID]]</f>
        <v>0</v>
      </c>
      <c r="C37" s="284">
        <f>Table13[[#This Row],[ID Number]]</f>
        <v>0</v>
      </c>
      <c r="D37" s="285">
        <f>Table13[[#This Row],[Date Of Birth]]</f>
        <v>0</v>
      </c>
      <c r="E37" s="285">
        <f>Table13[[#This Row],[Commencement Date]]</f>
        <v>0</v>
      </c>
      <c r="F37" s="284">
        <f t="shared" si="0"/>
        <v>1</v>
      </c>
      <c r="G37" s="284">
        <f t="shared" si="4"/>
        <v>25</v>
      </c>
      <c r="H37" s="286">
        <f>Table13[[#This Row],[Product Option]]</f>
        <v>0</v>
      </c>
      <c r="I37" s="284">
        <f>IF(AND($A37="Main Member",Table2[[#This Row],[Product Option]]="My Value Plus Life"),"MM_LIFE",
IF(AND($A37="Spouse",Table2[[#This Row],[Product Option]]="My Value Plus Life"),"SP_LIFE",
IF(AND($A37="Main Member",Table2[[#This Row],[Product Option]]="My Value Plus Life &amp; Funeral"),"MM_LIFE",
IF(AND($A37="Spouse",Table2[[#This Row],[Product Option]]="My Value Plus Life &amp; Funeral"),_xlfn.XLOOKUP(Table2[[#This Row],[Benefit Name]],Lookups!$D$18:$D$23,Lookups!$E$18:$E$23,0),
0))))</f>
        <v>0</v>
      </c>
      <c r="J37" s="284">
        <f>IF($I37="","",
IF($I37="MM_LIFE",INDEX('Quotation Tool'!$S$54:$V$60,MATCH($T37,'Quotation Tool'!$S$54:$S$60,0),4),
IF($I37="SP_LIFE",_xlfn.XLOOKUP(B36,$B:$B,$J:$J,0),0)))</f>
        <v>0</v>
      </c>
      <c r="K37" s="287">
        <f t="shared" ca="1" si="5"/>
        <v>0</v>
      </c>
      <c r="L37" s="288">
        <f t="shared" ca="1" si="6"/>
        <v>0</v>
      </c>
      <c r="M37" s="289">
        <f t="shared" ca="1" si="1"/>
        <v>0</v>
      </c>
      <c r="N37" s="286">
        <f>Table13[[#This Row],[Benefit Option]]</f>
        <v>0</v>
      </c>
      <c r="O37" s="284">
        <f>IF(OR(Table2[[#This Row],[Member Type]]="Spouse",Table2[[#This Row],[Member Type]]="Child"),0,
IF(_xlfn.XLOOKUP($N37,Lookups!$D$13:$D$27,Lookups!$F$13:$F$27,0)=Table2[[#This Row],[Table Lookup for Life Cover]],0,
_xlfn.XLOOKUP($N37,Lookups!$D$13:$D$27,Lookups!$F$13:$F$27,0)))</f>
        <v>0</v>
      </c>
      <c r="P37" s="284">
        <f>IF(Table2[[#This Row],[Table Lookup for Funeral]]=0,0,IFERROR(INDEX('Quotation Tool'!$S$54:$V$60,MATCH($T37,'Quotation Tool'!$S$54:$S$60,0),3),0))</f>
        <v>0</v>
      </c>
      <c r="Q37" s="288">
        <f ca="1">IF(OR(Table2[[#This Row],[Benefit Name]]="My Value Plus Life - Main Member",Table2[[#This Row],[Benefit Name]]="My Value Plus Life - Spouse"),0,
IFERROR(VLOOKUP($G37,INDIRECT($O37),$P37,FALSE),0))</f>
        <v>0</v>
      </c>
      <c r="R37" s="288">
        <f ca="1">IF(OR(Table2[[#This Row],[Benefit Name]]="My Value Plus Life - Main Member",Table2[[#This Row],[Benefit Name]]="My Value Plus Life - Spouse"),0,
IFERROR(VLOOKUP($G37,INDIRECT($O37),$P37+1,FALSE),0))</f>
        <v>0</v>
      </c>
      <c r="S37" s="289">
        <f t="shared" ca="1" si="2"/>
        <v>0</v>
      </c>
      <c r="T37" s="284" t="str">
        <f>IF(Table13[[#This Row],[Premium Waiver]]="","None",Table13[[#This Row],[Premium Waiver]])</f>
        <v>None</v>
      </c>
      <c r="U37" s="284">
        <f>Table13[[#This Row],[VAPs Options]]</f>
        <v>0</v>
      </c>
      <c r="V37" s="284">
        <f>Table13[[#This Row],[Annual Increase Option]]</f>
        <v>0</v>
      </c>
      <c r="W37" s="290">
        <f>Table13[[#This Row],[Life Cover Amount]]</f>
        <v>0</v>
      </c>
      <c r="X37" s="290">
        <f>Table13[[#This Row],[Funeral Cover Amount]]</f>
        <v>0</v>
      </c>
      <c r="Y3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7" s="301">
        <f t="shared" ca="1" si="3"/>
        <v>0</v>
      </c>
      <c r="AB37" s="298"/>
      <c r="AC37" s="326" t="str">
        <f>IF(Table2[[#This Row],[Member Type]]="Main Member",Lookups!$C$13,
IF(Table2[[#This Row],[Member Type]]="Spouse",_xlfn.XLOOKUP(B37,Table2[Main Member Link ID],Table2[Product Option],0),
IF(AND(Table2[[#This Row],[Member Type]]="Child",_xlfn.XLOOKUP(B37,Table2[Main Member Link ID],Table2[Product Option],0)&lt;&gt;"My Value Plus Life"),Lookups!$C$24,
IF(AND(OR(Table2[[#This Row],[Member Type]]="Parent",Table2[[#This Row],[Member Type]]="Extended"),_xlfn.XLOOKUP(B37,Table2[Main Member Link ID],Table2[Product Option],0)&lt;&gt;"My Value Plus Life"),Lookups!$C$26,""))))</f>
        <v/>
      </c>
      <c r="AD37" s="326" t="str">
        <f>IF(Table2[[#This Row],[Member Type]]="Main Member",Lookups!$C$14,"")</f>
        <v/>
      </c>
      <c r="AE3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Funeral",_xlfn.XLOOKUP(B37,Table2[Main Member Link ID],Table2[Benefit Name],0)=Lookups!$D$14),"",
IF(AND(Table2[[#This Row],[Member Type]]="Spouse",Table2[[#This Row],[Product Option]]="My Value Plus Life &amp; Funeral",_xlfn.XLOOKUP(B36,Table2[Main Member Link ID],Table2[Benefit Name],0)=Lookups!$D$15),Lookups!$D$20,
IF(AND(Table2[[#This Row],[Member Type]]="Spouse",Table2[[#This Row],[Product Option]]="My Value Plus Life &amp; Funeral",_xlfn.XLOOKUP(B36,Table2[Main Member Link ID],Table2[Benefit Name],0)=Lookups!$D$16),"",
IF(AND(Table2[[#This Row],[Member Type]]="Spouse",Table2[[#This Row],[Product Option]]="My Value Plus Life &amp; Funeral",_xlfn.XLOOKUP(B36,Table2[Main Member Link ID],Table2[Benefit Name],0)=Lookups!$D$17),Lookups!$D$21,
IF(AND(Table2[[#This Row],[Member Type]]="Child",Table2[[#This Row],[Product Option]]="My Value Plus Life &amp; Funeral",_xlfn.XLOOKUP(B37,Table2[Main Member Link ID],Table2[Benefit Name],0)=Lookups!$D$14),"",
IF(AND(Table2[[#This Row],[Member Type]]="Child",Table2[[#This Row],[Product Option]]="My Value Plus Life &amp; Funeral",_xlfn.XLOOKUP(B37,Table2[Main Member Link ID],Table2[Benefit Name],0)=Lookups!$D$15),"",
IF(AND(Table2[[#This Row],[Member Type]]="Child",Table2[[#This Row],[Product Option]]="My Value Plus Life &amp; Funeral",_xlfn.XLOOKUP(B37,Table2[Main Member Link ID],Table2[Benefit Name],0)=Lookups!$D$16),Lookups!$D$24,
IF(AND(Table2[[#This Row],[Member Type]]="Child",Table2[[#This Row],[Product Option]]="My Value Plus Life &amp; Funeral",_xlfn.XLOOKUP(B37,Table2[Main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Funeral",_xlfn.XLOOKUP(B37,Table2[Main Member Link ID],Table2[Benefit Name],0)&lt;&gt;Lookups!$D$14),
IF(_xlfn.XLOOKUP(B37,Table2[Main Member Link ID],Table2[Benefit Name],0)=0,"",_xlfn.XLOOKUP(B37,Table2[Main Member Link ID],Table2[Benefit Name],0)),"")))))))))))))))</f>
        <v/>
      </c>
      <c r="AF37" s="327" t="str">
        <f>IF(AND(Table2[[#This Row],[Member Type]]="Main Member",Table2[[#This Row],[Product Option]]="My Value Plus Life &amp; Funeral"),Lookups!$D$15,
IF(AND(Table2[[#This Row],[Member Type]]="Spouse",Table2[[#This Row],[Product Option]]="My Value Plus Life &amp; Funeral",_xlfn.XLOOKUP(B37,Table2[Main Member Link ID],Table2[Benefit Name],0)=Lookups!$D$14),"",
IF(AND(Table2[[#This Row],[Member Type]]="Spouse",Table2[[#This Row],[Product Option]]="My Value Plus Life &amp; Funeral",_xlfn.XLOOKUP(B36,Table2[Main Member Link ID],Table2[Benefit Name],0)=Lookups!$D$16),"",
IF(AND(Table2[[#This Row],[Member Type]]="Spouse",Table2[[#This Row],[Product Option]]="My Value Plus Life &amp; Funeral",_xlfn.XLOOKUP(B36,Table2[Main Member Link ID],Table2[Benefit Name],0)=Lookups!$D$15),"",
IF(AND(Table2[[#This Row],[Member Type]]="Spouse",Table2[[#This Row],[Product Option]]="My Value Plus Life &amp; Funeral",_xlfn.XLOOKUP(B36,Table2[Main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Funeral",_xlfn.XLOOKUP(B37,Table2[Main Member Link ID],Table2[Benefit Name],0)&lt;&gt;Lookups!$D$15),
IF(_xlfn.XLOOKUP(B37,Table2[Main Member Link ID],Table2[Benefit Name],0)=0,"",_xlfn.XLOOKUP(B37,Table2[Main Member Link ID],Table2[Benefit Name],0)),"")
))))))</f>
        <v/>
      </c>
      <c r="AG37" s="327" t="str">
        <f>IF(AND(Table2[[#This Row],[Member Type]]="Main Member",Table2[[#This Row],[Product Option]]="My Value Plus Life &amp; Funeral"),Lookups!$D$16,
IF(AND(Table2[[#This Row],[Member Type]]="Spouse",Table2[[#This Row],[Product Option]]="My Value Plus Life &amp; Funeral",_xlfn.XLOOKUP(B37,Table2[Main Member Link ID],Table2[Benefit Name],0)=Lookups!$D$14),"",
IF(AND(Table2[[#This Row],[Member Type]]="Spouse",Table2[[#This Row],[Product Option]]="My Value Plus Life &amp; Funeral",_xlfn.XLOOKUP(B36,Table2[Main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Funeral",_xlfn.XLOOKUP(B37,Table2[Main Member Link ID],Table2[Benefit Name],0)&lt;&gt;Lookups!$D$16),
IF(_xlfn.XLOOKUP(B37,Table2[Main Member Link ID],Table2[Benefit Name],0)=0,"",_xlfn.XLOOKUP(B37,Table2[Main Member Link ID],Table2[Benefit Name],0)),"")
))))</f>
        <v/>
      </c>
      <c r="AH37" s="327" t="str">
        <f>IF(AND(Table2[[#This Row],[Member Type]]="Main Member",Table2[[#This Row],[Product Option]]="My Value Plus Life &amp; Funeral"),Lookups!$D$17,
IF(AND(Table2[[#This Row],[Member Type]]="Spouse",Table2[[#This Row],[Product Option]]="My Value Plus Life &amp; Funeral",_xlfn.XLOOKUP(B37,Table2[Main Member Link ID],Table2[Benefit Name],0)=Lookups!$D$14),"",
IF(AND(Table2[[#This Row],[Member Type]]="Spouse",Table2[[#This Row],[Product Option]]="My Value Plus Life &amp; Funeral",_xlfn.XLOOKUP(B36,Table2[Main Member Link ID],Table2[Benefit Name],0)=Lookups!$D$16),"",
IF(AND(Table2[[#This Row],[Member Type]]="Child",Table2[[#This Row],[Product Option]]="My Value Plus Life &amp; Funeral"),"",
IF(AND(Table2[[#This Row],[Member Type]]="Child",Table2[[#This Row],[Product Option]]="My Value Plus Life &amp; Funeral",_xlfn.XLOOKUP(B37,Table2[Main Member Link ID],Table2[Benefit Name],0)=Lookups!$D$15),"",
IF(AND(OR(Table2[[#This Row],[Member Type]]="Spouse",Table2[[#This Row],[Member Type]]="Child"),Table2[[#This Row],[Product Option]]="My Value Plus Life &amp; Funeral",_xlfn.XLOOKUP(B37,Table2[Main Member Link ID],Table2[Benefit Name],0)&lt;&gt;Lookups!$D$17),
IF(_xlfn.XLOOKUP(B37,Table2[Main Member Link ID],Table2[Benefit Name],0)=0,"",_xlfn.XLOOKUP(B37,Table2[Main Member Link ID],Table2[Benefit Name],0)),""))))))</f>
        <v/>
      </c>
      <c r="AI37" s="328" t="str">
        <f>IF(AND(Table2[[#This Row],[Member Type]]="Main Member",Table2[[#This Row],[Table Lookup for Life Cover]]="MM_LIFE",Table2[[#This Row],[Age Next Birthday]]&lt;56),1,
IF(AND(Table2[[#This Row],[Member Type]]="Main Member",Table2[[#This Row],[Table Lookup for Life Cover]]="MM_LIFE",Table2[[#This Row],[Age Next Birthday]]&gt;=56),2,
""))</f>
        <v/>
      </c>
      <c r="AJ37" s="328">
        <f>IF(OR(Table2[[#This Row],[Member Type]]="Main Member",Table2[[#This Row],[Main Member Link ID]]=B36),1,0)</f>
        <v>1</v>
      </c>
      <c r="AK37" s="328">
        <f>IF(Table2[[#This Row],[Member Type]]=0,0,
IF(OR(Table2[[#This Row],[Member Type]]="Main Member",Table2[[#This Row],[Main Member Link ID]]&lt;&gt;B37),COUNTIFS(B:B,Table2[[#This Row],[Main Member Link ID]]),
COUNTIFS(B:B,Table2[[#This Row],[Main Member Link ID]],A:A,Table2[[#This Row],[Member Type]])))</f>
        <v>0</v>
      </c>
    </row>
    <row r="38" spans="1:37" x14ac:dyDescent="0.3">
      <c r="A38" s="284">
        <f>Table13[[#This Row],[Member Type]]</f>
        <v>0</v>
      </c>
      <c r="B38" s="284">
        <f>Table13[[#This Row],[Main Member Link ID]]</f>
        <v>0</v>
      </c>
      <c r="C38" s="284">
        <f>Table13[[#This Row],[ID Number]]</f>
        <v>0</v>
      </c>
      <c r="D38" s="285">
        <f>Table13[[#This Row],[Date Of Birth]]</f>
        <v>0</v>
      </c>
      <c r="E38" s="285">
        <f>Table13[[#This Row],[Commencement Date]]</f>
        <v>0</v>
      </c>
      <c r="F38" s="284">
        <f t="shared" si="0"/>
        <v>1</v>
      </c>
      <c r="G38" s="284">
        <f t="shared" si="4"/>
        <v>25</v>
      </c>
      <c r="H38" s="286">
        <f>Table13[[#This Row],[Product Option]]</f>
        <v>0</v>
      </c>
      <c r="I38" s="284">
        <f>IF(AND($A38="Main Member",Table2[[#This Row],[Product Option]]="My Value Plus Life"),"MM_LIFE",
IF(AND($A38="Spouse",Table2[[#This Row],[Product Option]]="My Value Plus Life"),"SP_LIFE",
IF(AND($A38="Main Member",Table2[[#This Row],[Product Option]]="My Value Plus Life &amp; Funeral"),"MM_LIFE",
IF(AND($A38="Spouse",Table2[[#This Row],[Product Option]]="My Value Plus Life &amp; Funeral"),_xlfn.XLOOKUP(Table2[[#This Row],[Benefit Name]],Lookups!$D$18:$D$23,Lookups!$E$18:$E$23,0),
0))))</f>
        <v>0</v>
      </c>
      <c r="J38" s="284">
        <f>IF($I38="","",
IF($I38="MM_LIFE",INDEX('Quotation Tool'!$S$54:$V$60,MATCH($T38,'Quotation Tool'!$S$54:$S$60,0),4),
IF($I38="SP_LIFE",_xlfn.XLOOKUP(B37,$B:$B,$J:$J,0),0)))</f>
        <v>0</v>
      </c>
      <c r="K38" s="287">
        <f t="shared" ca="1" si="5"/>
        <v>0</v>
      </c>
      <c r="L38" s="288">
        <f t="shared" ca="1" si="6"/>
        <v>0</v>
      </c>
      <c r="M38" s="289">
        <f t="shared" ca="1" si="1"/>
        <v>0</v>
      </c>
      <c r="N38" s="286">
        <f>Table13[[#This Row],[Benefit Option]]</f>
        <v>0</v>
      </c>
      <c r="O38" s="284">
        <f>IF(OR(Table2[[#This Row],[Member Type]]="Spouse",Table2[[#This Row],[Member Type]]="Child"),0,
IF(_xlfn.XLOOKUP($N38,Lookups!$D$13:$D$27,Lookups!$F$13:$F$27,0)=Table2[[#This Row],[Table Lookup for Life Cover]],0,
_xlfn.XLOOKUP($N38,Lookups!$D$13:$D$27,Lookups!$F$13:$F$27,0)))</f>
        <v>0</v>
      </c>
      <c r="P38" s="284">
        <f>IF(Table2[[#This Row],[Table Lookup for Funeral]]=0,0,IFERROR(INDEX('Quotation Tool'!$S$54:$V$60,MATCH($T38,'Quotation Tool'!$S$54:$S$60,0),3),0))</f>
        <v>0</v>
      </c>
      <c r="Q38" s="288">
        <f ca="1">IF(OR(Table2[[#This Row],[Benefit Name]]="My Value Plus Life - Main Member",Table2[[#This Row],[Benefit Name]]="My Value Plus Life - Spouse"),0,
IFERROR(VLOOKUP($G38,INDIRECT($O38),$P38,FALSE),0))</f>
        <v>0</v>
      </c>
      <c r="R38" s="288">
        <f ca="1">IF(OR(Table2[[#This Row],[Benefit Name]]="My Value Plus Life - Main Member",Table2[[#This Row],[Benefit Name]]="My Value Plus Life - Spouse"),0,
IFERROR(VLOOKUP($G38,INDIRECT($O38),$P38+1,FALSE),0))</f>
        <v>0</v>
      </c>
      <c r="S38" s="289">
        <f t="shared" ca="1" si="2"/>
        <v>0</v>
      </c>
      <c r="T38" s="284" t="str">
        <f>IF(Table13[[#This Row],[Premium Waiver]]="","None",Table13[[#This Row],[Premium Waiver]])</f>
        <v>None</v>
      </c>
      <c r="U38" s="284">
        <f>Table13[[#This Row],[VAPs Options]]</f>
        <v>0</v>
      </c>
      <c r="V38" s="284">
        <f>Table13[[#This Row],[Annual Increase Option]]</f>
        <v>0</v>
      </c>
      <c r="W38" s="290">
        <f>Table13[[#This Row],[Life Cover Amount]]</f>
        <v>0</v>
      </c>
      <c r="X38" s="290">
        <f>Table13[[#This Row],[Funeral Cover Amount]]</f>
        <v>0</v>
      </c>
      <c r="Y3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8" s="301">
        <f t="shared" ca="1" si="3"/>
        <v>0</v>
      </c>
      <c r="AB38" s="298"/>
      <c r="AC38" s="326" t="str">
        <f>IF(Table2[[#This Row],[Member Type]]="Main Member",Lookups!$C$13,
IF(Table2[[#This Row],[Member Type]]="Spouse",_xlfn.XLOOKUP(B38,Table2[Main Member Link ID],Table2[Product Option],0),
IF(AND(Table2[[#This Row],[Member Type]]="Child",_xlfn.XLOOKUP(B38,Table2[Main Member Link ID],Table2[Product Option],0)&lt;&gt;"My Value Plus Life"),Lookups!$C$24,
IF(AND(OR(Table2[[#This Row],[Member Type]]="Parent",Table2[[#This Row],[Member Type]]="Extended"),_xlfn.XLOOKUP(B38,Table2[Main Member Link ID],Table2[Product Option],0)&lt;&gt;"My Value Plus Life"),Lookups!$C$26,""))))</f>
        <v/>
      </c>
      <c r="AD38" s="326" t="str">
        <f>IF(Table2[[#This Row],[Member Type]]="Main Member",Lookups!$C$14,"")</f>
        <v/>
      </c>
      <c r="AE3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Funeral",_xlfn.XLOOKUP(B38,Table2[Main Member Link ID],Table2[Benefit Name],0)=Lookups!$D$14),"",
IF(AND(Table2[[#This Row],[Member Type]]="Spouse",Table2[[#This Row],[Product Option]]="My Value Plus Life &amp; Funeral",_xlfn.XLOOKUP(B37,Table2[Main Member Link ID],Table2[Benefit Name],0)=Lookups!$D$15),Lookups!$D$20,
IF(AND(Table2[[#This Row],[Member Type]]="Spouse",Table2[[#This Row],[Product Option]]="My Value Plus Life &amp; Funeral",_xlfn.XLOOKUP(B37,Table2[Main Member Link ID],Table2[Benefit Name],0)=Lookups!$D$16),"",
IF(AND(Table2[[#This Row],[Member Type]]="Spouse",Table2[[#This Row],[Product Option]]="My Value Plus Life &amp; Funeral",_xlfn.XLOOKUP(B37,Table2[Main Member Link ID],Table2[Benefit Name],0)=Lookups!$D$17),Lookups!$D$21,
IF(AND(Table2[[#This Row],[Member Type]]="Child",Table2[[#This Row],[Product Option]]="My Value Plus Life &amp; Funeral",_xlfn.XLOOKUP(B38,Table2[Main Member Link ID],Table2[Benefit Name],0)=Lookups!$D$14),"",
IF(AND(Table2[[#This Row],[Member Type]]="Child",Table2[[#This Row],[Product Option]]="My Value Plus Life &amp; Funeral",_xlfn.XLOOKUP(B38,Table2[Main Member Link ID],Table2[Benefit Name],0)=Lookups!$D$15),"",
IF(AND(Table2[[#This Row],[Member Type]]="Child",Table2[[#This Row],[Product Option]]="My Value Plus Life &amp; Funeral",_xlfn.XLOOKUP(B38,Table2[Main Member Link ID],Table2[Benefit Name],0)=Lookups!$D$16),Lookups!$D$24,
IF(AND(Table2[[#This Row],[Member Type]]="Child",Table2[[#This Row],[Product Option]]="My Value Plus Life &amp; Funeral",_xlfn.XLOOKUP(B38,Table2[Main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Funeral",_xlfn.XLOOKUP(B38,Table2[Main Member Link ID],Table2[Benefit Name],0)&lt;&gt;Lookups!$D$14),
IF(_xlfn.XLOOKUP(B38,Table2[Main Member Link ID],Table2[Benefit Name],0)=0,"",_xlfn.XLOOKUP(B38,Table2[Main Member Link ID],Table2[Benefit Name],0)),"")))))))))))))))</f>
        <v/>
      </c>
      <c r="AF38" s="327" t="str">
        <f>IF(AND(Table2[[#This Row],[Member Type]]="Main Member",Table2[[#This Row],[Product Option]]="My Value Plus Life &amp; Funeral"),Lookups!$D$15,
IF(AND(Table2[[#This Row],[Member Type]]="Spouse",Table2[[#This Row],[Product Option]]="My Value Plus Life &amp; Funeral",_xlfn.XLOOKUP(B38,Table2[Main Member Link ID],Table2[Benefit Name],0)=Lookups!$D$14),"",
IF(AND(Table2[[#This Row],[Member Type]]="Spouse",Table2[[#This Row],[Product Option]]="My Value Plus Life &amp; Funeral",_xlfn.XLOOKUP(B37,Table2[Main Member Link ID],Table2[Benefit Name],0)=Lookups!$D$16),"",
IF(AND(Table2[[#This Row],[Member Type]]="Spouse",Table2[[#This Row],[Product Option]]="My Value Plus Life &amp; Funeral",_xlfn.XLOOKUP(B37,Table2[Main Member Link ID],Table2[Benefit Name],0)=Lookups!$D$15),"",
IF(AND(Table2[[#This Row],[Member Type]]="Spouse",Table2[[#This Row],[Product Option]]="My Value Plus Life &amp; Funeral",_xlfn.XLOOKUP(B37,Table2[Main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Funeral",_xlfn.XLOOKUP(B38,Table2[Main Member Link ID],Table2[Benefit Name],0)&lt;&gt;Lookups!$D$15),
IF(_xlfn.XLOOKUP(B38,Table2[Main Member Link ID],Table2[Benefit Name],0)=0,"",_xlfn.XLOOKUP(B38,Table2[Main Member Link ID],Table2[Benefit Name],0)),"")
))))))</f>
        <v/>
      </c>
      <c r="AG38" s="327" t="str">
        <f>IF(AND(Table2[[#This Row],[Member Type]]="Main Member",Table2[[#This Row],[Product Option]]="My Value Plus Life &amp; Funeral"),Lookups!$D$16,
IF(AND(Table2[[#This Row],[Member Type]]="Spouse",Table2[[#This Row],[Product Option]]="My Value Plus Life &amp; Funeral",_xlfn.XLOOKUP(B38,Table2[Main Member Link ID],Table2[Benefit Name],0)=Lookups!$D$14),"",
IF(AND(Table2[[#This Row],[Member Type]]="Spouse",Table2[[#This Row],[Product Option]]="My Value Plus Life &amp; Funeral",_xlfn.XLOOKUP(B37,Table2[Main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Funeral",_xlfn.XLOOKUP(B38,Table2[Main Member Link ID],Table2[Benefit Name],0)&lt;&gt;Lookups!$D$16),
IF(_xlfn.XLOOKUP(B38,Table2[Main Member Link ID],Table2[Benefit Name],0)=0,"",_xlfn.XLOOKUP(B38,Table2[Main Member Link ID],Table2[Benefit Name],0)),"")
))))</f>
        <v/>
      </c>
      <c r="AH38" s="327" t="str">
        <f>IF(AND(Table2[[#This Row],[Member Type]]="Main Member",Table2[[#This Row],[Product Option]]="My Value Plus Life &amp; Funeral"),Lookups!$D$17,
IF(AND(Table2[[#This Row],[Member Type]]="Spouse",Table2[[#This Row],[Product Option]]="My Value Plus Life &amp; Funeral",_xlfn.XLOOKUP(B38,Table2[Main Member Link ID],Table2[Benefit Name],0)=Lookups!$D$14),"",
IF(AND(Table2[[#This Row],[Member Type]]="Spouse",Table2[[#This Row],[Product Option]]="My Value Plus Life &amp; Funeral",_xlfn.XLOOKUP(B37,Table2[Main Member Link ID],Table2[Benefit Name],0)=Lookups!$D$16),"",
IF(AND(Table2[[#This Row],[Member Type]]="Child",Table2[[#This Row],[Product Option]]="My Value Plus Life &amp; Funeral"),"",
IF(AND(Table2[[#This Row],[Member Type]]="Child",Table2[[#This Row],[Product Option]]="My Value Plus Life &amp; Funeral",_xlfn.XLOOKUP(B38,Table2[Main Member Link ID],Table2[Benefit Name],0)=Lookups!$D$15),"",
IF(AND(OR(Table2[[#This Row],[Member Type]]="Spouse",Table2[[#This Row],[Member Type]]="Child"),Table2[[#This Row],[Product Option]]="My Value Plus Life &amp; Funeral",_xlfn.XLOOKUP(B38,Table2[Main Member Link ID],Table2[Benefit Name],0)&lt;&gt;Lookups!$D$17),
IF(_xlfn.XLOOKUP(B38,Table2[Main Member Link ID],Table2[Benefit Name],0)=0,"",_xlfn.XLOOKUP(B38,Table2[Main Member Link ID],Table2[Benefit Name],0)),""))))))</f>
        <v/>
      </c>
      <c r="AI38" s="328" t="str">
        <f>IF(AND(Table2[[#This Row],[Member Type]]="Main Member",Table2[[#This Row],[Table Lookup for Life Cover]]="MM_LIFE",Table2[[#This Row],[Age Next Birthday]]&lt;56),1,
IF(AND(Table2[[#This Row],[Member Type]]="Main Member",Table2[[#This Row],[Table Lookup for Life Cover]]="MM_LIFE",Table2[[#This Row],[Age Next Birthday]]&gt;=56),2,
""))</f>
        <v/>
      </c>
      <c r="AJ38" s="328">
        <f>IF(OR(Table2[[#This Row],[Member Type]]="Main Member",Table2[[#This Row],[Main Member Link ID]]=B37),1,0)</f>
        <v>1</v>
      </c>
      <c r="AK38" s="328">
        <f>IF(Table2[[#This Row],[Member Type]]=0,0,
IF(OR(Table2[[#This Row],[Member Type]]="Main Member",Table2[[#This Row],[Main Member Link ID]]&lt;&gt;B38),COUNTIFS(B:B,Table2[[#This Row],[Main Member Link ID]]),
COUNTIFS(B:B,Table2[[#This Row],[Main Member Link ID]],A:A,Table2[[#This Row],[Member Type]])))</f>
        <v>0</v>
      </c>
    </row>
    <row r="39" spans="1:37" x14ac:dyDescent="0.3">
      <c r="A39" s="284">
        <f>Table13[[#This Row],[Member Type]]</f>
        <v>0</v>
      </c>
      <c r="B39" s="284">
        <f>Table13[[#This Row],[Main Member Link ID]]</f>
        <v>0</v>
      </c>
      <c r="C39" s="284">
        <f>Table13[[#This Row],[ID Number]]</f>
        <v>0</v>
      </c>
      <c r="D39" s="285">
        <f>Table13[[#This Row],[Date Of Birth]]</f>
        <v>0</v>
      </c>
      <c r="E39" s="285">
        <f>Table13[[#This Row],[Commencement Date]]</f>
        <v>0</v>
      </c>
      <c r="F39" s="284">
        <f t="shared" si="0"/>
        <v>1</v>
      </c>
      <c r="G39" s="284">
        <f t="shared" si="4"/>
        <v>25</v>
      </c>
      <c r="H39" s="286">
        <f>Table13[[#This Row],[Product Option]]</f>
        <v>0</v>
      </c>
      <c r="I39" s="284">
        <f>IF(AND($A39="Main Member",Table2[[#This Row],[Product Option]]="My Value Plus Life"),"MM_LIFE",
IF(AND($A39="Spouse",Table2[[#This Row],[Product Option]]="My Value Plus Life"),"SP_LIFE",
IF(AND($A39="Main Member",Table2[[#This Row],[Product Option]]="My Value Plus Life &amp; Funeral"),"MM_LIFE",
IF(AND($A39="Spouse",Table2[[#This Row],[Product Option]]="My Value Plus Life &amp; Funeral"),_xlfn.XLOOKUP(Table2[[#This Row],[Benefit Name]],Lookups!$D$18:$D$23,Lookups!$E$18:$E$23,0),
0))))</f>
        <v>0</v>
      </c>
      <c r="J39" s="284">
        <f>IF($I39="","",
IF($I39="MM_LIFE",INDEX('Quotation Tool'!$S$54:$V$60,MATCH($T39,'Quotation Tool'!$S$54:$S$60,0),4),
IF($I39="SP_LIFE",_xlfn.XLOOKUP(B38,$B:$B,$J:$J,0),0)))</f>
        <v>0</v>
      </c>
      <c r="K39" s="287">
        <f t="shared" ca="1" si="5"/>
        <v>0</v>
      </c>
      <c r="L39" s="288">
        <f t="shared" ca="1" si="6"/>
        <v>0</v>
      </c>
      <c r="M39" s="289">
        <f t="shared" ca="1" si="1"/>
        <v>0</v>
      </c>
      <c r="N39" s="286">
        <f>Table13[[#This Row],[Benefit Option]]</f>
        <v>0</v>
      </c>
      <c r="O39" s="284">
        <f>IF(OR(Table2[[#This Row],[Member Type]]="Spouse",Table2[[#This Row],[Member Type]]="Child"),0,
IF(_xlfn.XLOOKUP($N39,Lookups!$D$13:$D$27,Lookups!$F$13:$F$27,0)=Table2[[#This Row],[Table Lookup for Life Cover]],0,
_xlfn.XLOOKUP($N39,Lookups!$D$13:$D$27,Lookups!$F$13:$F$27,0)))</f>
        <v>0</v>
      </c>
      <c r="P39" s="284">
        <f>IF(Table2[[#This Row],[Table Lookup for Funeral]]=0,0,IFERROR(INDEX('Quotation Tool'!$S$54:$V$60,MATCH($T39,'Quotation Tool'!$S$54:$S$60,0),3),0))</f>
        <v>0</v>
      </c>
      <c r="Q39" s="288">
        <f ca="1">IF(OR(Table2[[#This Row],[Benefit Name]]="My Value Plus Life - Main Member",Table2[[#This Row],[Benefit Name]]="My Value Plus Life - Spouse"),0,
IFERROR(VLOOKUP($G39,INDIRECT($O39),$P39,FALSE),0))</f>
        <v>0</v>
      </c>
      <c r="R39" s="288">
        <f ca="1">IF(OR(Table2[[#This Row],[Benefit Name]]="My Value Plus Life - Main Member",Table2[[#This Row],[Benefit Name]]="My Value Plus Life - Spouse"),0,
IFERROR(VLOOKUP($G39,INDIRECT($O39),$P39+1,FALSE),0))</f>
        <v>0</v>
      </c>
      <c r="S39" s="289">
        <f t="shared" ca="1" si="2"/>
        <v>0</v>
      </c>
      <c r="T39" s="284" t="str">
        <f>IF(Table13[[#This Row],[Premium Waiver]]="","None",Table13[[#This Row],[Premium Waiver]])</f>
        <v>None</v>
      </c>
      <c r="U39" s="284">
        <f>Table13[[#This Row],[VAPs Options]]</f>
        <v>0</v>
      </c>
      <c r="V39" s="284">
        <f>Table13[[#This Row],[Annual Increase Option]]</f>
        <v>0</v>
      </c>
      <c r="W39" s="290">
        <f>Table13[[#This Row],[Life Cover Amount]]</f>
        <v>0</v>
      </c>
      <c r="X39" s="290">
        <f>Table13[[#This Row],[Funeral Cover Amount]]</f>
        <v>0</v>
      </c>
      <c r="Y3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9" s="301">
        <f t="shared" ca="1" si="3"/>
        <v>0</v>
      </c>
      <c r="AB39" s="298"/>
      <c r="AC39" s="326" t="str">
        <f>IF(Table2[[#This Row],[Member Type]]="Main Member",Lookups!$C$13,
IF(Table2[[#This Row],[Member Type]]="Spouse",_xlfn.XLOOKUP(B39,Table2[Main Member Link ID],Table2[Product Option],0),
IF(AND(Table2[[#This Row],[Member Type]]="Child",_xlfn.XLOOKUP(B39,Table2[Main Member Link ID],Table2[Product Option],0)&lt;&gt;"My Value Plus Life"),Lookups!$C$24,
IF(AND(OR(Table2[[#This Row],[Member Type]]="Parent",Table2[[#This Row],[Member Type]]="Extended"),_xlfn.XLOOKUP(B39,Table2[Main Member Link ID],Table2[Product Option],0)&lt;&gt;"My Value Plus Life"),Lookups!$C$26,""))))</f>
        <v/>
      </c>
      <c r="AD39" s="326" t="str">
        <f>IF(Table2[[#This Row],[Member Type]]="Main Member",Lookups!$C$14,"")</f>
        <v/>
      </c>
      <c r="AE3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Funeral",_xlfn.XLOOKUP(B39,Table2[Main Member Link ID],Table2[Benefit Name],0)=Lookups!$D$14),"",
IF(AND(Table2[[#This Row],[Member Type]]="Spouse",Table2[[#This Row],[Product Option]]="My Value Plus Life &amp; Funeral",_xlfn.XLOOKUP(B38,Table2[Main Member Link ID],Table2[Benefit Name],0)=Lookups!$D$15),Lookups!$D$20,
IF(AND(Table2[[#This Row],[Member Type]]="Spouse",Table2[[#This Row],[Product Option]]="My Value Plus Life &amp; Funeral",_xlfn.XLOOKUP(B38,Table2[Main Member Link ID],Table2[Benefit Name],0)=Lookups!$D$16),"",
IF(AND(Table2[[#This Row],[Member Type]]="Spouse",Table2[[#This Row],[Product Option]]="My Value Plus Life &amp; Funeral",_xlfn.XLOOKUP(B38,Table2[Main Member Link ID],Table2[Benefit Name],0)=Lookups!$D$17),Lookups!$D$21,
IF(AND(Table2[[#This Row],[Member Type]]="Child",Table2[[#This Row],[Product Option]]="My Value Plus Life &amp; Funeral",_xlfn.XLOOKUP(B39,Table2[Main Member Link ID],Table2[Benefit Name],0)=Lookups!$D$14),"",
IF(AND(Table2[[#This Row],[Member Type]]="Child",Table2[[#This Row],[Product Option]]="My Value Plus Life &amp; Funeral",_xlfn.XLOOKUP(B39,Table2[Main Member Link ID],Table2[Benefit Name],0)=Lookups!$D$15),"",
IF(AND(Table2[[#This Row],[Member Type]]="Child",Table2[[#This Row],[Product Option]]="My Value Plus Life &amp; Funeral",_xlfn.XLOOKUP(B39,Table2[Main Member Link ID],Table2[Benefit Name],0)=Lookups!$D$16),Lookups!$D$24,
IF(AND(Table2[[#This Row],[Member Type]]="Child",Table2[[#This Row],[Product Option]]="My Value Plus Life &amp; Funeral",_xlfn.XLOOKUP(B39,Table2[Main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Funeral",_xlfn.XLOOKUP(B39,Table2[Main Member Link ID],Table2[Benefit Name],0)&lt;&gt;Lookups!$D$14),
IF(_xlfn.XLOOKUP(B39,Table2[Main Member Link ID],Table2[Benefit Name],0)=0,"",_xlfn.XLOOKUP(B39,Table2[Main Member Link ID],Table2[Benefit Name],0)),"")))))))))))))))</f>
        <v/>
      </c>
      <c r="AF39" s="327" t="str">
        <f>IF(AND(Table2[[#This Row],[Member Type]]="Main Member",Table2[[#This Row],[Product Option]]="My Value Plus Life &amp; Funeral"),Lookups!$D$15,
IF(AND(Table2[[#This Row],[Member Type]]="Spouse",Table2[[#This Row],[Product Option]]="My Value Plus Life &amp; Funeral",_xlfn.XLOOKUP(B39,Table2[Main Member Link ID],Table2[Benefit Name],0)=Lookups!$D$14),"",
IF(AND(Table2[[#This Row],[Member Type]]="Spouse",Table2[[#This Row],[Product Option]]="My Value Plus Life &amp; Funeral",_xlfn.XLOOKUP(B38,Table2[Main Member Link ID],Table2[Benefit Name],0)=Lookups!$D$16),"",
IF(AND(Table2[[#This Row],[Member Type]]="Spouse",Table2[[#This Row],[Product Option]]="My Value Plus Life &amp; Funeral",_xlfn.XLOOKUP(B38,Table2[Main Member Link ID],Table2[Benefit Name],0)=Lookups!$D$15),"",
IF(AND(Table2[[#This Row],[Member Type]]="Spouse",Table2[[#This Row],[Product Option]]="My Value Plus Life &amp; Funeral",_xlfn.XLOOKUP(B38,Table2[Main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Funeral",_xlfn.XLOOKUP(B39,Table2[Main Member Link ID],Table2[Benefit Name],0)&lt;&gt;Lookups!$D$15),
IF(_xlfn.XLOOKUP(B39,Table2[Main Member Link ID],Table2[Benefit Name],0)=0,"",_xlfn.XLOOKUP(B39,Table2[Main Member Link ID],Table2[Benefit Name],0)),"")
))))))</f>
        <v/>
      </c>
      <c r="AG39" s="327" t="str">
        <f>IF(AND(Table2[[#This Row],[Member Type]]="Main Member",Table2[[#This Row],[Product Option]]="My Value Plus Life &amp; Funeral"),Lookups!$D$16,
IF(AND(Table2[[#This Row],[Member Type]]="Spouse",Table2[[#This Row],[Product Option]]="My Value Plus Life &amp; Funeral",_xlfn.XLOOKUP(B39,Table2[Main Member Link ID],Table2[Benefit Name],0)=Lookups!$D$14),"",
IF(AND(Table2[[#This Row],[Member Type]]="Spouse",Table2[[#This Row],[Product Option]]="My Value Plus Life &amp; Funeral",_xlfn.XLOOKUP(B38,Table2[Main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Funeral",_xlfn.XLOOKUP(B39,Table2[Main Member Link ID],Table2[Benefit Name],0)&lt;&gt;Lookups!$D$16),
IF(_xlfn.XLOOKUP(B39,Table2[Main Member Link ID],Table2[Benefit Name],0)=0,"",_xlfn.XLOOKUP(B39,Table2[Main Member Link ID],Table2[Benefit Name],0)),"")
))))</f>
        <v/>
      </c>
      <c r="AH39" s="327" t="str">
        <f>IF(AND(Table2[[#This Row],[Member Type]]="Main Member",Table2[[#This Row],[Product Option]]="My Value Plus Life &amp; Funeral"),Lookups!$D$17,
IF(AND(Table2[[#This Row],[Member Type]]="Spouse",Table2[[#This Row],[Product Option]]="My Value Plus Life &amp; Funeral",_xlfn.XLOOKUP(B39,Table2[Main Member Link ID],Table2[Benefit Name],0)=Lookups!$D$14),"",
IF(AND(Table2[[#This Row],[Member Type]]="Spouse",Table2[[#This Row],[Product Option]]="My Value Plus Life &amp; Funeral",_xlfn.XLOOKUP(B38,Table2[Main Member Link ID],Table2[Benefit Name],0)=Lookups!$D$16),"",
IF(AND(Table2[[#This Row],[Member Type]]="Child",Table2[[#This Row],[Product Option]]="My Value Plus Life &amp; Funeral"),"",
IF(AND(Table2[[#This Row],[Member Type]]="Child",Table2[[#This Row],[Product Option]]="My Value Plus Life &amp; Funeral",_xlfn.XLOOKUP(B39,Table2[Main Member Link ID],Table2[Benefit Name],0)=Lookups!$D$15),"",
IF(AND(OR(Table2[[#This Row],[Member Type]]="Spouse",Table2[[#This Row],[Member Type]]="Child"),Table2[[#This Row],[Product Option]]="My Value Plus Life &amp; Funeral",_xlfn.XLOOKUP(B39,Table2[Main Member Link ID],Table2[Benefit Name],0)&lt;&gt;Lookups!$D$17),
IF(_xlfn.XLOOKUP(B39,Table2[Main Member Link ID],Table2[Benefit Name],0)=0,"",_xlfn.XLOOKUP(B39,Table2[Main Member Link ID],Table2[Benefit Name],0)),""))))))</f>
        <v/>
      </c>
      <c r="AI39" s="328" t="str">
        <f>IF(AND(Table2[[#This Row],[Member Type]]="Main Member",Table2[[#This Row],[Table Lookup for Life Cover]]="MM_LIFE",Table2[[#This Row],[Age Next Birthday]]&lt;56),1,
IF(AND(Table2[[#This Row],[Member Type]]="Main Member",Table2[[#This Row],[Table Lookup for Life Cover]]="MM_LIFE",Table2[[#This Row],[Age Next Birthday]]&gt;=56),2,
""))</f>
        <v/>
      </c>
      <c r="AJ39" s="328">
        <f>IF(OR(Table2[[#This Row],[Member Type]]="Main Member",Table2[[#This Row],[Main Member Link ID]]=B38),1,0)</f>
        <v>1</v>
      </c>
      <c r="AK39" s="328">
        <f>IF(Table2[[#This Row],[Member Type]]=0,0,
IF(OR(Table2[[#This Row],[Member Type]]="Main Member",Table2[[#This Row],[Main Member Link ID]]&lt;&gt;B39),COUNTIFS(B:B,Table2[[#This Row],[Main Member Link ID]]),
COUNTIFS(B:B,Table2[[#This Row],[Main Member Link ID]],A:A,Table2[[#This Row],[Member Type]])))</f>
        <v>0</v>
      </c>
    </row>
    <row r="40" spans="1:37" x14ac:dyDescent="0.3">
      <c r="A40" s="284">
        <f>Table13[[#This Row],[Member Type]]</f>
        <v>0</v>
      </c>
      <c r="B40" s="284">
        <f>Table13[[#This Row],[Main Member Link ID]]</f>
        <v>0</v>
      </c>
      <c r="C40" s="284">
        <f>Table13[[#This Row],[ID Number]]</f>
        <v>0</v>
      </c>
      <c r="D40" s="285">
        <f>Table13[[#This Row],[Date Of Birth]]</f>
        <v>0</v>
      </c>
      <c r="E40" s="285">
        <f>Table13[[#This Row],[Commencement Date]]</f>
        <v>0</v>
      </c>
      <c r="F40" s="284">
        <f t="shared" si="0"/>
        <v>1</v>
      </c>
      <c r="G40" s="284">
        <f t="shared" si="4"/>
        <v>25</v>
      </c>
      <c r="H40" s="286">
        <f>Table13[[#This Row],[Product Option]]</f>
        <v>0</v>
      </c>
      <c r="I40" s="284">
        <f>IF(AND($A40="Main Member",Table2[[#This Row],[Product Option]]="My Value Plus Life"),"MM_LIFE",
IF(AND($A40="Spouse",Table2[[#This Row],[Product Option]]="My Value Plus Life"),"SP_LIFE",
IF(AND($A40="Main Member",Table2[[#This Row],[Product Option]]="My Value Plus Life &amp; Funeral"),"MM_LIFE",
IF(AND($A40="Spouse",Table2[[#This Row],[Product Option]]="My Value Plus Life &amp; Funeral"),_xlfn.XLOOKUP(Table2[[#This Row],[Benefit Name]],Lookups!$D$18:$D$23,Lookups!$E$18:$E$23,0),
0))))</f>
        <v>0</v>
      </c>
      <c r="J40" s="284">
        <f>IF($I40="","",
IF($I40="MM_LIFE",INDEX('Quotation Tool'!$S$54:$V$60,MATCH($T40,'Quotation Tool'!$S$54:$S$60,0),4),
IF($I40="SP_LIFE",_xlfn.XLOOKUP(B39,$B:$B,$J:$J,0),0)))</f>
        <v>0</v>
      </c>
      <c r="K40" s="287">
        <f t="shared" ca="1" si="5"/>
        <v>0</v>
      </c>
      <c r="L40" s="288">
        <f t="shared" ca="1" si="6"/>
        <v>0</v>
      </c>
      <c r="M40" s="289">
        <f t="shared" ca="1" si="1"/>
        <v>0</v>
      </c>
      <c r="N40" s="286">
        <f>Table13[[#This Row],[Benefit Option]]</f>
        <v>0</v>
      </c>
      <c r="O40" s="284">
        <f>IF(OR(Table2[[#This Row],[Member Type]]="Spouse",Table2[[#This Row],[Member Type]]="Child"),0,
IF(_xlfn.XLOOKUP($N40,Lookups!$D$13:$D$27,Lookups!$F$13:$F$27,0)=Table2[[#This Row],[Table Lookup for Life Cover]],0,
_xlfn.XLOOKUP($N40,Lookups!$D$13:$D$27,Lookups!$F$13:$F$27,0)))</f>
        <v>0</v>
      </c>
      <c r="P40" s="284">
        <f>IF(Table2[[#This Row],[Table Lookup for Funeral]]=0,0,IFERROR(INDEX('Quotation Tool'!$S$54:$V$60,MATCH($T40,'Quotation Tool'!$S$54:$S$60,0),3),0))</f>
        <v>0</v>
      </c>
      <c r="Q40" s="288">
        <f ca="1">IF(OR(Table2[[#This Row],[Benefit Name]]="My Value Plus Life - Main Member",Table2[[#This Row],[Benefit Name]]="My Value Plus Life - Spouse"),0,
IFERROR(VLOOKUP($G40,INDIRECT($O40),$P40,FALSE),0))</f>
        <v>0</v>
      </c>
      <c r="R40" s="288">
        <f ca="1">IF(OR(Table2[[#This Row],[Benefit Name]]="My Value Plus Life - Main Member",Table2[[#This Row],[Benefit Name]]="My Value Plus Life - Spouse"),0,
IFERROR(VLOOKUP($G40,INDIRECT($O40),$P40+1,FALSE),0))</f>
        <v>0</v>
      </c>
      <c r="S40" s="289">
        <f t="shared" ca="1" si="2"/>
        <v>0</v>
      </c>
      <c r="T40" s="284" t="str">
        <f>IF(Table13[[#This Row],[Premium Waiver]]="","None",Table13[[#This Row],[Premium Waiver]])</f>
        <v>None</v>
      </c>
      <c r="U40" s="284">
        <f>Table13[[#This Row],[VAPs Options]]</f>
        <v>0</v>
      </c>
      <c r="V40" s="284">
        <f>Table13[[#This Row],[Annual Increase Option]]</f>
        <v>0</v>
      </c>
      <c r="W40" s="290">
        <f>Table13[[#This Row],[Life Cover Amount]]</f>
        <v>0</v>
      </c>
      <c r="X40" s="290">
        <f>Table13[[#This Row],[Funeral Cover Amount]]</f>
        <v>0</v>
      </c>
      <c r="Y4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0" s="301">
        <f t="shared" ca="1" si="3"/>
        <v>0</v>
      </c>
      <c r="AB40" s="298"/>
      <c r="AC40" s="326" t="str">
        <f>IF(Table2[[#This Row],[Member Type]]="Main Member",Lookups!$C$13,
IF(Table2[[#This Row],[Member Type]]="Spouse",_xlfn.XLOOKUP(B40,Table2[Main Member Link ID],Table2[Product Option],0),
IF(AND(Table2[[#This Row],[Member Type]]="Child",_xlfn.XLOOKUP(B40,Table2[Main Member Link ID],Table2[Product Option],0)&lt;&gt;"My Value Plus Life"),Lookups!$C$24,
IF(AND(OR(Table2[[#This Row],[Member Type]]="Parent",Table2[[#This Row],[Member Type]]="Extended"),_xlfn.XLOOKUP(B40,Table2[Main Member Link ID],Table2[Product Option],0)&lt;&gt;"My Value Plus Life"),Lookups!$C$26,""))))</f>
        <v/>
      </c>
      <c r="AD40" s="326" t="str">
        <f>IF(Table2[[#This Row],[Member Type]]="Main Member",Lookups!$C$14,"")</f>
        <v/>
      </c>
      <c r="AE4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Funeral",_xlfn.XLOOKUP(B40,Table2[Main Member Link ID],Table2[Benefit Name],0)=Lookups!$D$14),"",
IF(AND(Table2[[#This Row],[Member Type]]="Spouse",Table2[[#This Row],[Product Option]]="My Value Plus Life &amp; Funeral",_xlfn.XLOOKUP(B39,Table2[Main Member Link ID],Table2[Benefit Name],0)=Lookups!$D$15),Lookups!$D$20,
IF(AND(Table2[[#This Row],[Member Type]]="Spouse",Table2[[#This Row],[Product Option]]="My Value Plus Life &amp; Funeral",_xlfn.XLOOKUP(B39,Table2[Main Member Link ID],Table2[Benefit Name],0)=Lookups!$D$16),"",
IF(AND(Table2[[#This Row],[Member Type]]="Spouse",Table2[[#This Row],[Product Option]]="My Value Plus Life &amp; Funeral",_xlfn.XLOOKUP(B39,Table2[Main Member Link ID],Table2[Benefit Name],0)=Lookups!$D$17),Lookups!$D$21,
IF(AND(Table2[[#This Row],[Member Type]]="Child",Table2[[#This Row],[Product Option]]="My Value Plus Life &amp; Funeral",_xlfn.XLOOKUP(B40,Table2[Main Member Link ID],Table2[Benefit Name],0)=Lookups!$D$14),"",
IF(AND(Table2[[#This Row],[Member Type]]="Child",Table2[[#This Row],[Product Option]]="My Value Plus Life &amp; Funeral",_xlfn.XLOOKUP(B40,Table2[Main Member Link ID],Table2[Benefit Name],0)=Lookups!$D$15),"",
IF(AND(Table2[[#This Row],[Member Type]]="Child",Table2[[#This Row],[Product Option]]="My Value Plus Life &amp; Funeral",_xlfn.XLOOKUP(B40,Table2[Main Member Link ID],Table2[Benefit Name],0)=Lookups!$D$16),Lookups!$D$24,
IF(AND(Table2[[#This Row],[Member Type]]="Child",Table2[[#This Row],[Product Option]]="My Value Plus Life &amp; Funeral",_xlfn.XLOOKUP(B40,Table2[Main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Funeral",_xlfn.XLOOKUP(B40,Table2[Main Member Link ID],Table2[Benefit Name],0)&lt;&gt;Lookups!$D$14),
IF(_xlfn.XLOOKUP(B40,Table2[Main Member Link ID],Table2[Benefit Name],0)=0,"",_xlfn.XLOOKUP(B40,Table2[Main Member Link ID],Table2[Benefit Name],0)),"")))))))))))))))</f>
        <v/>
      </c>
      <c r="AF40" s="327" t="str">
        <f>IF(AND(Table2[[#This Row],[Member Type]]="Main Member",Table2[[#This Row],[Product Option]]="My Value Plus Life &amp; Funeral"),Lookups!$D$15,
IF(AND(Table2[[#This Row],[Member Type]]="Spouse",Table2[[#This Row],[Product Option]]="My Value Plus Life &amp; Funeral",_xlfn.XLOOKUP(B40,Table2[Main Member Link ID],Table2[Benefit Name],0)=Lookups!$D$14),"",
IF(AND(Table2[[#This Row],[Member Type]]="Spouse",Table2[[#This Row],[Product Option]]="My Value Plus Life &amp; Funeral",_xlfn.XLOOKUP(B39,Table2[Main Member Link ID],Table2[Benefit Name],0)=Lookups!$D$16),"",
IF(AND(Table2[[#This Row],[Member Type]]="Spouse",Table2[[#This Row],[Product Option]]="My Value Plus Life &amp; Funeral",_xlfn.XLOOKUP(B39,Table2[Main Member Link ID],Table2[Benefit Name],0)=Lookups!$D$15),"",
IF(AND(Table2[[#This Row],[Member Type]]="Spouse",Table2[[#This Row],[Product Option]]="My Value Plus Life &amp; Funeral",_xlfn.XLOOKUP(B39,Table2[Main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Funeral",_xlfn.XLOOKUP(B40,Table2[Main Member Link ID],Table2[Benefit Name],0)&lt;&gt;Lookups!$D$15),
IF(_xlfn.XLOOKUP(B40,Table2[Main Member Link ID],Table2[Benefit Name],0)=0,"",_xlfn.XLOOKUP(B40,Table2[Main Member Link ID],Table2[Benefit Name],0)),"")
))))))</f>
        <v/>
      </c>
      <c r="AG40" s="327" t="str">
        <f>IF(AND(Table2[[#This Row],[Member Type]]="Main Member",Table2[[#This Row],[Product Option]]="My Value Plus Life &amp; Funeral"),Lookups!$D$16,
IF(AND(Table2[[#This Row],[Member Type]]="Spouse",Table2[[#This Row],[Product Option]]="My Value Plus Life &amp; Funeral",_xlfn.XLOOKUP(B40,Table2[Main Member Link ID],Table2[Benefit Name],0)=Lookups!$D$14),"",
IF(AND(Table2[[#This Row],[Member Type]]="Spouse",Table2[[#This Row],[Product Option]]="My Value Plus Life &amp; Funeral",_xlfn.XLOOKUP(B39,Table2[Main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Funeral",_xlfn.XLOOKUP(B40,Table2[Main Member Link ID],Table2[Benefit Name],0)&lt;&gt;Lookups!$D$16),
IF(_xlfn.XLOOKUP(B40,Table2[Main Member Link ID],Table2[Benefit Name],0)=0,"",_xlfn.XLOOKUP(B40,Table2[Main Member Link ID],Table2[Benefit Name],0)),"")
))))</f>
        <v/>
      </c>
      <c r="AH40" s="327" t="str">
        <f>IF(AND(Table2[[#This Row],[Member Type]]="Main Member",Table2[[#This Row],[Product Option]]="My Value Plus Life &amp; Funeral"),Lookups!$D$17,
IF(AND(Table2[[#This Row],[Member Type]]="Spouse",Table2[[#This Row],[Product Option]]="My Value Plus Life &amp; Funeral",_xlfn.XLOOKUP(B40,Table2[Main Member Link ID],Table2[Benefit Name],0)=Lookups!$D$14),"",
IF(AND(Table2[[#This Row],[Member Type]]="Spouse",Table2[[#This Row],[Product Option]]="My Value Plus Life &amp; Funeral",_xlfn.XLOOKUP(B39,Table2[Main Member Link ID],Table2[Benefit Name],0)=Lookups!$D$16),"",
IF(AND(Table2[[#This Row],[Member Type]]="Child",Table2[[#This Row],[Product Option]]="My Value Plus Life &amp; Funeral"),"",
IF(AND(Table2[[#This Row],[Member Type]]="Child",Table2[[#This Row],[Product Option]]="My Value Plus Life &amp; Funeral",_xlfn.XLOOKUP(B40,Table2[Main Member Link ID],Table2[Benefit Name],0)=Lookups!$D$15),"",
IF(AND(OR(Table2[[#This Row],[Member Type]]="Spouse",Table2[[#This Row],[Member Type]]="Child"),Table2[[#This Row],[Product Option]]="My Value Plus Life &amp; Funeral",_xlfn.XLOOKUP(B40,Table2[Main Member Link ID],Table2[Benefit Name],0)&lt;&gt;Lookups!$D$17),
IF(_xlfn.XLOOKUP(B40,Table2[Main Member Link ID],Table2[Benefit Name],0)=0,"",_xlfn.XLOOKUP(B40,Table2[Main Member Link ID],Table2[Benefit Name],0)),""))))))</f>
        <v/>
      </c>
      <c r="AI40" s="328" t="str">
        <f>IF(AND(Table2[[#This Row],[Member Type]]="Main Member",Table2[[#This Row],[Table Lookup for Life Cover]]="MM_LIFE",Table2[[#This Row],[Age Next Birthday]]&lt;56),1,
IF(AND(Table2[[#This Row],[Member Type]]="Main Member",Table2[[#This Row],[Table Lookup for Life Cover]]="MM_LIFE",Table2[[#This Row],[Age Next Birthday]]&gt;=56),2,
""))</f>
        <v/>
      </c>
      <c r="AJ40" s="328">
        <f>IF(OR(Table2[[#This Row],[Member Type]]="Main Member",Table2[[#This Row],[Main Member Link ID]]=B39),1,0)</f>
        <v>1</v>
      </c>
      <c r="AK40" s="328">
        <f>IF(Table2[[#This Row],[Member Type]]=0,0,
IF(OR(Table2[[#This Row],[Member Type]]="Main Member",Table2[[#This Row],[Main Member Link ID]]&lt;&gt;B40),COUNTIFS(B:B,Table2[[#This Row],[Main Member Link ID]]),
COUNTIFS(B:B,Table2[[#This Row],[Main Member Link ID]],A:A,Table2[[#This Row],[Member Type]])))</f>
        <v>0</v>
      </c>
    </row>
    <row r="41" spans="1:37" x14ac:dyDescent="0.3">
      <c r="A41" s="284">
        <f>Table13[[#This Row],[Member Type]]</f>
        <v>0</v>
      </c>
      <c r="B41" s="284">
        <f>Table13[[#This Row],[Main Member Link ID]]</f>
        <v>0</v>
      </c>
      <c r="C41" s="284">
        <f>Table13[[#This Row],[ID Number]]</f>
        <v>0</v>
      </c>
      <c r="D41" s="285">
        <f>Table13[[#This Row],[Date Of Birth]]</f>
        <v>0</v>
      </c>
      <c r="E41" s="285">
        <f>Table13[[#This Row],[Commencement Date]]</f>
        <v>0</v>
      </c>
      <c r="F41" s="284">
        <f t="shared" si="0"/>
        <v>1</v>
      </c>
      <c r="G41" s="284">
        <f t="shared" si="4"/>
        <v>25</v>
      </c>
      <c r="H41" s="286">
        <f>Table13[[#This Row],[Product Option]]</f>
        <v>0</v>
      </c>
      <c r="I41" s="284">
        <f>IF(AND($A41="Main Member",Table2[[#This Row],[Product Option]]="My Value Plus Life"),"MM_LIFE",
IF(AND($A41="Spouse",Table2[[#This Row],[Product Option]]="My Value Plus Life"),"SP_LIFE",
IF(AND($A41="Main Member",Table2[[#This Row],[Product Option]]="My Value Plus Life &amp; Funeral"),"MM_LIFE",
IF(AND($A41="Spouse",Table2[[#This Row],[Product Option]]="My Value Plus Life &amp; Funeral"),_xlfn.XLOOKUP(Table2[[#This Row],[Benefit Name]],Lookups!$D$18:$D$23,Lookups!$E$18:$E$23,0),
0))))</f>
        <v>0</v>
      </c>
      <c r="J41" s="284">
        <f>IF($I41="","",
IF($I41="MM_LIFE",INDEX('Quotation Tool'!$S$54:$V$60,MATCH($T41,'Quotation Tool'!$S$54:$S$60,0),4),
IF($I41="SP_LIFE",_xlfn.XLOOKUP(B40,$B:$B,$J:$J,0),0)))</f>
        <v>0</v>
      </c>
      <c r="K41" s="287">
        <f t="shared" ca="1" si="5"/>
        <v>0</v>
      </c>
      <c r="L41" s="288">
        <f t="shared" ca="1" si="6"/>
        <v>0</v>
      </c>
      <c r="M41" s="289">
        <f t="shared" ca="1" si="1"/>
        <v>0</v>
      </c>
      <c r="N41" s="286">
        <f>Table13[[#This Row],[Benefit Option]]</f>
        <v>0</v>
      </c>
      <c r="O41" s="284">
        <f>IF(OR(Table2[[#This Row],[Member Type]]="Spouse",Table2[[#This Row],[Member Type]]="Child"),0,
IF(_xlfn.XLOOKUP($N41,Lookups!$D$13:$D$27,Lookups!$F$13:$F$27,0)=Table2[[#This Row],[Table Lookup for Life Cover]],0,
_xlfn.XLOOKUP($N41,Lookups!$D$13:$D$27,Lookups!$F$13:$F$27,0)))</f>
        <v>0</v>
      </c>
      <c r="P41" s="284">
        <f>IF(Table2[[#This Row],[Table Lookup for Funeral]]=0,0,IFERROR(INDEX('Quotation Tool'!$S$54:$V$60,MATCH($T41,'Quotation Tool'!$S$54:$S$60,0),3),0))</f>
        <v>0</v>
      </c>
      <c r="Q41" s="288">
        <f ca="1">IF(OR(Table2[[#This Row],[Benefit Name]]="My Value Plus Life - Main Member",Table2[[#This Row],[Benefit Name]]="My Value Plus Life - Spouse"),0,
IFERROR(VLOOKUP($G41,INDIRECT($O41),$P41,FALSE),0))</f>
        <v>0</v>
      </c>
      <c r="R41" s="288">
        <f ca="1">IF(OR(Table2[[#This Row],[Benefit Name]]="My Value Plus Life - Main Member",Table2[[#This Row],[Benefit Name]]="My Value Plus Life - Spouse"),0,
IFERROR(VLOOKUP($G41,INDIRECT($O41),$P41+1,FALSE),0))</f>
        <v>0</v>
      </c>
      <c r="S41" s="289">
        <f t="shared" ca="1" si="2"/>
        <v>0</v>
      </c>
      <c r="T41" s="284" t="str">
        <f>IF(Table13[[#This Row],[Premium Waiver]]="","None",Table13[[#This Row],[Premium Waiver]])</f>
        <v>None</v>
      </c>
      <c r="U41" s="284">
        <f>Table13[[#This Row],[VAPs Options]]</f>
        <v>0</v>
      </c>
      <c r="V41" s="284">
        <f>Table13[[#This Row],[Annual Increase Option]]</f>
        <v>0</v>
      </c>
      <c r="W41" s="290">
        <f>Table13[[#This Row],[Life Cover Amount]]</f>
        <v>0</v>
      </c>
      <c r="X41" s="290">
        <f>Table13[[#This Row],[Funeral Cover Amount]]</f>
        <v>0</v>
      </c>
      <c r="Y4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1" s="301">
        <f t="shared" ca="1" si="3"/>
        <v>0</v>
      </c>
      <c r="AB41" s="298"/>
      <c r="AC41" s="326" t="str">
        <f>IF(Table2[[#This Row],[Member Type]]="Main Member",Lookups!$C$13,
IF(Table2[[#This Row],[Member Type]]="Spouse",_xlfn.XLOOKUP(B41,Table2[Main Member Link ID],Table2[Product Option],0),
IF(AND(Table2[[#This Row],[Member Type]]="Child",_xlfn.XLOOKUP(B41,Table2[Main Member Link ID],Table2[Product Option],0)&lt;&gt;"My Value Plus Life"),Lookups!$C$24,
IF(AND(OR(Table2[[#This Row],[Member Type]]="Parent",Table2[[#This Row],[Member Type]]="Extended"),_xlfn.XLOOKUP(B41,Table2[Main Member Link ID],Table2[Product Option],0)&lt;&gt;"My Value Plus Life"),Lookups!$C$26,""))))</f>
        <v/>
      </c>
      <c r="AD41" s="326" t="str">
        <f>IF(Table2[[#This Row],[Member Type]]="Main Member",Lookups!$C$14,"")</f>
        <v/>
      </c>
      <c r="AE4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Funeral",_xlfn.XLOOKUP(B41,Table2[Main Member Link ID],Table2[Benefit Name],0)=Lookups!$D$14),"",
IF(AND(Table2[[#This Row],[Member Type]]="Spouse",Table2[[#This Row],[Product Option]]="My Value Plus Life &amp; Funeral",_xlfn.XLOOKUP(B40,Table2[Main Member Link ID],Table2[Benefit Name],0)=Lookups!$D$15),Lookups!$D$20,
IF(AND(Table2[[#This Row],[Member Type]]="Spouse",Table2[[#This Row],[Product Option]]="My Value Plus Life &amp; Funeral",_xlfn.XLOOKUP(B40,Table2[Main Member Link ID],Table2[Benefit Name],0)=Lookups!$D$16),"",
IF(AND(Table2[[#This Row],[Member Type]]="Spouse",Table2[[#This Row],[Product Option]]="My Value Plus Life &amp; Funeral",_xlfn.XLOOKUP(B40,Table2[Main Member Link ID],Table2[Benefit Name],0)=Lookups!$D$17),Lookups!$D$21,
IF(AND(Table2[[#This Row],[Member Type]]="Child",Table2[[#This Row],[Product Option]]="My Value Plus Life &amp; Funeral",_xlfn.XLOOKUP(B41,Table2[Main Member Link ID],Table2[Benefit Name],0)=Lookups!$D$14),"",
IF(AND(Table2[[#This Row],[Member Type]]="Child",Table2[[#This Row],[Product Option]]="My Value Plus Life &amp; Funeral",_xlfn.XLOOKUP(B41,Table2[Main Member Link ID],Table2[Benefit Name],0)=Lookups!$D$15),"",
IF(AND(Table2[[#This Row],[Member Type]]="Child",Table2[[#This Row],[Product Option]]="My Value Plus Life &amp; Funeral",_xlfn.XLOOKUP(B41,Table2[Main Member Link ID],Table2[Benefit Name],0)=Lookups!$D$16),Lookups!$D$24,
IF(AND(Table2[[#This Row],[Member Type]]="Child",Table2[[#This Row],[Product Option]]="My Value Plus Life &amp; Funeral",_xlfn.XLOOKUP(B41,Table2[Main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Funeral",_xlfn.XLOOKUP(B41,Table2[Main Member Link ID],Table2[Benefit Name],0)&lt;&gt;Lookups!$D$14),
IF(_xlfn.XLOOKUP(B41,Table2[Main Member Link ID],Table2[Benefit Name],0)=0,"",_xlfn.XLOOKUP(B41,Table2[Main Member Link ID],Table2[Benefit Name],0)),"")))))))))))))))</f>
        <v/>
      </c>
      <c r="AF41" s="327" t="str">
        <f>IF(AND(Table2[[#This Row],[Member Type]]="Main Member",Table2[[#This Row],[Product Option]]="My Value Plus Life &amp; Funeral"),Lookups!$D$15,
IF(AND(Table2[[#This Row],[Member Type]]="Spouse",Table2[[#This Row],[Product Option]]="My Value Plus Life &amp; Funeral",_xlfn.XLOOKUP(B41,Table2[Main Member Link ID],Table2[Benefit Name],0)=Lookups!$D$14),"",
IF(AND(Table2[[#This Row],[Member Type]]="Spouse",Table2[[#This Row],[Product Option]]="My Value Plus Life &amp; Funeral",_xlfn.XLOOKUP(B40,Table2[Main Member Link ID],Table2[Benefit Name],0)=Lookups!$D$16),"",
IF(AND(Table2[[#This Row],[Member Type]]="Spouse",Table2[[#This Row],[Product Option]]="My Value Plus Life &amp; Funeral",_xlfn.XLOOKUP(B40,Table2[Main Member Link ID],Table2[Benefit Name],0)=Lookups!$D$15),"",
IF(AND(Table2[[#This Row],[Member Type]]="Spouse",Table2[[#This Row],[Product Option]]="My Value Plus Life &amp; Funeral",_xlfn.XLOOKUP(B40,Table2[Main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Funeral",_xlfn.XLOOKUP(B41,Table2[Main Member Link ID],Table2[Benefit Name],0)&lt;&gt;Lookups!$D$15),
IF(_xlfn.XLOOKUP(B41,Table2[Main Member Link ID],Table2[Benefit Name],0)=0,"",_xlfn.XLOOKUP(B41,Table2[Main Member Link ID],Table2[Benefit Name],0)),"")
))))))</f>
        <v/>
      </c>
      <c r="AG41" s="327" t="str">
        <f>IF(AND(Table2[[#This Row],[Member Type]]="Main Member",Table2[[#This Row],[Product Option]]="My Value Plus Life &amp; Funeral"),Lookups!$D$16,
IF(AND(Table2[[#This Row],[Member Type]]="Spouse",Table2[[#This Row],[Product Option]]="My Value Plus Life &amp; Funeral",_xlfn.XLOOKUP(B41,Table2[Main Member Link ID],Table2[Benefit Name],0)=Lookups!$D$14),"",
IF(AND(Table2[[#This Row],[Member Type]]="Spouse",Table2[[#This Row],[Product Option]]="My Value Plus Life &amp; Funeral",_xlfn.XLOOKUP(B40,Table2[Main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Funeral",_xlfn.XLOOKUP(B41,Table2[Main Member Link ID],Table2[Benefit Name],0)&lt;&gt;Lookups!$D$16),
IF(_xlfn.XLOOKUP(B41,Table2[Main Member Link ID],Table2[Benefit Name],0)=0,"",_xlfn.XLOOKUP(B41,Table2[Main Member Link ID],Table2[Benefit Name],0)),"")
))))</f>
        <v/>
      </c>
      <c r="AH41" s="327" t="str">
        <f>IF(AND(Table2[[#This Row],[Member Type]]="Main Member",Table2[[#This Row],[Product Option]]="My Value Plus Life &amp; Funeral"),Lookups!$D$17,
IF(AND(Table2[[#This Row],[Member Type]]="Spouse",Table2[[#This Row],[Product Option]]="My Value Plus Life &amp; Funeral",_xlfn.XLOOKUP(B41,Table2[Main Member Link ID],Table2[Benefit Name],0)=Lookups!$D$14),"",
IF(AND(Table2[[#This Row],[Member Type]]="Spouse",Table2[[#This Row],[Product Option]]="My Value Plus Life &amp; Funeral",_xlfn.XLOOKUP(B40,Table2[Main Member Link ID],Table2[Benefit Name],0)=Lookups!$D$16),"",
IF(AND(Table2[[#This Row],[Member Type]]="Child",Table2[[#This Row],[Product Option]]="My Value Plus Life &amp; Funeral"),"",
IF(AND(Table2[[#This Row],[Member Type]]="Child",Table2[[#This Row],[Product Option]]="My Value Plus Life &amp; Funeral",_xlfn.XLOOKUP(B41,Table2[Main Member Link ID],Table2[Benefit Name],0)=Lookups!$D$15),"",
IF(AND(OR(Table2[[#This Row],[Member Type]]="Spouse",Table2[[#This Row],[Member Type]]="Child"),Table2[[#This Row],[Product Option]]="My Value Plus Life &amp; Funeral",_xlfn.XLOOKUP(B41,Table2[Main Member Link ID],Table2[Benefit Name],0)&lt;&gt;Lookups!$D$17),
IF(_xlfn.XLOOKUP(B41,Table2[Main Member Link ID],Table2[Benefit Name],0)=0,"",_xlfn.XLOOKUP(B41,Table2[Main Member Link ID],Table2[Benefit Name],0)),""))))))</f>
        <v/>
      </c>
      <c r="AI41" s="328" t="str">
        <f>IF(AND(Table2[[#This Row],[Member Type]]="Main Member",Table2[[#This Row],[Table Lookup for Life Cover]]="MM_LIFE",Table2[[#This Row],[Age Next Birthday]]&lt;56),1,
IF(AND(Table2[[#This Row],[Member Type]]="Main Member",Table2[[#This Row],[Table Lookup for Life Cover]]="MM_LIFE",Table2[[#This Row],[Age Next Birthday]]&gt;=56),2,
""))</f>
        <v/>
      </c>
      <c r="AJ41" s="328">
        <f>IF(OR(Table2[[#This Row],[Member Type]]="Main Member",Table2[[#This Row],[Main Member Link ID]]=B40),1,0)</f>
        <v>1</v>
      </c>
      <c r="AK41" s="328">
        <f>IF(Table2[[#This Row],[Member Type]]=0,0,
IF(OR(Table2[[#This Row],[Member Type]]="Main Member",Table2[[#This Row],[Main Member Link ID]]&lt;&gt;B41),COUNTIFS(B:B,Table2[[#This Row],[Main Member Link ID]]),
COUNTIFS(B:B,Table2[[#This Row],[Main Member Link ID]],A:A,Table2[[#This Row],[Member Type]])))</f>
        <v>0</v>
      </c>
    </row>
    <row r="42" spans="1:37" x14ac:dyDescent="0.3">
      <c r="A42" s="284">
        <f>Table13[[#This Row],[Member Type]]</f>
        <v>0</v>
      </c>
      <c r="B42" s="284">
        <f>Table13[[#This Row],[Main Member Link ID]]</f>
        <v>0</v>
      </c>
      <c r="C42" s="284">
        <f>Table13[[#This Row],[ID Number]]</f>
        <v>0</v>
      </c>
      <c r="D42" s="285">
        <f>Table13[[#This Row],[Date Of Birth]]</f>
        <v>0</v>
      </c>
      <c r="E42" s="285">
        <f>Table13[[#This Row],[Commencement Date]]</f>
        <v>0</v>
      </c>
      <c r="F42" s="284">
        <f t="shared" si="0"/>
        <v>1</v>
      </c>
      <c r="G42" s="284">
        <f t="shared" si="4"/>
        <v>25</v>
      </c>
      <c r="H42" s="286">
        <f>Table13[[#This Row],[Product Option]]</f>
        <v>0</v>
      </c>
      <c r="I42" s="284">
        <f>IF(AND($A42="Main Member",Table2[[#This Row],[Product Option]]="My Value Plus Life"),"MM_LIFE",
IF(AND($A42="Spouse",Table2[[#This Row],[Product Option]]="My Value Plus Life"),"SP_LIFE",
IF(AND($A42="Main Member",Table2[[#This Row],[Product Option]]="My Value Plus Life &amp; Funeral"),"MM_LIFE",
IF(AND($A42="Spouse",Table2[[#This Row],[Product Option]]="My Value Plus Life &amp; Funeral"),_xlfn.XLOOKUP(Table2[[#This Row],[Benefit Name]],Lookups!$D$18:$D$23,Lookups!$E$18:$E$23,0),
0))))</f>
        <v>0</v>
      </c>
      <c r="J42" s="284">
        <f>IF($I42="","",
IF($I42="MM_LIFE",INDEX('Quotation Tool'!$S$54:$V$60,MATCH($T42,'Quotation Tool'!$S$54:$S$60,0),4),
IF($I42="SP_LIFE",_xlfn.XLOOKUP(B41,$B:$B,$J:$J,0),0)))</f>
        <v>0</v>
      </c>
      <c r="K42" s="287">
        <f t="shared" ca="1" si="5"/>
        <v>0</v>
      </c>
      <c r="L42" s="288">
        <f t="shared" ca="1" si="6"/>
        <v>0</v>
      </c>
      <c r="M42" s="289">
        <f t="shared" ca="1" si="1"/>
        <v>0</v>
      </c>
      <c r="N42" s="286">
        <f>Table13[[#This Row],[Benefit Option]]</f>
        <v>0</v>
      </c>
      <c r="O42" s="284">
        <f>IF(OR(Table2[[#This Row],[Member Type]]="Spouse",Table2[[#This Row],[Member Type]]="Child"),0,
IF(_xlfn.XLOOKUP($N42,Lookups!$D$13:$D$27,Lookups!$F$13:$F$27,0)=Table2[[#This Row],[Table Lookup for Life Cover]],0,
_xlfn.XLOOKUP($N42,Lookups!$D$13:$D$27,Lookups!$F$13:$F$27,0)))</f>
        <v>0</v>
      </c>
      <c r="P42" s="284">
        <f>IF(Table2[[#This Row],[Table Lookup for Funeral]]=0,0,IFERROR(INDEX('Quotation Tool'!$S$54:$V$60,MATCH($T42,'Quotation Tool'!$S$54:$S$60,0),3),0))</f>
        <v>0</v>
      </c>
      <c r="Q42" s="288">
        <f ca="1">IF(OR(Table2[[#This Row],[Benefit Name]]="My Value Plus Life - Main Member",Table2[[#This Row],[Benefit Name]]="My Value Plus Life - Spouse"),0,
IFERROR(VLOOKUP($G42,INDIRECT($O42),$P42,FALSE),0))</f>
        <v>0</v>
      </c>
      <c r="R42" s="288">
        <f ca="1">IF(OR(Table2[[#This Row],[Benefit Name]]="My Value Plus Life - Main Member",Table2[[#This Row],[Benefit Name]]="My Value Plus Life - Spouse"),0,
IFERROR(VLOOKUP($G42,INDIRECT($O42),$P42+1,FALSE),0))</f>
        <v>0</v>
      </c>
      <c r="S42" s="289">
        <f t="shared" ca="1" si="2"/>
        <v>0</v>
      </c>
      <c r="T42" s="284" t="str">
        <f>IF(Table13[[#This Row],[Premium Waiver]]="","None",Table13[[#This Row],[Premium Waiver]])</f>
        <v>None</v>
      </c>
      <c r="U42" s="284">
        <f>Table13[[#This Row],[VAPs Options]]</f>
        <v>0</v>
      </c>
      <c r="V42" s="284">
        <f>Table13[[#This Row],[Annual Increase Option]]</f>
        <v>0</v>
      </c>
      <c r="W42" s="290">
        <f>Table13[[#This Row],[Life Cover Amount]]</f>
        <v>0</v>
      </c>
      <c r="X42" s="290">
        <f>Table13[[#This Row],[Funeral Cover Amount]]</f>
        <v>0</v>
      </c>
      <c r="Y4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2" s="301">
        <f t="shared" ca="1" si="3"/>
        <v>0</v>
      </c>
      <c r="AB42" s="298"/>
      <c r="AC42" s="326" t="str">
        <f>IF(Table2[[#This Row],[Member Type]]="Main Member",Lookups!$C$13,
IF(Table2[[#This Row],[Member Type]]="Spouse",_xlfn.XLOOKUP(B42,Table2[Main Member Link ID],Table2[Product Option],0),
IF(AND(Table2[[#This Row],[Member Type]]="Child",_xlfn.XLOOKUP(B42,Table2[Main Member Link ID],Table2[Product Option],0)&lt;&gt;"My Value Plus Life"),Lookups!$C$24,
IF(AND(OR(Table2[[#This Row],[Member Type]]="Parent",Table2[[#This Row],[Member Type]]="Extended"),_xlfn.XLOOKUP(B42,Table2[Main Member Link ID],Table2[Product Option],0)&lt;&gt;"My Value Plus Life"),Lookups!$C$26,""))))</f>
        <v/>
      </c>
      <c r="AD42" s="326" t="str">
        <f>IF(Table2[[#This Row],[Member Type]]="Main Member",Lookups!$C$14,"")</f>
        <v/>
      </c>
      <c r="AE4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Funeral",_xlfn.XLOOKUP(B42,Table2[Main Member Link ID],Table2[Benefit Name],0)=Lookups!$D$14),"",
IF(AND(Table2[[#This Row],[Member Type]]="Spouse",Table2[[#This Row],[Product Option]]="My Value Plus Life &amp; Funeral",_xlfn.XLOOKUP(B41,Table2[Main Member Link ID],Table2[Benefit Name],0)=Lookups!$D$15),Lookups!$D$20,
IF(AND(Table2[[#This Row],[Member Type]]="Spouse",Table2[[#This Row],[Product Option]]="My Value Plus Life &amp; Funeral",_xlfn.XLOOKUP(B41,Table2[Main Member Link ID],Table2[Benefit Name],0)=Lookups!$D$16),"",
IF(AND(Table2[[#This Row],[Member Type]]="Spouse",Table2[[#This Row],[Product Option]]="My Value Plus Life &amp; Funeral",_xlfn.XLOOKUP(B41,Table2[Main Member Link ID],Table2[Benefit Name],0)=Lookups!$D$17),Lookups!$D$21,
IF(AND(Table2[[#This Row],[Member Type]]="Child",Table2[[#This Row],[Product Option]]="My Value Plus Life &amp; Funeral",_xlfn.XLOOKUP(B42,Table2[Main Member Link ID],Table2[Benefit Name],0)=Lookups!$D$14),"",
IF(AND(Table2[[#This Row],[Member Type]]="Child",Table2[[#This Row],[Product Option]]="My Value Plus Life &amp; Funeral",_xlfn.XLOOKUP(B42,Table2[Main Member Link ID],Table2[Benefit Name],0)=Lookups!$D$15),"",
IF(AND(Table2[[#This Row],[Member Type]]="Child",Table2[[#This Row],[Product Option]]="My Value Plus Life &amp; Funeral",_xlfn.XLOOKUP(B42,Table2[Main Member Link ID],Table2[Benefit Name],0)=Lookups!$D$16),Lookups!$D$24,
IF(AND(Table2[[#This Row],[Member Type]]="Child",Table2[[#This Row],[Product Option]]="My Value Plus Life &amp; Funeral",_xlfn.XLOOKUP(B42,Table2[Main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Funeral",_xlfn.XLOOKUP(B42,Table2[Main Member Link ID],Table2[Benefit Name],0)&lt;&gt;Lookups!$D$14),
IF(_xlfn.XLOOKUP(B42,Table2[Main Member Link ID],Table2[Benefit Name],0)=0,"",_xlfn.XLOOKUP(B42,Table2[Main Member Link ID],Table2[Benefit Name],0)),"")))))))))))))))</f>
        <v/>
      </c>
      <c r="AF42" s="327" t="str">
        <f>IF(AND(Table2[[#This Row],[Member Type]]="Main Member",Table2[[#This Row],[Product Option]]="My Value Plus Life &amp; Funeral"),Lookups!$D$15,
IF(AND(Table2[[#This Row],[Member Type]]="Spouse",Table2[[#This Row],[Product Option]]="My Value Plus Life &amp; Funeral",_xlfn.XLOOKUP(B42,Table2[Main Member Link ID],Table2[Benefit Name],0)=Lookups!$D$14),"",
IF(AND(Table2[[#This Row],[Member Type]]="Spouse",Table2[[#This Row],[Product Option]]="My Value Plus Life &amp; Funeral",_xlfn.XLOOKUP(B41,Table2[Main Member Link ID],Table2[Benefit Name],0)=Lookups!$D$16),"",
IF(AND(Table2[[#This Row],[Member Type]]="Spouse",Table2[[#This Row],[Product Option]]="My Value Plus Life &amp; Funeral",_xlfn.XLOOKUP(B41,Table2[Main Member Link ID],Table2[Benefit Name],0)=Lookups!$D$15),"",
IF(AND(Table2[[#This Row],[Member Type]]="Spouse",Table2[[#This Row],[Product Option]]="My Value Plus Life &amp; Funeral",_xlfn.XLOOKUP(B41,Table2[Main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Funeral",_xlfn.XLOOKUP(B42,Table2[Main Member Link ID],Table2[Benefit Name],0)&lt;&gt;Lookups!$D$15),
IF(_xlfn.XLOOKUP(B42,Table2[Main Member Link ID],Table2[Benefit Name],0)=0,"",_xlfn.XLOOKUP(B42,Table2[Main Member Link ID],Table2[Benefit Name],0)),"")
))))))</f>
        <v/>
      </c>
      <c r="AG42" s="327" t="str">
        <f>IF(AND(Table2[[#This Row],[Member Type]]="Main Member",Table2[[#This Row],[Product Option]]="My Value Plus Life &amp; Funeral"),Lookups!$D$16,
IF(AND(Table2[[#This Row],[Member Type]]="Spouse",Table2[[#This Row],[Product Option]]="My Value Plus Life &amp; Funeral",_xlfn.XLOOKUP(B42,Table2[Main Member Link ID],Table2[Benefit Name],0)=Lookups!$D$14),"",
IF(AND(Table2[[#This Row],[Member Type]]="Spouse",Table2[[#This Row],[Product Option]]="My Value Plus Life &amp; Funeral",_xlfn.XLOOKUP(B41,Table2[Main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Funeral",_xlfn.XLOOKUP(B42,Table2[Main Member Link ID],Table2[Benefit Name],0)&lt;&gt;Lookups!$D$16),
IF(_xlfn.XLOOKUP(B42,Table2[Main Member Link ID],Table2[Benefit Name],0)=0,"",_xlfn.XLOOKUP(B42,Table2[Main Member Link ID],Table2[Benefit Name],0)),"")
))))</f>
        <v/>
      </c>
      <c r="AH42" s="327" t="str">
        <f>IF(AND(Table2[[#This Row],[Member Type]]="Main Member",Table2[[#This Row],[Product Option]]="My Value Plus Life &amp; Funeral"),Lookups!$D$17,
IF(AND(Table2[[#This Row],[Member Type]]="Spouse",Table2[[#This Row],[Product Option]]="My Value Plus Life &amp; Funeral",_xlfn.XLOOKUP(B42,Table2[Main Member Link ID],Table2[Benefit Name],0)=Lookups!$D$14),"",
IF(AND(Table2[[#This Row],[Member Type]]="Spouse",Table2[[#This Row],[Product Option]]="My Value Plus Life &amp; Funeral",_xlfn.XLOOKUP(B41,Table2[Main Member Link ID],Table2[Benefit Name],0)=Lookups!$D$16),"",
IF(AND(Table2[[#This Row],[Member Type]]="Child",Table2[[#This Row],[Product Option]]="My Value Plus Life &amp; Funeral"),"",
IF(AND(Table2[[#This Row],[Member Type]]="Child",Table2[[#This Row],[Product Option]]="My Value Plus Life &amp; Funeral",_xlfn.XLOOKUP(B42,Table2[Main Member Link ID],Table2[Benefit Name],0)=Lookups!$D$15),"",
IF(AND(OR(Table2[[#This Row],[Member Type]]="Spouse",Table2[[#This Row],[Member Type]]="Child"),Table2[[#This Row],[Product Option]]="My Value Plus Life &amp; Funeral",_xlfn.XLOOKUP(B42,Table2[Main Member Link ID],Table2[Benefit Name],0)&lt;&gt;Lookups!$D$17),
IF(_xlfn.XLOOKUP(B42,Table2[Main Member Link ID],Table2[Benefit Name],0)=0,"",_xlfn.XLOOKUP(B42,Table2[Main Member Link ID],Table2[Benefit Name],0)),""))))))</f>
        <v/>
      </c>
      <c r="AI42" s="328" t="str">
        <f>IF(AND(Table2[[#This Row],[Member Type]]="Main Member",Table2[[#This Row],[Table Lookup for Life Cover]]="MM_LIFE",Table2[[#This Row],[Age Next Birthday]]&lt;56),1,
IF(AND(Table2[[#This Row],[Member Type]]="Main Member",Table2[[#This Row],[Table Lookup for Life Cover]]="MM_LIFE",Table2[[#This Row],[Age Next Birthday]]&gt;=56),2,
""))</f>
        <v/>
      </c>
      <c r="AJ42" s="328">
        <f>IF(OR(Table2[[#This Row],[Member Type]]="Main Member",Table2[[#This Row],[Main Member Link ID]]=B41),1,0)</f>
        <v>1</v>
      </c>
      <c r="AK42" s="328">
        <f>IF(Table2[[#This Row],[Member Type]]=0,0,
IF(OR(Table2[[#This Row],[Member Type]]="Main Member",Table2[[#This Row],[Main Member Link ID]]&lt;&gt;B42),COUNTIFS(B:B,Table2[[#This Row],[Main Member Link ID]]),
COUNTIFS(B:B,Table2[[#This Row],[Main Member Link ID]],A:A,Table2[[#This Row],[Member Type]])))</f>
        <v>0</v>
      </c>
    </row>
    <row r="43" spans="1:37" x14ac:dyDescent="0.3">
      <c r="A43" s="284">
        <f>Table13[[#This Row],[Member Type]]</f>
        <v>0</v>
      </c>
      <c r="B43" s="284">
        <f>Table13[[#This Row],[Main Member Link ID]]</f>
        <v>0</v>
      </c>
      <c r="C43" s="284">
        <f>Table13[[#This Row],[ID Number]]</f>
        <v>0</v>
      </c>
      <c r="D43" s="285">
        <f>Table13[[#This Row],[Date Of Birth]]</f>
        <v>0</v>
      </c>
      <c r="E43" s="285">
        <f>Table13[[#This Row],[Commencement Date]]</f>
        <v>0</v>
      </c>
      <c r="F43" s="284">
        <f t="shared" si="0"/>
        <v>1</v>
      </c>
      <c r="G43" s="284">
        <f t="shared" si="4"/>
        <v>25</v>
      </c>
      <c r="H43" s="286">
        <f>Table13[[#This Row],[Product Option]]</f>
        <v>0</v>
      </c>
      <c r="I43" s="284">
        <f>IF(AND($A43="Main Member",Table2[[#This Row],[Product Option]]="My Value Plus Life"),"MM_LIFE",
IF(AND($A43="Spouse",Table2[[#This Row],[Product Option]]="My Value Plus Life"),"SP_LIFE",
IF(AND($A43="Main Member",Table2[[#This Row],[Product Option]]="My Value Plus Life &amp; Funeral"),"MM_LIFE",
IF(AND($A43="Spouse",Table2[[#This Row],[Product Option]]="My Value Plus Life &amp; Funeral"),_xlfn.XLOOKUP(Table2[[#This Row],[Benefit Name]],Lookups!$D$18:$D$23,Lookups!$E$18:$E$23,0),
0))))</f>
        <v>0</v>
      </c>
      <c r="J43" s="284">
        <f>IF($I43="","",
IF($I43="MM_LIFE",INDEX('Quotation Tool'!$S$54:$V$60,MATCH($T43,'Quotation Tool'!$S$54:$S$60,0),4),
IF($I43="SP_LIFE",_xlfn.XLOOKUP(B42,$B:$B,$J:$J,0),0)))</f>
        <v>0</v>
      </c>
      <c r="K43" s="287">
        <f t="shared" ca="1" si="5"/>
        <v>0</v>
      </c>
      <c r="L43" s="288">
        <f t="shared" ca="1" si="6"/>
        <v>0</v>
      </c>
      <c r="M43" s="289">
        <f t="shared" ca="1" si="1"/>
        <v>0</v>
      </c>
      <c r="N43" s="286">
        <f>Table13[[#This Row],[Benefit Option]]</f>
        <v>0</v>
      </c>
      <c r="O43" s="284">
        <f>IF(OR(Table2[[#This Row],[Member Type]]="Spouse",Table2[[#This Row],[Member Type]]="Child"),0,
IF(_xlfn.XLOOKUP($N43,Lookups!$D$13:$D$27,Lookups!$F$13:$F$27,0)=Table2[[#This Row],[Table Lookup for Life Cover]],0,
_xlfn.XLOOKUP($N43,Lookups!$D$13:$D$27,Lookups!$F$13:$F$27,0)))</f>
        <v>0</v>
      </c>
      <c r="P43" s="284">
        <f>IF(Table2[[#This Row],[Table Lookup for Funeral]]=0,0,IFERROR(INDEX('Quotation Tool'!$S$54:$V$60,MATCH($T43,'Quotation Tool'!$S$54:$S$60,0),3),0))</f>
        <v>0</v>
      </c>
      <c r="Q43" s="288">
        <f ca="1">IF(OR(Table2[[#This Row],[Benefit Name]]="My Value Plus Life - Main Member",Table2[[#This Row],[Benefit Name]]="My Value Plus Life - Spouse"),0,
IFERROR(VLOOKUP($G43,INDIRECT($O43),$P43,FALSE),0))</f>
        <v>0</v>
      </c>
      <c r="R43" s="288">
        <f ca="1">IF(OR(Table2[[#This Row],[Benefit Name]]="My Value Plus Life - Main Member",Table2[[#This Row],[Benefit Name]]="My Value Plus Life - Spouse"),0,
IFERROR(VLOOKUP($G43,INDIRECT($O43),$P43+1,FALSE),0))</f>
        <v>0</v>
      </c>
      <c r="S43" s="289">
        <f t="shared" ca="1" si="2"/>
        <v>0</v>
      </c>
      <c r="T43" s="284" t="str">
        <f>IF(Table13[[#This Row],[Premium Waiver]]="","None",Table13[[#This Row],[Premium Waiver]])</f>
        <v>None</v>
      </c>
      <c r="U43" s="284">
        <f>Table13[[#This Row],[VAPs Options]]</f>
        <v>0</v>
      </c>
      <c r="V43" s="284">
        <f>Table13[[#This Row],[Annual Increase Option]]</f>
        <v>0</v>
      </c>
      <c r="W43" s="290">
        <f>Table13[[#This Row],[Life Cover Amount]]</f>
        <v>0</v>
      </c>
      <c r="X43" s="290">
        <f>Table13[[#This Row],[Funeral Cover Amount]]</f>
        <v>0</v>
      </c>
      <c r="Y4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3" s="301">
        <f t="shared" ca="1" si="3"/>
        <v>0</v>
      </c>
      <c r="AB43" s="298"/>
      <c r="AC43" s="326" t="str">
        <f>IF(Table2[[#This Row],[Member Type]]="Main Member",Lookups!$C$13,
IF(Table2[[#This Row],[Member Type]]="Spouse",_xlfn.XLOOKUP(B43,Table2[Main Member Link ID],Table2[Product Option],0),
IF(AND(Table2[[#This Row],[Member Type]]="Child",_xlfn.XLOOKUP(B43,Table2[Main Member Link ID],Table2[Product Option],0)&lt;&gt;"My Value Plus Life"),Lookups!$C$24,
IF(AND(OR(Table2[[#This Row],[Member Type]]="Parent",Table2[[#This Row],[Member Type]]="Extended"),_xlfn.XLOOKUP(B43,Table2[Main Member Link ID],Table2[Product Option],0)&lt;&gt;"My Value Plus Life"),Lookups!$C$26,""))))</f>
        <v/>
      </c>
      <c r="AD43" s="326" t="str">
        <f>IF(Table2[[#This Row],[Member Type]]="Main Member",Lookups!$C$14,"")</f>
        <v/>
      </c>
      <c r="AE4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Funeral",_xlfn.XLOOKUP(B43,Table2[Main Member Link ID],Table2[Benefit Name],0)=Lookups!$D$14),"",
IF(AND(Table2[[#This Row],[Member Type]]="Spouse",Table2[[#This Row],[Product Option]]="My Value Plus Life &amp; Funeral",_xlfn.XLOOKUP(B42,Table2[Main Member Link ID],Table2[Benefit Name],0)=Lookups!$D$15),Lookups!$D$20,
IF(AND(Table2[[#This Row],[Member Type]]="Spouse",Table2[[#This Row],[Product Option]]="My Value Plus Life &amp; Funeral",_xlfn.XLOOKUP(B42,Table2[Main Member Link ID],Table2[Benefit Name],0)=Lookups!$D$16),"",
IF(AND(Table2[[#This Row],[Member Type]]="Spouse",Table2[[#This Row],[Product Option]]="My Value Plus Life &amp; Funeral",_xlfn.XLOOKUP(B42,Table2[Main Member Link ID],Table2[Benefit Name],0)=Lookups!$D$17),Lookups!$D$21,
IF(AND(Table2[[#This Row],[Member Type]]="Child",Table2[[#This Row],[Product Option]]="My Value Plus Life &amp; Funeral",_xlfn.XLOOKUP(B43,Table2[Main Member Link ID],Table2[Benefit Name],0)=Lookups!$D$14),"",
IF(AND(Table2[[#This Row],[Member Type]]="Child",Table2[[#This Row],[Product Option]]="My Value Plus Life &amp; Funeral",_xlfn.XLOOKUP(B43,Table2[Main Member Link ID],Table2[Benefit Name],0)=Lookups!$D$15),"",
IF(AND(Table2[[#This Row],[Member Type]]="Child",Table2[[#This Row],[Product Option]]="My Value Plus Life &amp; Funeral",_xlfn.XLOOKUP(B43,Table2[Main Member Link ID],Table2[Benefit Name],0)=Lookups!$D$16),Lookups!$D$24,
IF(AND(Table2[[#This Row],[Member Type]]="Child",Table2[[#This Row],[Product Option]]="My Value Plus Life &amp; Funeral",_xlfn.XLOOKUP(B43,Table2[Main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Funeral",_xlfn.XLOOKUP(B43,Table2[Main Member Link ID],Table2[Benefit Name],0)&lt;&gt;Lookups!$D$14),
IF(_xlfn.XLOOKUP(B43,Table2[Main Member Link ID],Table2[Benefit Name],0)=0,"",_xlfn.XLOOKUP(B43,Table2[Main Member Link ID],Table2[Benefit Name],0)),"")))))))))))))))</f>
        <v/>
      </c>
      <c r="AF43" s="327" t="str">
        <f>IF(AND(Table2[[#This Row],[Member Type]]="Main Member",Table2[[#This Row],[Product Option]]="My Value Plus Life &amp; Funeral"),Lookups!$D$15,
IF(AND(Table2[[#This Row],[Member Type]]="Spouse",Table2[[#This Row],[Product Option]]="My Value Plus Life &amp; Funeral",_xlfn.XLOOKUP(B43,Table2[Main Member Link ID],Table2[Benefit Name],0)=Lookups!$D$14),"",
IF(AND(Table2[[#This Row],[Member Type]]="Spouse",Table2[[#This Row],[Product Option]]="My Value Plus Life &amp; Funeral",_xlfn.XLOOKUP(B42,Table2[Main Member Link ID],Table2[Benefit Name],0)=Lookups!$D$16),"",
IF(AND(Table2[[#This Row],[Member Type]]="Spouse",Table2[[#This Row],[Product Option]]="My Value Plus Life &amp; Funeral",_xlfn.XLOOKUP(B42,Table2[Main Member Link ID],Table2[Benefit Name],0)=Lookups!$D$15),"",
IF(AND(Table2[[#This Row],[Member Type]]="Spouse",Table2[[#This Row],[Product Option]]="My Value Plus Life &amp; Funeral",_xlfn.XLOOKUP(B42,Table2[Main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Funeral",_xlfn.XLOOKUP(B43,Table2[Main Member Link ID],Table2[Benefit Name],0)&lt;&gt;Lookups!$D$15),
IF(_xlfn.XLOOKUP(B43,Table2[Main Member Link ID],Table2[Benefit Name],0)=0,"",_xlfn.XLOOKUP(B43,Table2[Main Member Link ID],Table2[Benefit Name],0)),"")
))))))</f>
        <v/>
      </c>
      <c r="AG43" s="327" t="str">
        <f>IF(AND(Table2[[#This Row],[Member Type]]="Main Member",Table2[[#This Row],[Product Option]]="My Value Plus Life &amp; Funeral"),Lookups!$D$16,
IF(AND(Table2[[#This Row],[Member Type]]="Spouse",Table2[[#This Row],[Product Option]]="My Value Plus Life &amp; Funeral",_xlfn.XLOOKUP(B43,Table2[Main Member Link ID],Table2[Benefit Name],0)=Lookups!$D$14),"",
IF(AND(Table2[[#This Row],[Member Type]]="Spouse",Table2[[#This Row],[Product Option]]="My Value Plus Life &amp; Funeral",_xlfn.XLOOKUP(B42,Table2[Main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Funeral",_xlfn.XLOOKUP(B43,Table2[Main Member Link ID],Table2[Benefit Name],0)&lt;&gt;Lookups!$D$16),
IF(_xlfn.XLOOKUP(B43,Table2[Main Member Link ID],Table2[Benefit Name],0)=0,"",_xlfn.XLOOKUP(B43,Table2[Main Member Link ID],Table2[Benefit Name],0)),"")
))))</f>
        <v/>
      </c>
      <c r="AH43" s="327" t="str">
        <f>IF(AND(Table2[[#This Row],[Member Type]]="Main Member",Table2[[#This Row],[Product Option]]="My Value Plus Life &amp; Funeral"),Lookups!$D$17,
IF(AND(Table2[[#This Row],[Member Type]]="Spouse",Table2[[#This Row],[Product Option]]="My Value Plus Life &amp; Funeral",_xlfn.XLOOKUP(B43,Table2[Main Member Link ID],Table2[Benefit Name],0)=Lookups!$D$14),"",
IF(AND(Table2[[#This Row],[Member Type]]="Spouse",Table2[[#This Row],[Product Option]]="My Value Plus Life &amp; Funeral",_xlfn.XLOOKUP(B42,Table2[Main Member Link ID],Table2[Benefit Name],0)=Lookups!$D$16),"",
IF(AND(Table2[[#This Row],[Member Type]]="Child",Table2[[#This Row],[Product Option]]="My Value Plus Life &amp; Funeral"),"",
IF(AND(Table2[[#This Row],[Member Type]]="Child",Table2[[#This Row],[Product Option]]="My Value Plus Life &amp; Funeral",_xlfn.XLOOKUP(B43,Table2[Main Member Link ID],Table2[Benefit Name],0)=Lookups!$D$15),"",
IF(AND(OR(Table2[[#This Row],[Member Type]]="Spouse",Table2[[#This Row],[Member Type]]="Child"),Table2[[#This Row],[Product Option]]="My Value Plus Life &amp; Funeral",_xlfn.XLOOKUP(B43,Table2[Main Member Link ID],Table2[Benefit Name],0)&lt;&gt;Lookups!$D$17),
IF(_xlfn.XLOOKUP(B43,Table2[Main Member Link ID],Table2[Benefit Name],0)=0,"",_xlfn.XLOOKUP(B43,Table2[Main Member Link ID],Table2[Benefit Name],0)),""))))))</f>
        <v/>
      </c>
      <c r="AI43" s="328" t="str">
        <f>IF(AND(Table2[[#This Row],[Member Type]]="Main Member",Table2[[#This Row],[Table Lookup for Life Cover]]="MM_LIFE",Table2[[#This Row],[Age Next Birthday]]&lt;56),1,
IF(AND(Table2[[#This Row],[Member Type]]="Main Member",Table2[[#This Row],[Table Lookup for Life Cover]]="MM_LIFE",Table2[[#This Row],[Age Next Birthday]]&gt;=56),2,
""))</f>
        <v/>
      </c>
      <c r="AJ43" s="328">
        <f>IF(OR(Table2[[#This Row],[Member Type]]="Main Member",Table2[[#This Row],[Main Member Link ID]]=B42),1,0)</f>
        <v>1</v>
      </c>
      <c r="AK43" s="328">
        <f>IF(Table2[[#This Row],[Member Type]]=0,0,
IF(OR(Table2[[#This Row],[Member Type]]="Main Member",Table2[[#This Row],[Main Member Link ID]]&lt;&gt;B43),COUNTIFS(B:B,Table2[[#This Row],[Main Member Link ID]]),
COUNTIFS(B:B,Table2[[#This Row],[Main Member Link ID]],A:A,Table2[[#This Row],[Member Type]])))</f>
        <v>0</v>
      </c>
    </row>
    <row r="44" spans="1:37" x14ac:dyDescent="0.3">
      <c r="A44" s="284">
        <f>Table13[[#This Row],[Member Type]]</f>
        <v>0</v>
      </c>
      <c r="B44" s="284">
        <f>Table13[[#This Row],[Main Member Link ID]]</f>
        <v>0</v>
      </c>
      <c r="C44" s="284">
        <f>Table13[[#This Row],[ID Number]]</f>
        <v>0</v>
      </c>
      <c r="D44" s="285">
        <f>Table13[[#This Row],[Date Of Birth]]</f>
        <v>0</v>
      </c>
      <c r="E44" s="285">
        <f>Table13[[#This Row],[Commencement Date]]</f>
        <v>0</v>
      </c>
      <c r="F44" s="284">
        <f t="shared" si="0"/>
        <v>1</v>
      </c>
      <c r="G44" s="284">
        <f t="shared" si="4"/>
        <v>25</v>
      </c>
      <c r="H44" s="286">
        <f>Table13[[#This Row],[Product Option]]</f>
        <v>0</v>
      </c>
      <c r="I44" s="284">
        <f>IF(AND($A44="Main Member",Table2[[#This Row],[Product Option]]="My Value Plus Life"),"MM_LIFE",
IF(AND($A44="Spouse",Table2[[#This Row],[Product Option]]="My Value Plus Life"),"SP_LIFE",
IF(AND($A44="Main Member",Table2[[#This Row],[Product Option]]="My Value Plus Life &amp; Funeral"),"MM_LIFE",
IF(AND($A44="Spouse",Table2[[#This Row],[Product Option]]="My Value Plus Life &amp; Funeral"),_xlfn.XLOOKUP(Table2[[#This Row],[Benefit Name]],Lookups!$D$18:$D$23,Lookups!$E$18:$E$23,0),
0))))</f>
        <v>0</v>
      </c>
      <c r="J44" s="284">
        <f>IF($I44="","",
IF($I44="MM_LIFE",INDEX('Quotation Tool'!$S$54:$V$60,MATCH($T44,'Quotation Tool'!$S$54:$S$60,0),4),
IF($I44="SP_LIFE",_xlfn.XLOOKUP(B43,$B:$B,$J:$J,0),0)))</f>
        <v>0</v>
      </c>
      <c r="K44" s="287">
        <f t="shared" ca="1" si="5"/>
        <v>0</v>
      </c>
      <c r="L44" s="288">
        <f t="shared" ca="1" si="6"/>
        <v>0</v>
      </c>
      <c r="M44" s="289">
        <f t="shared" ca="1" si="1"/>
        <v>0</v>
      </c>
      <c r="N44" s="286">
        <f>Table13[[#This Row],[Benefit Option]]</f>
        <v>0</v>
      </c>
      <c r="O44" s="284">
        <f>IF(OR(Table2[[#This Row],[Member Type]]="Spouse",Table2[[#This Row],[Member Type]]="Child"),0,
IF(_xlfn.XLOOKUP($N44,Lookups!$D$13:$D$27,Lookups!$F$13:$F$27,0)=Table2[[#This Row],[Table Lookup for Life Cover]],0,
_xlfn.XLOOKUP($N44,Lookups!$D$13:$D$27,Lookups!$F$13:$F$27,0)))</f>
        <v>0</v>
      </c>
      <c r="P44" s="284">
        <f>IF(Table2[[#This Row],[Table Lookup for Funeral]]=0,0,IFERROR(INDEX('Quotation Tool'!$S$54:$V$60,MATCH($T44,'Quotation Tool'!$S$54:$S$60,0),3),0))</f>
        <v>0</v>
      </c>
      <c r="Q44" s="288">
        <f ca="1">IF(OR(Table2[[#This Row],[Benefit Name]]="My Value Plus Life - Main Member",Table2[[#This Row],[Benefit Name]]="My Value Plus Life - Spouse"),0,
IFERROR(VLOOKUP($G44,INDIRECT($O44),$P44,FALSE),0))</f>
        <v>0</v>
      </c>
      <c r="R44" s="288">
        <f ca="1">IF(OR(Table2[[#This Row],[Benefit Name]]="My Value Plus Life - Main Member",Table2[[#This Row],[Benefit Name]]="My Value Plus Life - Spouse"),0,
IFERROR(VLOOKUP($G44,INDIRECT($O44),$P44+1,FALSE),0))</f>
        <v>0</v>
      </c>
      <c r="S44" s="289">
        <f t="shared" ca="1" si="2"/>
        <v>0</v>
      </c>
      <c r="T44" s="284" t="str">
        <f>IF(Table13[[#This Row],[Premium Waiver]]="","None",Table13[[#This Row],[Premium Waiver]])</f>
        <v>None</v>
      </c>
      <c r="U44" s="284">
        <f>Table13[[#This Row],[VAPs Options]]</f>
        <v>0</v>
      </c>
      <c r="V44" s="284">
        <f>Table13[[#This Row],[Annual Increase Option]]</f>
        <v>0</v>
      </c>
      <c r="W44" s="290">
        <f>Table13[[#This Row],[Life Cover Amount]]</f>
        <v>0</v>
      </c>
      <c r="X44" s="290">
        <f>Table13[[#This Row],[Funeral Cover Amount]]</f>
        <v>0</v>
      </c>
      <c r="Y4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4" s="301">
        <f t="shared" ca="1" si="3"/>
        <v>0</v>
      </c>
      <c r="AB44" s="298"/>
      <c r="AC44" s="326" t="str">
        <f>IF(Table2[[#This Row],[Member Type]]="Main Member",Lookups!$C$13,
IF(Table2[[#This Row],[Member Type]]="Spouse",_xlfn.XLOOKUP(B44,Table2[Main Member Link ID],Table2[Product Option],0),
IF(AND(Table2[[#This Row],[Member Type]]="Child",_xlfn.XLOOKUP(B44,Table2[Main Member Link ID],Table2[Product Option],0)&lt;&gt;"My Value Plus Life"),Lookups!$C$24,
IF(AND(OR(Table2[[#This Row],[Member Type]]="Parent",Table2[[#This Row],[Member Type]]="Extended"),_xlfn.XLOOKUP(B44,Table2[Main Member Link ID],Table2[Product Option],0)&lt;&gt;"My Value Plus Life"),Lookups!$C$26,""))))</f>
        <v/>
      </c>
      <c r="AD44" s="326" t="str">
        <f>IF(Table2[[#This Row],[Member Type]]="Main Member",Lookups!$C$14,"")</f>
        <v/>
      </c>
      <c r="AE4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Funeral",_xlfn.XLOOKUP(B44,Table2[Main Member Link ID],Table2[Benefit Name],0)=Lookups!$D$14),"",
IF(AND(Table2[[#This Row],[Member Type]]="Spouse",Table2[[#This Row],[Product Option]]="My Value Plus Life &amp; Funeral",_xlfn.XLOOKUP(B43,Table2[Main Member Link ID],Table2[Benefit Name],0)=Lookups!$D$15),Lookups!$D$20,
IF(AND(Table2[[#This Row],[Member Type]]="Spouse",Table2[[#This Row],[Product Option]]="My Value Plus Life &amp; Funeral",_xlfn.XLOOKUP(B43,Table2[Main Member Link ID],Table2[Benefit Name],0)=Lookups!$D$16),"",
IF(AND(Table2[[#This Row],[Member Type]]="Spouse",Table2[[#This Row],[Product Option]]="My Value Plus Life &amp; Funeral",_xlfn.XLOOKUP(B43,Table2[Main Member Link ID],Table2[Benefit Name],0)=Lookups!$D$17),Lookups!$D$21,
IF(AND(Table2[[#This Row],[Member Type]]="Child",Table2[[#This Row],[Product Option]]="My Value Plus Life &amp; Funeral",_xlfn.XLOOKUP(B44,Table2[Main Member Link ID],Table2[Benefit Name],0)=Lookups!$D$14),"",
IF(AND(Table2[[#This Row],[Member Type]]="Child",Table2[[#This Row],[Product Option]]="My Value Plus Life &amp; Funeral",_xlfn.XLOOKUP(B44,Table2[Main Member Link ID],Table2[Benefit Name],0)=Lookups!$D$15),"",
IF(AND(Table2[[#This Row],[Member Type]]="Child",Table2[[#This Row],[Product Option]]="My Value Plus Life &amp; Funeral",_xlfn.XLOOKUP(B44,Table2[Main Member Link ID],Table2[Benefit Name],0)=Lookups!$D$16),Lookups!$D$24,
IF(AND(Table2[[#This Row],[Member Type]]="Child",Table2[[#This Row],[Product Option]]="My Value Plus Life &amp; Funeral",_xlfn.XLOOKUP(B44,Table2[Main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Funeral",_xlfn.XLOOKUP(B44,Table2[Main Member Link ID],Table2[Benefit Name],0)&lt;&gt;Lookups!$D$14),
IF(_xlfn.XLOOKUP(B44,Table2[Main Member Link ID],Table2[Benefit Name],0)=0,"",_xlfn.XLOOKUP(B44,Table2[Main Member Link ID],Table2[Benefit Name],0)),"")))))))))))))))</f>
        <v/>
      </c>
      <c r="AF44" s="327" t="str">
        <f>IF(AND(Table2[[#This Row],[Member Type]]="Main Member",Table2[[#This Row],[Product Option]]="My Value Plus Life &amp; Funeral"),Lookups!$D$15,
IF(AND(Table2[[#This Row],[Member Type]]="Spouse",Table2[[#This Row],[Product Option]]="My Value Plus Life &amp; Funeral",_xlfn.XLOOKUP(B44,Table2[Main Member Link ID],Table2[Benefit Name],0)=Lookups!$D$14),"",
IF(AND(Table2[[#This Row],[Member Type]]="Spouse",Table2[[#This Row],[Product Option]]="My Value Plus Life &amp; Funeral",_xlfn.XLOOKUP(B43,Table2[Main Member Link ID],Table2[Benefit Name],0)=Lookups!$D$16),"",
IF(AND(Table2[[#This Row],[Member Type]]="Spouse",Table2[[#This Row],[Product Option]]="My Value Plus Life &amp; Funeral",_xlfn.XLOOKUP(B43,Table2[Main Member Link ID],Table2[Benefit Name],0)=Lookups!$D$15),"",
IF(AND(Table2[[#This Row],[Member Type]]="Spouse",Table2[[#This Row],[Product Option]]="My Value Plus Life &amp; Funeral",_xlfn.XLOOKUP(B43,Table2[Main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Funeral",_xlfn.XLOOKUP(B44,Table2[Main Member Link ID],Table2[Benefit Name],0)&lt;&gt;Lookups!$D$15),
IF(_xlfn.XLOOKUP(B44,Table2[Main Member Link ID],Table2[Benefit Name],0)=0,"",_xlfn.XLOOKUP(B44,Table2[Main Member Link ID],Table2[Benefit Name],0)),"")
))))))</f>
        <v/>
      </c>
      <c r="AG44" s="327" t="str">
        <f>IF(AND(Table2[[#This Row],[Member Type]]="Main Member",Table2[[#This Row],[Product Option]]="My Value Plus Life &amp; Funeral"),Lookups!$D$16,
IF(AND(Table2[[#This Row],[Member Type]]="Spouse",Table2[[#This Row],[Product Option]]="My Value Plus Life &amp; Funeral",_xlfn.XLOOKUP(B44,Table2[Main Member Link ID],Table2[Benefit Name],0)=Lookups!$D$14),"",
IF(AND(Table2[[#This Row],[Member Type]]="Spouse",Table2[[#This Row],[Product Option]]="My Value Plus Life &amp; Funeral",_xlfn.XLOOKUP(B43,Table2[Main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Funeral",_xlfn.XLOOKUP(B44,Table2[Main Member Link ID],Table2[Benefit Name],0)&lt;&gt;Lookups!$D$16),
IF(_xlfn.XLOOKUP(B44,Table2[Main Member Link ID],Table2[Benefit Name],0)=0,"",_xlfn.XLOOKUP(B44,Table2[Main Member Link ID],Table2[Benefit Name],0)),"")
))))</f>
        <v/>
      </c>
      <c r="AH44" s="327" t="str">
        <f>IF(AND(Table2[[#This Row],[Member Type]]="Main Member",Table2[[#This Row],[Product Option]]="My Value Plus Life &amp; Funeral"),Lookups!$D$17,
IF(AND(Table2[[#This Row],[Member Type]]="Spouse",Table2[[#This Row],[Product Option]]="My Value Plus Life &amp; Funeral",_xlfn.XLOOKUP(B44,Table2[Main Member Link ID],Table2[Benefit Name],0)=Lookups!$D$14),"",
IF(AND(Table2[[#This Row],[Member Type]]="Spouse",Table2[[#This Row],[Product Option]]="My Value Plus Life &amp; Funeral",_xlfn.XLOOKUP(B43,Table2[Main Member Link ID],Table2[Benefit Name],0)=Lookups!$D$16),"",
IF(AND(Table2[[#This Row],[Member Type]]="Child",Table2[[#This Row],[Product Option]]="My Value Plus Life &amp; Funeral"),"",
IF(AND(Table2[[#This Row],[Member Type]]="Child",Table2[[#This Row],[Product Option]]="My Value Plus Life &amp; Funeral",_xlfn.XLOOKUP(B44,Table2[Main Member Link ID],Table2[Benefit Name],0)=Lookups!$D$15),"",
IF(AND(OR(Table2[[#This Row],[Member Type]]="Spouse",Table2[[#This Row],[Member Type]]="Child"),Table2[[#This Row],[Product Option]]="My Value Plus Life &amp; Funeral",_xlfn.XLOOKUP(B44,Table2[Main Member Link ID],Table2[Benefit Name],0)&lt;&gt;Lookups!$D$17),
IF(_xlfn.XLOOKUP(B44,Table2[Main Member Link ID],Table2[Benefit Name],0)=0,"",_xlfn.XLOOKUP(B44,Table2[Main Member Link ID],Table2[Benefit Name],0)),""))))))</f>
        <v/>
      </c>
      <c r="AI44" s="328" t="str">
        <f>IF(AND(Table2[[#This Row],[Member Type]]="Main Member",Table2[[#This Row],[Table Lookup for Life Cover]]="MM_LIFE",Table2[[#This Row],[Age Next Birthday]]&lt;56),1,
IF(AND(Table2[[#This Row],[Member Type]]="Main Member",Table2[[#This Row],[Table Lookup for Life Cover]]="MM_LIFE",Table2[[#This Row],[Age Next Birthday]]&gt;=56),2,
""))</f>
        <v/>
      </c>
      <c r="AJ44" s="328">
        <f>IF(OR(Table2[[#This Row],[Member Type]]="Main Member",Table2[[#This Row],[Main Member Link ID]]=B43),1,0)</f>
        <v>1</v>
      </c>
      <c r="AK44" s="328">
        <f>IF(Table2[[#This Row],[Member Type]]=0,0,
IF(OR(Table2[[#This Row],[Member Type]]="Main Member",Table2[[#This Row],[Main Member Link ID]]&lt;&gt;B44),COUNTIFS(B:B,Table2[[#This Row],[Main Member Link ID]]),
COUNTIFS(B:B,Table2[[#This Row],[Main Member Link ID]],A:A,Table2[[#This Row],[Member Type]])))</f>
        <v>0</v>
      </c>
    </row>
    <row r="45" spans="1:37" x14ac:dyDescent="0.3">
      <c r="A45" s="284">
        <f>Table13[[#This Row],[Member Type]]</f>
        <v>0</v>
      </c>
      <c r="B45" s="284">
        <f>Table13[[#This Row],[Main Member Link ID]]</f>
        <v>0</v>
      </c>
      <c r="C45" s="284">
        <f>Table13[[#This Row],[ID Number]]</f>
        <v>0</v>
      </c>
      <c r="D45" s="285">
        <f>Table13[[#This Row],[Date Of Birth]]</f>
        <v>0</v>
      </c>
      <c r="E45" s="285">
        <f>Table13[[#This Row],[Commencement Date]]</f>
        <v>0</v>
      </c>
      <c r="F45" s="284">
        <f t="shared" si="0"/>
        <v>1</v>
      </c>
      <c r="G45" s="284">
        <f t="shared" si="4"/>
        <v>25</v>
      </c>
      <c r="H45" s="286">
        <f>Table13[[#This Row],[Product Option]]</f>
        <v>0</v>
      </c>
      <c r="I45" s="284">
        <f>IF(AND($A45="Main Member",Table2[[#This Row],[Product Option]]="My Value Plus Life"),"MM_LIFE",
IF(AND($A45="Spouse",Table2[[#This Row],[Product Option]]="My Value Plus Life"),"SP_LIFE",
IF(AND($A45="Main Member",Table2[[#This Row],[Product Option]]="My Value Plus Life &amp; Funeral"),"MM_LIFE",
IF(AND($A45="Spouse",Table2[[#This Row],[Product Option]]="My Value Plus Life &amp; Funeral"),_xlfn.XLOOKUP(Table2[[#This Row],[Benefit Name]],Lookups!$D$18:$D$23,Lookups!$E$18:$E$23,0),
0))))</f>
        <v>0</v>
      </c>
      <c r="J45" s="284">
        <f>IF($I45="","",
IF($I45="MM_LIFE",INDEX('Quotation Tool'!$S$54:$V$60,MATCH($T45,'Quotation Tool'!$S$54:$S$60,0),4),
IF($I45="SP_LIFE",_xlfn.XLOOKUP(B44,$B:$B,$J:$J,0),0)))</f>
        <v>0</v>
      </c>
      <c r="K45" s="287">
        <f t="shared" ca="1" si="5"/>
        <v>0</v>
      </c>
      <c r="L45" s="288">
        <f t="shared" ca="1" si="6"/>
        <v>0</v>
      </c>
      <c r="M45" s="289">
        <f t="shared" ca="1" si="1"/>
        <v>0</v>
      </c>
      <c r="N45" s="286">
        <f>Table13[[#This Row],[Benefit Option]]</f>
        <v>0</v>
      </c>
      <c r="O45" s="284">
        <f>IF(OR(Table2[[#This Row],[Member Type]]="Spouse",Table2[[#This Row],[Member Type]]="Child"),0,
IF(_xlfn.XLOOKUP($N45,Lookups!$D$13:$D$27,Lookups!$F$13:$F$27,0)=Table2[[#This Row],[Table Lookup for Life Cover]],0,
_xlfn.XLOOKUP($N45,Lookups!$D$13:$D$27,Lookups!$F$13:$F$27,0)))</f>
        <v>0</v>
      </c>
      <c r="P45" s="284">
        <f>IF(Table2[[#This Row],[Table Lookup for Funeral]]=0,0,IFERROR(INDEX('Quotation Tool'!$S$54:$V$60,MATCH($T45,'Quotation Tool'!$S$54:$S$60,0),3),0))</f>
        <v>0</v>
      </c>
      <c r="Q45" s="288">
        <f ca="1">IF(OR(Table2[[#This Row],[Benefit Name]]="My Value Plus Life - Main Member",Table2[[#This Row],[Benefit Name]]="My Value Plus Life - Spouse"),0,
IFERROR(VLOOKUP($G45,INDIRECT($O45),$P45,FALSE),0))</f>
        <v>0</v>
      </c>
      <c r="R45" s="288">
        <f ca="1">IF(OR(Table2[[#This Row],[Benefit Name]]="My Value Plus Life - Main Member",Table2[[#This Row],[Benefit Name]]="My Value Plus Life - Spouse"),0,
IFERROR(VLOOKUP($G45,INDIRECT($O45),$P45+1,FALSE),0))</f>
        <v>0</v>
      </c>
      <c r="S45" s="289">
        <f t="shared" ca="1" si="2"/>
        <v>0</v>
      </c>
      <c r="T45" s="284" t="str">
        <f>IF(Table13[[#This Row],[Premium Waiver]]="","None",Table13[[#This Row],[Premium Waiver]])</f>
        <v>None</v>
      </c>
      <c r="U45" s="284">
        <f>Table13[[#This Row],[VAPs Options]]</f>
        <v>0</v>
      </c>
      <c r="V45" s="284">
        <f>Table13[[#This Row],[Annual Increase Option]]</f>
        <v>0</v>
      </c>
      <c r="W45" s="290">
        <f>Table13[[#This Row],[Life Cover Amount]]</f>
        <v>0</v>
      </c>
      <c r="X45" s="290">
        <f>Table13[[#This Row],[Funeral Cover Amount]]</f>
        <v>0</v>
      </c>
      <c r="Y4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5" s="301">
        <f t="shared" ca="1" si="3"/>
        <v>0</v>
      </c>
      <c r="AB45" s="298"/>
      <c r="AC45" s="326" t="str">
        <f>IF(Table2[[#This Row],[Member Type]]="Main Member",Lookups!$C$13,
IF(Table2[[#This Row],[Member Type]]="Spouse",_xlfn.XLOOKUP(B45,Table2[Main Member Link ID],Table2[Product Option],0),
IF(AND(Table2[[#This Row],[Member Type]]="Child",_xlfn.XLOOKUP(B45,Table2[Main Member Link ID],Table2[Product Option],0)&lt;&gt;"My Value Plus Life"),Lookups!$C$24,
IF(AND(OR(Table2[[#This Row],[Member Type]]="Parent",Table2[[#This Row],[Member Type]]="Extended"),_xlfn.XLOOKUP(B45,Table2[Main Member Link ID],Table2[Product Option],0)&lt;&gt;"My Value Plus Life"),Lookups!$C$26,""))))</f>
        <v/>
      </c>
      <c r="AD45" s="326" t="str">
        <f>IF(Table2[[#This Row],[Member Type]]="Main Member",Lookups!$C$14,"")</f>
        <v/>
      </c>
      <c r="AE4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Funeral",_xlfn.XLOOKUP(B45,Table2[Main Member Link ID],Table2[Benefit Name],0)=Lookups!$D$14),"",
IF(AND(Table2[[#This Row],[Member Type]]="Spouse",Table2[[#This Row],[Product Option]]="My Value Plus Life &amp; Funeral",_xlfn.XLOOKUP(B44,Table2[Main Member Link ID],Table2[Benefit Name],0)=Lookups!$D$15),Lookups!$D$20,
IF(AND(Table2[[#This Row],[Member Type]]="Spouse",Table2[[#This Row],[Product Option]]="My Value Plus Life &amp; Funeral",_xlfn.XLOOKUP(B44,Table2[Main Member Link ID],Table2[Benefit Name],0)=Lookups!$D$16),"",
IF(AND(Table2[[#This Row],[Member Type]]="Spouse",Table2[[#This Row],[Product Option]]="My Value Plus Life &amp; Funeral",_xlfn.XLOOKUP(B44,Table2[Main Member Link ID],Table2[Benefit Name],0)=Lookups!$D$17),Lookups!$D$21,
IF(AND(Table2[[#This Row],[Member Type]]="Child",Table2[[#This Row],[Product Option]]="My Value Plus Life &amp; Funeral",_xlfn.XLOOKUP(B45,Table2[Main Member Link ID],Table2[Benefit Name],0)=Lookups!$D$14),"",
IF(AND(Table2[[#This Row],[Member Type]]="Child",Table2[[#This Row],[Product Option]]="My Value Plus Life &amp; Funeral",_xlfn.XLOOKUP(B45,Table2[Main Member Link ID],Table2[Benefit Name],0)=Lookups!$D$15),"",
IF(AND(Table2[[#This Row],[Member Type]]="Child",Table2[[#This Row],[Product Option]]="My Value Plus Life &amp; Funeral",_xlfn.XLOOKUP(B45,Table2[Main Member Link ID],Table2[Benefit Name],0)=Lookups!$D$16),Lookups!$D$24,
IF(AND(Table2[[#This Row],[Member Type]]="Child",Table2[[#This Row],[Product Option]]="My Value Plus Life &amp; Funeral",_xlfn.XLOOKUP(B45,Table2[Main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Funeral",_xlfn.XLOOKUP(B45,Table2[Main Member Link ID],Table2[Benefit Name],0)&lt;&gt;Lookups!$D$14),
IF(_xlfn.XLOOKUP(B45,Table2[Main Member Link ID],Table2[Benefit Name],0)=0,"",_xlfn.XLOOKUP(B45,Table2[Main Member Link ID],Table2[Benefit Name],0)),"")))))))))))))))</f>
        <v/>
      </c>
      <c r="AF45" s="327" t="str">
        <f>IF(AND(Table2[[#This Row],[Member Type]]="Main Member",Table2[[#This Row],[Product Option]]="My Value Plus Life &amp; Funeral"),Lookups!$D$15,
IF(AND(Table2[[#This Row],[Member Type]]="Spouse",Table2[[#This Row],[Product Option]]="My Value Plus Life &amp; Funeral",_xlfn.XLOOKUP(B45,Table2[Main Member Link ID],Table2[Benefit Name],0)=Lookups!$D$14),"",
IF(AND(Table2[[#This Row],[Member Type]]="Spouse",Table2[[#This Row],[Product Option]]="My Value Plus Life &amp; Funeral",_xlfn.XLOOKUP(B44,Table2[Main Member Link ID],Table2[Benefit Name],0)=Lookups!$D$16),"",
IF(AND(Table2[[#This Row],[Member Type]]="Spouse",Table2[[#This Row],[Product Option]]="My Value Plus Life &amp; Funeral",_xlfn.XLOOKUP(B44,Table2[Main Member Link ID],Table2[Benefit Name],0)=Lookups!$D$15),"",
IF(AND(Table2[[#This Row],[Member Type]]="Spouse",Table2[[#This Row],[Product Option]]="My Value Plus Life &amp; Funeral",_xlfn.XLOOKUP(B44,Table2[Main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Funeral",_xlfn.XLOOKUP(B45,Table2[Main Member Link ID],Table2[Benefit Name],0)&lt;&gt;Lookups!$D$15),
IF(_xlfn.XLOOKUP(B45,Table2[Main Member Link ID],Table2[Benefit Name],0)=0,"",_xlfn.XLOOKUP(B45,Table2[Main Member Link ID],Table2[Benefit Name],0)),"")
))))))</f>
        <v/>
      </c>
      <c r="AG45" s="327" t="str">
        <f>IF(AND(Table2[[#This Row],[Member Type]]="Main Member",Table2[[#This Row],[Product Option]]="My Value Plus Life &amp; Funeral"),Lookups!$D$16,
IF(AND(Table2[[#This Row],[Member Type]]="Spouse",Table2[[#This Row],[Product Option]]="My Value Plus Life &amp; Funeral",_xlfn.XLOOKUP(B45,Table2[Main Member Link ID],Table2[Benefit Name],0)=Lookups!$D$14),"",
IF(AND(Table2[[#This Row],[Member Type]]="Spouse",Table2[[#This Row],[Product Option]]="My Value Plus Life &amp; Funeral",_xlfn.XLOOKUP(B44,Table2[Main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Funeral",_xlfn.XLOOKUP(B45,Table2[Main Member Link ID],Table2[Benefit Name],0)&lt;&gt;Lookups!$D$16),
IF(_xlfn.XLOOKUP(B45,Table2[Main Member Link ID],Table2[Benefit Name],0)=0,"",_xlfn.XLOOKUP(B45,Table2[Main Member Link ID],Table2[Benefit Name],0)),"")
))))</f>
        <v/>
      </c>
      <c r="AH45" s="327" t="str">
        <f>IF(AND(Table2[[#This Row],[Member Type]]="Main Member",Table2[[#This Row],[Product Option]]="My Value Plus Life &amp; Funeral"),Lookups!$D$17,
IF(AND(Table2[[#This Row],[Member Type]]="Spouse",Table2[[#This Row],[Product Option]]="My Value Plus Life &amp; Funeral",_xlfn.XLOOKUP(B45,Table2[Main Member Link ID],Table2[Benefit Name],0)=Lookups!$D$14),"",
IF(AND(Table2[[#This Row],[Member Type]]="Spouse",Table2[[#This Row],[Product Option]]="My Value Plus Life &amp; Funeral",_xlfn.XLOOKUP(B44,Table2[Main Member Link ID],Table2[Benefit Name],0)=Lookups!$D$16),"",
IF(AND(Table2[[#This Row],[Member Type]]="Child",Table2[[#This Row],[Product Option]]="My Value Plus Life &amp; Funeral"),"",
IF(AND(Table2[[#This Row],[Member Type]]="Child",Table2[[#This Row],[Product Option]]="My Value Plus Life &amp; Funeral",_xlfn.XLOOKUP(B45,Table2[Main Member Link ID],Table2[Benefit Name],0)=Lookups!$D$15),"",
IF(AND(OR(Table2[[#This Row],[Member Type]]="Spouse",Table2[[#This Row],[Member Type]]="Child"),Table2[[#This Row],[Product Option]]="My Value Plus Life &amp; Funeral",_xlfn.XLOOKUP(B45,Table2[Main Member Link ID],Table2[Benefit Name],0)&lt;&gt;Lookups!$D$17),
IF(_xlfn.XLOOKUP(B45,Table2[Main Member Link ID],Table2[Benefit Name],0)=0,"",_xlfn.XLOOKUP(B45,Table2[Main Member Link ID],Table2[Benefit Name],0)),""))))))</f>
        <v/>
      </c>
      <c r="AI45" s="328" t="str">
        <f>IF(AND(Table2[[#This Row],[Member Type]]="Main Member",Table2[[#This Row],[Table Lookup for Life Cover]]="MM_LIFE",Table2[[#This Row],[Age Next Birthday]]&lt;56),1,
IF(AND(Table2[[#This Row],[Member Type]]="Main Member",Table2[[#This Row],[Table Lookup for Life Cover]]="MM_LIFE",Table2[[#This Row],[Age Next Birthday]]&gt;=56),2,
""))</f>
        <v/>
      </c>
      <c r="AJ45" s="328">
        <f>IF(OR(Table2[[#This Row],[Member Type]]="Main Member",Table2[[#This Row],[Main Member Link ID]]=B44),1,0)</f>
        <v>1</v>
      </c>
      <c r="AK45" s="328">
        <f>IF(Table2[[#This Row],[Member Type]]=0,0,
IF(OR(Table2[[#This Row],[Member Type]]="Main Member",Table2[[#This Row],[Main Member Link ID]]&lt;&gt;B45),COUNTIFS(B:B,Table2[[#This Row],[Main Member Link ID]]),
COUNTIFS(B:B,Table2[[#This Row],[Main Member Link ID]],A:A,Table2[[#This Row],[Member Type]])))</f>
        <v>0</v>
      </c>
    </row>
    <row r="46" spans="1:37" x14ac:dyDescent="0.3">
      <c r="A46" s="284">
        <f>Table13[[#This Row],[Member Type]]</f>
        <v>0</v>
      </c>
      <c r="B46" s="284">
        <f>Table13[[#This Row],[Main Member Link ID]]</f>
        <v>0</v>
      </c>
      <c r="C46" s="284">
        <f>Table13[[#This Row],[ID Number]]</f>
        <v>0</v>
      </c>
      <c r="D46" s="285">
        <f>Table13[[#This Row],[Date Of Birth]]</f>
        <v>0</v>
      </c>
      <c r="E46" s="285">
        <f>Table13[[#This Row],[Commencement Date]]</f>
        <v>0</v>
      </c>
      <c r="F46" s="284">
        <f t="shared" si="0"/>
        <v>1</v>
      </c>
      <c r="G46" s="284">
        <f t="shared" si="4"/>
        <v>25</v>
      </c>
      <c r="H46" s="286">
        <f>Table13[[#This Row],[Product Option]]</f>
        <v>0</v>
      </c>
      <c r="I46" s="284">
        <f>IF(AND($A46="Main Member",Table2[[#This Row],[Product Option]]="My Value Plus Life"),"MM_LIFE",
IF(AND($A46="Spouse",Table2[[#This Row],[Product Option]]="My Value Plus Life"),"SP_LIFE",
IF(AND($A46="Main Member",Table2[[#This Row],[Product Option]]="My Value Plus Life &amp; Funeral"),"MM_LIFE",
IF(AND($A46="Spouse",Table2[[#This Row],[Product Option]]="My Value Plus Life &amp; Funeral"),_xlfn.XLOOKUP(Table2[[#This Row],[Benefit Name]],Lookups!$D$18:$D$23,Lookups!$E$18:$E$23,0),
0))))</f>
        <v>0</v>
      </c>
      <c r="J46" s="284">
        <f>IF($I46="","",
IF($I46="MM_LIFE",INDEX('Quotation Tool'!$S$54:$V$60,MATCH($T46,'Quotation Tool'!$S$54:$S$60,0),4),
IF($I46="SP_LIFE",_xlfn.XLOOKUP(B45,$B:$B,$J:$J,0),0)))</f>
        <v>0</v>
      </c>
      <c r="K46" s="287">
        <f t="shared" ca="1" si="5"/>
        <v>0</v>
      </c>
      <c r="L46" s="288">
        <f t="shared" ca="1" si="6"/>
        <v>0</v>
      </c>
      <c r="M46" s="289">
        <f t="shared" ca="1" si="1"/>
        <v>0</v>
      </c>
      <c r="N46" s="286">
        <f>Table13[[#This Row],[Benefit Option]]</f>
        <v>0</v>
      </c>
      <c r="O46" s="284">
        <f>IF(OR(Table2[[#This Row],[Member Type]]="Spouse",Table2[[#This Row],[Member Type]]="Child"),0,
IF(_xlfn.XLOOKUP($N46,Lookups!$D$13:$D$27,Lookups!$F$13:$F$27,0)=Table2[[#This Row],[Table Lookup for Life Cover]],0,
_xlfn.XLOOKUP($N46,Lookups!$D$13:$D$27,Lookups!$F$13:$F$27,0)))</f>
        <v>0</v>
      </c>
      <c r="P46" s="284">
        <f>IF(Table2[[#This Row],[Table Lookup for Funeral]]=0,0,IFERROR(INDEX('Quotation Tool'!$S$54:$V$60,MATCH($T46,'Quotation Tool'!$S$54:$S$60,0),3),0))</f>
        <v>0</v>
      </c>
      <c r="Q46" s="288">
        <f ca="1">IF(OR(Table2[[#This Row],[Benefit Name]]="My Value Plus Life - Main Member",Table2[[#This Row],[Benefit Name]]="My Value Plus Life - Spouse"),0,
IFERROR(VLOOKUP($G46,INDIRECT($O46),$P46,FALSE),0))</f>
        <v>0</v>
      </c>
      <c r="R46" s="288">
        <f ca="1">IF(OR(Table2[[#This Row],[Benefit Name]]="My Value Plus Life - Main Member",Table2[[#This Row],[Benefit Name]]="My Value Plus Life - Spouse"),0,
IFERROR(VLOOKUP($G46,INDIRECT($O46),$P46+1,FALSE),0))</f>
        <v>0</v>
      </c>
      <c r="S46" s="289">
        <f t="shared" ca="1" si="2"/>
        <v>0</v>
      </c>
      <c r="T46" s="284" t="str">
        <f>IF(Table13[[#This Row],[Premium Waiver]]="","None",Table13[[#This Row],[Premium Waiver]])</f>
        <v>None</v>
      </c>
      <c r="U46" s="284">
        <f>Table13[[#This Row],[VAPs Options]]</f>
        <v>0</v>
      </c>
      <c r="V46" s="284">
        <f>Table13[[#This Row],[Annual Increase Option]]</f>
        <v>0</v>
      </c>
      <c r="W46" s="290">
        <f>Table13[[#This Row],[Life Cover Amount]]</f>
        <v>0</v>
      </c>
      <c r="X46" s="290">
        <f>Table13[[#This Row],[Funeral Cover Amount]]</f>
        <v>0</v>
      </c>
      <c r="Y4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6" s="301">
        <f t="shared" ca="1" si="3"/>
        <v>0</v>
      </c>
      <c r="AB46" s="298"/>
      <c r="AC46" s="326" t="str">
        <f>IF(Table2[[#This Row],[Member Type]]="Main Member",Lookups!$C$13,
IF(Table2[[#This Row],[Member Type]]="Spouse",_xlfn.XLOOKUP(B46,Table2[Main Member Link ID],Table2[Product Option],0),
IF(AND(Table2[[#This Row],[Member Type]]="Child",_xlfn.XLOOKUP(B46,Table2[Main Member Link ID],Table2[Product Option],0)&lt;&gt;"My Value Plus Life"),Lookups!$C$24,
IF(AND(OR(Table2[[#This Row],[Member Type]]="Parent",Table2[[#This Row],[Member Type]]="Extended"),_xlfn.XLOOKUP(B46,Table2[Main Member Link ID],Table2[Product Option],0)&lt;&gt;"My Value Plus Life"),Lookups!$C$26,""))))</f>
        <v/>
      </c>
      <c r="AD46" s="326" t="str">
        <f>IF(Table2[[#This Row],[Member Type]]="Main Member",Lookups!$C$14,"")</f>
        <v/>
      </c>
      <c r="AE4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Funeral",_xlfn.XLOOKUP(B46,Table2[Main Member Link ID],Table2[Benefit Name],0)=Lookups!$D$14),"",
IF(AND(Table2[[#This Row],[Member Type]]="Spouse",Table2[[#This Row],[Product Option]]="My Value Plus Life &amp; Funeral",_xlfn.XLOOKUP(B45,Table2[Main Member Link ID],Table2[Benefit Name],0)=Lookups!$D$15),Lookups!$D$20,
IF(AND(Table2[[#This Row],[Member Type]]="Spouse",Table2[[#This Row],[Product Option]]="My Value Plus Life &amp; Funeral",_xlfn.XLOOKUP(B45,Table2[Main Member Link ID],Table2[Benefit Name],0)=Lookups!$D$16),"",
IF(AND(Table2[[#This Row],[Member Type]]="Spouse",Table2[[#This Row],[Product Option]]="My Value Plus Life &amp; Funeral",_xlfn.XLOOKUP(B45,Table2[Main Member Link ID],Table2[Benefit Name],0)=Lookups!$D$17),Lookups!$D$21,
IF(AND(Table2[[#This Row],[Member Type]]="Child",Table2[[#This Row],[Product Option]]="My Value Plus Life &amp; Funeral",_xlfn.XLOOKUP(B46,Table2[Main Member Link ID],Table2[Benefit Name],0)=Lookups!$D$14),"",
IF(AND(Table2[[#This Row],[Member Type]]="Child",Table2[[#This Row],[Product Option]]="My Value Plus Life &amp; Funeral",_xlfn.XLOOKUP(B46,Table2[Main Member Link ID],Table2[Benefit Name],0)=Lookups!$D$15),"",
IF(AND(Table2[[#This Row],[Member Type]]="Child",Table2[[#This Row],[Product Option]]="My Value Plus Life &amp; Funeral",_xlfn.XLOOKUP(B46,Table2[Main Member Link ID],Table2[Benefit Name],0)=Lookups!$D$16),Lookups!$D$24,
IF(AND(Table2[[#This Row],[Member Type]]="Child",Table2[[#This Row],[Product Option]]="My Value Plus Life &amp; Funeral",_xlfn.XLOOKUP(B46,Table2[Main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Funeral",_xlfn.XLOOKUP(B46,Table2[Main Member Link ID],Table2[Benefit Name],0)&lt;&gt;Lookups!$D$14),
IF(_xlfn.XLOOKUP(B46,Table2[Main Member Link ID],Table2[Benefit Name],0)=0,"",_xlfn.XLOOKUP(B46,Table2[Main Member Link ID],Table2[Benefit Name],0)),"")))))))))))))))</f>
        <v/>
      </c>
      <c r="AF46" s="327" t="str">
        <f>IF(AND(Table2[[#This Row],[Member Type]]="Main Member",Table2[[#This Row],[Product Option]]="My Value Plus Life &amp; Funeral"),Lookups!$D$15,
IF(AND(Table2[[#This Row],[Member Type]]="Spouse",Table2[[#This Row],[Product Option]]="My Value Plus Life &amp; Funeral",_xlfn.XLOOKUP(B46,Table2[Main Member Link ID],Table2[Benefit Name],0)=Lookups!$D$14),"",
IF(AND(Table2[[#This Row],[Member Type]]="Spouse",Table2[[#This Row],[Product Option]]="My Value Plus Life &amp; Funeral",_xlfn.XLOOKUP(B45,Table2[Main Member Link ID],Table2[Benefit Name],0)=Lookups!$D$16),"",
IF(AND(Table2[[#This Row],[Member Type]]="Spouse",Table2[[#This Row],[Product Option]]="My Value Plus Life &amp; Funeral",_xlfn.XLOOKUP(B45,Table2[Main Member Link ID],Table2[Benefit Name],0)=Lookups!$D$15),"",
IF(AND(Table2[[#This Row],[Member Type]]="Spouse",Table2[[#This Row],[Product Option]]="My Value Plus Life &amp; Funeral",_xlfn.XLOOKUP(B45,Table2[Main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Funeral",_xlfn.XLOOKUP(B46,Table2[Main Member Link ID],Table2[Benefit Name],0)&lt;&gt;Lookups!$D$15),
IF(_xlfn.XLOOKUP(B46,Table2[Main Member Link ID],Table2[Benefit Name],0)=0,"",_xlfn.XLOOKUP(B46,Table2[Main Member Link ID],Table2[Benefit Name],0)),"")
))))))</f>
        <v/>
      </c>
      <c r="AG46" s="327" t="str">
        <f>IF(AND(Table2[[#This Row],[Member Type]]="Main Member",Table2[[#This Row],[Product Option]]="My Value Plus Life &amp; Funeral"),Lookups!$D$16,
IF(AND(Table2[[#This Row],[Member Type]]="Spouse",Table2[[#This Row],[Product Option]]="My Value Plus Life &amp; Funeral",_xlfn.XLOOKUP(B46,Table2[Main Member Link ID],Table2[Benefit Name],0)=Lookups!$D$14),"",
IF(AND(Table2[[#This Row],[Member Type]]="Spouse",Table2[[#This Row],[Product Option]]="My Value Plus Life &amp; Funeral",_xlfn.XLOOKUP(B45,Table2[Main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Funeral",_xlfn.XLOOKUP(B46,Table2[Main Member Link ID],Table2[Benefit Name],0)&lt;&gt;Lookups!$D$16),
IF(_xlfn.XLOOKUP(B46,Table2[Main Member Link ID],Table2[Benefit Name],0)=0,"",_xlfn.XLOOKUP(B46,Table2[Main Member Link ID],Table2[Benefit Name],0)),"")
))))</f>
        <v/>
      </c>
      <c r="AH46" s="327" t="str">
        <f>IF(AND(Table2[[#This Row],[Member Type]]="Main Member",Table2[[#This Row],[Product Option]]="My Value Plus Life &amp; Funeral"),Lookups!$D$17,
IF(AND(Table2[[#This Row],[Member Type]]="Spouse",Table2[[#This Row],[Product Option]]="My Value Plus Life &amp; Funeral",_xlfn.XLOOKUP(B46,Table2[Main Member Link ID],Table2[Benefit Name],0)=Lookups!$D$14),"",
IF(AND(Table2[[#This Row],[Member Type]]="Spouse",Table2[[#This Row],[Product Option]]="My Value Plus Life &amp; Funeral",_xlfn.XLOOKUP(B45,Table2[Main Member Link ID],Table2[Benefit Name],0)=Lookups!$D$16),"",
IF(AND(Table2[[#This Row],[Member Type]]="Child",Table2[[#This Row],[Product Option]]="My Value Plus Life &amp; Funeral"),"",
IF(AND(Table2[[#This Row],[Member Type]]="Child",Table2[[#This Row],[Product Option]]="My Value Plus Life &amp; Funeral",_xlfn.XLOOKUP(B46,Table2[Main Member Link ID],Table2[Benefit Name],0)=Lookups!$D$15),"",
IF(AND(OR(Table2[[#This Row],[Member Type]]="Spouse",Table2[[#This Row],[Member Type]]="Child"),Table2[[#This Row],[Product Option]]="My Value Plus Life &amp; Funeral",_xlfn.XLOOKUP(B46,Table2[Main Member Link ID],Table2[Benefit Name],0)&lt;&gt;Lookups!$D$17),
IF(_xlfn.XLOOKUP(B46,Table2[Main Member Link ID],Table2[Benefit Name],0)=0,"",_xlfn.XLOOKUP(B46,Table2[Main Member Link ID],Table2[Benefit Name],0)),""))))))</f>
        <v/>
      </c>
      <c r="AI46" s="328" t="str">
        <f>IF(AND(Table2[[#This Row],[Member Type]]="Main Member",Table2[[#This Row],[Table Lookup for Life Cover]]="MM_LIFE",Table2[[#This Row],[Age Next Birthday]]&lt;56),1,
IF(AND(Table2[[#This Row],[Member Type]]="Main Member",Table2[[#This Row],[Table Lookup for Life Cover]]="MM_LIFE",Table2[[#This Row],[Age Next Birthday]]&gt;=56),2,
""))</f>
        <v/>
      </c>
      <c r="AJ46" s="328">
        <f>IF(OR(Table2[[#This Row],[Member Type]]="Main Member",Table2[[#This Row],[Main Member Link ID]]=B45),1,0)</f>
        <v>1</v>
      </c>
      <c r="AK46" s="328">
        <f>IF(Table2[[#This Row],[Member Type]]=0,0,
IF(OR(Table2[[#This Row],[Member Type]]="Main Member",Table2[[#This Row],[Main Member Link ID]]&lt;&gt;B46),COUNTIFS(B:B,Table2[[#This Row],[Main Member Link ID]]),
COUNTIFS(B:B,Table2[[#This Row],[Main Member Link ID]],A:A,Table2[[#This Row],[Member Type]])))</f>
        <v>0</v>
      </c>
    </row>
    <row r="47" spans="1:37" x14ac:dyDescent="0.3">
      <c r="A47" s="284">
        <f>Table13[[#This Row],[Member Type]]</f>
        <v>0</v>
      </c>
      <c r="B47" s="284">
        <f>Table13[[#This Row],[Main Member Link ID]]</f>
        <v>0</v>
      </c>
      <c r="C47" s="284">
        <f>Table13[[#This Row],[ID Number]]</f>
        <v>0</v>
      </c>
      <c r="D47" s="285">
        <f>Table13[[#This Row],[Date Of Birth]]</f>
        <v>0</v>
      </c>
      <c r="E47" s="285">
        <f>Table13[[#This Row],[Commencement Date]]</f>
        <v>0</v>
      </c>
      <c r="F47" s="284">
        <f t="shared" si="0"/>
        <v>1</v>
      </c>
      <c r="G47" s="284">
        <f t="shared" si="4"/>
        <v>25</v>
      </c>
      <c r="H47" s="286">
        <f>Table13[[#This Row],[Product Option]]</f>
        <v>0</v>
      </c>
      <c r="I47" s="284">
        <f>IF(AND($A47="Main Member",Table2[[#This Row],[Product Option]]="My Value Plus Life"),"MM_LIFE",
IF(AND($A47="Spouse",Table2[[#This Row],[Product Option]]="My Value Plus Life"),"SP_LIFE",
IF(AND($A47="Main Member",Table2[[#This Row],[Product Option]]="My Value Plus Life &amp; Funeral"),"MM_LIFE",
IF(AND($A47="Spouse",Table2[[#This Row],[Product Option]]="My Value Plus Life &amp; Funeral"),_xlfn.XLOOKUP(Table2[[#This Row],[Benefit Name]],Lookups!$D$18:$D$23,Lookups!$E$18:$E$23,0),
0))))</f>
        <v>0</v>
      </c>
      <c r="J47" s="284">
        <f>IF($I47="","",
IF($I47="MM_LIFE",INDEX('Quotation Tool'!$S$54:$V$60,MATCH($T47,'Quotation Tool'!$S$54:$S$60,0),4),
IF($I47="SP_LIFE",_xlfn.XLOOKUP(B46,$B:$B,$J:$J,0),0)))</f>
        <v>0</v>
      </c>
      <c r="K47" s="287">
        <f t="shared" ca="1" si="5"/>
        <v>0</v>
      </c>
      <c r="L47" s="288">
        <f t="shared" ca="1" si="6"/>
        <v>0</v>
      </c>
      <c r="M47" s="289">
        <f t="shared" ca="1" si="1"/>
        <v>0</v>
      </c>
      <c r="N47" s="286">
        <f>Table13[[#This Row],[Benefit Option]]</f>
        <v>0</v>
      </c>
      <c r="O47" s="284">
        <f>IF(OR(Table2[[#This Row],[Member Type]]="Spouse",Table2[[#This Row],[Member Type]]="Child"),0,
IF(_xlfn.XLOOKUP($N47,Lookups!$D$13:$D$27,Lookups!$F$13:$F$27,0)=Table2[[#This Row],[Table Lookup for Life Cover]],0,
_xlfn.XLOOKUP($N47,Lookups!$D$13:$D$27,Lookups!$F$13:$F$27,0)))</f>
        <v>0</v>
      </c>
      <c r="P47" s="284">
        <f>IF(Table2[[#This Row],[Table Lookup for Funeral]]=0,0,IFERROR(INDEX('Quotation Tool'!$S$54:$V$60,MATCH($T47,'Quotation Tool'!$S$54:$S$60,0),3),0))</f>
        <v>0</v>
      </c>
      <c r="Q47" s="288">
        <f ca="1">IF(OR(Table2[[#This Row],[Benefit Name]]="My Value Plus Life - Main Member",Table2[[#This Row],[Benefit Name]]="My Value Plus Life - Spouse"),0,
IFERROR(VLOOKUP($G47,INDIRECT($O47),$P47,FALSE),0))</f>
        <v>0</v>
      </c>
      <c r="R47" s="288">
        <f ca="1">IF(OR(Table2[[#This Row],[Benefit Name]]="My Value Plus Life - Main Member",Table2[[#This Row],[Benefit Name]]="My Value Plus Life - Spouse"),0,
IFERROR(VLOOKUP($G47,INDIRECT($O47),$P47+1,FALSE),0))</f>
        <v>0</v>
      </c>
      <c r="S47" s="289">
        <f t="shared" ca="1" si="2"/>
        <v>0</v>
      </c>
      <c r="T47" s="284" t="str">
        <f>IF(Table13[[#This Row],[Premium Waiver]]="","None",Table13[[#This Row],[Premium Waiver]])</f>
        <v>None</v>
      </c>
      <c r="U47" s="284">
        <f>Table13[[#This Row],[VAPs Options]]</f>
        <v>0</v>
      </c>
      <c r="V47" s="284">
        <f>Table13[[#This Row],[Annual Increase Option]]</f>
        <v>0</v>
      </c>
      <c r="W47" s="290">
        <f>Table13[[#This Row],[Life Cover Amount]]</f>
        <v>0</v>
      </c>
      <c r="X47" s="290">
        <f>Table13[[#This Row],[Funeral Cover Amount]]</f>
        <v>0</v>
      </c>
      <c r="Y4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7" s="301">
        <f t="shared" ca="1" si="3"/>
        <v>0</v>
      </c>
      <c r="AB47" s="298"/>
      <c r="AC47" s="326" t="str">
        <f>IF(Table2[[#This Row],[Member Type]]="Main Member",Lookups!$C$13,
IF(Table2[[#This Row],[Member Type]]="Spouse",_xlfn.XLOOKUP(B47,Table2[Main Member Link ID],Table2[Product Option],0),
IF(AND(Table2[[#This Row],[Member Type]]="Child",_xlfn.XLOOKUP(B47,Table2[Main Member Link ID],Table2[Product Option],0)&lt;&gt;"My Value Plus Life"),Lookups!$C$24,
IF(AND(OR(Table2[[#This Row],[Member Type]]="Parent",Table2[[#This Row],[Member Type]]="Extended"),_xlfn.XLOOKUP(B47,Table2[Main Member Link ID],Table2[Product Option],0)&lt;&gt;"My Value Plus Life"),Lookups!$C$26,""))))</f>
        <v/>
      </c>
      <c r="AD47" s="326" t="str">
        <f>IF(Table2[[#This Row],[Member Type]]="Main Member",Lookups!$C$14,"")</f>
        <v/>
      </c>
      <c r="AE4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Funeral",_xlfn.XLOOKUP(B47,Table2[Main Member Link ID],Table2[Benefit Name],0)=Lookups!$D$14),"",
IF(AND(Table2[[#This Row],[Member Type]]="Spouse",Table2[[#This Row],[Product Option]]="My Value Plus Life &amp; Funeral",_xlfn.XLOOKUP(B46,Table2[Main Member Link ID],Table2[Benefit Name],0)=Lookups!$D$15),Lookups!$D$20,
IF(AND(Table2[[#This Row],[Member Type]]="Spouse",Table2[[#This Row],[Product Option]]="My Value Plus Life &amp; Funeral",_xlfn.XLOOKUP(B46,Table2[Main Member Link ID],Table2[Benefit Name],0)=Lookups!$D$16),"",
IF(AND(Table2[[#This Row],[Member Type]]="Spouse",Table2[[#This Row],[Product Option]]="My Value Plus Life &amp; Funeral",_xlfn.XLOOKUP(B46,Table2[Main Member Link ID],Table2[Benefit Name],0)=Lookups!$D$17),Lookups!$D$21,
IF(AND(Table2[[#This Row],[Member Type]]="Child",Table2[[#This Row],[Product Option]]="My Value Plus Life &amp; Funeral",_xlfn.XLOOKUP(B47,Table2[Main Member Link ID],Table2[Benefit Name],0)=Lookups!$D$14),"",
IF(AND(Table2[[#This Row],[Member Type]]="Child",Table2[[#This Row],[Product Option]]="My Value Plus Life &amp; Funeral",_xlfn.XLOOKUP(B47,Table2[Main Member Link ID],Table2[Benefit Name],0)=Lookups!$D$15),"",
IF(AND(Table2[[#This Row],[Member Type]]="Child",Table2[[#This Row],[Product Option]]="My Value Plus Life &amp; Funeral",_xlfn.XLOOKUP(B47,Table2[Main Member Link ID],Table2[Benefit Name],0)=Lookups!$D$16),Lookups!$D$24,
IF(AND(Table2[[#This Row],[Member Type]]="Child",Table2[[#This Row],[Product Option]]="My Value Plus Life &amp; Funeral",_xlfn.XLOOKUP(B47,Table2[Main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Funeral",_xlfn.XLOOKUP(B47,Table2[Main Member Link ID],Table2[Benefit Name],0)&lt;&gt;Lookups!$D$14),
IF(_xlfn.XLOOKUP(B47,Table2[Main Member Link ID],Table2[Benefit Name],0)=0,"",_xlfn.XLOOKUP(B47,Table2[Main Member Link ID],Table2[Benefit Name],0)),"")))))))))))))))</f>
        <v/>
      </c>
      <c r="AF47" s="327" t="str">
        <f>IF(AND(Table2[[#This Row],[Member Type]]="Main Member",Table2[[#This Row],[Product Option]]="My Value Plus Life &amp; Funeral"),Lookups!$D$15,
IF(AND(Table2[[#This Row],[Member Type]]="Spouse",Table2[[#This Row],[Product Option]]="My Value Plus Life &amp; Funeral",_xlfn.XLOOKUP(B47,Table2[Main Member Link ID],Table2[Benefit Name],0)=Lookups!$D$14),"",
IF(AND(Table2[[#This Row],[Member Type]]="Spouse",Table2[[#This Row],[Product Option]]="My Value Plus Life &amp; Funeral",_xlfn.XLOOKUP(B46,Table2[Main Member Link ID],Table2[Benefit Name],0)=Lookups!$D$16),"",
IF(AND(Table2[[#This Row],[Member Type]]="Spouse",Table2[[#This Row],[Product Option]]="My Value Plus Life &amp; Funeral",_xlfn.XLOOKUP(B46,Table2[Main Member Link ID],Table2[Benefit Name],0)=Lookups!$D$15),"",
IF(AND(Table2[[#This Row],[Member Type]]="Spouse",Table2[[#This Row],[Product Option]]="My Value Plus Life &amp; Funeral",_xlfn.XLOOKUP(B46,Table2[Main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Funeral",_xlfn.XLOOKUP(B47,Table2[Main Member Link ID],Table2[Benefit Name],0)&lt;&gt;Lookups!$D$15),
IF(_xlfn.XLOOKUP(B47,Table2[Main Member Link ID],Table2[Benefit Name],0)=0,"",_xlfn.XLOOKUP(B47,Table2[Main Member Link ID],Table2[Benefit Name],0)),"")
))))))</f>
        <v/>
      </c>
      <c r="AG47" s="327" t="str">
        <f>IF(AND(Table2[[#This Row],[Member Type]]="Main Member",Table2[[#This Row],[Product Option]]="My Value Plus Life &amp; Funeral"),Lookups!$D$16,
IF(AND(Table2[[#This Row],[Member Type]]="Spouse",Table2[[#This Row],[Product Option]]="My Value Plus Life &amp; Funeral",_xlfn.XLOOKUP(B47,Table2[Main Member Link ID],Table2[Benefit Name],0)=Lookups!$D$14),"",
IF(AND(Table2[[#This Row],[Member Type]]="Spouse",Table2[[#This Row],[Product Option]]="My Value Plus Life &amp; Funeral",_xlfn.XLOOKUP(B46,Table2[Main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Funeral",_xlfn.XLOOKUP(B47,Table2[Main Member Link ID],Table2[Benefit Name],0)&lt;&gt;Lookups!$D$16),
IF(_xlfn.XLOOKUP(B47,Table2[Main Member Link ID],Table2[Benefit Name],0)=0,"",_xlfn.XLOOKUP(B47,Table2[Main Member Link ID],Table2[Benefit Name],0)),"")
))))</f>
        <v/>
      </c>
      <c r="AH47" s="327" t="str">
        <f>IF(AND(Table2[[#This Row],[Member Type]]="Main Member",Table2[[#This Row],[Product Option]]="My Value Plus Life &amp; Funeral"),Lookups!$D$17,
IF(AND(Table2[[#This Row],[Member Type]]="Spouse",Table2[[#This Row],[Product Option]]="My Value Plus Life &amp; Funeral",_xlfn.XLOOKUP(B47,Table2[Main Member Link ID],Table2[Benefit Name],0)=Lookups!$D$14),"",
IF(AND(Table2[[#This Row],[Member Type]]="Spouse",Table2[[#This Row],[Product Option]]="My Value Plus Life &amp; Funeral",_xlfn.XLOOKUP(B46,Table2[Main Member Link ID],Table2[Benefit Name],0)=Lookups!$D$16),"",
IF(AND(Table2[[#This Row],[Member Type]]="Child",Table2[[#This Row],[Product Option]]="My Value Plus Life &amp; Funeral"),"",
IF(AND(Table2[[#This Row],[Member Type]]="Child",Table2[[#This Row],[Product Option]]="My Value Plus Life &amp; Funeral",_xlfn.XLOOKUP(B47,Table2[Main Member Link ID],Table2[Benefit Name],0)=Lookups!$D$15),"",
IF(AND(OR(Table2[[#This Row],[Member Type]]="Spouse",Table2[[#This Row],[Member Type]]="Child"),Table2[[#This Row],[Product Option]]="My Value Plus Life &amp; Funeral",_xlfn.XLOOKUP(B47,Table2[Main Member Link ID],Table2[Benefit Name],0)&lt;&gt;Lookups!$D$17),
IF(_xlfn.XLOOKUP(B47,Table2[Main Member Link ID],Table2[Benefit Name],0)=0,"",_xlfn.XLOOKUP(B47,Table2[Main Member Link ID],Table2[Benefit Name],0)),""))))))</f>
        <v/>
      </c>
      <c r="AI47" s="328" t="str">
        <f>IF(AND(Table2[[#This Row],[Member Type]]="Main Member",Table2[[#This Row],[Table Lookup for Life Cover]]="MM_LIFE",Table2[[#This Row],[Age Next Birthday]]&lt;56),1,
IF(AND(Table2[[#This Row],[Member Type]]="Main Member",Table2[[#This Row],[Table Lookup for Life Cover]]="MM_LIFE",Table2[[#This Row],[Age Next Birthday]]&gt;=56),2,
""))</f>
        <v/>
      </c>
      <c r="AJ47" s="328">
        <f>IF(OR(Table2[[#This Row],[Member Type]]="Main Member",Table2[[#This Row],[Main Member Link ID]]=B46),1,0)</f>
        <v>1</v>
      </c>
      <c r="AK47" s="328">
        <f>IF(Table2[[#This Row],[Member Type]]=0,0,
IF(OR(Table2[[#This Row],[Member Type]]="Main Member",Table2[[#This Row],[Main Member Link ID]]&lt;&gt;B47),COUNTIFS(B:B,Table2[[#This Row],[Main Member Link ID]]),
COUNTIFS(B:B,Table2[[#This Row],[Main Member Link ID]],A:A,Table2[[#This Row],[Member Type]])))</f>
        <v>0</v>
      </c>
    </row>
    <row r="48" spans="1:37" x14ac:dyDescent="0.3">
      <c r="A48" s="284">
        <f>Table13[[#This Row],[Member Type]]</f>
        <v>0</v>
      </c>
      <c r="B48" s="284">
        <f>Table13[[#This Row],[Main Member Link ID]]</f>
        <v>0</v>
      </c>
      <c r="C48" s="284">
        <f>Table13[[#This Row],[ID Number]]</f>
        <v>0</v>
      </c>
      <c r="D48" s="285">
        <f>Table13[[#This Row],[Date Of Birth]]</f>
        <v>0</v>
      </c>
      <c r="E48" s="285">
        <f>Table13[[#This Row],[Commencement Date]]</f>
        <v>0</v>
      </c>
      <c r="F48" s="284">
        <f t="shared" si="0"/>
        <v>1</v>
      </c>
      <c r="G48" s="284">
        <f t="shared" si="4"/>
        <v>25</v>
      </c>
      <c r="H48" s="286">
        <f>Table13[[#This Row],[Product Option]]</f>
        <v>0</v>
      </c>
      <c r="I48" s="284">
        <f>IF(AND($A48="Main Member",Table2[[#This Row],[Product Option]]="My Value Plus Life"),"MM_LIFE",
IF(AND($A48="Spouse",Table2[[#This Row],[Product Option]]="My Value Plus Life"),"SP_LIFE",
IF(AND($A48="Main Member",Table2[[#This Row],[Product Option]]="My Value Plus Life &amp; Funeral"),"MM_LIFE",
IF(AND($A48="Spouse",Table2[[#This Row],[Product Option]]="My Value Plus Life &amp; Funeral"),_xlfn.XLOOKUP(Table2[[#This Row],[Benefit Name]],Lookups!$D$18:$D$23,Lookups!$E$18:$E$23,0),
0))))</f>
        <v>0</v>
      </c>
      <c r="J48" s="284">
        <f>IF($I48="","",
IF($I48="MM_LIFE",INDEX('Quotation Tool'!$S$54:$V$60,MATCH($T48,'Quotation Tool'!$S$54:$S$60,0),4),
IF($I48="SP_LIFE",_xlfn.XLOOKUP(B47,$B:$B,$J:$J,0),0)))</f>
        <v>0</v>
      </c>
      <c r="K48" s="287">
        <f t="shared" ca="1" si="5"/>
        <v>0</v>
      </c>
      <c r="L48" s="288">
        <f t="shared" ca="1" si="6"/>
        <v>0</v>
      </c>
      <c r="M48" s="289">
        <f t="shared" ca="1" si="1"/>
        <v>0</v>
      </c>
      <c r="N48" s="286">
        <f>Table13[[#This Row],[Benefit Option]]</f>
        <v>0</v>
      </c>
      <c r="O48" s="284">
        <f>IF(OR(Table2[[#This Row],[Member Type]]="Spouse",Table2[[#This Row],[Member Type]]="Child"),0,
IF(_xlfn.XLOOKUP($N48,Lookups!$D$13:$D$27,Lookups!$F$13:$F$27,0)=Table2[[#This Row],[Table Lookup for Life Cover]],0,
_xlfn.XLOOKUP($N48,Lookups!$D$13:$D$27,Lookups!$F$13:$F$27,0)))</f>
        <v>0</v>
      </c>
      <c r="P48" s="284">
        <f>IF(Table2[[#This Row],[Table Lookup for Funeral]]=0,0,IFERROR(INDEX('Quotation Tool'!$S$54:$V$60,MATCH($T48,'Quotation Tool'!$S$54:$S$60,0),3),0))</f>
        <v>0</v>
      </c>
      <c r="Q48" s="288">
        <f ca="1">IF(OR(Table2[[#This Row],[Benefit Name]]="My Value Plus Life - Main Member",Table2[[#This Row],[Benefit Name]]="My Value Plus Life - Spouse"),0,
IFERROR(VLOOKUP($G48,INDIRECT($O48),$P48,FALSE),0))</f>
        <v>0</v>
      </c>
      <c r="R48" s="288">
        <f ca="1">IF(OR(Table2[[#This Row],[Benefit Name]]="My Value Plus Life - Main Member",Table2[[#This Row],[Benefit Name]]="My Value Plus Life - Spouse"),0,
IFERROR(VLOOKUP($G48,INDIRECT($O48),$P48+1,FALSE),0))</f>
        <v>0</v>
      </c>
      <c r="S48" s="289">
        <f t="shared" ca="1" si="2"/>
        <v>0</v>
      </c>
      <c r="T48" s="284" t="str">
        <f>IF(Table13[[#This Row],[Premium Waiver]]="","None",Table13[[#This Row],[Premium Waiver]])</f>
        <v>None</v>
      </c>
      <c r="U48" s="284">
        <f>Table13[[#This Row],[VAPs Options]]</f>
        <v>0</v>
      </c>
      <c r="V48" s="284">
        <f>Table13[[#This Row],[Annual Increase Option]]</f>
        <v>0</v>
      </c>
      <c r="W48" s="290">
        <f>Table13[[#This Row],[Life Cover Amount]]</f>
        <v>0</v>
      </c>
      <c r="X48" s="290">
        <f>Table13[[#This Row],[Funeral Cover Amount]]</f>
        <v>0</v>
      </c>
      <c r="Y4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8" s="301">
        <f t="shared" ca="1" si="3"/>
        <v>0</v>
      </c>
      <c r="AB48" s="298"/>
      <c r="AC48" s="326" t="str">
        <f>IF(Table2[[#This Row],[Member Type]]="Main Member",Lookups!$C$13,
IF(Table2[[#This Row],[Member Type]]="Spouse",_xlfn.XLOOKUP(B48,Table2[Main Member Link ID],Table2[Product Option],0),
IF(AND(Table2[[#This Row],[Member Type]]="Child",_xlfn.XLOOKUP(B48,Table2[Main Member Link ID],Table2[Product Option],0)&lt;&gt;"My Value Plus Life"),Lookups!$C$24,
IF(AND(OR(Table2[[#This Row],[Member Type]]="Parent",Table2[[#This Row],[Member Type]]="Extended"),_xlfn.XLOOKUP(B48,Table2[Main Member Link ID],Table2[Product Option],0)&lt;&gt;"My Value Plus Life"),Lookups!$C$26,""))))</f>
        <v/>
      </c>
      <c r="AD48" s="326" t="str">
        <f>IF(Table2[[#This Row],[Member Type]]="Main Member",Lookups!$C$14,"")</f>
        <v/>
      </c>
      <c r="AE4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Funeral",_xlfn.XLOOKUP(B48,Table2[Main Member Link ID],Table2[Benefit Name],0)=Lookups!$D$14),"",
IF(AND(Table2[[#This Row],[Member Type]]="Spouse",Table2[[#This Row],[Product Option]]="My Value Plus Life &amp; Funeral",_xlfn.XLOOKUP(B47,Table2[Main Member Link ID],Table2[Benefit Name],0)=Lookups!$D$15),Lookups!$D$20,
IF(AND(Table2[[#This Row],[Member Type]]="Spouse",Table2[[#This Row],[Product Option]]="My Value Plus Life &amp; Funeral",_xlfn.XLOOKUP(B47,Table2[Main Member Link ID],Table2[Benefit Name],0)=Lookups!$D$16),"",
IF(AND(Table2[[#This Row],[Member Type]]="Spouse",Table2[[#This Row],[Product Option]]="My Value Plus Life &amp; Funeral",_xlfn.XLOOKUP(B47,Table2[Main Member Link ID],Table2[Benefit Name],0)=Lookups!$D$17),Lookups!$D$21,
IF(AND(Table2[[#This Row],[Member Type]]="Child",Table2[[#This Row],[Product Option]]="My Value Plus Life &amp; Funeral",_xlfn.XLOOKUP(B48,Table2[Main Member Link ID],Table2[Benefit Name],0)=Lookups!$D$14),"",
IF(AND(Table2[[#This Row],[Member Type]]="Child",Table2[[#This Row],[Product Option]]="My Value Plus Life &amp; Funeral",_xlfn.XLOOKUP(B48,Table2[Main Member Link ID],Table2[Benefit Name],0)=Lookups!$D$15),"",
IF(AND(Table2[[#This Row],[Member Type]]="Child",Table2[[#This Row],[Product Option]]="My Value Plus Life &amp; Funeral",_xlfn.XLOOKUP(B48,Table2[Main Member Link ID],Table2[Benefit Name],0)=Lookups!$D$16),Lookups!$D$24,
IF(AND(Table2[[#This Row],[Member Type]]="Child",Table2[[#This Row],[Product Option]]="My Value Plus Life &amp; Funeral",_xlfn.XLOOKUP(B48,Table2[Main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Funeral",_xlfn.XLOOKUP(B48,Table2[Main Member Link ID],Table2[Benefit Name],0)&lt;&gt;Lookups!$D$14),
IF(_xlfn.XLOOKUP(B48,Table2[Main Member Link ID],Table2[Benefit Name],0)=0,"",_xlfn.XLOOKUP(B48,Table2[Main Member Link ID],Table2[Benefit Name],0)),"")))))))))))))))</f>
        <v/>
      </c>
      <c r="AF48" s="327" t="str">
        <f>IF(AND(Table2[[#This Row],[Member Type]]="Main Member",Table2[[#This Row],[Product Option]]="My Value Plus Life &amp; Funeral"),Lookups!$D$15,
IF(AND(Table2[[#This Row],[Member Type]]="Spouse",Table2[[#This Row],[Product Option]]="My Value Plus Life &amp; Funeral",_xlfn.XLOOKUP(B48,Table2[Main Member Link ID],Table2[Benefit Name],0)=Lookups!$D$14),"",
IF(AND(Table2[[#This Row],[Member Type]]="Spouse",Table2[[#This Row],[Product Option]]="My Value Plus Life &amp; Funeral",_xlfn.XLOOKUP(B47,Table2[Main Member Link ID],Table2[Benefit Name],0)=Lookups!$D$16),"",
IF(AND(Table2[[#This Row],[Member Type]]="Spouse",Table2[[#This Row],[Product Option]]="My Value Plus Life &amp; Funeral",_xlfn.XLOOKUP(B47,Table2[Main Member Link ID],Table2[Benefit Name],0)=Lookups!$D$15),"",
IF(AND(Table2[[#This Row],[Member Type]]="Spouse",Table2[[#This Row],[Product Option]]="My Value Plus Life &amp; Funeral",_xlfn.XLOOKUP(B47,Table2[Main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Funeral",_xlfn.XLOOKUP(B48,Table2[Main Member Link ID],Table2[Benefit Name],0)&lt;&gt;Lookups!$D$15),
IF(_xlfn.XLOOKUP(B48,Table2[Main Member Link ID],Table2[Benefit Name],0)=0,"",_xlfn.XLOOKUP(B48,Table2[Main Member Link ID],Table2[Benefit Name],0)),"")
))))))</f>
        <v/>
      </c>
      <c r="AG48" s="327" t="str">
        <f>IF(AND(Table2[[#This Row],[Member Type]]="Main Member",Table2[[#This Row],[Product Option]]="My Value Plus Life &amp; Funeral"),Lookups!$D$16,
IF(AND(Table2[[#This Row],[Member Type]]="Spouse",Table2[[#This Row],[Product Option]]="My Value Plus Life &amp; Funeral",_xlfn.XLOOKUP(B48,Table2[Main Member Link ID],Table2[Benefit Name],0)=Lookups!$D$14),"",
IF(AND(Table2[[#This Row],[Member Type]]="Spouse",Table2[[#This Row],[Product Option]]="My Value Plus Life &amp; Funeral",_xlfn.XLOOKUP(B47,Table2[Main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Funeral",_xlfn.XLOOKUP(B48,Table2[Main Member Link ID],Table2[Benefit Name],0)&lt;&gt;Lookups!$D$16),
IF(_xlfn.XLOOKUP(B48,Table2[Main Member Link ID],Table2[Benefit Name],0)=0,"",_xlfn.XLOOKUP(B48,Table2[Main Member Link ID],Table2[Benefit Name],0)),"")
))))</f>
        <v/>
      </c>
      <c r="AH48" s="327" t="str">
        <f>IF(AND(Table2[[#This Row],[Member Type]]="Main Member",Table2[[#This Row],[Product Option]]="My Value Plus Life &amp; Funeral"),Lookups!$D$17,
IF(AND(Table2[[#This Row],[Member Type]]="Spouse",Table2[[#This Row],[Product Option]]="My Value Plus Life &amp; Funeral",_xlfn.XLOOKUP(B48,Table2[Main Member Link ID],Table2[Benefit Name],0)=Lookups!$D$14),"",
IF(AND(Table2[[#This Row],[Member Type]]="Spouse",Table2[[#This Row],[Product Option]]="My Value Plus Life &amp; Funeral",_xlfn.XLOOKUP(B47,Table2[Main Member Link ID],Table2[Benefit Name],0)=Lookups!$D$16),"",
IF(AND(Table2[[#This Row],[Member Type]]="Child",Table2[[#This Row],[Product Option]]="My Value Plus Life &amp; Funeral"),"",
IF(AND(Table2[[#This Row],[Member Type]]="Child",Table2[[#This Row],[Product Option]]="My Value Plus Life &amp; Funeral",_xlfn.XLOOKUP(B48,Table2[Main Member Link ID],Table2[Benefit Name],0)=Lookups!$D$15),"",
IF(AND(OR(Table2[[#This Row],[Member Type]]="Spouse",Table2[[#This Row],[Member Type]]="Child"),Table2[[#This Row],[Product Option]]="My Value Plus Life &amp; Funeral",_xlfn.XLOOKUP(B48,Table2[Main Member Link ID],Table2[Benefit Name],0)&lt;&gt;Lookups!$D$17),
IF(_xlfn.XLOOKUP(B48,Table2[Main Member Link ID],Table2[Benefit Name],0)=0,"",_xlfn.XLOOKUP(B48,Table2[Main Member Link ID],Table2[Benefit Name],0)),""))))))</f>
        <v/>
      </c>
      <c r="AI48" s="328" t="str">
        <f>IF(AND(Table2[[#This Row],[Member Type]]="Main Member",Table2[[#This Row],[Table Lookup for Life Cover]]="MM_LIFE",Table2[[#This Row],[Age Next Birthday]]&lt;56),1,
IF(AND(Table2[[#This Row],[Member Type]]="Main Member",Table2[[#This Row],[Table Lookup for Life Cover]]="MM_LIFE",Table2[[#This Row],[Age Next Birthday]]&gt;=56),2,
""))</f>
        <v/>
      </c>
      <c r="AJ48" s="328">
        <f>IF(OR(Table2[[#This Row],[Member Type]]="Main Member",Table2[[#This Row],[Main Member Link ID]]=B47),1,0)</f>
        <v>1</v>
      </c>
      <c r="AK48" s="328">
        <f>IF(Table2[[#This Row],[Member Type]]=0,0,
IF(OR(Table2[[#This Row],[Member Type]]="Main Member",Table2[[#This Row],[Main Member Link ID]]&lt;&gt;B48),COUNTIFS(B:B,Table2[[#This Row],[Main Member Link ID]]),
COUNTIFS(B:B,Table2[[#This Row],[Main Member Link ID]],A:A,Table2[[#This Row],[Member Type]])))</f>
        <v>0</v>
      </c>
    </row>
    <row r="49" spans="1:37" x14ac:dyDescent="0.3">
      <c r="A49" s="284">
        <f>Table13[[#This Row],[Member Type]]</f>
        <v>0</v>
      </c>
      <c r="B49" s="284">
        <f>Table13[[#This Row],[Main Member Link ID]]</f>
        <v>0</v>
      </c>
      <c r="C49" s="284">
        <f>Table13[[#This Row],[ID Number]]</f>
        <v>0</v>
      </c>
      <c r="D49" s="285">
        <f>Table13[[#This Row],[Date Of Birth]]</f>
        <v>0</v>
      </c>
      <c r="E49" s="285">
        <f>Table13[[#This Row],[Commencement Date]]</f>
        <v>0</v>
      </c>
      <c r="F49" s="284">
        <f t="shared" si="0"/>
        <v>1</v>
      </c>
      <c r="G49" s="284">
        <f t="shared" si="4"/>
        <v>25</v>
      </c>
      <c r="H49" s="286">
        <f>Table13[[#This Row],[Product Option]]</f>
        <v>0</v>
      </c>
      <c r="I49" s="284">
        <f>IF(AND($A49="Main Member",Table2[[#This Row],[Product Option]]="My Value Plus Life"),"MM_LIFE",
IF(AND($A49="Spouse",Table2[[#This Row],[Product Option]]="My Value Plus Life"),"SP_LIFE",
IF(AND($A49="Main Member",Table2[[#This Row],[Product Option]]="My Value Plus Life &amp; Funeral"),"MM_LIFE",
IF(AND($A49="Spouse",Table2[[#This Row],[Product Option]]="My Value Plus Life &amp; Funeral"),_xlfn.XLOOKUP(Table2[[#This Row],[Benefit Name]],Lookups!$D$18:$D$23,Lookups!$E$18:$E$23,0),
0))))</f>
        <v>0</v>
      </c>
      <c r="J49" s="284">
        <f>IF($I49="","",
IF($I49="MM_LIFE",INDEX('Quotation Tool'!$S$54:$V$60,MATCH($T49,'Quotation Tool'!$S$54:$S$60,0),4),
IF($I49="SP_LIFE",_xlfn.XLOOKUP(B48,$B:$B,$J:$J,0),0)))</f>
        <v>0</v>
      </c>
      <c r="K49" s="287">
        <f t="shared" ca="1" si="5"/>
        <v>0</v>
      </c>
      <c r="L49" s="288">
        <f t="shared" ca="1" si="6"/>
        <v>0</v>
      </c>
      <c r="M49" s="289">
        <f t="shared" ca="1" si="1"/>
        <v>0</v>
      </c>
      <c r="N49" s="286">
        <f>Table13[[#This Row],[Benefit Option]]</f>
        <v>0</v>
      </c>
      <c r="O49" s="284">
        <f>IF(OR(Table2[[#This Row],[Member Type]]="Spouse",Table2[[#This Row],[Member Type]]="Child"),0,
IF(_xlfn.XLOOKUP($N49,Lookups!$D$13:$D$27,Lookups!$F$13:$F$27,0)=Table2[[#This Row],[Table Lookup for Life Cover]],0,
_xlfn.XLOOKUP($N49,Lookups!$D$13:$D$27,Lookups!$F$13:$F$27,0)))</f>
        <v>0</v>
      </c>
      <c r="P49" s="284">
        <f>IF(Table2[[#This Row],[Table Lookup for Funeral]]=0,0,IFERROR(INDEX('Quotation Tool'!$S$54:$V$60,MATCH($T49,'Quotation Tool'!$S$54:$S$60,0),3),0))</f>
        <v>0</v>
      </c>
      <c r="Q49" s="288">
        <f ca="1">IF(OR(Table2[[#This Row],[Benefit Name]]="My Value Plus Life - Main Member",Table2[[#This Row],[Benefit Name]]="My Value Plus Life - Spouse"),0,
IFERROR(VLOOKUP($G49,INDIRECT($O49),$P49,FALSE),0))</f>
        <v>0</v>
      </c>
      <c r="R49" s="288">
        <f ca="1">IF(OR(Table2[[#This Row],[Benefit Name]]="My Value Plus Life - Main Member",Table2[[#This Row],[Benefit Name]]="My Value Plus Life - Spouse"),0,
IFERROR(VLOOKUP($G49,INDIRECT($O49),$P49+1,FALSE),0))</f>
        <v>0</v>
      </c>
      <c r="S49" s="289">
        <f t="shared" ca="1" si="2"/>
        <v>0</v>
      </c>
      <c r="T49" s="284" t="str">
        <f>IF(Table13[[#This Row],[Premium Waiver]]="","None",Table13[[#This Row],[Premium Waiver]])</f>
        <v>None</v>
      </c>
      <c r="U49" s="284">
        <f>Table13[[#This Row],[VAPs Options]]</f>
        <v>0</v>
      </c>
      <c r="V49" s="284">
        <f>Table13[[#This Row],[Annual Increase Option]]</f>
        <v>0</v>
      </c>
      <c r="W49" s="290">
        <f>Table13[[#This Row],[Life Cover Amount]]</f>
        <v>0</v>
      </c>
      <c r="X49" s="290">
        <f>Table13[[#This Row],[Funeral Cover Amount]]</f>
        <v>0</v>
      </c>
      <c r="Y4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9" s="301">
        <f t="shared" ca="1" si="3"/>
        <v>0</v>
      </c>
      <c r="AB49" s="298"/>
      <c r="AC49" s="326" t="str">
        <f>IF(Table2[[#This Row],[Member Type]]="Main Member",Lookups!$C$13,
IF(Table2[[#This Row],[Member Type]]="Spouse",_xlfn.XLOOKUP(B49,Table2[Main Member Link ID],Table2[Product Option],0),
IF(AND(Table2[[#This Row],[Member Type]]="Child",_xlfn.XLOOKUP(B49,Table2[Main Member Link ID],Table2[Product Option],0)&lt;&gt;"My Value Plus Life"),Lookups!$C$24,
IF(AND(OR(Table2[[#This Row],[Member Type]]="Parent",Table2[[#This Row],[Member Type]]="Extended"),_xlfn.XLOOKUP(B49,Table2[Main Member Link ID],Table2[Product Option],0)&lt;&gt;"My Value Plus Life"),Lookups!$C$26,""))))</f>
        <v/>
      </c>
      <c r="AD49" s="326" t="str">
        <f>IF(Table2[[#This Row],[Member Type]]="Main Member",Lookups!$C$14,"")</f>
        <v/>
      </c>
      <c r="AE4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Funeral",_xlfn.XLOOKUP(B49,Table2[Main Member Link ID],Table2[Benefit Name],0)=Lookups!$D$14),"",
IF(AND(Table2[[#This Row],[Member Type]]="Spouse",Table2[[#This Row],[Product Option]]="My Value Plus Life &amp; Funeral",_xlfn.XLOOKUP(B48,Table2[Main Member Link ID],Table2[Benefit Name],0)=Lookups!$D$15),Lookups!$D$20,
IF(AND(Table2[[#This Row],[Member Type]]="Spouse",Table2[[#This Row],[Product Option]]="My Value Plus Life &amp; Funeral",_xlfn.XLOOKUP(B48,Table2[Main Member Link ID],Table2[Benefit Name],0)=Lookups!$D$16),"",
IF(AND(Table2[[#This Row],[Member Type]]="Spouse",Table2[[#This Row],[Product Option]]="My Value Plus Life &amp; Funeral",_xlfn.XLOOKUP(B48,Table2[Main Member Link ID],Table2[Benefit Name],0)=Lookups!$D$17),Lookups!$D$21,
IF(AND(Table2[[#This Row],[Member Type]]="Child",Table2[[#This Row],[Product Option]]="My Value Plus Life &amp; Funeral",_xlfn.XLOOKUP(B49,Table2[Main Member Link ID],Table2[Benefit Name],0)=Lookups!$D$14),"",
IF(AND(Table2[[#This Row],[Member Type]]="Child",Table2[[#This Row],[Product Option]]="My Value Plus Life &amp; Funeral",_xlfn.XLOOKUP(B49,Table2[Main Member Link ID],Table2[Benefit Name],0)=Lookups!$D$15),"",
IF(AND(Table2[[#This Row],[Member Type]]="Child",Table2[[#This Row],[Product Option]]="My Value Plus Life &amp; Funeral",_xlfn.XLOOKUP(B49,Table2[Main Member Link ID],Table2[Benefit Name],0)=Lookups!$D$16),Lookups!$D$24,
IF(AND(Table2[[#This Row],[Member Type]]="Child",Table2[[#This Row],[Product Option]]="My Value Plus Life &amp; Funeral",_xlfn.XLOOKUP(B49,Table2[Main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Funeral",_xlfn.XLOOKUP(B49,Table2[Main Member Link ID],Table2[Benefit Name],0)&lt;&gt;Lookups!$D$14),
IF(_xlfn.XLOOKUP(B49,Table2[Main Member Link ID],Table2[Benefit Name],0)=0,"",_xlfn.XLOOKUP(B49,Table2[Main Member Link ID],Table2[Benefit Name],0)),"")))))))))))))))</f>
        <v/>
      </c>
      <c r="AF49" s="327" t="str">
        <f>IF(AND(Table2[[#This Row],[Member Type]]="Main Member",Table2[[#This Row],[Product Option]]="My Value Plus Life &amp; Funeral"),Lookups!$D$15,
IF(AND(Table2[[#This Row],[Member Type]]="Spouse",Table2[[#This Row],[Product Option]]="My Value Plus Life &amp; Funeral",_xlfn.XLOOKUP(B49,Table2[Main Member Link ID],Table2[Benefit Name],0)=Lookups!$D$14),"",
IF(AND(Table2[[#This Row],[Member Type]]="Spouse",Table2[[#This Row],[Product Option]]="My Value Plus Life &amp; Funeral",_xlfn.XLOOKUP(B48,Table2[Main Member Link ID],Table2[Benefit Name],0)=Lookups!$D$16),"",
IF(AND(Table2[[#This Row],[Member Type]]="Spouse",Table2[[#This Row],[Product Option]]="My Value Plus Life &amp; Funeral",_xlfn.XLOOKUP(B48,Table2[Main Member Link ID],Table2[Benefit Name],0)=Lookups!$D$15),"",
IF(AND(Table2[[#This Row],[Member Type]]="Spouse",Table2[[#This Row],[Product Option]]="My Value Plus Life &amp; Funeral",_xlfn.XLOOKUP(B48,Table2[Main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Funeral",_xlfn.XLOOKUP(B49,Table2[Main Member Link ID],Table2[Benefit Name],0)&lt;&gt;Lookups!$D$15),
IF(_xlfn.XLOOKUP(B49,Table2[Main Member Link ID],Table2[Benefit Name],0)=0,"",_xlfn.XLOOKUP(B49,Table2[Main Member Link ID],Table2[Benefit Name],0)),"")
))))))</f>
        <v/>
      </c>
      <c r="AG49" s="327" t="str">
        <f>IF(AND(Table2[[#This Row],[Member Type]]="Main Member",Table2[[#This Row],[Product Option]]="My Value Plus Life &amp; Funeral"),Lookups!$D$16,
IF(AND(Table2[[#This Row],[Member Type]]="Spouse",Table2[[#This Row],[Product Option]]="My Value Plus Life &amp; Funeral",_xlfn.XLOOKUP(B49,Table2[Main Member Link ID],Table2[Benefit Name],0)=Lookups!$D$14),"",
IF(AND(Table2[[#This Row],[Member Type]]="Spouse",Table2[[#This Row],[Product Option]]="My Value Plus Life &amp; Funeral",_xlfn.XLOOKUP(B48,Table2[Main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Funeral",_xlfn.XLOOKUP(B49,Table2[Main Member Link ID],Table2[Benefit Name],0)&lt;&gt;Lookups!$D$16),
IF(_xlfn.XLOOKUP(B49,Table2[Main Member Link ID],Table2[Benefit Name],0)=0,"",_xlfn.XLOOKUP(B49,Table2[Main Member Link ID],Table2[Benefit Name],0)),"")
))))</f>
        <v/>
      </c>
      <c r="AH49" s="327" t="str">
        <f>IF(AND(Table2[[#This Row],[Member Type]]="Main Member",Table2[[#This Row],[Product Option]]="My Value Plus Life &amp; Funeral"),Lookups!$D$17,
IF(AND(Table2[[#This Row],[Member Type]]="Spouse",Table2[[#This Row],[Product Option]]="My Value Plus Life &amp; Funeral",_xlfn.XLOOKUP(B49,Table2[Main Member Link ID],Table2[Benefit Name],0)=Lookups!$D$14),"",
IF(AND(Table2[[#This Row],[Member Type]]="Spouse",Table2[[#This Row],[Product Option]]="My Value Plus Life &amp; Funeral",_xlfn.XLOOKUP(B48,Table2[Main Member Link ID],Table2[Benefit Name],0)=Lookups!$D$16),"",
IF(AND(Table2[[#This Row],[Member Type]]="Child",Table2[[#This Row],[Product Option]]="My Value Plus Life &amp; Funeral"),"",
IF(AND(Table2[[#This Row],[Member Type]]="Child",Table2[[#This Row],[Product Option]]="My Value Plus Life &amp; Funeral",_xlfn.XLOOKUP(B49,Table2[Main Member Link ID],Table2[Benefit Name],0)=Lookups!$D$15),"",
IF(AND(OR(Table2[[#This Row],[Member Type]]="Spouse",Table2[[#This Row],[Member Type]]="Child"),Table2[[#This Row],[Product Option]]="My Value Plus Life &amp; Funeral",_xlfn.XLOOKUP(B49,Table2[Main Member Link ID],Table2[Benefit Name],0)&lt;&gt;Lookups!$D$17),
IF(_xlfn.XLOOKUP(B49,Table2[Main Member Link ID],Table2[Benefit Name],0)=0,"",_xlfn.XLOOKUP(B49,Table2[Main Member Link ID],Table2[Benefit Name],0)),""))))))</f>
        <v/>
      </c>
      <c r="AI49" s="328" t="str">
        <f>IF(AND(Table2[[#This Row],[Member Type]]="Main Member",Table2[[#This Row],[Table Lookup for Life Cover]]="MM_LIFE",Table2[[#This Row],[Age Next Birthday]]&lt;56),1,
IF(AND(Table2[[#This Row],[Member Type]]="Main Member",Table2[[#This Row],[Table Lookup for Life Cover]]="MM_LIFE",Table2[[#This Row],[Age Next Birthday]]&gt;=56),2,
""))</f>
        <v/>
      </c>
      <c r="AJ49" s="328">
        <f>IF(OR(Table2[[#This Row],[Member Type]]="Main Member",Table2[[#This Row],[Main Member Link ID]]=B48),1,0)</f>
        <v>1</v>
      </c>
      <c r="AK49" s="328">
        <f>IF(Table2[[#This Row],[Member Type]]=0,0,
IF(OR(Table2[[#This Row],[Member Type]]="Main Member",Table2[[#This Row],[Main Member Link ID]]&lt;&gt;B49),COUNTIFS(B:B,Table2[[#This Row],[Main Member Link ID]]),
COUNTIFS(B:B,Table2[[#This Row],[Main Member Link ID]],A:A,Table2[[#This Row],[Member Type]])))</f>
        <v>0</v>
      </c>
    </row>
    <row r="50" spans="1:37" x14ac:dyDescent="0.3">
      <c r="A50" s="284">
        <f>Table13[[#This Row],[Member Type]]</f>
        <v>0</v>
      </c>
      <c r="B50" s="284">
        <f>Table13[[#This Row],[Main Member Link ID]]</f>
        <v>0</v>
      </c>
      <c r="C50" s="284">
        <f>Table13[[#This Row],[ID Number]]</f>
        <v>0</v>
      </c>
      <c r="D50" s="285">
        <f>Table13[[#This Row],[Date Of Birth]]</f>
        <v>0</v>
      </c>
      <c r="E50" s="285">
        <f>Table13[[#This Row],[Commencement Date]]</f>
        <v>0</v>
      </c>
      <c r="F50" s="284">
        <f t="shared" si="0"/>
        <v>1</v>
      </c>
      <c r="G50" s="284">
        <f t="shared" si="4"/>
        <v>25</v>
      </c>
      <c r="H50" s="286">
        <f>Table13[[#This Row],[Product Option]]</f>
        <v>0</v>
      </c>
      <c r="I50" s="284">
        <f>IF(AND($A50="Main Member",Table2[[#This Row],[Product Option]]="My Value Plus Life"),"MM_LIFE",
IF(AND($A50="Spouse",Table2[[#This Row],[Product Option]]="My Value Plus Life"),"SP_LIFE",
IF(AND($A50="Main Member",Table2[[#This Row],[Product Option]]="My Value Plus Life &amp; Funeral"),"MM_LIFE",
IF(AND($A50="Spouse",Table2[[#This Row],[Product Option]]="My Value Plus Life &amp; Funeral"),_xlfn.XLOOKUP(Table2[[#This Row],[Benefit Name]],Lookups!$D$18:$D$23,Lookups!$E$18:$E$23,0),
0))))</f>
        <v>0</v>
      </c>
      <c r="J50" s="284">
        <f>IF($I50="","",
IF($I50="MM_LIFE",INDEX('Quotation Tool'!$S$54:$V$60,MATCH($T50,'Quotation Tool'!$S$54:$S$60,0),4),
IF($I50="SP_LIFE",_xlfn.XLOOKUP(B49,$B:$B,$J:$J,0),0)))</f>
        <v>0</v>
      </c>
      <c r="K50" s="287">
        <f t="shared" ca="1" si="5"/>
        <v>0</v>
      </c>
      <c r="L50" s="288">
        <f t="shared" ca="1" si="6"/>
        <v>0</v>
      </c>
      <c r="M50" s="289">
        <f t="shared" ca="1" si="1"/>
        <v>0</v>
      </c>
      <c r="N50" s="286">
        <f>Table13[[#This Row],[Benefit Option]]</f>
        <v>0</v>
      </c>
      <c r="O50" s="284">
        <f>IF(OR(Table2[[#This Row],[Member Type]]="Spouse",Table2[[#This Row],[Member Type]]="Child"),0,
IF(_xlfn.XLOOKUP($N50,Lookups!$D$13:$D$27,Lookups!$F$13:$F$27,0)=Table2[[#This Row],[Table Lookup for Life Cover]],0,
_xlfn.XLOOKUP($N50,Lookups!$D$13:$D$27,Lookups!$F$13:$F$27,0)))</f>
        <v>0</v>
      </c>
      <c r="P50" s="284">
        <f>IF(Table2[[#This Row],[Table Lookup for Funeral]]=0,0,IFERROR(INDEX('Quotation Tool'!$S$54:$V$60,MATCH($T50,'Quotation Tool'!$S$54:$S$60,0),3),0))</f>
        <v>0</v>
      </c>
      <c r="Q50" s="288">
        <f ca="1">IF(OR(Table2[[#This Row],[Benefit Name]]="My Value Plus Life - Main Member",Table2[[#This Row],[Benefit Name]]="My Value Plus Life - Spouse"),0,
IFERROR(VLOOKUP($G50,INDIRECT($O50),$P50,FALSE),0))</f>
        <v>0</v>
      </c>
      <c r="R50" s="288">
        <f ca="1">IF(OR(Table2[[#This Row],[Benefit Name]]="My Value Plus Life - Main Member",Table2[[#This Row],[Benefit Name]]="My Value Plus Life - Spouse"),0,
IFERROR(VLOOKUP($G50,INDIRECT($O50),$P50+1,FALSE),0))</f>
        <v>0</v>
      </c>
      <c r="S50" s="289">
        <f t="shared" ca="1" si="2"/>
        <v>0</v>
      </c>
      <c r="T50" s="284" t="str">
        <f>IF(Table13[[#This Row],[Premium Waiver]]="","None",Table13[[#This Row],[Premium Waiver]])</f>
        <v>None</v>
      </c>
      <c r="U50" s="284">
        <f>Table13[[#This Row],[VAPs Options]]</f>
        <v>0</v>
      </c>
      <c r="V50" s="284">
        <f>Table13[[#This Row],[Annual Increase Option]]</f>
        <v>0</v>
      </c>
      <c r="W50" s="290">
        <f>Table13[[#This Row],[Life Cover Amount]]</f>
        <v>0</v>
      </c>
      <c r="X50" s="290">
        <f>Table13[[#This Row],[Funeral Cover Amount]]</f>
        <v>0</v>
      </c>
      <c r="Y5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0" s="301">
        <f t="shared" ca="1" si="3"/>
        <v>0</v>
      </c>
      <c r="AB50" s="298"/>
      <c r="AC50" s="326" t="str">
        <f>IF(Table2[[#This Row],[Member Type]]="Main Member",Lookups!$C$13,
IF(Table2[[#This Row],[Member Type]]="Spouse",_xlfn.XLOOKUP(B50,Table2[Main Member Link ID],Table2[Product Option],0),
IF(AND(Table2[[#This Row],[Member Type]]="Child",_xlfn.XLOOKUP(B50,Table2[Main Member Link ID],Table2[Product Option],0)&lt;&gt;"My Value Plus Life"),Lookups!$C$24,
IF(AND(OR(Table2[[#This Row],[Member Type]]="Parent",Table2[[#This Row],[Member Type]]="Extended"),_xlfn.XLOOKUP(B50,Table2[Main Member Link ID],Table2[Product Option],0)&lt;&gt;"My Value Plus Life"),Lookups!$C$26,""))))</f>
        <v/>
      </c>
      <c r="AD50" s="326" t="str">
        <f>IF(Table2[[#This Row],[Member Type]]="Main Member",Lookups!$C$14,"")</f>
        <v/>
      </c>
      <c r="AE5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Funeral",_xlfn.XLOOKUP(B50,Table2[Main Member Link ID],Table2[Benefit Name],0)=Lookups!$D$14),"",
IF(AND(Table2[[#This Row],[Member Type]]="Spouse",Table2[[#This Row],[Product Option]]="My Value Plus Life &amp; Funeral",_xlfn.XLOOKUP(B49,Table2[Main Member Link ID],Table2[Benefit Name],0)=Lookups!$D$15),Lookups!$D$20,
IF(AND(Table2[[#This Row],[Member Type]]="Spouse",Table2[[#This Row],[Product Option]]="My Value Plus Life &amp; Funeral",_xlfn.XLOOKUP(B49,Table2[Main Member Link ID],Table2[Benefit Name],0)=Lookups!$D$16),"",
IF(AND(Table2[[#This Row],[Member Type]]="Spouse",Table2[[#This Row],[Product Option]]="My Value Plus Life &amp; Funeral",_xlfn.XLOOKUP(B49,Table2[Main Member Link ID],Table2[Benefit Name],0)=Lookups!$D$17),Lookups!$D$21,
IF(AND(Table2[[#This Row],[Member Type]]="Child",Table2[[#This Row],[Product Option]]="My Value Plus Life &amp; Funeral",_xlfn.XLOOKUP(B50,Table2[Main Member Link ID],Table2[Benefit Name],0)=Lookups!$D$14),"",
IF(AND(Table2[[#This Row],[Member Type]]="Child",Table2[[#This Row],[Product Option]]="My Value Plus Life &amp; Funeral",_xlfn.XLOOKUP(B50,Table2[Main Member Link ID],Table2[Benefit Name],0)=Lookups!$D$15),"",
IF(AND(Table2[[#This Row],[Member Type]]="Child",Table2[[#This Row],[Product Option]]="My Value Plus Life &amp; Funeral",_xlfn.XLOOKUP(B50,Table2[Main Member Link ID],Table2[Benefit Name],0)=Lookups!$D$16),Lookups!$D$24,
IF(AND(Table2[[#This Row],[Member Type]]="Child",Table2[[#This Row],[Product Option]]="My Value Plus Life &amp; Funeral",_xlfn.XLOOKUP(B50,Table2[Main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Funeral",_xlfn.XLOOKUP(B50,Table2[Main Member Link ID],Table2[Benefit Name],0)&lt;&gt;Lookups!$D$14),
IF(_xlfn.XLOOKUP(B50,Table2[Main Member Link ID],Table2[Benefit Name],0)=0,"",_xlfn.XLOOKUP(B50,Table2[Main Member Link ID],Table2[Benefit Name],0)),"")))))))))))))))</f>
        <v/>
      </c>
      <c r="AF50" s="327" t="str">
        <f>IF(AND(Table2[[#This Row],[Member Type]]="Main Member",Table2[[#This Row],[Product Option]]="My Value Plus Life &amp; Funeral"),Lookups!$D$15,
IF(AND(Table2[[#This Row],[Member Type]]="Spouse",Table2[[#This Row],[Product Option]]="My Value Plus Life &amp; Funeral",_xlfn.XLOOKUP(B50,Table2[Main Member Link ID],Table2[Benefit Name],0)=Lookups!$D$14),"",
IF(AND(Table2[[#This Row],[Member Type]]="Spouse",Table2[[#This Row],[Product Option]]="My Value Plus Life &amp; Funeral",_xlfn.XLOOKUP(B49,Table2[Main Member Link ID],Table2[Benefit Name],0)=Lookups!$D$16),"",
IF(AND(Table2[[#This Row],[Member Type]]="Spouse",Table2[[#This Row],[Product Option]]="My Value Plus Life &amp; Funeral",_xlfn.XLOOKUP(B49,Table2[Main Member Link ID],Table2[Benefit Name],0)=Lookups!$D$15),"",
IF(AND(Table2[[#This Row],[Member Type]]="Spouse",Table2[[#This Row],[Product Option]]="My Value Plus Life &amp; Funeral",_xlfn.XLOOKUP(B49,Table2[Main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Funeral",_xlfn.XLOOKUP(B50,Table2[Main Member Link ID],Table2[Benefit Name],0)&lt;&gt;Lookups!$D$15),
IF(_xlfn.XLOOKUP(B50,Table2[Main Member Link ID],Table2[Benefit Name],0)=0,"",_xlfn.XLOOKUP(B50,Table2[Main Member Link ID],Table2[Benefit Name],0)),"")
))))))</f>
        <v/>
      </c>
      <c r="AG50" s="327" t="str">
        <f>IF(AND(Table2[[#This Row],[Member Type]]="Main Member",Table2[[#This Row],[Product Option]]="My Value Plus Life &amp; Funeral"),Lookups!$D$16,
IF(AND(Table2[[#This Row],[Member Type]]="Spouse",Table2[[#This Row],[Product Option]]="My Value Plus Life &amp; Funeral",_xlfn.XLOOKUP(B50,Table2[Main Member Link ID],Table2[Benefit Name],0)=Lookups!$D$14),"",
IF(AND(Table2[[#This Row],[Member Type]]="Spouse",Table2[[#This Row],[Product Option]]="My Value Plus Life &amp; Funeral",_xlfn.XLOOKUP(B49,Table2[Main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Funeral",_xlfn.XLOOKUP(B50,Table2[Main Member Link ID],Table2[Benefit Name],0)&lt;&gt;Lookups!$D$16),
IF(_xlfn.XLOOKUP(B50,Table2[Main Member Link ID],Table2[Benefit Name],0)=0,"",_xlfn.XLOOKUP(B50,Table2[Main Member Link ID],Table2[Benefit Name],0)),"")
))))</f>
        <v/>
      </c>
      <c r="AH50" s="327" t="str">
        <f>IF(AND(Table2[[#This Row],[Member Type]]="Main Member",Table2[[#This Row],[Product Option]]="My Value Plus Life &amp; Funeral"),Lookups!$D$17,
IF(AND(Table2[[#This Row],[Member Type]]="Spouse",Table2[[#This Row],[Product Option]]="My Value Plus Life &amp; Funeral",_xlfn.XLOOKUP(B50,Table2[Main Member Link ID],Table2[Benefit Name],0)=Lookups!$D$14),"",
IF(AND(Table2[[#This Row],[Member Type]]="Spouse",Table2[[#This Row],[Product Option]]="My Value Plus Life &amp; Funeral",_xlfn.XLOOKUP(B49,Table2[Main Member Link ID],Table2[Benefit Name],0)=Lookups!$D$16),"",
IF(AND(Table2[[#This Row],[Member Type]]="Child",Table2[[#This Row],[Product Option]]="My Value Plus Life &amp; Funeral"),"",
IF(AND(Table2[[#This Row],[Member Type]]="Child",Table2[[#This Row],[Product Option]]="My Value Plus Life &amp; Funeral",_xlfn.XLOOKUP(B50,Table2[Main Member Link ID],Table2[Benefit Name],0)=Lookups!$D$15),"",
IF(AND(OR(Table2[[#This Row],[Member Type]]="Spouse",Table2[[#This Row],[Member Type]]="Child"),Table2[[#This Row],[Product Option]]="My Value Plus Life &amp; Funeral",_xlfn.XLOOKUP(B50,Table2[Main Member Link ID],Table2[Benefit Name],0)&lt;&gt;Lookups!$D$17),
IF(_xlfn.XLOOKUP(B50,Table2[Main Member Link ID],Table2[Benefit Name],0)=0,"",_xlfn.XLOOKUP(B50,Table2[Main Member Link ID],Table2[Benefit Name],0)),""))))))</f>
        <v/>
      </c>
      <c r="AI50" s="328" t="str">
        <f>IF(AND(Table2[[#This Row],[Member Type]]="Main Member",Table2[[#This Row],[Table Lookup for Life Cover]]="MM_LIFE",Table2[[#This Row],[Age Next Birthday]]&lt;56),1,
IF(AND(Table2[[#This Row],[Member Type]]="Main Member",Table2[[#This Row],[Table Lookup for Life Cover]]="MM_LIFE",Table2[[#This Row],[Age Next Birthday]]&gt;=56),2,
""))</f>
        <v/>
      </c>
      <c r="AJ50" s="328">
        <f>IF(OR(Table2[[#This Row],[Member Type]]="Main Member",Table2[[#This Row],[Main Member Link ID]]=B49),1,0)</f>
        <v>1</v>
      </c>
      <c r="AK50" s="328">
        <f>IF(Table2[[#This Row],[Member Type]]=0,0,
IF(OR(Table2[[#This Row],[Member Type]]="Main Member",Table2[[#This Row],[Main Member Link ID]]&lt;&gt;B50),COUNTIFS(B:B,Table2[[#This Row],[Main Member Link ID]]),
COUNTIFS(B:B,Table2[[#This Row],[Main Member Link ID]],A:A,Table2[[#This Row],[Member Type]])))</f>
        <v>0</v>
      </c>
    </row>
    <row r="51" spans="1:37" x14ac:dyDescent="0.3">
      <c r="A51" s="284">
        <f>Table13[[#This Row],[Member Type]]</f>
        <v>0</v>
      </c>
      <c r="B51" s="284">
        <f>Table13[[#This Row],[Main Member Link ID]]</f>
        <v>0</v>
      </c>
      <c r="C51" s="284">
        <f>Table13[[#This Row],[ID Number]]</f>
        <v>0</v>
      </c>
      <c r="D51" s="285">
        <f>Table13[[#This Row],[Date Of Birth]]</f>
        <v>0</v>
      </c>
      <c r="E51" s="285">
        <f>Table13[[#This Row],[Commencement Date]]</f>
        <v>0</v>
      </c>
      <c r="F51" s="284">
        <f t="shared" si="0"/>
        <v>1</v>
      </c>
      <c r="G51" s="284">
        <f t="shared" si="4"/>
        <v>25</v>
      </c>
      <c r="H51" s="286">
        <f>Table13[[#This Row],[Product Option]]</f>
        <v>0</v>
      </c>
      <c r="I51" s="284">
        <f>IF(AND($A51="Main Member",Table2[[#This Row],[Product Option]]="My Value Plus Life"),"MM_LIFE",
IF(AND($A51="Spouse",Table2[[#This Row],[Product Option]]="My Value Plus Life"),"SP_LIFE",
IF(AND($A51="Main Member",Table2[[#This Row],[Product Option]]="My Value Plus Life &amp; Funeral"),"MM_LIFE",
IF(AND($A51="Spouse",Table2[[#This Row],[Product Option]]="My Value Plus Life &amp; Funeral"),_xlfn.XLOOKUP(Table2[[#This Row],[Benefit Name]],Lookups!$D$18:$D$23,Lookups!$E$18:$E$23,0),
0))))</f>
        <v>0</v>
      </c>
      <c r="J51" s="284">
        <f>IF($I51="","",
IF($I51="MM_LIFE",INDEX('Quotation Tool'!$S$54:$V$60,MATCH($T51,'Quotation Tool'!$S$54:$S$60,0),4),
IF($I51="SP_LIFE",_xlfn.XLOOKUP(B50,$B:$B,$J:$J,0),0)))</f>
        <v>0</v>
      </c>
      <c r="K51" s="287">
        <f t="shared" ca="1" si="5"/>
        <v>0</v>
      </c>
      <c r="L51" s="288">
        <f t="shared" ca="1" si="6"/>
        <v>0</v>
      </c>
      <c r="M51" s="289">
        <f t="shared" ca="1" si="1"/>
        <v>0</v>
      </c>
      <c r="N51" s="286">
        <f>Table13[[#This Row],[Benefit Option]]</f>
        <v>0</v>
      </c>
      <c r="O51" s="284">
        <f>IF(OR(Table2[[#This Row],[Member Type]]="Spouse",Table2[[#This Row],[Member Type]]="Child"),0,
IF(_xlfn.XLOOKUP($N51,Lookups!$D$13:$D$27,Lookups!$F$13:$F$27,0)=Table2[[#This Row],[Table Lookup for Life Cover]],0,
_xlfn.XLOOKUP($N51,Lookups!$D$13:$D$27,Lookups!$F$13:$F$27,0)))</f>
        <v>0</v>
      </c>
      <c r="P51" s="284">
        <f>IF(Table2[[#This Row],[Table Lookup for Funeral]]=0,0,IFERROR(INDEX('Quotation Tool'!$S$54:$V$60,MATCH($T51,'Quotation Tool'!$S$54:$S$60,0),3),0))</f>
        <v>0</v>
      </c>
      <c r="Q51" s="288">
        <f ca="1">IF(OR(Table2[[#This Row],[Benefit Name]]="My Value Plus Life - Main Member",Table2[[#This Row],[Benefit Name]]="My Value Plus Life - Spouse"),0,
IFERROR(VLOOKUP($G51,INDIRECT($O51),$P51,FALSE),0))</f>
        <v>0</v>
      </c>
      <c r="R51" s="288">
        <f ca="1">IF(OR(Table2[[#This Row],[Benefit Name]]="My Value Plus Life - Main Member",Table2[[#This Row],[Benefit Name]]="My Value Plus Life - Spouse"),0,
IFERROR(VLOOKUP($G51,INDIRECT($O51),$P51+1,FALSE),0))</f>
        <v>0</v>
      </c>
      <c r="S51" s="289">
        <f t="shared" ca="1" si="2"/>
        <v>0</v>
      </c>
      <c r="T51" s="284" t="str">
        <f>IF(Table13[[#This Row],[Premium Waiver]]="","None",Table13[[#This Row],[Premium Waiver]])</f>
        <v>None</v>
      </c>
      <c r="U51" s="284">
        <f>Table13[[#This Row],[VAPs Options]]</f>
        <v>0</v>
      </c>
      <c r="V51" s="284">
        <f>Table13[[#This Row],[Annual Increase Option]]</f>
        <v>0</v>
      </c>
      <c r="W51" s="290">
        <f>Table13[[#This Row],[Life Cover Amount]]</f>
        <v>0</v>
      </c>
      <c r="X51" s="290">
        <f>Table13[[#This Row],[Funeral Cover Amount]]</f>
        <v>0</v>
      </c>
      <c r="Y5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1" s="301">
        <f t="shared" ca="1" si="3"/>
        <v>0</v>
      </c>
      <c r="AB51" s="298"/>
      <c r="AC51" s="326" t="str">
        <f>IF(Table2[[#This Row],[Member Type]]="Main Member",Lookups!$C$13,
IF(Table2[[#This Row],[Member Type]]="Spouse",_xlfn.XLOOKUP(B51,Table2[Main Member Link ID],Table2[Product Option],0),
IF(AND(Table2[[#This Row],[Member Type]]="Child",_xlfn.XLOOKUP(B51,Table2[Main Member Link ID],Table2[Product Option],0)&lt;&gt;"My Value Plus Life"),Lookups!$C$24,
IF(AND(OR(Table2[[#This Row],[Member Type]]="Parent",Table2[[#This Row],[Member Type]]="Extended"),_xlfn.XLOOKUP(B51,Table2[Main Member Link ID],Table2[Product Option],0)&lt;&gt;"My Value Plus Life"),Lookups!$C$26,""))))</f>
        <v/>
      </c>
      <c r="AD51" s="326" t="str">
        <f>IF(Table2[[#This Row],[Member Type]]="Main Member",Lookups!$C$14,"")</f>
        <v/>
      </c>
      <c r="AE5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Funeral",_xlfn.XLOOKUP(B51,Table2[Main Member Link ID],Table2[Benefit Name],0)=Lookups!$D$14),"",
IF(AND(Table2[[#This Row],[Member Type]]="Spouse",Table2[[#This Row],[Product Option]]="My Value Plus Life &amp; Funeral",_xlfn.XLOOKUP(B50,Table2[Main Member Link ID],Table2[Benefit Name],0)=Lookups!$D$15),Lookups!$D$20,
IF(AND(Table2[[#This Row],[Member Type]]="Spouse",Table2[[#This Row],[Product Option]]="My Value Plus Life &amp; Funeral",_xlfn.XLOOKUP(B50,Table2[Main Member Link ID],Table2[Benefit Name],0)=Lookups!$D$16),"",
IF(AND(Table2[[#This Row],[Member Type]]="Spouse",Table2[[#This Row],[Product Option]]="My Value Plus Life &amp; Funeral",_xlfn.XLOOKUP(B50,Table2[Main Member Link ID],Table2[Benefit Name],0)=Lookups!$D$17),Lookups!$D$21,
IF(AND(Table2[[#This Row],[Member Type]]="Child",Table2[[#This Row],[Product Option]]="My Value Plus Life &amp; Funeral",_xlfn.XLOOKUP(B51,Table2[Main Member Link ID],Table2[Benefit Name],0)=Lookups!$D$14),"",
IF(AND(Table2[[#This Row],[Member Type]]="Child",Table2[[#This Row],[Product Option]]="My Value Plus Life &amp; Funeral",_xlfn.XLOOKUP(B51,Table2[Main Member Link ID],Table2[Benefit Name],0)=Lookups!$D$15),"",
IF(AND(Table2[[#This Row],[Member Type]]="Child",Table2[[#This Row],[Product Option]]="My Value Plus Life &amp; Funeral",_xlfn.XLOOKUP(B51,Table2[Main Member Link ID],Table2[Benefit Name],0)=Lookups!$D$16),Lookups!$D$24,
IF(AND(Table2[[#This Row],[Member Type]]="Child",Table2[[#This Row],[Product Option]]="My Value Plus Life &amp; Funeral",_xlfn.XLOOKUP(B51,Table2[Main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Funeral",_xlfn.XLOOKUP(B51,Table2[Main Member Link ID],Table2[Benefit Name],0)&lt;&gt;Lookups!$D$14),
IF(_xlfn.XLOOKUP(B51,Table2[Main Member Link ID],Table2[Benefit Name],0)=0,"",_xlfn.XLOOKUP(B51,Table2[Main Member Link ID],Table2[Benefit Name],0)),"")))))))))))))))</f>
        <v/>
      </c>
      <c r="AF51" s="327" t="str">
        <f>IF(AND(Table2[[#This Row],[Member Type]]="Main Member",Table2[[#This Row],[Product Option]]="My Value Plus Life &amp; Funeral"),Lookups!$D$15,
IF(AND(Table2[[#This Row],[Member Type]]="Spouse",Table2[[#This Row],[Product Option]]="My Value Plus Life &amp; Funeral",_xlfn.XLOOKUP(B51,Table2[Main Member Link ID],Table2[Benefit Name],0)=Lookups!$D$14),"",
IF(AND(Table2[[#This Row],[Member Type]]="Spouse",Table2[[#This Row],[Product Option]]="My Value Plus Life &amp; Funeral",_xlfn.XLOOKUP(B50,Table2[Main Member Link ID],Table2[Benefit Name],0)=Lookups!$D$16),"",
IF(AND(Table2[[#This Row],[Member Type]]="Spouse",Table2[[#This Row],[Product Option]]="My Value Plus Life &amp; Funeral",_xlfn.XLOOKUP(B50,Table2[Main Member Link ID],Table2[Benefit Name],0)=Lookups!$D$15),"",
IF(AND(Table2[[#This Row],[Member Type]]="Spouse",Table2[[#This Row],[Product Option]]="My Value Plus Life &amp; Funeral",_xlfn.XLOOKUP(B50,Table2[Main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Funeral",_xlfn.XLOOKUP(B51,Table2[Main Member Link ID],Table2[Benefit Name],0)&lt;&gt;Lookups!$D$15),
IF(_xlfn.XLOOKUP(B51,Table2[Main Member Link ID],Table2[Benefit Name],0)=0,"",_xlfn.XLOOKUP(B51,Table2[Main Member Link ID],Table2[Benefit Name],0)),"")
))))))</f>
        <v/>
      </c>
      <c r="AG51" s="327" t="str">
        <f>IF(AND(Table2[[#This Row],[Member Type]]="Main Member",Table2[[#This Row],[Product Option]]="My Value Plus Life &amp; Funeral"),Lookups!$D$16,
IF(AND(Table2[[#This Row],[Member Type]]="Spouse",Table2[[#This Row],[Product Option]]="My Value Plus Life &amp; Funeral",_xlfn.XLOOKUP(B51,Table2[Main Member Link ID],Table2[Benefit Name],0)=Lookups!$D$14),"",
IF(AND(Table2[[#This Row],[Member Type]]="Spouse",Table2[[#This Row],[Product Option]]="My Value Plus Life &amp; Funeral",_xlfn.XLOOKUP(B50,Table2[Main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Funeral",_xlfn.XLOOKUP(B51,Table2[Main Member Link ID],Table2[Benefit Name],0)&lt;&gt;Lookups!$D$16),
IF(_xlfn.XLOOKUP(B51,Table2[Main Member Link ID],Table2[Benefit Name],0)=0,"",_xlfn.XLOOKUP(B51,Table2[Main Member Link ID],Table2[Benefit Name],0)),"")
))))</f>
        <v/>
      </c>
      <c r="AH51" s="327" t="str">
        <f>IF(AND(Table2[[#This Row],[Member Type]]="Main Member",Table2[[#This Row],[Product Option]]="My Value Plus Life &amp; Funeral"),Lookups!$D$17,
IF(AND(Table2[[#This Row],[Member Type]]="Spouse",Table2[[#This Row],[Product Option]]="My Value Plus Life &amp; Funeral",_xlfn.XLOOKUP(B51,Table2[Main Member Link ID],Table2[Benefit Name],0)=Lookups!$D$14),"",
IF(AND(Table2[[#This Row],[Member Type]]="Spouse",Table2[[#This Row],[Product Option]]="My Value Plus Life &amp; Funeral",_xlfn.XLOOKUP(B50,Table2[Main Member Link ID],Table2[Benefit Name],0)=Lookups!$D$16),"",
IF(AND(Table2[[#This Row],[Member Type]]="Child",Table2[[#This Row],[Product Option]]="My Value Plus Life &amp; Funeral"),"",
IF(AND(Table2[[#This Row],[Member Type]]="Child",Table2[[#This Row],[Product Option]]="My Value Plus Life &amp; Funeral",_xlfn.XLOOKUP(B51,Table2[Main Member Link ID],Table2[Benefit Name],0)=Lookups!$D$15),"",
IF(AND(OR(Table2[[#This Row],[Member Type]]="Spouse",Table2[[#This Row],[Member Type]]="Child"),Table2[[#This Row],[Product Option]]="My Value Plus Life &amp; Funeral",_xlfn.XLOOKUP(B51,Table2[Main Member Link ID],Table2[Benefit Name],0)&lt;&gt;Lookups!$D$17),
IF(_xlfn.XLOOKUP(B51,Table2[Main Member Link ID],Table2[Benefit Name],0)=0,"",_xlfn.XLOOKUP(B51,Table2[Main Member Link ID],Table2[Benefit Name],0)),""))))))</f>
        <v/>
      </c>
      <c r="AI51" s="328" t="str">
        <f>IF(AND(Table2[[#This Row],[Member Type]]="Main Member",Table2[[#This Row],[Table Lookup for Life Cover]]="MM_LIFE",Table2[[#This Row],[Age Next Birthday]]&lt;56),1,
IF(AND(Table2[[#This Row],[Member Type]]="Main Member",Table2[[#This Row],[Table Lookup for Life Cover]]="MM_LIFE",Table2[[#This Row],[Age Next Birthday]]&gt;=56),2,
""))</f>
        <v/>
      </c>
      <c r="AJ51" s="328">
        <f>IF(OR(Table2[[#This Row],[Member Type]]="Main Member",Table2[[#This Row],[Main Member Link ID]]=B50),1,0)</f>
        <v>1</v>
      </c>
      <c r="AK51" s="328">
        <f>IF(Table2[[#This Row],[Member Type]]=0,0,
IF(OR(Table2[[#This Row],[Member Type]]="Main Member",Table2[[#This Row],[Main Member Link ID]]&lt;&gt;B51),COUNTIFS(B:B,Table2[[#This Row],[Main Member Link ID]]),
COUNTIFS(B:B,Table2[[#This Row],[Main Member Link ID]],A:A,Table2[[#This Row],[Member Type]])))</f>
        <v>0</v>
      </c>
    </row>
    <row r="52" spans="1:37" x14ac:dyDescent="0.3">
      <c r="A52" s="284">
        <f>Table13[[#This Row],[Member Type]]</f>
        <v>0</v>
      </c>
      <c r="B52" s="284">
        <f>Table13[[#This Row],[Main Member Link ID]]</f>
        <v>0</v>
      </c>
      <c r="C52" s="284">
        <f>Table13[[#This Row],[ID Number]]</f>
        <v>0</v>
      </c>
      <c r="D52" s="285">
        <f>Table13[[#This Row],[Date Of Birth]]</f>
        <v>0</v>
      </c>
      <c r="E52" s="285">
        <f>Table13[[#This Row],[Commencement Date]]</f>
        <v>0</v>
      </c>
      <c r="F52" s="284">
        <f t="shared" si="0"/>
        <v>1</v>
      </c>
      <c r="G52" s="284">
        <f t="shared" si="4"/>
        <v>25</v>
      </c>
      <c r="H52" s="286">
        <f>Table13[[#This Row],[Product Option]]</f>
        <v>0</v>
      </c>
      <c r="I52" s="284">
        <f>IF(AND($A52="Main Member",Table2[[#This Row],[Product Option]]="My Value Plus Life"),"MM_LIFE",
IF(AND($A52="Spouse",Table2[[#This Row],[Product Option]]="My Value Plus Life"),"SP_LIFE",
IF(AND($A52="Main Member",Table2[[#This Row],[Product Option]]="My Value Plus Life &amp; Funeral"),"MM_LIFE",
IF(AND($A52="Spouse",Table2[[#This Row],[Product Option]]="My Value Plus Life &amp; Funeral"),_xlfn.XLOOKUP(Table2[[#This Row],[Benefit Name]],Lookups!$D$18:$D$23,Lookups!$E$18:$E$23,0),
0))))</f>
        <v>0</v>
      </c>
      <c r="J52" s="284">
        <f>IF($I52="","",
IF($I52="MM_LIFE",INDEX('Quotation Tool'!$S$54:$V$60,MATCH($T52,'Quotation Tool'!$S$54:$S$60,0),4),
IF($I52="SP_LIFE",_xlfn.XLOOKUP(B51,$B:$B,$J:$J,0),0)))</f>
        <v>0</v>
      </c>
      <c r="K52" s="287">
        <f t="shared" ca="1" si="5"/>
        <v>0</v>
      </c>
      <c r="L52" s="288">
        <f t="shared" ca="1" si="6"/>
        <v>0</v>
      </c>
      <c r="M52" s="289">
        <f t="shared" ca="1" si="1"/>
        <v>0</v>
      </c>
      <c r="N52" s="286">
        <f>Table13[[#This Row],[Benefit Option]]</f>
        <v>0</v>
      </c>
      <c r="O52" s="284">
        <f>IF(OR(Table2[[#This Row],[Member Type]]="Spouse",Table2[[#This Row],[Member Type]]="Child"),0,
IF(_xlfn.XLOOKUP($N52,Lookups!$D$13:$D$27,Lookups!$F$13:$F$27,0)=Table2[[#This Row],[Table Lookup for Life Cover]],0,
_xlfn.XLOOKUP($N52,Lookups!$D$13:$D$27,Lookups!$F$13:$F$27,0)))</f>
        <v>0</v>
      </c>
      <c r="P52" s="284">
        <f>IF(Table2[[#This Row],[Table Lookup for Funeral]]=0,0,IFERROR(INDEX('Quotation Tool'!$S$54:$V$60,MATCH($T52,'Quotation Tool'!$S$54:$S$60,0),3),0))</f>
        <v>0</v>
      </c>
      <c r="Q52" s="288">
        <f ca="1">IF(OR(Table2[[#This Row],[Benefit Name]]="My Value Plus Life - Main Member",Table2[[#This Row],[Benefit Name]]="My Value Plus Life - Spouse"),0,
IFERROR(VLOOKUP($G52,INDIRECT($O52),$P52,FALSE),0))</f>
        <v>0</v>
      </c>
      <c r="R52" s="288">
        <f ca="1">IF(OR(Table2[[#This Row],[Benefit Name]]="My Value Plus Life - Main Member",Table2[[#This Row],[Benefit Name]]="My Value Plus Life - Spouse"),0,
IFERROR(VLOOKUP($G52,INDIRECT($O52),$P52+1,FALSE),0))</f>
        <v>0</v>
      </c>
      <c r="S52" s="289">
        <f t="shared" ca="1" si="2"/>
        <v>0</v>
      </c>
      <c r="T52" s="284" t="str">
        <f>IF(Table13[[#This Row],[Premium Waiver]]="","None",Table13[[#This Row],[Premium Waiver]])</f>
        <v>None</v>
      </c>
      <c r="U52" s="284">
        <f>Table13[[#This Row],[VAPs Options]]</f>
        <v>0</v>
      </c>
      <c r="V52" s="284">
        <f>Table13[[#This Row],[Annual Increase Option]]</f>
        <v>0</v>
      </c>
      <c r="W52" s="290">
        <f>Table13[[#This Row],[Life Cover Amount]]</f>
        <v>0</v>
      </c>
      <c r="X52" s="290">
        <f>Table13[[#This Row],[Funeral Cover Amount]]</f>
        <v>0</v>
      </c>
      <c r="Y5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2" s="301">
        <f t="shared" ca="1" si="3"/>
        <v>0</v>
      </c>
      <c r="AB52" s="298"/>
      <c r="AC52" s="326" t="str">
        <f>IF(Table2[[#This Row],[Member Type]]="Main Member",Lookups!$C$13,
IF(Table2[[#This Row],[Member Type]]="Spouse",_xlfn.XLOOKUP(B52,Table2[Main Member Link ID],Table2[Product Option],0),
IF(AND(Table2[[#This Row],[Member Type]]="Child",_xlfn.XLOOKUP(B52,Table2[Main Member Link ID],Table2[Product Option],0)&lt;&gt;"My Value Plus Life"),Lookups!$C$24,
IF(AND(OR(Table2[[#This Row],[Member Type]]="Parent",Table2[[#This Row],[Member Type]]="Extended"),_xlfn.XLOOKUP(B52,Table2[Main Member Link ID],Table2[Product Option],0)&lt;&gt;"My Value Plus Life"),Lookups!$C$26,""))))</f>
        <v/>
      </c>
      <c r="AD52" s="326" t="str">
        <f>IF(Table2[[#This Row],[Member Type]]="Main Member",Lookups!$C$14,"")</f>
        <v/>
      </c>
      <c r="AE5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Funeral",_xlfn.XLOOKUP(B52,Table2[Main Member Link ID],Table2[Benefit Name],0)=Lookups!$D$14),"",
IF(AND(Table2[[#This Row],[Member Type]]="Spouse",Table2[[#This Row],[Product Option]]="My Value Plus Life &amp; Funeral",_xlfn.XLOOKUP(B51,Table2[Main Member Link ID],Table2[Benefit Name],0)=Lookups!$D$15),Lookups!$D$20,
IF(AND(Table2[[#This Row],[Member Type]]="Spouse",Table2[[#This Row],[Product Option]]="My Value Plus Life &amp; Funeral",_xlfn.XLOOKUP(B51,Table2[Main Member Link ID],Table2[Benefit Name],0)=Lookups!$D$16),"",
IF(AND(Table2[[#This Row],[Member Type]]="Spouse",Table2[[#This Row],[Product Option]]="My Value Plus Life &amp; Funeral",_xlfn.XLOOKUP(B51,Table2[Main Member Link ID],Table2[Benefit Name],0)=Lookups!$D$17),Lookups!$D$21,
IF(AND(Table2[[#This Row],[Member Type]]="Child",Table2[[#This Row],[Product Option]]="My Value Plus Life &amp; Funeral",_xlfn.XLOOKUP(B52,Table2[Main Member Link ID],Table2[Benefit Name],0)=Lookups!$D$14),"",
IF(AND(Table2[[#This Row],[Member Type]]="Child",Table2[[#This Row],[Product Option]]="My Value Plus Life &amp; Funeral",_xlfn.XLOOKUP(B52,Table2[Main Member Link ID],Table2[Benefit Name],0)=Lookups!$D$15),"",
IF(AND(Table2[[#This Row],[Member Type]]="Child",Table2[[#This Row],[Product Option]]="My Value Plus Life &amp; Funeral",_xlfn.XLOOKUP(B52,Table2[Main Member Link ID],Table2[Benefit Name],0)=Lookups!$D$16),Lookups!$D$24,
IF(AND(Table2[[#This Row],[Member Type]]="Child",Table2[[#This Row],[Product Option]]="My Value Plus Life &amp; Funeral",_xlfn.XLOOKUP(B52,Table2[Main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Funeral",_xlfn.XLOOKUP(B52,Table2[Main Member Link ID],Table2[Benefit Name],0)&lt;&gt;Lookups!$D$14),
IF(_xlfn.XLOOKUP(B52,Table2[Main Member Link ID],Table2[Benefit Name],0)=0,"",_xlfn.XLOOKUP(B52,Table2[Main Member Link ID],Table2[Benefit Name],0)),"")))))))))))))))</f>
        <v/>
      </c>
      <c r="AF52" s="327" t="str">
        <f>IF(AND(Table2[[#This Row],[Member Type]]="Main Member",Table2[[#This Row],[Product Option]]="My Value Plus Life &amp; Funeral"),Lookups!$D$15,
IF(AND(Table2[[#This Row],[Member Type]]="Spouse",Table2[[#This Row],[Product Option]]="My Value Plus Life &amp; Funeral",_xlfn.XLOOKUP(B52,Table2[Main Member Link ID],Table2[Benefit Name],0)=Lookups!$D$14),"",
IF(AND(Table2[[#This Row],[Member Type]]="Spouse",Table2[[#This Row],[Product Option]]="My Value Plus Life &amp; Funeral",_xlfn.XLOOKUP(B51,Table2[Main Member Link ID],Table2[Benefit Name],0)=Lookups!$D$16),"",
IF(AND(Table2[[#This Row],[Member Type]]="Spouse",Table2[[#This Row],[Product Option]]="My Value Plus Life &amp; Funeral",_xlfn.XLOOKUP(B51,Table2[Main Member Link ID],Table2[Benefit Name],0)=Lookups!$D$15),"",
IF(AND(Table2[[#This Row],[Member Type]]="Spouse",Table2[[#This Row],[Product Option]]="My Value Plus Life &amp; Funeral",_xlfn.XLOOKUP(B51,Table2[Main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Funeral",_xlfn.XLOOKUP(B52,Table2[Main Member Link ID],Table2[Benefit Name],0)&lt;&gt;Lookups!$D$15),
IF(_xlfn.XLOOKUP(B52,Table2[Main Member Link ID],Table2[Benefit Name],0)=0,"",_xlfn.XLOOKUP(B52,Table2[Main Member Link ID],Table2[Benefit Name],0)),"")
))))))</f>
        <v/>
      </c>
      <c r="AG52" s="327" t="str">
        <f>IF(AND(Table2[[#This Row],[Member Type]]="Main Member",Table2[[#This Row],[Product Option]]="My Value Plus Life &amp; Funeral"),Lookups!$D$16,
IF(AND(Table2[[#This Row],[Member Type]]="Spouse",Table2[[#This Row],[Product Option]]="My Value Plus Life &amp; Funeral",_xlfn.XLOOKUP(B52,Table2[Main Member Link ID],Table2[Benefit Name],0)=Lookups!$D$14),"",
IF(AND(Table2[[#This Row],[Member Type]]="Spouse",Table2[[#This Row],[Product Option]]="My Value Plus Life &amp; Funeral",_xlfn.XLOOKUP(B51,Table2[Main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Funeral",_xlfn.XLOOKUP(B52,Table2[Main Member Link ID],Table2[Benefit Name],0)&lt;&gt;Lookups!$D$16),
IF(_xlfn.XLOOKUP(B52,Table2[Main Member Link ID],Table2[Benefit Name],0)=0,"",_xlfn.XLOOKUP(B52,Table2[Main Member Link ID],Table2[Benefit Name],0)),"")
))))</f>
        <v/>
      </c>
      <c r="AH52" s="327" t="str">
        <f>IF(AND(Table2[[#This Row],[Member Type]]="Main Member",Table2[[#This Row],[Product Option]]="My Value Plus Life &amp; Funeral"),Lookups!$D$17,
IF(AND(Table2[[#This Row],[Member Type]]="Spouse",Table2[[#This Row],[Product Option]]="My Value Plus Life &amp; Funeral",_xlfn.XLOOKUP(B52,Table2[Main Member Link ID],Table2[Benefit Name],0)=Lookups!$D$14),"",
IF(AND(Table2[[#This Row],[Member Type]]="Spouse",Table2[[#This Row],[Product Option]]="My Value Plus Life &amp; Funeral",_xlfn.XLOOKUP(B51,Table2[Main Member Link ID],Table2[Benefit Name],0)=Lookups!$D$16),"",
IF(AND(Table2[[#This Row],[Member Type]]="Child",Table2[[#This Row],[Product Option]]="My Value Plus Life &amp; Funeral"),"",
IF(AND(Table2[[#This Row],[Member Type]]="Child",Table2[[#This Row],[Product Option]]="My Value Plus Life &amp; Funeral",_xlfn.XLOOKUP(B52,Table2[Main Member Link ID],Table2[Benefit Name],0)=Lookups!$D$15),"",
IF(AND(OR(Table2[[#This Row],[Member Type]]="Spouse",Table2[[#This Row],[Member Type]]="Child"),Table2[[#This Row],[Product Option]]="My Value Plus Life &amp; Funeral",_xlfn.XLOOKUP(B52,Table2[Main Member Link ID],Table2[Benefit Name],0)&lt;&gt;Lookups!$D$17),
IF(_xlfn.XLOOKUP(B52,Table2[Main Member Link ID],Table2[Benefit Name],0)=0,"",_xlfn.XLOOKUP(B52,Table2[Main Member Link ID],Table2[Benefit Name],0)),""))))))</f>
        <v/>
      </c>
      <c r="AI52" s="328" t="str">
        <f>IF(AND(Table2[[#This Row],[Member Type]]="Main Member",Table2[[#This Row],[Table Lookup for Life Cover]]="MM_LIFE",Table2[[#This Row],[Age Next Birthday]]&lt;56),1,
IF(AND(Table2[[#This Row],[Member Type]]="Main Member",Table2[[#This Row],[Table Lookup for Life Cover]]="MM_LIFE",Table2[[#This Row],[Age Next Birthday]]&gt;=56),2,
""))</f>
        <v/>
      </c>
      <c r="AJ52" s="328">
        <f>IF(OR(Table2[[#This Row],[Member Type]]="Main Member",Table2[[#This Row],[Main Member Link ID]]=B51),1,0)</f>
        <v>1</v>
      </c>
      <c r="AK52" s="328">
        <f>IF(Table2[[#This Row],[Member Type]]=0,0,
IF(OR(Table2[[#This Row],[Member Type]]="Main Member",Table2[[#This Row],[Main Member Link ID]]&lt;&gt;B52),COUNTIFS(B:B,Table2[[#This Row],[Main Member Link ID]]),
COUNTIFS(B:B,Table2[[#This Row],[Main Member Link ID]],A:A,Table2[[#This Row],[Member Type]])))</f>
        <v>0</v>
      </c>
    </row>
    <row r="53" spans="1:37" x14ac:dyDescent="0.3">
      <c r="A53" s="284">
        <f>Table13[[#This Row],[Member Type]]</f>
        <v>0</v>
      </c>
      <c r="B53" s="284">
        <f>Table13[[#This Row],[Main Member Link ID]]</f>
        <v>0</v>
      </c>
      <c r="C53" s="284">
        <f>Table13[[#This Row],[ID Number]]</f>
        <v>0</v>
      </c>
      <c r="D53" s="285">
        <f>Table13[[#This Row],[Date Of Birth]]</f>
        <v>0</v>
      </c>
      <c r="E53" s="285">
        <f>Table13[[#This Row],[Commencement Date]]</f>
        <v>0</v>
      </c>
      <c r="F53" s="284">
        <f t="shared" si="0"/>
        <v>1</v>
      </c>
      <c r="G53" s="284">
        <f t="shared" si="4"/>
        <v>25</v>
      </c>
      <c r="H53" s="286">
        <f>Table13[[#This Row],[Product Option]]</f>
        <v>0</v>
      </c>
      <c r="I53" s="284">
        <f>IF(AND($A53="Main Member",Table2[[#This Row],[Product Option]]="My Value Plus Life"),"MM_LIFE",
IF(AND($A53="Spouse",Table2[[#This Row],[Product Option]]="My Value Plus Life"),"SP_LIFE",
IF(AND($A53="Main Member",Table2[[#This Row],[Product Option]]="My Value Plus Life &amp; Funeral"),"MM_LIFE",
IF(AND($A53="Spouse",Table2[[#This Row],[Product Option]]="My Value Plus Life &amp; Funeral"),_xlfn.XLOOKUP(Table2[[#This Row],[Benefit Name]],Lookups!$D$18:$D$23,Lookups!$E$18:$E$23,0),
0))))</f>
        <v>0</v>
      </c>
      <c r="J53" s="284">
        <f>IF($I53="","",
IF($I53="MM_LIFE",INDEX('Quotation Tool'!$S$54:$V$60,MATCH($T53,'Quotation Tool'!$S$54:$S$60,0),4),
IF($I53="SP_LIFE",_xlfn.XLOOKUP(B52,$B:$B,$J:$J,0),0)))</f>
        <v>0</v>
      </c>
      <c r="K53" s="287">
        <f t="shared" ca="1" si="5"/>
        <v>0</v>
      </c>
      <c r="L53" s="288">
        <f t="shared" ca="1" si="6"/>
        <v>0</v>
      </c>
      <c r="M53" s="289">
        <f t="shared" ca="1" si="1"/>
        <v>0</v>
      </c>
      <c r="N53" s="286">
        <f>Table13[[#This Row],[Benefit Option]]</f>
        <v>0</v>
      </c>
      <c r="O53" s="284">
        <f>IF(OR(Table2[[#This Row],[Member Type]]="Spouse",Table2[[#This Row],[Member Type]]="Child"),0,
IF(_xlfn.XLOOKUP($N53,Lookups!$D$13:$D$27,Lookups!$F$13:$F$27,0)=Table2[[#This Row],[Table Lookup for Life Cover]],0,
_xlfn.XLOOKUP($N53,Lookups!$D$13:$D$27,Lookups!$F$13:$F$27,0)))</f>
        <v>0</v>
      </c>
      <c r="P53" s="284">
        <f>IF(Table2[[#This Row],[Table Lookup for Funeral]]=0,0,IFERROR(INDEX('Quotation Tool'!$S$54:$V$60,MATCH($T53,'Quotation Tool'!$S$54:$S$60,0),3),0))</f>
        <v>0</v>
      </c>
      <c r="Q53" s="288">
        <f ca="1">IF(OR(Table2[[#This Row],[Benefit Name]]="My Value Plus Life - Main Member",Table2[[#This Row],[Benefit Name]]="My Value Plus Life - Spouse"),0,
IFERROR(VLOOKUP($G53,INDIRECT($O53),$P53,FALSE),0))</f>
        <v>0</v>
      </c>
      <c r="R53" s="288">
        <f ca="1">IF(OR(Table2[[#This Row],[Benefit Name]]="My Value Plus Life - Main Member",Table2[[#This Row],[Benefit Name]]="My Value Plus Life - Spouse"),0,
IFERROR(VLOOKUP($G53,INDIRECT($O53),$P53+1,FALSE),0))</f>
        <v>0</v>
      </c>
      <c r="S53" s="289">
        <f t="shared" ca="1" si="2"/>
        <v>0</v>
      </c>
      <c r="T53" s="284" t="str">
        <f>IF(Table13[[#This Row],[Premium Waiver]]="","None",Table13[[#This Row],[Premium Waiver]])</f>
        <v>None</v>
      </c>
      <c r="U53" s="284">
        <f>Table13[[#This Row],[VAPs Options]]</f>
        <v>0</v>
      </c>
      <c r="V53" s="284">
        <f>Table13[[#This Row],[Annual Increase Option]]</f>
        <v>0</v>
      </c>
      <c r="W53" s="290">
        <f>Table13[[#This Row],[Life Cover Amount]]</f>
        <v>0</v>
      </c>
      <c r="X53" s="290">
        <f>Table13[[#This Row],[Funeral Cover Amount]]</f>
        <v>0</v>
      </c>
      <c r="Y5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3" s="301">
        <f t="shared" ca="1" si="3"/>
        <v>0</v>
      </c>
      <c r="AB53" s="298"/>
      <c r="AC53" s="326" t="str">
        <f>IF(Table2[[#This Row],[Member Type]]="Main Member",Lookups!$C$13,
IF(Table2[[#This Row],[Member Type]]="Spouse",_xlfn.XLOOKUP(B53,Table2[Main Member Link ID],Table2[Product Option],0),
IF(AND(Table2[[#This Row],[Member Type]]="Child",_xlfn.XLOOKUP(B53,Table2[Main Member Link ID],Table2[Product Option],0)&lt;&gt;"My Value Plus Life"),Lookups!$C$24,
IF(AND(OR(Table2[[#This Row],[Member Type]]="Parent",Table2[[#This Row],[Member Type]]="Extended"),_xlfn.XLOOKUP(B53,Table2[Main Member Link ID],Table2[Product Option],0)&lt;&gt;"My Value Plus Life"),Lookups!$C$26,""))))</f>
        <v/>
      </c>
      <c r="AD53" s="326" t="str">
        <f>IF(Table2[[#This Row],[Member Type]]="Main Member",Lookups!$C$14,"")</f>
        <v/>
      </c>
      <c r="AE5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Funeral",_xlfn.XLOOKUP(B53,Table2[Main Member Link ID],Table2[Benefit Name],0)=Lookups!$D$14),"",
IF(AND(Table2[[#This Row],[Member Type]]="Spouse",Table2[[#This Row],[Product Option]]="My Value Plus Life &amp; Funeral",_xlfn.XLOOKUP(B52,Table2[Main Member Link ID],Table2[Benefit Name],0)=Lookups!$D$15),Lookups!$D$20,
IF(AND(Table2[[#This Row],[Member Type]]="Spouse",Table2[[#This Row],[Product Option]]="My Value Plus Life &amp; Funeral",_xlfn.XLOOKUP(B52,Table2[Main Member Link ID],Table2[Benefit Name],0)=Lookups!$D$16),"",
IF(AND(Table2[[#This Row],[Member Type]]="Spouse",Table2[[#This Row],[Product Option]]="My Value Plus Life &amp; Funeral",_xlfn.XLOOKUP(B52,Table2[Main Member Link ID],Table2[Benefit Name],0)=Lookups!$D$17),Lookups!$D$21,
IF(AND(Table2[[#This Row],[Member Type]]="Child",Table2[[#This Row],[Product Option]]="My Value Plus Life &amp; Funeral",_xlfn.XLOOKUP(B53,Table2[Main Member Link ID],Table2[Benefit Name],0)=Lookups!$D$14),"",
IF(AND(Table2[[#This Row],[Member Type]]="Child",Table2[[#This Row],[Product Option]]="My Value Plus Life &amp; Funeral",_xlfn.XLOOKUP(B53,Table2[Main Member Link ID],Table2[Benefit Name],0)=Lookups!$D$15),"",
IF(AND(Table2[[#This Row],[Member Type]]="Child",Table2[[#This Row],[Product Option]]="My Value Plus Life &amp; Funeral",_xlfn.XLOOKUP(B53,Table2[Main Member Link ID],Table2[Benefit Name],0)=Lookups!$D$16),Lookups!$D$24,
IF(AND(Table2[[#This Row],[Member Type]]="Child",Table2[[#This Row],[Product Option]]="My Value Plus Life &amp; Funeral",_xlfn.XLOOKUP(B53,Table2[Main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Funeral",_xlfn.XLOOKUP(B53,Table2[Main Member Link ID],Table2[Benefit Name],0)&lt;&gt;Lookups!$D$14),
IF(_xlfn.XLOOKUP(B53,Table2[Main Member Link ID],Table2[Benefit Name],0)=0,"",_xlfn.XLOOKUP(B53,Table2[Main Member Link ID],Table2[Benefit Name],0)),"")))))))))))))))</f>
        <v/>
      </c>
      <c r="AF53" s="327" t="str">
        <f>IF(AND(Table2[[#This Row],[Member Type]]="Main Member",Table2[[#This Row],[Product Option]]="My Value Plus Life &amp; Funeral"),Lookups!$D$15,
IF(AND(Table2[[#This Row],[Member Type]]="Spouse",Table2[[#This Row],[Product Option]]="My Value Plus Life &amp; Funeral",_xlfn.XLOOKUP(B53,Table2[Main Member Link ID],Table2[Benefit Name],0)=Lookups!$D$14),"",
IF(AND(Table2[[#This Row],[Member Type]]="Spouse",Table2[[#This Row],[Product Option]]="My Value Plus Life &amp; Funeral",_xlfn.XLOOKUP(B52,Table2[Main Member Link ID],Table2[Benefit Name],0)=Lookups!$D$16),"",
IF(AND(Table2[[#This Row],[Member Type]]="Spouse",Table2[[#This Row],[Product Option]]="My Value Plus Life &amp; Funeral",_xlfn.XLOOKUP(B52,Table2[Main Member Link ID],Table2[Benefit Name],0)=Lookups!$D$15),"",
IF(AND(Table2[[#This Row],[Member Type]]="Spouse",Table2[[#This Row],[Product Option]]="My Value Plus Life &amp; Funeral",_xlfn.XLOOKUP(B52,Table2[Main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Funeral",_xlfn.XLOOKUP(B53,Table2[Main Member Link ID],Table2[Benefit Name],0)&lt;&gt;Lookups!$D$15),
IF(_xlfn.XLOOKUP(B53,Table2[Main Member Link ID],Table2[Benefit Name],0)=0,"",_xlfn.XLOOKUP(B53,Table2[Main Member Link ID],Table2[Benefit Name],0)),"")
))))))</f>
        <v/>
      </c>
      <c r="AG53" s="327" t="str">
        <f>IF(AND(Table2[[#This Row],[Member Type]]="Main Member",Table2[[#This Row],[Product Option]]="My Value Plus Life &amp; Funeral"),Lookups!$D$16,
IF(AND(Table2[[#This Row],[Member Type]]="Spouse",Table2[[#This Row],[Product Option]]="My Value Plus Life &amp; Funeral",_xlfn.XLOOKUP(B53,Table2[Main Member Link ID],Table2[Benefit Name],0)=Lookups!$D$14),"",
IF(AND(Table2[[#This Row],[Member Type]]="Spouse",Table2[[#This Row],[Product Option]]="My Value Plus Life &amp; Funeral",_xlfn.XLOOKUP(B52,Table2[Main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Funeral",_xlfn.XLOOKUP(B53,Table2[Main Member Link ID],Table2[Benefit Name],0)&lt;&gt;Lookups!$D$16),
IF(_xlfn.XLOOKUP(B53,Table2[Main Member Link ID],Table2[Benefit Name],0)=0,"",_xlfn.XLOOKUP(B53,Table2[Main Member Link ID],Table2[Benefit Name],0)),"")
))))</f>
        <v/>
      </c>
      <c r="AH53" s="327" t="str">
        <f>IF(AND(Table2[[#This Row],[Member Type]]="Main Member",Table2[[#This Row],[Product Option]]="My Value Plus Life &amp; Funeral"),Lookups!$D$17,
IF(AND(Table2[[#This Row],[Member Type]]="Spouse",Table2[[#This Row],[Product Option]]="My Value Plus Life &amp; Funeral",_xlfn.XLOOKUP(B53,Table2[Main Member Link ID],Table2[Benefit Name],0)=Lookups!$D$14),"",
IF(AND(Table2[[#This Row],[Member Type]]="Spouse",Table2[[#This Row],[Product Option]]="My Value Plus Life &amp; Funeral",_xlfn.XLOOKUP(B52,Table2[Main Member Link ID],Table2[Benefit Name],0)=Lookups!$D$16),"",
IF(AND(Table2[[#This Row],[Member Type]]="Child",Table2[[#This Row],[Product Option]]="My Value Plus Life &amp; Funeral"),"",
IF(AND(Table2[[#This Row],[Member Type]]="Child",Table2[[#This Row],[Product Option]]="My Value Plus Life &amp; Funeral",_xlfn.XLOOKUP(B53,Table2[Main Member Link ID],Table2[Benefit Name],0)=Lookups!$D$15),"",
IF(AND(OR(Table2[[#This Row],[Member Type]]="Spouse",Table2[[#This Row],[Member Type]]="Child"),Table2[[#This Row],[Product Option]]="My Value Plus Life &amp; Funeral",_xlfn.XLOOKUP(B53,Table2[Main Member Link ID],Table2[Benefit Name],0)&lt;&gt;Lookups!$D$17),
IF(_xlfn.XLOOKUP(B53,Table2[Main Member Link ID],Table2[Benefit Name],0)=0,"",_xlfn.XLOOKUP(B53,Table2[Main Member Link ID],Table2[Benefit Name],0)),""))))))</f>
        <v/>
      </c>
      <c r="AI53" s="328" t="str">
        <f>IF(AND(Table2[[#This Row],[Member Type]]="Main Member",Table2[[#This Row],[Table Lookup for Life Cover]]="MM_LIFE",Table2[[#This Row],[Age Next Birthday]]&lt;56),1,
IF(AND(Table2[[#This Row],[Member Type]]="Main Member",Table2[[#This Row],[Table Lookup for Life Cover]]="MM_LIFE",Table2[[#This Row],[Age Next Birthday]]&gt;=56),2,
""))</f>
        <v/>
      </c>
      <c r="AJ53" s="328">
        <f>IF(OR(Table2[[#This Row],[Member Type]]="Main Member",Table2[[#This Row],[Main Member Link ID]]=B52),1,0)</f>
        <v>1</v>
      </c>
      <c r="AK53" s="328">
        <f>IF(Table2[[#This Row],[Member Type]]=0,0,
IF(OR(Table2[[#This Row],[Member Type]]="Main Member",Table2[[#This Row],[Main Member Link ID]]&lt;&gt;B53),COUNTIFS(B:B,Table2[[#This Row],[Main Member Link ID]]),
COUNTIFS(B:B,Table2[[#This Row],[Main Member Link ID]],A:A,Table2[[#This Row],[Member Type]])))</f>
        <v>0</v>
      </c>
    </row>
    <row r="54" spans="1:37" x14ac:dyDescent="0.3">
      <c r="A54" s="284">
        <f>Table13[[#This Row],[Member Type]]</f>
        <v>0</v>
      </c>
      <c r="B54" s="284">
        <f>Table13[[#This Row],[Main Member Link ID]]</f>
        <v>0</v>
      </c>
      <c r="C54" s="284">
        <f>Table13[[#This Row],[ID Number]]</f>
        <v>0</v>
      </c>
      <c r="D54" s="285">
        <f>Table13[[#This Row],[Date Of Birth]]</f>
        <v>0</v>
      </c>
      <c r="E54" s="285">
        <f>Table13[[#This Row],[Commencement Date]]</f>
        <v>0</v>
      </c>
      <c r="F54" s="284">
        <f t="shared" si="0"/>
        <v>1</v>
      </c>
      <c r="G54" s="284">
        <f t="shared" si="4"/>
        <v>25</v>
      </c>
      <c r="H54" s="286">
        <f>Table13[[#This Row],[Product Option]]</f>
        <v>0</v>
      </c>
      <c r="I54" s="284">
        <f>IF(AND($A54="Main Member",Table2[[#This Row],[Product Option]]="My Value Plus Life"),"MM_LIFE",
IF(AND($A54="Spouse",Table2[[#This Row],[Product Option]]="My Value Plus Life"),"SP_LIFE",
IF(AND($A54="Main Member",Table2[[#This Row],[Product Option]]="My Value Plus Life &amp; Funeral"),"MM_LIFE",
IF(AND($A54="Spouse",Table2[[#This Row],[Product Option]]="My Value Plus Life &amp; Funeral"),_xlfn.XLOOKUP(Table2[[#This Row],[Benefit Name]],Lookups!$D$18:$D$23,Lookups!$E$18:$E$23,0),
0))))</f>
        <v>0</v>
      </c>
      <c r="J54" s="284">
        <f>IF($I54="","",
IF($I54="MM_LIFE",INDEX('Quotation Tool'!$S$54:$V$60,MATCH($T54,'Quotation Tool'!$S$54:$S$60,0),4),
IF($I54="SP_LIFE",_xlfn.XLOOKUP(B53,$B:$B,$J:$J,0),0)))</f>
        <v>0</v>
      </c>
      <c r="K54" s="287">
        <f t="shared" ca="1" si="5"/>
        <v>0</v>
      </c>
      <c r="L54" s="288">
        <f t="shared" ca="1" si="6"/>
        <v>0</v>
      </c>
      <c r="M54" s="289">
        <f t="shared" ca="1" si="1"/>
        <v>0</v>
      </c>
      <c r="N54" s="286">
        <f>Table13[[#This Row],[Benefit Option]]</f>
        <v>0</v>
      </c>
      <c r="O54" s="284">
        <f>IF(OR(Table2[[#This Row],[Member Type]]="Spouse",Table2[[#This Row],[Member Type]]="Child"),0,
IF(_xlfn.XLOOKUP($N54,Lookups!$D$13:$D$27,Lookups!$F$13:$F$27,0)=Table2[[#This Row],[Table Lookup for Life Cover]],0,
_xlfn.XLOOKUP($N54,Lookups!$D$13:$D$27,Lookups!$F$13:$F$27,0)))</f>
        <v>0</v>
      </c>
      <c r="P54" s="284">
        <f>IF(Table2[[#This Row],[Table Lookup for Funeral]]=0,0,IFERROR(INDEX('Quotation Tool'!$S$54:$V$60,MATCH($T54,'Quotation Tool'!$S$54:$S$60,0),3),0))</f>
        <v>0</v>
      </c>
      <c r="Q54" s="288">
        <f ca="1">IF(OR(Table2[[#This Row],[Benefit Name]]="My Value Plus Life - Main Member",Table2[[#This Row],[Benefit Name]]="My Value Plus Life - Spouse"),0,
IFERROR(VLOOKUP($G54,INDIRECT($O54),$P54,FALSE),0))</f>
        <v>0</v>
      </c>
      <c r="R54" s="288">
        <f ca="1">IF(OR(Table2[[#This Row],[Benefit Name]]="My Value Plus Life - Main Member",Table2[[#This Row],[Benefit Name]]="My Value Plus Life - Spouse"),0,
IFERROR(VLOOKUP($G54,INDIRECT($O54),$P54+1,FALSE),0))</f>
        <v>0</v>
      </c>
      <c r="S54" s="289">
        <f t="shared" ca="1" si="2"/>
        <v>0</v>
      </c>
      <c r="T54" s="284" t="str">
        <f>IF(Table13[[#This Row],[Premium Waiver]]="","None",Table13[[#This Row],[Premium Waiver]])</f>
        <v>None</v>
      </c>
      <c r="U54" s="284">
        <f>Table13[[#This Row],[VAPs Options]]</f>
        <v>0</v>
      </c>
      <c r="V54" s="284">
        <f>Table13[[#This Row],[Annual Increase Option]]</f>
        <v>0</v>
      </c>
      <c r="W54" s="290">
        <f>Table13[[#This Row],[Life Cover Amount]]</f>
        <v>0</v>
      </c>
      <c r="X54" s="290">
        <f>Table13[[#This Row],[Funeral Cover Amount]]</f>
        <v>0</v>
      </c>
      <c r="Y5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4" s="301">
        <f t="shared" ca="1" si="3"/>
        <v>0</v>
      </c>
      <c r="AB54" s="298"/>
      <c r="AC54" s="326" t="str">
        <f>IF(Table2[[#This Row],[Member Type]]="Main Member",Lookups!$C$13,
IF(Table2[[#This Row],[Member Type]]="Spouse",_xlfn.XLOOKUP(B54,Table2[Main Member Link ID],Table2[Product Option],0),
IF(AND(Table2[[#This Row],[Member Type]]="Child",_xlfn.XLOOKUP(B54,Table2[Main Member Link ID],Table2[Product Option],0)&lt;&gt;"My Value Plus Life"),Lookups!$C$24,
IF(AND(OR(Table2[[#This Row],[Member Type]]="Parent",Table2[[#This Row],[Member Type]]="Extended"),_xlfn.XLOOKUP(B54,Table2[Main Member Link ID],Table2[Product Option],0)&lt;&gt;"My Value Plus Life"),Lookups!$C$26,""))))</f>
        <v/>
      </c>
      <c r="AD54" s="326" t="str">
        <f>IF(Table2[[#This Row],[Member Type]]="Main Member",Lookups!$C$14,"")</f>
        <v/>
      </c>
      <c r="AE5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Funeral",_xlfn.XLOOKUP(B54,Table2[Main Member Link ID],Table2[Benefit Name],0)=Lookups!$D$14),"",
IF(AND(Table2[[#This Row],[Member Type]]="Spouse",Table2[[#This Row],[Product Option]]="My Value Plus Life &amp; Funeral",_xlfn.XLOOKUP(B53,Table2[Main Member Link ID],Table2[Benefit Name],0)=Lookups!$D$15),Lookups!$D$20,
IF(AND(Table2[[#This Row],[Member Type]]="Spouse",Table2[[#This Row],[Product Option]]="My Value Plus Life &amp; Funeral",_xlfn.XLOOKUP(B53,Table2[Main Member Link ID],Table2[Benefit Name],0)=Lookups!$D$16),"",
IF(AND(Table2[[#This Row],[Member Type]]="Spouse",Table2[[#This Row],[Product Option]]="My Value Plus Life &amp; Funeral",_xlfn.XLOOKUP(B53,Table2[Main Member Link ID],Table2[Benefit Name],0)=Lookups!$D$17),Lookups!$D$21,
IF(AND(Table2[[#This Row],[Member Type]]="Child",Table2[[#This Row],[Product Option]]="My Value Plus Life &amp; Funeral",_xlfn.XLOOKUP(B54,Table2[Main Member Link ID],Table2[Benefit Name],0)=Lookups!$D$14),"",
IF(AND(Table2[[#This Row],[Member Type]]="Child",Table2[[#This Row],[Product Option]]="My Value Plus Life &amp; Funeral",_xlfn.XLOOKUP(B54,Table2[Main Member Link ID],Table2[Benefit Name],0)=Lookups!$D$15),"",
IF(AND(Table2[[#This Row],[Member Type]]="Child",Table2[[#This Row],[Product Option]]="My Value Plus Life &amp; Funeral",_xlfn.XLOOKUP(B54,Table2[Main Member Link ID],Table2[Benefit Name],0)=Lookups!$D$16),Lookups!$D$24,
IF(AND(Table2[[#This Row],[Member Type]]="Child",Table2[[#This Row],[Product Option]]="My Value Plus Life &amp; Funeral",_xlfn.XLOOKUP(B54,Table2[Main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Funeral",_xlfn.XLOOKUP(B54,Table2[Main Member Link ID],Table2[Benefit Name],0)&lt;&gt;Lookups!$D$14),
IF(_xlfn.XLOOKUP(B54,Table2[Main Member Link ID],Table2[Benefit Name],0)=0,"",_xlfn.XLOOKUP(B54,Table2[Main Member Link ID],Table2[Benefit Name],0)),"")))))))))))))))</f>
        <v/>
      </c>
      <c r="AF54" s="327" t="str">
        <f>IF(AND(Table2[[#This Row],[Member Type]]="Main Member",Table2[[#This Row],[Product Option]]="My Value Plus Life &amp; Funeral"),Lookups!$D$15,
IF(AND(Table2[[#This Row],[Member Type]]="Spouse",Table2[[#This Row],[Product Option]]="My Value Plus Life &amp; Funeral",_xlfn.XLOOKUP(B54,Table2[Main Member Link ID],Table2[Benefit Name],0)=Lookups!$D$14),"",
IF(AND(Table2[[#This Row],[Member Type]]="Spouse",Table2[[#This Row],[Product Option]]="My Value Plus Life &amp; Funeral",_xlfn.XLOOKUP(B53,Table2[Main Member Link ID],Table2[Benefit Name],0)=Lookups!$D$16),"",
IF(AND(Table2[[#This Row],[Member Type]]="Spouse",Table2[[#This Row],[Product Option]]="My Value Plus Life &amp; Funeral",_xlfn.XLOOKUP(B53,Table2[Main Member Link ID],Table2[Benefit Name],0)=Lookups!$D$15),"",
IF(AND(Table2[[#This Row],[Member Type]]="Spouse",Table2[[#This Row],[Product Option]]="My Value Plus Life &amp; Funeral",_xlfn.XLOOKUP(B53,Table2[Main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Funeral",_xlfn.XLOOKUP(B54,Table2[Main Member Link ID],Table2[Benefit Name],0)&lt;&gt;Lookups!$D$15),
IF(_xlfn.XLOOKUP(B54,Table2[Main Member Link ID],Table2[Benefit Name],0)=0,"",_xlfn.XLOOKUP(B54,Table2[Main Member Link ID],Table2[Benefit Name],0)),"")
))))))</f>
        <v/>
      </c>
      <c r="AG54" s="327" t="str">
        <f>IF(AND(Table2[[#This Row],[Member Type]]="Main Member",Table2[[#This Row],[Product Option]]="My Value Plus Life &amp; Funeral"),Lookups!$D$16,
IF(AND(Table2[[#This Row],[Member Type]]="Spouse",Table2[[#This Row],[Product Option]]="My Value Plus Life &amp; Funeral",_xlfn.XLOOKUP(B54,Table2[Main Member Link ID],Table2[Benefit Name],0)=Lookups!$D$14),"",
IF(AND(Table2[[#This Row],[Member Type]]="Spouse",Table2[[#This Row],[Product Option]]="My Value Plus Life &amp; Funeral",_xlfn.XLOOKUP(B53,Table2[Main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Funeral",_xlfn.XLOOKUP(B54,Table2[Main Member Link ID],Table2[Benefit Name],0)&lt;&gt;Lookups!$D$16),
IF(_xlfn.XLOOKUP(B54,Table2[Main Member Link ID],Table2[Benefit Name],0)=0,"",_xlfn.XLOOKUP(B54,Table2[Main Member Link ID],Table2[Benefit Name],0)),"")
))))</f>
        <v/>
      </c>
      <c r="AH54" s="327" t="str">
        <f>IF(AND(Table2[[#This Row],[Member Type]]="Main Member",Table2[[#This Row],[Product Option]]="My Value Plus Life &amp; Funeral"),Lookups!$D$17,
IF(AND(Table2[[#This Row],[Member Type]]="Spouse",Table2[[#This Row],[Product Option]]="My Value Plus Life &amp; Funeral",_xlfn.XLOOKUP(B54,Table2[Main Member Link ID],Table2[Benefit Name],0)=Lookups!$D$14),"",
IF(AND(Table2[[#This Row],[Member Type]]="Spouse",Table2[[#This Row],[Product Option]]="My Value Plus Life &amp; Funeral",_xlfn.XLOOKUP(B53,Table2[Main Member Link ID],Table2[Benefit Name],0)=Lookups!$D$16),"",
IF(AND(Table2[[#This Row],[Member Type]]="Child",Table2[[#This Row],[Product Option]]="My Value Plus Life &amp; Funeral"),"",
IF(AND(Table2[[#This Row],[Member Type]]="Child",Table2[[#This Row],[Product Option]]="My Value Plus Life &amp; Funeral",_xlfn.XLOOKUP(B54,Table2[Main Member Link ID],Table2[Benefit Name],0)=Lookups!$D$15),"",
IF(AND(OR(Table2[[#This Row],[Member Type]]="Spouse",Table2[[#This Row],[Member Type]]="Child"),Table2[[#This Row],[Product Option]]="My Value Plus Life &amp; Funeral",_xlfn.XLOOKUP(B54,Table2[Main Member Link ID],Table2[Benefit Name],0)&lt;&gt;Lookups!$D$17),
IF(_xlfn.XLOOKUP(B54,Table2[Main Member Link ID],Table2[Benefit Name],0)=0,"",_xlfn.XLOOKUP(B54,Table2[Main Member Link ID],Table2[Benefit Name],0)),""))))))</f>
        <v/>
      </c>
      <c r="AI54" s="328" t="str">
        <f>IF(AND(Table2[[#This Row],[Member Type]]="Main Member",Table2[[#This Row],[Table Lookup for Life Cover]]="MM_LIFE",Table2[[#This Row],[Age Next Birthday]]&lt;56),1,
IF(AND(Table2[[#This Row],[Member Type]]="Main Member",Table2[[#This Row],[Table Lookup for Life Cover]]="MM_LIFE",Table2[[#This Row],[Age Next Birthday]]&gt;=56),2,
""))</f>
        <v/>
      </c>
      <c r="AJ54" s="328">
        <f>IF(OR(Table2[[#This Row],[Member Type]]="Main Member",Table2[[#This Row],[Main Member Link ID]]=B53),1,0)</f>
        <v>1</v>
      </c>
      <c r="AK54" s="328">
        <f>IF(Table2[[#This Row],[Member Type]]=0,0,
IF(OR(Table2[[#This Row],[Member Type]]="Main Member",Table2[[#This Row],[Main Member Link ID]]&lt;&gt;B54),COUNTIFS(B:B,Table2[[#This Row],[Main Member Link ID]]),
COUNTIFS(B:B,Table2[[#This Row],[Main Member Link ID]],A:A,Table2[[#This Row],[Member Type]])))</f>
        <v>0</v>
      </c>
    </row>
    <row r="55" spans="1:37" x14ac:dyDescent="0.3">
      <c r="A55" s="284">
        <f>Table13[[#This Row],[Member Type]]</f>
        <v>0</v>
      </c>
      <c r="B55" s="284">
        <f>Table13[[#This Row],[Main Member Link ID]]</f>
        <v>0</v>
      </c>
      <c r="C55" s="284">
        <f>Table13[[#This Row],[ID Number]]</f>
        <v>0</v>
      </c>
      <c r="D55" s="285">
        <f>Table13[[#This Row],[Date Of Birth]]</f>
        <v>0</v>
      </c>
      <c r="E55" s="285">
        <f>Table13[[#This Row],[Commencement Date]]</f>
        <v>0</v>
      </c>
      <c r="F55" s="284">
        <f t="shared" si="0"/>
        <v>1</v>
      </c>
      <c r="G55" s="284">
        <f t="shared" si="4"/>
        <v>25</v>
      </c>
      <c r="H55" s="286">
        <f>Table13[[#This Row],[Product Option]]</f>
        <v>0</v>
      </c>
      <c r="I55" s="284">
        <f>IF(AND($A55="Main Member",Table2[[#This Row],[Product Option]]="My Value Plus Life"),"MM_LIFE",
IF(AND($A55="Spouse",Table2[[#This Row],[Product Option]]="My Value Plus Life"),"SP_LIFE",
IF(AND($A55="Main Member",Table2[[#This Row],[Product Option]]="My Value Plus Life &amp; Funeral"),"MM_LIFE",
IF(AND($A55="Spouse",Table2[[#This Row],[Product Option]]="My Value Plus Life &amp; Funeral"),_xlfn.XLOOKUP(Table2[[#This Row],[Benefit Name]],Lookups!$D$18:$D$23,Lookups!$E$18:$E$23,0),
0))))</f>
        <v>0</v>
      </c>
      <c r="J55" s="284">
        <f>IF($I55="","",
IF($I55="MM_LIFE",INDEX('Quotation Tool'!$S$54:$V$60,MATCH($T55,'Quotation Tool'!$S$54:$S$60,0),4),
IF($I55="SP_LIFE",_xlfn.XLOOKUP(B54,$B:$B,$J:$J,0),0)))</f>
        <v>0</v>
      </c>
      <c r="K55" s="287">
        <f t="shared" ca="1" si="5"/>
        <v>0</v>
      </c>
      <c r="L55" s="288">
        <f t="shared" ca="1" si="6"/>
        <v>0</v>
      </c>
      <c r="M55" s="289">
        <f t="shared" ca="1" si="1"/>
        <v>0</v>
      </c>
      <c r="N55" s="286">
        <f>Table13[[#This Row],[Benefit Option]]</f>
        <v>0</v>
      </c>
      <c r="O55" s="284">
        <f>IF(OR(Table2[[#This Row],[Member Type]]="Spouse",Table2[[#This Row],[Member Type]]="Child"),0,
IF(_xlfn.XLOOKUP($N55,Lookups!$D$13:$D$27,Lookups!$F$13:$F$27,0)=Table2[[#This Row],[Table Lookup for Life Cover]],0,
_xlfn.XLOOKUP($N55,Lookups!$D$13:$D$27,Lookups!$F$13:$F$27,0)))</f>
        <v>0</v>
      </c>
      <c r="P55" s="284">
        <f>IF(Table2[[#This Row],[Table Lookup for Funeral]]=0,0,IFERROR(INDEX('Quotation Tool'!$S$54:$V$60,MATCH($T55,'Quotation Tool'!$S$54:$S$60,0),3),0))</f>
        <v>0</v>
      </c>
      <c r="Q55" s="288">
        <f ca="1">IF(OR(Table2[[#This Row],[Benefit Name]]="My Value Plus Life - Main Member",Table2[[#This Row],[Benefit Name]]="My Value Plus Life - Spouse"),0,
IFERROR(VLOOKUP($G55,INDIRECT($O55),$P55,FALSE),0))</f>
        <v>0</v>
      </c>
      <c r="R55" s="288">
        <f ca="1">IF(OR(Table2[[#This Row],[Benefit Name]]="My Value Plus Life - Main Member",Table2[[#This Row],[Benefit Name]]="My Value Plus Life - Spouse"),0,
IFERROR(VLOOKUP($G55,INDIRECT($O55),$P55+1,FALSE),0))</f>
        <v>0</v>
      </c>
      <c r="S55" s="289">
        <f t="shared" ca="1" si="2"/>
        <v>0</v>
      </c>
      <c r="T55" s="284" t="str">
        <f>IF(Table13[[#This Row],[Premium Waiver]]="","None",Table13[[#This Row],[Premium Waiver]])</f>
        <v>None</v>
      </c>
      <c r="U55" s="284">
        <f>Table13[[#This Row],[VAPs Options]]</f>
        <v>0</v>
      </c>
      <c r="V55" s="284">
        <f>Table13[[#This Row],[Annual Increase Option]]</f>
        <v>0</v>
      </c>
      <c r="W55" s="290">
        <f>Table13[[#This Row],[Life Cover Amount]]</f>
        <v>0</v>
      </c>
      <c r="X55" s="290">
        <f>Table13[[#This Row],[Funeral Cover Amount]]</f>
        <v>0</v>
      </c>
      <c r="Y5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5" s="301">
        <f t="shared" ca="1" si="3"/>
        <v>0</v>
      </c>
      <c r="AB55" s="298"/>
      <c r="AC55" s="326" t="str">
        <f>IF(Table2[[#This Row],[Member Type]]="Main Member",Lookups!$C$13,
IF(Table2[[#This Row],[Member Type]]="Spouse",_xlfn.XLOOKUP(B55,Table2[Main Member Link ID],Table2[Product Option],0),
IF(AND(Table2[[#This Row],[Member Type]]="Child",_xlfn.XLOOKUP(B55,Table2[Main Member Link ID],Table2[Product Option],0)&lt;&gt;"My Value Plus Life"),Lookups!$C$24,
IF(AND(OR(Table2[[#This Row],[Member Type]]="Parent",Table2[[#This Row],[Member Type]]="Extended"),_xlfn.XLOOKUP(B55,Table2[Main Member Link ID],Table2[Product Option],0)&lt;&gt;"My Value Plus Life"),Lookups!$C$26,""))))</f>
        <v/>
      </c>
      <c r="AD55" s="326" t="str">
        <f>IF(Table2[[#This Row],[Member Type]]="Main Member",Lookups!$C$14,"")</f>
        <v/>
      </c>
      <c r="AE5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Funeral",_xlfn.XLOOKUP(B55,Table2[Main Member Link ID],Table2[Benefit Name],0)=Lookups!$D$14),"",
IF(AND(Table2[[#This Row],[Member Type]]="Spouse",Table2[[#This Row],[Product Option]]="My Value Plus Life &amp; Funeral",_xlfn.XLOOKUP(B54,Table2[Main Member Link ID],Table2[Benefit Name],0)=Lookups!$D$15),Lookups!$D$20,
IF(AND(Table2[[#This Row],[Member Type]]="Spouse",Table2[[#This Row],[Product Option]]="My Value Plus Life &amp; Funeral",_xlfn.XLOOKUP(B54,Table2[Main Member Link ID],Table2[Benefit Name],0)=Lookups!$D$16),"",
IF(AND(Table2[[#This Row],[Member Type]]="Spouse",Table2[[#This Row],[Product Option]]="My Value Plus Life &amp; Funeral",_xlfn.XLOOKUP(B54,Table2[Main Member Link ID],Table2[Benefit Name],0)=Lookups!$D$17),Lookups!$D$21,
IF(AND(Table2[[#This Row],[Member Type]]="Child",Table2[[#This Row],[Product Option]]="My Value Plus Life &amp; Funeral",_xlfn.XLOOKUP(B55,Table2[Main Member Link ID],Table2[Benefit Name],0)=Lookups!$D$14),"",
IF(AND(Table2[[#This Row],[Member Type]]="Child",Table2[[#This Row],[Product Option]]="My Value Plus Life &amp; Funeral",_xlfn.XLOOKUP(B55,Table2[Main Member Link ID],Table2[Benefit Name],0)=Lookups!$D$15),"",
IF(AND(Table2[[#This Row],[Member Type]]="Child",Table2[[#This Row],[Product Option]]="My Value Plus Life &amp; Funeral",_xlfn.XLOOKUP(B55,Table2[Main Member Link ID],Table2[Benefit Name],0)=Lookups!$D$16),Lookups!$D$24,
IF(AND(Table2[[#This Row],[Member Type]]="Child",Table2[[#This Row],[Product Option]]="My Value Plus Life &amp; Funeral",_xlfn.XLOOKUP(B55,Table2[Main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Funeral",_xlfn.XLOOKUP(B55,Table2[Main Member Link ID],Table2[Benefit Name],0)&lt;&gt;Lookups!$D$14),
IF(_xlfn.XLOOKUP(B55,Table2[Main Member Link ID],Table2[Benefit Name],0)=0,"",_xlfn.XLOOKUP(B55,Table2[Main Member Link ID],Table2[Benefit Name],0)),"")))))))))))))))</f>
        <v/>
      </c>
      <c r="AF55" s="327" t="str">
        <f>IF(AND(Table2[[#This Row],[Member Type]]="Main Member",Table2[[#This Row],[Product Option]]="My Value Plus Life &amp; Funeral"),Lookups!$D$15,
IF(AND(Table2[[#This Row],[Member Type]]="Spouse",Table2[[#This Row],[Product Option]]="My Value Plus Life &amp; Funeral",_xlfn.XLOOKUP(B55,Table2[Main Member Link ID],Table2[Benefit Name],0)=Lookups!$D$14),"",
IF(AND(Table2[[#This Row],[Member Type]]="Spouse",Table2[[#This Row],[Product Option]]="My Value Plus Life &amp; Funeral",_xlfn.XLOOKUP(B54,Table2[Main Member Link ID],Table2[Benefit Name],0)=Lookups!$D$16),"",
IF(AND(Table2[[#This Row],[Member Type]]="Spouse",Table2[[#This Row],[Product Option]]="My Value Plus Life &amp; Funeral",_xlfn.XLOOKUP(B54,Table2[Main Member Link ID],Table2[Benefit Name],0)=Lookups!$D$15),"",
IF(AND(Table2[[#This Row],[Member Type]]="Spouse",Table2[[#This Row],[Product Option]]="My Value Plus Life &amp; Funeral",_xlfn.XLOOKUP(B54,Table2[Main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Funeral",_xlfn.XLOOKUP(B55,Table2[Main Member Link ID],Table2[Benefit Name],0)&lt;&gt;Lookups!$D$15),
IF(_xlfn.XLOOKUP(B55,Table2[Main Member Link ID],Table2[Benefit Name],0)=0,"",_xlfn.XLOOKUP(B55,Table2[Main Member Link ID],Table2[Benefit Name],0)),"")
))))))</f>
        <v/>
      </c>
      <c r="AG55" s="327" t="str">
        <f>IF(AND(Table2[[#This Row],[Member Type]]="Main Member",Table2[[#This Row],[Product Option]]="My Value Plus Life &amp; Funeral"),Lookups!$D$16,
IF(AND(Table2[[#This Row],[Member Type]]="Spouse",Table2[[#This Row],[Product Option]]="My Value Plus Life &amp; Funeral",_xlfn.XLOOKUP(B55,Table2[Main Member Link ID],Table2[Benefit Name],0)=Lookups!$D$14),"",
IF(AND(Table2[[#This Row],[Member Type]]="Spouse",Table2[[#This Row],[Product Option]]="My Value Plus Life &amp; Funeral",_xlfn.XLOOKUP(B54,Table2[Main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Funeral",_xlfn.XLOOKUP(B55,Table2[Main Member Link ID],Table2[Benefit Name],0)&lt;&gt;Lookups!$D$16),
IF(_xlfn.XLOOKUP(B55,Table2[Main Member Link ID],Table2[Benefit Name],0)=0,"",_xlfn.XLOOKUP(B55,Table2[Main Member Link ID],Table2[Benefit Name],0)),"")
))))</f>
        <v/>
      </c>
      <c r="AH55" s="327" t="str">
        <f>IF(AND(Table2[[#This Row],[Member Type]]="Main Member",Table2[[#This Row],[Product Option]]="My Value Plus Life &amp; Funeral"),Lookups!$D$17,
IF(AND(Table2[[#This Row],[Member Type]]="Spouse",Table2[[#This Row],[Product Option]]="My Value Plus Life &amp; Funeral",_xlfn.XLOOKUP(B55,Table2[Main Member Link ID],Table2[Benefit Name],0)=Lookups!$D$14),"",
IF(AND(Table2[[#This Row],[Member Type]]="Spouse",Table2[[#This Row],[Product Option]]="My Value Plus Life &amp; Funeral",_xlfn.XLOOKUP(B54,Table2[Main Member Link ID],Table2[Benefit Name],0)=Lookups!$D$16),"",
IF(AND(Table2[[#This Row],[Member Type]]="Child",Table2[[#This Row],[Product Option]]="My Value Plus Life &amp; Funeral"),"",
IF(AND(Table2[[#This Row],[Member Type]]="Child",Table2[[#This Row],[Product Option]]="My Value Plus Life &amp; Funeral",_xlfn.XLOOKUP(B55,Table2[Main Member Link ID],Table2[Benefit Name],0)=Lookups!$D$15),"",
IF(AND(OR(Table2[[#This Row],[Member Type]]="Spouse",Table2[[#This Row],[Member Type]]="Child"),Table2[[#This Row],[Product Option]]="My Value Plus Life &amp; Funeral",_xlfn.XLOOKUP(B55,Table2[Main Member Link ID],Table2[Benefit Name],0)&lt;&gt;Lookups!$D$17),
IF(_xlfn.XLOOKUP(B55,Table2[Main Member Link ID],Table2[Benefit Name],0)=0,"",_xlfn.XLOOKUP(B55,Table2[Main Member Link ID],Table2[Benefit Name],0)),""))))))</f>
        <v/>
      </c>
      <c r="AI55" s="328" t="str">
        <f>IF(AND(Table2[[#This Row],[Member Type]]="Main Member",Table2[[#This Row],[Table Lookup for Life Cover]]="MM_LIFE",Table2[[#This Row],[Age Next Birthday]]&lt;56),1,
IF(AND(Table2[[#This Row],[Member Type]]="Main Member",Table2[[#This Row],[Table Lookup for Life Cover]]="MM_LIFE",Table2[[#This Row],[Age Next Birthday]]&gt;=56),2,
""))</f>
        <v/>
      </c>
      <c r="AJ55" s="328">
        <f>IF(OR(Table2[[#This Row],[Member Type]]="Main Member",Table2[[#This Row],[Main Member Link ID]]=B54),1,0)</f>
        <v>1</v>
      </c>
      <c r="AK55" s="328">
        <f>IF(Table2[[#This Row],[Member Type]]=0,0,
IF(OR(Table2[[#This Row],[Member Type]]="Main Member",Table2[[#This Row],[Main Member Link ID]]&lt;&gt;B55),COUNTIFS(B:B,Table2[[#This Row],[Main Member Link ID]]),
COUNTIFS(B:B,Table2[[#This Row],[Main Member Link ID]],A:A,Table2[[#This Row],[Member Type]])))</f>
        <v>0</v>
      </c>
    </row>
    <row r="56" spans="1:37" x14ac:dyDescent="0.3">
      <c r="A56" s="284">
        <f>Table13[[#This Row],[Member Type]]</f>
        <v>0</v>
      </c>
      <c r="B56" s="284">
        <f>Table13[[#This Row],[Main Member Link ID]]</f>
        <v>0</v>
      </c>
      <c r="C56" s="284">
        <f>Table13[[#This Row],[ID Number]]</f>
        <v>0</v>
      </c>
      <c r="D56" s="285">
        <f>Table13[[#This Row],[Date Of Birth]]</f>
        <v>0</v>
      </c>
      <c r="E56" s="285">
        <f>Table13[[#This Row],[Commencement Date]]</f>
        <v>0</v>
      </c>
      <c r="F56" s="284">
        <f t="shared" si="0"/>
        <v>1</v>
      </c>
      <c r="G56" s="284">
        <f t="shared" si="4"/>
        <v>25</v>
      </c>
      <c r="H56" s="286">
        <f>Table13[[#This Row],[Product Option]]</f>
        <v>0</v>
      </c>
      <c r="I56" s="284">
        <f>IF(AND($A56="Main Member",Table2[[#This Row],[Product Option]]="My Value Plus Life"),"MM_LIFE",
IF(AND($A56="Spouse",Table2[[#This Row],[Product Option]]="My Value Plus Life"),"SP_LIFE",
IF(AND($A56="Main Member",Table2[[#This Row],[Product Option]]="My Value Plus Life &amp; Funeral"),"MM_LIFE",
IF(AND($A56="Spouse",Table2[[#This Row],[Product Option]]="My Value Plus Life &amp; Funeral"),_xlfn.XLOOKUP(Table2[[#This Row],[Benefit Name]],Lookups!$D$18:$D$23,Lookups!$E$18:$E$23,0),
0))))</f>
        <v>0</v>
      </c>
      <c r="J56" s="284">
        <f>IF($I56="","",
IF($I56="MM_LIFE",INDEX('Quotation Tool'!$S$54:$V$60,MATCH($T56,'Quotation Tool'!$S$54:$S$60,0),4),
IF($I56="SP_LIFE",_xlfn.XLOOKUP(B55,$B:$B,$J:$J,0),0)))</f>
        <v>0</v>
      </c>
      <c r="K56" s="287">
        <f t="shared" ca="1" si="5"/>
        <v>0</v>
      </c>
      <c r="L56" s="288">
        <f t="shared" ca="1" si="6"/>
        <v>0</v>
      </c>
      <c r="M56" s="289">
        <f t="shared" ca="1" si="1"/>
        <v>0</v>
      </c>
      <c r="N56" s="286">
        <f>Table13[[#This Row],[Benefit Option]]</f>
        <v>0</v>
      </c>
      <c r="O56" s="284">
        <f>IF(OR(Table2[[#This Row],[Member Type]]="Spouse",Table2[[#This Row],[Member Type]]="Child"),0,
IF(_xlfn.XLOOKUP($N56,Lookups!$D$13:$D$27,Lookups!$F$13:$F$27,0)=Table2[[#This Row],[Table Lookup for Life Cover]],0,
_xlfn.XLOOKUP($N56,Lookups!$D$13:$D$27,Lookups!$F$13:$F$27,0)))</f>
        <v>0</v>
      </c>
      <c r="P56" s="284">
        <f>IF(Table2[[#This Row],[Table Lookup for Funeral]]=0,0,IFERROR(INDEX('Quotation Tool'!$S$54:$V$60,MATCH($T56,'Quotation Tool'!$S$54:$S$60,0),3),0))</f>
        <v>0</v>
      </c>
      <c r="Q56" s="288">
        <f ca="1">IF(OR(Table2[[#This Row],[Benefit Name]]="My Value Plus Life - Main Member",Table2[[#This Row],[Benefit Name]]="My Value Plus Life - Spouse"),0,
IFERROR(VLOOKUP($G56,INDIRECT($O56),$P56,FALSE),0))</f>
        <v>0</v>
      </c>
      <c r="R56" s="288">
        <f ca="1">IF(OR(Table2[[#This Row],[Benefit Name]]="My Value Plus Life - Main Member",Table2[[#This Row],[Benefit Name]]="My Value Plus Life - Spouse"),0,
IFERROR(VLOOKUP($G56,INDIRECT($O56),$P56+1,FALSE),0))</f>
        <v>0</v>
      </c>
      <c r="S56" s="289">
        <f t="shared" ca="1" si="2"/>
        <v>0</v>
      </c>
      <c r="T56" s="284" t="str">
        <f>IF(Table13[[#This Row],[Premium Waiver]]="","None",Table13[[#This Row],[Premium Waiver]])</f>
        <v>None</v>
      </c>
      <c r="U56" s="284">
        <f>Table13[[#This Row],[VAPs Options]]</f>
        <v>0</v>
      </c>
      <c r="V56" s="284">
        <f>Table13[[#This Row],[Annual Increase Option]]</f>
        <v>0</v>
      </c>
      <c r="W56" s="290">
        <f>Table13[[#This Row],[Life Cover Amount]]</f>
        <v>0</v>
      </c>
      <c r="X56" s="290">
        <f>Table13[[#This Row],[Funeral Cover Amount]]</f>
        <v>0</v>
      </c>
      <c r="Y5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6" s="301">
        <f t="shared" ca="1" si="3"/>
        <v>0</v>
      </c>
      <c r="AB56" s="298"/>
      <c r="AC56" s="326" t="str">
        <f>IF(Table2[[#This Row],[Member Type]]="Main Member",Lookups!$C$13,
IF(Table2[[#This Row],[Member Type]]="Spouse",_xlfn.XLOOKUP(B56,Table2[Main Member Link ID],Table2[Product Option],0),
IF(AND(Table2[[#This Row],[Member Type]]="Child",_xlfn.XLOOKUP(B56,Table2[Main Member Link ID],Table2[Product Option],0)&lt;&gt;"My Value Plus Life"),Lookups!$C$24,
IF(AND(OR(Table2[[#This Row],[Member Type]]="Parent",Table2[[#This Row],[Member Type]]="Extended"),_xlfn.XLOOKUP(B56,Table2[Main Member Link ID],Table2[Product Option],0)&lt;&gt;"My Value Plus Life"),Lookups!$C$26,""))))</f>
        <v/>
      </c>
      <c r="AD56" s="326" t="str">
        <f>IF(Table2[[#This Row],[Member Type]]="Main Member",Lookups!$C$14,"")</f>
        <v/>
      </c>
      <c r="AE5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Funeral",_xlfn.XLOOKUP(B56,Table2[Main Member Link ID],Table2[Benefit Name],0)=Lookups!$D$14),"",
IF(AND(Table2[[#This Row],[Member Type]]="Spouse",Table2[[#This Row],[Product Option]]="My Value Plus Life &amp; Funeral",_xlfn.XLOOKUP(B55,Table2[Main Member Link ID],Table2[Benefit Name],0)=Lookups!$D$15),Lookups!$D$20,
IF(AND(Table2[[#This Row],[Member Type]]="Spouse",Table2[[#This Row],[Product Option]]="My Value Plus Life &amp; Funeral",_xlfn.XLOOKUP(B55,Table2[Main Member Link ID],Table2[Benefit Name],0)=Lookups!$D$16),"",
IF(AND(Table2[[#This Row],[Member Type]]="Spouse",Table2[[#This Row],[Product Option]]="My Value Plus Life &amp; Funeral",_xlfn.XLOOKUP(B55,Table2[Main Member Link ID],Table2[Benefit Name],0)=Lookups!$D$17),Lookups!$D$21,
IF(AND(Table2[[#This Row],[Member Type]]="Child",Table2[[#This Row],[Product Option]]="My Value Plus Life &amp; Funeral",_xlfn.XLOOKUP(B56,Table2[Main Member Link ID],Table2[Benefit Name],0)=Lookups!$D$14),"",
IF(AND(Table2[[#This Row],[Member Type]]="Child",Table2[[#This Row],[Product Option]]="My Value Plus Life &amp; Funeral",_xlfn.XLOOKUP(B56,Table2[Main Member Link ID],Table2[Benefit Name],0)=Lookups!$D$15),"",
IF(AND(Table2[[#This Row],[Member Type]]="Child",Table2[[#This Row],[Product Option]]="My Value Plus Life &amp; Funeral",_xlfn.XLOOKUP(B56,Table2[Main Member Link ID],Table2[Benefit Name],0)=Lookups!$D$16),Lookups!$D$24,
IF(AND(Table2[[#This Row],[Member Type]]="Child",Table2[[#This Row],[Product Option]]="My Value Plus Life &amp; Funeral",_xlfn.XLOOKUP(B56,Table2[Main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Funeral",_xlfn.XLOOKUP(B56,Table2[Main Member Link ID],Table2[Benefit Name],0)&lt;&gt;Lookups!$D$14),
IF(_xlfn.XLOOKUP(B56,Table2[Main Member Link ID],Table2[Benefit Name],0)=0,"",_xlfn.XLOOKUP(B56,Table2[Main Member Link ID],Table2[Benefit Name],0)),"")))))))))))))))</f>
        <v/>
      </c>
      <c r="AF56" s="327" t="str">
        <f>IF(AND(Table2[[#This Row],[Member Type]]="Main Member",Table2[[#This Row],[Product Option]]="My Value Plus Life &amp; Funeral"),Lookups!$D$15,
IF(AND(Table2[[#This Row],[Member Type]]="Spouse",Table2[[#This Row],[Product Option]]="My Value Plus Life &amp; Funeral",_xlfn.XLOOKUP(B56,Table2[Main Member Link ID],Table2[Benefit Name],0)=Lookups!$D$14),"",
IF(AND(Table2[[#This Row],[Member Type]]="Spouse",Table2[[#This Row],[Product Option]]="My Value Plus Life &amp; Funeral",_xlfn.XLOOKUP(B55,Table2[Main Member Link ID],Table2[Benefit Name],0)=Lookups!$D$16),"",
IF(AND(Table2[[#This Row],[Member Type]]="Spouse",Table2[[#This Row],[Product Option]]="My Value Plus Life &amp; Funeral",_xlfn.XLOOKUP(B55,Table2[Main Member Link ID],Table2[Benefit Name],0)=Lookups!$D$15),"",
IF(AND(Table2[[#This Row],[Member Type]]="Spouse",Table2[[#This Row],[Product Option]]="My Value Plus Life &amp; Funeral",_xlfn.XLOOKUP(B55,Table2[Main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Funeral",_xlfn.XLOOKUP(B56,Table2[Main Member Link ID],Table2[Benefit Name],0)&lt;&gt;Lookups!$D$15),
IF(_xlfn.XLOOKUP(B56,Table2[Main Member Link ID],Table2[Benefit Name],0)=0,"",_xlfn.XLOOKUP(B56,Table2[Main Member Link ID],Table2[Benefit Name],0)),"")
))))))</f>
        <v/>
      </c>
      <c r="AG56" s="327" t="str">
        <f>IF(AND(Table2[[#This Row],[Member Type]]="Main Member",Table2[[#This Row],[Product Option]]="My Value Plus Life &amp; Funeral"),Lookups!$D$16,
IF(AND(Table2[[#This Row],[Member Type]]="Spouse",Table2[[#This Row],[Product Option]]="My Value Plus Life &amp; Funeral",_xlfn.XLOOKUP(B56,Table2[Main Member Link ID],Table2[Benefit Name],0)=Lookups!$D$14),"",
IF(AND(Table2[[#This Row],[Member Type]]="Spouse",Table2[[#This Row],[Product Option]]="My Value Plus Life &amp; Funeral",_xlfn.XLOOKUP(B55,Table2[Main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Funeral",_xlfn.XLOOKUP(B56,Table2[Main Member Link ID],Table2[Benefit Name],0)&lt;&gt;Lookups!$D$16),
IF(_xlfn.XLOOKUP(B56,Table2[Main Member Link ID],Table2[Benefit Name],0)=0,"",_xlfn.XLOOKUP(B56,Table2[Main Member Link ID],Table2[Benefit Name],0)),"")
))))</f>
        <v/>
      </c>
      <c r="AH56" s="327" t="str">
        <f>IF(AND(Table2[[#This Row],[Member Type]]="Main Member",Table2[[#This Row],[Product Option]]="My Value Plus Life &amp; Funeral"),Lookups!$D$17,
IF(AND(Table2[[#This Row],[Member Type]]="Spouse",Table2[[#This Row],[Product Option]]="My Value Plus Life &amp; Funeral",_xlfn.XLOOKUP(B56,Table2[Main Member Link ID],Table2[Benefit Name],0)=Lookups!$D$14),"",
IF(AND(Table2[[#This Row],[Member Type]]="Spouse",Table2[[#This Row],[Product Option]]="My Value Plus Life &amp; Funeral",_xlfn.XLOOKUP(B55,Table2[Main Member Link ID],Table2[Benefit Name],0)=Lookups!$D$16),"",
IF(AND(Table2[[#This Row],[Member Type]]="Child",Table2[[#This Row],[Product Option]]="My Value Plus Life &amp; Funeral"),"",
IF(AND(Table2[[#This Row],[Member Type]]="Child",Table2[[#This Row],[Product Option]]="My Value Plus Life &amp; Funeral",_xlfn.XLOOKUP(B56,Table2[Main Member Link ID],Table2[Benefit Name],0)=Lookups!$D$15),"",
IF(AND(OR(Table2[[#This Row],[Member Type]]="Spouse",Table2[[#This Row],[Member Type]]="Child"),Table2[[#This Row],[Product Option]]="My Value Plus Life &amp; Funeral",_xlfn.XLOOKUP(B56,Table2[Main Member Link ID],Table2[Benefit Name],0)&lt;&gt;Lookups!$D$17),
IF(_xlfn.XLOOKUP(B56,Table2[Main Member Link ID],Table2[Benefit Name],0)=0,"",_xlfn.XLOOKUP(B56,Table2[Main Member Link ID],Table2[Benefit Name],0)),""))))))</f>
        <v/>
      </c>
      <c r="AI56" s="328" t="str">
        <f>IF(AND(Table2[[#This Row],[Member Type]]="Main Member",Table2[[#This Row],[Table Lookup for Life Cover]]="MM_LIFE",Table2[[#This Row],[Age Next Birthday]]&lt;56),1,
IF(AND(Table2[[#This Row],[Member Type]]="Main Member",Table2[[#This Row],[Table Lookup for Life Cover]]="MM_LIFE",Table2[[#This Row],[Age Next Birthday]]&gt;=56),2,
""))</f>
        <v/>
      </c>
      <c r="AJ56" s="328">
        <f>IF(OR(Table2[[#This Row],[Member Type]]="Main Member",Table2[[#This Row],[Main Member Link ID]]=B55),1,0)</f>
        <v>1</v>
      </c>
      <c r="AK56" s="328">
        <f>IF(Table2[[#This Row],[Member Type]]=0,0,
IF(OR(Table2[[#This Row],[Member Type]]="Main Member",Table2[[#This Row],[Main Member Link ID]]&lt;&gt;B56),COUNTIFS(B:B,Table2[[#This Row],[Main Member Link ID]]),
COUNTIFS(B:B,Table2[[#This Row],[Main Member Link ID]],A:A,Table2[[#This Row],[Member Type]])))</f>
        <v>0</v>
      </c>
    </row>
    <row r="57" spans="1:37" x14ac:dyDescent="0.3">
      <c r="A57" s="284">
        <f>Table13[[#This Row],[Member Type]]</f>
        <v>0</v>
      </c>
      <c r="B57" s="284">
        <f>Table13[[#This Row],[Main Member Link ID]]</f>
        <v>0</v>
      </c>
      <c r="C57" s="284">
        <f>Table13[[#This Row],[ID Number]]</f>
        <v>0</v>
      </c>
      <c r="D57" s="285">
        <f>Table13[[#This Row],[Date Of Birth]]</f>
        <v>0</v>
      </c>
      <c r="E57" s="285">
        <f>Table13[[#This Row],[Commencement Date]]</f>
        <v>0</v>
      </c>
      <c r="F57" s="284">
        <f t="shared" si="0"/>
        <v>1</v>
      </c>
      <c r="G57" s="284">
        <f t="shared" si="4"/>
        <v>25</v>
      </c>
      <c r="H57" s="286">
        <f>Table13[[#This Row],[Product Option]]</f>
        <v>0</v>
      </c>
      <c r="I57" s="284">
        <f>IF(AND($A57="Main Member",Table2[[#This Row],[Product Option]]="My Value Plus Life"),"MM_LIFE",
IF(AND($A57="Spouse",Table2[[#This Row],[Product Option]]="My Value Plus Life"),"SP_LIFE",
IF(AND($A57="Main Member",Table2[[#This Row],[Product Option]]="My Value Plus Life &amp; Funeral"),"MM_LIFE",
IF(AND($A57="Spouse",Table2[[#This Row],[Product Option]]="My Value Plus Life &amp; Funeral"),_xlfn.XLOOKUP(Table2[[#This Row],[Benefit Name]],Lookups!$D$18:$D$23,Lookups!$E$18:$E$23,0),
0))))</f>
        <v>0</v>
      </c>
      <c r="J57" s="284">
        <f>IF($I57="","",
IF($I57="MM_LIFE",INDEX('Quotation Tool'!$S$54:$V$60,MATCH($T57,'Quotation Tool'!$S$54:$S$60,0),4),
IF($I57="SP_LIFE",_xlfn.XLOOKUP(B56,$B:$B,$J:$J,0),0)))</f>
        <v>0</v>
      </c>
      <c r="K57" s="287">
        <f t="shared" ca="1" si="5"/>
        <v>0</v>
      </c>
      <c r="L57" s="288">
        <f t="shared" ca="1" si="6"/>
        <v>0</v>
      </c>
      <c r="M57" s="289">
        <f t="shared" ca="1" si="1"/>
        <v>0</v>
      </c>
      <c r="N57" s="286">
        <f>Table13[[#This Row],[Benefit Option]]</f>
        <v>0</v>
      </c>
      <c r="O57" s="284">
        <f>IF(OR(Table2[[#This Row],[Member Type]]="Spouse",Table2[[#This Row],[Member Type]]="Child"),0,
IF(_xlfn.XLOOKUP($N57,Lookups!$D$13:$D$27,Lookups!$F$13:$F$27,0)=Table2[[#This Row],[Table Lookup for Life Cover]],0,
_xlfn.XLOOKUP($N57,Lookups!$D$13:$D$27,Lookups!$F$13:$F$27,0)))</f>
        <v>0</v>
      </c>
      <c r="P57" s="284">
        <f>IF(Table2[[#This Row],[Table Lookup for Funeral]]=0,0,IFERROR(INDEX('Quotation Tool'!$S$54:$V$60,MATCH($T57,'Quotation Tool'!$S$54:$S$60,0),3),0))</f>
        <v>0</v>
      </c>
      <c r="Q57" s="288">
        <f ca="1">IF(OR(Table2[[#This Row],[Benefit Name]]="My Value Plus Life - Main Member",Table2[[#This Row],[Benefit Name]]="My Value Plus Life - Spouse"),0,
IFERROR(VLOOKUP($G57,INDIRECT($O57),$P57,FALSE),0))</f>
        <v>0</v>
      </c>
      <c r="R57" s="288">
        <f ca="1">IF(OR(Table2[[#This Row],[Benefit Name]]="My Value Plus Life - Main Member",Table2[[#This Row],[Benefit Name]]="My Value Plus Life - Spouse"),0,
IFERROR(VLOOKUP($G57,INDIRECT($O57),$P57+1,FALSE),0))</f>
        <v>0</v>
      </c>
      <c r="S57" s="289">
        <f t="shared" ca="1" si="2"/>
        <v>0</v>
      </c>
      <c r="T57" s="284" t="str">
        <f>IF(Table13[[#This Row],[Premium Waiver]]="","None",Table13[[#This Row],[Premium Waiver]])</f>
        <v>None</v>
      </c>
      <c r="U57" s="284">
        <f>Table13[[#This Row],[VAPs Options]]</f>
        <v>0</v>
      </c>
      <c r="V57" s="284">
        <f>Table13[[#This Row],[Annual Increase Option]]</f>
        <v>0</v>
      </c>
      <c r="W57" s="290">
        <f>Table13[[#This Row],[Life Cover Amount]]</f>
        <v>0</v>
      </c>
      <c r="X57" s="290">
        <f>Table13[[#This Row],[Funeral Cover Amount]]</f>
        <v>0</v>
      </c>
      <c r="Y5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7" s="301">
        <f t="shared" ca="1" si="3"/>
        <v>0</v>
      </c>
      <c r="AB57" s="298"/>
      <c r="AC57" s="326" t="str">
        <f>IF(Table2[[#This Row],[Member Type]]="Main Member",Lookups!$C$13,
IF(Table2[[#This Row],[Member Type]]="Spouse",_xlfn.XLOOKUP(B57,Table2[Main Member Link ID],Table2[Product Option],0),
IF(AND(Table2[[#This Row],[Member Type]]="Child",_xlfn.XLOOKUP(B57,Table2[Main Member Link ID],Table2[Product Option],0)&lt;&gt;"My Value Plus Life"),Lookups!$C$24,
IF(AND(OR(Table2[[#This Row],[Member Type]]="Parent",Table2[[#This Row],[Member Type]]="Extended"),_xlfn.XLOOKUP(B57,Table2[Main Member Link ID],Table2[Product Option],0)&lt;&gt;"My Value Plus Life"),Lookups!$C$26,""))))</f>
        <v/>
      </c>
      <c r="AD57" s="326" t="str">
        <f>IF(Table2[[#This Row],[Member Type]]="Main Member",Lookups!$C$14,"")</f>
        <v/>
      </c>
      <c r="AE5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Funeral",_xlfn.XLOOKUP(B57,Table2[Main Member Link ID],Table2[Benefit Name],0)=Lookups!$D$14),"",
IF(AND(Table2[[#This Row],[Member Type]]="Spouse",Table2[[#This Row],[Product Option]]="My Value Plus Life &amp; Funeral",_xlfn.XLOOKUP(B56,Table2[Main Member Link ID],Table2[Benefit Name],0)=Lookups!$D$15),Lookups!$D$20,
IF(AND(Table2[[#This Row],[Member Type]]="Spouse",Table2[[#This Row],[Product Option]]="My Value Plus Life &amp; Funeral",_xlfn.XLOOKUP(B56,Table2[Main Member Link ID],Table2[Benefit Name],0)=Lookups!$D$16),"",
IF(AND(Table2[[#This Row],[Member Type]]="Spouse",Table2[[#This Row],[Product Option]]="My Value Plus Life &amp; Funeral",_xlfn.XLOOKUP(B56,Table2[Main Member Link ID],Table2[Benefit Name],0)=Lookups!$D$17),Lookups!$D$21,
IF(AND(Table2[[#This Row],[Member Type]]="Child",Table2[[#This Row],[Product Option]]="My Value Plus Life &amp; Funeral",_xlfn.XLOOKUP(B57,Table2[Main Member Link ID],Table2[Benefit Name],0)=Lookups!$D$14),"",
IF(AND(Table2[[#This Row],[Member Type]]="Child",Table2[[#This Row],[Product Option]]="My Value Plus Life &amp; Funeral",_xlfn.XLOOKUP(B57,Table2[Main Member Link ID],Table2[Benefit Name],0)=Lookups!$D$15),"",
IF(AND(Table2[[#This Row],[Member Type]]="Child",Table2[[#This Row],[Product Option]]="My Value Plus Life &amp; Funeral",_xlfn.XLOOKUP(B57,Table2[Main Member Link ID],Table2[Benefit Name],0)=Lookups!$D$16),Lookups!$D$24,
IF(AND(Table2[[#This Row],[Member Type]]="Child",Table2[[#This Row],[Product Option]]="My Value Plus Life &amp; Funeral",_xlfn.XLOOKUP(B57,Table2[Main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Funeral",_xlfn.XLOOKUP(B57,Table2[Main Member Link ID],Table2[Benefit Name],0)&lt;&gt;Lookups!$D$14),
IF(_xlfn.XLOOKUP(B57,Table2[Main Member Link ID],Table2[Benefit Name],0)=0,"",_xlfn.XLOOKUP(B57,Table2[Main Member Link ID],Table2[Benefit Name],0)),"")))))))))))))))</f>
        <v/>
      </c>
      <c r="AF57" s="327" t="str">
        <f>IF(AND(Table2[[#This Row],[Member Type]]="Main Member",Table2[[#This Row],[Product Option]]="My Value Plus Life &amp; Funeral"),Lookups!$D$15,
IF(AND(Table2[[#This Row],[Member Type]]="Spouse",Table2[[#This Row],[Product Option]]="My Value Plus Life &amp; Funeral",_xlfn.XLOOKUP(B57,Table2[Main Member Link ID],Table2[Benefit Name],0)=Lookups!$D$14),"",
IF(AND(Table2[[#This Row],[Member Type]]="Spouse",Table2[[#This Row],[Product Option]]="My Value Plus Life &amp; Funeral",_xlfn.XLOOKUP(B56,Table2[Main Member Link ID],Table2[Benefit Name],0)=Lookups!$D$16),"",
IF(AND(Table2[[#This Row],[Member Type]]="Spouse",Table2[[#This Row],[Product Option]]="My Value Plus Life &amp; Funeral",_xlfn.XLOOKUP(B56,Table2[Main Member Link ID],Table2[Benefit Name],0)=Lookups!$D$15),"",
IF(AND(Table2[[#This Row],[Member Type]]="Spouse",Table2[[#This Row],[Product Option]]="My Value Plus Life &amp; Funeral",_xlfn.XLOOKUP(B56,Table2[Main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Funeral",_xlfn.XLOOKUP(B57,Table2[Main Member Link ID],Table2[Benefit Name],0)&lt;&gt;Lookups!$D$15),
IF(_xlfn.XLOOKUP(B57,Table2[Main Member Link ID],Table2[Benefit Name],0)=0,"",_xlfn.XLOOKUP(B57,Table2[Main Member Link ID],Table2[Benefit Name],0)),"")
))))))</f>
        <v/>
      </c>
      <c r="AG57" s="327" t="str">
        <f>IF(AND(Table2[[#This Row],[Member Type]]="Main Member",Table2[[#This Row],[Product Option]]="My Value Plus Life &amp; Funeral"),Lookups!$D$16,
IF(AND(Table2[[#This Row],[Member Type]]="Spouse",Table2[[#This Row],[Product Option]]="My Value Plus Life &amp; Funeral",_xlfn.XLOOKUP(B57,Table2[Main Member Link ID],Table2[Benefit Name],0)=Lookups!$D$14),"",
IF(AND(Table2[[#This Row],[Member Type]]="Spouse",Table2[[#This Row],[Product Option]]="My Value Plus Life &amp; Funeral",_xlfn.XLOOKUP(B56,Table2[Main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Funeral",_xlfn.XLOOKUP(B57,Table2[Main Member Link ID],Table2[Benefit Name],0)&lt;&gt;Lookups!$D$16),
IF(_xlfn.XLOOKUP(B57,Table2[Main Member Link ID],Table2[Benefit Name],0)=0,"",_xlfn.XLOOKUP(B57,Table2[Main Member Link ID],Table2[Benefit Name],0)),"")
))))</f>
        <v/>
      </c>
      <c r="AH57" s="327" t="str">
        <f>IF(AND(Table2[[#This Row],[Member Type]]="Main Member",Table2[[#This Row],[Product Option]]="My Value Plus Life &amp; Funeral"),Lookups!$D$17,
IF(AND(Table2[[#This Row],[Member Type]]="Spouse",Table2[[#This Row],[Product Option]]="My Value Plus Life &amp; Funeral",_xlfn.XLOOKUP(B57,Table2[Main Member Link ID],Table2[Benefit Name],0)=Lookups!$D$14),"",
IF(AND(Table2[[#This Row],[Member Type]]="Spouse",Table2[[#This Row],[Product Option]]="My Value Plus Life &amp; Funeral",_xlfn.XLOOKUP(B56,Table2[Main Member Link ID],Table2[Benefit Name],0)=Lookups!$D$16),"",
IF(AND(Table2[[#This Row],[Member Type]]="Child",Table2[[#This Row],[Product Option]]="My Value Plus Life &amp; Funeral"),"",
IF(AND(Table2[[#This Row],[Member Type]]="Child",Table2[[#This Row],[Product Option]]="My Value Plus Life &amp; Funeral",_xlfn.XLOOKUP(B57,Table2[Main Member Link ID],Table2[Benefit Name],0)=Lookups!$D$15),"",
IF(AND(OR(Table2[[#This Row],[Member Type]]="Spouse",Table2[[#This Row],[Member Type]]="Child"),Table2[[#This Row],[Product Option]]="My Value Plus Life &amp; Funeral",_xlfn.XLOOKUP(B57,Table2[Main Member Link ID],Table2[Benefit Name],0)&lt;&gt;Lookups!$D$17),
IF(_xlfn.XLOOKUP(B57,Table2[Main Member Link ID],Table2[Benefit Name],0)=0,"",_xlfn.XLOOKUP(B57,Table2[Main Member Link ID],Table2[Benefit Name],0)),""))))))</f>
        <v/>
      </c>
      <c r="AI57" s="328" t="str">
        <f>IF(AND(Table2[[#This Row],[Member Type]]="Main Member",Table2[[#This Row],[Table Lookup for Life Cover]]="MM_LIFE",Table2[[#This Row],[Age Next Birthday]]&lt;56),1,
IF(AND(Table2[[#This Row],[Member Type]]="Main Member",Table2[[#This Row],[Table Lookup for Life Cover]]="MM_LIFE",Table2[[#This Row],[Age Next Birthday]]&gt;=56),2,
""))</f>
        <v/>
      </c>
      <c r="AJ57" s="328">
        <f>IF(OR(Table2[[#This Row],[Member Type]]="Main Member",Table2[[#This Row],[Main Member Link ID]]=B56),1,0)</f>
        <v>1</v>
      </c>
      <c r="AK57" s="328">
        <f>IF(Table2[[#This Row],[Member Type]]=0,0,
IF(OR(Table2[[#This Row],[Member Type]]="Main Member",Table2[[#This Row],[Main Member Link ID]]&lt;&gt;B57),COUNTIFS(B:B,Table2[[#This Row],[Main Member Link ID]]),
COUNTIFS(B:B,Table2[[#This Row],[Main Member Link ID]],A:A,Table2[[#This Row],[Member Type]])))</f>
        <v>0</v>
      </c>
    </row>
    <row r="58" spans="1:37" x14ac:dyDescent="0.3">
      <c r="A58" s="284">
        <f>Table13[[#This Row],[Member Type]]</f>
        <v>0</v>
      </c>
      <c r="B58" s="284">
        <f>Table13[[#This Row],[Main Member Link ID]]</f>
        <v>0</v>
      </c>
      <c r="C58" s="284">
        <f>Table13[[#This Row],[ID Number]]</f>
        <v>0</v>
      </c>
      <c r="D58" s="285">
        <f>Table13[[#This Row],[Date Of Birth]]</f>
        <v>0</v>
      </c>
      <c r="E58" s="285">
        <f>Table13[[#This Row],[Commencement Date]]</f>
        <v>0</v>
      </c>
      <c r="F58" s="284">
        <f t="shared" si="0"/>
        <v>1</v>
      </c>
      <c r="G58" s="284">
        <f t="shared" si="4"/>
        <v>25</v>
      </c>
      <c r="H58" s="286">
        <f>Table13[[#This Row],[Product Option]]</f>
        <v>0</v>
      </c>
      <c r="I58" s="284">
        <f>IF(AND($A58="Main Member",Table2[[#This Row],[Product Option]]="My Value Plus Life"),"MM_LIFE",
IF(AND($A58="Spouse",Table2[[#This Row],[Product Option]]="My Value Plus Life"),"SP_LIFE",
IF(AND($A58="Main Member",Table2[[#This Row],[Product Option]]="My Value Plus Life &amp; Funeral"),"MM_LIFE",
IF(AND($A58="Spouse",Table2[[#This Row],[Product Option]]="My Value Plus Life &amp; Funeral"),_xlfn.XLOOKUP(Table2[[#This Row],[Benefit Name]],Lookups!$D$18:$D$23,Lookups!$E$18:$E$23,0),
0))))</f>
        <v>0</v>
      </c>
      <c r="J58" s="284">
        <f>IF($I58="","",
IF($I58="MM_LIFE",INDEX('Quotation Tool'!$S$54:$V$60,MATCH($T58,'Quotation Tool'!$S$54:$S$60,0),4),
IF($I58="SP_LIFE",_xlfn.XLOOKUP(B57,$B:$B,$J:$J,0),0)))</f>
        <v>0</v>
      </c>
      <c r="K58" s="287">
        <f t="shared" ca="1" si="5"/>
        <v>0</v>
      </c>
      <c r="L58" s="288">
        <f t="shared" ca="1" si="6"/>
        <v>0</v>
      </c>
      <c r="M58" s="289">
        <f t="shared" ca="1" si="1"/>
        <v>0</v>
      </c>
      <c r="N58" s="286">
        <f>Table13[[#This Row],[Benefit Option]]</f>
        <v>0</v>
      </c>
      <c r="O58" s="284">
        <f>IF(OR(Table2[[#This Row],[Member Type]]="Spouse",Table2[[#This Row],[Member Type]]="Child"),0,
IF(_xlfn.XLOOKUP($N58,Lookups!$D$13:$D$27,Lookups!$F$13:$F$27,0)=Table2[[#This Row],[Table Lookup for Life Cover]],0,
_xlfn.XLOOKUP($N58,Lookups!$D$13:$D$27,Lookups!$F$13:$F$27,0)))</f>
        <v>0</v>
      </c>
      <c r="P58" s="284">
        <f>IF(Table2[[#This Row],[Table Lookup for Funeral]]=0,0,IFERROR(INDEX('Quotation Tool'!$S$54:$V$60,MATCH($T58,'Quotation Tool'!$S$54:$S$60,0),3),0))</f>
        <v>0</v>
      </c>
      <c r="Q58" s="288">
        <f ca="1">IF(OR(Table2[[#This Row],[Benefit Name]]="My Value Plus Life - Main Member",Table2[[#This Row],[Benefit Name]]="My Value Plus Life - Spouse"),0,
IFERROR(VLOOKUP($G58,INDIRECT($O58),$P58,FALSE),0))</f>
        <v>0</v>
      </c>
      <c r="R58" s="288">
        <f ca="1">IF(OR(Table2[[#This Row],[Benefit Name]]="My Value Plus Life - Main Member",Table2[[#This Row],[Benefit Name]]="My Value Plus Life - Spouse"),0,
IFERROR(VLOOKUP($G58,INDIRECT($O58),$P58+1,FALSE),0))</f>
        <v>0</v>
      </c>
      <c r="S58" s="289">
        <f t="shared" ca="1" si="2"/>
        <v>0</v>
      </c>
      <c r="T58" s="284" t="str">
        <f>IF(Table13[[#This Row],[Premium Waiver]]="","None",Table13[[#This Row],[Premium Waiver]])</f>
        <v>None</v>
      </c>
      <c r="U58" s="284">
        <f>Table13[[#This Row],[VAPs Options]]</f>
        <v>0</v>
      </c>
      <c r="V58" s="284">
        <f>Table13[[#This Row],[Annual Increase Option]]</f>
        <v>0</v>
      </c>
      <c r="W58" s="290">
        <f>Table13[[#This Row],[Life Cover Amount]]</f>
        <v>0</v>
      </c>
      <c r="X58" s="290">
        <f>Table13[[#This Row],[Funeral Cover Amount]]</f>
        <v>0</v>
      </c>
      <c r="Y5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8" s="301">
        <f t="shared" ca="1" si="3"/>
        <v>0</v>
      </c>
      <c r="AB58" s="298"/>
      <c r="AC58" s="326" t="str">
        <f>IF(Table2[[#This Row],[Member Type]]="Main Member",Lookups!$C$13,
IF(Table2[[#This Row],[Member Type]]="Spouse",_xlfn.XLOOKUP(B58,Table2[Main Member Link ID],Table2[Product Option],0),
IF(AND(Table2[[#This Row],[Member Type]]="Child",_xlfn.XLOOKUP(B58,Table2[Main Member Link ID],Table2[Product Option],0)&lt;&gt;"My Value Plus Life"),Lookups!$C$24,
IF(AND(OR(Table2[[#This Row],[Member Type]]="Parent",Table2[[#This Row],[Member Type]]="Extended"),_xlfn.XLOOKUP(B58,Table2[Main Member Link ID],Table2[Product Option],0)&lt;&gt;"My Value Plus Life"),Lookups!$C$26,""))))</f>
        <v/>
      </c>
      <c r="AD58" s="326" t="str">
        <f>IF(Table2[[#This Row],[Member Type]]="Main Member",Lookups!$C$14,"")</f>
        <v/>
      </c>
      <c r="AE5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Funeral",_xlfn.XLOOKUP(B58,Table2[Main Member Link ID],Table2[Benefit Name],0)=Lookups!$D$14),"",
IF(AND(Table2[[#This Row],[Member Type]]="Spouse",Table2[[#This Row],[Product Option]]="My Value Plus Life &amp; Funeral",_xlfn.XLOOKUP(B57,Table2[Main Member Link ID],Table2[Benefit Name],0)=Lookups!$D$15),Lookups!$D$20,
IF(AND(Table2[[#This Row],[Member Type]]="Spouse",Table2[[#This Row],[Product Option]]="My Value Plus Life &amp; Funeral",_xlfn.XLOOKUP(B57,Table2[Main Member Link ID],Table2[Benefit Name],0)=Lookups!$D$16),"",
IF(AND(Table2[[#This Row],[Member Type]]="Spouse",Table2[[#This Row],[Product Option]]="My Value Plus Life &amp; Funeral",_xlfn.XLOOKUP(B57,Table2[Main Member Link ID],Table2[Benefit Name],0)=Lookups!$D$17),Lookups!$D$21,
IF(AND(Table2[[#This Row],[Member Type]]="Child",Table2[[#This Row],[Product Option]]="My Value Plus Life &amp; Funeral",_xlfn.XLOOKUP(B58,Table2[Main Member Link ID],Table2[Benefit Name],0)=Lookups!$D$14),"",
IF(AND(Table2[[#This Row],[Member Type]]="Child",Table2[[#This Row],[Product Option]]="My Value Plus Life &amp; Funeral",_xlfn.XLOOKUP(B58,Table2[Main Member Link ID],Table2[Benefit Name],0)=Lookups!$D$15),"",
IF(AND(Table2[[#This Row],[Member Type]]="Child",Table2[[#This Row],[Product Option]]="My Value Plus Life &amp; Funeral",_xlfn.XLOOKUP(B58,Table2[Main Member Link ID],Table2[Benefit Name],0)=Lookups!$D$16),Lookups!$D$24,
IF(AND(Table2[[#This Row],[Member Type]]="Child",Table2[[#This Row],[Product Option]]="My Value Plus Life &amp; Funeral",_xlfn.XLOOKUP(B58,Table2[Main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Funeral",_xlfn.XLOOKUP(B58,Table2[Main Member Link ID],Table2[Benefit Name],0)&lt;&gt;Lookups!$D$14),
IF(_xlfn.XLOOKUP(B58,Table2[Main Member Link ID],Table2[Benefit Name],0)=0,"",_xlfn.XLOOKUP(B58,Table2[Main Member Link ID],Table2[Benefit Name],0)),"")))))))))))))))</f>
        <v/>
      </c>
      <c r="AF58" s="327" t="str">
        <f>IF(AND(Table2[[#This Row],[Member Type]]="Main Member",Table2[[#This Row],[Product Option]]="My Value Plus Life &amp; Funeral"),Lookups!$D$15,
IF(AND(Table2[[#This Row],[Member Type]]="Spouse",Table2[[#This Row],[Product Option]]="My Value Plus Life &amp; Funeral",_xlfn.XLOOKUP(B58,Table2[Main Member Link ID],Table2[Benefit Name],0)=Lookups!$D$14),"",
IF(AND(Table2[[#This Row],[Member Type]]="Spouse",Table2[[#This Row],[Product Option]]="My Value Plus Life &amp; Funeral",_xlfn.XLOOKUP(B57,Table2[Main Member Link ID],Table2[Benefit Name],0)=Lookups!$D$16),"",
IF(AND(Table2[[#This Row],[Member Type]]="Spouse",Table2[[#This Row],[Product Option]]="My Value Plus Life &amp; Funeral",_xlfn.XLOOKUP(B57,Table2[Main Member Link ID],Table2[Benefit Name],0)=Lookups!$D$15),"",
IF(AND(Table2[[#This Row],[Member Type]]="Spouse",Table2[[#This Row],[Product Option]]="My Value Plus Life &amp; Funeral",_xlfn.XLOOKUP(B57,Table2[Main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Funeral",_xlfn.XLOOKUP(B58,Table2[Main Member Link ID],Table2[Benefit Name],0)&lt;&gt;Lookups!$D$15),
IF(_xlfn.XLOOKUP(B58,Table2[Main Member Link ID],Table2[Benefit Name],0)=0,"",_xlfn.XLOOKUP(B58,Table2[Main Member Link ID],Table2[Benefit Name],0)),"")
))))))</f>
        <v/>
      </c>
      <c r="AG58" s="327" t="str">
        <f>IF(AND(Table2[[#This Row],[Member Type]]="Main Member",Table2[[#This Row],[Product Option]]="My Value Plus Life &amp; Funeral"),Lookups!$D$16,
IF(AND(Table2[[#This Row],[Member Type]]="Spouse",Table2[[#This Row],[Product Option]]="My Value Plus Life &amp; Funeral",_xlfn.XLOOKUP(B58,Table2[Main Member Link ID],Table2[Benefit Name],0)=Lookups!$D$14),"",
IF(AND(Table2[[#This Row],[Member Type]]="Spouse",Table2[[#This Row],[Product Option]]="My Value Plus Life &amp; Funeral",_xlfn.XLOOKUP(B57,Table2[Main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Funeral",_xlfn.XLOOKUP(B58,Table2[Main Member Link ID],Table2[Benefit Name],0)&lt;&gt;Lookups!$D$16),
IF(_xlfn.XLOOKUP(B58,Table2[Main Member Link ID],Table2[Benefit Name],0)=0,"",_xlfn.XLOOKUP(B58,Table2[Main Member Link ID],Table2[Benefit Name],0)),"")
))))</f>
        <v/>
      </c>
      <c r="AH58" s="327" t="str">
        <f>IF(AND(Table2[[#This Row],[Member Type]]="Main Member",Table2[[#This Row],[Product Option]]="My Value Plus Life &amp; Funeral"),Lookups!$D$17,
IF(AND(Table2[[#This Row],[Member Type]]="Spouse",Table2[[#This Row],[Product Option]]="My Value Plus Life &amp; Funeral",_xlfn.XLOOKUP(B58,Table2[Main Member Link ID],Table2[Benefit Name],0)=Lookups!$D$14),"",
IF(AND(Table2[[#This Row],[Member Type]]="Spouse",Table2[[#This Row],[Product Option]]="My Value Plus Life &amp; Funeral",_xlfn.XLOOKUP(B57,Table2[Main Member Link ID],Table2[Benefit Name],0)=Lookups!$D$16),"",
IF(AND(Table2[[#This Row],[Member Type]]="Child",Table2[[#This Row],[Product Option]]="My Value Plus Life &amp; Funeral"),"",
IF(AND(Table2[[#This Row],[Member Type]]="Child",Table2[[#This Row],[Product Option]]="My Value Plus Life &amp; Funeral",_xlfn.XLOOKUP(B58,Table2[Main Member Link ID],Table2[Benefit Name],0)=Lookups!$D$15),"",
IF(AND(OR(Table2[[#This Row],[Member Type]]="Spouse",Table2[[#This Row],[Member Type]]="Child"),Table2[[#This Row],[Product Option]]="My Value Plus Life &amp; Funeral",_xlfn.XLOOKUP(B58,Table2[Main Member Link ID],Table2[Benefit Name],0)&lt;&gt;Lookups!$D$17),
IF(_xlfn.XLOOKUP(B58,Table2[Main Member Link ID],Table2[Benefit Name],0)=0,"",_xlfn.XLOOKUP(B58,Table2[Main Member Link ID],Table2[Benefit Name],0)),""))))))</f>
        <v/>
      </c>
      <c r="AI58" s="328" t="str">
        <f>IF(AND(Table2[[#This Row],[Member Type]]="Main Member",Table2[[#This Row],[Table Lookup for Life Cover]]="MM_LIFE",Table2[[#This Row],[Age Next Birthday]]&lt;56),1,
IF(AND(Table2[[#This Row],[Member Type]]="Main Member",Table2[[#This Row],[Table Lookup for Life Cover]]="MM_LIFE",Table2[[#This Row],[Age Next Birthday]]&gt;=56),2,
""))</f>
        <v/>
      </c>
      <c r="AJ58" s="328">
        <f>IF(OR(Table2[[#This Row],[Member Type]]="Main Member",Table2[[#This Row],[Main Member Link ID]]=B57),1,0)</f>
        <v>1</v>
      </c>
      <c r="AK58" s="328">
        <f>IF(Table2[[#This Row],[Member Type]]=0,0,
IF(OR(Table2[[#This Row],[Member Type]]="Main Member",Table2[[#This Row],[Main Member Link ID]]&lt;&gt;B58),COUNTIFS(B:B,Table2[[#This Row],[Main Member Link ID]]),
COUNTIFS(B:B,Table2[[#This Row],[Main Member Link ID]],A:A,Table2[[#This Row],[Member Type]])))</f>
        <v>0</v>
      </c>
    </row>
    <row r="59" spans="1:37" x14ac:dyDescent="0.3">
      <c r="A59" s="284">
        <f>Table13[[#This Row],[Member Type]]</f>
        <v>0</v>
      </c>
      <c r="B59" s="284">
        <f>Table13[[#This Row],[Main Member Link ID]]</f>
        <v>0</v>
      </c>
      <c r="C59" s="284">
        <f>Table13[[#This Row],[ID Number]]</f>
        <v>0</v>
      </c>
      <c r="D59" s="285">
        <f>Table13[[#This Row],[Date Of Birth]]</f>
        <v>0</v>
      </c>
      <c r="E59" s="285">
        <f>Table13[[#This Row],[Commencement Date]]</f>
        <v>0</v>
      </c>
      <c r="F59" s="284">
        <f t="shared" si="0"/>
        <v>1</v>
      </c>
      <c r="G59" s="284">
        <f t="shared" si="4"/>
        <v>25</v>
      </c>
      <c r="H59" s="286">
        <f>Table13[[#This Row],[Product Option]]</f>
        <v>0</v>
      </c>
      <c r="I59" s="284">
        <f>IF(AND($A59="Main Member",Table2[[#This Row],[Product Option]]="My Value Plus Life"),"MM_LIFE",
IF(AND($A59="Spouse",Table2[[#This Row],[Product Option]]="My Value Plus Life"),"SP_LIFE",
IF(AND($A59="Main Member",Table2[[#This Row],[Product Option]]="My Value Plus Life &amp; Funeral"),"MM_LIFE",
IF(AND($A59="Spouse",Table2[[#This Row],[Product Option]]="My Value Plus Life &amp; Funeral"),_xlfn.XLOOKUP(Table2[[#This Row],[Benefit Name]],Lookups!$D$18:$D$23,Lookups!$E$18:$E$23,0),
0))))</f>
        <v>0</v>
      </c>
      <c r="J59" s="284">
        <f>IF($I59="","",
IF($I59="MM_LIFE",INDEX('Quotation Tool'!$S$54:$V$60,MATCH($T59,'Quotation Tool'!$S$54:$S$60,0),4),
IF($I59="SP_LIFE",_xlfn.XLOOKUP(B58,$B:$B,$J:$J,0),0)))</f>
        <v>0</v>
      </c>
      <c r="K59" s="287">
        <f t="shared" ca="1" si="5"/>
        <v>0</v>
      </c>
      <c r="L59" s="288">
        <f t="shared" ca="1" si="6"/>
        <v>0</v>
      </c>
      <c r="M59" s="289">
        <f t="shared" ca="1" si="1"/>
        <v>0</v>
      </c>
      <c r="N59" s="286">
        <f>Table13[[#This Row],[Benefit Option]]</f>
        <v>0</v>
      </c>
      <c r="O59" s="284">
        <f>IF(OR(Table2[[#This Row],[Member Type]]="Spouse",Table2[[#This Row],[Member Type]]="Child"),0,
IF(_xlfn.XLOOKUP($N59,Lookups!$D$13:$D$27,Lookups!$F$13:$F$27,0)=Table2[[#This Row],[Table Lookup for Life Cover]],0,
_xlfn.XLOOKUP($N59,Lookups!$D$13:$D$27,Lookups!$F$13:$F$27,0)))</f>
        <v>0</v>
      </c>
      <c r="P59" s="284">
        <f>IF(Table2[[#This Row],[Table Lookup for Funeral]]=0,0,IFERROR(INDEX('Quotation Tool'!$S$54:$V$60,MATCH($T59,'Quotation Tool'!$S$54:$S$60,0),3),0))</f>
        <v>0</v>
      </c>
      <c r="Q59" s="288">
        <f ca="1">IF(OR(Table2[[#This Row],[Benefit Name]]="My Value Plus Life - Main Member",Table2[[#This Row],[Benefit Name]]="My Value Plus Life - Spouse"),0,
IFERROR(VLOOKUP($G59,INDIRECT($O59),$P59,FALSE),0))</f>
        <v>0</v>
      </c>
      <c r="R59" s="288">
        <f ca="1">IF(OR(Table2[[#This Row],[Benefit Name]]="My Value Plus Life - Main Member",Table2[[#This Row],[Benefit Name]]="My Value Plus Life - Spouse"),0,
IFERROR(VLOOKUP($G59,INDIRECT($O59),$P59+1,FALSE),0))</f>
        <v>0</v>
      </c>
      <c r="S59" s="289">
        <f t="shared" ca="1" si="2"/>
        <v>0</v>
      </c>
      <c r="T59" s="284" t="str">
        <f>IF(Table13[[#This Row],[Premium Waiver]]="","None",Table13[[#This Row],[Premium Waiver]])</f>
        <v>None</v>
      </c>
      <c r="U59" s="284">
        <f>Table13[[#This Row],[VAPs Options]]</f>
        <v>0</v>
      </c>
      <c r="V59" s="284">
        <f>Table13[[#This Row],[Annual Increase Option]]</f>
        <v>0</v>
      </c>
      <c r="W59" s="290">
        <f>Table13[[#This Row],[Life Cover Amount]]</f>
        <v>0</v>
      </c>
      <c r="X59" s="290">
        <f>Table13[[#This Row],[Funeral Cover Amount]]</f>
        <v>0</v>
      </c>
      <c r="Y5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9" s="301">
        <f t="shared" ca="1" si="3"/>
        <v>0</v>
      </c>
      <c r="AB59" s="298"/>
      <c r="AC59" s="326" t="str">
        <f>IF(Table2[[#This Row],[Member Type]]="Main Member",Lookups!$C$13,
IF(Table2[[#This Row],[Member Type]]="Spouse",_xlfn.XLOOKUP(B59,Table2[Main Member Link ID],Table2[Product Option],0),
IF(AND(Table2[[#This Row],[Member Type]]="Child",_xlfn.XLOOKUP(B59,Table2[Main Member Link ID],Table2[Product Option],0)&lt;&gt;"My Value Plus Life"),Lookups!$C$24,
IF(AND(OR(Table2[[#This Row],[Member Type]]="Parent",Table2[[#This Row],[Member Type]]="Extended"),_xlfn.XLOOKUP(B59,Table2[Main Member Link ID],Table2[Product Option],0)&lt;&gt;"My Value Plus Life"),Lookups!$C$26,""))))</f>
        <v/>
      </c>
      <c r="AD59" s="326" t="str">
        <f>IF(Table2[[#This Row],[Member Type]]="Main Member",Lookups!$C$14,"")</f>
        <v/>
      </c>
      <c r="AE5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Funeral",_xlfn.XLOOKUP(B59,Table2[Main Member Link ID],Table2[Benefit Name],0)=Lookups!$D$14),"",
IF(AND(Table2[[#This Row],[Member Type]]="Spouse",Table2[[#This Row],[Product Option]]="My Value Plus Life &amp; Funeral",_xlfn.XLOOKUP(B58,Table2[Main Member Link ID],Table2[Benefit Name],0)=Lookups!$D$15),Lookups!$D$20,
IF(AND(Table2[[#This Row],[Member Type]]="Spouse",Table2[[#This Row],[Product Option]]="My Value Plus Life &amp; Funeral",_xlfn.XLOOKUP(B58,Table2[Main Member Link ID],Table2[Benefit Name],0)=Lookups!$D$16),"",
IF(AND(Table2[[#This Row],[Member Type]]="Spouse",Table2[[#This Row],[Product Option]]="My Value Plus Life &amp; Funeral",_xlfn.XLOOKUP(B58,Table2[Main Member Link ID],Table2[Benefit Name],0)=Lookups!$D$17),Lookups!$D$21,
IF(AND(Table2[[#This Row],[Member Type]]="Child",Table2[[#This Row],[Product Option]]="My Value Plus Life &amp; Funeral",_xlfn.XLOOKUP(B59,Table2[Main Member Link ID],Table2[Benefit Name],0)=Lookups!$D$14),"",
IF(AND(Table2[[#This Row],[Member Type]]="Child",Table2[[#This Row],[Product Option]]="My Value Plus Life &amp; Funeral",_xlfn.XLOOKUP(B59,Table2[Main Member Link ID],Table2[Benefit Name],0)=Lookups!$D$15),"",
IF(AND(Table2[[#This Row],[Member Type]]="Child",Table2[[#This Row],[Product Option]]="My Value Plus Life &amp; Funeral",_xlfn.XLOOKUP(B59,Table2[Main Member Link ID],Table2[Benefit Name],0)=Lookups!$D$16),Lookups!$D$24,
IF(AND(Table2[[#This Row],[Member Type]]="Child",Table2[[#This Row],[Product Option]]="My Value Plus Life &amp; Funeral",_xlfn.XLOOKUP(B59,Table2[Main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Funeral",_xlfn.XLOOKUP(B59,Table2[Main Member Link ID],Table2[Benefit Name],0)&lt;&gt;Lookups!$D$14),
IF(_xlfn.XLOOKUP(B59,Table2[Main Member Link ID],Table2[Benefit Name],0)=0,"",_xlfn.XLOOKUP(B59,Table2[Main Member Link ID],Table2[Benefit Name],0)),"")))))))))))))))</f>
        <v/>
      </c>
      <c r="AF59" s="327" t="str">
        <f>IF(AND(Table2[[#This Row],[Member Type]]="Main Member",Table2[[#This Row],[Product Option]]="My Value Plus Life &amp; Funeral"),Lookups!$D$15,
IF(AND(Table2[[#This Row],[Member Type]]="Spouse",Table2[[#This Row],[Product Option]]="My Value Plus Life &amp; Funeral",_xlfn.XLOOKUP(B59,Table2[Main Member Link ID],Table2[Benefit Name],0)=Lookups!$D$14),"",
IF(AND(Table2[[#This Row],[Member Type]]="Spouse",Table2[[#This Row],[Product Option]]="My Value Plus Life &amp; Funeral",_xlfn.XLOOKUP(B58,Table2[Main Member Link ID],Table2[Benefit Name],0)=Lookups!$D$16),"",
IF(AND(Table2[[#This Row],[Member Type]]="Spouse",Table2[[#This Row],[Product Option]]="My Value Plus Life &amp; Funeral",_xlfn.XLOOKUP(B58,Table2[Main Member Link ID],Table2[Benefit Name],0)=Lookups!$D$15),"",
IF(AND(Table2[[#This Row],[Member Type]]="Spouse",Table2[[#This Row],[Product Option]]="My Value Plus Life &amp; Funeral",_xlfn.XLOOKUP(B58,Table2[Main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Funeral",_xlfn.XLOOKUP(B59,Table2[Main Member Link ID],Table2[Benefit Name],0)&lt;&gt;Lookups!$D$15),
IF(_xlfn.XLOOKUP(B59,Table2[Main Member Link ID],Table2[Benefit Name],0)=0,"",_xlfn.XLOOKUP(B59,Table2[Main Member Link ID],Table2[Benefit Name],0)),"")
))))))</f>
        <v/>
      </c>
      <c r="AG59" s="327" t="str">
        <f>IF(AND(Table2[[#This Row],[Member Type]]="Main Member",Table2[[#This Row],[Product Option]]="My Value Plus Life &amp; Funeral"),Lookups!$D$16,
IF(AND(Table2[[#This Row],[Member Type]]="Spouse",Table2[[#This Row],[Product Option]]="My Value Plus Life &amp; Funeral",_xlfn.XLOOKUP(B59,Table2[Main Member Link ID],Table2[Benefit Name],0)=Lookups!$D$14),"",
IF(AND(Table2[[#This Row],[Member Type]]="Spouse",Table2[[#This Row],[Product Option]]="My Value Plus Life &amp; Funeral",_xlfn.XLOOKUP(B58,Table2[Main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Funeral",_xlfn.XLOOKUP(B59,Table2[Main Member Link ID],Table2[Benefit Name],0)&lt;&gt;Lookups!$D$16),
IF(_xlfn.XLOOKUP(B59,Table2[Main Member Link ID],Table2[Benefit Name],0)=0,"",_xlfn.XLOOKUP(B59,Table2[Main Member Link ID],Table2[Benefit Name],0)),"")
))))</f>
        <v/>
      </c>
      <c r="AH59" s="327" t="str">
        <f>IF(AND(Table2[[#This Row],[Member Type]]="Main Member",Table2[[#This Row],[Product Option]]="My Value Plus Life &amp; Funeral"),Lookups!$D$17,
IF(AND(Table2[[#This Row],[Member Type]]="Spouse",Table2[[#This Row],[Product Option]]="My Value Plus Life &amp; Funeral",_xlfn.XLOOKUP(B59,Table2[Main Member Link ID],Table2[Benefit Name],0)=Lookups!$D$14),"",
IF(AND(Table2[[#This Row],[Member Type]]="Spouse",Table2[[#This Row],[Product Option]]="My Value Plus Life &amp; Funeral",_xlfn.XLOOKUP(B58,Table2[Main Member Link ID],Table2[Benefit Name],0)=Lookups!$D$16),"",
IF(AND(Table2[[#This Row],[Member Type]]="Child",Table2[[#This Row],[Product Option]]="My Value Plus Life &amp; Funeral"),"",
IF(AND(Table2[[#This Row],[Member Type]]="Child",Table2[[#This Row],[Product Option]]="My Value Plus Life &amp; Funeral",_xlfn.XLOOKUP(B59,Table2[Main Member Link ID],Table2[Benefit Name],0)=Lookups!$D$15),"",
IF(AND(OR(Table2[[#This Row],[Member Type]]="Spouse",Table2[[#This Row],[Member Type]]="Child"),Table2[[#This Row],[Product Option]]="My Value Plus Life &amp; Funeral",_xlfn.XLOOKUP(B59,Table2[Main Member Link ID],Table2[Benefit Name],0)&lt;&gt;Lookups!$D$17),
IF(_xlfn.XLOOKUP(B59,Table2[Main Member Link ID],Table2[Benefit Name],0)=0,"",_xlfn.XLOOKUP(B59,Table2[Main Member Link ID],Table2[Benefit Name],0)),""))))))</f>
        <v/>
      </c>
      <c r="AI59" s="328" t="str">
        <f>IF(AND(Table2[[#This Row],[Member Type]]="Main Member",Table2[[#This Row],[Table Lookup for Life Cover]]="MM_LIFE",Table2[[#This Row],[Age Next Birthday]]&lt;56),1,
IF(AND(Table2[[#This Row],[Member Type]]="Main Member",Table2[[#This Row],[Table Lookup for Life Cover]]="MM_LIFE",Table2[[#This Row],[Age Next Birthday]]&gt;=56),2,
""))</f>
        <v/>
      </c>
      <c r="AJ59" s="328">
        <f>IF(OR(Table2[[#This Row],[Member Type]]="Main Member",Table2[[#This Row],[Main Member Link ID]]=B58),1,0)</f>
        <v>1</v>
      </c>
      <c r="AK59" s="328">
        <f>IF(Table2[[#This Row],[Member Type]]=0,0,
IF(OR(Table2[[#This Row],[Member Type]]="Main Member",Table2[[#This Row],[Main Member Link ID]]&lt;&gt;B59),COUNTIFS(B:B,Table2[[#This Row],[Main Member Link ID]]),
COUNTIFS(B:B,Table2[[#This Row],[Main Member Link ID]],A:A,Table2[[#This Row],[Member Type]])))</f>
        <v>0</v>
      </c>
    </row>
    <row r="60" spans="1:37" x14ac:dyDescent="0.3">
      <c r="A60" s="284">
        <f>Table13[[#This Row],[Member Type]]</f>
        <v>0</v>
      </c>
      <c r="B60" s="284">
        <f>Table13[[#This Row],[Main Member Link ID]]</f>
        <v>0</v>
      </c>
      <c r="C60" s="284">
        <f>Table13[[#This Row],[ID Number]]</f>
        <v>0</v>
      </c>
      <c r="D60" s="285">
        <f>Table13[[#This Row],[Date Of Birth]]</f>
        <v>0</v>
      </c>
      <c r="E60" s="285">
        <f>Table13[[#This Row],[Commencement Date]]</f>
        <v>0</v>
      </c>
      <c r="F60" s="284">
        <f t="shared" si="0"/>
        <v>1</v>
      </c>
      <c r="G60" s="284">
        <f t="shared" si="4"/>
        <v>25</v>
      </c>
      <c r="H60" s="286">
        <f>Table13[[#This Row],[Product Option]]</f>
        <v>0</v>
      </c>
      <c r="I60" s="284">
        <f>IF(AND($A60="Main Member",Table2[[#This Row],[Product Option]]="My Value Plus Life"),"MM_LIFE",
IF(AND($A60="Spouse",Table2[[#This Row],[Product Option]]="My Value Plus Life"),"SP_LIFE",
IF(AND($A60="Main Member",Table2[[#This Row],[Product Option]]="My Value Plus Life &amp; Funeral"),"MM_LIFE",
IF(AND($A60="Spouse",Table2[[#This Row],[Product Option]]="My Value Plus Life &amp; Funeral"),_xlfn.XLOOKUP(Table2[[#This Row],[Benefit Name]],Lookups!$D$18:$D$23,Lookups!$E$18:$E$23,0),
0))))</f>
        <v>0</v>
      </c>
      <c r="J60" s="284">
        <f>IF($I60="","",
IF($I60="MM_LIFE",INDEX('Quotation Tool'!$S$54:$V$60,MATCH($T60,'Quotation Tool'!$S$54:$S$60,0),4),
IF($I60="SP_LIFE",_xlfn.XLOOKUP(B59,$B:$B,$J:$J,0),0)))</f>
        <v>0</v>
      </c>
      <c r="K60" s="287">
        <f t="shared" ca="1" si="5"/>
        <v>0</v>
      </c>
      <c r="L60" s="288">
        <f t="shared" ca="1" si="6"/>
        <v>0</v>
      </c>
      <c r="M60" s="289">
        <f t="shared" ca="1" si="1"/>
        <v>0</v>
      </c>
      <c r="N60" s="286">
        <f>Table13[[#This Row],[Benefit Option]]</f>
        <v>0</v>
      </c>
      <c r="O60" s="284">
        <f>IF(OR(Table2[[#This Row],[Member Type]]="Spouse",Table2[[#This Row],[Member Type]]="Child"),0,
IF(_xlfn.XLOOKUP($N60,Lookups!$D$13:$D$27,Lookups!$F$13:$F$27,0)=Table2[[#This Row],[Table Lookup for Life Cover]],0,
_xlfn.XLOOKUP($N60,Lookups!$D$13:$D$27,Lookups!$F$13:$F$27,0)))</f>
        <v>0</v>
      </c>
      <c r="P60" s="284">
        <f>IF(Table2[[#This Row],[Table Lookup for Funeral]]=0,0,IFERROR(INDEX('Quotation Tool'!$S$54:$V$60,MATCH($T60,'Quotation Tool'!$S$54:$S$60,0),3),0))</f>
        <v>0</v>
      </c>
      <c r="Q60" s="288">
        <f ca="1">IF(OR(Table2[[#This Row],[Benefit Name]]="My Value Plus Life - Main Member",Table2[[#This Row],[Benefit Name]]="My Value Plus Life - Spouse"),0,
IFERROR(VLOOKUP($G60,INDIRECT($O60),$P60,FALSE),0))</f>
        <v>0</v>
      </c>
      <c r="R60" s="288">
        <f ca="1">IF(OR(Table2[[#This Row],[Benefit Name]]="My Value Plus Life - Main Member",Table2[[#This Row],[Benefit Name]]="My Value Plus Life - Spouse"),0,
IFERROR(VLOOKUP($G60,INDIRECT($O60),$P60+1,FALSE),0))</f>
        <v>0</v>
      </c>
      <c r="S60" s="289">
        <f t="shared" ca="1" si="2"/>
        <v>0</v>
      </c>
      <c r="T60" s="284" t="str">
        <f>IF(Table13[[#This Row],[Premium Waiver]]="","None",Table13[[#This Row],[Premium Waiver]])</f>
        <v>None</v>
      </c>
      <c r="U60" s="284">
        <f>Table13[[#This Row],[VAPs Options]]</f>
        <v>0</v>
      </c>
      <c r="V60" s="284">
        <f>Table13[[#This Row],[Annual Increase Option]]</f>
        <v>0</v>
      </c>
      <c r="W60" s="290">
        <f>Table13[[#This Row],[Life Cover Amount]]</f>
        <v>0</v>
      </c>
      <c r="X60" s="290">
        <f>Table13[[#This Row],[Funeral Cover Amount]]</f>
        <v>0</v>
      </c>
      <c r="Y6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0" s="301">
        <f t="shared" ca="1" si="3"/>
        <v>0</v>
      </c>
      <c r="AB60" s="298"/>
      <c r="AC60" s="326" t="str">
        <f>IF(Table2[[#This Row],[Member Type]]="Main Member",Lookups!$C$13,
IF(Table2[[#This Row],[Member Type]]="Spouse",_xlfn.XLOOKUP(B60,Table2[Main Member Link ID],Table2[Product Option],0),
IF(AND(Table2[[#This Row],[Member Type]]="Child",_xlfn.XLOOKUP(B60,Table2[Main Member Link ID],Table2[Product Option],0)&lt;&gt;"My Value Plus Life"),Lookups!$C$24,
IF(AND(OR(Table2[[#This Row],[Member Type]]="Parent",Table2[[#This Row],[Member Type]]="Extended"),_xlfn.XLOOKUP(B60,Table2[Main Member Link ID],Table2[Product Option],0)&lt;&gt;"My Value Plus Life"),Lookups!$C$26,""))))</f>
        <v/>
      </c>
      <c r="AD60" s="326" t="str">
        <f>IF(Table2[[#This Row],[Member Type]]="Main Member",Lookups!$C$14,"")</f>
        <v/>
      </c>
      <c r="AE6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Funeral",_xlfn.XLOOKUP(B60,Table2[Main Member Link ID],Table2[Benefit Name],0)=Lookups!$D$14),"",
IF(AND(Table2[[#This Row],[Member Type]]="Spouse",Table2[[#This Row],[Product Option]]="My Value Plus Life &amp; Funeral",_xlfn.XLOOKUP(B59,Table2[Main Member Link ID],Table2[Benefit Name],0)=Lookups!$D$15),Lookups!$D$20,
IF(AND(Table2[[#This Row],[Member Type]]="Spouse",Table2[[#This Row],[Product Option]]="My Value Plus Life &amp; Funeral",_xlfn.XLOOKUP(B59,Table2[Main Member Link ID],Table2[Benefit Name],0)=Lookups!$D$16),"",
IF(AND(Table2[[#This Row],[Member Type]]="Spouse",Table2[[#This Row],[Product Option]]="My Value Plus Life &amp; Funeral",_xlfn.XLOOKUP(B59,Table2[Main Member Link ID],Table2[Benefit Name],0)=Lookups!$D$17),Lookups!$D$21,
IF(AND(Table2[[#This Row],[Member Type]]="Child",Table2[[#This Row],[Product Option]]="My Value Plus Life &amp; Funeral",_xlfn.XLOOKUP(B60,Table2[Main Member Link ID],Table2[Benefit Name],0)=Lookups!$D$14),"",
IF(AND(Table2[[#This Row],[Member Type]]="Child",Table2[[#This Row],[Product Option]]="My Value Plus Life &amp; Funeral",_xlfn.XLOOKUP(B60,Table2[Main Member Link ID],Table2[Benefit Name],0)=Lookups!$D$15),"",
IF(AND(Table2[[#This Row],[Member Type]]="Child",Table2[[#This Row],[Product Option]]="My Value Plus Life &amp; Funeral",_xlfn.XLOOKUP(B60,Table2[Main Member Link ID],Table2[Benefit Name],0)=Lookups!$D$16),Lookups!$D$24,
IF(AND(Table2[[#This Row],[Member Type]]="Child",Table2[[#This Row],[Product Option]]="My Value Plus Life &amp; Funeral",_xlfn.XLOOKUP(B60,Table2[Main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Funeral",_xlfn.XLOOKUP(B60,Table2[Main Member Link ID],Table2[Benefit Name],0)&lt;&gt;Lookups!$D$14),
IF(_xlfn.XLOOKUP(B60,Table2[Main Member Link ID],Table2[Benefit Name],0)=0,"",_xlfn.XLOOKUP(B60,Table2[Main Member Link ID],Table2[Benefit Name],0)),"")))))))))))))))</f>
        <v/>
      </c>
      <c r="AF60" s="327" t="str">
        <f>IF(AND(Table2[[#This Row],[Member Type]]="Main Member",Table2[[#This Row],[Product Option]]="My Value Plus Life &amp; Funeral"),Lookups!$D$15,
IF(AND(Table2[[#This Row],[Member Type]]="Spouse",Table2[[#This Row],[Product Option]]="My Value Plus Life &amp; Funeral",_xlfn.XLOOKUP(B60,Table2[Main Member Link ID],Table2[Benefit Name],0)=Lookups!$D$14),"",
IF(AND(Table2[[#This Row],[Member Type]]="Spouse",Table2[[#This Row],[Product Option]]="My Value Plus Life &amp; Funeral",_xlfn.XLOOKUP(B59,Table2[Main Member Link ID],Table2[Benefit Name],0)=Lookups!$D$16),"",
IF(AND(Table2[[#This Row],[Member Type]]="Spouse",Table2[[#This Row],[Product Option]]="My Value Plus Life &amp; Funeral",_xlfn.XLOOKUP(B59,Table2[Main Member Link ID],Table2[Benefit Name],0)=Lookups!$D$15),"",
IF(AND(Table2[[#This Row],[Member Type]]="Spouse",Table2[[#This Row],[Product Option]]="My Value Plus Life &amp; Funeral",_xlfn.XLOOKUP(B59,Table2[Main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Funeral",_xlfn.XLOOKUP(B60,Table2[Main Member Link ID],Table2[Benefit Name],0)&lt;&gt;Lookups!$D$15),
IF(_xlfn.XLOOKUP(B60,Table2[Main Member Link ID],Table2[Benefit Name],0)=0,"",_xlfn.XLOOKUP(B60,Table2[Main Member Link ID],Table2[Benefit Name],0)),"")
))))))</f>
        <v/>
      </c>
      <c r="AG60" s="327" t="str">
        <f>IF(AND(Table2[[#This Row],[Member Type]]="Main Member",Table2[[#This Row],[Product Option]]="My Value Plus Life &amp; Funeral"),Lookups!$D$16,
IF(AND(Table2[[#This Row],[Member Type]]="Spouse",Table2[[#This Row],[Product Option]]="My Value Plus Life &amp; Funeral",_xlfn.XLOOKUP(B60,Table2[Main Member Link ID],Table2[Benefit Name],0)=Lookups!$D$14),"",
IF(AND(Table2[[#This Row],[Member Type]]="Spouse",Table2[[#This Row],[Product Option]]="My Value Plus Life &amp; Funeral",_xlfn.XLOOKUP(B59,Table2[Main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Funeral",_xlfn.XLOOKUP(B60,Table2[Main Member Link ID],Table2[Benefit Name],0)&lt;&gt;Lookups!$D$16),
IF(_xlfn.XLOOKUP(B60,Table2[Main Member Link ID],Table2[Benefit Name],0)=0,"",_xlfn.XLOOKUP(B60,Table2[Main Member Link ID],Table2[Benefit Name],0)),"")
))))</f>
        <v/>
      </c>
      <c r="AH60" s="327" t="str">
        <f>IF(AND(Table2[[#This Row],[Member Type]]="Main Member",Table2[[#This Row],[Product Option]]="My Value Plus Life &amp; Funeral"),Lookups!$D$17,
IF(AND(Table2[[#This Row],[Member Type]]="Spouse",Table2[[#This Row],[Product Option]]="My Value Plus Life &amp; Funeral",_xlfn.XLOOKUP(B60,Table2[Main Member Link ID],Table2[Benefit Name],0)=Lookups!$D$14),"",
IF(AND(Table2[[#This Row],[Member Type]]="Spouse",Table2[[#This Row],[Product Option]]="My Value Plus Life &amp; Funeral",_xlfn.XLOOKUP(B59,Table2[Main Member Link ID],Table2[Benefit Name],0)=Lookups!$D$16),"",
IF(AND(Table2[[#This Row],[Member Type]]="Child",Table2[[#This Row],[Product Option]]="My Value Plus Life &amp; Funeral"),"",
IF(AND(Table2[[#This Row],[Member Type]]="Child",Table2[[#This Row],[Product Option]]="My Value Plus Life &amp; Funeral",_xlfn.XLOOKUP(B60,Table2[Main Member Link ID],Table2[Benefit Name],0)=Lookups!$D$15),"",
IF(AND(OR(Table2[[#This Row],[Member Type]]="Spouse",Table2[[#This Row],[Member Type]]="Child"),Table2[[#This Row],[Product Option]]="My Value Plus Life &amp; Funeral",_xlfn.XLOOKUP(B60,Table2[Main Member Link ID],Table2[Benefit Name],0)&lt;&gt;Lookups!$D$17),
IF(_xlfn.XLOOKUP(B60,Table2[Main Member Link ID],Table2[Benefit Name],0)=0,"",_xlfn.XLOOKUP(B60,Table2[Main Member Link ID],Table2[Benefit Name],0)),""))))))</f>
        <v/>
      </c>
      <c r="AI60" s="328" t="str">
        <f>IF(AND(Table2[[#This Row],[Member Type]]="Main Member",Table2[[#This Row],[Table Lookup for Life Cover]]="MM_LIFE",Table2[[#This Row],[Age Next Birthday]]&lt;56),1,
IF(AND(Table2[[#This Row],[Member Type]]="Main Member",Table2[[#This Row],[Table Lookup for Life Cover]]="MM_LIFE",Table2[[#This Row],[Age Next Birthday]]&gt;=56),2,
""))</f>
        <v/>
      </c>
      <c r="AJ60" s="328">
        <f>IF(OR(Table2[[#This Row],[Member Type]]="Main Member",Table2[[#This Row],[Main Member Link ID]]=B59),1,0)</f>
        <v>1</v>
      </c>
      <c r="AK60" s="328">
        <f>IF(Table2[[#This Row],[Member Type]]=0,0,
IF(OR(Table2[[#This Row],[Member Type]]="Main Member",Table2[[#This Row],[Main Member Link ID]]&lt;&gt;B60),COUNTIFS(B:B,Table2[[#This Row],[Main Member Link ID]]),
COUNTIFS(B:B,Table2[[#This Row],[Main Member Link ID]],A:A,Table2[[#This Row],[Member Type]])))</f>
        <v>0</v>
      </c>
    </row>
    <row r="61" spans="1:37" x14ac:dyDescent="0.3">
      <c r="A61" s="284">
        <f>Table13[[#This Row],[Member Type]]</f>
        <v>0</v>
      </c>
      <c r="B61" s="284">
        <f>Table13[[#This Row],[Main Member Link ID]]</f>
        <v>0</v>
      </c>
      <c r="C61" s="284">
        <f>Table13[[#This Row],[ID Number]]</f>
        <v>0</v>
      </c>
      <c r="D61" s="285">
        <f>Table13[[#This Row],[Date Of Birth]]</f>
        <v>0</v>
      </c>
      <c r="E61" s="285">
        <f>Table13[[#This Row],[Commencement Date]]</f>
        <v>0</v>
      </c>
      <c r="F61" s="284">
        <f t="shared" si="0"/>
        <v>1</v>
      </c>
      <c r="G61" s="284">
        <f t="shared" si="4"/>
        <v>25</v>
      </c>
      <c r="H61" s="286">
        <f>Table13[[#This Row],[Product Option]]</f>
        <v>0</v>
      </c>
      <c r="I61" s="284">
        <f>IF(AND($A61="Main Member",Table2[[#This Row],[Product Option]]="My Value Plus Life"),"MM_LIFE",
IF(AND($A61="Spouse",Table2[[#This Row],[Product Option]]="My Value Plus Life"),"SP_LIFE",
IF(AND($A61="Main Member",Table2[[#This Row],[Product Option]]="My Value Plus Life &amp; Funeral"),"MM_LIFE",
IF(AND($A61="Spouse",Table2[[#This Row],[Product Option]]="My Value Plus Life &amp; Funeral"),_xlfn.XLOOKUP(Table2[[#This Row],[Benefit Name]],Lookups!$D$18:$D$23,Lookups!$E$18:$E$23,0),
0))))</f>
        <v>0</v>
      </c>
      <c r="J61" s="284">
        <f>IF($I61="","",
IF($I61="MM_LIFE",INDEX('Quotation Tool'!$S$54:$V$60,MATCH($T61,'Quotation Tool'!$S$54:$S$60,0),4),
IF($I61="SP_LIFE",_xlfn.XLOOKUP(B60,$B:$B,$J:$J,0),0)))</f>
        <v>0</v>
      </c>
      <c r="K61" s="287">
        <f t="shared" ca="1" si="5"/>
        <v>0</v>
      </c>
      <c r="L61" s="288">
        <f t="shared" ca="1" si="6"/>
        <v>0</v>
      </c>
      <c r="M61" s="289">
        <f t="shared" ca="1" si="1"/>
        <v>0</v>
      </c>
      <c r="N61" s="286">
        <f>Table13[[#This Row],[Benefit Option]]</f>
        <v>0</v>
      </c>
      <c r="O61" s="284">
        <f>IF(OR(Table2[[#This Row],[Member Type]]="Spouse",Table2[[#This Row],[Member Type]]="Child"),0,
IF(_xlfn.XLOOKUP($N61,Lookups!$D$13:$D$27,Lookups!$F$13:$F$27,0)=Table2[[#This Row],[Table Lookup for Life Cover]],0,
_xlfn.XLOOKUP($N61,Lookups!$D$13:$D$27,Lookups!$F$13:$F$27,0)))</f>
        <v>0</v>
      </c>
      <c r="P61" s="284">
        <f>IF(Table2[[#This Row],[Table Lookup for Funeral]]=0,0,IFERROR(INDEX('Quotation Tool'!$S$54:$V$60,MATCH($T61,'Quotation Tool'!$S$54:$S$60,0),3),0))</f>
        <v>0</v>
      </c>
      <c r="Q61" s="288">
        <f ca="1">IF(OR(Table2[[#This Row],[Benefit Name]]="My Value Plus Life - Main Member",Table2[[#This Row],[Benefit Name]]="My Value Plus Life - Spouse"),0,
IFERROR(VLOOKUP($G61,INDIRECT($O61),$P61,FALSE),0))</f>
        <v>0</v>
      </c>
      <c r="R61" s="288">
        <f ca="1">IF(OR(Table2[[#This Row],[Benefit Name]]="My Value Plus Life - Main Member",Table2[[#This Row],[Benefit Name]]="My Value Plus Life - Spouse"),0,
IFERROR(VLOOKUP($G61,INDIRECT($O61),$P61+1,FALSE),0))</f>
        <v>0</v>
      </c>
      <c r="S61" s="289">
        <f t="shared" ca="1" si="2"/>
        <v>0</v>
      </c>
      <c r="T61" s="284" t="str">
        <f>IF(Table13[[#This Row],[Premium Waiver]]="","None",Table13[[#This Row],[Premium Waiver]])</f>
        <v>None</v>
      </c>
      <c r="U61" s="284">
        <f>Table13[[#This Row],[VAPs Options]]</f>
        <v>0</v>
      </c>
      <c r="V61" s="284">
        <f>Table13[[#This Row],[Annual Increase Option]]</f>
        <v>0</v>
      </c>
      <c r="W61" s="290">
        <f>Table13[[#This Row],[Life Cover Amount]]</f>
        <v>0</v>
      </c>
      <c r="X61" s="290">
        <f>Table13[[#This Row],[Funeral Cover Amount]]</f>
        <v>0</v>
      </c>
      <c r="Y6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1" s="301">
        <f t="shared" ca="1" si="3"/>
        <v>0</v>
      </c>
      <c r="AB61" s="298"/>
      <c r="AC61" s="326" t="str">
        <f>IF(Table2[[#This Row],[Member Type]]="Main Member",Lookups!$C$13,
IF(Table2[[#This Row],[Member Type]]="Spouse",_xlfn.XLOOKUP(B61,Table2[Main Member Link ID],Table2[Product Option],0),
IF(AND(Table2[[#This Row],[Member Type]]="Child",_xlfn.XLOOKUP(B61,Table2[Main Member Link ID],Table2[Product Option],0)&lt;&gt;"My Value Plus Life"),Lookups!$C$24,
IF(AND(OR(Table2[[#This Row],[Member Type]]="Parent",Table2[[#This Row],[Member Type]]="Extended"),_xlfn.XLOOKUP(B61,Table2[Main Member Link ID],Table2[Product Option],0)&lt;&gt;"My Value Plus Life"),Lookups!$C$26,""))))</f>
        <v/>
      </c>
      <c r="AD61" s="326" t="str">
        <f>IF(Table2[[#This Row],[Member Type]]="Main Member",Lookups!$C$14,"")</f>
        <v/>
      </c>
      <c r="AE6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Funeral",_xlfn.XLOOKUP(B61,Table2[Main Member Link ID],Table2[Benefit Name],0)=Lookups!$D$14),"",
IF(AND(Table2[[#This Row],[Member Type]]="Spouse",Table2[[#This Row],[Product Option]]="My Value Plus Life &amp; Funeral",_xlfn.XLOOKUP(B60,Table2[Main Member Link ID],Table2[Benefit Name],0)=Lookups!$D$15),Lookups!$D$20,
IF(AND(Table2[[#This Row],[Member Type]]="Spouse",Table2[[#This Row],[Product Option]]="My Value Plus Life &amp; Funeral",_xlfn.XLOOKUP(B60,Table2[Main Member Link ID],Table2[Benefit Name],0)=Lookups!$D$16),"",
IF(AND(Table2[[#This Row],[Member Type]]="Spouse",Table2[[#This Row],[Product Option]]="My Value Plus Life &amp; Funeral",_xlfn.XLOOKUP(B60,Table2[Main Member Link ID],Table2[Benefit Name],0)=Lookups!$D$17),Lookups!$D$21,
IF(AND(Table2[[#This Row],[Member Type]]="Child",Table2[[#This Row],[Product Option]]="My Value Plus Life &amp; Funeral",_xlfn.XLOOKUP(B61,Table2[Main Member Link ID],Table2[Benefit Name],0)=Lookups!$D$14),"",
IF(AND(Table2[[#This Row],[Member Type]]="Child",Table2[[#This Row],[Product Option]]="My Value Plus Life &amp; Funeral",_xlfn.XLOOKUP(B61,Table2[Main Member Link ID],Table2[Benefit Name],0)=Lookups!$D$15),"",
IF(AND(Table2[[#This Row],[Member Type]]="Child",Table2[[#This Row],[Product Option]]="My Value Plus Life &amp; Funeral",_xlfn.XLOOKUP(B61,Table2[Main Member Link ID],Table2[Benefit Name],0)=Lookups!$D$16),Lookups!$D$24,
IF(AND(Table2[[#This Row],[Member Type]]="Child",Table2[[#This Row],[Product Option]]="My Value Plus Life &amp; Funeral",_xlfn.XLOOKUP(B61,Table2[Main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Funeral",_xlfn.XLOOKUP(B61,Table2[Main Member Link ID],Table2[Benefit Name],0)&lt;&gt;Lookups!$D$14),
IF(_xlfn.XLOOKUP(B61,Table2[Main Member Link ID],Table2[Benefit Name],0)=0,"",_xlfn.XLOOKUP(B61,Table2[Main Member Link ID],Table2[Benefit Name],0)),"")))))))))))))))</f>
        <v/>
      </c>
      <c r="AF61" s="327" t="str">
        <f>IF(AND(Table2[[#This Row],[Member Type]]="Main Member",Table2[[#This Row],[Product Option]]="My Value Plus Life &amp; Funeral"),Lookups!$D$15,
IF(AND(Table2[[#This Row],[Member Type]]="Spouse",Table2[[#This Row],[Product Option]]="My Value Plus Life &amp; Funeral",_xlfn.XLOOKUP(B61,Table2[Main Member Link ID],Table2[Benefit Name],0)=Lookups!$D$14),"",
IF(AND(Table2[[#This Row],[Member Type]]="Spouse",Table2[[#This Row],[Product Option]]="My Value Plus Life &amp; Funeral",_xlfn.XLOOKUP(B60,Table2[Main Member Link ID],Table2[Benefit Name],0)=Lookups!$D$16),"",
IF(AND(Table2[[#This Row],[Member Type]]="Spouse",Table2[[#This Row],[Product Option]]="My Value Plus Life &amp; Funeral",_xlfn.XLOOKUP(B60,Table2[Main Member Link ID],Table2[Benefit Name],0)=Lookups!$D$15),"",
IF(AND(Table2[[#This Row],[Member Type]]="Spouse",Table2[[#This Row],[Product Option]]="My Value Plus Life &amp; Funeral",_xlfn.XLOOKUP(B60,Table2[Main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Funeral",_xlfn.XLOOKUP(B61,Table2[Main Member Link ID],Table2[Benefit Name],0)&lt;&gt;Lookups!$D$15),
IF(_xlfn.XLOOKUP(B61,Table2[Main Member Link ID],Table2[Benefit Name],0)=0,"",_xlfn.XLOOKUP(B61,Table2[Main Member Link ID],Table2[Benefit Name],0)),"")
))))))</f>
        <v/>
      </c>
      <c r="AG61" s="327" t="str">
        <f>IF(AND(Table2[[#This Row],[Member Type]]="Main Member",Table2[[#This Row],[Product Option]]="My Value Plus Life &amp; Funeral"),Lookups!$D$16,
IF(AND(Table2[[#This Row],[Member Type]]="Spouse",Table2[[#This Row],[Product Option]]="My Value Plus Life &amp; Funeral",_xlfn.XLOOKUP(B61,Table2[Main Member Link ID],Table2[Benefit Name],0)=Lookups!$D$14),"",
IF(AND(Table2[[#This Row],[Member Type]]="Spouse",Table2[[#This Row],[Product Option]]="My Value Plus Life &amp; Funeral",_xlfn.XLOOKUP(B60,Table2[Main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Funeral",_xlfn.XLOOKUP(B61,Table2[Main Member Link ID],Table2[Benefit Name],0)&lt;&gt;Lookups!$D$16),
IF(_xlfn.XLOOKUP(B61,Table2[Main Member Link ID],Table2[Benefit Name],0)=0,"",_xlfn.XLOOKUP(B61,Table2[Main Member Link ID],Table2[Benefit Name],0)),"")
))))</f>
        <v/>
      </c>
      <c r="AH61" s="327" t="str">
        <f>IF(AND(Table2[[#This Row],[Member Type]]="Main Member",Table2[[#This Row],[Product Option]]="My Value Plus Life &amp; Funeral"),Lookups!$D$17,
IF(AND(Table2[[#This Row],[Member Type]]="Spouse",Table2[[#This Row],[Product Option]]="My Value Plus Life &amp; Funeral",_xlfn.XLOOKUP(B61,Table2[Main Member Link ID],Table2[Benefit Name],0)=Lookups!$D$14),"",
IF(AND(Table2[[#This Row],[Member Type]]="Spouse",Table2[[#This Row],[Product Option]]="My Value Plus Life &amp; Funeral",_xlfn.XLOOKUP(B60,Table2[Main Member Link ID],Table2[Benefit Name],0)=Lookups!$D$16),"",
IF(AND(Table2[[#This Row],[Member Type]]="Child",Table2[[#This Row],[Product Option]]="My Value Plus Life &amp; Funeral"),"",
IF(AND(Table2[[#This Row],[Member Type]]="Child",Table2[[#This Row],[Product Option]]="My Value Plus Life &amp; Funeral",_xlfn.XLOOKUP(B61,Table2[Main Member Link ID],Table2[Benefit Name],0)=Lookups!$D$15),"",
IF(AND(OR(Table2[[#This Row],[Member Type]]="Spouse",Table2[[#This Row],[Member Type]]="Child"),Table2[[#This Row],[Product Option]]="My Value Plus Life &amp; Funeral",_xlfn.XLOOKUP(B61,Table2[Main Member Link ID],Table2[Benefit Name],0)&lt;&gt;Lookups!$D$17),
IF(_xlfn.XLOOKUP(B61,Table2[Main Member Link ID],Table2[Benefit Name],0)=0,"",_xlfn.XLOOKUP(B61,Table2[Main Member Link ID],Table2[Benefit Name],0)),""))))))</f>
        <v/>
      </c>
      <c r="AI61" s="328" t="str">
        <f>IF(AND(Table2[[#This Row],[Member Type]]="Main Member",Table2[[#This Row],[Table Lookup for Life Cover]]="MM_LIFE",Table2[[#This Row],[Age Next Birthday]]&lt;56),1,
IF(AND(Table2[[#This Row],[Member Type]]="Main Member",Table2[[#This Row],[Table Lookup for Life Cover]]="MM_LIFE",Table2[[#This Row],[Age Next Birthday]]&gt;=56),2,
""))</f>
        <v/>
      </c>
      <c r="AJ61" s="328">
        <f>IF(OR(Table2[[#This Row],[Member Type]]="Main Member",Table2[[#This Row],[Main Member Link ID]]=B60),1,0)</f>
        <v>1</v>
      </c>
      <c r="AK61" s="328">
        <f>IF(Table2[[#This Row],[Member Type]]=0,0,
IF(OR(Table2[[#This Row],[Member Type]]="Main Member",Table2[[#This Row],[Main Member Link ID]]&lt;&gt;B61),COUNTIFS(B:B,Table2[[#This Row],[Main Member Link ID]]),
COUNTIFS(B:B,Table2[[#This Row],[Main Member Link ID]],A:A,Table2[[#This Row],[Member Type]])))</f>
        <v>0</v>
      </c>
    </row>
    <row r="62" spans="1:37" x14ac:dyDescent="0.3">
      <c r="A62" s="284">
        <f>Table13[[#This Row],[Member Type]]</f>
        <v>0</v>
      </c>
      <c r="B62" s="284">
        <f>Table13[[#This Row],[Main Member Link ID]]</f>
        <v>0</v>
      </c>
      <c r="C62" s="284">
        <f>Table13[[#This Row],[ID Number]]</f>
        <v>0</v>
      </c>
      <c r="D62" s="285">
        <f>Table13[[#This Row],[Date Of Birth]]</f>
        <v>0</v>
      </c>
      <c r="E62" s="285">
        <f>Table13[[#This Row],[Commencement Date]]</f>
        <v>0</v>
      </c>
      <c r="F62" s="284">
        <f t="shared" si="0"/>
        <v>1</v>
      </c>
      <c r="G62" s="284">
        <f t="shared" si="4"/>
        <v>25</v>
      </c>
      <c r="H62" s="286">
        <f>Table13[[#This Row],[Product Option]]</f>
        <v>0</v>
      </c>
      <c r="I62" s="284">
        <f>IF(AND($A62="Main Member",Table2[[#This Row],[Product Option]]="My Value Plus Life"),"MM_LIFE",
IF(AND($A62="Spouse",Table2[[#This Row],[Product Option]]="My Value Plus Life"),"SP_LIFE",
IF(AND($A62="Main Member",Table2[[#This Row],[Product Option]]="My Value Plus Life &amp; Funeral"),"MM_LIFE",
IF(AND($A62="Spouse",Table2[[#This Row],[Product Option]]="My Value Plus Life &amp; Funeral"),_xlfn.XLOOKUP(Table2[[#This Row],[Benefit Name]],Lookups!$D$18:$D$23,Lookups!$E$18:$E$23,0),
0))))</f>
        <v>0</v>
      </c>
      <c r="J62" s="284">
        <f>IF($I62="","",
IF($I62="MM_LIFE",INDEX('Quotation Tool'!$S$54:$V$60,MATCH($T62,'Quotation Tool'!$S$54:$S$60,0),4),
IF($I62="SP_LIFE",_xlfn.XLOOKUP(B61,$B:$B,$J:$J,0),0)))</f>
        <v>0</v>
      </c>
      <c r="K62" s="287">
        <f t="shared" ca="1" si="5"/>
        <v>0</v>
      </c>
      <c r="L62" s="288">
        <f t="shared" ca="1" si="6"/>
        <v>0</v>
      </c>
      <c r="M62" s="289">
        <f t="shared" ca="1" si="1"/>
        <v>0</v>
      </c>
      <c r="N62" s="286">
        <f>Table13[[#This Row],[Benefit Option]]</f>
        <v>0</v>
      </c>
      <c r="O62" s="284">
        <f>IF(OR(Table2[[#This Row],[Member Type]]="Spouse",Table2[[#This Row],[Member Type]]="Child"),0,
IF(_xlfn.XLOOKUP($N62,Lookups!$D$13:$D$27,Lookups!$F$13:$F$27,0)=Table2[[#This Row],[Table Lookup for Life Cover]],0,
_xlfn.XLOOKUP($N62,Lookups!$D$13:$D$27,Lookups!$F$13:$F$27,0)))</f>
        <v>0</v>
      </c>
      <c r="P62" s="284">
        <f>IF(Table2[[#This Row],[Table Lookup for Funeral]]=0,0,IFERROR(INDEX('Quotation Tool'!$S$54:$V$60,MATCH($T62,'Quotation Tool'!$S$54:$S$60,0),3),0))</f>
        <v>0</v>
      </c>
      <c r="Q62" s="288">
        <f ca="1">IF(OR(Table2[[#This Row],[Benefit Name]]="My Value Plus Life - Main Member",Table2[[#This Row],[Benefit Name]]="My Value Plus Life - Spouse"),0,
IFERROR(VLOOKUP($G62,INDIRECT($O62),$P62,FALSE),0))</f>
        <v>0</v>
      </c>
      <c r="R62" s="288">
        <f ca="1">IF(OR(Table2[[#This Row],[Benefit Name]]="My Value Plus Life - Main Member",Table2[[#This Row],[Benefit Name]]="My Value Plus Life - Spouse"),0,
IFERROR(VLOOKUP($G62,INDIRECT($O62),$P62+1,FALSE),0))</f>
        <v>0</v>
      </c>
      <c r="S62" s="289">
        <f t="shared" ca="1" si="2"/>
        <v>0</v>
      </c>
      <c r="T62" s="284" t="str">
        <f>IF(Table13[[#This Row],[Premium Waiver]]="","None",Table13[[#This Row],[Premium Waiver]])</f>
        <v>None</v>
      </c>
      <c r="U62" s="284">
        <f>Table13[[#This Row],[VAPs Options]]</f>
        <v>0</v>
      </c>
      <c r="V62" s="284">
        <f>Table13[[#This Row],[Annual Increase Option]]</f>
        <v>0</v>
      </c>
      <c r="W62" s="290">
        <f>Table13[[#This Row],[Life Cover Amount]]</f>
        <v>0</v>
      </c>
      <c r="X62" s="290">
        <f>Table13[[#This Row],[Funeral Cover Amount]]</f>
        <v>0</v>
      </c>
      <c r="Y6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2" s="301">
        <f t="shared" ca="1" si="3"/>
        <v>0</v>
      </c>
      <c r="AB62" s="298"/>
      <c r="AC62" s="326" t="str">
        <f>IF(Table2[[#This Row],[Member Type]]="Main Member",Lookups!$C$13,
IF(Table2[[#This Row],[Member Type]]="Spouse",_xlfn.XLOOKUP(B62,Table2[Main Member Link ID],Table2[Product Option],0),
IF(AND(Table2[[#This Row],[Member Type]]="Child",_xlfn.XLOOKUP(B62,Table2[Main Member Link ID],Table2[Product Option],0)&lt;&gt;"My Value Plus Life"),Lookups!$C$24,
IF(AND(OR(Table2[[#This Row],[Member Type]]="Parent",Table2[[#This Row],[Member Type]]="Extended"),_xlfn.XLOOKUP(B62,Table2[Main Member Link ID],Table2[Product Option],0)&lt;&gt;"My Value Plus Life"),Lookups!$C$26,""))))</f>
        <v/>
      </c>
      <c r="AD62" s="326" t="str">
        <f>IF(Table2[[#This Row],[Member Type]]="Main Member",Lookups!$C$14,"")</f>
        <v/>
      </c>
      <c r="AE6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Funeral",_xlfn.XLOOKUP(B62,Table2[Main Member Link ID],Table2[Benefit Name],0)=Lookups!$D$14),"",
IF(AND(Table2[[#This Row],[Member Type]]="Spouse",Table2[[#This Row],[Product Option]]="My Value Plus Life &amp; Funeral",_xlfn.XLOOKUP(B61,Table2[Main Member Link ID],Table2[Benefit Name],0)=Lookups!$D$15),Lookups!$D$20,
IF(AND(Table2[[#This Row],[Member Type]]="Spouse",Table2[[#This Row],[Product Option]]="My Value Plus Life &amp; Funeral",_xlfn.XLOOKUP(B61,Table2[Main Member Link ID],Table2[Benefit Name],0)=Lookups!$D$16),"",
IF(AND(Table2[[#This Row],[Member Type]]="Spouse",Table2[[#This Row],[Product Option]]="My Value Plus Life &amp; Funeral",_xlfn.XLOOKUP(B61,Table2[Main Member Link ID],Table2[Benefit Name],0)=Lookups!$D$17),Lookups!$D$21,
IF(AND(Table2[[#This Row],[Member Type]]="Child",Table2[[#This Row],[Product Option]]="My Value Plus Life &amp; Funeral",_xlfn.XLOOKUP(B62,Table2[Main Member Link ID],Table2[Benefit Name],0)=Lookups!$D$14),"",
IF(AND(Table2[[#This Row],[Member Type]]="Child",Table2[[#This Row],[Product Option]]="My Value Plus Life &amp; Funeral",_xlfn.XLOOKUP(B62,Table2[Main Member Link ID],Table2[Benefit Name],0)=Lookups!$D$15),"",
IF(AND(Table2[[#This Row],[Member Type]]="Child",Table2[[#This Row],[Product Option]]="My Value Plus Life &amp; Funeral",_xlfn.XLOOKUP(B62,Table2[Main Member Link ID],Table2[Benefit Name],0)=Lookups!$D$16),Lookups!$D$24,
IF(AND(Table2[[#This Row],[Member Type]]="Child",Table2[[#This Row],[Product Option]]="My Value Plus Life &amp; Funeral",_xlfn.XLOOKUP(B62,Table2[Main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Funeral",_xlfn.XLOOKUP(B62,Table2[Main Member Link ID],Table2[Benefit Name],0)&lt;&gt;Lookups!$D$14),
IF(_xlfn.XLOOKUP(B62,Table2[Main Member Link ID],Table2[Benefit Name],0)=0,"",_xlfn.XLOOKUP(B62,Table2[Main Member Link ID],Table2[Benefit Name],0)),"")))))))))))))))</f>
        <v/>
      </c>
      <c r="AF62" s="327" t="str">
        <f>IF(AND(Table2[[#This Row],[Member Type]]="Main Member",Table2[[#This Row],[Product Option]]="My Value Plus Life &amp; Funeral"),Lookups!$D$15,
IF(AND(Table2[[#This Row],[Member Type]]="Spouse",Table2[[#This Row],[Product Option]]="My Value Plus Life &amp; Funeral",_xlfn.XLOOKUP(B62,Table2[Main Member Link ID],Table2[Benefit Name],0)=Lookups!$D$14),"",
IF(AND(Table2[[#This Row],[Member Type]]="Spouse",Table2[[#This Row],[Product Option]]="My Value Plus Life &amp; Funeral",_xlfn.XLOOKUP(B61,Table2[Main Member Link ID],Table2[Benefit Name],0)=Lookups!$D$16),"",
IF(AND(Table2[[#This Row],[Member Type]]="Spouse",Table2[[#This Row],[Product Option]]="My Value Plus Life &amp; Funeral",_xlfn.XLOOKUP(B61,Table2[Main Member Link ID],Table2[Benefit Name],0)=Lookups!$D$15),"",
IF(AND(Table2[[#This Row],[Member Type]]="Spouse",Table2[[#This Row],[Product Option]]="My Value Plus Life &amp; Funeral",_xlfn.XLOOKUP(B61,Table2[Main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Funeral",_xlfn.XLOOKUP(B62,Table2[Main Member Link ID],Table2[Benefit Name],0)&lt;&gt;Lookups!$D$15),
IF(_xlfn.XLOOKUP(B62,Table2[Main Member Link ID],Table2[Benefit Name],0)=0,"",_xlfn.XLOOKUP(B62,Table2[Main Member Link ID],Table2[Benefit Name],0)),"")
))))))</f>
        <v/>
      </c>
      <c r="AG62" s="327" t="str">
        <f>IF(AND(Table2[[#This Row],[Member Type]]="Main Member",Table2[[#This Row],[Product Option]]="My Value Plus Life &amp; Funeral"),Lookups!$D$16,
IF(AND(Table2[[#This Row],[Member Type]]="Spouse",Table2[[#This Row],[Product Option]]="My Value Plus Life &amp; Funeral",_xlfn.XLOOKUP(B62,Table2[Main Member Link ID],Table2[Benefit Name],0)=Lookups!$D$14),"",
IF(AND(Table2[[#This Row],[Member Type]]="Spouse",Table2[[#This Row],[Product Option]]="My Value Plus Life &amp; Funeral",_xlfn.XLOOKUP(B61,Table2[Main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Funeral",_xlfn.XLOOKUP(B62,Table2[Main Member Link ID],Table2[Benefit Name],0)&lt;&gt;Lookups!$D$16),
IF(_xlfn.XLOOKUP(B62,Table2[Main Member Link ID],Table2[Benefit Name],0)=0,"",_xlfn.XLOOKUP(B62,Table2[Main Member Link ID],Table2[Benefit Name],0)),"")
))))</f>
        <v/>
      </c>
      <c r="AH62" s="327" t="str">
        <f>IF(AND(Table2[[#This Row],[Member Type]]="Main Member",Table2[[#This Row],[Product Option]]="My Value Plus Life &amp; Funeral"),Lookups!$D$17,
IF(AND(Table2[[#This Row],[Member Type]]="Spouse",Table2[[#This Row],[Product Option]]="My Value Plus Life &amp; Funeral",_xlfn.XLOOKUP(B62,Table2[Main Member Link ID],Table2[Benefit Name],0)=Lookups!$D$14),"",
IF(AND(Table2[[#This Row],[Member Type]]="Spouse",Table2[[#This Row],[Product Option]]="My Value Plus Life &amp; Funeral",_xlfn.XLOOKUP(B61,Table2[Main Member Link ID],Table2[Benefit Name],0)=Lookups!$D$16),"",
IF(AND(Table2[[#This Row],[Member Type]]="Child",Table2[[#This Row],[Product Option]]="My Value Plus Life &amp; Funeral"),"",
IF(AND(Table2[[#This Row],[Member Type]]="Child",Table2[[#This Row],[Product Option]]="My Value Plus Life &amp; Funeral",_xlfn.XLOOKUP(B62,Table2[Main Member Link ID],Table2[Benefit Name],0)=Lookups!$D$15),"",
IF(AND(OR(Table2[[#This Row],[Member Type]]="Spouse",Table2[[#This Row],[Member Type]]="Child"),Table2[[#This Row],[Product Option]]="My Value Plus Life &amp; Funeral",_xlfn.XLOOKUP(B62,Table2[Main Member Link ID],Table2[Benefit Name],0)&lt;&gt;Lookups!$D$17),
IF(_xlfn.XLOOKUP(B62,Table2[Main Member Link ID],Table2[Benefit Name],0)=0,"",_xlfn.XLOOKUP(B62,Table2[Main Member Link ID],Table2[Benefit Name],0)),""))))))</f>
        <v/>
      </c>
      <c r="AI62" s="328" t="str">
        <f>IF(AND(Table2[[#This Row],[Member Type]]="Main Member",Table2[[#This Row],[Table Lookup for Life Cover]]="MM_LIFE",Table2[[#This Row],[Age Next Birthday]]&lt;56),1,
IF(AND(Table2[[#This Row],[Member Type]]="Main Member",Table2[[#This Row],[Table Lookup for Life Cover]]="MM_LIFE",Table2[[#This Row],[Age Next Birthday]]&gt;=56),2,
""))</f>
        <v/>
      </c>
      <c r="AJ62" s="328">
        <f>IF(OR(Table2[[#This Row],[Member Type]]="Main Member",Table2[[#This Row],[Main Member Link ID]]=B61),1,0)</f>
        <v>1</v>
      </c>
      <c r="AK62" s="328">
        <f>IF(Table2[[#This Row],[Member Type]]=0,0,
IF(OR(Table2[[#This Row],[Member Type]]="Main Member",Table2[[#This Row],[Main Member Link ID]]&lt;&gt;B62),COUNTIFS(B:B,Table2[[#This Row],[Main Member Link ID]]),
COUNTIFS(B:B,Table2[[#This Row],[Main Member Link ID]],A:A,Table2[[#This Row],[Member Type]])))</f>
        <v>0</v>
      </c>
    </row>
    <row r="63" spans="1:37" x14ac:dyDescent="0.3">
      <c r="A63" s="284">
        <f>Table13[[#This Row],[Member Type]]</f>
        <v>0</v>
      </c>
      <c r="B63" s="284">
        <f>Table13[[#This Row],[Main Member Link ID]]</f>
        <v>0</v>
      </c>
      <c r="C63" s="284">
        <f>Table13[[#This Row],[ID Number]]</f>
        <v>0</v>
      </c>
      <c r="D63" s="285">
        <f>Table13[[#This Row],[Date Of Birth]]</f>
        <v>0</v>
      </c>
      <c r="E63" s="285">
        <f>Table13[[#This Row],[Commencement Date]]</f>
        <v>0</v>
      </c>
      <c r="F63" s="284">
        <f t="shared" si="0"/>
        <v>1</v>
      </c>
      <c r="G63" s="284">
        <f t="shared" si="4"/>
        <v>25</v>
      </c>
      <c r="H63" s="286">
        <f>Table13[[#This Row],[Product Option]]</f>
        <v>0</v>
      </c>
      <c r="I63" s="284">
        <f>IF(AND($A63="Main Member",Table2[[#This Row],[Product Option]]="My Value Plus Life"),"MM_LIFE",
IF(AND($A63="Spouse",Table2[[#This Row],[Product Option]]="My Value Plus Life"),"SP_LIFE",
IF(AND($A63="Main Member",Table2[[#This Row],[Product Option]]="My Value Plus Life &amp; Funeral"),"MM_LIFE",
IF(AND($A63="Spouse",Table2[[#This Row],[Product Option]]="My Value Plus Life &amp; Funeral"),_xlfn.XLOOKUP(Table2[[#This Row],[Benefit Name]],Lookups!$D$18:$D$23,Lookups!$E$18:$E$23,0),
0))))</f>
        <v>0</v>
      </c>
      <c r="J63" s="284">
        <f>IF($I63="","",
IF($I63="MM_LIFE",INDEX('Quotation Tool'!$S$54:$V$60,MATCH($T63,'Quotation Tool'!$S$54:$S$60,0),4),
IF($I63="SP_LIFE",_xlfn.XLOOKUP(B62,$B:$B,$J:$J,0),0)))</f>
        <v>0</v>
      </c>
      <c r="K63" s="287">
        <f t="shared" ca="1" si="5"/>
        <v>0</v>
      </c>
      <c r="L63" s="288">
        <f t="shared" ca="1" si="6"/>
        <v>0</v>
      </c>
      <c r="M63" s="289">
        <f t="shared" ca="1" si="1"/>
        <v>0</v>
      </c>
      <c r="N63" s="286">
        <f>Table13[[#This Row],[Benefit Option]]</f>
        <v>0</v>
      </c>
      <c r="O63" s="284">
        <f>IF(OR(Table2[[#This Row],[Member Type]]="Spouse",Table2[[#This Row],[Member Type]]="Child"),0,
IF(_xlfn.XLOOKUP($N63,Lookups!$D$13:$D$27,Lookups!$F$13:$F$27,0)=Table2[[#This Row],[Table Lookup for Life Cover]],0,
_xlfn.XLOOKUP($N63,Lookups!$D$13:$D$27,Lookups!$F$13:$F$27,0)))</f>
        <v>0</v>
      </c>
      <c r="P63" s="284">
        <f>IF(Table2[[#This Row],[Table Lookup for Funeral]]=0,0,IFERROR(INDEX('Quotation Tool'!$S$54:$V$60,MATCH($T63,'Quotation Tool'!$S$54:$S$60,0),3),0))</f>
        <v>0</v>
      </c>
      <c r="Q63" s="288">
        <f ca="1">IF(OR(Table2[[#This Row],[Benefit Name]]="My Value Plus Life - Main Member",Table2[[#This Row],[Benefit Name]]="My Value Plus Life - Spouse"),0,
IFERROR(VLOOKUP($G63,INDIRECT($O63),$P63,FALSE),0))</f>
        <v>0</v>
      </c>
      <c r="R63" s="288">
        <f ca="1">IF(OR(Table2[[#This Row],[Benefit Name]]="My Value Plus Life - Main Member",Table2[[#This Row],[Benefit Name]]="My Value Plus Life - Spouse"),0,
IFERROR(VLOOKUP($G63,INDIRECT($O63),$P63+1,FALSE),0))</f>
        <v>0</v>
      </c>
      <c r="S63" s="289">
        <f t="shared" ca="1" si="2"/>
        <v>0</v>
      </c>
      <c r="T63" s="284" t="str">
        <f>IF(Table13[[#This Row],[Premium Waiver]]="","None",Table13[[#This Row],[Premium Waiver]])</f>
        <v>None</v>
      </c>
      <c r="U63" s="284">
        <f>Table13[[#This Row],[VAPs Options]]</f>
        <v>0</v>
      </c>
      <c r="V63" s="284">
        <f>Table13[[#This Row],[Annual Increase Option]]</f>
        <v>0</v>
      </c>
      <c r="W63" s="290">
        <f>Table13[[#This Row],[Life Cover Amount]]</f>
        <v>0</v>
      </c>
      <c r="X63" s="290">
        <f>Table13[[#This Row],[Funeral Cover Amount]]</f>
        <v>0</v>
      </c>
      <c r="Y6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3" s="301">
        <f t="shared" ca="1" si="3"/>
        <v>0</v>
      </c>
      <c r="AB63" s="298"/>
      <c r="AC63" s="326" t="str">
        <f>IF(Table2[[#This Row],[Member Type]]="Main Member",Lookups!$C$13,
IF(Table2[[#This Row],[Member Type]]="Spouse",_xlfn.XLOOKUP(B63,Table2[Main Member Link ID],Table2[Product Option],0),
IF(AND(Table2[[#This Row],[Member Type]]="Child",_xlfn.XLOOKUP(B63,Table2[Main Member Link ID],Table2[Product Option],0)&lt;&gt;"My Value Plus Life"),Lookups!$C$24,
IF(AND(OR(Table2[[#This Row],[Member Type]]="Parent",Table2[[#This Row],[Member Type]]="Extended"),_xlfn.XLOOKUP(B63,Table2[Main Member Link ID],Table2[Product Option],0)&lt;&gt;"My Value Plus Life"),Lookups!$C$26,""))))</f>
        <v/>
      </c>
      <c r="AD63" s="326" t="str">
        <f>IF(Table2[[#This Row],[Member Type]]="Main Member",Lookups!$C$14,"")</f>
        <v/>
      </c>
      <c r="AE6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Funeral",_xlfn.XLOOKUP(B63,Table2[Main Member Link ID],Table2[Benefit Name],0)=Lookups!$D$14),"",
IF(AND(Table2[[#This Row],[Member Type]]="Spouse",Table2[[#This Row],[Product Option]]="My Value Plus Life &amp; Funeral",_xlfn.XLOOKUP(B62,Table2[Main Member Link ID],Table2[Benefit Name],0)=Lookups!$D$15),Lookups!$D$20,
IF(AND(Table2[[#This Row],[Member Type]]="Spouse",Table2[[#This Row],[Product Option]]="My Value Plus Life &amp; Funeral",_xlfn.XLOOKUP(B62,Table2[Main Member Link ID],Table2[Benefit Name],0)=Lookups!$D$16),"",
IF(AND(Table2[[#This Row],[Member Type]]="Spouse",Table2[[#This Row],[Product Option]]="My Value Plus Life &amp; Funeral",_xlfn.XLOOKUP(B62,Table2[Main Member Link ID],Table2[Benefit Name],0)=Lookups!$D$17),Lookups!$D$21,
IF(AND(Table2[[#This Row],[Member Type]]="Child",Table2[[#This Row],[Product Option]]="My Value Plus Life &amp; Funeral",_xlfn.XLOOKUP(B63,Table2[Main Member Link ID],Table2[Benefit Name],0)=Lookups!$D$14),"",
IF(AND(Table2[[#This Row],[Member Type]]="Child",Table2[[#This Row],[Product Option]]="My Value Plus Life &amp; Funeral",_xlfn.XLOOKUP(B63,Table2[Main Member Link ID],Table2[Benefit Name],0)=Lookups!$D$15),"",
IF(AND(Table2[[#This Row],[Member Type]]="Child",Table2[[#This Row],[Product Option]]="My Value Plus Life &amp; Funeral",_xlfn.XLOOKUP(B63,Table2[Main Member Link ID],Table2[Benefit Name],0)=Lookups!$D$16),Lookups!$D$24,
IF(AND(Table2[[#This Row],[Member Type]]="Child",Table2[[#This Row],[Product Option]]="My Value Plus Life &amp; Funeral",_xlfn.XLOOKUP(B63,Table2[Main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Funeral",_xlfn.XLOOKUP(B63,Table2[Main Member Link ID],Table2[Benefit Name],0)&lt;&gt;Lookups!$D$14),
IF(_xlfn.XLOOKUP(B63,Table2[Main Member Link ID],Table2[Benefit Name],0)=0,"",_xlfn.XLOOKUP(B63,Table2[Main Member Link ID],Table2[Benefit Name],0)),"")))))))))))))))</f>
        <v/>
      </c>
      <c r="AF63" s="327" t="str">
        <f>IF(AND(Table2[[#This Row],[Member Type]]="Main Member",Table2[[#This Row],[Product Option]]="My Value Plus Life &amp; Funeral"),Lookups!$D$15,
IF(AND(Table2[[#This Row],[Member Type]]="Spouse",Table2[[#This Row],[Product Option]]="My Value Plus Life &amp; Funeral",_xlfn.XLOOKUP(B63,Table2[Main Member Link ID],Table2[Benefit Name],0)=Lookups!$D$14),"",
IF(AND(Table2[[#This Row],[Member Type]]="Spouse",Table2[[#This Row],[Product Option]]="My Value Plus Life &amp; Funeral",_xlfn.XLOOKUP(B62,Table2[Main Member Link ID],Table2[Benefit Name],0)=Lookups!$D$16),"",
IF(AND(Table2[[#This Row],[Member Type]]="Spouse",Table2[[#This Row],[Product Option]]="My Value Plus Life &amp; Funeral",_xlfn.XLOOKUP(B62,Table2[Main Member Link ID],Table2[Benefit Name],0)=Lookups!$D$15),"",
IF(AND(Table2[[#This Row],[Member Type]]="Spouse",Table2[[#This Row],[Product Option]]="My Value Plus Life &amp; Funeral",_xlfn.XLOOKUP(B62,Table2[Main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Funeral",_xlfn.XLOOKUP(B63,Table2[Main Member Link ID],Table2[Benefit Name],0)&lt;&gt;Lookups!$D$15),
IF(_xlfn.XLOOKUP(B63,Table2[Main Member Link ID],Table2[Benefit Name],0)=0,"",_xlfn.XLOOKUP(B63,Table2[Main Member Link ID],Table2[Benefit Name],0)),"")
))))))</f>
        <v/>
      </c>
      <c r="AG63" s="327" t="str">
        <f>IF(AND(Table2[[#This Row],[Member Type]]="Main Member",Table2[[#This Row],[Product Option]]="My Value Plus Life &amp; Funeral"),Lookups!$D$16,
IF(AND(Table2[[#This Row],[Member Type]]="Spouse",Table2[[#This Row],[Product Option]]="My Value Plus Life &amp; Funeral",_xlfn.XLOOKUP(B63,Table2[Main Member Link ID],Table2[Benefit Name],0)=Lookups!$D$14),"",
IF(AND(Table2[[#This Row],[Member Type]]="Spouse",Table2[[#This Row],[Product Option]]="My Value Plus Life &amp; Funeral",_xlfn.XLOOKUP(B62,Table2[Main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Funeral",_xlfn.XLOOKUP(B63,Table2[Main Member Link ID],Table2[Benefit Name],0)&lt;&gt;Lookups!$D$16),
IF(_xlfn.XLOOKUP(B63,Table2[Main Member Link ID],Table2[Benefit Name],0)=0,"",_xlfn.XLOOKUP(B63,Table2[Main Member Link ID],Table2[Benefit Name],0)),"")
))))</f>
        <v/>
      </c>
      <c r="AH63" s="327" t="str">
        <f>IF(AND(Table2[[#This Row],[Member Type]]="Main Member",Table2[[#This Row],[Product Option]]="My Value Plus Life &amp; Funeral"),Lookups!$D$17,
IF(AND(Table2[[#This Row],[Member Type]]="Spouse",Table2[[#This Row],[Product Option]]="My Value Plus Life &amp; Funeral",_xlfn.XLOOKUP(B63,Table2[Main Member Link ID],Table2[Benefit Name],0)=Lookups!$D$14),"",
IF(AND(Table2[[#This Row],[Member Type]]="Spouse",Table2[[#This Row],[Product Option]]="My Value Plus Life &amp; Funeral",_xlfn.XLOOKUP(B62,Table2[Main Member Link ID],Table2[Benefit Name],0)=Lookups!$D$16),"",
IF(AND(Table2[[#This Row],[Member Type]]="Child",Table2[[#This Row],[Product Option]]="My Value Plus Life &amp; Funeral"),"",
IF(AND(Table2[[#This Row],[Member Type]]="Child",Table2[[#This Row],[Product Option]]="My Value Plus Life &amp; Funeral",_xlfn.XLOOKUP(B63,Table2[Main Member Link ID],Table2[Benefit Name],0)=Lookups!$D$15),"",
IF(AND(OR(Table2[[#This Row],[Member Type]]="Spouse",Table2[[#This Row],[Member Type]]="Child"),Table2[[#This Row],[Product Option]]="My Value Plus Life &amp; Funeral",_xlfn.XLOOKUP(B63,Table2[Main Member Link ID],Table2[Benefit Name],0)&lt;&gt;Lookups!$D$17),
IF(_xlfn.XLOOKUP(B63,Table2[Main Member Link ID],Table2[Benefit Name],0)=0,"",_xlfn.XLOOKUP(B63,Table2[Main Member Link ID],Table2[Benefit Name],0)),""))))))</f>
        <v/>
      </c>
      <c r="AI63" s="328" t="str">
        <f>IF(AND(Table2[[#This Row],[Member Type]]="Main Member",Table2[[#This Row],[Table Lookup for Life Cover]]="MM_LIFE",Table2[[#This Row],[Age Next Birthday]]&lt;56),1,
IF(AND(Table2[[#This Row],[Member Type]]="Main Member",Table2[[#This Row],[Table Lookup for Life Cover]]="MM_LIFE",Table2[[#This Row],[Age Next Birthday]]&gt;=56),2,
""))</f>
        <v/>
      </c>
      <c r="AJ63" s="328">
        <f>IF(OR(Table2[[#This Row],[Member Type]]="Main Member",Table2[[#This Row],[Main Member Link ID]]=B62),1,0)</f>
        <v>1</v>
      </c>
      <c r="AK63" s="328">
        <f>IF(Table2[[#This Row],[Member Type]]=0,0,
IF(OR(Table2[[#This Row],[Member Type]]="Main Member",Table2[[#This Row],[Main Member Link ID]]&lt;&gt;B63),COUNTIFS(B:B,Table2[[#This Row],[Main Member Link ID]]),
COUNTIFS(B:B,Table2[[#This Row],[Main Member Link ID]],A:A,Table2[[#This Row],[Member Type]])))</f>
        <v>0</v>
      </c>
    </row>
    <row r="64" spans="1:37" x14ac:dyDescent="0.3">
      <c r="A64" s="284">
        <f>Table13[[#This Row],[Member Type]]</f>
        <v>0</v>
      </c>
      <c r="B64" s="284">
        <f>Table13[[#This Row],[Main Member Link ID]]</f>
        <v>0</v>
      </c>
      <c r="C64" s="284">
        <f>Table13[[#This Row],[ID Number]]</f>
        <v>0</v>
      </c>
      <c r="D64" s="285">
        <f>Table13[[#This Row],[Date Of Birth]]</f>
        <v>0</v>
      </c>
      <c r="E64" s="285">
        <f>Table13[[#This Row],[Commencement Date]]</f>
        <v>0</v>
      </c>
      <c r="F64" s="284">
        <f t="shared" si="0"/>
        <v>1</v>
      </c>
      <c r="G64" s="284">
        <f t="shared" si="4"/>
        <v>25</v>
      </c>
      <c r="H64" s="286">
        <f>Table13[[#This Row],[Product Option]]</f>
        <v>0</v>
      </c>
      <c r="I64" s="284">
        <f>IF(AND($A64="Main Member",Table2[[#This Row],[Product Option]]="My Value Plus Life"),"MM_LIFE",
IF(AND($A64="Spouse",Table2[[#This Row],[Product Option]]="My Value Plus Life"),"SP_LIFE",
IF(AND($A64="Main Member",Table2[[#This Row],[Product Option]]="My Value Plus Life &amp; Funeral"),"MM_LIFE",
IF(AND($A64="Spouse",Table2[[#This Row],[Product Option]]="My Value Plus Life &amp; Funeral"),_xlfn.XLOOKUP(Table2[[#This Row],[Benefit Name]],Lookups!$D$18:$D$23,Lookups!$E$18:$E$23,0),
0))))</f>
        <v>0</v>
      </c>
      <c r="J64" s="284">
        <f>IF($I64="","",
IF($I64="MM_LIFE",INDEX('Quotation Tool'!$S$54:$V$60,MATCH($T64,'Quotation Tool'!$S$54:$S$60,0),4),
IF($I64="SP_LIFE",_xlfn.XLOOKUP(B63,$B:$B,$J:$J,0),0)))</f>
        <v>0</v>
      </c>
      <c r="K64" s="287">
        <f t="shared" ca="1" si="5"/>
        <v>0</v>
      </c>
      <c r="L64" s="288">
        <f t="shared" ca="1" si="6"/>
        <v>0</v>
      </c>
      <c r="M64" s="289">
        <f t="shared" ca="1" si="1"/>
        <v>0</v>
      </c>
      <c r="N64" s="286">
        <f>Table13[[#This Row],[Benefit Option]]</f>
        <v>0</v>
      </c>
      <c r="O64" s="284">
        <f>IF(OR(Table2[[#This Row],[Member Type]]="Spouse",Table2[[#This Row],[Member Type]]="Child"),0,
IF(_xlfn.XLOOKUP($N64,Lookups!$D$13:$D$27,Lookups!$F$13:$F$27,0)=Table2[[#This Row],[Table Lookup for Life Cover]],0,
_xlfn.XLOOKUP($N64,Lookups!$D$13:$D$27,Lookups!$F$13:$F$27,0)))</f>
        <v>0</v>
      </c>
      <c r="P64" s="284">
        <f>IF(Table2[[#This Row],[Table Lookup for Funeral]]=0,0,IFERROR(INDEX('Quotation Tool'!$S$54:$V$60,MATCH($T64,'Quotation Tool'!$S$54:$S$60,0),3),0))</f>
        <v>0</v>
      </c>
      <c r="Q64" s="288">
        <f ca="1">IF(OR(Table2[[#This Row],[Benefit Name]]="My Value Plus Life - Main Member",Table2[[#This Row],[Benefit Name]]="My Value Plus Life - Spouse"),0,
IFERROR(VLOOKUP($G64,INDIRECT($O64),$P64,FALSE),0))</f>
        <v>0</v>
      </c>
      <c r="R64" s="288">
        <f ca="1">IF(OR(Table2[[#This Row],[Benefit Name]]="My Value Plus Life - Main Member",Table2[[#This Row],[Benefit Name]]="My Value Plus Life - Spouse"),0,
IFERROR(VLOOKUP($G64,INDIRECT($O64),$P64+1,FALSE),0))</f>
        <v>0</v>
      </c>
      <c r="S64" s="289">
        <f t="shared" ca="1" si="2"/>
        <v>0</v>
      </c>
      <c r="T64" s="284" t="str">
        <f>IF(Table13[[#This Row],[Premium Waiver]]="","None",Table13[[#This Row],[Premium Waiver]])</f>
        <v>None</v>
      </c>
      <c r="U64" s="284">
        <f>Table13[[#This Row],[VAPs Options]]</f>
        <v>0</v>
      </c>
      <c r="V64" s="284">
        <f>Table13[[#This Row],[Annual Increase Option]]</f>
        <v>0</v>
      </c>
      <c r="W64" s="290">
        <f>Table13[[#This Row],[Life Cover Amount]]</f>
        <v>0</v>
      </c>
      <c r="X64" s="290">
        <f>Table13[[#This Row],[Funeral Cover Amount]]</f>
        <v>0</v>
      </c>
      <c r="Y6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4" s="301">
        <f t="shared" ca="1" si="3"/>
        <v>0</v>
      </c>
      <c r="AB64" s="298"/>
      <c r="AC64" s="326" t="str">
        <f>IF(Table2[[#This Row],[Member Type]]="Main Member",Lookups!$C$13,
IF(Table2[[#This Row],[Member Type]]="Spouse",_xlfn.XLOOKUP(B64,Table2[Main Member Link ID],Table2[Product Option],0),
IF(AND(Table2[[#This Row],[Member Type]]="Child",_xlfn.XLOOKUP(B64,Table2[Main Member Link ID],Table2[Product Option],0)&lt;&gt;"My Value Plus Life"),Lookups!$C$24,
IF(AND(OR(Table2[[#This Row],[Member Type]]="Parent",Table2[[#This Row],[Member Type]]="Extended"),_xlfn.XLOOKUP(B64,Table2[Main Member Link ID],Table2[Product Option],0)&lt;&gt;"My Value Plus Life"),Lookups!$C$26,""))))</f>
        <v/>
      </c>
      <c r="AD64" s="326" t="str">
        <f>IF(Table2[[#This Row],[Member Type]]="Main Member",Lookups!$C$14,"")</f>
        <v/>
      </c>
      <c r="AE6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Funeral",_xlfn.XLOOKUP(B64,Table2[Main Member Link ID],Table2[Benefit Name],0)=Lookups!$D$14),"",
IF(AND(Table2[[#This Row],[Member Type]]="Spouse",Table2[[#This Row],[Product Option]]="My Value Plus Life &amp; Funeral",_xlfn.XLOOKUP(B63,Table2[Main Member Link ID],Table2[Benefit Name],0)=Lookups!$D$15),Lookups!$D$20,
IF(AND(Table2[[#This Row],[Member Type]]="Spouse",Table2[[#This Row],[Product Option]]="My Value Plus Life &amp; Funeral",_xlfn.XLOOKUP(B63,Table2[Main Member Link ID],Table2[Benefit Name],0)=Lookups!$D$16),"",
IF(AND(Table2[[#This Row],[Member Type]]="Spouse",Table2[[#This Row],[Product Option]]="My Value Plus Life &amp; Funeral",_xlfn.XLOOKUP(B63,Table2[Main Member Link ID],Table2[Benefit Name],0)=Lookups!$D$17),Lookups!$D$21,
IF(AND(Table2[[#This Row],[Member Type]]="Child",Table2[[#This Row],[Product Option]]="My Value Plus Life &amp; Funeral",_xlfn.XLOOKUP(B64,Table2[Main Member Link ID],Table2[Benefit Name],0)=Lookups!$D$14),"",
IF(AND(Table2[[#This Row],[Member Type]]="Child",Table2[[#This Row],[Product Option]]="My Value Plus Life &amp; Funeral",_xlfn.XLOOKUP(B64,Table2[Main Member Link ID],Table2[Benefit Name],0)=Lookups!$D$15),"",
IF(AND(Table2[[#This Row],[Member Type]]="Child",Table2[[#This Row],[Product Option]]="My Value Plus Life &amp; Funeral",_xlfn.XLOOKUP(B64,Table2[Main Member Link ID],Table2[Benefit Name],0)=Lookups!$D$16),Lookups!$D$24,
IF(AND(Table2[[#This Row],[Member Type]]="Child",Table2[[#This Row],[Product Option]]="My Value Plus Life &amp; Funeral",_xlfn.XLOOKUP(B64,Table2[Main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Funeral",_xlfn.XLOOKUP(B64,Table2[Main Member Link ID],Table2[Benefit Name],0)&lt;&gt;Lookups!$D$14),
IF(_xlfn.XLOOKUP(B64,Table2[Main Member Link ID],Table2[Benefit Name],0)=0,"",_xlfn.XLOOKUP(B64,Table2[Main Member Link ID],Table2[Benefit Name],0)),"")))))))))))))))</f>
        <v/>
      </c>
      <c r="AF64" s="327" t="str">
        <f>IF(AND(Table2[[#This Row],[Member Type]]="Main Member",Table2[[#This Row],[Product Option]]="My Value Plus Life &amp; Funeral"),Lookups!$D$15,
IF(AND(Table2[[#This Row],[Member Type]]="Spouse",Table2[[#This Row],[Product Option]]="My Value Plus Life &amp; Funeral",_xlfn.XLOOKUP(B64,Table2[Main Member Link ID],Table2[Benefit Name],0)=Lookups!$D$14),"",
IF(AND(Table2[[#This Row],[Member Type]]="Spouse",Table2[[#This Row],[Product Option]]="My Value Plus Life &amp; Funeral",_xlfn.XLOOKUP(B63,Table2[Main Member Link ID],Table2[Benefit Name],0)=Lookups!$D$16),"",
IF(AND(Table2[[#This Row],[Member Type]]="Spouse",Table2[[#This Row],[Product Option]]="My Value Plus Life &amp; Funeral",_xlfn.XLOOKUP(B63,Table2[Main Member Link ID],Table2[Benefit Name],0)=Lookups!$D$15),"",
IF(AND(Table2[[#This Row],[Member Type]]="Spouse",Table2[[#This Row],[Product Option]]="My Value Plus Life &amp; Funeral",_xlfn.XLOOKUP(B63,Table2[Main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Funeral",_xlfn.XLOOKUP(B64,Table2[Main Member Link ID],Table2[Benefit Name],0)&lt;&gt;Lookups!$D$15),
IF(_xlfn.XLOOKUP(B64,Table2[Main Member Link ID],Table2[Benefit Name],0)=0,"",_xlfn.XLOOKUP(B64,Table2[Main Member Link ID],Table2[Benefit Name],0)),"")
))))))</f>
        <v/>
      </c>
      <c r="AG64" s="327" t="str">
        <f>IF(AND(Table2[[#This Row],[Member Type]]="Main Member",Table2[[#This Row],[Product Option]]="My Value Plus Life &amp; Funeral"),Lookups!$D$16,
IF(AND(Table2[[#This Row],[Member Type]]="Spouse",Table2[[#This Row],[Product Option]]="My Value Plus Life &amp; Funeral",_xlfn.XLOOKUP(B64,Table2[Main Member Link ID],Table2[Benefit Name],0)=Lookups!$D$14),"",
IF(AND(Table2[[#This Row],[Member Type]]="Spouse",Table2[[#This Row],[Product Option]]="My Value Plus Life &amp; Funeral",_xlfn.XLOOKUP(B63,Table2[Main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Funeral",_xlfn.XLOOKUP(B64,Table2[Main Member Link ID],Table2[Benefit Name],0)&lt;&gt;Lookups!$D$16),
IF(_xlfn.XLOOKUP(B64,Table2[Main Member Link ID],Table2[Benefit Name],0)=0,"",_xlfn.XLOOKUP(B64,Table2[Main Member Link ID],Table2[Benefit Name],0)),"")
))))</f>
        <v/>
      </c>
      <c r="AH64" s="327" t="str">
        <f>IF(AND(Table2[[#This Row],[Member Type]]="Main Member",Table2[[#This Row],[Product Option]]="My Value Plus Life &amp; Funeral"),Lookups!$D$17,
IF(AND(Table2[[#This Row],[Member Type]]="Spouse",Table2[[#This Row],[Product Option]]="My Value Plus Life &amp; Funeral",_xlfn.XLOOKUP(B64,Table2[Main Member Link ID],Table2[Benefit Name],0)=Lookups!$D$14),"",
IF(AND(Table2[[#This Row],[Member Type]]="Spouse",Table2[[#This Row],[Product Option]]="My Value Plus Life &amp; Funeral",_xlfn.XLOOKUP(B63,Table2[Main Member Link ID],Table2[Benefit Name],0)=Lookups!$D$16),"",
IF(AND(Table2[[#This Row],[Member Type]]="Child",Table2[[#This Row],[Product Option]]="My Value Plus Life &amp; Funeral"),"",
IF(AND(Table2[[#This Row],[Member Type]]="Child",Table2[[#This Row],[Product Option]]="My Value Plus Life &amp; Funeral",_xlfn.XLOOKUP(B64,Table2[Main Member Link ID],Table2[Benefit Name],0)=Lookups!$D$15),"",
IF(AND(OR(Table2[[#This Row],[Member Type]]="Spouse",Table2[[#This Row],[Member Type]]="Child"),Table2[[#This Row],[Product Option]]="My Value Plus Life &amp; Funeral",_xlfn.XLOOKUP(B64,Table2[Main Member Link ID],Table2[Benefit Name],0)&lt;&gt;Lookups!$D$17),
IF(_xlfn.XLOOKUP(B64,Table2[Main Member Link ID],Table2[Benefit Name],0)=0,"",_xlfn.XLOOKUP(B64,Table2[Main Member Link ID],Table2[Benefit Name],0)),""))))))</f>
        <v/>
      </c>
      <c r="AI64" s="328" t="str">
        <f>IF(AND(Table2[[#This Row],[Member Type]]="Main Member",Table2[[#This Row],[Table Lookup for Life Cover]]="MM_LIFE",Table2[[#This Row],[Age Next Birthday]]&lt;56),1,
IF(AND(Table2[[#This Row],[Member Type]]="Main Member",Table2[[#This Row],[Table Lookup for Life Cover]]="MM_LIFE",Table2[[#This Row],[Age Next Birthday]]&gt;=56),2,
""))</f>
        <v/>
      </c>
      <c r="AJ64" s="328">
        <f>IF(OR(Table2[[#This Row],[Member Type]]="Main Member",Table2[[#This Row],[Main Member Link ID]]=B63),1,0)</f>
        <v>1</v>
      </c>
      <c r="AK64" s="328">
        <f>IF(Table2[[#This Row],[Member Type]]=0,0,
IF(OR(Table2[[#This Row],[Member Type]]="Main Member",Table2[[#This Row],[Main Member Link ID]]&lt;&gt;B64),COUNTIFS(B:B,Table2[[#This Row],[Main Member Link ID]]),
COUNTIFS(B:B,Table2[[#This Row],[Main Member Link ID]],A:A,Table2[[#This Row],[Member Type]])))</f>
        <v>0</v>
      </c>
    </row>
    <row r="65" spans="1:37" x14ac:dyDescent="0.3">
      <c r="A65" s="284">
        <f>Table13[[#This Row],[Member Type]]</f>
        <v>0</v>
      </c>
      <c r="B65" s="284">
        <f>Table13[[#This Row],[Main Member Link ID]]</f>
        <v>0</v>
      </c>
      <c r="C65" s="284">
        <f>Table13[[#This Row],[ID Number]]</f>
        <v>0</v>
      </c>
      <c r="D65" s="285">
        <f>Table13[[#This Row],[Date Of Birth]]</f>
        <v>0</v>
      </c>
      <c r="E65" s="285">
        <f>Table13[[#This Row],[Commencement Date]]</f>
        <v>0</v>
      </c>
      <c r="F65" s="284">
        <f t="shared" si="0"/>
        <v>1</v>
      </c>
      <c r="G65" s="284">
        <f t="shared" si="4"/>
        <v>25</v>
      </c>
      <c r="H65" s="286">
        <f>Table13[[#This Row],[Product Option]]</f>
        <v>0</v>
      </c>
      <c r="I65" s="284">
        <f>IF(AND($A65="Main Member",Table2[[#This Row],[Product Option]]="My Value Plus Life"),"MM_LIFE",
IF(AND($A65="Spouse",Table2[[#This Row],[Product Option]]="My Value Plus Life"),"SP_LIFE",
IF(AND($A65="Main Member",Table2[[#This Row],[Product Option]]="My Value Plus Life &amp; Funeral"),"MM_LIFE",
IF(AND($A65="Spouse",Table2[[#This Row],[Product Option]]="My Value Plus Life &amp; Funeral"),_xlfn.XLOOKUP(Table2[[#This Row],[Benefit Name]],Lookups!$D$18:$D$23,Lookups!$E$18:$E$23,0),
0))))</f>
        <v>0</v>
      </c>
      <c r="J65" s="284">
        <f>IF($I65="","",
IF($I65="MM_LIFE",INDEX('Quotation Tool'!$S$54:$V$60,MATCH($T65,'Quotation Tool'!$S$54:$S$60,0),4),
IF($I65="SP_LIFE",_xlfn.XLOOKUP(B64,$B:$B,$J:$J,0),0)))</f>
        <v>0</v>
      </c>
      <c r="K65" s="287">
        <f t="shared" ca="1" si="5"/>
        <v>0</v>
      </c>
      <c r="L65" s="288">
        <f t="shared" ca="1" si="6"/>
        <v>0</v>
      </c>
      <c r="M65" s="289">
        <f t="shared" ca="1" si="1"/>
        <v>0</v>
      </c>
      <c r="N65" s="286">
        <f>Table13[[#This Row],[Benefit Option]]</f>
        <v>0</v>
      </c>
      <c r="O65" s="284">
        <f>IF(OR(Table2[[#This Row],[Member Type]]="Spouse",Table2[[#This Row],[Member Type]]="Child"),0,
IF(_xlfn.XLOOKUP($N65,Lookups!$D$13:$D$27,Lookups!$F$13:$F$27,0)=Table2[[#This Row],[Table Lookup for Life Cover]],0,
_xlfn.XLOOKUP($N65,Lookups!$D$13:$D$27,Lookups!$F$13:$F$27,0)))</f>
        <v>0</v>
      </c>
      <c r="P65" s="284">
        <f>IF(Table2[[#This Row],[Table Lookup for Funeral]]=0,0,IFERROR(INDEX('Quotation Tool'!$S$54:$V$60,MATCH($T65,'Quotation Tool'!$S$54:$S$60,0),3),0))</f>
        <v>0</v>
      </c>
      <c r="Q65" s="288">
        <f ca="1">IF(OR(Table2[[#This Row],[Benefit Name]]="My Value Plus Life - Main Member",Table2[[#This Row],[Benefit Name]]="My Value Plus Life - Spouse"),0,
IFERROR(VLOOKUP($G65,INDIRECT($O65),$P65,FALSE),0))</f>
        <v>0</v>
      </c>
      <c r="R65" s="288">
        <f ca="1">IF(OR(Table2[[#This Row],[Benefit Name]]="My Value Plus Life - Main Member",Table2[[#This Row],[Benefit Name]]="My Value Plus Life - Spouse"),0,
IFERROR(VLOOKUP($G65,INDIRECT($O65),$P65+1,FALSE),0))</f>
        <v>0</v>
      </c>
      <c r="S65" s="289">
        <f t="shared" ca="1" si="2"/>
        <v>0</v>
      </c>
      <c r="T65" s="284" t="str">
        <f>IF(Table13[[#This Row],[Premium Waiver]]="","None",Table13[[#This Row],[Premium Waiver]])</f>
        <v>None</v>
      </c>
      <c r="U65" s="284">
        <f>Table13[[#This Row],[VAPs Options]]</f>
        <v>0</v>
      </c>
      <c r="V65" s="284">
        <f>Table13[[#This Row],[Annual Increase Option]]</f>
        <v>0</v>
      </c>
      <c r="W65" s="290">
        <f>Table13[[#This Row],[Life Cover Amount]]</f>
        <v>0</v>
      </c>
      <c r="X65" s="290">
        <f>Table13[[#This Row],[Funeral Cover Amount]]</f>
        <v>0</v>
      </c>
      <c r="Y6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5" s="301">
        <f t="shared" ca="1" si="3"/>
        <v>0</v>
      </c>
      <c r="AB65" s="298"/>
      <c r="AC65" s="326" t="str">
        <f>IF(Table2[[#This Row],[Member Type]]="Main Member",Lookups!$C$13,
IF(Table2[[#This Row],[Member Type]]="Spouse",_xlfn.XLOOKUP(B65,Table2[Main Member Link ID],Table2[Product Option],0),
IF(AND(Table2[[#This Row],[Member Type]]="Child",_xlfn.XLOOKUP(B65,Table2[Main Member Link ID],Table2[Product Option],0)&lt;&gt;"My Value Plus Life"),Lookups!$C$24,
IF(AND(OR(Table2[[#This Row],[Member Type]]="Parent",Table2[[#This Row],[Member Type]]="Extended"),_xlfn.XLOOKUP(B65,Table2[Main Member Link ID],Table2[Product Option],0)&lt;&gt;"My Value Plus Life"),Lookups!$C$26,""))))</f>
        <v/>
      </c>
      <c r="AD65" s="326" t="str">
        <f>IF(Table2[[#This Row],[Member Type]]="Main Member",Lookups!$C$14,"")</f>
        <v/>
      </c>
      <c r="AE6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Funeral",_xlfn.XLOOKUP(B65,Table2[Main Member Link ID],Table2[Benefit Name],0)=Lookups!$D$14),"",
IF(AND(Table2[[#This Row],[Member Type]]="Spouse",Table2[[#This Row],[Product Option]]="My Value Plus Life &amp; Funeral",_xlfn.XLOOKUP(B64,Table2[Main Member Link ID],Table2[Benefit Name],0)=Lookups!$D$15),Lookups!$D$20,
IF(AND(Table2[[#This Row],[Member Type]]="Spouse",Table2[[#This Row],[Product Option]]="My Value Plus Life &amp; Funeral",_xlfn.XLOOKUP(B64,Table2[Main Member Link ID],Table2[Benefit Name],0)=Lookups!$D$16),"",
IF(AND(Table2[[#This Row],[Member Type]]="Spouse",Table2[[#This Row],[Product Option]]="My Value Plus Life &amp; Funeral",_xlfn.XLOOKUP(B64,Table2[Main Member Link ID],Table2[Benefit Name],0)=Lookups!$D$17),Lookups!$D$21,
IF(AND(Table2[[#This Row],[Member Type]]="Child",Table2[[#This Row],[Product Option]]="My Value Plus Life &amp; Funeral",_xlfn.XLOOKUP(B65,Table2[Main Member Link ID],Table2[Benefit Name],0)=Lookups!$D$14),"",
IF(AND(Table2[[#This Row],[Member Type]]="Child",Table2[[#This Row],[Product Option]]="My Value Plus Life &amp; Funeral",_xlfn.XLOOKUP(B65,Table2[Main Member Link ID],Table2[Benefit Name],0)=Lookups!$D$15),"",
IF(AND(Table2[[#This Row],[Member Type]]="Child",Table2[[#This Row],[Product Option]]="My Value Plus Life &amp; Funeral",_xlfn.XLOOKUP(B65,Table2[Main Member Link ID],Table2[Benefit Name],0)=Lookups!$D$16),Lookups!$D$24,
IF(AND(Table2[[#This Row],[Member Type]]="Child",Table2[[#This Row],[Product Option]]="My Value Plus Life &amp; Funeral",_xlfn.XLOOKUP(B65,Table2[Main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Funeral",_xlfn.XLOOKUP(B65,Table2[Main Member Link ID],Table2[Benefit Name],0)&lt;&gt;Lookups!$D$14),
IF(_xlfn.XLOOKUP(B65,Table2[Main Member Link ID],Table2[Benefit Name],0)=0,"",_xlfn.XLOOKUP(B65,Table2[Main Member Link ID],Table2[Benefit Name],0)),"")))))))))))))))</f>
        <v/>
      </c>
      <c r="AF65" s="327" t="str">
        <f>IF(AND(Table2[[#This Row],[Member Type]]="Main Member",Table2[[#This Row],[Product Option]]="My Value Plus Life &amp; Funeral"),Lookups!$D$15,
IF(AND(Table2[[#This Row],[Member Type]]="Spouse",Table2[[#This Row],[Product Option]]="My Value Plus Life &amp; Funeral",_xlfn.XLOOKUP(B65,Table2[Main Member Link ID],Table2[Benefit Name],0)=Lookups!$D$14),"",
IF(AND(Table2[[#This Row],[Member Type]]="Spouse",Table2[[#This Row],[Product Option]]="My Value Plus Life &amp; Funeral",_xlfn.XLOOKUP(B64,Table2[Main Member Link ID],Table2[Benefit Name],0)=Lookups!$D$16),"",
IF(AND(Table2[[#This Row],[Member Type]]="Spouse",Table2[[#This Row],[Product Option]]="My Value Plus Life &amp; Funeral",_xlfn.XLOOKUP(B64,Table2[Main Member Link ID],Table2[Benefit Name],0)=Lookups!$D$15),"",
IF(AND(Table2[[#This Row],[Member Type]]="Spouse",Table2[[#This Row],[Product Option]]="My Value Plus Life &amp; Funeral",_xlfn.XLOOKUP(B64,Table2[Main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Funeral",_xlfn.XLOOKUP(B65,Table2[Main Member Link ID],Table2[Benefit Name],0)&lt;&gt;Lookups!$D$15),
IF(_xlfn.XLOOKUP(B65,Table2[Main Member Link ID],Table2[Benefit Name],0)=0,"",_xlfn.XLOOKUP(B65,Table2[Main Member Link ID],Table2[Benefit Name],0)),"")
))))))</f>
        <v/>
      </c>
      <c r="AG65" s="327" t="str">
        <f>IF(AND(Table2[[#This Row],[Member Type]]="Main Member",Table2[[#This Row],[Product Option]]="My Value Plus Life &amp; Funeral"),Lookups!$D$16,
IF(AND(Table2[[#This Row],[Member Type]]="Spouse",Table2[[#This Row],[Product Option]]="My Value Plus Life &amp; Funeral",_xlfn.XLOOKUP(B65,Table2[Main Member Link ID],Table2[Benefit Name],0)=Lookups!$D$14),"",
IF(AND(Table2[[#This Row],[Member Type]]="Spouse",Table2[[#This Row],[Product Option]]="My Value Plus Life &amp; Funeral",_xlfn.XLOOKUP(B64,Table2[Main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Funeral",_xlfn.XLOOKUP(B65,Table2[Main Member Link ID],Table2[Benefit Name],0)&lt;&gt;Lookups!$D$16),
IF(_xlfn.XLOOKUP(B65,Table2[Main Member Link ID],Table2[Benefit Name],0)=0,"",_xlfn.XLOOKUP(B65,Table2[Main Member Link ID],Table2[Benefit Name],0)),"")
))))</f>
        <v/>
      </c>
      <c r="AH65" s="327" t="str">
        <f>IF(AND(Table2[[#This Row],[Member Type]]="Main Member",Table2[[#This Row],[Product Option]]="My Value Plus Life &amp; Funeral"),Lookups!$D$17,
IF(AND(Table2[[#This Row],[Member Type]]="Spouse",Table2[[#This Row],[Product Option]]="My Value Plus Life &amp; Funeral",_xlfn.XLOOKUP(B65,Table2[Main Member Link ID],Table2[Benefit Name],0)=Lookups!$D$14),"",
IF(AND(Table2[[#This Row],[Member Type]]="Spouse",Table2[[#This Row],[Product Option]]="My Value Plus Life &amp; Funeral",_xlfn.XLOOKUP(B64,Table2[Main Member Link ID],Table2[Benefit Name],0)=Lookups!$D$16),"",
IF(AND(Table2[[#This Row],[Member Type]]="Child",Table2[[#This Row],[Product Option]]="My Value Plus Life &amp; Funeral"),"",
IF(AND(Table2[[#This Row],[Member Type]]="Child",Table2[[#This Row],[Product Option]]="My Value Plus Life &amp; Funeral",_xlfn.XLOOKUP(B65,Table2[Main Member Link ID],Table2[Benefit Name],0)=Lookups!$D$15),"",
IF(AND(OR(Table2[[#This Row],[Member Type]]="Spouse",Table2[[#This Row],[Member Type]]="Child"),Table2[[#This Row],[Product Option]]="My Value Plus Life &amp; Funeral",_xlfn.XLOOKUP(B65,Table2[Main Member Link ID],Table2[Benefit Name],0)&lt;&gt;Lookups!$D$17),
IF(_xlfn.XLOOKUP(B65,Table2[Main Member Link ID],Table2[Benefit Name],0)=0,"",_xlfn.XLOOKUP(B65,Table2[Main Member Link ID],Table2[Benefit Name],0)),""))))))</f>
        <v/>
      </c>
      <c r="AI65" s="328" t="str">
        <f>IF(AND(Table2[[#This Row],[Member Type]]="Main Member",Table2[[#This Row],[Table Lookup for Life Cover]]="MM_LIFE",Table2[[#This Row],[Age Next Birthday]]&lt;56),1,
IF(AND(Table2[[#This Row],[Member Type]]="Main Member",Table2[[#This Row],[Table Lookup for Life Cover]]="MM_LIFE",Table2[[#This Row],[Age Next Birthday]]&gt;=56),2,
""))</f>
        <v/>
      </c>
      <c r="AJ65" s="328">
        <f>IF(OR(Table2[[#This Row],[Member Type]]="Main Member",Table2[[#This Row],[Main Member Link ID]]=B64),1,0)</f>
        <v>1</v>
      </c>
      <c r="AK65" s="328">
        <f>IF(Table2[[#This Row],[Member Type]]=0,0,
IF(OR(Table2[[#This Row],[Member Type]]="Main Member",Table2[[#This Row],[Main Member Link ID]]&lt;&gt;B65),COUNTIFS(B:B,Table2[[#This Row],[Main Member Link ID]]),
COUNTIFS(B:B,Table2[[#This Row],[Main Member Link ID]],A:A,Table2[[#This Row],[Member Type]])))</f>
        <v>0</v>
      </c>
    </row>
    <row r="66" spans="1:37" x14ac:dyDescent="0.3">
      <c r="A66" s="284">
        <f>Table13[[#This Row],[Member Type]]</f>
        <v>0</v>
      </c>
      <c r="B66" s="284">
        <f>Table13[[#This Row],[Main Member Link ID]]</f>
        <v>0</v>
      </c>
      <c r="C66" s="284">
        <f>Table13[[#This Row],[ID Number]]</f>
        <v>0</v>
      </c>
      <c r="D66" s="285">
        <f>Table13[[#This Row],[Date Of Birth]]</f>
        <v>0</v>
      </c>
      <c r="E66" s="285">
        <f>Table13[[#This Row],[Commencement Date]]</f>
        <v>0</v>
      </c>
      <c r="F66" s="284">
        <f t="shared" si="0"/>
        <v>1</v>
      </c>
      <c r="G66" s="284">
        <f t="shared" si="4"/>
        <v>25</v>
      </c>
      <c r="H66" s="286">
        <f>Table13[[#This Row],[Product Option]]</f>
        <v>0</v>
      </c>
      <c r="I66" s="284">
        <f>IF(AND($A66="Main Member",Table2[[#This Row],[Product Option]]="My Value Plus Life"),"MM_LIFE",
IF(AND($A66="Spouse",Table2[[#This Row],[Product Option]]="My Value Plus Life"),"SP_LIFE",
IF(AND($A66="Main Member",Table2[[#This Row],[Product Option]]="My Value Plus Life &amp; Funeral"),"MM_LIFE",
IF(AND($A66="Spouse",Table2[[#This Row],[Product Option]]="My Value Plus Life &amp; Funeral"),_xlfn.XLOOKUP(Table2[[#This Row],[Benefit Name]],Lookups!$D$18:$D$23,Lookups!$E$18:$E$23,0),
0))))</f>
        <v>0</v>
      </c>
      <c r="J66" s="284">
        <f>IF($I66="","",
IF($I66="MM_LIFE",INDEX('Quotation Tool'!$S$54:$V$60,MATCH($T66,'Quotation Tool'!$S$54:$S$60,0),4),
IF($I66="SP_LIFE",_xlfn.XLOOKUP(B65,$B:$B,$J:$J,0),0)))</f>
        <v>0</v>
      </c>
      <c r="K66" s="287">
        <f t="shared" ca="1" si="5"/>
        <v>0</v>
      </c>
      <c r="L66" s="288">
        <f t="shared" ca="1" si="6"/>
        <v>0</v>
      </c>
      <c r="M66" s="289">
        <f t="shared" ca="1" si="1"/>
        <v>0</v>
      </c>
      <c r="N66" s="286">
        <f>Table13[[#This Row],[Benefit Option]]</f>
        <v>0</v>
      </c>
      <c r="O66" s="284">
        <f>IF(OR(Table2[[#This Row],[Member Type]]="Spouse",Table2[[#This Row],[Member Type]]="Child"),0,
IF(_xlfn.XLOOKUP($N66,Lookups!$D$13:$D$27,Lookups!$F$13:$F$27,0)=Table2[[#This Row],[Table Lookup for Life Cover]],0,
_xlfn.XLOOKUP($N66,Lookups!$D$13:$D$27,Lookups!$F$13:$F$27,0)))</f>
        <v>0</v>
      </c>
      <c r="P66" s="284">
        <f>IF(Table2[[#This Row],[Table Lookup for Funeral]]=0,0,IFERROR(INDEX('Quotation Tool'!$S$54:$V$60,MATCH($T66,'Quotation Tool'!$S$54:$S$60,0),3),0))</f>
        <v>0</v>
      </c>
      <c r="Q66" s="288">
        <f ca="1">IF(OR(Table2[[#This Row],[Benefit Name]]="My Value Plus Life - Main Member",Table2[[#This Row],[Benefit Name]]="My Value Plus Life - Spouse"),0,
IFERROR(VLOOKUP($G66,INDIRECT($O66),$P66,FALSE),0))</f>
        <v>0</v>
      </c>
      <c r="R66" s="288">
        <f ca="1">IF(OR(Table2[[#This Row],[Benefit Name]]="My Value Plus Life - Main Member",Table2[[#This Row],[Benefit Name]]="My Value Plus Life - Spouse"),0,
IFERROR(VLOOKUP($G66,INDIRECT($O66),$P66+1,FALSE),0))</f>
        <v>0</v>
      </c>
      <c r="S66" s="289">
        <f t="shared" ca="1" si="2"/>
        <v>0</v>
      </c>
      <c r="T66" s="284" t="str">
        <f>IF(Table13[[#This Row],[Premium Waiver]]="","None",Table13[[#This Row],[Premium Waiver]])</f>
        <v>None</v>
      </c>
      <c r="U66" s="284">
        <f>Table13[[#This Row],[VAPs Options]]</f>
        <v>0</v>
      </c>
      <c r="V66" s="284">
        <f>Table13[[#This Row],[Annual Increase Option]]</f>
        <v>0</v>
      </c>
      <c r="W66" s="290">
        <f>Table13[[#This Row],[Life Cover Amount]]</f>
        <v>0</v>
      </c>
      <c r="X66" s="290">
        <f>Table13[[#This Row],[Funeral Cover Amount]]</f>
        <v>0</v>
      </c>
      <c r="Y6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6" s="301">
        <f t="shared" ca="1" si="3"/>
        <v>0</v>
      </c>
      <c r="AB66" s="298"/>
      <c r="AC66" s="326" t="str">
        <f>IF(Table2[[#This Row],[Member Type]]="Main Member",Lookups!$C$13,
IF(Table2[[#This Row],[Member Type]]="Spouse",_xlfn.XLOOKUP(B66,Table2[Main Member Link ID],Table2[Product Option],0),
IF(AND(Table2[[#This Row],[Member Type]]="Child",_xlfn.XLOOKUP(B66,Table2[Main Member Link ID],Table2[Product Option],0)&lt;&gt;"My Value Plus Life"),Lookups!$C$24,
IF(AND(OR(Table2[[#This Row],[Member Type]]="Parent",Table2[[#This Row],[Member Type]]="Extended"),_xlfn.XLOOKUP(B66,Table2[Main Member Link ID],Table2[Product Option],0)&lt;&gt;"My Value Plus Life"),Lookups!$C$26,""))))</f>
        <v/>
      </c>
      <c r="AD66" s="326" t="str">
        <f>IF(Table2[[#This Row],[Member Type]]="Main Member",Lookups!$C$14,"")</f>
        <v/>
      </c>
      <c r="AE6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Funeral",_xlfn.XLOOKUP(B66,Table2[Main Member Link ID],Table2[Benefit Name],0)=Lookups!$D$14),"",
IF(AND(Table2[[#This Row],[Member Type]]="Spouse",Table2[[#This Row],[Product Option]]="My Value Plus Life &amp; Funeral",_xlfn.XLOOKUP(B65,Table2[Main Member Link ID],Table2[Benefit Name],0)=Lookups!$D$15),Lookups!$D$20,
IF(AND(Table2[[#This Row],[Member Type]]="Spouse",Table2[[#This Row],[Product Option]]="My Value Plus Life &amp; Funeral",_xlfn.XLOOKUP(B65,Table2[Main Member Link ID],Table2[Benefit Name],0)=Lookups!$D$16),"",
IF(AND(Table2[[#This Row],[Member Type]]="Spouse",Table2[[#This Row],[Product Option]]="My Value Plus Life &amp; Funeral",_xlfn.XLOOKUP(B65,Table2[Main Member Link ID],Table2[Benefit Name],0)=Lookups!$D$17),Lookups!$D$21,
IF(AND(Table2[[#This Row],[Member Type]]="Child",Table2[[#This Row],[Product Option]]="My Value Plus Life &amp; Funeral",_xlfn.XLOOKUP(B66,Table2[Main Member Link ID],Table2[Benefit Name],0)=Lookups!$D$14),"",
IF(AND(Table2[[#This Row],[Member Type]]="Child",Table2[[#This Row],[Product Option]]="My Value Plus Life &amp; Funeral",_xlfn.XLOOKUP(B66,Table2[Main Member Link ID],Table2[Benefit Name],0)=Lookups!$D$15),"",
IF(AND(Table2[[#This Row],[Member Type]]="Child",Table2[[#This Row],[Product Option]]="My Value Plus Life &amp; Funeral",_xlfn.XLOOKUP(B66,Table2[Main Member Link ID],Table2[Benefit Name],0)=Lookups!$D$16),Lookups!$D$24,
IF(AND(Table2[[#This Row],[Member Type]]="Child",Table2[[#This Row],[Product Option]]="My Value Plus Life &amp; Funeral",_xlfn.XLOOKUP(B66,Table2[Main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Funeral",_xlfn.XLOOKUP(B66,Table2[Main Member Link ID],Table2[Benefit Name],0)&lt;&gt;Lookups!$D$14),
IF(_xlfn.XLOOKUP(B66,Table2[Main Member Link ID],Table2[Benefit Name],0)=0,"",_xlfn.XLOOKUP(B66,Table2[Main Member Link ID],Table2[Benefit Name],0)),"")))))))))))))))</f>
        <v/>
      </c>
      <c r="AF66" s="327" t="str">
        <f>IF(AND(Table2[[#This Row],[Member Type]]="Main Member",Table2[[#This Row],[Product Option]]="My Value Plus Life &amp; Funeral"),Lookups!$D$15,
IF(AND(Table2[[#This Row],[Member Type]]="Spouse",Table2[[#This Row],[Product Option]]="My Value Plus Life &amp; Funeral",_xlfn.XLOOKUP(B66,Table2[Main Member Link ID],Table2[Benefit Name],0)=Lookups!$D$14),"",
IF(AND(Table2[[#This Row],[Member Type]]="Spouse",Table2[[#This Row],[Product Option]]="My Value Plus Life &amp; Funeral",_xlfn.XLOOKUP(B65,Table2[Main Member Link ID],Table2[Benefit Name],0)=Lookups!$D$16),"",
IF(AND(Table2[[#This Row],[Member Type]]="Spouse",Table2[[#This Row],[Product Option]]="My Value Plus Life &amp; Funeral",_xlfn.XLOOKUP(B65,Table2[Main Member Link ID],Table2[Benefit Name],0)=Lookups!$D$15),"",
IF(AND(Table2[[#This Row],[Member Type]]="Spouse",Table2[[#This Row],[Product Option]]="My Value Plus Life &amp; Funeral",_xlfn.XLOOKUP(B65,Table2[Main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Funeral",_xlfn.XLOOKUP(B66,Table2[Main Member Link ID],Table2[Benefit Name],0)&lt;&gt;Lookups!$D$15),
IF(_xlfn.XLOOKUP(B66,Table2[Main Member Link ID],Table2[Benefit Name],0)=0,"",_xlfn.XLOOKUP(B66,Table2[Main Member Link ID],Table2[Benefit Name],0)),"")
))))))</f>
        <v/>
      </c>
      <c r="AG66" s="327" t="str">
        <f>IF(AND(Table2[[#This Row],[Member Type]]="Main Member",Table2[[#This Row],[Product Option]]="My Value Plus Life &amp; Funeral"),Lookups!$D$16,
IF(AND(Table2[[#This Row],[Member Type]]="Spouse",Table2[[#This Row],[Product Option]]="My Value Plus Life &amp; Funeral",_xlfn.XLOOKUP(B66,Table2[Main Member Link ID],Table2[Benefit Name],0)=Lookups!$D$14),"",
IF(AND(Table2[[#This Row],[Member Type]]="Spouse",Table2[[#This Row],[Product Option]]="My Value Plus Life &amp; Funeral",_xlfn.XLOOKUP(B65,Table2[Main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Funeral",_xlfn.XLOOKUP(B66,Table2[Main Member Link ID],Table2[Benefit Name],0)&lt;&gt;Lookups!$D$16),
IF(_xlfn.XLOOKUP(B66,Table2[Main Member Link ID],Table2[Benefit Name],0)=0,"",_xlfn.XLOOKUP(B66,Table2[Main Member Link ID],Table2[Benefit Name],0)),"")
))))</f>
        <v/>
      </c>
      <c r="AH66" s="327" t="str">
        <f>IF(AND(Table2[[#This Row],[Member Type]]="Main Member",Table2[[#This Row],[Product Option]]="My Value Plus Life &amp; Funeral"),Lookups!$D$17,
IF(AND(Table2[[#This Row],[Member Type]]="Spouse",Table2[[#This Row],[Product Option]]="My Value Plus Life &amp; Funeral",_xlfn.XLOOKUP(B66,Table2[Main Member Link ID],Table2[Benefit Name],0)=Lookups!$D$14),"",
IF(AND(Table2[[#This Row],[Member Type]]="Spouse",Table2[[#This Row],[Product Option]]="My Value Plus Life &amp; Funeral",_xlfn.XLOOKUP(B65,Table2[Main Member Link ID],Table2[Benefit Name],0)=Lookups!$D$16),"",
IF(AND(Table2[[#This Row],[Member Type]]="Child",Table2[[#This Row],[Product Option]]="My Value Plus Life &amp; Funeral"),"",
IF(AND(Table2[[#This Row],[Member Type]]="Child",Table2[[#This Row],[Product Option]]="My Value Plus Life &amp; Funeral",_xlfn.XLOOKUP(B66,Table2[Main Member Link ID],Table2[Benefit Name],0)=Lookups!$D$15),"",
IF(AND(OR(Table2[[#This Row],[Member Type]]="Spouse",Table2[[#This Row],[Member Type]]="Child"),Table2[[#This Row],[Product Option]]="My Value Plus Life &amp; Funeral",_xlfn.XLOOKUP(B66,Table2[Main Member Link ID],Table2[Benefit Name],0)&lt;&gt;Lookups!$D$17),
IF(_xlfn.XLOOKUP(B66,Table2[Main Member Link ID],Table2[Benefit Name],0)=0,"",_xlfn.XLOOKUP(B66,Table2[Main Member Link ID],Table2[Benefit Name],0)),""))))))</f>
        <v/>
      </c>
      <c r="AI66" s="328" t="str">
        <f>IF(AND(Table2[[#This Row],[Member Type]]="Main Member",Table2[[#This Row],[Table Lookup for Life Cover]]="MM_LIFE",Table2[[#This Row],[Age Next Birthday]]&lt;56),1,
IF(AND(Table2[[#This Row],[Member Type]]="Main Member",Table2[[#This Row],[Table Lookup for Life Cover]]="MM_LIFE",Table2[[#This Row],[Age Next Birthday]]&gt;=56),2,
""))</f>
        <v/>
      </c>
      <c r="AJ66" s="328">
        <f>IF(OR(Table2[[#This Row],[Member Type]]="Main Member",Table2[[#This Row],[Main Member Link ID]]=B65),1,0)</f>
        <v>1</v>
      </c>
      <c r="AK66" s="328">
        <f>IF(Table2[[#This Row],[Member Type]]=0,0,
IF(OR(Table2[[#This Row],[Member Type]]="Main Member",Table2[[#This Row],[Main Member Link ID]]&lt;&gt;B66),COUNTIFS(B:B,Table2[[#This Row],[Main Member Link ID]]),
COUNTIFS(B:B,Table2[[#This Row],[Main Member Link ID]],A:A,Table2[[#This Row],[Member Type]])))</f>
        <v>0</v>
      </c>
    </row>
    <row r="67" spans="1:37" x14ac:dyDescent="0.3">
      <c r="A67" s="284">
        <f>Table13[[#This Row],[Member Type]]</f>
        <v>0</v>
      </c>
      <c r="B67" s="284">
        <f>Table13[[#This Row],[Main Member Link ID]]</f>
        <v>0</v>
      </c>
      <c r="C67" s="284">
        <f>Table13[[#This Row],[ID Number]]</f>
        <v>0</v>
      </c>
      <c r="D67" s="285">
        <f>Table13[[#This Row],[Date Of Birth]]</f>
        <v>0</v>
      </c>
      <c r="E67" s="285">
        <f>Table13[[#This Row],[Commencement Date]]</f>
        <v>0</v>
      </c>
      <c r="F67" s="284">
        <f t="shared" si="0"/>
        <v>1</v>
      </c>
      <c r="G67" s="284">
        <f t="shared" si="4"/>
        <v>25</v>
      </c>
      <c r="H67" s="286">
        <f>Table13[[#This Row],[Product Option]]</f>
        <v>0</v>
      </c>
      <c r="I67" s="284">
        <f>IF(AND($A67="Main Member",Table2[[#This Row],[Product Option]]="My Value Plus Life"),"MM_LIFE",
IF(AND($A67="Spouse",Table2[[#This Row],[Product Option]]="My Value Plus Life"),"SP_LIFE",
IF(AND($A67="Main Member",Table2[[#This Row],[Product Option]]="My Value Plus Life &amp; Funeral"),"MM_LIFE",
IF(AND($A67="Spouse",Table2[[#This Row],[Product Option]]="My Value Plus Life &amp; Funeral"),_xlfn.XLOOKUP(Table2[[#This Row],[Benefit Name]],Lookups!$D$18:$D$23,Lookups!$E$18:$E$23,0),
0))))</f>
        <v>0</v>
      </c>
      <c r="J67" s="284">
        <f>IF($I67="","",
IF($I67="MM_LIFE",INDEX('Quotation Tool'!$S$54:$V$60,MATCH($T67,'Quotation Tool'!$S$54:$S$60,0),4),
IF($I67="SP_LIFE",_xlfn.XLOOKUP(B66,$B:$B,$J:$J,0),0)))</f>
        <v>0</v>
      </c>
      <c r="K67" s="287">
        <f t="shared" ca="1" si="5"/>
        <v>0</v>
      </c>
      <c r="L67" s="288">
        <f t="shared" ca="1" si="6"/>
        <v>0</v>
      </c>
      <c r="M67" s="289">
        <f t="shared" ca="1" si="1"/>
        <v>0</v>
      </c>
      <c r="N67" s="286">
        <f>Table13[[#This Row],[Benefit Option]]</f>
        <v>0</v>
      </c>
      <c r="O67" s="284">
        <f>IF(OR(Table2[[#This Row],[Member Type]]="Spouse",Table2[[#This Row],[Member Type]]="Child"),0,
IF(_xlfn.XLOOKUP($N67,Lookups!$D$13:$D$27,Lookups!$F$13:$F$27,0)=Table2[[#This Row],[Table Lookup for Life Cover]],0,
_xlfn.XLOOKUP($N67,Lookups!$D$13:$D$27,Lookups!$F$13:$F$27,0)))</f>
        <v>0</v>
      </c>
      <c r="P67" s="284">
        <f>IF(Table2[[#This Row],[Table Lookup for Funeral]]=0,0,IFERROR(INDEX('Quotation Tool'!$S$54:$V$60,MATCH($T67,'Quotation Tool'!$S$54:$S$60,0),3),0))</f>
        <v>0</v>
      </c>
      <c r="Q67" s="288">
        <f ca="1">IF(OR(Table2[[#This Row],[Benefit Name]]="My Value Plus Life - Main Member",Table2[[#This Row],[Benefit Name]]="My Value Plus Life - Spouse"),0,
IFERROR(VLOOKUP($G67,INDIRECT($O67),$P67,FALSE),0))</f>
        <v>0</v>
      </c>
      <c r="R67" s="288">
        <f ca="1">IF(OR(Table2[[#This Row],[Benefit Name]]="My Value Plus Life - Main Member",Table2[[#This Row],[Benefit Name]]="My Value Plus Life - Spouse"),0,
IFERROR(VLOOKUP($G67,INDIRECT($O67),$P67+1,FALSE),0))</f>
        <v>0</v>
      </c>
      <c r="S67" s="289">
        <f t="shared" ca="1" si="2"/>
        <v>0</v>
      </c>
      <c r="T67" s="284" t="str">
        <f>IF(Table13[[#This Row],[Premium Waiver]]="","None",Table13[[#This Row],[Premium Waiver]])</f>
        <v>None</v>
      </c>
      <c r="U67" s="284">
        <f>Table13[[#This Row],[VAPs Options]]</f>
        <v>0</v>
      </c>
      <c r="V67" s="284">
        <f>Table13[[#This Row],[Annual Increase Option]]</f>
        <v>0</v>
      </c>
      <c r="W67" s="290">
        <f>Table13[[#This Row],[Life Cover Amount]]</f>
        <v>0</v>
      </c>
      <c r="X67" s="290">
        <f>Table13[[#This Row],[Funeral Cover Amount]]</f>
        <v>0</v>
      </c>
      <c r="Y6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7" s="301">
        <f t="shared" ca="1" si="3"/>
        <v>0</v>
      </c>
      <c r="AB67" s="298"/>
      <c r="AC67" s="326" t="str">
        <f>IF(Table2[[#This Row],[Member Type]]="Main Member",Lookups!$C$13,
IF(Table2[[#This Row],[Member Type]]="Spouse",_xlfn.XLOOKUP(B67,Table2[Main Member Link ID],Table2[Product Option],0),
IF(AND(Table2[[#This Row],[Member Type]]="Child",_xlfn.XLOOKUP(B67,Table2[Main Member Link ID],Table2[Product Option],0)&lt;&gt;"My Value Plus Life"),Lookups!$C$24,
IF(AND(OR(Table2[[#This Row],[Member Type]]="Parent",Table2[[#This Row],[Member Type]]="Extended"),_xlfn.XLOOKUP(B67,Table2[Main Member Link ID],Table2[Product Option],0)&lt;&gt;"My Value Plus Life"),Lookups!$C$26,""))))</f>
        <v/>
      </c>
      <c r="AD67" s="326" t="str">
        <f>IF(Table2[[#This Row],[Member Type]]="Main Member",Lookups!$C$14,"")</f>
        <v/>
      </c>
      <c r="AE6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Funeral",_xlfn.XLOOKUP(B67,Table2[Main Member Link ID],Table2[Benefit Name],0)=Lookups!$D$14),"",
IF(AND(Table2[[#This Row],[Member Type]]="Spouse",Table2[[#This Row],[Product Option]]="My Value Plus Life &amp; Funeral",_xlfn.XLOOKUP(B66,Table2[Main Member Link ID],Table2[Benefit Name],0)=Lookups!$D$15),Lookups!$D$20,
IF(AND(Table2[[#This Row],[Member Type]]="Spouse",Table2[[#This Row],[Product Option]]="My Value Plus Life &amp; Funeral",_xlfn.XLOOKUP(B66,Table2[Main Member Link ID],Table2[Benefit Name],0)=Lookups!$D$16),"",
IF(AND(Table2[[#This Row],[Member Type]]="Spouse",Table2[[#This Row],[Product Option]]="My Value Plus Life &amp; Funeral",_xlfn.XLOOKUP(B66,Table2[Main Member Link ID],Table2[Benefit Name],0)=Lookups!$D$17),Lookups!$D$21,
IF(AND(Table2[[#This Row],[Member Type]]="Child",Table2[[#This Row],[Product Option]]="My Value Plus Life &amp; Funeral",_xlfn.XLOOKUP(B67,Table2[Main Member Link ID],Table2[Benefit Name],0)=Lookups!$D$14),"",
IF(AND(Table2[[#This Row],[Member Type]]="Child",Table2[[#This Row],[Product Option]]="My Value Plus Life &amp; Funeral",_xlfn.XLOOKUP(B67,Table2[Main Member Link ID],Table2[Benefit Name],0)=Lookups!$D$15),"",
IF(AND(Table2[[#This Row],[Member Type]]="Child",Table2[[#This Row],[Product Option]]="My Value Plus Life &amp; Funeral",_xlfn.XLOOKUP(B67,Table2[Main Member Link ID],Table2[Benefit Name],0)=Lookups!$D$16),Lookups!$D$24,
IF(AND(Table2[[#This Row],[Member Type]]="Child",Table2[[#This Row],[Product Option]]="My Value Plus Life &amp; Funeral",_xlfn.XLOOKUP(B67,Table2[Main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Funeral",_xlfn.XLOOKUP(B67,Table2[Main Member Link ID],Table2[Benefit Name],0)&lt;&gt;Lookups!$D$14),
IF(_xlfn.XLOOKUP(B67,Table2[Main Member Link ID],Table2[Benefit Name],0)=0,"",_xlfn.XLOOKUP(B67,Table2[Main Member Link ID],Table2[Benefit Name],0)),"")))))))))))))))</f>
        <v/>
      </c>
      <c r="AF67" s="327" t="str">
        <f>IF(AND(Table2[[#This Row],[Member Type]]="Main Member",Table2[[#This Row],[Product Option]]="My Value Plus Life &amp; Funeral"),Lookups!$D$15,
IF(AND(Table2[[#This Row],[Member Type]]="Spouse",Table2[[#This Row],[Product Option]]="My Value Plus Life &amp; Funeral",_xlfn.XLOOKUP(B67,Table2[Main Member Link ID],Table2[Benefit Name],0)=Lookups!$D$14),"",
IF(AND(Table2[[#This Row],[Member Type]]="Spouse",Table2[[#This Row],[Product Option]]="My Value Plus Life &amp; Funeral",_xlfn.XLOOKUP(B66,Table2[Main Member Link ID],Table2[Benefit Name],0)=Lookups!$D$16),"",
IF(AND(Table2[[#This Row],[Member Type]]="Spouse",Table2[[#This Row],[Product Option]]="My Value Plus Life &amp; Funeral",_xlfn.XLOOKUP(B66,Table2[Main Member Link ID],Table2[Benefit Name],0)=Lookups!$D$15),"",
IF(AND(Table2[[#This Row],[Member Type]]="Spouse",Table2[[#This Row],[Product Option]]="My Value Plus Life &amp; Funeral",_xlfn.XLOOKUP(B66,Table2[Main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Funeral",_xlfn.XLOOKUP(B67,Table2[Main Member Link ID],Table2[Benefit Name],0)&lt;&gt;Lookups!$D$15),
IF(_xlfn.XLOOKUP(B67,Table2[Main Member Link ID],Table2[Benefit Name],0)=0,"",_xlfn.XLOOKUP(B67,Table2[Main Member Link ID],Table2[Benefit Name],0)),"")
))))))</f>
        <v/>
      </c>
      <c r="AG67" s="327" t="str">
        <f>IF(AND(Table2[[#This Row],[Member Type]]="Main Member",Table2[[#This Row],[Product Option]]="My Value Plus Life &amp; Funeral"),Lookups!$D$16,
IF(AND(Table2[[#This Row],[Member Type]]="Spouse",Table2[[#This Row],[Product Option]]="My Value Plus Life &amp; Funeral",_xlfn.XLOOKUP(B67,Table2[Main Member Link ID],Table2[Benefit Name],0)=Lookups!$D$14),"",
IF(AND(Table2[[#This Row],[Member Type]]="Spouse",Table2[[#This Row],[Product Option]]="My Value Plus Life &amp; Funeral",_xlfn.XLOOKUP(B66,Table2[Main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Funeral",_xlfn.XLOOKUP(B67,Table2[Main Member Link ID],Table2[Benefit Name],0)&lt;&gt;Lookups!$D$16),
IF(_xlfn.XLOOKUP(B67,Table2[Main Member Link ID],Table2[Benefit Name],0)=0,"",_xlfn.XLOOKUP(B67,Table2[Main Member Link ID],Table2[Benefit Name],0)),"")
))))</f>
        <v/>
      </c>
      <c r="AH67" s="327" t="str">
        <f>IF(AND(Table2[[#This Row],[Member Type]]="Main Member",Table2[[#This Row],[Product Option]]="My Value Plus Life &amp; Funeral"),Lookups!$D$17,
IF(AND(Table2[[#This Row],[Member Type]]="Spouse",Table2[[#This Row],[Product Option]]="My Value Plus Life &amp; Funeral",_xlfn.XLOOKUP(B67,Table2[Main Member Link ID],Table2[Benefit Name],0)=Lookups!$D$14),"",
IF(AND(Table2[[#This Row],[Member Type]]="Spouse",Table2[[#This Row],[Product Option]]="My Value Plus Life &amp; Funeral",_xlfn.XLOOKUP(B66,Table2[Main Member Link ID],Table2[Benefit Name],0)=Lookups!$D$16),"",
IF(AND(Table2[[#This Row],[Member Type]]="Child",Table2[[#This Row],[Product Option]]="My Value Plus Life &amp; Funeral"),"",
IF(AND(Table2[[#This Row],[Member Type]]="Child",Table2[[#This Row],[Product Option]]="My Value Plus Life &amp; Funeral",_xlfn.XLOOKUP(B67,Table2[Main Member Link ID],Table2[Benefit Name],0)=Lookups!$D$15),"",
IF(AND(OR(Table2[[#This Row],[Member Type]]="Spouse",Table2[[#This Row],[Member Type]]="Child"),Table2[[#This Row],[Product Option]]="My Value Plus Life &amp; Funeral",_xlfn.XLOOKUP(B67,Table2[Main Member Link ID],Table2[Benefit Name],0)&lt;&gt;Lookups!$D$17),
IF(_xlfn.XLOOKUP(B67,Table2[Main Member Link ID],Table2[Benefit Name],0)=0,"",_xlfn.XLOOKUP(B67,Table2[Main Member Link ID],Table2[Benefit Name],0)),""))))))</f>
        <v/>
      </c>
      <c r="AI67" s="328" t="str">
        <f>IF(AND(Table2[[#This Row],[Member Type]]="Main Member",Table2[[#This Row],[Table Lookup for Life Cover]]="MM_LIFE",Table2[[#This Row],[Age Next Birthday]]&lt;56),1,
IF(AND(Table2[[#This Row],[Member Type]]="Main Member",Table2[[#This Row],[Table Lookup for Life Cover]]="MM_LIFE",Table2[[#This Row],[Age Next Birthday]]&gt;=56),2,
""))</f>
        <v/>
      </c>
      <c r="AJ67" s="328">
        <f>IF(OR(Table2[[#This Row],[Member Type]]="Main Member",Table2[[#This Row],[Main Member Link ID]]=B66),1,0)</f>
        <v>1</v>
      </c>
      <c r="AK67" s="328">
        <f>IF(Table2[[#This Row],[Member Type]]=0,0,
IF(OR(Table2[[#This Row],[Member Type]]="Main Member",Table2[[#This Row],[Main Member Link ID]]&lt;&gt;B67),COUNTIFS(B:B,Table2[[#This Row],[Main Member Link ID]]),
COUNTIFS(B:B,Table2[[#This Row],[Main Member Link ID]],A:A,Table2[[#This Row],[Member Type]])))</f>
        <v>0</v>
      </c>
    </row>
    <row r="68" spans="1:37" x14ac:dyDescent="0.3">
      <c r="A68" s="284">
        <f>Table13[[#This Row],[Member Type]]</f>
        <v>0</v>
      </c>
      <c r="B68" s="284">
        <f>Table13[[#This Row],[Main Member Link ID]]</f>
        <v>0</v>
      </c>
      <c r="C68" s="284">
        <f>Table13[[#This Row],[ID Number]]</f>
        <v>0</v>
      </c>
      <c r="D68" s="285">
        <f>Table13[[#This Row],[Date Of Birth]]</f>
        <v>0</v>
      </c>
      <c r="E68" s="285">
        <f>Table13[[#This Row],[Commencement Date]]</f>
        <v>0</v>
      </c>
      <c r="F68" s="284">
        <f t="shared" si="0"/>
        <v>1</v>
      </c>
      <c r="G68" s="284">
        <f t="shared" si="4"/>
        <v>25</v>
      </c>
      <c r="H68" s="286">
        <f>Table13[[#This Row],[Product Option]]</f>
        <v>0</v>
      </c>
      <c r="I68" s="284">
        <f>IF(AND($A68="Main Member",Table2[[#This Row],[Product Option]]="My Value Plus Life"),"MM_LIFE",
IF(AND($A68="Spouse",Table2[[#This Row],[Product Option]]="My Value Plus Life"),"SP_LIFE",
IF(AND($A68="Main Member",Table2[[#This Row],[Product Option]]="My Value Plus Life &amp; Funeral"),"MM_LIFE",
IF(AND($A68="Spouse",Table2[[#This Row],[Product Option]]="My Value Plus Life &amp; Funeral"),_xlfn.XLOOKUP(Table2[[#This Row],[Benefit Name]],Lookups!$D$18:$D$23,Lookups!$E$18:$E$23,0),
0))))</f>
        <v>0</v>
      </c>
      <c r="J68" s="284">
        <f>IF($I68="","",
IF($I68="MM_LIFE",INDEX('Quotation Tool'!$S$54:$V$60,MATCH($T68,'Quotation Tool'!$S$54:$S$60,0),4),
IF($I68="SP_LIFE",_xlfn.XLOOKUP(B67,$B:$B,$J:$J,0),0)))</f>
        <v>0</v>
      </c>
      <c r="K68" s="287">
        <f t="shared" ca="1" si="5"/>
        <v>0</v>
      </c>
      <c r="L68" s="288">
        <f t="shared" ca="1" si="6"/>
        <v>0</v>
      </c>
      <c r="M68" s="289">
        <f t="shared" ca="1" si="1"/>
        <v>0</v>
      </c>
      <c r="N68" s="286">
        <f>Table13[[#This Row],[Benefit Option]]</f>
        <v>0</v>
      </c>
      <c r="O68" s="284">
        <f>IF(OR(Table2[[#This Row],[Member Type]]="Spouse",Table2[[#This Row],[Member Type]]="Child"),0,
IF(_xlfn.XLOOKUP($N68,Lookups!$D$13:$D$27,Lookups!$F$13:$F$27,0)=Table2[[#This Row],[Table Lookup for Life Cover]],0,
_xlfn.XLOOKUP($N68,Lookups!$D$13:$D$27,Lookups!$F$13:$F$27,0)))</f>
        <v>0</v>
      </c>
      <c r="P68" s="284">
        <f>IF(Table2[[#This Row],[Table Lookup for Funeral]]=0,0,IFERROR(INDEX('Quotation Tool'!$S$54:$V$60,MATCH($T68,'Quotation Tool'!$S$54:$S$60,0),3),0))</f>
        <v>0</v>
      </c>
      <c r="Q68" s="288">
        <f ca="1">IF(OR(Table2[[#This Row],[Benefit Name]]="My Value Plus Life - Main Member",Table2[[#This Row],[Benefit Name]]="My Value Plus Life - Spouse"),0,
IFERROR(VLOOKUP($G68,INDIRECT($O68),$P68,FALSE),0))</f>
        <v>0</v>
      </c>
      <c r="R68" s="288">
        <f ca="1">IF(OR(Table2[[#This Row],[Benefit Name]]="My Value Plus Life - Main Member",Table2[[#This Row],[Benefit Name]]="My Value Plus Life - Spouse"),0,
IFERROR(VLOOKUP($G68,INDIRECT($O68),$P68+1,FALSE),0))</f>
        <v>0</v>
      </c>
      <c r="S68" s="289">
        <f t="shared" ca="1" si="2"/>
        <v>0</v>
      </c>
      <c r="T68" s="284" t="str">
        <f>IF(Table13[[#This Row],[Premium Waiver]]="","None",Table13[[#This Row],[Premium Waiver]])</f>
        <v>None</v>
      </c>
      <c r="U68" s="284">
        <f>Table13[[#This Row],[VAPs Options]]</f>
        <v>0</v>
      </c>
      <c r="V68" s="284">
        <f>Table13[[#This Row],[Annual Increase Option]]</f>
        <v>0</v>
      </c>
      <c r="W68" s="290">
        <f>Table13[[#This Row],[Life Cover Amount]]</f>
        <v>0</v>
      </c>
      <c r="X68" s="290">
        <f>Table13[[#This Row],[Funeral Cover Amount]]</f>
        <v>0</v>
      </c>
      <c r="Y6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8" s="301">
        <f t="shared" ca="1" si="3"/>
        <v>0</v>
      </c>
      <c r="AB68" s="298"/>
      <c r="AC68" s="326" t="str">
        <f>IF(Table2[[#This Row],[Member Type]]="Main Member",Lookups!$C$13,
IF(Table2[[#This Row],[Member Type]]="Spouse",_xlfn.XLOOKUP(B68,Table2[Main Member Link ID],Table2[Product Option],0),
IF(AND(Table2[[#This Row],[Member Type]]="Child",_xlfn.XLOOKUP(B68,Table2[Main Member Link ID],Table2[Product Option],0)&lt;&gt;"My Value Plus Life"),Lookups!$C$24,
IF(AND(OR(Table2[[#This Row],[Member Type]]="Parent",Table2[[#This Row],[Member Type]]="Extended"),_xlfn.XLOOKUP(B68,Table2[Main Member Link ID],Table2[Product Option],0)&lt;&gt;"My Value Plus Life"),Lookups!$C$26,""))))</f>
        <v/>
      </c>
      <c r="AD68" s="326" t="str">
        <f>IF(Table2[[#This Row],[Member Type]]="Main Member",Lookups!$C$14,"")</f>
        <v/>
      </c>
      <c r="AE6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Funeral",_xlfn.XLOOKUP(B68,Table2[Main Member Link ID],Table2[Benefit Name],0)=Lookups!$D$14),"",
IF(AND(Table2[[#This Row],[Member Type]]="Spouse",Table2[[#This Row],[Product Option]]="My Value Plus Life &amp; Funeral",_xlfn.XLOOKUP(B67,Table2[Main Member Link ID],Table2[Benefit Name],0)=Lookups!$D$15),Lookups!$D$20,
IF(AND(Table2[[#This Row],[Member Type]]="Spouse",Table2[[#This Row],[Product Option]]="My Value Plus Life &amp; Funeral",_xlfn.XLOOKUP(B67,Table2[Main Member Link ID],Table2[Benefit Name],0)=Lookups!$D$16),"",
IF(AND(Table2[[#This Row],[Member Type]]="Spouse",Table2[[#This Row],[Product Option]]="My Value Plus Life &amp; Funeral",_xlfn.XLOOKUP(B67,Table2[Main Member Link ID],Table2[Benefit Name],0)=Lookups!$D$17),Lookups!$D$21,
IF(AND(Table2[[#This Row],[Member Type]]="Child",Table2[[#This Row],[Product Option]]="My Value Plus Life &amp; Funeral",_xlfn.XLOOKUP(B68,Table2[Main Member Link ID],Table2[Benefit Name],0)=Lookups!$D$14),"",
IF(AND(Table2[[#This Row],[Member Type]]="Child",Table2[[#This Row],[Product Option]]="My Value Plus Life &amp; Funeral",_xlfn.XLOOKUP(B68,Table2[Main Member Link ID],Table2[Benefit Name],0)=Lookups!$D$15),"",
IF(AND(Table2[[#This Row],[Member Type]]="Child",Table2[[#This Row],[Product Option]]="My Value Plus Life &amp; Funeral",_xlfn.XLOOKUP(B68,Table2[Main Member Link ID],Table2[Benefit Name],0)=Lookups!$D$16),Lookups!$D$24,
IF(AND(Table2[[#This Row],[Member Type]]="Child",Table2[[#This Row],[Product Option]]="My Value Plus Life &amp; Funeral",_xlfn.XLOOKUP(B68,Table2[Main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Funeral",_xlfn.XLOOKUP(B68,Table2[Main Member Link ID],Table2[Benefit Name],0)&lt;&gt;Lookups!$D$14),
IF(_xlfn.XLOOKUP(B68,Table2[Main Member Link ID],Table2[Benefit Name],0)=0,"",_xlfn.XLOOKUP(B68,Table2[Main Member Link ID],Table2[Benefit Name],0)),"")))))))))))))))</f>
        <v/>
      </c>
      <c r="AF68" s="327" t="str">
        <f>IF(AND(Table2[[#This Row],[Member Type]]="Main Member",Table2[[#This Row],[Product Option]]="My Value Plus Life &amp; Funeral"),Lookups!$D$15,
IF(AND(Table2[[#This Row],[Member Type]]="Spouse",Table2[[#This Row],[Product Option]]="My Value Plus Life &amp; Funeral",_xlfn.XLOOKUP(B68,Table2[Main Member Link ID],Table2[Benefit Name],0)=Lookups!$D$14),"",
IF(AND(Table2[[#This Row],[Member Type]]="Spouse",Table2[[#This Row],[Product Option]]="My Value Plus Life &amp; Funeral",_xlfn.XLOOKUP(B67,Table2[Main Member Link ID],Table2[Benefit Name],0)=Lookups!$D$16),"",
IF(AND(Table2[[#This Row],[Member Type]]="Spouse",Table2[[#This Row],[Product Option]]="My Value Plus Life &amp; Funeral",_xlfn.XLOOKUP(B67,Table2[Main Member Link ID],Table2[Benefit Name],0)=Lookups!$D$15),"",
IF(AND(Table2[[#This Row],[Member Type]]="Spouse",Table2[[#This Row],[Product Option]]="My Value Plus Life &amp; Funeral",_xlfn.XLOOKUP(B67,Table2[Main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Funeral",_xlfn.XLOOKUP(B68,Table2[Main Member Link ID],Table2[Benefit Name],0)&lt;&gt;Lookups!$D$15),
IF(_xlfn.XLOOKUP(B68,Table2[Main Member Link ID],Table2[Benefit Name],0)=0,"",_xlfn.XLOOKUP(B68,Table2[Main Member Link ID],Table2[Benefit Name],0)),"")
))))))</f>
        <v/>
      </c>
      <c r="AG68" s="327" t="str">
        <f>IF(AND(Table2[[#This Row],[Member Type]]="Main Member",Table2[[#This Row],[Product Option]]="My Value Plus Life &amp; Funeral"),Lookups!$D$16,
IF(AND(Table2[[#This Row],[Member Type]]="Spouse",Table2[[#This Row],[Product Option]]="My Value Plus Life &amp; Funeral",_xlfn.XLOOKUP(B68,Table2[Main Member Link ID],Table2[Benefit Name],0)=Lookups!$D$14),"",
IF(AND(Table2[[#This Row],[Member Type]]="Spouse",Table2[[#This Row],[Product Option]]="My Value Plus Life &amp; Funeral",_xlfn.XLOOKUP(B67,Table2[Main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Funeral",_xlfn.XLOOKUP(B68,Table2[Main Member Link ID],Table2[Benefit Name],0)&lt;&gt;Lookups!$D$16),
IF(_xlfn.XLOOKUP(B68,Table2[Main Member Link ID],Table2[Benefit Name],0)=0,"",_xlfn.XLOOKUP(B68,Table2[Main Member Link ID],Table2[Benefit Name],0)),"")
))))</f>
        <v/>
      </c>
      <c r="AH68" s="327" t="str">
        <f>IF(AND(Table2[[#This Row],[Member Type]]="Main Member",Table2[[#This Row],[Product Option]]="My Value Plus Life &amp; Funeral"),Lookups!$D$17,
IF(AND(Table2[[#This Row],[Member Type]]="Spouse",Table2[[#This Row],[Product Option]]="My Value Plus Life &amp; Funeral",_xlfn.XLOOKUP(B68,Table2[Main Member Link ID],Table2[Benefit Name],0)=Lookups!$D$14),"",
IF(AND(Table2[[#This Row],[Member Type]]="Spouse",Table2[[#This Row],[Product Option]]="My Value Plus Life &amp; Funeral",_xlfn.XLOOKUP(B67,Table2[Main Member Link ID],Table2[Benefit Name],0)=Lookups!$D$16),"",
IF(AND(Table2[[#This Row],[Member Type]]="Child",Table2[[#This Row],[Product Option]]="My Value Plus Life &amp; Funeral"),"",
IF(AND(Table2[[#This Row],[Member Type]]="Child",Table2[[#This Row],[Product Option]]="My Value Plus Life &amp; Funeral",_xlfn.XLOOKUP(B68,Table2[Main Member Link ID],Table2[Benefit Name],0)=Lookups!$D$15),"",
IF(AND(OR(Table2[[#This Row],[Member Type]]="Spouse",Table2[[#This Row],[Member Type]]="Child"),Table2[[#This Row],[Product Option]]="My Value Plus Life &amp; Funeral",_xlfn.XLOOKUP(B68,Table2[Main Member Link ID],Table2[Benefit Name],0)&lt;&gt;Lookups!$D$17),
IF(_xlfn.XLOOKUP(B68,Table2[Main Member Link ID],Table2[Benefit Name],0)=0,"",_xlfn.XLOOKUP(B68,Table2[Main Member Link ID],Table2[Benefit Name],0)),""))))))</f>
        <v/>
      </c>
      <c r="AI68" s="328" t="str">
        <f>IF(AND(Table2[[#This Row],[Member Type]]="Main Member",Table2[[#This Row],[Table Lookup for Life Cover]]="MM_LIFE",Table2[[#This Row],[Age Next Birthday]]&lt;56),1,
IF(AND(Table2[[#This Row],[Member Type]]="Main Member",Table2[[#This Row],[Table Lookup for Life Cover]]="MM_LIFE",Table2[[#This Row],[Age Next Birthday]]&gt;=56),2,
""))</f>
        <v/>
      </c>
      <c r="AJ68" s="328">
        <f>IF(OR(Table2[[#This Row],[Member Type]]="Main Member",Table2[[#This Row],[Main Member Link ID]]=B67),1,0)</f>
        <v>1</v>
      </c>
      <c r="AK68" s="328">
        <f>IF(Table2[[#This Row],[Member Type]]=0,0,
IF(OR(Table2[[#This Row],[Member Type]]="Main Member",Table2[[#This Row],[Main Member Link ID]]&lt;&gt;B68),COUNTIFS(B:B,Table2[[#This Row],[Main Member Link ID]]),
COUNTIFS(B:B,Table2[[#This Row],[Main Member Link ID]],A:A,Table2[[#This Row],[Member Type]])))</f>
        <v>0</v>
      </c>
    </row>
    <row r="69" spans="1:37" x14ac:dyDescent="0.3">
      <c r="A69" s="284">
        <f>Table13[[#This Row],[Member Type]]</f>
        <v>0</v>
      </c>
      <c r="B69" s="284">
        <f>Table13[[#This Row],[Main Member Link ID]]</f>
        <v>0</v>
      </c>
      <c r="C69" s="284">
        <f>Table13[[#This Row],[ID Number]]</f>
        <v>0</v>
      </c>
      <c r="D69" s="285">
        <f>Table13[[#This Row],[Date Of Birth]]</f>
        <v>0</v>
      </c>
      <c r="E69" s="285">
        <f>Table13[[#This Row],[Commencement Date]]</f>
        <v>0</v>
      </c>
      <c r="F69" s="284">
        <f t="shared" ref="F69:F132" si="7">IF(D69="","",
IF(OR($A69="Main Member",$A69="Spouse",$A69="Child"),IFERROR(IF((IF($D69="",-1,DATEDIF($D69,$E69,"Y"))+1)&gt;75,"Max age",IF($D69="",-1,DATEDIF($D69,$E69,"Y"))+1),FALSE),
IFERROR(IF((IF($D69="",-1,DATEDIF($D69,$E69,"Y"))+1)&gt;75,"Max age",IF($D69="",-1,DATEDIF($D69,$E69,"Y"))+1),FALSE)))</f>
        <v>1</v>
      </c>
      <c r="G69" s="284">
        <f t="shared" ref="G69:G132" si="8">IF(F69="","",
IF(F69="Max age","Max age",
IF(OR($A69="Main Member",$A69="Spouse",$A69="Child"),IF($F69=0,"",IF($F69&lt;26,25,IF($F69&lt;36,35,IF($F69&lt;46,45,IF($F69&lt;51,50,IF($F69&lt;56,55,IF($F69&lt;61,60,IF($F69&lt;66,65,IF($F69&lt;71,70,IF($F69&lt;76,75)))))))))),
IF($F69=0,"",IF($F69&lt;26,25,IF($F69&lt;36,35,IF($F69&lt;46,45,IF($F69&lt;51,50,IF($F69&lt;56,55,IF($F69&lt;61,60,IF($F69&lt;66,65,IF($F69&lt;71,70,IF($F69&lt;76,75)))))))))))))</f>
        <v>25</v>
      </c>
      <c r="H69" s="286">
        <f>Table13[[#This Row],[Product Option]]</f>
        <v>0</v>
      </c>
      <c r="I69" s="284">
        <f>IF(AND($A69="Main Member",Table2[[#This Row],[Product Option]]="My Value Plus Life"),"MM_LIFE",
IF(AND($A69="Spouse",Table2[[#This Row],[Product Option]]="My Value Plus Life"),"SP_LIFE",
IF(AND($A69="Main Member",Table2[[#This Row],[Product Option]]="My Value Plus Life &amp; Funeral"),"MM_LIFE",
IF(AND($A69="Spouse",Table2[[#This Row],[Product Option]]="My Value Plus Life &amp; Funeral"),_xlfn.XLOOKUP(Table2[[#This Row],[Benefit Name]],Lookups!$D$18:$D$23,Lookups!$E$18:$E$23,0),
0))))</f>
        <v>0</v>
      </c>
      <c r="J69" s="284">
        <f>IF($I69="","",
IF($I69="MM_LIFE",INDEX('Quotation Tool'!$S$54:$V$60,MATCH($T69,'Quotation Tool'!$S$54:$S$60,0),4),
IF($I69="SP_LIFE",_xlfn.XLOOKUP(B68,$B:$B,$J:$J,0),0)))</f>
        <v>0</v>
      </c>
      <c r="K69" s="287">
        <f t="shared" ca="1" si="5"/>
        <v>0</v>
      </c>
      <c r="L69" s="288">
        <f t="shared" ca="1" si="6"/>
        <v>0</v>
      </c>
      <c r="M69" s="289">
        <f t="shared" ref="M69:M132" ca="1" si="9">K69+L69/1000*W69</f>
        <v>0</v>
      </c>
      <c r="N69" s="286">
        <f>Table13[[#This Row],[Benefit Option]]</f>
        <v>0</v>
      </c>
      <c r="O69" s="284">
        <f>IF(OR(Table2[[#This Row],[Member Type]]="Spouse",Table2[[#This Row],[Member Type]]="Child"),0,
IF(_xlfn.XLOOKUP($N69,Lookups!$D$13:$D$27,Lookups!$F$13:$F$27,0)=Table2[[#This Row],[Table Lookup for Life Cover]],0,
_xlfn.XLOOKUP($N69,Lookups!$D$13:$D$27,Lookups!$F$13:$F$27,0)))</f>
        <v>0</v>
      </c>
      <c r="P69" s="284">
        <f>IF(Table2[[#This Row],[Table Lookup for Funeral]]=0,0,IFERROR(INDEX('Quotation Tool'!$S$54:$V$60,MATCH($T69,'Quotation Tool'!$S$54:$S$60,0),3),0))</f>
        <v>0</v>
      </c>
      <c r="Q69" s="288">
        <f ca="1">IF(OR(Table2[[#This Row],[Benefit Name]]="My Value Plus Life - Main Member",Table2[[#This Row],[Benefit Name]]="My Value Plus Life - Spouse"),0,
IFERROR(VLOOKUP($G69,INDIRECT($O69),$P69,FALSE),0))</f>
        <v>0</v>
      </c>
      <c r="R69" s="288">
        <f ca="1">IF(OR(Table2[[#This Row],[Benefit Name]]="My Value Plus Life - Main Member",Table2[[#This Row],[Benefit Name]]="My Value Plus Life - Spouse"),0,
IFERROR(VLOOKUP($G69,INDIRECT($O69),$P69+1,FALSE),0))</f>
        <v>0</v>
      </c>
      <c r="S69" s="289">
        <f t="shared" ref="S69:S132" ca="1" si="10">Q69+R69/1000*X69</f>
        <v>0</v>
      </c>
      <c r="T69" s="284" t="str">
        <f>IF(Table13[[#This Row],[Premium Waiver]]="","None",Table13[[#This Row],[Premium Waiver]])</f>
        <v>None</v>
      </c>
      <c r="U69" s="284">
        <f>Table13[[#This Row],[VAPs Options]]</f>
        <v>0</v>
      </c>
      <c r="V69" s="284">
        <f>Table13[[#This Row],[Annual Increase Option]]</f>
        <v>0</v>
      </c>
      <c r="W69" s="290">
        <f>Table13[[#This Row],[Life Cover Amount]]</f>
        <v>0</v>
      </c>
      <c r="X69" s="290">
        <f>Table13[[#This Row],[Funeral Cover Amount]]</f>
        <v>0</v>
      </c>
      <c r="Y6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9" s="301">
        <f t="shared" ref="AA69:AA132" ca="1" si="11">S69+M69</f>
        <v>0</v>
      </c>
      <c r="AB69" s="298"/>
      <c r="AC69" s="326" t="str">
        <f>IF(Table2[[#This Row],[Member Type]]="Main Member",Lookups!$C$13,
IF(Table2[[#This Row],[Member Type]]="Spouse",_xlfn.XLOOKUP(B69,Table2[Main Member Link ID],Table2[Product Option],0),
IF(AND(Table2[[#This Row],[Member Type]]="Child",_xlfn.XLOOKUP(B69,Table2[Main Member Link ID],Table2[Product Option],0)&lt;&gt;"My Value Plus Life"),Lookups!$C$24,
IF(AND(OR(Table2[[#This Row],[Member Type]]="Parent",Table2[[#This Row],[Member Type]]="Extended"),_xlfn.XLOOKUP(B69,Table2[Main Member Link ID],Table2[Product Option],0)&lt;&gt;"My Value Plus Life"),Lookups!$C$26,""))))</f>
        <v/>
      </c>
      <c r="AD69" s="326" t="str">
        <f>IF(Table2[[#This Row],[Member Type]]="Main Member",Lookups!$C$14,"")</f>
        <v/>
      </c>
      <c r="AE6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Funeral",_xlfn.XLOOKUP(B69,Table2[Main Member Link ID],Table2[Benefit Name],0)=Lookups!$D$14),"",
IF(AND(Table2[[#This Row],[Member Type]]="Spouse",Table2[[#This Row],[Product Option]]="My Value Plus Life &amp; Funeral",_xlfn.XLOOKUP(B68,Table2[Main Member Link ID],Table2[Benefit Name],0)=Lookups!$D$15),Lookups!$D$20,
IF(AND(Table2[[#This Row],[Member Type]]="Spouse",Table2[[#This Row],[Product Option]]="My Value Plus Life &amp; Funeral",_xlfn.XLOOKUP(B68,Table2[Main Member Link ID],Table2[Benefit Name],0)=Lookups!$D$16),"",
IF(AND(Table2[[#This Row],[Member Type]]="Spouse",Table2[[#This Row],[Product Option]]="My Value Plus Life &amp; Funeral",_xlfn.XLOOKUP(B68,Table2[Main Member Link ID],Table2[Benefit Name],0)=Lookups!$D$17),Lookups!$D$21,
IF(AND(Table2[[#This Row],[Member Type]]="Child",Table2[[#This Row],[Product Option]]="My Value Plus Life &amp; Funeral",_xlfn.XLOOKUP(B69,Table2[Main Member Link ID],Table2[Benefit Name],0)=Lookups!$D$14),"",
IF(AND(Table2[[#This Row],[Member Type]]="Child",Table2[[#This Row],[Product Option]]="My Value Plus Life &amp; Funeral",_xlfn.XLOOKUP(B69,Table2[Main Member Link ID],Table2[Benefit Name],0)=Lookups!$D$15),"",
IF(AND(Table2[[#This Row],[Member Type]]="Child",Table2[[#This Row],[Product Option]]="My Value Plus Life &amp; Funeral",_xlfn.XLOOKUP(B69,Table2[Main Member Link ID],Table2[Benefit Name],0)=Lookups!$D$16),Lookups!$D$24,
IF(AND(Table2[[#This Row],[Member Type]]="Child",Table2[[#This Row],[Product Option]]="My Value Plus Life &amp; Funeral",_xlfn.XLOOKUP(B69,Table2[Main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Funeral",_xlfn.XLOOKUP(B69,Table2[Main Member Link ID],Table2[Benefit Name],0)&lt;&gt;Lookups!$D$14),
IF(_xlfn.XLOOKUP(B69,Table2[Main Member Link ID],Table2[Benefit Name],0)=0,"",_xlfn.XLOOKUP(B69,Table2[Main Member Link ID],Table2[Benefit Name],0)),"")))))))))))))))</f>
        <v/>
      </c>
      <c r="AF69" s="327" t="str">
        <f>IF(AND(Table2[[#This Row],[Member Type]]="Main Member",Table2[[#This Row],[Product Option]]="My Value Plus Life &amp; Funeral"),Lookups!$D$15,
IF(AND(Table2[[#This Row],[Member Type]]="Spouse",Table2[[#This Row],[Product Option]]="My Value Plus Life &amp; Funeral",_xlfn.XLOOKUP(B69,Table2[Main Member Link ID],Table2[Benefit Name],0)=Lookups!$D$14),"",
IF(AND(Table2[[#This Row],[Member Type]]="Spouse",Table2[[#This Row],[Product Option]]="My Value Plus Life &amp; Funeral",_xlfn.XLOOKUP(B68,Table2[Main Member Link ID],Table2[Benefit Name],0)=Lookups!$D$16),"",
IF(AND(Table2[[#This Row],[Member Type]]="Spouse",Table2[[#This Row],[Product Option]]="My Value Plus Life &amp; Funeral",_xlfn.XLOOKUP(B68,Table2[Main Member Link ID],Table2[Benefit Name],0)=Lookups!$D$15),"",
IF(AND(Table2[[#This Row],[Member Type]]="Spouse",Table2[[#This Row],[Product Option]]="My Value Plus Life &amp; Funeral",_xlfn.XLOOKUP(B68,Table2[Main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Funeral",_xlfn.XLOOKUP(B69,Table2[Main Member Link ID],Table2[Benefit Name],0)&lt;&gt;Lookups!$D$15),
IF(_xlfn.XLOOKUP(B69,Table2[Main Member Link ID],Table2[Benefit Name],0)=0,"",_xlfn.XLOOKUP(B69,Table2[Main Member Link ID],Table2[Benefit Name],0)),"")
))))))</f>
        <v/>
      </c>
      <c r="AG69" s="327" t="str">
        <f>IF(AND(Table2[[#This Row],[Member Type]]="Main Member",Table2[[#This Row],[Product Option]]="My Value Plus Life &amp; Funeral"),Lookups!$D$16,
IF(AND(Table2[[#This Row],[Member Type]]="Spouse",Table2[[#This Row],[Product Option]]="My Value Plus Life &amp; Funeral",_xlfn.XLOOKUP(B69,Table2[Main Member Link ID],Table2[Benefit Name],0)=Lookups!$D$14),"",
IF(AND(Table2[[#This Row],[Member Type]]="Spouse",Table2[[#This Row],[Product Option]]="My Value Plus Life &amp; Funeral",_xlfn.XLOOKUP(B68,Table2[Main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Funeral",_xlfn.XLOOKUP(B69,Table2[Main Member Link ID],Table2[Benefit Name],0)&lt;&gt;Lookups!$D$16),
IF(_xlfn.XLOOKUP(B69,Table2[Main Member Link ID],Table2[Benefit Name],0)=0,"",_xlfn.XLOOKUP(B69,Table2[Main Member Link ID],Table2[Benefit Name],0)),"")
))))</f>
        <v/>
      </c>
      <c r="AH69" s="327" t="str">
        <f>IF(AND(Table2[[#This Row],[Member Type]]="Main Member",Table2[[#This Row],[Product Option]]="My Value Plus Life &amp; Funeral"),Lookups!$D$17,
IF(AND(Table2[[#This Row],[Member Type]]="Spouse",Table2[[#This Row],[Product Option]]="My Value Plus Life &amp; Funeral",_xlfn.XLOOKUP(B69,Table2[Main Member Link ID],Table2[Benefit Name],0)=Lookups!$D$14),"",
IF(AND(Table2[[#This Row],[Member Type]]="Spouse",Table2[[#This Row],[Product Option]]="My Value Plus Life &amp; Funeral",_xlfn.XLOOKUP(B68,Table2[Main Member Link ID],Table2[Benefit Name],0)=Lookups!$D$16),"",
IF(AND(Table2[[#This Row],[Member Type]]="Child",Table2[[#This Row],[Product Option]]="My Value Plus Life &amp; Funeral"),"",
IF(AND(Table2[[#This Row],[Member Type]]="Child",Table2[[#This Row],[Product Option]]="My Value Plus Life &amp; Funeral",_xlfn.XLOOKUP(B69,Table2[Main Member Link ID],Table2[Benefit Name],0)=Lookups!$D$15),"",
IF(AND(OR(Table2[[#This Row],[Member Type]]="Spouse",Table2[[#This Row],[Member Type]]="Child"),Table2[[#This Row],[Product Option]]="My Value Plus Life &amp; Funeral",_xlfn.XLOOKUP(B69,Table2[Main Member Link ID],Table2[Benefit Name],0)&lt;&gt;Lookups!$D$17),
IF(_xlfn.XLOOKUP(B69,Table2[Main Member Link ID],Table2[Benefit Name],0)=0,"",_xlfn.XLOOKUP(B69,Table2[Main Member Link ID],Table2[Benefit Name],0)),""))))))</f>
        <v/>
      </c>
      <c r="AI69" s="328" t="str">
        <f>IF(AND(Table2[[#This Row],[Member Type]]="Main Member",Table2[[#This Row],[Table Lookup for Life Cover]]="MM_LIFE",Table2[[#This Row],[Age Next Birthday]]&lt;56),1,
IF(AND(Table2[[#This Row],[Member Type]]="Main Member",Table2[[#This Row],[Table Lookup for Life Cover]]="MM_LIFE",Table2[[#This Row],[Age Next Birthday]]&gt;=56),2,
""))</f>
        <v/>
      </c>
      <c r="AJ69" s="328">
        <f>IF(OR(Table2[[#This Row],[Member Type]]="Main Member",Table2[[#This Row],[Main Member Link ID]]=B68),1,0)</f>
        <v>1</v>
      </c>
      <c r="AK69" s="328">
        <f>IF(Table2[[#This Row],[Member Type]]=0,0,
IF(OR(Table2[[#This Row],[Member Type]]="Main Member",Table2[[#This Row],[Main Member Link ID]]&lt;&gt;B69),COUNTIFS(B:B,Table2[[#This Row],[Main Member Link ID]]),
COUNTIFS(B:B,Table2[[#This Row],[Main Member Link ID]],A:A,Table2[[#This Row],[Member Type]])))</f>
        <v>0</v>
      </c>
    </row>
    <row r="70" spans="1:37" x14ac:dyDescent="0.3">
      <c r="A70" s="284">
        <f>Table13[[#This Row],[Member Type]]</f>
        <v>0</v>
      </c>
      <c r="B70" s="284">
        <f>Table13[[#This Row],[Main Member Link ID]]</f>
        <v>0</v>
      </c>
      <c r="C70" s="284">
        <f>Table13[[#This Row],[ID Number]]</f>
        <v>0</v>
      </c>
      <c r="D70" s="285">
        <f>Table13[[#This Row],[Date Of Birth]]</f>
        <v>0</v>
      </c>
      <c r="E70" s="285">
        <f>Table13[[#This Row],[Commencement Date]]</f>
        <v>0</v>
      </c>
      <c r="F70" s="284">
        <f t="shared" si="7"/>
        <v>1</v>
      </c>
      <c r="G70" s="284">
        <f t="shared" si="8"/>
        <v>25</v>
      </c>
      <c r="H70" s="286">
        <f>Table13[[#This Row],[Product Option]]</f>
        <v>0</v>
      </c>
      <c r="I70" s="284">
        <f>IF(AND($A70="Main Member",Table2[[#This Row],[Product Option]]="My Value Plus Life"),"MM_LIFE",
IF(AND($A70="Spouse",Table2[[#This Row],[Product Option]]="My Value Plus Life"),"SP_LIFE",
IF(AND($A70="Main Member",Table2[[#This Row],[Product Option]]="My Value Plus Life &amp; Funeral"),"MM_LIFE",
IF(AND($A70="Spouse",Table2[[#This Row],[Product Option]]="My Value Plus Life &amp; Funeral"),_xlfn.XLOOKUP(Table2[[#This Row],[Benefit Name]],Lookups!$D$18:$D$23,Lookups!$E$18:$E$23,0),
0))))</f>
        <v>0</v>
      </c>
      <c r="J70" s="284">
        <f>IF($I70="","",
IF($I70="MM_LIFE",INDEX('Quotation Tool'!$S$54:$V$60,MATCH($T70,'Quotation Tool'!$S$54:$S$60,0),4),
IF($I70="SP_LIFE",_xlfn.XLOOKUP(B69,$B:$B,$J:$J,0),0)))</f>
        <v>0</v>
      </c>
      <c r="K70" s="287">
        <f t="shared" ref="K70:K133" ca="1" si="12">IFERROR(VLOOKUP($G70,INDIRECT($I70),$J70,FALSE),0)</f>
        <v>0</v>
      </c>
      <c r="L70" s="288">
        <f t="shared" ref="L70:L133" ca="1" si="13">IFERROR(VLOOKUP($G70,INDIRECT($I70),$J70+1,FALSE),0)</f>
        <v>0</v>
      </c>
      <c r="M70" s="289">
        <f t="shared" ca="1" si="9"/>
        <v>0</v>
      </c>
      <c r="N70" s="286">
        <f>Table13[[#This Row],[Benefit Option]]</f>
        <v>0</v>
      </c>
      <c r="O70" s="284">
        <f>IF(OR(Table2[[#This Row],[Member Type]]="Spouse",Table2[[#This Row],[Member Type]]="Child"),0,
IF(_xlfn.XLOOKUP($N70,Lookups!$D$13:$D$27,Lookups!$F$13:$F$27,0)=Table2[[#This Row],[Table Lookup for Life Cover]],0,
_xlfn.XLOOKUP($N70,Lookups!$D$13:$D$27,Lookups!$F$13:$F$27,0)))</f>
        <v>0</v>
      </c>
      <c r="P70" s="284">
        <f>IF(Table2[[#This Row],[Table Lookup for Funeral]]=0,0,IFERROR(INDEX('Quotation Tool'!$S$54:$V$60,MATCH($T70,'Quotation Tool'!$S$54:$S$60,0),3),0))</f>
        <v>0</v>
      </c>
      <c r="Q70" s="288">
        <f ca="1">IF(OR(Table2[[#This Row],[Benefit Name]]="My Value Plus Life - Main Member",Table2[[#This Row],[Benefit Name]]="My Value Plus Life - Spouse"),0,
IFERROR(VLOOKUP($G70,INDIRECT($O70),$P70,FALSE),0))</f>
        <v>0</v>
      </c>
      <c r="R70" s="288">
        <f ca="1">IF(OR(Table2[[#This Row],[Benefit Name]]="My Value Plus Life - Main Member",Table2[[#This Row],[Benefit Name]]="My Value Plus Life - Spouse"),0,
IFERROR(VLOOKUP($G70,INDIRECT($O70),$P70+1,FALSE),0))</f>
        <v>0</v>
      </c>
      <c r="S70" s="289">
        <f t="shared" ca="1" si="10"/>
        <v>0</v>
      </c>
      <c r="T70" s="284" t="str">
        <f>IF(Table13[[#This Row],[Premium Waiver]]="","None",Table13[[#This Row],[Premium Waiver]])</f>
        <v>None</v>
      </c>
      <c r="U70" s="284">
        <f>Table13[[#This Row],[VAPs Options]]</f>
        <v>0</v>
      </c>
      <c r="V70" s="284">
        <f>Table13[[#This Row],[Annual Increase Option]]</f>
        <v>0</v>
      </c>
      <c r="W70" s="290">
        <f>Table13[[#This Row],[Life Cover Amount]]</f>
        <v>0</v>
      </c>
      <c r="X70" s="290">
        <f>Table13[[#This Row],[Funeral Cover Amount]]</f>
        <v>0</v>
      </c>
      <c r="Y7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7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70" s="301">
        <f t="shared" ca="1" si="11"/>
        <v>0</v>
      </c>
      <c r="AB70" s="298"/>
      <c r="AC70" s="326" t="str">
        <f>IF(Table2[[#This Row],[Member Type]]="Main Member",Lookups!$C$13,
IF(Table2[[#This Row],[Member Type]]="Spouse",_xlfn.XLOOKUP(B70,Table2[Main Member Link ID],Table2[Product Option],0),
IF(AND(Table2[[#This Row],[Member Type]]="Child",_xlfn.XLOOKUP(B70,Table2[Main Member Link ID],Table2[Product Option],0)&lt;&gt;"My Value Plus Life"),Lookups!$C$24,
IF(AND(OR(Table2[[#This Row],[Member Type]]="Parent",Table2[[#This Row],[Member Type]]="Extended"),_xlfn.XLOOKUP(B70,Table2[Main Member Link ID],Table2[Product Option],0)&lt;&gt;"My Value Plus Life"),Lookups!$C$26,""))))</f>
        <v/>
      </c>
      <c r="AD70" s="326" t="str">
        <f>IF(Table2[[#This Row],[Member Type]]="Main Member",Lookups!$C$14,"")</f>
        <v/>
      </c>
      <c r="AE7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Funeral",_xlfn.XLOOKUP(B70,Table2[Main Member Link ID],Table2[Benefit Name],0)=Lookups!$D$14),"",
IF(AND(Table2[[#This Row],[Member Type]]="Spouse",Table2[[#This Row],[Product Option]]="My Value Plus Life &amp; Funeral",_xlfn.XLOOKUP(B69,Table2[Main Member Link ID],Table2[Benefit Name],0)=Lookups!$D$15),Lookups!$D$20,
IF(AND(Table2[[#This Row],[Member Type]]="Spouse",Table2[[#This Row],[Product Option]]="My Value Plus Life &amp; Funeral",_xlfn.XLOOKUP(B69,Table2[Main Member Link ID],Table2[Benefit Name],0)=Lookups!$D$16),"",
IF(AND(Table2[[#This Row],[Member Type]]="Spouse",Table2[[#This Row],[Product Option]]="My Value Plus Life &amp; Funeral",_xlfn.XLOOKUP(B69,Table2[Main Member Link ID],Table2[Benefit Name],0)=Lookups!$D$17),Lookups!$D$21,
IF(AND(Table2[[#This Row],[Member Type]]="Child",Table2[[#This Row],[Product Option]]="My Value Plus Life &amp; Funeral",_xlfn.XLOOKUP(B70,Table2[Main Member Link ID],Table2[Benefit Name],0)=Lookups!$D$14),"",
IF(AND(Table2[[#This Row],[Member Type]]="Child",Table2[[#This Row],[Product Option]]="My Value Plus Life &amp; Funeral",_xlfn.XLOOKUP(B70,Table2[Main Member Link ID],Table2[Benefit Name],0)=Lookups!$D$15),"",
IF(AND(Table2[[#This Row],[Member Type]]="Child",Table2[[#This Row],[Product Option]]="My Value Plus Life &amp; Funeral",_xlfn.XLOOKUP(B70,Table2[Main Member Link ID],Table2[Benefit Name],0)=Lookups!$D$16),Lookups!$D$24,
IF(AND(Table2[[#This Row],[Member Type]]="Child",Table2[[#This Row],[Product Option]]="My Value Plus Life &amp; Funeral",_xlfn.XLOOKUP(B70,Table2[Main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Funeral",_xlfn.XLOOKUP(B70,Table2[Main Member Link ID],Table2[Benefit Name],0)&lt;&gt;Lookups!$D$14),
IF(_xlfn.XLOOKUP(B70,Table2[Main Member Link ID],Table2[Benefit Name],0)=0,"",_xlfn.XLOOKUP(B70,Table2[Main Member Link ID],Table2[Benefit Name],0)),"")))))))))))))))</f>
        <v/>
      </c>
      <c r="AF70" s="327" t="str">
        <f>IF(AND(Table2[[#This Row],[Member Type]]="Main Member",Table2[[#This Row],[Product Option]]="My Value Plus Life &amp; Funeral"),Lookups!$D$15,
IF(AND(Table2[[#This Row],[Member Type]]="Spouse",Table2[[#This Row],[Product Option]]="My Value Plus Life &amp; Funeral",_xlfn.XLOOKUP(B70,Table2[Main Member Link ID],Table2[Benefit Name],0)=Lookups!$D$14),"",
IF(AND(Table2[[#This Row],[Member Type]]="Spouse",Table2[[#This Row],[Product Option]]="My Value Plus Life &amp; Funeral",_xlfn.XLOOKUP(B69,Table2[Main Member Link ID],Table2[Benefit Name],0)=Lookups!$D$16),"",
IF(AND(Table2[[#This Row],[Member Type]]="Spouse",Table2[[#This Row],[Product Option]]="My Value Plus Life &amp; Funeral",_xlfn.XLOOKUP(B69,Table2[Main Member Link ID],Table2[Benefit Name],0)=Lookups!$D$15),"",
IF(AND(Table2[[#This Row],[Member Type]]="Spouse",Table2[[#This Row],[Product Option]]="My Value Plus Life &amp; Funeral",_xlfn.XLOOKUP(B69,Table2[Main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Funeral",_xlfn.XLOOKUP(B70,Table2[Main Member Link ID],Table2[Benefit Name],0)&lt;&gt;Lookups!$D$15),
IF(_xlfn.XLOOKUP(B70,Table2[Main Member Link ID],Table2[Benefit Name],0)=0,"",_xlfn.XLOOKUP(B70,Table2[Main Member Link ID],Table2[Benefit Name],0)),"")
))))))</f>
        <v/>
      </c>
      <c r="AG70" s="327" t="str">
        <f>IF(AND(Table2[[#This Row],[Member Type]]="Main Member",Table2[[#This Row],[Product Option]]="My Value Plus Life &amp; Funeral"),Lookups!$D$16,
IF(AND(Table2[[#This Row],[Member Type]]="Spouse",Table2[[#This Row],[Product Option]]="My Value Plus Life &amp; Funeral",_xlfn.XLOOKUP(B70,Table2[Main Member Link ID],Table2[Benefit Name],0)=Lookups!$D$14),"",
IF(AND(Table2[[#This Row],[Member Type]]="Spouse",Table2[[#This Row],[Product Option]]="My Value Plus Life &amp; Funeral",_xlfn.XLOOKUP(B69,Table2[Main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Funeral",_xlfn.XLOOKUP(B70,Table2[Main Member Link ID],Table2[Benefit Name],0)&lt;&gt;Lookups!$D$16),
IF(_xlfn.XLOOKUP(B70,Table2[Main Member Link ID],Table2[Benefit Name],0)=0,"",_xlfn.XLOOKUP(B70,Table2[Main Member Link ID],Table2[Benefit Name],0)),"")
))))</f>
        <v/>
      </c>
      <c r="AH70" s="327" t="str">
        <f>IF(AND(Table2[[#This Row],[Member Type]]="Main Member",Table2[[#This Row],[Product Option]]="My Value Plus Life &amp; Funeral"),Lookups!$D$17,
IF(AND(Table2[[#This Row],[Member Type]]="Spouse",Table2[[#This Row],[Product Option]]="My Value Plus Life &amp; Funeral",_xlfn.XLOOKUP(B70,Table2[Main Member Link ID],Table2[Benefit Name],0)=Lookups!$D$14),"",
IF(AND(Table2[[#This Row],[Member Type]]="Spouse",Table2[[#This Row],[Product Option]]="My Value Plus Life &amp; Funeral",_xlfn.XLOOKUP(B69,Table2[Main Member Link ID],Table2[Benefit Name],0)=Lookups!$D$16),"",
IF(AND(Table2[[#This Row],[Member Type]]="Child",Table2[[#This Row],[Product Option]]="My Value Plus Life &amp; Funeral"),"",
IF(AND(Table2[[#This Row],[Member Type]]="Child",Table2[[#This Row],[Product Option]]="My Value Plus Life &amp; Funeral",_xlfn.XLOOKUP(B70,Table2[Main Member Link ID],Table2[Benefit Name],0)=Lookups!$D$15),"",
IF(AND(OR(Table2[[#This Row],[Member Type]]="Spouse",Table2[[#This Row],[Member Type]]="Child"),Table2[[#This Row],[Product Option]]="My Value Plus Life &amp; Funeral",_xlfn.XLOOKUP(B70,Table2[Main Member Link ID],Table2[Benefit Name],0)&lt;&gt;Lookups!$D$17),
IF(_xlfn.XLOOKUP(B70,Table2[Main Member Link ID],Table2[Benefit Name],0)=0,"",_xlfn.XLOOKUP(B70,Table2[Main Member Link ID],Table2[Benefit Name],0)),""))))))</f>
        <v/>
      </c>
      <c r="AI70" s="328" t="str">
        <f>IF(AND(Table2[[#This Row],[Member Type]]="Main Member",Table2[[#This Row],[Table Lookup for Life Cover]]="MM_LIFE",Table2[[#This Row],[Age Next Birthday]]&lt;56),1,
IF(AND(Table2[[#This Row],[Member Type]]="Main Member",Table2[[#This Row],[Table Lookup for Life Cover]]="MM_LIFE",Table2[[#This Row],[Age Next Birthday]]&gt;=56),2,
""))</f>
        <v/>
      </c>
      <c r="AJ70" s="328">
        <f>IF(OR(Table2[[#This Row],[Member Type]]="Main Member",Table2[[#This Row],[Main Member Link ID]]=B69),1,0)</f>
        <v>1</v>
      </c>
      <c r="AK70" s="328">
        <f>IF(Table2[[#This Row],[Member Type]]=0,0,
IF(OR(Table2[[#This Row],[Member Type]]="Main Member",Table2[[#This Row],[Main Member Link ID]]&lt;&gt;B70),COUNTIFS(B:B,Table2[[#This Row],[Main Member Link ID]]),
COUNTIFS(B:B,Table2[[#This Row],[Main Member Link ID]],A:A,Table2[[#This Row],[Member Type]])))</f>
        <v>0</v>
      </c>
    </row>
    <row r="71" spans="1:37" x14ac:dyDescent="0.3">
      <c r="A71" s="284">
        <f>Table13[[#This Row],[Member Type]]</f>
        <v>0</v>
      </c>
      <c r="B71" s="284">
        <f>Table13[[#This Row],[Main Member Link ID]]</f>
        <v>0</v>
      </c>
      <c r="C71" s="284">
        <f>Table13[[#This Row],[ID Number]]</f>
        <v>0</v>
      </c>
      <c r="D71" s="285">
        <f>Table13[[#This Row],[Date Of Birth]]</f>
        <v>0</v>
      </c>
      <c r="E71" s="285">
        <f>Table13[[#This Row],[Commencement Date]]</f>
        <v>0</v>
      </c>
      <c r="F71" s="284">
        <f t="shared" si="7"/>
        <v>1</v>
      </c>
      <c r="G71" s="284">
        <f t="shared" si="8"/>
        <v>25</v>
      </c>
      <c r="H71" s="286">
        <f>Table13[[#This Row],[Product Option]]</f>
        <v>0</v>
      </c>
      <c r="I71" s="284">
        <f>IF(AND($A71="Main Member",Table2[[#This Row],[Product Option]]="My Value Plus Life"),"MM_LIFE",
IF(AND($A71="Spouse",Table2[[#This Row],[Product Option]]="My Value Plus Life"),"SP_LIFE",
IF(AND($A71="Main Member",Table2[[#This Row],[Product Option]]="My Value Plus Life &amp; Funeral"),"MM_LIFE",
IF(AND($A71="Spouse",Table2[[#This Row],[Product Option]]="My Value Plus Life &amp; Funeral"),_xlfn.XLOOKUP(Table2[[#This Row],[Benefit Name]],Lookups!$D$18:$D$23,Lookups!$E$18:$E$23,0),
0))))</f>
        <v>0</v>
      </c>
      <c r="J71" s="284">
        <f>IF($I71="","",
IF($I71="MM_LIFE",INDEX('Quotation Tool'!$S$54:$V$60,MATCH($T71,'Quotation Tool'!$S$54:$S$60,0),4),
IF($I71="SP_LIFE",_xlfn.XLOOKUP(B70,$B:$B,$J:$J,0),0)))</f>
        <v>0</v>
      </c>
      <c r="K71" s="287">
        <f t="shared" ca="1" si="12"/>
        <v>0</v>
      </c>
      <c r="L71" s="288">
        <f t="shared" ca="1" si="13"/>
        <v>0</v>
      </c>
      <c r="M71" s="289">
        <f t="shared" ca="1" si="9"/>
        <v>0</v>
      </c>
      <c r="N71" s="286">
        <f>Table13[[#This Row],[Benefit Option]]</f>
        <v>0</v>
      </c>
      <c r="O71" s="284">
        <f>IF(OR(Table2[[#This Row],[Member Type]]="Spouse",Table2[[#This Row],[Member Type]]="Child"),0,
IF(_xlfn.XLOOKUP($N71,Lookups!$D$13:$D$27,Lookups!$F$13:$F$27,0)=Table2[[#This Row],[Table Lookup for Life Cover]],0,
_xlfn.XLOOKUP($N71,Lookups!$D$13:$D$27,Lookups!$F$13:$F$27,0)))</f>
        <v>0</v>
      </c>
      <c r="P71" s="284">
        <f>IF(Table2[[#This Row],[Table Lookup for Funeral]]=0,0,IFERROR(INDEX('Quotation Tool'!$S$54:$V$60,MATCH($T71,'Quotation Tool'!$S$54:$S$60,0),3),0))</f>
        <v>0</v>
      </c>
      <c r="Q71" s="288">
        <f ca="1">IF(OR(Table2[[#This Row],[Benefit Name]]="My Value Plus Life - Main Member",Table2[[#This Row],[Benefit Name]]="My Value Plus Life - Spouse"),0,
IFERROR(VLOOKUP($G71,INDIRECT($O71),$P71,FALSE),0))</f>
        <v>0</v>
      </c>
      <c r="R71" s="288">
        <f ca="1">IF(OR(Table2[[#This Row],[Benefit Name]]="My Value Plus Life - Main Member",Table2[[#This Row],[Benefit Name]]="My Value Plus Life - Spouse"),0,
IFERROR(VLOOKUP($G71,INDIRECT($O71),$P71+1,FALSE),0))</f>
        <v>0</v>
      </c>
      <c r="S71" s="289">
        <f t="shared" ca="1" si="10"/>
        <v>0</v>
      </c>
      <c r="T71" s="284" t="str">
        <f>IF(Table13[[#This Row],[Premium Waiver]]="","None",Table13[[#This Row],[Premium Waiver]])</f>
        <v>None</v>
      </c>
      <c r="U71" s="284">
        <f>Table13[[#This Row],[VAPs Options]]</f>
        <v>0</v>
      </c>
      <c r="V71" s="284">
        <f>Table13[[#This Row],[Annual Increase Option]]</f>
        <v>0</v>
      </c>
      <c r="W71" s="290">
        <f>Table13[[#This Row],[Life Cover Amount]]</f>
        <v>0</v>
      </c>
      <c r="X71" s="290">
        <f>Table13[[#This Row],[Funeral Cover Amount]]</f>
        <v>0</v>
      </c>
      <c r="Y7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7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71" s="301">
        <f t="shared" ca="1" si="11"/>
        <v>0</v>
      </c>
      <c r="AB71" s="298"/>
      <c r="AC71" s="326" t="str">
        <f>IF(Table2[[#This Row],[Member Type]]="Main Member",Lookups!$C$13,
IF(Table2[[#This Row],[Member Type]]="Spouse",_xlfn.XLOOKUP(B71,Table2[Main Member Link ID],Table2[Product Option],0),
IF(AND(Table2[[#This Row],[Member Type]]="Child",_xlfn.XLOOKUP(B71,Table2[Main Member Link ID],Table2[Product Option],0)&lt;&gt;"My Value Plus Life"),Lookups!$C$24,
IF(AND(OR(Table2[[#This Row],[Member Type]]="Parent",Table2[[#This Row],[Member Type]]="Extended"),_xlfn.XLOOKUP(B71,Table2[Main Member Link ID],Table2[Product Option],0)&lt;&gt;"My Value Plus Life"),Lookups!$C$26,""))))</f>
        <v/>
      </c>
      <c r="AD71" s="326" t="str">
        <f>IF(Table2[[#This Row],[Member Type]]="Main Member",Lookups!$C$14,"")</f>
        <v/>
      </c>
      <c r="AE7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Funeral",_xlfn.XLOOKUP(B71,Table2[Main Member Link ID],Table2[Benefit Name],0)=Lookups!$D$14),"",
IF(AND(Table2[[#This Row],[Member Type]]="Spouse",Table2[[#This Row],[Product Option]]="My Value Plus Life &amp; Funeral",_xlfn.XLOOKUP(B70,Table2[Main Member Link ID],Table2[Benefit Name],0)=Lookups!$D$15),Lookups!$D$20,
IF(AND(Table2[[#This Row],[Member Type]]="Spouse",Table2[[#This Row],[Product Option]]="My Value Plus Life &amp; Funeral",_xlfn.XLOOKUP(B70,Table2[Main Member Link ID],Table2[Benefit Name],0)=Lookups!$D$16),"",
IF(AND(Table2[[#This Row],[Member Type]]="Spouse",Table2[[#This Row],[Product Option]]="My Value Plus Life &amp; Funeral",_xlfn.XLOOKUP(B70,Table2[Main Member Link ID],Table2[Benefit Name],0)=Lookups!$D$17),Lookups!$D$21,
IF(AND(Table2[[#This Row],[Member Type]]="Child",Table2[[#This Row],[Product Option]]="My Value Plus Life &amp; Funeral",_xlfn.XLOOKUP(B71,Table2[Main Member Link ID],Table2[Benefit Name],0)=Lookups!$D$14),"",
IF(AND(Table2[[#This Row],[Member Type]]="Child",Table2[[#This Row],[Product Option]]="My Value Plus Life &amp; Funeral",_xlfn.XLOOKUP(B71,Table2[Main Member Link ID],Table2[Benefit Name],0)=Lookups!$D$15),"",
IF(AND(Table2[[#This Row],[Member Type]]="Child",Table2[[#This Row],[Product Option]]="My Value Plus Life &amp; Funeral",_xlfn.XLOOKUP(B71,Table2[Main Member Link ID],Table2[Benefit Name],0)=Lookups!$D$16),Lookups!$D$24,
IF(AND(Table2[[#This Row],[Member Type]]="Child",Table2[[#This Row],[Product Option]]="My Value Plus Life &amp; Funeral",_xlfn.XLOOKUP(B71,Table2[Main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Funeral",_xlfn.XLOOKUP(B71,Table2[Main Member Link ID],Table2[Benefit Name],0)&lt;&gt;Lookups!$D$14),
IF(_xlfn.XLOOKUP(B71,Table2[Main Member Link ID],Table2[Benefit Name],0)=0,"",_xlfn.XLOOKUP(B71,Table2[Main Member Link ID],Table2[Benefit Name],0)),"")))))))))))))))</f>
        <v/>
      </c>
      <c r="AF71" s="327" t="str">
        <f>IF(AND(Table2[[#This Row],[Member Type]]="Main Member",Table2[[#This Row],[Product Option]]="My Value Plus Life &amp; Funeral"),Lookups!$D$15,
IF(AND(Table2[[#This Row],[Member Type]]="Spouse",Table2[[#This Row],[Product Option]]="My Value Plus Life &amp; Funeral",_xlfn.XLOOKUP(B71,Table2[Main Member Link ID],Table2[Benefit Name],0)=Lookups!$D$14),"",
IF(AND(Table2[[#This Row],[Member Type]]="Spouse",Table2[[#This Row],[Product Option]]="My Value Plus Life &amp; Funeral",_xlfn.XLOOKUP(B70,Table2[Main Member Link ID],Table2[Benefit Name],0)=Lookups!$D$16),"",
IF(AND(Table2[[#This Row],[Member Type]]="Spouse",Table2[[#This Row],[Product Option]]="My Value Plus Life &amp; Funeral",_xlfn.XLOOKUP(B70,Table2[Main Member Link ID],Table2[Benefit Name],0)=Lookups!$D$15),"",
IF(AND(Table2[[#This Row],[Member Type]]="Spouse",Table2[[#This Row],[Product Option]]="My Value Plus Life &amp; Funeral",_xlfn.XLOOKUP(B70,Table2[Main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Funeral",_xlfn.XLOOKUP(B71,Table2[Main Member Link ID],Table2[Benefit Name],0)&lt;&gt;Lookups!$D$15),
IF(_xlfn.XLOOKUP(B71,Table2[Main Member Link ID],Table2[Benefit Name],0)=0,"",_xlfn.XLOOKUP(B71,Table2[Main Member Link ID],Table2[Benefit Name],0)),"")
))))))</f>
        <v/>
      </c>
      <c r="AG71" s="327" t="str">
        <f>IF(AND(Table2[[#This Row],[Member Type]]="Main Member",Table2[[#This Row],[Product Option]]="My Value Plus Life &amp; Funeral"),Lookups!$D$16,
IF(AND(Table2[[#This Row],[Member Type]]="Spouse",Table2[[#This Row],[Product Option]]="My Value Plus Life &amp; Funeral",_xlfn.XLOOKUP(B71,Table2[Main Member Link ID],Table2[Benefit Name],0)=Lookups!$D$14),"",
IF(AND(Table2[[#This Row],[Member Type]]="Spouse",Table2[[#This Row],[Product Option]]="My Value Plus Life &amp; Funeral",_xlfn.XLOOKUP(B70,Table2[Main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Funeral",_xlfn.XLOOKUP(B71,Table2[Main Member Link ID],Table2[Benefit Name],0)&lt;&gt;Lookups!$D$16),
IF(_xlfn.XLOOKUP(B71,Table2[Main Member Link ID],Table2[Benefit Name],0)=0,"",_xlfn.XLOOKUP(B71,Table2[Main Member Link ID],Table2[Benefit Name],0)),"")
))))</f>
        <v/>
      </c>
      <c r="AH71" s="327" t="str">
        <f>IF(AND(Table2[[#This Row],[Member Type]]="Main Member",Table2[[#This Row],[Product Option]]="My Value Plus Life &amp; Funeral"),Lookups!$D$17,
IF(AND(Table2[[#This Row],[Member Type]]="Spouse",Table2[[#This Row],[Product Option]]="My Value Plus Life &amp; Funeral",_xlfn.XLOOKUP(B71,Table2[Main Member Link ID],Table2[Benefit Name],0)=Lookups!$D$14),"",
IF(AND(Table2[[#This Row],[Member Type]]="Spouse",Table2[[#This Row],[Product Option]]="My Value Plus Life &amp; Funeral",_xlfn.XLOOKUP(B70,Table2[Main Member Link ID],Table2[Benefit Name],0)=Lookups!$D$16),"",
IF(AND(Table2[[#This Row],[Member Type]]="Child",Table2[[#This Row],[Product Option]]="My Value Plus Life &amp; Funeral"),"",
IF(AND(Table2[[#This Row],[Member Type]]="Child",Table2[[#This Row],[Product Option]]="My Value Plus Life &amp; Funeral",_xlfn.XLOOKUP(B71,Table2[Main Member Link ID],Table2[Benefit Name],0)=Lookups!$D$15),"",
IF(AND(OR(Table2[[#This Row],[Member Type]]="Spouse",Table2[[#This Row],[Member Type]]="Child"),Table2[[#This Row],[Product Option]]="My Value Plus Life &amp; Funeral",_xlfn.XLOOKUP(B71,Table2[Main Member Link ID],Table2[Benefit Name],0)&lt;&gt;Lookups!$D$17),
IF(_xlfn.XLOOKUP(B71,Table2[Main Member Link ID],Table2[Benefit Name],0)=0,"",_xlfn.XLOOKUP(B71,Table2[Main Member Link ID],Table2[Benefit Name],0)),""))))))</f>
        <v/>
      </c>
      <c r="AI71" s="328" t="str">
        <f>IF(AND(Table2[[#This Row],[Member Type]]="Main Member",Table2[[#This Row],[Table Lookup for Life Cover]]="MM_LIFE",Table2[[#This Row],[Age Next Birthday]]&lt;56),1,
IF(AND(Table2[[#This Row],[Member Type]]="Main Member",Table2[[#This Row],[Table Lookup for Life Cover]]="MM_LIFE",Table2[[#This Row],[Age Next Birthday]]&gt;=56),2,
""))</f>
        <v/>
      </c>
      <c r="AJ71" s="328">
        <f>IF(OR(Table2[[#This Row],[Member Type]]="Main Member",Table2[[#This Row],[Main Member Link ID]]=B70),1,0)</f>
        <v>1</v>
      </c>
      <c r="AK71" s="328">
        <f>IF(Table2[[#This Row],[Member Type]]=0,0,
IF(OR(Table2[[#This Row],[Member Type]]="Main Member",Table2[[#This Row],[Main Member Link ID]]&lt;&gt;B71),COUNTIFS(B:B,Table2[[#This Row],[Main Member Link ID]]),
COUNTIFS(B:B,Table2[[#This Row],[Main Member Link ID]],A:A,Table2[[#This Row],[Member Type]])))</f>
        <v>0</v>
      </c>
    </row>
    <row r="72" spans="1:37" x14ac:dyDescent="0.3">
      <c r="A72" s="284">
        <f>Table13[[#This Row],[Member Type]]</f>
        <v>0</v>
      </c>
      <c r="B72" s="284">
        <f>Table13[[#This Row],[Main Member Link ID]]</f>
        <v>0</v>
      </c>
      <c r="C72" s="284">
        <f>Table13[[#This Row],[ID Number]]</f>
        <v>0</v>
      </c>
      <c r="D72" s="285">
        <f>Table13[[#This Row],[Date Of Birth]]</f>
        <v>0</v>
      </c>
      <c r="E72" s="285">
        <f>Table13[[#This Row],[Commencement Date]]</f>
        <v>0</v>
      </c>
      <c r="F72" s="284">
        <f t="shared" si="7"/>
        <v>1</v>
      </c>
      <c r="G72" s="284">
        <f t="shared" si="8"/>
        <v>25</v>
      </c>
      <c r="H72" s="286">
        <f>Table13[[#This Row],[Product Option]]</f>
        <v>0</v>
      </c>
      <c r="I72" s="284">
        <f>IF(AND($A72="Main Member",Table2[[#This Row],[Product Option]]="My Value Plus Life"),"MM_LIFE",
IF(AND($A72="Spouse",Table2[[#This Row],[Product Option]]="My Value Plus Life"),"SP_LIFE",
IF(AND($A72="Main Member",Table2[[#This Row],[Product Option]]="My Value Plus Life &amp; Funeral"),"MM_LIFE",
IF(AND($A72="Spouse",Table2[[#This Row],[Product Option]]="My Value Plus Life &amp; Funeral"),_xlfn.XLOOKUP(Table2[[#This Row],[Benefit Name]],Lookups!$D$18:$D$23,Lookups!$E$18:$E$23,0),
0))))</f>
        <v>0</v>
      </c>
      <c r="J72" s="284">
        <f>IF($I72="","",
IF($I72="MM_LIFE",INDEX('Quotation Tool'!$S$54:$V$60,MATCH($T72,'Quotation Tool'!$S$54:$S$60,0),4),
IF($I72="SP_LIFE",_xlfn.XLOOKUP(B71,$B:$B,$J:$J,0),0)))</f>
        <v>0</v>
      </c>
      <c r="K72" s="287">
        <f t="shared" ca="1" si="12"/>
        <v>0</v>
      </c>
      <c r="L72" s="288">
        <f t="shared" ca="1" si="13"/>
        <v>0</v>
      </c>
      <c r="M72" s="289">
        <f t="shared" ca="1" si="9"/>
        <v>0</v>
      </c>
      <c r="N72" s="286">
        <f>Table13[[#This Row],[Benefit Option]]</f>
        <v>0</v>
      </c>
      <c r="O72" s="284">
        <f>IF(OR(Table2[[#This Row],[Member Type]]="Spouse",Table2[[#This Row],[Member Type]]="Child"),0,
IF(_xlfn.XLOOKUP($N72,Lookups!$D$13:$D$27,Lookups!$F$13:$F$27,0)=Table2[[#This Row],[Table Lookup for Life Cover]],0,
_xlfn.XLOOKUP($N72,Lookups!$D$13:$D$27,Lookups!$F$13:$F$27,0)))</f>
        <v>0</v>
      </c>
      <c r="P72" s="284">
        <f>IF(Table2[[#This Row],[Table Lookup for Funeral]]=0,0,IFERROR(INDEX('Quotation Tool'!$S$54:$V$60,MATCH($T72,'Quotation Tool'!$S$54:$S$60,0),3),0))</f>
        <v>0</v>
      </c>
      <c r="Q72" s="288">
        <f ca="1">IF(OR(Table2[[#This Row],[Benefit Name]]="My Value Plus Life - Main Member",Table2[[#This Row],[Benefit Name]]="My Value Plus Life - Spouse"),0,
IFERROR(VLOOKUP($G72,INDIRECT($O72),$P72,FALSE),0))</f>
        <v>0</v>
      </c>
      <c r="R72" s="288">
        <f ca="1">IF(OR(Table2[[#This Row],[Benefit Name]]="My Value Plus Life - Main Member",Table2[[#This Row],[Benefit Name]]="My Value Plus Life - Spouse"),0,
IFERROR(VLOOKUP($G72,INDIRECT($O72),$P72+1,FALSE),0))</f>
        <v>0</v>
      </c>
      <c r="S72" s="289">
        <f t="shared" ca="1" si="10"/>
        <v>0</v>
      </c>
      <c r="T72" s="284" t="str">
        <f>IF(Table13[[#This Row],[Premium Waiver]]="","None",Table13[[#This Row],[Premium Waiver]])</f>
        <v>None</v>
      </c>
      <c r="U72" s="284">
        <f>Table13[[#This Row],[VAPs Options]]</f>
        <v>0</v>
      </c>
      <c r="V72" s="284">
        <f>Table13[[#This Row],[Annual Increase Option]]</f>
        <v>0</v>
      </c>
      <c r="W72" s="290">
        <f>Table13[[#This Row],[Life Cover Amount]]</f>
        <v>0</v>
      </c>
      <c r="X72" s="290">
        <f>Table13[[#This Row],[Funeral Cover Amount]]</f>
        <v>0</v>
      </c>
      <c r="Y7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7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72" s="301">
        <f t="shared" ca="1" si="11"/>
        <v>0</v>
      </c>
      <c r="AB72" s="298"/>
      <c r="AC72" s="326" t="str">
        <f>IF(Table2[[#This Row],[Member Type]]="Main Member",Lookups!$C$13,
IF(Table2[[#This Row],[Member Type]]="Spouse",_xlfn.XLOOKUP(B72,Table2[Main Member Link ID],Table2[Product Option],0),
IF(AND(Table2[[#This Row],[Member Type]]="Child",_xlfn.XLOOKUP(B72,Table2[Main Member Link ID],Table2[Product Option],0)&lt;&gt;"My Value Plus Life"),Lookups!$C$24,
IF(AND(OR(Table2[[#This Row],[Member Type]]="Parent",Table2[[#This Row],[Member Type]]="Extended"),_xlfn.XLOOKUP(B72,Table2[Main Member Link ID],Table2[Product Option],0)&lt;&gt;"My Value Plus Life"),Lookups!$C$26,""))))</f>
        <v/>
      </c>
      <c r="AD72" s="326" t="str">
        <f>IF(Table2[[#This Row],[Member Type]]="Main Member",Lookups!$C$14,"")</f>
        <v/>
      </c>
      <c r="AE7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Funeral",_xlfn.XLOOKUP(B72,Table2[Main Member Link ID],Table2[Benefit Name],0)=Lookups!$D$14),"",
IF(AND(Table2[[#This Row],[Member Type]]="Spouse",Table2[[#This Row],[Product Option]]="My Value Plus Life &amp; Funeral",_xlfn.XLOOKUP(B71,Table2[Main Member Link ID],Table2[Benefit Name],0)=Lookups!$D$15),Lookups!$D$20,
IF(AND(Table2[[#This Row],[Member Type]]="Spouse",Table2[[#This Row],[Product Option]]="My Value Plus Life &amp; Funeral",_xlfn.XLOOKUP(B71,Table2[Main Member Link ID],Table2[Benefit Name],0)=Lookups!$D$16),"",
IF(AND(Table2[[#This Row],[Member Type]]="Spouse",Table2[[#This Row],[Product Option]]="My Value Plus Life &amp; Funeral",_xlfn.XLOOKUP(B71,Table2[Main Member Link ID],Table2[Benefit Name],0)=Lookups!$D$17),Lookups!$D$21,
IF(AND(Table2[[#This Row],[Member Type]]="Child",Table2[[#This Row],[Product Option]]="My Value Plus Life &amp; Funeral",_xlfn.XLOOKUP(B72,Table2[Main Member Link ID],Table2[Benefit Name],0)=Lookups!$D$14),"",
IF(AND(Table2[[#This Row],[Member Type]]="Child",Table2[[#This Row],[Product Option]]="My Value Plus Life &amp; Funeral",_xlfn.XLOOKUP(B72,Table2[Main Member Link ID],Table2[Benefit Name],0)=Lookups!$D$15),"",
IF(AND(Table2[[#This Row],[Member Type]]="Child",Table2[[#This Row],[Product Option]]="My Value Plus Life &amp; Funeral",_xlfn.XLOOKUP(B72,Table2[Main Member Link ID],Table2[Benefit Name],0)=Lookups!$D$16),Lookups!$D$24,
IF(AND(Table2[[#This Row],[Member Type]]="Child",Table2[[#This Row],[Product Option]]="My Value Plus Life &amp; Funeral",_xlfn.XLOOKUP(B72,Table2[Main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Funeral",_xlfn.XLOOKUP(B72,Table2[Main Member Link ID],Table2[Benefit Name],0)&lt;&gt;Lookups!$D$14),
IF(_xlfn.XLOOKUP(B72,Table2[Main Member Link ID],Table2[Benefit Name],0)=0,"",_xlfn.XLOOKUP(B72,Table2[Main Member Link ID],Table2[Benefit Name],0)),"")))))))))))))))</f>
        <v/>
      </c>
      <c r="AF72" s="327" t="str">
        <f>IF(AND(Table2[[#This Row],[Member Type]]="Main Member",Table2[[#This Row],[Product Option]]="My Value Plus Life &amp; Funeral"),Lookups!$D$15,
IF(AND(Table2[[#This Row],[Member Type]]="Spouse",Table2[[#This Row],[Product Option]]="My Value Plus Life &amp; Funeral",_xlfn.XLOOKUP(B72,Table2[Main Member Link ID],Table2[Benefit Name],0)=Lookups!$D$14),"",
IF(AND(Table2[[#This Row],[Member Type]]="Spouse",Table2[[#This Row],[Product Option]]="My Value Plus Life &amp; Funeral",_xlfn.XLOOKUP(B71,Table2[Main Member Link ID],Table2[Benefit Name],0)=Lookups!$D$16),"",
IF(AND(Table2[[#This Row],[Member Type]]="Spouse",Table2[[#This Row],[Product Option]]="My Value Plus Life &amp; Funeral",_xlfn.XLOOKUP(B71,Table2[Main Member Link ID],Table2[Benefit Name],0)=Lookups!$D$15),"",
IF(AND(Table2[[#This Row],[Member Type]]="Spouse",Table2[[#This Row],[Product Option]]="My Value Plus Life &amp; Funeral",_xlfn.XLOOKUP(B71,Table2[Main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Funeral",_xlfn.XLOOKUP(B72,Table2[Main Member Link ID],Table2[Benefit Name],0)&lt;&gt;Lookups!$D$15),
IF(_xlfn.XLOOKUP(B72,Table2[Main Member Link ID],Table2[Benefit Name],0)=0,"",_xlfn.XLOOKUP(B72,Table2[Main Member Link ID],Table2[Benefit Name],0)),"")
))))))</f>
        <v/>
      </c>
      <c r="AG72" s="327" t="str">
        <f>IF(AND(Table2[[#This Row],[Member Type]]="Main Member",Table2[[#This Row],[Product Option]]="My Value Plus Life &amp; Funeral"),Lookups!$D$16,
IF(AND(Table2[[#This Row],[Member Type]]="Spouse",Table2[[#This Row],[Product Option]]="My Value Plus Life &amp; Funeral",_xlfn.XLOOKUP(B72,Table2[Main Member Link ID],Table2[Benefit Name],0)=Lookups!$D$14),"",
IF(AND(Table2[[#This Row],[Member Type]]="Spouse",Table2[[#This Row],[Product Option]]="My Value Plus Life &amp; Funeral",_xlfn.XLOOKUP(B71,Table2[Main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Funeral",_xlfn.XLOOKUP(B72,Table2[Main Member Link ID],Table2[Benefit Name],0)&lt;&gt;Lookups!$D$16),
IF(_xlfn.XLOOKUP(B72,Table2[Main Member Link ID],Table2[Benefit Name],0)=0,"",_xlfn.XLOOKUP(B72,Table2[Main Member Link ID],Table2[Benefit Name],0)),"")
))))</f>
        <v/>
      </c>
      <c r="AH72" s="327" t="str">
        <f>IF(AND(Table2[[#This Row],[Member Type]]="Main Member",Table2[[#This Row],[Product Option]]="My Value Plus Life &amp; Funeral"),Lookups!$D$17,
IF(AND(Table2[[#This Row],[Member Type]]="Spouse",Table2[[#This Row],[Product Option]]="My Value Plus Life &amp; Funeral",_xlfn.XLOOKUP(B72,Table2[Main Member Link ID],Table2[Benefit Name],0)=Lookups!$D$14),"",
IF(AND(Table2[[#This Row],[Member Type]]="Spouse",Table2[[#This Row],[Product Option]]="My Value Plus Life &amp; Funeral",_xlfn.XLOOKUP(B71,Table2[Main Member Link ID],Table2[Benefit Name],0)=Lookups!$D$16),"",
IF(AND(Table2[[#This Row],[Member Type]]="Child",Table2[[#This Row],[Product Option]]="My Value Plus Life &amp; Funeral"),"",
IF(AND(Table2[[#This Row],[Member Type]]="Child",Table2[[#This Row],[Product Option]]="My Value Plus Life &amp; Funeral",_xlfn.XLOOKUP(B72,Table2[Main Member Link ID],Table2[Benefit Name],0)=Lookups!$D$15),"",
IF(AND(OR(Table2[[#This Row],[Member Type]]="Spouse",Table2[[#This Row],[Member Type]]="Child"),Table2[[#This Row],[Product Option]]="My Value Plus Life &amp; Funeral",_xlfn.XLOOKUP(B72,Table2[Main Member Link ID],Table2[Benefit Name],0)&lt;&gt;Lookups!$D$17),
IF(_xlfn.XLOOKUP(B72,Table2[Main Member Link ID],Table2[Benefit Name],0)=0,"",_xlfn.XLOOKUP(B72,Table2[Main Member Link ID],Table2[Benefit Name],0)),""))))))</f>
        <v/>
      </c>
      <c r="AI72" s="328" t="str">
        <f>IF(AND(Table2[[#This Row],[Member Type]]="Main Member",Table2[[#This Row],[Table Lookup for Life Cover]]="MM_LIFE",Table2[[#This Row],[Age Next Birthday]]&lt;56),1,
IF(AND(Table2[[#This Row],[Member Type]]="Main Member",Table2[[#This Row],[Table Lookup for Life Cover]]="MM_LIFE",Table2[[#This Row],[Age Next Birthday]]&gt;=56),2,
""))</f>
        <v/>
      </c>
      <c r="AJ72" s="328">
        <f>IF(OR(Table2[[#This Row],[Member Type]]="Main Member",Table2[[#This Row],[Main Member Link ID]]=B71),1,0)</f>
        <v>1</v>
      </c>
      <c r="AK72" s="328">
        <f>IF(Table2[[#This Row],[Member Type]]=0,0,
IF(OR(Table2[[#This Row],[Member Type]]="Main Member",Table2[[#This Row],[Main Member Link ID]]&lt;&gt;B72),COUNTIFS(B:B,Table2[[#This Row],[Main Member Link ID]]),
COUNTIFS(B:B,Table2[[#This Row],[Main Member Link ID]],A:A,Table2[[#This Row],[Member Type]])))</f>
        <v>0</v>
      </c>
    </row>
    <row r="73" spans="1:37" x14ac:dyDescent="0.3">
      <c r="A73" s="284">
        <f>Table13[[#This Row],[Member Type]]</f>
        <v>0</v>
      </c>
      <c r="B73" s="284">
        <f>Table13[[#This Row],[Main Member Link ID]]</f>
        <v>0</v>
      </c>
      <c r="C73" s="284">
        <f>Table13[[#This Row],[ID Number]]</f>
        <v>0</v>
      </c>
      <c r="D73" s="285">
        <f>Table13[[#This Row],[Date Of Birth]]</f>
        <v>0</v>
      </c>
      <c r="E73" s="285">
        <f>Table13[[#This Row],[Commencement Date]]</f>
        <v>0</v>
      </c>
      <c r="F73" s="284">
        <f t="shared" si="7"/>
        <v>1</v>
      </c>
      <c r="G73" s="284">
        <f t="shared" si="8"/>
        <v>25</v>
      </c>
      <c r="H73" s="286">
        <f>Table13[[#This Row],[Product Option]]</f>
        <v>0</v>
      </c>
      <c r="I73" s="284">
        <f>IF(AND($A73="Main Member",Table2[[#This Row],[Product Option]]="My Value Plus Life"),"MM_LIFE",
IF(AND($A73="Spouse",Table2[[#This Row],[Product Option]]="My Value Plus Life"),"SP_LIFE",
IF(AND($A73="Main Member",Table2[[#This Row],[Product Option]]="My Value Plus Life &amp; Funeral"),"MM_LIFE",
IF(AND($A73="Spouse",Table2[[#This Row],[Product Option]]="My Value Plus Life &amp; Funeral"),_xlfn.XLOOKUP(Table2[[#This Row],[Benefit Name]],Lookups!$D$18:$D$23,Lookups!$E$18:$E$23,0),
0))))</f>
        <v>0</v>
      </c>
      <c r="J73" s="284">
        <f>IF($I73="","",
IF($I73="MM_LIFE",INDEX('Quotation Tool'!$S$54:$V$60,MATCH($T73,'Quotation Tool'!$S$54:$S$60,0),4),
IF($I73="SP_LIFE",_xlfn.XLOOKUP(B72,$B:$B,$J:$J,0),0)))</f>
        <v>0</v>
      </c>
      <c r="K73" s="287">
        <f t="shared" ca="1" si="12"/>
        <v>0</v>
      </c>
      <c r="L73" s="288">
        <f t="shared" ca="1" si="13"/>
        <v>0</v>
      </c>
      <c r="M73" s="289">
        <f t="shared" ca="1" si="9"/>
        <v>0</v>
      </c>
      <c r="N73" s="286">
        <f>Table13[[#This Row],[Benefit Option]]</f>
        <v>0</v>
      </c>
      <c r="O73" s="284">
        <f>IF(OR(Table2[[#This Row],[Member Type]]="Spouse",Table2[[#This Row],[Member Type]]="Child"),0,
IF(_xlfn.XLOOKUP($N73,Lookups!$D$13:$D$27,Lookups!$F$13:$F$27,0)=Table2[[#This Row],[Table Lookup for Life Cover]],0,
_xlfn.XLOOKUP($N73,Lookups!$D$13:$D$27,Lookups!$F$13:$F$27,0)))</f>
        <v>0</v>
      </c>
      <c r="P73" s="284">
        <f>IF(Table2[[#This Row],[Table Lookup for Funeral]]=0,0,IFERROR(INDEX('Quotation Tool'!$S$54:$V$60,MATCH($T73,'Quotation Tool'!$S$54:$S$60,0),3),0))</f>
        <v>0</v>
      </c>
      <c r="Q73" s="288">
        <f ca="1">IF(OR(Table2[[#This Row],[Benefit Name]]="My Value Plus Life - Main Member",Table2[[#This Row],[Benefit Name]]="My Value Plus Life - Spouse"),0,
IFERROR(VLOOKUP($G73,INDIRECT($O73),$P73,FALSE),0))</f>
        <v>0</v>
      </c>
      <c r="R73" s="288">
        <f ca="1">IF(OR(Table2[[#This Row],[Benefit Name]]="My Value Plus Life - Main Member",Table2[[#This Row],[Benefit Name]]="My Value Plus Life - Spouse"),0,
IFERROR(VLOOKUP($G73,INDIRECT($O73),$P73+1,FALSE),0))</f>
        <v>0</v>
      </c>
      <c r="S73" s="289">
        <f t="shared" ca="1" si="10"/>
        <v>0</v>
      </c>
      <c r="T73" s="284" t="str">
        <f>IF(Table13[[#This Row],[Premium Waiver]]="","None",Table13[[#This Row],[Premium Waiver]])</f>
        <v>None</v>
      </c>
      <c r="U73" s="284">
        <f>Table13[[#This Row],[VAPs Options]]</f>
        <v>0</v>
      </c>
      <c r="V73" s="284">
        <f>Table13[[#This Row],[Annual Increase Option]]</f>
        <v>0</v>
      </c>
      <c r="W73" s="290">
        <f>Table13[[#This Row],[Life Cover Amount]]</f>
        <v>0</v>
      </c>
      <c r="X73" s="290">
        <f>Table13[[#This Row],[Funeral Cover Amount]]</f>
        <v>0</v>
      </c>
      <c r="Y7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7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73" s="301">
        <f t="shared" ca="1" si="11"/>
        <v>0</v>
      </c>
      <c r="AB73" s="298"/>
      <c r="AC73" s="326" t="str">
        <f>IF(Table2[[#This Row],[Member Type]]="Main Member",Lookups!$C$13,
IF(Table2[[#This Row],[Member Type]]="Spouse",_xlfn.XLOOKUP(B73,Table2[Main Member Link ID],Table2[Product Option],0),
IF(AND(Table2[[#This Row],[Member Type]]="Child",_xlfn.XLOOKUP(B73,Table2[Main Member Link ID],Table2[Product Option],0)&lt;&gt;"My Value Plus Life"),Lookups!$C$24,
IF(AND(OR(Table2[[#This Row],[Member Type]]="Parent",Table2[[#This Row],[Member Type]]="Extended"),_xlfn.XLOOKUP(B73,Table2[Main Member Link ID],Table2[Product Option],0)&lt;&gt;"My Value Plus Life"),Lookups!$C$26,""))))</f>
        <v/>
      </c>
      <c r="AD73" s="326" t="str">
        <f>IF(Table2[[#This Row],[Member Type]]="Main Member",Lookups!$C$14,"")</f>
        <v/>
      </c>
      <c r="AE7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Funeral",_xlfn.XLOOKUP(B73,Table2[Main Member Link ID],Table2[Benefit Name],0)=Lookups!$D$14),"",
IF(AND(Table2[[#This Row],[Member Type]]="Spouse",Table2[[#This Row],[Product Option]]="My Value Plus Life &amp; Funeral",_xlfn.XLOOKUP(B72,Table2[Main Member Link ID],Table2[Benefit Name],0)=Lookups!$D$15),Lookups!$D$20,
IF(AND(Table2[[#This Row],[Member Type]]="Spouse",Table2[[#This Row],[Product Option]]="My Value Plus Life &amp; Funeral",_xlfn.XLOOKUP(B72,Table2[Main Member Link ID],Table2[Benefit Name],0)=Lookups!$D$16),"",
IF(AND(Table2[[#This Row],[Member Type]]="Spouse",Table2[[#This Row],[Product Option]]="My Value Plus Life &amp; Funeral",_xlfn.XLOOKUP(B72,Table2[Main Member Link ID],Table2[Benefit Name],0)=Lookups!$D$17),Lookups!$D$21,
IF(AND(Table2[[#This Row],[Member Type]]="Child",Table2[[#This Row],[Product Option]]="My Value Plus Life &amp; Funeral",_xlfn.XLOOKUP(B73,Table2[Main Member Link ID],Table2[Benefit Name],0)=Lookups!$D$14),"",
IF(AND(Table2[[#This Row],[Member Type]]="Child",Table2[[#This Row],[Product Option]]="My Value Plus Life &amp; Funeral",_xlfn.XLOOKUP(B73,Table2[Main Member Link ID],Table2[Benefit Name],0)=Lookups!$D$15),"",
IF(AND(Table2[[#This Row],[Member Type]]="Child",Table2[[#This Row],[Product Option]]="My Value Plus Life &amp; Funeral",_xlfn.XLOOKUP(B73,Table2[Main Member Link ID],Table2[Benefit Name],0)=Lookups!$D$16),Lookups!$D$24,
IF(AND(Table2[[#This Row],[Member Type]]="Child",Table2[[#This Row],[Product Option]]="My Value Plus Life &amp; Funeral",_xlfn.XLOOKUP(B73,Table2[Main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Funeral",_xlfn.XLOOKUP(B73,Table2[Main Member Link ID],Table2[Benefit Name],0)&lt;&gt;Lookups!$D$14),
IF(_xlfn.XLOOKUP(B73,Table2[Main Member Link ID],Table2[Benefit Name],0)=0,"",_xlfn.XLOOKUP(B73,Table2[Main Member Link ID],Table2[Benefit Name],0)),"")))))))))))))))</f>
        <v/>
      </c>
      <c r="AF73" s="327" t="str">
        <f>IF(AND(Table2[[#This Row],[Member Type]]="Main Member",Table2[[#This Row],[Product Option]]="My Value Plus Life &amp; Funeral"),Lookups!$D$15,
IF(AND(Table2[[#This Row],[Member Type]]="Spouse",Table2[[#This Row],[Product Option]]="My Value Plus Life &amp; Funeral",_xlfn.XLOOKUP(B73,Table2[Main Member Link ID],Table2[Benefit Name],0)=Lookups!$D$14),"",
IF(AND(Table2[[#This Row],[Member Type]]="Spouse",Table2[[#This Row],[Product Option]]="My Value Plus Life &amp; Funeral",_xlfn.XLOOKUP(B72,Table2[Main Member Link ID],Table2[Benefit Name],0)=Lookups!$D$16),"",
IF(AND(Table2[[#This Row],[Member Type]]="Spouse",Table2[[#This Row],[Product Option]]="My Value Plus Life &amp; Funeral",_xlfn.XLOOKUP(B72,Table2[Main Member Link ID],Table2[Benefit Name],0)=Lookups!$D$15),"",
IF(AND(Table2[[#This Row],[Member Type]]="Spouse",Table2[[#This Row],[Product Option]]="My Value Plus Life &amp; Funeral",_xlfn.XLOOKUP(B72,Table2[Main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Funeral",_xlfn.XLOOKUP(B73,Table2[Main Member Link ID],Table2[Benefit Name],0)&lt;&gt;Lookups!$D$15),
IF(_xlfn.XLOOKUP(B73,Table2[Main Member Link ID],Table2[Benefit Name],0)=0,"",_xlfn.XLOOKUP(B73,Table2[Main Member Link ID],Table2[Benefit Name],0)),"")
))))))</f>
        <v/>
      </c>
      <c r="AG73" s="327" t="str">
        <f>IF(AND(Table2[[#This Row],[Member Type]]="Main Member",Table2[[#This Row],[Product Option]]="My Value Plus Life &amp; Funeral"),Lookups!$D$16,
IF(AND(Table2[[#This Row],[Member Type]]="Spouse",Table2[[#This Row],[Product Option]]="My Value Plus Life &amp; Funeral",_xlfn.XLOOKUP(B73,Table2[Main Member Link ID],Table2[Benefit Name],0)=Lookups!$D$14),"",
IF(AND(Table2[[#This Row],[Member Type]]="Spouse",Table2[[#This Row],[Product Option]]="My Value Plus Life &amp; Funeral",_xlfn.XLOOKUP(B72,Table2[Main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Funeral",_xlfn.XLOOKUP(B73,Table2[Main Member Link ID],Table2[Benefit Name],0)&lt;&gt;Lookups!$D$16),
IF(_xlfn.XLOOKUP(B73,Table2[Main Member Link ID],Table2[Benefit Name],0)=0,"",_xlfn.XLOOKUP(B73,Table2[Main Member Link ID],Table2[Benefit Name],0)),"")
))))</f>
        <v/>
      </c>
      <c r="AH73" s="327" t="str">
        <f>IF(AND(Table2[[#This Row],[Member Type]]="Main Member",Table2[[#This Row],[Product Option]]="My Value Plus Life &amp; Funeral"),Lookups!$D$17,
IF(AND(Table2[[#This Row],[Member Type]]="Spouse",Table2[[#This Row],[Product Option]]="My Value Plus Life &amp; Funeral",_xlfn.XLOOKUP(B73,Table2[Main Member Link ID],Table2[Benefit Name],0)=Lookups!$D$14),"",
IF(AND(Table2[[#This Row],[Member Type]]="Spouse",Table2[[#This Row],[Product Option]]="My Value Plus Life &amp; Funeral",_xlfn.XLOOKUP(B72,Table2[Main Member Link ID],Table2[Benefit Name],0)=Lookups!$D$16),"",
IF(AND(Table2[[#This Row],[Member Type]]="Child",Table2[[#This Row],[Product Option]]="My Value Plus Life &amp; Funeral"),"",
IF(AND(Table2[[#This Row],[Member Type]]="Child",Table2[[#This Row],[Product Option]]="My Value Plus Life &amp; Funeral",_xlfn.XLOOKUP(B73,Table2[Main Member Link ID],Table2[Benefit Name],0)=Lookups!$D$15),"",
IF(AND(OR(Table2[[#This Row],[Member Type]]="Spouse",Table2[[#This Row],[Member Type]]="Child"),Table2[[#This Row],[Product Option]]="My Value Plus Life &amp; Funeral",_xlfn.XLOOKUP(B73,Table2[Main Member Link ID],Table2[Benefit Name],0)&lt;&gt;Lookups!$D$17),
IF(_xlfn.XLOOKUP(B73,Table2[Main Member Link ID],Table2[Benefit Name],0)=0,"",_xlfn.XLOOKUP(B73,Table2[Main Member Link ID],Table2[Benefit Name],0)),""))))))</f>
        <v/>
      </c>
      <c r="AI73" s="328" t="str">
        <f>IF(AND(Table2[[#This Row],[Member Type]]="Main Member",Table2[[#This Row],[Table Lookup for Life Cover]]="MM_LIFE",Table2[[#This Row],[Age Next Birthday]]&lt;56),1,
IF(AND(Table2[[#This Row],[Member Type]]="Main Member",Table2[[#This Row],[Table Lookup for Life Cover]]="MM_LIFE",Table2[[#This Row],[Age Next Birthday]]&gt;=56),2,
""))</f>
        <v/>
      </c>
      <c r="AJ73" s="328">
        <f>IF(OR(Table2[[#This Row],[Member Type]]="Main Member",Table2[[#This Row],[Main Member Link ID]]=B72),1,0)</f>
        <v>1</v>
      </c>
      <c r="AK73" s="328">
        <f>IF(Table2[[#This Row],[Member Type]]=0,0,
IF(OR(Table2[[#This Row],[Member Type]]="Main Member",Table2[[#This Row],[Main Member Link ID]]&lt;&gt;B73),COUNTIFS(B:B,Table2[[#This Row],[Main Member Link ID]]),
COUNTIFS(B:B,Table2[[#This Row],[Main Member Link ID]],A:A,Table2[[#This Row],[Member Type]])))</f>
        <v>0</v>
      </c>
    </row>
    <row r="74" spans="1:37" x14ac:dyDescent="0.3">
      <c r="A74" s="284">
        <f>Table13[[#This Row],[Member Type]]</f>
        <v>0</v>
      </c>
      <c r="B74" s="284">
        <f>Table13[[#This Row],[Main Member Link ID]]</f>
        <v>0</v>
      </c>
      <c r="C74" s="284">
        <f>Table13[[#This Row],[ID Number]]</f>
        <v>0</v>
      </c>
      <c r="D74" s="285">
        <f>Table13[[#This Row],[Date Of Birth]]</f>
        <v>0</v>
      </c>
      <c r="E74" s="285">
        <f>Table13[[#This Row],[Commencement Date]]</f>
        <v>0</v>
      </c>
      <c r="F74" s="284">
        <f t="shared" si="7"/>
        <v>1</v>
      </c>
      <c r="G74" s="284">
        <f t="shared" si="8"/>
        <v>25</v>
      </c>
      <c r="H74" s="286">
        <f>Table13[[#This Row],[Product Option]]</f>
        <v>0</v>
      </c>
      <c r="I74" s="284">
        <f>IF(AND($A74="Main Member",Table2[[#This Row],[Product Option]]="My Value Plus Life"),"MM_LIFE",
IF(AND($A74="Spouse",Table2[[#This Row],[Product Option]]="My Value Plus Life"),"SP_LIFE",
IF(AND($A74="Main Member",Table2[[#This Row],[Product Option]]="My Value Plus Life &amp; Funeral"),"MM_LIFE",
IF(AND($A74="Spouse",Table2[[#This Row],[Product Option]]="My Value Plus Life &amp; Funeral"),_xlfn.XLOOKUP(Table2[[#This Row],[Benefit Name]],Lookups!$D$18:$D$23,Lookups!$E$18:$E$23,0),
0))))</f>
        <v>0</v>
      </c>
      <c r="J74" s="284">
        <f>IF($I74="","",
IF($I74="MM_LIFE",INDEX('Quotation Tool'!$S$54:$V$60,MATCH($T74,'Quotation Tool'!$S$54:$S$60,0),4),
IF($I74="SP_LIFE",_xlfn.XLOOKUP(B73,$B:$B,$J:$J,0),0)))</f>
        <v>0</v>
      </c>
      <c r="K74" s="287">
        <f t="shared" ca="1" si="12"/>
        <v>0</v>
      </c>
      <c r="L74" s="288">
        <f t="shared" ca="1" si="13"/>
        <v>0</v>
      </c>
      <c r="M74" s="289">
        <f t="shared" ca="1" si="9"/>
        <v>0</v>
      </c>
      <c r="N74" s="286">
        <f>Table13[[#This Row],[Benefit Option]]</f>
        <v>0</v>
      </c>
      <c r="O74" s="284">
        <f>IF(OR(Table2[[#This Row],[Member Type]]="Spouse",Table2[[#This Row],[Member Type]]="Child"),0,
IF(_xlfn.XLOOKUP($N74,Lookups!$D$13:$D$27,Lookups!$F$13:$F$27,0)=Table2[[#This Row],[Table Lookup for Life Cover]],0,
_xlfn.XLOOKUP($N74,Lookups!$D$13:$D$27,Lookups!$F$13:$F$27,0)))</f>
        <v>0</v>
      </c>
      <c r="P74" s="284">
        <f>IF(Table2[[#This Row],[Table Lookup for Funeral]]=0,0,IFERROR(INDEX('Quotation Tool'!$S$54:$V$60,MATCH($T74,'Quotation Tool'!$S$54:$S$60,0),3),0))</f>
        <v>0</v>
      </c>
      <c r="Q74" s="288">
        <f ca="1">IF(OR(Table2[[#This Row],[Benefit Name]]="My Value Plus Life - Main Member",Table2[[#This Row],[Benefit Name]]="My Value Plus Life - Spouse"),0,
IFERROR(VLOOKUP($G74,INDIRECT($O74),$P74,FALSE),0))</f>
        <v>0</v>
      </c>
      <c r="R74" s="288">
        <f ca="1">IF(OR(Table2[[#This Row],[Benefit Name]]="My Value Plus Life - Main Member",Table2[[#This Row],[Benefit Name]]="My Value Plus Life - Spouse"),0,
IFERROR(VLOOKUP($G74,INDIRECT($O74),$P74+1,FALSE),0))</f>
        <v>0</v>
      </c>
      <c r="S74" s="289">
        <f t="shared" ca="1" si="10"/>
        <v>0</v>
      </c>
      <c r="T74" s="284" t="str">
        <f>IF(Table13[[#This Row],[Premium Waiver]]="","None",Table13[[#This Row],[Premium Waiver]])</f>
        <v>None</v>
      </c>
      <c r="U74" s="284">
        <f>Table13[[#This Row],[VAPs Options]]</f>
        <v>0</v>
      </c>
      <c r="V74" s="284">
        <f>Table13[[#This Row],[Annual Increase Option]]</f>
        <v>0</v>
      </c>
      <c r="W74" s="290">
        <f>Table13[[#This Row],[Life Cover Amount]]</f>
        <v>0</v>
      </c>
      <c r="X74" s="290">
        <f>Table13[[#This Row],[Funeral Cover Amount]]</f>
        <v>0</v>
      </c>
      <c r="Y7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7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74" s="301">
        <f t="shared" ca="1" si="11"/>
        <v>0</v>
      </c>
      <c r="AB74" s="298"/>
      <c r="AC74" s="326" t="str">
        <f>IF(Table2[[#This Row],[Member Type]]="Main Member",Lookups!$C$13,
IF(Table2[[#This Row],[Member Type]]="Spouse",_xlfn.XLOOKUP(B74,Table2[Main Member Link ID],Table2[Product Option],0),
IF(AND(Table2[[#This Row],[Member Type]]="Child",_xlfn.XLOOKUP(B74,Table2[Main Member Link ID],Table2[Product Option],0)&lt;&gt;"My Value Plus Life"),Lookups!$C$24,
IF(AND(OR(Table2[[#This Row],[Member Type]]="Parent",Table2[[#This Row],[Member Type]]="Extended"),_xlfn.XLOOKUP(B74,Table2[Main Member Link ID],Table2[Product Option],0)&lt;&gt;"My Value Plus Life"),Lookups!$C$26,""))))</f>
        <v/>
      </c>
      <c r="AD74" s="326" t="str">
        <f>IF(Table2[[#This Row],[Member Type]]="Main Member",Lookups!$C$14,"")</f>
        <v/>
      </c>
      <c r="AE7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Funeral",_xlfn.XLOOKUP(B74,Table2[Main Member Link ID],Table2[Benefit Name],0)=Lookups!$D$14),"",
IF(AND(Table2[[#This Row],[Member Type]]="Spouse",Table2[[#This Row],[Product Option]]="My Value Plus Life &amp; Funeral",_xlfn.XLOOKUP(B73,Table2[Main Member Link ID],Table2[Benefit Name],0)=Lookups!$D$15),Lookups!$D$20,
IF(AND(Table2[[#This Row],[Member Type]]="Spouse",Table2[[#This Row],[Product Option]]="My Value Plus Life &amp; Funeral",_xlfn.XLOOKUP(B73,Table2[Main Member Link ID],Table2[Benefit Name],0)=Lookups!$D$16),"",
IF(AND(Table2[[#This Row],[Member Type]]="Spouse",Table2[[#This Row],[Product Option]]="My Value Plus Life &amp; Funeral",_xlfn.XLOOKUP(B73,Table2[Main Member Link ID],Table2[Benefit Name],0)=Lookups!$D$17),Lookups!$D$21,
IF(AND(Table2[[#This Row],[Member Type]]="Child",Table2[[#This Row],[Product Option]]="My Value Plus Life &amp; Funeral",_xlfn.XLOOKUP(B74,Table2[Main Member Link ID],Table2[Benefit Name],0)=Lookups!$D$14),"",
IF(AND(Table2[[#This Row],[Member Type]]="Child",Table2[[#This Row],[Product Option]]="My Value Plus Life &amp; Funeral",_xlfn.XLOOKUP(B74,Table2[Main Member Link ID],Table2[Benefit Name],0)=Lookups!$D$15),"",
IF(AND(Table2[[#This Row],[Member Type]]="Child",Table2[[#This Row],[Product Option]]="My Value Plus Life &amp; Funeral",_xlfn.XLOOKUP(B74,Table2[Main Member Link ID],Table2[Benefit Name],0)=Lookups!$D$16),Lookups!$D$24,
IF(AND(Table2[[#This Row],[Member Type]]="Child",Table2[[#This Row],[Product Option]]="My Value Plus Life &amp; Funeral",_xlfn.XLOOKUP(B74,Table2[Main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Funeral",_xlfn.XLOOKUP(B74,Table2[Main Member Link ID],Table2[Benefit Name],0)&lt;&gt;Lookups!$D$14),
IF(_xlfn.XLOOKUP(B74,Table2[Main Member Link ID],Table2[Benefit Name],0)=0,"",_xlfn.XLOOKUP(B74,Table2[Main Member Link ID],Table2[Benefit Name],0)),"")))))))))))))))</f>
        <v/>
      </c>
      <c r="AF74" s="327" t="str">
        <f>IF(AND(Table2[[#This Row],[Member Type]]="Main Member",Table2[[#This Row],[Product Option]]="My Value Plus Life &amp; Funeral"),Lookups!$D$15,
IF(AND(Table2[[#This Row],[Member Type]]="Spouse",Table2[[#This Row],[Product Option]]="My Value Plus Life &amp; Funeral",_xlfn.XLOOKUP(B74,Table2[Main Member Link ID],Table2[Benefit Name],0)=Lookups!$D$14),"",
IF(AND(Table2[[#This Row],[Member Type]]="Spouse",Table2[[#This Row],[Product Option]]="My Value Plus Life &amp; Funeral",_xlfn.XLOOKUP(B73,Table2[Main Member Link ID],Table2[Benefit Name],0)=Lookups!$D$16),"",
IF(AND(Table2[[#This Row],[Member Type]]="Spouse",Table2[[#This Row],[Product Option]]="My Value Plus Life &amp; Funeral",_xlfn.XLOOKUP(B73,Table2[Main Member Link ID],Table2[Benefit Name],0)=Lookups!$D$15),"",
IF(AND(Table2[[#This Row],[Member Type]]="Spouse",Table2[[#This Row],[Product Option]]="My Value Plus Life &amp; Funeral",_xlfn.XLOOKUP(B73,Table2[Main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Funeral",_xlfn.XLOOKUP(B74,Table2[Main Member Link ID],Table2[Benefit Name],0)&lt;&gt;Lookups!$D$15),
IF(_xlfn.XLOOKUP(B74,Table2[Main Member Link ID],Table2[Benefit Name],0)=0,"",_xlfn.XLOOKUP(B74,Table2[Main Member Link ID],Table2[Benefit Name],0)),"")
))))))</f>
        <v/>
      </c>
      <c r="AG74" s="327" t="str">
        <f>IF(AND(Table2[[#This Row],[Member Type]]="Main Member",Table2[[#This Row],[Product Option]]="My Value Plus Life &amp; Funeral"),Lookups!$D$16,
IF(AND(Table2[[#This Row],[Member Type]]="Spouse",Table2[[#This Row],[Product Option]]="My Value Plus Life &amp; Funeral",_xlfn.XLOOKUP(B74,Table2[Main Member Link ID],Table2[Benefit Name],0)=Lookups!$D$14),"",
IF(AND(Table2[[#This Row],[Member Type]]="Spouse",Table2[[#This Row],[Product Option]]="My Value Plus Life &amp; Funeral",_xlfn.XLOOKUP(B73,Table2[Main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Funeral",_xlfn.XLOOKUP(B74,Table2[Main Member Link ID],Table2[Benefit Name],0)&lt;&gt;Lookups!$D$16),
IF(_xlfn.XLOOKUP(B74,Table2[Main Member Link ID],Table2[Benefit Name],0)=0,"",_xlfn.XLOOKUP(B74,Table2[Main Member Link ID],Table2[Benefit Name],0)),"")
))))</f>
        <v/>
      </c>
      <c r="AH74" s="327" t="str">
        <f>IF(AND(Table2[[#This Row],[Member Type]]="Main Member",Table2[[#This Row],[Product Option]]="My Value Plus Life &amp; Funeral"),Lookups!$D$17,
IF(AND(Table2[[#This Row],[Member Type]]="Spouse",Table2[[#This Row],[Product Option]]="My Value Plus Life &amp; Funeral",_xlfn.XLOOKUP(B74,Table2[Main Member Link ID],Table2[Benefit Name],0)=Lookups!$D$14),"",
IF(AND(Table2[[#This Row],[Member Type]]="Spouse",Table2[[#This Row],[Product Option]]="My Value Plus Life &amp; Funeral",_xlfn.XLOOKUP(B73,Table2[Main Member Link ID],Table2[Benefit Name],0)=Lookups!$D$16),"",
IF(AND(Table2[[#This Row],[Member Type]]="Child",Table2[[#This Row],[Product Option]]="My Value Plus Life &amp; Funeral"),"",
IF(AND(Table2[[#This Row],[Member Type]]="Child",Table2[[#This Row],[Product Option]]="My Value Plus Life &amp; Funeral",_xlfn.XLOOKUP(B74,Table2[Main Member Link ID],Table2[Benefit Name],0)=Lookups!$D$15),"",
IF(AND(OR(Table2[[#This Row],[Member Type]]="Spouse",Table2[[#This Row],[Member Type]]="Child"),Table2[[#This Row],[Product Option]]="My Value Plus Life &amp; Funeral",_xlfn.XLOOKUP(B74,Table2[Main Member Link ID],Table2[Benefit Name],0)&lt;&gt;Lookups!$D$17),
IF(_xlfn.XLOOKUP(B74,Table2[Main Member Link ID],Table2[Benefit Name],0)=0,"",_xlfn.XLOOKUP(B74,Table2[Main Member Link ID],Table2[Benefit Name],0)),""))))))</f>
        <v/>
      </c>
      <c r="AI74" s="328" t="str">
        <f>IF(AND(Table2[[#This Row],[Member Type]]="Main Member",Table2[[#This Row],[Table Lookup for Life Cover]]="MM_LIFE",Table2[[#This Row],[Age Next Birthday]]&lt;56),1,
IF(AND(Table2[[#This Row],[Member Type]]="Main Member",Table2[[#This Row],[Table Lookup for Life Cover]]="MM_LIFE",Table2[[#This Row],[Age Next Birthday]]&gt;=56),2,
""))</f>
        <v/>
      </c>
      <c r="AJ74" s="328">
        <f>IF(OR(Table2[[#This Row],[Member Type]]="Main Member",Table2[[#This Row],[Main Member Link ID]]=B73),1,0)</f>
        <v>1</v>
      </c>
      <c r="AK74" s="328">
        <f>IF(Table2[[#This Row],[Member Type]]=0,0,
IF(OR(Table2[[#This Row],[Member Type]]="Main Member",Table2[[#This Row],[Main Member Link ID]]&lt;&gt;B74),COUNTIFS(B:B,Table2[[#This Row],[Main Member Link ID]]),
COUNTIFS(B:B,Table2[[#This Row],[Main Member Link ID]],A:A,Table2[[#This Row],[Member Type]])))</f>
        <v>0</v>
      </c>
    </row>
    <row r="75" spans="1:37" x14ac:dyDescent="0.3">
      <c r="A75" s="284">
        <f>Table13[[#This Row],[Member Type]]</f>
        <v>0</v>
      </c>
      <c r="B75" s="284">
        <f>Table13[[#This Row],[Main Member Link ID]]</f>
        <v>0</v>
      </c>
      <c r="C75" s="284">
        <f>Table13[[#This Row],[ID Number]]</f>
        <v>0</v>
      </c>
      <c r="D75" s="285">
        <f>Table13[[#This Row],[Date Of Birth]]</f>
        <v>0</v>
      </c>
      <c r="E75" s="285">
        <f>Table13[[#This Row],[Commencement Date]]</f>
        <v>0</v>
      </c>
      <c r="F75" s="284">
        <f t="shared" si="7"/>
        <v>1</v>
      </c>
      <c r="G75" s="284">
        <f t="shared" si="8"/>
        <v>25</v>
      </c>
      <c r="H75" s="286">
        <f>Table13[[#This Row],[Product Option]]</f>
        <v>0</v>
      </c>
      <c r="I75" s="284">
        <f>IF(AND($A75="Main Member",Table2[[#This Row],[Product Option]]="My Value Plus Life"),"MM_LIFE",
IF(AND($A75="Spouse",Table2[[#This Row],[Product Option]]="My Value Plus Life"),"SP_LIFE",
IF(AND($A75="Main Member",Table2[[#This Row],[Product Option]]="My Value Plus Life &amp; Funeral"),"MM_LIFE",
IF(AND($A75="Spouse",Table2[[#This Row],[Product Option]]="My Value Plus Life &amp; Funeral"),_xlfn.XLOOKUP(Table2[[#This Row],[Benefit Name]],Lookups!$D$18:$D$23,Lookups!$E$18:$E$23,0),
0))))</f>
        <v>0</v>
      </c>
      <c r="J75" s="284">
        <f>IF($I75="","",
IF($I75="MM_LIFE",INDEX('Quotation Tool'!$S$54:$V$60,MATCH($T75,'Quotation Tool'!$S$54:$S$60,0),4),
IF($I75="SP_LIFE",_xlfn.XLOOKUP(B74,$B:$B,$J:$J,0),0)))</f>
        <v>0</v>
      </c>
      <c r="K75" s="287">
        <f t="shared" ca="1" si="12"/>
        <v>0</v>
      </c>
      <c r="L75" s="288">
        <f t="shared" ca="1" si="13"/>
        <v>0</v>
      </c>
      <c r="M75" s="289">
        <f t="shared" ca="1" si="9"/>
        <v>0</v>
      </c>
      <c r="N75" s="286">
        <f>Table13[[#This Row],[Benefit Option]]</f>
        <v>0</v>
      </c>
      <c r="O75" s="284">
        <f>IF(OR(Table2[[#This Row],[Member Type]]="Spouse",Table2[[#This Row],[Member Type]]="Child"),0,
IF(_xlfn.XLOOKUP($N75,Lookups!$D$13:$D$27,Lookups!$F$13:$F$27,0)=Table2[[#This Row],[Table Lookup for Life Cover]],0,
_xlfn.XLOOKUP($N75,Lookups!$D$13:$D$27,Lookups!$F$13:$F$27,0)))</f>
        <v>0</v>
      </c>
      <c r="P75" s="284">
        <f>IF(Table2[[#This Row],[Table Lookup for Funeral]]=0,0,IFERROR(INDEX('Quotation Tool'!$S$54:$V$60,MATCH($T75,'Quotation Tool'!$S$54:$S$60,0),3),0))</f>
        <v>0</v>
      </c>
      <c r="Q75" s="288">
        <f ca="1">IF(OR(Table2[[#This Row],[Benefit Name]]="My Value Plus Life - Main Member",Table2[[#This Row],[Benefit Name]]="My Value Plus Life - Spouse"),0,
IFERROR(VLOOKUP($G75,INDIRECT($O75),$P75,FALSE),0))</f>
        <v>0</v>
      </c>
      <c r="R75" s="288">
        <f ca="1">IF(OR(Table2[[#This Row],[Benefit Name]]="My Value Plus Life - Main Member",Table2[[#This Row],[Benefit Name]]="My Value Plus Life - Spouse"),0,
IFERROR(VLOOKUP($G75,INDIRECT($O75),$P75+1,FALSE),0))</f>
        <v>0</v>
      </c>
      <c r="S75" s="289">
        <f t="shared" ca="1" si="10"/>
        <v>0</v>
      </c>
      <c r="T75" s="284" t="str">
        <f>IF(Table13[[#This Row],[Premium Waiver]]="","None",Table13[[#This Row],[Premium Waiver]])</f>
        <v>None</v>
      </c>
      <c r="U75" s="284">
        <f>Table13[[#This Row],[VAPs Options]]</f>
        <v>0</v>
      </c>
      <c r="V75" s="284">
        <f>Table13[[#This Row],[Annual Increase Option]]</f>
        <v>0</v>
      </c>
      <c r="W75" s="290">
        <f>Table13[[#This Row],[Life Cover Amount]]</f>
        <v>0</v>
      </c>
      <c r="X75" s="290">
        <f>Table13[[#This Row],[Funeral Cover Amount]]</f>
        <v>0</v>
      </c>
      <c r="Y7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7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75" s="301">
        <f t="shared" ca="1" si="11"/>
        <v>0</v>
      </c>
      <c r="AB75" s="298"/>
      <c r="AC75" s="326" t="str">
        <f>IF(Table2[[#This Row],[Member Type]]="Main Member",Lookups!$C$13,
IF(Table2[[#This Row],[Member Type]]="Spouse",_xlfn.XLOOKUP(B75,Table2[Main Member Link ID],Table2[Product Option],0),
IF(AND(Table2[[#This Row],[Member Type]]="Child",_xlfn.XLOOKUP(B75,Table2[Main Member Link ID],Table2[Product Option],0)&lt;&gt;"My Value Plus Life"),Lookups!$C$24,
IF(AND(OR(Table2[[#This Row],[Member Type]]="Parent",Table2[[#This Row],[Member Type]]="Extended"),_xlfn.XLOOKUP(B75,Table2[Main Member Link ID],Table2[Product Option],0)&lt;&gt;"My Value Plus Life"),Lookups!$C$26,""))))</f>
        <v/>
      </c>
      <c r="AD75" s="326" t="str">
        <f>IF(Table2[[#This Row],[Member Type]]="Main Member",Lookups!$C$14,"")</f>
        <v/>
      </c>
      <c r="AE7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Funeral",_xlfn.XLOOKUP(B75,Table2[Main Member Link ID],Table2[Benefit Name],0)=Lookups!$D$14),"",
IF(AND(Table2[[#This Row],[Member Type]]="Spouse",Table2[[#This Row],[Product Option]]="My Value Plus Life &amp; Funeral",_xlfn.XLOOKUP(B74,Table2[Main Member Link ID],Table2[Benefit Name],0)=Lookups!$D$15),Lookups!$D$20,
IF(AND(Table2[[#This Row],[Member Type]]="Spouse",Table2[[#This Row],[Product Option]]="My Value Plus Life &amp; Funeral",_xlfn.XLOOKUP(B74,Table2[Main Member Link ID],Table2[Benefit Name],0)=Lookups!$D$16),"",
IF(AND(Table2[[#This Row],[Member Type]]="Spouse",Table2[[#This Row],[Product Option]]="My Value Plus Life &amp; Funeral",_xlfn.XLOOKUP(B74,Table2[Main Member Link ID],Table2[Benefit Name],0)=Lookups!$D$17),Lookups!$D$21,
IF(AND(Table2[[#This Row],[Member Type]]="Child",Table2[[#This Row],[Product Option]]="My Value Plus Life &amp; Funeral",_xlfn.XLOOKUP(B75,Table2[Main Member Link ID],Table2[Benefit Name],0)=Lookups!$D$14),"",
IF(AND(Table2[[#This Row],[Member Type]]="Child",Table2[[#This Row],[Product Option]]="My Value Plus Life &amp; Funeral",_xlfn.XLOOKUP(B75,Table2[Main Member Link ID],Table2[Benefit Name],0)=Lookups!$D$15),"",
IF(AND(Table2[[#This Row],[Member Type]]="Child",Table2[[#This Row],[Product Option]]="My Value Plus Life &amp; Funeral",_xlfn.XLOOKUP(B75,Table2[Main Member Link ID],Table2[Benefit Name],0)=Lookups!$D$16),Lookups!$D$24,
IF(AND(Table2[[#This Row],[Member Type]]="Child",Table2[[#This Row],[Product Option]]="My Value Plus Life &amp; Funeral",_xlfn.XLOOKUP(B75,Table2[Main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Funeral",_xlfn.XLOOKUP(B75,Table2[Main Member Link ID],Table2[Benefit Name],0)&lt;&gt;Lookups!$D$14),
IF(_xlfn.XLOOKUP(B75,Table2[Main Member Link ID],Table2[Benefit Name],0)=0,"",_xlfn.XLOOKUP(B75,Table2[Main Member Link ID],Table2[Benefit Name],0)),"")))))))))))))))</f>
        <v/>
      </c>
      <c r="AF75" s="327" t="str">
        <f>IF(AND(Table2[[#This Row],[Member Type]]="Main Member",Table2[[#This Row],[Product Option]]="My Value Plus Life &amp; Funeral"),Lookups!$D$15,
IF(AND(Table2[[#This Row],[Member Type]]="Spouse",Table2[[#This Row],[Product Option]]="My Value Plus Life &amp; Funeral",_xlfn.XLOOKUP(B75,Table2[Main Member Link ID],Table2[Benefit Name],0)=Lookups!$D$14),"",
IF(AND(Table2[[#This Row],[Member Type]]="Spouse",Table2[[#This Row],[Product Option]]="My Value Plus Life &amp; Funeral",_xlfn.XLOOKUP(B74,Table2[Main Member Link ID],Table2[Benefit Name],0)=Lookups!$D$16),"",
IF(AND(Table2[[#This Row],[Member Type]]="Spouse",Table2[[#This Row],[Product Option]]="My Value Plus Life &amp; Funeral",_xlfn.XLOOKUP(B74,Table2[Main Member Link ID],Table2[Benefit Name],0)=Lookups!$D$15),"",
IF(AND(Table2[[#This Row],[Member Type]]="Spouse",Table2[[#This Row],[Product Option]]="My Value Plus Life &amp; Funeral",_xlfn.XLOOKUP(B74,Table2[Main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Funeral",_xlfn.XLOOKUP(B75,Table2[Main Member Link ID],Table2[Benefit Name],0)&lt;&gt;Lookups!$D$15),
IF(_xlfn.XLOOKUP(B75,Table2[Main Member Link ID],Table2[Benefit Name],0)=0,"",_xlfn.XLOOKUP(B75,Table2[Main Member Link ID],Table2[Benefit Name],0)),"")
))))))</f>
        <v/>
      </c>
      <c r="AG75" s="327" t="str">
        <f>IF(AND(Table2[[#This Row],[Member Type]]="Main Member",Table2[[#This Row],[Product Option]]="My Value Plus Life &amp; Funeral"),Lookups!$D$16,
IF(AND(Table2[[#This Row],[Member Type]]="Spouse",Table2[[#This Row],[Product Option]]="My Value Plus Life &amp; Funeral",_xlfn.XLOOKUP(B75,Table2[Main Member Link ID],Table2[Benefit Name],0)=Lookups!$D$14),"",
IF(AND(Table2[[#This Row],[Member Type]]="Spouse",Table2[[#This Row],[Product Option]]="My Value Plus Life &amp; Funeral",_xlfn.XLOOKUP(B74,Table2[Main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Funeral",_xlfn.XLOOKUP(B75,Table2[Main Member Link ID],Table2[Benefit Name],0)&lt;&gt;Lookups!$D$16),
IF(_xlfn.XLOOKUP(B75,Table2[Main Member Link ID],Table2[Benefit Name],0)=0,"",_xlfn.XLOOKUP(B75,Table2[Main Member Link ID],Table2[Benefit Name],0)),"")
))))</f>
        <v/>
      </c>
      <c r="AH75" s="327" t="str">
        <f>IF(AND(Table2[[#This Row],[Member Type]]="Main Member",Table2[[#This Row],[Product Option]]="My Value Plus Life &amp; Funeral"),Lookups!$D$17,
IF(AND(Table2[[#This Row],[Member Type]]="Spouse",Table2[[#This Row],[Product Option]]="My Value Plus Life &amp; Funeral",_xlfn.XLOOKUP(B75,Table2[Main Member Link ID],Table2[Benefit Name],0)=Lookups!$D$14),"",
IF(AND(Table2[[#This Row],[Member Type]]="Spouse",Table2[[#This Row],[Product Option]]="My Value Plus Life &amp; Funeral",_xlfn.XLOOKUP(B74,Table2[Main Member Link ID],Table2[Benefit Name],0)=Lookups!$D$16),"",
IF(AND(Table2[[#This Row],[Member Type]]="Child",Table2[[#This Row],[Product Option]]="My Value Plus Life &amp; Funeral"),"",
IF(AND(Table2[[#This Row],[Member Type]]="Child",Table2[[#This Row],[Product Option]]="My Value Plus Life &amp; Funeral",_xlfn.XLOOKUP(B75,Table2[Main Member Link ID],Table2[Benefit Name],0)=Lookups!$D$15),"",
IF(AND(OR(Table2[[#This Row],[Member Type]]="Spouse",Table2[[#This Row],[Member Type]]="Child"),Table2[[#This Row],[Product Option]]="My Value Plus Life &amp; Funeral",_xlfn.XLOOKUP(B75,Table2[Main Member Link ID],Table2[Benefit Name],0)&lt;&gt;Lookups!$D$17),
IF(_xlfn.XLOOKUP(B75,Table2[Main Member Link ID],Table2[Benefit Name],0)=0,"",_xlfn.XLOOKUP(B75,Table2[Main Member Link ID],Table2[Benefit Name],0)),""))))))</f>
        <v/>
      </c>
      <c r="AI75" s="328" t="str">
        <f>IF(AND(Table2[[#This Row],[Member Type]]="Main Member",Table2[[#This Row],[Table Lookup for Life Cover]]="MM_LIFE",Table2[[#This Row],[Age Next Birthday]]&lt;56),1,
IF(AND(Table2[[#This Row],[Member Type]]="Main Member",Table2[[#This Row],[Table Lookup for Life Cover]]="MM_LIFE",Table2[[#This Row],[Age Next Birthday]]&gt;=56),2,
""))</f>
        <v/>
      </c>
      <c r="AJ75" s="328">
        <f>IF(OR(Table2[[#This Row],[Member Type]]="Main Member",Table2[[#This Row],[Main Member Link ID]]=B74),1,0)</f>
        <v>1</v>
      </c>
      <c r="AK75" s="328">
        <f>IF(Table2[[#This Row],[Member Type]]=0,0,
IF(OR(Table2[[#This Row],[Member Type]]="Main Member",Table2[[#This Row],[Main Member Link ID]]&lt;&gt;B75),COUNTIFS(B:B,Table2[[#This Row],[Main Member Link ID]]),
COUNTIFS(B:B,Table2[[#This Row],[Main Member Link ID]],A:A,Table2[[#This Row],[Member Type]])))</f>
        <v>0</v>
      </c>
    </row>
    <row r="76" spans="1:37" x14ac:dyDescent="0.3">
      <c r="A76" s="284">
        <f>Table13[[#This Row],[Member Type]]</f>
        <v>0</v>
      </c>
      <c r="B76" s="284">
        <f>Table13[[#This Row],[Main Member Link ID]]</f>
        <v>0</v>
      </c>
      <c r="C76" s="284">
        <f>Table13[[#This Row],[ID Number]]</f>
        <v>0</v>
      </c>
      <c r="D76" s="285">
        <f>Table13[[#This Row],[Date Of Birth]]</f>
        <v>0</v>
      </c>
      <c r="E76" s="285">
        <f>Table13[[#This Row],[Commencement Date]]</f>
        <v>0</v>
      </c>
      <c r="F76" s="284">
        <f t="shared" si="7"/>
        <v>1</v>
      </c>
      <c r="G76" s="284">
        <f t="shared" si="8"/>
        <v>25</v>
      </c>
      <c r="H76" s="286">
        <f>Table13[[#This Row],[Product Option]]</f>
        <v>0</v>
      </c>
      <c r="I76" s="284">
        <f>IF(AND($A76="Main Member",Table2[[#This Row],[Product Option]]="My Value Plus Life"),"MM_LIFE",
IF(AND($A76="Spouse",Table2[[#This Row],[Product Option]]="My Value Plus Life"),"SP_LIFE",
IF(AND($A76="Main Member",Table2[[#This Row],[Product Option]]="My Value Plus Life &amp; Funeral"),"MM_LIFE",
IF(AND($A76="Spouse",Table2[[#This Row],[Product Option]]="My Value Plus Life &amp; Funeral"),_xlfn.XLOOKUP(Table2[[#This Row],[Benefit Name]],Lookups!$D$18:$D$23,Lookups!$E$18:$E$23,0),
0))))</f>
        <v>0</v>
      </c>
      <c r="J76" s="284">
        <f>IF($I76="","",
IF($I76="MM_LIFE",INDEX('Quotation Tool'!$S$54:$V$60,MATCH($T76,'Quotation Tool'!$S$54:$S$60,0),4),
IF($I76="SP_LIFE",_xlfn.XLOOKUP(B75,$B:$B,$J:$J,0),0)))</f>
        <v>0</v>
      </c>
      <c r="K76" s="287">
        <f t="shared" ca="1" si="12"/>
        <v>0</v>
      </c>
      <c r="L76" s="288">
        <f t="shared" ca="1" si="13"/>
        <v>0</v>
      </c>
      <c r="M76" s="289">
        <f t="shared" ca="1" si="9"/>
        <v>0</v>
      </c>
      <c r="N76" s="286">
        <f>Table13[[#This Row],[Benefit Option]]</f>
        <v>0</v>
      </c>
      <c r="O76" s="284">
        <f>IF(OR(Table2[[#This Row],[Member Type]]="Spouse",Table2[[#This Row],[Member Type]]="Child"),0,
IF(_xlfn.XLOOKUP($N76,Lookups!$D$13:$D$27,Lookups!$F$13:$F$27,0)=Table2[[#This Row],[Table Lookup for Life Cover]],0,
_xlfn.XLOOKUP($N76,Lookups!$D$13:$D$27,Lookups!$F$13:$F$27,0)))</f>
        <v>0</v>
      </c>
      <c r="P76" s="284">
        <f>IF(Table2[[#This Row],[Table Lookup for Funeral]]=0,0,IFERROR(INDEX('Quotation Tool'!$S$54:$V$60,MATCH($T76,'Quotation Tool'!$S$54:$S$60,0),3),0))</f>
        <v>0</v>
      </c>
      <c r="Q76" s="288">
        <f ca="1">IF(OR(Table2[[#This Row],[Benefit Name]]="My Value Plus Life - Main Member",Table2[[#This Row],[Benefit Name]]="My Value Plus Life - Spouse"),0,
IFERROR(VLOOKUP($G76,INDIRECT($O76),$P76,FALSE),0))</f>
        <v>0</v>
      </c>
      <c r="R76" s="288">
        <f ca="1">IF(OR(Table2[[#This Row],[Benefit Name]]="My Value Plus Life - Main Member",Table2[[#This Row],[Benefit Name]]="My Value Plus Life - Spouse"),0,
IFERROR(VLOOKUP($G76,INDIRECT($O76),$P76+1,FALSE),0))</f>
        <v>0</v>
      </c>
      <c r="S76" s="289">
        <f t="shared" ca="1" si="10"/>
        <v>0</v>
      </c>
      <c r="T76" s="284" t="str">
        <f>IF(Table13[[#This Row],[Premium Waiver]]="","None",Table13[[#This Row],[Premium Waiver]])</f>
        <v>None</v>
      </c>
      <c r="U76" s="284">
        <f>Table13[[#This Row],[VAPs Options]]</f>
        <v>0</v>
      </c>
      <c r="V76" s="284">
        <f>Table13[[#This Row],[Annual Increase Option]]</f>
        <v>0</v>
      </c>
      <c r="W76" s="290">
        <f>Table13[[#This Row],[Life Cover Amount]]</f>
        <v>0</v>
      </c>
      <c r="X76" s="290">
        <f>Table13[[#This Row],[Funeral Cover Amount]]</f>
        <v>0</v>
      </c>
      <c r="Y7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7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76" s="301">
        <f t="shared" ca="1" si="11"/>
        <v>0</v>
      </c>
      <c r="AB76" s="298"/>
      <c r="AC76" s="326" t="str">
        <f>IF(Table2[[#This Row],[Member Type]]="Main Member",Lookups!$C$13,
IF(Table2[[#This Row],[Member Type]]="Spouse",_xlfn.XLOOKUP(B76,Table2[Main Member Link ID],Table2[Product Option],0),
IF(AND(Table2[[#This Row],[Member Type]]="Child",_xlfn.XLOOKUP(B76,Table2[Main Member Link ID],Table2[Product Option],0)&lt;&gt;"My Value Plus Life"),Lookups!$C$24,
IF(AND(OR(Table2[[#This Row],[Member Type]]="Parent",Table2[[#This Row],[Member Type]]="Extended"),_xlfn.XLOOKUP(B76,Table2[Main Member Link ID],Table2[Product Option],0)&lt;&gt;"My Value Plus Life"),Lookups!$C$26,""))))</f>
        <v/>
      </c>
      <c r="AD76" s="326" t="str">
        <f>IF(Table2[[#This Row],[Member Type]]="Main Member",Lookups!$C$14,"")</f>
        <v/>
      </c>
      <c r="AE7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Funeral",_xlfn.XLOOKUP(B76,Table2[Main Member Link ID],Table2[Benefit Name],0)=Lookups!$D$14),"",
IF(AND(Table2[[#This Row],[Member Type]]="Spouse",Table2[[#This Row],[Product Option]]="My Value Plus Life &amp; Funeral",_xlfn.XLOOKUP(B75,Table2[Main Member Link ID],Table2[Benefit Name],0)=Lookups!$D$15),Lookups!$D$20,
IF(AND(Table2[[#This Row],[Member Type]]="Spouse",Table2[[#This Row],[Product Option]]="My Value Plus Life &amp; Funeral",_xlfn.XLOOKUP(B75,Table2[Main Member Link ID],Table2[Benefit Name],0)=Lookups!$D$16),"",
IF(AND(Table2[[#This Row],[Member Type]]="Spouse",Table2[[#This Row],[Product Option]]="My Value Plus Life &amp; Funeral",_xlfn.XLOOKUP(B75,Table2[Main Member Link ID],Table2[Benefit Name],0)=Lookups!$D$17),Lookups!$D$21,
IF(AND(Table2[[#This Row],[Member Type]]="Child",Table2[[#This Row],[Product Option]]="My Value Plus Life &amp; Funeral",_xlfn.XLOOKUP(B76,Table2[Main Member Link ID],Table2[Benefit Name],0)=Lookups!$D$14),"",
IF(AND(Table2[[#This Row],[Member Type]]="Child",Table2[[#This Row],[Product Option]]="My Value Plus Life &amp; Funeral",_xlfn.XLOOKUP(B76,Table2[Main Member Link ID],Table2[Benefit Name],0)=Lookups!$D$15),"",
IF(AND(Table2[[#This Row],[Member Type]]="Child",Table2[[#This Row],[Product Option]]="My Value Plus Life &amp; Funeral",_xlfn.XLOOKUP(B76,Table2[Main Member Link ID],Table2[Benefit Name],0)=Lookups!$D$16),Lookups!$D$24,
IF(AND(Table2[[#This Row],[Member Type]]="Child",Table2[[#This Row],[Product Option]]="My Value Plus Life &amp; Funeral",_xlfn.XLOOKUP(B76,Table2[Main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Funeral",_xlfn.XLOOKUP(B76,Table2[Main Member Link ID],Table2[Benefit Name],0)&lt;&gt;Lookups!$D$14),
IF(_xlfn.XLOOKUP(B76,Table2[Main Member Link ID],Table2[Benefit Name],0)=0,"",_xlfn.XLOOKUP(B76,Table2[Main Member Link ID],Table2[Benefit Name],0)),"")))))))))))))))</f>
        <v/>
      </c>
      <c r="AF76" s="327" t="str">
        <f>IF(AND(Table2[[#This Row],[Member Type]]="Main Member",Table2[[#This Row],[Product Option]]="My Value Plus Life &amp; Funeral"),Lookups!$D$15,
IF(AND(Table2[[#This Row],[Member Type]]="Spouse",Table2[[#This Row],[Product Option]]="My Value Plus Life &amp; Funeral",_xlfn.XLOOKUP(B76,Table2[Main Member Link ID],Table2[Benefit Name],0)=Lookups!$D$14),"",
IF(AND(Table2[[#This Row],[Member Type]]="Spouse",Table2[[#This Row],[Product Option]]="My Value Plus Life &amp; Funeral",_xlfn.XLOOKUP(B75,Table2[Main Member Link ID],Table2[Benefit Name],0)=Lookups!$D$16),"",
IF(AND(Table2[[#This Row],[Member Type]]="Spouse",Table2[[#This Row],[Product Option]]="My Value Plus Life &amp; Funeral",_xlfn.XLOOKUP(B75,Table2[Main Member Link ID],Table2[Benefit Name],0)=Lookups!$D$15),"",
IF(AND(Table2[[#This Row],[Member Type]]="Spouse",Table2[[#This Row],[Product Option]]="My Value Plus Life &amp; Funeral",_xlfn.XLOOKUP(B75,Table2[Main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Funeral",_xlfn.XLOOKUP(B76,Table2[Main Member Link ID],Table2[Benefit Name],0)&lt;&gt;Lookups!$D$15),
IF(_xlfn.XLOOKUP(B76,Table2[Main Member Link ID],Table2[Benefit Name],0)=0,"",_xlfn.XLOOKUP(B76,Table2[Main Member Link ID],Table2[Benefit Name],0)),"")
))))))</f>
        <v/>
      </c>
      <c r="AG76" s="327" t="str">
        <f>IF(AND(Table2[[#This Row],[Member Type]]="Main Member",Table2[[#This Row],[Product Option]]="My Value Plus Life &amp; Funeral"),Lookups!$D$16,
IF(AND(Table2[[#This Row],[Member Type]]="Spouse",Table2[[#This Row],[Product Option]]="My Value Plus Life &amp; Funeral",_xlfn.XLOOKUP(B76,Table2[Main Member Link ID],Table2[Benefit Name],0)=Lookups!$D$14),"",
IF(AND(Table2[[#This Row],[Member Type]]="Spouse",Table2[[#This Row],[Product Option]]="My Value Plus Life &amp; Funeral",_xlfn.XLOOKUP(B75,Table2[Main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Funeral",_xlfn.XLOOKUP(B76,Table2[Main Member Link ID],Table2[Benefit Name],0)&lt;&gt;Lookups!$D$16),
IF(_xlfn.XLOOKUP(B76,Table2[Main Member Link ID],Table2[Benefit Name],0)=0,"",_xlfn.XLOOKUP(B76,Table2[Main Member Link ID],Table2[Benefit Name],0)),"")
))))</f>
        <v/>
      </c>
      <c r="AH76" s="327" t="str">
        <f>IF(AND(Table2[[#This Row],[Member Type]]="Main Member",Table2[[#This Row],[Product Option]]="My Value Plus Life &amp; Funeral"),Lookups!$D$17,
IF(AND(Table2[[#This Row],[Member Type]]="Spouse",Table2[[#This Row],[Product Option]]="My Value Plus Life &amp; Funeral",_xlfn.XLOOKUP(B76,Table2[Main Member Link ID],Table2[Benefit Name],0)=Lookups!$D$14),"",
IF(AND(Table2[[#This Row],[Member Type]]="Spouse",Table2[[#This Row],[Product Option]]="My Value Plus Life &amp; Funeral",_xlfn.XLOOKUP(B75,Table2[Main Member Link ID],Table2[Benefit Name],0)=Lookups!$D$16),"",
IF(AND(Table2[[#This Row],[Member Type]]="Child",Table2[[#This Row],[Product Option]]="My Value Plus Life &amp; Funeral"),"",
IF(AND(Table2[[#This Row],[Member Type]]="Child",Table2[[#This Row],[Product Option]]="My Value Plus Life &amp; Funeral",_xlfn.XLOOKUP(B76,Table2[Main Member Link ID],Table2[Benefit Name],0)=Lookups!$D$15),"",
IF(AND(OR(Table2[[#This Row],[Member Type]]="Spouse",Table2[[#This Row],[Member Type]]="Child"),Table2[[#This Row],[Product Option]]="My Value Plus Life &amp; Funeral",_xlfn.XLOOKUP(B76,Table2[Main Member Link ID],Table2[Benefit Name],0)&lt;&gt;Lookups!$D$17),
IF(_xlfn.XLOOKUP(B76,Table2[Main Member Link ID],Table2[Benefit Name],0)=0,"",_xlfn.XLOOKUP(B76,Table2[Main Member Link ID],Table2[Benefit Name],0)),""))))))</f>
        <v/>
      </c>
      <c r="AI76" s="328" t="str">
        <f>IF(AND(Table2[[#This Row],[Member Type]]="Main Member",Table2[[#This Row],[Table Lookup for Life Cover]]="MM_LIFE",Table2[[#This Row],[Age Next Birthday]]&lt;56),1,
IF(AND(Table2[[#This Row],[Member Type]]="Main Member",Table2[[#This Row],[Table Lookup for Life Cover]]="MM_LIFE",Table2[[#This Row],[Age Next Birthday]]&gt;=56),2,
""))</f>
        <v/>
      </c>
      <c r="AJ76" s="328">
        <f>IF(OR(Table2[[#This Row],[Member Type]]="Main Member",Table2[[#This Row],[Main Member Link ID]]=B75),1,0)</f>
        <v>1</v>
      </c>
      <c r="AK76" s="328">
        <f>IF(Table2[[#This Row],[Member Type]]=0,0,
IF(OR(Table2[[#This Row],[Member Type]]="Main Member",Table2[[#This Row],[Main Member Link ID]]&lt;&gt;B76),COUNTIFS(B:B,Table2[[#This Row],[Main Member Link ID]]),
COUNTIFS(B:B,Table2[[#This Row],[Main Member Link ID]],A:A,Table2[[#This Row],[Member Type]])))</f>
        <v>0</v>
      </c>
    </row>
    <row r="77" spans="1:37" x14ac:dyDescent="0.3">
      <c r="A77" s="284">
        <f>Table13[[#This Row],[Member Type]]</f>
        <v>0</v>
      </c>
      <c r="B77" s="284">
        <f>Table13[[#This Row],[Main Member Link ID]]</f>
        <v>0</v>
      </c>
      <c r="C77" s="284">
        <f>Table13[[#This Row],[ID Number]]</f>
        <v>0</v>
      </c>
      <c r="D77" s="285">
        <f>Table13[[#This Row],[Date Of Birth]]</f>
        <v>0</v>
      </c>
      <c r="E77" s="285">
        <f>Table13[[#This Row],[Commencement Date]]</f>
        <v>0</v>
      </c>
      <c r="F77" s="284">
        <f t="shared" si="7"/>
        <v>1</v>
      </c>
      <c r="G77" s="284">
        <f t="shared" si="8"/>
        <v>25</v>
      </c>
      <c r="H77" s="286">
        <f>Table13[[#This Row],[Product Option]]</f>
        <v>0</v>
      </c>
      <c r="I77" s="284">
        <f>IF(AND($A77="Main Member",Table2[[#This Row],[Product Option]]="My Value Plus Life"),"MM_LIFE",
IF(AND($A77="Spouse",Table2[[#This Row],[Product Option]]="My Value Plus Life"),"SP_LIFE",
IF(AND($A77="Main Member",Table2[[#This Row],[Product Option]]="My Value Plus Life &amp; Funeral"),"MM_LIFE",
IF(AND($A77="Spouse",Table2[[#This Row],[Product Option]]="My Value Plus Life &amp; Funeral"),_xlfn.XLOOKUP(Table2[[#This Row],[Benefit Name]],Lookups!$D$18:$D$23,Lookups!$E$18:$E$23,0),
0))))</f>
        <v>0</v>
      </c>
      <c r="J77" s="284">
        <f>IF($I77="","",
IF($I77="MM_LIFE",INDEX('Quotation Tool'!$S$54:$V$60,MATCH($T77,'Quotation Tool'!$S$54:$S$60,0),4),
IF($I77="SP_LIFE",_xlfn.XLOOKUP(B76,$B:$B,$J:$J,0),0)))</f>
        <v>0</v>
      </c>
      <c r="K77" s="287">
        <f t="shared" ca="1" si="12"/>
        <v>0</v>
      </c>
      <c r="L77" s="288">
        <f t="shared" ca="1" si="13"/>
        <v>0</v>
      </c>
      <c r="M77" s="289">
        <f t="shared" ca="1" si="9"/>
        <v>0</v>
      </c>
      <c r="N77" s="286">
        <f>Table13[[#This Row],[Benefit Option]]</f>
        <v>0</v>
      </c>
      <c r="O77" s="284">
        <f>IF(OR(Table2[[#This Row],[Member Type]]="Spouse",Table2[[#This Row],[Member Type]]="Child"),0,
IF(_xlfn.XLOOKUP($N77,Lookups!$D$13:$D$27,Lookups!$F$13:$F$27,0)=Table2[[#This Row],[Table Lookup for Life Cover]],0,
_xlfn.XLOOKUP($N77,Lookups!$D$13:$D$27,Lookups!$F$13:$F$27,0)))</f>
        <v>0</v>
      </c>
      <c r="P77" s="284">
        <f>IF(Table2[[#This Row],[Table Lookup for Funeral]]=0,0,IFERROR(INDEX('Quotation Tool'!$S$54:$V$60,MATCH($T77,'Quotation Tool'!$S$54:$S$60,0),3),0))</f>
        <v>0</v>
      </c>
      <c r="Q77" s="288">
        <f ca="1">IF(OR(Table2[[#This Row],[Benefit Name]]="My Value Plus Life - Main Member",Table2[[#This Row],[Benefit Name]]="My Value Plus Life - Spouse"),0,
IFERROR(VLOOKUP($G77,INDIRECT($O77),$P77,FALSE),0))</f>
        <v>0</v>
      </c>
      <c r="R77" s="288">
        <f ca="1">IF(OR(Table2[[#This Row],[Benefit Name]]="My Value Plus Life - Main Member",Table2[[#This Row],[Benefit Name]]="My Value Plus Life - Spouse"),0,
IFERROR(VLOOKUP($G77,INDIRECT($O77),$P77+1,FALSE),0))</f>
        <v>0</v>
      </c>
      <c r="S77" s="289">
        <f t="shared" ca="1" si="10"/>
        <v>0</v>
      </c>
      <c r="T77" s="284" t="str">
        <f>IF(Table13[[#This Row],[Premium Waiver]]="","None",Table13[[#This Row],[Premium Waiver]])</f>
        <v>None</v>
      </c>
      <c r="U77" s="284">
        <f>Table13[[#This Row],[VAPs Options]]</f>
        <v>0</v>
      </c>
      <c r="V77" s="284">
        <f>Table13[[#This Row],[Annual Increase Option]]</f>
        <v>0</v>
      </c>
      <c r="W77" s="290">
        <f>Table13[[#This Row],[Life Cover Amount]]</f>
        <v>0</v>
      </c>
      <c r="X77" s="290">
        <f>Table13[[#This Row],[Funeral Cover Amount]]</f>
        <v>0</v>
      </c>
      <c r="Y7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7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77" s="301">
        <f t="shared" ca="1" si="11"/>
        <v>0</v>
      </c>
      <c r="AB77" s="298"/>
      <c r="AC77" s="326" t="str">
        <f>IF(Table2[[#This Row],[Member Type]]="Main Member",Lookups!$C$13,
IF(Table2[[#This Row],[Member Type]]="Spouse",_xlfn.XLOOKUP(B77,Table2[Main Member Link ID],Table2[Product Option],0),
IF(AND(Table2[[#This Row],[Member Type]]="Child",_xlfn.XLOOKUP(B77,Table2[Main Member Link ID],Table2[Product Option],0)&lt;&gt;"My Value Plus Life"),Lookups!$C$24,
IF(AND(OR(Table2[[#This Row],[Member Type]]="Parent",Table2[[#This Row],[Member Type]]="Extended"),_xlfn.XLOOKUP(B77,Table2[Main Member Link ID],Table2[Product Option],0)&lt;&gt;"My Value Plus Life"),Lookups!$C$26,""))))</f>
        <v/>
      </c>
      <c r="AD77" s="326" t="str">
        <f>IF(Table2[[#This Row],[Member Type]]="Main Member",Lookups!$C$14,"")</f>
        <v/>
      </c>
      <c r="AE7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Funeral",_xlfn.XLOOKUP(B77,Table2[Main Member Link ID],Table2[Benefit Name],0)=Lookups!$D$14),"",
IF(AND(Table2[[#This Row],[Member Type]]="Spouse",Table2[[#This Row],[Product Option]]="My Value Plus Life &amp; Funeral",_xlfn.XLOOKUP(B76,Table2[Main Member Link ID],Table2[Benefit Name],0)=Lookups!$D$15),Lookups!$D$20,
IF(AND(Table2[[#This Row],[Member Type]]="Spouse",Table2[[#This Row],[Product Option]]="My Value Plus Life &amp; Funeral",_xlfn.XLOOKUP(B76,Table2[Main Member Link ID],Table2[Benefit Name],0)=Lookups!$D$16),"",
IF(AND(Table2[[#This Row],[Member Type]]="Spouse",Table2[[#This Row],[Product Option]]="My Value Plus Life &amp; Funeral",_xlfn.XLOOKUP(B76,Table2[Main Member Link ID],Table2[Benefit Name],0)=Lookups!$D$17),Lookups!$D$21,
IF(AND(Table2[[#This Row],[Member Type]]="Child",Table2[[#This Row],[Product Option]]="My Value Plus Life &amp; Funeral",_xlfn.XLOOKUP(B77,Table2[Main Member Link ID],Table2[Benefit Name],0)=Lookups!$D$14),"",
IF(AND(Table2[[#This Row],[Member Type]]="Child",Table2[[#This Row],[Product Option]]="My Value Plus Life &amp; Funeral",_xlfn.XLOOKUP(B77,Table2[Main Member Link ID],Table2[Benefit Name],0)=Lookups!$D$15),"",
IF(AND(Table2[[#This Row],[Member Type]]="Child",Table2[[#This Row],[Product Option]]="My Value Plus Life &amp; Funeral",_xlfn.XLOOKUP(B77,Table2[Main Member Link ID],Table2[Benefit Name],0)=Lookups!$D$16),Lookups!$D$24,
IF(AND(Table2[[#This Row],[Member Type]]="Child",Table2[[#This Row],[Product Option]]="My Value Plus Life &amp; Funeral",_xlfn.XLOOKUP(B77,Table2[Main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Funeral",_xlfn.XLOOKUP(B77,Table2[Main Member Link ID],Table2[Benefit Name],0)&lt;&gt;Lookups!$D$14),
IF(_xlfn.XLOOKUP(B77,Table2[Main Member Link ID],Table2[Benefit Name],0)=0,"",_xlfn.XLOOKUP(B77,Table2[Main Member Link ID],Table2[Benefit Name],0)),"")))))))))))))))</f>
        <v/>
      </c>
      <c r="AF77" s="327" t="str">
        <f>IF(AND(Table2[[#This Row],[Member Type]]="Main Member",Table2[[#This Row],[Product Option]]="My Value Plus Life &amp; Funeral"),Lookups!$D$15,
IF(AND(Table2[[#This Row],[Member Type]]="Spouse",Table2[[#This Row],[Product Option]]="My Value Plus Life &amp; Funeral",_xlfn.XLOOKUP(B77,Table2[Main Member Link ID],Table2[Benefit Name],0)=Lookups!$D$14),"",
IF(AND(Table2[[#This Row],[Member Type]]="Spouse",Table2[[#This Row],[Product Option]]="My Value Plus Life &amp; Funeral",_xlfn.XLOOKUP(B76,Table2[Main Member Link ID],Table2[Benefit Name],0)=Lookups!$D$16),"",
IF(AND(Table2[[#This Row],[Member Type]]="Spouse",Table2[[#This Row],[Product Option]]="My Value Plus Life &amp; Funeral",_xlfn.XLOOKUP(B76,Table2[Main Member Link ID],Table2[Benefit Name],0)=Lookups!$D$15),"",
IF(AND(Table2[[#This Row],[Member Type]]="Spouse",Table2[[#This Row],[Product Option]]="My Value Plus Life &amp; Funeral",_xlfn.XLOOKUP(B76,Table2[Main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Funeral",_xlfn.XLOOKUP(B77,Table2[Main Member Link ID],Table2[Benefit Name],0)&lt;&gt;Lookups!$D$15),
IF(_xlfn.XLOOKUP(B77,Table2[Main Member Link ID],Table2[Benefit Name],0)=0,"",_xlfn.XLOOKUP(B77,Table2[Main Member Link ID],Table2[Benefit Name],0)),"")
))))))</f>
        <v/>
      </c>
      <c r="AG77" s="327" t="str">
        <f>IF(AND(Table2[[#This Row],[Member Type]]="Main Member",Table2[[#This Row],[Product Option]]="My Value Plus Life &amp; Funeral"),Lookups!$D$16,
IF(AND(Table2[[#This Row],[Member Type]]="Spouse",Table2[[#This Row],[Product Option]]="My Value Plus Life &amp; Funeral",_xlfn.XLOOKUP(B77,Table2[Main Member Link ID],Table2[Benefit Name],0)=Lookups!$D$14),"",
IF(AND(Table2[[#This Row],[Member Type]]="Spouse",Table2[[#This Row],[Product Option]]="My Value Plus Life &amp; Funeral",_xlfn.XLOOKUP(B76,Table2[Main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Funeral",_xlfn.XLOOKUP(B77,Table2[Main Member Link ID],Table2[Benefit Name],0)&lt;&gt;Lookups!$D$16),
IF(_xlfn.XLOOKUP(B77,Table2[Main Member Link ID],Table2[Benefit Name],0)=0,"",_xlfn.XLOOKUP(B77,Table2[Main Member Link ID],Table2[Benefit Name],0)),"")
))))</f>
        <v/>
      </c>
      <c r="AH77" s="327" t="str">
        <f>IF(AND(Table2[[#This Row],[Member Type]]="Main Member",Table2[[#This Row],[Product Option]]="My Value Plus Life &amp; Funeral"),Lookups!$D$17,
IF(AND(Table2[[#This Row],[Member Type]]="Spouse",Table2[[#This Row],[Product Option]]="My Value Plus Life &amp; Funeral",_xlfn.XLOOKUP(B77,Table2[Main Member Link ID],Table2[Benefit Name],0)=Lookups!$D$14),"",
IF(AND(Table2[[#This Row],[Member Type]]="Spouse",Table2[[#This Row],[Product Option]]="My Value Plus Life &amp; Funeral",_xlfn.XLOOKUP(B76,Table2[Main Member Link ID],Table2[Benefit Name],0)=Lookups!$D$16),"",
IF(AND(Table2[[#This Row],[Member Type]]="Child",Table2[[#This Row],[Product Option]]="My Value Plus Life &amp; Funeral"),"",
IF(AND(Table2[[#This Row],[Member Type]]="Child",Table2[[#This Row],[Product Option]]="My Value Plus Life &amp; Funeral",_xlfn.XLOOKUP(B77,Table2[Main Member Link ID],Table2[Benefit Name],0)=Lookups!$D$15),"",
IF(AND(OR(Table2[[#This Row],[Member Type]]="Spouse",Table2[[#This Row],[Member Type]]="Child"),Table2[[#This Row],[Product Option]]="My Value Plus Life &amp; Funeral",_xlfn.XLOOKUP(B77,Table2[Main Member Link ID],Table2[Benefit Name],0)&lt;&gt;Lookups!$D$17),
IF(_xlfn.XLOOKUP(B77,Table2[Main Member Link ID],Table2[Benefit Name],0)=0,"",_xlfn.XLOOKUP(B77,Table2[Main Member Link ID],Table2[Benefit Name],0)),""))))))</f>
        <v/>
      </c>
      <c r="AI77" s="328" t="str">
        <f>IF(AND(Table2[[#This Row],[Member Type]]="Main Member",Table2[[#This Row],[Table Lookup for Life Cover]]="MM_LIFE",Table2[[#This Row],[Age Next Birthday]]&lt;56),1,
IF(AND(Table2[[#This Row],[Member Type]]="Main Member",Table2[[#This Row],[Table Lookup for Life Cover]]="MM_LIFE",Table2[[#This Row],[Age Next Birthday]]&gt;=56),2,
""))</f>
        <v/>
      </c>
      <c r="AJ77" s="328">
        <f>IF(OR(Table2[[#This Row],[Member Type]]="Main Member",Table2[[#This Row],[Main Member Link ID]]=B76),1,0)</f>
        <v>1</v>
      </c>
      <c r="AK77" s="328">
        <f>IF(Table2[[#This Row],[Member Type]]=0,0,
IF(OR(Table2[[#This Row],[Member Type]]="Main Member",Table2[[#This Row],[Main Member Link ID]]&lt;&gt;B77),COUNTIFS(B:B,Table2[[#This Row],[Main Member Link ID]]),
COUNTIFS(B:B,Table2[[#This Row],[Main Member Link ID]],A:A,Table2[[#This Row],[Member Type]])))</f>
        <v>0</v>
      </c>
    </row>
    <row r="78" spans="1:37" x14ac:dyDescent="0.3">
      <c r="A78" s="284">
        <f>Table13[[#This Row],[Member Type]]</f>
        <v>0</v>
      </c>
      <c r="B78" s="284">
        <f>Table13[[#This Row],[Main Member Link ID]]</f>
        <v>0</v>
      </c>
      <c r="C78" s="284">
        <f>Table13[[#This Row],[ID Number]]</f>
        <v>0</v>
      </c>
      <c r="D78" s="285">
        <f>Table13[[#This Row],[Date Of Birth]]</f>
        <v>0</v>
      </c>
      <c r="E78" s="285">
        <f>Table13[[#This Row],[Commencement Date]]</f>
        <v>0</v>
      </c>
      <c r="F78" s="284">
        <f t="shared" si="7"/>
        <v>1</v>
      </c>
      <c r="G78" s="284">
        <f t="shared" si="8"/>
        <v>25</v>
      </c>
      <c r="H78" s="286">
        <f>Table13[[#This Row],[Product Option]]</f>
        <v>0</v>
      </c>
      <c r="I78" s="284">
        <f>IF(AND($A78="Main Member",Table2[[#This Row],[Product Option]]="My Value Plus Life"),"MM_LIFE",
IF(AND($A78="Spouse",Table2[[#This Row],[Product Option]]="My Value Plus Life"),"SP_LIFE",
IF(AND($A78="Main Member",Table2[[#This Row],[Product Option]]="My Value Plus Life &amp; Funeral"),"MM_LIFE",
IF(AND($A78="Spouse",Table2[[#This Row],[Product Option]]="My Value Plus Life &amp; Funeral"),_xlfn.XLOOKUP(Table2[[#This Row],[Benefit Name]],Lookups!$D$18:$D$23,Lookups!$E$18:$E$23,0),
0))))</f>
        <v>0</v>
      </c>
      <c r="J78" s="284">
        <f>IF($I78="","",
IF($I78="MM_LIFE",INDEX('Quotation Tool'!$S$54:$V$60,MATCH($T78,'Quotation Tool'!$S$54:$S$60,0),4),
IF($I78="SP_LIFE",_xlfn.XLOOKUP(B77,$B:$B,$J:$J,0),0)))</f>
        <v>0</v>
      </c>
      <c r="K78" s="287">
        <f t="shared" ca="1" si="12"/>
        <v>0</v>
      </c>
      <c r="L78" s="288">
        <f t="shared" ca="1" si="13"/>
        <v>0</v>
      </c>
      <c r="M78" s="289">
        <f t="shared" ca="1" si="9"/>
        <v>0</v>
      </c>
      <c r="N78" s="286">
        <f>Table13[[#This Row],[Benefit Option]]</f>
        <v>0</v>
      </c>
      <c r="O78" s="284">
        <f>IF(OR(Table2[[#This Row],[Member Type]]="Spouse",Table2[[#This Row],[Member Type]]="Child"),0,
IF(_xlfn.XLOOKUP($N78,Lookups!$D$13:$D$27,Lookups!$F$13:$F$27,0)=Table2[[#This Row],[Table Lookup for Life Cover]],0,
_xlfn.XLOOKUP($N78,Lookups!$D$13:$D$27,Lookups!$F$13:$F$27,0)))</f>
        <v>0</v>
      </c>
      <c r="P78" s="284">
        <f>IF(Table2[[#This Row],[Table Lookup for Funeral]]=0,0,IFERROR(INDEX('Quotation Tool'!$S$54:$V$60,MATCH($T78,'Quotation Tool'!$S$54:$S$60,0),3),0))</f>
        <v>0</v>
      </c>
      <c r="Q78" s="288">
        <f ca="1">IF(OR(Table2[[#This Row],[Benefit Name]]="My Value Plus Life - Main Member",Table2[[#This Row],[Benefit Name]]="My Value Plus Life - Spouse"),0,
IFERROR(VLOOKUP($G78,INDIRECT($O78),$P78,FALSE),0))</f>
        <v>0</v>
      </c>
      <c r="R78" s="288">
        <f ca="1">IF(OR(Table2[[#This Row],[Benefit Name]]="My Value Plus Life - Main Member",Table2[[#This Row],[Benefit Name]]="My Value Plus Life - Spouse"),0,
IFERROR(VLOOKUP($G78,INDIRECT($O78),$P78+1,FALSE),0))</f>
        <v>0</v>
      </c>
      <c r="S78" s="289">
        <f t="shared" ca="1" si="10"/>
        <v>0</v>
      </c>
      <c r="T78" s="284" t="str">
        <f>IF(Table13[[#This Row],[Premium Waiver]]="","None",Table13[[#This Row],[Premium Waiver]])</f>
        <v>None</v>
      </c>
      <c r="U78" s="284">
        <f>Table13[[#This Row],[VAPs Options]]</f>
        <v>0</v>
      </c>
      <c r="V78" s="284">
        <f>Table13[[#This Row],[Annual Increase Option]]</f>
        <v>0</v>
      </c>
      <c r="W78" s="290">
        <f>Table13[[#This Row],[Life Cover Amount]]</f>
        <v>0</v>
      </c>
      <c r="X78" s="290">
        <f>Table13[[#This Row],[Funeral Cover Amount]]</f>
        <v>0</v>
      </c>
      <c r="Y7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7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78" s="301">
        <f t="shared" ca="1" si="11"/>
        <v>0</v>
      </c>
      <c r="AB78" s="298"/>
      <c r="AC78" s="326" t="str">
        <f>IF(Table2[[#This Row],[Member Type]]="Main Member",Lookups!$C$13,
IF(Table2[[#This Row],[Member Type]]="Spouse",_xlfn.XLOOKUP(B78,Table2[Main Member Link ID],Table2[Product Option],0),
IF(AND(Table2[[#This Row],[Member Type]]="Child",_xlfn.XLOOKUP(B78,Table2[Main Member Link ID],Table2[Product Option],0)&lt;&gt;"My Value Plus Life"),Lookups!$C$24,
IF(AND(OR(Table2[[#This Row],[Member Type]]="Parent",Table2[[#This Row],[Member Type]]="Extended"),_xlfn.XLOOKUP(B78,Table2[Main Member Link ID],Table2[Product Option],0)&lt;&gt;"My Value Plus Life"),Lookups!$C$26,""))))</f>
        <v/>
      </c>
      <c r="AD78" s="326" t="str">
        <f>IF(Table2[[#This Row],[Member Type]]="Main Member",Lookups!$C$14,"")</f>
        <v/>
      </c>
      <c r="AE7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Funeral",_xlfn.XLOOKUP(B78,Table2[Main Member Link ID],Table2[Benefit Name],0)=Lookups!$D$14),"",
IF(AND(Table2[[#This Row],[Member Type]]="Spouse",Table2[[#This Row],[Product Option]]="My Value Plus Life &amp; Funeral",_xlfn.XLOOKUP(B77,Table2[Main Member Link ID],Table2[Benefit Name],0)=Lookups!$D$15),Lookups!$D$20,
IF(AND(Table2[[#This Row],[Member Type]]="Spouse",Table2[[#This Row],[Product Option]]="My Value Plus Life &amp; Funeral",_xlfn.XLOOKUP(B77,Table2[Main Member Link ID],Table2[Benefit Name],0)=Lookups!$D$16),"",
IF(AND(Table2[[#This Row],[Member Type]]="Spouse",Table2[[#This Row],[Product Option]]="My Value Plus Life &amp; Funeral",_xlfn.XLOOKUP(B77,Table2[Main Member Link ID],Table2[Benefit Name],0)=Lookups!$D$17),Lookups!$D$21,
IF(AND(Table2[[#This Row],[Member Type]]="Child",Table2[[#This Row],[Product Option]]="My Value Plus Life &amp; Funeral",_xlfn.XLOOKUP(B78,Table2[Main Member Link ID],Table2[Benefit Name],0)=Lookups!$D$14),"",
IF(AND(Table2[[#This Row],[Member Type]]="Child",Table2[[#This Row],[Product Option]]="My Value Plus Life &amp; Funeral",_xlfn.XLOOKUP(B78,Table2[Main Member Link ID],Table2[Benefit Name],0)=Lookups!$D$15),"",
IF(AND(Table2[[#This Row],[Member Type]]="Child",Table2[[#This Row],[Product Option]]="My Value Plus Life &amp; Funeral",_xlfn.XLOOKUP(B78,Table2[Main Member Link ID],Table2[Benefit Name],0)=Lookups!$D$16),Lookups!$D$24,
IF(AND(Table2[[#This Row],[Member Type]]="Child",Table2[[#This Row],[Product Option]]="My Value Plus Life &amp; Funeral",_xlfn.XLOOKUP(B78,Table2[Main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Funeral",_xlfn.XLOOKUP(B78,Table2[Main Member Link ID],Table2[Benefit Name],0)&lt;&gt;Lookups!$D$14),
IF(_xlfn.XLOOKUP(B78,Table2[Main Member Link ID],Table2[Benefit Name],0)=0,"",_xlfn.XLOOKUP(B78,Table2[Main Member Link ID],Table2[Benefit Name],0)),"")))))))))))))))</f>
        <v/>
      </c>
      <c r="AF78" s="327" t="str">
        <f>IF(AND(Table2[[#This Row],[Member Type]]="Main Member",Table2[[#This Row],[Product Option]]="My Value Plus Life &amp; Funeral"),Lookups!$D$15,
IF(AND(Table2[[#This Row],[Member Type]]="Spouse",Table2[[#This Row],[Product Option]]="My Value Plus Life &amp; Funeral",_xlfn.XLOOKUP(B78,Table2[Main Member Link ID],Table2[Benefit Name],0)=Lookups!$D$14),"",
IF(AND(Table2[[#This Row],[Member Type]]="Spouse",Table2[[#This Row],[Product Option]]="My Value Plus Life &amp; Funeral",_xlfn.XLOOKUP(B77,Table2[Main Member Link ID],Table2[Benefit Name],0)=Lookups!$D$16),"",
IF(AND(Table2[[#This Row],[Member Type]]="Spouse",Table2[[#This Row],[Product Option]]="My Value Plus Life &amp; Funeral",_xlfn.XLOOKUP(B77,Table2[Main Member Link ID],Table2[Benefit Name],0)=Lookups!$D$15),"",
IF(AND(Table2[[#This Row],[Member Type]]="Spouse",Table2[[#This Row],[Product Option]]="My Value Plus Life &amp; Funeral",_xlfn.XLOOKUP(B77,Table2[Main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Funeral",_xlfn.XLOOKUP(B78,Table2[Main Member Link ID],Table2[Benefit Name],0)&lt;&gt;Lookups!$D$15),
IF(_xlfn.XLOOKUP(B78,Table2[Main Member Link ID],Table2[Benefit Name],0)=0,"",_xlfn.XLOOKUP(B78,Table2[Main Member Link ID],Table2[Benefit Name],0)),"")
))))))</f>
        <v/>
      </c>
      <c r="AG78" s="327" t="str">
        <f>IF(AND(Table2[[#This Row],[Member Type]]="Main Member",Table2[[#This Row],[Product Option]]="My Value Plus Life &amp; Funeral"),Lookups!$D$16,
IF(AND(Table2[[#This Row],[Member Type]]="Spouse",Table2[[#This Row],[Product Option]]="My Value Plus Life &amp; Funeral",_xlfn.XLOOKUP(B78,Table2[Main Member Link ID],Table2[Benefit Name],0)=Lookups!$D$14),"",
IF(AND(Table2[[#This Row],[Member Type]]="Spouse",Table2[[#This Row],[Product Option]]="My Value Plus Life &amp; Funeral",_xlfn.XLOOKUP(B77,Table2[Main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Funeral",_xlfn.XLOOKUP(B78,Table2[Main Member Link ID],Table2[Benefit Name],0)&lt;&gt;Lookups!$D$16),
IF(_xlfn.XLOOKUP(B78,Table2[Main Member Link ID],Table2[Benefit Name],0)=0,"",_xlfn.XLOOKUP(B78,Table2[Main Member Link ID],Table2[Benefit Name],0)),"")
))))</f>
        <v/>
      </c>
      <c r="AH78" s="327" t="str">
        <f>IF(AND(Table2[[#This Row],[Member Type]]="Main Member",Table2[[#This Row],[Product Option]]="My Value Plus Life &amp; Funeral"),Lookups!$D$17,
IF(AND(Table2[[#This Row],[Member Type]]="Spouse",Table2[[#This Row],[Product Option]]="My Value Plus Life &amp; Funeral",_xlfn.XLOOKUP(B78,Table2[Main Member Link ID],Table2[Benefit Name],0)=Lookups!$D$14),"",
IF(AND(Table2[[#This Row],[Member Type]]="Spouse",Table2[[#This Row],[Product Option]]="My Value Plus Life &amp; Funeral",_xlfn.XLOOKUP(B77,Table2[Main Member Link ID],Table2[Benefit Name],0)=Lookups!$D$16),"",
IF(AND(Table2[[#This Row],[Member Type]]="Child",Table2[[#This Row],[Product Option]]="My Value Plus Life &amp; Funeral"),"",
IF(AND(Table2[[#This Row],[Member Type]]="Child",Table2[[#This Row],[Product Option]]="My Value Plus Life &amp; Funeral",_xlfn.XLOOKUP(B78,Table2[Main Member Link ID],Table2[Benefit Name],0)=Lookups!$D$15),"",
IF(AND(OR(Table2[[#This Row],[Member Type]]="Spouse",Table2[[#This Row],[Member Type]]="Child"),Table2[[#This Row],[Product Option]]="My Value Plus Life &amp; Funeral",_xlfn.XLOOKUP(B78,Table2[Main Member Link ID],Table2[Benefit Name],0)&lt;&gt;Lookups!$D$17),
IF(_xlfn.XLOOKUP(B78,Table2[Main Member Link ID],Table2[Benefit Name],0)=0,"",_xlfn.XLOOKUP(B78,Table2[Main Member Link ID],Table2[Benefit Name],0)),""))))))</f>
        <v/>
      </c>
      <c r="AI78" s="328" t="str">
        <f>IF(AND(Table2[[#This Row],[Member Type]]="Main Member",Table2[[#This Row],[Table Lookup for Life Cover]]="MM_LIFE",Table2[[#This Row],[Age Next Birthday]]&lt;56),1,
IF(AND(Table2[[#This Row],[Member Type]]="Main Member",Table2[[#This Row],[Table Lookup for Life Cover]]="MM_LIFE",Table2[[#This Row],[Age Next Birthday]]&gt;=56),2,
""))</f>
        <v/>
      </c>
      <c r="AJ78" s="328">
        <f>IF(OR(Table2[[#This Row],[Member Type]]="Main Member",Table2[[#This Row],[Main Member Link ID]]=B77),1,0)</f>
        <v>1</v>
      </c>
      <c r="AK78" s="328">
        <f>IF(Table2[[#This Row],[Member Type]]=0,0,
IF(OR(Table2[[#This Row],[Member Type]]="Main Member",Table2[[#This Row],[Main Member Link ID]]&lt;&gt;B78),COUNTIFS(B:B,Table2[[#This Row],[Main Member Link ID]]),
COUNTIFS(B:B,Table2[[#This Row],[Main Member Link ID]],A:A,Table2[[#This Row],[Member Type]])))</f>
        <v>0</v>
      </c>
    </row>
    <row r="79" spans="1:37" x14ac:dyDescent="0.3">
      <c r="A79" s="284">
        <f>Table13[[#This Row],[Member Type]]</f>
        <v>0</v>
      </c>
      <c r="B79" s="284">
        <f>Table13[[#This Row],[Main Member Link ID]]</f>
        <v>0</v>
      </c>
      <c r="C79" s="284">
        <f>Table13[[#This Row],[ID Number]]</f>
        <v>0</v>
      </c>
      <c r="D79" s="285">
        <f>Table13[[#This Row],[Date Of Birth]]</f>
        <v>0</v>
      </c>
      <c r="E79" s="285">
        <f>Table13[[#This Row],[Commencement Date]]</f>
        <v>0</v>
      </c>
      <c r="F79" s="284">
        <f t="shared" si="7"/>
        <v>1</v>
      </c>
      <c r="G79" s="284">
        <f t="shared" si="8"/>
        <v>25</v>
      </c>
      <c r="H79" s="286">
        <f>Table13[[#This Row],[Product Option]]</f>
        <v>0</v>
      </c>
      <c r="I79" s="284">
        <f>IF(AND($A79="Main Member",Table2[[#This Row],[Product Option]]="My Value Plus Life"),"MM_LIFE",
IF(AND($A79="Spouse",Table2[[#This Row],[Product Option]]="My Value Plus Life"),"SP_LIFE",
IF(AND($A79="Main Member",Table2[[#This Row],[Product Option]]="My Value Plus Life &amp; Funeral"),"MM_LIFE",
IF(AND($A79="Spouse",Table2[[#This Row],[Product Option]]="My Value Plus Life &amp; Funeral"),_xlfn.XLOOKUP(Table2[[#This Row],[Benefit Name]],Lookups!$D$18:$D$23,Lookups!$E$18:$E$23,0),
0))))</f>
        <v>0</v>
      </c>
      <c r="J79" s="284">
        <f>IF($I79="","",
IF($I79="MM_LIFE",INDEX('Quotation Tool'!$S$54:$V$60,MATCH($T79,'Quotation Tool'!$S$54:$S$60,0),4),
IF($I79="SP_LIFE",_xlfn.XLOOKUP(B78,$B:$B,$J:$J,0),0)))</f>
        <v>0</v>
      </c>
      <c r="K79" s="287">
        <f t="shared" ca="1" si="12"/>
        <v>0</v>
      </c>
      <c r="L79" s="288">
        <f t="shared" ca="1" si="13"/>
        <v>0</v>
      </c>
      <c r="M79" s="289">
        <f t="shared" ca="1" si="9"/>
        <v>0</v>
      </c>
      <c r="N79" s="286">
        <f>Table13[[#This Row],[Benefit Option]]</f>
        <v>0</v>
      </c>
      <c r="O79" s="284">
        <f>IF(OR(Table2[[#This Row],[Member Type]]="Spouse",Table2[[#This Row],[Member Type]]="Child"),0,
IF(_xlfn.XLOOKUP($N79,Lookups!$D$13:$D$27,Lookups!$F$13:$F$27,0)=Table2[[#This Row],[Table Lookup for Life Cover]],0,
_xlfn.XLOOKUP($N79,Lookups!$D$13:$D$27,Lookups!$F$13:$F$27,0)))</f>
        <v>0</v>
      </c>
      <c r="P79" s="284">
        <f>IF(Table2[[#This Row],[Table Lookup for Funeral]]=0,0,IFERROR(INDEX('Quotation Tool'!$S$54:$V$60,MATCH($T79,'Quotation Tool'!$S$54:$S$60,0),3),0))</f>
        <v>0</v>
      </c>
      <c r="Q79" s="288">
        <f ca="1">IF(OR(Table2[[#This Row],[Benefit Name]]="My Value Plus Life - Main Member",Table2[[#This Row],[Benefit Name]]="My Value Plus Life - Spouse"),0,
IFERROR(VLOOKUP($G79,INDIRECT($O79),$P79,FALSE),0))</f>
        <v>0</v>
      </c>
      <c r="R79" s="288">
        <f ca="1">IF(OR(Table2[[#This Row],[Benefit Name]]="My Value Plus Life - Main Member",Table2[[#This Row],[Benefit Name]]="My Value Plus Life - Spouse"),0,
IFERROR(VLOOKUP($G79,INDIRECT($O79),$P79+1,FALSE),0))</f>
        <v>0</v>
      </c>
      <c r="S79" s="289">
        <f t="shared" ca="1" si="10"/>
        <v>0</v>
      </c>
      <c r="T79" s="284" t="str">
        <f>IF(Table13[[#This Row],[Premium Waiver]]="","None",Table13[[#This Row],[Premium Waiver]])</f>
        <v>None</v>
      </c>
      <c r="U79" s="284">
        <f>Table13[[#This Row],[VAPs Options]]</f>
        <v>0</v>
      </c>
      <c r="V79" s="284">
        <f>Table13[[#This Row],[Annual Increase Option]]</f>
        <v>0</v>
      </c>
      <c r="W79" s="290">
        <f>Table13[[#This Row],[Life Cover Amount]]</f>
        <v>0</v>
      </c>
      <c r="X79" s="290">
        <f>Table13[[#This Row],[Funeral Cover Amount]]</f>
        <v>0</v>
      </c>
      <c r="Y7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7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79" s="301">
        <f t="shared" ca="1" si="11"/>
        <v>0</v>
      </c>
      <c r="AB79" s="298"/>
      <c r="AC79" s="326" t="str">
        <f>IF(Table2[[#This Row],[Member Type]]="Main Member",Lookups!$C$13,
IF(Table2[[#This Row],[Member Type]]="Spouse",_xlfn.XLOOKUP(B79,Table2[Main Member Link ID],Table2[Product Option],0),
IF(AND(Table2[[#This Row],[Member Type]]="Child",_xlfn.XLOOKUP(B79,Table2[Main Member Link ID],Table2[Product Option],0)&lt;&gt;"My Value Plus Life"),Lookups!$C$24,
IF(AND(OR(Table2[[#This Row],[Member Type]]="Parent",Table2[[#This Row],[Member Type]]="Extended"),_xlfn.XLOOKUP(B79,Table2[Main Member Link ID],Table2[Product Option],0)&lt;&gt;"My Value Plus Life"),Lookups!$C$26,""))))</f>
        <v/>
      </c>
      <c r="AD79" s="326" t="str">
        <f>IF(Table2[[#This Row],[Member Type]]="Main Member",Lookups!$C$14,"")</f>
        <v/>
      </c>
      <c r="AE7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Funeral",_xlfn.XLOOKUP(B79,Table2[Main Member Link ID],Table2[Benefit Name],0)=Lookups!$D$14),"",
IF(AND(Table2[[#This Row],[Member Type]]="Spouse",Table2[[#This Row],[Product Option]]="My Value Plus Life &amp; Funeral",_xlfn.XLOOKUP(B78,Table2[Main Member Link ID],Table2[Benefit Name],0)=Lookups!$D$15),Lookups!$D$20,
IF(AND(Table2[[#This Row],[Member Type]]="Spouse",Table2[[#This Row],[Product Option]]="My Value Plus Life &amp; Funeral",_xlfn.XLOOKUP(B78,Table2[Main Member Link ID],Table2[Benefit Name],0)=Lookups!$D$16),"",
IF(AND(Table2[[#This Row],[Member Type]]="Spouse",Table2[[#This Row],[Product Option]]="My Value Plus Life &amp; Funeral",_xlfn.XLOOKUP(B78,Table2[Main Member Link ID],Table2[Benefit Name],0)=Lookups!$D$17),Lookups!$D$21,
IF(AND(Table2[[#This Row],[Member Type]]="Child",Table2[[#This Row],[Product Option]]="My Value Plus Life &amp; Funeral",_xlfn.XLOOKUP(B79,Table2[Main Member Link ID],Table2[Benefit Name],0)=Lookups!$D$14),"",
IF(AND(Table2[[#This Row],[Member Type]]="Child",Table2[[#This Row],[Product Option]]="My Value Plus Life &amp; Funeral",_xlfn.XLOOKUP(B79,Table2[Main Member Link ID],Table2[Benefit Name],0)=Lookups!$D$15),"",
IF(AND(Table2[[#This Row],[Member Type]]="Child",Table2[[#This Row],[Product Option]]="My Value Plus Life &amp; Funeral",_xlfn.XLOOKUP(B79,Table2[Main Member Link ID],Table2[Benefit Name],0)=Lookups!$D$16),Lookups!$D$24,
IF(AND(Table2[[#This Row],[Member Type]]="Child",Table2[[#This Row],[Product Option]]="My Value Plus Life &amp; Funeral",_xlfn.XLOOKUP(B79,Table2[Main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Funeral",_xlfn.XLOOKUP(B79,Table2[Main Member Link ID],Table2[Benefit Name],0)&lt;&gt;Lookups!$D$14),
IF(_xlfn.XLOOKUP(B79,Table2[Main Member Link ID],Table2[Benefit Name],0)=0,"",_xlfn.XLOOKUP(B79,Table2[Main Member Link ID],Table2[Benefit Name],0)),"")))))))))))))))</f>
        <v/>
      </c>
      <c r="AF79" s="327" t="str">
        <f>IF(AND(Table2[[#This Row],[Member Type]]="Main Member",Table2[[#This Row],[Product Option]]="My Value Plus Life &amp; Funeral"),Lookups!$D$15,
IF(AND(Table2[[#This Row],[Member Type]]="Spouse",Table2[[#This Row],[Product Option]]="My Value Plus Life &amp; Funeral",_xlfn.XLOOKUP(B79,Table2[Main Member Link ID],Table2[Benefit Name],0)=Lookups!$D$14),"",
IF(AND(Table2[[#This Row],[Member Type]]="Spouse",Table2[[#This Row],[Product Option]]="My Value Plus Life &amp; Funeral",_xlfn.XLOOKUP(B78,Table2[Main Member Link ID],Table2[Benefit Name],0)=Lookups!$D$16),"",
IF(AND(Table2[[#This Row],[Member Type]]="Spouse",Table2[[#This Row],[Product Option]]="My Value Plus Life &amp; Funeral",_xlfn.XLOOKUP(B78,Table2[Main Member Link ID],Table2[Benefit Name],0)=Lookups!$D$15),"",
IF(AND(Table2[[#This Row],[Member Type]]="Spouse",Table2[[#This Row],[Product Option]]="My Value Plus Life &amp; Funeral",_xlfn.XLOOKUP(B78,Table2[Main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Funeral",_xlfn.XLOOKUP(B79,Table2[Main Member Link ID],Table2[Benefit Name],0)&lt;&gt;Lookups!$D$15),
IF(_xlfn.XLOOKUP(B79,Table2[Main Member Link ID],Table2[Benefit Name],0)=0,"",_xlfn.XLOOKUP(B79,Table2[Main Member Link ID],Table2[Benefit Name],0)),"")
))))))</f>
        <v/>
      </c>
      <c r="AG79" s="327" t="str">
        <f>IF(AND(Table2[[#This Row],[Member Type]]="Main Member",Table2[[#This Row],[Product Option]]="My Value Plus Life &amp; Funeral"),Lookups!$D$16,
IF(AND(Table2[[#This Row],[Member Type]]="Spouse",Table2[[#This Row],[Product Option]]="My Value Plus Life &amp; Funeral",_xlfn.XLOOKUP(B79,Table2[Main Member Link ID],Table2[Benefit Name],0)=Lookups!$D$14),"",
IF(AND(Table2[[#This Row],[Member Type]]="Spouse",Table2[[#This Row],[Product Option]]="My Value Plus Life &amp; Funeral",_xlfn.XLOOKUP(B78,Table2[Main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Funeral",_xlfn.XLOOKUP(B79,Table2[Main Member Link ID],Table2[Benefit Name],0)&lt;&gt;Lookups!$D$16),
IF(_xlfn.XLOOKUP(B79,Table2[Main Member Link ID],Table2[Benefit Name],0)=0,"",_xlfn.XLOOKUP(B79,Table2[Main Member Link ID],Table2[Benefit Name],0)),"")
))))</f>
        <v/>
      </c>
      <c r="AH79" s="327" t="str">
        <f>IF(AND(Table2[[#This Row],[Member Type]]="Main Member",Table2[[#This Row],[Product Option]]="My Value Plus Life &amp; Funeral"),Lookups!$D$17,
IF(AND(Table2[[#This Row],[Member Type]]="Spouse",Table2[[#This Row],[Product Option]]="My Value Plus Life &amp; Funeral",_xlfn.XLOOKUP(B79,Table2[Main Member Link ID],Table2[Benefit Name],0)=Lookups!$D$14),"",
IF(AND(Table2[[#This Row],[Member Type]]="Spouse",Table2[[#This Row],[Product Option]]="My Value Plus Life &amp; Funeral",_xlfn.XLOOKUP(B78,Table2[Main Member Link ID],Table2[Benefit Name],0)=Lookups!$D$16),"",
IF(AND(Table2[[#This Row],[Member Type]]="Child",Table2[[#This Row],[Product Option]]="My Value Plus Life &amp; Funeral"),"",
IF(AND(Table2[[#This Row],[Member Type]]="Child",Table2[[#This Row],[Product Option]]="My Value Plus Life &amp; Funeral",_xlfn.XLOOKUP(B79,Table2[Main Member Link ID],Table2[Benefit Name],0)=Lookups!$D$15),"",
IF(AND(OR(Table2[[#This Row],[Member Type]]="Spouse",Table2[[#This Row],[Member Type]]="Child"),Table2[[#This Row],[Product Option]]="My Value Plus Life &amp; Funeral",_xlfn.XLOOKUP(B79,Table2[Main Member Link ID],Table2[Benefit Name],0)&lt;&gt;Lookups!$D$17),
IF(_xlfn.XLOOKUP(B79,Table2[Main Member Link ID],Table2[Benefit Name],0)=0,"",_xlfn.XLOOKUP(B79,Table2[Main Member Link ID],Table2[Benefit Name],0)),""))))))</f>
        <v/>
      </c>
      <c r="AI79" s="328" t="str">
        <f>IF(AND(Table2[[#This Row],[Member Type]]="Main Member",Table2[[#This Row],[Table Lookup for Life Cover]]="MM_LIFE",Table2[[#This Row],[Age Next Birthday]]&lt;56),1,
IF(AND(Table2[[#This Row],[Member Type]]="Main Member",Table2[[#This Row],[Table Lookup for Life Cover]]="MM_LIFE",Table2[[#This Row],[Age Next Birthday]]&gt;=56),2,
""))</f>
        <v/>
      </c>
      <c r="AJ79" s="328">
        <f>IF(OR(Table2[[#This Row],[Member Type]]="Main Member",Table2[[#This Row],[Main Member Link ID]]=B78),1,0)</f>
        <v>1</v>
      </c>
      <c r="AK79" s="328">
        <f>IF(Table2[[#This Row],[Member Type]]=0,0,
IF(OR(Table2[[#This Row],[Member Type]]="Main Member",Table2[[#This Row],[Main Member Link ID]]&lt;&gt;B79),COUNTIFS(B:B,Table2[[#This Row],[Main Member Link ID]]),
COUNTIFS(B:B,Table2[[#This Row],[Main Member Link ID]],A:A,Table2[[#This Row],[Member Type]])))</f>
        <v>0</v>
      </c>
    </row>
    <row r="80" spans="1:37" x14ac:dyDescent="0.3">
      <c r="A80" s="284">
        <f>Table13[[#This Row],[Member Type]]</f>
        <v>0</v>
      </c>
      <c r="B80" s="284">
        <f>Table13[[#This Row],[Main Member Link ID]]</f>
        <v>0</v>
      </c>
      <c r="C80" s="284">
        <f>Table13[[#This Row],[ID Number]]</f>
        <v>0</v>
      </c>
      <c r="D80" s="285">
        <f>Table13[[#This Row],[Date Of Birth]]</f>
        <v>0</v>
      </c>
      <c r="E80" s="285">
        <f>Table13[[#This Row],[Commencement Date]]</f>
        <v>0</v>
      </c>
      <c r="F80" s="284">
        <f t="shared" si="7"/>
        <v>1</v>
      </c>
      <c r="G80" s="284">
        <f t="shared" si="8"/>
        <v>25</v>
      </c>
      <c r="H80" s="286">
        <f>Table13[[#This Row],[Product Option]]</f>
        <v>0</v>
      </c>
      <c r="I80" s="284">
        <f>IF(AND($A80="Main Member",Table2[[#This Row],[Product Option]]="My Value Plus Life"),"MM_LIFE",
IF(AND($A80="Spouse",Table2[[#This Row],[Product Option]]="My Value Plus Life"),"SP_LIFE",
IF(AND($A80="Main Member",Table2[[#This Row],[Product Option]]="My Value Plus Life &amp; Funeral"),"MM_LIFE",
IF(AND($A80="Spouse",Table2[[#This Row],[Product Option]]="My Value Plus Life &amp; Funeral"),_xlfn.XLOOKUP(Table2[[#This Row],[Benefit Name]],Lookups!$D$18:$D$23,Lookups!$E$18:$E$23,0),
0))))</f>
        <v>0</v>
      </c>
      <c r="J80" s="284">
        <f>IF($I80="","",
IF($I80="MM_LIFE",INDEX('Quotation Tool'!$S$54:$V$60,MATCH($T80,'Quotation Tool'!$S$54:$S$60,0),4),
IF($I80="SP_LIFE",_xlfn.XLOOKUP(B79,$B:$B,$J:$J,0),0)))</f>
        <v>0</v>
      </c>
      <c r="K80" s="287">
        <f t="shared" ca="1" si="12"/>
        <v>0</v>
      </c>
      <c r="L80" s="288">
        <f t="shared" ca="1" si="13"/>
        <v>0</v>
      </c>
      <c r="M80" s="289">
        <f t="shared" ca="1" si="9"/>
        <v>0</v>
      </c>
      <c r="N80" s="286">
        <f>Table13[[#This Row],[Benefit Option]]</f>
        <v>0</v>
      </c>
      <c r="O80" s="284">
        <f>IF(OR(Table2[[#This Row],[Member Type]]="Spouse",Table2[[#This Row],[Member Type]]="Child"),0,
IF(_xlfn.XLOOKUP($N80,Lookups!$D$13:$D$27,Lookups!$F$13:$F$27,0)=Table2[[#This Row],[Table Lookup for Life Cover]],0,
_xlfn.XLOOKUP($N80,Lookups!$D$13:$D$27,Lookups!$F$13:$F$27,0)))</f>
        <v>0</v>
      </c>
      <c r="P80" s="284">
        <f>IF(Table2[[#This Row],[Table Lookup for Funeral]]=0,0,IFERROR(INDEX('Quotation Tool'!$S$54:$V$60,MATCH($T80,'Quotation Tool'!$S$54:$S$60,0),3),0))</f>
        <v>0</v>
      </c>
      <c r="Q80" s="288">
        <f ca="1">IF(OR(Table2[[#This Row],[Benefit Name]]="My Value Plus Life - Main Member",Table2[[#This Row],[Benefit Name]]="My Value Plus Life - Spouse"),0,
IFERROR(VLOOKUP($G80,INDIRECT($O80),$P80,FALSE),0))</f>
        <v>0</v>
      </c>
      <c r="R80" s="288">
        <f ca="1">IF(OR(Table2[[#This Row],[Benefit Name]]="My Value Plus Life - Main Member",Table2[[#This Row],[Benefit Name]]="My Value Plus Life - Spouse"),0,
IFERROR(VLOOKUP($G80,INDIRECT($O80),$P80+1,FALSE),0))</f>
        <v>0</v>
      </c>
      <c r="S80" s="289">
        <f t="shared" ca="1" si="10"/>
        <v>0</v>
      </c>
      <c r="T80" s="284" t="str">
        <f>IF(Table13[[#This Row],[Premium Waiver]]="","None",Table13[[#This Row],[Premium Waiver]])</f>
        <v>None</v>
      </c>
      <c r="U80" s="284">
        <f>Table13[[#This Row],[VAPs Options]]</f>
        <v>0</v>
      </c>
      <c r="V80" s="284">
        <f>Table13[[#This Row],[Annual Increase Option]]</f>
        <v>0</v>
      </c>
      <c r="W80" s="290">
        <f>Table13[[#This Row],[Life Cover Amount]]</f>
        <v>0</v>
      </c>
      <c r="X80" s="290">
        <f>Table13[[#This Row],[Funeral Cover Amount]]</f>
        <v>0</v>
      </c>
      <c r="Y8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8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80" s="301">
        <f t="shared" ca="1" si="11"/>
        <v>0</v>
      </c>
      <c r="AB80" s="298"/>
      <c r="AC80" s="326" t="str">
        <f>IF(Table2[[#This Row],[Member Type]]="Main Member",Lookups!$C$13,
IF(Table2[[#This Row],[Member Type]]="Spouse",_xlfn.XLOOKUP(B80,Table2[Main Member Link ID],Table2[Product Option],0),
IF(AND(Table2[[#This Row],[Member Type]]="Child",_xlfn.XLOOKUP(B80,Table2[Main Member Link ID],Table2[Product Option],0)&lt;&gt;"My Value Plus Life"),Lookups!$C$24,
IF(AND(OR(Table2[[#This Row],[Member Type]]="Parent",Table2[[#This Row],[Member Type]]="Extended"),_xlfn.XLOOKUP(B80,Table2[Main Member Link ID],Table2[Product Option],0)&lt;&gt;"My Value Plus Life"),Lookups!$C$26,""))))</f>
        <v/>
      </c>
      <c r="AD80" s="326" t="str">
        <f>IF(Table2[[#This Row],[Member Type]]="Main Member",Lookups!$C$14,"")</f>
        <v/>
      </c>
      <c r="AE8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Funeral",_xlfn.XLOOKUP(B80,Table2[Main Member Link ID],Table2[Benefit Name],0)=Lookups!$D$14),"",
IF(AND(Table2[[#This Row],[Member Type]]="Spouse",Table2[[#This Row],[Product Option]]="My Value Plus Life &amp; Funeral",_xlfn.XLOOKUP(B79,Table2[Main Member Link ID],Table2[Benefit Name],0)=Lookups!$D$15),Lookups!$D$20,
IF(AND(Table2[[#This Row],[Member Type]]="Spouse",Table2[[#This Row],[Product Option]]="My Value Plus Life &amp; Funeral",_xlfn.XLOOKUP(B79,Table2[Main Member Link ID],Table2[Benefit Name],0)=Lookups!$D$16),"",
IF(AND(Table2[[#This Row],[Member Type]]="Spouse",Table2[[#This Row],[Product Option]]="My Value Plus Life &amp; Funeral",_xlfn.XLOOKUP(B79,Table2[Main Member Link ID],Table2[Benefit Name],0)=Lookups!$D$17),Lookups!$D$21,
IF(AND(Table2[[#This Row],[Member Type]]="Child",Table2[[#This Row],[Product Option]]="My Value Plus Life &amp; Funeral",_xlfn.XLOOKUP(B80,Table2[Main Member Link ID],Table2[Benefit Name],0)=Lookups!$D$14),"",
IF(AND(Table2[[#This Row],[Member Type]]="Child",Table2[[#This Row],[Product Option]]="My Value Plus Life &amp; Funeral",_xlfn.XLOOKUP(B80,Table2[Main Member Link ID],Table2[Benefit Name],0)=Lookups!$D$15),"",
IF(AND(Table2[[#This Row],[Member Type]]="Child",Table2[[#This Row],[Product Option]]="My Value Plus Life &amp; Funeral",_xlfn.XLOOKUP(B80,Table2[Main Member Link ID],Table2[Benefit Name],0)=Lookups!$D$16),Lookups!$D$24,
IF(AND(Table2[[#This Row],[Member Type]]="Child",Table2[[#This Row],[Product Option]]="My Value Plus Life &amp; Funeral",_xlfn.XLOOKUP(B80,Table2[Main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Funeral",_xlfn.XLOOKUP(B80,Table2[Main Member Link ID],Table2[Benefit Name],0)&lt;&gt;Lookups!$D$14),
IF(_xlfn.XLOOKUP(B80,Table2[Main Member Link ID],Table2[Benefit Name],0)=0,"",_xlfn.XLOOKUP(B80,Table2[Main Member Link ID],Table2[Benefit Name],0)),"")))))))))))))))</f>
        <v/>
      </c>
      <c r="AF80" s="327" t="str">
        <f>IF(AND(Table2[[#This Row],[Member Type]]="Main Member",Table2[[#This Row],[Product Option]]="My Value Plus Life &amp; Funeral"),Lookups!$D$15,
IF(AND(Table2[[#This Row],[Member Type]]="Spouse",Table2[[#This Row],[Product Option]]="My Value Plus Life &amp; Funeral",_xlfn.XLOOKUP(B80,Table2[Main Member Link ID],Table2[Benefit Name],0)=Lookups!$D$14),"",
IF(AND(Table2[[#This Row],[Member Type]]="Spouse",Table2[[#This Row],[Product Option]]="My Value Plus Life &amp; Funeral",_xlfn.XLOOKUP(B79,Table2[Main Member Link ID],Table2[Benefit Name],0)=Lookups!$D$16),"",
IF(AND(Table2[[#This Row],[Member Type]]="Spouse",Table2[[#This Row],[Product Option]]="My Value Plus Life &amp; Funeral",_xlfn.XLOOKUP(B79,Table2[Main Member Link ID],Table2[Benefit Name],0)=Lookups!$D$15),"",
IF(AND(Table2[[#This Row],[Member Type]]="Spouse",Table2[[#This Row],[Product Option]]="My Value Plus Life &amp; Funeral",_xlfn.XLOOKUP(B79,Table2[Main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Funeral",_xlfn.XLOOKUP(B80,Table2[Main Member Link ID],Table2[Benefit Name],0)&lt;&gt;Lookups!$D$15),
IF(_xlfn.XLOOKUP(B80,Table2[Main Member Link ID],Table2[Benefit Name],0)=0,"",_xlfn.XLOOKUP(B80,Table2[Main Member Link ID],Table2[Benefit Name],0)),"")
))))))</f>
        <v/>
      </c>
      <c r="AG80" s="327" t="str">
        <f>IF(AND(Table2[[#This Row],[Member Type]]="Main Member",Table2[[#This Row],[Product Option]]="My Value Plus Life &amp; Funeral"),Lookups!$D$16,
IF(AND(Table2[[#This Row],[Member Type]]="Spouse",Table2[[#This Row],[Product Option]]="My Value Plus Life &amp; Funeral",_xlfn.XLOOKUP(B80,Table2[Main Member Link ID],Table2[Benefit Name],0)=Lookups!$D$14),"",
IF(AND(Table2[[#This Row],[Member Type]]="Spouse",Table2[[#This Row],[Product Option]]="My Value Plus Life &amp; Funeral",_xlfn.XLOOKUP(B79,Table2[Main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Funeral",_xlfn.XLOOKUP(B80,Table2[Main Member Link ID],Table2[Benefit Name],0)&lt;&gt;Lookups!$D$16),
IF(_xlfn.XLOOKUP(B80,Table2[Main Member Link ID],Table2[Benefit Name],0)=0,"",_xlfn.XLOOKUP(B80,Table2[Main Member Link ID],Table2[Benefit Name],0)),"")
))))</f>
        <v/>
      </c>
      <c r="AH80" s="327" t="str">
        <f>IF(AND(Table2[[#This Row],[Member Type]]="Main Member",Table2[[#This Row],[Product Option]]="My Value Plus Life &amp; Funeral"),Lookups!$D$17,
IF(AND(Table2[[#This Row],[Member Type]]="Spouse",Table2[[#This Row],[Product Option]]="My Value Plus Life &amp; Funeral",_xlfn.XLOOKUP(B80,Table2[Main Member Link ID],Table2[Benefit Name],0)=Lookups!$D$14),"",
IF(AND(Table2[[#This Row],[Member Type]]="Spouse",Table2[[#This Row],[Product Option]]="My Value Plus Life &amp; Funeral",_xlfn.XLOOKUP(B79,Table2[Main Member Link ID],Table2[Benefit Name],0)=Lookups!$D$16),"",
IF(AND(Table2[[#This Row],[Member Type]]="Child",Table2[[#This Row],[Product Option]]="My Value Plus Life &amp; Funeral"),"",
IF(AND(Table2[[#This Row],[Member Type]]="Child",Table2[[#This Row],[Product Option]]="My Value Plus Life &amp; Funeral",_xlfn.XLOOKUP(B80,Table2[Main Member Link ID],Table2[Benefit Name],0)=Lookups!$D$15),"",
IF(AND(OR(Table2[[#This Row],[Member Type]]="Spouse",Table2[[#This Row],[Member Type]]="Child"),Table2[[#This Row],[Product Option]]="My Value Plus Life &amp; Funeral",_xlfn.XLOOKUP(B80,Table2[Main Member Link ID],Table2[Benefit Name],0)&lt;&gt;Lookups!$D$17),
IF(_xlfn.XLOOKUP(B80,Table2[Main Member Link ID],Table2[Benefit Name],0)=0,"",_xlfn.XLOOKUP(B80,Table2[Main Member Link ID],Table2[Benefit Name],0)),""))))))</f>
        <v/>
      </c>
      <c r="AI80" s="328" t="str">
        <f>IF(AND(Table2[[#This Row],[Member Type]]="Main Member",Table2[[#This Row],[Table Lookup for Life Cover]]="MM_LIFE",Table2[[#This Row],[Age Next Birthday]]&lt;56),1,
IF(AND(Table2[[#This Row],[Member Type]]="Main Member",Table2[[#This Row],[Table Lookup for Life Cover]]="MM_LIFE",Table2[[#This Row],[Age Next Birthday]]&gt;=56),2,
""))</f>
        <v/>
      </c>
      <c r="AJ80" s="328">
        <f>IF(OR(Table2[[#This Row],[Member Type]]="Main Member",Table2[[#This Row],[Main Member Link ID]]=B79),1,0)</f>
        <v>1</v>
      </c>
      <c r="AK80" s="328">
        <f>IF(Table2[[#This Row],[Member Type]]=0,0,
IF(OR(Table2[[#This Row],[Member Type]]="Main Member",Table2[[#This Row],[Main Member Link ID]]&lt;&gt;B80),COUNTIFS(B:B,Table2[[#This Row],[Main Member Link ID]]),
COUNTIFS(B:B,Table2[[#This Row],[Main Member Link ID]],A:A,Table2[[#This Row],[Member Type]])))</f>
        <v>0</v>
      </c>
    </row>
    <row r="81" spans="1:37" x14ac:dyDescent="0.3">
      <c r="A81" s="284">
        <f>Table13[[#This Row],[Member Type]]</f>
        <v>0</v>
      </c>
      <c r="B81" s="284">
        <f>Table13[[#This Row],[Main Member Link ID]]</f>
        <v>0</v>
      </c>
      <c r="C81" s="284">
        <f>Table13[[#This Row],[ID Number]]</f>
        <v>0</v>
      </c>
      <c r="D81" s="285">
        <f>Table13[[#This Row],[Date Of Birth]]</f>
        <v>0</v>
      </c>
      <c r="E81" s="285">
        <f>Table13[[#This Row],[Commencement Date]]</f>
        <v>0</v>
      </c>
      <c r="F81" s="284">
        <f t="shared" si="7"/>
        <v>1</v>
      </c>
      <c r="G81" s="284">
        <f t="shared" si="8"/>
        <v>25</v>
      </c>
      <c r="H81" s="286">
        <f>Table13[[#This Row],[Product Option]]</f>
        <v>0</v>
      </c>
      <c r="I81" s="284">
        <f>IF(AND($A81="Main Member",Table2[[#This Row],[Product Option]]="My Value Plus Life"),"MM_LIFE",
IF(AND($A81="Spouse",Table2[[#This Row],[Product Option]]="My Value Plus Life"),"SP_LIFE",
IF(AND($A81="Main Member",Table2[[#This Row],[Product Option]]="My Value Plus Life &amp; Funeral"),"MM_LIFE",
IF(AND($A81="Spouse",Table2[[#This Row],[Product Option]]="My Value Plus Life &amp; Funeral"),_xlfn.XLOOKUP(Table2[[#This Row],[Benefit Name]],Lookups!$D$18:$D$23,Lookups!$E$18:$E$23,0),
0))))</f>
        <v>0</v>
      </c>
      <c r="J81" s="284">
        <f>IF($I81="","",
IF($I81="MM_LIFE",INDEX('Quotation Tool'!$S$54:$V$60,MATCH($T81,'Quotation Tool'!$S$54:$S$60,0),4),
IF($I81="SP_LIFE",_xlfn.XLOOKUP(B80,$B:$B,$J:$J,0),0)))</f>
        <v>0</v>
      </c>
      <c r="K81" s="287">
        <f t="shared" ca="1" si="12"/>
        <v>0</v>
      </c>
      <c r="L81" s="288">
        <f t="shared" ca="1" si="13"/>
        <v>0</v>
      </c>
      <c r="M81" s="289">
        <f t="shared" ca="1" si="9"/>
        <v>0</v>
      </c>
      <c r="N81" s="286">
        <f>Table13[[#This Row],[Benefit Option]]</f>
        <v>0</v>
      </c>
      <c r="O81" s="284">
        <f>IF(OR(Table2[[#This Row],[Member Type]]="Spouse",Table2[[#This Row],[Member Type]]="Child"),0,
IF(_xlfn.XLOOKUP($N81,Lookups!$D$13:$D$27,Lookups!$F$13:$F$27,0)=Table2[[#This Row],[Table Lookup for Life Cover]],0,
_xlfn.XLOOKUP($N81,Lookups!$D$13:$D$27,Lookups!$F$13:$F$27,0)))</f>
        <v>0</v>
      </c>
      <c r="P81" s="284">
        <f>IF(Table2[[#This Row],[Table Lookup for Funeral]]=0,0,IFERROR(INDEX('Quotation Tool'!$S$54:$V$60,MATCH($T81,'Quotation Tool'!$S$54:$S$60,0),3),0))</f>
        <v>0</v>
      </c>
      <c r="Q81" s="288">
        <f ca="1">IF(OR(Table2[[#This Row],[Benefit Name]]="My Value Plus Life - Main Member",Table2[[#This Row],[Benefit Name]]="My Value Plus Life - Spouse"),0,
IFERROR(VLOOKUP($G81,INDIRECT($O81),$P81,FALSE),0))</f>
        <v>0</v>
      </c>
      <c r="R81" s="288">
        <f ca="1">IF(OR(Table2[[#This Row],[Benefit Name]]="My Value Plus Life - Main Member",Table2[[#This Row],[Benefit Name]]="My Value Plus Life - Spouse"),0,
IFERROR(VLOOKUP($G81,INDIRECT($O81),$P81+1,FALSE),0))</f>
        <v>0</v>
      </c>
      <c r="S81" s="289">
        <f t="shared" ca="1" si="10"/>
        <v>0</v>
      </c>
      <c r="T81" s="284" t="str">
        <f>IF(Table13[[#This Row],[Premium Waiver]]="","None",Table13[[#This Row],[Premium Waiver]])</f>
        <v>None</v>
      </c>
      <c r="U81" s="284">
        <f>Table13[[#This Row],[VAPs Options]]</f>
        <v>0</v>
      </c>
      <c r="V81" s="284">
        <f>Table13[[#This Row],[Annual Increase Option]]</f>
        <v>0</v>
      </c>
      <c r="W81" s="290">
        <f>Table13[[#This Row],[Life Cover Amount]]</f>
        <v>0</v>
      </c>
      <c r="X81" s="290">
        <f>Table13[[#This Row],[Funeral Cover Amount]]</f>
        <v>0</v>
      </c>
      <c r="Y8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8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81" s="301">
        <f t="shared" ca="1" si="11"/>
        <v>0</v>
      </c>
      <c r="AB81" s="298"/>
      <c r="AC81" s="326" t="str">
        <f>IF(Table2[[#This Row],[Member Type]]="Main Member",Lookups!$C$13,
IF(Table2[[#This Row],[Member Type]]="Spouse",_xlfn.XLOOKUP(B81,Table2[Main Member Link ID],Table2[Product Option],0),
IF(AND(Table2[[#This Row],[Member Type]]="Child",_xlfn.XLOOKUP(B81,Table2[Main Member Link ID],Table2[Product Option],0)&lt;&gt;"My Value Plus Life"),Lookups!$C$24,
IF(AND(OR(Table2[[#This Row],[Member Type]]="Parent",Table2[[#This Row],[Member Type]]="Extended"),_xlfn.XLOOKUP(B81,Table2[Main Member Link ID],Table2[Product Option],0)&lt;&gt;"My Value Plus Life"),Lookups!$C$26,""))))</f>
        <v/>
      </c>
      <c r="AD81" s="326" t="str">
        <f>IF(Table2[[#This Row],[Member Type]]="Main Member",Lookups!$C$14,"")</f>
        <v/>
      </c>
      <c r="AE8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Funeral",_xlfn.XLOOKUP(B81,Table2[Main Member Link ID],Table2[Benefit Name],0)=Lookups!$D$14),"",
IF(AND(Table2[[#This Row],[Member Type]]="Spouse",Table2[[#This Row],[Product Option]]="My Value Plus Life &amp; Funeral",_xlfn.XLOOKUP(B80,Table2[Main Member Link ID],Table2[Benefit Name],0)=Lookups!$D$15),Lookups!$D$20,
IF(AND(Table2[[#This Row],[Member Type]]="Spouse",Table2[[#This Row],[Product Option]]="My Value Plus Life &amp; Funeral",_xlfn.XLOOKUP(B80,Table2[Main Member Link ID],Table2[Benefit Name],0)=Lookups!$D$16),"",
IF(AND(Table2[[#This Row],[Member Type]]="Spouse",Table2[[#This Row],[Product Option]]="My Value Plus Life &amp; Funeral",_xlfn.XLOOKUP(B80,Table2[Main Member Link ID],Table2[Benefit Name],0)=Lookups!$D$17),Lookups!$D$21,
IF(AND(Table2[[#This Row],[Member Type]]="Child",Table2[[#This Row],[Product Option]]="My Value Plus Life &amp; Funeral",_xlfn.XLOOKUP(B81,Table2[Main Member Link ID],Table2[Benefit Name],0)=Lookups!$D$14),"",
IF(AND(Table2[[#This Row],[Member Type]]="Child",Table2[[#This Row],[Product Option]]="My Value Plus Life &amp; Funeral",_xlfn.XLOOKUP(B81,Table2[Main Member Link ID],Table2[Benefit Name],0)=Lookups!$D$15),"",
IF(AND(Table2[[#This Row],[Member Type]]="Child",Table2[[#This Row],[Product Option]]="My Value Plus Life &amp; Funeral",_xlfn.XLOOKUP(B81,Table2[Main Member Link ID],Table2[Benefit Name],0)=Lookups!$D$16),Lookups!$D$24,
IF(AND(Table2[[#This Row],[Member Type]]="Child",Table2[[#This Row],[Product Option]]="My Value Plus Life &amp; Funeral",_xlfn.XLOOKUP(B81,Table2[Main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Funeral",_xlfn.XLOOKUP(B81,Table2[Main Member Link ID],Table2[Benefit Name],0)&lt;&gt;Lookups!$D$14),
IF(_xlfn.XLOOKUP(B81,Table2[Main Member Link ID],Table2[Benefit Name],0)=0,"",_xlfn.XLOOKUP(B81,Table2[Main Member Link ID],Table2[Benefit Name],0)),"")))))))))))))))</f>
        <v/>
      </c>
      <c r="AF81" s="327" t="str">
        <f>IF(AND(Table2[[#This Row],[Member Type]]="Main Member",Table2[[#This Row],[Product Option]]="My Value Plus Life &amp; Funeral"),Lookups!$D$15,
IF(AND(Table2[[#This Row],[Member Type]]="Spouse",Table2[[#This Row],[Product Option]]="My Value Plus Life &amp; Funeral",_xlfn.XLOOKUP(B81,Table2[Main Member Link ID],Table2[Benefit Name],0)=Lookups!$D$14),"",
IF(AND(Table2[[#This Row],[Member Type]]="Spouse",Table2[[#This Row],[Product Option]]="My Value Plus Life &amp; Funeral",_xlfn.XLOOKUP(B80,Table2[Main Member Link ID],Table2[Benefit Name],0)=Lookups!$D$16),"",
IF(AND(Table2[[#This Row],[Member Type]]="Spouse",Table2[[#This Row],[Product Option]]="My Value Plus Life &amp; Funeral",_xlfn.XLOOKUP(B80,Table2[Main Member Link ID],Table2[Benefit Name],0)=Lookups!$D$15),"",
IF(AND(Table2[[#This Row],[Member Type]]="Spouse",Table2[[#This Row],[Product Option]]="My Value Plus Life &amp; Funeral",_xlfn.XLOOKUP(B80,Table2[Main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Funeral",_xlfn.XLOOKUP(B81,Table2[Main Member Link ID],Table2[Benefit Name],0)&lt;&gt;Lookups!$D$15),
IF(_xlfn.XLOOKUP(B81,Table2[Main Member Link ID],Table2[Benefit Name],0)=0,"",_xlfn.XLOOKUP(B81,Table2[Main Member Link ID],Table2[Benefit Name],0)),"")
))))))</f>
        <v/>
      </c>
      <c r="AG81" s="327" t="str">
        <f>IF(AND(Table2[[#This Row],[Member Type]]="Main Member",Table2[[#This Row],[Product Option]]="My Value Plus Life &amp; Funeral"),Lookups!$D$16,
IF(AND(Table2[[#This Row],[Member Type]]="Spouse",Table2[[#This Row],[Product Option]]="My Value Plus Life &amp; Funeral",_xlfn.XLOOKUP(B81,Table2[Main Member Link ID],Table2[Benefit Name],0)=Lookups!$D$14),"",
IF(AND(Table2[[#This Row],[Member Type]]="Spouse",Table2[[#This Row],[Product Option]]="My Value Plus Life &amp; Funeral",_xlfn.XLOOKUP(B80,Table2[Main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Funeral",_xlfn.XLOOKUP(B81,Table2[Main Member Link ID],Table2[Benefit Name],0)&lt;&gt;Lookups!$D$16),
IF(_xlfn.XLOOKUP(B81,Table2[Main Member Link ID],Table2[Benefit Name],0)=0,"",_xlfn.XLOOKUP(B81,Table2[Main Member Link ID],Table2[Benefit Name],0)),"")
))))</f>
        <v/>
      </c>
      <c r="AH81" s="327" t="str">
        <f>IF(AND(Table2[[#This Row],[Member Type]]="Main Member",Table2[[#This Row],[Product Option]]="My Value Plus Life &amp; Funeral"),Lookups!$D$17,
IF(AND(Table2[[#This Row],[Member Type]]="Spouse",Table2[[#This Row],[Product Option]]="My Value Plus Life &amp; Funeral",_xlfn.XLOOKUP(B81,Table2[Main Member Link ID],Table2[Benefit Name],0)=Lookups!$D$14),"",
IF(AND(Table2[[#This Row],[Member Type]]="Spouse",Table2[[#This Row],[Product Option]]="My Value Plus Life &amp; Funeral",_xlfn.XLOOKUP(B80,Table2[Main Member Link ID],Table2[Benefit Name],0)=Lookups!$D$16),"",
IF(AND(Table2[[#This Row],[Member Type]]="Child",Table2[[#This Row],[Product Option]]="My Value Plus Life &amp; Funeral"),"",
IF(AND(Table2[[#This Row],[Member Type]]="Child",Table2[[#This Row],[Product Option]]="My Value Plus Life &amp; Funeral",_xlfn.XLOOKUP(B81,Table2[Main Member Link ID],Table2[Benefit Name],0)=Lookups!$D$15),"",
IF(AND(OR(Table2[[#This Row],[Member Type]]="Spouse",Table2[[#This Row],[Member Type]]="Child"),Table2[[#This Row],[Product Option]]="My Value Plus Life &amp; Funeral",_xlfn.XLOOKUP(B81,Table2[Main Member Link ID],Table2[Benefit Name],0)&lt;&gt;Lookups!$D$17),
IF(_xlfn.XLOOKUP(B81,Table2[Main Member Link ID],Table2[Benefit Name],0)=0,"",_xlfn.XLOOKUP(B81,Table2[Main Member Link ID],Table2[Benefit Name],0)),""))))))</f>
        <v/>
      </c>
      <c r="AI81" s="328" t="str">
        <f>IF(AND(Table2[[#This Row],[Member Type]]="Main Member",Table2[[#This Row],[Table Lookup for Life Cover]]="MM_LIFE",Table2[[#This Row],[Age Next Birthday]]&lt;56),1,
IF(AND(Table2[[#This Row],[Member Type]]="Main Member",Table2[[#This Row],[Table Lookup for Life Cover]]="MM_LIFE",Table2[[#This Row],[Age Next Birthday]]&gt;=56),2,
""))</f>
        <v/>
      </c>
      <c r="AJ81" s="328">
        <f>IF(OR(Table2[[#This Row],[Member Type]]="Main Member",Table2[[#This Row],[Main Member Link ID]]=B80),1,0)</f>
        <v>1</v>
      </c>
      <c r="AK81" s="328">
        <f>IF(Table2[[#This Row],[Member Type]]=0,0,
IF(OR(Table2[[#This Row],[Member Type]]="Main Member",Table2[[#This Row],[Main Member Link ID]]&lt;&gt;B81),COUNTIFS(B:B,Table2[[#This Row],[Main Member Link ID]]),
COUNTIFS(B:B,Table2[[#This Row],[Main Member Link ID]],A:A,Table2[[#This Row],[Member Type]])))</f>
        <v>0</v>
      </c>
    </row>
    <row r="82" spans="1:37" x14ac:dyDescent="0.3">
      <c r="A82" s="284">
        <f>Table13[[#This Row],[Member Type]]</f>
        <v>0</v>
      </c>
      <c r="B82" s="284">
        <f>Table13[[#This Row],[Main Member Link ID]]</f>
        <v>0</v>
      </c>
      <c r="C82" s="284">
        <f>Table13[[#This Row],[ID Number]]</f>
        <v>0</v>
      </c>
      <c r="D82" s="285">
        <f>Table13[[#This Row],[Date Of Birth]]</f>
        <v>0</v>
      </c>
      <c r="E82" s="285">
        <f>Table13[[#This Row],[Commencement Date]]</f>
        <v>0</v>
      </c>
      <c r="F82" s="284">
        <f t="shared" si="7"/>
        <v>1</v>
      </c>
      <c r="G82" s="284">
        <f t="shared" si="8"/>
        <v>25</v>
      </c>
      <c r="H82" s="286">
        <f>Table13[[#This Row],[Product Option]]</f>
        <v>0</v>
      </c>
      <c r="I82" s="284">
        <f>IF(AND($A82="Main Member",Table2[[#This Row],[Product Option]]="My Value Plus Life"),"MM_LIFE",
IF(AND($A82="Spouse",Table2[[#This Row],[Product Option]]="My Value Plus Life"),"SP_LIFE",
IF(AND($A82="Main Member",Table2[[#This Row],[Product Option]]="My Value Plus Life &amp; Funeral"),"MM_LIFE",
IF(AND($A82="Spouse",Table2[[#This Row],[Product Option]]="My Value Plus Life &amp; Funeral"),_xlfn.XLOOKUP(Table2[[#This Row],[Benefit Name]],Lookups!$D$18:$D$23,Lookups!$E$18:$E$23,0),
0))))</f>
        <v>0</v>
      </c>
      <c r="J82" s="284">
        <f>IF($I82="","",
IF($I82="MM_LIFE",INDEX('Quotation Tool'!$S$54:$V$60,MATCH($T82,'Quotation Tool'!$S$54:$S$60,0),4),
IF($I82="SP_LIFE",_xlfn.XLOOKUP(B81,$B:$B,$J:$J,0),0)))</f>
        <v>0</v>
      </c>
      <c r="K82" s="287">
        <f t="shared" ca="1" si="12"/>
        <v>0</v>
      </c>
      <c r="L82" s="288">
        <f t="shared" ca="1" si="13"/>
        <v>0</v>
      </c>
      <c r="M82" s="289">
        <f t="shared" ca="1" si="9"/>
        <v>0</v>
      </c>
      <c r="N82" s="286">
        <f>Table13[[#This Row],[Benefit Option]]</f>
        <v>0</v>
      </c>
      <c r="O82" s="284">
        <f>IF(OR(Table2[[#This Row],[Member Type]]="Spouse",Table2[[#This Row],[Member Type]]="Child"),0,
IF(_xlfn.XLOOKUP($N82,Lookups!$D$13:$D$27,Lookups!$F$13:$F$27,0)=Table2[[#This Row],[Table Lookup for Life Cover]],0,
_xlfn.XLOOKUP($N82,Lookups!$D$13:$D$27,Lookups!$F$13:$F$27,0)))</f>
        <v>0</v>
      </c>
      <c r="P82" s="284">
        <f>IF(Table2[[#This Row],[Table Lookup for Funeral]]=0,0,IFERROR(INDEX('Quotation Tool'!$S$54:$V$60,MATCH($T82,'Quotation Tool'!$S$54:$S$60,0),3),0))</f>
        <v>0</v>
      </c>
      <c r="Q82" s="288">
        <f ca="1">IF(OR(Table2[[#This Row],[Benefit Name]]="My Value Plus Life - Main Member",Table2[[#This Row],[Benefit Name]]="My Value Plus Life - Spouse"),0,
IFERROR(VLOOKUP($G82,INDIRECT($O82),$P82,FALSE),0))</f>
        <v>0</v>
      </c>
      <c r="R82" s="288">
        <f ca="1">IF(OR(Table2[[#This Row],[Benefit Name]]="My Value Plus Life - Main Member",Table2[[#This Row],[Benefit Name]]="My Value Plus Life - Spouse"),0,
IFERROR(VLOOKUP($G82,INDIRECT($O82),$P82+1,FALSE),0))</f>
        <v>0</v>
      </c>
      <c r="S82" s="289">
        <f t="shared" ca="1" si="10"/>
        <v>0</v>
      </c>
      <c r="T82" s="284" t="str">
        <f>IF(Table13[[#This Row],[Premium Waiver]]="","None",Table13[[#This Row],[Premium Waiver]])</f>
        <v>None</v>
      </c>
      <c r="U82" s="284">
        <f>Table13[[#This Row],[VAPs Options]]</f>
        <v>0</v>
      </c>
      <c r="V82" s="284">
        <f>Table13[[#This Row],[Annual Increase Option]]</f>
        <v>0</v>
      </c>
      <c r="W82" s="290">
        <f>Table13[[#This Row],[Life Cover Amount]]</f>
        <v>0</v>
      </c>
      <c r="X82" s="290">
        <f>Table13[[#This Row],[Funeral Cover Amount]]</f>
        <v>0</v>
      </c>
      <c r="Y8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8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82" s="301">
        <f t="shared" ca="1" si="11"/>
        <v>0</v>
      </c>
      <c r="AB82" s="298"/>
      <c r="AC82" s="326" t="str">
        <f>IF(Table2[[#This Row],[Member Type]]="Main Member",Lookups!$C$13,
IF(Table2[[#This Row],[Member Type]]="Spouse",_xlfn.XLOOKUP(B82,Table2[Main Member Link ID],Table2[Product Option],0),
IF(AND(Table2[[#This Row],[Member Type]]="Child",_xlfn.XLOOKUP(B82,Table2[Main Member Link ID],Table2[Product Option],0)&lt;&gt;"My Value Plus Life"),Lookups!$C$24,
IF(AND(OR(Table2[[#This Row],[Member Type]]="Parent",Table2[[#This Row],[Member Type]]="Extended"),_xlfn.XLOOKUP(B82,Table2[Main Member Link ID],Table2[Product Option],0)&lt;&gt;"My Value Plus Life"),Lookups!$C$26,""))))</f>
        <v/>
      </c>
      <c r="AD82" s="326" t="str">
        <f>IF(Table2[[#This Row],[Member Type]]="Main Member",Lookups!$C$14,"")</f>
        <v/>
      </c>
      <c r="AE8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Funeral",_xlfn.XLOOKUP(B82,Table2[Main Member Link ID],Table2[Benefit Name],0)=Lookups!$D$14),"",
IF(AND(Table2[[#This Row],[Member Type]]="Spouse",Table2[[#This Row],[Product Option]]="My Value Plus Life &amp; Funeral",_xlfn.XLOOKUP(B81,Table2[Main Member Link ID],Table2[Benefit Name],0)=Lookups!$D$15),Lookups!$D$20,
IF(AND(Table2[[#This Row],[Member Type]]="Spouse",Table2[[#This Row],[Product Option]]="My Value Plus Life &amp; Funeral",_xlfn.XLOOKUP(B81,Table2[Main Member Link ID],Table2[Benefit Name],0)=Lookups!$D$16),"",
IF(AND(Table2[[#This Row],[Member Type]]="Spouse",Table2[[#This Row],[Product Option]]="My Value Plus Life &amp; Funeral",_xlfn.XLOOKUP(B81,Table2[Main Member Link ID],Table2[Benefit Name],0)=Lookups!$D$17),Lookups!$D$21,
IF(AND(Table2[[#This Row],[Member Type]]="Child",Table2[[#This Row],[Product Option]]="My Value Plus Life &amp; Funeral",_xlfn.XLOOKUP(B82,Table2[Main Member Link ID],Table2[Benefit Name],0)=Lookups!$D$14),"",
IF(AND(Table2[[#This Row],[Member Type]]="Child",Table2[[#This Row],[Product Option]]="My Value Plus Life &amp; Funeral",_xlfn.XLOOKUP(B82,Table2[Main Member Link ID],Table2[Benefit Name],0)=Lookups!$D$15),"",
IF(AND(Table2[[#This Row],[Member Type]]="Child",Table2[[#This Row],[Product Option]]="My Value Plus Life &amp; Funeral",_xlfn.XLOOKUP(B82,Table2[Main Member Link ID],Table2[Benefit Name],0)=Lookups!$D$16),Lookups!$D$24,
IF(AND(Table2[[#This Row],[Member Type]]="Child",Table2[[#This Row],[Product Option]]="My Value Plus Life &amp; Funeral",_xlfn.XLOOKUP(B82,Table2[Main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Funeral",_xlfn.XLOOKUP(B82,Table2[Main Member Link ID],Table2[Benefit Name],0)&lt;&gt;Lookups!$D$14),
IF(_xlfn.XLOOKUP(B82,Table2[Main Member Link ID],Table2[Benefit Name],0)=0,"",_xlfn.XLOOKUP(B82,Table2[Main Member Link ID],Table2[Benefit Name],0)),"")))))))))))))))</f>
        <v/>
      </c>
      <c r="AF82" s="327" t="str">
        <f>IF(AND(Table2[[#This Row],[Member Type]]="Main Member",Table2[[#This Row],[Product Option]]="My Value Plus Life &amp; Funeral"),Lookups!$D$15,
IF(AND(Table2[[#This Row],[Member Type]]="Spouse",Table2[[#This Row],[Product Option]]="My Value Plus Life &amp; Funeral",_xlfn.XLOOKUP(B82,Table2[Main Member Link ID],Table2[Benefit Name],0)=Lookups!$D$14),"",
IF(AND(Table2[[#This Row],[Member Type]]="Spouse",Table2[[#This Row],[Product Option]]="My Value Plus Life &amp; Funeral",_xlfn.XLOOKUP(B81,Table2[Main Member Link ID],Table2[Benefit Name],0)=Lookups!$D$16),"",
IF(AND(Table2[[#This Row],[Member Type]]="Spouse",Table2[[#This Row],[Product Option]]="My Value Plus Life &amp; Funeral",_xlfn.XLOOKUP(B81,Table2[Main Member Link ID],Table2[Benefit Name],0)=Lookups!$D$15),"",
IF(AND(Table2[[#This Row],[Member Type]]="Spouse",Table2[[#This Row],[Product Option]]="My Value Plus Life &amp; Funeral",_xlfn.XLOOKUP(B81,Table2[Main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Funeral",_xlfn.XLOOKUP(B82,Table2[Main Member Link ID],Table2[Benefit Name],0)&lt;&gt;Lookups!$D$15),
IF(_xlfn.XLOOKUP(B82,Table2[Main Member Link ID],Table2[Benefit Name],0)=0,"",_xlfn.XLOOKUP(B82,Table2[Main Member Link ID],Table2[Benefit Name],0)),"")
))))))</f>
        <v/>
      </c>
      <c r="AG82" s="327" t="str">
        <f>IF(AND(Table2[[#This Row],[Member Type]]="Main Member",Table2[[#This Row],[Product Option]]="My Value Plus Life &amp; Funeral"),Lookups!$D$16,
IF(AND(Table2[[#This Row],[Member Type]]="Spouse",Table2[[#This Row],[Product Option]]="My Value Plus Life &amp; Funeral",_xlfn.XLOOKUP(B82,Table2[Main Member Link ID],Table2[Benefit Name],0)=Lookups!$D$14),"",
IF(AND(Table2[[#This Row],[Member Type]]="Spouse",Table2[[#This Row],[Product Option]]="My Value Plus Life &amp; Funeral",_xlfn.XLOOKUP(B81,Table2[Main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Funeral",_xlfn.XLOOKUP(B82,Table2[Main Member Link ID],Table2[Benefit Name],0)&lt;&gt;Lookups!$D$16),
IF(_xlfn.XLOOKUP(B82,Table2[Main Member Link ID],Table2[Benefit Name],0)=0,"",_xlfn.XLOOKUP(B82,Table2[Main Member Link ID],Table2[Benefit Name],0)),"")
))))</f>
        <v/>
      </c>
      <c r="AH82" s="327" t="str">
        <f>IF(AND(Table2[[#This Row],[Member Type]]="Main Member",Table2[[#This Row],[Product Option]]="My Value Plus Life &amp; Funeral"),Lookups!$D$17,
IF(AND(Table2[[#This Row],[Member Type]]="Spouse",Table2[[#This Row],[Product Option]]="My Value Plus Life &amp; Funeral",_xlfn.XLOOKUP(B82,Table2[Main Member Link ID],Table2[Benefit Name],0)=Lookups!$D$14),"",
IF(AND(Table2[[#This Row],[Member Type]]="Spouse",Table2[[#This Row],[Product Option]]="My Value Plus Life &amp; Funeral",_xlfn.XLOOKUP(B81,Table2[Main Member Link ID],Table2[Benefit Name],0)=Lookups!$D$16),"",
IF(AND(Table2[[#This Row],[Member Type]]="Child",Table2[[#This Row],[Product Option]]="My Value Plus Life &amp; Funeral"),"",
IF(AND(Table2[[#This Row],[Member Type]]="Child",Table2[[#This Row],[Product Option]]="My Value Plus Life &amp; Funeral",_xlfn.XLOOKUP(B82,Table2[Main Member Link ID],Table2[Benefit Name],0)=Lookups!$D$15),"",
IF(AND(OR(Table2[[#This Row],[Member Type]]="Spouse",Table2[[#This Row],[Member Type]]="Child"),Table2[[#This Row],[Product Option]]="My Value Plus Life &amp; Funeral",_xlfn.XLOOKUP(B82,Table2[Main Member Link ID],Table2[Benefit Name],0)&lt;&gt;Lookups!$D$17),
IF(_xlfn.XLOOKUP(B82,Table2[Main Member Link ID],Table2[Benefit Name],0)=0,"",_xlfn.XLOOKUP(B82,Table2[Main Member Link ID],Table2[Benefit Name],0)),""))))))</f>
        <v/>
      </c>
      <c r="AI82" s="328" t="str">
        <f>IF(AND(Table2[[#This Row],[Member Type]]="Main Member",Table2[[#This Row],[Table Lookup for Life Cover]]="MM_LIFE",Table2[[#This Row],[Age Next Birthday]]&lt;56),1,
IF(AND(Table2[[#This Row],[Member Type]]="Main Member",Table2[[#This Row],[Table Lookup for Life Cover]]="MM_LIFE",Table2[[#This Row],[Age Next Birthday]]&gt;=56),2,
""))</f>
        <v/>
      </c>
      <c r="AJ82" s="328">
        <f>IF(OR(Table2[[#This Row],[Member Type]]="Main Member",Table2[[#This Row],[Main Member Link ID]]=B81),1,0)</f>
        <v>1</v>
      </c>
      <c r="AK82" s="328">
        <f>IF(Table2[[#This Row],[Member Type]]=0,0,
IF(OR(Table2[[#This Row],[Member Type]]="Main Member",Table2[[#This Row],[Main Member Link ID]]&lt;&gt;B82),COUNTIFS(B:B,Table2[[#This Row],[Main Member Link ID]]),
COUNTIFS(B:B,Table2[[#This Row],[Main Member Link ID]],A:A,Table2[[#This Row],[Member Type]])))</f>
        <v>0</v>
      </c>
    </row>
    <row r="83" spans="1:37" x14ac:dyDescent="0.3">
      <c r="A83" s="284">
        <f>Table13[[#This Row],[Member Type]]</f>
        <v>0</v>
      </c>
      <c r="B83" s="284">
        <f>Table13[[#This Row],[Main Member Link ID]]</f>
        <v>0</v>
      </c>
      <c r="C83" s="284">
        <f>Table13[[#This Row],[ID Number]]</f>
        <v>0</v>
      </c>
      <c r="D83" s="285">
        <f>Table13[[#This Row],[Date Of Birth]]</f>
        <v>0</v>
      </c>
      <c r="E83" s="285">
        <f>Table13[[#This Row],[Commencement Date]]</f>
        <v>0</v>
      </c>
      <c r="F83" s="284">
        <f t="shared" si="7"/>
        <v>1</v>
      </c>
      <c r="G83" s="284">
        <f t="shared" si="8"/>
        <v>25</v>
      </c>
      <c r="H83" s="286">
        <f>Table13[[#This Row],[Product Option]]</f>
        <v>0</v>
      </c>
      <c r="I83" s="284">
        <f>IF(AND($A83="Main Member",Table2[[#This Row],[Product Option]]="My Value Plus Life"),"MM_LIFE",
IF(AND($A83="Spouse",Table2[[#This Row],[Product Option]]="My Value Plus Life"),"SP_LIFE",
IF(AND($A83="Main Member",Table2[[#This Row],[Product Option]]="My Value Plus Life &amp; Funeral"),"MM_LIFE",
IF(AND($A83="Spouse",Table2[[#This Row],[Product Option]]="My Value Plus Life &amp; Funeral"),_xlfn.XLOOKUP(Table2[[#This Row],[Benefit Name]],Lookups!$D$18:$D$23,Lookups!$E$18:$E$23,0),
0))))</f>
        <v>0</v>
      </c>
      <c r="J83" s="284">
        <f>IF($I83="","",
IF($I83="MM_LIFE",INDEX('Quotation Tool'!$S$54:$V$60,MATCH($T83,'Quotation Tool'!$S$54:$S$60,0),4),
IF($I83="SP_LIFE",_xlfn.XLOOKUP(B82,$B:$B,$J:$J,0),0)))</f>
        <v>0</v>
      </c>
      <c r="K83" s="287">
        <f t="shared" ca="1" si="12"/>
        <v>0</v>
      </c>
      <c r="L83" s="288">
        <f t="shared" ca="1" si="13"/>
        <v>0</v>
      </c>
      <c r="M83" s="289">
        <f t="shared" ca="1" si="9"/>
        <v>0</v>
      </c>
      <c r="N83" s="286">
        <f>Table13[[#This Row],[Benefit Option]]</f>
        <v>0</v>
      </c>
      <c r="O83" s="284">
        <f>IF(OR(Table2[[#This Row],[Member Type]]="Spouse",Table2[[#This Row],[Member Type]]="Child"),0,
IF(_xlfn.XLOOKUP($N83,Lookups!$D$13:$D$27,Lookups!$F$13:$F$27,0)=Table2[[#This Row],[Table Lookup for Life Cover]],0,
_xlfn.XLOOKUP($N83,Lookups!$D$13:$D$27,Lookups!$F$13:$F$27,0)))</f>
        <v>0</v>
      </c>
      <c r="P83" s="284">
        <f>IF(Table2[[#This Row],[Table Lookup for Funeral]]=0,0,IFERROR(INDEX('Quotation Tool'!$S$54:$V$60,MATCH($T83,'Quotation Tool'!$S$54:$S$60,0),3),0))</f>
        <v>0</v>
      </c>
      <c r="Q83" s="288">
        <f ca="1">IF(OR(Table2[[#This Row],[Benefit Name]]="My Value Plus Life - Main Member",Table2[[#This Row],[Benefit Name]]="My Value Plus Life - Spouse"),0,
IFERROR(VLOOKUP($G83,INDIRECT($O83),$P83,FALSE),0))</f>
        <v>0</v>
      </c>
      <c r="R83" s="288">
        <f ca="1">IF(OR(Table2[[#This Row],[Benefit Name]]="My Value Plus Life - Main Member",Table2[[#This Row],[Benefit Name]]="My Value Plus Life - Spouse"),0,
IFERROR(VLOOKUP($G83,INDIRECT($O83),$P83+1,FALSE),0))</f>
        <v>0</v>
      </c>
      <c r="S83" s="289">
        <f t="shared" ca="1" si="10"/>
        <v>0</v>
      </c>
      <c r="T83" s="284" t="str">
        <f>IF(Table13[[#This Row],[Premium Waiver]]="","None",Table13[[#This Row],[Premium Waiver]])</f>
        <v>None</v>
      </c>
      <c r="U83" s="284">
        <f>Table13[[#This Row],[VAPs Options]]</f>
        <v>0</v>
      </c>
      <c r="V83" s="284">
        <f>Table13[[#This Row],[Annual Increase Option]]</f>
        <v>0</v>
      </c>
      <c r="W83" s="290">
        <f>Table13[[#This Row],[Life Cover Amount]]</f>
        <v>0</v>
      </c>
      <c r="X83" s="290">
        <f>Table13[[#This Row],[Funeral Cover Amount]]</f>
        <v>0</v>
      </c>
      <c r="Y8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8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83" s="301">
        <f t="shared" ca="1" si="11"/>
        <v>0</v>
      </c>
      <c r="AB83" s="298"/>
      <c r="AC83" s="326" t="str">
        <f>IF(Table2[[#This Row],[Member Type]]="Main Member",Lookups!$C$13,
IF(Table2[[#This Row],[Member Type]]="Spouse",_xlfn.XLOOKUP(B83,Table2[Main Member Link ID],Table2[Product Option],0),
IF(AND(Table2[[#This Row],[Member Type]]="Child",_xlfn.XLOOKUP(B83,Table2[Main Member Link ID],Table2[Product Option],0)&lt;&gt;"My Value Plus Life"),Lookups!$C$24,
IF(AND(OR(Table2[[#This Row],[Member Type]]="Parent",Table2[[#This Row],[Member Type]]="Extended"),_xlfn.XLOOKUP(B83,Table2[Main Member Link ID],Table2[Product Option],0)&lt;&gt;"My Value Plus Life"),Lookups!$C$26,""))))</f>
        <v/>
      </c>
      <c r="AD83" s="326" t="str">
        <f>IF(Table2[[#This Row],[Member Type]]="Main Member",Lookups!$C$14,"")</f>
        <v/>
      </c>
      <c r="AE8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Funeral",_xlfn.XLOOKUP(B83,Table2[Main Member Link ID],Table2[Benefit Name],0)=Lookups!$D$14),"",
IF(AND(Table2[[#This Row],[Member Type]]="Spouse",Table2[[#This Row],[Product Option]]="My Value Plus Life &amp; Funeral",_xlfn.XLOOKUP(B82,Table2[Main Member Link ID],Table2[Benefit Name],0)=Lookups!$D$15),Lookups!$D$20,
IF(AND(Table2[[#This Row],[Member Type]]="Spouse",Table2[[#This Row],[Product Option]]="My Value Plus Life &amp; Funeral",_xlfn.XLOOKUP(B82,Table2[Main Member Link ID],Table2[Benefit Name],0)=Lookups!$D$16),"",
IF(AND(Table2[[#This Row],[Member Type]]="Spouse",Table2[[#This Row],[Product Option]]="My Value Plus Life &amp; Funeral",_xlfn.XLOOKUP(B82,Table2[Main Member Link ID],Table2[Benefit Name],0)=Lookups!$D$17),Lookups!$D$21,
IF(AND(Table2[[#This Row],[Member Type]]="Child",Table2[[#This Row],[Product Option]]="My Value Plus Life &amp; Funeral",_xlfn.XLOOKUP(B83,Table2[Main Member Link ID],Table2[Benefit Name],0)=Lookups!$D$14),"",
IF(AND(Table2[[#This Row],[Member Type]]="Child",Table2[[#This Row],[Product Option]]="My Value Plus Life &amp; Funeral",_xlfn.XLOOKUP(B83,Table2[Main Member Link ID],Table2[Benefit Name],0)=Lookups!$D$15),"",
IF(AND(Table2[[#This Row],[Member Type]]="Child",Table2[[#This Row],[Product Option]]="My Value Plus Life &amp; Funeral",_xlfn.XLOOKUP(B83,Table2[Main Member Link ID],Table2[Benefit Name],0)=Lookups!$D$16),Lookups!$D$24,
IF(AND(Table2[[#This Row],[Member Type]]="Child",Table2[[#This Row],[Product Option]]="My Value Plus Life &amp; Funeral",_xlfn.XLOOKUP(B83,Table2[Main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Funeral",_xlfn.XLOOKUP(B83,Table2[Main Member Link ID],Table2[Benefit Name],0)&lt;&gt;Lookups!$D$14),
IF(_xlfn.XLOOKUP(B83,Table2[Main Member Link ID],Table2[Benefit Name],0)=0,"",_xlfn.XLOOKUP(B83,Table2[Main Member Link ID],Table2[Benefit Name],0)),"")))))))))))))))</f>
        <v/>
      </c>
      <c r="AF83" s="327" t="str">
        <f>IF(AND(Table2[[#This Row],[Member Type]]="Main Member",Table2[[#This Row],[Product Option]]="My Value Plus Life &amp; Funeral"),Lookups!$D$15,
IF(AND(Table2[[#This Row],[Member Type]]="Spouse",Table2[[#This Row],[Product Option]]="My Value Plus Life &amp; Funeral",_xlfn.XLOOKUP(B83,Table2[Main Member Link ID],Table2[Benefit Name],0)=Lookups!$D$14),"",
IF(AND(Table2[[#This Row],[Member Type]]="Spouse",Table2[[#This Row],[Product Option]]="My Value Plus Life &amp; Funeral",_xlfn.XLOOKUP(B82,Table2[Main Member Link ID],Table2[Benefit Name],0)=Lookups!$D$16),"",
IF(AND(Table2[[#This Row],[Member Type]]="Spouse",Table2[[#This Row],[Product Option]]="My Value Plus Life &amp; Funeral",_xlfn.XLOOKUP(B82,Table2[Main Member Link ID],Table2[Benefit Name],0)=Lookups!$D$15),"",
IF(AND(Table2[[#This Row],[Member Type]]="Spouse",Table2[[#This Row],[Product Option]]="My Value Plus Life &amp; Funeral",_xlfn.XLOOKUP(B82,Table2[Main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Funeral",_xlfn.XLOOKUP(B83,Table2[Main Member Link ID],Table2[Benefit Name],0)&lt;&gt;Lookups!$D$15),
IF(_xlfn.XLOOKUP(B83,Table2[Main Member Link ID],Table2[Benefit Name],0)=0,"",_xlfn.XLOOKUP(B83,Table2[Main Member Link ID],Table2[Benefit Name],0)),"")
))))))</f>
        <v/>
      </c>
      <c r="AG83" s="327" t="str">
        <f>IF(AND(Table2[[#This Row],[Member Type]]="Main Member",Table2[[#This Row],[Product Option]]="My Value Plus Life &amp; Funeral"),Lookups!$D$16,
IF(AND(Table2[[#This Row],[Member Type]]="Spouse",Table2[[#This Row],[Product Option]]="My Value Plus Life &amp; Funeral",_xlfn.XLOOKUP(B83,Table2[Main Member Link ID],Table2[Benefit Name],0)=Lookups!$D$14),"",
IF(AND(Table2[[#This Row],[Member Type]]="Spouse",Table2[[#This Row],[Product Option]]="My Value Plus Life &amp; Funeral",_xlfn.XLOOKUP(B82,Table2[Main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Funeral",_xlfn.XLOOKUP(B83,Table2[Main Member Link ID],Table2[Benefit Name],0)&lt;&gt;Lookups!$D$16),
IF(_xlfn.XLOOKUP(B83,Table2[Main Member Link ID],Table2[Benefit Name],0)=0,"",_xlfn.XLOOKUP(B83,Table2[Main Member Link ID],Table2[Benefit Name],0)),"")
))))</f>
        <v/>
      </c>
      <c r="AH83" s="327" t="str">
        <f>IF(AND(Table2[[#This Row],[Member Type]]="Main Member",Table2[[#This Row],[Product Option]]="My Value Plus Life &amp; Funeral"),Lookups!$D$17,
IF(AND(Table2[[#This Row],[Member Type]]="Spouse",Table2[[#This Row],[Product Option]]="My Value Plus Life &amp; Funeral",_xlfn.XLOOKUP(B83,Table2[Main Member Link ID],Table2[Benefit Name],0)=Lookups!$D$14),"",
IF(AND(Table2[[#This Row],[Member Type]]="Spouse",Table2[[#This Row],[Product Option]]="My Value Plus Life &amp; Funeral",_xlfn.XLOOKUP(B82,Table2[Main Member Link ID],Table2[Benefit Name],0)=Lookups!$D$16),"",
IF(AND(Table2[[#This Row],[Member Type]]="Child",Table2[[#This Row],[Product Option]]="My Value Plus Life &amp; Funeral"),"",
IF(AND(Table2[[#This Row],[Member Type]]="Child",Table2[[#This Row],[Product Option]]="My Value Plus Life &amp; Funeral",_xlfn.XLOOKUP(B83,Table2[Main Member Link ID],Table2[Benefit Name],0)=Lookups!$D$15),"",
IF(AND(OR(Table2[[#This Row],[Member Type]]="Spouse",Table2[[#This Row],[Member Type]]="Child"),Table2[[#This Row],[Product Option]]="My Value Plus Life &amp; Funeral",_xlfn.XLOOKUP(B83,Table2[Main Member Link ID],Table2[Benefit Name],0)&lt;&gt;Lookups!$D$17),
IF(_xlfn.XLOOKUP(B83,Table2[Main Member Link ID],Table2[Benefit Name],0)=0,"",_xlfn.XLOOKUP(B83,Table2[Main Member Link ID],Table2[Benefit Name],0)),""))))))</f>
        <v/>
      </c>
      <c r="AI83" s="328" t="str">
        <f>IF(AND(Table2[[#This Row],[Member Type]]="Main Member",Table2[[#This Row],[Table Lookup for Life Cover]]="MM_LIFE",Table2[[#This Row],[Age Next Birthday]]&lt;56),1,
IF(AND(Table2[[#This Row],[Member Type]]="Main Member",Table2[[#This Row],[Table Lookup for Life Cover]]="MM_LIFE",Table2[[#This Row],[Age Next Birthday]]&gt;=56),2,
""))</f>
        <v/>
      </c>
      <c r="AJ83" s="328">
        <f>IF(OR(Table2[[#This Row],[Member Type]]="Main Member",Table2[[#This Row],[Main Member Link ID]]=B82),1,0)</f>
        <v>1</v>
      </c>
      <c r="AK83" s="328">
        <f>IF(Table2[[#This Row],[Member Type]]=0,0,
IF(OR(Table2[[#This Row],[Member Type]]="Main Member",Table2[[#This Row],[Main Member Link ID]]&lt;&gt;B83),COUNTIFS(B:B,Table2[[#This Row],[Main Member Link ID]]),
COUNTIFS(B:B,Table2[[#This Row],[Main Member Link ID]],A:A,Table2[[#This Row],[Member Type]])))</f>
        <v>0</v>
      </c>
    </row>
    <row r="84" spans="1:37" x14ac:dyDescent="0.3">
      <c r="A84" s="284">
        <f>Table13[[#This Row],[Member Type]]</f>
        <v>0</v>
      </c>
      <c r="B84" s="284">
        <f>Table13[[#This Row],[Main Member Link ID]]</f>
        <v>0</v>
      </c>
      <c r="C84" s="284">
        <f>Table13[[#This Row],[ID Number]]</f>
        <v>0</v>
      </c>
      <c r="D84" s="285">
        <f>Table13[[#This Row],[Date Of Birth]]</f>
        <v>0</v>
      </c>
      <c r="E84" s="285">
        <f>Table13[[#This Row],[Commencement Date]]</f>
        <v>0</v>
      </c>
      <c r="F84" s="284">
        <f t="shared" si="7"/>
        <v>1</v>
      </c>
      <c r="G84" s="284">
        <f t="shared" si="8"/>
        <v>25</v>
      </c>
      <c r="H84" s="286">
        <f>Table13[[#This Row],[Product Option]]</f>
        <v>0</v>
      </c>
      <c r="I84" s="284">
        <f>IF(AND($A84="Main Member",Table2[[#This Row],[Product Option]]="My Value Plus Life"),"MM_LIFE",
IF(AND($A84="Spouse",Table2[[#This Row],[Product Option]]="My Value Plus Life"),"SP_LIFE",
IF(AND($A84="Main Member",Table2[[#This Row],[Product Option]]="My Value Plus Life &amp; Funeral"),"MM_LIFE",
IF(AND($A84="Spouse",Table2[[#This Row],[Product Option]]="My Value Plus Life &amp; Funeral"),_xlfn.XLOOKUP(Table2[[#This Row],[Benefit Name]],Lookups!$D$18:$D$23,Lookups!$E$18:$E$23,0),
0))))</f>
        <v>0</v>
      </c>
      <c r="J84" s="284">
        <f>IF($I84="","",
IF($I84="MM_LIFE",INDEX('Quotation Tool'!$S$54:$V$60,MATCH($T84,'Quotation Tool'!$S$54:$S$60,0),4),
IF($I84="SP_LIFE",_xlfn.XLOOKUP(B83,$B:$B,$J:$J,0),0)))</f>
        <v>0</v>
      </c>
      <c r="K84" s="287">
        <f t="shared" ca="1" si="12"/>
        <v>0</v>
      </c>
      <c r="L84" s="288">
        <f t="shared" ca="1" si="13"/>
        <v>0</v>
      </c>
      <c r="M84" s="289">
        <f t="shared" ca="1" si="9"/>
        <v>0</v>
      </c>
      <c r="N84" s="286">
        <f>Table13[[#This Row],[Benefit Option]]</f>
        <v>0</v>
      </c>
      <c r="O84" s="284">
        <f>IF(OR(Table2[[#This Row],[Member Type]]="Spouse",Table2[[#This Row],[Member Type]]="Child"),0,
IF(_xlfn.XLOOKUP($N84,Lookups!$D$13:$D$27,Lookups!$F$13:$F$27,0)=Table2[[#This Row],[Table Lookup for Life Cover]],0,
_xlfn.XLOOKUP($N84,Lookups!$D$13:$D$27,Lookups!$F$13:$F$27,0)))</f>
        <v>0</v>
      </c>
      <c r="P84" s="284">
        <f>IF(Table2[[#This Row],[Table Lookup for Funeral]]=0,0,IFERROR(INDEX('Quotation Tool'!$S$54:$V$60,MATCH($T84,'Quotation Tool'!$S$54:$S$60,0),3),0))</f>
        <v>0</v>
      </c>
      <c r="Q84" s="288">
        <f ca="1">IF(OR(Table2[[#This Row],[Benefit Name]]="My Value Plus Life - Main Member",Table2[[#This Row],[Benefit Name]]="My Value Plus Life - Spouse"),0,
IFERROR(VLOOKUP($G84,INDIRECT($O84),$P84,FALSE),0))</f>
        <v>0</v>
      </c>
      <c r="R84" s="288">
        <f ca="1">IF(OR(Table2[[#This Row],[Benefit Name]]="My Value Plus Life - Main Member",Table2[[#This Row],[Benefit Name]]="My Value Plus Life - Spouse"),0,
IFERROR(VLOOKUP($G84,INDIRECT($O84),$P84+1,FALSE),0))</f>
        <v>0</v>
      </c>
      <c r="S84" s="289">
        <f t="shared" ca="1" si="10"/>
        <v>0</v>
      </c>
      <c r="T84" s="284" t="str">
        <f>IF(Table13[[#This Row],[Premium Waiver]]="","None",Table13[[#This Row],[Premium Waiver]])</f>
        <v>None</v>
      </c>
      <c r="U84" s="284">
        <f>Table13[[#This Row],[VAPs Options]]</f>
        <v>0</v>
      </c>
      <c r="V84" s="284">
        <f>Table13[[#This Row],[Annual Increase Option]]</f>
        <v>0</v>
      </c>
      <c r="W84" s="290">
        <f>Table13[[#This Row],[Life Cover Amount]]</f>
        <v>0</v>
      </c>
      <c r="X84" s="290">
        <f>Table13[[#This Row],[Funeral Cover Amount]]</f>
        <v>0</v>
      </c>
      <c r="Y8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8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84" s="301">
        <f t="shared" ca="1" si="11"/>
        <v>0</v>
      </c>
      <c r="AB84" s="298"/>
      <c r="AC84" s="326" t="str">
        <f>IF(Table2[[#This Row],[Member Type]]="Main Member",Lookups!$C$13,
IF(Table2[[#This Row],[Member Type]]="Spouse",_xlfn.XLOOKUP(B84,Table2[Main Member Link ID],Table2[Product Option],0),
IF(AND(Table2[[#This Row],[Member Type]]="Child",_xlfn.XLOOKUP(B84,Table2[Main Member Link ID],Table2[Product Option],0)&lt;&gt;"My Value Plus Life"),Lookups!$C$24,
IF(AND(OR(Table2[[#This Row],[Member Type]]="Parent",Table2[[#This Row],[Member Type]]="Extended"),_xlfn.XLOOKUP(B84,Table2[Main Member Link ID],Table2[Product Option],0)&lt;&gt;"My Value Plus Life"),Lookups!$C$26,""))))</f>
        <v/>
      </c>
      <c r="AD84" s="326" t="str">
        <f>IF(Table2[[#This Row],[Member Type]]="Main Member",Lookups!$C$14,"")</f>
        <v/>
      </c>
      <c r="AE8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Funeral",_xlfn.XLOOKUP(B84,Table2[Main Member Link ID],Table2[Benefit Name],0)=Lookups!$D$14),"",
IF(AND(Table2[[#This Row],[Member Type]]="Spouse",Table2[[#This Row],[Product Option]]="My Value Plus Life &amp; Funeral",_xlfn.XLOOKUP(B83,Table2[Main Member Link ID],Table2[Benefit Name],0)=Lookups!$D$15),Lookups!$D$20,
IF(AND(Table2[[#This Row],[Member Type]]="Spouse",Table2[[#This Row],[Product Option]]="My Value Plus Life &amp; Funeral",_xlfn.XLOOKUP(B83,Table2[Main Member Link ID],Table2[Benefit Name],0)=Lookups!$D$16),"",
IF(AND(Table2[[#This Row],[Member Type]]="Spouse",Table2[[#This Row],[Product Option]]="My Value Plus Life &amp; Funeral",_xlfn.XLOOKUP(B83,Table2[Main Member Link ID],Table2[Benefit Name],0)=Lookups!$D$17),Lookups!$D$21,
IF(AND(Table2[[#This Row],[Member Type]]="Child",Table2[[#This Row],[Product Option]]="My Value Plus Life &amp; Funeral",_xlfn.XLOOKUP(B84,Table2[Main Member Link ID],Table2[Benefit Name],0)=Lookups!$D$14),"",
IF(AND(Table2[[#This Row],[Member Type]]="Child",Table2[[#This Row],[Product Option]]="My Value Plus Life &amp; Funeral",_xlfn.XLOOKUP(B84,Table2[Main Member Link ID],Table2[Benefit Name],0)=Lookups!$D$15),"",
IF(AND(Table2[[#This Row],[Member Type]]="Child",Table2[[#This Row],[Product Option]]="My Value Plus Life &amp; Funeral",_xlfn.XLOOKUP(B84,Table2[Main Member Link ID],Table2[Benefit Name],0)=Lookups!$D$16),Lookups!$D$24,
IF(AND(Table2[[#This Row],[Member Type]]="Child",Table2[[#This Row],[Product Option]]="My Value Plus Life &amp; Funeral",_xlfn.XLOOKUP(B84,Table2[Main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Funeral",_xlfn.XLOOKUP(B84,Table2[Main Member Link ID],Table2[Benefit Name],0)&lt;&gt;Lookups!$D$14),
IF(_xlfn.XLOOKUP(B84,Table2[Main Member Link ID],Table2[Benefit Name],0)=0,"",_xlfn.XLOOKUP(B84,Table2[Main Member Link ID],Table2[Benefit Name],0)),"")))))))))))))))</f>
        <v/>
      </c>
      <c r="AF84" s="327" t="str">
        <f>IF(AND(Table2[[#This Row],[Member Type]]="Main Member",Table2[[#This Row],[Product Option]]="My Value Plus Life &amp; Funeral"),Lookups!$D$15,
IF(AND(Table2[[#This Row],[Member Type]]="Spouse",Table2[[#This Row],[Product Option]]="My Value Plus Life &amp; Funeral",_xlfn.XLOOKUP(B84,Table2[Main Member Link ID],Table2[Benefit Name],0)=Lookups!$D$14),"",
IF(AND(Table2[[#This Row],[Member Type]]="Spouse",Table2[[#This Row],[Product Option]]="My Value Plus Life &amp; Funeral",_xlfn.XLOOKUP(B83,Table2[Main Member Link ID],Table2[Benefit Name],0)=Lookups!$D$16),"",
IF(AND(Table2[[#This Row],[Member Type]]="Spouse",Table2[[#This Row],[Product Option]]="My Value Plus Life &amp; Funeral",_xlfn.XLOOKUP(B83,Table2[Main Member Link ID],Table2[Benefit Name],0)=Lookups!$D$15),"",
IF(AND(Table2[[#This Row],[Member Type]]="Spouse",Table2[[#This Row],[Product Option]]="My Value Plus Life &amp; Funeral",_xlfn.XLOOKUP(B83,Table2[Main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Funeral",_xlfn.XLOOKUP(B84,Table2[Main Member Link ID],Table2[Benefit Name],0)&lt;&gt;Lookups!$D$15),
IF(_xlfn.XLOOKUP(B84,Table2[Main Member Link ID],Table2[Benefit Name],0)=0,"",_xlfn.XLOOKUP(B84,Table2[Main Member Link ID],Table2[Benefit Name],0)),"")
))))))</f>
        <v/>
      </c>
      <c r="AG84" s="327" t="str">
        <f>IF(AND(Table2[[#This Row],[Member Type]]="Main Member",Table2[[#This Row],[Product Option]]="My Value Plus Life &amp; Funeral"),Lookups!$D$16,
IF(AND(Table2[[#This Row],[Member Type]]="Spouse",Table2[[#This Row],[Product Option]]="My Value Plus Life &amp; Funeral",_xlfn.XLOOKUP(B84,Table2[Main Member Link ID],Table2[Benefit Name],0)=Lookups!$D$14),"",
IF(AND(Table2[[#This Row],[Member Type]]="Spouse",Table2[[#This Row],[Product Option]]="My Value Plus Life &amp; Funeral",_xlfn.XLOOKUP(B83,Table2[Main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Funeral",_xlfn.XLOOKUP(B84,Table2[Main Member Link ID],Table2[Benefit Name],0)&lt;&gt;Lookups!$D$16),
IF(_xlfn.XLOOKUP(B84,Table2[Main Member Link ID],Table2[Benefit Name],0)=0,"",_xlfn.XLOOKUP(B84,Table2[Main Member Link ID],Table2[Benefit Name],0)),"")
))))</f>
        <v/>
      </c>
      <c r="AH84" s="327" t="str">
        <f>IF(AND(Table2[[#This Row],[Member Type]]="Main Member",Table2[[#This Row],[Product Option]]="My Value Plus Life &amp; Funeral"),Lookups!$D$17,
IF(AND(Table2[[#This Row],[Member Type]]="Spouse",Table2[[#This Row],[Product Option]]="My Value Plus Life &amp; Funeral",_xlfn.XLOOKUP(B84,Table2[Main Member Link ID],Table2[Benefit Name],0)=Lookups!$D$14),"",
IF(AND(Table2[[#This Row],[Member Type]]="Spouse",Table2[[#This Row],[Product Option]]="My Value Plus Life &amp; Funeral",_xlfn.XLOOKUP(B83,Table2[Main Member Link ID],Table2[Benefit Name],0)=Lookups!$D$16),"",
IF(AND(Table2[[#This Row],[Member Type]]="Child",Table2[[#This Row],[Product Option]]="My Value Plus Life &amp; Funeral"),"",
IF(AND(Table2[[#This Row],[Member Type]]="Child",Table2[[#This Row],[Product Option]]="My Value Plus Life &amp; Funeral",_xlfn.XLOOKUP(B84,Table2[Main Member Link ID],Table2[Benefit Name],0)=Lookups!$D$15),"",
IF(AND(OR(Table2[[#This Row],[Member Type]]="Spouse",Table2[[#This Row],[Member Type]]="Child"),Table2[[#This Row],[Product Option]]="My Value Plus Life &amp; Funeral",_xlfn.XLOOKUP(B84,Table2[Main Member Link ID],Table2[Benefit Name],0)&lt;&gt;Lookups!$D$17),
IF(_xlfn.XLOOKUP(B84,Table2[Main Member Link ID],Table2[Benefit Name],0)=0,"",_xlfn.XLOOKUP(B84,Table2[Main Member Link ID],Table2[Benefit Name],0)),""))))))</f>
        <v/>
      </c>
      <c r="AI84" s="328" t="str">
        <f>IF(AND(Table2[[#This Row],[Member Type]]="Main Member",Table2[[#This Row],[Table Lookup for Life Cover]]="MM_LIFE",Table2[[#This Row],[Age Next Birthday]]&lt;56),1,
IF(AND(Table2[[#This Row],[Member Type]]="Main Member",Table2[[#This Row],[Table Lookup for Life Cover]]="MM_LIFE",Table2[[#This Row],[Age Next Birthday]]&gt;=56),2,
""))</f>
        <v/>
      </c>
      <c r="AJ84" s="328">
        <f>IF(OR(Table2[[#This Row],[Member Type]]="Main Member",Table2[[#This Row],[Main Member Link ID]]=B83),1,0)</f>
        <v>1</v>
      </c>
      <c r="AK84" s="328">
        <f>IF(Table2[[#This Row],[Member Type]]=0,0,
IF(OR(Table2[[#This Row],[Member Type]]="Main Member",Table2[[#This Row],[Main Member Link ID]]&lt;&gt;B84),COUNTIFS(B:B,Table2[[#This Row],[Main Member Link ID]]),
COUNTIFS(B:B,Table2[[#This Row],[Main Member Link ID]],A:A,Table2[[#This Row],[Member Type]])))</f>
        <v>0</v>
      </c>
    </row>
    <row r="85" spans="1:37" x14ac:dyDescent="0.3">
      <c r="A85" s="284">
        <f>Table13[[#This Row],[Member Type]]</f>
        <v>0</v>
      </c>
      <c r="B85" s="284">
        <f>Table13[[#This Row],[Main Member Link ID]]</f>
        <v>0</v>
      </c>
      <c r="C85" s="284">
        <f>Table13[[#This Row],[ID Number]]</f>
        <v>0</v>
      </c>
      <c r="D85" s="285">
        <f>Table13[[#This Row],[Date Of Birth]]</f>
        <v>0</v>
      </c>
      <c r="E85" s="285">
        <f>Table13[[#This Row],[Commencement Date]]</f>
        <v>0</v>
      </c>
      <c r="F85" s="284">
        <f t="shared" si="7"/>
        <v>1</v>
      </c>
      <c r="G85" s="284">
        <f t="shared" si="8"/>
        <v>25</v>
      </c>
      <c r="H85" s="286">
        <f>Table13[[#This Row],[Product Option]]</f>
        <v>0</v>
      </c>
      <c r="I85" s="284">
        <f>IF(AND($A85="Main Member",Table2[[#This Row],[Product Option]]="My Value Plus Life"),"MM_LIFE",
IF(AND($A85="Spouse",Table2[[#This Row],[Product Option]]="My Value Plus Life"),"SP_LIFE",
IF(AND($A85="Main Member",Table2[[#This Row],[Product Option]]="My Value Plus Life &amp; Funeral"),"MM_LIFE",
IF(AND($A85="Spouse",Table2[[#This Row],[Product Option]]="My Value Plus Life &amp; Funeral"),_xlfn.XLOOKUP(Table2[[#This Row],[Benefit Name]],Lookups!$D$18:$D$23,Lookups!$E$18:$E$23,0),
0))))</f>
        <v>0</v>
      </c>
      <c r="J85" s="284">
        <f>IF($I85="","",
IF($I85="MM_LIFE",INDEX('Quotation Tool'!$S$54:$V$60,MATCH($T85,'Quotation Tool'!$S$54:$S$60,0),4),
IF($I85="SP_LIFE",_xlfn.XLOOKUP(B84,$B:$B,$J:$J,0),0)))</f>
        <v>0</v>
      </c>
      <c r="K85" s="287">
        <f t="shared" ca="1" si="12"/>
        <v>0</v>
      </c>
      <c r="L85" s="288">
        <f t="shared" ca="1" si="13"/>
        <v>0</v>
      </c>
      <c r="M85" s="289">
        <f t="shared" ca="1" si="9"/>
        <v>0</v>
      </c>
      <c r="N85" s="286">
        <f>Table13[[#This Row],[Benefit Option]]</f>
        <v>0</v>
      </c>
      <c r="O85" s="284">
        <f>IF(OR(Table2[[#This Row],[Member Type]]="Spouse",Table2[[#This Row],[Member Type]]="Child"),0,
IF(_xlfn.XLOOKUP($N85,Lookups!$D$13:$D$27,Lookups!$F$13:$F$27,0)=Table2[[#This Row],[Table Lookup for Life Cover]],0,
_xlfn.XLOOKUP($N85,Lookups!$D$13:$D$27,Lookups!$F$13:$F$27,0)))</f>
        <v>0</v>
      </c>
      <c r="P85" s="284">
        <f>IF(Table2[[#This Row],[Table Lookup for Funeral]]=0,0,IFERROR(INDEX('Quotation Tool'!$S$54:$V$60,MATCH($T85,'Quotation Tool'!$S$54:$S$60,0),3),0))</f>
        <v>0</v>
      </c>
      <c r="Q85" s="288">
        <f ca="1">IF(OR(Table2[[#This Row],[Benefit Name]]="My Value Plus Life - Main Member",Table2[[#This Row],[Benefit Name]]="My Value Plus Life - Spouse"),0,
IFERROR(VLOOKUP($G85,INDIRECT($O85),$P85,FALSE),0))</f>
        <v>0</v>
      </c>
      <c r="R85" s="288">
        <f ca="1">IF(OR(Table2[[#This Row],[Benefit Name]]="My Value Plus Life - Main Member",Table2[[#This Row],[Benefit Name]]="My Value Plus Life - Spouse"),0,
IFERROR(VLOOKUP($G85,INDIRECT($O85),$P85+1,FALSE),0))</f>
        <v>0</v>
      </c>
      <c r="S85" s="289">
        <f t="shared" ca="1" si="10"/>
        <v>0</v>
      </c>
      <c r="T85" s="284" t="str">
        <f>IF(Table13[[#This Row],[Premium Waiver]]="","None",Table13[[#This Row],[Premium Waiver]])</f>
        <v>None</v>
      </c>
      <c r="U85" s="284">
        <f>Table13[[#This Row],[VAPs Options]]</f>
        <v>0</v>
      </c>
      <c r="V85" s="284">
        <f>Table13[[#This Row],[Annual Increase Option]]</f>
        <v>0</v>
      </c>
      <c r="W85" s="290">
        <f>Table13[[#This Row],[Life Cover Amount]]</f>
        <v>0</v>
      </c>
      <c r="X85" s="290">
        <f>Table13[[#This Row],[Funeral Cover Amount]]</f>
        <v>0</v>
      </c>
      <c r="Y8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8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85" s="301">
        <f t="shared" ca="1" si="11"/>
        <v>0</v>
      </c>
      <c r="AB85" s="298"/>
      <c r="AC85" s="326" t="str">
        <f>IF(Table2[[#This Row],[Member Type]]="Main Member",Lookups!$C$13,
IF(Table2[[#This Row],[Member Type]]="Spouse",_xlfn.XLOOKUP(B85,Table2[Main Member Link ID],Table2[Product Option],0),
IF(AND(Table2[[#This Row],[Member Type]]="Child",_xlfn.XLOOKUP(B85,Table2[Main Member Link ID],Table2[Product Option],0)&lt;&gt;"My Value Plus Life"),Lookups!$C$24,
IF(AND(OR(Table2[[#This Row],[Member Type]]="Parent",Table2[[#This Row],[Member Type]]="Extended"),_xlfn.XLOOKUP(B85,Table2[Main Member Link ID],Table2[Product Option],0)&lt;&gt;"My Value Plus Life"),Lookups!$C$26,""))))</f>
        <v/>
      </c>
      <c r="AD85" s="326" t="str">
        <f>IF(Table2[[#This Row],[Member Type]]="Main Member",Lookups!$C$14,"")</f>
        <v/>
      </c>
      <c r="AE8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Funeral",_xlfn.XLOOKUP(B85,Table2[Main Member Link ID],Table2[Benefit Name],0)=Lookups!$D$14),"",
IF(AND(Table2[[#This Row],[Member Type]]="Spouse",Table2[[#This Row],[Product Option]]="My Value Plus Life &amp; Funeral",_xlfn.XLOOKUP(B84,Table2[Main Member Link ID],Table2[Benefit Name],0)=Lookups!$D$15),Lookups!$D$20,
IF(AND(Table2[[#This Row],[Member Type]]="Spouse",Table2[[#This Row],[Product Option]]="My Value Plus Life &amp; Funeral",_xlfn.XLOOKUP(B84,Table2[Main Member Link ID],Table2[Benefit Name],0)=Lookups!$D$16),"",
IF(AND(Table2[[#This Row],[Member Type]]="Spouse",Table2[[#This Row],[Product Option]]="My Value Plus Life &amp; Funeral",_xlfn.XLOOKUP(B84,Table2[Main Member Link ID],Table2[Benefit Name],0)=Lookups!$D$17),Lookups!$D$21,
IF(AND(Table2[[#This Row],[Member Type]]="Child",Table2[[#This Row],[Product Option]]="My Value Plus Life &amp; Funeral",_xlfn.XLOOKUP(B85,Table2[Main Member Link ID],Table2[Benefit Name],0)=Lookups!$D$14),"",
IF(AND(Table2[[#This Row],[Member Type]]="Child",Table2[[#This Row],[Product Option]]="My Value Plus Life &amp; Funeral",_xlfn.XLOOKUP(B85,Table2[Main Member Link ID],Table2[Benefit Name],0)=Lookups!$D$15),"",
IF(AND(Table2[[#This Row],[Member Type]]="Child",Table2[[#This Row],[Product Option]]="My Value Plus Life &amp; Funeral",_xlfn.XLOOKUP(B85,Table2[Main Member Link ID],Table2[Benefit Name],0)=Lookups!$D$16),Lookups!$D$24,
IF(AND(Table2[[#This Row],[Member Type]]="Child",Table2[[#This Row],[Product Option]]="My Value Plus Life &amp; Funeral",_xlfn.XLOOKUP(B85,Table2[Main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Funeral",_xlfn.XLOOKUP(B85,Table2[Main Member Link ID],Table2[Benefit Name],0)&lt;&gt;Lookups!$D$14),
IF(_xlfn.XLOOKUP(B85,Table2[Main Member Link ID],Table2[Benefit Name],0)=0,"",_xlfn.XLOOKUP(B85,Table2[Main Member Link ID],Table2[Benefit Name],0)),"")))))))))))))))</f>
        <v/>
      </c>
      <c r="AF85" s="327" t="str">
        <f>IF(AND(Table2[[#This Row],[Member Type]]="Main Member",Table2[[#This Row],[Product Option]]="My Value Plus Life &amp; Funeral"),Lookups!$D$15,
IF(AND(Table2[[#This Row],[Member Type]]="Spouse",Table2[[#This Row],[Product Option]]="My Value Plus Life &amp; Funeral",_xlfn.XLOOKUP(B85,Table2[Main Member Link ID],Table2[Benefit Name],0)=Lookups!$D$14),"",
IF(AND(Table2[[#This Row],[Member Type]]="Spouse",Table2[[#This Row],[Product Option]]="My Value Plus Life &amp; Funeral",_xlfn.XLOOKUP(B84,Table2[Main Member Link ID],Table2[Benefit Name],0)=Lookups!$D$16),"",
IF(AND(Table2[[#This Row],[Member Type]]="Spouse",Table2[[#This Row],[Product Option]]="My Value Plus Life &amp; Funeral",_xlfn.XLOOKUP(B84,Table2[Main Member Link ID],Table2[Benefit Name],0)=Lookups!$D$15),"",
IF(AND(Table2[[#This Row],[Member Type]]="Spouse",Table2[[#This Row],[Product Option]]="My Value Plus Life &amp; Funeral",_xlfn.XLOOKUP(B84,Table2[Main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Funeral",_xlfn.XLOOKUP(B85,Table2[Main Member Link ID],Table2[Benefit Name],0)&lt;&gt;Lookups!$D$15),
IF(_xlfn.XLOOKUP(B85,Table2[Main Member Link ID],Table2[Benefit Name],0)=0,"",_xlfn.XLOOKUP(B85,Table2[Main Member Link ID],Table2[Benefit Name],0)),"")
))))))</f>
        <v/>
      </c>
      <c r="AG85" s="327" t="str">
        <f>IF(AND(Table2[[#This Row],[Member Type]]="Main Member",Table2[[#This Row],[Product Option]]="My Value Plus Life &amp; Funeral"),Lookups!$D$16,
IF(AND(Table2[[#This Row],[Member Type]]="Spouse",Table2[[#This Row],[Product Option]]="My Value Plus Life &amp; Funeral",_xlfn.XLOOKUP(B85,Table2[Main Member Link ID],Table2[Benefit Name],0)=Lookups!$D$14),"",
IF(AND(Table2[[#This Row],[Member Type]]="Spouse",Table2[[#This Row],[Product Option]]="My Value Plus Life &amp; Funeral",_xlfn.XLOOKUP(B84,Table2[Main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Funeral",_xlfn.XLOOKUP(B85,Table2[Main Member Link ID],Table2[Benefit Name],0)&lt;&gt;Lookups!$D$16),
IF(_xlfn.XLOOKUP(B85,Table2[Main Member Link ID],Table2[Benefit Name],0)=0,"",_xlfn.XLOOKUP(B85,Table2[Main Member Link ID],Table2[Benefit Name],0)),"")
))))</f>
        <v/>
      </c>
      <c r="AH85" s="327" t="str">
        <f>IF(AND(Table2[[#This Row],[Member Type]]="Main Member",Table2[[#This Row],[Product Option]]="My Value Plus Life &amp; Funeral"),Lookups!$D$17,
IF(AND(Table2[[#This Row],[Member Type]]="Spouse",Table2[[#This Row],[Product Option]]="My Value Plus Life &amp; Funeral",_xlfn.XLOOKUP(B85,Table2[Main Member Link ID],Table2[Benefit Name],0)=Lookups!$D$14),"",
IF(AND(Table2[[#This Row],[Member Type]]="Spouse",Table2[[#This Row],[Product Option]]="My Value Plus Life &amp; Funeral",_xlfn.XLOOKUP(B84,Table2[Main Member Link ID],Table2[Benefit Name],0)=Lookups!$D$16),"",
IF(AND(Table2[[#This Row],[Member Type]]="Child",Table2[[#This Row],[Product Option]]="My Value Plus Life &amp; Funeral"),"",
IF(AND(Table2[[#This Row],[Member Type]]="Child",Table2[[#This Row],[Product Option]]="My Value Plus Life &amp; Funeral",_xlfn.XLOOKUP(B85,Table2[Main Member Link ID],Table2[Benefit Name],0)=Lookups!$D$15),"",
IF(AND(OR(Table2[[#This Row],[Member Type]]="Spouse",Table2[[#This Row],[Member Type]]="Child"),Table2[[#This Row],[Product Option]]="My Value Plus Life &amp; Funeral",_xlfn.XLOOKUP(B85,Table2[Main Member Link ID],Table2[Benefit Name],0)&lt;&gt;Lookups!$D$17),
IF(_xlfn.XLOOKUP(B85,Table2[Main Member Link ID],Table2[Benefit Name],0)=0,"",_xlfn.XLOOKUP(B85,Table2[Main Member Link ID],Table2[Benefit Name],0)),""))))))</f>
        <v/>
      </c>
      <c r="AI85" s="328" t="str">
        <f>IF(AND(Table2[[#This Row],[Member Type]]="Main Member",Table2[[#This Row],[Table Lookup for Life Cover]]="MM_LIFE",Table2[[#This Row],[Age Next Birthday]]&lt;56),1,
IF(AND(Table2[[#This Row],[Member Type]]="Main Member",Table2[[#This Row],[Table Lookup for Life Cover]]="MM_LIFE",Table2[[#This Row],[Age Next Birthday]]&gt;=56),2,
""))</f>
        <v/>
      </c>
      <c r="AJ85" s="328">
        <f>IF(OR(Table2[[#This Row],[Member Type]]="Main Member",Table2[[#This Row],[Main Member Link ID]]=B84),1,0)</f>
        <v>1</v>
      </c>
      <c r="AK85" s="328">
        <f>IF(Table2[[#This Row],[Member Type]]=0,0,
IF(OR(Table2[[#This Row],[Member Type]]="Main Member",Table2[[#This Row],[Main Member Link ID]]&lt;&gt;B85),COUNTIFS(B:B,Table2[[#This Row],[Main Member Link ID]]),
COUNTIFS(B:B,Table2[[#This Row],[Main Member Link ID]],A:A,Table2[[#This Row],[Member Type]])))</f>
        <v>0</v>
      </c>
    </row>
    <row r="86" spans="1:37" x14ac:dyDescent="0.3">
      <c r="A86" s="284">
        <f>Table13[[#This Row],[Member Type]]</f>
        <v>0</v>
      </c>
      <c r="B86" s="284">
        <f>Table13[[#This Row],[Main Member Link ID]]</f>
        <v>0</v>
      </c>
      <c r="C86" s="284">
        <f>Table13[[#This Row],[ID Number]]</f>
        <v>0</v>
      </c>
      <c r="D86" s="285">
        <f>Table13[[#This Row],[Date Of Birth]]</f>
        <v>0</v>
      </c>
      <c r="E86" s="285">
        <f>Table13[[#This Row],[Commencement Date]]</f>
        <v>0</v>
      </c>
      <c r="F86" s="284">
        <f t="shared" si="7"/>
        <v>1</v>
      </c>
      <c r="G86" s="284">
        <f t="shared" si="8"/>
        <v>25</v>
      </c>
      <c r="H86" s="286">
        <f>Table13[[#This Row],[Product Option]]</f>
        <v>0</v>
      </c>
      <c r="I86" s="284">
        <f>IF(AND($A86="Main Member",Table2[[#This Row],[Product Option]]="My Value Plus Life"),"MM_LIFE",
IF(AND($A86="Spouse",Table2[[#This Row],[Product Option]]="My Value Plus Life"),"SP_LIFE",
IF(AND($A86="Main Member",Table2[[#This Row],[Product Option]]="My Value Plus Life &amp; Funeral"),"MM_LIFE",
IF(AND($A86="Spouse",Table2[[#This Row],[Product Option]]="My Value Plus Life &amp; Funeral"),_xlfn.XLOOKUP(Table2[[#This Row],[Benefit Name]],Lookups!$D$18:$D$23,Lookups!$E$18:$E$23,0),
0))))</f>
        <v>0</v>
      </c>
      <c r="J86" s="284">
        <f>IF($I86="","",
IF($I86="MM_LIFE",INDEX('Quotation Tool'!$S$54:$V$60,MATCH($T86,'Quotation Tool'!$S$54:$S$60,0),4),
IF($I86="SP_LIFE",_xlfn.XLOOKUP(B85,$B:$B,$J:$J,0),0)))</f>
        <v>0</v>
      </c>
      <c r="K86" s="287">
        <f t="shared" ca="1" si="12"/>
        <v>0</v>
      </c>
      <c r="L86" s="288">
        <f t="shared" ca="1" si="13"/>
        <v>0</v>
      </c>
      <c r="M86" s="289">
        <f t="shared" ca="1" si="9"/>
        <v>0</v>
      </c>
      <c r="N86" s="286">
        <f>Table13[[#This Row],[Benefit Option]]</f>
        <v>0</v>
      </c>
      <c r="O86" s="284">
        <f>IF(OR(Table2[[#This Row],[Member Type]]="Spouse",Table2[[#This Row],[Member Type]]="Child"),0,
IF(_xlfn.XLOOKUP($N86,Lookups!$D$13:$D$27,Lookups!$F$13:$F$27,0)=Table2[[#This Row],[Table Lookup for Life Cover]],0,
_xlfn.XLOOKUP($N86,Lookups!$D$13:$D$27,Lookups!$F$13:$F$27,0)))</f>
        <v>0</v>
      </c>
      <c r="P86" s="284">
        <f>IF(Table2[[#This Row],[Table Lookup for Funeral]]=0,0,IFERROR(INDEX('Quotation Tool'!$S$54:$V$60,MATCH($T86,'Quotation Tool'!$S$54:$S$60,0),3),0))</f>
        <v>0</v>
      </c>
      <c r="Q86" s="288">
        <f ca="1">IF(OR(Table2[[#This Row],[Benefit Name]]="My Value Plus Life - Main Member",Table2[[#This Row],[Benefit Name]]="My Value Plus Life - Spouse"),0,
IFERROR(VLOOKUP($G86,INDIRECT($O86),$P86,FALSE),0))</f>
        <v>0</v>
      </c>
      <c r="R86" s="288">
        <f ca="1">IF(OR(Table2[[#This Row],[Benefit Name]]="My Value Plus Life - Main Member",Table2[[#This Row],[Benefit Name]]="My Value Plus Life - Spouse"),0,
IFERROR(VLOOKUP($G86,INDIRECT($O86),$P86+1,FALSE),0))</f>
        <v>0</v>
      </c>
      <c r="S86" s="289">
        <f t="shared" ca="1" si="10"/>
        <v>0</v>
      </c>
      <c r="T86" s="284" t="str">
        <f>IF(Table13[[#This Row],[Premium Waiver]]="","None",Table13[[#This Row],[Premium Waiver]])</f>
        <v>None</v>
      </c>
      <c r="U86" s="284">
        <f>Table13[[#This Row],[VAPs Options]]</f>
        <v>0</v>
      </c>
      <c r="V86" s="284">
        <f>Table13[[#This Row],[Annual Increase Option]]</f>
        <v>0</v>
      </c>
      <c r="W86" s="290">
        <f>Table13[[#This Row],[Life Cover Amount]]</f>
        <v>0</v>
      </c>
      <c r="X86" s="290">
        <f>Table13[[#This Row],[Funeral Cover Amount]]</f>
        <v>0</v>
      </c>
      <c r="Y8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8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86" s="301">
        <f t="shared" ca="1" si="11"/>
        <v>0</v>
      </c>
      <c r="AB86" s="298"/>
      <c r="AC86" s="326" t="str">
        <f>IF(Table2[[#This Row],[Member Type]]="Main Member",Lookups!$C$13,
IF(Table2[[#This Row],[Member Type]]="Spouse",_xlfn.XLOOKUP(B86,Table2[Main Member Link ID],Table2[Product Option],0),
IF(AND(Table2[[#This Row],[Member Type]]="Child",_xlfn.XLOOKUP(B86,Table2[Main Member Link ID],Table2[Product Option],0)&lt;&gt;"My Value Plus Life"),Lookups!$C$24,
IF(AND(OR(Table2[[#This Row],[Member Type]]="Parent",Table2[[#This Row],[Member Type]]="Extended"),_xlfn.XLOOKUP(B86,Table2[Main Member Link ID],Table2[Product Option],0)&lt;&gt;"My Value Plus Life"),Lookups!$C$26,""))))</f>
        <v/>
      </c>
      <c r="AD86" s="326" t="str">
        <f>IF(Table2[[#This Row],[Member Type]]="Main Member",Lookups!$C$14,"")</f>
        <v/>
      </c>
      <c r="AE8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Funeral",_xlfn.XLOOKUP(B86,Table2[Main Member Link ID],Table2[Benefit Name],0)=Lookups!$D$14),"",
IF(AND(Table2[[#This Row],[Member Type]]="Spouse",Table2[[#This Row],[Product Option]]="My Value Plus Life &amp; Funeral",_xlfn.XLOOKUP(B85,Table2[Main Member Link ID],Table2[Benefit Name],0)=Lookups!$D$15),Lookups!$D$20,
IF(AND(Table2[[#This Row],[Member Type]]="Spouse",Table2[[#This Row],[Product Option]]="My Value Plus Life &amp; Funeral",_xlfn.XLOOKUP(B85,Table2[Main Member Link ID],Table2[Benefit Name],0)=Lookups!$D$16),"",
IF(AND(Table2[[#This Row],[Member Type]]="Spouse",Table2[[#This Row],[Product Option]]="My Value Plus Life &amp; Funeral",_xlfn.XLOOKUP(B85,Table2[Main Member Link ID],Table2[Benefit Name],0)=Lookups!$D$17),Lookups!$D$21,
IF(AND(Table2[[#This Row],[Member Type]]="Child",Table2[[#This Row],[Product Option]]="My Value Plus Life &amp; Funeral",_xlfn.XLOOKUP(B86,Table2[Main Member Link ID],Table2[Benefit Name],0)=Lookups!$D$14),"",
IF(AND(Table2[[#This Row],[Member Type]]="Child",Table2[[#This Row],[Product Option]]="My Value Plus Life &amp; Funeral",_xlfn.XLOOKUP(B86,Table2[Main Member Link ID],Table2[Benefit Name],0)=Lookups!$D$15),"",
IF(AND(Table2[[#This Row],[Member Type]]="Child",Table2[[#This Row],[Product Option]]="My Value Plus Life &amp; Funeral",_xlfn.XLOOKUP(B86,Table2[Main Member Link ID],Table2[Benefit Name],0)=Lookups!$D$16),Lookups!$D$24,
IF(AND(Table2[[#This Row],[Member Type]]="Child",Table2[[#This Row],[Product Option]]="My Value Plus Life &amp; Funeral",_xlfn.XLOOKUP(B86,Table2[Main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Funeral",_xlfn.XLOOKUP(B86,Table2[Main Member Link ID],Table2[Benefit Name],0)&lt;&gt;Lookups!$D$14),
IF(_xlfn.XLOOKUP(B86,Table2[Main Member Link ID],Table2[Benefit Name],0)=0,"",_xlfn.XLOOKUP(B86,Table2[Main Member Link ID],Table2[Benefit Name],0)),"")))))))))))))))</f>
        <v/>
      </c>
      <c r="AF86" s="327" t="str">
        <f>IF(AND(Table2[[#This Row],[Member Type]]="Main Member",Table2[[#This Row],[Product Option]]="My Value Plus Life &amp; Funeral"),Lookups!$D$15,
IF(AND(Table2[[#This Row],[Member Type]]="Spouse",Table2[[#This Row],[Product Option]]="My Value Plus Life &amp; Funeral",_xlfn.XLOOKUP(B86,Table2[Main Member Link ID],Table2[Benefit Name],0)=Lookups!$D$14),"",
IF(AND(Table2[[#This Row],[Member Type]]="Spouse",Table2[[#This Row],[Product Option]]="My Value Plus Life &amp; Funeral",_xlfn.XLOOKUP(B85,Table2[Main Member Link ID],Table2[Benefit Name],0)=Lookups!$D$16),"",
IF(AND(Table2[[#This Row],[Member Type]]="Spouse",Table2[[#This Row],[Product Option]]="My Value Plus Life &amp; Funeral",_xlfn.XLOOKUP(B85,Table2[Main Member Link ID],Table2[Benefit Name],0)=Lookups!$D$15),"",
IF(AND(Table2[[#This Row],[Member Type]]="Spouse",Table2[[#This Row],[Product Option]]="My Value Plus Life &amp; Funeral",_xlfn.XLOOKUP(B85,Table2[Main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Funeral",_xlfn.XLOOKUP(B86,Table2[Main Member Link ID],Table2[Benefit Name],0)&lt;&gt;Lookups!$D$15),
IF(_xlfn.XLOOKUP(B86,Table2[Main Member Link ID],Table2[Benefit Name],0)=0,"",_xlfn.XLOOKUP(B86,Table2[Main Member Link ID],Table2[Benefit Name],0)),"")
))))))</f>
        <v/>
      </c>
      <c r="AG86" s="327" t="str">
        <f>IF(AND(Table2[[#This Row],[Member Type]]="Main Member",Table2[[#This Row],[Product Option]]="My Value Plus Life &amp; Funeral"),Lookups!$D$16,
IF(AND(Table2[[#This Row],[Member Type]]="Spouse",Table2[[#This Row],[Product Option]]="My Value Plus Life &amp; Funeral",_xlfn.XLOOKUP(B86,Table2[Main Member Link ID],Table2[Benefit Name],0)=Lookups!$D$14),"",
IF(AND(Table2[[#This Row],[Member Type]]="Spouse",Table2[[#This Row],[Product Option]]="My Value Plus Life &amp; Funeral",_xlfn.XLOOKUP(B85,Table2[Main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Funeral",_xlfn.XLOOKUP(B86,Table2[Main Member Link ID],Table2[Benefit Name],0)&lt;&gt;Lookups!$D$16),
IF(_xlfn.XLOOKUP(B86,Table2[Main Member Link ID],Table2[Benefit Name],0)=0,"",_xlfn.XLOOKUP(B86,Table2[Main Member Link ID],Table2[Benefit Name],0)),"")
))))</f>
        <v/>
      </c>
      <c r="AH86" s="327" t="str">
        <f>IF(AND(Table2[[#This Row],[Member Type]]="Main Member",Table2[[#This Row],[Product Option]]="My Value Plus Life &amp; Funeral"),Lookups!$D$17,
IF(AND(Table2[[#This Row],[Member Type]]="Spouse",Table2[[#This Row],[Product Option]]="My Value Plus Life &amp; Funeral",_xlfn.XLOOKUP(B86,Table2[Main Member Link ID],Table2[Benefit Name],0)=Lookups!$D$14),"",
IF(AND(Table2[[#This Row],[Member Type]]="Spouse",Table2[[#This Row],[Product Option]]="My Value Plus Life &amp; Funeral",_xlfn.XLOOKUP(B85,Table2[Main Member Link ID],Table2[Benefit Name],0)=Lookups!$D$16),"",
IF(AND(Table2[[#This Row],[Member Type]]="Child",Table2[[#This Row],[Product Option]]="My Value Plus Life &amp; Funeral"),"",
IF(AND(Table2[[#This Row],[Member Type]]="Child",Table2[[#This Row],[Product Option]]="My Value Plus Life &amp; Funeral",_xlfn.XLOOKUP(B86,Table2[Main Member Link ID],Table2[Benefit Name],0)=Lookups!$D$15),"",
IF(AND(OR(Table2[[#This Row],[Member Type]]="Spouse",Table2[[#This Row],[Member Type]]="Child"),Table2[[#This Row],[Product Option]]="My Value Plus Life &amp; Funeral",_xlfn.XLOOKUP(B86,Table2[Main Member Link ID],Table2[Benefit Name],0)&lt;&gt;Lookups!$D$17),
IF(_xlfn.XLOOKUP(B86,Table2[Main Member Link ID],Table2[Benefit Name],0)=0,"",_xlfn.XLOOKUP(B86,Table2[Main Member Link ID],Table2[Benefit Name],0)),""))))))</f>
        <v/>
      </c>
      <c r="AI86" s="328" t="str">
        <f>IF(AND(Table2[[#This Row],[Member Type]]="Main Member",Table2[[#This Row],[Table Lookup for Life Cover]]="MM_LIFE",Table2[[#This Row],[Age Next Birthday]]&lt;56),1,
IF(AND(Table2[[#This Row],[Member Type]]="Main Member",Table2[[#This Row],[Table Lookup for Life Cover]]="MM_LIFE",Table2[[#This Row],[Age Next Birthday]]&gt;=56),2,
""))</f>
        <v/>
      </c>
      <c r="AJ86" s="328">
        <f>IF(OR(Table2[[#This Row],[Member Type]]="Main Member",Table2[[#This Row],[Main Member Link ID]]=B85),1,0)</f>
        <v>1</v>
      </c>
      <c r="AK86" s="328">
        <f>IF(Table2[[#This Row],[Member Type]]=0,0,
IF(OR(Table2[[#This Row],[Member Type]]="Main Member",Table2[[#This Row],[Main Member Link ID]]&lt;&gt;B86),COUNTIFS(B:B,Table2[[#This Row],[Main Member Link ID]]),
COUNTIFS(B:B,Table2[[#This Row],[Main Member Link ID]],A:A,Table2[[#This Row],[Member Type]])))</f>
        <v>0</v>
      </c>
    </row>
    <row r="87" spans="1:37" x14ac:dyDescent="0.3">
      <c r="A87" s="284">
        <f>Table13[[#This Row],[Member Type]]</f>
        <v>0</v>
      </c>
      <c r="B87" s="284">
        <f>Table13[[#This Row],[Main Member Link ID]]</f>
        <v>0</v>
      </c>
      <c r="C87" s="284">
        <f>Table13[[#This Row],[ID Number]]</f>
        <v>0</v>
      </c>
      <c r="D87" s="285">
        <f>Table13[[#This Row],[Date Of Birth]]</f>
        <v>0</v>
      </c>
      <c r="E87" s="285">
        <f>Table13[[#This Row],[Commencement Date]]</f>
        <v>0</v>
      </c>
      <c r="F87" s="284">
        <f t="shared" si="7"/>
        <v>1</v>
      </c>
      <c r="G87" s="284">
        <f t="shared" si="8"/>
        <v>25</v>
      </c>
      <c r="H87" s="286">
        <f>Table13[[#This Row],[Product Option]]</f>
        <v>0</v>
      </c>
      <c r="I87" s="284">
        <f>IF(AND($A87="Main Member",Table2[[#This Row],[Product Option]]="My Value Plus Life"),"MM_LIFE",
IF(AND($A87="Spouse",Table2[[#This Row],[Product Option]]="My Value Plus Life"),"SP_LIFE",
IF(AND($A87="Main Member",Table2[[#This Row],[Product Option]]="My Value Plus Life &amp; Funeral"),"MM_LIFE",
IF(AND($A87="Spouse",Table2[[#This Row],[Product Option]]="My Value Plus Life &amp; Funeral"),_xlfn.XLOOKUP(Table2[[#This Row],[Benefit Name]],Lookups!$D$18:$D$23,Lookups!$E$18:$E$23,0),
0))))</f>
        <v>0</v>
      </c>
      <c r="J87" s="284">
        <f>IF($I87="","",
IF($I87="MM_LIFE",INDEX('Quotation Tool'!$S$54:$V$60,MATCH($T87,'Quotation Tool'!$S$54:$S$60,0),4),
IF($I87="SP_LIFE",_xlfn.XLOOKUP(B86,$B:$B,$J:$J,0),0)))</f>
        <v>0</v>
      </c>
      <c r="K87" s="287">
        <f t="shared" ca="1" si="12"/>
        <v>0</v>
      </c>
      <c r="L87" s="288">
        <f t="shared" ca="1" si="13"/>
        <v>0</v>
      </c>
      <c r="M87" s="289">
        <f t="shared" ca="1" si="9"/>
        <v>0</v>
      </c>
      <c r="N87" s="286">
        <f>Table13[[#This Row],[Benefit Option]]</f>
        <v>0</v>
      </c>
      <c r="O87" s="284">
        <f>IF(OR(Table2[[#This Row],[Member Type]]="Spouse",Table2[[#This Row],[Member Type]]="Child"),0,
IF(_xlfn.XLOOKUP($N87,Lookups!$D$13:$D$27,Lookups!$F$13:$F$27,0)=Table2[[#This Row],[Table Lookup for Life Cover]],0,
_xlfn.XLOOKUP($N87,Lookups!$D$13:$D$27,Lookups!$F$13:$F$27,0)))</f>
        <v>0</v>
      </c>
      <c r="P87" s="284">
        <f>IF(Table2[[#This Row],[Table Lookup for Funeral]]=0,0,IFERROR(INDEX('Quotation Tool'!$S$54:$V$60,MATCH($T87,'Quotation Tool'!$S$54:$S$60,0),3),0))</f>
        <v>0</v>
      </c>
      <c r="Q87" s="288">
        <f ca="1">IF(OR(Table2[[#This Row],[Benefit Name]]="My Value Plus Life - Main Member",Table2[[#This Row],[Benefit Name]]="My Value Plus Life - Spouse"),0,
IFERROR(VLOOKUP($G87,INDIRECT($O87),$P87,FALSE),0))</f>
        <v>0</v>
      </c>
      <c r="R87" s="288">
        <f ca="1">IF(OR(Table2[[#This Row],[Benefit Name]]="My Value Plus Life - Main Member",Table2[[#This Row],[Benefit Name]]="My Value Plus Life - Spouse"),0,
IFERROR(VLOOKUP($G87,INDIRECT($O87),$P87+1,FALSE),0))</f>
        <v>0</v>
      </c>
      <c r="S87" s="289">
        <f t="shared" ca="1" si="10"/>
        <v>0</v>
      </c>
      <c r="T87" s="284" t="str">
        <f>IF(Table13[[#This Row],[Premium Waiver]]="","None",Table13[[#This Row],[Premium Waiver]])</f>
        <v>None</v>
      </c>
      <c r="U87" s="284">
        <f>Table13[[#This Row],[VAPs Options]]</f>
        <v>0</v>
      </c>
      <c r="V87" s="284">
        <f>Table13[[#This Row],[Annual Increase Option]]</f>
        <v>0</v>
      </c>
      <c r="W87" s="290">
        <f>Table13[[#This Row],[Life Cover Amount]]</f>
        <v>0</v>
      </c>
      <c r="X87" s="290">
        <f>Table13[[#This Row],[Funeral Cover Amount]]</f>
        <v>0</v>
      </c>
      <c r="Y8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8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87" s="301">
        <f t="shared" ca="1" si="11"/>
        <v>0</v>
      </c>
      <c r="AB87" s="298"/>
      <c r="AC87" s="326" t="str">
        <f>IF(Table2[[#This Row],[Member Type]]="Main Member",Lookups!$C$13,
IF(Table2[[#This Row],[Member Type]]="Spouse",_xlfn.XLOOKUP(B87,Table2[Main Member Link ID],Table2[Product Option],0),
IF(AND(Table2[[#This Row],[Member Type]]="Child",_xlfn.XLOOKUP(B87,Table2[Main Member Link ID],Table2[Product Option],0)&lt;&gt;"My Value Plus Life"),Lookups!$C$24,
IF(AND(OR(Table2[[#This Row],[Member Type]]="Parent",Table2[[#This Row],[Member Type]]="Extended"),_xlfn.XLOOKUP(B87,Table2[Main Member Link ID],Table2[Product Option],0)&lt;&gt;"My Value Plus Life"),Lookups!$C$26,""))))</f>
        <v/>
      </c>
      <c r="AD87" s="326" t="str">
        <f>IF(Table2[[#This Row],[Member Type]]="Main Member",Lookups!$C$14,"")</f>
        <v/>
      </c>
      <c r="AE8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Funeral",_xlfn.XLOOKUP(B87,Table2[Main Member Link ID],Table2[Benefit Name],0)=Lookups!$D$14),"",
IF(AND(Table2[[#This Row],[Member Type]]="Spouse",Table2[[#This Row],[Product Option]]="My Value Plus Life &amp; Funeral",_xlfn.XLOOKUP(B86,Table2[Main Member Link ID],Table2[Benefit Name],0)=Lookups!$D$15),Lookups!$D$20,
IF(AND(Table2[[#This Row],[Member Type]]="Spouse",Table2[[#This Row],[Product Option]]="My Value Plus Life &amp; Funeral",_xlfn.XLOOKUP(B86,Table2[Main Member Link ID],Table2[Benefit Name],0)=Lookups!$D$16),"",
IF(AND(Table2[[#This Row],[Member Type]]="Spouse",Table2[[#This Row],[Product Option]]="My Value Plus Life &amp; Funeral",_xlfn.XLOOKUP(B86,Table2[Main Member Link ID],Table2[Benefit Name],0)=Lookups!$D$17),Lookups!$D$21,
IF(AND(Table2[[#This Row],[Member Type]]="Child",Table2[[#This Row],[Product Option]]="My Value Plus Life &amp; Funeral",_xlfn.XLOOKUP(B87,Table2[Main Member Link ID],Table2[Benefit Name],0)=Lookups!$D$14),"",
IF(AND(Table2[[#This Row],[Member Type]]="Child",Table2[[#This Row],[Product Option]]="My Value Plus Life &amp; Funeral",_xlfn.XLOOKUP(B87,Table2[Main Member Link ID],Table2[Benefit Name],0)=Lookups!$D$15),"",
IF(AND(Table2[[#This Row],[Member Type]]="Child",Table2[[#This Row],[Product Option]]="My Value Plus Life &amp; Funeral",_xlfn.XLOOKUP(B87,Table2[Main Member Link ID],Table2[Benefit Name],0)=Lookups!$D$16),Lookups!$D$24,
IF(AND(Table2[[#This Row],[Member Type]]="Child",Table2[[#This Row],[Product Option]]="My Value Plus Life &amp; Funeral",_xlfn.XLOOKUP(B87,Table2[Main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Funeral",_xlfn.XLOOKUP(B87,Table2[Main Member Link ID],Table2[Benefit Name],0)&lt;&gt;Lookups!$D$14),
IF(_xlfn.XLOOKUP(B87,Table2[Main Member Link ID],Table2[Benefit Name],0)=0,"",_xlfn.XLOOKUP(B87,Table2[Main Member Link ID],Table2[Benefit Name],0)),"")))))))))))))))</f>
        <v/>
      </c>
      <c r="AF87" s="327" t="str">
        <f>IF(AND(Table2[[#This Row],[Member Type]]="Main Member",Table2[[#This Row],[Product Option]]="My Value Plus Life &amp; Funeral"),Lookups!$D$15,
IF(AND(Table2[[#This Row],[Member Type]]="Spouse",Table2[[#This Row],[Product Option]]="My Value Plus Life &amp; Funeral",_xlfn.XLOOKUP(B87,Table2[Main Member Link ID],Table2[Benefit Name],0)=Lookups!$D$14),"",
IF(AND(Table2[[#This Row],[Member Type]]="Spouse",Table2[[#This Row],[Product Option]]="My Value Plus Life &amp; Funeral",_xlfn.XLOOKUP(B86,Table2[Main Member Link ID],Table2[Benefit Name],0)=Lookups!$D$16),"",
IF(AND(Table2[[#This Row],[Member Type]]="Spouse",Table2[[#This Row],[Product Option]]="My Value Plus Life &amp; Funeral",_xlfn.XLOOKUP(B86,Table2[Main Member Link ID],Table2[Benefit Name],0)=Lookups!$D$15),"",
IF(AND(Table2[[#This Row],[Member Type]]="Spouse",Table2[[#This Row],[Product Option]]="My Value Plus Life &amp; Funeral",_xlfn.XLOOKUP(B86,Table2[Main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Funeral",_xlfn.XLOOKUP(B87,Table2[Main Member Link ID],Table2[Benefit Name],0)&lt;&gt;Lookups!$D$15),
IF(_xlfn.XLOOKUP(B87,Table2[Main Member Link ID],Table2[Benefit Name],0)=0,"",_xlfn.XLOOKUP(B87,Table2[Main Member Link ID],Table2[Benefit Name],0)),"")
))))))</f>
        <v/>
      </c>
      <c r="AG87" s="327" t="str">
        <f>IF(AND(Table2[[#This Row],[Member Type]]="Main Member",Table2[[#This Row],[Product Option]]="My Value Plus Life &amp; Funeral"),Lookups!$D$16,
IF(AND(Table2[[#This Row],[Member Type]]="Spouse",Table2[[#This Row],[Product Option]]="My Value Plus Life &amp; Funeral",_xlfn.XLOOKUP(B87,Table2[Main Member Link ID],Table2[Benefit Name],0)=Lookups!$D$14),"",
IF(AND(Table2[[#This Row],[Member Type]]="Spouse",Table2[[#This Row],[Product Option]]="My Value Plus Life &amp; Funeral",_xlfn.XLOOKUP(B86,Table2[Main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Funeral",_xlfn.XLOOKUP(B87,Table2[Main Member Link ID],Table2[Benefit Name],0)&lt;&gt;Lookups!$D$16),
IF(_xlfn.XLOOKUP(B87,Table2[Main Member Link ID],Table2[Benefit Name],0)=0,"",_xlfn.XLOOKUP(B87,Table2[Main Member Link ID],Table2[Benefit Name],0)),"")
))))</f>
        <v/>
      </c>
      <c r="AH87" s="327" t="str">
        <f>IF(AND(Table2[[#This Row],[Member Type]]="Main Member",Table2[[#This Row],[Product Option]]="My Value Plus Life &amp; Funeral"),Lookups!$D$17,
IF(AND(Table2[[#This Row],[Member Type]]="Spouse",Table2[[#This Row],[Product Option]]="My Value Plus Life &amp; Funeral",_xlfn.XLOOKUP(B87,Table2[Main Member Link ID],Table2[Benefit Name],0)=Lookups!$D$14),"",
IF(AND(Table2[[#This Row],[Member Type]]="Spouse",Table2[[#This Row],[Product Option]]="My Value Plus Life &amp; Funeral",_xlfn.XLOOKUP(B86,Table2[Main Member Link ID],Table2[Benefit Name],0)=Lookups!$D$16),"",
IF(AND(Table2[[#This Row],[Member Type]]="Child",Table2[[#This Row],[Product Option]]="My Value Plus Life &amp; Funeral"),"",
IF(AND(Table2[[#This Row],[Member Type]]="Child",Table2[[#This Row],[Product Option]]="My Value Plus Life &amp; Funeral",_xlfn.XLOOKUP(B87,Table2[Main Member Link ID],Table2[Benefit Name],0)=Lookups!$D$15),"",
IF(AND(OR(Table2[[#This Row],[Member Type]]="Spouse",Table2[[#This Row],[Member Type]]="Child"),Table2[[#This Row],[Product Option]]="My Value Plus Life &amp; Funeral",_xlfn.XLOOKUP(B87,Table2[Main Member Link ID],Table2[Benefit Name],0)&lt;&gt;Lookups!$D$17),
IF(_xlfn.XLOOKUP(B87,Table2[Main Member Link ID],Table2[Benefit Name],0)=0,"",_xlfn.XLOOKUP(B87,Table2[Main Member Link ID],Table2[Benefit Name],0)),""))))))</f>
        <v/>
      </c>
      <c r="AI87" s="328" t="str">
        <f>IF(AND(Table2[[#This Row],[Member Type]]="Main Member",Table2[[#This Row],[Table Lookup for Life Cover]]="MM_LIFE",Table2[[#This Row],[Age Next Birthday]]&lt;56),1,
IF(AND(Table2[[#This Row],[Member Type]]="Main Member",Table2[[#This Row],[Table Lookup for Life Cover]]="MM_LIFE",Table2[[#This Row],[Age Next Birthday]]&gt;=56),2,
""))</f>
        <v/>
      </c>
      <c r="AJ87" s="328">
        <f>IF(OR(Table2[[#This Row],[Member Type]]="Main Member",Table2[[#This Row],[Main Member Link ID]]=B86),1,0)</f>
        <v>1</v>
      </c>
      <c r="AK87" s="328">
        <f>IF(Table2[[#This Row],[Member Type]]=0,0,
IF(OR(Table2[[#This Row],[Member Type]]="Main Member",Table2[[#This Row],[Main Member Link ID]]&lt;&gt;B87),COUNTIFS(B:B,Table2[[#This Row],[Main Member Link ID]]),
COUNTIFS(B:B,Table2[[#This Row],[Main Member Link ID]],A:A,Table2[[#This Row],[Member Type]])))</f>
        <v>0</v>
      </c>
    </row>
    <row r="88" spans="1:37" x14ac:dyDescent="0.3">
      <c r="A88" s="284">
        <f>Table13[[#This Row],[Member Type]]</f>
        <v>0</v>
      </c>
      <c r="B88" s="284">
        <f>Table13[[#This Row],[Main Member Link ID]]</f>
        <v>0</v>
      </c>
      <c r="C88" s="284">
        <f>Table13[[#This Row],[ID Number]]</f>
        <v>0</v>
      </c>
      <c r="D88" s="285">
        <f>Table13[[#This Row],[Date Of Birth]]</f>
        <v>0</v>
      </c>
      <c r="E88" s="285">
        <f>Table13[[#This Row],[Commencement Date]]</f>
        <v>0</v>
      </c>
      <c r="F88" s="284">
        <f t="shared" si="7"/>
        <v>1</v>
      </c>
      <c r="G88" s="284">
        <f t="shared" si="8"/>
        <v>25</v>
      </c>
      <c r="H88" s="286">
        <f>Table13[[#This Row],[Product Option]]</f>
        <v>0</v>
      </c>
      <c r="I88" s="284">
        <f>IF(AND($A88="Main Member",Table2[[#This Row],[Product Option]]="My Value Plus Life"),"MM_LIFE",
IF(AND($A88="Spouse",Table2[[#This Row],[Product Option]]="My Value Plus Life"),"SP_LIFE",
IF(AND($A88="Main Member",Table2[[#This Row],[Product Option]]="My Value Plus Life &amp; Funeral"),"MM_LIFE",
IF(AND($A88="Spouse",Table2[[#This Row],[Product Option]]="My Value Plus Life &amp; Funeral"),_xlfn.XLOOKUP(Table2[[#This Row],[Benefit Name]],Lookups!$D$18:$D$23,Lookups!$E$18:$E$23,0),
0))))</f>
        <v>0</v>
      </c>
      <c r="J88" s="284">
        <f>IF($I88="","",
IF($I88="MM_LIFE",INDEX('Quotation Tool'!$S$54:$V$60,MATCH($T88,'Quotation Tool'!$S$54:$S$60,0),4),
IF($I88="SP_LIFE",_xlfn.XLOOKUP(B87,$B:$B,$J:$J,0),0)))</f>
        <v>0</v>
      </c>
      <c r="K88" s="287">
        <f t="shared" ca="1" si="12"/>
        <v>0</v>
      </c>
      <c r="L88" s="288">
        <f t="shared" ca="1" si="13"/>
        <v>0</v>
      </c>
      <c r="M88" s="289">
        <f t="shared" ca="1" si="9"/>
        <v>0</v>
      </c>
      <c r="N88" s="286">
        <f>Table13[[#This Row],[Benefit Option]]</f>
        <v>0</v>
      </c>
      <c r="O88" s="284">
        <f>IF(OR(Table2[[#This Row],[Member Type]]="Spouse",Table2[[#This Row],[Member Type]]="Child"),0,
IF(_xlfn.XLOOKUP($N88,Lookups!$D$13:$D$27,Lookups!$F$13:$F$27,0)=Table2[[#This Row],[Table Lookup for Life Cover]],0,
_xlfn.XLOOKUP($N88,Lookups!$D$13:$D$27,Lookups!$F$13:$F$27,0)))</f>
        <v>0</v>
      </c>
      <c r="P88" s="284">
        <f>IF(Table2[[#This Row],[Table Lookup for Funeral]]=0,0,IFERROR(INDEX('Quotation Tool'!$S$54:$V$60,MATCH($T88,'Quotation Tool'!$S$54:$S$60,0),3),0))</f>
        <v>0</v>
      </c>
      <c r="Q88" s="288">
        <f ca="1">IF(OR(Table2[[#This Row],[Benefit Name]]="My Value Plus Life - Main Member",Table2[[#This Row],[Benefit Name]]="My Value Plus Life - Spouse"),0,
IFERROR(VLOOKUP($G88,INDIRECT($O88),$P88,FALSE),0))</f>
        <v>0</v>
      </c>
      <c r="R88" s="288">
        <f ca="1">IF(OR(Table2[[#This Row],[Benefit Name]]="My Value Plus Life - Main Member",Table2[[#This Row],[Benefit Name]]="My Value Plus Life - Spouse"),0,
IFERROR(VLOOKUP($G88,INDIRECT($O88),$P88+1,FALSE),0))</f>
        <v>0</v>
      </c>
      <c r="S88" s="289">
        <f t="shared" ca="1" si="10"/>
        <v>0</v>
      </c>
      <c r="T88" s="284" t="str">
        <f>IF(Table13[[#This Row],[Premium Waiver]]="","None",Table13[[#This Row],[Premium Waiver]])</f>
        <v>None</v>
      </c>
      <c r="U88" s="284">
        <f>Table13[[#This Row],[VAPs Options]]</f>
        <v>0</v>
      </c>
      <c r="V88" s="284">
        <f>Table13[[#This Row],[Annual Increase Option]]</f>
        <v>0</v>
      </c>
      <c r="W88" s="290">
        <f>Table13[[#This Row],[Life Cover Amount]]</f>
        <v>0</v>
      </c>
      <c r="X88" s="290">
        <f>Table13[[#This Row],[Funeral Cover Amount]]</f>
        <v>0</v>
      </c>
      <c r="Y8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8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88" s="301">
        <f t="shared" ca="1" si="11"/>
        <v>0</v>
      </c>
      <c r="AB88" s="298"/>
      <c r="AC88" s="326" t="str">
        <f>IF(Table2[[#This Row],[Member Type]]="Main Member",Lookups!$C$13,
IF(Table2[[#This Row],[Member Type]]="Spouse",_xlfn.XLOOKUP(B88,Table2[Main Member Link ID],Table2[Product Option],0),
IF(AND(Table2[[#This Row],[Member Type]]="Child",_xlfn.XLOOKUP(B88,Table2[Main Member Link ID],Table2[Product Option],0)&lt;&gt;"My Value Plus Life"),Lookups!$C$24,
IF(AND(OR(Table2[[#This Row],[Member Type]]="Parent",Table2[[#This Row],[Member Type]]="Extended"),_xlfn.XLOOKUP(B88,Table2[Main Member Link ID],Table2[Product Option],0)&lt;&gt;"My Value Plus Life"),Lookups!$C$26,""))))</f>
        <v/>
      </c>
      <c r="AD88" s="326" t="str">
        <f>IF(Table2[[#This Row],[Member Type]]="Main Member",Lookups!$C$14,"")</f>
        <v/>
      </c>
      <c r="AE8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Funeral",_xlfn.XLOOKUP(B88,Table2[Main Member Link ID],Table2[Benefit Name],0)=Lookups!$D$14),"",
IF(AND(Table2[[#This Row],[Member Type]]="Spouse",Table2[[#This Row],[Product Option]]="My Value Plus Life &amp; Funeral",_xlfn.XLOOKUP(B87,Table2[Main Member Link ID],Table2[Benefit Name],0)=Lookups!$D$15),Lookups!$D$20,
IF(AND(Table2[[#This Row],[Member Type]]="Spouse",Table2[[#This Row],[Product Option]]="My Value Plus Life &amp; Funeral",_xlfn.XLOOKUP(B87,Table2[Main Member Link ID],Table2[Benefit Name],0)=Lookups!$D$16),"",
IF(AND(Table2[[#This Row],[Member Type]]="Spouse",Table2[[#This Row],[Product Option]]="My Value Plus Life &amp; Funeral",_xlfn.XLOOKUP(B87,Table2[Main Member Link ID],Table2[Benefit Name],0)=Lookups!$D$17),Lookups!$D$21,
IF(AND(Table2[[#This Row],[Member Type]]="Child",Table2[[#This Row],[Product Option]]="My Value Plus Life &amp; Funeral",_xlfn.XLOOKUP(B88,Table2[Main Member Link ID],Table2[Benefit Name],0)=Lookups!$D$14),"",
IF(AND(Table2[[#This Row],[Member Type]]="Child",Table2[[#This Row],[Product Option]]="My Value Plus Life &amp; Funeral",_xlfn.XLOOKUP(B88,Table2[Main Member Link ID],Table2[Benefit Name],0)=Lookups!$D$15),"",
IF(AND(Table2[[#This Row],[Member Type]]="Child",Table2[[#This Row],[Product Option]]="My Value Plus Life &amp; Funeral",_xlfn.XLOOKUP(B88,Table2[Main Member Link ID],Table2[Benefit Name],0)=Lookups!$D$16),Lookups!$D$24,
IF(AND(Table2[[#This Row],[Member Type]]="Child",Table2[[#This Row],[Product Option]]="My Value Plus Life &amp; Funeral",_xlfn.XLOOKUP(B88,Table2[Main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Funeral",_xlfn.XLOOKUP(B88,Table2[Main Member Link ID],Table2[Benefit Name],0)&lt;&gt;Lookups!$D$14),
IF(_xlfn.XLOOKUP(B88,Table2[Main Member Link ID],Table2[Benefit Name],0)=0,"",_xlfn.XLOOKUP(B88,Table2[Main Member Link ID],Table2[Benefit Name],0)),"")))))))))))))))</f>
        <v/>
      </c>
      <c r="AF88" s="327" t="str">
        <f>IF(AND(Table2[[#This Row],[Member Type]]="Main Member",Table2[[#This Row],[Product Option]]="My Value Plus Life &amp; Funeral"),Lookups!$D$15,
IF(AND(Table2[[#This Row],[Member Type]]="Spouse",Table2[[#This Row],[Product Option]]="My Value Plus Life &amp; Funeral",_xlfn.XLOOKUP(B88,Table2[Main Member Link ID],Table2[Benefit Name],0)=Lookups!$D$14),"",
IF(AND(Table2[[#This Row],[Member Type]]="Spouse",Table2[[#This Row],[Product Option]]="My Value Plus Life &amp; Funeral",_xlfn.XLOOKUP(B87,Table2[Main Member Link ID],Table2[Benefit Name],0)=Lookups!$D$16),"",
IF(AND(Table2[[#This Row],[Member Type]]="Spouse",Table2[[#This Row],[Product Option]]="My Value Plus Life &amp; Funeral",_xlfn.XLOOKUP(B87,Table2[Main Member Link ID],Table2[Benefit Name],0)=Lookups!$D$15),"",
IF(AND(Table2[[#This Row],[Member Type]]="Spouse",Table2[[#This Row],[Product Option]]="My Value Plus Life &amp; Funeral",_xlfn.XLOOKUP(B87,Table2[Main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Funeral",_xlfn.XLOOKUP(B88,Table2[Main Member Link ID],Table2[Benefit Name],0)&lt;&gt;Lookups!$D$15),
IF(_xlfn.XLOOKUP(B88,Table2[Main Member Link ID],Table2[Benefit Name],0)=0,"",_xlfn.XLOOKUP(B88,Table2[Main Member Link ID],Table2[Benefit Name],0)),"")
))))))</f>
        <v/>
      </c>
      <c r="AG88" s="327" t="str">
        <f>IF(AND(Table2[[#This Row],[Member Type]]="Main Member",Table2[[#This Row],[Product Option]]="My Value Plus Life &amp; Funeral"),Lookups!$D$16,
IF(AND(Table2[[#This Row],[Member Type]]="Spouse",Table2[[#This Row],[Product Option]]="My Value Plus Life &amp; Funeral",_xlfn.XLOOKUP(B88,Table2[Main Member Link ID],Table2[Benefit Name],0)=Lookups!$D$14),"",
IF(AND(Table2[[#This Row],[Member Type]]="Spouse",Table2[[#This Row],[Product Option]]="My Value Plus Life &amp; Funeral",_xlfn.XLOOKUP(B87,Table2[Main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Funeral",_xlfn.XLOOKUP(B88,Table2[Main Member Link ID],Table2[Benefit Name],0)&lt;&gt;Lookups!$D$16),
IF(_xlfn.XLOOKUP(B88,Table2[Main Member Link ID],Table2[Benefit Name],0)=0,"",_xlfn.XLOOKUP(B88,Table2[Main Member Link ID],Table2[Benefit Name],0)),"")
))))</f>
        <v/>
      </c>
      <c r="AH88" s="327" t="str">
        <f>IF(AND(Table2[[#This Row],[Member Type]]="Main Member",Table2[[#This Row],[Product Option]]="My Value Plus Life &amp; Funeral"),Lookups!$D$17,
IF(AND(Table2[[#This Row],[Member Type]]="Spouse",Table2[[#This Row],[Product Option]]="My Value Plus Life &amp; Funeral",_xlfn.XLOOKUP(B88,Table2[Main Member Link ID],Table2[Benefit Name],0)=Lookups!$D$14),"",
IF(AND(Table2[[#This Row],[Member Type]]="Spouse",Table2[[#This Row],[Product Option]]="My Value Plus Life &amp; Funeral",_xlfn.XLOOKUP(B87,Table2[Main Member Link ID],Table2[Benefit Name],0)=Lookups!$D$16),"",
IF(AND(Table2[[#This Row],[Member Type]]="Child",Table2[[#This Row],[Product Option]]="My Value Plus Life &amp; Funeral"),"",
IF(AND(Table2[[#This Row],[Member Type]]="Child",Table2[[#This Row],[Product Option]]="My Value Plus Life &amp; Funeral",_xlfn.XLOOKUP(B88,Table2[Main Member Link ID],Table2[Benefit Name],0)=Lookups!$D$15),"",
IF(AND(OR(Table2[[#This Row],[Member Type]]="Spouse",Table2[[#This Row],[Member Type]]="Child"),Table2[[#This Row],[Product Option]]="My Value Plus Life &amp; Funeral",_xlfn.XLOOKUP(B88,Table2[Main Member Link ID],Table2[Benefit Name],0)&lt;&gt;Lookups!$D$17),
IF(_xlfn.XLOOKUP(B88,Table2[Main Member Link ID],Table2[Benefit Name],0)=0,"",_xlfn.XLOOKUP(B88,Table2[Main Member Link ID],Table2[Benefit Name],0)),""))))))</f>
        <v/>
      </c>
      <c r="AI88" s="328" t="str">
        <f>IF(AND(Table2[[#This Row],[Member Type]]="Main Member",Table2[[#This Row],[Table Lookup for Life Cover]]="MM_LIFE",Table2[[#This Row],[Age Next Birthday]]&lt;56),1,
IF(AND(Table2[[#This Row],[Member Type]]="Main Member",Table2[[#This Row],[Table Lookup for Life Cover]]="MM_LIFE",Table2[[#This Row],[Age Next Birthday]]&gt;=56),2,
""))</f>
        <v/>
      </c>
      <c r="AJ88" s="328">
        <f>IF(OR(Table2[[#This Row],[Member Type]]="Main Member",Table2[[#This Row],[Main Member Link ID]]=B87),1,0)</f>
        <v>1</v>
      </c>
      <c r="AK88" s="328">
        <f>IF(Table2[[#This Row],[Member Type]]=0,0,
IF(OR(Table2[[#This Row],[Member Type]]="Main Member",Table2[[#This Row],[Main Member Link ID]]&lt;&gt;B88),COUNTIFS(B:B,Table2[[#This Row],[Main Member Link ID]]),
COUNTIFS(B:B,Table2[[#This Row],[Main Member Link ID]],A:A,Table2[[#This Row],[Member Type]])))</f>
        <v>0</v>
      </c>
    </row>
    <row r="89" spans="1:37" x14ac:dyDescent="0.3">
      <c r="A89" s="284">
        <f>Table13[[#This Row],[Member Type]]</f>
        <v>0</v>
      </c>
      <c r="B89" s="284">
        <f>Table13[[#This Row],[Main Member Link ID]]</f>
        <v>0</v>
      </c>
      <c r="C89" s="284">
        <f>Table13[[#This Row],[ID Number]]</f>
        <v>0</v>
      </c>
      <c r="D89" s="285">
        <f>Table13[[#This Row],[Date Of Birth]]</f>
        <v>0</v>
      </c>
      <c r="E89" s="285">
        <f>Table13[[#This Row],[Commencement Date]]</f>
        <v>0</v>
      </c>
      <c r="F89" s="284">
        <f t="shared" si="7"/>
        <v>1</v>
      </c>
      <c r="G89" s="284">
        <f t="shared" si="8"/>
        <v>25</v>
      </c>
      <c r="H89" s="286">
        <f>Table13[[#This Row],[Product Option]]</f>
        <v>0</v>
      </c>
      <c r="I89" s="284">
        <f>IF(AND($A89="Main Member",Table2[[#This Row],[Product Option]]="My Value Plus Life"),"MM_LIFE",
IF(AND($A89="Spouse",Table2[[#This Row],[Product Option]]="My Value Plus Life"),"SP_LIFE",
IF(AND($A89="Main Member",Table2[[#This Row],[Product Option]]="My Value Plus Life &amp; Funeral"),"MM_LIFE",
IF(AND($A89="Spouse",Table2[[#This Row],[Product Option]]="My Value Plus Life &amp; Funeral"),_xlfn.XLOOKUP(Table2[[#This Row],[Benefit Name]],Lookups!$D$18:$D$23,Lookups!$E$18:$E$23,0),
0))))</f>
        <v>0</v>
      </c>
      <c r="J89" s="284">
        <f>IF($I89="","",
IF($I89="MM_LIFE",INDEX('Quotation Tool'!$S$54:$V$60,MATCH($T89,'Quotation Tool'!$S$54:$S$60,0),4),
IF($I89="SP_LIFE",_xlfn.XLOOKUP(B88,$B:$B,$J:$J,0),0)))</f>
        <v>0</v>
      </c>
      <c r="K89" s="287">
        <f t="shared" ca="1" si="12"/>
        <v>0</v>
      </c>
      <c r="L89" s="288">
        <f t="shared" ca="1" si="13"/>
        <v>0</v>
      </c>
      <c r="M89" s="289">
        <f t="shared" ca="1" si="9"/>
        <v>0</v>
      </c>
      <c r="N89" s="286">
        <f>Table13[[#This Row],[Benefit Option]]</f>
        <v>0</v>
      </c>
      <c r="O89" s="284">
        <f>IF(OR(Table2[[#This Row],[Member Type]]="Spouse",Table2[[#This Row],[Member Type]]="Child"),0,
IF(_xlfn.XLOOKUP($N89,Lookups!$D$13:$D$27,Lookups!$F$13:$F$27,0)=Table2[[#This Row],[Table Lookup for Life Cover]],0,
_xlfn.XLOOKUP($N89,Lookups!$D$13:$D$27,Lookups!$F$13:$F$27,0)))</f>
        <v>0</v>
      </c>
      <c r="P89" s="284">
        <f>IF(Table2[[#This Row],[Table Lookup for Funeral]]=0,0,IFERROR(INDEX('Quotation Tool'!$S$54:$V$60,MATCH($T89,'Quotation Tool'!$S$54:$S$60,0),3),0))</f>
        <v>0</v>
      </c>
      <c r="Q89" s="288">
        <f ca="1">IF(OR(Table2[[#This Row],[Benefit Name]]="My Value Plus Life - Main Member",Table2[[#This Row],[Benefit Name]]="My Value Plus Life - Spouse"),0,
IFERROR(VLOOKUP($G89,INDIRECT($O89),$P89,FALSE),0))</f>
        <v>0</v>
      </c>
      <c r="R89" s="288">
        <f ca="1">IF(OR(Table2[[#This Row],[Benefit Name]]="My Value Plus Life - Main Member",Table2[[#This Row],[Benefit Name]]="My Value Plus Life - Spouse"),0,
IFERROR(VLOOKUP($G89,INDIRECT($O89),$P89+1,FALSE),0))</f>
        <v>0</v>
      </c>
      <c r="S89" s="289">
        <f t="shared" ca="1" si="10"/>
        <v>0</v>
      </c>
      <c r="T89" s="284" t="str">
        <f>IF(Table13[[#This Row],[Premium Waiver]]="","None",Table13[[#This Row],[Premium Waiver]])</f>
        <v>None</v>
      </c>
      <c r="U89" s="284">
        <f>Table13[[#This Row],[VAPs Options]]</f>
        <v>0</v>
      </c>
      <c r="V89" s="284">
        <f>Table13[[#This Row],[Annual Increase Option]]</f>
        <v>0</v>
      </c>
      <c r="W89" s="290">
        <f>Table13[[#This Row],[Life Cover Amount]]</f>
        <v>0</v>
      </c>
      <c r="X89" s="290">
        <f>Table13[[#This Row],[Funeral Cover Amount]]</f>
        <v>0</v>
      </c>
      <c r="Y8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8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89" s="301">
        <f t="shared" ca="1" si="11"/>
        <v>0</v>
      </c>
      <c r="AB89" s="298"/>
      <c r="AC89" s="326" t="str">
        <f>IF(Table2[[#This Row],[Member Type]]="Main Member",Lookups!$C$13,
IF(Table2[[#This Row],[Member Type]]="Spouse",_xlfn.XLOOKUP(B89,Table2[Main Member Link ID],Table2[Product Option],0),
IF(AND(Table2[[#This Row],[Member Type]]="Child",_xlfn.XLOOKUP(B89,Table2[Main Member Link ID],Table2[Product Option],0)&lt;&gt;"My Value Plus Life"),Lookups!$C$24,
IF(AND(OR(Table2[[#This Row],[Member Type]]="Parent",Table2[[#This Row],[Member Type]]="Extended"),_xlfn.XLOOKUP(B89,Table2[Main Member Link ID],Table2[Product Option],0)&lt;&gt;"My Value Plus Life"),Lookups!$C$26,""))))</f>
        <v/>
      </c>
      <c r="AD89" s="326" t="str">
        <f>IF(Table2[[#This Row],[Member Type]]="Main Member",Lookups!$C$14,"")</f>
        <v/>
      </c>
      <c r="AE8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Funeral",_xlfn.XLOOKUP(B89,Table2[Main Member Link ID],Table2[Benefit Name],0)=Lookups!$D$14),"",
IF(AND(Table2[[#This Row],[Member Type]]="Spouse",Table2[[#This Row],[Product Option]]="My Value Plus Life &amp; Funeral",_xlfn.XLOOKUP(B88,Table2[Main Member Link ID],Table2[Benefit Name],0)=Lookups!$D$15),Lookups!$D$20,
IF(AND(Table2[[#This Row],[Member Type]]="Spouse",Table2[[#This Row],[Product Option]]="My Value Plus Life &amp; Funeral",_xlfn.XLOOKUP(B88,Table2[Main Member Link ID],Table2[Benefit Name],0)=Lookups!$D$16),"",
IF(AND(Table2[[#This Row],[Member Type]]="Spouse",Table2[[#This Row],[Product Option]]="My Value Plus Life &amp; Funeral",_xlfn.XLOOKUP(B88,Table2[Main Member Link ID],Table2[Benefit Name],0)=Lookups!$D$17),Lookups!$D$21,
IF(AND(Table2[[#This Row],[Member Type]]="Child",Table2[[#This Row],[Product Option]]="My Value Plus Life &amp; Funeral",_xlfn.XLOOKUP(B89,Table2[Main Member Link ID],Table2[Benefit Name],0)=Lookups!$D$14),"",
IF(AND(Table2[[#This Row],[Member Type]]="Child",Table2[[#This Row],[Product Option]]="My Value Plus Life &amp; Funeral",_xlfn.XLOOKUP(B89,Table2[Main Member Link ID],Table2[Benefit Name],0)=Lookups!$D$15),"",
IF(AND(Table2[[#This Row],[Member Type]]="Child",Table2[[#This Row],[Product Option]]="My Value Plus Life &amp; Funeral",_xlfn.XLOOKUP(B89,Table2[Main Member Link ID],Table2[Benefit Name],0)=Lookups!$D$16),Lookups!$D$24,
IF(AND(Table2[[#This Row],[Member Type]]="Child",Table2[[#This Row],[Product Option]]="My Value Plus Life &amp; Funeral",_xlfn.XLOOKUP(B89,Table2[Main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Funeral",_xlfn.XLOOKUP(B89,Table2[Main Member Link ID],Table2[Benefit Name],0)&lt;&gt;Lookups!$D$14),
IF(_xlfn.XLOOKUP(B89,Table2[Main Member Link ID],Table2[Benefit Name],0)=0,"",_xlfn.XLOOKUP(B89,Table2[Main Member Link ID],Table2[Benefit Name],0)),"")))))))))))))))</f>
        <v/>
      </c>
      <c r="AF89" s="327" t="str">
        <f>IF(AND(Table2[[#This Row],[Member Type]]="Main Member",Table2[[#This Row],[Product Option]]="My Value Plus Life &amp; Funeral"),Lookups!$D$15,
IF(AND(Table2[[#This Row],[Member Type]]="Spouse",Table2[[#This Row],[Product Option]]="My Value Plus Life &amp; Funeral",_xlfn.XLOOKUP(B89,Table2[Main Member Link ID],Table2[Benefit Name],0)=Lookups!$D$14),"",
IF(AND(Table2[[#This Row],[Member Type]]="Spouse",Table2[[#This Row],[Product Option]]="My Value Plus Life &amp; Funeral",_xlfn.XLOOKUP(B88,Table2[Main Member Link ID],Table2[Benefit Name],0)=Lookups!$D$16),"",
IF(AND(Table2[[#This Row],[Member Type]]="Spouse",Table2[[#This Row],[Product Option]]="My Value Plus Life &amp; Funeral",_xlfn.XLOOKUP(B88,Table2[Main Member Link ID],Table2[Benefit Name],0)=Lookups!$D$15),"",
IF(AND(Table2[[#This Row],[Member Type]]="Spouse",Table2[[#This Row],[Product Option]]="My Value Plus Life &amp; Funeral",_xlfn.XLOOKUP(B88,Table2[Main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Funeral",_xlfn.XLOOKUP(B89,Table2[Main Member Link ID],Table2[Benefit Name],0)&lt;&gt;Lookups!$D$15),
IF(_xlfn.XLOOKUP(B89,Table2[Main Member Link ID],Table2[Benefit Name],0)=0,"",_xlfn.XLOOKUP(B89,Table2[Main Member Link ID],Table2[Benefit Name],0)),"")
))))))</f>
        <v/>
      </c>
      <c r="AG89" s="327" t="str">
        <f>IF(AND(Table2[[#This Row],[Member Type]]="Main Member",Table2[[#This Row],[Product Option]]="My Value Plus Life &amp; Funeral"),Lookups!$D$16,
IF(AND(Table2[[#This Row],[Member Type]]="Spouse",Table2[[#This Row],[Product Option]]="My Value Plus Life &amp; Funeral",_xlfn.XLOOKUP(B89,Table2[Main Member Link ID],Table2[Benefit Name],0)=Lookups!$D$14),"",
IF(AND(Table2[[#This Row],[Member Type]]="Spouse",Table2[[#This Row],[Product Option]]="My Value Plus Life &amp; Funeral",_xlfn.XLOOKUP(B88,Table2[Main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Funeral",_xlfn.XLOOKUP(B89,Table2[Main Member Link ID],Table2[Benefit Name],0)&lt;&gt;Lookups!$D$16),
IF(_xlfn.XLOOKUP(B89,Table2[Main Member Link ID],Table2[Benefit Name],0)=0,"",_xlfn.XLOOKUP(B89,Table2[Main Member Link ID],Table2[Benefit Name],0)),"")
))))</f>
        <v/>
      </c>
      <c r="AH89" s="327" t="str">
        <f>IF(AND(Table2[[#This Row],[Member Type]]="Main Member",Table2[[#This Row],[Product Option]]="My Value Plus Life &amp; Funeral"),Lookups!$D$17,
IF(AND(Table2[[#This Row],[Member Type]]="Spouse",Table2[[#This Row],[Product Option]]="My Value Plus Life &amp; Funeral",_xlfn.XLOOKUP(B89,Table2[Main Member Link ID],Table2[Benefit Name],0)=Lookups!$D$14),"",
IF(AND(Table2[[#This Row],[Member Type]]="Spouse",Table2[[#This Row],[Product Option]]="My Value Plus Life &amp; Funeral",_xlfn.XLOOKUP(B88,Table2[Main Member Link ID],Table2[Benefit Name],0)=Lookups!$D$16),"",
IF(AND(Table2[[#This Row],[Member Type]]="Child",Table2[[#This Row],[Product Option]]="My Value Plus Life &amp; Funeral"),"",
IF(AND(Table2[[#This Row],[Member Type]]="Child",Table2[[#This Row],[Product Option]]="My Value Plus Life &amp; Funeral",_xlfn.XLOOKUP(B89,Table2[Main Member Link ID],Table2[Benefit Name],0)=Lookups!$D$15),"",
IF(AND(OR(Table2[[#This Row],[Member Type]]="Spouse",Table2[[#This Row],[Member Type]]="Child"),Table2[[#This Row],[Product Option]]="My Value Plus Life &amp; Funeral",_xlfn.XLOOKUP(B89,Table2[Main Member Link ID],Table2[Benefit Name],0)&lt;&gt;Lookups!$D$17),
IF(_xlfn.XLOOKUP(B89,Table2[Main Member Link ID],Table2[Benefit Name],0)=0,"",_xlfn.XLOOKUP(B89,Table2[Main Member Link ID],Table2[Benefit Name],0)),""))))))</f>
        <v/>
      </c>
      <c r="AI89" s="328" t="str">
        <f>IF(AND(Table2[[#This Row],[Member Type]]="Main Member",Table2[[#This Row],[Table Lookup for Life Cover]]="MM_LIFE",Table2[[#This Row],[Age Next Birthday]]&lt;56),1,
IF(AND(Table2[[#This Row],[Member Type]]="Main Member",Table2[[#This Row],[Table Lookup for Life Cover]]="MM_LIFE",Table2[[#This Row],[Age Next Birthday]]&gt;=56),2,
""))</f>
        <v/>
      </c>
      <c r="AJ89" s="328">
        <f>IF(OR(Table2[[#This Row],[Member Type]]="Main Member",Table2[[#This Row],[Main Member Link ID]]=B88),1,0)</f>
        <v>1</v>
      </c>
      <c r="AK89" s="328">
        <f>IF(Table2[[#This Row],[Member Type]]=0,0,
IF(OR(Table2[[#This Row],[Member Type]]="Main Member",Table2[[#This Row],[Main Member Link ID]]&lt;&gt;B89),COUNTIFS(B:B,Table2[[#This Row],[Main Member Link ID]]),
COUNTIFS(B:B,Table2[[#This Row],[Main Member Link ID]],A:A,Table2[[#This Row],[Member Type]])))</f>
        <v>0</v>
      </c>
    </row>
    <row r="90" spans="1:37" x14ac:dyDescent="0.3">
      <c r="A90" s="284">
        <f>Table13[[#This Row],[Member Type]]</f>
        <v>0</v>
      </c>
      <c r="B90" s="284">
        <f>Table13[[#This Row],[Main Member Link ID]]</f>
        <v>0</v>
      </c>
      <c r="C90" s="284">
        <f>Table13[[#This Row],[ID Number]]</f>
        <v>0</v>
      </c>
      <c r="D90" s="285">
        <f>Table13[[#This Row],[Date Of Birth]]</f>
        <v>0</v>
      </c>
      <c r="E90" s="285">
        <f>Table13[[#This Row],[Commencement Date]]</f>
        <v>0</v>
      </c>
      <c r="F90" s="284">
        <f t="shared" si="7"/>
        <v>1</v>
      </c>
      <c r="G90" s="284">
        <f t="shared" si="8"/>
        <v>25</v>
      </c>
      <c r="H90" s="286">
        <f>Table13[[#This Row],[Product Option]]</f>
        <v>0</v>
      </c>
      <c r="I90" s="284">
        <f>IF(AND($A90="Main Member",Table2[[#This Row],[Product Option]]="My Value Plus Life"),"MM_LIFE",
IF(AND($A90="Spouse",Table2[[#This Row],[Product Option]]="My Value Plus Life"),"SP_LIFE",
IF(AND($A90="Main Member",Table2[[#This Row],[Product Option]]="My Value Plus Life &amp; Funeral"),"MM_LIFE",
IF(AND($A90="Spouse",Table2[[#This Row],[Product Option]]="My Value Plus Life &amp; Funeral"),_xlfn.XLOOKUP(Table2[[#This Row],[Benefit Name]],Lookups!$D$18:$D$23,Lookups!$E$18:$E$23,0),
0))))</f>
        <v>0</v>
      </c>
      <c r="J90" s="284">
        <f>IF($I90="","",
IF($I90="MM_LIFE",INDEX('Quotation Tool'!$S$54:$V$60,MATCH($T90,'Quotation Tool'!$S$54:$S$60,0),4),
IF($I90="SP_LIFE",_xlfn.XLOOKUP(B89,$B:$B,$J:$J,0),0)))</f>
        <v>0</v>
      </c>
      <c r="K90" s="287">
        <f t="shared" ca="1" si="12"/>
        <v>0</v>
      </c>
      <c r="L90" s="288">
        <f t="shared" ca="1" si="13"/>
        <v>0</v>
      </c>
      <c r="M90" s="289">
        <f t="shared" ca="1" si="9"/>
        <v>0</v>
      </c>
      <c r="N90" s="286">
        <f>Table13[[#This Row],[Benefit Option]]</f>
        <v>0</v>
      </c>
      <c r="O90" s="284">
        <f>IF(OR(Table2[[#This Row],[Member Type]]="Spouse",Table2[[#This Row],[Member Type]]="Child"),0,
IF(_xlfn.XLOOKUP($N90,Lookups!$D$13:$D$27,Lookups!$F$13:$F$27,0)=Table2[[#This Row],[Table Lookup for Life Cover]],0,
_xlfn.XLOOKUP($N90,Lookups!$D$13:$D$27,Lookups!$F$13:$F$27,0)))</f>
        <v>0</v>
      </c>
      <c r="P90" s="284">
        <f>IF(Table2[[#This Row],[Table Lookup for Funeral]]=0,0,IFERROR(INDEX('Quotation Tool'!$S$54:$V$60,MATCH($T90,'Quotation Tool'!$S$54:$S$60,0),3),0))</f>
        <v>0</v>
      </c>
      <c r="Q90" s="288">
        <f ca="1">IF(OR(Table2[[#This Row],[Benefit Name]]="My Value Plus Life - Main Member",Table2[[#This Row],[Benefit Name]]="My Value Plus Life - Spouse"),0,
IFERROR(VLOOKUP($G90,INDIRECT($O90),$P90,FALSE),0))</f>
        <v>0</v>
      </c>
      <c r="R90" s="288">
        <f ca="1">IF(OR(Table2[[#This Row],[Benefit Name]]="My Value Plus Life - Main Member",Table2[[#This Row],[Benefit Name]]="My Value Plus Life - Spouse"),0,
IFERROR(VLOOKUP($G90,INDIRECT($O90),$P90+1,FALSE),0))</f>
        <v>0</v>
      </c>
      <c r="S90" s="289">
        <f t="shared" ca="1" si="10"/>
        <v>0</v>
      </c>
      <c r="T90" s="284" t="str">
        <f>IF(Table13[[#This Row],[Premium Waiver]]="","None",Table13[[#This Row],[Premium Waiver]])</f>
        <v>None</v>
      </c>
      <c r="U90" s="284">
        <f>Table13[[#This Row],[VAPs Options]]</f>
        <v>0</v>
      </c>
      <c r="V90" s="284">
        <f>Table13[[#This Row],[Annual Increase Option]]</f>
        <v>0</v>
      </c>
      <c r="W90" s="290">
        <f>Table13[[#This Row],[Life Cover Amount]]</f>
        <v>0</v>
      </c>
      <c r="X90" s="290">
        <f>Table13[[#This Row],[Funeral Cover Amount]]</f>
        <v>0</v>
      </c>
      <c r="Y9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9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90" s="301">
        <f t="shared" ca="1" si="11"/>
        <v>0</v>
      </c>
      <c r="AB90" s="298"/>
      <c r="AC90" s="326" t="str">
        <f>IF(Table2[[#This Row],[Member Type]]="Main Member",Lookups!$C$13,
IF(Table2[[#This Row],[Member Type]]="Spouse",_xlfn.XLOOKUP(B90,Table2[Main Member Link ID],Table2[Product Option],0),
IF(AND(Table2[[#This Row],[Member Type]]="Child",_xlfn.XLOOKUP(B90,Table2[Main Member Link ID],Table2[Product Option],0)&lt;&gt;"My Value Plus Life"),Lookups!$C$24,
IF(AND(OR(Table2[[#This Row],[Member Type]]="Parent",Table2[[#This Row],[Member Type]]="Extended"),_xlfn.XLOOKUP(B90,Table2[Main Member Link ID],Table2[Product Option],0)&lt;&gt;"My Value Plus Life"),Lookups!$C$26,""))))</f>
        <v/>
      </c>
      <c r="AD90" s="326" t="str">
        <f>IF(Table2[[#This Row],[Member Type]]="Main Member",Lookups!$C$14,"")</f>
        <v/>
      </c>
      <c r="AE9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Funeral",_xlfn.XLOOKUP(B90,Table2[Main Member Link ID],Table2[Benefit Name],0)=Lookups!$D$14),"",
IF(AND(Table2[[#This Row],[Member Type]]="Spouse",Table2[[#This Row],[Product Option]]="My Value Plus Life &amp; Funeral",_xlfn.XLOOKUP(B89,Table2[Main Member Link ID],Table2[Benefit Name],0)=Lookups!$D$15),Lookups!$D$20,
IF(AND(Table2[[#This Row],[Member Type]]="Spouse",Table2[[#This Row],[Product Option]]="My Value Plus Life &amp; Funeral",_xlfn.XLOOKUP(B89,Table2[Main Member Link ID],Table2[Benefit Name],0)=Lookups!$D$16),"",
IF(AND(Table2[[#This Row],[Member Type]]="Spouse",Table2[[#This Row],[Product Option]]="My Value Plus Life &amp; Funeral",_xlfn.XLOOKUP(B89,Table2[Main Member Link ID],Table2[Benefit Name],0)=Lookups!$D$17),Lookups!$D$21,
IF(AND(Table2[[#This Row],[Member Type]]="Child",Table2[[#This Row],[Product Option]]="My Value Plus Life &amp; Funeral",_xlfn.XLOOKUP(B90,Table2[Main Member Link ID],Table2[Benefit Name],0)=Lookups!$D$14),"",
IF(AND(Table2[[#This Row],[Member Type]]="Child",Table2[[#This Row],[Product Option]]="My Value Plus Life &amp; Funeral",_xlfn.XLOOKUP(B90,Table2[Main Member Link ID],Table2[Benefit Name],0)=Lookups!$D$15),"",
IF(AND(Table2[[#This Row],[Member Type]]="Child",Table2[[#This Row],[Product Option]]="My Value Plus Life &amp; Funeral",_xlfn.XLOOKUP(B90,Table2[Main Member Link ID],Table2[Benefit Name],0)=Lookups!$D$16),Lookups!$D$24,
IF(AND(Table2[[#This Row],[Member Type]]="Child",Table2[[#This Row],[Product Option]]="My Value Plus Life &amp; Funeral",_xlfn.XLOOKUP(B90,Table2[Main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Funeral",_xlfn.XLOOKUP(B90,Table2[Main Member Link ID],Table2[Benefit Name],0)&lt;&gt;Lookups!$D$14),
IF(_xlfn.XLOOKUP(B90,Table2[Main Member Link ID],Table2[Benefit Name],0)=0,"",_xlfn.XLOOKUP(B90,Table2[Main Member Link ID],Table2[Benefit Name],0)),"")))))))))))))))</f>
        <v/>
      </c>
      <c r="AF90" s="327" t="str">
        <f>IF(AND(Table2[[#This Row],[Member Type]]="Main Member",Table2[[#This Row],[Product Option]]="My Value Plus Life &amp; Funeral"),Lookups!$D$15,
IF(AND(Table2[[#This Row],[Member Type]]="Spouse",Table2[[#This Row],[Product Option]]="My Value Plus Life &amp; Funeral",_xlfn.XLOOKUP(B90,Table2[Main Member Link ID],Table2[Benefit Name],0)=Lookups!$D$14),"",
IF(AND(Table2[[#This Row],[Member Type]]="Spouse",Table2[[#This Row],[Product Option]]="My Value Plus Life &amp; Funeral",_xlfn.XLOOKUP(B89,Table2[Main Member Link ID],Table2[Benefit Name],0)=Lookups!$D$16),"",
IF(AND(Table2[[#This Row],[Member Type]]="Spouse",Table2[[#This Row],[Product Option]]="My Value Plus Life &amp; Funeral",_xlfn.XLOOKUP(B89,Table2[Main Member Link ID],Table2[Benefit Name],0)=Lookups!$D$15),"",
IF(AND(Table2[[#This Row],[Member Type]]="Spouse",Table2[[#This Row],[Product Option]]="My Value Plus Life &amp; Funeral",_xlfn.XLOOKUP(B89,Table2[Main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Funeral",_xlfn.XLOOKUP(B90,Table2[Main Member Link ID],Table2[Benefit Name],0)&lt;&gt;Lookups!$D$15),
IF(_xlfn.XLOOKUP(B90,Table2[Main Member Link ID],Table2[Benefit Name],0)=0,"",_xlfn.XLOOKUP(B90,Table2[Main Member Link ID],Table2[Benefit Name],0)),"")
))))))</f>
        <v/>
      </c>
      <c r="AG90" s="327" t="str">
        <f>IF(AND(Table2[[#This Row],[Member Type]]="Main Member",Table2[[#This Row],[Product Option]]="My Value Plus Life &amp; Funeral"),Lookups!$D$16,
IF(AND(Table2[[#This Row],[Member Type]]="Spouse",Table2[[#This Row],[Product Option]]="My Value Plus Life &amp; Funeral",_xlfn.XLOOKUP(B90,Table2[Main Member Link ID],Table2[Benefit Name],0)=Lookups!$D$14),"",
IF(AND(Table2[[#This Row],[Member Type]]="Spouse",Table2[[#This Row],[Product Option]]="My Value Plus Life &amp; Funeral",_xlfn.XLOOKUP(B89,Table2[Main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Funeral",_xlfn.XLOOKUP(B90,Table2[Main Member Link ID],Table2[Benefit Name],0)&lt;&gt;Lookups!$D$16),
IF(_xlfn.XLOOKUP(B90,Table2[Main Member Link ID],Table2[Benefit Name],0)=0,"",_xlfn.XLOOKUP(B90,Table2[Main Member Link ID],Table2[Benefit Name],0)),"")
))))</f>
        <v/>
      </c>
      <c r="AH90" s="327" t="str">
        <f>IF(AND(Table2[[#This Row],[Member Type]]="Main Member",Table2[[#This Row],[Product Option]]="My Value Plus Life &amp; Funeral"),Lookups!$D$17,
IF(AND(Table2[[#This Row],[Member Type]]="Spouse",Table2[[#This Row],[Product Option]]="My Value Plus Life &amp; Funeral",_xlfn.XLOOKUP(B90,Table2[Main Member Link ID],Table2[Benefit Name],0)=Lookups!$D$14),"",
IF(AND(Table2[[#This Row],[Member Type]]="Spouse",Table2[[#This Row],[Product Option]]="My Value Plus Life &amp; Funeral",_xlfn.XLOOKUP(B89,Table2[Main Member Link ID],Table2[Benefit Name],0)=Lookups!$D$16),"",
IF(AND(Table2[[#This Row],[Member Type]]="Child",Table2[[#This Row],[Product Option]]="My Value Plus Life &amp; Funeral"),"",
IF(AND(Table2[[#This Row],[Member Type]]="Child",Table2[[#This Row],[Product Option]]="My Value Plus Life &amp; Funeral",_xlfn.XLOOKUP(B90,Table2[Main Member Link ID],Table2[Benefit Name],0)=Lookups!$D$15),"",
IF(AND(OR(Table2[[#This Row],[Member Type]]="Spouse",Table2[[#This Row],[Member Type]]="Child"),Table2[[#This Row],[Product Option]]="My Value Plus Life &amp; Funeral",_xlfn.XLOOKUP(B90,Table2[Main Member Link ID],Table2[Benefit Name],0)&lt;&gt;Lookups!$D$17),
IF(_xlfn.XLOOKUP(B90,Table2[Main Member Link ID],Table2[Benefit Name],0)=0,"",_xlfn.XLOOKUP(B90,Table2[Main Member Link ID],Table2[Benefit Name],0)),""))))))</f>
        <v/>
      </c>
      <c r="AI90" s="328" t="str">
        <f>IF(AND(Table2[[#This Row],[Member Type]]="Main Member",Table2[[#This Row],[Table Lookup for Life Cover]]="MM_LIFE",Table2[[#This Row],[Age Next Birthday]]&lt;56),1,
IF(AND(Table2[[#This Row],[Member Type]]="Main Member",Table2[[#This Row],[Table Lookup for Life Cover]]="MM_LIFE",Table2[[#This Row],[Age Next Birthday]]&gt;=56),2,
""))</f>
        <v/>
      </c>
      <c r="AJ90" s="328">
        <f>IF(OR(Table2[[#This Row],[Member Type]]="Main Member",Table2[[#This Row],[Main Member Link ID]]=B89),1,0)</f>
        <v>1</v>
      </c>
      <c r="AK90" s="328">
        <f>IF(Table2[[#This Row],[Member Type]]=0,0,
IF(OR(Table2[[#This Row],[Member Type]]="Main Member",Table2[[#This Row],[Main Member Link ID]]&lt;&gt;B90),COUNTIFS(B:B,Table2[[#This Row],[Main Member Link ID]]),
COUNTIFS(B:B,Table2[[#This Row],[Main Member Link ID]],A:A,Table2[[#This Row],[Member Type]])))</f>
        <v>0</v>
      </c>
    </row>
    <row r="91" spans="1:37" x14ac:dyDescent="0.3">
      <c r="A91" s="284">
        <f>Table13[[#This Row],[Member Type]]</f>
        <v>0</v>
      </c>
      <c r="B91" s="284">
        <f>Table13[[#This Row],[Main Member Link ID]]</f>
        <v>0</v>
      </c>
      <c r="C91" s="284">
        <f>Table13[[#This Row],[ID Number]]</f>
        <v>0</v>
      </c>
      <c r="D91" s="285">
        <f>Table13[[#This Row],[Date Of Birth]]</f>
        <v>0</v>
      </c>
      <c r="E91" s="285">
        <f>Table13[[#This Row],[Commencement Date]]</f>
        <v>0</v>
      </c>
      <c r="F91" s="284">
        <f t="shared" si="7"/>
        <v>1</v>
      </c>
      <c r="G91" s="284">
        <f t="shared" si="8"/>
        <v>25</v>
      </c>
      <c r="H91" s="286">
        <f>Table13[[#This Row],[Product Option]]</f>
        <v>0</v>
      </c>
      <c r="I91" s="284">
        <f>IF(AND($A91="Main Member",Table2[[#This Row],[Product Option]]="My Value Plus Life"),"MM_LIFE",
IF(AND($A91="Spouse",Table2[[#This Row],[Product Option]]="My Value Plus Life"),"SP_LIFE",
IF(AND($A91="Main Member",Table2[[#This Row],[Product Option]]="My Value Plus Life &amp; Funeral"),"MM_LIFE",
IF(AND($A91="Spouse",Table2[[#This Row],[Product Option]]="My Value Plus Life &amp; Funeral"),_xlfn.XLOOKUP(Table2[[#This Row],[Benefit Name]],Lookups!$D$18:$D$23,Lookups!$E$18:$E$23,0),
0))))</f>
        <v>0</v>
      </c>
      <c r="J91" s="284">
        <f>IF($I91="","",
IF($I91="MM_LIFE",INDEX('Quotation Tool'!$S$54:$V$60,MATCH($T91,'Quotation Tool'!$S$54:$S$60,0),4),
IF($I91="SP_LIFE",_xlfn.XLOOKUP(B90,$B:$B,$J:$J,0),0)))</f>
        <v>0</v>
      </c>
      <c r="K91" s="287">
        <f t="shared" ca="1" si="12"/>
        <v>0</v>
      </c>
      <c r="L91" s="288">
        <f t="shared" ca="1" si="13"/>
        <v>0</v>
      </c>
      <c r="M91" s="289">
        <f t="shared" ca="1" si="9"/>
        <v>0</v>
      </c>
      <c r="N91" s="286">
        <f>Table13[[#This Row],[Benefit Option]]</f>
        <v>0</v>
      </c>
      <c r="O91" s="284">
        <f>IF(OR(Table2[[#This Row],[Member Type]]="Spouse",Table2[[#This Row],[Member Type]]="Child"),0,
IF(_xlfn.XLOOKUP($N91,Lookups!$D$13:$D$27,Lookups!$F$13:$F$27,0)=Table2[[#This Row],[Table Lookup for Life Cover]],0,
_xlfn.XLOOKUP($N91,Lookups!$D$13:$D$27,Lookups!$F$13:$F$27,0)))</f>
        <v>0</v>
      </c>
      <c r="P91" s="284">
        <f>IF(Table2[[#This Row],[Table Lookup for Funeral]]=0,0,IFERROR(INDEX('Quotation Tool'!$S$54:$V$60,MATCH($T91,'Quotation Tool'!$S$54:$S$60,0),3),0))</f>
        <v>0</v>
      </c>
      <c r="Q91" s="288">
        <f ca="1">IF(OR(Table2[[#This Row],[Benefit Name]]="My Value Plus Life - Main Member",Table2[[#This Row],[Benefit Name]]="My Value Plus Life - Spouse"),0,
IFERROR(VLOOKUP($G91,INDIRECT($O91),$P91,FALSE),0))</f>
        <v>0</v>
      </c>
      <c r="R91" s="288">
        <f ca="1">IF(OR(Table2[[#This Row],[Benefit Name]]="My Value Plus Life - Main Member",Table2[[#This Row],[Benefit Name]]="My Value Plus Life - Spouse"),0,
IFERROR(VLOOKUP($G91,INDIRECT($O91),$P91+1,FALSE),0))</f>
        <v>0</v>
      </c>
      <c r="S91" s="289">
        <f t="shared" ca="1" si="10"/>
        <v>0</v>
      </c>
      <c r="T91" s="284" t="str">
        <f>IF(Table13[[#This Row],[Premium Waiver]]="","None",Table13[[#This Row],[Premium Waiver]])</f>
        <v>None</v>
      </c>
      <c r="U91" s="284">
        <f>Table13[[#This Row],[VAPs Options]]</f>
        <v>0</v>
      </c>
      <c r="V91" s="284">
        <f>Table13[[#This Row],[Annual Increase Option]]</f>
        <v>0</v>
      </c>
      <c r="W91" s="290">
        <f>Table13[[#This Row],[Life Cover Amount]]</f>
        <v>0</v>
      </c>
      <c r="X91" s="290">
        <f>Table13[[#This Row],[Funeral Cover Amount]]</f>
        <v>0</v>
      </c>
      <c r="Y9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9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91" s="301">
        <f t="shared" ca="1" si="11"/>
        <v>0</v>
      </c>
      <c r="AB91" s="298"/>
      <c r="AC91" s="326" t="str">
        <f>IF(Table2[[#This Row],[Member Type]]="Main Member",Lookups!$C$13,
IF(Table2[[#This Row],[Member Type]]="Spouse",_xlfn.XLOOKUP(B91,Table2[Main Member Link ID],Table2[Product Option],0),
IF(AND(Table2[[#This Row],[Member Type]]="Child",_xlfn.XLOOKUP(B91,Table2[Main Member Link ID],Table2[Product Option],0)&lt;&gt;"My Value Plus Life"),Lookups!$C$24,
IF(AND(OR(Table2[[#This Row],[Member Type]]="Parent",Table2[[#This Row],[Member Type]]="Extended"),_xlfn.XLOOKUP(B91,Table2[Main Member Link ID],Table2[Product Option],0)&lt;&gt;"My Value Plus Life"),Lookups!$C$26,""))))</f>
        <v/>
      </c>
      <c r="AD91" s="326" t="str">
        <f>IF(Table2[[#This Row],[Member Type]]="Main Member",Lookups!$C$14,"")</f>
        <v/>
      </c>
      <c r="AE9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Funeral",_xlfn.XLOOKUP(B91,Table2[Main Member Link ID],Table2[Benefit Name],0)=Lookups!$D$14),"",
IF(AND(Table2[[#This Row],[Member Type]]="Spouse",Table2[[#This Row],[Product Option]]="My Value Plus Life &amp; Funeral",_xlfn.XLOOKUP(B90,Table2[Main Member Link ID],Table2[Benefit Name],0)=Lookups!$D$15),Lookups!$D$20,
IF(AND(Table2[[#This Row],[Member Type]]="Spouse",Table2[[#This Row],[Product Option]]="My Value Plus Life &amp; Funeral",_xlfn.XLOOKUP(B90,Table2[Main Member Link ID],Table2[Benefit Name],0)=Lookups!$D$16),"",
IF(AND(Table2[[#This Row],[Member Type]]="Spouse",Table2[[#This Row],[Product Option]]="My Value Plus Life &amp; Funeral",_xlfn.XLOOKUP(B90,Table2[Main Member Link ID],Table2[Benefit Name],0)=Lookups!$D$17),Lookups!$D$21,
IF(AND(Table2[[#This Row],[Member Type]]="Child",Table2[[#This Row],[Product Option]]="My Value Plus Life &amp; Funeral",_xlfn.XLOOKUP(B91,Table2[Main Member Link ID],Table2[Benefit Name],0)=Lookups!$D$14),"",
IF(AND(Table2[[#This Row],[Member Type]]="Child",Table2[[#This Row],[Product Option]]="My Value Plus Life &amp; Funeral",_xlfn.XLOOKUP(B91,Table2[Main Member Link ID],Table2[Benefit Name],0)=Lookups!$D$15),"",
IF(AND(Table2[[#This Row],[Member Type]]="Child",Table2[[#This Row],[Product Option]]="My Value Plus Life &amp; Funeral",_xlfn.XLOOKUP(B91,Table2[Main Member Link ID],Table2[Benefit Name],0)=Lookups!$D$16),Lookups!$D$24,
IF(AND(Table2[[#This Row],[Member Type]]="Child",Table2[[#This Row],[Product Option]]="My Value Plus Life &amp; Funeral",_xlfn.XLOOKUP(B91,Table2[Main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Funeral",_xlfn.XLOOKUP(B91,Table2[Main Member Link ID],Table2[Benefit Name],0)&lt;&gt;Lookups!$D$14),
IF(_xlfn.XLOOKUP(B91,Table2[Main Member Link ID],Table2[Benefit Name],0)=0,"",_xlfn.XLOOKUP(B91,Table2[Main Member Link ID],Table2[Benefit Name],0)),"")))))))))))))))</f>
        <v/>
      </c>
      <c r="AF91" s="327" t="str">
        <f>IF(AND(Table2[[#This Row],[Member Type]]="Main Member",Table2[[#This Row],[Product Option]]="My Value Plus Life &amp; Funeral"),Lookups!$D$15,
IF(AND(Table2[[#This Row],[Member Type]]="Spouse",Table2[[#This Row],[Product Option]]="My Value Plus Life &amp; Funeral",_xlfn.XLOOKUP(B91,Table2[Main Member Link ID],Table2[Benefit Name],0)=Lookups!$D$14),"",
IF(AND(Table2[[#This Row],[Member Type]]="Spouse",Table2[[#This Row],[Product Option]]="My Value Plus Life &amp; Funeral",_xlfn.XLOOKUP(B90,Table2[Main Member Link ID],Table2[Benefit Name],0)=Lookups!$D$16),"",
IF(AND(Table2[[#This Row],[Member Type]]="Spouse",Table2[[#This Row],[Product Option]]="My Value Plus Life &amp; Funeral",_xlfn.XLOOKUP(B90,Table2[Main Member Link ID],Table2[Benefit Name],0)=Lookups!$D$15),"",
IF(AND(Table2[[#This Row],[Member Type]]="Spouse",Table2[[#This Row],[Product Option]]="My Value Plus Life &amp; Funeral",_xlfn.XLOOKUP(B90,Table2[Main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Funeral",_xlfn.XLOOKUP(B91,Table2[Main Member Link ID],Table2[Benefit Name],0)&lt;&gt;Lookups!$D$15),
IF(_xlfn.XLOOKUP(B91,Table2[Main Member Link ID],Table2[Benefit Name],0)=0,"",_xlfn.XLOOKUP(B91,Table2[Main Member Link ID],Table2[Benefit Name],0)),"")
))))))</f>
        <v/>
      </c>
      <c r="AG91" s="327" t="str">
        <f>IF(AND(Table2[[#This Row],[Member Type]]="Main Member",Table2[[#This Row],[Product Option]]="My Value Plus Life &amp; Funeral"),Lookups!$D$16,
IF(AND(Table2[[#This Row],[Member Type]]="Spouse",Table2[[#This Row],[Product Option]]="My Value Plus Life &amp; Funeral",_xlfn.XLOOKUP(B91,Table2[Main Member Link ID],Table2[Benefit Name],0)=Lookups!$D$14),"",
IF(AND(Table2[[#This Row],[Member Type]]="Spouse",Table2[[#This Row],[Product Option]]="My Value Plus Life &amp; Funeral",_xlfn.XLOOKUP(B90,Table2[Main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Funeral",_xlfn.XLOOKUP(B91,Table2[Main Member Link ID],Table2[Benefit Name],0)&lt;&gt;Lookups!$D$16),
IF(_xlfn.XLOOKUP(B91,Table2[Main Member Link ID],Table2[Benefit Name],0)=0,"",_xlfn.XLOOKUP(B91,Table2[Main Member Link ID],Table2[Benefit Name],0)),"")
))))</f>
        <v/>
      </c>
      <c r="AH91" s="327" t="str">
        <f>IF(AND(Table2[[#This Row],[Member Type]]="Main Member",Table2[[#This Row],[Product Option]]="My Value Plus Life &amp; Funeral"),Lookups!$D$17,
IF(AND(Table2[[#This Row],[Member Type]]="Spouse",Table2[[#This Row],[Product Option]]="My Value Plus Life &amp; Funeral",_xlfn.XLOOKUP(B91,Table2[Main Member Link ID],Table2[Benefit Name],0)=Lookups!$D$14),"",
IF(AND(Table2[[#This Row],[Member Type]]="Spouse",Table2[[#This Row],[Product Option]]="My Value Plus Life &amp; Funeral",_xlfn.XLOOKUP(B90,Table2[Main Member Link ID],Table2[Benefit Name],0)=Lookups!$D$16),"",
IF(AND(Table2[[#This Row],[Member Type]]="Child",Table2[[#This Row],[Product Option]]="My Value Plus Life &amp; Funeral"),"",
IF(AND(Table2[[#This Row],[Member Type]]="Child",Table2[[#This Row],[Product Option]]="My Value Plus Life &amp; Funeral",_xlfn.XLOOKUP(B91,Table2[Main Member Link ID],Table2[Benefit Name],0)=Lookups!$D$15),"",
IF(AND(OR(Table2[[#This Row],[Member Type]]="Spouse",Table2[[#This Row],[Member Type]]="Child"),Table2[[#This Row],[Product Option]]="My Value Plus Life &amp; Funeral",_xlfn.XLOOKUP(B91,Table2[Main Member Link ID],Table2[Benefit Name],0)&lt;&gt;Lookups!$D$17),
IF(_xlfn.XLOOKUP(B91,Table2[Main Member Link ID],Table2[Benefit Name],0)=0,"",_xlfn.XLOOKUP(B91,Table2[Main Member Link ID],Table2[Benefit Name],0)),""))))))</f>
        <v/>
      </c>
      <c r="AI91" s="328" t="str">
        <f>IF(AND(Table2[[#This Row],[Member Type]]="Main Member",Table2[[#This Row],[Table Lookup for Life Cover]]="MM_LIFE",Table2[[#This Row],[Age Next Birthday]]&lt;56),1,
IF(AND(Table2[[#This Row],[Member Type]]="Main Member",Table2[[#This Row],[Table Lookup for Life Cover]]="MM_LIFE",Table2[[#This Row],[Age Next Birthday]]&gt;=56),2,
""))</f>
        <v/>
      </c>
      <c r="AJ91" s="328">
        <f>IF(OR(Table2[[#This Row],[Member Type]]="Main Member",Table2[[#This Row],[Main Member Link ID]]=B90),1,0)</f>
        <v>1</v>
      </c>
      <c r="AK91" s="328">
        <f>IF(Table2[[#This Row],[Member Type]]=0,0,
IF(OR(Table2[[#This Row],[Member Type]]="Main Member",Table2[[#This Row],[Main Member Link ID]]&lt;&gt;B91),COUNTIFS(B:B,Table2[[#This Row],[Main Member Link ID]]),
COUNTIFS(B:B,Table2[[#This Row],[Main Member Link ID]],A:A,Table2[[#This Row],[Member Type]])))</f>
        <v>0</v>
      </c>
    </row>
    <row r="92" spans="1:37" x14ac:dyDescent="0.3">
      <c r="A92" s="284">
        <f>Table13[[#This Row],[Member Type]]</f>
        <v>0</v>
      </c>
      <c r="B92" s="284">
        <f>Table13[[#This Row],[Main Member Link ID]]</f>
        <v>0</v>
      </c>
      <c r="C92" s="284">
        <f>Table13[[#This Row],[ID Number]]</f>
        <v>0</v>
      </c>
      <c r="D92" s="285">
        <f>Table13[[#This Row],[Date Of Birth]]</f>
        <v>0</v>
      </c>
      <c r="E92" s="285">
        <f>Table13[[#This Row],[Commencement Date]]</f>
        <v>0</v>
      </c>
      <c r="F92" s="284">
        <f t="shared" si="7"/>
        <v>1</v>
      </c>
      <c r="G92" s="284">
        <f t="shared" si="8"/>
        <v>25</v>
      </c>
      <c r="H92" s="286">
        <f>Table13[[#This Row],[Product Option]]</f>
        <v>0</v>
      </c>
      <c r="I92" s="284">
        <f>IF(AND($A92="Main Member",Table2[[#This Row],[Product Option]]="My Value Plus Life"),"MM_LIFE",
IF(AND($A92="Spouse",Table2[[#This Row],[Product Option]]="My Value Plus Life"),"SP_LIFE",
IF(AND($A92="Main Member",Table2[[#This Row],[Product Option]]="My Value Plus Life &amp; Funeral"),"MM_LIFE",
IF(AND($A92="Spouse",Table2[[#This Row],[Product Option]]="My Value Plus Life &amp; Funeral"),_xlfn.XLOOKUP(Table2[[#This Row],[Benefit Name]],Lookups!$D$18:$D$23,Lookups!$E$18:$E$23,0),
0))))</f>
        <v>0</v>
      </c>
      <c r="J92" s="284">
        <f>IF($I92="","",
IF($I92="MM_LIFE",INDEX('Quotation Tool'!$S$54:$V$60,MATCH($T92,'Quotation Tool'!$S$54:$S$60,0),4),
IF($I92="SP_LIFE",_xlfn.XLOOKUP(B91,$B:$B,$J:$J,0),0)))</f>
        <v>0</v>
      </c>
      <c r="K92" s="287">
        <f t="shared" ca="1" si="12"/>
        <v>0</v>
      </c>
      <c r="L92" s="288">
        <f t="shared" ca="1" si="13"/>
        <v>0</v>
      </c>
      <c r="M92" s="289">
        <f t="shared" ca="1" si="9"/>
        <v>0</v>
      </c>
      <c r="N92" s="286">
        <f>Table13[[#This Row],[Benefit Option]]</f>
        <v>0</v>
      </c>
      <c r="O92" s="284">
        <f>IF(OR(Table2[[#This Row],[Member Type]]="Spouse",Table2[[#This Row],[Member Type]]="Child"),0,
IF(_xlfn.XLOOKUP($N92,Lookups!$D$13:$D$27,Lookups!$F$13:$F$27,0)=Table2[[#This Row],[Table Lookup for Life Cover]],0,
_xlfn.XLOOKUP($N92,Lookups!$D$13:$D$27,Lookups!$F$13:$F$27,0)))</f>
        <v>0</v>
      </c>
      <c r="P92" s="284">
        <f>IF(Table2[[#This Row],[Table Lookup for Funeral]]=0,0,IFERROR(INDEX('Quotation Tool'!$S$54:$V$60,MATCH($T92,'Quotation Tool'!$S$54:$S$60,0),3),0))</f>
        <v>0</v>
      </c>
      <c r="Q92" s="288">
        <f ca="1">IF(OR(Table2[[#This Row],[Benefit Name]]="My Value Plus Life - Main Member",Table2[[#This Row],[Benefit Name]]="My Value Plus Life - Spouse"),0,
IFERROR(VLOOKUP($G92,INDIRECT($O92),$P92,FALSE),0))</f>
        <v>0</v>
      </c>
      <c r="R92" s="288">
        <f ca="1">IF(OR(Table2[[#This Row],[Benefit Name]]="My Value Plus Life - Main Member",Table2[[#This Row],[Benefit Name]]="My Value Plus Life - Spouse"),0,
IFERROR(VLOOKUP($G92,INDIRECT($O92),$P92+1,FALSE),0))</f>
        <v>0</v>
      </c>
      <c r="S92" s="289">
        <f t="shared" ca="1" si="10"/>
        <v>0</v>
      </c>
      <c r="T92" s="284" t="str">
        <f>IF(Table13[[#This Row],[Premium Waiver]]="","None",Table13[[#This Row],[Premium Waiver]])</f>
        <v>None</v>
      </c>
      <c r="U92" s="284">
        <f>Table13[[#This Row],[VAPs Options]]</f>
        <v>0</v>
      </c>
      <c r="V92" s="284">
        <f>Table13[[#This Row],[Annual Increase Option]]</f>
        <v>0</v>
      </c>
      <c r="W92" s="290">
        <f>Table13[[#This Row],[Life Cover Amount]]</f>
        <v>0</v>
      </c>
      <c r="X92" s="290">
        <f>Table13[[#This Row],[Funeral Cover Amount]]</f>
        <v>0</v>
      </c>
      <c r="Y9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9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92" s="301">
        <f t="shared" ca="1" si="11"/>
        <v>0</v>
      </c>
      <c r="AB92" s="298"/>
      <c r="AC92" s="326" t="str">
        <f>IF(Table2[[#This Row],[Member Type]]="Main Member",Lookups!$C$13,
IF(Table2[[#This Row],[Member Type]]="Spouse",_xlfn.XLOOKUP(B92,Table2[Main Member Link ID],Table2[Product Option],0),
IF(AND(Table2[[#This Row],[Member Type]]="Child",_xlfn.XLOOKUP(B92,Table2[Main Member Link ID],Table2[Product Option],0)&lt;&gt;"My Value Plus Life"),Lookups!$C$24,
IF(AND(OR(Table2[[#This Row],[Member Type]]="Parent",Table2[[#This Row],[Member Type]]="Extended"),_xlfn.XLOOKUP(B92,Table2[Main Member Link ID],Table2[Product Option],0)&lt;&gt;"My Value Plus Life"),Lookups!$C$26,""))))</f>
        <v/>
      </c>
      <c r="AD92" s="326" t="str">
        <f>IF(Table2[[#This Row],[Member Type]]="Main Member",Lookups!$C$14,"")</f>
        <v/>
      </c>
      <c r="AE9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Funeral",_xlfn.XLOOKUP(B92,Table2[Main Member Link ID],Table2[Benefit Name],0)=Lookups!$D$14),"",
IF(AND(Table2[[#This Row],[Member Type]]="Spouse",Table2[[#This Row],[Product Option]]="My Value Plus Life &amp; Funeral",_xlfn.XLOOKUP(B91,Table2[Main Member Link ID],Table2[Benefit Name],0)=Lookups!$D$15),Lookups!$D$20,
IF(AND(Table2[[#This Row],[Member Type]]="Spouse",Table2[[#This Row],[Product Option]]="My Value Plus Life &amp; Funeral",_xlfn.XLOOKUP(B91,Table2[Main Member Link ID],Table2[Benefit Name],0)=Lookups!$D$16),"",
IF(AND(Table2[[#This Row],[Member Type]]="Spouse",Table2[[#This Row],[Product Option]]="My Value Plus Life &amp; Funeral",_xlfn.XLOOKUP(B91,Table2[Main Member Link ID],Table2[Benefit Name],0)=Lookups!$D$17),Lookups!$D$21,
IF(AND(Table2[[#This Row],[Member Type]]="Child",Table2[[#This Row],[Product Option]]="My Value Plus Life &amp; Funeral",_xlfn.XLOOKUP(B92,Table2[Main Member Link ID],Table2[Benefit Name],0)=Lookups!$D$14),"",
IF(AND(Table2[[#This Row],[Member Type]]="Child",Table2[[#This Row],[Product Option]]="My Value Plus Life &amp; Funeral",_xlfn.XLOOKUP(B92,Table2[Main Member Link ID],Table2[Benefit Name],0)=Lookups!$D$15),"",
IF(AND(Table2[[#This Row],[Member Type]]="Child",Table2[[#This Row],[Product Option]]="My Value Plus Life &amp; Funeral",_xlfn.XLOOKUP(B92,Table2[Main Member Link ID],Table2[Benefit Name],0)=Lookups!$D$16),Lookups!$D$24,
IF(AND(Table2[[#This Row],[Member Type]]="Child",Table2[[#This Row],[Product Option]]="My Value Plus Life &amp; Funeral",_xlfn.XLOOKUP(B92,Table2[Main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Funeral",_xlfn.XLOOKUP(B92,Table2[Main Member Link ID],Table2[Benefit Name],0)&lt;&gt;Lookups!$D$14),
IF(_xlfn.XLOOKUP(B92,Table2[Main Member Link ID],Table2[Benefit Name],0)=0,"",_xlfn.XLOOKUP(B92,Table2[Main Member Link ID],Table2[Benefit Name],0)),"")))))))))))))))</f>
        <v/>
      </c>
      <c r="AF92" s="327" t="str">
        <f>IF(AND(Table2[[#This Row],[Member Type]]="Main Member",Table2[[#This Row],[Product Option]]="My Value Plus Life &amp; Funeral"),Lookups!$D$15,
IF(AND(Table2[[#This Row],[Member Type]]="Spouse",Table2[[#This Row],[Product Option]]="My Value Plus Life &amp; Funeral",_xlfn.XLOOKUP(B92,Table2[Main Member Link ID],Table2[Benefit Name],0)=Lookups!$D$14),"",
IF(AND(Table2[[#This Row],[Member Type]]="Spouse",Table2[[#This Row],[Product Option]]="My Value Plus Life &amp; Funeral",_xlfn.XLOOKUP(B91,Table2[Main Member Link ID],Table2[Benefit Name],0)=Lookups!$D$16),"",
IF(AND(Table2[[#This Row],[Member Type]]="Spouse",Table2[[#This Row],[Product Option]]="My Value Plus Life &amp; Funeral",_xlfn.XLOOKUP(B91,Table2[Main Member Link ID],Table2[Benefit Name],0)=Lookups!$D$15),"",
IF(AND(Table2[[#This Row],[Member Type]]="Spouse",Table2[[#This Row],[Product Option]]="My Value Plus Life &amp; Funeral",_xlfn.XLOOKUP(B91,Table2[Main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Funeral",_xlfn.XLOOKUP(B92,Table2[Main Member Link ID],Table2[Benefit Name],0)&lt;&gt;Lookups!$D$15),
IF(_xlfn.XLOOKUP(B92,Table2[Main Member Link ID],Table2[Benefit Name],0)=0,"",_xlfn.XLOOKUP(B92,Table2[Main Member Link ID],Table2[Benefit Name],0)),"")
))))))</f>
        <v/>
      </c>
      <c r="AG92" s="327" t="str">
        <f>IF(AND(Table2[[#This Row],[Member Type]]="Main Member",Table2[[#This Row],[Product Option]]="My Value Plus Life &amp; Funeral"),Lookups!$D$16,
IF(AND(Table2[[#This Row],[Member Type]]="Spouse",Table2[[#This Row],[Product Option]]="My Value Plus Life &amp; Funeral",_xlfn.XLOOKUP(B92,Table2[Main Member Link ID],Table2[Benefit Name],0)=Lookups!$D$14),"",
IF(AND(Table2[[#This Row],[Member Type]]="Spouse",Table2[[#This Row],[Product Option]]="My Value Plus Life &amp; Funeral",_xlfn.XLOOKUP(B91,Table2[Main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Funeral",_xlfn.XLOOKUP(B92,Table2[Main Member Link ID],Table2[Benefit Name],0)&lt;&gt;Lookups!$D$16),
IF(_xlfn.XLOOKUP(B92,Table2[Main Member Link ID],Table2[Benefit Name],0)=0,"",_xlfn.XLOOKUP(B92,Table2[Main Member Link ID],Table2[Benefit Name],0)),"")
))))</f>
        <v/>
      </c>
      <c r="AH92" s="327" t="str">
        <f>IF(AND(Table2[[#This Row],[Member Type]]="Main Member",Table2[[#This Row],[Product Option]]="My Value Plus Life &amp; Funeral"),Lookups!$D$17,
IF(AND(Table2[[#This Row],[Member Type]]="Spouse",Table2[[#This Row],[Product Option]]="My Value Plus Life &amp; Funeral",_xlfn.XLOOKUP(B92,Table2[Main Member Link ID],Table2[Benefit Name],0)=Lookups!$D$14),"",
IF(AND(Table2[[#This Row],[Member Type]]="Spouse",Table2[[#This Row],[Product Option]]="My Value Plus Life &amp; Funeral",_xlfn.XLOOKUP(B91,Table2[Main Member Link ID],Table2[Benefit Name],0)=Lookups!$D$16),"",
IF(AND(Table2[[#This Row],[Member Type]]="Child",Table2[[#This Row],[Product Option]]="My Value Plus Life &amp; Funeral"),"",
IF(AND(Table2[[#This Row],[Member Type]]="Child",Table2[[#This Row],[Product Option]]="My Value Plus Life &amp; Funeral",_xlfn.XLOOKUP(B92,Table2[Main Member Link ID],Table2[Benefit Name],0)=Lookups!$D$15),"",
IF(AND(OR(Table2[[#This Row],[Member Type]]="Spouse",Table2[[#This Row],[Member Type]]="Child"),Table2[[#This Row],[Product Option]]="My Value Plus Life &amp; Funeral",_xlfn.XLOOKUP(B92,Table2[Main Member Link ID],Table2[Benefit Name],0)&lt;&gt;Lookups!$D$17),
IF(_xlfn.XLOOKUP(B92,Table2[Main Member Link ID],Table2[Benefit Name],0)=0,"",_xlfn.XLOOKUP(B92,Table2[Main Member Link ID],Table2[Benefit Name],0)),""))))))</f>
        <v/>
      </c>
      <c r="AI92" s="328" t="str">
        <f>IF(AND(Table2[[#This Row],[Member Type]]="Main Member",Table2[[#This Row],[Table Lookup for Life Cover]]="MM_LIFE",Table2[[#This Row],[Age Next Birthday]]&lt;56),1,
IF(AND(Table2[[#This Row],[Member Type]]="Main Member",Table2[[#This Row],[Table Lookup for Life Cover]]="MM_LIFE",Table2[[#This Row],[Age Next Birthday]]&gt;=56),2,
""))</f>
        <v/>
      </c>
      <c r="AJ92" s="328">
        <f>IF(OR(Table2[[#This Row],[Member Type]]="Main Member",Table2[[#This Row],[Main Member Link ID]]=B91),1,0)</f>
        <v>1</v>
      </c>
      <c r="AK92" s="328">
        <f>IF(Table2[[#This Row],[Member Type]]=0,0,
IF(OR(Table2[[#This Row],[Member Type]]="Main Member",Table2[[#This Row],[Main Member Link ID]]&lt;&gt;B92),COUNTIFS(B:B,Table2[[#This Row],[Main Member Link ID]]),
COUNTIFS(B:B,Table2[[#This Row],[Main Member Link ID]],A:A,Table2[[#This Row],[Member Type]])))</f>
        <v>0</v>
      </c>
    </row>
    <row r="93" spans="1:37" x14ac:dyDescent="0.3">
      <c r="A93" s="284">
        <f>Table13[[#This Row],[Member Type]]</f>
        <v>0</v>
      </c>
      <c r="B93" s="284">
        <f>Table13[[#This Row],[Main Member Link ID]]</f>
        <v>0</v>
      </c>
      <c r="C93" s="284">
        <f>Table13[[#This Row],[ID Number]]</f>
        <v>0</v>
      </c>
      <c r="D93" s="285">
        <f>Table13[[#This Row],[Date Of Birth]]</f>
        <v>0</v>
      </c>
      <c r="E93" s="285">
        <f>Table13[[#This Row],[Commencement Date]]</f>
        <v>0</v>
      </c>
      <c r="F93" s="284">
        <f t="shared" si="7"/>
        <v>1</v>
      </c>
      <c r="G93" s="284">
        <f t="shared" si="8"/>
        <v>25</v>
      </c>
      <c r="H93" s="286">
        <f>Table13[[#This Row],[Product Option]]</f>
        <v>0</v>
      </c>
      <c r="I93" s="284">
        <f>IF(AND($A93="Main Member",Table2[[#This Row],[Product Option]]="My Value Plus Life"),"MM_LIFE",
IF(AND($A93="Spouse",Table2[[#This Row],[Product Option]]="My Value Plus Life"),"SP_LIFE",
IF(AND($A93="Main Member",Table2[[#This Row],[Product Option]]="My Value Plus Life &amp; Funeral"),"MM_LIFE",
IF(AND($A93="Spouse",Table2[[#This Row],[Product Option]]="My Value Plus Life &amp; Funeral"),_xlfn.XLOOKUP(Table2[[#This Row],[Benefit Name]],Lookups!$D$18:$D$23,Lookups!$E$18:$E$23,0),
0))))</f>
        <v>0</v>
      </c>
      <c r="J93" s="284">
        <f>IF($I93="","",
IF($I93="MM_LIFE",INDEX('Quotation Tool'!$S$54:$V$60,MATCH($T93,'Quotation Tool'!$S$54:$S$60,0),4),
IF($I93="SP_LIFE",_xlfn.XLOOKUP(B92,$B:$B,$J:$J,0),0)))</f>
        <v>0</v>
      </c>
      <c r="K93" s="287">
        <f t="shared" ca="1" si="12"/>
        <v>0</v>
      </c>
      <c r="L93" s="288">
        <f t="shared" ca="1" si="13"/>
        <v>0</v>
      </c>
      <c r="M93" s="289">
        <f t="shared" ca="1" si="9"/>
        <v>0</v>
      </c>
      <c r="N93" s="286">
        <f>Table13[[#This Row],[Benefit Option]]</f>
        <v>0</v>
      </c>
      <c r="O93" s="284">
        <f>IF(OR(Table2[[#This Row],[Member Type]]="Spouse",Table2[[#This Row],[Member Type]]="Child"),0,
IF(_xlfn.XLOOKUP($N93,Lookups!$D$13:$D$27,Lookups!$F$13:$F$27,0)=Table2[[#This Row],[Table Lookup for Life Cover]],0,
_xlfn.XLOOKUP($N93,Lookups!$D$13:$D$27,Lookups!$F$13:$F$27,0)))</f>
        <v>0</v>
      </c>
      <c r="P93" s="284">
        <f>IF(Table2[[#This Row],[Table Lookup for Funeral]]=0,0,IFERROR(INDEX('Quotation Tool'!$S$54:$V$60,MATCH($T93,'Quotation Tool'!$S$54:$S$60,0),3),0))</f>
        <v>0</v>
      </c>
      <c r="Q93" s="288">
        <f ca="1">IF(OR(Table2[[#This Row],[Benefit Name]]="My Value Plus Life - Main Member",Table2[[#This Row],[Benefit Name]]="My Value Plus Life - Spouse"),0,
IFERROR(VLOOKUP($G93,INDIRECT($O93),$P93,FALSE),0))</f>
        <v>0</v>
      </c>
      <c r="R93" s="288">
        <f ca="1">IF(OR(Table2[[#This Row],[Benefit Name]]="My Value Plus Life - Main Member",Table2[[#This Row],[Benefit Name]]="My Value Plus Life - Spouse"),0,
IFERROR(VLOOKUP($G93,INDIRECT($O93),$P93+1,FALSE),0))</f>
        <v>0</v>
      </c>
      <c r="S93" s="289">
        <f t="shared" ca="1" si="10"/>
        <v>0</v>
      </c>
      <c r="T93" s="284" t="str">
        <f>IF(Table13[[#This Row],[Premium Waiver]]="","None",Table13[[#This Row],[Premium Waiver]])</f>
        <v>None</v>
      </c>
      <c r="U93" s="284">
        <f>Table13[[#This Row],[VAPs Options]]</f>
        <v>0</v>
      </c>
      <c r="V93" s="284">
        <f>Table13[[#This Row],[Annual Increase Option]]</f>
        <v>0</v>
      </c>
      <c r="W93" s="290">
        <f>Table13[[#This Row],[Life Cover Amount]]</f>
        <v>0</v>
      </c>
      <c r="X93" s="290">
        <f>Table13[[#This Row],[Funeral Cover Amount]]</f>
        <v>0</v>
      </c>
      <c r="Y9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9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93" s="301">
        <f t="shared" ca="1" si="11"/>
        <v>0</v>
      </c>
      <c r="AB93" s="298"/>
      <c r="AC93" s="326" t="str">
        <f>IF(Table2[[#This Row],[Member Type]]="Main Member",Lookups!$C$13,
IF(Table2[[#This Row],[Member Type]]="Spouse",_xlfn.XLOOKUP(B93,Table2[Main Member Link ID],Table2[Product Option],0),
IF(AND(Table2[[#This Row],[Member Type]]="Child",_xlfn.XLOOKUP(B93,Table2[Main Member Link ID],Table2[Product Option],0)&lt;&gt;"My Value Plus Life"),Lookups!$C$24,
IF(AND(OR(Table2[[#This Row],[Member Type]]="Parent",Table2[[#This Row],[Member Type]]="Extended"),_xlfn.XLOOKUP(B93,Table2[Main Member Link ID],Table2[Product Option],0)&lt;&gt;"My Value Plus Life"),Lookups!$C$26,""))))</f>
        <v/>
      </c>
      <c r="AD93" s="326" t="str">
        <f>IF(Table2[[#This Row],[Member Type]]="Main Member",Lookups!$C$14,"")</f>
        <v/>
      </c>
      <c r="AE9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Funeral",_xlfn.XLOOKUP(B93,Table2[Main Member Link ID],Table2[Benefit Name],0)=Lookups!$D$14),"",
IF(AND(Table2[[#This Row],[Member Type]]="Spouse",Table2[[#This Row],[Product Option]]="My Value Plus Life &amp; Funeral",_xlfn.XLOOKUP(B92,Table2[Main Member Link ID],Table2[Benefit Name],0)=Lookups!$D$15),Lookups!$D$20,
IF(AND(Table2[[#This Row],[Member Type]]="Spouse",Table2[[#This Row],[Product Option]]="My Value Plus Life &amp; Funeral",_xlfn.XLOOKUP(B92,Table2[Main Member Link ID],Table2[Benefit Name],0)=Lookups!$D$16),"",
IF(AND(Table2[[#This Row],[Member Type]]="Spouse",Table2[[#This Row],[Product Option]]="My Value Plus Life &amp; Funeral",_xlfn.XLOOKUP(B92,Table2[Main Member Link ID],Table2[Benefit Name],0)=Lookups!$D$17),Lookups!$D$21,
IF(AND(Table2[[#This Row],[Member Type]]="Child",Table2[[#This Row],[Product Option]]="My Value Plus Life &amp; Funeral",_xlfn.XLOOKUP(B93,Table2[Main Member Link ID],Table2[Benefit Name],0)=Lookups!$D$14),"",
IF(AND(Table2[[#This Row],[Member Type]]="Child",Table2[[#This Row],[Product Option]]="My Value Plus Life &amp; Funeral",_xlfn.XLOOKUP(B93,Table2[Main Member Link ID],Table2[Benefit Name],0)=Lookups!$D$15),"",
IF(AND(Table2[[#This Row],[Member Type]]="Child",Table2[[#This Row],[Product Option]]="My Value Plus Life &amp; Funeral",_xlfn.XLOOKUP(B93,Table2[Main Member Link ID],Table2[Benefit Name],0)=Lookups!$D$16),Lookups!$D$24,
IF(AND(Table2[[#This Row],[Member Type]]="Child",Table2[[#This Row],[Product Option]]="My Value Plus Life &amp; Funeral",_xlfn.XLOOKUP(B93,Table2[Main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Funeral",_xlfn.XLOOKUP(B93,Table2[Main Member Link ID],Table2[Benefit Name],0)&lt;&gt;Lookups!$D$14),
IF(_xlfn.XLOOKUP(B93,Table2[Main Member Link ID],Table2[Benefit Name],0)=0,"",_xlfn.XLOOKUP(B93,Table2[Main Member Link ID],Table2[Benefit Name],0)),"")))))))))))))))</f>
        <v/>
      </c>
      <c r="AF93" s="327" t="str">
        <f>IF(AND(Table2[[#This Row],[Member Type]]="Main Member",Table2[[#This Row],[Product Option]]="My Value Plus Life &amp; Funeral"),Lookups!$D$15,
IF(AND(Table2[[#This Row],[Member Type]]="Spouse",Table2[[#This Row],[Product Option]]="My Value Plus Life &amp; Funeral",_xlfn.XLOOKUP(B93,Table2[Main Member Link ID],Table2[Benefit Name],0)=Lookups!$D$14),"",
IF(AND(Table2[[#This Row],[Member Type]]="Spouse",Table2[[#This Row],[Product Option]]="My Value Plus Life &amp; Funeral",_xlfn.XLOOKUP(B92,Table2[Main Member Link ID],Table2[Benefit Name],0)=Lookups!$D$16),"",
IF(AND(Table2[[#This Row],[Member Type]]="Spouse",Table2[[#This Row],[Product Option]]="My Value Plus Life &amp; Funeral",_xlfn.XLOOKUP(B92,Table2[Main Member Link ID],Table2[Benefit Name],0)=Lookups!$D$15),"",
IF(AND(Table2[[#This Row],[Member Type]]="Spouse",Table2[[#This Row],[Product Option]]="My Value Plus Life &amp; Funeral",_xlfn.XLOOKUP(B92,Table2[Main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Funeral",_xlfn.XLOOKUP(B93,Table2[Main Member Link ID],Table2[Benefit Name],0)&lt;&gt;Lookups!$D$15),
IF(_xlfn.XLOOKUP(B93,Table2[Main Member Link ID],Table2[Benefit Name],0)=0,"",_xlfn.XLOOKUP(B93,Table2[Main Member Link ID],Table2[Benefit Name],0)),"")
))))))</f>
        <v/>
      </c>
      <c r="AG93" s="327" t="str">
        <f>IF(AND(Table2[[#This Row],[Member Type]]="Main Member",Table2[[#This Row],[Product Option]]="My Value Plus Life &amp; Funeral"),Lookups!$D$16,
IF(AND(Table2[[#This Row],[Member Type]]="Spouse",Table2[[#This Row],[Product Option]]="My Value Plus Life &amp; Funeral",_xlfn.XLOOKUP(B93,Table2[Main Member Link ID],Table2[Benefit Name],0)=Lookups!$D$14),"",
IF(AND(Table2[[#This Row],[Member Type]]="Spouse",Table2[[#This Row],[Product Option]]="My Value Plus Life &amp; Funeral",_xlfn.XLOOKUP(B92,Table2[Main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Funeral",_xlfn.XLOOKUP(B93,Table2[Main Member Link ID],Table2[Benefit Name],0)&lt;&gt;Lookups!$D$16),
IF(_xlfn.XLOOKUP(B93,Table2[Main Member Link ID],Table2[Benefit Name],0)=0,"",_xlfn.XLOOKUP(B93,Table2[Main Member Link ID],Table2[Benefit Name],0)),"")
))))</f>
        <v/>
      </c>
      <c r="AH93" s="327" t="str">
        <f>IF(AND(Table2[[#This Row],[Member Type]]="Main Member",Table2[[#This Row],[Product Option]]="My Value Plus Life &amp; Funeral"),Lookups!$D$17,
IF(AND(Table2[[#This Row],[Member Type]]="Spouse",Table2[[#This Row],[Product Option]]="My Value Plus Life &amp; Funeral",_xlfn.XLOOKUP(B93,Table2[Main Member Link ID],Table2[Benefit Name],0)=Lookups!$D$14),"",
IF(AND(Table2[[#This Row],[Member Type]]="Spouse",Table2[[#This Row],[Product Option]]="My Value Plus Life &amp; Funeral",_xlfn.XLOOKUP(B92,Table2[Main Member Link ID],Table2[Benefit Name],0)=Lookups!$D$16),"",
IF(AND(Table2[[#This Row],[Member Type]]="Child",Table2[[#This Row],[Product Option]]="My Value Plus Life &amp; Funeral"),"",
IF(AND(Table2[[#This Row],[Member Type]]="Child",Table2[[#This Row],[Product Option]]="My Value Plus Life &amp; Funeral",_xlfn.XLOOKUP(B93,Table2[Main Member Link ID],Table2[Benefit Name],0)=Lookups!$D$15),"",
IF(AND(OR(Table2[[#This Row],[Member Type]]="Spouse",Table2[[#This Row],[Member Type]]="Child"),Table2[[#This Row],[Product Option]]="My Value Plus Life &amp; Funeral",_xlfn.XLOOKUP(B93,Table2[Main Member Link ID],Table2[Benefit Name],0)&lt;&gt;Lookups!$D$17),
IF(_xlfn.XLOOKUP(B93,Table2[Main Member Link ID],Table2[Benefit Name],0)=0,"",_xlfn.XLOOKUP(B93,Table2[Main Member Link ID],Table2[Benefit Name],0)),""))))))</f>
        <v/>
      </c>
      <c r="AI93" s="328" t="str">
        <f>IF(AND(Table2[[#This Row],[Member Type]]="Main Member",Table2[[#This Row],[Table Lookup for Life Cover]]="MM_LIFE",Table2[[#This Row],[Age Next Birthday]]&lt;56),1,
IF(AND(Table2[[#This Row],[Member Type]]="Main Member",Table2[[#This Row],[Table Lookup for Life Cover]]="MM_LIFE",Table2[[#This Row],[Age Next Birthday]]&gt;=56),2,
""))</f>
        <v/>
      </c>
      <c r="AJ93" s="328">
        <f>IF(OR(Table2[[#This Row],[Member Type]]="Main Member",Table2[[#This Row],[Main Member Link ID]]=B92),1,0)</f>
        <v>1</v>
      </c>
      <c r="AK93" s="328">
        <f>IF(Table2[[#This Row],[Member Type]]=0,0,
IF(OR(Table2[[#This Row],[Member Type]]="Main Member",Table2[[#This Row],[Main Member Link ID]]&lt;&gt;B93),COUNTIFS(B:B,Table2[[#This Row],[Main Member Link ID]]),
COUNTIFS(B:B,Table2[[#This Row],[Main Member Link ID]],A:A,Table2[[#This Row],[Member Type]])))</f>
        <v>0</v>
      </c>
    </row>
    <row r="94" spans="1:37" x14ac:dyDescent="0.3">
      <c r="A94" s="284">
        <f>Table13[[#This Row],[Member Type]]</f>
        <v>0</v>
      </c>
      <c r="B94" s="284">
        <f>Table13[[#This Row],[Main Member Link ID]]</f>
        <v>0</v>
      </c>
      <c r="C94" s="284">
        <f>Table13[[#This Row],[ID Number]]</f>
        <v>0</v>
      </c>
      <c r="D94" s="285">
        <f>Table13[[#This Row],[Date Of Birth]]</f>
        <v>0</v>
      </c>
      <c r="E94" s="285">
        <f>Table13[[#This Row],[Commencement Date]]</f>
        <v>0</v>
      </c>
      <c r="F94" s="284">
        <f t="shared" si="7"/>
        <v>1</v>
      </c>
      <c r="G94" s="284">
        <f t="shared" si="8"/>
        <v>25</v>
      </c>
      <c r="H94" s="286">
        <f>Table13[[#This Row],[Product Option]]</f>
        <v>0</v>
      </c>
      <c r="I94" s="284">
        <f>IF(AND($A94="Main Member",Table2[[#This Row],[Product Option]]="My Value Plus Life"),"MM_LIFE",
IF(AND($A94="Spouse",Table2[[#This Row],[Product Option]]="My Value Plus Life"),"SP_LIFE",
IF(AND($A94="Main Member",Table2[[#This Row],[Product Option]]="My Value Plus Life &amp; Funeral"),"MM_LIFE",
IF(AND($A94="Spouse",Table2[[#This Row],[Product Option]]="My Value Plus Life &amp; Funeral"),_xlfn.XLOOKUP(Table2[[#This Row],[Benefit Name]],Lookups!$D$18:$D$23,Lookups!$E$18:$E$23,0),
0))))</f>
        <v>0</v>
      </c>
      <c r="J94" s="284">
        <f>IF($I94="","",
IF($I94="MM_LIFE",INDEX('Quotation Tool'!$S$54:$V$60,MATCH($T94,'Quotation Tool'!$S$54:$S$60,0),4),
IF($I94="SP_LIFE",_xlfn.XLOOKUP(B93,$B:$B,$J:$J,0),0)))</f>
        <v>0</v>
      </c>
      <c r="K94" s="287">
        <f t="shared" ca="1" si="12"/>
        <v>0</v>
      </c>
      <c r="L94" s="288">
        <f t="shared" ca="1" si="13"/>
        <v>0</v>
      </c>
      <c r="M94" s="289">
        <f t="shared" ca="1" si="9"/>
        <v>0</v>
      </c>
      <c r="N94" s="286">
        <f>Table13[[#This Row],[Benefit Option]]</f>
        <v>0</v>
      </c>
      <c r="O94" s="284">
        <f>IF(OR(Table2[[#This Row],[Member Type]]="Spouse",Table2[[#This Row],[Member Type]]="Child"),0,
IF(_xlfn.XLOOKUP($N94,Lookups!$D$13:$D$27,Lookups!$F$13:$F$27,0)=Table2[[#This Row],[Table Lookup for Life Cover]],0,
_xlfn.XLOOKUP($N94,Lookups!$D$13:$D$27,Lookups!$F$13:$F$27,0)))</f>
        <v>0</v>
      </c>
      <c r="P94" s="284">
        <f>IF(Table2[[#This Row],[Table Lookup for Funeral]]=0,0,IFERROR(INDEX('Quotation Tool'!$S$54:$V$60,MATCH($T94,'Quotation Tool'!$S$54:$S$60,0),3),0))</f>
        <v>0</v>
      </c>
      <c r="Q94" s="288">
        <f ca="1">IF(OR(Table2[[#This Row],[Benefit Name]]="My Value Plus Life - Main Member",Table2[[#This Row],[Benefit Name]]="My Value Plus Life - Spouse"),0,
IFERROR(VLOOKUP($G94,INDIRECT($O94),$P94,FALSE),0))</f>
        <v>0</v>
      </c>
      <c r="R94" s="288">
        <f ca="1">IF(OR(Table2[[#This Row],[Benefit Name]]="My Value Plus Life - Main Member",Table2[[#This Row],[Benefit Name]]="My Value Plus Life - Spouse"),0,
IFERROR(VLOOKUP($G94,INDIRECT($O94),$P94+1,FALSE),0))</f>
        <v>0</v>
      </c>
      <c r="S94" s="289">
        <f t="shared" ca="1" si="10"/>
        <v>0</v>
      </c>
      <c r="T94" s="284" t="str">
        <f>IF(Table13[[#This Row],[Premium Waiver]]="","None",Table13[[#This Row],[Premium Waiver]])</f>
        <v>None</v>
      </c>
      <c r="U94" s="284">
        <f>Table13[[#This Row],[VAPs Options]]</f>
        <v>0</v>
      </c>
      <c r="V94" s="284">
        <f>Table13[[#This Row],[Annual Increase Option]]</f>
        <v>0</v>
      </c>
      <c r="W94" s="290">
        <f>Table13[[#This Row],[Life Cover Amount]]</f>
        <v>0</v>
      </c>
      <c r="X94" s="290">
        <f>Table13[[#This Row],[Funeral Cover Amount]]</f>
        <v>0</v>
      </c>
      <c r="Y9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9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94" s="301">
        <f t="shared" ca="1" si="11"/>
        <v>0</v>
      </c>
      <c r="AB94" s="298"/>
      <c r="AC94" s="326" t="str">
        <f>IF(Table2[[#This Row],[Member Type]]="Main Member",Lookups!$C$13,
IF(Table2[[#This Row],[Member Type]]="Spouse",_xlfn.XLOOKUP(B94,Table2[Main Member Link ID],Table2[Product Option],0),
IF(AND(Table2[[#This Row],[Member Type]]="Child",_xlfn.XLOOKUP(B94,Table2[Main Member Link ID],Table2[Product Option],0)&lt;&gt;"My Value Plus Life"),Lookups!$C$24,
IF(AND(OR(Table2[[#This Row],[Member Type]]="Parent",Table2[[#This Row],[Member Type]]="Extended"),_xlfn.XLOOKUP(B94,Table2[Main Member Link ID],Table2[Product Option],0)&lt;&gt;"My Value Plus Life"),Lookups!$C$26,""))))</f>
        <v/>
      </c>
      <c r="AD94" s="326" t="str">
        <f>IF(Table2[[#This Row],[Member Type]]="Main Member",Lookups!$C$14,"")</f>
        <v/>
      </c>
      <c r="AE9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Funeral",_xlfn.XLOOKUP(B94,Table2[Main Member Link ID],Table2[Benefit Name],0)=Lookups!$D$14),"",
IF(AND(Table2[[#This Row],[Member Type]]="Spouse",Table2[[#This Row],[Product Option]]="My Value Plus Life &amp; Funeral",_xlfn.XLOOKUP(B93,Table2[Main Member Link ID],Table2[Benefit Name],0)=Lookups!$D$15),Lookups!$D$20,
IF(AND(Table2[[#This Row],[Member Type]]="Spouse",Table2[[#This Row],[Product Option]]="My Value Plus Life &amp; Funeral",_xlfn.XLOOKUP(B93,Table2[Main Member Link ID],Table2[Benefit Name],0)=Lookups!$D$16),"",
IF(AND(Table2[[#This Row],[Member Type]]="Spouse",Table2[[#This Row],[Product Option]]="My Value Plus Life &amp; Funeral",_xlfn.XLOOKUP(B93,Table2[Main Member Link ID],Table2[Benefit Name],0)=Lookups!$D$17),Lookups!$D$21,
IF(AND(Table2[[#This Row],[Member Type]]="Child",Table2[[#This Row],[Product Option]]="My Value Plus Life &amp; Funeral",_xlfn.XLOOKUP(B94,Table2[Main Member Link ID],Table2[Benefit Name],0)=Lookups!$D$14),"",
IF(AND(Table2[[#This Row],[Member Type]]="Child",Table2[[#This Row],[Product Option]]="My Value Plus Life &amp; Funeral",_xlfn.XLOOKUP(B94,Table2[Main Member Link ID],Table2[Benefit Name],0)=Lookups!$D$15),"",
IF(AND(Table2[[#This Row],[Member Type]]="Child",Table2[[#This Row],[Product Option]]="My Value Plus Life &amp; Funeral",_xlfn.XLOOKUP(B94,Table2[Main Member Link ID],Table2[Benefit Name],0)=Lookups!$D$16),Lookups!$D$24,
IF(AND(Table2[[#This Row],[Member Type]]="Child",Table2[[#This Row],[Product Option]]="My Value Plus Life &amp; Funeral",_xlfn.XLOOKUP(B94,Table2[Main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Funeral",_xlfn.XLOOKUP(B94,Table2[Main Member Link ID],Table2[Benefit Name],0)&lt;&gt;Lookups!$D$14),
IF(_xlfn.XLOOKUP(B94,Table2[Main Member Link ID],Table2[Benefit Name],0)=0,"",_xlfn.XLOOKUP(B94,Table2[Main Member Link ID],Table2[Benefit Name],0)),"")))))))))))))))</f>
        <v/>
      </c>
      <c r="AF94" s="327" t="str">
        <f>IF(AND(Table2[[#This Row],[Member Type]]="Main Member",Table2[[#This Row],[Product Option]]="My Value Plus Life &amp; Funeral"),Lookups!$D$15,
IF(AND(Table2[[#This Row],[Member Type]]="Spouse",Table2[[#This Row],[Product Option]]="My Value Plus Life &amp; Funeral",_xlfn.XLOOKUP(B94,Table2[Main Member Link ID],Table2[Benefit Name],0)=Lookups!$D$14),"",
IF(AND(Table2[[#This Row],[Member Type]]="Spouse",Table2[[#This Row],[Product Option]]="My Value Plus Life &amp; Funeral",_xlfn.XLOOKUP(B93,Table2[Main Member Link ID],Table2[Benefit Name],0)=Lookups!$D$16),"",
IF(AND(Table2[[#This Row],[Member Type]]="Spouse",Table2[[#This Row],[Product Option]]="My Value Plus Life &amp; Funeral",_xlfn.XLOOKUP(B93,Table2[Main Member Link ID],Table2[Benefit Name],0)=Lookups!$D$15),"",
IF(AND(Table2[[#This Row],[Member Type]]="Spouse",Table2[[#This Row],[Product Option]]="My Value Plus Life &amp; Funeral",_xlfn.XLOOKUP(B93,Table2[Main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Funeral",_xlfn.XLOOKUP(B94,Table2[Main Member Link ID],Table2[Benefit Name],0)&lt;&gt;Lookups!$D$15),
IF(_xlfn.XLOOKUP(B94,Table2[Main Member Link ID],Table2[Benefit Name],0)=0,"",_xlfn.XLOOKUP(B94,Table2[Main Member Link ID],Table2[Benefit Name],0)),"")
))))))</f>
        <v/>
      </c>
      <c r="AG94" s="327" t="str">
        <f>IF(AND(Table2[[#This Row],[Member Type]]="Main Member",Table2[[#This Row],[Product Option]]="My Value Plus Life &amp; Funeral"),Lookups!$D$16,
IF(AND(Table2[[#This Row],[Member Type]]="Spouse",Table2[[#This Row],[Product Option]]="My Value Plus Life &amp; Funeral",_xlfn.XLOOKUP(B94,Table2[Main Member Link ID],Table2[Benefit Name],0)=Lookups!$D$14),"",
IF(AND(Table2[[#This Row],[Member Type]]="Spouse",Table2[[#This Row],[Product Option]]="My Value Plus Life &amp; Funeral",_xlfn.XLOOKUP(B93,Table2[Main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Funeral",_xlfn.XLOOKUP(B94,Table2[Main Member Link ID],Table2[Benefit Name],0)&lt;&gt;Lookups!$D$16),
IF(_xlfn.XLOOKUP(B94,Table2[Main Member Link ID],Table2[Benefit Name],0)=0,"",_xlfn.XLOOKUP(B94,Table2[Main Member Link ID],Table2[Benefit Name],0)),"")
))))</f>
        <v/>
      </c>
      <c r="AH94" s="327" t="str">
        <f>IF(AND(Table2[[#This Row],[Member Type]]="Main Member",Table2[[#This Row],[Product Option]]="My Value Plus Life &amp; Funeral"),Lookups!$D$17,
IF(AND(Table2[[#This Row],[Member Type]]="Spouse",Table2[[#This Row],[Product Option]]="My Value Plus Life &amp; Funeral",_xlfn.XLOOKUP(B94,Table2[Main Member Link ID],Table2[Benefit Name],0)=Lookups!$D$14),"",
IF(AND(Table2[[#This Row],[Member Type]]="Spouse",Table2[[#This Row],[Product Option]]="My Value Plus Life &amp; Funeral",_xlfn.XLOOKUP(B93,Table2[Main Member Link ID],Table2[Benefit Name],0)=Lookups!$D$16),"",
IF(AND(Table2[[#This Row],[Member Type]]="Child",Table2[[#This Row],[Product Option]]="My Value Plus Life &amp; Funeral"),"",
IF(AND(Table2[[#This Row],[Member Type]]="Child",Table2[[#This Row],[Product Option]]="My Value Plus Life &amp; Funeral",_xlfn.XLOOKUP(B94,Table2[Main Member Link ID],Table2[Benefit Name],0)=Lookups!$D$15),"",
IF(AND(OR(Table2[[#This Row],[Member Type]]="Spouse",Table2[[#This Row],[Member Type]]="Child"),Table2[[#This Row],[Product Option]]="My Value Plus Life &amp; Funeral",_xlfn.XLOOKUP(B94,Table2[Main Member Link ID],Table2[Benefit Name],0)&lt;&gt;Lookups!$D$17),
IF(_xlfn.XLOOKUP(B94,Table2[Main Member Link ID],Table2[Benefit Name],0)=0,"",_xlfn.XLOOKUP(B94,Table2[Main Member Link ID],Table2[Benefit Name],0)),""))))))</f>
        <v/>
      </c>
      <c r="AI94" s="328" t="str">
        <f>IF(AND(Table2[[#This Row],[Member Type]]="Main Member",Table2[[#This Row],[Table Lookup for Life Cover]]="MM_LIFE",Table2[[#This Row],[Age Next Birthday]]&lt;56),1,
IF(AND(Table2[[#This Row],[Member Type]]="Main Member",Table2[[#This Row],[Table Lookup for Life Cover]]="MM_LIFE",Table2[[#This Row],[Age Next Birthday]]&gt;=56),2,
""))</f>
        <v/>
      </c>
      <c r="AJ94" s="328">
        <f>IF(OR(Table2[[#This Row],[Member Type]]="Main Member",Table2[[#This Row],[Main Member Link ID]]=B93),1,0)</f>
        <v>1</v>
      </c>
      <c r="AK94" s="328">
        <f>IF(Table2[[#This Row],[Member Type]]=0,0,
IF(OR(Table2[[#This Row],[Member Type]]="Main Member",Table2[[#This Row],[Main Member Link ID]]&lt;&gt;B94),COUNTIFS(B:B,Table2[[#This Row],[Main Member Link ID]]),
COUNTIFS(B:B,Table2[[#This Row],[Main Member Link ID]],A:A,Table2[[#This Row],[Member Type]])))</f>
        <v>0</v>
      </c>
    </row>
    <row r="95" spans="1:37" x14ac:dyDescent="0.3">
      <c r="A95" s="284">
        <f>Table13[[#This Row],[Member Type]]</f>
        <v>0</v>
      </c>
      <c r="B95" s="284">
        <f>Table13[[#This Row],[Main Member Link ID]]</f>
        <v>0</v>
      </c>
      <c r="C95" s="284">
        <f>Table13[[#This Row],[ID Number]]</f>
        <v>0</v>
      </c>
      <c r="D95" s="285">
        <f>Table13[[#This Row],[Date Of Birth]]</f>
        <v>0</v>
      </c>
      <c r="E95" s="285">
        <f>Table13[[#This Row],[Commencement Date]]</f>
        <v>0</v>
      </c>
      <c r="F95" s="284">
        <f t="shared" si="7"/>
        <v>1</v>
      </c>
      <c r="G95" s="284">
        <f t="shared" si="8"/>
        <v>25</v>
      </c>
      <c r="H95" s="286">
        <f>Table13[[#This Row],[Product Option]]</f>
        <v>0</v>
      </c>
      <c r="I95" s="284">
        <f>IF(AND($A95="Main Member",Table2[[#This Row],[Product Option]]="My Value Plus Life"),"MM_LIFE",
IF(AND($A95="Spouse",Table2[[#This Row],[Product Option]]="My Value Plus Life"),"SP_LIFE",
IF(AND($A95="Main Member",Table2[[#This Row],[Product Option]]="My Value Plus Life &amp; Funeral"),"MM_LIFE",
IF(AND($A95="Spouse",Table2[[#This Row],[Product Option]]="My Value Plus Life &amp; Funeral"),_xlfn.XLOOKUP(Table2[[#This Row],[Benefit Name]],Lookups!$D$18:$D$23,Lookups!$E$18:$E$23,0),
0))))</f>
        <v>0</v>
      </c>
      <c r="J95" s="284">
        <f>IF($I95="","",
IF($I95="MM_LIFE",INDEX('Quotation Tool'!$S$54:$V$60,MATCH($T95,'Quotation Tool'!$S$54:$S$60,0),4),
IF($I95="SP_LIFE",_xlfn.XLOOKUP(B94,$B:$B,$J:$J,0),0)))</f>
        <v>0</v>
      </c>
      <c r="K95" s="287">
        <f t="shared" ca="1" si="12"/>
        <v>0</v>
      </c>
      <c r="L95" s="288">
        <f t="shared" ca="1" si="13"/>
        <v>0</v>
      </c>
      <c r="M95" s="289">
        <f t="shared" ca="1" si="9"/>
        <v>0</v>
      </c>
      <c r="N95" s="286">
        <f>Table13[[#This Row],[Benefit Option]]</f>
        <v>0</v>
      </c>
      <c r="O95" s="284">
        <f>IF(OR(Table2[[#This Row],[Member Type]]="Spouse",Table2[[#This Row],[Member Type]]="Child"),0,
IF(_xlfn.XLOOKUP($N95,Lookups!$D$13:$D$27,Lookups!$F$13:$F$27,0)=Table2[[#This Row],[Table Lookup for Life Cover]],0,
_xlfn.XLOOKUP($N95,Lookups!$D$13:$D$27,Lookups!$F$13:$F$27,0)))</f>
        <v>0</v>
      </c>
      <c r="P95" s="284">
        <f>IF(Table2[[#This Row],[Table Lookup for Funeral]]=0,0,IFERROR(INDEX('Quotation Tool'!$S$54:$V$60,MATCH($T95,'Quotation Tool'!$S$54:$S$60,0),3),0))</f>
        <v>0</v>
      </c>
      <c r="Q95" s="288">
        <f ca="1">IF(OR(Table2[[#This Row],[Benefit Name]]="My Value Plus Life - Main Member",Table2[[#This Row],[Benefit Name]]="My Value Plus Life - Spouse"),0,
IFERROR(VLOOKUP($G95,INDIRECT($O95),$P95,FALSE),0))</f>
        <v>0</v>
      </c>
      <c r="R95" s="288">
        <f ca="1">IF(OR(Table2[[#This Row],[Benefit Name]]="My Value Plus Life - Main Member",Table2[[#This Row],[Benefit Name]]="My Value Plus Life - Spouse"),0,
IFERROR(VLOOKUP($G95,INDIRECT($O95),$P95+1,FALSE),0))</f>
        <v>0</v>
      </c>
      <c r="S95" s="289">
        <f t="shared" ca="1" si="10"/>
        <v>0</v>
      </c>
      <c r="T95" s="284" t="str">
        <f>IF(Table13[[#This Row],[Premium Waiver]]="","None",Table13[[#This Row],[Premium Waiver]])</f>
        <v>None</v>
      </c>
      <c r="U95" s="284">
        <f>Table13[[#This Row],[VAPs Options]]</f>
        <v>0</v>
      </c>
      <c r="V95" s="284">
        <f>Table13[[#This Row],[Annual Increase Option]]</f>
        <v>0</v>
      </c>
      <c r="W95" s="290">
        <f>Table13[[#This Row],[Life Cover Amount]]</f>
        <v>0</v>
      </c>
      <c r="X95" s="290">
        <f>Table13[[#This Row],[Funeral Cover Amount]]</f>
        <v>0</v>
      </c>
      <c r="Y9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9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95" s="301">
        <f t="shared" ca="1" si="11"/>
        <v>0</v>
      </c>
      <c r="AB95" s="298"/>
      <c r="AC95" s="326" t="str">
        <f>IF(Table2[[#This Row],[Member Type]]="Main Member",Lookups!$C$13,
IF(Table2[[#This Row],[Member Type]]="Spouse",_xlfn.XLOOKUP(B95,Table2[Main Member Link ID],Table2[Product Option],0),
IF(AND(Table2[[#This Row],[Member Type]]="Child",_xlfn.XLOOKUP(B95,Table2[Main Member Link ID],Table2[Product Option],0)&lt;&gt;"My Value Plus Life"),Lookups!$C$24,
IF(AND(OR(Table2[[#This Row],[Member Type]]="Parent",Table2[[#This Row],[Member Type]]="Extended"),_xlfn.XLOOKUP(B95,Table2[Main Member Link ID],Table2[Product Option],0)&lt;&gt;"My Value Plus Life"),Lookups!$C$26,""))))</f>
        <v/>
      </c>
      <c r="AD95" s="326" t="str">
        <f>IF(Table2[[#This Row],[Member Type]]="Main Member",Lookups!$C$14,"")</f>
        <v/>
      </c>
      <c r="AE9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Funeral",_xlfn.XLOOKUP(B95,Table2[Main Member Link ID],Table2[Benefit Name],0)=Lookups!$D$14),"",
IF(AND(Table2[[#This Row],[Member Type]]="Spouse",Table2[[#This Row],[Product Option]]="My Value Plus Life &amp; Funeral",_xlfn.XLOOKUP(B94,Table2[Main Member Link ID],Table2[Benefit Name],0)=Lookups!$D$15),Lookups!$D$20,
IF(AND(Table2[[#This Row],[Member Type]]="Spouse",Table2[[#This Row],[Product Option]]="My Value Plus Life &amp; Funeral",_xlfn.XLOOKUP(B94,Table2[Main Member Link ID],Table2[Benefit Name],0)=Lookups!$D$16),"",
IF(AND(Table2[[#This Row],[Member Type]]="Spouse",Table2[[#This Row],[Product Option]]="My Value Plus Life &amp; Funeral",_xlfn.XLOOKUP(B94,Table2[Main Member Link ID],Table2[Benefit Name],0)=Lookups!$D$17),Lookups!$D$21,
IF(AND(Table2[[#This Row],[Member Type]]="Child",Table2[[#This Row],[Product Option]]="My Value Plus Life &amp; Funeral",_xlfn.XLOOKUP(B95,Table2[Main Member Link ID],Table2[Benefit Name],0)=Lookups!$D$14),"",
IF(AND(Table2[[#This Row],[Member Type]]="Child",Table2[[#This Row],[Product Option]]="My Value Plus Life &amp; Funeral",_xlfn.XLOOKUP(B95,Table2[Main Member Link ID],Table2[Benefit Name],0)=Lookups!$D$15),"",
IF(AND(Table2[[#This Row],[Member Type]]="Child",Table2[[#This Row],[Product Option]]="My Value Plus Life &amp; Funeral",_xlfn.XLOOKUP(B95,Table2[Main Member Link ID],Table2[Benefit Name],0)=Lookups!$D$16),Lookups!$D$24,
IF(AND(Table2[[#This Row],[Member Type]]="Child",Table2[[#This Row],[Product Option]]="My Value Plus Life &amp; Funeral",_xlfn.XLOOKUP(B95,Table2[Main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Funeral",_xlfn.XLOOKUP(B95,Table2[Main Member Link ID],Table2[Benefit Name],0)&lt;&gt;Lookups!$D$14),
IF(_xlfn.XLOOKUP(B95,Table2[Main Member Link ID],Table2[Benefit Name],0)=0,"",_xlfn.XLOOKUP(B95,Table2[Main Member Link ID],Table2[Benefit Name],0)),"")))))))))))))))</f>
        <v/>
      </c>
      <c r="AF95" s="327" t="str">
        <f>IF(AND(Table2[[#This Row],[Member Type]]="Main Member",Table2[[#This Row],[Product Option]]="My Value Plus Life &amp; Funeral"),Lookups!$D$15,
IF(AND(Table2[[#This Row],[Member Type]]="Spouse",Table2[[#This Row],[Product Option]]="My Value Plus Life &amp; Funeral",_xlfn.XLOOKUP(B95,Table2[Main Member Link ID],Table2[Benefit Name],0)=Lookups!$D$14),"",
IF(AND(Table2[[#This Row],[Member Type]]="Spouse",Table2[[#This Row],[Product Option]]="My Value Plus Life &amp; Funeral",_xlfn.XLOOKUP(B94,Table2[Main Member Link ID],Table2[Benefit Name],0)=Lookups!$D$16),"",
IF(AND(Table2[[#This Row],[Member Type]]="Spouse",Table2[[#This Row],[Product Option]]="My Value Plus Life &amp; Funeral",_xlfn.XLOOKUP(B94,Table2[Main Member Link ID],Table2[Benefit Name],0)=Lookups!$D$15),"",
IF(AND(Table2[[#This Row],[Member Type]]="Spouse",Table2[[#This Row],[Product Option]]="My Value Plus Life &amp; Funeral",_xlfn.XLOOKUP(B94,Table2[Main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Funeral",_xlfn.XLOOKUP(B95,Table2[Main Member Link ID],Table2[Benefit Name],0)&lt;&gt;Lookups!$D$15),
IF(_xlfn.XLOOKUP(B95,Table2[Main Member Link ID],Table2[Benefit Name],0)=0,"",_xlfn.XLOOKUP(B95,Table2[Main Member Link ID],Table2[Benefit Name],0)),"")
))))))</f>
        <v/>
      </c>
      <c r="AG95" s="327" t="str">
        <f>IF(AND(Table2[[#This Row],[Member Type]]="Main Member",Table2[[#This Row],[Product Option]]="My Value Plus Life &amp; Funeral"),Lookups!$D$16,
IF(AND(Table2[[#This Row],[Member Type]]="Spouse",Table2[[#This Row],[Product Option]]="My Value Plus Life &amp; Funeral",_xlfn.XLOOKUP(B95,Table2[Main Member Link ID],Table2[Benefit Name],0)=Lookups!$D$14),"",
IF(AND(Table2[[#This Row],[Member Type]]="Spouse",Table2[[#This Row],[Product Option]]="My Value Plus Life &amp; Funeral",_xlfn.XLOOKUP(B94,Table2[Main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Funeral",_xlfn.XLOOKUP(B95,Table2[Main Member Link ID],Table2[Benefit Name],0)&lt;&gt;Lookups!$D$16),
IF(_xlfn.XLOOKUP(B95,Table2[Main Member Link ID],Table2[Benefit Name],0)=0,"",_xlfn.XLOOKUP(B95,Table2[Main Member Link ID],Table2[Benefit Name],0)),"")
))))</f>
        <v/>
      </c>
      <c r="AH95" s="327" t="str">
        <f>IF(AND(Table2[[#This Row],[Member Type]]="Main Member",Table2[[#This Row],[Product Option]]="My Value Plus Life &amp; Funeral"),Lookups!$D$17,
IF(AND(Table2[[#This Row],[Member Type]]="Spouse",Table2[[#This Row],[Product Option]]="My Value Plus Life &amp; Funeral",_xlfn.XLOOKUP(B95,Table2[Main Member Link ID],Table2[Benefit Name],0)=Lookups!$D$14),"",
IF(AND(Table2[[#This Row],[Member Type]]="Spouse",Table2[[#This Row],[Product Option]]="My Value Plus Life &amp; Funeral",_xlfn.XLOOKUP(B94,Table2[Main Member Link ID],Table2[Benefit Name],0)=Lookups!$D$16),"",
IF(AND(Table2[[#This Row],[Member Type]]="Child",Table2[[#This Row],[Product Option]]="My Value Plus Life &amp; Funeral"),"",
IF(AND(Table2[[#This Row],[Member Type]]="Child",Table2[[#This Row],[Product Option]]="My Value Plus Life &amp; Funeral",_xlfn.XLOOKUP(B95,Table2[Main Member Link ID],Table2[Benefit Name],0)=Lookups!$D$15),"",
IF(AND(OR(Table2[[#This Row],[Member Type]]="Spouse",Table2[[#This Row],[Member Type]]="Child"),Table2[[#This Row],[Product Option]]="My Value Plus Life &amp; Funeral",_xlfn.XLOOKUP(B95,Table2[Main Member Link ID],Table2[Benefit Name],0)&lt;&gt;Lookups!$D$17),
IF(_xlfn.XLOOKUP(B95,Table2[Main Member Link ID],Table2[Benefit Name],0)=0,"",_xlfn.XLOOKUP(B95,Table2[Main Member Link ID],Table2[Benefit Name],0)),""))))))</f>
        <v/>
      </c>
      <c r="AI95" s="328" t="str">
        <f>IF(AND(Table2[[#This Row],[Member Type]]="Main Member",Table2[[#This Row],[Table Lookup for Life Cover]]="MM_LIFE",Table2[[#This Row],[Age Next Birthday]]&lt;56),1,
IF(AND(Table2[[#This Row],[Member Type]]="Main Member",Table2[[#This Row],[Table Lookup for Life Cover]]="MM_LIFE",Table2[[#This Row],[Age Next Birthday]]&gt;=56),2,
""))</f>
        <v/>
      </c>
      <c r="AJ95" s="328">
        <f>IF(OR(Table2[[#This Row],[Member Type]]="Main Member",Table2[[#This Row],[Main Member Link ID]]=B94),1,0)</f>
        <v>1</v>
      </c>
      <c r="AK95" s="328">
        <f>IF(Table2[[#This Row],[Member Type]]=0,0,
IF(OR(Table2[[#This Row],[Member Type]]="Main Member",Table2[[#This Row],[Main Member Link ID]]&lt;&gt;B95),COUNTIFS(B:B,Table2[[#This Row],[Main Member Link ID]]),
COUNTIFS(B:B,Table2[[#This Row],[Main Member Link ID]],A:A,Table2[[#This Row],[Member Type]])))</f>
        <v>0</v>
      </c>
    </row>
    <row r="96" spans="1:37" x14ac:dyDescent="0.3">
      <c r="A96" s="284">
        <f>Table13[[#This Row],[Member Type]]</f>
        <v>0</v>
      </c>
      <c r="B96" s="284">
        <f>Table13[[#This Row],[Main Member Link ID]]</f>
        <v>0</v>
      </c>
      <c r="C96" s="284">
        <f>Table13[[#This Row],[ID Number]]</f>
        <v>0</v>
      </c>
      <c r="D96" s="285">
        <f>Table13[[#This Row],[Date Of Birth]]</f>
        <v>0</v>
      </c>
      <c r="E96" s="285">
        <f>Table13[[#This Row],[Commencement Date]]</f>
        <v>0</v>
      </c>
      <c r="F96" s="284">
        <f t="shared" si="7"/>
        <v>1</v>
      </c>
      <c r="G96" s="284">
        <f t="shared" si="8"/>
        <v>25</v>
      </c>
      <c r="H96" s="286">
        <f>Table13[[#This Row],[Product Option]]</f>
        <v>0</v>
      </c>
      <c r="I96" s="284">
        <f>IF(AND($A96="Main Member",Table2[[#This Row],[Product Option]]="My Value Plus Life"),"MM_LIFE",
IF(AND($A96="Spouse",Table2[[#This Row],[Product Option]]="My Value Plus Life"),"SP_LIFE",
IF(AND($A96="Main Member",Table2[[#This Row],[Product Option]]="My Value Plus Life &amp; Funeral"),"MM_LIFE",
IF(AND($A96="Spouse",Table2[[#This Row],[Product Option]]="My Value Plus Life &amp; Funeral"),_xlfn.XLOOKUP(Table2[[#This Row],[Benefit Name]],Lookups!$D$18:$D$23,Lookups!$E$18:$E$23,0),
0))))</f>
        <v>0</v>
      </c>
      <c r="J96" s="284">
        <f>IF($I96="","",
IF($I96="MM_LIFE",INDEX('Quotation Tool'!$S$54:$V$60,MATCH($T96,'Quotation Tool'!$S$54:$S$60,0),4),
IF($I96="SP_LIFE",_xlfn.XLOOKUP(B95,$B:$B,$J:$J,0),0)))</f>
        <v>0</v>
      </c>
      <c r="K96" s="287">
        <f t="shared" ca="1" si="12"/>
        <v>0</v>
      </c>
      <c r="L96" s="288">
        <f t="shared" ca="1" si="13"/>
        <v>0</v>
      </c>
      <c r="M96" s="289">
        <f t="shared" ca="1" si="9"/>
        <v>0</v>
      </c>
      <c r="N96" s="286">
        <f>Table13[[#This Row],[Benefit Option]]</f>
        <v>0</v>
      </c>
      <c r="O96" s="284">
        <f>IF(OR(Table2[[#This Row],[Member Type]]="Spouse",Table2[[#This Row],[Member Type]]="Child"),0,
IF(_xlfn.XLOOKUP($N96,Lookups!$D$13:$D$27,Lookups!$F$13:$F$27,0)=Table2[[#This Row],[Table Lookup for Life Cover]],0,
_xlfn.XLOOKUP($N96,Lookups!$D$13:$D$27,Lookups!$F$13:$F$27,0)))</f>
        <v>0</v>
      </c>
      <c r="P96" s="284">
        <f>IF(Table2[[#This Row],[Table Lookup for Funeral]]=0,0,IFERROR(INDEX('Quotation Tool'!$S$54:$V$60,MATCH($T96,'Quotation Tool'!$S$54:$S$60,0),3),0))</f>
        <v>0</v>
      </c>
      <c r="Q96" s="288">
        <f ca="1">IF(OR(Table2[[#This Row],[Benefit Name]]="My Value Plus Life - Main Member",Table2[[#This Row],[Benefit Name]]="My Value Plus Life - Spouse"),0,
IFERROR(VLOOKUP($G96,INDIRECT($O96),$P96,FALSE),0))</f>
        <v>0</v>
      </c>
      <c r="R96" s="288">
        <f ca="1">IF(OR(Table2[[#This Row],[Benefit Name]]="My Value Plus Life - Main Member",Table2[[#This Row],[Benefit Name]]="My Value Plus Life - Spouse"),0,
IFERROR(VLOOKUP($G96,INDIRECT($O96),$P96+1,FALSE),0))</f>
        <v>0</v>
      </c>
      <c r="S96" s="289">
        <f t="shared" ca="1" si="10"/>
        <v>0</v>
      </c>
      <c r="T96" s="284" t="str">
        <f>IF(Table13[[#This Row],[Premium Waiver]]="","None",Table13[[#This Row],[Premium Waiver]])</f>
        <v>None</v>
      </c>
      <c r="U96" s="284">
        <f>Table13[[#This Row],[VAPs Options]]</f>
        <v>0</v>
      </c>
      <c r="V96" s="284">
        <f>Table13[[#This Row],[Annual Increase Option]]</f>
        <v>0</v>
      </c>
      <c r="W96" s="290">
        <f>Table13[[#This Row],[Life Cover Amount]]</f>
        <v>0</v>
      </c>
      <c r="X96" s="290">
        <f>Table13[[#This Row],[Funeral Cover Amount]]</f>
        <v>0</v>
      </c>
      <c r="Y9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9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96" s="301">
        <f t="shared" ca="1" si="11"/>
        <v>0</v>
      </c>
      <c r="AB96" s="298"/>
      <c r="AC96" s="326" t="str">
        <f>IF(Table2[[#This Row],[Member Type]]="Main Member",Lookups!$C$13,
IF(Table2[[#This Row],[Member Type]]="Spouse",_xlfn.XLOOKUP(B96,Table2[Main Member Link ID],Table2[Product Option],0),
IF(AND(Table2[[#This Row],[Member Type]]="Child",_xlfn.XLOOKUP(B96,Table2[Main Member Link ID],Table2[Product Option],0)&lt;&gt;"My Value Plus Life"),Lookups!$C$24,
IF(AND(OR(Table2[[#This Row],[Member Type]]="Parent",Table2[[#This Row],[Member Type]]="Extended"),_xlfn.XLOOKUP(B96,Table2[Main Member Link ID],Table2[Product Option],0)&lt;&gt;"My Value Plus Life"),Lookups!$C$26,""))))</f>
        <v/>
      </c>
      <c r="AD96" s="326" t="str">
        <f>IF(Table2[[#This Row],[Member Type]]="Main Member",Lookups!$C$14,"")</f>
        <v/>
      </c>
      <c r="AE9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Funeral",_xlfn.XLOOKUP(B96,Table2[Main Member Link ID],Table2[Benefit Name],0)=Lookups!$D$14),"",
IF(AND(Table2[[#This Row],[Member Type]]="Spouse",Table2[[#This Row],[Product Option]]="My Value Plus Life &amp; Funeral",_xlfn.XLOOKUP(B95,Table2[Main Member Link ID],Table2[Benefit Name],0)=Lookups!$D$15),Lookups!$D$20,
IF(AND(Table2[[#This Row],[Member Type]]="Spouse",Table2[[#This Row],[Product Option]]="My Value Plus Life &amp; Funeral",_xlfn.XLOOKUP(B95,Table2[Main Member Link ID],Table2[Benefit Name],0)=Lookups!$D$16),"",
IF(AND(Table2[[#This Row],[Member Type]]="Spouse",Table2[[#This Row],[Product Option]]="My Value Plus Life &amp; Funeral",_xlfn.XLOOKUP(B95,Table2[Main Member Link ID],Table2[Benefit Name],0)=Lookups!$D$17),Lookups!$D$21,
IF(AND(Table2[[#This Row],[Member Type]]="Child",Table2[[#This Row],[Product Option]]="My Value Plus Life &amp; Funeral",_xlfn.XLOOKUP(B96,Table2[Main Member Link ID],Table2[Benefit Name],0)=Lookups!$D$14),"",
IF(AND(Table2[[#This Row],[Member Type]]="Child",Table2[[#This Row],[Product Option]]="My Value Plus Life &amp; Funeral",_xlfn.XLOOKUP(B96,Table2[Main Member Link ID],Table2[Benefit Name],0)=Lookups!$D$15),"",
IF(AND(Table2[[#This Row],[Member Type]]="Child",Table2[[#This Row],[Product Option]]="My Value Plus Life &amp; Funeral",_xlfn.XLOOKUP(B96,Table2[Main Member Link ID],Table2[Benefit Name],0)=Lookups!$D$16),Lookups!$D$24,
IF(AND(Table2[[#This Row],[Member Type]]="Child",Table2[[#This Row],[Product Option]]="My Value Plus Life &amp; Funeral",_xlfn.XLOOKUP(B96,Table2[Main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Funeral",_xlfn.XLOOKUP(B96,Table2[Main Member Link ID],Table2[Benefit Name],0)&lt;&gt;Lookups!$D$14),
IF(_xlfn.XLOOKUP(B96,Table2[Main Member Link ID],Table2[Benefit Name],0)=0,"",_xlfn.XLOOKUP(B96,Table2[Main Member Link ID],Table2[Benefit Name],0)),"")))))))))))))))</f>
        <v/>
      </c>
      <c r="AF96" s="327" t="str">
        <f>IF(AND(Table2[[#This Row],[Member Type]]="Main Member",Table2[[#This Row],[Product Option]]="My Value Plus Life &amp; Funeral"),Lookups!$D$15,
IF(AND(Table2[[#This Row],[Member Type]]="Spouse",Table2[[#This Row],[Product Option]]="My Value Plus Life &amp; Funeral",_xlfn.XLOOKUP(B96,Table2[Main Member Link ID],Table2[Benefit Name],0)=Lookups!$D$14),"",
IF(AND(Table2[[#This Row],[Member Type]]="Spouse",Table2[[#This Row],[Product Option]]="My Value Plus Life &amp; Funeral",_xlfn.XLOOKUP(B95,Table2[Main Member Link ID],Table2[Benefit Name],0)=Lookups!$D$16),"",
IF(AND(Table2[[#This Row],[Member Type]]="Spouse",Table2[[#This Row],[Product Option]]="My Value Plus Life &amp; Funeral",_xlfn.XLOOKUP(B95,Table2[Main Member Link ID],Table2[Benefit Name],0)=Lookups!$D$15),"",
IF(AND(Table2[[#This Row],[Member Type]]="Spouse",Table2[[#This Row],[Product Option]]="My Value Plus Life &amp; Funeral",_xlfn.XLOOKUP(B95,Table2[Main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Funeral",_xlfn.XLOOKUP(B96,Table2[Main Member Link ID],Table2[Benefit Name],0)&lt;&gt;Lookups!$D$15),
IF(_xlfn.XLOOKUP(B96,Table2[Main Member Link ID],Table2[Benefit Name],0)=0,"",_xlfn.XLOOKUP(B96,Table2[Main Member Link ID],Table2[Benefit Name],0)),"")
))))))</f>
        <v/>
      </c>
      <c r="AG96" s="327" t="str">
        <f>IF(AND(Table2[[#This Row],[Member Type]]="Main Member",Table2[[#This Row],[Product Option]]="My Value Plus Life &amp; Funeral"),Lookups!$D$16,
IF(AND(Table2[[#This Row],[Member Type]]="Spouse",Table2[[#This Row],[Product Option]]="My Value Plus Life &amp; Funeral",_xlfn.XLOOKUP(B96,Table2[Main Member Link ID],Table2[Benefit Name],0)=Lookups!$D$14),"",
IF(AND(Table2[[#This Row],[Member Type]]="Spouse",Table2[[#This Row],[Product Option]]="My Value Plus Life &amp; Funeral",_xlfn.XLOOKUP(B95,Table2[Main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Funeral",_xlfn.XLOOKUP(B96,Table2[Main Member Link ID],Table2[Benefit Name],0)&lt;&gt;Lookups!$D$16),
IF(_xlfn.XLOOKUP(B96,Table2[Main Member Link ID],Table2[Benefit Name],0)=0,"",_xlfn.XLOOKUP(B96,Table2[Main Member Link ID],Table2[Benefit Name],0)),"")
))))</f>
        <v/>
      </c>
      <c r="AH96" s="327" t="str">
        <f>IF(AND(Table2[[#This Row],[Member Type]]="Main Member",Table2[[#This Row],[Product Option]]="My Value Plus Life &amp; Funeral"),Lookups!$D$17,
IF(AND(Table2[[#This Row],[Member Type]]="Spouse",Table2[[#This Row],[Product Option]]="My Value Plus Life &amp; Funeral",_xlfn.XLOOKUP(B96,Table2[Main Member Link ID],Table2[Benefit Name],0)=Lookups!$D$14),"",
IF(AND(Table2[[#This Row],[Member Type]]="Spouse",Table2[[#This Row],[Product Option]]="My Value Plus Life &amp; Funeral",_xlfn.XLOOKUP(B95,Table2[Main Member Link ID],Table2[Benefit Name],0)=Lookups!$D$16),"",
IF(AND(Table2[[#This Row],[Member Type]]="Child",Table2[[#This Row],[Product Option]]="My Value Plus Life &amp; Funeral"),"",
IF(AND(Table2[[#This Row],[Member Type]]="Child",Table2[[#This Row],[Product Option]]="My Value Plus Life &amp; Funeral",_xlfn.XLOOKUP(B96,Table2[Main Member Link ID],Table2[Benefit Name],0)=Lookups!$D$15),"",
IF(AND(OR(Table2[[#This Row],[Member Type]]="Spouse",Table2[[#This Row],[Member Type]]="Child"),Table2[[#This Row],[Product Option]]="My Value Plus Life &amp; Funeral",_xlfn.XLOOKUP(B96,Table2[Main Member Link ID],Table2[Benefit Name],0)&lt;&gt;Lookups!$D$17),
IF(_xlfn.XLOOKUP(B96,Table2[Main Member Link ID],Table2[Benefit Name],0)=0,"",_xlfn.XLOOKUP(B96,Table2[Main Member Link ID],Table2[Benefit Name],0)),""))))))</f>
        <v/>
      </c>
      <c r="AI96" s="328" t="str">
        <f>IF(AND(Table2[[#This Row],[Member Type]]="Main Member",Table2[[#This Row],[Table Lookup for Life Cover]]="MM_LIFE",Table2[[#This Row],[Age Next Birthday]]&lt;56),1,
IF(AND(Table2[[#This Row],[Member Type]]="Main Member",Table2[[#This Row],[Table Lookup for Life Cover]]="MM_LIFE",Table2[[#This Row],[Age Next Birthday]]&gt;=56),2,
""))</f>
        <v/>
      </c>
      <c r="AJ96" s="328">
        <f>IF(OR(Table2[[#This Row],[Member Type]]="Main Member",Table2[[#This Row],[Main Member Link ID]]=B95),1,0)</f>
        <v>1</v>
      </c>
      <c r="AK96" s="328">
        <f>IF(Table2[[#This Row],[Member Type]]=0,0,
IF(OR(Table2[[#This Row],[Member Type]]="Main Member",Table2[[#This Row],[Main Member Link ID]]&lt;&gt;B96),COUNTIFS(B:B,Table2[[#This Row],[Main Member Link ID]]),
COUNTIFS(B:B,Table2[[#This Row],[Main Member Link ID]],A:A,Table2[[#This Row],[Member Type]])))</f>
        <v>0</v>
      </c>
    </row>
    <row r="97" spans="1:37" x14ac:dyDescent="0.3">
      <c r="A97" s="284">
        <f>Table13[[#This Row],[Member Type]]</f>
        <v>0</v>
      </c>
      <c r="B97" s="284">
        <f>Table13[[#This Row],[Main Member Link ID]]</f>
        <v>0</v>
      </c>
      <c r="C97" s="284">
        <f>Table13[[#This Row],[ID Number]]</f>
        <v>0</v>
      </c>
      <c r="D97" s="285">
        <f>Table13[[#This Row],[Date Of Birth]]</f>
        <v>0</v>
      </c>
      <c r="E97" s="285">
        <f>Table13[[#This Row],[Commencement Date]]</f>
        <v>0</v>
      </c>
      <c r="F97" s="284">
        <f t="shared" si="7"/>
        <v>1</v>
      </c>
      <c r="G97" s="284">
        <f t="shared" si="8"/>
        <v>25</v>
      </c>
      <c r="H97" s="286">
        <f>Table13[[#This Row],[Product Option]]</f>
        <v>0</v>
      </c>
      <c r="I97" s="284">
        <f>IF(AND($A97="Main Member",Table2[[#This Row],[Product Option]]="My Value Plus Life"),"MM_LIFE",
IF(AND($A97="Spouse",Table2[[#This Row],[Product Option]]="My Value Plus Life"),"SP_LIFE",
IF(AND($A97="Main Member",Table2[[#This Row],[Product Option]]="My Value Plus Life &amp; Funeral"),"MM_LIFE",
IF(AND($A97="Spouse",Table2[[#This Row],[Product Option]]="My Value Plus Life &amp; Funeral"),_xlfn.XLOOKUP(Table2[[#This Row],[Benefit Name]],Lookups!$D$18:$D$23,Lookups!$E$18:$E$23,0),
0))))</f>
        <v>0</v>
      </c>
      <c r="J97" s="284">
        <f>IF($I97="","",
IF($I97="MM_LIFE",INDEX('Quotation Tool'!$S$54:$V$60,MATCH($T97,'Quotation Tool'!$S$54:$S$60,0),4),
IF($I97="SP_LIFE",_xlfn.XLOOKUP(B96,$B:$B,$J:$J,0),0)))</f>
        <v>0</v>
      </c>
      <c r="K97" s="287">
        <f t="shared" ca="1" si="12"/>
        <v>0</v>
      </c>
      <c r="L97" s="288">
        <f t="shared" ca="1" si="13"/>
        <v>0</v>
      </c>
      <c r="M97" s="289">
        <f t="shared" ca="1" si="9"/>
        <v>0</v>
      </c>
      <c r="N97" s="286">
        <f>Table13[[#This Row],[Benefit Option]]</f>
        <v>0</v>
      </c>
      <c r="O97" s="284">
        <f>IF(OR(Table2[[#This Row],[Member Type]]="Spouse",Table2[[#This Row],[Member Type]]="Child"),0,
IF(_xlfn.XLOOKUP($N97,Lookups!$D$13:$D$27,Lookups!$F$13:$F$27,0)=Table2[[#This Row],[Table Lookup for Life Cover]],0,
_xlfn.XLOOKUP($N97,Lookups!$D$13:$D$27,Lookups!$F$13:$F$27,0)))</f>
        <v>0</v>
      </c>
      <c r="P97" s="284">
        <f>IF(Table2[[#This Row],[Table Lookup for Funeral]]=0,0,IFERROR(INDEX('Quotation Tool'!$S$54:$V$60,MATCH($T97,'Quotation Tool'!$S$54:$S$60,0),3),0))</f>
        <v>0</v>
      </c>
      <c r="Q97" s="288">
        <f ca="1">IF(OR(Table2[[#This Row],[Benefit Name]]="My Value Plus Life - Main Member",Table2[[#This Row],[Benefit Name]]="My Value Plus Life - Spouse"),0,
IFERROR(VLOOKUP($G97,INDIRECT($O97),$P97,FALSE),0))</f>
        <v>0</v>
      </c>
      <c r="R97" s="288">
        <f ca="1">IF(OR(Table2[[#This Row],[Benefit Name]]="My Value Plus Life - Main Member",Table2[[#This Row],[Benefit Name]]="My Value Plus Life - Spouse"),0,
IFERROR(VLOOKUP($G97,INDIRECT($O97),$P97+1,FALSE),0))</f>
        <v>0</v>
      </c>
      <c r="S97" s="289">
        <f t="shared" ca="1" si="10"/>
        <v>0</v>
      </c>
      <c r="T97" s="284" t="str">
        <f>IF(Table13[[#This Row],[Premium Waiver]]="","None",Table13[[#This Row],[Premium Waiver]])</f>
        <v>None</v>
      </c>
      <c r="U97" s="284">
        <f>Table13[[#This Row],[VAPs Options]]</f>
        <v>0</v>
      </c>
      <c r="V97" s="284">
        <f>Table13[[#This Row],[Annual Increase Option]]</f>
        <v>0</v>
      </c>
      <c r="W97" s="290">
        <f>Table13[[#This Row],[Life Cover Amount]]</f>
        <v>0</v>
      </c>
      <c r="X97" s="290">
        <f>Table13[[#This Row],[Funeral Cover Amount]]</f>
        <v>0</v>
      </c>
      <c r="Y9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9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97" s="301">
        <f t="shared" ca="1" si="11"/>
        <v>0</v>
      </c>
      <c r="AB97" s="298"/>
      <c r="AC97" s="326" t="str">
        <f>IF(Table2[[#This Row],[Member Type]]="Main Member",Lookups!$C$13,
IF(Table2[[#This Row],[Member Type]]="Spouse",_xlfn.XLOOKUP(B97,Table2[Main Member Link ID],Table2[Product Option],0),
IF(AND(Table2[[#This Row],[Member Type]]="Child",_xlfn.XLOOKUP(B97,Table2[Main Member Link ID],Table2[Product Option],0)&lt;&gt;"My Value Plus Life"),Lookups!$C$24,
IF(AND(OR(Table2[[#This Row],[Member Type]]="Parent",Table2[[#This Row],[Member Type]]="Extended"),_xlfn.XLOOKUP(B97,Table2[Main Member Link ID],Table2[Product Option],0)&lt;&gt;"My Value Plus Life"),Lookups!$C$26,""))))</f>
        <v/>
      </c>
      <c r="AD97" s="326" t="str">
        <f>IF(Table2[[#This Row],[Member Type]]="Main Member",Lookups!$C$14,"")</f>
        <v/>
      </c>
      <c r="AE9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Funeral",_xlfn.XLOOKUP(B97,Table2[Main Member Link ID],Table2[Benefit Name],0)=Lookups!$D$14),"",
IF(AND(Table2[[#This Row],[Member Type]]="Spouse",Table2[[#This Row],[Product Option]]="My Value Plus Life &amp; Funeral",_xlfn.XLOOKUP(B96,Table2[Main Member Link ID],Table2[Benefit Name],0)=Lookups!$D$15),Lookups!$D$20,
IF(AND(Table2[[#This Row],[Member Type]]="Spouse",Table2[[#This Row],[Product Option]]="My Value Plus Life &amp; Funeral",_xlfn.XLOOKUP(B96,Table2[Main Member Link ID],Table2[Benefit Name],0)=Lookups!$D$16),"",
IF(AND(Table2[[#This Row],[Member Type]]="Spouse",Table2[[#This Row],[Product Option]]="My Value Plus Life &amp; Funeral",_xlfn.XLOOKUP(B96,Table2[Main Member Link ID],Table2[Benefit Name],0)=Lookups!$D$17),Lookups!$D$21,
IF(AND(Table2[[#This Row],[Member Type]]="Child",Table2[[#This Row],[Product Option]]="My Value Plus Life &amp; Funeral",_xlfn.XLOOKUP(B97,Table2[Main Member Link ID],Table2[Benefit Name],0)=Lookups!$D$14),"",
IF(AND(Table2[[#This Row],[Member Type]]="Child",Table2[[#This Row],[Product Option]]="My Value Plus Life &amp; Funeral",_xlfn.XLOOKUP(B97,Table2[Main Member Link ID],Table2[Benefit Name],0)=Lookups!$D$15),"",
IF(AND(Table2[[#This Row],[Member Type]]="Child",Table2[[#This Row],[Product Option]]="My Value Plus Life &amp; Funeral",_xlfn.XLOOKUP(B97,Table2[Main Member Link ID],Table2[Benefit Name],0)=Lookups!$D$16),Lookups!$D$24,
IF(AND(Table2[[#This Row],[Member Type]]="Child",Table2[[#This Row],[Product Option]]="My Value Plus Life &amp; Funeral",_xlfn.XLOOKUP(B97,Table2[Main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Funeral",_xlfn.XLOOKUP(B97,Table2[Main Member Link ID],Table2[Benefit Name],0)&lt;&gt;Lookups!$D$14),
IF(_xlfn.XLOOKUP(B97,Table2[Main Member Link ID],Table2[Benefit Name],0)=0,"",_xlfn.XLOOKUP(B97,Table2[Main Member Link ID],Table2[Benefit Name],0)),"")))))))))))))))</f>
        <v/>
      </c>
      <c r="AF97" s="327" t="str">
        <f>IF(AND(Table2[[#This Row],[Member Type]]="Main Member",Table2[[#This Row],[Product Option]]="My Value Plus Life &amp; Funeral"),Lookups!$D$15,
IF(AND(Table2[[#This Row],[Member Type]]="Spouse",Table2[[#This Row],[Product Option]]="My Value Plus Life &amp; Funeral",_xlfn.XLOOKUP(B97,Table2[Main Member Link ID],Table2[Benefit Name],0)=Lookups!$D$14),"",
IF(AND(Table2[[#This Row],[Member Type]]="Spouse",Table2[[#This Row],[Product Option]]="My Value Plus Life &amp; Funeral",_xlfn.XLOOKUP(B96,Table2[Main Member Link ID],Table2[Benefit Name],0)=Lookups!$D$16),"",
IF(AND(Table2[[#This Row],[Member Type]]="Spouse",Table2[[#This Row],[Product Option]]="My Value Plus Life &amp; Funeral",_xlfn.XLOOKUP(B96,Table2[Main Member Link ID],Table2[Benefit Name],0)=Lookups!$D$15),"",
IF(AND(Table2[[#This Row],[Member Type]]="Spouse",Table2[[#This Row],[Product Option]]="My Value Plus Life &amp; Funeral",_xlfn.XLOOKUP(B96,Table2[Main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Funeral",_xlfn.XLOOKUP(B97,Table2[Main Member Link ID],Table2[Benefit Name],0)&lt;&gt;Lookups!$D$15),
IF(_xlfn.XLOOKUP(B97,Table2[Main Member Link ID],Table2[Benefit Name],0)=0,"",_xlfn.XLOOKUP(B97,Table2[Main Member Link ID],Table2[Benefit Name],0)),"")
))))))</f>
        <v/>
      </c>
      <c r="AG97" s="327" t="str">
        <f>IF(AND(Table2[[#This Row],[Member Type]]="Main Member",Table2[[#This Row],[Product Option]]="My Value Plus Life &amp; Funeral"),Lookups!$D$16,
IF(AND(Table2[[#This Row],[Member Type]]="Spouse",Table2[[#This Row],[Product Option]]="My Value Plus Life &amp; Funeral",_xlfn.XLOOKUP(B97,Table2[Main Member Link ID],Table2[Benefit Name],0)=Lookups!$D$14),"",
IF(AND(Table2[[#This Row],[Member Type]]="Spouse",Table2[[#This Row],[Product Option]]="My Value Plus Life &amp; Funeral",_xlfn.XLOOKUP(B96,Table2[Main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Funeral",_xlfn.XLOOKUP(B97,Table2[Main Member Link ID],Table2[Benefit Name],0)&lt;&gt;Lookups!$D$16),
IF(_xlfn.XLOOKUP(B97,Table2[Main Member Link ID],Table2[Benefit Name],0)=0,"",_xlfn.XLOOKUP(B97,Table2[Main Member Link ID],Table2[Benefit Name],0)),"")
))))</f>
        <v/>
      </c>
      <c r="AH97" s="327" t="str">
        <f>IF(AND(Table2[[#This Row],[Member Type]]="Main Member",Table2[[#This Row],[Product Option]]="My Value Plus Life &amp; Funeral"),Lookups!$D$17,
IF(AND(Table2[[#This Row],[Member Type]]="Spouse",Table2[[#This Row],[Product Option]]="My Value Plus Life &amp; Funeral",_xlfn.XLOOKUP(B97,Table2[Main Member Link ID],Table2[Benefit Name],0)=Lookups!$D$14),"",
IF(AND(Table2[[#This Row],[Member Type]]="Spouse",Table2[[#This Row],[Product Option]]="My Value Plus Life &amp; Funeral",_xlfn.XLOOKUP(B96,Table2[Main Member Link ID],Table2[Benefit Name],0)=Lookups!$D$16),"",
IF(AND(Table2[[#This Row],[Member Type]]="Child",Table2[[#This Row],[Product Option]]="My Value Plus Life &amp; Funeral"),"",
IF(AND(Table2[[#This Row],[Member Type]]="Child",Table2[[#This Row],[Product Option]]="My Value Plus Life &amp; Funeral",_xlfn.XLOOKUP(B97,Table2[Main Member Link ID],Table2[Benefit Name],0)=Lookups!$D$15),"",
IF(AND(OR(Table2[[#This Row],[Member Type]]="Spouse",Table2[[#This Row],[Member Type]]="Child"),Table2[[#This Row],[Product Option]]="My Value Plus Life &amp; Funeral",_xlfn.XLOOKUP(B97,Table2[Main Member Link ID],Table2[Benefit Name],0)&lt;&gt;Lookups!$D$17),
IF(_xlfn.XLOOKUP(B97,Table2[Main Member Link ID],Table2[Benefit Name],0)=0,"",_xlfn.XLOOKUP(B97,Table2[Main Member Link ID],Table2[Benefit Name],0)),""))))))</f>
        <v/>
      </c>
      <c r="AI97" s="328" t="str">
        <f>IF(AND(Table2[[#This Row],[Member Type]]="Main Member",Table2[[#This Row],[Table Lookup for Life Cover]]="MM_LIFE",Table2[[#This Row],[Age Next Birthday]]&lt;56),1,
IF(AND(Table2[[#This Row],[Member Type]]="Main Member",Table2[[#This Row],[Table Lookup for Life Cover]]="MM_LIFE",Table2[[#This Row],[Age Next Birthday]]&gt;=56),2,
""))</f>
        <v/>
      </c>
      <c r="AJ97" s="328">
        <f>IF(OR(Table2[[#This Row],[Member Type]]="Main Member",Table2[[#This Row],[Main Member Link ID]]=B96),1,0)</f>
        <v>1</v>
      </c>
      <c r="AK97" s="328">
        <f>IF(Table2[[#This Row],[Member Type]]=0,0,
IF(OR(Table2[[#This Row],[Member Type]]="Main Member",Table2[[#This Row],[Main Member Link ID]]&lt;&gt;B97),COUNTIFS(B:B,Table2[[#This Row],[Main Member Link ID]]),
COUNTIFS(B:B,Table2[[#This Row],[Main Member Link ID]],A:A,Table2[[#This Row],[Member Type]])))</f>
        <v>0</v>
      </c>
    </row>
    <row r="98" spans="1:37" x14ac:dyDescent="0.3">
      <c r="A98" s="284">
        <f>Table13[[#This Row],[Member Type]]</f>
        <v>0</v>
      </c>
      <c r="B98" s="284">
        <f>Table13[[#This Row],[Main Member Link ID]]</f>
        <v>0</v>
      </c>
      <c r="C98" s="284">
        <f>Table13[[#This Row],[ID Number]]</f>
        <v>0</v>
      </c>
      <c r="D98" s="285">
        <f>Table13[[#This Row],[Date Of Birth]]</f>
        <v>0</v>
      </c>
      <c r="E98" s="285">
        <f>Table13[[#This Row],[Commencement Date]]</f>
        <v>0</v>
      </c>
      <c r="F98" s="284">
        <f t="shared" si="7"/>
        <v>1</v>
      </c>
      <c r="G98" s="284">
        <f t="shared" si="8"/>
        <v>25</v>
      </c>
      <c r="H98" s="286">
        <f>Table13[[#This Row],[Product Option]]</f>
        <v>0</v>
      </c>
      <c r="I98" s="284">
        <f>IF(AND($A98="Main Member",Table2[[#This Row],[Product Option]]="My Value Plus Life"),"MM_LIFE",
IF(AND($A98="Spouse",Table2[[#This Row],[Product Option]]="My Value Plus Life"),"SP_LIFE",
IF(AND($A98="Main Member",Table2[[#This Row],[Product Option]]="My Value Plus Life &amp; Funeral"),"MM_LIFE",
IF(AND($A98="Spouse",Table2[[#This Row],[Product Option]]="My Value Plus Life &amp; Funeral"),_xlfn.XLOOKUP(Table2[[#This Row],[Benefit Name]],Lookups!$D$18:$D$23,Lookups!$E$18:$E$23,0),
0))))</f>
        <v>0</v>
      </c>
      <c r="J98" s="284">
        <f>IF($I98="","",
IF($I98="MM_LIFE",INDEX('Quotation Tool'!$S$54:$V$60,MATCH($T98,'Quotation Tool'!$S$54:$S$60,0),4),
IF($I98="SP_LIFE",_xlfn.XLOOKUP(B97,$B:$B,$J:$J,0),0)))</f>
        <v>0</v>
      </c>
      <c r="K98" s="287">
        <f t="shared" ca="1" si="12"/>
        <v>0</v>
      </c>
      <c r="L98" s="288">
        <f t="shared" ca="1" si="13"/>
        <v>0</v>
      </c>
      <c r="M98" s="289">
        <f t="shared" ca="1" si="9"/>
        <v>0</v>
      </c>
      <c r="N98" s="286">
        <f>Table13[[#This Row],[Benefit Option]]</f>
        <v>0</v>
      </c>
      <c r="O98" s="284">
        <f>IF(OR(Table2[[#This Row],[Member Type]]="Spouse",Table2[[#This Row],[Member Type]]="Child"),0,
IF(_xlfn.XLOOKUP($N98,Lookups!$D$13:$D$27,Lookups!$F$13:$F$27,0)=Table2[[#This Row],[Table Lookup for Life Cover]],0,
_xlfn.XLOOKUP($N98,Lookups!$D$13:$D$27,Lookups!$F$13:$F$27,0)))</f>
        <v>0</v>
      </c>
      <c r="P98" s="284">
        <f>IF(Table2[[#This Row],[Table Lookup for Funeral]]=0,0,IFERROR(INDEX('Quotation Tool'!$S$54:$V$60,MATCH($T98,'Quotation Tool'!$S$54:$S$60,0),3),0))</f>
        <v>0</v>
      </c>
      <c r="Q98" s="288">
        <f ca="1">IF(OR(Table2[[#This Row],[Benefit Name]]="My Value Plus Life - Main Member",Table2[[#This Row],[Benefit Name]]="My Value Plus Life - Spouse"),0,
IFERROR(VLOOKUP($G98,INDIRECT($O98),$P98,FALSE),0))</f>
        <v>0</v>
      </c>
      <c r="R98" s="288">
        <f ca="1">IF(OR(Table2[[#This Row],[Benefit Name]]="My Value Plus Life - Main Member",Table2[[#This Row],[Benefit Name]]="My Value Plus Life - Spouse"),0,
IFERROR(VLOOKUP($G98,INDIRECT($O98),$P98+1,FALSE),0))</f>
        <v>0</v>
      </c>
      <c r="S98" s="289">
        <f t="shared" ca="1" si="10"/>
        <v>0</v>
      </c>
      <c r="T98" s="284" t="str">
        <f>IF(Table13[[#This Row],[Premium Waiver]]="","None",Table13[[#This Row],[Premium Waiver]])</f>
        <v>None</v>
      </c>
      <c r="U98" s="284">
        <f>Table13[[#This Row],[VAPs Options]]</f>
        <v>0</v>
      </c>
      <c r="V98" s="284">
        <f>Table13[[#This Row],[Annual Increase Option]]</f>
        <v>0</v>
      </c>
      <c r="W98" s="290">
        <f>Table13[[#This Row],[Life Cover Amount]]</f>
        <v>0</v>
      </c>
      <c r="X98" s="290">
        <f>Table13[[#This Row],[Funeral Cover Amount]]</f>
        <v>0</v>
      </c>
      <c r="Y9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9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98" s="301">
        <f t="shared" ca="1" si="11"/>
        <v>0</v>
      </c>
      <c r="AB98" s="298"/>
      <c r="AC98" s="326" t="str">
        <f>IF(Table2[[#This Row],[Member Type]]="Main Member",Lookups!$C$13,
IF(Table2[[#This Row],[Member Type]]="Spouse",_xlfn.XLOOKUP(B98,Table2[Main Member Link ID],Table2[Product Option],0),
IF(AND(Table2[[#This Row],[Member Type]]="Child",_xlfn.XLOOKUP(B98,Table2[Main Member Link ID],Table2[Product Option],0)&lt;&gt;"My Value Plus Life"),Lookups!$C$24,
IF(AND(OR(Table2[[#This Row],[Member Type]]="Parent",Table2[[#This Row],[Member Type]]="Extended"),_xlfn.XLOOKUP(B98,Table2[Main Member Link ID],Table2[Product Option],0)&lt;&gt;"My Value Plus Life"),Lookups!$C$26,""))))</f>
        <v/>
      </c>
      <c r="AD98" s="326" t="str">
        <f>IF(Table2[[#This Row],[Member Type]]="Main Member",Lookups!$C$14,"")</f>
        <v/>
      </c>
      <c r="AE9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Funeral",_xlfn.XLOOKUP(B98,Table2[Main Member Link ID],Table2[Benefit Name],0)=Lookups!$D$14),"",
IF(AND(Table2[[#This Row],[Member Type]]="Spouse",Table2[[#This Row],[Product Option]]="My Value Plus Life &amp; Funeral",_xlfn.XLOOKUP(B97,Table2[Main Member Link ID],Table2[Benefit Name],0)=Lookups!$D$15),Lookups!$D$20,
IF(AND(Table2[[#This Row],[Member Type]]="Spouse",Table2[[#This Row],[Product Option]]="My Value Plus Life &amp; Funeral",_xlfn.XLOOKUP(B97,Table2[Main Member Link ID],Table2[Benefit Name],0)=Lookups!$D$16),"",
IF(AND(Table2[[#This Row],[Member Type]]="Spouse",Table2[[#This Row],[Product Option]]="My Value Plus Life &amp; Funeral",_xlfn.XLOOKUP(B97,Table2[Main Member Link ID],Table2[Benefit Name],0)=Lookups!$D$17),Lookups!$D$21,
IF(AND(Table2[[#This Row],[Member Type]]="Child",Table2[[#This Row],[Product Option]]="My Value Plus Life &amp; Funeral",_xlfn.XLOOKUP(B98,Table2[Main Member Link ID],Table2[Benefit Name],0)=Lookups!$D$14),"",
IF(AND(Table2[[#This Row],[Member Type]]="Child",Table2[[#This Row],[Product Option]]="My Value Plus Life &amp; Funeral",_xlfn.XLOOKUP(B98,Table2[Main Member Link ID],Table2[Benefit Name],0)=Lookups!$D$15),"",
IF(AND(Table2[[#This Row],[Member Type]]="Child",Table2[[#This Row],[Product Option]]="My Value Plus Life &amp; Funeral",_xlfn.XLOOKUP(B98,Table2[Main Member Link ID],Table2[Benefit Name],0)=Lookups!$D$16),Lookups!$D$24,
IF(AND(Table2[[#This Row],[Member Type]]="Child",Table2[[#This Row],[Product Option]]="My Value Plus Life &amp; Funeral",_xlfn.XLOOKUP(B98,Table2[Main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Funeral",_xlfn.XLOOKUP(B98,Table2[Main Member Link ID],Table2[Benefit Name],0)&lt;&gt;Lookups!$D$14),
IF(_xlfn.XLOOKUP(B98,Table2[Main Member Link ID],Table2[Benefit Name],0)=0,"",_xlfn.XLOOKUP(B98,Table2[Main Member Link ID],Table2[Benefit Name],0)),"")))))))))))))))</f>
        <v/>
      </c>
      <c r="AF98" s="327" t="str">
        <f>IF(AND(Table2[[#This Row],[Member Type]]="Main Member",Table2[[#This Row],[Product Option]]="My Value Plus Life &amp; Funeral"),Lookups!$D$15,
IF(AND(Table2[[#This Row],[Member Type]]="Spouse",Table2[[#This Row],[Product Option]]="My Value Plus Life &amp; Funeral",_xlfn.XLOOKUP(B98,Table2[Main Member Link ID],Table2[Benefit Name],0)=Lookups!$D$14),"",
IF(AND(Table2[[#This Row],[Member Type]]="Spouse",Table2[[#This Row],[Product Option]]="My Value Plus Life &amp; Funeral",_xlfn.XLOOKUP(B97,Table2[Main Member Link ID],Table2[Benefit Name],0)=Lookups!$D$16),"",
IF(AND(Table2[[#This Row],[Member Type]]="Spouse",Table2[[#This Row],[Product Option]]="My Value Plus Life &amp; Funeral",_xlfn.XLOOKUP(B97,Table2[Main Member Link ID],Table2[Benefit Name],0)=Lookups!$D$15),"",
IF(AND(Table2[[#This Row],[Member Type]]="Spouse",Table2[[#This Row],[Product Option]]="My Value Plus Life &amp; Funeral",_xlfn.XLOOKUP(B97,Table2[Main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Funeral",_xlfn.XLOOKUP(B98,Table2[Main Member Link ID],Table2[Benefit Name],0)&lt;&gt;Lookups!$D$15),
IF(_xlfn.XLOOKUP(B98,Table2[Main Member Link ID],Table2[Benefit Name],0)=0,"",_xlfn.XLOOKUP(B98,Table2[Main Member Link ID],Table2[Benefit Name],0)),"")
))))))</f>
        <v/>
      </c>
      <c r="AG98" s="327" t="str">
        <f>IF(AND(Table2[[#This Row],[Member Type]]="Main Member",Table2[[#This Row],[Product Option]]="My Value Plus Life &amp; Funeral"),Lookups!$D$16,
IF(AND(Table2[[#This Row],[Member Type]]="Spouse",Table2[[#This Row],[Product Option]]="My Value Plus Life &amp; Funeral",_xlfn.XLOOKUP(B98,Table2[Main Member Link ID],Table2[Benefit Name],0)=Lookups!$D$14),"",
IF(AND(Table2[[#This Row],[Member Type]]="Spouse",Table2[[#This Row],[Product Option]]="My Value Plus Life &amp; Funeral",_xlfn.XLOOKUP(B97,Table2[Main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Funeral",_xlfn.XLOOKUP(B98,Table2[Main Member Link ID],Table2[Benefit Name],0)&lt;&gt;Lookups!$D$16),
IF(_xlfn.XLOOKUP(B98,Table2[Main Member Link ID],Table2[Benefit Name],0)=0,"",_xlfn.XLOOKUP(B98,Table2[Main Member Link ID],Table2[Benefit Name],0)),"")
))))</f>
        <v/>
      </c>
      <c r="AH98" s="327" t="str">
        <f>IF(AND(Table2[[#This Row],[Member Type]]="Main Member",Table2[[#This Row],[Product Option]]="My Value Plus Life &amp; Funeral"),Lookups!$D$17,
IF(AND(Table2[[#This Row],[Member Type]]="Spouse",Table2[[#This Row],[Product Option]]="My Value Plus Life &amp; Funeral",_xlfn.XLOOKUP(B98,Table2[Main Member Link ID],Table2[Benefit Name],0)=Lookups!$D$14),"",
IF(AND(Table2[[#This Row],[Member Type]]="Spouse",Table2[[#This Row],[Product Option]]="My Value Plus Life &amp; Funeral",_xlfn.XLOOKUP(B97,Table2[Main Member Link ID],Table2[Benefit Name],0)=Lookups!$D$16),"",
IF(AND(Table2[[#This Row],[Member Type]]="Child",Table2[[#This Row],[Product Option]]="My Value Plus Life &amp; Funeral"),"",
IF(AND(Table2[[#This Row],[Member Type]]="Child",Table2[[#This Row],[Product Option]]="My Value Plus Life &amp; Funeral",_xlfn.XLOOKUP(B98,Table2[Main Member Link ID],Table2[Benefit Name],0)=Lookups!$D$15),"",
IF(AND(OR(Table2[[#This Row],[Member Type]]="Spouse",Table2[[#This Row],[Member Type]]="Child"),Table2[[#This Row],[Product Option]]="My Value Plus Life &amp; Funeral",_xlfn.XLOOKUP(B98,Table2[Main Member Link ID],Table2[Benefit Name],0)&lt;&gt;Lookups!$D$17),
IF(_xlfn.XLOOKUP(B98,Table2[Main Member Link ID],Table2[Benefit Name],0)=0,"",_xlfn.XLOOKUP(B98,Table2[Main Member Link ID],Table2[Benefit Name],0)),""))))))</f>
        <v/>
      </c>
      <c r="AI98" s="328" t="str">
        <f>IF(AND(Table2[[#This Row],[Member Type]]="Main Member",Table2[[#This Row],[Table Lookup for Life Cover]]="MM_LIFE",Table2[[#This Row],[Age Next Birthday]]&lt;56),1,
IF(AND(Table2[[#This Row],[Member Type]]="Main Member",Table2[[#This Row],[Table Lookup for Life Cover]]="MM_LIFE",Table2[[#This Row],[Age Next Birthday]]&gt;=56),2,
""))</f>
        <v/>
      </c>
      <c r="AJ98" s="328">
        <f>IF(OR(Table2[[#This Row],[Member Type]]="Main Member",Table2[[#This Row],[Main Member Link ID]]=B97),1,0)</f>
        <v>1</v>
      </c>
      <c r="AK98" s="328">
        <f>IF(Table2[[#This Row],[Member Type]]=0,0,
IF(OR(Table2[[#This Row],[Member Type]]="Main Member",Table2[[#This Row],[Main Member Link ID]]&lt;&gt;B98),COUNTIFS(B:B,Table2[[#This Row],[Main Member Link ID]]),
COUNTIFS(B:B,Table2[[#This Row],[Main Member Link ID]],A:A,Table2[[#This Row],[Member Type]])))</f>
        <v>0</v>
      </c>
    </row>
    <row r="99" spans="1:37" x14ac:dyDescent="0.3">
      <c r="A99" s="284">
        <f>Table13[[#This Row],[Member Type]]</f>
        <v>0</v>
      </c>
      <c r="B99" s="284">
        <f>Table13[[#This Row],[Main Member Link ID]]</f>
        <v>0</v>
      </c>
      <c r="C99" s="284">
        <f>Table13[[#This Row],[ID Number]]</f>
        <v>0</v>
      </c>
      <c r="D99" s="285">
        <f>Table13[[#This Row],[Date Of Birth]]</f>
        <v>0</v>
      </c>
      <c r="E99" s="285">
        <f>Table13[[#This Row],[Commencement Date]]</f>
        <v>0</v>
      </c>
      <c r="F99" s="284">
        <f t="shared" si="7"/>
        <v>1</v>
      </c>
      <c r="G99" s="284">
        <f t="shared" si="8"/>
        <v>25</v>
      </c>
      <c r="H99" s="286">
        <f>Table13[[#This Row],[Product Option]]</f>
        <v>0</v>
      </c>
      <c r="I99" s="284">
        <f>IF(AND($A99="Main Member",Table2[[#This Row],[Product Option]]="My Value Plus Life"),"MM_LIFE",
IF(AND($A99="Spouse",Table2[[#This Row],[Product Option]]="My Value Plus Life"),"SP_LIFE",
IF(AND($A99="Main Member",Table2[[#This Row],[Product Option]]="My Value Plus Life &amp; Funeral"),"MM_LIFE",
IF(AND($A99="Spouse",Table2[[#This Row],[Product Option]]="My Value Plus Life &amp; Funeral"),_xlfn.XLOOKUP(Table2[[#This Row],[Benefit Name]],Lookups!$D$18:$D$23,Lookups!$E$18:$E$23,0),
0))))</f>
        <v>0</v>
      </c>
      <c r="J99" s="284">
        <f>IF($I99="","",
IF($I99="MM_LIFE",INDEX('Quotation Tool'!$S$54:$V$60,MATCH($T99,'Quotation Tool'!$S$54:$S$60,0),4),
IF($I99="SP_LIFE",_xlfn.XLOOKUP(B98,$B:$B,$J:$J,0),0)))</f>
        <v>0</v>
      </c>
      <c r="K99" s="287">
        <f t="shared" ca="1" si="12"/>
        <v>0</v>
      </c>
      <c r="L99" s="288">
        <f t="shared" ca="1" si="13"/>
        <v>0</v>
      </c>
      <c r="M99" s="289">
        <f t="shared" ca="1" si="9"/>
        <v>0</v>
      </c>
      <c r="N99" s="286">
        <f>Table13[[#This Row],[Benefit Option]]</f>
        <v>0</v>
      </c>
      <c r="O99" s="284">
        <f>IF(OR(Table2[[#This Row],[Member Type]]="Spouse",Table2[[#This Row],[Member Type]]="Child"),0,
IF(_xlfn.XLOOKUP($N99,Lookups!$D$13:$D$27,Lookups!$F$13:$F$27,0)=Table2[[#This Row],[Table Lookup for Life Cover]],0,
_xlfn.XLOOKUP($N99,Lookups!$D$13:$D$27,Lookups!$F$13:$F$27,0)))</f>
        <v>0</v>
      </c>
      <c r="P99" s="284">
        <f>IF(Table2[[#This Row],[Table Lookup for Funeral]]=0,0,IFERROR(INDEX('Quotation Tool'!$S$54:$V$60,MATCH($T99,'Quotation Tool'!$S$54:$S$60,0),3),0))</f>
        <v>0</v>
      </c>
      <c r="Q99" s="288">
        <f ca="1">IF(OR(Table2[[#This Row],[Benefit Name]]="My Value Plus Life - Main Member",Table2[[#This Row],[Benefit Name]]="My Value Plus Life - Spouse"),0,
IFERROR(VLOOKUP($G99,INDIRECT($O99),$P99,FALSE),0))</f>
        <v>0</v>
      </c>
      <c r="R99" s="288">
        <f ca="1">IF(OR(Table2[[#This Row],[Benefit Name]]="My Value Plus Life - Main Member",Table2[[#This Row],[Benefit Name]]="My Value Plus Life - Spouse"),0,
IFERROR(VLOOKUP($G99,INDIRECT($O99),$P99+1,FALSE),0))</f>
        <v>0</v>
      </c>
      <c r="S99" s="289">
        <f t="shared" ca="1" si="10"/>
        <v>0</v>
      </c>
      <c r="T99" s="284" t="str">
        <f>IF(Table13[[#This Row],[Premium Waiver]]="","None",Table13[[#This Row],[Premium Waiver]])</f>
        <v>None</v>
      </c>
      <c r="U99" s="284">
        <f>Table13[[#This Row],[VAPs Options]]</f>
        <v>0</v>
      </c>
      <c r="V99" s="284">
        <f>Table13[[#This Row],[Annual Increase Option]]</f>
        <v>0</v>
      </c>
      <c r="W99" s="290">
        <f>Table13[[#This Row],[Life Cover Amount]]</f>
        <v>0</v>
      </c>
      <c r="X99" s="290">
        <f>Table13[[#This Row],[Funeral Cover Amount]]</f>
        <v>0</v>
      </c>
      <c r="Y9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9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99" s="301">
        <f t="shared" ca="1" si="11"/>
        <v>0</v>
      </c>
      <c r="AB99" s="298"/>
      <c r="AC99" s="326" t="str">
        <f>IF(Table2[[#This Row],[Member Type]]="Main Member",Lookups!$C$13,
IF(Table2[[#This Row],[Member Type]]="Spouse",_xlfn.XLOOKUP(B99,Table2[Main Member Link ID],Table2[Product Option],0),
IF(AND(Table2[[#This Row],[Member Type]]="Child",_xlfn.XLOOKUP(B99,Table2[Main Member Link ID],Table2[Product Option],0)&lt;&gt;"My Value Plus Life"),Lookups!$C$24,
IF(AND(OR(Table2[[#This Row],[Member Type]]="Parent",Table2[[#This Row],[Member Type]]="Extended"),_xlfn.XLOOKUP(B99,Table2[Main Member Link ID],Table2[Product Option],0)&lt;&gt;"My Value Plus Life"),Lookups!$C$26,""))))</f>
        <v/>
      </c>
      <c r="AD99" s="326" t="str">
        <f>IF(Table2[[#This Row],[Member Type]]="Main Member",Lookups!$C$14,"")</f>
        <v/>
      </c>
      <c r="AE9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Funeral",_xlfn.XLOOKUP(B99,Table2[Main Member Link ID],Table2[Benefit Name],0)=Lookups!$D$14),"",
IF(AND(Table2[[#This Row],[Member Type]]="Spouse",Table2[[#This Row],[Product Option]]="My Value Plus Life &amp; Funeral",_xlfn.XLOOKUP(B98,Table2[Main Member Link ID],Table2[Benefit Name],0)=Lookups!$D$15),Lookups!$D$20,
IF(AND(Table2[[#This Row],[Member Type]]="Spouse",Table2[[#This Row],[Product Option]]="My Value Plus Life &amp; Funeral",_xlfn.XLOOKUP(B98,Table2[Main Member Link ID],Table2[Benefit Name],0)=Lookups!$D$16),"",
IF(AND(Table2[[#This Row],[Member Type]]="Spouse",Table2[[#This Row],[Product Option]]="My Value Plus Life &amp; Funeral",_xlfn.XLOOKUP(B98,Table2[Main Member Link ID],Table2[Benefit Name],0)=Lookups!$D$17),Lookups!$D$21,
IF(AND(Table2[[#This Row],[Member Type]]="Child",Table2[[#This Row],[Product Option]]="My Value Plus Life &amp; Funeral",_xlfn.XLOOKUP(B99,Table2[Main Member Link ID],Table2[Benefit Name],0)=Lookups!$D$14),"",
IF(AND(Table2[[#This Row],[Member Type]]="Child",Table2[[#This Row],[Product Option]]="My Value Plus Life &amp; Funeral",_xlfn.XLOOKUP(B99,Table2[Main Member Link ID],Table2[Benefit Name],0)=Lookups!$D$15),"",
IF(AND(Table2[[#This Row],[Member Type]]="Child",Table2[[#This Row],[Product Option]]="My Value Plus Life &amp; Funeral",_xlfn.XLOOKUP(B99,Table2[Main Member Link ID],Table2[Benefit Name],0)=Lookups!$D$16),Lookups!$D$24,
IF(AND(Table2[[#This Row],[Member Type]]="Child",Table2[[#This Row],[Product Option]]="My Value Plus Life &amp; Funeral",_xlfn.XLOOKUP(B99,Table2[Main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Funeral",_xlfn.XLOOKUP(B99,Table2[Main Member Link ID],Table2[Benefit Name],0)&lt;&gt;Lookups!$D$14),
IF(_xlfn.XLOOKUP(B99,Table2[Main Member Link ID],Table2[Benefit Name],0)=0,"",_xlfn.XLOOKUP(B99,Table2[Main Member Link ID],Table2[Benefit Name],0)),"")))))))))))))))</f>
        <v/>
      </c>
      <c r="AF99" s="327" t="str">
        <f>IF(AND(Table2[[#This Row],[Member Type]]="Main Member",Table2[[#This Row],[Product Option]]="My Value Plus Life &amp; Funeral"),Lookups!$D$15,
IF(AND(Table2[[#This Row],[Member Type]]="Spouse",Table2[[#This Row],[Product Option]]="My Value Plus Life &amp; Funeral",_xlfn.XLOOKUP(B99,Table2[Main Member Link ID],Table2[Benefit Name],0)=Lookups!$D$14),"",
IF(AND(Table2[[#This Row],[Member Type]]="Spouse",Table2[[#This Row],[Product Option]]="My Value Plus Life &amp; Funeral",_xlfn.XLOOKUP(B98,Table2[Main Member Link ID],Table2[Benefit Name],0)=Lookups!$D$16),"",
IF(AND(Table2[[#This Row],[Member Type]]="Spouse",Table2[[#This Row],[Product Option]]="My Value Plus Life &amp; Funeral",_xlfn.XLOOKUP(B98,Table2[Main Member Link ID],Table2[Benefit Name],0)=Lookups!$D$15),"",
IF(AND(Table2[[#This Row],[Member Type]]="Spouse",Table2[[#This Row],[Product Option]]="My Value Plus Life &amp; Funeral",_xlfn.XLOOKUP(B98,Table2[Main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Funeral",_xlfn.XLOOKUP(B99,Table2[Main Member Link ID],Table2[Benefit Name],0)&lt;&gt;Lookups!$D$15),
IF(_xlfn.XLOOKUP(B99,Table2[Main Member Link ID],Table2[Benefit Name],0)=0,"",_xlfn.XLOOKUP(B99,Table2[Main Member Link ID],Table2[Benefit Name],0)),"")
))))))</f>
        <v/>
      </c>
      <c r="AG99" s="327" t="str">
        <f>IF(AND(Table2[[#This Row],[Member Type]]="Main Member",Table2[[#This Row],[Product Option]]="My Value Plus Life &amp; Funeral"),Lookups!$D$16,
IF(AND(Table2[[#This Row],[Member Type]]="Spouse",Table2[[#This Row],[Product Option]]="My Value Plus Life &amp; Funeral",_xlfn.XLOOKUP(B99,Table2[Main Member Link ID],Table2[Benefit Name],0)=Lookups!$D$14),"",
IF(AND(Table2[[#This Row],[Member Type]]="Spouse",Table2[[#This Row],[Product Option]]="My Value Plus Life &amp; Funeral",_xlfn.XLOOKUP(B98,Table2[Main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Funeral",_xlfn.XLOOKUP(B99,Table2[Main Member Link ID],Table2[Benefit Name],0)&lt;&gt;Lookups!$D$16),
IF(_xlfn.XLOOKUP(B99,Table2[Main Member Link ID],Table2[Benefit Name],0)=0,"",_xlfn.XLOOKUP(B99,Table2[Main Member Link ID],Table2[Benefit Name],0)),"")
))))</f>
        <v/>
      </c>
      <c r="AH99" s="327" t="str">
        <f>IF(AND(Table2[[#This Row],[Member Type]]="Main Member",Table2[[#This Row],[Product Option]]="My Value Plus Life &amp; Funeral"),Lookups!$D$17,
IF(AND(Table2[[#This Row],[Member Type]]="Spouse",Table2[[#This Row],[Product Option]]="My Value Plus Life &amp; Funeral",_xlfn.XLOOKUP(B99,Table2[Main Member Link ID],Table2[Benefit Name],0)=Lookups!$D$14),"",
IF(AND(Table2[[#This Row],[Member Type]]="Spouse",Table2[[#This Row],[Product Option]]="My Value Plus Life &amp; Funeral",_xlfn.XLOOKUP(B98,Table2[Main Member Link ID],Table2[Benefit Name],0)=Lookups!$D$16),"",
IF(AND(Table2[[#This Row],[Member Type]]="Child",Table2[[#This Row],[Product Option]]="My Value Plus Life &amp; Funeral"),"",
IF(AND(Table2[[#This Row],[Member Type]]="Child",Table2[[#This Row],[Product Option]]="My Value Plus Life &amp; Funeral",_xlfn.XLOOKUP(B99,Table2[Main Member Link ID],Table2[Benefit Name],0)=Lookups!$D$15),"",
IF(AND(OR(Table2[[#This Row],[Member Type]]="Spouse",Table2[[#This Row],[Member Type]]="Child"),Table2[[#This Row],[Product Option]]="My Value Plus Life &amp; Funeral",_xlfn.XLOOKUP(B99,Table2[Main Member Link ID],Table2[Benefit Name],0)&lt;&gt;Lookups!$D$17),
IF(_xlfn.XLOOKUP(B99,Table2[Main Member Link ID],Table2[Benefit Name],0)=0,"",_xlfn.XLOOKUP(B99,Table2[Main Member Link ID],Table2[Benefit Name],0)),""))))))</f>
        <v/>
      </c>
      <c r="AI99" s="328" t="str">
        <f>IF(AND(Table2[[#This Row],[Member Type]]="Main Member",Table2[[#This Row],[Table Lookup for Life Cover]]="MM_LIFE",Table2[[#This Row],[Age Next Birthday]]&lt;56),1,
IF(AND(Table2[[#This Row],[Member Type]]="Main Member",Table2[[#This Row],[Table Lookup for Life Cover]]="MM_LIFE",Table2[[#This Row],[Age Next Birthday]]&gt;=56),2,
""))</f>
        <v/>
      </c>
      <c r="AJ99" s="328">
        <f>IF(OR(Table2[[#This Row],[Member Type]]="Main Member",Table2[[#This Row],[Main Member Link ID]]=B98),1,0)</f>
        <v>1</v>
      </c>
      <c r="AK99" s="328">
        <f>IF(Table2[[#This Row],[Member Type]]=0,0,
IF(OR(Table2[[#This Row],[Member Type]]="Main Member",Table2[[#This Row],[Main Member Link ID]]&lt;&gt;B99),COUNTIFS(B:B,Table2[[#This Row],[Main Member Link ID]]),
COUNTIFS(B:B,Table2[[#This Row],[Main Member Link ID]],A:A,Table2[[#This Row],[Member Type]])))</f>
        <v>0</v>
      </c>
    </row>
    <row r="100" spans="1:37" x14ac:dyDescent="0.3">
      <c r="A100" s="284">
        <f>Table13[[#This Row],[Member Type]]</f>
        <v>0</v>
      </c>
      <c r="B100" s="284">
        <f>Table13[[#This Row],[Main Member Link ID]]</f>
        <v>0</v>
      </c>
      <c r="C100" s="284">
        <f>Table13[[#This Row],[ID Number]]</f>
        <v>0</v>
      </c>
      <c r="D100" s="285">
        <f>Table13[[#This Row],[Date Of Birth]]</f>
        <v>0</v>
      </c>
      <c r="E100" s="285">
        <f>Table13[[#This Row],[Commencement Date]]</f>
        <v>0</v>
      </c>
      <c r="F100" s="284">
        <f t="shared" si="7"/>
        <v>1</v>
      </c>
      <c r="G100" s="284">
        <f t="shared" si="8"/>
        <v>25</v>
      </c>
      <c r="H100" s="286">
        <f>Table13[[#This Row],[Product Option]]</f>
        <v>0</v>
      </c>
      <c r="I100" s="284">
        <f>IF(AND($A100="Main Member",Table2[[#This Row],[Product Option]]="My Value Plus Life"),"MM_LIFE",
IF(AND($A100="Spouse",Table2[[#This Row],[Product Option]]="My Value Plus Life"),"SP_LIFE",
IF(AND($A100="Main Member",Table2[[#This Row],[Product Option]]="My Value Plus Life &amp; Funeral"),"MM_LIFE",
IF(AND($A100="Spouse",Table2[[#This Row],[Product Option]]="My Value Plus Life &amp; Funeral"),_xlfn.XLOOKUP(Table2[[#This Row],[Benefit Name]],Lookups!$D$18:$D$23,Lookups!$E$18:$E$23,0),
0))))</f>
        <v>0</v>
      </c>
      <c r="J100" s="284">
        <f>IF($I100="","",
IF($I100="MM_LIFE",INDEX('Quotation Tool'!$S$54:$V$60,MATCH($T100,'Quotation Tool'!$S$54:$S$60,0),4),
IF($I100="SP_LIFE",_xlfn.XLOOKUP(B99,$B:$B,$J:$J,0),0)))</f>
        <v>0</v>
      </c>
      <c r="K100" s="287">
        <f t="shared" ca="1" si="12"/>
        <v>0</v>
      </c>
      <c r="L100" s="288">
        <f t="shared" ca="1" si="13"/>
        <v>0</v>
      </c>
      <c r="M100" s="289">
        <f t="shared" ca="1" si="9"/>
        <v>0</v>
      </c>
      <c r="N100" s="286">
        <f>Table13[[#This Row],[Benefit Option]]</f>
        <v>0</v>
      </c>
      <c r="O100" s="284">
        <f>IF(OR(Table2[[#This Row],[Member Type]]="Spouse",Table2[[#This Row],[Member Type]]="Child"),0,
IF(_xlfn.XLOOKUP($N100,Lookups!$D$13:$D$27,Lookups!$F$13:$F$27,0)=Table2[[#This Row],[Table Lookup for Life Cover]],0,
_xlfn.XLOOKUP($N100,Lookups!$D$13:$D$27,Lookups!$F$13:$F$27,0)))</f>
        <v>0</v>
      </c>
      <c r="P100" s="284">
        <f>IF(Table2[[#This Row],[Table Lookup for Funeral]]=0,0,IFERROR(INDEX('Quotation Tool'!$S$54:$V$60,MATCH($T100,'Quotation Tool'!$S$54:$S$60,0),3),0))</f>
        <v>0</v>
      </c>
      <c r="Q100" s="288">
        <f ca="1">IF(OR(Table2[[#This Row],[Benefit Name]]="My Value Plus Life - Main Member",Table2[[#This Row],[Benefit Name]]="My Value Plus Life - Spouse"),0,
IFERROR(VLOOKUP($G100,INDIRECT($O100),$P100,FALSE),0))</f>
        <v>0</v>
      </c>
      <c r="R100" s="288">
        <f ca="1">IF(OR(Table2[[#This Row],[Benefit Name]]="My Value Plus Life - Main Member",Table2[[#This Row],[Benefit Name]]="My Value Plus Life - Spouse"),0,
IFERROR(VLOOKUP($G100,INDIRECT($O100),$P100+1,FALSE),0))</f>
        <v>0</v>
      </c>
      <c r="S100" s="289">
        <f t="shared" ca="1" si="10"/>
        <v>0</v>
      </c>
      <c r="T100" s="284" t="str">
        <f>IF(Table13[[#This Row],[Premium Waiver]]="","None",Table13[[#This Row],[Premium Waiver]])</f>
        <v>None</v>
      </c>
      <c r="U100" s="284">
        <f>Table13[[#This Row],[VAPs Options]]</f>
        <v>0</v>
      </c>
      <c r="V100" s="284">
        <f>Table13[[#This Row],[Annual Increase Option]]</f>
        <v>0</v>
      </c>
      <c r="W100" s="290">
        <f>Table13[[#This Row],[Life Cover Amount]]</f>
        <v>0</v>
      </c>
      <c r="X100" s="290">
        <f>Table13[[#This Row],[Funeral Cover Amount]]</f>
        <v>0</v>
      </c>
      <c r="Y10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0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00" s="301">
        <f t="shared" ca="1" si="11"/>
        <v>0</v>
      </c>
      <c r="AB100" s="298"/>
      <c r="AC100" s="326" t="str">
        <f>IF(Table2[[#This Row],[Member Type]]="Main Member",Lookups!$C$13,
IF(Table2[[#This Row],[Member Type]]="Spouse",_xlfn.XLOOKUP(B100,Table2[Main Member Link ID],Table2[Product Option],0),
IF(AND(Table2[[#This Row],[Member Type]]="Child",_xlfn.XLOOKUP(B100,Table2[Main Member Link ID],Table2[Product Option],0)&lt;&gt;"My Value Plus Life"),Lookups!$C$24,
IF(AND(OR(Table2[[#This Row],[Member Type]]="Parent",Table2[[#This Row],[Member Type]]="Extended"),_xlfn.XLOOKUP(B100,Table2[Main Member Link ID],Table2[Product Option],0)&lt;&gt;"My Value Plus Life"),Lookups!$C$26,""))))</f>
        <v/>
      </c>
      <c r="AD100" s="326" t="str">
        <f>IF(Table2[[#This Row],[Member Type]]="Main Member",Lookups!$C$14,"")</f>
        <v/>
      </c>
      <c r="AE10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Funeral",_xlfn.XLOOKUP(B100,Table2[Main Member Link ID],Table2[Benefit Name],0)=Lookups!$D$14),"",
IF(AND(Table2[[#This Row],[Member Type]]="Spouse",Table2[[#This Row],[Product Option]]="My Value Plus Life &amp; Funeral",_xlfn.XLOOKUP(B99,Table2[Main Member Link ID],Table2[Benefit Name],0)=Lookups!$D$15),Lookups!$D$20,
IF(AND(Table2[[#This Row],[Member Type]]="Spouse",Table2[[#This Row],[Product Option]]="My Value Plus Life &amp; Funeral",_xlfn.XLOOKUP(B99,Table2[Main Member Link ID],Table2[Benefit Name],0)=Lookups!$D$16),"",
IF(AND(Table2[[#This Row],[Member Type]]="Spouse",Table2[[#This Row],[Product Option]]="My Value Plus Life &amp; Funeral",_xlfn.XLOOKUP(B99,Table2[Main Member Link ID],Table2[Benefit Name],0)=Lookups!$D$17),Lookups!$D$21,
IF(AND(Table2[[#This Row],[Member Type]]="Child",Table2[[#This Row],[Product Option]]="My Value Plus Life &amp; Funeral",_xlfn.XLOOKUP(B100,Table2[Main Member Link ID],Table2[Benefit Name],0)=Lookups!$D$14),"",
IF(AND(Table2[[#This Row],[Member Type]]="Child",Table2[[#This Row],[Product Option]]="My Value Plus Life &amp; Funeral",_xlfn.XLOOKUP(B100,Table2[Main Member Link ID],Table2[Benefit Name],0)=Lookups!$D$15),"",
IF(AND(Table2[[#This Row],[Member Type]]="Child",Table2[[#This Row],[Product Option]]="My Value Plus Life &amp; Funeral",_xlfn.XLOOKUP(B100,Table2[Main Member Link ID],Table2[Benefit Name],0)=Lookups!$D$16),Lookups!$D$24,
IF(AND(Table2[[#This Row],[Member Type]]="Child",Table2[[#This Row],[Product Option]]="My Value Plus Life &amp; Funeral",_xlfn.XLOOKUP(B100,Table2[Main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Funeral",_xlfn.XLOOKUP(B100,Table2[Main Member Link ID],Table2[Benefit Name],0)&lt;&gt;Lookups!$D$14),
IF(_xlfn.XLOOKUP(B100,Table2[Main Member Link ID],Table2[Benefit Name],0)=0,"",_xlfn.XLOOKUP(B100,Table2[Main Member Link ID],Table2[Benefit Name],0)),"")))))))))))))))</f>
        <v/>
      </c>
      <c r="AF100" s="327" t="str">
        <f>IF(AND(Table2[[#This Row],[Member Type]]="Main Member",Table2[[#This Row],[Product Option]]="My Value Plus Life &amp; Funeral"),Lookups!$D$15,
IF(AND(Table2[[#This Row],[Member Type]]="Spouse",Table2[[#This Row],[Product Option]]="My Value Plus Life &amp; Funeral",_xlfn.XLOOKUP(B100,Table2[Main Member Link ID],Table2[Benefit Name],0)=Lookups!$D$14),"",
IF(AND(Table2[[#This Row],[Member Type]]="Spouse",Table2[[#This Row],[Product Option]]="My Value Plus Life &amp; Funeral",_xlfn.XLOOKUP(B99,Table2[Main Member Link ID],Table2[Benefit Name],0)=Lookups!$D$16),"",
IF(AND(Table2[[#This Row],[Member Type]]="Spouse",Table2[[#This Row],[Product Option]]="My Value Plus Life &amp; Funeral",_xlfn.XLOOKUP(B99,Table2[Main Member Link ID],Table2[Benefit Name],0)=Lookups!$D$15),"",
IF(AND(Table2[[#This Row],[Member Type]]="Spouse",Table2[[#This Row],[Product Option]]="My Value Plus Life &amp; Funeral",_xlfn.XLOOKUP(B99,Table2[Main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Funeral",_xlfn.XLOOKUP(B100,Table2[Main Member Link ID],Table2[Benefit Name],0)&lt;&gt;Lookups!$D$15),
IF(_xlfn.XLOOKUP(B100,Table2[Main Member Link ID],Table2[Benefit Name],0)=0,"",_xlfn.XLOOKUP(B100,Table2[Main Member Link ID],Table2[Benefit Name],0)),"")
))))))</f>
        <v/>
      </c>
      <c r="AG100" s="327" t="str">
        <f>IF(AND(Table2[[#This Row],[Member Type]]="Main Member",Table2[[#This Row],[Product Option]]="My Value Plus Life &amp; Funeral"),Lookups!$D$16,
IF(AND(Table2[[#This Row],[Member Type]]="Spouse",Table2[[#This Row],[Product Option]]="My Value Plus Life &amp; Funeral",_xlfn.XLOOKUP(B100,Table2[Main Member Link ID],Table2[Benefit Name],0)=Lookups!$D$14),"",
IF(AND(Table2[[#This Row],[Member Type]]="Spouse",Table2[[#This Row],[Product Option]]="My Value Plus Life &amp; Funeral",_xlfn.XLOOKUP(B99,Table2[Main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Funeral",_xlfn.XLOOKUP(B100,Table2[Main Member Link ID],Table2[Benefit Name],0)&lt;&gt;Lookups!$D$16),
IF(_xlfn.XLOOKUP(B100,Table2[Main Member Link ID],Table2[Benefit Name],0)=0,"",_xlfn.XLOOKUP(B100,Table2[Main Member Link ID],Table2[Benefit Name],0)),"")
))))</f>
        <v/>
      </c>
      <c r="AH100" s="327" t="str">
        <f>IF(AND(Table2[[#This Row],[Member Type]]="Main Member",Table2[[#This Row],[Product Option]]="My Value Plus Life &amp; Funeral"),Lookups!$D$17,
IF(AND(Table2[[#This Row],[Member Type]]="Spouse",Table2[[#This Row],[Product Option]]="My Value Plus Life &amp; Funeral",_xlfn.XLOOKUP(B100,Table2[Main Member Link ID],Table2[Benefit Name],0)=Lookups!$D$14),"",
IF(AND(Table2[[#This Row],[Member Type]]="Spouse",Table2[[#This Row],[Product Option]]="My Value Plus Life &amp; Funeral",_xlfn.XLOOKUP(B99,Table2[Main Member Link ID],Table2[Benefit Name],0)=Lookups!$D$16),"",
IF(AND(Table2[[#This Row],[Member Type]]="Child",Table2[[#This Row],[Product Option]]="My Value Plus Life &amp; Funeral"),"",
IF(AND(Table2[[#This Row],[Member Type]]="Child",Table2[[#This Row],[Product Option]]="My Value Plus Life &amp; Funeral",_xlfn.XLOOKUP(B100,Table2[Main Member Link ID],Table2[Benefit Name],0)=Lookups!$D$15),"",
IF(AND(OR(Table2[[#This Row],[Member Type]]="Spouse",Table2[[#This Row],[Member Type]]="Child"),Table2[[#This Row],[Product Option]]="My Value Plus Life &amp; Funeral",_xlfn.XLOOKUP(B100,Table2[Main Member Link ID],Table2[Benefit Name],0)&lt;&gt;Lookups!$D$17),
IF(_xlfn.XLOOKUP(B100,Table2[Main Member Link ID],Table2[Benefit Name],0)=0,"",_xlfn.XLOOKUP(B100,Table2[Main Member Link ID],Table2[Benefit Name],0)),""))))))</f>
        <v/>
      </c>
      <c r="AI100" s="328" t="str">
        <f>IF(AND(Table2[[#This Row],[Member Type]]="Main Member",Table2[[#This Row],[Table Lookup for Life Cover]]="MM_LIFE",Table2[[#This Row],[Age Next Birthday]]&lt;56),1,
IF(AND(Table2[[#This Row],[Member Type]]="Main Member",Table2[[#This Row],[Table Lookup for Life Cover]]="MM_LIFE",Table2[[#This Row],[Age Next Birthday]]&gt;=56),2,
""))</f>
        <v/>
      </c>
      <c r="AJ100" s="328">
        <f>IF(OR(Table2[[#This Row],[Member Type]]="Main Member",Table2[[#This Row],[Main Member Link ID]]=B99),1,0)</f>
        <v>1</v>
      </c>
      <c r="AK100" s="328">
        <f>IF(Table2[[#This Row],[Member Type]]=0,0,
IF(OR(Table2[[#This Row],[Member Type]]="Main Member",Table2[[#This Row],[Main Member Link ID]]&lt;&gt;B100),COUNTIFS(B:B,Table2[[#This Row],[Main Member Link ID]]),
COUNTIFS(B:B,Table2[[#This Row],[Main Member Link ID]],A:A,Table2[[#This Row],[Member Type]])))</f>
        <v>0</v>
      </c>
    </row>
    <row r="101" spans="1:37" x14ac:dyDescent="0.3">
      <c r="A101" s="284">
        <f>Table13[[#This Row],[Member Type]]</f>
        <v>0</v>
      </c>
      <c r="B101" s="284">
        <f>Table13[[#This Row],[Main Member Link ID]]</f>
        <v>0</v>
      </c>
      <c r="C101" s="284">
        <f>Table13[[#This Row],[ID Number]]</f>
        <v>0</v>
      </c>
      <c r="D101" s="285">
        <f>Table13[[#This Row],[Date Of Birth]]</f>
        <v>0</v>
      </c>
      <c r="E101" s="285">
        <f>Table13[[#This Row],[Commencement Date]]</f>
        <v>0</v>
      </c>
      <c r="F101" s="284">
        <f t="shared" si="7"/>
        <v>1</v>
      </c>
      <c r="G101" s="284">
        <f t="shared" si="8"/>
        <v>25</v>
      </c>
      <c r="H101" s="286">
        <f>Table13[[#This Row],[Product Option]]</f>
        <v>0</v>
      </c>
      <c r="I101" s="284">
        <f>IF(AND($A101="Main Member",Table2[[#This Row],[Product Option]]="My Value Plus Life"),"MM_LIFE",
IF(AND($A101="Spouse",Table2[[#This Row],[Product Option]]="My Value Plus Life"),"SP_LIFE",
IF(AND($A101="Main Member",Table2[[#This Row],[Product Option]]="My Value Plus Life &amp; Funeral"),"MM_LIFE",
IF(AND($A101="Spouse",Table2[[#This Row],[Product Option]]="My Value Plus Life &amp; Funeral"),_xlfn.XLOOKUP(Table2[[#This Row],[Benefit Name]],Lookups!$D$18:$D$23,Lookups!$E$18:$E$23,0),
0))))</f>
        <v>0</v>
      </c>
      <c r="J101" s="284">
        <f>IF($I101="","",
IF($I101="MM_LIFE",INDEX('Quotation Tool'!$S$54:$V$60,MATCH($T101,'Quotation Tool'!$S$54:$S$60,0),4),
IF($I101="SP_LIFE",_xlfn.XLOOKUP(B100,$B:$B,$J:$J,0),0)))</f>
        <v>0</v>
      </c>
      <c r="K101" s="287">
        <f t="shared" ca="1" si="12"/>
        <v>0</v>
      </c>
      <c r="L101" s="288">
        <f t="shared" ca="1" si="13"/>
        <v>0</v>
      </c>
      <c r="M101" s="289">
        <f t="shared" ca="1" si="9"/>
        <v>0</v>
      </c>
      <c r="N101" s="286">
        <f>Table13[[#This Row],[Benefit Option]]</f>
        <v>0</v>
      </c>
      <c r="O101" s="284">
        <f>IF(OR(Table2[[#This Row],[Member Type]]="Spouse",Table2[[#This Row],[Member Type]]="Child"),0,
IF(_xlfn.XLOOKUP($N101,Lookups!$D$13:$D$27,Lookups!$F$13:$F$27,0)=Table2[[#This Row],[Table Lookup for Life Cover]],0,
_xlfn.XLOOKUP($N101,Lookups!$D$13:$D$27,Lookups!$F$13:$F$27,0)))</f>
        <v>0</v>
      </c>
      <c r="P101" s="284">
        <f>IF(Table2[[#This Row],[Table Lookup for Funeral]]=0,0,IFERROR(INDEX('Quotation Tool'!$S$54:$V$60,MATCH($T101,'Quotation Tool'!$S$54:$S$60,0),3),0))</f>
        <v>0</v>
      </c>
      <c r="Q101" s="288">
        <f ca="1">IF(OR(Table2[[#This Row],[Benefit Name]]="My Value Plus Life - Main Member",Table2[[#This Row],[Benefit Name]]="My Value Plus Life - Spouse"),0,
IFERROR(VLOOKUP($G101,INDIRECT($O101),$P101,FALSE),0))</f>
        <v>0</v>
      </c>
      <c r="R101" s="288">
        <f ca="1">IF(OR(Table2[[#This Row],[Benefit Name]]="My Value Plus Life - Main Member",Table2[[#This Row],[Benefit Name]]="My Value Plus Life - Spouse"),0,
IFERROR(VLOOKUP($G101,INDIRECT($O101),$P101+1,FALSE),0))</f>
        <v>0</v>
      </c>
      <c r="S101" s="289">
        <f t="shared" ca="1" si="10"/>
        <v>0</v>
      </c>
      <c r="T101" s="284" t="str">
        <f>IF(Table13[[#This Row],[Premium Waiver]]="","None",Table13[[#This Row],[Premium Waiver]])</f>
        <v>None</v>
      </c>
      <c r="U101" s="284">
        <f>Table13[[#This Row],[VAPs Options]]</f>
        <v>0</v>
      </c>
      <c r="V101" s="284">
        <f>Table13[[#This Row],[Annual Increase Option]]</f>
        <v>0</v>
      </c>
      <c r="W101" s="290">
        <f>Table13[[#This Row],[Life Cover Amount]]</f>
        <v>0</v>
      </c>
      <c r="X101" s="290">
        <f>Table13[[#This Row],[Funeral Cover Amount]]</f>
        <v>0</v>
      </c>
      <c r="Y10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0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01" s="301">
        <f t="shared" ca="1" si="11"/>
        <v>0</v>
      </c>
      <c r="AB101" s="298"/>
      <c r="AC101" s="326" t="str">
        <f>IF(Table2[[#This Row],[Member Type]]="Main Member",Lookups!$C$13,
IF(Table2[[#This Row],[Member Type]]="Spouse",_xlfn.XLOOKUP(B101,Table2[Main Member Link ID],Table2[Product Option],0),
IF(AND(Table2[[#This Row],[Member Type]]="Child",_xlfn.XLOOKUP(B101,Table2[Main Member Link ID],Table2[Product Option],0)&lt;&gt;"My Value Plus Life"),Lookups!$C$24,
IF(AND(OR(Table2[[#This Row],[Member Type]]="Parent",Table2[[#This Row],[Member Type]]="Extended"),_xlfn.XLOOKUP(B101,Table2[Main Member Link ID],Table2[Product Option],0)&lt;&gt;"My Value Plus Life"),Lookups!$C$26,""))))</f>
        <v/>
      </c>
      <c r="AD101" s="326" t="str">
        <f>IF(Table2[[#This Row],[Member Type]]="Main Member",Lookups!$C$14,"")</f>
        <v/>
      </c>
      <c r="AE10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Funeral",_xlfn.XLOOKUP(B101,Table2[Main Member Link ID],Table2[Benefit Name],0)=Lookups!$D$14),"",
IF(AND(Table2[[#This Row],[Member Type]]="Spouse",Table2[[#This Row],[Product Option]]="My Value Plus Life &amp; Funeral",_xlfn.XLOOKUP(B100,Table2[Main Member Link ID],Table2[Benefit Name],0)=Lookups!$D$15),Lookups!$D$20,
IF(AND(Table2[[#This Row],[Member Type]]="Spouse",Table2[[#This Row],[Product Option]]="My Value Plus Life &amp; Funeral",_xlfn.XLOOKUP(B100,Table2[Main Member Link ID],Table2[Benefit Name],0)=Lookups!$D$16),"",
IF(AND(Table2[[#This Row],[Member Type]]="Spouse",Table2[[#This Row],[Product Option]]="My Value Plus Life &amp; Funeral",_xlfn.XLOOKUP(B100,Table2[Main Member Link ID],Table2[Benefit Name],0)=Lookups!$D$17),Lookups!$D$21,
IF(AND(Table2[[#This Row],[Member Type]]="Child",Table2[[#This Row],[Product Option]]="My Value Plus Life &amp; Funeral",_xlfn.XLOOKUP(B101,Table2[Main Member Link ID],Table2[Benefit Name],0)=Lookups!$D$14),"",
IF(AND(Table2[[#This Row],[Member Type]]="Child",Table2[[#This Row],[Product Option]]="My Value Plus Life &amp; Funeral",_xlfn.XLOOKUP(B101,Table2[Main Member Link ID],Table2[Benefit Name],0)=Lookups!$D$15),"",
IF(AND(Table2[[#This Row],[Member Type]]="Child",Table2[[#This Row],[Product Option]]="My Value Plus Life &amp; Funeral",_xlfn.XLOOKUP(B101,Table2[Main Member Link ID],Table2[Benefit Name],0)=Lookups!$D$16),Lookups!$D$24,
IF(AND(Table2[[#This Row],[Member Type]]="Child",Table2[[#This Row],[Product Option]]="My Value Plus Life &amp; Funeral",_xlfn.XLOOKUP(B101,Table2[Main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Funeral",_xlfn.XLOOKUP(B101,Table2[Main Member Link ID],Table2[Benefit Name],0)&lt;&gt;Lookups!$D$14),
IF(_xlfn.XLOOKUP(B101,Table2[Main Member Link ID],Table2[Benefit Name],0)=0,"",_xlfn.XLOOKUP(B101,Table2[Main Member Link ID],Table2[Benefit Name],0)),"")))))))))))))))</f>
        <v/>
      </c>
      <c r="AF101" s="327" t="str">
        <f>IF(AND(Table2[[#This Row],[Member Type]]="Main Member",Table2[[#This Row],[Product Option]]="My Value Plus Life &amp; Funeral"),Lookups!$D$15,
IF(AND(Table2[[#This Row],[Member Type]]="Spouse",Table2[[#This Row],[Product Option]]="My Value Plus Life &amp; Funeral",_xlfn.XLOOKUP(B101,Table2[Main Member Link ID],Table2[Benefit Name],0)=Lookups!$D$14),"",
IF(AND(Table2[[#This Row],[Member Type]]="Spouse",Table2[[#This Row],[Product Option]]="My Value Plus Life &amp; Funeral",_xlfn.XLOOKUP(B100,Table2[Main Member Link ID],Table2[Benefit Name],0)=Lookups!$D$16),"",
IF(AND(Table2[[#This Row],[Member Type]]="Spouse",Table2[[#This Row],[Product Option]]="My Value Plus Life &amp; Funeral",_xlfn.XLOOKUP(B100,Table2[Main Member Link ID],Table2[Benefit Name],0)=Lookups!$D$15),"",
IF(AND(Table2[[#This Row],[Member Type]]="Spouse",Table2[[#This Row],[Product Option]]="My Value Plus Life &amp; Funeral",_xlfn.XLOOKUP(B100,Table2[Main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Funeral",_xlfn.XLOOKUP(B101,Table2[Main Member Link ID],Table2[Benefit Name],0)&lt;&gt;Lookups!$D$15),
IF(_xlfn.XLOOKUP(B101,Table2[Main Member Link ID],Table2[Benefit Name],0)=0,"",_xlfn.XLOOKUP(B101,Table2[Main Member Link ID],Table2[Benefit Name],0)),"")
))))))</f>
        <v/>
      </c>
      <c r="AG101" s="327" t="str">
        <f>IF(AND(Table2[[#This Row],[Member Type]]="Main Member",Table2[[#This Row],[Product Option]]="My Value Plus Life &amp; Funeral"),Lookups!$D$16,
IF(AND(Table2[[#This Row],[Member Type]]="Spouse",Table2[[#This Row],[Product Option]]="My Value Plus Life &amp; Funeral",_xlfn.XLOOKUP(B101,Table2[Main Member Link ID],Table2[Benefit Name],0)=Lookups!$D$14),"",
IF(AND(Table2[[#This Row],[Member Type]]="Spouse",Table2[[#This Row],[Product Option]]="My Value Plus Life &amp; Funeral",_xlfn.XLOOKUP(B100,Table2[Main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Funeral",_xlfn.XLOOKUP(B101,Table2[Main Member Link ID],Table2[Benefit Name],0)&lt;&gt;Lookups!$D$16),
IF(_xlfn.XLOOKUP(B101,Table2[Main Member Link ID],Table2[Benefit Name],0)=0,"",_xlfn.XLOOKUP(B101,Table2[Main Member Link ID],Table2[Benefit Name],0)),"")
))))</f>
        <v/>
      </c>
      <c r="AH101" s="327" t="str">
        <f>IF(AND(Table2[[#This Row],[Member Type]]="Main Member",Table2[[#This Row],[Product Option]]="My Value Plus Life &amp; Funeral"),Lookups!$D$17,
IF(AND(Table2[[#This Row],[Member Type]]="Spouse",Table2[[#This Row],[Product Option]]="My Value Plus Life &amp; Funeral",_xlfn.XLOOKUP(B101,Table2[Main Member Link ID],Table2[Benefit Name],0)=Lookups!$D$14),"",
IF(AND(Table2[[#This Row],[Member Type]]="Spouse",Table2[[#This Row],[Product Option]]="My Value Plus Life &amp; Funeral",_xlfn.XLOOKUP(B100,Table2[Main Member Link ID],Table2[Benefit Name],0)=Lookups!$D$16),"",
IF(AND(Table2[[#This Row],[Member Type]]="Child",Table2[[#This Row],[Product Option]]="My Value Plus Life &amp; Funeral"),"",
IF(AND(Table2[[#This Row],[Member Type]]="Child",Table2[[#This Row],[Product Option]]="My Value Plus Life &amp; Funeral",_xlfn.XLOOKUP(B101,Table2[Main Member Link ID],Table2[Benefit Name],0)=Lookups!$D$15),"",
IF(AND(OR(Table2[[#This Row],[Member Type]]="Spouse",Table2[[#This Row],[Member Type]]="Child"),Table2[[#This Row],[Product Option]]="My Value Plus Life &amp; Funeral",_xlfn.XLOOKUP(B101,Table2[Main Member Link ID],Table2[Benefit Name],0)&lt;&gt;Lookups!$D$17),
IF(_xlfn.XLOOKUP(B101,Table2[Main Member Link ID],Table2[Benefit Name],0)=0,"",_xlfn.XLOOKUP(B101,Table2[Main Member Link ID],Table2[Benefit Name],0)),""))))))</f>
        <v/>
      </c>
      <c r="AI101" s="328" t="str">
        <f>IF(AND(Table2[[#This Row],[Member Type]]="Main Member",Table2[[#This Row],[Table Lookup for Life Cover]]="MM_LIFE",Table2[[#This Row],[Age Next Birthday]]&lt;56),1,
IF(AND(Table2[[#This Row],[Member Type]]="Main Member",Table2[[#This Row],[Table Lookup for Life Cover]]="MM_LIFE",Table2[[#This Row],[Age Next Birthday]]&gt;=56),2,
""))</f>
        <v/>
      </c>
      <c r="AJ101" s="328">
        <f>IF(OR(Table2[[#This Row],[Member Type]]="Main Member",Table2[[#This Row],[Main Member Link ID]]=B100),1,0)</f>
        <v>1</v>
      </c>
      <c r="AK101" s="328">
        <f>IF(Table2[[#This Row],[Member Type]]=0,0,
IF(OR(Table2[[#This Row],[Member Type]]="Main Member",Table2[[#This Row],[Main Member Link ID]]&lt;&gt;B101),COUNTIFS(B:B,Table2[[#This Row],[Main Member Link ID]]),
COUNTIFS(B:B,Table2[[#This Row],[Main Member Link ID]],A:A,Table2[[#This Row],[Member Type]])))</f>
        <v>0</v>
      </c>
    </row>
    <row r="102" spans="1:37" x14ac:dyDescent="0.3">
      <c r="A102" s="284">
        <f>Table13[[#This Row],[Member Type]]</f>
        <v>0</v>
      </c>
      <c r="B102" s="284">
        <f>Table13[[#This Row],[Main Member Link ID]]</f>
        <v>0</v>
      </c>
      <c r="C102" s="284">
        <f>Table13[[#This Row],[ID Number]]</f>
        <v>0</v>
      </c>
      <c r="D102" s="285">
        <f>Table13[[#This Row],[Date Of Birth]]</f>
        <v>0</v>
      </c>
      <c r="E102" s="285">
        <f>Table13[[#This Row],[Commencement Date]]</f>
        <v>0</v>
      </c>
      <c r="F102" s="284">
        <f t="shared" si="7"/>
        <v>1</v>
      </c>
      <c r="G102" s="284">
        <f t="shared" si="8"/>
        <v>25</v>
      </c>
      <c r="H102" s="286">
        <f>Table13[[#This Row],[Product Option]]</f>
        <v>0</v>
      </c>
      <c r="I102" s="284">
        <f>IF(AND($A102="Main Member",Table2[[#This Row],[Product Option]]="My Value Plus Life"),"MM_LIFE",
IF(AND($A102="Spouse",Table2[[#This Row],[Product Option]]="My Value Plus Life"),"SP_LIFE",
IF(AND($A102="Main Member",Table2[[#This Row],[Product Option]]="My Value Plus Life &amp; Funeral"),"MM_LIFE",
IF(AND($A102="Spouse",Table2[[#This Row],[Product Option]]="My Value Plus Life &amp; Funeral"),_xlfn.XLOOKUP(Table2[[#This Row],[Benefit Name]],Lookups!$D$18:$D$23,Lookups!$E$18:$E$23,0),
0))))</f>
        <v>0</v>
      </c>
      <c r="J102" s="284">
        <f>IF($I102="","",
IF($I102="MM_LIFE",INDEX('Quotation Tool'!$S$54:$V$60,MATCH($T102,'Quotation Tool'!$S$54:$S$60,0),4),
IF($I102="SP_LIFE",_xlfn.XLOOKUP(B101,$B:$B,$J:$J,0),0)))</f>
        <v>0</v>
      </c>
      <c r="K102" s="287">
        <f t="shared" ca="1" si="12"/>
        <v>0</v>
      </c>
      <c r="L102" s="288">
        <f t="shared" ca="1" si="13"/>
        <v>0</v>
      </c>
      <c r="M102" s="289">
        <f t="shared" ca="1" si="9"/>
        <v>0</v>
      </c>
      <c r="N102" s="286">
        <f>Table13[[#This Row],[Benefit Option]]</f>
        <v>0</v>
      </c>
      <c r="O102" s="284">
        <f>IF(OR(Table2[[#This Row],[Member Type]]="Spouse",Table2[[#This Row],[Member Type]]="Child"),0,
IF(_xlfn.XLOOKUP($N102,Lookups!$D$13:$D$27,Lookups!$F$13:$F$27,0)=Table2[[#This Row],[Table Lookup for Life Cover]],0,
_xlfn.XLOOKUP($N102,Lookups!$D$13:$D$27,Lookups!$F$13:$F$27,0)))</f>
        <v>0</v>
      </c>
      <c r="P102" s="284">
        <f>IF(Table2[[#This Row],[Table Lookup for Funeral]]=0,0,IFERROR(INDEX('Quotation Tool'!$S$54:$V$60,MATCH($T102,'Quotation Tool'!$S$54:$S$60,0),3),0))</f>
        <v>0</v>
      </c>
      <c r="Q102" s="288">
        <f ca="1">IF(OR(Table2[[#This Row],[Benefit Name]]="My Value Plus Life - Main Member",Table2[[#This Row],[Benefit Name]]="My Value Plus Life - Spouse"),0,
IFERROR(VLOOKUP($G102,INDIRECT($O102),$P102,FALSE),0))</f>
        <v>0</v>
      </c>
      <c r="R102" s="288">
        <f ca="1">IF(OR(Table2[[#This Row],[Benefit Name]]="My Value Plus Life - Main Member",Table2[[#This Row],[Benefit Name]]="My Value Plus Life - Spouse"),0,
IFERROR(VLOOKUP($G102,INDIRECT($O102),$P102+1,FALSE),0))</f>
        <v>0</v>
      </c>
      <c r="S102" s="289">
        <f t="shared" ca="1" si="10"/>
        <v>0</v>
      </c>
      <c r="T102" s="284" t="str">
        <f>IF(Table13[[#This Row],[Premium Waiver]]="","None",Table13[[#This Row],[Premium Waiver]])</f>
        <v>None</v>
      </c>
      <c r="U102" s="284">
        <f>Table13[[#This Row],[VAPs Options]]</f>
        <v>0</v>
      </c>
      <c r="V102" s="284">
        <f>Table13[[#This Row],[Annual Increase Option]]</f>
        <v>0</v>
      </c>
      <c r="W102" s="290">
        <f>Table13[[#This Row],[Life Cover Amount]]</f>
        <v>0</v>
      </c>
      <c r="X102" s="290">
        <f>Table13[[#This Row],[Funeral Cover Amount]]</f>
        <v>0</v>
      </c>
      <c r="Y10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0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02" s="301">
        <f t="shared" ca="1" si="11"/>
        <v>0</v>
      </c>
      <c r="AB102" s="298"/>
      <c r="AC102" s="326" t="str">
        <f>IF(Table2[[#This Row],[Member Type]]="Main Member",Lookups!$C$13,
IF(Table2[[#This Row],[Member Type]]="Spouse",_xlfn.XLOOKUP(B102,Table2[Main Member Link ID],Table2[Product Option],0),
IF(AND(Table2[[#This Row],[Member Type]]="Child",_xlfn.XLOOKUP(B102,Table2[Main Member Link ID],Table2[Product Option],0)&lt;&gt;"My Value Plus Life"),Lookups!$C$24,
IF(AND(OR(Table2[[#This Row],[Member Type]]="Parent",Table2[[#This Row],[Member Type]]="Extended"),_xlfn.XLOOKUP(B102,Table2[Main Member Link ID],Table2[Product Option],0)&lt;&gt;"My Value Plus Life"),Lookups!$C$26,""))))</f>
        <v/>
      </c>
      <c r="AD102" s="326" t="str">
        <f>IF(Table2[[#This Row],[Member Type]]="Main Member",Lookups!$C$14,"")</f>
        <v/>
      </c>
      <c r="AE10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Funeral",_xlfn.XLOOKUP(B102,Table2[Main Member Link ID],Table2[Benefit Name],0)=Lookups!$D$14),"",
IF(AND(Table2[[#This Row],[Member Type]]="Spouse",Table2[[#This Row],[Product Option]]="My Value Plus Life &amp; Funeral",_xlfn.XLOOKUP(B101,Table2[Main Member Link ID],Table2[Benefit Name],0)=Lookups!$D$15),Lookups!$D$20,
IF(AND(Table2[[#This Row],[Member Type]]="Spouse",Table2[[#This Row],[Product Option]]="My Value Plus Life &amp; Funeral",_xlfn.XLOOKUP(B101,Table2[Main Member Link ID],Table2[Benefit Name],0)=Lookups!$D$16),"",
IF(AND(Table2[[#This Row],[Member Type]]="Spouse",Table2[[#This Row],[Product Option]]="My Value Plus Life &amp; Funeral",_xlfn.XLOOKUP(B101,Table2[Main Member Link ID],Table2[Benefit Name],0)=Lookups!$D$17),Lookups!$D$21,
IF(AND(Table2[[#This Row],[Member Type]]="Child",Table2[[#This Row],[Product Option]]="My Value Plus Life &amp; Funeral",_xlfn.XLOOKUP(B102,Table2[Main Member Link ID],Table2[Benefit Name],0)=Lookups!$D$14),"",
IF(AND(Table2[[#This Row],[Member Type]]="Child",Table2[[#This Row],[Product Option]]="My Value Plus Life &amp; Funeral",_xlfn.XLOOKUP(B102,Table2[Main Member Link ID],Table2[Benefit Name],0)=Lookups!$D$15),"",
IF(AND(Table2[[#This Row],[Member Type]]="Child",Table2[[#This Row],[Product Option]]="My Value Plus Life &amp; Funeral",_xlfn.XLOOKUP(B102,Table2[Main Member Link ID],Table2[Benefit Name],0)=Lookups!$D$16),Lookups!$D$24,
IF(AND(Table2[[#This Row],[Member Type]]="Child",Table2[[#This Row],[Product Option]]="My Value Plus Life &amp; Funeral",_xlfn.XLOOKUP(B102,Table2[Main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Funeral",_xlfn.XLOOKUP(B102,Table2[Main Member Link ID],Table2[Benefit Name],0)&lt;&gt;Lookups!$D$14),
IF(_xlfn.XLOOKUP(B102,Table2[Main Member Link ID],Table2[Benefit Name],0)=0,"",_xlfn.XLOOKUP(B102,Table2[Main Member Link ID],Table2[Benefit Name],0)),"")))))))))))))))</f>
        <v/>
      </c>
      <c r="AF102" s="327" t="str">
        <f>IF(AND(Table2[[#This Row],[Member Type]]="Main Member",Table2[[#This Row],[Product Option]]="My Value Plus Life &amp; Funeral"),Lookups!$D$15,
IF(AND(Table2[[#This Row],[Member Type]]="Spouse",Table2[[#This Row],[Product Option]]="My Value Plus Life &amp; Funeral",_xlfn.XLOOKUP(B102,Table2[Main Member Link ID],Table2[Benefit Name],0)=Lookups!$D$14),"",
IF(AND(Table2[[#This Row],[Member Type]]="Spouse",Table2[[#This Row],[Product Option]]="My Value Plus Life &amp; Funeral",_xlfn.XLOOKUP(B101,Table2[Main Member Link ID],Table2[Benefit Name],0)=Lookups!$D$16),"",
IF(AND(Table2[[#This Row],[Member Type]]="Spouse",Table2[[#This Row],[Product Option]]="My Value Plus Life &amp; Funeral",_xlfn.XLOOKUP(B101,Table2[Main Member Link ID],Table2[Benefit Name],0)=Lookups!$D$15),"",
IF(AND(Table2[[#This Row],[Member Type]]="Spouse",Table2[[#This Row],[Product Option]]="My Value Plus Life &amp; Funeral",_xlfn.XLOOKUP(B101,Table2[Main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Funeral",_xlfn.XLOOKUP(B102,Table2[Main Member Link ID],Table2[Benefit Name],0)&lt;&gt;Lookups!$D$15),
IF(_xlfn.XLOOKUP(B102,Table2[Main Member Link ID],Table2[Benefit Name],0)=0,"",_xlfn.XLOOKUP(B102,Table2[Main Member Link ID],Table2[Benefit Name],0)),"")
))))))</f>
        <v/>
      </c>
      <c r="AG102" s="327" t="str">
        <f>IF(AND(Table2[[#This Row],[Member Type]]="Main Member",Table2[[#This Row],[Product Option]]="My Value Plus Life &amp; Funeral"),Lookups!$D$16,
IF(AND(Table2[[#This Row],[Member Type]]="Spouse",Table2[[#This Row],[Product Option]]="My Value Plus Life &amp; Funeral",_xlfn.XLOOKUP(B102,Table2[Main Member Link ID],Table2[Benefit Name],0)=Lookups!$D$14),"",
IF(AND(Table2[[#This Row],[Member Type]]="Spouse",Table2[[#This Row],[Product Option]]="My Value Plus Life &amp; Funeral",_xlfn.XLOOKUP(B101,Table2[Main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Funeral",_xlfn.XLOOKUP(B102,Table2[Main Member Link ID],Table2[Benefit Name],0)&lt;&gt;Lookups!$D$16),
IF(_xlfn.XLOOKUP(B102,Table2[Main Member Link ID],Table2[Benefit Name],0)=0,"",_xlfn.XLOOKUP(B102,Table2[Main Member Link ID],Table2[Benefit Name],0)),"")
))))</f>
        <v/>
      </c>
      <c r="AH102" s="327" t="str">
        <f>IF(AND(Table2[[#This Row],[Member Type]]="Main Member",Table2[[#This Row],[Product Option]]="My Value Plus Life &amp; Funeral"),Lookups!$D$17,
IF(AND(Table2[[#This Row],[Member Type]]="Spouse",Table2[[#This Row],[Product Option]]="My Value Plus Life &amp; Funeral",_xlfn.XLOOKUP(B102,Table2[Main Member Link ID],Table2[Benefit Name],0)=Lookups!$D$14),"",
IF(AND(Table2[[#This Row],[Member Type]]="Spouse",Table2[[#This Row],[Product Option]]="My Value Plus Life &amp; Funeral",_xlfn.XLOOKUP(B101,Table2[Main Member Link ID],Table2[Benefit Name],0)=Lookups!$D$16),"",
IF(AND(Table2[[#This Row],[Member Type]]="Child",Table2[[#This Row],[Product Option]]="My Value Plus Life &amp; Funeral"),"",
IF(AND(Table2[[#This Row],[Member Type]]="Child",Table2[[#This Row],[Product Option]]="My Value Plus Life &amp; Funeral",_xlfn.XLOOKUP(B102,Table2[Main Member Link ID],Table2[Benefit Name],0)=Lookups!$D$15),"",
IF(AND(OR(Table2[[#This Row],[Member Type]]="Spouse",Table2[[#This Row],[Member Type]]="Child"),Table2[[#This Row],[Product Option]]="My Value Plus Life &amp; Funeral",_xlfn.XLOOKUP(B102,Table2[Main Member Link ID],Table2[Benefit Name],0)&lt;&gt;Lookups!$D$17),
IF(_xlfn.XLOOKUP(B102,Table2[Main Member Link ID],Table2[Benefit Name],0)=0,"",_xlfn.XLOOKUP(B102,Table2[Main Member Link ID],Table2[Benefit Name],0)),""))))))</f>
        <v/>
      </c>
      <c r="AI102" s="328" t="str">
        <f>IF(AND(Table2[[#This Row],[Member Type]]="Main Member",Table2[[#This Row],[Table Lookup for Life Cover]]="MM_LIFE",Table2[[#This Row],[Age Next Birthday]]&lt;56),1,
IF(AND(Table2[[#This Row],[Member Type]]="Main Member",Table2[[#This Row],[Table Lookup for Life Cover]]="MM_LIFE",Table2[[#This Row],[Age Next Birthday]]&gt;=56),2,
""))</f>
        <v/>
      </c>
      <c r="AJ102" s="328">
        <f>IF(OR(Table2[[#This Row],[Member Type]]="Main Member",Table2[[#This Row],[Main Member Link ID]]=B101),1,0)</f>
        <v>1</v>
      </c>
      <c r="AK102" s="328">
        <f>IF(Table2[[#This Row],[Member Type]]=0,0,
IF(OR(Table2[[#This Row],[Member Type]]="Main Member",Table2[[#This Row],[Main Member Link ID]]&lt;&gt;B102),COUNTIFS(B:B,Table2[[#This Row],[Main Member Link ID]]),
COUNTIFS(B:B,Table2[[#This Row],[Main Member Link ID]],A:A,Table2[[#This Row],[Member Type]])))</f>
        <v>0</v>
      </c>
    </row>
    <row r="103" spans="1:37" x14ac:dyDescent="0.3">
      <c r="A103" s="284">
        <f>Table13[[#This Row],[Member Type]]</f>
        <v>0</v>
      </c>
      <c r="B103" s="284">
        <f>Table13[[#This Row],[Main Member Link ID]]</f>
        <v>0</v>
      </c>
      <c r="C103" s="284">
        <f>Table13[[#This Row],[ID Number]]</f>
        <v>0</v>
      </c>
      <c r="D103" s="285">
        <f>Table13[[#This Row],[Date Of Birth]]</f>
        <v>0</v>
      </c>
      <c r="E103" s="285">
        <f>Table13[[#This Row],[Commencement Date]]</f>
        <v>0</v>
      </c>
      <c r="F103" s="284">
        <f t="shared" si="7"/>
        <v>1</v>
      </c>
      <c r="G103" s="284">
        <f t="shared" si="8"/>
        <v>25</v>
      </c>
      <c r="H103" s="286">
        <f>Table13[[#This Row],[Product Option]]</f>
        <v>0</v>
      </c>
      <c r="I103" s="284">
        <f>IF(AND($A103="Main Member",Table2[[#This Row],[Product Option]]="My Value Plus Life"),"MM_LIFE",
IF(AND($A103="Spouse",Table2[[#This Row],[Product Option]]="My Value Plus Life"),"SP_LIFE",
IF(AND($A103="Main Member",Table2[[#This Row],[Product Option]]="My Value Plus Life &amp; Funeral"),"MM_LIFE",
IF(AND($A103="Spouse",Table2[[#This Row],[Product Option]]="My Value Plus Life &amp; Funeral"),_xlfn.XLOOKUP(Table2[[#This Row],[Benefit Name]],Lookups!$D$18:$D$23,Lookups!$E$18:$E$23,0),
0))))</f>
        <v>0</v>
      </c>
      <c r="J103" s="284">
        <f>IF($I103="","",
IF($I103="MM_LIFE",INDEX('Quotation Tool'!$S$54:$V$60,MATCH($T103,'Quotation Tool'!$S$54:$S$60,0),4),
IF($I103="SP_LIFE",_xlfn.XLOOKUP(B102,$B:$B,$J:$J,0),0)))</f>
        <v>0</v>
      </c>
      <c r="K103" s="287">
        <f t="shared" ca="1" si="12"/>
        <v>0</v>
      </c>
      <c r="L103" s="288">
        <f t="shared" ca="1" si="13"/>
        <v>0</v>
      </c>
      <c r="M103" s="289">
        <f t="shared" ca="1" si="9"/>
        <v>0</v>
      </c>
      <c r="N103" s="286">
        <f>Table13[[#This Row],[Benefit Option]]</f>
        <v>0</v>
      </c>
      <c r="O103" s="284">
        <f>IF(OR(Table2[[#This Row],[Member Type]]="Spouse",Table2[[#This Row],[Member Type]]="Child"),0,
IF(_xlfn.XLOOKUP($N103,Lookups!$D$13:$D$27,Lookups!$F$13:$F$27,0)=Table2[[#This Row],[Table Lookup for Life Cover]],0,
_xlfn.XLOOKUP($N103,Lookups!$D$13:$D$27,Lookups!$F$13:$F$27,0)))</f>
        <v>0</v>
      </c>
      <c r="P103" s="284">
        <f>IF(Table2[[#This Row],[Table Lookup for Funeral]]=0,0,IFERROR(INDEX('Quotation Tool'!$S$54:$V$60,MATCH($T103,'Quotation Tool'!$S$54:$S$60,0),3),0))</f>
        <v>0</v>
      </c>
      <c r="Q103" s="288">
        <f ca="1">IF(OR(Table2[[#This Row],[Benefit Name]]="My Value Plus Life - Main Member",Table2[[#This Row],[Benefit Name]]="My Value Plus Life - Spouse"),0,
IFERROR(VLOOKUP($G103,INDIRECT($O103),$P103,FALSE),0))</f>
        <v>0</v>
      </c>
      <c r="R103" s="288">
        <f ca="1">IF(OR(Table2[[#This Row],[Benefit Name]]="My Value Plus Life - Main Member",Table2[[#This Row],[Benefit Name]]="My Value Plus Life - Spouse"),0,
IFERROR(VLOOKUP($G103,INDIRECT($O103),$P103+1,FALSE),0))</f>
        <v>0</v>
      </c>
      <c r="S103" s="289">
        <f t="shared" ca="1" si="10"/>
        <v>0</v>
      </c>
      <c r="T103" s="284" t="str">
        <f>IF(Table13[[#This Row],[Premium Waiver]]="","None",Table13[[#This Row],[Premium Waiver]])</f>
        <v>None</v>
      </c>
      <c r="U103" s="284">
        <f>Table13[[#This Row],[VAPs Options]]</f>
        <v>0</v>
      </c>
      <c r="V103" s="284">
        <f>Table13[[#This Row],[Annual Increase Option]]</f>
        <v>0</v>
      </c>
      <c r="W103" s="290">
        <f>Table13[[#This Row],[Life Cover Amount]]</f>
        <v>0</v>
      </c>
      <c r="X103" s="290">
        <f>Table13[[#This Row],[Funeral Cover Amount]]</f>
        <v>0</v>
      </c>
      <c r="Y10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0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03" s="301">
        <f t="shared" ca="1" si="11"/>
        <v>0</v>
      </c>
      <c r="AB103" s="298"/>
      <c r="AC103" s="326" t="str">
        <f>IF(Table2[[#This Row],[Member Type]]="Main Member",Lookups!$C$13,
IF(Table2[[#This Row],[Member Type]]="Spouse",_xlfn.XLOOKUP(B103,Table2[Main Member Link ID],Table2[Product Option],0),
IF(AND(Table2[[#This Row],[Member Type]]="Child",_xlfn.XLOOKUP(B103,Table2[Main Member Link ID],Table2[Product Option],0)&lt;&gt;"My Value Plus Life"),Lookups!$C$24,
IF(AND(OR(Table2[[#This Row],[Member Type]]="Parent",Table2[[#This Row],[Member Type]]="Extended"),_xlfn.XLOOKUP(B103,Table2[Main Member Link ID],Table2[Product Option],0)&lt;&gt;"My Value Plus Life"),Lookups!$C$26,""))))</f>
        <v/>
      </c>
      <c r="AD103" s="326" t="str">
        <f>IF(Table2[[#This Row],[Member Type]]="Main Member",Lookups!$C$14,"")</f>
        <v/>
      </c>
      <c r="AE10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Funeral",_xlfn.XLOOKUP(B103,Table2[Main Member Link ID],Table2[Benefit Name],0)=Lookups!$D$14),"",
IF(AND(Table2[[#This Row],[Member Type]]="Spouse",Table2[[#This Row],[Product Option]]="My Value Plus Life &amp; Funeral",_xlfn.XLOOKUP(B102,Table2[Main Member Link ID],Table2[Benefit Name],0)=Lookups!$D$15),Lookups!$D$20,
IF(AND(Table2[[#This Row],[Member Type]]="Spouse",Table2[[#This Row],[Product Option]]="My Value Plus Life &amp; Funeral",_xlfn.XLOOKUP(B102,Table2[Main Member Link ID],Table2[Benefit Name],0)=Lookups!$D$16),"",
IF(AND(Table2[[#This Row],[Member Type]]="Spouse",Table2[[#This Row],[Product Option]]="My Value Plus Life &amp; Funeral",_xlfn.XLOOKUP(B102,Table2[Main Member Link ID],Table2[Benefit Name],0)=Lookups!$D$17),Lookups!$D$21,
IF(AND(Table2[[#This Row],[Member Type]]="Child",Table2[[#This Row],[Product Option]]="My Value Plus Life &amp; Funeral",_xlfn.XLOOKUP(B103,Table2[Main Member Link ID],Table2[Benefit Name],0)=Lookups!$D$14),"",
IF(AND(Table2[[#This Row],[Member Type]]="Child",Table2[[#This Row],[Product Option]]="My Value Plus Life &amp; Funeral",_xlfn.XLOOKUP(B103,Table2[Main Member Link ID],Table2[Benefit Name],0)=Lookups!$D$15),"",
IF(AND(Table2[[#This Row],[Member Type]]="Child",Table2[[#This Row],[Product Option]]="My Value Plus Life &amp; Funeral",_xlfn.XLOOKUP(B103,Table2[Main Member Link ID],Table2[Benefit Name],0)=Lookups!$D$16),Lookups!$D$24,
IF(AND(Table2[[#This Row],[Member Type]]="Child",Table2[[#This Row],[Product Option]]="My Value Plus Life &amp; Funeral",_xlfn.XLOOKUP(B103,Table2[Main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Funeral",_xlfn.XLOOKUP(B103,Table2[Main Member Link ID],Table2[Benefit Name],0)&lt;&gt;Lookups!$D$14),
IF(_xlfn.XLOOKUP(B103,Table2[Main Member Link ID],Table2[Benefit Name],0)=0,"",_xlfn.XLOOKUP(B103,Table2[Main Member Link ID],Table2[Benefit Name],0)),"")))))))))))))))</f>
        <v/>
      </c>
      <c r="AF103" s="327" t="str">
        <f>IF(AND(Table2[[#This Row],[Member Type]]="Main Member",Table2[[#This Row],[Product Option]]="My Value Plus Life &amp; Funeral"),Lookups!$D$15,
IF(AND(Table2[[#This Row],[Member Type]]="Spouse",Table2[[#This Row],[Product Option]]="My Value Plus Life &amp; Funeral",_xlfn.XLOOKUP(B103,Table2[Main Member Link ID],Table2[Benefit Name],0)=Lookups!$D$14),"",
IF(AND(Table2[[#This Row],[Member Type]]="Spouse",Table2[[#This Row],[Product Option]]="My Value Plus Life &amp; Funeral",_xlfn.XLOOKUP(B102,Table2[Main Member Link ID],Table2[Benefit Name],0)=Lookups!$D$16),"",
IF(AND(Table2[[#This Row],[Member Type]]="Spouse",Table2[[#This Row],[Product Option]]="My Value Plus Life &amp; Funeral",_xlfn.XLOOKUP(B102,Table2[Main Member Link ID],Table2[Benefit Name],0)=Lookups!$D$15),"",
IF(AND(Table2[[#This Row],[Member Type]]="Spouse",Table2[[#This Row],[Product Option]]="My Value Plus Life &amp; Funeral",_xlfn.XLOOKUP(B102,Table2[Main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Funeral",_xlfn.XLOOKUP(B103,Table2[Main Member Link ID],Table2[Benefit Name],0)&lt;&gt;Lookups!$D$15),
IF(_xlfn.XLOOKUP(B103,Table2[Main Member Link ID],Table2[Benefit Name],0)=0,"",_xlfn.XLOOKUP(B103,Table2[Main Member Link ID],Table2[Benefit Name],0)),"")
))))))</f>
        <v/>
      </c>
      <c r="AG103" s="327" t="str">
        <f>IF(AND(Table2[[#This Row],[Member Type]]="Main Member",Table2[[#This Row],[Product Option]]="My Value Plus Life &amp; Funeral"),Lookups!$D$16,
IF(AND(Table2[[#This Row],[Member Type]]="Spouse",Table2[[#This Row],[Product Option]]="My Value Plus Life &amp; Funeral",_xlfn.XLOOKUP(B103,Table2[Main Member Link ID],Table2[Benefit Name],0)=Lookups!$D$14),"",
IF(AND(Table2[[#This Row],[Member Type]]="Spouse",Table2[[#This Row],[Product Option]]="My Value Plus Life &amp; Funeral",_xlfn.XLOOKUP(B102,Table2[Main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Funeral",_xlfn.XLOOKUP(B103,Table2[Main Member Link ID],Table2[Benefit Name],0)&lt;&gt;Lookups!$D$16),
IF(_xlfn.XLOOKUP(B103,Table2[Main Member Link ID],Table2[Benefit Name],0)=0,"",_xlfn.XLOOKUP(B103,Table2[Main Member Link ID],Table2[Benefit Name],0)),"")
))))</f>
        <v/>
      </c>
      <c r="AH103" s="327" t="str">
        <f>IF(AND(Table2[[#This Row],[Member Type]]="Main Member",Table2[[#This Row],[Product Option]]="My Value Plus Life &amp; Funeral"),Lookups!$D$17,
IF(AND(Table2[[#This Row],[Member Type]]="Spouse",Table2[[#This Row],[Product Option]]="My Value Plus Life &amp; Funeral",_xlfn.XLOOKUP(B103,Table2[Main Member Link ID],Table2[Benefit Name],0)=Lookups!$D$14),"",
IF(AND(Table2[[#This Row],[Member Type]]="Spouse",Table2[[#This Row],[Product Option]]="My Value Plus Life &amp; Funeral",_xlfn.XLOOKUP(B102,Table2[Main Member Link ID],Table2[Benefit Name],0)=Lookups!$D$16),"",
IF(AND(Table2[[#This Row],[Member Type]]="Child",Table2[[#This Row],[Product Option]]="My Value Plus Life &amp; Funeral"),"",
IF(AND(Table2[[#This Row],[Member Type]]="Child",Table2[[#This Row],[Product Option]]="My Value Plus Life &amp; Funeral",_xlfn.XLOOKUP(B103,Table2[Main Member Link ID],Table2[Benefit Name],0)=Lookups!$D$15),"",
IF(AND(OR(Table2[[#This Row],[Member Type]]="Spouse",Table2[[#This Row],[Member Type]]="Child"),Table2[[#This Row],[Product Option]]="My Value Plus Life &amp; Funeral",_xlfn.XLOOKUP(B103,Table2[Main Member Link ID],Table2[Benefit Name],0)&lt;&gt;Lookups!$D$17),
IF(_xlfn.XLOOKUP(B103,Table2[Main Member Link ID],Table2[Benefit Name],0)=0,"",_xlfn.XLOOKUP(B103,Table2[Main Member Link ID],Table2[Benefit Name],0)),""))))))</f>
        <v/>
      </c>
      <c r="AI103" s="328" t="str">
        <f>IF(AND(Table2[[#This Row],[Member Type]]="Main Member",Table2[[#This Row],[Table Lookup for Life Cover]]="MM_LIFE",Table2[[#This Row],[Age Next Birthday]]&lt;56),1,
IF(AND(Table2[[#This Row],[Member Type]]="Main Member",Table2[[#This Row],[Table Lookup for Life Cover]]="MM_LIFE",Table2[[#This Row],[Age Next Birthday]]&gt;=56),2,
""))</f>
        <v/>
      </c>
      <c r="AJ103" s="328">
        <f>IF(OR(Table2[[#This Row],[Member Type]]="Main Member",Table2[[#This Row],[Main Member Link ID]]=B102),1,0)</f>
        <v>1</v>
      </c>
      <c r="AK103" s="328">
        <f>IF(Table2[[#This Row],[Member Type]]=0,0,
IF(OR(Table2[[#This Row],[Member Type]]="Main Member",Table2[[#This Row],[Main Member Link ID]]&lt;&gt;B103),COUNTIFS(B:B,Table2[[#This Row],[Main Member Link ID]]),
COUNTIFS(B:B,Table2[[#This Row],[Main Member Link ID]],A:A,Table2[[#This Row],[Member Type]])))</f>
        <v>0</v>
      </c>
    </row>
    <row r="104" spans="1:37" x14ac:dyDescent="0.3">
      <c r="A104" s="284">
        <f>Table13[[#This Row],[Member Type]]</f>
        <v>0</v>
      </c>
      <c r="B104" s="284">
        <f>Table13[[#This Row],[Main Member Link ID]]</f>
        <v>0</v>
      </c>
      <c r="C104" s="284">
        <f>Table13[[#This Row],[ID Number]]</f>
        <v>0</v>
      </c>
      <c r="D104" s="285">
        <f>Table13[[#This Row],[Date Of Birth]]</f>
        <v>0</v>
      </c>
      <c r="E104" s="285">
        <f>Table13[[#This Row],[Commencement Date]]</f>
        <v>0</v>
      </c>
      <c r="F104" s="284">
        <f t="shared" si="7"/>
        <v>1</v>
      </c>
      <c r="G104" s="284">
        <f t="shared" si="8"/>
        <v>25</v>
      </c>
      <c r="H104" s="286">
        <f>Table13[[#This Row],[Product Option]]</f>
        <v>0</v>
      </c>
      <c r="I104" s="284">
        <f>IF(AND($A104="Main Member",Table2[[#This Row],[Product Option]]="My Value Plus Life"),"MM_LIFE",
IF(AND($A104="Spouse",Table2[[#This Row],[Product Option]]="My Value Plus Life"),"SP_LIFE",
IF(AND($A104="Main Member",Table2[[#This Row],[Product Option]]="My Value Plus Life &amp; Funeral"),"MM_LIFE",
IF(AND($A104="Spouse",Table2[[#This Row],[Product Option]]="My Value Plus Life &amp; Funeral"),_xlfn.XLOOKUP(Table2[[#This Row],[Benefit Name]],Lookups!$D$18:$D$23,Lookups!$E$18:$E$23,0),
0))))</f>
        <v>0</v>
      </c>
      <c r="J104" s="284">
        <f>IF($I104="","",
IF($I104="MM_LIFE",INDEX('Quotation Tool'!$S$54:$V$60,MATCH($T104,'Quotation Tool'!$S$54:$S$60,0),4),
IF($I104="SP_LIFE",_xlfn.XLOOKUP(B103,$B:$B,$J:$J,0),0)))</f>
        <v>0</v>
      </c>
      <c r="K104" s="287">
        <f t="shared" ca="1" si="12"/>
        <v>0</v>
      </c>
      <c r="L104" s="288">
        <f t="shared" ca="1" si="13"/>
        <v>0</v>
      </c>
      <c r="M104" s="289">
        <f t="shared" ca="1" si="9"/>
        <v>0</v>
      </c>
      <c r="N104" s="286">
        <f>Table13[[#This Row],[Benefit Option]]</f>
        <v>0</v>
      </c>
      <c r="O104" s="284">
        <f>IF(OR(Table2[[#This Row],[Member Type]]="Spouse",Table2[[#This Row],[Member Type]]="Child"),0,
IF(_xlfn.XLOOKUP($N104,Lookups!$D$13:$D$27,Lookups!$F$13:$F$27,0)=Table2[[#This Row],[Table Lookup for Life Cover]],0,
_xlfn.XLOOKUP($N104,Lookups!$D$13:$D$27,Lookups!$F$13:$F$27,0)))</f>
        <v>0</v>
      </c>
      <c r="P104" s="284">
        <f>IF(Table2[[#This Row],[Table Lookup for Funeral]]=0,0,IFERROR(INDEX('Quotation Tool'!$S$54:$V$60,MATCH($T104,'Quotation Tool'!$S$54:$S$60,0),3),0))</f>
        <v>0</v>
      </c>
      <c r="Q104" s="288">
        <f ca="1">IF(OR(Table2[[#This Row],[Benefit Name]]="My Value Plus Life - Main Member",Table2[[#This Row],[Benefit Name]]="My Value Plus Life - Spouse"),0,
IFERROR(VLOOKUP($G104,INDIRECT($O104),$P104,FALSE),0))</f>
        <v>0</v>
      </c>
      <c r="R104" s="288">
        <f ca="1">IF(OR(Table2[[#This Row],[Benefit Name]]="My Value Plus Life - Main Member",Table2[[#This Row],[Benefit Name]]="My Value Plus Life - Spouse"),0,
IFERROR(VLOOKUP($G104,INDIRECT($O104),$P104+1,FALSE),0))</f>
        <v>0</v>
      </c>
      <c r="S104" s="289">
        <f t="shared" ca="1" si="10"/>
        <v>0</v>
      </c>
      <c r="T104" s="284" t="str">
        <f>IF(Table13[[#This Row],[Premium Waiver]]="","None",Table13[[#This Row],[Premium Waiver]])</f>
        <v>None</v>
      </c>
      <c r="U104" s="284">
        <f>Table13[[#This Row],[VAPs Options]]</f>
        <v>0</v>
      </c>
      <c r="V104" s="284">
        <f>Table13[[#This Row],[Annual Increase Option]]</f>
        <v>0</v>
      </c>
      <c r="W104" s="290">
        <f>Table13[[#This Row],[Life Cover Amount]]</f>
        <v>0</v>
      </c>
      <c r="X104" s="290">
        <f>Table13[[#This Row],[Funeral Cover Amount]]</f>
        <v>0</v>
      </c>
      <c r="Y10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0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04" s="301">
        <f t="shared" ca="1" si="11"/>
        <v>0</v>
      </c>
      <c r="AB104" s="298"/>
      <c r="AC104" s="326" t="str">
        <f>IF(Table2[[#This Row],[Member Type]]="Main Member",Lookups!$C$13,
IF(Table2[[#This Row],[Member Type]]="Spouse",_xlfn.XLOOKUP(B104,Table2[Main Member Link ID],Table2[Product Option],0),
IF(AND(Table2[[#This Row],[Member Type]]="Child",_xlfn.XLOOKUP(B104,Table2[Main Member Link ID],Table2[Product Option],0)&lt;&gt;"My Value Plus Life"),Lookups!$C$24,
IF(AND(OR(Table2[[#This Row],[Member Type]]="Parent",Table2[[#This Row],[Member Type]]="Extended"),_xlfn.XLOOKUP(B104,Table2[Main Member Link ID],Table2[Product Option],0)&lt;&gt;"My Value Plus Life"),Lookups!$C$26,""))))</f>
        <v/>
      </c>
      <c r="AD104" s="326" t="str">
        <f>IF(Table2[[#This Row],[Member Type]]="Main Member",Lookups!$C$14,"")</f>
        <v/>
      </c>
      <c r="AE10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Funeral",_xlfn.XLOOKUP(B104,Table2[Main Member Link ID],Table2[Benefit Name],0)=Lookups!$D$14),"",
IF(AND(Table2[[#This Row],[Member Type]]="Spouse",Table2[[#This Row],[Product Option]]="My Value Plus Life &amp; Funeral",_xlfn.XLOOKUP(B103,Table2[Main Member Link ID],Table2[Benefit Name],0)=Lookups!$D$15),Lookups!$D$20,
IF(AND(Table2[[#This Row],[Member Type]]="Spouse",Table2[[#This Row],[Product Option]]="My Value Plus Life &amp; Funeral",_xlfn.XLOOKUP(B103,Table2[Main Member Link ID],Table2[Benefit Name],0)=Lookups!$D$16),"",
IF(AND(Table2[[#This Row],[Member Type]]="Spouse",Table2[[#This Row],[Product Option]]="My Value Plus Life &amp; Funeral",_xlfn.XLOOKUP(B103,Table2[Main Member Link ID],Table2[Benefit Name],0)=Lookups!$D$17),Lookups!$D$21,
IF(AND(Table2[[#This Row],[Member Type]]="Child",Table2[[#This Row],[Product Option]]="My Value Plus Life &amp; Funeral",_xlfn.XLOOKUP(B104,Table2[Main Member Link ID],Table2[Benefit Name],0)=Lookups!$D$14),"",
IF(AND(Table2[[#This Row],[Member Type]]="Child",Table2[[#This Row],[Product Option]]="My Value Plus Life &amp; Funeral",_xlfn.XLOOKUP(B104,Table2[Main Member Link ID],Table2[Benefit Name],0)=Lookups!$D$15),"",
IF(AND(Table2[[#This Row],[Member Type]]="Child",Table2[[#This Row],[Product Option]]="My Value Plus Life &amp; Funeral",_xlfn.XLOOKUP(B104,Table2[Main Member Link ID],Table2[Benefit Name],0)=Lookups!$D$16),Lookups!$D$24,
IF(AND(Table2[[#This Row],[Member Type]]="Child",Table2[[#This Row],[Product Option]]="My Value Plus Life &amp; Funeral",_xlfn.XLOOKUP(B104,Table2[Main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Funeral",_xlfn.XLOOKUP(B104,Table2[Main Member Link ID],Table2[Benefit Name],0)&lt;&gt;Lookups!$D$14),
IF(_xlfn.XLOOKUP(B104,Table2[Main Member Link ID],Table2[Benefit Name],0)=0,"",_xlfn.XLOOKUP(B104,Table2[Main Member Link ID],Table2[Benefit Name],0)),"")))))))))))))))</f>
        <v/>
      </c>
      <c r="AF104" s="327" t="str">
        <f>IF(AND(Table2[[#This Row],[Member Type]]="Main Member",Table2[[#This Row],[Product Option]]="My Value Plus Life &amp; Funeral"),Lookups!$D$15,
IF(AND(Table2[[#This Row],[Member Type]]="Spouse",Table2[[#This Row],[Product Option]]="My Value Plus Life &amp; Funeral",_xlfn.XLOOKUP(B104,Table2[Main Member Link ID],Table2[Benefit Name],0)=Lookups!$D$14),"",
IF(AND(Table2[[#This Row],[Member Type]]="Spouse",Table2[[#This Row],[Product Option]]="My Value Plus Life &amp; Funeral",_xlfn.XLOOKUP(B103,Table2[Main Member Link ID],Table2[Benefit Name],0)=Lookups!$D$16),"",
IF(AND(Table2[[#This Row],[Member Type]]="Spouse",Table2[[#This Row],[Product Option]]="My Value Plus Life &amp; Funeral",_xlfn.XLOOKUP(B103,Table2[Main Member Link ID],Table2[Benefit Name],0)=Lookups!$D$15),"",
IF(AND(Table2[[#This Row],[Member Type]]="Spouse",Table2[[#This Row],[Product Option]]="My Value Plus Life &amp; Funeral",_xlfn.XLOOKUP(B103,Table2[Main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Funeral",_xlfn.XLOOKUP(B104,Table2[Main Member Link ID],Table2[Benefit Name],0)&lt;&gt;Lookups!$D$15),
IF(_xlfn.XLOOKUP(B104,Table2[Main Member Link ID],Table2[Benefit Name],0)=0,"",_xlfn.XLOOKUP(B104,Table2[Main Member Link ID],Table2[Benefit Name],0)),"")
))))))</f>
        <v/>
      </c>
      <c r="AG104" s="327" t="str">
        <f>IF(AND(Table2[[#This Row],[Member Type]]="Main Member",Table2[[#This Row],[Product Option]]="My Value Plus Life &amp; Funeral"),Lookups!$D$16,
IF(AND(Table2[[#This Row],[Member Type]]="Spouse",Table2[[#This Row],[Product Option]]="My Value Plus Life &amp; Funeral",_xlfn.XLOOKUP(B104,Table2[Main Member Link ID],Table2[Benefit Name],0)=Lookups!$D$14),"",
IF(AND(Table2[[#This Row],[Member Type]]="Spouse",Table2[[#This Row],[Product Option]]="My Value Plus Life &amp; Funeral",_xlfn.XLOOKUP(B103,Table2[Main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Funeral",_xlfn.XLOOKUP(B104,Table2[Main Member Link ID],Table2[Benefit Name],0)&lt;&gt;Lookups!$D$16),
IF(_xlfn.XLOOKUP(B104,Table2[Main Member Link ID],Table2[Benefit Name],0)=0,"",_xlfn.XLOOKUP(B104,Table2[Main Member Link ID],Table2[Benefit Name],0)),"")
))))</f>
        <v/>
      </c>
      <c r="AH104" s="327" t="str">
        <f>IF(AND(Table2[[#This Row],[Member Type]]="Main Member",Table2[[#This Row],[Product Option]]="My Value Plus Life &amp; Funeral"),Lookups!$D$17,
IF(AND(Table2[[#This Row],[Member Type]]="Spouse",Table2[[#This Row],[Product Option]]="My Value Plus Life &amp; Funeral",_xlfn.XLOOKUP(B104,Table2[Main Member Link ID],Table2[Benefit Name],0)=Lookups!$D$14),"",
IF(AND(Table2[[#This Row],[Member Type]]="Spouse",Table2[[#This Row],[Product Option]]="My Value Plus Life &amp; Funeral",_xlfn.XLOOKUP(B103,Table2[Main Member Link ID],Table2[Benefit Name],0)=Lookups!$D$16),"",
IF(AND(Table2[[#This Row],[Member Type]]="Child",Table2[[#This Row],[Product Option]]="My Value Plus Life &amp; Funeral"),"",
IF(AND(Table2[[#This Row],[Member Type]]="Child",Table2[[#This Row],[Product Option]]="My Value Plus Life &amp; Funeral",_xlfn.XLOOKUP(B104,Table2[Main Member Link ID],Table2[Benefit Name],0)=Lookups!$D$15),"",
IF(AND(OR(Table2[[#This Row],[Member Type]]="Spouse",Table2[[#This Row],[Member Type]]="Child"),Table2[[#This Row],[Product Option]]="My Value Plus Life &amp; Funeral",_xlfn.XLOOKUP(B104,Table2[Main Member Link ID],Table2[Benefit Name],0)&lt;&gt;Lookups!$D$17),
IF(_xlfn.XLOOKUP(B104,Table2[Main Member Link ID],Table2[Benefit Name],0)=0,"",_xlfn.XLOOKUP(B104,Table2[Main Member Link ID],Table2[Benefit Name],0)),""))))))</f>
        <v/>
      </c>
      <c r="AI104" s="328" t="str">
        <f>IF(AND(Table2[[#This Row],[Member Type]]="Main Member",Table2[[#This Row],[Table Lookup for Life Cover]]="MM_LIFE",Table2[[#This Row],[Age Next Birthday]]&lt;56),1,
IF(AND(Table2[[#This Row],[Member Type]]="Main Member",Table2[[#This Row],[Table Lookup for Life Cover]]="MM_LIFE",Table2[[#This Row],[Age Next Birthday]]&gt;=56),2,
""))</f>
        <v/>
      </c>
      <c r="AJ104" s="328">
        <f>IF(OR(Table2[[#This Row],[Member Type]]="Main Member",Table2[[#This Row],[Main Member Link ID]]=B103),1,0)</f>
        <v>1</v>
      </c>
      <c r="AK104" s="328">
        <f>IF(Table2[[#This Row],[Member Type]]=0,0,
IF(OR(Table2[[#This Row],[Member Type]]="Main Member",Table2[[#This Row],[Main Member Link ID]]&lt;&gt;B104),COUNTIFS(B:B,Table2[[#This Row],[Main Member Link ID]]),
COUNTIFS(B:B,Table2[[#This Row],[Main Member Link ID]],A:A,Table2[[#This Row],[Member Type]])))</f>
        <v>0</v>
      </c>
    </row>
    <row r="105" spans="1:37" x14ac:dyDescent="0.3">
      <c r="A105" s="284">
        <f>Table13[[#This Row],[Member Type]]</f>
        <v>0</v>
      </c>
      <c r="B105" s="284">
        <f>Table13[[#This Row],[Main Member Link ID]]</f>
        <v>0</v>
      </c>
      <c r="C105" s="284">
        <f>Table13[[#This Row],[ID Number]]</f>
        <v>0</v>
      </c>
      <c r="D105" s="285">
        <f>Table13[[#This Row],[Date Of Birth]]</f>
        <v>0</v>
      </c>
      <c r="E105" s="285">
        <f>Table13[[#This Row],[Commencement Date]]</f>
        <v>0</v>
      </c>
      <c r="F105" s="284">
        <f t="shared" si="7"/>
        <v>1</v>
      </c>
      <c r="G105" s="284">
        <f t="shared" si="8"/>
        <v>25</v>
      </c>
      <c r="H105" s="286">
        <f>Table13[[#This Row],[Product Option]]</f>
        <v>0</v>
      </c>
      <c r="I105" s="284">
        <f>IF(AND($A105="Main Member",Table2[[#This Row],[Product Option]]="My Value Plus Life"),"MM_LIFE",
IF(AND($A105="Spouse",Table2[[#This Row],[Product Option]]="My Value Plus Life"),"SP_LIFE",
IF(AND($A105="Main Member",Table2[[#This Row],[Product Option]]="My Value Plus Life &amp; Funeral"),"MM_LIFE",
IF(AND($A105="Spouse",Table2[[#This Row],[Product Option]]="My Value Plus Life &amp; Funeral"),_xlfn.XLOOKUP(Table2[[#This Row],[Benefit Name]],Lookups!$D$18:$D$23,Lookups!$E$18:$E$23,0),
0))))</f>
        <v>0</v>
      </c>
      <c r="J105" s="284">
        <f>IF($I105="","",
IF($I105="MM_LIFE",INDEX('Quotation Tool'!$S$54:$V$60,MATCH($T105,'Quotation Tool'!$S$54:$S$60,0),4),
IF($I105="SP_LIFE",_xlfn.XLOOKUP(B104,$B:$B,$J:$J,0),0)))</f>
        <v>0</v>
      </c>
      <c r="K105" s="287">
        <f t="shared" ca="1" si="12"/>
        <v>0</v>
      </c>
      <c r="L105" s="288">
        <f t="shared" ca="1" si="13"/>
        <v>0</v>
      </c>
      <c r="M105" s="289">
        <f t="shared" ca="1" si="9"/>
        <v>0</v>
      </c>
      <c r="N105" s="286">
        <f>Table13[[#This Row],[Benefit Option]]</f>
        <v>0</v>
      </c>
      <c r="O105" s="284">
        <f>IF(OR(Table2[[#This Row],[Member Type]]="Spouse",Table2[[#This Row],[Member Type]]="Child"),0,
IF(_xlfn.XLOOKUP($N105,Lookups!$D$13:$D$27,Lookups!$F$13:$F$27,0)=Table2[[#This Row],[Table Lookup for Life Cover]],0,
_xlfn.XLOOKUP($N105,Lookups!$D$13:$D$27,Lookups!$F$13:$F$27,0)))</f>
        <v>0</v>
      </c>
      <c r="P105" s="284">
        <f>IF(Table2[[#This Row],[Table Lookup for Funeral]]=0,0,IFERROR(INDEX('Quotation Tool'!$S$54:$V$60,MATCH($T105,'Quotation Tool'!$S$54:$S$60,0),3),0))</f>
        <v>0</v>
      </c>
      <c r="Q105" s="288">
        <f ca="1">IF(OR(Table2[[#This Row],[Benefit Name]]="My Value Plus Life - Main Member",Table2[[#This Row],[Benefit Name]]="My Value Plus Life - Spouse"),0,
IFERROR(VLOOKUP($G105,INDIRECT($O105),$P105,FALSE),0))</f>
        <v>0</v>
      </c>
      <c r="R105" s="288">
        <f ca="1">IF(OR(Table2[[#This Row],[Benefit Name]]="My Value Plus Life - Main Member",Table2[[#This Row],[Benefit Name]]="My Value Plus Life - Spouse"),0,
IFERROR(VLOOKUP($G105,INDIRECT($O105),$P105+1,FALSE),0))</f>
        <v>0</v>
      </c>
      <c r="S105" s="289">
        <f t="shared" ca="1" si="10"/>
        <v>0</v>
      </c>
      <c r="T105" s="284" t="str">
        <f>IF(Table13[[#This Row],[Premium Waiver]]="","None",Table13[[#This Row],[Premium Waiver]])</f>
        <v>None</v>
      </c>
      <c r="U105" s="284">
        <f>Table13[[#This Row],[VAPs Options]]</f>
        <v>0</v>
      </c>
      <c r="V105" s="284">
        <f>Table13[[#This Row],[Annual Increase Option]]</f>
        <v>0</v>
      </c>
      <c r="W105" s="290">
        <f>Table13[[#This Row],[Life Cover Amount]]</f>
        <v>0</v>
      </c>
      <c r="X105" s="290">
        <f>Table13[[#This Row],[Funeral Cover Amount]]</f>
        <v>0</v>
      </c>
      <c r="Y10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0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05" s="301">
        <f t="shared" ca="1" si="11"/>
        <v>0</v>
      </c>
      <c r="AB105" s="298"/>
      <c r="AC105" s="326" t="str">
        <f>IF(Table2[[#This Row],[Member Type]]="Main Member",Lookups!$C$13,
IF(Table2[[#This Row],[Member Type]]="Spouse",_xlfn.XLOOKUP(B105,Table2[Main Member Link ID],Table2[Product Option],0),
IF(AND(Table2[[#This Row],[Member Type]]="Child",_xlfn.XLOOKUP(B105,Table2[Main Member Link ID],Table2[Product Option],0)&lt;&gt;"My Value Plus Life"),Lookups!$C$24,
IF(AND(OR(Table2[[#This Row],[Member Type]]="Parent",Table2[[#This Row],[Member Type]]="Extended"),_xlfn.XLOOKUP(B105,Table2[Main Member Link ID],Table2[Product Option],0)&lt;&gt;"My Value Plus Life"),Lookups!$C$26,""))))</f>
        <v/>
      </c>
      <c r="AD105" s="326" t="str">
        <f>IF(Table2[[#This Row],[Member Type]]="Main Member",Lookups!$C$14,"")</f>
        <v/>
      </c>
      <c r="AE10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Funeral",_xlfn.XLOOKUP(B105,Table2[Main Member Link ID],Table2[Benefit Name],0)=Lookups!$D$14),"",
IF(AND(Table2[[#This Row],[Member Type]]="Spouse",Table2[[#This Row],[Product Option]]="My Value Plus Life &amp; Funeral",_xlfn.XLOOKUP(B104,Table2[Main Member Link ID],Table2[Benefit Name],0)=Lookups!$D$15),Lookups!$D$20,
IF(AND(Table2[[#This Row],[Member Type]]="Spouse",Table2[[#This Row],[Product Option]]="My Value Plus Life &amp; Funeral",_xlfn.XLOOKUP(B104,Table2[Main Member Link ID],Table2[Benefit Name],0)=Lookups!$D$16),"",
IF(AND(Table2[[#This Row],[Member Type]]="Spouse",Table2[[#This Row],[Product Option]]="My Value Plus Life &amp; Funeral",_xlfn.XLOOKUP(B104,Table2[Main Member Link ID],Table2[Benefit Name],0)=Lookups!$D$17),Lookups!$D$21,
IF(AND(Table2[[#This Row],[Member Type]]="Child",Table2[[#This Row],[Product Option]]="My Value Plus Life &amp; Funeral",_xlfn.XLOOKUP(B105,Table2[Main Member Link ID],Table2[Benefit Name],0)=Lookups!$D$14),"",
IF(AND(Table2[[#This Row],[Member Type]]="Child",Table2[[#This Row],[Product Option]]="My Value Plus Life &amp; Funeral",_xlfn.XLOOKUP(B105,Table2[Main Member Link ID],Table2[Benefit Name],0)=Lookups!$D$15),"",
IF(AND(Table2[[#This Row],[Member Type]]="Child",Table2[[#This Row],[Product Option]]="My Value Plus Life &amp; Funeral",_xlfn.XLOOKUP(B105,Table2[Main Member Link ID],Table2[Benefit Name],0)=Lookups!$D$16),Lookups!$D$24,
IF(AND(Table2[[#This Row],[Member Type]]="Child",Table2[[#This Row],[Product Option]]="My Value Plus Life &amp; Funeral",_xlfn.XLOOKUP(B105,Table2[Main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Funeral",_xlfn.XLOOKUP(B105,Table2[Main Member Link ID],Table2[Benefit Name],0)&lt;&gt;Lookups!$D$14),
IF(_xlfn.XLOOKUP(B105,Table2[Main Member Link ID],Table2[Benefit Name],0)=0,"",_xlfn.XLOOKUP(B105,Table2[Main Member Link ID],Table2[Benefit Name],0)),"")))))))))))))))</f>
        <v/>
      </c>
      <c r="AF105" s="327" t="str">
        <f>IF(AND(Table2[[#This Row],[Member Type]]="Main Member",Table2[[#This Row],[Product Option]]="My Value Plus Life &amp; Funeral"),Lookups!$D$15,
IF(AND(Table2[[#This Row],[Member Type]]="Spouse",Table2[[#This Row],[Product Option]]="My Value Plus Life &amp; Funeral",_xlfn.XLOOKUP(B105,Table2[Main Member Link ID],Table2[Benefit Name],0)=Lookups!$D$14),"",
IF(AND(Table2[[#This Row],[Member Type]]="Spouse",Table2[[#This Row],[Product Option]]="My Value Plus Life &amp; Funeral",_xlfn.XLOOKUP(B104,Table2[Main Member Link ID],Table2[Benefit Name],0)=Lookups!$D$16),"",
IF(AND(Table2[[#This Row],[Member Type]]="Spouse",Table2[[#This Row],[Product Option]]="My Value Plus Life &amp; Funeral",_xlfn.XLOOKUP(B104,Table2[Main Member Link ID],Table2[Benefit Name],0)=Lookups!$D$15),"",
IF(AND(Table2[[#This Row],[Member Type]]="Spouse",Table2[[#This Row],[Product Option]]="My Value Plus Life &amp; Funeral",_xlfn.XLOOKUP(B104,Table2[Main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Funeral",_xlfn.XLOOKUP(B105,Table2[Main Member Link ID],Table2[Benefit Name],0)&lt;&gt;Lookups!$D$15),
IF(_xlfn.XLOOKUP(B105,Table2[Main Member Link ID],Table2[Benefit Name],0)=0,"",_xlfn.XLOOKUP(B105,Table2[Main Member Link ID],Table2[Benefit Name],0)),"")
))))))</f>
        <v/>
      </c>
      <c r="AG105" s="327" t="str">
        <f>IF(AND(Table2[[#This Row],[Member Type]]="Main Member",Table2[[#This Row],[Product Option]]="My Value Plus Life &amp; Funeral"),Lookups!$D$16,
IF(AND(Table2[[#This Row],[Member Type]]="Spouse",Table2[[#This Row],[Product Option]]="My Value Plus Life &amp; Funeral",_xlfn.XLOOKUP(B105,Table2[Main Member Link ID],Table2[Benefit Name],0)=Lookups!$D$14),"",
IF(AND(Table2[[#This Row],[Member Type]]="Spouse",Table2[[#This Row],[Product Option]]="My Value Plus Life &amp; Funeral",_xlfn.XLOOKUP(B104,Table2[Main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Funeral",_xlfn.XLOOKUP(B105,Table2[Main Member Link ID],Table2[Benefit Name],0)&lt;&gt;Lookups!$D$16),
IF(_xlfn.XLOOKUP(B105,Table2[Main Member Link ID],Table2[Benefit Name],0)=0,"",_xlfn.XLOOKUP(B105,Table2[Main Member Link ID],Table2[Benefit Name],0)),"")
))))</f>
        <v/>
      </c>
      <c r="AH105" s="327" t="str">
        <f>IF(AND(Table2[[#This Row],[Member Type]]="Main Member",Table2[[#This Row],[Product Option]]="My Value Plus Life &amp; Funeral"),Lookups!$D$17,
IF(AND(Table2[[#This Row],[Member Type]]="Spouse",Table2[[#This Row],[Product Option]]="My Value Plus Life &amp; Funeral",_xlfn.XLOOKUP(B105,Table2[Main Member Link ID],Table2[Benefit Name],0)=Lookups!$D$14),"",
IF(AND(Table2[[#This Row],[Member Type]]="Spouse",Table2[[#This Row],[Product Option]]="My Value Plus Life &amp; Funeral",_xlfn.XLOOKUP(B104,Table2[Main Member Link ID],Table2[Benefit Name],0)=Lookups!$D$16),"",
IF(AND(Table2[[#This Row],[Member Type]]="Child",Table2[[#This Row],[Product Option]]="My Value Plus Life &amp; Funeral"),"",
IF(AND(Table2[[#This Row],[Member Type]]="Child",Table2[[#This Row],[Product Option]]="My Value Plus Life &amp; Funeral",_xlfn.XLOOKUP(B105,Table2[Main Member Link ID],Table2[Benefit Name],0)=Lookups!$D$15),"",
IF(AND(OR(Table2[[#This Row],[Member Type]]="Spouse",Table2[[#This Row],[Member Type]]="Child"),Table2[[#This Row],[Product Option]]="My Value Plus Life &amp; Funeral",_xlfn.XLOOKUP(B105,Table2[Main Member Link ID],Table2[Benefit Name],0)&lt;&gt;Lookups!$D$17),
IF(_xlfn.XLOOKUP(B105,Table2[Main Member Link ID],Table2[Benefit Name],0)=0,"",_xlfn.XLOOKUP(B105,Table2[Main Member Link ID],Table2[Benefit Name],0)),""))))))</f>
        <v/>
      </c>
      <c r="AI105" s="328" t="str">
        <f>IF(AND(Table2[[#This Row],[Member Type]]="Main Member",Table2[[#This Row],[Table Lookup for Life Cover]]="MM_LIFE",Table2[[#This Row],[Age Next Birthday]]&lt;56),1,
IF(AND(Table2[[#This Row],[Member Type]]="Main Member",Table2[[#This Row],[Table Lookup for Life Cover]]="MM_LIFE",Table2[[#This Row],[Age Next Birthday]]&gt;=56),2,
""))</f>
        <v/>
      </c>
      <c r="AJ105" s="328">
        <f>IF(OR(Table2[[#This Row],[Member Type]]="Main Member",Table2[[#This Row],[Main Member Link ID]]=B104),1,0)</f>
        <v>1</v>
      </c>
      <c r="AK105" s="328">
        <f>IF(Table2[[#This Row],[Member Type]]=0,0,
IF(OR(Table2[[#This Row],[Member Type]]="Main Member",Table2[[#This Row],[Main Member Link ID]]&lt;&gt;B105),COUNTIFS(B:B,Table2[[#This Row],[Main Member Link ID]]),
COUNTIFS(B:B,Table2[[#This Row],[Main Member Link ID]],A:A,Table2[[#This Row],[Member Type]])))</f>
        <v>0</v>
      </c>
    </row>
    <row r="106" spans="1:37" x14ac:dyDescent="0.3">
      <c r="A106" s="284">
        <f>Table13[[#This Row],[Member Type]]</f>
        <v>0</v>
      </c>
      <c r="B106" s="284">
        <f>Table13[[#This Row],[Main Member Link ID]]</f>
        <v>0</v>
      </c>
      <c r="C106" s="284">
        <f>Table13[[#This Row],[ID Number]]</f>
        <v>0</v>
      </c>
      <c r="D106" s="285">
        <f>Table13[[#This Row],[Date Of Birth]]</f>
        <v>0</v>
      </c>
      <c r="E106" s="285">
        <f>Table13[[#This Row],[Commencement Date]]</f>
        <v>0</v>
      </c>
      <c r="F106" s="284">
        <f t="shared" si="7"/>
        <v>1</v>
      </c>
      <c r="G106" s="284">
        <f t="shared" si="8"/>
        <v>25</v>
      </c>
      <c r="H106" s="286">
        <f>Table13[[#This Row],[Product Option]]</f>
        <v>0</v>
      </c>
      <c r="I106" s="284">
        <f>IF(AND($A106="Main Member",Table2[[#This Row],[Product Option]]="My Value Plus Life"),"MM_LIFE",
IF(AND($A106="Spouse",Table2[[#This Row],[Product Option]]="My Value Plus Life"),"SP_LIFE",
IF(AND($A106="Main Member",Table2[[#This Row],[Product Option]]="My Value Plus Life &amp; Funeral"),"MM_LIFE",
IF(AND($A106="Spouse",Table2[[#This Row],[Product Option]]="My Value Plus Life &amp; Funeral"),_xlfn.XLOOKUP(Table2[[#This Row],[Benefit Name]],Lookups!$D$18:$D$23,Lookups!$E$18:$E$23,0),
0))))</f>
        <v>0</v>
      </c>
      <c r="J106" s="284">
        <f>IF($I106="","",
IF($I106="MM_LIFE",INDEX('Quotation Tool'!$S$54:$V$60,MATCH($T106,'Quotation Tool'!$S$54:$S$60,0),4),
IF($I106="SP_LIFE",_xlfn.XLOOKUP(B105,$B:$B,$J:$J,0),0)))</f>
        <v>0</v>
      </c>
      <c r="K106" s="287">
        <f t="shared" ca="1" si="12"/>
        <v>0</v>
      </c>
      <c r="L106" s="288">
        <f t="shared" ca="1" si="13"/>
        <v>0</v>
      </c>
      <c r="M106" s="289">
        <f t="shared" ca="1" si="9"/>
        <v>0</v>
      </c>
      <c r="N106" s="286">
        <f>Table13[[#This Row],[Benefit Option]]</f>
        <v>0</v>
      </c>
      <c r="O106" s="284">
        <f>IF(OR(Table2[[#This Row],[Member Type]]="Spouse",Table2[[#This Row],[Member Type]]="Child"),0,
IF(_xlfn.XLOOKUP($N106,Lookups!$D$13:$D$27,Lookups!$F$13:$F$27,0)=Table2[[#This Row],[Table Lookup for Life Cover]],0,
_xlfn.XLOOKUP($N106,Lookups!$D$13:$D$27,Lookups!$F$13:$F$27,0)))</f>
        <v>0</v>
      </c>
      <c r="P106" s="284">
        <f>IF(Table2[[#This Row],[Table Lookup for Funeral]]=0,0,IFERROR(INDEX('Quotation Tool'!$S$54:$V$60,MATCH($T106,'Quotation Tool'!$S$54:$S$60,0),3),0))</f>
        <v>0</v>
      </c>
      <c r="Q106" s="288">
        <f ca="1">IF(OR(Table2[[#This Row],[Benefit Name]]="My Value Plus Life - Main Member",Table2[[#This Row],[Benefit Name]]="My Value Plus Life - Spouse"),0,
IFERROR(VLOOKUP($G106,INDIRECT($O106),$P106,FALSE),0))</f>
        <v>0</v>
      </c>
      <c r="R106" s="288">
        <f ca="1">IF(OR(Table2[[#This Row],[Benefit Name]]="My Value Plus Life - Main Member",Table2[[#This Row],[Benefit Name]]="My Value Plus Life - Spouse"),0,
IFERROR(VLOOKUP($G106,INDIRECT($O106),$P106+1,FALSE),0))</f>
        <v>0</v>
      </c>
      <c r="S106" s="289">
        <f t="shared" ca="1" si="10"/>
        <v>0</v>
      </c>
      <c r="T106" s="284" t="str">
        <f>IF(Table13[[#This Row],[Premium Waiver]]="","None",Table13[[#This Row],[Premium Waiver]])</f>
        <v>None</v>
      </c>
      <c r="U106" s="284">
        <f>Table13[[#This Row],[VAPs Options]]</f>
        <v>0</v>
      </c>
      <c r="V106" s="284">
        <f>Table13[[#This Row],[Annual Increase Option]]</f>
        <v>0</v>
      </c>
      <c r="W106" s="290">
        <f>Table13[[#This Row],[Life Cover Amount]]</f>
        <v>0</v>
      </c>
      <c r="X106" s="290">
        <f>Table13[[#This Row],[Funeral Cover Amount]]</f>
        <v>0</v>
      </c>
      <c r="Y10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0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06" s="301">
        <f t="shared" ca="1" si="11"/>
        <v>0</v>
      </c>
      <c r="AB106" s="298"/>
      <c r="AC106" s="326" t="str">
        <f>IF(Table2[[#This Row],[Member Type]]="Main Member",Lookups!$C$13,
IF(Table2[[#This Row],[Member Type]]="Spouse",_xlfn.XLOOKUP(B106,Table2[Main Member Link ID],Table2[Product Option],0),
IF(AND(Table2[[#This Row],[Member Type]]="Child",_xlfn.XLOOKUP(B106,Table2[Main Member Link ID],Table2[Product Option],0)&lt;&gt;"My Value Plus Life"),Lookups!$C$24,
IF(AND(OR(Table2[[#This Row],[Member Type]]="Parent",Table2[[#This Row],[Member Type]]="Extended"),_xlfn.XLOOKUP(B106,Table2[Main Member Link ID],Table2[Product Option],0)&lt;&gt;"My Value Plus Life"),Lookups!$C$26,""))))</f>
        <v/>
      </c>
      <c r="AD106" s="326" t="str">
        <f>IF(Table2[[#This Row],[Member Type]]="Main Member",Lookups!$C$14,"")</f>
        <v/>
      </c>
      <c r="AE10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Funeral",_xlfn.XLOOKUP(B106,Table2[Main Member Link ID],Table2[Benefit Name],0)=Lookups!$D$14),"",
IF(AND(Table2[[#This Row],[Member Type]]="Spouse",Table2[[#This Row],[Product Option]]="My Value Plus Life &amp; Funeral",_xlfn.XLOOKUP(B105,Table2[Main Member Link ID],Table2[Benefit Name],0)=Lookups!$D$15),Lookups!$D$20,
IF(AND(Table2[[#This Row],[Member Type]]="Spouse",Table2[[#This Row],[Product Option]]="My Value Plus Life &amp; Funeral",_xlfn.XLOOKUP(B105,Table2[Main Member Link ID],Table2[Benefit Name],0)=Lookups!$D$16),"",
IF(AND(Table2[[#This Row],[Member Type]]="Spouse",Table2[[#This Row],[Product Option]]="My Value Plus Life &amp; Funeral",_xlfn.XLOOKUP(B105,Table2[Main Member Link ID],Table2[Benefit Name],0)=Lookups!$D$17),Lookups!$D$21,
IF(AND(Table2[[#This Row],[Member Type]]="Child",Table2[[#This Row],[Product Option]]="My Value Plus Life &amp; Funeral",_xlfn.XLOOKUP(B106,Table2[Main Member Link ID],Table2[Benefit Name],0)=Lookups!$D$14),"",
IF(AND(Table2[[#This Row],[Member Type]]="Child",Table2[[#This Row],[Product Option]]="My Value Plus Life &amp; Funeral",_xlfn.XLOOKUP(B106,Table2[Main Member Link ID],Table2[Benefit Name],0)=Lookups!$D$15),"",
IF(AND(Table2[[#This Row],[Member Type]]="Child",Table2[[#This Row],[Product Option]]="My Value Plus Life &amp; Funeral",_xlfn.XLOOKUP(B106,Table2[Main Member Link ID],Table2[Benefit Name],0)=Lookups!$D$16),Lookups!$D$24,
IF(AND(Table2[[#This Row],[Member Type]]="Child",Table2[[#This Row],[Product Option]]="My Value Plus Life &amp; Funeral",_xlfn.XLOOKUP(B106,Table2[Main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Funeral",_xlfn.XLOOKUP(B106,Table2[Main Member Link ID],Table2[Benefit Name],0)&lt;&gt;Lookups!$D$14),
IF(_xlfn.XLOOKUP(B106,Table2[Main Member Link ID],Table2[Benefit Name],0)=0,"",_xlfn.XLOOKUP(B106,Table2[Main Member Link ID],Table2[Benefit Name],0)),"")))))))))))))))</f>
        <v/>
      </c>
      <c r="AF106" s="327" t="str">
        <f>IF(AND(Table2[[#This Row],[Member Type]]="Main Member",Table2[[#This Row],[Product Option]]="My Value Plus Life &amp; Funeral"),Lookups!$D$15,
IF(AND(Table2[[#This Row],[Member Type]]="Spouse",Table2[[#This Row],[Product Option]]="My Value Plus Life &amp; Funeral",_xlfn.XLOOKUP(B106,Table2[Main Member Link ID],Table2[Benefit Name],0)=Lookups!$D$14),"",
IF(AND(Table2[[#This Row],[Member Type]]="Spouse",Table2[[#This Row],[Product Option]]="My Value Plus Life &amp; Funeral",_xlfn.XLOOKUP(B105,Table2[Main Member Link ID],Table2[Benefit Name],0)=Lookups!$D$16),"",
IF(AND(Table2[[#This Row],[Member Type]]="Spouse",Table2[[#This Row],[Product Option]]="My Value Plus Life &amp; Funeral",_xlfn.XLOOKUP(B105,Table2[Main Member Link ID],Table2[Benefit Name],0)=Lookups!$D$15),"",
IF(AND(Table2[[#This Row],[Member Type]]="Spouse",Table2[[#This Row],[Product Option]]="My Value Plus Life &amp; Funeral",_xlfn.XLOOKUP(B105,Table2[Main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Funeral",_xlfn.XLOOKUP(B106,Table2[Main Member Link ID],Table2[Benefit Name],0)&lt;&gt;Lookups!$D$15),
IF(_xlfn.XLOOKUP(B106,Table2[Main Member Link ID],Table2[Benefit Name],0)=0,"",_xlfn.XLOOKUP(B106,Table2[Main Member Link ID],Table2[Benefit Name],0)),"")
))))))</f>
        <v/>
      </c>
      <c r="AG106" s="327" t="str">
        <f>IF(AND(Table2[[#This Row],[Member Type]]="Main Member",Table2[[#This Row],[Product Option]]="My Value Plus Life &amp; Funeral"),Lookups!$D$16,
IF(AND(Table2[[#This Row],[Member Type]]="Spouse",Table2[[#This Row],[Product Option]]="My Value Plus Life &amp; Funeral",_xlfn.XLOOKUP(B106,Table2[Main Member Link ID],Table2[Benefit Name],0)=Lookups!$D$14),"",
IF(AND(Table2[[#This Row],[Member Type]]="Spouse",Table2[[#This Row],[Product Option]]="My Value Plus Life &amp; Funeral",_xlfn.XLOOKUP(B105,Table2[Main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Funeral",_xlfn.XLOOKUP(B106,Table2[Main Member Link ID],Table2[Benefit Name],0)&lt;&gt;Lookups!$D$16),
IF(_xlfn.XLOOKUP(B106,Table2[Main Member Link ID],Table2[Benefit Name],0)=0,"",_xlfn.XLOOKUP(B106,Table2[Main Member Link ID],Table2[Benefit Name],0)),"")
))))</f>
        <v/>
      </c>
      <c r="AH106" s="327" t="str">
        <f>IF(AND(Table2[[#This Row],[Member Type]]="Main Member",Table2[[#This Row],[Product Option]]="My Value Plus Life &amp; Funeral"),Lookups!$D$17,
IF(AND(Table2[[#This Row],[Member Type]]="Spouse",Table2[[#This Row],[Product Option]]="My Value Plus Life &amp; Funeral",_xlfn.XLOOKUP(B106,Table2[Main Member Link ID],Table2[Benefit Name],0)=Lookups!$D$14),"",
IF(AND(Table2[[#This Row],[Member Type]]="Spouse",Table2[[#This Row],[Product Option]]="My Value Plus Life &amp; Funeral",_xlfn.XLOOKUP(B105,Table2[Main Member Link ID],Table2[Benefit Name],0)=Lookups!$D$16),"",
IF(AND(Table2[[#This Row],[Member Type]]="Child",Table2[[#This Row],[Product Option]]="My Value Plus Life &amp; Funeral"),"",
IF(AND(Table2[[#This Row],[Member Type]]="Child",Table2[[#This Row],[Product Option]]="My Value Plus Life &amp; Funeral",_xlfn.XLOOKUP(B106,Table2[Main Member Link ID],Table2[Benefit Name],0)=Lookups!$D$15),"",
IF(AND(OR(Table2[[#This Row],[Member Type]]="Spouse",Table2[[#This Row],[Member Type]]="Child"),Table2[[#This Row],[Product Option]]="My Value Plus Life &amp; Funeral",_xlfn.XLOOKUP(B106,Table2[Main Member Link ID],Table2[Benefit Name],0)&lt;&gt;Lookups!$D$17),
IF(_xlfn.XLOOKUP(B106,Table2[Main Member Link ID],Table2[Benefit Name],0)=0,"",_xlfn.XLOOKUP(B106,Table2[Main Member Link ID],Table2[Benefit Name],0)),""))))))</f>
        <v/>
      </c>
      <c r="AI106" s="328" t="str">
        <f>IF(AND(Table2[[#This Row],[Member Type]]="Main Member",Table2[[#This Row],[Table Lookup for Life Cover]]="MM_LIFE",Table2[[#This Row],[Age Next Birthday]]&lt;56),1,
IF(AND(Table2[[#This Row],[Member Type]]="Main Member",Table2[[#This Row],[Table Lookup for Life Cover]]="MM_LIFE",Table2[[#This Row],[Age Next Birthday]]&gt;=56),2,
""))</f>
        <v/>
      </c>
      <c r="AJ106" s="328">
        <f>IF(OR(Table2[[#This Row],[Member Type]]="Main Member",Table2[[#This Row],[Main Member Link ID]]=B105),1,0)</f>
        <v>1</v>
      </c>
      <c r="AK106" s="328">
        <f>IF(Table2[[#This Row],[Member Type]]=0,0,
IF(OR(Table2[[#This Row],[Member Type]]="Main Member",Table2[[#This Row],[Main Member Link ID]]&lt;&gt;B106),COUNTIFS(B:B,Table2[[#This Row],[Main Member Link ID]]),
COUNTIFS(B:B,Table2[[#This Row],[Main Member Link ID]],A:A,Table2[[#This Row],[Member Type]])))</f>
        <v>0</v>
      </c>
    </row>
    <row r="107" spans="1:37" x14ac:dyDescent="0.3">
      <c r="A107" s="284">
        <f>Table13[[#This Row],[Member Type]]</f>
        <v>0</v>
      </c>
      <c r="B107" s="284">
        <f>Table13[[#This Row],[Main Member Link ID]]</f>
        <v>0</v>
      </c>
      <c r="C107" s="284">
        <f>Table13[[#This Row],[ID Number]]</f>
        <v>0</v>
      </c>
      <c r="D107" s="285">
        <f>Table13[[#This Row],[Date Of Birth]]</f>
        <v>0</v>
      </c>
      <c r="E107" s="285">
        <f>Table13[[#This Row],[Commencement Date]]</f>
        <v>0</v>
      </c>
      <c r="F107" s="284">
        <f t="shared" si="7"/>
        <v>1</v>
      </c>
      <c r="G107" s="284">
        <f t="shared" si="8"/>
        <v>25</v>
      </c>
      <c r="H107" s="286">
        <f>Table13[[#This Row],[Product Option]]</f>
        <v>0</v>
      </c>
      <c r="I107" s="284">
        <f>IF(AND($A107="Main Member",Table2[[#This Row],[Product Option]]="My Value Plus Life"),"MM_LIFE",
IF(AND($A107="Spouse",Table2[[#This Row],[Product Option]]="My Value Plus Life"),"SP_LIFE",
IF(AND($A107="Main Member",Table2[[#This Row],[Product Option]]="My Value Plus Life &amp; Funeral"),"MM_LIFE",
IF(AND($A107="Spouse",Table2[[#This Row],[Product Option]]="My Value Plus Life &amp; Funeral"),_xlfn.XLOOKUP(Table2[[#This Row],[Benefit Name]],Lookups!$D$18:$D$23,Lookups!$E$18:$E$23,0),
0))))</f>
        <v>0</v>
      </c>
      <c r="J107" s="284">
        <f>IF($I107="","",
IF($I107="MM_LIFE",INDEX('Quotation Tool'!$S$54:$V$60,MATCH($T107,'Quotation Tool'!$S$54:$S$60,0),4),
IF($I107="SP_LIFE",_xlfn.XLOOKUP(B106,$B:$B,$J:$J,0),0)))</f>
        <v>0</v>
      </c>
      <c r="K107" s="287">
        <f t="shared" ca="1" si="12"/>
        <v>0</v>
      </c>
      <c r="L107" s="288">
        <f t="shared" ca="1" si="13"/>
        <v>0</v>
      </c>
      <c r="M107" s="289">
        <f t="shared" ca="1" si="9"/>
        <v>0</v>
      </c>
      <c r="N107" s="286">
        <f>Table13[[#This Row],[Benefit Option]]</f>
        <v>0</v>
      </c>
      <c r="O107" s="284">
        <f>IF(OR(Table2[[#This Row],[Member Type]]="Spouse",Table2[[#This Row],[Member Type]]="Child"),0,
IF(_xlfn.XLOOKUP($N107,Lookups!$D$13:$D$27,Lookups!$F$13:$F$27,0)=Table2[[#This Row],[Table Lookup for Life Cover]],0,
_xlfn.XLOOKUP($N107,Lookups!$D$13:$D$27,Lookups!$F$13:$F$27,0)))</f>
        <v>0</v>
      </c>
      <c r="P107" s="284">
        <f>IF(Table2[[#This Row],[Table Lookup for Funeral]]=0,0,IFERROR(INDEX('Quotation Tool'!$S$54:$V$60,MATCH($T107,'Quotation Tool'!$S$54:$S$60,0),3),0))</f>
        <v>0</v>
      </c>
      <c r="Q107" s="288">
        <f ca="1">IF(OR(Table2[[#This Row],[Benefit Name]]="My Value Plus Life - Main Member",Table2[[#This Row],[Benefit Name]]="My Value Plus Life - Spouse"),0,
IFERROR(VLOOKUP($G107,INDIRECT($O107),$P107,FALSE),0))</f>
        <v>0</v>
      </c>
      <c r="R107" s="288">
        <f ca="1">IF(OR(Table2[[#This Row],[Benefit Name]]="My Value Plus Life - Main Member",Table2[[#This Row],[Benefit Name]]="My Value Plus Life - Spouse"),0,
IFERROR(VLOOKUP($G107,INDIRECT($O107),$P107+1,FALSE),0))</f>
        <v>0</v>
      </c>
      <c r="S107" s="289">
        <f t="shared" ca="1" si="10"/>
        <v>0</v>
      </c>
      <c r="T107" s="284" t="str">
        <f>IF(Table13[[#This Row],[Premium Waiver]]="","None",Table13[[#This Row],[Premium Waiver]])</f>
        <v>None</v>
      </c>
      <c r="U107" s="284">
        <f>Table13[[#This Row],[VAPs Options]]</f>
        <v>0</v>
      </c>
      <c r="V107" s="284">
        <f>Table13[[#This Row],[Annual Increase Option]]</f>
        <v>0</v>
      </c>
      <c r="W107" s="290">
        <f>Table13[[#This Row],[Life Cover Amount]]</f>
        <v>0</v>
      </c>
      <c r="X107" s="290">
        <f>Table13[[#This Row],[Funeral Cover Amount]]</f>
        <v>0</v>
      </c>
      <c r="Y10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0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07" s="301">
        <f t="shared" ca="1" si="11"/>
        <v>0</v>
      </c>
      <c r="AB107" s="298"/>
      <c r="AC107" s="326" t="str">
        <f>IF(Table2[[#This Row],[Member Type]]="Main Member",Lookups!$C$13,
IF(Table2[[#This Row],[Member Type]]="Spouse",_xlfn.XLOOKUP(B107,Table2[Main Member Link ID],Table2[Product Option],0),
IF(AND(Table2[[#This Row],[Member Type]]="Child",_xlfn.XLOOKUP(B107,Table2[Main Member Link ID],Table2[Product Option],0)&lt;&gt;"My Value Plus Life"),Lookups!$C$24,
IF(AND(OR(Table2[[#This Row],[Member Type]]="Parent",Table2[[#This Row],[Member Type]]="Extended"),_xlfn.XLOOKUP(B107,Table2[Main Member Link ID],Table2[Product Option],0)&lt;&gt;"My Value Plus Life"),Lookups!$C$26,""))))</f>
        <v/>
      </c>
      <c r="AD107" s="326" t="str">
        <f>IF(Table2[[#This Row],[Member Type]]="Main Member",Lookups!$C$14,"")</f>
        <v/>
      </c>
      <c r="AE10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Funeral",_xlfn.XLOOKUP(B107,Table2[Main Member Link ID],Table2[Benefit Name],0)=Lookups!$D$14),"",
IF(AND(Table2[[#This Row],[Member Type]]="Spouse",Table2[[#This Row],[Product Option]]="My Value Plus Life &amp; Funeral",_xlfn.XLOOKUP(B106,Table2[Main Member Link ID],Table2[Benefit Name],0)=Lookups!$D$15),Lookups!$D$20,
IF(AND(Table2[[#This Row],[Member Type]]="Spouse",Table2[[#This Row],[Product Option]]="My Value Plus Life &amp; Funeral",_xlfn.XLOOKUP(B106,Table2[Main Member Link ID],Table2[Benefit Name],0)=Lookups!$D$16),"",
IF(AND(Table2[[#This Row],[Member Type]]="Spouse",Table2[[#This Row],[Product Option]]="My Value Plus Life &amp; Funeral",_xlfn.XLOOKUP(B106,Table2[Main Member Link ID],Table2[Benefit Name],0)=Lookups!$D$17),Lookups!$D$21,
IF(AND(Table2[[#This Row],[Member Type]]="Child",Table2[[#This Row],[Product Option]]="My Value Plus Life &amp; Funeral",_xlfn.XLOOKUP(B107,Table2[Main Member Link ID],Table2[Benefit Name],0)=Lookups!$D$14),"",
IF(AND(Table2[[#This Row],[Member Type]]="Child",Table2[[#This Row],[Product Option]]="My Value Plus Life &amp; Funeral",_xlfn.XLOOKUP(B107,Table2[Main Member Link ID],Table2[Benefit Name],0)=Lookups!$D$15),"",
IF(AND(Table2[[#This Row],[Member Type]]="Child",Table2[[#This Row],[Product Option]]="My Value Plus Life &amp; Funeral",_xlfn.XLOOKUP(B107,Table2[Main Member Link ID],Table2[Benefit Name],0)=Lookups!$D$16),Lookups!$D$24,
IF(AND(Table2[[#This Row],[Member Type]]="Child",Table2[[#This Row],[Product Option]]="My Value Plus Life &amp; Funeral",_xlfn.XLOOKUP(B107,Table2[Main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Funeral",_xlfn.XLOOKUP(B107,Table2[Main Member Link ID],Table2[Benefit Name],0)&lt;&gt;Lookups!$D$14),
IF(_xlfn.XLOOKUP(B107,Table2[Main Member Link ID],Table2[Benefit Name],0)=0,"",_xlfn.XLOOKUP(B107,Table2[Main Member Link ID],Table2[Benefit Name],0)),"")))))))))))))))</f>
        <v/>
      </c>
      <c r="AF107" s="327" t="str">
        <f>IF(AND(Table2[[#This Row],[Member Type]]="Main Member",Table2[[#This Row],[Product Option]]="My Value Plus Life &amp; Funeral"),Lookups!$D$15,
IF(AND(Table2[[#This Row],[Member Type]]="Spouse",Table2[[#This Row],[Product Option]]="My Value Plus Life &amp; Funeral",_xlfn.XLOOKUP(B107,Table2[Main Member Link ID],Table2[Benefit Name],0)=Lookups!$D$14),"",
IF(AND(Table2[[#This Row],[Member Type]]="Spouse",Table2[[#This Row],[Product Option]]="My Value Plus Life &amp; Funeral",_xlfn.XLOOKUP(B106,Table2[Main Member Link ID],Table2[Benefit Name],0)=Lookups!$D$16),"",
IF(AND(Table2[[#This Row],[Member Type]]="Spouse",Table2[[#This Row],[Product Option]]="My Value Plus Life &amp; Funeral",_xlfn.XLOOKUP(B106,Table2[Main Member Link ID],Table2[Benefit Name],0)=Lookups!$D$15),"",
IF(AND(Table2[[#This Row],[Member Type]]="Spouse",Table2[[#This Row],[Product Option]]="My Value Plus Life &amp; Funeral",_xlfn.XLOOKUP(B106,Table2[Main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Funeral",_xlfn.XLOOKUP(B107,Table2[Main Member Link ID],Table2[Benefit Name],0)&lt;&gt;Lookups!$D$15),
IF(_xlfn.XLOOKUP(B107,Table2[Main Member Link ID],Table2[Benefit Name],0)=0,"",_xlfn.XLOOKUP(B107,Table2[Main Member Link ID],Table2[Benefit Name],0)),"")
))))))</f>
        <v/>
      </c>
      <c r="AG107" s="327" t="str">
        <f>IF(AND(Table2[[#This Row],[Member Type]]="Main Member",Table2[[#This Row],[Product Option]]="My Value Plus Life &amp; Funeral"),Lookups!$D$16,
IF(AND(Table2[[#This Row],[Member Type]]="Spouse",Table2[[#This Row],[Product Option]]="My Value Plus Life &amp; Funeral",_xlfn.XLOOKUP(B107,Table2[Main Member Link ID],Table2[Benefit Name],0)=Lookups!$D$14),"",
IF(AND(Table2[[#This Row],[Member Type]]="Spouse",Table2[[#This Row],[Product Option]]="My Value Plus Life &amp; Funeral",_xlfn.XLOOKUP(B106,Table2[Main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Funeral",_xlfn.XLOOKUP(B107,Table2[Main Member Link ID],Table2[Benefit Name],0)&lt;&gt;Lookups!$D$16),
IF(_xlfn.XLOOKUP(B107,Table2[Main Member Link ID],Table2[Benefit Name],0)=0,"",_xlfn.XLOOKUP(B107,Table2[Main Member Link ID],Table2[Benefit Name],0)),"")
))))</f>
        <v/>
      </c>
      <c r="AH107" s="327" t="str">
        <f>IF(AND(Table2[[#This Row],[Member Type]]="Main Member",Table2[[#This Row],[Product Option]]="My Value Plus Life &amp; Funeral"),Lookups!$D$17,
IF(AND(Table2[[#This Row],[Member Type]]="Spouse",Table2[[#This Row],[Product Option]]="My Value Plus Life &amp; Funeral",_xlfn.XLOOKUP(B107,Table2[Main Member Link ID],Table2[Benefit Name],0)=Lookups!$D$14),"",
IF(AND(Table2[[#This Row],[Member Type]]="Spouse",Table2[[#This Row],[Product Option]]="My Value Plus Life &amp; Funeral",_xlfn.XLOOKUP(B106,Table2[Main Member Link ID],Table2[Benefit Name],0)=Lookups!$D$16),"",
IF(AND(Table2[[#This Row],[Member Type]]="Child",Table2[[#This Row],[Product Option]]="My Value Plus Life &amp; Funeral"),"",
IF(AND(Table2[[#This Row],[Member Type]]="Child",Table2[[#This Row],[Product Option]]="My Value Plus Life &amp; Funeral",_xlfn.XLOOKUP(B107,Table2[Main Member Link ID],Table2[Benefit Name],0)=Lookups!$D$15),"",
IF(AND(OR(Table2[[#This Row],[Member Type]]="Spouse",Table2[[#This Row],[Member Type]]="Child"),Table2[[#This Row],[Product Option]]="My Value Plus Life &amp; Funeral",_xlfn.XLOOKUP(B107,Table2[Main Member Link ID],Table2[Benefit Name],0)&lt;&gt;Lookups!$D$17),
IF(_xlfn.XLOOKUP(B107,Table2[Main Member Link ID],Table2[Benefit Name],0)=0,"",_xlfn.XLOOKUP(B107,Table2[Main Member Link ID],Table2[Benefit Name],0)),""))))))</f>
        <v/>
      </c>
      <c r="AI107" s="328" t="str">
        <f>IF(AND(Table2[[#This Row],[Member Type]]="Main Member",Table2[[#This Row],[Table Lookup for Life Cover]]="MM_LIFE",Table2[[#This Row],[Age Next Birthday]]&lt;56),1,
IF(AND(Table2[[#This Row],[Member Type]]="Main Member",Table2[[#This Row],[Table Lookup for Life Cover]]="MM_LIFE",Table2[[#This Row],[Age Next Birthday]]&gt;=56),2,
""))</f>
        <v/>
      </c>
      <c r="AJ107" s="328">
        <f>IF(OR(Table2[[#This Row],[Member Type]]="Main Member",Table2[[#This Row],[Main Member Link ID]]=B106),1,0)</f>
        <v>1</v>
      </c>
      <c r="AK107" s="328">
        <f>IF(Table2[[#This Row],[Member Type]]=0,0,
IF(OR(Table2[[#This Row],[Member Type]]="Main Member",Table2[[#This Row],[Main Member Link ID]]&lt;&gt;B107),COUNTIFS(B:B,Table2[[#This Row],[Main Member Link ID]]),
COUNTIFS(B:B,Table2[[#This Row],[Main Member Link ID]],A:A,Table2[[#This Row],[Member Type]])))</f>
        <v>0</v>
      </c>
    </row>
    <row r="108" spans="1:37" x14ac:dyDescent="0.3">
      <c r="A108" s="284">
        <f>Table13[[#This Row],[Member Type]]</f>
        <v>0</v>
      </c>
      <c r="B108" s="284">
        <f>Table13[[#This Row],[Main Member Link ID]]</f>
        <v>0</v>
      </c>
      <c r="C108" s="284">
        <f>Table13[[#This Row],[ID Number]]</f>
        <v>0</v>
      </c>
      <c r="D108" s="285">
        <f>Table13[[#This Row],[Date Of Birth]]</f>
        <v>0</v>
      </c>
      <c r="E108" s="285">
        <f>Table13[[#This Row],[Commencement Date]]</f>
        <v>0</v>
      </c>
      <c r="F108" s="284">
        <f t="shared" si="7"/>
        <v>1</v>
      </c>
      <c r="G108" s="284">
        <f t="shared" si="8"/>
        <v>25</v>
      </c>
      <c r="H108" s="286">
        <f>Table13[[#This Row],[Product Option]]</f>
        <v>0</v>
      </c>
      <c r="I108" s="284">
        <f>IF(AND($A108="Main Member",Table2[[#This Row],[Product Option]]="My Value Plus Life"),"MM_LIFE",
IF(AND($A108="Spouse",Table2[[#This Row],[Product Option]]="My Value Plus Life"),"SP_LIFE",
IF(AND($A108="Main Member",Table2[[#This Row],[Product Option]]="My Value Plus Life &amp; Funeral"),"MM_LIFE",
IF(AND($A108="Spouse",Table2[[#This Row],[Product Option]]="My Value Plus Life &amp; Funeral"),_xlfn.XLOOKUP(Table2[[#This Row],[Benefit Name]],Lookups!$D$18:$D$23,Lookups!$E$18:$E$23,0),
0))))</f>
        <v>0</v>
      </c>
      <c r="J108" s="284">
        <f>IF($I108="","",
IF($I108="MM_LIFE",INDEX('Quotation Tool'!$S$54:$V$60,MATCH($T108,'Quotation Tool'!$S$54:$S$60,0),4),
IF($I108="SP_LIFE",_xlfn.XLOOKUP(B107,$B:$B,$J:$J,0),0)))</f>
        <v>0</v>
      </c>
      <c r="K108" s="287">
        <f t="shared" ca="1" si="12"/>
        <v>0</v>
      </c>
      <c r="L108" s="288">
        <f t="shared" ca="1" si="13"/>
        <v>0</v>
      </c>
      <c r="M108" s="289">
        <f t="shared" ca="1" si="9"/>
        <v>0</v>
      </c>
      <c r="N108" s="286">
        <f>Table13[[#This Row],[Benefit Option]]</f>
        <v>0</v>
      </c>
      <c r="O108" s="284">
        <f>IF(OR(Table2[[#This Row],[Member Type]]="Spouse",Table2[[#This Row],[Member Type]]="Child"),0,
IF(_xlfn.XLOOKUP($N108,Lookups!$D$13:$D$27,Lookups!$F$13:$F$27,0)=Table2[[#This Row],[Table Lookup for Life Cover]],0,
_xlfn.XLOOKUP($N108,Lookups!$D$13:$D$27,Lookups!$F$13:$F$27,0)))</f>
        <v>0</v>
      </c>
      <c r="P108" s="284">
        <f>IF(Table2[[#This Row],[Table Lookup for Funeral]]=0,0,IFERROR(INDEX('Quotation Tool'!$S$54:$V$60,MATCH($T108,'Quotation Tool'!$S$54:$S$60,0),3),0))</f>
        <v>0</v>
      </c>
      <c r="Q108" s="288">
        <f ca="1">IF(OR(Table2[[#This Row],[Benefit Name]]="My Value Plus Life - Main Member",Table2[[#This Row],[Benefit Name]]="My Value Plus Life - Spouse"),0,
IFERROR(VLOOKUP($G108,INDIRECT($O108),$P108,FALSE),0))</f>
        <v>0</v>
      </c>
      <c r="R108" s="288">
        <f ca="1">IF(OR(Table2[[#This Row],[Benefit Name]]="My Value Plus Life - Main Member",Table2[[#This Row],[Benefit Name]]="My Value Plus Life - Spouse"),0,
IFERROR(VLOOKUP($G108,INDIRECT($O108),$P108+1,FALSE),0))</f>
        <v>0</v>
      </c>
      <c r="S108" s="289">
        <f t="shared" ca="1" si="10"/>
        <v>0</v>
      </c>
      <c r="T108" s="284" t="str">
        <f>IF(Table13[[#This Row],[Premium Waiver]]="","None",Table13[[#This Row],[Premium Waiver]])</f>
        <v>None</v>
      </c>
      <c r="U108" s="284">
        <f>Table13[[#This Row],[VAPs Options]]</f>
        <v>0</v>
      </c>
      <c r="V108" s="284">
        <f>Table13[[#This Row],[Annual Increase Option]]</f>
        <v>0</v>
      </c>
      <c r="W108" s="290">
        <f>Table13[[#This Row],[Life Cover Amount]]</f>
        <v>0</v>
      </c>
      <c r="X108" s="290">
        <f>Table13[[#This Row],[Funeral Cover Amount]]</f>
        <v>0</v>
      </c>
      <c r="Y10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0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08" s="301">
        <f t="shared" ca="1" si="11"/>
        <v>0</v>
      </c>
      <c r="AB108" s="298"/>
      <c r="AC108" s="326" t="str">
        <f>IF(Table2[[#This Row],[Member Type]]="Main Member",Lookups!$C$13,
IF(Table2[[#This Row],[Member Type]]="Spouse",_xlfn.XLOOKUP(B108,Table2[Main Member Link ID],Table2[Product Option],0),
IF(AND(Table2[[#This Row],[Member Type]]="Child",_xlfn.XLOOKUP(B108,Table2[Main Member Link ID],Table2[Product Option],0)&lt;&gt;"My Value Plus Life"),Lookups!$C$24,
IF(AND(OR(Table2[[#This Row],[Member Type]]="Parent",Table2[[#This Row],[Member Type]]="Extended"),_xlfn.XLOOKUP(B108,Table2[Main Member Link ID],Table2[Product Option],0)&lt;&gt;"My Value Plus Life"),Lookups!$C$26,""))))</f>
        <v/>
      </c>
      <c r="AD108" s="326" t="str">
        <f>IF(Table2[[#This Row],[Member Type]]="Main Member",Lookups!$C$14,"")</f>
        <v/>
      </c>
      <c r="AE10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Funeral",_xlfn.XLOOKUP(B108,Table2[Main Member Link ID],Table2[Benefit Name],0)=Lookups!$D$14),"",
IF(AND(Table2[[#This Row],[Member Type]]="Spouse",Table2[[#This Row],[Product Option]]="My Value Plus Life &amp; Funeral",_xlfn.XLOOKUP(B107,Table2[Main Member Link ID],Table2[Benefit Name],0)=Lookups!$D$15),Lookups!$D$20,
IF(AND(Table2[[#This Row],[Member Type]]="Spouse",Table2[[#This Row],[Product Option]]="My Value Plus Life &amp; Funeral",_xlfn.XLOOKUP(B107,Table2[Main Member Link ID],Table2[Benefit Name],0)=Lookups!$D$16),"",
IF(AND(Table2[[#This Row],[Member Type]]="Spouse",Table2[[#This Row],[Product Option]]="My Value Plus Life &amp; Funeral",_xlfn.XLOOKUP(B107,Table2[Main Member Link ID],Table2[Benefit Name],0)=Lookups!$D$17),Lookups!$D$21,
IF(AND(Table2[[#This Row],[Member Type]]="Child",Table2[[#This Row],[Product Option]]="My Value Plus Life &amp; Funeral",_xlfn.XLOOKUP(B108,Table2[Main Member Link ID],Table2[Benefit Name],0)=Lookups!$D$14),"",
IF(AND(Table2[[#This Row],[Member Type]]="Child",Table2[[#This Row],[Product Option]]="My Value Plus Life &amp; Funeral",_xlfn.XLOOKUP(B108,Table2[Main Member Link ID],Table2[Benefit Name],0)=Lookups!$D$15),"",
IF(AND(Table2[[#This Row],[Member Type]]="Child",Table2[[#This Row],[Product Option]]="My Value Plus Life &amp; Funeral",_xlfn.XLOOKUP(B108,Table2[Main Member Link ID],Table2[Benefit Name],0)=Lookups!$D$16),Lookups!$D$24,
IF(AND(Table2[[#This Row],[Member Type]]="Child",Table2[[#This Row],[Product Option]]="My Value Plus Life &amp; Funeral",_xlfn.XLOOKUP(B108,Table2[Main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Funeral",_xlfn.XLOOKUP(B108,Table2[Main Member Link ID],Table2[Benefit Name],0)&lt;&gt;Lookups!$D$14),
IF(_xlfn.XLOOKUP(B108,Table2[Main Member Link ID],Table2[Benefit Name],0)=0,"",_xlfn.XLOOKUP(B108,Table2[Main Member Link ID],Table2[Benefit Name],0)),"")))))))))))))))</f>
        <v/>
      </c>
      <c r="AF108" s="327" t="str">
        <f>IF(AND(Table2[[#This Row],[Member Type]]="Main Member",Table2[[#This Row],[Product Option]]="My Value Plus Life &amp; Funeral"),Lookups!$D$15,
IF(AND(Table2[[#This Row],[Member Type]]="Spouse",Table2[[#This Row],[Product Option]]="My Value Plus Life &amp; Funeral",_xlfn.XLOOKUP(B108,Table2[Main Member Link ID],Table2[Benefit Name],0)=Lookups!$D$14),"",
IF(AND(Table2[[#This Row],[Member Type]]="Spouse",Table2[[#This Row],[Product Option]]="My Value Plus Life &amp; Funeral",_xlfn.XLOOKUP(B107,Table2[Main Member Link ID],Table2[Benefit Name],0)=Lookups!$D$16),"",
IF(AND(Table2[[#This Row],[Member Type]]="Spouse",Table2[[#This Row],[Product Option]]="My Value Plus Life &amp; Funeral",_xlfn.XLOOKUP(B107,Table2[Main Member Link ID],Table2[Benefit Name],0)=Lookups!$D$15),"",
IF(AND(Table2[[#This Row],[Member Type]]="Spouse",Table2[[#This Row],[Product Option]]="My Value Plus Life &amp; Funeral",_xlfn.XLOOKUP(B107,Table2[Main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Funeral",_xlfn.XLOOKUP(B108,Table2[Main Member Link ID],Table2[Benefit Name],0)&lt;&gt;Lookups!$D$15),
IF(_xlfn.XLOOKUP(B108,Table2[Main Member Link ID],Table2[Benefit Name],0)=0,"",_xlfn.XLOOKUP(B108,Table2[Main Member Link ID],Table2[Benefit Name],0)),"")
))))))</f>
        <v/>
      </c>
      <c r="AG108" s="327" t="str">
        <f>IF(AND(Table2[[#This Row],[Member Type]]="Main Member",Table2[[#This Row],[Product Option]]="My Value Plus Life &amp; Funeral"),Lookups!$D$16,
IF(AND(Table2[[#This Row],[Member Type]]="Spouse",Table2[[#This Row],[Product Option]]="My Value Plus Life &amp; Funeral",_xlfn.XLOOKUP(B108,Table2[Main Member Link ID],Table2[Benefit Name],0)=Lookups!$D$14),"",
IF(AND(Table2[[#This Row],[Member Type]]="Spouse",Table2[[#This Row],[Product Option]]="My Value Plus Life &amp; Funeral",_xlfn.XLOOKUP(B107,Table2[Main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Funeral",_xlfn.XLOOKUP(B108,Table2[Main Member Link ID],Table2[Benefit Name],0)&lt;&gt;Lookups!$D$16),
IF(_xlfn.XLOOKUP(B108,Table2[Main Member Link ID],Table2[Benefit Name],0)=0,"",_xlfn.XLOOKUP(B108,Table2[Main Member Link ID],Table2[Benefit Name],0)),"")
))))</f>
        <v/>
      </c>
      <c r="AH108" s="327" t="str">
        <f>IF(AND(Table2[[#This Row],[Member Type]]="Main Member",Table2[[#This Row],[Product Option]]="My Value Plus Life &amp; Funeral"),Lookups!$D$17,
IF(AND(Table2[[#This Row],[Member Type]]="Spouse",Table2[[#This Row],[Product Option]]="My Value Plus Life &amp; Funeral",_xlfn.XLOOKUP(B108,Table2[Main Member Link ID],Table2[Benefit Name],0)=Lookups!$D$14),"",
IF(AND(Table2[[#This Row],[Member Type]]="Spouse",Table2[[#This Row],[Product Option]]="My Value Plus Life &amp; Funeral",_xlfn.XLOOKUP(B107,Table2[Main Member Link ID],Table2[Benefit Name],0)=Lookups!$D$16),"",
IF(AND(Table2[[#This Row],[Member Type]]="Child",Table2[[#This Row],[Product Option]]="My Value Plus Life &amp; Funeral"),"",
IF(AND(Table2[[#This Row],[Member Type]]="Child",Table2[[#This Row],[Product Option]]="My Value Plus Life &amp; Funeral",_xlfn.XLOOKUP(B108,Table2[Main Member Link ID],Table2[Benefit Name],0)=Lookups!$D$15),"",
IF(AND(OR(Table2[[#This Row],[Member Type]]="Spouse",Table2[[#This Row],[Member Type]]="Child"),Table2[[#This Row],[Product Option]]="My Value Plus Life &amp; Funeral",_xlfn.XLOOKUP(B108,Table2[Main Member Link ID],Table2[Benefit Name],0)&lt;&gt;Lookups!$D$17),
IF(_xlfn.XLOOKUP(B108,Table2[Main Member Link ID],Table2[Benefit Name],0)=0,"",_xlfn.XLOOKUP(B108,Table2[Main Member Link ID],Table2[Benefit Name],0)),""))))))</f>
        <v/>
      </c>
      <c r="AI108" s="328" t="str">
        <f>IF(AND(Table2[[#This Row],[Member Type]]="Main Member",Table2[[#This Row],[Table Lookup for Life Cover]]="MM_LIFE",Table2[[#This Row],[Age Next Birthday]]&lt;56),1,
IF(AND(Table2[[#This Row],[Member Type]]="Main Member",Table2[[#This Row],[Table Lookup for Life Cover]]="MM_LIFE",Table2[[#This Row],[Age Next Birthday]]&gt;=56),2,
""))</f>
        <v/>
      </c>
      <c r="AJ108" s="328">
        <f>IF(OR(Table2[[#This Row],[Member Type]]="Main Member",Table2[[#This Row],[Main Member Link ID]]=B107),1,0)</f>
        <v>1</v>
      </c>
      <c r="AK108" s="328">
        <f>IF(Table2[[#This Row],[Member Type]]=0,0,
IF(OR(Table2[[#This Row],[Member Type]]="Main Member",Table2[[#This Row],[Main Member Link ID]]&lt;&gt;B108),COUNTIFS(B:B,Table2[[#This Row],[Main Member Link ID]]),
COUNTIFS(B:B,Table2[[#This Row],[Main Member Link ID]],A:A,Table2[[#This Row],[Member Type]])))</f>
        <v>0</v>
      </c>
    </row>
    <row r="109" spans="1:37" x14ac:dyDescent="0.3">
      <c r="A109" s="284">
        <f>Table13[[#This Row],[Member Type]]</f>
        <v>0</v>
      </c>
      <c r="B109" s="284">
        <f>Table13[[#This Row],[Main Member Link ID]]</f>
        <v>0</v>
      </c>
      <c r="C109" s="284">
        <f>Table13[[#This Row],[ID Number]]</f>
        <v>0</v>
      </c>
      <c r="D109" s="285">
        <f>Table13[[#This Row],[Date Of Birth]]</f>
        <v>0</v>
      </c>
      <c r="E109" s="285">
        <f>Table13[[#This Row],[Commencement Date]]</f>
        <v>0</v>
      </c>
      <c r="F109" s="284">
        <f t="shared" si="7"/>
        <v>1</v>
      </c>
      <c r="G109" s="284">
        <f t="shared" si="8"/>
        <v>25</v>
      </c>
      <c r="H109" s="286">
        <f>Table13[[#This Row],[Product Option]]</f>
        <v>0</v>
      </c>
      <c r="I109" s="284">
        <f>IF(AND($A109="Main Member",Table2[[#This Row],[Product Option]]="My Value Plus Life"),"MM_LIFE",
IF(AND($A109="Spouse",Table2[[#This Row],[Product Option]]="My Value Plus Life"),"SP_LIFE",
IF(AND($A109="Main Member",Table2[[#This Row],[Product Option]]="My Value Plus Life &amp; Funeral"),"MM_LIFE",
IF(AND($A109="Spouse",Table2[[#This Row],[Product Option]]="My Value Plus Life &amp; Funeral"),_xlfn.XLOOKUP(Table2[[#This Row],[Benefit Name]],Lookups!$D$18:$D$23,Lookups!$E$18:$E$23,0),
0))))</f>
        <v>0</v>
      </c>
      <c r="J109" s="284">
        <f>IF($I109="","",
IF($I109="MM_LIFE",INDEX('Quotation Tool'!$S$54:$V$60,MATCH($T109,'Quotation Tool'!$S$54:$S$60,0),4),
IF($I109="SP_LIFE",_xlfn.XLOOKUP(B108,$B:$B,$J:$J,0),0)))</f>
        <v>0</v>
      </c>
      <c r="K109" s="287">
        <f t="shared" ca="1" si="12"/>
        <v>0</v>
      </c>
      <c r="L109" s="288">
        <f t="shared" ca="1" si="13"/>
        <v>0</v>
      </c>
      <c r="M109" s="289">
        <f t="shared" ca="1" si="9"/>
        <v>0</v>
      </c>
      <c r="N109" s="286">
        <f>Table13[[#This Row],[Benefit Option]]</f>
        <v>0</v>
      </c>
      <c r="O109" s="284">
        <f>IF(OR(Table2[[#This Row],[Member Type]]="Spouse",Table2[[#This Row],[Member Type]]="Child"),0,
IF(_xlfn.XLOOKUP($N109,Lookups!$D$13:$D$27,Lookups!$F$13:$F$27,0)=Table2[[#This Row],[Table Lookup for Life Cover]],0,
_xlfn.XLOOKUP($N109,Lookups!$D$13:$D$27,Lookups!$F$13:$F$27,0)))</f>
        <v>0</v>
      </c>
      <c r="P109" s="284">
        <f>IF(Table2[[#This Row],[Table Lookup for Funeral]]=0,0,IFERROR(INDEX('Quotation Tool'!$S$54:$V$60,MATCH($T109,'Quotation Tool'!$S$54:$S$60,0),3),0))</f>
        <v>0</v>
      </c>
      <c r="Q109" s="288">
        <f ca="1">IF(OR(Table2[[#This Row],[Benefit Name]]="My Value Plus Life - Main Member",Table2[[#This Row],[Benefit Name]]="My Value Plus Life - Spouse"),0,
IFERROR(VLOOKUP($G109,INDIRECT($O109),$P109,FALSE),0))</f>
        <v>0</v>
      </c>
      <c r="R109" s="288">
        <f ca="1">IF(OR(Table2[[#This Row],[Benefit Name]]="My Value Plus Life - Main Member",Table2[[#This Row],[Benefit Name]]="My Value Plus Life - Spouse"),0,
IFERROR(VLOOKUP($G109,INDIRECT($O109),$P109+1,FALSE),0))</f>
        <v>0</v>
      </c>
      <c r="S109" s="289">
        <f t="shared" ca="1" si="10"/>
        <v>0</v>
      </c>
      <c r="T109" s="284" t="str">
        <f>IF(Table13[[#This Row],[Premium Waiver]]="","None",Table13[[#This Row],[Premium Waiver]])</f>
        <v>None</v>
      </c>
      <c r="U109" s="284">
        <f>Table13[[#This Row],[VAPs Options]]</f>
        <v>0</v>
      </c>
      <c r="V109" s="284">
        <f>Table13[[#This Row],[Annual Increase Option]]</f>
        <v>0</v>
      </c>
      <c r="W109" s="290">
        <f>Table13[[#This Row],[Life Cover Amount]]</f>
        <v>0</v>
      </c>
      <c r="X109" s="290">
        <f>Table13[[#This Row],[Funeral Cover Amount]]</f>
        <v>0</v>
      </c>
      <c r="Y10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0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09" s="301">
        <f t="shared" ca="1" si="11"/>
        <v>0</v>
      </c>
      <c r="AB109" s="298"/>
      <c r="AC109" s="326" t="str">
        <f>IF(Table2[[#This Row],[Member Type]]="Main Member",Lookups!$C$13,
IF(Table2[[#This Row],[Member Type]]="Spouse",_xlfn.XLOOKUP(B109,Table2[Main Member Link ID],Table2[Product Option],0),
IF(AND(Table2[[#This Row],[Member Type]]="Child",_xlfn.XLOOKUP(B109,Table2[Main Member Link ID],Table2[Product Option],0)&lt;&gt;"My Value Plus Life"),Lookups!$C$24,
IF(AND(OR(Table2[[#This Row],[Member Type]]="Parent",Table2[[#This Row],[Member Type]]="Extended"),_xlfn.XLOOKUP(B109,Table2[Main Member Link ID],Table2[Product Option],0)&lt;&gt;"My Value Plus Life"),Lookups!$C$26,""))))</f>
        <v/>
      </c>
      <c r="AD109" s="326" t="str">
        <f>IF(Table2[[#This Row],[Member Type]]="Main Member",Lookups!$C$14,"")</f>
        <v/>
      </c>
      <c r="AE10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Funeral",_xlfn.XLOOKUP(B109,Table2[Main Member Link ID],Table2[Benefit Name],0)=Lookups!$D$14),"",
IF(AND(Table2[[#This Row],[Member Type]]="Spouse",Table2[[#This Row],[Product Option]]="My Value Plus Life &amp; Funeral",_xlfn.XLOOKUP(B108,Table2[Main Member Link ID],Table2[Benefit Name],0)=Lookups!$D$15),Lookups!$D$20,
IF(AND(Table2[[#This Row],[Member Type]]="Spouse",Table2[[#This Row],[Product Option]]="My Value Plus Life &amp; Funeral",_xlfn.XLOOKUP(B108,Table2[Main Member Link ID],Table2[Benefit Name],0)=Lookups!$D$16),"",
IF(AND(Table2[[#This Row],[Member Type]]="Spouse",Table2[[#This Row],[Product Option]]="My Value Plus Life &amp; Funeral",_xlfn.XLOOKUP(B108,Table2[Main Member Link ID],Table2[Benefit Name],0)=Lookups!$D$17),Lookups!$D$21,
IF(AND(Table2[[#This Row],[Member Type]]="Child",Table2[[#This Row],[Product Option]]="My Value Plus Life &amp; Funeral",_xlfn.XLOOKUP(B109,Table2[Main Member Link ID],Table2[Benefit Name],0)=Lookups!$D$14),"",
IF(AND(Table2[[#This Row],[Member Type]]="Child",Table2[[#This Row],[Product Option]]="My Value Plus Life &amp; Funeral",_xlfn.XLOOKUP(B109,Table2[Main Member Link ID],Table2[Benefit Name],0)=Lookups!$D$15),"",
IF(AND(Table2[[#This Row],[Member Type]]="Child",Table2[[#This Row],[Product Option]]="My Value Plus Life &amp; Funeral",_xlfn.XLOOKUP(B109,Table2[Main Member Link ID],Table2[Benefit Name],0)=Lookups!$D$16),Lookups!$D$24,
IF(AND(Table2[[#This Row],[Member Type]]="Child",Table2[[#This Row],[Product Option]]="My Value Plus Life &amp; Funeral",_xlfn.XLOOKUP(B109,Table2[Main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Funeral",_xlfn.XLOOKUP(B109,Table2[Main Member Link ID],Table2[Benefit Name],0)&lt;&gt;Lookups!$D$14),
IF(_xlfn.XLOOKUP(B109,Table2[Main Member Link ID],Table2[Benefit Name],0)=0,"",_xlfn.XLOOKUP(B109,Table2[Main Member Link ID],Table2[Benefit Name],0)),"")))))))))))))))</f>
        <v/>
      </c>
      <c r="AF109" s="327" t="str">
        <f>IF(AND(Table2[[#This Row],[Member Type]]="Main Member",Table2[[#This Row],[Product Option]]="My Value Plus Life &amp; Funeral"),Lookups!$D$15,
IF(AND(Table2[[#This Row],[Member Type]]="Spouse",Table2[[#This Row],[Product Option]]="My Value Plus Life &amp; Funeral",_xlfn.XLOOKUP(B109,Table2[Main Member Link ID],Table2[Benefit Name],0)=Lookups!$D$14),"",
IF(AND(Table2[[#This Row],[Member Type]]="Spouse",Table2[[#This Row],[Product Option]]="My Value Plus Life &amp; Funeral",_xlfn.XLOOKUP(B108,Table2[Main Member Link ID],Table2[Benefit Name],0)=Lookups!$D$16),"",
IF(AND(Table2[[#This Row],[Member Type]]="Spouse",Table2[[#This Row],[Product Option]]="My Value Plus Life &amp; Funeral",_xlfn.XLOOKUP(B108,Table2[Main Member Link ID],Table2[Benefit Name],0)=Lookups!$D$15),"",
IF(AND(Table2[[#This Row],[Member Type]]="Spouse",Table2[[#This Row],[Product Option]]="My Value Plus Life &amp; Funeral",_xlfn.XLOOKUP(B108,Table2[Main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Funeral",_xlfn.XLOOKUP(B109,Table2[Main Member Link ID],Table2[Benefit Name],0)&lt;&gt;Lookups!$D$15),
IF(_xlfn.XLOOKUP(B109,Table2[Main Member Link ID],Table2[Benefit Name],0)=0,"",_xlfn.XLOOKUP(B109,Table2[Main Member Link ID],Table2[Benefit Name],0)),"")
))))))</f>
        <v/>
      </c>
      <c r="AG109" s="327" t="str">
        <f>IF(AND(Table2[[#This Row],[Member Type]]="Main Member",Table2[[#This Row],[Product Option]]="My Value Plus Life &amp; Funeral"),Lookups!$D$16,
IF(AND(Table2[[#This Row],[Member Type]]="Spouse",Table2[[#This Row],[Product Option]]="My Value Plus Life &amp; Funeral",_xlfn.XLOOKUP(B109,Table2[Main Member Link ID],Table2[Benefit Name],0)=Lookups!$D$14),"",
IF(AND(Table2[[#This Row],[Member Type]]="Spouse",Table2[[#This Row],[Product Option]]="My Value Plus Life &amp; Funeral",_xlfn.XLOOKUP(B108,Table2[Main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Funeral",_xlfn.XLOOKUP(B109,Table2[Main Member Link ID],Table2[Benefit Name],0)&lt;&gt;Lookups!$D$16),
IF(_xlfn.XLOOKUP(B109,Table2[Main Member Link ID],Table2[Benefit Name],0)=0,"",_xlfn.XLOOKUP(B109,Table2[Main Member Link ID],Table2[Benefit Name],0)),"")
))))</f>
        <v/>
      </c>
      <c r="AH109" s="327" t="str">
        <f>IF(AND(Table2[[#This Row],[Member Type]]="Main Member",Table2[[#This Row],[Product Option]]="My Value Plus Life &amp; Funeral"),Lookups!$D$17,
IF(AND(Table2[[#This Row],[Member Type]]="Spouse",Table2[[#This Row],[Product Option]]="My Value Plus Life &amp; Funeral",_xlfn.XLOOKUP(B109,Table2[Main Member Link ID],Table2[Benefit Name],0)=Lookups!$D$14),"",
IF(AND(Table2[[#This Row],[Member Type]]="Spouse",Table2[[#This Row],[Product Option]]="My Value Plus Life &amp; Funeral",_xlfn.XLOOKUP(B108,Table2[Main Member Link ID],Table2[Benefit Name],0)=Lookups!$D$16),"",
IF(AND(Table2[[#This Row],[Member Type]]="Child",Table2[[#This Row],[Product Option]]="My Value Plus Life &amp; Funeral"),"",
IF(AND(Table2[[#This Row],[Member Type]]="Child",Table2[[#This Row],[Product Option]]="My Value Plus Life &amp; Funeral",_xlfn.XLOOKUP(B109,Table2[Main Member Link ID],Table2[Benefit Name],0)=Lookups!$D$15),"",
IF(AND(OR(Table2[[#This Row],[Member Type]]="Spouse",Table2[[#This Row],[Member Type]]="Child"),Table2[[#This Row],[Product Option]]="My Value Plus Life &amp; Funeral",_xlfn.XLOOKUP(B109,Table2[Main Member Link ID],Table2[Benefit Name],0)&lt;&gt;Lookups!$D$17),
IF(_xlfn.XLOOKUP(B109,Table2[Main Member Link ID],Table2[Benefit Name],0)=0,"",_xlfn.XLOOKUP(B109,Table2[Main Member Link ID],Table2[Benefit Name],0)),""))))))</f>
        <v/>
      </c>
      <c r="AI109" s="328" t="str">
        <f>IF(AND(Table2[[#This Row],[Member Type]]="Main Member",Table2[[#This Row],[Table Lookup for Life Cover]]="MM_LIFE",Table2[[#This Row],[Age Next Birthday]]&lt;56),1,
IF(AND(Table2[[#This Row],[Member Type]]="Main Member",Table2[[#This Row],[Table Lookup for Life Cover]]="MM_LIFE",Table2[[#This Row],[Age Next Birthday]]&gt;=56),2,
""))</f>
        <v/>
      </c>
      <c r="AJ109" s="328">
        <f>IF(OR(Table2[[#This Row],[Member Type]]="Main Member",Table2[[#This Row],[Main Member Link ID]]=B108),1,0)</f>
        <v>1</v>
      </c>
      <c r="AK109" s="328">
        <f>IF(Table2[[#This Row],[Member Type]]=0,0,
IF(OR(Table2[[#This Row],[Member Type]]="Main Member",Table2[[#This Row],[Main Member Link ID]]&lt;&gt;B109),COUNTIFS(B:B,Table2[[#This Row],[Main Member Link ID]]),
COUNTIFS(B:B,Table2[[#This Row],[Main Member Link ID]],A:A,Table2[[#This Row],[Member Type]])))</f>
        <v>0</v>
      </c>
    </row>
    <row r="110" spans="1:37" x14ac:dyDescent="0.3">
      <c r="A110" s="284">
        <f>Table13[[#This Row],[Member Type]]</f>
        <v>0</v>
      </c>
      <c r="B110" s="284">
        <f>Table13[[#This Row],[Main Member Link ID]]</f>
        <v>0</v>
      </c>
      <c r="C110" s="284">
        <f>Table13[[#This Row],[ID Number]]</f>
        <v>0</v>
      </c>
      <c r="D110" s="285">
        <f>Table13[[#This Row],[Date Of Birth]]</f>
        <v>0</v>
      </c>
      <c r="E110" s="285">
        <f>Table13[[#This Row],[Commencement Date]]</f>
        <v>0</v>
      </c>
      <c r="F110" s="284">
        <f t="shared" si="7"/>
        <v>1</v>
      </c>
      <c r="G110" s="284">
        <f t="shared" si="8"/>
        <v>25</v>
      </c>
      <c r="H110" s="286">
        <f>Table13[[#This Row],[Product Option]]</f>
        <v>0</v>
      </c>
      <c r="I110" s="284">
        <f>IF(AND($A110="Main Member",Table2[[#This Row],[Product Option]]="My Value Plus Life"),"MM_LIFE",
IF(AND($A110="Spouse",Table2[[#This Row],[Product Option]]="My Value Plus Life"),"SP_LIFE",
IF(AND($A110="Main Member",Table2[[#This Row],[Product Option]]="My Value Plus Life &amp; Funeral"),"MM_LIFE",
IF(AND($A110="Spouse",Table2[[#This Row],[Product Option]]="My Value Plus Life &amp; Funeral"),_xlfn.XLOOKUP(Table2[[#This Row],[Benefit Name]],Lookups!$D$18:$D$23,Lookups!$E$18:$E$23,0),
0))))</f>
        <v>0</v>
      </c>
      <c r="J110" s="284">
        <f>IF($I110="","",
IF($I110="MM_LIFE",INDEX('Quotation Tool'!$S$54:$V$60,MATCH($T110,'Quotation Tool'!$S$54:$S$60,0),4),
IF($I110="SP_LIFE",_xlfn.XLOOKUP(B109,$B:$B,$J:$J,0),0)))</f>
        <v>0</v>
      </c>
      <c r="K110" s="287">
        <f t="shared" ca="1" si="12"/>
        <v>0</v>
      </c>
      <c r="L110" s="288">
        <f t="shared" ca="1" si="13"/>
        <v>0</v>
      </c>
      <c r="M110" s="289">
        <f t="shared" ca="1" si="9"/>
        <v>0</v>
      </c>
      <c r="N110" s="286">
        <f>Table13[[#This Row],[Benefit Option]]</f>
        <v>0</v>
      </c>
      <c r="O110" s="284">
        <f>IF(OR(Table2[[#This Row],[Member Type]]="Spouse",Table2[[#This Row],[Member Type]]="Child"),0,
IF(_xlfn.XLOOKUP($N110,Lookups!$D$13:$D$27,Lookups!$F$13:$F$27,0)=Table2[[#This Row],[Table Lookup for Life Cover]],0,
_xlfn.XLOOKUP($N110,Lookups!$D$13:$D$27,Lookups!$F$13:$F$27,0)))</f>
        <v>0</v>
      </c>
      <c r="P110" s="284">
        <f>IF(Table2[[#This Row],[Table Lookup for Funeral]]=0,0,IFERROR(INDEX('Quotation Tool'!$S$54:$V$60,MATCH($T110,'Quotation Tool'!$S$54:$S$60,0),3),0))</f>
        <v>0</v>
      </c>
      <c r="Q110" s="288">
        <f ca="1">IF(OR(Table2[[#This Row],[Benefit Name]]="My Value Plus Life - Main Member",Table2[[#This Row],[Benefit Name]]="My Value Plus Life - Spouse"),0,
IFERROR(VLOOKUP($G110,INDIRECT($O110),$P110,FALSE),0))</f>
        <v>0</v>
      </c>
      <c r="R110" s="288">
        <f ca="1">IF(OR(Table2[[#This Row],[Benefit Name]]="My Value Plus Life - Main Member",Table2[[#This Row],[Benefit Name]]="My Value Plus Life - Spouse"),0,
IFERROR(VLOOKUP($G110,INDIRECT($O110),$P110+1,FALSE),0))</f>
        <v>0</v>
      </c>
      <c r="S110" s="289">
        <f t="shared" ca="1" si="10"/>
        <v>0</v>
      </c>
      <c r="T110" s="284" t="str">
        <f>IF(Table13[[#This Row],[Premium Waiver]]="","None",Table13[[#This Row],[Premium Waiver]])</f>
        <v>None</v>
      </c>
      <c r="U110" s="284">
        <f>Table13[[#This Row],[VAPs Options]]</f>
        <v>0</v>
      </c>
      <c r="V110" s="284">
        <f>Table13[[#This Row],[Annual Increase Option]]</f>
        <v>0</v>
      </c>
      <c r="W110" s="290">
        <f>Table13[[#This Row],[Life Cover Amount]]</f>
        <v>0</v>
      </c>
      <c r="X110" s="290">
        <f>Table13[[#This Row],[Funeral Cover Amount]]</f>
        <v>0</v>
      </c>
      <c r="Y11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1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10" s="301">
        <f t="shared" ca="1" si="11"/>
        <v>0</v>
      </c>
      <c r="AB110" s="298"/>
      <c r="AC110" s="326" t="str">
        <f>IF(Table2[[#This Row],[Member Type]]="Main Member",Lookups!$C$13,
IF(Table2[[#This Row],[Member Type]]="Spouse",_xlfn.XLOOKUP(B110,Table2[Main Member Link ID],Table2[Product Option],0),
IF(AND(Table2[[#This Row],[Member Type]]="Child",_xlfn.XLOOKUP(B110,Table2[Main Member Link ID],Table2[Product Option],0)&lt;&gt;"My Value Plus Life"),Lookups!$C$24,
IF(AND(OR(Table2[[#This Row],[Member Type]]="Parent",Table2[[#This Row],[Member Type]]="Extended"),_xlfn.XLOOKUP(B110,Table2[Main Member Link ID],Table2[Product Option],0)&lt;&gt;"My Value Plus Life"),Lookups!$C$26,""))))</f>
        <v/>
      </c>
      <c r="AD110" s="326" t="str">
        <f>IF(Table2[[#This Row],[Member Type]]="Main Member",Lookups!$C$14,"")</f>
        <v/>
      </c>
      <c r="AE11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Funeral",_xlfn.XLOOKUP(B110,Table2[Main Member Link ID],Table2[Benefit Name],0)=Lookups!$D$14),"",
IF(AND(Table2[[#This Row],[Member Type]]="Spouse",Table2[[#This Row],[Product Option]]="My Value Plus Life &amp; Funeral",_xlfn.XLOOKUP(B109,Table2[Main Member Link ID],Table2[Benefit Name],0)=Lookups!$D$15),Lookups!$D$20,
IF(AND(Table2[[#This Row],[Member Type]]="Spouse",Table2[[#This Row],[Product Option]]="My Value Plus Life &amp; Funeral",_xlfn.XLOOKUP(B109,Table2[Main Member Link ID],Table2[Benefit Name],0)=Lookups!$D$16),"",
IF(AND(Table2[[#This Row],[Member Type]]="Spouse",Table2[[#This Row],[Product Option]]="My Value Plus Life &amp; Funeral",_xlfn.XLOOKUP(B109,Table2[Main Member Link ID],Table2[Benefit Name],0)=Lookups!$D$17),Lookups!$D$21,
IF(AND(Table2[[#This Row],[Member Type]]="Child",Table2[[#This Row],[Product Option]]="My Value Plus Life &amp; Funeral",_xlfn.XLOOKUP(B110,Table2[Main Member Link ID],Table2[Benefit Name],0)=Lookups!$D$14),"",
IF(AND(Table2[[#This Row],[Member Type]]="Child",Table2[[#This Row],[Product Option]]="My Value Plus Life &amp; Funeral",_xlfn.XLOOKUP(B110,Table2[Main Member Link ID],Table2[Benefit Name],0)=Lookups!$D$15),"",
IF(AND(Table2[[#This Row],[Member Type]]="Child",Table2[[#This Row],[Product Option]]="My Value Plus Life &amp; Funeral",_xlfn.XLOOKUP(B110,Table2[Main Member Link ID],Table2[Benefit Name],0)=Lookups!$D$16),Lookups!$D$24,
IF(AND(Table2[[#This Row],[Member Type]]="Child",Table2[[#This Row],[Product Option]]="My Value Plus Life &amp; Funeral",_xlfn.XLOOKUP(B110,Table2[Main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Funeral",_xlfn.XLOOKUP(B110,Table2[Main Member Link ID],Table2[Benefit Name],0)&lt;&gt;Lookups!$D$14),
IF(_xlfn.XLOOKUP(B110,Table2[Main Member Link ID],Table2[Benefit Name],0)=0,"",_xlfn.XLOOKUP(B110,Table2[Main Member Link ID],Table2[Benefit Name],0)),"")))))))))))))))</f>
        <v/>
      </c>
      <c r="AF110" s="327" t="str">
        <f>IF(AND(Table2[[#This Row],[Member Type]]="Main Member",Table2[[#This Row],[Product Option]]="My Value Plus Life &amp; Funeral"),Lookups!$D$15,
IF(AND(Table2[[#This Row],[Member Type]]="Spouse",Table2[[#This Row],[Product Option]]="My Value Plus Life &amp; Funeral",_xlfn.XLOOKUP(B110,Table2[Main Member Link ID],Table2[Benefit Name],0)=Lookups!$D$14),"",
IF(AND(Table2[[#This Row],[Member Type]]="Spouse",Table2[[#This Row],[Product Option]]="My Value Plus Life &amp; Funeral",_xlfn.XLOOKUP(B109,Table2[Main Member Link ID],Table2[Benefit Name],0)=Lookups!$D$16),"",
IF(AND(Table2[[#This Row],[Member Type]]="Spouse",Table2[[#This Row],[Product Option]]="My Value Plus Life &amp; Funeral",_xlfn.XLOOKUP(B109,Table2[Main Member Link ID],Table2[Benefit Name],0)=Lookups!$D$15),"",
IF(AND(Table2[[#This Row],[Member Type]]="Spouse",Table2[[#This Row],[Product Option]]="My Value Plus Life &amp; Funeral",_xlfn.XLOOKUP(B109,Table2[Main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Funeral",_xlfn.XLOOKUP(B110,Table2[Main Member Link ID],Table2[Benefit Name],0)&lt;&gt;Lookups!$D$15),
IF(_xlfn.XLOOKUP(B110,Table2[Main Member Link ID],Table2[Benefit Name],0)=0,"",_xlfn.XLOOKUP(B110,Table2[Main Member Link ID],Table2[Benefit Name],0)),"")
))))))</f>
        <v/>
      </c>
      <c r="AG110" s="327" t="str">
        <f>IF(AND(Table2[[#This Row],[Member Type]]="Main Member",Table2[[#This Row],[Product Option]]="My Value Plus Life &amp; Funeral"),Lookups!$D$16,
IF(AND(Table2[[#This Row],[Member Type]]="Spouse",Table2[[#This Row],[Product Option]]="My Value Plus Life &amp; Funeral",_xlfn.XLOOKUP(B110,Table2[Main Member Link ID],Table2[Benefit Name],0)=Lookups!$D$14),"",
IF(AND(Table2[[#This Row],[Member Type]]="Spouse",Table2[[#This Row],[Product Option]]="My Value Plus Life &amp; Funeral",_xlfn.XLOOKUP(B109,Table2[Main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Funeral",_xlfn.XLOOKUP(B110,Table2[Main Member Link ID],Table2[Benefit Name],0)&lt;&gt;Lookups!$D$16),
IF(_xlfn.XLOOKUP(B110,Table2[Main Member Link ID],Table2[Benefit Name],0)=0,"",_xlfn.XLOOKUP(B110,Table2[Main Member Link ID],Table2[Benefit Name],0)),"")
))))</f>
        <v/>
      </c>
      <c r="AH110" s="327" t="str">
        <f>IF(AND(Table2[[#This Row],[Member Type]]="Main Member",Table2[[#This Row],[Product Option]]="My Value Plus Life &amp; Funeral"),Lookups!$D$17,
IF(AND(Table2[[#This Row],[Member Type]]="Spouse",Table2[[#This Row],[Product Option]]="My Value Plus Life &amp; Funeral",_xlfn.XLOOKUP(B110,Table2[Main Member Link ID],Table2[Benefit Name],0)=Lookups!$D$14),"",
IF(AND(Table2[[#This Row],[Member Type]]="Spouse",Table2[[#This Row],[Product Option]]="My Value Plus Life &amp; Funeral",_xlfn.XLOOKUP(B109,Table2[Main Member Link ID],Table2[Benefit Name],0)=Lookups!$D$16),"",
IF(AND(Table2[[#This Row],[Member Type]]="Child",Table2[[#This Row],[Product Option]]="My Value Plus Life &amp; Funeral"),"",
IF(AND(Table2[[#This Row],[Member Type]]="Child",Table2[[#This Row],[Product Option]]="My Value Plus Life &amp; Funeral",_xlfn.XLOOKUP(B110,Table2[Main Member Link ID],Table2[Benefit Name],0)=Lookups!$D$15),"",
IF(AND(OR(Table2[[#This Row],[Member Type]]="Spouse",Table2[[#This Row],[Member Type]]="Child"),Table2[[#This Row],[Product Option]]="My Value Plus Life &amp; Funeral",_xlfn.XLOOKUP(B110,Table2[Main Member Link ID],Table2[Benefit Name],0)&lt;&gt;Lookups!$D$17),
IF(_xlfn.XLOOKUP(B110,Table2[Main Member Link ID],Table2[Benefit Name],0)=0,"",_xlfn.XLOOKUP(B110,Table2[Main Member Link ID],Table2[Benefit Name],0)),""))))))</f>
        <v/>
      </c>
      <c r="AI110" s="328" t="str">
        <f>IF(AND(Table2[[#This Row],[Member Type]]="Main Member",Table2[[#This Row],[Table Lookup for Life Cover]]="MM_LIFE",Table2[[#This Row],[Age Next Birthday]]&lt;56),1,
IF(AND(Table2[[#This Row],[Member Type]]="Main Member",Table2[[#This Row],[Table Lookup for Life Cover]]="MM_LIFE",Table2[[#This Row],[Age Next Birthday]]&gt;=56),2,
""))</f>
        <v/>
      </c>
      <c r="AJ110" s="328">
        <f>IF(OR(Table2[[#This Row],[Member Type]]="Main Member",Table2[[#This Row],[Main Member Link ID]]=B109),1,0)</f>
        <v>1</v>
      </c>
      <c r="AK110" s="328">
        <f>IF(Table2[[#This Row],[Member Type]]=0,0,
IF(OR(Table2[[#This Row],[Member Type]]="Main Member",Table2[[#This Row],[Main Member Link ID]]&lt;&gt;B110),COUNTIFS(B:B,Table2[[#This Row],[Main Member Link ID]]),
COUNTIFS(B:B,Table2[[#This Row],[Main Member Link ID]],A:A,Table2[[#This Row],[Member Type]])))</f>
        <v>0</v>
      </c>
    </row>
    <row r="111" spans="1:37" x14ac:dyDescent="0.3">
      <c r="A111" s="284">
        <f>Table13[[#This Row],[Member Type]]</f>
        <v>0</v>
      </c>
      <c r="B111" s="284">
        <f>Table13[[#This Row],[Main Member Link ID]]</f>
        <v>0</v>
      </c>
      <c r="C111" s="284">
        <f>Table13[[#This Row],[ID Number]]</f>
        <v>0</v>
      </c>
      <c r="D111" s="285">
        <f>Table13[[#This Row],[Date Of Birth]]</f>
        <v>0</v>
      </c>
      <c r="E111" s="285">
        <f>Table13[[#This Row],[Commencement Date]]</f>
        <v>0</v>
      </c>
      <c r="F111" s="284">
        <f t="shared" si="7"/>
        <v>1</v>
      </c>
      <c r="G111" s="284">
        <f t="shared" si="8"/>
        <v>25</v>
      </c>
      <c r="H111" s="286">
        <f>Table13[[#This Row],[Product Option]]</f>
        <v>0</v>
      </c>
      <c r="I111" s="284">
        <f>IF(AND($A111="Main Member",Table2[[#This Row],[Product Option]]="My Value Plus Life"),"MM_LIFE",
IF(AND($A111="Spouse",Table2[[#This Row],[Product Option]]="My Value Plus Life"),"SP_LIFE",
IF(AND($A111="Main Member",Table2[[#This Row],[Product Option]]="My Value Plus Life &amp; Funeral"),"MM_LIFE",
IF(AND($A111="Spouse",Table2[[#This Row],[Product Option]]="My Value Plus Life &amp; Funeral"),_xlfn.XLOOKUP(Table2[[#This Row],[Benefit Name]],Lookups!$D$18:$D$23,Lookups!$E$18:$E$23,0),
0))))</f>
        <v>0</v>
      </c>
      <c r="J111" s="284">
        <f>IF($I111="","",
IF($I111="MM_LIFE",INDEX('Quotation Tool'!$S$54:$V$60,MATCH($T111,'Quotation Tool'!$S$54:$S$60,0),4),
IF($I111="SP_LIFE",_xlfn.XLOOKUP(B110,$B:$B,$J:$J,0),0)))</f>
        <v>0</v>
      </c>
      <c r="K111" s="287">
        <f t="shared" ca="1" si="12"/>
        <v>0</v>
      </c>
      <c r="L111" s="288">
        <f t="shared" ca="1" si="13"/>
        <v>0</v>
      </c>
      <c r="M111" s="289">
        <f t="shared" ca="1" si="9"/>
        <v>0</v>
      </c>
      <c r="N111" s="286">
        <f>Table13[[#This Row],[Benefit Option]]</f>
        <v>0</v>
      </c>
      <c r="O111" s="284">
        <f>IF(OR(Table2[[#This Row],[Member Type]]="Spouse",Table2[[#This Row],[Member Type]]="Child"),0,
IF(_xlfn.XLOOKUP($N111,Lookups!$D$13:$D$27,Lookups!$F$13:$F$27,0)=Table2[[#This Row],[Table Lookup for Life Cover]],0,
_xlfn.XLOOKUP($N111,Lookups!$D$13:$D$27,Lookups!$F$13:$F$27,0)))</f>
        <v>0</v>
      </c>
      <c r="P111" s="284">
        <f>IF(Table2[[#This Row],[Table Lookup for Funeral]]=0,0,IFERROR(INDEX('Quotation Tool'!$S$54:$V$60,MATCH($T111,'Quotation Tool'!$S$54:$S$60,0),3),0))</f>
        <v>0</v>
      </c>
      <c r="Q111" s="288">
        <f ca="1">IF(OR(Table2[[#This Row],[Benefit Name]]="My Value Plus Life - Main Member",Table2[[#This Row],[Benefit Name]]="My Value Plus Life - Spouse"),0,
IFERROR(VLOOKUP($G111,INDIRECT($O111),$P111,FALSE),0))</f>
        <v>0</v>
      </c>
      <c r="R111" s="288">
        <f ca="1">IF(OR(Table2[[#This Row],[Benefit Name]]="My Value Plus Life - Main Member",Table2[[#This Row],[Benefit Name]]="My Value Plus Life - Spouse"),0,
IFERROR(VLOOKUP($G111,INDIRECT($O111),$P111+1,FALSE),0))</f>
        <v>0</v>
      </c>
      <c r="S111" s="289">
        <f t="shared" ca="1" si="10"/>
        <v>0</v>
      </c>
      <c r="T111" s="284" t="str">
        <f>IF(Table13[[#This Row],[Premium Waiver]]="","None",Table13[[#This Row],[Premium Waiver]])</f>
        <v>None</v>
      </c>
      <c r="U111" s="284">
        <f>Table13[[#This Row],[VAPs Options]]</f>
        <v>0</v>
      </c>
      <c r="V111" s="284">
        <f>Table13[[#This Row],[Annual Increase Option]]</f>
        <v>0</v>
      </c>
      <c r="W111" s="290">
        <f>Table13[[#This Row],[Life Cover Amount]]</f>
        <v>0</v>
      </c>
      <c r="X111" s="290">
        <f>Table13[[#This Row],[Funeral Cover Amount]]</f>
        <v>0</v>
      </c>
      <c r="Y11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1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11" s="301">
        <f t="shared" ca="1" si="11"/>
        <v>0</v>
      </c>
      <c r="AB111" s="298"/>
      <c r="AC111" s="326" t="str">
        <f>IF(Table2[[#This Row],[Member Type]]="Main Member",Lookups!$C$13,
IF(Table2[[#This Row],[Member Type]]="Spouse",_xlfn.XLOOKUP(B111,Table2[Main Member Link ID],Table2[Product Option],0),
IF(AND(Table2[[#This Row],[Member Type]]="Child",_xlfn.XLOOKUP(B111,Table2[Main Member Link ID],Table2[Product Option],0)&lt;&gt;"My Value Plus Life"),Lookups!$C$24,
IF(AND(OR(Table2[[#This Row],[Member Type]]="Parent",Table2[[#This Row],[Member Type]]="Extended"),_xlfn.XLOOKUP(B111,Table2[Main Member Link ID],Table2[Product Option],0)&lt;&gt;"My Value Plus Life"),Lookups!$C$26,""))))</f>
        <v/>
      </c>
      <c r="AD111" s="326" t="str">
        <f>IF(Table2[[#This Row],[Member Type]]="Main Member",Lookups!$C$14,"")</f>
        <v/>
      </c>
      <c r="AE11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Funeral",_xlfn.XLOOKUP(B111,Table2[Main Member Link ID],Table2[Benefit Name],0)=Lookups!$D$14),"",
IF(AND(Table2[[#This Row],[Member Type]]="Spouse",Table2[[#This Row],[Product Option]]="My Value Plus Life &amp; Funeral",_xlfn.XLOOKUP(B110,Table2[Main Member Link ID],Table2[Benefit Name],0)=Lookups!$D$15),Lookups!$D$20,
IF(AND(Table2[[#This Row],[Member Type]]="Spouse",Table2[[#This Row],[Product Option]]="My Value Plus Life &amp; Funeral",_xlfn.XLOOKUP(B110,Table2[Main Member Link ID],Table2[Benefit Name],0)=Lookups!$D$16),"",
IF(AND(Table2[[#This Row],[Member Type]]="Spouse",Table2[[#This Row],[Product Option]]="My Value Plus Life &amp; Funeral",_xlfn.XLOOKUP(B110,Table2[Main Member Link ID],Table2[Benefit Name],0)=Lookups!$D$17),Lookups!$D$21,
IF(AND(Table2[[#This Row],[Member Type]]="Child",Table2[[#This Row],[Product Option]]="My Value Plus Life &amp; Funeral",_xlfn.XLOOKUP(B111,Table2[Main Member Link ID],Table2[Benefit Name],0)=Lookups!$D$14),"",
IF(AND(Table2[[#This Row],[Member Type]]="Child",Table2[[#This Row],[Product Option]]="My Value Plus Life &amp; Funeral",_xlfn.XLOOKUP(B111,Table2[Main Member Link ID],Table2[Benefit Name],0)=Lookups!$D$15),"",
IF(AND(Table2[[#This Row],[Member Type]]="Child",Table2[[#This Row],[Product Option]]="My Value Plus Life &amp; Funeral",_xlfn.XLOOKUP(B111,Table2[Main Member Link ID],Table2[Benefit Name],0)=Lookups!$D$16),Lookups!$D$24,
IF(AND(Table2[[#This Row],[Member Type]]="Child",Table2[[#This Row],[Product Option]]="My Value Plus Life &amp; Funeral",_xlfn.XLOOKUP(B111,Table2[Main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Funeral",_xlfn.XLOOKUP(B111,Table2[Main Member Link ID],Table2[Benefit Name],0)&lt;&gt;Lookups!$D$14),
IF(_xlfn.XLOOKUP(B111,Table2[Main Member Link ID],Table2[Benefit Name],0)=0,"",_xlfn.XLOOKUP(B111,Table2[Main Member Link ID],Table2[Benefit Name],0)),"")))))))))))))))</f>
        <v/>
      </c>
      <c r="AF111" s="327" t="str">
        <f>IF(AND(Table2[[#This Row],[Member Type]]="Main Member",Table2[[#This Row],[Product Option]]="My Value Plus Life &amp; Funeral"),Lookups!$D$15,
IF(AND(Table2[[#This Row],[Member Type]]="Spouse",Table2[[#This Row],[Product Option]]="My Value Plus Life &amp; Funeral",_xlfn.XLOOKUP(B111,Table2[Main Member Link ID],Table2[Benefit Name],0)=Lookups!$D$14),"",
IF(AND(Table2[[#This Row],[Member Type]]="Spouse",Table2[[#This Row],[Product Option]]="My Value Plus Life &amp; Funeral",_xlfn.XLOOKUP(B110,Table2[Main Member Link ID],Table2[Benefit Name],0)=Lookups!$D$16),"",
IF(AND(Table2[[#This Row],[Member Type]]="Spouse",Table2[[#This Row],[Product Option]]="My Value Plus Life &amp; Funeral",_xlfn.XLOOKUP(B110,Table2[Main Member Link ID],Table2[Benefit Name],0)=Lookups!$D$15),"",
IF(AND(Table2[[#This Row],[Member Type]]="Spouse",Table2[[#This Row],[Product Option]]="My Value Plus Life &amp; Funeral",_xlfn.XLOOKUP(B110,Table2[Main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Funeral",_xlfn.XLOOKUP(B111,Table2[Main Member Link ID],Table2[Benefit Name],0)&lt;&gt;Lookups!$D$15),
IF(_xlfn.XLOOKUP(B111,Table2[Main Member Link ID],Table2[Benefit Name],0)=0,"",_xlfn.XLOOKUP(B111,Table2[Main Member Link ID],Table2[Benefit Name],0)),"")
))))))</f>
        <v/>
      </c>
      <c r="AG111" s="327" t="str">
        <f>IF(AND(Table2[[#This Row],[Member Type]]="Main Member",Table2[[#This Row],[Product Option]]="My Value Plus Life &amp; Funeral"),Lookups!$D$16,
IF(AND(Table2[[#This Row],[Member Type]]="Spouse",Table2[[#This Row],[Product Option]]="My Value Plus Life &amp; Funeral",_xlfn.XLOOKUP(B111,Table2[Main Member Link ID],Table2[Benefit Name],0)=Lookups!$D$14),"",
IF(AND(Table2[[#This Row],[Member Type]]="Spouse",Table2[[#This Row],[Product Option]]="My Value Plus Life &amp; Funeral",_xlfn.XLOOKUP(B110,Table2[Main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Funeral",_xlfn.XLOOKUP(B111,Table2[Main Member Link ID],Table2[Benefit Name],0)&lt;&gt;Lookups!$D$16),
IF(_xlfn.XLOOKUP(B111,Table2[Main Member Link ID],Table2[Benefit Name],0)=0,"",_xlfn.XLOOKUP(B111,Table2[Main Member Link ID],Table2[Benefit Name],0)),"")
))))</f>
        <v/>
      </c>
      <c r="AH111" s="327" t="str">
        <f>IF(AND(Table2[[#This Row],[Member Type]]="Main Member",Table2[[#This Row],[Product Option]]="My Value Plus Life &amp; Funeral"),Lookups!$D$17,
IF(AND(Table2[[#This Row],[Member Type]]="Spouse",Table2[[#This Row],[Product Option]]="My Value Plus Life &amp; Funeral",_xlfn.XLOOKUP(B111,Table2[Main Member Link ID],Table2[Benefit Name],0)=Lookups!$D$14),"",
IF(AND(Table2[[#This Row],[Member Type]]="Spouse",Table2[[#This Row],[Product Option]]="My Value Plus Life &amp; Funeral",_xlfn.XLOOKUP(B110,Table2[Main Member Link ID],Table2[Benefit Name],0)=Lookups!$D$16),"",
IF(AND(Table2[[#This Row],[Member Type]]="Child",Table2[[#This Row],[Product Option]]="My Value Plus Life &amp; Funeral"),"",
IF(AND(Table2[[#This Row],[Member Type]]="Child",Table2[[#This Row],[Product Option]]="My Value Plus Life &amp; Funeral",_xlfn.XLOOKUP(B111,Table2[Main Member Link ID],Table2[Benefit Name],0)=Lookups!$D$15),"",
IF(AND(OR(Table2[[#This Row],[Member Type]]="Spouse",Table2[[#This Row],[Member Type]]="Child"),Table2[[#This Row],[Product Option]]="My Value Plus Life &amp; Funeral",_xlfn.XLOOKUP(B111,Table2[Main Member Link ID],Table2[Benefit Name],0)&lt;&gt;Lookups!$D$17),
IF(_xlfn.XLOOKUP(B111,Table2[Main Member Link ID],Table2[Benefit Name],0)=0,"",_xlfn.XLOOKUP(B111,Table2[Main Member Link ID],Table2[Benefit Name],0)),""))))))</f>
        <v/>
      </c>
      <c r="AI111" s="328" t="str">
        <f>IF(AND(Table2[[#This Row],[Member Type]]="Main Member",Table2[[#This Row],[Table Lookup for Life Cover]]="MM_LIFE",Table2[[#This Row],[Age Next Birthday]]&lt;56),1,
IF(AND(Table2[[#This Row],[Member Type]]="Main Member",Table2[[#This Row],[Table Lookup for Life Cover]]="MM_LIFE",Table2[[#This Row],[Age Next Birthday]]&gt;=56),2,
""))</f>
        <v/>
      </c>
      <c r="AJ111" s="328">
        <f>IF(OR(Table2[[#This Row],[Member Type]]="Main Member",Table2[[#This Row],[Main Member Link ID]]=B110),1,0)</f>
        <v>1</v>
      </c>
      <c r="AK111" s="328">
        <f>IF(Table2[[#This Row],[Member Type]]=0,0,
IF(OR(Table2[[#This Row],[Member Type]]="Main Member",Table2[[#This Row],[Main Member Link ID]]&lt;&gt;B111),COUNTIFS(B:B,Table2[[#This Row],[Main Member Link ID]]),
COUNTIFS(B:B,Table2[[#This Row],[Main Member Link ID]],A:A,Table2[[#This Row],[Member Type]])))</f>
        <v>0</v>
      </c>
    </row>
    <row r="112" spans="1:37" x14ac:dyDescent="0.3">
      <c r="A112" s="284">
        <f>Table13[[#This Row],[Member Type]]</f>
        <v>0</v>
      </c>
      <c r="B112" s="284">
        <f>Table13[[#This Row],[Main Member Link ID]]</f>
        <v>0</v>
      </c>
      <c r="C112" s="284">
        <f>Table13[[#This Row],[ID Number]]</f>
        <v>0</v>
      </c>
      <c r="D112" s="285">
        <f>Table13[[#This Row],[Date Of Birth]]</f>
        <v>0</v>
      </c>
      <c r="E112" s="285">
        <f>Table13[[#This Row],[Commencement Date]]</f>
        <v>0</v>
      </c>
      <c r="F112" s="284">
        <f t="shared" si="7"/>
        <v>1</v>
      </c>
      <c r="G112" s="284">
        <f t="shared" si="8"/>
        <v>25</v>
      </c>
      <c r="H112" s="286">
        <f>Table13[[#This Row],[Product Option]]</f>
        <v>0</v>
      </c>
      <c r="I112" s="284">
        <f>IF(AND($A112="Main Member",Table2[[#This Row],[Product Option]]="My Value Plus Life"),"MM_LIFE",
IF(AND($A112="Spouse",Table2[[#This Row],[Product Option]]="My Value Plus Life"),"SP_LIFE",
IF(AND($A112="Main Member",Table2[[#This Row],[Product Option]]="My Value Plus Life &amp; Funeral"),"MM_LIFE",
IF(AND($A112="Spouse",Table2[[#This Row],[Product Option]]="My Value Plus Life &amp; Funeral"),_xlfn.XLOOKUP(Table2[[#This Row],[Benefit Name]],Lookups!$D$18:$D$23,Lookups!$E$18:$E$23,0),
0))))</f>
        <v>0</v>
      </c>
      <c r="J112" s="284">
        <f>IF($I112="","",
IF($I112="MM_LIFE",INDEX('Quotation Tool'!$S$54:$V$60,MATCH($T112,'Quotation Tool'!$S$54:$S$60,0),4),
IF($I112="SP_LIFE",_xlfn.XLOOKUP(B111,$B:$B,$J:$J,0),0)))</f>
        <v>0</v>
      </c>
      <c r="K112" s="287">
        <f t="shared" ca="1" si="12"/>
        <v>0</v>
      </c>
      <c r="L112" s="288">
        <f t="shared" ca="1" si="13"/>
        <v>0</v>
      </c>
      <c r="M112" s="289">
        <f t="shared" ca="1" si="9"/>
        <v>0</v>
      </c>
      <c r="N112" s="286">
        <f>Table13[[#This Row],[Benefit Option]]</f>
        <v>0</v>
      </c>
      <c r="O112" s="284">
        <f>IF(OR(Table2[[#This Row],[Member Type]]="Spouse",Table2[[#This Row],[Member Type]]="Child"),0,
IF(_xlfn.XLOOKUP($N112,Lookups!$D$13:$D$27,Lookups!$F$13:$F$27,0)=Table2[[#This Row],[Table Lookup for Life Cover]],0,
_xlfn.XLOOKUP($N112,Lookups!$D$13:$D$27,Lookups!$F$13:$F$27,0)))</f>
        <v>0</v>
      </c>
      <c r="P112" s="284">
        <f>IF(Table2[[#This Row],[Table Lookup for Funeral]]=0,0,IFERROR(INDEX('Quotation Tool'!$S$54:$V$60,MATCH($T112,'Quotation Tool'!$S$54:$S$60,0),3),0))</f>
        <v>0</v>
      </c>
      <c r="Q112" s="288">
        <f ca="1">IF(OR(Table2[[#This Row],[Benefit Name]]="My Value Plus Life - Main Member",Table2[[#This Row],[Benefit Name]]="My Value Plus Life - Spouse"),0,
IFERROR(VLOOKUP($G112,INDIRECT($O112),$P112,FALSE),0))</f>
        <v>0</v>
      </c>
      <c r="R112" s="288">
        <f ca="1">IF(OR(Table2[[#This Row],[Benefit Name]]="My Value Plus Life - Main Member",Table2[[#This Row],[Benefit Name]]="My Value Plus Life - Spouse"),0,
IFERROR(VLOOKUP($G112,INDIRECT($O112),$P112+1,FALSE),0))</f>
        <v>0</v>
      </c>
      <c r="S112" s="289">
        <f t="shared" ca="1" si="10"/>
        <v>0</v>
      </c>
      <c r="T112" s="284" t="str">
        <f>IF(Table13[[#This Row],[Premium Waiver]]="","None",Table13[[#This Row],[Premium Waiver]])</f>
        <v>None</v>
      </c>
      <c r="U112" s="284">
        <f>Table13[[#This Row],[VAPs Options]]</f>
        <v>0</v>
      </c>
      <c r="V112" s="284">
        <f>Table13[[#This Row],[Annual Increase Option]]</f>
        <v>0</v>
      </c>
      <c r="W112" s="290">
        <f>Table13[[#This Row],[Life Cover Amount]]</f>
        <v>0</v>
      </c>
      <c r="X112" s="290">
        <f>Table13[[#This Row],[Funeral Cover Amount]]</f>
        <v>0</v>
      </c>
      <c r="Y11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1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12" s="301">
        <f t="shared" ca="1" si="11"/>
        <v>0</v>
      </c>
      <c r="AB112" s="298"/>
      <c r="AC112" s="326" t="str">
        <f>IF(Table2[[#This Row],[Member Type]]="Main Member",Lookups!$C$13,
IF(Table2[[#This Row],[Member Type]]="Spouse",_xlfn.XLOOKUP(B112,Table2[Main Member Link ID],Table2[Product Option],0),
IF(AND(Table2[[#This Row],[Member Type]]="Child",_xlfn.XLOOKUP(B112,Table2[Main Member Link ID],Table2[Product Option],0)&lt;&gt;"My Value Plus Life"),Lookups!$C$24,
IF(AND(OR(Table2[[#This Row],[Member Type]]="Parent",Table2[[#This Row],[Member Type]]="Extended"),_xlfn.XLOOKUP(B112,Table2[Main Member Link ID],Table2[Product Option],0)&lt;&gt;"My Value Plus Life"),Lookups!$C$26,""))))</f>
        <v/>
      </c>
      <c r="AD112" s="326" t="str">
        <f>IF(Table2[[#This Row],[Member Type]]="Main Member",Lookups!$C$14,"")</f>
        <v/>
      </c>
      <c r="AE11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Funeral",_xlfn.XLOOKUP(B112,Table2[Main Member Link ID],Table2[Benefit Name],0)=Lookups!$D$14),"",
IF(AND(Table2[[#This Row],[Member Type]]="Spouse",Table2[[#This Row],[Product Option]]="My Value Plus Life &amp; Funeral",_xlfn.XLOOKUP(B111,Table2[Main Member Link ID],Table2[Benefit Name],0)=Lookups!$D$15),Lookups!$D$20,
IF(AND(Table2[[#This Row],[Member Type]]="Spouse",Table2[[#This Row],[Product Option]]="My Value Plus Life &amp; Funeral",_xlfn.XLOOKUP(B111,Table2[Main Member Link ID],Table2[Benefit Name],0)=Lookups!$D$16),"",
IF(AND(Table2[[#This Row],[Member Type]]="Spouse",Table2[[#This Row],[Product Option]]="My Value Plus Life &amp; Funeral",_xlfn.XLOOKUP(B111,Table2[Main Member Link ID],Table2[Benefit Name],0)=Lookups!$D$17),Lookups!$D$21,
IF(AND(Table2[[#This Row],[Member Type]]="Child",Table2[[#This Row],[Product Option]]="My Value Plus Life &amp; Funeral",_xlfn.XLOOKUP(B112,Table2[Main Member Link ID],Table2[Benefit Name],0)=Lookups!$D$14),"",
IF(AND(Table2[[#This Row],[Member Type]]="Child",Table2[[#This Row],[Product Option]]="My Value Plus Life &amp; Funeral",_xlfn.XLOOKUP(B112,Table2[Main Member Link ID],Table2[Benefit Name],0)=Lookups!$D$15),"",
IF(AND(Table2[[#This Row],[Member Type]]="Child",Table2[[#This Row],[Product Option]]="My Value Plus Life &amp; Funeral",_xlfn.XLOOKUP(B112,Table2[Main Member Link ID],Table2[Benefit Name],0)=Lookups!$D$16),Lookups!$D$24,
IF(AND(Table2[[#This Row],[Member Type]]="Child",Table2[[#This Row],[Product Option]]="My Value Plus Life &amp; Funeral",_xlfn.XLOOKUP(B112,Table2[Main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Funeral",_xlfn.XLOOKUP(B112,Table2[Main Member Link ID],Table2[Benefit Name],0)&lt;&gt;Lookups!$D$14),
IF(_xlfn.XLOOKUP(B112,Table2[Main Member Link ID],Table2[Benefit Name],0)=0,"",_xlfn.XLOOKUP(B112,Table2[Main Member Link ID],Table2[Benefit Name],0)),"")))))))))))))))</f>
        <v/>
      </c>
      <c r="AF112" s="327" t="str">
        <f>IF(AND(Table2[[#This Row],[Member Type]]="Main Member",Table2[[#This Row],[Product Option]]="My Value Plus Life &amp; Funeral"),Lookups!$D$15,
IF(AND(Table2[[#This Row],[Member Type]]="Spouse",Table2[[#This Row],[Product Option]]="My Value Plus Life &amp; Funeral",_xlfn.XLOOKUP(B112,Table2[Main Member Link ID],Table2[Benefit Name],0)=Lookups!$D$14),"",
IF(AND(Table2[[#This Row],[Member Type]]="Spouse",Table2[[#This Row],[Product Option]]="My Value Plus Life &amp; Funeral",_xlfn.XLOOKUP(B111,Table2[Main Member Link ID],Table2[Benefit Name],0)=Lookups!$D$16),"",
IF(AND(Table2[[#This Row],[Member Type]]="Spouse",Table2[[#This Row],[Product Option]]="My Value Plus Life &amp; Funeral",_xlfn.XLOOKUP(B111,Table2[Main Member Link ID],Table2[Benefit Name],0)=Lookups!$D$15),"",
IF(AND(Table2[[#This Row],[Member Type]]="Spouse",Table2[[#This Row],[Product Option]]="My Value Plus Life &amp; Funeral",_xlfn.XLOOKUP(B111,Table2[Main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Funeral",_xlfn.XLOOKUP(B112,Table2[Main Member Link ID],Table2[Benefit Name],0)&lt;&gt;Lookups!$D$15),
IF(_xlfn.XLOOKUP(B112,Table2[Main Member Link ID],Table2[Benefit Name],0)=0,"",_xlfn.XLOOKUP(B112,Table2[Main Member Link ID],Table2[Benefit Name],0)),"")
))))))</f>
        <v/>
      </c>
      <c r="AG112" s="327" t="str">
        <f>IF(AND(Table2[[#This Row],[Member Type]]="Main Member",Table2[[#This Row],[Product Option]]="My Value Plus Life &amp; Funeral"),Lookups!$D$16,
IF(AND(Table2[[#This Row],[Member Type]]="Spouse",Table2[[#This Row],[Product Option]]="My Value Plus Life &amp; Funeral",_xlfn.XLOOKUP(B112,Table2[Main Member Link ID],Table2[Benefit Name],0)=Lookups!$D$14),"",
IF(AND(Table2[[#This Row],[Member Type]]="Spouse",Table2[[#This Row],[Product Option]]="My Value Plus Life &amp; Funeral",_xlfn.XLOOKUP(B111,Table2[Main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Funeral",_xlfn.XLOOKUP(B112,Table2[Main Member Link ID],Table2[Benefit Name],0)&lt;&gt;Lookups!$D$16),
IF(_xlfn.XLOOKUP(B112,Table2[Main Member Link ID],Table2[Benefit Name],0)=0,"",_xlfn.XLOOKUP(B112,Table2[Main Member Link ID],Table2[Benefit Name],0)),"")
))))</f>
        <v/>
      </c>
      <c r="AH112" s="327" t="str">
        <f>IF(AND(Table2[[#This Row],[Member Type]]="Main Member",Table2[[#This Row],[Product Option]]="My Value Plus Life &amp; Funeral"),Lookups!$D$17,
IF(AND(Table2[[#This Row],[Member Type]]="Spouse",Table2[[#This Row],[Product Option]]="My Value Plus Life &amp; Funeral",_xlfn.XLOOKUP(B112,Table2[Main Member Link ID],Table2[Benefit Name],0)=Lookups!$D$14),"",
IF(AND(Table2[[#This Row],[Member Type]]="Spouse",Table2[[#This Row],[Product Option]]="My Value Plus Life &amp; Funeral",_xlfn.XLOOKUP(B111,Table2[Main Member Link ID],Table2[Benefit Name],0)=Lookups!$D$16),"",
IF(AND(Table2[[#This Row],[Member Type]]="Child",Table2[[#This Row],[Product Option]]="My Value Plus Life &amp; Funeral"),"",
IF(AND(Table2[[#This Row],[Member Type]]="Child",Table2[[#This Row],[Product Option]]="My Value Plus Life &amp; Funeral",_xlfn.XLOOKUP(B112,Table2[Main Member Link ID],Table2[Benefit Name],0)=Lookups!$D$15),"",
IF(AND(OR(Table2[[#This Row],[Member Type]]="Spouse",Table2[[#This Row],[Member Type]]="Child"),Table2[[#This Row],[Product Option]]="My Value Plus Life &amp; Funeral",_xlfn.XLOOKUP(B112,Table2[Main Member Link ID],Table2[Benefit Name],0)&lt;&gt;Lookups!$D$17),
IF(_xlfn.XLOOKUP(B112,Table2[Main Member Link ID],Table2[Benefit Name],0)=0,"",_xlfn.XLOOKUP(B112,Table2[Main Member Link ID],Table2[Benefit Name],0)),""))))))</f>
        <v/>
      </c>
      <c r="AI112" s="328" t="str">
        <f>IF(AND(Table2[[#This Row],[Member Type]]="Main Member",Table2[[#This Row],[Table Lookup for Life Cover]]="MM_LIFE",Table2[[#This Row],[Age Next Birthday]]&lt;56),1,
IF(AND(Table2[[#This Row],[Member Type]]="Main Member",Table2[[#This Row],[Table Lookup for Life Cover]]="MM_LIFE",Table2[[#This Row],[Age Next Birthday]]&gt;=56),2,
""))</f>
        <v/>
      </c>
      <c r="AJ112" s="328">
        <f>IF(OR(Table2[[#This Row],[Member Type]]="Main Member",Table2[[#This Row],[Main Member Link ID]]=B111),1,0)</f>
        <v>1</v>
      </c>
      <c r="AK112" s="328">
        <f>IF(Table2[[#This Row],[Member Type]]=0,0,
IF(OR(Table2[[#This Row],[Member Type]]="Main Member",Table2[[#This Row],[Main Member Link ID]]&lt;&gt;B112),COUNTIFS(B:B,Table2[[#This Row],[Main Member Link ID]]),
COUNTIFS(B:B,Table2[[#This Row],[Main Member Link ID]],A:A,Table2[[#This Row],[Member Type]])))</f>
        <v>0</v>
      </c>
    </row>
    <row r="113" spans="1:37" x14ac:dyDescent="0.3">
      <c r="A113" s="284">
        <f>Table13[[#This Row],[Member Type]]</f>
        <v>0</v>
      </c>
      <c r="B113" s="284">
        <f>Table13[[#This Row],[Main Member Link ID]]</f>
        <v>0</v>
      </c>
      <c r="C113" s="284">
        <f>Table13[[#This Row],[ID Number]]</f>
        <v>0</v>
      </c>
      <c r="D113" s="285">
        <f>Table13[[#This Row],[Date Of Birth]]</f>
        <v>0</v>
      </c>
      <c r="E113" s="285">
        <f>Table13[[#This Row],[Commencement Date]]</f>
        <v>0</v>
      </c>
      <c r="F113" s="284">
        <f t="shared" si="7"/>
        <v>1</v>
      </c>
      <c r="G113" s="284">
        <f t="shared" si="8"/>
        <v>25</v>
      </c>
      <c r="H113" s="286">
        <f>Table13[[#This Row],[Product Option]]</f>
        <v>0</v>
      </c>
      <c r="I113" s="284">
        <f>IF(AND($A113="Main Member",Table2[[#This Row],[Product Option]]="My Value Plus Life"),"MM_LIFE",
IF(AND($A113="Spouse",Table2[[#This Row],[Product Option]]="My Value Plus Life"),"SP_LIFE",
IF(AND($A113="Main Member",Table2[[#This Row],[Product Option]]="My Value Plus Life &amp; Funeral"),"MM_LIFE",
IF(AND($A113="Spouse",Table2[[#This Row],[Product Option]]="My Value Plus Life &amp; Funeral"),_xlfn.XLOOKUP(Table2[[#This Row],[Benefit Name]],Lookups!$D$18:$D$23,Lookups!$E$18:$E$23,0),
0))))</f>
        <v>0</v>
      </c>
      <c r="J113" s="284">
        <f>IF($I113="","",
IF($I113="MM_LIFE",INDEX('Quotation Tool'!$S$54:$V$60,MATCH($T113,'Quotation Tool'!$S$54:$S$60,0),4),
IF($I113="SP_LIFE",_xlfn.XLOOKUP(B112,$B:$B,$J:$J,0),0)))</f>
        <v>0</v>
      </c>
      <c r="K113" s="287">
        <f t="shared" ca="1" si="12"/>
        <v>0</v>
      </c>
      <c r="L113" s="288">
        <f t="shared" ca="1" si="13"/>
        <v>0</v>
      </c>
      <c r="M113" s="289">
        <f t="shared" ca="1" si="9"/>
        <v>0</v>
      </c>
      <c r="N113" s="286">
        <f>Table13[[#This Row],[Benefit Option]]</f>
        <v>0</v>
      </c>
      <c r="O113" s="284">
        <f>IF(OR(Table2[[#This Row],[Member Type]]="Spouse",Table2[[#This Row],[Member Type]]="Child"),0,
IF(_xlfn.XLOOKUP($N113,Lookups!$D$13:$D$27,Lookups!$F$13:$F$27,0)=Table2[[#This Row],[Table Lookup for Life Cover]],0,
_xlfn.XLOOKUP($N113,Lookups!$D$13:$D$27,Lookups!$F$13:$F$27,0)))</f>
        <v>0</v>
      </c>
      <c r="P113" s="284">
        <f>IF(Table2[[#This Row],[Table Lookup for Funeral]]=0,0,IFERROR(INDEX('Quotation Tool'!$S$54:$V$60,MATCH($T113,'Quotation Tool'!$S$54:$S$60,0),3),0))</f>
        <v>0</v>
      </c>
      <c r="Q113" s="288">
        <f ca="1">IF(OR(Table2[[#This Row],[Benefit Name]]="My Value Plus Life - Main Member",Table2[[#This Row],[Benefit Name]]="My Value Plus Life - Spouse"),0,
IFERROR(VLOOKUP($G113,INDIRECT($O113),$P113,FALSE),0))</f>
        <v>0</v>
      </c>
      <c r="R113" s="288">
        <f ca="1">IF(OR(Table2[[#This Row],[Benefit Name]]="My Value Plus Life - Main Member",Table2[[#This Row],[Benefit Name]]="My Value Plus Life - Spouse"),0,
IFERROR(VLOOKUP($G113,INDIRECT($O113),$P113+1,FALSE),0))</f>
        <v>0</v>
      </c>
      <c r="S113" s="289">
        <f t="shared" ca="1" si="10"/>
        <v>0</v>
      </c>
      <c r="T113" s="284" t="str">
        <f>IF(Table13[[#This Row],[Premium Waiver]]="","None",Table13[[#This Row],[Premium Waiver]])</f>
        <v>None</v>
      </c>
      <c r="U113" s="284">
        <f>Table13[[#This Row],[VAPs Options]]</f>
        <v>0</v>
      </c>
      <c r="V113" s="284">
        <f>Table13[[#This Row],[Annual Increase Option]]</f>
        <v>0</v>
      </c>
      <c r="W113" s="290">
        <f>Table13[[#This Row],[Life Cover Amount]]</f>
        <v>0</v>
      </c>
      <c r="X113" s="290">
        <f>Table13[[#This Row],[Funeral Cover Amount]]</f>
        <v>0</v>
      </c>
      <c r="Y11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1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13" s="301">
        <f t="shared" ca="1" si="11"/>
        <v>0</v>
      </c>
      <c r="AB113" s="298"/>
      <c r="AC113" s="326" t="str">
        <f>IF(Table2[[#This Row],[Member Type]]="Main Member",Lookups!$C$13,
IF(Table2[[#This Row],[Member Type]]="Spouse",_xlfn.XLOOKUP(B113,Table2[Main Member Link ID],Table2[Product Option],0),
IF(AND(Table2[[#This Row],[Member Type]]="Child",_xlfn.XLOOKUP(B113,Table2[Main Member Link ID],Table2[Product Option],0)&lt;&gt;"My Value Plus Life"),Lookups!$C$24,
IF(AND(OR(Table2[[#This Row],[Member Type]]="Parent",Table2[[#This Row],[Member Type]]="Extended"),_xlfn.XLOOKUP(B113,Table2[Main Member Link ID],Table2[Product Option],0)&lt;&gt;"My Value Plus Life"),Lookups!$C$26,""))))</f>
        <v/>
      </c>
      <c r="AD113" s="326" t="str">
        <f>IF(Table2[[#This Row],[Member Type]]="Main Member",Lookups!$C$14,"")</f>
        <v/>
      </c>
      <c r="AE11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Funeral",_xlfn.XLOOKUP(B113,Table2[Main Member Link ID],Table2[Benefit Name],0)=Lookups!$D$14),"",
IF(AND(Table2[[#This Row],[Member Type]]="Spouse",Table2[[#This Row],[Product Option]]="My Value Plus Life &amp; Funeral",_xlfn.XLOOKUP(B112,Table2[Main Member Link ID],Table2[Benefit Name],0)=Lookups!$D$15),Lookups!$D$20,
IF(AND(Table2[[#This Row],[Member Type]]="Spouse",Table2[[#This Row],[Product Option]]="My Value Plus Life &amp; Funeral",_xlfn.XLOOKUP(B112,Table2[Main Member Link ID],Table2[Benefit Name],0)=Lookups!$D$16),"",
IF(AND(Table2[[#This Row],[Member Type]]="Spouse",Table2[[#This Row],[Product Option]]="My Value Plus Life &amp; Funeral",_xlfn.XLOOKUP(B112,Table2[Main Member Link ID],Table2[Benefit Name],0)=Lookups!$D$17),Lookups!$D$21,
IF(AND(Table2[[#This Row],[Member Type]]="Child",Table2[[#This Row],[Product Option]]="My Value Plus Life &amp; Funeral",_xlfn.XLOOKUP(B113,Table2[Main Member Link ID],Table2[Benefit Name],0)=Lookups!$D$14),"",
IF(AND(Table2[[#This Row],[Member Type]]="Child",Table2[[#This Row],[Product Option]]="My Value Plus Life &amp; Funeral",_xlfn.XLOOKUP(B113,Table2[Main Member Link ID],Table2[Benefit Name],0)=Lookups!$D$15),"",
IF(AND(Table2[[#This Row],[Member Type]]="Child",Table2[[#This Row],[Product Option]]="My Value Plus Life &amp; Funeral",_xlfn.XLOOKUP(B113,Table2[Main Member Link ID],Table2[Benefit Name],0)=Lookups!$D$16),Lookups!$D$24,
IF(AND(Table2[[#This Row],[Member Type]]="Child",Table2[[#This Row],[Product Option]]="My Value Plus Life &amp; Funeral",_xlfn.XLOOKUP(B113,Table2[Main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Funeral",_xlfn.XLOOKUP(B113,Table2[Main Member Link ID],Table2[Benefit Name],0)&lt;&gt;Lookups!$D$14),
IF(_xlfn.XLOOKUP(B113,Table2[Main Member Link ID],Table2[Benefit Name],0)=0,"",_xlfn.XLOOKUP(B113,Table2[Main Member Link ID],Table2[Benefit Name],0)),"")))))))))))))))</f>
        <v/>
      </c>
      <c r="AF113" s="327" t="str">
        <f>IF(AND(Table2[[#This Row],[Member Type]]="Main Member",Table2[[#This Row],[Product Option]]="My Value Plus Life &amp; Funeral"),Lookups!$D$15,
IF(AND(Table2[[#This Row],[Member Type]]="Spouse",Table2[[#This Row],[Product Option]]="My Value Plus Life &amp; Funeral",_xlfn.XLOOKUP(B113,Table2[Main Member Link ID],Table2[Benefit Name],0)=Lookups!$D$14),"",
IF(AND(Table2[[#This Row],[Member Type]]="Spouse",Table2[[#This Row],[Product Option]]="My Value Plus Life &amp; Funeral",_xlfn.XLOOKUP(B112,Table2[Main Member Link ID],Table2[Benefit Name],0)=Lookups!$D$16),"",
IF(AND(Table2[[#This Row],[Member Type]]="Spouse",Table2[[#This Row],[Product Option]]="My Value Plus Life &amp; Funeral",_xlfn.XLOOKUP(B112,Table2[Main Member Link ID],Table2[Benefit Name],0)=Lookups!$D$15),"",
IF(AND(Table2[[#This Row],[Member Type]]="Spouse",Table2[[#This Row],[Product Option]]="My Value Plus Life &amp; Funeral",_xlfn.XLOOKUP(B112,Table2[Main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Funeral",_xlfn.XLOOKUP(B113,Table2[Main Member Link ID],Table2[Benefit Name],0)&lt;&gt;Lookups!$D$15),
IF(_xlfn.XLOOKUP(B113,Table2[Main Member Link ID],Table2[Benefit Name],0)=0,"",_xlfn.XLOOKUP(B113,Table2[Main Member Link ID],Table2[Benefit Name],0)),"")
))))))</f>
        <v/>
      </c>
      <c r="AG113" s="327" t="str">
        <f>IF(AND(Table2[[#This Row],[Member Type]]="Main Member",Table2[[#This Row],[Product Option]]="My Value Plus Life &amp; Funeral"),Lookups!$D$16,
IF(AND(Table2[[#This Row],[Member Type]]="Spouse",Table2[[#This Row],[Product Option]]="My Value Plus Life &amp; Funeral",_xlfn.XLOOKUP(B113,Table2[Main Member Link ID],Table2[Benefit Name],0)=Lookups!$D$14),"",
IF(AND(Table2[[#This Row],[Member Type]]="Spouse",Table2[[#This Row],[Product Option]]="My Value Plus Life &amp; Funeral",_xlfn.XLOOKUP(B112,Table2[Main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Funeral",_xlfn.XLOOKUP(B113,Table2[Main Member Link ID],Table2[Benefit Name],0)&lt;&gt;Lookups!$D$16),
IF(_xlfn.XLOOKUP(B113,Table2[Main Member Link ID],Table2[Benefit Name],0)=0,"",_xlfn.XLOOKUP(B113,Table2[Main Member Link ID],Table2[Benefit Name],0)),"")
))))</f>
        <v/>
      </c>
      <c r="AH113" s="327" t="str">
        <f>IF(AND(Table2[[#This Row],[Member Type]]="Main Member",Table2[[#This Row],[Product Option]]="My Value Plus Life &amp; Funeral"),Lookups!$D$17,
IF(AND(Table2[[#This Row],[Member Type]]="Spouse",Table2[[#This Row],[Product Option]]="My Value Plus Life &amp; Funeral",_xlfn.XLOOKUP(B113,Table2[Main Member Link ID],Table2[Benefit Name],0)=Lookups!$D$14),"",
IF(AND(Table2[[#This Row],[Member Type]]="Spouse",Table2[[#This Row],[Product Option]]="My Value Plus Life &amp; Funeral",_xlfn.XLOOKUP(B112,Table2[Main Member Link ID],Table2[Benefit Name],0)=Lookups!$D$16),"",
IF(AND(Table2[[#This Row],[Member Type]]="Child",Table2[[#This Row],[Product Option]]="My Value Plus Life &amp; Funeral"),"",
IF(AND(Table2[[#This Row],[Member Type]]="Child",Table2[[#This Row],[Product Option]]="My Value Plus Life &amp; Funeral",_xlfn.XLOOKUP(B113,Table2[Main Member Link ID],Table2[Benefit Name],0)=Lookups!$D$15),"",
IF(AND(OR(Table2[[#This Row],[Member Type]]="Spouse",Table2[[#This Row],[Member Type]]="Child"),Table2[[#This Row],[Product Option]]="My Value Plus Life &amp; Funeral",_xlfn.XLOOKUP(B113,Table2[Main Member Link ID],Table2[Benefit Name],0)&lt;&gt;Lookups!$D$17),
IF(_xlfn.XLOOKUP(B113,Table2[Main Member Link ID],Table2[Benefit Name],0)=0,"",_xlfn.XLOOKUP(B113,Table2[Main Member Link ID],Table2[Benefit Name],0)),""))))))</f>
        <v/>
      </c>
      <c r="AI113" s="328" t="str">
        <f>IF(AND(Table2[[#This Row],[Member Type]]="Main Member",Table2[[#This Row],[Table Lookup for Life Cover]]="MM_LIFE",Table2[[#This Row],[Age Next Birthday]]&lt;56),1,
IF(AND(Table2[[#This Row],[Member Type]]="Main Member",Table2[[#This Row],[Table Lookup for Life Cover]]="MM_LIFE",Table2[[#This Row],[Age Next Birthday]]&gt;=56),2,
""))</f>
        <v/>
      </c>
      <c r="AJ113" s="328">
        <f>IF(OR(Table2[[#This Row],[Member Type]]="Main Member",Table2[[#This Row],[Main Member Link ID]]=B112),1,0)</f>
        <v>1</v>
      </c>
      <c r="AK113" s="328">
        <f>IF(Table2[[#This Row],[Member Type]]=0,0,
IF(OR(Table2[[#This Row],[Member Type]]="Main Member",Table2[[#This Row],[Main Member Link ID]]&lt;&gt;B113),COUNTIFS(B:B,Table2[[#This Row],[Main Member Link ID]]),
COUNTIFS(B:B,Table2[[#This Row],[Main Member Link ID]],A:A,Table2[[#This Row],[Member Type]])))</f>
        <v>0</v>
      </c>
    </row>
    <row r="114" spans="1:37" x14ac:dyDescent="0.3">
      <c r="A114" s="284">
        <f>Table13[[#This Row],[Member Type]]</f>
        <v>0</v>
      </c>
      <c r="B114" s="284">
        <f>Table13[[#This Row],[Main Member Link ID]]</f>
        <v>0</v>
      </c>
      <c r="C114" s="284">
        <f>Table13[[#This Row],[ID Number]]</f>
        <v>0</v>
      </c>
      <c r="D114" s="285">
        <f>Table13[[#This Row],[Date Of Birth]]</f>
        <v>0</v>
      </c>
      <c r="E114" s="285">
        <f>Table13[[#This Row],[Commencement Date]]</f>
        <v>0</v>
      </c>
      <c r="F114" s="284">
        <f t="shared" si="7"/>
        <v>1</v>
      </c>
      <c r="G114" s="284">
        <f t="shared" si="8"/>
        <v>25</v>
      </c>
      <c r="H114" s="286">
        <f>Table13[[#This Row],[Product Option]]</f>
        <v>0</v>
      </c>
      <c r="I114" s="284">
        <f>IF(AND($A114="Main Member",Table2[[#This Row],[Product Option]]="My Value Plus Life"),"MM_LIFE",
IF(AND($A114="Spouse",Table2[[#This Row],[Product Option]]="My Value Plus Life"),"SP_LIFE",
IF(AND($A114="Main Member",Table2[[#This Row],[Product Option]]="My Value Plus Life &amp; Funeral"),"MM_LIFE",
IF(AND($A114="Spouse",Table2[[#This Row],[Product Option]]="My Value Plus Life &amp; Funeral"),_xlfn.XLOOKUP(Table2[[#This Row],[Benefit Name]],Lookups!$D$18:$D$23,Lookups!$E$18:$E$23,0),
0))))</f>
        <v>0</v>
      </c>
      <c r="J114" s="284">
        <f>IF($I114="","",
IF($I114="MM_LIFE",INDEX('Quotation Tool'!$S$54:$V$60,MATCH($T114,'Quotation Tool'!$S$54:$S$60,0),4),
IF($I114="SP_LIFE",_xlfn.XLOOKUP(B113,$B:$B,$J:$J,0),0)))</f>
        <v>0</v>
      </c>
      <c r="K114" s="287">
        <f t="shared" ca="1" si="12"/>
        <v>0</v>
      </c>
      <c r="L114" s="288">
        <f t="shared" ca="1" si="13"/>
        <v>0</v>
      </c>
      <c r="M114" s="289">
        <f t="shared" ca="1" si="9"/>
        <v>0</v>
      </c>
      <c r="N114" s="286">
        <f>Table13[[#This Row],[Benefit Option]]</f>
        <v>0</v>
      </c>
      <c r="O114" s="284">
        <f>IF(OR(Table2[[#This Row],[Member Type]]="Spouse",Table2[[#This Row],[Member Type]]="Child"),0,
IF(_xlfn.XLOOKUP($N114,Lookups!$D$13:$D$27,Lookups!$F$13:$F$27,0)=Table2[[#This Row],[Table Lookup for Life Cover]],0,
_xlfn.XLOOKUP($N114,Lookups!$D$13:$D$27,Lookups!$F$13:$F$27,0)))</f>
        <v>0</v>
      </c>
      <c r="P114" s="284">
        <f>IF(Table2[[#This Row],[Table Lookup for Funeral]]=0,0,IFERROR(INDEX('Quotation Tool'!$S$54:$V$60,MATCH($T114,'Quotation Tool'!$S$54:$S$60,0),3),0))</f>
        <v>0</v>
      </c>
      <c r="Q114" s="288">
        <f ca="1">IF(OR(Table2[[#This Row],[Benefit Name]]="My Value Plus Life - Main Member",Table2[[#This Row],[Benefit Name]]="My Value Plus Life - Spouse"),0,
IFERROR(VLOOKUP($G114,INDIRECT($O114),$P114,FALSE),0))</f>
        <v>0</v>
      </c>
      <c r="R114" s="288">
        <f ca="1">IF(OR(Table2[[#This Row],[Benefit Name]]="My Value Plus Life - Main Member",Table2[[#This Row],[Benefit Name]]="My Value Plus Life - Spouse"),0,
IFERROR(VLOOKUP($G114,INDIRECT($O114),$P114+1,FALSE),0))</f>
        <v>0</v>
      </c>
      <c r="S114" s="289">
        <f t="shared" ca="1" si="10"/>
        <v>0</v>
      </c>
      <c r="T114" s="284" t="str">
        <f>IF(Table13[[#This Row],[Premium Waiver]]="","None",Table13[[#This Row],[Premium Waiver]])</f>
        <v>None</v>
      </c>
      <c r="U114" s="284">
        <f>Table13[[#This Row],[VAPs Options]]</f>
        <v>0</v>
      </c>
      <c r="V114" s="284">
        <f>Table13[[#This Row],[Annual Increase Option]]</f>
        <v>0</v>
      </c>
      <c r="W114" s="290">
        <f>Table13[[#This Row],[Life Cover Amount]]</f>
        <v>0</v>
      </c>
      <c r="X114" s="290">
        <f>Table13[[#This Row],[Funeral Cover Amount]]</f>
        <v>0</v>
      </c>
      <c r="Y11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1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14" s="301">
        <f t="shared" ca="1" si="11"/>
        <v>0</v>
      </c>
      <c r="AB114" s="298"/>
      <c r="AC114" s="326" t="str">
        <f>IF(Table2[[#This Row],[Member Type]]="Main Member",Lookups!$C$13,
IF(Table2[[#This Row],[Member Type]]="Spouse",_xlfn.XLOOKUP(B114,Table2[Main Member Link ID],Table2[Product Option],0),
IF(AND(Table2[[#This Row],[Member Type]]="Child",_xlfn.XLOOKUP(B114,Table2[Main Member Link ID],Table2[Product Option],0)&lt;&gt;"My Value Plus Life"),Lookups!$C$24,
IF(AND(OR(Table2[[#This Row],[Member Type]]="Parent",Table2[[#This Row],[Member Type]]="Extended"),_xlfn.XLOOKUP(B114,Table2[Main Member Link ID],Table2[Product Option],0)&lt;&gt;"My Value Plus Life"),Lookups!$C$26,""))))</f>
        <v/>
      </c>
      <c r="AD114" s="326" t="str">
        <f>IF(Table2[[#This Row],[Member Type]]="Main Member",Lookups!$C$14,"")</f>
        <v/>
      </c>
      <c r="AE11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Funeral",_xlfn.XLOOKUP(B114,Table2[Main Member Link ID],Table2[Benefit Name],0)=Lookups!$D$14),"",
IF(AND(Table2[[#This Row],[Member Type]]="Spouse",Table2[[#This Row],[Product Option]]="My Value Plus Life &amp; Funeral",_xlfn.XLOOKUP(B113,Table2[Main Member Link ID],Table2[Benefit Name],0)=Lookups!$D$15),Lookups!$D$20,
IF(AND(Table2[[#This Row],[Member Type]]="Spouse",Table2[[#This Row],[Product Option]]="My Value Plus Life &amp; Funeral",_xlfn.XLOOKUP(B113,Table2[Main Member Link ID],Table2[Benefit Name],0)=Lookups!$D$16),"",
IF(AND(Table2[[#This Row],[Member Type]]="Spouse",Table2[[#This Row],[Product Option]]="My Value Plus Life &amp; Funeral",_xlfn.XLOOKUP(B113,Table2[Main Member Link ID],Table2[Benefit Name],0)=Lookups!$D$17),Lookups!$D$21,
IF(AND(Table2[[#This Row],[Member Type]]="Child",Table2[[#This Row],[Product Option]]="My Value Plus Life &amp; Funeral",_xlfn.XLOOKUP(B114,Table2[Main Member Link ID],Table2[Benefit Name],0)=Lookups!$D$14),"",
IF(AND(Table2[[#This Row],[Member Type]]="Child",Table2[[#This Row],[Product Option]]="My Value Plus Life &amp; Funeral",_xlfn.XLOOKUP(B114,Table2[Main Member Link ID],Table2[Benefit Name],0)=Lookups!$D$15),"",
IF(AND(Table2[[#This Row],[Member Type]]="Child",Table2[[#This Row],[Product Option]]="My Value Plus Life &amp; Funeral",_xlfn.XLOOKUP(B114,Table2[Main Member Link ID],Table2[Benefit Name],0)=Lookups!$D$16),Lookups!$D$24,
IF(AND(Table2[[#This Row],[Member Type]]="Child",Table2[[#This Row],[Product Option]]="My Value Plus Life &amp; Funeral",_xlfn.XLOOKUP(B114,Table2[Main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Funeral",_xlfn.XLOOKUP(B114,Table2[Main Member Link ID],Table2[Benefit Name],0)&lt;&gt;Lookups!$D$14),
IF(_xlfn.XLOOKUP(B114,Table2[Main Member Link ID],Table2[Benefit Name],0)=0,"",_xlfn.XLOOKUP(B114,Table2[Main Member Link ID],Table2[Benefit Name],0)),"")))))))))))))))</f>
        <v/>
      </c>
      <c r="AF114" s="327" t="str">
        <f>IF(AND(Table2[[#This Row],[Member Type]]="Main Member",Table2[[#This Row],[Product Option]]="My Value Plus Life &amp; Funeral"),Lookups!$D$15,
IF(AND(Table2[[#This Row],[Member Type]]="Spouse",Table2[[#This Row],[Product Option]]="My Value Plus Life &amp; Funeral",_xlfn.XLOOKUP(B114,Table2[Main Member Link ID],Table2[Benefit Name],0)=Lookups!$D$14),"",
IF(AND(Table2[[#This Row],[Member Type]]="Spouse",Table2[[#This Row],[Product Option]]="My Value Plus Life &amp; Funeral",_xlfn.XLOOKUP(B113,Table2[Main Member Link ID],Table2[Benefit Name],0)=Lookups!$D$16),"",
IF(AND(Table2[[#This Row],[Member Type]]="Spouse",Table2[[#This Row],[Product Option]]="My Value Plus Life &amp; Funeral",_xlfn.XLOOKUP(B113,Table2[Main Member Link ID],Table2[Benefit Name],0)=Lookups!$D$15),"",
IF(AND(Table2[[#This Row],[Member Type]]="Spouse",Table2[[#This Row],[Product Option]]="My Value Plus Life &amp; Funeral",_xlfn.XLOOKUP(B113,Table2[Main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Funeral",_xlfn.XLOOKUP(B114,Table2[Main Member Link ID],Table2[Benefit Name],0)&lt;&gt;Lookups!$D$15),
IF(_xlfn.XLOOKUP(B114,Table2[Main Member Link ID],Table2[Benefit Name],0)=0,"",_xlfn.XLOOKUP(B114,Table2[Main Member Link ID],Table2[Benefit Name],0)),"")
))))))</f>
        <v/>
      </c>
      <c r="AG114" s="327" t="str">
        <f>IF(AND(Table2[[#This Row],[Member Type]]="Main Member",Table2[[#This Row],[Product Option]]="My Value Plus Life &amp; Funeral"),Lookups!$D$16,
IF(AND(Table2[[#This Row],[Member Type]]="Spouse",Table2[[#This Row],[Product Option]]="My Value Plus Life &amp; Funeral",_xlfn.XLOOKUP(B114,Table2[Main Member Link ID],Table2[Benefit Name],0)=Lookups!$D$14),"",
IF(AND(Table2[[#This Row],[Member Type]]="Spouse",Table2[[#This Row],[Product Option]]="My Value Plus Life &amp; Funeral",_xlfn.XLOOKUP(B113,Table2[Main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Funeral",_xlfn.XLOOKUP(B114,Table2[Main Member Link ID],Table2[Benefit Name],0)&lt;&gt;Lookups!$D$16),
IF(_xlfn.XLOOKUP(B114,Table2[Main Member Link ID],Table2[Benefit Name],0)=0,"",_xlfn.XLOOKUP(B114,Table2[Main Member Link ID],Table2[Benefit Name],0)),"")
))))</f>
        <v/>
      </c>
      <c r="AH114" s="327" t="str">
        <f>IF(AND(Table2[[#This Row],[Member Type]]="Main Member",Table2[[#This Row],[Product Option]]="My Value Plus Life &amp; Funeral"),Lookups!$D$17,
IF(AND(Table2[[#This Row],[Member Type]]="Spouse",Table2[[#This Row],[Product Option]]="My Value Plus Life &amp; Funeral",_xlfn.XLOOKUP(B114,Table2[Main Member Link ID],Table2[Benefit Name],0)=Lookups!$D$14),"",
IF(AND(Table2[[#This Row],[Member Type]]="Spouse",Table2[[#This Row],[Product Option]]="My Value Plus Life &amp; Funeral",_xlfn.XLOOKUP(B113,Table2[Main Member Link ID],Table2[Benefit Name],0)=Lookups!$D$16),"",
IF(AND(Table2[[#This Row],[Member Type]]="Child",Table2[[#This Row],[Product Option]]="My Value Plus Life &amp; Funeral"),"",
IF(AND(Table2[[#This Row],[Member Type]]="Child",Table2[[#This Row],[Product Option]]="My Value Plus Life &amp; Funeral",_xlfn.XLOOKUP(B114,Table2[Main Member Link ID],Table2[Benefit Name],0)=Lookups!$D$15),"",
IF(AND(OR(Table2[[#This Row],[Member Type]]="Spouse",Table2[[#This Row],[Member Type]]="Child"),Table2[[#This Row],[Product Option]]="My Value Plus Life &amp; Funeral",_xlfn.XLOOKUP(B114,Table2[Main Member Link ID],Table2[Benefit Name],0)&lt;&gt;Lookups!$D$17),
IF(_xlfn.XLOOKUP(B114,Table2[Main Member Link ID],Table2[Benefit Name],0)=0,"",_xlfn.XLOOKUP(B114,Table2[Main Member Link ID],Table2[Benefit Name],0)),""))))))</f>
        <v/>
      </c>
      <c r="AI114" s="328" t="str">
        <f>IF(AND(Table2[[#This Row],[Member Type]]="Main Member",Table2[[#This Row],[Table Lookup for Life Cover]]="MM_LIFE",Table2[[#This Row],[Age Next Birthday]]&lt;56),1,
IF(AND(Table2[[#This Row],[Member Type]]="Main Member",Table2[[#This Row],[Table Lookup for Life Cover]]="MM_LIFE",Table2[[#This Row],[Age Next Birthday]]&gt;=56),2,
""))</f>
        <v/>
      </c>
      <c r="AJ114" s="328">
        <f>IF(OR(Table2[[#This Row],[Member Type]]="Main Member",Table2[[#This Row],[Main Member Link ID]]=B113),1,0)</f>
        <v>1</v>
      </c>
      <c r="AK114" s="328">
        <f>IF(Table2[[#This Row],[Member Type]]=0,0,
IF(OR(Table2[[#This Row],[Member Type]]="Main Member",Table2[[#This Row],[Main Member Link ID]]&lt;&gt;B114),COUNTIFS(B:B,Table2[[#This Row],[Main Member Link ID]]),
COUNTIFS(B:B,Table2[[#This Row],[Main Member Link ID]],A:A,Table2[[#This Row],[Member Type]])))</f>
        <v>0</v>
      </c>
    </row>
    <row r="115" spans="1:37" x14ac:dyDescent="0.3">
      <c r="A115" s="284">
        <f>Table13[[#This Row],[Member Type]]</f>
        <v>0</v>
      </c>
      <c r="B115" s="284">
        <f>Table13[[#This Row],[Main Member Link ID]]</f>
        <v>0</v>
      </c>
      <c r="C115" s="284">
        <f>Table13[[#This Row],[ID Number]]</f>
        <v>0</v>
      </c>
      <c r="D115" s="285">
        <f>Table13[[#This Row],[Date Of Birth]]</f>
        <v>0</v>
      </c>
      <c r="E115" s="285">
        <f>Table13[[#This Row],[Commencement Date]]</f>
        <v>0</v>
      </c>
      <c r="F115" s="284">
        <f t="shared" si="7"/>
        <v>1</v>
      </c>
      <c r="G115" s="284">
        <f t="shared" si="8"/>
        <v>25</v>
      </c>
      <c r="H115" s="286">
        <f>Table13[[#This Row],[Product Option]]</f>
        <v>0</v>
      </c>
      <c r="I115" s="284">
        <f>IF(AND($A115="Main Member",Table2[[#This Row],[Product Option]]="My Value Plus Life"),"MM_LIFE",
IF(AND($A115="Spouse",Table2[[#This Row],[Product Option]]="My Value Plus Life"),"SP_LIFE",
IF(AND($A115="Main Member",Table2[[#This Row],[Product Option]]="My Value Plus Life &amp; Funeral"),"MM_LIFE",
IF(AND($A115="Spouse",Table2[[#This Row],[Product Option]]="My Value Plus Life &amp; Funeral"),_xlfn.XLOOKUP(Table2[[#This Row],[Benefit Name]],Lookups!$D$18:$D$23,Lookups!$E$18:$E$23,0),
0))))</f>
        <v>0</v>
      </c>
      <c r="J115" s="284">
        <f>IF($I115="","",
IF($I115="MM_LIFE",INDEX('Quotation Tool'!$S$54:$V$60,MATCH($T115,'Quotation Tool'!$S$54:$S$60,0),4),
IF($I115="SP_LIFE",_xlfn.XLOOKUP(B114,$B:$B,$J:$J,0),0)))</f>
        <v>0</v>
      </c>
      <c r="K115" s="287">
        <f t="shared" ca="1" si="12"/>
        <v>0</v>
      </c>
      <c r="L115" s="288">
        <f t="shared" ca="1" si="13"/>
        <v>0</v>
      </c>
      <c r="M115" s="289">
        <f t="shared" ca="1" si="9"/>
        <v>0</v>
      </c>
      <c r="N115" s="286">
        <f>Table13[[#This Row],[Benefit Option]]</f>
        <v>0</v>
      </c>
      <c r="O115" s="284">
        <f>IF(OR(Table2[[#This Row],[Member Type]]="Spouse",Table2[[#This Row],[Member Type]]="Child"),0,
IF(_xlfn.XLOOKUP($N115,Lookups!$D$13:$D$27,Lookups!$F$13:$F$27,0)=Table2[[#This Row],[Table Lookup for Life Cover]],0,
_xlfn.XLOOKUP($N115,Lookups!$D$13:$D$27,Lookups!$F$13:$F$27,0)))</f>
        <v>0</v>
      </c>
      <c r="P115" s="284">
        <f>IF(Table2[[#This Row],[Table Lookup for Funeral]]=0,0,IFERROR(INDEX('Quotation Tool'!$S$54:$V$60,MATCH($T115,'Quotation Tool'!$S$54:$S$60,0),3),0))</f>
        <v>0</v>
      </c>
      <c r="Q115" s="288">
        <f ca="1">IF(OR(Table2[[#This Row],[Benefit Name]]="My Value Plus Life - Main Member",Table2[[#This Row],[Benefit Name]]="My Value Plus Life - Spouse"),0,
IFERROR(VLOOKUP($G115,INDIRECT($O115),$P115,FALSE),0))</f>
        <v>0</v>
      </c>
      <c r="R115" s="288">
        <f ca="1">IF(OR(Table2[[#This Row],[Benefit Name]]="My Value Plus Life - Main Member",Table2[[#This Row],[Benefit Name]]="My Value Plus Life - Spouse"),0,
IFERROR(VLOOKUP($G115,INDIRECT($O115),$P115+1,FALSE),0))</f>
        <v>0</v>
      </c>
      <c r="S115" s="289">
        <f t="shared" ca="1" si="10"/>
        <v>0</v>
      </c>
      <c r="T115" s="284" t="str">
        <f>IF(Table13[[#This Row],[Premium Waiver]]="","None",Table13[[#This Row],[Premium Waiver]])</f>
        <v>None</v>
      </c>
      <c r="U115" s="284">
        <f>Table13[[#This Row],[VAPs Options]]</f>
        <v>0</v>
      </c>
      <c r="V115" s="284">
        <f>Table13[[#This Row],[Annual Increase Option]]</f>
        <v>0</v>
      </c>
      <c r="W115" s="290">
        <f>Table13[[#This Row],[Life Cover Amount]]</f>
        <v>0</v>
      </c>
      <c r="X115" s="290">
        <f>Table13[[#This Row],[Funeral Cover Amount]]</f>
        <v>0</v>
      </c>
      <c r="Y11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1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15" s="301">
        <f t="shared" ca="1" si="11"/>
        <v>0</v>
      </c>
      <c r="AB115" s="298"/>
      <c r="AC115" s="326" t="str">
        <f>IF(Table2[[#This Row],[Member Type]]="Main Member",Lookups!$C$13,
IF(Table2[[#This Row],[Member Type]]="Spouse",_xlfn.XLOOKUP(B115,Table2[Main Member Link ID],Table2[Product Option],0),
IF(AND(Table2[[#This Row],[Member Type]]="Child",_xlfn.XLOOKUP(B115,Table2[Main Member Link ID],Table2[Product Option],0)&lt;&gt;"My Value Plus Life"),Lookups!$C$24,
IF(AND(OR(Table2[[#This Row],[Member Type]]="Parent",Table2[[#This Row],[Member Type]]="Extended"),_xlfn.XLOOKUP(B115,Table2[Main Member Link ID],Table2[Product Option],0)&lt;&gt;"My Value Plus Life"),Lookups!$C$26,""))))</f>
        <v/>
      </c>
      <c r="AD115" s="326" t="str">
        <f>IF(Table2[[#This Row],[Member Type]]="Main Member",Lookups!$C$14,"")</f>
        <v/>
      </c>
      <c r="AE11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Funeral",_xlfn.XLOOKUP(B115,Table2[Main Member Link ID],Table2[Benefit Name],0)=Lookups!$D$14),"",
IF(AND(Table2[[#This Row],[Member Type]]="Spouse",Table2[[#This Row],[Product Option]]="My Value Plus Life &amp; Funeral",_xlfn.XLOOKUP(B114,Table2[Main Member Link ID],Table2[Benefit Name],0)=Lookups!$D$15),Lookups!$D$20,
IF(AND(Table2[[#This Row],[Member Type]]="Spouse",Table2[[#This Row],[Product Option]]="My Value Plus Life &amp; Funeral",_xlfn.XLOOKUP(B114,Table2[Main Member Link ID],Table2[Benefit Name],0)=Lookups!$D$16),"",
IF(AND(Table2[[#This Row],[Member Type]]="Spouse",Table2[[#This Row],[Product Option]]="My Value Plus Life &amp; Funeral",_xlfn.XLOOKUP(B114,Table2[Main Member Link ID],Table2[Benefit Name],0)=Lookups!$D$17),Lookups!$D$21,
IF(AND(Table2[[#This Row],[Member Type]]="Child",Table2[[#This Row],[Product Option]]="My Value Plus Life &amp; Funeral",_xlfn.XLOOKUP(B115,Table2[Main Member Link ID],Table2[Benefit Name],0)=Lookups!$D$14),"",
IF(AND(Table2[[#This Row],[Member Type]]="Child",Table2[[#This Row],[Product Option]]="My Value Plus Life &amp; Funeral",_xlfn.XLOOKUP(B115,Table2[Main Member Link ID],Table2[Benefit Name],0)=Lookups!$D$15),"",
IF(AND(Table2[[#This Row],[Member Type]]="Child",Table2[[#This Row],[Product Option]]="My Value Plus Life &amp; Funeral",_xlfn.XLOOKUP(B115,Table2[Main Member Link ID],Table2[Benefit Name],0)=Lookups!$D$16),Lookups!$D$24,
IF(AND(Table2[[#This Row],[Member Type]]="Child",Table2[[#This Row],[Product Option]]="My Value Plus Life &amp; Funeral",_xlfn.XLOOKUP(B115,Table2[Main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Funeral",_xlfn.XLOOKUP(B115,Table2[Main Member Link ID],Table2[Benefit Name],0)&lt;&gt;Lookups!$D$14),
IF(_xlfn.XLOOKUP(B115,Table2[Main Member Link ID],Table2[Benefit Name],0)=0,"",_xlfn.XLOOKUP(B115,Table2[Main Member Link ID],Table2[Benefit Name],0)),"")))))))))))))))</f>
        <v/>
      </c>
      <c r="AF115" s="327" t="str">
        <f>IF(AND(Table2[[#This Row],[Member Type]]="Main Member",Table2[[#This Row],[Product Option]]="My Value Plus Life &amp; Funeral"),Lookups!$D$15,
IF(AND(Table2[[#This Row],[Member Type]]="Spouse",Table2[[#This Row],[Product Option]]="My Value Plus Life &amp; Funeral",_xlfn.XLOOKUP(B115,Table2[Main Member Link ID],Table2[Benefit Name],0)=Lookups!$D$14),"",
IF(AND(Table2[[#This Row],[Member Type]]="Spouse",Table2[[#This Row],[Product Option]]="My Value Plus Life &amp; Funeral",_xlfn.XLOOKUP(B114,Table2[Main Member Link ID],Table2[Benefit Name],0)=Lookups!$D$16),"",
IF(AND(Table2[[#This Row],[Member Type]]="Spouse",Table2[[#This Row],[Product Option]]="My Value Plus Life &amp; Funeral",_xlfn.XLOOKUP(B114,Table2[Main Member Link ID],Table2[Benefit Name],0)=Lookups!$D$15),"",
IF(AND(Table2[[#This Row],[Member Type]]="Spouse",Table2[[#This Row],[Product Option]]="My Value Plus Life &amp; Funeral",_xlfn.XLOOKUP(B114,Table2[Main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Funeral",_xlfn.XLOOKUP(B115,Table2[Main Member Link ID],Table2[Benefit Name],0)&lt;&gt;Lookups!$D$15),
IF(_xlfn.XLOOKUP(B115,Table2[Main Member Link ID],Table2[Benefit Name],0)=0,"",_xlfn.XLOOKUP(B115,Table2[Main Member Link ID],Table2[Benefit Name],0)),"")
))))))</f>
        <v/>
      </c>
      <c r="AG115" s="327" t="str">
        <f>IF(AND(Table2[[#This Row],[Member Type]]="Main Member",Table2[[#This Row],[Product Option]]="My Value Plus Life &amp; Funeral"),Lookups!$D$16,
IF(AND(Table2[[#This Row],[Member Type]]="Spouse",Table2[[#This Row],[Product Option]]="My Value Plus Life &amp; Funeral",_xlfn.XLOOKUP(B115,Table2[Main Member Link ID],Table2[Benefit Name],0)=Lookups!$D$14),"",
IF(AND(Table2[[#This Row],[Member Type]]="Spouse",Table2[[#This Row],[Product Option]]="My Value Plus Life &amp; Funeral",_xlfn.XLOOKUP(B114,Table2[Main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Funeral",_xlfn.XLOOKUP(B115,Table2[Main Member Link ID],Table2[Benefit Name],0)&lt;&gt;Lookups!$D$16),
IF(_xlfn.XLOOKUP(B115,Table2[Main Member Link ID],Table2[Benefit Name],0)=0,"",_xlfn.XLOOKUP(B115,Table2[Main Member Link ID],Table2[Benefit Name],0)),"")
))))</f>
        <v/>
      </c>
      <c r="AH115" s="327" t="str">
        <f>IF(AND(Table2[[#This Row],[Member Type]]="Main Member",Table2[[#This Row],[Product Option]]="My Value Plus Life &amp; Funeral"),Lookups!$D$17,
IF(AND(Table2[[#This Row],[Member Type]]="Spouse",Table2[[#This Row],[Product Option]]="My Value Plus Life &amp; Funeral",_xlfn.XLOOKUP(B115,Table2[Main Member Link ID],Table2[Benefit Name],0)=Lookups!$D$14),"",
IF(AND(Table2[[#This Row],[Member Type]]="Spouse",Table2[[#This Row],[Product Option]]="My Value Plus Life &amp; Funeral",_xlfn.XLOOKUP(B114,Table2[Main Member Link ID],Table2[Benefit Name],0)=Lookups!$D$16),"",
IF(AND(Table2[[#This Row],[Member Type]]="Child",Table2[[#This Row],[Product Option]]="My Value Plus Life &amp; Funeral"),"",
IF(AND(Table2[[#This Row],[Member Type]]="Child",Table2[[#This Row],[Product Option]]="My Value Plus Life &amp; Funeral",_xlfn.XLOOKUP(B115,Table2[Main Member Link ID],Table2[Benefit Name],0)=Lookups!$D$15),"",
IF(AND(OR(Table2[[#This Row],[Member Type]]="Spouse",Table2[[#This Row],[Member Type]]="Child"),Table2[[#This Row],[Product Option]]="My Value Plus Life &amp; Funeral",_xlfn.XLOOKUP(B115,Table2[Main Member Link ID],Table2[Benefit Name],0)&lt;&gt;Lookups!$D$17),
IF(_xlfn.XLOOKUP(B115,Table2[Main Member Link ID],Table2[Benefit Name],0)=0,"",_xlfn.XLOOKUP(B115,Table2[Main Member Link ID],Table2[Benefit Name],0)),""))))))</f>
        <v/>
      </c>
      <c r="AI115" s="328" t="str">
        <f>IF(AND(Table2[[#This Row],[Member Type]]="Main Member",Table2[[#This Row],[Table Lookup for Life Cover]]="MM_LIFE",Table2[[#This Row],[Age Next Birthday]]&lt;56),1,
IF(AND(Table2[[#This Row],[Member Type]]="Main Member",Table2[[#This Row],[Table Lookup for Life Cover]]="MM_LIFE",Table2[[#This Row],[Age Next Birthday]]&gt;=56),2,
""))</f>
        <v/>
      </c>
      <c r="AJ115" s="328">
        <f>IF(OR(Table2[[#This Row],[Member Type]]="Main Member",Table2[[#This Row],[Main Member Link ID]]=B114),1,0)</f>
        <v>1</v>
      </c>
      <c r="AK115" s="328">
        <f>IF(Table2[[#This Row],[Member Type]]=0,0,
IF(OR(Table2[[#This Row],[Member Type]]="Main Member",Table2[[#This Row],[Main Member Link ID]]&lt;&gt;B115),COUNTIFS(B:B,Table2[[#This Row],[Main Member Link ID]]),
COUNTIFS(B:B,Table2[[#This Row],[Main Member Link ID]],A:A,Table2[[#This Row],[Member Type]])))</f>
        <v>0</v>
      </c>
    </row>
    <row r="116" spans="1:37" x14ac:dyDescent="0.3">
      <c r="A116" s="284">
        <f>Table13[[#This Row],[Member Type]]</f>
        <v>0</v>
      </c>
      <c r="B116" s="284">
        <f>Table13[[#This Row],[Main Member Link ID]]</f>
        <v>0</v>
      </c>
      <c r="C116" s="284">
        <f>Table13[[#This Row],[ID Number]]</f>
        <v>0</v>
      </c>
      <c r="D116" s="285">
        <f>Table13[[#This Row],[Date Of Birth]]</f>
        <v>0</v>
      </c>
      <c r="E116" s="285">
        <f>Table13[[#This Row],[Commencement Date]]</f>
        <v>0</v>
      </c>
      <c r="F116" s="284">
        <f t="shared" si="7"/>
        <v>1</v>
      </c>
      <c r="G116" s="284">
        <f t="shared" si="8"/>
        <v>25</v>
      </c>
      <c r="H116" s="286">
        <f>Table13[[#This Row],[Product Option]]</f>
        <v>0</v>
      </c>
      <c r="I116" s="284">
        <f>IF(AND($A116="Main Member",Table2[[#This Row],[Product Option]]="My Value Plus Life"),"MM_LIFE",
IF(AND($A116="Spouse",Table2[[#This Row],[Product Option]]="My Value Plus Life"),"SP_LIFE",
IF(AND($A116="Main Member",Table2[[#This Row],[Product Option]]="My Value Plus Life &amp; Funeral"),"MM_LIFE",
IF(AND($A116="Spouse",Table2[[#This Row],[Product Option]]="My Value Plus Life &amp; Funeral"),_xlfn.XLOOKUP(Table2[[#This Row],[Benefit Name]],Lookups!$D$18:$D$23,Lookups!$E$18:$E$23,0),
0))))</f>
        <v>0</v>
      </c>
      <c r="J116" s="284">
        <f>IF($I116="","",
IF($I116="MM_LIFE",INDEX('Quotation Tool'!$S$54:$V$60,MATCH($T116,'Quotation Tool'!$S$54:$S$60,0),4),
IF($I116="SP_LIFE",_xlfn.XLOOKUP(B115,$B:$B,$J:$J,0),0)))</f>
        <v>0</v>
      </c>
      <c r="K116" s="287">
        <f t="shared" ca="1" si="12"/>
        <v>0</v>
      </c>
      <c r="L116" s="288">
        <f t="shared" ca="1" si="13"/>
        <v>0</v>
      </c>
      <c r="M116" s="289">
        <f t="shared" ca="1" si="9"/>
        <v>0</v>
      </c>
      <c r="N116" s="286">
        <f>Table13[[#This Row],[Benefit Option]]</f>
        <v>0</v>
      </c>
      <c r="O116" s="284">
        <f>IF(OR(Table2[[#This Row],[Member Type]]="Spouse",Table2[[#This Row],[Member Type]]="Child"),0,
IF(_xlfn.XLOOKUP($N116,Lookups!$D$13:$D$27,Lookups!$F$13:$F$27,0)=Table2[[#This Row],[Table Lookup for Life Cover]],0,
_xlfn.XLOOKUP($N116,Lookups!$D$13:$D$27,Lookups!$F$13:$F$27,0)))</f>
        <v>0</v>
      </c>
      <c r="P116" s="284">
        <f>IF(Table2[[#This Row],[Table Lookup for Funeral]]=0,0,IFERROR(INDEX('Quotation Tool'!$S$54:$V$60,MATCH($T116,'Quotation Tool'!$S$54:$S$60,0),3),0))</f>
        <v>0</v>
      </c>
      <c r="Q116" s="288">
        <f ca="1">IF(OR(Table2[[#This Row],[Benefit Name]]="My Value Plus Life - Main Member",Table2[[#This Row],[Benefit Name]]="My Value Plus Life - Spouse"),0,
IFERROR(VLOOKUP($G116,INDIRECT($O116),$P116,FALSE),0))</f>
        <v>0</v>
      </c>
      <c r="R116" s="288">
        <f ca="1">IF(OR(Table2[[#This Row],[Benefit Name]]="My Value Plus Life - Main Member",Table2[[#This Row],[Benefit Name]]="My Value Plus Life - Spouse"),0,
IFERROR(VLOOKUP($G116,INDIRECT($O116),$P116+1,FALSE),0))</f>
        <v>0</v>
      </c>
      <c r="S116" s="289">
        <f t="shared" ca="1" si="10"/>
        <v>0</v>
      </c>
      <c r="T116" s="284" t="str">
        <f>IF(Table13[[#This Row],[Premium Waiver]]="","None",Table13[[#This Row],[Premium Waiver]])</f>
        <v>None</v>
      </c>
      <c r="U116" s="284">
        <f>Table13[[#This Row],[VAPs Options]]</f>
        <v>0</v>
      </c>
      <c r="V116" s="284">
        <f>Table13[[#This Row],[Annual Increase Option]]</f>
        <v>0</v>
      </c>
      <c r="W116" s="290">
        <f>Table13[[#This Row],[Life Cover Amount]]</f>
        <v>0</v>
      </c>
      <c r="X116" s="290">
        <f>Table13[[#This Row],[Funeral Cover Amount]]</f>
        <v>0</v>
      </c>
      <c r="Y11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1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16" s="301">
        <f t="shared" ca="1" si="11"/>
        <v>0</v>
      </c>
      <c r="AB116" s="298"/>
      <c r="AC116" s="326" t="str">
        <f>IF(Table2[[#This Row],[Member Type]]="Main Member",Lookups!$C$13,
IF(Table2[[#This Row],[Member Type]]="Spouse",_xlfn.XLOOKUP(B116,Table2[Main Member Link ID],Table2[Product Option],0),
IF(AND(Table2[[#This Row],[Member Type]]="Child",_xlfn.XLOOKUP(B116,Table2[Main Member Link ID],Table2[Product Option],0)&lt;&gt;"My Value Plus Life"),Lookups!$C$24,
IF(AND(OR(Table2[[#This Row],[Member Type]]="Parent",Table2[[#This Row],[Member Type]]="Extended"),_xlfn.XLOOKUP(B116,Table2[Main Member Link ID],Table2[Product Option],0)&lt;&gt;"My Value Plus Life"),Lookups!$C$26,""))))</f>
        <v/>
      </c>
      <c r="AD116" s="326" t="str">
        <f>IF(Table2[[#This Row],[Member Type]]="Main Member",Lookups!$C$14,"")</f>
        <v/>
      </c>
      <c r="AE11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Funeral",_xlfn.XLOOKUP(B116,Table2[Main Member Link ID],Table2[Benefit Name],0)=Lookups!$D$14),"",
IF(AND(Table2[[#This Row],[Member Type]]="Spouse",Table2[[#This Row],[Product Option]]="My Value Plus Life &amp; Funeral",_xlfn.XLOOKUP(B115,Table2[Main Member Link ID],Table2[Benefit Name],0)=Lookups!$D$15),Lookups!$D$20,
IF(AND(Table2[[#This Row],[Member Type]]="Spouse",Table2[[#This Row],[Product Option]]="My Value Plus Life &amp; Funeral",_xlfn.XLOOKUP(B115,Table2[Main Member Link ID],Table2[Benefit Name],0)=Lookups!$D$16),"",
IF(AND(Table2[[#This Row],[Member Type]]="Spouse",Table2[[#This Row],[Product Option]]="My Value Plus Life &amp; Funeral",_xlfn.XLOOKUP(B115,Table2[Main Member Link ID],Table2[Benefit Name],0)=Lookups!$D$17),Lookups!$D$21,
IF(AND(Table2[[#This Row],[Member Type]]="Child",Table2[[#This Row],[Product Option]]="My Value Plus Life &amp; Funeral",_xlfn.XLOOKUP(B116,Table2[Main Member Link ID],Table2[Benefit Name],0)=Lookups!$D$14),"",
IF(AND(Table2[[#This Row],[Member Type]]="Child",Table2[[#This Row],[Product Option]]="My Value Plus Life &amp; Funeral",_xlfn.XLOOKUP(B116,Table2[Main Member Link ID],Table2[Benefit Name],0)=Lookups!$D$15),"",
IF(AND(Table2[[#This Row],[Member Type]]="Child",Table2[[#This Row],[Product Option]]="My Value Plus Life &amp; Funeral",_xlfn.XLOOKUP(B116,Table2[Main Member Link ID],Table2[Benefit Name],0)=Lookups!$D$16),Lookups!$D$24,
IF(AND(Table2[[#This Row],[Member Type]]="Child",Table2[[#This Row],[Product Option]]="My Value Plus Life &amp; Funeral",_xlfn.XLOOKUP(B116,Table2[Main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Funeral",_xlfn.XLOOKUP(B116,Table2[Main Member Link ID],Table2[Benefit Name],0)&lt;&gt;Lookups!$D$14),
IF(_xlfn.XLOOKUP(B116,Table2[Main Member Link ID],Table2[Benefit Name],0)=0,"",_xlfn.XLOOKUP(B116,Table2[Main Member Link ID],Table2[Benefit Name],0)),"")))))))))))))))</f>
        <v/>
      </c>
      <c r="AF116" s="327" t="str">
        <f>IF(AND(Table2[[#This Row],[Member Type]]="Main Member",Table2[[#This Row],[Product Option]]="My Value Plus Life &amp; Funeral"),Lookups!$D$15,
IF(AND(Table2[[#This Row],[Member Type]]="Spouse",Table2[[#This Row],[Product Option]]="My Value Plus Life &amp; Funeral",_xlfn.XLOOKUP(B116,Table2[Main Member Link ID],Table2[Benefit Name],0)=Lookups!$D$14),"",
IF(AND(Table2[[#This Row],[Member Type]]="Spouse",Table2[[#This Row],[Product Option]]="My Value Plus Life &amp; Funeral",_xlfn.XLOOKUP(B115,Table2[Main Member Link ID],Table2[Benefit Name],0)=Lookups!$D$16),"",
IF(AND(Table2[[#This Row],[Member Type]]="Spouse",Table2[[#This Row],[Product Option]]="My Value Plus Life &amp; Funeral",_xlfn.XLOOKUP(B115,Table2[Main Member Link ID],Table2[Benefit Name],0)=Lookups!$D$15),"",
IF(AND(Table2[[#This Row],[Member Type]]="Spouse",Table2[[#This Row],[Product Option]]="My Value Plus Life &amp; Funeral",_xlfn.XLOOKUP(B115,Table2[Main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Funeral",_xlfn.XLOOKUP(B116,Table2[Main Member Link ID],Table2[Benefit Name],0)&lt;&gt;Lookups!$D$15),
IF(_xlfn.XLOOKUP(B116,Table2[Main Member Link ID],Table2[Benefit Name],0)=0,"",_xlfn.XLOOKUP(B116,Table2[Main Member Link ID],Table2[Benefit Name],0)),"")
))))))</f>
        <v/>
      </c>
      <c r="AG116" s="327" t="str">
        <f>IF(AND(Table2[[#This Row],[Member Type]]="Main Member",Table2[[#This Row],[Product Option]]="My Value Plus Life &amp; Funeral"),Lookups!$D$16,
IF(AND(Table2[[#This Row],[Member Type]]="Spouse",Table2[[#This Row],[Product Option]]="My Value Plus Life &amp; Funeral",_xlfn.XLOOKUP(B116,Table2[Main Member Link ID],Table2[Benefit Name],0)=Lookups!$D$14),"",
IF(AND(Table2[[#This Row],[Member Type]]="Spouse",Table2[[#This Row],[Product Option]]="My Value Plus Life &amp; Funeral",_xlfn.XLOOKUP(B115,Table2[Main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Funeral",_xlfn.XLOOKUP(B116,Table2[Main Member Link ID],Table2[Benefit Name],0)&lt;&gt;Lookups!$D$16),
IF(_xlfn.XLOOKUP(B116,Table2[Main Member Link ID],Table2[Benefit Name],0)=0,"",_xlfn.XLOOKUP(B116,Table2[Main Member Link ID],Table2[Benefit Name],0)),"")
))))</f>
        <v/>
      </c>
      <c r="AH116" s="327" t="str">
        <f>IF(AND(Table2[[#This Row],[Member Type]]="Main Member",Table2[[#This Row],[Product Option]]="My Value Plus Life &amp; Funeral"),Lookups!$D$17,
IF(AND(Table2[[#This Row],[Member Type]]="Spouse",Table2[[#This Row],[Product Option]]="My Value Plus Life &amp; Funeral",_xlfn.XLOOKUP(B116,Table2[Main Member Link ID],Table2[Benefit Name],0)=Lookups!$D$14),"",
IF(AND(Table2[[#This Row],[Member Type]]="Spouse",Table2[[#This Row],[Product Option]]="My Value Plus Life &amp; Funeral",_xlfn.XLOOKUP(B115,Table2[Main Member Link ID],Table2[Benefit Name],0)=Lookups!$D$16),"",
IF(AND(Table2[[#This Row],[Member Type]]="Child",Table2[[#This Row],[Product Option]]="My Value Plus Life &amp; Funeral"),"",
IF(AND(Table2[[#This Row],[Member Type]]="Child",Table2[[#This Row],[Product Option]]="My Value Plus Life &amp; Funeral",_xlfn.XLOOKUP(B116,Table2[Main Member Link ID],Table2[Benefit Name],0)=Lookups!$D$15),"",
IF(AND(OR(Table2[[#This Row],[Member Type]]="Spouse",Table2[[#This Row],[Member Type]]="Child"),Table2[[#This Row],[Product Option]]="My Value Plus Life &amp; Funeral",_xlfn.XLOOKUP(B116,Table2[Main Member Link ID],Table2[Benefit Name],0)&lt;&gt;Lookups!$D$17),
IF(_xlfn.XLOOKUP(B116,Table2[Main Member Link ID],Table2[Benefit Name],0)=0,"",_xlfn.XLOOKUP(B116,Table2[Main Member Link ID],Table2[Benefit Name],0)),""))))))</f>
        <v/>
      </c>
      <c r="AI116" s="328" t="str">
        <f>IF(AND(Table2[[#This Row],[Member Type]]="Main Member",Table2[[#This Row],[Table Lookup for Life Cover]]="MM_LIFE",Table2[[#This Row],[Age Next Birthday]]&lt;56),1,
IF(AND(Table2[[#This Row],[Member Type]]="Main Member",Table2[[#This Row],[Table Lookup for Life Cover]]="MM_LIFE",Table2[[#This Row],[Age Next Birthday]]&gt;=56),2,
""))</f>
        <v/>
      </c>
      <c r="AJ116" s="328">
        <f>IF(OR(Table2[[#This Row],[Member Type]]="Main Member",Table2[[#This Row],[Main Member Link ID]]=B115),1,0)</f>
        <v>1</v>
      </c>
      <c r="AK116" s="328">
        <f>IF(Table2[[#This Row],[Member Type]]=0,0,
IF(OR(Table2[[#This Row],[Member Type]]="Main Member",Table2[[#This Row],[Main Member Link ID]]&lt;&gt;B116),COUNTIFS(B:B,Table2[[#This Row],[Main Member Link ID]]),
COUNTIFS(B:B,Table2[[#This Row],[Main Member Link ID]],A:A,Table2[[#This Row],[Member Type]])))</f>
        <v>0</v>
      </c>
    </row>
    <row r="117" spans="1:37" x14ac:dyDescent="0.3">
      <c r="A117" s="284">
        <f>Table13[[#This Row],[Member Type]]</f>
        <v>0</v>
      </c>
      <c r="B117" s="284">
        <f>Table13[[#This Row],[Main Member Link ID]]</f>
        <v>0</v>
      </c>
      <c r="C117" s="284">
        <f>Table13[[#This Row],[ID Number]]</f>
        <v>0</v>
      </c>
      <c r="D117" s="285">
        <f>Table13[[#This Row],[Date Of Birth]]</f>
        <v>0</v>
      </c>
      <c r="E117" s="285">
        <f>Table13[[#This Row],[Commencement Date]]</f>
        <v>0</v>
      </c>
      <c r="F117" s="284">
        <f t="shared" si="7"/>
        <v>1</v>
      </c>
      <c r="G117" s="284">
        <f t="shared" si="8"/>
        <v>25</v>
      </c>
      <c r="H117" s="286">
        <f>Table13[[#This Row],[Product Option]]</f>
        <v>0</v>
      </c>
      <c r="I117" s="284">
        <f>IF(AND($A117="Main Member",Table2[[#This Row],[Product Option]]="My Value Plus Life"),"MM_LIFE",
IF(AND($A117="Spouse",Table2[[#This Row],[Product Option]]="My Value Plus Life"),"SP_LIFE",
IF(AND($A117="Main Member",Table2[[#This Row],[Product Option]]="My Value Plus Life &amp; Funeral"),"MM_LIFE",
IF(AND($A117="Spouse",Table2[[#This Row],[Product Option]]="My Value Plus Life &amp; Funeral"),_xlfn.XLOOKUP(Table2[[#This Row],[Benefit Name]],Lookups!$D$18:$D$23,Lookups!$E$18:$E$23,0),
0))))</f>
        <v>0</v>
      </c>
      <c r="J117" s="284">
        <f>IF($I117="","",
IF($I117="MM_LIFE",INDEX('Quotation Tool'!$S$54:$V$60,MATCH($T117,'Quotation Tool'!$S$54:$S$60,0),4),
IF($I117="SP_LIFE",_xlfn.XLOOKUP(B116,$B:$B,$J:$J,0),0)))</f>
        <v>0</v>
      </c>
      <c r="K117" s="287">
        <f t="shared" ca="1" si="12"/>
        <v>0</v>
      </c>
      <c r="L117" s="288">
        <f t="shared" ca="1" si="13"/>
        <v>0</v>
      </c>
      <c r="M117" s="289">
        <f t="shared" ca="1" si="9"/>
        <v>0</v>
      </c>
      <c r="N117" s="286">
        <f>Table13[[#This Row],[Benefit Option]]</f>
        <v>0</v>
      </c>
      <c r="O117" s="284">
        <f>IF(OR(Table2[[#This Row],[Member Type]]="Spouse",Table2[[#This Row],[Member Type]]="Child"),0,
IF(_xlfn.XLOOKUP($N117,Lookups!$D$13:$D$27,Lookups!$F$13:$F$27,0)=Table2[[#This Row],[Table Lookup for Life Cover]],0,
_xlfn.XLOOKUP($N117,Lookups!$D$13:$D$27,Lookups!$F$13:$F$27,0)))</f>
        <v>0</v>
      </c>
      <c r="P117" s="284">
        <f>IF(Table2[[#This Row],[Table Lookup for Funeral]]=0,0,IFERROR(INDEX('Quotation Tool'!$S$54:$V$60,MATCH($T117,'Quotation Tool'!$S$54:$S$60,0),3),0))</f>
        <v>0</v>
      </c>
      <c r="Q117" s="288">
        <f ca="1">IF(OR(Table2[[#This Row],[Benefit Name]]="My Value Plus Life - Main Member",Table2[[#This Row],[Benefit Name]]="My Value Plus Life - Spouse"),0,
IFERROR(VLOOKUP($G117,INDIRECT($O117),$P117,FALSE),0))</f>
        <v>0</v>
      </c>
      <c r="R117" s="288">
        <f ca="1">IF(OR(Table2[[#This Row],[Benefit Name]]="My Value Plus Life - Main Member",Table2[[#This Row],[Benefit Name]]="My Value Plus Life - Spouse"),0,
IFERROR(VLOOKUP($G117,INDIRECT($O117),$P117+1,FALSE),0))</f>
        <v>0</v>
      </c>
      <c r="S117" s="289">
        <f t="shared" ca="1" si="10"/>
        <v>0</v>
      </c>
      <c r="T117" s="284" t="str">
        <f>IF(Table13[[#This Row],[Premium Waiver]]="","None",Table13[[#This Row],[Premium Waiver]])</f>
        <v>None</v>
      </c>
      <c r="U117" s="284">
        <f>Table13[[#This Row],[VAPs Options]]</f>
        <v>0</v>
      </c>
      <c r="V117" s="284">
        <f>Table13[[#This Row],[Annual Increase Option]]</f>
        <v>0</v>
      </c>
      <c r="W117" s="290">
        <f>Table13[[#This Row],[Life Cover Amount]]</f>
        <v>0</v>
      </c>
      <c r="X117" s="290">
        <f>Table13[[#This Row],[Funeral Cover Amount]]</f>
        <v>0</v>
      </c>
      <c r="Y11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1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17" s="301">
        <f t="shared" ca="1" si="11"/>
        <v>0</v>
      </c>
      <c r="AB117" s="298"/>
      <c r="AC117" s="326" t="str">
        <f>IF(Table2[[#This Row],[Member Type]]="Main Member",Lookups!$C$13,
IF(Table2[[#This Row],[Member Type]]="Spouse",_xlfn.XLOOKUP(B117,Table2[Main Member Link ID],Table2[Product Option],0),
IF(AND(Table2[[#This Row],[Member Type]]="Child",_xlfn.XLOOKUP(B117,Table2[Main Member Link ID],Table2[Product Option],0)&lt;&gt;"My Value Plus Life"),Lookups!$C$24,
IF(AND(OR(Table2[[#This Row],[Member Type]]="Parent",Table2[[#This Row],[Member Type]]="Extended"),_xlfn.XLOOKUP(B117,Table2[Main Member Link ID],Table2[Product Option],0)&lt;&gt;"My Value Plus Life"),Lookups!$C$26,""))))</f>
        <v/>
      </c>
      <c r="AD117" s="326" t="str">
        <f>IF(Table2[[#This Row],[Member Type]]="Main Member",Lookups!$C$14,"")</f>
        <v/>
      </c>
      <c r="AE11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Funeral",_xlfn.XLOOKUP(B117,Table2[Main Member Link ID],Table2[Benefit Name],0)=Lookups!$D$14),"",
IF(AND(Table2[[#This Row],[Member Type]]="Spouse",Table2[[#This Row],[Product Option]]="My Value Plus Life &amp; Funeral",_xlfn.XLOOKUP(B116,Table2[Main Member Link ID],Table2[Benefit Name],0)=Lookups!$D$15),Lookups!$D$20,
IF(AND(Table2[[#This Row],[Member Type]]="Spouse",Table2[[#This Row],[Product Option]]="My Value Plus Life &amp; Funeral",_xlfn.XLOOKUP(B116,Table2[Main Member Link ID],Table2[Benefit Name],0)=Lookups!$D$16),"",
IF(AND(Table2[[#This Row],[Member Type]]="Spouse",Table2[[#This Row],[Product Option]]="My Value Plus Life &amp; Funeral",_xlfn.XLOOKUP(B116,Table2[Main Member Link ID],Table2[Benefit Name],0)=Lookups!$D$17),Lookups!$D$21,
IF(AND(Table2[[#This Row],[Member Type]]="Child",Table2[[#This Row],[Product Option]]="My Value Plus Life &amp; Funeral",_xlfn.XLOOKUP(B117,Table2[Main Member Link ID],Table2[Benefit Name],0)=Lookups!$D$14),"",
IF(AND(Table2[[#This Row],[Member Type]]="Child",Table2[[#This Row],[Product Option]]="My Value Plus Life &amp; Funeral",_xlfn.XLOOKUP(B117,Table2[Main Member Link ID],Table2[Benefit Name],0)=Lookups!$D$15),"",
IF(AND(Table2[[#This Row],[Member Type]]="Child",Table2[[#This Row],[Product Option]]="My Value Plus Life &amp; Funeral",_xlfn.XLOOKUP(B117,Table2[Main Member Link ID],Table2[Benefit Name],0)=Lookups!$D$16),Lookups!$D$24,
IF(AND(Table2[[#This Row],[Member Type]]="Child",Table2[[#This Row],[Product Option]]="My Value Plus Life &amp; Funeral",_xlfn.XLOOKUP(B117,Table2[Main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Funeral",_xlfn.XLOOKUP(B117,Table2[Main Member Link ID],Table2[Benefit Name],0)&lt;&gt;Lookups!$D$14),
IF(_xlfn.XLOOKUP(B117,Table2[Main Member Link ID],Table2[Benefit Name],0)=0,"",_xlfn.XLOOKUP(B117,Table2[Main Member Link ID],Table2[Benefit Name],0)),"")))))))))))))))</f>
        <v/>
      </c>
      <c r="AF117" s="327" t="str">
        <f>IF(AND(Table2[[#This Row],[Member Type]]="Main Member",Table2[[#This Row],[Product Option]]="My Value Plus Life &amp; Funeral"),Lookups!$D$15,
IF(AND(Table2[[#This Row],[Member Type]]="Spouse",Table2[[#This Row],[Product Option]]="My Value Plus Life &amp; Funeral",_xlfn.XLOOKUP(B117,Table2[Main Member Link ID],Table2[Benefit Name],0)=Lookups!$D$14),"",
IF(AND(Table2[[#This Row],[Member Type]]="Spouse",Table2[[#This Row],[Product Option]]="My Value Plus Life &amp; Funeral",_xlfn.XLOOKUP(B116,Table2[Main Member Link ID],Table2[Benefit Name],0)=Lookups!$D$16),"",
IF(AND(Table2[[#This Row],[Member Type]]="Spouse",Table2[[#This Row],[Product Option]]="My Value Plus Life &amp; Funeral",_xlfn.XLOOKUP(B116,Table2[Main Member Link ID],Table2[Benefit Name],0)=Lookups!$D$15),"",
IF(AND(Table2[[#This Row],[Member Type]]="Spouse",Table2[[#This Row],[Product Option]]="My Value Plus Life &amp; Funeral",_xlfn.XLOOKUP(B116,Table2[Main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Funeral",_xlfn.XLOOKUP(B117,Table2[Main Member Link ID],Table2[Benefit Name],0)&lt;&gt;Lookups!$D$15),
IF(_xlfn.XLOOKUP(B117,Table2[Main Member Link ID],Table2[Benefit Name],0)=0,"",_xlfn.XLOOKUP(B117,Table2[Main Member Link ID],Table2[Benefit Name],0)),"")
))))))</f>
        <v/>
      </c>
      <c r="AG117" s="327" t="str">
        <f>IF(AND(Table2[[#This Row],[Member Type]]="Main Member",Table2[[#This Row],[Product Option]]="My Value Plus Life &amp; Funeral"),Lookups!$D$16,
IF(AND(Table2[[#This Row],[Member Type]]="Spouse",Table2[[#This Row],[Product Option]]="My Value Plus Life &amp; Funeral",_xlfn.XLOOKUP(B117,Table2[Main Member Link ID],Table2[Benefit Name],0)=Lookups!$D$14),"",
IF(AND(Table2[[#This Row],[Member Type]]="Spouse",Table2[[#This Row],[Product Option]]="My Value Plus Life &amp; Funeral",_xlfn.XLOOKUP(B116,Table2[Main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Funeral",_xlfn.XLOOKUP(B117,Table2[Main Member Link ID],Table2[Benefit Name],0)&lt;&gt;Lookups!$D$16),
IF(_xlfn.XLOOKUP(B117,Table2[Main Member Link ID],Table2[Benefit Name],0)=0,"",_xlfn.XLOOKUP(B117,Table2[Main Member Link ID],Table2[Benefit Name],0)),"")
))))</f>
        <v/>
      </c>
      <c r="AH117" s="327" t="str">
        <f>IF(AND(Table2[[#This Row],[Member Type]]="Main Member",Table2[[#This Row],[Product Option]]="My Value Plus Life &amp; Funeral"),Lookups!$D$17,
IF(AND(Table2[[#This Row],[Member Type]]="Spouse",Table2[[#This Row],[Product Option]]="My Value Plus Life &amp; Funeral",_xlfn.XLOOKUP(B117,Table2[Main Member Link ID],Table2[Benefit Name],0)=Lookups!$D$14),"",
IF(AND(Table2[[#This Row],[Member Type]]="Spouse",Table2[[#This Row],[Product Option]]="My Value Plus Life &amp; Funeral",_xlfn.XLOOKUP(B116,Table2[Main Member Link ID],Table2[Benefit Name],0)=Lookups!$D$16),"",
IF(AND(Table2[[#This Row],[Member Type]]="Child",Table2[[#This Row],[Product Option]]="My Value Plus Life &amp; Funeral"),"",
IF(AND(Table2[[#This Row],[Member Type]]="Child",Table2[[#This Row],[Product Option]]="My Value Plus Life &amp; Funeral",_xlfn.XLOOKUP(B117,Table2[Main Member Link ID],Table2[Benefit Name],0)=Lookups!$D$15),"",
IF(AND(OR(Table2[[#This Row],[Member Type]]="Spouse",Table2[[#This Row],[Member Type]]="Child"),Table2[[#This Row],[Product Option]]="My Value Plus Life &amp; Funeral",_xlfn.XLOOKUP(B117,Table2[Main Member Link ID],Table2[Benefit Name],0)&lt;&gt;Lookups!$D$17),
IF(_xlfn.XLOOKUP(B117,Table2[Main Member Link ID],Table2[Benefit Name],0)=0,"",_xlfn.XLOOKUP(B117,Table2[Main Member Link ID],Table2[Benefit Name],0)),""))))))</f>
        <v/>
      </c>
      <c r="AI117" s="328" t="str">
        <f>IF(AND(Table2[[#This Row],[Member Type]]="Main Member",Table2[[#This Row],[Table Lookup for Life Cover]]="MM_LIFE",Table2[[#This Row],[Age Next Birthday]]&lt;56),1,
IF(AND(Table2[[#This Row],[Member Type]]="Main Member",Table2[[#This Row],[Table Lookup for Life Cover]]="MM_LIFE",Table2[[#This Row],[Age Next Birthday]]&gt;=56),2,
""))</f>
        <v/>
      </c>
      <c r="AJ117" s="328">
        <f>IF(OR(Table2[[#This Row],[Member Type]]="Main Member",Table2[[#This Row],[Main Member Link ID]]=B116),1,0)</f>
        <v>1</v>
      </c>
      <c r="AK117" s="328">
        <f>IF(Table2[[#This Row],[Member Type]]=0,0,
IF(OR(Table2[[#This Row],[Member Type]]="Main Member",Table2[[#This Row],[Main Member Link ID]]&lt;&gt;B117),COUNTIFS(B:B,Table2[[#This Row],[Main Member Link ID]]),
COUNTIFS(B:B,Table2[[#This Row],[Main Member Link ID]],A:A,Table2[[#This Row],[Member Type]])))</f>
        <v>0</v>
      </c>
    </row>
    <row r="118" spans="1:37" x14ac:dyDescent="0.3">
      <c r="A118" s="284">
        <f>Table13[[#This Row],[Member Type]]</f>
        <v>0</v>
      </c>
      <c r="B118" s="284">
        <f>Table13[[#This Row],[Main Member Link ID]]</f>
        <v>0</v>
      </c>
      <c r="C118" s="284">
        <f>Table13[[#This Row],[ID Number]]</f>
        <v>0</v>
      </c>
      <c r="D118" s="285">
        <f>Table13[[#This Row],[Date Of Birth]]</f>
        <v>0</v>
      </c>
      <c r="E118" s="285">
        <f>Table13[[#This Row],[Commencement Date]]</f>
        <v>0</v>
      </c>
      <c r="F118" s="284">
        <f t="shared" si="7"/>
        <v>1</v>
      </c>
      <c r="G118" s="284">
        <f t="shared" si="8"/>
        <v>25</v>
      </c>
      <c r="H118" s="286">
        <f>Table13[[#This Row],[Product Option]]</f>
        <v>0</v>
      </c>
      <c r="I118" s="284">
        <f>IF(AND($A118="Main Member",Table2[[#This Row],[Product Option]]="My Value Plus Life"),"MM_LIFE",
IF(AND($A118="Spouse",Table2[[#This Row],[Product Option]]="My Value Plus Life"),"SP_LIFE",
IF(AND($A118="Main Member",Table2[[#This Row],[Product Option]]="My Value Plus Life &amp; Funeral"),"MM_LIFE",
IF(AND($A118="Spouse",Table2[[#This Row],[Product Option]]="My Value Plus Life &amp; Funeral"),_xlfn.XLOOKUP(Table2[[#This Row],[Benefit Name]],Lookups!$D$18:$D$23,Lookups!$E$18:$E$23,0),
0))))</f>
        <v>0</v>
      </c>
      <c r="J118" s="284">
        <f>IF($I118="","",
IF($I118="MM_LIFE",INDEX('Quotation Tool'!$S$54:$V$60,MATCH($T118,'Quotation Tool'!$S$54:$S$60,0),4),
IF($I118="SP_LIFE",_xlfn.XLOOKUP(B117,$B:$B,$J:$J,0),0)))</f>
        <v>0</v>
      </c>
      <c r="K118" s="287">
        <f t="shared" ca="1" si="12"/>
        <v>0</v>
      </c>
      <c r="L118" s="288">
        <f t="shared" ca="1" si="13"/>
        <v>0</v>
      </c>
      <c r="M118" s="289">
        <f t="shared" ca="1" si="9"/>
        <v>0</v>
      </c>
      <c r="N118" s="286">
        <f>Table13[[#This Row],[Benefit Option]]</f>
        <v>0</v>
      </c>
      <c r="O118" s="284">
        <f>IF(OR(Table2[[#This Row],[Member Type]]="Spouse",Table2[[#This Row],[Member Type]]="Child"),0,
IF(_xlfn.XLOOKUP($N118,Lookups!$D$13:$D$27,Lookups!$F$13:$F$27,0)=Table2[[#This Row],[Table Lookup for Life Cover]],0,
_xlfn.XLOOKUP($N118,Lookups!$D$13:$D$27,Lookups!$F$13:$F$27,0)))</f>
        <v>0</v>
      </c>
      <c r="P118" s="284">
        <f>IF(Table2[[#This Row],[Table Lookup for Funeral]]=0,0,IFERROR(INDEX('Quotation Tool'!$S$54:$V$60,MATCH($T118,'Quotation Tool'!$S$54:$S$60,0),3),0))</f>
        <v>0</v>
      </c>
      <c r="Q118" s="288">
        <f ca="1">IF(OR(Table2[[#This Row],[Benefit Name]]="My Value Plus Life - Main Member",Table2[[#This Row],[Benefit Name]]="My Value Plus Life - Spouse"),0,
IFERROR(VLOOKUP($G118,INDIRECT($O118),$P118,FALSE),0))</f>
        <v>0</v>
      </c>
      <c r="R118" s="288">
        <f ca="1">IF(OR(Table2[[#This Row],[Benefit Name]]="My Value Plus Life - Main Member",Table2[[#This Row],[Benefit Name]]="My Value Plus Life - Spouse"),0,
IFERROR(VLOOKUP($G118,INDIRECT($O118),$P118+1,FALSE),0))</f>
        <v>0</v>
      </c>
      <c r="S118" s="289">
        <f t="shared" ca="1" si="10"/>
        <v>0</v>
      </c>
      <c r="T118" s="284" t="str">
        <f>IF(Table13[[#This Row],[Premium Waiver]]="","None",Table13[[#This Row],[Premium Waiver]])</f>
        <v>None</v>
      </c>
      <c r="U118" s="284">
        <f>Table13[[#This Row],[VAPs Options]]</f>
        <v>0</v>
      </c>
      <c r="V118" s="284">
        <f>Table13[[#This Row],[Annual Increase Option]]</f>
        <v>0</v>
      </c>
      <c r="W118" s="290">
        <f>Table13[[#This Row],[Life Cover Amount]]</f>
        <v>0</v>
      </c>
      <c r="X118" s="290">
        <f>Table13[[#This Row],[Funeral Cover Amount]]</f>
        <v>0</v>
      </c>
      <c r="Y11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1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18" s="301">
        <f t="shared" ca="1" si="11"/>
        <v>0</v>
      </c>
      <c r="AB118" s="298"/>
      <c r="AC118" s="326" t="str">
        <f>IF(Table2[[#This Row],[Member Type]]="Main Member",Lookups!$C$13,
IF(Table2[[#This Row],[Member Type]]="Spouse",_xlfn.XLOOKUP(B118,Table2[Main Member Link ID],Table2[Product Option],0),
IF(AND(Table2[[#This Row],[Member Type]]="Child",_xlfn.XLOOKUP(B118,Table2[Main Member Link ID],Table2[Product Option],0)&lt;&gt;"My Value Plus Life"),Lookups!$C$24,
IF(AND(OR(Table2[[#This Row],[Member Type]]="Parent",Table2[[#This Row],[Member Type]]="Extended"),_xlfn.XLOOKUP(B118,Table2[Main Member Link ID],Table2[Product Option],0)&lt;&gt;"My Value Plus Life"),Lookups!$C$26,""))))</f>
        <v/>
      </c>
      <c r="AD118" s="326" t="str">
        <f>IF(Table2[[#This Row],[Member Type]]="Main Member",Lookups!$C$14,"")</f>
        <v/>
      </c>
      <c r="AE11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Funeral",_xlfn.XLOOKUP(B118,Table2[Main Member Link ID],Table2[Benefit Name],0)=Lookups!$D$14),"",
IF(AND(Table2[[#This Row],[Member Type]]="Spouse",Table2[[#This Row],[Product Option]]="My Value Plus Life &amp; Funeral",_xlfn.XLOOKUP(B117,Table2[Main Member Link ID],Table2[Benefit Name],0)=Lookups!$D$15),Lookups!$D$20,
IF(AND(Table2[[#This Row],[Member Type]]="Spouse",Table2[[#This Row],[Product Option]]="My Value Plus Life &amp; Funeral",_xlfn.XLOOKUP(B117,Table2[Main Member Link ID],Table2[Benefit Name],0)=Lookups!$D$16),"",
IF(AND(Table2[[#This Row],[Member Type]]="Spouse",Table2[[#This Row],[Product Option]]="My Value Plus Life &amp; Funeral",_xlfn.XLOOKUP(B117,Table2[Main Member Link ID],Table2[Benefit Name],0)=Lookups!$D$17),Lookups!$D$21,
IF(AND(Table2[[#This Row],[Member Type]]="Child",Table2[[#This Row],[Product Option]]="My Value Plus Life &amp; Funeral",_xlfn.XLOOKUP(B118,Table2[Main Member Link ID],Table2[Benefit Name],0)=Lookups!$D$14),"",
IF(AND(Table2[[#This Row],[Member Type]]="Child",Table2[[#This Row],[Product Option]]="My Value Plus Life &amp; Funeral",_xlfn.XLOOKUP(B118,Table2[Main Member Link ID],Table2[Benefit Name],0)=Lookups!$D$15),"",
IF(AND(Table2[[#This Row],[Member Type]]="Child",Table2[[#This Row],[Product Option]]="My Value Plus Life &amp; Funeral",_xlfn.XLOOKUP(B118,Table2[Main Member Link ID],Table2[Benefit Name],0)=Lookups!$D$16),Lookups!$D$24,
IF(AND(Table2[[#This Row],[Member Type]]="Child",Table2[[#This Row],[Product Option]]="My Value Plus Life &amp; Funeral",_xlfn.XLOOKUP(B118,Table2[Main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Funeral",_xlfn.XLOOKUP(B118,Table2[Main Member Link ID],Table2[Benefit Name],0)&lt;&gt;Lookups!$D$14),
IF(_xlfn.XLOOKUP(B118,Table2[Main Member Link ID],Table2[Benefit Name],0)=0,"",_xlfn.XLOOKUP(B118,Table2[Main Member Link ID],Table2[Benefit Name],0)),"")))))))))))))))</f>
        <v/>
      </c>
      <c r="AF118" s="327" t="str">
        <f>IF(AND(Table2[[#This Row],[Member Type]]="Main Member",Table2[[#This Row],[Product Option]]="My Value Plus Life &amp; Funeral"),Lookups!$D$15,
IF(AND(Table2[[#This Row],[Member Type]]="Spouse",Table2[[#This Row],[Product Option]]="My Value Plus Life &amp; Funeral",_xlfn.XLOOKUP(B118,Table2[Main Member Link ID],Table2[Benefit Name],0)=Lookups!$D$14),"",
IF(AND(Table2[[#This Row],[Member Type]]="Spouse",Table2[[#This Row],[Product Option]]="My Value Plus Life &amp; Funeral",_xlfn.XLOOKUP(B117,Table2[Main Member Link ID],Table2[Benefit Name],0)=Lookups!$D$16),"",
IF(AND(Table2[[#This Row],[Member Type]]="Spouse",Table2[[#This Row],[Product Option]]="My Value Plus Life &amp; Funeral",_xlfn.XLOOKUP(B117,Table2[Main Member Link ID],Table2[Benefit Name],0)=Lookups!$D$15),"",
IF(AND(Table2[[#This Row],[Member Type]]="Spouse",Table2[[#This Row],[Product Option]]="My Value Plus Life &amp; Funeral",_xlfn.XLOOKUP(B117,Table2[Main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Funeral",_xlfn.XLOOKUP(B118,Table2[Main Member Link ID],Table2[Benefit Name],0)&lt;&gt;Lookups!$D$15),
IF(_xlfn.XLOOKUP(B118,Table2[Main Member Link ID],Table2[Benefit Name],0)=0,"",_xlfn.XLOOKUP(B118,Table2[Main Member Link ID],Table2[Benefit Name],0)),"")
))))))</f>
        <v/>
      </c>
      <c r="AG118" s="327" t="str">
        <f>IF(AND(Table2[[#This Row],[Member Type]]="Main Member",Table2[[#This Row],[Product Option]]="My Value Plus Life &amp; Funeral"),Lookups!$D$16,
IF(AND(Table2[[#This Row],[Member Type]]="Spouse",Table2[[#This Row],[Product Option]]="My Value Plus Life &amp; Funeral",_xlfn.XLOOKUP(B118,Table2[Main Member Link ID],Table2[Benefit Name],0)=Lookups!$D$14),"",
IF(AND(Table2[[#This Row],[Member Type]]="Spouse",Table2[[#This Row],[Product Option]]="My Value Plus Life &amp; Funeral",_xlfn.XLOOKUP(B117,Table2[Main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Funeral",_xlfn.XLOOKUP(B118,Table2[Main Member Link ID],Table2[Benefit Name],0)&lt;&gt;Lookups!$D$16),
IF(_xlfn.XLOOKUP(B118,Table2[Main Member Link ID],Table2[Benefit Name],0)=0,"",_xlfn.XLOOKUP(B118,Table2[Main Member Link ID],Table2[Benefit Name],0)),"")
))))</f>
        <v/>
      </c>
      <c r="AH118" s="327" t="str">
        <f>IF(AND(Table2[[#This Row],[Member Type]]="Main Member",Table2[[#This Row],[Product Option]]="My Value Plus Life &amp; Funeral"),Lookups!$D$17,
IF(AND(Table2[[#This Row],[Member Type]]="Spouse",Table2[[#This Row],[Product Option]]="My Value Plus Life &amp; Funeral",_xlfn.XLOOKUP(B118,Table2[Main Member Link ID],Table2[Benefit Name],0)=Lookups!$D$14),"",
IF(AND(Table2[[#This Row],[Member Type]]="Spouse",Table2[[#This Row],[Product Option]]="My Value Plus Life &amp; Funeral",_xlfn.XLOOKUP(B117,Table2[Main Member Link ID],Table2[Benefit Name],0)=Lookups!$D$16),"",
IF(AND(Table2[[#This Row],[Member Type]]="Child",Table2[[#This Row],[Product Option]]="My Value Plus Life &amp; Funeral"),"",
IF(AND(Table2[[#This Row],[Member Type]]="Child",Table2[[#This Row],[Product Option]]="My Value Plus Life &amp; Funeral",_xlfn.XLOOKUP(B118,Table2[Main Member Link ID],Table2[Benefit Name],0)=Lookups!$D$15),"",
IF(AND(OR(Table2[[#This Row],[Member Type]]="Spouse",Table2[[#This Row],[Member Type]]="Child"),Table2[[#This Row],[Product Option]]="My Value Plus Life &amp; Funeral",_xlfn.XLOOKUP(B118,Table2[Main Member Link ID],Table2[Benefit Name],0)&lt;&gt;Lookups!$D$17),
IF(_xlfn.XLOOKUP(B118,Table2[Main Member Link ID],Table2[Benefit Name],0)=0,"",_xlfn.XLOOKUP(B118,Table2[Main Member Link ID],Table2[Benefit Name],0)),""))))))</f>
        <v/>
      </c>
      <c r="AI118" s="328" t="str">
        <f>IF(AND(Table2[[#This Row],[Member Type]]="Main Member",Table2[[#This Row],[Table Lookup for Life Cover]]="MM_LIFE",Table2[[#This Row],[Age Next Birthday]]&lt;56),1,
IF(AND(Table2[[#This Row],[Member Type]]="Main Member",Table2[[#This Row],[Table Lookup for Life Cover]]="MM_LIFE",Table2[[#This Row],[Age Next Birthday]]&gt;=56),2,
""))</f>
        <v/>
      </c>
      <c r="AJ118" s="328">
        <f>IF(OR(Table2[[#This Row],[Member Type]]="Main Member",Table2[[#This Row],[Main Member Link ID]]=B117),1,0)</f>
        <v>1</v>
      </c>
      <c r="AK118" s="328">
        <f>IF(Table2[[#This Row],[Member Type]]=0,0,
IF(OR(Table2[[#This Row],[Member Type]]="Main Member",Table2[[#This Row],[Main Member Link ID]]&lt;&gt;B118),COUNTIFS(B:B,Table2[[#This Row],[Main Member Link ID]]),
COUNTIFS(B:B,Table2[[#This Row],[Main Member Link ID]],A:A,Table2[[#This Row],[Member Type]])))</f>
        <v>0</v>
      </c>
    </row>
    <row r="119" spans="1:37" x14ac:dyDescent="0.3">
      <c r="A119" s="284">
        <f>Table13[[#This Row],[Member Type]]</f>
        <v>0</v>
      </c>
      <c r="B119" s="284">
        <f>Table13[[#This Row],[Main Member Link ID]]</f>
        <v>0</v>
      </c>
      <c r="C119" s="284">
        <f>Table13[[#This Row],[ID Number]]</f>
        <v>0</v>
      </c>
      <c r="D119" s="285">
        <f>Table13[[#This Row],[Date Of Birth]]</f>
        <v>0</v>
      </c>
      <c r="E119" s="285">
        <f>Table13[[#This Row],[Commencement Date]]</f>
        <v>0</v>
      </c>
      <c r="F119" s="284">
        <f t="shared" si="7"/>
        <v>1</v>
      </c>
      <c r="G119" s="284">
        <f t="shared" si="8"/>
        <v>25</v>
      </c>
      <c r="H119" s="286">
        <f>Table13[[#This Row],[Product Option]]</f>
        <v>0</v>
      </c>
      <c r="I119" s="284">
        <f>IF(AND($A119="Main Member",Table2[[#This Row],[Product Option]]="My Value Plus Life"),"MM_LIFE",
IF(AND($A119="Spouse",Table2[[#This Row],[Product Option]]="My Value Plus Life"),"SP_LIFE",
IF(AND($A119="Main Member",Table2[[#This Row],[Product Option]]="My Value Plus Life &amp; Funeral"),"MM_LIFE",
IF(AND($A119="Spouse",Table2[[#This Row],[Product Option]]="My Value Plus Life &amp; Funeral"),_xlfn.XLOOKUP(Table2[[#This Row],[Benefit Name]],Lookups!$D$18:$D$23,Lookups!$E$18:$E$23,0),
0))))</f>
        <v>0</v>
      </c>
      <c r="J119" s="284">
        <f>IF($I119="","",
IF($I119="MM_LIFE",INDEX('Quotation Tool'!$S$54:$V$60,MATCH($T119,'Quotation Tool'!$S$54:$S$60,0),4),
IF($I119="SP_LIFE",_xlfn.XLOOKUP(B118,$B:$B,$J:$J,0),0)))</f>
        <v>0</v>
      </c>
      <c r="K119" s="287">
        <f t="shared" ca="1" si="12"/>
        <v>0</v>
      </c>
      <c r="L119" s="288">
        <f t="shared" ca="1" si="13"/>
        <v>0</v>
      </c>
      <c r="M119" s="289">
        <f t="shared" ca="1" si="9"/>
        <v>0</v>
      </c>
      <c r="N119" s="286">
        <f>Table13[[#This Row],[Benefit Option]]</f>
        <v>0</v>
      </c>
      <c r="O119" s="284">
        <f>IF(OR(Table2[[#This Row],[Member Type]]="Spouse",Table2[[#This Row],[Member Type]]="Child"),0,
IF(_xlfn.XLOOKUP($N119,Lookups!$D$13:$D$27,Lookups!$F$13:$F$27,0)=Table2[[#This Row],[Table Lookup for Life Cover]],0,
_xlfn.XLOOKUP($N119,Lookups!$D$13:$D$27,Lookups!$F$13:$F$27,0)))</f>
        <v>0</v>
      </c>
      <c r="P119" s="284">
        <f>IF(Table2[[#This Row],[Table Lookup for Funeral]]=0,0,IFERROR(INDEX('Quotation Tool'!$S$54:$V$60,MATCH($T119,'Quotation Tool'!$S$54:$S$60,0),3),0))</f>
        <v>0</v>
      </c>
      <c r="Q119" s="288">
        <f ca="1">IF(OR(Table2[[#This Row],[Benefit Name]]="My Value Plus Life - Main Member",Table2[[#This Row],[Benefit Name]]="My Value Plus Life - Spouse"),0,
IFERROR(VLOOKUP($G119,INDIRECT($O119),$P119,FALSE),0))</f>
        <v>0</v>
      </c>
      <c r="R119" s="288">
        <f ca="1">IF(OR(Table2[[#This Row],[Benefit Name]]="My Value Plus Life - Main Member",Table2[[#This Row],[Benefit Name]]="My Value Plus Life - Spouse"),0,
IFERROR(VLOOKUP($G119,INDIRECT($O119),$P119+1,FALSE),0))</f>
        <v>0</v>
      </c>
      <c r="S119" s="289">
        <f t="shared" ca="1" si="10"/>
        <v>0</v>
      </c>
      <c r="T119" s="284" t="str">
        <f>IF(Table13[[#This Row],[Premium Waiver]]="","None",Table13[[#This Row],[Premium Waiver]])</f>
        <v>None</v>
      </c>
      <c r="U119" s="284">
        <f>Table13[[#This Row],[VAPs Options]]</f>
        <v>0</v>
      </c>
      <c r="V119" s="284">
        <f>Table13[[#This Row],[Annual Increase Option]]</f>
        <v>0</v>
      </c>
      <c r="W119" s="290">
        <f>Table13[[#This Row],[Life Cover Amount]]</f>
        <v>0</v>
      </c>
      <c r="X119" s="290">
        <f>Table13[[#This Row],[Funeral Cover Amount]]</f>
        <v>0</v>
      </c>
      <c r="Y11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1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19" s="301">
        <f t="shared" ca="1" si="11"/>
        <v>0</v>
      </c>
      <c r="AB119" s="298"/>
      <c r="AC119" s="326" t="str">
        <f>IF(Table2[[#This Row],[Member Type]]="Main Member",Lookups!$C$13,
IF(Table2[[#This Row],[Member Type]]="Spouse",_xlfn.XLOOKUP(B119,Table2[Main Member Link ID],Table2[Product Option],0),
IF(AND(Table2[[#This Row],[Member Type]]="Child",_xlfn.XLOOKUP(B119,Table2[Main Member Link ID],Table2[Product Option],0)&lt;&gt;"My Value Plus Life"),Lookups!$C$24,
IF(AND(OR(Table2[[#This Row],[Member Type]]="Parent",Table2[[#This Row],[Member Type]]="Extended"),_xlfn.XLOOKUP(B119,Table2[Main Member Link ID],Table2[Product Option],0)&lt;&gt;"My Value Plus Life"),Lookups!$C$26,""))))</f>
        <v/>
      </c>
      <c r="AD119" s="326" t="str">
        <f>IF(Table2[[#This Row],[Member Type]]="Main Member",Lookups!$C$14,"")</f>
        <v/>
      </c>
      <c r="AE11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Funeral",_xlfn.XLOOKUP(B119,Table2[Main Member Link ID],Table2[Benefit Name],0)=Lookups!$D$14),"",
IF(AND(Table2[[#This Row],[Member Type]]="Spouse",Table2[[#This Row],[Product Option]]="My Value Plus Life &amp; Funeral",_xlfn.XLOOKUP(B118,Table2[Main Member Link ID],Table2[Benefit Name],0)=Lookups!$D$15),Lookups!$D$20,
IF(AND(Table2[[#This Row],[Member Type]]="Spouse",Table2[[#This Row],[Product Option]]="My Value Plus Life &amp; Funeral",_xlfn.XLOOKUP(B118,Table2[Main Member Link ID],Table2[Benefit Name],0)=Lookups!$D$16),"",
IF(AND(Table2[[#This Row],[Member Type]]="Spouse",Table2[[#This Row],[Product Option]]="My Value Plus Life &amp; Funeral",_xlfn.XLOOKUP(B118,Table2[Main Member Link ID],Table2[Benefit Name],0)=Lookups!$D$17),Lookups!$D$21,
IF(AND(Table2[[#This Row],[Member Type]]="Child",Table2[[#This Row],[Product Option]]="My Value Plus Life &amp; Funeral",_xlfn.XLOOKUP(B119,Table2[Main Member Link ID],Table2[Benefit Name],0)=Lookups!$D$14),"",
IF(AND(Table2[[#This Row],[Member Type]]="Child",Table2[[#This Row],[Product Option]]="My Value Plus Life &amp; Funeral",_xlfn.XLOOKUP(B119,Table2[Main Member Link ID],Table2[Benefit Name],0)=Lookups!$D$15),"",
IF(AND(Table2[[#This Row],[Member Type]]="Child",Table2[[#This Row],[Product Option]]="My Value Plus Life &amp; Funeral",_xlfn.XLOOKUP(B119,Table2[Main Member Link ID],Table2[Benefit Name],0)=Lookups!$D$16),Lookups!$D$24,
IF(AND(Table2[[#This Row],[Member Type]]="Child",Table2[[#This Row],[Product Option]]="My Value Plus Life &amp; Funeral",_xlfn.XLOOKUP(B119,Table2[Main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Funeral",_xlfn.XLOOKUP(B119,Table2[Main Member Link ID],Table2[Benefit Name],0)&lt;&gt;Lookups!$D$14),
IF(_xlfn.XLOOKUP(B119,Table2[Main Member Link ID],Table2[Benefit Name],0)=0,"",_xlfn.XLOOKUP(B119,Table2[Main Member Link ID],Table2[Benefit Name],0)),"")))))))))))))))</f>
        <v/>
      </c>
      <c r="AF119" s="327" t="str">
        <f>IF(AND(Table2[[#This Row],[Member Type]]="Main Member",Table2[[#This Row],[Product Option]]="My Value Plus Life &amp; Funeral"),Lookups!$D$15,
IF(AND(Table2[[#This Row],[Member Type]]="Spouse",Table2[[#This Row],[Product Option]]="My Value Plus Life &amp; Funeral",_xlfn.XLOOKUP(B119,Table2[Main Member Link ID],Table2[Benefit Name],0)=Lookups!$D$14),"",
IF(AND(Table2[[#This Row],[Member Type]]="Spouse",Table2[[#This Row],[Product Option]]="My Value Plus Life &amp; Funeral",_xlfn.XLOOKUP(B118,Table2[Main Member Link ID],Table2[Benefit Name],0)=Lookups!$D$16),"",
IF(AND(Table2[[#This Row],[Member Type]]="Spouse",Table2[[#This Row],[Product Option]]="My Value Plus Life &amp; Funeral",_xlfn.XLOOKUP(B118,Table2[Main Member Link ID],Table2[Benefit Name],0)=Lookups!$D$15),"",
IF(AND(Table2[[#This Row],[Member Type]]="Spouse",Table2[[#This Row],[Product Option]]="My Value Plus Life &amp; Funeral",_xlfn.XLOOKUP(B118,Table2[Main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Funeral",_xlfn.XLOOKUP(B119,Table2[Main Member Link ID],Table2[Benefit Name],0)&lt;&gt;Lookups!$D$15),
IF(_xlfn.XLOOKUP(B119,Table2[Main Member Link ID],Table2[Benefit Name],0)=0,"",_xlfn.XLOOKUP(B119,Table2[Main Member Link ID],Table2[Benefit Name],0)),"")
))))))</f>
        <v/>
      </c>
      <c r="AG119" s="327" t="str">
        <f>IF(AND(Table2[[#This Row],[Member Type]]="Main Member",Table2[[#This Row],[Product Option]]="My Value Plus Life &amp; Funeral"),Lookups!$D$16,
IF(AND(Table2[[#This Row],[Member Type]]="Spouse",Table2[[#This Row],[Product Option]]="My Value Plus Life &amp; Funeral",_xlfn.XLOOKUP(B119,Table2[Main Member Link ID],Table2[Benefit Name],0)=Lookups!$D$14),"",
IF(AND(Table2[[#This Row],[Member Type]]="Spouse",Table2[[#This Row],[Product Option]]="My Value Plus Life &amp; Funeral",_xlfn.XLOOKUP(B118,Table2[Main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Funeral",_xlfn.XLOOKUP(B119,Table2[Main Member Link ID],Table2[Benefit Name],0)&lt;&gt;Lookups!$D$16),
IF(_xlfn.XLOOKUP(B119,Table2[Main Member Link ID],Table2[Benefit Name],0)=0,"",_xlfn.XLOOKUP(B119,Table2[Main Member Link ID],Table2[Benefit Name],0)),"")
))))</f>
        <v/>
      </c>
      <c r="AH119" s="327" t="str">
        <f>IF(AND(Table2[[#This Row],[Member Type]]="Main Member",Table2[[#This Row],[Product Option]]="My Value Plus Life &amp; Funeral"),Lookups!$D$17,
IF(AND(Table2[[#This Row],[Member Type]]="Spouse",Table2[[#This Row],[Product Option]]="My Value Plus Life &amp; Funeral",_xlfn.XLOOKUP(B119,Table2[Main Member Link ID],Table2[Benefit Name],0)=Lookups!$D$14),"",
IF(AND(Table2[[#This Row],[Member Type]]="Spouse",Table2[[#This Row],[Product Option]]="My Value Plus Life &amp; Funeral",_xlfn.XLOOKUP(B118,Table2[Main Member Link ID],Table2[Benefit Name],0)=Lookups!$D$16),"",
IF(AND(Table2[[#This Row],[Member Type]]="Child",Table2[[#This Row],[Product Option]]="My Value Plus Life &amp; Funeral"),"",
IF(AND(Table2[[#This Row],[Member Type]]="Child",Table2[[#This Row],[Product Option]]="My Value Plus Life &amp; Funeral",_xlfn.XLOOKUP(B119,Table2[Main Member Link ID],Table2[Benefit Name],0)=Lookups!$D$15),"",
IF(AND(OR(Table2[[#This Row],[Member Type]]="Spouse",Table2[[#This Row],[Member Type]]="Child"),Table2[[#This Row],[Product Option]]="My Value Plus Life &amp; Funeral",_xlfn.XLOOKUP(B119,Table2[Main Member Link ID],Table2[Benefit Name],0)&lt;&gt;Lookups!$D$17),
IF(_xlfn.XLOOKUP(B119,Table2[Main Member Link ID],Table2[Benefit Name],0)=0,"",_xlfn.XLOOKUP(B119,Table2[Main Member Link ID],Table2[Benefit Name],0)),""))))))</f>
        <v/>
      </c>
      <c r="AI119" s="328" t="str">
        <f>IF(AND(Table2[[#This Row],[Member Type]]="Main Member",Table2[[#This Row],[Table Lookup for Life Cover]]="MM_LIFE",Table2[[#This Row],[Age Next Birthday]]&lt;56),1,
IF(AND(Table2[[#This Row],[Member Type]]="Main Member",Table2[[#This Row],[Table Lookup for Life Cover]]="MM_LIFE",Table2[[#This Row],[Age Next Birthday]]&gt;=56),2,
""))</f>
        <v/>
      </c>
      <c r="AJ119" s="328">
        <f>IF(OR(Table2[[#This Row],[Member Type]]="Main Member",Table2[[#This Row],[Main Member Link ID]]=B118),1,0)</f>
        <v>1</v>
      </c>
      <c r="AK119" s="328">
        <f>IF(Table2[[#This Row],[Member Type]]=0,0,
IF(OR(Table2[[#This Row],[Member Type]]="Main Member",Table2[[#This Row],[Main Member Link ID]]&lt;&gt;B119),COUNTIFS(B:B,Table2[[#This Row],[Main Member Link ID]]),
COUNTIFS(B:B,Table2[[#This Row],[Main Member Link ID]],A:A,Table2[[#This Row],[Member Type]])))</f>
        <v>0</v>
      </c>
    </row>
    <row r="120" spans="1:37" x14ac:dyDescent="0.3">
      <c r="A120" s="284">
        <f>Table13[[#This Row],[Member Type]]</f>
        <v>0</v>
      </c>
      <c r="B120" s="284">
        <f>Table13[[#This Row],[Main Member Link ID]]</f>
        <v>0</v>
      </c>
      <c r="C120" s="284">
        <f>Table13[[#This Row],[ID Number]]</f>
        <v>0</v>
      </c>
      <c r="D120" s="285">
        <f>Table13[[#This Row],[Date Of Birth]]</f>
        <v>0</v>
      </c>
      <c r="E120" s="285">
        <f>Table13[[#This Row],[Commencement Date]]</f>
        <v>0</v>
      </c>
      <c r="F120" s="284">
        <f t="shared" si="7"/>
        <v>1</v>
      </c>
      <c r="G120" s="284">
        <f t="shared" si="8"/>
        <v>25</v>
      </c>
      <c r="H120" s="286">
        <f>Table13[[#This Row],[Product Option]]</f>
        <v>0</v>
      </c>
      <c r="I120" s="284">
        <f>IF(AND($A120="Main Member",Table2[[#This Row],[Product Option]]="My Value Plus Life"),"MM_LIFE",
IF(AND($A120="Spouse",Table2[[#This Row],[Product Option]]="My Value Plus Life"),"SP_LIFE",
IF(AND($A120="Main Member",Table2[[#This Row],[Product Option]]="My Value Plus Life &amp; Funeral"),"MM_LIFE",
IF(AND($A120="Spouse",Table2[[#This Row],[Product Option]]="My Value Plus Life &amp; Funeral"),_xlfn.XLOOKUP(Table2[[#This Row],[Benefit Name]],Lookups!$D$18:$D$23,Lookups!$E$18:$E$23,0),
0))))</f>
        <v>0</v>
      </c>
      <c r="J120" s="284">
        <f>IF($I120="","",
IF($I120="MM_LIFE",INDEX('Quotation Tool'!$S$54:$V$60,MATCH($T120,'Quotation Tool'!$S$54:$S$60,0),4),
IF($I120="SP_LIFE",_xlfn.XLOOKUP(B119,$B:$B,$J:$J,0),0)))</f>
        <v>0</v>
      </c>
      <c r="K120" s="287">
        <f t="shared" ca="1" si="12"/>
        <v>0</v>
      </c>
      <c r="L120" s="288">
        <f t="shared" ca="1" si="13"/>
        <v>0</v>
      </c>
      <c r="M120" s="289">
        <f t="shared" ca="1" si="9"/>
        <v>0</v>
      </c>
      <c r="N120" s="286">
        <f>Table13[[#This Row],[Benefit Option]]</f>
        <v>0</v>
      </c>
      <c r="O120" s="284">
        <f>IF(OR(Table2[[#This Row],[Member Type]]="Spouse",Table2[[#This Row],[Member Type]]="Child"),0,
IF(_xlfn.XLOOKUP($N120,Lookups!$D$13:$D$27,Lookups!$F$13:$F$27,0)=Table2[[#This Row],[Table Lookup for Life Cover]],0,
_xlfn.XLOOKUP($N120,Lookups!$D$13:$D$27,Lookups!$F$13:$F$27,0)))</f>
        <v>0</v>
      </c>
      <c r="P120" s="284">
        <f>IF(Table2[[#This Row],[Table Lookup for Funeral]]=0,0,IFERROR(INDEX('Quotation Tool'!$S$54:$V$60,MATCH($T120,'Quotation Tool'!$S$54:$S$60,0),3),0))</f>
        <v>0</v>
      </c>
      <c r="Q120" s="288">
        <f ca="1">IF(OR(Table2[[#This Row],[Benefit Name]]="My Value Plus Life - Main Member",Table2[[#This Row],[Benefit Name]]="My Value Plus Life - Spouse"),0,
IFERROR(VLOOKUP($G120,INDIRECT($O120),$P120,FALSE),0))</f>
        <v>0</v>
      </c>
      <c r="R120" s="288">
        <f ca="1">IF(OR(Table2[[#This Row],[Benefit Name]]="My Value Plus Life - Main Member",Table2[[#This Row],[Benefit Name]]="My Value Plus Life - Spouse"),0,
IFERROR(VLOOKUP($G120,INDIRECT($O120),$P120+1,FALSE),0))</f>
        <v>0</v>
      </c>
      <c r="S120" s="289">
        <f t="shared" ca="1" si="10"/>
        <v>0</v>
      </c>
      <c r="T120" s="284" t="str">
        <f>IF(Table13[[#This Row],[Premium Waiver]]="","None",Table13[[#This Row],[Premium Waiver]])</f>
        <v>None</v>
      </c>
      <c r="U120" s="284">
        <f>Table13[[#This Row],[VAPs Options]]</f>
        <v>0</v>
      </c>
      <c r="V120" s="284">
        <f>Table13[[#This Row],[Annual Increase Option]]</f>
        <v>0</v>
      </c>
      <c r="W120" s="290">
        <f>Table13[[#This Row],[Life Cover Amount]]</f>
        <v>0</v>
      </c>
      <c r="X120" s="290">
        <f>Table13[[#This Row],[Funeral Cover Amount]]</f>
        <v>0</v>
      </c>
      <c r="Y12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2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20" s="301">
        <f t="shared" ca="1" si="11"/>
        <v>0</v>
      </c>
      <c r="AB120" s="298"/>
      <c r="AC120" s="326" t="str">
        <f>IF(Table2[[#This Row],[Member Type]]="Main Member",Lookups!$C$13,
IF(Table2[[#This Row],[Member Type]]="Spouse",_xlfn.XLOOKUP(B120,Table2[Main Member Link ID],Table2[Product Option],0),
IF(AND(Table2[[#This Row],[Member Type]]="Child",_xlfn.XLOOKUP(B120,Table2[Main Member Link ID],Table2[Product Option],0)&lt;&gt;"My Value Plus Life"),Lookups!$C$24,
IF(AND(OR(Table2[[#This Row],[Member Type]]="Parent",Table2[[#This Row],[Member Type]]="Extended"),_xlfn.XLOOKUP(B120,Table2[Main Member Link ID],Table2[Product Option],0)&lt;&gt;"My Value Plus Life"),Lookups!$C$26,""))))</f>
        <v/>
      </c>
      <c r="AD120" s="326" t="str">
        <f>IF(Table2[[#This Row],[Member Type]]="Main Member",Lookups!$C$14,"")</f>
        <v/>
      </c>
      <c r="AE12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Funeral",_xlfn.XLOOKUP(B120,Table2[Main Member Link ID],Table2[Benefit Name],0)=Lookups!$D$14),"",
IF(AND(Table2[[#This Row],[Member Type]]="Spouse",Table2[[#This Row],[Product Option]]="My Value Plus Life &amp; Funeral",_xlfn.XLOOKUP(B119,Table2[Main Member Link ID],Table2[Benefit Name],0)=Lookups!$D$15),Lookups!$D$20,
IF(AND(Table2[[#This Row],[Member Type]]="Spouse",Table2[[#This Row],[Product Option]]="My Value Plus Life &amp; Funeral",_xlfn.XLOOKUP(B119,Table2[Main Member Link ID],Table2[Benefit Name],0)=Lookups!$D$16),"",
IF(AND(Table2[[#This Row],[Member Type]]="Spouse",Table2[[#This Row],[Product Option]]="My Value Plus Life &amp; Funeral",_xlfn.XLOOKUP(B119,Table2[Main Member Link ID],Table2[Benefit Name],0)=Lookups!$D$17),Lookups!$D$21,
IF(AND(Table2[[#This Row],[Member Type]]="Child",Table2[[#This Row],[Product Option]]="My Value Plus Life &amp; Funeral",_xlfn.XLOOKUP(B120,Table2[Main Member Link ID],Table2[Benefit Name],0)=Lookups!$D$14),"",
IF(AND(Table2[[#This Row],[Member Type]]="Child",Table2[[#This Row],[Product Option]]="My Value Plus Life &amp; Funeral",_xlfn.XLOOKUP(B120,Table2[Main Member Link ID],Table2[Benefit Name],0)=Lookups!$D$15),"",
IF(AND(Table2[[#This Row],[Member Type]]="Child",Table2[[#This Row],[Product Option]]="My Value Plus Life &amp; Funeral",_xlfn.XLOOKUP(B120,Table2[Main Member Link ID],Table2[Benefit Name],0)=Lookups!$D$16),Lookups!$D$24,
IF(AND(Table2[[#This Row],[Member Type]]="Child",Table2[[#This Row],[Product Option]]="My Value Plus Life &amp; Funeral",_xlfn.XLOOKUP(B120,Table2[Main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Funeral",_xlfn.XLOOKUP(B120,Table2[Main Member Link ID],Table2[Benefit Name],0)&lt;&gt;Lookups!$D$14),
IF(_xlfn.XLOOKUP(B120,Table2[Main Member Link ID],Table2[Benefit Name],0)=0,"",_xlfn.XLOOKUP(B120,Table2[Main Member Link ID],Table2[Benefit Name],0)),"")))))))))))))))</f>
        <v/>
      </c>
      <c r="AF120" s="327" t="str">
        <f>IF(AND(Table2[[#This Row],[Member Type]]="Main Member",Table2[[#This Row],[Product Option]]="My Value Plus Life &amp; Funeral"),Lookups!$D$15,
IF(AND(Table2[[#This Row],[Member Type]]="Spouse",Table2[[#This Row],[Product Option]]="My Value Plus Life &amp; Funeral",_xlfn.XLOOKUP(B120,Table2[Main Member Link ID],Table2[Benefit Name],0)=Lookups!$D$14),"",
IF(AND(Table2[[#This Row],[Member Type]]="Spouse",Table2[[#This Row],[Product Option]]="My Value Plus Life &amp; Funeral",_xlfn.XLOOKUP(B119,Table2[Main Member Link ID],Table2[Benefit Name],0)=Lookups!$D$16),"",
IF(AND(Table2[[#This Row],[Member Type]]="Spouse",Table2[[#This Row],[Product Option]]="My Value Plus Life &amp; Funeral",_xlfn.XLOOKUP(B119,Table2[Main Member Link ID],Table2[Benefit Name],0)=Lookups!$D$15),"",
IF(AND(Table2[[#This Row],[Member Type]]="Spouse",Table2[[#This Row],[Product Option]]="My Value Plus Life &amp; Funeral",_xlfn.XLOOKUP(B119,Table2[Main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Funeral",_xlfn.XLOOKUP(B120,Table2[Main Member Link ID],Table2[Benefit Name],0)&lt;&gt;Lookups!$D$15),
IF(_xlfn.XLOOKUP(B120,Table2[Main Member Link ID],Table2[Benefit Name],0)=0,"",_xlfn.XLOOKUP(B120,Table2[Main Member Link ID],Table2[Benefit Name],0)),"")
))))))</f>
        <v/>
      </c>
      <c r="AG120" s="327" t="str">
        <f>IF(AND(Table2[[#This Row],[Member Type]]="Main Member",Table2[[#This Row],[Product Option]]="My Value Plus Life &amp; Funeral"),Lookups!$D$16,
IF(AND(Table2[[#This Row],[Member Type]]="Spouse",Table2[[#This Row],[Product Option]]="My Value Plus Life &amp; Funeral",_xlfn.XLOOKUP(B120,Table2[Main Member Link ID],Table2[Benefit Name],0)=Lookups!$D$14),"",
IF(AND(Table2[[#This Row],[Member Type]]="Spouse",Table2[[#This Row],[Product Option]]="My Value Plus Life &amp; Funeral",_xlfn.XLOOKUP(B119,Table2[Main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Funeral",_xlfn.XLOOKUP(B120,Table2[Main Member Link ID],Table2[Benefit Name],0)&lt;&gt;Lookups!$D$16),
IF(_xlfn.XLOOKUP(B120,Table2[Main Member Link ID],Table2[Benefit Name],0)=0,"",_xlfn.XLOOKUP(B120,Table2[Main Member Link ID],Table2[Benefit Name],0)),"")
))))</f>
        <v/>
      </c>
      <c r="AH120" s="327" t="str">
        <f>IF(AND(Table2[[#This Row],[Member Type]]="Main Member",Table2[[#This Row],[Product Option]]="My Value Plus Life &amp; Funeral"),Lookups!$D$17,
IF(AND(Table2[[#This Row],[Member Type]]="Spouse",Table2[[#This Row],[Product Option]]="My Value Plus Life &amp; Funeral",_xlfn.XLOOKUP(B120,Table2[Main Member Link ID],Table2[Benefit Name],0)=Lookups!$D$14),"",
IF(AND(Table2[[#This Row],[Member Type]]="Spouse",Table2[[#This Row],[Product Option]]="My Value Plus Life &amp; Funeral",_xlfn.XLOOKUP(B119,Table2[Main Member Link ID],Table2[Benefit Name],0)=Lookups!$D$16),"",
IF(AND(Table2[[#This Row],[Member Type]]="Child",Table2[[#This Row],[Product Option]]="My Value Plus Life &amp; Funeral"),"",
IF(AND(Table2[[#This Row],[Member Type]]="Child",Table2[[#This Row],[Product Option]]="My Value Plus Life &amp; Funeral",_xlfn.XLOOKUP(B120,Table2[Main Member Link ID],Table2[Benefit Name],0)=Lookups!$D$15),"",
IF(AND(OR(Table2[[#This Row],[Member Type]]="Spouse",Table2[[#This Row],[Member Type]]="Child"),Table2[[#This Row],[Product Option]]="My Value Plus Life &amp; Funeral",_xlfn.XLOOKUP(B120,Table2[Main Member Link ID],Table2[Benefit Name],0)&lt;&gt;Lookups!$D$17),
IF(_xlfn.XLOOKUP(B120,Table2[Main Member Link ID],Table2[Benefit Name],0)=0,"",_xlfn.XLOOKUP(B120,Table2[Main Member Link ID],Table2[Benefit Name],0)),""))))))</f>
        <v/>
      </c>
      <c r="AI120" s="328" t="str">
        <f>IF(AND(Table2[[#This Row],[Member Type]]="Main Member",Table2[[#This Row],[Table Lookup for Life Cover]]="MM_LIFE",Table2[[#This Row],[Age Next Birthday]]&lt;56),1,
IF(AND(Table2[[#This Row],[Member Type]]="Main Member",Table2[[#This Row],[Table Lookup for Life Cover]]="MM_LIFE",Table2[[#This Row],[Age Next Birthday]]&gt;=56),2,
""))</f>
        <v/>
      </c>
      <c r="AJ120" s="328">
        <f>IF(OR(Table2[[#This Row],[Member Type]]="Main Member",Table2[[#This Row],[Main Member Link ID]]=B119),1,0)</f>
        <v>1</v>
      </c>
      <c r="AK120" s="328">
        <f>IF(Table2[[#This Row],[Member Type]]=0,0,
IF(OR(Table2[[#This Row],[Member Type]]="Main Member",Table2[[#This Row],[Main Member Link ID]]&lt;&gt;B120),COUNTIFS(B:B,Table2[[#This Row],[Main Member Link ID]]),
COUNTIFS(B:B,Table2[[#This Row],[Main Member Link ID]],A:A,Table2[[#This Row],[Member Type]])))</f>
        <v>0</v>
      </c>
    </row>
    <row r="121" spans="1:37" x14ac:dyDescent="0.3">
      <c r="A121" s="284">
        <f>Table13[[#This Row],[Member Type]]</f>
        <v>0</v>
      </c>
      <c r="B121" s="284">
        <f>Table13[[#This Row],[Main Member Link ID]]</f>
        <v>0</v>
      </c>
      <c r="C121" s="284">
        <f>Table13[[#This Row],[ID Number]]</f>
        <v>0</v>
      </c>
      <c r="D121" s="285">
        <f>Table13[[#This Row],[Date Of Birth]]</f>
        <v>0</v>
      </c>
      <c r="E121" s="285">
        <f>Table13[[#This Row],[Commencement Date]]</f>
        <v>0</v>
      </c>
      <c r="F121" s="284">
        <f t="shared" si="7"/>
        <v>1</v>
      </c>
      <c r="G121" s="284">
        <f t="shared" si="8"/>
        <v>25</v>
      </c>
      <c r="H121" s="286">
        <f>Table13[[#This Row],[Product Option]]</f>
        <v>0</v>
      </c>
      <c r="I121" s="284">
        <f>IF(AND($A121="Main Member",Table2[[#This Row],[Product Option]]="My Value Plus Life"),"MM_LIFE",
IF(AND($A121="Spouse",Table2[[#This Row],[Product Option]]="My Value Plus Life"),"SP_LIFE",
IF(AND($A121="Main Member",Table2[[#This Row],[Product Option]]="My Value Plus Life &amp; Funeral"),"MM_LIFE",
IF(AND($A121="Spouse",Table2[[#This Row],[Product Option]]="My Value Plus Life &amp; Funeral"),_xlfn.XLOOKUP(Table2[[#This Row],[Benefit Name]],Lookups!$D$18:$D$23,Lookups!$E$18:$E$23,0),
0))))</f>
        <v>0</v>
      </c>
      <c r="J121" s="284">
        <f>IF($I121="","",
IF($I121="MM_LIFE",INDEX('Quotation Tool'!$S$54:$V$60,MATCH($T121,'Quotation Tool'!$S$54:$S$60,0),4),
IF($I121="SP_LIFE",_xlfn.XLOOKUP(B120,$B:$B,$J:$J,0),0)))</f>
        <v>0</v>
      </c>
      <c r="K121" s="287">
        <f t="shared" ca="1" si="12"/>
        <v>0</v>
      </c>
      <c r="L121" s="288">
        <f t="shared" ca="1" si="13"/>
        <v>0</v>
      </c>
      <c r="M121" s="289">
        <f t="shared" ca="1" si="9"/>
        <v>0</v>
      </c>
      <c r="N121" s="286">
        <f>Table13[[#This Row],[Benefit Option]]</f>
        <v>0</v>
      </c>
      <c r="O121" s="284">
        <f>IF(OR(Table2[[#This Row],[Member Type]]="Spouse",Table2[[#This Row],[Member Type]]="Child"),0,
IF(_xlfn.XLOOKUP($N121,Lookups!$D$13:$D$27,Lookups!$F$13:$F$27,0)=Table2[[#This Row],[Table Lookup for Life Cover]],0,
_xlfn.XLOOKUP($N121,Lookups!$D$13:$D$27,Lookups!$F$13:$F$27,0)))</f>
        <v>0</v>
      </c>
      <c r="P121" s="284">
        <f>IF(Table2[[#This Row],[Table Lookup for Funeral]]=0,0,IFERROR(INDEX('Quotation Tool'!$S$54:$V$60,MATCH($T121,'Quotation Tool'!$S$54:$S$60,0),3),0))</f>
        <v>0</v>
      </c>
      <c r="Q121" s="288">
        <f ca="1">IF(OR(Table2[[#This Row],[Benefit Name]]="My Value Plus Life - Main Member",Table2[[#This Row],[Benefit Name]]="My Value Plus Life - Spouse"),0,
IFERROR(VLOOKUP($G121,INDIRECT($O121),$P121,FALSE),0))</f>
        <v>0</v>
      </c>
      <c r="R121" s="288">
        <f ca="1">IF(OR(Table2[[#This Row],[Benefit Name]]="My Value Plus Life - Main Member",Table2[[#This Row],[Benefit Name]]="My Value Plus Life - Spouse"),0,
IFERROR(VLOOKUP($G121,INDIRECT($O121),$P121+1,FALSE),0))</f>
        <v>0</v>
      </c>
      <c r="S121" s="289">
        <f t="shared" ca="1" si="10"/>
        <v>0</v>
      </c>
      <c r="T121" s="284" t="str">
        <f>IF(Table13[[#This Row],[Premium Waiver]]="","None",Table13[[#This Row],[Premium Waiver]])</f>
        <v>None</v>
      </c>
      <c r="U121" s="284">
        <f>Table13[[#This Row],[VAPs Options]]</f>
        <v>0</v>
      </c>
      <c r="V121" s="284">
        <f>Table13[[#This Row],[Annual Increase Option]]</f>
        <v>0</v>
      </c>
      <c r="W121" s="290">
        <f>Table13[[#This Row],[Life Cover Amount]]</f>
        <v>0</v>
      </c>
      <c r="X121" s="290">
        <f>Table13[[#This Row],[Funeral Cover Amount]]</f>
        <v>0</v>
      </c>
      <c r="Y12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2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21" s="301">
        <f t="shared" ca="1" si="11"/>
        <v>0</v>
      </c>
      <c r="AB121" s="298"/>
      <c r="AC121" s="326" t="str">
        <f>IF(Table2[[#This Row],[Member Type]]="Main Member",Lookups!$C$13,
IF(Table2[[#This Row],[Member Type]]="Spouse",_xlfn.XLOOKUP(B121,Table2[Main Member Link ID],Table2[Product Option],0),
IF(AND(Table2[[#This Row],[Member Type]]="Child",_xlfn.XLOOKUP(B121,Table2[Main Member Link ID],Table2[Product Option],0)&lt;&gt;"My Value Plus Life"),Lookups!$C$24,
IF(AND(OR(Table2[[#This Row],[Member Type]]="Parent",Table2[[#This Row],[Member Type]]="Extended"),_xlfn.XLOOKUP(B121,Table2[Main Member Link ID],Table2[Product Option],0)&lt;&gt;"My Value Plus Life"),Lookups!$C$26,""))))</f>
        <v/>
      </c>
      <c r="AD121" s="326" t="str">
        <f>IF(Table2[[#This Row],[Member Type]]="Main Member",Lookups!$C$14,"")</f>
        <v/>
      </c>
      <c r="AE12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Funeral",_xlfn.XLOOKUP(B121,Table2[Main Member Link ID],Table2[Benefit Name],0)=Lookups!$D$14),"",
IF(AND(Table2[[#This Row],[Member Type]]="Spouse",Table2[[#This Row],[Product Option]]="My Value Plus Life &amp; Funeral",_xlfn.XLOOKUP(B120,Table2[Main Member Link ID],Table2[Benefit Name],0)=Lookups!$D$15),Lookups!$D$20,
IF(AND(Table2[[#This Row],[Member Type]]="Spouse",Table2[[#This Row],[Product Option]]="My Value Plus Life &amp; Funeral",_xlfn.XLOOKUP(B120,Table2[Main Member Link ID],Table2[Benefit Name],0)=Lookups!$D$16),"",
IF(AND(Table2[[#This Row],[Member Type]]="Spouse",Table2[[#This Row],[Product Option]]="My Value Plus Life &amp; Funeral",_xlfn.XLOOKUP(B120,Table2[Main Member Link ID],Table2[Benefit Name],0)=Lookups!$D$17),Lookups!$D$21,
IF(AND(Table2[[#This Row],[Member Type]]="Child",Table2[[#This Row],[Product Option]]="My Value Plus Life &amp; Funeral",_xlfn.XLOOKUP(B121,Table2[Main Member Link ID],Table2[Benefit Name],0)=Lookups!$D$14),"",
IF(AND(Table2[[#This Row],[Member Type]]="Child",Table2[[#This Row],[Product Option]]="My Value Plus Life &amp; Funeral",_xlfn.XLOOKUP(B121,Table2[Main Member Link ID],Table2[Benefit Name],0)=Lookups!$D$15),"",
IF(AND(Table2[[#This Row],[Member Type]]="Child",Table2[[#This Row],[Product Option]]="My Value Plus Life &amp; Funeral",_xlfn.XLOOKUP(B121,Table2[Main Member Link ID],Table2[Benefit Name],0)=Lookups!$D$16),Lookups!$D$24,
IF(AND(Table2[[#This Row],[Member Type]]="Child",Table2[[#This Row],[Product Option]]="My Value Plus Life &amp; Funeral",_xlfn.XLOOKUP(B121,Table2[Main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Funeral",_xlfn.XLOOKUP(B121,Table2[Main Member Link ID],Table2[Benefit Name],0)&lt;&gt;Lookups!$D$14),
IF(_xlfn.XLOOKUP(B121,Table2[Main Member Link ID],Table2[Benefit Name],0)=0,"",_xlfn.XLOOKUP(B121,Table2[Main Member Link ID],Table2[Benefit Name],0)),"")))))))))))))))</f>
        <v/>
      </c>
      <c r="AF121" s="327" t="str">
        <f>IF(AND(Table2[[#This Row],[Member Type]]="Main Member",Table2[[#This Row],[Product Option]]="My Value Plus Life &amp; Funeral"),Lookups!$D$15,
IF(AND(Table2[[#This Row],[Member Type]]="Spouse",Table2[[#This Row],[Product Option]]="My Value Plus Life &amp; Funeral",_xlfn.XLOOKUP(B121,Table2[Main Member Link ID],Table2[Benefit Name],0)=Lookups!$D$14),"",
IF(AND(Table2[[#This Row],[Member Type]]="Spouse",Table2[[#This Row],[Product Option]]="My Value Plus Life &amp; Funeral",_xlfn.XLOOKUP(B120,Table2[Main Member Link ID],Table2[Benefit Name],0)=Lookups!$D$16),"",
IF(AND(Table2[[#This Row],[Member Type]]="Spouse",Table2[[#This Row],[Product Option]]="My Value Plus Life &amp; Funeral",_xlfn.XLOOKUP(B120,Table2[Main Member Link ID],Table2[Benefit Name],0)=Lookups!$D$15),"",
IF(AND(Table2[[#This Row],[Member Type]]="Spouse",Table2[[#This Row],[Product Option]]="My Value Plus Life &amp; Funeral",_xlfn.XLOOKUP(B120,Table2[Main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Funeral",_xlfn.XLOOKUP(B121,Table2[Main Member Link ID],Table2[Benefit Name],0)&lt;&gt;Lookups!$D$15),
IF(_xlfn.XLOOKUP(B121,Table2[Main Member Link ID],Table2[Benefit Name],0)=0,"",_xlfn.XLOOKUP(B121,Table2[Main Member Link ID],Table2[Benefit Name],0)),"")
))))))</f>
        <v/>
      </c>
      <c r="AG121" s="327" t="str">
        <f>IF(AND(Table2[[#This Row],[Member Type]]="Main Member",Table2[[#This Row],[Product Option]]="My Value Plus Life &amp; Funeral"),Lookups!$D$16,
IF(AND(Table2[[#This Row],[Member Type]]="Spouse",Table2[[#This Row],[Product Option]]="My Value Plus Life &amp; Funeral",_xlfn.XLOOKUP(B121,Table2[Main Member Link ID],Table2[Benefit Name],0)=Lookups!$D$14),"",
IF(AND(Table2[[#This Row],[Member Type]]="Spouse",Table2[[#This Row],[Product Option]]="My Value Plus Life &amp; Funeral",_xlfn.XLOOKUP(B120,Table2[Main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Funeral",_xlfn.XLOOKUP(B121,Table2[Main Member Link ID],Table2[Benefit Name],0)&lt;&gt;Lookups!$D$16),
IF(_xlfn.XLOOKUP(B121,Table2[Main Member Link ID],Table2[Benefit Name],0)=0,"",_xlfn.XLOOKUP(B121,Table2[Main Member Link ID],Table2[Benefit Name],0)),"")
))))</f>
        <v/>
      </c>
      <c r="AH121" s="327" t="str">
        <f>IF(AND(Table2[[#This Row],[Member Type]]="Main Member",Table2[[#This Row],[Product Option]]="My Value Plus Life &amp; Funeral"),Lookups!$D$17,
IF(AND(Table2[[#This Row],[Member Type]]="Spouse",Table2[[#This Row],[Product Option]]="My Value Plus Life &amp; Funeral",_xlfn.XLOOKUP(B121,Table2[Main Member Link ID],Table2[Benefit Name],0)=Lookups!$D$14),"",
IF(AND(Table2[[#This Row],[Member Type]]="Spouse",Table2[[#This Row],[Product Option]]="My Value Plus Life &amp; Funeral",_xlfn.XLOOKUP(B120,Table2[Main Member Link ID],Table2[Benefit Name],0)=Lookups!$D$16),"",
IF(AND(Table2[[#This Row],[Member Type]]="Child",Table2[[#This Row],[Product Option]]="My Value Plus Life &amp; Funeral"),"",
IF(AND(Table2[[#This Row],[Member Type]]="Child",Table2[[#This Row],[Product Option]]="My Value Plus Life &amp; Funeral",_xlfn.XLOOKUP(B121,Table2[Main Member Link ID],Table2[Benefit Name],0)=Lookups!$D$15),"",
IF(AND(OR(Table2[[#This Row],[Member Type]]="Spouse",Table2[[#This Row],[Member Type]]="Child"),Table2[[#This Row],[Product Option]]="My Value Plus Life &amp; Funeral",_xlfn.XLOOKUP(B121,Table2[Main Member Link ID],Table2[Benefit Name],0)&lt;&gt;Lookups!$D$17),
IF(_xlfn.XLOOKUP(B121,Table2[Main Member Link ID],Table2[Benefit Name],0)=0,"",_xlfn.XLOOKUP(B121,Table2[Main Member Link ID],Table2[Benefit Name],0)),""))))))</f>
        <v/>
      </c>
      <c r="AI121" s="328" t="str">
        <f>IF(AND(Table2[[#This Row],[Member Type]]="Main Member",Table2[[#This Row],[Table Lookup for Life Cover]]="MM_LIFE",Table2[[#This Row],[Age Next Birthday]]&lt;56),1,
IF(AND(Table2[[#This Row],[Member Type]]="Main Member",Table2[[#This Row],[Table Lookup for Life Cover]]="MM_LIFE",Table2[[#This Row],[Age Next Birthday]]&gt;=56),2,
""))</f>
        <v/>
      </c>
      <c r="AJ121" s="328">
        <f>IF(OR(Table2[[#This Row],[Member Type]]="Main Member",Table2[[#This Row],[Main Member Link ID]]=B120),1,0)</f>
        <v>1</v>
      </c>
      <c r="AK121" s="328">
        <f>IF(Table2[[#This Row],[Member Type]]=0,0,
IF(OR(Table2[[#This Row],[Member Type]]="Main Member",Table2[[#This Row],[Main Member Link ID]]&lt;&gt;B121),COUNTIFS(B:B,Table2[[#This Row],[Main Member Link ID]]),
COUNTIFS(B:B,Table2[[#This Row],[Main Member Link ID]],A:A,Table2[[#This Row],[Member Type]])))</f>
        <v>0</v>
      </c>
    </row>
    <row r="122" spans="1:37" x14ac:dyDescent="0.3">
      <c r="A122" s="284">
        <f>Table13[[#This Row],[Member Type]]</f>
        <v>0</v>
      </c>
      <c r="B122" s="284">
        <f>Table13[[#This Row],[Main Member Link ID]]</f>
        <v>0</v>
      </c>
      <c r="C122" s="284">
        <f>Table13[[#This Row],[ID Number]]</f>
        <v>0</v>
      </c>
      <c r="D122" s="285">
        <f>Table13[[#This Row],[Date Of Birth]]</f>
        <v>0</v>
      </c>
      <c r="E122" s="285">
        <f>Table13[[#This Row],[Commencement Date]]</f>
        <v>0</v>
      </c>
      <c r="F122" s="284">
        <f t="shared" si="7"/>
        <v>1</v>
      </c>
      <c r="G122" s="284">
        <f t="shared" si="8"/>
        <v>25</v>
      </c>
      <c r="H122" s="286">
        <f>Table13[[#This Row],[Product Option]]</f>
        <v>0</v>
      </c>
      <c r="I122" s="284">
        <f>IF(AND($A122="Main Member",Table2[[#This Row],[Product Option]]="My Value Plus Life"),"MM_LIFE",
IF(AND($A122="Spouse",Table2[[#This Row],[Product Option]]="My Value Plus Life"),"SP_LIFE",
IF(AND($A122="Main Member",Table2[[#This Row],[Product Option]]="My Value Plus Life &amp; Funeral"),"MM_LIFE",
IF(AND($A122="Spouse",Table2[[#This Row],[Product Option]]="My Value Plus Life &amp; Funeral"),_xlfn.XLOOKUP(Table2[[#This Row],[Benefit Name]],Lookups!$D$18:$D$23,Lookups!$E$18:$E$23,0),
0))))</f>
        <v>0</v>
      </c>
      <c r="J122" s="284">
        <f>IF($I122="","",
IF($I122="MM_LIFE",INDEX('Quotation Tool'!$S$54:$V$60,MATCH($T122,'Quotation Tool'!$S$54:$S$60,0),4),
IF($I122="SP_LIFE",_xlfn.XLOOKUP(B121,$B:$B,$J:$J,0),0)))</f>
        <v>0</v>
      </c>
      <c r="K122" s="287">
        <f t="shared" ca="1" si="12"/>
        <v>0</v>
      </c>
      <c r="L122" s="288">
        <f t="shared" ca="1" si="13"/>
        <v>0</v>
      </c>
      <c r="M122" s="289">
        <f t="shared" ca="1" si="9"/>
        <v>0</v>
      </c>
      <c r="N122" s="286">
        <f>Table13[[#This Row],[Benefit Option]]</f>
        <v>0</v>
      </c>
      <c r="O122" s="284">
        <f>IF(OR(Table2[[#This Row],[Member Type]]="Spouse",Table2[[#This Row],[Member Type]]="Child"),0,
IF(_xlfn.XLOOKUP($N122,Lookups!$D$13:$D$27,Lookups!$F$13:$F$27,0)=Table2[[#This Row],[Table Lookup for Life Cover]],0,
_xlfn.XLOOKUP($N122,Lookups!$D$13:$D$27,Lookups!$F$13:$F$27,0)))</f>
        <v>0</v>
      </c>
      <c r="P122" s="284">
        <f>IF(Table2[[#This Row],[Table Lookup for Funeral]]=0,0,IFERROR(INDEX('Quotation Tool'!$S$54:$V$60,MATCH($T122,'Quotation Tool'!$S$54:$S$60,0),3),0))</f>
        <v>0</v>
      </c>
      <c r="Q122" s="288">
        <f ca="1">IF(OR(Table2[[#This Row],[Benefit Name]]="My Value Plus Life - Main Member",Table2[[#This Row],[Benefit Name]]="My Value Plus Life - Spouse"),0,
IFERROR(VLOOKUP($G122,INDIRECT($O122),$P122,FALSE),0))</f>
        <v>0</v>
      </c>
      <c r="R122" s="288">
        <f ca="1">IF(OR(Table2[[#This Row],[Benefit Name]]="My Value Plus Life - Main Member",Table2[[#This Row],[Benefit Name]]="My Value Plus Life - Spouse"),0,
IFERROR(VLOOKUP($G122,INDIRECT($O122),$P122+1,FALSE),0))</f>
        <v>0</v>
      </c>
      <c r="S122" s="289">
        <f t="shared" ca="1" si="10"/>
        <v>0</v>
      </c>
      <c r="T122" s="284" t="str">
        <f>IF(Table13[[#This Row],[Premium Waiver]]="","None",Table13[[#This Row],[Premium Waiver]])</f>
        <v>None</v>
      </c>
      <c r="U122" s="284">
        <f>Table13[[#This Row],[VAPs Options]]</f>
        <v>0</v>
      </c>
      <c r="V122" s="284">
        <f>Table13[[#This Row],[Annual Increase Option]]</f>
        <v>0</v>
      </c>
      <c r="W122" s="290">
        <f>Table13[[#This Row],[Life Cover Amount]]</f>
        <v>0</v>
      </c>
      <c r="X122" s="290">
        <f>Table13[[#This Row],[Funeral Cover Amount]]</f>
        <v>0</v>
      </c>
      <c r="Y12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2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22" s="301">
        <f t="shared" ca="1" si="11"/>
        <v>0</v>
      </c>
      <c r="AB122" s="298"/>
      <c r="AC122" s="326" t="str">
        <f>IF(Table2[[#This Row],[Member Type]]="Main Member",Lookups!$C$13,
IF(Table2[[#This Row],[Member Type]]="Spouse",_xlfn.XLOOKUP(B122,Table2[Main Member Link ID],Table2[Product Option],0),
IF(AND(Table2[[#This Row],[Member Type]]="Child",_xlfn.XLOOKUP(B122,Table2[Main Member Link ID],Table2[Product Option],0)&lt;&gt;"My Value Plus Life"),Lookups!$C$24,
IF(AND(OR(Table2[[#This Row],[Member Type]]="Parent",Table2[[#This Row],[Member Type]]="Extended"),_xlfn.XLOOKUP(B122,Table2[Main Member Link ID],Table2[Product Option],0)&lt;&gt;"My Value Plus Life"),Lookups!$C$26,""))))</f>
        <v/>
      </c>
      <c r="AD122" s="326" t="str">
        <f>IF(Table2[[#This Row],[Member Type]]="Main Member",Lookups!$C$14,"")</f>
        <v/>
      </c>
      <c r="AE12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Funeral",_xlfn.XLOOKUP(B122,Table2[Main Member Link ID],Table2[Benefit Name],0)=Lookups!$D$14),"",
IF(AND(Table2[[#This Row],[Member Type]]="Spouse",Table2[[#This Row],[Product Option]]="My Value Plus Life &amp; Funeral",_xlfn.XLOOKUP(B121,Table2[Main Member Link ID],Table2[Benefit Name],0)=Lookups!$D$15),Lookups!$D$20,
IF(AND(Table2[[#This Row],[Member Type]]="Spouse",Table2[[#This Row],[Product Option]]="My Value Plus Life &amp; Funeral",_xlfn.XLOOKUP(B121,Table2[Main Member Link ID],Table2[Benefit Name],0)=Lookups!$D$16),"",
IF(AND(Table2[[#This Row],[Member Type]]="Spouse",Table2[[#This Row],[Product Option]]="My Value Plus Life &amp; Funeral",_xlfn.XLOOKUP(B121,Table2[Main Member Link ID],Table2[Benefit Name],0)=Lookups!$D$17),Lookups!$D$21,
IF(AND(Table2[[#This Row],[Member Type]]="Child",Table2[[#This Row],[Product Option]]="My Value Plus Life &amp; Funeral",_xlfn.XLOOKUP(B122,Table2[Main Member Link ID],Table2[Benefit Name],0)=Lookups!$D$14),"",
IF(AND(Table2[[#This Row],[Member Type]]="Child",Table2[[#This Row],[Product Option]]="My Value Plus Life &amp; Funeral",_xlfn.XLOOKUP(B122,Table2[Main Member Link ID],Table2[Benefit Name],0)=Lookups!$D$15),"",
IF(AND(Table2[[#This Row],[Member Type]]="Child",Table2[[#This Row],[Product Option]]="My Value Plus Life &amp; Funeral",_xlfn.XLOOKUP(B122,Table2[Main Member Link ID],Table2[Benefit Name],0)=Lookups!$D$16),Lookups!$D$24,
IF(AND(Table2[[#This Row],[Member Type]]="Child",Table2[[#This Row],[Product Option]]="My Value Plus Life &amp; Funeral",_xlfn.XLOOKUP(B122,Table2[Main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Funeral",_xlfn.XLOOKUP(B122,Table2[Main Member Link ID],Table2[Benefit Name],0)&lt;&gt;Lookups!$D$14),
IF(_xlfn.XLOOKUP(B122,Table2[Main Member Link ID],Table2[Benefit Name],0)=0,"",_xlfn.XLOOKUP(B122,Table2[Main Member Link ID],Table2[Benefit Name],0)),"")))))))))))))))</f>
        <v/>
      </c>
      <c r="AF122" s="327" t="str">
        <f>IF(AND(Table2[[#This Row],[Member Type]]="Main Member",Table2[[#This Row],[Product Option]]="My Value Plus Life &amp; Funeral"),Lookups!$D$15,
IF(AND(Table2[[#This Row],[Member Type]]="Spouse",Table2[[#This Row],[Product Option]]="My Value Plus Life &amp; Funeral",_xlfn.XLOOKUP(B122,Table2[Main Member Link ID],Table2[Benefit Name],0)=Lookups!$D$14),"",
IF(AND(Table2[[#This Row],[Member Type]]="Spouse",Table2[[#This Row],[Product Option]]="My Value Plus Life &amp; Funeral",_xlfn.XLOOKUP(B121,Table2[Main Member Link ID],Table2[Benefit Name],0)=Lookups!$D$16),"",
IF(AND(Table2[[#This Row],[Member Type]]="Spouse",Table2[[#This Row],[Product Option]]="My Value Plus Life &amp; Funeral",_xlfn.XLOOKUP(B121,Table2[Main Member Link ID],Table2[Benefit Name],0)=Lookups!$D$15),"",
IF(AND(Table2[[#This Row],[Member Type]]="Spouse",Table2[[#This Row],[Product Option]]="My Value Plus Life &amp; Funeral",_xlfn.XLOOKUP(B121,Table2[Main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Funeral",_xlfn.XLOOKUP(B122,Table2[Main Member Link ID],Table2[Benefit Name],0)&lt;&gt;Lookups!$D$15),
IF(_xlfn.XLOOKUP(B122,Table2[Main Member Link ID],Table2[Benefit Name],0)=0,"",_xlfn.XLOOKUP(B122,Table2[Main Member Link ID],Table2[Benefit Name],0)),"")
))))))</f>
        <v/>
      </c>
      <c r="AG122" s="327" t="str">
        <f>IF(AND(Table2[[#This Row],[Member Type]]="Main Member",Table2[[#This Row],[Product Option]]="My Value Plus Life &amp; Funeral"),Lookups!$D$16,
IF(AND(Table2[[#This Row],[Member Type]]="Spouse",Table2[[#This Row],[Product Option]]="My Value Plus Life &amp; Funeral",_xlfn.XLOOKUP(B122,Table2[Main Member Link ID],Table2[Benefit Name],0)=Lookups!$D$14),"",
IF(AND(Table2[[#This Row],[Member Type]]="Spouse",Table2[[#This Row],[Product Option]]="My Value Plus Life &amp; Funeral",_xlfn.XLOOKUP(B121,Table2[Main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Funeral",_xlfn.XLOOKUP(B122,Table2[Main Member Link ID],Table2[Benefit Name],0)&lt;&gt;Lookups!$D$16),
IF(_xlfn.XLOOKUP(B122,Table2[Main Member Link ID],Table2[Benefit Name],0)=0,"",_xlfn.XLOOKUP(B122,Table2[Main Member Link ID],Table2[Benefit Name],0)),"")
))))</f>
        <v/>
      </c>
      <c r="AH122" s="327" t="str">
        <f>IF(AND(Table2[[#This Row],[Member Type]]="Main Member",Table2[[#This Row],[Product Option]]="My Value Plus Life &amp; Funeral"),Lookups!$D$17,
IF(AND(Table2[[#This Row],[Member Type]]="Spouse",Table2[[#This Row],[Product Option]]="My Value Plus Life &amp; Funeral",_xlfn.XLOOKUP(B122,Table2[Main Member Link ID],Table2[Benefit Name],0)=Lookups!$D$14),"",
IF(AND(Table2[[#This Row],[Member Type]]="Spouse",Table2[[#This Row],[Product Option]]="My Value Plus Life &amp; Funeral",_xlfn.XLOOKUP(B121,Table2[Main Member Link ID],Table2[Benefit Name],0)=Lookups!$D$16),"",
IF(AND(Table2[[#This Row],[Member Type]]="Child",Table2[[#This Row],[Product Option]]="My Value Plus Life &amp; Funeral"),"",
IF(AND(Table2[[#This Row],[Member Type]]="Child",Table2[[#This Row],[Product Option]]="My Value Plus Life &amp; Funeral",_xlfn.XLOOKUP(B122,Table2[Main Member Link ID],Table2[Benefit Name],0)=Lookups!$D$15),"",
IF(AND(OR(Table2[[#This Row],[Member Type]]="Spouse",Table2[[#This Row],[Member Type]]="Child"),Table2[[#This Row],[Product Option]]="My Value Plus Life &amp; Funeral",_xlfn.XLOOKUP(B122,Table2[Main Member Link ID],Table2[Benefit Name],0)&lt;&gt;Lookups!$D$17),
IF(_xlfn.XLOOKUP(B122,Table2[Main Member Link ID],Table2[Benefit Name],0)=0,"",_xlfn.XLOOKUP(B122,Table2[Main Member Link ID],Table2[Benefit Name],0)),""))))))</f>
        <v/>
      </c>
      <c r="AI122" s="328" t="str">
        <f>IF(AND(Table2[[#This Row],[Member Type]]="Main Member",Table2[[#This Row],[Table Lookup for Life Cover]]="MM_LIFE",Table2[[#This Row],[Age Next Birthday]]&lt;56),1,
IF(AND(Table2[[#This Row],[Member Type]]="Main Member",Table2[[#This Row],[Table Lookup for Life Cover]]="MM_LIFE",Table2[[#This Row],[Age Next Birthday]]&gt;=56),2,
""))</f>
        <v/>
      </c>
      <c r="AJ122" s="328">
        <f>IF(OR(Table2[[#This Row],[Member Type]]="Main Member",Table2[[#This Row],[Main Member Link ID]]=B121),1,0)</f>
        <v>1</v>
      </c>
      <c r="AK122" s="328">
        <f>IF(Table2[[#This Row],[Member Type]]=0,0,
IF(OR(Table2[[#This Row],[Member Type]]="Main Member",Table2[[#This Row],[Main Member Link ID]]&lt;&gt;B122),COUNTIFS(B:B,Table2[[#This Row],[Main Member Link ID]]),
COUNTIFS(B:B,Table2[[#This Row],[Main Member Link ID]],A:A,Table2[[#This Row],[Member Type]])))</f>
        <v>0</v>
      </c>
    </row>
    <row r="123" spans="1:37" x14ac:dyDescent="0.3">
      <c r="A123" s="284">
        <f>Table13[[#This Row],[Member Type]]</f>
        <v>0</v>
      </c>
      <c r="B123" s="284">
        <f>Table13[[#This Row],[Main Member Link ID]]</f>
        <v>0</v>
      </c>
      <c r="C123" s="284">
        <f>Table13[[#This Row],[ID Number]]</f>
        <v>0</v>
      </c>
      <c r="D123" s="285">
        <f>Table13[[#This Row],[Date Of Birth]]</f>
        <v>0</v>
      </c>
      <c r="E123" s="285">
        <f>Table13[[#This Row],[Commencement Date]]</f>
        <v>0</v>
      </c>
      <c r="F123" s="284">
        <f t="shared" si="7"/>
        <v>1</v>
      </c>
      <c r="G123" s="284">
        <f t="shared" si="8"/>
        <v>25</v>
      </c>
      <c r="H123" s="286">
        <f>Table13[[#This Row],[Product Option]]</f>
        <v>0</v>
      </c>
      <c r="I123" s="284">
        <f>IF(AND($A123="Main Member",Table2[[#This Row],[Product Option]]="My Value Plus Life"),"MM_LIFE",
IF(AND($A123="Spouse",Table2[[#This Row],[Product Option]]="My Value Plus Life"),"SP_LIFE",
IF(AND($A123="Main Member",Table2[[#This Row],[Product Option]]="My Value Plus Life &amp; Funeral"),"MM_LIFE",
IF(AND($A123="Spouse",Table2[[#This Row],[Product Option]]="My Value Plus Life &amp; Funeral"),_xlfn.XLOOKUP(Table2[[#This Row],[Benefit Name]],Lookups!$D$18:$D$23,Lookups!$E$18:$E$23,0),
0))))</f>
        <v>0</v>
      </c>
      <c r="J123" s="284">
        <f>IF($I123="","",
IF($I123="MM_LIFE",INDEX('Quotation Tool'!$S$54:$V$60,MATCH($T123,'Quotation Tool'!$S$54:$S$60,0),4),
IF($I123="SP_LIFE",_xlfn.XLOOKUP(B122,$B:$B,$J:$J,0),0)))</f>
        <v>0</v>
      </c>
      <c r="K123" s="287">
        <f t="shared" ca="1" si="12"/>
        <v>0</v>
      </c>
      <c r="L123" s="288">
        <f t="shared" ca="1" si="13"/>
        <v>0</v>
      </c>
      <c r="M123" s="289">
        <f t="shared" ca="1" si="9"/>
        <v>0</v>
      </c>
      <c r="N123" s="286">
        <f>Table13[[#This Row],[Benefit Option]]</f>
        <v>0</v>
      </c>
      <c r="O123" s="284">
        <f>IF(OR(Table2[[#This Row],[Member Type]]="Spouse",Table2[[#This Row],[Member Type]]="Child"),0,
IF(_xlfn.XLOOKUP($N123,Lookups!$D$13:$D$27,Lookups!$F$13:$F$27,0)=Table2[[#This Row],[Table Lookup for Life Cover]],0,
_xlfn.XLOOKUP($N123,Lookups!$D$13:$D$27,Lookups!$F$13:$F$27,0)))</f>
        <v>0</v>
      </c>
      <c r="P123" s="284">
        <f>IF(Table2[[#This Row],[Table Lookup for Funeral]]=0,0,IFERROR(INDEX('Quotation Tool'!$S$54:$V$60,MATCH($T123,'Quotation Tool'!$S$54:$S$60,0),3),0))</f>
        <v>0</v>
      </c>
      <c r="Q123" s="288">
        <f ca="1">IF(OR(Table2[[#This Row],[Benefit Name]]="My Value Plus Life - Main Member",Table2[[#This Row],[Benefit Name]]="My Value Plus Life - Spouse"),0,
IFERROR(VLOOKUP($G123,INDIRECT($O123),$P123,FALSE),0))</f>
        <v>0</v>
      </c>
      <c r="R123" s="288">
        <f ca="1">IF(OR(Table2[[#This Row],[Benefit Name]]="My Value Plus Life - Main Member",Table2[[#This Row],[Benefit Name]]="My Value Plus Life - Spouse"),0,
IFERROR(VLOOKUP($G123,INDIRECT($O123),$P123+1,FALSE),0))</f>
        <v>0</v>
      </c>
      <c r="S123" s="289">
        <f t="shared" ca="1" si="10"/>
        <v>0</v>
      </c>
      <c r="T123" s="284" t="str">
        <f>IF(Table13[[#This Row],[Premium Waiver]]="","None",Table13[[#This Row],[Premium Waiver]])</f>
        <v>None</v>
      </c>
      <c r="U123" s="284">
        <f>Table13[[#This Row],[VAPs Options]]</f>
        <v>0</v>
      </c>
      <c r="V123" s="284">
        <f>Table13[[#This Row],[Annual Increase Option]]</f>
        <v>0</v>
      </c>
      <c r="W123" s="290">
        <f>Table13[[#This Row],[Life Cover Amount]]</f>
        <v>0</v>
      </c>
      <c r="X123" s="290">
        <f>Table13[[#This Row],[Funeral Cover Amount]]</f>
        <v>0</v>
      </c>
      <c r="Y12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2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23" s="301">
        <f t="shared" ca="1" si="11"/>
        <v>0</v>
      </c>
      <c r="AB123" s="298"/>
      <c r="AC123" s="326" t="str">
        <f>IF(Table2[[#This Row],[Member Type]]="Main Member",Lookups!$C$13,
IF(Table2[[#This Row],[Member Type]]="Spouse",_xlfn.XLOOKUP(B123,Table2[Main Member Link ID],Table2[Product Option],0),
IF(AND(Table2[[#This Row],[Member Type]]="Child",_xlfn.XLOOKUP(B123,Table2[Main Member Link ID],Table2[Product Option],0)&lt;&gt;"My Value Plus Life"),Lookups!$C$24,
IF(AND(OR(Table2[[#This Row],[Member Type]]="Parent",Table2[[#This Row],[Member Type]]="Extended"),_xlfn.XLOOKUP(B123,Table2[Main Member Link ID],Table2[Product Option],0)&lt;&gt;"My Value Plus Life"),Lookups!$C$26,""))))</f>
        <v/>
      </c>
      <c r="AD123" s="326" t="str">
        <f>IF(Table2[[#This Row],[Member Type]]="Main Member",Lookups!$C$14,"")</f>
        <v/>
      </c>
      <c r="AE12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Funeral",_xlfn.XLOOKUP(B123,Table2[Main Member Link ID],Table2[Benefit Name],0)=Lookups!$D$14),"",
IF(AND(Table2[[#This Row],[Member Type]]="Spouse",Table2[[#This Row],[Product Option]]="My Value Plus Life &amp; Funeral",_xlfn.XLOOKUP(B122,Table2[Main Member Link ID],Table2[Benefit Name],0)=Lookups!$D$15),Lookups!$D$20,
IF(AND(Table2[[#This Row],[Member Type]]="Spouse",Table2[[#This Row],[Product Option]]="My Value Plus Life &amp; Funeral",_xlfn.XLOOKUP(B122,Table2[Main Member Link ID],Table2[Benefit Name],0)=Lookups!$D$16),"",
IF(AND(Table2[[#This Row],[Member Type]]="Spouse",Table2[[#This Row],[Product Option]]="My Value Plus Life &amp; Funeral",_xlfn.XLOOKUP(B122,Table2[Main Member Link ID],Table2[Benefit Name],0)=Lookups!$D$17),Lookups!$D$21,
IF(AND(Table2[[#This Row],[Member Type]]="Child",Table2[[#This Row],[Product Option]]="My Value Plus Life &amp; Funeral",_xlfn.XLOOKUP(B123,Table2[Main Member Link ID],Table2[Benefit Name],0)=Lookups!$D$14),"",
IF(AND(Table2[[#This Row],[Member Type]]="Child",Table2[[#This Row],[Product Option]]="My Value Plus Life &amp; Funeral",_xlfn.XLOOKUP(B123,Table2[Main Member Link ID],Table2[Benefit Name],0)=Lookups!$D$15),"",
IF(AND(Table2[[#This Row],[Member Type]]="Child",Table2[[#This Row],[Product Option]]="My Value Plus Life &amp; Funeral",_xlfn.XLOOKUP(B123,Table2[Main Member Link ID],Table2[Benefit Name],0)=Lookups!$D$16),Lookups!$D$24,
IF(AND(Table2[[#This Row],[Member Type]]="Child",Table2[[#This Row],[Product Option]]="My Value Plus Life &amp; Funeral",_xlfn.XLOOKUP(B123,Table2[Main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Funeral",_xlfn.XLOOKUP(B123,Table2[Main Member Link ID],Table2[Benefit Name],0)&lt;&gt;Lookups!$D$14),
IF(_xlfn.XLOOKUP(B123,Table2[Main Member Link ID],Table2[Benefit Name],0)=0,"",_xlfn.XLOOKUP(B123,Table2[Main Member Link ID],Table2[Benefit Name],0)),"")))))))))))))))</f>
        <v/>
      </c>
      <c r="AF123" s="327" t="str">
        <f>IF(AND(Table2[[#This Row],[Member Type]]="Main Member",Table2[[#This Row],[Product Option]]="My Value Plus Life &amp; Funeral"),Lookups!$D$15,
IF(AND(Table2[[#This Row],[Member Type]]="Spouse",Table2[[#This Row],[Product Option]]="My Value Plus Life &amp; Funeral",_xlfn.XLOOKUP(B123,Table2[Main Member Link ID],Table2[Benefit Name],0)=Lookups!$D$14),"",
IF(AND(Table2[[#This Row],[Member Type]]="Spouse",Table2[[#This Row],[Product Option]]="My Value Plus Life &amp; Funeral",_xlfn.XLOOKUP(B122,Table2[Main Member Link ID],Table2[Benefit Name],0)=Lookups!$D$16),"",
IF(AND(Table2[[#This Row],[Member Type]]="Spouse",Table2[[#This Row],[Product Option]]="My Value Plus Life &amp; Funeral",_xlfn.XLOOKUP(B122,Table2[Main Member Link ID],Table2[Benefit Name],0)=Lookups!$D$15),"",
IF(AND(Table2[[#This Row],[Member Type]]="Spouse",Table2[[#This Row],[Product Option]]="My Value Plus Life &amp; Funeral",_xlfn.XLOOKUP(B122,Table2[Main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Funeral",_xlfn.XLOOKUP(B123,Table2[Main Member Link ID],Table2[Benefit Name],0)&lt;&gt;Lookups!$D$15),
IF(_xlfn.XLOOKUP(B123,Table2[Main Member Link ID],Table2[Benefit Name],0)=0,"",_xlfn.XLOOKUP(B123,Table2[Main Member Link ID],Table2[Benefit Name],0)),"")
))))))</f>
        <v/>
      </c>
      <c r="AG123" s="327" t="str">
        <f>IF(AND(Table2[[#This Row],[Member Type]]="Main Member",Table2[[#This Row],[Product Option]]="My Value Plus Life &amp; Funeral"),Lookups!$D$16,
IF(AND(Table2[[#This Row],[Member Type]]="Spouse",Table2[[#This Row],[Product Option]]="My Value Plus Life &amp; Funeral",_xlfn.XLOOKUP(B123,Table2[Main Member Link ID],Table2[Benefit Name],0)=Lookups!$D$14),"",
IF(AND(Table2[[#This Row],[Member Type]]="Spouse",Table2[[#This Row],[Product Option]]="My Value Plus Life &amp; Funeral",_xlfn.XLOOKUP(B122,Table2[Main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Funeral",_xlfn.XLOOKUP(B123,Table2[Main Member Link ID],Table2[Benefit Name],0)&lt;&gt;Lookups!$D$16),
IF(_xlfn.XLOOKUP(B123,Table2[Main Member Link ID],Table2[Benefit Name],0)=0,"",_xlfn.XLOOKUP(B123,Table2[Main Member Link ID],Table2[Benefit Name],0)),"")
))))</f>
        <v/>
      </c>
      <c r="AH123" s="327" t="str">
        <f>IF(AND(Table2[[#This Row],[Member Type]]="Main Member",Table2[[#This Row],[Product Option]]="My Value Plus Life &amp; Funeral"),Lookups!$D$17,
IF(AND(Table2[[#This Row],[Member Type]]="Spouse",Table2[[#This Row],[Product Option]]="My Value Plus Life &amp; Funeral",_xlfn.XLOOKUP(B123,Table2[Main Member Link ID],Table2[Benefit Name],0)=Lookups!$D$14),"",
IF(AND(Table2[[#This Row],[Member Type]]="Spouse",Table2[[#This Row],[Product Option]]="My Value Plus Life &amp; Funeral",_xlfn.XLOOKUP(B122,Table2[Main Member Link ID],Table2[Benefit Name],0)=Lookups!$D$16),"",
IF(AND(Table2[[#This Row],[Member Type]]="Child",Table2[[#This Row],[Product Option]]="My Value Plus Life &amp; Funeral"),"",
IF(AND(Table2[[#This Row],[Member Type]]="Child",Table2[[#This Row],[Product Option]]="My Value Plus Life &amp; Funeral",_xlfn.XLOOKUP(B123,Table2[Main Member Link ID],Table2[Benefit Name],0)=Lookups!$D$15),"",
IF(AND(OR(Table2[[#This Row],[Member Type]]="Spouse",Table2[[#This Row],[Member Type]]="Child"),Table2[[#This Row],[Product Option]]="My Value Plus Life &amp; Funeral",_xlfn.XLOOKUP(B123,Table2[Main Member Link ID],Table2[Benefit Name],0)&lt;&gt;Lookups!$D$17),
IF(_xlfn.XLOOKUP(B123,Table2[Main Member Link ID],Table2[Benefit Name],0)=0,"",_xlfn.XLOOKUP(B123,Table2[Main Member Link ID],Table2[Benefit Name],0)),""))))))</f>
        <v/>
      </c>
      <c r="AI123" s="328" t="str">
        <f>IF(AND(Table2[[#This Row],[Member Type]]="Main Member",Table2[[#This Row],[Table Lookup for Life Cover]]="MM_LIFE",Table2[[#This Row],[Age Next Birthday]]&lt;56),1,
IF(AND(Table2[[#This Row],[Member Type]]="Main Member",Table2[[#This Row],[Table Lookup for Life Cover]]="MM_LIFE",Table2[[#This Row],[Age Next Birthday]]&gt;=56),2,
""))</f>
        <v/>
      </c>
      <c r="AJ123" s="328">
        <f>IF(OR(Table2[[#This Row],[Member Type]]="Main Member",Table2[[#This Row],[Main Member Link ID]]=B122),1,0)</f>
        <v>1</v>
      </c>
      <c r="AK123" s="328">
        <f>IF(Table2[[#This Row],[Member Type]]=0,0,
IF(OR(Table2[[#This Row],[Member Type]]="Main Member",Table2[[#This Row],[Main Member Link ID]]&lt;&gt;B123),COUNTIFS(B:B,Table2[[#This Row],[Main Member Link ID]]),
COUNTIFS(B:B,Table2[[#This Row],[Main Member Link ID]],A:A,Table2[[#This Row],[Member Type]])))</f>
        <v>0</v>
      </c>
    </row>
    <row r="124" spans="1:37" x14ac:dyDescent="0.3">
      <c r="A124" s="284">
        <f>Table13[[#This Row],[Member Type]]</f>
        <v>0</v>
      </c>
      <c r="B124" s="284">
        <f>Table13[[#This Row],[Main Member Link ID]]</f>
        <v>0</v>
      </c>
      <c r="C124" s="284">
        <f>Table13[[#This Row],[ID Number]]</f>
        <v>0</v>
      </c>
      <c r="D124" s="285">
        <f>Table13[[#This Row],[Date Of Birth]]</f>
        <v>0</v>
      </c>
      <c r="E124" s="285">
        <f>Table13[[#This Row],[Commencement Date]]</f>
        <v>0</v>
      </c>
      <c r="F124" s="284">
        <f t="shared" si="7"/>
        <v>1</v>
      </c>
      <c r="G124" s="284">
        <f t="shared" si="8"/>
        <v>25</v>
      </c>
      <c r="H124" s="286">
        <f>Table13[[#This Row],[Product Option]]</f>
        <v>0</v>
      </c>
      <c r="I124" s="284">
        <f>IF(AND($A124="Main Member",Table2[[#This Row],[Product Option]]="My Value Plus Life"),"MM_LIFE",
IF(AND($A124="Spouse",Table2[[#This Row],[Product Option]]="My Value Plus Life"),"SP_LIFE",
IF(AND($A124="Main Member",Table2[[#This Row],[Product Option]]="My Value Plus Life &amp; Funeral"),"MM_LIFE",
IF(AND($A124="Spouse",Table2[[#This Row],[Product Option]]="My Value Plus Life &amp; Funeral"),_xlfn.XLOOKUP(Table2[[#This Row],[Benefit Name]],Lookups!$D$18:$D$23,Lookups!$E$18:$E$23,0),
0))))</f>
        <v>0</v>
      </c>
      <c r="J124" s="284">
        <f>IF($I124="","",
IF($I124="MM_LIFE",INDEX('Quotation Tool'!$S$54:$V$60,MATCH($T124,'Quotation Tool'!$S$54:$S$60,0),4),
IF($I124="SP_LIFE",_xlfn.XLOOKUP(B123,$B:$B,$J:$J,0),0)))</f>
        <v>0</v>
      </c>
      <c r="K124" s="287">
        <f t="shared" ca="1" si="12"/>
        <v>0</v>
      </c>
      <c r="L124" s="288">
        <f t="shared" ca="1" si="13"/>
        <v>0</v>
      </c>
      <c r="M124" s="289">
        <f t="shared" ca="1" si="9"/>
        <v>0</v>
      </c>
      <c r="N124" s="286">
        <f>Table13[[#This Row],[Benefit Option]]</f>
        <v>0</v>
      </c>
      <c r="O124" s="284">
        <f>IF(OR(Table2[[#This Row],[Member Type]]="Spouse",Table2[[#This Row],[Member Type]]="Child"),0,
IF(_xlfn.XLOOKUP($N124,Lookups!$D$13:$D$27,Lookups!$F$13:$F$27,0)=Table2[[#This Row],[Table Lookup for Life Cover]],0,
_xlfn.XLOOKUP($N124,Lookups!$D$13:$D$27,Lookups!$F$13:$F$27,0)))</f>
        <v>0</v>
      </c>
      <c r="P124" s="284">
        <f>IF(Table2[[#This Row],[Table Lookup for Funeral]]=0,0,IFERROR(INDEX('Quotation Tool'!$S$54:$V$60,MATCH($T124,'Quotation Tool'!$S$54:$S$60,0),3),0))</f>
        <v>0</v>
      </c>
      <c r="Q124" s="288">
        <f ca="1">IF(OR(Table2[[#This Row],[Benefit Name]]="My Value Plus Life - Main Member",Table2[[#This Row],[Benefit Name]]="My Value Plus Life - Spouse"),0,
IFERROR(VLOOKUP($G124,INDIRECT($O124),$P124,FALSE),0))</f>
        <v>0</v>
      </c>
      <c r="R124" s="288">
        <f ca="1">IF(OR(Table2[[#This Row],[Benefit Name]]="My Value Plus Life - Main Member",Table2[[#This Row],[Benefit Name]]="My Value Plus Life - Spouse"),0,
IFERROR(VLOOKUP($G124,INDIRECT($O124),$P124+1,FALSE),0))</f>
        <v>0</v>
      </c>
      <c r="S124" s="289">
        <f t="shared" ca="1" si="10"/>
        <v>0</v>
      </c>
      <c r="T124" s="284" t="str">
        <f>IF(Table13[[#This Row],[Premium Waiver]]="","None",Table13[[#This Row],[Premium Waiver]])</f>
        <v>None</v>
      </c>
      <c r="U124" s="284">
        <f>Table13[[#This Row],[VAPs Options]]</f>
        <v>0</v>
      </c>
      <c r="V124" s="284">
        <f>Table13[[#This Row],[Annual Increase Option]]</f>
        <v>0</v>
      </c>
      <c r="W124" s="290">
        <f>Table13[[#This Row],[Life Cover Amount]]</f>
        <v>0</v>
      </c>
      <c r="X124" s="290">
        <f>Table13[[#This Row],[Funeral Cover Amount]]</f>
        <v>0</v>
      </c>
      <c r="Y12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2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24" s="301">
        <f t="shared" ca="1" si="11"/>
        <v>0</v>
      </c>
      <c r="AB124" s="298"/>
      <c r="AC124" s="326" t="str">
        <f>IF(Table2[[#This Row],[Member Type]]="Main Member",Lookups!$C$13,
IF(Table2[[#This Row],[Member Type]]="Spouse",_xlfn.XLOOKUP(B124,Table2[Main Member Link ID],Table2[Product Option],0),
IF(AND(Table2[[#This Row],[Member Type]]="Child",_xlfn.XLOOKUP(B124,Table2[Main Member Link ID],Table2[Product Option],0)&lt;&gt;"My Value Plus Life"),Lookups!$C$24,
IF(AND(OR(Table2[[#This Row],[Member Type]]="Parent",Table2[[#This Row],[Member Type]]="Extended"),_xlfn.XLOOKUP(B124,Table2[Main Member Link ID],Table2[Product Option],0)&lt;&gt;"My Value Plus Life"),Lookups!$C$26,""))))</f>
        <v/>
      </c>
      <c r="AD124" s="326" t="str">
        <f>IF(Table2[[#This Row],[Member Type]]="Main Member",Lookups!$C$14,"")</f>
        <v/>
      </c>
      <c r="AE12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Funeral",_xlfn.XLOOKUP(B124,Table2[Main Member Link ID],Table2[Benefit Name],0)=Lookups!$D$14),"",
IF(AND(Table2[[#This Row],[Member Type]]="Spouse",Table2[[#This Row],[Product Option]]="My Value Plus Life &amp; Funeral",_xlfn.XLOOKUP(B123,Table2[Main Member Link ID],Table2[Benefit Name],0)=Lookups!$D$15),Lookups!$D$20,
IF(AND(Table2[[#This Row],[Member Type]]="Spouse",Table2[[#This Row],[Product Option]]="My Value Plus Life &amp; Funeral",_xlfn.XLOOKUP(B123,Table2[Main Member Link ID],Table2[Benefit Name],0)=Lookups!$D$16),"",
IF(AND(Table2[[#This Row],[Member Type]]="Spouse",Table2[[#This Row],[Product Option]]="My Value Plus Life &amp; Funeral",_xlfn.XLOOKUP(B123,Table2[Main Member Link ID],Table2[Benefit Name],0)=Lookups!$D$17),Lookups!$D$21,
IF(AND(Table2[[#This Row],[Member Type]]="Child",Table2[[#This Row],[Product Option]]="My Value Plus Life &amp; Funeral",_xlfn.XLOOKUP(B124,Table2[Main Member Link ID],Table2[Benefit Name],0)=Lookups!$D$14),"",
IF(AND(Table2[[#This Row],[Member Type]]="Child",Table2[[#This Row],[Product Option]]="My Value Plus Life &amp; Funeral",_xlfn.XLOOKUP(B124,Table2[Main Member Link ID],Table2[Benefit Name],0)=Lookups!$D$15),"",
IF(AND(Table2[[#This Row],[Member Type]]="Child",Table2[[#This Row],[Product Option]]="My Value Plus Life &amp; Funeral",_xlfn.XLOOKUP(B124,Table2[Main Member Link ID],Table2[Benefit Name],0)=Lookups!$D$16),Lookups!$D$24,
IF(AND(Table2[[#This Row],[Member Type]]="Child",Table2[[#This Row],[Product Option]]="My Value Plus Life &amp; Funeral",_xlfn.XLOOKUP(B124,Table2[Main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Funeral",_xlfn.XLOOKUP(B124,Table2[Main Member Link ID],Table2[Benefit Name],0)&lt;&gt;Lookups!$D$14),
IF(_xlfn.XLOOKUP(B124,Table2[Main Member Link ID],Table2[Benefit Name],0)=0,"",_xlfn.XLOOKUP(B124,Table2[Main Member Link ID],Table2[Benefit Name],0)),"")))))))))))))))</f>
        <v/>
      </c>
      <c r="AF124" s="327" t="str">
        <f>IF(AND(Table2[[#This Row],[Member Type]]="Main Member",Table2[[#This Row],[Product Option]]="My Value Plus Life &amp; Funeral"),Lookups!$D$15,
IF(AND(Table2[[#This Row],[Member Type]]="Spouse",Table2[[#This Row],[Product Option]]="My Value Plus Life &amp; Funeral",_xlfn.XLOOKUP(B124,Table2[Main Member Link ID],Table2[Benefit Name],0)=Lookups!$D$14),"",
IF(AND(Table2[[#This Row],[Member Type]]="Spouse",Table2[[#This Row],[Product Option]]="My Value Plus Life &amp; Funeral",_xlfn.XLOOKUP(B123,Table2[Main Member Link ID],Table2[Benefit Name],0)=Lookups!$D$16),"",
IF(AND(Table2[[#This Row],[Member Type]]="Spouse",Table2[[#This Row],[Product Option]]="My Value Plus Life &amp; Funeral",_xlfn.XLOOKUP(B123,Table2[Main Member Link ID],Table2[Benefit Name],0)=Lookups!$D$15),"",
IF(AND(Table2[[#This Row],[Member Type]]="Spouse",Table2[[#This Row],[Product Option]]="My Value Plus Life &amp; Funeral",_xlfn.XLOOKUP(B123,Table2[Main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Funeral",_xlfn.XLOOKUP(B124,Table2[Main Member Link ID],Table2[Benefit Name],0)&lt;&gt;Lookups!$D$15),
IF(_xlfn.XLOOKUP(B124,Table2[Main Member Link ID],Table2[Benefit Name],0)=0,"",_xlfn.XLOOKUP(B124,Table2[Main Member Link ID],Table2[Benefit Name],0)),"")
))))))</f>
        <v/>
      </c>
      <c r="AG124" s="327" t="str">
        <f>IF(AND(Table2[[#This Row],[Member Type]]="Main Member",Table2[[#This Row],[Product Option]]="My Value Plus Life &amp; Funeral"),Lookups!$D$16,
IF(AND(Table2[[#This Row],[Member Type]]="Spouse",Table2[[#This Row],[Product Option]]="My Value Plus Life &amp; Funeral",_xlfn.XLOOKUP(B124,Table2[Main Member Link ID],Table2[Benefit Name],0)=Lookups!$D$14),"",
IF(AND(Table2[[#This Row],[Member Type]]="Spouse",Table2[[#This Row],[Product Option]]="My Value Plus Life &amp; Funeral",_xlfn.XLOOKUP(B123,Table2[Main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Funeral",_xlfn.XLOOKUP(B124,Table2[Main Member Link ID],Table2[Benefit Name],0)&lt;&gt;Lookups!$D$16),
IF(_xlfn.XLOOKUP(B124,Table2[Main Member Link ID],Table2[Benefit Name],0)=0,"",_xlfn.XLOOKUP(B124,Table2[Main Member Link ID],Table2[Benefit Name],0)),"")
))))</f>
        <v/>
      </c>
      <c r="AH124" s="327" t="str">
        <f>IF(AND(Table2[[#This Row],[Member Type]]="Main Member",Table2[[#This Row],[Product Option]]="My Value Plus Life &amp; Funeral"),Lookups!$D$17,
IF(AND(Table2[[#This Row],[Member Type]]="Spouse",Table2[[#This Row],[Product Option]]="My Value Plus Life &amp; Funeral",_xlfn.XLOOKUP(B124,Table2[Main Member Link ID],Table2[Benefit Name],0)=Lookups!$D$14),"",
IF(AND(Table2[[#This Row],[Member Type]]="Spouse",Table2[[#This Row],[Product Option]]="My Value Plus Life &amp; Funeral",_xlfn.XLOOKUP(B123,Table2[Main Member Link ID],Table2[Benefit Name],0)=Lookups!$D$16),"",
IF(AND(Table2[[#This Row],[Member Type]]="Child",Table2[[#This Row],[Product Option]]="My Value Plus Life &amp; Funeral"),"",
IF(AND(Table2[[#This Row],[Member Type]]="Child",Table2[[#This Row],[Product Option]]="My Value Plus Life &amp; Funeral",_xlfn.XLOOKUP(B124,Table2[Main Member Link ID],Table2[Benefit Name],0)=Lookups!$D$15),"",
IF(AND(OR(Table2[[#This Row],[Member Type]]="Spouse",Table2[[#This Row],[Member Type]]="Child"),Table2[[#This Row],[Product Option]]="My Value Plus Life &amp; Funeral",_xlfn.XLOOKUP(B124,Table2[Main Member Link ID],Table2[Benefit Name],0)&lt;&gt;Lookups!$D$17),
IF(_xlfn.XLOOKUP(B124,Table2[Main Member Link ID],Table2[Benefit Name],0)=0,"",_xlfn.XLOOKUP(B124,Table2[Main Member Link ID],Table2[Benefit Name],0)),""))))))</f>
        <v/>
      </c>
      <c r="AI124" s="328" t="str">
        <f>IF(AND(Table2[[#This Row],[Member Type]]="Main Member",Table2[[#This Row],[Table Lookup for Life Cover]]="MM_LIFE",Table2[[#This Row],[Age Next Birthday]]&lt;56),1,
IF(AND(Table2[[#This Row],[Member Type]]="Main Member",Table2[[#This Row],[Table Lookup for Life Cover]]="MM_LIFE",Table2[[#This Row],[Age Next Birthday]]&gt;=56),2,
""))</f>
        <v/>
      </c>
      <c r="AJ124" s="328">
        <f>IF(OR(Table2[[#This Row],[Member Type]]="Main Member",Table2[[#This Row],[Main Member Link ID]]=B123),1,0)</f>
        <v>1</v>
      </c>
      <c r="AK124" s="328">
        <f>IF(Table2[[#This Row],[Member Type]]=0,0,
IF(OR(Table2[[#This Row],[Member Type]]="Main Member",Table2[[#This Row],[Main Member Link ID]]&lt;&gt;B124),COUNTIFS(B:B,Table2[[#This Row],[Main Member Link ID]]),
COUNTIFS(B:B,Table2[[#This Row],[Main Member Link ID]],A:A,Table2[[#This Row],[Member Type]])))</f>
        <v>0</v>
      </c>
    </row>
    <row r="125" spans="1:37" x14ac:dyDescent="0.3">
      <c r="A125" s="284">
        <f>Table13[[#This Row],[Member Type]]</f>
        <v>0</v>
      </c>
      <c r="B125" s="284">
        <f>Table13[[#This Row],[Main Member Link ID]]</f>
        <v>0</v>
      </c>
      <c r="C125" s="284">
        <f>Table13[[#This Row],[ID Number]]</f>
        <v>0</v>
      </c>
      <c r="D125" s="285">
        <f>Table13[[#This Row],[Date Of Birth]]</f>
        <v>0</v>
      </c>
      <c r="E125" s="285">
        <f>Table13[[#This Row],[Commencement Date]]</f>
        <v>0</v>
      </c>
      <c r="F125" s="284">
        <f t="shared" si="7"/>
        <v>1</v>
      </c>
      <c r="G125" s="284">
        <f t="shared" si="8"/>
        <v>25</v>
      </c>
      <c r="H125" s="286">
        <f>Table13[[#This Row],[Product Option]]</f>
        <v>0</v>
      </c>
      <c r="I125" s="284">
        <f>IF(AND($A125="Main Member",Table2[[#This Row],[Product Option]]="My Value Plus Life"),"MM_LIFE",
IF(AND($A125="Spouse",Table2[[#This Row],[Product Option]]="My Value Plus Life"),"SP_LIFE",
IF(AND($A125="Main Member",Table2[[#This Row],[Product Option]]="My Value Plus Life &amp; Funeral"),"MM_LIFE",
IF(AND($A125="Spouse",Table2[[#This Row],[Product Option]]="My Value Plus Life &amp; Funeral"),_xlfn.XLOOKUP(Table2[[#This Row],[Benefit Name]],Lookups!$D$18:$D$23,Lookups!$E$18:$E$23,0),
0))))</f>
        <v>0</v>
      </c>
      <c r="J125" s="284">
        <f>IF($I125="","",
IF($I125="MM_LIFE",INDEX('Quotation Tool'!$S$54:$V$60,MATCH($T125,'Quotation Tool'!$S$54:$S$60,0),4),
IF($I125="SP_LIFE",_xlfn.XLOOKUP(B124,$B:$B,$J:$J,0),0)))</f>
        <v>0</v>
      </c>
      <c r="K125" s="287">
        <f t="shared" ca="1" si="12"/>
        <v>0</v>
      </c>
      <c r="L125" s="288">
        <f t="shared" ca="1" si="13"/>
        <v>0</v>
      </c>
      <c r="M125" s="289">
        <f t="shared" ca="1" si="9"/>
        <v>0</v>
      </c>
      <c r="N125" s="286">
        <f>Table13[[#This Row],[Benefit Option]]</f>
        <v>0</v>
      </c>
      <c r="O125" s="284">
        <f>IF(OR(Table2[[#This Row],[Member Type]]="Spouse",Table2[[#This Row],[Member Type]]="Child"),0,
IF(_xlfn.XLOOKUP($N125,Lookups!$D$13:$D$27,Lookups!$F$13:$F$27,0)=Table2[[#This Row],[Table Lookup for Life Cover]],0,
_xlfn.XLOOKUP($N125,Lookups!$D$13:$D$27,Lookups!$F$13:$F$27,0)))</f>
        <v>0</v>
      </c>
      <c r="P125" s="284">
        <f>IF(Table2[[#This Row],[Table Lookup for Funeral]]=0,0,IFERROR(INDEX('Quotation Tool'!$S$54:$V$60,MATCH($T125,'Quotation Tool'!$S$54:$S$60,0),3),0))</f>
        <v>0</v>
      </c>
      <c r="Q125" s="288">
        <f ca="1">IF(OR(Table2[[#This Row],[Benefit Name]]="My Value Plus Life - Main Member",Table2[[#This Row],[Benefit Name]]="My Value Plus Life - Spouse"),0,
IFERROR(VLOOKUP($G125,INDIRECT($O125),$P125,FALSE),0))</f>
        <v>0</v>
      </c>
      <c r="R125" s="288">
        <f ca="1">IF(OR(Table2[[#This Row],[Benefit Name]]="My Value Plus Life - Main Member",Table2[[#This Row],[Benefit Name]]="My Value Plus Life - Spouse"),0,
IFERROR(VLOOKUP($G125,INDIRECT($O125),$P125+1,FALSE),0))</f>
        <v>0</v>
      </c>
      <c r="S125" s="289">
        <f t="shared" ca="1" si="10"/>
        <v>0</v>
      </c>
      <c r="T125" s="284" t="str">
        <f>IF(Table13[[#This Row],[Premium Waiver]]="","None",Table13[[#This Row],[Premium Waiver]])</f>
        <v>None</v>
      </c>
      <c r="U125" s="284">
        <f>Table13[[#This Row],[VAPs Options]]</f>
        <v>0</v>
      </c>
      <c r="V125" s="284">
        <f>Table13[[#This Row],[Annual Increase Option]]</f>
        <v>0</v>
      </c>
      <c r="W125" s="290">
        <f>Table13[[#This Row],[Life Cover Amount]]</f>
        <v>0</v>
      </c>
      <c r="X125" s="290">
        <f>Table13[[#This Row],[Funeral Cover Amount]]</f>
        <v>0</v>
      </c>
      <c r="Y12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2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25" s="301">
        <f t="shared" ca="1" si="11"/>
        <v>0</v>
      </c>
      <c r="AB125" s="298"/>
      <c r="AC125" s="326" t="str">
        <f>IF(Table2[[#This Row],[Member Type]]="Main Member",Lookups!$C$13,
IF(Table2[[#This Row],[Member Type]]="Spouse",_xlfn.XLOOKUP(B125,Table2[Main Member Link ID],Table2[Product Option],0),
IF(AND(Table2[[#This Row],[Member Type]]="Child",_xlfn.XLOOKUP(B125,Table2[Main Member Link ID],Table2[Product Option],0)&lt;&gt;"My Value Plus Life"),Lookups!$C$24,
IF(AND(OR(Table2[[#This Row],[Member Type]]="Parent",Table2[[#This Row],[Member Type]]="Extended"),_xlfn.XLOOKUP(B125,Table2[Main Member Link ID],Table2[Product Option],0)&lt;&gt;"My Value Plus Life"),Lookups!$C$26,""))))</f>
        <v/>
      </c>
      <c r="AD125" s="326" t="str">
        <f>IF(Table2[[#This Row],[Member Type]]="Main Member",Lookups!$C$14,"")</f>
        <v/>
      </c>
      <c r="AE12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Funeral",_xlfn.XLOOKUP(B125,Table2[Main Member Link ID],Table2[Benefit Name],0)=Lookups!$D$14),"",
IF(AND(Table2[[#This Row],[Member Type]]="Spouse",Table2[[#This Row],[Product Option]]="My Value Plus Life &amp; Funeral",_xlfn.XLOOKUP(B124,Table2[Main Member Link ID],Table2[Benefit Name],0)=Lookups!$D$15),Lookups!$D$20,
IF(AND(Table2[[#This Row],[Member Type]]="Spouse",Table2[[#This Row],[Product Option]]="My Value Plus Life &amp; Funeral",_xlfn.XLOOKUP(B124,Table2[Main Member Link ID],Table2[Benefit Name],0)=Lookups!$D$16),"",
IF(AND(Table2[[#This Row],[Member Type]]="Spouse",Table2[[#This Row],[Product Option]]="My Value Plus Life &amp; Funeral",_xlfn.XLOOKUP(B124,Table2[Main Member Link ID],Table2[Benefit Name],0)=Lookups!$D$17),Lookups!$D$21,
IF(AND(Table2[[#This Row],[Member Type]]="Child",Table2[[#This Row],[Product Option]]="My Value Plus Life &amp; Funeral",_xlfn.XLOOKUP(B125,Table2[Main Member Link ID],Table2[Benefit Name],0)=Lookups!$D$14),"",
IF(AND(Table2[[#This Row],[Member Type]]="Child",Table2[[#This Row],[Product Option]]="My Value Plus Life &amp; Funeral",_xlfn.XLOOKUP(B125,Table2[Main Member Link ID],Table2[Benefit Name],0)=Lookups!$D$15),"",
IF(AND(Table2[[#This Row],[Member Type]]="Child",Table2[[#This Row],[Product Option]]="My Value Plus Life &amp; Funeral",_xlfn.XLOOKUP(B125,Table2[Main Member Link ID],Table2[Benefit Name],0)=Lookups!$D$16),Lookups!$D$24,
IF(AND(Table2[[#This Row],[Member Type]]="Child",Table2[[#This Row],[Product Option]]="My Value Plus Life &amp; Funeral",_xlfn.XLOOKUP(B125,Table2[Main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Funeral",_xlfn.XLOOKUP(B125,Table2[Main Member Link ID],Table2[Benefit Name],0)&lt;&gt;Lookups!$D$14),
IF(_xlfn.XLOOKUP(B125,Table2[Main Member Link ID],Table2[Benefit Name],0)=0,"",_xlfn.XLOOKUP(B125,Table2[Main Member Link ID],Table2[Benefit Name],0)),"")))))))))))))))</f>
        <v/>
      </c>
      <c r="AF125" s="327" t="str">
        <f>IF(AND(Table2[[#This Row],[Member Type]]="Main Member",Table2[[#This Row],[Product Option]]="My Value Plus Life &amp; Funeral"),Lookups!$D$15,
IF(AND(Table2[[#This Row],[Member Type]]="Spouse",Table2[[#This Row],[Product Option]]="My Value Plus Life &amp; Funeral",_xlfn.XLOOKUP(B125,Table2[Main Member Link ID],Table2[Benefit Name],0)=Lookups!$D$14),"",
IF(AND(Table2[[#This Row],[Member Type]]="Spouse",Table2[[#This Row],[Product Option]]="My Value Plus Life &amp; Funeral",_xlfn.XLOOKUP(B124,Table2[Main Member Link ID],Table2[Benefit Name],0)=Lookups!$D$16),"",
IF(AND(Table2[[#This Row],[Member Type]]="Spouse",Table2[[#This Row],[Product Option]]="My Value Plus Life &amp; Funeral",_xlfn.XLOOKUP(B124,Table2[Main Member Link ID],Table2[Benefit Name],0)=Lookups!$D$15),"",
IF(AND(Table2[[#This Row],[Member Type]]="Spouse",Table2[[#This Row],[Product Option]]="My Value Plus Life &amp; Funeral",_xlfn.XLOOKUP(B124,Table2[Main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Funeral",_xlfn.XLOOKUP(B125,Table2[Main Member Link ID],Table2[Benefit Name],0)&lt;&gt;Lookups!$D$15),
IF(_xlfn.XLOOKUP(B125,Table2[Main Member Link ID],Table2[Benefit Name],0)=0,"",_xlfn.XLOOKUP(B125,Table2[Main Member Link ID],Table2[Benefit Name],0)),"")
))))))</f>
        <v/>
      </c>
      <c r="AG125" s="327" t="str">
        <f>IF(AND(Table2[[#This Row],[Member Type]]="Main Member",Table2[[#This Row],[Product Option]]="My Value Plus Life &amp; Funeral"),Lookups!$D$16,
IF(AND(Table2[[#This Row],[Member Type]]="Spouse",Table2[[#This Row],[Product Option]]="My Value Plus Life &amp; Funeral",_xlfn.XLOOKUP(B125,Table2[Main Member Link ID],Table2[Benefit Name],0)=Lookups!$D$14),"",
IF(AND(Table2[[#This Row],[Member Type]]="Spouse",Table2[[#This Row],[Product Option]]="My Value Plus Life &amp; Funeral",_xlfn.XLOOKUP(B124,Table2[Main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Funeral",_xlfn.XLOOKUP(B125,Table2[Main Member Link ID],Table2[Benefit Name],0)&lt;&gt;Lookups!$D$16),
IF(_xlfn.XLOOKUP(B125,Table2[Main Member Link ID],Table2[Benefit Name],0)=0,"",_xlfn.XLOOKUP(B125,Table2[Main Member Link ID],Table2[Benefit Name],0)),"")
))))</f>
        <v/>
      </c>
      <c r="AH125" s="327" t="str">
        <f>IF(AND(Table2[[#This Row],[Member Type]]="Main Member",Table2[[#This Row],[Product Option]]="My Value Plus Life &amp; Funeral"),Lookups!$D$17,
IF(AND(Table2[[#This Row],[Member Type]]="Spouse",Table2[[#This Row],[Product Option]]="My Value Plus Life &amp; Funeral",_xlfn.XLOOKUP(B125,Table2[Main Member Link ID],Table2[Benefit Name],0)=Lookups!$D$14),"",
IF(AND(Table2[[#This Row],[Member Type]]="Spouse",Table2[[#This Row],[Product Option]]="My Value Plus Life &amp; Funeral",_xlfn.XLOOKUP(B124,Table2[Main Member Link ID],Table2[Benefit Name],0)=Lookups!$D$16),"",
IF(AND(Table2[[#This Row],[Member Type]]="Child",Table2[[#This Row],[Product Option]]="My Value Plus Life &amp; Funeral"),"",
IF(AND(Table2[[#This Row],[Member Type]]="Child",Table2[[#This Row],[Product Option]]="My Value Plus Life &amp; Funeral",_xlfn.XLOOKUP(B125,Table2[Main Member Link ID],Table2[Benefit Name],0)=Lookups!$D$15),"",
IF(AND(OR(Table2[[#This Row],[Member Type]]="Spouse",Table2[[#This Row],[Member Type]]="Child"),Table2[[#This Row],[Product Option]]="My Value Plus Life &amp; Funeral",_xlfn.XLOOKUP(B125,Table2[Main Member Link ID],Table2[Benefit Name],0)&lt;&gt;Lookups!$D$17),
IF(_xlfn.XLOOKUP(B125,Table2[Main Member Link ID],Table2[Benefit Name],0)=0,"",_xlfn.XLOOKUP(B125,Table2[Main Member Link ID],Table2[Benefit Name],0)),""))))))</f>
        <v/>
      </c>
      <c r="AI125" s="328" t="str">
        <f>IF(AND(Table2[[#This Row],[Member Type]]="Main Member",Table2[[#This Row],[Table Lookup for Life Cover]]="MM_LIFE",Table2[[#This Row],[Age Next Birthday]]&lt;56),1,
IF(AND(Table2[[#This Row],[Member Type]]="Main Member",Table2[[#This Row],[Table Lookup for Life Cover]]="MM_LIFE",Table2[[#This Row],[Age Next Birthday]]&gt;=56),2,
""))</f>
        <v/>
      </c>
      <c r="AJ125" s="328">
        <f>IF(OR(Table2[[#This Row],[Member Type]]="Main Member",Table2[[#This Row],[Main Member Link ID]]=B124),1,0)</f>
        <v>1</v>
      </c>
      <c r="AK125" s="328">
        <f>IF(Table2[[#This Row],[Member Type]]=0,0,
IF(OR(Table2[[#This Row],[Member Type]]="Main Member",Table2[[#This Row],[Main Member Link ID]]&lt;&gt;B125),COUNTIFS(B:B,Table2[[#This Row],[Main Member Link ID]]),
COUNTIFS(B:B,Table2[[#This Row],[Main Member Link ID]],A:A,Table2[[#This Row],[Member Type]])))</f>
        <v>0</v>
      </c>
    </row>
    <row r="126" spans="1:37" x14ac:dyDescent="0.3">
      <c r="A126" s="284">
        <f>Table13[[#This Row],[Member Type]]</f>
        <v>0</v>
      </c>
      <c r="B126" s="284">
        <f>Table13[[#This Row],[Main Member Link ID]]</f>
        <v>0</v>
      </c>
      <c r="C126" s="284">
        <f>Table13[[#This Row],[ID Number]]</f>
        <v>0</v>
      </c>
      <c r="D126" s="285">
        <f>Table13[[#This Row],[Date Of Birth]]</f>
        <v>0</v>
      </c>
      <c r="E126" s="285">
        <f>Table13[[#This Row],[Commencement Date]]</f>
        <v>0</v>
      </c>
      <c r="F126" s="284">
        <f t="shared" si="7"/>
        <v>1</v>
      </c>
      <c r="G126" s="284">
        <f t="shared" si="8"/>
        <v>25</v>
      </c>
      <c r="H126" s="286">
        <f>Table13[[#This Row],[Product Option]]</f>
        <v>0</v>
      </c>
      <c r="I126" s="284">
        <f>IF(AND($A126="Main Member",Table2[[#This Row],[Product Option]]="My Value Plus Life"),"MM_LIFE",
IF(AND($A126="Spouse",Table2[[#This Row],[Product Option]]="My Value Plus Life"),"SP_LIFE",
IF(AND($A126="Main Member",Table2[[#This Row],[Product Option]]="My Value Plus Life &amp; Funeral"),"MM_LIFE",
IF(AND($A126="Spouse",Table2[[#This Row],[Product Option]]="My Value Plus Life &amp; Funeral"),_xlfn.XLOOKUP(Table2[[#This Row],[Benefit Name]],Lookups!$D$18:$D$23,Lookups!$E$18:$E$23,0),
0))))</f>
        <v>0</v>
      </c>
      <c r="J126" s="284">
        <f>IF($I126="","",
IF($I126="MM_LIFE",INDEX('Quotation Tool'!$S$54:$V$60,MATCH($T126,'Quotation Tool'!$S$54:$S$60,0),4),
IF($I126="SP_LIFE",_xlfn.XLOOKUP(B125,$B:$B,$J:$J,0),0)))</f>
        <v>0</v>
      </c>
      <c r="K126" s="287">
        <f t="shared" ca="1" si="12"/>
        <v>0</v>
      </c>
      <c r="L126" s="288">
        <f t="shared" ca="1" si="13"/>
        <v>0</v>
      </c>
      <c r="M126" s="289">
        <f t="shared" ca="1" si="9"/>
        <v>0</v>
      </c>
      <c r="N126" s="286">
        <f>Table13[[#This Row],[Benefit Option]]</f>
        <v>0</v>
      </c>
      <c r="O126" s="284">
        <f>IF(OR(Table2[[#This Row],[Member Type]]="Spouse",Table2[[#This Row],[Member Type]]="Child"),0,
IF(_xlfn.XLOOKUP($N126,Lookups!$D$13:$D$27,Lookups!$F$13:$F$27,0)=Table2[[#This Row],[Table Lookup for Life Cover]],0,
_xlfn.XLOOKUP($N126,Lookups!$D$13:$D$27,Lookups!$F$13:$F$27,0)))</f>
        <v>0</v>
      </c>
      <c r="P126" s="284">
        <f>IF(Table2[[#This Row],[Table Lookup for Funeral]]=0,0,IFERROR(INDEX('Quotation Tool'!$S$54:$V$60,MATCH($T126,'Quotation Tool'!$S$54:$S$60,0),3),0))</f>
        <v>0</v>
      </c>
      <c r="Q126" s="288">
        <f ca="1">IF(OR(Table2[[#This Row],[Benefit Name]]="My Value Plus Life - Main Member",Table2[[#This Row],[Benefit Name]]="My Value Plus Life - Spouse"),0,
IFERROR(VLOOKUP($G126,INDIRECT($O126),$P126,FALSE),0))</f>
        <v>0</v>
      </c>
      <c r="R126" s="288">
        <f ca="1">IF(OR(Table2[[#This Row],[Benefit Name]]="My Value Plus Life - Main Member",Table2[[#This Row],[Benefit Name]]="My Value Plus Life - Spouse"),0,
IFERROR(VLOOKUP($G126,INDIRECT($O126),$P126+1,FALSE),0))</f>
        <v>0</v>
      </c>
      <c r="S126" s="289">
        <f t="shared" ca="1" si="10"/>
        <v>0</v>
      </c>
      <c r="T126" s="284" t="str">
        <f>IF(Table13[[#This Row],[Premium Waiver]]="","None",Table13[[#This Row],[Premium Waiver]])</f>
        <v>None</v>
      </c>
      <c r="U126" s="284">
        <f>Table13[[#This Row],[VAPs Options]]</f>
        <v>0</v>
      </c>
      <c r="V126" s="284">
        <f>Table13[[#This Row],[Annual Increase Option]]</f>
        <v>0</v>
      </c>
      <c r="W126" s="290">
        <f>Table13[[#This Row],[Life Cover Amount]]</f>
        <v>0</v>
      </c>
      <c r="X126" s="290">
        <f>Table13[[#This Row],[Funeral Cover Amount]]</f>
        <v>0</v>
      </c>
      <c r="Y12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2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26" s="301">
        <f t="shared" ca="1" si="11"/>
        <v>0</v>
      </c>
      <c r="AB126" s="298"/>
      <c r="AC126" s="326" t="str">
        <f>IF(Table2[[#This Row],[Member Type]]="Main Member",Lookups!$C$13,
IF(Table2[[#This Row],[Member Type]]="Spouse",_xlfn.XLOOKUP(B126,Table2[Main Member Link ID],Table2[Product Option],0),
IF(AND(Table2[[#This Row],[Member Type]]="Child",_xlfn.XLOOKUP(B126,Table2[Main Member Link ID],Table2[Product Option],0)&lt;&gt;"My Value Plus Life"),Lookups!$C$24,
IF(AND(OR(Table2[[#This Row],[Member Type]]="Parent",Table2[[#This Row],[Member Type]]="Extended"),_xlfn.XLOOKUP(B126,Table2[Main Member Link ID],Table2[Product Option],0)&lt;&gt;"My Value Plus Life"),Lookups!$C$26,""))))</f>
        <v/>
      </c>
      <c r="AD126" s="326" t="str">
        <f>IF(Table2[[#This Row],[Member Type]]="Main Member",Lookups!$C$14,"")</f>
        <v/>
      </c>
      <c r="AE12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Funeral",_xlfn.XLOOKUP(B126,Table2[Main Member Link ID],Table2[Benefit Name],0)=Lookups!$D$14),"",
IF(AND(Table2[[#This Row],[Member Type]]="Spouse",Table2[[#This Row],[Product Option]]="My Value Plus Life &amp; Funeral",_xlfn.XLOOKUP(B125,Table2[Main Member Link ID],Table2[Benefit Name],0)=Lookups!$D$15),Lookups!$D$20,
IF(AND(Table2[[#This Row],[Member Type]]="Spouse",Table2[[#This Row],[Product Option]]="My Value Plus Life &amp; Funeral",_xlfn.XLOOKUP(B125,Table2[Main Member Link ID],Table2[Benefit Name],0)=Lookups!$D$16),"",
IF(AND(Table2[[#This Row],[Member Type]]="Spouse",Table2[[#This Row],[Product Option]]="My Value Plus Life &amp; Funeral",_xlfn.XLOOKUP(B125,Table2[Main Member Link ID],Table2[Benefit Name],0)=Lookups!$D$17),Lookups!$D$21,
IF(AND(Table2[[#This Row],[Member Type]]="Child",Table2[[#This Row],[Product Option]]="My Value Plus Life &amp; Funeral",_xlfn.XLOOKUP(B126,Table2[Main Member Link ID],Table2[Benefit Name],0)=Lookups!$D$14),"",
IF(AND(Table2[[#This Row],[Member Type]]="Child",Table2[[#This Row],[Product Option]]="My Value Plus Life &amp; Funeral",_xlfn.XLOOKUP(B126,Table2[Main Member Link ID],Table2[Benefit Name],0)=Lookups!$D$15),"",
IF(AND(Table2[[#This Row],[Member Type]]="Child",Table2[[#This Row],[Product Option]]="My Value Plus Life &amp; Funeral",_xlfn.XLOOKUP(B126,Table2[Main Member Link ID],Table2[Benefit Name],0)=Lookups!$D$16),Lookups!$D$24,
IF(AND(Table2[[#This Row],[Member Type]]="Child",Table2[[#This Row],[Product Option]]="My Value Plus Life &amp; Funeral",_xlfn.XLOOKUP(B126,Table2[Main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Funeral",_xlfn.XLOOKUP(B126,Table2[Main Member Link ID],Table2[Benefit Name],0)&lt;&gt;Lookups!$D$14),
IF(_xlfn.XLOOKUP(B126,Table2[Main Member Link ID],Table2[Benefit Name],0)=0,"",_xlfn.XLOOKUP(B126,Table2[Main Member Link ID],Table2[Benefit Name],0)),"")))))))))))))))</f>
        <v/>
      </c>
      <c r="AF126" s="327" t="str">
        <f>IF(AND(Table2[[#This Row],[Member Type]]="Main Member",Table2[[#This Row],[Product Option]]="My Value Plus Life &amp; Funeral"),Lookups!$D$15,
IF(AND(Table2[[#This Row],[Member Type]]="Spouse",Table2[[#This Row],[Product Option]]="My Value Plus Life &amp; Funeral",_xlfn.XLOOKUP(B126,Table2[Main Member Link ID],Table2[Benefit Name],0)=Lookups!$D$14),"",
IF(AND(Table2[[#This Row],[Member Type]]="Spouse",Table2[[#This Row],[Product Option]]="My Value Plus Life &amp; Funeral",_xlfn.XLOOKUP(B125,Table2[Main Member Link ID],Table2[Benefit Name],0)=Lookups!$D$16),"",
IF(AND(Table2[[#This Row],[Member Type]]="Spouse",Table2[[#This Row],[Product Option]]="My Value Plus Life &amp; Funeral",_xlfn.XLOOKUP(B125,Table2[Main Member Link ID],Table2[Benefit Name],0)=Lookups!$D$15),"",
IF(AND(Table2[[#This Row],[Member Type]]="Spouse",Table2[[#This Row],[Product Option]]="My Value Plus Life &amp; Funeral",_xlfn.XLOOKUP(B125,Table2[Main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Funeral",_xlfn.XLOOKUP(B126,Table2[Main Member Link ID],Table2[Benefit Name],0)&lt;&gt;Lookups!$D$15),
IF(_xlfn.XLOOKUP(B126,Table2[Main Member Link ID],Table2[Benefit Name],0)=0,"",_xlfn.XLOOKUP(B126,Table2[Main Member Link ID],Table2[Benefit Name],0)),"")
))))))</f>
        <v/>
      </c>
      <c r="AG126" s="327" t="str">
        <f>IF(AND(Table2[[#This Row],[Member Type]]="Main Member",Table2[[#This Row],[Product Option]]="My Value Plus Life &amp; Funeral"),Lookups!$D$16,
IF(AND(Table2[[#This Row],[Member Type]]="Spouse",Table2[[#This Row],[Product Option]]="My Value Plus Life &amp; Funeral",_xlfn.XLOOKUP(B126,Table2[Main Member Link ID],Table2[Benefit Name],0)=Lookups!$D$14),"",
IF(AND(Table2[[#This Row],[Member Type]]="Spouse",Table2[[#This Row],[Product Option]]="My Value Plus Life &amp; Funeral",_xlfn.XLOOKUP(B125,Table2[Main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Funeral",_xlfn.XLOOKUP(B126,Table2[Main Member Link ID],Table2[Benefit Name],0)&lt;&gt;Lookups!$D$16),
IF(_xlfn.XLOOKUP(B126,Table2[Main Member Link ID],Table2[Benefit Name],0)=0,"",_xlfn.XLOOKUP(B126,Table2[Main Member Link ID],Table2[Benefit Name],0)),"")
))))</f>
        <v/>
      </c>
      <c r="AH126" s="327" t="str">
        <f>IF(AND(Table2[[#This Row],[Member Type]]="Main Member",Table2[[#This Row],[Product Option]]="My Value Plus Life &amp; Funeral"),Lookups!$D$17,
IF(AND(Table2[[#This Row],[Member Type]]="Spouse",Table2[[#This Row],[Product Option]]="My Value Plus Life &amp; Funeral",_xlfn.XLOOKUP(B126,Table2[Main Member Link ID],Table2[Benefit Name],0)=Lookups!$D$14),"",
IF(AND(Table2[[#This Row],[Member Type]]="Spouse",Table2[[#This Row],[Product Option]]="My Value Plus Life &amp; Funeral",_xlfn.XLOOKUP(B125,Table2[Main Member Link ID],Table2[Benefit Name],0)=Lookups!$D$16),"",
IF(AND(Table2[[#This Row],[Member Type]]="Child",Table2[[#This Row],[Product Option]]="My Value Plus Life &amp; Funeral"),"",
IF(AND(Table2[[#This Row],[Member Type]]="Child",Table2[[#This Row],[Product Option]]="My Value Plus Life &amp; Funeral",_xlfn.XLOOKUP(B126,Table2[Main Member Link ID],Table2[Benefit Name],0)=Lookups!$D$15),"",
IF(AND(OR(Table2[[#This Row],[Member Type]]="Spouse",Table2[[#This Row],[Member Type]]="Child"),Table2[[#This Row],[Product Option]]="My Value Plus Life &amp; Funeral",_xlfn.XLOOKUP(B126,Table2[Main Member Link ID],Table2[Benefit Name],0)&lt;&gt;Lookups!$D$17),
IF(_xlfn.XLOOKUP(B126,Table2[Main Member Link ID],Table2[Benefit Name],0)=0,"",_xlfn.XLOOKUP(B126,Table2[Main Member Link ID],Table2[Benefit Name],0)),""))))))</f>
        <v/>
      </c>
      <c r="AI126" s="328" t="str">
        <f>IF(AND(Table2[[#This Row],[Member Type]]="Main Member",Table2[[#This Row],[Table Lookup for Life Cover]]="MM_LIFE",Table2[[#This Row],[Age Next Birthday]]&lt;56),1,
IF(AND(Table2[[#This Row],[Member Type]]="Main Member",Table2[[#This Row],[Table Lookup for Life Cover]]="MM_LIFE",Table2[[#This Row],[Age Next Birthday]]&gt;=56),2,
""))</f>
        <v/>
      </c>
      <c r="AJ126" s="328">
        <f>IF(OR(Table2[[#This Row],[Member Type]]="Main Member",Table2[[#This Row],[Main Member Link ID]]=B125),1,0)</f>
        <v>1</v>
      </c>
      <c r="AK126" s="328">
        <f>IF(Table2[[#This Row],[Member Type]]=0,0,
IF(OR(Table2[[#This Row],[Member Type]]="Main Member",Table2[[#This Row],[Main Member Link ID]]&lt;&gt;B126),COUNTIFS(B:B,Table2[[#This Row],[Main Member Link ID]]),
COUNTIFS(B:B,Table2[[#This Row],[Main Member Link ID]],A:A,Table2[[#This Row],[Member Type]])))</f>
        <v>0</v>
      </c>
    </row>
    <row r="127" spans="1:37" x14ac:dyDescent="0.3">
      <c r="A127" s="284">
        <f>Table13[[#This Row],[Member Type]]</f>
        <v>0</v>
      </c>
      <c r="B127" s="284">
        <f>Table13[[#This Row],[Main Member Link ID]]</f>
        <v>0</v>
      </c>
      <c r="C127" s="284">
        <f>Table13[[#This Row],[ID Number]]</f>
        <v>0</v>
      </c>
      <c r="D127" s="285">
        <f>Table13[[#This Row],[Date Of Birth]]</f>
        <v>0</v>
      </c>
      <c r="E127" s="285">
        <f>Table13[[#This Row],[Commencement Date]]</f>
        <v>0</v>
      </c>
      <c r="F127" s="284">
        <f t="shared" si="7"/>
        <v>1</v>
      </c>
      <c r="G127" s="284">
        <f t="shared" si="8"/>
        <v>25</v>
      </c>
      <c r="H127" s="286">
        <f>Table13[[#This Row],[Product Option]]</f>
        <v>0</v>
      </c>
      <c r="I127" s="284">
        <f>IF(AND($A127="Main Member",Table2[[#This Row],[Product Option]]="My Value Plus Life"),"MM_LIFE",
IF(AND($A127="Spouse",Table2[[#This Row],[Product Option]]="My Value Plus Life"),"SP_LIFE",
IF(AND($A127="Main Member",Table2[[#This Row],[Product Option]]="My Value Plus Life &amp; Funeral"),"MM_LIFE",
IF(AND($A127="Spouse",Table2[[#This Row],[Product Option]]="My Value Plus Life &amp; Funeral"),_xlfn.XLOOKUP(Table2[[#This Row],[Benefit Name]],Lookups!$D$18:$D$23,Lookups!$E$18:$E$23,0),
0))))</f>
        <v>0</v>
      </c>
      <c r="J127" s="284">
        <f>IF($I127="","",
IF($I127="MM_LIFE",INDEX('Quotation Tool'!$S$54:$V$60,MATCH($T127,'Quotation Tool'!$S$54:$S$60,0),4),
IF($I127="SP_LIFE",_xlfn.XLOOKUP(B126,$B:$B,$J:$J,0),0)))</f>
        <v>0</v>
      </c>
      <c r="K127" s="287">
        <f t="shared" ca="1" si="12"/>
        <v>0</v>
      </c>
      <c r="L127" s="288">
        <f t="shared" ca="1" si="13"/>
        <v>0</v>
      </c>
      <c r="M127" s="289">
        <f t="shared" ca="1" si="9"/>
        <v>0</v>
      </c>
      <c r="N127" s="286">
        <f>Table13[[#This Row],[Benefit Option]]</f>
        <v>0</v>
      </c>
      <c r="O127" s="284">
        <f>IF(OR(Table2[[#This Row],[Member Type]]="Spouse",Table2[[#This Row],[Member Type]]="Child"),0,
IF(_xlfn.XLOOKUP($N127,Lookups!$D$13:$D$27,Lookups!$F$13:$F$27,0)=Table2[[#This Row],[Table Lookup for Life Cover]],0,
_xlfn.XLOOKUP($N127,Lookups!$D$13:$D$27,Lookups!$F$13:$F$27,0)))</f>
        <v>0</v>
      </c>
      <c r="P127" s="284">
        <f>IF(Table2[[#This Row],[Table Lookup for Funeral]]=0,0,IFERROR(INDEX('Quotation Tool'!$S$54:$V$60,MATCH($T127,'Quotation Tool'!$S$54:$S$60,0),3),0))</f>
        <v>0</v>
      </c>
      <c r="Q127" s="288">
        <f ca="1">IF(OR(Table2[[#This Row],[Benefit Name]]="My Value Plus Life - Main Member",Table2[[#This Row],[Benefit Name]]="My Value Plus Life - Spouse"),0,
IFERROR(VLOOKUP($G127,INDIRECT($O127),$P127,FALSE),0))</f>
        <v>0</v>
      </c>
      <c r="R127" s="288">
        <f ca="1">IF(OR(Table2[[#This Row],[Benefit Name]]="My Value Plus Life - Main Member",Table2[[#This Row],[Benefit Name]]="My Value Plus Life - Spouse"),0,
IFERROR(VLOOKUP($G127,INDIRECT($O127),$P127+1,FALSE),0))</f>
        <v>0</v>
      </c>
      <c r="S127" s="289">
        <f t="shared" ca="1" si="10"/>
        <v>0</v>
      </c>
      <c r="T127" s="284" t="str">
        <f>IF(Table13[[#This Row],[Premium Waiver]]="","None",Table13[[#This Row],[Premium Waiver]])</f>
        <v>None</v>
      </c>
      <c r="U127" s="284">
        <f>Table13[[#This Row],[VAPs Options]]</f>
        <v>0</v>
      </c>
      <c r="V127" s="284">
        <f>Table13[[#This Row],[Annual Increase Option]]</f>
        <v>0</v>
      </c>
      <c r="W127" s="290">
        <f>Table13[[#This Row],[Life Cover Amount]]</f>
        <v>0</v>
      </c>
      <c r="X127" s="290">
        <f>Table13[[#This Row],[Funeral Cover Amount]]</f>
        <v>0</v>
      </c>
      <c r="Y12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2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27" s="301">
        <f t="shared" ca="1" si="11"/>
        <v>0</v>
      </c>
      <c r="AB127" s="298"/>
      <c r="AC127" s="326" t="str">
        <f>IF(Table2[[#This Row],[Member Type]]="Main Member",Lookups!$C$13,
IF(Table2[[#This Row],[Member Type]]="Spouse",_xlfn.XLOOKUP(B127,Table2[Main Member Link ID],Table2[Product Option],0),
IF(AND(Table2[[#This Row],[Member Type]]="Child",_xlfn.XLOOKUP(B127,Table2[Main Member Link ID],Table2[Product Option],0)&lt;&gt;"My Value Plus Life"),Lookups!$C$24,
IF(AND(OR(Table2[[#This Row],[Member Type]]="Parent",Table2[[#This Row],[Member Type]]="Extended"),_xlfn.XLOOKUP(B127,Table2[Main Member Link ID],Table2[Product Option],0)&lt;&gt;"My Value Plus Life"),Lookups!$C$26,""))))</f>
        <v/>
      </c>
      <c r="AD127" s="326" t="str">
        <f>IF(Table2[[#This Row],[Member Type]]="Main Member",Lookups!$C$14,"")</f>
        <v/>
      </c>
      <c r="AE12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Funeral",_xlfn.XLOOKUP(B127,Table2[Main Member Link ID],Table2[Benefit Name],0)=Lookups!$D$14),"",
IF(AND(Table2[[#This Row],[Member Type]]="Spouse",Table2[[#This Row],[Product Option]]="My Value Plus Life &amp; Funeral",_xlfn.XLOOKUP(B126,Table2[Main Member Link ID],Table2[Benefit Name],0)=Lookups!$D$15),Lookups!$D$20,
IF(AND(Table2[[#This Row],[Member Type]]="Spouse",Table2[[#This Row],[Product Option]]="My Value Plus Life &amp; Funeral",_xlfn.XLOOKUP(B126,Table2[Main Member Link ID],Table2[Benefit Name],0)=Lookups!$D$16),"",
IF(AND(Table2[[#This Row],[Member Type]]="Spouse",Table2[[#This Row],[Product Option]]="My Value Plus Life &amp; Funeral",_xlfn.XLOOKUP(B126,Table2[Main Member Link ID],Table2[Benefit Name],0)=Lookups!$D$17),Lookups!$D$21,
IF(AND(Table2[[#This Row],[Member Type]]="Child",Table2[[#This Row],[Product Option]]="My Value Plus Life &amp; Funeral",_xlfn.XLOOKUP(B127,Table2[Main Member Link ID],Table2[Benefit Name],0)=Lookups!$D$14),"",
IF(AND(Table2[[#This Row],[Member Type]]="Child",Table2[[#This Row],[Product Option]]="My Value Plus Life &amp; Funeral",_xlfn.XLOOKUP(B127,Table2[Main Member Link ID],Table2[Benefit Name],0)=Lookups!$D$15),"",
IF(AND(Table2[[#This Row],[Member Type]]="Child",Table2[[#This Row],[Product Option]]="My Value Plus Life &amp; Funeral",_xlfn.XLOOKUP(B127,Table2[Main Member Link ID],Table2[Benefit Name],0)=Lookups!$D$16),Lookups!$D$24,
IF(AND(Table2[[#This Row],[Member Type]]="Child",Table2[[#This Row],[Product Option]]="My Value Plus Life &amp; Funeral",_xlfn.XLOOKUP(B127,Table2[Main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Funeral",_xlfn.XLOOKUP(B127,Table2[Main Member Link ID],Table2[Benefit Name],0)&lt;&gt;Lookups!$D$14),
IF(_xlfn.XLOOKUP(B127,Table2[Main Member Link ID],Table2[Benefit Name],0)=0,"",_xlfn.XLOOKUP(B127,Table2[Main Member Link ID],Table2[Benefit Name],0)),"")))))))))))))))</f>
        <v/>
      </c>
      <c r="AF127" s="327" t="str">
        <f>IF(AND(Table2[[#This Row],[Member Type]]="Main Member",Table2[[#This Row],[Product Option]]="My Value Plus Life &amp; Funeral"),Lookups!$D$15,
IF(AND(Table2[[#This Row],[Member Type]]="Spouse",Table2[[#This Row],[Product Option]]="My Value Plus Life &amp; Funeral",_xlfn.XLOOKUP(B127,Table2[Main Member Link ID],Table2[Benefit Name],0)=Lookups!$D$14),"",
IF(AND(Table2[[#This Row],[Member Type]]="Spouse",Table2[[#This Row],[Product Option]]="My Value Plus Life &amp; Funeral",_xlfn.XLOOKUP(B126,Table2[Main Member Link ID],Table2[Benefit Name],0)=Lookups!$D$16),"",
IF(AND(Table2[[#This Row],[Member Type]]="Spouse",Table2[[#This Row],[Product Option]]="My Value Plus Life &amp; Funeral",_xlfn.XLOOKUP(B126,Table2[Main Member Link ID],Table2[Benefit Name],0)=Lookups!$D$15),"",
IF(AND(Table2[[#This Row],[Member Type]]="Spouse",Table2[[#This Row],[Product Option]]="My Value Plus Life &amp; Funeral",_xlfn.XLOOKUP(B126,Table2[Main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Funeral",_xlfn.XLOOKUP(B127,Table2[Main Member Link ID],Table2[Benefit Name],0)&lt;&gt;Lookups!$D$15),
IF(_xlfn.XLOOKUP(B127,Table2[Main Member Link ID],Table2[Benefit Name],0)=0,"",_xlfn.XLOOKUP(B127,Table2[Main Member Link ID],Table2[Benefit Name],0)),"")
))))))</f>
        <v/>
      </c>
      <c r="AG127" s="327" t="str">
        <f>IF(AND(Table2[[#This Row],[Member Type]]="Main Member",Table2[[#This Row],[Product Option]]="My Value Plus Life &amp; Funeral"),Lookups!$D$16,
IF(AND(Table2[[#This Row],[Member Type]]="Spouse",Table2[[#This Row],[Product Option]]="My Value Plus Life &amp; Funeral",_xlfn.XLOOKUP(B127,Table2[Main Member Link ID],Table2[Benefit Name],0)=Lookups!$D$14),"",
IF(AND(Table2[[#This Row],[Member Type]]="Spouse",Table2[[#This Row],[Product Option]]="My Value Plus Life &amp; Funeral",_xlfn.XLOOKUP(B126,Table2[Main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Funeral",_xlfn.XLOOKUP(B127,Table2[Main Member Link ID],Table2[Benefit Name],0)&lt;&gt;Lookups!$D$16),
IF(_xlfn.XLOOKUP(B127,Table2[Main Member Link ID],Table2[Benefit Name],0)=0,"",_xlfn.XLOOKUP(B127,Table2[Main Member Link ID],Table2[Benefit Name],0)),"")
))))</f>
        <v/>
      </c>
      <c r="AH127" s="327" t="str">
        <f>IF(AND(Table2[[#This Row],[Member Type]]="Main Member",Table2[[#This Row],[Product Option]]="My Value Plus Life &amp; Funeral"),Lookups!$D$17,
IF(AND(Table2[[#This Row],[Member Type]]="Spouse",Table2[[#This Row],[Product Option]]="My Value Plus Life &amp; Funeral",_xlfn.XLOOKUP(B127,Table2[Main Member Link ID],Table2[Benefit Name],0)=Lookups!$D$14),"",
IF(AND(Table2[[#This Row],[Member Type]]="Spouse",Table2[[#This Row],[Product Option]]="My Value Plus Life &amp; Funeral",_xlfn.XLOOKUP(B126,Table2[Main Member Link ID],Table2[Benefit Name],0)=Lookups!$D$16),"",
IF(AND(Table2[[#This Row],[Member Type]]="Child",Table2[[#This Row],[Product Option]]="My Value Plus Life &amp; Funeral"),"",
IF(AND(Table2[[#This Row],[Member Type]]="Child",Table2[[#This Row],[Product Option]]="My Value Plus Life &amp; Funeral",_xlfn.XLOOKUP(B127,Table2[Main Member Link ID],Table2[Benefit Name],0)=Lookups!$D$15),"",
IF(AND(OR(Table2[[#This Row],[Member Type]]="Spouse",Table2[[#This Row],[Member Type]]="Child"),Table2[[#This Row],[Product Option]]="My Value Plus Life &amp; Funeral",_xlfn.XLOOKUP(B127,Table2[Main Member Link ID],Table2[Benefit Name],0)&lt;&gt;Lookups!$D$17),
IF(_xlfn.XLOOKUP(B127,Table2[Main Member Link ID],Table2[Benefit Name],0)=0,"",_xlfn.XLOOKUP(B127,Table2[Main Member Link ID],Table2[Benefit Name],0)),""))))))</f>
        <v/>
      </c>
      <c r="AI127" s="328" t="str">
        <f>IF(AND(Table2[[#This Row],[Member Type]]="Main Member",Table2[[#This Row],[Table Lookup for Life Cover]]="MM_LIFE",Table2[[#This Row],[Age Next Birthday]]&lt;56),1,
IF(AND(Table2[[#This Row],[Member Type]]="Main Member",Table2[[#This Row],[Table Lookup for Life Cover]]="MM_LIFE",Table2[[#This Row],[Age Next Birthday]]&gt;=56),2,
""))</f>
        <v/>
      </c>
      <c r="AJ127" s="328">
        <f>IF(OR(Table2[[#This Row],[Member Type]]="Main Member",Table2[[#This Row],[Main Member Link ID]]=B126),1,0)</f>
        <v>1</v>
      </c>
      <c r="AK127" s="328">
        <f>IF(Table2[[#This Row],[Member Type]]=0,0,
IF(OR(Table2[[#This Row],[Member Type]]="Main Member",Table2[[#This Row],[Main Member Link ID]]&lt;&gt;B127),COUNTIFS(B:B,Table2[[#This Row],[Main Member Link ID]]),
COUNTIFS(B:B,Table2[[#This Row],[Main Member Link ID]],A:A,Table2[[#This Row],[Member Type]])))</f>
        <v>0</v>
      </c>
    </row>
    <row r="128" spans="1:37" x14ac:dyDescent="0.3">
      <c r="A128" s="284">
        <f>Table13[[#This Row],[Member Type]]</f>
        <v>0</v>
      </c>
      <c r="B128" s="284">
        <f>Table13[[#This Row],[Main Member Link ID]]</f>
        <v>0</v>
      </c>
      <c r="C128" s="284">
        <f>Table13[[#This Row],[ID Number]]</f>
        <v>0</v>
      </c>
      <c r="D128" s="285">
        <f>Table13[[#This Row],[Date Of Birth]]</f>
        <v>0</v>
      </c>
      <c r="E128" s="285">
        <f>Table13[[#This Row],[Commencement Date]]</f>
        <v>0</v>
      </c>
      <c r="F128" s="284">
        <f t="shared" si="7"/>
        <v>1</v>
      </c>
      <c r="G128" s="284">
        <f t="shared" si="8"/>
        <v>25</v>
      </c>
      <c r="H128" s="286">
        <f>Table13[[#This Row],[Product Option]]</f>
        <v>0</v>
      </c>
      <c r="I128" s="284">
        <f>IF(AND($A128="Main Member",Table2[[#This Row],[Product Option]]="My Value Plus Life"),"MM_LIFE",
IF(AND($A128="Spouse",Table2[[#This Row],[Product Option]]="My Value Plus Life"),"SP_LIFE",
IF(AND($A128="Main Member",Table2[[#This Row],[Product Option]]="My Value Plus Life &amp; Funeral"),"MM_LIFE",
IF(AND($A128="Spouse",Table2[[#This Row],[Product Option]]="My Value Plus Life &amp; Funeral"),_xlfn.XLOOKUP(Table2[[#This Row],[Benefit Name]],Lookups!$D$18:$D$23,Lookups!$E$18:$E$23,0),
0))))</f>
        <v>0</v>
      </c>
      <c r="J128" s="284">
        <f>IF($I128="","",
IF($I128="MM_LIFE",INDEX('Quotation Tool'!$S$54:$V$60,MATCH($T128,'Quotation Tool'!$S$54:$S$60,0),4),
IF($I128="SP_LIFE",_xlfn.XLOOKUP(B127,$B:$B,$J:$J,0),0)))</f>
        <v>0</v>
      </c>
      <c r="K128" s="287">
        <f t="shared" ca="1" si="12"/>
        <v>0</v>
      </c>
      <c r="L128" s="288">
        <f t="shared" ca="1" si="13"/>
        <v>0</v>
      </c>
      <c r="M128" s="289">
        <f t="shared" ca="1" si="9"/>
        <v>0</v>
      </c>
      <c r="N128" s="286">
        <f>Table13[[#This Row],[Benefit Option]]</f>
        <v>0</v>
      </c>
      <c r="O128" s="284">
        <f>IF(OR(Table2[[#This Row],[Member Type]]="Spouse",Table2[[#This Row],[Member Type]]="Child"),0,
IF(_xlfn.XLOOKUP($N128,Lookups!$D$13:$D$27,Lookups!$F$13:$F$27,0)=Table2[[#This Row],[Table Lookup for Life Cover]],0,
_xlfn.XLOOKUP($N128,Lookups!$D$13:$D$27,Lookups!$F$13:$F$27,0)))</f>
        <v>0</v>
      </c>
      <c r="P128" s="284">
        <f>IF(Table2[[#This Row],[Table Lookup for Funeral]]=0,0,IFERROR(INDEX('Quotation Tool'!$S$54:$V$60,MATCH($T128,'Quotation Tool'!$S$54:$S$60,0),3),0))</f>
        <v>0</v>
      </c>
      <c r="Q128" s="288">
        <f ca="1">IF(OR(Table2[[#This Row],[Benefit Name]]="My Value Plus Life - Main Member",Table2[[#This Row],[Benefit Name]]="My Value Plus Life - Spouse"),0,
IFERROR(VLOOKUP($G128,INDIRECT($O128),$P128,FALSE),0))</f>
        <v>0</v>
      </c>
      <c r="R128" s="288">
        <f ca="1">IF(OR(Table2[[#This Row],[Benefit Name]]="My Value Plus Life - Main Member",Table2[[#This Row],[Benefit Name]]="My Value Plus Life - Spouse"),0,
IFERROR(VLOOKUP($G128,INDIRECT($O128),$P128+1,FALSE),0))</f>
        <v>0</v>
      </c>
      <c r="S128" s="289">
        <f t="shared" ca="1" si="10"/>
        <v>0</v>
      </c>
      <c r="T128" s="284" t="str">
        <f>IF(Table13[[#This Row],[Premium Waiver]]="","None",Table13[[#This Row],[Premium Waiver]])</f>
        <v>None</v>
      </c>
      <c r="U128" s="284">
        <f>Table13[[#This Row],[VAPs Options]]</f>
        <v>0</v>
      </c>
      <c r="V128" s="284">
        <f>Table13[[#This Row],[Annual Increase Option]]</f>
        <v>0</v>
      </c>
      <c r="W128" s="290">
        <f>Table13[[#This Row],[Life Cover Amount]]</f>
        <v>0</v>
      </c>
      <c r="X128" s="290">
        <f>Table13[[#This Row],[Funeral Cover Amount]]</f>
        <v>0</v>
      </c>
      <c r="Y12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2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28" s="301">
        <f t="shared" ca="1" si="11"/>
        <v>0</v>
      </c>
      <c r="AB128" s="298"/>
      <c r="AC128" s="326" t="str">
        <f>IF(Table2[[#This Row],[Member Type]]="Main Member",Lookups!$C$13,
IF(Table2[[#This Row],[Member Type]]="Spouse",_xlfn.XLOOKUP(B128,Table2[Main Member Link ID],Table2[Product Option],0),
IF(AND(Table2[[#This Row],[Member Type]]="Child",_xlfn.XLOOKUP(B128,Table2[Main Member Link ID],Table2[Product Option],0)&lt;&gt;"My Value Plus Life"),Lookups!$C$24,
IF(AND(OR(Table2[[#This Row],[Member Type]]="Parent",Table2[[#This Row],[Member Type]]="Extended"),_xlfn.XLOOKUP(B128,Table2[Main Member Link ID],Table2[Product Option],0)&lt;&gt;"My Value Plus Life"),Lookups!$C$26,""))))</f>
        <v/>
      </c>
      <c r="AD128" s="326" t="str">
        <f>IF(Table2[[#This Row],[Member Type]]="Main Member",Lookups!$C$14,"")</f>
        <v/>
      </c>
      <c r="AE12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Funeral",_xlfn.XLOOKUP(B128,Table2[Main Member Link ID],Table2[Benefit Name],0)=Lookups!$D$14),"",
IF(AND(Table2[[#This Row],[Member Type]]="Spouse",Table2[[#This Row],[Product Option]]="My Value Plus Life &amp; Funeral",_xlfn.XLOOKUP(B127,Table2[Main Member Link ID],Table2[Benefit Name],0)=Lookups!$D$15),Lookups!$D$20,
IF(AND(Table2[[#This Row],[Member Type]]="Spouse",Table2[[#This Row],[Product Option]]="My Value Plus Life &amp; Funeral",_xlfn.XLOOKUP(B127,Table2[Main Member Link ID],Table2[Benefit Name],0)=Lookups!$D$16),"",
IF(AND(Table2[[#This Row],[Member Type]]="Spouse",Table2[[#This Row],[Product Option]]="My Value Plus Life &amp; Funeral",_xlfn.XLOOKUP(B127,Table2[Main Member Link ID],Table2[Benefit Name],0)=Lookups!$D$17),Lookups!$D$21,
IF(AND(Table2[[#This Row],[Member Type]]="Child",Table2[[#This Row],[Product Option]]="My Value Plus Life &amp; Funeral",_xlfn.XLOOKUP(B128,Table2[Main Member Link ID],Table2[Benefit Name],0)=Lookups!$D$14),"",
IF(AND(Table2[[#This Row],[Member Type]]="Child",Table2[[#This Row],[Product Option]]="My Value Plus Life &amp; Funeral",_xlfn.XLOOKUP(B128,Table2[Main Member Link ID],Table2[Benefit Name],0)=Lookups!$D$15),"",
IF(AND(Table2[[#This Row],[Member Type]]="Child",Table2[[#This Row],[Product Option]]="My Value Plus Life &amp; Funeral",_xlfn.XLOOKUP(B128,Table2[Main Member Link ID],Table2[Benefit Name],0)=Lookups!$D$16),Lookups!$D$24,
IF(AND(Table2[[#This Row],[Member Type]]="Child",Table2[[#This Row],[Product Option]]="My Value Plus Life &amp; Funeral",_xlfn.XLOOKUP(B128,Table2[Main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Funeral",_xlfn.XLOOKUP(B128,Table2[Main Member Link ID],Table2[Benefit Name],0)&lt;&gt;Lookups!$D$14),
IF(_xlfn.XLOOKUP(B128,Table2[Main Member Link ID],Table2[Benefit Name],0)=0,"",_xlfn.XLOOKUP(B128,Table2[Main Member Link ID],Table2[Benefit Name],0)),"")))))))))))))))</f>
        <v/>
      </c>
      <c r="AF128" s="327" t="str">
        <f>IF(AND(Table2[[#This Row],[Member Type]]="Main Member",Table2[[#This Row],[Product Option]]="My Value Plus Life &amp; Funeral"),Lookups!$D$15,
IF(AND(Table2[[#This Row],[Member Type]]="Spouse",Table2[[#This Row],[Product Option]]="My Value Plus Life &amp; Funeral",_xlfn.XLOOKUP(B128,Table2[Main Member Link ID],Table2[Benefit Name],0)=Lookups!$D$14),"",
IF(AND(Table2[[#This Row],[Member Type]]="Spouse",Table2[[#This Row],[Product Option]]="My Value Plus Life &amp; Funeral",_xlfn.XLOOKUP(B127,Table2[Main Member Link ID],Table2[Benefit Name],0)=Lookups!$D$16),"",
IF(AND(Table2[[#This Row],[Member Type]]="Spouse",Table2[[#This Row],[Product Option]]="My Value Plus Life &amp; Funeral",_xlfn.XLOOKUP(B127,Table2[Main Member Link ID],Table2[Benefit Name],0)=Lookups!$D$15),"",
IF(AND(Table2[[#This Row],[Member Type]]="Spouse",Table2[[#This Row],[Product Option]]="My Value Plus Life &amp; Funeral",_xlfn.XLOOKUP(B127,Table2[Main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Funeral",_xlfn.XLOOKUP(B128,Table2[Main Member Link ID],Table2[Benefit Name],0)&lt;&gt;Lookups!$D$15),
IF(_xlfn.XLOOKUP(B128,Table2[Main Member Link ID],Table2[Benefit Name],0)=0,"",_xlfn.XLOOKUP(B128,Table2[Main Member Link ID],Table2[Benefit Name],0)),"")
))))))</f>
        <v/>
      </c>
      <c r="AG128" s="327" t="str">
        <f>IF(AND(Table2[[#This Row],[Member Type]]="Main Member",Table2[[#This Row],[Product Option]]="My Value Plus Life &amp; Funeral"),Lookups!$D$16,
IF(AND(Table2[[#This Row],[Member Type]]="Spouse",Table2[[#This Row],[Product Option]]="My Value Plus Life &amp; Funeral",_xlfn.XLOOKUP(B128,Table2[Main Member Link ID],Table2[Benefit Name],0)=Lookups!$D$14),"",
IF(AND(Table2[[#This Row],[Member Type]]="Spouse",Table2[[#This Row],[Product Option]]="My Value Plus Life &amp; Funeral",_xlfn.XLOOKUP(B127,Table2[Main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Funeral",_xlfn.XLOOKUP(B128,Table2[Main Member Link ID],Table2[Benefit Name],0)&lt;&gt;Lookups!$D$16),
IF(_xlfn.XLOOKUP(B128,Table2[Main Member Link ID],Table2[Benefit Name],0)=0,"",_xlfn.XLOOKUP(B128,Table2[Main Member Link ID],Table2[Benefit Name],0)),"")
))))</f>
        <v/>
      </c>
      <c r="AH128" s="327" t="str">
        <f>IF(AND(Table2[[#This Row],[Member Type]]="Main Member",Table2[[#This Row],[Product Option]]="My Value Plus Life &amp; Funeral"),Lookups!$D$17,
IF(AND(Table2[[#This Row],[Member Type]]="Spouse",Table2[[#This Row],[Product Option]]="My Value Plus Life &amp; Funeral",_xlfn.XLOOKUP(B128,Table2[Main Member Link ID],Table2[Benefit Name],0)=Lookups!$D$14),"",
IF(AND(Table2[[#This Row],[Member Type]]="Spouse",Table2[[#This Row],[Product Option]]="My Value Plus Life &amp; Funeral",_xlfn.XLOOKUP(B127,Table2[Main Member Link ID],Table2[Benefit Name],0)=Lookups!$D$16),"",
IF(AND(Table2[[#This Row],[Member Type]]="Child",Table2[[#This Row],[Product Option]]="My Value Plus Life &amp; Funeral"),"",
IF(AND(Table2[[#This Row],[Member Type]]="Child",Table2[[#This Row],[Product Option]]="My Value Plus Life &amp; Funeral",_xlfn.XLOOKUP(B128,Table2[Main Member Link ID],Table2[Benefit Name],0)=Lookups!$D$15),"",
IF(AND(OR(Table2[[#This Row],[Member Type]]="Spouse",Table2[[#This Row],[Member Type]]="Child"),Table2[[#This Row],[Product Option]]="My Value Plus Life &amp; Funeral",_xlfn.XLOOKUP(B128,Table2[Main Member Link ID],Table2[Benefit Name],0)&lt;&gt;Lookups!$D$17),
IF(_xlfn.XLOOKUP(B128,Table2[Main Member Link ID],Table2[Benefit Name],0)=0,"",_xlfn.XLOOKUP(B128,Table2[Main Member Link ID],Table2[Benefit Name],0)),""))))))</f>
        <v/>
      </c>
      <c r="AI128" s="328" t="str">
        <f>IF(AND(Table2[[#This Row],[Member Type]]="Main Member",Table2[[#This Row],[Table Lookup for Life Cover]]="MM_LIFE",Table2[[#This Row],[Age Next Birthday]]&lt;56),1,
IF(AND(Table2[[#This Row],[Member Type]]="Main Member",Table2[[#This Row],[Table Lookup for Life Cover]]="MM_LIFE",Table2[[#This Row],[Age Next Birthday]]&gt;=56),2,
""))</f>
        <v/>
      </c>
      <c r="AJ128" s="328">
        <f>IF(OR(Table2[[#This Row],[Member Type]]="Main Member",Table2[[#This Row],[Main Member Link ID]]=B127),1,0)</f>
        <v>1</v>
      </c>
      <c r="AK128" s="328">
        <f>IF(Table2[[#This Row],[Member Type]]=0,0,
IF(OR(Table2[[#This Row],[Member Type]]="Main Member",Table2[[#This Row],[Main Member Link ID]]&lt;&gt;B128),COUNTIFS(B:B,Table2[[#This Row],[Main Member Link ID]]),
COUNTIFS(B:B,Table2[[#This Row],[Main Member Link ID]],A:A,Table2[[#This Row],[Member Type]])))</f>
        <v>0</v>
      </c>
    </row>
    <row r="129" spans="1:37" x14ac:dyDescent="0.3">
      <c r="A129" s="284">
        <f>Table13[[#This Row],[Member Type]]</f>
        <v>0</v>
      </c>
      <c r="B129" s="284">
        <f>Table13[[#This Row],[Main Member Link ID]]</f>
        <v>0</v>
      </c>
      <c r="C129" s="284">
        <f>Table13[[#This Row],[ID Number]]</f>
        <v>0</v>
      </c>
      <c r="D129" s="285">
        <f>Table13[[#This Row],[Date Of Birth]]</f>
        <v>0</v>
      </c>
      <c r="E129" s="285">
        <f>Table13[[#This Row],[Commencement Date]]</f>
        <v>0</v>
      </c>
      <c r="F129" s="284">
        <f t="shared" si="7"/>
        <v>1</v>
      </c>
      <c r="G129" s="284">
        <f t="shared" si="8"/>
        <v>25</v>
      </c>
      <c r="H129" s="286">
        <f>Table13[[#This Row],[Product Option]]</f>
        <v>0</v>
      </c>
      <c r="I129" s="284">
        <f>IF(AND($A129="Main Member",Table2[[#This Row],[Product Option]]="My Value Plus Life"),"MM_LIFE",
IF(AND($A129="Spouse",Table2[[#This Row],[Product Option]]="My Value Plus Life"),"SP_LIFE",
IF(AND($A129="Main Member",Table2[[#This Row],[Product Option]]="My Value Plus Life &amp; Funeral"),"MM_LIFE",
IF(AND($A129="Spouse",Table2[[#This Row],[Product Option]]="My Value Plus Life &amp; Funeral"),_xlfn.XLOOKUP(Table2[[#This Row],[Benefit Name]],Lookups!$D$18:$D$23,Lookups!$E$18:$E$23,0),
0))))</f>
        <v>0</v>
      </c>
      <c r="J129" s="284">
        <f>IF($I129="","",
IF($I129="MM_LIFE",INDEX('Quotation Tool'!$S$54:$V$60,MATCH($T129,'Quotation Tool'!$S$54:$S$60,0),4),
IF($I129="SP_LIFE",_xlfn.XLOOKUP(B128,$B:$B,$J:$J,0),0)))</f>
        <v>0</v>
      </c>
      <c r="K129" s="287">
        <f t="shared" ca="1" si="12"/>
        <v>0</v>
      </c>
      <c r="L129" s="288">
        <f t="shared" ca="1" si="13"/>
        <v>0</v>
      </c>
      <c r="M129" s="289">
        <f t="shared" ca="1" si="9"/>
        <v>0</v>
      </c>
      <c r="N129" s="286">
        <f>Table13[[#This Row],[Benefit Option]]</f>
        <v>0</v>
      </c>
      <c r="O129" s="284">
        <f>IF(OR(Table2[[#This Row],[Member Type]]="Spouse",Table2[[#This Row],[Member Type]]="Child"),0,
IF(_xlfn.XLOOKUP($N129,Lookups!$D$13:$D$27,Lookups!$F$13:$F$27,0)=Table2[[#This Row],[Table Lookup for Life Cover]],0,
_xlfn.XLOOKUP($N129,Lookups!$D$13:$D$27,Lookups!$F$13:$F$27,0)))</f>
        <v>0</v>
      </c>
      <c r="P129" s="284">
        <f>IF(Table2[[#This Row],[Table Lookup for Funeral]]=0,0,IFERROR(INDEX('Quotation Tool'!$S$54:$V$60,MATCH($T129,'Quotation Tool'!$S$54:$S$60,0),3),0))</f>
        <v>0</v>
      </c>
      <c r="Q129" s="288">
        <f ca="1">IF(OR(Table2[[#This Row],[Benefit Name]]="My Value Plus Life - Main Member",Table2[[#This Row],[Benefit Name]]="My Value Plus Life - Spouse"),0,
IFERROR(VLOOKUP($G129,INDIRECT($O129),$P129,FALSE),0))</f>
        <v>0</v>
      </c>
      <c r="R129" s="288">
        <f ca="1">IF(OR(Table2[[#This Row],[Benefit Name]]="My Value Plus Life - Main Member",Table2[[#This Row],[Benefit Name]]="My Value Plus Life - Spouse"),0,
IFERROR(VLOOKUP($G129,INDIRECT($O129),$P129+1,FALSE),0))</f>
        <v>0</v>
      </c>
      <c r="S129" s="289">
        <f t="shared" ca="1" si="10"/>
        <v>0</v>
      </c>
      <c r="T129" s="284" t="str">
        <f>IF(Table13[[#This Row],[Premium Waiver]]="","None",Table13[[#This Row],[Premium Waiver]])</f>
        <v>None</v>
      </c>
      <c r="U129" s="284">
        <f>Table13[[#This Row],[VAPs Options]]</f>
        <v>0</v>
      </c>
      <c r="V129" s="284">
        <f>Table13[[#This Row],[Annual Increase Option]]</f>
        <v>0</v>
      </c>
      <c r="W129" s="290">
        <f>Table13[[#This Row],[Life Cover Amount]]</f>
        <v>0</v>
      </c>
      <c r="X129" s="290">
        <f>Table13[[#This Row],[Funeral Cover Amount]]</f>
        <v>0</v>
      </c>
      <c r="Y12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2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29" s="301">
        <f t="shared" ca="1" si="11"/>
        <v>0</v>
      </c>
      <c r="AB129" s="298"/>
      <c r="AC129" s="326" t="str">
        <f>IF(Table2[[#This Row],[Member Type]]="Main Member",Lookups!$C$13,
IF(Table2[[#This Row],[Member Type]]="Spouse",_xlfn.XLOOKUP(B129,Table2[Main Member Link ID],Table2[Product Option],0),
IF(AND(Table2[[#This Row],[Member Type]]="Child",_xlfn.XLOOKUP(B129,Table2[Main Member Link ID],Table2[Product Option],0)&lt;&gt;"My Value Plus Life"),Lookups!$C$24,
IF(AND(OR(Table2[[#This Row],[Member Type]]="Parent",Table2[[#This Row],[Member Type]]="Extended"),_xlfn.XLOOKUP(B129,Table2[Main Member Link ID],Table2[Product Option],0)&lt;&gt;"My Value Plus Life"),Lookups!$C$26,""))))</f>
        <v/>
      </c>
      <c r="AD129" s="326" t="str">
        <f>IF(Table2[[#This Row],[Member Type]]="Main Member",Lookups!$C$14,"")</f>
        <v/>
      </c>
      <c r="AE12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Funeral",_xlfn.XLOOKUP(B129,Table2[Main Member Link ID],Table2[Benefit Name],0)=Lookups!$D$14),"",
IF(AND(Table2[[#This Row],[Member Type]]="Spouse",Table2[[#This Row],[Product Option]]="My Value Plus Life &amp; Funeral",_xlfn.XLOOKUP(B128,Table2[Main Member Link ID],Table2[Benefit Name],0)=Lookups!$D$15),Lookups!$D$20,
IF(AND(Table2[[#This Row],[Member Type]]="Spouse",Table2[[#This Row],[Product Option]]="My Value Plus Life &amp; Funeral",_xlfn.XLOOKUP(B128,Table2[Main Member Link ID],Table2[Benefit Name],0)=Lookups!$D$16),"",
IF(AND(Table2[[#This Row],[Member Type]]="Spouse",Table2[[#This Row],[Product Option]]="My Value Plus Life &amp; Funeral",_xlfn.XLOOKUP(B128,Table2[Main Member Link ID],Table2[Benefit Name],0)=Lookups!$D$17),Lookups!$D$21,
IF(AND(Table2[[#This Row],[Member Type]]="Child",Table2[[#This Row],[Product Option]]="My Value Plus Life &amp; Funeral",_xlfn.XLOOKUP(B129,Table2[Main Member Link ID],Table2[Benefit Name],0)=Lookups!$D$14),"",
IF(AND(Table2[[#This Row],[Member Type]]="Child",Table2[[#This Row],[Product Option]]="My Value Plus Life &amp; Funeral",_xlfn.XLOOKUP(B129,Table2[Main Member Link ID],Table2[Benefit Name],0)=Lookups!$D$15),"",
IF(AND(Table2[[#This Row],[Member Type]]="Child",Table2[[#This Row],[Product Option]]="My Value Plus Life &amp; Funeral",_xlfn.XLOOKUP(B129,Table2[Main Member Link ID],Table2[Benefit Name],0)=Lookups!$D$16),Lookups!$D$24,
IF(AND(Table2[[#This Row],[Member Type]]="Child",Table2[[#This Row],[Product Option]]="My Value Plus Life &amp; Funeral",_xlfn.XLOOKUP(B129,Table2[Main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Funeral",_xlfn.XLOOKUP(B129,Table2[Main Member Link ID],Table2[Benefit Name],0)&lt;&gt;Lookups!$D$14),
IF(_xlfn.XLOOKUP(B129,Table2[Main Member Link ID],Table2[Benefit Name],0)=0,"",_xlfn.XLOOKUP(B129,Table2[Main Member Link ID],Table2[Benefit Name],0)),"")))))))))))))))</f>
        <v/>
      </c>
      <c r="AF129" s="327" t="str">
        <f>IF(AND(Table2[[#This Row],[Member Type]]="Main Member",Table2[[#This Row],[Product Option]]="My Value Plus Life &amp; Funeral"),Lookups!$D$15,
IF(AND(Table2[[#This Row],[Member Type]]="Spouse",Table2[[#This Row],[Product Option]]="My Value Plus Life &amp; Funeral",_xlfn.XLOOKUP(B129,Table2[Main Member Link ID],Table2[Benefit Name],0)=Lookups!$D$14),"",
IF(AND(Table2[[#This Row],[Member Type]]="Spouse",Table2[[#This Row],[Product Option]]="My Value Plus Life &amp; Funeral",_xlfn.XLOOKUP(B128,Table2[Main Member Link ID],Table2[Benefit Name],0)=Lookups!$D$16),"",
IF(AND(Table2[[#This Row],[Member Type]]="Spouse",Table2[[#This Row],[Product Option]]="My Value Plus Life &amp; Funeral",_xlfn.XLOOKUP(B128,Table2[Main Member Link ID],Table2[Benefit Name],0)=Lookups!$D$15),"",
IF(AND(Table2[[#This Row],[Member Type]]="Spouse",Table2[[#This Row],[Product Option]]="My Value Plus Life &amp; Funeral",_xlfn.XLOOKUP(B128,Table2[Main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Funeral",_xlfn.XLOOKUP(B129,Table2[Main Member Link ID],Table2[Benefit Name],0)&lt;&gt;Lookups!$D$15),
IF(_xlfn.XLOOKUP(B129,Table2[Main Member Link ID],Table2[Benefit Name],0)=0,"",_xlfn.XLOOKUP(B129,Table2[Main Member Link ID],Table2[Benefit Name],0)),"")
))))))</f>
        <v/>
      </c>
      <c r="AG129" s="327" t="str">
        <f>IF(AND(Table2[[#This Row],[Member Type]]="Main Member",Table2[[#This Row],[Product Option]]="My Value Plus Life &amp; Funeral"),Lookups!$D$16,
IF(AND(Table2[[#This Row],[Member Type]]="Spouse",Table2[[#This Row],[Product Option]]="My Value Plus Life &amp; Funeral",_xlfn.XLOOKUP(B129,Table2[Main Member Link ID],Table2[Benefit Name],0)=Lookups!$D$14),"",
IF(AND(Table2[[#This Row],[Member Type]]="Spouse",Table2[[#This Row],[Product Option]]="My Value Plus Life &amp; Funeral",_xlfn.XLOOKUP(B128,Table2[Main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Funeral",_xlfn.XLOOKUP(B129,Table2[Main Member Link ID],Table2[Benefit Name],0)&lt;&gt;Lookups!$D$16),
IF(_xlfn.XLOOKUP(B129,Table2[Main Member Link ID],Table2[Benefit Name],0)=0,"",_xlfn.XLOOKUP(B129,Table2[Main Member Link ID],Table2[Benefit Name],0)),"")
))))</f>
        <v/>
      </c>
      <c r="AH129" s="327" t="str">
        <f>IF(AND(Table2[[#This Row],[Member Type]]="Main Member",Table2[[#This Row],[Product Option]]="My Value Plus Life &amp; Funeral"),Lookups!$D$17,
IF(AND(Table2[[#This Row],[Member Type]]="Spouse",Table2[[#This Row],[Product Option]]="My Value Plus Life &amp; Funeral",_xlfn.XLOOKUP(B129,Table2[Main Member Link ID],Table2[Benefit Name],0)=Lookups!$D$14),"",
IF(AND(Table2[[#This Row],[Member Type]]="Spouse",Table2[[#This Row],[Product Option]]="My Value Plus Life &amp; Funeral",_xlfn.XLOOKUP(B128,Table2[Main Member Link ID],Table2[Benefit Name],0)=Lookups!$D$16),"",
IF(AND(Table2[[#This Row],[Member Type]]="Child",Table2[[#This Row],[Product Option]]="My Value Plus Life &amp; Funeral"),"",
IF(AND(Table2[[#This Row],[Member Type]]="Child",Table2[[#This Row],[Product Option]]="My Value Plus Life &amp; Funeral",_xlfn.XLOOKUP(B129,Table2[Main Member Link ID],Table2[Benefit Name],0)=Lookups!$D$15),"",
IF(AND(OR(Table2[[#This Row],[Member Type]]="Spouse",Table2[[#This Row],[Member Type]]="Child"),Table2[[#This Row],[Product Option]]="My Value Plus Life &amp; Funeral",_xlfn.XLOOKUP(B129,Table2[Main Member Link ID],Table2[Benefit Name],0)&lt;&gt;Lookups!$D$17),
IF(_xlfn.XLOOKUP(B129,Table2[Main Member Link ID],Table2[Benefit Name],0)=0,"",_xlfn.XLOOKUP(B129,Table2[Main Member Link ID],Table2[Benefit Name],0)),""))))))</f>
        <v/>
      </c>
      <c r="AI129" s="328" t="str">
        <f>IF(AND(Table2[[#This Row],[Member Type]]="Main Member",Table2[[#This Row],[Table Lookup for Life Cover]]="MM_LIFE",Table2[[#This Row],[Age Next Birthday]]&lt;56),1,
IF(AND(Table2[[#This Row],[Member Type]]="Main Member",Table2[[#This Row],[Table Lookup for Life Cover]]="MM_LIFE",Table2[[#This Row],[Age Next Birthday]]&gt;=56),2,
""))</f>
        <v/>
      </c>
      <c r="AJ129" s="328">
        <f>IF(OR(Table2[[#This Row],[Member Type]]="Main Member",Table2[[#This Row],[Main Member Link ID]]=B128),1,0)</f>
        <v>1</v>
      </c>
      <c r="AK129" s="328">
        <f>IF(Table2[[#This Row],[Member Type]]=0,0,
IF(OR(Table2[[#This Row],[Member Type]]="Main Member",Table2[[#This Row],[Main Member Link ID]]&lt;&gt;B129),COUNTIFS(B:B,Table2[[#This Row],[Main Member Link ID]]),
COUNTIFS(B:B,Table2[[#This Row],[Main Member Link ID]],A:A,Table2[[#This Row],[Member Type]])))</f>
        <v>0</v>
      </c>
    </row>
    <row r="130" spans="1:37" x14ac:dyDescent="0.3">
      <c r="A130" s="284">
        <f>Table13[[#This Row],[Member Type]]</f>
        <v>0</v>
      </c>
      <c r="B130" s="284">
        <f>Table13[[#This Row],[Main Member Link ID]]</f>
        <v>0</v>
      </c>
      <c r="C130" s="284">
        <f>Table13[[#This Row],[ID Number]]</f>
        <v>0</v>
      </c>
      <c r="D130" s="285">
        <f>Table13[[#This Row],[Date Of Birth]]</f>
        <v>0</v>
      </c>
      <c r="E130" s="285">
        <f>Table13[[#This Row],[Commencement Date]]</f>
        <v>0</v>
      </c>
      <c r="F130" s="284">
        <f t="shared" si="7"/>
        <v>1</v>
      </c>
      <c r="G130" s="284">
        <f t="shared" si="8"/>
        <v>25</v>
      </c>
      <c r="H130" s="286">
        <f>Table13[[#This Row],[Product Option]]</f>
        <v>0</v>
      </c>
      <c r="I130" s="284">
        <f>IF(AND($A130="Main Member",Table2[[#This Row],[Product Option]]="My Value Plus Life"),"MM_LIFE",
IF(AND($A130="Spouse",Table2[[#This Row],[Product Option]]="My Value Plus Life"),"SP_LIFE",
IF(AND($A130="Main Member",Table2[[#This Row],[Product Option]]="My Value Plus Life &amp; Funeral"),"MM_LIFE",
IF(AND($A130="Spouse",Table2[[#This Row],[Product Option]]="My Value Plus Life &amp; Funeral"),_xlfn.XLOOKUP(Table2[[#This Row],[Benefit Name]],Lookups!$D$18:$D$23,Lookups!$E$18:$E$23,0),
0))))</f>
        <v>0</v>
      </c>
      <c r="J130" s="284">
        <f>IF($I130="","",
IF($I130="MM_LIFE",INDEX('Quotation Tool'!$S$54:$V$60,MATCH($T130,'Quotation Tool'!$S$54:$S$60,0),4),
IF($I130="SP_LIFE",_xlfn.XLOOKUP(B129,$B:$B,$J:$J,0),0)))</f>
        <v>0</v>
      </c>
      <c r="K130" s="287">
        <f t="shared" ca="1" si="12"/>
        <v>0</v>
      </c>
      <c r="L130" s="288">
        <f t="shared" ca="1" si="13"/>
        <v>0</v>
      </c>
      <c r="M130" s="289">
        <f t="shared" ca="1" si="9"/>
        <v>0</v>
      </c>
      <c r="N130" s="286">
        <f>Table13[[#This Row],[Benefit Option]]</f>
        <v>0</v>
      </c>
      <c r="O130" s="284">
        <f>IF(OR(Table2[[#This Row],[Member Type]]="Spouse",Table2[[#This Row],[Member Type]]="Child"),0,
IF(_xlfn.XLOOKUP($N130,Lookups!$D$13:$D$27,Lookups!$F$13:$F$27,0)=Table2[[#This Row],[Table Lookup for Life Cover]],0,
_xlfn.XLOOKUP($N130,Lookups!$D$13:$D$27,Lookups!$F$13:$F$27,0)))</f>
        <v>0</v>
      </c>
      <c r="P130" s="284">
        <f>IF(Table2[[#This Row],[Table Lookup for Funeral]]=0,0,IFERROR(INDEX('Quotation Tool'!$S$54:$V$60,MATCH($T130,'Quotation Tool'!$S$54:$S$60,0),3),0))</f>
        <v>0</v>
      </c>
      <c r="Q130" s="288">
        <f ca="1">IF(OR(Table2[[#This Row],[Benefit Name]]="My Value Plus Life - Main Member",Table2[[#This Row],[Benefit Name]]="My Value Plus Life - Spouse"),0,
IFERROR(VLOOKUP($G130,INDIRECT($O130),$P130,FALSE),0))</f>
        <v>0</v>
      </c>
      <c r="R130" s="288">
        <f ca="1">IF(OR(Table2[[#This Row],[Benefit Name]]="My Value Plus Life - Main Member",Table2[[#This Row],[Benefit Name]]="My Value Plus Life - Spouse"),0,
IFERROR(VLOOKUP($G130,INDIRECT($O130),$P130+1,FALSE),0))</f>
        <v>0</v>
      </c>
      <c r="S130" s="289">
        <f t="shared" ca="1" si="10"/>
        <v>0</v>
      </c>
      <c r="T130" s="284" t="str">
        <f>IF(Table13[[#This Row],[Premium Waiver]]="","None",Table13[[#This Row],[Premium Waiver]])</f>
        <v>None</v>
      </c>
      <c r="U130" s="284">
        <f>Table13[[#This Row],[VAPs Options]]</f>
        <v>0</v>
      </c>
      <c r="V130" s="284">
        <f>Table13[[#This Row],[Annual Increase Option]]</f>
        <v>0</v>
      </c>
      <c r="W130" s="290">
        <f>Table13[[#This Row],[Life Cover Amount]]</f>
        <v>0</v>
      </c>
      <c r="X130" s="290">
        <f>Table13[[#This Row],[Funeral Cover Amount]]</f>
        <v>0</v>
      </c>
      <c r="Y13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3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30" s="301">
        <f t="shared" ca="1" si="11"/>
        <v>0</v>
      </c>
      <c r="AB130" s="298"/>
      <c r="AC130" s="326" t="str">
        <f>IF(Table2[[#This Row],[Member Type]]="Main Member",Lookups!$C$13,
IF(Table2[[#This Row],[Member Type]]="Spouse",_xlfn.XLOOKUP(B130,Table2[Main Member Link ID],Table2[Product Option],0),
IF(AND(Table2[[#This Row],[Member Type]]="Child",_xlfn.XLOOKUP(B130,Table2[Main Member Link ID],Table2[Product Option],0)&lt;&gt;"My Value Plus Life"),Lookups!$C$24,
IF(AND(OR(Table2[[#This Row],[Member Type]]="Parent",Table2[[#This Row],[Member Type]]="Extended"),_xlfn.XLOOKUP(B130,Table2[Main Member Link ID],Table2[Product Option],0)&lt;&gt;"My Value Plus Life"),Lookups!$C$26,""))))</f>
        <v/>
      </c>
      <c r="AD130" s="326" t="str">
        <f>IF(Table2[[#This Row],[Member Type]]="Main Member",Lookups!$C$14,"")</f>
        <v/>
      </c>
      <c r="AE13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Funeral",_xlfn.XLOOKUP(B130,Table2[Main Member Link ID],Table2[Benefit Name],0)=Lookups!$D$14),"",
IF(AND(Table2[[#This Row],[Member Type]]="Spouse",Table2[[#This Row],[Product Option]]="My Value Plus Life &amp; Funeral",_xlfn.XLOOKUP(B129,Table2[Main Member Link ID],Table2[Benefit Name],0)=Lookups!$D$15),Lookups!$D$20,
IF(AND(Table2[[#This Row],[Member Type]]="Spouse",Table2[[#This Row],[Product Option]]="My Value Plus Life &amp; Funeral",_xlfn.XLOOKUP(B129,Table2[Main Member Link ID],Table2[Benefit Name],0)=Lookups!$D$16),"",
IF(AND(Table2[[#This Row],[Member Type]]="Spouse",Table2[[#This Row],[Product Option]]="My Value Plus Life &amp; Funeral",_xlfn.XLOOKUP(B129,Table2[Main Member Link ID],Table2[Benefit Name],0)=Lookups!$D$17),Lookups!$D$21,
IF(AND(Table2[[#This Row],[Member Type]]="Child",Table2[[#This Row],[Product Option]]="My Value Plus Life &amp; Funeral",_xlfn.XLOOKUP(B130,Table2[Main Member Link ID],Table2[Benefit Name],0)=Lookups!$D$14),"",
IF(AND(Table2[[#This Row],[Member Type]]="Child",Table2[[#This Row],[Product Option]]="My Value Plus Life &amp; Funeral",_xlfn.XLOOKUP(B130,Table2[Main Member Link ID],Table2[Benefit Name],0)=Lookups!$D$15),"",
IF(AND(Table2[[#This Row],[Member Type]]="Child",Table2[[#This Row],[Product Option]]="My Value Plus Life &amp; Funeral",_xlfn.XLOOKUP(B130,Table2[Main Member Link ID],Table2[Benefit Name],0)=Lookups!$D$16),Lookups!$D$24,
IF(AND(Table2[[#This Row],[Member Type]]="Child",Table2[[#This Row],[Product Option]]="My Value Plus Life &amp; Funeral",_xlfn.XLOOKUP(B130,Table2[Main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Funeral",_xlfn.XLOOKUP(B130,Table2[Main Member Link ID],Table2[Benefit Name],0)&lt;&gt;Lookups!$D$14),
IF(_xlfn.XLOOKUP(B130,Table2[Main Member Link ID],Table2[Benefit Name],0)=0,"",_xlfn.XLOOKUP(B130,Table2[Main Member Link ID],Table2[Benefit Name],0)),"")))))))))))))))</f>
        <v/>
      </c>
      <c r="AF130" s="327" t="str">
        <f>IF(AND(Table2[[#This Row],[Member Type]]="Main Member",Table2[[#This Row],[Product Option]]="My Value Plus Life &amp; Funeral"),Lookups!$D$15,
IF(AND(Table2[[#This Row],[Member Type]]="Spouse",Table2[[#This Row],[Product Option]]="My Value Plus Life &amp; Funeral",_xlfn.XLOOKUP(B130,Table2[Main Member Link ID],Table2[Benefit Name],0)=Lookups!$D$14),"",
IF(AND(Table2[[#This Row],[Member Type]]="Spouse",Table2[[#This Row],[Product Option]]="My Value Plus Life &amp; Funeral",_xlfn.XLOOKUP(B129,Table2[Main Member Link ID],Table2[Benefit Name],0)=Lookups!$D$16),"",
IF(AND(Table2[[#This Row],[Member Type]]="Spouse",Table2[[#This Row],[Product Option]]="My Value Plus Life &amp; Funeral",_xlfn.XLOOKUP(B129,Table2[Main Member Link ID],Table2[Benefit Name],0)=Lookups!$D$15),"",
IF(AND(Table2[[#This Row],[Member Type]]="Spouse",Table2[[#This Row],[Product Option]]="My Value Plus Life &amp; Funeral",_xlfn.XLOOKUP(B129,Table2[Main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Funeral",_xlfn.XLOOKUP(B130,Table2[Main Member Link ID],Table2[Benefit Name],0)&lt;&gt;Lookups!$D$15),
IF(_xlfn.XLOOKUP(B130,Table2[Main Member Link ID],Table2[Benefit Name],0)=0,"",_xlfn.XLOOKUP(B130,Table2[Main Member Link ID],Table2[Benefit Name],0)),"")
))))))</f>
        <v/>
      </c>
      <c r="AG130" s="327" t="str">
        <f>IF(AND(Table2[[#This Row],[Member Type]]="Main Member",Table2[[#This Row],[Product Option]]="My Value Plus Life &amp; Funeral"),Lookups!$D$16,
IF(AND(Table2[[#This Row],[Member Type]]="Spouse",Table2[[#This Row],[Product Option]]="My Value Plus Life &amp; Funeral",_xlfn.XLOOKUP(B130,Table2[Main Member Link ID],Table2[Benefit Name],0)=Lookups!$D$14),"",
IF(AND(Table2[[#This Row],[Member Type]]="Spouse",Table2[[#This Row],[Product Option]]="My Value Plus Life &amp; Funeral",_xlfn.XLOOKUP(B129,Table2[Main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Funeral",_xlfn.XLOOKUP(B130,Table2[Main Member Link ID],Table2[Benefit Name],0)&lt;&gt;Lookups!$D$16),
IF(_xlfn.XLOOKUP(B130,Table2[Main Member Link ID],Table2[Benefit Name],0)=0,"",_xlfn.XLOOKUP(B130,Table2[Main Member Link ID],Table2[Benefit Name],0)),"")
))))</f>
        <v/>
      </c>
      <c r="AH130" s="327" t="str">
        <f>IF(AND(Table2[[#This Row],[Member Type]]="Main Member",Table2[[#This Row],[Product Option]]="My Value Plus Life &amp; Funeral"),Lookups!$D$17,
IF(AND(Table2[[#This Row],[Member Type]]="Spouse",Table2[[#This Row],[Product Option]]="My Value Plus Life &amp; Funeral",_xlfn.XLOOKUP(B130,Table2[Main Member Link ID],Table2[Benefit Name],0)=Lookups!$D$14),"",
IF(AND(Table2[[#This Row],[Member Type]]="Spouse",Table2[[#This Row],[Product Option]]="My Value Plus Life &amp; Funeral",_xlfn.XLOOKUP(B129,Table2[Main Member Link ID],Table2[Benefit Name],0)=Lookups!$D$16),"",
IF(AND(Table2[[#This Row],[Member Type]]="Child",Table2[[#This Row],[Product Option]]="My Value Plus Life &amp; Funeral"),"",
IF(AND(Table2[[#This Row],[Member Type]]="Child",Table2[[#This Row],[Product Option]]="My Value Plus Life &amp; Funeral",_xlfn.XLOOKUP(B130,Table2[Main Member Link ID],Table2[Benefit Name],0)=Lookups!$D$15),"",
IF(AND(OR(Table2[[#This Row],[Member Type]]="Spouse",Table2[[#This Row],[Member Type]]="Child"),Table2[[#This Row],[Product Option]]="My Value Plus Life &amp; Funeral",_xlfn.XLOOKUP(B130,Table2[Main Member Link ID],Table2[Benefit Name],0)&lt;&gt;Lookups!$D$17),
IF(_xlfn.XLOOKUP(B130,Table2[Main Member Link ID],Table2[Benefit Name],0)=0,"",_xlfn.XLOOKUP(B130,Table2[Main Member Link ID],Table2[Benefit Name],0)),""))))))</f>
        <v/>
      </c>
      <c r="AI130" s="328" t="str">
        <f>IF(AND(Table2[[#This Row],[Member Type]]="Main Member",Table2[[#This Row],[Table Lookup for Life Cover]]="MM_LIFE",Table2[[#This Row],[Age Next Birthday]]&lt;56),1,
IF(AND(Table2[[#This Row],[Member Type]]="Main Member",Table2[[#This Row],[Table Lookup for Life Cover]]="MM_LIFE",Table2[[#This Row],[Age Next Birthday]]&gt;=56),2,
""))</f>
        <v/>
      </c>
      <c r="AJ130" s="328">
        <f>IF(OR(Table2[[#This Row],[Member Type]]="Main Member",Table2[[#This Row],[Main Member Link ID]]=B129),1,0)</f>
        <v>1</v>
      </c>
      <c r="AK130" s="328">
        <f>IF(Table2[[#This Row],[Member Type]]=0,0,
IF(OR(Table2[[#This Row],[Member Type]]="Main Member",Table2[[#This Row],[Main Member Link ID]]&lt;&gt;B130),COUNTIFS(B:B,Table2[[#This Row],[Main Member Link ID]]),
COUNTIFS(B:B,Table2[[#This Row],[Main Member Link ID]],A:A,Table2[[#This Row],[Member Type]])))</f>
        <v>0</v>
      </c>
    </row>
    <row r="131" spans="1:37" x14ac:dyDescent="0.3">
      <c r="A131" s="284">
        <f>Table13[[#This Row],[Member Type]]</f>
        <v>0</v>
      </c>
      <c r="B131" s="284">
        <f>Table13[[#This Row],[Main Member Link ID]]</f>
        <v>0</v>
      </c>
      <c r="C131" s="284">
        <f>Table13[[#This Row],[ID Number]]</f>
        <v>0</v>
      </c>
      <c r="D131" s="285">
        <f>Table13[[#This Row],[Date Of Birth]]</f>
        <v>0</v>
      </c>
      <c r="E131" s="285">
        <f>Table13[[#This Row],[Commencement Date]]</f>
        <v>0</v>
      </c>
      <c r="F131" s="284">
        <f t="shared" si="7"/>
        <v>1</v>
      </c>
      <c r="G131" s="284">
        <f t="shared" si="8"/>
        <v>25</v>
      </c>
      <c r="H131" s="286">
        <f>Table13[[#This Row],[Product Option]]</f>
        <v>0</v>
      </c>
      <c r="I131" s="284">
        <f>IF(AND($A131="Main Member",Table2[[#This Row],[Product Option]]="My Value Plus Life"),"MM_LIFE",
IF(AND($A131="Spouse",Table2[[#This Row],[Product Option]]="My Value Plus Life"),"SP_LIFE",
IF(AND($A131="Main Member",Table2[[#This Row],[Product Option]]="My Value Plus Life &amp; Funeral"),"MM_LIFE",
IF(AND($A131="Spouse",Table2[[#This Row],[Product Option]]="My Value Plus Life &amp; Funeral"),_xlfn.XLOOKUP(Table2[[#This Row],[Benefit Name]],Lookups!$D$18:$D$23,Lookups!$E$18:$E$23,0),
0))))</f>
        <v>0</v>
      </c>
      <c r="J131" s="284">
        <f>IF($I131="","",
IF($I131="MM_LIFE",INDEX('Quotation Tool'!$S$54:$V$60,MATCH($T131,'Quotation Tool'!$S$54:$S$60,0),4),
IF($I131="SP_LIFE",_xlfn.XLOOKUP(B130,$B:$B,$J:$J,0),0)))</f>
        <v>0</v>
      </c>
      <c r="K131" s="287">
        <f t="shared" ca="1" si="12"/>
        <v>0</v>
      </c>
      <c r="L131" s="288">
        <f t="shared" ca="1" si="13"/>
        <v>0</v>
      </c>
      <c r="M131" s="289">
        <f t="shared" ca="1" si="9"/>
        <v>0</v>
      </c>
      <c r="N131" s="286">
        <f>Table13[[#This Row],[Benefit Option]]</f>
        <v>0</v>
      </c>
      <c r="O131" s="284">
        <f>IF(OR(Table2[[#This Row],[Member Type]]="Spouse",Table2[[#This Row],[Member Type]]="Child"),0,
IF(_xlfn.XLOOKUP($N131,Lookups!$D$13:$D$27,Lookups!$F$13:$F$27,0)=Table2[[#This Row],[Table Lookup for Life Cover]],0,
_xlfn.XLOOKUP($N131,Lookups!$D$13:$D$27,Lookups!$F$13:$F$27,0)))</f>
        <v>0</v>
      </c>
      <c r="P131" s="284">
        <f>IF(Table2[[#This Row],[Table Lookup for Funeral]]=0,0,IFERROR(INDEX('Quotation Tool'!$S$54:$V$60,MATCH($T131,'Quotation Tool'!$S$54:$S$60,0),3),0))</f>
        <v>0</v>
      </c>
      <c r="Q131" s="288">
        <f ca="1">IF(OR(Table2[[#This Row],[Benefit Name]]="My Value Plus Life - Main Member",Table2[[#This Row],[Benefit Name]]="My Value Plus Life - Spouse"),0,
IFERROR(VLOOKUP($G131,INDIRECT($O131),$P131,FALSE),0))</f>
        <v>0</v>
      </c>
      <c r="R131" s="288">
        <f ca="1">IF(OR(Table2[[#This Row],[Benefit Name]]="My Value Plus Life - Main Member",Table2[[#This Row],[Benefit Name]]="My Value Plus Life - Spouse"),0,
IFERROR(VLOOKUP($G131,INDIRECT($O131),$P131+1,FALSE),0))</f>
        <v>0</v>
      </c>
      <c r="S131" s="289">
        <f t="shared" ca="1" si="10"/>
        <v>0</v>
      </c>
      <c r="T131" s="284" t="str">
        <f>IF(Table13[[#This Row],[Premium Waiver]]="","None",Table13[[#This Row],[Premium Waiver]])</f>
        <v>None</v>
      </c>
      <c r="U131" s="284">
        <f>Table13[[#This Row],[VAPs Options]]</f>
        <v>0</v>
      </c>
      <c r="V131" s="284">
        <f>Table13[[#This Row],[Annual Increase Option]]</f>
        <v>0</v>
      </c>
      <c r="W131" s="290">
        <f>Table13[[#This Row],[Life Cover Amount]]</f>
        <v>0</v>
      </c>
      <c r="X131" s="290">
        <f>Table13[[#This Row],[Funeral Cover Amount]]</f>
        <v>0</v>
      </c>
      <c r="Y13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3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31" s="301">
        <f t="shared" ca="1" si="11"/>
        <v>0</v>
      </c>
      <c r="AB131" s="298"/>
      <c r="AC131" s="326" t="str">
        <f>IF(Table2[[#This Row],[Member Type]]="Main Member",Lookups!$C$13,
IF(Table2[[#This Row],[Member Type]]="Spouse",_xlfn.XLOOKUP(B131,Table2[Main Member Link ID],Table2[Product Option],0),
IF(AND(Table2[[#This Row],[Member Type]]="Child",_xlfn.XLOOKUP(B131,Table2[Main Member Link ID],Table2[Product Option],0)&lt;&gt;"My Value Plus Life"),Lookups!$C$24,
IF(AND(OR(Table2[[#This Row],[Member Type]]="Parent",Table2[[#This Row],[Member Type]]="Extended"),_xlfn.XLOOKUP(B131,Table2[Main Member Link ID],Table2[Product Option],0)&lt;&gt;"My Value Plus Life"),Lookups!$C$26,""))))</f>
        <v/>
      </c>
      <c r="AD131" s="326" t="str">
        <f>IF(Table2[[#This Row],[Member Type]]="Main Member",Lookups!$C$14,"")</f>
        <v/>
      </c>
      <c r="AE13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Funeral",_xlfn.XLOOKUP(B131,Table2[Main Member Link ID],Table2[Benefit Name],0)=Lookups!$D$14),"",
IF(AND(Table2[[#This Row],[Member Type]]="Spouse",Table2[[#This Row],[Product Option]]="My Value Plus Life &amp; Funeral",_xlfn.XLOOKUP(B130,Table2[Main Member Link ID],Table2[Benefit Name],0)=Lookups!$D$15),Lookups!$D$20,
IF(AND(Table2[[#This Row],[Member Type]]="Spouse",Table2[[#This Row],[Product Option]]="My Value Plus Life &amp; Funeral",_xlfn.XLOOKUP(B130,Table2[Main Member Link ID],Table2[Benefit Name],0)=Lookups!$D$16),"",
IF(AND(Table2[[#This Row],[Member Type]]="Spouse",Table2[[#This Row],[Product Option]]="My Value Plus Life &amp; Funeral",_xlfn.XLOOKUP(B130,Table2[Main Member Link ID],Table2[Benefit Name],0)=Lookups!$D$17),Lookups!$D$21,
IF(AND(Table2[[#This Row],[Member Type]]="Child",Table2[[#This Row],[Product Option]]="My Value Plus Life &amp; Funeral",_xlfn.XLOOKUP(B131,Table2[Main Member Link ID],Table2[Benefit Name],0)=Lookups!$D$14),"",
IF(AND(Table2[[#This Row],[Member Type]]="Child",Table2[[#This Row],[Product Option]]="My Value Plus Life &amp; Funeral",_xlfn.XLOOKUP(B131,Table2[Main Member Link ID],Table2[Benefit Name],0)=Lookups!$D$15),"",
IF(AND(Table2[[#This Row],[Member Type]]="Child",Table2[[#This Row],[Product Option]]="My Value Plus Life &amp; Funeral",_xlfn.XLOOKUP(B131,Table2[Main Member Link ID],Table2[Benefit Name],0)=Lookups!$D$16),Lookups!$D$24,
IF(AND(Table2[[#This Row],[Member Type]]="Child",Table2[[#This Row],[Product Option]]="My Value Plus Life &amp; Funeral",_xlfn.XLOOKUP(B131,Table2[Main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Funeral",_xlfn.XLOOKUP(B131,Table2[Main Member Link ID],Table2[Benefit Name],0)&lt;&gt;Lookups!$D$14),
IF(_xlfn.XLOOKUP(B131,Table2[Main Member Link ID],Table2[Benefit Name],0)=0,"",_xlfn.XLOOKUP(B131,Table2[Main Member Link ID],Table2[Benefit Name],0)),"")))))))))))))))</f>
        <v/>
      </c>
      <c r="AF131" s="327" t="str">
        <f>IF(AND(Table2[[#This Row],[Member Type]]="Main Member",Table2[[#This Row],[Product Option]]="My Value Plus Life &amp; Funeral"),Lookups!$D$15,
IF(AND(Table2[[#This Row],[Member Type]]="Spouse",Table2[[#This Row],[Product Option]]="My Value Plus Life &amp; Funeral",_xlfn.XLOOKUP(B131,Table2[Main Member Link ID],Table2[Benefit Name],0)=Lookups!$D$14),"",
IF(AND(Table2[[#This Row],[Member Type]]="Spouse",Table2[[#This Row],[Product Option]]="My Value Plus Life &amp; Funeral",_xlfn.XLOOKUP(B130,Table2[Main Member Link ID],Table2[Benefit Name],0)=Lookups!$D$16),"",
IF(AND(Table2[[#This Row],[Member Type]]="Spouse",Table2[[#This Row],[Product Option]]="My Value Plus Life &amp; Funeral",_xlfn.XLOOKUP(B130,Table2[Main Member Link ID],Table2[Benefit Name],0)=Lookups!$D$15),"",
IF(AND(Table2[[#This Row],[Member Type]]="Spouse",Table2[[#This Row],[Product Option]]="My Value Plus Life &amp; Funeral",_xlfn.XLOOKUP(B130,Table2[Main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Funeral",_xlfn.XLOOKUP(B131,Table2[Main Member Link ID],Table2[Benefit Name],0)&lt;&gt;Lookups!$D$15),
IF(_xlfn.XLOOKUP(B131,Table2[Main Member Link ID],Table2[Benefit Name],0)=0,"",_xlfn.XLOOKUP(B131,Table2[Main Member Link ID],Table2[Benefit Name],0)),"")
))))))</f>
        <v/>
      </c>
      <c r="AG131" s="327" t="str">
        <f>IF(AND(Table2[[#This Row],[Member Type]]="Main Member",Table2[[#This Row],[Product Option]]="My Value Plus Life &amp; Funeral"),Lookups!$D$16,
IF(AND(Table2[[#This Row],[Member Type]]="Spouse",Table2[[#This Row],[Product Option]]="My Value Plus Life &amp; Funeral",_xlfn.XLOOKUP(B131,Table2[Main Member Link ID],Table2[Benefit Name],0)=Lookups!$D$14),"",
IF(AND(Table2[[#This Row],[Member Type]]="Spouse",Table2[[#This Row],[Product Option]]="My Value Plus Life &amp; Funeral",_xlfn.XLOOKUP(B130,Table2[Main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Funeral",_xlfn.XLOOKUP(B131,Table2[Main Member Link ID],Table2[Benefit Name],0)&lt;&gt;Lookups!$D$16),
IF(_xlfn.XLOOKUP(B131,Table2[Main Member Link ID],Table2[Benefit Name],0)=0,"",_xlfn.XLOOKUP(B131,Table2[Main Member Link ID],Table2[Benefit Name],0)),"")
))))</f>
        <v/>
      </c>
      <c r="AH131" s="327" t="str">
        <f>IF(AND(Table2[[#This Row],[Member Type]]="Main Member",Table2[[#This Row],[Product Option]]="My Value Plus Life &amp; Funeral"),Lookups!$D$17,
IF(AND(Table2[[#This Row],[Member Type]]="Spouse",Table2[[#This Row],[Product Option]]="My Value Plus Life &amp; Funeral",_xlfn.XLOOKUP(B131,Table2[Main Member Link ID],Table2[Benefit Name],0)=Lookups!$D$14),"",
IF(AND(Table2[[#This Row],[Member Type]]="Spouse",Table2[[#This Row],[Product Option]]="My Value Plus Life &amp; Funeral",_xlfn.XLOOKUP(B130,Table2[Main Member Link ID],Table2[Benefit Name],0)=Lookups!$D$16),"",
IF(AND(Table2[[#This Row],[Member Type]]="Child",Table2[[#This Row],[Product Option]]="My Value Plus Life &amp; Funeral"),"",
IF(AND(Table2[[#This Row],[Member Type]]="Child",Table2[[#This Row],[Product Option]]="My Value Plus Life &amp; Funeral",_xlfn.XLOOKUP(B131,Table2[Main Member Link ID],Table2[Benefit Name],0)=Lookups!$D$15),"",
IF(AND(OR(Table2[[#This Row],[Member Type]]="Spouse",Table2[[#This Row],[Member Type]]="Child"),Table2[[#This Row],[Product Option]]="My Value Plus Life &amp; Funeral",_xlfn.XLOOKUP(B131,Table2[Main Member Link ID],Table2[Benefit Name],0)&lt;&gt;Lookups!$D$17),
IF(_xlfn.XLOOKUP(B131,Table2[Main Member Link ID],Table2[Benefit Name],0)=0,"",_xlfn.XLOOKUP(B131,Table2[Main Member Link ID],Table2[Benefit Name],0)),""))))))</f>
        <v/>
      </c>
      <c r="AI131" s="328" t="str">
        <f>IF(AND(Table2[[#This Row],[Member Type]]="Main Member",Table2[[#This Row],[Table Lookup for Life Cover]]="MM_LIFE",Table2[[#This Row],[Age Next Birthday]]&lt;56),1,
IF(AND(Table2[[#This Row],[Member Type]]="Main Member",Table2[[#This Row],[Table Lookup for Life Cover]]="MM_LIFE",Table2[[#This Row],[Age Next Birthday]]&gt;=56),2,
""))</f>
        <v/>
      </c>
      <c r="AJ131" s="328">
        <f>IF(OR(Table2[[#This Row],[Member Type]]="Main Member",Table2[[#This Row],[Main Member Link ID]]=B130),1,0)</f>
        <v>1</v>
      </c>
      <c r="AK131" s="328">
        <f>IF(Table2[[#This Row],[Member Type]]=0,0,
IF(OR(Table2[[#This Row],[Member Type]]="Main Member",Table2[[#This Row],[Main Member Link ID]]&lt;&gt;B131),COUNTIFS(B:B,Table2[[#This Row],[Main Member Link ID]]),
COUNTIFS(B:B,Table2[[#This Row],[Main Member Link ID]],A:A,Table2[[#This Row],[Member Type]])))</f>
        <v>0</v>
      </c>
    </row>
    <row r="132" spans="1:37" x14ac:dyDescent="0.3">
      <c r="A132" s="284">
        <f>Table13[[#This Row],[Member Type]]</f>
        <v>0</v>
      </c>
      <c r="B132" s="284">
        <f>Table13[[#This Row],[Main Member Link ID]]</f>
        <v>0</v>
      </c>
      <c r="C132" s="284">
        <f>Table13[[#This Row],[ID Number]]</f>
        <v>0</v>
      </c>
      <c r="D132" s="285">
        <f>Table13[[#This Row],[Date Of Birth]]</f>
        <v>0</v>
      </c>
      <c r="E132" s="285">
        <f>Table13[[#This Row],[Commencement Date]]</f>
        <v>0</v>
      </c>
      <c r="F132" s="284">
        <f t="shared" si="7"/>
        <v>1</v>
      </c>
      <c r="G132" s="284">
        <f t="shared" si="8"/>
        <v>25</v>
      </c>
      <c r="H132" s="286">
        <f>Table13[[#This Row],[Product Option]]</f>
        <v>0</v>
      </c>
      <c r="I132" s="284">
        <f>IF(AND($A132="Main Member",Table2[[#This Row],[Product Option]]="My Value Plus Life"),"MM_LIFE",
IF(AND($A132="Spouse",Table2[[#This Row],[Product Option]]="My Value Plus Life"),"SP_LIFE",
IF(AND($A132="Main Member",Table2[[#This Row],[Product Option]]="My Value Plus Life &amp; Funeral"),"MM_LIFE",
IF(AND($A132="Spouse",Table2[[#This Row],[Product Option]]="My Value Plus Life &amp; Funeral"),_xlfn.XLOOKUP(Table2[[#This Row],[Benefit Name]],Lookups!$D$18:$D$23,Lookups!$E$18:$E$23,0),
0))))</f>
        <v>0</v>
      </c>
      <c r="J132" s="284">
        <f>IF($I132="","",
IF($I132="MM_LIFE",INDEX('Quotation Tool'!$S$54:$V$60,MATCH($T132,'Quotation Tool'!$S$54:$S$60,0),4),
IF($I132="SP_LIFE",_xlfn.XLOOKUP(B131,$B:$B,$J:$J,0),0)))</f>
        <v>0</v>
      </c>
      <c r="K132" s="287">
        <f t="shared" ca="1" si="12"/>
        <v>0</v>
      </c>
      <c r="L132" s="288">
        <f t="shared" ca="1" si="13"/>
        <v>0</v>
      </c>
      <c r="M132" s="289">
        <f t="shared" ca="1" si="9"/>
        <v>0</v>
      </c>
      <c r="N132" s="286">
        <f>Table13[[#This Row],[Benefit Option]]</f>
        <v>0</v>
      </c>
      <c r="O132" s="284">
        <f>IF(OR(Table2[[#This Row],[Member Type]]="Spouse",Table2[[#This Row],[Member Type]]="Child"),0,
IF(_xlfn.XLOOKUP($N132,Lookups!$D$13:$D$27,Lookups!$F$13:$F$27,0)=Table2[[#This Row],[Table Lookup for Life Cover]],0,
_xlfn.XLOOKUP($N132,Lookups!$D$13:$D$27,Lookups!$F$13:$F$27,0)))</f>
        <v>0</v>
      </c>
      <c r="P132" s="284">
        <f>IF(Table2[[#This Row],[Table Lookup for Funeral]]=0,0,IFERROR(INDEX('Quotation Tool'!$S$54:$V$60,MATCH($T132,'Quotation Tool'!$S$54:$S$60,0),3),0))</f>
        <v>0</v>
      </c>
      <c r="Q132" s="288">
        <f ca="1">IF(OR(Table2[[#This Row],[Benefit Name]]="My Value Plus Life - Main Member",Table2[[#This Row],[Benefit Name]]="My Value Plus Life - Spouse"),0,
IFERROR(VLOOKUP($G132,INDIRECT($O132),$P132,FALSE),0))</f>
        <v>0</v>
      </c>
      <c r="R132" s="288">
        <f ca="1">IF(OR(Table2[[#This Row],[Benefit Name]]="My Value Plus Life - Main Member",Table2[[#This Row],[Benefit Name]]="My Value Plus Life - Spouse"),0,
IFERROR(VLOOKUP($G132,INDIRECT($O132),$P132+1,FALSE),0))</f>
        <v>0</v>
      </c>
      <c r="S132" s="289">
        <f t="shared" ca="1" si="10"/>
        <v>0</v>
      </c>
      <c r="T132" s="284" t="str">
        <f>IF(Table13[[#This Row],[Premium Waiver]]="","None",Table13[[#This Row],[Premium Waiver]])</f>
        <v>None</v>
      </c>
      <c r="U132" s="284">
        <f>Table13[[#This Row],[VAPs Options]]</f>
        <v>0</v>
      </c>
      <c r="V132" s="284">
        <f>Table13[[#This Row],[Annual Increase Option]]</f>
        <v>0</v>
      </c>
      <c r="W132" s="290">
        <f>Table13[[#This Row],[Life Cover Amount]]</f>
        <v>0</v>
      </c>
      <c r="X132" s="290">
        <f>Table13[[#This Row],[Funeral Cover Amount]]</f>
        <v>0</v>
      </c>
      <c r="Y13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3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32" s="301">
        <f t="shared" ca="1" si="11"/>
        <v>0</v>
      </c>
      <c r="AB132" s="298"/>
      <c r="AC132" s="326" t="str">
        <f>IF(Table2[[#This Row],[Member Type]]="Main Member",Lookups!$C$13,
IF(Table2[[#This Row],[Member Type]]="Spouse",_xlfn.XLOOKUP(B132,Table2[Main Member Link ID],Table2[Product Option],0),
IF(AND(Table2[[#This Row],[Member Type]]="Child",_xlfn.XLOOKUP(B132,Table2[Main Member Link ID],Table2[Product Option],0)&lt;&gt;"My Value Plus Life"),Lookups!$C$24,
IF(AND(OR(Table2[[#This Row],[Member Type]]="Parent",Table2[[#This Row],[Member Type]]="Extended"),_xlfn.XLOOKUP(B132,Table2[Main Member Link ID],Table2[Product Option],0)&lt;&gt;"My Value Plus Life"),Lookups!$C$26,""))))</f>
        <v/>
      </c>
      <c r="AD132" s="326" t="str">
        <f>IF(Table2[[#This Row],[Member Type]]="Main Member",Lookups!$C$14,"")</f>
        <v/>
      </c>
      <c r="AE13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Funeral",_xlfn.XLOOKUP(B132,Table2[Main Member Link ID],Table2[Benefit Name],0)=Lookups!$D$14),"",
IF(AND(Table2[[#This Row],[Member Type]]="Spouse",Table2[[#This Row],[Product Option]]="My Value Plus Life &amp; Funeral",_xlfn.XLOOKUP(B131,Table2[Main Member Link ID],Table2[Benefit Name],0)=Lookups!$D$15),Lookups!$D$20,
IF(AND(Table2[[#This Row],[Member Type]]="Spouse",Table2[[#This Row],[Product Option]]="My Value Plus Life &amp; Funeral",_xlfn.XLOOKUP(B131,Table2[Main Member Link ID],Table2[Benefit Name],0)=Lookups!$D$16),"",
IF(AND(Table2[[#This Row],[Member Type]]="Spouse",Table2[[#This Row],[Product Option]]="My Value Plus Life &amp; Funeral",_xlfn.XLOOKUP(B131,Table2[Main Member Link ID],Table2[Benefit Name],0)=Lookups!$D$17),Lookups!$D$21,
IF(AND(Table2[[#This Row],[Member Type]]="Child",Table2[[#This Row],[Product Option]]="My Value Plus Life &amp; Funeral",_xlfn.XLOOKUP(B132,Table2[Main Member Link ID],Table2[Benefit Name],0)=Lookups!$D$14),"",
IF(AND(Table2[[#This Row],[Member Type]]="Child",Table2[[#This Row],[Product Option]]="My Value Plus Life &amp; Funeral",_xlfn.XLOOKUP(B132,Table2[Main Member Link ID],Table2[Benefit Name],0)=Lookups!$D$15),"",
IF(AND(Table2[[#This Row],[Member Type]]="Child",Table2[[#This Row],[Product Option]]="My Value Plus Life &amp; Funeral",_xlfn.XLOOKUP(B132,Table2[Main Member Link ID],Table2[Benefit Name],0)=Lookups!$D$16),Lookups!$D$24,
IF(AND(Table2[[#This Row],[Member Type]]="Child",Table2[[#This Row],[Product Option]]="My Value Plus Life &amp; Funeral",_xlfn.XLOOKUP(B132,Table2[Main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Funeral",_xlfn.XLOOKUP(B132,Table2[Main Member Link ID],Table2[Benefit Name],0)&lt;&gt;Lookups!$D$14),
IF(_xlfn.XLOOKUP(B132,Table2[Main Member Link ID],Table2[Benefit Name],0)=0,"",_xlfn.XLOOKUP(B132,Table2[Main Member Link ID],Table2[Benefit Name],0)),"")))))))))))))))</f>
        <v/>
      </c>
      <c r="AF132" s="327" t="str">
        <f>IF(AND(Table2[[#This Row],[Member Type]]="Main Member",Table2[[#This Row],[Product Option]]="My Value Plus Life &amp; Funeral"),Lookups!$D$15,
IF(AND(Table2[[#This Row],[Member Type]]="Spouse",Table2[[#This Row],[Product Option]]="My Value Plus Life &amp; Funeral",_xlfn.XLOOKUP(B132,Table2[Main Member Link ID],Table2[Benefit Name],0)=Lookups!$D$14),"",
IF(AND(Table2[[#This Row],[Member Type]]="Spouse",Table2[[#This Row],[Product Option]]="My Value Plus Life &amp; Funeral",_xlfn.XLOOKUP(B131,Table2[Main Member Link ID],Table2[Benefit Name],0)=Lookups!$D$16),"",
IF(AND(Table2[[#This Row],[Member Type]]="Spouse",Table2[[#This Row],[Product Option]]="My Value Plus Life &amp; Funeral",_xlfn.XLOOKUP(B131,Table2[Main Member Link ID],Table2[Benefit Name],0)=Lookups!$D$15),"",
IF(AND(Table2[[#This Row],[Member Type]]="Spouse",Table2[[#This Row],[Product Option]]="My Value Plus Life &amp; Funeral",_xlfn.XLOOKUP(B131,Table2[Main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Funeral",_xlfn.XLOOKUP(B132,Table2[Main Member Link ID],Table2[Benefit Name],0)&lt;&gt;Lookups!$D$15),
IF(_xlfn.XLOOKUP(B132,Table2[Main Member Link ID],Table2[Benefit Name],0)=0,"",_xlfn.XLOOKUP(B132,Table2[Main Member Link ID],Table2[Benefit Name],0)),"")
))))))</f>
        <v/>
      </c>
      <c r="AG132" s="327" t="str">
        <f>IF(AND(Table2[[#This Row],[Member Type]]="Main Member",Table2[[#This Row],[Product Option]]="My Value Plus Life &amp; Funeral"),Lookups!$D$16,
IF(AND(Table2[[#This Row],[Member Type]]="Spouse",Table2[[#This Row],[Product Option]]="My Value Plus Life &amp; Funeral",_xlfn.XLOOKUP(B132,Table2[Main Member Link ID],Table2[Benefit Name],0)=Lookups!$D$14),"",
IF(AND(Table2[[#This Row],[Member Type]]="Spouse",Table2[[#This Row],[Product Option]]="My Value Plus Life &amp; Funeral",_xlfn.XLOOKUP(B131,Table2[Main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Funeral",_xlfn.XLOOKUP(B132,Table2[Main Member Link ID],Table2[Benefit Name],0)&lt;&gt;Lookups!$D$16),
IF(_xlfn.XLOOKUP(B132,Table2[Main Member Link ID],Table2[Benefit Name],0)=0,"",_xlfn.XLOOKUP(B132,Table2[Main Member Link ID],Table2[Benefit Name],0)),"")
))))</f>
        <v/>
      </c>
      <c r="AH132" s="327" t="str">
        <f>IF(AND(Table2[[#This Row],[Member Type]]="Main Member",Table2[[#This Row],[Product Option]]="My Value Plus Life &amp; Funeral"),Lookups!$D$17,
IF(AND(Table2[[#This Row],[Member Type]]="Spouse",Table2[[#This Row],[Product Option]]="My Value Plus Life &amp; Funeral",_xlfn.XLOOKUP(B132,Table2[Main Member Link ID],Table2[Benefit Name],0)=Lookups!$D$14),"",
IF(AND(Table2[[#This Row],[Member Type]]="Spouse",Table2[[#This Row],[Product Option]]="My Value Plus Life &amp; Funeral",_xlfn.XLOOKUP(B131,Table2[Main Member Link ID],Table2[Benefit Name],0)=Lookups!$D$16),"",
IF(AND(Table2[[#This Row],[Member Type]]="Child",Table2[[#This Row],[Product Option]]="My Value Plus Life &amp; Funeral"),"",
IF(AND(Table2[[#This Row],[Member Type]]="Child",Table2[[#This Row],[Product Option]]="My Value Plus Life &amp; Funeral",_xlfn.XLOOKUP(B132,Table2[Main Member Link ID],Table2[Benefit Name],0)=Lookups!$D$15),"",
IF(AND(OR(Table2[[#This Row],[Member Type]]="Spouse",Table2[[#This Row],[Member Type]]="Child"),Table2[[#This Row],[Product Option]]="My Value Plus Life &amp; Funeral",_xlfn.XLOOKUP(B132,Table2[Main Member Link ID],Table2[Benefit Name],0)&lt;&gt;Lookups!$D$17),
IF(_xlfn.XLOOKUP(B132,Table2[Main Member Link ID],Table2[Benefit Name],0)=0,"",_xlfn.XLOOKUP(B132,Table2[Main Member Link ID],Table2[Benefit Name],0)),""))))))</f>
        <v/>
      </c>
      <c r="AI132" s="328" t="str">
        <f>IF(AND(Table2[[#This Row],[Member Type]]="Main Member",Table2[[#This Row],[Table Lookup for Life Cover]]="MM_LIFE",Table2[[#This Row],[Age Next Birthday]]&lt;56),1,
IF(AND(Table2[[#This Row],[Member Type]]="Main Member",Table2[[#This Row],[Table Lookup for Life Cover]]="MM_LIFE",Table2[[#This Row],[Age Next Birthday]]&gt;=56),2,
""))</f>
        <v/>
      </c>
      <c r="AJ132" s="328">
        <f>IF(OR(Table2[[#This Row],[Member Type]]="Main Member",Table2[[#This Row],[Main Member Link ID]]=B131),1,0)</f>
        <v>1</v>
      </c>
      <c r="AK132" s="328">
        <f>IF(Table2[[#This Row],[Member Type]]=0,0,
IF(OR(Table2[[#This Row],[Member Type]]="Main Member",Table2[[#This Row],[Main Member Link ID]]&lt;&gt;B132),COUNTIFS(B:B,Table2[[#This Row],[Main Member Link ID]]),
COUNTIFS(B:B,Table2[[#This Row],[Main Member Link ID]],A:A,Table2[[#This Row],[Member Type]])))</f>
        <v>0</v>
      </c>
    </row>
    <row r="133" spans="1:37" x14ac:dyDescent="0.3">
      <c r="A133" s="284">
        <f>Table13[[#This Row],[Member Type]]</f>
        <v>0</v>
      </c>
      <c r="B133" s="284">
        <f>Table13[[#This Row],[Main Member Link ID]]</f>
        <v>0</v>
      </c>
      <c r="C133" s="284">
        <f>Table13[[#This Row],[ID Number]]</f>
        <v>0</v>
      </c>
      <c r="D133" s="285">
        <f>Table13[[#This Row],[Date Of Birth]]</f>
        <v>0</v>
      </c>
      <c r="E133" s="285">
        <f>Table13[[#This Row],[Commencement Date]]</f>
        <v>0</v>
      </c>
      <c r="F133" s="284">
        <f t="shared" ref="F133:F196" si="14">IF(D133="","",
IF(OR($A133="Main Member",$A133="Spouse",$A133="Child"),IFERROR(IF((IF($D133="",-1,DATEDIF($D133,$E133,"Y"))+1)&gt;75,"Max age",IF($D133="",-1,DATEDIF($D133,$E133,"Y"))+1),FALSE),
IFERROR(IF((IF($D133="",-1,DATEDIF($D133,$E133,"Y"))+1)&gt;75,"Max age",IF($D133="",-1,DATEDIF($D133,$E133,"Y"))+1),FALSE)))</f>
        <v>1</v>
      </c>
      <c r="G133" s="284">
        <f t="shared" ref="G133:G196" si="15">IF(F133="","",
IF(F133="Max age","Max age",
IF(OR($A133="Main Member",$A133="Spouse",$A133="Child"),IF($F133=0,"",IF($F133&lt;26,25,IF($F133&lt;36,35,IF($F133&lt;46,45,IF($F133&lt;51,50,IF($F133&lt;56,55,IF($F133&lt;61,60,IF($F133&lt;66,65,IF($F133&lt;71,70,IF($F133&lt;76,75)))))))))),
IF($F133=0,"",IF($F133&lt;26,25,IF($F133&lt;36,35,IF($F133&lt;46,45,IF($F133&lt;51,50,IF($F133&lt;56,55,IF($F133&lt;61,60,IF($F133&lt;66,65,IF($F133&lt;71,70,IF($F133&lt;76,75)))))))))))))</f>
        <v>25</v>
      </c>
      <c r="H133" s="286">
        <f>Table13[[#This Row],[Product Option]]</f>
        <v>0</v>
      </c>
      <c r="I133" s="284">
        <f>IF(AND($A133="Main Member",Table2[[#This Row],[Product Option]]="My Value Plus Life"),"MM_LIFE",
IF(AND($A133="Spouse",Table2[[#This Row],[Product Option]]="My Value Plus Life"),"SP_LIFE",
IF(AND($A133="Main Member",Table2[[#This Row],[Product Option]]="My Value Plus Life &amp; Funeral"),"MM_LIFE",
IF(AND($A133="Spouse",Table2[[#This Row],[Product Option]]="My Value Plus Life &amp; Funeral"),_xlfn.XLOOKUP(Table2[[#This Row],[Benefit Name]],Lookups!$D$18:$D$23,Lookups!$E$18:$E$23,0),
0))))</f>
        <v>0</v>
      </c>
      <c r="J133" s="284">
        <f>IF($I133="","",
IF($I133="MM_LIFE",INDEX('Quotation Tool'!$S$54:$V$60,MATCH($T133,'Quotation Tool'!$S$54:$S$60,0),4),
IF($I133="SP_LIFE",_xlfn.XLOOKUP(B132,$B:$B,$J:$J,0),0)))</f>
        <v>0</v>
      </c>
      <c r="K133" s="287">
        <f t="shared" ca="1" si="12"/>
        <v>0</v>
      </c>
      <c r="L133" s="288">
        <f t="shared" ca="1" si="13"/>
        <v>0</v>
      </c>
      <c r="M133" s="289">
        <f t="shared" ref="M133:M196" ca="1" si="16">K133+L133/1000*W133</f>
        <v>0</v>
      </c>
      <c r="N133" s="286">
        <f>Table13[[#This Row],[Benefit Option]]</f>
        <v>0</v>
      </c>
      <c r="O133" s="284">
        <f>IF(OR(Table2[[#This Row],[Member Type]]="Spouse",Table2[[#This Row],[Member Type]]="Child"),0,
IF(_xlfn.XLOOKUP($N133,Lookups!$D$13:$D$27,Lookups!$F$13:$F$27,0)=Table2[[#This Row],[Table Lookup for Life Cover]],0,
_xlfn.XLOOKUP($N133,Lookups!$D$13:$D$27,Lookups!$F$13:$F$27,0)))</f>
        <v>0</v>
      </c>
      <c r="P133" s="284">
        <f>IF(Table2[[#This Row],[Table Lookup for Funeral]]=0,0,IFERROR(INDEX('Quotation Tool'!$S$54:$V$60,MATCH($T133,'Quotation Tool'!$S$54:$S$60,0),3),0))</f>
        <v>0</v>
      </c>
      <c r="Q133" s="288">
        <f ca="1">IF(OR(Table2[[#This Row],[Benefit Name]]="My Value Plus Life - Main Member",Table2[[#This Row],[Benefit Name]]="My Value Plus Life - Spouse"),0,
IFERROR(VLOOKUP($G133,INDIRECT($O133),$P133,FALSE),0))</f>
        <v>0</v>
      </c>
      <c r="R133" s="288">
        <f ca="1">IF(OR(Table2[[#This Row],[Benefit Name]]="My Value Plus Life - Main Member",Table2[[#This Row],[Benefit Name]]="My Value Plus Life - Spouse"),0,
IFERROR(VLOOKUP($G133,INDIRECT($O133),$P133+1,FALSE),0))</f>
        <v>0</v>
      </c>
      <c r="S133" s="289">
        <f t="shared" ref="S133:S196" ca="1" si="17">Q133+R133/1000*X133</f>
        <v>0</v>
      </c>
      <c r="T133" s="284" t="str">
        <f>IF(Table13[[#This Row],[Premium Waiver]]="","None",Table13[[#This Row],[Premium Waiver]])</f>
        <v>None</v>
      </c>
      <c r="U133" s="284">
        <f>Table13[[#This Row],[VAPs Options]]</f>
        <v>0</v>
      </c>
      <c r="V133" s="284">
        <f>Table13[[#This Row],[Annual Increase Option]]</f>
        <v>0</v>
      </c>
      <c r="W133" s="290">
        <f>Table13[[#This Row],[Life Cover Amount]]</f>
        <v>0</v>
      </c>
      <c r="X133" s="290">
        <f>Table13[[#This Row],[Funeral Cover Amount]]</f>
        <v>0</v>
      </c>
      <c r="Y13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3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33" s="301">
        <f t="shared" ref="AA133:AA196" ca="1" si="18">S133+M133</f>
        <v>0</v>
      </c>
      <c r="AB133" s="298"/>
      <c r="AC133" s="326" t="str">
        <f>IF(Table2[[#This Row],[Member Type]]="Main Member",Lookups!$C$13,
IF(Table2[[#This Row],[Member Type]]="Spouse",_xlfn.XLOOKUP(B133,Table2[Main Member Link ID],Table2[Product Option],0),
IF(AND(Table2[[#This Row],[Member Type]]="Child",_xlfn.XLOOKUP(B133,Table2[Main Member Link ID],Table2[Product Option],0)&lt;&gt;"My Value Plus Life"),Lookups!$C$24,
IF(AND(OR(Table2[[#This Row],[Member Type]]="Parent",Table2[[#This Row],[Member Type]]="Extended"),_xlfn.XLOOKUP(B133,Table2[Main Member Link ID],Table2[Product Option],0)&lt;&gt;"My Value Plus Life"),Lookups!$C$26,""))))</f>
        <v/>
      </c>
      <c r="AD133" s="326" t="str">
        <f>IF(Table2[[#This Row],[Member Type]]="Main Member",Lookups!$C$14,"")</f>
        <v/>
      </c>
      <c r="AE13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Funeral",_xlfn.XLOOKUP(B133,Table2[Main Member Link ID],Table2[Benefit Name],0)=Lookups!$D$14),"",
IF(AND(Table2[[#This Row],[Member Type]]="Spouse",Table2[[#This Row],[Product Option]]="My Value Plus Life &amp; Funeral",_xlfn.XLOOKUP(B132,Table2[Main Member Link ID],Table2[Benefit Name],0)=Lookups!$D$15),Lookups!$D$20,
IF(AND(Table2[[#This Row],[Member Type]]="Spouse",Table2[[#This Row],[Product Option]]="My Value Plus Life &amp; Funeral",_xlfn.XLOOKUP(B132,Table2[Main Member Link ID],Table2[Benefit Name],0)=Lookups!$D$16),"",
IF(AND(Table2[[#This Row],[Member Type]]="Spouse",Table2[[#This Row],[Product Option]]="My Value Plus Life &amp; Funeral",_xlfn.XLOOKUP(B132,Table2[Main Member Link ID],Table2[Benefit Name],0)=Lookups!$D$17),Lookups!$D$21,
IF(AND(Table2[[#This Row],[Member Type]]="Child",Table2[[#This Row],[Product Option]]="My Value Plus Life &amp; Funeral",_xlfn.XLOOKUP(B133,Table2[Main Member Link ID],Table2[Benefit Name],0)=Lookups!$D$14),"",
IF(AND(Table2[[#This Row],[Member Type]]="Child",Table2[[#This Row],[Product Option]]="My Value Plus Life &amp; Funeral",_xlfn.XLOOKUP(B133,Table2[Main Member Link ID],Table2[Benefit Name],0)=Lookups!$D$15),"",
IF(AND(Table2[[#This Row],[Member Type]]="Child",Table2[[#This Row],[Product Option]]="My Value Plus Life &amp; Funeral",_xlfn.XLOOKUP(B133,Table2[Main Member Link ID],Table2[Benefit Name],0)=Lookups!$D$16),Lookups!$D$24,
IF(AND(Table2[[#This Row],[Member Type]]="Child",Table2[[#This Row],[Product Option]]="My Value Plus Life &amp; Funeral",_xlfn.XLOOKUP(B133,Table2[Main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Funeral",_xlfn.XLOOKUP(B133,Table2[Main Member Link ID],Table2[Benefit Name],0)&lt;&gt;Lookups!$D$14),
IF(_xlfn.XLOOKUP(B133,Table2[Main Member Link ID],Table2[Benefit Name],0)=0,"",_xlfn.XLOOKUP(B133,Table2[Main Member Link ID],Table2[Benefit Name],0)),"")))))))))))))))</f>
        <v/>
      </c>
      <c r="AF133" s="327" t="str">
        <f>IF(AND(Table2[[#This Row],[Member Type]]="Main Member",Table2[[#This Row],[Product Option]]="My Value Plus Life &amp; Funeral"),Lookups!$D$15,
IF(AND(Table2[[#This Row],[Member Type]]="Spouse",Table2[[#This Row],[Product Option]]="My Value Plus Life &amp; Funeral",_xlfn.XLOOKUP(B133,Table2[Main Member Link ID],Table2[Benefit Name],0)=Lookups!$D$14),"",
IF(AND(Table2[[#This Row],[Member Type]]="Spouse",Table2[[#This Row],[Product Option]]="My Value Plus Life &amp; Funeral",_xlfn.XLOOKUP(B132,Table2[Main Member Link ID],Table2[Benefit Name],0)=Lookups!$D$16),"",
IF(AND(Table2[[#This Row],[Member Type]]="Spouse",Table2[[#This Row],[Product Option]]="My Value Plus Life &amp; Funeral",_xlfn.XLOOKUP(B132,Table2[Main Member Link ID],Table2[Benefit Name],0)=Lookups!$D$15),"",
IF(AND(Table2[[#This Row],[Member Type]]="Spouse",Table2[[#This Row],[Product Option]]="My Value Plus Life &amp; Funeral",_xlfn.XLOOKUP(B132,Table2[Main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Funeral",_xlfn.XLOOKUP(B133,Table2[Main Member Link ID],Table2[Benefit Name],0)&lt;&gt;Lookups!$D$15),
IF(_xlfn.XLOOKUP(B133,Table2[Main Member Link ID],Table2[Benefit Name],0)=0,"",_xlfn.XLOOKUP(B133,Table2[Main Member Link ID],Table2[Benefit Name],0)),"")
))))))</f>
        <v/>
      </c>
      <c r="AG133" s="327" t="str">
        <f>IF(AND(Table2[[#This Row],[Member Type]]="Main Member",Table2[[#This Row],[Product Option]]="My Value Plus Life &amp; Funeral"),Lookups!$D$16,
IF(AND(Table2[[#This Row],[Member Type]]="Spouse",Table2[[#This Row],[Product Option]]="My Value Plus Life &amp; Funeral",_xlfn.XLOOKUP(B133,Table2[Main Member Link ID],Table2[Benefit Name],0)=Lookups!$D$14),"",
IF(AND(Table2[[#This Row],[Member Type]]="Spouse",Table2[[#This Row],[Product Option]]="My Value Plus Life &amp; Funeral",_xlfn.XLOOKUP(B132,Table2[Main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Funeral",_xlfn.XLOOKUP(B133,Table2[Main Member Link ID],Table2[Benefit Name],0)&lt;&gt;Lookups!$D$16),
IF(_xlfn.XLOOKUP(B133,Table2[Main Member Link ID],Table2[Benefit Name],0)=0,"",_xlfn.XLOOKUP(B133,Table2[Main Member Link ID],Table2[Benefit Name],0)),"")
))))</f>
        <v/>
      </c>
      <c r="AH133" s="327" t="str">
        <f>IF(AND(Table2[[#This Row],[Member Type]]="Main Member",Table2[[#This Row],[Product Option]]="My Value Plus Life &amp; Funeral"),Lookups!$D$17,
IF(AND(Table2[[#This Row],[Member Type]]="Spouse",Table2[[#This Row],[Product Option]]="My Value Plus Life &amp; Funeral",_xlfn.XLOOKUP(B133,Table2[Main Member Link ID],Table2[Benefit Name],0)=Lookups!$D$14),"",
IF(AND(Table2[[#This Row],[Member Type]]="Spouse",Table2[[#This Row],[Product Option]]="My Value Plus Life &amp; Funeral",_xlfn.XLOOKUP(B132,Table2[Main Member Link ID],Table2[Benefit Name],0)=Lookups!$D$16),"",
IF(AND(Table2[[#This Row],[Member Type]]="Child",Table2[[#This Row],[Product Option]]="My Value Plus Life &amp; Funeral"),"",
IF(AND(Table2[[#This Row],[Member Type]]="Child",Table2[[#This Row],[Product Option]]="My Value Plus Life &amp; Funeral",_xlfn.XLOOKUP(B133,Table2[Main Member Link ID],Table2[Benefit Name],0)=Lookups!$D$15),"",
IF(AND(OR(Table2[[#This Row],[Member Type]]="Spouse",Table2[[#This Row],[Member Type]]="Child"),Table2[[#This Row],[Product Option]]="My Value Plus Life &amp; Funeral",_xlfn.XLOOKUP(B133,Table2[Main Member Link ID],Table2[Benefit Name],0)&lt;&gt;Lookups!$D$17),
IF(_xlfn.XLOOKUP(B133,Table2[Main Member Link ID],Table2[Benefit Name],0)=0,"",_xlfn.XLOOKUP(B133,Table2[Main Member Link ID],Table2[Benefit Name],0)),""))))))</f>
        <v/>
      </c>
      <c r="AI133" s="328" t="str">
        <f>IF(AND(Table2[[#This Row],[Member Type]]="Main Member",Table2[[#This Row],[Table Lookup for Life Cover]]="MM_LIFE",Table2[[#This Row],[Age Next Birthday]]&lt;56),1,
IF(AND(Table2[[#This Row],[Member Type]]="Main Member",Table2[[#This Row],[Table Lookup for Life Cover]]="MM_LIFE",Table2[[#This Row],[Age Next Birthday]]&gt;=56),2,
""))</f>
        <v/>
      </c>
      <c r="AJ133" s="328">
        <f>IF(OR(Table2[[#This Row],[Member Type]]="Main Member",Table2[[#This Row],[Main Member Link ID]]=B132),1,0)</f>
        <v>1</v>
      </c>
      <c r="AK133" s="328">
        <f>IF(Table2[[#This Row],[Member Type]]=0,0,
IF(OR(Table2[[#This Row],[Member Type]]="Main Member",Table2[[#This Row],[Main Member Link ID]]&lt;&gt;B133),COUNTIFS(B:B,Table2[[#This Row],[Main Member Link ID]]),
COUNTIFS(B:B,Table2[[#This Row],[Main Member Link ID]],A:A,Table2[[#This Row],[Member Type]])))</f>
        <v>0</v>
      </c>
    </row>
    <row r="134" spans="1:37" x14ac:dyDescent="0.3">
      <c r="A134" s="284">
        <f>Table13[[#This Row],[Member Type]]</f>
        <v>0</v>
      </c>
      <c r="B134" s="284">
        <f>Table13[[#This Row],[Main Member Link ID]]</f>
        <v>0</v>
      </c>
      <c r="C134" s="284">
        <f>Table13[[#This Row],[ID Number]]</f>
        <v>0</v>
      </c>
      <c r="D134" s="285">
        <f>Table13[[#This Row],[Date Of Birth]]</f>
        <v>0</v>
      </c>
      <c r="E134" s="285">
        <f>Table13[[#This Row],[Commencement Date]]</f>
        <v>0</v>
      </c>
      <c r="F134" s="284">
        <f t="shared" si="14"/>
        <v>1</v>
      </c>
      <c r="G134" s="284">
        <f t="shared" si="15"/>
        <v>25</v>
      </c>
      <c r="H134" s="286">
        <f>Table13[[#This Row],[Product Option]]</f>
        <v>0</v>
      </c>
      <c r="I134" s="284">
        <f>IF(AND($A134="Main Member",Table2[[#This Row],[Product Option]]="My Value Plus Life"),"MM_LIFE",
IF(AND($A134="Spouse",Table2[[#This Row],[Product Option]]="My Value Plus Life"),"SP_LIFE",
IF(AND($A134="Main Member",Table2[[#This Row],[Product Option]]="My Value Plus Life &amp; Funeral"),"MM_LIFE",
IF(AND($A134="Spouse",Table2[[#This Row],[Product Option]]="My Value Plus Life &amp; Funeral"),_xlfn.XLOOKUP(Table2[[#This Row],[Benefit Name]],Lookups!$D$18:$D$23,Lookups!$E$18:$E$23,0),
0))))</f>
        <v>0</v>
      </c>
      <c r="J134" s="284">
        <f>IF($I134="","",
IF($I134="MM_LIFE",INDEX('Quotation Tool'!$S$54:$V$60,MATCH($T134,'Quotation Tool'!$S$54:$S$60,0),4),
IF($I134="SP_LIFE",_xlfn.XLOOKUP(B133,$B:$B,$J:$J,0),0)))</f>
        <v>0</v>
      </c>
      <c r="K134" s="287">
        <f t="shared" ref="K134:K197" ca="1" si="19">IFERROR(VLOOKUP($G134,INDIRECT($I134),$J134,FALSE),0)</f>
        <v>0</v>
      </c>
      <c r="L134" s="288">
        <f t="shared" ref="L134:L197" ca="1" si="20">IFERROR(VLOOKUP($G134,INDIRECT($I134),$J134+1,FALSE),0)</f>
        <v>0</v>
      </c>
      <c r="M134" s="289">
        <f t="shared" ca="1" si="16"/>
        <v>0</v>
      </c>
      <c r="N134" s="286">
        <f>Table13[[#This Row],[Benefit Option]]</f>
        <v>0</v>
      </c>
      <c r="O134" s="284">
        <f>IF(OR(Table2[[#This Row],[Member Type]]="Spouse",Table2[[#This Row],[Member Type]]="Child"),0,
IF(_xlfn.XLOOKUP($N134,Lookups!$D$13:$D$27,Lookups!$F$13:$F$27,0)=Table2[[#This Row],[Table Lookup for Life Cover]],0,
_xlfn.XLOOKUP($N134,Lookups!$D$13:$D$27,Lookups!$F$13:$F$27,0)))</f>
        <v>0</v>
      </c>
      <c r="P134" s="284">
        <f>IF(Table2[[#This Row],[Table Lookup for Funeral]]=0,0,IFERROR(INDEX('Quotation Tool'!$S$54:$V$60,MATCH($T134,'Quotation Tool'!$S$54:$S$60,0),3),0))</f>
        <v>0</v>
      </c>
      <c r="Q134" s="288">
        <f ca="1">IF(OR(Table2[[#This Row],[Benefit Name]]="My Value Plus Life - Main Member",Table2[[#This Row],[Benefit Name]]="My Value Plus Life - Spouse"),0,
IFERROR(VLOOKUP($G134,INDIRECT($O134),$P134,FALSE),0))</f>
        <v>0</v>
      </c>
      <c r="R134" s="288">
        <f ca="1">IF(OR(Table2[[#This Row],[Benefit Name]]="My Value Plus Life - Main Member",Table2[[#This Row],[Benefit Name]]="My Value Plus Life - Spouse"),0,
IFERROR(VLOOKUP($G134,INDIRECT($O134),$P134+1,FALSE),0))</f>
        <v>0</v>
      </c>
      <c r="S134" s="289">
        <f t="shared" ca="1" si="17"/>
        <v>0</v>
      </c>
      <c r="T134" s="284" t="str">
        <f>IF(Table13[[#This Row],[Premium Waiver]]="","None",Table13[[#This Row],[Premium Waiver]])</f>
        <v>None</v>
      </c>
      <c r="U134" s="284">
        <f>Table13[[#This Row],[VAPs Options]]</f>
        <v>0</v>
      </c>
      <c r="V134" s="284">
        <f>Table13[[#This Row],[Annual Increase Option]]</f>
        <v>0</v>
      </c>
      <c r="W134" s="290">
        <f>Table13[[#This Row],[Life Cover Amount]]</f>
        <v>0</v>
      </c>
      <c r="X134" s="290">
        <f>Table13[[#This Row],[Funeral Cover Amount]]</f>
        <v>0</v>
      </c>
      <c r="Y13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3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34" s="301">
        <f t="shared" ca="1" si="18"/>
        <v>0</v>
      </c>
      <c r="AB134" s="298"/>
      <c r="AC134" s="326" t="str">
        <f>IF(Table2[[#This Row],[Member Type]]="Main Member",Lookups!$C$13,
IF(Table2[[#This Row],[Member Type]]="Spouse",_xlfn.XLOOKUP(B134,Table2[Main Member Link ID],Table2[Product Option],0),
IF(AND(Table2[[#This Row],[Member Type]]="Child",_xlfn.XLOOKUP(B134,Table2[Main Member Link ID],Table2[Product Option],0)&lt;&gt;"My Value Plus Life"),Lookups!$C$24,
IF(AND(OR(Table2[[#This Row],[Member Type]]="Parent",Table2[[#This Row],[Member Type]]="Extended"),_xlfn.XLOOKUP(B134,Table2[Main Member Link ID],Table2[Product Option],0)&lt;&gt;"My Value Plus Life"),Lookups!$C$26,""))))</f>
        <v/>
      </c>
      <c r="AD134" s="326" t="str">
        <f>IF(Table2[[#This Row],[Member Type]]="Main Member",Lookups!$C$14,"")</f>
        <v/>
      </c>
      <c r="AE13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Funeral",_xlfn.XLOOKUP(B134,Table2[Main Member Link ID],Table2[Benefit Name],0)=Lookups!$D$14),"",
IF(AND(Table2[[#This Row],[Member Type]]="Spouse",Table2[[#This Row],[Product Option]]="My Value Plus Life &amp; Funeral",_xlfn.XLOOKUP(B133,Table2[Main Member Link ID],Table2[Benefit Name],0)=Lookups!$D$15),Lookups!$D$20,
IF(AND(Table2[[#This Row],[Member Type]]="Spouse",Table2[[#This Row],[Product Option]]="My Value Plus Life &amp; Funeral",_xlfn.XLOOKUP(B133,Table2[Main Member Link ID],Table2[Benefit Name],0)=Lookups!$D$16),"",
IF(AND(Table2[[#This Row],[Member Type]]="Spouse",Table2[[#This Row],[Product Option]]="My Value Plus Life &amp; Funeral",_xlfn.XLOOKUP(B133,Table2[Main Member Link ID],Table2[Benefit Name],0)=Lookups!$D$17),Lookups!$D$21,
IF(AND(Table2[[#This Row],[Member Type]]="Child",Table2[[#This Row],[Product Option]]="My Value Plus Life &amp; Funeral",_xlfn.XLOOKUP(B134,Table2[Main Member Link ID],Table2[Benefit Name],0)=Lookups!$D$14),"",
IF(AND(Table2[[#This Row],[Member Type]]="Child",Table2[[#This Row],[Product Option]]="My Value Plus Life &amp; Funeral",_xlfn.XLOOKUP(B134,Table2[Main Member Link ID],Table2[Benefit Name],0)=Lookups!$D$15),"",
IF(AND(Table2[[#This Row],[Member Type]]="Child",Table2[[#This Row],[Product Option]]="My Value Plus Life &amp; Funeral",_xlfn.XLOOKUP(B134,Table2[Main Member Link ID],Table2[Benefit Name],0)=Lookups!$D$16),Lookups!$D$24,
IF(AND(Table2[[#This Row],[Member Type]]="Child",Table2[[#This Row],[Product Option]]="My Value Plus Life &amp; Funeral",_xlfn.XLOOKUP(B134,Table2[Main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Funeral",_xlfn.XLOOKUP(B134,Table2[Main Member Link ID],Table2[Benefit Name],0)&lt;&gt;Lookups!$D$14),
IF(_xlfn.XLOOKUP(B134,Table2[Main Member Link ID],Table2[Benefit Name],0)=0,"",_xlfn.XLOOKUP(B134,Table2[Main Member Link ID],Table2[Benefit Name],0)),"")))))))))))))))</f>
        <v/>
      </c>
      <c r="AF134" s="327" t="str">
        <f>IF(AND(Table2[[#This Row],[Member Type]]="Main Member",Table2[[#This Row],[Product Option]]="My Value Plus Life &amp; Funeral"),Lookups!$D$15,
IF(AND(Table2[[#This Row],[Member Type]]="Spouse",Table2[[#This Row],[Product Option]]="My Value Plus Life &amp; Funeral",_xlfn.XLOOKUP(B134,Table2[Main Member Link ID],Table2[Benefit Name],0)=Lookups!$D$14),"",
IF(AND(Table2[[#This Row],[Member Type]]="Spouse",Table2[[#This Row],[Product Option]]="My Value Plus Life &amp; Funeral",_xlfn.XLOOKUP(B133,Table2[Main Member Link ID],Table2[Benefit Name],0)=Lookups!$D$16),"",
IF(AND(Table2[[#This Row],[Member Type]]="Spouse",Table2[[#This Row],[Product Option]]="My Value Plus Life &amp; Funeral",_xlfn.XLOOKUP(B133,Table2[Main Member Link ID],Table2[Benefit Name],0)=Lookups!$D$15),"",
IF(AND(Table2[[#This Row],[Member Type]]="Spouse",Table2[[#This Row],[Product Option]]="My Value Plus Life &amp; Funeral",_xlfn.XLOOKUP(B133,Table2[Main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Funeral",_xlfn.XLOOKUP(B134,Table2[Main Member Link ID],Table2[Benefit Name],0)&lt;&gt;Lookups!$D$15),
IF(_xlfn.XLOOKUP(B134,Table2[Main Member Link ID],Table2[Benefit Name],0)=0,"",_xlfn.XLOOKUP(B134,Table2[Main Member Link ID],Table2[Benefit Name],0)),"")
))))))</f>
        <v/>
      </c>
      <c r="AG134" s="327" t="str">
        <f>IF(AND(Table2[[#This Row],[Member Type]]="Main Member",Table2[[#This Row],[Product Option]]="My Value Plus Life &amp; Funeral"),Lookups!$D$16,
IF(AND(Table2[[#This Row],[Member Type]]="Spouse",Table2[[#This Row],[Product Option]]="My Value Plus Life &amp; Funeral",_xlfn.XLOOKUP(B134,Table2[Main Member Link ID],Table2[Benefit Name],0)=Lookups!$D$14),"",
IF(AND(Table2[[#This Row],[Member Type]]="Spouse",Table2[[#This Row],[Product Option]]="My Value Plus Life &amp; Funeral",_xlfn.XLOOKUP(B133,Table2[Main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Funeral",_xlfn.XLOOKUP(B134,Table2[Main Member Link ID],Table2[Benefit Name],0)&lt;&gt;Lookups!$D$16),
IF(_xlfn.XLOOKUP(B134,Table2[Main Member Link ID],Table2[Benefit Name],0)=0,"",_xlfn.XLOOKUP(B134,Table2[Main Member Link ID],Table2[Benefit Name],0)),"")
))))</f>
        <v/>
      </c>
      <c r="AH134" s="327" t="str">
        <f>IF(AND(Table2[[#This Row],[Member Type]]="Main Member",Table2[[#This Row],[Product Option]]="My Value Plus Life &amp; Funeral"),Lookups!$D$17,
IF(AND(Table2[[#This Row],[Member Type]]="Spouse",Table2[[#This Row],[Product Option]]="My Value Plus Life &amp; Funeral",_xlfn.XLOOKUP(B134,Table2[Main Member Link ID],Table2[Benefit Name],0)=Lookups!$D$14),"",
IF(AND(Table2[[#This Row],[Member Type]]="Spouse",Table2[[#This Row],[Product Option]]="My Value Plus Life &amp; Funeral",_xlfn.XLOOKUP(B133,Table2[Main Member Link ID],Table2[Benefit Name],0)=Lookups!$D$16),"",
IF(AND(Table2[[#This Row],[Member Type]]="Child",Table2[[#This Row],[Product Option]]="My Value Plus Life &amp; Funeral"),"",
IF(AND(Table2[[#This Row],[Member Type]]="Child",Table2[[#This Row],[Product Option]]="My Value Plus Life &amp; Funeral",_xlfn.XLOOKUP(B134,Table2[Main Member Link ID],Table2[Benefit Name],0)=Lookups!$D$15),"",
IF(AND(OR(Table2[[#This Row],[Member Type]]="Spouse",Table2[[#This Row],[Member Type]]="Child"),Table2[[#This Row],[Product Option]]="My Value Plus Life &amp; Funeral",_xlfn.XLOOKUP(B134,Table2[Main Member Link ID],Table2[Benefit Name],0)&lt;&gt;Lookups!$D$17),
IF(_xlfn.XLOOKUP(B134,Table2[Main Member Link ID],Table2[Benefit Name],0)=0,"",_xlfn.XLOOKUP(B134,Table2[Main Member Link ID],Table2[Benefit Name],0)),""))))))</f>
        <v/>
      </c>
      <c r="AI134" s="328" t="str">
        <f>IF(AND(Table2[[#This Row],[Member Type]]="Main Member",Table2[[#This Row],[Table Lookup for Life Cover]]="MM_LIFE",Table2[[#This Row],[Age Next Birthday]]&lt;56),1,
IF(AND(Table2[[#This Row],[Member Type]]="Main Member",Table2[[#This Row],[Table Lookup for Life Cover]]="MM_LIFE",Table2[[#This Row],[Age Next Birthday]]&gt;=56),2,
""))</f>
        <v/>
      </c>
      <c r="AJ134" s="328">
        <f>IF(OR(Table2[[#This Row],[Member Type]]="Main Member",Table2[[#This Row],[Main Member Link ID]]=B133),1,0)</f>
        <v>1</v>
      </c>
      <c r="AK134" s="328">
        <f>IF(Table2[[#This Row],[Member Type]]=0,0,
IF(OR(Table2[[#This Row],[Member Type]]="Main Member",Table2[[#This Row],[Main Member Link ID]]&lt;&gt;B134),COUNTIFS(B:B,Table2[[#This Row],[Main Member Link ID]]),
COUNTIFS(B:B,Table2[[#This Row],[Main Member Link ID]],A:A,Table2[[#This Row],[Member Type]])))</f>
        <v>0</v>
      </c>
    </row>
    <row r="135" spans="1:37" x14ac:dyDescent="0.3">
      <c r="A135" s="284">
        <f>Table13[[#This Row],[Member Type]]</f>
        <v>0</v>
      </c>
      <c r="B135" s="284">
        <f>Table13[[#This Row],[Main Member Link ID]]</f>
        <v>0</v>
      </c>
      <c r="C135" s="284">
        <f>Table13[[#This Row],[ID Number]]</f>
        <v>0</v>
      </c>
      <c r="D135" s="285">
        <f>Table13[[#This Row],[Date Of Birth]]</f>
        <v>0</v>
      </c>
      <c r="E135" s="285">
        <f>Table13[[#This Row],[Commencement Date]]</f>
        <v>0</v>
      </c>
      <c r="F135" s="284">
        <f t="shared" si="14"/>
        <v>1</v>
      </c>
      <c r="G135" s="284">
        <f t="shared" si="15"/>
        <v>25</v>
      </c>
      <c r="H135" s="286">
        <f>Table13[[#This Row],[Product Option]]</f>
        <v>0</v>
      </c>
      <c r="I135" s="284">
        <f>IF(AND($A135="Main Member",Table2[[#This Row],[Product Option]]="My Value Plus Life"),"MM_LIFE",
IF(AND($A135="Spouse",Table2[[#This Row],[Product Option]]="My Value Plus Life"),"SP_LIFE",
IF(AND($A135="Main Member",Table2[[#This Row],[Product Option]]="My Value Plus Life &amp; Funeral"),"MM_LIFE",
IF(AND($A135="Spouse",Table2[[#This Row],[Product Option]]="My Value Plus Life &amp; Funeral"),_xlfn.XLOOKUP(Table2[[#This Row],[Benefit Name]],Lookups!$D$18:$D$23,Lookups!$E$18:$E$23,0),
0))))</f>
        <v>0</v>
      </c>
      <c r="J135" s="284">
        <f>IF($I135="","",
IF($I135="MM_LIFE",INDEX('Quotation Tool'!$S$54:$V$60,MATCH($T135,'Quotation Tool'!$S$54:$S$60,0),4),
IF($I135="SP_LIFE",_xlfn.XLOOKUP(B134,$B:$B,$J:$J,0),0)))</f>
        <v>0</v>
      </c>
      <c r="K135" s="287">
        <f t="shared" ca="1" si="19"/>
        <v>0</v>
      </c>
      <c r="L135" s="288">
        <f t="shared" ca="1" si="20"/>
        <v>0</v>
      </c>
      <c r="M135" s="289">
        <f t="shared" ca="1" si="16"/>
        <v>0</v>
      </c>
      <c r="N135" s="286">
        <f>Table13[[#This Row],[Benefit Option]]</f>
        <v>0</v>
      </c>
      <c r="O135" s="284">
        <f>IF(OR(Table2[[#This Row],[Member Type]]="Spouse",Table2[[#This Row],[Member Type]]="Child"),0,
IF(_xlfn.XLOOKUP($N135,Lookups!$D$13:$D$27,Lookups!$F$13:$F$27,0)=Table2[[#This Row],[Table Lookup for Life Cover]],0,
_xlfn.XLOOKUP($N135,Lookups!$D$13:$D$27,Lookups!$F$13:$F$27,0)))</f>
        <v>0</v>
      </c>
      <c r="P135" s="284">
        <f>IF(Table2[[#This Row],[Table Lookup for Funeral]]=0,0,IFERROR(INDEX('Quotation Tool'!$S$54:$V$60,MATCH($T135,'Quotation Tool'!$S$54:$S$60,0),3),0))</f>
        <v>0</v>
      </c>
      <c r="Q135" s="288">
        <f ca="1">IF(OR(Table2[[#This Row],[Benefit Name]]="My Value Plus Life - Main Member",Table2[[#This Row],[Benefit Name]]="My Value Plus Life - Spouse"),0,
IFERROR(VLOOKUP($G135,INDIRECT($O135),$P135,FALSE),0))</f>
        <v>0</v>
      </c>
      <c r="R135" s="288">
        <f ca="1">IF(OR(Table2[[#This Row],[Benefit Name]]="My Value Plus Life - Main Member",Table2[[#This Row],[Benefit Name]]="My Value Plus Life - Spouse"),0,
IFERROR(VLOOKUP($G135,INDIRECT($O135),$P135+1,FALSE),0))</f>
        <v>0</v>
      </c>
      <c r="S135" s="289">
        <f t="shared" ca="1" si="17"/>
        <v>0</v>
      </c>
      <c r="T135" s="284" t="str">
        <f>IF(Table13[[#This Row],[Premium Waiver]]="","None",Table13[[#This Row],[Premium Waiver]])</f>
        <v>None</v>
      </c>
      <c r="U135" s="284">
        <f>Table13[[#This Row],[VAPs Options]]</f>
        <v>0</v>
      </c>
      <c r="V135" s="284">
        <f>Table13[[#This Row],[Annual Increase Option]]</f>
        <v>0</v>
      </c>
      <c r="W135" s="290">
        <f>Table13[[#This Row],[Life Cover Amount]]</f>
        <v>0</v>
      </c>
      <c r="X135" s="290">
        <f>Table13[[#This Row],[Funeral Cover Amount]]</f>
        <v>0</v>
      </c>
      <c r="Y13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3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35" s="301">
        <f t="shared" ca="1" si="18"/>
        <v>0</v>
      </c>
      <c r="AB135" s="298"/>
      <c r="AC135" s="326" t="str">
        <f>IF(Table2[[#This Row],[Member Type]]="Main Member",Lookups!$C$13,
IF(Table2[[#This Row],[Member Type]]="Spouse",_xlfn.XLOOKUP(B135,Table2[Main Member Link ID],Table2[Product Option],0),
IF(AND(Table2[[#This Row],[Member Type]]="Child",_xlfn.XLOOKUP(B135,Table2[Main Member Link ID],Table2[Product Option],0)&lt;&gt;"My Value Plus Life"),Lookups!$C$24,
IF(AND(OR(Table2[[#This Row],[Member Type]]="Parent",Table2[[#This Row],[Member Type]]="Extended"),_xlfn.XLOOKUP(B135,Table2[Main Member Link ID],Table2[Product Option],0)&lt;&gt;"My Value Plus Life"),Lookups!$C$26,""))))</f>
        <v/>
      </c>
      <c r="AD135" s="326" t="str">
        <f>IF(Table2[[#This Row],[Member Type]]="Main Member",Lookups!$C$14,"")</f>
        <v/>
      </c>
      <c r="AE13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Funeral",_xlfn.XLOOKUP(B135,Table2[Main Member Link ID],Table2[Benefit Name],0)=Lookups!$D$14),"",
IF(AND(Table2[[#This Row],[Member Type]]="Spouse",Table2[[#This Row],[Product Option]]="My Value Plus Life &amp; Funeral",_xlfn.XLOOKUP(B134,Table2[Main Member Link ID],Table2[Benefit Name],0)=Lookups!$D$15),Lookups!$D$20,
IF(AND(Table2[[#This Row],[Member Type]]="Spouse",Table2[[#This Row],[Product Option]]="My Value Plus Life &amp; Funeral",_xlfn.XLOOKUP(B134,Table2[Main Member Link ID],Table2[Benefit Name],0)=Lookups!$D$16),"",
IF(AND(Table2[[#This Row],[Member Type]]="Spouse",Table2[[#This Row],[Product Option]]="My Value Plus Life &amp; Funeral",_xlfn.XLOOKUP(B134,Table2[Main Member Link ID],Table2[Benefit Name],0)=Lookups!$D$17),Lookups!$D$21,
IF(AND(Table2[[#This Row],[Member Type]]="Child",Table2[[#This Row],[Product Option]]="My Value Plus Life &amp; Funeral",_xlfn.XLOOKUP(B135,Table2[Main Member Link ID],Table2[Benefit Name],0)=Lookups!$D$14),"",
IF(AND(Table2[[#This Row],[Member Type]]="Child",Table2[[#This Row],[Product Option]]="My Value Plus Life &amp; Funeral",_xlfn.XLOOKUP(B135,Table2[Main Member Link ID],Table2[Benefit Name],0)=Lookups!$D$15),"",
IF(AND(Table2[[#This Row],[Member Type]]="Child",Table2[[#This Row],[Product Option]]="My Value Plus Life &amp; Funeral",_xlfn.XLOOKUP(B135,Table2[Main Member Link ID],Table2[Benefit Name],0)=Lookups!$D$16),Lookups!$D$24,
IF(AND(Table2[[#This Row],[Member Type]]="Child",Table2[[#This Row],[Product Option]]="My Value Plus Life &amp; Funeral",_xlfn.XLOOKUP(B135,Table2[Main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Funeral",_xlfn.XLOOKUP(B135,Table2[Main Member Link ID],Table2[Benefit Name],0)&lt;&gt;Lookups!$D$14),
IF(_xlfn.XLOOKUP(B135,Table2[Main Member Link ID],Table2[Benefit Name],0)=0,"",_xlfn.XLOOKUP(B135,Table2[Main Member Link ID],Table2[Benefit Name],0)),"")))))))))))))))</f>
        <v/>
      </c>
      <c r="AF135" s="327" t="str">
        <f>IF(AND(Table2[[#This Row],[Member Type]]="Main Member",Table2[[#This Row],[Product Option]]="My Value Plus Life &amp; Funeral"),Lookups!$D$15,
IF(AND(Table2[[#This Row],[Member Type]]="Spouse",Table2[[#This Row],[Product Option]]="My Value Plus Life &amp; Funeral",_xlfn.XLOOKUP(B135,Table2[Main Member Link ID],Table2[Benefit Name],0)=Lookups!$D$14),"",
IF(AND(Table2[[#This Row],[Member Type]]="Spouse",Table2[[#This Row],[Product Option]]="My Value Plus Life &amp; Funeral",_xlfn.XLOOKUP(B134,Table2[Main Member Link ID],Table2[Benefit Name],0)=Lookups!$D$16),"",
IF(AND(Table2[[#This Row],[Member Type]]="Spouse",Table2[[#This Row],[Product Option]]="My Value Plus Life &amp; Funeral",_xlfn.XLOOKUP(B134,Table2[Main Member Link ID],Table2[Benefit Name],0)=Lookups!$D$15),"",
IF(AND(Table2[[#This Row],[Member Type]]="Spouse",Table2[[#This Row],[Product Option]]="My Value Plus Life &amp; Funeral",_xlfn.XLOOKUP(B134,Table2[Main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Funeral",_xlfn.XLOOKUP(B135,Table2[Main Member Link ID],Table2[Benefit Name],0)&lt;&gt;Lookups!$D$15),
IF(_xlfn.XLOOKUP(B135,Table2[Main Member Link ID],Table2[Benefit Name],0)=0,"",_xlfn.XLOOKUP(B135,Table2[Main Member Link ID],Table2[Benefit Name],0)),"")
))))))</f>
        <v/>
      </c>
      <c r="AG135" s="327" t="str">
        <f>IF(AND(Table2[[#This Row],[Member Type]]="Main Member",Table2[[#This Row],[Product Option]]="My Value Plus Life &amp; Funeral"),Lookups!$D$16,
IF(AND(Table2[[#This Row],[Member Type]]="Spouse",Table2[[#This Row],[Product Option]]="My Value Plus Life &amp; Funeral",_xlfn.XLOOKUP(B135,Table2[Main Member Link ID],Table2[Benefit Name],0)=Lookups!$D$14),"",
IF(AND(Table2[[#This Row],[Member Type]]="Spouse",Table2[[#This Row],[Product Option]]="My Value Plus Life &amp; Funeral",_xlfn.XLOOKUP(B134,Table2[Main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Funeral",_xlfn.XLOOKUP(B135,Table2[Main Member Link ID],Table2[Benefit Name],0)&lt;&gt;Lookups!$D$16),
IF(_xlfn.XLOOKUP(B135,Table2[Main Member Link ID],Table2[Benefit Name],0)=0,"",_xlfn.XLOOKUP(B135,Table2[Main Member Link ID],Table2[Benefit Name],0)),"")
))))</f>
        <v/>
      </c>
      <c r="AH135" s="327" t="str">
        <f>IF(AND(Table2[[#This Row],[Member Type]]="Main Member",Table2[[#This Row],[Product Option]]="My Value Plus Life &amp; Funeral"),Lookups!$D$17,
IF(AND(Table2[[#This Row],[Member Type]]="Spouse",Table2[[#This Row],[Product Option]]="My Value Plus Life &amp; Funeral",_xlfn.XLOOKUP(B135,Table2[Main Member Link ID],Table2[Benefit Name],0)=Lookups!$D$14),"",
IF(AND(Table2[[#This Row],[Member Type]]="Spouse",Table2[[#This Row],[Product Option]]="My Value Plus Life &amp; Funeral",_xlfn.XLOOKUP(B134,Table2[Main Member Link ID],Table2[Benefit Name],0)=Lookups!$D$16),"",
IF(AND(Table2[[#This Row],[Member Type]]="Child",Table2[[#This Row],[Product Option]]="My Value Plus Life &amp; Funeral"),"",
IF(AND(Table2[[#This Row],[Member Type]]="Child",Table2[[#This Row],[Product Option]]="My Value Plus Life &amp; Funeral",_xlfn.XLOOKUP(B135,Table2[Main Member Link ID],Table2[Benefit Name],0)=Lookups!$D$15),"",
IF(AND(OR(Table2[[#This Row],[Member Type]]="Spouse",Table2[[#This Row],[Member Type]]="Child"),Table2[[#This Row],[Product Option]]="My Value Plus Life &amp; Funeral",_xlfn.XLOOKUP(B135,Table2[Main Member Link ID],Table2[Benefit Name],0)&lt;&gt;Lookups!$D$17),
IF(_xlfn.XLOOKUP(B135,Table2[Main Member Link ID],Table2[Benefit Name],0)=0,"",_xlfn.XLOOKUP(B135,Table2[Main Member Link ID],Table2[Benefit Name],0)),""))))))</f>
        <v/>
      </c>
      <c r="AI135" s="328" t="str">
        <f>IF(AND(Table2[[#This Row],[Member Type]]="Main Member",Table2[[#This Row],[Table Lookup for Life Cover]]="MM_LIFE",Table2[[#This Row],[Age Next Birthday]]&lt;56),1,
IF(AND(Table2[[#This Row],[Member Type]]="Main Member",Table2[[#This Row],[Table Lookup for Life Cover]]="MM_LIFE",Table2[[#This Row],[Age Next Birthday]]&gt;=56),2,
""))</f>
        <v/>
      </c>
      <c r="AJ135" s="328">
        <f>IF(OR(Table2[[#This Row],[Member Type]]="Main Member",Table2[[#This Row],[Main Member Link ID]]=B134),1,0)</f>
        <v>1</v>
      </c>
      <c r="AK135" s="328">
        <f>IF(Table2[[#This Row],[Member Type]]=0,0,
IF(OR(Table2[[#This Row],[Member Type]]="Main Member",Table2[[#This Row],[Main Member Link ID]]&lt;&gt;B135),COUNTIFS(B:B,Table2[[#This Row],[Main Member Link ID]]),
COUNTIFS(B:B,Table2[[#This Row],[Main Member Link ID]],A:A,Table2[[#This Row],[Member Type]])))</f>
        <v>0</v>
      </c>
    </row>
    <row r="136" spans="1:37" x14ac:dyDescent="0.3">
      <c r="A136" s="284">
        <f>Table13[[#This Row],[Member Type]]</f>
        <v>0</v>
      </c>
      <c r="B136" s="284">
        <f>Table13[[#This Row],[Main Member Link ID]]</f>
        <v>0</v>
      </c>
      <c r="C136" s="284">
        <f>Table13[[#This Row],[ID Number]]</f>
        <v>0</v>
      </c>
      <c r="D136" s="285">
        <f>Table13[[#This Row],[Date Of Birth]]</f>
        <v>0</v>
      </c>
      <c r="E136" s="285">
        <f>Table13[[#This Row],[Commencement Date]]</f>
        <v>0</v>
      </c>
      <c r="F136" s="284">
        <f t="shared" si="14"/>
        <v>1</v>
      </c>
      <c r="G136" s="284">
        <f t="shared" si="15"/>
        <v>25</v>
      </c>
      <c r="H136" s="286">
        <f>Table13[[#This Row],[Product Option]]</f>
        <v>0</v>
      </c>
      <c r="I136" s="284">
        <f>IF(AND($A136="Main Member",Table2[[#This Row],[Product Option]]="My Value Plus Life"),"MM_LIFE",
IF(AND($A136="Spouse",Table2[[#This Row],[Product Option]]="My Value Plus Life"),"SP_LIFE",
IF(AND($A136="Main Member",Table2[[#This Row],[Product Option]]="My Value Plus Life &amp; Funeral"),"MM_LIFE",
IF(AND($A136="Spouse",Table2[[#This Row],[Product Option]]="My Value Plus Life &amp; Funeral"),_xlfn.XLOOKUP(Table2[[#This Row],[Benefit Name]],Lookups!$D$18:$D$23,Lookups!$E$18:$E$23,0),
0))))</f>
        <v>0</v>
      </c>
      <c r="J136" s="284">
        <f>IF($I136="","",
IF($I136="MM_LIFE",INDEX('Quotation Tool'!$S$54:$V$60,MATCH($T136,'Quotation Tool'!$S$54:$S$60,0),4),
IF($I136="SP_LIFE",_xlfn.XLOOKUP(B135,$B:$B,$J:$J,0),0)))</f>
        <v>0</v>
      </c>
      <c r="K136" s="287">
        <f t="shared" ca="1" si="19"/>
        <v>0</v>
      </c>
      <c r="L136" s="288">
        <f t="shared" ca="1" si="20"/>
        <v>0</v>
      </c>
      <c r="M136" s="289">
        <f t="shared" ca="1" si="16"/>
        <v>0</v>
      </c>
      <c r="N136" s="286">
        <f>Table13[[#This Row],[Benefit Option]]</f>
        <v>0</v>
      </c>
      <c r="O136" s="284">
        <f>IF(OR(Table2[[#This Row],[Member Type]]="Spouse",Table2[[#This Row],[Member Type]]="Child"),0,
IF(_xlfn.XLOOKUP($N136,Lookups!$D$13:$D$27,Lookups!$F$13:$F$27,0)=Table2[[#This Row],[Table Lookup for Life Cover]],0,
_xlfn.XLOOKUP($N136,Lookups!$D$13:$D$27,Lookups!$F$13:$F$27,0)))</f>
        <v>0</v>
      </c>
      <c r="P136" s="284">
        <f>IF(Table2[[#This Row],[Table Lookup for Funeral]]=0,0,IFERROR(INDEX('Quotation Tool'!$S$54:$V$60,MATCH($T136,'Quotation Tool'!$S$54:$S$60,0),3),0))</f>
        <v>0</v>
      </c>
      <c r="Q136" s="288">
        <f ca="1">IF(OR(Table2[[#This Row],[Benefit Name]]="My Value Plus Life - Main Member",Table2[[#This Row],[Benefit Name]]="My Value Plus Life - Spouse"),0,
IFERROR(VLOOKUP($G136,INDIRECT($O136),$P136,FALSE),0))</f>
        <v>0</v>
      </c>
      <c r="R136" s="288">
        <f ca="1">IF(OR(Table2[[#This Row],[Benefit Name]]="My Value Plus Life - Main Member",Table2[[#This Row],[Benefit Name]]="My Value Plus Life - Spouse"),0,
IFERROR(VLOOKUP($G136,INDIRECT($O136),$P136+1,FALSE),0))</f>
        <v>0</v>
      </c>
      <c r="S136" s="289">
        <f t="shared" ca="1" si="17"/>
        <v>0</v>
      </c>
      <c r="T136" s="284" t="str">
        <f>IF(Table13[[#This Row],[Premium Waiver]]="","None",Table13[[#This Row],[Premium Waiver]])</f>
        <v>None</v>
      </c>
      <c r="U136" s="284">
        <f>Table13[[#This Row],[VAPs Options]]</f>
        <v>0</v>
      </c>
      <c r="V136" s="284">
        <f>Table13[[#This Row],[Annual Increase Option]]</f>
        <v>0</v>
      </c>
      <c r="W136" s="290">
        <f>Table13[[#This Row],[Life Cover Amount]]</f>
        <v>0</v>
      </c>
      <c r="X136" s="290">
        <f>Table13[[#This Row],[Funeral Cover Amount]]</f>
        <v>0</v>
      </c>
      <c r="Y13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3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36" s="301">
        <f t="shared" ca="1" si="18"/>
        <v>0</v>
      </c>
      <c r="AB136" s="298"/>
      <c r="AC136" s="326" t="str">
        <f>IF(Table2[[#This Row],[Member Type]]="Main Member",Lookups!$C$13,
IF(Table2[[#This Row],[Member Type]]="Spouse",_xlfn.XLOOKUP(B136,Table2[Main Member Link ID],Table2[Product Option],0),
IF(AND(Table2[[#This Row],[Member Type]]="Child",_xlfn.XLOOKUP(B136,Table2[Main Member Link ID],Table2[Product Option],0)&lt;&gt;"My Value Plus Life"),Lookups!$C$24,
IF(AND(OR(Table2[[#This Row],[Member Type]]="Parent",Table2[[#This Row],[Member Type]]="Extended"),_xlfn.XLOOKUP(B136,Table2[Main Member Link ID],Table2[Product Option],0)&lt;&gt;"My Value Plus Life"),Lookups!$C$26,""))))</f>
        <v/>
      </c>
      <c r="AD136" s="326" t="str">
        <f>IF(Table2[[#This Row],[Member Type]]="Main Member",Lookups!$C$14,"")</f>
        <v/>
      </c>
      <c r="AE13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Funeral",_xlfn.XLOOKUP(B136,Table2[Main Member Link ID],Table2[Benefit Name],0)=Lookups!$D$14),"",
IF(AND(Table2[[#This Row],[Member Type]]="Spouse",Table2[[#This Row],[Product Option]]="My Value Plus Life &amp; Funeral",_xlfn.XLOOKUP(B135,Table2[Main Member Link ID],Table2[Benefit Name],0)=Lookups!$D$15),Lookups!$D$20,
IF(AND(Table2[[#This Row],[Member Type]]="Spouse",Table2[[#This Row],[Product Option]]="My Value Plus Life &amp; Funeral",_xlfn.XLOOKUP(B135,Table2[Main Member Link ID],Table2[Benefit Name],0)=Lookups!$D$16),"",
IF(AND(Table2[[#This Row],[Member Type]]="Spouse",Table2[[#This Row],[Product Option]]="My Value Plus Life &amp; Funeral",_xlfn.XLOOKUP(B135,Table2[Main Member Link ID],Table2[Benefit Name],0)=Lookups!$D$17),Lookups!$D$21,
IF(AND(Table2[[#This Row],[Member Type]]="Child",Table2[[#This Row],[Product Option]]="My Value Plus Life &amp; Funeral",_xlfn.XLOOKUP(B136,Table2[Main Member Link ID],Table2[Benefit Name],0)=Lookups!$D$14),"",
IF(AND(Table2[[#This Row],[Member Type]]="Child",Table2[[#This Row],[Product Option]]="My Value Plus Life &amp; Funeral",_xlfn.XLOOKUP(B136,Table2[Main Member Link ID],Table2[Benefit Name],0)=Lookups!$D$15),"",
IF(AND(Table2[[#This Row],[Member Type]]="Child",Table2[[#This Row],[Product Option]]="My Value Plus Life &amp; Funeral",_xlfn.XLOOKUP(B136,Table2[Main Member Link ID],Table2[Benefit Name],0)=Lookups!$D$16),Lookups!$D$24,
IF(AND(Table2[[#This Row],[Member Type]]="Child",Table2[[#This Row],[Product Option]]="My Value Plus Life &amp; Funeral",_xlfn.XLOOKUP(B136,Table2[Main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Funeral",_xlfn.XLOOKUP(B136,Table2[Main Member Link ID],Table2[Benefit Name],0)&lt;&gt;Lookups!$D$14),
IF(_xlfn.XLOOKUP(B136,Table2[Main Member Link ID],Table2[Benefit Name],0)=0,"",_xlfn.XLOOKUP(B136,Table2[Main Member Link ID],Table2[Benefit Name],0)),"")))))))))))))))</f>
        <v/>
      </c>
      <c r="AF136" s="327" t="str">
        <f>IF(AND(Table2[[#This Row],[Member Type]]="Main Member",Table2[[#This Row],[Product Option]]="My Value Plus Life &amp; Funeral"),Lookups!$D$15,
IF(AND(Table2[[#This Row],[Member Type]]="Spouse",Table2[[#This Row],[Product Option]]="My Value Plus Life &amp; Funeral",_xlfn.XLOOKUP(B136,Table2[Main Member Link ID],Table2[Benefit Name],0)=Lookups!$D$14),"",
IF(AND(Table2[[#This Row],[Member Type]]="Spouse",Table2[[#This Row],[Product Option]]="My Value Plus Life &amp; Funeral",_xlfn.XLOOKUP(B135,Table2[Main Member Link ID],Table2[Benefit Name],0)=Lookups!$D$16),"",
IF(AND(Table2[[#This Row],[Member Type]]="Spouse",Table2[[#This Row],[Product Option]]="My Value Plus Life &amp; Funeral",_xlfn.XLOOKUP(B135,Table2[Main Member Link ID],Table2[Benefit Name],0)=Lookups!$D$15),"",
IF(AND(Table2[[#This Row],[Member Type]]="Spouse",Table2[[#This Row],[Product Option]]="My Value Plus Life &amp; Funeral",_xlfn.XLOOKUP(B135,Table2[Main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Funeral",_xlfn.XLOOKUP(B136,Table2[Main Member Link ID],Table2[Benefit Name],0)&lt;&gt;Lookups!$D$15),
IF(_xlfn.XLOOKUP(B136,Table2[Main Member Link ID],Table2[Benefit Name],0)=0,"",_xlfn.XLOOKUP(B136,Table2[Main Member Link ID],Table2[Benefit Name],0)),"")
))))))</f>
        <v/>
      </c>
      <c r="AG136" s="327" t="str">
        <f>IF(AND(Table2[[#This Row],[Member Type]]="Main Member",Table2[[#This Row],[Product Option]]="My Value Plus Life &amp; Funeral"),Lookups!$D$16,
IF(AND(Table2[[#This Row],[Member Type]]="Spouse",Table2[[#This Row],[Product Option]]="My Value Plus Life &amp; Funeral",_xlfn.XLOOKUP(B136,Table2[Main Member Link ID],Table2[Benefit Name],0)=Lookups!$D$14),"",
IF(AND(Table2[[#This Row],[Member Type]]="Spouse",Table2[[#This Row],[Product Option]]="My Value Plus Life &amp; Funeral",_xlfn.XLOOKUP(B135,Table2[Main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Funeral",_xlfn.XLOOKUP(B136,Table2[Main Member Link ID],Table2[Benefit Name],0)&lt;&gt;Lookups!$D$16),
IF(_xlfn.XLOOKUP(B136,Table2[Main Member Link ID],Table2[Benefit Name],0)=0,"",_xlfn.XLOOKUP(B136,Table2[Main Member Link ID],Table2[Benefit Name],0)),"")
))))</f>
        <v/>
      </c>
      <c r="AH136" s="327" t="str">
        <f>IF(AND(Table2[[#This Row],[Member Type]]="Main Member",Table2[[#This Row],[Product Option]]="My Value Plus Life &amp; Funeral"),Lookups!$D$17,
IF(AND(Table2[[#This Row],[Member Type]]="Spouse",Table2[[#This Row],[Product Option]]="My Value Plus Life &amp; Funeral",_xlfn.XLOOKUP(B136,Table2[Main Member Link ID],Table2[Benefit Name],0)=Lookups!$D$14),"",
IF(AND(Table2[[#This Row],[Member Type]]="Spouse",Table2[[#This Row],[Product Option]]="My Value Plus Life &amp; Funeral",_xlfn.XLOOKUP(B135,Table2[Main Member Link ID],Table2[Benefit Name],0)=Lookups!$D$16),"",
IF(AND(Table2[[#This Row],[Member Type]]="Child",Table2[[#This Row],[Product Option]]="My Value Plus Life &amp; Funeral"),"",
IF(AND(Table2[[#This Row],[Member Type]]="Child",Table2[[#This Row],[Product Option]]="My Value Plus Life &amp; Funeral",_xlfn.XLOOKUP(B136,Table2[Main Member Link ID],Table2[Benefit Name],0)=Lookups!$D$15),"",
IF(AND(OR(Table2[[#This Row],[Member Type]]="Spouse",Table2[[#This Row],[Member Type]]="Child"),Table2[[#This Row],[Product Option]]="My Value Plus Life &amp; Funeral",_xlfn.XLOOKUP(B136,Table2[Main Member Link ID],Table2[Benefit Name],0)&lt;&gt;Lookups!$D$17),
IF(_xlfn.XLOOKUP(B136,Table2[Main Member Link ID],Table2[Benefit Name],0)=0,"",_xlfn.XLOOKUP(B136,Table2[Main Member Link ID],Table2[Benefit Name],0)),""))))))</f>
        <v/>
      </c>
      <c r="AI136" s="328" t="str">
        <f>IF(AND(Table2[[#This Row],[Member Type]]="Main Member",Table2[[#This Row],[Table Lookup for Life Cover]]="MM_LIFE",Table2[[#This Row],[Age Next Birthday]]&lt;56),1,
IF(AND(Table2[[#This Row],[Member Type]]="Main Member",Table2[[#This Row],[Table Lookup for Life Cover]]="MM_LIFE",Table2[[#This Row],[Age Next Birthday]]&gt;=56),2,
""))</f>
        <v/>
      </c>
      <c r="AJ136" s="328">
        <f>IF(OR(Table2[[#This Row],[Member Type]]="Main Member",Table2[[#This Row],[Main Member Link ID]]=B135),1,0)</f>
        <v>1</v>
      </c>
      <c r="AK136" s="328">
        <f>IF(Table2[[#This Row],[Member Type]]=0,0,
IF(OR(Table2[[#This Row],[Member Type]]="Main Member",Table2[[#This Row],[Main Member Link ID]]&lt;&gt;B136),COUNTIFS(B:B,Table2[[#This Row],[Main Member Link ID]]),
COUNTIFS(B:B,Table2[[#This Row],[Main Member Link ID]],A:A,Table2[[#This Row],[Member Type]])))</f>
        <v>0</v>
      </c>
    </row>
    <row r="137" spans="1:37" x14ac:dyDescent="0.3">
      <c r="A137" s="284">
        <f>Table13[[#This Row],[Member Type]]</f>
        <v>0</v>
      </c>
      <c r="B137" s="284">
        <f>Table13[[#This Row],[Main Member Link ID]]</f>
        <v>0</v>
      </c>
      <c r="C137" s="284">
        <f>Table13[[#This Row],[ID Number]]</f>
        <v>0</v>
      </c>
      <c r="D137" s="285">
        <f>Table13[[#This Row],[Date Of Birth]]</f>
        <v>0</v>
      </c>
      <c r="E137" s="285">
        <f>Table13[[#This Row],[Commencement Date]]</f>
        <v>0</v>
      </c>
      <c r="F137" s="284">
        <f t="shared" si="14"/>
        <v>1</v>
      </c>
      <c r="G137" s="284">
        <f t="shared" si="15"/>
        <v>25</v>
      </c>
      <c r="H137" s="286">
        <f>Table13[[#This Row],[Product Option]]</f>
        <v>0</v>
      </c>
      <c r="I137" s="284">
        <f>IF(AND($A137="Main Member",Table2[[#This Row],[Product Option]]="My Value Plus Life"),"MM_LIFE",
IF(AND($A137="Spouse",Table2[[#This Row],[Product Option]]="My Value Plus Life"),"SP_LIFE",
IF(AND($A137="Main Member",Table2[[#This Row],[Product Option]]="My Value Plus Life &amp; Funeral"),"MM_LIFE",
IF(AND($A137="Spouse",Table2[[#This Row],[Product Option]]="My Value Plus Life &amp; Funeral"),_xlfn.XLOOKUP(Table2[[#This Row],[Benefit Name]],Lookups!$D$18:$D$23,Lookups!$E$18:$E$23,0),
0))))</f>
        <v>0</v>
      </c>
      <c r="J137" s="284">
        <f>IF($I137="","",
IF($I137="MM_LIFE",INDEX('Quotation Tool'!$S$54:$V$60,MATCH($T137,'Quotation Tool'!$S$54:$S$60,0),4),
IF($I137="SP_LIFE",_xlfn.XLOOKUP(B136,$B:$B,$J:$J,0),0)))</f>
        <v>0</v>
      </c>
      <c r="K137" s="287">
        <f t="shared" ca="1" si="19"/>
        <v>0</v>
      </c>
      <c r="L137" s="288">
        <f t="shared" ca="1" si="20"/>
        <v>0</v>
      </c>
      <c r="M137" s="289">
        <f t="shared" ca="1" si="16"/>
        <v>0</v>
      </c>
      <c r="N137" s="286">
        <f>Table13[[#This Row],[Benefit Option]]</f>
        <v>0</v>
      </c>
      <c r="O137" s="284">
        <f>IF(OR(Table2[[#This Row],[Member Type]]="Spouse",Table2[[#This Row],[Member Type]]="Child"),0,
IF(_xlfn.XLOOKUP($N137,Lookups!$D$13:$D$27,Lookups!$F$13:$F$27,0)=Table2[[#This Row],[Table Lookup for Life Cover]],0,
_xlfn.XLOOKUP($N137,Lookups!$D$13:$D$27,Lookups!$F$13:$F$27,0)))</f>
        <v>0</v>
      </c>
      <c r="P137" s="284">
        <f>IF(Table2[[#This Row],[Table Lookup for Funeral]]=0,0,IFERROR(INDEX('Quotation Tool'!$S$54:$V$60,MATCH($T137,'Quotation Tool'!$S$54:$S$60,0),3),0))</f>
        <v>0</v>
      </c>
      <c r="Q137" s="288">
        <f ca="1">IF(OR(Table2[[#This Row],[Benefit Name]]="My Value Plus Life - Main Member",Table2[[#This Row],[Benefit Name]]="My Value Plus Life - Spouse"),0,
IFERROR(VLOOKUP($G137,INDIRECT($O137),$P137,FALSE),0))</f>
        <v>0</v>
      </c>
      <c r="R137" s="288">
        <f ca="1">IF(OR(Table2[[#This Row],[Benefit Name]]="My Value Plus Life - Main Member",Table2[[#This Row],[Benefit Name]]="My Value Plus Life - Spouse"),0,
IFERROR(VLOOKUP($G137,INDIRECT($O137),$P137+1,FALSE),0))</f>
        <v>0</v>
      </c>
      <c r="S137" s="289">
        <f t="shared" ca="1" si="17"/>
        <v>0</v>
      </c>
      <c r="T137" s="284" t="str">
        <f>IF(Table13[[#This Row],[Premium Waiver]]="","None",Table13[[#This Row],[Premium Waiver]])</f>
        <v>None</v>
      </c>
      <c r="U137" s="284">
        <f>Table13[[#This Row],[VAPs Options]]</f>
        <v>0</v>
      </c>
      <c r="V137" s="284">
        <f>Table13[[#This Row],[Annual Increase Option]]</f>
        <v>0</v>
      </c>
      <c r="W137" s="290">
        <f>Table13[[#This Row],[Life Cover Amount]]</f>
        <v>0</v>
      </c>
      <c r="X137" s="290">
        <f>Table13[[#This Row],[Funeral Cover Amount]]</f>
        <v>0</v>
      </c>
      <c r="Y13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3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37" s="301">
        <f t="shared" ca="1" si="18"/>
        <v>0</v>
      </c>
      <c r="AB137" s="298"/>
      <c r="AC137" s="326" t="str">
        <f>IF(Table2[[#This Row],[Member Type]]="Main Member",Lookups!$C$13,
IF(Table2[[#This Row],[Member Type]]="Spouse",_xlfn.XLOOKUP(B137,Table2[Main Member Link ID],Table2[Product Option],0),
IF(AND(Table2[[#This Row],[Member Type]]="Child",_xlfn.XLOOKUP(B137,Table2[Main Member Link ID],Table2[Product Option],0)&lt;&gt;"My Value Plus Life"),Lookups!$C$24,
IF(AND(OR(Table2[[#This Row],[Member Type]]="Parent",Table2[[#This Row],[Member Type]]="Extended"),_xlfn.XLOOKUP(B137,Table2[Main Member Link ID],Table2[Product Option],0)&lt;&gt;"My Value Plus Life"),Lookups!$C$26,""))))</f>
        <v/>
      </c>
      <c r="AD137" s="326" t="str">
        <f>IF(Table2[[#This Row],[Member Type]]="Main Member",Lookups!$C$14,"")</f>
        <v/>
      </c>
      <c r="AE13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Funeral",_xlfn.XLOOKUP(B137,Table2[Main Member Link ID],Table2[Benefit Name],0)=Lookups!$D$14),"",
IF(AND(Table2[[#This Row],[Member Type]]="Spouse",Table2[[#This Row],[Product Option]]="My Value Plus Life &amp; Funeral",_xlfn.XLOOKUP(B136,Table2[Main Member Link ID],Table2[Benefit Name],0)=Lookups!$D$15),Lookups!$D$20,
IF(AND(Table2[[#This Row],[Member Type]]="Spouse",Table2[[#This Row],[Product Option]]="My Value Plus Life &amp; Funeral",_xlfn.XLOOKUP(B136,Table2[Main Member Link ID],Table2[Benefit Name],0)=Lookups!$D$16),"",
IF(AND(Table2[[#This Row],[Member Type]]="Spouse",Table2[[#This Row],[Product Option]]="My Value Plus Life &amp; Funeral",_xlfn.XLOOKUP(B136,Table2[Main Member Link ID],Table2[Benefit Name],0)=Lookups!$D$17),Lookups!$D$21,
IF(AND(Table2[[#This Row],[Member Type]]="Child",Table2[[#This Row],[Product Option]]="My Value Plus Life &amp; Funeral",_xlfn.XLOOKUP(B137,Table2[Main Member Link ID],Table2[Benefit Name],0)=Lookups!$D$14),"",
IF(AND(Table2[[#This Row],[Member Type]]="Child",Table2[[#This Row],[Product Option]]="My Value Plus Life &amp; Funeral",_xlfn.XLOOKUP(B137,Table2[Main Member Link ID],Table2[Benefit Name],0)=Lookups!$D$15),"",
IF(AND(Table2[[#This Row],[Member Type]]="Child",Table2[[#This Row],[Product Option]]="My Value Plus Life &amp; Funeral",_xlfn.XLOOKUP(B137,Table2[Main Member Link ID],Table2[Benefit Name],0)=Lookups!$D$16),Lookups!$D$24,
IF(AND(Table2[[#This Row],[Member Type]]="Child",Table2[[#This Row],[Product Option]]="My Value Plus Life &amp; Funeral",_xlfn.XLOOKUP(B137,Table2[Main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Funeral",_xlfn.XLOOKUP(B137,Table2[Main Member Link ID],Table2[Benefit Name],0)&lt;&gt;Lookups!$D$14),
IF(_xlfn.XLOOKUP(B137,Table2[Main Member Link ID],Table2[Benefit Name],0)=0,"",_xlfn.XLOOKUP(B137,Table2[Main Member Link ID],Table2[Benefit Name],0)),"")))))))))))))))</f>
        <v/>
      </c>
      <c r="AF137" s="327" t="str">
        <f>IF(AND(Table2[[#This Row],[Member Type]]="Main Member",Table2[[#This Row],[Product Option]]="My Value Plus Life &amp; Funeral"),Lookups!$D$15,
IF(AND(Table2[[#This Row],[Member Type]]="Spouse",Table2[[#This Row],[Product Option]]="My Value Plus Life &amp; Funeral",_xlfn.XLOOKUP(B137,Table2[Main Member Link ID],Table2[Benefit Name],0)=Lookups!$D$14),"",
IF(AND(Table2[[#This Row],[Member Type]]="Spouse",Table2[[#This Row],[Product Option]]="My Value Plus Life &amp; Funeral",_xlfn.XLOOKUP(B136,Table2[Main Member Link ID],Table2[Benefit Name],0)=Lookups!$D$16),"",
IF(AND(Table2[[#This Row],[Member Type]]="Spouse",Table2[[#This Row],[Product Option]]="My Value Plus Life &amp; Funeral",_xlfn.XLOOKUP(B136,Table2[Main Member Link ID],Table2[Benefit Name],0)=Lookups!$D$15),"",
IF(AND(Table2[[#This Row],[Member Type]]="Spouse",Table2[[#This Row],[Product Option]]="My Value Plus Life &amp; Funeral",_xlfn.XLOOKUP(B136,Table2[Main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Funeral",_xlfn.XLOOKUP(B137,Table2[Main Member Link ID],Table2[Benefit Name],0)&lt;&gt;Lookups!$D$15),
IF(_xlfn.XLOOKUP(B137,Table2[Main Member Link ID],Table2[Benefit Name],0)=0,"",_xlfn.XLOOKUP(B137,Table2[Main Member Link ID],Table2[Benefit Name],0)),"")
))))))</f>
        <v/>
      </c>
      <c r="AG137" s="327" t="str">
        <f>IF(AND(Table2[[#This Row],[Member Type]]="Main Member",Table2[[#This Row],[Product Option]]="My Value Plus Life &amp; Funeral"),Lookups!$D$16,
IF(AND(Table2[[#This Row],[Member Type]]="Spouse",Table2[[#This Row],[Product Option]]="My Value Plus Life &amp; Funeral",_xlfn.XLOOKUP(B137,Table2[Main Member Link ID],Table2[Benefit Name],0)=Lookups!$D$14),"",
IF(AND(Table2[[#This Row],[Member Type]]="Spouse",Table2[[#This Row],[Product Option]]="My Value Plus Life &amp; Funeral",_xlfn.XLOOKUP(B136,Table2[Main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Funeral",_xlfn.XLOOKUP(B137,Table2[Main Member Link ID],Table2[Benefit Name],0)&lt;&gt;Lookups!$D$16),
IF(_xlfn.XLOOKUP(B137,Table2[Main Member Link ID],Table2[Benefit Name],0)=0,"",_xlfn.XLOOKUP(B137,Table2[Main Member Link ID],Table2[Benefit Name],0)),"")
))))</f>
        <v/>
      </c>
      <c r="AH137" s="327" t="str">
        <f>IF(AND(Table2[[#This Row],[Member Type]]="Main Member",Table2[[#This Row],[Product Option]]="My Value Plus Life &amp; Funeral"),Lookups!$D$17,
IF(AND(Table2[[#This Row],[Member Type]]="Spouse",Table2[[#This Row],[Product Option]]="My Value Plus Life &amp; Funeral",_xlfn.XLOOKUP(B137,Table2[Main Member Link ID],Table2[Benefit Name],0)=Lookups!$D$14),"",
IF(AND(Table2[[#This Row],[Member Type]]="Spouse",Table2[[#This Row],[Product Option]]="My Value Plus Life &amp; Funeral",_xlfn.XLOOKUP(B136,Table2[Main Member Link ID],Table2[Benefit Name],0)=Lookups!$D$16),"",
IF(AND(Table2[[#This Row],[Member Type]]="Child",Table2[[#This Row],[Product Option]]="My Value Plus Life &amp; Funeral"),"",
IF(AND(Table2[[#This Row],[Member Type]]="Child",Table2[[#This Row],[Product Option]]="My Value Plus Life &amp; Funeral",_xlfn.XLOOKUP(B137,Table2[Main Member Link ID],Table2[Benefit Name],0)=Lookups!$D$15),"",
IF(AND(OR(Table2[[#This Row],[Member Type]]="Spouse",Table2[[#This Row],[Member Type]]="Child"),Table2[[#This Row],[Product Option]]="My Value Plus Life &amp; Funeral",_xlfn.XLOOKUP(B137,Table2[Main Member Link ID],Table2[Benefit Name],0)&lt;&gt;Lookups!$D$17),
IF(_xlfn.XLOOKUP(B137,Table2[Main Member Link ID],Table2[Benefit Name],0)=0,"",_xlfn.XLOOKUP(B137,Table2[Main Member Link ID],Table2[Benefit Name],0)),""))))))</f>
        <v/>
      </c>
      <c r="AI137" s="328" t="str">
        <f>IF(AND(Table2[[#This Row],[Member Type]]="Main Member",Table2[[#This Row],[Table Lookup for Life Cover]]="MM_LIFE",Table2[[#This Row],[Age Next Birthday]]&lt;56),1,
IF(AND(Table2[[#This Row],[Member Type]]="Main Member",Table2[[#This Row],[Table Lookup for Life Cover]]="MM_LIFE",Table2[[#This Row],[Age Next Birthday]]&gt;=56),2,
""))</f>
        <v/>
      </c>
      <c r="AJ137" s="328">
        <f>IF(OR(Table2[[#This Row],[Member Type]]="Main Member",Table2[[#This Row],[Main Member Link ID]]=B136),1,0)</f>
        <v>1</v>
      </c>
      <c r="AK137" s="328">
        <f>IF(Table2[[#This Row],[Member Type]]=0,0,
IF(OR(Table2[[#This Row],[Member Type]]="Main Member",Table2[[#This Row],[Main Member Link ID]]&lt;&gt;B137),COUNTIFS(B:B,Table2[[#This Row],[Main Member Link ID]]),
COUNTIFS(B:B,Table2[[#This Row],[Main Member Link ID]],A:A,Table2[[#This Row],[Member Type]])))</f>
        <v>0</v>
      </c>
    </row>
    <row r="138" spans="1:37" x14ac:dyDescent="0.3">
      <c r="A138" s="284">
        <f>Table13[[#This Row],[Member Type]]</f>
        <v>0</v>
      </c>
      <c r="B138" s="284">
        <f>Table13[[#This Row],[Main Member Link ID]]</f>
        <v>0</v>
      </c>
      <c r="C138" s="284">
        <f>Table13[[#This Row],[ID Number]]</f>
        <v>0</v>
      </c>
      <c r="D138" s="285">
        <f>Table13[[#This Row],[Date Of Birth]]</f>
        <v>0</v>
      </c>
      <c r="E138" s="285">
        <f>Table13[[#This Row],[Commencement Date]]</f>
        <v>0</v>
      </c>
      <c r="F138" s="284">
        <f t="shared" si="14"/>
        <v>1</v>
      </c>
      <c r="G138" s="284">
        <f t="shared" si="15"/>
        <v>25</v>
      </c>
      <c r="H138" s="286">
        <f>Table13[[#This Row],[Product Option]]</f>
        <v>0</v>
      </c>
      <c r="I138" s="284">
        <f>IF(AND($A138="Main Member",Table2[[#This Row],[Product Option]]="My Value Plus Life"),"MM_LIFE",
IF(AND($A138="Spouse",Table2[[#This Row],[Product Option]]="My Value Plus Life"),"SP_LIFE",
IF(AND($A138="Main Member",Table2[[#This Row],[Product Option]]="My Value Plus Life &amp; Funeral"),"MM_LIFE",
IF(AND($A138="Spouse",Table2[[#This Row],[Product Option]]="My Value Plus Life &amp; Funeral"),_xlfn.XLOOKUP(Table2[[#This Row],[Benefit Name]],Lookups!$D$18:$D$23,Lookups!$E$18:$E$23,0),
0))))</f>
        <v>0</v>
      </c>
      <c r="J138" s="284">
        <f>IF($I138="","",
IF($I138="MM_LIFE",INDEX('Quotation Tool'!$S$54:$V$60,MATCH($T138,'Quotation Tool'!$S$54:$S$60,0),4),
IF($I138="SP_LIFE",_xlfn.XLOOKUP(B137,$B:$B,$J:$J,0),0)))</f>
        <v>0</v>
      </c>
      <c r="K138" s="287">
        <f t="shared" ca="1" si="19"/>
        <v>0</v>
      </c>
      <c r="L138" s="288">
        <f t="shared" ca="1" si="20"/>
        <v>0</v>
      </c>
      <c r="M138" s="289">
        <f t="shared" ca="1" si="16"/>
        <v>0</v>
      </c>
      <c r="N138" s="286">
        <f>Table13[[#This Row],[Benefit Option]]</f>
        <v>0</v>
      </c>
      <c r="O138" s="284">
        <f>IF(OR(Table2[[#This Row],[Member Type]]="Spouse",Table2[[#This Row],[Member Type]]="Child"),0,
IF(_xlfn.XLOOKUP($N138,Lookups!$D$13:$D$27,Lookups!$F$13:$F$27,0)=Table2[[#This Row],[Table Lookup for Life Cover]],0,
_xlfn.XLOOKUP($N138,Lookups!$D$13:$D$27,Lookups!$F$13:$F$27,0)))</f>
        <v>0</v>
      </c>
      <c r="P138" s="284">
        <f>IF(Table2[[#This Row],[Table Lookup for Funeral]]=0,0,IFERROR(INDEX('Quotation Tool'!$S$54:$V$60,MATCH($T138,'Quotation Tool'!$S$54:$S$60,0),3),0))</f>
        <v>0</v>
      </c>
      <c r="Q138" s="288">
        <f ca="1">IF(OR(Table2[[#This Row],[Benefit Name]]="My Value Plus Life - Main Member",Table2[[#This Row],[Benefit Name]]="My Value Plus Life - Spouse"),0,
IFERROR(VLOOKUP($G138,INDIRECT($O138),$P138,FALSE),0))</f>
        <v>0</v>
      </c>
      <c r="R138" s="288">
        <f ca="1">IF(OR(Table2[[#This Row],[Benefit Name]]="My Value Plus Life - Main Member",Table2[[#This Row],[Benefit Name]]="My Value Plus Life - Spouse"),0,
IFERROR(VLOOKUP($G138,INDIRECT($O138),$P138+1,FALSE),0))</f>
        <v>0</v>
      </c>
      <c r="S138" s="289">
        <f t="shared" ca="1" si="17"/>
        <v>0</v>
      </c>
      <c r="T138" s="284" t="str">
        <f>IF(Table13[[#This Row],[Premium Waiver]]="","None",Table13[[#This Row],[Premium Waiver]])</f>
        <v>None</v>
      </c>
      <c r="U138" s="284">
        <f>Table13[[#This Row],[VAPs Options]]</f>
        <v>0</v>
      </c>
      <c r="V138" s="284">
        <f>Table13[[#This Row],[Annual Increase Option]]</f>
        <v>0</v>
      </c>
      <c r="W138" s="290">
        <f>Table13[[#This Row],[Life Cover Amount]]</f>
        <v>0</v>
      </c>
      <c r="X138" s="290">
        <f>Table13[[#This Row],[Funeral Cover Amount]]</f>
        <v>0</v>
      </c>
      <c r="Y13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3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38" s="301">
        <f t="shared" ca="1" si="18"/>
        <v>0</v>
      </c>
      <c r="AB138" s="298"/>
      <c r="AC138" s="326" t="str">
        <f>IF(Table2[[#This Row],[Member Type]]="Main Member",Lookups!$C$13,
IF(Table2[[#This Row],[Member Type]]="Spouse",_xlfn.XLOOKUP(B138,Table2[Main Member Link ID],Table2[Product Option],0),
IF(AND(Table2[[#This Row],[Member Type]]="Child",_xlfn.XLOOKUP(B138,Table2[Main Member Link ID],Table2[Product Option],0)&lt;&gt;"My Value Plus Life"),Lookups!$C$24,
IF(AND(OR(Table2[[#This Row],[Member Type]]="Parent",Table2[[#This Row],[Member Type]]="Extended"),_xlfn.XLOOKUP(B138,Table2[Main Member Link ID],Table2[Product Option],0)&lt;&gt;"My Value Plus Life"),Lookups!$C$26,""))))</f>
        <v/>
      </c>
      <c r="AD138" s="326" t="str">
        <f>IF(Table2[[#This Row],[Member Type]]="Main Member",Lookups!$C$14,"")</f>
        <v/>
      </c>
      <c r="AE13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Funeral",_xlfn.XLOOKUP(B138,Table2[Main Member Link ID],Table2[Benefit Name],0)=Lookups!$D$14),"",
IF(AND(Table2[[#This Row],[Member Type]]="Spouse",Table2[[#This Row],[Product Option]]="My Value Plus Life &amp; Funeral",_xlfn.XLOOKUP(B137,Table2[Main Member Link ID],Table2[Benefit Name],0)=Lookups!$D$15),Lookups!$D$20,
IF(AND(Table2[[#This Row],[Member Type]]="Spouse",Table2[[#This Row],[Product Option]]="My Value Plus Life &amp; Funeral",_xlfn.XLOOKUP(B137,Table2[Main Member Link ID],Table2[Benefit Name],0)=Lookups!$D$16),"",
IF(AND(Table2[[#This Row],[Member Type]]="Spouse",Table2[[#This Row],[Product Option]]="My Value Plus Life &amp; Funeral",_xlfn.XLOOKUP(B137,Table2[Main Member Link ID],Table2[Benefit Name],0)=Lookups!$D$17),Lookups!$D$21,
IF(AND(Table2[[#This Row],[Member Type]]="Child",Table2[[#This Row],[Product Option]]="My Value Plus Life &amp; Funeral",_xlfn.XLOOKUP(B138,Table2[Main Member Link ID],Table2[Benefit Name],0)=Lookups!$D$14),"",
IF(AND(Table2[[#This Row],[Member Type]]="Child",Table2[[#This Row],[Product Option]]="My Value Plus Life &amp; Funeral",_xlfn.XLOOKUP(B138,Table2[Main Member Link ID],Table2[Benefit Name],0)=Lookups!$D$15),"",
IF(AND(Table2[[#This Row],[Member Type]]="Child",Table2[[#This Row],[Product Option]]="My Value Plus Life &amp; Funeral",_xlfn.XLOOKUP(B138,Table2[Main Member Link ID],Table2[Benefit Name],0)=Lookups!$D$16),Lookups!$D$24,
IF(AND(Table2[[#This Row],[Member Type]]="Child",Table2[[#This Row],[Product Option]]="My Value Plus Life &amp; Funeral",_xlfn.XLOOKUP(B138,Table2[Main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Funeral",_xlfn.XLOOKUP(B138,Table2[Main Member Link ID],Table2[Benefit Name],0)&lt;&gt;Lookups!$D$14),
IF(_xlfn.XLOOKUP(B138,Table2[Main Member Link ID],Table2[Benefit Name],0)=0,"",_xlfn.XLOOKUP(B138,Table2[Main Member Link ID],Table2[Benefit Name],0)),"")))))))))))))))</f>
        <v/>
      </c>
      <c r="AF138" s="327" t="str">
        <f>IF(AND(Table2[[#This Row],[Member Type]]="Main Member",Table2[[#This Row],[Product Option]]="My Value Plus Life &amp; Funeral"),Lookups!$D$15,
IF(AND(Table2[[#This Row],[Member Type]]="Spouse",Table2[[#This Row],[Product Option]]="My Value Plus Life &amp; Funeral",_xlfn.XLOOKUP(B138,Table2[Main Member Link ID],Table2[Benefit Name],0)=Lookups!$D$14),"",
IF(AND(Table2[[#This Row],[Member Type]]="Spouse",Table2[[#This Row],[Product Option]]="My Value Plus Life &amp; Funeral",_xlfn.XLOOKUP(B137,Table2[Main Member Link ID],Table2[Benefit Name],0)=Lookups!$D$16),"",
IF(AND(Table2[[#This Row],[Member Type]]="Spouse",Table2[[#This Row],[Product Option]]="My Value Plus Life &amp; Funeral",_xlfn.XLOOKUP(B137,Table2[Main Member Link ID],Table2[Benefit Name],0)=Lookups!$D$15),"",
IF(AND(Table2[[#This Row],[Member Type]]="Spouse",Table2[[#This Row],[Product Option]]="My Value Plus Life &amp; Funeral",_xlfn.XLOOKUP(B137,Table2[Main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Funeral",_xlfn.XLOOKUP(B138,Table2[Main Member Link ID],Table2[Benefit Name],0)&lt;&gt;Lookups!$D$15),
IF(_xlfn.XLOOKUP(B138,Table2[Main Member Link ID],Table2[Benefit Name],0)=0,"",_xlfn.XLOOKUP(B138,Table2[Main Member Link ID],Table2[Benefit Name],0)),"")
))))))</f>
        <v/>
      </c>
      <c r="AG138" s="327" t="str">
        <f>IF(AND(Table2[[#This Row],[Member Type]]="Main Member",Table2[[#This Row],[Product Option]]="My Value Plus Life &amp; Funeral"),Lookups!$D$16,
IF(AND(Table2[[#This Row],[Member Type]]="Spouse",Table2[[#This Row],[Product Option]]="My Value Plus Life &amp; Funeral",_xlfn.XLOOKUP(B138,Table2[Main Member Link ID],Table2[Benefit Name],0)=Lookups!$D$14),"",
IF(AND(Table2[[#This Row],[Member Type]]="Spouse",Table2[[#This Row],[Product Option]]="My Value Plus Life &amp; Funeral",_xlfn.XLOOKUP(B137,Table2[Main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Funeral",_xlfn.XLOOKUP(B138,Table2[Main Member Link ID],Table2[Benefit Name],0)&lt;&gt;Lookups!$D$16),
IF(_xlfn.XLOOKUP(B138,Table2[Main Member Link ID],Table2[Benefit Name],0)=0,"",_xlfn.XLOOKUP(B138,Table2[Main Member Link ID],Table2[Benefit Name],0)),"")
))))</f>
        <v/>
      </c>
      <c r="AH138" s="327" t="str">
        <f>IF(AND(Table2[[#This Row],[Member Type]]="Main Member",Table2[[#This Row],[Product Option]]="My Value Plus Life &amp; Funeral"),Lookups!$D$17,
IF(AND(Table2[[#This Row],[Member Type]]="Spouse",Table2[[#This Row],[Product Option]]="My Value Plus Life &amp; Funeral",_xlfn.XLOOKUP(B138,Table2[Main Member Link ID],Table2[Benefit Name],0)=Lookups!$D$14),"",
IF(AND(Table2[[#This Row],[Member Type]]="Spouse",Table2[[#This Row],[Product Option]]="My Value Plus Life &amp; Funeral",_xlfn.XLOOKUP(B137,Table2[Main Member Link ID],Table2[Benefit Name],0)=Lookups!$D$16),"",
IF(AND(Table2[[#This Row],[Member Type]]="Child",Table2[[#This Row],[Product Option]]="My Value Plus Life &amp; Funeral"),"",
IF(AND(Table2[[#This Row],[Member Type]]="Child",Table2[[#This Row],[Product Option]]="My Value Plus Life &amp; Funeral",_xlfn.XLOOKUP(B138,Table2[Main Member Link ID],Table2[Benefit Name],0)=Lookups!$D$15),"",
IF(AND(OR(Table2[[#This Row],[Member Type]]="Spouse",Table2[[#This Row],[Member Type]]="Child"),Table2[[#This Row],[Product Option]]="My Value Plus Life &amp; Funeral",_xlfn.XLOOKUP(B138,Table2[Main Member Link ID],Table2[Benefit Name],0)&lt;&gt;Lookups!$D$17),
IF(_xlfn.XLOOKUP(B138,Table2[Main Member Link ID],Table2[Benefit Name],0)=0,"",_xlfn.XLOOKUP(B138,Table2[Main Member Link ID],Table2[Benefit Name],0)),""))))))</f>
        <v/>
      </c>
      <c r="AI138" s="328" t="str">
        <f>IF(AND(Table2[[#This Row],[Member Type]]="Main Member",Table2[[#This Row],[Table Lookup for Life Cover]]="MM_LIFE",Table2[[#This Row],[Age Next Birthday]]&lt;56),1,
IF(AND(Table2[[#This Row],[Member Type]]="Main Member",Table2[[#This Row],[Table Lookup for Life Cover]]="MM_LIFE",Table2[[#This Row],[Age Next Birthday]]&gt;=56),2,
""))</f>
        <v/>
      </c>
      <c r="AJ138" s="328">
        <f>IF(OR(Table2[[#This Row],[Member Type]]="Main Member",Table2[[#This Row],[Main Member Link ID]]=B137),1,0)</f>
        <v>1</v>
      </c>
      <c r="AK138" s="328">
        <f>IF(Table2[[#This Row],[Member Type]]=0,0,
IF(OR(Table2[[#This Row],[Member Type]]="Main Member",Table2[[#This Row],[Main Member Link ID]]&lt;&gt;B138),COUNTIFS(B:B,Table2[[#This Row],[Main Member Link ID]]),
COUNTIFS(B:B,Table2[[#This Row],[Main Member Link ID]],A:A,Table2[[#This Row],[Member Type]])))</f>
        <v>0</v>
      </c>
    </row>
    <row r="139" spans="1:37" x14ac:dyDescent="0.3">
      <c r="A139" s="284">
        <f>Table13[[#This Row],[Member Type]]</f>
        <v>0</v>
      </c>
      <c r="B139" s="284">
        <f>Table13[[#This Row],[Main Member Link ID]]</f>
        <v>0</v>
      </c>
      <c r="C139" s="284">
        <f>Table13[[#This Row],[ID Number]]</f>
        <v>0</v>
      </c>
      <c r="D139" s="285">
        <f>Table13[[#This Row],[Date Of Birth]]</f>
        <v>0</v>
      </c>
      <c r="E139" s="285">
        <f>Table13[[#This Row],[Commencement Date]]</f>
        <v>0</v>
      </c>
      <c r="F139" s="284">
        <f t="shared" si="14"/>
        <v>1</v>
      </c>
      <c r="G139" s="284">
        <f t="shared" si="15"/>
        <v>25</v>
      </c>
      <c r="H139" s="286">
        <f>Table13[[#This Row],[Product Option]]</f>
        <v>0</v>
      </c>
      <c r="I139" s="284">
        <f>IF(AND($A139="Main Member",Table2[[#This Row],[Product Option]]="My Value Plus Life"),"MM_LIFE",
IF(AND($A139="Spouse",Table2[[#This Row],[Product Option]]="My Value Plus Life"),"SP_LIFE",
IF(AND($A139="Main Member",Table2[[#This Row],[Product Option]]="My Value Plus Life &amp; Funeral"),"MM_LIFE",
IF(AND($A139="Spouse",Table2[[#This Row],[Product Option]]="My Value Plus Life &amp; Funeral"),_xlfn.XLOOKUP(Table2[[#This Row],[Benefit Name]],Lookups!$D$18:$D$23,Lookups!$E$18:$E$23,0),
0))))</f>
        <v>0</v>
      </c>
      <c r="J139" s="284">
        <f>IF($I139="","",
IF($I139="MM_LIFE",INDEX('Quotation Tool'!$S$54:$V$60,MATCH($T139,'Quotation Tool'!$S$54:$S$60,0),4),
IF($I139="SP_LIFE",_xlfn.XLOOKUP(B138,$B:$B,$J:$J,0),0)))</f>
        <v>0</v>
      </c>
      <c r="K139" s="287">
        <f t="shared" ca="1" si="19"/>
        <v>0</v>
      </c>
      <c r="L139" s="288">
        <f t="shared" ca="1" si="20"/>
        <v>0</v>
      </c>
      <c r="M139" s="289">
        <f t="shared" ca="1" si="16"/>
        <v>0</v>
      </c>
      <c r="N139" s="286">
        <f>Table13[[#This Row],[Benefit Option]]</f>
        <v>0</v>
      </c>
      <c r="O139" s="284">
        <f>IF(OR(Table2[[#This Row],[Member Type]]="Spouse",Table2[[#This Row],[Member Type]]="Child"),0,
IF(_xlfn.XLOOKUP($N139,Lookups!$D$13:$D$27,Lookups!$F$13:$F$27,0)=Table2[[#This Row],[Table Lookup for Life Cover]],0,
_xlfn.XLOOKUP($N139,Lookups!$D$13:$D$27,Lookups!$F$13:$F$27,0)))</f>
        <v>0</v>
      </c>
      <c r="P139" s="284">
        <f>IF(Table2[[#This Row],[Table Lookup for Funeral]]=0,0,IFERROR(INDEX('Quotation Tool'!$S$54:$V$60,MATCH($T139,'Quotation Tool'!$S$54:$S$60,0),3),0))</f>
        <v>0</v>
      </c>
      <c r="Q139" s="288">
        <f ca="1">IF(OR(Table2[[#This Row],[Benefit Name]]="My Value Plus Life - Main Member",Table2[[#This Row],[Benefit Name]]="My Value Plus Life - Spouse"),0,
IFERROR(VLOOKUP($G139,INDIRECT($O139),$P139,FALSE),0))</f>
        <v>0</v>
      </c>
      <c r="R139" s="288">
        <f ca="1">IF(OR(Table2[[#This Row],[Benefit Name]]="My Value Plus Life - Main Member",Table2[[#This Row],[Benefit Name]]="My Value Plus Life - Spouse"),0,
IFERROR(VLOOKUP($G139,INDIRECT($O139),$P139+1,FALSE),0))</f>
        <v>0</v>
      </c>
      <c r="S139" s="289">
        <f t="shared" ca="1" si="17"/>
        <v>0</v>
      </c>
      <c r="T139" s="284" t="str">
        <f>IF(Table13[[#This Row],[Premium Waiver]]="","None",Table13[[#This Row],[Premium Waiver]])</f>
        <v>None</v>
      </c>
      <c r="U139" s="284">
        <f>Table13[[#This Row],[VAPs Options]]</f>
        <v>0</v>
      </c>
      <c r="V139" s="284">
        <f>Table13[[#This Row],[Annual Increase Option]]</f>
        <v>0</v>
      </c>
      <c r="W139" s="290">
        <f>Table13[[#This Row],[Life Cover Amount]]</f>
        <v>0</v>
      </c>
      <c r="X139" s="290">
        <f>Table13[[#This Row],[Funeral Cover Amount]]</f>
        <v>0</v>
      </c>
      <c r="Y13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3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39" s="301">
        <f t="shared" ca="1" si="18"/>
        <v>0</v>
      </c>
      <c r="AB139" s="298"/>
      <c r="AC139" s="326" t="str">
        <f>IF(Table2[[#This Row],[Member Type]]="Main Member",Lookups!$C$13,
IF(Table2[[#This Row],[Member Type]]="Spouse",_xlfn.XLOOKUP(B139,Table2[Main Member Link ID],Table2[Product Option],0),
IF(AND(Table2[[#This Row],[Member Type]]="Child",_xlfn.XLOOKUP(B139,Table2[Main Member Link ID],Table2[Product Option],0)&lt;&gt;"My Value Plus Life"),Lookups!$C$24,
IF(AND(OR(Table2[[#This Row],[Member Type]]="Parent",Table2[[#This Row],[Member Type]]="Extended"),_xlfn.XLOOKUP(B139,Table2[Main Member Link ID],Table2[Product Option],0)&lt;&gt;"My Value Plus Life"),Lookups!$C$26,""))))</f>
        <v/>
      </c>
      <c r="AD139" s="326" t="str">
        <f>IF(Table2[[#This Row],[Member Type]]="Main Member",Lookups!$C$14,"")</f>
        <v/>
      </c>
      <c r="AE13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Funeral",_xlfn.XLOOKUP(B139,Table2[Main Member Link ID],Table2[Benefit Name],0)=Lookups!$D$14),"",
IF(AND(Table2[[#This Row],[Member Type]]="Spouse",Table2[[#This Row],[Product Option]]="My Value Plus Life &amp; Funeral",_xlfn.XLOOKUP(B138,Table2[Main Member Link ID],Table2[Benefit Name],0)=Lookups!$D$15),Lookups!$D$20,
IF(AND(Table2[[#This Row],[Member Type]]="Spouse",Table2[[#This Row],[Product Option]]="My Value Plus Life &amp; Funeral",_xlfn.XLOOKUP(B138,Table2[Main Member Link ID],Table2[Benefit Name],0)=Lookups!$D$16),"",
IF(AND(Table2[[#This Row],[Member Type]]="Spouse",Table2[[#This Row],[Product Option]]="My Value Plus Life &amp; Funeral",_xlfn.XLOOKUP(B138,Table2[Main Member Link ID],Table2[Benefit Name],0)=Lookups!$D$17),Lookups!$D$21,
IF(AND(Table2[[#This Row],[Member Type]]="Child",Table2[[#This Row],[Product Option]]="My Value Plus Life &amp; Funeral",_xlfn.XLOOKUP(B139,Table2[Main Member Link ID],Table2[Benefit Name],0)=Lookups!$D$14),"",
IF(AND(Table2[[#This Row],[Member Type]]="Child",Table2[[#This Row],[Product Option]]="My Value Plus Life &amp; Funeral",_xlfn.XLOOKUP(B139,Table2[Main Member Link ID],Table2[Benefit Name],0)=Lookups!$D$15),"",
IF(AND(Table2[[#This Row],[Member Type]]="Child",Table2[[#This Row],[Product Option]]="My Value Plus Life &amp; Funeral",_xlfn.XLOOKUP(B139,Table2[Main Member Link ID],Table2[Benefit Name],0)=Lookups!$D$16),Lookups!$D$24,
IF(AND(Table2[[#This Row],[Member Type]]="Child",Table2[[#This Row],[Product Option]]="My Value Plus Life &amp; Funeral",_xlfn.XLOOKUP(B139,Table2[Main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Funeral",_xlfn.XLOOKUP(B139,Table2[Main Member Link ID],Table2[Benefit Name],0)&lt;&gt;Lookups!$D$14),
IF(_xlfn.XLOOKUP(B139,Table2[Main Member Link ID],Table2[Benefit Name],0)=0,"",_xlfn.XLOOKUP(B139,Table2[Main Member Link ID],Table2[Benefit Name],0)),"")))))))))))))))</f>
        <v/>
      </c>
      <c r="AF139" s="327" t="str">
        <f>IF(AND(Table2[[#This Row],[Member Type]]="Main Member",Table2[[#This Row],[Product Option]]="My Value Plus Life &amp; Funeral"),Lookups!$D$15,
IF(AND(Table2[[#This Row],[Member Type]]="Spouse",Table2[[#This Row],[Product Option]]="My Value Plus Life &amp; Funeral",_xlfn.XLOOKUP(B139,Table2[Main Member Link ID],Table2[Benefit Name],0)=Lookups!$D$14),"",
IF(AND(Table2[[#This Row],[Member Type]]="Spouse",Table2[[#This Row],[Product Option]]="My Value Plus Life &amp; Funeral",_xlfn.XLOOKUP(B138,Table2[Main Member Link ID],Table2[Benefit Name],0)=Lookups!$D$16),"",
IF(AND(Table2[[#This Row],[Member Type]]="Spouse",Table2[[#This Row],[Product Option]]="My Value Plus Life &amp; Funeral",_xlfn.XLOOKUP(B138,Table2[Main Member Link ID],Table2[Benefit Name],0)=Lookups!$D$15),"",
IF(AND(Table2[[#This Row],[Member Type]]="Spouse",Table2[[#This Row],[Product Option]]="My Value Plus Life &amp; Funeral",_xlfn.XLOOKUP(B138,Table2[Main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Funeral",_xlfn.XLOOKUP(B139,Table2[Main Member Link ID],Table2[Benefit Name],0)&lt;&gt;Lookups!$D$15),
IF(_xlfn.XLOOKUP(B139,Table2[Main Member Link ID],Table2[Benefit Name],0)=0,"",_xlfn.XLOOKUP(B139,Table2[Main Member Link ID],Table2[Benefit Name],0)),"")
))))))</f>
        <v/>
      </c>
      <c r="AG139" s="327" t="str">
        <f>IF(AND(Table2[[#This Row],[Member Type]]="Main Member",Table2[[#This Row],[Product Option]]="My Value Plus Life &amp; Funeral"),Lookups!$D$16,
IF(AND(Table2[[#This Row],[Member Type]]="Spouse",Table2[[#This Row],[Product Option]]="My Value Plus Life &amp; Funeral",_xlfn.XLOOKUP(B139,Table2[Main Member Link ID],Table2[Benefit Name],0)=Lookups!$D$14),"",
IF(AND(Table2[[#This Row],[Member Type]]="Spouse",Table2[[#This Row],[Product Option]]="My Value Plus Life &amp; Funeral",_xlfn.XLOOKUP(B138,Table2[Main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Funeral",_xlfn.XLOOKUP(B139,Table2[Main Member Link ID],Table2[Benefit Name],0)&lt;&gt;Lookups!$D$16),
IF(_xlfn.XLOOKUP(B139,Table2[Main Member Link ID],Table2[Benefit Name],0)=0,"",_xlfn.XLOOKUP(B139,Table2[Main Member Link ID],Table2[Benefit Name],0)),"")
))))</f>
        <v/>
      </c>
      <c r="AH139" s="327" t="str">
        <f>IF(AND(Table2[[#This Row],[Member Type]]="Main Member",Table2[[#This Row],[Product Option]]="My Value Plus Life &amp; Funeral"),Lookups!$D$17,
IF(AND(Table2[[#This Row],[Member Type]]="Spouse",Table2[[#This Row],[Product Option]]="My Value Plus Life &amp; Funeral",_xlfn.XLOOKUP(B139,Table2[Main Member Link ID],Table2[Benefit Name],0)=Lookups!$D$14),"",
IF(AND(Table2[[#This Row],[Member Type]]="Spouse",Table2[[#This Row],[Product Option]]="My Value Plus Life &amp; Funeral",_xlfn.XLOOKUP(B138,Table2[Main Member Link ID],Table2[Benefit Name],0)=Lookups!$D$16),"",
IF(AND(Table2[[#This Row],[Member Type]]="Child",Table2[[#This Row],[Product Option]]="My Value Plus Life &amp; Funeral"),"",
IF(AND(Table2[[#This Row],[Member Type]]="Child",Table2[[#This Row],[Product Option]]="My Value Plus Life &amp; Funeral",_xlfn.XLOOKUP(B139,Table2[Main Member Link ID],Table2[Benefit Name],0)=Lookups!$D$15),"",
IF(AND(OR(Table2[[#This Row],[Member Type]]="Spouse",Table2[[#This Row],[Member Type]]="Child"),Table2[[#This Row],[Product Option]]="My Value Plus Life &amp; Funeral",_xlfn.XLOOKUP(B139,Table2[Main Member Link ID],Table2[Benefit Name],0)&lt;&gt;Lookups!$D$17),
IF(_xlfn.XLOOKUP(B139,Table2[Main Member Link ID],Table2[Benefit Name],0)=0,"",_xlfn.XLOOKUP(B139,Table2[Main Member Link ID],Table2[Benefit Name],0)),""))))))</f>
        <v/>
      </c>
      <c r="AI139" s="328" t="str">
        <f>IF(AND(Table2[[#This Row],[Member Type]]="Main Member",Table2[[#This Row],[Table Lookup for Life Cover]]="MM_LIFE",Table2[[#This Row],[Age Next Birthday]]&lt;56),1,
IF(AND(Table2[[#This Row],[Member Type]]="Main Member",Table2[[#This Row],[Table Lookup for Life Cover]]="MM_LIFE",Table2[[#This Row],[Age Next Birthday]]&gt;=56),2,
""))</f>
        <v/>
      </c>
      <c r="AJ139" s="328">
        <f>IF(OR(Table2[[#This Row],[Member Type]]="Main Member",Table2[[#This Row],[Main Member Link ID]]=B138),1,0)</f>
        <v>1</v>
      </c>
      <c r="AK139" s="328">
        <f>IF(Table2[[#This Row],[Member Type]]=0,0,
IF(OR(Table2[[#This Row],[Member Type]]="Main Member",Table2[[#This Row],[Main Member Link ID]]&lt;&gt;B139),COUNTIFS(B:B,Table2[[#This Row],[Main Member Link ID]]),
COUNTIFS(B:B,Table2[[#This Row],[Main Member Link ID]],A:A,Table2[[#This Row],[Member Type]])))</f>
        <v>0</v>
      </c>
    </row>
    <row r="140" spans="1:37" x14ac:dyDescent="0.3">
      <c r="A140" s="284">
        <f>Table13[[#This Row],[Member Type]]</f>
        <v>0</v>
      </c>
      <c r="B140" s="284">
        <f>Table13[[#This Row],[Main Member Link ID]]</f>
        <v>0</v>
      </c>
      <c r="C140" s="284">
        <f>Table13[[#This Row],[ID Number]]</f>
        <v>0</v>
      </c>
      <c r="D140" s="285">
        <f>Table13[[#This Row],[Date Of Birth]]</f>
        <v>0</v>
      </c>
      <c r="E140" s="285">
        <f>Table13[[#This Row],[Commencement Date]]</f>
        <v>0</v>
      </c>
      <c r="F140" s="284">
        <f t="shared" si="14"/>
        <v>1</v>
      </c>
      <c r="G140" s="284">
        <f t="shared" si="15"/>
        <v>25</v>
      </c>
      <c r="H140" s="286">
        <f>Table13[[#This Row],[Product Option]]</f>
        <v>0</v>
      </c>
      <c r="I140" s="284">
        <f>IF(AND($A140="Main Member",Table2[[#This Row],[Product Option]]="My Value Plus Life"),"MM_LIFE",
IF(AND($A140="Spouse",Table2[[#This Row],[Product Option]]="My Value Plus Life"),"SP_LIFE",
IF(AND($A140="Main Member",Table2[[#This Row],[Product Option]]="My Value Plus Life &amp; Funeral"),"MM_LIFE",
IF(AND($A140="Spouse",Table2[[#This Row],[Product Option]]="My Value Plus Life &amp; Funeral"),_xlfn.XLOOKUP(Table2[[#This Row],[Benefit Name]],Lookups!$D$18:$D$23,Lookups!$E$18:$E$23,0),
0))))</f>
        <v>0</v>
      </c>
      <c r="J140" s="284">
        <f>IF($I140="","",
IF($I140="MM_LIFE",INDEX('Quotation Tool'!$S$54:$V$60,MATCH($T140,'Quotation Tool'!$S$54:$S$60,0),4),
IF($I140="SP_LIFE",_xlfn.XLOOKUP(B139,$B:$B,$J:$J,0),0)))</f>
        <v>0</v>
      </c>
      <c r="K140" s="287">
        <f t="shared" ca="1" si="19"/>
        <v>0</v>
      </c>
      <c r="L140" s="288">
        <f t="shared" ca="1" si="20"/>
        <v>0</v>
      </c>
      <c r="M140" s="289">
        <f t="shared" ca="1" si="16"/>
        <v>0</v>
      </c>
      <c r="N140" s="286">
        <f>Table13[[#This Row],[Benefit Option]]</f>
        <v>0</v>
      </c>
      <c r="O140" s="284">
        <f>IF(OR(Table2[[#This Row],[Member Type]]="Spouse",Table2[[#This Row],[Member Type]]="Child"),0,
IF(_xlfn.XLOOKUP($N140,Lookups!$D$13:$D$27,Lookups!$F$13:$F$27,0)=Table2[[#This Row],[Table Lookup for Life Cover]],0,
_xlfn.XLOOKUP($N140,Lookups!$D$13:$D$27,Lookups!$F$13:$F$27,0)))</f>
        <v>0</v>
      </c>
      <c r="P140" s="284">
        <f>IF(Table2[[#This Row],[Table Lookup for Funeral]]=0,0,IFERROR(INDEX('Quotation Tool'!$S$54:$V$60,MATCH($T140,'Quotation Tool'!$S$54:$S$60,0),3),0))</f>
        <v>0</v>
      </c>
      <c r="Q140" s="288">
        <f ca="1">IF(OR(Table2[[#This Row],[Benefit Name]]="My Value Plus Life - Main Member",Table2[[#This Row],[Benefit Name]]="My Value Plus Life - Spouse"),0,
IFERROR(VLOOKUP($G140,INDIRECT($O140),$P140,FALSE),0))</f>
        <v>0</v>
      </c>
      <c r="R140" s="288">
        <f ca="1">IF(OR(Table2[[#This Row],[Benefit Name]]="My Value Plus Life - Main Member",Table2[[#This Row],[Benefit Name]]="My Value Plus Life - Spouse"),0,
IFERROR(VLOOKUP($G140,INDIRECT($O140),$P140+1,FALSE),0))</f>
        <v>0</v>
      </c>
      <c r="S140" s="289">
        <f t="shared" ca="1" si="17"/>
        <v>0</v>
      </c>
      <c r="T140" s="284" t="str">
        <f>IF(Table13[[#This Row],[Premium Waiver]]="","None",Table13[[#This Row],[Premium Waiver]])</f>
        <v>None</v>
      </c>
      <c r="U140" s="284">
        <f>Table13[[#This Row],[VAPs Options]]</f>
        <v>0</v>
      </c>
      <c r="V140" s="284">
        <f>Table13[[#This Row],[Annual Increase Option]]</f>
        <v>0</v>
      </c>
      <c r="W140" s="290">
        <f>Table13[[#This Row],[Life Cover Amount]]</f>
        <v>0</v>
      </c>
      <c r="X140" s="290">
        <f>Table13[[#This Row],[Funeral Cover Amount]]</f>
        <v>0</v>
      </c>
      <c r="Y14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4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40" s="301">
        <f t="shared" ca="1" si="18"/>
        <v>0</v>
      </c>
      <c r="AB140" s="298"/>
      <c r="AC140" s="326" t="str">
        <f>IF(Table2[[#This Row],[Member Type]]="Main Member",Lookups!$C$13,
IF(Table2[[#This Row],[Member Type]]="Spouse",_xlfn.XLOOKUP(B140,Table2[Main Member Link ID],Table2[Product Option],0),
IF(AND(Table2[[#This Row],[Member Type]]="Child",_xlfn.XLOOKUP(B140,Table2[Main Member Link ID],Table2[Product Option],0)&lt;&gt;"My Value Plus Life"),Lookups!$C$24,
IF(AND(OR(Table2[[#This Row],[Member Type]]="Parent",Table2[[#This Row],[Member Type]]="Extended"),_xlfn.XLOOKUP(B140,Table2[Main Member Link ID],Table2[Product Option],0)&lt;&gt;"My Value Plus Life"),Lookups!$C$26,""))))</f>
        <v/>
      </c>
      <c r="AD140" s="326" t="str">
        <f>IF(Table2[[#This Row],[Member Type]]="Main Member",Lookups!$C$14,"")</f>
        <v/>
      </c>
      <c r="AE14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Funeral",_xlfn.XLOOKUP(B140,Table2[Main Member Link ID],Table2[Benefit Name],0)=Lookups!$D$14),"",
IF(AND(Table2[[#This Row],[Member Type]]="Spouse",Table2[[#This Row],[Product Option]]="My Value Plus Life &amp; Funeral",_xlfn.XLOOKUP(B139,Table2[Main Member Link ID],Table2[Benefit Name],0)=Lookups!$D$15),Lookups!$D$20,
IF(AND(Table2[[#This Row],[Member Type]]="Spouse",Table2[[#This Row],[Product Option]]="My Value Plus Life &amp; Funeral",_xlfn.XLOOKUP(B139,Table2[Main Member Link ID],Table2[Benefit Name],0)=Lookups!$D$16),"",
IF(AND(Table2[[#This Row],[Member Type]]="Spouse",Table2[[#This Row],[Product Option]]="My Value Plus Life &amp; Funeral",_xlfn.XLOOKUP(B139,Table2[Main Member Link ID],Table2[Benefit Name],0)=Lookups!$D$17),Lookups!$D$21,
IF(AND(Table2[[#This Row],[Member Type]]="Child",Table2[[#This Row],[Product Option]]="My Value Plus Life &amp; Funeral",_xlfn.XLOOKUP(B140,Table2[Main Member Link ID],Table2[Benefit Name],0)=Lookups!$D$14),"",
IF(AND(Table2[[#This Row],[Member Type]]="Child",Table2[[#This Row],[Product Option]]="My Value Plus Life &amp; Funeral",_xlfn.XLOOKUP(B140,Table2[Main Member Link ID],Table2[Benefit Name],0)=Lookups!$D$15),"",
IF(AND(Table2[[#This Row],[Member Type]]="Child",Table2[[#This Row],[Product Option]]="My Value Plus Life &amp; Funeral",_xlfn.XLOOKUP(B140,Table2[Main Member Link ID],Table2[Benefit Name],0)=Lookups!$D$16),Lookups!$D$24,
IF(AND(Table2[[#This Row],[Member Type]]="Child",Table2[[#This Row],[Product Option]]="My Value Plus Life &amp; Funeral",_xlfn.XLOOKUP(B140,Table2[Main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Funeral",_xlfn.XLOOKUP(B140,Table2[Main Member Link ID],Table2[Benefit Name],0)&lt;&gt;Lookups!$D$14),
IF(_xlfn.XLOOKUP(B140,Table2[Main Member Link ID],Table2[Benefit Name],0)=0,"",_xlfn.XLOOKUP(B140,Table2[Main Member Link ID],Table2[Benefit Name],0)),"")))))))))))))))</f>
        <v/>
      </c>
      <c r="AF140" s="327" t="str">
        <f>IF(AND(Table2[[#This Row],[Member Type]]="Main Member",Table2[[#This Row],[Product Option]]="My Value Plus Life &amp; Funeral"),Lookups!$D$15,
IF(AND(Table2[[#This Row],[Member Type]]="Spouse",Table2[[#This Row],[Product Option]]="My Value Plus Life &amp; Funeral",_xlfn.XLOOKUP(B140,Table2[Main Member Link ID],Table2[Benefit Name],0)=Lookups!$D$14),"",
IF(AND(Table2[[#This Row],[Member Type]]="Spouse",Table2[[#This Row],[Product Option]]="My Value Plus Life &amp; Funeral",_xlfn.XLOOKUP(B139,Table2[Main Member Link ID],Table2[Benefit Name],0)=Lookups!$D$16),"",
IF(AND(Table2[[#This Row],[Member Type]]="Spouse",Table2[[#This Row],[Product Option]]="My Value Plus Life &amp; Funeral",_xlfn.XLOOKUP(B139,Table2[Main Member Link ID],Table2[Benefit Name],0)=Lookups!$D$15),"",
IF(AND(Table2[[#This Row],[Member Type]]="Spouse",Table2[[#This Row],[Product Option]]="My Value Plus Life &amp; Funeral",_xlfn.XLOOKUP(B139,Table2[Main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Funeral",_xlfn.XLOOKUP(B140,Table2[Main Member Link ID],Table2[Benefit Name],0)&lt;&gt;Lookups!$D$15),
IF(_xlfn.XLOOKUP(B140,Table2[Main Member Link ID],Table2[Benefit Name],0)=0,"",_xlfn.XLOOKUP(B140,Table2[Main Member Link ID],Table2[Benefit Name],0)),"")
))))))</f>
        <v/>
      </c>
      <c r="AG140" s="327" t="str">
        <f>IF(AND(Table2[[#This Row],[Member Type]]="Main Member",Table2[[#This Row],[Product Option]]="My Value Plus Life &amp; Funeral"),Lookups!$D$16,
IF(AND(Table2[[#This Row],[Member Type]]="Spouse",Table2[[#This Row],[Product Option]]="My Value Plus Life &amp; Funeral",_xlfn.XLOOKUP(B140,Table2[Main Member Link ID],Table2[Benefit Name],0)=Lookups!$D$14),"",
IF(AND(Table2[[#This Row],[Member Type]]="Spouse",Table2[[#This Row],[Product Option]]="My Value Plus Life &amp; Funeral",_xlfn.XLOOKUP(B139,Table2[Main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Funeral",_xlfn.XLOOKUP(B140,Table2[Main Member Link ID],Table2[Benefit Name],0)&lt;&gt;Lookups!$D$16),
IF(_xlfn.XLOOKUP(B140,Table2[Main Member Link ID],Table2[Benefit Name],0)=0,"",_xlfn.XLOOKUP(B140,Table2[Main Member Link ID],Table2[Benefit Name],0)),"")
))))</f>
        <v/>
      </c>
      <c r="AH140" s="327" t="str">
        <f>IF(AND(Table2[[#This Row],[Member Type]]="Main Member",Table2[[#This Row],[Product Option]]="My Value Plus Life &amp; Funeral"),Lookups!$D$17,
IF(AND(Table2[[#This Row],[Member Type]]="Spouse",Table2[[#This Row],[Product Option]]="My Value Plus Life &amp; Funeral",_xlfn.XLOOKUP(B140,Table2[Main Member Link ID],Table2[Benefit Name],0)=Lookups!$D$14),"",
IF(AND(Table2[[#This Row],[Member Type]]="Spouse",Table2[[#This Row],[Product Option]]="My Value Plus Life &amp; Funeral",_xlfn.XLOOKUP(B139,Table2[Main Member Link ID],Table2[Benefit Name],0)=Lookups!$D$16),"",
IF(AND(Table2[[#This Row],[Member Type]]="Child",Table2[[#This Row],[Product Option]]="My Value Plus Life &amp; Funeral"),"",
IF(AND(Table2[[#This Row],[Member Type]]="Child",Table2[[#This Row],[Product Option]]="My Value Plus Life &amp; Funeral",_xlfn.XLOOKUP(B140,Table2[Main Member Link ID],Table2[Benefit Name],0)=Lookups!$D$15),"",
IF(AND(OR(Table2[[#This Row],[Member Type]]="Spouse",Table2[[#This Row],[Member Type]]="Child"),Table2[[#This Row],[Product Option]]="My Value Plus Life &amp; Funeral",_xlfn.XLOOKUP(B140,Table2[Main Member Link ID],Table2[Benefit Name],0)&lt;&gt;Lookups!$D$17),
IF(_xlfn.XLOOKUP(B140,Table2[Main Member Link ID],Table2[Benefit Name],0)=0,"",_xlfn.XLOOKUP(B140,Table2[Main Member Link ID],Table2[Benefit Name],0)),""))))))</f>
        <v/>
      </c>
      <c r="AI140" s="328" t="str">
        <f>IF(AND(Table2[[#This Row],[Member Type]]="Main Member",Table2[[#This Row],[Table Lookup for Life Cover]]="MM_LIFE",Table2[[#This Row],[Age Next Birthday]]&lt;56),1,
IF(AND(Table2[[#This Row],[Member Type]]="Main Member",Table2[[#This Row],[Table Lookup for Life Cover]]="MM_LIFE",Table2[[#This Row],[Age Next Birthday]]&gt;=56),2,
""))</f>
        <v/>
      </c>
      <c r="AJ140" s="328">
        <f>IF(OR(Table2[[#This Row],[Member Type]]="Main Member",Table2[[#This Row],[Main Member Link ID]]=B139),1,0)</f>
        <v>1</v>
      </c>
      <c r="AK140" s="328">
        <f>IF(Table2[[#This Row],[Member Type]]=0,0,
IF(OR(Table2[[#This Row],[Member Type]]="Main Member",Table2[[#This Row],[Main Member Link ID]]&lt;&gt;B140),COUNTIFS(B:B,Table2[[#This Row],[Main Member Link ID]]),
COUNTIFS(B:B,Table2[[#This Row],[Main Member Link ID]],A:A,Table2[[#This Row],[Member Type]])))</f>
        <v>0</v>
      </c>
    </row>
    <row r="141" spans="1:37" x14ac:dyDescent="0.3">
      <c r="A141" s="284">
        <f>Table13[[#This Row],[Member Type]]</f>
        <v>0</v>
      </c>
      <c r="B141" s="284">
        <f>Table13[[#This Row],[Main Member Link ID]]</f>
        <v>0</v>
      </c>
      <c r="C141" s="284">
        <f>Table13[[#This Row],[ID Number]]</f>
        <v>0</v>
      </c>
      <c r="D141" s="285">
        <f>Table13[[#This Row],[Date Of Birth]]</f>
        <v>0</v>
      </c>
      <c r="E141" s="285">
        <f>Table13[[#This Row],[Commencement Date]]</f>
        <v>0</v>
      </c>
      <c r="F141" s="284">
        <f t="shared" si="14"/>
        <v>1</v>
      </c>
      <c r="G141" s="284">
        <f t="shared" si="15"/>
        <v>25</v>
      </c>
      <c r="H141" s="286">
        <f>Table13[[#This Row],[Product Option]]</f>
        <v>0</v>
      </c>
      <c r="I141" s="284">
        <f>IF(AND($A141="Main Member",Table2[[#This Row],[Product Option]]="My Value Plus Life"),"MM_LIFE",
IF(AND($A141="Spouse",Table2[[#This Row],[Product Option]]="My Value Plus Life"),"SP_LIFE",
IF(AND($A141="Main Member",Table2[[#This Row],[Product Option]]="My Value Plus Life &amp; Funeral"),"MM_LIFE",
IF(AND($A141="Spouse",Table2[[#This Row],[Product Option]]="My Value Plus Life &amp; Funeral"),_xlfn.XLOOKUP(Table2[[#This Row],[Benefit Name]],Lookups!$D$18:$D$23,Lookups!$E$18:$E$23,0),
0))))</f>
        <v>0</v>
      </c>
      <c r="J141" s="284">
        <f>IF($I141="","",
IF($I141="MM_LIFE",INDEX('Quotation Tool'!$S$54:$V$60,MATCH($T141,'Quotation Tool'!$S$54:$S$60,0),4),
IF($I141="SP_LIFE",_xlfn.XLOOKUP(B140,$B:$B,$J:$J,0),0)))</f>
        <v>0</v>
      </c>
      <c r="K141" s="287">
        <f t="shared" ca="1" si="19"/>
        <v>0</v>
      </c>
      <c r="L141" s="288">
        <f t="shared" ca="1" si="20"/>
        <v>0</v>
      </c>
      <c r="M141" s="289">
        <f t="shared" ca="1" si="16"/>
        <v>0</v>
      </c>
      <c r="N141" s="286">
        <f>Table13[[#This Row],[Benefit Option]]</f>
        <v>0</v>
      </c>
      <c r="O141" s="284">
        <f>IF(OR(Table2[[#This Row],[Member Type]]="Spouse",Table2[[#This Row],[Member Type]]="Child"),0,
IF(_xlfn.XLOOKUP($N141,Lookups!$D$13:$D$27,Lookups!$F$13:$F$27,0)=Table2[[#This Row],[Table Lookup for Life Cover]],0,
_xlfn.XLOOKUP($N141,Lookups!$D$13:$D$27,Lookups!$F$13:$F$27,0)))</f>
        <v>0</v>
      </c>
      <c r="P141" s="284">
        <f>IF(Table2[[#This Row],[Table Lookup for Funeral]]=0,0,IFERROR(INDEX('Quotation Tool'!$S$54:$V$60,MATCH($T141,'Quotation Tool'!$S$54:$S$60,0),3),0))</f>
        <v>0</v>
      </c>
      <c r="Q141" s="288">
        <f ca="1">IF(OR(Table2[[#This Row],[Benefit Name]]="My Value Plus Life - Main Member",Table2[[#This Row],[Benefit Name]]="My Value Plus Life - Spouse"),0,
IFERROR(VLOOKUP($G141,INDIRECT($O141),$P141,FALSE),0))</f>
        <v>0</v>
      </c>
      <c r="R141" s="288">
        <f ca="1">IF(OR(Table2[[#This Row],[Benefit Name]]="My Value Plus Life - Main Member",Table2[[#This Row],[Benefit Name]]="My Value Plus Life - Spouse"),0,
IFERROR(VLOOKUP($G141,INDIRECT($O141),$P141+1,FALSE),0))</f>
        <v>0</v>
      </c>
      <c r="S141" s="289">
        <f t="shared" ca="1" si="17"/>
        <v>0</v>
      </c>
      <c r="T141" s="284" t="str">
        <f>IF(Table13[[#This Row],[Premium Waiver]]="","None",Table13[[#This Row],[Premium Waiver]])</f>
        <v>None</v>
      </c>
      <c r="U141" s="284">
        <f>Table13[[#This Row],[VAPs Options]]</f>
        <v>0</v>
      </c>
      <c r="V141" s="284">
        <f>Table13[[#This Row],[Annual Increase Option]]</f>
        <v>0</v>
      </c>
      <c r="W141" s="290">
        <f>Table13[[#This Row],[Life Cover Amount]]</f>
        <v>0</v>
      </c>
      <c r="X141" s="290">
        <f>Table13[[#This Row],[Funeral Cover Amount]]</f>
        <v>0</v>
      </c>
      <c r="Y14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4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41" s="301">
        <f t="shared" ca="1" si="18"/>
        <v>0</v>
      </c>
      <c r="AB141" s="298"/>
      <c r="AC141" s="326" t="str">
        <f>IF(Table2[[#This Row],[Member Type]]="Main Member",Lookups!$C$13,
IF(Table2[[#This Row],[Member Type]]="Spouse",_xlfn.XLOOKUP(B141,Table2[Main Member Link ID],Table2[Product Option],0),
IF(AND(Table2[[#This Row],[Member Type]]="Child",_xlfn.XLOOKUP(B141,Table2[Main Member Link ID],Table2[Product Option],0)&lt;&gt;"My Value Plus Life"),Lookups!$C$24,
IF(AND(OR(Table2[[#This Row],[Member Type]]="Parent",Table2[[#This Row],[Member Type]]="Extended"),_xlfn.XLOOKUP(B141,Table2[Main Member Link ID],Table2[Product Option],0)&lt;&gt;"My Value Plus Life"),Lookups!$C$26,""))))</f>
        <v/>
      </c>
      <c r="AD141" s="326" t="str">
        <f>IF(Table2[[#This Row],[Member Type]]="Main Member",Lookups!$C$14,"")</f>
        <v/>
      </c>
      <c r="AE14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Funeral",_xlfn.XLOOKUP(B141,Table2[Main Member Link ID],Table2[Benefit Name],0)=Lookups!$D$14),"",
IF(AND(Table2[[#This Row],[Member Type]]="Spouse",Table2[[#This Row],[Product Option]]="My Value Plus Life &amp; Funeral",_xlfn.XLOOKUP(B140,Table2[Main Member Link ID],Table2[Benefit Name],0)=Lookups!$D$15),Lookups!$D$20,
IF(AND(Table2[[#This Row],[Member Type]]="Spouse",Table2[[#This Row],[Product Option]]="My Value Plus Life &amp; Funeral",_xlfn.XLOOKUP(B140,Table2[Main Member Link ID],Table2[Benefit Name],0)=Lookups!$D$16),"",
IF(AND(Table2[[#This Row],[Member Type]]="Spouse",Table2[[#This Row],[Product Option]]="My Value Plus Life &amp; Funeral",_xlfn.XLOOKUP(B140,Table2[Main Member Link ID],Table2[Benefit Name],0)=Lookups!$D$17),Lookups!$D$21,
IF(AND(Table2[[#This Row],[Member Type]]="Child",Table2[[#This Row],[Product Option]]="My Value Plus Life &amp; Funeral",_xlfn.XLOOKUP(B141,Table2[Main Member Link ID],Table2[Benefit Name],0)=Lookups!$D$14),"",
IF(AND(Table2[[#This Row],[Member Type]]="Child",Table2[[#This Row],[Product Option]]="My Value Plus Life &amp; Funeral",_xlfn.XLOOKUP(B141,Table2[Main Member Link ID],Table2[Benefit Name],0)=Lookups!$D$15),"",
IF(AND(Table2[[#This Row],[Member Type]]="Child",Table2[[#This Row],[Product Option]]="My Value Plus Life &amp; Funeral",_xlfn.XLOOKUP(B141,Table2[Main Member Link ID],Table2[Benefit Name],0)=Lookups!$D$16),Lookups!$D$24,
IF(AND(Table2[[#This Row],[Member Type]]="Child",Table2[[#This Row],[Product Option]]="My Value Plus Life &amp; Funeral",_xlfn.XLOOKUP(B141,Table2[Main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Funeral",_xlfn.XLOOKUP(B141,Table2[Main Member Link ID],Table2[Benefit Name],0)&lt;&gt;Lookups!$D$14),
IF(_xlfn.XLOOKUP(B141,Table2[Main Member Link ID],Table2[Benefit Name],0)=0,"",_xlfn.XLOOKUP(B141,Table2[Main Member Link ID],Table2[Benefit Name],0)),"")))))))))))))))</f>
        <v/>
      </c>
      <c r="AF141" s="327" t="str">
        <f>IF(AND(Table2[[#This Row],[Member Type]]="Main Member",Table2[[#This Row],[Product Option]]="My Value Plus Life &amp; Funeral"),Lookups!$D$15,
IF(AND(Table2[[#This Row],[Member Type]]="Spouse",Table2[[#This Row],[Product Option]]="My Value Plus Life &amp; Funeral",_xlfn.XLOOKUP(B141,Table2[Main Member Link ID],Table2[Benefit Name],0)=Lookups!$D$14),"",
IF(AND(Table2[[#This Row],[Member Type]]="Spouse",Table2[[#This Row],[Product Option]]="My Value Plus Life &amp; Funeral",_xlfn.XLOOKUP(B140,Table2[Main Member Link ID],Table2[Benefit Name],0)=Lookups!$D$16),"",
IF(AND(Table2[[#This Row],[Member Type]]="Spouse",Table2[[#This Row],[Product Option]]="My Value Plus Life &amp; Funeral",_xlfn.XLOOKUP(B140,Table2[Main Member Link ID],Table2[Benefit Name],0)=Lookups!$D$15),"",
IF(AND(Table2[[#This Row],[Member Type]]="Spouse",Table2[[#This Row],[Product Option]]="My Value Plus Life &amp; Funeral",_xlfn.XLOOKUP(B140,Table2[Main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Funeral",_xlfn.XLOOKUP(B141,Table2[Main Member Link ID],Table2[Benefit Name],0)&lt;&gt;Lookups!$D$15),
IF(_xlfn.XLOOKUP(B141,Table2[Main Member Link ID],Table2[Benefit Name],0)=0,"",_xlfn.XLOOKUP(B141,Table2[Main Member Link ID],Table2[Benefit Name],0)),"")
))))))</f>
        <v/>
      </c>
      <c r="AG141" s="327" t="str">
        <f>IF(AND(Table2[[#This Row],[Member Type]]="Main Member",Table2[[#This Row],[Product Option]]="My Value Plus Life &amp; Funeral"),Lookups!$D$16,
IF(AND(Table2[[#This Row],[Member Type]]="Spouse",Table2[[#This Row],[Product Option]]="My Value Plus Life &amp; Funeral",_xlfn.XLOOKUP(B141,Table2[Main Member Link ID],Table2[Benefit Name],0)=Lookups!$D$14),"",
IF(AND(Table2[[#This Row],[Member Type]]="Spouse",Table2[[#This Row],[Product Option]]="My Value Plus Life &amp; Funeral",_xlfn.XLOOKUP(B140,Table2[Main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Funeral",_xlfn.XLOOKUP(B141,Table2[Main Member Link ID],Table2[Benefit Name],0)&lt;&gt;Lookups!$D$16),
IF(_xlfn.XLOOKUP(B141,Table2[Main Member Link ID],Table2[Benefit Name],0)=0,"",_xlfn.XLOOKUP(B141,Table2[Main Member Link ID],Table2[Benefit Name],0)),"")
))))</f>
        <v/>
      </c>
      <c r="AH141" s="327" t="str">
        <f>IF(AND(Table2[[#This Row],[Member Type]]="Main Member",Table2[[#This Row],[Product Option]]="My Value Plus Life &amp; Funeral"),Lookups!$D$17,
IF(AND(Table2[[#This Row],[Member Type]]="Spouse",Table2[[#This Row],[Product Option]]="My Value Plus Life &amp; Funeral",_xlfn.XLOOKUP(B141,Table2[Main Member Link ID],Table2[Benefit Name],0)=Lookups!$D$14),"",
IF(AND(Table2[[#This Row],[Member Type]]="Spouse",Table2[[#This Row],[Product Option]]="My Value Plus Life &amp; Funeral",_xlfn.XLOOKUP(B140,Table2[Main Member Link ID],Table2[Benefit Name],0)=Lookups!$D$16),"",
IF(AND(Table2[[#This Row],[Member Type]]="Child",Table2[[#This Row],[Product Option]]="My Value Plus Life &amp; Funeral"),"",
IF(AND(Table2[[#This Row],[Member Type]]="Child",Table2[[#This Row],[Product Option]]="My Value Plus Life &amp; Funeral",_xlfn.XLOOKUP(B141,Table2[Main Member Link ID],Table2[Benefit Name],0)=Lookups!$D$15),"",
IF(AND(OR(Table2[[#This Row],[Member Type]]="Spouse",Table2[[#This Row],[Member Type]]="Child"),Table2[[#This Row],[Product Option]]="My Value Plus Life &amp; Funeral",_xlfn.XLOOKUP(B141,Table2[Main Member Link ID],Table2[Benefit Name],0)&lt;&gt;Lookups!$D$17),
IF(_xlfn.XLOOKUP(B141,Table2[Main Member Link ID],Table2[Benefit Name],0)=0,"",_xlfn.XLOOKUP(B141,Table2[Main Member Link ID],Table2[Benefit Name],0)),""))))))</f>
        <v/>
      </c>
      <c r="AI141" s="328" t="str">
        <f>IF(AND(Table2[[#This Row],[Member Type]]="Main Member",Table2[[#This Row],[Table Lookup for Life Cover]]="MM_LIFE",Table2[[#This Row],[Age Next Birthday]]&lt;56),1,
IF(AND(Table2[[#This Row],[Member Type]]="Main Member",Table2[[#This Row],[Table Lookup for Life Cover]]="MM_LIFE",Table2[[#This Row],[Age Next Birthday]]&gt;=56),2,
""))</f>
        <v/>
      </c>
      <c r="AJ141" s="328">
        <f>IF(OR(Table2[[#This Row],[Member Type]]="Main Member",Table2[[#This Row],[Main Member Link ID]]=B140),1,0)</f>
        <v>1</v>
      </c>
      <c r="AK141" s="328">
        <f>IF(Table2[[#This Row],[Member Type]]=0,0,
IF(OR(Table2[[#This Row],[Member Type]]="Main Member",Table2[[#This Row],[Main Member Link ID]]&lt;&gt;B141),COUNTIFS(B:B,Table2[[#This Row],[Main Member Link ID]]),
COUNTIFS(B:B,Table2[[#This Row],[Main Member Link ID]],A:A,Table2[[#This Row],[Member Type]])))</f>
        <v>0</v>
      </c>
    </row>
    <row r="142" spans="1:37" x14ac:dyDescent="0.3">
      <c r="A142" s="284">
        <f>Table13[[#This Row],[Member Type]]</f>
        <v>0</v>
      </c>
      <c r="B142" s="284">
        <f>Table13[[#This Row],[Main Member Link ID]]</f>
        <v>0</v>
      </c>
      <c r="C142" s="284">
        <f>Table13[[#This Row],[ID Number]]</f>
        <v>0</v>
      </c>
      <c r="D142" s="285">
        <f>Table13[[#This Row],[Date Of Birth]]</f>
        <v>0</v>
      </c>
      <c r="E142" s="285">
        <f>Table13[[#This Row],[Commencement Date]]</f>
        <v>0</v>
      </c>
      <c r="F142" s="284">
        <f t="shared" si="14"/>
        <v>1</v>
      </c>
      <c r="G142" s="284">
        <f t="shared" si="15"/>
        <v>25</v>
      </c>
      <c r="H142" s="286">
        <f>Table13[[#This Row],[Product Option]]</f>
        <v>0</v>
      </c>
      <c r="I142" s="284">
        <f>IF(AND($A142="Main Member",Table2[[#This Row],[Product Option]]="My Value Plus Life"),"MM_LIFE",
IF(AND($A142="Spouse",Table2[[#This Row],[Product Option]]="My Value Plus Life"),"SP_LIFE",
IF(AND($A142="Main Member",Table2[[#This Row],[Product Option]]="My Value Plus Life &amp; Funeral"),"MM_LIFE",
IF(AND($A142="Spouse",Table2[[#This Row],[Product Option]]="My Value Plus Life &amp; Funeral"),_xlfn.XLOOKUP(Table2[[#This Row],[Benefit Name]],Lookups!$D$18:$D$23,Lookups!$E$18:$E$23,0),
0))))</f>
        <v>0</v>
      </c>
      <c r="J142" s="284">
        <f>IF($I142="","",
IF($I142="MM_LIFE",INDEX('Quotation Tool'!$S$54:$V$60,MATCH($T142,'Quotation Tool'!$S$54:$S$60,0),4),
IF($I142="SP_LIFE",_xlfn.XLOOKUP(B141,$B:$B,$J:$J,0),0)))</f>
        <v>0</v>
      </c>
      <c r="K142" s="287">
        <f t="shared" ca="1" si="19"/>
        <v>0</v>
      </c>
      <c r="L142" s="288">
        <f t="shared" ca="1" si="20"/>
        <v>0</v>
      </c>
      <c r="M142" s="289">
        <f t="shared" ca="1" si="16"/>
        <v>0</v>
      </c>
      <c r="N142" s="286">
        <f>Table13[[#This Row],[Benefit Option]]</f>
        <v>0</v>
      </c>
      <c r="O142" s="284">
        <f>IF(OR(Table2[[#This Row],[Member Type]]="Spouse",Table2[[#This Row],[Member Type]]="Child"),0,
IF(_xlfn.XLOOKUP($N142,Lookups!$D$13:$D$27,Lookups!$F$13:$F$27,0)=Table2[[#This Row],[Table Lookup for Life Cover]],0,
_xlfn.XLOOKUP($N142,Lookups!$D$13:$D$27,Lookups!$F$13:$F$27,0)))</f>
        <v>0</v>
      </c>
      <c r="P142" s="284">
        <f>IF(Table2[[#This Row],[Table Lookup for Funeral]]=0,0,IFERROR(INDEX('Quotation Tool'!$S$54:$V$60,MATCH($T142,'Quotation Tool'!$S$54:$S$60,0),3),0))</f>
        <v>0</v>
      </c>
      <c r="Q142" s="288">
        <f ca="1">IF(OR(Table2[[#This Row],[Benefit Name]]="My Value Plus Life - Main Member",Table2[[#This Row],[Benefit Name]]="My Value Plus Life - Spouse"),0,
IFERROR(VLOOKUP($G142,INDIRECT($O142),$P142,FALSE),0))</f>
        <v>0</v>
      </c>
      <c r="R142" s="288">
        <f ca="1">IF(OR(Table2[[#This Row],[Benefit Name]]="My Value Plus Life - Main Member",Table2[[#This Row],[Benefit Name]]="My Value Plus Life - Spouse"),0,
IFERROR(VLOOKUP($G142,INDIRECT($O142),$P142+1,FALSE),0))</f>
        <v>0</v>
      </c>
      <c r="S142" s="289">
        <f t="shared" ca="1" si="17"/>
        <v>0</v>
      </c>
      <c r="T142" s="284" t="str">
        <f>IF(Table13[[#This Row],[Premium Waiver]]="","None",Table13[[#This Row],[Premium Waiver]])</f>
        <v>None</v>
      </c>
      <c r="U142" s="284">
        <f>Table13[[#This Row],[VAPs Options]]</f>
        <v>0</v>
      </c>
      <c r="V142" s="284">
        <f>Table13[[#This Row],[Annual Increase Option]]</f>
        <v>0</v>
      </c>
      <c r="W142" s="290">
        <f>Table13[[#This Row],[Life Cover Amount]]</f>
        <v>0</v>
      </c>
      <c r="X142" s="290">
        <f>Table13[[#This Row],[Funeral Cover Amount]]</f>
        <v>0</v>
      </c>
      <c r="Y14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4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42" s="301">
        <f t="shared" ca="1" si="18"/>
        <v>0</v>
      </c>
      <c r="AB142" s="298"/>
      <c r="AC142" s="326" t="str">
        <f>IF(Table2[[#This Row],[Member Type]]="Main Member",Lookups!$C$13,
IF(Table2[[#This Row],[Member Type]]="Spouse",_xlfn.XLOOKUP(B142,Table2[Main Member Link ID],Table2[Product Option],0),
IF(AND(Table2[[#This Row],[Member Type]]="Child",_xlfn.XLOOKUP(B142,Table2[Main Member Link ID],Table2[Product Option],0)&lt;&gt;"My Value Plus Life"),Lookups!$C$24,
IF(AND(OR(Table2[[#This Row],[Member Type]]="Parent",Table2[[#This Row],[Member Type]]="Extended"),_xlfn.XLOOKUP(B142,Table2[Main Member Link ID],Table2[Product Option],0)&lt;&gt;"My Value Plus Life"),Lookups!$C$26,""))))</f>
        <v/>
      </c>
      <c r="AD142" s="326" t="str">
        <f>IF(Table2[[#This Row],[Member Type]]="Main Member",Lookups!$C$14,"")</f>
        <v/>
      </c>
      <c r="AE14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Funeral",_xlfn.XLOOKUP(B142,Table2[Main Member Link ID],Table2[Benefit Name],0)=Lookups!$D$14),"",
IF(AND(Table2[[#This Row],[Member Type]]="Spouse",Table2[[#This Row],[Product Option]]="My Value Plus Life &amp; Funeral",_xlfn.XLOOKUP(B141,Table2[Main Member Link ID],Table2[Benefit Name],0)=Lookups!$D$15),Lookups!$D$20,
IF(AND(Table2[[#This Row],[Member Type]]="Spouse",Table2[[#This Row],[Product Option]]="My Value Plus Life &amp; Funeral",_xlfn.XLOOKUP(B141,Table2[Main Member Link ID],Table2[Benefit Name],0)=Lookups!$D$16),"",
IF(AND(Table2[[#This Row],[Member Type]]="Spouse",Table2[[#This Row],[Product Option]]="My Value Plus Life &amp; Funeral",_xlfn.XLOOKUP(B141,Table2[Main Member Link ID],Table2[Benefit Name],0)=Lookups!$D$17),Lookups!$D$21,
IF(AND(Table2[[#This Row],[Member Type]]="Child",Table2[[#This Row],[Product Option]]="My Value Plus Life &amp; Funeral",_xlfn.XLOOKUP(B142,Table2[Main Member Link ID],Table2[Benefit Name],0)=Lookups!$D$14),"",
IF(AND(Table2[[#This Row],[Member Type]]="Child",Table2[[#This Row],[Product Option]]="My Value Plus Life &amp; Funeral",_xlfn.XLOOKUP(B142,Table2[Main Member Link ID],Table2[Benefit Name],0)=Lookups!$D$15),"",
IF(AND(Table2[[#This Row],[Member Type]]="Child",Table2[[#This Row],[Product Option]]="My Value Plus Life &amp; Funeral",_xlfn.XLOOKUP(B142,Table2[Main Member Link ID],Table2[Benefit Name],0)=Lookups!$D$16),Lookups!$D$24,
IF(AND(Table2[[#This Row],[Member Type]]="Child",Table2[[#This Row],[Product Option]]="My Value Plus Life &amp; Funeral",_xlfn.XLOOKUP(B142,Table2[Main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Funeral",_xlfn.XLOOKUP(B142,Table2[Main Member Link ID],Table2[Benefit Name],0)&lt;&gt;Lookups!$D$14),
IF(_xlfn.XLOOKUP(B142,Table2[Main Member Link ID],Table2[Benefit Name],0)=0,"",_xlfn.XLOOKUP(B142,Table2[Main Member Link ID],Table2[Benefit Name],0)),"")))))))))))))))</f>
        <v/>
      </c>
      <c r="AF142" s="327" t="str">
        <f>IF(AND(Table2[[#This Row],[Member Type]]="Main Member",Table2[[#This Row],[Product Option]]="My Value Plus Life &amp; Funeral"),Lookups!$D$15,
IF(AND(Table2[[#This Row],[Member Type]]="Spouse",Table2[[#This Row],[Product Option]]="My Value Plus Life &amp; Funeral",_xlfn.XLOOKUP(B142,Table2[Main Member Link ID],Table2[Benefit Name],0)=Lookups!$D$14),"",
IF(AND(Table2[[#This Row],[Member Type]]="Spouse",Table2[[#This Row],[Product Option]]="My Value Plus Life &amp; Funeral",_xlfn.XLOOKUP(B141,Table2[Main Member Link ID],Table2[Benefit Name],0)=Lookups!$D$16),"",
IF(AND(Table2[[#This Row],[Member Type]]="Spouse",Table2[[#This Row],[Product Option]]="My Value Plus Life &amp; Funeral",_xlfn.XLOOKUP(B141,Table2[Main Member Link ID],Table2[Benefit Name],0)=Lookups!$D$15),"",
IF(AND(Table2[[#This Row],[Member Type]]="Spouse",Table2[[#This Row],[Product Option]]="My Value Plus Life &amp; Funeral",_xlfn.XLOOKUP(B141,Table2[Main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Funeral",_xlfn.XLOOKUP(B142,Table2[Main Member Link ID],Table2[Benefit Name],0)&lt;&gt;Lookups!$D$15),
IF(_xlfn.XLOOKUP(B142,Table2[Main Member Link ID],Table2[Benefit Name],0)=0,"",_xlfn.XLOOKUP(B142,Table2[Main Member Link ID],Table2[Benefit Name],0)),"")
))))))</f>
        <v/>
      </c>
      <c r="AG142" s="327" t="str">
        <f>IF(AND(Table2[[#This Row],[Member Type]]="Main Member",Table2[[#This Row],[Product Option]]="My Value Plus Life &amp; Funeral"),Lookups!$D$16,
IF(AND(Table2[[#This Row],[Member Type]]="Spouse",Table2[[#This Row],[Product Option]]="My Value Plus Life &amp; Funeral",_xlfn.XLOOKUP(B142,Table2[Main Member Link ID],Table2[Benefit Name],0)=Lookups!$D$14),"",
IF(AND(Table2[[#This Row],[Member Type]]="Spouse",Table2[[#This Row],[Product Option]]="My Value Plus Life &amp; Funeral",_xlfn.XLOOKUP(B141,Table2[Main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Funeral",_xlfn.XLOOKUP(B142,Table2[Main Member Link ID],Table2[Benefit Name],0)&lt;&gt;Lookups!$D$16),
IF(_xlfn.XLOOKUP(B142,Table2[Main Member Link ID],Table2[Benefit Name],0)=0,"",_xlfn.XLOOKUP(B142,Table2[Main Member Link ID],Table2[Benefit Name],0)),"")
))))</f>
        <v/>
      </c>
      <c r="AH142" s="327" t="str">
        <f>IF(AND(Table2[[#This Row],[Member Type]]="Main Member",Table2[[#This Row],[Product Option]]="My Value Plus Life &amp; Funeral"),Lookups!$D$17,
IF(AND(Table2[[#This Row],[Member Type]]="Spouse",Table2[[#This Row],[Product Option]]="My Value Plus Life &amp; Funeral",_xlfn.XLOOKUP(B142,Table2[Main Member Link ID],Table2[Benefit Name],0)=Lookups!$D$14),"",
IF(AND(Table2[[#This Row],[Member Type]]="Spouse",Table2[[#This Row],[Product Option]]="My Value Plus Life &amp; Funeral",_xlfn.XLOOKUP(B141,Table2[Main Member Link ID],Table2[Benefit Name],0)=Lookups!$D$16),"",
IF(AND(Table2[[#This Row],[Member Type]]="Child",Table2[[#This Row],[Product Option]]="My Value Plus Life &amp; Funeral"),"",
IF(AND(Table2[[#This Row],[Member Type]]="Child",Table2[[#This Row],[Product Option]]="My Value Plus Life &amp; Funeral",_xlfn.XLOOKUP(B142,Table2[Main Member Link ID],Table2[Benefit Name],0)=Lookups!$D$15),"",
IF(AND(OR(Table2[[#This Row],[Member Type]]="Spouse",Table2[[#This Row],[Member Type]]="Child"),Table2[[#This Row],[Product Option]]="My Value Plus Life &amp; Funeral",_xlfn.XLOOKUP(B142,Table2[Main Member Link ID],Table2[Benefit Name],0)&lt;&gt;Lookups!$D$17),
IF(_xlfn.XLOOKUP(B142,Table2[Main Member Link ID],Table2[Benefit Name],0)=0,"",_xlfn.XLOOKUP(B142,Table2[Main Member Link ID],Table2[Benefit Name],0)),""))))))</f>
        <v/>
      </c>
      <c r="AI142" s="328" t="str">
        <f>IF(AND(Table2[[#This Row],[Member Type]]="Main Member",Table2[[#This Row],[Table Lookup for Life Cover]]="MM_LIFE",Table2[[#This Row],[Age Next Birthday]]&lt;56),1,
IF(AND(Table2[[#This Row],[Member Type]]="Main Member",Table2[[#This Row],[Table Lookup for Life Cover]]="MM_LIFE",Table2[[#This Row],[Age Next Birthday]]&gt;=56),2,
""))</f>
        <v/>
      </c>
      <c r="AJ142" s="328">
        <f>IF(OR(Table2[[#This Row],[Member Type]]="Main Member",Table2[[#This Row],[Main Member Link ID]]=B141),1,0)</f>
        <v>1</v>
      </c>
      <c r="AK142" s="328">
        <f>IF(Table2[[#This Row],[Member Type]]=0,0,
IF(OR(Table2[[#This Row],[Member Type]]="Main Member",Table2[[#This Row],[Main Member Link ID]]&lt;&gt;B142),COUNTIFS(B:B,Table2[[#This Row],[Main Member Link ID]]),
COUNTIFS(B:B,Table2[[#This Row],[Main Member Link ID]],A:A,Table2[[#This Row],[Member Type]])))</f>
        <v>0</v>
      </c>
    </row>
    <row r="143" spans="1:37" x14ac:dyDescent="0.3">
      <c r="A143" s="284">
        <f>Table13[[#This Row],[Member Type]]</f>
        <v>0</v>
      </c>
      <c r="B143" s="284">
        <f>Table13[[#This Row],[Main Member Link ID]]</f>
        <v>0</v>
      </c>
      <c r="C143" s="284">
        <f>Table13[[#This Row],[ID Number]]</f>
        <v>0</v>
      </c>
      <c r="D143" s="285">
        <f>Table13[[#This Row],[Date Of Birth]]</f>
        <v>0</v>
      </c>
      <c r="E143" s="285">
        <f>Table13[[#This Row],[Commencement Date]]</f>
        <v>0</v>
      </c>
      <c r="F143" s="284">
        <f t="shared" si="14"/>
        <v>1</v>
      </c>
      <c r="G143" s="284">
        <f t="shared" si="15"/>
        <v>25</v>
      </c>
      <c r="H143" s="286">
        <f>Table13[[#This Row],[Product Option]]</f>
        <v>0</v>
      </c>
      <c r="I143" s="284">
        <f>IF(AND($A143="Main Member",Table2[[#This Row],[Product Option]]="My Value Plus Life"),"MM_LIFE",
IF(AND($A143="Spouse",Table2[[#This Row],[Product Option]]="My Value Plus Life"),"SP_LIFE",
IF(AND($A143="Main Member",Table2[[#This Row],[Product Option]]="My Value Plus Life &amp; Funeral"),"MM_LIFE",
IF(AND($A143="Spouse",Table2[[#This Row],[Product Option]]="My Value Plus Life &amp; Funeral"),_xlfn.XLOOKUP(Table2[[#This Row],[Benefit Name]],Lookups!$D$18:$D$23,Lookups!$E$18:$E$23,0),
0))))</f>
        <v>0</v>
      </c>
      <c r="J143" s="284">
        <f>IF($I143="","",
IF($I143="MM_LIFE",INDEX('Quotation Tool'!$S$54:$V$60,MATCH($T143,'Quotation Tool'!$S$54:$S$60,0),4),
IF($I143="SP_LIFE",_xlfn.XLOOKUP(B142,$B:$B,$J:$J,0),0)))</f>
        <v>0</v>
      </c>
      <c r="K143" s="287">
        <f t="shared" ca="1" si="19"/>
        <v>0</v>
      </c>
      <c r="L143" s="288">
        <f t="shared" ca="1" si="20"/>
        <v>0</v>
      </c>
      <c r="M143" s="289">
        <f t="shared" ca="1" si="16"/>
        <v>0</v>
      </c>
      <c r="N143" s="286">
        <f>Table13[[#This Row],[Benefit Option]]</f>
        <v>0</v>
      </c>
      <c r="O143" s="284">
        <f>IF(OR(Table2[[#This Row],[Member Type]]="Spouse",Table2[[#This Row],[Member Type]]="Child"),0,
IF(_xlfn.XLOOKUP($N143,Lookups!$D$13:$D$27,Lookups!$F$13:$F$27,0)=Table2[[#This Row],[Table Lookup for Life Cover]],0,
_xlfn.XLOOKUP($N143,Lookups!$D$13:$D$27,Lookups!$F$13:$F$27,0)))</f>
        <v>0</v>
      </c>
      <c r="P143" s="284">
        <f>IF(Table2[[#This Row],[Table Lookup for Funeral]]=0,0,IFERROR(INDEX('Quotation Tool'!$S$54:$V$60,MATCH($T143,'Quotation Tool'!$S$54:$S$60,0),3),0))</f>
        <v>0</v>
      </c>
      <c r="Q143" s="288">
        <f ca="1">IF(OR(Table2[[#This Row],[Benefit Name]]="My Value Plus Life - Main Member",Table2[[#This Row],[Benefit Name]]="My Value Plus Life - Spouse"),0,
IFERROR(VLOOKUP($G143,INDIRECT($O143),$P143,FALSE),0))</f>
        <v>0</v>
      </c>
      <c r="R143" s="288">
        <f ca="1">IF(OR(Table2[[#This Row],[Benefit Name]]="My Value Plus Life - Main Member",Table2[[#This Row],[Benefit Name]]="My Value Plus Life - Spouse"),0,
IFERROR(VLOOKUP($G143,INDIRECT($O143),$P143+1,FALSE),0))</f>
        <v>0</v>
      </c>
      <c r="S143" s="289">
        <f t="shared" ca="1" si="17"/>
        <v>0</v>
      </c>
      <c r="T143" s="284" t="str">
        <f>IF(Table13[[#This Row],[Premium Waiver]]="","None",Table13[[#This Row],[Premium Waiver]])</f>
        <v>None</v>
      </c>
      <c r="U143" s="284">
        <f>Table13[[#This Row],[VAPs Options]]</f>
        <v>0</v>
      </c>
      <c r="V143" s="284">
        <f>Table13[[#This Row],[Annual Increase Option]]</f>
        <v>0</v>
      </c>
      <c r="W143" s="290">
        <f>Table13[[#This Row],[Life Cover Amount]]</f>
        <v>0</v>
      </c>
      <c r="X143" s="290">
        <f>Table13[[#This Row],[Funeral Cover Amount]]</f>
        <v>0</v>
      </c>
      <c r="Y14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4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43" s="301">
        <f t="shared" ca="1" si="18"/>
        <v>0</v>
      </c>
      <c r="AB143" s="298"/>
      <c r="AC143" s="326" t="str">
        <f>IF(Table2[[#This Row],[Member Type]]="Main Member",Lookups!$C$13,
IF(Table2[[#This Row],[Member Type]]="Spouse",_xlfn.XLOOKUP(B143,Table2[Main Member Link ID],Table2[Product Option],0),
IF(AND(Table2[[#This Row],[Member Type]]="Child",_xlfn.XLOOKUP(B143,Table2[Main Member Link ID],Table2[Product Option],0)&lt;&gt;"My Value Plus Life"),Lookups!$C$24,
IF(AND(OR(Table2[[#This Row],[Member Type]]="Parent",Table2[[#This Row],[Member Type]]="Extended"),_xlfn.XLOOKUP(B143,Table2[Main Member Link ID],Table2[Product Option],0)&lt;&gt;"My Value Plus Life"),Lookups!$C$26,""))))</f>
        <v/>
      </c>
      <c r="AD143" s="326" t="str">
        <f>IF(Table2[[#This Row],[Member Type]]="Main Member",Lookups!$C$14,"")</f>
        <v/>
      </c>
      <c r="AE14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Funeral",_xlfn.XLOOKUP(B143,Table2[Main Member Link ID],Table2[Benefit Name],0)=Lookups!$D$14),"",
IF(AND(Table2[[#This Row],[Member Type]]="Spouse",Table2[[#This Row],[Product Option]]="My Value Plus Life &amp; Funeral",_xlfn.XLOOKUP(B142,Table2[Main Member Link ID],Table2[Benefit Name],0)=Lookups!$D$15),Lookups!$D$20,
IF(AND(Table2[[#This Row],[Member Type]]="Spouse",Table2[[#This Row],[Product Option]]="My Value Plus Life &amp; Funeral",_xlfn.XLOOKUP(B142,Table2[Main Member Link ID],Table2[Benefit Name],0)=Lookups!$D$16),"",
IF(AND(Table2[[#This Row],[Member Type]]="Spouse",Table2[[#This Row],[Product Option]]="My Value Plus Life &amp; Funeral",_xlfn.XLOOKUP(B142,Table2[Main Member Link ID],Table2[Benefit Name],0)=Lookups!$D$17),Lookups!$D$21,
IF(AND(Table2[[#This Row],[Member Type]]="Child",Table2[[#This Row],[Product Option]]="My Value Plus Life &amp; Funeral",_xlfn.XLOOKUP(B143,Table2[Main Member Link ID],Table2[Benefit Name],0)=Lookups!$D$14),"",
IF(AND(Table2[[#This Row],[Member Type]]="Child",Table2[[#This Row],[Product Option]]="My Value Plus Life &amp; Funeral",_xlfn.XLOOKUP(B143,Table2[Main Member Link ID],Table2[Benefit Name],0)=Lookups!$D$15),"",
IF(AND(Table2[[#This Row],[Member Type]]="Child",Table2[[#This Row],[Product Option]]="My Value Plus Life &amp; Funeral",_xlfn.XLOOKUP(B143,Table2[Main Member Link ID],Table2[Benefit Name],0)=Lookups!$D$16),Lookups!$D$24,
IF(AND(Table2[[#This Row],[Member Type]]="Child",Table2[[#This Row],[Product Option]]="My Value Plus Life &amp; Funeral",_xlfn.XLOOKUP(B143,Table2[Main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Funeral",_xlfn.XLOOKUP(B143,Table2[Main Member Link ID],Table2[Benefit Name],0)&lt;&gt;Lookups!$D$14),
IF(_xlfn.XLOOKUP(B143,Table2[Main Member Link ID],Table2[Benefit Name],0)=0,"",_xlfn.XLOOKUP(B143,Table2[Main Member Link ID],Table2[Benefit Name],0)),"")))))))))))))))</f>
        <v/>
      </c>
      <c r="AF143" s="327" t="str">
        <f>IF(AND(Table2[[#This Row],[Member Type]]="Main Member",Table2[[#This Row],[Product Option]]="My Value Plus Life &amp; Funeral"),Lookups!$D$15,
IF(AND(Table2[[#This Row],[Member Type]]="Spouse",Table2[[#This Row],[Product Option]]="My Value Plus Life &amp; Funeral",_xlfn.XLOOKUP(B143,Table2[Main Member Link ID],Table2[Benefit Name],0)=Lookups!$D$14),"",
IF(AND(Table2[[#This Row],[Member Type]]="Spouse",Table2[[#This Row],[Product Option]]="My Value Plus Life &amp; Funeral",_xlfn.XLOOKUP(B142,Table2[Main Member Link ID],Table2[Benefit Name],0)=Lookups!$D$16),"",
IF(AND(Table2[[#This Row],[Member Type]]="Spouse",Table2[[#This Row],[Product Option]]="My Value Plus Life &amp; Funeral",_xlfn.XLOOKUP(B142,Table2[Main Member Link ID],Table2[Benefit Name],0)=Lookups!$D$15),"",
IF(AND(Table2[[#This Row],[Member Type]]="Spouse",Table2[[#This Row],[Product Option]]="My Value Plus Life &amp; Funeral",_xlfn.XLOOKUP(B142,Table2[Main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Funeral",_xlfn.XLOOKUP(B143,Table2[Main Member Link ID],Table2[Benefit Name],0)&lt;&gt;Lookups!$D$15),
IF(_xlfn.XLOOKUP(B143,Table2[Main Member Link ID],Table2[Benefit Name],0)=0,"",_xlfn.XLOOKUP(B143,Table2[Main Member Link ID],Table2[Benefit Name],0)),"")
))))))</f>
        <v/>
      </c>
      <c r="AG143" s="327" t="str">
        <f>IF(AND(Table2[[#This Row],[Member Type]]="Main Member",Table2[[#This Row],[Product Option]]="My Value Plus Life &amp; Funeral"),Lookups!$D$16,
IF(AND(Table2[[#This Row],[Member Type]]="Spouse",Table2[[#This Row],[Product Option]]="My Value Plus Life &amp; Funeral",_xlfn.XLOOKUP(B143,Table2[Main Member Link ID],Table2[Benefit Name],0)=Lookups!$D$14),"",
IF(AND(Table2[[#This Row],[Member Type]]="Spouse",Table2[[#This Row],[Product Option]]="My Value Plus Life &amp; Funeral",_xlfn.XLOOKUP(B142,Table2[Main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Funeral",_xlfn.XLOOKUP(B143,Table2[Main Member Link ID],Table2[Benefit Name],0)&lt;&gt;Lookups!$D$16),
IF(_xlfn.XLOOKUP(B143,Table2[Main Member Link ID],Table2[Benefit Name],0)=0,"",_xlfn.XLOOKUP(B143,Table2[Main Member Link ID],Table2[Benefit Name],0)),"")
))))</f>
        <v/>
      </c>
      <c r="AH143" s="327" t="str">
        <f>IF(AND(Table2[[#This Row],[Member Type]]="Main Member",Table2[[#This Row],[Product Option]]="My Value Plus Life &amp; Funeral"),Lookups!$D$17,
IF(AND(Table2[[#This Row],[Member Type]]="Spouse",Table2[[#This Row],[Product Option]]="My Value Plus Life &amp; Funeral",_xlfn.XLOOKUP(B143,Table2[Main Member Link ID],Table2[Benefit Name],0)=Lookups!$D$14),"",
IF(AND(Table2[[#This Row],[Member Type]]="Spouse",Table2[[#This Row],[Product Option]]="My Value Plus Life &amp; Funeral",_xlfn.XLOOKUP(B142,Table2[Main Member Link ID],Table2[Benefit Name],0)=Lookups!$D$16),"",
IF(AND(Table2[[#This Row],[Member Type]]="Child",Table2[[#This Row],[Product Option]]="My Value Plus Life &amp; Funeral"),"",
IF(AND(Table2[[#This Row],[Member Type]]="Child",Table2[[#This Row],[Product Option]]="My Value Plus Life &amp; Funeral",_xlfn.XLOOKUP(B143,Table2[Main Member Link ID],Table2[Benefit Name],0)=Lookups!$D$15),"",
IF(AND(OR(Table2[[#This Row],[Member Type]]="Spouse",Table2[[#This Row],[Member Type]]="Child"),Table2[[#This Row],[Product Option]]="My Value Plus Life &amp; Funeral",_xlfn.XLOOKUP(B143,Table2[Main Member Link ID],Table2[Benefit Name],0)&lt;&gt;Lookups!$D$17),
IF(_xlfn.XLOOKUP(B143,Table2[Main Member Link ID],Table2[Benefit Name],0)=0,"",_xlfn.XLOOKUP(B143,Table2[Main Member Link ID],Table2[Benefit Name],0)),""))))))</f>
        <v/>
      </c>
      <c r="AI143" s="328" t="str">
        <f>IF(AND(Table2[[#This Row],[Member Type]]="Main Member",Table2[[#This Row],[Table Lookup for Life Cover]]="MM_LIFE",Table2[[#This Row],[Age Next Birthday]]&lt;56),1,
IF(AND(Table2[[#This Row],[Member Type]]="Main Member",Table2[[#This Row],[Table Lookup for Life Cover]]="MM_LIFE",Table2[[#This Row],[Age Next Birthday]]&gt;=56),2,
""))</f>
        <v/>
      </c>
      <c r="AJ143" s="328">
        <f>IF(OR(Table2[[#This Row],[Member Type]]="Main Member",Table2[[#This Row],[Main Member Link ID]]=B142),1,0)</f>
        <v>1</v>
      </c>
      <c r="AK143" s="328">
        <f>IF(Table2[[#This Row],[Member Type]]=0,0,
IF(OR(Table2[[#This Row],[Member Type]]="Main Member",Table2[[#This Row],[Main Member Link ID]]&lt;&gt;B143),COUNTIFS(B:B,Table2[[#This Row],[Main Member Link ID]]),
COUNTIFS(B:B,Table2[[#This Row],[Main Member Link ID]],A:A,Table2[[#This Row],[Member Type]])))</f>
        <v>0</v>
      </c>
    </row>
    <row r="144" spans="1:37" x14ac:dyDescent="0.3">
      <c r="A144" s="284">
        <f>Table13[[#This Row],[Member Type]]</f>
        <v>0</v>
      </c>
      <c r="B144" s="284">
        <f>Table13[[#This Row],[Main Member Link ID]]</f>
        <v>0</v>
      </c>
      <c r="C144" s="284">
        <f>Table13[[#This Row],[ID Number]]</f>
        <v>0</v>
      </c>
      <c r="D144" s="285">
        <f>Table13[[#This Row],[Date Of Birth]]</f>
        <v>0</v>
      </c>
      <c r="E144" s="285">
        <f>Table13[[#This Row],[Commencement Date]]</f>
        <v>0</v>
      </c>
      <c r="F144" s="284">
        <f t="shared" si="14"/>
        <v>1</v>
      </c>
      <c r="G144" s="284">
        <f t="shared" si="15"/>
        <v>25</v>
      </c>
      <c r="H144" s="286">
        <f>Table13[[#This Row],[Product Option]]</f>
        <v>0</v>
      </c>
      <c r="I144" s="284">
        <f>IF(AND($A144="Main Member",Table2[[#This Row],[Product Option]]="My Value Plus Life"),"MM_LIFE",
IF(AND($A144="Spouse",Table2[[#This Row],[Product Option]]="My Value Plus Life"),"SP_LIFE",
IF(AND($A144="Main Member",Table2[[#This Row],[Product Option]]="My Value Plus Life &amp; Funeral"),"MM_LIFE",
IF(AND($A144="Spouse",Table2[[#This Row],[Product Option]]="My Value Plus Life &amp; Funeral"),_xlfn.XLOOKUP(Table2[[#This Row],[Benefit Name]],Lookups!$D$18:$D$23,Lookups!$E$18:$E$23,0),
0))))</f>
        <v>0</v>
      </c>
      <c r="J144" s="284">
        <f>IF($I144="","",
IF($I144="MM_LIFE",INDEX('Quotation Tool'!$S$54:$V$60,MATCH($T144,'Quotation Tool'!$S$54:$S$60,0),4),
IF($I144="SP_LIFE",_xlfn.XLOOKUP(B143,$B:$B,$J:$J,0),0)))</f>
        <v>0</v>
      </c>
      <c r="K144" s="287">
        <f t="shared" ca="1" si="19"/>
        <v>0</v>
      </c>
      <c r="L144" s="288">
        <f t="shared" ca="1" si="20"/>
        <v>0</v>
      </c>
      <c r="M144" s="289">
        <f t="shared" ca="1" si="16"/>
        <v>0</v>
      </c>
      <c r="N144" s="286">
        <f>Table13[[#This Row],[Benefit Option]]</f>
        <v>0</v>
      </c>
      <c r="O144" s="284">
        <f>IF(OR(Table2[[#This Row],[Member Type]]="Spouse",Table2[[#This Row],[Member Type]]="Child"),0,
IF(_xlfn.XLOOKUP($N144,Lookups!$D$13:$D$27,Lookups!$F$13:$F$27,0)=Table2[[#This Row],[Table Lookup for Life Cover]],0,
_xlfn.XLOOKUP($N144,Lookups!$D$13:$D$27,Lookups!$F$13:$F$27,0)))</f>
        <v>0</v>
      </c>
      <c r="P144" s="284">
        <f>IF(Table2[[#This Row],[Table Lookup for Funeral]]=0,0,IFERROR(INDEX('Quotation Tool'!$S$54:$V$60,MATCH($T144,'Quotation Tool'!$S$54:$S$60,0),3),0))</f>
        <v>0</v>
      </c>
      <c r="Q144" s="288">
        <f ca="1">IF(OR(Table2[[#This Row],[Benefit Name]]="My Value Plus Life - Main Member",Table2[[#This Row],[Benefit Name]]="My Value Plus Life - Spouse"),0,
IFERROR(VLOOKUP($G144,INDIRECT($O144),$P144,FALSE),0))</f>
        <v>0</v>
      </c>
      <c r="R144" s="288">
        <f ca="1">IF(OR(Table2[[#This Row],[Benefit Name]]="My Value Plus Life - Main Member",Table2[[#This Row],[Benefit Name]]="My Value Plus Life - Spouse"),0,
IFERROR(VLOOKUP($G144,INDIRECT($O144),$P144+1,FALSE),0))</f>
        <v>0</v>
      </c>
      <c r="S144" s="289">
        <f t="shared" ca="1" si="17"/>
        <v>0</v>
      </c>
      <c r="T144" s="284" t="str">
        <f>IF(Table13[[#This Row],[Premium Waiver]]="","None",Table13[[#This Row],[Premium Waiver]])</f>
        <v>None</v>
      </c>
      <c r="U144" s="284">
        <f>Table13[[#This Row],[VAPs Options]]</f>
        <v>0</v>
      </c>
      <c r="V144" s="284">
        <f>Table13[[#This Row],[Annual Increase Option]]</f>
        <v>0</v>
      </c>
      <c r="W144" s="290">
        <f>Table13[[#This Row],[Life Cover Amount]]</f>
        <v>0</v>
      </c>
      <c r="X144" s="290">
        <f>Table13[[#This Row],[Funeral Cover Amount]]</f>
        <v>0</v>
      </c>
      <c r="Y14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4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44" s="301">
        <f t="shared" ca="1" si="18"/>
        <v>0</v>
      </c>
      <c r="AB144" s="298"/>
      <c r="AC144" s="326" t="str">
        <f>IF(Table2[[#This Row],[Member Type]]="Main Member",Lookups!$C$13,
IF(Table2[[#This Row],[Member Type]]="Spouse",_xlfn.XLOOKUP(B144,Table2[Main Member Link ID],Table2[Product Option],0),
IF(AND(Table2[[#This Row],[Member Type]]="Child",_xlfn.XLOOKUP(B144,Table2[Main Member Link ID],Table2[Product Option],0)&lt;&gt;"My Value Plus Life"),Lookups!$C$24,
IF(AND(OR(Table2[[#This Row],[Member Type]]="Parent",Table2[[#This Row],[Member Type]]="Extended"),_xlfn.XLOOKUP(B144,Table2[Main Member Link ID],Table2[Product Option],0)&lt;&gt;"My Value Plus Life"),Lookups!$C$26,""))))</f>
        <v/>
      </c>
      <c r="AD144" s="326" t="str">
        <f>IF(Table2[[#This Row],[Member Type]]="Main Member",Lookups!$C$14,"")</f>
        <v/>
      </c>
      <c r="AE14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Funeral",_xlfn.XLOOKUP(B144,Table2[Main Member Link ID],Table2[Benefit Name],0)=Lookups!$D$14),"",
IF(AND(Table2[[#This Row],[Member Type]]="Spouse",Table2[[#This Row],[Product Option]]="My Value Plus Life &amp; Funeral",_xlfn.XLOOKUP(B143,Table2[Main Member Link ID],Table2[Benefit Name],0)=Lookups!$D$15),Lookups!$D$20,
IF(AND(Table2[[#This Row],[Member Type]]="Spouse",Table2[[#This Row],[Product Option]]="My Value Plus Life &amp; Funeral",_xlfn.XLOOKUP(B143,Table2[Main Member Link ID],Table2[Benefit Name],0)=Lookups!$D$16),"",
IF(AND(Table2[[#This Row],[Member Type]]="Spouse",Table2[[#This Row],[Product Option]]="My Value Plus Life &amp; Funeral",_xlfn.XLOOKUP(B143,Table2[Main Member Link ID],Table2[Benefit Name],0)=Lookups!$D$17),Lookups!$D$21,
IF(AND(Table2[[#This Row],[Member Type]]="Child",Table2[[#This Row],[Product Option]]="My Value Plus Life &amp; Funeral",_xlfn.XLOOKUP(B144,Table2[Main Member Link ID],Table2[Benefit Name],0)=Lookups!$D$14),"",
IF(AND(Table2[[#This Row],[Member Type]]="Child",Table2[[#This Row],[Product Option]]="My Value Plus Life &amp; Funeral",_xlfn.XLOOKUP(B144,Table2[Main Member Link ID],Table2[Benefit Name],0)=Lookups!$D$15),"",
IF(AND(Table2[[#This Row],[Member Type]]="Child",Table2[[#This Row],[Product Option]]="My Value Plus Life &amp; Funeral",_xlfn.XLOOKUP(B144,Table2[Main Member Link ID],Table2[Benefit Name],0)=Lookups!$D$16),Lookups!$D$24,
IF(AND(Table2[[#This Row],[Member Type]]="Child",Table2[[#This Row],[Product Option]]="My Value Plus Life &amp; Funeral",_xlfn.XLOOKUP(B144,Table2[Main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Funeral",_xlfn.XLOOKUP(B144,Table2[Main Member Link ID],Table2[Benefit Name],0)&lt;&gt;Lookups!$D$14),
IF(_xlfn.XLOOKUP(B144,Table2[Main Member Link ID],Table2[Benefit Name],0)=0,"",_xlfn.XLOOKUP(B144,Table2[Main Member Link ID],Table2[Benefit Name],0)),"")))))))))))))))</f>
        <v/>
      </c>
      <c r="AF144" s="327" t="str">
        <f>IF(AND(Table2[[#This Row],[Member Type]]="Main Member",Table2[[#This Row],[Product Option]]="My Value Plus Life &amp; Funeral"),Lookups!$D$15,
IF(AND(Table2[[#This Row],[Member Type]]="Spouse",Table2[[#This Row],[Product Option]]="My Value Plus Life &amp; Funeral",_xlfn.XLOOKUP(B144,Table2[Main Member Link ID],Table2[Benefit Name],0)=Lookups!$D$14),"",
IF(AND(Table2[[#This Row],[Member Type]]="Spouse",Table2[[#This Row],[Product Option]]="My Value Plus Life &amp; Funeral",_xlfn.XLOOKUP(B143,Table2[Main Member Link ID],Table2[Benefit Name],0)=Lookups!$D$16),"",
IF(AND(Table2[[#This Row],[Member Type]]="Spouse",Table2[[#This Row],[Product Option]]="My Value Plus Life &amp; Funeral",_xlfn.XLOOKUP(B143,Table2[Main Member Link ID],Table2[Benefit Name],0)=Lookups!$D$15),"",
IF(AND(Table2[[#This Row],[Member Type]]="Spouse",Table2[[#This Row],[Product Option]]="My Value Plus Life &amp; Funeral",_xlfn.XLOOKUP(B143,Table2[Main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Funeral",_xlfn.XLOOKUP(B144,Table2[Main Member Link ID],Table2[Benefit Name],0)&lt;&gt;Lookups!$D$15),
IF(_xlfn.XLOOKUP(B144,Table2[Main Member Link ID],Table2[Benefit Name],0)=0,"",_xlfn.XLOOKUP(B144,Table2[Main Member Link ID],Table2[Benefit Name],0)),"")
))))))</f>
        <v/>
      </c>
      <c r="AG144" s="327" t="str">
        <f>IF(AND(Table2[[#This Row],[Member Type]]="Main Member",Table2[[#This Row],[Product Option]]="My Value Plus Life &amp; Funeral"),Lookups!$D$16,
IF(AND(Table2[[#This Row],[Member Type]]="Spouse",Table2[[#This Row],[Product Option]]="My Value Plus Life &amp; Funeral",_xlfn.XLOOKUP(B144,Table2[Main Member Link ID],Table2[Benefit Name],0)=Lookups!$D$14),"",
IF(AND(Table2[[#This Row],[Member Type]]="Spouse",Table2[[#This Row],[Product Option]]="My Value Plus Life &amp; Funeral",_xlfn.XLOOKUP(B143,Table2[Main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Funeral",_xlfn.XLOOKUP(B144,Table2[Main Member Link ID],Table2[Benefit Name],0)&lt;&gt;Lookups!$D$16),
IF(_xlfn.XLOOKUP(B144,Table2[Main Member Link ID],Table2[Benefit Name],0)=0,"",_xlfn.XLOOKUP(B144,Table2[Main Member Link ID],Table2[Benefit Name],0)),"")
))))</f>
        <v/>
      </c>
      <c r="AH144" s="327" t="str">
        <f>IF(AND(Table2[[#This Row],[Member Type]]="Main Member",Table2[[#This Row],[Product Option]]="My Value Plus Life &amp; Funeral"),Lookups!$D$17,
IF(AND(Table2[[#This Row],[Member Type]]="Spouse",Table2[[#This Row],[Product Option]]="My Value Plus Life &amp; Funeral",_xlfn.XLOOKUP(B144,Table2[Main Member Link ID],Table2[Benefit Name],0)=Lookups!$D$14),"",
IF(AND(Table2[[#This Row],[Member Type]]="Spouse",Table2[[#This Row],[Product Option]]="My Value Plus Life &amp; Funeral",_xlfn.XLOOKUP(B143,Table2[Main Member Link ID],Table2[Benefit Name],0)=Lookups!$D$16),"",
IF(AND(Table2[[#This Row],[Member Type]]="Child",Table2[[#This Row],[Product Option]]="My Value Plus Life &amp; Funeral"),"",
IF(AND(Table2[[#This Row],[Member Type]]="Child",Table2[[#This Row],[Product Option]]="My Value Plus Life &amp; Funeral",_xlfn.XLOOKUP(B144,Table2[Main Member Link ID],Table2[Benefit Name],0)=Lookups!$D$15),"",
IF(AND(OR(Table2[[#This Row],[Member Type]]="Spouse",Table2[[#This Row],[Member Type]]="Child"),Table2[[#This Row],[Product Option]]="My Value Plus Life &amp; Funeral",_xlfn.XLOOKUP(B144,Table2[Main Member Link ID],Table2[Benefit Name],0)&lt;&gt;Lookups!$D$17),
IF(_xlfn.XLOOKUP(B144,Table2[Main Member Link ID],Table2[Benefit Name],0)=0,"",_xlfn.XLOOKUP(B144,Table2[Main Member Link ID],Table2[Benefit Name],0)),""))))))</f>
        <v/>
      </c>
      <c r="AI144" s="328" t="str">
        <f>IF(AND(Table2[[#This Row],[Member Type]]="Main Member",Table2[[#This Row],[Table Lookup for Life Cover]]="MM_LIFE",Table2[[#This Row],[Age Next Birthday]]&lt;56),1,
IF(AND(Table2[[#This Row],[Member Type]]="Main Member",Table2[[#This Row],[Table Lookup for Life Cover]]="MM_LIFE",Table2[[#This Row],[Age Next Birthday]]&gt;=56),2,
""))</f>
        <v/>
      </c>
      <c r="AJ144" s="328">
        <f>IF(OR(Table2[[#This Row],[Member Type]]="Main Member",Table2[[#This Row],[Main Member Link ID]]=B143),1,0)</f>
        <v>1</v>
      </c>
      <c r="AK144" s="328">
        <f>IF(Table2[[#This Row],[Member Type]]=0,0,
IF(OR(Table2[[#This Row],[Member Type]]="Main Member",Table2[[#This Row],[Main Member Link ID]]&lt;&gt;B144),COUNTIFS(B:B,Table2[[#This Row],[Main Member Link ID]]),
COUNTIFS(B:B,Table2[[#This Row],[Main Member Link ID]],A:A,Table2[[#This Row],[Member Type]])))</f>
        <v>0</v>
      </c>
    </row>
    <row r="145" spans="1:37" x14ac:dyDescent="0.3">
      <c r="A145" s="284">
        <f>Table13[[#This Row],[Member Type]]</f>
        <v>0</v>
      </c>
      <c r="B145" s="284">
        <f>Table13[[#This Row],[Main Member Link ID]]</f>
        <v>0</v>
      </c>
      <c r="C145" s="284">
        <f>Table13[[#This Row],[ID Number]]</f>
        <v>0</v>
      </c>
      <c r="D145" s="285">
        <f>Table13[[#This Row],[Date Of Birth]]</f>
        <v>0</v>
      </c>
      <c r="E145" s="285">
        <f>Table13[[#This Row],[Commencement Date]]</f>
        <v>0</v>
      </c>
      <c r="F145" s="284">
        <f t="shared" si="14"/>
        <v>1</v>
      </c>
      <c r="G145" s="284">
        <f t="shared" si="15"/>
        <v>25</v>
      </c>
      <c r="H145" s="286">
        <f>Table13[[#This Row],[Product Option]]</f>
        <v>0</v>
      </c>
      <c r="I145" s="284">
        <f>IF(AND($A145="Main Member",Table2[[#This Row],[Product Option]]="My Value Plus Life"),"MM_LIFE",
IF(AND($A145="Spouse",Table2[[#This Row],[Product Option]]="My Value Plus Life"),"SP_LIFE",
IF(AND($A145="Main Member",Table2[[#This Row],[Product Option]]="My Value Plus Life &amp; Funeral"),"MM_LIFE",
IF(AND($A145="Spouse",Table2[[#This Row],[Product Option]]="My Value Plus Life &amp; Funeral"),_xlfn.XLOOKUP(Table2[[#This Row],[Benefit Name]],Lookups!$D$18:$D$23,Lookups!$E$18:$E$23,0),
0))))</f>
        <v>0</v>
      </c>
      <c r="J145" s="284">
        <f>IF($I145="","",
IF($I145="MM_LIFE",INDEX('Quotation Tool'!$S$54:$V$60,MATCH($T145,'Quotation Tool'!$S$54:$S$60,0),4),
IF($I145="SP_LIFE",_xlfn.XLOOKUP(B144,$B:$B,$J:$J,0),0)))</f>
        <v>0</v>
      </c>
      <c r="K145" s="287">
        <f t="shared" ca="1" si="19"/>
        <v>0</v>
      </c>
      <c r="L145" s="288">
        <f t="shared" ca="1" si="20"/>
        <v>0</v>
      </c>
      <c r="M145" s="289">
        <f t="shared" ca="1" si="16"/>
        <v>0</v>
      </c>
      <c r="N145" s="286">
        <f>Table13[[#This Row],[Benefit Option]]</f>
        <v>0</v>
      </c>
      <c r="O145" s="284">
        <f>IF(OR(Table2[[#This Row],[Member Type]]="Spouse",Table2[[#This Row],[Member Type]]="Child"),0,
IF(_xlfn.XLOOKUP($N145,Lookups!$D$13:$D$27,Lookups!$F$13:$F$27,0)=Table2[[#This Row],[Table Lookup for Life Cover]],0,
_xlfn.XLOOKUP($N145,Lookups!$D$13:$D$27,Lookups!$F$13:$F$27,0)))</f>
        <v>0</v>
      </c>
      <c r="P145" s="284">
        <f>IF(Table2[[#This Row],[Table Lookup for Funeral]]=0,0,IFERROR(INDEX('Quotation Tool'!$S$54:$V$60,MATCH($T145,'Quotation Tool'!$S$54:$S$60,0),3),0))</f>
        <v>0</v>
      </c>
      <c r="Q145" s="288">
        <f ca="1">IF(OR(Table2[[#This Row],[Benefit Name]]="My Value Plus Life - Main Member",Table2[[#This Row],[Benefit Name]]="My Value Plus Life - Spouse"),0,
IFERROR(VLOOKUP($G145,INDIRECT($O145),$P145,FALSE),0))</f>
        <v>0</v>
      </c>
      <c r="R145" s="288">
        <f ca="1">IF(OR(Table2[[#This Row],[Benefit Name]]="My Value Plus Life - Main Member",Table2[[#This Row],[Benefit Name]]="My Value Plus Life - Spouse"),0,
IFERROR(VLOOKUP($G145,INDIRECT($O145),$P145+1,FALSE),0))</f>
        <v>0</v>
      </c>
      <c r="S145" s="289">
        <f t="shared" ca="1" si="17"/>
        <v>0</v>
      </c>
      <c r="T145" s="284" t="str">
        <f>IF(Table13[[#This Row],[Premium Waiver]]="","None",Table13[[#This Row],[Premium Waiver]])</f>
        <v>None</v>
      </c>
      <c r="U145" s="284">
        <f>Table13[[#This Row],[VAPs Options]]</f>
        <v>0</v>
      </c>
      <c r="V145" s="284">
        <f>Table13[[#This Row],[Annual Increase Option]]</f>
        <v>0</v>
      </c>
      <c r="W145" s="290">
        <f>Table13[[#This Row],[Life Cover Amount]]</f>
        <v>0</v>
      </c>
      <c r="X145" s="290">
        <f>Table13[[#This Row],[Funeral Cover Amount]]</f>
        <v>0</v>
      </c>
      <c r="Y14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4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45" s="301">
        <f t="shared" ca="1" si="18"/>
        <v>0</v>
      </c>
      <c r="AB145" s="298"/>
      <c r="AC145" s="326" t="str">
        <f>IF(Table2[[#This Row],[Member Type]]="Main Member",Lookups!$C$13,
IF(Table2[[#This Row],[Member Type]]="Spouse",_xlfn.XLOOKUP(B145,Table2[Main Member Link ID],Table2[Product Option],0),
IF(AND(Table2[[#This Row],[Member Type]]="Child",_xlfn.XLOOKUP(B145,Table2[Main Member Link ID],Table2[Product Option],0)&lt;&gt;"My Value Plus Life"),Lookups!$C$24,
IF(AND(OR(Table2[[#This Row],[Member Type]]="Parent",Table2[[#This Row],[Member Type]]="Extended"),_xlfn.XLOOKUP(B145,Table2[Main Member Link ID],Table2[Product Option],0)&lt;&gt;"My Value Plus Life"),Lookups!$C$26,""))))</f>
        <v/>
      </c>
      <c r="AD145" s="326" t="str">
        <f>IF(Table2[[#This Row],[Member Type]]="Main Member",Lookups!$C$14,"")</f>
        <v/>
      </c>
      <c r="AE14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Funeral",_xlfn.XLOOKUP(B145,Table2[Main Member Link ID],Table2[Benefit Name],0)=Lookups!$D$14),"",
IF(AND(Table2[[#This Row],[Member Type]]="Spouse",Table2[[#This Row],[Product Option]]="My Value Plus Life &amp; Funeral",_xlfn.XLOOKUP(B144,Table2[Main Member Link ID],Table2[Benefit Name],0)=Lookups!$D$15),Lookups!$D$20,
IF(AND(Table2[[#This Row],[Member Type]]="Spouse",Table2[[#This Row],[Product Option]]="My Value Plus Life &amp; Funeral",_xlfn.XLOOKUP(B144,Table2[Main Member Link ID],Table2[Benefit Name],0)=Lookups!$D$16),"",
IF(AND(Table2[[#This Row],[Member Type]]="Spouse",Table2[[#This Row],[Product Option]]="My Value Plus Life &amp; Funeral",_xlfn.XLOOKUP(B144,Table2[Main Member Link ID],Table2[Benefit Name],0)=Lookups!$D$17),Lookups!$D$21,
IF(AND(Table2[[#This Row],[Member Type]]="Child",Table2[[#This Row],[Product Option]]="My Value Plus Life &amp; Funeral",_xlfn.XLOOKUP(B145,Table2[Main Member Link ID],Table2[Benefit Name],0)=Lookups!$D$14),"",
IF(AND(Table2[[#This Row],[Member Type]]="Child",Table2[[#This Row],[Product Option]]="My Value Plus Life &amp; Funeral",_xlfn.XLOOKUP(B145,Table2[Main Member Link ID],Table2[Benefit Name],0)=Lookups!$D$15),"",
IF(AND(Table2[[#This Row],[Member Type]]="Child",Table2[[#This Row],[Product Option]]="My Value Plus Life &amp; Funeral",_xlfn.XLOOKUP(B145,Table2[Main Member Link ID],Table2[Benefit Name],0)=Lookups!$D$16),Lookups!$D$24,
IF(AND(Table2[[#This Row],[Member Type]]="Child",Table2[[#This Row],[Product Option]]="My Value Plus Life &amp; Funeral",_xlfn.XLOOKUP(B145,Table2[Main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Funeral",_xlfn.XLOOKUP(B145,Table2[Main Member Link ID],Table2[Benefit Name],0)&lt;&gt;Lookups!$D$14),
IF(_xlfn.XLOOKUP(B145,Table2[Main Member Link ID],Table2[Benefit Name],0)=0,"",_xlfn.XLOOKUP(B145,Table2[Main Member Link ID],Table2[Benefit Name],0)),"")))))))))))))))</f>
        <v/>
      </c>
      <c r="AF145" s="327" t="str">
        <f>IF(AND(Table2[[#This Row],[Member Type]]="Main Member",Table2[[#This Row],[Product Option]]="My Value Plus Life &amp; Funeral"),Lookups!$D$15,
IF(AND(Table2[[#This Row],[Member Type]]="Spouse",Table2[[#This Row],[Product Option]]="My Value Plus Life &amp; Funeral",_xlfn.XLOOKUP(B145,Table2[Main Member Link ID],Table2[Benefit Name],0)=Lookups!$D$14),"",
IF(AND(Table2[[#This Row],[Member Type]]="Spouse",Table2[[#This Row],[Product Option]]="My Value Plus Life &amp; Funeral",_xlfn.XLOOKUP(B144,Table2[Main Member Link ID],Table2[Benefit Name],0)=Lookups!$D$16),"",
IF(AND(Table2[[#This Row],[Member Type]]="Spouse",Table2[[#This Row],[Product Option]]="My Value Plus Life &amp; Funeral",_xlfn.XLOOKUP(B144,Table2[Main Member Link ID],Table2[Benefit Name],0)=Lookups!$D$15),"",
IF(AND(Table2[[#This Row],[Member Type]]="Spouse",Table2[[#This Row],[Product Option]]="My Value Plus Life &amp; Funeral",_xlfn.XLOOKUP(B144,Table2[Main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Funeral",_xlfn.XLOOKUP(B145,Table2[Main Member Link ID],Table2[Benefit Name],0)&lt;&gt;Lookups!$D$15),
IF(_xlfn.XLOOKUP(B145,Table2[Main Member Link ID],Table2[Benefit Name],0)=0,"",_xlfn.XLOOKUP(B145,Table2[Main Member Link ID],Table2[Benefit Name],0)),"")
))))))</f>
        <v/>
      </c>
      <c r="AG145" s="327" t="str">
        <f>IF(AND(Table2[[#This Row],[Member Type]]="Main Member",Table2[[#This Row],[Product Option]]="My Value Plus Life &amp; Funeral"),Lookups!$D$16,
IF(AND(Table2[[#This Row],[Member Type]]="Spouse",Table2[[#This Row],[Product Option]]="My Value Plus Life &amp; Funeral",_xlfn.XLOOKUP(B145,Table2[Main Member Link ID],Table2[Benefit Name],0)=Lookups!$D$14),"",
IF(AND(Table2[[#This Row],[Member Type]]="Spouse",Table2[[#This Row],[Product Option]]="My Value Plus Life &amp; Funeral",_xlfn.XLOOKUP(B144,Table2[Main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Funeral",_xlfn.XLOOKUP(B145,Table2[Main Member Link ID],Table2[Benefit Name],0)&lt;&gt;Lookups!$D$16),
IF(_xlfn.XLOOKUP(B145,Table2[Main Member Link ID],Table2[Benefit Name],0)=0,"",_xlfn.XLOOKUP(B145,Table2[Main Member Link ID],Table2[Benefit Name],0)),"")
))))</f>
        <v/>
      </c>
      <c r="AH145" s="327" t="str">
        <f>IF(AND(Table2[[#This Row],[Member Type]]="Main Member",Table2[[#This Row],[Product Option]]="My Value Plus Life &amp; Funeral"),Lookups!$D$17,
IF(AND(Table2[[#This Row],[Member Type]]="Spouse",Table2[[#This Row],[Product Option]]="My Value Plus Life &amp; Funeral",_xlfn.XLOOKUP(B145,Table2[Main Member Link ID],Table2[Benefit Name],0)=Lookups!$D$14),"",
IF(AND(Table2[[#This Row],[Member Type]]="Spouse",Table2[[#This Row],[Product Option]]="My Value Plus Life &amp; Funeral",_xlfn.XLOOKUP(B144,Table2[Main Member Link ID],Table2[Benefit Name],0)=Lookups!$D$16),"",
IF(AND(Table2[[#This Row],[Member Type]]="Child",Table2[[#This Row],[Product Option]]="My Value Plus Life &amp; Funeral"),"",
IF(AND(Table2[[#This Row],[Member Type]]="Child",Table2[[#This Row],[Product Option]]="My Value Plus Life &amp; Funeral",_xlfn.XLOOKUP(B145,Table2[Main Member Link ID],Table2[Benefit Name],0)=Lookups!$D$15),"",
IF(AND(OR(Table2[[#This Row],[Member Type]]="Spouse",Table2[[#This Row],[Member Type]]="Child"),Table2[[#This Row],[Product Option]]="My Value Plus Life &amp; Funeral",_xlfn.XLOOKUP(B145,Table2[Main Member Link ID],Table2[Benefit Name],0)&lt;&gt;Lookups!$D$17),
IF(_xlfn.XLOOKUP(B145,Table2[Main Member Link ID],Table2[Benefit Name],0)=0,"",_xlfn.XLOOKUP(B145,Table2[Main Member Link ID],Table2[Benefit Name],0)),""))))))</f>
        <v/>
      </c>
      <c r="AI145" s="328" t="str">
        <f>IF(AND(Table2[[#This Row],[Member Type]]="Main Member",Table2[[#This Row],[Table Lookup for Life Cover]]="MM_LIFE",Table2[[#This Row],[Age Next Birthday]]&lt;56),1,
IF(AND(Table2[[#This Row],[Member Type]]="Main Member",Table2[[#This Row],[Table Lookup for Life Cover]]="MM_LIFE",Table2[[#This Row],[Age Next Birthday]]&gt;=56),2,
""))</f>
        <v/>
      </c>
      <c r="AJ145" s="328">
        <f>IF(OR(Table2[[#This Row],[Member Type]]="Main Member",Table2[[#This Row],[Main Member Link ID]]=B144),1,0)</f>
        <v>1</v>
      </c>
      <c r="AK145" s="328">
        <f>IF(Table2[[#This Row],[Member Type]]=0,0,
IF(OR(Table2[[#This Row],[Member Type]]="Main Member",Table2[[#This Row],[Main Member Link ID]]&lt;&gt;B145),COUNTIFS(B:B,Table2[[#This Row],[Main Member Link ID]]),
COUNTIFS(B:B,Table2[[#This Row],[Main Member Link ID]],A:A,Table2[[#This Row],[Member Type]])))</f>
        <v>0</v>
      </c>
    </row>
    <row r="146" spans="1:37" x14ac:dyDescent="0.3">
      <c r="A146" s="284">
        <f>Table13[[#This Row],[Member Type]]</f>
        <v>0</v>
      </c>
      <c r="B146" s="284">
        <f>Table13[[#This Row],[Main Member Link ID]]</f>
        <v>0</v>
      </c>
      <c r="C146" s="284">
        <f>Table13[[#This Row],[ID Number]]</f>
        <v>0</v>
      </c>
      <c r="D146" s="285">
        <f>Table13[[#This Row],[Date Of Birth]]</f>
        <v>0</v>
      </c>
      <c r="E146" s="285">
        <f>Table13[[#This Row],[Commencement Date]]</f>
        <v>0</v>
      </c>
      <c r="F146" s="284">
        <f t="shared" si="14"/>
        <v>1</v>
      </c>
      <c r="G146" s="284">
        <f t="shared" si="15"/>
        <v>25</v>
      </c>
      <c r="H146" s="286">
        <f>Table13[[#This Row],[Product Option]]</f>
        <v>0</v>
      </c>
      <c r="I146" s="284">
        <f>IF(AND($A146="Main Member",Table2[[#This Row],[Product Option]]="My Value Plus Life"),"MM_LIFE",
IF(AND($A146="Spouse",Table2[[#This Row],[Product Option]]="My Value Plus Life"),"SP_LIFE",
IF(AND($A146="Main Member",Table2[[#This Row],[Product Option]]="My Value Plus Life &amp; Funeral"),"MM_LIFE",
IF(AND($A146="Spouse",Table2[[#This Row],[Product Option]]="My Value Plus Life &amp; Funeral"),_xlfn.XLOOKUP(Table2[[#This Row],[Benefit Name]],Lookups!$D$18:$D$23,Lookups!$E$18:$E$23,0),
0))))</f>
        <v>0</v>
      </c>
      <c r="J146" s="284">
        <f>IF($I146="","",
IF($I146="MM_LIFE",INDEX('Quotation Tool'!$S$54:$V$60,MATCH($T146,'Quotation Tool'!$S$54:$S$60,0),4),
IF($I146="SP_LIFE",_xlfn.XLOOKUP(B145,$B:$B,$J:$J,0),0)))</f>
        <v>0</v>
      </c>
      <c r="K146" s="287">
        <f t="shared" ca="1" si="19"/>
        <v>0</v>
      </c>
      <c r="L146" s="288">
        <f t="shared" ca="1" si="20"/>
        <v>0</v>
      </c>
      <c r="M146" s="289">
        <f t="shared" ca="1" si="16"/>
        <v>0</v>
      </c>
      <c r="N146" s="286">
        <f>Table13[[#This Row],[Benefit Option]]</f>
        <v>0</v>
      </c>
      <c r="O146" s="284">
        <f>IF(OR(Table2[[#This Row],[Member Type]]="Spouse",Table2[[#This Row],[Member Type]]="Child"),0,
IF(_xlfn.XLOOKUP($N146,Lookups!$D$13:$D$27,Lookups!$F$13:$F$27,0)=Table2[[#This Row],[Table Lookup for Life Cover]],0,
_xlfn.XLOOKUP($N146,Lookups!$D$13:$D$27,Lookups!$F$13:$F$27,0)))</f>
        <v>0</v>
      </c>
      <c r="P146" s="284">
        <f>IF(Table2[[#This Row],[Table Lookup for Funeral]]=0,0,IFERROR(INDEX('Quotation Tool'!$S$54:$V$60,MATCH($T146,'Quotation Tool'!$S$54:$S$60,0),3),0))</f>
        <v>0</v>
      </c>
      <c r="Q146" s="288">
        <f ca="1">IF(OR(Table2[[#This Row],[Benefit Name]]="My Value Plus Life - Main Member",Table2[[#This Row],[Benefit Name]]="My Value Plus Life - Spouse"),0,
IFERROR(VLOOKUP($G146,INDIRECT($O146),$P146,FALSE),0))</f>
        <v>0</v>
      </c>
      <c r="R146" s="288">
        <f ca="1">IF(OR(Table2[[#This Row],[Benefit Name]]="My Value Plus Life - Main Member",Table2[[#This Row],[Benefit Name]]="My Value Plus Life - Spouse"),0,
IFERROR(VLOOKUP($G146,INDIRECT($O146),$P146+1,FALSE),0))</f>
        <v>0</v>
      </c>
      <c r="S146" s="289">
        <f t="shared" ca="1" si="17"/>
        <v>0</v>
      </c>
      <c r="T146" s="284" t="str">
        <f>IF(Table13[[#This Row],[Premium Waiver]]="","None",Table13[[#This Row],[Premium Waiver]])</f>
        <v>None</v>
      </c>
      <c r="U146" s="284">
        <f>Table13[[#This Row],[VAPs Options]]</f>
        <v>0</v>
      </c>
      <c r="V146" s="284">
        <f>Table13[[#This Row],[Annual Increase Option]]</f>
        <v>0</v>
      </c>
      <c r="W146" s="290">
        <f>Table13[[#This Row],[Life Cover Amount]]</f>
        <v>0</v>
      </c>
      <c r="X146" s="290">
        <f>Table13[[#This Row],[Funeral Cover Amount]]</f>
        <v>0</v>
      </c>
      <c r="Y14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4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46" s="301">
        <f t="shared" ca="1" si="18"/>
        <v>0</v>
      </c>
      <c r="AB146" s="298"/>
      <c r="AC146" s="326" t="str">
        <f>IF(Table2[[#This Row],[Member Type]]="Main Member",Lookups!$C$13,
IF(Table2[[#This Row],[Member Type]]="Spouse",_xlfn.XLOOKUP(B146,Table2[Main Member Link ID],Table2[Product Option],0),
IF(AND(Table2[[#This Row],[Member Type]]="Child",_xlfn.XLOOKUP(B146,Table2[Main Member Link ID],Table2[Product Option],0)&lt;&gt;"My Value Plus Life"),Lookups!$C$24,
IF(AND(OR(Table2[[#This Row],[Member Type]]="Parent",Table2[[#This Row],[Member Type]]="Extended"),_xlfn.XLOOKUP(B146,Table2[Main Member Link ID],Table2[Product Option],0)&lt;&gt;"My Value Plus Life"),Lookups!$C$26,""))))</f>
        <v/>
      </c>
      <c r="AD146" s="326" t="str">
        <f>IF(Table2[[#This Row],[Member Type]]="Main Member",Lookups!$C$14,"")</f>
        <v/>
      </c>
      <c r="AE14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Funeral",_xlfn.XLOOKUP(B146,Table2[Main Member Link ID],Table2[Benefit Name],0)=Lookups!$D$14),"",
IF(AND(Table2[[#This Row],[Member Type]]="Spouse",Table2[[#This Row],[Product Option]]="My Value Plus Life &amp; Funeral",_xlfn.XLOOKUP(B145,Table2[Main Member Link ID],Table2[Benefit Name],0)=Lookups!$D$15),Lookups!$D$20,
IF(AND(Table2[[#This Row],[Member Type]]="Spouse",Table2[[#This Row],[Product Option]]="My Value Plus Life &amp; Funeral",_xlfn.XLOOKUP(B145,Table2[Main Member Link ID],Table2[Benefit Name],0)=Lookups!$D$16),"",
IF(AND(Table2[[#This Row],[Member Type]]="Spouse",Table2[[#This Row],[Product Option]]="My Value Plus Life &amp; Funeral",_xlfn.XLOOKUP(B145,Table2[Main Member Link ID],Table2[Benefit Name],0)=Lookups!$D$17),Lookups!$D$21,
IF(AND(Table2[[#This Row],[Member Type]]="Child",Table2[[#This Row],[Product Option]]="My Value Plus Life &amp; Funeral",_xlfn.XLOOKUP(B146,Table2[Main Member Link ID],Table2[Benefit Name],0)=Lookups!$D$14),"",
IF(AND(Table2[[#This Row],[Member Type]]="Child",Table2[[#This Row],[Product Option]]="My Value Plus Life &amp; Funeral",_xlfn.XLOOKUP(B146,Table2[Main Member Link ID],Table2[Benefit Name],0)=Lookups!$D$15),"",
IF(AND(Table2[[#This Row],[Member Type]]="Child",Table2[[#This Row],[Product Option]]="My Value Plus Life &amp; Funeral",_xlfn.XLOOKUP(B146,Table2[Main Member Link ID],Table2[Benefit Name],0)=Lookups!$D$16),Lookups!$D$24,
IF(AND(Table2[[#This Row],[Member Type]]="Child",Table2[[#This Row],[Product Option]]="My Value Plus Life &amp; Funeral",_xlfn.XLOOKUP(B146,Table2[Main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Funeral",_xlfn.XLOOKUP(B146,Table2[Main Member Link ID],Table2[Benefit Name],0)&lt;&gt;Lookups!$D$14),
IF(_xlfn.XLOOKUP(B146,Table2[Main Member Link ID],Table2[Benefit Name],0)=0,"",_xlfn.XLOOKUP(B146,Table2[Main Member Link ID],Table2[Benefit Name],0)),"")))))))))))))))</f>
        <v/>
      </c>
      <c r="AF146" s="327" t="str">
        <f>IF(AND(Table2[[#This Row],[Member Type]]="Main Member",Table2[[#This Row],[Product Option]]="My Value Plus Life &amp; Funeral"),Lookups!$D$15,
IF(AND(Table2[[#This Row],[Member Type]]="Spouse",Table2[[#This Row],[Product Option]]="My Value Plus Life &amp; Funeral",_xlfn.XLOOKUP(B146,Table2[Main Member Link ID],Table2[Benefit Name],0)=Lookups!$D$14),"",
IF(AND(Table2[[#This Row],[Member Type]]="Spouse",Table2[[#This Row],[Product Option]]="My Value Plus Life &amp; Funeral",_xlfn.XLOOKUP(B145,Table2[Main Member Link ID],Table2[Benefit Name],0)=Lookups!$D$16),"",
IF(AND(Table2[[#This Row],[Member Type]]="Spouse",Table2[[#This Row],[Product Option]]="My Value Plus Life &amp; Funeral",_xlfn.XLOOKUP(B145,Table2[Main Member Link ID],Table2[Benefit Name],0)=Lookups!$D$15),"",
IF(AND(Table2[[#This Row],[Member Type]]="Spouse",Table2[[#This Row],[Product Option]]="My Value Plus Life &amp; Funeral",_xlfn.XLOOKUP(B145,Table2[Main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Funeral",_xlfn.XLOOKUP(B146,Table2[Main Member Link ID],Table2[Benefit Name],0)&lt;&gt;Lookups!$D$15),
IF(_xlfn.XLOOKUP(B146,Table2[Main Member Link ID],Table2[Benefit Name],0)=0,"",_xlfn.XLOOKUP(B146,Table2[Main Member Link ID],Table2[Benefit Name],0)),"")
))))))</f>
        <v/>
      </c>
      <c r="AG146" s="327" t="str">
        <f>IF(AND(Table2[[#This Row],[Member Type]]="Main Member",Table2[[#This Row],[Product Option]]="My Value Plus Life &amp; Funeral"),Lookups!$D$16,
IF(AND(Table2[[#This Row],[Member Type]]="Spouse",Table2[[#This Row],[Product Option]]="My Value Plus Life &amp; Funeral",_xlfn.XLOOKUP(B146,Table2[Main Member Link ID],Table2[Benefit Name],0)=Lookups!$D$14),"",
IF(AND(Table2[[#This Row],[Member Type]]="Spouse",Table2[[#This Row],[Product Option]]="My Value Plus Life &amp; Funeral",_xlfn.XLOOKUP(B145,Table2[Main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Funeral",_xlfn.XLOOKUP(B146,Table2[Main Member Link ID],Table2[Benefit Name],0)&lt;&gt;Lookups!$D$16),
IF(_xlfn.XLOOKUP(B146,Table2[Main Member Link ID],Table2[Benefit Name],0)=0,"",_xlfn.XLOOKUP(B146,Table2[Main Member Link ID],Table2[Benefit Name],0)),"")
))))</f>
        <v/>
      </c>
      <c r="AH146" s="327" t="str">
        <f>IF(AND(Table2[[#This Row],[Member Type]]="Main Member",Table2[[#This Row],[Product Option]]="My Value Plus Life &amp; Funeral"),Lookups!$D$17,
IF(AND(Table2[[#This Row],[Member Type]]="Spouse",Table2[[#This Row],[Product Option]]="My Value Plus Life &amp; Funeral",_xlfn.XLOOKUP(B146,Table2[Main Member Link ID],Table2[Benefit Name],0)=Lookups!$D$14),"",
IF(AND(Table2[[#This Row],[Member Type]]="Spouse",Table2[[#This Row],[Product Option]]="My Value Plus Life &amp; Funeral",_xlfn.XLOOKUP(B145,Table2[Main Member Link ID],Table2[Benefit Name],0)=Lookups!$D$16),"",
IF(AND(Table2[[#This Row],[Member Type]]="Child",Table2[[#This Row],[Product Option]]="My Value Plus Life &amp; Funeral"),"",
IF(AND(Table2[[#This Row],[Member Type]]="Child",Table2[[#This Row],[Product Option]]="My Value Plus Life &amp; Funeral",_xlfn.XLOOKUP(B146,Table2[Main Member Link ID],Table2[Benefit Name],0)=Lookups!$D$15),"",
IF(AND(OR(Table2[[#This Row],[Member Type]]="Spouse",Table2[[#This Row],[Member Type]]="Child"),Table2[[#This Row],[Product Option]]="My Value Plus Life &amp; Funeral",_xlfn.XLOOKUP(B146,Table2[Main Member Link ID],Table2[Benefit Name],0)&lt;&gt;Lookups!$D$17),
IF(_xlfn.XLOOKUP(B146,Table2[Main Member Link ID],Table2[Benefit Name],0)=0,"",_xlfn.XLOOKUP(B146,Table2[Main Member Link ID],Table2[Benefit Name],0)),""))))))</f>
        <v/>
      </c>
      <c r="AI146" s="328" t="str">
        <f>IF(AND(Table2[[#This Row],[Member Type]]="Main Member",Table2[[#This Row],[Table Lookup for Life Cover]]="MM_LIFE",Table2[[#This Row],[Age Next Birthday]]&lt;56),1,
IF(AND(Table2[[#This Row],[Member Type]]="Main Member",Table2[[#This Row],[Table Lookup for Life Cover]]="MM_LIFE",Table2[[#This Row],[Age Next Birthday]]&gt;=56),2,
""))</f>
        <v/>
      </c>
      <c r="AJ146" s="328">
        <f>IF(OR(Table2[[#This Row],[Member Type]]="Main Member",Table2[[#This Row],[Main Member Link ID]]=B145),1,0)</f>
        <v>1</v>
      </c>
      <c r="AK146" s="328">
        <f>IF(Table2[[#This Row],[Member Type]]=0,0,
IF(OR(Table2[[#This Row],[Member Type]]="Main Member",Table2[[#This Row],[Main Member Link ID]]&lt;&gt;B146),COUNTIFS(B:B,Table2[[#This Row],[Main Member Link ID]]),
COUNTIFS(B:B,Table2[[#This Row],[Main Member Link ID]],A:A,Table2[[#This Row],[Member Type]])))</f>
        <v>0</v>
      </c>
    </row>
    <row r="147" spans="1:37" x14ac:dyDescent="0.3">
      <c r="A147" s="284">
        <f>Table13[[#This Row],[Member Type]]</f>
        <v>0</v>
      </c>
      <c r="B147" s="284">
        <f>Table13[[#This Row],[Main Member Link ID]]</f>
        <v>0</v>
      </c>
      <c r="C147" s="284">
        <f>Table13[[#This Row],[ID Number]]</f>
        <v>0</v>
      </c>
      <c r="D147" s="285">
        <f>Table13[[#This Row],[Date Of Birth]]</f>
        <v>0</v>
      </c>
      <c r="E147" s="285">
        <f>Table13[[#This Row],[Commencement Date]]</f>
        <v>0</v>
      </c>
      <c r="F147" s="284">
        <f t="shared" si="14"/>
        <v>1</v>
      </c>
      <c r="G147" s="284">
        <f t="shared" si="15"/>
        <v>25</v>
      </c>
      <c r="H147" s="286">
        <f>Table13[[#This Row],[Product Option]]</f>
        <v>0</v>
      </c>
      <c r="I147" s="284">
        <f>IF(AND($A147="Main Member",Table2[[#This Row],[Product Option]]="My Value Plus Life"),"MM_LIFE",
IF(AND($A147="Spouse",Table2[[#This Row],[Product Option]]="My Value Plus Life"),"SP_LIFE",
IF(AND($A147="Main Member",Table2[[#This Row],[Product Option]]="My Value Plus Life &amp; Funeral"),"MM_LIFE",
IF(AND($A147="Spouse",Table2[[#This Row],[Product Option]]="My Value Plus Life &amp; Funeral"),_xlfn.XLOOKUP(Table2[[#This Row],[Benefit Name]],Lookups!$D$18:$D$23,Lookups!$E$18:$E$23,0),
0))))</f>
        <v>0</v>
      </c>
      <c r="J147" s="284">
        <f>IF($I147="","",
IF($I147="MM_LIFE",INDEX('Quotation Tool'!$S$54:$V$60,MATCH($T147,'Quotation Tool'!$S$54:$S$60,0),4),
IF($I147="SP_LIFE",_xlfn.XLOOKUP(B146,$B:$B,$J:$J,0),0)))</f>
        <v>0</v>
      </c>
      <c r="K147" s="287">
        <f t="shared" ca="1" si="19"/>
        <v>0</v>
      </c>
      <c r="L147" s="288">
        <f t="shared" ca="1" si="20"/>
        <v>0</v>
      </c>
      <c r="M147" s="289">
        <f t="shared" ca="1" si="16"/>
        <v>0</v>
      </c>
      <c r="N147" s="286">
        <f>Table13[[#This Row],[Benefit Option]]</f>
        <v>0</v>
      </c>
      <c r="O147" s="284">
        <f>IF(OR(Table2[[#This Row],[Member Type]]="Spouse",Table2[[#This Row],[Member Type]]="Child"),0,
IF(_xlfn.XLOOKUP($N147,Lookups!$D$13:$D$27,Lookups!$F$13:$F$27,0)=Table2[[#This Row],[Table Lookup for Life Cover]],0,
_xlfn.XLOOKUP($N147,Lookups!$D$13:$D$27,Lookups!$F$13:$F$27,0)))</f>
        <v>0</v>
      </c>
      <c r="P147" s="284">
        <f>IF(Table2[[#This Row],[Table Lookup for Funeral]]=0,0,IFERROR(INDEX('Quotation Tool'!$S$54:$V$60,MATCH($T147,'Quotation Tool'!$S$54:$S$60,0),3),0))</f>
        <v>0</v>
      </c>
      <c r="Q147" s="288">
        <f ca="1">IF(OR(Table2[[#This Row],[Benefit Name]]="My Value Plus Life - Main Member",Table2[[#This Row],[Benefit Name]]="My Value Plus Life - Spouse"),0,
IFERROR(VLOOKUP($G147,INDIRECT($O147),$P147,FALSE),0))</f>
        <v>0</v>
      </c>
      <c r="R147" s="288">
        <f ca="1">IF(OR(Table2[[#This Row],[Benefit Name]]="My Value Plus Life - Main Member",Table2[[#This Row],[Benefit Name]]="My Value Plus Life - Spouse"),0,
IFERROR(VLOOKUP($G147,INDIRECT($O147),$P147+1,FALSE),0))</f>
        <v>0</v>
      </c>
      <c r="S147" s="289">
        <f t="shared" ca="1" si="17"/>
        <v>0</v>
      </c>
      <c r="T147" s="284" t="str">
        <f>IF(Table13[[#This Row],[Premium Waiver]]="","None",Table13[[#This Row],[Premium Waiver]])</f>
        <v>None</v>
      </c>
      <c r="U147" s="284">
        <f>Table13[[#This Row],[VAPs Options]]</f>
        <v>0</v>
      </c>
      <c r="V147" s="284">
        <f>Table13[[#This Row],[Annual Increase Option]]</f>
        <v>0</v>
      </c>
      <c r="W147" s="290">
        <f>Table13[[#This Row],[Life Cover Amount]]</f>
        <v>0</v>
      </c>
      <c r="X147" s="290">
        <f>Table13[[#This Row],[Funeral Cover Amount]]</f>
        <v>0</v>
      </c>
      <c r="Y14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4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47" s="301">
        <f t="shared" ca="1" si="18"/>
        <v>0</v>
      </c>
      <c r="AB147" s="298"/>
      <c r="AC147" s="326" t="str">
        <f>IF(Table2[[#This Row],[Member Type]]="Main Member",Lookups!$C$13,
IF(Table2[[#This Row],[Member Type]]="Spouse",_xlfn.XLOOKUP(B147,Table2[Main Member Link ID],Table2[Product Option],0),
IF(AND(Table2[[#This Row],[Member Type]]="Child",_xlfn.XLOOKUP(B147,Table2[Main Member Link ID],Table2[Product Option],0)&lt;&gt;"My Value Plus Life"),Lookups!$C$24,
IF(AND(OR(Table2[[#This Row],[Member Type]]="Parent",Table2[[#This Row],[Member Type]]="Extended"),_xlfn.XLOOKUP(B147,Table2[Main Member Link ID],Table2[Product Option],0)&lt;&gt;"My Value Plus Life"),Lookups!$C$26,""))))</f>
        <v/>
      </c>
      <c r="AD147" s="326" t="str">
        <f>IF(Table2[[#This Row],[Member Type]]="Main Member",Lookups!$C$14,"")</f>
        <v/>
      </c>
      <c r="AE14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Funeral",_xlfn.XLOOKUP(B147,Table2[Main Member Link ID],Table2[Benefit Name],0)=Lookups!$D$14),"",
IF(AND(Table2[[#This Row],[Member Type]]="Spouse",Table2[[#This Row],[Product Option]]="My Value Plus Life &amp; Funeral",_xlfn.XLOOKUP(B146,Table2[Main Member Link ID],Table2[Benefit Name],0)=Lookups!$D$15),Lookups!$D$20,
IF(AND(Table2[[#This Row],[Member Type]]="Spouse",Table2[[#This Row],[Product Option]]="My Value Plus Life &amp; Funeral",_xlfn.XLOOKUP(B146,Table2[Main Member Link ID],Table2[Benefit Name],0)=Lookups!$D$16),"",
IF(AND(Table2[[#This Row],[Member Type]]="Spouse",Table2[[#This Row],[Product Option]]="My Value Plus Life &amp; Funeral",_xlfn.XLOOKUP(B146,Table2[Main Member Link ID],Table2[Benefit Name],0)=Lookups!$D$17),Lookups!$D$21,
IF(AND(Table2[[#This Row],[Member Type]]="Child",Table2[[#This Row],[Product Option]]="My Value Plus Life &amp; Funeral",_xlfn.XLOOKUP(B147,Table2[Main Member Link ID],Table2[Benefit Name],0)=Lookups!$D$14),"",
IF(AND(Table2[[#This Row],[Member Type]]="Child",Table2[[#This Row],[Product Option]]="My Value Plus Life &amp; Funeral",_xlfn.XLOOKUP(B147,Table2[Main Member Link ID],Table2[Benefit Name],0)=Lookups!$D$15),"",
IF(AND(Table2[[#This Row],[Member Type]]="Child",Table2[[#This Row],[Product Option]]="My Value Plus Life &amp; Funeral",_xlfn.XLOOKUP(B147,Table2[Main Member Link ID],Table2[Benefit Name],0)=Lookups!$D$16),Lookups!$D$24,
IF(AND(Table2[[#This Row],[Member Type]]="Child",Table2[[#This Row],[Product Option]]="My Value Plus Life &amp; Funeral",_xlfn.XLOOKUP(B147,Table2[Main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Funeral",_xlfn.XLOOKUP(B147,Table2[Main Member Link ID],Table2[Benefit Name],0)&lt;&gt;Lookups!$D$14),
IF(_xlfn.XLOOKUP(B147,Table2[Main Member Link ID],Table2[Benefit Name],0)=0,"",_xlfn.XLOOKUP(B147,Table2[Main Member Link ID],Table2[Benefit Name],0)),"")))))))))))))))</f>
        <v/>
      </c>
      <c r="AF147" s="327" t="str">
        <f>IF(AND(Table2[[#This Row],[Member Type]]="Main Member",Table2[[#This Row],[Product Option]]="My Value Plus Life &amp; Funeral"),Lookups!$D$15,
IF(AND(Table2[[#This Row],[Member Type]]="Spouse",Table2[[#This Row],[Product Option]]="My Value Plus Life &amp; Funeral",_xlfn.XLOOKUP(B147,Table2[Main Member Link ID],Table2[Benefit Name],0)=Lookups!$D$14),"",
IF(AND(Table2[[#This Row],[Member Type]]="Spouse",Table2[[#This Row],[Product Option]]="My Value Plus Life &amp; Funeral",_xlfn.XLOOKUP(B146,Table2[Main Member Link ID],Table2[Benefit Name],0)=Lookups!$D$16),"",
IF(AND(Table2[[#This Row],[Member Type]]="Spouse",Table2[[#This Row],[Product Option]]="My Value Plus Life &amp; Funeral",_xlfn.XLOOKUP(B146,Table2[Main Member Link ID],Table2[Benefit Name],0)=Lookups!$D$15),"",
IF(AND(Table2[[#This Row],[Member Type]]="Spouse",Table2[[#This Row],[Product Option]]="My Value Plus Life &amp; Funeral",_xlfn.XLOOKUP(B146,Table2[Main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Funeral",_xlfn.XLOOKUP(B147,Table2[Main Member Link ID],Table2[Benefit Name],0)&lt;&gt;Lookups!$D$15),
IF(_xlfn.XLOOKUP(B147,Table2[Main Member Link ID],Table2[Benefit Name],0)=0,"",_xlfn.XLOOKUP(B147,Table2[Main Member Link ID],Table2[Benefit Name],0)),"")
))))))</f>
        <v/>
      </c>
      <c r="AG147" s="327" t="str">
        <f>IF(AND(Table2[[#This Row],[Member Type]]="Main Member",Table2[[#This Row],[Product Option]]="My Value Plus Life &amp; Funeral"),Lookups!$D$16,
IF(AND(Table2[[#This Row],[Member Type]]="Spouse",Table2[[#This Row],[Product Option]]="My Value Plus Life &amp; Funeral",_xlfn.XLOOKUP(B147,Table2[Main Member Link ID],Table2[Benefit Name],0)=Lookups!$D$14),"",
IF(AND(Table2[[#This Row],[Member Type]]="Spouse",Table2[[#This Row],[Product Option]]="My Value Plus Life &amp; Funeral",_xlfn.XLOOKUP(B146,Table2[Main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Funeral",_xlfn.XLOOKUP(B147,Table2[Main Member Link ID],Table2[Benefit Name],0)&lt;&gt;Lookups!$D$16),
IF(_xlfn.XLOOKUP(B147,Table2[Main Member Link ID],Table2[Benefit Name],0)=0,"",_xlfn.XLOOKUP(B147,Table2[Main Member Link ID],Table2[Benefit Name],0)),"")
))))</f>
        <v/>
      </c>
      <c r="AH147" s="327" t="str">
        <f>IF(AND(Table2[[#This Row],[Member Type]]="Main Member",Table2[[#This Row],[Product Option]]="My Value Plus Life &amp; Funeral"),Lookups!$D$17,
IF(AND(Table2[[#This Row],[Member Type]]="Spouse",Table2[[#This Row],[Product Option]]="My Value Plus Life &amp; Funeral",_xlfn.XLOOKUP(B147,Table2[Main Member Link ID],Table2[Benefit Name],0)=Lookups!$D$14),"",
IF(AND(Table2[[#This Row],[Member Type]]="Spouse",Table2[[#This Row],[Product Option]]="My Value Plus Life &amp; Funeral",_xlfn.XLOOKUP(B146,Table2[Main Member Link ID],Table2[Benefit Name],0)=Lookups!$D$16),"",
IF(AND(Table2[[#This Row],[Member Type]]="Child",Table2[[#This Row],[Product Option]]="My Value Plus Life &amp; Funeral"),"",
IF(AND(Table2[[#This Row],[Member Type]]="Child",Table2[[#This Row],[Product Option]]="My Value Plus Life &amp; Funeral",_xlfn.XLOOKUP(B147,Table2[Main Member Link ID],Table2[Benefit Name],0)=Lookups!$D$15),"",
IF(AND(OR(Table2[[#This Row],[Member Type]]="Spouse",Table2[[#This Row],[Member Type]]="Child"),Table2[[#This Row],[Product Option]]="My Value Plus Life &amp; Funeral",_xlfn.XLOOKUP(B147,Table2[Main Member Link ID],Table2[Benefit Name],0)&lt;&gt;Lookups!$D$17),
IF(_xlfn.XLOOKUP(B147,Table2[Main Member Link ID],Table2[Benefit Name],0)=0,"",_xlfn.XLOOKUP(B147,Table2[Main Member Link ID],Table2[Benefit Name],0)),""))))))</f>
        <v/>
      </c>
      <c r="AI147" s="328" t="str">
        <f>IF(AND(Table2[[#This Row],[Member Type]]="Main Member",Table2[[#This Row],[Table Lookup for Life Cover]]="MM_LIFE",Table2[[#This Row],[Age Next Birthday]]&lt;56),1,
IF(AND(Table2[[#This Row],[Member Type]]="Main Member",Table2[[#This Row],[Table Lookup for Life Cover]]="MM_LIFE",Table2[[#This Row],[Age Next Birthday]]&gt;=56),2,
""))</f>
        <v/>
      </c>
      <c r="AJ147" s="328">
        <f>IF(OR(Table2[[#This Row],[Member Type]]="Main Member",Table2[[#This Row],[Main Member Link ID]]=B146),1,0)</f>
        <v>1</v>
      </c>
      <c r="AK147" s="328">
        <f>IF(Table2[[#This Row],[Member Type]]=0,0,
IF(OR(Table2[[#This Row],[Member Type]]="Main Member",Table2[[#This Row],[Main Member Link ID]]&lt;&gt;B147),COUNTIFS(B:B,Table2[[#This Row],[Main Member Link ID]]),
COUNTIFS(B:B,Table2[[#This Row],[Main Member Link ID]],A:A,Table2[[#This Row],[Member Type]])))</f>
        <v>0</v>
      </c>
    </row>
    <row r="148" spans="1:37" x14ac:dyDescent="0.3">
      <c r="A148" s="284">
        <f>Table13[[#This Row],[Member Type]]</f>
        <v>0</v>
      </c>
      <c r="B148" s="284">
        <f>Table13[[#This Row],[Main Member Link ID]]</f>
        <v>0</v>
      </c>
      <c r="C148" s="284">
        <f>Table13[[#This Row],[ID Number]]</f>
        <v>0</v>
      </c>
      <c r="D148" s="285">
        <f>Table13[[#This Row],[Date Of Birth]]</f>
        <v>0</v>
      </c>
      <c r="E148" s="285">
        <f>Table13[[#This Row],[Commencement Date]]</f>
        <v>0</v>
      </c>
      <c r="F148" s="284">
        <f t="shared" si="14"/>
        <v>1</v>
      </c>
      <c r="G148" s="284">
        <f t="shared" si="15"/>
        <v>25</v>
      </c>
      <c r="H148" s="286">
        <f>Table13[[#This Row],[Product Option]]</f>
        <v>0</v>
      </c>
      <c r="I148" s="284">
        <f>IF(AND($A148="Main Member",Table2[[#This Row],[Product Option]]="My Value Plus Life"),"MM_LIFE",
IF(AND($A148="Spouse",Table2[[#This Row],[Product Option]]="My Value Plus Life"),"SP_LIFE",
IF(AND($A148="Main Member",Table2[[#This Row],[Product Option]]="My Value Plus Life &amp; Funeral"),"MM_LIFE",
IF(AND($A148="Spouse",Table2[[#This Row],[Product Option]]="My Value Plus Life &amp; Funeral"),_xlfn.XLOOKUP(Table2[[#This Row],[Benefit Name]],Lookups!$D$18:$D$23,Lookups!$E$18:$E$23,0),
0))))</f>
        <v>0</v>
      </c>
      <c r="J148" s="284">
        <f>IF($I148="","",
IF($I148="MM_LIFE",INDEX('Quotation Tool'!$S$54:$V$60,MATCH($T148,'Quotation Tool'!$S$54:$S$60,0),4),
IF($I148="SP_LIFE",_xlfn.XLOOKUP(B147,$B:$B,$J:$J,0),0)))</f>
        <v>0</v>
      </c>
      <c r="K148" s="287">
        <f t="shared" ca="1" si="19"/>
        <v>0</v>
      </c>
      <c r="L148" s="288">
        <f t="shared" ca="1" si="20"/>
        <v>0</v>
      </c>
      <c r="M148" s="289">
        <f t="shared" ca="1" si="16"/>
        <v>0</v>
      </c>
      <c r="N148" s="286">
        <f>Table13[[#This Row],[Benefit Option]]</f>
        <v>0</v>
      </c>
      <c r="O148" s="284">
        <f>IF(OR(Table2[[#This Row],[Member Type]]="Spouse",Table2[[#This Row],[Member Type]]="Child"),0,
IF(_xlfn.XLOOKUP($N148,Lookups!$D$13:$D$27,Lookups!$F$13:$F$27,0)=Table2[[#This Row],[Table Lookup for Life Cover]],0,
_xlfn.XLOOKUP($N148,Lookups!$D$13:$D$27,Lookups!$F$13:$F$27,0)))</f>
        <v>0</v>
      </c>
      <c r="P148" s="284">
        <f>IF(Table2[[#This Row],[Table Lookup for Funeral]]=0,0,IFERROR(INDEX('Quotation Tool'!$S$54:$V$60,MATCH($T148,'Quotation Tool'!$S$54:$S$60,0),3),0))</f>
        <v>0</v>
      </c>
      <c r="Q148" s="288">
        <f ca="1">IF(OR(Table2[[#This Row],[Benefit Name]]="My Value Plus Life - Main Member",Table2[[#This Row],[Benefit Name]]="My Value Plus Life - Spouse"),0,
IFERROR(VLOOKUP($G148,INDIRECT($O148),$P148,FALSE),0))</f>
        <v>0</v>
      </c>
      <c r="R148" s="288">
        <f ca="1">IF(OR(Table2[[#This Row],[Benefit Name]]="My Value Plus Life - Main Member",Table2[[#This Row],[Benefit Name]]="My Value Plus Life - Spouse"),0,
IFERROR(VLOOKUP($G148,INDIRECT($O148),$P148+1,FALSE),0))</f>
        <v>0</v>
      </c>
      <c r="S148" s="289">
        <f t="shared" ca="1" si="17"/>
        <v>0</v>
      </c>
      <c r="T148" s="284" t="str">
        <f>IF(Table13[[#This Row],[Premium Waiver]]="","None",Table13[[#This Row],[Premium Waiver]])</f>
        <v>None</v>
      </c>
      <c r="U148" s="284">
        <f>Table13[[#This Row],[VAPs Options]]</f>
        <v>0</v>
      </c>
      <c r="V148" s="284">
        <f>Table13[[#This Row],[Annual Increase Option]]</f>
        <v>0</v>
      </c>
      <c r="W148" s="290">
        <f>Table13[[#This Row],[Life Cover Amount]]</f>
        <v>0</v>
      </c>
      <c r="X148" s="290">
        <f>Table13[[#This Row],[Funeral Cover Amount]]</f>
        <v>0</v>
      </c>
      <c r="Y14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4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48" s="301">
        <f t="shared" ca="1" si="18"/>
        <v>0</v>
      </c>
      <c r="AB148" s="298"/>
      <c r="AC148" s="326" t="str">
        <f>IF(Table2[[#This Row],[Member Type]]="Main Member",Lookups!$C$13,
IF(Table2[[#This Row],[Member Type]]="Spouse",_xlfn.XLOOKUP(B148,Table2[Main Member Link ID],Table2[Product Option],0),
IF(AND(Table2[[#This Row],[Member Type]]="Child",_xlfn.XLOOKUP(B148,Table2[Main Member Link ID],Table2[Product Option],0)&lt;&gt;"My Value Plus Life"),Lookups!$C$24,
IF(AND(OR(Table2[[#This Row],[Member Type]]="Parent",Table2[[#This Row],[Member Type]]="Extended"),_xlfn.XLOOKUP(B148,Table2[Main Member Link ID],Table2[Product Option],0)&lt;&gt;"My Value Plus Life"),Lookups!$C$26,""))))</f>
        <v/>
      </c>
      <c r="AD148" s="326" t="str">
        <f>IF(Table2[[#This Row],[Member Type]]="Main Member",Lookups!$C$14,"")</f>
        <v/>
      </c>
      <c r="AE14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Funeral",_xlfn.XLOOKUP(B148,Table2[Main Member Link ID],Table2[Benefit Name],0)=Lookups!$D$14),"",
IF(AND(Table2[[#This Row],[Member Type]]="Spouse",Table2[[#This Row],[Product Option]]="My Value Plus Life &amp; Funeral",_xlfn.XLOOKUP(B147,Table2[Main Member Link ID],Table2[Benefit Name],0)=Lookups!$D$15),Lookups!$D$20,
IF(AND(Table2[[#This Row],[Member Type]]="Spouse",Table2[[#This Row],[Product Option]]="My Value Plus Life &amp; Funeral",_xlfn.XLOOKUP(B147,Table2[Main Member Link ID],Table2[Benefit Name],0)=Lookups!$D$16),"",
IF(AND(Table2[[#This Row],[Member Type]]="Spouse",Table2[[#This Row],[Product Option]]="My Value Plus Life &amp; Funeral",_xlfn.XLOOKUP(B147,Table2[Main Member Link ID],Table2[Benefit Name],0)=Lookups!$D$17),Lookups!$D$21,
IF(AND(Table2[[#This Row],[Member Type]]="Child",Table2[[#This Row],[Product Option]]="My Value Plus Life &amp; Funeral",_xlfn.XLOOKUP(B148,Table2[Main Member Link ID],Table2[Benefit Name],0)=Lookups!$D$14),"",
IF(AND(Table2[[#This Row],[Member Type]]="Child",Table2[[#This Row],[Product Option]]="My Value Plus Life &amp; Funeral",_xlfn.XLOOKUP(B148,Table2[Main Member Link ID],Table2[Benefit Name],0)=Lookups!$D$15),"",
IF(AND(Table2[[#This Row],[Member Type]]="Child",Table2[[#This Row],[Product Option]]="My Value Plus Life &amp; Funeral",_xlfn.XLOOKUP(B148,Table2[Main Member Link ID],Table2[Benefit Name],0)=Lookups!$D$16),Lookups!$D$24,
IF(AND(Table2[[#This Row],[Member Type]]="Child",Table2[[#This Row],[Product Option]]="My Value Plus Life &amp; Funeral",_xlfn.XLOOKUP(B148,Table2[Main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Funeral",_xlfn.XLOOKUP(B148,Table2[Main Member Link ID],Table2[Benefit Name],0)&lt;&gt;Lookups!$D$14),
IF(_xlfn.XLOOKUP(B148,Table2[Main Member Link ID],Table2[Benefit Name],0)=0,"",_xlfn.XLOOKUP(B148,Table2[Main Member Link ID],Table2[Benefit Name],0)),"")))))))))))))))</f>
        <v/>
      </c>
      <c r="AF148" s="327" t="str">
        <f>IF(AND(Table2[[#This Row],[Member Type]]="Main Member",Table2[[#This Row],[Product Option]]="My Value Plus Life &amp; Funeral"),Lookups!$D$15,
IF(AND(Table2[[#This Row],[Member Type]]="Spouse",Table2[[#This Row],[Product Option]]="My Value Plus Life &amp; Funeral",_xlfn.XLOOKUP(B148,Table2[Main Member Link ID],Table2[Benefit Name],0)=Lookups!$D$14),"",
IF(AND(Table2[[#This Row],[Member Type]]="Spouse",Table2[[#This Row],[Product Option]]="My Value Plus Life &amp; Funeral",_xlfn.XLOOKUP(B147,Table2[Main Member Link ID],Table2[Benefit Name],0)=Lookups!$D$16),"",
IF(AND(Table2[[#This Row],[Member Type]]="Spouse",Table2[[#This Row],[Product Option]]="My Value Plus Life &amp; Funeral",_xlfn.XLOOKUP(B147,Table2[Main Member Link ID],Table2[Benefit Name],0)=Lookups!$D$15),"",
IF(AND(Table2[[#This Row],[Member Type]]="Spouse",Table2[[#This Row],[Product Option]]="My Value Plus Life &amp; Funeral",_xlfn.XLOOKUP(B147,Table2[Main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Funeral",_xlfn.XLOOKUP(B148,Table2[Main Member Link ID],Table2[Benefit Name],0)&lt;&gt;Lookups!$D$15),
IF(_xlfn.XLOOKUP(B148,Table2[Main Member Link ID],Table2[Benefit Name],0)=0,"",_xlfn.XLOOKUP(B148,Table2[Main Member Link ID],Table2[Benefit Name],0)),"")
))))))</f>
        <v/>
      </c>
      <c r="AG148" s="327" t="str">
        <f>IF(AND(Table2[[#This Row],[Member Type]]="Main Member",Table2[[#This Row],[Product Option]]="My Value Plus Life &amp; Funeral"),Lookups!$D$16,
IF(AND(Table2[[#This Row],[Member Type]]="Spouse",Table2[[#This Row],[Product Option]]="My Value Plus Life &amp; Funeral",_xlfn.XLOOKUP(B148,Table2[Main Member Link ID],Table2[Benefit Name],0)=Lookups!$D$14),"",
IF(AND(Table2[[#This Row],[Member Type]]="Spouse",Table2[[#This Row],[Product Option]]="My Value Plus Life &amp; Funeral",_xlfn.XLOOKUP(B147,Table2[Main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Funeral",_xlfn.XLOOKUP(B148,Table2[Main Member Link ID],Table2[Benefit Name],0)&lt;&gt;Lookups!$D$16),
IF(_xlfn.XLOOKUP(B148,Table2[Main Member Link ID],Table2[Benefit Name],0)=0,"",_xlfn.XLOOKUP(B148,Table2[Main Member Link ID],Table2[Benefit Name],0)),"")
))))</f>
        <v/>
      </c>
      <c r="AH148" s="327" t="str">
        <f>IF(AND(Table2[[#This Row],[Member Type]]="Main Member",Table2[[#This Row],[Product Option]]="My Value Plus Life &amp; Funeral"),Lookups!$D$17,
IF(AND(Table2[[#This Row],[Member Type]]="Spouse",Table2[[#This Row],[Product Option]]="My Value Plus Life &amp; Funeral",_xlfn.XLOOKUP(B148,Table2[Main Member Link ID],Table2[Benefit Name],0)=Lookups!$D$14),"",
IF(AND(Table2[[#This Row],[Member Type]]="Spouse",Table2[[#This Row],[Product Option]]="My Value Plus Life &amp; Funeral",_xlfn.XLOOKUP(B147,Table2[Main Member Link ID],Table2[Benefit Name],0)=Lookups!$D$16),"",
IF(AND(Table2[[#This Row],[Member Type]]="Child",Table2[[#This Row],[Product Option]]="My Value Plus Life &amp; Funeral"),"",
IF(AND(Table2[[#This Row],[Member Type]]="Child",Table2[[#This Row],[Product Option]]="My Value Plus Life &amp; Funeral",_xlfn.XLOOKUP(B148,Table2[Main Member Link ID],Table2[Benefit Name],0)=Lookups!$D$15),"",
IF(AND(OR(Table2[[#This Row],[Member Type]]="Spouse",Table2[[#This Row],[Member Type]]="Child"),Table2[[#This Row],[Product Option]]="My Value Plus Life &amp; Funeral",_xlfn.XLOOKUP(B148,Table2[Main Member Link ID],Table2[Benefit Name],0)&lt;&gt;Lookups!$D$17),
IF(_xlfn.XLOOKUP(B148,Table2[Main Member Link ID],Table2[Benefit Name],0)=0,"",_xlfn.XLOOKUP(B148,Table2[Main Member Link ID],Table2[Benefit Name],0)),""))))))</f>
        <v/>
      </c>
      <c r="AI148" s="328" t="str">
        <f>IF(AND(Table2[[#This Row],[Member Type]]="Main Member",Table2[[#This Row],[Table Lookup for Life Cover]]="MM_LIFE",Table2[[#This Row],[Age Next Birthday]]&lt;56),1,
IF(AND(Table2[[#This Row],[Member Type]]="Main Member",Table2[[#This Row],[Table Lookup for Life Cover]]="MM_LIFE",Table2[[#This Row],[Age Next Birthday]]&gt;=56),2,
""))</f>
        <v/>
      </c>
      <c r="AJ148" s="328">
        <f>IF(OR(Table2[[#This Row],[Member Type]]="Main Member",Table2[[#This Row],[Main Member Link ID]]=B147),1,0)</f>
        <v>1</v>
      </c>
      <c r="AK148" s="328">
        <f>IF(Table2[[#This Row],[Member Type]]=0,0,
IF(OR(Table2[[#This Row],[Member Type]]="Main Member",Table2[[#This Row],[Main Member Link ID]]&lt;&gt;B148),COUNTIFS(B:B,Table2[[#This Row],[Main Member Link ID]]),
COUNTIFS(B:B,Table2[[#This Row],[Main Member Link ID]],A:A,Table2[[#This Row],[Member Type]])))</f>
        <v>0</v>
      </c>
    </row>
    <row r="149" spans="1:37" x14ac:dyDescent="0.3">
      <c r="A149" s="284">
        <f>Table13[[#This Row],[Member Type]]</f>
        <v>0</v>
      </c>
      <c r="B149" s="284">
        <f>Table13[[#This Row],[Main Member Link ID]]</f>
        <v>0</v>
      </c>
      <c r="C149" s="284">
        <f>Table13[[#This Row],[ID Number]]</f>
        <v>0</v>
      </c>
      <c r="D149" s="285">
        <f>Table13[[#This Row],[Date Of Birth]]</f>
        <v>0</v>
      </c>
      <c r="E149" s="285">
        <f>Table13[[#This Row],[Commencement Date]]</f>
        <v>0</v>
      </c>
      <c r="F149" s="284">
        <f t="shared" si="14"/>
        <v>1</v>
      </c>
      <c r="G149" s="284">
        <f t="shared" si="15"/>
        <v>25</v>
      </c>
      <c r="H149" s="286">
        <f>Table13[[#This Row],[Product Option]]</f>
        <v>0</v>
      </c>
      <c r="I149" s="284">
        <f>IF(AND($A149="Main Member",Table2[[#This Row],[Product Option]]="My Value Plus Life"),"MM_LIFE",
IF(AND($A149="Spouse",Table2[[#This Row],[Product Option]]="My Value Plus Life"),"SP_LIFE",
IF(AND($A149="Main Member",Table2[[#This Row],[Product Option]]="My Value Plus Life &amp; Funeral"),"MM_LIFE",
IF(AND($A149="Spouse",Table2[[#This Row],[Product Option]]="My Value Plus Life &amp; Funeral"),_xlfn.XLOOKUP(Table2[[#This Row],[Benefit Name]],Lookups!$D$18:$D$23,Lookups!$E$18:$E$23,0),
0))))</f>
        <v>0</v>
      </c>
      <c r="J149" s="284">
        <f>IF($I149="","",
IF($I149="MM_LIFE",INDEX('Quotation Tool'!$S$54:$V$60,MATCH($T149,'Quotation Tool'!$S$54:$S$60,0),4),
IF($I149="SP_LIFE",_xlfn.XLOOKUP(B148,$B:$B,$J:$J,0),0)))</f>
        <v>0</v>
      </c>
      <c r="K149" s="287">
        <f t="shared" ca="1" si="19"/>
        <v>0</v>
      </c>
      <c r="L149" s="288">
        <f t="shared" ca="1" si="20"/>
        <v>0</v>
      </c>
      <c r="M149" s="289">
        <f t="shared" ca="1" si="16"/>
        <v>0</v>
      </c>
      <c r="N149" s="286">
        <f>Table13[[#This Row],[Benefit Option]]</f>
        <v>0</v>
      </c>
      <c r="O149" s="284">
        <f>IF(OR(Table2[[#This Row],[Member Type]]="Spouse",Table2[[#This Row],[Member Type]]="Child"),0,
IF(_xlfn.XLOOKUP($N149,Lookups!$D$13:$D$27,Lookups!$F$13:$F$27,0)=Table2[[#This Row],[Table Lookup for Life Cover]],0,
_xlfn.XLOOKUP($N149,Lookups!$D$13:$D$27,Lookups!$F$13:$F$27,0)))</f>
        <v>0</v>
      </c>
      <c r="P149" s="284">
        <f>IF(Table2[[#This Row],[Table Lookup for Funeral]]=0,0,IFERROR(INDEX('Quotation Tool'!$S$54:$V$60,MATCH($T149,'Quotation Tool'!$S$54:$S$60,0),3),0))</f>
        <v>0</v>
      </c>
      <c r="Q149" s="288">
        <f ca="1">IF(OR(Table2[[#This Row],[Benefit Name]]="My Value Plus Life - Main Member",Table2[[#This Row],[Benefit Name]]="My Value Plus Life - Spouse"),0,
IFERROR(VLOOKUP($G149,INDIRECT($O149),$P149,FALSE),0))</f>
        <v>0</v>
      </c>
      <c r="R149" s="288">
        <f ca="1">IF(OR(Table2[[#This Row],[Benefit Name]]="My Value Plus Life - Main Member",Table2[[#This Row],[Benefit Name]]="My Value Plus Life - Spouse"),0,
IFERROR(VLOOKUP($G149,INDIRECT($O149),$P149+1,FALSE),0))</f>
        <v>0</v>
      </c>
      <c r="S149" s="289">
        <f t="shared" ca="1" si="17"/>
        <v>0</v>
      </c>
      <c r="T149" s="284" t="str">
        <f>IF(Table13[[#This Row],[Premium Waiver]]="","None",Table13[[#This Row],[Premium Waiver]])</f>
        <v>None</v>
      </c>
      <c r="U149" s="284">
        <f>Table13[[#This Row],[VAPs Options]]</f>
        <v>0</v>
      </c>
      <c r="V149" s="284">
        <f>Table13[[#This Row],[Annual Increase Option]]</f>
        <v>0</v>
      </c>
      <c r="W149" s="290">
        <f>Table13[[#This Row],[Life Cover Amount]]</f>
        <v>0</v>
      </c>
      <c r="X149" s="290">
        <f>Table13[[#This Row],[Funeral Cover Amount]]</f>
        <v>0</v>
      </c>
      <c r="Y14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4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49" s="301">
        <f t="shared" ca="1" si="18"/>
        <v>0</v>
      </c>
      <c r="AB149" s="298"/>
      <c r="AC149" s="326" t="str">
        <f>IF(Table2[[#This Row],[Member Type]]="Main Member",Lookups!$C$13,
IF(Table2[[#This Row],[Member Type]]="Spouse",_xlfn.XLOOKUP(B149,Table2[Main Member Link ID],Table2[Product Option],0),
IF(AND(Table2[[#This Row],[Member Type]]="Child",_xlfn.XLOOKUP(B149,Table2[Main Member Link ID],Table2[Product Option],0)&lt;&gt;"My Value Plus Life"),Lookups!$C$24,
IF(AND(OR(Table2[[#This Row],[Member Type]]="Parent",Table2[[#This Row],[Member Type]]="Extended"),_xlfn.XLOOKUP(B149,Table2[Main Member Link ID],Table2[Product Option],0)&lt;&gt;"My Value Plus Life"),Lookups!$C$26,""))))</f>
        <v/>
      </c>
      <c r="AD149" s="326" t="str">
        <f>IF(Table2[[#This Row],[Member Type]]="Main Member",Lookups!$C$14,"")</f>
        <v/>
      </c>
      <c r="AE14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Funeral",_xlfn.XLOOKUP(B149,Table2[Main Member Link ID],Table2[Benefit Name],0)=Lookups!$D$14),"",
IF(AND(Table2[[#This Row],[Member Type]]="Spouse",Table2[[#This Row],[Product Option]]="My Value Plus Life &amp; Funeral",_xlfn.XLOOKUP(B148,Table2[Main Member Link ID],Table2[Benefit Name],0)=Lookups!$D$15),Lookups!$D$20,
IF(AND(Table2[[#This Row],[Member Type]]="Spouse",Table2[[#This Row],[Product Option]]="My Value Plus Life &amp; Funeral",_xlfn.XLOOKUP(B148,Table2[Main Member Link ID],Table2[Benefit Name],0)=Lookups!$D$16),"",
IF(AND(Table2[[#This Row],[Member Type]]="Spouse",Table2[[#This Row],[Product Option]]="My Value Plus Life &amp; Funeral",_xlfn.XLOOKUP(B148,Table2[Main Member Link ID],Table2[Benefit Name],0)=Lookups!$D$17),Lookups!$D$21,
IF(AND(Table2[[#This Row],[Member Type]]="Child",Table2[[#This Row],[Product Option]]="My Value Plus Life &amp; Funeral",_xlfn.XLOOKUP(B149,Table2[Main Member Link ID],Table2[Benefit Name],0)=Lookups!$D$14),"",
IF(AND(Table2[[#This Row],[Member Type]]="Child",Table2[[#This Row],[Product Option]]="My Value Plus Life &amp; Funeral",_xlfn.XLOOKUP(B149,Table2[Main Member Link ID],Table2[Benefit Name],0)=Lookups!$D$15),"",
IF(AND(Table2[[#This Row],[Member Type]]="Child",Table2[[#This Row],[Product Option]]="My Value Plus Life &amp; Funeral",_xlfn.XLOOKUP(B149,Table2[Main Member Link ID],Table2[Benefit Name],0)=Lookups!$D$16),Lookups!$D$24,
IF(AND(Table2[[#This Row],[Member Type]]="Child",Table2[[#This Row],[Product Option]]="My Value Plus Life &amp; Funeral",_xlfn.XLOOKUP(B149,Table2[Main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Funeral",_xlfn.XLOOKUP(B149,Table2[Main Member Link ID],Table2[Benefit Name],0)&lt;&gt;Lookups!$D$14),
IF(_xlfn.XLOOKUP(B149,Table2[Main Member Link ID],Table2[Benefit Name],0)=0,"",_xlfn.XLOOKUP(B149,Table2[Main Member Link ID],Table2[Benefit Name],0)),"")))))))))))))))</f>
        <v/>
      </c>
      <c r="AF149" s="327" t="str">
        <f>IF(AND(Table2[[#This Row],[Member Type]]="Main Member",Table2[[#This Row],[Product Option]]="My Value Plus Life &amp; Funeral"),Lookups!$D$15,
IF(AND(Table2[[#This Row],[Member Type]]="Spouse",Table2[[#This Row],[Product Option]]="My Value Plus Life &amp; Funeral",_xlfn.XLOOKUP(B149,Table2[Main Member Link ID],Table2[Benefit Name],0)=Lookups!$D$14),"",
IF(AND(Table2[[#This Row],[Member Type]]="Spouse",Table2[[#This Row],[Product Option]]="My Value Plus Life &amp; Funeral",_xlfn.XLOOKUP(B148,Table2[Main Member Link ID],Table2[Benefit Name],0)=Lookups!$D$16),"",
IF(AND(Table2[[#This Row],[Member Type]]="Spouse",Table2[[#This Row],[Product Option]]="My Value Plus Life &amp; Funeral",_xlfn.XLOOKUP(B148,Table2[Main Member Link ID],Table2[Benefit Name],0)=Lookups!$D$15),"",
IF(AND(Table2[[#This Row],[Member Type]]="Spouse",Table2[[#This Row],[Product Option]]="My Value Plus Life &amp; Funeral",_xlfn.XLOOKUP(B148,Table2[Main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Funeral",_xlfn.XLOOKUP(B149,Table2[Main Member Link ID],Table2[Benefit Name],0)&lt;&gt;Lookups!$D$15),
IF(_xlfn.XLOOKUP(B149,Table2[Main Member Link ID],Table2[Benefit Name],0)=0,"",_xlfn.XLOOKUP(B149,Table2[Main Member Link ID],Table2[Benefit Name],0)),"")
))))))</f>
        <v/>
      </c>
      <c r="AG149" s="327" t="str">
        <f>IF(AND(Table2[[#This Row],[Member Type]]="Main Member",Table2[[#This Row],[Product Option]]="My Value Plus Life &amp; Funeral"),Lookups!$D$16,
IF(AND(Table2[[#This Row],[Member Type]]="Spouse",Table2[[#This Row],[Product Option]]="My Value Plus Life &amp; Funeral",_xlfn.XLOOKUP(B149,Table2[Main Member Link ID],Table2[Benefit Name],0)=Lookups!$D$14),"",
IF(AND(Table2[[#This Row],[Member Type]]="Spouse",Table2[[#This Row],[Product Option]]="My Value Plus Life &amp; Funeral",_xlfn.XLOOKUP(B148,Table2[Main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Funeral",_xlfn.XLOOKUP(B149,Table2[Main Member Link ID],Table2[Benefit Name],0)&lt;&gt;Lookups!$D$16),
IF(_xlfn.XLOOKUP(B149,Table2[Main Member Link ID],Table2[Benefit Name],0)=0,"",_xlfn.XLOOKUP(B149,Table2[Main Member Link ID],Table2[Benefit Name],0)),"")
))))</f>
        <v/>
      </c>
      <c r="AH149" s="327" t="str">
        <f>IF(AND(Table2[[#This Row],[Member Type]]="Main Member",Table2[[#This Row],[Product Option]]="My Value Plus Life &amp; Funeral"),Lookups!$D$17,
IF(AND(Table2[[#This Row],[Member Type]]="Spouse",Table2[[#This Row],[Product Option]]="My Value Plus Life &amp; Funeral",_xlfn.XLOOKUP(B149,Table2[Main Member Link ID],Table2[Benefit Name],0)=Lookups!$D$14),"",
IF(AND(Table2[[#This Row],[Member Type]]="Spouse",Table2[[#This Row],[Product Option]]="My Value Plus Life &amp; Funeral",_xlfn.XLOOKUP(B148,Table2[Main Member Link ID],Table2[Benefit Name],0)=Lookups!$D$16),"",
IF(AND(Table2[[#This Row],[Member Type]]="Child",Table2[[#This Row],[Product Option]]="My Value Plus Life &amp; Funeral"),"",
IF(AND(Table2[[#This Row],[Member Type]]="Child",Table2[[#This Row],[Product Option]]="My Value Plus Life &amp; Funeral",_xlfn.XLOOKUP(B149,Table2[Main Member Link ID],Table2[Benefit Name],0)=Lookups!$D$15),"",
IF(AND(OR(Table2[[#This Row],[Member Type]]="Spouse",Table2[[#This Row],[Member Type]]="Child"),Table2[[#This Row],[Product Option]]="My Value Plus Life &amp; Funeral",_xlfn.XLOOKUP(B149,Table2[Main Member Link ID],Table2[Benefit Name],0)&lt;&gt;Lookups!$D$17),
IF(_xlfn.XLOOKUP(B149,Table2[Main Member Link ID],Table2[Benefit Name],0)=0,"",_xlfn.XLOOKUP(B149,Table2[Main Member Link ID],Table2[Benefit Name],0)),""))))))</f>
        <v/>
      </c>
      <c r="AI149" s="328" t="str">
        <f>IF(AND(Table2[[#This Row],[Member Type]]="Main Member",Table2[[#This Row],[Table Lookup for Life Cover]]="MM_LIFE",Table2[[#This Row],[Age Next Birthday]]&lt;56),1,
IF(AND(Table2[[#This Row],[Member Type]]="Main Member",Table2[[#This Row],[Table Lookup for Life Cover]]="MM_LIFE",Table2[[#This Row],[Age Next Birthday]]&gt;=56),2,
""))</f>
        <v/>
      </c>
      <c r="AJ149" s="328">
        <f>IF(OR(Table2[[#This Row],[Member Type]]="Main Member",Table2[[#This Row],[Main Member Link ID]]=B148),1,0)</f>
        <v>1</v>
      </c>
      <c r="AK149" s="328">
        <f>IF(Table2[[#This Row],[Member Type]]=0,0,
IF(OR(Table2[[#This Row],[Member Type]]="Main Member",Table2[[#This Row],[Main Member Link ID]]&lt;&gt;B149),COUNTIFS(B:B,Table2[[#This Row],[Main Member Link ID]]),
COUNTIFS(B:B,Table2[[#This Row],[Main Member Link ID]],A:A,Table2[[#This Row],[Member Type]])))</f>
        <v>0</v>
      </c>
    </row>
    <row r="150" spans="1:37" x14ac:dyDescent="0.3">
      <c r="A150" s="284">
        <f>Table13[[#This Row],[Member Type]]</f>
        <v>0</v>
      </c>
      <c r="B150" s="284">
        <f>Table13[[#This Row],[Main Member Link ID]]</f>
        <v>0</v>
      </c>
      <c r="C150" s="284">
        <f>Table13[[#This Row],[ID Number]]</f>
        <v>0</v>
      </c>
      <c r="D150" s="285">
        <f>Table13[[#This Row],[Date Of Birth]]</f>
        <v>0</v>
      </c>
      <c r="E150" s="285">
        <f>Table13[[#This Row],[Commencement Date]]</f>
        <v>0</v>
      </c>
      <c r="F150" s="284">
        <f t="shared" si="14"/>
        <v>1</v>
      </c>
      <c r="G150" s="284">
        <f t="shared" si="15"/>
        <v>25</v>
      </c>
      <c r="H150" s="286">
        <f>Table13[[#This Row],[Product Option]]</f>
        <v>0</v>
      </c>
      <c r="I150" s="284">
        <f>IF(AND($A150="Main Member",Table2[[#This Row],[Product Option]]="My Value Plus Life"),"MM_LIFE",
IF(AND($A150="Spouse",Table2[[#This Row],[Product Option]]="My Value Plus Life"),"SP_LIFE",
IF(AND($A150="Main Member",Table2[[#This Row],[Product Option]]="My Value Plus Life &amp; Funeral"),"MM_LIFE",
IF(AND($A150="Spouse",Table2[[#This Row],[Product Option]]="My Value Plus Life &amp; Funeral"),_xlfn.XLOOKUP(Table2[[#This Row],[Benefit Name]],Lookups!$D$18:$D$23,Lookups!$E$18:$E$23,0),
0))))</f>
        <v>0</v>
      </c>
      <c r="J150" s="284">
        <f>IF($I150="","",
IF($I150="MM_LIFE",INDEX('Quotation Tool'!$S$54:$V$60,MATCH($T150,'Quotation Tool'!$S$54:$S$60,0),4),
IF($I150="SP_LIFE",_xlfn.XLOOKUP(B149,$B:$B,$J:$J,0),0)))</f>
        <v>0</v>
      </c>
      <c r="K150" s="287">
        <f t="shared" ca="1" si="19"/>
        <v>0</v>
      </c>
      <c r="L150" s="288">
        <f t="shared" ca="1" si="20"/>
        <v>0</v>
      </c>
      <c r="M150" s="289">
        <f t="shared" ca="1" si="16"/>
        <v>0</v>
      </c>
      <c r="N150" s="286">
        <f>Table13[[#This Row],[Benefit Option]]</f>
        <v>0</v>
      </c>
      <c r="O150" s="284">
        <f>IF(OR(Table2[[#This Row],[Member Type]]="Spouse",Table2[[#This Row],[Member Type]]="Child"),0,
IF(_xlfn.XLOOKUP($N150,Lookups!$D$13:$D$27,Lookups!$F$13:$F$27,0)=Table2[[#This Row],[Table Lookup for Life Cover]],0,
_xlfn.XLOOKUP($N150,Lookups!$D$13:$D$27,Lookups!$F$13:$F$27,0)))</f>
        <v>0</v>
      </c>
      <c r="P150" s="284">
        <f>IF(Table2[[#This Row],[Table Lookup for Funeral]]=0,0,IFERROR(INDEX('Quotation Tool'!$S$54:$V$60,MATCH($T150,'Quotation Tool'!$S$54:$S$60,0),3),0))</f>
        <v>0</v>
      </c>
      <c r="Q150" s="288">
        <f ca="1">IF(OR(Table2[[#This Row],[Benefit Name]]="My Value Plus Life - Main Member",Table2[[#This Row],[Benefit Name]]="My Value Plus Life - Spouse"),0,
IFERROR(VLOOKUP($G150,INDIRECT($O150),$P150,FALSE),0))</f>
        <v>0</v>
      </c>
      <c r="R150" s="288">
        <f ca="1">IF(OR(Table2[[#This Row],[Benefit Name]]="My Value Plus Life - Main Member",Table2[[#This Row],[Benefit Name]]="My Value Plus Life - Spouse"),0,
IFERROR(VLOOKUP($G150,INDIRECT($O150),$P150+1,FALSE),0))</f>
        <v>0</v>
      </c>
      <c r="S150" s="289">
        <f t="shared" ca="1" si="17"/>
        <v>0</v>
      </c>
      <c r="T150" s="284" t="str">
        <f>IF(Table13[[#This Row],[Premium Waiver]]="","None",Table13[[#This Row],[Premium Waiver]])</f>
        <v>None</v>
      </c>
      <c r="U150" s="284">
        <f>Table13[[#This Row],[VAPs Options]]</f>
        <v>0</v>
      </c>
      <c r="V150" s="284">
        <f>Table13[[#This Row],[Annual Increase Option]]</f>
        <v>0</v>
      </c>
      <c r="W150" s="290">
        <f>Table13[[#This Row],[Life Cover Amount]]</f>
        <v>0</v>
      </c>
      <c r="X150" s="290">
        <f>Table13[[#This Row],[Funeral Cover Amount]]</f>
        <v>0</v>
      </c>
      <c r="Y15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5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50" s="301">
        <f t="shared" ca="1" si="18"/>
        <v>0</v>
      </c>
      <c r="AB150" s="298"/>
      <c r="AC150" s="326" t="str">
        <f>IF(Table2[[#This Row],[Member Type]]="Main Member",Lookups!$C$13,
IF(Table2[[#This Row],[Member Type]]="Spouse",_xlfn.XLOOKUP(B150,Table2[Main Member Link ID],Table2[Product Option],0),
IF(AND(Table2[[#This Row],[Member Type]]="Child",_xlfn.XLOOKUP(B150,Table2[Main Member Link ID],Table2[Product Option],0)&lt;&gt;"My Value Plus Life"),Lookups!$C$24,
IF(AND(OR(Table2[[#This Row],[Member Type]]="Parent",Table2[[#This Row],[Member Type]]="Extended"),_xlfn.XLOOKUP(B150,Table2[Main Member Link ID],Table2[Product Option],0)&lt;&gt;"My Value Plus Life"),Lookups!$C$26,""))))</f>
        <v/>
      </c>
      <c r="AD150" s="326" t="str">
        <f>IF(Table2[[#This Row],[Member Type]]="Main Member",Lookups!$C$14,"")</f>
        <v/>
      </c>
      <c r="AE15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Funeral",_xlfn.XLOOKUP(B150,Table2[Main Member Link ID],Table2[Benefit Name],0)=Lookups!$D$14),"",
IF(AND(Table2[[#This Row],[Member Type]]="Spouse",Table2[[#This Row],[Product Option]]="My Value Plus Life &amp; Funeral",_xlfn.XLOOKUP(B149,Table2[Main Member Link ID],Table2[Benefit Name],0)=Lookups!$D$15),Lookups!$D$20,
IF(AND(Table2[[#This Row],[Member Type]]="Spouse",Table2[[#This Row],[Product Option]]="My Value Plus Life &amp; Funeral",_xlfn.XLOOKUP(B149,Table2[Main Member Link ID],Table2[Benefit Name],0)=Lookups!$D$16),"",
IF(AND(Table2[[#This Row],[Member Type]]="Spouse",Table2[[#This Row],[Product Option]]="My Value Plus Life &amp; Funeral",_xlfn.XLOOKUP(B149,Table2[Main Member Link ID],Table2[Benefit Name],0)=Lookups!$D$17),Lookups!$D$21,
IF(AND(Table2[[#This Row],[Member Type]]="Child",Table2[[#This Row],[Product Option]]="My Value Plus Life &amp; Funeral",_xlfn.XLOOKUP(B150,Table2[Main Member Link ID],Table2[Benefit Name],0)=Lookups!$D$14),"",
IF(AND(Table2[[#This Row],[Member Type]]="Child",Table2[[#This Row],[Product Option]]="My Value Plus Life &amp; Funeral",_xlfn.XLOOKUP(B150,Table2[Main Member Link ID],Table2[Benefit Name],0)=Lookups!$D$15),"",
IF(AND(Table2[[#This Row],[Member Type]]="Child",Table2[[#This Row],[Product Option]]="My Value Plus Life &amp; Funeral",_xlfn.XLOOKUP(B150,Table2[Main Member Link ID],Table2[Benefit Name],0)=Lookups!$D$16),Lookups!$D$24,
IF(AND(Table2[[#This Row],[Member Type]]="Child",Table2[[#This Row],[Product Option]]="My Value Plus Life &amp; Funeral",_xlfn.XLOOKUP(B150,Table2[Main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Funeral",_xlfn.XLOOKUP(B150,Table2[Main Member Link ID],Table2[Benefit Name],0)&lt;&gt;Lookups!$D$14),
IF(_xlfn.XLOOKUP(B150,Table2[Main Member Link ID],Table2[Benefit Name],0)=0,"",_xlfn.XLOOKUP(B150,Table2[Main Member Link ID],Table2[Benefit Name],0)),"")))))))))))))))</f>
        <v/>
      </c>
      <c r="AF150" s="327" t="str">
        <f>IF(AND(Table2[[#This Row],[Member Type]]="Main Member",Table2[[#This Row],[Product Option]]="My Value Plus Life &amp; Funeral"),Lookups!$D$15,
IF(AND(Table2[[#This Row],[Member Type]]="Spouse",Table2[[#This Row],[Product Option]]="My Value Plus Life &amp; Funeral",_xlfn.XLOOKUP(B150,Table2[Main Member Link ID],Table2[Benefit Name],0)=Lookups!$D$14),"",
IF(AND(Table2[[#This Row],[Member Type]]="Spouse",Table2[[#This Row],[Product Option]]="My Value Plus Life &amp; Funeral",_xlfn.XLOOKUP(B149,Table2[Main Member Link ID],Table2[Benefit Name],0)=Lookups!$D$16),"",
IF(AND(Table2[[#This Row],[Member Type]]="Spouse",Table2[[#This Row],[Product Option]]="My Value Plus Life &amp; Funeral",_xlfn.XLOOKUP(B149,Table2[Main Member Link ID],Table2[Benefit Name],0)=Lookups!$D$15),"",
IF(AND(Table2[[#This Row],[Member Type]]="Spouse",Table2[[#This Row],[Product Option]]="My Value Plus Life &amp; Funeral",_xlfn.XLOOKUP(B149,Table2[Main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Funeral",_xlfn.XLOOKUP(B150,Table2[Main Member Link ID],Table2[Benefit Name],0)&lt;&gt;Lookups!$D$15),
IF(_xlfn.XLOOKUP(B150,Table2[Main Member Link ID],Table2[Benefit Name],0)=0,"",_xlfn.XLOOKUP(B150,Table2[Main Member Link ID],Table2[Benefit Name],0)),"")
))))))</f>
        <v/>
      </c>
      <c r="AG150" s="327" t="str">
        <f>IF(AND(Table2[[#This Row],[Member Type]]="Main Member",Table2[[#This Row],[Product Option]]="My Value Plus Life &amp; Funeral"),Lookups!$D$16,
IF(AND(Table2[[#This Row],[Member Type]]="Spouse",Table2[[#This Row],[Product Option]]="My Value Plus Life &amp; Funeral",_xlfn.XLOOKUP(B150,Table2[Main Member Link ID],Table2[Benefit Name],0)=Lookups!$D$14),"",
IF(AND(Table2[[#This Row],[Member Type]]="Spouse",Table2[[#This Row],[Product Option]]="My Value Plus Life &amp; Funeral",_xlfn.XLOOKUP(B149,Table2[Main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Funeral",_xlfn.XLOOKUP(B150,Table2[Main Member Link ID],Table2[Benefit Name],0)&lt;&gt;Lookups!$D$16),
IF(_xlfn.XLOOKUP(B150,Table2[Main Member Link ID],Table2[Benefit Name],0)=0,"",_xlfn.XLOOKUP(B150,Table2[Main Member Link ID],Table2[Benefit Name],0)),"")
))))</f>
        <v/>
      </c>
      <c r="AH150" s="327" t="str">
        <f>IF(AND(Table2[[#This Row],[Member Type]]="Main Member",Table2[[#This Row],[Product Option]]="My Value Plus Life &amp; Funeral"),Lookups!$D$17,
IF(AND(Table2[[#This Row],[Member Type]]="Spouse",Table2[[#This Row],[Product Option]]="My Value Plus Life &amp; Funeral",_xlfn.XLOOKUP(B150,Table2[Main Member Link ID],Table2[Benefit Name],0)=Lookups!$D$14),"",
IF(AND(Table2[[#This Row],[Member Type]]="Spouse",Table2[[#This Row],[Product Option]]="My Value Plus Life &amp; Funeral",_xlfn.XLOOKUP(B149,Table2[Main Member Link ID],Table2[Benefit Name],0)=Lookups!$D$16),"",
IF(AND(Table2[[#This Row],[Member Type]]="Child",Table2[[#This Row],[Product Option]]="My Value Plus Life &amp; Funeral"),"",
IF(AND(Table2[[#This Row],[Member Type]]="Child",Table2[[#This Row],[Product Option]]="My Value Plus Life &amp; Funeral",_xlfn.XLOOKUP(B150,Table2[Main Member Link ID],Table2[Benefit Name],0)=Lookups!$D$15),"",
IF(AND(OR(Table2[[#This Row],[Member Type]]="Spouse",Table2[[#This Row],[Member Type]]="Child"),Table2[[#This Row],[Product Option]]="My Value Plus Life &amp; Funeral",_xlfn.XLOOKUP(B150,Table2[Main Member Link ID],Table2[Benefit Name],0)&lt;&gt;Lookups!$D$17),
IF(_xlfn.XLOOKUP(B150,Table2[Main Member Link ID],Table2[Benefit Name],0)=0,"",_xlfn.XLOOKUP(B150,Table2[Main Member Link ID],Table2[Benefit Name],0)),""))))))</f>
        <v/>
      </c>
      <c r="AI150" s="328" t="str">
        <f>IF(AND(Table2[[#This Row],[Member Type]]="Main Member",Table2[[#This Row],[Table Lookup for Life Cover]]="MM_LIFE",Table2[[#This Row],[Age Next Birthday]]&lt;56),1,
IF(AND(Table2[[#This Row],[Member Type]]="Main Member",Table2[[#This Row],[Table Lookup for Life Cover]]="MM_LIFE",Table2[[#This Row],[Age Next Birthday]]&gt;=56),2,
""))</f>
        <v/>
      </c>
      <c r="AJ150" s="328">
        <f>IF(OR(Table2[[#This Row],[Member Type]]="Main Member",Table2[[#This Row],[Main Member Link ID]]=B149),1,0)</f>
        <v>1</v>
      </c>
      <c r="AK150" s="328">
        <f>IF(Table2[[#This Row],[Member Type]]=0,0,
IF(OR(Table2[[#This Row],[Member Type]]="Main Member",Table2[[#This Row],[Main Member Link ID]]&lt;&gt;B150),COUNTIFS(B:B,Table2[[#This Row],[Main Member Link ID]]),
COUNTIFS(B:B,Table2[[#This Row],[Main Member Link ID]],A:A,Table2[[#This Row],[Member Type]])))</f>
        <v>0</v>
      </c>
    </row>
    <row r="151" spans="1:37" x14ac:dyDescent="0.3">
      <c r="A151" s="284">
        <f>Table13[[#This Row],[Member Type]]</f>
        <v>0</v>
      </c>
      <c r="B151" s="284">
        <f>Table13[[#This Row],[Main Member Link ID]]</f>
        <v>0</v>
      </c>
      <c r="C151" s="284">
        <f>Table13[[#This Row],[ID Number]]</f>
        <v>0</v>
      </c>
      <c r="D151" s="285">
        <f>Table13[[#This Row],[Date Of Birth]]</f>
        <v>0</v>
      </c>
      <c r="E151" s="285">
        <f>Table13[[#This Row],[Commencement Date]]</f>
        <v>0</v>
      </c>
      <c r="F151" s="284">
        <f t="shared" si="14"/>
        <v>1</v>
      </c>
      <c r="G151" s="284">
        <f t="shared" si="15"/>
        <v>25</v>
      </c>
      <c r="H151" s="286">
        <f>Table13[[#This Row],[Product Option]]</f>
        <v>0</v>
      </c>
      <c r="I151" s="284">
        <f>IF(AND($A151="Main Member",Table2[[#This Row],[Product Option]]="My Value Plus Life"),"MM_LIFE",
IF(AND($A151="Spouse",Table2[[#This Row],[Product Option]]="My Value Plus Life"),"SP_LIFE",
IF(AND($A151="Main Member",Table2[[#This Row],[Product Option]]="My Value Plus Life &amp; Funeral"),"MM_LIFE",
IF(AND($A151="Spouse",Table2[[#This Row],[Product Option]]="My Value Plus Life &amp; Funeral"),_xlfn.XLOOKUP(Table2[[#This Row],[Benefit Name]],Lookups!$D$18:$D$23,Lookups!$E$18:$E$23,0),
0))))</f>
        <v>0</v>
      </c>
      <c r="J151" s="284">
        <f>IF($I151="","",
IF($I151="MM_LIFE",INDEX('Quotation Tool'!$S$54:$V$60,MATCH($T151,'Quotation Tool'!$S$54:$S$60,0),4),
IF($I151="SP_LIFE",_xlfn.XLOOKUP(B150,$B:$B,$J:$J,0),0)))</f>
        <v>0</v>
      </c>
      <c r="K151" s="287">
        <f t="shared" ca="1" si="19"/>
        <v>0</v>
      </c>
      <c r="L151" s="288">
        <f t="shared" ca="1" si="20"/>
        <v>0</v>
      </c>
      <c r="M151" s="289">
        <f t="shared" ca="1" si="16"/>
        <v>0</v>
      </c>
      <c r="N151" s="286">
        <f>Table13[[#This Row],[Benefit Option]]</f>
        <v>0</v>
      </c>
      <c r="O151" s="284">
        <f>IF(OR(Table2[[#This Row],[Member Type]]="Spouse",Table2[[#This Row],[Member Type]]="Child"),0,
IF(_xlfn.XLOOKUP($N151,Lookups!$D$13:$D$27,Lookups!$F$13:$F$27,0)=Table2[[#This Row],[Table Lookup for Life Cover]],0,
_xlfn.XLOOKUP($N151,Lookups!$D$13:$D$27,Lookups!$F$13:$F$27,0)))</f>
        <v>0</v>
      </c>
      <c r="P151" s="284">
        <f>IF(Table2[[#This Row],[Table Lookup for Funeral]]=0,0,IFERROR(INDEX('Quotation Tool'!$S$54:$V$60,MATCH($T151,'Quotation Tool'!$S$54:$S$60,0),3),0))</f>
        <v>0</v>
      </c>
      <c r="Q151" s="288">
        <f ca="1">IF(OR(Table2[[#This Row],[Benefit Name]]="My Value Plus Life - Main Member",Table2[[#This Row],[Benefit Name]]="My Value Plus Life - Spouse"),0,
IFERROR(VLOOKUP($G151,INDIRECT($O151),$P151,FALSE),0))</f>
        <v>0</v>
      </c>
      <c r="R151" s="288">
        <f ca="1">IF(OR(Table2[[#This Row],[Benefit Name]]="My Value Plus Life - Main Member",Table2[[#This Row],[Benefit Name]]="My Value Plus Life - Spouse"),0,
IFERROR(VLOOKUP($G151,INDIRECT($O151),$P151+1,FALSE),0))</f>
        <v>0</v>
      </c>
      <c r="S151" s="289">
        <f t="shared" ca="1" si="17"/>
        <v>0</v>
      </c>
      <c r="T151" s="284" t="str">
        <f>IF(Table13[[#This Row],[Premium Waiver]]="","None",Table13[[#This Row],[Premium Waiver]])</f>
        <v>None</v>
      </c>
      <c r="U151" s="284">
        <f>Table13[[#This Row],[VAPs Options]]</f>
        <v>0</v>
      </c>
      <c r="V151" s="284">
        <f>Table13[[#This Row],[Annual Increase Option]]</f>
        <v>0</v>
      </c>
      <c r="W151" s="290">
        <f>Table13[[#This Row],[Life Cover Amount]]</f>
        <v>0</v>
      </c>
      <c r="X151" s="290">
        <f>Table13[[#This Row],[Funeral Cover Amount]]</f>
        <v>0</v>
      </c>
      <c r="Y15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5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51" s="301">
        <f t="shared" ca="1" si="18"/>
        <v>0</v>
      </c>
      <c r="AB151" s="298"/>
      <c r="AC151" s="326" t="str">
        <f>IF(Table2[[#This Row],[Member Type]]="Main Member",Lookups!$C$13,
IF(Table2[[#This Row],[Member Type]]="Spouse",_xlfn.XLOOKUP(B151,Table2[Main Member Link ID],Table2[Product Option],0),
IF(AND(Table2[[#This Row],[Member Type]]="Child",_xlfn.XLOOKUP(B151,Table2[Main Member Link ID],Table2[Product Option],0)&lt;&gt;"My Value Plus Life"),Lookups!$C$24,
IF(AND(OR(Table2[[#This Row],[Member Type]]="Parent",Table2[[#This Row],[Member Type]]="Extended"),_xlfn.XLOOKUP(B151,Table2[Main Member Link ID],Table2[Product Option],0)&lt;&gt;"My Value Plus Life"),Lookups!$C$26,""))))</f>
        <v/>
      </c>
      <c r="AD151" s="326" t="str">
        <f>IF(Table2[[#This Row],[Member Type]]="Main Member",Lookups!$C$14,"")</f>
        <v/>
      </c>
      <c r="AE15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Funeral",_xlfn.XLOOKUP(B151,Table2[Main Member Link ID],Table2[Benefit Name],0)=Lookups!$D$14),"",
IF(AND(Table2[[#This Row],[Member Type]]="Spouse",Table2[[#This Row],[Product Option]]="My Value Plus Life &amp; Funeral",_xlfn.XLOOKUP(B150,Table2[Main Member Link ID],Table2[Benefit Name],0)=Lookups!$D$15),Lookups!$D$20,
IF(AND(Table2[[#This Row],[Member Type]]="Spouse",Table2[[#This Row],[Product Option]]="My Value Plus Life &amp; Funeral",_xlfn.XLOOKUP(B150,Table2[Main Member Link ID],Table2[Benefit Name],0)=Lookups!$D$16),"",
IF(AND(Table2[[#This Row],[Member Type]]="Spouse",Table2[[#This Row],[Product Option]]="My Value Plus Life &amp; Funeral",_xlfn.XLOOKUP(B150,Table2[Main Member Link ID],Table2[Benefit Name],0)=Lookups!$D$17),Lookups!$D$21,
IF(AND(Table2[[#This Row],[Member Type]]="Child",Table2[[#This Row],[Product Option]]="My Value Plus Life &amp; Funeral",_xlfn.XLOOKUP(B151,Table2[Main Member Link ID],Table2[Benefit Name],0)=Lookups!$D$14),"",
IF(AND(Table2[[#This Row],[Member Type]]="Child",Table2[[#This Row],[Product Option]]="My Value Plus Life &amp; Funeral",_xlfn.XLOOKUP(B151,Table2[Main Member Link ID],Table2[Benefit Name],0)=Lookups!$D$15),"",
IF(AND(Table2[[#This Row],[Member Type]]="Child",Table2[[#This Row],[Product Option]]="My Value Plus Life &amp; Funeral",_xlfn.XLOOKUP(B151,Table2[Main Member Link ID],Table2[Benefit Name],0)=Lookups!$D$16),Lookups!$D$24,
IF(AND(Table2[[#This Row],[Member Type]]="Child",Table2[[#This Row],[Product Option]]="My Value Plus Life &amp; Funeral",_xlfn.XLOOKUP(B151,Table2[Main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Funeral",_xlfn.XLOOKUP(B151,Table2[Main Member Link ID],Table2[Benefit Name],0)&lt;&gt;Lookups!$D$14),
IF(_xlfn.XLOOKUP(B151,Table2[Main Member Link ID],Table2[Benefit Name],0)=0,"",_xlfn.XLOOKUP(B151,Table2[Main Member Link ID],Table2[Benefit Name],0)),"")))))))))))))))</f>
        <v/>
      </c>
      <c r="AF151" s="327" t="str">
        <f>IF(AND(Table2[[#This Row],[Member Type]]="Main Member",Table2[[#This Row],[Product Option]]="My Value Plus Life &amp; Funeral"),Lookups!$D$15,
IF(AND(Table2[[#This Row],[Member Type]]="Spouse",Table2[[#This Row],[Product Option]]="My Value Plus Life &amp; Funeral",_xlfn.XLOOKUP(B151,Table2[Main Member Link ID],Table2[Benefit Name],0)=Lookups!$D$14),"",
IF(AND(Table2[[#This Row],[Member Type]]="Spouse",Table2[[#This Row],[Product Option]]="My Value Plus Life &amp; Funeral",_xlfn.XLOOKUP(B150,Table2[Main Member Link ID],Table2[Benefit Name],0)=Lookups!$D$16),"",
IF(AND(Table2[[#This Row],[Member Type]]="Spouse",Table2[[#This Row],[Product Option]]="My Value Plus Life &amp; Funeral",_xlfn.XLOOKUP(B150,Table2[Main Member Link ID],Table2[Benefit Name],0)=Lookups!$D$15),"",
IF(AND(Table2[[#This Row],[Member Type]]="Spouse",Table2[[#This Row],[Product Option]]="My Value Plus Life &amp; Funeral",_xlfn.XLOOKUP(B150,Table2[Main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Funeral",_xlfn.XLOOKUP(B151,Table2[Main Member Link ID],Table2[Benefit Name],0)&lt;&gt;Lookups!$D$15),
IF(_xlfn.XLOOKUP(B151,Table2[Main Member Link ID],Table2[Benefit Name],0)=0,"",_xlfn.XLOOKUP(B151,Table2[Main Member Link ID],Table2[Benefit Name],0)),"")
))))))</f>
        <v/>
      </c>
      <c r="AG151" s="327" t="str">
        <f>IF(AND(Table2[[#This Row],[Member Type]]="Main Member",Table2[[#This Row],[Product Option]]="My Value Plus Life &amp; Funeral"),Lookups!$D$16,
IF(AND(Table2[[#This Row],[Member Type]]="Spouse",Table2[[#This Row],[Product Option]]="My Value Plus Life &amp; Funeral",_xlfn.XLOOKUP(B151,Table2[Main Member Link ID],Table2[Benefit Name],0)=Lookups!$D$14),"",
IF(AND(Table2[[#This Row],[Member Type]]="Spouse",Table2[[#This Row],[Product Option]]="My Value Plus Life &amp; Funeral",_xlfn.XLOOKUP(B150,Table2[Main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Funeral",_xlfn.XLOOKUP(B151,Table2[Main Member Link ID],Table2[Benefit Name],0)&lt;&gt;Lookups!$D$16),
IF(_xlfn.XLOOKUP(B151,Table2[Main Member Link ID],Table2[Benefit Name],0)=0,"",_xlfn.XLOOKUP(B151,Table2[Main Member Link ID],Table2[Benefit Name],0)),"")
))))</f>
        <v/>
      </c>
      <c r="AH151" s="327" t="str">
        <f>IF(AND(Table2[[#This Row],[Member Type]]="Main Member",Table2[[#This Row],[Product Option]]="My Value Plus Life &amp; Funeral"),Lookups!$D$17,
IF(AND(Table2[[#This Row],[Member Type]]="Spouse",Table2[[#This Row],[Product Option]]="My Value Plus Life &amp; Funeral",_xlfn.XLOOKUP(B151,Table2[Main Member Link ID],Table2[Benefit Name],0)=Lookups!$D$14),"",
IF(AND(Table2[[#This Row],[Member Type]]="Spouse",Table2[[#This Row],[Product Option]]="My Value Plus Life &amp; Funeral",_xlfn.XLOOKUP(B150,Table2[Main Member Link ID],Table2[Benefit Name],0)=Lookups!$D$16),"",
IF(AND(Table2[[#This Row],[Member Type]]="Child",Table2[[#This Row],[Product Option]]="My Value Plus Life &amp; Funeral"),"",
IF(AND(Table2[[#This Row],[Member Type]]="Child",Table2[[#This Row],[Product Option]]="My Value Plus Life &amp; Funeral",_xlfn.XLOOKUP(B151,Table2[Main Member Link ID],Table2[Benefit Name],0)=Lookups!$D$15),"",
IF(AND(OR(Table2[[#This Row],[Member Type]]="Spouse",Table2[[#This Row],[Member Type]]="Child"),Table2[[#This Row],[Product Option]]="My Value Plus Life &amp; Funeral",_xlfn.XLOOKUP(B151,Table2[Main Member Link ID],Table2[Benefit Name],0)&lt;&gt;Lookups!$D$17),
IF(_xlfn.XLOOKUP(B151,Table2[Main Member Link ID],Table2[Benefit Name],0)=0,"",_xlfn.XLOOKUP(B151,Table2[Main Member Link ID],Table2[Benefit Name],0)),""))))))</f>
        <v/>
      </c>
      <c r="AI151" s="328" t="str">
        <f>IF(AND(Table2[[#This Row],[Member Type]]="Main Member",Table2[[#This Row],[Table Lookup for Life Cover]]="MM_LIFE",Table2[[#This Row],[Age Next Birthday]]&lt;56),1,
IF(AND(Table2[[#This Row],[Member Type]]="Main Member",Table2[[#This Row],[Table Lookup for Life Cover]]="MM_LIFE",Table2[[#This Row],[Age Next Birthday]]&gt;=56),2,
""))</f>
        <v/>
      </c>
      <c r="AJ151" s="328">
        <f>IF(OR(Table2[[#This Row],[Member Type]]="Main Member",Table2[[#This Row],[Main Member Link ID]]=B150),1,0)</f>
        <v>1</v>
      </c>
      <c r="AK151" s="328">
        <f>IF(Table2[[#This Row],[Member Type]]=0,0,
IF(OR(Table2[[#This Row],[Member Type]]="Main Member",Table2[[#This Row],[Main Member Link ID]]&lt;&gt;B151),COUNTIFS(B:B,Table2[[#This Row],[Main Member Link ID]]),
COUNTIFS(B:B,Table2[[#This Row],[Main Member Link ID]],A:A,Table2[[#This Row],[Member Type]])))</f>
        <v>0</v>
      </c>
    </row>
    <row r="152" spans="1:37" x14ac:dyDescent="0.3">
      <c r="A152" s="284">
        <f>Table13[[#This Row],[Member Type]]</f>
        <v>0</v>
      </c>
      <c r="B152" s="284">
        <f>Table13[[#This Row],[Main Member Link ID]]</f>
        <v>0</v>
      </c>
      <c r="C152" s="284">
        <f>Table13[[#This Row],[ID Number]]</f>
        <v>0</v>
      </c>
      <c r="D152" s="285">
        <f>Table13[[#This Row],[Date Of Birth]]</f>
        <v>0</v>
      </c>
      <c r="E152" s="285">
        <f>Table13[[#This Row],[Commencement Date]]</f>
        <v>0</v>
      </c>
      <c r="F152" s="284">
        <f t="shared" si="14"/>
        <v>1</v>
      </c>
      <c r="G152" s="284">
        <f t="shared" si="15"/>
        <v>25</v>
      </c>
      <c r="H152" s="286">
        <f>Table13[[#This Row],[Product Option]]</f>
        <v>0</v>
      </c>
      <c r="I152" s="284">
        <f>IF(AND($A152="Main Member",Table2[[#This Row],[Product Option]]="My Value Plus Life"),"MM_LIFE",
IF(AND($A152="Spouse",Table2[[#This Row],[Product Option]]="My Value Plus Life"),"SP_LIFE",
IF(AND($A152="Main Member",Table2[[#This Row],[Product Option]]="My Value Plus Life &amp; Funeral"),"MM_LIFE",
IF(AND($A152="Spouse",Table2[[#This Row],[Product Option]]="My Value Plus Life &amp; Funeral"),_xlfn.XLOOKUP(Table2[[#This Row],[Benefit Name]],Lookups!$D$18:$D$23,Lookups!$E$18:$E$23,0),
0))))</f>
        <v>0</v>
      </c>
      <c r="J152" s="284">
        <f>IF($I152="","",
IF($I152="MM_LIFE",INDEX('Quotation Tool'!$S$54:$V$60,MATCH($T152,'Quotation Tool'!$S$54:$S$60,0),4),
IF($I152="SP_LIFE",_xlfn.XLOOKUP(B151,$B:$B,$J:$J,0),0)))</f>
        <v>0</v>
      </c>
      <c r="K152" s="287">
        <f t="shared" ca="1" si="19"/>
        <v>0</v>
      </c>
      <c r="L152" s="288">
        <f t="shared" ca="1" si="20"/>
        <v>0</v>
      </c>
      <c r="M152" s="289">
        <f t="shared" ca="1" si="16"/>
        <v>0</v>
      </c>
      <c r="N152" s="286">
        <f>Table13[[#This Row],[Benefit Option]]</f>
        <v>0</v>
      </c>
      <c r="O152" s="284">
        <f>IF(OR(Table2[[#This Row],[Member Type]]="Spouse",Table2[[#This Row],[Member Type]]="Child"),0,
IF(_xlfn.XLOOKUP($N152,Lookups!$D$13:$D$27,Lookups!$F$13:$F$27,0)=Table2[[#This Row],[Table Lookup for Life Cover]],0,
_xlfn.XLOOKUP($N152,Lookups!$D$13:$D$27,Lookups!$F$13:$F$27,0)))</f>
        <v>0</v>
      </c>
      <c r="P152" s="284">
        <f>IF(Table2[[#This Row],[Table Lookup for Funeral]]=0,0,IFERROR(INDEX('Quotation Tool'!$S$54:$V$60,MATCH($T152,'Quotation Tool'!$S$54:$S$60,0),3),0))</f>
        <v>0</v>
      </c>
      <c r="Q152" s="288">
        <f ca="1">IF(OR(Table2[[#This Row],[Benefit Name]]="My Value Plus Life - Main Member",Table2[[#This Row],[Benefit Name]]="My Value Plus Life - Spouse"),0,
IFERROR(VLOOKUP($G152,INDIRECT($O152),$P152,FALSE),0))</f>
        <v>0</v>
      </c>
      <c r="R152" s="288">
        <f ca="1">IF(OR(Table2[[#This Row],[Benefit Name]]="My Value Plus Life - Main Member",Table2[[#This Row],[Benefit Name]]="My Value Plus Life - Spouse"),0,
IFERROR(VLOOKUP($G152,INDIRECT($O152),$P152+1,FALSE),0))</f>
        <v>0</v>
      </c>
      <c r="S152" s="289">
        <f t="shared" ca="1" si="17"/>
        <v>0</v>
      </c>
      <c r="T152" s="284" t="str">
        <f>IF(Table13[[#This Row],[Premium Waiver]]="","None",Table13[[#This Row],[Premium Waiver]])</f>
        <v>None</v>
      </c>
      <c r="U152" s="284">
        <f>Table13[[#This Row],[VAPs Options]]</f>
        <v>0</v>
      </c>
      <c r="V152" s="284">
        <f>Table13[[#This Row],[Annual Increase Option]]</f>
        <v>0</v>
      </c>
      <c r="W152" s="290">
        <f>Table13[[#This Row],[Life Cover Amount]]</f>
        <v>0</v>
      </c>
      <c r="X152" s="290">
        <f>Table13[[#This Row],[Funeral Cover Amount]]</f>
        <v>0</v>
      </c>
      <c r="Y15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5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52" s="301">
        <f t="shared" ca="1" si="18"/>
        <v>0</v>
      </c>
      <c r="AB152" s="298"/>
      <c r="AC152" s="326" t="str">
        <f>IF(Table2[[#This Row],[Member Type]]="Main Member",Lookups!$C$13,
IF(Table2[[#This Row],[Member Type]]="Spouse",_xlfn.XLOOKUP(B152,Table2[Main Member Link ID],Table2[Product Option],0),
IF(AND(Table2[[#This Row],[Member Type]]="Child",_xlfn.XLOOKUP(B152,Table2[Main Member Link ID],Table2[Product Option],0)&lt;&gt;"My Value Plus Life"),Lookups!$C$24,
IF(AND(OR(Table2[[#This Row],[Member Type]]="Parent",Table2[[#This Row],[Member Type]]="Extended"),_xlfn.XLOOKUP(B152,Table2[Main Member Link ID],Table2[Product Option],0)&lt;&gt;"My Value Plus Life"),Lookups!$C$26,""))))</f>
        <v/>
      </c>
      <c r="AD152" s="326" t="str">
        <f>IF(Table2[[#This Row],[Member Type]]="Main Member",Lookups!$C$14,"")</f>
        <v/>
      </c>
      <c r="AE15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Funeral",_xlfn.XLOOKUP(B152,Table2[Main Member Link ID],Table2[Benefit Name],0)=Lookups!$D$14),"",
IF(AND(Table2[[#This Row],[Member Type]]="Spouse",Table2[[#This Row],[Product Option]]="My Value Plus Life &amp; Funeral",_xlfn.XLOOKUP(B151,Table2[Main Member Link ID],Table2[Benefit Name],0)=Lookups!$D$15),Lookups!$D$20,
IF(AND(Table2[[#This Row],[Member Type]]="Spouse",Table2[[#This Row],[Product Option]]="My Value Plus Life &amp; Funeral",_xlfn.XLOOKUP(B151,Table2[Main Member Link ID],Table2[Benefit Name],0)=Lookups!$D$16),"",
IF(AND(Table2[[#This Row],[Member Type]]="Spouse",Table2[[#This Row],[Product Option]]="My Value Plus Life &amp; Funeral",_xlfn.XLOOKUP(B151,Table2[Main Member Link ID],Table2[Benefit Name],0)=Lookups!$D$17),Lookups!$D$21,
IF(AND(Table2[[#This Row],[Member Type]]="Child",Table2[[#This Row],[Product Option]]="My Value Plus Life &amp; Funeral",_xlfn.XLOOKUP(B152,Table2[Main Member Link ID],Table2[Benefit Name],0)=Lookups!$D$14),"",
IF(AND(Table2[[#This Row],[Member Type]]="Child",Table2[[#This Row],[Product Option]]="My Value Plus Life &amp; Funeral",_xlfn.XLOOKUP(B152,Table2[Main Member Link ID],Table2[Benefit Name],0)=Lookups!$D$15),"",
IF(AND(Table2[[#This Row],[Member Type]]="Child",Table2[[#This Row],[Product Option]]="My Value Plus Life &amp; Funeral",_xlfn.XLOOKUP(B152,Table2[Main Member Link ID],Table2[Benefit Name],0)=Lookups!$D$16),Lookups!$D$24,
IF(AND(Table2[[#This Row],[Member Type]]="Child",Table2[[#This Row],[Product Option]]="My Value Plus Life &amp; Funeral",_xlfn.XLOOKUP(B152,Table2[Main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Funeral",_xlfn.XLOOKUP(B152,Table2[Main Member Link ID],Table2[Benefit Name],0)&lt;&gt;Lookups!$D$14),
IF(_xlfn.XLOOKUP(B152,Table2[Main Member Link ID],Table2[Benefit Name],0)=0,"",_xlfn.XLOOKUP(B152,Table2[Main Member Link ID],Table2[Benefit Name],0)),"")))))))))))))))</f>
        <v/>
      </c>
      <c r="AF152" s="327" t="str">
        <f>IF(AND(Table2[[#This Row],[Member Type]]="Main Member",Table2[[#This Row],[Product Option]]="My Value Plus Life &amp; Funeral"),Lookups!$D$15,
IF(AND(Table2[[#This Row],[Member Type]]="Spouse",Table2[[#This Row],[Product Option]]="My Value Plus Life &amp; Funeral",_xlfn.XLOOKUP(B152,Table2[Main Member Link ID],Table2[Benefit Name],0)=Lookups!$D$14),"",
IF(AND(Table2[[#This Row],[Member Type]]="Spouse",Table2[[#This Row],[Product Option]]="My Value Plus Life &amp; Funeral",_xlfn.XLOOKUP(B151,Table2[Main Member Link ID],Table2[Benefit Name],0)=Lookups!$D$16),"",
IF(AND(Table2[[#This Row],[Member Type]]="Spouse",Table2[[#This Row],[Product Option]]="My Value Plus Life &amp; Funeral",_xlfn.XLOOKUP(B151,Table2[Main Member Link ID],Table2[Benefit Name],0)=Lookups!$D$15),"",
IF(AND(Table2[[#This Row],[Member Type]]="Spouse",Table2[[#This Row],[Product Option]]="My Value Plus Life &amp; Funeral",_xlfn.XLOOKUP(B151,Table2[Main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Funeral",_xlfn.XLOOKUP(B152,Table2[Main Member Link ID],Table2[Benefit Name],0)&lt;&gt;Lookups!$D$15),
IF(_xlfn.XLOOKUP(B152,Table2[Main Member Link ID],Table2[Benefit Name],0)=0,"",_xlfn.XLOOKUP(B152,Table2[Main Member Link ID],Table2[Benefit Name],0)),"")
))))))</f>
        <v/>
      </c>
      <c r="AG152" s="327" t="str">
        <f>IF(AND(Table2[[#This Row],[Member Type]]="Main Member",Table2[[#This Row],[Product Option]]="My Value Plus Life &amp; Funeral"),Lookups!$D$16,
IF(AND(Table2[[#This Row],[Member Type]]="Spouse",Table2[[#This Row],[Product Option]]="My Value Plus Life &amp; Funeral",_xlfn.XLOOKUP(B152,Table2[Main Member Link ID],Table2[Benefit Name],0)=Lookups!$D$14),"",
IF(AND(Table2[[#This Row],[Member Type]]="Spouse",Table2[[#This Row],[Product Option]]="My Value Plus Life &amp; Funeral",_xlfn.XLOOKUP(B151,Table2[Main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Funeral",_xlfn.XLOOKUP(B152,Table2[Main Member Link ID],Table2[Benefit Name],0)&lt;&gt;Lookups!$D$16),
IF(_xlfn.XLOOKUP(B152,Table2[Main Member Link ID],Table2[Benefit Name],0)=0,"",_xlfn.XLOOKUP(B152,Table2[Main Member Link ID],Table2[Benefit Name],0)),"")
))))</f>
        <v/>
      </c>
      <c r="AH152" s="327" t="str">
        <f>IF(AND(Table2[[#This Row],[Member Type]]="Main Member",Table2[[#This Row],[Product Option]]="My Value Plus Life &amp; Funeral"),Lookups!$D$17,
IF(AND(Table2[[#This Row],[Member Type]]="Spouse",Table2[[#This Row],[Product Option]]="My Value Plus Life &amp; Funeral",_xlfn.XLOOKUP(B152,Table2[Main Member Link ID],Table2[Benefit Name],0)=Lookups!$D$14),"",
IF(AND(Table2[[#This Row],[Member Type]]="Spouse",Table2[[#This Row],[Product Option]]="My Value Plus Life &amp; Funeral",_xlfn.XLOOKUP(B151,Table2[Main Member Link ID],Table2[Benefit Name],0)=Lookups!$D$16),"",
IF(AND(Table2[[#This Row],[Member Type]]="Child",Table2[[#This Row],[Product Option]]="My Value Plus Life &amp; Funeral"),"",
IF(AND(Table2[[#This Row],[Member Type]]="Child",Table2[[#This Row],[Product Option]]="My Value Plus Life &amp; Funeral",_xlfn.XLOOKUP(B152,Table2[Main Member Link ID],Table2[Benefit Name],0)=Lookups!$D$15),"",
IF(AND(OR(Table2[[#This Row],[Member Type]]="Spouse",Table2[[#This Row],[Member Type]]="Child"),Table2[[#This Row],[Product Option]]="My Value Plus Life &amp; Funeral",_xlfn.XLOOKUP(B152,Table2[Main Member Link ID],Table2[Benefit Name],0)&lt;&gt;Lookups!$D$17),
IF(_xlfn.XLOOKUP(B152,Table2[Main Member Link ID],Table2[Benefit Name],0)=0,"",_xlfn.XLOOKUP(B152,Table2[Main Member Link ID],Table2[Benefit Name],0)),""))))))</f>
        <v/>
      </c>
      <c r="AI152" s="328" t="str">
        <f>IF(AND(Table2[[#This Row],[Member Type]]="Main Member",Table2[[#This Row],[Table Lookup for Life Cover]]="MM_LIFE",Table2[[#This Row],[Age Next Birthday]]&lt;56),1,
IF(AND(Table2[[#This Row],[Member Type]]="Main Member",Table2[[#This Row],[Table Lookup for Life Cover]]="MM_LIFE",Table2[[#This Row],[Age Next Birthday]]&gt;=56),2,
""))</f>
        <v/>
      </c>
      <c r="AJ152" s="328">
        <f>IF(OR(Table2[[#This Row],[Member Type]]="Main Member",Table2[[#This Row],[Main Member Link ID]]=B151),1,0)</f>
        <v>1</v>
      </c>
      <c r="AK152" s="328">
        <f>IF(Table2[[#This Row],[Member Type]]=0,0,
IF(OR(Table2[[#This Row],[Member Type]]="Main Member",Table2[[#This Row],[Main Member Link ID]]&lt;&gt;B152),COUNTIFS(B:B,Table2[[#This Row],[Main Member Link ID]]),
COUNTIFS(B:B,Table2[[#This Row],[Main Member Link ID]],A:A,Table2[[#This Row],[Member Type]])))</f>
        <v>0</v>
      </c>
    </row>
    <row r="153" spans="1:37" x14ac:dyDescent="0.3">
      <c r="A153" s="284">
        <f>Table13[[#This Row],[Member Type]]</f>
        <v>0</v>
      </c>
      <c r="B153" s="284">
        <f>Table13[[#This Row],[Main Member Link ID]]</f>
        <v>0</v>
      </c>
      <c r="C153" s="284">
        <f>Table13[[#This Row],[ID Number]]</f>
        <v>0</v>
      </c>
      <c r="D153" s="285">
        <f>Table13[[#This Row],[Date Of Birth]]</f>
        <v>0</v>
      </c>
      <c r="E153" s="285">
        <f>Table13[[#This Row],[Commencement Date]]</f>
        <v>0</v>
      </c>
      <c r="F153" s="284">
        <f t="shared" si="14"/>
        <v>1</v>
      </c>
      <c r="G153" s="284">
        <f t="shared" si="15"/>
        <v>25</v>
      </c>
      <c r="H153" s="286">
        <f>Table13[[#This Row],[Product Option]]</f>
        <v>0</v>
      </c>
      <c r="I153" s="284">
        <f>IF(AND($A153="Main Member",Table2[[#This Row],[Product Option]]="My Value Plus Life"),"MM_LIFE",
IF(AND($A153="Spouse",Table2[[#This Row],[Product Option]]="My Value Plus Life"),"SP_LIFE",
IF(AND($A153="Main Member",Table2[[#This Row],[Product Option]]="My Value Plus Life &amp; Funeral"),"MM_LIFE",
IF(AND($A153="Spouse",Table2[[#This Row],[Product Option]]="My Value Plus Life &amp; Funeral"),_xlfn.XLOOKUP(Table2[[#This Row],[Benefit Name]],Lookups!$D$18:$D$23,Lookups!$E$18:$E$23,0),
0))))</f>
        <v>0</v>
      </c>
      <c r="J153" s="284">
        <f>IF($I153="","",
IF($I153="MM_LIFE",INDEX('Quotation Tool'!$S$54:$V$60,MATCH($T153,'Quotation Tool'!$S$54:$S$60,0),4),
IF($I153="SP_LIFE",_xlfn.XLOOKUP(B152,$B:$B,$J:$J,0),0)))</f>
        <v>0</v>
      </c>
      <c r="K153" s="287">
        <f t="shared" ca="1" si="19"/>
        <v>0</v>
      </c>
      <c r="L153" s="288">
        <f t="shared" ca="1" si="20"/>
        <v>0</v>
      </c>
      <c r="M153" s="289">
        <f t="shared" ca="1" si="16"/>
        <v>0</v>
      </c>
      <c r="N153" s="286">
        <f>Table13[[#This Row],[Benefit Option]]</f>
        <v>0</v>
      </c>
      <c r="O153" s="284">
        <f>IF(OR(Table2[[#This Row],[Member Type]]="Spouse",Table2[[#This Row],[Member Type]]="Child"),0,
IF(_xlfn.XLOOKUP($N153,Lookups!$D$13:$D$27,Lookups!$F$13:$F$27,0)=Table2[[#This Row],[Table Lookup for Life Cover]],0,
_xlfn.XLOOKUP($N153,Lookups!$D$13:$D$27,Lookups!$F$13:$F$27,0)))</f>
        <v>0</v>
      </c>
      <c r="P153" s="284">
        <f>IF(Table2[[#This Row],[Table Lookup for Funeral]]=0,0,IFERROR(INDEX('Quotation Tool'!$S$54:$V$60,MATCH($T153,'Quotation Tool'!$S$54:$S$60,0),3),0))</f>
        <v>0</v>
      </c>
      <c r="Q153" s="288">
        <f ca="1">IF(OR(Table2[[#This Row],[Benefit Name]]="My Value Plus Life - Main Member",Table2[[#This Row],[Benefit Name]]="My Value Plus Life - Spouse"),0,
IFERROR(VLOOKUP($G153,INDIRECT($O153),$P153,FALSE),0))</f>
        <v>0</v>
      </c>
      <c r="R153" s="288">
        <f ca="1">IF(OR(Table2[[#This Row],[Benefit Name]]="My Value Plus Life - Main Member",Table2[[#This Row],[Benefit Name]]="My Value Plus Life - Spouse"),0,
IFERROR(VLOOKUP($G153,INDIRECT($O153),$P153+1,FALSE),0))</f>
        <v>0</v>
      </c>
      <c r="S153" s="289">
        <f t="shared" ca="1" si="17"/>
        <v>0</v>
      </c>
      <c r="T153" s="284" t="str">
        <f>IF(Table13[[#This Row],[Premium Waiver]]="","None",Table13[[#This Row],[Premium Waiver]])</f>
        <v>None</v>
      </c>
      <c r="U153" s="284">
        <f>Table13[[#This Row],[VAPs Options]]</f>
        <v>0</v>
      </c>
      <c r="V153" s="284">
        <f>Table13[[#This Row],[Annual Increase Option]]</f>
        <v>0</v>
      </c>
      <c r="W153" s="290">
        <f>Table13[[#This Row],[Life Cover Amount]]</f>
        <v>0</v>
      </c>
      <c r="X153" s="290">
        <f>Table13[[#This Row],[Funeral Cover Amount]]</f>
        <v>0</v>
      </c>
      <c r="Y15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5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53" s="301">
        <f t="shared" ca="1" si="18"/>
        <v>0</v>
      </c>
      <c r="AB153" s="298"/>
      <c r="AC153" s="326" t="str">
        <f>IF(Table2[[#This Row],[Member Type]]="Main Member",Lookups!$C$13,
IF(Table2[[#This Row],[Member Type]]="Spouse",_xlfn.XLOOKUP(B153,Table2[Main Member Link ID],Table2[Product Option],0),
IF(AND(Table2[[#This Row],[Member Type]]="Child",_xlfn.XLOOKUP(B153,Table2[Main Member Link ID],Table2[Product Option],0)&lt;&gt;"My Value Plus Life"),Lookups!$C$24,
IF(AND(OR(Table2[[#This Row],[Member Type]]="Parent",Table2[[#This Row],[Member Type]]="Extended"),_xlfn.XLOOKUP(B153,Table2[Main Member Link ID],Table2[Product Option],0)&lt;&gt;"My Value Plus Life"),Lookups!$C$26,""))))</f>
        <v/>
      </c>
      <c r="AD153" s="326" t="str">
        <f>IF(Table2[[#This Row],[Member Type]]="Main Member",Lookups!$C$14,"")</f>
        <v/>
      </c>
      <c r="AE15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Funeral",_xlfn.XLOOKUP(B153,Table2[Main Member Link ID],Table2[Benefit Name],0)=Lookups!$D$14),"",
IF(AND(Table2[[#This Row],[Member Type]]="Spouse",Table2[[#This Row],[Product Option]]="My Value Plus Life &amp; Funeral",_xlfn.XLOOKUP(B152,Table2[Main Member Link ID],Table2[Benefit Name],0)=Lookups!$D$15),Lookups!$D$20,
IF(AND(Table2[[#This Row],[Member Type]]="Spouse",Table2[[#This Row],[Product Option]]="My Value Plus Life &amp; Funeral",_xlfn.XLOOKUP(B152,Table2[Main Member Link ID],Table2[Benefit Name],0)=Lookups!$D$16),"",
IF(AND(Table2[[#This Row],[Member Type]]="Spouse",Table2[[#This Row],[Product Option]]="My Value Plus Life &amp; Funeral",_xlfn.XLOOKUP(B152,Table2[Main Member Link ID],Table2[Benefit Name],0)=Lookups!$D$17),Lookups!$D$21,
IF(AND(Table2[[#This Row],[Member Type]]="Child",Table2[[#This Row],[Product Option]]="My Value Plus Life &amp; Funeral",_xlfn.XLOOKUP(B153,Table2[Main Member Link ID],Table2[Benefit Name],0)=Lookups!$D$14),"",
IF(AND(Table2[[#This Row],[Member Type]]="Child",Table2[[#This Row],[Product Option]]="My Value Plus Life &amp; Funeral",_xlfn.XLOOKUP(B153,Table2[Main Member Link ID],Table2[Benefit Name],0)=Lookups!$D$15),"",
IF(AND(Table2[[#This Row],[Member Type]]="Child",Table2[[#This Row],[Product Option]]="My Value Plus Life &amp; Funeral",_xlfn.XLOOKUP(B153,Table2[Main Member Link ID],Table2[Benefit Name],0)=Lookups!$D$16),Lookups!$D$24,
IF(AND(Table2[[#This Row],[Member Type]]="Child",Table2[[#This Row],[Product Option]]="My Value Plus Life &amp; Funeral",_xlfn.XLOOKUP(B153,Table2[Main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Funeral",_xlfn.XLOOKUP(B153,Table2[Main Member Link ID],Table2[Benefit Name],0)&lt;&gt;Lookups!$D$14),
IF(_xlfn.XLOOKUP(B153,Table2[Main Member Link ID],Table2[Benefit Name],0)=0,"",_xlfn.XLOOKUP(B153,Table2[Main Member Link ID],Table2[Benefit Name],0)),"")))))))))))))))</f>
        <v/>
      </c>
      <c r="AF153" s="327" t="str">
        <f>IF(AND(Table2[[#This Row],[Member Type]]="Main Member",Table2[[#This Row],[Product Option]]="My Value Plus Life &amp; Funeral"),Lookups!$D$15,
IF(AND(Table2[[#This Row],[Member Type]]="Spouse",Table2[[#This Row],[Product Option]]="My Value Plus Life &amp; Funeral",_xlfn.XLOOKUP(B153,Table2[Main Member Link ID],Table2[Benefit Name],0)=Lookups!$D$14),"",
IF(AND(Table2[[#This Row],[Member Type]]="Spouse",Table2[[#This Row],[Product Option]]="My Value Plus Life &amp; Funeral",_xlfn.XLOOKUP(B152,Table2[Main Member Link ID],Table2[Benefit Name],0)=Lookups!$D$16),"",
IF(AND(Table2[[#This Row],[Member Type]]="Spouse",Table2[[#This Row],[Product Option]]="My Value Plus Life &amp; Funeral",_xlfn.XLOOKUP(B152,Table2[Main Member Link ID],Table2[Benefit Name],0)=Lookups!$D$15),"",
IF(AND(Table2[[#This Row],[Member Type]]="Spouse",Table2[[#This Row],[Product Option]]="My Value Plus Life &amp; Funeral",_xlfn.XLOOKUP(B152,Table2[Main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Funeral",_xlfn.XLOOKUP(B153,Table2[Main Member Link ID],Table2[Benefit Name],0)&lt;&gt;Lookups!$D$15),
IF(_xlfn.XLOOKUP(B153,Table2[Main Member Link ID],Table2[Benefit Name],0)=0,"",_xlfn.XLOOKUP(B153,Table2[Main Member Link ID],Table2[Benefit Name],0)),"")
))))))</f>
        <v/>
      </c>
      <c r="AG153" s="327" t="str">
        <f>IF(AND(Table2[[#This Row],[Member Type]]="Main Member",Table2[[#This Row],[Product Option]]="My Value Plus Life &amp; Funeral"),Lookups!$D$16,
IF(AND(Table2[[#This Row],[Member Type]]="Spouse",Table2[[#This Row],[Product Option]]="My Value Plus Life &amp; Funeral",_xlfn.XLOOKUP(B153,Table2[Main Member Link ID],Table2[Benefit Name],0)=Lookups!$D$14),"",
IF(AND(Table2[[#This Row],[Member Type]]="Spouse",Table2[[#This Row],[Product Option]]="My Value Plus Life &amp; Funeral",_xlfn.XLOOKUP(B152,Table2[Main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Funeral",_xlfn.XLOOKUP(B153,Table2[Main Member Link ID],Table2[Benefit Name],0)&lt;&gt;Lookups!$D$16),
IF(_xlfn.XLOOKUP(B153,Table2[Main Member Link ID],Table2[Benefit Name],0)=0,"",_xlfn.XLOOKUP(B153,Table2[Main Member Link ID],Table2[Benefit Name],0)),"")
))))</f>
        <v/>
      </c>
      <c r="AH153" s="327" t="str">
        <f>IF(AND(Table2[[#This Row],[Member Type]]="Main Member",Table2[[#This Row],[Product Option]]="My Value Plus Life &amp; Funeral"),Lookups!$D$17,
IF(AND(Table2[[#This Row],[Member Type]]="Spouse",Table2[[#This Row],[Product Option]]="My Value Plus Life &amp; Funeral",_xlfn.XLOOKUP(B153,Table2[Main Member Link ID],Table2[Benefit Name],0)=Lookups!$D$14),"",
IF(AND(Table2[[#This Row],[Member Type]]="Spouse",Table2[[#This Row],[Product Option]]="My Value Plus Life &amp; Funeral",_xlfn.XLOOKUP(B152,Table2[Main Member Link ID],Table2[Benefit Name],0)=Lookups!$D$16),"",
IF(AND(Table2[[#This Row],[Member Type]]="Child",Table2[[#This Row],[Product Option]]="My Value Plus Life &amp; Funeral"),"",
IF(AND(Table2[[#This Row],[Member Type]]="Child",Table2[[#This Row],[Product Option]]="My Value Plus Life &amp; Funeral",_xlfn.XLOOKUP(B153,Table2[Main Member Link ID],Table2[Benefit Name],0)=Lookups!$D$15),"",
IF(AND(OR(Table2[[#This Row],[Member Type]]="Spouse",Table2[[#This Row],[Member Type]]="Child"),Table2[[#This Row],[Product Option]]="My Value Plus Life &amp; Funeral",_xlfn.XLOOKUP(B153,Table2[Main Member Link ID],Table2[Benefit Name],0)&lt;&gt;Lookups!$D$17),
IF(_xlfn.XLOOKUP(B153,Table2[Main Member Link ID],Table2[Benefit Name],0)=0,"",_xlfn.XLOOKUP(B153,Table2[Main Member Link ID],Table2[Benefit Name],0)),""))))))</f>
        <v/>
      </c>
      <c r="AI153" s="328" t="str">
        <f>IF(AND(Table2[[#This Row],[Member Type]]="Main Member",Table2[[#This Row],[Table Lookup for Life Cover]]="MM_LIFE",Table2[[#This Row],[Age Next Birthday]]&lt;56),1,
IF(AND(Table2[[#This Row],[Member Type]]="Main Member",Table2[[#This Row],[Table Lookup for Life Cover]]="MM_LIFE",Table2[[#This Row],[Age Next Birthday]]&gt;=56),2,
""))</f>
        <v/>
      </c>
      <c r="AJ153" s="328">
        <f>IF(OR(Table2[[#This Row],[Member Type]]="Main Member",Table2[[#This Row],[Main Member Link ID]]=B152),1,0)</f>
        <v>1</v>
      </c>
      <c r="AK153" s="328">
        <f>IF(Table2[[#This Row],[Member Type]]=0,0,
IF(OR(Table2[[#This Row],[Member Type]]="Main Member",Table2[[#This Row],[Main Member Link ID]]&lt;&gt;B153),COUNTIFS(B:B,Table2[[#This Row],[Main Member Link ID]]),
COUNTIFS(B:B,Table2[[#This Row],[Main Member Link ID]],A:A,Table2[[#This Row],[Member Type]])))</f>
        <v>0</v>
      </c>
    </row>
    <row r="154" spans="1:37" x14ac:dyDescent="0.3">
      <c r="A154" s="284">
        <f>Table13[[#This Row],[Member Type]]</f>
        <v>0</v>
      </c>
      <c r="B154" s="284">
        <f>Table13[[#This Row],[Main Member Link ID]]</f>
        <v>0</v>
      </c>
      <c r="C154" s="284">
        <f>Table13[[#This Row],[ID Number]]</f>
        <v>0</v>
      </c>
      <c r="D154" s="285">
        <f>Table13[[#This Row],[Date Of Birth]]</f>
        <v>0</v>
      </c>
      <c r="E154" s="285">
        <f>Table13[[#This Row],[Commencement Date]]</f>
        <v>0</v>
      </c>
      <c r="F154" s="284">
        <f t="shared" si="14"/>
        <v>1</v>
      </c>
      <c r="G154" s="284">
        <f t="shared" si="15"/>
        <v>25</v>
      </c>
      <c r="H154" s="286">
        <f>Table13[[#This Row],[Product Option]]</f>
        <v>0</v>
      </c>
      <c r="I154" s="284">
        <f>IF(AND($A154="Main Member",Table2[[#This Row],[Product Option]]="My Value Plus Life"),"MM_LIFE",
IF(AND($A154="Spouse",Table2[[#This Row],[Product Option]]="My Value Plus Life"),"SP_LIFE",
IF(AND($A154="Main Member",Table2[[#This Row],[Product Option]]="My Value Plus Life &amp; Funeral"),"MM_LIFE",
IF(AND($A154="Spouse",Table2[[#This Row],[Product Option]]="My Value Plus Life &amp; Funeral"),_xlfn.XLOOKUP(Table2[[#This Row],[Benefit Name]],Lookups!$D$18:$D$23,Lookups!$E$18:$E$23,0),
0))))</f>
        <v>0</v>
      </c>
      <c r="J154" s="284">
        <f>IF($I154="","",
IF($I154="MM_LIFE",INDEX('Quotation Tool'!$S$54:$V$60,MATCH($T154,'Quotation Tool'!$S$54:$S$60,0),4),
IF($I154="SP_LIFE",_xlfn.XLOOKUP(B153,$B:$B,$J:$J,0),0)))</f>
        <v>0</v>
      </c>
      <c r="K154" s="287">
        <f t="shared" ca="1" si="19"/>
        <v>0</v>
      </c>
      <c r="L154" s="288">
        <f t="shared" ca="1" si="20"/>
        <v>0</v>
      </c>
      <c r="M154" s="289">
        <f t="shared" ca="1" si="16"/>
        <v>0</v>
      </c>
      <c r="N154" s="286">
        <f>Table13[[#This Row],[Benefit Option]]</f>
        <v>0</v>
      </c>
      <c r="O154" s="284">
        <f>IF(OR(Table2[[#This Row],[Member Type]]="Spouse",Table2[[#This Row],[Member Type]]="Child"),0,
IF(_xlfn.XLOOKUP($N154,Lookups!$D$13:$D$27,Lookups!$F$13:$F$27,0)=Table2[[#This Row],[Table Lookup for Life Cover]],0,
_xlfn.XLOOKUP($N154,Lookups!$D$13:$D$27,Lookups!$F$13:$F$27,0)))</f>
        <v>0</v>
      </c>
      <c r="P154" s="284">
        <f>IF(Table2[[#This Row],[Table Lookup for Funeral]]=0,0,IFERROR(INDEX('Quotation Tool'!$S$54:$V$60,MATCH($T154,'Quotation Tool'!$S$54:$S$60,0),3),0))</f>
        <v>0</v>
      </c>
      <c r="Q154" s="288">
        <f ca="1">IF(OR(Table2[[#This Row],[Benefit Name]]="My Value Plus Life - Main Member",Table2[[#This Row],[Benefit Name]]="My Value Plus Life - Spouse"),0,
IFERROR(VLOOKUP($G154,INDIRECT($O154),$P154,FALSE),0))</f>
        <v>0</v>
      </c>
      <c r="R154" s="288">
        <f ca="1">IF(OR(Table2[[#This Row],[Benefit Name]]="My Value Plus Life - Main Member",Table2[[#This Row],[Benefit Name]]="My Value Plus Life - Spouse"),0,
IFERROR(VLOOKUP($G154,INDIRECT($O154),$P154+1,FALSE),0))</f>
        <v>0</v>
      </c>
      <c r="S154" s="289">
        <f t="shared" ca="1" si="17"/>
        <v>0</v>
      </c>
      <c r="T154" s="284" t="str">
        <f>IF(Table13[[#This Row],[Premium Waiver]]="","None",Table13[[#This Row],[Premium Waiver]])</f>
        <v>None</v>
      </c>
      <c r="U154" s="284">
        <f>Table13[[#This Row],[VAPs Options]]</f>
        <v>0</v>
      </c>
      <c r="V154" s="284">
        <f>Table13[[#This Row],[Annual Increase Option]]</f>
        <v>0</v>
      </c>
      <c r="W154" s="290">
        <f>Table13[[#This Row],[Life Cover Amount]]</f>
        <v>0</v>
      </c>
      <c r="X154" s="290">
        <f>Table13[[#This Row],[Funeral Cover Amount]]</f>
        <v>0</v>
      </c>
      <c r="Y15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5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54" s="301">
        <f t="shared" ca="1" si="18"/>
        <v>0</v>
      </c>
      <c r="AB154" s="298"/>
      <c r="AC154" s="326" t="str">
        <f>IF(Table2[[#This Row],[Member Type]]="Main Member",Lookups!$C$13,
IF(Table2[[#This Row],[Member Type]]="Spouse",_xlfn.XLOOKUP(B154,Table2[Main Member Link ID],Table2[Product Option],0),
IF(AND(Table2[[#This Row],[Member Type]]="Child",_xlfn.XLOOKUP(B154,Table2[Main Member Link ID],Table2[Product Option],0)&lt;&gt;"My Value Plus Life"),Lookups!$C$24,
IF(AND(OR(Table2[[#This Row],[Member Type]]="Parent",Table2[[#This Row],[Member Type]]="Extended"),_xlfn.XLOOKUP(B154,Table2[Main Member Link ID],Table2[Product Option],0)&lt;&gt;"My Value Plus Life"),Lookups!$C$26,""))))</f>
        <v/>
      </c>
      <c r="AD154" s="326" t="str">
        <f>IF(Table2[[#This Row],[Member Type]]="Main Member",Lookups!$C$14,"")</f>
        <v/>
      </c>
      <c r="AE15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Funeral",_xlfn.XLOOKUP(B154,Table2[Main Member Link ID],Table2[Benefit Name],0)=Lookups!$D$14),"",
IF(AND(Table2[[#This Row],[Member Type]]="Spouse",Table2[[#This Row],[Product Option]]="My Value Plus Life &amp; Funeral",_xlfn.XLOOKUP(B153,Table2[Main Member Link ID],Table2[Benefit Name],0)=Lookups!$D$15),Lookups!$D$20,
IF(AND(Table2[[#This Row],[Member Type]]="Spouse",Table2[[#This Row],[Product Option]]="My Value Plus Life &amp; Funeral",_xlfn.XLOOKUP(B153,Table2[Main Member Link ID],Table2[Benefit Name],0)=Lookups!$D$16),"",
IF(AND(Table2[[#This Row],[Member Type]]="Spouse",Table2[[#This Row],[Product Option]]="My Value Plus Life &amp; Funeral",_xlfn.XLOOKUP(B153,Table2[Main Member Link ID],Table2[Benefit Name],0)=Lookups!$D$17),Lookups!$D$21,
IF(AND(Table2[[#This Row],[Member Type]]="Child",Table2[[#This Row],[Product Option]]="My Value Plus Life &amp; Funeral",_xlfn.XLOOKUP(B154,Table2[Main Member Link ID],Table2[Benefit Name],0)=Lookups!$D$14),"",
IF(AND(Table2[[#This Row],[Member Type]]="Child",Table2[[#This Row],[Product Option]]="My Value Plus Life &amp; Funeral",_xlfn.XLOOKUP(B154,Table2[Main Member Link ID],Table2[Benefit Name],0)=Lookups!$D$15),"",
IF(AND(Table2[[#This Row],[Member Type]]="Child",Table2[[#This Row],[Product Option]]="My Value Plus Life &amp; Funeral",_xlfn.XLOOKUP(B154,Table2[Main Member Link ID],Table2[Benefit Name],0)=Lookups!$D$16),Lookups!$D$24,
IF(AND(Table2[[#This Row],[Member Type]]="Child",Table2[[#This Row],[Product Option]]="My Value Plus Life &amp; Funeral",_xlfn.XLOOKUP(B154,Table2[Main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Funeral",_xlfn.XLOOKUP(B154,Table2[Main Member Link ID],Table2[Benefit Name],0)&lt;&gt;Lookups!$D$14),
IF(_xlfn.XLOOKUP(B154,Table2[Main Member Link ID],Table2[Benefit Name],0)=0,"",_xlfn.XLOOKUP(B154,Table2[Main Member Link ID],Table2[Benefit Name],0)),"")))))))))))))))</f>
        <v/>
      </c>
      <c r="AF154" s="327" t="str">
        <f>IF(AND(Table2[[#This Row],[Member Type]]="Main Member",Table2[[#This Row],[Product Option]]="My Value Plus Life &amp; Funeral"),Lookups!$D$15,
IF(AND(Table2[[#This Row],[Member Type]]="Spouse",Table2[[#This Row],[Product Option]]="My Value Plus Life &amp; Funeral",_xlfn.XLOOKUP(B154,Table2[Main Member Link ID],Table2[Benefit Name],0)=Lookups!$D$14),"",
IF(AND(Table2[[#This Row],[Member Type]]="Spouse",Table2[[#This Row],[Product Option]]="My Value Plus Life &amp; Funeral",_xlfn.XLOOKUP(B153,Table2[Main Member Link ID],Table2[Benefit Name],0)=Lookups!$D$16),"",
IF(AND(Table2[[#This Row],[Member Type]]="Spouse",Table2[[#This Row],[Product Option]]="My Value Plus Life &amp; Funeral",_xlfn.XLOOKUP(B153,Table2[Main Member Link ID],Table2[Benefit Name],0)=Lookups!$D$15),"",
IF(AND(Table2[[#This Row],[Member Type]]="Spouse",Table2[[#This Row],[Product Option]]="My Value Plus Life &amp; Funeral",_xlfn.XLOOKUP(B153,Table2[Main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Funeral",_xlfn.XLOOKUP(B154,Table2[Main Member Link ID],Table2[Benefit Name],0)&lt;&gt;Lookups!$D$15),
IF(_xlfn.XLOOKUP(B154,Table2[Main Member Link ID],Table2[Benefit Name],0)=0,"",_xlfn.XLOOKUP(B154,Table2[Main Member Link ID],Table2[Benefit Name],0)),"")
))))))</f>
        <v/>
      </c>
      <c r="AG154" s="327" t="str">
        <f>IF(AND(Table2[[#This Row],[Member Type]]="Main Member",Table2[[#This Row],[Product Option]]="My Value Plus Life &amp; Funeral"),Lookups!$D$16,
IF(AND(Table2[[#This Row],[Member Type]]="Spouse",Table2[[#This Row],[Product Option]]="My Value Plus Life &amp; Funeral",_xlfn.XLOOKUP(B154,Table2[Main Member Link ID],Table2[Benefit Name],0)=Lookups!$D$14),"",
IF(AND(Table2[[#This Row],[Member Type]]="Spouse",Table2[[#This Row],[Product Option]]="My Value Plus Life &amp; Funeral",_xlfn.XLOOKUP(B153,Table2[Main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Funeral",_xlfn.XLOOKUP(B154,Table2[Main Member Link ID],Table2[Benefit Name],0)&lt;&gt;Lookups!$D$16),
IF(_xlfn.XLOOKUP(B154,Table2[Main Member Link ID],Table2[Benefit Name],0)=0,"",_xlfn.XLOOKUP(B154,Table2[Main Member Link ID],Table2[Benefit Name],0)),"")
))))</f>
        <v/>
      </c>
      <c r="AH154" s="327" t="str">
        <f>IF(AND(Table2[[#This Row],[Member Type]]="Main Member",Table2[[#This Row],[Product Option]]="My Value Plus Life &amp; Funeral"),Lookups!$D$17,
IF(AND(Table2[[#This Row],[Member Type]]="Spouse",Table2[[#This Row],[Product Option]]="My Value Plus Life &amp; Funeral",_xlfn.XLOOKUP(B154,Table2[Main Member Link ID],Table2[Benefit Name],0)=Lookups!$D$14),"",
IF(AND(Table2[[#This Row],[Member Type]]="Spouse",Table2[[#This Row],[Product Option]]="My Value Plus Life &amp; Funeral",_xlfn.XLOOKUP(B153,Table2[Main Member Link ID],Table2[Benefit Name],0)=Lookups!$D$16),"",
IF(AND(Table2[[#This Row],[Member Type]]="Child",Table2[[#This Row],[Product Option]]="My Value Plus Life &amp; Funeral"),"",
IF(AND(Table2[[#This Row],[Member Type]]="Child",Table2[[#This Row],[Product Option]]="My Value Plus Life &amp; Funeral",_xlfn.XLOOKUP(B154,Table2[Main Member Link ID],Table2[Benefit Name],0)=Lookups!$D$15),"",
IF(AND(OR(Table2[[#This Row],[Member Type]]="Spouse",Table2[[#This Row],[Member Type]]="Child"),Table2[[#This Row],[Product Option]]="My Value Plus Life &amp; Funeral",_xlfn.XLOOKUP(B154,Table2[Main Member Link ID],Table2[Benefit Name],0)&lt;&gt;Lookups!$D$17),
IF(_xlfn.XLOOKUP(B154,Table2[Main Member Link ID],Table2[Benefit Name],0)=0,"",_xlfn.XLOOKUP(B154,Table2[Main Member Link ID],Table2[Benefit Name],0)),""))))))</f>
        <v/>
      </c>
      <c r="AI154" s="328" t="str">
        <f>IF(AND(Table2[[#This Row],[Member Type]]="Main Member",Table2[[#This Row],[Table Lookup for Life Cover]]="MM_LIFE",Table2[[#This Row],[Age Next Birthday]]&lt;56),1,
IF(AND(Table2[[#This Row],[Member Type]]="Main Member",Table2[[#This Row],[Table Lookup for Life Cover]]="MM_LIFE",Table2[[#This Row],[Age Next Birthday]]&gt;=56),2,
""))</f>
        <v/>
      </c>
      <c r="AJ154" s="328">
        <f>IF(OR(Table2[[#This Row],[Member Type]]="Main Member",Table2[[#This Row],[Main Member Link ID]]=B153),1,0)</f>
        <v>1</v>
      </c>
      <c r="AK154" s="328">
        <f>IF(Table2[[#This Row],[Member Type]]=0,0,
IF(OR(Table2[[#This Row],[Member Type]]="Main Member",Table2[[#This Row],[Main Member Link ID]]&lt;&gt;B154),COUNTIFS(B:B,Table2[[#This Row],[Main Member Link ID]]),
COUNTIFS(B:B,Table2[[#This Row],[Main Member Link ID]],A:A,Table2[[#This Row],[Member Type]])))</f>
        <v>0</v>
      </c>
    </row>
    <row r="155" spans="1:37" x14ac:dyDescent="0.3">
      <c r="A155" s="284">
        <f>Table13[[#This Row],[Member Type]]</f>
        <v>0</v>
      </c>
      <c r="B155" s="284">
        <f>Table13[[#This Row],[Main Member Link ID]]</f>
        <v>0</v>
      </c>
      <c r="C155" s="284">
        <f>Table13[[#This Row],[ID Number]]</f>
        <v>0</v>
      </c>
      <c r="D155" s="285">
        <f>Table13[[#This Row],[Date Of Birth]]</f>
        <v>0</v>
      </c>
      <c r="E155" s="285">
        <f>Table13[[#This Row],[Commencement Date]]</f>
        <v>0</v>
      </c>
      <c r="F155" s="284">
        <f t="shared" si="14"/>
        <v>1</v>
      </c>
      <c r="G155" s="284">
        <f t="shared" si="15"/>
        <v>25</v>
      </c>
      <c r="H155" s="286">
        <f>Table13[[#This Row],[Product Option]]</f>
        <v>0</v>
      </c>
      <c r="I155" s="284">
        <f>IF(AND($A155="Main Member",Table2[[#This Row],[Product Option]]="My Value Plus Life"),"MM_LIFE",
IF(AND($A155="Spouse",Table2[[#This Row],[Product Option]]="My Value Plus Life"),"SP_LIFE",
IF(AND($A155="Main Member",Table2[[#This Row],[Product Option]]="My Value Plus Life &amp; Funeral"),"MM_LIFE",
IF(AND($A155="Spouse",Table2[[#This Row],[Product Option]]="My Value Plus Life &amp; Funeral"),_xlfn.XLOOKUP(Table2[[#This Row],[Benefit Name]],Lookups!$D$18:$D$23,Lookups!$E$18:$E$23,0),
0))))</f>
        <v>0</v>
      </c>
      <c r="J155" s="284">
        <f>IF($I155="","",
IF($I155="MM_LIFE",INDEX('Quotation Tool'!$S$54:$V$60,MATCH($T155,'Quotation Tool'!$S$54:$S$60,0),4),
IF($I155="SP_LIFE",_xlfn.XLOOKUP(B154,$B:$B,$J:$J,0),0)))</f>
        <v>0</v>
      </c>
      <c r="K155" s="287">
        <f t="shared" ca="1" si="19"/>
        <v>0</v>
      </c>
      <c r="L155" s="288">
        <f t="shared" ca="1" si="20"/>
        <v>0</v>
      </c>
      <c r="M155" s="289">
        <f t="shared" ca="1" si="16"/>
        <v>0</v>
      </c>
      <c r="N155" s="286">
        <f>Table13[[#This Row],[Benefit Option]]</f>
        <v>0</v>
      </c>
      <c r="O155" s="284">
        <f>IF(OR(Table2[[#This Row],[Member Type]]="Spouse",Table2[[#This Row],[Member Type]]="Child"),0,
IF(_xlfn.XLOOKUP($N155,Lookups!$D$13:$D$27,Lookups!$F$13:$F$27,0)=Table2[[#This Row],[Table Lookup for Life Cover]],0,
_xlfn.XLOOKUP($N155,Lookups!$D$13:$D$27,Lookups!$F$13:$F$27,0)))</f>
        <v>0</v>
      </c>
      <c r="P155" s="284">
        <f>IF(Table2[[#This Row],[Table Lookup for Funeral]]=0,0,IFERROR(INDEX('Quotation Tool'!$S$54:$V$60,MATCH($T155,'Quotation Tool'!$S$54:$S$60,0),3),0))</f>
        <v>0</v>
      </c>
      <c r="Q155" s="288">
        <f ca="1">IF(OR(Table2[[#This Row],[Benefit Name]]="My Value Plus Life - Main Member",Table2[[#This Row],[Benefit Name]]="My Value Plus Life - Spouse"),0,
IFERROR(VLOOKUP($G155,INDIRECT($O155),$P155,FALSE),0))</f>
        <v>0</v>
      </c>
      <c r="R155" s="288">
        <f ca="1">IF(OR(Table2[[#This Row],[Benefit Name]]="My Value Plus Life - Main Member",Table2[[#This Row],[Benefit Name]]="My Value Plus Life - Spouse"),0,
IFERROR(VLOOKUP($G155,INDIRECT($O155),$P155+1,FALSE),0))</f>
        <v>0</v>
      </c>
      <c r="S155" s="289">
        <f t="shared" ca="1" si="17"/>
        <v>0</v>
      </c>
      <c r="T155" s="284" t="str">
        <f>IF(Table13[[#This Row],[Premium Waiver]]="","None",Table13[[#This Row],[Premium Waiver]])</f>
        <v>None</v>
      </c>
      <c r="U155" s="284">
        <f>Table13[[#This Row],[VAPs Options]]</f>
        <v>0</v>
      </c>
      <c r="V155" s="284">
        <f>Table13[[#This Row],[Annual Increase Option]]</f>
        <v>0</v>
      </c>
      <c r="W155" s="290">
        <f>Table13[[#This Row],[Life Cover Amount]]</f>
        <v>0</v>
      </c>
      <c r="X155" s="290">
        <f>Table13[[#This Row],[Funeral Cover Amount]]</f>
        <v>0</v>
      </c>
      <c r="Y15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5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55" s="301">
        <f t="shared" ca="1" si="18"/>
        <v>0</v>
      </c>
      <c r="AB155" s="298"/>
      <c r="AC155" s="326" t="str">
        <f>IF(Table2[[#This Row],[Member Type]]="Main Member",Lookups!$C$13,
IF(Table2[[#This Row],[Member Type]]="Spouse",_xlfn.XLOOKUP(B155,Table2[Main Member Link ID],Table2[Product Option],0),
IF(AND(Table2[[#This Row],[Member Type]]="Child",_xlfn.XLOOKUP(B155,Table2[Main Member Link ID],Table2[Product Option],0)&lt;&gt;"My Value Plus Life"),Lookups!$C$24,
IF(AND(OR(Table2[[#This Row],[Member Type]]="Parent",Table2[[#This Row],[Member Type]]="Extended"),_xlfn.XLOOKUP(B155,Table2[Main Member Link ID],Table2[Product Option],0)&lt;&gt;"My Value Plus Life"),Lookups!$C$26,""))))</f>
        <v/>
      </c>
      <c r="AD155" s="326" t="str">
        <f>IF(Table2[[#This Row],[Member Type]]="Main Member",Lookups!$C$14,"")</f>
        <v/>
      </c>
      <c r="AE15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Funeral",_xlfn.XLOOKUP(B155,Table2[Main Member Link ID],Table2[Benefit Name],0)=Lookups!$D$14),"",
IF(AND(Table2[[#This Row],[Member Type]]="Spouse",Table2[[#This Row],[Product Option]]="My Value Plus Life &amp; Funeral",_xlfn.XLOOKUP(B154,Table2[Main Member Link ID],Table2[Benefit Name],0)=Lookups!$D$15),Lookups!$D$20,
IF(AND(Table2[[#This Row],[Member Type]]="Spouse",Table2[[#This Row],[Product Option]]="My Value Plus Life &amp; Funeral",_xlfn.XLOOKUP(B154,Table2[Main Member Link ID],Table2[Benefit Name],0)=Lookups!$D$16),"",
IF(AND(Table2[[#This Row],[Member Type]]="Spouse",Table2[[#This Row],[Product Option]]="My Value Plus Life &amp; Funeral",_xlfn.XLOOKUP(B154,Table2[Main Member Link ID],Table2[Benefit Name],0)=Lookups!$D$17),Lookups!$D$21,
IF(AND(Table2[[#This Row],[Member Type]]="Child",Table2[[#This Row],[Product Option]]="My Value Plus Life &amp; Funeral",_xlfn.XLOOKUP(B155,Table2[Main Member Link ID],Table2[Benefit Name],0)=Lookups!$D$14),"",
IF(AND(Table2[[#This Row],[Member Type]]="Child",Table2[[#This Row],[Product Option]]="My Value Plus Life &amp; Funeral",_xlfn.XLOOKUP(B155,Table2[Main Member Link ID],Table2[Benefit Name],0)=Lookups!$D$15),"",
IF(AND(Table2[[#This Row],[Member Type]]="Child",Table2[[#This Row],[Product Option]]="My Value Plus Life &amp; Funeral",_xlfn.XLOOKUP(B155,Table2[Main Member Link ID],Table2[Benefit Name],0)=Lookups!$D$16),Lookups!$D$24,
IF(AND(Table2[[#This Row],[Member Type]]="Child",Table2[[#This Row],[Product Option]]="My Value Plus Life &amp; Funeral",_xlfn.XLOOKUP(B155,Table2[Main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Funeral",_xlfn.XLOOKUP(B155,Table2[Main Member Link ID],Table2[Benefit Name],0)&lt;&gt;Lookups!$D$14),
IF(_xlfn.XLOOKUP(B155,Table2[Main Member Link ID],Table2[Benefit Name],0)=0,"",_xlfn.XLOOKUP(B155,Table2[Main Member Link ID],Table2[Benefit Name],0)),"")))))))))))))))</f>
        <v/>
      </c>
      <c r="AF155" s="327" t="str">
        <f>IF(AND(Table2[[#This Row],[Member Type]]="Main Member",Table2[[#This Row],[Product Option]]="My Value Plus Life &amp; Funeral"),Lookups!$D$15,
IF(AND(Table2[[#This Row],[Member Type]]="Spouse",Table2[[#This Row],[Product Option]]="My Value Plus Life &amp; Funeral",_xlfn.XLOOKUP(B155,Table2[Main Member Link ID],Table2[Benefit Name],0)=Lookups!$D$14),"",
IF(AND(Table2[[#This Row],[Member Type]]="Spouse",Table2[[#This Row],[Product Option]]="My Value Plus Life &amp; Funeral",_xlfn.XLOOKUP(B154,Table2[Main Member Link ID],Table2[Benefit Name],0)=Lookups!$D$16),"",
IF(AND(Table2[[#This Row],[Member Type]]="Spouse",Table2[[#This Row],[Product Option]]="My Value Plus Life &amp; Funeral",_xlfn.XLOOKUP(B154,Table2[Main Member Link ID],Table2[Benefit Name],0)=Lookups!$D$15),"",
IF(AND(Table2[[#This Row],[Member Type]]="Spouse",Table2[[#This Row],[Product Option]]="My Value Plus Life &amp; Funeral",_xlfn.XLOOKUP(B154,Table2[Main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Funeral",_xlfn.XLOOKUP(B155,Table2[Main Member Link ID],Table2[Benefit Name],0)&lt;&gt;Lookups!$D$15),
IF(_xlfn.XLOOKUP(B155,Table2[Main Member Link ID],Table2[Benefit Name],0)=0,"",_xlfn.XLOOKUP(B155,Table2[Main Member Link ID],Table2[Benefit Name],0)),"")
))))))</f>
        <v/>
      </c>
      <c r="AG155" s="327" t="str">
        <f>IF(AND(Table2[[#This Row],[Member Type]]="Main Member",Table2[[#This Row],[Product Option]]="My Value Plus Life &amp; Funeral"),Lookups!$D$16,
IF(AND(Table2[[#This Row],[Member Type]]="Spouse",Table2[[#This Row],[Product Option]]="My Value Plus Life &amp; Funeral",_xlfn.XLOOKUP(B155,Table2[Main Member Link ID],Table2[Benefit Name],0)=Lookups!$D$14),"",
IF(AND(Table2[[#This Row],[Member Type]]="Spouse",Table2[[#This Row],[Product Option]]="My Value Plus Life &amp; Funeral",_xlfn.XLOOKUP(B154,Table2[Main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Funeral",_xlfn.XLOOKUP(B155,Table2[Main Member Link ID],Table2[Benefit Name],0)&lt;&gt;Lookups!$D$16),
IF(_xlfn.XLOOKUP(B155,Table2[Main Member Link ID],Table2[Benefit Name],0)=0,"",_xlfn.XLOOKUP(B155,Table2[Main Member Link ID],Table2[Benefit Name],0)),"")
))))</f>
        <v/>
      </c>
      <c r="AH155" s="327" t="str">
        <f>IF(AND(Table2[[#This Row],[Member Type]]="Main Member",Table2[[#This Row],[Product Option]]="My Value Plus Life &amp; Funeral"),Lookups!$D$17,
IF(AND(Table2[[#This Row],[Member Type]]="Spouse",Table2[[#This Row],[Product Option]]="My Value Plus Life &amp; Funeral",_xlfn.XLOOKUP(B155,Table2[Main Member Link ID],Table2[Benefit Name],0)=Lookups!$D$14),"",
IF(AND(Table2[[#This Row],[Member Type]]="Spouse",Table2[[#This Row],[Product Option]]="My Value Plus Life &amp; Funeral",_xlfn.XLOOKUP(B154,Table2[Main Member Link ID],Table2[Benefit Name],0)=Lookups!$D$16),"",
IF(AND(Table2[[#This Row],[Member Type]]="Child",Table2[[#This Row],[Product Option]]="My Value Plus Life &amp; Funeral"),"",
IF(AND(Table2[[#This Row],[Member Type]]="Child",Table2[[#This Row],[Product Option]]="My Value Plus Life &amp; Funeral",_xlfn.XLOOKUP(B155,Table2[Main Member Link ID],Table2[Benefit Name],0)=Lookups!$D$15),"",
IF(AND(OR(Table2[[#This Row],[Member Type]]="Spouse",Table2[[#This Row],[Member Type]]="Child"),Table2[[#This Row],[Product Option]]="My Value Plus Life &amp; Funeral",_xlfn.XLOOKUP(B155,Table2[Main Member Link ID],Table2[Benefit Name],0)&lt;&gt;Lookups!$D$17),
IF(_xlfn.XLOOKUP(B155,Table2[Main Member Link ID],Table2[Benefit Name],0)=0,"",_xlfn.XLOOKUP(B155,Table2[Main Member Link ID],Table2[Benefit Name],0)),""))))))</f>
        <v/>
      </c>
      <c r="AI155" s="328" t="str">
        <f>IF(AND(Table2[[#This Row],[Member Type]]="Main Member",Table2[[#This Row],[Table Lookup for Life Cover]]="MM_LIFE",Table2[[#This Row],[Age Next Birthday]]&lt;56),1,
IF(AND(Table2[[#This Row],[Member Type]]="Main Member",Table2[[#This Row],[Table Lookup for Life Cover]]="MM_LIFE",Table2[[#This Row],[Age Next Birthday]]&gt;=56),2,
""))</f>
        <v/>
      </c>
      <c r="AJ155" s="328">
        <f>IF(OR(Table2[[#This Row],[Member Type]]="Main Member",Table2[[#This Row],[Main Member Link ID]]=B154),1,0)</f>
        <v>1</v>
      </c>
      <c r="AK155" s="328">
        <f>IF(Table2[[#This Row],[Member Type]]=0,0,
IF(OR(Table2[[#This Row],[Member Type]]="Main Member",Table2[[#This Row],[Main Member Link ID]]&lt;&gt;B155),COUNTIFS(B:B,Table2[[#This Row],[Main Member Link ID]]),
COUNTIFS(B:B,Table2[[#This Row],[Main Member Link ID]],A:A,Table2[[#This Row],[Member Type]])))</f>
        <v>0</v>
      </c>
    </row>
    <row r="156" spans="1:37" x14ac:dyDescent="0.3">
      <c r="A156" s="284">
        <f>Table13[[#This Row],[Member Type]]</f>
        <v>0</v>
      </c>
      <c r="B156" s="284">
        <f>Table13[[#This Row],[Main Member Link ID]]</f>
        <v>0</v>
      </c>
      <c r="C156" s="284">
        <f>Table13[[#This Row],[ID Number]]</f>
        <v>0</v>
      </c>
      <c r="D156" s="285">
        <f>Table13[[#This Row],[Date Of Birth]]</f>
        <v>0</v>
      </c>
      <c r="E156" s="285">
        <f>Table13[[#This Row],[Commencement Date]]</f>
        <v>0</v>
      </c>
      <c r="F156" s="284">
        <f t="shared" si="14"/>
        <v>1</v>
      </c>
      <c r="G156" s="284">
        <f t="shared" si="15"/>
        <v>25</v>
      </c>
      <c r="H156" s="286">
        <f>Table13[[#This Row],[Product Option]]</f>
        <v>0</v>
      </c>
      <c r="I156" s="284">
        <f>IF(AND($A156="Main Member",Table2[[#This Row],[Product Option]]="My Value Plus Life"),"MM_LIFE",
IF(AND($A156="Spouse",Table2[[#This Row],[Product Option]]="My Value Plus Life"),"SP_LIFE",
IF(AND($A156="Main Member",Table2[[#This Row],[Product Option]]="My Value Plus Life &amp; Funeral"),"MM_LIFE",
IF(AND($A156="Spouse",Table2[[#This Row],[Product Option]]="My Value Plus Life &amp; Funeral"),_xlfn.XLOOKUP(Table2[[#This Row],[Benefit Name]],Lookups!$D$18:$D$23,Lookups!$E$18:$E$23,0),
0))))</f>
        <v>0</v>
      </c>
      <c r="J156" s="284">
        <f>IF($I156="","",
IF($I156="MM_LIFE",INDEX('Quotation Tool'!$S$54:$V$60,MATCH($T156,'Quotation Tool'!$S$54:$S$60,0),4),
IF($I156="SP_LIFE",_xlfn.XLOOKUP(B155,$B:$B,$J:$J,0),0)))</f>
        <v>0</v>
      </c>
      <c r="K156" s="287">
        <f t="shared" ca="1" si="19"/>
        <v>0</v>
      </c>
      <c r="L156" s="288">
        <f t="shared" ca="1" si="20"/>
        <v>0</v>
      </c>
      <c r="M156" s="289">
        <f t="shared" ca="1" si="16"/>
        <v>0</v>
      </c>
      <c r="N156" s="286">
        <f>Table13[[#This Row],[Benefit Option]]</f>
        <v>0</v>
      </c>
      <c r="O156" s="284">
        <f>IF(OR(Table2[[#This Row],[Member Type]]="Spouse",Table2[[#This Row],[Member Type]]="Child"),0,
IF(_xlfn.XLOOKUP($N156,Lookups!$D$13:$D$27,Lookups!$F$13:$F$27,0)=Table2[[#This Row],[Table Lookup for Life Cover]],0,
_xlfn.XLOOKUP($N156,Lookups!$D$13:$D$27,Lookups!$F$13:$F$27,0)))</f>
        <v>0</v>
      </c>
      <c r="P156" s="284">
        <f>IF(Table2[[#This Row],[Table Lookup for Funeral]]=0,0,IFERROR(INDEX('Quotation Tool'!$S$54:$V$60,MATCH($T156,'Quotation Tool'!$S$54:$S$60,0),3),0))</f>
        <v>0</v>
      </c>
      <c r="Q156" s="288">
        <f ca="1">IF(OR(Table2[[#This Row],[Benefit Name]]="My Value Plus Life - Main Member",Table2[[#This Row],[Benefit Name]]="My Value Plus Life - Spouse"),0,
IFERROR(VLOOKUP($G156,INDIRECT($O156),$P156,FALSE),0))</f>
        <v>0</v>
      </c>
      <c r="R156" s="288">
        <f ca="1">IF(OR(Table2[[#This Row],[Benefit Name]]="My Value Plus Life - Main Member",Table2[[#This Row],[Benefit Name]]="My Value Plus Life - Spouse"),0,
IFERROR(VLOOKUP($G156,INDIRECT($O156),$P156+1,FALSE),0))</f>
        <v>0</v>
      </c>
      <c r="S156" s="289">
        <f t="shared" ca="1" si="17"/>
        <v>0</v>
      </c>
      <c r="T156" s="284" t="str">
        <f>IF(Table13[[#This Row],[Premium Waiver]]="","None",Table13[[#This Row],[Premium Waiver]])</f>
        <v>None</v>
      </c>
      <c r="U156" s="284">
        <f>Table13[[#This Row],[VAPs Options]]</f>
        <v>0</v>
      </c>
      <c r="V156" s="284">
        <f>Table13[[#This Row],[Annual Increase Option]]</f>
        <v>0</v>
      </c>
      <c r="W156" s="290">
        <f>Table13[[#This Row],[Life Cover Amount]]</f>
        <v>0</v>
      </c>
      <c r="X156" s="290">
        <f>Table13[[#This Row],[Funeral Cover Amount]]</f>
        <v>0</v>
      </c>
      <c r="Y15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5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56" s="301">
        <f t="shared" ca="1" si="18"/>
        <v>0</v>
      </c>
      <c r="AB156" s="298"/>
      <c r="AC156" s="326" t="str">
        <f>IF(Table2[[#This Row],[Member Type]]="Main Member",Lookups!$C$13,
IF(Table2[[#This Row],[Member Type]]="Spouse",_xlfn.XLOOKUP(B156,Table2[Main Member Link ID],Table2[Product Option],0),
IF(AND(Table2[[#This Row],[Member Type]]="Child",_xlfn.XLOOKUP(B156,Table2[Main Member Link ID],Table2[Product Option],0)&lt;&gt;"My Value Plus Life"),Lookups!$C$24,
IF(AND(OR(Table2[[#This Row],[Member Type]]="Parent",Table2[[#This Row],[Member Type]]="Extended"),_xlfn.XLOOKUP(B156,Table2[Main Member Link ID],Table2[Product Option],0)&lt;&gt;"My Value Plus Life"),Lookups!$C$26,""))))</f>
        <v/>
      </c>
      <c r="AD156" s="326" t="str">
        <f>IF(Table2[[#This Row],[Member Type]]="Main Member",Lookups!$C$14,"")</f>
        <v/>
      </c>
      <c r="AE15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Funeral",_xlfn.XLOOKUP(B156,Table2[Main Member Link ID],Table2[Benefit Name],0)=Lookups!$D$14),"",
IF(AND(Table2[[#This Row],[Member Type]]="Spouse",Table2[[#This Row],[Product Option]]="My Value Plus Life &amp; Funeral",_xlfn.XLOOKUP(B155,Table2[Main Member Link ID],Table2[Benefit Name],0)=Lookups!$D$15),Lookups!$D$20,
IF(AND(Table2[[#This Row],[Member Type]]="Spouse",Table2[[#This Row],[Product Option]]="My Value Plus Life &amp; Funeral",_xlfn.XLOOKUP(B155,Table2[Main Member Link ID],Table2[Benefit Name],0)=Lookups!$D$16),"",
IF(AND(Table2[[#This Row],[Member Type]]="Spouse",Table2[[#This Row],[Product Option]]="My Value Plus Life &amp; Funeral",_xlfn.XLOOKUP(B155,Table2[Main Member Link ID],Table2[Benefit Name],0)=Lookups!$D$17),Lookups!$D$21,
IF(AND(Table2[[#This Row],[Member Type]]="Child",Table2[[#This Row],[Product Option]]="My Value Plus Life &amp; Funeral",_xlfn.XLOOKUP(B156,Table2[Main Member Link ID],Table2[Benefit Name],0)=Lookups!$D$14),"",
IF(AND(Table2[[#This Row],[Member Type]]="Child",Table2[[#This Row],[Product Option]]="My Value Plus Life &amp; Funeral",_xlfn.XLOOKUP(B156,Table2[Main Member Link ID],Table2[Benefit Name],0)=Lookups!$D$15),"",
IF(AND(Table2[[#This Row],[Member Type]]="Child",Table2[[#This Row],[Product Option]]="My Value Plus Life &amp; Funeral",_xlfn.XLOOKUP(B156,Table2[Main Member Link ID],Table2[Benefit Name],0)=Lookups!$D$16),Lookups!$D$24,
IF(AND(Table2[[#This Row],[Member Type]]="Child",Table2[[#This Row],[Product Option]]="My Value Plus Life &amp; Funeral",_xlfn.XLOOKUP(B156,Table2[Main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Funeral",_xlfn.XLOOKUP(B156,Table2[Main Member Link ID],Table2[Benefit Name],0)&lt;&gt;Lookups!$D$14),
IF(_xlfn.XLOOKUP(B156,Table2[Main Member Link ID],Table2[Benefit Name],0)=0,"",_xlfn.XLOOKUP(B156,Table2[Main Member Link ID],Table2[Benefit Name],0)),"")))))))))))))))</f>
        <v/>
      </c>
      <c r="AF156" s="327" t="str">
        <f>IF(AND(Table2[[#This Row],[Member Type]]="Main Member",Table2[[#This Row],[Product Option]]="My Value Plus Life &amp; Funeral"),Lookups!$D$15,
IF(AND(Table2[[#This Row],[Member Type]]="Spouse",Table2[[#This Row],[Product Option]]="My Value Plus Life &amp; Funeral",_xlfn.XLOOKUP(B156,Table2[Main Member Link ID],Table2[Benefit Name],0)=Lookups!$D$14),"",
IF(AND(Table2[[#This Row],[Member Type]]="Spouse",Table2[[#This Row],[Product Option]]="My Value Plus Life &amp; Funeral",_xlfn.XLOOKUP(B155,Table2[Main Member Link ID],Table2[Benefit Name],0)=Lookups!$D$16),"",
IF(AND(Table2[[#This Row],[Member Type]]="Spouse",Table2[[#This Row],[Product Option]]="My Value Plus Life &amp; Funeral",_xlfn.XLOOKUP(B155,Table2[Main Member Link ID],Table2[Benefit Name],0)=Lookups!$D$15),"",
IF(AND(Table2[[#This Row],[Member Type]]="Spouse",Table2[[#This Row],[Product Option]]="My Value Plus Life &amp; Funeral",_xlfn.XLOOKUP(B155,Table2[Main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Funeral",_xlfn.XLOOKUP(B156,Table2[Main Member Link ID],Table2[Benefit Name],0)&lt;&gt;Lookups!$D$15),
IF(_xlfn.XLOOKUP(B156,Table2[Main Member Link ID],Table2[Benefit Name],0)=0,"",_xlfn.XLOOKUP(B156,Table2[Main Member Link ID],Table2[Benefit Name],0)),"")
))))))</f>
        <v/>
      </c>
      <c r="AG156" s="327" t="str">
        <f>IF(AND(Table2[[#This Row],[Member Type]]="Main Member",Table2[[#This Row],[Product Option]]="My Value Plus Life &amp; Funeral"),Lookups!$D$16,
IF(AND(Table2[[#This Row],[Member Type]]="Spouse",Table2[[#This Row],[Product Option]]="My Value Plus Life &amp; Funeral",_xlfn.XLOOKUP(B156,Table2[Main Member Link ID],Table2[Benefit Name],0)=Lookups!$D$14),"",
IF(AND(Table2[[#This Row],[Member Type]]="Spouse",Table2[[#This Row],[Product Option]]="My Value Plus Life &amp; Funeral",_xlfn.XLOOKUP(B155,Table2[Main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Funeral",_xlfn.XLOOKUP(B156,Table2[Main Member Link ID],Table2[Benefit Name],0)&lt;&gt;Lookups!$D$16),
IF(_xlfn.XLOOKUP(B156,Table2[Main Member Link ID],Table2[Benefit Name],0)=0,"",_xlfn.XLOOKUP(B156,Table2[Main Member Link ID],Table2[Benefit Name],0)),"")
))))</f>
        <v/>
      </c>
      <c r="AH156" s="327" t="str">
        <f>IF(AND(Table2[[#This Row],[Member Type]]="Main Member",Table2[[#This Row],[Product Option]]="My Value Plus Life &amp; Funeral"),Lookups!$D$17,
IF(AND(Table2[[#This Row],[Member Type]]="Spouse",Table2[[#This Row],[Product Option]]="My Value Plus Life &amp; Funeral",_xlfn.XLOOKUP(B156,Table2[Main Member Link ID],Table2[Benefit Name],0)=Lookups!$D$14),"",
IF(AND(Table2[[#This Row],[Member Type]]="Spouse",Table2[[#This Row],[Product Option]]="My Value Plus Life &amp; Funeral",_xlfn.XLOOKUP(B155,Table2[Main Member Link ID],Table2[Benefit Name],0)=Lookups!$D$16),"",
IF(AND(Table2[[#This Row],[Member Type]]="Child",Table2[[#This Row],[Product Option]]="My Value Plus Life &amp; Funeral"),"",
IF(AND(Table2[[#This Row],[Member Type]]="Child",Table2[[#This Row],[Product Option]]="My Value Plus Life &amp; Funeral",_xlfn.XLOOKUP(B156,Table2[Main Member Link ID],Table2[Benefit Name],0)=Lookups!$D$15),"",
IF(AND(OR(Table2[[#This Row],[Member Type]]="Spouse",Table2[[#This Row],[Member Type]]="Child"),Table2[[#This Row],[Product Option]]="My Value Plus Life &amp; Funeral",_xlfn.XLOOKUP(B156,Table2[Main Member Link ID],Table2[Benefit Name],0)&lt;&gt;Lookups!$D$17),
IF(_xlfn.XLOOKUP(B156,Table2[Main Member Link ID],Table2[Benefit Name],0)=0,"",_xlfn.XLOOKUP(B156,Table2[Main Member Link ID],Table2[Benefit Name],0)),""))))))</f>
        <v/>
      </c>
      <c r="AI156" s="328" t="str">
        <f>IF(AND(Table2[[#This Row],[Member Type]]="Main Member",Table2[[#This Row],[Table Lookup for Life Cover]]="MM_LIFE",Table2[[#This Row],[Age Next Birthday]]&lt;56),1,
IF(AND(Table2[[#This Row],[Member Type]]="Main Member",Table2[[#This Row],[Table Lookup for Life Cover]]="MM_LIFE",Table2[[#This Row],[Age Next Birthday]]&gt;=56),2,
""))</f>
        <v/>
      </c>
      <c r="AJ156" s="328">
        <f>IF(OR(Table2[[#This Row],[Member Type]]="Main Member",Table2[[#This Row],[Main Member Link ID]]=B155),1,0)</f>
        <v>1</v>
      </c>
      <c r="AK156" s="328">
        <f>IF(Table2[[#This Row],[Member Type]]=0,0,
IF(OR(Table2[[#This Row],[Member Type]]="Main Member",Table2[[#This Row],[Main Member Link ID]]&lt;&gt;B156),COUNTIFS(B:B,Table2[[#This Row],[Main Member Link ID]]),
COUNTIFS(B:B,Table2[[#This Row],[Main Member Link ID]],A:A,Table2[[#This Row],[Member Type]])))</f>
        <v>0</v>
      </c>
    </row>
    <row r="157" spans="1:37" x14ac:dyDescent="0.3">
      <c r="A157" s="284">
        <f>Table13[[#This Row],[Member Type]]</f>
        <v>0</v>
      </c>
      <c r="B157" s="284">
        <f>Table13[[#This Row],[Main Member Link ID]]</f>
        <v>0</v>
      </c>
      <c r="C157" s="284">
        <f>Table13[[#This Row],[ID Number]]</f>
        <v>0</v>
      </c>
      <c r="D157" s="285">
        <f>Table13[[#This Row],[Date Of Birth]]</f>
        <v>0</v>
      </c>
      <c r="E157" s="285">
        <f>Table13[[#This Row],[Commencement Date]]</f>
        <v>0</v>
      </c>
      <c r="F157" s="284">
        <f t="shared" si="14"/>
        <v>1</v>
      </c>
      <c r="G157" s="284">
        <f t="shared" si="15"/>
        <v>25</v>
      </c>
      <c r="H157" s="286">
        <f>Table13[[#This Row],[Product Option]]</f>
        <v>0</v>
      </c>
      <c r="I157" s="284">
        <f>IF(AND($A157="Main Member",Table2[[#This Row],[Product Option]]="My Value Plus Life"),"MM_LIFE",
IF(AND($A157="Spouse",Table2[[#This Row],[Product Option]]="My Value Plus Life"),"SP_LIFE",
IF(AND($A157="Main Member",Table2[[#This Row],[Product Option]]="My Value Plus Life &amp; Funeral"),"MM_LIFE",
IF(AND($A157="Spouse",Table2[[#This Row],[Product Option]]="My Value Plus Life &amp; Funeral"),_xlfn.XLOOKUP(Table2[[#This Row],[Benefit Name]],Lookups!$D$18:$D$23,Lookups!$E$18:$E$23,0),
0))))</f>
        <v>0</v>
      </c>
      <c r="J157" s="284">
        <f>IF($I157="","",
IF($I157="MM_LIFE",INDEX('Quotation Tool'!$S$54:$V$60,MATCH($T157,'Quotation Tool'!$S$54:$S$60,0),4),
IF($I157="SP_LIFE",_xlfn.XLOOKUP(B156,$B:$B,$J:$J,0),0)))</f>
        <v>0</v>
      </c>
      <c r="K157" s="287">
        <f t="shared" ca="1" si="19"/>
        <v>0</v>
      </c>
      <c r="L157" s="288">
        <f t="shared" ca="1" si="20"/>
        <v>0</v>
      </c>
      <c r="M157" s="289">
        <f t="shared" ca="1" si="16"/>
        <v>0</v>
      </c>
      <c r="N157" s="286">
        <f>Table13[[#This Row],[Benefit Option]]</f>
        <v>0</v>
      </c>
      <c r="O157" s="284">
        <f>IF(OR(Table2[[#This Row],[Member Type]]="Spouse",Table2[[#This Row],[Member Type]]="Child"),0,
IF(_xlfn.XLOOKUP($N157,Lookups!$D$13:$D$27,Lookups!$F$13:$F$27,0)=Table2[[#This Row],[Table Lookup for Life Cover]],0,
_xlfn.XLOOKUP($N157,Lookups!$D$13:$D$27,Lookups!$F$13:$F$27,0)))</f>
        <v>0</v>
      </c>
      <c r="P157" s="284">
        <f>IF(Table2[[#This Row],[Table Lookup for Funeral]]=0,0,IFERROR(INDEX('Quotation Tool'!$S$54:$V$60,MATCH($T157,'Quotation Tool'!$S$54:$S$60,0),3),0))</f>
        <v>0</v>
      </c>
      <c r="Q157" s="288">
        <f ca="1">IF(OR(Table2[[#This Row],[Benefit Name]]="My Value Plus Life - Main Member",Table2[[#This Row],[Benefit Name]]="My Value Plus Life - Spouse"),0,
IFERROR(VLOOKUP($G157,INDIRECT($O157),$P157,FALSE),0))</f>
        <v>0</v>
      </c>
      <c r="R157" s="288">
        <f ca="1">IF(OR(Table2[[#This Row],[Benefit Name]]="My Value Plus Life - Main Member",Table2[[#This Row],[Benefit Name]]="My Value Plus Life - Spouse"),0,
IFERROR(VLOOKUP($G157,INDIRECT($O157),$P157+1,FALSE),0))</f>
        <v>0</v>
      </c>
      <c r="S157" s="289">
        <f t="shared" ca="1" si="17"/>
        <v>0</v>
      </c>
      <c r="T157" s="284" t="str">
        <f>IF(Table13[[#This Row],[Premium Waiver]]="","None",Table13[[#This Row],[Premium Waiver]])</f>
        <v>None</v>
      </c>
      <c r="U157" s="284">
        <f>Table13[[#This Row],[VAPs Options]]</f>
        <v>0</v>
      </c>
      <c r="V157" s="284">
        <f>Table13[[#This Row],[Annual Increase Option]]</f>
        <v>0</v>
      </c>
      <c r="W157" s="290">
        <f>Table13[[#This Row],[Life Cover Amount]]</f>
        <v>0</v>
      </c>
      <c r="X157" s="290">
        <f>Table13[[#This Row],[Funeral Cover Amount]]</f>
        <v>0</v>
      </c>
      <c r="Y15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5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57" s="301">
        <f t="shared" ca="1" si="18"/>
        <v>0</v>
      </c>
      <c r="AB157" s="298"/>
      <c r="AC157" s="326" t="str">
        <f>IF(Table2[[#This Row],[Member Type]]="Main Member",Lookups!$C$13,
IF(Table2[[#This Row],[Member Type]]="Spouse",_xlfn.XLOOKUP(B157,Table2[Main Member Link ID],Table2[Product Option],0),
IF(AND(Table2[[#This Row],[Member Type]]="Child",_xlfn.XLOOKUP(B157,Table2[Main Member Link ID],Table2[Product Option],0)&lt;&gt;"My Value Plus Life"),Lookups!$C$24,
IF(AND(OR(Table2[[#This Row],[Member Type]]="Parent",Table2[[#This Row],[Member Type]]="Extended"),_xlfn.XLOOKUP(B157,Table2[Main Member Link ID],Table2[Product Option],0)&lt;&gt;"My Value Plus Life"),Lookups!$C$26,""))))</f>
        <v/>
      </c>
      <c r="AD157" s="326" t="str">
        <f>IF(Table2[[#This Row],[Member Type]]="Main Member",Lookups!$C$14,"")</f>
        <v/>
      </c>
      <c r="AE15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Funeral",_xlfn.XLOOKUP(B157,Table2[Main Member Link ID],Table2[Benefit Name],0)=Lookups!$D$14),"",
IF(AND(Table2[[#This Row],[Member Type]]="Spouse",Table2[[#This Row],[Product Option]]="My Value Plus Life &amp; Funeral",_xlfn.XLOOKUP(B156,Table2[Main Member Link ID],Table2[Benefit Name],0)=Lookups!$D$15),Lookups!$D$20,
IF(AND(Table2[[#This Row],[Member Type]]="Spouse",Table2[[#This Row],[Product Option]]="My Value Plus Life &amp; Funeral",_xlfn.XLOOKUP(B156,Table2[Main Member Link ID],Table2[Benefit Name],0)=Lookups!$D$16),"",
IF(AND(Table2[[#This Row],[Member Type]]="Spouse",Table2[[#This Row],[Product Option]]="My Value Plus Life &amp; Funeral",_xlfn.XLOOKUP(B156,Table2[Main Member Link ID],Table2[Benefit Name],0)=Lookups!$D$17),Lookups!$D$21,
IF(AND(Table2[[#This Row],[Member Type]]="Child",Table2[[#This Row],[Product Option]]="My Value Plus Life &amp; Funeral",_xlfn.XLOOKUP(B157,Table2[Main Member Link ID],Table2[Benefit Name],0)=Lookups!$D$14),"",
IF(AND(Table2[[#This Row],[Member Type]]="Child",Table2[[#This Row],[Product Option]]="My Value Plus Life &amp; Funeral",_xlfn.XLOOKUP(B157,Table2[Main Member Link ID],Table2[Benefit Name],0)=Lookups!$D$15),"",
IF(AND(Table2[[#This Row],[Member Type]]="Child",Table2[[#This Row],[Product Option]]="My Value Plus Life &amp; Funeral",_xlfn.XLOOKUP(B157,Table2[Main Member Link ID],Table2[Benefit Name],0)=Lookups!$D$16),Lookups!$D$24,
IF(AND(Table2[[#This Row],[Member Type]]="Child",Table2[[#This Row],[Product Option]]="My Value Plus Life &amp; Funeral",_xlfn.XLOOKUP(B157,Table2[Main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Funeral",_xlfn.XLOOKUP(B157,Table2[Main Member Link ID],Table2[Benefit Name],0)&lt;&gt;Lookups!$D$14),
IF(_xlfn.XLOOKUP(B157,Table2[Main Member Link ID],Table2[Benefit Name],0)=0,"",_xlfn.XLOOKUP(B157,Table2[Main Member Link ID],Table2[Benefit Name],0)),"")))))))))))))))</f>
        <v/>
      </c>
      <c r="AF157" s="327" t="str">
        <f>IF(AND(Table2[[#This Row],[Member Type]]="Main Member",Table2[[#This Row],[Product Option]]="My Value Plus Life &amp; Funeral"),Lookups!$D$15,
IF(AND(Table2[[#This Row],[Member Type]]="Spouse",Table2[[#This Row],[Product Option]]="My Value Plus Life &amp; Funeral",_xlfn.XLOOKUP(B157,Table2[Main Member Link ID],Table2[Benefit Name],0)=Lookups!$D$14),"",
IF(AND(Table2[[#This Row],[Member Type]]="Spouse",Table2[[#This Row],[Product Option]]="My Value Plus Life &amp; Funeral",_xlfn.XLOOKUP(B156,Table2[Main Member Link ID],Table2[Benefit Name],0)=Lookups!$D$16),"",
IF(AND(Table2[[#This Row],[Member Type]]="Spouse",Table2[[#This Row],[Product Option]]="My Value Plus Life &amp; Funeral",_xlfn.XLOOKUP(B156,Table2[Main Member Link ID],Table2[Benefit Name],0)=Lookups!$D$15),"",
IF(AND(Table2[[#This Row],[Member Type]]="Spouse",Table2[[#This Row],[Product Option]]="My Value Plus Life &amp; Funeral",_xlfn.XLOOKUP(B156,Table2[Main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Funeral",_xlfn.XLOOKUP(B157,Table2[Main Member Link ID],Table2[Benefit Name],0)&lt;&gt;Lookups!$D$15),
IF(_xlfn.XLOOKUP(B157,Table2[Main Member Link ID],Table2[Benefit Name],0)=0,"",_xlfn.XLOOKUP(B157,Table2[Main Member Link ID],Table2[Benefit Name],0)),"")
))))))</f>
        <v/>
      </c>
      <c r="AG157" s="327" t="str">
        <f>IF(AND(Table2[[#This Row],[Member Type]]="Main Member",Table2[[#This Row],[Product Option]]="My Value Plus Life &amp; Funeral"),Lookups!$D$16,
IF(AND(Table2[[#This Row],[Member Type]]="Spouse",Table2[[#This Row],[Product Option]]="My Value Plus Life &amp; Funeral",_xlfn.XLOOKUP(B157,Table2[Main Member Link ID],Table2[Benefit Name],0)=Lookups!$D$14),"",
IF(AND(Table2[[#This Row],[Member Type]]="Spouse",Table2[[#This Row],[Product Option]]="My Value Plus Life &amp; Funeral",_xlfn.XLOOKUP(B156,Table2[Main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Funeral",_xlfn.XLOOKUP(B157,Table2[Main Member Link ID],Table2[Benefit Name],0)&lt;&gt;Lookups!$D$16),
IF(_xlfn.XLOOKUP(B157,Table2[Main Member Link ID],Table2[Benefit Name],0)=0,"",_xlfn.XLOOKUP(B157,Table2[Main Member Link ID],Table2[Benefit Name],0)),"")
))))</f>
        <v/>
      </c>
      <c r="AH157" s="327" t="str">
        <f>IF(AND(Table2[[#This Row],[Member Type]]="Main Member",Table2[[#This Row],[Product Option]]="My Value Plus Life &amp; Funeral"),Lookups!$D$17,
IF(AND(Table2[[#This Row],[Member Type]]="Spouse",Table2[[#This Row],[Product Option]]="My Value Plus Life &amp; Funeral",_xlfn.XLOOKUP(B157,Table2[Main Member Link ID],Table2[Benefit Name],0)=Lookups!$D$14),"",
IF(AND(Table2[[#This Row],[Member Type]]="Spouse",Table2[[#This Row],[Product Option]]="My Value Plus Life &amp; Funeral",_xlfn.XLOOKUP(B156,Table2[Main Member Link ID],Table2[Benefit Name],0)=Lookups!$D$16),"",
IF(AND(Table2[[#This Row],[Member Type]]="Child",Table2[[#This Row],[Product Option]]="My Value Plus Life &amp; Funeral"),"",
IF(AND(Table2[[#This Row],[Member Type]]="Child",Table2[[#This Row],[Product Option]]="My Value Plus Life &amp; Funeral",_xlfn.XLOOKUP(B157,Table2[Main Member Link ID],Table2[Benefit Name],0)=Lookups!$D$15),"",
IF(AND(OR(Table2[[#This Row],[Member Type]]="Spouse",Table2[[#This Row],[Member Type]]="Child"),Table2[[#This Row],[Product Option]]="My Value Plus Life &amp; Funeral",_xlfn.XLOOKUP(B157,Table2[Main Member Link ID],Table2[Benefit Name],0)&lt;&gt;Lookups!$D$17),
IF(_xlfn.XLOOKUP(B157,Table2[Main Member Link ID],Table2[Benefit Name],0)=0,"",_xlfn.XLOOKUP(B157,Table2[Main Member Link ID],Table2[Benefit Name],0)),""))))))</f>
        <v/>
      </c>
      <c r="AI157" s="328" t="str">
        <f>IF(AND(Table2[[#This Row],[Member Type]]="Main Member",Table2[[#This Row],[Table Lookup for Life Cover]]="MM_LIFE",Table2[[#This Row],[Age Next Birthday]]&lt;56),1,
IF(AND(Table2[[#This Row],[Member Type]]="Main Member",Table2[[#This Row],[Table Lookup for Life Cover]]="MM_LIFE",Table2[[#This Row],[Age Next Birthday]]&gt;=56),2,
""))</f>
        <v/>
      </c>
      <c r="AJ157" s="328">
        <f>IF(OR(Table2[[#This Row],[Member Type]]="Main Member",Table2[[#This Row],[Main Member Link ID]]=B156),1,0)</f>
        <v>1</v>
      </c>
      <c r="AK157" s="328">
        <f>IF(Table2[[#This Row],[Member Type]]=0,0,
IF(OR(Table2[[#This Row],[Member Type]]="Main Member",Table2[[#This Row],[Main Member Link ID]]&lt;&gt;B157),COUNTIFS(B:B,Table2[[#This Row],[Main Member Link ID]]),
COUNTIFS(B:B,Table2[[#This Row],[Main Member Link ID]],A:A,Table2[[#This Row],[Member Type]])))</f>
        <v>0</v>
      </c>
    </row>
    <row r="158" spans="1:37" x14ac:dyDescent="0.3">
      <c r="A158" s="284">
        <f>Table13[[#This Row],[Member Type]]</f>
        <v>0</v>
      </c>
      <c r="B158" s="284">
        <f>Table13[[#This Row],[Main Member Link ID]]</f>
        <v>0</v>
      </c>
      <c r="C158" s="284">
        <f>Table13[[#This Row],[ID Number]]</f>
        <v>0</v>
      </c>
      <c r="D158" s="285">
        <f>Table13[[#This Row],[Date Of Birth]]</f>
        <v>0</v>
      </c>
      <c r="E158" s="285">
        <f>Table13[[#This Row],[Commencement Date]]</f>
        <v>0</v>
      </c>
      <c r="F158" s="284">
        <f t="shared" si="14"/>
        <v>1</v>
      </c>
      <c r="G158" s="284">
        <f t="shared" si="15"/>
        <v>25</v>
      </c>
      <c r="H158" s="286">
        <f>Table13[[#This Row],[Product Option]]</f>
        <v>0</v>
      </c>
      <c r="I158" s="284">
        <f>IF(AND($A158="Main Member",Table2[[#This Row],[Product Option]]="My Value Plus Life"),"MM_LIFE",
IF(AND($A158="Spouse",Table2[[#This Row],[Product Option]]="My Value Plus Life"),"SP_LIFE",
IF(AND($A158="Main Member",Table2[[#This Row],[Product Option]]="My Value Plus Life &amp; Funeral"),"MM_LIFE",
IF(AND($A158="Spouse",Table2[[#This Row],[Product Option]]="My Value Plus Life &amp; Funeral"),_xlfn.XLOOKUP(Table2[[#This Row],[Benefit Name]],Lookups!$D$18:$D$23,Lookups!$E$18:$E$23,0),
0))))</f>
        <v>0</v>
      </c>
      <c r="J158" s="284">
        <f>IF($I158="","",
IF($I158="MM_LIFE",INDEX('Quotation Tool'!$S$54:$V$60,MATCH($T158,'Quotation Tool'!$S$54:$S$60,0),4),
IF($I158="SP_LIFE",_xlfn.XLOOKUP(B157,$B:$B,$J:$J,0),0)))</f>
        <v>0</v>
      </c>
      <c r="K158" s="287">
        <f t="shared" ca="1" si="19"/>
        <v>0</v>
      </c>
      <c r="L158" s="288">
        <f t="shared" ca="1" si="20"/>
        <v>0</v>
      </c>
      <c r="M158" s="289">
        <f t="shared" ca="1" si="16"/>
        <v>0</v>
      </c>
      <c r="N158" s="286">
        <f>Table13[[#This Row],[Benefit Option]]</f>
        <v>0</v>
      </c>
      <c r="O158" s="284">
        <f>IF(OR(Table2[[#This Row],[Member Type]]="Spouse",Table2[[#This Row],[Member Type]]="Child"),0,
IF(_xlfn.XLOOKUP($N158,Lookups!$D$13:$D$27,Lookups!$F$13:$F$27,0)=Table2[[#This Row],[Table Lookup for Life Cover]],0,
_xlfn.XLOOKUP($N158,Lookups!$D$13:$D$27,Lookups!$F$13:$F$27,0)))</f>
        <v>0</v>
      </c>
      <c r="P158" s="284">
        <f>IF(Table2[[#This Row],[Table Lookup for Funeral]]=0,0,IFERROR(INDEX('Quotation Tool'!$S$54:$V$60,MATCH($T158,'Quotation Tool'!$S$54:$S$60,0),3),0))</f>
        <v>0</v>
      </c>
      <c r="Q158" s="288">
        <f ca="1">IF(OR(Table2[[#This Row],[Benefit Name]]="My Value Plus Life - Main Member",Table2[[#This Row],[Benefit Name]]="My Value Plus Life - Spouse"),0,
IFERROR(VLOOKUP($G158,INDIRECT($O158),$P158,FALSE),0))</f>
        <v>0</v>
      </c>
      <c r="R158" s="288">
        <f ca="1">IF(OR(Table2[[#This Row],[Benefit Name]]="My Value Plus Life - Main Member",Table2[[#This Row],[Benefit Name]]="My Value Plus Life - Spouse"),0,
IFERROR(VLOOKUP($G158,INDIRECT($O158),$P158+1,FALSE),0))</f>
        <v>0</v>
      </c>
      <c r="S158" s="289">
        <f t="shared" ca="1" si="17"/>
        <v>0</v>
      </c>
      <c r="T158" s="284" t="str">
        <f>IF(Table13[[#This Row],[Premium Waiver]]="","None",Table13[[#This Row],[Premium Waiver]])</f>
        <v>None</v>
      </c>
      <c r="U158" s="284">
        <f>Table13[[#This Row],[VAPs Options]]</f>
        <v>0</v>
      </c>
      <c r="V158" s="284">
        <f>Table13[[#This Row],[Annual Increase Option]]</f>
        <v>0</v>
      </c>
      <c r="W158" s="290">
        <f>Table13[[#This Row],[Life Cover Amount]]</f>
        <v>0</v>
      </c>
      <c r="X158" s="290">
        <f>Table13[[#This Row],[Funeral Cover Amount]]</f>
        <v>0</v>
      </c>
      <c r="Y15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5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58" s="301">
        <f t="shared" ca="1" si="18"/>
        <v>0</v>
      </c>
      <c r="AB158" s="298"/>
      <c r="AC158" s="326" t="str">
        <f>IF(Table2[[#This Row],[Member Type]]="Main Member",Lookups!$C$13,
IF(Table2[[#This Row],[Member Type]]="Spouse",_xlfn.XLOOKUP(B158,Table2[Main Member Link ID],Table2[Product Option],0),
IF(AND(Table2[[#This Row],[Member Type]]="Child",_xlfn.XLOOKUP(B158,Table2[Main Member Link ID],Table2[Product Option],0)&lt;&gt;"My Value Plus Life"),Lookups!$C$24,
IF(AND(OR(Table2[[#This Row],[Member Type]]="Parent",Table2[[#This Row],[Member Type]]="Extended"),_xlfn.XLOOKUP(B158,Table2[Main Member Link ID],Table2[Product Option],0)&lt;&gt;"My Value Plus Life"),Lookups!$C$26,""))))</f>
        <v/>
      </c>
      <c r="AD158" s="326" t="str">
        <f>IF(Table2[[#This Row],[Member Type]]="Main Member",Lookups!$C$14,"")</f>
        <v/>
      </c>
      <c r="AE15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Funeral",_xlfn.XLOOKUP(B158,Table2[Main Member Link ID],Table2[Benefit Name],0)=Lookups!$D$14),"",
IF(AND(Table2[[#This Row],[Member Type]]="Spouse",Table2[[#This Row],[Product Option]]="My Value Plus Life &amp; Funeral",_xlfn.XLOOKUP(B157,Table2[Main Member Link ID],Table2[Benefit Name],0)=Lookups!$D$15),Lookups!$D$20,
IF(AND(Table2[[#This Row],[Member Type]]="Spouse",Table2[[#This Row],[Product Option]]="My Value Plus Life &amp; Funeral",_xlfn.XLOOKUP(B157,Table2[Main Member Link ID],Table2[Benefit Name],0)=Lookups!$D$16),"",
IF(AND(Table2[[#This Row],[Member Type]]="Spouse",Table2[[#This Row],[Product Option]]="My Value Plus Life &amp; Funeral",_xlfn.XLOOKUP(B157,Table2[Main Member Link ID],Table2[Benefit Name],0)=Lookups!$D$17),Lookups!$D$21,
IF(AND(Table2[[#This Row],[Member Type]]="Child",Table2[[#This Row],[Product Option]]="My Value Plus Life &amp; Funeral",_xlfn.XLOOKUP(B158,Table2[Main Member Link ID],Table2[Benefit Name],0)=Lookups!$D$14),"",
IF(AND(Table2[[#This Row],[Member Type]]="Child",Table2[[#This Row],[Product Option]]="My Value Plus Life &amp; Funeral",_xlfn.XLOOKUP(B158,Table2[Main Member Link ID],Table2[Benefit Name],0)=Lookups!$D$15),"",
IF(AND(Table2[[#This Row],[Member Type]]="Child",Table2[[#This Row],[Product Option]]="My Value Plus Life &amp; Funeral",_xlfn.XLOOKUP(B158,Table2[Main Member Link ID],Table2[Benefit Name],0)=Lookups!$D$16),Lookups!$D$24,
IF(AND(Table2[[#This Row],[Member Type]]="Child",Table2[[#This Row],[Product Option]]="My Value Plus Life &amp; Funeral",_xlfn.XLOOKUP(B158,Table2[Main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Funeral",_xlfn.XLOOKUP(B158,Table2[Main Member Link ID],Table2[Benefit Name],0)&lt;&gt;Lookups!$D$14),
IF(_xlfn.XLOOKUP(B158,Table2[Main Member Link ID],Table2[Benefit Name],0)=0,"",_xlfn.XLOOKUP(B158,Table2[Main Member Link ID],Table2[Benefit Name],0)),"")))))))))))))))</f>
        <v/>
      </c>
      <c r="AF158" s="327" t="str">
        <f>IF(AND(Table2[[#This Row],[Member Type]]="Main Member",Table2[[#This Row],[Product Option]]="My Value Plus Life &amp; Funeral"),Lookups!$D$15,
IF(AND(Table2[[#This Row],[Member Type]]="Spouse",Table2[[#This Row],[Product Option]]="My Value Plus Life &amp; Funeral",_xlfn.XLOOKUP(B158,Table2[Main Member Link ID],Table2[Benefit Name],0)=Lookups!$D$14),"",
IF(AND(Table2[[#This Row],[Member Type]]="Spouse",Table2[[#This Row],[Product Option]]="My Value Plus Life &amp; Funeral",_xlfn.XLOOKUP(B157,Table2[Main Member Link ID],Table2[Benefit Name],0)=Lookups!$D$16),"",
IF(AND(Table2[[#This Row],[Member Type]]="Spouse",Table2[[#This Row],[Product Option]]="My Value Plus Life &amp; Funeral",_xlfn.XLOOKUP(B157,Table2[Main Member Link ID],Table2[Benefit Name],0)=Lookups!$D$15),"",
IF(AND(Table2[[#This Row],[Member Type]]="Spouse",Table2[[#This Row],[Product Option]]="My Value Plus Life &amp; Funeral",_xlfn.XLOOKUP(B157,Table2[Main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Funeral",_xlfn.XLOOKUP(B158,Table2[Main Member Link ID],Table2[Benefit Name],0)&lt;&gt;Lookups!$D$15),
IF(_xlfn.XLOOKUP(B158,Table2[Main Member Link ID],Table2[Benefit Name],0)=0,"",_xlfn.XLOOKUP(B158,Table2[Main Member Link ID],Table2[Benefit Name],0)),"")
))))))</f>
        <v/>
      </c>
      <c r="AG158" s="327" t="str">
        <f>IF(AND(Table2[[#This Row],[Member Type]]="Main Member",Table2[[#This Row],[Product Option]]="My Value Plus Life &amp; Funeral"),Lookups!$D$16,
IF(AND(Table2[[#This Row],[Member Type]]="Spouse",Table2[[#This Row],[Product Option]]="My Value Plus Life &amp; Funeral",_xlfn.XLOOKUP(B158,Table2[Main Member Link ID],Table2[Benefit Name],0)=Lookups!$D$14),"",
IF(AND(Table2[[#This Row],[Member Type]]="Spouse",Table2[[#This Row],[Product Option]]="My Value Plus Life &amp; Funeral",_xlfn.XLOOKUP(B157,Table2[Main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Funeral",_xlfn.XLOOKUP(B158,Table2[Main Member Link ID],Table2[Benefit Name],0)&lt;&gt;Lookups!$D$16),
IF(_xlfn.XLOOKUP(B158,Table2[Main Member Link ID],Table2[Benefit Name],0)=0,"",_xlfn.XLOOKUP(B158,Table2[Main Member Link ID],Table2[Benefit Name],0)),"")
))))</f>
        <v/>
      </c>
      <c r="AH158" s="327" t="str">
        <f>IF(AND(Table2[[#This Row],[Member Type]]="Main Member",Table2[[#This Row],[Product Option]]="My Value Plus Life &amp; Funeral"),Lookups!$D$17,
IF(AND(Table2[[#This Row],[Member Type]]="Spouse",Table2[[#This Row],[Product Option]]="My Value Plus Life &amp; Funeral",_xlfn.XLOOKUP(B158,Table2[Main Member Link ID],Table2[Benefit Name],0)=Lookups!$D$14),"",
IF(AND(Table2[[#This Row],[Member Type]]="Spouse",Table2[[#This Row],[Product Option]]="My Value Plus Life &amp; Funeral",_xlfn.XLOOKUP(B157,Table2[Main Member Link ID],Table2[Benefit Name],0)=Lookups!$D$16),"",
IF(AND(Table2[[#This Row],[Member Type]]="Child",Table2[[#This Row],[Product Option]]="My Value Plus Life &amp; Funeral"),"",
IF(AND(Table2[[#This Row],[Member Type]]="Child",Table2[[#This Row],[Product Option]]="My Value Plus Life &amp; Funeral",_xlfn.XLOOKUP(B158,Table2[Main Member Link ID],Table2[Benefit Name],0)=Lookups!$D$15),"",
IF(AND(OR(Table2[[#This Row],[Member Type]]="Spouse",Table2[[#This Row],[Member Type]]="Child"),Table2[[#This Row],[Product Option]]="My Value Plus Life &amp; Funeral",_xlfn.XLOOKUP(B158,Table2[Main Member Link ID],Table2[Benefit Name],0)&lt;&gt;Lookups!$D$17),
IF(_xlfn.XLOOKUP(B158,Table2[Main Member Link ID],Table2[Benefit Name],0)=0,"",_xlfn.XLOOKUP(B158,Table2[Main Member Link ID],Table2[Benefit Name],0)),""))))))</f>
        <v/>
      </c>
      <c r="AI158" s="328" t="str">
        <f>IF(AND(Table2[[#This Row],[Member Type]]="Main Member",Table2[[#This Row],[Table Lookup for Life Cover]]="MM_LIFE",Table2[[#This Row],[Age Next Birthday]]&lt;56),1,
IF(AND(Table2[[#This Row],[Member Type]]="Main Member",Table2[[#This Row],[Table Lookup for Life Cover]]="MM_LIFE",Table2[[#This Row],[Age Next Birthday]]&gt;=56),2,
""))</f>
        <v/>
      </c>
      <c r="AJ158" s="328">
        <f>IF(OR(Table2[[#This Row],[Member Type]]="Main Member",Table2[[#This Row],[Main Member Link ID]]=B157),1,0)</f>
        <v>1</v>
      </c>
      <c r="AK158" s="328">
        <f>IF(Table2[[#This Row],[Member Type]]=0,0,
IF(OR(Table2[[#This Row],[Member Type]]="Main Member",Table2[[#This Row],[Main Member Link ID]]&lt;&gt;B158),COUNTIFS(B:B,Table2[[#This Row],[Main Member Link ID]]),
COUNTIFS(B:B,Table2[[#This Row],[Main Member Link ID]],A:A,Table2[[#This Row],[Member Type]])))</f>
        <v>0</v>
      </c>
    </row>
    <row r="159" spans="1:37" x14ac:dyDescent="0.3">
      <c r="A159" s="284">
        <f>Table13[[#This Row],[Member Type]]</f>
        <v>0</v>
      </c>
      <c r="B159" s="284">
        <f>Table13[[#This Row],[Main Member Link ID]]</f>
        <v>0</v>
      </c>
      <c r="C159" s="284">
        <f>Table13[[#This Row],[ID Number]]</f>
        <v>0</v>
      </c>
      <c r="D159" s="285">
        <f>Table13[[#This Row],[Date Of Birth]]</f>
        <v>0</v>
      </c>
      <c r="E159" s="285">
        <f>Table13[[#This Row],[Commencement Date]]</f>
        <v>0</v>
      </c>
      <c r="F159" s="284">
        <f t="shared" si="14"/>
        <v>1</v>
      </c>
      <c r="G159" s="284">
        <f t="shared" si="15"/>
        <v>25</v>
      </c>
      <c r="H159" s="286">
        <f>Table13[[#This Row],[Product Option]]</f>
        <v>0</v>
      </c>
      <c r="I159" s="284">
        <f>IF(AND($A159="Main Member",Table2[[#This Row],[Product Option]]="My Value Plus Life"),"MM_LIFE",
IF(AND($A159="Spouse",Table2[[#This Row],[Product Option]]="My Value Plus Life"),"SP_LIFE",
IF(AND($A159="Main Member",Table2[[#This Row],[Product Option]]="My Value Plus Life &amp; Funeral"),"MM_LIFE",
IF(AND($A159="Spouse",Table2[[#This Row],[Product Option]]="My Value Plus Life &amp; Funeral"),_xlfn.XLOOKUP(Table2[[#This Row],[Benefit Name]],Lookups!$D$18:$D$23,Lookups!$E$18:$E$23,0),
0))))</f>
        <v>0</v>
      </c>
      <c r="J159" s="284">
        <f>IF($I159="","",
IF($I159="MM_LIFE",INDEX('Quotation Tool'!$S$54:$V$60,MATCH($T159,'Quotation Tool'!$S$54:$S$60,0),4),
IF($I159="SP_LIFE",_xlfn.XLOOKUP(B158,$B:$B,$J:$J,0),0)))</f>
        <v>0</v>
      </c>
      <c r="K159" s="287">
        <f t="shared" ca="1" si="19"/>
        <v>0</v>
      </c>
      <c r="L159" s="288">
        <f t="shared" ca="1" si="20"/>
        <v>0</v>
      </c>
      <c r="M159" s="289">
        <f t="shared" ca="1" si="16"/>
        <v>0</v>
      </c>
      <c r="N159" s="286">
        <f>Table13[[#This Row],[Benefit Option]]</f>
        <v>0</v>
      </c>
      <c r="O159" s="284">
        <f>IF(OR(Table2[[#This Row],[Member Type]]="Spouse",Table2[[#This Row],[Member Type]]="Child"),0,
IF(_xlfn.XLOOKUP($N159,Lookups!$D$13:$D$27,Lookups!$F$13:$F$27,0)=Table2[[#This Row],[Table Lookup for Life Cover]],0,
_xlfn.XLOOKUP($N159,Lookups!$D$13:$D$27,Lookups!$F$13:$F$27,0)))</f>
        <v>0</v>
      </c>
      <c r="P159" s="284">
        <f>IF(Table2[[#This Row],[Table Lookup for Funeral]]=0,0,IFERROR(INDEX('Quotation Tool'!$S$54:$V$60,MATCH($T159,'Quotation Tool'!$S$54:$S$60,0),3),0))</f>
        <v>0</v>
      </c>
      <c r="Q159" s="288">
        <f ca="1">IF(OR(Table2[[#This Row],[Benefit Name]]="My Value Plus Life - Main Member",Table2[[#This Row],[Benefit Name]]="My Value Plus Life - Spouse"),0,
IFERROR(VLOOKUP($G159,INDIRECT($O159),$P159,FALSE),0))</f>
        <v>0</v>
      </c>
      <c r="R159" s="288">
        <f ca="1">IF(OR(Table2[[#This Row],[Benefit Name]]="My Value Plus Life - Main Member",Table2[[#This Row],[Benefit Name]]="My Value Plus Life - Spouse"),0,
IFERROR(VLOOKUP($G159,INDIRECT($O159),$P159+1,FALSE),0))</f>
        <v>0</v>
      </c>
      <c r="S159" s="289">
        <f t="shared" ca="1" si="17"/>
        <v>0</v>
      </c>
      <c r="T159" s="284" t="str">
        <f>IF(Table13[[#This Row],[Premium Waiver]]="","None",Table13[[#This Row],[Premium Waiver]])</f>
        <v>None</v>
      </c>
      <c r="U159" s="284">
        <f>Table13[[#This Row],[VAPs Options]]</f>
        <v>0</v>
      </c>
      <c r="V159" s="284">
        <f>Table13[[#This Row],[Annual Increase Option]]</f>
        <v>0</v>
      </c>
      <c r="W159" s="290">
        <f>Table13[[#This Row],[Life Cover Amount]]</f>
        <v>0</v>
      </c>
      <c r="X159" s="290">
        <f>Table13[[#This Row],[Funeral Cover Amount]]</f>
        <v>0</v>
      </c>
      <c r="Y15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5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59" s="301">
        <f t="shared" ca="1" si="18"/>
        <v>0</v>
      </c>
      <c r="AB159" s="298"/>
      <c r="AC159" s="326" t="str">
        <f>IF(Table2[[#This Row],[Member Type]]="Main Member",Lookups!$C$13,
IF(Table2[[#This Row],[Member Type]]="Spouse",_xlfn.XLOOKUP(B159,Table2[Main Member Link ID],Table2[Product Option],0),
IF(AND(Table2[[#This Row],[Member Type]]="Child",_xlfn.XLOOKUP(B159,Table2[Main Member Link ID],Table2[Product Option],0)&lt;&gt;"My Value Plus Life"),Lookups!$C$24,
IF(AND(OR(Table2[[#This Row],[Member Type]]="Parent",Table2[[#This Row],[Member Type]]="Extended"),_xlfn.XLOOKUP(B159,Table2[Main Member Link ID],Table2[Product Option],0)&lt;&gt;"My Value Plus Life"),Lookups!$C$26,""))))</f>
        <v/>
      </c>
      <c r="AD159" s="326" t="str">
        <f>IF(Table2[[#This Row],[Member Type]]="Main Member",Lookups!$C$14,"")</f>
        <v/>
      </c>
      <c r="AE15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Funeral",_xlfn.XLOOKUP(B159,Table2[Main Member Link ID],Table2[Benefit Name],0)=Lookups!$D$14),"",
IF(AND(Table2[[#This Row],[Member Type]]="Spouse",Table2[[#This Row],[Product Option]]="My Value Plus Life &amp; Funeral",_xlfn.XLOOKUP(B158,Table2[Main Member Link ID],Table2[Benefit Name],0)=Lookups!$D$15),Lookups!$D$20,
IF(AND(Table2[[#This Row],[Member Type]]="Spouse",Table2[[#This Row],[Product Option]]="My Value Plus Life &amp; Funeral",_xlfn.XLOOKUP(B158,Table2[Main Member Link ID],Table2[Benefit Name],0)=Lookups!$D$16),"",
IF(AND(Table2[[#This Row],[Member Type]]="Spouse",Table2[[#This Row],[Product Option]]="My Value Plus Life &amp; Funeral",_xlfn.XLOOKUP(B158,Table2[Main Member Link ID],Table2[Benefit Name],0)=Lookups!$D$17),Lookups!$D$21,
IF(AND(Table2[[#This Row],[Member Type]]="Child",Table2[[#This Row],[Product Option]]="My Value Plus Life &amp; Funeral",_xlfn.XLOOKUP(B159,Table2[Main Member Link ID],Table2[Benefit Name],0)=Lookups!$D$14),"",
IF(AND(Table2[[#This Row],[Member Type]]="Child",Table2[[#This Row],[Product Option]]="My Value Plus Life &amp; Funeral",_xlfn.XLOOKUP(B159,Table2[Main Member Link ID],Table2[Benefit Name],0)=Lookups!$D$15),"",
IF(AND(Table2[[#This Row],[Member Type]]="Child",Table2[[#This Row],[Product Option]]="My Value Plus Life &amp; Funeral",_xlfn.XLOOKUP(B159,Table2[Main Member Link ID],Table2[Benefit Name],0)=Lookups!$D$16),Lookups!$D$24,
IF(AND(Table2[[#This Row],[Member Type]]="Child",Table2[[#This Row],[Product Option]]="My Value Plus Life &amp; Funeral",_xlfn.XLOOKUP(B159,Table2[Main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Funeral",_xlfn.XLOOKUP(B159,Table2[Main Member Link ID],Table2[Benefit Name],0)&lt;&gt;Lookups!$D$14),
IF(_xlfn.XLOOKUP(B159,Table2[Main Member Link ID],Table2[Benefit Name],0)=0,"",_xlfn.XLOOKUP(B159,Table2[Main Member Link ID],Table2[Benefit Name],0)),"")))))))))))))))</f>
        <v/>
      </c>
      <c r="AF159" s="327" t="str">
        <f>IF(AND(Table2[[#This Row],[Member Type]]="Main Member",Table2[[#This Row],[Product Option]]="My Value Plus Life &amp; Funeral"),Lookups!$D$15,
IF(AND(Table2[[#This Row],[Member Type]]="Spouse",Table2[[#This Row],[Product Option]]="My Value Plus Life &amp; Funeral",_xlfn.XLOOKUP(B159,Table2[Main Member Link ID],Table2[Benefit Name],0)=Lookups!$D$14),"",
IF(AND(Table2[[#This Row],[Member Type]]="Spouse",Table2[[#This Row],[Product Option]]="My Value Plus Life &amp; Funeral",_xlfn.XLOOKUP(B158,Table2[Main Member Link ID],Table2[Benefit Name],0)=Lookups!$D$16),"",
IF(AND(Table2[[#This Row],[Member Type]]="Spouse",Table2[[#This Row],[Product Option]]="My Value Plus Life &amp; Funeral",_xlfn.XLOOKUP(B158,Table2[Main Member Link ID],Table2[Benefit Name],0)=Lookups!$D$15),"",
IF(AND(Table2[[#This Row],[Member Type]]="Spouse",Table2[[#This Row],[Product Option]]="My Value Plus Life &amp; Funeral",_xlfn.XLOOKUP(B158,Table2[Main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Funeral",_xlfn.XLOOKUP(B159,Table2[Main Member Link ID],Table2[Benefit Name],0)&lt;&gt;Lookups!$D$15),
IF(_xlfn.XLOOKUP(B159,Table2[Main Member Link ID],Table2[Benefit Name],0)=0,"",_xlfn.XLOOKUP(B159,Table2[Main Member Link ID],Table2[Benefit Name],0)),"")
))))))</f>
        <v/>
      </c>
      <c r="AG159" s="327" t="str">
        <f>IF(AND(Table2[[#This Row],[Member Type]]="Main Member",Table2[[#This Row],[Product Option]]="My Value Plus Life &amp; Funeral"),Lookups!$D$16,
IF(AND(Table2[[#This Row],[Member Type]]="Spouse",Table2[[#This Row],[Product Option]]="My Value Plus Life &amp; Funeral",_xlfn.XLOOKUP(B159,Table2[Main Member Link ID],Table2[Benefit Name],0)=Lookups!$D$14),"",
IF(AND(Table2[[#This Row],[Member Type]]="Spouse",Table2[[#This Row],[Product Option]]="My Value Plus Life &amp; Funeral",_xlfn.XLOOKUP(B158,Table2[Main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Funeral",_xlfn.XLOOKUP(B159,Table2[Main Member Link ID],Table2[Benefit Name],0)&lt;&gt;Lookups!$D$16),
IF(_xlfn.XLOOKUP(B159,Table2[Main Member Link ID],Table2[Benefit Name],0)=0,"",_xlfn.XLOOKUP(B159,Table2[Main Member Link ID],Table2[Benefit Name],0)),"")
))))</f>
        <v/>
      </c>
      <c r="AH159" s="327" t="str">
        <f>IF(AND(Table2[[#This Row],[Member Type]]="Main Member",Table2[[#This Row],[Product Option]]="My Value Plus Life &amp; Funeral"),Lookups!$D$17,
IF(AND(Table2[[#This Row],[Member Type]]="Spouse",Table2[[#This Row],[Product Option]]="My Value Plus Life &amp; Funeral",_xlfn.XLOOKUP(B159,Table2[Main Member Link ID],Table2[Benefit Name],0)=Lookups!$D$14),"",
IF(AND(Table2[[#This Row],[Member Type]]="Spouse",Table2[[#This Row],[Product Option]]="My Value Plus Life &amp; Funeral",_xlfn.XLOOKUP(B158,Table2[Main Member Link ID],Table2[Benefit Name],0)=Lookups!$D$16),"",
IF(AND(Table2[[#This Row],[Member Type]]="Child",Table2[[#This Row],[Product Option]]="My Value Plus Life &amp; Funeral"),"",
IF(AND(Table2[[#This Row],[Member Type]]="Child",Table2[[#This Row],[Product Option]]="My Value Plus Life &amp; Funeral",_xlfn.XLOOKUP(B159,Table2[Main Member Link ID],Table2[Benefit Name],0)=Lookups!$D$15),"",
IF(AND(OR(Table2[[#This Row],[Member Type]]="Spouse",Table2[[#This Row],[Member Type]]="Child"),Table2[[#This Row],[Product Option]]="My Value Plus Life &amp; Funeral",_xlfn.XLOOKUP(B159,Table2[Main Member Link ID],Table2[Benefit Name],0)&lt;&gt;Lookups!$D$17),
IF(_xlfn.XLOOKUP(B159,Table2[Main Member Link ID],Table2[Benefit Name],0)=0,"",_xlfn.XLOOKUP(B159,Table2[Main Member Link ID],Table2[Benefit Name],0)),""))))))</f>
        <v/>
      </c>
      <c r="AI159" s="328" t="str">
        <f>IF(AND(Table2[[#This Row],[Member Type]]="Main Member",Table2[[#This Row],[Table Lookup for Life Cover]]="MM_LIFE",Table2[[#This Row],[Age Next Birthday]]&lt;56),1,
IF(AND(Table2[[#This Row],[Member Type]]="Main Member",Table2[[#This Row],[Table Lookup for Life Cover]]="MM_LIFE",Table2[[#This Row],[Age Next Birthday]]&gt;=56),2,
""))</f>
        <v/>
      </c>
      <c r="AJ159" s="328">
        <f>IF(OR(Table2[[#This Row],[Member Type]]="Main Member",Table2[[#This Row],[Main Member Link ID]]=B158),1,0)</f>
        <v>1</v>
      </c>
      <c r="AK159" s="328">
        <f>IF(Table2[[#This Row],[Member Type]]=0,0,
IF(OR(Table2[[#This Row],[Member Type]]="Main Member",Table2[[#This Row],[Main Member Link ID]]&lt;&gt;B159),COUNTIFS(B:B,Table2[[#This Row],[Main Member Link ID]]),
COUNTIFS(B:B,Table2[[#This Row],[Main Member Link ID]],A:A,Table2[[#This Row],[Member Type]])))</f>
        <v>0</v>
      </c>
    </row>
    <row r="160" spans="1:37" x14ac:dyDescent="0.3">
      <c r="A160" s="284">
        <f>Table13[[#This Row],[Member Type]]</f>
        <v>0</v>
      </c>
      <c r="B160" s="284">
        <f>Table13[[#This Row],[Main Member Link ID]]</f>
        <v>0</v>
      </c>
      <c r="C160" s="284">
        <f>Table13[[#This Row],[ID Number]]</f>
        <v>0</v>
      </c>
      <c r="D160" s="285">
        <f>Table13[[#This Row],[Date Of Birth]]</f>
        <v>0</v>
      </c>
      <c r="E160" s="285">
        <f>Table13[[#This Row],[Commencement Date]]</f>
        <v>0</v>
      </c>
      <c r="F160" s="284">
        <f t="shared" si="14"/>
        <v>1</v>
      </c>
      <c r="G160" s="284">
        <f t="shared" si="15"/>
        <v>25</v>
      </c>
      <c r="H160" s="286">
        <f>Table13[[#This Row],[Product Option]]</f>
        <v>0</v>
      </c>
      <c r="I160" s="284">
        <f>IF(AND($A160="Main Member",Table2[[#This Row],[Product Option]]="My Value Plus Life"),"MM_LIFE",
IF(AND($A160="Spouse",Table2[[#This Row],[Product Option]]="My Value Plus Life"),"SP_LIFE",
IF(AND($A160="Main Member",Table2[[#This Row],[Product Option]]="My Value Plus Life &amp; Funeral"),"MM_LIFE",
IF(AND($A160="Spouse",Table2[[#This Row],[Product Option]]="My Value Plus Life &amp; Funeral"),_xlfn.XLOOKUP(Table2[[#This Row],[Benefit Name]],Lookups!$D$18:$D$23,Lookups!$E$18:$E$23,0),
0))))</f>
        <v>0</v>
      </c>
      <c r="J160" s="284">
        <f>IF($I160="","",
IF($I160="MM_LIFE",INDEX('Quotation Tool'!$S$54:$V$60,MATCH($T160,'Quotation Tool'!$S$54:$S$60,0),4),
IF($I160="SP_LIFE",_xlfn.XLOOKUP(B159,$B:$B,$J:$J,0),0)))</f>
        <v>0</v>
      </c>
      <c r="K160" s="287">
        <f t="shared" ca="1" si="19"/>
        <v>0</v>
      </c>
      <c r="L160" s="288">
        <f t="shared" ca="1" si="20"/>
        <v>0</v>
      </c>
      <c r="M160" s="289">
        <f t="shared" ca="1" si="16"/>
        <v>0</v>
      </c>
      <c r="N160" s="286">
        <f>Table13[[#This Row],[Benefit Option]]</f>
        <v>0</v>
      </c>
      <c r="O160" s="284">
        <f>IF(OR(Table2[[#This Row],[Member Type]]="Spouse",Table2[[#This Row],[Member Type]]="Child"),0,
IF(_xlfn.XLOOKUP($N160,Lookups!$D$13:$D$27,Lookups!$F$13:$F$27,0)=Table2[[#This Row],[Table Lookup for Life Cover]],0,
_xlfn.XLOOKUP($N160,Lookups!$D$13:$D$27,Lookups!$F$13:$F$27,0)))</f>
        <v>0</v>
      </c>
      <c r="P160" s="284">
        <f>IF(Table2[[#This Row],[Table Lookup for Funeral]]=0,0,IFERROR(INDEX('Quotation Tool'!$S$54:$V$60,MATCH($T160,'Quotation Tool'!$S$54:$S$60,0),3),0))</f>
        <v>0</v>
      </c>
      <c r="Q160" s="288">
        <f ca="1">IF(OR(Table2[[#This Row],[Benefit Name]]="My Value Plus Life - Main Member",Table2[[#This Row],[Benefit Name]]="My Value Plus Life - Spouse"),0,
IFERROR(VLOOKUP($G160,INDIRECT($O160),$P160,FALSE),0))</f>
        <v>0</v>
      </c>
      <c r="R160" s="288">
        <f ca="1">IF(OR(Table2[[#This Row],[Benefit Name]]="My Value Plus Life - Main Member",Table2[[#This Row],[Benefit Name]]="My Value Plus Life - Spouse"),0,
IFERROR(VLOOKUP($G160,INDIRECT($O160),$P160+1,FALSE),0))</f>
        <v>0</v>
      </c>
      <c r="S160" s="289">
        <f t="shared" ca="1" si="17"/>
        <v>0</v>
      </c>
      <c r="T160" s="284" t="str">
        <f>IF(Table13[[#This Row],[Premium Waiver]]="","None",Table13[[#This Row],[Premium Waiver]])</f>
        <v>None</v>
      </c>
      <c r="U160" s="284">
        <f>Table13[[#This Row],[VAPs Options]]</f>
        <v>0</v>
      </c>
      <c r="V160" s="284">
        <f>Table13[[#This Row],[Annual Increase Option]]</f>
        <v>0</v>
      </c>
      <c r="W160" s="290">
        <f>Table13[[#This Row],[Life Cover Amount]]</f>
        <v>0</v>
      </c>
      <c r="X160" s="290">
        <f>Table13[[#This Row],[Funeral Cover Amount]]</f>
        <v>0</v>
      </c>
      <c r="Y16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6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60" s="301">
        <f t="shared" ca="1" si="18"/>
        <v>0</v>
      </c>
      <c r="AB160" s="298"/>
      <c r="AC160" s="326" t="str">
        <f>IF(Table2[[#This Row],[Member Type]]="Main Member",Lookups!$C$13,
IF(Table2[[#This Row],[Member Type]]="Spouse",_xlfn.XLOOKUP(B160,Table2[Main Member Link ID],Table2[Product Option],0),
IF(AND(Table2[[#This Row],[Member Type]]="Child",_xlfn.XLOOKUP(B160,Table2[Main Member Link ID],Table2[Product Option],0)&lt;&gt;"My Value Plus Life"),Lookups!$C$24,
IF(AND(OR(Table2[[#This Row],[Member Type]]="Parent",Table2[[#This Row],[Member Type]]="Extended"),_xlfn.XLOOKUP(B160,Table2[Main Member Link ID],Table2[Product Option],0)&lt;&gt;"My Value Plus Life"),Lookups!$C$26,""))))</f>
        <v/>
      </c>
      <c r="AD160" s="326" t="str">
        <f>IF(Table2[[#This Row],[Member Type]]="Main Member",Lookups!$C$14,"")</f>
        <v/>
      </c>
      <c r="AE16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Funeral",_xlfn.XLOOKUP(B160,Table2[Main Member Link ID],Table2[Benefit Name],0)=Lookups!$D$14),"",
IF(AND(Table2[[#This Row],[Member Type]]="Spouse",Table2[[#This Row],[Product Option]]="My Value Plus Life &amp; Funeral",_xlfn.XLOOKUP(B159,Table2[Main Member Link ID],Table2[Benefit Name],0)=Lookups!$D$15),Lookups!$D$20,
IF(AND(Table2[[#This Row],[Member Type]]="Spouse",Table2[[#This Row],[Product Option]]="My Value Plus Life &amp; Funeral",_xlfn.XLOOKUP(B159,Table2[Main Member Link ID],Table2[Benefit Name],0)=Lookups!$D$16),"",
IF(AND(Table2[[#This Row],[Member Type]]="Spouse",Table2[[#This Row],[Product Option]]="My Value Plus Life &amp; Funeral",_xlfn.XLOOKUP(B159,Table2[Main Member Link ID],Table2[Benefit Name],0)=Lookups!$D$17),Lookups!$D$21,
IF(AND(Table2[[#This Row],[Member Type]]="Child",Table2[[#This Row],[Product Option]]="My Value Plus Life &amp; Funeral",_xlfn.XLOOKUP(B160,Table2[Main Member Link ID],Table2[Benefit Name],0)=Lookups!$D$14),"",
IF(AND(Table2[[#This Row],[Member Type]]="Child",Table2[[#This Row],[Product Option]]="My Value Plus Life &amp; Funeral",_xlfn.XLOOKUP(B160,Table2[Main Member Link ID],Table2[Benefit Name],0)=Lookups!$D$15),"",
IF(AND(Table2[[#This Row],[Member Type]]="Child",Table2[[#This Row],[Product Option]]="My Value Plus Life &amp; Funeral",_xlfn.XLOOKUP(B160,Table2[Main Member Link ID],Table2[Benefit Name],0)=Lookups!$D$16),Lookups!$D$24,
IF(AND(Table2[[#This Row],[Member Type]]="Child",Table2[[#This Row],[Product Option]]="My Value Plus Life &amp; Funeral",_xlfn.XLOOKUP(B160,Table2[Main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Funeral",_xlfn.XLOOKUP(B160,Table2[Main Member Link ID],Table2[Benefit Name],0)&lt;&gt;Lookups!$D$14),
IF(_xlfn.XLOOKUP(B160,Table2[Main Member Link ID],Table2[Benefit Name],0)=0,"",_xlfn.XLOOKUP(B160,Table2[Main Member Link ID],Table2[Benefit Name],0)),"")))))))))))))))</f>
        <v/>
      </c>
      <c r="AF160" s="327" t="str">
        <f>IF(AND(Table2[[#This Row],[Member Type]]="Main Member",Table2[[#This Row],[Product Option]]="My Value Plus Life &amp; Funeral"),Lookups!$D$15,
IF(AND(Table2[[#This Row],[Member Type]]="Spouse",Table2[[#This Row],[Product Option]]="My Value Plus Life &amp; Funeral",_xlfn.XLOOKUP(B160,Table2[Main Member Link ID],Table2[Benefit Name],0)=Lookups!$D$14),"",
IF(AND(Table2[[#This Row],[Member Type]]="Spouse",Table2[[#This Row],[Product Option]]="My Value Plus Life &amp; Funeral",_xlfn.XLOOKUP(B159,Table2[Main Member Link ID],Table2[Benefit Name],0)=Lookups!$D$16),"",
IF(AND(Table2[[#This Row],[Member Type]]="Spouse",Table2[[#This Row],[Product Option]]="My Value Plus Life &amp; Funeral",_xlfn.XLOOKUP(B159,Table2[Main Member Link ID],Table2[Benefit Name],0)=Lookups!$D$15),"",
IF(AND(Table2[[#This Row],[Member Type]]="Spouse",Table2[[#This Row],[Product Option]]="My Value Plus Life &amp; Funeral",_xlfn.XLOOKUP(B159,Table2[Main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Funeral",_xlfn.XLOOKUP(B160,Table2[Main Member Link ID],Table2[Benefit Name],0)&lt;&gt;Lookups!$D$15),
IF(_xlfn.XLOOKUP(B160,Table2[Main Member Link ID],Table2[Benefit Name],0)=0,"",_xlfn.XLOOKUP(B160,Table2[Main Member Link ID],Table2[Benefit Name],0)),"")
))))))</f>
        <v/>
      </c>
      <c r="AG160" s="327" t="str">
        <f>IF(AND(Table2[[#This Row],[Member Type]]="Main Member",Table2[[#This Row],[Product Option]]="My Value Plus Life &amp; Funeral"),Lookups!$D$16,
IF(AND(Table2[[#This Row],[Member Type]]="Spouse",Table2[[#This Row],[Product Option]]="My Value Plus Life &amp; Funeral",_xlfn.XLOOKUP(B160,Table2[Main Member Link ID],Table2[Benefit Name],0)=Lookups!$D$14),"",
IF(AND(Table2[[#This Row],[Member Type]]="Spouse",Table2[[#This Row],[Product Option]]="My Value Plus Life &amp; Funeral",_xlfn.XLOOKUP(B159,Table2[Main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Funeral",_xlfn.XLOOKUP(B160,Table2[Main Member Link ID],Table2[Benefit Name],0)&lt;&gt;Lookups!$D$16),
IF(_xlfn.XLOOKUP(B160,Table2[Main Member Link ID],Table2[Benefit Name],0)=0,"",_xlfn.XLOOKUP(B160,Table2[Main Member Link ID],Table2[Benefit Name],0)),"")
))))</f>
        <v/>
      </c>
      <c r="AH160" s="327" t="str">
        <f>IF(AND(Table2[[#This Row],[Member Type]]="Main Member",Table2[[#This Row],[Product Option]]="My Value Plus Life &amp; Funeral"),Lookups!$D$17,
IF(AND(Table2[[#This Row],[Member Type]]="Spouse",Table2[[#This Row],[Product Option]]="My Value Plus Life &amp; Funeral",_xlfn.XLOOKUP(B160,Table2[Main Member Link ID],Table2[Benefit Name],0)=Lookups!$D$14),"",
IF(AND(Table2[[#This Row],[Member Type]]="Spouse",Table2[[#This Row],[Product Option]]="My Value Plus Life &amp; Funeral",_xlfn.XLOOKUP(B159,Table2[Main Member Link ID],Table2[Benefit Name],0)=Lookups!$D$16),"",
IF(AND(Table2[[#This Row],[Member Type]]="Child",Table2[[#This Row],[Product Option]]="My Value Plus Life &amp; Funeral"),"",
IF(AND(Table2[[#This Row],[Member Type]]="Child",Table2[[#This Row],[Product Option]]="My Value Plus Life &amp; Funeral",_xlfn.XLOOKUP(B160,Table2[Main Member Link ID],Table2[Benefit Name],0)=Lookups!$D$15),"",
IF(AND(OR(Table2[[#This Row],[Member Type]]="Spouse",Table2[[#This Row],[Member Type]]="Child"),Table2[[#This Row],[Product Option]]="My Value Plus Life &amp; Funeral",_xlfn.XLOOKUP(B160,Table2[Main Member Link ID],Table2[Benefit Name],0)&lt;&gt;Lookups!$D$17),
IF(_xlfn.XLOOKUP(B160,Table2[Main Member Link ID],Table2[Benefit Name],0)=0,"",_xlfn.XLOOKUP(B160,Table2[Main Member Link ID],Table2[Benefit Name],0)),""))))))</f>
        <v/>
      </c>
      <c r="AI160" s="328" t="str">
        <f>IF(AND(Table2[[#This Row],[Member Type]]="Main Member",Table2[[#This Row],[Table Lookup for Life Cover]]="MM_LIFE",Table2[[#This Row],[Age Next Birthday]]&lt;56),1,
IF(AND(Table2[[#This Row],[Member Type]]="Main Member",Table2[[#This Row],[Table Lookup for Life Cover]]="MM_LIFE",Table2[[#This Row],[Age Next Birthday]]&gt;=56),2,
""))</f>
        <v/>
      </c>
      <c r="AJ160" s="328">
        <f>IF(OR(Table2[[#This Row],[Member Type]]="Main Member",Table2[[#This Row],[Main Member Link ID]]=B159),1,0)</f>
        <v>1</v>
      </c>
      <c r="AK160" s="328">
        <f>IF(Table2[[#This Row],[Member Type]]=0,0,
IF(OR(Table2[[#This Row],[Member Type]]="Main Member",Table2[[#This Row],[Main Member Link ID]]&lt;&gt;B160),COUNTIFS(B:B,Table2[[#This Row],[Main Member Link ID]]),
COUNTIFS(B:B,Table2[[#This Row],[Main Member Link ID]],A:A,Table2[[#This Row],[Member Type]])))</f>
        <v>0</v>
      </c>
    </row>
    <row r="161" spans="1:37" x14ac:dyDescent="0.3">
      <c r="A161" s="284">
        <f>Table13[[#This Row],[Member Type]]</f>
        <v>0</v>
      </c>
      <c r="B161" s="284">
        <f>Table13[[#This Row],[Main Member Link ID]]</f>
        <v>0</v>
      </c>
      <c r="C161" s="284">
        <f>Table13[[#This Row],[ID Number]]</f>
        <v>0</v>
      </c>
      <c r="D161" s="285">
        <f>Table13[[#This Row],[Date Of Birth]]</f>
        <v>0</v>
      </c>
      <c r="E161" s="285">
        <f>Table13[[#This Row],[Commencement Date]]</f>
        <v>0</v>
      </c>
      <c r="F161" s="284">
        <f t="shared" si="14"/>
        <v>1</v>
      </c>
      <c r="G161" s="284">
        <f t="shared" si="15"/>
        <v>25</v>
      </c>
      <c r="H161" s="286">
        <f>Table13[[#This Row],[Product Option]]</f>
        <v>0</v>
      </c>
      <c r="I161" s="284">
        <f>IF(AND($A161="Main Member",Table2[[#This Row],[Product Option]]="My Value Plus Life"),"MM_LIFE",
IF(AND($A161="Spouse",Table2[[#This Row],[Product Option]]="My Value Plus Life"),"SP_LIFE",
IF(AND($A161="Main Member",Table2[[#This Row],[Product Option]]="My Value Plus Life &amp; Funeral"),"MM_LIFE",
IF(AND($A161="Spouse",Table2[[#This Row],[Product Option]]="My Value Plus Life &amp; Funeral"),_xlfn.XLOOKUP(Table2[[#This Row],[Benefit Name]],Lookups!$D$18:$D$23,Lookups!$E$18:$E$23,0),
0))))</f>
        <v>0</v>
      </c>
      <c r="J161" s="284">
        <f>IF($I161="","",
IF($I161="MM_LIFE",INDEX('Quotation Tool'!$S$54:$V$60,MATCH($T161,'Quotation Tool'!$S$54:$S$60,0),4),
IF($I161="SP_LIFE",_xlfn.XLOOKUP(B160,$B:$B,$J:$J,0),0)))</f>
        <v>0</v>
      </c>
      <c r="K161" s="287">
        <f t="shared" ca="1" si="19"/>
        <v>0</v>
      </c>
      <c r="L161" s="288">
        <f t="shared" ca="1" si="20"/>
        <v>0</v>
      </c>
      <c r="M161" s="289">
        <f t="shared" ca="1" si="16"/>
        <v>0</v>
      </c>
      <c r="N161" s="286">
        <f>Table13[[#This Row],[Benefit Option]]</f>
        <v>0</v>
      </c>
      <c r="O161" s="284">
        <f>IF(OR(Table2[[#This Row],[Member Type]]="Spouse",Table2[[#This Row],[Member Type]]="Child"),0,
IF(_xlfn.XLOOKUP($N161,Lookups!$D$13:$D$27,Lookups!$F$13:$F$27,0)=Table2[[#This Row],[Table Lookup for Life Cover]],0,
_xlfn.XLOOKUP($N161,Lookups!$D$13:$D$27,Lookups!$F$13:$F$27,0)))</f>
        <v>0</v>
      </c>
      <c r="P161" s="284">
        <f>IF(Table2[[#This Row],[Table Lookup for Funeral]]=0,0,IFERROR(INDEX('Quotation Tool'!$S$54:$V$60,MATCH($T161,'Quotation Tool'!$S$54:$S$60,0),3),0))</f>
        <v>0</v>
      </c>
      <c r="Q161" s="288">
        <f ca="1">IF(OR(Table2[[#This Row],[Benefit Name]]="My Value Plus Life - Main Member",Table2[[#This Row],[Benefit Name]]="My Value Plus Life - Spouse"),0,
IFERROR(VLOOKUP($G161,INDIRECT($O161),$P161,FALSE),0))</f>
        <v>0</v>
      </c>
      <c r="R161" s="288">
        <f ca="1">IF(OR(Table2[[#This Row],[Benefit Name]]="My Value Plus Life - Main Member",Table2[[#This Row],[Benefit Name]]="My Value Plus Life - Spouse"),0,
IFERROR(VLOOKUP($G161,INDIRECT($O161),$P161+1,FALSE),0))</f>
        <v>0</v>
      </c>
      <c r="S161" s="289">
        <f t="shared" ca="1" si="17"/>
        <v>0</v>
      </c>
      <c r="T161" s="284" t="str">
        <f>IF(Table13[[#This Row],[Premium Waiver]]="","None",Table13[[#This Row],[Premium Waiver]])</f>
        <v>None</v>
      </c>
      <c r="U161" s="284">
        <f>Table13[[#This Row],[VAPs Options]]</f>
        <v>0</v>
      </c>
      <c r="V161" s="284">
        <f>Table13[[#This Row],[Annual Increase Option]]</f>
        <v>0</v>
      </c>
      <c r="W161" s="290">
        <f>Table13[[#This Row],[Life Cover Amount]]</f>
        <v>0</v>
      </c>
      <c r="X161" s="290">
        <f>Table13[[#This Row],[Funeral Cover Amount]]</f>
        <v>0</v>
      </c>
      <c r="Y16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6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61" s="301">
        <f t="shared" ca="1" si="18"/>
        <v>0</v>
      </c>
      <c r="AB161" s="298"/>
      <c r="AC161" s="326" t="str">
        <f>IF(Table2[[#This Row],[Member Type]]="Main Member",Lookups!$C$13,
IF(Table2[[#This Row],[Member Type]]="Spouse",_xlfn.XLOOKUP(B161,Table2[Main Member Link ID],Table2[Product Option],0),
IF(AND(Table2[[#This Row],[Member Type]]="Child",_xlfn.XLOOKUP(B161,Table2[Main Member Link ID],Table2[Product Option],0)&lt;&gt;"My Value Plus Life"),Lookups!$C$24,
IF(AND(OR(Table2[[#This Row],[Member Type]]="Parent",Table2[[#This Row],[Member Type]]="Extended"),_xlfn.XLOOKUP(B161,Table2[Main Member Link ID],Table2[Product Option],0)&lt;&gt;"My Value Plus Life"),Lookups!$C$26,""))))</f>
        <v/>
      </c>
      <c r="AD161" s="326" t="str">
        <f>IF(Table2[[#This Row],[Member Type]]="Main Member",Lookups!$C$14,"")</f>
        <v/>
      </c>
      <c r="AE16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Funeral",_xlfn.XLOOKUP(B161,Table2[Main Member Link ID],Table2[Benefit Name],0)=Lookups!$D$14),"",
IF(AND(Table2[[#This Row],[Member Type]]="Spouse",Table2[[#This Row],[Product Option]]="My Value Plus Life &amp; Funeral",_xlfn.XLOOKUP(B160,Table2[Main Member Link ID],Table2[Benefit Name],0)=Lookups!$D$15),Lookups!$D$20,
IF(AND(Table2[[#This Row],[Member Type]]="Spouse",Table2[[#This Row],[Product Option]]="My Value Plus Life &amp; Funeral",_xlfn.XLOOKUP(B160,Table2[Main Member Link ID],Table2[Benefit Name],0)=Lookups!$D$16),"",
IF(AND(Table2[[#This Row],[Member Type]]="Spouse",Table2[[#This Row],[Product Option]]="My Value Plus Life &amp; Funeral",_xlfn.XLOOKUP(B160,Table2[Main Member Link ID],Table2[Benefit Name],0)=Lookups!$D$17),Lookups!$D$21,
IF(AND(Table2[[#This Row],[Member Type]]="Child",Table2[[#This Row],[Product Option]]="My Value Plus Life &amp; Funeral",_xlfn.XLOOKUP(B161,Table2[Main Member Link ID],Table2[Benefit Name],0)=Lookups!$D$14),"",
IF(AND(Table2[[#This Row],[Member Type]]="Child",Table2[[#This Row],[Product Option]]="My Value Plus Life &amp; Funeral",_xlfn.XLOOKUP(B161,Table2[Main Member Link ID],Table2[Benefit Name],0)=Lookups!$D$15),"",
IF(AND(Table2[[#This Row],[Member Type]]="Child",Table2[[#This Row],[Product Option]]="My Value Plus Life &amp; Funeral",_xlfn.XLOOKUP(B161,Table2[Main Member Link ID],Table2[Benefit Name],0)=Lookups!$D$16),Lookups!$D$24,
IF(AND(Table2[[#This Row],[Member Type]]="Child",Table2[[#This Row],[Product Option]]="My Value Plus Life &amp; Funeral",_xlfn.XLOOKUP(B161,Table2[Main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Funeral",_xlfn.XLOOKUP(B161,Table2[Main Member Link ID],Table2[Benefit Name],0)&lt;&gt;Lookups!$D$14),
IF(_xlfn.XLOOKUP(B161,Table2[Main Member Link ID],Table2[Benefit Name],0)=0,"",_xlfn.XLOOKUP(B161,Table2[Main Member Link ID],Table2[Benefit Name],0)),"")))))))))))))))</f>
        <v/>
      </c>
      <c r="AF161" s="327" t="str">
        <f>IF(AND(Table2[[#This Row],[Member Type]]="Main Member",Table2[[#This Row],[Product Option]]="My Value Plus Life &amp; Funeral"),Lookups!$D$15,
IF(AND(Table2[[#This Row],[Member Type]]="Spouse",Table2[[#This Row],[Product Option]]="My Value Plus Life &amp; Funeral",_xlfn.XLOOKUP(B161,Table2[Main Member Link ID],Table2[Benefit Name],0)=Lookups!$D$14),"",
IF(AND(Table2[[#This Row],[Member Type]]="Spouse",Table2[[#This Row],[Product Option]]="My Value Plus Life &amp; Funeral",_xlfn.XLOOKUP(B160,Table2[Main Member Link ID],Table2[Benefit Name],0)=Lookups!$D$16),"",
IF(AND(Table2[[#This Row],[Member Type]]="Spouse",Table2[[#This Row],[Product Option]]="My Value Plus Life &amp; Funeral",_xlfn.XLOOKUP(B160,Table2[Main Member Link ID],Table2[Benefit Name],0)=Lookups!$D$15),"",
IF(AND(Table2[[#This Row],[Member Type]]="Spouse",Table2[[#This Row],[Product Option]]="My Value Plus Life &amp; Funeral",_xlfn.XLOOKUP(B160,Table2[Main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Funeral",_xlfn.XLOOKUP(B161,Table2[Main Member Link ID],Table2[Benefit Name],0)&lt;&gt;Lookups!$D$15),
IF(_xlfn.XLOOKUP(B161,Table2[Main Member Link ID],Table2[Benefit Name],0)=0,"",_xlfn.XLOOKUP(B161,Table2[Main Member Link ID],Table2[Benefit Name],0)),"")
))))))</f>
        <v/>
      </c>
      <c r="AG161" s="327" t="str">
        <f>IF(AND(Table2[[#This Row],[Member Type]]="Main Member",Table2[[#This Row],[Product Option]]="My Value Plus Life &amp; Funeral"),Lookups!$D$16,
IF(AND(Table2[[#This Row],[Member Type]]="Spouse",Table2[[#This Row],[Product Option]]="My Value Plus Life &amp; Funeral",_xlfn.XLOOKUP(B161,Table2[Main Member Link ID],Table2[Benefit Name],0)=Lookups!$D$14),"",
IF(AND(Table2[[#This Row],[Member Type]]="Spouse",Table2[[#This Row],[Product Option]]="My Value Plus Life &amp; Funeral",_xlfn.XLOOKUP(B160,Table2[Main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Funeral",_xlfn.XLOOKUP(B161,Table2[Main Member Link ID],Table2[Benefit Name],0)&lt;&gt;Lookups!$D$16),
IF(_xlfn.XLOOKUP(B161,Table2[Main Member Link ID],Table2[Benefit Name],0)=0,"",_xlfn.XLOOKUP(B161,Table2[Main Member Link ID],Table2[Benefit Name],0)),"")
))))</f>
        <v/>
      </c>
      <c r="AH161" s="327" t="str">
        <f>IF(AND(Table2[[#This Row],[Member Type]]="Main Member",Table2[[#This Row],[Product Option]]="My Value Plus Life &amp; Funeral"),Lookups!$D$17,
IF(AND(Table2[[#This Row],[Member Type]]="Spouse",Table2[[#This Row],[Product Option]]="My Value Plus Life &amp; Funeral",_xlfn.XLOOKUP(B161,Table2[Main Member Link ID],Table2[Benefit Name],0)=Lookups!$D$14),"",
IF(AND(Table2[[#This Row],[Member Type]]="Spouse",Table2[[#This Row],[Product Option]]="My Value Plus Life &amp; Funeral",_xlfn.XLOOKUP(B160,Table2[Main Member Link ID],Table2[Benefit Name],0)=Lookups!$D$16),"",
IF(AND(Table2[[#This Row],[Member Type]]="Child",Table2[[#This Row],[Product Option]]="My Value Plus Life &amp; Funeral"),"",
IF(AND(Table2[[#This Row],[Member Type]]="Child",Table2[[#This Row],[Product Option]]="My Value Plus Life &amp; Funeral",_xlfn.XLOOKUP(B161,Table2[Main Member Link ID],Table2[Benefit Name],0)=Lookups!$D$15),"",
IF(AND(OR(Table2[[#This Row],[Member Type]]="Spouse",Table2[[#This Row],[Member Type]]="Child"),Table2[[#This Row],[Product Option]]="My Value Plus Life &amp; Funeral",_xlfn.XLOOKUP(B161,Table2[Main Member Link ID],Table2[Benefit Name],0)&lt;&gt;Lookups!$D$17),
IF(_xlfn.XLOOKUP(B161,Table2[Main Member Link ID],Table2[Benefit Name],0)=0,"",_xlfn.XLOOKUP(B161,Table2[Main Member Link ID],Table2[Benefit Name],0)),""))))))</f>
        <v/>
      </c>
      <c r="AI161" s="328" t="str">
        <f>IF(AND(Table2[[#This Row],[Member Type]]="Main Member",Table2[[#This Row],[Table Lookup for Life Cover]]="MM_LIFE",Table2[[#This Row],[Age Next Birthday]]&lt;56),1,
IF(AND(Table2[[#This Row],[Member Type]]="Main Member",Table2[[#This Row],[Table Lookup for Life Cover]]="MM_LIFE",Table2[[#This Row],[Age Next Birthday]]&gt;=56),2,
""))</f>
        <v/>
      </c>
      <c r="AJ161" s="328">
        <f>IF(OR(Table2[[#This Row],[Member Type]]="Main Member",Table2[[#This Row],[Main Member Link ID]]=B160),1,0)</f>
        <v>1</v>
      </c>
      <c r="AK161" s="328">
        <f>IF(Table2[[#This Row],[Member Type]]=0,0,
IF(OR(Table2[[#This Row],[Member Type]]="Main Member",Table2[[#This Row],[Main Member Link ID]]&lt;&gt;B161),COUNTIFS(B:B,Table2[[#This Row],[Main Member Link ID]]),
COUNTIFS(B:B,Table2[[#This Row],[Main Member Link ID]],A:A,Table2[[#This Row],[Member Type]])))</f>
        <v>0</v>
      </c>
    </row>
    <row r="162" spans="1:37" x14ac:dyDescent="0.3">
      <c r="A162" s="284">
        <f>Table13[[#This Row],[Member Type]]</f>
        <v>0</v>
      </c>
      <c r="B162" s="284">
        <f>Table13[[#This Row],[Main Member Link ID]]</f>
        <v>0</v>
      </c>
      <c r="C162" s="284">
        <f>Table13[[#This Row],[ID Number]]</f>
        <v>0</v>
      </c>
      <c r="D162" s="285">
        <f>Table13[[#This Row],[Date Of Birth]]</f>
        <v>0</v>
      </c>
      <c r="E162" s="285">
        <f>Table13[[#This Row],[Commencement Date]]</f>
        <v>0</v>
      </c>
      <c r="F162" s="284">
        <f t="shared" si="14"/>
        <v>1</v>
      </c>
      <c r="G162" s="284">
        <f t="shared" si="15"/>
        <v>25</v>
      </c>
      <c r="H162" s="286">
        <f>Table13[[#This Row],[Product Option]]</f>
        <v>0</v>
      </c>
      <c r="I162" s="284">
        <f>IF(AND($A162="Main Member",Table2[[#This Row],[Product Option]]="My Value Plus Life"),"MM_LIFE",
IF(AND($A162="Spouse",Table2[[#This Row],[Product Option]]="My Value Plus Life"),"SP_LIFE",
IF(AND($A162="Main Member",Table2[[#This Row],[Product Option]]="My Value Plus Life &amp; Funeral"),"MM_LIFE",
IF(AND($A162="Spouse",Table2[[#This Row],[Product Option]]="My Value Plus Life &amp; Funeral"),_xlfn.XLOOKUP(Table2[[#This Row],[Benefit Name]],Lookups!$D$18:$D$23,Lookups!$E$18:$E$23,0),
0))))</f>
        <v>0</v>
      </c>
      <c r="J162" s="284">
        <f>IF($I162="","",
IF($I162="MM_LIFE",INDEX('Quotation Tool'!$S$54:$V$60,MATCH($T162,'Quotation Tool'!$S$54:$S$60,0),4),
IF($I162="SP_LIFE",_xlfn.XLOOKUP(B161,$B:$B,$J:$J,0),0)))</f>
        <v>0</v>
      </c>
      <c r="K162" s="287">
        <f t="shared" ca="1" si="19"/>
        <v>0</v>
      </c>
      <c r="L162" s="288">
        <f t="shared" ca="1" si="20"/>
        <v>0</v>
      </c>
      <c r="M162" s="289">
        <f t="shared" ca="1" si="16"/>
        <v>0</v>
      </c>
      <c r="N162" s="286">
        <f>Table13[[#This Row],[Benefit Option]]</f>
        <v>0</v>
      </c>
      <c r="O162" s="284">
        <f>IF(OR(Table2[[#This Row],[Member Type]]="Spouse",Table2[[#This Row],[Member Type]]="Child"),0,
IF(_xlfn.XLOOKUP($N162,Lookups!$D$13:$D$27,Lookups!$F$13:$F$27,0)=Table2[[#This Row],[Table Lookup for Life Cover]],0,
_xlfn.XLOOKUP($N162,Lookups!$D$13:$D$27,Lookups!$F$13:$F$27,0)))</f>
        <v>0</v>
      </c>
      <c r="P162" s="284">
        <f>IF(Table2[[#This Row],[Table Lookup for Funeral]]=0,0,IFERROR(INDEX('Quotation Tool'!$S$54:$V$60,MATCH($T162,'Quotation Tool'!$S$54:$S$60,0),3),0))</f>
        <v>0</v>
      </c>
      <c r="Q162" s="288">
        <f ca="1">IF(OR(Table2[[#This Row],[Benefit Name]]="My Value Plus Life - Main Member",Table2[[#This Row],[Benefit Name]]="My Value Plus Life - Spouse"),0,
IFERROR(VLOOKUP($G162,INDIRECT($O162),$P162,FALSE),0))</f>
        <v>0</v>
      </c>
      <c r="R162" s="288">
        <f ca="1">IF(OR(Table2[[#This Row],[Benefit Name]]="My Value Plus Life - Main Member",Table2[[#This Row],[Benefit Name]]="My Value Plus Life - Spouse"),0,
IFERROR(VLOOKUP($G162,INDIRECT($O162),$P162+1,FALSE),0))</f>
        <v>0</v>
      </c>
      <c r="S162" s="289">
        <f t="shared" ca="1" si="17"/>
        <v>0</v>
      </c>
      <c r="T162" s="284" t="str">
        <f>IF(Table13[[#This Row],[Premium Waiver]]="","None",Table13[[#This Row],[Premium Waiver]])</f>
        <v>None</v>
      </c>
      <c r="U162" s="284">
        <f>Table13[[#This Row],[VAPs Options]]</f>
        <v>0</v>
      </c>
      <c r="V162" s="284">
        <f>Table13[[#This Row],[Annual Increase Option]]</f>
        <v>0</v>
      </c>
      <c r="W162" s="290">
        <f>Table13[[#This Row],[Life Cover Amount]]</f>
        <v>0</v>
      </c>
      <c r="X162" s="290">
        <f>Table13[[#This Row],[Funeral Cover Amount]]</f>
        <v>0</v>
      </c>
      <c r="Y16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6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62" s="301">
        <f t="shared" ca="1" si="18"/>
        <v>0</v>
      </c>
      <c r="AB162" s="298"/>
      <c r="AC162" s="326" t="str">
        <f>IF(Table2[[#This Row],[Member Type]]="Main Member",Lookups!$C$13,
IF(Table2[[#This Row],[Member Type]]="Spouse",_xlfn.XLOOKUP(B162,Table2[Main Member Link ID],Table2[Product Option],0),
IF(AND(Table2[[#This Row],[Member Type]]="Child",_xlfn.XLOOKUP(B162,Table2[Main Member Link ID],Table2[Product Option],0)&lt;&gt;"My Value Plus Life"),Lookups!$C$24,
IF(AND(OR(Table2[[#This Row],[Member Type]]="Parent",Table2[[#This Row],[Member Type]]="Extended"),_xlfn.XLOOKUP(B162,Table2[Main Member Link ID],Table2[Product Option],0)&lt;&gt;"My Value Plus Life"),Lookups!$C$26,""))))</f>
        <v/>
      </c>
      <c r="AD162" s="326" t="str">
        <f>IF(Table2[[#This Row],[Member Type]]="Main Member",Lookups!$C$14,"")</f>
        <v/>
      </c>
      <c r="AE16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Funeral",_xlfn.XLOOKUP(B162,Table2[Main Member Link ID],Table2[Benefit Name],0)=Lookups!$D$14),"",
IF(AND(Table2[[#This Row],[Member Type]]="Spouse",Table2[[#This Row],[Product Option]]="My Value Plus Life &amp; Funeral",_xlfn.XLOOKUP(B161,Table2[Main Member Link ID],Table2[Benefit Name],0)=Lookups!$D$15),Lookups!$D$20,
IF(AND(Table2[[#This Row],[Member Type]]="Spouse",Table2[[#This Row],[Product Option]]="My Value Plus Life &amp; Funeral",_xlfn.XLOOKUP(B161,Table2[Main Member Link ID],Table2[Benefit Name],0)=Lookups!$D$16),"",
IF(AND(Table2[[#This Row],[Member Type]]="Spouse",Table2[[#This Row],[Product Option]]="My Value Plus Life &amp; Funeral",_xlfn.XLOOKUP(B161,Table2[Main Member Link ID],Table2[Benefit Name],0)=Lookups!$D$17),Lookups!$D$21,
IF(AND(Table2[[#This Row],[Member Type]]="Child",Table2[[#This Row],[Product Option]]="My Value Plus Life &amp; Funeral",_xlfn.XLOOKUP(B162,Table2[Main Member Link ID],Table2[Benefit Name],0)=Lookups!$D$14),"",
IF(AND(Table2[[#This Row],[Member Type]]="Child",Table2[[#This Row],[Product Option]]="My Value Plus Life &amp; Funeral",_xlfn.XLOOKUP(B162,Table2[Main Member Link ID],Table2[Benefit Name],0)=Lookups!$D$15),"",
IF(AND(Table2[[#This Row],[Member Type]]="Child",Table2[[#This Row],[Product Option]]="My Value Plus Life &amp; Funeral",_xlfn.XLOOKUP(B162,Table2[Main Member Link ID],Table2[Benefit Name],0)=Lookups!$D$16),Lookups!$D$24,
IF(AND(Table2[[#This Row],[Member Type]]="Child",Table2[[#This Row],[Product Option]]="My Value Plus Life &amp; Funeral",_xlfn.XLOOKUP(B162,Table2[Main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Funeral",_xlfn.XLOOKUP(B162,Table2[Main Member Link ID],Table2[Benefit Name],0)&lt;&gt;Lookups!$D$14),
IF(_xlfn.XLOOKUP(B162,Table2[Main Member Link ID],Table2[Benefit Name],0)=0,"",_xlfn.XLOOKUP(B162,Table2[Main Member Link ID],Table2[Benefit Name],0)),"")))))))))))))))</f>
        <v/>
      </c>
      <c r="AF162" s="327" t="str">
        <f>IF(AND(Table2[[#This Row],[Member Type]]="Main Member",Table2[[#This Row],[Product Option]]="My Value Plus Life &amp; Funeral"),Lookups!$D$15,
IF(AND(Table2[[#This Row],[Member Type]]="Spouse",Table2[[#This Row],[Product Option]]="My Value Plus Life &amp; Funeral",_xlfn.XLOOKUP(B162,Table2[Main Member Link ID],Table2[Benefit Name],0)=Lookups!$D$14),"",
IF(AND(Table2[[#This Row],[Member Type]]="Spouse",Table2[[#This Row],[Product Option]]="My Value Plus Life &amp; Funeral",_xlfn.XLOOKUP(B161,Table2[Main Member Link ID],Table2[Benefit Name],0)=Lookups!$D$16),"",
IF(AND(Table2[[#This Row],[Member Type]]="Spouse",Table2[[#This Row],[Product Option]]="My Value Plus Life &amp; Funeral",_xlfn.XLOOKUP(B161,Table2[Main Member Link ID],Table2[Benefit Name],0)=Lookups!$D$15),"",
IF(AND(Table2[[#This Row],[Member Type]]="Spouse",Table2[[#This Row],[Product Option]]="My Value Plus Life &amp; Funeral",_xlfn.XLOOKUP(B161,Table2[Main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Funeral",_xlfn.XLOOKUP(B162,Table2[Main Member Link ID],Table2[Benefit Name],0)&lt;&gt;Lookups!$D$15),
IF(_xlfn.XLOOKUP(B162,Table2[Main Member Link ID],Table2[Benefit Name],0)=0,"",_xlfn.XLOOKUP(B162,Table2[Main Member Link ID],Table2[Benefit Name],0)),"")
))))))</f>
        <v/>
      </c>
      <c r="AG162" s="327" t="str">
        <f>IF(AND(Table2[[#This Row],[Member Type]]="Main Member",Table2[[#This Row],[Product Option]]="My Value Plus Life &amp; Funeral"),Lookups!$D$16,
IF(AND(Table2[[#This Row],[Member Type]]="Spouse",Table2[[#This Row],[Product Option]]="My Value Plus Life &amp; Funeral",_xlfn.XLOOKUP(B162,Table2[Main Member Link ID],Table2[Benefit Name],0)=Lookups!$D$14),"",
IF(AND(Table2[[#This Row],[Member Type]]="Spouse",Table2[[#This Row],[Product Option]]="My Value Plus Life &amp; Funeral",_xlfn.XLOOKUP(B161,Table2[Main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Funeral",_xlfn.XLOOKUP(B162,Table2[Main Member Link ID],Table2[Benefit Name],0)&lt;&gt;Lookups!$D$16),
IF(_xlfn.XLOOKUP(B162,Table2[Main Member Link ID],Table2[Benefit Name],0)=0,"",_xlfn.XLOOKUP(B162,Table2[Main Member Link ID],Table2[Benefit Name],0)),"")
))))</f>
        <v/>
      </c>
      <c r="AH162" s="327" t="str">
        <f>IF(AND(Table2[[#This Row],[Member Type]]="Main Member",Table2[[#This Row],[Product Option]]="My Value Plus Life &amp; Funeral"),Lookups!$D$17,
IF(AND(Table2[[#This Row],[Member Type]]="Spouse",Table2[[#This Row],[Product Option]]="My Value Plus Life &amp; Funeral",_xlfn.XLOOKUP(B162,Table2[Main Member Link ID],Table2[Benefit Name],0)=Lookups!$D$14),"",
IF(AND(Table2[[#This Row],[Member Type]]="Spouse",Table2[[#This Row],[Product Option]]="My Value Plus Life &amp; Funeral",_xlfn.XLOOKUP(B161,Table2[Main Member Link ID],Table2[Benefit Name],0)=Lookups!$D$16),"",
IF(AND(Table2[[#This Row],[Member Type]]="Child",Table2[[#This Row],[Product Option]]="My Value Plus Life &amp; Funeral"),"",
IF(AND(Table2[[#This Row],[Member Type]]="Child",Table2[[#This Row],[Product Option]]="My Value Plus Life &amp; Funeral",_xlfn.XLOOKUP(B162,Table2[Main Member Link ID],Table2[Benefit Name],0)=Lookups!$D$15),"",
IF(AND(OR(Table2[[#This Row],[Member Type]]="Spouse",Table2[[#This Row],[Member Type]]="Child"),Table2[[#This Row],[Product Option]]="My Value Plus Life &amp; Funeral",_xlfn.XLOOKUP(B162,Table2[Main Member Link ID],Table2[Benefit Name],0)&lt;&gt;Lookups!$D$17),
IF(_xlfn.XLOOKUP(B162,Table2[Main Member Link ID],Table2[Benefit Name],0)=0,"",_xlfn.XLOOKUP(B162,Table2[Main Member Link ID],Table2[Benefit Name],0)),""))))))</f>
        <v/>
      </c>
      <c r="AI162" s="328" t="str">
        <f>IF(AND(Table2[[#This Row],[Member Type]]="Main Member",Table2[[#This Row],[Table Lookup for Life Cover]]="MM_LIFE",Table2[[#This Row],[Age Next Birthday]]&lt;56),1,
IF(AND(Table2[[#This Row],[Member Type]]="Main Member",Table2[[#This Row],[Table Lookup for Life Cover]]="MM_LIFE",Table2[[#This Row],[Age Next Birthday]]&gt;=56),2,
""))</f>
        <v/>
      </c>
      <c r="AJ162" s="328">
        <f>IF(OR(Table2[[#This Row],[Member Type]]="Main Member",Table2[[#This Row],[Main Member Link ID]]=B161),1,0)</f>
        <v>1</v>
      </c>
      <c r="AK162" s="328">
        <f>IF(Table2[[#This Row],[Member Type]]=0,0,
IF(OR(Table2[[#This Row],[Member Type]]="Main Member",Table2[[#This Row],[Main Member Link ID]]&lt;&gt;B162),COUNTIFS(B:B,Table2[[#This Row],[Main Member Link ID]]),
COUNTIFS(B:B,Table2[[#This Row],[Main Member Link ID]],A:A,Table2[[#This Row],[Member Type]])))</f>
        <v>0</v>
      </c>
    </row>
    <row r="163" spans="1:37" x14ac:dyDescent="0.3">
      <c r="A163" s="284">
        <f>Table13[[#This Row],[Member Type]]</f>
        <v>0</v>
      </c>
      <c r="B163" s="284">
        <f>Table13[[#This Row],[Main Member Link ID]]</f>
        <v>0</v>
      </c>
      <c r="C163" s="284">
        <f>Table13[[#This Row],[ID Number]]</f>
        <v>0</v>
      </c>
      <c r="D163" s="285">
        <f>Table13[[#This Row],[Date Of Birth]]</f>
        <v>0</v>
      </c>
      <c r="E163" s="285">
        <f>Table13[[#This Row],[Commencement Date]]</f>
        <v>0</v>
      </c>
      <c r="F163" s="284">
        <f t="shared" si="14"/>
        <v>1</v>
      </c>
      <c r="G163" s="284">
        <f t="shared" si="15"/>
        <v>25</v>
      </c>
      <c r="H163" s="286">
        <f>Table13[[#This Row],[Product Option]]</f>
        <v>0</v>
      </c>
      <c r="I163" s="284">
        <f>IF(AND($A163="Main Member",Table2[[#This Row],[Product Option]]="My Value Plus Life"),"MM_LIFE",
IF(AND($A163="Spouse",Table2[[#This Row],[Product Option]]="My Value Plus Life"),"SP_LIFE",
IF(AND($A163="Main Member",Table2[[#This Row],[Product Option]]="My Value Plus Life &amp; Funeral"),"MM_LIFE",
IF(AND($A163="Spouse",Table2[[#This Row],[Product Option]]="My Value Plus Life &amp; Funeral"),_xlfn.XLOOKUP(Table2[[#This Row],[Benefit Name]],Lookups!$D$18:$D$23,Lookups!$E$18:$E$23,0),
0))))</f>
        <v>0</v>
      </c>
      <c r="J163" s="284">
        <f>IF($I163="","",
IF($I163="MM_LIFE",INDEX('Quotation Tool'!$S$54:$V$60,MATCH($T163,'Quotation Tool'!$S$54:$S$60,0),4),
IF($I163="SP_LIFE",_xlfn.XLOOKUP(B162,$B:$B,$J:$J,0),0)))</f>
        <v>0</v>
      </c>
      <c r="K163" s="287">
        <f t="shared" ca="1" si="19"/>
        <v>0</v>
      </c>
      <c r="L163" s="288">
        <f t="shared" ca="1" si="20"/>
        <v>0</v>
      </c>
      <c r="M163" s="289">
        <f t="shared" ca="1" si="16"/>
        <v>0</v>
      </c>
      <c r="N163" s="286">
        <f>Table13[[#This Row],[Benefit Option]]</f>
        <v>0</v>
      </c>
      <c r="O163" s="284">
        <f>IF(OR(Table2[[#This Row],[Member Type]]="Spouse",Table2[[#This Row],[Member Type]]="Child"),0,
IF(_xlfn.XLOOKUP($N163,Lookups!$D$13:$D$27,Lookups!$F$13:$F$27,0)=Table2[[#This Row],[Table Lookup for Life Cover]],0,
_xlfn.XLOOKUP($N163,Lookups!$D$13:$D$27,Lookups!$F$13:$F$27,0)))</f>
        <v>0</v>
      </c>
      <c r="P163" s="284">
        <f>IF(Table2[[#This Row],[Table Lookup for Funeral]]=0,0,IFERROR(INDEX('Quotation Tool'!$S$54:$V$60,MATCH($T163,'Quotation Tool'!$S$54:$S$60,0),3),0))</f>
        <v>0</v>
      </c>
      <c r="Q163" s="288">
        <f ca="1">IF(OR(Table2[[#This Row],[Benefit Name]]="My Value Plus Life - Main Member",Table2[[#This Row],[Benefit Name]]="My Value Plus Life - Spouse"),0,
IFERROR(VLOOKUP($G163,INDIRECT($O163),$P163,FALSE),0))</f>
        <v>0</v>
      </c>
      <c r="R163" s="288">
        <f ca="1">IF(OR(Table2[[#This Row],[Benefit Name]]="My Value Plus Life - Main Member",Table2[[#This Row],[Benefit Name]]="My Value Plus Life - Spouse"),0,
IFERROR(VLOOKUP($G163,INDIRECT($O163),$P163+1,FALSE),0))</f>
        <v>0</v>
      </c>
      <c r="S163" s="289">
        <f t="shared" ca="1" si="17"/>
        <v>0</v>
      </c>
      <c r="T163" s="284" t="str">
        <f>IF(Table13[[#This Row],[Premium Waiver]]="","None",Table13[[#This Row],[Premium Waiver]])</f>
        <v>None</v>
      </c>
      <c r="U163" s="284">
        <f>Table13[[#This Row],[VAPs Options]]</f>
        <v>0</v>
      </c>
      <c r="V163" s="284">
        <f>Table13[[#This Row],[Annual Increase Option]]</f>
        <v>0</v>
      </c>
      <c r="W163" s="290">
        <f>Table13[[#This Row],[Life Cover Amount]]</f>
        <v>0</v>
      </c>
      <c r="X163" s="290">
        <f>Table13[[#This Row],[Funeral Cover Amount]]</f>
        <v>0</v>
      </c>
      <c r="Y16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6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63" s="301">
        <f t="shared" ca="1" si="18"/>
        <v>0</v>
      </c>
      <c r="AB163" s="298"/>
      <c r="AC163" s="326" t="str">
        <f>IF(Table2[[#This Row],[Member Type]]="Main Member",Lookups!$C$13,
IF(Table2[[#This Row],[Member Type]]="Spouse",_xlfn.XLOOKUP(B163,Table2[Main Member Link ID],Table2[Product Option],0),
IF(AND(Table2[[#This Row],[Member Type]]="Child",_xlfn.XLOOKUP(B163,Table2[Main Member Link ID],Table2[Product Option],0)&lt;&gt;"My Value Plus Life"),Lookups!$C$24,
IF(AND(OR(Table2[[#This Row],[Member Type]]="Parent",Table2[[#This Row],[Member Type]]="Extended"),_xlfn.XLOOKUP(B163,Table2[Main Member Link ID],Table2[Product Option],0)&lt;&gt;"My Value Plus Life"),Lookups!$C$26,""))))</f>
        <v/>
      </c>
      <c r="AD163" s="326" t="str">
        <f>IF(Table2[[#This Row],[Member Type]]="Main Member",Lookups!$C$14,"")</f>
        <v/>
      </c>
      <c r="AE16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Funeral",_xlfn.XLOOKUP(B163,Table2[Main Member Link ID],Table2[Benefit Name],0)=Lookups!$D$14),"",
IF(AND(Table2[[#This Row],[Member Type]]="Spouse",Table2[[#This Row],[Product Option]]="My Value Plus Life &amp; Funeral",_xlfn.XLOOKUP(B162,Table2[Main Member Link ID],Table2[Benefit Name],0)=Lookups!$D$15),Lookups!$D$20,
IF(AND(Table2[[#This Row],[Member Type]]="Spouse",Table2[[#This Row],[Product Option]]="My Value Plus Life &amp; Funeral",_xlfn.XLOOKUP(B162,Table2[Main Member Link ID],Table2[Benefit Name],0)=Lookups!$D$16),"",
IF(AND(Table2[[#This Row],[Member Type]]="Spouse",Table2[[#This Row],[Product Option]]="My Value Plus Life &amp; Funeral",_xlfn.XLOOKUP(B162,Table2[Main Member Link ID],Table2[Benefit Name],0)=Lookups!$D$17),Lookups!$D$21,
IF(AND(Table2[[#This Row],[Member Type]]="Child",Table2[[#This Row],[Product Option]]="My Value Plus Life &amp; Funeral",_xlfn.XLOOKUP(B163,Table2[Main Member Link ID],Table2[Benefit Name],0)=Lookups!$D$14),"",
IF(AND(Table2[[#This Row],[Member Type]]="Child",Table2[[#This Row],[Product Option]]="My Value Plus Life &amp; Funeral",_xlfn.XLOOKUP(B163,Table2[Main Member Link ID],Table2[Benefit Name],0)=Lookups!$D$15),"",
IF(AND(Table2[[#This Row],[Member Type]]="Child",Table2[[#This Row],[Product Option]]="My Value Plus Life &amp; Funeral",_xlfn.XLOOKUP(B163,Table2[Main Member Link ID],Table2[Benefit Name],0)=Lookups!$D$16),Lookups!$D$24,
IF(AND(Table2[[#This Row],[Member Type]]="Child",Table2[[#This Row],[Product Option]]="My Value Plus Life &amp; Funeral",_xlfn.XLOOKUP(B163,Table2[Main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Funeral",_xlfn.XLOOKUP(B163,Table2[Main Member Link ID],Table2[Benefit Name],0)&lt;&gt;Lookups!$D$14),
IF(_xlfn.XLOOKUP(B163,Table2[Main Member Link ID],Table2[Benefit Name],0)=0,"",_xlfn.XLOOKUP(B163,Table2[Main Member Link ID],Table2[Benefit Name],0)),"")))))))))))))))</f>
        <v/>
      </c>
      <c r="AF163" s="327" t="str">
        <f>IF(AND(Table2[[#This Row],[Member Type]]="Main Member",Table2[[#This Row],[Product Option]]="My Value Plus Life &amp; Funeral"),Lookups!$D$15,
IF(AND(Table2[[#This Row],[Member Type]]="Spouse",Table2[[#This Row],[Product Option]]="My Value Plus Life &amp; Funeral",_xlfn.XLOOKUP(B163,Table2[Main Member Link ID],Table2[Benefit Name],0)=Lookups!$D$14),"",
IF(AND(Table2[[#This Row],[Member Type]]="Spouse",Table2[[#This Row],[Product Option]]="My Value Plus Life &amp; Funeral",_xlfn.XLOOKUP(B162,Table2[Main Member Link ID],Table2[Benefit Name],0)=Lookups!$D$16),"",
IF(AND(Table2[[#This Row],[Member Type]]="Spouse",Table2[[#This Row],[Product Option]]="My Value Plus Life &amp; Funeral",_xlfn.XLOOKUP(B162,Table2[Main Member Link ID],Table2[Benefit Name],0)=Lookups!$D$15),"",
IF(AND(Table2[[#This Row],[Member Type]]="Spouse",Table2[[#This Row],[Product Option]]="My Value Plus Life &amp; Funeral",_xlfn.XLOOKUP(B162,Table2[Main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Funeral",_xlfn.XLOOKUP(B163,Table2[Main Member Link ID],Table2[Benefit Name],0)&lt;&gt;Lookups!$D$15),
IF(_xlfn.XLOOKUP(B163,Table2[Main Member Link ID],Table2[Benefit Name],0)=0,"",_xlfn.XLOOKUP(B163,Table2[Main Member Link ID],Table2[Benefit Name],0)),"")
))))))</f>
        <v/>
      </c>
      <c r="AG163" s="327" t="str">
        <f>IF(AND(Table2[[#This Row],[Member Type]]="Main Member",Table2[[#This Row],[Product Option]]="My Value Plus Life &amp; Funeral"),Lookups!$D$16,
IF(AND(Table2[[#This Row],[Member Type]]="Spouse",Table2[[#This Row],[Product Option]]="My Value Plus Life &amp; Funeral",_xlfn.XLOOKUP(B163,Table2[Main Member Link ID],Table2[Benefit Name],0)=Lookups!$D$14),"",
IF(AND(Table2[[#This Row],[Member Type]]="Spouse",Table2[[#This Row],[Product Option]]="My Value Plus Life &amp; Funeral",_xlfn.XLOOKUP(B162,Table2[Main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Funeral",_xlfn.XLOOKUP(B163,Table2[Main Member Link ID],Table2[Benefit Name],0)&lt;&gt;Lookups!$D$16),
IF(_xlfn.XLOOKUP(B163,Table2[Main Member Link ID],Table2[Benefit Name],0)=0,"",_xlfn.XLOOKUP(B163,Table2[Main Member Link ID],Table2[Benefit Name],0)),"")
))))</f>
        <v/>
      </c>
      <c r="AH163" s="327" t="str">
        <f>IF(AND(Table2[[#This Row],[Member Type]]="Main Member",Table2[[#This Row],[Product Option]]="My Value Plus Life &amp; Funeral"),Lookups!$D$17,
IF(AND(Table2[[#This Row],[Member Type]]="Spouse",Table2[[#This Row],[Product Option]]="My Value Plus Life &amp; Funeral",_xlfn.XLOOKUP(B163,Table2[Main Member Link ID],Table2[Benefit Name],0)=Lookups!$D$14),"",
IF(AND(Table2[[#This Row],[Member Type]]="Spouse",Table2[[#This Row],[Product Option]]="My Value Plus Life &amp; Funeral",_xlfn.XLOOKUP(B162,Table2[Main Member Link ID],Table2[Benefit Name],0)=Lookups!$D$16),"",
IF(AND(Table2[[#This Row],[Member Type]]="Child",Table2[[#This Row],[Product Option]]="My Value Plus Life &amp; Funeral"),"",
IF(AND(Table2[[#This Row],[Member Type]]="Child",Table2[[#This Row],[Product Option]]="My Value Plus Life &amp; Funeral",_xlfn.XLOOKUP(B163,Table2[Main Member Link ID],Table2[Benefit Name],0)=Lookups!$D$15),"",
IF(AND(OR(Table2[[#This Row],[Member Type]]="Spouse",Table2[[#This Row],[Member Type]]="Child"),Table2[[#This Row],[Product Option]]="My Value Plus Life &amp; Funeral",_xlfn.XLOOKUP(B163,Table2[Main Member Link ID],Table2[Benefit Name],0)&lt;&gt;Lookups!$D$17),
IF(_xlfn.XLOOKUP(B163,Table2[Main Member Link ID],Table2[Benefit Name],0)=0,"",_xlfn.XLOOKUP(B163,Table2[Main Member Link ID],Table2[Benefit Name],0)),""))))))</f>
        <v/>
      </c>
      <c r="AI163" s="328" t="str">
        <f>IF(AND(Table2[[#This Row],[Member Type]]="Main Member",Table2[[#This Row],[Table Lookup for Life Cover]]="MM_LIFE",Table2[[#This Row],[Age Next Birthday]]&lt;56),1,
IF(AND(Table2[[#This Row],[Member Type]]="Main Member",Table2[[#This Row],[Table Lookup for Life Cover]]="MM_LIFE",Table2[[#This Row],[Age Next Birthday]]&gt;=56),2,
""))</f>
        <v/>
      </c>
      <c r="AJ163" s="328">
        <f>IF(OR(Table2[[#This Row],[Member Type]]="Main Member",Table2[[#This Row],[Main Member Link ID]]=B162),1,0)</f>
        <v>1</v>
      </c>
      <c r="AK163" s="328">
        <f>IF(Table2[[#This Row],[Member Type]]=0,0,
IF(OR(Table2[[#This Row],[Member Type]]="Main Member",Table2[[#This Row],[Main Member Link ID]]&lt;&gt;B163),COUNTIFS(B:B,Table2[[#This Row],[Main Member Link ID]]),
COUNTIFS(B:B,Table2[[#This Row],[Main Member Link ID]],A:A,Table2[[#This Row],[Member Type]])))</f>
        <v>0</v>
      </c>
    </row>
    <row r="164" spans="1:37" x14ac:dyDescent="0.3">
      <c r="A164" s="284">
        <f>Table13[[#This Row],[Member Type]]</f>
        <v>0</v>
      </c>
      <c r="B164" s="284">
        <f>Table13[[#This Row],[Main Member Link ID]]</f>
        <v>0</v>
      </c>
      <c r="C164" s="284">
        <f>Table13[[#This Row],[ID Number]]</f>
        <v>0</v>
      </c>
      <c r="D164" s="285">
        <f>Table13[[#This Row],[Date Of Birth]]</f>
        <v>0</v>
      </c>
      <c r="E164" s="285">
        <f>Table13[[#This Row],[Commencement Date]]</f>
        <v>0</v>
      </c>
      <c r="F164" s="284">
        <f t="shared" si="14"/>
        <v>1</v>
      </c>
      <c r="G164" s="284">
        <f t="shared" si="15"/>
        <v>25</v>
      </c>
      <c r="H164" s="286">
        <f>Table13[[#This Row],[Product Option]]</f>
        <v>0</v>
      </c>
      <c r="I164" s="284">
        <f>IF(AND($A164="Main Member",Table2[[#This Row],[Product Option]]="My Value Plus Life"),"MM_LIFE",
IF(AND($A164="Spouse",Table2[[#This Row],[Product Option]]="My Value Plus Life"),"SP_LIFE",
IF(AND($A164="Main Member",Table2[[#This Row],[Product Option]]="My Value Plus Life &amp; Funeral"),"MM_LIFE",
IF(AND($A164="Spouse",Table2[[#This Row],[Product Option]]="My Value Plus Life &amp; Funeral"),_xlfn.XLOOKUP(Table2[[#This Row],[Benefit Name]],Lookups!$D$18:$D$23,Lookups!$E$18:$E$23,0),
0))))</f>
        <v>0</v>
      </c>
      <c r="J164" s="284">
        <f>IF($I164="","",
IF($I164="MM_LIFE",INDEX('Quotation Tool'!$S$54:$V$60,MATCH($T164,'Quotation Tool'!$S$54:$S$60,0),4),
IF($I164="SP_LIFE",_xlfn.XLOOKUP(B163,$B:$B,$J:$J,0),0)))</f>
        <v>0</v>
      </c>
      <c r="K164" s="287">
        <f t="shared" ca="1" si="19"/>
        <v>0</v>
      </c>
      <c r="L164" s="288">
        <f t="shared" ca="1" si="20"/>
        <v>0</v>
      </c>
      <c r="M164" s="289">
        <f t="shared" ca="1" si="16"/>
        <v>0</v>
      </c>
      <c r="N164" s="286">
        <f>Table13[[#This Row],[Benefit Option]]</f>
        <v>0</v>
      </c>
      <c r="O164" s="284">
        <f>IF(OR(Table2[[#This Row],[Member Type]]="Spouse",Table2[[#This Row],[Member Type]]="Child"),0,
IF(_xlfn.XLOOKUP($N164,Lookups!$D$13:$D$27,Lookups!$F$13:$F$27,0)=Table2[[#This Row],[Table Lookup for Life Cover]],0,
_xlfn.XLOOKUP($N164,Lookups!$D$13:$D$27,Lookups!$F$13:$F$27,0)))</f>
        <v>0</v>
      </c>
      <c r="P164" s="284">
        <f>IF(Table2[[#This Row],[Table Lookup for Funeral]]=0,0,IFERROR(INDEX('Quotation Tool'!$S$54:$V$60,MATCH($T164,'Quotation Tool'!$S$54:$S$60,0),3),0))</f>
        <v>0</v>
      </c>
      <c r="Q164" s="288">
        <f ca="1">IF(OR(Table2[[#This Row],[Benefit Name]]="My Value Plus Life - Main Member",Table2[[#This Row],[Benefit Name]]="My Value Plus Life - Spouse"),0,
IFERROR(VLOOKUP($G164,INDIRECT($O164),$P164,FALSE),0))</f>
        <v>0</v>
      </c>
      <c r="R164" s="288">
        <f ca="1">IF(OR(Table2[[#This Row],[Benefit Name]]="My Value Plus Life - Main Member",Table2[[#This Row],[Benefit Name]]="My Value Plus Life - Spouse"),0,
IFERROR(VLOOKUP($G164,INDIRECT($O164),$P164+1,FALSE),0))</f>
        <v>0</v>
      </c>
      <c r="S164" s="289">
        <f t="shared" ca="1" si="17"/>
        <v>0</v>
      </c>
      <c r="T164" s="284" t="str">
        <f>IF(Table13[[#This Row],[Premium Waiver]]="","None",Table13[[#This Row],[Premium Waiver]])</f>
        <v>None</v>
      </c>
      <c r="U164" s="284">
        <f>Table13[[#This Row],[VAPs Options]]</f>
        <v>0</v>
      </c>
      <c r="V164" s="284">
        <f>Table13[[#This Row],[Annual Increase Option]]</f>
        <v>0</v>
      </c>
      <c r="W164" s="290">
        <f>Table13[[#This Row],[Life Cover Amount]]</f>
        <v>0</v>
      </c>
      <c r="X164" s="290">
        <f>Table13[[#This Row],[Funeral Cover Amount]]</f>
        <v>0</v>
      </c>
      <c r="Y16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6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64" s="301">
        <f t="shared" ca="1" si="18"/>
        <v>0</v>
      </c>
      <c r="AB164" s="298"/>
      <c r="AC164" s="326" t="str">
        <f>IF(Table2[[#This Row],[Member Type]]="Main Member",Lookups!$C$13,
IF(Table2[[#This Row],[Member Type]]="Spouse",_xlfn.XLOOKUP(B164,Table2[Main Member Link ID],Table2[Product Option],0),
IF(AND(Table2[[#This Row],[Member Type]]="Child",_xlfn.XLOOKUP(B164,Table2[Main Member Link ID],Table2[Product Option],0)&lt;&gt;"My Value Plus Life"),Lookups!$C$24,
IF(AND(OR(Table2[[#This Row],[Member Type]]="Parent",Table2[[#This Row],[Member Type]]="Extended"),_xlfn.XLOOKUP(B164,Table2[Main Member Link ID],Table2[Product Option],0)&lt;&gt;"My Value Plus Life"),Lookups!$C$26,""))))</f>
        <v/>
      </c>
      <c r="AD164" s="326" t="str">
        <f>IF(Table2[[#This Row],[Member Type]]="Main Member",Lookups!$C$14,"")</f>
        <v/>
      </c>
      <c r="AE16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Funeral",_xlfn.XLOOKUP(B164,Table2[Main Member Link ID],Table2[Benefit Name],0)=Lookups!$D$14),"",
IF(AND(Table2[[#This Row],[Member Type]]="Spouse",Table2[[#This Row],[Product Option]]="My Value Plus Life &amp; Funeral",_xlfn.XLOOKUP(B163,Table2[Main Member Link ID],Table2[Benefit Name],0)=Lookups!$D$15),Lookups!$D$20,
IF(AND(Table2[[#This Row],[Member Type]]="Spouse",Table2[[#This Row],[Product Option]]="My Value Plus Life &amp; Funeral",_xlfn.XLOOKUP(B163,Table2[Main Member Link ID],Table2[Benefit Name],0)=Lookups!$D$16),"",
IF(AND(Table2[[#This Row],[Member Type]]="Spouse",Table2[[#This Row],[Product Option]]="My Value Plus Life &amp; Funeral",_xlfn.XLOOKUP(B163,Table2[Main Member Link ID],Table2[Benefit Name],0)=Lookups!$D$17),Lookups!$D$21,
IF(AND(Table2[[#This Row],[Member Type]]="Child",Table2[[#This Row],[Product Option]]="My Value Plus Life &amp; Funeral",_xlfn.XLOOKUP(B164,Table2[Main Member Link ID],Table2[Benefit Name],0)=Lookups!$D$14),"",
IF(AND(Table2[[#This Row],[Member Type]]="Child",Table2[[#This Row],[Product Option]]="My Value Plus Life &amp; Funeral",_xlfn.XLOOKUP(B164,Table2[Main Member Link ID],Table2[Benefit Name],0)=Lookups!$D$15),"",
IF(AND(Table2[[#This Row],[Member Type]]="Child",Table2[[#This Row],[Product Option]]="My Value Plus Life &amp; Funeral",_xlfn.XLOOKUP(B164,Table2[Main Member Link ID],Table2[Benefit Name],0)=Lookups!$D$16),Lookups!$D$24,
IF(AND(Table2[[#This Row],[Member Type]]="Child",Table2[[#This Row],[Product Option]]="My Value Plus Life &amp; Funeral",_xlfn.XLOOKUP(B164,Table2[Main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Funeral",_xlfn.XLOOKUP(B164,Table2[Main Member Link ID],Table2[Benefit Name],0)&lt;&gt;Lookups!$D$14),
IF(_xlfn.XLOOKUP(B164,Table2[Main Member Link ID],Table2[Benefit Name],0)=0,"",_xlfn.XLOOKUP(B164,Table2[Main Member Link ID],Table2[Benefit Name],0)),"")))))))))))))))</f>
        <v/>
      </c>
      <c r="AF164" s="327" t="str">
        <f>IF(AND(Table2[[#This Row],[Member Type]]="Main Member",Table2[[#This Row],[Product Option]]="My Value Plus Life &amp; Funeral"),Lookups!$D$15,
IF(AND(Table2[[#This Row],[Member Type]]="Spouse",Table2[[#This Row],[Product Option]]="My Value Plus Life &amp; Funeral",_xlfn.XLOOKUP(B164,Table2[Main Member Link ID],Table2[Benefit Name],0)=Lookups!$D$14),"",
IF(AND(Table2[[#This Row],[Member Type]]="Spouse",Table2[[#This Row],[Product Option]]="My Value Plus Life &amp; Funeral",_xlfn.XLOOKUP(B163,Table2[Main Member Link ID],Table2[Benefit Name],0)=Lookups!$D$16),"",
IF(AND(Table2[[#This Row],[Member Type]]="Spouse",Table2[[#This Row],[Product Option]]="My Value Plus Life &amp; Funeral",_xlfn.XLOOKUP(B163,Table2[Main Member Link ID],Table2[Benefit Name],0)=Lookups!$D$15),"",
IF(AND(Table2[[#This Row],[Member Type]]="Spouse",Table2[[#This Row],[Product Option]]="My Value Plus Life &amp; Funeral",_xlfn.XLOOKUP(B163,Table2[Main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Funeral",_xlfn.XLOOKUP(B164,Table2[Main Member Link ID],Table2[Benefit Name],0)&lt;&gt;Lookups!$D$15),
IF(_xlfn.XLOOKUP(B164,Table2[Main Member Link ID],Table2[Benefit Name],0)=0,"",_xlfn.XLOOKUP(B164,Table2[Main Member Link ID],Table2[Benefit Name],0)),"")
))))))</f>
        <v/>
      </c>
      <c r="AG164" s="327" t="str">
        <f>IF(AND(Table2[[#This Row],[Member Type]]="Main Member",Table2[[#This Row],[Product Option]]="My Value Plus Life &amp; Funeral"),Lookups!$D$16,
IF(AND(Table2[[#This Row],[Member Type]]="Spouse",Table2[[#This Row],[Product Option]]="My Value Plus Life &amp; Funeral",_xlfn.XLOOKUP(B164,Table2[Main Member Link ID],Table2[Benefit Name],0)=Lookups!$D$14),"",
IF(AND(Table2[[#This Row],[Member Type]]="Spouse",Table2[[#This Row],[Product Option]]="My Value Plus Life &amp; Funeral",_xlfn.XLOOKUP(B163,Table2[Main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Funeral",_xlfn.XLOOKUP(B164,Table2[Main Member Link ID],Table2[Benefit Name],0)&lt;&gt;Lookups!$D$16),
IF(_xlfn.XLOOKUP(B164,Table2[Main Member Link ID],Table2[Benefit Name],0)=0,"",_xlfn.XLOOKUP(B164,Table2[Main Member Link ID],Table2[Benefit Name],0)),"")
))))</f>
        <v/>
      </c>
      <c r="AH164" s="327" t="str">
        <f>IF(AND(Table2[[#This Row],[Member Type]]="Main Member",Table2[[#This Row],[Product Option]]="My Value Plus Life &amp; Funeral"),Lookups!$D$17,
IF(AND(Table2[[#This Row],[Member Type]]="Spouse",Table2[[#This Row],[Product Option]]="My Value Plus Life &amp; Funeral",_xlfn.XLOOKUP(B164,Table2[Main Member Link ID],Table2[Benefit Name],0)=Lookups!$D$14),"",
IF(AND(Table2[[#This Row],[Member Type]]="Spouse",Table2[[#This Row],[Product Option]]="My Value Plus Life &amp; Funeral",_xlfn.XLOOKUP(B163,Table2[Main Member Link ID],Table2[Benefit Name],0)=Lookups!$D$16),"",
IF(AND(Table2[[#This Row],[Member Type]]="Child",Table2[[#This Row],[Product Option]]="My Value Plus Life &amp; Funeral"),"",
IF(AND(Table2[[#This Row],[Member Type]]="Child",Table2[[#This Row],[Product Option]]="My Value Plus Life &amp; Funeral",_xlfn.XLOOKUP(B164,Table2[Main Member Link ID],Table2[Benefit Name],0)=Lookups!$D$15),"",
IF(AND(OR(Table2[[#This Row],[Member Type]]="Spouse",Table2[[#This Row],[Member Type]]="Child"),Table2[[#This Row],[Product Option]]="My Value Plus Life &amp; Funeral",_xlfn.XLOOKUP(B164,Table2[Main Member Link ID],Table2[Benefit Name],0)&lt;&gt;Lookups!$D$17),
IF(_xlfn.XLOOKUP(B164,Table2[Main Member Link ID],Table2[Benefit Name],0)=0,"",_xlfn.XLOOKUP(B164,Table2[Main Member Link ID],Table2[Benefit Name],0)),""))))))</f>
        <v/>
      </c>
      <c r="AI164" s="328" t="str">
        <f>IF(AND(Table2[[#This Row],[Member Type]]="Main Member",Table2[[#This Row],[Table Lookup for Life Cover]]="MM_LIFE",Table2[[#This Row],[Age Next Birthday]]&lt;56),1,
IF(AND(Table2[[#This Row],[Member Type]]="Main Member",Table2[[#This Row],[Table Lookup for Life Cover]]="MM_LIFE",Table2[[#This Row],[Age Next Birthday]]&gt;=56),2,
""))</f>
        <v/>
      </c>
      <c r="AJ164" s="328">
        <f>IF(OR(Table2[[#This Row],[Member Type]]="Main Member",Table2[[#This Row],[Main Member Link ID]]=B163),1,0)</f>
        <v>1</v>
      </c>
      <c r="AK164" s="328">
        <f>IF(Table2[[#This Row],[Member Type]]=0,0,
IF(OR(Table2[[#This Row],[Member Type]]="Main Member",Table2[[#This Row],[Main Member Link ID]]&lt;&gt;B164),COUNTIFS(B:B,Table2[[#This Row],[Main Member Link ID]]),
COUNTIFS(B:B,Table2[[#This Row],[Main Member Link ID]],A:A,Table2[[#This Row],[Member Type]])))</f>
        <v>0</v>
      </c>
    </row>
    <row r="165" spans="1:37" x14ac:dyDescent="0.3">
      <c r="A165" s="284">
        <f>Table13[[#This Row],[Member Type]]</f>
        <v>0</v>
      </c>
      <c r="B165" s="284">
        <f>Table13[[#This Row],[Main Member Link ID]]</f>
        <v>0</v>
      </c>
      <c r="C165" s="284">
        <f>Table13[[#This Row],[ID Number]]</f>
        <v>0</v>
      </c>
      <c r="D165" s="285">
        <f>Table13[[#This Row],[Date Of Birth]]</f>
        <v>0</v>
      </c>
      <c r="E165" s="285">
        <f>Table13[[#This Row],[Commencement Date]]</f>
        <v>0</v>
      </c>
      <c r="F165" s="284">
        <f t="shared" si="14"/>
        <v>1</v>
      </c>
      <c r="G165" s="284">
        <f t="shared" si="15"/>
        <v>25</v>
      </c>
      <c r="H165" s="286">
        <f>Table13[[#This Row],[Product Option]]</f>
        <v>0</v>
      </c>
      <c r="I165" s="284">
        <f>IF(AND($A165="Main Member",Table2[[#This Row],[Product Option]]="My Value Plus Life"),"MM_LIFE",
IF(AND($A165="Spouse",Table2[[#This Row],[Product Option]]="My Value Plus Life"),"SP_LIFE",
IF(AND($A165="Main Member",Table2[[#This Row],[Product Option]]="My Value Plus Life &amp; Funeral"),"MM_LIFE",
IF(AND($A165="Spouse",Table2[[#This Row],[Product Option]]="My Value Plus Life &amp; Funeral"),_xlfn.XLOOKUP(Table2[[#This Row],[Benefit Name]],Lookups!$D$18:$D$23,Lookups!$E$18:$E$23,0),
0))))</f>
        <v>0</v>
      </c>
      <c r="J165" s="284">
        <f>IF($I165="","",
IF($I165="MM_LIFE",INDEX('Quotation Tool'!$S$54:$V$60,MATCH($T165,'Quotation Tool'!$S$54:$S$60,0),4),
IF($I165="SP_LIFE",_xlfn.XLOOKUP(B164,$B:$B,$J:$J,0),0)))</f>
        <v>0</v>
      </c>
      <c r="K165" s="287">
        <f t="shared" ca="1" si="19"/>
        <v>0</v>
      </c>
      <c r="L165" s="288">
        <f t="shared" ca="1" si="20"/>
        <v>0</v>
      </c>
      <c r="M165" s="289">
        <f t="shared" ca="1" si="16"/>
        <v>0</v>
      </c>
      <c r="N165" s="286">
        <f>Table13[[#This Row],[Benefit Option]]</f>
        <v>0</v>
      </c>
      <c r="O165" s="284">
        <f>IF(OR(Table2[[#This Row],[Member Type]]="Spouse",Table2[[#This Row],[Member Type]]="Child"),0,
IF(_xlfn.XLOOKUP($N165,Lookups!$D$13:$D$27,Lookups!$F$13:$F$27,0)=Table2[[#This Row],[Table Lookup for Life Cover]],0,
_xlfn.XLOOKUP($N165,Lookups!$D$13:$D$27,Lookups!$F$13:$F$27,0)))</f>
        <v>0</v>
      </c>
      <c r="P165" s="284">
        <f>IF(Table2[[#This Row],[Table Lookup for Funeral]]=0,0,IFERROR(INDEX('Quotation Tool'!$S$54:$V$60,MATCH($T165,'Quotation Tool'!$S$54:$S$60,0),3),0))</f>
        <v>0</v>
      </c>
      <c r="Q165" s="288">
        <f ca="1">IF(OR(Table2[[#This Row],[Benefit Name]]="My Value Plus Life - Main Member",Table2[[#This Row],[Benefit Name]]="My Value Plus Life - Spouse"),0,
IFERROR(VLOOKUP($G165,INDIRECT($O165),$P165,FALSE),0))</f>
        <v>0</v>
      </c>
      <c r="R165" s="288">
        <f ca="1">IF(OR(Table2[[#This Row],[Benefit Name]]="My Value Plus Life - Main Member",Table2[[#This Row],[Benefit Name]]="My Value Plus Life - Spouse"),0,
IFERROR(VLOOKUP($G165,INDIRECT($O165),$P165+1,FALSE),0))</f>
        <v>0</v>
      </c>
      <c r="S165" s="289">
        <f t="shared" ca="1" si="17"/>
        <v>0</v>
      </c>
      <c r="T165" s="284" t="str">
        <f>IF(Table13[[#This Row],[Premium Waiver]]="","None",Table13[[#This Row],[Premium Waiver]])</f>
        <v>None</v>
      </c>
      <c r="U165" s="284">
        <f>Table13[[#This Row],[VAPs Options]]</f>
        <v>0</v>
      </c>
      <c r="V165" s="284">
        <f>Table13[[#This Row],[Annual Increase Option]]</f>
        <v>0</v>
      </c>
      <c r="W165" s="290">
        <f>Table13[[#This Row],[Life Cover Amount]]</f>
        <v>0</v>
      </c>
      <c r="X165" s="290">
        <f>Table13[[#This Row],[Funeral Cover Amount]]</f>
        <v>0</v>
      </c>
      <c r="Y16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6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65" s="301">
        <f t="shared" ca="1" si="18"/>
        <v>0</v>
      </c>
      <c r="AB165" s="298"/>
      <c r="AC165" s="326" t="str">
        <f>IF(Table2[[#This Row],[Member Type]]="Main Member",Lookups!$C$13,
IF(Table2[[#This Row],[Member Type]]="Spouse",_xlfn.XLOOKUP(B165,Table2[Main Member Link ID],Table2[Product Option],0),
IF(AND(Table2[[#This Row],[Member Type]]="Child",_xlfn.XLOOKUP(B165,Table2[Main Member Link ID],Table2[Product Option],0)&lt;&gt;"My Value Plus Life"),Lookups!$C$24,
IF(AND(OR(Table2[[#This Row],[Member Type]]="Parent",Table2[[#This Row],[Member Type]]="Extended"),_xlfn.XLOOKUP(B165,Table2[Main Member Link ID],Table2[Product Option],0)&lt;&gt;"My Value Plus Life"),Lookups!$C$26,""))))</f>
        <v/>
      </c>
      <c r="AD165" s="326" t="str">
        <f>IF(Table2[[#This Row],[Member Type]]="Main Member",Lookups!$C$14,"")</f>
        <v/>
      </c>
      <c r="AE16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Funeral",_xlfn.XLOOKUP(B165,Table2[Main Member Link ID],Table2[Benefit Name],0)=Lookups!$D$14),"",
IF(AND(Table2[[#This Row],[Member Type]]="Spouse",Table2[[#This Row],[Product Option]]="My Value Plus Life &amp; Funeral",_xlfn.XLOOKUP(B164,Table2[Main Member Link ID],Table2[Benefit Name],0)=Lookups!$D$15),Lookups!$D$20,
IF(AND(Table2[[#This Row],[Member Type]]="Spouse",Table2[[#This Row],[Product Option]]="My Value Plus Life &amp; Funeral",_xlfn.XLOOKUP(B164,Table2[Main Member Link ID],Table2[Benefit Name],0)=Lookups!$D$16),"",
IF(AND(Table2[[#This Row],[Member Type]]="Spouse",Table2[[#This Row],[Product Option]]="My Value Plus Life &amp; Funeral",_xlfn.XLOOKUP(B164,Table2[Main Member Link ID],Table2[Benefit Name],0)=Lookups!$D$17),Lookups!$D$21,
IF(AND(Table2[[#This Row],[Member Type]]="Child",Table2[[#This Row],[Product Option]]="My Value Plus Life &amp; Funeral",_xlfn.XLOOKUP(B165,Table2[Main Member Link ID],Table2[Benefit Name],0)=Lookups!$D$14),"",
IF(AND(Table2[[#This Row],[Member Type]]="Child",Table2[[#This Row],[Product Option]]="My Value Plus Life &amp; Funeral",_xlfn.XLOOKUP(B165,Table2[Main Member Link ID],Table2[Benefit Name],0)=Lookups!$D$15),"",
IF(AND(Table2[[#This Row],[Member Type]]="Child",Table2[[#This Row],[Product Option]]="My Value Plus Life &amp; Funeral",_xlfn.XLOOKUP(B165,Table2[Main Member Link ID],Table2[Benefit Name],0)=Lookups!$D$16),Lookups!$D$24,
IF(AND(Table2[[#This Row],[Member Type]]="Child",Table2[[#This Row],[Product Option]]="My Value Plus Life &amp; Funeral",_xlfn.XLOOKUP(B165,Table2[Main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Funeral",_xlfn.XLOOKUP(B165,Table2[Main Member Link ID],Table2[Benefit Name],0)&lt;&gt;Lookups!$D$14),
IF(_xlfn.XLOOKUP(B165,Table2[Main Member Link ID],Table2[Benefit Name],0)=0,"",_xlfn.XLOOKUP(B165,Table2[Main Member Link ID],Table2[Benefit Name],0)),"")))))))))))))))</f>
        <v/>
      </c>
      <c r="AF165" s="327" t="str">
        <f>IF(AND(Table2[[#This Row],[Member Type]]="Main Member",Table2[[#This Row],[Product Option]]="My Value Plus Life &amp; Funeral"),Lookups!$D$15,
IF(AND(Table2[[#This Row],[Member Type]]="Spouse",Table2[[#This Row],[Product Option]]="My Value Plus Life &amp; Funeral",_xlfn.XLOOKUP(B165,Table2[Main Member Link ID],Table2[Benefit Name],0)=Lookups!$D$14),"",
IF(AND(Table2[[#This Row],[Member Type]]="Spouse",Table2[[#This Row],[Product Option]]="My Value Plus Life &amp; Funeral",_xlfn.XLOOKUP(B164,Table2[Main Member Link ID],Table2[Benefit Name],0)=Lookups!$D$16),"",
IF(AND(Table2[[#This Row],[Member Type]]="Spouse",Table2[[#This Row],[Product Option]]="My Value Plus Life &amp; Funeral",_xlfn.XLOOKUP(B164,Table2[Main Member Link ID],Table2[Benefit Name],0)=Lookups!$D$15),"",
IF(AND(Table2[[#This Row],[Member Type]]="Spouse",Table2[[#This Row],[Product Option]]="My Value Plus Life &amp; Funeral",_xlfn.XLOOKUP(B164,Table2[Main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Funeral",_xlfn.XLOOKUP(B165,Table2[Main Member Link ID],Table2[Benefit Name],0)&lt;&gt;Lookups!$D$15),
IF(_xlfn.XLOOKUP(B165,Table2[Main Member Link ID],Table2[Benefit Name],0)=0,"",_xlfn.XLOOKUP(B165,Table2[Main Member Link ID],Table2[Benefit Name],0)),"")
))))))</f>
        <v/>
      </c>
      <c r="AG165" s="327" t="str">
        <f>IF(AND(Table2[[#This Row],[Member Type]]="Main Member",Table2[[#This Row],[Product Option]]="My Value Plus Life &amp; Funeral"),Lookups!$D$16,
IF(AND(Table2[[#This Row],[Member Type]]="Spouse",Table2[[#This Row],[Product Option]]="My Value Plus Life &amp; Funeral",_xlfn.XLOOKUP(B165,Table2[Main Member Link ID],Table2[Benefit Name],0)=Lookups!$D$14),"",
IF(AND(Table2[[#This Row],[Member Type]]="Spouse",Table2[[#This Row],[Product Option]]="My Value Plus Life &amp; Funeral",_xlfn.XLOOKUP(B164,Table2[Main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Funeral",_xlfn.XLOOKUP(B165,Table2[Main Member Link ID],Table2[Benefit Name],0)&lt;&gt;Lookups!$D$16),
IF(_xlfn.XLOOKUP(B165,Table2[Main Member Link ID],Table2[Benefit Name],0)=0,"",_xlfn.XLOOKUP(B165,Table2[Main Member Link ID],Table2[Benefit Name],0)),"")
))))</f>
        <v/>
      </c>
      <c r="AH165" s="327" t="str">
        <f>IF(AND(Table2[[#This Row],[Member Type]]="Main Member",Table2[[#This Row],[Product Option]]="My Value Plus Life &amp; Funeral"),Lookups!$D$17,
IF(AND(Table2[[#This Row],[Member Type]]="Spouse",Table2[[#This Row],[Product Option]]="My Value Plus Life &amp; Funeral",_xlfn.XLOOKUP(B165,Table2[Main Member Link ID],Table2[Benefit Name],0)=Lookups!$D$14),"",
IF(AND(Table2[[#This Row],[Member Type]]="Spouse",Table2[[#This Row],[Product Option]]="My Value Plus Life &amp; Funeral",_xlfn.XLOOKUP(B164,Table2[Main Member Link ID],Table2[Benefit Name],0)=Lookups!$D$16),"",
IF(AND(Table2[[#This Row],[Member Type]]="Child",Table2[[#This Row],[Product Option]]="My Value Plus Life &amp; Funeral"),"",
IF(AND(Table2[[#This Row],[Member Type]]="Child",Table2[[#This Row],[Product Option]]="My Value Plus Life &amp; Funeral",_xlfn.XLOOKUP(B165,Table2[Main Member Link ID],Table2[Benefit Name],0)=Lookups!$D$15),"",
IF(AND(OR(Table2[[#This Row],[Member Type]]="Spouse",Table2[[#This Row],[Member Type]]="Child"),Table2[[#This Row],[Product Option]]="My Value Plus Life &amp; Funeral",_xlfn.XLOOKUP(B165,Table2[Main Member Link ID],Table2[Benefit Name],0)&lt;&gt;Lookups!$D$17),
IF(_xlfn.XLOOKUP(B165,Table2[Main Member Link ID],Table2[Benefit Name],0)=0,"",_xlfn.XLOOKUP(B165,Table2[Main Member Link ID],Table2[Benefit Name],0)),""))))))</f>
        <v/>
      </c>
      <c r="AI165" s="328" t="str">
        <f>IF(AND(Table2[[#This Row],[Member Type]]="Main Member",Table2[[#This Row],[Table Lookup for Life Cover]]="MM_LIFE",Table2[[#This Row],[Age Next Birthday]]&lt;56),1,
IF(AND(Table2[[#This Row],[Member Type]]="Main Member",Table2[[#This Row],[Table Lookup for Life Cover]]="MM_LIFE",Table2[[#This Row],[Age Next Birthday]]&gt;=56),2,
""))</f>
        <v/>
      </c>
      <c r="AJ165" s="328">
        <f>IF(OR(Table2[[#This Row],[Member Type]]="Main Member",Table2[[#This Row],[Main Member Link ID]]=B164),1,0)</f>
        <v>1</v>
      </c>
      <c r="AK165" s="328">
        <f>IF(Table2[[#This Row],[Member Type]]=0,0,
IF(OR(Table2[[#This Row],[Member Type]]="Main Member",Table2[[#This Row],[Main Member Link ID]]&lt;&gt;B165),COUNTIFS(B:B,Table2[[#This Row],[Main Member Link ID]]),
COUNTIFS(B:B,Table2[[#This Row],[Main Member Link ID]],A:A,Table2[[#This Row],[Member Type]])))</f>
        <v>0</v>
      </c>
    </row>
    <row r="166" spans="1:37" x14ac:dyDescent="0.3">
      <c r="A166" s="284">
        <f>Table13[[#This Row],[Member Type]]</f>
        <v>0</v>
      </c>
      <c r="B166" s="284">
        <f>Table13[[#This Row],[Main Member Link ID]]</f>
        <v>0</v>
      </c>
      <c r="C166" s="284">
        <f>Table13[[#This Row],[ID Number]]</f>
        <v>0</v>
      </c>
      <c r="D166" s="285">
        <f>Table13[[#This Row],[Date Of Birth]]</f>
        <v>0</v>
      </c>
      <c r="E166" s="285">
        <f>Table13[[#This Row],[Commencement Date]]</f>
        <v>0</v>
      </c>
      <c r="F166" s="284">
        <f t="shared" si="14"/>
        <v>1</v>
      </c>
      <c r="G166" s="284">
        <f t="shared" si="15"/>
        <v>25</v>
      </c>
      <c r="H166" s="286">
        <f>Table13[[#This Row],[Product Option]]</f>
        <v>0</v>
      </c>
      <c r="I166" s="284">
        <f>IF(AND($A166="Main Member",Table2[[#This Row],[Product Option]]="My Value Plus Life"),"MM_LIFE",
IF(AND($A166="Spouse",Table2[[#This Row],[Product Option]]="My Value Plus Life"),"SP_LIFE",
IF(AND($A166="Main Member",Table2[[#This Row],[Product Option]]="My Value Plus Life &amp; Funeral"),"MM_LIFE",
IF(AND($A166="Spouse",Table2[[#This Row],[Product Option]]="My Value Plus Life &amp; Funeral"),_xlfn.XLOOKUP(Table2[[#This Row],[Benefit Name]],Lookups!$D$18:$D$23,Lookups!$E$18:$E$23,0),
0))))</f>
        <v>0</v>
      </c>
      <c r="J166" s="284">
        <f>IF($I166="","",
IF($I166="MM_LIFE",INDEX('Quotation Tool'!$S$54:$V$60,MATCH($T166,'Quotation Tool'!$S$54:$S$60,0),4),
IF($I166="SP_LIFE",_xlfn.XLOOKUP(B165,$B:$B,$J:$J,0),0)))</f>
        <v>0</v>
      </c>
      <c r="K166" s="287">
        <f t="shared" ca="1" si="19"/>
        <v>0</v>
      </c>
      <c r="L166" s="288">
        <f t="shared" ca="1" si="20"/>
        <v>0</v>
      </c>
      <c r="M166" s="289">
        <f t="shared" ca="1" si="16"/>
        <v>0</v>
      </c>
      <c r="N166" s="286">
        <f>Table13[[#This Row],[Benefit Option]]</f>
        <v>0</v>
      </c>
      <c r="O166" s="284">
        <f>IF(OR(Table2[[#This Row],[Member Type]]="Spouse",Table2[[#This Row],[Member Type]]="Child"),0,
IF(_xlfn.XLOOKUP($N166,Lookups!$D$13:$D$27,Lookups!$F$13:$F$27,0)=Table2[[#This Row],[Table Lookup for Life Cover]],0,
_xlfn.XLOOKUP($N166,Lookups!$D$13:$D$27,Lookups!$F$13:$F$27,0)))</f>
        <v>0</v>
      </c>
      <c r="P166" s="284">
        <f>IF(Table2[[#This Row],[Table Lookup for Funeral]]=0,0,IFERROR(INDEX('Quotation Tool'!$S$54:$V$60,MATCH($T166,'Quotation Tool'!$S$54:$S$60,0),3),0))</f>
        <v>0</v>
      </c>
      <c r="Q166" s="288">
        <f ca="1">IF(OR(Table2[[#This Row],[Benefit Name]]="My Value Plus Life - Main Member",Table2[[#This Row],[Benefit Name]]="My Value Plus Life - Spouse"),0,
IFERROR(VLOOKUP($G166,INDIRECT($O166),$P166,FALSE),0))</f>
        <v>0</v>
      </c>
      <c r="R166" s="288">
        <f ca="1">IF(OR(Table2[[#This Row],[Benefit Name]]="My Value Plus Life - Main Member",Table2[[#This Row],[Benefit Name]]="My Value Plus Life - Spouse"),0,
IFERROR(VLOOKUP($G166,INDIRECT($O166),$P166+1,FALSE),0))</f>
        <v>0</v>
      </c>
      <c r="S166" s="289">
        <f t="shared" ca="1" si="17"/>
        <v>0</v>
      </c>
      <c r="T166" s="284" t="str">
        <f>IF(Table13[[#This Row],[Premium Waiver]]="","None",Table13[[#This Row],[Premium Waiver]])</f>
        <v>None</v>
      </c>
      <c r="U166" s="284">
        <f>Table13[[#This Row],[VAPs Options]]</f>
        <v>0</v>
      </c>
      <c r="V166" s="284">
        <f>Table13[[#This Row],[Annual Increase Option]]</f>
        <v>0</v>
      </c>
      <c r="W166" s="290">
        <f>Table13[[#This Row],[Life Cover Amount]]</f>
        <v>0</v>
      </c>
      <c r="X166" s="290">
        <f>Table13[[#This Row],[Funeral Cover Amount]]</f>
        <v>0</v>
      </c>
      <c r="Y16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6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66" s="301">
        <f t="shared" ca="1" si="18"/>
        <v>0</v>
      </c>
      <c r="AB166" s="298"/>
      <c r="AC166" s="326" t="str">
        <f>IF(Table2[[#This Row],[Member Type]]="Main Member",Lookups!$C$13,
IF(Table2[[#This Row],[Member Type]]="Spouse",_xlfn.XLOOKUP(B166,Table2[Main Member Link ID],Table2[Product Option],0),
IF(AND(Table2[[#This Row],[Member Type]]="Child",_xlfn.XLOOKUP(B166,Table2[Main Member Link ID],Table2[Product Option],0)&lt;&gt;"My Value Plus Life"),Lookups!$C$24,
IF(AND(OR(Table2[[#This Row],[Member Type]]="Parent",Table2[[#This Row],[Member Type]]="Extended"),_xlfn.XLOOKUP(B166,Table2[Main Member Link ID],Table2[Product Option],0)&lt;&gt;"My Value Plus Life"),Lookups!$C$26,""))))</f>
        <v/>
      </c>
      <c r="AD166" s="326" t="str">
        <f>IF(Table2[[#This Row],[Member Type]]="Main Member",Lookups!$C$14,"")</f>
        <v/>
      </c>
      <c r="AE16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Funeral",_xlfn.XLOOKUP(B166,Table2[Main Member Link ID],Table2[Benefit Name],0)=Lookups!$D$14),"",
IF(AND(Table2[[#This Row],[Member Type]]="Spouse",Table2[[#This Row],[Product Option]]="My Value Plus Life &amp; Funeral",_xlfn.XLOOKUP(B165,Table2[Main Member Link ID],Table2[Benefit Name],0)=Lookups!$D$15),Lookups!$D$20,
IF(AND(Table2[[#This Row],[Member Type]]="Spouse",Table2[[#This Row],[Product Option]]="My Value Plus Life &amp; Funeral",_xlfn.XLOOKUP(B165,Table2[Main Member Link ID],Table2[Benefit Name],0)=Lookups!$D$16),"",
IF(AND(Table2[[#This Row],[Member Type]]="Spouse",Table2[[#This Row],[Product Option]]="My Value Plus Life &amp; Funeral",_xlfn.XLOOKUP(B165,Table2[Main Member Link ID],Table2[Benefit Name],0)=Lookups!$D$17),Lookups!$D$21,
IF(AND(Table2[[#This Row],[Member Type]]="Child",Table2[[#This Row],[Product Option]]="My Value Plus Life &amp; Funeral",_xlfn.XLOOKUP(B166,Table2[Main Member Link ID],Table2[Benefit Name],0)=Lookups!$D$14),"",
IF(AND(Table2[[#This Row],[Member Type]]="Child",Table2[[#This Row],[Product Option]]="My Value Plus Life &amp; Funeral",_xlfn.XLOOKUP(B166,Table2[Main Member Link ID],Table2[Benefit Name],0)=Lookups!$D$15),"",
IF(AND(Table2[[#This Row],[Member Type]]="Child",Table2[[#This Row],[Product Option]]="My Value Plus Life &amp; Funeral",_xlfn.XLOOKUP(B166,Table2[Main Member Link ID],Table2[Benefit Name],0)=Lookups!$D$16),Lookups!$D$24,
IF(AND(Table2[[#This Row],[Member Type]]="Child",Table2[[#This Row],[Product Option]]="My Value Plus Life &amp; Funeral",_xlfn.XLOOKUP(B166,Table2[Main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Funeral",_xlfn.XLOOKUP(B166,Table2[Main Member Link ID],Table2[Benefit Name],0)&lt;&gt;Lookups!$D$14),
IF(_xlfn.XLOOKUP(B166,Table2[Main Member Link ID],Table2[Benefit Name],0)=0,"",_xlfn.XLOOKUP(B166,Table2[Main Member Link ID],Table2[Benefit Name],0)),"")))))))))))))))</f>
        <v/>
      </c>
      <c r="AF166" s="327" t="str">
        <f>IF(AND(Table2[[#This Row],[Member Type]]="Main Member",Table2[[#This Row],[Product Option]]="My Value Plus Life &amp; Funeral"),Lookups!$D$15,
IF(AND(Table2[[#This Row],[Member Type]]="Spouse",Table2[[#This Row],[Product Option]]="My Value Plus Life &amp; Funeral",_xlfn.XLOOKUP(B166,Table2[Main Member Link ID],Table2[Benefit Name],0)=Lookups!$D$14),"",
IF(AND(Table2[[#This Row],[Member Type]]="Spouse",Table2[[#This Row],[Product Option]]="My Value Plus Life &amp; Funeral",_xlfn.XLOOKUP(B165,Table2[Main Member Link ID],Table2[Benefit Name],0)=Lookups!$D$16),"",
IF(AND(Table2[[#This Row],[Member Type]]="Spouse",Table2[[#This Row],[Product Option]]="My Value Plus Life &amp; Funeral",_xlfn.XLOOKUP(B165,Table2[Main Member Link ID],Table2[Benefit Name],0)=Lookups!$D$15),"",
IF(AND(Table2[[#This Row],[Member Type]]="Spouse",Table2[[#This Row],[Product Option]]="My Value Plus Life &amp; Funeral",_xlfn.XLOOKUP(B165,Table2[Main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Funeral",_xlfn.XLOOKUP(B166,Table2[Main Member Link ID],Table2[Benefit Name],0)&lt;&gt;Lookups!$D$15),
IF(_xlfn.XLOOKUP(B166,Table2[Main Member Link ID],Table2[Benefit Name],0)=0,"",_xlfn.XLOOKUP(B166,Table2[Main Member Link ID],Table2[Benefit Name],0)),"")
))))))</f>
        <v/>
      </c>
      <c r="AG166" s="327" t="str">
        <f>IF(AND(Table2[[#This Row],[Member Type]]="Main Member",Table2[[#This Row],[Product Option]]="My Value Plus Life &amp; Funeral"),Lookups!$D$16,
IF(AND(Table2[[#This Row],[Member Type]]="Spouse",Table2[[#This Row],[Product Option]]="My Value Plus Life &amp; Funeral",_xlfn.XLOOKUP(B166,Table2[Main Member Link ID],Table2[Benefit Name],0)=Lookups!$D$14),"",
IF(AND(Table2[[#This Row],[Member Type]]="Spouse",Table2[[#This Row],[Product Option]]="My Value Plus Life &amp; Funeral",_xlfn.XLOOKUP(B165,Table2[Main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Funeral",_xlfn.XLOOKUP(B166,Table2[Main Member Link ID],Table2[Benefit Name],0)&lt;&gt;Lookups!$D$16),
IF(_xlfn.XLOOKUP(B166,Table2[Main Member Link ID],Table2[Benefit Name],0)=0,"",_xlfn.XLOOKUP(B166,Table2[Main Member Link ID],Table2[Benefit Name],0)),"")
))))</f>
        <v/>
      </c>
      <c r="AH166" s="327" t="str">
        <f>IF(AND(Table2[[#This Row],[Member Type]]="Main Member",Table2[[#This Row],[Product Option]]="My Value Plus Life &amp; Funeral"),Lookups!$D$17,
IF(AND(Table2[[#This Row],[Member Type]]="Spouse",Table2[[#This Row],[Product Option]]="My Value Plus Life &amp; Funeral",_xlfn.XLOOKUP(B166,Table2[Main Member Link ID],Table2[Benefit Name],0)=Lookups!$D$14),"",
IF(AND(Table2[[#This Row],[Member Type]]="Spouse",Table2[[#This Row],[Product Option]]="My Value Plus Life &amp; Funeral",_xlfn.XLOOKUP(B165,Table2[Main Member Link ID],Table2[Benefit Name],0)=Lookups!$D$16),"",
IF(AND(Table2[[#This Row],[Member Type]]="Child",Table2[[#This Row],[Product Option]]="My Value Plus Life &amp; Funeral"),"",
IF(AND(Table2[[#This Row],[Member Type]]="Child",Table2[[#This Row],[Product Option]]="My Value Plus Life &amp; Funeral",_xlfn.XLOOKUP(B166,Table2[Main Member Link ID],Table2[Benefit Name],0)=Lookups!$D$15),"",
IF(AND(OR(Table2[[#This Row],[Member Type]]="Spouse",Table2[[#This Row],[Member Type]]="Child"),Table2[[#This Row],[Product Option]]="My Value Plus Life &amp; Funeral",_xlfn.XLOOKUP(B166,Table2[Main Member Link ID],Table2[Benefit Name],0)&lt;&gt;Lookups!$D$17),
IF(_xlfn.XLOOKUP(B166,Table2[Main Member Link ID],Table2[Benefit Name],0)=0,"",_xlfn.XLOOKUP(B166,Table2[Main Member Link ID],Table2[Benefit Name],0)),""))))))</f>
        <v/>
      </c>
      <c r="AI166" s="328" t="str">
        <f>IF(AND(Table2[[#This Row],[Member Type]]="Main Member",Table2[[#This Row],[Table Lookup for Life Cover]]="MM_LIFE",Table2[[#This Row],[Age Next Birthday]]&lt;56),1,
IF(AND(Table2[[#This Row],[Member Type]]="Main Member",Table2[[#This Row],[Table Lookup for Life Cover]]="MM_LIFE",Table2[[#This Row],[Age Next Birthday]]&gt;=56),2,
""))</f>
        <v/>
      </c>
      <c r="AJ166" s="328">
        <f>IF(OR(Table2[[#This Row],[Member Type]]="Main Member",Table2[[#This Row],[Main Member Link ID]]=B165),1,0)</f>
        <v>1</v>
      </c>
      <c r="AK166" s="328">
        <f>IF(Table2[[#This Row],[Member Type]]=0,0,
IF(OR(Table2[[#This Row],[Member Type]]="Main Member",Table2[[#This Row],[Main Member Link ID]]&lt;&gt;B166),COUNTIFS(B:B,Table2[[#This Row],[Main Member Link ID]]),
COUNTIFS(B:B,Table2[[#This Row],[Main Member Link ID]],A:A,Table2[[#This Row],[Member Type]])))</f>
        <v>0</v>
      </c>
    </row>
    <row r="167" spans="1:37" x14ac:dyDescent="0.3">
      <c r="A167" s="284">
        <f>Table13[[#This Row],[Member Type]]</f>
        <v>0</v>
      </c>
      <c r="B167" s="284">
        <f>Table13[[#This Row],[Main Member Link ID]]</f>
        <v>0</v>
      </c>
      <c r="C167" s="284">
        <f>Table13[[#This Row],[ID Number]]</f>
        <v>0</v>
      </c>
      <c r="D167" s="285">
        <f>Table13[[#This Row],[Date Of Birth]]</f>
        <v>0</v>
      </c>
      <c r="E167" s="285">
        <f>Table13[[#This Row],[Commencement Date]]</f>
        <v>0</v>
      </c>
      <c r="F167" s="284">
        <f t="shared" si="14"/>
        <v>1</v>
      </c>
      <c r="G167" s="284">
        <f t="shared" si="15"/>
        <v>25</v>
      </c>
      <c r="H167" s="286">
        <f>Table13[[#This Row],[Product Option]]</f>
        <v>0</v>
      </c>
      <c r="I167" s="284">
        <f>IF(AND($A167="Main Member",Table2[[#This Row],[Product Option]]="My Value Plus Life"),"MM_LIFE",
IF(AND($A167="Spouse",Table2[[#This Row],[Product Option]]="My Value Plus Life"),"SP_LIFE",
IF(AND($A167="Main Member",Table2[[#This Row],[Product Option]]="My Value Plus Life &amp; Funeral"),"MM_LIFE",
IF(AND($A167="Spouse",Table2[[#This Row],[Product Option]]="My Value Plus Life &amp; Funeral"),_xlfn.XLOOKUP(Table2[[#This Row],[Benefit Name]],Lookups!$D$18:$D$23,Lookups!$E$18:$E$23,0),
0))))</f>
        <v>0</v>
      </c>
      <c r="J167" s="284">
        <f>IF($I167="","",
IF($I167="MM_LIFE",INDEX('Quotation Tool'!$S$54:$V$60,MATCH($T167,'Quotation Tool'!$S$54:$S$60,0),4),
IF($I167="SP_LIFE",_xlfn.XLOOKUP(B166,$B:$B,$J:$J,0),0)))</f>
        <v>0</v>
      </c>
      <c r="K167" s="287">
        <f t="shared" ca="1" si="19"/>
        <v>0</v>
      </c>
      <c r="L167" s="288">
        <f t="shared" ca="1" si="20"/>
        <v>0</v>
      </c>
      <c r="M167" s="289">
        <f t="shared" ca="1" si="16"/>
        <v>0</v>
      </c>
      <c r="N167" s="286">
        <f>Table13[[#This Row],[Benefit Option]]</f>
        <v>0</v>
      </c>
      <c r="O167" s="284">
        <f>IF(OR(Table2[[#This Row],[Member Type]]="Spouse",Table2[[#This Row],[Member Type]]="Child"),0,
IF(_xlfn.XLOOKUP($N167,Lookups!$D$13:$D$27,Lookups!$F$13:$F$27,0)=Table2[[#This Row],[Table Lookup for Life Cover]],0,
_xlfn.XLOOKUP($N167,Lookups!$D$13:$D$27,Lookups!$F$13:$F$27,0)))</f>
        <v>0</v>
      </c>
      <c r="P167" s="284">
        <f>IF(Table2[[#This Row],[Table Lookup for Funeral]]=0,0,IFERROR(INDEX('Quotation Tool'!$S$54:$V$60,MATCH($T167,'Quotation Tool'!$S$54:$S$60,0),3),0))</f>
        <v>0</v>
      </c>
      <c r="Q167" s="288">
        <f ca="1">IF(OR(Table2[[#This Row],[Benefit Name]]="My Value Plus Life - Main Member",Table2[[#This Row],[Benefit Name]]="My Value Plus Life - Spouse"),0,
IFERROR(VLOOKUP($G167,INDIRECT($O167),$P167,FALSE),0))</f>
        <v>0</v>
      </c>
      <c r="R167" s="288">
        <f ca="1">IF(OR(Table2[[#This Row],[Benefit Name]]="My Value Plus Life - Main Member",Table2[[#This Row],[Benefit Name]]="My Value Plus Life - Spouse"),0,
IFERROR(VLOOKUP($G167,INDIRECT($O167),$P167+1,FALSE),0))</f>
        <v>0</v>
      </c>
      <c r="S167" s="289">
        <f t="shared" ca="1" si="17"/>
        <v>0</v>
      </c>
      <c r="T167" s="284" t="str">
        <f>IF(Table13[[#This Row],[Premium Waiver]]="","None",Table13[[#This Row],[Premium Waiver]])</f>
        <v>None</v>
      </c>
      <c r="U167" s="284">
        <f>Table13[[#This Row],[VAPs Options]]</f>
        <v>0</v>
      </c>
      <c r="V167" s="284">
        <f>Table13[[#This Row],[Annual Increase Option]]</f>
        <v>0</v>
      </c>
      <c r="W167" s="290">
        <f>Table13[[#This Row],[Life Cover Amount]]</f>
        <v>0</v>
      </c>
      <c r="X167" s="290">
        <f>Table13[[#This Row],[Funeral Cover Amount]]</f>
        <v>0</v>
      </c>
      <c r="Y16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6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67" s="301">
        <f t="shared" ca="1" si="18"/>
        <v>0</v>
      </c>
      <c r="AB167" s="298"/>
      <c r="AC167" s="326" t="str">
        <f>IF(Table2[[#This Row],[Member Type]]="Main Member",Lookups!$C$13,
IF(Table2[[#This Row],[Member Type]]="Spouse",_xlfn.XLOOKUP(B167,Table2[Main Member Link ID],Table2[Product Option],0),
IF(AND(Table2[[#This Row],[Member Type]]="Child",_xlfn.XLOOKUP(B167,Table2[Main Member Link ID],Table2[Product Option],0)&lt;&gt;"My Value Plus Life"),Lookups!$C$24,
IF(AND(OR(Table2[[#This Row],[Member Type]]="Parent",Table2[[#This Row],[Member Type]]="Extended"),_xlfn.XLOOKUP(B167,Table2[Main Member Link ID],Table2[Product Option],0)&lt;&gt;"My Value Plus Life"),Lookups!$C$26,""))))</f>
        <v/>
      </c>
      <c r="AD167" s="326" t="str">
        <f>IF(Table2[[#This Row],[Member Type]]="Main Member",Lookups!$C$14,"")</f>
        <v/>
      </c>
      <c r="AE16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Funeral",_xlfn.XLOOKUP(B167,Table2[Main Member Link ID],Table2[Benefit Name],0)=Lookups!$D$14),"",
IF(AND(Table2[[#This Row],[Member Type]]="Spouse",Table2[[#This Row],[Product Option]]="My Value Plus Life &amp; Funeral",_xlfn.XLOOKUP(B166,Table2[Main Member Link ID],Table2[Benefit Name],0)=Lookups!$D$15),Lookups!$D$20,
IF(AND(Table2[[#This Row],[Member Type]]="Spouse",Table2[[#This Row],[Product Option]]="My Value Plus Life &amp; Funeral",_xlfn.XLOOKUP(B166,Table2[Main Member Link ID],Table2[Benefit Name],0)=Lookups!$D$16),"",
IF(AND(Table2[[#This Row],[Member Type]]="Spouse",Table2[[#This Row],[Product Option]]="My Value Plus Life &amp; Funeral",_xlfn.XLOOKUP(B166,Table2[Main Member Link ID],Table2[Benefit Name],0)=Lookups!$D$17),Lookups!$D$21,
IF(AND(Table2[[#This Row],[Member Type]]="Child",Table2[[#This Row],[Product Option]]="My Value Plus Life &amp; Funeral",_xlfn.XLOOKUP(B167,Table2[Main Member Link ID],Table2[Benefit Name],0)=Lookups!$D$14),"",
IF(AND(Table2[[#This Row],[Member Type]]="Child",Table2[[#This Row],[Product Option]]="My Value Plus Life &amp; Funeral",_xlfn.XLOOKUP(B167,Table2[Main Member Link ID],Table2[Benefit Name],0)=Lookups!$D$15),"",
IF(AND(Table2[[#This Row],[Member Type]]="Child",Table2[[#This Row],[Product Option]]="My Value Plus Life &amp; Funeral",_xlfn.XLOOKUP(B167,Table2[Main Member Link ID],Table2[Benefit Name],0)=Lookups!$D$16),Lookups!$D$24,
IF(AND(Table2[[#This Row],[Member Type]]="Child",Table2[[#This Row],[Product Option]]="My Value Plus Life &amp; Funeral",_xlfn.XLOOKUP(B167,Table2[Main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Funeral",_xlfn.XLOOKUP(B167,Table2[Main Member Link ID],Table2[Benefit Name],0)&lt;&gt;Lookups!$D$14),
IF(_xlfn.XLOOKUP(B167,Table2[Main Member Link ID],Table2[Benefit Name],0)=0,"",_xlfn.XLOOKUP(B167,Table2[Main Member Link ID],Table2[Benefit Name],0)),"")))))))))))))))</f>
        <v/>
      </c>
      <c r="AF167" s="327" t="str">
        <f>IF(AND(Table2[[#This Row],[Member Type]]="Main Member",Table2[[#This Row],[Product Option]]="My Value Plus Life &amp; Funeral"),Lookups!$D$15,
IF(AND(Table2[[#This Row],[Member Type]]="Spouse",Table2[[#This Row],[Product Option]]="My Value Plus Life &amp; Funeral",_xlfn.XLOOKUP(B167,Table2[Main Member Link ID],Table2[Benefit Name],0)=Lookups!$D$14),"",
IF(AND(Table2[[#This Row],[Member Type]]="Spouse",Table2[[#This Row],[Product Option]]="My Value Plus Life &amp; Funeral",_xlfn.XLOOKUP(B166,Table2[Main Member Link ID],Table2[Benefit Name],0)=Lookups!$D$16),"",
IF(AND(Table2[[#This Row],[Member Type]]="Spouse",Table2[[#This Row],[Product Option]]="My Value Plus Life &amp; Funeral",_xlfn.XLOOKUP(B166,Table2[Main Member Link ID],Table2[Benefit Name],0)=Lookups!$D$15),"",
IF(AND(Table2[[#This Row],[Member Type]]="Spouse",Table2[[#This Row],[Product Option]]="My Value Plus Life &amp; Funeral",_xlfn.XLOOKUP(B166,Table2[Main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Funeral",_xlfn.XLOOKUP(B167,Table2[Main Member Link ID],Table2[Benefit Name],0)&lt;&gt;Lookups!$D$15),
IF(_xlfn.XLOOKUP(B167,Table2[Main Member Link ID],Table2[Benefit Name],0)=0,"",_xlfn.XLOOKUP(B167,Table2[Main Member Link ID],Table2[Benefit Name],0)),"")
))))))</f>
        <v/>
      </c>
      <c r="AG167" s="327" t="str">
        <f>IF(AND(Table2[[#This Row],[Member Type]]="Main Member",Table2[[#This Row],[Product Option]]="My Value Plus Life &amp; Funeral"),Lookups!$D$16,
IF(AND(Table2[[#This Row],[Member Type]]="Spouse",Table2[[#This Row],[Product Option]]="My Value Plus Life &amp; Funeral",_xlfn.XLOOKUP(B167,Table2[Main Member Link ID],Table2[Benefit Name],0)=Lookups!$D$14),"",
IF(AND(Table2[[#This Row],[Member Type]]="Spouse",Table2[[#This Row],[Product Option]]="My Value Plus Life &amp; Funeral",_xlfn.XLOOKUP(B166,Table2[Main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Funeral",_xlfn.XLOOKUP(B167,Table2[Main Member Link ID],Table2[Benefit Name],0)&lt;&gt;Lookups!$D$16),
IF(_xlfn.XLOOKUP(B167,Table2[Main Member Link ID],Table2[Benefit Name],0)=0,"",_xlfn.XLOOKUP(B167,Table2[Main Member Link ID],Table2[Benefit Name],0)),"")
))))</f>
        <v/>
      </c>
      <c r="AH167" s="327" t="str">
        <f>IF(AND(Table2[[#This Row],[Member Type]]="Main Member",Table2[[#This Row],[Product Option]]="My Value Plus Life &amp; Funeral"),Lookups!$D$17,
IF(AND(Table2[[#This Row],[Member Type]]="Spouse",Table2[[#This Row],[Product Option]]="My Value Plus Life &amp; Funeral",_xlfn.XLOOKUP(B167,Table2[Main Member Link ID],Table2[Benefit Name],0)=Lookups!$D$14),"",
IF(AND(Table2[[#This Row],[Member Type]]="Spouse",Table2[[#This Row],[Product Option]]="My Value Plus Life &amp; Funeral",_xlfn.XLOOKUP(B166,Table2[Main Member Link ID],Table2[Benefit Name],0)=Lookups!$D$16),"",
IF(AND(Table2[[#This Row],[Member Type]]="Child",Table2[[#This Row],[Product Option]]="My Value Plus Life &amp; Funeral"),"",
IF(AND(Table2[[#This Row],[Member Type]]="Child",Table2[[#This Row],[Product Option]]="My Value Plus Life &amp; Funeral",_xlfn.XLOOKUP(B167,Table2[Main Member Link ID],Table2[Benefit Name],0)=Lookups!$D$15),"",
IF(AND(OR(Table2[[#This Row],[Member Type]]="Spouse",Table2[[#This Row],[Member Type]]="Child"),Table2[[#This Row],[Product Option]]="My Value Plus Life &amp; Funeral",_xlfn.XLOOKUP(B167,Table2[Main Member Link ID],Table2[Benefit Name],0)&lt;&gt;Lookups!$D$17),
IF(_xlfn.XLOOKUP(B167,Table2[Main Member Link ID],Table2[Benefit Name],0)=0,"",_xlfn.XLOOKUP(B167,Table2[Main Member Link ID],Table2[Benefit Name],0)),""))))))</f>
        <v/>
      </c>
      <c r="AI167" s="328" t="str">
        <f>IF(AND(Table2[[#This Row],[Member Type]]="Main Member",Table2[[#This Row],[Table Lookup for Life Cover]]="MM_LIFE",Table2[[#This Row],[Age Next Birthday]]&lt;56),1,
IF(AND(Table2[[#This Row],[Member Type]]="Main Member",Table2[[#This Row],[Table Lookup for Life Cover]]="MM_LIFE",Table2[[#This Row],[Age Next Birthday]]&gt;=56),2,
""))</f>
        <v/>
      </c>
      <c r="AJ167" s="328">
        <f>IF(OR(Table2[[#This Row],[Member Type]]="Main Member",Table2[[#This Row],[Main Member Link ID]]=B166),1,0)</f>
        <v>1</v>
      </c>
      <c r="AK167" s="328">
        <f>IF(Table2[[#This Row],[Member Type]]=0,0,
IF(OR(Table2[[#This Row],[Member Type]]="Main Member",Table2[[#This Row],[Main Member Link ID]]&lt;&gt;B167),COUNTIFS(B:B,Table2[[#This Row],[Main Member Link ID]]),
COUNTIFS(B:B,Table2[[#This Row],[Main Member Link ID]],A:A,Table2[[#This Row],[Member Type]])))</f>
        <v>0</v>
      </c>
    </row>
    <row r="168" spans="1:37" x14ac:dyDescent="0.3">
      <c r="A168" s="284">
        <f>Table13[[#This Row],[Member Type]]</f>
        <v>0</v>
      </c>
      <c r="B168" s="284">
        <f>Table13[[#This Row],[Main Member Link ID]]</f>
        <v>0</v>
      </c>
      <c r="C168" s="284">
        <f>Table13[[#This Row],[ID Number]]</f>
        <v>0</v>
      </c>
      <c r="D168" s="285">
        <f>Table13[[#This Row],[Date Of Birth]]</f>
        <v>0</v>
      </c>
      <c r="E168" s="285">
        <f>Table13[[#This Row],[Commencement Date]]</f>
        <v>0</v>
      </c>
      <c r="F168" s="284">
        <f t="shared" si="14"/>
        <v>1</v>
      </c>
      <c r="G168" s="284">
        <f t="shared" si="15"/>
        <v>25</v>
      </c>
      <c r="H168" s="286">
        <f>Table13[[#This Row],[Product Option]]</f>
        <v>0</v>
      </c>
      <c r="I168" s="284">
        <f>IF(AND($A168="Main Member",Table2[[#This Row],[Product Option]]="My Value Plus Life"),"MM_LIFE",
IF(AND($A168="Spouse",Table2[[#This Row],[Product Option]]="My Value Plus Life"),"SP_LIFE",
IF(AND($A168="Main Member",Table2[[#This Row],[Product Option]]="My Value Plus Life &amp; Funeral"),"MM_LIFE",
IF(AND($A168="Spouse",Table2[[#This Row],[Product Option]]="My Value Plus Life &amp; Funeral"),_xlfn.XLOOKUP(Table2[[#This Row],[Benefit Name]],Lookups!$D$18:$D$23,Lookups!$E$18:$E$23,0),
0))))</f>
        <v>0</v>
      </c>
      <c r="J168" s="284">
        <f>IF($I168="","",
IF($I168="MM_LIFE",INDEX('Quotation Tool'!$S$54:$V$60,MATCH($T168,'Quotation Tool'!$S$54:$S$60,0),4),
IF($I168="SP_LIFE",_xlfn.XLOOKUP(B167,$B:$B,$J:$J,0),0)))</f>
        <v>0</v>
      </c>
      <c r="K168" s="287">
        <f t="shared" ca="1" si="19"/>
        <v>0</v>
      </c>
      <c r="L168" s="288">
        <f t="shared" ca="1" si="20"/>
        <v>0</v>
      </c>
      <c r="M168" s="289">
        <f t="shared" ca="1" si="16"/>
        <v>0</v>
      </c>
      <c r="N168" s="286">
        <f>Table13[[#This Row],[Benefit Option]]</f>
        <v>0</v>
      </c>
      <c r="O168" s="284">
        <f>IF(OR(Table2[[#This Row],[Member Type]]="Spouse",Table2[[#This Row],[Member Type]]="Child"),0,
IF(_xlfn.XLOOKUP($N168,Lookups!$D$13:$D$27,Lookups!$F$13:$F$27,0)=Table2[[#This Row],[Table Lookup for Life Cover]],0,
_xlfn.XLOOKUP($N168,Lookups!$D$13:$D$27,Lookups!$F$13:$F$27,0)))</f>
        <v>0</v>
      </c>
      <c r="P168" s="284">
        <f>IF(Table2[[#This Row],[Table Lookup for Funeral]]=0,0,IFERROR(INDEX('Quotation Tool'!$S$54:$V$60,MATCH($T168,'Quotation Tool'!$S$54:$S$60,0),3),0))</f>
        <v>0</v>
      </c>
      <c r="Q168" s="288">
        <f ca="1">IF(OR(Table2[[#This Row],[Benefit Name]]="My Value Plus Life - Main Member",Table2[[#This Row],[Benefit Name]]="My Value Plus Life - Spouse"),0,
IFERROR(VLOOKUP($G168,INDIRECT($O168),$P168,FALSE),0))</f>
        <v>0</v>
      </c>
      <c r="R168" s="288">
        <f ca="1">IF(OR(Table2[[#This Row],[Benefit Name]]="My Value Plus Life - Main Member",Table2[[#This Row],[Benefit Name]]="My Value Plus Life - Spouse"),0,
IFERROR(VLOOKUP($G168,INDIRECT($O168),$P168+1,FALSE),0))</f>
        <v>0</v>
      </c>
      <c r="S168" s="289">
        <f t="shared" ca="1" si="17"/>
        <v>0</v>
      </c>
      <c r="T168" s="284" t="str">
        <f>IF(Table13[[#This Row],[Premium Waiver]]="","None",Table13[[#This Row],[Premium Waiver]])</f>
        <v>None</v>
      </c>
      <c r="U168" s="284">
        <f>Table13[[#This Row],[VAPs Options]]</f>
        <v>0</v>
      </c>
      <c r="V168" s="284">
        <f>Table13[[#This Row],[Annual Increase Option]]</f>
        <v>0</v>
      </c>
      <c r="W168" s="290">
        <f>Table13[[#This Row],[Life Cover Amount]]</f>
        <v>0</v>
      </c>
      <c r="X168" s="290">
        <f>Table13[[#This Row],[Funeral Cover Amount]]</f>
        <v>0</v>
      </c>
      <c r="Y16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6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68" s="301">
        <f t="shared" ca="1" si="18"/>
        <v>0</v>
      </c>
      <c r="AB168" s="298"/>
      <c r="AC168" s="326" t="str">
        <f>IF(Table2[[#This Row],[Member Type]]="Main Member",Lookups!$C$13,
IF(Table2[[#This Row],[Member Type]]="Spouse",_xlfn.XLOOKUP(B168,Table2[Main Member Link ID],Table2[Product Option],0),
IF(AND(Table2[[#This Row],[Member Type]]="Child",_xlfn.XLOOKUP(B168,Table2[Main Member Link ID],Table2[Product Option],0)&lt;&gt;"My Value Plus Life"),Lookups!$C$24,
IF(AND(OR(Table2[[#This Row],[Member Type]]="Parent",Table2[[#This Row],[Member Type]]="Extended"),_xlfn.XLOOKUP(B168,Table2[Main Member Link ID],Table2[Product Option],0)&lt;&gt;"My Value Plus Life"),Lookups!$C$26,""))))</f>
        <v/>
      </c>
      <c r="AD168" s="326" t="str">
        <f>IF(Table2[[#This Row],[Member Type]]="Main Member",Lookups!$C$14,"")</f>
        <v/>
      </c>
      <c r="AE16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Funeral",_xlfn.XLOOKUP(B168,Table2[Main Member Link ID],Table2[Benefit Name],0)=Lookups!$D$14),"",
IF(AND(Table2[[#This Row],[Member Type]]="Spouse",Table2[[#This Row],[Product Option]]="My Value Plus Life &amp; Funeral",_xlfn.XLOOKUP(B167,Table2[Main Member Link ID],Table2[Benefit Name],0)=Lookups!$D$15),Lookups!$D$20,
IF(AND(Table2[[#This Row],[Member Type]]="Spouse",Table2[[#This Row],[Product Option]]="My Value Plus Life &amp; Funeral",_xlfn.XLOOKUP(B167,Table2[Main Member Link ID],Table2[Benefit Name],0)=Lookups!$D$16),"",
IF(AND(Table2[[#This Row],[Member Type]]="Spouse",Table2[[#This Row],[Product Option]]="My Value Plus Life &amp; Funeral",_xlfn.XLOOKUP(B167,Table2[Main Member Link ID],Table2[Benefit Name],0)=Lookups!$D$17),Lookups!$D$21,
IF(AND(Table2[[#This Row],[Member Type]]="Child",Table2[[#This Row],[Product Option]]="My Value Plus Life &amp; Funeral",_xlfn.XLOOKUP(B168,Table2[Main Member Link ID],Table2[Benefit Name],0)=Lookups!$D$14),"",
IF(AND(Table2[[#This Row],[Member Type]]="Child",Table2[[#This Row],[Product Option]]="My Value Plus Life &amp; Funeral",_xlfn.XLOOKUP(B168,Table2[Main Member Link ID],Table2[Benefit Name],0)=Lookups!$D$15),"",
IF(AND(Table2[[#This Row],[Member Type]]="Child",Table2[[#This Row],[Product Option]]="My Value Plus Life &amp; Funeral",_xlfn.XLOOKUP(B168,Table2[Main Member Link ID],Table2[Benefit Name],0)=Lookups!$D$16),Lookups!$D$24,
IF(AND(Table2[[#This Row],[Member Type]]="Child",Table2[[#This Row],[Product Option]]="My Value Plus Life &amp; Funeral",_xlfn.XLOOKUP(B168,Table2[Main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Funeral",_xlfn.XLOOKUP(B168,Table2[Main Member Link ID],Table2[Benefit Name],0)&lt;&gt;Lookups!$D$14),
IF(_xlfn.XLOOKUP(B168,Table2[Main Member Link ID],Table2[Benefit Name],0)=0,"",_xlfn.XLOOKUP(B168,Table2[Main Member Link ID],Table2[Benefit Name],0)),"")))))))))))))))</f>
        <v/>
      </c>
      <c r="AF168" s="327" t="str">
        <f>IF(AND(Table2[[#This Row],[Member Type]]="Main Member",Table2[[#This Row],[Product Option]]="My Value Plus Life &amp; Funeral"),Lookups!$D$15,
IF(AND(Table2[[#This Row],[Member Type]]="Spouse",Table2[[#This Row],[Product Option]]="My Value Plus Life &amp; Funeral",_xlfn.XLOOKUP(B168,Table2[Main Member Link ID],Table2[Benefit Name],0)=Lookups!$D$14),"",
IF(AND(Table2[[#This Row],[Member Type]]="Spouse",Table2[[#This Row],[Product Option]]="My Value Plus Life &amp; Funeral",_xlfn.XLOOKUP(B167,Table2[Main Member Link ID],Table2[Benefit Name],0)=Lookups!$D$16),"",
IF(AND(Table2[[#This Row],[Member Type]]="Spouse",Table2[[#This Row],[Product Option]]="My Value Plus Life &amp; Funeral",_xlfn.XLOOKUP(B167,Table2[Main Member Link ID],Table2[Benefit Name],0)=Lookups!$D$15),"",
IF(AND(Table2[[#This Row],[Member Type]]="Spouse",Table2[[#This Row],[Product Option]]="My Value Plus Life &amp; Funeral",_xlfn.XLOOKUP(B167,Table2[Main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Funeral",_xlfn.XLOOKUP(B168,Table2[Main Member Link ID],Table2[Benefit Name],0)&lt;&gt;Lookups!$D$15),
IF(_xlfn.XLOOKUP(B168,Table2[Main Member Link ID],Table2[Benefit Name],0)=0,"",_xlfn.XLOOKUP(B168,Table2[Main Member Link ID],Table2[Benefit Name],0)),"")
))))))</f>
        <v/>
      </c>
      <c r="AG168" s="327" t="str">
        <f>IF(AND(Table2[[#This Row],[Member Type]]="Main Member",Table2[[#This Row],[Product Option]]="My Value Plus Life &amp; Funeral"),Lookups!$D$16,
IF(AND(Table2[[#This Row],[Member Type]]="Spouse",Table2[[#This Row],[Product Option]]="My Value Plus Life &amp; Funeral",_xlfn.XLOOKUP(B168,Table2[Main Member Link ID],Table2[Benefit Name],0)=Lookups!$D$14),"",
IF(AND(Table2[[#This Row],[Member Type]]="Spouse",Table2[[#This Row],[Product Option]]="My Value Plus Life &amp; Funeral",_xlfn.XLOOKUP(B167,Table2[Main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Funeral",_xlfn.XLOOKUP(B168,Table2[Main Member Link ID],Table2[Benefit Name],0)&lt;&gt;Lookups!$D$16),
IF(_xlfn.XLOOKUP(B168,Table2[Main Member Link ID],Table2[Benefit Name],0)=0,"",_xlfn.XLOOKUP(B168,Table2[Main Member Link ID],Table2[Benefit Name],0)),"")
))))</f>
        <v/>
      </c>
      <c r="AH168" s="327" t="str">
        <f>IF(AND(Table2[[#This Row],[Member Type]]="Main Member",Table2[[#This Row],[Product Option]]="My Value Plus Life &amp; Funeral"),Lookups!$D$17,
IF(AND(Table2[[#This Row],[Member Type]]="Spouse",Table2[[#This Row],[Product Option]]="My Value Plus Life &amp; Funeral",_xlfn.XLOOKUP(B168,Table2[Main Member Link ID],Table2[Benefit Name],0)=Lookups!$D$14),"",
IF(AND(Table2[[#This Row],[Member Type]]="Spouse",Table2[[#This Row],[Product Option]]="My Value Plus Life &amp; Funeral",_xlfn.XLOOKUP(B167,Table2[Main Member Link ID],Table2[Benefit Name],0)=Lookups!$D$16),"",
IF(AND(Table2[[#This Row],[Member Type]]="Child",Table2[[#This Row],[Product Option]]="My Value Plus Life &amp; Funeral"),"",
IF(AND(Table2[[#This Row],[Member Type]]="Child",Table2[[#This Row],[Product Option]]="My Value Plus Life &amp; Funeral",_xlfn.XLOOKUP(B168,Table2[Main Member Link ID],Table2[Benefit Name],0)=Lookups!$D$15),"",
IF(AND(OR(Table2[[#This Row],[Member Type]]="Spouse",Table2[[#This Row],[Member Type]]="Child"),Table2[[#This Row],[Product Option]]="My Value Plus Life &amp; Funeral",_xlfn.XLOOKUP(B168,Table2[Main Member Link ID],Table2[Benefit Name],0)&lt;&gt;Lookups!$D$17),
IF(_xlfn.XLOOKUP(B168,Table2[Main Member Link ID],Table2[Benefit Name],0)=0,"",_xlfn.XLOOKUP(B168,Table2[Main Member Link ID],Table2[Benefit Name],0)),""))))))</f>
        <v/>
      </c>
      <c r="AI168" s="328" t="str">
        <f>IF(AND(Table2[[#This Row],[Member Type]]="Main Member",Table2[[#This Row],[Table Lookup for Life Cover]]="MM_LIFE",Table2[[#This Row],[Age Next Birthday]]&lt;56),1,
IF(AND(Table2[[#This Row],[Member Type]]="Main Member",Table2[[#This Row],[Table Lookup for Life Cover]]="MM_LIFE",Table2[[#This Row],[Age Next Birthday]]&gt;=56),2,
""))</f>
        <v/>
      </c>
      <c r="AJ168" s="328">
        <f>IF(OR(Table2[[#This Row],[Member Type]]="Main Member",Table2[[#This Row],[Main Member Link ID]]=B167),1,0)</f>
        <v>1</v>
      </c>
      <c r="AK168" s="328">
        <f>IF(Table2[[#This Row],[Member Type]]=0,0,
IF(OR(Table2[[#This Row],[Member Type]]="Main Member",Table2[[#This Row],[Main Member Link ID]]&lt;&gt;B168),COUNTIFS(B:B,Table2[[#This Row],[Main Member Link ID]]),
COUNTIFS(B:B,Table2[[#This Row],[Main Member Link ID]],A:A,Table2[[#This Row],[Member Type]])))</f>
        <v>0</v>
      </c>
    </row>
    <row r="169" spans="1:37" x14ac:dyDescent="0.3">
      <c r="A169" s="284">
        <f>Table13[[#This Row],[Member Type]]</f>
        <v>0</v>
      </c>
      <c r="B169" s="284">
        <f>Table13[[#This Row],[Main Member Link ID]]</f>
        <v>0</v>
      </c>
      <c r="C169" s="284">
        <f>Table13[[#This Row],[ID Number]]</f>
        <v>0</v>
      </c>
      <c r="D169" s="285">
        <f>Table13[[#This Row],[Date Of Birth]]</f>
        <v>0</v>
      </c>
      <c r="E169" s="285">
        <f>Table13[[#This Row],[Commencement Date]]</f>
        <v>0</v>
      </c>
      <c r="F169" s="284">
        <f t="shared" si="14"/>
        <v>1</v>
      </c>
      <c r="G169" s="284">
        <f t="shared" si="15"/>
        <v>25</v>
      </c>
      <c r="H169" s="286">
        <f>Table13[[#This Row],[Product Option]]</f>
        <v>0</v>
      </c>
      <c r="I169" s="284">
        <f>IF(AND($A169="Main Member",Table2[[#This Row],[Product Option]]="My Value Plus Life"),"MM_LIFE",
IF(AND($A169="Spouse",Table2[[#This Row],[Product Option]]="My Value Plus Life"),"SP_LIFE",
IF(AND($A169="Main Member",Table2[[#This Row],[Product Option]]="My Value Plus Life &amp; Funeral"),"MM_LIFE",
IF(AND($A169="Spouse",Table2[[#This Row],[Product Option]]="My Value Plus Life &amp; Funeral"),_xlfn.XLOOKUP(Table2[[#This Row],[Benefit Name]],Lookups!$D$18:$D$23,Lookups!$E$18:$E$23,0),
0))))</f>
        <v>0</v>
      </c>
      <c r="J169" s="284">
        <f>IF($I169="","",
IF($I169="MM_LIFE",INDEX('Quotation Tool'!$S$54:$V$60,MATCH($T169,'Quotation Tool'!$S$54:$S$60,0),4),
IF($I169="SP_LIFE",_xlfn.XLOOKUP(B168,$B:$B,$J:$J,0),0)))</f>
        <v>0</v>
      </c>
      <c r="K169" s="287">
        <f t="shared" ca="1" si="19"/>
        <v>0</v>
      </c>
      <c r="L169" s="288">
        <f t="shared" ca="1" si="20"/>
        <v>0</v>
      </c>
      <c r="M169" s="289">
        <f t="shared" ca="1" si="16"/>
        <v>0</v>
      </c>
      <c r="N169" s="286">
        <f>Table13[[#This Row],[Benefit Option]]</f>
        <v>0</v>
      </c>
      <c r="O169" s="284">
        <f>IF(OR(Table2[[#This Row],[Member Type]]="Spouse",Table2[[#This Row],[Member Type]]="Child"),0,
IF(_xlfn.XLOOKUP($N169,Lookups!$D$13:$D$27,Lookups!$F$13:$F$27,0)=Table2[[#This Row],[Table Lookup for Life Cover]],0,
_xlfn.XLOOKUP($N169,Lookups!$D$13:$D$27,Lookups!$F$13:$F$27,0)))</f>
        <v>0</v>
      </c>
      <c r="P169" s="284">
        <f>IF(Table2[[#This Row],[Table Lookup for Funeral]]=0,0,IFERROR(INDEX('Quotation Tool'!$S$54:$V$60,MATCH($T169,'Quotation Tool'!$S$54:$S$60,0),3),0))</f>
        <v>0</v>
      </c>
      <c r="Q169" s="288">
        <f ca="1">IF(OR(Table2[[#This Row],[Benefit Name]]="My Value Plus Life - Main Member",Table2[[#This Row],[Benefit Name]]="My Value Plus Life - Spouse"),0,
IFERROR(VLOOKUP($G169,INDIRECT($O169),$P169,FALSE),0))</f>
        <v>0</v>
      </c>
      <c r="R169" s="288">
        <f ca="1">IF(OR(Table2[[#This Row],[Benefit Name]]="My Value Plus Life - Main Member",Table2[[#This Row],[Benefit Name]]="My Value Plus Life - Spouse"),0,
IFERROR(VLOOKUP($G169,INDIRECT($O169),$P169+1,FALSE),0))</f>
        <v>0</v>
      </c>
      <c r="S169" s="289">
        <f t="shared" ca="1" si="17"/>
        <v>0</v>
      </c>
      <c r="T169" s="284" t="str">
        <f>IF(Table13[[#This Row],[Premium Waiver]]="","None",Table13[[#This Row],[Premium Waiver]])</f>
        <v>None</v>
      </c>
      <c r="U169" s="284">
        <f>Table13[[#This Row],[VAPs Options]]</f>
        <v>0</v>
      </c>
      <c r="V169" s="284">
        <f>Table13[[#This Row],[Annual Increase Option]]</f>
        <v>0</v>
      </c>
      <c r="W169" s="290">
        <f>Table13[[#This Row],[Life Cover Amount]]</f>
        <v>0</v>
      </c>
      <c r="X169" s="290">
        <f>Table13[[#This Row],[Funeral Cover Amount]]</f>
        <v>0</v>
      </c>
      <c r="Y16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6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69" s="301">
        <f t="shared" ca="1" si="18"/>
        <v>0</v>
      </c>
      <c r="AB169" s="298"/>
      <c r="AC169" s="326" t="str">
        <f>IF(Table2[[#This Row],[Member Type]]="Main Member",Lookups!$C$13,
IF(Table2[[#This Row],[Member Type]]="Spouse",_xlfn.XLOOKUP(B169,Table2[Main Member Link ID],Table2[Product Option],0),
IF(AND(Table2[[#This Row],[Member Type]]="Child",_xlfn.XLOOKUP(B169,Table2[Main Member Link ID],Table2[Product Option],0)&lt;&gt;"My Value Plus Life"),Lookups!$C$24,
IF(AND(OR(Table2[[#This Row],[Member Type]]="Parent",Table2[[#This Row],[Member Type]]="Extended"),_xlfn.XLOOKUP(B169,Table2[Main Member Link ID],Table2[Product Option],0)&lt;&gt;"My Value Plus Life"),Lookups!$C$26,""))))</f>
        <v/>
      </c>
      <c r="AD169" s="326" t="str">
        <f>IF(Table2[[#This Row],[Member Type]]="Main Member",Lookups!$C$14,"")</f>
        <v/>
      </c>
      <c r="AE16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Funeral",_xlfn.XLOOKUP(B169,Table2[Main Member Link ID],Table2[Benefit Name],0)=Lookups!$D$14),"",
IF(AND(Table2[[#This Row],[Member Type]]="Spouse",Table2[[#This Row],[Product Option]]="My Value Plus Life &amp; Funeral",_xlfn.XLOOKUP(B168,Table2[Main Member Link ID],Table2[Benefit Name],0)=Lookups!$D$15),Lookups!$D$20,
IF(AND(Table2[[#This Row],[Member Type]]="Spouse",Table2[[#This Row],[Product Option]]="My Value Plus Life &amp; Funeral",_xlfn.XLOOKUP(B168,Table2[Main Member Link ID],Table2[Benefit Name],0)=Lookups!$D$16),"",
IF(AND(Table2[[#This Row],[Member Type]]="Spouse",Table2[[#This Row],[Product Option]]="My Value Plus Life &amp; Funeral",_xlfn.XLOOKUP(B168,Table2[Main Member Link ID],Table2[Benefit Name],0)=Lookups!$D$17),Lookups!$D$21,
IF(AND(Table2[[#This Row],[Member Type]]="Child",Table2[[#This Row],[Product Option]]="My Value Plus Life &amp; Funeral",_xlfn.XLOOKUP(B169,Table2[Main Member Link ID],Table2[Benefit Name],0)=Lookups!$D$14),"",
IF(AND(Table2[[#This Row],[Member Type]]="Child",Table2[[#This Row],[Product Option]]="My Value Plus Life &amp; Funeral",_xlfn.XLOOKUP(B169,Table2[Main Member Link ID],Table2[Benefit Name],0)=Lookups!$D$15),"",
IF(AND(Table2[[#This Row],[Member Type]]="Child",Table2[[#This Row],[Product Option]]="My Value Plus Life &amp; Funeral",_xlfn.XLOOKUP(B169,Table2[Main Member Link ID],Table2[Benefit Name],0)=Lookups!$D$16),Lookups!$D$24,
IF(AND(Table2[[#This Row],[Member Type]]="Child",Table2[[#This Row],[Product Option]]="My Value Plus Life &amp; Funeral",_xlfn.XLOOKUP(B169,Table2[Main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Funeral",_xlfn.XLOOKUP(B169,Table2[Main Member Link ID],Table2[Benefit Name],0)&lt;&gt;Lookups!$D$14),
IF(_xlfn.XLOOKUP(B169,Table2[Main Member Link ID],Table2[Benefit Name],0)=0,"",_xlfn.XLOOKUP(B169,Table2[Main Member Link ID],Table2[Benefit Name],0)),"")))))))))))))))</f>
        <v/>
      </c>
      <c r="AF169" s="327" t="str">
        <f>IF(AND(Table2[[#This Row],[Member Type]]="Main Member",Table2[[#This Row],[Product Option]]="My Value Plus Life &amp; Funeral"),Lookups!$D$15,
IF(AND(Table2[[#This Row],[Member Type]]="Spouse",Table2[[#This Row],[Product Option]]="My Value Plus Life &amp; Funeral",_xlfn.XLOOKUP(B169,Table2[Main Member Link ID],Table2[Benefit Name],0)=Lookups!$D$14),"",
IF(AND(Table2[[#This Row],[Member Type]]="Spouse",Table2[[#This Row],[Product Option]]="My Value Plus Life &amp; Funeral",_xlfn.XLOOKUP(B168,Table2[Main Member Link ID],Table2[Benefit Name],0)=Lookups!$D$16),"",
IF(AND(Table2[[#This Row],[Member Type]]="Spouse",Table2[[#This Row],[Product Option]]="My Value Plus Life &amp; Funeral",_xlfn.XLOOKUP(B168,Table2[Main Member Link ID],Table2[Benefit Name],0)=Lookups!$D$15),"",
IF(AND(Table2[[#This Row],[Member Type]]="Spouse",Table2[[#This Row],[Product Option]]="My Value Plus Life &amp; Funeral",_xlfn.XLOOKUP(B168,Table2[Main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Funeral",_xlfn.XLOOKUP(B169,Table2[Main Member Link ID],Table2[Benefit Name],0)&lt;&gt;Lookups!$D$15),
IF(_xlfn.XLOOKUP(B169,Table2[Main Member Link ID],Table2[Benefit Name],0)=0,"",_xlfn.XLOOKUP(B169,Table2[Main Member Link ID],Table2[Benefit Name],0)),"")
))))))</f>
        <v/>
      </c>
      <c r="AG169" s="327" t="str">
        <f>IF(AND(Table2[[#This Row],[Member Type]]="Main Member",Table2[[#This Row],[Product Option]]="My Value Plus Life &amp; Funeral"),Lookups!$D$16,
IF(AND(Table2[[#This Row],[Member Type]]="Spouse",Table2[[#This Row],[Product Option]]="My Value Plus Life &amp; Funeral",_xlfn.XLOOKUP(B169,Table2[Main Member Link ID],Table2[Benefit Name],0)=Lookups!$D$14),"",
IF(AND(Table2[[#This Row],[Member Type]]="Spouse",Table2[[#This Row],[Product Option]]="My Value Plus Life &amp; Funeral",_xlfn.XLOOKUP(B168,Table2[Main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Funeral",_xlfn.XLOOKUP(B169,Table2[Main Member Link ID],Table2[Benefit Name],0)&lt;&gt;Lookups!$D$16),
IF(_xlfn.XLOOKUP(B169,Table2[Main Member Link ID],Table2[Benefit Name],0)=0,"",_xlfn.XLOOKUP(B169,Table2[Main Member Link ID],Table2[Benefit Name],0)),"")
))))</f>
        <v/>
      </c>
      <c r="AH169" s="327" t="str">
        <f>IF(AND(Table2[[#This Row],[Member Type]]="Main Member",Table2[[#This Row],[Product Option]]="My Value Plus Life &amp; Funeral"),Lookups!$D$17,
IF(AND(Table2[[#This Row],[Member Type]]="Spouse",Table2[[#This Row],[Product Option]]="My Value Plus Life &amp; Funeral",_xlfn.XLOOKUP(B169,Table2[Main Member Link ID],Table2[Benefit Name],0)=Lookups!$D$14),"",
IF(AND(Table2[[#This Row],[Member Type]]="Spouse",Table2[[#This Row],[Product Option]]="My Value Plus Life &amp; Funeral",_xlfn.XLOOKUP(B168,Table2[Main Member Link ID],Table2[Benefit Name],0)=Lookups!$D$16),"",
IF(AND(Table2[[#This Row],[Member Type]]="Child",Table2[[#This Row],[Product Option]]="My Value Plus Life &amp; Funeral"),"",
IF(AND(Table2[[#This Row],[Member Type]]="Child",Table2[[#This Row],[Product Option]]="My Value Plus Life &amp; Funeral",_xlfn.XLOOKUP(B169,Table2[Main Member Link ID],Table2[Benefit Name],0)=Lookups!$D$15),"",
IF(AND(OR(Table2[[#This Row],[Member Type]]="Spouse",Table2[[#This Row],[Member Type]]="Child"),Table2[[#This Row],[Product Option]]="My Value Plus Life &amp; Funeral",_xlfn.XLOOKUP(B169,Table2[Main Member Link ID],Table2[Benefit Name],0)&lt;&gt;Lookups!$D$17),
IF(_xlfn.XLOOKUP(B169,Table2[Main Member Link ID],Table2[Benefit Name],0)=0,"",_xlfn.XLOOKUP(B169,Table2[Main Member Link ID],Table2[Benefit Name],0)),""))))))</f>
        <v/>
      </c>
      <c r="AI169" s="328" t="str">
        <f>IF(AND(Table2[[#This Row],[Member Type]]="Main Member",Table2[[#This Row],[Table Lookup for Life Cover]]="MM_LIFE",Table2[[#This Row],[Age Next Birthday]]&lt;56),1,
IF(AND(Table2[[#This Row],[Member Type]]="Main Member",Table2[[#This Row],[Table Lookup for Life Cover]]="MM_LIFE",Table2[[#This Row],[Age Next Birthday]]&gt;=56),2,
""))</f>
        <v/>
      </c>
      <c r="AJ169" s="328">
        <f>IF(OR(Table2[[#This Row],[Member Type]]="Main Member",Table2[[#This Row],[Main Member Link ID]]=B168),1,0)</f>
        <v>1</v>
      </c>
      <c r="AK169" s="328">
        <f>IF(Table2[[#This Row],[Member Type]]=0,0,
IF(OR(Table2[[#This Row],[Member Type]]="Main Member",Table2[[#This Row],[Main Member Link ID]]&lt;&gt;B169),COUNTIFS(B:B,Table2[[#This Row],[Main Member Link ID]]),
COUNTIFS(B:B,Table2[[#This Row],[Main Member Link ID]],A:A,Table2[[#This Row],[Member Type]])))</f>
        <v>0</v>
      </c>
    </row>
    <row r="170" spans="1:37" x14ac:dyDescent="0.3">
      <c r="A170" s="284">
        <f>Table13[[#This Row],[Member Type]]</f>
        <v>0</v>
      </c>
      <c r="B170" s="284">
        <f>Table13[[#This Row],[Main Member Link ID]]</f>
        <v>0</v>
      </c>
      <c r="C170" s="284">
        <f>Table13[[#This Row],[ID Number]]</f>
        <v>0</v>
      </c>
      <c r="D170" s="285">
        <f>Table13[[#This Row],[Date Of Birth]]</f>
        <v>0</v>
      </c>
      <c r="E170" s="285">
        <f>Table13[[#This Row],[Commencement Date]]</f>
        <v>0</v>
      </c>
      <c r="F170" s="284">
        <f t="shared" si="14"/>
        <v>1</v>
      </c>
      <c r="G170" s="284">
        <f t="shared" si="15"/>
        <v>25</v>
      </c>
      <c r="H170" s="286">
        <f>Table13[[#This Row],[Product Option]]</f>
        <v>0</v>
      </c>
      <c r="I170" s="284">
        <f>IF(AND($A170="Main Member",Table2[[#This Row],[Product Option]]="My Value Plus Life"),"MM_LIFE",
IF(AND($A170="Spouse",Table2[[#This Row],[Product Option]]="My Value Plus Life"),"SP_LIFE",
IF(AND($A170="Main Member",Table2[[#This Row],[Product Option]]="My Value Plus Life &amp; Funeral"),"MM_LIFE",
IF(AND($A170="Spouse",Table2[[#This Row],[Product Option]]="My Value Plus Life &amp; Funeral"),_xlfn.XLOOKUP(Table2[[#This Row],[Benefit Name]],Lookups!$D$18:$D$23,Lookups!$E$18:$E$23,0),
0))))</f>
        <v>0</v>
      </c>
      <c r="J170" s="284">
        <f>IF($I170="","",
IF($I170="MM_LIFE",INDEX('Quotation Tool'!$S$54:$V$60,MATCH($T170,'Quotation Tool'!$S$54:$S$60,0),4),
IF($I170="SP_LIFE",_xlfn.XLOOKUP(B169,$B:$B,$J:$J,0),0)))</f>
        <v>0</v>
      </c>
      <c r="K170" s="287">
        <f t="shared" ca="1" si="19"/>
        <v>0</v>
      </c>
      <c r="L170" s="288">
        <f t="shared" ca="1" si="20"/>
        <v>0</v>
      </c>
      <c r="M170" s="289">
        <f t="shared" ca="1" si="16"/>
        <v>0</v>
      </c>
      <c r="N170" s="286">
        <f>Table13[[#This Row],[Benefit Option]]</f>
        <v>0</v>
      </c>
      <c r="O170" s="284">
        <f>IF(OR(Table2[[#This Row],[Member Type]]="Spouse",Table2[[#This Row],[Member Type]]="Child"),0,
IF(_xlfn.XLOOKUP($N170,Lookups!$D$13:$D$27,Lookups!$F$13:$F$27,0)=Table2[[#This Row],[Table Lookup for Life Cover]],0,
_xlfn.XLOOKUP($N170,Lookups!$D$13:$D$27,Lookups!$F$13:$F$27,0)))</f>
        <v>0</v>
      </c>
      <c r="P170" s="284">
        <f>IF(Table2[[#This Row],[Table Lookup for Funeral]]=0,0,IFERROR(INDEX('Quotation Tool'!$S$54:$V$60,MATCH($T170,'Quotation Tool'!$S$54:$S$60,0),3),0))</f>
        <v>0</v>
      </c>
      <c r="Q170" s="288">
        <f ca="1">IF(OR(Table2[[#This Row],[Benefit Name]]="My Value Plus Life - Main Member",Table2[[#This Row],[Benefit Name]]="My Value Plus Life - Spouse"),0,
IFERROR(VLOOKUP($G170,INDIRECT($O170),$P170,FALSE),0))</f>
        <v>0</v>
      </c>
      <c r="R170" s="288">
        <f ca="1">IF(OR(Table2[[#This Row],[Benefit Name]]="My Value Plus Life - Main Member",Table2[[#This Row],[Benefit Name]]="My Value Plus Life - Spouse"),0,
IFERROR(VLOOKUP($G170,INDIRECT($O170),$P170+1,FALSE),0))</f>
        <v>0</v>
      </c>
      <c r="S170" s="289">
        <f t="shared" ca="1" si="17"/>
        <v>0</v>
      </c>
      <c r="T170" s="284" t="str">
        <f>IF(Table13[[#This Row],[Premium Waiver]]="","None",Table13[[#This Row],[Premium Waiver]])</f>
        <v>None</v>
      </c>
      <c r="U170" s="284">
        <f>Table13[[#This Row],[VAPs Options]]</f>
        <v>0</v>
      </c>
      <c r="V170" s="284">
        <f>Table13[[#This Row],[Annual Increase Option]]</f>
        <v>0</v>
      </c>
      <c r="W170" s="290">
        <f>Table13[[#This Row],[Life Cover Amount]]</f>
        <v>0</v>
      </c>
      <c r="X170" s="290">
        <f>Table13[[#This Row],[Funeral Cover Amount]]</f>
        <v>0</v>
      </c>
      <c r="Y17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7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70" s="301">
        <f t="shared" ca="1" si="18"/>
        <v>0</v>
      </c>
      <c r="AB170" s="298"/>
      <c r="AC170" s="326" t="str">
        <f>IF(Table2[[#This Row],[Member Type]]="Main Member",Lookups!$C$13,
IF(Table2[[#This Row],[Member Type]]="Spouse",_xlfn.XLOOKUP(B170,Table2[Main Member Link ID],Table2[Product Option],0),
IF(AND(Table2[[#This Row],[Member Type]]="Child",_xlfn.XLOOKUP(B170,Table2[Main Member Link ID],Table2[Product Option],0)&lt;&gt;"My Value Plus Life"),Lookups!$C$24,
IF(AND(OR(Table2[[#This Row],[Member Type]]="Parent",Table2[[#This Row],[Member Type]]="Extended"),_xlfn.XLOOKUP(B170,Table2[Main Member Link ID],Table2[Product Option],0)&lt;&gt;"My Value Plus Life"),Lookups!$C$26,""))))</f>
        <v/>
      </c>
      <c r="AD170" s="326" t="str">
        <f>IF(Table2[[#This Row],[Member Type]]="Main Member",Lookups!$C$14,"")</f>
        <v/>
      </c>
      <c r="AE17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Funeral",_xlfn.XLOOKUP(B170,Table2[Main Member Link ID],Table2[Benefit Name],0)=Lookups!$D$14),"",
IF(AND(Table2[[#This Row],[Member Type]]="Spouse",Table2[[#This Row],[Product Option]]="My Value Plus Life &amp; Funeral",_xlfn.XLOOKUP(B169,Table2[Main Member Link ID],Table2[Benefit Name],0)=Lookups!$D$15),Lookups!$D$20,
IF(AND(Table2[[#This Row],[Member Type]]="Spouse",Table2[[#This Row],[Product Option]]="My Value Plus Life &amp; Funeral",_xlfn.XLOOKUP(B169,Table2[Main Member Link ID],Table2[Benefit Name],0)=Lookups!$D$16),"",
IF(AND(Table2[[#This Row],[Member Type]]="Spouse",Table2[[#This Row],[Product Option]]="My Value Plus Life &amp; Funeral",_xlfn.XLOOKUP(B169,Table2[Main Member Link ID],Table2[Benefit Name],0)=Lookups!$D$17),Lookups!$D$21,
IF(AND(Table2[[#This Row],[Member Type]]="Child",Table2[[#This Row],[Product Option]]="My Value Plus Life &amp; Funeral",_xlfn.XLOOKUP(B170,Table2[Main Member Link ID],Table2[Benefit Name],0)=Lookups!$D$14),"",
IF(AND(Table2[[#This Row],[Member Type]]="Child",Table2[[#This Row],[Product Option]]="My Value Plus Life &amp; Funeral",_xlfn.XLOOKUP(B170,Table2[Main Member Link ID],Table2[Benefit Name],0)=Lookups!$D$15),"",
IF(AND(Table2[[#This Row],[Member Type]]="Child",Table2[[#This Row],[Product Option]]="My Value Plus Life &amp; Funeral",_xlfn.XLOOKUP(B170,Table2[Main Member Link ID],Table2[Benefit Name],0)=Lookups!$D$16),Lookups!$D$24,
IF(AND(Table2[[#This Row],[Member Type]]="Child",Table2[[#This Row],[Product Option]]="My Value Plus Life &amp; Funeral",_xlfn.XLOOKUP(B170,Table2[Main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Funeral",_xlfn.XLOOKUP(B170,Table2[Main Member Link ID],Table2[Benefit Name],0)&lt;&gt;Lookups!$D$14),
IF(_xlfn.XLOOKUP(B170,Table2[Main Member Link ID],Table2[Benefit Name],0)=0,"",_xlfn.XLOOKUP(B170,Table2[Main Member Link ID],Table2[Benefit Name],0)),"")))))))))))))))</f>
        <v/>
      </c>
      <c r="AF170" s="327" t="str">
        <f>IF(AND(Table2[[#This Row],[Member Type]]="Main Member",Table2[[#This Row],[Product Option]]="My Value Plus Life &amp; Funeral"),Lookups!$D$15,
IF(AND(Table2[[#This Row],[Member Type]]="Spouse",Table2[[#This Row],[Product Option]]="My Value Plus Life &amp; Funeral",_xlfn.XLOOKUP(B170,Table2[Main Member Link ID],Table2[Benefit Name],0)=Lookups!$D$14),"",
IF(AND(Table2[[#This Row],[Member Type]]="Spouse",Table2[[#This Row],[Product Option]]="My Value Plus Life &amp; Funeral",_xlfn.XLOOKUP(B169,Table2[Main Member Link ID],Table2[Benefit Name],0)=Lookups!$D$16),"",
IF(AND(Table2[[#This Row],[Member Type]]="Spouse",Table2[[#This Row],[Product Option]]="My Value Plus Life &amp; Funeral",_xlfn.XLOOKUP(B169,Table2[Main Member Link ID],Table2[Benefit Name],0)=Lookups!$D$15),"",
IF(AND(Table2[[#This Row],[Member Type]]="Spouse",Table2[[#This Row],[Product Option]]="My Value Plus Life &amp; Funeral",_xlfn.XLOOKUP(B169,Table2[Main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Funeral",_xlfn.XLOOKUP(B170,Table2[Main Member Link ID],Table2[Benefit Name],0)&lt;&gt;Lookups!$D$15),
IF(_xlfn.XLOOKUP(B170,Table2[Main Member Link ID],Table2[Benefit Name],0)=0,"",_xlfn.XLOOKUP(B170,Table2[Main Member Link ID],Table2[Benefit Name],0)),"")
))))))</f>
        <v/>
      </c>
      <c r="AG170" s="327" t="str">
        <f>IF(AND(Table2[[#This Row],[Member Type]]="Main Member",Table2[[#This Row],[Product Option]]="My Value Plus Life &amp; Funeral"),Lookups!$D$16,
IF(AND(Table2[[#This Row],[Member Type]]="Spouse",Table2[[#This Row],[Product Option]]="My Value Plus Life &amp; Funeral",_xlfn.XLOOKUP(B170,Table2[Main Member Link ID],Table2[Benefit Name],0)=Lookups!$D$14),"",
IF(AND(Table2[[#This Row],[Member Type]]="Spouse",Table2[[#This Row],[Product Option]]="My Value Plus Life &amp; Funeral",_xlfn.XLOOKUP(B169,Table2[Main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Funeral",_xlfn.XLOOKUP(B170,Table2[Main Member Link ID],Table2[Benefit Name],0)&lt;&gt;Lookups!$D$16),
IF(_xlfn.XLOOKUP(B170,Table2[Main Member Link ID],Table2[Benefit Name],0)=0,"",_xlfn.XLOOKUP(B170,Table2[Main Member Link ID],Table2[Benefit Name],0)),"")
))))</f>
        <v/>
      </c>
      <c r="AH170" s="327" t="str">
        <f>IF(AND(Table2[[#This Row],[Member Type]]="Main Member",Table2[[#This Row],[Product Option]]="My Value Plus Life &amp; Funeral"),Lookups!$D$17,
IF(AND(Table2[[#This Row],[Member Type]]="Spouse",Table2[[#This Row],[Product Option]]="My Value Plus Life &amp; Funeral",_xlfn.XLOOKUP(B170,Table2[Main Member Link ID],Table2[Benefit Name],0)=Lookups!$D$14),"",
IF(AND(Table2[[#This Row],[Member Type]]="Spouse",Table2[[#This Row],[Product Option]]="My Value Plus Life &amp; Funeral",_xlfn.XLOOKUP(B169,Table2[Main Member Link ID],Table2[Benefit Name],0)=Lookups!$D$16),"",
IF(AND(Table2[[#This Row],[Member Type]]="Child",Table2[[#This Row],[Product Option]]="My Value Plus Life &amp; Funeral"),"",
IF(AND(Table2[[#This Row],[Member Type]]="Child",Table2[[#This Row],[Product Option]]="My Value Plus Life &amp; Funeral",_xlfn.XLOOKUP(B170,Table2[Main Member Link ID],Table2[Benefit Name],0)=Lookups!$D$15),"",
IF(AND(OR(Table2[[#This Row],[Member Type]]="Spouse",Table2[[#This Row],[Member Type]]="Child"),Table2[[#This Row],[Product Option]]="My Value Plus Life &amp; Funeral",_xlfn.XLOOKUP(B170,Table2[Main Member Link ID],Table2[Benefit Name],0)&lt;&gt;Lookups!$D$17),
IF(_xlfn.XLOOKUP(B170,Table2[Main Member Link ID],Table2[Benefit Name],0)=0,"",_xlfn.XLOOKUP(B170,Table2[Main Member Link ID],Table2[Benefit Name],0)),""))))))</f>
        <v/>
      </c>
      <c r="AI170" s="328" t="str">
        <f>IF(AND(Table2[[#This Row],[Member Type]]="Main Member",Table2[[#This Row],[Table Lookup for Life Cover]]="MM_LIFE",Table2[[#This Row],[Age Next Birthday]]&lt;56),1,
IF(AND(Table2[[#This Row],[Member Type]]="Main Member",Table2[[#This Row],[Table Lookup for Life Cover]]="MM_LIFE",Table2[[#This Row],[Age Next Birthday]]&gt;=56),2,
""))</f>
        <v/>
      </c>
      <c r="AJ170" s="328">
        <f>IF(OR(Table2[[#This Row],[Member Type]]="Main Member",Table2[[#This Row],[Main Member Link ID]]=B169),1,0)</f>
        <v>1</v>
      </c>
      <c r="AK170" s="328">
        <f>IF(Table2[[#This Row],[Member Type]]=0,0,
IF(OR(Table2[[#This Row],[Member Type]]="Main Member",Table2[[#This Row],[Main Member Link ID]]&lt;&gt;B170),COUNTIFS(B:B,Table2[[#This Row],[Main Member Link ID]]),
COUNTIFS(B:B,Table2[[#This Row],[Main Member Link ID]],A:A,Table2[[#This Row],[Member Type]])))</f>
        <v>0</v>
      </c>
    </row>
    <row r="171" spans="1:37" x14ac:dyDescent="0.3">
      <c r="A171" s="284">
        <f>Table13[[#This Row],[Member Type]]</f>
        <v>0</v>
      </c>
      <c r="B171" s="284">
        <f>Table13[[#This Row],[Main Member Link ID]]</f>
        <v>0</v>
      </c>
      <c r="C171" s="284">
        <f>Table13[[#This Row],[ID Number]]</f>
        <v>0</v>
      </c>
      <c r="D171" s="285">
        <f>Table13[[#This Row],[Date Of Birth]]</f>
        <v>0</v>
      </c>
      <c r="E171" s="285">
        <f>Table13[[#This Row],[Commencement Date]]</f>
        <v>0</v>
      </c>
      <c r="F171" s="284">
        <f t="shared" si="14"/>
        <v>1</v>
      </c>
      <c r="G171" s="284">
        <f t="shared" si="15"/>
        <v>25</v>
      </c>
      <c r="H171" s="286">
        <f>Table13[[#This Row],[Product Option]]</f>
        <v>0</v>
      </c>
      <c r="I171" s="284">
        <f>IF(AND($A171="Main Member",Table2[[#This Row],[Product Option]]="My Value Plus Life"),"MM_LIFE",
IF(AND($A171="Spouse",Table2[[#This Row],[Product Option]]="My Value Plus Life"),"SP_LIFE",
IF(AND($A171="Main Member",Table2[[#This Row],[Product Option]]="My Value Plus Life &amp; Funeral"),"MM_LIFE",
IF(AND($A171="Spouse",Table2[[#This Row],[Product Option]]="My Value Plus Life &amp; Funeral"),_xlfn.XLOOKUP(Table2[[#This Row],[Benefit Name]],Lookups!$D$18:$D$23,Lookups!$E$18:$E$23,0),
0))))</f>
        <v>0</v>
      </c>
      <c r="J171" s="284">
        <f>IF($I171="","",
IF($I171="MM_LIFE",INDEX('Quotation Tool'!$S$54:$V$60,MATCH($T171,'Quotation Tool'!$S$54:$S$60,0),4),
IF($I171="SP_LIFE",_xlfn.XLOOKUP(B170,$B:$B,$J:$J,0),0)))</f>
        <v>0</v>
      </c>
      <c r="K171" s="287">
        <f t="shared" ca="1" si="19"/>
        <v>0</v>
      </c>
      <c r="L171" s="288">
        <f t="shared" ca="1" si="20"/>
        <v>0</v>
      </c>
      <c r="M171" s="289">
        <f t="shared" ca="1" si="16"/>
        <v>0</v>
      </c>
      <c r="N171" s="286">
        <f>Table13[[#This Row],[Benefit Option]]</f>
        <v>0</v>
      </c>
      <c r="O171" s="284">
        <f>IF(OR(Table2[[#This Row],[Member Type]]="Spouse",Table2[[#This Row],[Member Type]]="Child"),0,
IF(_xlfn.XLOOKUP($N171,Lookups!$D$13:$D$27,Lookups!$F$13:$F$27,0)=Table2[[#This Row],[Table Lookup for Life Cover]],0,
_xlfn.XLOOKUP($N171,Lookups!$D$13:$D$27,Lookups!$F$13:$F$27,0)))</f>
        <v>0</v>
      </c>
      <c r="P171" s="284">
        <f>IF(Table2[[#This Row],[Table Lookup for Funeral]]=0,0,IFERROR(INDEX('Quotation Tool'!$S$54:$V$60,MATCH($T171,'Quotation Tool'!$S$54:$S$60,0),3),0))</f>
        <v>0</v>
      </c>
      <c r="Q171" s="288">
        <f ca="1">IF(OR(Table2[[#This Row],[Benefit Name]]="My Value Plus Life - Main Member",Table2[[#This Row],[Benefit Name]]="My Value Plus Life - Spouse"),0,
IFERROR(VLOOKUP($G171,INDIRECT($O171),$P171,FALSE),0))</f>
        <v>0</v>
      </c>
      <c r="R171" s="288">
        <f ca="1">IF(OR(Table2[[#This Row],[Benefit Name]]="My Value Plus Life - Main Member",Table2[[#This Row],[Benefit Name]]="My Value Plus Life - Spouse"),0,
IFERROR(VLOOKUP($G171,INDIRECT($O171),$P171+1,FALSE),0))</f>
        <v>0</v>
      </c>
      <c r="S171" s="289">
        <f t="shared" ca="1" si="17"/>
        <v>0</v>
      </c>
      <c r="T171" s="284" t="str">
        <f>IF(Table13[[#This Row],[Premium Waiver]]="","None",Table13[[#This Row],[Premium Waiver]])</f>
        <v>None</v>
      </c>
      <c r="U171" s="284">
        <f>Table13[[#This Row],[VAPs Options]]</f>
        <v>0</v>
      </c>
      <c r="V171" s="284">
        <f>Table13[[#This Row],[Annual Increase Option]]</f>
        <v>0</v>
      </c>
      <c r="W171" s="290">
        <f>Table13[[#This Row],[Life Cover Amount]]</f>
        <v>0</v>
      </c>
      <c r="X171" s="290">
        <f>Table13[[#This Row],[Funeral Cover Amount]]</f>
        <v>0</v>
      </c>
      <c r="Y17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7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71" s="301">
        <f t="shared" ca="1" si="18"/>
        <v>0</v>
      </c>
      <c r="AB171" s="298"/>
      <c r="AC171" s="326" t="str">
        <f>IF(Table2[[#This Row],[Member Type]]="Main Member",Lookups!$C$13,
IF(Table2[[#This Row],[Member Type]]="Spouse",_xlfn.XLOOKUP(B171,Table2[Main Member Link ID],Table2[Product Option],0),
IF(AND(Table2[[#This Row],[Member Type]]="Child",_xlfn.XLOOKUP(B171,Table2[Main Member Link ID],Table2[Product Option],0)&lt;&gt;"My Value Plus Life"),Lookups!$C$24,
IF(AND(OR(Table2[[#This Row],[Member Type]]="Parent",Table2[[#This Row],[Member Type]]="Extended"),_xlfn.XLOOKUP(B171,Table2[Main Member Link ID],Table2[Product Option],0)&lt;&gt;"My Value Plus Life"),Lookups!$C$26,""))))</f>
        <v/>
      </c>
      <c r="AD171" s="326" t="str">
        <f>IF(Table2[[#This Row],[Member Type]]="Main Member",Lookups!$C$14,"")</f>
        <v/>
      </c>
      <c r="AE17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Funeral",_xlfn.XLOOKUP(B171,Table2[Main Member Link ID],Table2[Benefit Name],0)=Lookups!$D$14),"",
IF(AND(Table2[[#This Row],[Member Type]]="Spouse",Table2[[#This Row],[Product Option]]="My Value Plus Life &amp; Funeral",_xlfn.XLOOKUP(B170,Table2[Main Member Link ID],Table2[Benefit Name],0)=Lookups!$D$15),Lookups!$D$20,
IF(AND(Table2[[#This Row],[Member Type]]="Spouse",Table2[[#This Row],[Product Option]]="My Value Plus Life &amp; Funeral",_xlfn.XLOOKUP(B170,Table2[Main Member Link ID],Table2[Benefit Name],0)=Lookups!$D$16),"",
IF(AND(Table2[[#This Row],[Member Type]]="Spouse",Table2[[#This Row],[Product Option]]="My Value Plus Life &amp; Funeral",_xlfn.XLOOKUP(B170,Table2[Main Member Link ID],Table2[Benefit Name],0)=Lookups!$D$17),Lookups!$D$21,
IF(AND(Table2[[#This Row],[Member Type]]="Child",Table2[[#This Row],[Product Option]]="My Value Plus Life &amp; Funeral",_xlfn.XLOOKUP(B171,Table2[Main Member Link ID],Table2[Benefit Name],0)=Lookups!$D$14),"",
IF(AND(Table2[[#This Row],[Member Type]]="Child",Table2[[#This Row],[Product Option]]="My Value Plus Life &amp; Funeral",_xlfn.XLOOKUP(B171,Table2[Main Member Link ID],Table2[Benefit Name],0)=Lookups!$D$15),"",
IF(AND(Table2[[#This Row],[Member Type]]="Child",Table2[[#This Row],[Product Option]]="My Value Plus Life &amp; Funeral",_xlfn.XLOOKUP(B171,Table2[Main Member Link ID],Table2[Benefit Name],0)=Lookups!$D$16),Lookups!$D$24,
IF(AND(Table2[[#This Row],[Member Type]]="Child",Table2[[#This Row],[Product Option]]="My Value Plus Life &amp; Funeral",_xlfn.XLOOKUP(B171,Table2[Main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Funeral",_xlfn.XLOOKUP(B171,Table2[Main Member Link ID],Table2[Benefit Name],0)&lt;&gt;Lookups!$D$14),
IF(_xlfn.XLOOKUP(B171,Table2[Main Member Link ID],Table2[Benefit Name],0)=0,"",_xlfn.XLOOKUP(B171,Table2[Main Member Link ID],Table2[Benefit Name],0)),"")))))))))))))))</f>
        <v/>
      </c>
      <c r="AF171" s="327" t="str">
        <f>IF(AND(Table2[[#This Row],[Member Type]]="Main Member",Table2[[#This Row],[Product Option]]="My Value Plus Life &amp; Funeral"),Lookups!$D$15,
IF(AND(Table2[[#This Row],[Member Type]]="Spouse",Table2[[#This Row],[Product Option]]="My Value Plus Life &amp; Funeral",_xlfn.XLOOKUP(B171,Table2[Main Member Link ID],Table2[Benefit Name],0)=Lookups!$D$14),"",
IF(AND(Table2[[#This Row],[Member Type]]="Spouse",Table2[[#This Row],[Product Option]]="My Value Plus Life &amp; Funeral",_xlfn.XLOOKUP(B170,Table2[Main Member Link ID],Table2[Benefit Name],0)=Lookups!$D$16),"",
IF(AND(Table2[[#This Row],[Member Type]]="Spouse",Table2[[#This Row],[Product Option]]="My Value Plus Life &amp; Funeral",_xlfn.XLOOKUP(B170,Table2[Main Member Link ID],Table2[Benefit Name],0)=Lookups!$D$15),"",
IF(AND(Table2[[#This Row],[Member Type]]="Spouse",Table2[[#This Row],[Product Option]]="My Value Plus Life &amp; Funeral",_xlfn.XLOOKUP(B170,Table2[Main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Funeral",_xlfn.XLOOKUP(B171,Table2[Main Member Link ID],Table2[Benefit Name],0)&lt;&gt;Lookups!$D$15),
IF(_xlfn.XLOOKUP(B171,Table2[Main Member Link ID],Table2[Benefit Name],0)=0,"",_xlfn.XLOOKUP(B171,Table2[Main Member Link ID],Table2[Benefit Name],0)),"")
))))))</f>
        <v/>
      </c>
      <c r="AG171" s="327" t="str">
        <f>IF(AND(Table2[[#This Row],[Member Type]]="Main Member",Table2[[#This Row],[Product Option]]="My Value Plus Life &amp; Funeral"),Lookups!$D$16,
IF(AND(Table2[[#This Row],[Member Type]]="Spouse",Table2[[#This Row],[Product Option]]="My Value Plus Life &amp; Funeral",_xlfn.XLOOKUP(B171,Table2[Main Member Link ID],Table2[Benefit Name],0)=Lookups!$D$14),"",
IF(AND(Table2[[#This Row],[Member Type]]="Spouse",Table2[[#This Row],[Product Option]]="My Value Plus Life &amp; Funeral",_xlfn.XLOOKUP(B170,Table2[Main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Funeral",_xlfn.XLOOKUP(B171,Table2[Main Member Link ID],Table2[Benefit Name],0)&lt;&gt;Lookups!$D$16),
IF(_xlfn.XLOOKUP(B171,Table2[Main Member Link ID],Table2[Benefit Name],0)=0,"",_xlfn.XLOOKUP(B171,Table2[Main Member Link ID],Table2[Benefit Name],0)),"")
))))</f>
        <v/>
      </c>
      <c r="AH171" s="327" t="str">
        <f>IF(AND(Table2[[#This Row],[Member Type]]="Main Member",Table2[[#This Row],[Product Option]]="My Value Plus Life &amp; Funeral"),Lookups!$D$17,
IF(AND(Table2[[#This Row],[Member Type]]="Spouse",Table2[[#This Row],[Product Option]]="My Value Plus Life &amp; Funeral",_xlfn.XLOOKUP(B171,Table2[Main Member Link ID],Table2[Benefit Name],0)=Lookups!$D$14),"",
IF(AND(Table2[[#This Row],[Member Type]]="Spouse",Table2[[#This Row],[Product Option]]="My Value Plus Life &amp; Funeral",_xlfn.XLOOKUP(B170,Table2[Main Member Link ID],Table2[Benefit Name],0)=Lookups!$D$16),"",
IF(AND(Table2[[#This Row],[Member Type]]="Child",Table2[[#This Row],[Product Option]]="My Value Plus Life &amp; Funeral"),"",
IF(AND(Table2[[#This Row],[Member Type]]="Child",Table2[[#This Row],[Product Option]]="My Value Plus Life &amp; Funeral",_xlfn.XLOOKUP(B171,Table2[Main Member Link ID],Table2[Benefit Name],0)=Lookups!$D$15),"",
IF(AND(OR(Table2[[#This Row],[Member Type]]="Spouse",Table2[[#This Row],[Member Type]]="Child"),Table2[[#This Row],[Product Option]]="My Value Plus Life &amp; Funeral",_xlfn.XLOOKUP(B171,Table2[Main Member Link ID],Table2[Benefit Name],0)&lt;&gt;Lookups!$D$17),
IF(_xlfn.XLOOKUP(B171,Table2[Main Member Link ID],Table2[Benefit Name],0)=0,"",_xlfn.XLOOKUP(B171,Table2[Main Member Link ID],Table2[Benefit Name],0)),""))))))</f>
        <v/>
      </c>
      <c r="AI171" s="328" t="str">
        <f>IF(AND(Table2[[#This Row],[Member Type]]="Main Member",Table2[[#This Row],[Table Lookup for Life Cover]]="MM_LIFE",Table2[[#This Row],[Age Next Birthday]]&lt;56),1,
IF(AND(Table2[[#This Row],[Member Type]]="Main Member",Table2[[#This Row],[Table Lookup for Life Cover]]="MM_LIFE",Table2[[#This Row],[Age Next Birthday]]&gt;=56),2,
""))</f>
        <v/>
      </c>
      <c r="AJ171" s="328">
        <f>IF(OR(Table2[[#This Row],[Member Type]]="Main Member",Table2[[#This Row],[Main Member Link ID]]=B170),1,0)</f>
        <v>1</v>
      </c>
      <c r="AK171" s="328">
        <f>IF(Table2[[#This Row],[Member Type]]=0,0,
IF(OR(Table2[[#This Row],[Member Type]]="Main Member",Table2[[#This Row],[Main Member Link ID]]&lt;&gt;B171),COUNTIFS(B:B,Table2[[#This Row],[Main Member Link ID]]),
COUNTIFS(B:B,Table2[[#This Row],[Main Member Link ID]],A:A,Table2[[#This Row],[Member Type]])))</f>
        <v>0</v>
      </c>
    </row>
    <row r="172" spans="1:37" x14ac:dyDescent="0.3">
      <c r="A172" s="284">
        <f>Table13[[#This Row],[Member Type]]</f>
        <v>0</v>
      </c>
      <c r="B172" s="284">
        <f>Table13[[#This Row],[Main Member Link ID]]</f>
        <v>0</v>
      </c>
      <c r="C172" s="284">
        <f>Table13[[#This Row],[ID Number]]</f>
        <v>0</v>
      </c>
      <c r="D172" s="285">
        <f>Table13[[#This Row],[Date Of Birth]]</f>
        <v>0</v>
      </c>
      <c r="E172" s="285">
        <f>Table13[[#This Row],[Commencement Date]]</f>
        <v>0</v>
      </c>
      <c r="F172" s="284">
        <f t="shared" si="14"/>
        <v>1</v>
      </c>
      <c r="G172" s="284">
        <f t="shared" si="15"/>
        <v>25</v>
      </c>
      <c r="H172" s="286">
        <f>Table13[[#This Row],[Product Option]]</f>
        <v>0</v>
      </c>
      <c r="I172" s="284">
        <f>IF(AND($A172="Main Member",Table2[[#This Row],[Product Option]]="My Value Plus Life"),"MM_LIFE",
IF(AND($A172="Spouse",Table2[[#This Row],[Product Option]]="My Value Plus Life"),"SP_LIFE",
IF(AND($A172="Main Member",Table2[[#This Row],[Product Option]]="My Value Plus Life &amp; Funeral"),"MM_LIFE",
IF(AND($A172="Spouse",Table2[[#This Row],[Product Option]]="My Value Plus Life &amp; Funeral"),_xlfn.XLOOKUP(Table2[[#This Row],[Benefit Name]],Lookups!$D$18:$D$23,Lookups!$E$18:$E$23,0),
0))))</f>
        <v>0</v>
      </c>
      <c r="J172" s="284">
        <f>IF($I172="","",
IF($I172="MM_LIFE",INDEX('Quotation Tool'!$S$54:$V$60,MATCH($T172,'Quotation Tool'!$S$54:$S$60,0),4),
IF($I172="SP_LIFE",_xlfn.XLOOKUP(B171,$B:$B,$J:$J,0),0)))</f>
        <v>0</v>
      </c>
      <c r="K172" s="287">
        <f t="shared" ca="1" si="19"/>
        <v>0</v>
      </c>
      <c r="L172" s="288">
        <f t="shared" ca="1" si="20"/>
        <v>0</v>
      </c>
      <c r="M172" s="289">
        <f t="shared" ca="1" si="16"/>
        <v>0</v>
      </c>
      <c r="N172" s="286">
        <f>Table13[[#This Row],[Benefit Option]]</f>
        <v>0</v>
      </c>
      <c r="O172" s="284">
        <f>IF(OR(Table2[[#This Row],[Member Type]]="Spouse",Table2[[#This Row],[Member Type]]="Child"),0,
IF(_xlfn.XLOOKUP($N172,Lookups!$D$13:$D$27,Lookups!$F$13:$F$27,0)=Table2[[#This Row],[Table Lookup for Life Cover]],0,
_xlfn.XLOOKUP($N172,Lookups!$D$13:$D$27,Lookups!$F$13:$F$27,0)))</f>
        <v>0</v>
      </c>
      <c r="P172" s="284">
        <f>IF(Table2[[#This Row],[Table Lookup for Funeral]]=0,0,IFERROR(INDEX('Quotation Tool'!$S$54:$V$60,MATCH($T172,'Quotation Tool'!$S$54:$S$60,0),3),0))</f>
        <v>0</v>
      </c>
      <c r="Q172" s="288">
        <f ca="1">IF(OR(Table2[[#This Row],[Benefit Name]]="My Value Plus Life - Main Member",Table2[[#This Row],[Benefit Name]]="My Value Plus Life - Spouse"),0,
IFERROR(VLOOKUP($G172,INDIRECT($O172),$P172,FALSE),0))</f>
        <v>0</v>
      </c>
      <c r="R172" s="288">
        <f ca="1">IF(OR(Table2[[#This Row],[Benefit Name]]="My Value Plus Life - Main Member",Table2[[#This Row],[Benefit Name]]="My Value Plus Life - Spouse"),0,
IFERROR(VLOOKUP($G172,INDIRECT($O172),$P172+1,FALSE),0))</f>
        <v>0</v>
      </c>
      <c r="S172" s="289">
        <f t="shared" ca="1" si="17"/>
        <v>0</v>
      </c>
      <c r="T172" s="284" t="str">
        <f>IF(Table13[[#This Row],[Premium Waiver]]="","None",Table13[[#This Row],[Premium Waiver]])</f>
        <v>None</v>
      </c>
      <c r="U172" s="284">
        <f>Table13[[#This Row],[VAPs Options]]</f>
        <v>0</v>
      </c>
      <c r="V172" s="284">
        <f>Table13[[#This Row],[Annual Increase Option]]</f>
        <v>0</v>
      </c>
      <c r="W172" s="290">
        <f>Table13[[#This Row],[Life Cover Amount]]</f>
        <v>0</v>
      </c>
      <c r="X172" s="290">
        <f>Table13[[#This Row],[Funeral Cover Amount]]</f>
        <v>0</v>
      </c>
      <c r="Y17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7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72" s="301">
        <f t="shared" ca="1" si="18"/>
        <v>0</v>
      </c>
      <c r="AB172" s="298"/>
      <c r="AC172" s="326" t="str">
        <f>IF(Table2[[#This Row],[Member Type]]="Main Member",Lookups!$C$13,
IF(Table2[[#This Row],[Member Type]]="Spouse",_xlfn.XLOOKUP(B172,Table2[Main Member Link ID],Table2[Product Option],0),
IF(AND(Table2[[#This Row],[Member Type]]="Child",_xlfn.XLOOKUP(B172,Table2[Main Member Link ID],Table2[Product Option],0)&lt;&gt;"My Value Plus Life"),Lookups!$C$24,
IF(AND(OR(Table2[[#This Row],[Member Type]]="Parent",Table2[[#This Row],[Member Type]]="Extended"),_xlfn.XLOOKUP(B172,Table2[Main Member Link ID],Table2[Product Option],0)&lt;&gt;"My Value Plus Life"),Lookups!$C$26,""))))</f>
        <v/>
      </c>
      <c r="AD172" s="326" t="str">
        <f>IF(Table2[[#This Row],[Member Type]]="Main Member",Lookups!$C$14,"")</f>
        <v/>
      </c>
      <c r="AE17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Funeral",_xlfn.XLOOKUP(B172,Table2[Main Member Link ID],Table2[Benefit Name],0)=Lookups!$D$14),"",
IF(AND(Table2[[#This Row],[Member Type]]="Spouse",Table2[[#This Row],[Product Option]]="My Value Plus Life &amp; Funeral",_xlfn.XLOOKUP(B171,Table2[Main Member Link ID],Table2[Benefit Name],0)=Lookups!$D$15),Lookups!$D$20,
IF(AND(Table2[[#This Row],[Member Type]]="Spouse",Table2[[#This Row],[Product Option]]="My Value Plus Life &amp; Funeral",_xlfn.XLOOKUP(B171,Table2[Main Member Link ID],Table2[Benefit Name],0)=Lookups!$D$16),"",
IF(AND(Table2[[#This Row],[Member Type]]="Spouse",Table2[[#This Row],[Product Option]]="My Value Plus Life &amp; Funeral",_xlfn.XLOOKUP(B171,Table2[Main Member Link ID],Table2[Benefit Name],0)=Lookups!$D$17),Lookups!$D$21,
IF(AND(Table2[[#This Row],[Member Type]]="Child",Table2[[#This Row],[Product Option]]="My Value Plus Life &amp; Funeral",_xlfn.XLOOKUP(B172,Table2[Main Member Link ID],Table2[Benefit Name],0)=Lookups!$D$14),"",
IF(AND(Table2[[#This Row],[Member Type]]="Child",Table2[[#This Row],[Product Option]]="My Value Plus Life &amp; Funeral",_xlfn.XLOOKUP(B172,Table2[Main Member Link ID],Table2[Benefit Name],0)=Lookups!$D$15),"",
IF(AND(Table2[[#This Row],[Member Type]]="Child",Table2[[#This Row],[Product Option]]="My Value Plus Life &amp; Funeral",_xlfn.XLOOKUP(B172,Table2[Main Member Link ID],Table2[Benefit Name],0)=Lookups!$D$16),Lookups!$D$24,
IF(AND(Table2[[#This Row],[Member Type]]="Child",Table2[[#This Row],[Product Option]]="My Value Plus Life &amp; Funeral",_xlfn.XLOOKUP(B172,Table2[Main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Funeral",_xlfn.XLOOKUP(B172,Table2[Main Member Link ID],Table2[Benefit Name],0)&lt;&gt;Lookups!$D$14),
IF(_xlfn.XLOOKUP(B172,Table2[Main Member Link ID],Table2[Benefit Name],0)=0,"",_xlfn.XLOOKUP(B172,Table2[Main Member Link ID],Table2[Benefit Name],0)),"")))))))))))))))</f>
        <v/>
      </c>
      <c r="AF172" s="327" t="str">
        <f>IF(AND(Table2[[#This Row],[Member Type]]="Main Member",Table2[[#This Row],[Product Option]]="My Value Plus Life &amp; Funeral"),Lookups!$D$15,
IF(AND(Table2[[#This Row],[Member Type]]="Spouse",Table2[[#This Row],[Product Option]]="My Value Plus Life &amp; Funeral",_xlfn.XLOOKUP(B172,Table2[Main Member Link ID],Table2[Benefit Name],0)=Lookups!$D$14),"",
IF(AND(Table2[[#This Row],[Member Type]]="Spouse",Table2[[#This Row],[Product Option]]="My Value Plus Life &amp; Funeral",_xlfn.XLOOKUP(B171,Table2[Main Member Link ID],Table2[Benefit Name],0)=Lookups!$D$16),"",
IF(AND(Table2[[#This Row],[Member Type]]="Spouse",Table2[[#This Row],[Product Option]]="My Value Plus Life &amp; Funeral",_xlfn.XLOOKUP(B171,Table2[Main Member Link ID],Table2[Benefit Name],0)=Lookups!$D$15),"",
IF(AND(Table2[[#This Row],[Member Type]]="Spouse",Table2[[#This Row],[Product Option]]="My Value Plus Life &amp; Funeral",_xlfn.XLOOKUP(B171,Table2[Main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Funeral",_xlfn.XLOOKUP(B172,Table2[Main Member Link ID],Table2[Benefit Name],0)&lt;&gt;Lookups!$D$15),
IF(_xlfn.XLOOKUP(B172,Table2[Main Member Link ID],Table2[Benefit Name],0)=0,"",_xlfn.XLOOKUP(B172,Table2[Main Member Link ID],Table2[Benefit Name],0)),"")
))))))</f>
        <v/>
      </c>
      <c r="AG172" s="327" t="str">
        <f>IF(AND(Table2[[#This Row],[Member Type]]="Main Member",Table2[[#This Row],[Product Option]]="My Value Plus Life &amp; Funeral"),Lookups!$D$16,
IF(AND(Table2[[#This Row],[Member Type]]="Spouse",Table2[[#This Row],[Product Option]]="My Value Plus Life &amp; Funeral",_xlfn.XLOOKUP(B172,Table2[Main Member Link ID],Table2[Benefit Name],0)=Lookups!$D$14),"",
IF(AND(Table2[[#This Row],[Member Type]]="Spouse",Table2[[#This Row],[Product Option]]="My Value Plus Life &amp; Funeral",_xlfn.XLOOKUP(B171,Table2[Main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Funeral",_xlfn.XLOOKUP(B172,Table2[Main Member Link ID],Table2[Benefit Name],0)&lt;&gt;Lookups!$D$16),
IF(_xlfn.XLOOKUP(B172,Table2[Main Member Link ID],Table2[Benefit Name],0)=0,"",_xlfn.XLOOKUP(B172,Table2[Main Member Link ID],Table2[Benefit Name],0)),"")
))))</f>
        <v/>
      </c>
      <c r="AH172" s="327" t="str">
        <f>IF(AND(Table2[[#This Row],[Member Type]]="Main Member",Table2[[#This Row],[Product Option]]="My Value Plus Life &amp; Funeral"),Lookups!$D$17,
IF(AND(Table2[[#This Row],[Member Type]]="Spouse",Table2[[#This Row],[Product Option]]="My Value Plus Life &amp; Funeral",_xlfn.XLOOKUP(B172,Table2[Main Member Link ID],Table2[Benefit Name],0)=Lookups!$D$14),"",
IF(AND(Table2[[#This Row],[Member Type]]="Spouse",Table2[[#This Row],[Product Option]]="My Value Plus Life &amp; Funeral",_xlfn.XLOOKUP(B171,Table2[Main Member Link ID],Table2[Benefit Name],0)=Lookups!$D$16),"",
IF(AND(Table2[[#This Row],[Member Type]]="Child",Table2[[#This Row],[Product Option]]="My Value Plus Life &amp; Funeral"),"",
IF(AND(Table2[[#This Row],[Member Type]]="Child",Table2[[#This Row],[Product Option]]="My Value Plus Life &amp; Funeral",_xlfn.XLOOKUP(B172,Table2[Main Member Link ID],Table2[Benefit Name],0)=Lookups!$D$15),"",
IF(AND(OR(Table2[[#This Row],[Member Type]]="Spouse",Table2[[#This Row],[Member Type]]="Child"),Table2[[#This Row],[Product Option]]="My Value Plus Life &amp; Funeral",_xlfn.XLOOKUP(B172,Table2[Main Member Link ID],Table2[Benefit Name],0)&lt;&gt;Lookups!$D$17),
IF(_xlfn.XLOOKUP(B172,Table2[Main Member Link ID],Table2[Benefit Name],0)=0,"",_xlfn.XLOOKUP(B172,Table2[Main Member Link ID],Table2[Benefit Name],0)),""))))))</f>
        <v/>
      </c>
      <c r="AI172" s="328" t="str">
        <f>IF(AND(Table2[[#This Row],[Member Type]]="Main Member",Table2[[#This Row],[Table Lookup for Life Cover]]="MM_LIFE",Table2[[#This Row],[Age Next Birthday]]&lt;56),1,
IF(AND(Table2[[#This Row],[Member Type]]="Main Member",Table2[[#This Row],[Table Lookup for Life Cover]]="MM_LIFE",Table2[[#This Row],[Age Next Birthday]]&gt;=56),2,
""))</f>
        <v/>
      </c>
      <c r="AJ172" s="328">
        <f>IF(OR(Table2[[#This Row],[Member Type]]="Main Member",Table2[[#This Row],[Main Member Link ID]]=B171),1,0)</f>
        <v>1</v>
      </c>
      <c r="AK172" s="328">
        <f>IF(Table2[[#This Row],[Member Type]]=0,0,
IF(OR(Table2[[#This Row],[Member Type]]="Main Member",Table2[[#This Row],[Main Member Link ID]]&lt;&gt;B172),COUNTIFS(B:B,Table2[[#This Row],[Main Member Link ID]]),
COUNTIFS(B:B,Table2[[#This Row],[Main Member Link ID]],A:A,Table2[[#This Row],[Member Type]])))</f>
        <v>0</v>
      </c>
    </row>
    <row r="173" spans="1:37" x14ac:dyDescent="0.3">
      <c r="A173" s="284">
        <f>Table13[[#This Row],[Member Type]]</f>
        <v>0</v>
      </c>
      <c r="B173" s="284">
        <f>Table13[[#This Row],[Main Member Link ID]]</f>
        <v>0</v>
      </c>
      <c r="C173" s="284">
        <f>Table13[[#This Row],[ID Number]]</f>
        <v>0</v>
      </c>
      <c r="D173" s="285">
        <f>Table13[[#This Row],[Date Of Birth]]</f>
        <v>0</v>
      </c>
      <c r="E173" s="285">
        <f>Table13[[#This Row],[Commencement Date]]</f>
        <v>0</v>
      </c>
      <c r="F173" s="284">
        <f t="shared" si="14"/>
        <v>1</v>
      </c>
      <c r="G173" s="284">
        <f t="shared" si="15"/>
        <v>25</v>
      </c>
      <c r="H173" s="286">
        <f>Table13[[#This Row],[Product Option]]</f>
        <v>0</v>
      </c>
      <c r="I173" s="284">
        <f>IF(AND($A173="Main Member",Table2[[#This Row],[Product Option]]="My Value Plus Life"),"MM_LIFE",
IF(AND($A173="Spouse",Table2[[#This Row],[Product Option]]="My Value Plus Life"),"SP_LIFE",
IF(AND($A173="Main Member",Table2[[#This Row],[Product Option]]="My Value Plus Life &amp; Funeral"),"MM_LIFE",
IF(AND($A173="Spouse",Table2[[#This Row],[Product Option]]="My Value Plus Life &amp; Funeral"),_xlfn.XLOOKUP(Table2[[#This Row],[Benefit Name]],Lookups!$D$18:$D$23,Lookups!$E$18:$E$23,0),
0))))</f>
        <v>0</v>
      </c>
      <c r="J173" s="284">
        <f>IF($I173="","",
IF($I173="MM_LIFE",INDEX('Quotation Tool'!$S$54:$V$60,MATCH($T173,'Quotation Tool'!$S$54:$S$60,0),4),
IF($I173="SP_LIFE",_xlfn.XLOOKUP(B172,$B:$B,$J:$J,0),0)))</f>
        <v>0</v>
      </c>
      <c r="K173" s="287">
        <f t="shared" ca="1" si="19"/>
        <v>0</v>
      </c>
      <c r="L173" s="288">
        <f t="shared" ca="1" si="20"/>
        <v>0</v>
      </c>
      <c r="M173" s="289">
        <f t="shared" ca="1" si="16"/>
        <v>0</v>
      </c>
      <c r="N173" s="286">
        <f>Table13[[#This Row],[Benefit Option]]</f>
        <v>0</v>
      </c>
      <c r="O173" s="284">
        <f>IF(OR(Table2[[#This Row],[Member Type]]="Spouse",Table2[[#This Row],[Member Type]]="Child"),0,
IF(_xlfn.XLOOKUP($N173,Lookups!$D$13:$D$27,Lookups!$F$13:$F$27,0)=Table2[[#This Row],[Table Lookup for Life Cover]],0,
_xlfn.XLOOKUP($N173,Lookups!$D$13:$D$27,Lookups!$F$13:$F$27,0)))</f>
        <v>0</v>
      </c>
      <c r="P173" s="284">
        <f>IF(Table2[[#This Row],[Table Lookup for Funeral]]=0,0,IFERROR(INDEX('Quotation Tool'!$S$54:$V$60,MATCH($T173,'Quotation Tool'!$S$54:$S$60,0),3),0))</f>
        <v>0</v>
      </c>
      <c r="Q173" s="288">
        <f ca="1">IF(OR(Table2[[#This Row],[Benefit Name]]="My Value Plus Life - Main Member",Table2[[#This Row],[Benefit Name]]="My Value Plus Life - Spouse"),0,
IFERROR(VLOOKUP($G173,INDIRECT($O173),$P173,FALSE),0))</f>
        <v>0</v>
      </c>
      <c r="R173" s="288">
        <f ca="1">IF(OR(Table2[[#This Row],[Benefit Name]]="My Value Plus Life - Main Member",Table2[[#This Row],[Benefit Name]]="My Value Plus Life - Spouse"),0,
IFERROR(VLOOKUP($G173,INDIRECT($O173),$P173+1,FALSE),0))</f>
        <v>0</v>
      </c>
      <c r="S173" s="289">
        <f t="shared" ca="1" si="17"/>
        <v>0</v>
      </c>
      <c r="T173" s="284" t="str">
        <f>IF(Table13[[#This Row],[Premium Waiver]]="","None",Table13[[#This Row],[Premium Waiver]])</f>
        <v>None</v>
      </c>
      <c r="U173" s="284">
        <f>Table13[[#This Row],[VAPs Options]]</f>
        <v>0</v>
      </c>
      <c r="V173" s="284">
        <f>Table13[[#This Row],[Annual Increase Option]]</f>
        <v>0</v>
      </c>
      <c r="W173" s="290">
        <f>Table13[[#This Row],[Life Cover Amount]]</f>
        <v>0</v>
      </c>
      <c r="X173" s="290">
        <f>Table13[[#This Row],[Funeral Cover Amount]]</f>
        <v>0</v>
      </c>
      <c r="Y17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7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73" s="301">
        <f t="shared" ca="1" si="18"/>
        <v>0</v>
      </c>
      <c r="AB173" s="298"/>
      <c r="AC173" s="326" t="str">
        <f>IF(Table2[[#This Row],[Member Type]]="Main Member",Lookups!$C$13,
IF(Table2[[#This Row],[Member Type]]="Spouse",_xlfn.XLOOKUP(B173,Table2[Main Member Link ID],Table2[Product Option],0),
IF(AND(Table2[[#This Row],[Member Type]]="Child",_xlfn.XLOOKUP(B173,Table2[Main Member Link ID],Table2[Product Option],0)&lt;&gt;"My Value Plus Life"),Lookups!$C$24,
IF(AND(OR(Table2[[#This Row],[Member Type]]="Parent",Table2[[#This Row],[Member Type]]="Extended"),_xlfn.XLOOKUP(B173,Table2[Main Member Link ID],Table2[Product Option],0)&lt;&gt;"My Value Plus Life"),Lookups!$C$26,""))))</f>
        <v/>
      </c>
      <c r="AD173" s="326" t="str">
        <f>IF(Table2[[#This Row],[Member Type]]="Main Member",Lookups!$C$14,"")</f>
        <v/>
      </c>
      <c r="AE17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Funeral",_xlfn.XLOOKUP(B173,Table2[Main Member Link ID],Table2[Benefit Name],0)=Lookups!$D$14),"",
IF(AND(Table2[[#This Row],[Member Type]]="Spouse",Table2[[#This Row],[Product Option]]="My Value Plus Life &amp; Funeral",_xlfn.XLOOKUP(B172,Table2[Main Member Link ID],Table2[Benefit Name],0)=Lookups!$D$15),Lookups!$D$20,
IF(AND(Table2[[#This Row],[Member Type]]="Spouse",Table2[[#This Row],[Product Option]]="My Value Plus Life &amp; Funeral",_xlfn.XLOOKUP(B172,Table2[Main Member Link ID],Table2[Benefit Name],0)=Lookups!$D$16),"",
IF(AND(Table2[[#This Row],[Member Type]]="Spouse",Table2[[#This Row],[Product Option]]="My Value Plus Life &amp; Funeral",_xlfn.XLOOKUP(B172,Table2[Main Member Link ID],Table2[Benefit Name],0)=Lookups!$D$17),Lookups!$D$21,
IF(AND(Table2[[#This Row],[Member Type]]="Child",Table2[[#This Row],[Product Option]]="My Value Plus Life &amp; Funeral",_xlfn.XLOOKUP(B173,Table2[Main Member Link ID],Table2[Benefit Name],0)=Lookups!$D$14),"",
IF(AND(Table2[[#This Row],[Member Type]]="Child",Table2[[#This Row],[Product Option]]="My Value Plus Life &amp; Funeral",_xlfn.XLOOKUP(B173,Table2[Main Member Link ID],Table2[Benefit Name],0)=Lookups!$D$15),"",
IF(AND(Table2[[#This Row],[Member Type]]="Child",Table2[[#This Row],[Product Option]]="My Value Plus Life &amp; Funeral",_xlfn.XLOOKUP(B173,Table2[Main Member Link ID],Table2[Benefit Name],0)=Lookups!$D$16),Lookups!$D$24,
IF(AND(Table2[[#This Row],[Member Type]]="Child",Table2[[#This Row],[Product Option]]="My Value Plus Life &amp; Funeral",_xlfn.XLOOKUP(B173,Table2[Main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Funeral",_xlfn.XLOOKUP(B173,Table2[Main Member Link ID],Table2[Benefit Name],0)&lt;&gt;Lookups!$D$14),
IF(_xlfn.XLOOKUP(B173,Table2[Main Member Link ID],Table2[Benefit Name],0)=0,"",_xlfn.XLOOKUP(B173,Table2[Main Member Link ID],Table2[Benefit Name],0)),"")))))))))))))))</f>
        <v/>
      </c>
      <c r="AF173" s="327" t="str">
        <f>IF(AND(Table2[[#This Row],[Member Type]]="Main Member",Table2[[#This Row],[Product Option]]="My Value Plus Life &amp; Funeral"),Lookups!$D$15,
IF(AND(Table2[[#This Row],[Member Type]]="Spouse",Table2[[#This Row],[Product Option]]="My Value Plus Life &amp; Funeral",_xlfn.XLOOKUP(B173,Table2[Main Member Link ID],Table2[Benefit Name],0)=Lookups!$D$14),"",
IF(AND(Table2[[#This Row],[Member Type]]="Spouse",Table2[[#This Row],[Product Option]]="My Value Plus Life &amp; Funeral",_xlfn.XLOOKUP(B172,Table2[Main Member Link ID],Table2[Benefit Name],0)=Lookups!$D$16),"",
IF(AND(Table2[[#This Row],[Member Type]]="Spouse",Table2[[#This Row],[Product Option]]="My Value Plus Life &amp; Funeral",_xlfn.XLOOKUP(B172,Table2[Main Member Link ID],Table2[Benefit Name],0)=Lookups!$D$15),"",
IF(AND(Table2[[#This Row],[Member Type]]="Spouse",Table2[[#This Row],[Product Option]]="My Value Plus Life &amp; Funeral",_xlfn.XLOOKUP(B172,Table2[Main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Funeral",_xlfn.XLOOKUP(B173,Table2[Main Member Link ID],Table2[Benefit Name],0)&lt;&gt;Lookups!$D$15),
IF(_xlfn.XLOOKUP(B173,Table2[Main Member Link ID],Table2[Benefit Name],0)=0,"",_xlfn.XLOOKUP(B173,Table2[Main Member Link ID],Table2[Benefit Name],0)),"")
))))))</f>
        <v/>
      </c>
      <c r="AG173" s="327" t="str">
        <f>IF(AND(Table2[[#This Row],[Member Type]]="Main Member",Table2[[#This Row],[Product Option]]="My Value Plus Life &amp; Funeral"),Lookups!$D$16,
IF(AND(Table2[[#This Row],[Member Type]]="Spouse",Table2[[#This Row],[Product Option]]="My Value Plus Life &amp; Funeral",_xlfn.XLOOKUP(B173,Table2[Main Member Link ID],Table2[Benefit Name],0)=Lookups!$D$14),"",
IF(AND(Table2[[#This Row],[Member Type]]="Spouse",Table2[[#This Row],[Product Option]]="My Value Plus Life &amp; Funeral",_xlfn.XLOOKUP(B172,Table2[Main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Funeral",_xlfn.XLOOKUP(B173,Table2[Main Member Link ID],Table2[Benefit Name],0)&lt;&gt;Lookups!$D$16),
IF(_xlfn.XLOOKUP(B173,Table2[Main Member Link ID],Table2[Benefit Name],0)=0,"",_xlfn.XLOOKUP(B173,Table2[Main Member Link ID],Table2[Benefit Name],0)),"")
))))</f>
        <v/>
      </c>
      <c r="AH173" s="327" t="str">
        <f>IF(AND(Table2[[#This Row],[Member Type]]="Main Member",Table2[[#This Row],[Product Option]]="My Value Plus Life &amp; Funeral"),Lookups!$D$17,
IF(AND(Table2[[#This Row],[Member Type]]="Spouse",Table2[[#This Row],[Product Option]]="My Value Plus Life &amp; Funeral",_xlfn.XLOOKUP(B173,Table2[Main Member Link ID],Table2[Benefit Name],0)=Lookups!$D$14),"",
IF(AND(Table2[[#This Row],[Member Type]]="Spouse",Table2[[#This Row],[Product Option]]="My Value Plus Life &amp; Funeral",_xlfn.XLOOKUP(B172,Table2[Main Member Link ID],Table2[Benefit Name],0)=Lookups!$D$16),"",
IF(AND(Table2[[#This Row],[Member Type]]="Child",Table2[[#This Row],[Product Option]]="My Value Plus Life &amp; Funeral"),"",
IF(AND(Table2[[#This Row],[Member Type]]="Child",Table2[[#This Row],[Product Option]]="My Value Plus Life &amp; Funeral",_xlfn.XLOOKUP(B173,Table2[Main Member Link ID],Table2[Benefit Name],0)=Lookups!$D$15),"",
IF(AND(OR(Table2[[#This Row],[Member Type]]="Spouse",Table2[[#This Row],[Member Type]]="Child"),Table2[[#This Row],[Product Option]]="My Value Plus Life &amp; Funeral",_xlfn.XLOOKUP(B173,Table2[Main Member Link ID],Table2[Benefit Name],0)&lt;&gt;Lookups!$D$17),
IF(_xlfn.XLOOKUP(B173,Table2[Main Member Link ID],Table2[Benefit Name],0)=0,"",_xlfn.XLOOKUP(B173,Table2[Main Member Link ID],Table2[Benefit Name],0)),""))))))</f>
        <v/>
      </c>
      <c r="AI173" s="328" t="str">
        <f>IF(AND(Table2[[#This Row],[Member Type]]="Main Member",Table2[[#This Row],[Table Lookup for Life Cover]]="MM_LIFE",Table2[[#This Row],[Age Next Birthday]]&lt;56),1,
IF(AND(Table2[[#This Row],[Member Type]]="Main Member",Table2[[#This Row],[Table Lookup for Life Cover]]="MM_LIFE",Table2[[#This Row],[Age Next Birthday]]&gt;=56),2,
""))</f>
        <v/>
      </c>
      <c r="AJ173" s="328">
        <f>IF(OR(Table2[[#This Row],[Member Type]]="Main Member",Table2[[#This Row],[Main Member Link ID]]=B172),1,0)</f>
        <v>1</v>
      </c>
      <c r="AK173" s="328">
        <f>IF(Table2[[#This Row],[Member Type]]=0,0,
IF(OR(Table2[[#This Row],[Member Type]]="Main Member",Table2[[#This Row],[Main Member Link ID]]&lt;&gt;B173),COUNTIFS(B:B,Table2[[#This Row],[Main Member Link ID]]),
COUNTIFS(B:B,Table2[[#This Row],[Main Member Link ID]],A:A,Table2[[#This Row],[Member Type]])))</f>
        <v>0</v>
      </c>
    </row>
    <row r="174" spans="1:37" x14ac:dyDescent="0.3">
      <c r="A174" s="284">
        <f>Table13[[#This Row],[Member Type]]</f>
        <v>0</v>
      </c>
      <c r="B174" s="284">
        <f>Table13[[#This Row],[Main Member Link ID]]</f>
        <v>0</v>
      </c>
      <c r="C174" s="284">
        <f>Table13[[#This Row],[ID Number]]</f>
        <v>0</v>
      </c>
      <c r="D174" s="285">
        <f>Table13[[#This Row],[Date Of Birth]]</f>
        <v>0</v>
      </c>
      <c r="E174" s="285">
        <f>Table13[[#This Row],[Commencement Date]]</f>
        <v>0</v>
      </c>
      <c r="F174" s="284">
        <f t="shared" si="14"/>
        <v>1</v>
      </c>
      <c r="G174" s="284">
        <f t="shared" si="15"/>
        <v>25</v>
      </c>
      <c r="H174" s="286">
        <f>Table13[[#This Row],[Product Option]]</f>
        <v>0</v>
      </c>
      <c r="I174" s="284">
        <f>IF(AND($A174="Main Member",Table2[[#This Row],[Product Option]]="My Value Plus Life"),"MM_LIFE",
IF(AND($A174="Spouse",Table2[[#This Row],[Product Option]]="My Value Plus Life"),"SP_LIFE",
IF(AND($A174="Main Member",Table2[[#This Row],[Product Option]]="My Value Plus Life &amp; Funeral"),"MM_LIFE",
IF(AND($A174="Spouse",Table2[[#This Row],[Product Option]]="My Value Plus Life &amp; Funeral"),_xlfn.XLOOKUP(Table2[[#This Row],[Benefit Name]],Lookups!$D$18:$D$23,Lookups!$E$18:$E$23,0),
0))))</f>
        <v>0</v>
      </c>
      <c r="J174" s="284">
        <f>IF($I174="","",
IF($I174="MM_LIFE",INDEX('Quotation Tool'!$S$54:$V$60,MATCH($T174,'Quotation Tool'!$S$54:$S$60,0),4),
IF($I174="SP_LIFE",_xlfn.XLOOKUP(B173,$B:$B,$J:$J,0),0)))</f>
        <v>0</v>
      </c>
      <c r="K174" s="287">
        <f t="shared" ca="1" si="19"/>
        <v>0</v>
      </c>
      <c r="L174" s="288">
        <f t="shared" ca="1" si="20"/>
        <v>0</v>
      </c>
      <c r="M174" s="289">
        <f t="shared" ca="1" si="16"/>
        <v>0</v>
      </c>
      <c r="N174" s="286">
        <f>Table13[[#This Row],[Benefit Option]]</f>
        <v>0</v>
      </c>
      <c r="O174" s="284">
        <f>IF(OR(Table2[[#This Row],[Member Type]]="Spouse",Table2[[#This Row],[Member Type]]="Child"),0,
IF(_xlfn.XLOOKUP($N174,Lookups!$D$13:$D$27,Lookups!$F$13:$F$27,0)=Table2[[#This Row],[Table Lookup for Life Cover]],0,
_xlfn.XLOOKUP($N174,Lookups!$D$13:$D$27,Lookups!$F$13:$F$27,0)))</f>
        <v>0</v>
      </c>
      <c r="P174" s="284">
        <f>IF(Table2[[#This Row],[Table Lookup for Funeral]]=0,0,IFERROR(INDEX('Quotation Tool'!$S$54:$V$60,MATCH($T174,'Quotation Tool'!$S$54:$S$60,0),3),0))</f>
        <v>0</v>
      </c>
      <c r="Q174" s="288">
        <f ca="1">IF(OR(Table2[[#This Row],[Benefit Name]]="My Value Plus Life - Main Member",Table2[[#This Row],[Benefit Name]]="My Value Plus Life - Spouse"),0,
IFERROR(VLOOKUP($G174,INDIRECT($O174),$P174,FALSE),0))</f>
        <v>0</v>
      </c>
      <c r="R174" s="288">
        <f ca="1">IF(OR(Table2[[#This Row],[Benefit Name]]="My Value Plus Life - Main Member",Table2[[#This Row],[Benefit Name]]="My Value Plus Life - Spouse"),0,
IFERROR(VLOOKUP($G174,INDIRECT($O174),$P174+1,FALSE),0))</f>
        <v>0</v>
      </c>
      <c r="S174" s="289">
        <f t="shared" ca="1" si="17"/>
        <v>0</v>
      </c>
      <c r="T174" s="284" t="str">
        <f>IF(Table13[[#This Row],[Premium Waiver]]="","None",Table13[[#This Row],[Premium Waiver]])</f>
        <v>None</v>
      </c>
      <c r="U174" s="284">
        <f>Table13[[#This Row],[VAPs Options]]</f>
        <v>0</v>
      </c>
      <c r="V174" s="284">
        <f>Table13[[#This Row],[Annual Increase Option]]</f>
        <v>0</v>
      </c>
      <c r="W174" s="290">
        <f>Table13[[#This Row],[Life Cover Amount]]</f>
        <v>0</v>
      </c>
      <c r="X174" s="290">
        <f>Table13[[#This Row],[Funeral Cover Amount]]</f>
        <v>0</v>
      </c>
      <c r="Y17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7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74" s="301">
        <f t="shared" ca="1" si="18"/>
        <v>0</v>
      </c>
      <c r="AB174" s="298"/>
      <c r="AC174" s="326" t="str">
        <f>IF(Table2[[#This Row],[Member Type]]="Main Member",Lookups!$C$13,
IF(Table2[[#This Row],[Member Type]]="Spouse",_xlfn.XLOOKUP(B174,Table2[Main Member Link ID],Table2[Product Option],0),
IF(AND(Table2[[#This Row],[Member Type]]="Child",_xlfn.XLOOKUP(B174,Table2[Main Member Link ID],Table2[Product Option],0)&lt;&gt;"My Value Plus Life"),Lookups!$C$24,
IF(AND(OR(Table2[[#This Row],[Member Type]]="Parent",Table2[[#This Row],[Member Type]]="Extended"),_xlfn.XLOOKUP(B174,Table2[Main Member Link ID],Table2[Product Option],0)&lt;&gt;"My Value Plus Life"),Lookups!$C$26,""))))</f>
        <v/>
      </c>
      <c r="AD174" s="326" t="str">
        <f>IF(Table2[[#This Row],[Member Type]]="Main Member",Lookups!$C$14,"")</f>
        <v/>
      </c>
      <c r="AE17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Funeral",_xlfn.XLOOKUP(B174,Table2[Main Member Link ID],Table2[Benefit Name],0)=Lookups!$D$14),"",
IF(AND(Table2[[#This Row],[Member Type]]="Spouse",Table2[[#This Row],[Product Option]]="My Value Plus Life &amp; Funeral",_xlfn.XLOOKUP(B173,Table2[Main Member Link ID],Table2[Benefit Name],0)=Lookups!$D$15),Lookups!$D$20,
IF(AND(Table2[[#This Row],[Member Type]]="Spouse",Table2[[#This Row],[Product Option]]="My Value Plus Life &amp; Funeral",_xlfn.XLOOKUP(B173,Table2[Main Member Link ID],Table2[Benefit Name],0)=Lookups!$D$16),"",
IF(AND(Table2[[#This Row],[Member Type]]="Spouse",Table2[[#This Row],[Product Option]]="My Value Plus Life &amp; Funeral",_xlfn.XLOOKUP(B173,Table2[Main Member Link ID],Table2[Benefit Name],0)=Lookups!$D$17),Lookups!$D$21,
IF(AND(Table2[[#This Row],[Member Type]]="Child",Table2[[#This Row],[Product Option]]="My Value Plus Life &amp; Funeral",_xlfn.XLOOKUP(B174,Table2[Main Member Link ID],Table2[Benefit Name],0)=Lookups!$D$14),"",
IF(AND(Table2[[#This Row],[Member Type]]="Child",Table2[[#This Row],[Product Option]]="My Value Plus Life &amp; Funeral",_xlfn.XLOOKUP(B174,Table2[Main Member Link ID],Table2[Benefit Name],0)=Lookups!$D$15),"",
IF(AND(Table2[[#This Row],[Member Type]]="Child",Table2[[#This Row],[Product Option]]="My Value Plus Life &amp; Funeral",_xlfn.XLOOKUP(B174,Table2[Main Member Link ID],Table2[Benefit Name],0)=Lookups!$D$16),Lookups!$D$24,
IF(AND(Table2[[#This Row],[Member Type]]="Child",Table2[[#This Row],[Product Option]]="My Value Plus Life &amp; Funeral",_xlfn.XLOOKUP(B174,Table2[Main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Funeral",_xlfn.XLOOKUP(B174,Table2[Main Member Link ID],Table2[Benefit Name],0)&lt;&gt;Lookups!$D$14),
IF(_xlfn.XLOOKUP(B174,Table2[Main Member Link ID],Table2[Benefit Name],0)=0,"",_xlfn.XLOOKUP(B174,Table2[Main Member Link ID],Table2[Benefit Name],0)),"")))))))))))))))</f>
        <v/>
      </c>
      <c r="AF174" s="327" t="str">
        <f>IF(AND(Table2[[#This Row],[Member Type]]="Main Member",Table2[[#This Row],[Product Option]]="My Value Plus Life &amp; Funeral"),Lookups!$D$15,
IF(AND(Table2[[#This Row],[Member Type]]="Spouse",Table2[[#This Row],[Product Option]]="My Value Plus Life &amp; Funeral",_xlfn.XLOOKUP(B174,Table2[Main Member Link ID],Table2[Benefit Name],0)=Lookups!$D$14),"",
IF(AND(Table2[[#This Row],[Member Type]]="Spouse",Table2[[#This Row],[Product Option]]="My Value Plus Life &amp; Funeral",_xlfn.XLOOKUP(B173,Table2[Main Member Link ID],Table2[Benefit Name],0)=Lookups!$D$16),"",
IF(AND(Table2[[#This Row],[Member Type]]="Spouse",Table2[[#This Row],[Product Option]]="My Value Plus Life &amp; Funeral",_xlfn.XLOOKUP(B173,Table2[Main Member Link ID],Table2[Benefit Name],0)=Lookups!$D$15),"",
IF(AND(Table2[[#This Row],[Member Type]]="Spouse",Table2[[#This Row],[Product Option]]="My Value Plus Life &amp; Funeral",_xlfn.XLOOKUP(B173,Table2[Main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Funeral",_xlfn.XLOOKUP(B174,Table2[Main Member Link ID],Table2[Benefit Name],0)&lt;&gt;Lookups!$D$15),
IF(_xlfn.XLOOKUP(B174,Table2[Main Member Link ID],Table2[Benefit Name],0)=0,"",_xlfn.XLOOKUP(B174,Table2[Main Member Link ID],Table2[Benefit Name],0)),"")
))))))</f>
        <v/>
      </c>
      <c r="AG174" s="327" t="str">
        <f>IF(AND(Table2[[#This Row],[Member Type]]="Main Member",Table2[[#This Row],[Product Option]]="My Value Plus Life &amp; Funeral"),Lookups!$D$16,
IF(AND(Table2[[#This Row],[Member Type]]="Spouse",Table2[[#This Row],[Product Option]]="My Value Plus Life &amp; Funeral",_xlfn.XLOOKUP(B174,Table2[Main Member Link ID],Table2[Benefit Name],0)=Lookups!$D$14),"",
IF(AND(Table2[[#This Row],[Member Type]]="Spouse",Table2[[#This Row],[Product Option]]="My Value Plus Life &amp; Funeral",_xlfn.XLOOKUP(B173,Table2[Main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Funeral",_xlfn.XLOOKUP(B174,Table2[Main Member Link ID],Table2[Benefit Name],0)&lt;&gt;Lookups!$D$16),
IF(_xlfn.XLOOKUP(B174,Table2[Main Member Link ID],Table2[Benefit Name],0)=0,"",_xlfn.XLOOKUP(B174,Table2[Main Member Link ID],Table2[Benefit Name],0)),"")
))))</f>
        <v/>
      </c>
      <c r="AH174" s="327" t="str">
        <f>IF(AND(Table2[[#This Row],[Member Type]]="Main Member",Table2[[#This Row],[Product Option]]="My Value Plus Life &amp; Funeral"),Lookups!$D$17,
IF(AND(Table2[[#This Row],[Member Type]]="Spouse",Table2[[#This Row],[Product Option]]="My Value Plus Life &amp; Funeral",_xlfn.XLOOKUP(B174,Table2[Main Member Link ID],Table2[Benefit Name],0)=Lookups!$D$14),"",
IF(AND(Table2[[#This Row],[Member Type]]="Spouse",Table2[[#This Row],[Product Option]]="My Value Plus Life &amp; Funeral",_xlfn.XLOOKUP(B173,Table2[Main Member Link ID],Table2[Benefit Name],0)=Lookups!$D$16),"",
IF(AND(Table2[[#This Row],[Member Type]]="Child",Table2[[#This Row],[Product Option]]="My Value Plus Life &amp; Funeral"),"",
IF(AND(Table2[[#This Row],[Member Type]]="Child",Table2[[#This Row],[Product Option]]="My Value Plus Life &amp; Funeral",_xlfn.XLOOKUP(B174,Table2[Main Member Link ID],Table2[Benefit Name],0)=Lookups!$D$15),"",
IF(AND(OR(Table2[[#This Row],[Member Type]]="Spouse",Table2[[#This Row],[Member Type]]="Child"),Table2[[#This Row],[Product Option]]="My Value Plus Life &amp; Funeral",_xlfn.XLOOKUP(B174,Table2[Main Member Link ID],Table2[Benefit Name],0)&lt;&gt;Lookups!$D$17),
IF(_xlfn.XLOOKUP(B174,Table2[Main Member Link ID],Table2[Benefit Name],0)=0,"",_xlfn.XLOOKUP(B174,Table2[Main Member Link ID],Table2[Benefit Name],0)),""))))))</f>
        <v/>
      </c>
      <c r="AI174" s="328" t="str">
        <f>IF(AND(Table2[[#This Row],[Member Type]]="Main Member",Table2[[#This Row],[Table Lookup for Life Cover]]="MM_LIFE",Table2[[#This Row],[Age Next Birthday]]&lt;56),1,
IF(AND(Table2[[#This Row],[Member Type]]="Main Member",Table2[[#This Row],[Table Lookup for Life Cover]]="MM_LIFE",Table2[[#This Row],[Age Next Birthday]]&gt;=56),2,
""))</f>
        <v/>
      </c>
      <c r="AJ174" s="328">
        <f>IF(OR(Table2[[#This Row],[Member Type]]="Main Member",Table2[[#This Row],[Main Member Link ID]]=B173),1,0)</f>
        <v>1</v>
      </c>
      <c r="AK174" s="328">
        <f>IF(Table2[[#This Row],[Member Type]]=0,0,
IF(OR(Table2[[#This Row],[Member Type]]="Main Member",Table2[[#This Row],[Main Member Link ID]]&lt;&gt;B174),COUNTIFS(B:B,Table2[[#This Row],[Main Member Link ID]]),
COUNTIFS(B:B,Table2[[#This Row],[Main Member Link ID]],A:A,Table2[[#This Row],[Member Type]])))</f>
        <v>0</v>
      </c>
    </row>
    <row r="175" spans="1:37" x14ac:dyDescent="0.3">
      <c r="A175" s="284">
        <f>Table13[[#This Row],[Member Type]]</f>
        <v>0</v>
      </c>
      <c r="B175" s="284">
        <f>Table13[[#This Row],[Main Member Link ID]]</f>
        <v>0</v>
      </c>
      <c r="C175" s="284">
        <f>Table13[[#This Row],[ID Number]]</f>
        <v>0</v>
      </c>
      <c r="D175" s="285">
        <f>Table13[[#This Row],[Date Of Birth]]</f>
        <v>0</v>
      </c>
      <c r="E175" s="285">
        <f>Table13[[#This Row],[Commencement Date]]</f>
        <v>0</v>
      </c>
      <c r="F175" s="284">
        <f t="shared" si="14"/>
        <v>1</v>
      </c>
      <c r="G175" s="284">
        <f t="shared" si="15"/>
        <v>25</v>
      </c>
      <c r="H175" s="286">
        <f>Table13[[#This Row],[Product Option]]</f>
        <v>0</v>
      </c>
      <c r="I175" s="284">
        <f>IF(AND($A175="Main Member",Table2[[#This Row],[Product Option]]="My Value Plus Life"),"MM_LIFE",
IF(AND($A175="Spouse",Table2[[#This Row],[Product Option]]="My Value Plus Life"),"SP_LIFE",
IF(AND($A175="Main Member",Table2[[#This Row],[Product Option]]="My Value Plus Life &amp; Funeral"),"MM_LIFE",
IF(AND($A175="Spouse",Table2[[#This Row],[Product Option]]="My Value Plus Life &amp; Funeral"),_xlfn.XLOOKUP(Table2[[#This Row],[Benefit Name]],Lookups!$D$18:$D$23,Lookups!$E$18:$E$23,0),
0))))</f>
        <v>0</v>
      </c>
      <c r="J175" s="284">
        <f>IF($I175="","",
IF($I175="MM_LIFE",INDEX('Quotation Tool'!$S$54:$V$60,MATCH($T175,'Quotation Tool'!$S$54:$S$60,0),4),
IF($I175="SP_LIFE",_xlfn.XLOOKUP(B174,$B:$B,$J:$J,0),0)))</f>
        <v>0</v>
      </c>
      <c r="K175" s="287">
        <f t="shared" ca="1" si="19"/>
        <v>0</v>
      </c>
      <c r="L175" s="288">
        <f t="shared" ca="1" si="20"/>
        <v>0</v>
      </c>
      <c r="M175" s="289">
        <f t="shared" ca="1" si="16"/>
        <v>0</v>
      </c>
      <c r="N175" s="286">
        <f>Table13[[#This Row],[Benefit Option]]</f>
        <v>0</v>
      </c>
      <c r="O175" s="284">
        <f>IF(OR(Table2[[#This Row],[Member Type]]="Spouse",Table2[[#This Row],[Member Type]]="Child"),0,
IF(_xlfn.XLOOKUP($N175,Lookups!$D$13:$D$27,Lookups!$F$13:$F$27,0)=Table2[[#This Row],[Table Lookup for Life Cover]],0,
_xlfn.XLOOKUP($N175,Lookups!$D$13:$D$27,Lookups!$F$13:$F$27,0)))</f>
        <v>0</v>
      </c>
      <c r="P175" s="284">
        <f>IF(Table2[[#This Row],[Table Lookup for Funeral]]=0,0,IFERROR(INDEX('Quotation Tool'!$S$54:$V$60,MATCH($T175,'Quotation Tool'!$S$54:$S$60,0),3),0))</f>
        <v>0</v>
      </c>
      <c r="Q175" s="288">
        <f ca="1">IF(OR(Table2[[#This Row],[Benefit Name]]="My Value Plus Life - Main Member",Table2[[#This Row],[Benefit Name]]="My Value Plus Life - Spouse"),0,
IFERROR(VLOOKUP($G175,INDIRECT($O175),$P175,FALSE),0))</f>
        <v>0</v>
      </c>
      <c r="R175" s="288">
        <f ca="1">IF(OR(Table2[[#This Row],[Benefit Name]]="My Value Plus Life - Main Member",Table2[[#This Row],[Benefit Name]]="My Value Plus Life - Spouse"),0,
IFERROR(VLOOKUP($G175,INDIRECT($O175),$P175+1,FALSE),0))</f>
        <v>0</v>
      </c>
      <c r="S175" s="289">
        <f t="shared" ca="1" si="17"/>
        <v>0</v>
      </c>
      <c r="T175" s="284" t="str">
        <f>IF(Table13[[#This Row],[Premium Waiver]]="","None",Table13[[#This Row],[Premium Waiver]])</f>
        <v>None</v>
      </c>
      <c r="U175" s="284">
        <f>Table13[[#This Row],[VAPs Options]]</f>
        <v>0</v>
      </c>
      <c r="V175" s="284">
        <f>Table13[[#This Row],[Annual Increase Option]]</f>
        <v>0</v>
      </c>
      <c r="W175" s="290">
        <f>Table13[[#This Row],[Life Cover Amount]]</f>
        <v>0</v>
      </c>
      <c r="X175" s="290">
        <f>Table13[[#This Row],[Funeral Cover Amount]]</f>
        <v>0</v>
      </c>
      <c r="Y17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7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75" s="301">
        <f t="shared" ca="1" si="18"/>
        <v>0</v>
      </c>
      <c r="AB175" s="298"/>
      <c r="AC175" s="326" t="str">
        <f>IF(Table2[[#This Row],[Member Type]]="Main Member",Lookups!$C$13,
IF(Table2[[#This Row],[Member Type]]="Spouse",_xlfn.XLOOKUP(B175,Table2[Main Member Link ID],Table2[Product Option],0),
IF(AND(Table2[[#This Row],[Member Type]]="Child",_xlfn.XLOOKUP(B175,Table2[Main Member Link ID],Table2[Product Option],0)&lt;&gt;"My Value Plus Life"),Lookups!$C$24,
IF(AND(OR(Table2[[#This Row],[Member Type]]="Parent",Table2[[#This Row],[Member Type]]="Extended"),_xlfn.XLOOKUP(B175,Table2[Main Member Link ID],Table2[Product Option],0)&lt;&gt;"My Value Plus Life"),Lookups!$C$26,""))))</f>
        <v/>
      </c>
      <c r="AD175" s="326" t="str">
        <f>IF(Table2[[#This Row],[Member Type]]="Main Member",Lookups!$C$14,"")</f>
        <v/>
      </c>
      <c r="AE17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Funeral",_xlfn.XLOOKUP(B175,Table2[Main Member Link ID],Table2[Benefit Name],0)=Lookups!$D$14),"",
IF(AND(Table2[[#This Row],[Member Type]]="Spouse",Table2[[#This Row],[Product Option]]="My Value Plus Life &amp; Funeral",_xlfn.XLOOKUP(B174,Table2[Main Member Link ID],Table2[Benefit Name],0)=Lookups!$D$15),Lookups!$D$20,
IF(AND(Table2[[#This Row],[Member Type]]="Spouse",Table2[[#This Row],[Product Option]]="My Value Plus Life &amp; Funeral",_xlfn.XLOOKUP(B174,Table2[Main Member Link ID],Table2[Benefit Name],0)=Lookups!$D$16),"",
IF(AND(Table2[[#This Row],[Member Type]]="Spouse",Table2[[#This Row],[Product Option]]="My Value Plus Life &amp; Funeral",_xlfn.XLOOKUP(B174,Table2[Main Member Link ID],Table2[Benefit Name],0)=Lookups!$D$17),Lookups!$D$21,
IF(AND(Table2[[#This Row],[Member Type]]="Child",Table2[[#This Row],[Product Option]]="My Value Plus Life &amp; Funeral",_xlfn.XLOOKUP(B175,Table2[Main Member Link ID],Table2[Benefit Name],0)=Lookups!$D$14),"",
IF(AND(Table2[[#This Row],[Member Type]]="Child",Table2[[#This Row],[Product Option]]="My Value Plus Life &amp; Funeral",_xlfn.XLOOKUP(B175,Table2[Main Member Link ID],Table2[Benefit Name],0)=Lookups!$D$15),"",
IF(AND(Table2[[#This Row],[Member Type]]="Child",Table2[[#This Row],[Product Option]]="My Value Plus Life &amp; Funeral",_xlfn.XLOOKUP(B175,Table2[Main Member Link ID],Table2[Benefit Name],0)=Lookups!$D$16),Lookups!$D$24,
IF(AND(Table2[[#This Row],[Member Type]]="Child",Table2[[#This Row],[Product Option]]="My Value Plus Life &amp; Funeral",_xlfn.XLOOKUP(B175,Table2[Main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Funeral",_xlfn.XLOOKUP(B175,Table2[Main Member Link ID],Table2[Benefit Name],0)&lt;&gt;Lookups!$D$14),
IF(_xlfn.XLOOKUP(B175,Table2[Main Member Link ID],Table2[Benefit Name],0)=0,"",_xlfn.XLOOKUP(B175,Table2[Main Member Link ID],Table2[Benefit Name],0)),"")))))))))))))))</f>
        <v/>
      </c>
      <c r="AF175" s="327" t="str">
        <f>IF(AND(Table2[[#This Row],[Member Type]]="Main Member",Table2[[#This Row],[Product Option]]="My Value Plus Life &amp; Funeral"),Lookups!$D$15,
IF(AND(Table2[[#This Row],[Member Type]]="Spouse",Table2[[#This Row],[Product Option]]="My Value Plus Life &amp; Funeral",_xlfn.XLOOKUP(B175,Table2[Main Member Link ID],Table2[Benefit Name],0)=Lookups!$D$14),"",
IF(AND(Table2[[#This Row],[Member Type]]="Spouse",Table2[[#This Row],[Product Option]]="My Value Plus Life &amp; Funeral",_xlfn.XLOOKUP(B174,Table2[Main Member Link ID],Table2[Benefit Name],0)=Lookups!$D$16),"",
IF(AND(Table2[[#This Row],[Member Type]]="Spouse",Table2[[#This Row],[Product Option]]="My Value Plus Life &amp; Funeral",_xlfn.XLOOKUP(B174,Table2[Main Member Link ID],Table2[Benefit Name],0)=Lookups!$D$15),"",
IF(AND(Table2[[#This Row],[Member Type]]="Spouse",Table2[[#This Row],[Product Option]]="My Value Plus Life &amp; Funeral",_xlfn.XLOOKUP(B174,Table2[Main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Funeral",_xlfn.XLOOKUP(B175,Table2[Main Member Link ID],Table2[Benefit Name],0)&lt;&gt;Lookups!$D$15),
IF(_xlfn.XLOOKUP(B175,Table2[Main Member Link ID],Table2[Benefit Name],0)=0,"",_xlfn.XLOOKUP(B175,Table2[Main Member Link ID],Table2[Benefit Name],0)),"")
))))))</f>
        <v/>
      </c>
      <c r="AG175" s="327" t="str">
        <f>IF(AND(Table2[[#This Row],[Member Type]]="Main Member",Table2[[#This Row],[Product Option]]="My Value Plus Life &amp; Funeral"),Lookups!$D$16,
IF(AND(Table2[[#This Row],[Member Type]]="Spouse",Table2[[#This Row],[Product Option]]="My Value Plus Life &amp; Funeral",_xlfn.XLOOKUP(B175,Table2[Main Member Link ID],Table2[Benefit Name],0)=Lookups!$D$14),"",
IF(AND(Table2[[#This Row],[Member Type]]="Spouse",Table2[[#This Row],[Product Option]]="My Value Plus Life &amp; Funeral",_xlfn.XLOOKUP(B174,Table2[Main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Funeral",_xlfn.XLOOKUP(B175,Table2[Main Member Link ID],Table2[Benefit Name],0)&lt;&gt;Lookups!$D$16),
IF(_xlfn.XLOOKUP(B175,Table2[Main Member Link ID],Table2[Benefit Name],0)=0,"",_xlfn.XLOOKUP(B175,Table2[Main Member Link ID],Table2[Benefit Name],0)),"")
))))</f>
        <v/>
      </c>
      <c r="AH175" s="327" t="str">
        <f>IF(AND(Table2[[#This Row],[Member Type]]="Main Member",Table2[[#This Row],[Product Option]]="My Value Plus Life &amp; Funeral"),Lookups!$D$17,
IF(AND(Table2[[#This Row],[Member Type]]="Spouse",Table2[[#This Row],[Product Option]]="My Value Plus Life &amp; Funeral",_xlfn.XLOOKUP(B175,Table2[Main Member Link ID],Table2[Benefit Name],0)=Lookups!$D$14),"",
IF(AND(Table2[[#This Row],[Member Type]]="Spouse",Table2[[#This Row],[Product Option]]="My Value Plus Life &amp; Funeral",_xlfn.XLOOKUP(B174,Table2[Main Member Link ID],Table2[Benefit Name],0)=Lookups!$D$16),"",
IF(AND(Table2[[#This Row],[Member Type]]="Child",Table2[[#This Row],[Product Option]]="My Value Plus Life &amp; Funeral"),"",
IF(AND(Table2[[#This Row],[Member Type]]="Child",Table2[[#This Row],[Product Option]]="My Value Plus Life &amp; Funeral",_xlfn.XLOOKUP(B175,Table2[Main Member Link ID],Table2[Benefit Name],0)=Lookups!$D$15),"",
IF(AND(OR(Table2[[#This Row],[Member Type]]="Spouse",Table2[[#This Row],[Member Type]]="Child"),Table2[[#This Row],[Product Option]]="My Value Plus Life &amp; Funeral",_xlfn.XLOOKUP(B175,Table2[Main Member Link ID],Table2[Benefit Name],0)&lt;&gt;Lookups!$D$17),
IF(_xlfn.XLOOKUP(B175,Table2[Main Member Link ID],Table2[Benefit Name],0)=0,"",_xlfn.XLOOKUP(B175,Table2[Main Member Link ID],Table2[Benefit Name],0)),""))))))</f>
        <v/>
      </c>
      <c r="AI175" s="328" t="str">
        <f>IF(AND(Table2[[#This Row],[Member Type]]="Main Member",Table2[[#This Row],[Table Lookup for Life Cover]]="MM_LIFE",Table2[[#This Row],[Age Next Birthday]]&lt;56),1,
IF(AND(Table2[[#This Row],[Member Type]]="Main Member",Table2[[#This Row],[Table Lookup for Life Cover]]="MM_LIFE",Table2[[#This Row],[Age Next Birthday]]&gt;=56),2,
""))</f>
        <v/>
      </c>
      <c r="AJ175" s="328">
        <f>IF(OR(Table2[[#This Row],[Member Type]]="Main Member",Table2[[#This Row],[Main Member Link ID]]=B174),1,0)</f>
        <v>1</v>
      </c>
      <c r="AK175" s="328">
        <f>IF(Table2[[#This Row],[Member Type]]=0,0,
IF(OR(Table2[[#This Row],[Member Type]]="Main Member",Table2[[#This Row],[Main Member Link ID]]&lt;&gt;B175),COUNTIFS(B:B,Table2[[#This Row],[Main Member Link ID]]),
COUNTIFS(B:B,Table2[[#This Row],[Main Member Link ID]],A:A,Table2[[#This Row],[Member Type]])))</f>
        <v>0</v>
      </c>
    </row>
    <row r="176" spans="1:37" x14ac:dyDescent="0.3">
      <c r="A176" s="284">
        <f>Table13[[#This Row],[Member Type]]</f>
        <v>0</v>
      </c>
      <c r="B176" s="284">
        <f>Table13[[#This Row],[Main Member Link ID]]</f>
        <v>0</v>
      </c>
      <c r="C176" s="284">
        <f>Table13[[#This Row],[ID Number]]</f>
        <v>0</v>
      </c>
      <c r="D176" s="285">
        <f>Table13[[#This Row],[Date Of Birth]]</f>
        <v>0</v>
      </c>
      <c r="E176" s="285">
        <f>Table13[[#This Row],[Commencement Date]]</f>
        <v>0</v>
      </c>
      <c r="F176" s="284">
        <f t="shared" si="14"/>
        <v>1</v>
      </c>
      <c r="G176" s="284">
        <f t="shared" si="15"/>
        <v>25</v>
      </c>
      <c r="H176" s="286">
        <f>Table13[[#This Row],[Product Option]]</f>
        <v>0</v>
      </c>
      <c r="I176" s="284">
        <f>IF(AND($A176="Main Member",Table2[[#This Row],[Product Option]]="My Value Plus Life"),"MM_LIFE",
IF(AND($A176="Spouse",Table2[[#This Row],[Product Option]]="My Value Plus Life"),"SP_LIFE",
IF(AND($A176="Main Member",Table2[[#This Row],[Product Option]]="My Value Plus Life &amp; Funeral"),"MM_LIFE",
IF(AND($A176="Spouse",Table2[[#This Row],[Product Option]]="My Value Plus Life &amp; Funeral"),_xlfn.XLOOKUP(Table2[[#This Row],[Benefit Name]],Lookups!$D$18:$D$23,Lookups!$E$18:$E$23,0),
0))))</f>
        <v>0</v>
      </c>
      <c r="J176" s="284">
        <f>IF($I176="","",
IF($I176="MM_LIFE",INDEX('Quotation Tool'!$S$54:$V$60,MATCH($T176,'Quotation Tool'!$S$54:$S$60,0),4),
IF($I176="SP_LIFE",_xlfn.XLOOKUP(B175,$B:$B,$J:$J,0),0)))</f>
        <v>0</v>
      </c>
      <c r="K176" s="287">
        <f t="shared" ca="1" si="19"/>
        <v>0</v>
      </c>
      <c r="L176" s="288">
        <f t="shared" ca="1" si="20"/>
        <v>0</v>
      </c>
      <c r="M176" s="289">
        <f t="shared" ca="1" si="16"/>
        <v>0</v>
      </c>
      <c r="N176" s="286">
        <f>Table13[[#This Row],[Benefit Option]]</f>
        <v>0</v>
      </c>
      <c r="O176" s="284">
        <f>IF(OR(Table2[[#This Row],[Member Type]]="Spouse",Table2[[#This Row],[Member Type]]="Child"),0,
IF(_xlfn.XLOOKUP($N176,Lookups!$D$13:$D$27,Lookups!$F$13:$F$27,0)=Table2[[#This Row],[Table Lookup for Life Cover]],0,
_xlfn.XLOOKUP($N176,Lookups!$D$13:$D$27,Lookups!$F$13:$F$27,0)))</f>
        <v>0</v>
      </c>
      <c r="P176" s="284">
        <f>IF(Table2[[#This Row],[Table Lookup for Funeral]]=0,0,IFERROR(INDEX('Quotation Tool'!$S$54:$V$60,MATCH($T176,'Quotation Tool'!$S$54:$S$60,0),3),0))</f>
        <v>0</v>
      </c>
      <c r="Q176" s="288">
        <f ca="1">IF(OR(Table2[[#This Row],[Benefit Name]]="My Value Plus Life - Main Member",Table2[[#This Row],[Benefit Name]]="My Value Plus Life - Spouse"),0,
IFERROR(VLOOKUP($G176,INDIRECT($O176),$P176,FALSE),0))</f>
        <v>0</v>
      </c>
      <c r="R176" s="288">
        <f ca="1">IF(OR(Table2[[#This Row],[Benefit Name]]="My Value Plus Life - Main Member",Table2[[#This Row],[Benefit Name]]="My Value Plus Life - Spouse"),0,
IFERROR(VLOOKUP($G176,INDIRECT($O176),$P176+1,FALSE),0))</f>
        <v>0</v>
      </c>
      <c r="S176" s="289">
        <f t="shared" ca="1" si="17"/>
        <v>0</v>
      </c>
      <c r="T176" s="284" t="str">
        <f>IF(Table13[[#This Row],[Premium Waiver]]="","None",Table13[[#This Row],[Premium Waiver]])</f>
        <v>None</v>
      </c>
      <c r="U176" s="284">
        <f>Table13[[#This Row],[VAPs Options]]</f>
        <v>0</v>
      </c>
      <c r="V176" s="284">
        <f>Table13[[#This Row],[Annual Increase Option]]</f>
        <v>0</v>
      </c>
      <c r="W176" s="290">
        <f>Table13[[#This Row],[Life Cover Amount]]</f>
        <v>0</v>
      </c>
      <c r="X176" s="290">
        <f>Table13[[#This Row],[Funeral Cover Amount]]</f>
        <v>0</v>
      </c>
      <c r="Y17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7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76" s="301">
        <f t="shared" ca="1" si="18"/>
        <v>0</v>
      </c>
      <c r="AB176" s="298"/>
      <c r="AC176" s="326" t="str">
        <f>IF(Table2[[#This Row],[Member Type]]="Main Member",Lookups!$C$13,
IF(Table2[[#This Row],[Member Type]]="Spouse",_xlfn.XLOOKUP(B176,Table2[Main Member Link ID],Table2[Product Option],0),
IF(AND(Table2[[#This Row],[Member Type]]="Child",_xlfn.XLOOKUP(B176,Table2[Main Member Link ID],Table2[Product Option],0)&lt;&gt;"My Value Plus Life"),Lookups!$C$24,
IF(AND(OR(Table2[[#This Row],[Member Type]]="Parent",Table2[[#This Row],[Member Type]]="Extended"),_xlfn.XLOOKUP(B176,Table2[Main Member Link ID],Table2[Product Option],0)&lt;&gt;"My Value Plus Life"),Lookups!$C$26,""))))</f>
        <v/>
      </c>
      <c r="AD176" s="326" t="str">
        <f>IF(Table2[[#This Row],[Member Type]]="Main Member",Lookups!$C$14,"")</f>
        <v/>
      </c>
      <c r="AE17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Funeral",_xlfn.XLOOKUP(B176,Table2[Main Member Link ID],Table2[Benefit Name],0)=Lookups!$D$14),"",
IF(AND(Table2[[#This Row],[Member Type]]="Spouse",Table2[[#This Row],[Product Option]]="My Value Plus Life &amp; Funeral",_xlfn.XLOOKUP(B175,Table2[Main Member Link ID],Table2[Benefit Name],0)=Lookups!$D$15),Lookups!$D$20,
IF(AND(Table2[[#This Row],[Member Type]]="Spouse",Table2[[#This Row],[Product Option]]="My Value Plus Life &amp; Funeral",_xlfn.XLOOKUP(B175,Table2[Main Member Link ID],Table2[Benefit Name],0)=Lookups!$D$16),"",
IF(AND(Table2[[#This Row],[Member Type]]="Spouse",Table2[[#This Row],[Product Option]]="My Value Plus Life &amp; Funeral",_xlfn.XLOOKUP(B175,Table2[Main Member Link ID],Table2[Benefit Name],0)=Lookups!$D$17),Lookups!$D$21,
IF(AND(Table2[[#This Row],[Member Type]]="Child",Table2[[#This Row],[Product Option]]="My Value Plus Life &amp; Funeral",_xlfn.XLOOKUP(B176,Table2[Main Member Link ID],Table2[Benefit Name],0)=Lookups!$D$14),"",
IF(AND(Table2[[#This Row],[Member Type]]="Child",Table2[[#This Row],[Product Option]]="My Value Plus Life &amp; Funeral",_xlfn.XLOOKUP(B176,Table2[Main Member Link ID],Table2[Benefit Name],0)=Lookups!$D$15),"",
IF(AND(Table2[[#This Row],[Member Type]]="Child",Table2[[#This Row],[Product Option]]="My Value Plus Life &amp; Funeral",_xlfn.XLOOKUP(B176,Table2[Main Member Link ID],Table2[Benefit Name],0)=Lookups!$D$16),Lookups!$D$24,
IF(AND(Table2[[#This Row],[Member Type]]="Child",Table2[[#This Row],[Product Option]]="My Value Plus Life &amp; Funeral",_xlfn.XLOOKUP(B176,Table2[Main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Funeral",_xlfn.XLOOKUP(B176,Table2[Main Member Link ID],Table2[Benefit Name],0)&lt;&gt;Lookups!$D$14),
IF(_xlfn.XLOOKUP(B176,Table2[Main Member Link ID],Table2[Benefit Name],0)=0,"",_xlfn.XLOOKUP(B176,Table2[Main Member Link ID],Table2[Benefit Name],0)),"")))))))))))))))</f>
        <v/>
      </c>
      <c r="AF176" s="327" t="str">
        <f>IF(AND(Table2[[#This Row],[Member Type]]="Main Member",Table2[[#This Row],[Product Option]]="My Value Plus Life &amp; Funeral"),Lookups!$D$15,
IF(AND(Table2[[#This Row],[Member Type]]="Spouse",Table2[[#This Row],[Product Option]]="My Value Plus Life &amp; Funeral",_xlfn.XLOOKUP(B176,Table2[Main Member Link ID],Table2[Benefit Name],0)=Lookups!$D$14),"",
IF(AND(Table2[[#This Row],[Member Type]]="Spouse",Table2[[#This Row],[Product Option]]="My Value Plus Life &amp; Funeral",_xlfn.XLOOKUP(B175,Table2[Main Member Link ID],Table2[Benefit Name],0)=Lookups!$D$16),"",
IF(AND(Table2[[#This Row],[Member Type]]="Spouse",Table2[[#This Row],[Product Option]]="My Value Plus Life &amp; Funeral",_xlfn.XLOOKUP(B175,Table2[Main Member Link ID],Table2[Benefit Name],0)=Lookups!$D$15),"",
IF(AND(Table2[[#This Row],[Member Type]]="Spouse",Table2[[#This Row],[Product Option]]="My Value Plus Life &amp; Funeral",_xlfn.XLOOKUP(B175,Table2[Main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Funeral",_xlfn.XLOOKUP(B176,Table2[Main Member Link ID],Table2[Benefit Name],0)&lt;&gt;Lookups!$D$15),
IF(_xlfn.XLOOKUP(B176,Table2[Main Member Link ID],Table2[Benefit Name],0)=0,"",_xlfn.XLOOKUP(B176,Table2[Main Member Link ID],Table2[Benefit Name],0)),"")
))))))</f>
        <v/>
      </c>
      <c r="AG176" s="327" t="str">
        <f>IF(AND(Table2[[#This Row],[Member Type]]="Main Member",Table2[[#This Row],[Product Option]]="My Value Plus Life &amp; Funeral"),Lookups!$D$16,
IF(AND(Table2[[#This Row],[Member Type]]="Spouse",Table2[[#This Row],[Product Option]]="My Value Plus Life &amp; Funeral",_xlfn.XLOOKUP(B176,Table2[Main Member Link ID],Table2[Benefit Name],0)=Lookups!$D$14),"",
IF(AND(Table2[[#This Row],[Member Type]]="Spouse",Table2[[#This Row],[Product Option]]="My Value Plus Life &amp; Funeral",_xlfn.XLOOKUP(B175,Table2[Main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Funeral",_xlfn.XLOOKUP(B176,Table2[Main Member Link ID],Table2[Benefit Name],0)&lt;&gt;Lookups!$D$16),
IF(_xlfn.XLOOKUP(B176,Table2[Main Member Link ID],Table2[Benefit Name],0)=0,"",_xlfn.XLOOKUP(B176,Table2[Main Member Link ID],Table2[Benefit Name],0)),"")
))))</f>
        <v/>
      </c>
      <c r="AH176" s="327" t="str">
        <f>IF(AND(Table2[[#This Row],[Member Type]]="Main Member",Table2[[#This Row],[Product Option]]="My Value Plus Life &amp; Funeral"),Lookups!$D$17,
IF(AND(Table2[[#This Row],[Member Type]]="Spouse",Table2[[#This Row],[Product Option]]="My Value Plus Life &amp; Funeral",_xlfn.XLOOKUP(B176,Table2[Main Member Link ID],Table2[Benefit Name],0)=Lookups!$D$14),"",
IF(AND(Table2[[#This Row],[Member Type]]="Spouse",Table2[[#This Row],[Product Option]]="My Value Plus Life &amp; Funeral",_xlfn.XLOOKUP(B175,Table2[Main Member Link ID],Table2[Benefit Name],0)=Lookups!$D$16),"",
IF(AND(Table2[[#This Row],[Member Type]]="Child",Table2[[#This Row],[Product Option]]="My Value Plus Life &amp; Funeral"),"",
IF(AND(Table2[[#This Row],[Member Type]]="Child",Table2[[#This Row],[Product Option]]="My Value Plus Life &amp; Funeral",_xlfn.XLOOKUP(B176,Table2[Main Member Link ID],Table2[Benefit Name],0)=Lookups!$D$15),"",
IF(AND(OR(Table2[[#This Row],[Member Type]]="Spouse",Table2[[#This Row],[Member Type]]="Child"),Table2[[#This Row],[Product Option]]="My Value Plus Life &amp; Funeral",_xlfn.XLOOKUP(B176,Table2[Main Member Link ID],Table2[Benefit Name],0)&lt;&gt;Lookups!$D$17),
IF(_xlfn.XLOOKUP(B176,Table2[Main Member Link ID],Table2[Benefit Name],0)=0,"",_xlfn.XLOOKUP(B176,Table2[Main Member Link ID],Table2[Benefit Name],0)),""))))))</f>
        <v/>
      </c>
      <c r="AI176" s="328" t="str">
        <f>IF(AND(Table2[[#This Row],[Member Type]]="Main Member",Table2[[#This Row],[Table Lookup for Life Cover]]="MM_LIFE",Table2[[#This Row],[Age Next Birthday]]&lt;56),1,
IF(AND(Table2[[#This Row],[Member Type]]="Main Member",Table2[[#This Row],[Table Lookup for Life Cover]]="MM_LIFE",Table2[[#This Row],[Age Next Birthday]]&gt;=56),2,
""))</f>
        <v/>
      </c>
      <c r="AJ176" s="328">
        <f>IF(OR(Table2[[#This Row],[Member Type]]="Main Member",Table2[[#This Row],[Main Member Link ID]]=B175),1,0)</f>
        <v>1</v>
      </c>
      <c r="AK176" s="328">
        <f>IF(Table2[[#This Row],[Member Type]]=0,0,
IF(OR(Table2[[#This Row],[Member Type]]="Main Member",Table2[[#This Row],[Main Member Link ID]]&lt;&gt;B176),COUNTIFS(B:B,Table2[[#This Row],[Main Member Link ID]]),
COUNTIFS(B:B,Table2[[#This Row],[Main Member Link ID]],A:A,Table2[[#This Row],[Member Type]])))</f>
        <v>0</v>
      </c>
    </row>
    <row r="177" spans="1:37" x14ac:dyDescent="0.3">
      <c r="A177" s="284">
        <f>Table13[[#This Row],[Member Type]]</f>
        <v>0</v>
      </c>
      <c r="B177" s="284">
        <f>Table13[[#This Row],[Main Member Link ID]]</f>
        <v>0</v>
      </c>
      <c r="C177" s="284">
        <f>Table13[[#This Row],[ID Number]]</f>
        <v>0</v>
      </c>
      <c r="D177" s="285">
        <f>Table13[[#This Row],[Date Of Birth]]</f>
        <v>0</v>
      </c>
      <c r="E177" s="285">
        <f>Table13[[#This Row],[Commencement Date]]</f>
        <v>0</v>
      </c>
      <c r="F177" s="284">
        <f t="shared" si="14"/>
        <v>1</v>
      </c>
      <c r="G177" s="284">
        <f t="shared" si="15"/>
        <v>25</v>
      </c>
      <c r="H177" s="286">
        <f>Table13[[#This Row],[Product Option]]</f>
        <v>0</v>
      </c>
      <c r="I177" s="284">
        <f>IF(AND($A177="Main Member",Table2[[#This Row],[Product Option]]="My Value Plus Life"),"MM_LIFE",
IF(AND($A177="Spouse",Table2[[#This Row],[Product Option]]="My Value Plus Life"),"SP_LIFE",
IF(AND($A177="Main Member",Table2[[#This Row],[Product Option]]="My Value Plus Life &amp; Funeral"),"MM_LIFE",
IF(AND($A177="Spouse",Table2[[#This Row],[Product Option]]="My Value Plus Life &amp; Funeral"),_xlfn.XLOOKUP(Table2[[#This Row],[Benefit Name]],Lookups!$D$18:$D$23,Lookups!$E$18:$E$23,0),
0))))</f>
        <v>0</v>
      </c>
      <c r="J177" s="284">
        <f>IF($I177="","",
IF($I177="MM_LIFE",INDEX('Quotation Tool'!$S$54:$V$60,MATCH($T177,'Quotation Tool'!$S$54:$S$60,0),4),
IF($I177="SP_LIFE",_xlfn.XLOOKUP(B176,$B:$B,$J:$J,0),0)))</f>
        <v>0</v>
      </c>
      <c r="K177" s="287">
        <f t="shared" ca="1" si="19"/>
        <v>0</v>
      </c>
      <c r="L177" s="288">
        <f t="shared" ca="1" si="20"/>
        <v>0</v>
      </c>
      <c r="M177" s="289">
        <f t="shared" ca="1" si="16"/>
        <v>0</v>
      </c>
      <c r="N177" s="286">
        <f>Table13[[#This Row],[Benefit Option]]</f>
        <v>0</v>
      </c>
      <c r="O177" s="284">
        <f>IF(OR(Table2[[#This Row],[Member Type]]="Spouse",Table2[[#This Row],[Member Type]]="Child"),0,
IF(_xlfn.XLOOKUP($N177,Lookups!$D$13:$D$27,Lookups!$F$13:$F$27,0)=Table2[[#This Row],[Table Lookup for Life Cover]],0,
_xlfn.XLOOKUP($N177,Lookups!$D$13:$D$27,Lookups!$F$13:$F$27,0)))</f>
        <v>0</v>
      </c>
      <c r="P177" s="284">
        <f>IF(Table2[[#This Row],[Table Lookup for Funeral]]=0,0,IFERROR(INDEX('Quotation Tool'!$S$54:$V$60,MATCH($T177,'Quotation Tool'!$S$54:$S$60,0),3),0))</f>
        <v>0</v>
      </c>
      <c r="Q177" s="288">
        <f ca="1">IF(OR(Table2[[#This Row],[Benefit Name]]="My Value Plus Life - Main Member",Table2[[#This Row],[Benefit Name]]="My Value Plus Life - Spouse"),0,
IFERROR(VLOOKUP($G177,INDIRECT($O177),$P177,FALSE),0))</f>
        <v>0</v>
      </c>
      <c r="R177" s="288">
        <f ca="1">IF(OR(Table2[[#This Row],[Benefit Name]]="My Value Plus Life - Main Member",Table2[[#This Row],[Benefit Name]]="My Value Plus Life - Spouse"),0,
IFERROR(VLOOKUP($G177,INDIRECT($O177),$P177+1,FALSE),0))</f>
        <v>0</v>
      </c>
      <c r="S177" s="289">
        <f t="shared" ca="1" si="17"/>
        <v>0</v>
      </c>
      <c r="T177" s="284" t="str">
        <f>IF(Table13[[#This Row],[Premium Waiver]]="","None",Table13[[#This Row],[Premium Waiver]])</f>
        <v>None</v>
      </c>
      <c r="U177" s="284">
        <f>Table13[[#This Row],[VAPs Options]]</f>
        <v>0</v>
      </c>
      <c r="V177" s="284">
        <f>Table13[[#This Row],[Annual Increase Option]]</f>
        <v>0</v>
      </c>
      <c r="W177" s="290">
        <f>Table13[[#This Row],[Life Cover Amount]]</f>
        <v>0</v>
      </c>
      <c r="X177" s="290">
        <f>Table13[[#This Row],[Funeral Cover Amount]]</f>
        <v>0</v>
      </c>
      <c r="Y17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7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77" s="301">
        <f t="shared" ca="1" si="18"/>
        <v>0</v>
      </c>
      <c r="AB177" s="298"/>
      <c r="AC177" s="326" t="str">
        <f>IF(Table2[[#This Row],[Member Type]]="Main Member",Lookups!$C$13,
IF(Table2[[#This Row],[Member Type]]="Spouse",_xlfn.XLOOKUP(B177,Table2[Main Member Link ID],Table2[Product Option],0),
IF(AND(Table2[[#This Row],[Member Type]]="Child",_xlfn.XLOOKUP(B177,Table2[Main Member Link ID],Table2[Product Option],0)&lt;&gt;"My Value Plus Life"),Lookups!$C$24,
IF(AND(OR(Table2[[#This Row],[Member Type]]="Parent",Table2[[#This Row],[Member Type]]="Extended"),_xlfn.XLOOKUP(B177,Table2[Main Member Link ID],Table2[Product Option],0)&lt;&gt;"My Value Plus Life"),Lookups!$C$26,""))))</f>
        <v/>
      </c>
      <c r="AD177" s="326" t="str">
        <f>IF(Table2[[#This Row],[Member Type]]="Main Member",Lookups!$C$14,"")</f>
        <v/>
      </c>
      <c r="AE17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Funeral",_xlfn.XLOOKUP(B177,Table2[Main Member Link ID],Table2[Benefit Name],0)=Lookups!$D$14),"",
IF(AND(Table2[[#This Row],[Member Type]]="Spouse",Table2[[#This Row],[Product Option]]="My Value Plus Life &amp; Funeral",_xlfn.XLOOKUP(B176,Table2[Main Member Link ID],Table2[Benefit Name],0)=Lookups!$D$15),Lookups!$D$20,
IF(AND(Table2[[#This Row],[Member Type]]="Spouse",Table2[[#This Row],[Product Option]]="My Value Plus Life &amp; Funeral",_xlfn.XLOOKUP(B176,Table2[Main Member Link ID],Table2[Benefit Name],0)=Lookups!$D$16),"",
IF(AND(Table2[[#This Row],[Member Type]]="Spouse",Table2[[#This Row],[Product Option]]="My Value Plus Life &amp; Funeral",_xlfn.XLOOKUP(B176,Table2[Main Member Link ID],Table2[Benefit Name],0)=Lookups!$D$17),Lookups!$D$21,
IF(AND(Table2[[#This Row],[Member Type]]="Child",Table2[[#This Row],[Product Option]]="My Value Plus Life &amp; Funeral",_xlfn.XLOOKUP(B177,Table2[Main Member Link ID],Table2[Benefit Name],0)=Lookups!$D$14),"",
IF(AND(Table2[[#This Row],[Member Type]]="Child",Table2[[#This Row],[Product Option]]="My Value Plus Life &amp; Funeral",_xlfn.XLOOKUP(B177,Table2[Main Member Link ID],Table2[Benefit Name],0)=Lookups!$D$15),"",
IF(AND(Table2[[#This Row],[Member Type]]="Child",Table2[[#This Row],[Product Option]]="My Value Plus Life &amp; Funeral",_xlfn.XLOOKUP(B177,Table2[Main Member Link ID],Table2[Benefit Name],0)=Lookups!$D$16),Lookups!$D$24,
IF(AND(Table2[[#This Row],[Member Type]]="Child",Table2[[#This Row],[Product Option]]="My Value Plus Life &amp; Funeral",_xlfn.XLOOKUP(B177,Table2[Main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Funeral",_xlfn.XLOOKUP(B177,Table2[Main Member Link ID],Table2[Benefit Name],0)&lt;&gt;Lookups!$D$14),
IF(_xlfn.XLOOKUP(B177,Table2[Main Member Link ID],Table2[Benefit Name],0)=0,"",_xlfn.XLOOKUP(B177,Table2[Main Member Link ID],Table2[Benefit Name],0)),"")))))))))))))))</f>
        <v/>
      </c>
      <c r="AF177" s="327" t="str">
        <f>IF(AND(Table2[[#This Row],[Member Type]]="Main Member",Table2[[#This Row],[Product Option]]="My Value Plus Life &amp; Funeral"),Lookups!$D$15,
IF(AND(Table2[[#This Row],[Member Type]]="Spouse",Table2[[#This Row],[Product Option]]="My Value Plus Life &amp; Funeral",_xlfn.XLOOKUP(B177,Table2[Main Member Link ID],Table2[Benefit Name],0)=Lookups!$D$14),"",
IF(AND(Table2[[#This Row],[Member Type]]="Spouse",Table2[[#This Row],[Product Option]]="My Value Plus Life &amp; Funeral",_xlfn.XLOOKUP(B176,Table2[Main Member Link ID],Table2[Benefit Name],0)=Lookups!$D$16),"",
IF(AND(Table2[[#This Row],[Member Type]]="Spouse",Table2[[#This Row],[Product Option]]="My Value Plus Life &amp; Funeral",_xlfn.XLOOKUP(B176,Table2[Main Member Link ID],Table2[Benefit Name],0)=Lookups!$D$15),"",
IF(AND(Table2[[#This Row],[Member Type]]="Spouse",Table2[[#This Row],[Product Option]]="My Value Plus Life &amp; Funeral",_xlfn.XLOOKUP(B176,Table2[Main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Funeral",_xlfn.XLOOKUP(B177,Table2[Main Member Link ID],Table2[Benefit Name],0)&lt;&gt;Lookups!$D$15),
IF(_xlfn.XLOOKUP(B177,Table2[Main Member Link ID],Table2[Benefit Name],0)=0,"",_xlfn.XLOOKUP(B177,Table2[Main Member Link ID],Table2[Benefit Name],0)),"")
))))))</f>
        <v/>
      </c>
      <c r="AG177" s="327" t="str">
        <f>IF(AND(Table2[[#This Row],[Member Type]]="Main Member",Table2[[#This Row],[Product Option]]="My Value Plus Life &amp; Funeral"),Lookups!$D$16,
IF(AND(Table2[[#This Row],[Member Type]]="Spouse",Table2[[#This Row],[Product Option]]="My Value Plus Life &amp; Funeral",_xlfn.XLOOKUP(B177,Table2[Main Member Link ID],Table2[Benefit Name],0)=Lookups!$D$14),"",
IF(AND(Table2[[#This Row],[Member Type]]="Spouse",Table2[[#This Row],[Product Option]]="My Value Plus Life &amp; Funeral",_xlfn.XLOOKUP(B176,Table2[Main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Funeral",_xlfn.XLOOKUP(B177,Table2[Main Member Link ID],Table2[Benefit Name],0)&lt;&gt;Lookups!$D$16),
IF(_xlfn.XLOOKUP(B177,Table2[Main Member Link ID],Table2[Benefit Name],0)=0,"",_xlfn.XLOOKUP(B177,Table2[Main Member Link ID],Table2[Benefit Name],0)),"")
))))</f>
        <v/>
      </c>
      <c r="AH177" s="327" t="str">
        <f>IF(AND(Table2[[#This Row],[Member Type]]="Main Member",Table2[[#This Row],[Product Option]]="My Value Plus Life &amp; Funeral"),Lookups!$D$17,
IF(AND(Table2[[#This Row],[Member Type]]="Spouse",Table2[[#This Row],[Product Option]]="My Value Plus Life &amp; Funeral",_xlfn.XLOOKUP(B177,Table2[Main Member Link ID],Table2[Benefit Name],0)=Lookups!$D$14),"",
IF(AND(Table2[[#This Row],[Member Type]]="Spouse",Table2[[#This Row],[Product Option]]="My Value Plus Life &amp; Funeral",_xlfn.XLOOKUP(B176,Table2[Main Member Link ID],Table2[Benefit Name],0)=Lookups!$D$16),"",
IF(AND(Table2[[#This Row],[Member Type]]="Child",Table2[[#This Row],[Product Option]]="My Value Plus Life &amp; Funeral"),"",
IF(AND(Table2[[#This Row],[Member Type]]="Child",Table2[[#This Row],[Product Option]]="My Value Plus Life &amp; Funeral",_xlfn.XLOOKUP(B177,Table2[Main Member Link ID],Table2[Benefit Name],0)=Lookups!$D$15),"",
IF(AND(OR(Table2[[#This Row],[Member Type]]="Spouse",Table2[[#This Row],[Member Type]]="Child"),Table2[[#This Row],[Product Option]]="My Value Plus Life &amp; Funeral",_xlfn.XLOOKUP(B177,Table2[Main Member Link ID],Table2[Benefit Name],0)&lt;&gt;Lookups!$D$17),
IF(_xlfn.XLOOKUP(B177,Table2[Main Member Link ID],Table2[Benefit Name],0)=0,"",_xlfn.XLOOKUP(B177,Table2[Main Member Link ID],Table2[Benefit Name],0)),""))))))</f>
        <v/>
      </c>
      <c r="AI177" s="328" t="str">
        <f>IF(AND(Table2[[#This Row],[Member Type]]="Main Member",Table2[[#This Row],[Table Lookup for Life Cover]]="MM_LIFE",Table2[[#This Row],[Age Next Birthday]]&lt;56),1,
IF(AND(Table2[[#This Row],[Member Type]]="Main Member",Table2[[#This Row],[Table Lookup for Life Cover]]="MM_LIFE",Table2[[#This Row],[Age Next Birthday]]&gt;=56),2,
""))</f>
        <v/>
      </c>
      <c r="AJ177" s="328">
        <f>IF(OR(Table2[[#This Row],[Member Type]]="Main Member",Table2[[#This Row],[Main Member Link ID]]=B176),1,0)</f>
        <v>1</v>
      </c>
      <c r="AK177" s="328">
        <f>IF(Table2[[#This Row],[Member Type]]=0,0,
IF(OR(Table2[[#This Row],[Member Type]]="Main Member",Table2[[#This Row],[Main Member Link ID]]&lt;&gt;B177),COUNTIFS(B:B,Table2[[#This Row],[Main Member Link ID]]),
COUNTIFS(B:B,Table2[[#This Row],[Main Member Link ID]],A:A,Table2[[#This Row],[Member Type]])))</f>
        <v>0</v>
      </c>
    </row>
    <row r="178" spans="1:37" x14ac:dyDescent="0.3">
      <c r="A178" s="284">
        <f>Table13[[#This Row],[Member Type]]</f>
        <v>0</v>
      </c>
      <c r="B178" s="284">
        <f>Table13[[#This Row],[Main Member Link ID]]</f>
        <v>0</v>
      </c>
      <c r="C178" s="284">
        <f>Table13[[#This Row],[ID Number]]</f>
        <v>0</v>
      </c>
      <c r="D178" s="285">
        <f>Table13[[#This Row],[Date Of Birth]]</f>
        <v>0</v>
      </c>
      <c r="E178" s="285">
        <f>Table13[[#This Row],[Commencement Date]]</f>
        <v>0</v>
      </c>
      <c r="F178" s="284">
        <f t="shared" si="14"/>
        <v>1</v>
      </c>
      <c r="G178" s="284">
        <f t="shared" si="15"/>
        <v>25</v>
      </c>
      <c r="H178" s="286">
        <f>Table13[[#This Row],[Product Option]]</f>
        <v>0</v>
      </c>
      <c r="I178" s="284">
        <f>IF(AND($A178="Main Member",Table2[[#This Row],[Product Option]]="My Value Plus Life"),"MM_LIFE",
IF(AND($A178="Spouse",Table2[[#This Row],[Product Option]]="My Value Plus Life"),"SP_LIFE",
IF(AND($A178="Main Member",Table2[[#This Row],[Product Option]]="My Value Plus Life &amp; Funeral"),"MM_LIFE",
IF(AND($A178="Spouse",Table2[[#This Row],[Product Option]]="My Value Plus Life &amp; Funeral"),_xlfn.XLOOKUP(Table2[[#This Row],[Benefit Name]],Lookups!$D$18:$D$23,Lookups!$E$18:$E$23,0),
0))))</f>
        <v>0</v>
      </c>
      <c r="J178" s="284">
        <f>IF($I178="","",
IF($I178="MM_LIFE",INDEX('Quotation Tool'!$S$54:$V$60,MATCH($T178,'Quotation Tool'!$S$54:$S$60,0),4),
IF($I178="SP_LIFE",_xlfn.XLOOKUP(B177,$B:$B,$J:$J,0),0)))</f>
        <v>0</v>
      </c>
      <c r="K178" s="287">
        <f t="shared" ca="1" si="19"/>
        <v>0</v>
      </c>
      <c r="L178" s="288">
        <f t="shared" ca="1" si="20"/>
        <v>0</v>
      </c>
      <c r="M178" s="289">
        <f t="shared" ca="1" si="16"/>
        <v>0</v>
      </c>
      <c r="N178" s="286">
        <f>Table13[[#This Row],[Benefit Option]]</f>
        <v>0</v>
      </c>
      <c r="O178" s="284">
        <f>IF(OR(Table2[[#This Row],[Member Type]]="Spouse",Table2[[#This Row],[Member Type]]="Child"),0,
IF(_xlfn.XLOOKUP($N178,Lookups!$D$13:$D$27,Lookups!$F$13:$F$27,0)=Table2[[#This Row],[Table Lookup for Life Cover]],0,
_xlfn.XLOOKUP($N178,Lookups!$D$13:$D$27,Lookups!$F$13:$F$27,0)))</f>
        <v>0</v>
      </c>
      <c r="P178" s="284">
        <f>IF(Table2[[#This Row],[Table Lookup for Funeral]]=0,0,IFERROR(INDEX('Quotation Tool'!$S$54:$V$60,MATCH($T178,'Quotation Tool'!$S$54:$S$60,0),3),0))</f>
        <v>0</v>
      </c>
      <c r="Q178" s="288">
        <f ca="1">IF(OR(Table2[[#This Row],[Benefit Name]]="My Value Plus Life - Main Member",Table2[[#This Row],[Benefit Name]]="My Value Plus Life - Spouse"),0,
IFERROR(VLOOKUP($G178,INDIRECT($O178),$P178,FALSE),0))</f>
        <v>0</v>
      </c>
      <c r="R178" s="288">
        <f ca="1">IF(OR(Table2[[#This Row],[Benefit Name]]="My Value Plus Life - Main Member",Table2[[#This Row],[Benefit Name]]="My Value Plus Life - Spouse"),0,
IFERROR(VLOOKUP($G178,INDIRECT($O178),$P178+1,FALSE),0))</f>
        <v>0</v>
      </c>
      <c r="S178" s="289">
        <f t="shared" ca="1" si="17"/>
        <v>0</v>
      </c>
      <c r="T178" s="284" t="str">
        <f>IF(Table13[[#This Row],[Premium Waiver]]="","None",Table13[[#This Row],[Premium Waiver]])</f>
        <v>None</v>
      </c>
      <c r="U178" s="284">
        <f>Table13[[#This Row],[VAPs Options]]</f>
        <v>0</v>
      </c>
      <c r="V178" s="284">
        <f>Table13[[#This Row],[Annual Increase Option]]</f>
        <v>0</v>
      </c>
      <c r="W178" s="290">
        <f>Table13[[#This Row],[Life Cover Amount]]</f>
        <v>0</v>
      </c>
      <c r="X178" s="290">
        <f>Table13[[#This Row],[Funeral Cover Amount]]</f>
        <v>0</v>
      </c>
      <c r="Y17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7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78" s="301">
        <f t="shared" ca="1" si="18"/>
        <v>0</v>
      </c>
      <c r="AB178" s="298"/>
      <c r="AC178" s="326" t="str">
        <f>IF(Table2[[#This Row],[Member Type]]="Main Member",Lookups!$C$13,
IF(Table2[[#This Row],[Member Type]]="Spouse",_xlfn.XLOOKUP(B178,Table2[Main Member Link ID],Table2[Product Option],0),
IF(AND(Table2[[#This Row],[Member Type]]="Child",_xlfn.XLOOKUP(B178,Table2[Main Member Link ID],Table2[Product Option],0)&lt;&gt;"My Value Plus Life"),Lookups!$C$24,
IF(AND(OR(Table2[[#This Row],[Member Type]]="Parent",Table2[[#This Row],[Member Type]]="Extended"),_xlfn.XLOOKUP(B178,Table2[Main Member Link ID],Table2[Product Option],0)&lt;&gt;"My Value Plus Life"),Lookups!$C$26,""))))</f>
        <v/>
      </c>
      <c r="AD178" s="326" t="str">
        <f>IF(Table2[[#This Row],[Member Type]]="Main Member",Lookups!$C$14,"")</f>
        <v/>
      </c>
      <c r="AE17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Funeral",_xlfn.XLOOKUP(B178,Table2[Main Member Link ID],Table2[Benefit Name],0)=Lookups!$D$14),"",
IF(AND(Table2[[#This Row],[Member Type]]="Spouse",Table2[[#This Row],[Product Option]]="My Value Plus Life &amp; Funeral",_xlfn.XLOOKUP(B177,Table2[Main Member Link ID],Table2[Benefit Name],0)=Lookups!$D$15),Lookups!$D$20,
IF(AND(Table2[[#This Row],[Member Type]]="Spouse",Table2[[#This Row],[Product Option]]="My Value Plus Life &amp; Funeral",_xlfn.XLOOKUP(B177,Table2[Main Member Link ID],Table2[Benefit Name],0)=Lookups!$D$16),"",
IF(AND(Table2[[#This Row],[Member Type]]="Spouse",Table2[[#This Row],[Product Option]]="My Value Plus Life &amp; Funeral",_xlfn.XLOOKUP(B177,Table2[Main Member Link ID],Table2[Benefit Name],0)=Lookups!$D$17),Lookups!$D$21,
IF(AND(Table2[[#This Row],[Member Type]]="Child",Table2[[#This Row],[Product Option]]="My Value Plus Life &amp; Funeral",_xlfn.XLOOKUP(B178,Table2[Main Member Link ID],Table2[Benefit Name],0)=Lookups!$D$14),"",
IF(AND(Table2[[#This Row],[Member Type]]="Child",Table2[[#This Row],[Product Option]]="My Value Plus Life &amp; Funeral",_xlfn.XLOOKUP(B178,Table2[Main Member Link ID],Table2[Benefit Name],0)=Lookups!$D$15),"",
IF(AND(Table2[[#This Row],[Member Type]]="Child",Table2[[#This Row],[Product Option]]="My Value Plus Life &amp; Funeral",_xlfn.XLOOKUP(B178,Table2[Main Member Link ID],Table2[Benefit Name],0)=Lookups!$D$16),Lookups!$D$24,
IF(AND(Table2[[#This Row],[Member Type]]="Child",Table2[[#This Row],[Product Option]]="My Value Plus Life &amp; Funeral",_xlfn.XLOOKUP(B178,Table2[Main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Funeral",_xlfn.XLOOKUP(B178,Table2[Main Member Link ID],Table2[Benefit Name],0)&lt;&gt;Lookups!$D$14),
IF(_xlfn.XLOOKUP(B178,Table2[Main Member Link ID],Table2[Benefit Name],0)=0,"",_xlfn.XLOOKUP(B178,Table2[Main Member Link ID],Table2[Benefit Name],0)),"")))))))))))))))</f>
        <v/>
      </c>
      <c r="AF178" s="327" t="str">
        <f>IF(AND(Table2[[#This Row],[Member Type]]="Main Member",Table2[[#This Row],[Product Option]]="My Value Plus Life &amp; Funeral"),Lookups!$D$15,
IF(AND(Table2[[#This Row],[Member Type]]="Spouse",Table2[[#This Row],[Product Option]]="My Value Plus Life &amp; Funeral",_xlfn.XLOOKUP(B178,Table2[Main Member Link ID],Table2[Benefit Name],0)=Lookups!$D$14),"",
IF(AND(Table2[[#This Row],[Member Type]]="Spouse",Table2[[#This Row],[Product Option]]="My Value Plus Life &amp; Funeral",_xlfn.XLOOKUP(B177,Table2[Main Member Link ID],Table2[Benefit Name],0)=Lookups!$D$16),"",
IF(AND(Table2[[#This Row],[Member Type]]="Spouse",Table2[[#This Row],[Product Option]]="My Value Plus Life &amp; Funeral",_xlfn.XLOOKUP(B177,Table2[Main Member Link ID],Table2[Benefit Name],0)=Lookups!$D$15),"",
IF(AND(Table2[[#This Row],[Member Type]]="Spouse",Table2[[#This Row],[Product Option]]="My Value Plus Life &amp; Funeral",_xlfn.XLOOKUP(B177,Table2[Main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Funeral",_xlfn.XLOOKUP(B178,Table2[Main Member Link ID],Table2[Benefit Name],0)&lt;&gt;Lookups!$D$15),
IF(_xlfn.XLOOKUP(B178,Table2[Main Member Link ID],Table2[Benefit Name],0)=0,"",_xlfn.XLOOKUP(B178,Table2[Main Member Link ID],Table2[Benefit Name],0)),"")
))))))</f>
        <v/>
      </c>
      <c r="AG178" s="327" t="str">
        <f>IF(AND(Table2[[#This Row],[Member Type]]="Main Member",Table2[[#This Row],[Product Option]]="My Value Plus Life &amp; Funeral"),Lookups!$D$16,
IF(AND(Table2[[#This Row],[Member Type]]="Spouse",Table2[[#This Row],[Product Option]]="My Value Plus Life &amp; Funeral",_xlfn.XLOOKUP(B178,Table2[Main Member Link ID],Table2[Benefit Name],0)=Lookups!$D$14),"",
IF(AND(Table2[[#This Row],[Member Type]]="Spouse",Table2[[#This Row],[Product Option]]="My Value Plus Life &amp; Funeral",_xlfn.XLOOKUP(B177,Table2[Main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Funeral",_xlfn.XLOOKUP(B178,Table2[Main Member Link ID],Table2[Benefit Name],0)&lt;&gt;Lookups!$D$16),
IF(_xlfn.XLOOKUP(B178,Table2[Main Member Link ID],Table2[Benefit Name],0)=0,"",_xlfn.XLOOKUP(B178,Table2[Main Member Link ID],Table2[Benefit Name],0)),"")
))))</f>
        <v/>
      </c>
      <c r="AH178" s="327" t="str">
        <f>IF(AND(Table2[[#This Row],[Member Type]]="Main Member",Table2[[#This Row],[Product Option]]="My Value Plus Life &amp; Funeral"),Lookups!$D$17,
IF(AND(Table2[[#This Row],[Member Type]]="Spouse",Table2[[#This Row],[Product Option]]="My Value Plus Life &amp; Funeral",_xlfn.XLOOKUP(B178,Table2[Main Member Link ID],Table2[Benefit Name],0)=Lookups!$D$14),"",
IF(AND(Table2[[#This Row],[Member Type]]="Spouse",Table2[[#This Row],[Product Option]]="My Value Plus Life &amp; Funeral",_xlfn.XLOOKUP(B177,Table2[Main Member Link ID],Table2[Benefit Name],0)=Lookups!$D$16),"",
IF(AND(Table2[[#This Row],[Member Type]]="Child",Table2[[#This Row],[Product Option]]="My Value Plus Life &amp; Funeral"),"",
IF(AND(Table2[[#This Row],[Member Type]]="Child",Table2[[#This Row],[Product Option]]="My Value Plus Life &amp; Funeral",_xlfn.XLOOKUP(B178,Table2[Main Member Link ID],Table2[Benefit Name],0)=Lookups!$D$15),"",
IF(AND(OR(Table2[[#This Row],[Member Type]]="Spouse",Table2[[#This Row],[Member Type]]="Child"),Table2[[#This Row],[Product Option]]="My Value Plus Life &amp; Funeral",_xlfn.XLOOKUP(B178,Table2[Main Member Link ID],Table2[Benefit Name],0)&lt;&gt;Lookups!$D$17),
IF(_xlfn.XLOOKUP(B178,Table2[Main Member Link ID],Table2[Benefit Name],0)=0,"",_xlfn.XLOOKUP(B178,Table2[Main Member Link ID],Table2[Benefit Name],0)),""))))))</f>
        <v/>
      </c>
      <c r="AI178" s="328" t="str">
        <f>IF(AND(Table2[[#This Row],[Member Type]]="Main Member",Table2[[#This Row],[Table Lookup for Life Cover]]="MM_LIFE",Table2[[#This Row],[Age Next Birthday]]&lt;56),1,
IF(AND(Table2[[#This Row],[Member Type]]="Main Member",Table2[[#This Row],[Table Lookup for Life Cover]]="MM_LIFE",Table2[[#This Row],[Age Next Birthday]]&gt;=56),2,
""))</f>
        <v/>
      </c>
      <c r="AJ178" s="328">
        <f>IF(OR(Table2[[#This Row],[Member Type]]="Main Member",Table2[[#This Row],[Main Member Link ID]]=B177),1,0)</f>
        <v>1</v>
      </c>
      <c r="AK178" s="328">
        <f>IF(Table2[[#This Row],[Member Type]]=0,0,
IF(OR(Table2[[#This Row],[Member Type]]="Main Member",Table2[[#This Row],[Main Member Link ID]]&lt;&gt;B178),COUNTIFS(B:B,Table2[[#This Row],[Main Member Link ID]]),
COUNTIFS(B:B,Table2[[#This Row],[Main Member Link ID]],A:A,Table2[[#This Row],[Member Type]])))</f>
        <v>0</v>
      </c>
    </row>
    <row r="179" spans="1:37" x14ac:dyDescent="0.3">
      <c r="A179" s="284">
        <f>Table13[[#This Row],[Member Type]]</f>
        <v>0</v>
      </c>
      <c r="B179" s="284">
        <f>Table13[[#This Row],[Main Member Link ID]]</f>
        <v>0</v>
      </c>
      <c r="C179" s="284">
        <f>Table13[[#This Row],[ID Number]]</f>
        <v>0</v>
      </c>
      <c r="D179" s="285">
        <f>Table13[[#This Row],[Date Of Birth]]</f>
        <v>0</v>
      </c>
      <c r="E179" s="285">
        <f>Table13[[#This Row],[Commencement Date]]</f>
        <v>0</v>
      </c>
      <c r="F179" s="284">
        <f t="shared" si="14"/>
        <v>1</v>
      </c>
      <c r="G179" s="284">
        <f t="shared" si="15"/>
        <v>25</v>
      </c>
      <c r="H179" s="286">
        <f>Table13[[#This Row],[Product Option]]</f>
        <v>0</v>
      </c>
      <c r="I179" s="284">
        <f>IF(AND($A179="Main Member",Table2[[#This Row],[Product Option]]="My Value Plus Life"),"MM_LIFE",
IF(AND($A179="Spouse",Table2[[#This Row],[Product Option]]="My Value Plus Life"),"SP_LIFE",
IF(AND($A179="Main Member",Table2[[#This Row],[Product Option]]="My Value Plus Life &amp; Funeral"),"MM_LIFE",
IF(AND($A179="Spouse",Table2[[#This Row],[Product Option]]="My Value Plus Life &amp; Funeral"),_xlfn.XLOOKUP(Table2[[#This Row],[Benefit Name]],Lookups!$D$18:$D$23,Lookups!$E$18:$E$23,0),
0))))</f>
        <v>0</v>
      </c>
      <c r="J179" s="284">
        <f>IF($I179="","",
IF($I179="MM_LIFE",INDEX('Quotation Tool'!$S$54:$V$60,MATCH($T179,'Quotation Tool'!$S$54:$S$60,0),4),
IF($I179="SP_LIFE",_xlfn.XLOOKUP(B178,$B:$B,$J:$J,0),0)))</f>
        <v>0</v>
      </c>
      <c r="K179" s="287">
        <f t="shared" ca="1" si="19"/>
        <v>0</v>
      </c>
      <c r="L179" s="288">
        <f t="shared" ca="1" si="20"/>
        <v>0</v>
      </c>
      <c r="M179" s="289">
        <f t="shared" ca="1" si="16"/>
        <v>0</v>
      </c>
      <c r="N179" s="286">
        <f>Table13[[#This Row],[Benefit Option]]</f>
        <v>0</v>
      </c>
      <c r="O179" s="284">
        <f>IF(OR(Table2[[#This Row],[Member Type]]="Spouse",Table2[[#This Row],[Member Type]]="Child"),0,
IF(_xlfn.XLOOKUP($N179,Lookups!$D$13:$D$27,Lookups!$F$13:$F$27,0)=Table2[[#This Row],[Table Lookup for Life Cover]],0,
_xlfn.XLOOKUP($N179,Lookups!$D$13:$D$27,Lookups!$F$13:$F$27,0)))</f>
        <v>0</v>
      </c>
      <c r="P179" s="284">
        <f>IF(Table2[[#This Row],[Table Lookup for Funeral]]=0,0,IFERROR(INDEX('Quotation Tool'!$S$54:$V$60,MATCH($T179,'Quotation Tool'!$S$54:$S$60,0),3),0))</f>
        <v>0</v>
      </c>
      <c r="Q179" s="288">
        <f ca="1">IF(OR(Table2[[#This Row],[Benefit Name]]="My Value Plus Life - Main Member",Table2[[#This Row],[Benefit Name]]="My Value Plus Life - Spouse"),0,
IFERROR(VLOOKUP($G179,INDIRECT($O179),$P179,FALSE),0))</f>
        <v>0</v>
      </c>
      <c r="R179" s="288">
        <f ca="1">IF(OR(Table2[[#This Row],[Benefit Name]]="My Value Plus Life - Main Member",Table2[[#This Row],[Benefit Name]]="My Value Plus Life - Spouse"),0,
IFERROR(VLOOKUP($G179,INDIRECT($O179),$P179+1,FALSE),0))</f>
        <v>0</v>
      </c>
      <c r="S179" s="289">
        <f t="shared" ca="1" si="17"/>
        <v>0</v>
      </c>
      <c r="T179" s="284" t="str">
        <f>IF(Table13[[#This Row],[Premium Waiver]]="","None",Table13[[#This Row],[Premium Waiver]])</f>
        <v>None</v>
      </c>
      <c r="U179" s="284">
        <f>Table13[[#This Row],[VAPs Options]]</f>
        <v>0</v>
      </c>
      <c r="V179" s="284">
        <f>Table13[[#This Row],[Annual Increase Option]]</f>
        <v>0</v>
      </c>
      <c r="W179" s="290">
        <f>Table13[[#This Row],[Life Cover Amount]]</f>
        <v>0</v>
      </c>
      <c r="X179" s="290">
        <f>Table13[[#This Row],[Funeral Cover Amount]]</f>
        <v>0</v>
      </c>
      <c r="Y17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7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79" s="301">
        <f t="shared" ca="1" si="18"/>
        <v>0</v>
      </c>
      <c r="AB179" s="298"/>
      <c r="AC179" s="326" t="str">
        <f>IF(Table2[[#This Row],[Member Type]]="Main Member",Lookups!$C$13,
IF(Table2[[#This Row],[Member Type]]="Spouse",_xlfn.XLOOKUP(B179,Table2[Main Member Link ID],Table2[Product Option],0),
IF(AND(Table2[[#This Row],[Member Type]]="Child",_xlfn.XLOOKUP(B179,Table2[Main Member Link ID],Table2[Product Option],0)&lt;&gt;"My Value Plus Life"),Lookups!$C$24,
IF(AND(OR(Table2[[#This Row],[Member Type]]="Parent",Table2[[#This Row],[Member Type]]="Extended"),_xlfn.XLOOKUP(B179,Table2[Main Member Link ID],Table2[Product Option],0)&lt;&gt;"My Value Plus Life"),Lookups!$C$26,""))))</f>
        <v/>
      </c>
      <c r="AD179" s="326" t="str">
        <f>IF(Table2[[#This Row],[Member Type]]="Main Member",Lookups!$C$14,"")</f>
        <v/>
      </c>
      <c r="AE17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Funeral",_xlfn.XLOOKUP(B179,Table2[Main Member Link ID],Table2[Benefit Name],0)=Lookups!$D$14),"",
IF(AND(Table2[[#This Row],[Member Type]]="Spouse",Table2[[#This Row],[Product Option]]="My Value Plus Life &amp; Funeral",_xlfn.XLOOKUP(B178,Table2[Main Member Link ID],Table2[Benefit Name],0)=Lookups!$D$15),Lookups!$D$20,
IF(AND(Table2[[#This Row],[Member Type]]="Spouse",Table2[[#This Row],[Product Option]]="My Value Plus Life &amp; Funeral",_xlfn.XLOOKUP(B178,Table2[Main Member Link ID],Table2[Benefit Name],0)=Lookups!$D$16),"",
IF(AND(Table2[[#This Row],[Member Type]]="Spouse",Table2[[#This Row],[Product Option]]="My Value Plus Life &amp; Funeral",_xlfn.XLOOKUP(B178,Table2[Main Member Link ID],Table2[Benefit Name],0)=Lookups!$D$17),Lookups!$D$21,
IF(AND(Table2[[#This Row],[Member Type]]="Child",Table2[[#This Row],[Product Option]]="My Value Plus Life &amp; Funeral",_xlfn.XLOOKUP(B179,Table2[Main Member Link ID],Table2[Benefit Name],0)=Lookups!$D$14),"",
IF(AND(Table2[[#This Row],[Member Type]]="Child",Table2[[#This Row],[Product Option]]="My Value Plus Life &amp; Funeral",_xlfn.XLOOKUP(B179,Table2[Main Member Link ID],Table2[Benefit Name],0)=Lookups!$D$15),"",
IF(AND(Table2[[#This Row],[Member Type]]="Child",Table2[[#This Row],[Product Option]]="My Value Plus Life &amp; Funeral",_xlfn.XLOOKUP(B179,Table2[Main Member Link ID],Table2[Benefit Name],0)=Lookups!$D$16),Lookups!$D$24,
IF(AND(Table2[[#This Row],[Member Type]]="Child",Table2[[#This Row],[Product Option]]="My Value Plus Life &amp; Funeral",_xlfn.XLOOKUP(B179,Table2[Main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Funeral",_xlfn.XLOOKUP(B179,Table2[Main Member Link ID],Table2[Benefit Name],0)&lt;&gt;Lookups!$D$14),
IF(_xlfn.XLOOKUP(B179,Table2[Main Member Link ID],Table2[Benefit Name],0)=0,"",_xlfn.XLOOKUP(B179,Table2[Main Member Link ID],Table2[Benefit Name],0)),"")))))))))))))))</f>
        <v/>
      </c>
      <c r="AF179" s="327" t="str">
        <f>IF(AND(Table2[[#This Row],[Member Type]]="Main Member",Table2[[#This Row],[Product Option]]="My Value Plus Life &amp; Funeral"),Lookups!$D$15,
IF(AND(Table2[[#This Row],[Member Type]]="Spouse",Table2[[#This Row],[Product Option]]="My Value Plus Life &amp; Funeral",_xlfn.XLOOKUP(B179,Table2[Main Member Link ID],Table2[Benefit Name],0)=Lookups!$D$14),"",
IF(AND(Table2[[#This Row],[Member Type]]="Spouse",Table2[[#This Row],[Product Option]]="My Value Plus Life &amp; Funeral",_xlfn.XLOOKUP(B178,Table2[Main Member Link ID],Table2[Benefit Name],0)=Lookups!$D$16),"",
IF(AND(Table2[[#This Row],[Member Type]]="Spouse",Table2[[#This Row],[Product Option]]="My Value Plus Life &amp; Funeral",_xlfn.XLOOKUP(B178,Table2[Main Member Link ID],Table2[Benefit Name],0)=Lookups!$D$15),"",
IF(AND(Table2[[#This Row],[Member Type]]="Spouse",Table2[[#This Row],[Product Option]]="My Value Plus Life &amp; Funeral",_xlfn.XLOOKUP(B178,Table2[Main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Funeral",_xlfn.XLOOKUP(B179,Table2[Main Member Link ID],Table2[Benefit Name],0)&lt;&gt;Lookups!$D$15),
IF(_xlfn.XLOOKUP(B179,Table2[Main Member Link ID],Table2[Benefit Name],0)=0,"",_xlfn.XLOOKUP(B179,Table2[Main Member Link ID],Table2[Benefit Name],0)),"")
))))))</f>
        <v/>
      </c>
      <c r="AG179" s="327" t="str">
        <f>IF(AND(Table2[[#This Row],[Member Type]]="Main Member",Table2[[#This Row],[Product Option]]="My Value Plus Life &amp; Funeral"),Lookups!$D$16,
IF(AND(Table2[[#This Row],[Member Type]]="Spouse",Table2[[#This Row],[Product Option]]="My Value Plus Life &amp; Funeral",_xlfn.XLOOKUP(B179,Table2[Main Member Link ID],Table2[Benefit Name],0)=Lookups!$D$14),"",
IF(AND(Table2[[#This Row],[Member Type]]="Spouse",Table2[[#This Row],[Product Option]]="My Value Plus Life &amp; Funeral",_xlfn.XLOOKUP(B178,Table2[Main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Funeral",_xlfn.XLOOKUP(B179,Table2[Main Member Link ID],Table2[Benefit Name],0)&lt;&gt;Lookups!$D$16),
IF(_xlfn.XLOOKUP(B179,Table2[Main Member Link ID],Table2[Benefit Name],0)=0,"",_xlfn.XLOOKUP(B179,Table2[Main Member Link ID],Table2[Benefit Name],0)),"")
))))</f>
        <v/>
      </c>
      <c r="AH179" s="327" t="str">
        <f>IF(AND(Table2[[#This Row],[Member Type]]="Main Member",Table2[[#This Row],[Product Option]]="My Value Plus Life &amp; Funeral"),Lookups!$D$17,
IF(AND(Table2[[#This Row],[Member Type]]="Spouse",Table2[[#This Row],[Product Option]]="My Value Plus Life &amp; Funeral",_xlfn.XLOOKUP(B179,Table2[Main Member Link ID],Table2[Benefit Name],0)=Lookups!$D$14),"",
IF(AND(Table2[[#This Row],[Member Type]]="Spouse",Table2[[#This Row],[Product Option]]="My Value Plus Life &amp; Funeral",_xlfn.XLOOKUP(B178,Table2[Main Member Link ID],Table2[Benefit Name],0)=Lookups!$D$16),"",
IF(AND(Table2[[#This Row],[Member Type]]="Child",Table2[[#This Row],[Product Option]]="My Value Plus Life &amp; Funeral"),"",
IF(AND(Table2[[#This Row],[Member Type]]="Child",Table2[[#This Row],[Product Option]]="My Value Plus Life &amp; Funeral",_xlfn.XLOOKUP(B179,Table2[Main Member Link ID],Table2[Benefit Name],0)=Lookups!$D$15),"",
IF(AND(OR(Table2[[#This Row],[Member Type]]="Spouse",Table2[[#This Row],[Member Type]]="Child"),Table2[[#This Row],[Product Option]]="My Value Plus Life &amp; Funeral",_xlfn.XLOOKUP(B179,Table2[Main Member Link ID],Table2[Benefit Name],0)&lt;&gt;Lookups!$D$17),
IF(_xlfn.XLOOKUP(B179,Table2[Main Member Link ID],Table2[Benefit Name],0)=0,"",_xlfn.XLOOKUP(B179,Table2[Main Member Link ID],Table2[Benefit Name],0)),""))))))</f>
        <v/>
      </c>
      <c r="AI179" s="328" t="str">
        <f>IF(AND(Table2[[#This Row],[Member Type]]="Main Member",Table2[[#This Row],[Table Lookup for Life Cover]]="MM_LIFE",Table2[[#This Row],[Age Next Birthday]]&lt;56),1,
IF(AND(Table2[[#This Row],[Member Type]]="Main Member",Table2[[#This Row],[Table Lookup for Life Cover]]="MM_LIFE",Table2[[#This Row],[Age Next Birthday]]&gt;=56),2,
""))</f>
        <v/>
      </c>
      <c r="AJ179" s="328">
        <f>IF(OR(Table2[[#This Row],[Member Type]]="Main Member",Table2[[#This Row],[Main Member Link ID]]=B178),1,0)</f>
        <v>1</v>
      </c>
      <c r="AK179" s="328">
        <f>IF(Table2[[#This Row],[Member Type]]=0,0,
IF(OR(Table2[[#This Row],[Member Type]]="Main Member",Table2[[#This Row],[Main Member Link ID]]&lt;&gt;B179),COUNTIFS(B:B,Table2[[#This Row],[Main Member Link ID]]),
COUNTIFS(B:B,Table2[[#This Row],[Main Member Link ID]],A:A,Table2[[#This Row],[Member Type]])))</f>
        <v>0</v>
      </c>
    </row>
    <row r="180" spans="1:37" x14ac:dyDescent="0.3">
      <c r="A180" s="284">
        <f>Table13[[#This Row],[Member Type]]</f>
        <v>0</v>
      </c>
      <c r="B180" s="284">
        <f>Table13[[#This Row],[Main Member Link ID]]</f>
        <v>0</v>
      </c>
      <c r="C180" s="284">
        <f>Table13[[#This Row],[ID Number]]</f>
        <v>0</v>
      </c>
      <c r="D180" s="285">
        <f>Table13[[#This Row],[Date Of Birth]]</f>
        <v>0</v>
      </c>
      <c r="E180" s="285">
        <f>Table13[[#This Row],[Commencement Date]]</f>
        <v>0</v>
      </c>
      <c r="F180" s="284">
        <f t="shared" si="14"/>
        <v>1</v>
      </c>
      <c r="G180" s="284">
        <f t="shared" si="15"/>
        <v>25</v>
      </c>
      <c r="H180" s="286">
        <f>Table13[[#This Row],[Product Option]]</f>
        <v>0</v>
      </c>
      <c r="I180" s="284">
        <f>IF(AND($A180="Main Member",Table2[[#This Row],[Product Option]]="My Value Plus Life"),"MM_LIFE",
IF(AND($A180="Spouse",Table2[[#This Row],[Product Option]]="My Value Plus Life"),"SP_LIFE",
IF(AND($A180="Main Member",Table2[[#This Row],[Product Option]]="My Value Plus Life &amp; Funeral"),"MM_LIFE",
IF(AND($A180="Spouse",Table2[[#This Row],[Product Option]]="My Value Plus Life &amp; Funeral"),_xlfn.XLOOKUP(Table2[[#This Row],[Benefit Name]],Lookups!$D$18:$D$23,Lookups!$E$18:$E$23,0),
0))))</f>
        <v>0</v>
      </c>
      <c r="J180" s="284">
        <f>IF($I180="","",
IF($I180="MM_LIFE",INDEX('Quotation Tool'!$S$54:$V$60,MATCH($T180,'Quotation Tool'!$S$54:$S$60,0),4),
IF($I180="SP_LIFE",_xlfn.XLOOKUP(B179,$B:$B,$J:$J,0),0)))</f>
        <v>0</v>
      </c>
      <c r="K180" s="287">
        <f t="shared" ca="1" si="19"/>
        <v>0</v>
      </c>
      <c r="L180" s="288">
        <f t="shared" ca="1" si="20"/>
        <v>0</v>
      </c>
      <c r="M180" s="289">
        <f t="shared" ca="1" si="16"/>
        <v>0</v>
      </c>
      <c r="N180" s="286">
        <f>Table13[[#This Row],[Benefit Option]]</f>
        <v>0</v>
      </c>
      <c r="O180" s="284">
        <f>IF(OR(Table2[[#This Row],[Member Type]]="Spouse",Table2[[#This Row],[Member Type]]="Child"),0,
IF(_xlfn.XLOOKUP($N180,Lookups!$D$13:$D$27,Lookups!$F$13:$F$27,0)=Table2[[#This Row],[Table Lookup for Life Cover]],0,
_xlfn.XLOOKUP($N180,Lookups!$D$13:$D$27,Lookups!$F$13:$F$27,0)))</f>
        <v>0</v>
      </c>
      <c r="P180" s="284">
        <f>IF(Table2[[#This Row],[Table Lookup for Funeral]]=0,0,IFERROR(INDEX('Quotation Tool'!$S$54:$V$60,MATCH($T180,'Quotation Tool'!$S$54:$S$60,0),3),0))</f>
        <v>0</v>
      </c>
      <c r="Q180" s="288">
        <f ca="1">IF(OR(Table2[[#This Row],[Benefit Name]]="My Value Plus Life - Main Member",Table2[[#This Row],[Benefit Name]]="My Value Plus Life - Spouse"),0,
IFERROR(VLOOKUP($G180,INDIRECT($O180),$P180,FALSE),0))</f>
        <v>0</v>
      </c>
      <c r="R180" s="288">
        <f ca="1">IF(OR(Table2[[#This Row],[Benefit Name]]="My Value Plus Life - Main Member",Table2[[#This Row],[Benefit Name]]="My Value Plus Life - Spouse"),0,
IFERROR(VLOOKUP($G180,INDIRECT($O180),$P180+1,FALSE),0))</f>
        <v>0</v>
      </c>
      <c r="S180" s="289">
        <f t="shared" ca="1" si="17"/>
        <v>0</v>
      </c>
      <c r="T180" s="284" t="str">
        <f>IF(Table13[[#This Row],[Premium Waiver]]="","None",Table13[[#This Row],[Premium Waiver]])</f>
        <v>None</v>
      </c>
      <c r="U180" s="284">
        <f>Table13[[#This Row],[VAPs Options]]</f>
        <v>0</v>
      </c>
      <c r="V180" s="284">
        <f>Table13[[#This Row],[Annual Increase Option]]</f>
        <v>0</v>
      </c>
      <c r="W180" s="290">
        <f>Table13[[#This Row],[Life Cover Amount]]</f>
        <v>0</v>
      </c>
      <c r="X180" s="290">
        <f>Table13[[#This Row],[Funeral Cover Amount]]</f>
        <v>0</v>
      </c>
      <c r="Y18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8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80" s="301">
        <f t="shared" ca="1" si="18"/>
        <v>0</v>
      </c>
      <c r="AB180" s="298"/>
      <c r="AC180" s="326" t="str">
        <f>IF(Table2[[#This Row],[Member Type]]="Main Member",Lookups!$C$13,
IF(Table2[[#This Row],[Member Type]]="Spouse",_xlfn.XLOOKUP(B180,Table2[Main Member Link ID],Table2[Product Option],0),
IF(AND(Table2[[#This Row],[Member Type]]="Child",_xlfn.XLOOKUP(B180,Table2[Main Member Link ID],Table2[Product Option],0)&lt;&gt;"My Value Plus Life"),Lookups!$C$24,
IF(AND(OR(Table2[[#This Row],[Member Type]]="Parent",Table2[[#This Row],[Member Type]]="Extended"),_xlfn.XLOOKUP(B180,Table2[Main Member Link ID],Table2[Product Option],0)&lt;&gt;"My Value Plus Life"),Lookups!$C$26,""))))</f>
        <v/>
      </c>
      <c r="AD180" s="326" t="str">
        <f>IF(Table2[[#This Row],[Member Type]]="Main Member",Lookups!$C$14,"")</f>
        <v/>
      </c>
      <c r="AE18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Funeral",_xlfn.XLOOKUP(B180,Table2[Main Member Link ID],Table2[Benefit Name],0)=Lookups!$D$14),"",
IF(AND(Table2[[#This Row],[Member Type]]="Spouse",Table2[[#This Row],[Product Option]]="My Value Plus Life &amp; Funeral",_xlfn.XLOOKUP(B179,Table2[Main Member Link ID],Table2[Benefit Name],0)=Lookups!$D$15),Lookups!$D$20,
IF(AND(Table2[[#This Row],[Member Type]]="Spouse",Table2[[#This Row],[Product Option]]="My Value Plus Life &amp; Funeral",_xlfn.XLOOKUP(B179,Table2[Main Member Link ID],Table2[Benefit Name],0)=Lookups!$D$16),"",
IF(AND(Table2[[#This Row],[Member Type]]="Spouse",Table2[[#This Row],[Product Option]]="My Value Plus Life &amp; Funeral",_xlfn.XLOOKUP(B179,Table2[Main Member Link ID],Table2[Benefit Name],0)=Lookups!$D$17),Lookups!$D$21,
IF(AND(Table2[[#This Row],[Member Type]]="Child",Table2[[#This Row],[Product Option]]="My Value Plus Life &amp; Funeral",_xlfn.XLOOKUP(B180,Table2[Main Member Link ID],Table2[Benefit Name],0)=Lookups!$D$14),"",
IF(AND(Table2[[#This Row],[Member Type]]="Child",Table2[[#This Row],[Product Option]]="My Value Plus Life &amp; Funeral",_xlfn.XLOOKUP(B180,Table2[Main Member Link ID],Table2[Benefit Name],0)=Lookups!$D$15),"",
IF(AND(Table2[[#This Row],[Member Type]]="Child",Table2[[#This Row],[Product Option]]="My Value Plus Life &amp; Funeral",_xlfn.XLOOKUP(B180,Table2[Main Member Link ID],Table2[Benefit Name],0)=Lookups!$D$16),Lookups!$D$24,
IF(AND(Table2[[#This Row],[Member Type]]="Child",Table2[[#This Row],[Product Option]]="My Value Plus Life &amp; Funeral",_xlfn.XLOOKUP(B180,Table2[Main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Funeral",_xlfn.XLOOKUP(B180,Table2[Main Member Link ID],Table2[Benefit Name],0)&lt;&gt;Lookups!$D$14),
IF(_xlfn.XLOOKUP(B180,Table2[Main Member Link ID],Table2[Benefit Name],0)=0,"",_xlfn.XLOOKUP(B180,Table2[Main Member Link ID],Table2[Benefit Name],0)),"")))))))))))))))</f>
        <v/>
      </c>
      <c r="AF180" s="327" t="str">
        <f>IF(AND(Table2[[#This Row],[Member Type]]="Main Member",Table2[[#This Row],[Product Option]]="My Value Plus Life &amp; Funeral"),Lookups!$D$15,
IF(AND(Table2[[#This Row],[Member Type]]="Spouse",Table2[[#This Row],[Product Option]]="My Value Plus Life &amp; Funeral",_xlfn.XLOOKUP(B180,Table2[Main Member Link ID],Table2[Benefit Name],0)=Lookups!$D$14),"",
IF(AND(Table2[[#This Row],[Member Type]]="Spouse",Table2[[#This Row],[Product Option]]="My Value Plus Life &amp; Funeral",_xlfn.XLOOKUP(B179,Table2[Main Member Link ID],Table2[Benefit Name],0)=Lookups!$D$16),"",
IF(AND(Table2[[#This Row],[Member Type]]="Spouse",Table2[[#This Row],[Product Option]]="My Value Plus Life &amp; Funeral",_xlfn.XLOOKUP(B179,Table2[Main Member Link ID],Table2[Benefit Name],0)=Lookups!$D$15),"",
IF(AND(Table2[[#This Row],[Member Type]]="Spouse",Table2[[#This Row],[Product Option]]="My Value Plus Life &amp; Funeral",_xlfn.XLOOKUP(B179,Table2[Main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Funeral",_xlfn.XLOOKUP(B180,Table2[Main Member Link ID],Table2[Benefit Name],0)&lt;&gt;Lookups!$D$15),
IF(_xlfn.XLOOKUP(B180,Table2[Main Member Link ID],Table2[Benefit Name],0)=0,"",_xlfn.XLOOKUP(B180,Table2[Main Member Link ID],Table2[Benefit Name],0)),"")
))))))</f>
        <v/>
      </c>
      <c r="AG180" s="327" t="str">
        <f>IF(AND(Table2[[#This Row],[Member Type]]="Main Member",Table2[[#This Row],[Product Option]]="My Value Plus Life &amp; Funeral"),Lookups!$D$16,
IF(AND(Table2[[#This Row],[Member Type]]="Spouse",Table2[[#This Row],[Product Option]]="My Value Plus Life &amp; Funeral",_xlfn.XLOOKUP(B180,Table2[Main Member Link ID],Table2[Benefit Name],0)=Lookups!$D$14),"",
IF(AND(Table2[[#This Row],[Member Type]]="Spouse",Table2[[#This Row],[Product Option]]="My Value Plus Life &amp; Funeral",_xlfn.XLOOKUP(B179,Table2[Main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Funeral",_xlfn.XLOOKUP(B180,Table2[Main Member Link ID],Table2[Benefit Name],0)&lt;&gt;Lookups!$D$16),
IF(_xlfn.XLOOKUP(B180,Table2[Main Member Link ID],Table2[Benefit Name],0)=0,"",_xlfn.XLOOKUP(B180,Table2[Main Member Link ID],Table2[Benefit Name],0)),"")
))))</f>
        <v/>
      </c>
      <c r="AH180" s="327" t="str">
        <f>IF(AND(Table2[[#This Row],[Member Type]]="Main Member",Table2[[#This Row],[Product Option]]="My Value Plus Life &amp; Funeral"),Lookups!$D$17,
IF(AND(Table2[[#This Row],[Member Type]]="Spouse",Table2[[#This Row],[Product Option]]="My Value Plus Life &amp; Funeral",_xlfn.XLOOKUP(B180,Table2[Main Member Link ID],Table2[Benefit Name],0)=Lookups!$D$14),"",
IF(AND(Table2[[#This Row],[Member Type]]="Spouse",Table2[[#This Row],[Product Option]]="My Value Plus Life &amp; Funeral",_xlfn.XLOOKUP(B179,Table2[Main Member Link ID],Table2[Benefit Name],0)=Lookups!$D$16),"",
IF(AND(Table2[[#This Row],[Member Type]]="Child",Table2[[#This Row],[Product Option]]="My Value Plus Life &amp; Funeral"),"",
IF(AND(Table2[[#This Row],[Member Type]]="Child",Table2[[#This Row],[Product Option]]="My Value Plus Life &amp; Funeral",_xlfn.XLOOKUP(B180,Table2[Main Member Link ID],Table2[Benefit Name],0)=Lookups!$D$15),"",
IF(AND(OR(Table2[[#This Row],[Member Type]]="Spouse",Table2[[#This Row],[Member Type]]="Child"),Table2[[#This Row],[Product Option]]="My Value Plus Life &amp; Funeral",_xlfn.XLOOKUP(B180,Table2[Main Member Link ID],Table2[Benefit Name],0)&lt;&gt;Lookups!$D$17),
IF(_xlfn.XLOOKUP(B180,Table2[Main Member Link ID],Table2[Benefit Name],0)=0,"",_xlfn.XLOOKUP(B180,Table2[Main Member Link ID],Table2[Benefit Name],0)),""))))))</f>
        <v/>
      </c>
      <c r="AI180" s="328" t="str">
        <f>IF(AND(Table2[[#This Row],[Member Type]]="Main Member",Table2[[#This Row],[Table Lookup for Life Cover]]="MM_LIFE",Table2[[#This Row],[Age Next Birthday]]&lt;56),1,
IF(AND(Table2[[#This Row],[Member Type]]="Main Member",Table2[[#This Row],[Table Lookup for Life Cover]]="MM_LIFE",Table2[[#This Row],[Age Next Birthday]]&gt;=56),2,
""))</f>
        <v/>
      </c>
      <c r="AJ180" s="328">
        <f>IF(OR(Table2[[#This Row],[Member Type]]="Main Member",Table2[[#This Row],[Main Member Link ID]]=B179),1,0)</f>
        <v>1</v>
      </c>
      <c r="AK180" s="328">
        <f>IF(Table2[[#This Row],[Member Type]]=0,0,
IF(OR(Table2[[#This Row],[Member Type]]="Main Member",Table2[[#This Row],[Main Member Link ID]]&lt;&gt;B180),COUNTIFS(B:B,Table2[[#This Row],[Main Member Link ID]]),
COUNTIFS(B:B,Table2[[#This Row],[Main Member Link ID]],A:A,Table2[[#This Row],[Member Type]])))</f>
        <v>0</v>
      </c>
    </row>
    <row r="181" spans="1:37" x14ac:dyDescent="0.3">
      <c r="A181" s="284">
        <f>Table13[[#This Row],[Member Type]]</f>
        <v>0</v>
      </c>
      <c r="B181" s="284">
        <f>Table13[[#This Row],[Main Member Link ID]]</f>
        <v>0</v>
      </c>
      <c r="C181" s="284">
        <f>Table13[[#This Row],[ID Number]]</f>
        <v>0</v>
      </c>
      <c r="D181" s="285">
        <f>Table13[[#This Row],[Date Of Birth]]</f>
        <v>0</v>
      </c>
      <c r="E181" s="285">
        <f>Table13[[#This Row],[Commencement Date]]</f>
        <v>0</v>
      </c>
      <c r="F181" s="284">
        <f t="shared" si="14"/>
        <v>1</v>
      </c>
      <c r="G181" s="284">
        <f t="shared" si="15"/>
        <v>25</v>
      </c>
      <c r="H181" s="286">
        <f>Table13[[#This Row],[Product Option]]</f>
        <v>0</v>
      </c>
      <c r="I181" s="284">
        <f>IF(AND($A181="Main Member",Table2[[#This Row],[Product Option]]="My Value Plus Life"),"MM_LIFE",
IF(AND($A181="Spouse",Table2[[#This Row],[Product Option]]="My Value Plus Life"),"SP_LIFE",
IF(AND($A181="Main Member",Table2[[#This Row],[Product Option]]="My Value Plus Life &amp; Funeral"),"MM_LIFE",
IF(AND($A181="Spouse",Table2[[#This Row],[Product Option]]="My Value Plus Life &amp; Funeral"),_xlfn.XLOOKUP(Table2[[#This Row],[Benefit Name]],Lookups!$D$18:$D$23,Lookups!$E$18:$E$23,0),
0))))</f>
        <v>0</v>
      </c>
      <c r="J181" s="284">
        <f>IF($I181="","",
IF($I181="MM_LIFE",INDEX('Quotation Tool'!$S$54:$V$60,MATCH($T181,'Quotation Tool'!$S$54:$S$60,0),4),
IF($I181="SP_LIFE",_xlfn.XLOOKUP(B180,$B:$B,$J:$J,0),0)))</f>
        <v>0</v>
      </c>
      <c r="K181" s="287">
        <f t="shared" ca="1" si="19"/>
        <v>0</v>
      </c>
      <c r="L181" s="288">
        <f t="shared" ca="1" si="20"/>
        <v>0</v>
      </c>
      <c r="M181" s="289">
        <f t="shared" ca="1" si="16"/>
        <v>0</v>
      </c>
      <c r="N181" s="286">
        <f>Table13[[#This Row],[Benefit Option]]</f>
        <v>0</v>
      </c>
      <c r="O181" s="284">
        <f>IF(OR(Table2[[#This Row],[Member Type]]="Spouse",Table2[[#This Row],[Member Type]]="Child"),0,
IF(_xlfn.XLOOKUP($N181,Lookups!$D$13:$D$27,Lookups!$F$13:$F$27,0)=Table2[[#This Row],[Table Lookup for Life Cover]],0,
_xlfn.XLOOKUP($N181,Lookups!$D$13:$D$27,Lookups!$F$13:$F$27,0)))</f>
        <v>0</v>
      </c>
      <c r="P181" s="284">
        <f>IF(Table2[[#This Row],[Table Lookup for Funeral]]=0,0,IFERROR(INDEX('Quotation Tool'!$S$54:$V$60,MATCH($T181,'Quotation Tool'!$S$54:$S$60,0),3),0))</f>
        <v>0</v>
      </c>
      <c r="Q181" s="288">
        <f ca="1">IF(OR(Table2[[#This Row],[Benefit Name]]="My Value Plus Life - Main Member",Table2[[#This Row],[Benefit Name]]="My Value Plus Life - Spouse"),0,
IFERROR(VLOOKUP($G181,INDIRECT($O181),$P181,FALSE),0))</f>
        <v>0</v>
      </c>
      <c r="R181" s="288">
        <f ca="1">IF(OR(Table2[[#This Row],[Benefit Name]]="My Value Plus Life - Main Member",Table2[[#This Row],[Benefit Name]]="My Value Plus Life - Spouse"),0,
IFERROR(VLOOKUP($G181,INDIRECT($O181),$P181+1,FALSE),0))</f>
        <v>0</v>
      </c>
      <c r="S181" s="289">
        <f t="shared" ca="1" si="17"/>
        <v>0</v>
      </c>
      <c r="T181" s="284" t="str">
        <f>IF(Table13[[#This Row],[Premium Waiver]]="","None",Table13[[#This Row],[Premium Waiver]])</f>
        <v>None</v>
      </c>
      <c r="U181" s="284">
        <f>Table13[[#This Row],[VAPs Options]]</f>
        <v>0</v>
      </c>
      <c r="V181" s="284">
        <f>Table13[[#This Row],[Annual Increase Option]]</f>
        <v>0</v>
      </c>
      <c r="W181" s="290">
        <f>Table13[[#This Row],[Life Cover Amount]]</f>
        <v>0</v>
      </c>
      <c r="X181" s="290">
        <f>Table13[[#This Row],[Funeral Cover Amount]]</f>
        <v>0</v>
      </c>
      <c r="Y18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8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81" s="301">
        <f t="shared" ca="1" si="18"/>
        <v>0</v>
      </c>
      <c r="AB181" s="298"/>
      <c r="AC181" s="326" t="str">
        <f>IF(Table2[[#This Row],[Member Type]]="Main Member",Lookups!$C$13,
IF(Table2[[#This Row],[Member Type]]="Spouse",_xlfn.XLOOKUP(B181,Table2[Main Member Link ID],Table2[Product Option],0),
IF(AND(Table2[[#This Row],[Member Type]]="Child",_xlfn.XLOOKUP(B181,Table2[Main Member Link ID],Table2[Product Option],0)&lt;&gt;"My Value Plus Life"),Lookups!$C$24,
IF(AND(OR(Table2[[#This Row],[Member Type]]="Parent",Table2[[#This Row],[Member Type]]="Extended"),_xlfn.XLOOKUP(B181,Table2[Main Member Link ID],Table2[Product Option],0)&lt;&gt;"My Value Plus Life"),Lookups!$C$26,""))))</f>
        <v/>
      </c>
      <c r="AD181" s="326" t="str">
        <f>IF(Table2[[#This Row],[Member Type]]="Main Member",Lookups!$C$14,"")</f>
        <v/>
      </c>
      <c r="AE18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Funeral",_xlfn.XLOOKUP(B181,Table2[Main Member Link ID],Table2[Benefit Name],0)=Lookups!$D$14),"",
IF(AND(Table2[[#This Row],[Member Type]]="Spouse",Table2[[#This Row],[Product Option]]="My Value Plus Life &amp; Funeral",_xlfn.XLOOKUP(B180,Table2[Main Member Link ID],Table2[Benefit Name],0)=Lookups!$D$15),Lookups!$D$20,
IF(AND(Table2[[#This Row],[Member Type]]="Spouse",Table2[[#This Row],[Product Option]]="My Value Plus Life &amp; Funeral",_xlfn.XLOOKUP(B180,Table2[Main Member Link ID],Table2[Benefit Name],0)=Lookups!$D$16),"",
IF(AND(Table2[[#This Row],[Member Type]]="Spouse",Table2[[#This Row],[Product Option]]="My Value Plus Life &amp; Funeral",_xlfn.XLOOKUP(B180,Table2[Main Member Link ID],Table2[Benefit Name],0)=Lookups!$D$17),Lookups!$D$21,
IF(AND(Table2[[#This Row],[Member Type]]="Child",Table2[[#This Row],[Product Option]]="My Value Plus Life &amp; Funeral",_xlfn.XLOOKUP(B181,Table2[Main Member Link ID],Table2[Benefit Name],0)=Lookups!$D$14),"",
IF(AND(Table2[[#This Row],[Member Type]]="Child",Table2[[#This Row],[Product Option]]="My Value Plus Life &amp; Funeral",_xlfn.XLOOKUP(B181,Table2[Main Member Link ID],Table2[Benefit Name],0)=Lookups!$D$15),"",
IF(AND(Table2[[#This Row],[Member Type]]="Child",Table2[[#This Row],[Product Option]]="My Value Plus Life &amp; Funeral",_xlfn.XLOOKUP(B181,Table2[Main Member Link ID],Table2[Benefit Name],0)=Lookups!$D$16),Lookups!$D$24,
IF(AND(Table2[[#This Row],[Member Type]]="Child",Table2[[#This Row],[Product Option]]="My Value Plus Life &amp; Funeral",_xlfn.XLOOKUP(B181,Table2[Main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Funeral",_xlfn.XLOOKUP(B181,Table2[Main Member Link ID],Table2[Benefit Name],0)&lt;&gt;Lookups!$D$14),
IF(_xlfn.XLOOKUP(B181,Table2[Main Member Link ID],Table2[Benefit Name],0)=0,"",_xlfn.XLOOKUP(B181,Table2[Main Member Link ID],Table2[Benefit Name],0)),"")))))))))))))))</f>
        <v/>
      </c>
      <c r="AF181" s="327" t="str">
        <f>IF(AND(Table2[[#This Row],[Member Type]]="Main Member",Table2[[#This Row],[Product Option]]="My Value Plus Life &amp; Funeral"),Lookups!$D$15,
IF(AND(Table2[[#This Row],[Member Type]]="Spouse",Table2[[#This Row],[Product Option]]="My Value Plus Life &amp; Funeral",_xlfn.XLOOKUP(B181,Table2[Main Member Link ID],Table2[Benefit Name],0)=Lookups!$D$14),"",
IF(AND(Table2[[#This Row],[Member Type]]="Spouse",Table2[[#This Row],[Product Option]]="My Value Plus Life &amp; Funeral",_xlfn.XLOOKUP(B180,Table2[Main Member Link ID],Table2[Benefit Name],0)=Lookups!$D$16),"",
IF(AND(Table2[[#This Row],[Member Type]]="Spouse",Table2[[#This Row],[Product Option]]="My Value Plus Life &amp; Funeral",_xlfn.XLOOKUP(B180,Table2[Main Member Link ID],Table2[Benefit Name],0)=Lookups!$D$15),"",
IF(AND(Table2[[#This Row],[Member Type]]="Spouse",Table2[[#This Row],[Product Option]]="My Value Plus Life &amp; Funeral",_xlfn.XLOOKUP(B180,Table2[Main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Funeral",_xlfn.XLOOKUP(B181,Table2[Main Member Link ID],Table2[Benefit Name],0)&lt;&gt;Lookups!$D$15),
IF(_xlfn.XLOOKUP(B181,Table2[Main Member Link ID],Table2[Benefit Name],0)=0,"",_xlfn.XLOOKUP(B181,Table2[Main Member Link ID],Table2[Benefit Name],0)),"")
))))))</f>
        <v/>
      </c>
      <c r="AG181" s="327" t="str">
        <f>IF(AND(Table2[[#This Row],[Member Type]]="Main Member",Table2[[#This Row],[Product Option]]="My Value Plus Life &amp; Funeral"),Lookups!$D$16,
IF(AND(Table2[[#This Row],[Member Type]]="Spouse",Table2[[#This Row],[Product Option]]="My Value Plus Life &amp; Funeral",_xlfn.XLOOKUP(B181,Table2[Main Member Link ID],Table2[Benefit Name],0)=Lookups!$D$14),"",
IF(AND(Table2[[#This Row],[Member Type]]="Spouse",Table2[[#This Row],[Product Option]]="My Value Plus Life &amp; Funeral",_xlfn.XLOOKUP(B180,Table2[Main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Funeral",_xlfn.XLOOKUP(B181,Table2[Main Member Link ID],Table2[Benefit Name],0)&lt;&gt;Lookups!$D$16),
IF(_xlfn.XLOOKUP(B181,Table2[Main Member Link ID],Table2[Benefit Name],0)=0,"",_xlfn.XLOOKUP(B181,Table2[Main Member Link ID],Table2[Benefit Name],0)),"")
))))</f>
        <v/>
      </c>
      <c r="AH181" s="327" t="str">
        <f>IF(AND(Table2[[#This Row],[Member Type]]="Main Member",Table2[[#This Row],[Product Option]]="My Value Plus Life &amp; Funeral"),Lookups!$D$17,
IF(AND(Table2[[#This Row],[Member Type]]="Spouse",Table2[[#This Row],[Product Option]]="My Value Plus Life &amp; Funeral",_xlfn.XLOOKUP(B181,Table2[Main Member Link ID],Table2[Benefit Name],0)=Lookups!$D$14),"",
IF(AND(Table2[[#This Row],[Member Type]]="Spouse",Table2[[#This Row],[Product Option]]="My Value Plus Life &amp; Funeral",_xlfn.XLOOKUP(B180,Table2[Main Member Link ID],Table2[Benefit Name],0)=Lookups!$D$16),"",
IF(AND(Table2[[#This Row],[Member Type]]="Child",Table2[[#This Row],[Product Option]]="My Value Plus Life &amp; Funeral"),"",
IF(AND(Table2[[#This Row],[Member Type]]="Child",Table2[[#This Row],[Product Option]]="My Value Plus Life &amp; Funeral",_xlfn.XLOOKUP(B181,Table2[Main Member Link ID],Table2[Benefit Name],0)=Lookups!$D$15),"",
IF(AND(OR(Table2[[#This Row],[Member Type]]="Spouse",Table2[[#This Row],[Member Type]]="Child"),Table2[[#This Row],[Product Option]]="My Value Plus Life &amp; Funeral",_xlfn.XLOOKUP(B181,Table2[Main Member Link ID],Table2[Benefit Name],0)&lt;&gt;Lookups!$D$17),
IF(_xlfn.XLOOKUP(B181,Table2[Main Member Link ID],Table2[Benefit Name],0)=0,"",_xlfn.XLOOKUP(B181,Table2[Main Member Link ID],Table2[Benefit Name],0)),""))))))</f>
        <v/>
      </c>
      <c r="AI181" s="328" t="str">
        <f>IF(AND(Table2[[#This Row],[Member Type]]="Main Member",Table2[[#This Row],[Table Lookup for Life Cover]]="MM_LIFE",Table2[[#This Row],[Age Next Birthday]]&lt;56),1,
IF(AND(Table2[[#This Row],[Member Type]]="Main Member",Table2[[#This Row],[Table Lookup for Life Cover]]="MM_LIFE",Table2[[#This Row],[Age Next Birthday]]&gt;=56),2,
""))</f>
        <v/>
      </c>
      <c r="AJ181" s="328">
        <f>IF(OR(Table2[[#This Row],[Member Type]]="Main Member",Table2[[#This Row],[Main Member Link ID]]=B180),1,0)</f>
        <v>1</v>
      </c>
      <c r="AK181" s="328">
        <f>IF(Table2[[#This Row],[Member Type]]=0,0,
IF(OR(Table2[[#This Row],[Member Type]]="Main Member",Table2[[#This Row],[Main Member Link ID]]&lt;&gt;B181),COUNTIFS(B:B,Table2[[#This Row],[Main Member Link ID]]),
COUNTIFS(B:B,Table2[[#This Row],[Main Member Link ID]],A:A,Table2[[#This Row],[Member Type]])))</f>
        <v>0</v>
      </c>
    </row>
    <row r="182" spans="1:37" x14ac:dyDescent="0.3">
      <c r="A182" s="284">
        <f>Table13[[#This Row],[Member Type]]</f>
        <v>0</v>
      </c>
      <c r="B182" s="284">
        <f>Table13[[#This Row],[Main Member Link ID]]</f>
        <v>0</v>
      </c>
      <c r="C182" s="284">
        <f>Table13[[#This Row],[ID Number]]</f>
        <v>0</v>
      </c>
      <c r="D182" s="285">
        <f>Table13[[#This Row],[Date Of Birth]]</f>
        <v>0</v>
      </c>
      <c r="E182" s="285">
        <f>Table13[[#This Row],[Commencement Date]]</f>
        <v>0</v>
      </c>
      <c r="F182" s="284">
        <f t="shared" si="14"/>
        <v>1</v>
      </c>
      <c r="G182" s="284">
        <f t="shared" si="15"/>
        <v>25</v>
      </c>
      <c r="H182" s="286">
        <f>Table13[[#This Row],[Product Option]]</f>
        <v>0</v>
      </c>
      <c r="I182" s="284">
        <f>IF(AND($A182="Main Member",Table2[[#This Row],[Product Option]]="My Value Plus Life"),"MM_LIFE",
IF(AND($A182="Spouse",Table2[[#This Row],[Product Option]]="My Value Plus Life"),"SP_LIFE",
IF(AND($A182="Main Member",Table2[[#This Row],[Product Option]]="My Value Plus Life &amp; Funeral"),"MM_LIFE",
IF(AND($A182="Spouse",Table2[[#This Row],[Product Option]]="My Value Plus Life &amp; Funeral"),_xlfn.XLOOKUP(Table2[[#This Row],[Benefit Name]],Lookups!$D$18:$D$23,Lookups!$E$18:$E$23,0),
0))))</f>
        <v>0</v>
      </c>
      <c r="J182" s="284">
        <f>IF($I182="","",
IF($I182="MM_LIFE",INDEX('Quotation Tool'!$S$54:$V$60,MATCH($T182,'Quotation Tool'!$S$54:$S$60,0),4),
IF($I182="SP_LIFE",_xlfn.XLOOKUP(B181,$B:$B,$J:$J,0),0)))</f>
        <v>0</v>
      </c>
      <c r="K182" s="287">
        <f t="shared" ca="1" si="19"/>
        <v>0</v>
      </c>
      <c r="L182" s="288">
        <f t="shared" ca="1" si="20"/>
        <v>0</v>
      </c>
      <c r="M182" s="289">
        <f t="shared" ca="1" si="16"/>
        <v>0</v>
      </c>
      <c r="N182" s="286">
        <f>Table13[[#This Row],[Benefit Option]]</f>
        <v>0</v>
      </c>
      <c r="O182" s="284">
        <f>IF(OR(Table2[[#This Row],[Member Type]]="Spouse",Table2[[#This Row],[Member Type]]="Child"),0,
IF(_xlfn.XLOOKUP($N182,Lookups!$D$13:$D$27,Lookups!$F$13:$F$27,0)=Table2[[#This Row],[Table Lookup for Life Cover]],0,
_xlfn.XLOOKUP($N182,Lookups!$D$13:$D$27,Lookups!$F$13:$F$27,0)))</f>
        <v>0</v>
      </c>
      <c r="P182" s="284">
        <f>IF(Table2[[#This Row],[Table Lookup for Funeral]]=0,0,IFERROR(INDEX('Quotation Tool'!$S$54:$V$60,MATCH($T182,'Quotation Tool'!$S$54:$S$60,0),3),0))</f>
        <v>0</v>
      </c>
      <c r="Q182" s="288">
        <f ca="1">IF(OR(Table2[[#This Row],[Benefit Name]]="My Value Plus Life - Main Member",Table2[[#This Row],[Benefit Name]]="My Value Plus Life - Spouse"),0,
IFERROR(VLOOKUP($G182,INDIRECT($O182),$P182,FALSE),0))</f>
        <v>0</v>
      </c>
      <c r="R182" s="288">
        <f ca="1">IF(OR(Table2[[#This Row],[Benefit Name]]="My Value Plus Life - Main Member",Table2[[#This Row],[Benefit Name]]="My Value Plus Life - Spouse"),0,
IFERROR(VLOOKUP($G182,INDIRECT($O182),$P182+1,FALSE),0))</f>
        <v>0</v>
      </c>
      <c r="S182" s="289">
        <f t="shared" ca="1" si="17"/>
        <v>0</v>
      </c>
      <c r="T182" s="284" t="str">
        <f>IF(Table13[[#This Row],[Premium Waiver]]="","None",Table13[[#This Row],[Premium Waiver]])</f>
        <v>None</v>
      </c>
      <c r="U182" s="284">
        <f>Table13[[#This Row],[VAPs Options]]</f>
        <v>0</v>
      </c>
      <c r="V182" s="284">
        <f>Table13[[#This Row],[Annual Increase Option]]</f>
        <v>0</v>
      </c>
      <c r="W182" s="290">
        <f>Table13[[#This Row],[Life Cover Amount]]</f>
        <v>0</v>
      </c>
      <c r="X182" s="290">
        <f>Table13[[#This Row],[Funeral Cover Amount]]</f>
        <v>0</v>
      </c>
      <c r="Y18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8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82" s="301">
        <f t="shared" ca="1" si="18"/>
        <v>0</v>
      </c>
      <c r="AB182" s="298"/>
      <c r="AC182" s="326" t="str">
        <f>IF(Table2[[#This Row],[Member Type]]="Main Member",Lookups!$C$13,
IF(Table2[[#This Row],[Member Type]]="Spouse",_xlfn.XLOOKUP(B182,Table2[Main Member Link ID],Table2[Product Option],0),
IF(AND(Table2[[#This Row],[Member Type]]="Child",_xlfn.XLOOKUP(B182,Table2[Main Member Link ID],Table2[Product Option],0)&lt;&gt;"My Value Plus Life"),Lookups!$C$24,
IF(AND(OR(Table2[[#This Row],[Member Type]]="Parent",Table2[[#This Row],[Member Type]]="Extended"),_xlfn.XLOOKUP(B182,Table2[Main Member Link ID],Table2[Product Option],0)&lt;&gt;"My Value Plus Life"),Lookups!$C$26,""))))</f>
        <v/>
      </c>
      <c r="AD182" s="326" t="str">
        <f>IF(Table2[[#This Row],[Member Type]]="Main Member",Lookups!$C$14,"")</f>
        <v/>
      </c>
      <c r="AE18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Funeral",_xlfn.XLOOKUP(B182,Table2[Main Member Link ID],Table2[Benefit Name],0)=Lookups!$D$14),"",
IF(AND(Table2[[#This Row],[Member Type]]="Spouse",Table2[[#This Row],[Product Option]]="My Value Plus Life &amp; Funeral",_xlfn.XLOOKUP(B181,Table2[Main Member Link ID],Table2[Benefit Name],0)=Lookups!$D$15),Lookups!$D$20,
IF(AND(Table2[[#This Row],[Member Type]]="Spouse",Table2[[#This Row],[Product Option]]="My Value Plus Life &amp; Funeral",_xlfn.XLOOKUP(B181,Table2[Main Member Link ID],Table2[Benefit Name],0)=Lookups!$D$16),"",
IF(AND(Table2[[#This Row],[Member Type]]="Spouse",Table2[[#This Row],[Product Option]]="My Value Plus Life &amp; Funeral",_xlfn.XLOOKUP(B181,Table2[Main Member Link ID],Table2[Benefit Name],0)=Lookups!$D$17),Lookups!$D$21,
IF(AND(Table2[[#This Row],[Member Type]]="Child",Table2[[#This Row],[Product Option]]="My Value Plus Life &amp; Funeral",_xlfn.XLOOKUP(B182,Table2[Main Member Link ID],Table2[Benefit Name],0)=Lookups!$D$14),"",
IF(AND(Table2[[#This Row],[Member Type]]="Child",Table2[[#This Row],[Product Option]]="My Value Plus Life &amp; Funeral",_xlfn.XLOOKUP(B182,Table2[Main Member Link ID],Table2[Benefit Name],0)=Lookups!$D$15),"",
IF(AND(Table2[[#This Row],[Member Type]]="Child",Table2[[#This Row],[Product Option]]="My Value Plus Life &amp; Funeral",_xlfn.XLOOKUP(B182,Table2[Main Member Link ID],Table2[Benefit Name],0)=Lookups!$D$16),Lookups!$D$24,
IF(AND(Table2[[#This Row],[Member Type]]="Child",Table2[[#This Row],[Product Option]]="My Value Plus Life &amp; Funeral",_xlfn.XLOOKUP(B182,Table2[Main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Funeral",_xlfn.XLOOKUP(B182,Table2[Main Member Link ID],Table2[Benefit Name],0)&lt;&gt;Lookups!$D$14),
IF(_xlfn.XLOOKUP(B182,Table2[Main Member Link ID],Table2[Benefit Name],0)=0,"",_xlfn.XLOOKUP(B182,Table2[Main Member Link ID],Table2[Benefit Name],0)),"")))))))))))))))</f>
        <v/>
      </c>
      <c r="AF182" s="327" t="str">
        <f>IF(AND(Table2[[#This Row],[Member Type]]="Main Member",Table2[[#This Row],[Product Option]]="My Value Plus Life &amp; Funeral"),Lookups!$D$15,
IF(AND(Table2[[#This Row],[Member Type]]="Spouse",Table2[[#This Row],[Product Option]]="My Value Plus Life &amp; Funeral",_xlfn.XLOOKUP(B182,Table2[Main Member Link ID],Table2[Benefit Name],0)=Lookups!$D$14),"",
IF(AND(Table2[[#This Row],[Member Type]]="Spouse",Table2[[#This Row],[Product Option]]="My Value Plus Life &amp; Funeral",_xlfn.XLOOKUP(B181,Table2[Main Member Link ID],Table2[Benefit Name],0)=Lookups!$D$16),"",
IF(AND(Table2[[#This Row],[Member Type]]="Spouse",Table2[[#This Row],[Product Option]]="My Value Plus Life &amp; Funeral",_xlfn.XLOOKUP(B181,Table2[Main Member Link ID],Table2[Benefit Name],0)=Lookups!$D$15),"",
IF(AND(Table2[[#This Row],[Member Type]]="Spouse",Table2[[#This Row],[Product Option]]="My Value Plus Life &amp; Funeral",_xlfn.XLOOKUP(B181,Table2[Main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Funeral",_xlfn.XLOOKUP(B182,Table2[Main Member Link ID],Table2[Benefit Name],0)&lt;&gt;Lookups!$D$15),
IF(_xlfn.XLOOKUP(B182,Table2[Main Member Link ID],Table2[Benefit Name],0)=0,"",_xlfn.XLOOKUP(B182,Table2[Main Member Link ID],Table2[Benefit Name],0)),"")
))))))</f>
        <v/>
      </c>
      <c r="AG182" s="327" t="str">
        <f>IF(AND(Table2[[#This Row],[Member Type]]="Main Member",Table2[[#This Row],[Product Option]]="My Value Plus Life &amp; Funeral"),Lookups!$D$16,
IF(AND(Table2[[#This Row],[Member Type]]="Spouse",Table2[[#This Row],[Product Option]]="My Value Plus Life &amp; Funeral",_xlfn.XLOOKUP(B182,Table2[Main Member Link ID],Table2[Benefit Name],0)=Lookups!$D$14),"",
IF(AND(Table2[[#This Row],[Member Type]]="Spouse",Table2[[#This Row],[Product Option]]="My Value Plus Life &amp; Funeral",_xlfn.XLOOKUP(B181,Table2[Main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Funeral",_xlfn.XLOOKUP(B182,Table2[Main Member Link ID],Table2[Benefit Name],0)&lt;&gt;Lookups!$D$16),
IF(_xlfn.XLOOKUP(B182,Table2[Main Member Link ID],Table2[Benefit Name],0)=0,"",_xlfn.XLOOKUP(B182,Table2[Main Member Link ID],Table2[Benefit Name],0)),"")
))))</f>
        <v/>
      </c>
      <c r="AH182" s="327" t="str">
        <f>IF(AND(Table2[[#This Row],[Member Type]]="Main Member",Table2[[#This Row],[Product Option]]="My Value Plus Life &amp; Funeral"),Lookups!$D$17,
IF(AND(Table2[[#This Row],[Member Type]]="Spouse",Table2[[#This Row],[Product Option]]="My Value Plus Life &amp; Funeral",_xlfn.XLOOKUP(B182,Table2[Main Member Link ID],Table2[Benefit Name],0)=Lookups!$D$14),"",
IF(AND(Table2[[#This Row],[Member Type]]="Spouse",Table2[[#This Row],[Product Option]]="My Value Plus Life &amp; Funeral",_xlfn.XLOOKUP(B181,Table2[Main Member Link ID],Table2[Benefit Name],0)=Lookups!$D$16),"",
IF(AND(Table2[[#This Row],[Member Type]]="Child",Table2[[#This Row],[Product Option]]="My Value Plus Life &amp; Funeral"),"",
IF(AND(Table2[[#This Row],[Member Type]]="Child",Table2[[#This Row],[Product Option]]="My Value Plus Life &amp; Funeral",_xlfn.XLOOKUP(B182,Table2[Main Member Link ID],Table2[Benefit Name],0)=Lookups!$D$15),"",
IF(AND(OR(Table2[[#This Row],[Member Type]]="Spouse",Table2[[#This Row],[Member Type]]="Child"),Table2[[#This Row],[Product Option]]="My Value Plus Life &amp; Funeral",_xlfn.XLOOKUP(B182,Table2[Main Member Link ID],Table2[Benefit Name],0)&lt;&gt;Lookups!$D$17),
IF(_xlfn.XLOOKUP(B182,Table2[Main Member Link ID],Table2[Benefit Name],0)=0,"",_xlfn.XLOOKUP(B182,Table2[Main Member Link ID],Table2[Benefit Name],0)),""))))))</f>
        <v/>
      </c>
      <c r="AI182" s="328" t="str">
        <f>IF(AND(Table2[[#This Row],[Member Type]]="Main Member",Table2[[#This Row],[Table Lookup for Life Cover]]="MM_LIFE",Table2[[#This Row],[Age Next Birthday]]&lt;56),1,
IF(AND(Table2[[#This Row],[Member Type]]="Main Member",Table2[[#This Row],[Table Lookup for Life Cover]]="MM_LIFE",Table2[[#This Row],[Age Next Birthday]]&gt;=56),2,
""))</f>
        <v/>
      </c>
      <c r="AJ182" s="328">
        <f>IF(OR(Table2[[#This Row],[Member Type]]="Main Member",Table2[[#This Row],[Main Member Link ID]]=B181),1,0)</f>
        <v>1</v>
      </c>
      <c r="AK182" s="328">
        <f>IF(Table2[[#This Row],[Member Type]]=0,0,
IF(OR(Table2[[#This Row],[Member Type]]="Main Member",Table2[[#This Row],[Main Member Link ID]]&lt;&gt;B182),COUNTIFS(B:B,Table2[[#This Row],[Main Member Link ID]]),
COUNTIFS(B:B,Table2[[#This Row],[Main Member Link ID]],A:A,Table2[[#This Row],[Member Type]])))</f>
        <v>0</v>
      </c>
    </row>
    <row r="183" spans="1:37" x14ac:dyDescent="0.3">
      <c r="A183" s="284">
        <f>Table13[[#This Row],[Member Type]]</f>
        <v>0</v>
      </c>
      <c r="B183" s="284">
        <f>Table13[[#This Row],[Main Member Link ID]]</f>
        <v>0</v>
      </c>
      <c r="C183" s="284">
        <f>Table13[[#This Row],[ID Number]]</f>
        <v>0</v>
      </c>
      <c r="D183" s="285">
        <f>Table13[[#This Row],[Date Of Birth]]</f>
        <v>0</v>
      </c>
      <c r="E183" s="285">
        <f>Table13[[#This Row],[Commencement Date]]</f>
        <v>0</v>
      </c>
      <c r="F183" s="284">
        <f t="shared" si="14"/>
        <v>1</v>
      </c>
      <c r="G183" s="284">
        <f t="shared" si="15"/>
        <v>25</v>
      </c>
      <c r="H183" s="286">
        <f>Table13[[#This Row],[Product Option]]</f>
        <v>0</v>
      </c>
      <c r="I183" s="284">
        <f>IF(AND($A183="Main Member",Table2[[#This Row],[Product Option]]="My Value Plus Life"),"MM_LIFE",
IF(AND($A183="Spouse",Table2[[#This Row],[Product Option]]="My Value Plus Life"),"SP_LIFE",
IF(AND($A183="Main Member",Table2[[#This Row],[Product Option]]="My Value Plus Life &amp; Funeral"),"MM_LIFE",
IF(AND($A183="Spouse",Table2[[#This Row],[Product Option]]="My Value Plus Life &amp; Funeral"),_xlfn.XLOOKUP(Table2[[#This Row],[Benefit Name]],Lookups!$D$18:$D$23,Lookups!$E$18:$E$23,0),
0))))</f>
        <v>0</v>
      </c>
      <c r="J183" s="284">
        <f>IF($I183="","",
IF($I183="MM_LIFE",INDEX('Quotation Tool'!$S$54:$V$60,MATCH($T183,'Quotation Tool'!$S$54:$S$60,0),4),
IF($I183="SP_LIFE",_xlfn.XLOOKUP(B182,$B:$B,$J:$J,0),0)))</f>
        <v>0</v>
      </c>
      <c r="K183" s="287">
        <f t="shared" ca="1" si="19"/>
        <v>0</v>
      </c>
      <c r="L183" s="288">
        <f t="shared" ca="1" si="20"/>
        <v>0</v>
      </c>
      <c r="M183" s="289">
        <f t="shared" ca="1" si="16"/>
        <v>0</v>
      </c>
      <c r="N183" s="286">
        <f>Table13[[#This Row],[Benefit Option]]</f>
        <v>0</v>
      </c>
      <c r="O183" s="284">
        <f>IF(OR(Table2[[#This Row],[Member Type]]="Spouse",Table2[[#This Row],[Member Type]]="Child"),0,
IF(_xlfn.XLOOKUP($N183,Lookups!$D$13:$D$27,Lookups!$F$13:$F$27,0)=Table2[[#This Row],[Table Lookup for Life Cover]],0,
_xlfn.XLOOKUP($N183,Lookups!$D$13:$D$27,Lookups!$F$13:$F$27,0)))</f>
        <v>0</v>
      </c>
      <c r="P183" s="284">
        <f>IF(Table2[[#This Row],[Table Lookup for Funeral]]=0,0,IFERROR(INDEX('Quotation Tool'!$S$54:$V$60,MATCH($T183,'Quotation Tool'!$S$54:$S$60,0),3),0))</f>
        <v>0</v>
      </c>
      <c r="Q183" s="288">
        <f ca="1">IF(OR(Table2[[#This Row],[Benefit Name]]="My Value Plus Life - Main Member",Table2[[#This Row],[Benefit Name]]="My Value Plus Life - Spouse"),0,
IFERROR(VLOOKUP($G183,INDIRECT($O183),$P183,FALSE),0))</f>
        <v>0</v>
      </c>
      <c r="R183" s="288">
        <f ca="1">IF(OR(Table2[[#This Row],[Benefit Name]]="My Value Plus Life - Main Member",Table2[[#This Row],[Benefit Name]]="My Value Plus Life - Spouse"),0,
IFERROR(VLOOKUP($G183,INDIRECT($O183),$P183+1,FALSE),0))</f>
        <v>0</v>
      </c>
      <c r="S183" s="289">
        <f t="shared" ca="1" si="17"/>
        <v>0</v>
      </c>
      <c r="T183" s="284" t="str">
        <f>IF(Table13[[#This Row],[Premium Waiver]]="","None",Table13[[#This Row],[Premium Waiver]])</f>
        <v>None</v>
      </c>
      <c r="U183" s="284">
        <f>Table13[[#This Row],[VAPs Options]]</f>
        <v>0</v>
      </c>
      <c r="V183" s="284">
        <f>Table13[[#This Row],[Annual Increase Option]]</f>
        <v>0</v>
      </c>
      <c r="W183" s="290">
        <f>Table13[[#This Row],[Life Cover Amount]]</f>
        <v>0</v>
      </c>
      <c r="X183" s="290">
        <f>Table13[[#This Row],[Funeral Cover Amount]]</f>
        <v>0</v>
      </c>
      <c r="Y18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8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83" s="301">
        <f t="shared" ca="1" si="18"/>
        <v>0</v>
      </c>
      <c r="AB183" s="298"/>
      <c r="AC183" s="326" t="str">
        <f>IF(Table2[[#This Row],[Member Type]]="Main Member",Lookups!$C$13,
IF(Table2[[#This Row],[Member Type]]="Spouse",_xlfn.XLOOKUP(B183,Table2[Main Member Link ID],Table2[Product Option],0),
IF(AND(Table2[[#This Row],[Member Type]]="Child",_xlfn.XLOOKUP(B183,Table2[Main Member Link ID],Table2[Product Option],0)&lt;&gt;"My Value Plus Life"),Lookups!$C$24,
IF(AND(OR(Table2[[#This Row],[Member Type]]="Parent",Table2[[#This Row],[Member Type]]="Extended"),_xlfn.XLOOKUP(B183,Table2[Main Member Link ID],Table2[Product Option],0)&lt;&gt;"My Value Plus Life"),Lookups!$C$26,""))))</f>
        <v/>
      </c>
      <c r="AD183" s="326" t="str">
        <f>IF(Table2[[#This Row],[Member Type]]="Main Member",Lookups!$C$14,"")</f>
        <v/>
      </c>
      <c r="AE18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Funeral",_xlfn.XLOOKUP(B183,Table2[Main Member Link ID],Table2[Benefit Name],0)=Lookups!$D$14),"",
IF(AND(Table2[[#This Row],[Member Type]]="Spouse",Table2[[#This Row],[Product Option]]="My Value Plus Life &amp; Funeral",_xlfn.XLOOKUP(B182,Table2[Main Member Link ID],Table2[Benefit Name],0)=Lookups!$D$15),Lookups!$D$20,
IF(AND(Table2[[#This Row],[Member Type]]="Spouse",Table2[[#This Row],[Product Option]]="My Value Plus Life &amp; Funeral",_xlfn.XLOOKUP(B182,Table2[Main Member Link ID],Table2[Benefit Name],0)=Lookups!$D$16),"",
IF(AND(Table2[[#This Row],[Member Type]]="Spouse",Table2[[#This Row],[Product Option]]="My Value Plus Life &amp; Funeral",_xlfn.XLOOKUP(B182,Table2[Main Member Link ID],Table2[Benefit Name],0)=Lookups!$D$17),Lookups!$D$21,
IF(AND(Table2[[#This Row],[Member Type]]="Child",Table2[[#This Row],[Product Option]]="My Value Plus Life &amp; Funeral",_xlfn.XLOOKUP(B183,Table2[Main Member Link ID],Table2[Benefit Name],0)=Lookups!$D$14),"",
IF(AND(Table2[[#This Row],[Member Type]]="Child",Table2[[#This Row],[Product Option]]="My Value Plus Life &amp; Funeral",_xlfn.XLOOKUP(B183,Table2[Main Member Link ID],Table2[Benefit Name],0)=Lookups!$D$15),"",
IF(AND(Table2[[#This Row],[Member Type]]="Child",Table2[[#This Row],[Product Option]]="My Value Plus Life &amp; Funeral",_xlfn.XLOOKUP(B183,Table2[Main Member Link ID],Table2[Benefit Name],0)=Lookups!$D$16),Lookups!$D$24,
IF(AND(Table2[[#This Row],[Member Type]]="Child",Table2[[#This Row],[Product Option]]="My Value Plus Life &amp; Funeral",_xlfn.XLOOKUP(B183,Table2[Main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Funeral",_xlfn.XLOOKUP(B183,Table2[Main Member Link ID],Table2[Benefit Name],0)&lt;&gt;Lookups!$D$14),
IF(_xlfn.XLOOKUP(B183,Table2[Main Member Link ID],Table2[Benefit Name],0)=0,"",_xlfn.XLOOKUP(B183,Table2[Main Member Link ID],Table2[Benefit Name],0)),"")))))))))))))))</f>
        <v/>
      </c>
      <c r="AF183" s="327" t="str">
        <f>IF(AND(Table2[[#This Row],[Member Type]]="Main Member",Table2[[#This Row],[Product Option]]="My Value Plus Life &amp; Funeral"),Lookups!$D$15,
IF(AND(Table2[[#This Row],[Member Type]]="Spouse",Table2[[#This Row],[Product Option]]="My Value Plus Life &amp; Funeral",_xlfn.XLOOKUP(B183,Table2[Main Member Link ID],Table2[Benefit Name],0)=Lookups!$D$14),"",
IF(AND(Table2[[#This Row],[Member Type]]="Spouse",Table2[[#This Row],[Product Option]]="My Value Plus Life &amp; Funeral",_xlfn.XLOOKUP(B182,Table2[Main Member Link ID],Table2[Benefit Name],0)=Lookups!$D$16),"",
IF(AND(Table2[[#This Row],[Member Type]]="Spouse",Table2[[#This Row],[Product Option]]="My Value Plus Life &amp; Funeral",_xlfn.XLOOKUP(B182,Table2[Main Member Link ID],Table2[Benefit Name],0)=Lookups!$D$15),"",
IF(AND(Table2[[#This Row],[Member Type]]="Spouse",Table2[[#This Row],[Product Option]]="My Value Plus Life &amp; Funeral",_xlfn.XLOOKUP(B182,Table2[Main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Funeral",_xlfn.XLOOKUP(B183,Table2[Main Member Link ID],Table2[Benefit Name],0)&lt;&gt;Lookups!$D$15),
IF(_xlfn.XLOOKUP(B183,Table2[Main Member Link ID],Table2[Benefit Name],0)=0,"",_xlfn.XLOOKUP(B183,Table2[Main Member Link ID],Table2[Benefit Name],0)),"")
))))))</f>
        <v/>
      </c>
      <c r="AG183" s="327" t="str">
        <f>IF(AND(Table2[[#This Row],[Member Type]]="Main Member",Table2[[#This Row],[Product Option]]="My Value Plus Life &amp; Funeral"),Lookups!$D$16,
IF(AND(Table2[[#This Row],[Member Type]]="Spouse",Table2[[#This Row],[Product Option]]="My Value Plus Life &amp; Funeral",_xlfn.XLOOKUP(B183,Table2[Main Member Link ID],Table2[Benefit Name],0)=Lookups!$D$14),"",
IF(AND(Table2[[#This Row],[Member Type]]="Spouse",Table2[[#This Row],[Product Option]]="My Value Plus Life &amp; Funeral",_xlfn.XLOOKUP(B182,Table2[Main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Funeral",_xlfn.XLOOKUP(B183,Table2[Main Member Link ID],Table2[Benefit Name],0)&lt;&gt;Lookups!$D$16),
IF(_xlfn.XLOOKUP(B183,Table2[Main Member Link ID],Table2[Benefit Name],0)=0,"",_xlfn.XLOOKUP(B183,Table2[Main Member Link ID],Table2[Benefit Name],0)),"")
))))</f>
        <v/>
      </c>
      <c r="AH183" s="327" t="str">
        <f>IF(AND(Table2[[#This Row],[Member Type]]="Main Member",Table2[[#This Row],[Product Option]]="My Value Plus Life &amp; Funeral"),Lookups!$D$17,
IF(AND(Table2[[#This Row],[Member Type]]="Spouse",Table2[[#This Row],[Product Option]]="My Value Plus Life &amp; Funeral",_xlfn.XLOOKUP(B183,Table2[Main Member Link ID],Table2[Benefit Name],0)=Lookups!$D$14),"",
IF(AND(Table2[[#This Row],[Member Type]]="Spouse",Table2[[#This Row],[Product Option]]="My Value Plus Life &amp; Funeral",_xlfn.XLOOKUP(B182,Table2[Main Member Link ID],Table2[Benefit Name],0)=Lookups!$D$16),"",
IF(AND(Table2[[#This Row],[Member Type]]="Child",Table2[[#This Row],[Product Option]]="My Value Plus Life &amp; Funeral"),"",
IF(AND(Table2[[#This Row],[Member Type]]="Child",Table2[[#This Row],[Product Option]]="My Value Plus Life &amp; Funeral",_xlfn.XLOOKUP(B183,Table2[Main Member Link ID],Table2[Benefit Name],0)=Lookups!$D$15),"",
IF(AND(OR(Table2[[#This Row],[Member Type]]="Spouse",Table2[[#This Row],[Member Type]]="Child"),Table2[[#This Row],[Product Option]]="My Value Plus Life &amp; Funeral",_xlfn.XLOOKUP(B183,Table2[Main Member Link ID],Table2[Benefit Name],0)&lt;&gt;Lookups!$D$17),
IF(_xlfn.XLOOKUP(B183,Table2[Main Member Link ID],Table2[Benefit Name],0)=0,"",_xlfn.XLOOKUP(B183,Table2[Main Member Link ID],Table2[Benefit Name],0)),""))))))</f>
        <v/>
      </c>
      <c r="AI183" s="328" t="str">
        <f>IF(AND(Table2[[#This Row],[Member Type]]="Main Member",Table2[[#This Row],[Table Lookup for Life Cover]]="MM_LIFE",Table2[[#This Row],[Age Next Birthday]]&lt;56),1,
IF(AND(Table2[[#This Row],[Member Type]]="Main Member",Table2[[#This Row],[Table Lookup for Life Cover]]="MM_LIFE",Table2[[#This Row],[Age Next Birthday]]&gt;=56),2,
""))</f>
        <v/>
      </c>
      <c r="AJ183" s="328">
        <f>IF(OR(Table2[[#This Row],[Member Type]]="Main Member",Table2[[#This Row],[Main Member Link ID]]=B182),1,0)</f>
        <v>1</v>
      </c>
      <c r="AK183" s="328">
        <f>IF(Table2[[#This Row],[Member Type]]=0,0,
IF(OR(Table2[[#This Row],[Member Type]]="Main Member",Table2[[#This Row],[Main Member Link ID]]&lt;&gt;B183),COUNTIFS(B:B,Table2[[#This Row],[Main Member Link ID]]),
COUNTIFS(B:B,Table2[[#This Row],[Main Member Link ID]],A:A,Table2[[#This Row],[Member Type]])))</f>
        <v>0</v>
      </c>
    </row>
    <row r="184" spans="1:37" x14ac:dyDescent="0.3">
      <c r="A184" s="284">
        <f>Table13[[#This Row],[Member Type]]</f>
        <v>0</v>
      </c>
      <c r="B184" s="284">
        <f>Table13[[#This Row],[Main Member Link ID]]</f>
        <v>0</v>
      </c>
      <c r="C184" s="284">
        <f>Table13[[#This Row],[ID Number]]</f>
        <v>0</v>
      </c>
      <c r="D184" s="285">
        <f>Table13[[#This Row],[Date Of Birth]]</f>
        <v>0</v>
      </c>
      <c r="E184" s="285">
        <f>Table13[[#This Row],[Commencement Date]]</f>
        <v>0</v>
      </c>
      <c r="F184" s="284">
        <f t="shared" si="14"/>
        <v>1</v>
      </c>
      <c r="G184" s="284">
        <f t="shared" si="15"/>
        <v>25</v>
      </c>
      <c r="H184" s="286">
        <f>Table13[[#This Row],[Product Option]]</f>
        <v>0</v>
      </c>
      <c r="I184" s="284">
        <f>IF(AND($A184="Main Member",Table2[[#This Row],[Product Option]]="My Value Plus Life"),"MM_LIFE",
IF(AND($A184="Spouse",Table2[[#This Row],[Product Option]]="My Value Plus Life"),"SP_LIFE",
IF(AND($A184="Main Member",Table2[[#This Row],[Product Option]]="My Value Plus Life &amp; Funeral"),"MM_LIFE",
IF(AND($A184="Spouse",Table2[[#This Row],[Product Option]]="My Value Plus Life &amp; Funeral"),_xlfn.XLOOKUP(Table2[[#This Row],[Benefit Name]],Lookups!$D$18:$D$23,Lookups!$E$18:$E$23,0),
0))))</f>
        <v>0</v>
      </c>
      <c r="J184" s="284">
        <f>IF($I184="","",
IF($I184="MM_LIFE",INDEX('Quotation Tool'!$S$54:$V$60,MATCH($T184,'Quotation Tool'!$S$54:$S$60,0),4),
IF($I184="SP_LIFE",_xlfn.XLOOKUP(B183,$B:$B,$J:$J,0),0)))</f>
        <v>0</v>
      </c>
      <c r="K184" s="287">
        <f t="shared" ca="1" si="19"/>
        <v>0</v>
      </c>
      <c r="L184" s="288">
        <f t="shared" ca="1" si="20"/>
        <v>0</v>
      </c>
      <c r="M184" s="289">
        <f t="shared" ca="1" si="16"/>
        <v>0</v>
      </c>
      <c r="N184" s="286">
        <f>Table13[[#This Row],[Benefit Option]]</f>
        <v>0</v>
      </c>
      <c r="O184" s="284">
        <f>IF(OR(Table2[[#This Row],[Member Type]]="Spouse",Table2[[#This Row],[Member Type]]="Child"),0,
IF(_xlfn.XLOOKUP($N184,Lookups!$D$13:$D$27,Lookups!$F$13:$F$27,0)=Table2[[#This Row],[Table Lookup for Life Cover]],0,
_xlfn.XLOOKUP($N184,Lookups!$D$13:$D$27,Lookups!$F$13:$F$27,0)))</f>
        <v>0</v>
      </c>
      <c r="P184" s="284">
        <f>IF(Table2[[#This Row],[Table Lookup for Funeral]]=0,0,IFERROR(INDEX('Quotation Tool'!$S$54:$V$60,MATCH($T184,'Quotation Tool'!$S$54:$S$60,0),3),0))</f>
        <v>0</v>
      </c>
      <c r="Q184" s="288">
        <f ca="1">IF(OR(Table2[[#This Row],[Benefit Name]]="My Value Plus Life - Main Member",Table2[[#This Row],[Benefit Name]]="My Value Plus Life - Spouse"),0,
IFERROR(VLOOKUP($G184,INDIRECT($O184),$P184,FALSE),0))</f>
        <v>0</v>
      </c>
      <c r="R184" s="288">
        <f ca="1">IF(OR(Table2[[#This Row],[Benefit Name]]="My Value Plus Life - Main Member",Table2[[#This Row],[Benefit Name]]="My Value Plus Life - Spouse"),0,
IFERROR(VLOOKUP($G184,INDIRECT($O184),$P184+1,FALSE),0))</f>
        <v>0</v>
      </c>
      <c r="S184" s="289">
        <f t="shared" ca="1" si="17"/>
        <v>0</v>
      </c>
      <c r="T184" s="284" t="str">
        <f>IF(Table13[[#This Row],[Premium Waiver]]="","None",Table13[[#This Row],[Premium Waiver]])</f>
        <v>None</v>
      </c>
      <c r="U184" s="284">
        <f>Table13[[#This Row],[VAPs Options]]</f>
        <v>0</v>
      </c>
      <c r="V184" s="284">
        <f>Table13[[#This Row],[Annual Increase Option]]</f>
        <v>0</v>
      </c>
      <c r="W184" s="290">
        <f>Table13[[#This Row],[Life Cover Amount]]</f>
        <v>0</v>
      </c>
      <c r="X184" s="290">
        <f>Table13[[#This Row],[Funeral Cover Amount]]</f>
        <v>0</v>
      </c>
      <c r="Y18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8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84" s="301">
        <f t="shared" ca="1" si="18"/>
        <v>0</v>
      </c>
      <c r="AB184" s="298"/>
      <c r="AC184" s="326" t="str">
        <f>IF(Table2[[#This Row],[Member Type]]="Main Member",Lookups!$C$13,
IF(Table2[[#This Row],[Member Type]]="Spouse",_xlfn.XLOOKUP(B184,Table2[Main Member Link ID],Table2[Product Option],0),
IF(AND(Table2[[#This Row],[Member Type]]="Child",_xlfn.XLOOKUP(B184,Table2[Main Member Link ID],Table2[Product Option],0)&lt;&gt;"My Value Plus Life"),Lookups!$C$24,
IF(AND(OR(Table2[[#This Row],[Member Type]]="Parent",Table2[[#This Row],[Member Type]]="Extended"),_xlfn.XLOOKUP(B184,Table2[Main Member Link ID],Table2[Product Option],0)&lt;&gt;"My Value Plus Life"),Lookups!$C$26,""))))</f>
        <v/>
      </c>
      <c r="AD184" s="326" t="str">
        <f>IF(Table2[[#This Row],[Member Type]]="Main Member",Lookups!$C$14,"")</f>
        <v/>
      </c>
      <c r="AE18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Funeral",_xlfn.XLOOKUP(B184,Table2[Main Member Link ID],Table2[Benefit Name],0)=Lookups!$D$14),"",
IF(AND(Table2[[#This Row],[Member Type]]="Spouse",Table2[[#This Row],[Product Option]]="My Value Plus Life &amp; Funeral",_xlfn.XLOOKUP(B183,Table2[Main Member Link ID],Table2[Benefit Name],0)=Lookups!$D$15),Lookups!$D$20,
IF(AND(Table2[[#This Row],[Member Type]]="Spouse",Table2[[#This Row],[Product Option]]="My Value Plus Life &amp; Funeral",_xlfn.XLOOKUP(B183,Table2[Main Member Link ID],Table2[Benefit Name],0)=Lookups!$D$16),"",
IF(AND(Table2[[#This Row],[Member Type]]="Spouse",Table2[[#This Row],[Product Option]]="My Value Plus Life &amp; Funeral",_xlfn.XLOOKUP(B183,Table2[Main Member Link ID],Table2[Benefit Name],0)=Lookups!$D$17),Lookups!$D$21,
IF(AND(Table2[[#This Row],[Member Type]]="Child",Table2[[#This Row],[Product Option]]="My Value Plus Life &amp; Funeral",_xlfn.XLOOKUP(B184,Table2[Main Member Link ID],Table2[Benefit Name],0)=Lookups!$D$14),"",
IF(AND(Table2[[#This Row],[Member Type]]="Child",Table2[[#This Row],[Product Option]]="My Value Plus Life &amp; Funeral",_xlfn.XLOOKUP(B184,Table2[Main Member Link ID],Table2[Benefit Name],0)=Lookups!$D$15),"",
IF(AND(Table2[[#This Row],[Member Type]]="Child",Table2[[#This Row],[Product Option]]="My Value Plus Life &amp; Funeral",_xlfn.XLOOKUP(B184,Table2[Main Member Link ID],Table2[Benefit Name],0)=Lookups!$D$16),Lookups!$D$24,
IF(AND(Table2[[#This Row],[Member Type]]="Child",Table2[[#This Row],[Product Option]]="My Value Plus Life &amp; Funeral",_xlfn.XLOOKUP(B184,Table2[Main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Funeral",_xlfn.XLOOKUP(B184,Table2[Main Member Link ID],Table2[Benefit Name],0)&lt;&gt;Lookups!$D$14),
IF(_xlfn.XLOOKUP(B184,Table2[Main Member Link ID],Table2[Benefit Name],0)=0,"",_xlfn.XLOOKUP(B184,Table2[Main Member Link ID],Table2[Benefit Name],0)),"")))))))))))))))</f>
        <v/>
      </c>
      <c r="AF184" s="327" t="str">
        <f>IF(AND(Table2[[#This Row],[Member Type]]="Main Member",Table2[[#This Row],[Product Option]]="My Value Plus Life &amp; Funeral"),Lookups!$D$15,
IF(AND(Table2[[#This Row],[Member Type]]="Spouse",Table2[[#This Row],[Product Option]]="My Value Plus Life &amp; Funeral",_xlfn.XLOOKUP(B184,Table2[Main Member Link ID],Table2[Benefit Name],0)=Lookups!$D$14),"",
IF(AND(Table2[[#This Row],[Member Type]]="Spouse",Table2[[#This Row],[Product Option]]="My Value Plus Life &amp; Funeral",_xlfn.XLOOKUP(B183,Table2[Main Member Link ID],Table2[Benefit Name],0)=Lookups!$D$16),"",
IF(AND(Table2[[#This Row],[Member Type]]="Spouse",Table2[[#This Row],[Product Option]]="My Value Plus Life &amp; Funeral",_xlfn.XLOOKUP(B183,Table2[Main Member Link ID],Table2[Benefit Name],0)=Lookups!$D$15),"",
IF(AND(Table2[[#This Row],[Member Type]]="Spouse",Table2[[#This Row],[Product Option]]="My Value Plus Life &amp; Funeral",_xlfn.XLOOKUP(B183,Table2[Main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Funeral",_xlfn.XLOOKUP(B184,Table2[Main Member Link ID],Table2[Benefit Name],0)&lt;&gt;Lookups!$D$15),
IF(_xlfn.XLOOKUP(B184,Table2[Main Member Link ID],Table2[Benefit Name],0)=0,"",_xlfn.XLOOKUP(B184,Table2[Main Member Link ID],Table2[Benefit Name],0)),"")
))))))</f>
        <v/>
      </c>
      <c r="AG184" s="327" t="str">
        <f>IF(AND(Table2[[#This Row],[Member Type]]="Main Member",Table2[[#This Row],[Product Option]]="My Value Plus Life &amp; Funeral"),Lookups!$D$16,
IF(AND(Table2[[#This Row],[Member Type]]="Spouse",Table2[[#This Row],[Product Option]]="My Value Plus Life &amp; Funeral",_xlfn.XLOOKUP(B184,Table2[Main Member Link ID],Table2[Benefit Name],0)=Lookups!$D$14),"",
IF(AND(Table2[[#This Row],[Member Type]]="Spouse",Table2[[#This Row],[Product Option]]="My Value Plus Life &amp; Funeral",_xlfn.XLOOKUP(B183,Table2[Main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Funeral",_xlfn.XLOOKUP(B184,Table2[Main Member Link ID],Table2[Benefit Name],0)&lt;&gt;Lookups!$D$16),
IF(_xlfn.XLOOKUP(B184,Table2[Main Member Link ID],Table2[Benefit Name],0)=0,"",_xlfn.XLOOKUP(B184,Table2[Main Member Link ID],Table2[Benefit Name],0)),"")
))))</f>
        <v/>
      </c>
      <c r="AH184" s="327" t="str">
        <f>IF(AND(Table2[[#This Row],[Member Type]]="Main Member",Table2[[#This Row],[Product Option]]="My Value Plus Life &amp; Funeral"),Lookups!$D$17,
IF(AND(Table2[[#This Row],[Member Type]]="Spouse",Table2[[#This Row],[Product Option]]="My Value Plus Life &amp; Funeral",_xlfn.XLOOKUP(B184,Table2[Main Member Link ID],Table2[Benefit Name],0)=Lookups!$D$14),"",
IF(AND(Table2[[#This Row],[Member Type]]="Spouse",Table2[[#This Row],[Product Option]]="My Value Plus Life &amp; Funeral",_xlfn.XLOOKUP(B183,Table2[Main Member Link ID],Table2[Benefit Name],0)=Lookups!$D$16),"",
IF(AND(Table2[[#This Row],[Member Type]]="Child",Table2[[#This Row],[Product Option]]="My Value Plus Life &amp; Funeral"),"",
IF(AND(Table2[[#This Row],[Member Type]]="Child",Table2[[#This Row],[Product Option]]="My Value Plus Life &amp; Funeral",_xlfn.XLOOKUP(B184,Table2[Main Member Link ID],Table2[Benefit Name],0)=Lookups!$D$15),"",
IF(AND(OR(Table2[[#This Row],[Member Type]]="Spouse",Table2[[#This Row],[Member Type]]="Child"),Table2[[#This Row],[Product Option]]="My Value Plus Life &amp; Funeral",_xlfn.XLOOKUP(B184,Table2[Main Member Link ID],Table2[Benefit Name],0)&lt;&gt;Lookups!$D$17),
IF(_xlfn.XLOOKUP(B184,Table2[Main Member Link ID],Table2[Benefit Name],0)=0,"",_xlfn.XLOOKUP(B184,Table2[Main Member Link ID],Table2[Benefit Name],0)),""))))))</f>
        <v/>
      </c>
      <c r="AI184" s="328" t="str">
        <f>IF(AND(Table2[[#This Row],[Member Type]]="Main Member",Table2[[#This Row],[Table Lookup for Life Cover]]="MM_LIFE",Table2[[#This Row],[Age Next Birthday]]&lt;56),1,
IF(AND(Table2[[#This Row],[Member Type]]="Main Member",Table2[[#This Row],[Table Lookup for Life Cover]]="MM_LIFE",Table2[[#This Row],[Age Next Birthday]]&gt;=56),2,
""))</f>
        <v/>
      </c>
      <c r="AJ184" s="328">
        <f>IF(OR(Table2[[#This Row],[Member Type]]="Main Member",Table2[[#This Row],[Main Member Link ID]]=B183),1,0)</f>
        <v>1</v>
      </c>
      <c r="AK184" s="328">
        <f>IF(Table2[[#This Row],[Member Type]]=0,0,
IF(OR(Table2[[#This Row],[Member Type]]="Main Member",Table2[[#This Row],[Main Member Link ID]]&lt;&gt;B184),COUNTIFS(B:B,Table2[[#This Row],[Main Member Link ID]]),
COUNTIFS(B:B,Table2[[#This Row],[Main Member Link ID]],A:A,Table2[[#This Row],[Member Type]])))</f>
        <v>0</v>
      </c>
    </row>
    <row r="185" spans="1:37" x14ac:dyDescent="0.3">
      <c r="A185" s="284">
        <f>Table13[[#This Row],[Member Type]]</f>
        <v>0</v>
      </c>
      <c r="B185" s="284">
        <f>Table13[[#This Row],[Main Member Link ID]]</f>
        <v>0</v>
      </c>
      <c r="C185" s="284">
        <f>Table13[[#This Row],[ID Number]]</f>
        <v>0</v>
      </c>
      <c r="D185" s="285">
        <f>Table13[[#This Row],[Date Of Birth]]</f>
        <v>0</v>
      </c>
      <c r="E185" s="285">
        <f>Table13[[#This Row],[Commencement Date]]</f>
        <v>0</v>
      </c>
      <c r="F185" s="284">
        <f t="shared" si="14"/>
        <v>1</v>
      </c>
      <c r="G185" s="284">
        <f t="shared" si="15"/>
        <v>25</v>
      </c>
      <c r="H185" s="286">
        <f>Table13[[#This Row],[Product Option]]</f>
        <v>0</v>
      </c>
      <c r="I185" s="284">
        <f>IF(AND($A185="Main Member",Table2[[#This Row],[Product Option]]="My Value Plus Life"),"MM_LIFE",
IF(AND($A185="Spouse",Table2[[#This Row],[Product Option]]="My Value Plus Life"),"SP_LIFE",
IF(AND($A185="Main Member",Table2[[#This Row],[Product Option]]="My Value Plus Life &amp; Funeral"),"MM_LIFE",
IF(AND($A185="Spouse",Table2[[#This Row],[Product Option]]="My Value Plus Life &amp; Funeral"),_xlfn.XLOOKUP(Table2[[#This Row],[Benefit Name]],Lookups!$D$18:$D$23,Lookups!$E$18:$E$23,0),
0))))</f>
        <v>0</v>
      </c>
      <c r="J185" s="284">
        <f>IF($I185="","",
IF($I185="MM_LIFE",INDEX('Quotation Tool'!$S$54:$V$60,MATCH($T185,'Quotation Tool'!$S$54:$S$60,0),4),
IF($I185="SP_LIFE",_xlfn.XLOOKUP(B184,$B:$B,$J:$J,0),0)))</f>
        <v>0</v>
      </c>
      <c r="K185" s="287">
        <f t="shared" ca="1" si="19"/>
        <v>0</v>
      </c>
      <c r="L185" s="288">
        <f t="shared" ca="1" si="20"/>
        <v>0</v>
      </c>
      <c r="M185" s="289">
        <f t="shared" ca="1" si="16"/>
        <v>0</v>
      </c>
      <c r="N185" s="286">
        <f>Table13[[#This Row],[Benefit Option]]</f>
        <v>0</v>
      </c>
      <c r="O185" s="284">
        <f>IF(OR(Table2[[#This Row],[Member Type]]="Spouse",Table2[[#This Row],[Member Type]]="Child"),0,
IF(_xlfn.XLOOKUP($N185,Lookups!$D$13:$D$27,Lookups!$F$13:$F$27,0)=Table2[[#This Row],[Table Lookup for Life Cover]],0,
_xlfn.XLOOKUP($N185,Lookups!$D$13:$D$27,Lookups!$F$13:$F$27,0)))</f>
        <v>0</v>
      </c>
      <c r="P185" s="284">
        <f>IF(Table2[[#This Row],[Table Lookup for Funeral]]=0,0,IFERROR(INDEX('Quotation Tool'!$S$54:$V$60,MATCH($T185,'Quotation Tool'!$S$54:$S$60,0),3),0))</f>
        <v>0</v>
      </c>
      <c r="Q185" s="288">
        <f ca="1">IF(OR(Table2[[#This Row],[Benefit Name]]="My Value Plus Life - Main Member",Table2[[#This Row],[Benefit Name]]="My Value Plus Life - Spouse"),0,
IFERROR(VLOOKUP($G185,INDIRECT($O185),$P185,FALSE),0))</f>
        <v>0</v>
      </c>
      <c r="R185" s="288">
        <f ca="1">IF(OR(Table2[[#This Row],[Benefit Name]]="My Value Plus Life - Main Member",Table2[[#This Row],[Benefit Name]]="My Value Plus Life - Spouse"),0,
IFERROR(VLOOKUP($G185,INDIRECT($O185),$P185+1,FALSE),0))</f>
        <v>0</v>
      </c>
      <c r="S185" s="289">
        <f t="shared" ca="1" si="17"/>
        <v>0</v>
      </c>
      <c r="T185" s="284" t="str">
        <f>IF(Table13[[#This Row],[Premium Waiver]]="","None",Table13[[#This Row],[Premium Waiver]])</f>
        <v>None</v>
      </c>
      <c r="U185" s="284">
        <f>Table13[[#This Row],[VAPs Options]]</f>
        <v>0</v>
      </c>
      <c r="V185" s="284">
        <f>Table13[[#This Row],[Annual Increase Option]]</f>
        <v>0</v>
      </c>
      <c r="W185" s="290">
        <f>Table13[[#This Row],[Life Cover Amount]]</f>
        <v>0</v>
      </c>
      <c r="X185" s="290">
        <f>Table13[[#This Row],[Funeral Cover Amount]]</f>
        <v>0</v>
      </c>
      <c r="Y18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8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85" s="301">
        <f t="shared" ca="1" si="18"/>
        <v>0</v>
      </c>
      <c r="AB185" s="298"/>
      <c r="AC185" s="326" t="str">
        <f>IF(Table2[[#This Row],[Member Type]]="Main Member",Lookups!$C$13,
IF(Table2[[#This Row],[Member Type]]="Spouse",_xlfn.XLOOKUP(B185,Table2[Main Member Link ID],Table2[Product Option],0),
IF(AND(Table2[[#This Row],[Member Type]]="Child",_xlfn.XLOOKUP(B185,Table2[Main Member Link ID],Table2[Product Option],0)&lt;&gt;"My Value Plus Life"),Lookups!$C$24,
IF(AND(OR(Table2[[#This Row],[Member Type]]="Parent",Table2[[#This Row],[Member Type]]="Extended"),_xlfn.XLOOKUP(B185,Table2[Main Member Link ID],Table2[Product Option],0)&lt;&gt;"My Value Plus Life"),Lookups!$C$26,""))))</f>
        <v/>
      </c>
      <c r="AD185" s="326" t="str">
        <f>IF(Table2[[#This Row],[Member Type]]="Main Member",Lookups!$C$14,"")</f>
        <v/>
      </c>
      <c r="AE18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Funeral",_xlfn.XLOOKUP(B185,Table2[Main Member Link ID],Table2[Benefit Name],0)=Lookups!$D$14),"",
IF(AND(Table2[[#This Row],[Member Type]]="Spouse",Table2[[#This Row],[Product Option]]="My Value Plus Life &amp; Funeral",_xlfn.XLOOKUP(B184,Table2[Main Member Link ID],Table2[Benefit Name],0)=Lookups!$D$15),Lookups!$D$20,
IF(AND(Table2[[#This Row],[Member Type]]="Spouse",Table2[[#This Row],[Product Option]]="My Value Plus Life &amp; Funeral",_xlfn.XLOOKUP(B184,Table2[Main Member Link ID],Table2[Benefit Name],0)=Lookups!$D$16),"",
IF(AND(Table2[[#This Row],[Member Type]]="Spouse",Table2[[#This Row],[Product Option]]="My Value Plus Life &amp; Funeral",_xlfn.XLOOKUP(B184,Table2[Main Member Link ID],Table2[Benefit Name],0)=Lookups!$D$17),Lookups!$D$21,
IF(AND(Table2[[#This Row],[Member Type]]="Child",Table2[[#This Row],[Product Option]]="My Value Plus Life &amp; Funeral",_xlfn.XLOOKUP(B185,Table2[Main Member Link ID],Table2[Benefit Name],0)=Lookups!$D$14),"",
IF(AND(Table2[[#This Row],[Member Type]]="Child",Table2[[#This Row],[Product Option]]="My Value Plus Life &amp; Funeral",_xlfn.XLOOKUP(B185,Table2[Main Member Link ID],Table2[Benefit Name],0)=Lookups!$D$15),"",
IF(AND(Table2[[#This Row],[Member Type]]="Child",Table2[[#This Row],[Product Option]]="My Value Plus Life &amp; Funeral",_xlfn.XLOOKUP(B185,Table2[Main Member Link ID],Table2[Benefit Name],0)=Lookups!$D$16),Lookups!$D$24,
IF(AND(Table2[[#This Row],[Member Type]]="Child",Table2[[#This Row],[Product Option]]="My Value Plus Life &amp; Funeral",_xlfn.XLOOKUP(B185,Table2[Main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Funeral",_xlfn.XLOOKUP(B185,Table2[Main Member Link ID],Table2[Benefit Name],0)&lt;&gt;Lookups!$D$14),
IF(_xlfn.XLOOKUP(B185,Table2[Main Member Link ID],Table2[Benefit Name],0)=0,"",_xlfn.XLOOKUP(B185,Table2[Main Member Link ID],Table2[Benefit Name],0)),"")))))))))))))))</f>
        <v/>
      </c>
      <c r="AF185" s="327" t="str">
        <f>IF(AND(Table2[[#This Row],[Member Type]]="Main Member",Table2[[#This Row],[Product Option]]="My Value Plus Life &amp; Funeral"),Lookups!$D$15,
IF(AND(Table2[[#This Row],[Member Type]]="Spouse",Table2[[#This Row],[Product Option]]="My Value Plus Life &amp; Funeral",_xlfn.XLOOKUP(B185,Table2[Main Member Link ID],Table2[Benefit Name],0)=Lookups!$D$14),"",
IF(AND(Table2[[#This Row],[Member Type]]="Spouse",Table2[[#This Row],[Product Option]]="My Value Plus Life &amp; Funeral",_xlfn.XLOOKUP(B184,Table2[Main Member Link ID],Table2[Benefit Name],0)=Lookups!$D$16),"",
IF(AND(Table2[[#This Row],[Member Type]]="Spouse",Table2[[#This Row],[Product Option]]="My Value Plus Life &amp; Funeral",_xlfn.XLOOKUP(B184,Table2[Main Member Link ID],Table2[Benefit Name],0)=Lookups!$D$15),"",
IF(AND(Table2[[#This Row],[Member Type]]="Spouse",Table2[[#This Row],[Product Option]]="My Value Plus Life &amp; Funeral",_xlfn.XLOOKUP(B184,Table2[Main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Funeral",_xlfn.XLOOKUP(B185,Table2[Main Member Link ID],Table2[Benefit Name],0)&lt;&gt;Lookups!$D$15),
IF(_xlfn.XLOOKUP(B185,Table2[Main Member Link ID],Table2[Benefit Name],0)=0,"",_xlfn.XLOOKUP(B185,Table2[Main Member Link ID],Table2[Benefit Name],0)),"")
))))))</f>
        <v/>
      </c>
      <c r="AG185" s="327" t="str">
        <f>IF(AND(Table2[[#This Row],[Member Type]]="Main Member",Table2[[#This Row],[Product Option]]="My Value Plus Life &amp; Funeral"),Lookups!$D$16,
IF(AND(Table2[[#This Row],[Member Type]]="Spouse",Table2[[#This Row],[Product Option]]="My Value Plus Life &amp; Funeral",_xlfn.XLOOKUP(B185,Table2[Main Member Link ID],Table2[Benefit Name],0)=Lookups!$D$14),"",
IF(AND(Table2[[#This Row],[Member Type]]="Spouse",Table2[[#This Row],[Product Option]]="My Value Plus Life &amp; Funeral",_xlfn.XLOOKUP(B184,Table2[Main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Funeral",_xlfn.XLOOKUP(B185,Table2[Main Member Link ID],Table2[Benefit Name],0)&lt;&gt;Lookups!$D$16),
IF(_xlfn.XLOOKUP(B185,Table2[Main Member Link ID],Table2[Benefit Name],0)=0,"",_xlfn.XLOOKUP(B185,Table2[Main Member Link ID],Table2[Benefit Name],0)),"")
))))</f>
        <v/>
      </c>
      <c r="AH185" s="327" t="str">
        <f>IF(AND(Table2[[#This Row],[Member Type]]="Main Member",Table2[[#This Row],[Product Option]]="My Value Plus Life &amp; Funeral"),Lookups!$D$17,
IF(AND(Table2[[#This Row],[Member Type]]="Spouse",Table2[[#This Row],[Product Option]]="My Value Plus Life &amp; Funeral",_xlfn.XLOOKUP(B185,Table2[Main Member Link ID],Table2[Benefit Name],0)=Lookups!$D$14),"",
IF(AND(Table2[[#This Row],[Member Type]]="Spouse",Table2[[#This Row],[Product Option]]="My Value Plus Life &amp; Funeral",_xlfn.XLOOKUP(B184,Table2[Main Member Link ID],Table2[Benefit Name],0)=Lookups!$D$16),"",
IF(AND(Table2[[#This Row],[Member Type]]="Child",Table2[[#This Row],[Product Option]]="My Value Plus Life &amp; Funeral"),"",
IF(AND(Table2[[#This Row],[Member Type]]="Child",Table2[[#This Row],[Product Option]]="My Value Plus Life &amp; Funeral",_xlfn.XLOOKUP(B185,Table2[Main Member Link ID],Table2[Benefit Name],0)=Lookups!$D$15),"",
IF(AND(OR(Table2[[#This Row],[Member Type]]="Spouse",Table2[[#This Row],[Member Type]]="Child"),Table2[[#This Row],[Product Option]]="My Value Plus Life &amp; Funeral",_xlfn.XLOOKUP(B185,Table2[Main Member Link ID],Table2[Benefit Name],0)&lt;&gt;Lookups!$D$17),
IF(_xlfn.XLOOKUP(B185,Table2[Main Member Link ID],Table2[Benefit Name],0)=0,"",_xlfn.XLOOKUP(B185,Table2[Main Member Link ID],Table2[Benefit Name],0)),""))))))</f>
        <v/>
      </c>
      <c r="AI185" s="328" t="str">
        <f>IF(AND(Table2[[#This Row],[Member Type]]="Main Member",Table2[[#This Row],[Table Lookup for Life Cover]]="MM_LIFE",Table2[[#This Row],[Age Next Birthday]]&lt;56),1,
IF(AND(Table2[[#This Row],[Member Type]]="Main Member",Table2[[#This Row],[Table Lookup for Life Cover]]="MM_LIFE",Table2[[#This Row],[Age Next Birthday]]&gt;=56),2,
""))</f>
        <v/>
      </c>
      <c r="AJ185" s="328">
        <f>IF(OR(Table2[[#This Row],[Member Type]]="Main Member",Table2[[#This Row],[Main Member Link ID]]=B184),1,0)</f>
        <v>1</v>
      </c>
      <c r="AK185" s="328">
        <f>IF(Table2[[#This Row],[Member Type]]=0,0,
IF(OR(Table2[[#This Row],[Member Type]]="Main Member",Table2[[#This Row],[Main Member Link ID]]&lt;&gt;B185),COUNTIFS(B:B,Table2[[#This Row],[Main Member Link ID]]),
COUNTIFS(B:B,Table2[[#This Row],[Main Member Link ID]],A:A,Table2[[#This Row],[Member Type]])))</f>
        <v>0</v>
      </c>
    </row>
    <row r="186" spans="1:37" x14ac:dyDescent="0.3">
      <c r="A186" s="284">
        <f>Table13[[#This Row],[Member Type]]</f>
        <v>0</v>
      </c>
      <c r="B186" s="284">
        <f>Table13[[#This Row],[Main Member Link ID]]</f>
        <v>0</v>
      </c>
      <c r="C186" s="284">
        <f>Table13[[#This Row],[ID Number]]</f>
        <v>0</v>
      </c>
      <c r="D186" s="285">
        <f>Table13[[#This Row],[Date Of Birth]]</f>
        <v>0</v>
      </c>
      <c r="E186" s="285">
        <f>Table13[[#This Row],[Commencement Date]]</f>
        <v>0</v>
      </c>
      <c r="F186" s="284">
        <f t="shared" si="14"/>
        <v>1</v>
      </c>
      <c r="G186" s="284">
        <f t="shared" si="15"/>
        <v>25</v>
      </c>
      <c r="H186" s="286">
        <f>Table13[[#This Row],[Product Option]]</f>
        <v>0</v>
      </c>
      <c r="I186" s="284">
        <f>IF(AND($A186="Main Member",Table2[[#This Row],[Product Option]]="My Value Plus Life"),"MM_LIFE",
IF(AND($A186="Spouse",Table2[[#This Row],[Product Option]]="My Value Plus Life"),"SP_LIFE",
IF(AND($A186="Main Member",Table2[[#This Row],[Product Option]]="My Value Plus Life &amp; Funeral"),"MM_LIFE",
IF(AND($A186="Spouse",Table2[[#This Row],[Product Option]]="My Value Plus Life &amp; Funeral"),_xlfn.XLOOKUP(Table2[[#This Row],[Benefit Name]],Lookups!$D$18:$D$23,Lookups!$E$18:$E$23,0),
0))))</f>
        <v>0</v>
      </c>
      <c r="J186" s="284">
        <f>IF($I186="","",
IF($I186="MM_LIFE",INDEX('Quotation Tool'!$S$54:$V$60,MATCH($T186,'Quotation Tool'!$S$54:$S$60,0),4),
IF($I186="SP_LIFE",_xlfn.XLOOKUP(B185,$B:$B,$J:$J,0),0)))</f>
        <v>0</v>
      </c>
      <c r="K186" s="287">
        <f t="shared" ca="1" si="19"/>
        <v>0</v>
      </c>
      <c r="L186" s="288">
        <f t="shared" ca="1" si="20"/>
        <v>0</v>
      </c>
      <c r="M186" s="289">
        <f t="shared" ca="1" si="16"/>
        <v>0</v>
      </c>
      <c r="N186" s="286">
        <f>Table13[[#This Row],[Benefit Option]]</f>
        <v>0</v>
      </c>
      <c r="O186" s="284">
        <f>IF(OR(Table2[[#This Row],[Member Type]]="Spouse",Table2[[#This Row],[Member Type]]="Child"),0,
IF(_xlfn.XLOOKUP($N186,Lookups!$D$13:$D$27,Lookups!$F$13:$F$27,0)=Table2[[#This Row],[Table Lookup for Life Cover]],0,
_xlfn.XLOOKUP($N186,Lookups!$D$13:$D$27,Lookups!$F$13:$F$27,0)))</f>
        <v>0</v>
      </c>
      <c r="P186" s="284">
        <f>IF(Table2[[#This Row],[Table Lookup for Funeral]]=0,0,IFERROR(INDEX('Quotation Tool'!$S$54:$V$60,MATCH($T186,'Quotation Tool'!$S$54:$S$60,0),3),0))</f>
        <v>0</v>
      </c>
      <c r="Q186" s="288">
        <f ca="1">IF(OR(Table2[[#This Row],[Benefit Name]]="My Value Plus Life - Main Member",Table2[[#This Row],[Benefit Name]]="My Value Plus Life - Spouse"),0,
IFERROR(VLOOKUP($G186,INDIRECT($O186),$P186,FALSE),0))</f>
        <v>0</v>
      </c>
      <c r="R186" s="288">
        <f ca="1">IF(OR(Table2[[#This Row],[Benefit Name]]="My Value Plus Life - Main Member",Table2[[#This Row],[Benefit Name]]="My Value Plus Life - Spouse"),0,
IFERROR(VLOOKUP($G186,INDIRECT($O186),$P186+1,FALSE),0))</f>
        <v>0</v>
      </c>
      <c r="S186" s="289">
        <f t="shared" ca="1" si="17"/>
        <v>0</v>
      </c>
      <c r="T186" s="284" t="str">
        <f>IF(Table13[[#This Row],[Premium Waiver]]="","None",Table13[[#This Row],[Premium Waiver]])</f>
        <v>None</v>
      </c>
      <c r="U186" s="284">
        <f>Table13[[#This Row],[VAPs Options]]</f>
        <v>0</v>
      </c>
      <c r="V186" s="284">
        <f>Table13[[#This Row],[Annual Increase Option]]</f>
        <v>0</v>
      </c>
      <c r="W186" s="290">
        <f>Table13[[#This Row],[Life Cover Amount]]</f>
        <v>0</v>
      </c>
      <c r="X186" s="290">
        <f>Table13[[#This Row],[Funeral Cover Amount]]</f>
        <v>0</v>
      </c>
      <c r="Y18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8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86" s="301">
        <f t="shared" ca="1" si="18"/>
        <v>0</v>
      </c>
      <c r="AB186" s="298"/>
      <c r="AC186" s="326" t="str">
        <f>IF(Table2[[#This Row],[Member Type]]="Main Member",Lookups!$C$13,
IF(Table2[[#This Row],[Member Type]]="Spouse",_xlfn.XLOOKUP(B186,Table2[Main Member Link ID],Table2[Product Option],0),
IF(AND(Table2[[#This Row],[Member Type]]="Child",_xlfn.XLOOKUP(B186,Table2[Main Member Link ID],Table2[Product Option],0)&lt;&gt;"My Value Plus Life"),Lookups!$C$24,
IF(AND(OR(Table2[[#This Row],[Member Type]]="Parent",Table2[[#This Row],[Member Type]]="Extended"),_xlfn.XLOOKUP(B186,Table2[Main Member Link ID],Table2[Product Option],0)&lt;&gt;"My Value Plus Life"),Lookups!$C$26,""))))</f>
        <v/>
      </c>
      <c r="AD186" s="326" t="str">
        <f>IF(Table2[[#This Row],[Member Type]]="Main Member",Lookups!$C$14,"")</f>
        <v/>
      </c>
      <c r="AE18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Funeral",_xlfn.XLOOKUP(B186,Table2[Main Member Link ID],Table2[Benefit Name],0)=Lookups!$D$14),"",
IF(AND(Table2[[#This Row],[Member Type]]="Spouse",Table2[[#This Row],[Product Option]]="My Value Plus Life &amp; Funeral",_xlfn.XLOOKUP(B185,Table2[Main Member Link ID],Table2[Benefit Name],0)=Lookups!$D$15),Lookups!$D$20,
IF(AND(Table2[[#This Row],[Member Type]]="Spouse",Table2[[#This Row],[Product Option]]="My Value Plus Life &amp; Funeral",_xlfn.XLOOKUP(B185,Table2[Main Member Link ID],Table2[Benefit Name],0)=Lookups!$D$16),"",
IF(AND(Table2[[#This Row],[Member Type]]="Spouse",Table2[[#This Row],[Product Option]]="My Value Plus Life &amp; Funeral",_xlfn.XLOOKUP(B185,Table2[Main Member Link ID],Table2[Benefit Name],0)=Lookups!$D$17),Lookups!$D$21,
IF(AND(Table2[[#This Row],[Member Type]]="Child",Table2[[#This Row],[Product Option]]="My Value Plus Life &amp; Funeral",_xlfn.XLOOKUP(B186,Table2[Main Member Link ID],Table2[Benefit Name],0)=Lookups!$D$14),"",
IF(AND(Table2[[#This Row],[Member Type]]="Child",Table2[[#This Row],[Product Option]]="My Value Plus Life &amp; Funeral",_xlfn.XLOOKUP(B186,Table2[Main Member Link ID],Table2[Benefit Name],0)=Lookups!$D$15),"",
IF(AND(Table2[[#This Row],[Member Type]]="Child",Table2[[#This Row],[Product Option]]="My Value Plus Life &amp; Funeral",_xlfn.XLOOKUP(B186,Table2[Main Member Link ID],Table2[Benefit Name],0)=Lookups!$D$16),Lookups!$D$24,
IF(AND(Table2[[#This Row],[Member Type]]="Child",Table2[[#This Row],[Product Option]]="My Value Plus Life &amp; Funeral",_xlfn.XLOOKUP(B186,Table2[Main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Funeral",_xlfn.XLOOKUP(B186,Table2[Main Member Link ID],Table2[Benefit Name],0)&lt;&gt;Lookups!$D$14),
IF(_xlfn.XLOOKUP(B186,Table2[Main Member Link ID],Table2[Benefit Name],0)=0,"",_xlfn.XLOOKUP(B186,Table2[Main Member Link ID],Table2[Benefit Name],0)),"")))))))))))))))</f>
        <v/>
      </c>
      <c r="AF186" s="327" t="str">
        <f>IF(AND(Table2[[#This Row],[Member Type]]="Main Member",Table2[[#This Row],[Product Option]]="My Value Plus Life &amp; Funeral"),Lookups!$D$15,
IF(AND(Table2[[#This Row],[Member Type]]="Spouse",Table2[[#This Row],[Product Option]]="My Value Plus Life &amp; Funeral",_xlfn.XLOOKUP(B186,Table2[Main Member Link ID],Table2[Benefit Name],0)=Lookups!$D$14),"",
IF(AND(Table2[[#This Row],[Member Type]]="Spouse",Table2[[#This Row],[Product Option]]="My Value Plus Life &amp; Funeral",_xlfn.XLOOKUP(B185,Table2[Main Member Link ID],Table2[Benefit Name],0)=Lookups!$D$16),"",
IF(AND(Table2[[#This Row],[Member Type]]="Spouse",Table2[[#This Row],[Product Option]]="My Value Plus Life &amp; Funeral",_xlfn.XLOOKUP(B185,Table2[Main Member Link ID],Table2[Benefit Name],0)=Lookups!$D$15),"",
IF(AND(Table2[[#This Row],[Member Type]]="Spouse",Table2[[#This Row],[Product Option]]="My Value Plus Life &amp; Funeral",_xlfn.XLOOKUP(B185,Table2[Main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Funeral",_xlfn.XLOOKUP(B186,Table2[Main Member Link ID],Table2[Benefit Name],0)&lt;&gt;Lookups!$D$15),
IF(_xlfn.XLOOKUP(B186,Table2[Main Member Link ID],Table2[Benefit Name],0)=0,"",_xlfn.XLOOKUP(B186,Table2[Main Member Link ID],Table2[Benefit Name],0)),"")
))))))</f>
        <v/>
      </c>
      <c r="AG186" s="327" t="str">
        <f>IF(AND(Table2[[#This Row],[Member Type]]="Main Member",Table2[[#This Row],[Product Option]]="My Value Plus Life &amp; Funeral"),Lookups!$D$16,
IF(AND(Table2[[#This Row],[Member Type]]="Spouse",Table2[[#This Row],[Product Option]]="My Value Plus Life &amp; Funeral",_xlfn.XLOOKUP(B186,Table2[Main Member Link ID],Table2[Benefit Name],0)=Lookups!$D$14),"",
IF(AND(Table2[[#This Row],[Member Type]]="Spouse",Table2[[#This Row],[Product Option]]="My Value Plus Life &amp; Funeral",_xlfn.XLOOKUP(B185,Table2[Main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Funeral",_xlfn.XLOOKUP(B186,Table2[Main Member Link ID],Table2[Benefit Name],0)&lt;&gt;Lookups!$D$16),
IF(_xlfn.XLOOKUP(B186,Table2[Main Member Link ID],Table2[Benefit Name],0)=0,"",_xlfn.XLOOKUP(B186,Table2[Main Member Link ID],Table2[Benefit Name],0)),"")
))))</f>
        <v/>
      </c>
      <c r="AH186" s="327" t="str">
        <f>IF(AND(Table2[[#This Row],[Member Type]]="Main Member",Table2[[#This Row],[Product Option]]="My Value Plus Life &amp; Funeral"),Lookups!$D$17,
IF(AND(Table2[[#This Row],[Member Type]]="Spouse",Table2[[#This Row],[Product Option]]="My Value Plus Life &amp; Funeral",_xlfn.XLOOKUP(B186,Table2[Main Member Link ID],Table2[Benefit Name],0)=Lookups!$D$14),"",
IF(AND(Table2[[#This Row],[Member Type]]="Spouse",Table2[[#This Row],[Product Option]]="My Value Plus Life &amp; Funeral",_xlfn.XLOOKUP(B185,Table2[Main Member Link ID],Table2[Benefit Name],0)=Lookups!$D$16),"",
IF(AND(Table2[[#This Row],[Member Type]]="Child",Table2[[#This Row],[Product Option]]="My Value Plus Life &amp; Funeral"),"",
IF(AND(Table2[[#This Row],[Member Type]]="Child",Table2[[#This Row],[Product Option]]="My Value Plus Life &amp; Funeral",_xlfn.XLOOKUP(B186,Table2[Main Member Link ID],Table2[Benefit Name],0)=Lookups!$D$15),"",
IF(AND(OR(Table2[[#This Row],[Member Type]]="Spouse",Table2[[#This Row],[Member Type]]="Child"),Table2[[#This Row],[Product Option]]="My Value Plus Life &amp; Funeral",_xlfn.XLOOKUP(B186,Table2[Main Member Link ID],Table2[Benefit Name],0)&lt;&gt;Lookups!$D$17),
IF(_xlfn.XLOOKUP(B186,Table2[Main Member Link ID],Table2[Benefit Name],0)=0,"",_xlfn.XLOOKUP(B186,Table2[Main Member Link ID],Table2[Benefit Name],0)),""))))))</f>
        <v/>
      </c>
      <c r="AI186" s="328" t="str">
        <f>IF(AND(Table2[[#This Row],[Member Type]]="Main Member",Table2[[#This Row],[Table Lookup for Life Cover]]="MM_LIFE",Table2[[#This Row],[Age Next Birthday]]&lt;56),1,
IF(AND(Table2[[#This Row],[Member Type]]="Main Member",Table2[[#This Row],[Table Lookup for Life Cover]]="MM_LIFE",Table2[[#This Row],[Age Next Birthday]]&gt;=56),2,
""))</f>
        <v/>
      </c>
      <c r="AJ186" s="328">
        <f>IF(OR(Table2[[#This Row],[Member Type]]="Main Member",Table2[[#This Row],[Main Member Link ID]]=B185),1,0)</f>
        <v>1</v>
      </c>
      <c r="AK186" s="328">
        <f>IF(Table2[[#This Row],[Member Type]]=0,0,
IF(OR(Table2[[#This Row],[Member Type]]="Main Member",Table2[[#This Row],[Main Member Link ID]]&lt;&gt;B186),COUNTIFS(B:B,Table2[[#This Row],[Main Member Link ID]]),
COUNTIFS(B:B,Table2[[#This Row],[Main Member Link ID]],A:A,Table2[[#This Row],[Member Type]])))</f>
        <v>0</v>
      </c>
    </row>
    <row r="187" spans="1:37" x14ac:dyDescent="0.3">
      <c r="A187" s="284">
        <f>Table13[[#This Row],[Member Type]]</f>
        <v>0</v>
      </c>
      <c r="B187" s="284">
        <f>Table13[[#This Row],[Main Member Link ID]]</f>
        <v>0</v>
      </c>
      <c r="C187" s="284">
        <f>Table13[[#This Row],[ID Number]]</f>
        <v>0</v>
      </c>
      <c r="D187" s="285">
        <f>Table13[[#This Row],[Date Of Birth]]</f>
        <v>0</v>
      </c>
      <c r="E187" s="285">
        <f>Table13[[#This Row],[Commencement Date]]</f>
        <v>0</v>
      </c>
      <c r="F187" s="284">
        <f t="shared" si="14"/>
        <v>1</v>
      </c>
      <c r="G187" s="284">
        <f t="shared" si="15"/>
        <v>25</v>
      </c>
      <c r="H187" s="286">
        <f>Table13[[#This Row],[Product Option]]</f>
        <v>0</v>
      </c>
      <c r="I187" s="284">
        <f>IF(AND($A187="Main Member",Table2[[#This Row],[Product Option]]="My Value Plus Life"),"MM_LIFE",
IF(AND($A187="Spouse",Table2[[#This Row],[Product Option]]="My Value Plus Life"),"SP_LIFE",
IF(AND($A187="Main Member",Table2[[#This Row],[Product Option]]="My Value Plus Life &amp; Funeral"),"MM_LIFE",
IF(AND($A187="Spouse",Table2[[#This Row],[Product Option]]="My Value Plus Life &amp; Funeral"),_xlfn.XLOOKUP(Table2[[#This Row],[Benefit Name]],Lookups!$D$18:$D$23,Lookups!$E$18:$E$23,0),
0))))</f>
        <v>0</v>
      </c>
      <c r="J187" s="284">
        <f>IF($I187="","",
IF($I187="MM_LIFE",INDEX('Quotation Tool'!$S$54:$V$60,MATCH($T187,'Quotation Tool'!$S$54:$S$60,0),4),
IF($I187="SP_LIFE",_xlfn.XLOOKUP(B186,$B:$B,$J:$J,0),0)))</f>
        <v>0</v>
      </c>
      <c r="K187" s="287">
        <f t="shared" ca="1" si="19"/>
        <v>0</v>
      </c>
      <c r="L187" s="288">
        <f t="shared" ca="1" si="20"/>
        <v>0</v>
      </c>
      <c r="M187" s="289">
        <f t="shared" ca="1" si="16"/>
        <v>0</v>
      </c>
      <c r="N187" s="286">
        <f>Table13[[#This Row],[Benefit Option]]</f>
        <v>0</v>
      </c>
      <c r="O187" s="284">
        <f>IF(OR(Table2[[#This Row],[Member Type]]="Spouse",Table2[[#This Row],[Member Type]]="Child"),0,
IF(_xlfn.XLOOKUP($N187,Lookups!$D$13:$D$27,Lookups!$F$13:$F$27,0)=Table2[[#This Row],[Table Lookup for Life Cover]],0,
_xlfn.XLOOKUP($N187,Lookups!$D$13:$D$27,Lookups!$F$13:$F$27,0)))</f>
        <v>0</v>
      </c>
      <c r="P187" s="284">
        <f>IF(Table2[[#This Row],[Table Lookup for Funeral]]=0,0,IFERROR(INDEX('Quotation Tool'!$S$54:$V$60,MATCH($T187,'Quotation Tool'!$S$54:$S$60,0),3),0))</f>
        <v>0</v>
      </c>
      <c r="Q187" s="288">
        <f ca="1">IF(OR(Table2[[#This Row],[Benefit Name]]="My Value Plus Life - Main Member",Table2[[#This Row],[Benefit Name]]="My Value Plus Life - Spouse"),0,
IFERROR(VLOOKUP($G187,INDIRECT($O187),$P187,FALSE),0))</f>
        <v>0</v>
      </c>
      <c r="R187" s="288">
        <f ca="1">IF(OR(Table2[[#This Row],[Benefit Name]]="My Value Plus Life - Main Member",Table2[[#This Row],[Benefit Name]]="My Value Plus Life - Spouse"),0,
IFERROR(VLOOKUP($G187,INDIRECT($O187),$P187+1,FALSE),0))</f>
        <v>0</v>
      </c>
      <c r="S187" s="289">
        <f t="shared" ca="1" si="17"/>
        <v>0</v>
      </c>
      <c r="T187" s="284" t="str">
        <f>IF(Table13[[#This Row],[Premium Waiver]]="","None",Table13[[#This Row],[Premium Waiver]])</f>
        <v>None</v>
      </c>
      <c r="U187" s="284">
        <f>Table13[[#This Row],[VAPs Options]]</f>
        <v>0</v>
      </c>
      <c r="V187" s="284">
        <f>Table13[[#This Row],[Annual Increase Option]]</f>
        <v>0</v>
      </c>
      <c r="W187" s="290">
        <f>Table13[[#This Row],[Life Cover Amount]]</f>
        <v>0</v>
      </c>
      <c r="X187" s="290">
        <f>Table13[[#This Row],[Funeral Cover Amount]]</f>
        <v>0</v>
      </c>
      <c r="Y18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8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87" s="301">
        <f t="shared" ca="1" si="18"/>
        <v>0</v>
      </c>
      <c r="AB187" s="298"/>
      <c r="AC187" s="326" t="str">
        <f>IF(Table2[[#This Row],[Member Type]]="Main Member",Lookups!$C$13,
IF(Table2[[#This Row],[Member Type]]="Spouse",_xlfn.XLOOKUP(B187,Table2[Main Member Link ID],Table2[Product Option],0),
IF(AND(Table2[[#This Row],[Member Type]]="Child",_xlfn.XLOOKUP(B187,Table2[Main Member Link ID],Table2[Product Option],0)&lt;&gt;"My Value Plus Life"),Lookups!$C$24,
IF(AND(OR(Table2[[#This Row],[Member Type]]="Parent",Table2[[#This Row],[Member Type]]="Extended"),_xlfn.XLOOKUP(B187,Table2[Main Member Link ID],Table2[Product Option],0)&lt;&gt;"My Value Plus Life"),Lookups!$C$26,""))))</f>
        <v/>
      </c>
      <c r="AD187" s="326" t="str">
        <f>IF(Table2[[#This Row],[Member Type]]="Main Member",Lookups!$C$14,"")</f>
        <v/>
      </c>
      <c r="AE18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Funeral",_xlfn.XLOOKUP(B187,Table2[Main Member Link ID],Table2[Benefit Name],0)=Lookups!$D$14),"",
IF(AND(Table2[[#This Row],[Member Type]]="Spouse",Table2[[#This Row],[Product Option]]="My Value Plus Life &amp; Funeral",_xlfn.XLOOKUP(B186,Table2[Main Member Link ID],Table2[Benefit Name],0)=Lookups!$D$15),Lookups!$D$20,
IF(AND(Table2[[#This Row],[Member Type]]="Spouse",Table2[[#This Row],[Product Option]]="My Value Plus Life &amp; Funeral",_xlfn.XLOOKUP(B186,Table2[Main Member Link ID],Table2[Benefit Name],0)=Lookups!$D$16),"",
IF(AND(Table2[[#This Row],[Member Type]]="Spouse",Table2[[#This Row],[Product Option]]="My Value Plus Life &amp; Funeral",_xlfn.XLOOKUP(B186,Table2[Main Member Link ID],Table2[Benefit Name],0)=Lookups!$D$17),Lookups!$D$21,
IF(AND(Table2[[#This Row],[Member Type]]="Child",Table2[[#This Row],[Product Option]]="My Value Plus Life &amp; Funeral",_xlfn.XLOOKUP(B187,Table2[Main Member Link ID],Table2[Benefit Name],0)=Lookups!$D$14),"",
IF(AND(Table2[[#This Row],[Member Type]]="Child",Table2[[#This Row],[Product Option]]="My Value Plus Life &amp; Funeral",_xlfn.XLOOKUP(B187,Table2[Main Member Link ID],Table2[Benefit Name],0)=Lookups!$D$15),"",
IF(AND(Table2[[#This Row],[Member Type]]="Child",Table2[[#This Row],[Product Option]]="My Value Plus Life &amp; Funeral",_xlfn.XLOOKUP(B187,Table2[Main Member Link ID],Table2[Benefit Name],0)=Lookups!$D$16),Lookups!$D$24,
IF(AND(Table2[[#This Row],[Member Type]]="Child",Table2[[#This Row],[Product Option]]="My Value Plus Life &amp; Funeral",_xlfn.XLOOKUP(B187,Table2[Main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Funeral",_xlfn.XLOOKUP(B187,Table2[Main Member Link ID],Table2[Benefit Name],0)&lt;&gt;Lookups!$D$14),
IF(_xlfn.XLOOKUP(B187,Table2[Main Member Link ID],Table2[Benefit Name],0)=0,"",_xlfn.XLOOKUP(B187,Table2[Main Member Link ID],Table2[Benefit Name],0)),"")))))))))))))))</f>
        <v/>
      </c>
      <c r="AF187" s="327" t="str">
        <f>IF(AND(Table2[[#This Row],[Member Type]]="Main Member",Table2[[#This Row],[Product Option]]="My Value Plus Life &amp; Funeral"),Lookups!$D$15,
IF(AND(Table2[[#This Row],[Member Type]]="Spouse",Table2[[#This Row],[Product Option]]="My Value Plus Life &amp; Funeral",_xlfn.XLOOKUP(B187,Table2[Main Member Link ID],Table2[Benefit Name],0)=Lookups!$D$14),"",
IF(AND(Table2[[#This Row],[Member Type]]="Spouse",Table2[[#This Row],[Product Option]]="My Value Plus Life &amp; Funeral",_xlfn.XLOOKUP(B186,Table2[Main Member Link ID],Table2[Benefit Name],0)=Lookups!$D$16),"",
IF(AND(Table2[[#This Row],[Member Type]]="Spouse",Table2[[#This Row],[Product Option]]="My Value Plus Life &amp; Funeral",_xlfn.XLOOKUP(B186,Table2[Main Member Link ID],Table2[Benefit Name],0)=Lookups!$D$15),"",
IF(AND(Table2[[#This Row],[Member Type]]="Spouse",Table2[[#This Row],[Product Option]]="My Value Plus Life &amp; Funeral",_xlfn.XLOOKUP(B186,Table2[Main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Funeral",_xlfn.XLOOKUP(B187,Table2[Main Member Link ID],Table2[Benefit Name],0)&lt;&gt;Lookups!$D$15),
IF(_xlfn.XLOOKUP(B187,Table2[Main Member Link ID],Table2[Benefit Name],0)=0,"",_xlfn.XLOOKUP(B187,Table2[Main Member Link ID],Table2[Benefit Name],0)),"")
))))))</f>
        <v/>
      </c>
      <c r="AG187" s="327" t="str">
        <f>IF(AND(Table2[[#This Row],[Member Type]]="Main Member",Table2[[#This Row],[Product Option]]="My Value Plus Life &amp; Funeral"),Lookups!$D$16,
IF(AND(Table2[[#This Row],[Member Type]]="Spouse",Table2[[#This Row],[Product Option]]="My Value Plus Life &amp; Funeral",_xlfn.XLOOKUP(B187,Table2[Main Member Link ID],Table2[Benefit Name],0)=Lookups!$D$14),"",
IF(AND(Table2[[#This Row],[Member Type]]="Spouse",Table2[[#This Row],[Product Option]]="My Value Plus Life &amp; Funeral",_xlfn.XLOOKUP(B186,Table2[Main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Funeral",_xlfn.XLOOKUP(B187,Table2[Main Member Link ID],Table2[Benefit Name],0)&lt;&gt;Lookups!$D$16),
IF(_xlfn.XLOOKUP(B187,Table2[Main Member Link ID],Table2[Benefit Name],0)=0,"",_xlfn.XLOOKUP(B187,Table2[Main Member Link ID],Table2[Benefit Name],0)),"")
))))</f>
        <v/>
      </c>
      <c r="AH187" s="327" t="str">
        <f>IF(AND(Table2[[#This Row],[Member Type]]="Main Member",Table2[[#This Row],[Product Option]]="My Value Plus Life &amp; Funeral"),Lookups!$D$17,
IF(AND(Table2[[#This Row],[Member Type]]="Spouse",Table2[[#This Row],[Product Option]]="My Value Plus Life &amp; Funeral",_xlfn.XLOOKUP(B187,Table2[Main Member Link ID],Table2[Benefit Name],0)=Lookups!$D$14),"",
IF(AND(Table2[[#This Row],[Member Type]]="Spouse",Table2[[#This Row],[Product Option]]="My Value Plus Life &amp; Funeral",_xlfn.XLOOKUP(B186,Table2[Main Member Link ID],Table2[Benefit Name],0)=Lookups!$D$16),"",
IF(AND(Table2[[#This Row],[Member Type]]="Child",Table2[[#This Row],[Product Option]]="My Value Plus Life &amp; Funeral"),"",
IF(AND(Table2[[#This Row],[Member Type]]="Child",Table2[[#This Row],[Product Option]]="My Value Plus Life &amp; Funeral",_xlfn.XLOOKUP(B187,Table2[Main Member Link ID],Table2[Benefit Name],0)=Lookups!$D$15),"",
IF(AND(OR(Table2[[#This Row],[Member Type]]="Spouse",Table2[[#This Row],[Member Type]]="Child"),Table2[[#This Row],[Product Option]]="My Value Plus Life &amp; Funeral",_xlfn.XLOOKUP(B187,Table2[Main Member Link ID],Table2[Benefit Name],0)&lt;&gt;Lookups!$D$17),
IF(_xlfn.XLOOKUP(B187,Table2[Main Member Link ID],Table2[Benefit Name],0)=0,"",_xlfn.XLOOKUP(B187,Table2[Main Member Link ID],Table2[Benefit Name],0)),""))))))</f>
        <v/>
      </c>
      <c r="AI187" s="328" t="str">
        <f>IF(AND(Table2[[#This Row],[Member Type]]="Main Member",Table2[[#This Row],[Table Lookup for Life Cover]]="MM_LIFE",Table2[[#This Row],[Age Next Birthday]]&lt;56),1,
IF(AND(Table2[[#This Row],[Member Type]]="Main Member",Table2[[#This Row],[Table Lookup for Life Cover]]="MM_LIFE",Table2[[#This Row],[Age Next Birthday]]&gt;=56),2,
""))</f>
        <v/>
      </c>
      <c r="AJ187" s="328">
        <f>IF(OR(Table2[[#This Row],[Member Type]]="Main Member",Table2[[#This Row],[Main Member Link ID]]=B186),1,0)</f>
        <v>1</v>
      </c>
      <c r="AK187" s="328">
        <f>IF(Table2[[#This Row],[Member Type]]=0,0,
IF(OR(Table2[[#This Row],[Member Type]]="Main Member",Table2[[#This Row],[Main Member Link ID]]&lt;&gt;B187),COUNTIFS(B:B,Table2[[#This Row],[Main Member Link ID]]),
COUNTIFS(B:B,Table2[[#This Row],[Main Member Link ID]],A:A,Table2[[#This Row],[Member Type]])))</f>
        <v>0</v>
      </c>
    </row>
    <row r="188" spans="1:37" x14ac:dyDescent="0.3">
      <c r="A188" s="284">
        <f>Table13[[#This Row],[Member Type]]</f>
        <v>0</v>
      </c>
      <c r="B188" s="284">
        <f>Table13[[#This Row],[Main Member Link ID]]</f>
        <v>0</v>
      </c>
      <c r="C188" s="284">
        <f>Table13[[#This Row],[ID Number]]</f>
        <v>0</v>
      </c>
      <c r="D188" s="285">
        <f>Table13[[#This Row],[Date Of Birth]]</f>
        <v>0</v>
      </c>
      <c r="E188" s="285">
        <f>Table13[[#This Row],[Commencement Date]]</f>
        <v>0</v>
      </c>
      <c r="F188" s="284">
        <f t="shared" si="14"/>
        <v>1</v>
      </c>
      <c r="G188" s="284">
        <f t="shared" si="15"/>
        <v>25</v>
      </c>
      <c r="H188" s="286">
        <f>Table13[[#This Row],[Product Option]]</f>
        <v>0</v>
      </c>
      <c r="I188" s="284">
        <f>IF(AND($A188="Main Member",Table2[[#This Row],[Product Option]]="My Value Plus Life"),"MM_LIFE",
IF(AND($A188="Spouse",Table2[[#This Row],[Product Option]]="My Value Plus Life"),"SP_LIFE",
IF(AND($A188="Main Member",Table2[[#This Row],[Product Option]]="My Value Plus Life &amp; Funeral"),"MM_LIFE",
IF(AND($A188="Spouse",Table2[[#This Row],[Product Option]]="My Value Plus Life &amp; Funeral"),_xlfn.XLOOKUP(Table2[[#This Row],[Benefit Name]],Lookups!$D$18:$D$23,Lookups!$E$18:$E$23,0),
0))))</f>
        <v>0</v>
      </c>
      <c r="J188" s="284">
        <f>IF($I188="","",
IF($I188="MM_LIFE",INDEX('Quotation Tool'!$S$54:$V$60,MATCH($T188,'Quotation Tool'!$S$54:$S$60,0),4),
IF($I188="SP_LIFE",_xlfn.XLOOKUP(B187,$B:$B,$J:$J,0),0)))</f>
        <v>0</v>
      </c>
      <c r="K188" s="287">
        <f t="shared" ca="1" si="19"/>
        <v>0</v>
      </c>
      <c r="L188" s="288">
        <f t="shared" ca="1" si="20"/>
        <v>0</v>
      </c>
      <c r="M188" s="289">
        <f t="shared" ca="1" si="16"/>
        <v>0</v>
      </c>
      <c r="N188" s="286">
        <f>Table13[[#This Row],[Benefit Option]]</f>
        <v>0</v>
      </c>
      <c r="O188" s="284">
        <f>IF(OR(Table2[[#This Row],[Member Type]]="Spouse",Table2[[#This Row],[Member Type]]="Child"),0,
IF(_xlfn.XLOOKUP($N188,Lookups!$D$13:$D$27,Lookups!$F$13:$F$27,0)=Table2[[#This Row],[Table Lookup for Life Cover]],0,
_xlfn.XLOOKUP($N188,Lookups!$D$13:$D$27,Lookups!$F$13:$F$27,0)))</f>
        <v>0</v>
      </c>
      <c r="P188" s="284">
        <f>IF(Table2[[#This Row],[Table Lookup for Funeral]]=0,0,IFERROR(INDEX('Quotation Tool'!$S$54:$V$60,MATCH($T188,'Quotation Tool'!$S$54:$S$60,0),3),0))</f>
        <v>0</v>
      </c>
      <c r="Q188" s="288">
        <f ca="1">IF(OR(Table2[[#This Row],[Benefit Name]]="My Value Plus Life - Main Member",Table2[[#This Row],[Benefit Name]]="My Value Plus Life - Spouse"),0,
IFERROR(VLOOKUP($G188,INDIRECT($O188),$P188,FALSE),0))</f>
        <v>0</v>
      </c>
      <c r="R188" s="288">
        <f ca="1">IF(OR(Table2[[#This Row],[Benefit Name]]="My Value Plus Life - Main Member",Table2[[#This Row],[Benefit Name]]="My Value Plus Life - Spouse"),0,
IFERROR(VLOOKUP($G188,INDIRECT($O188),$P188+1,FALSE),0))</f>
        <v>0</v>
      </c>
      <c r="S188" s="289">
        <f t="shared" ca="1" si="17"/>
        <v>0</v>
      </c>
      <c r="T188" s="284" t="str">
        <f>IF(Table13[[#This Row],[Premium Waiver]]="","None",Table13[[#This Row],[Premium Waiver]])</f>
        <v>None</v>
      </c>
      <c r="U188" s="284">
        <f>Table13[[#This Row],[VAPs Options]]</f>
        <v>0</v>
      </c>
      <c r="V188" s="284">
        <f>Table13[[#This Row],[Annual Increase Option]]</f>
        <v>0</v>
      </c>
      <c r="W188" s="290">
        <f>Table13[[#This Row],[Life Cover Amount]]</f>
        <v>0</v>
      </c>
      <c r="X188" s="290">
        <f>Table13[[#This Row],[Funeral Cover Amount]]</f>
        <v>0</v>
      </c>
      <c r="Y18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8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88" s="301">
        <f t="shared" ca="1" si="18"/>
        <v>0</v>
      </c>
      <c r="AB188" s="298"/>
      <c r="AC188" s="326" t="str">
        <f>IF(Table2[[#This Row],[Member Type]]="Main Member",Lookups!$C$13,
IF(Table2[[#This Row],[Member Type]]="Spouse",_xlfn.XLOOKUP(B188,Table2[Main Member Link ID],Table2[Product Option],0),
IF(AND(Table2[[#This Row],[Member Type]]="Child",_xlfn.XLOOKUP(B188,Table2[Main Member Link ID],Table2[Product Option],0)&lt;&gt;"My Value Plus Life"),Lookups!$C$24,
IF(AND(OR(Table2[[#This Row],[Member Type]]="Parent",Table2[[#This Row],[Member Type]]="Extended"),_xlfn.XLOOKUP(B188,Table2[Main Member Link ID],Table2[Product Option],0)&lt;&gt;"My Value Plus Life"),Lookups!$C$26,""))))</f>
        <v/>
      </c>
      <c r="AD188" s="326" t="str">
        <f>IF(Table2[[#This Row],[Member Type]]="Main Member",Lookups!$C$14,"")</f>
        <v/>
      </c>
      <c r="AE18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Funeral",_xlfn.XLOOKUP(B188,Table2[Main Member Link ID],Table2[Benefit Name],0)=Lookups!$D$14),"",
IF(AND(Table2[[#This Row],[Member Type]]="Spouse",Table2[[#This Row],[Product Option]]="My Value Plus Life &amp; Funeral",_xlfn.XLOOKUP(B187,Table2[Main Member Link ID],Table2[Benefit Name],0)=Lookups!$D$15),Lookups!$D$20,
IF(AND(Table2[[#This Row],[Member Type]]="Spouse",Table2[[#This Row],[Product Option]]="My Value Plus Life &amp; Funeral",_xlfn.XLOOKUP(B187,Table2[Main Member Link ID],Table2[Benefit Name],0)=Lookups!$D$16),"",
IF(AND(Table2[[#This Row],[Member Type]]="Spouse",Table2[[#This Row],[Product Option]]="My Value Plus Life &amp; Funeral",_xlfn.XLOOKUP(B187,Table2[Main Member Link ID],Table2[Benefit Name],0)=Lookups!$D$17),Lookups!$D$21,
IF(AND(Table2[[#This Row],[Member Type]]="Child",Table2[[#This Row],[Product Option]]="My Value Plus Life &amp; Funeral",_xlfn.XLOOKUP(B188,Table2[Main Member Link ID],Table2[Benefit Name],0)=Lookups!$D$14),"",
IF(AND(Table2[[#This Row],[Member Type]]="Child",Table2[[#This Row],[Product Option]]="My Value Plus Life &amp; Funeral",_xlfn.XLOOKUP(B188,Table2[Main Member Link ID],Table2[Benefit Name],0)=Lookups!$D$15),"",
IF(AND(Table2[[#This Row],[Member Type]]="Child",Table2[[#This Row],[Product Option]]="My Value Plus Life &amp; Funeral",_xlfn.XLOOKUP(B188,Table2[Main Member Link ID],Table2[Benefit Name],0)=Lookups!$D$16),Lookups!$D$24,
IF(AND(Table2[[#This Row],[Member Type]]="Child",Table2[[#This Row],[Product Option]]="My Value Plus Life &amp; Funeral",_xlfn.XLOOKUP(B188,Table2[Main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Funeral",_xlfn.XLOOKUP(B188,Table2[Main Member Link ID],Table2[Benefit Name],0)&lt;&gt;Lookups!$D$14),
IF(_xlfn.XLOOKUP(B188,Table2[Main Member Link ID],Table2[Benefit Name],0)=0,"",_xlfn.XLOOKUP(B188,Table2[Main Member Link ID],Table2[Benefit Name],0)),"")))))))))))))))</f>
        <v/>
      </c>
      <c r="AF188" s="327" t="str">
        <f>IF(AND(Table2[[#This Row],[Member Type]]="Main Member",Table2[[#This Row],[Product Option]]="My Value Plus Life &amp; Funeral"),Lookups!$D$15,
IF(AND(Table2[[#This Row],[Member Type]]="Spouse",Table2[[#This Row],[Product Option]]="My Value Plus Life &amp; Funeral",_xlfn.XLOOKUP(B188,Table2[Main Member Link ID],Table2[Benefit Name],0)=Lookups!$D$14),"",
IF(AND(Table2[[#This Row],[Member Type]]="Spouse",Table2[[#This Row],[Product Option]]="My Value Plus Life &amp; Funeral",_xlfn.XLOOKUP(B187,Table2[Main Member Link ID],Table2[Benefit Name],0)=Lookups!$D$16),"",
IF(AND(Table2[[#This Row],[Member Type]]="Spouse",Table2[[#This Row],[Product Option]]="My Value Plus Life &amp; Funeral",_xlfn.XLOOKUP(B187,Table2[Main Member Link ID],Table2[Benefit Name],0)=Lookups!$D$15),"",
IF(AND(Table2[[#This Row],[Member Type]]="Spouse",Table2[[#This Row],[Product Option]]="My Value Plus Life &amp; Funeral",_xlfn.XLOOKUP(B187,Table2[Main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Funeral",_xlfn.XLOOKUP(B188,Table2[Main Member Link ID],Table2[Benefit Name],0)&lt;&gt;Lookups!$D$15),
IF(_xlfn.XLOOKUP(B188,Table2[Main Member Link ID],Table2[Benefit Name],0)=0,"",_xlfn.XLOOKUP(B188,Table2[Main Member Link ID],Table2[Benefit Name],0)),"")
))))))</f>
        <v/>
      </c>
      <c r="AG188" s="327" t="str">
        <f>IF(AND(Table2[[#This Row],[Member Type]]="Main Member",Table2[[#This Row],[Product Option]]="My Value Plus Life &amp; Funeral"),Lookups!$D$16,
IF(AND(Table2[[#This Row],[Member Type]]="Spouse",Table2[[#This Row],[Product Option]]="My Value Plus Life &amp; Funeral",_xlfn.XLOOKUP(B188,Table2[Main Member Link ID],Table2[Benefit Name],0)=Lookups!$D$14),"",
IF(AND(Table2[[#This Row],[Member Type]]="Spouse",Table2[[#This Row],[Product Option]]="My Value Plus Life &amp; Funeral",_xlfn.XLOOKUP(B187,Table2[Main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Funeral",_xlfn.XLOOKUP(B188,Table2[Main Member Link ID],Table2[Benefit Name],0)&lt;&gt;Lookups!$D$16),
IF(_xlfn.XLOOKUP(B188,Table2[Main Member Link ID],Table2[Benefit Name],0)=0,"",_xlfn.XLOOKUP(B188,Table2[Main Member Link ID],Table2[Benefit Name],0)),"")
))))</f>
        <v/>
      </c>
      <c r="AH188" s="327" t="str">
        <f>IF(AND(Table2[[#This Row],[Member Type]]="Main Member",Table2[[#This Row],[Product Option]]="My Value Plus Life &amp; Funeral"),Lookups!$D$17,
IF(AND(Table2[[#This Row],[Member Type]]="Spouse",Table2[[#This Row],[Product Option]]="My Value Plus Life &amp; Funeral",_xlfn.XLOOKUP(B188,Table2[Main Member Link ID],Table2[Benefit Name],0)=Lookups!$D$14),"",
IF(AND(Table2[[#This Row],[Member Type]]="Spouse",Table2[[#This Row],[Product Option]]="My Value Plus Life &amp; Funeral",_xlfn.XLOOKUP(B187,Table2[Main Member Link ID],Table2[Benefit Name],0)=Lookups!$D$16),"",
IF(AND(Table2[[#This Row],[Member Type]]="Child",Table2[[#This Row],[Product Option]]="My Value Plus Life &amp; Funeral"),"",
IF(AND(Table2[[#This Row],[Member Type]]="Child",Table2[[#This Row],[Product Option]]="My Value Plus Life &amp; Funeral",_xlfn.XLOOKUP(B188,Table2[Main Member Link ID],Table2[Benefit Name],0)=Lookups!$D$15),"",
IF(AND(OR(Table2[[#This Row],[Member Type]]="Spouse",Table2[[#This Row],[Member Type]]="Child"),Table2[[#This Row],[Product Option]]="My Value Plus Life &amp; Funeral",_xlfn.XLOOKUP(B188,Table2[Main Member Link ID],Table2[Benefit Name],0)&lt;&gt;Lookups!$D$17),
IF(_xlfn.XLOOKUP(B188,Table2[Main Member Link ID],Table2[Benefit Name],0)=0,"",_xlfn.XLOOKUP(B188,Table2[Main Member Link ID],Table2[Benefit Name],0)),""))))))</f>
        <v/>
      </c>
      <c r="AI188" s="328" t="str">
        <f>IF(AND(Table2[[#This Row],[Member Type]]="Main Member",Table2[[#This Row],[Table Lookup for Life Cover]]="MM_LIFE",Table2[[#This Row],[Age Next Birthday]]&lt;56),1,
IF(AND(Table2[[#This Row],[Member Type]]="Main Member",Table2[[#This Row],[Table Lookup for Life Cover]]="MM_LIFE",Table2[[#This Row],[Age Next Birthday]]&gt;=56),2,
""))</f>
        <v/>
      </c>
      <c r="AJ188" s="328">
        <f>IF(OR(Table2[[#This Row],[Member Type]]="Main Member",Table2[[#This Row],[Main Member Link ID]]=B187),1,0)</f>
        <v>1</v>
      </c>
      <c r="AK188" s="328">
        <f>IF(Table2[[#This Row],[Member Type]]=0,0,
IF(OR(Table2[[#This Row],[Member Type]]="Main Member",Table2[[#This Row],[Main Member Link ID]]&lt;&gt;B188),COUNTIFS(B:B,Table2[[#This Row],[Main Member Link ID]]),
COUNTIFS(B:B,Table2[[#This Row],[Main Member Link ID]],A:A,Table2[[#This Row],[Member Type]])))</f>
        <v>0</v>
      </c>
    </row>
    <row r="189" spans="1:37" x14ac:dyDescent="0.3">
      <c r="A189" s="284">
        <f>Table13[[#This Row],[Member Type]]</f>
        <v>0</v>
      </c>
      <c r="B189" s="284">
        <f>Table13[[#This Row],[Main Member Link ID]]</f>
        <v>0</v>
      </c>
      <c r="C189" s="284">
        <f>Table13[[#This Row],[ID Number]]</f>
        <v>0</v>
      </c>
      <c r="D189" s="285">
        <f>Table13[[#This Row],[Date Of Birth]]</f>
        <v>0</v>
      </c>
      <c r="E189" s="285">
        <f>Table13[[#This Row],[Commencement Date]]</f>
        <v>0</v>
      </c>
      <c r="F189" s="284">
        <f t="shared" si="14"/>
        <v>1</v>
      </c>
      <c r="G189" s="284">
        <f t="shared" si="15"/>
        <v>25</v>
      </c>
      <c r="H189" s="286">
        <f>Table13[[#This Row],[Product Option]]</f>
        <v>0</v>
      </c>
      <c r="I189" s="284">
        <f>IF(AND($A189="Main Member",Table2[[#This Row],[Product Option]]="My Value Plus Life"),"MM_LIFE",
IF(AND($A189="Spouse",Table2[[#This Row],[Product Option]]="My Value Plus Life"),"SP_LIFE",
IF(AND($A189="Main Member",Table2[[#This Row],[Product Option]]="My Value Plus Life &amp; Funeral"),"MM_LIFE",
IF(AND($A189="Spouse",Table2[[#This Row],[Product Option]]="My Value Plus Life &amp; Funeral"),_xlfn.XLOOKUP(Table2[[#This Row],[Benefit Name]],Lookups!$D$18:$D$23,Lookups!$E$18:$E$23,0),
0))))</f>
        <v>0</v>
      </c>
      <c r="J189" s="284">
        <f>IF($I189="","",
IF($I189="MM_LIFE",INDEX('Quotation Tool'!$S$54:$V$60,MATCH($T189,'Quotation Tool'!$S$54:$S$60,0),4),
IF($I189="SP_LIFE",_xlfn.XLOOKUP(B188,$B:$B,$J:$J,0),0)))</f>
        <v>0</v>
      </c>
      <c r="K189" s="287">
        <f t="shared" ca="1" si="19"/>
        <v>0</v>
      </c>
      <c r="L189" s="288">
        <f t="shared" ca="1" si="20"/>
        <v>0</v>
      </c>
      <c r="M189" s="289">
        <f t="shared" ca="1" si="16"/>
        <v>0</v>
      </c>
      <c r="N189" s="286">
        <f>Table13[[#This Row],[Benefit Option]]</f>
        <v>0</v>
      </c>
      <c r="O189" s="284">
        <f>IF(OR(Table2[[#This Row],[Member Type]]="Spouse",Table2[[#This Row],[Member Type]]="Child"),0,
IF(_xlfn.XLOOKUP($N189,Lookups!$D$13:$D$27,Lookups!$F$13:$F$27,0)=Table2[[#This Row],[Table Lookup for Life Cover]],0,
_xlfn.XLOOKUP($N189,Lookups!$D$13:$D$27,Lookups!$F$13:$F$27,0)))</f>
        <v>0</v>
      </c>
      <c r="P189" s="284">
        <f>IF(Table2[[#This Row],[Table Lookup for Funeral]]=0,0,IFERROR(INDEX('Quotation Tool'!$S$54:$V$60,MATCH($T189,'Quotation Tool'!$S$54:$S$60,0),3),0))</f>
        <v>0</v>
      </c>
      <c r="Q189" s="288">
        <f ca="1">IF(OR(Table2[[#This Row],[Benefit Name]]="My Value Plus Life - Main Member",Table2[[#This Row],[Benefit Name]]="My Value Plus Life - Spouse"),0,
IFERROR(VLOOKUP($G189,INDIRECT($O189),$P189,FALSE),0))</f>
        <v>0</v>
      </c>
      <c r="R189" s="288">
        <f ca="1">IF(OR(Table2[[#This Row],[Benefit Name]]="My Value Plus Life - Main Member",Table2[[#This Row],[Benefit Name]]="My Value Plus Life - Spouse"),0,
IFERROR(VLOOKUP($G189,INDIRECT($O189),$P189+1,FALSE),0))</f>
        <v>0</v>
      </c>
      <c r="S189" s="289">
        <f t="shared" ca="1" si="17"/>
        <v>0</v>
      </c>
      <c r="T189" s="284" t="str">
        <f>IF(Table13[[#This Row],[Premium Waiver]]="","None",Table13[[#This Row],[Premium Waiver]])</f>
        <v>None</v>
      </c>
      <c r="U189" s="284">
        <f>Table13[[#This Row],[VAPs Options]]</f>
        <v>0</v>
      </c>
      <c r="V189" s="284">
        <f>Table13[[#This Row],[Annual Increase Option]]</f>
        <v>0</v>
      </c>
      <c r="W189" s="290">
        <f>Table13[[#This Row],[Life Cover Amount]]</f>
        <v>0</v>
      </c>
      <c r="X189" s="290">
        <f>Table13[[#This Row],[Funeral Cover Amount]]</f>
        <v>0</v>
      </c>
      <c r="Y18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8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89" s="301">
        <f t="shared" ca="1" si="18"/>
        <v>0</v>
      </c>
      <c r="AB189" s="298"/>
      <c r="AC189" s="326" t="str">
        <f>IF(Table2[[#This Row],[Member Type]]="Main Member",Lookups!$C$13,
IF(Table2[[#This Row],[Member Type]]="Spouse",_xlfn.XLOOKUP(B189,Table2[Main Member Link ID],Table2[Product Option],0),
IF(AND(Table2[[#This Row],[Member Type]]="Child",_xlfn.XLOOKUP(B189,Table2[Main Member Link ID],Table2[Product Option],0)&lt;&gt;"My Value Plus Life"),Lookups!$C$24,
IF(AND(OR(Table2[[#This Row],[Member Type]]="Parent",Table2[[#This Row],[Member Type]]="Extended"),_xlfn.XLOOKUP(B189,Table2[Main Member Link ID],Table2[Product Option],0)&lt;&gt;"My Value Plus Life"),Lookups!$C$26,""))))</f>
        <v/>
      </c>
      <c r="AD189" s="326" t="str">
        <f>IF(Table2[[#This Row],[Member Type]]="Main Member",Lookups!$C$14,"")</f>
        <v/>
      </c>
      <c r="AE18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Funeral",_xlfn.XLOOKUP(B189,Table2[Main Member Link ID],Table2[Benefit Name],0)=Lookups!$D$14),"",
IF(AND(Table2[[#This Row],[Member Type]]="Spouse",Table2[[#This Row],[Product Option]]="My Value Plus Life &amp; Funeral",_xlfn.XLOOKUP(B188,Table2[Main Member Link ID],Table2[Benefit Name],0)=Lookups!$D$15),Lookups!$D$20,
IF(AND(Table2[[#This Row],[Member Type]]="Spouse",Table2[[#This Row],[Product Option]]="My Value Plus Life &amp; Funeral",_xlfn.XLOOKUP(B188,Table2[Main Member Link ID],Table2[Benefit Name],0)=Lookups!$D$16),"",
IF(AND(Table2[[#This Row],[Member Type]]="Spouse",Table2[[#This Row],[Product Option]]="My Value Plus Life &amp; Funeral",_xlfn.XLOOKUP(B188,Table2[Main Member Link ID],Table2[Benefit Name],0)=Lookups!$D$17),Lookups!$D$21,
IF(AND(Table2[[#This Row],[Member Type]]="Child",Table2[[#This Row],[Product Option]]="My Value Plus Life &amp; Funeral",_xlfn.XLOOKUP(B189,Table2[Main Member Link ID],Table2[Benefit Name],0)=Lookups!$D$14),"",
IF(AND(Table2[[#This Row],[Member Type]]="Child",Table2[[#This Row],[Product Option]]="My Value Plus Life &amp; Funeral",_xlfn.XLOOKUP(B189,Table2[Main Member Link ID],Table2[Benefit Name],0)=Lookups!$D$15),"",
IF(AND(Table2[[#This Row],[Member Type]]="Child",Table2[[#This Row],[Product Option]]="My Value Plus Life &amp; Funeral",_xlfn.XLOOKUP(B189,Table2[Main Member Link ID],Table2[Benefit Name],0)=Lookups!$D$16),Lookups!$D$24,
IF(AND(Table2[[#This Row],[Member Type]]="Child",Table2[[#This Row],[Product Option]]="My Value Plus Life &amp; Funeral",_xlfn.XLOOKUP(B189,Table2[Main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Funeral",_xlfn.XLOOKUP(B189,Table2[Main Member Link ID],Table2[Benefit Name],0)&lt;&gt;Lookups!$D$14),
IF(_xlfn.XLOOKUP(B189,Table2[Main Member Link ID],Table2[Benefit Name],0)=0,"",_xlfn.XLOOKUP(B189,Table2[Main Member Link ID],Table2[Benefit Name],0)),"")))))))))))))))</f>
        <v/>
      </c>
      <c r="AF189" s="327" t="str">
        <f>IF(AND(Table2[[#This Row],[Member Type]]="Main Member",Table2[[#This Row],[Product Option]]="My Value Plus Life &amp; Funeral"),Lookups!$D$15,
IF(AND(Table2[[#This Row],[Member Type]]="Spouse",Table2[[#This Row],[Product Option]]="My Value Plus Life &amp; Funeral",_xlfn.XLOOKUP(B189,Table2[Main Member Link ID],Table2[Benefit Name],0)=Lookups!$D$14),"",
IF(AND(Table2[[#This Row],[Member Type]]="Spouse",Table2[[#This Row],[Product Option]]="My Value Plus Life &amp; Funeral",_xlfn.XLOOKUP(B188,Table2[Main Member Link ID],Table2[Benefit Name],0)=Lookups!$D$16),"",
IF(AND(Table2[[#This Row],[Member Type]]="Spouse",Table2[[#This Row],[Product Option]]="My Value Plus Life &amp; Funeral",_xlfn.XLOOKUP(B188,Table2[Main Member Link ID],Table2[Benefit Name],0)=Lookups!$D$15),"",
IF(AND(Table2[[#This Row],[Member Type]]="Spouse",Table2[[#This Row],[Product Option]]="My Value Plus Life &amp; Funeral",_xlfn.XLOOKUP(B188,Table2[Main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Funeral",_xlfn.XLOOKUP(B189,Table2[Main Member Link ID],Table2[Benefit Name],0)&lt;&gt;Lookups!$D$15),
IF(_xlfn.XLOOKUP(B189,Table2[Main Member Link ID],Table2[Benefit Name],0)=0,"",_xlfn.XLOOKUP(B189,Table2[Main Member Link ID],Table2[Benefit Name],0)),"")
))))))</f>
        <v/>
      </c>
      <c r="AG189" s="327" t="str">
        <f>IF(AND(Table2[[#This Row],[Member Type]]="Main Member",Table2[[#This Row],[Product Option]]="My Value Plus Life &amp; Funeral"),Lookups!$D$16,
IF(AND(Table2[[#This Row],[Member Type]]="Spouse",Table2[[#This Row],[Product Option]]="My Value Plus Life &amp; Funeral",_xlfn.XLOOKUP(B189,Table2[Main Member Link ID],Table2[Benefit Name],0)=Lookups!$D$14),"",
IF(AND(Table2[[#This Row],[Member Type]]="Spouse",Table2[[#This Row],[Product Option]]="My Value Plus Life &amp; Funeral",_xlfn.XLOOKUP(B188,Table2[Main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Funeral",_xlfn.XLOOKUP(B189,Table2[Main Member Link ID],Table2[Benefit Name],0)&lt;&gt;Lookups!$D$16),
IF(_xlfn.XLOOKUP(B189,Table2[Main Member Link ID],Table2[Benefit Name],0)=0,"",_xlfn.XLOOKUP(B189,Table2[Main Member Link ID],Table2[Benefit Name],0)),"")
))))</f>
        <v/>
      </c>
      <c r="AH189" s="327" t="str">
        <f>IF(AND(Table2[[#This Row],[Member Type]]="Main Member",Table2[[#This Row],[Product Option]]="My Value Plus Life &amp; Funeral"),Lookups!$D$17,
IF(AND(Table2[[#This Row],[Member Type]]="Spouse",Table2[[#This Row],[Product Option]]="My Value Plus Life &amp; Funeral",_xlfn.XLOOKUP(B189,Table2[Main Member Link ID],Table2[Benefit Name],0)=Lookups!$D$14),"",
IF(AND(Table2[[#This Row],[Member Type]]="Spouse",Table2[[#This Row],[Product Option]]="My Value Plus Life &amp; Funeral",_xlfn.XLOOKUP(B188,Table2[Main Member Link ID],Table2[Benefit Name],0)=Lookups!$D$16),"",
IF(AND(Table2[[#This Row],[Member Type]]="Child",Table2[[#This Row],[Product Option]]="My Value Plus Life &amp; Funeral"),"",
IF(AND(Table2[[#This Row],[Member Type]]="Child",Table2[[#This Row],[Product Option]]="My Value Plus Life &amp; Funeral",_xlfn.XLOOKUP(B189,Table2[Main Member Link ID],Table2[Benefit Name],0)=Lookups!$D$15),"",
IF(AND(OR(Table2[[#This Row],[Member Type]]="Spouse",Table2[[#This Row],[Member Type]]="Child"),Table2[[#This Row],[Product Option]]="My Value Plus Life &amp; Funeral",_xlfn.XLOOKUP(B189,Table2[Main Member Link ID],Table2[Benefit Name],0)&lt;&gt;Lookups!$D$17),
IF(_xlfn.XLOOKUP(B189,Table2[Main Member Link ID],Table2[Benefit Name],0)=0,"",_xlfn.XLOOKUP(B189,Table2[Main Member Link ID],Table2[Benefit Name],0)),""))))))</f>
        <v/>
      </c>
      <c r="AI189" s="328" t="str">
        <f>IF(AND(Table2[[#This Row],[Member Type]]="Main Member",Table2[[#This Row],[Table Lookup for Life Cover]]="MM_LIFE",Table2[[#This Row],[Age Next Birthday]]&lt;56),1,
IF(AND(Table2[[#This Row],[Member Type]]="Main Member",Table2[[#This Row],[Table Lookup for Life Cover]]="MM_LIFE",Table2[[#This Row],[Age Next Birthday]]&gt;=56),2,
""))</f>
        <v/>
      </c>
      <c r="AJ189" s="328">
        <f>IF(OR(Table2[[#This Row],[Member Type]]="Main Member",Table2[[#This Row],[Main Member Link ID]]=B188),1,0)</f>
        <v>1</v>
      </c>
      <c r="AK189" s="328">
        <f>IF(Table2[[#This Row],[Member Type]]=0,0,
IF(OR(Table2[[#This Row],[Member Type]]="Main Member",Table2[[#This Row],[Main Member Link ID]]&lt;&gt;B189),COUNTIFS(B:B,Table2[[#This Row],[Main Member Link ID]]),
COUNTIFS(B:B,Table2[[#This Row],[Main Member Link ID]],A:A,Table2[[#This Row],[Member Type]])))</f>
        <v>0</v>
      </c>
    </row>
    <row r="190" spans="1:37" x14ac:dyDescent="0.3">
      <c r="A190" s="284">
        <f>Table13[[#This Row],[Member Type]]</f>
        <v>0</v>
      </c>
      <c r="B190" s="284">
        <f>Table13[[#This Row],[Main Member Link ID]]</f>
        <v>0</v>
      </c>
      <c r="C190" s="284">
        <f>Table13[[#This Row],[ID Number]]</f>
        <v>0</v>
      </c>
      <c r="D190" s="285">
        <f>Table13[[#This Row],[Date Of Birth]]</f>
        <v>0</v>
      </c>
      <c r="E190" s="285">
        <f>Table13[[#This Row],[Commencement Date]]</f>
        <v>0</v>
      </c>
      <c r="F190" s="284">
        <f t="shared" si="14"/>
        <v>1</v>
      </c>
      <c r="G190" s="284">
        <f t="shared" si="15"/>
        <v>25</v>
      </c>
      <c r="H190" s="286">
        <f>Table13[[#This Row],[Product Option]]</f>
        <v>0</v>
      </c>
      <c r="I190" s="284">
        <f>IF(AND($A190="Main Member",Table2[[#This Row],[Product Option]]="My Value Plus Life"),"MM_LIFE",
IF(AND($A190="Spouse",Table2[[#This Row],[Product Option]]="My Value Plus Life"),"SP_LIFE",
IF(AND($A190="Main Member",Table2[[#This Row],[Product Option]]="My Value Plus Life &amp; Funeral"),"MM_LIFE",
IF(AND($A190="Spouse",Table2[[#This Row],[Product Option]]="My Value Plus Life &amp; Funeral"),_xlfn.XLOOKUP(Table2[[#This Row],[Benefit Name]],Lookups!$D$18:$D$23,Lookups!$E$18:$E$23,0),
0))))</f>
        <v>0</v>
      </c>
      <c r="J190" s="284">
        <f>IF($I190="","",
IF($I190="MM_LIFE",INDEX('Quotation Tool'!$S$54:$V$60,MATCH($T190,'Quotation Tool'!$S$54:$S$60,0),4),
IF($I190="SP_LIFE",_xlfn.XLOOKUP(B189,$B:$B,$J:$J,0),0)))</f>
        <v>0</v>
      </c>
      <c r="K190" s="287">
        <f t="shared" ca="1" si="19"/>
        <v>0</v>
      </c>
      <c r="L190" s="288">
        <f t="shared" ca="1" si="20"/>
        <v>0</v>
      </c>
      <c r="M190" s="289">
        <f t="shared" ca="1" si="16"/>
        <v>0</v>
      </c>
      <c r="N190" s="286">
        <f>Table13[[#This Row],[Benefit Option]]</f>
        <v>0</v>
      </c>
      <c r="O190" s="284">
        <f>IF(OR(Table2[[#This Row],[Member Type]]="Spouse",Table2[[#This Row],[Member Type]]="Child"),0,
IF(_xlfn.XLOOKUP($N190,Lookups!$D$13:$D$27,Lookups!$F$13:$F$27,0)=Table2[[#This Row],[Table Lookup for Life Cover]],0,
_xlfn.XLOOKUP($N190,Lookups!$D$13:$D$27,Lookups!$F$13:$F$27,0)))</f>
        <v>0</v>
      </c>
      <c r="P190" s="284">
        <f>IF(Table2[[#This Row],[Table Lookup for Funeral]]=0,0,IFERROR(INDEX('Quotation Tool'!$S$54:$V$60,MATCH($T190,'Quotation Tool'!$S$54:$S$60,0),3),0))</f>
        <v>0</v>
      </c>
      <c r="Q190" s="288">
        <f ca="1">IF(OR(Table2[[#This Row],[Benefit Name]]="My Value Plus Life - Main Member",Table2[[#This Row],[Benefit Name]]="My Value Plus Life - Spouse"),0,
IFERROR(VLOOKUP($G190,INDIRECT($O190),$P190,FALSE),0))</f>
        <v>0</v>
      </c>
      <c r="R190" s="288">
        <f ca="1">IF(OR(Table2[[#This Row],[Benefit Name]]="My Value Plus Life - Main Member",Table2[[#This Row],[Benefit Name]]="My Value Plus Life - Spouse"),0,
IFERROR(VLOOKUP($G190,INDIRECT($O190),$P190+1,FALSE),0))</f>
        <v>0</v>
      </c>
      <c r="S190" s="289">
        <f t="shared" ca="1" si="17"/>
        <v>0</v>
      </c>
      <c r="T190" s="284" t="str">
        <f>IF(Table13[[#This Row],[Premium Waiver]]="","None",Table13[[#This Row],[Premium Waiver]])</f>
        <v>None</v>
      </c>
      <c r="U190" s="284">
        <f>Table13[[#This Row],[VAPs Options]]</f>
        <v>0</v>
      </c>
      <c r="V190" s="284">
        <f>Table13[[#This Row],[Annual Increase Option]]</f>
        <v>0</v>
      </c>
      <c r="W190" s="290">
        <f>Table13[[#This Row],[Life Cover Amount]]</f>
        <v>0</v>
      </c>
      <c r="X190" s="290">
        <f>Table13[[#This Row],[Funeral Cover Amount]]</f>
        <v>0</v>
      </c>
      <c r="Y19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9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90" s="301">
        <f t="shared" ca="1" si="18"/>
        <v>0</v>
      </c>
      <c r="AB190" s="298"/>
      <c r="AC190" s="326" t="str">
        <f>IF(Table2[[#This Row],[Member Type]]="Main Member",Lookups!$C$13,
IF(Table2[[#This Row],[Member Type]]="Spouse",_xlfn.XLOOKUP(B190,Table2[Main Member Link ID],Table2[Product Option],0),
IF(AND(Table2[[#This Row],[Member Type]]="Child",_xlfn.XLOOKUP(B190,Table2[Main Member Link ID],Table2[Product Option],0)&lt;&gt;"My Value Plus Life"),Lookups!$C$24,
IF(AND(OR(Table2[[#This Row],[Member Type]]="Parent",Table2[[#This Row],[Member Type]]="Extended"),_xlfn.XLOOKUP(B190,Table2[Main Member Link ID],Table2[Product Option],0)&lt;&gt;"My Value Plus Life"),Lookups!$C$26,""))))</f>
        <v/>
      </c>
      <c r="AD190" s="326" t="str">
        <f>IF(Table2[[#This Row],[Member Type]]="Main Member",Lookups!$C$14,"")</f>
        <v/>
      </c>
      <c r="AE19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Funeral",_xlfn.XLOOKUP(B190,Table2[Main Member Link ID],Table2[Benefit Name],0)=Lookups!$D$14),"",
IF(AND(Table2[[#This Row],[Member Type]]="Spouse",Table2[[#This Row],[Product Option]]="My Value Plus Life &amp; Funeral",_xlfn.XLOOKUP(B189,Table2[Main Member Link ID],Table2[Benefit Name],0)=Lookups!$D$15),Lookups!$D$20,
IF(AND(Table2[[#This Row],[Member Type]]="Spouse",Table2[[#This Row],[Product Option]]="My Value Plus Life &amp; Funeral",_xlfn.XLOOKUP(B189,Table2[Main Member Link ID],Table2[Benefit Name],0)=Lookups!$D$16),"",
IF(AND(Table2[[#This Row],[Member Type]]="Spouse",Table2[[#This Row],[Product Option]]="My Value Plus Life &amp; Funeral",_xlfn.XLOOKUP(B189,Table2[Main Member Link ID],Table2[Benefit Name],0)=Lookups!$D$17),Lookups!$D$21,
IF(AND(Table2[[#This Row],[Member Type]]="Child",Table2[[#This Row],[Product Option]]="My Value Plus Life &amp; Funeral",_xlfn.XLOOKUP(B190,Table2[Main Member Link ID],Table2[Benefit Name],0)=Lookups!$D$14),"",
IF(AND(Table2[[#This Row],[Member Type]]="Child",Table2[[#This Row],[Product Option]]="My Value Plus Life &amp; Funeral",_xlfn.XLOOKUP(B190,Table2[Main Member Link ID],Table2[Benefit Name],0)=Lookups!$D$15),"",
IF(AND(Table2[[#This Row],[Member Type]]="Child",Table2[[#This Row],[Product Option]]="My Value Plus Life &amp; Funeral",_xlfn.XLOOKUP(B190,Table2[Main Member Link ID],Table2[Benefit Name],0)=Lookups!$D$16),Lookups!$D$24,
IF(AND(Table2[[#This Row],[Member Type]]="Child",Table2[[#This Row],[Product Option]]="My Value Plus Life &amp; Funeral",_xlfn.XLOOKUP(B190,Table2[Main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Funeral",_xlfn.XLOOKUP(B190,Table2[Main Member Link ID],Table2[Benefit Name],0)&lt;&gt;Lookups!$D$14),
IF(_xlfn.XLOOKUP(B190,Table2[Main Member Link ID],Table2[Benefit Name],0)=0,"",_xlfn.XLOOKUP(B190,Table2[Main Member Link ID],Table2[Benefit Name],0)),"")))))))))))))))</f>
        <v/>
      </c>
      <c r="AF190" s="327" t="str">
        <f>IF(AND(Table2[[#This Row],[Member Type]]="Main Member",Table2[[#This Row],[Product Option]]="My Value Plus Life &amp; Funeral"),Lookups!$D$15,
IF(AND(Table2[[#This Row],[Member Type]]="Spouse",Table2[[#This Row],[Product Option]]="My Value Plus Life &amp; Funeral",_xlfn.XLOOKUP(B190,Table2[Main Member Link ID],Table2[Benefit Name],0)=Lookups!$D$14),"",
IF(AND(Table2[[#This Row],[Member Type]]="Spouse",Table2[[#This Row],[Product Option]]="My Value Plus Life &amp; Funeral",_xlfn.XLOOKUP(B189,Table2[Main Member Link ID],Table2[Benefit Name],0)=Lookups!$D$16),"",
IF(AND(Table2[[#This Row],[Member Type]]="Spouse",Table2[[#This Row],[Product Option]]="My Value Plus Life &amp; Funeral",_xlfn.XLOOKUP(B189,Table2[Main Member Link ID],Table2[Benefit Name],0)=Lookups!$D$15),"",
IF(AND(Table2[[#This Row],[Member Type]]="Spouse",Table2[[#This Row],[Product Option]]="My Value Plus Life &amp; Funeral",_xlfn.XLOOKUP(B189,Table2[Main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Funeral",_xlfn.XLOOKUP(B190,Table2[Main Member Link ID],Table2[Benefit Name],0)&lt;&gt;Lookups!$D$15),
IF(_xlfn.XLOOKUP(B190,Table2[Main Member Link ID],Table2[Benefit Name],0)=0,"",_xlfn.XLOOKUP(B190,Table2[Main Member Link ID],Table2[Benefit Name],0)),"")
))))))</f>
        <v/>
      </c>
      <c r="AG190" s="327" t="str">
        <f>IF(AND(Table2[[#This Row],[Member Type]]="Main Member",Table2[[#This Row],[Product Option]]="My Value Plus Life &amp; Funeral"),Lookups!$D$16,
IF(AND(Table2[[#This Row],[Member Type]]="Spouse",Table2[[#This Row],[Product Option]]="My Value Plus Life &amp; Funeral",_xlfn.XLOOKUP(B190,Table2[Main Member Link ID],Table2[Benefit Name],0)=Lookups!$D$14),"",
IF(AND(Table2[[#This Row],[Member Type]]="Spouse",Table2[[#This Row],[Product Option]]="My Value Plus Life &amp; Funeral",_xlfn.XLOOKUP(B189,Table2[Main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Funeral",_xlfn.XLOOKUP(B190,Table2[Main Member Link ID],Table2[Benefit Name],0)&lt;&gt;Lookups!$D$16),
IF(_xlfn.XLOOKUP(B190,Table2[Main Member Link ID],Table2[Benefit Name],0)=0,"",_xlfn.XLOOKUP(B190,Table2[Main Member Link ID],Table2[Benefit Name],0)),"")
))))</f>
        <v/>
      </c>
      <c r="AH190" s="327" t="str">
        <f>IF(AND(Table2[[#This Row],[Member Type]]="Main Member",Table2[[#This Row],[Product Option]]="My Value Plus Life &amp; Funeral"),Lookups!$D$17,
IF(AND(Table2[[#This Row],[Member Type]]="Spouse",Table2[[#This Row],[Product Option]]="My Value Plus Life &amp; Funeral",_xlfn.XLOOKUP(B190,Table2[Main Member Link ID],Table2[Benefit Name],0)=Lookups!$D$14),"",
IF(AND(Table2[[#This Row],[Member Type]]="Spouse",Table2[[#This Row],[Product Option]]="My Value Plus Life &amp; Funeral",_xlfn.XLOOKUP(B189,Table2[Main Member Link ID],Table2[Benefit Name],0)=Lookups!$D$16),"",
IF(AND(Table2[[#This Row],[Member Type]]="Child",Table2[[#This Row],[Product Option]]="My Value Plus Life &amp; Funeral"),"",
IF(AND(Table2[[#This Row],[Member Type]]="Child",Table2[[#This Row],[Product Option]]="My Value Plus Life &amp; Funeral",_xlfn.XLOOKUP(B190,Table2[Main Member Link ID],Table2[Benefit Name],0)=Lookups!$D$15),"",
IF(AND(OR(Table2[[#This Row],[Member Type]]="Spouse",Table2[[#This Row],[Member Type]]="Child"),Table2[[#This Row],[Product Option]]="My Value Plus Life &amp; Funeral",_xlfn.XLOOKUP(B190,Table2[Main Member Link ID],Table2[Benefit Name],0)&lt;&gt;Lookups!$D$17),
IF(_xlfn.XLOOKUP(B190,Table2[Main Member Link ID],Table2[Benefit Name],0)=0,"",_xlfn.XLOOKUP(B190,Table2[Main Member Link ID],Table2[Benefit Name],0)),""))))))</f>
        <v/>
      </c>
      <c r="AI190" s="328" t="str">
        <f>IF(AND(Table2[[#This Row],[Member Type]]="Main Member",Table2[[#This Row],[Table Lookup for Life Cover]]="MM_LIFE",Table2[[#This Row],[Age Next Birthday]]&lt;56),1,
IF(AND(Table2[[#This Row],[Member Type]]="Main Member",Table2[[#This Row],[Table Lookup for Life Cover]]="MM_LIFE",Table2[[#This Row],[Age Next Birthday]]&gt;=56),2,
""))</f>
        <v/>
      </c>
      <c r="AJ190" s="328">
        <f>IF(OR(Table2[[#This Row],[Member Type]]="Main Member",Table2[[#This Row],[Main Member Link ID]]=B189),1,0)</f>
        <v>1</v>
      </c>
      <c r="AK190" s="328">
        <f>IF(Table2[[#This Row],[Member Type]]=0,0,
IF(OR(Table2[[#This Row],[Member Type]]="Main Member",Table2[[#This Row],[Main Member Link ID]]&lt;&gt;B190),COUNTIFS(B:B,Table2[[#This Row],[Main Member Link ID]]),
COUNTIFS(B:B,Table2[[#This Row],[Main Member Link ID]],A:A,Table2[[#This Row],[Member Type]])))</f>
        <v>0</v>
      </c>
    </row>
    <row r="191" spans="1:37" x14ac:dyDescent="0.3">
      <c r="A191" s="284">
        <f>Table13[[#This Row],[Member Type]]</f>
        <v>0</v>
      </c>
      <c r="B191" s="284">
        <f>Table13[[#This Row],[Main Member Link ID]]</f>
        <v>0</v>
      </c>
      <c r="C191" s="284">
        <f>Table13[[#This Row],[ID Number]]</f>
        <v>0</v>
      </c>
      <c r="D191" s="285">
        <f>Table13[[#This Row],[Date Of Birth]]</f>
        <v>0</v>
      </c>
      <c r="E191" s="285">
        <f>Table13[[#This Row],[Commencement Date]]</f>
        <v>0</v>
      </c>
      <c r="F191" s="284">
        <f t="shared" si="14"/>
        <v>1</v>
      </c>
      <c r="G191" s="284">
        <f t="shared" si="15"/>
        <v>25</v>
      </c>
      <c r="H191" s="286">
        <f>Table13[[#This Row],[Product Option]]</f>
        <v>0</v>
      </c>
      <c r="I191" s="284">
        <f>IF(AND($A191="Main Member",Table2[[#This Row],[Product Option]]="My Value Plus Life"),"MM_LIFE",
IF(AND($A191="Spouse",Table2[[#This Row],[Product Option]]="My Value Plus Life"),"SP_LIFE",
IF(AND($A191="Main Member",Table2[[#This Row],[Product Option]]="My Value Plus Life &amp; Funeral"),"MM_LIFE",
IF(AND($A191="Spouse",Table2[[#This Row],[Product Option]]="My Value Plus Life &amp; Funeral"),_xlfn.XLOOKUP(Table2[[#This Row],[Benefit Name]],Lookups!$D$18:$D$23,Lookups!$E$18:$E$23,0),
0))))</f>
        <v>0</v>
      </c>
      <c r="J191" s="284">
        <f>IF($I191="","",
IF($I191="MM_LIFE",INDEX('Quotation Tool'!$S$54:$V$60,MATCH($T191,'Quotation Tool'!$S$54:$S$60,0),4),
IF($I191="SP_LIFE",_xlfn.XLOOKUP(B190,$B:$B,$J:$J,0),0)))</f>
        <v>0</v>
      </c>
      <c r="K191" s="287">
        <f t="shared" ca="1" si="19"/>
        <v>0</v>
      </c>
      <c r="L191" s="288">
        <f t="shared" ca="1" si="20"/>
        <v>0</v>
      </c>
      <c r="M191" s="289">
        <f t="shared" ca="1" si="16"/>
        <v>0</v>
      </c>
      <c r="N191" s="286">
        <f>Table13[[#This Row],[Benefit Option]]</f>
        <v>0</v>
      </c>
      <c r="O191" s="284">
        <f>IF(OR(Table2[[#This Row],[Member Type]]="Spouse",Table2[[#This Row],[Member Type]]="Child"),0,
IF(_xlfn.XLOOKUP($N191,Lookups!$D$13:$D$27,Lookups!$F$13:$F$27,0)=Table2[[#This Row],[Table Lookup for Life Cover]],0,
_xlfn.XLOOKUP($N191,Lookups!$D$13:$D$27,Lookups!$F$13:$F$27,0)))</f>
        <v>0</v>
      </c>
      <c r="P191" s="284">
        <f>IF(Table2[[#This Row],[Table Lookup for Funeral]]=0,0,IFERROR(INDEX('Quotation Tool'!$S$54:$V$60,MATCH($T191,'Quotation Tool'!$S$54:$S$60,0),3),0))</f>
        <v>0</v>
      </c>
      <c r="Q191" s="288">
        <f ca="1">IF(OR(Table2[[#This Row],[Benefit Name]]="My Value Plus Life - Main Member",Table2[[#This Row],[Benefit Name]]="My Value Plus Life - Spouse"),0,
IFERROR(VLOOKUP($G191,INDIRECT($O191),$P191,FALSE),0))</f>
        <v>0</v>
      </c>
      <c r="R191" s="288">
        <f ca="1">IF(OR(Table2[[#This Row],[Benefit Name]]="My Value Plus Life - Main Member",Table2[[#This Row],[Benefit Name]]="My Value Plus Life - Spouse"),0,
IFERROR(VLOOKUP($G191,INDIRECT($O191),$P191+1,FALSE),0))</f>
        <v>0</v>
      </c>
      <c r="S191" s="289">
        <f t="shared" ca="1" si="17"/>
        <v>0</v>
      </c>
      <c r="T191" s="284" t="str">
        <f>IF(Table13[[#This Row],[Premium Waiver]]="","None",Table13[[#This Row],[Premium Waiver]])</f>
        <v>None</v>
      </c>
      <c r="U191" s="284">
        <f>Table13[[#This Row],[VAPs Options]]</f>
        <v>0</v>
      </c>
      <c r="V191" s="284">
        <f>Table13[[#This Row],[Annual Increase Option]]</f>
        <v>0</v>
      </c>
      <c r="W191" s="290">
        <f>Table13[[#This Row],[Life Cover Amount]]</f>
        <v>0</v>
      </c>
      <c r="X191" s="290">
        <f>Table13[[#This Row],[Funeral Cover Amount]]</f>
        <v>0</v>
      </c>
      <c r="Y19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9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91" s="301">
        <f t="shared" ca="1" si="18"/>
        <v>0</v>
      </c>
      <c r="AB191" s="298"/>
      <c r="AC191" s="326" t="str">
        <f>IF(Table2[[#This Row],[Member Type]]="Main Member",Lookups!$C$13,
IF(Table2[[#This Row],[Member Type]]="Spouse",_xlfn.XLOOKUP(B191,Table2[Main Member Link ID],Table2[Product Option],0),
IF(AND(Table2[[#This Row],[Member Type]]="Child",_xlfn.XLOOKUP(B191,Table2[Main Member Link ID],Table2[Product Option],0)&lt;&gt;"My Value Plus Life"),Lookups!$C$24,
IF(AND(OR(Table2[[#This Row],[Member Type]]="Parent",Table2[[#This Row],[Member Type]]="Extended"),_xlfn.XLOOKUP(B191,Table2[Main Member Link ID],Table2[Product Option],0)&lt;&gt;"My Value Plus Life"),Lookups!$C$26,""))))</f>
        <v/>
      </c>
      <c r="AD191" s="326" t="str">
        <f>IF(Table2[[#This Row],[Member Type]]="Main Member",Lookups!$C$14,"")</f>
        <v/>
      </c>
      <c r="AE19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Funeral",_xlfn.XLOOKUP(B191,Table2[Main Member Link ID],Table2[Benefit Name],0)=Lookups!$D$14),"",
IF(AND(Table2[[#This Row],[Member Type]]="Spouse",Table2[[#This Row],[Product Option]]="My Value Plus Life &amp; Funeral",_xlfn.XLOOKUP(B190,Table2[Main Member Link ID],Table2[Benefit Name],0)=Lookups!$D$15),Lookups!$D$20,
IF(AND(Table2[[#This Row],[Member Type]]="Spouse",Table2[[#This Row],[Product Option]]="My Value Plus Life &amp; Funeral",_xlfn.XLOOKUP(B190,Table2[Main Member Link ID],Table2[Benefit Name],0)=Lookups!$D$16),"",
IF(AND(Table2[[#This Row],[Member Type]]="Spouse",Table2[[#This Row],[Product Option]]="My Value Plus Life &amp; Funeral",_xlfn.XLOOKUP(B190,Table2[Main Member Link ID],Table2[Benefit Name],0)=Lookups!$D$17),Lookups!$D$21,
IF(AND(Table2[[#This Row],[Member Type]]="Child",Table2[[#This Row],[Product Option]]="My Value Plus Life &amp; Funeral",_xlfn.XLOOKUP(B191,Table2[Main Member Link ID],Table2[Benefit Name],0)=Lookups!$D$14),"",
IF(AND(Table2[[#This Row],[Member Type]]="Child",Table2[[#This Row],[Product Option]]="My Value Plus Life &amp; Funeral",_xlfn.XLOOKUP(B191,Table2[Main Member Link ID],Table2[Benefit Name],0)=Lookups!$D$15),"",
IF(AND(Table2[[#This Row],[Member Type]]="Child",Table2[[#This Row],[Product Option]]="My Value Plus Life &amp; Funeral",_xlfn.XLOOKUP(B191,Table2[Main Member Link ID],Table2[Benefit Name],0)=Lookups!$D$16),Lookups!$D$24,
IF(AND(Table2[[#This Row],[Member Type]]="Child",Table2[[#This Row],[Product Option]]="My Value Plus Life &amp; Funeral",_xlfn.XLOOKUP(B191,Table2[Main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Funeral",_xlfn.XLOOKUP(B191,Table2[Main Member Link ID],Table2[Benefit Name],0)&lt;&gt;Lookups!$D$14),
IF(_xlfn.XLOOKUP(B191,Table2[Main Member Link ID],Table2[Benefit Name],0)=0,"",_xlfn.XLOOKUP(B191,Table2[Main Member Link ID],Table2[Benefit Name],0)),"")))))))))))))))</f>
        <v/>
      </c>
      <c r="AF191" s="327" t="str">
        <f>IF(AND(Table2[[#This Row],[Member Type]]="Main Member",Table2[[#This Row],[Product Option]]="My Value Plus Life &amp; Funeral"),Lookups!$D$15,
IF(AND(Table2[[#This Row],[Member Type]]="Spouse",Table2[[#This Row],[Product Option]]="My Value Plus Life &amp; Funeral",_xlfn.XLOOKUP(B191,Table2[Main Member Link ID],Table2[Benefit Name],0)=Lookups!$D$14),"",
IF(AND(Table2[[#This Row],[Member Type]]="Spouse",Table2[[#This Row],[Product Option]]="My Value Plus Life &amp; Funeral",_xlfn.XLOOKUP(B190,Table2[Main Member Link ID],Table2[Benefit Name],0)=Lookups!$D$16),"",
IF(AND(Table2[[#This Row],[Member Type]]="Spouse",Table2[[#This Row],[Product Option]]="My Value Plus Life &amp; Funeral",_xlfn.XLOOKUP(B190,Table2[Main Member Link ID],Table2[Benefit Name],0)=Lookups!$D$15),"",
IF(AND(Table2[[#This Row],[Member Type]]="Spouse",Table2[[#This Row],[Product Option]]="My Value Plus Life &amp; Funeral",_xlfn.XLOOKUP(B190,Table2[Main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Funeral",_xlfn.XLOOKUP(B191,Table2[Main Member Link ID],Table2[Benefit Name],0)&lt;&gt;Lookups!$D$15),
IF(_xlfn.XLOOKUP(B191,Table2[Main Member Link ID],Table2[Benefit Name],0)=0,"",_xlfn.XLOOKUP(B191,Table2[Main Member Link ID],Table2[Benefit Name],0)),"")
))))))</f>
        <v/>
      </c>
      <c r="AG191" s="327" t="str">
        <f>IF(AND(Table2[[#This Row],[Member Type]]="Main Member",Table2[[#This Row],[Product Option]]="My Value Plus Life &amp; Funeral"),Lookups!$D$16,
IF(AND(Table2[[#This Row],[Member Type]]="Spouse",Table2[[#This Row],[Product Option]]="My Value Plus Life &amp; Funeral",_xlfn.XLOOKUP(B191,Table2[Main Member Link ID],Table2[Benefit Name],0)=Lookups!$D$14),"",
IF(AND(Table2[[#This Row],[Member Type]]="Spouse",Table2[[#This Row],[Product Option]]="My Value Plus Life &amp; Funeral",_xlfn.XLOOKUP(B190,Table2[Main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Funeral",_xlfn.XLOOKUP(B191,Table2[Main Member Link ID],Table2[Benefit Name],0)&lt;&gt;Lookups!$D$16),
IF(_xlfn.XLOOKUP(B191,Table2[Main Member Link ID],Table2[Benefit Name],0)=0,"",_xlfn.XLOOKUP(B191,Table2[Main Member Link ID],Table2[Benefit Name],0)),"")
))))</f>
        <v/>
      </c>
      <c r="AH191" s="327" t="str">
        <f>IF(AND(Table2[[#This Row],[Member Type]]="Main Member",Table2[[#This Row],[Product Option]]="My Value Plus Life &amp; Funeral"),Lookups!$D$17,
IF(AND(Table2[[#This Row],[Member Type]]="Spouse",Table2[[#This Row],[Product Option]]="My Value Plus Life &amp; Funeral",_xlfn.XLOOKUP(B191,Table2[Main Member Link ID],Table2[Benefit Name],0)=Lookups!$D$14),"",
IF(AND(Table2[[#This Row],[Member Type]]="Spouse",Table2[[#This Row],[Product Option]]="My Value Plus Life &amp; Funeral",_xlfn.XLOOKUP(B190,Table2[Main Member Link ID],Table2[Benefit Name],0)=Lookups!$D$16),"",
IF(AND(Table2[[#This Row],[Member Type]]="Child",Table2[[#This Row],[Product Option]]="My Value Plus Life &amp; Funeral"),"",
IF(AND(Table2[[#This Row],[Member Type]]="Child",Table2[[#This Row],[Product Option]]="My Value Plus Life &amp; Funeral",_xlfn.XLOOKUP(B191,Table2[Main Member Link ID],Table2[Benefit Name],0)=Lookups!$D$15),"",
IF(AND(OR(Table2[[#This Row],[Member Type]]="Spouse",Table2[[#This Row],[Member Type]]="Child"),Table2[[#This Row],[Product Option]]="My Value Plus Life &amp; Funeral",_xlfn.XLOOKUP(B191,Table2[Main Member Link ID],Table2[Benefit Name],0)&lt;&gt;Lookups!$D$17),
IF(_xlfn.XLOOKUP(B191,Table2[Main Member Link ID],Table2[Benefit Name],0)=0,"",_xlfn.XLOOKUP(B191,Table2[Main Member Link ID],Table2[Benefit Name],0)),""))))))</f>
        <v/>
      </c>
      <c r="AI191" s="328" t="str">
        <f>IF(AND(Table2[[#This Row],[Member Type]]="Main Member",Table2[[#This Row],[Table Lookup for Life Cover]]="MM_LIFE",Table2[[#This Row],[Age Next Birthday]]&lt;56),1,
IF(AND(Table2[[#This Row],[Member Type]]="Main Member",Table2[[#This Row],[Table Lookup for Life Cover]]="MM_LIFE",Table2[[#This Row],[Age Next Birthday]]&gt;=56),2,
""))</f>
        <v/>
      </c>
      <c r="AJ191" s="328">
        <f>IF(OR(Table2[[#This Row],[Member Type]]="Main Member",Table2[[#This Row],[Main Member Link ID]]=B190),1,0)</f>
        <v>1</v>
      </c>
      <c r="AK191" s="328">
        <f>IF(Table2[[#This Row],[Member Type]]=0,0,
IF(OR(Table2[[#This Row],[Member Type]]="Main Member",Table2[[#This Row],[Main Member Link ID]]&lt;&gt;B191),COUNTIFS(B:B,Table2[[#This Row],[Main Member Link ID]]),
COUNTIFS(B:B,Table2[[#This Row],[Main Member Link ID]],A:A,Table2[[#This Row],[Member Type]])))</f>
        <v>0</v>
      </c>
    </row>
    <row r="192" spans="1:37" x14ac:dyDescent="0.3">
      <c r="A192" s="284">
        <f>Table13[[#This Row],[Member Type]]</f>
        <v>0</v>
      </c>
      <c r="B192" s="284">
        <f>Table13[[#This Row],[Main Member Link ID]]</f>
        <v>0</v>
      </c>
      <c r="C192" s="284">
        <f>Table13[[#This Row],[ID Number]]</f>
        <v>0</v>
      </c>
      <c r="D192" s="285">
        <f>Table13[[#This Row],[Date Of Birth]]</f>
        <v>0</v>
      </c>
      <c r="E192" s="285">
        <f>Table13[[#This Row],[Commencement Date]]</f>
        <v>0</v>
      </c>
      <c r="F192" s="284">
        <f t="shared" si="14"/>
        <v>1</v>
      </c>
      <c r="G192" s="284">
        <f t="shared" si="15"/>
        <v>25</v>
      </c>
      <c r="H192" s="286">
        <f>Table13[[#This Row],[Product Option]]</f>
        <v>0</v>
      </c>
      <c r="I192" s="284">
        <f>IF(AND($A192="Main Member",Table2[[#This Row],[Product Option]]="My Value Plus Life"),"MM_LIFE",
IF(AND($A192="Spouse",Table2[[#This Row],[Product Option]]="My Value Plus Life"),"SP_LIFE",
IF(AND($A192="Main Member",Table2[[#This Row],[Product Option]]="My Value Plus Life &amp; Funeral"),"MM_LIFE",
IF(AND($A192="Spouse",Table2[[#This Row],[Product Option]]="My Value Plus Life &amp; Funeral"),_xlfn.XLOOKUP(Table2[[#This Row],[Benefit Name]],Lookups!$D$18:$D$23,Lookups!$E$18:$E$23,0),
0))))</f>
        <v>0</v>
      </c>
      <c r="J192" s="284">
        <f>IF($I192="","",
IF($I192="MM_LIFE",INDEX('Quotation Tool'!$S$54:$V$60,MATCH($T192,'Quotation Tool'!$S$54:$S$60,0),4),
IF($I192="SP_LIFE",_xlfn.XLOOKUP(B191,$B:$B,$J:$J,0),0)))</f>
        <v>0</v>
      </c>
      <c r="K192" s="287">
        <f t="shared" ca="1" si="19"/>
        <v>0</v>
      </c>
      <c r="L192" s="288">
        <f t="shared" ca="1" si="20"/>
        <v>0</v>
      </c>
      <c r="M192" s="289">
        <f t="shared" ca="1" si="16"/>
        <v>0</v>
      </c>
      <c r="N192" s="286">
        <f>Table13[[#This Row],[Benefit Option]]</f>
        <v>0</v>
      </c>
      <c r="O192" s="284">
        <f>IF(OR(Table2[[#This Row],[Member Type]]="Spouse",Table2[[#This Row],[Member Type]]="Child"),0,
IF(_xlfn.XLOOKUP($N192,Lookups!$D$13:$D$27,Lookups!$F$13:$F$27,0)=Table2[[#This Row],[Table Lookup for Life Cover]],0,
_xlfn.XLOOKUP($N192,Lookups!$D$13:$D$27,Lookups!$F$13:$F$27,0)))</f>
        <v>0</v>
      </c>
      <c r="P192" s="284">
        <f>IF(Table2[[#This Row],[Table Lookup for Funeral]]=0,0,IFERROR(INDEX('Quotation Tool'!$S$54:$V$60,MATCH($T192,'Quotation Tool'!$S$54:$S$60,0),3),0))</f>
        <v>0</v>
      </c>
      <c r="Q192" s="288">
        <f ca="1">IF(OR(Table2[[#This Row],[Benefit Name]]="My Value Plus Life - Main Member",Table2[[#This Row],[Benefit Name]]="My Value Plus Life - Spouse"),0,
IFERROR(VLOOKUP($G192,INDIRECT($O192),$P192,FALSE),0))</f>
        <v>0</v>
      </c>
      <c r="R192" s="288">
        <f ca="1">IF(OR(Table2[[#This Row],[Benefit Name]]="My Value Plus Life - Main Member",Table2[[#This Row],[Benefit Name]]="My Value Plus Life - Spouse"),0,
IFERROR(VLOOKUP($G192,INDIRECT($O192),$P192+1,FALSE),0))</f>
        <v>0</v>
      </c>
      <c r="S192" s="289">
        <f t="shared" ca="1" si="17"/>
        <v>0</v>
      </c>
      <c r="T192" s="284" t="str">
        <f>IF(Table13[[#This Row],[Premium Waiver]]="","None",Table13[[#This Row],[Premium Waiver]])</f>
        <v>None</v>
      </c>
      <c r="U192" s="284">
        <f>Table13[[#This Row],[VAPs Options]]</f>
        <v>0</v>
      </c>
      <c r="V192" s="284">
        <f>Table13[[#This Row],[Annual Increase Option]]</f>
        <v>0</v>
      </c>
      <c r="W192" s="290">
        <f>Table13[[#This Row],[Life Cover Amount]]</f>
        <v>0</v>
      </c>
      <c r="X192" s="290">
        <f>Table13[[#This Row],[Funeral Cover Amount]]</f>
        <v>0</v>
      </c>
      <c r="Y19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9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92" s="301">
        <f t="shared" ca="1" si="18"/>
        <v>0</v>
      </c>
      <c r="AB192" s="298"/>
      <c r="AC192" s="326" t="str">
        <f>IF(Table2[[#This Row],[Member Type]]="Main Member",Lookups!$C$13,
IF(Table2[[#This Row],[Member Type]]="Spouse",_xlfn.XLOOKUP(B192,Table2[Main Member Link ID],Table2[Product Option],0),
IF(AND(Table2[[#This Row],[Member Type]]="Child",_xlfn.XLOOKUP(B192,Table2[Main Member Link ID],Table2[Product Option],0)&lt;&gt;"My Value Plus Life"),Lookups!$C$24,
IF(AND(OR(Table2[[#This Row],[Member Type]]="Parent",Table2[[#This Row],[Member Type]]="Extended"),_xlfn.XLOOKUP(B192,Table2[Main Member Link ID],Table2[Product Option],0)&lt;&gt;"My Value Plus Life"),Lookups!$C$26,""))))</f>
        <v/>
      </c>
      <c r="AD192" s="326" t="str">
        <f>IF(Table2[[#This Row],[Member Type]]="Main Member",Lookups!$C$14,"")</f>
        <v/>
      </c>
      <c r="AE19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Funeral",_xlfn.XLOOKUP(B192,Table2[Main Member Link ID],Table2[Benefit Name],0)=Lookups!$D$14),"",
IF(AND(Table2[[#This Row],[Member Type]]="Spouse",Table2[[#This Row],[Product Option]]="My Value Plus Life &amp; Funeral",_xlfn.XLOOKUP(B191,Table2[Main Member Link ID],Table2[Benefit Name],0)=Lookups!$D$15),Lookups!$D$20,
IF(AND(Table2[[#This Row],[Member Type]]="Spouse",Table2[[#This Row],[Product Option]]="My Value Plus Life &amp; Funeral",_xlfn.XLOOKUP(B191,Table2[Main Member Link ID],Table2[Benefit Name],0)=Lookups!$D$16),"",
IF(AND(Table2[[#This Row],[Member Type]]="Spouse",Table2[[#This Row],[Product Option]]="My Value Plus Life &amp; Funeral",_xlfn.XLOOKUP(B191,Table2[Main Member Link ID],Table2[Benefit Name],0)=Lookups!$D$17),Lookups!$D$21,
IF(AND(Table2[[#This Row],[Member Type]]="Child",Table2[[#This Row],[Product Option]]="My Value Plus Life &amp; Funeral",_xlfn.XLOOKUP(B192,Table2[Main Member Link ID],Table2[Benefit Name],0)=Lookups!$D$14),"",
IF(AND(Table2[[#This Row],[Member Type]]="Child",Table2[[#This Row],[Product Option]]="My Value Plus Life &amp; Funeral",_xlfn.XLOOKUP(B192,Table2[Main Member Link ID],Table2[Benefit Name],0)=Lookups!$D$15),"",
IF(AND(Table2[[#This Row],[Member Type]]="Child",Table2[[#This Row],[Product Option]]="My Value Plus Life &amp; Funeral",_xlfn.XLOOKUP(B192,Table2[Main Member Link ID],Table2[Benefit Name],0)=Lookups!$D$16),Lookups!$D$24,
IF(AND(Table2[[#This Row],[Member Type]]="Child",Table2[[#This Row],[Product Option]]="My Value Plus Life &amp; Funeral",_xlfn.XLOOKUP(B192,Table2[Main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Funeral",_xlfn.XLOOKUP(B192,Table2[Main Member Link ID],Table2[Benefit Name],0)&lt;&gt;Lookups!$D$14),
IF(_xlfn.XLOOKUP(B192,Table2[Main Member Link ID],Table2[Benefit Name],0)=0,"",_xlfn.XLOOKUP(B192,Table2[Main Member Link ID],Table2[Benefit Name],0)),"")))))))))))))))</f>
        <v/>
      </c>
      <c r="AF192" s="327" t="str">
        <f>IF(AND(Table2[[#This Row],[Member Type]]="Main Member",Table2[[#This Row],[Product Option]]="My Value Plus Life &amp; Funeral"),Lookups!$D$15,
IF(AND(Table2[[#This Row],[Member Type]]="Spouse",Table2[[#This Row],[Product Option]]="My Value Plus Life &amp; Funeral",_xlfn.XLOOKUP(B192,Table2[Main Member Link ID],Table2[Benefit Name],0)=Lookups!$D$14),"",
IF(AND(Table2[[#This Row],[Member Type]]="Spouse",Table2[[#This Row],[Product Option]]="My Value Plus Life &amp; Funeral",_xlfn.XLOOKUP(B191,Table2[Main Member Link ID],Table2[Benefit Name],0)=Lookups!$D$16),"",
IF(AND(Table2[[#This Row],[Member Type]]="Spouse",Table2[[#This Row],[Product Option]]="My Value Plus Life &amp; Funeral",_xlfn.XLOOKUP(B191,Table2[Main Member Link ID],Table2[Benefit Name],0)=Lookups!$D$15),"",
IF(AND(Table2[[#This Row],[Member Type]]="Spouse",Table2[[#This Row],[Product Option]]="My Value Plus Life &amp; Funeral",_xlfn.XLOOKUP(B191,Table2[Main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Funeral",_xlfn.XLOOKUP(B192,Table2[Main Member Link ID],Table2[Benefit Name],0)&lt;&gt;Lookups!$D$15),
IF(_xlfn.XLOOKUP(B192,Table2[Main Member Link ID],Table2[Benefit Name],0)=0,"",_xlfn.XLOOKUP(B192,Table2[Main Member Link ID],Table2[Benefit Name],0)),"")
))))))</f>
        <v/>
      </c>
      <c r="AG192" s="327" t="str">
        <f>IF(AND(Table2[[#This Row],[Member Type]]="Main Member",Table2[[#This Row],[Product Option]]="My Value Plus Life &amp; Funeral"),Lookups!$D$16,
IF(AND(Table2[[#This Row],[Member Type]]="Spouse",Table2[[#This Row],[Product Option]]="My Value Plus Life &amp; Funeral",_xlfn.XLOOKUP(B192,Table2[Main Member Link ID],Table2[Benefit Name],0)=Lookups!$D$14),"",
IF(AND(Table2[[#This Row],[Member Type]]="Spouse",Table2[[#This Row],[Product Option]]="My Value Plus Life &amp; Funeral",_xlfn.XLOOKUP(B191,Table2[Main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Funeral",_xlfn.XLOOKUP(B192,Table2[Main Member Link ID],Table2[Benefit Name],0)&lt;&gt;Lookups!$D$16),
IF(_xlfn.XLOOKUP(B192,Table2[Main Member Link ID],Table2[Benefit Name],0)=0,"",_xlfn.XLOOKUP(B192,Table2[Main Member Link ID],Table2[Benefit Name],0)),"")
))))</f>
        <v/>
      </c>
      <c r="AH192" s="327" t="str">
        <f>IF(AND(Table2[[#This Row],[Member Type]]="Main Member",Table2[[#This Row],[Product Option]]="My Value Plus Life &amp; Funeral"),Lookups!$D$17,
IF(AND(Table2[[#This Row],[Member Type]]="Spouse",Table2[[#This Row],[Product Option]]="My Value Plus Life &amp; Funeral",_xlfn.XLOOKUP(B192,Table2[Main Member Link ID],Table2[Benefit Name],0)=Lookups!$D$14),"",
IF(AND(Table2[[#This Row],[Member Type]]="Spouse",Table2[[#This Row],[Product Option]]="My Value Plus Life &amp; Funeral",_xlfn.XLOOKUP(B191,Table2[Main Member Link ID],Table2[Benefit Name],0)=Lookups!$D$16),"",
IF(AND(Table2[[#This Row],[Member Type]]="Child",Table2[[#This Row],[Product Option]]="My Value Plus Life &amp; Funeral"),"",
IF(AND(Table2[[#This Row],[Member Type]]="Child",Table2[[#This Row],[Product Option]]="My Value Plus Life &amp; Funeral",_xlfn.XLOOKUP(B192,Table2[Main Member Link ID],Table2[Benefit Name],0)=Lookups!$D$15),"",
IF(AND(OR(Table2[[#This Row],[Member Type]]="Spouse",Table2[[#This Row],[Member Type]]="Child"),Table2[[#This Row],[Product Option]]="My Value Plus Life &amp; Funeral",_xlfn.XLOOKUP(B192,Table2[Main Member Link ID],Table2[Benefit Name],0)&lt;&gt;Lookups!$D$17),
IF(_xlfn.XLOOKUP(B192,Table2[Main Member Link ID],Table2[Benefit Name],0)=0,"",_xlfn.XLOOKUP(B192,Table2[Main Member Link ID],Table2[Benefit Name],0)),""))))))</f>
        <v/>
      </c>
      <c r="AI192" s="328" t="str">
        <f>IF(AND(Table2[[#This Row],[Member Type]]="Main Member",Table2[[#This Row],[Table Lookup for Life Cover]]="MM_LIFE",Table2[[#This Row],[Age Next Birthday]]&lt;56),1,
IF(AND(Table2[[#This Row],[Member Type]]="Main Member",Table2[[#This Row],[Table Lookup for Life Cover]]="MM_LIFE",Table2[[#This Row],[Age Next Birthday]]&gt;=56),2,
""))</f>
        <v/>
      </c>
      <c r="AJ192" s="328">
        <f>IF(OR(Table2[[#This Row],[Member Type]]="Main Member",Table2[[#This Row],[Main Member Link ID]]=B191),1,0)</f>
        <v>1</v>
      </c>
      <c r="AK192" s="328">
        <f>IF(Table2[[#This Row],[Member Type]]=0,0,
IF(OR(Table2[[#This Row],[Member Type]]="Main Member",Table2[[#This Row],[Main Member Link ID]]&lt;&gt;B192),COUNTIFS(B:B,Table2[[#This Row],[Main Member Link ID]]),
COUNTIFS(B:B,Table2[[#This Row],[Main Member Link ID]],A:A,Table2[[#This Row],[Member Type]])))</f>
        <v>0</v>
      </c>
    </row>
    <row r="193" spans="1:37" x14ac:dyDescent="0.3">
      <c r="A193" s="284">
        <f>Table13[[#This Row],[Member Type]]</f>
        <v>0</v>
      </c>
      <c r="B193" s="284">
        <f>Table13[[#This Row],[Main Member Link ID]]</f>
        <v>0</v>
      </c>
      <c r="C193" s="284">
        <f>Table13[[#This Row],[ID Number]]</f>
        <v>0</v>
      </c>
      <c r="D193" s="285">
        <f>Table13[[#This Row],[Date Of Birth]]</f>
        <v>0</v>
      </c>
      <c r="E193" s="285">
        <f>Table13[[#This Row],[Commencement Date]]</f>
        <v>0</v>
      </c>
      <c r="F193" s="284">
        <f t="shared" si="14"/>
        <v>1</v>
      </c>
      <c r="G193" s="284">
        <f t="shared" si="15"/>
        <v>25</v>
      </c>
      <c r="H193" s="286">
        <f>Table13[[#This Row],[Product Option]]</f>
        <v>0</v>
      </c>
      <c r="I193" s="284">
        <f>IF(AND($A193="Main Member",Table2[[#This Row],[Product Option]]="My Value Plus Life"),"MM_LIFE",
IF(AND($A193="Spouse",Table2[[#This Row],[Product Option]]="My Value Plus Life"),"SP_LIFE",
IF(AND($A193="Main Member",Table2[[#This Row],[Product Option]]="My Value Plus Life &amp; Funeral"),"MM_LIFE",
IF(AND($A193="Spouse",Table2[[#This Row],[Product Option]]="My Value Plus Life &amp; Funeral"),_xlfn.XLOOKUP(Table2[[#This Row],[Benefit Name]],Lookups!$D$18:$D$23,Lookups!$E$18:$E$23,0),
0))))</f>
        <v>0</v>
      </c>
      <c r="J193" s="284">
        <f>IF($I193="","",
IF($I193="MM_LIFE",INDEX('Quotation Tool'!$S$54:$V$60,MATCH($T193,'Quotation Tool'!$S$54:$S$60,0),4),
IF($I193="SP_LIFE",_xlfn.XLOOKUP(B192,$B:$B,$J:$J,0),0)))</f>
        <v>0</v>
      </c>
      <c r="K193" s="287">
        <f t="shared" ca="1" si="19"/>
        <v>0</v>
      </c>
      <c r="L193" s="288">
        <f t="shared" ca="1" si="20"/>
        <v>0</v>
      </c>
      <c r="M193" s="289">
        <f t="shared" ca="1" si="16"/>
        <v>0</v>
      </c>
      <c r="N193" s="286">
        <f>Table13[[#This Row],[Benefit Option]]</f>
        <v>0</v>
      </c>
      <c r="O193" s="284">
        <f>IF(OR(Table2[[#This Row],[Member Type]]="Spouse",Table2[[#This Row],[Member Type]]="Child"),0,
IF(_xlfn.XLOOKUP($N193,Lookups!$D$13:$D$27,Lookups!$F$13:$F$27,0)=Table2[[#This Row],[Table Lookup for Life Cover]],0,
_xlfn.XLOOKUP($N193,Lookups!$D$13:$D$27,Lookups!$F$13:$F$27,0)))</f>
        <v>0</v>
      </c>
      <c r="P193" s="284">
        <f>IF(Table2[[#This Row],[Table Lookup for Funeral]]=0,0,IFERROR(INDEX('Quotation Tool'!$S$54:$V$60,MATCH($T193,'Quotation Tool'!$S$54:$S$60,0),3),0))</f>
        <v>0</v>
      </c>
      <c r="Q193" s="288">
        <f ca="1">IF(OR(Table2[[#This Row],[Benefit Name]]="My Value Plus Life - Main Member",Table2[[#This Row],[Benefit Name]]="My Value Plus Life - Spouse"),0,
IFERROR(VLOOKUP($G193,INDIRECT($O193),$P193,FALSE),0))</f>
        <v>0</v>
      </c>
      <c r="R193" s="288">
        <f ca="1">IF(OR(Table2[[#This Row],[Benefit Name]]="My Value Plus Life - Main Member",Table2[[#This Row],[Benefit Name]]="My Value Plus Life - Spouse"),0,
IFERROR(VLOOKUP($G193,INDIRECT($O193),$P193+1,FALSE),0))</f>
        <v>0</v>
      </c>
      <c r="S193" s="289">
        <f t="shared" ca="1" si="17"/>
        <v>0</v>
      </c>
      <c r="T193" s="284" t="str">
        <f>IF(Table13[[#This Row],[Premium Waiver]]="","None",Table13[[#This Row],[Premium Waiver]])</f>
        <v>None</v>
      </c>
      <c r="U193" s="284">
        <f>Table13[[#This Row],[VAPs Options]]</f>
        <v>0</v>
      </c>
      <c r="V193" s="284">
        <f>Table13[[#This Row],[Annual Increase Option]]</f>
        <v>0</v>
      </c>
      <c r="W193" s="290">
        <f>Table13[[#This Row],[Life Cover Amount]]</f>
        <v>0</v>
      </c>
      <c r="X193" s="290">
        <f>Table13[[#This Row],[Funeral Cover Amount]]</f>
        <v>0</v>
      </c>
      <c r="Y19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9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93" s="301">
        <f t="shared" ca="1" si="18"/>
        <v>0</v>
      </c>
      <c r="AB193" s="298"/>
      <c r="AC193" s="326" t="str">
        <f>IF(Table2[[#This Row],[Member Type]]="Main Member",Lookups!$C$13,
IF(Table2[[#This Row],[Member Type]]="Spouse",_xlfn.XLOOKUP(B193,Table2[Main Member Link ID],Table2[Product Option],0),
IF(AND(Table2[[#This Row],[Member Type]]="Child",_xlfn.XLOOKUP(B193,Table2[Main Member Link ID],Table2[Product Option],0)&lt;&gt;"My Value Plus Life"),Lookups!$C$24,
IF(AND(OR(Table2[[#This Row],[Member Type]]="Parent",Table2[[#This Row],[Member Type]]="Extended"),_xlfn.XLOOKUP(B193,Table2[Main Member Link ID],Table2[Product Option],0)&lt;&gt;"My Value Plus Life"),Lookups!$C$26,""))))</f>
        <v/>
      </c>
      <c r="AD193" s="326" t="str">
        <f>IF(Table2[[#This Row],[Member Type]]="Main Member",Lookups!$C$14,"")</f>
        <v/>
      </c>
      <c r="AE19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Funeral",_xlfn.XLOOKUP(B193,Table2[Main Member Link ID],Table2[Benefit Name],0)=Lookups!$D$14),"",
IF(AND(Table2[[#This Row],[Member Type]]="Spouse",Table2[[#This Row],[Product Option]]="My Value Plus Life &amp; Funeral",_xlfn.XLOOKUP(B192,Table2[Main Member Link ID],Table2[Benefit Name],0)=Lookups!$D$15),Lookups!$D$20,
IF(AND(Table2[[#This Row],[Member Type]]="Spouse",Table2[[#This Row],[Product Option]]="My Value Plus Life &amp; Funeral",_xlfn.XLOOKUP(B192,Table2[Main Member Link ID],Table2[Benefit Name],0)=Lookups!$D$16),"",
IF(AND(Table2[[#This Row],[Member Type]]="Spouse",Table2[[#This Row],[Product Option]]="My Value Plus Life &amp; Funeral",_xlfn.XLOOKUP(B192,Table2[Main Member Link ID],Table2[Benefit Name],0)=Lookups!$D$17),Lookups!$D$21,
IF(AND(Table2[[#This Row],[Member Type]]="Child",Table2[[#This Row],[Product Option]]="My Value Plus Life &amp; Funeral",_xlfn.XLOOKUP(B193,Table2[Main Member Link ID],Table2[Benefit Name],0)=Lookups!$D$14),"",
IF(AND(Table2[[#This Row],[Member Type]]="Child",Table2[[#This Row],[Product Option]]="My Value Plus Life &amp; Funeral",_xlfn.XLOOKUP(B193,Table2[Main Member Link ID],Table2[Benefit Name],0)=Lookups!$D$15),"",
IF(AND(Table2[[#This Row],[Member Type]]="Child",Table2[[#This Row],[Product Option]]="My Value Plus Life &amp; Funeral",_xlfn.XLOOKUP(B193,Table2[Main Member Link ID],Table2[Benefit Name],0)=Lookups!$D$16),Lookups!$D$24,
IF(AND(Table2[[#This Row],[Member Type]]="Child",Table2[[#This Row],[Product Option]]="My Value Plus Life &amp; Funeral",_xlfn.XLOOKUP(B193,Table2[Main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Funeral",_xlfn.XLOOKUP(B193,Table2[Main Member Link ID],Table2[Benefit Name],0)&lt;&gt;Lookups!$D$14),
IF(_xlfn.XLOOKUP(B193,Table2[Main Member Link ID],Table2[Benefit Name],0)=0,"",_xlfn.XLOOKUP(B193,Table2[Main Member Link ID],Table2[Benefit Name],0)),"")))))))))))))))</f>
        <v/>
      </c>
      <c r="AF193" s="327" t="str">
        <f>IF(AND(Table2[[#This Row],[Member Type]]="Main Member",Table2[[#This Row],[Product Option]]="My Value Plus Life &amp; Funeral"),Lookups!$D$15,
IF(AND(Table2[[#This Row],[Member Type]]="Spouse",Table2[[#This Row],[Product Option]]="My Value Plus Life &amp; Funeral",_xlfn.XLOOKUP(B193,Table2[Main Member Link ID],Table2[Benefit Name],0)=Lookups!$D$14),"",
IF(AND(Table2[[#This Row],[Member Type]]="Spouse",Table2[[#This Row],[Product Option]]="My Value Plus Life &amp; Funeral",_xlfn.XLOOKUP(B192,Table2[Main Member Link ID],Table2[Benefit Name],0)=Lookups!$D$16),"",
IF(AND(Table2[[#This Row],[Member Type]]="Spouse",Table2[[#This Row],[Product Option]]="My Value Plus Life &amp; Funeral",_xlfn.XLOOKUP(B192,Table2[Main Member Link ID],Table2[Benefit Name],0)=Lookups!$D$15),"",
IF(AND(Table2[[#This Row],[Member Type]]="Spouse",Table2[[#This Row],[Product Option]]="My Value Plus Life &amp; Funeral",_xlfn.XLOOKUP(B192,Table2[Main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Funeral",_xlfn.XLOOKUP(B193,Table2[Main Member Link ID],Table2[Benefit Name],0)&lt;&gt;Lookups!$D$15),
IF(_xlfn.XLOOKUP(B193,Table2[Main Member Link ID],Table2[Benefit Name],0)=0,"",_xlfn.XLOOKUP(B193,Table2[Main Member Link ID],Table2[Benefit Name],0)),"")
))))))</f>
        <v/>
      </c>
      <c r="AG193" s="327" t="str">
        <f>IF(AND(Table2[[#This Row],[Member Type]]="Main Member",Table2[[#This Row],[Product Option]]="My Value Plus Life &amp; Funeral"),Lookups!$D$16,
IF(AND(Table2[[#This Row],[Member Type]]="Spouse",Table2[[#This Row],[Product Option]]="My Value Plus Life &amp; Funeral",_xlfn.XLOOKUP(B193,Table2[Main Member Link ID],Table2[Benefit Name],0)=Lookups!$D$14),"",
IF(AND(Table2[[#This Row],[Member Type]]="Spouse",Table2[[#This Row],[Product Option]]="My Value Plus Life &amp; Funeral",_xlfn.XLOOKUP(B192,Table2[Main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Funeral",_xlfn.XLOOKUP(B193,Table2[Main Member Link ID],Table2[Benefit Name],0)&lt;&gt;Lookups!$D$16),
IF(_xlfn.XLOOKUP(B193,Table2[Main Member Link ID],Table2[Benefit Name],0)=0,"",_xlfn.XLOOKUP(B193,Table2[Main Member Link ID],Table2[Benefit Name],0)),"")
))))</f>
        <v/>
      </c>
      <c r="AH193" s="327" t="str">
        <f>IF(AND(Table2[[#This Row],[Member Type]]="Main Member",Table2[[#This Row],[Product Option]]="My Value Plus Life &amp; Funeral"),Lookups!$D$17,
IF(AND(Table2[[#This Row],[Member Type]]="Spouse",Table2[[#This Row],[Product Option]]="My Value Plus Life &amp; Funeral",_xlfn.XLOOKUP(B193,Table2[Main Member Link ID],Table2[Benefit Name],0)=Lookups!$D$14),"",
IF(AND(Table2[[#This Row],[Member Type]]="Spouse",Table2[[#This Row],[Product Option]]="My Value Plus Life &amp; Funeral",_xlfn.XLOOKUP(B192,Table2[Main Member Link ID],Table2[Benefit Name],0)=Lookups!$D$16),"",
IF(AND(Table2[[#This Row],[Member Type]]="Child",Table2[[#This Row],[Product Option]]="My Value Plus Life &amp; Funeral"),"",
IF(AND(Table2[[#This Row],[Member Type]]="Child",Table2[[#This Row],[Product Option]]="My Value Plus Life &amp; Funeral",_xlfn.XLOOKUP(B193,Table2[Main Member Link ID],Table2[Benefit Name],0)=Lookups!$D$15),"",
IF(AND(OR(Table2[[#This Row],[Member Type]]="Spouse",Table2[[#This Row],[Member Type]]="Child"),Table2[[#This Row],[Product Option]]="My Value Plus Life &amp; Funeral",_xlfn.XLOOKUP(B193,Table2[Main Member Link ID],Table2[Benefit Name],0)&lt;&gt;Lookups!$D$17),
IF(_xlfn.XLOOKUP(B193,Table2[Main Member Link ID],Table2[Benefit Name],0)=0,"",_xlfn.XLOOKUP(B193,Table2[Main Member Link ID],Table2[Benefit Name],0)),""))))))</f>
        <v/>
      </c>
      <c r="AI193" s="328" t="str">
        <f>IF(AND(Table2[[#This Row],[Member Type]]="Main Member",Table2[[#This Row],[Table Lookup for Life Cover]]="MM_LIFE",Table2[[#This Row],[Age Next Birthday]]&lt;56),1,
IF(AND(Table2[[#This Row],[Member Type]]="Main Member",Table2[[#This Row],[Table Lookup for Life Cover]]="MM_LIFE",Table2[[#This Row],[Age Next Birthday]]&gt;=56),2,
""))</f>
        <v/>
      </c>
      <c r="AJ193" s="328">
        <f>IF(OR(Table2[[#This Row],[Member Type]]="Main Member",Table2[[#This Row],[Main Member Link ID]]=B192),1,0)</f>
        <v>1</v>
      </c>
      <c r="AK193" s="328">
        <f>IF(Table2[[#This Row],[Member Type]]=0,0,
IF(OR(Table2[[#This Row],[Member Type]]="Main Member",Table2[[#This Row],[Main Member Link ID]]&lt;&gt;B193),COUNTIFS(B:B,Table2[[#This Row],[Main Member Link ID]]),
COUNTIFS(B:B,Table2[[#This Row],[Main Member Link ID]],A:A,Table2[[#This Row],[Member Type]])))</f>
        <v>0</v>
      </c>
    </row>
    <row r="194" spans="1:37" x14ac:dyDescent="0.3">
      <c r="A194" s="284">
        <f>Table13[[#This Row],[Member Type]]</f>
        <v>0</v>
      </c>
      <c r="B194" s="284">
        <f>Table13[[#This Row],[Main Member Link ID]]</f>
        <v>0</v>
      </c>
      <c r="C194" s="284">
        <f>Table13[[#This Row],[ID Number]]</f>
        <v>0</v>
      </c>
      <c r="D194" s="285">
        <f>Table13[[#This Row],[Date Of Birth]]</f>
        <v>0</v>
      </c>
      <c r="E194" s="285">
        <f>Table13[[#This Row],[Commencement Date]]</f>
        <v>0</v>
      </c>
      <c r="F194" s="284">
        <f t="shared" si="14"/>
        <v>1</v>
      </c>
      <c r="G194" s="284">
        <f t="shared" si="15"/>
        <v>25</v>
      </c>
      <c r="H194" s="286">
        <f>Table13[[#This Row],[Product Option]]</f>
        <v>0</v>
      </c>
      <c r="I194" s="284">
        <f>IF(AND($A194="Main Member",Table2[[#This Row],[Product Option]]="My Value Plus Life"),"MM_LIFE",
IF(AND($A194="Spouse",Table2[[#This Row],[Product Option]]="My Value Plus Life"),"SP_LIFE",
IF(AND($A194="Main Member",Table2[[#This Row],[Product Option]]="My Value Plus Life &amp; Funeral"),"MM_LIFE",
IF(AND($A194="Spouse",Table2[[#This Row],[Product Option]]="My Value Plus Life &amp; Funeral"),_xlfn.XLOOKUP(Table2[[#This Row],[Benefit Name]],Lookups!$D$18:$D$23,Lookups!$E$18:$E$23,0),
0))))</f>
        <v>0</v>
      </c>
      <c r="J194" s="284">
        <f>IF($I194="","",
IF($I194="MM_LIFE",INDEX('Quotation Tool'!$S$54:$V$60,MATCH($T194,'Quotation Tool'!$S$54:$S$60,0),4),
IF($I194="SP_LIFE",_xlfn.XLOOKUP(B193,$B:$B,$J:$J,0),0)))</f>
        <v>0</v>
      </c>
      <c r="K194" s="287">
        <f t="shared" ca="1" si="19"/>
        <v>0</v>
      </c>
      <c r="L194" s="288">
        <f t="shared" ca="1" si="20"/>
        <v>0</v>
      </c>
      <c r="M194" s="289">
        <f t="shared" ca="1" si="16"/>
        <v>0</v>
      </c>
      <c r="N194" s="286">
        <f>Table13[[#This Row],[Benefit Option]]</f>
        <v>0</v>
      </c>
      <c r="O194" s="284">
        <f>IF(OR(Table2[[#This Row],[Member Type]]="Spouse",Table2[[#This Row],[Member Type]]="Child"),0,
IF(_xlfn.XLOOKUP($N194,Lookups!$D$13:$D$27,Lookups!$F$13:$F$27,0)=Table2[[#This Row],[Table Lookup for Life Cover]],0,
_xlfn.XLOOKUP($N194,Lookups!$D$13:$D$27,Lookups!$F$13:$F$27,0)))</f>
        <v>0</v>
      </c>
      <c r="P194" s="284">
        <f>IF(Table2[[#This Row],[Table Lookup for Funeral]]=0,0,IFERROR(INDEX('Quotation Tool'!$S$54:$V$60,MATCH($T194,'Quotation Tool'!$S$54:$S$60,0),3),0))</f>
        <v>0</v>
      </c>
      <c r="Q194" s="288">
        <f ca="1">IF(OR(Table2[[#This Row],[Benefit Name]]="My Value Plus Life - Main Member",Table2[[#This Row],[Benefit Name]]="My Value Plus Life - Spouse"),0,
IFERROR(VLOOKUP($G194,INDIRECT($O194),$P194,FALSE),0))</f>
        <v>0</v>
      </c>
      <c r="R194" s="288">
        <f ca="1">IF(OR(Table2[[#This Row],[Benefit Name]]="My Value Plus Life - Main Member",Table2[[#This Row],[Benefit Name]]="My Value Plus Life - Spouse"),0,
IFERROR(VLOOKUP($G194,INDIRECT($O194),$P194+1,FALSE),0))</f>
        <v>0</v>
      </c>
      <c r="S194" s="289">
        <f t="shared" ca="1" si="17"/>
        <v>0</v>
      </c>
      <c r="T194" s="284" t="str">
        <f>IF(Table13[[#This Row],[Premium Waiver]]="","None",Table13[[#This Row],[Premium Waiver]])</f>
        <v>None</v>
      </c>
      <c r="U194" s="284">
        <f>Table13[[#This Row],[VAPs Options]]</f>
        <v>0</v>
      </c>
      <c r="V194" s="284">
        <f>Table13[[#This Row],[Annual Increase Option]]</f>
        <v>0</v>
      </c>
      <c r="W194" s="290">
        <f>Table13[[#This Row],[Life Cover Amount]]</f>
        <v>0</v>
      </c>
      <c r="X194" s="290">
        <f>Table13[[#This Row],[Funeral Cover Amount]]</f>
        <v>0</v>
      </c>
      <c r="Y19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9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94" s="301">
        <f t="shared" ca="1" si="18"/>
        <v>0</v>
      </c>
      <c r="AB194" s="298"/>
      <c r="AC194" s="326" t="str">
        <f>IF(Table2[[#This Row],[Member Type]]="Main Member",Lookups!$C$13,
IF(Table2[[#This Row],[Member Type]]="Spouse",_xlfn.XLOOKUP(B194,Table2[Main Member Link ID],Table2[Product Option],0),
IF(AND(Table2[[#This Row],[Member Type]]="Child",_xlfn.XLOOKUP(B194,Table2[Main Member Link ID],Table2[Product Option],0)&lt;&gt;"My Value Plus Life"),Lookups!$C$24,
IF(AND(OR(Table2[[#This Row],[Member Type]]="Parent",Table2[[#This Row],[Member Type]]="Extended"),_xlfn.XLOOKUP(B194,Table2[Main Member Link ID],Table2[Product Option],0)&lt;&gt;"My Value Plus Life"),Lookups!$C$26,""))))</f>
        <v/>
      </c>
      <c r="AD194" s="326" t="str">
        <f>IF(Table2[[#This Row],[Member Type]]="Main Member",Lookups!$C$14,"")</f>
        <v/>
      </c>
      <c r="AE19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Funeral",_xlfn.XLOOKUP(B194,Table2[Main Member Link ID],Table2[Benefit Name],0)=Lookups!$D$14),"",
IF(AND(Table2[[#This Row],[Member Type]]="Spouse",Table2[[#This Row],[Product Option]]="My Value Plus Life &amp; Funeral",_xlfn.XLOOKUP(B193,Table2[Main Member Link ID],Table2[Benefit Name],0)=Lookups!$D$15),Lookups!$D$20,
IF(AND(Table2[[#This Row],[Member Type]]="Spouse",Table2[[#This Row],[Product Option]]="My Value Plus Life &amp; Funeral",_xlfn.XLOOKUP(B193,Table2[Main Member Link ID],Table2[Benefit Name],0)=Lookups!$D$16),"",
IF(AND(Table2[[#This Row],[Member Type]]="Spouse",Table2[[#This Row],[Product Option]]="My Value Plus Life &amp; Funeral",_xlfn.XLOOKUP(B193,Table2[Main Member Link ID],Table2[Benefit Name],0)=Lookups!$D$17),Lookups!$D$21,
IF(AND(Table2[[#This Row],[Member Type]]="Child",Table2[[#This Row],[Product Option]]="My Value Plus Life &amp; Funeral",_xlfn.XLOOKUP(B194,Table2[Main Member Link ID],Table2[Benefit Name],0)=Lookups!$D$14),"",
IF(AND(Table2[[#This Row],[Member Type]]="Child",Table2[[#This Row],[Product Option]]="My Value Plus Life &amp; Funeral",_xlfn.XLOOKUP(B194,Table2[Main Member Link ID],Table2[Benefit Name],0)=Lookups!$D$15),"",
IF(AND(Table2[[#This Row],[Member Type]]="Child",Table2[[#This Row],[Product Option]]="My Value Plus Life &amp; Funeral",_xlfn.XLOOKUP(B194,Table2[Main Member Link ID],Table2[Benefit Name],0)=Lookups!$D$16),Lookups!$D$24,
IF(AND(Table2[[#This Row],[Member Type]]="Child",Table2[[#This Row],[Product Option]]="My Value Plus Life &amp; Funeral",_xlfn.XLOOKUP(B194,Table2[Main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Funeral",_xlfn.XLOOKUP(B194,Table2[Main Member Link ID],Table2[Benefit Name],0)&lt;&gt;Lookups!$D$14),
IF(_xlfn.XLOOKUP(B194,Table2[Main Member Link ID],Table2[Benefit Name],0)=0,"",_xlfn.XLOOKUP(B194,Table2[Main Member Link ID],Table2[Benefit Name],0)),"")))))))))))))))</f>
        <v/>
      </c>
      <c r="AF194" s="327" t="str">
        <f>IF(AND(Table2[[#This Row],[Member Type]]="Main Member",Table2[[#This Row],[Product Option]]="My Value Plus Life &amp; Funeral"),Lookups!$D$15,
IF(AND(Table2[[#This Row],[Member Type]]="Spouse",Table2[[#This Row],[Product Option]]="My Value Plus Life &amp; Funeral",_xlfn.XLOOKUP(B194,Table2[Main Member Link ID],Table2[Benefit Name],0)=Lookups!$D$14),"",
IF(AND(Table2[[#This Row],[Member Type]]="Spouse",Table2[[#This Row],[Product Option]]="My Value Plus Life &amp; Funeral",_xlfn.XLOOKUP(B193,Table2[Main Member Link ID],Table2[Benefit Name],0)=Lookups!$D$16),"",
IF(AND(Table2[[#This Row],[Member Type]]="Spouse",Table2[[#This Row],[Product Option]]="My Value Plus Life &amp; Funeral",_xlfn.XLOOKUP(B193,Table2[Main Member Link ID],Table2[Benefit Name],0)=Lookups!$D$15),"",
IF(AND(Table2[[#This Row],[Member Type]]="Spouse",Table2[[#This Row],[Product Option]]="My Value Plus Life &amp; Funeral",_xlfn.XLOOKUP(B193,Table2[Main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Funeral",_xlfn.XLOOKUP(B194,Table2[Main Member Link ID],Table2[Benefit Name],0)&lt;&gt;Lookups!$D$15),
IF(_xlfn.XLOOKUP(B194,Table2[Main Member Link ID],Table2[Benefit Name],0)=0,"",_xlfn.XLOOKUP(B194,Table2[Main Member Link ID],Table2[Benefit Name],0)),"")
))))))</f>
        <v/>
      </c>
      <c r="AG194" s="327" t="str">
        <f>IF(AND(Table2[[#This Row],[Member Type]]="Main Member",Table2[[#This Row],[Product Option]]="My Value Plus Life &amp; Funeral"),Lookups!$D$16,
IF(AND(Table2[[#This Row],[Member Type]]="Spouse",Table2[[#This Row],[Product Option]]="My Value Plus Life &amp; Funeral",_xlfn.XLOOKUP(B194,Table2[Main Member Link ID],Table2[Benefit Name],0)=Lookups!$D$14),"",
IF(AND(Table2[[#This Row],[Member Type]]="Spouse",Table2[[#This Row],[Product Option]]="My Value Plus Life &amp; Funeral",_xlfn.XLOOKUP(B193,Table2[Main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Funeral",_xlfn.XLOOKUP(B194,Table2[Main Member Link ID],Table2[Benefit Name],0)&lt;&gt;Lookups!$D$16),
IF(_xlfn.XLOOKUP(B194,Table2[Main Member Link ID],Table2[Benefit Name],0)=0,"",_xlfn.XLOOKUP(B194,Table2[Main Member Link ID],Table2[Benefit Name],0)),"")
))))</f>
        <v/>
      </c>
      <c r="AH194" s="327" t="str">
        <f>IF(AND(Table2[[#This Row],[Member Type]]="Main Member",Table2[[#This Row],[Product Option]]="My Value Plus Life &amp; Funeral"),Lookups!$D$17,
IF(AND(Table2[[#This Row],[Member Type]]="Spouse",Table2[[#This Row],[Product Option]]="My Value Plus Life &amp; Funeral",_xlfn.XLOOKUP(B194,Table2[Main Member Link ID],Table2[Benefit Name],0)=Lookups!$D$14),"",
IF(AND(Table2[[#This Row],[Member Type]]="Spouse",Table2[[#This Row],[Product Option]]="My Value Plus Life &amp; Funeral",_xlfn.XLOOKUP(B193,Table2[Main Member Link ID],Table2[Benefit Name],0)=Lookups!$D$16),"",
IF(AND(Table2[[#This Row],[Member Type]]="Child",Table2[[#This Row],[Product Option]]="My Value Plus Life &amp; Funeral"),"",
IF(AND(Table2[[#This Row],[Member Type]]="Child",Table2[[#This Row],[Product Option]]="My Value Plus Life &amp; Funeral",_xlfn.XLOOKUP(B194,Table2[Main Member Link ID],Table2[Benefit Name],0)=Lookups!$D$15),"",
IF(AND(OR(Table2[[#This Row],[Member Type]]="Spouse",Table2[[#This Row],[Member Type]]="Child"),Table2[[#This Row],[Product Option]]="My Value Plus Life &amp; Funeral",_xlfn.XLOOKUP(B194,Table2[Main Member Link ID],Table2[Benefit Name],0)&lt;&gt;Lookups!$D$17),
IF(_xlfn.XLOOKUP(B194,Table2[Main Member Link ID],Table2[Benefit Name],0)=0,"",_xlfn.XLOOKUP(B194,Table2[Main Member Link ID],Table2[Benefit Name],0)),""))))))</f>
        <v/>
      </c>
      <c r="AI194" s="328" t="str">
        <f>IF(AND(Table2[[#This Row],[Member Type]]="Main Member",Table2[[#This Row],[Table Lookup for Life Cover]]="MM_LIFE",Table2[[#This Row],[Age Next Birthday]]&lt;56),1,
IF(AND(Table2[[#This Row],[Member Type]]="Main Member",Table2[[#This Row],[Table Lookup for Life Cover]]="MM_LIFE",Table2[[#This Row],[Age Next Birthday]]&gt;=56),2,
""))</f>
        <v/>
      </c>
      <c r="AJ194" s="328">
        <f>IF(OR(Table2[[#This Row],[Member Type]]="Main Member",Table2[[#This Row],[Main Member Link ID]]=B193),1,0)</f>
        <v>1</v>
      </c>
      <c r="AK194" s="328">
        <f>IF(Table2[[#This Row],[Member Type]]=0,0,
IF(OR(Table2[[#This Row],[Member Type]]="Main Member",Table2[[#This Row],[Main Member Link ID]]&lt;&gt;B194),COUNTIFS(B:B,Table2[[#This Row],[Main Member Link ID]]),
COUNTIFS(B:B,Table2[[#This Row],[Main Member Link ID]],A:A,Table2[[#This Row],[Member Type]])))</f>
        <v>0</v>
      </c>
    </row>
    <row r="195" spans="1:37" x14ac:dyDescent="0.3">
      <c r="A195" s="284">
        <f>Table13[[#This Row],[Member Type]]</f>
        <v>0</v>
      </c>
      <c r="B195" s="284">
        <f>Table13[[#This Row],[Main Member Link ID]]</f>
        <v>0</v>
      </c>
      <c r="C195" s="284">
        <f>Table13[[#This Row],[ID Number]]</f>
        <v>0</v>
      </c>
      <c r="D195" s="285">
        <f>Table13[[#This Row],[Date Of Birth]]</f>
        <v>0</v>
      </c>
      <c r="E195" s="285">
        <f>Table13[[#This Row],[Commencement Date]]</f>
        <v>0</v>
      </c>
      <c r="F195" s="284">
        <f t="shared" si="14"/>
        <v>1</v>
      </c>
      <c r="G195" s="284">
        <f t="shared" si="15"/>
        <v>25</v>
      </c>
      <c r="H195" s="286">
        <f>Table13[[#This Row],[Product Option]]</f>
        <v>0</v>
      </c>
      <c r="I195" s="284">
        <f>IF(AND($A195="Main Member",Table2[[#This Row],[Product Option]]="My Value Plus Life"),"MM_LIFE",
IF(AND($A195="Spouse",Table2[[#This Row],[Product Option]]="My Value Plus Life"),"SP_LIFE",
IF(AND($A195="Main Member",Table2[[#This Row],[Product Option]]="My Value Plus Life &amp; Funeral"),"MM_LIFE",
IF(AND($A195="Spouse",Table2[[#This Row],[Product Option]]="My Value Plus Life &amp; Funeral"),_xlfn.XLOOKUP(Table2[[#This Row],[Benefit Name]],Lookups!$D$18:$D$23,Lookups!$E$18:$E$23,0),
0))))</f>
        <v>0</v>
      </c>
      <c r="J195" s="284">
        <f>IF($I195="","",
IF($I195="MM_LIFE",INDEX('Quotation Tool'!$S$54:$V$60,MATCH($T195,'Quotation Tool'!$S$54:$S$60,0),4),
IF($I195="SP_LIFE",_xlfn.XLOOKUP(B194,$B:$B,$J:$J,0),0)))</f>
        <v>0</v>
      </c>
      <c r="K195" s="287">
        <f t="shared" ca="1" si="19"/>
        <v>0</v>
      </c>
      <c r="L195" s="288">
        <f t="shared" ca="1" si="20"/>
        <v>0</v>
      </c>
      <c r="M195" s="289">
        <f t="shared" ca="1" si="16"/>
        <v>0</v>
      </c>
      <c r="N195" s="286">
        <f>Table13[[#This Row],[Benefit Option]]</f>
        <v>0</v>
      </c>
      <c r="O195" s="284">
        <f>IF(OR(Table2[[#This Row],[Member Type]]="Spouse",Table2[[#This Row],[Member Type]]="Child"),0,
IF(_xlfn.XLOOKUP($N195,Lookups!$D$13:$D$27,Lookups!$F$13:$F$27,0)=Table2[[#This Row],[Table Lookup for Life Cover]],0,
_xlfn.XLOOKUP($N195,Lookups!$D$13:$D$27,Lookups!$F$13:$F$27,0)))</f>
        <v>0</v>
      </c>
      <c r="P195" s="284">
        <f>IF(Table2[[#This Row],[Table Lookup for Funeral]]=0,0,IFERROR(INDEX('Quotation Tool'!$S$54:$V$60,MATCH($T195,'Quotation Tool'!$S$54:$S$60,0),3),0))</f>
        <v>0</v>
      </c>
      <c r="Q195" s="288">
        <f ca="1">IF(OR(Table2[[#This Row],[Benefit Name]]="My Value Plus Life - Main Member",Table2[[#This Row],[Benefit Name]]="My Value Plus Life - Spouse"),0,
IFERROR(VLOOKUP($G195,INDIRECT($O195),$P195,FALSE),0))</f>
        <v>0</v>
      </c>
      <c r="R195" s="288">
        <f ca="1">IF(OR(Table2[[#This Row],[Benefit Name]]="My Value Plus Life - Main Member",Table2[[#This Row],[Benefit Name]]="My Value Plus Life - Spouse"),0,
IFERROR(VLOOKUP($G195,INDIRECT($O195),$P195+1,FALSE),0))</f>
        <v>0</v>
      </c>
      <c r="S195" s="289">
        <f t="shared" ca="1" si="17"/>
        <v>0</v>
      </c>
      <c r="T195" s="284" t="str">
        <f>IF(Table13[[#This Row],[Premium Waiver]]="","None",Table13[[#This Row],[Premium Waiver]])</f>
        <v>None</v>
      </c>
      <c r="U195" s="284">
        <f>Table13[[#This Row],[VAPs Options]]</f>
        <v>0</v>
      </c>
      <c r="V195" s="284">
        <f>Table13[[#This Row],[Annual Increase Option]]</f>
        <v>0</v>
      </c>
      <c r="W195" s="290">
        <f>Table13[[#This Row],[Life Cover Amount]]</f>
        <v>0</v>
      </c>
      <c r="X195" s="290">
        <f>Table13[[#This Row],[Funeral Cover Amount]]</f>
        <v>0</v>
      </c>
      <c r="Y19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9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95" s="301">
        <f t="shared" ca="1" si="18"/>
        <v>0</v>
      </c>
      <c r="AB195" s="298"/>
      <c r="AC195" s="326" t="str">
        <f>IF(Table2[[#This Row],[Member Type]]="Main Member",Lookups!$C$13,
IF(Table2[[#This Row],[Member Type]]="Spouse",_xlfn.XLOOKUP(B195,Table2[Main Member Link ID],Table2[Product Option],0),
IF(AND(Table2[[#This Row],[Member Type]]="Child",_xlfn.XLOOKUP(B195,Table2[Main Member Link ID],Table2[Product Option],0)&lt;&gt;"My Value Plus Life"),Lookups!$C$24,
IF(AND(OR(Table2[[#This Row],[Member Type]]="Parent",Table2[[#This Row],[Member Type]]="Extended"),_xlfn.XLOOKUP(B195,Table2[Main Member Link ID],Table2[Product Option],0)&lt;&gt;"My Value Plus Life"),Lookups!$C$26,""))))</f>
        <v/>
      </c>
      <c r="AD195" s="326" t="str">
        <f>IF(Table2[[#This Row],[Member Type]]="Main Member",Lookups!$C$14,"")</f>
        <v/>
      </c>
      <c r="AE19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Funeral",_xlfn.XLOOKUP(B195,Table2[Main Member Link ID],Table2[Benefit Name],0)=Lookups!$D$14),"",
IF(AND(Table2[[#This Row],[Member Type]]="Spouse",Table2[[#This Row],[Product Option]]="My Value Plus Life &amp; Funeral",_xlfn.XLOOKUP(B194,Table2[Main Member Link ID],Table2[Benefit Name],0)=Lookups!$D$15),Lookups!$D$20,
IF(AND(Table2[[#This Row],[Member Type]]="Spouse",Table2[[#This Row],[Product Option]]="My Value Plus Life &amp; Funeral",_xlfn.XLOOKUP(B194,Table2[Main Member Link ID],Table2[Benefit Name],0)=Lookups!$D$16),"",
IF(AND(Table2[[#This Row],[Member Type]]="Spouse",Table2[[#This Row],[Product Option]]="My Value Plus Life &amp; Funeral",_xlfn.XLOOKUP(B194,Table2[Main Member Link ID],Table2[Benefit Name],0)=Lookups!$D$17),Lookups!$D$21,
IF(AND(Table2[[#This Row],[Member Type]]="Child",Table2[[#This Row],[Product Option]]="My Value Plus Life &amp; Funeral",_xlfn.XLOOKUP(B195,Table2[Main Member Link ID],Table2[Benefit Name],0)=Lookups!$D$14),"",
IF(AND(Table2[[#This Row],[Member Type]]="Child",Table2[[#This Row],[Product Option]]="My Value Plus Life &amp; Funeral",_xlfn.XLOOKUP(B195,Table2[Main Member Link ID],Table2[Benefit Name],0)=Lookups!$D$15),"",
IF(AND(Table2[[#This Row],[Member Type]]="Child",Table2[[#This Row],[Product Option]]="My Value Plus Life &amp; Funeral",_xlfn.XLOOKUP(B195,Table2[Main Member Link ID],Table2[Benefit Name],0)=Lookups!$D$16),Lookups!$D$24,
IF(AND(Table2[[#This Row],[Member Type]]="Child",Table2[[#This Row],[Product Option]]="My Value Plus Life &amp; Funeral",_xlfn.XLOOKUP(B195,Table2[Main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Funeral",_xlfn.XLOOKUP(B195,Table2[Main Member Link ID],Table2[Benefit Name],0)&lt;&gt;Lookups!$D$14),
IF(_xlfn.XLOOKUP(B195,Table2[Main Member Link ID],Table2[Benefit Name],0)=0,"",_xlfn.XLOOKUP(B195,Table2[Main Member Link ID],Table2[Benefit Name],0)),"")))))))))))))))</f>
        <v/>
      </c>
      <c r="AF195" s="327" t="str">
        <f>IF(AND(Table2[[#This Row],[Member Type]]="Main Member",Table2[[#This Row],[Product Option]]="My Value Plus Life &amp; Funeral"),Lookups!$D$15,
IF(AND(Table2[[#This Row],[Member Type]]="Spouse",Table2[[#This Row],[Product Option]]="My Value Plus Life &amp; Funeral",_xlfn.XLOOKUP(B195,Table2[Main Member Link ID],Table2[Benefit Name],0)=Lookups!$D$14),"",
IF(AND(Table2[[#This Row],[Member Type]]="Spouse",Table2[[#This Row],[Product Option]]="My Value Plus Life &amp; Funeral",_xlfn.XLOOKUP(B194,Table2[Main Member Link ID],Table2[Benefit Name],0)=Lookups!$D$16),"",
IF(AND(Table2[[#This Row],[Member Type]]="Spouse",Table2[[#This Row],[Product Option]]="My Value Plus Life &amp; Funeral",_xlfn.XLOOKUP(B194,Table2[Main Member Link ID],Table2[Benefit Name],0)=Lookups!$D$15),"",
IF(AND(Table2[[#This Row],[Member Type]]="Spouse",Table2[[#This Row],[Product Option]]="My Value Plus Life &amp; Funeral",_xlfn.XLOOKUP(B194,Table2[Main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Funeral",_xlfn.XLOOKUP(B195,Table2[Main Member Link ID],Table2[Benefit Name],0)&lt;&gt;Lookups!$D$15),
IF(_xlfn.XLOOKUP(B195,Table2[Main Member Link ID],Table2[Benefit Name],0)=0,"",_xlfn.XLOOKUP(B195,Table2[Main Member Link ID],Table2[Benefit Name],0)),"")
))))))</f>
        <v/>
      </c>
      <c r="AG195" s="327" t="str">
        <f>IF(AND(Table2[[#This Row],[Member Type]]="Main Member",Table2[[#This Row],[Product Option]]="My Value Plus Life &amp; Funeral"),Lookups!$D$16,
IF(AND(Table2[[#This Row],[Member Type]]="Spouse",Table2[[#This Row],[Product Option]]="My Value Plus Life &amp; Funeral",_xlfn.XLOOKUP(B195,Table2[Main Member Link ID],Table2[Benefit Name],0)=Lookups!$D$14),"",
IF(AND(Table2[[#This Row],[Member Type]]="Spouse",Table2[[#This Row],[Product Option]]="My Value Plus Life &amp; Funeral",_xlfn.XLOOKUP(B194,Table2[Main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Funeral",_xlfn.XLOOKUP(B195,Table2[Main Member Link ID],Table2[Benefit Name],0)&lt;&gt;Lookups!$D$16),
IF(_xlfn.XLOOKUP(B195,Table2[Main Member Link ID],Table2[Benefit Name],0)=0,"",_xlfn.XLOOKUP(B195,Table2[Main Member Link ID],Table2[Benefit Name],0)),"")
))))</f>
        <v/>
      </c>
      <c r="AH195" s="327" t="str">
        <f>IF(AND(Table2[[#This Row],[Member Type]]="Main Member",Table2[[#This Row],[Product Option]]="My Value Plus Life &amp; Funeral"),Lookups!$D$17,
IF(AND(Table2[[#This Row],[Member Type]]="Spouse",Table2[[#This Row],[Product Option]]="My Value Plus Life &amp; Funeral",_xlfn.XLOOKUP(B195,Table2[Main Member Link ID],Table2[Benefit Name],0)=Lookups!$D$14),"",
IF(AND(Table2[[#This Row],[Member Type]]="Spouse",Table2[[#This Row],[Product Option]]="My Value Plus Life &amp; Funeral",_xlfn.XLOOKUP(B194,Table2[Main Member Link ID],Table2[Benefit Name],0)=Lookups!$D$16),"",
IF(AND(Table2[[#This Row],[Member Type]]="Child",Table2[[#This Row],[Product Option]]="My Value Plus Life &amp; Funeral"),"",
IF(AND(Table2[[#This Row],[Member Type]]="Child",Table2[[#This Row],[Product Option]]="My Value Plus Life &amp; Funeral",_xlfn.XLOOKUP(B195,Table2[Main Member Link ID],Table2[Benefit Name],0)=Lookups!$D$15),"",
IF(AND(OR(Table2[[#This Row],[Member Type]]="Spouse",Table2[[#This Row],[Member Type]]="Child"),Table2[[#This Row],[Product Option]]="My Value Plus Life &amp; Funeral",_xlfn.XLOOKUP(B195,Table2[Main Member Link ID],Table2[Benefit Name],0)&lt;&gt;Lookups!$D$17),
IF(_xlfn.XLOOKUP(B195,Table2[Main Member Link ID],Table2[Benefit Name],0)=0,"",_xlfn.XLOOKUP(B195,Table2[Main Member Link ID],Table2[Benefit Name],0)),""))))))</f>
        <v/>
      </c>
      <c r="AI195" s="328" t="str">
        <f>IF(AND(Table2[[#This Row],[Member Type]]="Main Member",Table2[[#This Row],[Table Lookup for Life Cover]]="MM_LIFE",Table2[[#This Row],[Age Next Birthday]]&lt;56),1,
IF(AND(Table2[[#This Row],[Member Type]]="Main Member",Table2[[#This Row],[Table Lookup for Life Cover]]="MM_LIFE",Table2[[#This Row],[Age Next Birthday]]&gt;=56),2,
""))</f>
        <v/>
      </c>
      <c r="AJ195" s="328">
        <f>IF(OR(Table2[[#This Row],[Member Type]]="Main Member",Table2[[#This Row],[Main Member Link ID]]=B194),1,0)</f>
        <v>1</v>
      </c>
      <c r="AK195" s="328">
        <f>IF(Table2[[#This Row],[Member Type]]=0,0,
IF(OR(Table2[[#This Row],[Member Type]]="Main Member",Table2[[#This Row],[Main Member Link ID]]&lt;&gt;B195),COUNTIFS(B:B,Table2[[#This Row],[Main Member Link ID]]),
COUNTIFS(B:B,Table2[[#This Row],[Main Member Link ID]],A:A,Table2[[#This Row],[Member Type]])))</f>
        <v>0</v>
      </c>
    </row>
    <row r="196" spans="1:37" x14ac:dyDescent="0.3">
      <c r="A196" s="284">
        <f>Table13[[#This Row],[Member Type]]</f>
        <v>0</v>
      </c>
      <c r="B196" s="284">
        <f>Table13[[#This Row],[Main Member Link ID]]</f>
        <v>0</v>
      </c>
      <c r="C196" s="284">
        <f>Table13[[#This Row],[ID Number]]</f>
        <v>0</v>
      </c>
      <c r="D196" s="285">
        <f>Table13[[#This Row],[Date Of Birth]]</f>
        <v>0</v>
      </c>
      <c r="E196" s="285">
        <f>Table13[[#This Row],[Commencement Date]]</f>
        <v>0</v>
      </c>
      <c r="F196" s="284">
        <f t="shared" si="14"/>
        <v>1</v>
      </c>
      <c r="G196" s="284">
        <f t="shared" si="15"/>
        <v>25</v>
      </c>
      <c r="H196" s="286">
        <f>Table13[[#This Row],[Product Option]]</f>
        <v>0</v>
      </c>
      <c r="I196" s="284">
        <f>IF(AND($A196="Main Member",Table2[[#This Row],[Product Option]]="My Value Plus Life"),"MM_LIFE",
IF(AND($A196="Spouse",Table2[[#This Row],[Product Option]]="My Value Plus Life"),"SP_LIFE",
IF(AND($A196="Main Member",Table2[[#This Row],[Product Option]]="My Value Plus Life &amp; Funeral"),"MM_LIFE",
IF(AND($A196="Spouse",Table2[[#This Row],[Product Option]]="My Value Plus Life &amp; Funeral"),_xlfn.XLOOKUP(Table2[[#This Row],[Benefit Name]],Lookups!$D$18:$D$23,Lookups!$E$18:$E$23,0),
0))))</f>
        <v>0</v>
      </c>
      <c r="J196" s="284">
        <f>IF($I196="","",
IF($I196="MM_LIFE",INDEX('Quotation Tool'!$S$54:$V$60,MATCH($T196,'Quotation Tool'!$S$54:$S$60,0),4),
IF($I196="SP_LIFE",_xlfn.XLOOKUP(B195,$B:$B,$J:$J,0),0)))</f>
        <v>0</v>
      </c>
      <c r="K196" s="287">
        <f t="shared" ca="1" si="19"/>
        <v>0</v>
      </c>
      <c r="L196" s="288">
        <f t="shared" ca="1" si="20"/>
        <v>0</v>
      </c>
      <c r="M196" s="289">
        <f t="shared" ca="1" si="16"/>
        <v>0</v>
      </c>
      <c r="N196" s="286">
        <f>Table13[[#This Row],[Benefit Option]]</f>
        <v>0</v>
      </c>
      <c r="O196" s="284">
        <f>IF(OR(Table2[[#This Row],[Member Type]]="Spouse",Table2[[#This Row],[Member Type]]="Child"),0,
IF(_xlfn.XLOOKUP($N196,Lookups!$D$13:$D$27,Lookups!$F$13:$F$27,0)=Table2[[#This Row],[Table Lookup for Life Cover]],0,
_xlfn.XLOOKUP($N196,Lookups!$D$13:$D$27,Lookups!$F$13:$F$27,0)))</f>
        <v>0</v>
      </c>
      <c r="P196" s="284">
        <f>IF(Table2[[#This Row],[Table Lookup for Funeral]]=0,0,IFERROR(INDEX('Quotation Tool'!$S$54:$V$60,MATCH($T196,'Quotation Tool'!$S$54:$S$60,0),3),0))</f>
        <v>0</v>
      </c>
      <c r="Q196" s="288">
        <f ca="1">IF(OR(Table2[[#This Row],[Benefit Name]]="My Value Plus Life - Main Member",Table2[[#This Row],[Benefit Name]]="My Value Plus Life - Spouse"),0,
IFERROR(VLOOKUP($G196,INDIRECT($O196),$P196,FALSE),0))</f>
        <v>0</v>
      </c>
      <c r="R196" s="288">
        <f ca="1">IF(OR(Table2[[#This Row],[Benefit Name]]="My Value Plus Life - Main Member",Table2[[#This Row],[Benefit Name]]="My Value Plus Life - Spouse"),0,
IFERROR(VLOOKUP($G196,INDIRECT($O196),$P196+1,FALSE),0))</f>
        <v>0</v>
      </c>
      <c r="S196" s="289">
        <f t="shared" ca="1" si="17"/>
        <v>0</v>
      </c>
      <c r="T196" s="284" t="str">
        <f>IF(Table13[[#This Row],[Premium Waiver]]="","None",Table13[[#This Row],[Premium Waiver]])</f>
        <v>None</v>
      </c>
      <c r="U196" s="284">
        <f>Table13[[#This Row],[VAPs Options]]</f>
        <v>0</v>
      </c>
      <c r="V196" s="284">
        <f>Table13[[#This Row],[Annual Increase Option]]</f>
        <v>0</v>
      </c>
      <c r="W196" s="290">
        <f>Table13[[#This Row],[Life Cover Amount]]</f>
        <v>0</v>
      </c>
      <c r="X196" s="290">
        <f>Table13[[#This Row],[Funeral Cover Amount]]</f>
        <v>0</v>
      </c>
      <c r="Y19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9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96" s="301">
        <f t="shared" ca="1" si="18"/>
        <v>0</v>
      </c>
      <c r="AB196" s="298"/>
      <c r="AC196" s="326" t="str">
        <f>IF(Table2[[#This Row],[Member Type]]="Main Member",Lookups!$C$13,
IF(Table2[[#This Row],[Member Type]]="Spouse",_xlfn.XLOOKUP(B196,Table2[Main Member Link ID],Table2[Product Option],0),
IF(AND(Table2[[#This Row],[Member Type]]="Child",_xlfn.XLOOKUP(B196,Table2[Main Member Link ID],Table2[Product Option],0)&lt;&gt;"My Value Plus Life"),Lookups!$C$24,
IF(AND(OR(Table2[[#This Row],[Member Type]]="Parent",Table2[[#This Row],[Member Type]]="Extended"),_xlfn.XLOOKUP(B196,Table2[Main Member Link ID],Table2[Product Option],0)&lt;&gt;"My Value Plus Life"),Lookups!$C$26,""))))</f>
        <v/>
      </c>
      <c r="AD196" s="326" t="str">
        <f>IF(Table2[[#This Row],[Member Type]]="Main Member",Lookups!$C$14,"")</f>
        <v/>
      </c>
      <c r="AE19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Funeral",_xlfn.XLOOKUP(B196,Table2[Main Member Link ID],Table2[Benefit Name],0)=Lookups!$D$14),"",
IF(AND(Table2[[#This Row],[Member Type]]="Spouse",Table2[[#This Row],[Product Option]]="My Value Plus Life &amp; Funeral",_xlfn.XLOOKUP(B195,Table2[Main Member Link ID],Table2[Benefit Name],0)=Lookups!$D$15),Lookups!$D$20,
IF(AND(Table2[[#This Row],[Member Type]]="Spouse",Table2[[#This Row],[Product Option]]="My Value Plus Life &amp; Funeral",_xlfn.XLOOKUP(B195,Table2[Main Member Link ID],Table2[Benefit Name],0)=Lookups!$D$16),"",
IF(AND(Table2[[#This Row],[Member Type]]="Spouse",Table2[[#This Row],[Product Option]]="My Value Plus Life &amp; Funeral",_xlfn.XLOOKUP(B195,Table2[Main Member Link ID],Table2[Benefit Name],0)=Lookups!$D$17),Lookups!$D$21,
IF(AND(Table2[[#This Row],[Member Type]]="Child",Table2[[#This Row],[Product Option]]="My Value Plus Life &amp; Funeral",_xlfn.XLOOKUP(B196,Table2[Main Member Link ID],Table2[Benefit Name],0)=Lookups!$D$14),"",
IF(AND(Table2[[#This Row],[Member Type]]="Child",Table2[[#This Row],[Product Option]]="My Value Plus Life &amp; Funeral",_xlfn.XLOOKUP(B196,Table2[Main Member Link ID],Table2[Benefit Name],0)=Lookups!$D$15),"",
IF(AND(Table2[[#This Row],[Member Type]]="Child",Table2[[#This Row],[Product Option]]="My Value Plus Life &amp; Funeral",_xlfn.XLOOKUP(B196,Table2[Main Member Link ID],Table2[Benefit Name],0)=Lookups!$D$16),Lookups!$D$24,
IF(AND(Table2[[#This Row],[Member Type]]="Child",Table2[[#This Row],[Product Option]]="My Value Plus Life &amp; Funeral",_xlfn.XLOOKUP(B196,Table2[Main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Funeral",_xlfn.XLOOKUP(B196,Table2[Main Member Link ID],Table2[Benefit Name],0)&lt;&gt;Lookups!$D$14),
IF(_xlfn.XLOOKUP(B196,Table2[Main Member Link ID],Table2[Benefit Name],0)=0,"",_xlfn.XLOOKUP(B196,Table2[Main Member Link ID],Table2[Benefit Name],0)),"")))))))))))))))</f>
        <v/>
      </c>
      <c r="AF196" s="327" t="str">
        <f>IF(AND(Table2[[#This Row],[Member Type]]="Main Member",Table2[[#This Row],[Product Option]]="My Value Plus Life &amp; Funeral"),Lookups!$D$15,
IF(AND(Table2[[#This Row],[Member Type]]="Spouse",Table2[[#This Row],[Product Option]]="My Value Plus Life &amp; Funeral",_xlfn.XLOOKUP(B196,Table2[Main Member Link ID],Table2[Benefit Name],0)=Lookups!$D$14),"",
IF(AND(Table2[[#This Row],[Member Type]]="Spouse",Table2[[#This Row],[Product Option]]="My Value Plus Life &amp; Funeral",_xlfn.XLOOKUP(B195,Table2[Main Member Link ID],Table2[Benefit Name],0)=Lookups!$D$16),"",
IF(AND(Table2[[#This Row],[Member Type]]="Spouse",Table2[[#This Row],[Product Option]]="My Value Plus Life &amp; Funeral",_xlfn.XLOOKUP(B195,Table2[Main Member Link ID],Table2[Benefit Name],0)=Lookups!$D$15),"",
IF(AND(Table2[[#This Row],[Member Type]]="Spouse",Table2[[#This Row],[Product Option]]="My Value Plus Life &amp; Funeral",_xlfn.XLOOKUP(B195,Table2[Main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Funeral",_xlfn.XLOOKUP(B196,Table2[Main Member Link ID],Table2[Benefit Name],0)&lt;&gt;Lookups!$D$15),
IF(_xlfn.XLOOKUP(B196,Table2[Main Member Link ID],Table2[Benefit Name],0)=0,"",_xlfn.XLOOKUP(B196,Table2[Main Member Link ID],Table2[Benefit Name],0)),"")
))))))</f>
        <v/>
      </c>
      <c r="AG196" s="327" t="str">
        <f>IF(AND(Table2[[#This Row],[Member Type]]="Main Member",Table2[[#This Row],[Product Option]]="My Value Plus Life &amp; Funeral"),Lookups!$D$16,
IF(AND(Table2[[#This Row],[Member Type]]="Spouse",Table2[[#This Row],[Product Option]]="My Value Plus Life &amp; Funeral",_xlfn.XLOOKUP(B196,Table2[Main Member Link ID],Table2[Benefit Name],0)=Lookups!$D$14),"",
IF(AND(Table2[[#This Row],[Member Type]]="Spouse",Table2[[#This Row],[Product Option]]="My Value Plus Life &amp; Funeral",_xlfn.XLOOKUP(B195,Table2[Main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Funeral",_xlfn.XLOOKUP(B196,Table2[Main Member Link ID],Table2[Benefit Name],0)&lt;&gt;Lookups!$D$16),
IF(_xlfn.XLOOKUP(B196,Table2[Main Member Link ID],Table2[Benefit Name],0)=0,"",_xlfn.XLOOKUP(B196,Table2[Main Member Link ID],Table2[Benefit Name],0)),"")
))))</f>
        <v/>
      </c>
      <c r="AH196" s="327" t="str">
        <f>IF(AND(Table2[[#This Row],[Member Type]]="Main Member",Table2[[#This Row],[Product Option]]="My Value Plus Life &amp; Funeral"),Lookups!$D$17,
IF(AND(Table2[[#This Row],[Member Type]]="Spouse",Table2[[#This Row],[Product Option]]="My Value Plus Life &amp; Funeral",_xlfn.XLOOKUP(B196,Table2[Main Member Link ID],Table2[Benefit Name],0)=Lookups!$D$14),"",
IF(AND(Table2[[#This Row],[Member Type]]="Spouse",Table2[[#This Row],[Product Option]]="My Value Plus Life &amp; Funeral",_xlfn.XLOOKUP(B195,Table2[Main Member Link ID],Table2[Benefit Name],0)=Lookups!$D$16),"",
IF(AND(Table2[[#This Row],[Member Type]]="Child",Table2[[#This Row],[Product Option]]="My Value Plus Life &amp; Funeral"),"",
IF(AND(Table2[[#This Row],[Member Type]]="Child",Table2[[#This Row],[Product Option]]="My Value Plus Life &amp; Funeral",_xlfn.XLOOKUP(B196,Table2[Main Member Link ID],Table2[Benefit Name],0)=Lookups!$D$15),"",
IF(AND(OR(Table2[[#This Row],[Member Type]]="Spouse",Table2[[#This Row],[Member Type]]="Child"),Table2[[#This Row],[Product Option]]="My Value Plus Life &amp; Funeral",_xlfn.XLOOKUP(B196,Table2[Main Member Link ID],Table2[Benefit Name],0)&lt;&gt;Lookups!$D$17),
IF(_xlfn.XLOOKUP(B196,Table2[Main Member Link ID],Table2[Benefit Name],0)=0,"",_xlfn.XLOOKUP(B196,Table2[Main Member Link ID],Table2[Benefit Name],0)),""))))))</f>
        <v/>
      </c>
      <c r="AI196" s="328" t="str">
        <f>IF(AND(Table2[[#This Row],[Member Type]]="Main Member",Table2[[#This Row],[Table Lookup for Life Cover]]="MM_LIFE",Table2[[#This Row],[Age Next Birthday]]&lt;56),1,
IF(AND(Table2[[#This Row],[Member Type]]="Main Member",Table2[[#This Row],[Table Lookup for Life Cover]]="MM_LIFE",Table2[[#This Row],[Age Next Birthday]]&gt;=56),2,
""))</f>
        <v/>
      </c>
      <c r="AJ196" s="328">
        <f>IF(OR(Table2[[#This Row],[Member Type]]="Main Member",Table2[[#This Row],[Main Member Link ID]]=B195),1,0)</f>
        <v>1</v>
      </c>
      <c r="AK196" s="328">
        <f>IF(Table2[[#This Row],[Member Type]]=0,0,
IF(OR(Table2[[#This Row],[Member Type]]="Main Member",Table2[[#This Row],[Main Member Link ID]]&lt;&gt;B196),COUNTIFS(B:B,Table2[[#This Row],[Main Member Link ID]]),
COUNTIFS(B:B,Table2[[#This Row],[Main Member Link ID]],A:A,Table2[[#This Row],[Member Type]])))</f>
        <v>0</v>
      </c>
    </row>
    <row r="197" spans="1:37" x14ac:dyDescent="0.3">
      <c r="A197" s="284">
        <f>Table13[[#This Row],[Member Type]]</f>
        <v>0</v>
      </c>
      <c r="B197" s="284">
        <f>Table13[[#This Row],[Main Member Link ID]]</f>
        <v>0</v>
      </c>
      <c r="C197" s="284">
        <f>Table13[[#This Row],[ID Number]]</f>
        <v>0</v>
      </c>
      <c r="D197" s="285">
        <f>Table13[[#This Row],[Date Of Birth]]</f>
        <v>0</v>
      </c>
      <c r="E197" s="285">
        <f>Table13[[#This Row],[Commencement Date]]</f>
        <v>0</v>
      </c>
      <c r="F197" s="284">
        <f t="shared" ref="F197:F260" si="21">IF(D197="","",
IF(OR($A197="Main Member",$A197="Spouse",$A197="Child"),IFERROR(IF((IF($D197="",-1,DATEDIF($D197,$E197,"Y"))+1)&gt;75,"Max age",IF($D197="",-1,DATEDIF($D197,$E197,"Y"))+1),FALSE),
IFERROR(IF((IF($D197="",-1,DATEDIF($D197,$E197,"Y"))+1)&gt;75,"Max age",IF($D197="",-1,DATEDIF($D197,$E197,"Y"))+1),FALSE)))</f>
        <v>1</v>
      </c>
      <c r="G197" s="284">
        <f t="shared" ref="G197:G260" si="22">IF(F197="","",
IF(F197="Max age","Max age",
IF(OR($A197="Main Member",$A197="Spouse",$A197="Child"),IF($F197=0,"",IF($F197&lt;26,25,IF($F197&lt;36,35,IF($F197&lt;46,45,IF($F197&lt;51,50,IF($F197&lt;56,55,IF($F197&lt;61,60,IF($F197&lt;66,65,IF($F197&lt;71,70,IF($F197&lt;76,75)))))))))),
IF($F197=0,"",IF($F197&lt;26,25,IF($F197&lt;36,35,IF($F197&lt;46,45,IF($F197&lt;51,50,IF($F197&lt;56,55,IF($F197&lt;61,60,IF($F197&lt;66,65,IF($F197&lt;71,70,IF($F197&lt;76,75)))))))))))))</f>
        <v>25</v>
      </c>
      <c r="H197" s="286">
        <f>Table13[[#This Row],[Product Option]]</f>
        <v>0</v>
      </c>
      <c r="I197" s="284">
        <f>IF(AND($A197="Main Member",Table2[[#This Row],[Product Option]]="My Value Plus Life"),"MM_LIFE",
IF(AND($A197="Spouse",Table2[[#This Row],[Product Option]]="My Value Plus Life"),"SP_LIFE",
IF(AND($A197="Main Member",Table2[[#This Row],[Product Option]]="My Value Plus Life &amp; Funeral"),"MM_LIFE",
IF(AND($A197="Spouse",Table2[[#This Row],[Product Option]]="My Value Plus Life &amp; Funeral"),_xlfn.XLOOKUP(Table2[[#This Row],[Benefit Name]],Lookups!$D$18:$D$23,Lookups!$E$18:$E$23,0),
0))))</f>
        <v>0</v>
      </c>
      <c r="J197" s="284">
        <f>IF($I197="","",
IF($I197="MM_LIFE",INDEX('Quotation Tool'!$S$54:$V$60,MATCH($T197,'Quotation Tool'!$S$54:$S$60,0),4),
IF($I197="SP_LIFE",_xlfn.XLOOKUP(B196,$B:$B,$J:$J,0),0)))</f>
        <v>0</v>
      </c>
      <c r="K197" s="287">
        <f t="shared" ca="1" si="19"/>
        <v>0</v>
      </c>
      <c r="L197" s="288">
        <f t="shared" ca="1" si="20"/>
        <v>0</v>
      </c>
      <c r="M197" s="289">
        <f t="shared" ref="M197:M260" ca="1" si="23">K197+L197/1000*W197</f>
        <v>0</v>
      </c>
      <c r="N197" s="286">
        <f>Table13[[#This Row],[Benefit Option]]</f>
        <v>0</v>
      </c>
      <c r="O197" s="284">
        <f>IF(OR(Table2[[#This Row],[Member Type]]="Spouse",Table2[[#This Row],[Member Type]]="Child"),0,
IF(_xlfn.XLOOKUP($N197,Lookups!$D$13:$D$27,Lookups!$F$13:$F$27,0)=Table2[[#This Row],[Table Lookup for Life Cover]],0,
_xlfn.XLOOKUP($N197,Lookups!$D$13:$D$27,Lookups!$F$13:$F$27,0)))</f>
        <v>0</v>
      </c>
      <c r="P197" s="284">
        <f>IF(Table2[[#This Row],[Table Lookup for Funeral]]=0,0,IFERROR(INDEX('Quotation Tool'!$S$54:$V$60,MATCH($T197,'Quotation Tool'!$S$54:$S$60,0),3),0))</f>
        <v>0</v>
      </c>
      <c r="Q197" s="288">
        <f ca="1">IF(OR(Table2[[#This Row],[Benefit Name]]="My Value Plus Life - Main Member",Table2[[#This Row],[Benefit Name]]="My Value Plus Life - Spouse"),0,
IFERROR(VLOOKUP($G197,INDIRECT($O197),$P197,FALSE),0))</f>
        <v>0</v>
      </c>
      <c r="R197" s="288">
        <f ca="1">IF(OR(Table2[[#This Row],[Benefit Name]]="My Value Plus Life - Main Member",Table2[[#This Row],[Benefit Name]]="My Value Plus Life - Spouse"),0,
IFERROR(VLOOKUP($G197,INDIRECT($O197),$P197+1,FALSE),0))</f>
        <v>0</v>
      </c>
      <c r="S197" s="289">
        <f t="shared" ref="S197:S260" ca="1" si="24">Q197+R197/1000*X197</f>
        <v>0</v>
      </c>
      <c r="T197" s="284" t="str">
        <f>IF(Table13[[#This Row],[Premium Waiver]]="","None",Table13[[#This Row],[Premium Waiver]])</f>
        <v>None</v>
      </c>
      <c r="U197" s="284">
        <f>Table13[[#This Row],[VAPs Options]]</f>
        <v>0</v>
      </c>
      <c r="V197" s="284">
        <f>Table13[[#This Row],[Annual Increase Option]]</f>
        <v>0</v>
      </c>
      <c r="W197" s="290">
        <f>Table13[[#This Row],[Life Cover Amount]]</f>
        <v>0</v>
      </c>
      <c r="X197" s="290">
        <f>Table13[[#This Row],[Funeral Cover Amount]]</f>
        <v>0</v>
      </c>
      <c r="Y19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9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97" s="301">
        <f t="shared" ref="AA197:AA260" ca="1" si="25">S197+M197</f>
        <v>0</v>
      </c>
      <c r="AB197" s="298"/>
      <c r="AC197" s="326" t="str">
        <f>IF(Table2[[#This Row],[Member Type]]="Main Member",Lookups!$C$13,
IF(Table2[[#This Row],[Member Type]]="Spouse",_xlfn.XLOOKUP(B197,Table2[Main Member Link ID],Table2[Product Option],0),
IF(AND(Table2[[#This Row],[Member Type]]="Child",_xlfn.XLOOKUP(B197,Table2[Main Member Link ID],Table2[Product Option],0)&lt;&gt;"My Value Plus Life"),Lookups!$C$24,
IF(AND(OR(Table2[[#This Row],[Member Type]]="Parent",Table2[[#This Row],[Member Type]]="Extended"),_xlfn.XLOOKUP(B197,Table2[Main Member Link ID],Table2[Product Option],0)&lt;&gt;"My Value Plus Life"),Lookups!$C$26,""))))</f>
        <v/>
      </c>
      <c r="AD197" s="326" t="str">
        <f>IF(Table2[[#This Row],[Member Type]]="Main Member",Lookups!$C$14,"")</f>
        <v/>
      </c>
      <c r="AE19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Funeral",_xlfn.XLOOKUP(B197,Table2[Main Member Link ID],Table2[Benefit Name],0)=Lookups!$D$14),"",
IF(AND(Table2[[#This Row],[Member Type]]="Spouse",Table2[[#This Row],[Product Option]]="My Value Plus Life &amp; Funeral",_xlfn.XLOOKUP(B196,Table2[Main Member Link ID],Table2[Benefit Name],0)=Lookups!$D$15),Lookups!$D$20,
IF(AND(Table2[[#This Row],[Member Type]]="Spouse",Table2[[#This Row],[Product Option]]="My Value Plus Life &amp; Funeral",_xlfn.XLOOKUP(B196,Table2[Main Member Link ID],Table2[Benefit Name],0)=Lookups!$D$16),"",
IF(AND(Table2[[#This Row],[Member Type]]="Spouse",Table2[[#This Row],[Product Option]]="My Value Plus Life &amp; Funeral",_xlfn.XLOOKUP(B196,Table2[Main Member Link ID],Table2[Benefit Name],0)=Lookups!$D$17),Lookups!$D$21,
IF(AND(Table2[[#This Row],[Member Type]]="Child",Table2[[#This Row],[Product Option]]="My Value Plus Life &amp; Funeral",_xlfn.XLOOKUP(B197,Table2[Main Member Link ID],Table2[Benefit Name],0)=Lookups!$D$14),"",
IF(AND(Table2[[#This Row],[Member Type]]="Child",Table2[[#This Row],[Product Option]]="My Value Plus Life &amp; Funeral",_xlfn.XLOOKUP(B197,Table2[Main Member Link ID],Table2[Benefit Name],0)=Lookups!$D$15),"",
IF(AND(Table2[[#This Row],[Member Type]]="Child",Table2[[#This Row],[Product Option]]="My Value Plus Life &amp; Funeral",_xlfn.XLOOKUP(B197,Table2[Main Member Link ID],Table2[Benefit Name],0)=Lookups!$D$16),Lookups!$D$24,
IF(AND(Table2[[#This Row],[Member Type]]="Child",Table2[[#This Row],[Product Option]]="My Value Plus Life &amp; Funeral",_xlfn.XLOOKUP(B197,Table2[Main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Funeral",_xlfn.XLOOKUP(B197,Table2[Main Member Link ID],Table2[Benefit Name],0)&lt;&gt;Lookups!$D$14),
IF(_xlfn.XLOOKUP(B197,Table2[Main Member Link ID],Table2[Benefit Name],0)=0,"",_xlfn.XLOOKUP(B197,Table2[Main Member Link ID],Table2[Benefit Name],0)),"")))))))))))))))</f>
        <v/>
      </c>
      <c r="AF197" s="327" t="str">
        <f>IF(AND(Table2[[#This Row],[Member Type]]="Main Member",Table2[[#This Row],[Product Option]]="My Value Plus Life &amp; Funeral"),Lookups!$D$15,
IF(AND(Table2[[#This Row],[Member Type]]="Spouse",Table2[[#This Row],[Product Option]]="My Value Plus Life &amp; Funeral",_xlfn.XLOOKUP(B197,Table2[Main Member Link ID],Table2[Benefit Name],0)=Lookups!$D$14),"",
IF(AND(Table2[[#This Row],[Member Type]]="Spouse",Table2[[#This Row],[Product Option]]="My Value Plus Life &amp; Funeral",_xlfn.XLOOKUP(B196,Table2[Main Member Link ID],Table2[Benefit Name],0)=Lookups!$D$16),"",
IF(AND(Table2[[#This Row],[Member Type]]="Spouse",Table2[[#This Row],[Product Option]]="My Value Plus Life &amp; Funeral",_xlfn.XLOOKUP(B196,Table2[Main Member Link ID],Table2[Benefit Name],0)=Lookups!$D$15),"",
IF(AND(Table2[[#This Row],[Member Type]]="Spouse",Table2[[#This Row],[Product Option]]="My Value Plus Life &amp; Funeral",_xlfn.XLOOKUP(B196,Table2[Main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Funeral",_xlfn.XLOOKUP(B197,Table2[Main Member Link ID],Table2[Benefit Name],0)&lt;&gt;Lookups!$D$15),
IF(_xlfn.XLOOKUP(B197,Table2[Main Member Link ID],Table2[Benefit Name],0)=0,"",_xlfn.XLOOKUP(B197,Table2[Main Member Link ID],Table2[Benefit Name],0)),"")
))))))</f>
        <v/>
      </c>
      <c r="AG197" s="327" t="str">
        <f>IF(AND(Table2[[#This Row],[Member Type]]="Main Member",Table2[[#This Row],[Product Option]]="My Value Plus Life &amp; Funeral"),Lookups!$D$16,
IF(AND(Table2[[#This Row],[Member Type]]="Spouse",Table2[[#This Row],[Product Option]]="My Value Plus Life &amp; Funeral",_xlfn.XLOOKUP(B197,Table2[Main Member Link ID],Table2[Benefit Name],0)=Lookups!$D$14),"",
IF(AND(Table2[[#This Row],[Member Type]]="Spouse",Table2[[#This Row],[Product Option]]="My Value Plus Life &amp; Funeral",_xlfn.XLOOKUP(B196,Table2[Main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Funeral",_xlfn.XLOOKUP(B197,Table2[Main Member Link ID],Table2[Benefit Name],0)&lt;&gt;Lookups!$D$16),
IF(_xlfn.XLOOKUP(B197,Table2[Main Member Link ID],Table2[Benefit Name],0)=0,"",_xlfn.XLOOKUP(B197,Table2[Main Member Link ID],Table2[Benefit Name],0)),"")
))))</f>
        <v/>
      </c>
      <c r="AH197" s="327" t="str">
        <f>IF(AND(Table2[[#This Row],[Member Type]]="Main Member",Table2[[#This Row],[Product Option]]="My Value Plus Life &amp; Funeral"),Lookups!$D$17,
IF(AND(Table2[[#This Row],[Member Type]]="Spouse",Table2[[#This Row],[Product Option]]="My Value Plus Life &amp; Funeral",_xlfn.XLOOKUP(B197,Table2[Main Member Link ID],Table2[Benefit Name],0)=Lookups!$D$14),"",
IF(AND(Table2[[#This Row],[Member Type]]="Spouse",Table2[[#This Row],[Product Option]]="My Value Plus Life &amp; Funeral",_xlfn.XLOOKUP(B196,Table2[Main Member Link ID],Table2[Benefit Name],0)=Lookups!$D$16),"",
IF(AND(Table2[[#This Row],[Member Type]]="Child",Table2[[#This Row],[Product Option]]="My Value Plus Life &amp; Funeral"),"",
IF(AND(Table2[[#This Row],[Member Type]]="Child",Table2[[#This Row],[Product Option]]="My Value Plus Life &amp; Funeral",_xlfn.XLOOKUP(B197,Table2[Main Member Link ID],Table2[Benefit Name],0)=Lookups!$D$15),"",
IF(AND(OR(Table2[[#This Row],[Member Type]]="Spouse",Table2[[#This Row],[Member Type]]="Child"),Table2[[#This Row],[Product Option]]="My Value Plus Life &amp; Funeral",_xlfn.XLOOKUP(B197,Table2[Main Member Link ID],Table2[Benefit Name],0)&lt;&gt;Lookups!$D$17),
IF(_xlfn.XLOOKUP(B197,Table2[Main Member Link ID],Table2[Benefit Name],0)=0,"",_xlfn.XLOOKUP(B197,Table2[Main Member Link ID],Table2[Benefit Name],0)),""))))))</f>
        <v/>
      </c>
      <c r="AI197" s="328" t="str">
        <f>IF(AND(Table2[[#This Row],[Member Type]]="Main Member",Table2[[#This Row],[Table Lookup for Life Cover]]="MM_LIFE",Table2[[#This Row],[Age Next Birthday]]&lt;56),1,
IF(AND(Table2[[#This Row],[Member Type]]="Main Member",Table2[[#This Row],[Table Lookup for Life Cover]]="MM_LIFE",Table2[[#This Row],[Age Next Birthday]]&gt;=56),2,
""))</f>
        <v/>
      </c>
      <c r="AJ197" s="328">
        <f>IF(OR(Table2[[#This Row],[Member Type]]="Main Member",Table2[[#This Row],[Main Member Link ID]]=B196),1,0)</f>
        <v>1</v>
      </c>
      <c r="AK197" s="328">
        <f>IF(Table2[[#This Row],[Member Type]]=0,0,
IF(OR(Table2[[#This Row],[Member Type]]="Main Member",Table2[[#This Row],[Main Member Link ID]]&lt;&gt;B197),COUNTIFS(B:B,Table2[[#This Row],[Main Member Link ID]]),
COUNTIFS(B:B,Table2[[#This Row],[Main Member Link ID]],A:A,Table2[[#This Row],[Member Type]])))</f>
        <v>0</v>
      </c>
    </row>
    <row r="198" spans="1:37" x14ac:dyDescent="0.3">
      <c r="A198" s="284">
        <f>Table13[[#This Row],[Member Type]]</f>
        <v>0</v>
      </c>
      <c r="B198" s="284">
        <f>Table13[[#This Row],[Main Member Link ID]]</f>
        <v>0</v>
      </c>
      <c r="C198" s="284">
        <f>Table13[[#This Row],[ID Number]]</f>
        <v>0</v>
      </c>
      <c r="D198" s="285">
        <f>Table13[[#This Row],[Date Of Birth]]</f>
        <v>0</v>
      </c>
      <c r="E198" s="285">
        <f>Table13[[#This Row],[Commencement Date]]</f>
        <v>0</v>
      </c>
      <c r="F198" s="284">
        <f t="shared" si="21"/>
        <v>1</v>
      </c>
      <c r="G198" s="284">
        <f t="shared" si="22"/>
        <v>25</v>
      </c>
      <c r="H198" s="286">
        <f>Table13[[#This Row],[Product Option]]</f>
        <v>0</v>
      </c>
      <c r="I198" s="284">
        <f>IF(AND($A198="Main Member",Table2[[#This Row],[Product Option]]="My Value Plus Life"),"MM_LIFE",
IF(AND($A198="Spouse",Table2[[#This Row],[Product Option]]="My Value Plus Life"),"SP_LIFE",
IF(AND($A198="Main Member",Table2[[#This Row],[Product Option]]="My Value Plus Life &amp; Funeral"),"MM_LIFE",
IF(AND($A198="Spouse",Table2[[#This Row],[Product Option]]="My Value Plus Life &amp; Funeral"),_xlfn.XLOOKUP(Table2[[#This Row],[Benefit Name]],Lookups!$D$18:$D$23,Lookups!$E$18:$E$23,0),
0))))</f>
        <v>0</v>
      </c>
      <c r="J198" s="284">
        <f>IF($I198="","",
IF($I198="MM_LIFE",INDEX('Quotation Tool'!$S$54:$V$60,MATCH($T198,'Quotation Tool'!$S$54:$S$60,0),4),
IF($I198="SP_LIFE",_xlfn.XLOOKUP(B197,$B:$B,$J:$J,0),0)))</f>
        <v>0</v>
      </c>
      <c r="K198" s="287">
        <f t="shared" ref="K198:K261" ca="1" si="26">IFERROR(VLOOKUP($G198,INDIRECT($I198),$J198,FALSE),0)</f>
        <v>0</v>
      </c>
      <c r="L198" s="288">
        <f t="shared" ref="L198:L261" ca="1" si="27">IFERROR(VLOOKUP($G198,INDIRECT($I198),$J198+1,FALSE),0)</f>
        <v>0</v>
      </c>
      <c r="M198" s="289">
        <f t="shared" ca="1" si="23"/>
        <v>0</v>
      </c>
      <c r="N198" s="286">
        <f>Table13[[#This Row],[Benefit Option]]</f>
        <v>0</v>
      </c>
      <c r="O198" s="284">
        <f>IF(OR(Table2[[#This Row],[Member Type]]="Spouse",Table2[[#This Row],[Member Type]]="Child"),0,
IF(_xlfn.XLOOKUP($N198,Lookups!$D$13:$D$27,Lookups!$F$13:$F$27,0)=Table2[[#This Row],[Table Lookup for Life Cover]],0,
_xlfn.XLOOKUP($N198,Lookups!$D$13:$D$27,Lookups!$F$13:$F$27,0)))</f>
        <v>0</v>
      </c>
      <c r="P198" s="284">
        <f>IF(Table2[[#This Row],[Table Lookup for Funeral]]=0,0,IFERROR(INDEX('Quotation Tool'!$S$54:$V$60,MATCH($T198,'Quotation Tool'!$S$54:$S$60,0),3),0))</f>
        <v>0</v>
      </c>
      <c r="Q198" s="288">
        <f ca="1">IF(OR(Table2[[#This Row],[Benefit Name]]="My Value Plus Life - Main Member",Table2[[#This Row],[Benefit Name]]="My Value Plus Life - Spouse"),0,
IFERROR(VLOOKUP($G198,INDIRECT($O198),$P198,FALSE),0))</f>
        <v>0</v>
      </c>
      <c r="R198" s="288">
        <f ca="1">IF(OR(Table2[[#This Row],[Benefit Name]]="My Value Plus Life - Main Member",Table2[[#This Row],[Benefit Name]]="My Value Plus Life - Spouse"),0,
IFERROR(VLOOKUP($G198,INDIRECT($O198),$P198+1,FALSE),0))</f>
        <v>0</v>
      </c>
      <c r="S198" s="289">
        <f t="shared" ca="1" si="24"/>
        <v>0</v>
      </c>
      <c r="T198" s="284" t="str">
        <f>IF(Table13[[#This Row],[Premium Waiver]]="","None",Table13[[#This Row],[Premium Waiver]])</f>
        <v>None</v>
      </c>
      <c r="U198" s="284">
        <f>Table13[[#This Row],[VAPs Options]]</f>
        <v>0</v>
      </c>
      <c r="V198" s="284">
        <f>Table13[[#This Row],[Annual Increase Option]]</f>
        <v>0</v>
      </c>
      <c r="W198" s="290">
        <f>Table13[[#This Row],[Life Cover Amount]]</f>
        <v>0</v>
      </c>
      <c r="X198" s="290">
        <f>Table13[[#This Row],[Funeral Cover Amount]]</f>
        <v>0</v>
      </c>
      <c r="Y19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9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98" s="301">
        <f t="shared" ca="1" si="25"/>
        <v>0</v>
      </c>
      <c r="AB198" s="298"/>
      <c r="AC198" s="326" t="str">
        <f>IF(Table2[[#This Row],[Member Type]]="Main Member",Lookups!$C$13,
IF(Table2[[#This Row],[Member Type]]="Spouse",_xlfn.XLOOKUP(B198,Table2[Main Member Link ID],Table2[Product Option],0),
IF(AND(Table2[[#This Row],[Member Type]]="Child",_xlfn.XLOOKUP(B198,Table2[Main Member Link ID],Table2[Product Option],0)&lt;&gt;"My Value Plus Life"),Lookups!$C$24,
IF(AND(OR(Table2[[#This Row],[Member Type]]="Parent",Table2[[#This Row],[Member Type]]="Extended"),_xlfn.XLOOKUP(B198,Table2[Main Member Link ID],Table2[Product Option],0)&lt;&gt;"My Value Plus Life"),Lookups!$C$26,""))))</f>
        <v/>
      </c>
      <c r="AD198" s="326" t="str">
        <f>IF(Table2[[#This Row],[Member Type]]="Main Member",Lookups!$C$14,"")</f>
        <v/>
      </c>
      <c r="AE19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Funeral",_xlfn.XLOOKUP(B198,Table2[Main Member Link ID],Table2[Benefit Name],0)=Lookups!$D$14),"",
IF(AND(Table2[[#This Row],[Member Type]]="Spouse",Table2[[#This Row],[Product Option]]="My Value Plus Life &amp; Funeral",_xlfn.XLOOKUP(B197,Table2[Main Member Link ID],Table2[Benefit Name],0)=Lookups!$D$15),Lookups!$D$20,
IF(AND(Table2[[#This Row],[Member Type]]="Spouse",Table2[[#This Row],[Product Option]]="My Value Plus Life &amp; Funeral",_xlfn.XLOOKUP(B197,Table2[Main Member Link ID],Table2[Benefit Name],0)=Lookups!$D$16),"",
IF(AND(Table2[[#This Row],[Member Type]]="Spouse",Table2[[#This Row],[Product Option]]="My Value Plus Life &amp; Funeral",_xlfn.XLOOKUP(B197,Table2[Main Member Link ID],Table2[Benefit Name],0)=Lookups!$D$17),Lookups!$D$21,
IF(AND(Table2[[#This Row],[Member Type]]="Child",Table2[[#This Row],[Product Option]]="My Value Plus Life &amp; Funeral",_xlfn.XLOOKUP(B198,Table2[Main Member Link ID],Table2[Benefit Name],0)=Lookups!$D$14),"",
IF(AND(Table2[[#This Row],[Member Type]]="Child",Table2[[#This Row],[Product Option]]="My Value Plus Life &amp; Funeral",_xlfn.XLOOKUP(B198,Table2[Main Member Link ID],Table2[Benefit Name],0)=Lookups!$D$15),"",
IF(AND(Table2[[#This Row],[Member Type]]="Child",Table2[[#This Row],[Product Option]]="My Value Plus Life &amp; Funeral",_xlfn.XLOOKUP(B198,Table2[Main Member Link ID],Table2[Benefit Name],0)=Lookups!$D$16),Lookups!$D$24,
IF(AND(Table2[[#This Row],[Member Type]]="Child",Table2[[#This Row],[Product Option]]="My Value Plus Life &amp; Funeral",_xlfn.XLOOKUP(B198,Table2[Main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Funeral",_xlfn.XLOOKUP(B198,Table2[Main Member Link ID],Table2[Benefit Name],0)&lt;&gt;Lookups!$D$14),
IF(_xlfn.XLOOKUP(B198,Table2[Main Member Link ID],Table2[Benefit Name],0)=0,"",_xlfn.XLOOKUP(B198,Table2[Main Member Link ID],Table2[Benefit Name],0)),"")))))))))))))))</f>
        <v/>
      </c>
      <c r="AF198" s="327" t="str">
        <f>IF(AND(Table2[[#This Row],[Member Type]]="Main Member",Table2[[#This Row],[Product Option]]="My Value Plus Life &amp; Funeral"),Lookups!$D$15,
IF(AND(Table2[[#This Row],[Member Type]]="Spouse",Table2[[#This Row],[Product Option]]="My Value Plus Life &amp; Funeral",_xlfn.XLOOKUP(B198,Table2[Main Member Link ID],Table2[Benefit Name],0)=Lookups!$D$14),"",
IF(AND(Table2[[#This Row],[Member Type]]="Spouse",Table2[[#This Row],[Product Option]]="My Value Plus Life &amp; Funeral",_xlfn.XLOOKUP(B197,Table2[Main Member Link ID],Table2[Benefit Name],0)=Lookups!$D$16),"",
IF(AND(Table2[[#This Row],[Member Type]]="Spouse",Table2[[#This Row],[Product Option]]="My Value Plus Life &amp; Funeral",_xlfn.XLOOKUP(B197,Table2[Main Member Link ID],Table2[Benefit Name],0)=Lookups!$D$15),"",
IF(AND(Table2[[#This Row],[Member Type]]="Spouse",Table2[[#This Row],[Product Option]]="My Value Plus Life &amp; Funeral",_xlfn.XLOOKUP(B197,Table2[Main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Funeral",_xlfn.XLOOKUP(B198,Table2[Main Member Link ID],Table2[Benefit Name],0)&lt;&gt;Lookups!$D$15),
IF(_xlfn.XLOOKUP(B198,Table2[Main Member Link ID],Table2[Benefit Name],0)=0,"",_xlfn.XLOOKUP(B198,Table2[Main Member Link ID],Table2[Benefit Name],0)),"")
))))))</f>
        <v/>
      </c>
      <c r="AG198" s="327" t="str">
        <f>IF(AND(Table2[[#This Row],[Member Type]]="Main Member",Table2[[#This Row],[Product Option]]="My Value Plus Life &amp; Funeral"),Lookups!$D$16,
IF(AND(Table2[[#This Row],[Member Type]]="Spouse",Table2[[#This Row],[Product Option]]="My Value Plus Life &amp; Funeral",_xlfn.XLOOKUP(B198,Table2[Main Member Link ID],Table2[Benefit Name],0)=Lookups!$D$14),"",
IF(AND(Table2[[#This Row],[Member Type]]="Spouse",Table2[[#This Row],[Product Option]]="My Value Plus Life &amp; Funeral",_xlfn.XLOOKUP(B197,Table2[Main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Funeral",_xlfn.XLOOKUP(B198,Table2[Main Member Link ID],Table2[Benefit Name],0)&lt;&gt;Lookups!$D$16),
IF(_xlfn.XLOOKUP(B198,Table2[Main Member Link ID],Table2[Benefit Name],0)=0,"",_xlfn.XLOOKUP(B198,Table2[Main Member Link ID],Table2[Benefit Name],0)),"")
))))</f>
        <v/>
      </c>
      <c r="AH198" s="327" t="str">
        <f>IF(AND(Table2[[#This Row],[Member Type]]="Main Member",Table2[[#This Row],[Product Option]]="My Value Plus Life &amp; Funeral"),Lookups!$D$17,
IF(AND(Table2[[#This Row],[Member Type]]="Spouse",Table2[[#This Row],[Product Option]]="My Value Plus Life &amp; Funeral",_xlfn.XLOOKUP(B198,Table2[Main Member Link ID],Table2[Benefit Name],0)=Lookups!$D$14),"",
IF(AND(Table2[[#This Row],[Member Type]]="Spouse",Table2[[#This Row],[Product Option]]="My Value Plus Life &amp; Funeral",_xlfn.XLOOKUP(B197,Table2[Main Member Link ID],Table2[Benefit Name],0)=Lookups!$D$16),"",
IF(AND(Table2[[#This Row],[Member Type]]="Child",Table2[[#This Row],[Product Option]]="My Value Plus Life &amp; Funeral"),"",
IF(AND(Table2[[#This Row],[Member Type]]="Child",Table2[[#This Row],[Product Option]]="My Value Plus Life &amp; Funeral",_xlfn.XLOOKUP(B198,Table2[Main Member Link ID],Table2[Benefit Name],0)=Lookups!$D$15),"",
IF(AND(OR(Table2[[#This Row],[Member Type]]="Spouse",Table2[[#This Row],[Member Type]]="Child"),Table2[[#This Row],[Product Option]]="My Value Plus Life &amp; Funeral",_xlfn.XLOOKUP(B198,Table2[Main Member Link ID],Table2[Benefit Name],0)&lt;&gt;Lookups!$D$17),
IF(_xlfn.XLOOKUP(B198,Table2[Main Member Link ID],Table2[Benefit Name],0)=0,"",_xlfn.XLOOKUP(B198,Table2[Main Member Link ID],Table2[Benefit Name],0)),""))))))</f>
        <v/>
      </c>
      <c r="AI198" s="328" t="str">
        <f>IF(AND(Table2[[#This Row],[Member Type]]="Main Member",Table2[[#This Row],[Table Lookup for Life Cover]]="MM_LIFE",Table2[[#This Row],[Age Next Birthday]]&lt;56),1,
IF(AND(Table2[[#This Row],[Member Type]]="Main Member",Table2[[#This Row],[Table Lookup for Life Cover]]="MM_LIFE",Table2[[#This Row],[Age Next Birthday]]&gt;=56),2,
""))</f>
        <v/>
      </c>
      <c r="AJ198" s="328">
        <f>IF(OR(Table2[[#This Row],[Member Type]]="Main Member",Table2[[#This Row],[Main Member Link ID]]=B197),1,0)</f>
        <v>1</v>
      </c>
      <c r="AK198" s="328">
        <f>IF(Table2[[#This Row],[Member Type]]=0,0,
IF(OR(Table2[[#This Row],[Member Type]]="Main Member",Table2[[#This Row],[Main Member Link ID]]&lt;&gt;B198),COUNTIFS(B:B,Table2[[#This Row],[Main Member Link ID]]),
COUNTIFS(B:B,Table2[[#This Row],[Main Member Link ID]],A:A,Table2[[#This Row],[Member Type]])))</f>
        <v>0</v>
      </c>
    </row>
    <row r="199" spans="1:37" x14ac:dyDescent="0.3">
      <c r="A199" s="284">
        <f>Table13[[#This Row],[Member Type]]</f>
        <v>0</v>
      </c>
      <c r="B199" s="284">
        <f>Table13[[#This Row],[Main Member Link ID]]</f>
        <v>0</v>
      </c>
      <c r="C199" s="284">
        <f>Table13[[#This Row],[ID Number]]</f>
        <v>0</v>
      </c>
      <c r="D199" s="285">
        <f>Table13[[#This Row],[Date Of Birth]]</f>
        <v>0</v>
      </c>
      <c r="E199" s="285">
        <f>Table13[[#This Row],[Commencement Date]]</f>
        <v>0</v>
      </c>
      <c r="F199" s="284">
        <f t="shared" si="21"/>
        <v>1</v>
      </c>
      <c r="G199" s="284">
        <f t="shared" si="22"/>
        <v>25</v>
      </c>
      <c r="H199" s="286">
        <f>Table13[[#This Row],[Product Option]]</f>
        <v>0</v>
      </c>
      <c r="I199" s="284">
        <f>IF(AND($A199="Main Member",Table2[[#This Row],[Product Option]]="My Value Plus Life"),"MM_LIFE",
IF(AND($A199="Spouse",Table2[[#This Row],[Product Option]]="My Value Plus Life"),"SP_LIFE",
IF(AND($A199="Main Member",Table2[[#This Row],[Product Option]]="My Value Plus Life &amp; Funeral"),"MM_LIFE",
IF(AND($A199="Spouse",Table2[[#This Row],[Product Option]]="My Value Plus Life &amp; Funeral"),_xlfn.XLOOKUP(Table2[[#This Row],[Benefit Name]],Lookups!$D$18:$D$23,Lookups!$E$18:$E$23,0),
0))))</f>
        <v>0</v>
      </c>
      <c r="J199" s="284">
        <f>IF($I199="","",
IF($I199="MM_LIFE",INDEX('Quotation Tool'!$S$54:$V$60,MATCH($T199,'Quotation Tool'!$S$54:$S$60,0),4),
IF($I199="SP_LIFE",_xlfn.XLOOKUP(B198,$B:$B,$J:$J,0),0)))</f>
        <v>0</v>
      </c>
      <c r="K199" s="287">
        <f t="shared" ca="1" si="26"/>
        <v>0</v>
      </c>
      <c r="L199" s="288">
        <f t="shared" ca="1" si="27"/>
        <v>0</v>
      </c>
      <c r="M199" s="289">
        <f t="shared" ca="1" si="23"/>
        <v>0</v>
      </c>
      <c r="N199" s="286">
        <f>Table13[[#This Row],[Benefit Option]]</f>
        <v>0</v>
      </c>
      <c r="O199" s="284">
        <f>IF(OR(Table2[[#This Row],[Member Type]]="Spouse",Table2[[#This Row],[Member Type]]="Child"),0,
IF(_xlfn.XLOOKUP($N199,Lookups!$D$13:$D$27,Lookups!$F$13:$F$27,0)=Table2[[#This Row],[Table Lookup for Life Cover]],0,
_xlfn.XLOOKUP($N199,Lookups!$D$13:$D$27,Lookups!$F$13:$F$27,0)))</f>
        <v>0</v>
      </c>
      <c r="P199" s="284">
        <f>IF(Table2[[#This Row],[Table Lookup for Funeral]]=0,0,IFERROR(INDEX('Quotation Tool'!$S$54:$V$60,MATCH($T199,'Quotation Tool'!$S$54:$S$60,0),3),0))</f>
        <v>0</v>
      </c>
      <c r="Q199" s="288">
        <f ca="1">IF(OR(Table2[[#This Row],[Benefit Name]]="My Value Plus Life - Main Member",Table2[[#This Row],[Benefit Name]]="My Value Plus Life - Spouse"),0,
IFERROR(VLOOKUP($G199,INDIRECT($O199),$P199,FALSE),0))</f>
        <v>0</v>
      </c>
      <c r="R199" s="288">
        <f ca="1">IF(OR(Table2[[#This Row],[Benefit Name]]="My Value Plus Life - Main Member",Table2[[#This Row],[Benefit Name]]="My Value Plus Life - Spouse"),0,
IFERROR(VLOOKUP($G199,INDIRECT($O199),$P199+1,FALSE),0))</f>
        <v>0</v>
      </c>
      <c r="S199" s="289">
        <f t="shared" ca="1" si="24"/>
        <v>0</v>
      </c>
      <c r="T199" s="284" t="str">
        <f>IF(Table13[[#This Row],[Premium Waiver]]="","None",Table13[[#This Row],[Premium Waiver]])</f>
        <v>None</v>
      </c>
      <c r="U199" s="284">
        <f>Table13[[#This Row],[VAPs Options]]</f>
        <v>0</v>
      </c>
      <c r="V199" s="284">
        <f>Table13[[#This Row],[Annual Increase Option]]</f>
        <v>0</v>
      </c>
      <c r="W199" s="290">
        <f>Table13[[#This Row],[Life Cover Amount]]</f>
        <v>0</v>
      </c>
      <c r="X199" s="290">
        <f>Table13[[#This Row],[Funeral Cover Amount]]</f>
        <v>0</v>
      </c>
      <c r="Y19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19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199" s="301">
        <f t="shared" ca="1" si="25"/>
        <v>0</v>
      </c>
      <c r="AB199" s="298"/>
      <c r="AC199" s="326" t="str">
        <f>IF(Table2[[#This Row],[Member Type]]="Main Member",Lookups!$C$13,
IF(Table2[[#This Row],[Member Type]]="Spouse",_xlfn.XLOOKUP(B199,Table2[Main Member Link ID],Table2[Product Option],0),
IF(AND(Table2[[#This Row],[Member Type]]="Child",_xlfn.XLOOKUP(B199,Table2[Main Member Link ID],Table2[Product Option],0)&lt;&gt;"My Value Plus Life"),Lookups!$C$24,
IF(AND(OR(Table2[[#This Row],[Member Type]]="Parent",Table2[[#This Row],[Member Type]]="Extended"),_xlfn.XLOOKUP(B199,Table2[Main Member Link ID],Table2[Product Option],0)&lt;&gt;"My Value Plus Life"),Lookups!$C$26,""))))</f>
        <v/>
      </c>
      <c r="AD199" s="326" t="str">
        <f>IF(Table2[[#This Row],[Member Type]]="Main Member",Lookups!$C$14,"")</f>
        <v/>
      </c>
      <c r="AE19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Funeral",_xlfn.XLOOKUP(B199,Table2[Main Member Link ID],Table2[Benefit Name],0)=Lookups!$D$14),"",
IF(AND(Table2[[#This Row],[Member Type]]="Spouse",Table2[[#This Row],[Product Option]]="My Value Plus Life &amp; Funeral",_xlfn.XLOOKUP(B198,Table2[Main Member Link ID],Table2[Benefit Name],0)=Lookups!$D$15),Lookups!$D$20,
IF(AND(Table2[[#This Row],[Member Type]]="Spouse",Table2[[#This Row],[Product Option]]="My Value Plus Life &amp; Funeral",_xlfn.XLOOKUP(B198,Table2[Main Member Link ID],Table2[Benefit Name],0)=Lookups!$D$16),"",
IF(AND(Table2[[#This Row],[Member Type]]="Spouse",Table2[[#This Row],[Product Option]]="My Value Plus Life &amp; Funeral",_xlfn.XLOOKUP(B198,Table2[Main Member Link ID],Table2[Benefit Name],0)=Lookups!$D$17),Lookups!$D$21,
IF(AND(Table2[[#This Row],[Member Type]]="Child",Table2[[#This Row],[Product Option]]="My Value Plus Life &amp; Funeral",_xlfn.XLOOKUP(B199,Table2[Main Member Link ID],Table2[Benefit Name],0)=Lookups!$D$14),"",
IF(AND(Table2[[#This Row],[Member Type]]="Child",Table2[[#This Row],[Product Option]]="My Value Plus Life &amp; Funeral",_xlfn.XLOOKUP(B199,Table2[Main Member Link ID],Table2[Benefit Name],0)=Lookups!$D$15),"",
IF(AND(Table2[[#This Row],[Member Type]]="Child",Table2[[#This Row],[Product Option]]="My Value Plus Life &amp; Funeral",_xlfn.XLOOKUP(B199,Table2[Main Member Link ID],Table2[Benefit Name],0)=Lookups!$D$16),Lookups!$D$24,
IF(AND(Table2[[#This Row],[Member Type]]="Child",Table2[[#This Row],[Product Option]]="My Value Plus Life &amp; Funeral",_xlfn.XLOOKUP(B199,Table2[Main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Funeral",_xlfn.XLOOKUP(B199,Table2[Main Member Link ID],Table2[Benefit Name],0)&lt;&gt;Lookups!$D$14),
IF(_xlfn.XLOOKUP(B199,Table2[Main Member Link ID],Table2[Benefit Name],0)=0,"",_xlfn.XLOOKUP(B199,Table2[Main Member Link ID],Table2[Benefit Name],0)),"")))))))))))))))</f>
        <v/>
      </c>
      <c r="AF199" s="327" t="str">
        <f>IF(AND(Table2[[#This Row],[Member Type]]="Main Member",Table2[[#This Row],[Product Option]]="My Value Plus Life &amp; Funeral"),Lookups!$D$15,
IF(AND(Table2[[#This Row],[Member Type]]="Spouse",Table2[[#This Row],[Product Option]]="My Value Plus Life &amp; Funeral",_xlfn.XLOOKUP(B199,Table2[Main Member Link ID],Table2[Benefit Name],0)=Lookups!$D$14),"",
IF(AND(Table2[[#This Row],[Member Type]]="Spouse",Table2[[#This Row],[Product Option]]="My Value Plus Life &amp; Funeral",_xlfn.XLOOKUP(B198,Table2[Main Member Link ID],Table2[Benefit Name],0)=Lookups!$D$16),"",
IF(AND(Table2[[#This Row],[Member Type]]="Spouse",Table2[[#This Row],[Product Option]]="My Value Plus Life &amp; Funeral",_xlfn.XLOOKUP(B198,Table2[Main Member Link ID],Table2[Benefit Name],0)=Lookups!$D$15),"",
IF(AND(Table2[[#This Row],[Member Type]]="Spouse",Table2[[#This Row],[Product Option]]="My Value Plus Life &amp; Funeral",_xlfn.XLOOKUP(B198,Table2[Main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Funeral",_xlfn.XLOOKUP(B199,Table2[Main Member Link ID],Table2[Benefit Name],0)&lt;&gt;Lookups!$D$15),
IF(_xlfn.XLOOKUP(B199,Table2[Main Member Link ID],Table2[Benefit Name],0)=0,"",_xlfn.XLOOKUP(B199,Table2[Main Member Link ID],Table2[Benefit Name],0)),"")
))))))</f>
        <v/>
      </c>
      <c r="AG199" s="327" t="str">
        <f>IF(AND(Table2[[#This Row],[Member Type]]="Main Member",Table2[[#This Row],[Product Option]]="My Value Plus Life &amp; Funeral"),Lookups!$D$16,
IF(AND(Table2[[#This Row],[Member Type]]="Spouse",Table2[[#This Row],[Product Option]]="My Value Plus Life &amp; Funeral",_xlfn.XLOOKUP(B199,Table2[Main Member Link ID],Table2[Benefit Name],0)=Lookups!$D$14),"",
IF(AND(Table2[[#This Row],[Member Type]]="Spouse",Table2[[#This Row],[Product Option]]="My Value Plus Life &amp; Funeral",_xlfn.XLOOKUP(B198,Table2[Main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Funeral",_xlfn.XLOOKUP(B199,Table2[Main Member Link ID],Table2[Benefit Name],0)&lt;&gt;Lookups!$D$16),
IF(_xlfn.XLOOKUP(B199,Table2[Main Member Link ID],Table2[Benefit Name],0)=0,"",_xlfn.XLOOKUP(B199,Table2[Main Member Link ID],Table2[Benefit Name],0)),"")
))))</f>
        <v/>
      </c>
      <c r="AH199" s="327" t="str">
        <f>IF(AND(Table2[[#This Row],[Member Type]]="Main Member",Table2[[#This Row],[Product Option]]="My Value Plus Life &amp; Funeral"),Lookups!$D$17,
IF(AND(Table2[[#This Row],[Member Type]]="Spouse",Table2[[#This Row],[Product Option]]="My Value Plus Life &amp; Funeral",_xlfn.XLOOKUP(B199,Table2[Main Member Link ID],Table2[Benefit Name],0)=Lookups!$D$14),"",
IF(AND(Table2[[#This Row],[Member Type]]="Spouse",Table2[[#This Row],[Product Option]]="My Value Plus Life &amp; Funeral",_xlfn.XLOOKUP(B198,Table2[Main Member Link ID],Table2[Benefit Name],0)=Lookups!$D$16),"",
IF(AND(Table2[[#This Row],[Member Type]]="Child",Table2[[#This Row],[Product Option]]="My Value Plus Life &amp; Funeral"),"",
IF(AND(Table2[[#This Row],[Member Type]]="Child",Table2[[#This Row],[Product Option]]="My Value Plus Life &amp; Funeral",_xlfn.XLOOKUP(B199,Table2[Main Member Link ID],Table2[Benefit Name],0)=Lookups!$D$15),"",
IF(AND(OR(Table2[[#This Row],[Member Type]]="Spouse",Table2[[#This Row],[Member Type]]="Child"),Table2[[#This Row],[Product Option]]="My Value Plus Life &amp; Funeral",_xlfn.XLOOKUP(B199,Table2[Main Member Link ID],Table2[Benefit Name],0)&lt;&gt;Lookups!$D$17),
IF(_xlfn.XLOOKUP(B199,Table2[Main Member Link ID],Table2[Benefit Name],0)=0,"",_xlfn.XLOOKUP(B199,Table2[Main Member Link ID],Table2[Benefit Name],0)),""))))))</f>
        <v/>
      </c>
      <c r="AI199" s="328" t="str">
        <f>IF(AND(Table2[[#This Row],[Member Type]]="Main Member",Table2[[#This Row],[Table Lookup for Life Cover]]="MM_LIFE",Table2[[#This Row],[Age Next Birthday]]&lt;56),1,
IF(AND(Table2[[#This Row],[Member Type]]="Main Member",Table2[[#This Row],[Table Lookup for Life Cover]]="MM_LIFE",Table2[[#This Row],[Age Next Birthday]]&gt;=56),2,
""))</f>
        <v/>
      </c>
      <c r="AJ199" s="328">
        <f>IF(OR(Table2[[#This Row],[Member Type]]="Main Member",Table2[[#This Row],[Main Member Link ID]]=B198),1,0)</f>
        <v>1</v>
      </c>
      <c r="AK199" s="328">
        <f>IF(Table2[[#This Row],[Member Type]]=0,0,
IF(OR(Table2[[#This Row],[Member Type]]="Main Member",Table2[[#This Row],[Main Member Link ID]]&lt;&gt;B199),COUNTIFS(B:B,Table2[[#This Row],[Main Member Link ID]]),
COUNTIFS(B:B,Table2[[#This Row],[Main Member Link ID]],A:A,Table2[[#This Row],[Member Type]])))</f>
        <v>0</v>
      </c>
    </row>
    <row r="200" spans="1:37" x14ac:dyDescent="0.3">
      <c r="A200" s="284">
        <f>Table13[[#This Row],[Member Type]]</f>
        <v>0</v>
      </c>
      <c r="B200" s="284">
        <f>Table13[[#This Row],[Main Member Link ID]]</f>
        <v>0</v>
      </c>
      <c r="C200" s="284">
        <f>Table13[[#This Row],[ID Number]]</f>
        <v>0</v>
      </c>
      <c r="D200" s="285">
        <f>Table13[[#This Row],[Date Of Birth]]</f>
        <v>0</v>
      </c>
      <c r="E200" s="285">
        <f>Table13[[#This Row],[Commencement Date]]</f>
        <v>0</v>
      </c>
      <c r="F200" s="284">
        <f t="shared" si="21"/>
        <v>1</v>
      </c>
      <c r="G200" s="284">
        <f t="shared" si="22"/>
        <v>25</v>
      </c>
      <c r="H200" s="286">
        <f>Table13[[#This Row],[Product Option]]</f>
        <v>0</v>
      </c>
      <c r="I200" s="284">
        <f>IF(AND($A200="Main Member",Table2[[#This Row],[Product Option]]="My Value Plus Life"),"MM_LIFE",
IF(AND($A200="Spouse",Table2[[#This Row],[Product Option]]="My Value Plus Life"),"SP_LIFE",
IF(AND($A200="Main Member",Table2[[#This Row],[Product Option]]="My Value Plus Life &amp; Funeral"),"MM_LIFE",
IF(AND($A200="Spouse",Table2[[#This Row],[Product Option]]="My Value Plus Life &amp; Funeral"),_xlfn.XLOOKUP(Table2[[#This Row],[Benefit Name]],Lookups!$D$18:$D$23,Lookups!$E$18:$E$23,0),
0))))</f>
        <v>0</v>
      </c>
      <c r="J200" s="284">
        <f>IF($I200="","",
IF($I200="MM_LIFE",INDEX('Quotation Tool'!$S$54:$V$60,MATCH($T200,'Quotation Tool'!$S$54:$S$60,0),4),
IF($I200="SP_LIFE",_xlfn.XLOOKUP(B199,$B:$B,$J:$J,0),0)))</f>
        <v>0</v>
      </c>
      <c r="K200" s="287">
        <f t="shared" ca="1" si="26"/>
        <v>0</v>
      </c>
      <c r="L200" s="288">
        <f t="shared" ca="1" si="27"/>
        <v>0</v>
      </c>
      <c r="M200" s="289">
        <f t="shared" ca="1" si="23"/>
        <v>0</v>
      </c>
      <c r="N200" s="286">
        <f>Table13[[#This Row],[Benefit Option]]</f>
        <v>0</v>
      </c>
      <c r="O200" s="284">
        <f>IF(OR(Table2[[#This Row],[Member Type]]="Spouse",Table2[[#This Row],[Member Type]]="Child"),0,
IF(_xlfn.XLOOKUP($N200,Lookups!$D$13:$D$27,Lookups!$F$13:$F$27,0)=Table2[[#This Row],[Table Lookup for Life Cover]],0,
_xlfn.XLOOKUP($N200,Lookups!$D$13:$D$27,Lookups!$F$13:$F$27,0)))</f>
        <v>0</v>
      </c>
      <c r="P200" s="284">
        <f>IF(Table2[[#This Row],[Table Lookup for Funeral]]=0,0,IFERROR(INDEX('Quotation Tool'!$S$54:$V$60,MATCH($T200,'Quotation Tool'!$S$54:$S$60,0),3),0))</f>
        <v>0</v>
      </c>
      <c r="Q200" s="288">
        <f ca="1">IF(OR(Table2[[#This Row],[Benefit Name]]="My Value Plus Life - Main Member",Table2[[#This Row],[Benefit Name]]="My Value Plus Life - Spouse"),0,
IFERROR(VLOOKUP($G200,INDIRECT($O200),$P200,FALSE),0))</f>
        <v>0</v>
      </c>
      <c r="R200" s="288">
        <f ca="1">IF(OR(Table2[[#This Row],[Benefit Name]]="My Value Plus Life - Main Member",Table2[[#This Row],[Benefit Name]]="My Value Plus Life - Spouse"),0,
IFERROR(VLOOKUP($G200,INDIRECT($O200),$P200+1,FALSE),0))</f>
        <v>0</v>
      </c>
      <c r="S200" s="289">
        <f t="shared" ca="1" si="24"/>
        <v>0</v>
      </c>
      <c r="T200" s="284" t="str">
        <f>IF(Table13[[#This Row],[Premium Waiver]]="","None",Table13[[#This Row],[Premium Waiver]])</f>
        <v>None</v>
      </c>
      <c r="U200" s="284">
        <f>Table13[[#This Row],[VAPs Options]]</f>
        <v>0</v>
      </c>
      <c r="V200" s="284">
        <f>Table13[[#This Row],[Annual Increase Option]]</f>
        <v>0</v>
      </c>
      <c r="W200" s="290">
        <f>Table13[[#This Row],[Life Cover Amount]]</f>
        <v>0</v>
      </c>
      <c r="X200" s="290">
        <f>Table13[[#This Row],[Funeral Cover Amount]]</f>
        <v>0</v>
      </c>
      <c r="Y20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0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00" s="301">
        <f t="shared" ca="1" si="25"/>
        <v>0</v>
      </c>
      <c r="AB200" s="298"/>
      <c r="AC200" s="326" t="str">
        <f>IF(Table2[[#This Row],[Member Type]]="Main Member",Lookups!$C$13,
IF(Table2[[#This Row],[Member Type]]="Spouse",_xlfn.XLOOKUP(B200,Table2[Main Member Link ID],Table2[Product Option],0),
IF(AND(Table2[[#This Row],[Member Type]]="Child",_xlfn.XLOOKUP(B200,Table2[Main Member Link ID],Table2[Product Option],0)&lt;&gt;"My Value Plus Life"),Lookups!$C$24,
IF(AND(OR(Table2[[#This Row],[Member Type]]="Parent",Table2[[#This Row],[Member Type]]="Extended"),_xlfn.XLOOKUP(B200,Table2[Main Member Link ID],Table2[Product Option],0)&lt;&gt;"My Value Plus Life"),Lookups!$C$26,""))))</f>
        <v/>
      </c>
      <c r="AD200" s="326" t="str">
        <f>IF(Table2[[#This Row],[Member Type]]="Main Member",Lookups!$C$14,"")</f>
        <v/>
      </c>
      <c r="AE20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Funeral",_xlfn.XLOOKUP(B200,Table2[Main Member Link ID],Table2[Benefit Name],0)=Lookups!$D$14),"",
IF(AND(Table2[[#This Row],[Member Type]]="Spouse",Table2[[#This Row],[Product Option]]="My Value Plus Life &amp; Funeral",_xlfn.XLOOKUP(B199,Table2[Main Member Link ID],Table2[Benefit Name],0)=Lookups!$D$15),Lookups!$D$20,
IF(AND(Table2[[#This Row],[Member Type]]="Spouse",Table2[[#This Row],[Product Option]]="My Value Plus Life &amp; Funeral",_xlfn.XLOOKUP(B199,Table2[Main Member Link ID],Table2[Benefit Name],0)=Lookups!$D$16),"",
IF(AND(Table2[[#This Row],[Member Type]]="Spouse",Table2[[#This Row],[Product Option]]="My Value Plus Life &amp; Funeral",_xlfn.XLOOKUP(B199,Table2[Main Member Link ID],Table2[Benefit Name],0)=Lookups!$D$17),Lookups!$D$21,
IF(AND(Table2[[#This Row],[Member Type]]="Child",Table2[[#This Row],[Product Option]]="My Value Plus Life &amp; Funeral",_xlfn.XLOOKUP(B200,Table2[Main Member Link ID],Table2[Benefit Name],0)=Lookups!$D$14),"",
IF(AND(Table2[[#This Row],[Member Type]]="Child",Table2[[#This Row],[Product Option]]="My Value Plus Life &amp; Funeral",_xlfn.XLOOKUP(B200,Table2[Main Member Link ID],Table2[Benefit Name],0)=Lookups!$D$15),"",
IF(AND(Table2[[#This Row],[Member Type]]="Child",Table2[[#This Row],[Product Option]]="My Value Plus Life &amp; Funeral",_xlfn.XLOOKUP(B200,Table2[Main Member Link ID],Table2[Benefit Name],0)=Lookups!$D$16),Lookups!$D$24,
IF(AND(Table2[[#This Row],[Member Type]]="Child",Table2[[#This Row],[Product Option]]="My Value Plus Life &amp; Funeral",_xlfn.XLOOKUP(B200,Table2[Main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Funeral",_xlfn.XLOOKUP(B200,Table2[Main Member Link ID],Table2[Benefit Name],0)&lt;&gt;Lookups!$D$14),
IF(_xlfn.XLOOKUP(B200,Table2[Main Member Link ID],Table2[Benefit Name],0)=0,"",_xlfn.XLOOKUP(B200,Table2[Main Member Link ID],Table2[Benefit Name],0)),"")))))))))))))))</f>
        <v/>
      </c>
      <c r="AF200" s="327" t="str">
        <f>IF(AND(Table2[[#This Row],[Member Type]]="Main Member",Table2[[#This Row],[Product Option]]="My Value Plus Life &amp; Funeral"),Lookups!$D$15,
IF(AND(Table2[[#This Row],[Member Type]]="Spouse",Table2[[#This Row],[Product Option]]="My Value Plus Life &amp; Funeral",_xlfn.XLOOKUP(B200,Table2[Main Member Link ID],Table2[Benefit Name],0)=Lookups!$D$14),"",
IF(AND(Table2[[#This Row],[Member Type]]="Spouse",Table2[[#This Row],[Product Option]]="My Value Plus Life &amp; Funeral",_xlfn.XLOOKUP(B199,Table2[Main Member Link ID],Table2[Benefit Name],0)=Lookups!$D$16),"",
IF(AND(Table2[[#This Row],[Member Type]]="Spouse",Table2[[#This Row],[Product Option]]="My Value Plus Life &amp; Funeral",_xlfn.XLOOKUP(B199,Table2[Main Member Link ID],Table2[Benefit Name],0)=Lookups!$D$15),"",
IF(AND(Table2[[#This Row],[Member Type]]="Spouse",Table2[[#This Row],[Product Option]]="My Value Plus Life &amp; Funeral",_xlfn.XLOOKUP(B199,Table2[Main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Funeral",_xlfn.XLOOKUP(B200,Table2[Main Member Link ID],Table2[Benefit Name],0)&lt;&gt;Lookups!$D$15),
IF(_xlfn.XLOOKUP(B200,Table2[Main Member Link ID],Table2[Benefit Name],0)=0,"",_xlfn.XLOOKUP(B200,Table2[Main Member Link ID],Table2[Benefit Name],0)),"")
))))))</f>
        <v/>
      </c>
      <c r="AG200" s="327" t="str">
        <f>IF(AND(Table2[[#This Row],[Member Type]]="Main Member",Table2[[#This Row],[Product Option]]="My Value Plus Life &amp; Funeral"),Lookups!$D$16,
IF(AND(Table2[[#This Row],[Member Type]]="Spouse",Table2[[#This Row],[Product Option]]="My Value Plus Life &amp; Funeral",_xlfn.XLOOKUP(B200,Table2[Main Member Link ID],Table2[Benefit Name],0)=Lookups!$D$14),"",
IF(AND(Table2[[#This Row],[Member Type]]="Spouse",Table2[[#This Row],[Product Option]]="My Value Plus Life &amp; Funeral",_xlfn.XLOOKUP(B199,Table2[Main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Funeral",_xlfn.XLOOKUP(B200,Table2[Main Member Link ID],Table2[Benefit Name],0)&lt;&gt;Lookups!$D$16),
IF(_xlfn.XLOOKUP(B200,Table2[Main Member Link ID],Table2[Benefit Name],0)=0,"",_xlfn.XLOOKUP(B200,Table2[Main Member Link ID],Table2[Benefit Name],0)),"")
))))</f>
        <v/>
      </c>
      <c r="AH200" s="327" t="str">
        <f>IF(AND(Table2[[#This Row],[Member Type]]="Main Member",Table2[[#This Row],[Product Option]]="My Value Plus Life &amp; Funeral"),Lookups!$D$17,
IF(AND(Table2[[#This Row],[Member Type]]="Spouse",Table2[[#This Row],[Product Option]]="My Value Plus Life &amp; Funeral",_xlfn.XLOOKUP(B200,Table2[Main Member Link ID],Table2[Benefit Name],0)=Lookups!$D$14),"",
IF(AND(Table2[[#This Row],[Member Type]]="Spouse",Table2[[#This Row],[Product Option]]="My Value Plus Life &amp; Funeral",_xlfn.XLOOKUP(B199,Table2[Main Member Link ID],Table2[Benefit Name],0)=Lookups!$D$16),"",
IF(AND(Table2[[#This Row],[Member Type]]="Child",Table2[[#This Row],[Product Option]]="My Value Plus Life &amp; Funeral"),"",
IF(AND(Table2[[#This Row],[Member Type]]="Child",Table2[[#This Row],[Product Option]]="My Value Plus Life &amp; Funeral",_xlfn.XLOOKUP(B200,Table2[Main Member Link ID],Table2[Benefit Name],0)=Lookups!$D$15),"",
IF(AND(OR(Table2[[#This Row],[Member Type]]="Spouse",Table2[[#This Row],[Member Type]]="Child"),Table2[[#This Row],[Product Option]]="My Value Plus Life &amp; Funeral",_xlfn.XLOOKUP(B200,Table2[Main Member Link ID],Table2[Benefit Name],0)&lt;&gt;Lookups!$D$17),
IF(_xlfn.XLOOKUP(B200,Table2[Main Member Link ID],Table2[Benefit Name],0)=0,"",_xlfn.XLOOKUP(B200,Table2[Main Member Link ID],Table2[Benefit Name],0)),""))))))</f>
        <v/>
      </c>
      <c r="AI200" s="328" t="str">
        <f>IF(AND(Table2[[#This Row],[Member Type]]="Main Member",Table2[[#This Row],[Table Lookup for Life Cover]]="MM_LIFE",Table2[[#This Row],[Age Next Birthday]]&lt;56),1,
IF(AND(Table2[[#This Row],[Member Type]]="Main Member",Table2[[#This Row],[Table Lookup for Life Cover]]="MM_LIFE",Table2[[#This Row],[Age Next Birthday]]&gt;=56),2,
""))</f>
        <v/>
      </c>
      <c r="AJ200" s="328">
        <f>IF(OR(Table2[[#This Row],[Member Type]]="Main Member",Table2[[#This Row],[Main Member Link ID]]=B199),1,0)</f>
        <v>1</v>
      </c>
      <c r="AK200" s="328">
        <f>IF(Table2[[#This Row],[Member Type]]=0,0,
IF(OR(Table2[[#This Row],[Member Type]]="Main Member",Table2[[#This Row],[Main Member Link ID]]&lt;&gt;B200),COUNTIFS(B:B,Table2[[#This Row],[Main Member Link ID]]),
COUNTIFS(B:B,Table2[[#This Row],[Main Member Link ID]],A:A,Table2[[#This Row],[Member Type]])))</f>
        <v>0</v>
      </c>
    </row>
    <row r="201" spans="1:37" x14ac:dyDescent="0.3">
      <c r="A201" s="284">
        <f>Table13[[#This Row],[Member Type]]</f>
        <v>0</v>
      </c>
      <c r="B201" s="284">
        <f>Table13[[#This Row],[Main Member Link ID]]</f>
        <v>0</v>
      </c>
      <c r="C201" s="284">
        <f>Table13[[#This Row],[ID Number]]</f>
        <v>0</v>
      </c>
      <c r="D201" s="285">
        <f>Table13[[#This Row],[Date Of Birth]]</f>
        <v>0</v>
      </c>
      <c r="E201" s="285">
        <f>Table13[[#This Row],[Commencement Date]]</f>
        <v>0</v>
      </c>
      <c r="F201" s="284">
        <f t="shared" si="21"/>
        <v>1</v>
      </c>
      <c r="G201" s="284">
        <f t="shared" si="22"/>
        <v>25</v>
      </c>
      <c r="H201" s="286">
        <f>Table13[[#This Row],[Product Option]]</f>
        <v>0</v>
      </c>
      <c r="I201" s="284">
        <f>IF(AND($A201="Main Member",Table2[[#This Row],[Product Option]]="My Value Plus Life"),"MM_LIFE",
IF(AND($A201="Spouse",Table2[[#This Row],[Product Option]]="My Value Plus Life"),"SP_LIFE",
IF(AND($A201="Main Member",Table2[[#This Row],[Product Option]]="My Value Plus Life &amp; Funeral"),"MM_LIFE",
IF(AND($A201="Spouse",Table2[[#This Row],[Product Option]]="My Value Plus Life &amp; Funeral"),_xlfn.XLOOKUP(Table2[[#This Row],[Benefit Name]],Lookups!$D$18:$D$23,Lookups!$E$18:$E$23,0),
0))))</f>
        <v>0</v>
      </c>
      <c r="J201" s="284">
        <f>IF($I201="","",
IF($I201="MM_LIFE",INDEX('Quotation Tool'!$S$54:$V$60,MATCH($T201,'Quotation Tool'!$S$54:$S$60,0),4),
IF($I201="SP_LIFE",_xlfn.XLOOKUP(B200,$B:$B,$J:$J,0),0)))</f>
        <v>0</v>
      </c>
      <c r="K201" s="287">
        <f t="shared" ca="1" si="26"/>
        <v>0</v>
      </c>
      <c r="L201" s="288">
        <f t="shared" ca="1" si="27"/>
        <v>0</v>
      </c>
      <c r="M201" s="289">
        <f t="shared" ca="1" si="23"/>
        <v>0</v>
      </c>
      <c r="N201" s="286">
        <f>Table13[[#This Row],[Benefit Option]]</f>
        <v>0</v>
      </c>
      <c r="O201" s="284">
        <f>IF(OR(Table2[[#This Row],[Member Type]]="Spouse",Table2[[#This Row],[Member Type]]="Child"),0,
IF(_xlfn.XLOOKUP($N201,Lookups!$D$13:$D$27,Lookups!$F$13:$F$27,0)=Table2[[#This Row],[Table Lookup for Life Cover]],0,
_xlfn.XLOOKUP($N201,Lookups!$D$13:$D$27,Lookups!$F$13:$F$27,0)))</f>
        <v>0</v>
      </c>
      <c r="P201" s="284">
        <f>IF(Table2[[#This Row],[Table Lookup for Funeral]]=0,0,IFERROR(INDEX('Quotation Tool'!$S$54:$V$60,MATCH($T201,'Quotation Tool'!$S$54:$S$60,0),3),0))</f>
        <v>0</v>
      </c>
      <c r="Q201" s="288">
        <f ca="1">IF(OR(Table2[[#This Row],[Benefit Name]]="My Value Plus Life - Main Member",Table2[[#This Row],[Benefit Name]]="My Value Plus Life - Spouse"),0,
IFERROR(VLOOKUP($G201,INDIRECT($O201),$P201,FALSE),0))</f>
        <v>0</v>
      </c>
      <c r="R201" s="288">
        <f ca="1">IF(OR(Table2[[#This Row],[Benefit Name]]="My Value Plus Life - Main Member",Table2[[#This Row],[Benefit Name]]="My Value Plus Life - Spouse"),0,
IFERROR(VLOOKUP($G201,INDIRECT($O201),$P201+1,FALSE),0))</f>
        <v>0</v>
      </c>
      <c r="S201" s="289">
        <f t="shared" ca="1" si="24"/>
        <v>0</v>
      </c>
      <c r="T201" s="284" t="str">
        <f>IF(Table13[[#This Row],[Premium Waiver]]="","None",Table13[[#This Row],[Premium Waiver]])</f>
        <v>None</v>
      </c>
      <c r="U201" s="284">
        <f>Table13[[#This Row],[VAPs Options]]</f>
        <v>0</v>
      </c>
      <c r="V201" s="284">
        <f>Table13[[#This Row],[Annual Increase Option]]</f>
        <v>0</v>
      </c>
      <c r="W201" s="290">
        <f>Table13[[#This Row],[Life Cover Amount]]</f>
        <v>0</v>
      </c>
      <c r="X201" s="290">
        <f>Table13[[#This Row],[Funeral Cover Amount]]</f>
        <v>0</v>
      </c>
      <c r="Y20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0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01" s="301">
        <f t="shared" ca="1" si="25"/>
        <v>0</v>
      </c>
      <c r="AB201" s="298"/>
      <c r="AC201" s="326" t="str">
        <f>IF(Table2[[#This Row],[Member Type]]="Main Member",Lookups!$C$13,
IF(Table2[[#This Row],[Member Type]]="Spouse",_xlfn.XLOOKUP(B201,Table2[Main Member Link ID],Table2[Product Option],0),
IF(AND(Table2[[#This Row],[Member Type]]="Child",_xlfn.XLOOKUP(B201,Table2[Main Member Link ID],Table2[Product Option],0)&lt;&gt;"My Value Plus Life"),Lookups!$C$24,
IF(AND(OR(Table2[[#This Row],[Member Type]]="Parent",Table2[[#This Row],[Member Type]]="Extended"),_xlfn.XLOOKUP(B201,Table2[Main Member Link ID],Table2[Product Option],0)&lt;&gt;"My Value Plus Life"),Lookups!$C$26,""))))</f>
        <v/>
      </c>
      <c r="AD201" s="326" t="str">
        <f>IF(Table2[[#This Row],[Member Type]]="Main Member",Lookups!$C$14,"")</f>
        <v/>
      </c>
      <c r="AE20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Funeral",_xlfn.XLOOKUP(B201,Table2[Main Member Link ID],Table2[Benefit Name],0)=Lookups!$D$14),"",
IF(AND(Table2[[#This Row],[Member Type]]="Spouse",Table2[[#This Row],[Product Option]]="My Value Plus Life &amp; Funeral",_xlfn.XLOOKUP(B200,Table2[Main Member Link ID],Table2[Benefit Name],0)=Lookups!$D$15),Lookups!$D$20,
IF(AND(Table2[[#This Row],[Member Type]]="Spouse",Table2[[#This Row],[Product Option]]="My Value Plus Life &amp; Funeral",_xlfn.XLOOKUP(B200,Table2[Main Member Link ID],Table2[Benefit Name],0)=Lookups!$D$16),"",
IF(AND(Table2[[#This Row],[Member Type]]="Spouse",Table2[[#This Row],[Product Option]]="My Value Plus Life &amp; Funeral",_xlfn.XLOOKUP(B200,Table2[Main Member Link ID],Table2[Benefit Name],0)=Lookups!$D$17),Lookups!$D$21,
IF(AND(Table2[[#This Row],[Member Type]]="Child",Table2[[#This Row],[Product Option]]="My Value Plus Life &amp; Funeral",_xlfn.XLOOKUP(B201,Table2[Main Member Link ID],Table2[Benefit Name],0)=Lookups!$D$14),"",
IF(AND(Table2[[#This Row],[Member Type]]="Child",Table2[[#This Row],[Product Option]]="My Value Plus Life &amp; Funeral",_xlfn.XLOOKUP(B201,Table2[Main Member Link ID],Table2[Benefit Name],0)=Lookups!$D$15),"",
IF(AND(Table2[[#This Row],[Member Type]]="Child",Table2[[#This Row],[Product Option]]="My Value Plus Life &amp; Funeral",_xlfn.XLOOKUP(B201,Table2[Main Member Link ID],Table2[Benefit Name],0)=Lookups!$D$16),Lookups!$D$24,
IF(AND(Table2[[#This Row],[Member Type]]="Child",Table2[[#This Row],[Product Option]]="My Value Plus Life &amp; Funeral",_xlfn.XLOOKUP(B201,Table2[Main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Funeral",_xlfn.XLOOKUP(B201,Table2[Main Member Link ID],Table2[Benefit Name],0)&lt;&gt;Lookups!$D$14),
IF(_xlfn.XLOOKUP(B201,Table2[Main Member Link ID],Table2[Benefit Name],0)=0,"",_xlfn.XLOOKUP(B201,Table2[Main Member Link ID],Table2[Benefit Name],0)),"")))))))))))))))</f>
        <v/>
      </c>
      <c r="AF201" s="327" t="str">
        <f>IF(AND(Table2[[#This Row],[Member Type]]="Main Member",Table2[[#This Row],[Product Option]]="My Value Plus Life &amp; Funeral"),Lookups!$D$15,
IF(AND(Table2[[#This Row],[Member Type]]="Spouse",Table2[[#This Row],[Product Option]]="My Value Plus Life &amp; Funeral",_xlfn.XLOOKUP(B201,Table2[Main Member Link ID],Table2[Benefit Name],0)=Lookups!$D$14),"",
IF(AND(Table2[[#This Row],[Member Type]]="Spouse",Table2[[#This Row],[Product Option]]="My Value Plus Life &amp; Funeral",_xlfn.XLOOKUP(B200,Table2[Main Member Link ID],Table2[Benefit Name],0)=Lookups!$D$16),"",
IF(AND(Table2[[#This Row],[Member Type]]="Spouse",Table2[[#This Row],[Product Option]]="My Value Plus Life &amp; Funeral",_xlfn.XLOOKUP(B200,Table2[Main Member Link ID],Table2[Benefit Name],0)=Lookups!$D$15),"",
IF(AND(Table2[[#This Row],[Member Type]]="Spouse",Table2[[#This Row],[Product Option]]="My Value Plus Life &amp; Funeral",_xlfn.XLOOKUP(B200,Table2[Main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Funeral",_xlfn.XLOOKUP(B201,Table2[Main Member Link ID],Table2[Benefit Name],0)&lt;&gt;Lookups!$D$15),
IF(_xlfn.XLOOKUP(B201,Table2[Main Member Link ID],Table2[Benefit Name],0)=0,"",_xlfn.XLOOKUP(B201,Table2[Main Member Link ID],Table2[Benefit Name],0)),"")
))))))</f>
        <v/>
      </c>
      <c r="AG201" s="327" t="str">
        <f>IF(AND(Table2[[#This Row],[Member Type]]="Main Member",Table2[[#This Row],[Product Option]]="My Value Plus Life &amp; Funeral"),Lookups!$D$16,
IF(AND(Table2[[#This Row],[Member Type]]="Spouse",Table2[[#This Row],[Product Option]]="My Value Plus Life &amp; Funeral",_xlfn.XLOOKUP(B201,Table2[Main Member Link ID],Table2[Benefit Name],0)=Lookups!$D$14),"",
IF(AND(Table2[[#This Row],[Member Type]]="Spouse",Table2[[#This Row],[Product Option]]="My Value Plus Life &amp; Funeral",_xlfn.XLOOKUP(B200,Table2[Main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Funeral",_xlfn.XLOOKUP(B201,Table2[Main Member Link ID],Table2[Benefit Name],0)&lt;&gt;Lookups!$D$16),
IF(_xlfn.XLOOKUP(B201,Table2[Main Member Link ID],Table2[Benefit Name],0)=0,"",_xlfn.XLOOKUP(B201,Table2[Main Member Link ID],Table2[Benefit Name],0)),"")
))))</f>
        <v/>
      </c>
      <c r="AH201" s="327" t="str">
        <f>IF(AND(Table2[[#This Row],[Member Type]]="Main Member",Table2[[#This Row],[Product Option]]="My Value Plus Life &amp; Funeral"),Lookups!$D$17,
IF(AND(Table2[[#This Row],[Member Type]]="Spouse",Table2[[#This Row],[Product Option]]="My Value Plus Life &amp; Funeral",_xlfn.XLOOKUP(B201,Table2[Main Member Link ID],Table2[Benefit Name],0)=Lookups!$D$14),"",
IF(AND(Table2[[#This Row],[Member Type]]="Spouse",Table2[[#This Row],[Product Option]]="My Value Plus Life &amp; Funeral",_xlfn.XLOOKUP(B200,Table2[Main Member Link ID],Table2[Benefit Name],0)=Lookups!$D$16),"",
IF(AND(Table2[[#This Row],[Member Type]]="Child",Table2[[#This Row],[Product Option]]="My Value Plus Life &amp; Funeral"),"",
IF(AND(Table2[[#This Row],[Member Type]]="Child",Table2[[#This Row],[Product Option]]="My Value Plus Life &amp; Funeral",_xlfn.XLOOKUP(B201,Table2[Main Member Link ID],Table2[Benefit Name],0)=Lookups!$D$15),"",
IF(AND(OR(Table2[[#This Row],[Member Type]]="Spouse",Table2[[#This Row],[Member Type]]="Child"),Table2[[#This Row],[Product Option]]="My Value Plus Life &amp; Funeral",_xlfn.XLOOKUP(B201,Table2[Main Member Link ID],Table2[Benefit Name],0)&lt;&gt;Lookups!$D$17),
IF(_xlfn.XLOOKUP(B201,Table2[Main Member Link ID],Table2[Benefit Name],0)=0,"",_xlfn.XLOOKUP(B201,Table2[Main Member Link ID],Table2[Benefit Name],0)),""))))))</f>
        <v/>
      </c>
      <c r="AI201" s="328" t="str">
        <f>IF(AND(Table2[[#This Row],[Member Type]]="Main Member",Table2[[#This Row],[Table Lookup for Life Cover]]="MM_LIFE",Table2[[#This Row],[Age Next Birthday]]&lt;56),1,
IF(AND(Table2[[#This Row],[Member Type]]="Main Member",Table2[[#This Row],[Table Lookup for Life Cover]]="MM_LIFE",Table2[[#This Row],[Age Next Birthday]]&gt;=56),2,
""))</f>
        <v/>
      </c>
      <c r="AJ201" s="328">
        <f>IF(OR(Table2[[#This Row],[Member Type]]="Main Member",Table2[[#This Row],[Main Member Link ID]]=B200),1,0)</f>
        <v>1</v>
      </c>
      <c r="AK201" s="328">
        <f>IF(Table2[[#This Row],[Member Type]]=0,0,
IF(OR(Table2[[#This Row],[Member Type]]="Main Member",Table2[[#This Row],[Main Member Link ID]]&lt;&gt;B201),COUNTIFS(B:B,Table2[[#This Row],[Main Member Link ID]]),
COUNTIFS(B:B,Table2[[#This Row],[Main Member Link ID]],A:A,Table2[[#This Row],[Member Type]])))</f>
        <v>0</v>
      </c>
    </row>
    <row r="202" spans="1:37" x14ac:dyDescent="0.3">
      <c r="A202" s="284">
        <f>Table13[[#This Row],[Member Type]]</f>
        <v>0</v>
      </c>
      <c r="B202" s="284">
        <f>Table13[[#This Row],[Main Member Link ID]]</f>
        <v>0</v>
      </c>
      <c r="C202" s="284">
        <f>Table13[[#This Row],[ID Number]]</f>
        <v>0</v>
      </c>
      <c r="D202" s="285">
        <f>Table13[[#This Row],[Date Of Birth]]</f>
        <v>0</v>
      </c>
      <c r="E202" s="285">
        <f>Table13[[#This Row],[Commencement Date]]</f>
        <v>0</v>
      </c>
      <c r="F202" s="284">
        <f t="shared" si="21"/>
        <v>1</v>
      </c>
      <c r="G202" s="284">
        <f t="shared" si="22"/>
        <v>25</v>
      </c>
      <c r="H202" s="286">
        <f>Table13[[#This Row],[Product Option]]</f>
        <v>0</v>
      </c>
      <c r="I202" s="284">
        <f>IF(AND($A202="Main Member",Table2[[#This Row],[Product Option]]="My Value Plus Life"),"MM_LIFE",
IF(AND($A202="Spouse",Table2[[#This Row],[Product Option]]="My Value Plus Life"),"SP_LIFE",
IF(AND($A202="Main Member",Table2[[#This Row],[Product Option]]="My Value Plus Life &amp; Funeral"),"MM_LIFE",
IF(AND($A202="Spouse",Table2[[#This Row],[Product Option]]="My Value Plus Life &amp; Funeral"),_xlfn.XLOOKUP(Table2[[#This Row],[Benefit Name]],Lookups!$D$18:$D$23,Lookups!$E$18:$E$23,0),
0))))</f>
        <v>0</v>
      </c>
      <c r="J202" s="284">
        <f>IF($I202="","",
IF($I202="MM_LIFE",INDEX('Quotation Tool'!$S$54:$V$60,MATCH($T202,'Quotation Tool'!$S$54:$S$60,0),4),
IF($I202="SP_LIFE",_xlfn.XLOOKUP(B201,$B:$B,$J:$J,0),0)))</f>
        <v>0</v>
      </c>
      <c r="K202" s="287">
        <f t="shared" ca="1" si="26"/>
        <v>0</v>
      </c>
      <c r="L202" s="288">
        <f t="shared" ca="1" si="27"/>
        <v>0</v>
      </c>
      <c r="M202" s="289">
        <f t="shared" ca="1" si="23"/>
        <v>0</v>
      </c>
      <c r="N202" s="286">
        <f>Table13[[#This Row],[Benefit Option]]</f>
        <v>0</v>
      </c>
      <c r="O202" s="284">
        <f>IF(OR(Table2[[#This Row],[Member Type]]="Spouse",Table2[[#This Row],[Member Type]]="Child"),0,
IF(_xlfn.XLOOKUP($N202,Lookups!$D$13:$D$27,Lookups!$F$13:$F$27,0)=Table2[[#This Row],[Table Lookup for Life Cover]],0,
_xlfn.XLOOKUP($N202,Lookups!$D$13:$D$27,Lookups!$F$13:$F$27,0)))</f>
        <v>0</v>
      </c>
      <c r="P202" s="284">
        <f>IF(Table2[[#This Row],[Table Lookup for Funeral]]=0,0,IFERROR(INDEX('Quotation Tool'!$S$54:$V$60,MATCH($T202,'Quotation Tool'!$S$54:$S$60,0),3),0))</f>
        <v>0</v>
      </c>
      <c r="Q202" s="288">
        <f ca="1">IF(OR(Table2[[#This Row],[Benefit Name]]="My Value Plus Life - Main Member",Table2[[#This Row],[Benefit Name]]="My Value Plus Life - Spouse"),0,
IFERROR(VLOOKUP($G202,INDIRECT($O202),$P202,FALSE),0))</f>
        <v>0</v>
      </c>
      <c r="R202" s="288">
        <f ca="1">IF(OR(Table2[[#This Row],[Benefit Name]]="My Value Plus Life - Main Member",Table2[[#This Row],[Benefit Name]]="My Value Plus Life - Spouse"),0,
IFERROR(VLOOKUP($G202,INDIRECT($O202),$P202+1,FALSE),0))</f>
        <v>0</v>
      </c>
      <c r="S202" s="289">
        <f t="shared" ca="1" si="24"/>
        <v>0</v>
      </c>
      <c r="T202" s="284" t="str">
        <f>IF(Table13[[#This Row],[Premium Waiver]]="","None",Table13[[#This Row],[Premium Waiver]])</f>
        <v>None</v>
      </c>
      <c r="U202" s="284">
        <f>Table13[[#This Row],[VAPs Options]]</f>
        <v>0</v>
      </c>
      <c r="V202" s="284">
        <f>Table13[[#This Row],[Annual Increase Option]]</f>
        <v>0</v>
      </c>
      <c r="W202" s="290">
        <f>Table13[[#This Row],[Life Cover Amount]]</f>
        <v>0</v>
      </c>
      <c r="X202" s="290">
        <f>Table13[[#This Row],[Funeral Cover Amount]]</f>
        <v>0</v>
      </c>
      <c r="Y20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0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02" s="301">
        <f t="shared" ca="1" si="25"/>
        <v>0</v>
      </c>
      <c r="AB202" s="298"/>
      <c r="AC202" s="326" t="str">
        <f>IF(Table2[[#This Row],[Member Type]]="Main Member",Lookups!$C$13,
IF(Table2[[#This Row],[Member Type]]="Spouse",_xlfn.XLOOKUP(B202,Table2[Main Member Link ID],Table2[Product Option],0),
IF(AND(Table2[[#This Row],[Member Type]]="Child",_xlfn.XLOOKUP(B202,Table2[Main Member Link ID],Table2[Product Option],0)&lt;&gt;"My Value Plus Life"),Lookups!$C$24,
IF(AND(OR(Table2[[#This Row],[Member Type]]="Parent",Table2[[#This Row],[Member Type]]="Extended"),_xlfn.XLOOKUP(B202,Table2[Main Member Link ID],Table2[Product Option],0)&lt;&gt;"My Value Plus Life"),Lookups!$C$26,""))))</f>
        <v/>
      </c>
      <c r="AD202" s="326" t="str">
        <f>IF(Table2[[#This Row],[Member Type]]="Main Member",Lookups!$C$14,"")</f>
        <v/>
      </c>
      <c r="AE20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Funeral",_xlfn.XLOOKUP(B202,Table2[Main Member Link ID],Table2[Benefit Name],0)=Lookups!$D$14),"",
IF(AND(Table2[[#This Row],[Member Type]]="Spouse",Table2[[#This Row],[Product Option]]="My Value Plus Life &amp; Funeral",_xlfn.XLOOKUP(B201,Table2[Main Member Link ID],Table2[Benefit Name],0)=Lookups!$D$15),Lookups!$D$20,
IF(AND(Table2[[#This Row],[Member Type]]="Spouse",Table2[[#This Row],[Product Option]]="My Value Plus Life &amp; Funeral",_xlfn.XLOOKUP(B201,Table2[Main Member Link ID],Table2[Benefit Name],0)=Lookups!$D$16),"",
IF(AND(Table2[[#This Row],[Member Type]]="Spouse",Table2[[#This Row],[Product Option]]="My Value Plus Life &amp; Funeral",_xlfn.XLOOKUP(B201,Table2[Main Member Link ID],Table2[Benefit Name],0)=Lookups!$D$17),Lookups!$D$21,
IF(AND(Table2[[#This Row],[Member Type]]="Child",Table2[[#This Row],[Product Option]]="My Value Plus Life &amp; Funeral",_xlfn.XLOOKUP(B202,Table2[Main Member Link ID],Table2[Benefit Name],0)=Lookups!$D$14),"",
IF(AND(Table2[[#This Row],[Member Type]]="Child",Table2[[#This Row],[Product Option]]="My Value Plus Life &amp; Funeral",_xlfn.XLOOKUP(B202,Table2[Main Member Link ID],Table2[Benefit Name],0)=Lookups!$D$15),"",
IF(AND(Table2[[#This Row],[Member Type]]="Child",Table2[[#This Row],[Product Option]]="My Value Plus Life &amp; Funeral",_xlfn.XLOOKUP(B202,Table2[Main Member Link ID],Table2[Benefit Name],0)=Lookups!$D$16),Lookups!$D$24,
IF(AND(Table2[[#This Row],[Member Type]]="Child",Table2[[#This Row],[Product Option]]="My Value Plus Life &amp; Funeral",_xlfn.XLOOKUP(B202,Table2[Main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Funeral",_xlfn.XLOOKUP(B202,Table2[Main Member Link ID],Table2[Benefit Name],0)&lt;&gt;Lookups!$D$14),
IF(_xlfn.XLOOKUP(B202,Table2[Main Member Link ID],Table2[Benefit Name],0)=0,"",_xlfn.XLOOKUP(B202,Table2[Main Member Link ID],Table2[Benefit Name],0)),"")))))))))))))))</f>
        <v/>
      </c>
      <c r="AF202" s="327" t="str">
        <f>IF(AND(Table2[[#This Row],[Member Type]]="Main Member",Table2[[#This Row],[Product Option]]="My Value Plus Life &amp; Funeral"),Lookups!$D$15,
IF(AND(Table2[[#This Row],[Member Type]]="Spouse",Table2[[#This Row],[Product Option]]="My Value Plus Life &amp; Funeral",_xlfn.XLOOKUP(B202,Table2[Main Member Link ID],Table2[Benefit Name],0)=Lookups!$D$14),"",
IF(AND(Table2[[#This Row],[Member Type]]="Spouse",Table2[[#This Row],[Product Option]]="My Value Plus Life &amp; Funeral",_xlfn.XLOOKUP(B201,Table2[Main Member Link ID],Table2[Benefit Name],0)=Lookups!$D$16),"",
IF(AND(Table2[[#This Row],[Member Type]]="Spouse",Table2[[#This Row],[Product Option]]="My Value Plus Life &amp; Funeral",_xlfn.XLOOKUP(B201,Table2[Main Member Link ID],Table2[Benefit Name],0)=Lookups!$D$15),"",
IF(AND(Table2[[#This Row],[Member Type]]="Spouse",Table2[[#This Row],[Product Option]]="My Value Plus Life &amp; Funeral",_xlfn.XLOOKUP(B201,Table2[Main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Funeral",_xlfn.XLOOKUP(B202,Table2[Main Member Link ID],Table2[Benefit Name],0)&lt;&gt;Lookups!$D$15),
IF(_xlfn.XLOOKUP(B202,Table2[Main Member Link ID],Table2[Benefit Name],0)=0,"",_xlfn.XLOOKUP(B202,Table2[Main Member Link ID],Table2[Benefit Name],0)),"")
))))))</f>
        <v/>
      </c>
      <c r="AG202" s="327" t="str">
        <f>IF(AND(Table2[[#This Row],[Member Type]]="Main Member",Table2[[#This Row],[Product Option]]="My Value Plus Life &amp; Funeral"),Lookups!$D$16,
IF(AND(Table2[[#This Row],[Member Type]]="Spouse",Table2[[#This Row],[Product Option]]="My Value Plus Life &amp; Funeral",_xlfn.XLOOKUP(B202,Table2[Main Member Link ID],Table2[Benefit Name],0)=Lookups!$D$14),"",
IF(AND(Table2[[#This Row],[Member Type]]="Spouse",Table2[[#This Row],[Product Option]]="My Value Plus Life &amp; Funeral",_xlfn.XLOOKUP(B201,Table2[Main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Funeral",_xlfn.XLOOKUP(B202,Table2[Main Member Link ID],Table2[Benefit Name],0)&lt;&gt;Lookups!$D$16),
IF(_xlfn.XLOOKUP(B202,Table2[Main Member Link ID],Table2[Benefit Name],0)=0,"",_xlfn.XLOOKUP(B202,Table2[Main Member Link ID],Table2[Benefit Name],0)),"")
))))</f>
        <v/>
      </c>
      <c r="AH202" s="327" t="str">
        <f>IF(AND(Table2[[#This Row],[Member Type]]="Main Member",Table2[[#This Row],[Product Option]]="My Value Plus Life &amp; Funeral"),Lookups!$D$17,
IF(AND(Table2[[#This Row],[Member Type]]="Spouse",Table2[[#This Row],[Product Option]]="My Value Plus Life &amp; Funeral",_xlfn.XLOOKUP(B202,Table2[Main Member Link ID],Table2[Benefit Name],0)=Lookups!$D$14),"",
IF(AND(Table2[[#This Row],[Member Type]]="Spouse",Table2[[#This Row],[Product Option]]="My Value Plus Life &amp; Funeral",_xlfn.XLOOKUP(B201,Table2[Main Member Link ID],Table2[Benefit Name],0)=Lookups!$D$16),"",
IF(AND(Table2[[#This Row],[Member Type]]="Child",Table2[[#This Row],[Product Option]]="My Value Plus Life &amp; Funeral"),"",
IF(AND(Table2[[#This Row],[Member Type]]="Child",Table2[[#This Row],[Product Option]]="My Value Plus Life &amp; Funeral",_xlfn.XLOOKUP(B202,Table2[Main Member Link ID],Table2[Benefit Name],0)=Lookups!$D$15),"",
IF(AND(OR(Table2[[#This Row],[Member Type]]="Spouse",Table2[[#This Row],[Member Type]]="Child"),Table2[[#This Row],[Product Option]]="My Value Plus Life &amp; Funeral",_xlfn.XLOOKUP(B202,Table2[Main Member Link ID],Table2[Benefit Name],0)&lt;&gt;Lookups!$D$17),
IF(_xlfn.XLOOKUP(B202,Table2[Main Member Link ID],Table2[Benefit Name],0)=0,"",_xlfn.XLOOKUP(B202,Table2[Main Member Link ID],Table2[Benefit Name],0)),""))))))</f>
        <v/>
      </c>
      <c r="AI202" s="328" t="str">
        <f>IF(AND(Table2[[#This Row],[Member Type]]="Main Member",Table2[[#This Row],[Table Lookup for Life Cover]]="MM_LIFE",Table2[[#This Row],[Age Next Birthday]]&lt;56),1,
IF(AND(Table2[[#This Row],[Member Type]]="Main Member",Table2[[#This Row],[Table Lookup for Life Cover]]="MM_LIFE",Table2[[#This Row],[Age Next Birthday]]&gt;=56),2,
""))</f>
        <v/>
      </c>
      <c r="AJ202" s="328">
        <f>IF(OR(Table2[[#This Row],[Member Type]]="Main Member",Table2[[#This Row],[Main Member Link ID]]=B201),1,0)</f>
        <v>1</v>
      </c>
      <c r="AK202" s="328">
        <f>IF(Table2[[#This Row],[Member Type]]=0,0,
IF(OR(Table2[[#This Row],[Member Type]]="Main Member",Table2[[#This Row],[Main Member Link ID]]&lt;&gt;B202),COUNTIFS(B:B,Table2[[#This Row],[Main Member Link ID]]),
COUNTIFS(B:B,Table2[[#This Row],[Main Member Link ID]],A:A,Table2[[#This Row],[Member Type]])))</f>
        <v>0</v>
      </c>
    </row>
    <row r="203" spans="1:37" x14ac:dyDescent="0.3">
      <c r="A203" s="284">
        <f>Table13[[#This Row],[Member Type]]</f>
        <v>0</v>
      </c>
      <c r="B203" s="284">
        <f>Table13[[#This Row],[Main Member Link ID]]</f>
        <v>0</v>
      </c>
      <c r="C203" s="284">
        <f>Table13[[#This Row],[ID Number]]</f>
        <v>0</v>
      </c>
      <c r="D203" s="285">
        <f>Table13[[#This Row],[Date Of Birth]]</f>
        <v>0</v>
      </c>
      <c r="E203" s="285">
        <f>Table13[[#This Row],[Commencement Date]]</f>
        <v>0</v>
      </c>
      <c r="F203" s="284">
        <f t="shared" si="21"/>
        <v>1</v>
      </c>
      <c r="G203" s="284">
        <f t="shared" si="22"/>
        <v>25</v>
      </c>
      <c r="H203" s="286">
        <f>Table13[[#This Row],[Product Option]]</f>
        <v>0</v>
      </c>
      <c r="I203" s="284">
        <f>IF(AND($A203="Main Member",Table2[[#This Row],[Product Option]]="My Value Plus Life"),"MM_LIFE",
IF(AND($A203="Spouse",Table2[[#This Row],[Product Option]]="My Value Plus Life"),"SP_LIFE",
IF(AND($A203="Main Member",Table2[[#This Row],[Product Option]]="My Value Plus Life &amp; Funeral"),"MM_LIFE",
IF(AND($A203="Spouse",Table2[[#This Row],[Product Option]]="My Value Plus Life &amp; Funeral"),_xlfn.XLOOKUP(Table2[[#This Row],[Benefit Name]],Lookups!$D$18:$D$23,Lookups!$E$18:$E$23,0),
0))))</f>
        <v>0</v>
      </c>
      <c r="J203" s="284">
        <f>IF($I203="","",
IF($I203="MM_LIFE",INDEX('Quotation Tool'!$S$54:$V$60,MATCH($T203,'Quotation Tool'!$S$54:$S$60,0),4),
IF($I203="SP_LIFE",_xlfn.XLOOKUP(B202,$B:$B,$J:$J,0),0)))</f>
        <v>0</v>
      </c>
      <c r="K203" s="287">
        <f t="shared" ca="1" si="26"/>
        <v>0</v>
      </c>
      <c r="L203" s="288">
        <f t="shared" ca="1" si="27"/>
        <v>0</v>
      </c>
      <c r="M203" s="289">
        <f t="shared" ca="1" si="23"/>
        <v>0</v>
      </c>
      <c r="N203" s="286">
        <f>Table13[[#This Row],[Benefit Option]]</f>
        <v>0</v>
      </c>
      <c r="O203" s="284">
        <f>IF(OR(Table2[[#This Row],[Member Type]]="Spouse",Table2[[#This Row],[Member Type]]="Child"),0,
IF(_xlfn.XLOOKUP($N203,Lookups!$D$13:$D$27,Lookups!$F$13:$F$27,0)=Table2[[#This Row],[Table Lookup for Life Cover]],0,
_xlfn.XLOOKUP($N203,Lookups!$D$13:$D$27,Lookups!$F$13:$F$27,0)))</f>
        <v>0</v>
      </c>
      <c r="P203" s="284">
        <f>IF(Table2[[#This Row],[Table Lookup for Funeral]]=0,0,IFERROR(INDEX('Quotation Tool'!$S$54:$V$60,MATCH($T203,'Quotation Tool'!$S$54:$S$60,0),3),0))</f>
        <v>0</v>
      </c>
      <c r="Q203" s="288">
        <f ca="1">IF(OR(Table2[[#This Row],[Benefit Name]]="My Value Plus Life - Main Member",Table2[[#This Row],[Benefit Name]]="My Value Plus Life - Spouse"),0,
IFERROR(VLOOKUP($G203,INDIRECT($O203),$P203,FALSE),0))</f>
        <v>0</v>
      </c>
      <c r="R203" s="288">
        <f ca="1">IF(OR(Table2[[#This Row],[Benefit Name]]="My Value Plus Life - Main Member",Table2[[#This Row],[Benefit Name]]="My Value Plus Life - Spouse"),0,
IFERROR(VLOOKUP($G203,INDIRECT($O203),$P203+1,FALSE),0))</f>
        <v>0</v>
      </c>
      <c r="S203" s="289">
        <f t="shared" ca="1" si="24"/>
        <v>0</v>
      </c>
      <c r="T203" s="284" t="str">
        <f>IF(Table13[[#This Row],[Premium Waiver]]="","None",Table13[[#This Row],[Premium Waiver]])</f>
        <v>None</v>
      </c>
      <c r="U203" s="284">
        <f>Table13[[#This Row],[VAPs Options]]</f>
        <v>0</v>
      </c>
      <c r="V203" s="284">
        <f>Table13[[#This Row],[Annual Increase Option]]</f>
        <v>0</v>
      </c>
      <c r="W203" s="290">
        <f>Table13[[#This Row],[Life Cover Amount]]</f>
        <v>0</v>
      </c>
      <c r="X203" s="290">
        <f>Table13[[#This Row],[Funeral Cover Amount]]</f>
        <v>0</v>
      </c>
      <c r="Y20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0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03" s="301">
        <f t="shared" ca="1" si="25"/>
        <v>0</v>
      </c>
      <c r="AB203" s="298"/>
      <c r="AC203" s="326" t="str">
        <f>IF(Table2[[#This Row],[Member Type]]="Main Member",Lookups!$C$13,
IF(Table2[[#This Row],[Member Type]]="Spouse",_xlfn.XLOOKUP(B203,Table2[Main Member Link ID],Table2[Product Option],0),
IF(AND(Table2[[#This Row],[Member Type]]="Child",_xlfn.XLOOKUP(B203,Table2[Main Member Link ID],Table2[Product Option],0)&lt;&gt;"My Value Plus Life"),Lookups!$C$24,
IF(AND(OR(Table2[[#This Row],[Member Type]]="Parent",Table2[[#This Row],[Member Type]]="Extended"),_xlfn.XLOOKUP(B203,Table2[Main Member Link ID],Table2[Product Option],0)&lt;&gt;"My Value Plus Life"),Lookups!$C$26,""))))</f>
        <v/>
      </c>
      <c r="AD203" s="326" t="str">
        <f>IF(Table2[[#This Row],[Member Type]]="Main Member",Lookups!$C$14,"")</f>
        <v/>
      </c>
      <c r="AE20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Funeral",_xlfn.XLOOKUP(B203,Table2[Main Member Link ID],Table2[Benefit Name],0)=Lookups!$D$14),"",
IF(AND(Table2[[#This Row],[Member Type]]="Spouse",Table2[[#This Row],[Product Option]]="My Value Plus Life &amp; Funeral",_xlfn.XLOOKUP(B202,Table2[Main Member Link ID],Table2[Benefit Name],0)=Lookups!$D$15),Lookups!$D$20,
IF(AND(Table2[[#This Row],[Member Type]]="Spouse",Table2[[#This Row],[Product Option]]="My Value Plus Life &amp; Funeral",_xlfn.XLOOKUP(B202,Table2[Main Member Link ID],Table2[Benefit Name],0)=Lookups!$D$16),"",
IF(AND(Table2[[#This Row],[Member Type]]="Spouse",Table2[[#This Row],[Product Option]]="My Value Plus Life &amp; Funeral",_xlfn.XLOOKUP(B202,Table2[Main Member Link ID],Table2[Benefit Name],0)=Lookups!$D$17),Lookups!$D$21,
IF(AND(Table2[[#This Row],[Member Type]]="Child",Table2[[#This Row],[Product Option]]="My Value Plus Life &amp; Funeral",_xlfn.XLOOKUP(B203,Table2[Main Member Link ID],Table2[Benefit Name],0)=Lookups!$D$14),"",
IF(AND(Table2[[#This Row],[Member Type]]="Child",Table2[[#This Row],[Product Option]]="My Value Plus Life &amp; Funeral",_xlfn.XLOOKUP(B203,Table2[Main Member Link ID],Table2[Benefit Name],0)=Lookups!$D$15),"",
IF(AND(Table2[[#This Row],[Member Type]]="Child",Table2[[#This Row],[Product Option]]="My Value Plus Life &amp; Funeral",_xlfn.XLOOKUP(B203,Table2[Main Member Link ID],Table2[Benefit Name],0)=Lookups!$D$16),Lookups!$D$24,
IF(AND(Table2[[#This Row],[Member Type]]="Child",Table2[[#This Row],[Product Option]]="My Value Plus Life &amp; Funeral",_xlfn.XLOOKUP(B203,Table2[Main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Funeral",_xlfn.XLOOKUP(B203,Table2[Main Member Link ID],Table2[Benefit Name],0)&lt;&gt;Lookups!$D$14),
IF(_xlfn.XLOOKUP(B203,Table2[Main Member Link ID],Table2[Benefit Name],0)=0,"",_xlfn.XLOOKUP(B203,Table2[Main Member Link ID],Table2[Benefit Name],0)),"")))))))))))))))</f>
        <v/>
      </c>
      <c r="AF203" s="327" t="str">
        <f>IF(AND(Table2[[#This Row],[Member Type]]="Main Member",Table2[[#This Row],[Product Option]]="My Value Plus Life &amp; Funeral"),Lookups!$D$15,
IF(AND(Table2[[#This Row],[Member Type]]="Spouse",Table2[[#This Row],[Product Option]]="My Value Plus Life &amp; Funeral",_xlfn.XLOOKUP(B203,Table2[Main Member Link ID],Table2[Benefit Name],0)=Lookups!$D$14),"",
IF(AND(Table2[[#This Row],[Member Type]]="Spouse",Table2[[#This Row],[Product Option]]="My Value Plus Life &amp; Funeral",_xlfn.XLOOKUP(B202,Table2[Main Member Link ID],Table2[Benefit Name],0)=Lookups!$D$16),"",
IF(AND(Table2[[#This Row],[Member Type]]="Spouse",Table2[[#This Row],[Product Option]]="My Value Plus Life &amp; Funeral",_xlfn.XLOOKUP(B202,Table2[Main Member Link ID],Table2[Benefit Name],0)=Lookups!$D$15),"",
IF(AND(Table2[[#This Row],[Member Type]]="Spouse",Table2[[#This Row],[Product Option]]="My Value Plus Life &amp; Funeral",_xlfn.XLOOKUP(B202,Table2[Main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Funeral",_xlfn.XLOOKUP(B203,Table2[Main Member Link ID],Table2[Benefit Name],0)&lt;&gt;Lookups!$D$15),
IF(_xlfn.XLOOKUP(B203,Table2[Main Member Link ID],Table2[Benefit Name],0)=0,"",_xlfn.XLOOKUP(B203,Table2[Main Member Link ID],Table2[Benefit Name],0)),"")
))))))</f>
        <v/>
      </c>
      <c r="AG203" s="327" t="str">
        <f>IF(AND(Table2[[#This Row],[Member Type]]="Main Member",Table2[[#This Row],[Product Option]]="My Value Plus Life &amp; Funeral"),Lookups!$D$16,
IF(AND(Table2[[#This Row],[Member Type]]="Spouse",Table2[[#This Row],[Product Option]]="My Value Plus Life &amp; Funeral",_xlfn.XLOOKUP(B203,Table2[Main Member Link ID],Table2[Benefit Name],0)=Lookups!$D$14),"",
IF(AND(Table2[[#This Row],[Member Type]]="Spouse",Table2[[#This Row],[Product Option]]="My Value Plus Life &amp; Funeral",_xlfn.XLOOKUP(B202,Table2[Main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Funeral",_xlfn.XLOOKUP(B203,Table2[Main Member Link ID],Table2[Benefit Name],0)&lt;&gt;Lookups!$D$16),
IF(_xlfn.XLOOKUP(B203,Table2[Main Member Link ID],Table2[Benefit Name],0)=0,"",_xlfn.XLOOKUP(B203,Table2[Main Member Link ID],Table2[Benefit Name],0)),"")
))))</f>
        <v/>
      </c>
      <c r="AH203" s="327" t="str">
        <f>IF(AND(Table2[[#This Row],[Member Type]]="Main Member",Table2[[#This Row],[Product Option]]="My Value Plus Life &amp; Funeral"),Lookups!$D$17,
IF(AND(Table2[[#This Row],[Member Type]]="Spouse",Table2[[#This Row],[Product Option]]="My Value Plus Life &amp; Funeral",_xlfn.XLOOKUP(B203,Table2[Main Member Link ID],Table2[Benefit Name],0)=Lookups!$D$14),"",
IF(AND(Table2[[#This Row],[Member Type]]="Spouse",Table2[[#This Row],[Product Option]]="My Value Plus Life &amp; Funeral",_xlfn.XLOOKUP(B202,Table2[Main Member Link ID],Table2[Benefit Name],0)=Lookups!$D$16),"",
IF(AND(Table2[[#This Row],[Member Type]]="Child",Table2[[#This Row],[Product Option]]="My Value Plus Life &amp; Funeral"),"",
IF(AND(Table2[[#This Row],[Member Type]]="Child",Table2[[#This Row],[Product Option]]="My Value Plus Life &amp; Funeral",_xlfn.XLOOKUP(B203,Table2[Main Member Link ID],Table2[Benefit Name],0)=Lookups!$D$15),"",
IF(AND(OR(Table2[[#This Row],[Member Type]]="Spouse",Table2[[#This Row],[Member Type]]="Child"),Table2[[#This Row],[Product Option]]="My Value Plus Life &amp; Funeral",_xlfn.XLOOKUP(B203,Table2[Main Member Link ID],Table2[Benefit Name],0)&lt;&gt;Lookups!$D$17),
IF(_xlfn.XLOOKUP(B203,Table2[Main Member Link ID],Table2[Benefit Name],0)=0,"",_xlfn.XLOOKUP(B203,Table2[Main Member Link ID],Table2[Benefit Name],0)),""))))))</f>
        <v/>
      </c>
      <c r="AI203" s="328" t="str">
        <f>IF(AND(Table2[[#This Row],[Member Type]]="Main Member",Table2[[#This Row],[Table Lookup for Life Cover]]="MM_LIFE",Table2[[#This Row],[Age Next Birthday]]&lt;56),1,
IF(AND(Table2[[#This Row],[Member Type]]="Main Member",Table2[[#This Row],[Table Lookup for Life Cover]]="MM_LIFE",Table2[[#This Row],[Age Next Birthday]]&gt;=56),2,
""))</f>
        <v/>
      </c>
      <c r="AJ203" s="328">
        <f>IF(OR(Table2[[#This Row],[Member Type]]="Main Member",Table2[[#This Row],[Main Member Link ID]]=B202),1,0)</f>
        <v>1</v>
      </c>
      <c r="AK203" s="328">
        <f>IF(Table2[[#This Row],[Member Type]]=0,0,
IF(OR(Table2[[#This Row],[Member Type]]="Main Member",Table2[[#This Row],[Main Member Link ID]]&lt;&gt;B203),COUNTIFS(B:B,Table2[[#This Row],[Main Member Link ID]]),
COUNTIFS(B:B,Table2[[#This Row],[Main Member Link ID]],A:A,Table2[[#This Row],[Member Type]])))</f>
        <v>0</v>
      </c>
    </row>
    <row r="204" spans="1:37" x14ac:dyDescent="0.3">
      <c r="A204" s="284">
        <f>Table13[[#This Row],[Member Type]]</f>
        <v>0</v>
      </c>
      <c r="B204" s="284">
        <f>Table13[[#This Row],[Main Member Link ID]]</f>
        <v>0</v>
      </c>
      <c r="C204" s="284">
        <f>Table13[[#This Row],[ID Number]]</f>
        <v>0</v>
      </c>
      <c r="D204" s="285">
        <f>Table13[[#This Row],[Date Of Birth]]</f>
        <v>0</v>
      </c>
      <c r="E204" s="285">
        <f>Table13[[#This Row],[Commencement Date]]</f>
        <v>0</v>
      </c>
      <c r="F204" s="284">
        <f t="shared" si="21"/>
        <v>1</v>
      </c>
      <c r="G204" s="284">
        <f t="shared" si="22"/>
        <v>25</v>
      </c>
      <c r="H204" s="286">
        <f>Table13[[#This Row],[Product Option]]</f>
        <v>0</v>
      </c>
      <c r="I204" s="284">
        <f>IF(AND($A204="Main Member",Table2[[#This Row],[Product Option]]="My Value Plus Life"),"MM_LIFE",
IF(AND($A204="Spouse",Table2[[#This Row],[Product Option]]="My Value Plus Life"),"SP_LIFE",
IF(AND($A204="Main Member",Table2[[#This Row],[Product Option]]="My Value Plus Life &amp; Funeral"),"MM_LIFE",
IF(AND($A204="Spouse",Table2[[#This Row],[Product Option]]="My Value Plus Life &amp; Funeral"),_xlfn.XLOOKUP(Table2[[#This Row],[Benefit Name]],Lookups!$D$18:$D$23,Lookups!$E$18:$E$23,0),
0))))</f>
        <v>0</v>
      </c>
      <c r="J204" s="284">
        <f>IF($I204="","",
IF($I204="MM_LIFE",INDEX('Quotation Tool'!$S$54:$V$60,MATCH($T204,'Quotation Tool'!$S$54:$S$60,0),4),
IF($I204="SP_LIFE",_xlfn.XLOOKUP(B203,$B:$B,$J:$J,0),0)))</f>
        <v>0</v>
      </c>
      <c r="K204" s="287">
        <f t="shared" ca="1" si="26"/>
        <v>0</v>
      </c>
      <c r="L204" s="288">
        <f t="shared" ca="1" si="27"/>
        <v>0</v>
      </c>
      <c r="M204" s="289">
        <f t="shared" ca="1" si="23"/>
        <v>0</v>
      </c>
      <c r="N204" s="286">
        <f>Table13[[#This Row],[Benefit Option]]</f>
        <v>0</v>
      </c>
      <c r="O204" s="284">
        <f>IF(OR(Table2[[#This Row],[Member Type]]="Spouse",Table2[[#This Row],[Member Type]]="Child"),0,
IF(_xlfn.XLOOKUP($N204,Lookups!$D$13:$D$27,Lookups!$F$13:$F$27,0)=Table2[[#This Row],[Table Lookup for Life Cover]],0,
_xlfn.XLOOKUP($N204,Lookups!$D$13:$D$27,Lookups!$F$13:$F$27,0)))</f>
        <v>0</v>
      </c>
      <c r="P204" s="284">
        <f>IF(Table2[[#This Row],[Table Lookup for Funeral]]=0,0,IFERROR(INDEX('Quotation Tool'!$S$54:$V$60,MATCH($T204,'Quotation Tool'!$S$54:$S$60,0),3),0))</f>
        <v>0</v>
      </c>
      <c r="Q204" s="288">
        <f ca="1">IF(OR(Table2[[#This Row],[Benefit Name]]="My Value Plus Life - Main Member",Table2[[#This Row],[Benefit Name]]="My Value Plus Life - Spouse"),0,
IFERROR(VLOOKUP($G204,INDIRECT($O204),$P204,FALSE),0))</f>
        <v>0</v>
      </c>
      <c r="R204" s="288">
        <f ca="1">IF(OR(Table2[[#This Row],[Benefit Name]]="My Value Plus Life - Main Member",Table2[[#This Row],[Benefit Name]]="My Value Plus Life - Spouse"),0,
IFERROR(VLOOKUP($G204,INDIRECT($O204),$P204+1,FALSE),0))</f>
        <v>0</v>
      </c>
      <c r="S204" s="289">
        <f t="shared" ca="1" si="24"/>
        <v>0</v>
      </c>
      <c r="T204" s="284" t="str">
        <f>IF(Table13[[#This Row],[Premium Waiver]]="","None",Table13[[#This Row],[Premium Waiver]])</f>
        <v>None</v>
      </c>
      <c r="U204" s="284">
        <f>Table13[[#This Row],[VAPs Options]]</f>
        <v>0</v>
      </c>
      <c r="V204" s="284">
        <f>Table13[[#This Row],[Annual Increase Option]]</f>
        <v>0</v>
      </c>
      <c r="W204" s="290">
        <f>Table13[[#This Row],[Life Cover Amount]]</f>
        <v>0</v>
      </c>
      <c r="X204" s="290">
        <f>Table13[[#This Row],[Funeral Cover Amount]]</f>
        <v>0</v>
      </c>
      <c r="Y20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0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04" s="301">
        <f t="shared" ca="1" si="25"/>
        <v>0</v>
      </c>
      <c r="AB204" s="298"/>
      <c r="AC204" s="326" t="str">
        <f>IF(Table2[[#This Row],[Member Type]]="Main Member",Lookups!$C$13,
IF(Table2[[#This Row],[Member Type]]="Spouse",_xlfn.XLOOKUP(B204,Table2[Main Member Link ID],Table2[Product Option],0),
IF(AND(Table2[[#This Row],[Member Type]]="Child",_xlfn.XLOOKUP(B204,Table2[Main Member Link ID],Table2[Product Option],0)&lt;&gt;"My Value Plus Life"),Lookups!$C$24,
IF(AND(OR(Table2[[#This Row],[Member Type]]="Parent",Table2[[#This Row],[Member Type]]="Extended"),_xlfn.XLOOKUP(B204,Table2[Main Member Link ID],Table2[Product Option],0)&lt;&gt;"My Value Plus Life"),Lookups!$C$26,""))))</f>
        <v/>
      </c>
      <c r="AD204" s="326" t="str">
        <f>IF(Table2[[#This Row],[Member Type]]="Main Member",Lookups!$C$14,"")</f>
        <v/>
      </c>
      <c r="AE20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Funeral",_xlfn.XLOOKUP(B204,Table2[Main Member Link ID],Table2[Benefit Name],0)=Lookups!$D$14),"",
IF(AND(Table2[[#This Row],[Member Type]]="Spouse",Table2[[#This Row],[Product Option]]="My Value Plus Life &amp; Funeral",_xlfn.XLOOKUP(B203,Table2[Main Member Link ID],Table2[Benefit Name],0)=Lookups!$D$15),Lookups!$D$20,
IF(AND(Table2[[#This Row],[Member Type]]="Spouse",Table2[[#This Row],[Product Option]]="My Value Plus Life &amp; Funeral",_xlfn.XLOOKUP(B203,Table2[Main Member Link ID],Table2[Benefit Name],0)=Lookups!$D$16),"",
IF(AND(Table2[[#This Row],[Member Type]]="Spouse",Table2[[#This Row],[Product Option]]="My Value Plus Life &amp; Funeral",_xlfn.XLOOKUP(B203,Table2[Main Member Link ID],Table2[Benefit Name],0)=Lookups!$D$17),Lookups!$D$21,
IF(AND(Table2[[#This Row],[Member Type]]="Child",Table2[[#This Row],[Product Option]]="My Value Plus Life &amp; Funeral",_xlfn.XLOOKUP(B204,Table2[Main Member Link ID],Table2[Benefit Name],0)=Lookups!$D$14),"",
IF(AND(Table2[[#This Row],[Member Type]]="Child",Table2[[#This Row],[Product Option]]="My Value Plus Life &amp; Funeral",_xlfn.XLOOKUP(B204,Table2[Main Member Link ID],Table2[Benefit Name],0)=Lookups!$D$15),"",
IF(AND(Table2[[#This Row],[Member Type]]="Child",Table2[[#This Row],[Product Option]]="My Value Plus Life &amp; Funeral",_xlfn.XLOOKUP(B204,Table2[Main Member Link ID],Table2[Benefit Name],0)=Lookups!$D$16),Lookups!$D$24,
IF(AND(Table2[[#This Row],[Member Type]]="Child",Table2[[#This Row],[Product Option]]="My Value Plus Life &amp; Funeral",_xlfn.XLOOKUP(B204,Table2[Main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Funeral",_xlfn.XLOOKUP(B204,Table2[Main Member Link ID],Table2[Benefit Name],0)&lt;&gt;Lookups!$D$14),
IF(_xlfn.XLOOKUP(B204,Table2[Main Member Link ID],Table2[Benefit Name],0)=0,"",_xlfn.XLOOKUP(B204,Table2[Main Member Link ID],Table2[Benefit Name],0)),"")))))))))))))))</f>
        <v/>
      </c>
      <c r="AF204" s="327" t="str">
        <f>IF(AND(Table2[[#This Row],[Member Type]]="Main Member",Table2[[#This Row],[Product Option]]="My Value Plus Life &amp; Funeral"),Lookups!$D$15,
IF(AND(Table2[[#This Row],[Member Type]]="Spouse",Table2[[#This Row],[Product Option]]="My Value Plus Life &amp; Funeral",_xlfn.XLOOKUP(B204,Table2[Main Member Link ID],Table2[Benefit Name],0)=Lookups!$D$14),"",
IF(AND(Table2[[#This Row],[Member Type]]="Spouse",Table2[[#This Row],[Product Option]]="My Value Plus Life &amp; Funeral",_xlfn.XLOOKUP(B203,Table2[Main Member Link ID],Table2[Benefit Name],0)=Lookups!$D$16),"",
IF(AND(Table2[[#This Row],[Member Type]]="Spouse",Table2[[#This Row],[Product Option]]="My Value Plus Life &amp; Funeral",_xlfn.XLOOKUP(B203,Table2[Main Member Link ID],Table2[Benefit Name],0)=Lookups!$D$15),"",
IF(AND(Table2[[#This Row],[Member Type]]="Spouse",Table2[[#This Row],[Product Option]]="My Value Plus Life &amp; Funeral",_xlfn.XLOOKUP(B203,Table2[Main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Funeral",_xlfn.XLOOKUP(B204,Table2[Main Member Link ID],Table2[Benefit Name],0)&lt;&gt;Lookups!$D$15),
IF(_xlfn.XLOOKUP(B204,Table2[Main Member Link ID],Table2[Benefit Name],0)=0,"",_xlfn.XLOOKUP(B204,Table2[Main Member Link ID],Table2[Benefit Name],0)),"")
))))))</f>
        <v/>
      </c>
      <c r="AG204" s="327" t="str">
        <f>IF(AND(Table2[[#This Row],[Member Type]]="Main Member",Table2[[#This Row],[Product Option]]="My Value Plus Life &amp; Funeral"),Lookups!$D$16,
IF(AND(Table2[[#This Row],[Member Type]]="Spouse",Table2[[#This Row],[Product Option]]="My Value Plus Life &amp; Funeral",_xlfn.XLOOKUP(B204,Table2[Main Member Link ID],Table2[Benefit Name],0)=Lookups!$D$14),"",
IF(AND(Table2[[#This Row],[Member Type]]="Spouse",Table2[[#This Row],[Product Option]]="My Value Plus Life &amp; Funeral",_xlfn.XLOOKUP(B203,Table2[Main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Funeral",_xlfn.XLOOKUP(B204,Table2[Main Member Link ID],Table2[Benefit Name],0)&lt;&gt;Lookups!$D$16),
IF(_xlfn.XLOOKUP(B204,Table2[Main Member Link ID],Table2[Benefit Name],0)=0,"",_xlfn.XLOOKUP(B204,Table2[Main Member Link ID],Table2[Benefit Name],0)),"")
))))</f>
        <v/>
      </c>
      <c r="AH204" s="327" t="str">
        <f>IF(AND(Table2[[#This Row],[Member Type]]="Main Member",Table2[[#This Row],[Product Option]]="My Value Plus Life &amp; Funeral"),Lookups!$D$17,
IF(AND(Table2[[#This Row],[Member Type]]="Spouse",Table2[[#This Row],[Product Option]]="My Value Plus Life &amp; Funeral",_xlfn.XLOOKUP(B204,Table2[Main Member Link ID],Table2[Benefit Name],0)=Lookups!$D$14),"",
IF(AND(Table2[[#This Row],[Member Type]]="Spouse",Table2[[#This Row],[Product Option]]="My Value Plus Life &amp; Funeral",_xlfn.XLOOKUP(B203,Table2[Main Member Link ID],Table2[Benefit Name],0)=Lookups!$D$16),"",
IF(AND(Table2[[#This Row],[Member Type]]="Child",Table2[[#This Row],[Product Option]]="My Value Plus Life &amp; Funeral"),"",
IF(AND(Table2[[#This Row],[Member Type]]="Child",Table2[[#This Row],[Product Option]]="My Value Plus Life &amp; Funeral",_xlfn.XLOOKUP(B204,Table2[Main Member Link ID],Table2[Benefit Name],0)=Lookups!$D$15),"",
IF(AND(OR(Table2[[#This Row],[Member Type]]="Spouse",Table2[[#This Row],[Member Type]]="Child"),Table2[[#This Row],[Product Option]]="My Value Plus Life &amp; Funeral",_xlfn.XLOOKUP(B204,Table2[Main Member Link ID],Table2[Benefit Name],0)&lt;&gt;Lookups!$D$17),
IF(_xlfn.XLOOKUP(B204,Table2[Main Member Link ID],Table2[Benefit Name],0)=0,"",_xlfn.XLOOKUP(B204,Table2[Main Member Link ID],Table2[Benefit Name],0)),""))))))</f>
        <v/>
      </c>
      <c r="AI204" s="328" t="str">
        <f>IF(AND(Table2[[#This Row],[Member Type]]="Main Member",Table2[[#This Row],[Table Lookup for Life Cover]]="MM_LIFE",Table2[[#This Row],[Age Next Birthday]]&lt;56),1,
IF(AND(Table2[[#This Row],[Member Type]]="Main Member",Table2[[#This Row],[Table Lookup for Life Cover]]="MM_LIFE",Table2[[#This Row],[Age Next Birthday]]&gt;=56),2,
""))</f>
        <v/>
      </c>
      <c r="AJ204" s="328">
        <f>IF(OR(Table2[[#This Row],[Member Type]]="Main Member",Table2[[#This Row],[Main Member Link ID]]=B203),1,0)</f>
        <v>1</v>
      </c>
      <c r="AK204" s="328">
        <f>IF(Table2[[#This Row],[Member Type]]=0,0,
IF(OR(Table2[[#This Row],[Member Type]]="Main Member",Table2[[#This Row],[Main Member Link ID]]&lt;&gt;B204),COUNTIFS(B:B,Table2[[#This Row],[Main Member Link ID]]),
COUNTIFS(B:B,Table2[[#This Row],[Main Member Link ID]],A:A,Table2[[#This Row],[Member Type]])))</f>
        <v>0</v>
      </c>
    </row>
    <row r="205" spans="1:37" x14ac:dyDescent="0.3">
      <c r="A205" s="284">
        <f>Table13[[#This Row],[Member Type]]</f>
        <v>0</v>
      </c>
      <c r="B205" s="284">
        <f>Table13[[#This Row],[Main Member Link ID]]</f>
        <v>0</v>
      </c>
      <c r="C205" s="284">
        <f>Table13[[#This Row],[ID Number]]</f>
        <v>0</v>
      </c>
      <c r="D205" s="285">
        <f>Table13[[#This Row],[Date Of Birth]]</f>
        <v>0</v>
      </c>
      <c r="E205" s="285">
        <f>Table13[[#This Row],[Commencement Date]]</f>
        <v>0</v>
      </c>
      <c r="F205" s="284">
        <f t="shared" si="21"/>
        <v>1</v>
      </c>
      <c r="G205" s="284">
        <f t="shared" si="22"/>
        <v>25</v>
      </c>
      <c r="H205" s="286">
        <f>Table13[[#This Row],[Product Option]]</f>
        <v>0</v>
      </c>
      <c r="I205" s="284">
        <f>IF(AND($A205="Main Member",Table2[[#This Row],[Product Option]]="My Value Plus Life"),"MM_LIFE",
IF(AND($A205="Spouse",Table2[[#This Row],[Product Option]]="My Value Plus Life"),"SP_LIFE",
IF(AND($A205="Main Member",Table2[[#This Row],[Product Option]]="My Value Plus Life &amp; Funeral"),"MM_LIFE",
IF(AND($A205="Spouse",Table2[[#This Row],[Product Option]]="My Value Plus Life &amp; Funeral"),_xlfn.XLOOKUP(Table2[[#This Row],[Benefit Name]],Lookups!$D$18:$D$23,Lookups!$E$18:$E$23,0),
0))))</f>
        <v>0</v>
      </c>
      <c r="J205" s="284">
        <f>IF($I205="","",
IF($I205="MM_LIFE",INDEX('Quotation Tool'!$S$54:$V$60,MATCH($T205,'Quotation Tool'!$S$54:$S$60,0),4),
IF($I205="SP_LIFE",_xlfn.XLOOKUP(B204,$B:$B,$J:$J,0),0)))</f>
        <v>0</v>
      </c>
      <c r="K205" s="287">
        <f t="shared" ca="1" si="26"/>
        <v>0</v>
      </c>
      <c r="L205" s="288">
        <f t="shared" ca="1" si="27"/>
        <v>0</v>
      </c>
      <c r="M205" s="289">
        <f t="shared" ca="1" si="23"/>
        <v>0</v>
      </c>
      <c r="N205" s="286">
        <f>Table13[[#This Row],[Benefit Option]]</f>
        <v>0</v>
      </c>
      <c r="O205" s="284">
        <f>IF(OR(Table2[[#This Row],[Member Type]]="Spouse",Table2[[#This Row],[Member Type]]="Child"),0,
IF(_xlfn.XLOOKUP($N205,Lookups!$D$13:$D$27,Lookups!$F$13:$F$27,0)=Table2[[#This Row],[Table Lookup for Life Cover]],0,
_xlfn.XLOOKUP($N205,Lookups!$D$13:$D$27,Lookups!$F$13:$F$27,0)))</f>
        <v>0</v>
      </c>
      <c r="P205" s="284">
        <f>IF(Table2[[#This Row],[Table Lookup for Funeral]]=0,0,IFERROR(INDEX('Quotation Tool'!$S$54:$V$60,MATCH($T205,'Quotation Tool'!$S$54:$S$60,0),3),0))</f>
        <v>0</v>
      </c>
      <c r="Q205" s="288">
        <f ca="1">IF(OR(Table2[[#This Row],[Benefit Name]]="My Value Plus Life - Main Member",Table2[[#This Row],[Benefit Name]]="My Value Plus Life - Spouse"),0,
IFERROR(VLOOKUP($G205,INDIRECT($O205),$P205,FALSE),0))</f>
        <v>0</v>
      </c>
      <c r="R205" s="288">
        <f ca="1">IF(OR(Table2[[#This Row],[Benefit Name]]="My Value Plus Life - Main Member",Table2[[#This Row],[Benefit Name]]="My Value Plus Life - Spouse"),0,
IFERROR(VLOOKUP($G205,INDIRECT($O205),$P205+1,FALSE),0))</f>
        <v>0</v>
      </c>
      <c r="S205" s="289">
        <f t="shared" ca="1" si="24"/>
        <v>0</v>
      </c>
      <c r="T205" s="284" t="str">
        <f>IF(Table13[[#This Row],[Premium Waiver]]="","None",Table13[[#This Row],[Premium Waiver]])</f>
        <v>None</v>
      </c>
      <c r="U205" s="284">
        <f>Table13[[#This Row],[VAPs Options]]</f>
        <v>0</v>
      </c>
      <c r="V205" s="284">
        <f>Table13[[#This Row],[Annual Increase Option]]</f>
        <v>0</v>
      </c>
      <c r="W205" s="290">
        <f>Table13[[#This Row],[Life Cover Amount]]</f>
        <v>0</v>
      </c>
      <c r="X205" s="290">
        <f>Table13[[#This Row],[Funeral Cover Amount]]</f>
        <v>0</v>
      </c>
      <c r="Y20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0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05" s="301">
        <f t="shared" ca="1" si="25"/>
        <v>0</v>
      </c>
      <c r="AB205" s="298"/>
      <c r="AC205" s="326" t="str">
        <f>IF(Table2[[#This Row],[Member Type]]="Main Member",Lookups!$C$13,
IF(Table2[[#This Row],[Member Type]]="Spouse",_xlfn.XLOOKUP(B205,Table2[Main Member Link ID],Table2[Product Option],0),
IF(AND(Table2[[#This Row],[Member Type]]="Child",_xlfn.XLOOKUP(B205,Table2[Main Member Link ID],Table2[Product Option],0)&lt;&gt;"My Value Plus Life"),Lookups!$C$24,
IF(AND(OR(Table2[[#This Row],[Member Type]]="Parent",Table2[[#This Row],[Member Type]]="Extended"),_xlfn.XLOOKUP(B205,Table2[Main Member Link ID],Table2[Product Option],0)&lt;&gt;"My Value Plus Life"),Lookups!$C$26,""))))</f>
        <v/>
      </c>
      <c r="AD205" s="326" t="str">
        <f>IF(Table2[[#This Row],[Member Type]]="Main Member",Lookups!$C$14,"")</f>
        <v/>
      </c>
      <c r="AE20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Funeral",_xlfn.XLOOKUP(B205,Table2[Main Member Link ID],Table2[Benefit Name],0)=Lookups!$D$14),"",
IF(AND(Table2[[#This Row],[Member Type]]="Spouse",Table2[[#This Row],[Product Option]]="My Value Plus Life &amp; Funeral",_xlfn.XLOOKUP(B204,Table2[Main Member Link ID],Table2[Benefit Name],0)=Lookups!$D$15),Lookups!$D$20,
IF(AND(Table2[[#This Row],[Member Type]]="Spouse",Table2[[#This Row],[Product Option]]="My Value Plus Life &amp; Funeral",_xlfn.XLOOKUP(B204,Table2[Main Member Link ID],Table2[Benefit Name],0)=Lookups!$D$16),"",
IF(AND(Table2[[#This Row],[Member Type]]="Spouse",Table2[[#This Row],[Product Option]]="My Value Plus Life &amp; Funeral",_xlfn.XLOOKUP(B204,Table2[Main Member Link ID],Table2[Benefit Name],0)=Lookups!$D$17),Lookups!$D$21,
IF(AND(Table2[[#This Row],[Member Type]]="Child",Table2[[#This Row],[Product Option]]="My Value Plus Life &amp; Funeral",_xlfn.XLOOKUP(B205,Table2[Main Member Link ID],Table2[Benefit Name],0)=Lookups!$D$14),"",
IF(AND(Table2[[#This Row],[Member Type]]="Child",Table2[[#This Row],[Product Option]]="My Value Plus Life &amp; Funeral",_xlfn.XLOOKUP(B205,Table2[Main Member Link ID],Table2[Benefit Name],0)=Lookups!$D$15),"",
IF(AND(Table2[[#This Row],[Member Type]]="Child",Table2[[#This Row],[Product Option]]="My Value Plus Life &amp; Funeral",_xlfn.XLOOKUP(B205,Table2[Main Member Link ID],Table2[Benefit Name],0)=Lookups!$D$16),Lookups!$D$24,
IF(AND(Table2[[#This Row],[Member Type]]="Child",Table2[[#This Row],[Product Option]]="My Value Plus Life &amp; Funeral",_xlfn.XLOOKUP(B205,Table2[Main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Funeral",_xlfn.XLOOKUP(B205,Table2[Main Member Link ID],Table2[Benefit Name],0)&lt;&gt;Lookups!$D$14),
IF(_xlfn.XLOOKUP(B205,Table2[Main Member Link ID],Table2[Benefit Name],0)=0,"",_xlfn.XLOOKUP(B205,Table2[Main Member Link ID],Table2[Benefit Name],0)),"")))))))))))))))</f>
        <v/>
      </c>
      <c r="AF205" s="327" t="str">
        <f>IF(AND(Table2[[#This Row],[Member Type]]="Main Member",Table2[[#This Row],[Product Option]]="My Value Plus Life &amp; Funeral"),Lookups!$D$15,
IF(AND(Table2[[#This Row],[Member Type]]="Spouse",Table2[[#This Row],[Product Option]]="My Value Plus Life &amp; Funeral",_xlfn.XLOOKUP(B205,Table2[Main Member Link ID],Table2[Benefit Name],0)=Lookups!$D$14),"",
IF(AND(Table2[[#This Row],[Member Type]]="Spouse",Table2[[#This Row],[Product Option]]="My Value Plus Life &amp; Funeral",_xlfn.XLOOKUP(B204,Table2[Main Member Link ID],Table2[Benefit Name],0)=Lookups!$D$16),"",
IF(AND(Table2[[#This Row],[Member Type]]="Spouse",Table2[[#This Row],[Product Option]]="My Value Plus Life &amp; Funeral",_xlfn.XLOOKUP(B204,Table2[Main Member Link ID],Table2[Benefit Name],0)=Lookups!$D$15),"",
IF(AND(Table2[[#This Row],[Member Type]]="Spouse",Table2[[#This Row],[Product Option]]="My Value Plus Life &amp; Funeral",_xlfn.XLOOKUP(B204,Table2[Main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Funeral",_xlfn.XLOOKUP(B205,Table2[Main Member Link ID],Table2[Benefit Name],0)&lt;&gt;Lookups!$D$15),
IF(_xlfn.XLOOKUP(B205,Table2[Main Member Link ID],Table2[Benefit Name],0)=0,"",_xlfn.XLOOKUP(B205,Table2[Main Member Link ID],Table2[Benefit Name],0)),"")
))))))</f>
        <v/>
      </c>
      <c r="AG205" s="327" t="str">
        <f>IF(AND(Table2[[#This Row],[Member Type]]="Main Member",Table2[[#This Row],[Product Option]]="My Value Plus Life &amp; Funeral"),Lookups!$D$16,
IF(AND(Table2[[#This Row],[Member Type]]="Spouse",Table2[[#This Row],[Product Option]]="My Value Plus Life &amp; Funeral",_xlfn.XLOOKUP(B205,Table2[Main Member Link ID],Table2[Benefit Name],0)=Lookups!$D$14),"",
IF(AND(Table2[[#This Row],[Member Type]]="Spouse",Table2[[#This Row],[Product Option]]="My Value Plus Life &amp; Funeral",_xlfn.XLOOKUP(B204,Table2[Main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Funeral",_xlfn.XLOOKUP(B205,Table2[Main Member Link ID],Table2[Benefit Name],0)&lt;&gt;Lookups!$D$16),
IF(_xlfn.XLOOKUP(B205,Table2[Main Member Link ID],Table2[Benefit Name],0)=0,"",_xlfn.XLOOKUP(B205,Table2[Main Member Link ID],Table2[Benefit Name],0)),"")
))))</f>
        <v/>
      </c>
      <c r="AH205" s="327" t="str">
        <f>IF(AND(Table2[[#This Row],[Member Type]]="Main Member",Table2[[#This Row],[Product Option]]="My Value Plus Life &amp; Funeral"),Lookups!$D$17,
IF(AND(Table2[[#This Row],[Member Type]]="Spouse",Table2[[#This Row],[Product Option]]="My Value Plus Life &amp; Funeral",_xlfn.XLOOKUP(B205,Table2[Main Member Link ID],Table2[Benefit Name],0)=Lookups!$D$14),"",
IF(AND(Table2[[#This Row],[Member Type]]="Spouse",Table2[[#This Row],[Product Option]]="My Value Plus Life &amp; Funeral",_xlfn.XLOOKUP(B204,Table2[Main Member Link ID],Table2[Benefit Name],0)=Lookups!$D$16),"",
IF(AND(Table2[[#This Row],[Member Type]]="Child",Table2[[#This Row],[Product Option]]="My Value Plus Life &amp; Funeral"),"",
IF(AND(Table2[[#This Row],[Member Type]]="Child",Table2[[#This Row],[Product Option]]="My Value Plus Life &amp; Funeral",_xlfn.XLOOKUP(B205,Table2[Main Member Link ID],Table2[Benefit Name],0)=Lookups!$D$15),"",
IF(AND(OR(Table2[[#This Row],[Member Type]]="Spouse",Table2[[#This Row],[Member Type]]="Child"),Table2[[#This Row],[Product Option]]="My Value Plus Life &amp; Funeral",_xlfn.XLOOKUP(B205,Table2[Main Member Link ID],Table2[Benefit Name],0)&lt;&gt;Lookups!$D$17),
IF(_xlfn.XLOOKUP(B205,Table2[Main Member Link ID],Table2[Benefit Name],0)=0,"",_xlfn.XLOOKUP(B205,Table2[Main Member Link ID],Table2[Benefit Name],0)),""))))))</f>
        <v/>
      </c>
      <c r="AI205" s="328" t="str">
        <f>IF(AND(Table2[[#This Row],[Member Type]]="Main Member",Table2[[#This Row],[Table Lookup for Life Cover]]="MM_LIFE",Table2[[#This Row],[Age Next Birthday]]&lt;56),1,
IF(AND(Table2[[#This Row],[Member Type]]="Main Member",Table2[[#This Row],[Table Lookup for Life Cover]]="MM_LIFE",Table2[[#This Row],[Age Next Birthday]]&gt;=56),2,
""))</f>
        <v/>
      </c>
      <c r="AJ205" s="328">
        <f>IF(OR(Table2[[#This Row],[Member Type]]="Main Member",Table2[[#This Row],[Main Member Link ID]]=B204),1,0)</f>
        <v>1</v>
      </c>
      <c r="AK205" s="328">
        <f>IF(Table2[[#This Row],[Member Type]]=0,0,
IF(OR(Table2[[#This Row],[Member Type]]="Main Member",Table2[[#This Row],[Main Member Link ID]]&lt;&gt;B205),COUNTIFS(B:B,Table2[[#This Row],[Main Member Link ID]]),
COUNTIFS(B:B,Table2[[#This Row],[Main Member Link ID]],A:A,Table2[[#This Row],[Member Type]])))</f>
        <v>0</v>
      </c>
    </row>
    <row r="206" spans="1:37" x14ac:dyDescent="0.3">
      <c r="A206" s="284">
        <f>Table13[[#This Row],[Member Type]]</f>
        <v>0</v>
      </c>
      <c r="B206" s="284">
        <f>Table13[[#This Row],[Main Member Link ID]]</f>
        <v>0</v>
      </c>
      <c r="C206" s="284">
        <f>Table13[[#This Row],[ID Number]]</f>
        <v>0</v>
      </c>
      <c r="D206" s="285">
        <f>Table13[[#This Row],[Date Of Birth]]</f>
        <v>0</v>
      </c>
      <c r="E206" s="285">
        <f>Table13[[#This Row],[Commencement Date]]</f>
        <v>0</v>
      </c>
      <c r="F206" s="284">
        <f t="shared" si="21"/>
        <v>1</v>
      </c>
      <c r="G206" s="284">
        <f t="shared" si="22"/>
        <v>25</v>
      </c>
      <c r="H206" s="286">
        <f>Table13[[#This Row],[Product Option]]</f>
        <v>0</v>
      </c>
      <c r="I206" s="284">
        <f>IF(AND($A206="Main Member",Table2[[#This Row],[Product Option]]="My Value Plus Life"),"MM_LIFE",
IF(AND($A206="Spouse",Table2[[#This Row],[Product Option]]="My Value Plus Life"),"SP_LIFE",
IF(AND($A206="Main Member",Table2[[#This Row],[Product Option]]="My Value Plus Life &amp; Funeral"),"MM_LIFE",
IF(AND($A206="Spouse",Table2[[#This Row],[Product Option]]="My Value Plus Life &amp; Funeral"),_xlfn.XLOOKUP(Table2[[#This Row],[Benefit Name]],Lookups!$D$18:$D$23,Lookups!$E$18:$E$23,0),
0))))</f>
        <v>0</v>
      </c>
      <c r="J206" s="284">
        <f>IF($I206="","",
IF($I206="MM_LIFE",INDEX('Quotation Tool'!$S$54:$V$60,MATCH($T206,'Quotation Tool'!$S$54:$S$60,0),4),
IF($I206="SP_LIFE",_xlfn.XLOOKUP(B205,$B:$B,$J:$J,0),0)))</f>
        <v>0</v>
      </c>
      <c r="K206" s="287">
        <f t="shared" ca="1" si="26"/>
        <v>0</v>
      </c>
      <c r="L206" s="288">
        <f t="shared" ca="1" si="27"/>
        <v>0</v>
      </c>
      <c r="M206" s="289">
        <f t="shared" ca="1" si="23"/>
        <v>0</v>
      </c>
      <c r="N206" s="286">
        <f>Table13[[#This Row],[Benefit Option]]</f>
        <v>0</v>
      </c>
      <c r="O206" s="284">
        <f>IF(OR(Table2[[#This Row],[Member Type]]="Spouse",Table2[[#This Row],[Member Type]]="Child"),0,
IF(_xlfn.XLOOKUP($N206,Lookups!$D$13:$D$27,Lookups!$F$13:$F$27,0)=Table2[[#This Row],[Table Lookup for Life Cover]],0,
_xlfn.XLOOKUP($N206,Lookups!$D$13:$D$27,Lookups!$F$13:$F$27,0)))</f>
        <v>0</v>
      </c>
      <c r="P206" s="284">
        <f>IF(Table2[[#This Row],[Table Lookup for Funeral]]=0,0,IFERROR(INDEX('Quotation Tool'!$S$54:$V$60,MATCH($T206,'Quotation Tool'!$S$54:$S$60,0),3),0))</f>
        <v>0</v>
      </c>
      <c r="Q206" s="288">
        <f ca="1">IF(OR(Table2[[#This Row],[Benefit Name]]="My Value Plus Life - Main Member",Table2[[#This Row],[Benefit Name]]="My Value Plus Life - Spouse"),0,
IFERROR(VLOOKUP($G206,INDIRECT($O206),$P206,FALSE),0))</f>
        <v>0</v>
      </c>
      <c r="R206" s="288">
        <f ca="1">IF(OR(Table2[[#This Row],[Benefit Name]]="My Value Plus Life - Main Member",Table2[[#This Row],[Benefit Name]]="My Value Plus Life - Spouse"),0,
IFERROR(VLOOKUP($G206,INDIRECT($O206),$P206+1,FALSE),0))</f>
        <v>0</v>
      </c>
      <c r="S206" s="289">
        <f t="shared" ca="1" si="24"/>
        <v>0</v>
      </c>
      <c r="T206" s="284" t="str">
        <f>IF(Table13[[#This Row],[Premium Waiver]]="","None",Table13[[#This Row],[Premium Waiver]])</f>
        <v>None</v>
      </c>
      <c r="U206" s="284">
        <f>Table13[[#This Row],[VAPs Options]]</f>
        <v>0</v>
      </c>
      <c r="V206" s="284">
        <f>Table13[[#This Row],[Annual Increase Option]]</f>
        <v>0</v>
      </c>
      <c r="W206" s="290">
        <f>Table13[[#This Row],[Life Cover Amount]]</f>
        <v>0</v>
      </c>
      <c r="X206" s="290">
        <f>Table13[[#This Row],[Funeral Cover Amount]]</f>
        <v>0</v>
      </c>
      <c r="Y20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0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06" s="301">
        <f t="shared" ca="1" si="25"/>
        <v>0</v>
      </c>
      <c r="AB206" s="298"/>
      <c r="AC206" s="326" t="str">
        <f>IF(Table2[[#This Row],[Member Type]]="Main Member",Lookups!$C$13,
IF(Table2[[#This Row],[Member Type]]="Spouse",_xlfn.XLOOKUP(B206,Table2[Main Member Link ID],Table2[Product Option],0),
IF(AND(Table2[[#This Row],[Member Type]]="Child",_xlfn.XLOOKUP(B206,Table2[Main Member Link ID],Table2[Product Option],0)&lt;&gt;"My Value Plus Life"),Lookups!$C$24,
IF(AND(OR(Table2[[#This Row],[Member Type]]="Parent",Table2[[#This Row],[Member Type]]="Extended"),_xlfn.XLOOKUP(B206,Table2[Main Member Link ID],Table2[Product Option],0)&lt;&gt;"My Value Plus Life"),Lookups!$C$26,""))))</f>
        <v/>
      </c>
      <c r="AD206" s="326" t="str">
        <f>IF(Table2[[#This Row],[Member Type]]="Main Member",Lookups!$C$14,"")</f>
        <v/>
      </c>
      <c r="AE20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Funeral",_xlfn.XLOOKUP(B206,Table2[Main Member Link ID],Table2[Benefit Name],0)=Lookups!$D$14),"",
IF(AND(Table2[[#This Row],[Member Type]]="Spouse",Table2[[#This Row],[Product Option]]="My Value Plus Life &amp; Funeral",_xlfn.XLOOKUP(B205,Table2[Main Member Link ID],Table2[Benefit Name],0)=Lookups!$D$15),Lookups!$D$20,
IF(AND(Table2[[#This Row],[Member Type]]="Spouse",Table2[[#This Row],[Product Option]]="My Value Plus Life &amp; Funeral",_xlfn.XLOOKUP(B205,Table2[Main Member Link ID],Table2[Benefit Name],0)=Lookups!$D$16),"",
IF(AND(Table2[[#This Row],[Member Type]]="Spouse",Table2[[#This Row],[Product Option]]="My Value Plus Life &amp; Funeral",_xlfn.XLOOKUP(B205,Table2[Main Member Link ID],Table2[Benefit Name],0)=Lookups!$D$17),Lookups!$D$21,
IF(AND(Table2[[#This Row],[Member Type]]="Child",Table2[[#This Row],[Product Option]]="My Value Plus Life &amp; Funeral",_xlfn.XLOOKUP(B206,Table2[Main Member Link ID],Table2[Benefit Name],0)=Lookups!$D$14),"",
IF(AND(Table2[[#This Row],[Member Type]]="Child",Table2[[#This Row],[Product Option]]="My Value Plus Life &amp; Funeral",_xlfn.XLOOKUP(B206,Table2[Main Member Link ID],Table2[Benefit Name],0)=Lookups!$D$15),"",
IF(AND(Table2[[#This Row],[Member Type]]="Child",Table2[[#This Row],[Product Option]]="My Value Plus Life &amp; Funeral",_xlfn.XLOOKUP(B206,Table2[Main Member Link ID],Table2[Benefit Name],0)=Lookups!$D$16),Lookups!$D$24,
IF(AND(Table2[[#This Row],[Member Type]]="Child",Table2[[#This Row],[Product Option]]="My Value Plus Life &amp; Funeral",_xlfn.XLOOKUP(B206,Table2[Main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Funeral",_xlfn.XLOOKUP(B206,Table2[Main Member Link ID],Table2[Benefit Name],0)&lt;&gt;Lookups!$D$14),
IF(_xlfn.XLOOKUP(B206,Table2[Main Member Link ID],Table2[Benefit Name],0)=0,"",_xlfn.XLOOKUP(B206,Table2[Main Member Link ID],Table2[Benefit Name],0)),"")))))))))))))))</f>
        <v/>
      </c>
      <c r="AF206" s="327" t="str">
        <f>IF(AND(Table2[[#This Row],[Member Type]]="Main Member",Table2[[#This Row],[Product Option]]="My Value Plus Life &amp; Funeral"),Lookups!$D$15,
IF(AND(Table2[[#This Row],[Member Type]]="Spouse",Table2[[#This Row],[Product Option]]="My Value Plus Life &amp; Funeral",_xlfn.XLOOKUP(B206,Table2[Main Member Link ID],Table2[Benefit Name],0)=Lookups!$D$14),"",
IF(AND(Table2[[#This Row],[Member Type]]="Spouse",Table2[[#This Row],[Product Option]]="My Value Plus Life &amp; Funeral",_xlfn.XLOOKUP(B205,Table2[Main Member Link ID],Table2[Benefit Name],0)=Lookups!$D$16),"",
IF(AND(Table2[[#This Row],[Member Type]]="Spouse",Table2[[#This Row],[Product Option]]="My Value Plus Life &amp; Funeral",_xlfn.XLOOKUP(B205,Table2[Main Member Link ID],Table2[Benefit Name],0)=Lookups!$D$15),"",
IF(AND(Table2[[#This Row],[Member Type]]="Spouse",Table2[[#This Row],[Product Option]]="My Value Plus Life &amp; Funeral",_xlfn.XLOOKUP(B205,Table2[Main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Funeral",_xlfn.XLOOKUP(B206,Table2[Main Member Link ID],Table2[Benefit Name],0)&lt;&gt;Lookups!$D$15),
IF(_xlfn.XLOOKUP(B206,Table2[Main Member Link ID],Table2[Benefit Name],0)=0,"",_xlfn.XLOOKUP(B206,Table2[Main Member Link ID],Table2[Benefit Name],0)),"")
))))))</f>
        <v/>
      </c>
      <c r="AG206" s="327" t="str">
        <f>IF(AND(Table2[[#This Row],[Member Type]]="Main Member",Table2[[#This Row],[Product Option]]="My Value Plus Life &amp; Funeral"),Lookups!$D$16,
IF(AND(Table2[[#This Row],[Member Type]]="Spouse",Table2[[#This Row],[Product Option]]="My Value Plus Life &amp; Funeral",_xlfn.XLOOKUP(B206,Table2[Main Member Link ID],Table2[Benefit Name],0)=Lookups!$D$14),"",
IF(AND(Table2[[#This Row],[Member Type]]="Spouse",Table2[[#This Row],[Product Option]]="My Value Plus Life &amp; Funeral",_xlfn.XLOOKUP(B205,Table2[Main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Funeral",_xlfn.XLOOKUP(B206,Table2[Main Member Link ID],Table2[Benefit Name],0)&lt;&gt;Lookups!$D$16),
IF(_xlfn.XLOOKUP(B206,Table2[Main Member Link ID],Table2[Benefit Name],0)=0,"",_xlfn.XLOOKUP(B206,Table2[Main Member Link ID],Table2[Benefit Name],0)),"")
))))</f>
        <v/>
      </c>
      <c r="AH206" s="327" t="str">
        <f>IF(AND(Table2[[#This Row],[Member Type]]="Main Member",Table2[[#This Row],[Product Option]]="My Value Plus Life &amp; Funeral"),Lookups!$D$17,
IF(AND(Table2[[#This Row],[Member Type]]="Spouse",Table2[[#This Row],[Product Option]]="My Value Plus Life &amp; Funeral",_xlfn.XLOOKUP(B206,Table2[Main Member Link ID],Table2[Benefit Name],0)=Lookups!$D$14),"",
IF(AND(Table2[[#This Row],[Member Type]]="Spouse",Table2[[#This Row],[Product Option]]="My Value Plus Life &amp; Funeral",_xlfn.XLOOKUP(B205,Table2[Main Member Link ID],Table2[Benefit Name],0)=Lookups!$D$16),"",
IF(AND(Table2[[#This Row],[Member Type]]="Child",Table2[[#This Row],[Product Option]]="My Value Plus Life &amp; Funeral"),"",
IF(AND(Table2[[#This Row],[Member Type]]="Child",Table2[[#This Row],[Product Option]]="My Value Plus Life &amp; Funeral",_xlfn.XLOOKUP(B206,Table2[Main Member Link ID],Table2[Benefit Name],0)=Lookups!$D$15),"",
IF(AND(OR(Table2[[#This Row],[Member Type]]="Spouse",Table2[[#This Row],[Member Type]]="Child"),Table2[[#This Row],[Product Option]]="My Value Plus Life &amp; Funeral",_xlfn.XLOOKUP(B206,Table2[Main Member Link ID],Table2[Benefit Name],0)&lt;&gt;Lookups!$D$17),
IF(_xlfn.XLOOKUP(B206,Table2[Main Member Link ID],Table2[Benefit Name],0)=0,"",_xlfn.XLOOKUP(B206,Table2[Main Member Link ID],Table2[Benefit Name],0)),""))))))</f>
        <v/>
      </c>
      <c r="AI206" s="328" t="str">
        <f>IF(AND(Table2[[#This Row],[Member Type]]="Main Member",Table2[[#This Row],[Table Lookup for Life Cover]]="MM_LIFE",Table2[[#This Row],[Age Next Birthday]]&lt;56),1,
IF(AND(Table2[[#This Row],[Member Type]]="Main Member",Table2[[#This Row],[Table Lookup for Life Cover]]="MM_LIFE",Table2[[#This Row],[Age Next Birthday]]&gt;=56),2,
""))</f>
        <v/>
      </c>
      <c r="AJ206" s="328">
        <f>IF(OR(Table2[[#This Row],[Member Type]]="Main Member",Table2[[#This Row],[Main Member Link ID]]=B205),1,0)</f>
        <v>1</v>
      </c>
      <c r="AK206" s="328">
        <f>IF(Table2[[#This Row],[Member Type]]=0,0,
IF(OR(Table2[[#This Row],[Member Type]]="Main Member",Table2[[#This Row],[Main Member Link ID]]&lt;&gt;B206),COUNTIFS(B:B,Table2[[#This Row],[Main Member Link ID]]),
COUNTIFS(B:B,Table2[[#This Row],[Main Member Link ID]],A:A,Table2[[#This Row],[Member Type]])))</f>
        <v>0</v>
      </c>
    </row>
    <row r="207" spans="1:37" x14ac:dyDescent="0.3">
      <c r="A207" s="284">
        <f>Table13[[#This Row],[Member Type]]</f>
        <v>0</v>
      </c>
      <c r="B207" s="284">
        <f>Table13[[#This Row],[Main Member Link ID]]</f>
        <v>0</v>
      </c>
      <c r="C207" s="284">
        <f>Table13[[#This Row],[ID Number]]</f>
        <v>0</v>
      </c>
      <c r="D207" s="285">
        <f>Table13[[#This Row],[Date Of Birth]]</f>
        <v>0</v>
      </c>
      <c r="E207" s="285">
        <f>Table13[[#This Row],[Commencement Date]]</f>
        <v>0</v>
      </c>
      <c r="F207" s="284">
        <f t="shared" si="21"/>
        <v>1</v>
      </c>
      <c r="G207" s="284">
        <f t="shared" si="22"/>
        <v>25</v>
      </c>
      <c r="H207" s="286">
        <f>Table13[[#This Row],[Product Option]]</f>
        <v>0</v>
      </c>
      <c r="I207" s="284">
        <f>IF(AND($A207="Main Member",Table2[[#This Row],[Product Option]]="My Value Plus Life"),"MM_LIFE",
IF(AND($A207="Spouse",Table2[[#This Row],[Product Option]]="My Value Plus Life"),"SP_LIFE",
IF(AND($A207="Main Member",Table2[[#This Row],[Product Option]]="My Value Plus Life &amp; Funeral"),"MM_LIFE",
IF(AND($A207="Spouse",Table2[[#This Row],[Product Option]]="My Value Plus Life &amp; Funeral"),_xlfn.XLOOKUP(Table2[[#This Row],[Benefit Name]],Lookups!$D$18:$D$23,Lookups!$E$18:$E$23,0),
0))))</f>
        <v>0</v>
      </c>
      <c r="J207" s="284">
        <f>IF($I207="","",
IF($I207="MM_LIFE",INDEX('Quotation Tool'!$S$54:$V$60,MATCH($T207,'Quotation Tool'!$S$54:$S$60,0),4),
IF($I207="SP_LIFE",_xlfn.XLOOKUP(B206,$B:$B,$J:$J,0),0)))</f>
        <v>0</v>
      </c>
      <c r="K207" s="287">
        <f t="shared" ca="1" si="26"/>
        <v>0</v>
      </c>
      <c r="L207" s="288">
        <f t="shared" ca="1" si="27"/>
        <v>0</v>
      </c>
      <c r="M207" s="289">
        <f t="shared" ca="1" si="23"/>
        <v>0</v>
      </c>
      <c r="N207" s="286">
        <f>Table13[[#This Row],[Benefit Option]]</f>
        <v>0</v>
      </c>
      <c r="O207" s="284">
        <f>IF(OR(Table2[[#This Row],[Member Type]]="Spouse",Table2[[#This Row],[Member Type]]="Child"),0,
IF(_xlfn.XLOOKUP($N207,Lookups!$D$13:$D$27,Lookups!$F$13:$F$27,0)=Table2[[#This Row],[Table Lookup for Life Cover]],0,
_xlfn.XLOOKUP($N207,Lookups!$D$13:$D$27,Lookups!$F$13:$F$27,0)))</f>
        <v>0</v>
      </c>
      <c r="P207" s="284">
        <f>IF(Table2[[#This Row],[Table Lookup for Funeral]]=0,0,IFERROR(INDEX('Quotation Tool'!$S$54:$V$60,MATCH($T207,'Quotation Tool'!$S$54:$S$60,0),3),0))</f>
        <v>0</v>
      </c>
      <c r="Q207" s="288">
        <f ca="1">IF(OR(Table2[[#This Row],[Benefit Name]]="My Value Plus Life - Main Member",Table2[[#This Row],[Benefit Name]]="My Value Plus Life - Spouse"),0,
IFERROR(VLOOKUP($G207,INDIRECT($O207),$P207,FALSE),0))</f>
        <v>0</v>
      </c>
      <c r="R207" s="288">
        <f ca="1">IF(OR(Table2[[#This Row],[Benefit Name]]="My Value Plus Life - Main Member",Table2[[#This Row],[Benefit Name]]="My Value Plus Life - Spouse"),0,
IFERROR(VLOOKUP($G207,INDIRECT($O207),$P207+1,FALSE),0))</f>
        <v>0</v>
      </c>
      <c r="S207" s="289">
        <f t="shared" ca="1" si="24"/>
        <v>0</v>
      </c>
      <c r="T207" s="284" t="str">
        <f>IF(Table13[[#This Row],[Premium Waiver]]="","None",Table13[[#This Row],[Premium Waiver]])</f>
        <v>None</v>
      </c>
      <c r="U207" s="284">
        <f>Table13[[#This Row],[VAPs Options]]</f>
        <v>0</v>
      </c>
      <c r="V207" s="284">
        <f>Table13[[#This Row],[Annual Increase Option]]</f>
        <v>0</v>
      </c>
      <c r="W207" s="290">
        <f>Table13[[#This Row],[Life Cover Amount]]</f>
        <v>0</v>
      </c>
      <c r="X207" s="290">
        <f>Table13[[#This Row],[Funeral Cover Amount]]</f>
        <v>0</v>
      </c>
      <c r="Y20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0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07" s="301">
        <f t="shared" ca="1" si="25"/>
        <v>0</v>
      </c>
      <c r="AB207" s="298"/>
      <c r="AC207" s="326" t="str">
        <f>IF(Table2[[#This Row],[Member Type]]="Main Member",Lookups!$C$13,
IF(Table2[[#This Row],[Member Type]]="Spouse",_xlfn.XLOOKUP(B207,Table2[Main Member Link ID],Table2[Product Option],0),
IF(AND(Table2[[#This Row],[Member Type]]="Child",_xlfn.XLOOKUP(B207,Table2[Main Member Link ID],Table2[Product Option],0)&lt;&gt;"My Value Plus Life"),Lookups!$C$24,
IF(AND(OR(Table2[[#This Row],[Member Type]]="Parent",Table2[[#This Row],[Member Type]]="Extended"),_xlfn.XLOOKUP(B207,Table2[Main Member Link ID],Table2[Product Option],0)&lt;&gt;"My Value Plus Life"),Lookups!$C$26,""))))</f>
        <v/>
      </c>
      <c r="AD207" s="326" t="str">
        <f>IF(Table2[[#This Row],[Member Type]]="Main Member",Lookups!$C$14,"")</f>
        <v/>
      </c>
      <c r="AE20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Funeral",_xlfn.XLOOKUP(B207,Table2[Main Member Link ID],Table2[Benefit Name],0)=Lookups!$D$14),"",
IF(AND(Table2[[#This Row],[Member Type]]="Spouse",Table2[[#This Row],[Product Option]]="My Value Plus Life &amp; Funeral",_xlfn.XLOOKUP(B206,Table2[Main Member Link ID],Table2[Benefit Name],0)=Lookups!$D$15),Lookups!$D$20,
IF(AND(Table2[[#This Row],[Member Type]]="Spouse",Table2[[#This Row],[Product Option]]="My Value Plus Life &amp; Funeral",_xlfn.XLOOKUP(B206,Table2[Main Member Link ID],Table2[Benefit Name],0)=Lookups!$D$16),"",
IF(AND(Table2[[#This Row],[Member Type]]="Spouse",Table2[[#This Row],[Product Option]]="My Value Plus Life &amp; Funeral",_xlfn.XLOOKUP(B206,Table2[Main Member Link ID],Table2[Benefit Name],0)=Lookups!$D$17),Lookups!$D$21,
IF(AND(Table2[[#This Row],[Member Type]]="Child",Table2[[#This Row],[Product Option]]="My Value Plus Life &amp; Funeral",_xlfn.XLOOKUP(B207,Table2[Main Member Link ID],Table2[Benefit Name],0)=Lookups!$D$14),"",
IF(AND(Table2[[#This Row],[Member Type]]="Child",Table2[[#This Row],[Product Option]]="My Value Plus Life &amp; Funeral",_xlfn.XLOOKUP(B207,Table2[Main Member Link ID],Table2[Benefit Name],0)=Lookups!$D$15),"",
IF(AND(Table2[[#This Row],[Member Type]]="Child",Table2[[#This Row],[Product Option]]="My Value Plus Life &amp; Funeral",_xlfn.XLOOKUP(B207,Table2[Main Member Link ID],Table2[Benefit Name],0)=Lookups!$D$16),Lookups!$D$24,
IF(AND(Table2[[#This Row],[Member Type]]="Child",Table2[[#This Row],[Product Option]]="My Value Plus Life &amp; Funeral",_xlfn.XLOOKUP(B207,Table2[Main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Funeral",_xlfn.XLOOKUP(B207,Table2[Main Member Link ID],Table2[Benefit Name],0)&lt;&gt;Lookups!$D$14),
IF(_xlfn.XLOOKUP(B207,Table2[Main Member Link ID],Table2[Benefit Name],0)=0,"",_xlfn.XLOOKUP(B207,Table2[Main Member Link ID],Table2[Benefit Name],0)),"")))))))))))))))</f>
        <v/>
      </c>
      <c r="AF207" s="327" t="str">
        <f>IF(AND(Table2[[#This Row],[Member Type]]="Main Member",Table2[[#This Row],[Product Option]]="My Value Plus Life &amp; Funeral"),Lookups!$D$15,
IF(AND(Table2[[#This Row],[Member Type]]="Spouse",Table2[[#This Row],[Product Option]]="My Value Plus Life &amp; Funeral",_xlfn.XLOOKUP(B207,Table2[Main Member Link ID],Table2[Benefit Name],0)=Lookups!$D$14),"",
IF(AND(Table2[[#This Row],[Member Type]]="Spouse",Table2[[#This Row],[Product Option]]="My Value Plus Life &amp; Funeral",_xlfn.XLOOKUP(B206,Table2[Main Member Link ID],Table2[Benefit Name],0)=Lookups!$D$16),"",
IF(AND(Table2[[#This Row],[Member Type]]="Spouse",Table2[[#This Row],[Product Option]]="My Value Plus Life &amp; Funeral",_xlfn.XLOOKUP(B206,Table2[Main Member Link ID],Table2[Benefit Name],0)=Lookups!$D$15),"",
IF(AND(Table2[[#This Row],[Member Type]]="Spouse",Table2[[#This Row],[Product Option]]="My Value Plus Life &amp; Funeral",_xlfn.XLOOKUP(B206,Table2[Main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Funeral",_xlfn.XLOOKUP(B207,Table2[Main Member Link ID],Table2[Benefit Name],0)&lt;&gt;Lookups!$D$15),
IF(_xlfn.XLOOKUP(B207,Table2[Main Member Link ID],Table2[Benefit Name],0)=0,"",_xlfn.XLOOKUP(B207,Table2[Main Member Link ID],Table2[Benefit Name],0)),"")
))))))</f>
        <v/>
      </c>
      <c r="AG207" s="327" t="str">
        <f>IF(AND(Table2[[#This Row],[Member Type]]="Main Member",Table2[[#This Row],[Product Option]]="My Value Plus Life &amp; Funeral"),Lookups!$D$16,
IF(AND(Table2[[#This Row],[Member Type]]="Spouse",Table2[[#This Row],[Product Option]]="My Value Plus Life &amp; Funeral",_xlfn.XLOOKUP(B207,Table2[Main Member Link ID],Table2[Benefit Name],0)=Lookups!$D$14),"",
IF(AND(Table2[[#This Row],[Member Type]]="Spouse",Table2[[#This Row],[Product Option]]="My Value Plus Life &amp; Funeral",_xlfn.XLOOKUP(B206,Table2[Main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Funeral",_xlfn.XLOOKUP(B207,Table2[Main Member Link ID],Table2[Benefit Name],0)&lt;&gt;Lookups!$D$16),
IF(_xlfn.XLOOKUP(B207,Table2[Main Member Link ID],Table2[Benefit Name],0)=0,"",_xlfn.XLOOKUP(B207,Table2[Main Member Link ID],Table2[Benefit Name],0)),"")
))))</f>
        <v/>
      </c>
      <c r="AH207" s="327" t="str">
        <f>IF(AND(Table2[[#This Row],[Member Type]]="Main Member",Table2[[#This Row],[Product Option]]="My Value Plus Life &amp; Funeral"),Lookups!$D$17,
IF(AND(Table2[[#This Row],[Member Type]]="Spouse",Table2[[#This Row],[Product Option]]="My Value Plus Life &amp; Funeral",_xlfn.XLOOKUP(B207,Table2[Main Member Link ID],Table2[Benefit Name],0)=Lookups!$D$14),"",
IF(AND(Table2[[#This Row],[Member Type]]="Spouse",Table2[[#This Row],[Product Option]]="My Value Plus Life &amp; Funeral",_xlfn.XLOOKUP(B206,Table2[Main Member Link ID],Table2[Benefit Name],0)=Lookups!$D$16),"",
IF(AND(Table2[[#This Row],[Member Type]]="Child",Table2[[#This Row],[Product Option]]="My Value Plus Life &amp; Funeral"),"",
IF(AND(Table2[[#This Row],[Member Type]]="Child",Table2[[#This Row],[Product Option]]="My Value Plus Life &amp; Funeral",_xlfn.XLOOKUP(B207,Table2[Main Member Link ID],Table2[Benefit Name],0)=Lookups!$D$15),"",
IF(AND(OR(Table2[[#This Row],[Member Type]]="Spouse",Table2[[#This Row],[Member Type]]="Child"),Table2[[#This Row],[Product Option]]="My Value Plus Life &amp; Funeral",_xlfn.XLOOKUP(B207,Table2[Main Member Link ID],Table2[Benefit Name],0)&lt;&gt;Lookups!$D$17),
IF(_xlfn.XLOOKUP(B207,Table2[Main Member Link ID],Table2[Benefit Name],0)=0,"",_xlfn.XLOOKUP(B207,Table2[Main Member Link ID],Table2[Benefit Name],0)),""))))))</f>
        <v/>
      </c>
      <c r="AI207" s="328" t="str">
        <f>IF(AND(Table2[[#This Row],[Member Type]]="Main Member",Table2[[#This Row],[Table Lookup for Life Cover]]="MM_LIFE",Table2[[#This Row],[Age Next Birthday]]&lt;56),1,
IF(AND(Table2[[#This Row],[Member Type]]="Main Member",Table2[[#This Row],[Table Lookup for Life Cover]]="MM_LIFE",Table2[[#This Row],[Age Next Birthday]]&gt;=56),2,
""))</f>
        <v/>
      </c>
      <c r="AJ207" s="328">
        <f>IF(OR(Table2[[#This Row],[Member Type]]="Main Member",Table2[[#This Row],[Main Member Link ID]]=B206),1,0)</f>
        <v>1</v>
      </c>
      <c r="AK207" s="328">
        <f>IF(Table2[[#This Row],[Member Type]]=0,0,
IF(OR(Table2[[#This Row],[Member Type]]="Main Member",Table2[[#This Row],[Main Member Link ID]]&lt;&gt;B207),COUNTIFS(B:B,Table2[[#This Row],[Main Member Link ID]]),
COUNTIFS(B:B,Table2[[#This Row],[Main Member Link ID]],A:A,Table2[[#This Row],[Member Type]])))</f>
        <v>0</v>
      </c>
    </row>
    <row r="208" spans="1:37" x14ac:dyDescent="0.3">
      <c r="A208" s="284">
        <f>Table13[[#This Row],[Member Type]]</f>
        <v>0</v>
      </c>
      <c r="B208" s="284">
        <f>Table13[[#This Row],[Main Member Link ID]]</f>
        <v>0</v>
      </c>
      <c r="C208" s="284">
        <f>Table13[[#This Row],[ID Number]]</f>
        <v>0</v>
      </c>
      <c r="D208" s="285">
        <f>Table13[[#This Row],[Date Of Birth]]</f>
        <v>0</v>
      </c>
      <c r="E208" s="285">
        <f>Table13[[#This Row],[Commencement Date]]</f>
        <v>0</v>
      </c>
      <c r="F208" s="284">
        <f t="shared" si="21"/>
        <v>1</v>
      </c>
      <c r="G208" s="284">
        <f t="shared" si="22"/>
        <v>25</v>
      </c>
      <c r="H208" s="286">
        <f>Table13[[#This Row],[Product Option]]</f>
        <v>0</v>
      </c>
      <c r="I208" s="284">
        <f>IF(AND($A208="Main Member",Table2[[#This Row],[Product Option]]="My Value Plus Life"),"MM_LIFE",
IF(AND($A208="Spouse",Table2[[#This Row],[Product Option]]="My Value Plus Life"),"SP_LIFE",
IF(AND($A208="Main Member",Table2[[#This Row],[Product Option]]="My Value Plus Life &amp; Funeral"),"MM_LIFE",
IF(AND($A208="Spouse",Table2[[#This Row],[Product Option]]="My Value Plus Life &amp; Funeral"),_xlfn.XLOOKUP(Table2[[#This Row],[Benefit Name]],Lookups!$D$18:$D$23,Lookups!$E$18:$E$23,0),
0))))</f>
        <v>0</v>
      </c>
      <c r="J208" s="284">
        <f>IF($I208="","",
IF($I208="MM_LIFE",INDEX('Quotation Tool'!$S$54:$V$60,MATCH($T208,'Quotation Tool'!$S$54:$S$60,0),4),
IF($I208="SP_LIFE",_xlfn.XLOOKUP(B207,$B:$B,$J:$J,0),0)))</f>
        <v>0</v>
      </c>
      <c r="K208" s="287">
        <f t="shared" ca="1" si="26"/>
        <v>0</v>
      </c>
      <c r="L208" s="288">
        <f t="shared" ca="1" si="27"/>
        <v>0</v>
      </c>
      <c r="M208" s="289">
        <f t="shared" ca="1" si="23"/>
        <v>0</v>
      </c>
      <c r="N208" s="286">
        <f>Table13[[#This Row],[Benefit Option]]</f>
        <v>0</v>
      </c>
      <c r="O208" s="284">
        <f>IF(OR(Table2[[#This Row],[Member Type]]="Spouse",Table2[[#This Row],[Member Type]]="Child"),0,
IF(_xlfn.XLOOKUP($N208,Lookups!$D$13:$D$27,Lookups!$F$13:$F$27,0)=Table2[[#This Row],[Table Lookup for Life Cover]],0,
_xlfn.XLOOKUP($N208,Lookups!$D$13:$D$27,Lookups!$F$13:$F$27,0)))</f>
        <v>0</v>
      </c>
      <c r="P208" s="284">
        <f>IF(Table2[[#This Row],[Table Lookup for Funeral]]=0,0,IFERROR(INDEX('Quotation Tool'!$S$54:$V$60,MATCH($T208,'Quotation Tool'!$S$54:$S$60,0),3),0))</f>
        <v>0</v>
      </c>
      <c r="Q208" s="288">
        <f ca="1">IF(OR(Table2[[#This Row],[Benefit Name]]="My Value Plus Life - Main Member",Table2[[#This Row],[Benefit Name]]="My Value Plus Life - Spouse"),0,
IFERROR(VLOOKUP($G208,INDIRECT($O208),$P208,FALSE),0))</f>
        <v>0</v>
      </c>
      <c r="R208" s="288">
        <f ca="1">IF(OR(Table2[[#This Row],[Benefit Name]]="My Value Plus Life - Main Member",Table2[[#This Row],[Benefit Name]]="My Value Plus Life - Spouse"),0,
IFERROR(VLOOKUP($G208,INDIRECT($O208),$P208+1,FALSE),0))</f>
        <v>0</v>
      </c>
      <c r="S208" s="289">
        <f t="shared" ca="1" si="24"/>
        <v>0</v>
      </c>
      <c r="T208" s="284" t="str">
        <f>IF(Table13[[#This Row],[Premium Waiver]]="","None",Table13[[#This Row],[Premium Waiver]])</f>
        <v>None</v>
      </c>
      <c r="U208" s="284">
        <f>Table13[[#This Row],[VAPs Options]]</f>
        <v>0</v>
      </c>
      <c r="V208" s="284">
        <f>Table13[[#This Row],[Annual Increase Option]]</f>
        <v>0</v>
      </c>
      <c r="W208" s="290">
        <f>Table13[[#This Row],[Life Cover Amount]]</f>
        <v>0</v>
      </c>
      <c r="X208" s="290">
        <f>Table13[[#This Row],[Funeral Cover Amount]]</f>
        <v>0</v>
      </c>
      <c r="Y20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0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08" s="301">
        <f t="shared" ca="1" si="25"/>
        <v>0</v>
      </c>
      <c r="AB208" s="298"/>
      <c r="AC208" s="326" t="str">
        <f>IF(Table2[[#This Row],[Member Type]]="Main Member",Lookups!$C$13,
IF(Table2[[#This Row],[Member Type]]="Spouse",_xlfn.XLOOKUP(B208,Table2[Main Member Link ID],Table2[Product Option],0),
IF(AND(Table2[[#This Row],[Member Type]]="Child",_xlfn.XLOOKUP(B208,Table2[Main Member Link ID],Table2[Product Option],0)&lt;&gt;"My Value Plus Life"),Lookups!$C$24,
IF(AND(OR(Table2[[#This Row],[Member Type]]="Parent",Table2[[#This Row],[Member Type]]="Extended"),_xlfn.XLOOKUP(B208,Table2[Main Member Link ID],Table2[Product Option],0)&lt;&gt;"My Value Plus Life"),Lookups!$C$26,""))))</f>
        <v/>
      </c>
      <c r="AD208" s="326" t="str">
        <f>IF(Table2[[#This Row],[Member Type]]="Main Member",Lookups!$C$14,"")</f>
        <v/>
      </c>
      <c r="AE20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Funeral",_xlfn.XLOOKUP(B208,Table2[Main Member Link ID],Table2[Benefit Name],0)=Lookups!$D$14),"",
IF(AND(Table2[[#This Row],[Member Type]]="Spouse",Table2[[#This Row],[Product Option]]="My Value Plus Life &amp; Funeral",_xlfn.XLOOKUP(B207,Table2[Main Member Link ID],Table2[Benefit Name],0)=Lookups!$D$15),Lookups!$D$20,
IF(AND(Table2[[#This Row],[Member Type]]="Spouse",Table2[[#This Row],[Product Option]]="My Value Plus Life &amp; Funeral",_xlfn.XLOOKUP(B207,Table2[Main Member Link ID],Table2[Benefit Name],0)=Lookups!$D$16),"",
IF(AND(Table2[[#This Row],[Member Type]]="Spouse",Table2[[#This Row],[Product Option]]="My Value Plus Life &amp; Funeral",_xlfn.XLOOKUP(B207,Table2[Main Member Link ID],Table2[Benefit Name],0)=Lookups!$D$17),Lookups!$D$21,
IF(AND(Table2[[#This Row],[Member Type]]="Child",Table2[[#This Row],[Product Option]]="My Value Plus Life &amp; Funeral",_xlfn.XLOOKUP(B208,Table2[Main Member Link ID],Table2[Benefit Name],0)=Lookups!$D$14),"",
IF(AND(Table2[[#This Row],[Member Type]]="Child",Table2[[#This Row],[Product Option]]="My Value Plus Life &amp; Funeral",_xlfn.XLOOKUP(B208,Table2[Main Member Link ID],Table2[Benefit Name],0)=Lookups!$D$15),"",
IF(AND(Table2[[#This Row],[Member Type]]="Child",Table2[[#This Row],[Product Option]]="My Value Plus Life &amp; Funeral",_xlfn.XLOOKUP(B208,Table2[Main Member Link ID],Table2[Benefit Name],0)=Lookups!$D$16),Lookups!$D$24,
IF(AND(Table2[[#This Row],[Member Type]]="Child",Table2[[#This Row],[Product Option]]="My Value Plus Life &amp; Funeral",_xlfn.XLOOKUP(B208,Table2[Main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Funeral",_xlfn.XLOOKUP(B208,Table2[Main Member Link ID],Table2[Benefit Name],0)&lt;&gt;Lookups!$D$14),
IF(_xlfn.XLOOKUP(B208,Table2[Main Member Link ID],Table2[Benefit Name],0)=0,"",_xlfn.XLOOKUP(B208,Table2[Main Member Link ID],Table2[Benefit Name],0)),"")))))))))))))))</f>
        <v/>
      </c>
      <c r="AF208" s="327" t="str">
        <f>IF(AND(Table2[[#This Row],[Member Type]]="Main Member",Table2[[#This Row],[Product Option]]="My Value Plus Life &amp; Funeral"),Lookups!$D$15,
IF(AND(Table2[[#This Row],[Member Type]]="Spouse",Table2[[#This Row],[Product Option]]="My Value Plus Life &amp; Funeral",_xlfn.XLOOKUP(B208,Table2[Main Member Link ID],Table2[Benefit Name],0)=Lookups!$D$14),"",
IF(AND(Table2[[#This Row],[Member Type]]="Spouse",Table2[[#This Row],[Product Option]]="My Value Plus Life &amp; Funeral",_xlfn.XLOOKUP(B207,Table2[Main Member Link ID],Table2[Benefit Name],0)=Lookups!$D$16),"",
IF(AND(Table2[[#This Row],[Member Type]]="Spouse",Table2[[#This Row],[Product Option]]="My Value Plus Life &amp; Funeral",_xlfn.XLOOKUP(B207,Table2[Main Member Link ID],Table2[Benefit Name],0)=Lookups!$D$15),"",
IF(AND(Table2[[#This Row],[Member Type]]="Spouse",Table2[[#This Row],[Product Option]]="My Value Plus Life &amp; Funeral",_xlfn.XLOOKUP(B207,Table2[Main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Funeral",_xlfn.XLOOKUP(B208,Table2[Main Member Link ID],Table2[Benefit Name],0)&lt;&gt;Lookups!$D$15),
IF(_xlfn.XLOOKUP(B208,Table2[Main Member Link ID],Table2[Benefit Name],0)=0,"",_xlfn.XLOOKUP(B208,Table2[Main Member Link ID],Table2[Benefit Name],0)),"")
))))))</f>
        <v/>
      </c>
      <c r="AG208" s="327" t="str">
        <f>IF(AND(Table2[[#This Row],[Member Type]]="Main Member",Table2[[#This Row],[Product Option]]="My Value Plus Life &amp; Funeral"),Lookups!$D$16,
IF(AND(Table2[[#This Row],[Member Type]]="Spouse",Table2[[#This Row],[Product Option]]="My Value Plus Life &amp; Funeral",_xlfn.XLOOKUP(B208,Table2[Main Member Link ID],Table2[Benefit Name],0)=Lookups!$D$14),"",
IF(AND(Table2[[#This Row],[Member Type]]="Spouse",Table2[[#This Row],[Product Option]]="My Value Plus Life &amp; Funeral",_xlfn.XLOOKUP(B207,Table2[Main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Funeral",_xlfn.XLOOKUP(B208,Table2[Main Member Link ID],Table2[Benefit Name],0)&lt;&gt;Lookups!$D$16),
IF(_xlfn.XLOOKUP(B208,Table2[Main Member Link ID],Table2[Benefit Name],0)=0,"",_xlfn.XLOOKUP(B208,Table2[Main Member Link ID],Table2[Benefit Name],0)),"")
))))</f>
        <v/>
      </c>
      <c r="AH208" s="327" t="str">
        <f>IF(AND(Table2[[#This Row],[Member Type]]="Main Member",Table2[[#This Row],[Product Option]]="My Value Plus Life &amp; Funeral"),Lookups!$D$17,
IF(AND(Table2[[#This Row],[Member Type]]="Spouse",Table2[[#This Row],[Product Option]]="My Value Plus Life &amp; Funeral",_xlfn.XLOOKUP(B208,Table2[Main Member Link ID],Table2[Benefit Name],0)=Lookups!$D$14),"",
IF(AND(Table2[[#This Row],[Member Type]]="Spouse",Table2[[#This Row],[Product Option]]="My Value Plus Life &amp; Funeral",_xlfn.XLOOKUP(B207,Table2[Main Member Link ID],Table2[Benefit Name],0)=Lookups!$D$16),"",
IF(AND(Table2[[#This Row],[Member Type]]="Child",Table2[[#This Row],[Product Option]]="My Value Plus Life &amp; Funeral"),"",
IF(AND(Table2[[#This Row],[Member Type]]="Child",Table2[[#This Row],[Product Option]]="My Value Plus Life &amp; Funeral",_xlfn.XLOOKUP(B208,Table2[Main Member Link ID],Table2[Benefit Name],0)=Lookups!$D$15),"",
IF(AND(OR(Table2[[#This Row],[Member Type]]="Spouse",Table2[[#This Row],[Member Type]]="Child"),Table2[[#This Row],[Product Option]]="My Value Plus Life &amp; Funeral",_xlfn.XLOOKUP(B208,Table2[Main Member Link ID],Table2[Benefit Name],0)&lt;&gt;Lookups!$D$17),
IF(_xlfn.XLOOKUP(B208,Table2[Main Member Link ID],Table2[Benefit Name],0)=0,"",_xlfn.XLOOKUP(B208,Table2[Main Member Link ID],Table2[Benefit Name],0)),""))))))</f>
        <v/>
      </c>
      <c r="AI208" s="328" t="str">
        <f>IF(AND(Table2[[#This Row],[Member Type]]="Main Member",Table2[[#This Row],[Table Lookup for Life Cover]]="MM_LIFE",Table2[[#This Row],[Age Next Birthday]]&lt;56),1,
IF(AND(Table2[[#This Row],[Member Type]]="Main Member",Table2[[#This Row],[Table Lookup for Life Cover]]="MM_LIFE",Table2[[#This Row],[Age Next Birthday]]&gt;=56),2,
""))</f>
        <v/>
      </c>
      <c r="AJ208" s="328">
        <f>IF(OR(Table2[[#This Row],[Member Type]]="Main Member",Table2[[#This Row],[Main Member Link ID]]=B207),1,0)</f>
        <v>1</v>
      </c>
      <c r="AK208" s="328">
        <f>IF(Table2[[#This Row],[Member Type]]=0,0,
IF(OR(Table2[[#This Row],[Member Type]]="Main Member",Table2[[#This Row],[Main Member Link ID]]&lt;&gt;B208),COUNTIFS(B:B,Table2[[#This Row],[Main Member Link ID]]),
COUNTIFS(B:B,Table2[[#This Row],[Main Member Link ID]],A:A,Table2[[#This Row],[Member Type]])))</f>
        <v>0</v>
      </c>
    </row>
    <row r="209" spans="1:37" x14ac:dyDescent="0.3">
      <c r="A209" s="284">
        <f>Table13[[#This Row],[Member Type]]</f>
        <v>0</v>
      </c>
      <c r="B209" s="284">
        <f>Table13[[#This Row],[Main Member Link ID]]</f>
        <v>0</v>
      </c>
      <c r="C209" s="284">
        <f>Table13[[#This Row],[ID Number]]</f>
        <v>0</v>
      </c>
      <c r="D209" s="285">
        <f>Table13[[#This Row],[Date Of Birth]]</f>
        <v>0</v>
      </c>
      <c r="E209" s="285">
        <f>Table13[[#This Row],[Commencement Date]]</f>
        <v>0</v>
      </c>
      <c r="F209" s="284">
        <f t="shared" si="21"/>
        <v>1</v>
      </c>
      <c r="G209" s="284">
        <f t="shared" si="22"/>
        <v>25</v>
      </c>
      <c r="H209" s="286">
        <f>Table13[[#This Row],[Product Option]]</f>
        <v>0</v>
      </c>
      <c r="I209" s="284">
        <f>IF(AND($A209="Main Member",Table2[[#This Row],[Product Option]]="My Value Plus Life"),"MM_LIFE",
IF(AND($A209="Spouse",Table2[[#This Row],[Product Option]]="My Value Plus Life"),"SP_LIFE",
IF(AND($A209="Main Member",Table2[[#This Row],[Product Option]]="My Value Plus Life &amp; Funeral"),"MM_LIFE",
IF(AND($A209="Spouse",Table2[[#This Row],[Product Option]]="My Value Plus Life &amp; Funeral"),_xlfn.XLOOKUP(Table2[[#This Row],[Benefit Name]],Lookups!$D$18:$D$23,Lookups!$E$18:$E$23,0),
0))))</f>
        <v>0</v>
      </c>
      <c r="J209" s="284">
        <f>IF($I209="","",
IF($I209="MM_LIFE",INDEX('Quotation Tool'!$S$54:$V$60,MATCH($T209,'Quotation Tool'!$S$54:$S$60,0),4),
IF($I209="SP_LIFE",_xlfn.XLOOKUP(B208,$B:$B,$J:$J,0),0)))</f>
        <v>0</v>
      </c>
      <c r="K209" s="287">
        <f t="shared" ca="1" si="26"/>
        <v>0</v>
      </c>
      <c r="L209" s="288">
        <f t="shared" ca="1" si="27"/>
        <v>0</v>
      </c>
      <c r="M209" s="289">
        <f t="shared" ca="1" si="23"/>
        <v>0</v>
      </c>
      <c r="N209" s="286">
        <f>Table13[[#This Row],[Benefit Option]]</f>
        <v>0</v>
      </c>
      <c r="O209" s="284">
        <f>IF(OR(Table2[[#This Row],[Member Type]]="Spouse",Table2[[#This Row],[Member Type]]="Child"),0,
IF(_xlfn.XLOOKUP($N209,Lookups!$D$13:$D$27,Lookups!$F$13:$F$27,0)=Table2[[#This Row],[Table Lookup for Life Cover]],0,
_xlfn.XLOOKUP($N209,Lookups!$D$13:$D$27,Lookups!$F$13:$F$27,0)))</f>
        <v>0</v>
      </c>
      <c r="P209" s="284">
        <f>IF(Table2[[#This Row],[Table Lookup for Funeral]]=0,0,IFERROR(INDEX('Quotation Tool'!$S$54:$V$60,MATCH($T209,'Quotation Tool'!$S$54:$S$60,0),3),0))</f>
        <v>0</v>
      </c>
      <c r="Q209" s="288">
        <f ca="1">IF(OR(Table2[[#This Row],[Benefit Name]]="My Value Plus Life - Main Member",Table2[[#This Row],[Benefit Name]]="My Value Plus Life - Spouse"),0,
IFERROR(VLOOKUP($G209,INDIRECT($O209),$P209,FALSE),0))</f>
        <v>0</v>
      </c>
      <c r="R209" s="288">
        <f ca="1">IF(OR(Table2[[#This Row],[Benefit Name]]="My Value Plus Life - Main Member",Table2[[#This Row],[Benefit Name]]="My Value Plus Life - Spouse"),0,
IFERROR(VLOOKUP($G209,INDIRECT($O209),$P209+1,FALSE),0))</f>
        <v>0</v>
      </c>
      <c r="S209" s="289">
        <f t="shared" ca="1" si="24"/>
        <v>0</v>
      </c>
      <c r="T209" s="284" t="str">
        <f>IF(Table13[[#This Row],[Premium Waiver]]="","None",Table13[[#This Row],[Premium Waiver]])</f>
        <v>None</v>
      </c>
      <c r="U209" s="284">
        <f>Table13[[#This Row],[VAPs Options]]</f>
        <v>0</v>
      </c>
      <c r="V209" s="284">
        <f>Table13[[#This Row],[Annual Increase Option]]</f>
        <v>0</v>
      </c>
      <c r="W209" s="290">
        <f>Table13[[#This Row],[Life Cover Amount]]</f>
        <v>0</v>
      </c>
      <c r="X209" s="290">
        <f>Table13[[#This Row],[Funeral Cover Amount]]</f>
        <v>0</v>
      </c>
      <c r="Y20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0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09" s="301">
        <f t="shared" ca="1" si="25"/>
        <v>0</v>
      </c>
      <c r="AB209" s="298"/>
      <c r="AC209" s="326" t="str">
        <f>IF(Table2[[#This Row],[Member Type]]="Main Member",Lookups!$C$13,
IF(Table2[[#This Row],[Member Type]]="Spouse",_xlfn.XLOOKUP(B209,Table2[Main Member Link ID],Table2[Product Option],0),
IF(AND(Table2[[#This Row],[Member Type]]="Child",_xlfn.XLOOKUP(B209,Table2[Main Member Link ID],Table2[Product Option],0)&lt;&gt;"My Value Plus Life"),Lookups!$C$24,
IF(AND(OR(Table2[[#This Row],[Member Type]]="Parent",Table2[[#This Row],[Member Type]]="Extended"),_xlfn.XLOOKUP(B209,Table2[Main Member Link ID],Table2[Product Option],0)&lt;&gt;"My Value Plus Life"),Lookups!$C$26,""))))</f>
        <v/>
      </c>
      <c r="AD209" s="326" t="str">
        <f>IF(Table2[[#This Row],[Member Type]]="Main Member",Lookups!$C$14,"")</f>
        <v/>
      </c>
      <c r="AE20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Funeral",_xlfn.XLOOKUP(B209,Table2[Main Member Link ID],Table2[Benefit Name],0)=Lookups!$D$14),"",
IF(AND(Table2[[#This Row],[Member Type]]="Spouse",Table2[[#This Row],[Product Option]]="My Value Plus Life &amp; Funeral",_xlfn.XLOOKUP(B208,Table2[Main Member Link ID],Table2[Benefit Name],0)=Lookups!$D$15),Lookups!$D$20,
IF(AND(Table2[[#This Row],[Member Type]]="Spouse",Table2[[#This Row],[Product Option]]="My Value Plus Life &amp; Funeral",_xlfn.XLOOKUP(B208,Table2[Main Member Link ID],Table2[Benefit Name],0)=Lookups!$D$16),"",
IF(AND(Table2[[#This Row],[Member Type]]="Spouse",Table2[[#This Row],[Product Option]]="My Value Plus Life &amp; Funeral",_xlfn.XLOOKUP(B208,Table2[Main Member Link ID],Table2[Benefit Name],0)=Lookups!$D$17),Lookups!$D$21,
IF(AND(Table2[[#This Row],[Member Type]]="Child",Table2[[#This Row],[Product Option]]="My Value Plus Life &amp; Funeral",_xlfn.XLOOKUP(B209,Table2[Main Member Link ID],Table2[Benefit Name],0)=Lookups!$D$14),"",
IF(AND(Table2[[#This Row],[Member Type]]="Child",Table2[[#This Row],[Product Option]]="My Value Plus Life &amp; Funeral",_xlfn.XLOOKUP(B209,Table2[Main Member Link ID],Table2[Benefit Name],0)=Lookups!$D$15),"",
IF(AND(Table2[[#This Row],[Member Type]]="Child",Table2[[#This Row],[Product Option]]="My Value Plus Life &amp; Funeral",_xlfn.XLOOKUP(B209,Table2[Main Member Link ID],Table2[Benefit Name],0)=Lookups!$D$16),Lookups!$D$24,
IF(AND(Table2[[#This Row],[Member Type]]="Child",Table2[[#This Row],[Product Option]]="My Value Plus Life &amp; Funeral",_xlfn.XLOOKUP(B209,Table2[Main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Funeral",_xlfn.XLOOKUP(B209,Table2[Main Member Link ID],Table2[Benefit Name],0)&lt;&gt;Lookups!$D$14),
IF(_xlfn.XLOOKUP(B209,Table2[Main Member Link ID],Table2[Benefit Name],0)=0,"",_xlfn.XLOOKUP(B209,Table2[Main Member Link ID],Table2[Benefit Name],0)),"")))))))))))))))</f>
        <v/>
      </c>
      <c r="AF209" s="327" t="str">
        <f>IF(AND(Table2[[#This Row],[Member Type]]="Main Member",Table2[[#This Row],[Product Option]]="My Value Plus Life &amp; Funeral"),Lookups!$D$15,
IF(AND(Table2[[#This Row],[Member Type]]="Spouse",Table2[[#This Row],[Product Option]]="My Value Plus Life &amp; Funeral",_xlfn.XLOOKUP(B209,Table2[Main Member Link ID],Table2[Benefit Name],0)=Lookups!$D$14),"",
IF(AND(Table2[[#This Row],[Member Type]]="Spouse",Table2[[#This Row],[Product Option]]="My Value Plus Life &amp; Funeral",_xlfn.XLOOKUP(B208,Table2[Main Member Link ID],Table2[Benefit Name],0)=Lookups!$D$16),"",
IF(AND(Table2[[#This Row],[Member Type]]="Spouse",Table2[[#This Row],[Product Option]]="My Value Plus Life &amp; Funeral",_xlfn.XLOOKUP(B208,Table2[Main Member Link ID],Table2[Benefit Name],0)=Lookups!$D$15),"",
IF(AND(Table2[[#This Row],[Member Type]]="Spouse",Table2[[#This Row],[Product Option]]="My Value Plus Life &amp; Funeral",_xlfn.XLOOKUP(B208,Table2[Main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Funeral",_xlfn.XLOOKUP(B209,Table2[Main Member Link ID],Table2[Benefit Name],0)&lt;&gt;Lookups!$D$15),
IF(_xlfn.XLOOKUP(B209,Table2[Main Member Link ID],Table2[Benefit Name],0)=0,"",_xlfn.XLOOKUP(B209,Table2[Main Member Link ID],Table2[Benefit Name],0)),"")
))))))</f>
        <v/>
      </c>
      <c r="AG209" s="327" t="str">
        <f>IF(AND(Table2[[#This Row],[Member Type]]="Main Member",Table2[[#This Row],[Product Option]]="My Value Plus Life &amp; Funeral"),Lookups!$D$16,
IF(AND(Table2[[#This Row],[Member Type]]="Spouse",Table2[[#This Row],[Product Option]]="My Value Plus Life &amp; Funeral",_xlfn.XLOOKUP(B209,Table2[Main Member Link ID],Table2[Benefit Name],0)=Lookups!$D$14),"",
IF(AND(Table2[[#This Row],[Member Type]]="Spouse",Table2[[#This Row],[Product Option]]="My Value Plus Life &amp; Funeral",_xlfn.XLOOKUP(B208,Table2[Main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Funeral",_xlfn.XLOOKUP(B209,Table2[Main Member Link ID],Table2[Benefit Name],0)&lt;&gt;Lookups!$D$16),
IF(_xlfn.XLOOKUP(B209,Table2[Main Member Link ID],Table2[Benefit Name],0)=0,"",_xlfn.XLOOKUP(B209,Table2[Main Member Link ID],Table2[Benefit Name],0)),"")
))))</f>
        <v/>
      </c>
      <c r="AH209" s="327" t="str">
        <f>IF(AND(Table2[[#This Row],[Member Type]]="Main Member",Table2[[#This Row],[Product Option]]="My Value Plus Life &amp; Funeral"),Lookups!$D$17,
IF(AND(Table2[[#This Row],[Member Type]]="Spouse",Table2[[#This Row],[Product Option]]="My Value Plus Life &amp; Funeral",_xlfn.XLOOKUP(B209,Table2[Main Member Link ID],Table2[Benefit Name],0)=Lookups!$D$14),"",
IF(AND(Table2[[#This Row],[Member Type]]="Spouse",Table2[[#This Row],[Product Option]]="My Value Plus Life &amp; Funeral",_xlfn.XLOOKUP(B208,Table2[Main Member Link ID],Table2[Benefit Name],0)=Lookups!$D$16),"",
IF(AND(Table2[[#This Row],[Member Type]]="Child",Table2[[#This Row],[Product Option]]="My Value Plus Life &amp; Funeral"),"",
IF(AND(Table2[[#This Row],[Member Type]]="Child",Table2[[#This Row],[Product Option]]="My Value Plus Life &amp; Funeral",_xlfn.XLOOKUP(B209,Table2[Main Member Link ID],Table2[Benefit Name],0)=Lookups!$D$15),"",
IF(AND(OR(Table2[[#This Row],[Member Type]]="Spouse",Table2[[#This Row],[Member Type]]="Child"),Table2[[#This Row],[Product Option]]="My Value Plus Life &amp; Funeral",_xlfn.XLOOKUP(B209,Table2[Main Member Link ID],Table2[Benefit Name],0)&lt;&gt;Lookups!$D$17),
IF(_xlfn.XLOOKUP(B209,Table2[Main Member Link ID],Table2[Benefit Name],0)=0,"",_xlfn.XLOOKUP(B209,Table2[Main Member Link ID],Table2[Benefit Name],0)),""))))))</f>
        <v/>
      </c>
      <c r="AI209" s="328" t="str">
        <f>IF(AND(Table2[[#This Row],[Member Type]]="Main Member",Table2[[#This Row],[Table Lookup for Life Cover]]="MM_LIFE",Table2[[#This Row],[Age Next Birthday]]&lt;56),1,
IF(AND(Table2[[#This Row],[Member Type]]="Main Member",Table2[[#This Row],[Table Lookup for Life Cover]]="MM_LIFE",Table2[[#This Row],[Age Next Birthday]]&gt;=56),2,
""))</f>
        <v/>
      </c>
      <c r="AJ209" s="328">
        <f>IF(OR(Table2[[#This Row],[Member Type]]="Main Member",Table2[[#This Row],[Main Member Link ID]]=B208),1,0)</f>
        <v>1</v>
      </c>
      <c r="AK209" s="328">
        <f>IF(Table2[[#This Row],[Member Type]]=0,0,
IF(OR(Table2[[#This Row],[Member Type]]="Main Member",Table2[[#This Row],[Main Member Link ID]]&lt;&gt;B209),COUNTIFS(B:B,Table2[[#This Row],[Main Member Link ID]]),
COUNTIFS(B:B,Table2[[#This Row],[Main Member Link ID]],A:A,Table2[[#This Row],[Member Type]])))</f>
        <v>0</v>
      </c>
    </row>
    <row r="210" spans="1:37" x14ac:dyDescent="0.3">
      <c r="A210" s="284">
        <f>Table13[[#This Row],[Member Type]]</f>
        <v>0</v>
      </c>
      <c r="B210" s="284">
        <f>Table13[[#This Row],[Main Member Link ID]]</f>
        <v>0</v>
      </c>
      <c r="C210" s="284">
        <f>Table13[[#This Row],[ID Number]]</f>
        <v>0</v>
      </c>
      <c r="D210" s="285">
        <f>Table13[[#This Row],[Date Of Birth]]</f>
        <v>0</v>
      </c>
      <c r="E210" s="285">
        <f>Table13[[#This Row],[Commencement Date]]</f>
        <v>0</v>
      </c>
      <c r="F210" s="284">
        <f t="shared" si="21"/>
        <v>1</v>
      </c>
      <c r="G210" s="284">
        <f t="shared" si="22"/>
        <v>25</v>
      </c>
      <c r="H210" s="286">
        <f>Table13[[#This Row],[Product Option]]</f>
        <v>0</v>
      </c>
      <c r="I210" s="284">
        <f>IF(AND($A210="Main Member",Table2[[#This Row],[Product Option]]="My Value Plus Life"),"MM_LIFE",
IF(AND($A210="Spouse",Table2[[#This Row],[Product Option]]="My Value Plus Life"),"SP_LIFE",
IF(AND($A210="Main Member",Table2[[#This Row],[Product Option]]="My Value Plus Life &amp; Funeral"),"MM_LIFE",
IF(AND($A210="Spouse",Table2[[#This Row],[Product Option]]="My Value Plus Life &amp; Funeral"),_xlfn.XLOOKUP(Table2[[#This Row],[Benefit Name]],Lookups!$D$18:$D$23,Lookups!$E$18:$E$23,0),
0))))</f>
        <v>0</v>
      </c>
      <c r="J210" s="284">
        <f>IF($I210="","",
IF($I210="MM_LIFE",INDEX('Quotation Tool'!$S$54:$V$60,MATCH($T210,'Quotation Tool'!$S$54:$S$60,0),4),
IF($I210="SP_LIFE",_xlfn.XLOOKUP(B209,$B:$B,$J:$J,0),0)))</f>
        <v>0</v>
      </c>
      <c r="K210" s="287">
        <f t="shared" ca="1" si="26"/>
        <v>0</v>
      </c>
      <c r="L210" s="288">
        <f t="shared" ca="1" si="27"/>
        <v>0</v>
      </c>
      <c r="M210" s="289">
        <f t="shared" ca="1" si="23"/>
        <v>0</v>
      </c>
      <c r="N210" s="286">
        <f>Table13[[#This Row],[Benefit Option]]</f>
        <v>0</v>
      </c>
      <c r="O210" s="284">
        <f>IF(OR(Table2[[#This Row],[Member Type]]="Spouse",Table2[[#This Row],[Member Type]]="Child"),0,
IF(_xlfn.XLOOKUP($N210,Lookups!$D$13:$D$27,Lookups!$F$13:$F$27,0)=Table2[[#This Row],[Table Lookup for Life Cover]],0,
_xlfn.XLOOKUP($N210,Lookups!$D$13:$D$27,Lookups!$F$13:$F$27,0)))</f>
        <v>0</v>
      </c>
      <c r="P210" s="284">
        <f>IF(Table2[[#This Row],[Table Lookup for Funeral]]=0,0,IFERROR(INDEX('Quotation Tool'!$S$54:$V$60,MATCH($T210,'Quotation Tool'!$S$54:$S$60,0),3),0))</f>
        <v>0</v>
      </c>
      <c r="Q210" s="288">
        <f ca="1">IF(OR(Table2[[#This Row],[Benefit Name]]="My Value Plus Life - Main Member",Table2[[#This Row],[Benefit Name]]="My Value Plus Life - Spouse"),0,
IFERROR(VLOOKUP($G210,INDIRECT($O210),$P210,FALSE),0))</f>
        <v>0</v>
      </c>
      <c r="R210" s="288">
        <f ca="1">IF(OR(Table2[[#This Row],[Benefit Name]]="My Value Plus Life - Main Member",Table2[[#This Row],[Benefit Name]]="My Value Plus Life - Spouse"),0,
IFERROR(VLOOKUP($G210,INDIRECT($O210),$P210+1,FALSE),0))</f>
        <v>0</v>
      </c>
      <c r="S210" s="289">
        <f t="shared" ca="1" si="24"/>
        <v>0</v>
      </c>
      <c r="T210" s="284" t="str">
        <f>IF(Table13[[#This Row],[Premium Waiver]]="","None",Table13[[#This Row],[Premium Waiver]])</f>
        <v>None</v>
      </c>
      <c r="U210" s="284">
        <f>Table13[[#This Row],[VAPs Options]]</f>
        <v>0</v>
      </c>
      <c r="V210" s="284">
        <f>Table13[[#This Row],[Annual Increase Option]]</f>
        <v>0</v>
      </c>
      <c r="W210" s="290">
        <f>Table13[[#This Row],[Life Cover Amount]]</f>
        <v>0</v>
      </c>
      <c r="X210" s="290">
        <f>Table13[[#This Row],[Funeral Cover Amount]]</f>
        <v>0</v>
      </c>
      <c r="Y21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1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10" s="301">
        <f t="shared" ca="1" si="25"/>
        <v>0</v>
      </c>
      <c r="AB210" s="298"/>
      <c r="AC210" s="326" t="str">
        <f>IF(Table2[[#This Row],[Member Type]]="Main Member",Lookups!$C$13,
IF(Table2[[#This Row],[Member Type]]="Spouse",_xlfn.XLOOKUP(B210,Table2[Main Member Link ID],Table2[Product Option],0),
IF(AND(Table2[[#This Row],[Member Type]]="Child",_xlfn.XLOOKUP(B210,Table2[Main Member Link ID],Table2[Product Option],0)&lt;&gt;"My Value Plus Life"),Lookups!$C$24,
IF(AND(OR(Table2[[#This Row],[Member Type]]="Parent",Table2[[#This Row],[Member Type]]="Extended"),_xlfn.XLOOKUP(B210,Table2[Main Member Link ID],Table2[Product Option],0)&lt;&gt;"My Value Plus Life"),Lookups!$C$26,""))))</f>
        <v/>
      </c>
      <c r="AD210" s="326" t="str">
        <f>IF(Table2[[#This Row],[Member Type]]="Main Member",Lookups!$C$14,"")</f>
        <v/>
      </c>
      <c r="AE21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Funeral",_xlfn.XLOOKUP(B210,Table2[Main Member Link ID],Table2[Benefit Name],0)=Lookups!$D$14),"",
IF(AND(Table2[[#This Row],[Member Type]]="Spouse",Table2[[#This Row],[Product Option]]="My Value Plus Life &amp; Funeral",_xlfn.XLOOKUP(B209,Table2[Main Member Link ID],Table2[Benefit Name],0)=Lookups!$D$15),Lookups!$D$20,
IF(AND(Table2[[#This Row],[Member Type]]="Spouse",Table2[[#This Row],[Product Option]]="My Value Plus Life &amp; Funeral",_xlfn.XLOOKUP(B209,Table2[Main Member Link ID],Table2[Benefit Name],0)=Lookups!$D$16),"",
IF(AND(Table2[[#This Row],[Member Type]]="Spouse",Table2[[#This Row],[Product Option]]="My Value Plus Life &amp; Funeral",_xlfn.XLOOKUP(B209,Table2[Main Member Link ID],Table2[Benefit Name],0)=Lookups!$D$17),Lookups!$D$21,
IF(AND(Table2[[#This Row],[Member Type]]="Child",Table2[[#This Row],[Product Option]]="My Value Plus Life &amp; Funeral",_xlfn.XLOOKUP(B210,Table2[Main Member Link ID],Table2[Benefit Name],0)=Lookups!$D$14),"",
IF(AND(Table2[[#This Row],[Member Type]]="Child",Table2[[#This Row],[Product Option]]="My Value Plus Life &amp; Funeral",_xlfn.XLOOKUP(B210,Table2[Main Member Link ID],Table2[Benefit Name],0)=Lookups!$D$15),"",
IF(AND(Table2[[#This Row],[Member Type]]="Child",Table2[[#This Row],[Product Option]]="My Value Plus Life &amp; Funeral",_xlfn.XLOOKUP(B210,Table2[Main Member Link ID],Table2[Benefit Name],0)=Lookups!$D$16),Lookups!$D$24,
IF(AND(Table2[[#This Row],[Member Type]]="Child",Table2[[#This Row],[Product Option]]="My Value Plus Life &amp; Funeral",_xlfn.XLOOKUP(B210,Table2[Main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Funeral",_xlfn.XLOOKUP(B210,Table2[Main Member Link ID],Table2[Benefit Name],0)&lt;&gt;Lookups!$D$14),
IF(_xlfn.XLOOKUP(B210,Table2[Main Member Link ID],Table2[Benefit Name],0)=0,"",_xlfn.XLOOKUP(B210,Table2[Main Member Link ID],Table2[Benefit Name],0)),"")))))))))))))))</f>
        <v/>
      </c>
      <c r="AF210" s="327" t="str">
        <f>IF(AND(Table2[[#This Row],[Member Type]]="Main Member",Table2[[#This Row],[Product Option]]="My Value Plus Life &amp; Funeral"),Lookups!$D$15,
IF(AND(Table2[[#This Row],[Member Type]]="Spouse",Table2[[#This Row],[Product Option]]="My Value Plus Life &amp; Funeral",_xlfn.XLOOKUP(B210,Table2[Main Member Link ID],Table2[Benefit Name],0)=Lookups!$D$14),"",
IF(AND(Table2[[#This Row],[Member Type]]="Spouse",Table2[[#This Row],[Product Option]]="My Value Plus Life &amp; Funeral",_xlfn.XLOOKUP(B209,Table2[Main Member Link ID],Table2[Benefit Name],0)=Lookups!$D$16),"",
IF(AND(Table2[[#This Row],[Member Type]]="Spouse",Table2[[#This Row],[Product Option]]="My Value Plus Life &amp; Funeral",_xlfn.XLOOKUP(B209,Table2[Main Member Link ID],Table2[Benefit Name],0)=Lookups!$D$15),"",
IF(AND(Table2[[#This Row],[Member Type]]="Spouse",Table2[[#This Row],[Product Option]]="My Value Plus Life &amp; Funeral",_xlfn.XLOOKUP(B209,Table2[Main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Funeral",_xlfn.XLOOKUP(B210,Table2[Main Member Link ID],Table2[Benefit Name],0)&lt;&gt;Lookups!$D$15),
IF(_xlfn.XLOOKUP(B210,Table2[Main Member Link ID],Table2[Benefit Name],0)=0,"",_xlfn.XLOOKUP(B210,Table2[Main Member Link ID],Table2[Benefit Name],0)),"")
))))))</f>
        <v/>
      </c>
      <c r="AG210" s="327" t="str">
        <f>IF(AND(Table2[[#This Row],[Member Type]]="Main Member",Table2[[#This Row],[Product Option]]="My Value Plus Life &amp; Funeral"),Lookups!$D$16,
IF(AND(Table2[[#This Row],[Member Type]]="Spouse",Table2[[#This Row],[Product Option]]="My Value Plus Life &amp; Funeral",_xlfn.XLOOKUP(B210,Table2[Main Member Link ID],Table2[Benefit Name],0)=Lookups!$D$14),"",
IF(AND(Table2[[#This Row],[Member Type]]="Spouse",Table2[[#This Row],[Product Option]]="My Value Plus Life &amp; Funeral",_xlfn.XLOOKUP(B209,Table2[Main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Funeral",_xlfn.XLOOKUP(B210,Table2[Main Member Link ID],Table2[Benefit Name],0)&lt;&gt;Lookups!$D$16),
IF(_xlfn.XLOOKUP(B210,Table2[Main Member Link ID],Table2[Benefit Name],0)=0,"",_xlfn.XLOOKUP(B210,Table2[Main Member Link ID],Table2[Benefit Name],0)),"")
))))</f>
        <v/>
      </c>
      <c r="AH210" s="327" t="str">
        <f>IF(AND(Table2[[#This Row],[Member Type]]="Main Member",Table2[[#This Row],[Product Option]]="My Value Plus Life &amp; Funeral"),Lookups!$D$17,
IF(AND(Table2[[#This Row],[Member Type]]="Spouse",Table2[[#This Row],[Product Option]]="My Value Plus Life &amp; Funeral",_xlfn.XLOOKUP(B210,Table2[Main Member Link ID],Table2[Benefit Name],0)=Lookups!$D$14),"",
IF(AND(Table2[[#This Row],[Member Type]]="Spouse",Table2[[#This Row],[Product Option]]="My Value Plus Life &amp; Funeral",_xlfn.XLOOKUP(B209,Table2[Main Member Link ID],Table2[Benefit Name],0)=Lookups!$D$16),"",
IF(AND(Table2[[#This Row],[Member Type]]="Child",Table2[[#This Row],[Product Option]]="My Value Plus Life &amp; Funeral"),"",
IF(AND(Table2[[#This Row],[Member Type]]="Child",Table2[[#This Row],[Product Option]]="My Value Plus Life &amp; Funeral",_xlfn.XLOOKUP(B210,Table2[Main Member Link ID],Table2[Benefit Name],0)=Lookups!$D$15),"",
IF(AND(OR(Table2[[#This Row],[Member Type]]="Spouse",Table2[[#This Row],[Member Type]]="Child"),Table2[[#This Row],[Product Option]]="My Value Plus Life &amp; Funeral",_xlfn.XLOOKUP(B210,Table2[Main Member Link ID],Table2[Benefit Name],0)&lt;&gt;Lookups!$D$17),
IF(_xlfn.XLOOKUP(B210,Table2[Main Member Link ID],Table2[Benefit Name],0)=0,"",_xlfn.XLOOKUP(B210,Table2[Main Member Link ID],Table2[Benefit Name],0)),""))))))</f>
        <v/>
      </c>
      <c r="AI210" s="328" t="str">
        <f>IF(AND(Table2[[#This Row],[Member Type]]="Main Member",Table2[[#This Row],[Table Lookup for Life Cover]]="MM_LIFE",Table2[[#This Row],[Age Next Birthday]]&lt;56),1,
IF(AND(Table2[[#This Row],[Member Type]]="Main Member",Table2[[#This Row],[Table Lookup for Life Cover]]="MM_LIFE",Table2[[#This Row],[Age Next Birthday]]&gt;=56),2,
""))</f>
        <v/>
      </c>
      <c r="AJ210" s="328">
        <f>IF(OR(Table2[[#This Row],[Member Type]]="Main Member",Table2[[#This Row],[Main Member Link ID]]=B209),1,0)</f>
        <v>1</v>
      </c>
      <c r="AK210" s="328">
        <f>IF(Table2[[#This Row],[Member Type]]=0,0,
IF(OR(Table2[[#This Row],[Member Type]]="Main Member",Table2[[#This Row],[Main Member Link ID]]&lt;&gt;B210),COUNTIFS(B:B,Table2[[#This Row],[Main Member Link ID]]),
COUNTIFS(B:B,Table2[[#This Row],[Main Member Link ID]],A:A,Table2[[#This Row],[Member Type]])))</f>
        <v>0</v>
      </c>
    </row>
    <row r="211" spans="1:37" x14ac:dyDescent="0.3">
      <c r="A211" s="284">
        <f>Table13[[#This Row],[Member Type]]</f>
        <v>0</v>
      </c>
      <c r="B211" s="284">
        <f>Table13[[#This Row],[Main Member Link ID]]</f>
        <v>0</v>
      </c>
      <c r="C211" s="284">
        <f>Table13[[#This Row],[ID Number]]</f>
        <v>0</v>
      </c>
      <c r="D211" s="285">
        <f>Table13[[#This Row],[Date Of Birth]]</f>
        <v>0</v>
      </c>
      <c r="E211" s="285">
        <f>Table13[[#This Row],[Commencement Date]]</f>
        <v>0</v>
      </c>
      <c r="F211" s="284">
        <f t="shared" si="21"/>
        <v>1</v>
      </c>
      <c r="G211" s="284">
        <f t="shared" si="22"/>
        <v>25</v>
      </c>
      <c r="H211" s="286">
        <f>Table13[[#This Row],[Product Option]]</f>
        <v>0</v>
      </c>
      <c r="I211" s="284">
        <f>IF(AND($A211="Main Member",Table2[[#This Row],[Product Option]]="My Value Plus Life"),"MM_LIFE",
IF(AND($A211="Spouse",Table2[[#This Row],[Product Option]]="My Value Plus Life"),"SP_LIFE",
IF(AND($A211="Main Member",Table2[[#This Row],[Product Option]]="My Value Plus Life &amp; Funeral"),"MM_LIFE",
IF(AND($A211="Spouse",Table2[[#This Row],[Product Option]]="My Value Plus Life &amp; Funeral"),_xlfn.XLOOKUP(Table2[[#This Row],[Benefit Name]],Lookups!$D$18:$D$23,Lookups!$E$18:$E$23,0),
0))))</f>
        <v>0</v>
      </c>
      <c r="J211" s="284">
        <f>IF($I211="","",
IF($I211="MM_LIFE",INDEX('Quotation Tool'!$S$54:$V$60,MATCH($T211,'Quotation Tool'!$S$54:$S$60,0),4),
IF($I211="SP_LIFE",_xlfn.XLOOKUP(B210,$B:$B,$J:$J,0),0)))</f>
        <v>0</v>
      </c>
      <c r="K211" s="287">
        <f t="shared" ca="1" si="26"/>
        <v>0</v>
      </c>
      <c r="L211" s="288">
        <f t="shared" ca="1" si="27"/>
        <v>0</v>
      </c>
      <c r="M211" s="289">
        <f t="shared" ca="1" si="23"/>
        <v>0</v>
      </c>
      <c r="N211" s="286">
        <f>Table13[[#This Row],[Benefit Option]]</f>
        <v>0</v>
      </c>
      <c r="O211" s="284">
        <f>IF(OR(Table2[[#This Row],[Member Type]]="Spouse",Table2[[#This Row],[Member Type]]="Child"),0,
IF(_xlfn.XLOOKUP($N211,Lookups!$D$13:$D$27,Lookups!$F$13:$F$27,0)=Table2[[#This Row],[Table Lookup for Life Cover]],0,
_xlfn.XLOOKUP($N211,Lookups!$D$13:$D$27,Lookups!$F$13:$F$27,0)))</f>
        <v>0</v>
      </c>
      <c r="P211" s="284">
        <f>IF(Table2[[#This Row],[Table Lookup for Funeral]]=0,0,IFERROR(INDEX('Quotation Tool'!$S$54:$V$60,MATCH($T211,'Quotation Tool'!$S$54:$S$60,0),3),0))</f>
        <v>0</v>
      </c>
      <c r="Q211" s="288">
        <f ca="1">IF(OR(Table2[[#This Row],[Benefit Name]]="My Value Plus Life - Main Member",Table2[[#This Row],[Benefit Name]]="My Value Plus Life - Spouse"),0,
IFERROR(VLOOKUP($G211,INDIRECT($O211),$P211,FALSE),0))</f>
        <v>0</v>
      </c>
      <c r="R211" s="288">
        <f ca="1">IF(OR(Table2[[#This Row],[Benefit Name]]="My Value Plus Life - Main Member",Table2[[#This Row],[Benefit Name]]="My Value Plus Life - Spouse"),0,
IFERROR(VLOOKUP($G211,INDIRECT($O211),$P211+1,FALSE),0))</f>
        <v>0</v>
      </c>
      <c r="S211" s="289">
        <f t="shared" ca="1" si="24"/>
        <v>0</v>
      </c>
      <c r="T211" s="284" t="str">
        <f>IF(Table13[[#This Row],[Premium Waiver]]="","None",Table13[[#This Row],[Premium Waiver]])</f>
        <v>None</v>
      </c>
      <c r="U211" s="284">
        <f>Table13[[#This Row],[VAPs Options]]</f>
        <v>0</v>
      </c>
      <c r="V211" s="284">
        <f>Table13[[#This Row],[Annual Increase Option]]</f>
        <v>0</v>
      </c>
      <c r="W211" s="290">
        <f>Table13[[#This Row],[Life Cover Amount]]</f>
        <v>0</v>
      </c>
      <c r="X211" s="290">
        <f>Table13[[#This Row],[Funeral Cover Amount]]</f>
        <v>0</v>
      </c>
      <c r="Y21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1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11" s="301">
        <f t="shared" ca="1" si="25"/>
        <v>0</v>
      </c>
      <c r="AB211" s="298"/>
      <c r="AC211" s="326" t="str">
        <f>IF(Table2[[#This Row],[Member Type]]="Main Member",Lookups!$C$13,
IF(Table2[[#This Row],[Member Type]]="Spouse",_xlfn.XLOOKUP(B211,Table2[Main Member Link ID],Table2[Product Option],0),
IF(AND(Table2[[#This Row],[Member Type]]="Child",_xlfn.XLOOKUP(B211,Table2[Main Member Link ID],Table2[Product Option],0)&lt;&gt;"My Value Plus Life"),Lookups!$C$24,
IF(AND(OR(Table2[[#This Row],[Member Type]]="Parent",Table2[[#This Row],[Member Type]]="Extended"),_xlfn.XLOOKUP(B211,Table2[Main Member Link ID],Table2[Product Option],0)&lt;&gt;"My Value Plus Life"),Lookups!$C$26,""))))</f>
        <v/>
      </c>
      <c r="AD211" s="326" t="str">
        <f>IF(Table2[[#This Row],[Member Type]]="Main Member",Lookups!$C$14,"")</f>
        <v/>
      </c>
      <c r="AE21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Funeral",_xlfn.XLOOKUP(B211,Table2[Main Member Link ID],Table2[Benefit Name],0)=Lookups!$D$14),"",
IF(AND(Table2[[#This Row],[Member Type]]="Spouse",Table2[[#This Row],[Product Option]]="My Value Plus Life &amp; Funeral",_xlfn.XLOOKUP(B210,Table2[Main Member Link ID],Table2[Benefit Name],0)=Lookups!$D$15),Lookups!$D$20,
IF(AND(Table2[[#This Row],[Member Type]]="Spouse",Table2[[#This Row],[Product Option]]="My Value Plus Life &amp; Funeral",_xlfn.XLOOKUP(B210,Table2[Main Member Link ID],Table2[Benefit Name],0)=Lookups!$D$16),"",
IF(AND(Table2[[#This Row],[Member Type]]="Spouse",Table2[[#This Row],[Product Option]]="My Value Plus Life &amp; Funeral",_xlfn.XLOOKUP(B210,Table2[Main Member Link ID],Table2[Benefit Name],0)=Lookups!$D$17),Lookups!$D$21,
IF(AND(Table2[[#This Row],[Member Type]]="Child",Table2[[#This Row],[Product Option]]="My Value Plus Life &amp; Funeral",_xlfn.XLOOKUP(B211,Table2[Main Member Link ID],Table2[Benefit Name],0)=Lookups!$D$14),"",
IF(AND(Table2[[#This Row],[Member Type]]="Child",Table2[[#This Row],[Product Option]]="My Value Plus Life &amp; Funeral",_xlfn.XLOOKUP(B211,Table2[Main Member Link ID],Table2[Benefit Name],0)=Lookups!$D$15),"",
IF(AND(Table2[[#This Row],[Member Type]]="Child",Table2[[#This Row],[Product Option]]="My Value Plus Life &amp; Funeral",_xlfn.XLOOKUP(B211,Table2[Main Member Link ID],Table2[Benefit Name],0)=Lookups!$D$16),Lookups!$D$24,
IF(AND(Table2[[#This Row],[Member Type]]="Child",Table2[[#This Row],[Product Option]]="My Value Plus Life &amp; Funeral",_xlfn.XLOOKUP(B211,Table2[Main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Funeral",_xlfn.XLOOKUP(B211,Table2[Main Member Link ID],Table2[Benefit Name],0)&lt;&gt;Lookups!$D$14),
IF(_xlfn.XLOOKUP(B211,Table2[Main Member Link ID],Table2[Benefit Name],0)=0,"",_xlfn.XLOOKUP(B211,Table2[Main Member Link ID],Table2[Benefit Name],0)),"")))))))))))))))</f>
        <v/>
      </c>
      <c r="AF211" s="327" t="str">
        <f>IF(AND(Table2[[#This Row],[Member Type]]="Main Member",Table2[[#This Row],[Product Option]]="My Value Plus Life &amp; Funeral"),Lookups!$D$15,
IF(AND(Table2[[#This Row],[Member Type]]="Spouse",Table2[[#This Row],[Product Option]]="My Value Plus Life &amp; Funeral",_xlfn.XLOOKUP(B211,Table2[Main Member Link ID],Table2[Benefit Name],0)=Lookups!$D$14),"",
IF(AND(Table2[[#This Row],[Member Type]]="Spouse",Table2[[#This Row],[Product Option]]="My Value Plus Life &amp; Funeral",_xlfn.XLOOKUP(B210,Table2[Main Member Link ID],Table2[Benefit Name],0)=Lookups!$D$16),"",
IF(AND(Table2[[#This Row],[Member Type]]="Spouse",Table2[[#This Row],[Product Option]]="My Value Plus Life &amp; Funeral",_xlfn.XLOOKUP(B210,Table2[Main Member Link ID],Table2[Benefit Name],0)=Lookups!$D$15),"",
IF(AND(Table2[[#This Row],[Member Type]]="Spouse",Table2[[#This Row],[Product Option]]="My Value Plus Life &amp; Funeral",_xlfn.XLOOKUP(B210,Table2[Main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Funeral",_xlfn.XLOOKUP(B211,Table2[Main Member Link ID],Table2[Benefit Name],0)&lt;&gt;Lookups!$D$15),
IF(_xlfn.XLOOKUP(B211,Table2[Main Member Link ID],Table2[Benefit Name],0)=0,"",_xlfn.XLOOKUP(B211,Table2[Main Member Link ID],Table2[Benefit Name],0)),"")
))))))</f>
        <v/>
      </c>
      <c r="AG211" s="327" t="str">
        <f>IF(AND(Table2[[#This Row],[Member Type]]="Main Member",Table2[[#This Row],[Product Option]]="My Value Plus Life &amp; Funeral"),Lookups!$D$16,
IF(AND(Table2[[#This Row],[Member Type]]="Spouse",Table2[[#This Row],[Product Option]]="My Value Plus Life &amp; Funeral",_xlfn.XLOOKUP(B211,Table2[Main Member Link ID],Table2[Benefit Name],0)=Lookups!$D$14),"",
IF(AND(Table2[[#This Row],[Member Type]]="Spouse",Table2[[#This Row],[Product Option]]="My Value Plus Life &amp; Funeral",_xlfn.XLOOKUP(B210,Table2[Main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Funeral",_xlfn.XLOOKUP(B211,Table2[Main Member Link ID],Table2[Benefit Name],0)&lt;&gt;Lookups!$D$16),
IF(_xlfn.XLOOKUP(B211,Table2[Main Member Link ID],Table2[Benefit Name],0)=0,"",_xlfn.XLOOKUP(B211,Table2[Main Member Link ID],Table2[Benefit Name],0)),"")
))))</f>
        <v/>
      </c>
      <c r="AH211" s="327" t="str">
        <f>IF(AND(Table2[[#This Row],[Member Type]]="Main Member",Table2[[#This Row],[Product Option]]="My Value Plus Life &amp; Funeral"),Lookups!$D$17,
IF(AND(Table2[[#This Row],[Member Type]]="Spouse",Table2[[#This Row],[Product Option]]="My Value Plus Life &amp; Funeral",_xlfn.XLOOKUP(B211,Table2[Main Member Link ID],Table2[Benefit Name],0)=Lookups!$D$14),"",
IF(AND(Table2[[#This Row],[Member Type]]="Spouse",Table2[[#This Row],[Product Option]]="My Value Plus Life &amp; Funeral",_xlfn.XLOOKUP(B210,Table2[Main Member Link ID],Table2[Benefit Name],0)=Lookups!$D$16),"",
IF(AND(Table2[[#This Row],[Member Type]]="Child",Table2[[#This Row],[Product Option]]="My Value Plus Life &amp; Funeral"),"",
IF(AND(Table2[[#This Row],[Member Type]]="Child",Table2[[#This Row],[Product Option]]="My Value Plus Life &amp; Funeral",_xlfn.XLOOKUP(B211,Table2[Main Member Link ID],Table2[Benefit Name],0)=Lookups!$D$15),"",
IF(AND(OR(Table2[[#This Row],[Member Type]]="Spouse",Table2[[#This Row],[Member Type]]="Child"),Table2[[#This Row],[Product Option]]="My Value Plus Life &amp; Funeral",_xlfn.XLOOKUP(B211,Table2[Main Member Link ID],Table2[Benefit Name],0)&lt;&gt;Lookups!$D$17),
IF(_xlfn.XLOOKUP(B211,Table2[Main Member Link ID],Table2[Benefit Name],0)=0,"",_xlfn.XLOOKUP(B211,Table2[Main Member Link ID],Table2[Benefit Name],0)),""))))))</f>
        <v/>
      </c>
      <c r="AI211" s="328" t="str">
        <f>IF(AND(Table2[[#This Row],[Member Type]]="Main Member",Table2[[#This Row],[Table Lookup for Life Cover]]="MM_LIFE",Table2[[#This Row],[Age Next Birthday]]&lt;56),1,
IF(AND(Table2[[#This Row],[Member Type]]="Main Member",Table2[[#This Row],[Table Lookup for Life Cover]]="MM_LIFE",Table2[[#This Row],[Age Next Birthday]]&gt;=56),2,
""))</f>
        <v/>
      </c>
      <c r="AJ211" s="328">
        <f>IF(OR(Table2[[#This Row],[Member Type]]="Main Member",Table2[[#This Row],[Main Member Link ID]]=B210),1,0)</f>
        <v>1</v>
      </c>
      <c r="AK211" s="328">
        <f>IF(Table2[[#This Row],[Member Type]]=0,0,
IF(OR(Table2[[#This Row],[Member Type]]="Main Member",Table2[[#This Row],[Main Member Link ID]]&lt;&gt;B211),COUNTIFS(B:B,Table2[[#This Row],[Main Member Link ID]]),
COUNTIFS(B:B,Table2[[#This Row],[Main Member Link ID]],A:A,Table2[[#This Row],[Member Type]])))</f>
        <v>0</v>
      </c>
    </row>
    <row r="212" spans="1:37" x14ac:dyDescent="0.3">
      <c r="A212" s="284">
        <f>Table13[[#This Row],[Member Type]]</f>
        <v>0</v>
      </c>
      <c r="B212" s="284">
        <f>Table13[[#This Row],[Main Member Link ID]]</f>
        <v>0</v>
      </c>
      <c r="C212" s="284">
        <f>Table13[[#This Row],[ID Number]]</f>
        <v>0</v>
      </c>
      <c r="D212" s="285">
        <f>Table13[[#This Row],[Date Of Birth]]</f>
        <v>0</v>
      </c>
      <c r="E212" s="285">
        <f>Table13[[#This Row],[Commencement Date]]</f>
        <v>0</v>
      </c>
      <c r="F212" s="284">
        <f t="shared" si="21"/>
        <v>1</v>
      </c>
      <c r="G212" s="284">
        <f t="shared" si="22"/>
        <v>25</v>
      </c>
      <c r="H212" s="286">
        <f>Table13[[#This Row],[Product Option]]</f>
        <v>0</v>
      </c>
      <c r="I212" s="284">
        <f>IF(AND($A212="Main Member",Table2[[#This Row],[Product Option]]="My Value Plus Life"),"MM_LIFE",
IF(AND($A212="Spouse",Table2[[#This Row],[Product Option]]="My Value Plus Life"),"SP_LIFE",
IF(AND($A212="Main Member",Table2[[#This Row],[Product Option]]="My Value Plus Life &amp; Funeral"),"MM_LIFE",
IF(AND($A212="Spouse",Table2[[#This Row],[Product Option]]="My Value Plus Life &amp; Funeral"),_xlfn.XLOOKUP(Table2[[#This Row],[Benefit Name]],Lookups!$D$18:$D$23,Lookups!$E$18:$E$23,0),
0))))</f>
        <v>0</v>
      </c>
      <c r="J212" s="284">
        <f>IF($I212="","",
IF($I212="MM_LIFE",INDEX('Quotation Tool'!$S$54:$V$60,MATCH($T212,'Quotation Tool'!$S$54:$S$60,0),4),
IF($I212="SP_LIFE",_xlfn.XLOOKUP(B211,$B:$B,$J:$J,0),0)))</f>
        <v>0</v>
      </c>
      <c r="K212" s="287">
        <f t="shared" ca="1" si="26"/>
        <v>0</v>
      </c>
      <c r="L212" s="288">
        <f t="shared" ca="1" si="27"/>
        <v>0</v>
      </c>
      <c r="M212" s="289">
        <f t="shared" ca="1" si="23"/>
        <v>0</v>
      </c>
      <c r="N212" s="286">
        <f>Table13[[#This Row],[Benefit Option]]</f>
        <v>0</v>
      </c>
      <c r="O212" s="284">
        <f>IF(OR(Table2[[#This Row],[Member Type]]="Spouse",Table2[[#This Row],[Member Type]]="Child"),0,
IF(_xlfn.XLOOKUP($N212,Lookups!$D$13:$D$27,Lookups!$F$13:$F$27,0)=Table2[[#This Row],[Table Lookup for Life Cover]],0,
_xlfn.XLOOKUP($N212,Lookups!$D$13:$D$27,Lookups!$F$13:$F$27,0)))</f>
        <v>0</v>
      </c>
      <c r="P212" s="284">
        <f>IF(Table2[[#This Row],[Table Lookup for Funeral]]=0,0,IFERROR(INDEX('Quotation Tool'!$S$54:$V$60,MATCH($T212,'Quotation Tool'!$S$54:$S$60,0),3),0))</f>
        <v>0</v>
      </c>
      <c r="Q212" s="288">
        <f ca="1">IF(OR(Table2[[#This Row],[Benefit Name]]="My Value Plus Life - Main Member",Table2[[#This Row],[Benefit Name]]="My Value Plus Life - Spouse"),0,
IFERROR(VLOOKUP($G212,INDIRECT($O212),$P212,FALSE),0))</f>
        <v>0</v>
      </c>
      <c r="R212" s="288">
        <f ca="1">IF(OR(Table2[[#This Row],[Benefit Name]]="My Value Plus Life - Main Member",Table2[[#This Row],[Benefit Name]]="My Value Plus Life - Spouse"),0,
IFERROR(VLOOKUP($G212,INDIRECT($O212),$P212+1,FALSE),0))</f>
        <v>0</v>
      </c>
      <c r="S212" s="289">
        <f t="shared" ca="1" si="24"/>
        <v>0</v>
      </c>
      <c r="T212" s="284" t="str">
        <f>IF(Table13[[#This Row],[Premium Waiver]]="","None",Table13[[#This Row],[Premium Waiver]])</f>
        <v>None</v>
      </c>
      <c r="U212" s="284">
        <f>Table13[[#This Row],[VAPs Options]]</f>
        <v>0</v>
      </c>
      <c r="V212" s="284">
        <f>Table13[[#This Row],[Annual Increase Option]]</f>
        <v>0</v>
      </c>
      <c r="W212" s="290">
        <f>Table13[[#This Row],[Life Cover Amount]]</f>
        <v>0</v>
      </c>
      <c r="X212" s="290">
        <f>Table13[[#This Row],[Funeral Cover Amount]]</f>
        <v>0</v>
      </c>
      <c r="Y21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1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12" s="301">
        <f t="shared" ca="1" si="25"/>
        <v>0</v>
      </c>
      <c r="AB212" s="298"/>
      <c r="AC212" s="326" t="str">
        <f>IF(Table2[[#This Row],[Member Type]]="Main Member",Lookups!$C$13,
IF(Table2[[#This Row],[Member Type]]="Spouse",_xlfn.XLOOKUP(B212,Table2[Main Member Link ID],Table2[Product Option],0),
IF(AND(Table2[[#This Row],[Member Type]]="Child",_xlfn.XLOOKUP(B212,Table2[Main Member Link ID],Table2[Product Option],0)&lt;&gt;"My Value Plus Life"),Lookups!$C$24,
IF(AND(OR(Table2[[#This Row],[Member Type]]="Parent",Table2[[#This Row],[Member Type]]="Extended"),_xlfn.XLOOKUP(B212,Table2[Main Member Link ID],Table2[Product Option],0)&lt;&gt;"My Value Plus Life"),Lookups!$C$26,""))))</f>
        <v/>
      </c>
      <c r="AD212" s="326" t="str">
        <f>IF(Table2[[#This Row],[Member Type]]="Main Member",Lookups!$C$14,"")</f>
        <v/>
      </c>
      <c r="AE21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Funeral",_xlfn.XLOOKUP(B212,Table2[Main Member Link ID],Table2[Benefit Name],0)=Lookups!$D$14),"",
IF(AND(Table2[[#This Row],[Member Type]]="Spouse",Table2[[#This Row],[Product Option]]="My Value Plus Life &amp; Funeral",_xlfn.XLOOKUP(B211,Table2[Main Member Link ID],Table2[Benefit Name],0)=Lookups!$D$15),Lookups!$D$20,
IF(AND(Table2[[#This Row],[Member Type]]="Spouse",Table2[[#This Row],[Product Option]]="My Value Plus Life &amp; Funeral",_xlfn.XLOOKUP(B211,Table2[Main Member Link ID],Table2[Benefit Name],0)=Lookups!$D$16),"",
IF(AND(Table2[[#This Row],[Member Type]]="Spouse",Table2[[#This Row],[Product Option]]="My Value Plus Life &amp; Funeral",_xlfn.XLOOKUP(B211,Table2[Main Member Link ID],Table2[Benefit Name],0)=Lookups!$D$17),Lookups!$D$21,
IF(AND(Table2[[#This Row],[Member Type]]="Child",Table2[[#This Row],[Product Option]]="My Value Plus Life &amp; Funeral",_xlfn.XLOOKUP(B212,Table2[Main Member Link ID],Table2[Benefit Name],0)=Lookups!$D$14),"",
IF(AND(Table2[[#This Row],[Member Type]]="Child",Table2[[#This Row],[Product Option]]="My Value Plus Life &amp; Funeral",_xlfn.XLOOKUP(B212,Table2[Main Member Link ID],Table2[Benefit Name],0)=Lookups!$D$15),"",
IF(AND(Table2[[#This Row],[Member Type]]="Child",Table2[[#This Row],[Product Option]]="My Value Plus Life &amp; Funeral",_xlfn.XLOOKUP(B212,Table2[Main Member Link ID],Table2[Benefit Name],0)=Lookups!$D$16),Lookups!$D$24,
IF(AND(Table2[[#This Row],[Member Type]]="Child",Table2[[#This Row],[Product Option]]="My Value Plus Life &amp; Funeral",_xlfn.XLOOKUP(B212,Table2[Main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Funeral",_xlfn.XLOOKUP(B212,Table2[Main Member Link ID],Table2[Benefit Name],0)&lt;&gt;Lookups!$D$14),
IF(_xlfn.XLOOKUP(B212,Table2[Main Member Link ID],Table2[Benefit Name],0)=0,"",_xlfn.XLOOKUP(B212,Table2[Main Member Link ID],Table2[Benefit Name],0)),"")))))))))))))))</f>
        <v/>
      </c>
      <c r="AF212" s="327" t="str">
        <f>IF(AND(Table2[[#This Row],[Member Type]]="Main Member",Table2[[#This Row],[Product Option]]="My Value Plus Life &amp; Funeral"),Lookups!$D$15,
IF(AND(Table2[[#This Row],[Member Type]]="Spouse",Table2[[#This Row],[Product Option]]="My Value Plus Life &amp; Funeral",_xlfn.XLOOKUP(B212,Table2[Main Member Link ID],Table2[Benefit Name],0)=Lookups!$D$14),"",
IF(AND(Table2[[#This Row],[Member Type]]="Spouse",Table2[[#This Row],[Product Option]]="My Value Plus Life &amp; Funeral",_xlfn.XLOOKUP(B211,Table2[Main Member Link ID],Table2[Benefit Name],0)=Lookups!$D$16),"",
IF(AND(Table2[[#This Row],[Member Type]]="Spouse",Table2[[#This Row],[Product Option]]="My Value Plus Life &amp; Funeral",_xlfn.XLOOKUP(B211,Table2[Main Member Link ID],Table2[Benefit Name],0)=Lookups!$D$15),"",
IF(AND(Table2[[#This Row],[Member Type]]="Spouse",Table2[[#This Row],[Product Option]]="My Value Plus Life &amp; Funeral",_xlfn.XLOOKUP(B211,Table2[Main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Funeral",_xlfn.XLOOKUP(B212,Table2[Main Member Link ID],Table2[Benefit Name],0)&lt;&gt;Lookups!$D$15),
IF(_xlfn.XLOOKUP(B212,Table2[Main Member Link ID],Table2[Benefit Name],0)=0,"",_xlfn.XLOOKUP(B212,Table2[Main Member Link ID],Table2[Benefit Name],0)),"")
))))))</f>
        <v/>
      </c>
      <c r="AG212" s="327" t="str">
        <f>IF(AND(Table2[[#This Row],[Member Type]]="Main Member",Table2[[#This Row],[Product Option]]="My Value Plus Life &amp; Funeral"),Lookups!$D$16,
IF(AND(Table2[[#This Row],[Member Type]]="Spouse",Table2[[#This Row],[Product Option]]="My Value Plus Life &amp; Funeral",_xlfn.XLOOKUP(B212,Table2[Main Member Link ID],Table2[Benefit Name],0)=Lookups!$D$14),"",
IF(AND(Table2[[#This Row],[Member Type]]="Spouse",Table2[[#This Row],[Product Option]]="My Value Plus Life &amp; Funeral",_xlfn.XLOOKUP(B211,Table2[Main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Funeral",_xlfn.XLOOKUP(B212,Table2[Main Member Link ID],Table2[Benefit Name],0)&lt;&gt;Lookups!$D$16),
IF(_xlfn.XLOOKUP(B212,Table2[Main Member Link ID],Table2[Benefit Name],0)=0,"",_xlfn.XLOOKUP(B212,Table2[Main Member Link ID],Table2[Benefit Name],0)),"")
))))</f>
        <v/>
      </c>
      <c r="AH212" s="327" t="str">
        <f>IF(AND(Table2[[#This Row],[Member Type]]="Main Member",Table2[[#This Row],[Product Option]]="My Value Plus Life &amp; Funeral"),Lookups!$D$17,
IF(AND(Table2[[#This Row],[Member Type]]="Spouse",Table2[[#This Row],[Product Option]]="My Value Plus Life &amp; Funeral",_xlfn.XLOOKUP(B212,Table2[Main Member Link ID],Table2[Benefit Name],0)=Lookups!$D$14),"",
IF(AND(Table2[[#This Row],[Member Type]]="Spouse",Table2[[#This Row],[Product Option]]="My Value Plus Life &amp; Funeral",_xlfn.XLOOKUP(B211,Table2[Main Member Link ID],Table2[Benefit Name],0)=Lookups!$D$16),"",
IF(AND(Table2[[#This Row],[Member Type]]="Child",Table2[[#This Row],[Product Option]]="My Value Plus Life &amp; Funeral"),"",
IF(AND(Table2[[#This Row],[Member Type]]="Child",Table2[[#This Row],[Product Option]]="My Value Plus Life &amp; Funeral",_xlfn.XLOOKUP(B212,Table2[Main Member Link ID],Table2[Benefit Name],0)=Lookups!$D$15),"",
IF(AND(OR(Table2[[#This Row],[Member Type]]="Spouse",Table2[[#This Row],[Member Type]]="Child"),Table2[[#This Row],[Product Option]]="My Value Plus Life &amp; Funeral",_xlfn.XLOOKUP(B212,Table2[Main Member Link ID],Table2[Benefit Name],0)&lt;&gt;Lookups!$D$17),
IF(_xlfn.XLOOKUP(B212,Table2[Main Member Link ID],Table2[Benefit Name],0)=0,"",_xlfn.XLOOKUP(B212,Table2[Main Member Link ID],Table2[Benefit Name],0)),""))))))</f>
        <v/>
      </c>
      <c r="AI212" s="328" t="str">
        <f>IF(AND(Table2[[#This Row],[Member Type]]="Main Member",Table2[[#This Row],[Table Lookup for Life Cover]]="MM_LIFE",Table2[[#This Row],[Age Next Birthday]]&lt;56),1,
IF(AND(Table2[[#This Row],[Member Type]]="Main Member",Table2[[#This Row],[Table Lookup for Life Cover]]="MM_LIFE",Table2[[#This Row],[Age Next Birthday]]&gt;=56),2,
""))</f>
        <v/>
      </c>
      <c r="AJ212" s="328">
        <f>IF(OR(Table2[[#This Row],[Member Type]]="Main Member",Table2[[#This Row],[Main Member Link ID]]=B211),1,0)</f>
        <v>1</v>
      </c>
      <c r="AK212" s="328">
        <f>IF(Table2[[#This Row],[Member Type]]=0,0,
IF(OR(Table2[[#This Row],[Member Type]]="Main Member",Table2[[#This Row],[Main Member Link ID]]&lt;&gt;B212),COUNTIFS(B:B,Table2[[#This Row],[Main Member Link ID]]),
COUNTIFS(B:B,Table2[[#This Row],[Main Member Link ID]],A:A,Table2[[#This Row],[Member Type]])))</f>
        <v>0</v>
      </c>
    </row>
    <row r="213" spans="1:37" x14ac:dyDescent="0.3">
      <c r="A213" s="284">
        <f>Table13[[#This Row],[Member Type]]</f>
        <v>0</v>
      </c>
      <c r="B213" s="284">
        <f>Table13[[#This Row],[Main Member Link ID]]</f>
        <v>0</v>
      </c>
      <c r="C213" s="284">
        <f>Table13[[#This Row],[ID Number]]</f>
        <v>0</v>
      </c>
      <c r="D213" s="285">
        <f>Table13[[#This Row],[Date Of Birth]]</f>
        <v>0</v>
      </c>
      <c r="E213" s="285">
        <f>Table13[[#This Row],[Commencement Date]]</f>
        <v>0</v>
      </c>
      <c r="F213" s="284">
        <f t="shared" si="21"/>
        <v>1</v>
      </c>
      <c r="G213" s="284">
        <f t="shared" si="22"/>
        <v>25</v>
      </c>
      <c r="H213" s="286">
        <f>Table13[[#This Row],[Product Option]]</f>
        <v>0</v>
      </c>
      <c r="I213" s="284">
        <f>IF(AND($A213="Main Member",Table2[[#This Row],[Product Option]]="My Value Plus Life"),"MM_LIFE",
IF(AND($A213="Spouse",Table2[[#This Row],[Product Option]]="My Value Plus Life"),"SP_LIFE",
IF(AND($A213="Main Member",Table2[[#This Row],[Product Option]]="My Value Plus Life &amp; Funeral"),"MM_LIFE",
IF(AND($A213="Spouse",Table2[[#This Row],[Product Option]]="My Value Plus Life &amp; Funeral"),_xlfn.XLOOKUP(Table2[[#This Row],[Benefit Name]],Lookups!$D$18:$D$23,Lookups!$E$18:$E$23,0),
0))))</f>
        <v>0</v>
      </c>
      <c r="J213" s="284">
        <f>IF($I213="","",
IF($I213="MM_LIFE",INDEX('Quotation Tool'!$S$54:$V$60,MATCH($T213,'Quotation Tool'!$S$54:$S$60,0),4),
IF($I213="SP_LIFE",_xlfn.XLOOKUP(B212,$B:$B,$J:$J,0),0)))</f>
        <v>0</v>
      </c>
      <c r="K213" s="287">
        <f t="shared" ca="1" si="26"/>
        <v>0</v>
      </c>
      <c r="L213" s="288">
        <f t="shared" ca="1" si="27"/>
        <v>0</v>
      </c>
      <c r="M213" s="289">
        <f t="shared" ca="1" si="23"/>
        <v>0</v>
      </c>
      <c r="N213" s="286">
        <f>Table13[[#This Row],[Benefit Option]]</f>
        <v>0</v>
      </c>
      <c r="O213" s="284">
        <f>IF(OR(Table2[[#This Row],[Member Type]]="Spouse",Table2[[#This Row],[Member Type]]="Child"),0,
IF(_xlfn.XLOOKUP($N213,Lookups!$D$13:$D$27,Lookups!$F$13:$F$27,0)=Table2[[#This Row],[Table Lookup for Life Cover]],0,
_xlfn.XLOOKUP($N213,Lookups!$D$13:$D$27,Lookups!$F$13:$F$27,0)))</f>
        <v>0</v>
      </c>
      <c r="P213" s="284">
        <f>IF(Table2[[#This Row],[Table Lookup for Funeral]]=0,0,IFERROR(INDEX('Quotation Tool'!$S$54:$V$60,MATCH($T213,'Quotation Tool'!$S$54:$S$60,0),3),0))</f>
        <v>0</v>
      </c>
      <c r="Q213" s="288">
        <f ca="1">IF(OR(Table2[[#This Row],[Benefit Name]]="My Value Plus Life - Main Member",Table2[[#This Row],[Benefit Name]]="My Value Plus Life - Spouse"),0,
IFERROR(VLOOKUP($G213,INDIRECT($O213),$P213,FALSE),0))</f>
        <v>0</v>
      </c>
      <c r="R213" s="288">
        <f ca="1">IF(OR(Table2[[#This Row],[Benefit Name]]="My Value Plus Life - Main Member",Table2[[#This Row],[Benefit Name]]="My Value Plus Life - Spouse"),0,
IFERROR(VLOOKUP($G213,INDIRECT($O213),$P213+1,FALSE),0))</f>
        <v>0</v>
      </c>
      <c r="S213" s="289">
        <f t="shared" ca="1" si="24"/>
        <v>0</v>
      </c>
      <c r="T213" s="284" t="str">
        <f>IF(Table13[[#This Row],[Premium Waiver]]="","None",Table13[[#This Row],[Premium Waiver]])</f>
        <v>None</v>
      </c>
      <c r="U213" s="284">
        <f>Table13[[#This Row],[VAPs Options]]</f>
        <v>0</v>
      </c>
      <c r="V213" s="284">
        <f>Table13[[#This Row],[Annual Increase Option]]</f>
        <v>0</v>
      </c>
      <c r="W213" s="290">
        <f>Table13[[#This Row],[Life Cover Amount]]</f>
        <v>0</v>
      </c>
      <c r="X213" s="290">
        <f>Table13[[#This Row],[Funeral Cover Amount]]</f>
        <v>0</v>
      </c>
      <c r="Y21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1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13" s="301">
        <f t="shared" ca="1" si="25"/>
        <v>0</v>
      </c>
      <c r="AB213" s="298"/>
      <c r="AC213" s="326" t="str">
        <f>IF(Table2[[#This Row],[Member Type]]="Main Member",Lookups!$C$13,
IF(Table2[[#This Row],[Member Type]]="Spouse",_xlfn.XLOOKUP(B213,Table2[Main Member Link ID],Table2[Product Option],0),
IF(AND(Table2[[#This Row],[Member Type]]="Child",_xlfn.XLOOKUP(B213,Table2[Main Member Link ID],Table2[Product Option],0)&lt;&gt;"My Value Plus Life"),Lookups!$C$24,
IF(AND(OR(Table2[[#This Row],[Member Type]]="Parent",Table2[[#This Row],[Member Type]]="Extended"),_xlfn.XLOOKUP(B213,Table2[Main Member Link ID],Table2[Product Option],0)&lt;&gt;"My Value Plus Life"),Lookups!$C$26,""))))</f>
        <v/>
      </c>
      <c r="AD213" s="326" t="str">
        <f>IF(Table2[[#This Row],[Member Type]]="Main Member",Lookups!$C$14,"")</f>
        <v/>
      </c>
      <c r="AE21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Funeral",_xlfn.XLOOKUP(B213,Table2[Main Member Link ID],Table2[Benefit Name],0)=Lookups!$D$14),"",
IF(AND(Table2[[#This Row],[Member Type]]="Spouse",Table2[[#This Row],[Product Option]]="My Value Plus Life &amp; Funeral",_xlfn.XLOOKUP(B212,Table2[Main Member Link ID],Table2[Benefit Name],0)=Lookups!$D$15),Lookups!$D$20,
IF(AND(Table2[[#This Row],[Member Type]]="Spouse",Table2[[#This Row],[Product Option]]="My Value Plus Life &amp; Funeral",_xlfn.XLOOKUP(B212,Table2[Main Member Link ID],Table2[Benefit Name],0)=Lookups!$D$16),"",
IF(AND(Table2[[#This Row],[Member Type]]="Spouse",Table2[[#This Row],[Product Option]]="My Value Plus Life &amp; Funeral",_xlfn.XLOOKUP(B212,Table2[Main Member Link ID],Table2[Benefit Name],0)=Lookups!$D$17),Lookups!$D$21,
IF(AND(Table2[[#This Row],[Member Type]]="Child",Table2[[#This Row],[Product Option]]="My Value Plus Life &amp; Funeral",_xlfn.XLOOKUP(B213,Table2[Main Member Link ID],Table2[Benefit Name],0)=Lookups!$D$14),"",
IF(AND(Table2[[#This Row],[Member Type]]="Child",Table2[[#This Row],[Product Option]]="My Value Plus Life &amp; Funeral",_xlfn.XLOOKUP(B213,Table2[Main Member Link ID],Table2[Benefit Name],0)=Lookups!$D$15),"",
IF(AND(Table2[[#This Row],[Member Type]]="Child",Table2[[#This Row],[Product Option]]="My Value Plus Life &amp; Funeral",_xlfn.XLOOKUP(B213,Table2[Main Member Link ID],Table2[Benefit Name],0)=Lookups!$D$16),Lookups!$D$24,
IF(AND(Table2[[#This Row],[Member Type]]="Child",Table2[[#This Row],[Product Option]]="My Value Plus Life &amp; Funeral",_xlfn.XLOOKUP(B213,Table2[Main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Funeral",_xlfn.XLOOKUP(B213,Table2[Main Member Link ID],Table2[Benefit Name],0)&lt;&gt;Lookups!$D$14),
IF(_xlfn.XLOOKUP(B213,Table2[Main Member Link ID],Table2[Benefit Name],0)=0,"",_xlfn.XLOOKUP(B213,Table2[Main Member Link ID],Table2[Benefit Name],0)),"")))))))))))))))</f>
        <v/>
      </c>
      <c r="AF213" s="327" t="str">
        <f>IF(AND(Table2[[#This Row],[Member Type]]="Main Member",Table2[[#This Row],[Product Option]]="My Value Plus Life &amp; Funeral"),Lookups!$D$15,
IF(AND(Table2[[#This Row],[Member Type]]="Spouse",Table2[[#This Row],[Product Option]]="My Value Plus Life &amp; Funeral",_xlfn.XLOOKUP(B213,Table2[Main Member Link ID],Table2[Benefit Name],0)=Lookups!$D$14),"",
IF(AND(Table2[[#This Row],[Member Type]]="Spouse",Table2[[#This Row],[Product Option]]="My Value Plus Life &amp; Funeral",_xlfn.XLOOKUP(B212,Table2[Main Member Link ID],Table2[Benefit Name],0)=Lookups!$D$16),"",
IF(AND(Table2[[#This Row],[Member Type]]="Spouse",Table2[[#This Row],[Product Option]]="My Value Plus Life &amp; Funeral",_xlfn.XLOOKUP(B212,Table2[Main Member Link ID],Table2[Benefit Name],0)=Lookups!$D$15),"",
IF(AND(Table2[[#This Row],[Member Type]]="Spouse",Table2[[#This Row],[Product Option]]="My Value Plus Life &amp; Funeral",_xlfn.XLOOKUP(B212,Table2[Main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Funeral",_xlfn.XLOOKUP(B213,Table2[Main Member Link ID],Table2[Benefit Name],0)&lt;&gt;Lookups!$D$15),
IF(_xlfn.XLOOKUP(B213,Table2[Main Member Link ID],Table2[Benefit Name],0)=0,"",_xlfn.XLOOKUP(B213,Table2[Main Member Link ID],Table2[Benefit Name],0)),"")
))))))</f>
        <v/>
      </c>
      <c r="AG213" s="327" t="str">
        <f>IF(AND(Table2[[#This Row],[Member Type]]="Main Member",Table2[[#This Row],[Product Option]]="My Value Plus Life &amp; Funeral"),Lookups!$D$16,
IF(AND(Table2[[#This Row],[Member Type]]="Spouse",Table2[[#This Row],[Product Option]]="My Value Plus Life &amp; Funeral",_xlfn.XLOOKUP(B213,Table2[Main Member Link ID],Table2[Benefit Name],0)=Lookups!$D$14),"",
IF(AND(Table2[[#This Row],[Member Type]]="Spouse",Table2[[#This Row],[Product Option]]="My Value Plus Life &amp; Funeral",_xlfn.XLOOKUP(B212,Table2[Main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Funeral",_xlfn.XLOOKUP(B213,Table2[Main Member Link ID],Table2[Benefit Name],0)&lt;&gt;Lookups!$D$16),
IF(_xlfn.XLOOKUP(B213,Table2[Main Member Link ID],Table2[Benefit Name],0)=0,"",_xlfn.XLOOKUP(B213,Table2[Main Member Link ID],Table2[Benefit Name],0)),"")
))))</f>
        <v/>
      </c>
      <c r="AH213" s="327" t="str">
        <f>IF(AND(Table2[[#This Row],[Member Type]]="Main Member",Table2[[#This Row],[Product Option]]="My Value Plus Life &amp; Funeral"),Lookups!$D$17,
IF(AND(Table2[[#This Row],[Member Type]]="Spouse",Table2[[#This Row],[Product Option]]="My Value Plus Life &amp; Funeral",_xlfn.XLOOKUP(B213,Table2[Main Member Link ID],Table2[Benefit Name],0)=Lookups!$D$14),"",
IF(AND(Table2[[#This Row],[Member Type]]="Spouse",Table2[[#This Row],[Product Option]]="My Value Plus Life &amp; Funeral",_xlfn.XLOOKUP(B212,Table2[Main Member Link ID],Table2[Benefit Name],0)=Lookups!$D$16),"",
IF(AND(Table2[[#This Row],[Member Type]]="Child",Table2[[#This Row],[Product Option]]="My Value Plus Life &amp; Funeral"),"",
IF(AND(Table2[[#This Row],[Member Type]]="Child",Table2[[#This Row],[Product Option]]="My Value Plus Life &amp; Funeral",_xlfn.XLOOKUP(B213,Table2[Main Member Link ID],Table2[Benefit Name],0)=Lookups!$D$15),"",
IF(AND(OR(Table2[[#This Row],[Member Type]]="Spouse",Table2[[#This Row],[Member Type]]="Child"),Table2[[#This Row],[Product Option]]="My Value Plus Life &amp; Funeral",_xlfn.XLOOKUP(B213,Table2[Main Member Link ID],Table2[Benefit Name],0)&lt;&gt;Lookups!$D$17),
IF(_xlfn.XLOOKUP(B213,Table2[Main Member Link ID],Table2[Benefit Name],0)=0,"",_xlfn.XLOOKUP(B213,Table2[Main Member Link ID],Table2[Benefit Name],0)),""))))))</f>
        <v/>
      </c>
      <c r="AI213" s="328" t="str">
        <f>IF(AND(Table2[[#This Row],[Member Type]]="Main Member",Table2[[#This Row],[Table Lookup for Life Cover]]="MM_LIFE",Table2[[#This Row],[Age Next Birthday]]&lt;56),1,
IF(AND(Table2[[#This Row],[Member Type]]="Main Member",Table2[[#This Row],[Table Lookup for Life Cover]]="MM_LIFE",Table2[[#This Row],[Age Next Birthday]]&gt;=56),2,
""))</f>
        <v/>
      </c>
      <c r="AJ213" s="328">
        <f>IF(OR(Table2[[#This Row],[Member Type]]="Main Member",Table2[[#This Row],[Main Member Link ID]]=B212),1,0)</f>
        <v>1</v>
      </c>
      <c r="AK213" s="328">
        <f>IF(Table2[[#This Row],[Member Type]]=0,0,
IF(OR(Table2[[#This Row],[Member Type]]="Main Member",Table2[[#This Row],[Main Member Link ID]]&lt;&gt;B213),COUNTIFS(B:B,Table2[[#This Row],[Main Member Link ID]]),
COUNTIFS(B:B,Table2[[#This Row],[Main Member Link ID]],A:A,Table2[[#This Row],[Member Type]])))</f>
        <v>0</v>
      </c>
    </row>
    <row r="214" spans="1:37" x14ac:dyDescent="0.3">
      <c r="A214" s="284">
        <f>Table13[[#This Row],[Member Type]]</f>
        <v>0</v>
      </c>
      <c r="B214" s="284">
        <f>Table13[[#This Row],[Main Member Link ID]]</f>
        <v>0</v>
      </c>
      <c r="C214" s="284">
        <f>Table13[[#This Row],[ID Number]]</f>
        <v>0</v>
      </c>
      <c r="D214" s="285">
        <f>Table13[[#This Row],[Date Of Birth]]</f>
        <v>0</v>
      </c>
      <c r="E214" s="285">
        <f>Table13[[#This Row],[Commencement Date]]</f>
        <v>0</v>
      </c>
      <c r="F214" s="284">
        <f t="shared" si="21"/>
        <v>1</v>
      </c>
      <c r="G214" s="284">
        <f t="shared" si="22"/>
        <v>25</v>
      </c>
      <c r="H214" s="286">
        <f>Table13[[#This Row],[Product Option]]</f>
        <v>0</v>
      </c>
      <c r="I214" s="284">
        <f>IF(AND($A214="Main Member",Table2[[#This Row],[Product Option]]="My Value Plus Life"),"MM_LIFE",
IF(AND($A214="Spouse",Table2[[#This Row],[Product Option]]="My Value Plus Life"),"SP_LIFE",
IF(AND($A214="Main Member",Table2[[#This Row],[Product Option]]="My Value Plus Life &amp; Funeral"),"MM_LIFE",
IF(AND($A214="Spouse",Table2[[#This Row],[Product Option]]="My Value Plus Life &amp; Funeral"),_xlfn.XLOOKUP(Table2[[#This Row],[Benefit Name]],Lookups!$D$18:$D$23,Lookups!$E$18:$E$23,0),
0))))</f>
        <v>0</v>
      </c>
      <c r="J214" s="284">
        <f>IF($I214="","",
IF($I214="MM_LIFE",INDEX('Quotation Tool'!$S$54:$V$60,MATCH($T214,'Quotation Tool'!$S$54:$S$60,0),4),
IF($I214="SP_LIFE",_xlfn.XLOOKUP(B213,$B:$B,$J:$J,0),0)))</f>
        <v>0</v>
      </c>
      <c r="K214" s="287">
        <f t="shared" ca="1" si="26"/>
        <v>0</v>
      </c>
      <c r="L214" s="288">
        <f t="shared" ca="1" si="27"/>
        <v>0</v>
      </c>
      <c r="M214" s="289">
        <f t="shared" ca="1" si="23"/>
        <v>0</v>
      </c>
      <c r="N214" s="286">
        <f>Table13[[#This Row],[Benefit Option]]</f>
        <v>0</v>
      </c>
      <c r="O214" s="284">
        <f>IF(OR(Table2[[#This Row],[Member Type]]="Spouse",Table2[[#This Row],[Member Type]]="Child"),0,
IF(_xlfn.XLOOKUP($N214,Lookups!$D$13:$D$27,Lookups!$F$13:$F$27,0)=Table2[[#This Row],[Table Lookup for Life Cover]],0,
_xlfn.XLOOKUP($N214,Lookups!$D$13:$D$27,Lookups!$F$13:$F$27,0)))</f>
        <v>0</v>
      </c>
      <c r="P214" s="284">
        <f>IF(Table2[[#This Row],[Table Lookup for Funeral]]=0,0,IFERROR(INDEX('Quotation Tool'!$S$54:$V$60,MATCH($T214,'Quotation Tool'!$S$54:$S$60,0),3),0))</f>
        <v>0</v>
      </c>
      <c r="Q214" s="288">
        <f ca="1">IF(OR(Table2[[#This Row],[Benefit Name]]="My Value Plus Life - Main Member",Table2[[#This Row],[Benefit Name]]="My Value Plus Life - Spouse"),0,
IFERROR(VLOOKUP($G214,INDIRECT($O214),$P214,FALSE),0))</f>
        <v>0</v>
      </c>
      <c r="R214" s="288">
        <f ca="1">IF(OR(Table2[[#This Row],[Benefit Name]]="My Value Plus Life - Main Member",Table2[[#This Row],[Benefit Name]]="My Value Plus Life - Spouse"),0,
IFERROR(VLOOKUP($G214,INDIRECT($O214),$P214+1,FALSE),0))</f>
        <v>0</v>
      </c>
      <c r="S214" s="289">
        <f t="shared" ca="1" si="24"/>
        <v>0</v>
      </c>
      <c r="T214" s="284" t="str">
        <f>IF(Table13[[#This Row],[Premium Waiver]]="","None",Table13[[#This Row],[Premium Waiver]])</f>
        <v>None</v>
      </c>
      <c r="U214" s="284">
        <f>Table13[[#This Row],[VAPs Options]]</f>
        <v>0</v>
      </c>
      <c r="V214" s="284">
        <f>Table13[[#This Row],[Annual Increase Option]]</f>
        <v>0</v>
      </c>
      <c r="W214" s="290">
        <f>Table13[[#This Row],[Life Cover Amount]]</f>
        <v>0</v>
      </c>
      <c r="X214" s="290">
        <f>Table13[[#This Row],[Funeral Cover Amount]]</f>
        <v>0</v>
      </c>
      <c r="Y21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1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14" s="301">
        <f t="shared" ca="1" si="25"/>
        <v>0</v>
      </c>
      <c r="AB214" s="298"/>
      <c r="AC214" s="326" t="str">
        <f>IF(Table2[[#This Row],[Member Type]]="Main Member",Lookups!$C$13,
IF(Table2[[#This Row],[Member Type]]="Spouse",_xlfn.XLOOKUP(B214,Table2[Main Member Link ID],Table2[Product Option],0),
IF(AND(Table2[[#This Row],[Member Type]]="Child",_xlfn.XLOOKUP(B214,Table2[Main Member Link ID],Table2[Product Option],0)&lt;&gt;"My Value Plus Life"),Lookups!$C$24,
IF(AND(OR(Table2[[#This Row],[Member Type]]="Parent",Table2[[#This Row],[Member Type]]="Extended"),_xlfn.XLOOKUP(B214,Table2[Main Member Link ID],Table2[Product Option],0)&lt;&gt;"My Value Plus Life"),Lookups!$C$26,""))))</f>
        <v/>
      </c>
      <c r="AD214" s="326" t="str">
        <f>IF(Table2[[#This Row],[Member Type]]="Main Member",Lookups!$C$14,"")</f>
        <v/>
      </c>
      <c r="AE21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Funeral",_xlfn.XLOOKUP(B214,Table2[Main Member Link ID],Table2[Benefit Name],0)=Lookups!$D$14),"",
IF(AND(Table2[[#This Row],[Member Type]]="Spouse",Table2[[#This Row],[Product Option]]="My Value Plus Life &amp; Funeral",_xlfn.XLOOKUP(B213,Table2[Main Member Link ID],Table2[Benefit Name],0)=Lookups!$D$15),Lookups!$D$20,
IF(AND(Table2[[#This Row],[Member Type]]="Spouse",Table2[[#This Row],[Product Option]]="My Value Plus Life &amp; Funeral",_xlfn.XLOOKUP(B213,Table2[Main Member Link ID],Table2[Benefit Name],0)=Lookups!$D$16),"",
IF(AND(Table2[[#This Row],[Member Type]]="Spouse",Table2[[#This Row],[Product Option]]="My Value Plus Life &amp; Funeral",_xlfn.XLOOKUP(B213,Table2[Main Member Link ID],Table2[Benefit Name],0)=Lookups!$D$17),Lookups!$D$21,
IF(AND(Table2[[#This Row],[Member Type]]="Child",Table2[[#This Row],[Product Option]]="My Value Plus Life &amp; Funeral",_xlfn.XLOOKUP(B214,Table2[Main Member Link ID],Table2[Benefit Name],0)=Lookups!$D$14),"",
IF(AND(Table2[[#This Row],[Member Type]]="Child",Table2[[#This Row],[Product Option]]="My Value Plus Life &amp; Funeral",_xlfn.XLOOKUP(B214,Table2[Main Member Link ID],Table2[Benefit Name],0)=Lookups!$D$15),"",
IF(AND(Table2[[#This Row],[Member Type]]="Child",Table2[[#This Row],[Product Option]]="My Value Plus Life &amp; Funeral",_xlfn.XLOOKUP(B214,Table2[Main Member Link ID],Table2[Benefit Name],0)=Lookups!$D$16),Lookups!$D$24,
IF(AND(Table2[[#This Row],[Member Type]]="Child",Table2[[#This Row],[Product Option]]="My Value Plus Life &amp; Funeral",_xlfn.XLOOKUP(B214,Table2[Main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Funeral",_xlfn.XLOOKUP(B214,Table2[Main Member Link ID],Table2[Benefit Name],0)&lt;&gt;Lookups!$D$14),
IF(_xlfn.XLOOKUP(B214,Table2[Main Member Link ID],Table2[Benefit Name],0)=0,"",_xlfn.XLOOKUP(B214,Table2[Main Member Link ID],Table2[Benefit Name],0)),"")))))))))))))))</f>
        <v/>
      </c>
      <c r="AF214" s="327" t="str">
        <f>IF(AND(Table2[[#This Row],[Member Type]]="Main Member",Table2[[#This Row],[Product Option]]="My Value Plus Life &amp; Funeral"),Lookups!$D$15,
IF(AND(Table2[[#This Row],[Member Type]]="Spouse",Table2[[#This Row],[Product Option]]="My Value Plus Life &amp; Funeral",_xlfn.XLOOKUP(B214,Table2[Main Member Link ID],Table2[Benefit Name],0)=Lookups!$D$14),"",
IF(AND(Table2[[#This Row],[Member Type]]="Spouse",Table2[[#This Row],[Product Option]]="My Value Plus Life &amp; Funeral",_xlfn.XLOOKUP(B213,Table2[Main Member Link ID],Table2[Benefit Name],0)=Lookups!$D$16),"",
IF(AND(Table2[[#This Row],[Member Type]]="Spouse",Table2[[#This Row],[Product Option]]="My Value Plus Life &amp; Funeral",_xlfn.XLOOKUP(B213,Table2[Main Member Link ID],Table2[Benefit Name],0)=Lookups!$D$15),"",
IF(AND(Table2[[#This Row],[Member Type]]="Spouse",Table2[[#This Row],[Product Option]]="My Value Plus Life &amp; Funeral",_xlfn.XLOOKUP(B213,Table2[Main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Funeral",_xlfn.XLOOKUP(B214,Table2[Main Member Link ID],Table2[Benefit Name],0)&lt;&gt;Lookups!$D$15),
IF(_xlfn.XLOOKUP(B214,Table2[Main Member Link ID],Table2[Benefit Name],0)=0,"",_xlfn.XLOOKUP(B214,Table2[Main Member Link ID],Table2[Benefit Name],0)),"")
))))))</f>
        <v/>
      </c>
      <c r="AG214" s="327" t="str">
        <f>IF(AND(Table2[[#This Row],[Member Type]]="Main Member",Table2[[#This Row],[Product Option]]="My Value Plus Life &amp; Funeral"),Lookups!$D$16,
IF(AND(Table2[[#This Row],[Member Type]]="Spouse",Table2[[#This Row],[Product Option]]="My Value Plus Life &amp; Funeral",_xlfn.XLOOKUP(B214,Table2[Main Member Link ID],Table2[Benefit Name],0)=Lookups!$D$14),"",
IF(AND(Table2[[#This Row],[Member Type]]="Spouse",Table2[[#This Row],[Product Option]]="My Value Plus Life &amp; Funeral",_xlfn.XLOOKUP(B213,Table2[Main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Funeral",_xlfn.XLOOKUP(B214,Table2[Main Member Link ID],Table2[Benefit Name],0)&lt;&gt;Lookups!$D$16),
IF(_xlfn.XLOOKUP(B214,Table2[Main Member Link ID],Table2[Benefit Name],0)=0,"",_xlfn.XLOOKUP(B214,Table2[Main Member Link ID],Table2[Benefit Name],0)),"")
))))</f>
        <v/>
      </c>
      <c r="AH214" s="327" t="str">
        <f>IF(AND(Table2[[#This Row],[Member Type]]="Main Member",Table2[[#This Row],[Product Option]]="My Value Plus Life &amp; Funeral"),Lookups!$D$17,
IF(AND(Table2[[#This Row],[Member Type]]="Spouse",Table2[[#This Row],[Product Option]]="My Value Plus Life &amp; Funeral",_xlfn.XLOOKUP(B214,Table2[Main Member Link ID],Table2[Benefit Name],0)=Lookups!$D$14),"",
IF(AND(Table2[[#This Row],[Member Type]]="Spouse",Table2[[#This Row],[Product Option]]="My Value Plus Life &amp; Funeral",_xlfn.XLOOKUP(B213,Table2[Main Member Link ID],Table2[Benefit Name],0)=Lookups!$D$16),"",
IF(AND(Table2[[#This Row],[Member Type]]="Child",Table2[[#This Row],[Product Option]]="My Value Plus Life &amp; Funeral"),"",
IF(AND(Table2[[#This Row],[Member Type]]="Child",Table2[[#This Row],[Product Option]]="My Value Plus Life &amp; Funeral",_xlfn.XLOOKUP(B214,Table2[Main Member Link ID],Table2[Benefit Name],0)=Lookups!$D$15),"",
IF(AND(OR(Table2[[#This Row],[Member Type]]="Spouse",Table2[[#This Row],[Member Type]]="Child"),Table2[[#This Row],[Product Option]]="My Value Plus Life &amp; Funeral",_xlfn.XLOOKUP(B214,Table2[Main Member Link ID],Table2[Benefit Name],0)&lt;&gt;Lookups!$D$17),
IF(_xlfn.XLOOKUP(B214,Table2[Main Member Link ID],Table2[Benefit Name],0)=0,"",_xlfn.XLOOKUP(B214,Table2[Main Member Link ID],Table2[Benefit Name],0)),""))))))</f>
        <v/>
      </c>
      <c r="AI214" s="328" t="str">
        <f>IF(AND(Table2[[#This Row],[Member Type]]="Main Member",Table2[[#This Row],[Table Lookup for Life Cover]]="MM_LIFE",Table2[[#This Row],[Age Next Birthday]]&lt;56),1,
IF(AND(Table2[[#This Row],[Member Type]]="Main Member",Table2[[#This Row],[Table Lookup for Life Cover]]="MM_LIFE",Table2[[#This Row],[Age Next Birthday]]&gt;=56),2,
""))</f>
        <v/>
      </c>
      <c r="AJ214" s="328">
        <f>IF(OR(Table2[[#This Row],[Member Type]]="Main Member",Table2[[#This Row],[Main Member Link ID]]=B213),1,0)</f>
        <v>1</v>
      </c>
      <c r="AK214" s="328">
        <f>IF(Table2[[#This Row],[Member Type]]=0,0,
IF(OR(Table2[[#This Row],[Member Type]]="Main Member",Table2[[#This Row],[Main Member Link ID]]&lt;&gt;B214),COUNTIFS(B:B,Table2[[#This Row],[Main Member Link ID]]),
COUNTIFS(B:B,Table2[[#This Row],[Main Member Link ID]],A:A,Table2[[#This Row],[Member Type]])))</f>
        <v>0</v>
      </c>
    </row>
    <row r="215" spans="1:37" x14ac:dyDescent="0.3">
      <c r="A215" s="284">
        <f>Table13[[#This Row],[Member Type]]</f>
        <v>0</v>
      </c>
      <c r="B215" s="284">
        <f>Table13[[#This Row],[Main Member Link ID]]</f>
        <v>0</v>
      </c>
      <c r="C215" s="284">
        <f>Table13[[#This Row],[ID Number]]</f>
        <v>0</v>
      </c>
      <c r="D215" s="285">
        <f>Table13[[#This Row],[Date Of Birth]]</f>
        <v>0</v>
      </c>
      <c r="E215" s="285">
        <f>Table13[[#This Row],[Commencement Date]]</f>
        <v>0</v>
      </c>
      <c r="F215" s="284">
        <f t="shared" si="21"/>
        <v>1</v>
      </c>
      <c r="G215" s="284">
        <f t="shared" si="22"/>
        <v>25</v>
      </c>
      <c r="H215" s="286">
        <f>Table13[[#This Row],[Product Option]]</f>
        <v>0</v>
      </c>
      <c r="I215" s="284">
        <f>IF(AND($A215="Main Member",Table2[[#This Row],[Product Option]]="My Value Plus Life"),"MM_LIFE",
IF(AND($A215="Spouse",Table2[[#This Row],[Product Option]]="My Value Plus Life"),"SP_LIFE",
IF(AND($A215="Main Member",Table2[[#This Row],[Product Option]]="My Value Plus Life &amp; Funeral"),"MM_LIFE",
IF(AND($A215="Spouse",Table2[[#This Row],[Product Option]]="My Value Plus Life &amp; Funeral"),_xlfn.XLOOKUP(Table2[[#This Row],[Benefit Name]],Lookups!$D$18:$D$23,Lookups!$E$18:$E$23,0),
0))))</f>
        <v>0</v>
      </c>
      <c r="J215" s="284">
        <f>IF($I215="","",
IF($I215="MM_LIFE",INDEX('Quotation Tool'!$S$54:$V$60,MATCH($T215,'Quotation Tool'!$S$54:$S$60,0),4),
IF($I215="SP_LIFE",_xlfn.XLOOKUP(B214,$B:$B,$J:$J,0),0)))</f>
        <v>0</v>
      </c>
      <c r="K215" s="287">
        <f t="shared" ca="1" si="26"/>
        <v>0</v>
      </c>
      <c r="L215" s="288">
        <f t="shared" ca="1" si="27"/>
        <v>0</v>
      </c>
      <c r="M215" s="289">
        <f t="shared" ca="1" si="23"/>
        <v>0</v>
      </c>
      <c r="N215" s="286">
        <f>Table13[[#This Row],[Benefit Option]]</f>
        <v>0</v>
      </c>
      <c r="O215" s="284">
        <f>IF(OR(Table2[[#This Row],[Member Type]]="Spouse",Table2[[#This Row],[Member Type]]="Child"),0,
IF(_xlfn.XLOOKUP($N215,Lookups!$D$13:$D$27,Lookups!$F$13:$F$27,0)=Table2[[#This Row],[Table Lookup for Life Cover]],0,
_xlfn.XLOOKUP($N215,Lookups!$D$13:$D$27,Lookups!$F$13:$F$27,0)))</f>
        <v>0</v>
      </c>
      <c r="P215" s="284">
        <f>IF(Table2[[#This Row],[Table Lookup for Funeral]]=0,0,IFERROR(INDEX('Quotation Tool'!$S$54:$V$60,MATCH($T215,'Quotation Tool'!$S$54:$S$60,0),3),0))</f>
        <v>0</v>
      </c>
      <c r="Q215" s="288">
        <f ca="1">IF(OR(Table2[[#This Row],[Benefit Name]]="My Value Plus Life - Main Member",Table2[[#This Row],[Benefit Name]]="My Value Plus Life - Spouse"),0,
IFERROR(VLOOKUP($G215,INDIRECT($O215),$P215,FALSE),0))</f>
        <v>0</v>
      </c>
      <c r="R215" s="288">
        <f ca="1">IF(OR(Table2[[#This Row],[Benefit Name]]="My Value Plus Life - Main Member",Table2[[#This Row],[Benefit Name]]="My Value Plus Life - Spouse"),0,
IFERROR(VLOOKUP($G215,INDIRECT($O215),$P215+1,FALSE),0))</f>
        <v>0</v>
      </c>
      <c r="S215" s="289">
        <f t="shared" ca="1" si="24"/>
        <v>0</v>
      </c>
      <c r="T215" s="284" t="str">
        <f>IF(Table13[[#This Row],[Premium Waiver]]="","None",Table13[[#This Row],[Premium Waiver]])</f>
        <v>None</v>
      </c>
      <c r="U215" s="284">
        <f>Table13[[#This Row],[VAPs Options]]</f>
        <v>0</v>
      </c>
      <c r="V215" s="284">
        <f>Table13[[#This Row],[Annual Increase Option]]</f>
        <v>0</v>
      </c>
      <c r="W215" s="290">
        <f>Table13[[#This Row],[Life Cover Amount]]</f>
        <v>0</v>
      </c>
      <c r="X215" s="290">
        <f>Table13[[#This Row],[Funeral Cover Amount]]</f>
        <v>0</v>
      </c>
      <c r="Y21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1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15" s="301">
        <f t="shared" ca="1" si="25"/>
        <v>0</v>
      </c>
      <c r="AB215" s="298"/>
      <c r="AC215" s="326" t="str">
        <f>IF(Table2[[#This Row],[Member Type]]="Main Member",Lookups!$C$13,
IF(Table2[[#This Row],[Member Type]]="Spouse",_xlfn.XLOOKUP(B215,Table2[Main Member Link ID],Table2[Product Option],0),
IF(AND(Table2[[#This Row],[Member Type]]="Child",_xlfn.XLOOKUP(B215,Table2[Main Member Link ID],Table2[Product Option],0)&lt;&gt;"My Value Plus Life"),Lookups!$C$24,
IF(AND(OR(Table2[[#This Row],[Member Type]]="Parent",Table2[[#This Row],[Member Type]]="Extended"),_xlfn.XLOOKUP(B215,Table2[Main Member Link ID],Table2[Product Option],0)&lt;&gt;"My Value Plus Life"),Lookups!$C$26,""))))</f>
        <v/>
      </c>
      <c r="AD215" s="326" t="str">
        <f>IF(Table2[[#This Row],[Member Type]]="Main Member",Lookups!$C$14,"")</f>
        <v/>
      </c>
      <c r="AE21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Funeral",_xlfn.XLOOKUP(B215,Table2[Main Member Link ID],Table2[Benefit Name],0)=Lookups!$D$14),"",
IF(AND(Table2[[#This Row],[Member Type]]="Spouse",Table2[[#This Row],[Product Option]]="My Value Plus Life &amp; Funeral",_xlfn.XLOOKUP(B214,Table2[Main Member Link ID],Table2[Benefit Name],0)=Lookups!$D$15),Lookups!$D$20,
IF(AND(Table2[[#This Row],[Member Type]]="Spouse",Table2[[#This Row],[Product Option]]="My Value Plus Life &amp; Funeral",_xlfn.XLOOKUP(B214,Table2[Main Member Link ID],Table2[Benefit Name],0)=Lookups!$D$16),"",
IF(AND(Table2[[#This Row],[Member Type]]="Spouse",Table2[[#This Row],[Product Option]]="My Value Plus Life &amp; Funeral",_xlfn.XLOOKUP(B214,Table2[Main Member Link ID],Table2[Benefit Name],0)=Lookups!$D$17),Lookups!$D$21,
IF(AND(Table2[[#This Row],[Member Type]]="Child",Table2[[#This Row],[Product Option]]="My Value Plus Life &amp; Funeral",_xlfn.XLOOKUP(B215,Table2[Main Member Link ID],Table2[Benefit Name],0)=Lookups!$D$14),"",
IF(AND(Table2[[#This Row],[Member Type]]="Child",Table2[[#This Row],[Product Option]]="My Value Plus Life &amp; Funeral",_xlfn.XLOOKUP(B215,Table2[Main Member Link ID],Table2[Benefit Name],0)=Lookups!$D$15),"",
IF(AND(Table2[[#This Row],[Member Type]]="Child",Table2[[#This Row],[Product Option]]="My Value Plus Life &amp; Funeral",_xlfn.XLOOKUP(B215,Table2[Main Member Link ID],Table2[Benefit Name],0)=Lookups!$D$16),Lookups!$D$24,
IF(AND(Table2[[#This Row],[Member Type]]="Child",Table2[[#This Row],[Product Option]]="My Value Plus Life &amp; Funeral",_xlfn.XLOOKUP(B215,Table2[Main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Funeral",_xlfn.XLOOKUP(B215,Table2[Main Member Link ID],Table2[Benefit Name],0)&lt;&gt;Lookups!$D$14),
IF(_xlfn.XLOOKUP(B215,Table2[Main Member Link ID],Table2[Benefit Name],0)=0,"",_xlfn.XLOOKUP(B215,Table2[Main Member Link ID],Table2[Benefit Name],0)),"")))))))))))))))</f>
        <v/>
      </c>
      <c r="AF215" s="327" t="str">
        <f>IF(AND(Table2[[#This Row],[Member Type]]="Main Member",Table2[[#This Row],[Product Option]]="My Value Plus Life &amp; Funeral"),Lookups!$D$15,
IF(AND(Table2[[#This Row],[Member Type]]="Spouse",Table2[[#This Row],[Product Option]]="My Value Plus Life &amp; Funeral",_xlfn.XLOOKUP(B215,Table2[Main Member Link ID],Table2[Benefit Name],0)=Lookups!$D$14),"",
IF(AND(Table2[[#This Row],[Member Type]]="Spouse",Table2[[#This Row],[Product Option]]="My Value Plus Life &amp; Funeral",_xlfn.XLOOKUP(B214,Table2[Main Member Link ID],Table2[Benefit Name],0)=Lookups!$D$16),"",
IF(AND(Table2[[#This Row],[Member Type]]="Spouse",Table2[[#This Row],[Product Option]]="My Value Plus Life &amp; Funeral",_xlfn.XLOOKUP(B214,Table2[Main Member Link ID],Table2[Benefit Name],0)=Lookups!$D$15),"",
IF(AND(Table2[[#This Row],[Member Type]]="Spouse",Table2[[#This Row],[Product Option]]="My Value Plus Life &amp; Funeral",_xlfn.XLOOKUP(B214,Table2[Main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Funeral",_xlfn.XLOOKUP(B215,Table2[Main Member Link ID],Table2[Benefit Name],0)&lt;&gt;Lookups!$D$15),
IF(_xlfn.XLOOKUP(B215,Table2[Main Member Link ID],Table2[Benefit Name],0)=0,"",_xlfn.XLOOKUP(B215,Table2[Main Member Link ID],Table2[Benefit Name],0)),"")
))))))</f>
        <v/>
      </c>
      <c r="AG215" s="327" t="str">
        <f>IF(AND(Table2[[#This Row],[Member Type]]="Main Member",Table2[[#This Row],[Product Option]]="My Value Plus Life &amp; Funeral"),Lookups!$D$16,
IF(AND(Table2[[#This Row],[Member Type]]="Spouse",Table2[[#This Row],[Product Option]]="My Value Plus Life &amp; Funeral",_xlfn.XLOOKUP(B215,Table2[Main Member Link ID],Table2[Benefit Name],0)=Lookups!$D$14),"",
IF(AND(Table2[[#This Row],[Member Type]]="Spouse",Table2[[#This Row],[Product Option]]="My Value Plus Life &amp; Funeral",_xlfn.XLOOKUP(B214,Table2[Main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Funeral",_xlfn.XLOOKUP(B215,Table2[Main Member Link ID],Table2[Benefit Name],0)&lt;&gt;Lookups!$D$16),
IF(_xlfn.XLOOKUP(B215,Table2[Main Member Link ID],Table2[Benefit Name],0)=0,"",_xlfn.XLOOKUP(B215,Table2[Main Member Link ID],Table2[Benefit Name],0)),"")
))))</f>
        <v/>
      </c>
      <c r="AH215" s="327" t="str">
        <f>IF(AND(Table2[[#This Row],[Member Type]]="Main Member",Table2[[#This Row],[Product Option]]="My Value Plus Life &amp; Funeral"),Lookups!$D$17,
IF(AND(Table2[[#This Row],[Member Type]]="Spouse",Table2[[#This Row],[Product Option]]="My Value Plus Life &amp; Funeral",_xlfn.XLOOKUP(B215,Table2[Main Member Link ID],Table2[Benefit Name],0)=Lookups!$D$14),"",
IF(AND(Table2[[#This Row],[Member Type]]="Spouse",Table2[[#This Row],[Product Option]]="My Value Plus Life &amp; Funeral",_xlfn.XLOOKUP(B214,Table2[Main Member Link ID],Table2[Benefit Name],0)=Lookups!$D$16),"",
IF(AND(Table2[[#This Row],[Member Type]]="Child",Table2[[#This Row],[Product Option]]="My Value Plus Life &amp; Funeral"),"",
IF(AND(Table2[[#This Row],[Member Type]]="Child",Table2[[#This Row],[Product Option]]="My Value Plus Life &amp; Funeral",_xlfn.XLOOKUP(B215,Table2[Main Member Link ID],Table2[Benefit Name],0)=Lookups!$D$15),"",
IF(AND(OR(Table2[[#This Row],[Member Type]]="Spouse",Table2[[#This Row],[Member Type]]="Child"),Table2[[#This Row],[Product Option]]="My Value Plus Life &amp; Funeral",_xlfn.XLOOKUP(B215,Table2[Main Member Link ID],Table2[Benefit Name],0)&lt;&gt;Lookups!$D$17),
IF(_xlfn.XLOOKUP(B215,Table2[Main Member Link ID],Table2[Benefit Name],0)=0,"",_xlfn.XLOOKUP(B215,Table2[Main Member Link ID],Table2[Benefit Name],0)),""))))))</f>
        <v/>
      </c>
      <c r="AI215" s="328" t="str">
        <f>IF(AND(Table2[[#This Row],[Member Type]]="Main Member",Table2[[#This Row],[Table Lookup for Life Cover]]="MM_LIFE",Table2[[#This Row],[Age Next Birthday]]&lt;56),1,
IF(AND(Table2[[#This Row],[Member Type]]="Main Member",Table2[[#This Row],[Table Lookup for Life Cover]]="MM_LIFE",Table2[[#This Row],[Age Next Birthday]]&gt;=56),2,
""))</f>
        <v/>
      </c>
      <c r="AJ215" s="328">
        <f>IF(OR(Table2[[#This Row],[Member Type]]="Main Member",Table2[[#This Row],[Main Member Link ID]]=B214),1,0)</f>
        <v>1</v>
      </c>
      <c r="AK215" s="328">
        <f>IF(Table2[[#This Row],[Member Type]]=0,0,
IF(OR(Table2[[#This Row],[Member Type]]="Main Member",Table2[[#This Row],[Main Member Link ID]]&lt;&gt;B215),COUNTIFS(B:B,Table2[[#This Row],[Main Member Link ID]]),
COUNTIFS(B:B,Table2[[#This Row],[Main Member Link ID]],A:A,Table2[[#This Row],[Member Type]])))</f>
        <v>0</v>
      </c>
    </row>
    <row r="216" spans="1:37" x14ac:dyDescent="0.3">
      <c r="A216" s="284">
        <f>Table13[[#This Row],[Member Type]]</f>
        <v>0</v>
      </c>
      <c r="B216" s="284">
        <f>Table13[[#This Row],[Main Member Link ID]]</f>
        <v>0</v>
      </c>
      <c r="C216" s="284">
        <f>Table13[[#This Row],[ID Number]]</f>
        <v>0</v>
      </c>
      <c r="D216" s="285">
        <f>Table13[[#This Row],[Date Of Birth]]</f>
        <v>0</v>
      </c>
      <c r="E216" s="285">
        <f>Table13[[#This Row],[Commencement Date]]</f>
        <v>0</v>
      </c>
      <c r="F216" s="284">
        <f t="shared" si="21"/>
        <v>1</v>
      </c>
      <c r="G216" s="284">
        <f t="shared" si="22"/>
        <v>25</v>
      </c>
      <c r="H216" s="286">
        <f>Table13[[#This Row],[Product Option]]</f>
        <v>0</v>
      </c>
      <c r="I216" s="284">
        <f>IF(AND($A216="Main Member",Table2[[#This Row],[Product Option]]="My Value Plus Life"),"MM_LIFE",
IF(AND($A216="Spouse",Table2[[#This Row],[Product Option]]="My Value Plus Life"),"SP_LIFE",
IF(AND($A216="Main Member",Table2[[#This Row],[Product Option]]="My Value Plus Life &amp; Funeral"),"MM_LIFE",
IF(AND($A216="Spouse",Table2[[#This Row],[Product Option]]="My Value Plus Life &amp; Funeral"),_xlfn.XLOOKUP(Table2[[#This Row],[Benefit Name]],Lookups!$D$18:$D$23,Lookups!$E$18:$E$23,0),
0))))</f>
        <v>0</v>
      </c>
      <c r="J216" s="284">
        <f>IF($I216="","",
IF($I216="MM_LIFE",INDEX('Quotation Tool'!$S$54:$V$60,MATCH($T216,'Quotation Tool'!$S$54:$S$60,0),4),
IF($I216="SP_LIFE",_xlfn.XLOOKUP(B215,$B:$B,$J:$J,0),0)))</f>
        <v>0</v>
      </c>
      <c r="K216" s="287">
        <f t="shared" ca="1" si="26"/>
        <v>0</v>
      </c>
      <c r="L216" s="288">
        <f t="shared" ca="1" si="27"/>
        <v>0</v>
      </c>
      <c r="M216" s="289">
        <f t="shared" ca="1" si="23"/>
        <v>0</v>
      </c>
      <c r="N216" s="286">
        <f>Table13[[#This Row],[Benefit Option]]</f>
        <v>0</v>
      </c>
      <c r="O216" s="284">
        <f>IF(OR(Table2[[#This Row],[Member Type]]="Spouse",Table2[[#This Row],[Member Type]]="Child"),0,
IF(_xlfn.XLOOKUP($N216,Lookups!$D$13:$D$27,Lookups!$F$13:$F$27,0)=Table2[[#This Row],[Table Lookup for Life Cover]],0,
_xlfn.XLOOKUP($N216,Lookups!$D$13:$D$27,Lookups!$F$13:$F$27,0)))</f>
        <v>0</v>
      </c>
      <c r="P216" s="284">
        <f>IF(Table2[[#This Row],[Table Lookup for Funeral]]=0,0,IFERROR(INDEX('Quotation Tool'!$S$54:$V$60,MATCH($T216,'Quotation Tool'!$S$54:$S$60,0),3),0))</f>
        <v>0</v>
      </c>
      <c r="Q216" s="288">
        <f ca="1">IF(OR(Table2[[#This Row],[Benefit Name]]="My Value Plus Life - Main Member",Table2[[#This Row],[Benefit Name]]="My Value Plus Life - Spouse"),0,
IFERROR(VLOOKUP($G216,INDIRECT($O216),$P216,FALSE),0))</f>
        <v>0</v>
      </c>
      <c r="R216" s="288">
        <f ca="1">IF(OR(Table2[[#This Row],[Benefit Name]]="My Value Plus Life - Main Member",Table2[[#This Row],[Benefit Name]]="My Value Plus Life - Spouse"),0,
IFERROR(VLOOKUP($G216,INDIRECT($O216),$P216+1,FALSE),0))</f>
        <v>0</v>
      </c>
      <c r="S216" s="289">
        <f t="shared" ca="1" si="24"/>
        <v>0</v>
      </c>
      <c r="T216" s="284" t="str">
        <f>IF(Table13[[#This Row],[Premium Waiver]]="","None",Table13[[#This Row],[Premium Waiver]])</f>
        <v>None</v>
      </c>
      <c r="U216" s="284">
        <f>Table13[[#This Row],[VAPs Options]]</f>
        <v>0</v>
      </c>
      <c r="V216" s="284">
        <f>Table13[[#This Row],[Annual Increase Option]]</f>
        <v>0</v>
      </c>
      <c r="W216" s="290">
        <f>Table13[[#This Row],[Life Cover Amount]]</f>
        <v>0</v>
      </c>
      <c r="X216" s="290">
        <f>Table13[[#This Row],[Funeral Cover Amount]]</f>
        <v>0</v>
      </c>
      <c r="Y21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1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16" s="301">
        <f t="shared" ca="1" si="25"/>
        <v>0</v>
      </c>
      <c r="AB216" s="298"/>
      <c r="AC216" s="326" t="str">
        <f>IF(Table2[[#This Row],[Member Type]]="Main Member",Lookups!$C$13,
IF(Table2[[#This Row],[Member Type]]="Spouse",_xlfn.XLOOKUP(B216,Table2[Main Member Link ID],Table2[Product Option],0),
IF(AND(Table2[[#This Row],[Member Type]]="Child",_xlfn.XLOOKUP(B216,Table2[Main Member Link ID],Table2[Product Option],0)&lt;&gt;"My Value Plus Life"),Lookups!$C$24,
IF(AND(OR(Table2[[#This Row],[Member Type]]="Parent",Table2[[#This Row],[Member Type]]="Extended"),_xlfn.XLOOKUP(B216,Table2[Main Member Link ID],Table2[Product Option],0)&lt;&gt;"My Value Plus Life"),Lookups!$C$26,""))))</f>
        <v/>
      </c>
      <c r="AD216" s="326" t="str">
        <f>IF(Table2[[#This Row],[Member Type]]="Main Member",Lookups!$C$14,"")</f>
        <v/>
      </c>
      <c r="AE21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Funeral",_xlfn.XLOOKUP(B216,Table2[Main Member Link ID],Table2[Benefit Name],0)=Lookups!$D$14),"",
IF(AND(Table2[[#This Row],[Member Type]]="Spouse",Table2[[#This Row],[Product Option]]="My Value Plus Life &amp; Funeral",_xlfn.XLOOKUP(B215,Table2[Main Member Link ID],Table2[Benefit Name],0)=Lookups!$D$15),Lookups!$D$20,
IF(AND(Table2[[#This Row],[Member Type]]="Spouse",Table2[[#This Row],[Product Option]]="My Value Plus Life &amp; Funeral",_xlfn.XLOOKUP(B215,Table2[Main Member Link ID],Table2[Benefit Name],0)=Lookups!$D$16),"",
IF(AND(Table2[[#This Row],[Member Type]]="Spouse",Table2[[#This Row],[Product Option]]="My Value Plus Life &amp; Funeral",_xlfn.XLOOKUP(B215,Table2[Main Member Link ID],Table2[Benefit Name],0)=Lookups!$D$17),Lookups!$D$21,
IF(AND(Table2[[#This Row],[Member Type]]="Child",Table2[[#This Row],[Product Option]]="My Value Plus Life &amp; Funeral",_xlfn.XLOOKUP(B216,Table2[Main Member Link ID],Table2[Benefit Name],0)=Lookups!$D$14),"",
IF(AND(Table2[[#This Row],[Member Type]]="Child",Table2[[#This Row],[Product Option]]="My Value Plus Life &amp; Funeral",_xlfn.XLOOKUP(B216,Table2[Main Member Link ID],Table2[Benefit Name],0)=Lookups!$D$15),"",
IF(AND(Table2[[#This Row],[Member Type]]="Child",Table2[[#This Row],[Product Option]]="My Value Plus Life &amp; Funeral",_xlfn.XLOOKUP(B216,Table2[Main Member Link ID],Table2[Benefit Name],0)=Lookups!$D$16),Lookups!$D$24,
IF(AND(Table2[[#This Row],[Member Type]]="Child",Table2[[#This Row],[Product Option]]="My Value Plus Life &amp; Funeral",_xlfn.XLOOKUP(B216,Table2[Main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Funeral",_xlfn.XLOOKUP(B216,Table2[Main Member Link ID],Table2[Benefit Name],0)&lt;&gt;Lookups!$D$14),
IF(_xlfn.XLOOKUP(B216,Table2[Main Member Link ID],Table2[Benefit Name],0)=0,"",_xlfn.XLOOKUP(B216,Table2[Main Member Link ID],Table2[Benefit Name],0)),"")))))))))))))))</f>
        <v/>
      </c>
      <c r="AF216" s="327" t="str">
        <f>IF(AND(Table2[[#This Row],[Member Type]]="Main Member",Table2[[#This Row],[Product Option]]="My Value Plus Life &amp; Funeral"),Lookups!$D$15,
IF(AND(Table2[[#This Row],[Member Type]]="Spouse",Table2[[#This Row],[Product Option]]="My Value Plus Life &amp; Funeral",_xlfn.XLOOKUP(B216,Table2[Main Member Link ID],Table2[Benefit Name],0)=Lookups!$D$14),"",
IF(AND(Table2[[#This Row],[Member Type]]="Spouse",Table2[[#This Row],[Product Option]]="My Value Plus Life &amp; Funeral",_xlfn.XLOOKUP(B215,Table2[Main Member Link ID],Table2[Benefit Name],0)=Lookups!$D$16),"",
IF(AND(Table2[[#This Row],[Member Type]]="Spouse",Table2[[#This Row],[Product Option]]="My Value Plus Life &amp; Funeral",_xlfn.XLOOKUP(B215,Table2[Main Member Link ID],Table2[Benefit Name],0)=Lookups!$D$15),"",
IF(AND(Table2[[#This Row],[Member Type]]="Spouse",Table2[[#This Row],[Product Option]]="My Value Plus Life &amp; Funeral",_xlfn.XLOOKUP(B215,Table2[Main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Funeral",_xlfn.XLOOKUP(B216,Table2[Main Member Link ID],Table2[Benefit Name],0)&lt;&gt;Lookups!$D$15),
IF(_xlfn.XLOOKUP(B216,Table2[Main Member Link ID],Table2[Benefit Name],0)=0,"",_xlfn.XLOOKUP(B216,Table2[Main Member Link ID],Table2[Benefit Name],0)),"")
))))))</f>
        <v/>
      </c>
      <c r="AG216" s="327" t="str">
        <f>IF(AND(Table2[[#This Row],[Member Type]]="Main Member",Table2[[#This Row],[Product Option]]="My Value Plus Life &amp; Funeral"),Lookups!$D$16,
IF(AND(Table2[[#This Row],[Member Type]]="Spouse",Table2[[#This Row],[Product Option]]="My Value Plus Life &amp; Funeral",_xlfn.XLOOKUP(B216,Table2[Main Member Link ID],Table2[Benefit Name],0)=Lookups!$D$14),"",
IF(AND(Table2[[#This Row],[Member Type]]="Spouse",Table2[[#This Row],[Product Option]]="My Value Plus Life &amp; Funeral",_xlfn.XLOOKUP(B215,Table2[Main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Funeral",_xlfn.XLOOKUP(B216,Table2[Main Member Link ID],Table2[Benefit Name],0)&lt;&gt;Lookups!$D$16),
IF(_xlfn.XLOOKUP(B216,Table2[Main Member Link ID],Table2[Benefit Name],0)=0,"",_xlfn.XLOOKUP(B216,Table2[Main Member Link ID],Table2[Benefit Name],0)),"")
))))</f>
        <v/>
      </c>
      <c r="AH216" s="327" t="str">
        <f>IF(AND(Table2[[#This Row],[Member Type]]="Main Member",Table2[[#This Row],[Product Option]]="My Value Plus Life &amp; Funeral"),Lookups!$D$17,
IF(AND(Table2[[#This Row],[Member Type]]="Spouse",Table2[[#This Row],[Product Option]]="My Value Plus Life &amp; Funeral",_xlfn.XLOOKUP(B216,Table2[Main Member Link ID],Table2[Benefit Name],0)=Lookups!$D$14),"",
IF(AND(Table2[[#This Row],[Member Type]]="Spouse",Table2[[#This Row],[Product Option]]="My Value Plus Life &amp; Funeral",_xlfn.XLOOKUP(B215,Table2[Main Member Link ID],Table2[Benefit Name],0)=Lookups!$D$16),"",
IF(AND(Table2[[#This Row],[Member Type]]="Child",Table2[[#This Row],[Product Option]]="My Value Plus Life &amp; Funeral"),"",
IF(AND(Table2[[#This Row],[Member Type]]="Child",Table2[[#This Row],[Product Option]]="My Value Plus Life &amp; Funeral",_xlfn.XLOOKUP(B216,Table2[Main Member Link ID],Table2[Benefit Name],0)=Lookups!$D$15),"",
IF(AND(OR(Table2[[#This Row],[Member Type]]="Spouse",Table2[[#This Row],[Member Type]]="Child"),Table2[[#This Row],[Product Option]]="My Value Plus Life &amp; Funeral",_xlfn.XLOOKUP(B216,Table2[Main Member Link ID],Table2[Benefit Name],0)&lt;&gt;Lookups!$D$17),
IF(_xlfn.XLOOKUP(B216,Table2[Main Member Link ID],Table2[Benefit Name],0)=0,"",_xlfn.XLOOKUP(B216,Table2[Main Member Link ID],Table2[Benefit Name],0)),""))))))</f>
        <v/>
      </c>
      <c r="AI216" s="328" t="str">
        <f>IF(AND(Table2[[#This Row],[Member Type]]="Main Member",Table2[[#This Row],[Table Lookup for Life Cover]]="MM_LIFE",Table2[[#This Row],[Age Next Birthday]]&lt;56),1,
IF(AND(Table2[[#This Row],[Member Type]]="Main Member",Table2[[#This Row],[Table Lookup for Life Cover]]="MM_LIFE",Table2[[#This Row],[Age Next Birthday]]&gt;=56),2,
""))</f>
        <v/>
      </c>
      <c r="AJ216" s="328">
        <f>IF(OR(Table2[[#This Row],[Member Type]]="Main Member",Table2[[#This Row],[Main Member Link ID]]=B215),1,0)</f>
        <v>1</v>
      </c>
      <c r="AK216" s="328">
        <f>IF(Table2[[#This Row],[Member Type]]=0,0,
IF(OR(Table2[[#This Row],[Member Type]]="Main Member",Table2[[#This Row],[Main Member Link ID]]&lt;&gt;B216),COUNTIFS(B:B,Table2[[#This Row],[Main Member Link ID]]),
COUNTIFS(B:B,Table2[[#This Row],[Main Member Link ID]],A:A,Table2[[#This Row],[Member Type]])))</f>
        <v>0</v>
      </c>
    </row>
    <row r="217" spans="1:37" x14ac:dyDescent="0.3">
      <c r="A217" s="284">
        <f>Table13[[#This Row],[Member Type]]</f>
        <v>0</v>
      </c>
      <c r="B217" s="284">
        <f>Table13[[#This Row],[Main Member Link ID]]</f>
        <v>0</v>
      </c>
      <c r="C217" s="284">
        <f>Table13[[#This Row],[ID Number]]</f>
        <v>0</v>
      </c>
      <c r="D217" s="285">
        <f>Table13[[#This Row],[Date Of Birth]]</f>
        <v>0</v>
      </c>
      <c r="E217" s="285">
        <f>Table13[[#This Row],[Commencement Date]]</f>
        <v>0</v>
      </c>
      <c r="F217" s="284">
        <f t="shared" si="21"/>
        <v>1</v>
      </c>
      <c r="G217" s="284">
        <f t="shared" si="22"/>
        <v>25</v>
      </c>
      <c r="H217" s="286">
        <f>Table13[[#This Row],[Product Option]]</f>
        <v>0</v>
      </c>
      <c r="I217" s="284">
        <f>IF(AND($A217="Main Member",Table2[[#This Row],[Product Option]]="My Value Plus Life"),"MM_LIFE",
IF(AND($A217="Spouse",Table2[[#This Row],[Product Option]]="My Value Plus Life"),"SP_LIFE",
IF(AND($A217="Main Member",Table2[[#This Row],[Product Option]]="My Value Plus Life &amp; Funeral"),"MM_LIFE",
IF(AND($A217="Spouse",Table2[[#This Row],[Product Option]]="My Value Plus Life &amp; Funeral"),_xlfn.XLOOKUP(Table2[[#This Row],[Benefit Name]],Lookups!$D$18:$D$23,Lookups!$E$18:$E$23,0),
0))))</f>
        <v>0</v>
      </c>
      <c r="J217" s="284">
        <f>IF($I217="","",
IF($I217="MM_LIFE",INDEX('Quotation Tool'!$S$54:$V$60,MATCH($T217,'Quotation Tool'!$S$54:$S$60,0),4),
IF($I217="SP_LIFE",_xlfn.XLOOKUP(B216,$B:$B,$J:$J,0),0)))</f>
        <v>0</v>
      </c>
      <c r="K217" s="287">
        <f t="shared" ca="1" si="26"/>
        <v>0</v>
      </c>
      <c r="L217" s="288">
        <f t="shared" ca="1" si="27"/>
        <v>0</v>
      </c>
      <c r="M217" s="289">
        <f t="shared" ca="1" si="23"/>
        <v>0</v>
      </c>
      <c r="N217" s="286">
        <f>Table13[[#This Row],[Benefit Option]]</f>
        <v>0</v>
      </c>
      <c r="O217" s="284">
        <f>IF(OR(Table2[[#This Row],[Member Type]]="Spouse",Table2[[#This Row],[Member Type]]="Child"),0,
IF(_xlfn.XLOOKUP($N217,Lookups!$D$13:$D$27,Lookups!$F$13:$F$27,0)=Table2[[#This Row],[Table Lookup for Life Cover]],0,
_xlfn.XLOOKUP($N217,Lookups!$D$13:$D$27,Lookups!$F$13:$F$27,0)))</f>
        <v>0</v>
      </c>
      <c r="P217" s="284">
        <f>IF(Table2[[#This Row],[Table Lookup for Funeral]]=0,0,IFERROR(INDEX('Quotation Tool'!$S$54:$V$60,MATCH($T217,'Quotation Tool'!$S$54:$S$60,0),3),0))</f>
        <v>0</v>
      </c>
      <c r="Q217" s="288">
        <f ca="1">IF(OR(Table2[[#This Row],[Benefit Name]]="My Value Plus Life - Main Member",Table2[[#This Row],[Benefit Name]]="My Value Plus Life - Spouse"),0,
IFERROR(VLOOKUP($G217,INDIRECT($O217),$P217,FALSE),0))</f>
        <v>0</v>
      </c>
      <c r="R217" s="288">
        <f ca="1">IF(OR(Table2[[#This Row],[Benefit Name]]="My Value Plus Life - Main Member",Table2[[#This Row],[Benefit Name]]="My Value Plus Life - Spouse"),0,
IFERROR(VLOOKUP($G217,INDIRECT($O217),$P217+1,FALSE),0))</f>
        <v>0</v>
      </c>
      <c r="S217" s="289">
        <f t="shared" ca="1" si="24"/>
        <v>0</v>
      </c>
      <c r="T217" s="284" t="str">
        <f>IF(Table13[[#This Row],[Premium Waiver]]="","None",Table13[[#This Row],[Premium Waiver]])</f>
        <v>None</v>
      </c>
      <c r="U217" s="284">
        <f>Table13[[#This Row],[VAPs Options]]</f>
        <v>0</v>
      </c>
      <c r="V217" s="284">
        <f>Table13[[#This Row],[Annual Increase Option]]</f>
        <v>0</v>
      </c>
      <c r="W217" s="290">
        <f>Table13[[#This Row],[Life Cover Amount]]</f>
        <v>0</v>
      </c>
      <c r="X217" s="290">
        <f>Table13[[#This Row],[Funeral Cover Amount]]</f>
        <v>0</v>
      </c>
      <c r="Y21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1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17" s="301">
        <f t="shared" ca="1" si="25"/>
        <v>0</v>
      </c>
      <c r="AB217" s="298"/>
      <c r="AC217" s="326" t="str">
        <f>IF(Table2[[#This Row],[Member Type]]="Main Member",Lookups!$C$13,
IF(Table2[[#This Row],[Member Type]]="Spouse",_xlfn.XLOOKUP(B217,Table2[Main Member Link ID],Table2[Product Option],0),
IF(AND(Table2[[#This Row],[Member Type]]="Child",_xlfn.XLOOKUP(B217,Table2[Main Member Link ID],Table2[Product Option],0)&lt;&gt;"My Value Plus Life"),Lookups!$C$24,
IF(AND(OR(Table2[[#This Row],[Member Type]]="Parent",Table2[[#This Row],[Member Type]]="Extended"),_xlfn.XLOOKUP(B217,Table2[Main Member Link ID],Table2[Product Option],0)&lt;&gt;"My Value Plus Life"),Lookups!$C$26,""))))</f>
        <v/>
      </c>
      <c r="AD217" s="326" t="str">
        <f>IF(Table2[[#This Row],[Member Type]]="Main Member",Lookups!$C$14,"")</f>
        <v/>
      </c>
      <c r="AE21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Funeral",_xlfn.XLOOKUP(B217,Table2[Main Member Link ID],Table2[Benefit Name],0)=Lookups!$D$14),"",
IF(AND(Table2[[#This Row],[Member Type]]="Spouse",Table2[[#This Row],[Product Option]]="My Value Plus Life &amp; Funeral",_xlfn.XLOOKUP(B216,Table2[Main Member Link ID],Table2[Benefit Name],0)=Lookups!$D$15),Lookups!$D$20,
IF(AND(Table2[[#This Row],[Member Type]]="Spouse",Table2[[#This Row],[Product Option]]="My Value Plus Life &amp; Funeral",_xlfn.XLOOKUP(B216,Table2[Main Member Link ID],Table2[Benefit Name],0)=Lookups!$D$16),"",
IF(AND(Table2[[#This Row],[Member Type]]="Spouse",Table2[[#This Row],[Product Option]]="My Value Plus Life &amp; Funeral",_xlfn.XLOOKUP(B216,Table2[Main Member Link ID],Table2[Benefit Name],0)=Lookups!$D$17),Lookups!$D$21,
IF(AND(Table2[[#This Row],[Member Type]]="Child",Table2[[#This Row],[Product Option]]="My Value Plus Life &amp; Funeral",_xlfn.XLOOKUP(B217,Table2[Main Member Link ID],Table2[Benefit Name],0)=Lookups!$D$14),"",
IF(AND(Table2[[#This Row],[Member Type]]="Child",Table2[[#This Row],[Product Option]]="My Value Plus Life &amp; Funeral",_xlfn.XLOOKUP(B217,Table2[Main Member Link ID],Table2[Benefit Name],0)=Lookups!$D$15),"",
IF(AND(Table2[[#This Row],[Member Type]]="Child",Table2[[#This Row],[Product Option]]="My Value Plus Life &amp; Funeral",_xlfn.XLOOKUP(B217,Table2[Main Member Link ID],Table2[Benefit Name],0)=Lookups!$D$16),Lookups!$D$24,
IF(AND(Table2[[#This Row],[Member Type]]="Child",Table2[[#This Row],[Product Option]]="My Value Plus Life &amp; Funeral",_xlfn.XLOOKUP(B217,Table2[Main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Funeral",_xlfn.XLOOKUP(B217,Table2[Main Member Link ID],Table2[Benefit Name],0)&lt;&gt;Lookups!$D$14),
IF(_xlfn.XLOOKUP(B217,Table2[Main Member Link ID],Table2[Benefit Name],0)=0,"",_xlfn.XLOOKUP(B217,Table2[Main Member Link ID],Table2[Benefit Name],0)),"")))))))))))))))</f>
        <v/>
      </c>
      <c r="AF217" s="327" t="str">
        <f>IF(AND(Table2[[#This Row],[Member Type]]="Main Member",Table2[[#This Row],[Product Option]]="My Value Plus Life &amp; Funeral"),Lookups!$D$15,
IF(AND(Table2[[#This Row],[Member Type]]="Spouse",Table2[[#This Row],[Product Option]]="My Value Plus Life &amp; Funeral",_xlfn.XLOOKUP(B217,Table2[Main Member Link ID],Table2[Benefit Name],0)=Lookups!$D$14),"",
IF(AND(Table2[[#This Row],[Member Type]]="Spouse",Table2[[#This Row],[Product Option]]="My Value Plus Life &amp; Funeral",_xlfn.XLOOKUP(B216,Table2[Main Member Link ID],Table2[Benefit Name],0)=Lookups!$D$16),"",
IF(AND(Table2[[#This Row],[Member Type]]="Spouse",Table2[[#This Row],[Product Option]]="My Value Plus Life &amp; Funeral",_xlfn.XLOOKUP(B216,Table2[Main Member Link ID],Table2[Benefit Name],0)=Lookups!$D$15),"",
IF(AND(Table2[[#This Row],[Member Type]]="Spouse",Table2[[#This Row],[Product Option]]="My Value Plus Life &amp; Funeral",_xlfn.XLOOKUP(B216,Table2[Main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Funeral",_xlfn.XLOOKUP(B217,Table2[Main Member Link ID],Table2[Benefit Name],0)&lt;&gt;Lookups!$D$15),
IF(_xlfn.XLOOKUP(B217,Table2[Main Member Link ID],Table2[Benefit Name],0)=0,"",_xlfn.XLOOKUP(B217,Table2[Main Member Link ID],Table2[Benefit Name],0)),"")
))))))</f>
        <v/>
      </c>
      <c r="AG217" s="327" t="str">
        <f>IF(AND(Table2[[#This Row],[Member Type]]="Main Member",Table2[[#This Row],[Product Option]]="My Value Plus Life &amp; Funeral"),Lookups!$D$16,
IF(AND(Table2[[#This Row],[Member Type]]="Spouse",Table2[[#This Row],[Product Option]]="My Value Plus Life &amp; Funeral",_xlfn.XLOOKUP(B217,Table2[Main Member Link ID],Table2[Benefit Name],0)=Lookups!$D$14),"",
IF(AND(Table2[[#This Row],[Member Type]]="Spouse",Table2[[#This Row],[Product Option]]="My Value Plus Life &amp; Funeral",_xlfn.XLOOKUP(B216,Table2[Main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Funeral",_xlfn.XLOOKUP(B217,Table2[Main Member Link ID],Table2[Benefit Name],0)&lt;&gt;Lookups!$D$16),
IF(_xlfn.XLOOKUP(B217,Table2[Main Member Link ID],Table2[Benefit Name],0)=0,"",_xlfn.XLOOKUP(B217,Table2[Main Member Link ID],Table2[Benefit Name],0)),"")
))))</f>
        <v/>
      </c>
      <c r="AH217" s="327" t="str">
        <f>IF(AND(Table2[[#This Row],[Member Type]]="Main Member",Table2[[#This Row],[Product Option]]="My Value Plus Life &amp; Funeral"),Lookups!$D$17,
IF(AND(Table2[[#This Row],[Member Type]]="Spouse",Table2[[#This Row],[Product Option]]="My Value Plus Life &amp; Funeral",_xlfn.XLOOKUP(B217,Table2[Main Member Link ID],Table2[Benefit Name],0)=Lookups!$D$14),"",
IF(AND(Table2[[#This Row],[Member Type]]="Spouse",Table2[[#This Row],[Product Option]]="My Value Plus Life &amp; Funeral",_xlfn.XLOOKUP(B216,Table2[Main Member Link ID],Table2[Benefit Name],0)=Lookups!$D$16),"",
IF(AND(Table2[[#This Row],[Member Type]]="Child",Table2[[#This Row],[Product Option]]="My Value Plus Life &amp; Funeral"),"",
IF(AND(Table2[[#This Row],[Member Type]]="Child",Table2[[#This Row],[Product Option]]="My Value Plus Life &amp; Funeral",_xlfn.XLOOKUP(B217,Table2[Main Member Link ID],Table2[Benefit Name],0)=Lookups!$D$15),"",
IF(AND(OR(Table2[[#This Row],[Member Type]]="Spouse",Table2[[#This Row],[Member Type]]="Child"),Table2[[#This Row],[Product Option]]="My Value Plus Life &amp; Funeral",_xlfn.XLOOKUP(B217,Table2[Main Member Link ID],Table2[Benefit Name],0)&lt;&gt;Lookups!$D$17),
IF(_xlfn.XLOOKUP(B217,Table2[Main Member Link ID],Table2[Benefit Name],0)=0,"",_xlfn.XLOOKUP(B217,Table2[Main Member Link ID],Table2[Benefit Name],0)),""))))))</f>
        <v/>
      </c>
      <c r="AI217" s="328" t="str">
        <f>IF(AND(Table2[[#This Row],[Member Type]]="Main Member",Table2[[#This Row],[Table Lookup for Life Cover]]="MM_LIFE",Table2[[#This Row],[Age Next Birthday]]&lt;56),1,
IF(AND(Table2[[#This Row],[Member Type]]="Main Member",Table2[[#This Row],[Table Lookup for Life Cover]]="MM_LIFE",Table2[[#This Row],[Age Next Birthday]]&gt;=56),2,
""))</f>
        <v/>
      </c>
      <c r="AJ217" s="328">
        <f>IF(OR(Table2[[#This Row],[Member Type]]="Main Member",Table2[[#This Row],[Main Member Link ID]]=B216),1,0)</f>
        <v>1</v>
      </c>
      <c r="AK217" s="328">
        <f>IF(Table2[[#This Row],[Member Type]]=0,0,
IF(OR(Table2[[#This Row],[Member Type]]="Main Member",Table2[[#This Row],[Main Member Link ID]]&lt;&gt;B217),COUNTIFS(B:B,Table2[[#This Row],[Main Member Link ID]]),
COUNTIFS(B:B,Table2[[#This Row],[Main Member Link ID]],A:A,Table2[[#This Row],[Member Type]])))</f>
        <v>0</v>
      </c>
    </row>
    <row r="218" spans="1:37" x14ac:dyDescent="0.3">
      <c r="A218" s="284">
        <f>Table13[[#This Row],[Member Type]]</f>
        <v>0</v>
      </c>
      <c r="B218" s="284">
        <f>Table13[[#This Row],[Main Member Link ID]]</f>
        <v>0</v>
      </c>
      <c r="C218" s="284">
        <f>Table13[[#This Row],[ID Number]]</f>
        <v>0</v>
      </c>
      <c r="D218" s="285">
        <f>Table13[[#This Row],[Date Of Birth]]</f>
        <v>0</v>
      </c>
      <c r="E218" s="285">
        <f>Table13[[#This Row],[Commencement Date]]</f>
        <v>0</v>
      </c>
      <c r="F218" s="284">
        <f t="shared" si="21"/>
        <v>1</v>
      </c>
      <c r="G218" s="284">
        <f t="shared" si="22"/>
        <v>25</v>
      </c>
      <c r="H218" s="286">
        <f>Table13[[#This Row],[Product Option]]</f>
        <v>0</v>
      </c>
      <c r="I218" s="284">
        <f>IF(AND($A218="Main Member",Table2[[#This Row],[Product Option]]="My Value Plus Life"),"MM_LIFE",
IF(AND($A218="Spouse",Table2[[#This Row],[Product Option]]="My Value Plus Life"),"SP_LIFE",
IF(AND($A218="Main Member",Table2[[#This Row],[Product Option]]="My Value Plus Life &amp; Funeral"),"MM_LIFE",
IF(AND($A218="Spouse",Table2[[#This Row],[Product Option]]="My Value Plus Life &amp; Funeral"),_xlfn.XLOOKUP(Table2[[#This Row],[Benefit Name]],Lookups!$D$18:$D$23,Lookups!$E$18:$E$23,0),
0))))</f>
        <v>0</v>
      </c>
      <c r="J218" s="284">
        <f>IF($I218="","",
IF($I218="MM_LIFE",INDEX('Quotation Tool'!$S$54:$V$60,MATCH($T218,'Quotation Tool'!$S$54:$S$60,0),4),
IF($I218="SP_LIFE",_xlfn.XLOOKUP(B217,$B:$B,$J:$J,0),0)))</f>
        <v>0</v>
      </c>
      <c r="K218" s="287">
        <f t="shared" ca="1" si="26"/>
        <v>0</v>
      </c>
      <c r="L218" s="288">
        <f t="shared" ca="1" si="27"/>
        <v>0</v>
      </c>
      <c r="M218" s="289">
        <f t="shared" ca="1" si="23"/>
        <v>0</v>
      </c>
      <c r="N218" s="286">
        <f>Table13[[#This Row],[Benefit Option]]</f>
        <v>0</v>
      </c>
      <c r="O218" s="284">
        <f>IF(OR(Table2[[#This Row],[Member Type]]="Spouse",Table2[[#This Row],[Member Type]]="Child"),0,
IF(_xlfn.XLOOKUP($N218,Lookups!$D$13:$D$27,Lookups!$F$13:$F$27,0)=Table2[[#This Row],[Table Lookup for Life Cover]],0,
_xlfn.XLOOKUP($N218,Lookups!$D$13:$D$27,Lookups!$F$13:$F$27,0)))</f>
        <v>0</v>
      </c>
      <c r="P218" s="284">
        <f>IF(Table2[[#This Row],[Table Lookup for Funeral]]=0,0,IFERROR(INDEX('Quotation Tool'!$S$54:$V$60,MATCH($T218,'Quotation Tool'!$S$54:$S$60,0),3),0))</f>
        <v>0</v>
      </c>
      <c r="Q218" s="288">
        <f ca="1">IF(OR(Table2[[#This Row],[Benefit Name]]="My Value Plus Life - Main Member",Table2[[#This Row],[Benefit Name]]="My Value Plus Life - Spouse"),0,
IFERROR(VLOOKUP($G218,INDIRECT($O218),$P218,FALSE),0))</f>
        <v>0</v>
      </c>
      <c r="R218" s="288">
        <f ca="1">IF(OR(Table2[[#This Row],[Benefit Name]]="My Value Plus Life - Main Member",Table2[[#This Row],[Benefit Name]]="My Value Plus Life - Spouse"),0,
IFERROR(VLOOKUP($G218,INDIRECT($O218),$P218+1,FALSE),0))</f>
        <v>0</v>
      </c>
      <c r="S218" s="289">
        <f t="shared" ca="1" si="24"/>
        <v>0</v>
      </c>
      <c r="T218" s="284" t="str">
        <f>IF(Table13[[#This Row],[Premium Waiver]]="","None",Table13[[#This Row],[Premium Waiver]])</f>
        <v>None</v>
      </c>
      <c r="U218" s="284">
        <f>Table13[[#This Row],[VAPs Options]]</f>
        <v>0</v>
      </c>
      <c r="V218" s="284">
        <f>Table13[[#This Row],[Annual Increase Option]]</f>
        <v>0</v>
      </c>
      <c r="W218" s="290">
        <f>Table13[[#This Row],[Life Cover Amount]]</f>
        <v>0</v>
      </c>
      <c r="X218" s="290">
        <f>Table13[[#This Row],[Funeral Cover Amount]]</f>
        <v>0</v>
      </c>
      <c r="Y21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1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18" s="301">
        <f t="shared" ca="1" si="25"/>
        <v>0</v>
      </c>
      <c r="AB218" s="298"/>
      <c r="AC218" s="326" t="str">
        <f>IF(Table2[[#This Row],[Member Type]]="Main Member",Lookups!$C$13,
IF(Table2[[#This Row],[Member Type]]="Spouse",_xlfn.XLOOKUP(B218,Table2[Main Member Link ID],Table2[Product Option],0),
IF(AND(Table2[[#This Row],[Member Type]]="Child",_xlfn.XLOOKUP(B218,Table2[Main Member Link ID],Table2[Product Option],0)&lt;&gt;"My Value Plus Life"),Lookups!$C$24,
IF(AND(OR(Table2[[#This Row],[Member Type]]="Parent",Table2[[#This Row],[Member Type]]="Extended"),_xlfn.XLOOKUP(B218,Table2[Main Member Link ID],Table2[Product Option],0)&lt;&gt;"My Value Plus Life"),Lookups!$C$26,""))))</f>
        <v/>
      </c>
      <c r="AD218" s="326" t="str">
        <f>IF(Table2[[#This Row],[Member Type]]="Main Member",Lookups!$C$14,"")</f>
        <v/>
      </c>
      <c r="AE21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Funeral",_xlfn.XLOOKUP(B218,Table2[Main Member Link ID],Table2[Benefit Name],0)=Lookups!$D$14),"",
IF(AND(Table2[[#This Row],[Member Type]]="Spouse",Table2[[#This Row],[Product Option]]="My Value Plus Life &amp; Funeral",_xlfn.XLOOKUP(B217,Table2[Main Member Link ID],Table2[Benefit Name],0)=Lookups!$D$15),Lookups!$D$20,
IF(AND(Table2[[#This Row],[Member Type]]="Spouse",Table2[[#This Row],[Product Option]]="My Value Plus Life &amp; Funeral",_xlfn.XLOOKUP(B217,Table2[Main Member Link ID],Table2[Benefit Name],0)=Lookups!$D$16),"",
IF(AND(Table2[[#This Row],[Member Type]]="Spouse",Table2[[#This Row],[Product Option]]="My Value Plus Life &amp; Funeral",_xlfn.XLOOKUP(B217,Table2[Main Member Link ID],Table2[Benefit Name],0)=Lookups!$D$17),Lookups!$D$21,
IF(AND(Table2[[#This Row],[Member Type]]="Child",Table2[[#This Row],[Product Option]]="My Value Plus Life &amp; Funeral",_xlfn.XLOOKUP(B218,Table2[Main Member Link ID],Table2[Benefit Name],0)=Lookups!$D$14),"",
IF(AND(Table2[[#This Row],[Member Type]]="Child",Table2[[#This Row],[Product Option]]="My Value Plus Life &amp; Funeral",_xlfn.XLOOKUP(B218,Table2[Main Member Link ID],Table2[Benefit Name],0)=Lookups!$D$15),"",
IF(AND(Table2[[#This Row],[Member Type]]="Child",Table2[[#This Row],[Product Option]]="My Value Plus Life &amp; Funeral",_xlfn.XLOOKUP(B218,Table2[Main Member Link ID],Table2[Benefit Name],0)=Lookups!$D$16),Lookups!$D$24,
IF(AND(Table2[[#This Row],[Member Type]]="Child",Table2[[#This Row],[Product Option]]="My Value Plus Life &amp; Funeral",_xlfn.XLOOKUP(B218,Table2[Main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Funeral",_xlfn.XLOOKUP(B218,Table2[Main Member Link ID],Table2[Benefit Name],0)&lt;&gt;Lookups!$D$14),
IF(_xlfn.XLOOKUP(B218,Table2[Main Member Link ID],Table2[Benefit Name],0)=0,"",_xlfn.XLOOKUP(B218,Table2[Main Member Link ID],Table2[Benefit Name],0)),"")))))))))))))))</f>
        <v/>
      </c>
      <c r="AF218" s="327" t="str">
        <f>IF(AND(Table2[[#This Row],[Member Type]]="Main Member",Table2[[#This Row],[Product Option]]="My Value Plus Life &amp; Funeral"),Lookups!$D$15,
IF(AND(Table2[[#This Row],[Member Type]]="Spouse",Table2[[#This Row],[Product Option]]="My Value Plus Life &amp; Funeral",_xlfn.XLOOKUP(B218,Table2[Main Member Link ID],Table2[Benefit Name],0)=Lookups!$D$14),"",
IF(AND(Table2[[#This Row],[Member Type]]="Spouse",Table2[[#This Row],[Product Option]]="My Value Plus Life &amp; Funeral",_xlfn.XLOOKUP(B217,Table2[Main Member Link ID],Table2[Benefit Name],0)=Lookups!$D$16),"",
IF(AND(Table2[[#This Row],[Member Type]]="Spouse",Table2[[#This Row],[Product Option]]="My Value Plus Life &amp; Funeral",_xlfn.XLOOKUP(B217,Table2[Main Member Link ID],Table2[Benefit Name],0)=Lookups!$D$15),"",
IF(AND(Table2[[#This Row],[Member Type]]="Spouse",Table2[[#This Row],[Product Option]]="My Value Plus Life &amp; Funeral",_xlfn.XLOOKUP(B217,Table2[Main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Funeral",_xlfn.XLOOKUP(B218,Table2[Main Member Link ID],Table2[Benefit Name],0)&lt;&gt;Lookups!$D$15),
IF(_xlfn.XLOOKUP(B218,Table2[Main Member Link ID],Table2[Benefit Name],0)=0,"",_xlfn.XLOOKUP(B218,Table2[Main Member Link ID],Table2[Benefit Name],0)),"")
))))))</f>
        <v/>
      </c>
      <c r="AG218" s="327" t="str">
        <f>IF(AND(Table2[[#This Row],[Member Type]]="Main Member",Table2[[#This Row],[Product Option]]="My Value Plus Life &amp; Funeral"),Lookups!$D$16,
IF(AND(Table2[[#This Row],[Member Type]]="Spouse",Table2[[#This Row],[Product Option]]="My Value Plus Life &amp; Funeral",_xlfn.XLOOKUP(B218,Table2[Main Member Link ID],Table2[Benefit Name],0)=Lookups!$D$14),"",
IF(AND(Table2[[#This Row],[Member Type]]="Spouse",Table2[[#This Row],[Product Option]]="My Value Plus Life &amp; Funeral",_xlfn.XLOOKUP(B217,Table2[Main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Funeral",_xlfn.XLOOKUP(B218,Table2[Main Member Link ID],Table2[Benefit Name],0)&lt;&gt;Lookups!$D$16),
IF(_xlfn.XLOOKUP(B218,Table2[Main Member Link ID],Table2[Benefit Name],0)=0,"",_xlfn.XLOOKUP(B218,Table2[Main Member Link ID],Table2[Benefit Name],0)),"")
))))</f>
        <v/>
      </c>
      <c r="AH218" s="327" t="str">
        <f>IF(AND(Table2[[#This Row],[Member Type]]="Main Member",Table2[[#This Row],[Product Option]]="My Value Plus Life &amp; Funeral"),Lookups!$D$17,
IF(AND(Table2[[#This Row],[Member Type]]="Spouse",Table2[[#This Row],[Product Option]]="My Value Plus Life &amp; Funeral",_xlfn.XLOOKUP(B218,Table2[Main Member Link ID],Table2[Benefit Name],0)=Lookups!$D$14),"",
IF(AND(Table2[[#This Row],[Member Type]]="Spouse",Table2[[#This Row],[Product Option]]="My Value Plus Life &amp; Funeral",_xlfn.XLOOKUP(B217,Table2[Main Member Link ID],Table2[Benefit Name],0)=Lookups!$D$16),"",
IF(AND(Table2[[#This Row],[Member Type]]="Child",Table2[[#This Row],[Product Option]]="My Value Plus Life &amp; Funeral"),"",
IF(AND(Table2[[#This Row],[Member Type]]="Child",Table2[[#This Row],[Product Option]]="My Value Plus Life &amp; Funeral",_xlfn.XLOOKUP(B218,Table2[Main Member Link ID],Table2[Benefit Name],0)=Lookups!$D$15),"",
IF(AND(OR(Table2[[#This Row],[Member Type]]="Spouse",Table2[[#This Row],[Member Type]]="Child"),Table2[[#This Row],[Product Option]]="My Value Plus Life &amp; Funeral",_xlfn.XLOOKUP(B218,Table2[Main Member Link ID],Table2[Benefit Name],0)&lt;&gt;Lookups!$D$17),
IF(_xlfn.XLOOKUP(B218,Table2[Main Member Link ID],Table2[Benefit Name],0)=0,"",_xlfn.XLOOKUP(B218,Table2[Main Member Link ID],Table2[Benefit Name],0)),""))))))</f>
        <v/>
      </c>
      <c r="AI218" s="328" t="str">
        <f>IF(AND(Table2[[#This Row],[Member Type]]="Main Member",Table2[[#This Row],[Table Lookup for Life Cover]]="MM_LIFE",Table2[[#This Row],[Age Next Birthday]]&lt;56),1,
IF(AND(Table2[[#This Row],[Member Type]]="Main Member",Table2[[#This Row],[Table Lookup for Life Cover]]="MM_LIFE",Table2[[#This Row],[Age Next Birthday]]&gt;=56),2,
""))</f>
        <v/>
      </c>
      <c r="AJ218" s="328">
        <f>IF(OR(Table2[[#This Row],[Member Type]]="Main Member",Table2[[#This Row],[Main Member Link ID]]=B217),1,0)</f>
        <v>1</v>
      </c>
      <c r="AK218" s="328">
        <f>IF(Table2[[#This Row],[Member Type]]=0,0,
IF(OR(Table2[[#This Row],[Member Type]]="Main Member",Table2[[#This Row],[Main Member Link ID]]&lt;&gt;B218),COUNTIFS(B:B,Table2[[#This Row],[Main Member Link ID]]),
COUNTIFS(B:B,Table2[[#This Row],[Main Member Link ID]],A:A,Table2[[#This Row],[Member Type]])))</f>
        <v>0</v>
      </c>
    </row>
    <row r="219" spans="1:37" x14ac:dyDescent="0.3">
      <c r="A219" s="284">
        <f>Table13[[#This Row],[Member Type]]</f>
        <v>0</v>
      </c>
      <c r="B219" s="284">
        <f>Table13[[#This Row],[Main Member Link ID]]</f>
        <v>0</v>
      </c>
      <c r="C219" s="284">
        <f>Table13[[#This Row],[ID Number]]</f>
        <v>0</v>
      </c>
      <c r="D219" s="285">
        <f>Table13[[#This Row],[Date Of Birth]]</f>
        <v>0</v>
      </c>
      <c r="E219" s="285">
        <f>Table13[[#This Row],[Commencement Date]]</f>
        <v>0</v>
      </c>
      <c r="F219" s="284">
        <f t="shared" si="21"/>
        <v>1</v>
      </c>
      <c r="G219" s="284">
        <f t="shared" si="22"/>
        <v>25</v>
      </c>
      <c r="H219" s="286">
        <f>Table13[[#This Row],[Product Option]]</f>
        <v>0</v>
      </c>
      <c r="I219" s="284">
        <f>IF(AND($A219="Main Member",Table2[[#This Row],[Product Option]]="My Value Plus Life"),"MM_LIFE",
IF(AND($A219="Spouse",Table2[[#This Row],[Product Option]]="My Value Plus Life"),"SP_LIFE",
IF(AND($A219="Main Member",Table2[[#This Row],[Product Option]]="My Value Plus Life &amp; Funeral"),"MM_LIFE",
IF(AND($A219="Spouse",Table2[[#This Row],[Product Option]]="My Value Plus Life &amp; Funeral"),_xlfn.XLOOKUP(Table2[[#This Row],[Benefit Name]],Lookups!$D$18:$D$23,Lookups!$E$18:$E$23,0),
0))))</f>
        <v>0</v>
      </c>
      <c r="J219" s="284">
        <f>IF($I219="","",
IF($I219="MM_LIFE",INDEX('Quotation Tool'!$S$54:$V$60,MATCH($T219,'Quotation Tool'!$S$54:$S$60,0),4),
IF($I219="SP_LIFE",_xlfn.XLOOKUP(B218,$B:$B,$J:$J,0),0)))</f>
        <v>0</v>
      </c>
      <c r="K219" s="287">
        <f t="shared" ca="1" si="26"/>
        <v>0</v>
      </c>
      <c r="L219" s="288">
        <f t="shared" ca="1" si="27"/>
        <v>0</v>
      </c>
      <c r="M219" s="289">
        <f t="shared" ca="1" si="23"/>
        <v>0</v>
      </c>
      <c r="N219" s="286">
        <f>Table13[[#This Row],[Benefit Option]]</f>
        <v>0</v>
      </c>
      <c r="O219" s="284">
        <f>IF(OR(Table2[[#This Row],[Member Type]]="Spouse",Table2[[#This Row],[Member Type]]="Child"),0,
IF(_xlfn.XLOOKUP($N219,Lookups!$D$13:$D$27,Lookups!$F$13:$F$27,0)=Table2[[#This Row],[Table Lookup for Life Cover]],0,
_xlfn.XLOOKUP($N219,Lookups!$D$13:$D$27,Lookups!$F$13:$F$27,0)))</f>
        <v>0</v>
      </c>
      <c r="P219" s="284">
        <f>IF(Table2[[#This Row],[Table Lookup for Funeral]]=0,0,IFERROR(INDEX('Quotation Tool'!$S$54:$V$60,MATCH($T219,'Quotation Tool'!$S$54:$S$60,0),3),0))</f>
        <v>0</v>
      </c>
      <c r="Q219" s="288">
        <f ca="1">IF(OR(Table2[[#This Row],[Benefit Name]]="My Value Plus Life - Main Member",Table2[[#This Row],[Benefit Name]]="My Value Plus Life - Spouse"),0,
IFERROR(VLOOKUP($G219,INDIRECT($O219),$P219,FALSE),0))</f>
        <v>0</v>
      </c>
      <c r="R219" s="288">
        <f ca="1">IF(OR(Table2[[#This Row],[Benefit Name]]="My Value Plus Life - Main Member",Table2[[#This Row],[Benefit Name]]="My Value Plus Life - Spouse"),0,
IFERROR(VLOOKUP($G219,INDIRECT($O219),$P219+1,FALSE),0))</f>
        <v>0</v>
      </c>
      <c r="S219" s="289">
        <f t="shared" ca="1" si="24"/>
        <v>0</v>
      </c>
      <c r="T219" s="284" t="str">
        <f>IF(Table13[[#This Row],[Premium Waiver]]="","None",Table13[[#This Row],[Premium Waiver]])</f>
        <v>None</v>
      </c>
      <c r="U219" s="284">
        <f>Table13[[#This Row],[VAPs Options]]</f>
        <v>0</v>
      </c>
      <c r="V219" s="284">
        <f>Table13[[#This Row],[Annual Increase Option]]</f>
        <v>0</v>
      </c>
      <c r="W219" s="290">
        <f>Table13[[#This Row],[Life Cover Amount]]</f>
        <v>0</v>
      </c>
      <c r="X219" s="290">
        <f>Table13[[#This Row],[Funeral Cover Amount]]</f>
        <v>0</v>
      </c>
      <c r="Y21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1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19" s="301">
        <f t="shared" ca="1" si="25"/>
        <v>0</v>
      </c>
      <c r="AB219" s="298"/>
      <c r="AC219" s="326" t="str">
        <f>IF(Table2[[#This Row],[Member Type]]="Main Member",Lookups!$C$13,
IF(Table2[[#This Row],[Member Type]]="Spouse",_xlfn.XLOOKUP(B219,Table2[Main Member Link ID],Table2[Product Option],0),
IF(AND(Table2[[#This Row],[Member Type]]="Child",_xlfn.XLOOKUP(B219,Table2[Main Member Link ID],Table2[Product Option],0)&lt;&gt;"My Value Plus Life"),Lookups!$C$24,
IF(AND(OR(Table2[[#This Row],[Member Type]]="Parent",Table2[[#This Row],[Member Type]]="Extended"),_xlfn.XLOOKUP(B219,Table2[Main Member Link ID],Table2[Product Option],0)&lt;&gt;"My Value Plus Life"),Lookups!$C$26,""))))</f>
        <v/>
      </c>
      <c r="AD219" s="326" t="str">
        <f>IF(Table2[[#This Row],[Member Type]]="Main Member",Lookups!$C$14,"")</f>
        <v/>
      </c>
      <c r="AE21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Funeral",_xlfn.XLOOKUP(B219,Table2[Main Member Link ID],Table2[Benefit Name],0)=Lookups!$D$14),"",
IF(AND(Table2[[#This Row],[Member Type]]="Spouse",Table2[[#This Row],[Product Option]]="My Value Plus Life &amp; Funeral",_xlfn.XLOOKUP(B218,Table2[Main Member Link ID],Table2[Benefit Name],0)=Lookups!$D$15),Lookups!$D$20,
IF(AND(Table2[[#This Row],[Member Type]]="Spouse",Table2[[#This Row],[Product Option]]="My Value Plus Life &amp; Funeral",_xlfn.XLOOKUP(B218,Table2[Main Member Link ID],Table2[Benefit Name],0)=Lookups!$D$16),"",
IF(AND(Table2[[#This Row],[Member Type]]="Spouse",Table2[[#This Row],[Product Option]]="My Value Plus Life &amp; Funeral",_xlfn.XLOOKUP(B218,Table2[Main Member Link ID],Table2[Benefit Name],0)=Lookups!$D$17),Lookups!$D$21,
IF(AND(Table2[[#This Row],[Member Type]]="Child",Table2[[#This Row],[Product Option]]="My Value Plus Life &amp; Funeral",_xlfn.XLOOKUP(B219,Table2[Main Member Link ID],Table2[Benefit Name],0)=Lookups!$D$14),"",
IF(AND(Table2[[#This Row],[Member Type]]="Child",Table2[[#This Row],[Product Option]]="My Value Plus Life &amp; Funeral",_xlfn.XLOOKUP(B219,Table2[Main Member Link ID],Table2[Benefit Name],0)=Lookups!$D$15),"",
IF(AND(Table2[[#This Row],[Member Type]]="Child",Table2[[#This Row],[Product Option]]="My Value Plus Life &amp; Funeral",_xlfn.XLOOKUP(B219,Table2[Main Member Link ID],Table2[Benefit Name],0)=Lookups!$D$16),Lookups!$D$24,
IF(AND(Table2[[#This Row],[Member Type]]="Child",Table2[[#This Row],[Product Option]]="My Value Plus Life &amp; Funeral",_xlfn.XLOOKUP(B219,Table2[Main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Funeral",_xlfn.XLOOKUP(B219,Table2[Main Member Link ID],Table2[Benefit Name],0)&lt;&gt;Lookups!$D$14),
IF(_xlfn.XLOOKUP(B219,Table2[Main Member Link ID],Table2[Benefit Name],0)=0,"",_xlfn.XLOOKUP(B219,Table2[Main Member Link ID],Table2[Benefit Name],0)),"")))))))))))))))</f>
        <v/>
      </c>
      <c r="AF219" s="327" t="str">
        <f>IF(AND(Table2[[#This Row],[Member Type]]="Main Member",Table2[[#This Row],[Product Option]]="My Value Plus Life &amp; Funeral"),Lookups!$D$15,
IF(AND(Table2[[#This Row],[Member Type]]="Spouse",Table2[[#This Row],[Product Option]]="My Value Plus Life &amp; Funeral",_xlfn.XLOOKUP(B219,Table2[Main Member Link ID],Table2[Benefit Name],0)=Lookups!$D$14),"",
IF(AND(Table2[[#This Row],[Member Type]]="Spouse",Table2[[#This Row],[Product Option]]="My Value Plus Life &amp; Funeral",_xlfn.XLOOKUP(B218,Table2[Main Member Link ID],Table2[Benefit Name],0)=Lookups!$D$16),"",
IF(AND(Table2[[#This Row],[Member Type]]="Spouse",Table2[[#This Row],[Product Option]]="My Value Plus Life &amp; Funeral",_xlfn.XLOOKUP(B218,Table2[Main Member Link ID],Table2[Benefit Name],0)=Lookups!$D$15),"",
IF(AND(Table2[[#This Row],[Member Type]]="Spouse",Table2[[#This Row],[Product Option]]="My Value Plus Life &amp; Funeral",_xlfn.XLOOKUP(B218,Table2[Main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Funeral",_xlfn.XLOOKUP(B219,Table2[Main Member Link ID],Table2[Benefit Name],0)&lt;&gt;Lookups!$D$15),
IF(_xlfn.XLOOKUP(B219,Table2[Main Member Link ID],Table2[Benefit Name],0)=0,"",_xlfn.XLOOKUP(B219,Table2[Main Member Link ID],Table2[Benefit Name],0)),"")
))))))</f>
        <v/>
      </c>
      <c r="AG219" s="327" t="str">
        <f>IF(AND(Table2[[#This Row],[Member Type]]="Main Member",Table2[[#This Row],[Product Option]]="My Value Plus Life &amp; Funeral"),Lookups!$D$16,
IF(AND(Table2[[#This Row],[Member Type]]="Spouse",Table2[[#This Row],[Product Option]]="My Value Plus Life &amp; Funeral",_xlfn.XLOOKUP(B219,Table2[Main Member Link ID],Table2[Benefit Name],0)=Lookups!$D$14),"",
IF(AND(Table2[[#This Row],[Member Type]]="Spouse",Table2[[#This Row],[Product Option]]="My Value Plus Life &amp; Funeral",_xlfn.XLOOKUP(B218,Table2[Main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Funeral",_xlfn.XLOOKUP(B219,Table2[Main Member Link ID],Table2[Benefit Name],0)&lt;&gt;Lookups!$D$16),
IF(_xlfn.XLOOKUP(B219,Table2[Main Member Link ID],Table2[Benefit Name],0)=0,"",_xlfn.XLOOKUP(B219,Table2[Main Member Link ID],Table2[Benefit Name],0)),"")
))))</f>
        <v/>
      </c>
      <c r="AH219" s="327" t="str">
        <f>IF(AND(Table2[[#This Row],[Member Type]]="Main Member",Table2[[#This Row],[Product Option]]="My Value Plus Life &amp; Funeral"),Lookups!$D$17,
IF(AND(Table2[[#This Row],[Member Type]]="Spouse",Table2[[#This Row],[Product Option]]="My Value Plus Life &amp; Funeral",_xlfn.XLOOKUP(B219,Table2[Main Member Link ID],Table2[Benefit Name],0)=Lookups!$D$14),"",
IF(AND(Table2[[#This Row],[Member Type]]="Spouse",Table2[[#This Row],[Product Option]]="My Value Plus Life &amp; Funeral",_xlfn.XLOOKUP(B218,Table2[Main Member Link ID],Table2[Benefit Name],0)=Lookups!$D$16),"",
IF(AND(Table2[[#This Row],[Member Type]]="Child",Table2[[#This Row],[Product Option]]="My Value Plus Life &amp; Funeral"),"",
IF(AND(Table2[[#This Row],[Member Type]]="Child",Table2[[#This Row],[Product Option]]="My Value Plus Life &amp; Funeral",_xlfn.XLOOKUP(B219,Table2[Main Member Link ID],Table2[Benefit Name],0)=Lookups!$D$15),"",
IF(AND(OR(Table2[[#This Row],[Member Type]]="Spouse",Table2[[#This Row],[Member Type]]="Child"),Table2[[#This Row],[Product Option]]="My Value Plus Life &amp; Funeral",_xlfn.XLOOKUP(B219,Table2[Main Member Link ID],Table2[Benefit Name],0)&lt;&gt;Lookups!$D$17),
IF(_xlfn.XLOOKUP(B219,Table2[Main Member Link ID],Table2[Benefit Name],0)=0,"",_xlfn.XLOOKUP(B219,Table2[Main Member Link ID],Table2[Benefit Name],0)),""))))))</f>
        <v/>
      </c>
      <c r="AI219" s="328" t="str">
        <f>IF(AND(Table2[[#This Row],[Member Type]]="Main Member",Table2[[#This Row],[Table Lookup for Life Cover]]="MM_LIFE",Table2[[#This Row],[Age Next Birthday]]&lt;56),1,
IF(AND(Table2[[#This Row],[Member Type]]="Main Member",Table2[[#This Row],[Table Lookup for Life Cover]]="MM_LIFE",Table2[[#This Row],[Age Next Birthday]]&gt;=56),2,
""))</f>
        <v/>
      </c>
      <c r="AJ219" s="328">
        <f>IF(OR(Table2[[#This Row],[Member Type]]="Main Member",Table2[[#This Row],[Main Member Link ID]]=B218),1,0)</f>
        <v>1</v>
      </c>
      <c r="AK219" s="328">
        <f>IF(Table2[[#This Row],[Member Type]]=0,0,
IF(OR(Table2[[#This Row],[Member Type]]="Main Member",Table2[[#This Row],[Main Member Link ID]]&lt;&gt;B219),COUNTIFS(B:B,Table2[[#This Row],[Main Member Link ID]]),
COUNTIFS(B:B,Table2[[#This Row],[Main Member Link ID]],A:A,Table2[[#This Row],[Member Type]])))</f>
        <v>0</v>
      </c>
    </row>
    <row r="220" spans="1:37" x14ac:dyDescent="0.3">
      <c r="A220" s="284">
        <f>Table13[[#This Row],[Member Type]]</f>
        <v>0</v>
      </c>
      <c r="B220" s="284">
        <f>Table13[[#This Row],[Main Member Link ID]]</f>
        <v>0</v>
      </c>
      <c r="C220" s="284">
        <f>Table13[[#This Row],[ID Number]]</f>
        <v>0</v>
      </c>
      <c r="D220" s="285">
        <f>Table13[[#This Row],[Date Of Birth]]</f>
        <v>0</v>
      </c>
      <c r="E220" s="285">
        <f>Table13[[#This Row],[Commencement Date]]</f>
        <v>0</v>
      </c>
      <c r="F220" s="284">
        <f t="shared" si="21"/>
        <v>1</v>
      </c>
      <c r="G220" s="284">
        <f t="shared" si="22"/>
        <v>25</v>
      </c>
      <c r="H220" s="286">
        <f>Table13[[#This Row],[Product Option]]</f>
        <v>0</v>
      </c>
      <c r="I220" s="284">
        <f>IF(AND($A220="Main Member",Table2[[#This Row],[Product Option]]="My Value Plus Life"),"MM_LIFE",
IF(AND($A220="Spouse",Table2[[#This Row],[Product Option]]="My Value Plus Life"),"SP_LIFE",
IF(AND($A220="Main Member",Table2[[#This Row],[Product Option]]="My Value Plus Life &amp; Funeral"),"MM_LIFE",
IF(AND($A220="Spouse",Table2[[#This Row],[Product Option]]="My Value Plus Life &amp; Funeral"),_xlfn.XLOOKUP(Table2[[#This Row],[Benefit Name]],Lookups!$D$18:$D$23,Lookups!$E$18:$E$23,0),
0))))</f>
        <v>0</v>
      </c>
      <c r="J220" s="284">
        <f>IF($I220="","",
IF($I220="MM_LIFE",INDEX('Quotation Tool'!$S$54:$V$60,MATCH($T220,'Quotation Tool'!$S$54:$S$60,0),4),
IF($I220="SP_LIFE",_xlfn.XLOOKUP(B219,$B:$B,$J:$J,0),0)))</f>
        <v>0</v>
      </c>
      <c r="K220" s="287">
        <f t="shared" ca="1" si="26"/>
        <v>0</v>
      </c>
      <c r="L220" s="288">
        <f t="shared" ca="1" si="27"/>
        <v>0</v>
      </c>
      <c r="M220" s="289">
        <f t="shared" ca="1" si="23"/>
        <v>0</v>
      </c>
      <c r="N220" s="286">
        <f>Table13[[#This Row],[Benefit Option]]</f>
        <v>0</v>
      </c>
      <c r="O220" s="284">
        <f>IF(OR(Table2[[#This Row],[Member Type]]="Spouse",Table2[[#This Row],[Member Type]]="Child"),0,
IF(_xlfn.XLOOKUP($N220,Lookups!$D$13:$D$27,Lookups!$F$13:$F$27,0)=Table2[[#This Row],[Table Lookup for Life Cover]],0,
_xlfn.XLOOKUP($N220,Lookups!$D$13:$D$27,Lookups!$F$13:$F$27,0)))</f>
        <v>0</v>
      </c>
      <c r="P220" s="284">
        <f>IF(Table2[[#This Row],[Table Lookup for Funeral]]=0,0,IFERROR(INDEX('Quotation Tool'!$S$54:$V$60,MATCH($T220,'Quotation Tool'!$S$54:$S$60,0),3),0))</f>
        <v>0</v>
      </c>
      <c r="Q220" s="288">
        <f ca="1">IF(OR(Table2[[#This Row],[Benefit Name]]="My Value Plus Life - Main Member",Table2[[#This Row],[Benefit Name]]="My Value Plus Life - Spouse"),0,
IFERROR(VLOOKUP($G220,INDIRECT($O220),$P220,FALSE),0))</f>
        <v>0</v>
      </c>
      <c r="R220" s="288">
        <f ca="1">IF(OR(Table2[[#This Row],[Benefit Name]]="My Value Plus Life - Main Member",Table2[[#This Row],[Benefit Name]]="My Value Plus Life - Spouse"),0,
IFERROR(VLOOKUP($G220,INDIRECT($O220),$P220+1,FALSE),0))</f>
        <v>0</v>
      </c>
      <c r="S220" s="289">
        <f t="shared" ca="1" si="24"/>
        <v>0</v>
      </c>
      <c r="T220" s="284" t="str">
        <f>IF(Table13[[#This Row],[Premium Waiver]]="","None",Table13[[#This Row],[Premium Waiver]])</f>
        <v>None</v>
      </c>
      <c r="U220" s="284">
        <f>Table13[[#This Row],[VAPs Options]]</f>
        <v>0</v>
      </c>
      <c r="V220" s="284">
        <f>Table13[[#This Row],[Annual Increase Option]]</f>
        <v>0</v>
      </c>
      <c r="W220" s="290">
        <f>Table13[[#This Row],[Life Cover Amount]]</f>
        <v>0</v>
      </c>
      <c r="X220" s="290">
        <f>Table13[[#This Row],[Funeral Cover Amount]]</f>
        <v>0</v>
      </c>
      <c r="Y22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2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20" s="301">
        <f t="shared" ca="1" si="25"/>
        <v>0</v>
      </c>
      <c r="AB220" s="298"/>
      <c r="AC220" s="326" t="str">
        <f>IF(Table2[[#This Row],[Member Type]]="Main Member",Lookups!$C$13,
IF(Table2[[#This Row],[Member Type]]="Spouse",_xlfn.XLOOKUP(B220,Table2[Main Member Link ID],Table2[Product Option],0),
IF(AND(Table2[[#This Row],[Member Type]]="Child",_xlfn.XLOOKUP(B220,Table2[Main Member Link ID],Table2[Product Option],0)&lt;&gt;"My Value Plus Life"),Lookups!$C$24,
IF(AND(OR(Table2[[#This Row],[Member Type]]="Parent",Table2[[#This Row],[Member Type]]="Extended"),_xlfn.XLOOKUP(B220,Table2[Main Member Link ID],Table2[Product Option],0)&lt;&gt;"My Value Plus Life"),Lookups!$C$26,""))))</f>
        <v/>
      </c>
      <c r="AD220" s="326" t="str">
        <f>IF(Table2[[#This Row],[Member Type]]="Main Member",Lookups!$C$14,"")</f>
        <v/>
      </c>
      <c r="AE22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Funeral",_xlfn.XLOOKUP(B220,Table2[Main Member Link ID],Table2[Benefit Name],0)=Lookups!$D$14),"",
IF(AND(Table2[[#This Row],[Member Type]]="Spouse",Table2[[#This Row],[Product Option]]="My Value Plus Life &amp; Funeral",_xlfn.XLOOKUP(B219,Table2[Main Member Link ID],Table2[Benefit Name],0)=Lookups!$D$15),Lookups!$D$20,
IF(AND(Table2[[#This Row],[Member Type]]="Spouse",Table2[[#This Row],[Product Option]]="My Value Plus Life &amp; Funeral",_xlfn.XLOOKUP(B219,Table2[Main Member Link ID],Table2[Benefit Name],0)=Lookups!$D$16),"",
IF(AND(Table2[[#This Row],[Member Type]]="Spouse",Table2[[#This Row],[Product Option]]="My Value Plus Life &amp; Funeral",_xlfn.XLOOKUP(B219,Table2[Main Member Link ID],Table2[Benefit Name],0)=Lookups!$D$17),Lookups!$D$21,
IF(AND(Table2[[#This Row],[Member Type]]="Child",Table2[[#This Row],[Product Option]]="My Value Plus Life &amp; Funeral",_xlfn.XLOOKUP(B220,Table2[Main Member Link ID],Table2[Benefit Name],0)=Lookups!$D$14),"",
IF(AND(Table2[[#This Row],[Member Type]]="Child",Table2[[#This Row],[Product Option]]="My Value Plus Life &amp; Funeral",_xlfn.XLOOKUP(B220,Table2[Main Member Link ID],Table2[Benefit Name],0)=Lookups!$D$15),"",
IF(AND(Table2[[#This Row],[Member Type]]="Child",Table2[[#This Row],[Product Option]]="My Value Plus Life &amp; Funeral",_xlfn.XLOOKUP(B220,Table2[Main Member Link ID],Table2[Benefit Name],0)=Lookups!$D$16),Lookups!$D$24,
IF(AND(Table2[[#This Row],[Member Type]]="Child",Table2[[#This Row],[Product Option]]="My Value Plus Life &amp; Funeral",_xlfn.XLOOKUP(B220,Table2[Main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Funeral",_xlfn.XLOOKUP(B220,Table2[Main Member Link ID],Table2[Benefit Name],0)&lt;&gt;Lookups!$D$14),
IF(_xlfn.XLOOKUP(B220,Table2[Main Member Link ID],Table2[Benefit Name],0)=0,"",_xlfn.XLOOKUP(B220,Table2[Main Member Link ID],Table2[Benefit Name],0)),"")))))))))))))))</f>
        <v/>
      </c>
      <c r="AF220" s="327" t="str">
        <f>IF(AND(Table2[[#This Row],[Member Type]]="Main Member",Table2[[#This Row],[Product Option]]="My Value Plus Life &amp; Funeral"),Lookups!$D$15,
IF(AND(Table2[[#This Row],[Member Type]]="Spouse",Table2[[#This Row],[Product Option]]="My Value Plus Life &amp; Funeral",_xlfn.XLOOKUP(B220,Table2[Main Member Link ID],Table2[Benefit Name],0)=Lookups!$D$14),"",
IF(AND(Table2[[#This Row],[Member Type]]="Spouse",Table2[[#This Row],[Product Option]]="My Value Plus Life &amp; Funeral",_xlfn.XLOOKUP(B219,Table2[Main Member Link ID],Table2[Benefit Name],0)=Lookups!$D$16),"",
IF(AND(Table2[[#This Row],[Member Type]]="Spouse",Table2[[#This Row],[Product Option]]="My Value Plus Life &amp; Funeral",_xlfn.XLOOKUP(B219,Table2[Main Member Link ID],Table2[Benefit Name],0)=Lookups!$D$15),"",
IF(AND(Table2[[#This Row],[Member Type]]="Spouse",Table2[[#This Row],[Product Option]]="My Value Plus Life &amp; Funeral",_xlfn.XLOOKUP(B219,Table2[Main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Funeral",_xlfn.XLOOKUP(B220,Table2[Main Member Link ID],Table2[Benefit Name],0)&lt;&gt;Lookups!$D$15),
IF(_xlfn.XLOOKUP(B220,Table2[Main Member Link ID],Table2[Benefit Name],0)=0,"",_xlfn.XLOOKUP(B220,Table2[Main Member Link ID],Table2[Benefit Name],0)),"")
))))))</f>
        <v/>
      </c>
      <c r="AG220" s="327" t="str">
        <f>IF(AND(Table2[[#This Row],[Member Type]]="Main Member",Table2[[#This Row],[Product Option]]="My Value Plus Life &amp; Funeral"),Lookups!$D$16,
IF(AND(Table2[[#This Row],[Member Type]]="Spouse",Table2[[#This Row],[Product Option]]="My Value Plus Life &amp; Funeral",_xlfn.XLOOKUP(B220,Table2[Main Member Link ID],Table2[Benefit Name],0)=Lookups!$D$14),"",
IF(AND(Table2[[#This Row],[Member Type]]="Spouse",Table2[[#This Row],[Product Option]]="My Value Plus Life &amp; Funeral",_xlfn.XLOOKUP(B219,Table2[Main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Funeral",_xlfn.XLOOKUP(B220,Table2[Main Member Link ID],Table2[Benefit Name],0)&lt;&gt;Lookups!$D$16),
IF(_xlfn.XLOOKUP(B220,Table2[Main Member Link ID],Table2[Benefit Name],0)=0,"",_xlfn.XLOOKUP(B220,Table2[Main Member Link ID],Table2[Benefit Name],0)),"")
))))</f>
        <v/>
      </c>
      <c r="AH220" s="327" t="str">
        <f>IF(AND(Table2[[#This Row],[Member Type]]="Main Member",Table2[[#This Row],[Product Option]]="My Value Plus Life &amp; Funeral"),Lookups!$D$17,
IF(AND(Table2[[#This Row],[Member Type]]="Spouse",Table2[[#This Row],[Product Option]]="My Value Plus Life &amp; Funeral",_xlfn.XLOOKUP(B220,Table2[Main Member Link ID],Table2[Benefit Name],0)=Lookups!$D$14),"",
IF(AND(Table2[[#This Row],[Member Type]]="Spouse",Table2[[#This Row],[Product Option]]="My Value Plus Life &amp; Funeral",_xlfn.XLOOKUP(B219,Table2[Main Member Link ID],Table2[Benefit Name],0)=Lookups!$D$16),"",
IF(AND(Table2[[#This Row],[Member Type]]="Child",Table2[[#This Row],[Product Option]]="My Value Plus Life &amp; Funeral"),"",
IF(AND(Table2[[#This Row],[Member Type]]="Child",Table2[[#This Row],[Product Option]]="My Value Plus Life &amp; Funeral",_xlfn.XLOOKUP(B220,Table2[Main Member Link ID],Table2[Benefit Name],0)=Lookups!$D$15),"",
IF(AND(OR(Table2[[#This Row],[Member Type]]="Spouse",Table2[[#This Row],[Member Type]]="Child"),Table2[[#This Row],[Product Option]]="My Value Plus Life &amp; Funeral",_xlfn.XLOOKUP(B220,Table2[Main Member Link ID],Table2[Benefit Name],0)&lt;&gt;Lookups!$D$17),
IF(_xlfn.XLOOKUP(B220,Table2[Main Member Link ID],Table2[Benefit Name],0)=0,"",_xlfn.XLOOKUP(B220,Table2[Main Member Link ID],Table2[Benefit Name],0)),""))))))</f>
        <v/>
      </c>
      <c r="AI220" s="328" t="str">
        <f>IF(AND(Table2[[#This Row],[Member Type]]="Main Member",Table2[[#This Row],[Table Lookup for Life Cover]]="MM_LIFE",Table2[[#This Row],[Age Next Birthday]]&lt;56),1,
IF(AND(Table2[[#This Row],[Member Type]]="Main Member",Table2[[#This Row],[Table Lookup for Life Cover]]="MM_LIFE",Table2[[#This Row],[Age Next Birthday]]&gt;=56),2,
""))</f>
        <v/>
      </c>
      <c r="AJ220" s="328">
        <f>IF(OR(Table2[[#This Row],[Member Type]]="Main Member",Table2[[#This Row],[Main Member Link ID]]=B219),1,0)</f>
        <v>1</v>
      </c>
      <c r="AK220" s="328">
        <f>IF(Table2[[#This Row],[Member Type]]=0,0,
IF(OR(Table2[[#This Row],[Member Type]]="Main Member",Table2[[#This Row],[Main Member Link ID]]&lt;&gt;B220),COUNTIFS(B:B,Table2[[#This Row],[Main Member Link ID]]),
COUNTIFS(B:B,Table2[[#This Row],[Main Member Link ID]],A:A,Table2[[#This Row],[Member Type]])))</f>
        <v>0</v>
      </c>
    </row>
    <row r="221" spans="1:37" x14ac:dyDescent="0.3">
      <c r="A221" s="284">
        <f>Table13[[#This Row],[Member Type]]</f>
        <v>0</v>
      </c>
      <c r="B221" s="284">
        <f>Table13[[#This Row],[Main Member Link ID]]</f>
        <v>0</v>
      </c>
      <c r="C221" s="284">
        <f>Table13[[#This Row],[ID Number]]</f>
        <v>0</v>
      </c>
      <c r="D221" s="285">
        <f>Table13[[#This Row],[Date Of Birth]]</f>
        <v>0</v>
      </c>
      <c r="E221" s="285">
        <f>Table13[[#This Row],[Commencement Date]]</f>
        <v>0</v>
      </c>
      <c r="F221" s="284">
        <f t="shared" si="21"/>
        <v>1</v>
      </c>
      <c r="G221" s="284">
        <f t="shared" si="22"/>
        <v>25</v>
      </c>
      <c r="H221" s="286">
        <f>Table13[[#This Row],[Product Option]]</f>
        <v>0</v>
      </c>
      <c r="I221" s="284">
        <f>IF(AND($A221="Main Member",Table2[[#This Row],[Product Option]]="My Value Plus Life"),"MM_LIFE",
IF(AND($A221="Spouse",Table2[[#This Row],[Product Option]]="My Value Plus Life"),"SP_LIFE",
IF(AND($A221="Main Member",Table2[[#This Row],[Product Option]]="My Value Plus Life &amp; Funeral"),"MM_LIFE",
IF(AND($A221="Spouse",Table2[[#This Row],[Product Option]]="My Value Plus Life &amp; Funeral"),_xlfn.XLOOKUP(Table2[[#This Row],[Benefit Name]],Lookups!$D$18:$D$23,Lookups!$E$18:$E$23,0),
0))))</f>
        <v>0</v>
      </c>
      <c r="J221" s="284">
        <f>IF($I221="","",
IF($I221="MM_LIFE",INDEX('Quotation Tool'!$S$54:$V$60,MATCH($T221,'Quotation Tool'!$S$54:$S$60,0),4),
IF($I221="SP_LIFE",_xlfn.XLOOKUP(B220,$B:$B,$J:$J,0),0)))</f>
        <v>0</v>
      </c>
      <c r="K221" s="287">
        <f t="shared" ca="1" si="26"/>
        <v>0</v>
      </c>
      <c r="L221" s="288">
        <f t="shared" ca="1" si="27"/>
        <v>0</v>
      </c>
      <c r="M221" s="289">
        <f t="shared" ca="1" si="23"/>
        <v>0</v>
      </c>
      <c r="N221" s="286">
        <f>Table13[[#This Row],[Benefit Option]]</f>
        <v>0</v>
      </c>
      <c r="O221" s="284">
        <f>IF(OR(Table2[[#This Row],[Member Type]]="Spouse",Table2[[#This Row],[Member Type]]="Child"),0,
IF(_xlfn.XLOOKUP($N221,Lookups!$D$13:$D$27,Lookups!$F$13:$F$27,0)=Table2[[#This Row],[Table Lookup for Life Cover]],0,
_xlfn.XLOOKUP($N221,Lookups!$D$13:$D$27,Lookups!$F$13:$F$27,0)))</f>
        <v>0</v>
      </c>
      <c r="P221" s="284">
        <f>IF(Table2[[#This Row],[Table Lookup for Funeral]]=0,0,IFERROR(INDEX('Quotation Tool'!$S$54:$V$60,MATCH($T221,'Quotation Tool'!$S$54:$S$60,0),3),0))</f>
        <v>0</v>
      </c>
      <c r="Q221" s="288">
        <f ca="1">IF(OR(Table2[[#This Row],[Benefit Name]]="My Value Plus Life - Main Member",Table2[[#This Row],[Benefit Name]]="My Value Plus Life - Spouse"),0,
IFERROR(VLOOKUP($G221,INDIRECT($O221),$P221,FALSE),0))</f>
        <v>0</v>
      </c>
      <c r="R221" s="288">
        <f ca="1">IF(OR(Table2[[#This Row],[Benefit Name]]="My Value Plus Life - Main Member",Table2[[#This Row],[Benefit Name]]="My Value Plus Life - Spouse"),0,
IFERROR(VLOOKUP($G221,INDIRECT($O221),$P221+1,FALSE),0))</f>
        <v>0</v>
      </c>
      <c r="S221" s="289">
        <f t="shared" ca="1" si="24"/>
        <v>0</v>
      </c>
      <c r="T221" s="284" t="str">
        <f>IF(Table13[[#This Row],[Premium Waiver]]="","None",Table13[[#This Row],[Premium Waiver]])</f>
        <v>None</v>
      </c>
      <c r="U221" s="284">
        <f>Table13[[#This Row],[VAPs Options]]</f>
        <v>0</v>
      </c>
      <c r="V221" s="284">
        <f>Table13[[#This Row],[Annual Increase Option]]</f>
        <v>0</v>
      </c>
      <c r="W221" s="290">
        <f>Table13[[#This Row],[Life Cover Amount]]</f>
        <v>0</v>
      </c>
      <c r="X221" s="290">
        <f>Table13[[#This Row],[Funeral Cover Amount]]</f>
        <v>0</v>
      </c>
      <c r="Y22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2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21" s="301">
        <f t="shared" ca="1" si="25"/>
        <v>0</v>
      </c>
      <c r="AB221" s="298"/>
      <c r="AC221" s="326" t="str">
        <f>IF(Table2[[#This Row],[Member Type]]="Main Member",Lookups!$C$13,
IF(Table2[[#This Row],[Member Type]]="Spouse",_xlfn.XLOOKUP(B221,Table2[Main Member Link ID],Table2[Product Option],0),
IF(AND(Table2[[#This Row],[Member Type]]="Child",_xlfn.XLOOKUP(B221,Table2[Main Member Link ID],Table2[Product Option],0)&lt;&gt;"My Value Plus Life"),Lookups!$C$24,
IF(AND(OR(Table2[[#This Row],[Member Type]]="Parent",Table2[[#This Row],[Member Type]]="Extended"),_xlfn.XLOOKUP(B221,Table2[Main Member Link ID],Table2[Product Option],0)&lt;&gt;"My Value Plus Life"),Lookups!$C$26,""))))</f>
        <v/>
      </c>
      <c r="AD221" s="326" t="str">
        <f>IF(Table2[[#This Row],[Member Type]]="Main Member",Lookups!$C$14,"")</f>
        <v/>
      </c>
      <c r="AE22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Funeral",_xlfn.XLOOKUP(B221,Table2[Main Member Link ID],Table2[Benefit Name],0)=Lookups!$D$14),"",
IF(AND(Table2[[#This Row],[Member Type]]="Spouse",Table2[[#This Row],[Product Option]]="My Value Plus Life &amp; Funeral",_xlfn.XLOOKUP(B220,Table2[Main Member Link ID],Table2[Benefit Name],0)=Lookups!$D$15),Lookups!$D$20,
IF(AND(Table2[[#This Row],[Member Type]]="Spouse",Table2[[#This Row],[Product Option]]="My Value Plus Life &amp; Funeral",_xlfn.XLOOKUP(B220,Table2[Main Member Link ID],Table2[Benefit Name],0)=Lookups!$D$16),"",
IF(AND(Table2[[#This Row],[Member Type]]="Spouse",Table2[[#This Row],[Product Option]]="My Value Plus Life &amp; Funeral",_xlfn.XLOOKUP(B220,Table2[Main Member Link ID],Table2[Benefit Name],0)=Lookups!$D$17),Lookups!$D$21,
IF(AND(Table2[[#This Row],[Member Type]]="Child",Table2[[#This Row],[Product Option]]="My Value Plus Life &amp; Funeral",_xlfn.XLOOKUP(B221,Table2[Main Member Link ID],Table2[Benefit Name],0)=Lookups!$D$14),"",
IF(AND(Table2[[#This Row],[Member Type]]="Child",Table2[[#This Row],[Product Option]]="My Value Plus Life &amp; Funeral",_xlfn.XLOOKUP(B221,Table2[Main Member Link ID],Table2[Benefit Name],0)=Lookups!$D$15),"",
IF(AND(Table2[[#This Row],[Member Type]]="Child",Table2[[#This Row],[Product Option]]="My Value Plus Life &amp; Funeral",_xlfn.XLOOKUP(B221,Table2[Main Member Link ID],Table2[Benefit Name],0)=Lookups!$D$16),Lookups!$D$24,
IF(AND(Table2[[#This Row],[Member Type]]="Child",Table2[[#This Row],[Product Option]]="My Value Plus Life &amp; Funeral",_xlfn.XLOOKUP(B221,Table2[Main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Funeral",_xlfn.XLOOKUP(B221,Table2[Main Member Link ID],Table2[Benefit Name],0)&lt;&gt;Lookups!$D$14),
IF(_xlfn.XLOOKUP(B221,Table2[Main Member Link ID],Table2[Benefit Name],0)=0,"",_xlfn.XLOOKUP(B221,Table2[Main Member Link ID],Table2[Benefit Name],0)),"")))))))))))))))</f>
        <v/>
      </c>
      <c r="AF221" s="327" t="str">
        <f>IF(AND(Table2[[#This Row],[Member Type]]="Main Member",Table2[[#This Row],[Product Option]]="My Value Plus Life &amp; Funeral"),Lookups!$D$15,
IF(AND(Table2[[#This Row],[Member Type]]="Spouse",Table2[[#This Row],[Product Option]]="My Value Plus Life &amp; Funeral",_xlfn.XLOOKUP(B221,Table2[Main Member Link ID],Table2[Benefit Name],0)=Lookups!$D$14),"",
IF(AND(Table2[[#This Row],[Member Type]]="Spouse",Table2[[#This Row],[Product Option]]="My Value Plus Life &amp; Funeral",_xlfn.XLOOKUP(B220,Table2[Main Member Link ID],Table2[Benefit Name],0)=Lookups!$D$16),"",
IF(AND(Table2[[#This Row],[Member Type]]="Spouse",Table2[[#This Row],[Product Option]]="My Value Plus Life &amp; Funeral",_xlfn.XLOOKUP(B220,Table2[Main Member Link ID],Table2[Benefit Name],0)=Lookups!$D$15),"",
IF(AND(Table2[[#This Row],[Member Type]]="Spouse",Table2[[#This Row],[Product Option]]="My Value Plus Life &amp; Funeral",_xlfn.XLOOKUP(B220,Table2[Main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Funeral",_xlfn.XLOOKUP(B221,Table2[Main Member Link ID],Table2[Benefit Name],0)&lt;&gt;Lookups!$D$15),
IF(_xlfn.XLOOKUP(B221,Table2[Main Member Link ID],Table2[Benefit Name],0)=0,"",_xlfn.XLOOKUP(B221,Table2[Main Member Link ID],Table2[Benefit Name],0)),"")
))))))</f>
        <v/>
      </c>
      <c r="AG221" s="327" t="str">
        <f>IF(AND(Table2[[#This Row],[Member Type]]="Main Member",Table2[[#This Row],[Product Option]]="My Value Plus Life &amp; Funeral"),Lookups!$D$16,
IF(AND(Table2[[#This Row],[Member Type]]="Spouse",Table2[[#This Row],[Product Option]]="My Value Plus Life &amp; Funeral",_xlfn.XLOOKUP(B221,Table2[Main Member Link ID],Table2[Benefit Name],0)=Lookups!$D$14),"",
IF(AND(Table2[[#This Row],[Member Type]]="Spouse",Table2[[#This Row],[Product Option]]="My Value Plus Life &amp; Funeral",_xlfn.XLOOKUP(B220,Table2[Main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Funeral",_xlfn.XLOOKUP(B221,Table2[Main Member Link ID],Table2[Benefit Name],0)&lt;&gt;Lookups!$D$16),
IF(_xlfn.XLOOKUP(B221,Table2[Main Member Link ID],Table2[Benefit Name],0)=0,"",_xlfn.XLOOKUP(B221,Table2[Main Member Link ID],Table2[Benefit Name],0)),"")
))))</f>
        <v/>
      </c>
      <c r="AH221" s="327" t="str">
        <f>IF(AND(Table2[[#This Row],[Member Type]]="Main Member",Table2[[#This Row],[Product Option]]="My Value Plus Life &amp; Funeral"),Lookups!$D$17,
IF(AND(Table2[[#This Row],[Member Type]]="Spouse",Table2[[#This Row],[Product Option]]="My Value Plus Life &amp; Funeral",_xlfn.XLOOKUP(B221,Table2[Main Member Link ID],Table2[Benefit Name],0)=Lookups!$D$14),"",
IF(AND(Table2[[#This Row],[Member Type]]="Spouse",Table2[[#This Row],[Product Option]]="My Value Plus Life &amp; Funeral",_xlfn.XLOOKUP(B220,Table2[Main Member Link ID],Table2[Benefit Name],0)=Lookups!$D$16),"",
IF(AND(Table2[[#This Row],[Member Type]]="Child",Table2[[#This Row],[Product Option]]="My Value Plus Life &amp; Funeral"),"",
IF(AND(Table2[[#This Row],[Member Type]]="Child",Table2[[#This Row],[Product Option]]="My Value Plus Life &amp; Funeral",_xlfn.XLOOKUP(B221,Table2[Main Member Link ID],Table2[Benefit Name],0)=Lookups!$D$15),"",
IF(AND(OR(Table2[[#This Row],[Member Type]]="Spouse",Table2[[#This Row],[Member Type]]="Child"),Table2[[#This Row],[Product Option]]="My Value Plus Life &amp; Funeral",_xlfn.XLOOKUP(B221,Table2[Main Member Link ID],Table2[Benefit Name],0)&lt;&gt;Lookups!$D$17),
IF(_xlfn.XLOOKUP(B221,Table2[Main Member Link ID],Table2[Benefit Name],0)=0,"",_xlfn.XLOOKUP(B221,Table2[Main Member Link ID],Table2[Benefit Name],0)),""))))))</f>
        <v/>
      </c>
      <c r="AI221" s="328" t="str">
        <f>IF(AND(Table2[[#This Row],[Member Type]]="Main Member",Table2[[#This Row],[Table Lookup for Life Cover]]="MM_LIFE",Table2[[#This Row],[Age Next Birthday]]&lt;56),1,
IF(AND(Table2[[#This Row],[Member Type]]="Main Member",Table2[[#This Row],[Table Lookup for Life Cover]]="MM_LIFE",Table2[[#This Row],[Age Next Birthday]]&gt;=56),2,
""))</f>
        <v/>
      </c>
      <c r="AJ221" s="328">
        <f>IF(OR(Table2[[#This Row],[Member Type]]="Main Member",Table2[[#This Row],[Main Member Link ID]]=B220),1,0)</f>
        <v>1</v>
      </c>
      <c r="AK221" s="328">
        <f>IF(Table2[[#This Row],[Member Type]]=0,0,
IF(OR(Table2[[#This Row],[Member Type]]="Main Member",Table2[[#This Row],[Main Member Link ID]]&lt;&gt;B221),COUNTIFS(B:B,Table2[[#This Row],[Main Member Link ID]]),
COUNTIFS(B:B,Table2[[#This Row],[Main Member Link ID]],A:A,Table2[[#This Row],[Member Type]])))</f>
        <v>0</v>
      </c>
    </row>
    <row r="222" spans="1:37" x14ac:dyDescent="0.3">
      <c r="A222" s="284">
        <f>Table13[[#This Row],[Member Type]]</f>
        <v>0</v>
      </c>
      <c r="B222" s="284">
        <f>Table13[[#This Row],[Main Member Link ID]]</f>
        <v>0</v>
      </c>
      <c r="C222" s="284">
        <f>Table13[[#This Row],[ID Number]]</f>
        <v>0</v>
      </c>
      <c r="D222" s="285">
        <f>Table13[[#This Row],[Date Of Birth]]</f>
        <v>0</v>
      </c>
      <c r="E222" s="285">
        <f>Table13[[#This Row],[Commencement Date]]</f>
        <v>0</v>
      </c>
      <c r="F222" s="284">
        <f t="shared" si="21"/>
        <v>1</v>
      </c>
      <c r="G222" s="284">
        <f t="shared" si="22"/>
        <v>25</v>
      </c>
      <c r="H222" s="286">
        <f>Table13[[#This Row],[Product Option]]</f>
        <v>0</v>
      </c>
      <c r="I222" s="284">
        <f>IF(AND($A222="Main Member",Table2[[#This Row],[Product Option]]="My Value Plus Life"),"MM_LIFE",
IF(AND($A222="Spouse",Table2[[#This Row],[Product Option]]="My Value Plus Life"),"SP_LIFE",
IF(AND($A222="Main Member",Table2[[#This Row],[Product Option]]="My Value Plus Life &amp; Funeral"),"MM_LIFE",
IF(AND($A222="Spouse",Table2[[#This Row],[Product Option]]="My Value Plus Life &amp; Funeral"),_xlfn.XLOOKUP(Table2[[#This Row],[Benefit Name]],Lookups!$D$18:$D$23,Lookups!$E$18:$E$23,0),
0))))</f>
        <v>0</v>
      </c>
      <c r="J222" s="284">
        <f>IF($I222="","",
IF($I222="MM_LIFE",INDEX('Quotation Tool'!$S$54:$V$60,MATCH($T222,'Quotation Tool'!$S$54:$S$60,0),4),
IF($I222="SP_LIFE",_xlfn.XLOOKUP(B221,$B:$B,$J:$J,0),0)))</f>
        <v>0</v>
      </c>
      <c r="K222" s="287">
        <f t="shared" ca="1" si="26"/>
        <v>0</v>
      </c>
      <c r="L222" s="288">
        <f t="shared" ca="1" si="27"/>
        <v>0</v>
      </c>
      <c r="M222" s="289">
        <f t="shared" ca="1" si="23"/>
        <v>0</v>
      </c>
      <c r="N222" s="286">
        <f>Table13[[#This Row],[Benefit Option]]</f>
        <v>0</v>
      </c>
      <c r="O222" s="284">
        <f>IF(OR(Table2[[#This Row],[Member Type]]="Spouse",Table2[[#This Row],[Member Type]]="Child"),0,
IF(_xlfn.XLOOKUP($N222,Lookups!$D$13:$D$27,Lookups!$F$13:$F$27,0)=Table2[[#This Row],[Table Lookup for Life Cover]],0,
_xlfn.XLOOKUP($N222,Lookups!$D$13:$D$27,Lookups!$F$13:$F$27,0)))</f>
        <v>0</v>
      </c>
      <c r="P222" s="284">
        <f>IF(Table2[[#This Row],[Table Lookup for Funeral]]=0,0,IFERROR(INDEX('Quotation Tool'!$S$54:$V$60,MATCH($T222,'Quotation Tool'!$S$54:$S$60,0),3),0))</f>
        <v>0</v>
      </c>
      <c r="Q222" s="288">
        <f ca="1">IF(OR(Table2[[#This Row],[Benefit Name]]="My Value Plus Life - Main Member",Table2[[#This Row],[Benefit Name]]="My Value Plus Life - Spouse"),0,
IFERROR(VLOOKUP($G222,INDIRECT($O222),$P222,FALSE),0))</f>
        <v>0</v>
      </c>
      <c r="R222" s="288">
        <f ca="1">IF(OR(Table2[[#This Row],[Benefit Name]]="My Value Plus Life - Main Member",Table2[[#This Row],[Benefit Name]]="My Value Plus Life - Spouse"),0,
IFERROR(VLOOKUP($G222,INDIRECT($O222),$P222+1,FALSE),0))</f>
        <v>0</v>
      </c>
      <c r="S222" s="289">
        <f t="shared" ca="1" si="24"/>
        <v>0</v>
      </c>
      <c r="T222" s="284" t="str">
        <f>IF(Table13[[#This Row],[Premium Waiver]]="","None",Table13[[#This Row],[Premium Waiver]])</f>
        <v>None</v>
      </c>
      <c r="U222" s="284">
        <f>Table13[[#This Row],[VAPs Options]]</f>
        <v>0</v>
      </c>
      <c r="V222" s="284">
        <f>Table13[[#This Row],[Annual Increase Option]]</f>
        <v>0</v>
      </c>
      <c r="W222" s="290">
        <f>Table13[[#This Row],[Life Cover Amount]]</f>
        <v>0</v>
      </c>
      <c r="X222" s="290">
        <f>Table13[[#This Row],[Funeral Cover Amount]]</f>
        <v>0</v>
      </c>
      <c r="Y22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2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22" s="301">
        <f t="shared" ca="1" si="25"/>
        <v>0</v>
      </c>
      <c r="AB222" s="298"/>
      <c r="AC222" s="326" t="str">
        <f>IF(Table2[[#This Row],[Member Type]]="Main Member",Lookups!$C$13,
IF(Table2[[#This Row],[Member Type]]="Spouse",_xlfn.XLOOKUP(B222,Table2[Main Member Link ID],Table2[Product Option],0),
IF(AND(Table2[[#This Row],[Member Type]]="Child",_xlfn.XLOOKUP(B222,Table2[Main Member Link ID],Table2[Product Option],0)&lt;&gt;"My Value Plus Life"),Lookups!$C$24,
IF(AND(OR(Table2[[#This Row],[Member Type]]="Parent",Table2[[#This Row],[Member Type]]="Extended"),_xlfn.XLOOKUP(B222,Table2[Main Member Link ID],Table2[Product Option],0)&lt;&gt;"My Value Plus Life"),Lookups!$C$26,""))))</f>
        <v/>
      </c>
      <c r="AD222" s="326" t="str">
        <f>IF(Table2[[#This Row],[Member Type]]="Main Member",Lookups!$C$14,"")</f>
        <v/>
      </c>
      <c r="AE22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Funeral",_xlfn.XLOOKUP(B222,Table2[Main Member Link ID],Table2[Benefit Name],0)=Lookups!$D$14),"",
IF(AND(Table2[[#This Row],[Member Type]]="Spouse",Table2[[#This Row],[Product Option]]="My Value Plus Life &amp; Funeral",_xlfn.XLOOKUP(B221,Table2[Main Member Link ID],Table2[Benefit Name],0)=Lookups!$D$15),Lookups!$D$20,
IF(AND(Table2[[#This Row],[Member Type]]="Spouse",Table2[[#This Row],[Product Option]]="My Value Plus Life &amp; Funeral",_xlfn.XLOOKUP(B221,Table2[Main Member Link ID],Table2[Benefit Name],0)=Lookups!$D$16),"",
IF(AND(Table2[[#This Row],[Member Type]]="Spouse",Table2[[#This Row],[Product Option]]="My Value Plus Life &amp; Funeral",_xlfn.XLOOKUP(B221,Table2[Main Member Link ID],Table2[Benefit Name],0)=Lookups!$D$17),Lookups!$D$21,
IF(AND(Table2[[#This Row],[Member Type]]="Child",Table2[[#This Row],[Product Option]]="My Value Plus Life &amp; Funeral",_xlfn.XLOOKUP(B222,Table2[Main Member Link ID],Table2[Benefit Name],0)=Lookups!$D$14),"",
IF(AND(Table2[[#This Row],[Member Type]]="Child",Table2[[#This Row],[Product Option]]="My Value Plus Life &amp; Funeral",_xlfn.XLOOKUP(B222,Table2[Main Member Link ID],Table2[Benefit Name],0)=Lookups!$D$15),"",
IF(AND(Table2[[#This Row],[Member Type]]="Child",Table2[[#This Row],[Product Option]]="My Value Plus Life &amp; Funeral",_xlfn.XLOOKUP(B222,Table2[Main Member Link ID],Table2[Benefit Name],0)=Lookups!$D$16),Lookups!$D$24,
IF(AND(Table2[[#This Row],[Member Type]]="Child",Table2[[#This Row],[Product Option]]="My Value Plus Life &amp; Funeral",_xlfn.XLOOKUP(B222,Table2[Main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Funeral",_xlfn.XLOOKUP(B222,Table2[Main Member Link ID],Table2[Benefit Name],0)&lt;&gt;Lookups!$D$14),
IF(_xlfn.XLOOKUP(B222,Table2[Main Member Link ID],Table2[Benefit Name],0)=0,"",_xlfn.XLOOKUP(B222,Table2[Main Member Link ID],Table2[Benefit Name],0)),"")))))))))))))))</f>
        <v/>
      </c>
      <c r="AF222" s="327" t="str">
        <f>IF(AND(Table2[[#This Row],[Member Type]]="Main Member",Table2[[#This Row],[Product Option]]="My Value Plus Life &amp; Funeral"),Lookups!$D$15,
IF(AND(Table2[[#This Row],[Member Type]]="Spouse",Table2[[#This Row],[Product Option]]="My Value Plus Life &amp; Funeral",_xlfn.XLOOKUP(B222,Table2[Main Member Link ID],Table2[Benefit Name],0)=Lookups!$D$14),"",
IF(AND(Table2[[#This Row],[Member Type]]="Spouse",Table2[[#This Row],[Product Option]]="My Value Plus Life &amp; Funeral",_xlfn.XLOOKUP(B221,Table2[Main Member Link ID],Table2[Benefit Name],0)=Lookups!$D$16),"",
IF(AND(Table2[[#This Row],[Member Type]]="Spouse",Table2[[#This Row],[Product Option]]="My Value Plus Life &amp; Funeral",_xlfn.XLOOKUP(B221,Table2[Main Member Link ID],Table2[Benefit Name],0)=Lookups!$D$15),"",
IF(AND(Table2[[#This Row],[Member Type]]="Spouse",Table2[[#This Row],[Product Option]]="My Value Plus Life &amp; Funeral",_xlfn.XLOOKUP(B221,Table2[Main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Funeral",_xlfn.XLOOKUP(B222,Table2[Main Member Link ID],Table2[Benefit Name],0)&lt;&gt;Lookups!$D$15),
IF(_xlfn.XLOOKUP(B222,Table2[Main Member Link ID],Table2[Benefit Name],0)=0,"",_xlfn.XLOOKUP(B222,Table2[Main Member Link ID],Table2[Benefit Name],0)),"")
))))))</f>
        <v/>
      </c>
      <c r="AG222" s="327" t="str">
        <f>IF(AND(Table2[[#This Row],[Member Type]]="Main Member",Table2[[#This Row],[Product Option]]="My Value Plus Life &amp; Funeral"),Lookups!$D$16,
IF(AND(Table2[[#This Row],[Member Type]]="Spouse",Table2[[#This Row],[Product Option]]="My Value Plus Life &amp; Funeral",_xlfn.XLOOKUP(B222,Table2[Main Member Link ID],Table2[Benefit Name],0)=Lookups!$D$14),"",
IF(AND(Table2[[#This Row],[Member Type]]="Spouse",Table2[[#This Row],[Product Option]]="My Value Plus Life &amp; Funeral",_xlfn.XLOOKUP(B221,Table2[Main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Funeral",_xlfn.XLOOKUP(B222,Table2[Main Member Link ID],Table2[Benefit Name],0)&lt;&gt;Lookups!$D$16),
IF(_xlfn.XLOOKUP(B222,Table2[Main Member Link ID],Table2[Benefit Name],0)=0,"",_xlfn.XLOOKUP(B222,Table2[Main Member Link ID],Table2[Benefit Name],0)),"")
))))</f>
        <v/>
      </c>
      <c r="AH222" s="327" t="str">
        <f>IF(AND(Table2[[#This Row],[Member Type]]="Main Member",Table2[[#This Row],[Product Option]]="My Value Plus Life &amp; Funeral"),Lookups!$D$17,
IF(AND(Table2[[#This Row],[Member Type]]="Spouse",Table2[[#This Row],[Product Option]]="My Value Plus Life &amp; Funeral",_xlfn.XLOOKUP(B222,Table2[Main Member Link ID],Table2[Benefit Name],0)=Lookups!$D$14),"",
IF(AND(Table2[[#This Row],[Member Type]]="Spouse",Table2[[#This Row],[Product Option]]="My Value Plus Life &amp; Funeral",_xlfn.XLOOKUP(B221,Table2[Main Member Link ID],Table2[Benefit Name],0)=Lookups!$D$16),"",
IF(AND(Table2[[#This Row],[Member Type]]="Child",Table2[[#This Row],[Product Option]]="My Value Plus Life &amp; Funeral"),"",
IF(AND(Table2[[#This Row],[Member Type]]="Child",Table2[[#This Row],[Product Option]]="My Value Plus Life &amp; Funeral",_xlfn.XLOOKUP(B222,Table2[Main Member Link ID],Table2[Benefit Name],0)=Lookups!$D$15),"",
IF(AND(OR(Table2[[#This Row],[Member Type]]="Spouse",Table2[[#This Row],[Member Type]]="Child"),Table2[[#This Row],[Product Option]]="My Value Plus Life &amp; Funeral",_xlfn.XLOOKUP(B222,Table2[Main Member Link ID],Table2[Benefit Name],0)&lt;&gt;Lookups!$D$17),
IF(_xlfn.XLOOKUP(B222,Table2[Main Member Link ID],Table2[Benefit Name],0)=0,"",_xlfn.XLOOKUP(B222,Table2[Main Member Link ID],Table2[Benefit Name],0)),""))))))</f>
        <v/>
      </c>
      <c r="AI222" s="328" t="str">
        <f>IF(AND(Table2[[#This Row],[Member Type]]="Main Member",Table2[[#This Row],[Table Lookup for Life Cover]]="MM_LIFE",Table2[[#This Row],[Age Next Birthday]]&lt;56),1,
IF(AND(Table2[[#This Row],[Member Type]]="Main Member",Table2[[#This Row],[Table Lookup for Life Cover]]="MM_LIFE",Table2[[#This Row],[Age Next Birthday]]&gt;=56),2,
""))</f>
        <v/>
      </c>
      <c r="AJ222" s="328">
        <f>IF(OR(Table2[[#This Row],[Member Type]]="Main Member",Table2[[#This Row],[Main Member Link ID]]=B221),1,0)</f>
        <v>1</v>
      </c>
      <c r="AK222" s="328">
        <f>IF(Table2[[#This Row],[Member Type]]=0,0,
IF(OR(Table2[[#This Row],[Member Type]]="Main Member",Table2[[#This Row],[Main Member Link ID]]&lt;&gt;B222),COUNTIFS(B:B,Table2[[#This Row],[Main Member Link ID]]),
COUNTIFS(B:B,Table2[[#This Row],[Main Member Link ID]],A:A,Table2[[#This Row],[Member Type]])))</f>
        <v>0</v>
      </c>
    </row>
    <row r="223" spans="1:37" x14ac:dyDescent="0.3">
      <c r="A223" s="284">
        <f>Table13[[#This Row],[Member Type]]</f>
        <v>0</v>
      </c>
      <c r="B223" s="284">
        <f>Table13[[#This Row],[Main Member Link ID]]</f>
        <v>0</v>
      </c>
      <c r="C223" s="284">
        <f>Table13[[#This Row],[ID Number]]</f>
        <v>0</v>
      </c>
      <c r="D223" s="285">
        <f>Table13[[#This Row],[Date Of Birth]]</f>
        <v>0</v>
      </c>
      <c r="E223" s="285">
        <f>Table13[[#This Row],[Commencement Date]]</f>
        <v>0</v>
      </c>
      <c r="F223" s="284">
        <f t="shared" si="21"/>
        <v>1</v>
      </c>
      <c r="G223" s="284">
        <f t="shared" si="22"/>
        <v>25</v>
      </c>
      <c r="H223" s="286">
        <f>Table13[[#This Row],[Product Option]]</f>
        <v>0</v>
      </c>
      <c r="I223" s="284">
        <f>IF(AND($A223="Main Member",Table2[[#This Row],[Product Option]]="My Value Plus Life"),"MM_LIFE",
IF(AND($A223="Spouse",Table2[[#This Row],[Product Option]]="My Value Plus Life"),"SP_LIFE",
IF(AND($A223="Main Member",Table2[[#This Row],[Product Option]]="My Value Plus Life &amp; Funeral"),"MM_LIFE",
IF(AND($A223="Spouse",Table2[[#This Row],[Product Option]]="My Value Plus Life &amp; Funeral"),_xlfn.XLOOKUP(Table2[[#This Row],[Benefit Name]],Lookups!$D$18:$D$23,Lookups!$E$18:$E$23,0),
0))))</f>
        <v>0</v>
      </c>
      <c r="J223" s="284">
        <f>IF($I223="","",
IF($I223="MM_LIFE",INDEX('Quotation Tool'!$S$54:$V$60,MATCH($T223,'Quotation Tool'!$S$54:$S$60,0),4),
IF($I223="SP_LIFE",_xlfn.XLOOKUP(B222,$B:$B,$J:$J,0),0)))</f>
        <v>0</v>
      </c>
      <c r="K223" s="287">
        <f t="shared" ca="1" si="26"/>
        <v>0</v>
      </c>
      <c r="L223" s="288">
        <f t="shared" ca="1" si="27"/>
        <v>0</v>
      </c>
      <c r="M223" s="289">
        <f t="shared" ca="1" si="23"/>
        <v>0</v>
      </c>
      <c r="N223" s="286">
        <f>Table13[[#This Row],[Benefit Option]]</f>
        <v>0</v>
      </c>
      <c r="O223" s="284">
        <f>IF(OR(Table2[[#This Row],[Member Type]]="Spouse",Table2[[#This Row],[Member Type]]="Child"),0,
IF(_xlfn.XLOOKUP($N223,Lookups!$D$13:$D$27,Lookups!$F$13:$F$27,0)=Table2[[#This Row],[Table Lookup for Life Cover]],0,
_xlfn.XLOOKUP($N223,Lookups!$D$13:$D$27,Lookups!$F$13:$F$27,0)))</f>
        <v>0</v>
      </c>
      <c r="P223" s="284">
        <f>IF(Table2[[#This Row],[Table Lookup for Funeral]]=0,0,IFERROR(INDEX('Quotation Tool'!$S$54:$V$60,MATCH($T223,'Quotation Tool'!$S$54:$S$60,0),3),0))</f>
        <v>0</v>
      </c>
      <c r="Q223" s="288">
        <f ca="1">IF(OR(Table2[[#This Row],[Benefit Name]]="My Value Plus Life - Main Member",Table2[[#This Row],[Benefit Name]]="My Value Plus Life - Spouse"),0,
IFERROR(VLOOKUP($G223,INDIRECT($O223),$P223,FALSE),0))</f>
        <v>0</v>
      </c>
      <c r="R223" s="288">
        <f ca="1">IF(OR(Table2[[#This Row],[Benefit Name]]="My Value Plus Life - Main Member",Table2[[#This Row],[Benefit Name]]="My Value Plus Life - Spouse"),0,
IFERROR(VLOOKUP($G223,INDIRECT($O223),$P223+1,FALSE),0))</f>
        <v>0</v>
      </c>
      <c r="S223" s="289">
        <f t="shared" ca="1" si="24"/>
        <v>0</v>
      </c>
      <c r="T223" s="284" t="str">
        <f>IF(Table13[[#This Row],[Premium Waiver]]="","None",Table13[[#This Row],[Premium Waiver]])</f>
        <v>None</v>
      </c>
      <c r="U223" s="284">
        <f>Table13[[#This Row],[VAPs Options]]</f>
        <v>0</v>
      </c>
      <c r="V223" s="284">
        <f>Table13[[#This Row],[Annual Increase Option]]</f>
        <v>0</v>
      </c>
      <c r="W223" s="290">
        <f>Table13[[#This Row],[Life Cover Amount]]</f>
        <v>0</v>
      </c>
      <c r="X223" s="290">
        <f>Table13[[#This Row],[Funeral Cover Amount]]</f>
        <v>0</v>
      </c>
      <c r="Y22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2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23" s="301">
        <f t="shared" ca="1" si="25"/>
        <v>0</v>
      </c>
      <c r="AB223" s="298"/>
      <c r="AC223" s="326" t="str">
        <f>IF(Table2[[#This Row],[Member Type]]="Main Member",Lookups!$C$13,
IF(Table2[[#This Row],[Member Type]]="Spouse",_xlfn.XLOOKUP(B223,Table2[Main Member Link ID],Table2[Product Option],0),
IF(AND(Table2[[#This Row],[Member Type]]="Child",_xlfn.XLOOKUP(B223,Table2[Main Member Link ID],Table2[Product Option],0)&lt;&gt;"My Value Plus Life"),Lookups!$C$24,
IF(AND(OR(Table2[[#This Row],[Member Type]]="Parent",Table2[[#This Row],[Member Type]]="Extended"),_xlfn.XLOOKUP(B223,Table2[Main Member Link ID],Table2[Product Option],0)&lt;&gt;"My Value Plus Life"),Lookups!$C$26,""))))</f>
        <v/>
      </c>
      <c r="AD223" s="326" t="str">
        <f>IF(Table2[[#This Row],[Member Type]]="Main Member",Lookups!$C$14,"")</f>
        <v/>
      </c>
      <c r="AE22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Funeral",_xlfn.XLOOKUP(B223,Table2[Main Member Link ID],Table2[Benefit Name],0)=Lookups!$D$14),"",
IF(AND(Table2[[#This Row],[Member Type]]="Spouse",Table2[[#This Row],[Product Option]]="My Value Plus Life &amp; Funeral",_xlfn.XLOOKUP(B222,Table2[Main Member Link ID],Table2[Benefit Name],0)=Lookups!$D$15),Lookups!$D$20,
IF(AND(Table2[[#This Row],[Member Type]]="Spouse",Table2[[#This Row],[Product Option]]="My Value Plus Life &amp; Funeral",_xlfn.XLOOKUP(B222,Table2[Main Member Link ID],Table2[Benefit Name],0)=Lookups!$D$16),"",
IF(AND(Table2[[#This Row],[Member Type]]="Spouse",Table2[[#This Row],[Product Option]]="My Value Plus Life &amp; Funeral",_xlfn.XLOOKUP(B222,Table2[Main Member Link ID],Table2[Benefit Name],0)=Lookups!$D$17),Lookups!$D$21,
IF(AND(Table2[[#This Row],[Member Type]]="Child",Table2[[#This Row],[Product Option]]="My Value Plus Life &amp; Funeral",_xlfn.XLOOKUP(B223,Table2[Main Member Link ID],Table2[Benefit Name],0)=Lookups!$D$14),"",
IF(AND(Table2[[#This Row],[Member Type]]="Child",Table2[[#This Row],[Product Option]]="My Value Plus Life &amp; Funeral",_xlfn.XLOOKUP(B223,Table2[Main Member Link ID],Table2[Benefit Name],0)=Lookups!$D$15),"",
IF(AND(Table2[[#This Row],[Member Type]]="Child",Table2[[#This Row],[Product Option]]="My Value Plus Life &amp; Funeral",_xlfn.XLOOKUP(B223,Table2[Main Member Link ID],Table2[Benefit Name],0)=Lookups!$D$16),Lookups!$D$24,
IF(AND(Table2[[#This Row],[Member Type]]="Child",Table2[[#This Row],[Product Option]]="My Value Plus Life &amp; Funeral",_xlfn.XLOOKUP(B223,Table2[Main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Funeral",_xlfn.XLOOKUP(B223,Table2[Main Member Link ID],Table2[Benefit Name],0)&lt;&gt;Lookups!$D$14),
IF(_xlfn.XLOOKUP(B223,Table2[Main Member Link ID],Table2[Benefit Name],0)=0,"",_xlfn.XLOOKUP(B223,Table2[Main Member Link ID],Table2[Benefit Name],0)),"")))))))))))))))</f>
        <v/>
      </c>
      <c r="AF223" s="327" t="str">
        <f>IF(AND(Table2[[#This Row],[Member Type]]="Main Member",Table2[[#This Row],[Product Option]]="My Value Plus Life &amp; Funeral"),Lookups!$D$15,
IF(AND(Table2[[#This Row],[Member Type]]="Spouse",Table2[[#This Row],[Product Option]]="My Value Plus Life &amp; Funeral",_xlfn.XLOOKUP(B223,Table2[Main Member Link ID],Table2[Benefit Name],0)=Lookups!$D$14),"",
IF(AND(Table2[[#This Row],[Member Type]]="Spouse",Table2[[#This Row],[Product Option]]="My Value Plus Life &amp; Funeral",_xlfn.XLOOKUP(B222,Table2[Main Member Link ID],Table2[Benefit Name],0)=Lookups!$D$16),"",
IF(AND(Table2[[#This Row],[Member Type]]="Spouse",Table2[[#This Row],[Product Option]]="My Value Plus Life &amp; Funeral",_xlfn.XLOOKUP(B222,Table2[Main Member Link ID],Table2[Benefit Name],0)=Lookups!$D$15),"",
IF(AND(Table2[[#This Row],[Member Type]]="Spouse",Table2[[#This Row],[Product Option]]="My Value Plus Life &amp; Funeral",_xlfn.XLOOKUP(B222,Table2[Main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Funeral",_xlfn.XLOOKUP(B223,Table2[Main Member Link ID],Table2[Benefit Name],0)&lt;&gt;Lookups!$D$15),
IF(_xlfn.XLOOKUP(B223,Table2[Main Member Link ID],Table2[Benefit Name],0)=0,"",_xlfn.XLOOKUP(B223,Table2[Main Member Link ID],Table2[Benefit Name],0)),"")
))))))</f>
        <v/>
      </c>
      <c r="AG223" s="327" t="str">
        <f>IF(AND(Table2[[#This Row],[Member Type]]="Main Member",Table2[[#This Row],[Product Option]]="My Value Plus Life &amp; Funeral"),Lookups!$D$16,
IF(AND(Table2[[#This Row],[Member Type]]="Spouse",Table2[[#This Row],[Product Option]]="My Value Plus Life &amp; Funeral",_xlfn.XLOOKUP(B223,Table2[Main Member Link ID],Table2[Benefit Name],0)=Lookups!$D$14),"",
IF(AND(Table2[[#This Row],[Member Type]]="Spouse",Table2[[#This Row],[Product Option]]="My Value Plus Life &amp; Funeral",_xlfn.XLOOKUP(B222,Table2[Main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Funeral",_xlfn.XLOOKUP(B223,Table2[Main Member Link ID],Table2[Benefit Name],0)&lt;&gt;Lookups!$D$16),
IF(_xlfn.XLOOKUP(B223,Table2[Main Member Link ID],Table2[Benefit Name],0)=0,"",_xlfn.XLOOKUP(B223,Table2[Main Member Link ID],Table2[Benefit Name],0)),"")
))))</f>
        <v/>
      </c>
      <c r="AH223" s="327" t="str">
        <f>IF(AND(Table2[[#This Row],[Member Type]]="Main Member",Table2[[#This Row],[Product Option]]="My Value Plus Life &amp; Funeral"),Lookups!$D$17,
IF(AND(Table2[[#This Row],[Member Type]]="Spouse",Table2[[#This Row],[Product Option]]="My Value Plus Life &amp; Funeral",_xlfn.XLOOKUP(B223,Table2[Main Member Link ID],Table2[Benefit Name],0)=Lookups!$D$14),"",
IF(AND(Table2[[#This Row],[Member Type]]="Spouse",Table2[[#This Row],[Product Option]]="My Value Plus Life &amp; Funeral",_xlfn.XLOOKUP(B222,Table2[Main Member Link ID],Table2[Benefit Name],0)=Lookups!$D$16),"",
IF(AND(Table2[[#This Row],[Member Type]]="Child",Table2[[#This Row],[Product Option]]="My Value Plus Life &amp; Funeral"),"",
IF(AND(Table2[[#This Row],[Member Type]]="Child",Table2[[#This Row],[Product Option]]="My Value Plus Life &amp; Funeral",_xlfn.XLOOKUP(B223,Table2[Main Member Link ID],Table2[Benefit Name],0)=Lookups!$D$15),"",
IF(AND(OR(Table2[[#This Row],[Member Type]]="Spouse",Table2[[#This Row],[Member Type]]="Child"),Table2[[#This Row],[Product Option]]="My Value Plus Life &amp; Funeral",_xlfn.XLOOKUP(B223,Table2[Main Member Link ID],Table2[Benefit Name],0)&lt;&gt;Lookups!$D$17),
IF(_xlfn.XLOOKUP(B223,Table2[Main Member Link ID],Table2[Benefit Name],0)=0,"",_xlfn.XLOOKUP(B223,Table2[Main Member Link ID],Table2[Benefit Name],0)),""))))))</f>
        <v/>
      </c>
      <c r="AI223" s="328" t="str">
        <f>IF(AND(Table2[[#This Row],[Member Type]]="Main Member",Table2[[#This Row],[Table Lookup for Life Cover]]="MM_LIFE",Table2[[#This Row],[Age Next Birthday]]&lt;56),1,
IF(AND(Table2[[#This Row],[Member Type]]="Main Member",Table2[[#This Row],[Table Lookup for Life Cover]]="MM_LIFE",Table2[[#This Row],[Age Next Birthday]]&gt;=56),2,
""))</f>
        <v/>
      </c>
      <c r="AJ223" s="328">
        <f>IF(OR(Table2[[#This Row],[Member Type]]="Main Member",Table2[[#This Row],[Main Member Link ID]]=B222),1,0)</f>
        <v>1</v>
      </c>
      <c r="AK223" s="328">
        <f>IF(Table2[[#This Row],[Member Type]]=0,0,
IF(OR(Table2[[#This Row],[Member Type]]="Main Member",Table2[[#This Row],[Main Member Link ID]]&lt;&gt;B223),COUNTIFS(B:B,Table2[[#This Row],[Main Member Link ID]]),
COUNTIFS(B:B,Table2[[#This Row],[Main Member Link ID]],A:A,Table2[[#This Row],[Member Type]])))</f>
        <v>0</v>
      </c>
    </row>
    <row r="224" spans="1:37" x14ac:dyDescent="0.3">
      <c r="A224" s="284">
        <f>Table13[[#This Row],[Member Type]]</f>
        <v>0</v>
      </c>
      <c r="B224" s="284">
        <f>Table13[[#This Row],[Main Member Link ID]]</f>
        <v>0</v>
      </c>
      <c r="C224" s="284">
        <f>Table13[[#This Row],[ID Number]]</f>
        <v>0</v>
      </c>
      <c r="D224" s="285">
        <f>Table13[[#This Row],[Date Of Birth]]</f>
        <v>0</v>
      </c>
      <c r="E224" s="285">
        <f>Table13[[#This Row],[Commencement Date]]</f>
        <v>0</v>
      </c>
      <c r="F224" s="284">
        <f t="shared" si="21"/>
        <v>1</v>
      </c>
      <c r="G224" s="284">
        <f t="shared" si="22"/>
        <v>25</v>
      </c>
      <c r="H224" s="286">
        <f>Table13[[#This Row],[Product Option]]</f>
        <v>0</v>
      </c>
      <c r="I224" s="284">
        <f>IF(AND($A224="Main Member",Table2[[#This Row],[Product Option]]="My Value Plus Life"),"MM_LIFE",
IF(AND($A224="Spouse",Table2[[#This Row],[Product Option]]="My Value Plus Life"),"SP_LIFE",
IF(AND($A224="Main Member",Table2[[#This Row],[Product Option]]="My Value Plus Life &amp; Funeral"),"MM_LIFE",
IF(AND($A224="Spouse",Table2[[#This Row],[Product Option]]="My Value Plus Life &amp; Funeral"),_xlfn.XLOOKUP(Table2[[#This Row],[Benefit Name]],Lookups!$D$18:$D$23,Lookups!$E$18:$E$23,0),
0))))</f>
        <v>0</v>
      </c>
      <c r="J224" s="284">
        <f>IF($I224="","",
IF($I224="MM_LIFE",INDEX('Quotation Tool'!$S$54:$V$60,MATCH($T224,'Quotation Tool'!$S$54:$S$60,0),4),
IF($I224="SP_LIFE",_xlfn.XLOOKUP(B223,$B:$B,$J:$J,0),0)))</f>
        <v>0</v>
      </c>
      <c r="K224" s="287">
        <f t="shared" ca="1" si="26"/>
        <v>0</v>
      </c>
      <c r="L224" s="288">
        <f t="shared" ca="1" si="27"/>
        <v>0</v>
      </c>
      <c r="M224" s="289">
        <f t="shared" ca="1" si="23"/>
        <v>0</v>
      </c>
      <c r="N224" s="286">
        <f>Table13[[#This Row],[Benefit Option]]</f>
        <v>0</v>
      </c>
      <c r="O224" s="284">
        <f>IF(OR(Table2[[#This Row],[Member Type]]="Spouse",Table2[[#This Row],[Member Type]]="Child"),0,
IF(_xlfn.XLOOKUP($N224,Lookups!$D$13:$D$27,Lookups!$F$13:$F$27,0)=Table2[[#This Row],[Table Lookup for Life Cover]],0,
_xlfn.XLOOKUP($N224,Lookups!$D$13:$D$27,Lookups!$F$13:$F$27,0)))</f>
        <v>0</v>
      </c>
      <c r="P224" s="284">
        <f>IF(Table2[[#This Row],[Table Lookup for Funeral]]=0,0,IFERROR(INDEX('Quotation Tool'!$S$54:$V$60,MATCH($T224,'Quotation Tool'!$S$54:$S$60,0),3),0))</f>
        <v>0</v>
      </c>
      <c r="Q224" s="288">
        <f ca="1">IF(OR(Table2[[#This Row],[Benefit Name]]="My Value Plus Life - Main Member",Table2[[#This Row],[Benefit Name]]="My Value Plus Life - Spouse"),0,
IFERROR(VLOOKUP($G224,INDIRECT($O224),$P224,FALSE),0))</f>
        <v>0</v>
      </c>
      <c r="R224" s="288">
        <f ca="1">IF(OR(Table2[[#This Row],[Benefit Name]]="My Value Plus Life - Main Member",Table2[[#This Row],[Benefit Name]]="My Value Plus Life - Spouse"),0,
IFERROR(VLOOKUP($G224,INDIRECT($O224),$P224+1,FALSE),0))</f>
        <v>0</v>
      </c>
      <c r="S224" s="289">
        <f t="shared" ca="1" si="24"/>
        <v>0</v>
      </c>
      <c r="T224" s="284" t="str">
        <f>IF(Table13[[#This Row],[Premium Waiver]]="","None",Table13[[#This Row],[Premium Waiver]])</f>
        <v>None</v>
      </c>
      <c r="U224" s="284">
        <f>Table13[[#This Row],[VAPs Options]]</f>
        <v>0</v>
      </c>
      <c r="V224" s="284">
        <f>Table13[[#This Row],[Annual Increase Option]]</f>
        <v>0</v>
      </c>
      <c r="W224" s="290">
        <f>Table13[[#This Row],[Life Cover Amount]]</f>
        <v>0</v>
      </c>
      <c r="X224" s="290">
        <f>Table13[[#This Row],[Funeral Cover Amount]]</f>
        <v>0</v>
      </c>
      <c r="Y22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2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24" s="301">
        <f t="shared" ca="1" si="25"/>
        <v>0</v>
      </c>
      <c r="AB224" s="298"/>
      <c r="AC224" s="326" t="str">
        <f>IF(Table2[[#This Row],[Member Type]]="Main Member",Lookups!$C$13,
IF(Table2[[#This Row],[Member Type]]="Spouse",_xlfn.XLOOKUP(B224,Table2[Main Member Link ID],Table2[Product Option],0),
IF(AND(Table2[[#This Row],[Member Type]]="Child",_xlfn.XLOOKUP(B224,Table2[Main Member Link ID],Table2[Product Option],0)&lt;&gt;"My Value Plus Life"),Lookups!$C$24,
IF(AND(OR(Table2[[#This Row],[Member Type]]="Parent",Table2[[#This Row],[Member Type]]="Extended"),_xlfn.XLOOKUP(B224,Table2[Main Member Link ID],Table2[Product Option],0)&lt;&gt;"My Value Plus Life"),Lookups!$C$26,""))))</f>
        <v/>
      </c>
      <c r="AD224" s="326" t="str">
        <f>IF(Table2[[#This Row],[Member Type]]="Main Member",Lookups!$C$14,"")</f>
        <v/>
      </c>
      <c r="AE22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Funeral",_xlfn.XLOOKUP(B224,Table2[Main Member Link ID],Table2[Benefit Name],0)=Lookups!$D$14),"",
IF(AND(Table2[[#This Row],[Member Type]]="Spouse",Table2[[#This Row],[Product Option]]="My Value Plus Life &amp; Funeral",_xlfn.XLOOKUP(B223,Table2[Main Member Link ID],Table2[Benefit Name],0)=Lookups!$D$15),Lookups!$D$20,
IF(AND(Table2[[#This Row],[Member Type]]="Spouse",Table2[[#This Row],[Product Option]]="My Value Plus Life &amp; Funeral",_xlfn.XLOOKUP(B223,Table2[Main Member Link ID],Table2[Benefit Name],0)=Lookups!$D$16),"",
IF(AND(Table2[[#This Row],[Member Type]]="Spouse",Table2[[#This Row],[Product Option]]="My Value Plus Life &amp; Funeral",_xlfn.XLOOKUP(B223,Table2[Main Member Link ID],Table2[Benefit Name],0)=Lookups!$D$17),Lookups!$D$21,
IF(AND(Table2[[#This Row],[Member Type]]="Child",Table2[[#This Row],[Product Option]]="My Value Plus Life &amp; Funeral",_xlfn.XLOOKUP(B224,Table2[Main Member Link ID],Table2[Benefit Name],0)=Lookups!$D$14),"",
IF(AND(Table2[[#This Row],[Member Type]]="Child",Table2[[#This Row],[Product Option]]="My Value Plus Life &amp; Funeral",_xlfn.XLOOKUP(B224,Table2[Main Member Link ID],Table2[Benefit Name],0)=Lookups!$D$15),"",
IF(AND(Table2[[#This Row],[Member Type]]="Child",Table2[[#This Row],[Product Option]]="My Value Plus Life &amp; Funeral",_xlfn.XLOOKUP(B224,Table2[Main Member Link ID],Table2[Benefit Name],0)=Lookups!$D$16),Lookups!$D$24,
IF(AND(Table2[[#This Row],[Member Type]]="Child",Table2[[#This Row],[Product Option]]="My Value Plus Life &amp; Funeral",_xlfn.XLOOKUP(B224,Table2[Main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Funeral",_xlfn.XLOOKUP(B224,Table2[Main Member Link ID],Table2[Benefit Name],0)&lt;&gt;Lookups!$D$14),
IF(_xlfn.XLOOKUP(B224,Table2[Main Member Link ID],Table2[Benefit Name],0)=0,"",_xlfn.XLOOKUP(B224,Table2[Main Member Link ID],Table2[Benefit Name],0)),"")))))))))))))))</f>
        <v/>
      </c>
      <c r="AF224" s="327" t="str">
        <f>IF(AND(Table2[[#This Row],[Member Type]]="Main Member",Table2[[#This Row],[Product Option]]="My Value Plus Life &amp; Funeral"),Lookups!$D$15,
IF(AND(Table2[[#This Row],[Member Type]]="Spouse",Table2[[#This Row],[Product Option]]="My Value Plus Life &amp; Funeral",_xlfn.XLOOKUP(B224,Table2[Main Member Link ID],Table2[Benefit Name],0)=Lookups!$D$14),"",
IF(AND(Table2[[#This Row],[Member Type]]="Spouse",Table2[[#This Row],[Product Option]]="My Value Plus Life &amp; Funeral",_xlfn.XLOOKUP(B223,Table2[Main Member Link ID],Table2[Benefit Name],0)=Lookups!$D$16),"",
IF(AND(Table2[[#This Row],[Member Type]]="Spouse",Table2[[#This Row],[Product Option]]="My Value Plus Life &amp; Funeral",_xlfn.XLOOKUP(B223,Table2[Main Member Link ID],Table2[Benefit Name],0)=Lookups!$D$15),"",
IF(AND(Table2[[#This Row],[Member Type]]="Spouse",Table2[[#This Row],[Product Option]]="My Value Plus Life &amp; Funeral",_xlfn.XLOOKUP(B223,Table2[Main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Funeral",_xlfn.XLOOKUP(B224,Table2[Main Member Link ID],Table2[Benefit Name],0)&lt;&gt;Lookups!$D$15),
IF(_xlfn.XLOOKUP(B224,Table2[Main Member Link ID],Table2[Benefit Name],0)=0,"",_xlfn.XLOOKUP(B224,Table2[Main Member Link ID],Table2[Benefit Name],0)),"")
))))))</f>
        <v/>
      </c>
      <c r="AG224" s="327" t="str">
        <f>IF(AND(Table2[[#This Row],[Member Type]]="Main Member",Table2[[#This Row],[Product Option]]="My Value Plus Life &amp; Funeral"),Lookups!$D$16,
IF(AND(Table2[[#This Row],[Member Type]]="Spouse",Table2[[#This Row],[Product Option]]="My Value Plus Life &amp; Funeral",_xlfn.XLOOKUP(B224,Table2[Main Member Link ID],Table2[Benefit Name],0)=Lookups!$D$14),"",
IF(AND(Table2[[#This Row],[Member Type]]="Spouse",Table2[[#This Row],[Product Option]]="My Value Plus Life &amp; Funeral",_xlfn.XLOOKUP(B223,Table2[Main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Funeral",_xlfn.XLOOKUP(B224,Table2[Main Member Link ID],Table2[Benefit Name],0)&lt;&gt;Lookups!$D$16),
IF(_xlfn.XLOOKUP(B224,Table2[Main Member Link ID],Table2[Benefit Name],0)=0,"",_xlfn.XLOOKUP(B224,Table2[Main Member Link ID],Table2[Benefit Name],0)),"")
))))</f>
        <v/>
      </c>
      <c r="AH224" s="327" t="str">
        <f>IF(AND(Table2[[#This Row],[Member Type]]="Main Member",Table2[[#This Row],[Product Option]]="My Value Plus Life &amp; Funeral"),Lookups!$D$17,
IF(AND(Table2[[#This Row],[Member Type]]="Spouse",Table2[[#This Row],[Product Option]]="My Value Plus Life &amp; Funeral",_xlfn.XLOOKUP(B224,Table2[Main Member Link ID],Table2[Benefit Name],0)=Lookups!$D$14),"",
IF(AND(Table2[[#This Row],[Member Type]]="Spouse",Table2[[#This Row],[Product Option]]="My Value Plus Life &amp; Funeral",_xlfn.XLOOKUP(B223,Table2[Main Member Link ID],Table2[Benefit Name],0)=Lookups!$D$16),"",
IF(AND(Table2[[#This Row],[Member Type]]="Child",Table2[[#This Row],[Product Option]]="My Value Plus Life &amp; Funeral"),"",
IF(AND(Table2[[#This Row],[Member Type]]="Child",Table2[[#This Row],[Product Option]]="My Value Plus Life &amp; Funeral",_xlfn.XLOOKUP(B224,Table2[Main Member Link ID],Table2[Benefit Name],0)=Lookups!$D$15),"",
IF(AND(OR(Table2[[#This Row],[Member Type]]="Spouse",Table2[[#This Row],[Member Type]]="Child"),Table2[[#This Row],[Product Option]]="My Value Plus Life &amp; Funeral",_xlfn.XLOOKUP(B224,Table2[Main Member Link ID],Table2[Benefit Name],0)&lt;&gt;Lookups!$D$17),
IF(_xlfn.XLOOKUP(B224,Table2[Main Member Link ID],Table2[Benefit Name],0)=0,"",_xlfn.XLOOKUP(B224,Table2[Main Member Link ID],Table2[Benefit Name],0)),""))))))</f>
        <v/>
      </c>
      <c r="AI224" s="328" t="str">
        <f>IF(AND(Table2[[#This Row],[Member Type]]="Main Member",Table2[[#This Row],[Table Lookup for Life Cover]]="MM_LIFE",Table2[[#This Row],[Age Next Birthday]]&lt;56),1,
IF(AND(Table2[[#This Row],[Member Type]]="Main Member",Table2[[#This Row],[Table Lookup for Life Cover]]="MM_LIFE",Table2[[#This Row],[Age Next Birthday]]&gt;=56),2,
""))</f>
        <v/>
      </c>
      <c r="AJ224" s="328">
        <f>IF(OR(Table2[[#This Row],[Member Type]]="Main Member",Table2[[#This Row],[Main Member Link ID]]=B223),1,0)</f>
        <v>1</v>
      </c>
      <c r="AK224" s="328">
        <f>IF(Table2[[#This Row],[Member Type]]=0,0,
IF(OR(Table2[[#This Row],[Member Type]]="Main Member",Table2[[#This Row],[Main Member Link ID]]&lt;&gt;B224),COUNTIFS(B:B,Table2[[#This Row],[Main Member Link ID]]),
COUNTIFS(B:B,Table2[[#This Row],[Main Member Link ID]],A:A,Table2[[#This Row],[Member Type]])))</f>
        <v>0</v>
      </c>
    </row>
    <row r="225" spans="1:37" x14ac:dyDescent="0.3">
      <c r="A225" s="284">
        <f>Table13[[#This Row],[Member Type]]</f>
        <v>0</v>
      </c>
      <c r="B225" s="284">
        <f>Table13[[#This Row],[Main Member Link ID]]</f>
        <v>0</v>
      </c>
      <c r="C225" s="284">
        <f>Table13[[#This Row],[ID Number]]</f>
        <v>0</v>
      </c>
      <c r="D225" s="285">
        <f>Table13[[#This Row],[Date Of Birth]]</f>
        <v>0</v>
      </c>
      <c r="E225" s="285">
        <f>Table13[[#This Row],[Commencement Date]]</f>
        <v>0</v>
      </c>
      <c r="F225" s="284">
        <f t="shared" si="21"/>
        <v>1</v>
      </c>
      <c r="G225" s="284">
        <f t="shared" si="22"/>
        <v>25</v>
      </c>
      <c r="H225" s="286">
        <f>Table13[[#This Row],[Product Option]]</f>
        <v>0</v>
      </c>
      <c r="I225" s="284">
        <f>IF(AND($A225="Main Member",Table2[[#This Row],[Product Option]]="My Value Plus Life"),"MM_LIFE",
IF(AND($A225="Spouse",Table2[[#This Row],[Product Option]]="My Value Plus Life"),"SP_LIFE",
IF(AND($A225="Main Member",Table2[[#This Row],[Product Option]]="My Value Plus Life &amp; Funeral"),"MM_LIFE",
IF(AND($A225="Spouse",Table2[[#This Row],[Product Option]]="My Value Plus Life &amp; Funeral"),_xlfn.XLOOKUP(Table2[[#This Row],[Benefit Name]],Lookups!$D$18:$D$23,Lookups!$E$18:$E$23,0),
0))))</f>
        <v>0</v>
      </c>
      <c r="J225" s="284">
        <f>IF($I225="","",
IF($I225="MM_LIFE",INDEX('Quotation Tool'!$S$54:$V$60,MATCH($T225,'Quotation Tool'!$S$54:$S$60,0),4),
IF($I225="SP_LIFE",_xlfn.XLOOKUP(B224,$B:$B,$J:$J,0),0)))</f>
        <v>0</v>
      </c>
      <c r="K225" s="287">
        <f t="shared" ca="1" si="26"/>
        <v>0</v>
      </c>
      <c r="L225" s="288">
        <f t="shared" ca="1" si="27"/>
        <v>0</v>
      </c>
      <c r="M225" s="289">
        <f t="shared" ca="1" si="23"/>
        <v>0</v>
      </c>
      <c r="N225" s="286">
        <f>Table13[[#This Row],[Benefit Option]]</f>
        <v>0</v>
      </c>
      <c r="O225" s="284">
        <f>IF(OR(Table2[[#This Row],[Member Type]]="Spouse",Table2[[#This Row],[Member Type]]="Child"),0,
IF(_xlfn.XLOOKUP($N225,Lookups!$D$13:$D$27,Lookups!$F$13:$F$27,0)=Table2[[#This Row],[Table Lookup for Life Cover]],0,
_xlfn.XLOOKUP($N225,Lookups!$D$13:$D$27,Lookups!$F$13:$F$27,0)))</f>
        <v>0</v>
      </c>
      <c r="P225" s="284">
        <f>IF(Table2[[#This Row],[Table Lookup for Funeral]]=0,0,IFERROR(INDEX('Quotation Tool'!$S$54:$V$60,MATCH($T225,'Quotation Tool'!$S$54:$S$60,0),3),0))</f>
        <v>0</v>
      </c>
      <c r="Q225" s="288">
        <f ca="1">IF(OR(Table2[[#This Row],[Benefit Name]]="My Value Plus Life - Main Member",Table2[[#This Row],[Benefit Name]]="My Value Plus Life - Spouse"),0,
IFERROR(VLOOKUP($G225,INDIRECT($O225),$P225,FALSE),0))</f>
        <v>0</v>
      </c>
      <c r="R225" s="288">
        <f ca="1">IF(OR(Table2[[#This Row],[Benefit Name]]="My Value Plus Life - Main Member",Table2[[#This Row],[Benefit Name]]="My Value Plus Life - Spouse"),0,
IFERROR(VLOOKUP($G225,INDIRECT($O225),$P225+1,FALSE),0))</f>
        <v>0</v>
      </c>
      <c r="S225" s="289">
        <f t="shared" ca="1" si="24"/>
        <v>0</v>
      </c>
      <c r="T225" s="284" t="str">
        <f>IF(Table13[[#This Row],[Premium Waiver]]="","None",Table13[[#This Row],[Premium Waiver]])</f>
        <v>None</v>
      </c>
      <c r="U225" s="284">
        <f>Table13[[#This Row],[VAPs Options]]</f>
        <v>0</v>
      </c>
      <c r="V225" s="284">
        <f>Table13[[#This Row],[Annual Increase Option]]</f>
        <v>0</v>
      </c>
      <c r="W225" s="290">
        <f>Table13[[#This Row],[Life Cover Amount]]</f>
        <v>0</v>
      </c>
      <c r="X225" s="290">
        <f>Table13[[#This Row],[Funeral Cover Amount]]</f>
        <v>0</v>
      </c>
      <c r="Y22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2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25" s="301">
        <f t="shared" ca="1" si="25"/>
        <v>0</v>
      </c>
      <c r="AB225" s="298"/>
      <c r="AC225" s="326" t="str">
        <f>IF(Table2[[#This Row],[Member Type]]="Main Member",Lookups!$C$13,
IF(Table2[[#This Row],[Member Type]]="Spouse",_xlfn.XLOOKUP(B225,Table2[Main Member Link ID],Table2[Product Option],0),
IF(AND(Table2[[#This Row],[Member Type]]="Child",_xlfn.XLOOKUP(B225,Table2[Main Member Link ID],Table2[Product Option],0)&lt;&gt;"My Value Plus Life"),Lookups!$C$24,
IF(AND(OR(Table2[[#This Row],[Member Type]]="Parent",Table2[[#This Row],[Member Type]]="Extended"),_xlfn.XLOOKUP(B225,Table2[Main Member Link ID],Table2[Product Option],0)&lt;&gt;"My Value Plus Life"),Lookups!$C$26,""))))</f>
        <v/>
      </c>
      <c r="AD225" s="326" t="str">
        <f>IF(Table2[[#This Row],[Member Type]]="Main Member",Lookups!$C$14,"")</f>
        <v/>
      </c>
      <c r="AE22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Funeral",_xlfn.XLOOKUP(B225,Table2[Main Member Link ID],Table2[Benefit Name],0)=Lookups!$D$14),"",
IF(AND(Table2[[#This Row],[Member Type]]="Spouse",Table2[[#This Row],[Product Option]]="My Value Plus Life &amp; Funeral",_xlfn.XLOOKUP(B224,Table2[Main Member Link ID],Table2[Benefit Name],0)=Lookups!$D$15),Lookups!$D$20,
IF(AND(Table2[[#This Row],[Member Type]]="Spouse",Table2[[#This Row],[Product Option]]="My Value Plus Life &amp; Funeral",_xlfn.XLOOKUP(B224,Table2[Main Member Link ID],Table2[Benefit Name],0)=Lookups!$D$16),"",
IF(AND(Table2[[#This Row],[Member Type]]="Spouse",Table2[[#This Row],[Product Option]]="My Value Plus Life &amp; Funeral",_xlfn.XLOOKUP(B224,Table2[Main Member Link ID],Table2[Benefit Name],0)=Lookups!$D$17),Lookups!$D$21,
IF(AND(Table2[[#This Row],[Member Type]]="Child",Table2[[#This Row],[Product Option]]="My Value Plus Life &amp; Funeral",_xlfn.XLOOKUP(B225,Table2[Main Member Link ID],Table2[Benefit Name],0)=Lookups!$D$14),"",
IF(AND(Table2[[#This Row],[Member Type]]="Child",Table2[[#This Row],[Product Option]]="My Value Plus Life &amp; Funeral",_xlfn.XLOOKUP(B225,Table2[Main Member Link ID],Table2[Benefit Name],0)=Lookups!$D$15),"",
IF(AND(Table2[[#This Row],[Member Type]]="Child",Table2[[#This Row],[Product Option]]="My Value Plus Life &amp; Funeral",_xlfn.XLOOKUP(B225,Table2[Main Member Link ID],Table2[Benefit Name],0)=Lookups!$D$16),Lookups!$D$24,
IF(AND(Table2[[#This Row],[Member Type]]="Child",Table2[[#This Row],[Product Option]]="My Value Plus Life &amp; Funeral",_xlfn.XLOOKUP(B225,Table2[Main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Funeral",_xlfn.XLOOKUP(B225,Table2[Main Member Link ID],Table2[Benefit Name],0)&lt;&gt;Lookups!$D$14),
IF(_xlfn.XLOOKUP(B225,Table2[Main Member Link ID],Table2[Benefit Name],0)=0,"",_xlfn.XLOOKUP(B225,Table2[Main Member Link ID],Table2[Benefit Name],0)),"")))))))))))))))</f>
        <v/>
      </c>
      <c r="AF225" s="327" t="str">
        <f>IF(AND(Table2[[#This Row],[Member Type]]="Main Member",Table2[[#This Row],[Product Option]]="My Value Plus Life &amp; Funeral"),Lookups!$D$15,
IF(AND(Table2[[#This Row],[Member Type]]="Spouse",Table2[[#This Row],[Product Option]]="My Value Plus Life &amp; Funeral",_xlfn.XLOOKUP(B225,Table2[Main Member Link ID],Table2[Benefit Name],0)=Lookups!$D$14),"",
IF(AND(Table2[[#This Row],[Member Type]]="Spouse",Table2[[#This Row],[Product Option]]="My Value Plus Life &amp; Funeral",_xlfn.XLOOKUP(B224,Table2[Main Member Link ID],Table2[Benefit Name],0)=Lookups!$D$16),"",
IF(AND(Table2[[#This Row],[Member Type]]="Spouse",Table2[[#This Row],[Product Option]]="My Value Plus Life &amp; Funeral",_xlfn.XLOOKUP(B224,Table2[Main Member Link ID],Table2[Benefit Name],0)=Lookups!$D$15),"",
IF(AND(Table2[[#This Row],[Member Type]]="Spouse",Table2[[#This Row],[Product Option]]="My Value Plus Life &amp; Funeral",_xlfn.XLOOKUP(B224,Table2[Main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Funeral",_xlfn.XLOOKUP(B225,Table2[Main Member Link ID],Table2[Benefit Name],0)&lt;&gt;Lookups!$D$15),
IF(_xlfn.XLOOKUP(B225,Table2[Main Member Link ID],Table2[Benefit Name],0)=0,"",_xlfn.XLOOKUP(B225,Table2[Main Member Link ID],Table2[Benefit Name],0)),"")
))))))</f>
        <v/>
      </c>
      <c r="AG225" s="327" t="str">
        <f>IF(AND(Table2[[#This Row],[Member Type]]="Main Member",Table2[[#This Row],[Product Option]]="My Value Plus Life &amp; Funeral"),Lookups!$D$16,
IF(AND(Table2[[#This Row],[Member Type]]="Spouse",Table2[[#This Row],[Product Option]]="My Value Plus Life &amp; Funeral",_xlfn.XLOOKUP(B225,Table2[Main Member Link ID],Table2[Benefit Name],0)=Lookups!$D$14),"",
IF(AND(Table2[[#This Row],[Member Type]]="Spouse",Table2[[#This Row],[Product Option]]="My Value Plus Life &amp; Funeral",_xlfn.XLOOKUP(B224,Table2[Main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Funeral",_xlfn.XLOOKUP(B225,Table2[Main Member Link ID],Table2[Benefit Name],0)&lt;&gt;Lookups!$D$16),
IF(_xlfn.XLOOKUP(B225,Table2[Main Member Link ID],Table2[Benefit Name],0)=0,"",_xlfn.XLOOKUP(B225,Table2[Main Member Link ID],Table2[Benefit Name],0)),"")
))))</f>
        <v/>
      </c>
      <c r="AH225" s="327" t="str">
        <f>IF(AND(Table2[[#This Row],[Member Type]]="Main Member",Table2[[#This Row],[Product Option]]="My Value Plus Life &amp; Funeral"),Lookups!$D$17,
IF(AND(Table2[[#This Row],[Member Type]]="Spouse",Table2[[#This Row],[Product Option]]="My Value Plus Life &amp; Funeral",_xlfn.XLOOKUP(B225,Table2[Main Member Link ID],Table2[Benefit Name],0)=Lookups!$D$14),"",
IF(AND(Table2[[#This Row],[Member Type]]="Spouse",Table2[[#This Row],[Product Option]]="My Value Plus Life &amp; Funeral",_xlfn.XLOOKUP(B224,Table2[Main Member Link ID],Table2[Benefit Name],0)=Lookups!$D$16),"",
IF(AND(Table2[[#This Row],[Member Type]]="Child",Table2[[#This Row],[Product Option]]="My Value Plus Life &amp; Funeral"),"",
IF(AND(Table2[[#This Row],[Member Type]]="Child",Table2[[#This Row],[Product Option]]="My Value Plus Life &amp; Funeral",_xlfn.XLOOKUP(B225,Table2[Main Member Link ID],Table2[Benefit Name],0)=Lookups!$D$15),"",
IF(AND(OR(Table2[[#This Row],[Member Type]]="Spouse",Table2[[#This Row],[Member Type]]="Child"),Table2[[#This Row],[Product Option]]="My Value Plus Life &amp; Funeral",_xlfn.XLOOKUP(B225,Table2[Main Member Link ID],Table2[Benefit Name],0)&lt;&gt;Lookups!$D$17),
IF(_xlfn.XLOOKUP(B225,Table2[Main Member Link ID],Table2[Benefit Name],0)=0,"",_xlfn.XLOOKUP(B225,Table2[Main Member Link ID],Table2[Benefit Name],0)),""))))))</f>
        <v/>
      </c>
      <c r="AI225" s="328" t="str">
        <f>IF(AND(Table2[[#This Row],[Member Type]]="Main Member",Table2[[#This Row],[Table Lookup for Life Cover]]="MM_LIFE",Table2[[#This Row],[Age Next Birthday]]&lt;56),1,
IF(AND(Table2[[#This Row],[Member Type]]="Main Member",Table2[[#This Row],[Table Lookup for Life Cover]]="MM_LIFE",Table2[[#This Row],[Age Next Birthday]]&gt;=56),2,
""))</f>
        <v/>
      </c>
      <c r="AJ225" s="328">
        <f>IF(OR(Table2[[#This Row],[Member Type]]="Main Member",Table2[[#This Row],[Main Member Link ID]]=B224),1,0)</f>
        <v>1</v>
      </c>
      <c r="AK225" s="328">
        <f>IF(Table2[[#This Row],[Member Type]]=0,0,
IF(OR(Table2[[#This Row],[Member Type]]="Main Member",Table2[[#This Row],[Main Member Link ID]]&lt;&gt;B225),COUNTIFS(B:B,Table2[[#This Row],[Main Member Link ID]]),
COUNTIFS(B:B,Table2[[#This Row],[Main Member Link ID]],A:A,Table2[[#This Row],[Member Type]])))</f>
        <v>0</v>
      </c>
    </row>
    <row r="226" spans="1:37" x14ac:dyDescent="0.3">
      <c r="A226" s="284">
        <f>Table13[[#This Row],[Member Type]]</f>
        <v>0</v>
      </c>
      <c r="B226" s="284">
        <f>Table13[[#This Row],[Main Member Link ID]]</f>
        <v>0</v>
      </c>
      <c r="C226" s="284">
        <f>Table13[[#This Row],[ID Number]]</f>
        <v>0</v>
      </c>
      <c r="D226" s="285">
        <f>Table13[[#This Row],[Date Of Birth]]</f>
        <v>0</v>
      </c>
      <c r="E226" s="285">
        <f>Table13[[#This Row],[Commencement Date]]</f>
        <v>0</v>
      </c>
      <c r="F226" s="284">
        <f t="shared" si="21"/>
        <v>1</v>
      </c>
      <c r="G226" s="284">
        <f t="shared" si="22"/>
        <v>25</v>
      </c>
      <c r="H226" s="286">
        <f>Table13[[#This Row],[Product Option]]</f>
        <v>0</v>
      </c>
      <c r="I226" s="284">
        <f>IF(AND($A226="Main Member",Table2[[#This Row],[Product Option]]="My Value Plus Life"),"MM_LIFE",
IF(AND($A226="Spouse",Table2[[#This Row],[Product Option]]="My Value Plus Life"),"SP_LIFE",
IF(AND($A226="Main Member",Table2[[#This Row],[Product Option]]="My Value Plus Life &amp; Funeral"),"MM_LIFE",
IF(AND($A226="Spouse",Table2[[#This Row],[Product Option]]="My Value Plus Life &amp; Funeral"),_xlfn.XLOOKUP(Table2[[#This Row],[Benefit Name]],Lookups!$D$18:$D$23,Lookups!$E$18:$E$23,0),
0))))</f>
        <v>0</v>
      </c>
      <c r="J226" s="284">
        <f>IF($I226="","",
IF($I226="MM_LIFE",INDEX('Quotation Tool'!$S$54:$V$60,MATCH($T226,'Quotation Tool'!$S$54:$S$60,0),4),
IF($I226="SP_LIFE",_xlfn.XLOOKUP(B225,$B:$B,$J:$J,0),0)))</f>
        <v>0</v>
      </c>
      <c r="K226" s="287">
        <f t="shared" ca="1" si="26"/>
        <v>0</v>
      </c>
      <c r="L226" s="288">
        <f t="shared" ca="1" si="27"/>
        <v>0</v>
      </c>
      <c r="M226" s="289">
        <f t="shared" ca="1" si="23"/>
        <v>0</v>
      </c>
      <c r="N226" s="286">
        <f>Table13[[#This Row],[Benefit Option]]</f>
        <v>0</v>
      </c>
      <c r="O226" s="284">
        <f>IF(OR(Table2[[#This Row],[Member Type]]="Spouse",Table2[[#This Row],[Member Type]]="Child"),0,
IF(_xlfn.XLOOKUP($N226,Lookups!$D$13:$D$27,Lookups!$F$13:$F$27,0)=Table2[[#This Row],[Table Lookup for Life Cover]],0,
_xlfn.XLOOKUP($N226,Lookups!$D$13:$D$27,Lookups!$F$13:$F$27,0)))</f>
        <v>0</v>
      </c>
      <c r="P226" s="284">
        <f>IF(Table2[[#This Row],[Table Lookup for Funeral]]=0,0,IFERROR(INDEX('Quotation Tool'!$S$54:$V$60,MATCH($T226,'Quotation Tool'!$S$54:$S$60,0),3),0))</f>
        <v>0</v>
      </c>
      <c r="Q226" s="288">
        <f ca="1">IF(OR(Table2[[#This Row],[Benefit Name]]="My Value Plus Life - Main Member",Table2[[#This Row],[Benefit Name]]="My Value Plus Life - Spouse"),0,
IFERROR(VLOOKUP($G226,INDIRECT($O226),$P226,FALSE),0))</f>
        <v>0</v>
      </c>
      <c r="R226" s="288">
        <f ca="1">IF(OR(Table2[[#This Row],[Benefit Name]]="My Value Plus Life - Main Member",Table2[[#This Row],[Benefit Name]]="My Value Plus Life - Spouse"),0,
IFERROR(VLOOKUP($G226,INDIRECT($O226),$P226+1,FALSE),0))</f>
        <v>0</v>
      </c>
      <c r="S226" s="289">
        <f t="shared" ca="1" si="24"/>
        <v>0</v>
      </c>
      <c r="T226" s="284" t="str">
        <f>IF(Table13[[#This Row],[Premium Waiver]]="","None",Table13[[#This Row],[Premium Waiver]])</f>
        <v>None</v>
      </c>
      <c r="U226" s="284">
        <f>Table13[[#This Row],[VAPs Options]]</f>
        <v>0</v>
      </c>
      <c r="V226" s="284">
        <f>Table13[[#This Row],[Annual Increase Option]]</f>
        <v>0</v>
      </c>
      <c r="W226" s="290">
        <f>Table13[[#This Row],[Life Cover Amount]]</f>
        <v>0</v>
      </c>
      <c r="X226" s="290">
        <f>Table13[[#This Row],[Funeral Cover Amount]]</f>
        <v>0</v>
      </c>
      <c r="Y22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2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26" s="301">
        <f t="shared" ca="1" si="25"/>
        <v>0</v>
      </c>
      <c r="AB226" s="298"/>
      <c r="AC226" s="326" t="str">
        <f>IF(Table2[[#This Row],[Member Type]]="Main Member",Lookups!$C$13,
IF(Table2[[#This Row],[Member Type]]="Spouse",_xlfn.XLOOKUP(B226,Table2[Main Member Link ID],Table2[Product Option],0),
IF(AND(Table2[[#This Row],[Member Type]]="Child",_xlfn.XLOOKUP(B226,Table2[Main Member Link ID],Table2[Product Option],0)&lt;&gt;"My Value Plus Life"),Lookups!$C$24,
IF(AND(OR(Table2[[#This Row],[Member Type]]="Parent",Table2[[#This Row],[Member Type]]="Extended"),_xlfn.XLOOKUP(B226,Table2[Main Member Link ID],Table2[Product Option],0)&lt;&gt;"My Value Plus Life"),Lookups!$C$26,""))))</f>
        <v/>
      </c>
      <c r="AD226" s="326" t="str">
        <f>IF(Table2[[#This Row],[Member Type]]="Main Member",Lookups!$C$14,"")</f>
        <v/>
      </c>
      <c r="AE22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Funeral",_xlfn.XLOOKUP(B226,Table2[Main Member Link ID],Table2[Benefit Name],0)=Lookups!$D$14),"",
IF(AND(Table2[[#This Row],[Member Type]]="Spouse",Table2[[#This Row],[Product Option]]="My Value Plus Life &amp; Funeral",_xlfn.XLOOKUP(B225,Table2[Main Member Link ID],Table2[Benefit Name],0)=Lookups!$D$15),Lookups!$D$20,
IF(AND(Table2[[#This Row],[Member Type]]="Spouse",Table2[[#This Row],[Product Option]]="My Value Plus Life &amp; Funeral",_xlfn.XLOOKUP(B225,Table2[Main Member Link ID],Table2[Benefit Name],0)=Lookups!$D$16),"",
IF(AND(Table2[[#This Row],[Member Type]]="Spouse",Table2[[#This Row],[Product Option]]="My Value Plus Life &amp; Funeral",_xlfn.XLOOKUP(B225,Table2[Main Member Link ID],Table2[Benefit Name],0)=Lookups!$D$17),Lookups!$D$21,
IF(AND(Table2[[#This Row],[Member Type]]="Child",Table2[[#This Row],[Product Option]]="My Value Plus Life &amp; Funeral",_xlfn.XLOOKUP(B226,Table2[Main Member Link ID],Table2[Benefit Name],0)=Lookups!$D$14),"",
IF(AND(Table2[[#This Row],[Member Type]]="Child",Table2[[#This Row],[Product Option]]="My Value Plus Life &amp; Funeral",_xlfn.XLOOKUP(B226,Table2[Main Member Link ID],Table2[Benefit Name],0)=Lookups!$D$15),"",
IF(AND(Table2[[#This Row],[Member Type]]="Child",Table2[[#This Row],[Product Option]]="My Value Plus Life &amp; Funeral",_xlfn.XLOOKUP(B226,Table2[Main Member Link ID],Table2[Benefit Name],0)=Lookups!$D$16),Lookups!$D$24,
IF(AND(Table2[[#This Row],[Member Type]]="Child",Table2[[#This Row],[Product Option]]="My Value Plus Life &amp; Funeral",_xlfn.XLOOKUP(B226,Table2[Main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Funeral",_xlfn.XLOOKUP(B226,Table2[Main Member Link ID],Table2[Benefit Name],0)&lt;&gt;Lookups!$D$14),
IF(_xlfn.XLOOKUP(B226,Table2[Main Member Link ID],Table2[Benefit Name],0)=0,"",_xlfn.XLOOKUP(B226,Table2[Main Member Link ID],Table2[Benefit Name],0)),"")))))))))))))))</f>
        <v/>
      </c>
      <c r="AF226" s="327" t="str">
        <f>IF(AND(Table2[[#This Row],[Member Type]]="Main Member",Table2[[#This Row],[Product Option]]="My Value Plus Life &amp; Funeral"),Lookups!$D$15,
IF(AND(Table2[[#This Row],[Member Type]]="Spouse",Table2[[#This Row],[Product Option]]="My Value Plus Life &amp; Funeral",_xlfn.XLOOKUP(B226,Table2[Main Member Link ID],Table2[Benefit Name],0)=Lookups!$D$14),"",
IF(AND(Table2[[#This Row],[Member Type]]="Spouse",Table2[[#This Row],[Product Option]]="My Value Plus Life &amp; Funeral",_xlfn.XLOOKUP(B225,Table2[Main Member Link ID],Table2[Benefit Name],0)=Lookups!$D$16),"",
IF(AND(Table2[[#This Row],[Member Type]]="Spouse",Table2[[#This Row],[Product Option]]="My Value Plus Life &amp; Funeral",_xlfn.XLOOKUP(B225,Table2[Main Member Link ID],Table2[Benefit Name],0)=Lookups!$D$15),"",
IF(AND(Table2[[#This Row],[Member Type]]="Spouse",Table2[[#This Row],[Product Option]]="My Value Plus Life &amp; Funeral",_xlfn.XLOOKUP(B225,Table2[Main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Funeral",_xlfn.XLOOKUP(B226,Table2[Main Member Link ID],Table2[Benefit Name],0)&lt;&gt;Lookups!$D$15),
IF(_xlfn.XLOOKUP(B226,Table2[Main Member Link ID],Table2[Benefit Name],0)=0,"",_xlfn.XLOOKUP(B226,Table2[Main Member Link ID],Table2[Benefit Name],0)),"")
))))))</f>
        <v/>
      </c>
      <c r="AG226" s="327" t="str">
        <f>IF(AND(Table2[[#This Row],[Member Type]]="Main Member",Table2[[#This Row],[Product Option]]="My Value Plus Life &amp; Funeral"),Lookups!$D$16,
IF(AND(Table2[[#This Row],[Member Type]]="Spouse",Table2[[#This Row],[Product Option]]="My Value Plus Life &amp; Funeral",_xlfn.XLOOKUP(B226,Table2[Main Member Link ID],Table2[Benefit Name],0)=Lookups!$D$14),"",
IF(AND(Table2[[#This Row],[Member Type]]="Spouse",Table2[[#This Row],[Product Option]]="My Value Plus Life &amp; Funeral",_xlfn.XLOOKUP(B225,Table2[Main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Funeral",_xlfn.XLOOKUP(B226,Table2[Main Member Link ID],Table2[Benefit Name],0)&lt;&gt;Lookups!$D$16),
IF(_xlfn.XLOOKUP(B226,Table2[Main Member Link ID],Table2[Benefit Name],0)=0,"",_xlfn.XLOOKUP(B226,Table2[Main Member Link ID],Table2[Benefit Name],0)),"")
))))</f>
        <v/>
      </c>
      <c r="AH226" s="327" t="str">
        <f>IF(AND(Table2[[#This Row],[Member Type]]="Main Member",Table2[[#This Row],[Product Option]]="My Value Plus Life &amp; Funeral"),Lookups!$D$17,
IF(AND(Table2[[#This Row],[Member Type]]="Spouse",Table2[[#This Row],[Product Option]]="My Value Plus Life &amp; Funeral",_xlfn.XLOOKUP(B226,Table2[Main Member Link ID],Table2[Benefit Name],0)=Lookups!$D$14),"",
IF(AND(Table2[[#This Row],[Member Type]]="Spouse",Table2[[#This Row],[Product Option]]="My Value Plus Life &amp; Funeral",_xlfn.XLOOKUP(B225,Table2[Main Member Link ID],Table2[Benefit Name],0)=Lookups!$D$16),"",
IF(AND(Table2[[#This Row],[Member Type]]="Child",Table2[[#This Row],[Product Option]]="My Value Plus Life &amp; Funeral"),"",
IF(AND(Table2[[#This Row],[Member Type]]="Child",Table2[[#This Row],[Product Option]]="My Value Plus Life &amp; Funeral",_xlfn.XLOOKUP(B226,Table2[Main Member Link ID],Table2[Benefit Name],0)=Lookups!$D$15),"",
IF(AND(OR(Table2[[#This Row],[Member Type]]="Spouse",Table2[[#This Row],[Member Type]]="Child"),Table2[[#This Row],[Product Option]]="My Value Plus Life &amp; Funeral",_xlfn.XLOOKUP(B226,Table2[Main Member Link ID],Table2[Benefit Name],0)&lt;&gt;Lookups!$D$17),
IF(_xlfn.XLOOKUP(B226,Table2[Main Member Link ID],Table2[Benefit Name],0)=0,"",_xlfn.XLOOKUP(B226,Table2[Main Member Link ID],Table2[Benefit Name],0)),""))))))</f>
        <v/>
      </c>
      <c r="AI226" s="328" t="str">
        <f>IF(AND(Table2[[#This Row],[Member Type]]="Main Member",Table2[[#This Row],[Table Lookup for Life Cover]]="MM_LIFE",Table2[[#This Row],[Age Next Birthday]]&lt;56),1,
IF(AND(Table2[[#This Row],[Member Type]]="Main Member",Table2[[#This Row],[Table Lookup for Life Cover]]="MM_LIFE",Table2[[#This Row],[Age Next Birthday]]&gt;=56),2,
""))</f>
        <v/>
      </c>
      <c r="AJ226" s="328">
        <f>IF(OR(Table2[[#This Row],[Member Type]]="Main Member",Table2[[#This Row],[Main Member Link ID]]=B225),1,0)</f>
        <v>1</v>
      </c>
      <c r="AK226" s="328">
        <f>IF(Table2[[#This Row],[Member Type]]=0,0,
IF(OR(Table2[[#This Row],[Member Type]]="Main Member",Table2[[#This Row],[Main Member Link ID]]&lt;&gt;B226),COUNTIFS(B:B,Table2[[#This Row],[Main Member Link ID]]),
COUNTIFS(B:B,Table2[[#This Row],[Main Member Link ID]],A:A,Table2[[#This Row],[Member Type]])))</f>
        <v>0</v>
      </c>
    </row>
    <row r="227" spans="1:37" x14ac:dyDescent="0.3">
      <c r="A227" s="284">
        <f>Table13[[#This Row],[Member Type]]</f>
        <v>0</v>
      </c>
      <c r="B227" s="284">
        <f>Table13[[#This Row],[Main Member Link ID]]</f>
        <v>0</v>
      </c>
      <c r="C227" s="284">
        <f>Table13[[#This Row],[ID Number]]</f>
        <v>0</v>
      </c>
      <c r="D227" s="285">
        <f>Table13[[#This Row],[Date Of Birth]]</f>
        <v>0</v>
      </c>
      <c r="E227" s="285">
        <f>Table13[[#This Row],[Commencement Date]]</f>
        <v>0</v>
      </c>
      <c r="F227" s="284">
        <f t="shared" si="21"/>
        <v>1</v>
      </c>
      <c r="G227" s="284">
        <f t="shared" si="22"/>
        <v>25</v>
      </c>
      <c r="H227" s="286">
        <f>Table13[[#This Row],[Product Option]]</f>
        <v>0</v>
      </c>
      <c r="I227" s="284">
        <f>IF(AND($A227="Main Member",Table2[[#This Row],[Product Option]]="My Value Plus Life"),"MM_LIFE",
IF(AND($A227="Spouse",Table2[[#This Row],[Product Option]]="My Value Plus Life"),"SP_LIFE",
IF(AND($A227="Main Member",Table2[[#This Row],[Product Option]]="My Value Plus Life &amp; Funeral"),"MM_LIFE",
IF(AND($A227="Spouse",Table2[[#This Row],[Product Option]]="My Value Plus Life &amp; Funeral"),_xlfn.XLOOKUP(Table2[[#This Row],[Benefit Name]],Lookups!$D$18:$D$23,Lookups!$E$18:$E$23,0),
0))))</f>
        <v>0</v>
      </c>
      <c r="J227" s="284">
        <f>IF($I227="","",
IF($I227="MM_LIFE",INDEX('Quotation Tool'!$S$54:$V$60,MATCH($T227,'Quotation Tool'!$S$54:$S$60,0),4),
IF($I227="SP_LIFE",_xlfn.XLOOKUP(B226,$B:$B,$J:$J,0),0)))</f>
        <v>0</v>
      </c>
      <c r="K227" s="287">
        <f t="shared" ca="1" si="26"/>
        <v>0</v>
      </c>
      <c r="L227" s="288">
        <f t="shared" ca="1" si="27"/>
        <v>0</v>
      </c>
      <c r="M227" s="289">
        <f t="shared" ca="1" si="23"/>
        <v>0</v>
      </c>
      <c r="N227" s="286">
        <f>Table13[[#This Row],[Benefit Option]]</f>
        <v>0</v>
      </c>
      <c r="O227" s="284">
        <f>IF(OR(Table2[[#This Row],[Member Type]]="Spouse",Table2[[#This Row],[Member Type]]="Child"),0,
IF(_xlfn.XLOOKUP($N227,Lookups!$D$13:$D$27,Lookups!$F$13:$F$27,0)=Table2[[#This Row],[Table Lookup for Life Cover]],0,
_xlfn.XLOOKUP($N227,Lookups!$D$13:$D$27,Lookups!$F$13:$F$27,0)))</f>
        <v>0</v>
      </c>
      <c r="P227" s="284">
        <f>IF(Table2[[#This Row],[Table Lookup for Funeral]]=0,0,IFERROR(INDEX('Quotation Tool'!$S$54:$V$60,MATCH($T227,'Quotation Tool'!$S$54:$S$60,0),3),0))</f>
        <v>0</v>
      </c>
      <c r="Q227" s="288">
        <f ca="1">IF(OR(Table2[[#This Row],[Benefit Name]]="My Value Plus Life - Main Member",Table2[[#This Row],[Benefit Name]]="My Value Plus Life - Spouse"),0,
IFERROR(VLOOKUP($G227,INDIRECT($O227),$P227,FALSE),0))</f>
        <v>0</v>
      </c>
      <c r="R227" s="288">
        <f ca="1">IF(OR(Table2[[#This Row],[Benefit Name]]="My Value Plus Life - Main Member",Table2[[#This Row],[Benefit Name]]="My Value Plus Life - Spouse"),0,
IFERROR(VLOOKUP($G227,INDIRECT($O227),$P227+1,FALSE),0))</f>
        <v>0</v>
      </c>
      <c r="S227" s="289">
        <f t="shared" ca="1" si="24"/>
        <v>0</v>
      </c>
      <c r="T227" s="284" t="str">
        <f>IF(Table13[[#This Row],[Premium Waiver]]="","None",Table13[[#This Row],[Premium Waiver]])</f>
        <v>None</v>
      </c>
      <c r="U227" s="284">
        <f>Table13[[#This Row],[VAPs Options]]</f>
        <v>0</v>
      </c>
      <c r="V227" s="284">
        <f>Table13[[#This Row],[Annual Increase Option]]</f>
        <v>0</v>
      </c>
      <c r="W227" s="290">
        <f>Table13[[#This Row],[Life Cover Amount]]</f>
        <v>0</v>
      </c>
      <c r="X227" s="290">
        <f>Table13[[#This Row],[Funeral Cover Amount]]</f>
        <v>0</v>
      </c>
      <c r="Y22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2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27" s="301">
        <f t="shared" ca="1" si="25"/>
        <v>0</v>
      </c>
      <c r="AB227" s="298"/>
      <c r="AC227" s="326" t="str">
        <f>IF(Table2[[#This Row],[Member Type]]="Main Member",Lookups!$C$13,
IF(Table2[[#This Row],[Member Type]]="Spouse",_xlfn.XLOOKUP(B227,Table2[Main Member Link ID],Table2[Product Option],0),
IF(AND(Table2[[#This Row],[Member Type]]="Child",_xlfn.XLOOKUP(B227,Table2[Main Member Link ID],Table2[Product Option],0)&lt;&gt;"My Value Plus Life"),Lookups!$C$24,
IF(AND(OR(Table2[[#This Row],[Member Type]]="Parent",Table2[[#This Row],[Member Type]]="Extended"),_xlfn.XLOOKUP(B227,Table2[Main Member Link ID],Table2[Product Option],0)&lt;&gt;"My Value Plus Life"),Lookups!$C$26,""))))</f>
        <v/>
      </c>
      <c r="AD227" s="326" t="str">
        <f>IF(Table2[[#This Row],[Member Type]]="Main Member",Lookups!$C$14,"")</f>
        <v/>
      </c>
      <c r="AE22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Funeral",_xlfn.XLOOKUP(B227,Table2[Main Member Link ID],Table2[Benefit Name],0)=Lookups!$D$14),"",
IF(AND(Table2[[#This Row],[Member Type]]="Spouse",Table2[[#This Row],[Product Option]]="My Value Plus Life &amp; Funeral",_xlfn.XLOOKUP(B226,Table2[Main Member Link ID],Table2[Benefit Name],0)=Lookups!$D$15),Lookups!$D$20,
IF(AND(Table2[[#This Row],[Member Type]]="Spouse",Table2[[#This Row],[Product Option]]="My Value Plus Life &amp; Funeral",_xlfn.XLOOKUP(B226,Table2[Main Member Link ID],Table2[Benefit Name],0)=Lookups!$D$16),"",
IF(AND(Table2[[#This Row],[Member Type]]="Spouse",Table2[[#This Row],[Product Option]]="My Value Plus Life &amp; Funeral",_xlfn.XLOOKUP(B226,Table2[Main Member Link ID],Table2[Benefit Name],0)=Lookups!$D$17),Lookups!$D$21,
IF(AND(Table2[[#This Row],[Member Type]]="Child",Table2[[#This Row],[Product Option]]="My Value Plus Life &amp; Funeral",_xlfn.XLOOKUP(B227,Table2[Main Member Link ID],Table2[Benefit Name],0)=Lookups!$D$14),"",
IF(AND(Table2[[#This Row],[Member Type]]="Child",Table2[[#This Row],[Product Option]]="My Value Plus Life &amp; Funeral",_xlfn.XLOOKUP(B227,Table2[Main Member Link ID],Table2[Benefit Name],0)=Lookups!$D$15),"",
IF(AND(Table2[[#This Row],[Member Type]]="Child",Table2[[#This Row],[Product Option]]="My Value Plus Life &amp; Funeral",_xlfn.XLOOKUP(B227,Table2[Main Member Link ID],Table2[Benefit Name],0)=Lookups!$D$16),Lookups!$D$24,
IF(AND(Table2[[#This Row],[Member Type]]="Child",Table2[[#This Row],[Product Option]]="My Value Plus Life &amp; Funeral",_xlfn.XLOOKUP(B227,Table2[Main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Funeral",_xlfn.XLOOKUP(B227,Table2[Main Member Link ID],Table2[Benefit Name],0)&lt;&gt;Lookups!$D$14),
IF(_xlfn.XLOOKUP(B227,Table2[Main Member Link ID],Table2[Benefit Name],0)=0,"",_xlfn.XLOOKUP(B227,Table2[Main Member Link ID],Table2[Benefit Name],0)),"")))))))))))))))</f>
        <v/>
      </c>
      <c r="AF227" s="327" t="str">
        <f>IF(AND(Table2[[#This Row],[Member Type]]="Main Member",Table2[[#This Row],[Product Option]]="My Value Plus Life &amp; Funeral"),Lookups!$D$15,
IF(AND(Table2[[#This Row],[Member Type]]="Spouse",Table2[[#This Row],[Product Option]]="My Value Plus Life &amp; Funeral",_xlfn.XLOOKUP(B227,Table2[Main Member Link ID],Table2[Benefit Name],0)=Lookups!$D$14),"",
IF(AND(Table2[[#This Row],[Member Type]]="Spouse",Table2[[#This Row],[Product Option]]="My Value Plus Life &amp; Funeral",_xlfn.XLOOKUP(B226,Table2[Main Member Link ID],Table2[Benefit Name],0)=Lookups!$D$16),"",
IF(AND(Table2[[#This Row],[Member Type]]="Spouse",Table2[[#This Row],[Product Option]]="My Value Plus Life &amp; Funeral",_xlfn.XLOOKUP(B226,Table2[Main Member Link ID],Table2[Benefit Name],0)=Lookups!$D$15),"",
IF(AND(Table2[[#This Row],[Member Type]]="Spouse",Table2[[#This Row],[Product Option]]="My Value Plus Life &amp; Funeral",_xlfn.XLOOKUP(B226,Table2[Main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Funeral",_xlfn.XLOOKUP(B227,Table2[Main Member Link ID],Table2[Benefit Name],0)&lt;&gt;Lookups!$D$15),
IF(_xlfn.XLOOKUP(B227,Table2[Main Member Link ID],Table2[Benefit Name],0)=0,"",_xlfn.XLOOKUP(B227,Table2[Main Member Link ID],Table2[Benefit Name],0)),"")
))))))</f>
        <v/>
      </c>
      <c r="AG227" s="327" t="str">
        <f>IF(AND(Table2[[#This Row],[Member Type]]="Main Member",Table2[[#This Row],[Product Option]]="My Value Plus Life &amp; Funeral"),Lookups!$D$16,
IF(AND(Table2[[#This Row],[Member Type]]="Spouse",Table2[[#This Row],[Product Option]]="My Value Plus Life &amp; Funeral",_xlfn.XLOOKUP(B227,Table2[Main Member Link ID],Table2[Benefit Name],0)=Lookups!$D$14),"",
IF(AND(Table2[[#This Row],[Member Type]]="Spouse",Table2[[#This Row],[Product Option]]="My Value Plus Life &amp; Funeral",_xlfn.XLOOKUP(B226,Table2[Main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Funeral",_xlfn.XLOOKUP(B227,Table2[Main Member Link ID],Table2[Benefit Name],0)&lt;&gt;Lookups!$D$16),
IF(_xlfn.XLOOKUP(B227,Table2[Main Member Link ID],Table2[Benefit Name],0)=0,"",_xlfn.XLOOKUP(B227,Table2[Main Member Link ID],Table2[Benefit Name],0)),"")
))))</f>
        <v/>
      </c>
      <c r="AH227" s="327" t="str">
        <f>IF(AND(Table2[[#This Row],[Member Type]]="Main Member",Table2[[#This Row],[Product Option]]="My Value Plus Life &amp; Funeral"),Lookups!$D$17,
IF(AND(Table2[[#This Row],[Member Type]]="Spouse",Table2[[#This Row],[Product Option]]="My Value Plus Life &amp; Funeral",_xlfn.XLOOKUP(B227,Table2[Main Member Link ID],Table2[Benefit Name],0)=Lookups!$D$14),"",
IF(AND(Table2[[#This Row],[Member Type]]="Spouse",Table2[[#This Row],[Product Option]]="My Value Plus Life &amp; Funeral",_xlfn.XLOOKUP(B226,Table2[Main Member Link ID],Table2[Benefit Name],0)=Lookups!$D$16),"",
IF(AND(Table2[[#This Row],[Member Type]]="Child",Table2[[#This Row],[Product Option]]="My Value Plus Life &amp; Funeral"),"",
IF(AND(Table2[[#This Row],[Member Type]]="Child",Table2[[#This Row],[Product Option]]="My Value Plus Life &amp; Funeral",_xlfn.XLOOKUP(B227,Table2[Main Member Link ID],Table2[Benefit Name],0)=Lookups!$D$15),"",
IF(AND(OR(Table2[[#This Row],[Member Type]]="Spouse",Table2[[#This Row],[Member Type]]="Child"),Table2[[#This Row],[Product Option]]="My Value Plus Life &amp; Funeral",_xlfn.XLOOKUP(B227,Table2[Main Member Link ID],Table2[Benefit Name],0)&lt;&gt;Lookups!$D$17),
IF(_xlfn.XLOOKUP(B227,Table2[Main Member Link ID],Table2[Benefit Name],0)=0,"",_xlfn.XLOOKUP(B227,Table2[Main Member Link ID],Table2[Benefit Name],0)),""))))))</f>
        <v/>
      </c>
      <c r="AI227" s="328" t="str">
        <f>IF(AND(Table2[[#This Row],[Member Type]]="Main Member",Table2[[#This Row],[Table Lookup for Life Cover]]="MM_LIFE",Table2[[#This Row],[Age Next Birthday]]&lt;56),1,
IF(AND(Table2[[#This Row],[Member Type]]="Main Member",Table2[[#This Row],[Table Lookup for Life Cover]]="MM_LIFE",Table2[[#This Row],[Age Next Birthday]]&gt;=56),2,
""))</f>
        <v/>
      </c>
      <c r="AJ227" s="328">
        <f>IF(OR(Table2[[#This Row],[Member Type]]="Main Member",Table2[[#This Row],[Main Member Link ID]]=B226),1,0)</f>
        <v>1</v>
      </c>
      <c r="AK227" s="328">
        <f>IF(Table2[[#This Row],[Member Type]]=0,0,
IF(OR(Table2[[#This Row],[Member Type]]="Main Member",Table2[[#This Row],[Main Member Link ID]]&lt;&gt;B227),COUNTIFS(B:B,Table2[[#This Row],[Main Member Link ID]]),
COUNTIFS(B:B,Table2[[#This Row],[Main Member Link ID]],A:A,Table2[[#This Row],[Member Type]])))</f>
        <v>0</v>
      </c>
    </row>
    <row r="228" spans="1:37" x14ac:dyDescent="0.3">
      <c r="A228" s="284">
        <f>Table13[[#This Row],[Member Type]]</f>
        <v>0</v>
      </c>
      <c r="B228" s="284">
        <f>Table13[[#This Row],[Main Member Link ID]]</f>
        <v>0</v>
      </c>
      <c r="C228" s="284">
        <f>Table13[[#This Row],[ID Number]]</f>
        <v>0</v>
      </c>
      <c r="D228" s="285">
        <f>Table13[[#This Row],[Date Of Birth]]</f>
        <v>0</v>
      </c>
      <c r="E228" s="285">
        <f>Table13[[#This Row],[Commencement Date]]</f>
        <v>0</v>
      </c>
      <c r="F228" s="284">
        <f t="shared" si="21"/>
        <v>1</v>
      </c>
      <c r="G228" s="284">
        <f t="shared" si="22"/>
        <v>25</v>
      </c>
      <c r="H228" s="286">
        <f>Table13[[#This Row],[Product Option]]</f>
        <v>0</v>
      </c>
      <c r="I228" s="284">
        <f>IF(AND($A228="Main Member",Table2[[#This Row],[Product Option]]="My Value Plus Life"),"MM_LIFE",
IF(AND($A228="Spouse",Table2[[#This Row],[Product Option]]="My Value Plus Life"),"SP_LIFE",
IF(AND($A228="Main Member",Table2[[#This Row],[Product Option]]="My Value Plus Life &amp; Funeral"),"MM_LIFE",
IF(AND($A228="Spouse",Table2[[#This Row],[Product Option]]="My Value Plus Life &amp; Funeral"),_xlfn.XLOOKUP(Table2[[#This Row],[Benefit Name]],Lookups!$D$18:$D$23,Lookups!$E$18:$E$23,0),
0))))</f>
        <v>0</v>
      </c>
      <c r="J228" s="284">
        <f>IF($I228="","",
IF($I228="MM_LIFE",INDEX('Quotation Tool'!$S$54:$V$60,MATCH($T228,'Quotation Tool'!$S$54:$S$60,0),4),
IF($I228="SP_LIFE",_xlfn.XLOOKUP(B227,$B:$B,$J:$J,0),0)))</f>
        <v>0</v>
      </c>
      <c r="K228" s="287">
        <f t="shared" ca="1" si="26"/>
        <v>0</v>
      </c>
      <c r="L228" s="288">
        <f t="shared" ca="1" si="27"/>
        <v>0</v>
      </c>
      <c r="M228" s="289">
        <f t="shared" ca="1" si="23"/>
        <v>0</v>
      </c>
      <c r="N228" s="286">
        <f>Table13[[#This Row],[Benefit Option]]</f>
        <v>0</v>
      </c>
      <c r="O228" s="284">
        <f>IF(OR(Table2[[#This Row],[Member Type]]="Spouse",Table2[[#This Row],[Member Type]]="Child"),0,
IF(_xlfn.XLOOKUP($N228,Lookups!$D$13:$D$27,Lookups!$F$13:$F$27,0)=Table2[[#This Row],[Table Lookup for Life Cover]],0,
_xlfn.XLOOKUP($N228,Lookups!$D$13:$D$27,Lookups!$F$13:$F$27,0)))</f>
        <v>0</v>
      </c>
      <c r="P228" s="284">
        <f>IF(Table2[[#This Row],[Table Lookup for Funeral]]=0,0,IFERROR(INDEX('Quotation Tool'!$S$54:$V$60,MATCH($T228,'Quotation Tool'!$S$54:$S$60,0),3),0))</f>
        <v>0</v>
      </c>
      <c r="Q228" s="288">
        <f ca="1">IF(OR(Table2[[#This Row],[Benefit Name]]="My Value Plus Life - Main Member",Table2[[#This Row],[Benefit Name]]="My Value Plus Life - Spouse"),0,
IFERROR(VLOOKUP($G228,INDIRECT($O228),$P228,FALSE),0))</f>
        <v>0</v>
      </c>
      <c r="R228" s="288">
        <f ca="1">IF(OR(Table2[[#This Row],[Benefit Name]]="My Value Plus Life - Main Member",Table2[[#This Row],[Benefit Name]]="My Value Plus Life - Spouse"),0,
IFERROR(VLOOKUP($G228,INDIRECT($O228),$P228+1,FALSE),0))</f>
        <v>0</v>
      </c>
      <c r="S228" s="289">
        <f t="shared" ca="1" si="24"/>
        <v>0</v>
      </c>
      <c r="T228" s="284" t="str">
        <f>IF(Table13[[#This Row],[Premium Waiver]]="","None",Table13[[#This Row],[Premium Waiver]])</f>
        <v>None</v>
      </c>
      <c r="U228" s="284">
        <f>Table13[[#This Row],[VAPs Options]]</f>
        <v>0</v>
      </c>
      <c r="V228" s="284">
        <f>Table13[[#This Row],[Annual Increase Option]]</f>
        <v>0</v>
      </c>
      <c r="W228" s="290">
        <f>Table13[[#This Row],[Life Cover Amount]]</f>
        <v>0</v>
      </c>
      <c r="X228" s="290">
        <f>Table13[[#This Row],[Funeral Cover Amount]]</f>
        <v>0</v>
      </c>
      <c r="Y22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2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28" s="301">
        <f t="shared" ca="1" si="25"/>
        <v>0</v>
      </c>
      <c r="AB228" s="298"/>
      <c r="AC228" s="326" t="str">
        <f>IF(Table2[[#This Row],[Member Type]]="Main Member",Lookups!$C$13,
IF(Table2[[#This Row],[Member Type]]="Spouse",_xlfn.XLOOKUP(B228,Table2[Main Member Link ID],Table2[Product Option],0),
IF(AND(Table2[[#This Row],[Member Type]]="Child",_xlfn.XLOOKUP(B228,Table2[Main Member Link ID],Table2[Product Option],0)&lt;&gt;"My Value Plus Life"),Lookups!$C$24,
IF(AND(OR(Table2[[#This Row],[Member Type]]="Parent",Table2[[#This Row],[Member Type]]="Extended"),_xlfn.XLOOKUP(B228,Table2[Main Member Link ID],Table2[Product Option],0)&lt;&gt;"My Value Plus Life"),Lookups!$C$26,""))))</f>
        <v/>
      </c>
      <c r="AD228" s="326" t="str">
        <f>IF(Table2[[#This Row],[Member Type]]="Main Member",Lookups!$C$14,"")</f>
        <v/>
      </c>
      <c r="AE22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Funeral",_xlfn.XLOOKUP(B228,Table2[Main Member Link ID],Table2[Benefit Name],0)=Lookups!$D$14),"",
IF(AND(Table2[[#This Row],[Member Type]]="Spouse",Table2[[#This Row],[Product Option]]="My Value Plus Life &amp; Funeral",_xlfn.XLOOKUP(B227,Table2[Main Member Link ID],Table2[Benefit Name],0)=Lookups!$D$15),Lookups!$D$20,
IF(AND(Table2[[#This Row],[Member Type]]="Spouse",Table2[[#This Row],[Product Option]]="My Value Plus Life &amp; Funeral",_xlfn.XLOOKUP(B227,Table2[Main Member Link ID],Table2[Benefit Name],0)=Lookups!$D$16),"",
IF(AND(Table2[[#This Row],[Member Type]]="Spouse",Table2[[#This Row],[Product Option]]="My Value Plus Life &amp; Funeral",_xlfn.XLOOKUP(B227,Table2[Main Member Link ID],Table2[Benefit Name],0)=Lookups!$D$17),Lookups!$D$21,
IF(AND(Table2[[#This Row],[Member Type]]="Child",Table2[[#This Row],[Product Option]]="My Value Plus Life &amp; Funeral",_xlfn.XLOOKUP(B228,Table2[Main Member Link ID],Table2[Benefit Name],0)=Lookups!$D$14),"",
IF(AND(Table2[[#This Row],[Member Type]]="Child",Table2[[#This Row],[Product Option]]="My Value Plus Life &amp; Funeral",_xlfn.XLOOKUP(B228,Table2[Main Member Link ID],Table2[Benefit Name],0)=Lookups!$D$15),"",
IF(AND(Table2[[#This Row],[Member Type]]="Child",Table2[[#This Row],[Product Option]]="My Value Plus Life &amp; Funeral",_xlfn.XLOOKUP(B228,Table2[Main Member Link ID],Table2[Benefit Name],0)=Lookups!$D$16),Lookups!$D$24,
IF(AND(Table2[[#This Row],[Member Type]]="Child",Table2[[#This Row],[Product Option]]="My Value Plus Life &amp; Funeral",_xlfn.XLOOKUP(B228,Table2[Main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Funeral",_xlfn.XLOOKUP(B228,Table2[Main Member Link ID],Table2[Benefit Name],0)&lt;&gt;Lookups!$D$14),
IF(_xlfn.XLOOKUP(B228,Table2[Main Member Link ID],Table2[Benefit Name],0)=0,"",_xlfn.XLOOKUP(B228,Table2[Main Member Link ID],Table2[Benefit Name],0)),"")))))))))))))))</f>
        <v/>
      </c>
      <c r="AF228" s="327" t="str">
        <f>IF(AND(Table2[[#This Row],[Member Type]]="Main Member",Table2[[#This Row],[Product Option]]="My Value Plus Life &amp; Funeral"),Lookups!$D$15,
IF(AND(Table2[[#This Row],[Member Type]]="Spouse",Table2[[#This Row],[Product Option]]="My Value Plus Life &amp; Funeral",_xlfn.XLOOKUP(B228,Table2[Main Member Link ID],Table2[Benefit Name],0)=Lookups!$D$14),"",
IF(AND(Table2[[#This Row],[Member Type]]="Spouse",Table2[[#This Row],[Product Option]]="My Value Plus Life &amp; Funeral",_xlfn.XLOOKUP(B227,Table2[Main Member Link ID],Table2[Benefit Name],0)=Lookups!$D$16),"",
IF(AND(Table2[[#This Row],[Member Type]]="Spouse",Table2[[#This Row],[Product Option]]="My Value Plus Life &amp; Funeral",_xlfn.XLOOKUP(B227,Table2[Main Member Link ID],Table2[Benefit Name],0)=Lookups!$D$15),"",
IF(AND(Table2[[#This Row],[Member Type]]="Spouse",Table2[[#This Row],[Product Option]]="My Value Plus Life &amp; Funeral",_xlfn.XLOOKUP(B227,Table2[Main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Funeral",_xlfn.XLOOKUP(B228,Table2[Main Member Link ID],Table2[Benefit Name],0)&lt;&gt;Lookups!$D$15),
IF(_xlfn.XLOOKUP(B228,Table2[Main Member Link ID],Table2[Benefit Name],0)=0,"",_xlfn.XLOOKUP(B228,Table2[Main Member Link ID],Table2[Benefit Name],0)),"")
))))))</f>
        <v/>
      </c>
      <c r="AG228" s="327" t="str">
        <f>IF(AND(Table2[[#This Row],[Member Type]]="Main Member",Table2[[#This Row],[Product Option]]="My Value Plus Life &amp; Funeral"),Lookups!$D$16,
IF(AND(Table2[[#This Row],[Member Type]]="Spouse",Table2[[#This Row],[Product Option]]="My Value Plus Life &amp; Funeral",_xlfn.XLOOKUP(B228,Table2[Main Member Link ID],Table2[Benefit Name],0)=Lookups!$D$14),"",
IF(AND(Table2[[#This Row],[Member Type]]="Spouse",Table2[[#This Row],[Product Option]]="My Value Plus Life &amp; Funeral",_xlfn.XLOOKUP(B227,Table2[Main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Funeral",_xlfn.XLOOKUP(B228,Table2[Main Member Link ID],Table2[Benefit Name],0)&lt;&gt;Lookups!$D$16),
IF(_xlfn.XLOOKUP(B228,Table2[Main Member Link ID],Table2[Benefit Name],0)=0,"",_xlfn.XLOOKUP(B228,Table2[Main Member Link ID],Table2[Benefit Name],0)),"")
))))</f>
        <v/>
      </c>
      <c r="AH228" s="327" t="str">
        <f>IF(AND(Table2[[#This Row],[Member Type]]="Main Member",Table2[[#This Row],[Product Option]]="My Value Plus Life &amp; Funeral"),Lookups!$D$17,
IF(AND(Table2[[#This Row],[Member Type]]="Spouse",Table2[[#This Row],[Product Option]]="My Value Plus Life &amp; Funeral",_xlfn.XLOOKUP(B228,Table2[Main Member Link ID],Table2[Benefit Name],0)=Lookups!$D$14),"",
IF(AND(Table2[[#This Row],[Member Type]]="Spouse",Table2[[#This Row],[Product Option]]="My Value Plus Life &amp; Funeral",_xlfn.XLOOKUP(B227,Table2[Main Member Link ID],Table2[Benefit Name],0)=Lookups!$D$16),"",
IF(AND(Table2[[#This Row],[Member Type]]="Child",Table2[[#This Row],[Product Option]]="My Value Plus Life &amp; Funeral"),"",
IF(AND(Table2[[#This Row],[Member Type]]="Child",Table2[[#This Row],[Product Option]]="My Value Plus Life &amp; Funeral",_xlfn.XLOOKUP(B228,Table2[Main Member Link ID],Table2[Benefit Name],0)=Lookups!$D$15),"",
IF(AND(OR(Table2[[#This Row],[Member Type]]="Spouse",Table2[[#This Row],[Member Type]]="Child"),Table2[[#This Row],[Product Option]]="My Value Plus Life &amp; Funeral",_xlfn.XLOOKUP(B228,Table2[Main Member Link ID],Table2[Benefit Name],0)&lt;&gt;Lookups!$D$17),
IF(_xlfn.XLOOKUP(B228,Table2[Main Member Link ID],Table2[Benefit Name],0)=0,"",_xlfn.XLOOKUP(B228,Table2[Main Member Link ID],Table2[Benefit Name],0)),""))))))</f>
        <v/>
      </c>
      <c r="AI228" s="328" t="str">
        <f>IF(AND(Table2[[#This Row],[Member Type]]="Main Member",Table2[[#This Row],[Table Lookup for Life Cover]]="MM_LIFE",Table2[[#This Row],[Age Next Birthday]]&lt;56),1,
IF(AND(Table2[[#This Row],[Member Type]]="Main Member",Table2[[#This Row],[Table Lookup for Life Cover]]="MM_LIFE",Table2[[#This Row],[Age Next Birthday]]&gt;=56),2,
""))</f>
        <v/>
      </c>
      <c r="AJ228" s="328">
        <f>IF(OR(Table2[[#This Row],[Member Type]]="Main Member",Table2[[#This Row],[Main Member Link ID]]=B227),1,0)</f>
        <v>1</v>
      </c>
      <c r="AK228" s="328">
        <f>IF(Table2[[#This Row],[Member Type]]=0,0,
IF(OR(Table2[[#This Row],[Member Type]]="Main Member",Table2[[#This Row],[Main Member Link ID]]&lt;&gt;B228),COUNTIFS(B:B,Table2[[#This Row],[Main Member Link ID]]),
COUNTIFS(B:B,Table2[[#This Row],[Main Member Link ID]],A:A,Table2[[#This Row],[Member Type]])))</f>
        <v>0</v>
      </c>
    </row>
    <row r="229" spans="1:37" x14ac:dyDescent="0.3">
      <c r="A229" s="284">
        <f>Table13[[#This Row],[Member Type]]</f>
        <v>0</v>
      </c>
      <c r="B229" s="284">
        <f>Table13[[#This Row],[Main Member Link ID]]</f>
        <v>0</v>
      </c>
      <c r="C229" s="284">
        <f>Table13[[#This Row],[ID Number]]</f>
        <v>0</v>
      </c>
      <c r="D229" s="285">
        <f>Table13[[#This Row],[Date Of Birth]]</f>
        <v>0</v>
      </c>
      <c r="E229" s="285">
        <f>Table13[[#This Row],[Commencement Date]]</f>
        <v>0</v>
      </c>
      <c r="F229" s="284">
        <f t="shared" si="21"/>
        <v>1</v>
      </c>
      <c r="G229" s="284">
        <f t="shared" si="22"/>
        <v>25</v>
      </c>
      <c r="H229" s="286">
        <f>Table13[[#This Row],[Product Option]]</f>
        <v>0</v>
      </c>
      <c r="I229" s="284">
        <f>IF(AND($A229="Main Member",Table2[[#This Row],[Product Option]]="My Value Plus Life"),"MM_LIFE",
IF(AND($A229="Spouse",Table2[[#This Row],[Product Option]]="My Value Plus Life"),"SP_LIFE",
IF(AND($A229="Main Member",Table2[[#This Row],[Product Option]]="My Value Plus Life &amp; Funeral"),"MM_LIFE",
IF(AND($A229="Spouse",Table2[[#This Row],[Product Option]]="My Value Plus Life &amp; Funeral"),_xlfn.XLOOKUP(Table2[[#This Row],[Benefit Name]],Lookups!$D$18:$D$23,Lookups!$E$18:$E$23,0),
0))))</f>
        <v>0</v>
      </c>
      <c r="J229" s="284">
        <f>IF($I229="","",
IF($I229="MM_LIFE",INDEX('Quotation Tool'!$S$54:$V$60,MATCH($T229,'Quotation Tool'!$S$54:$S$60,0),4),
IF($I229="SP_LIFE",_xlfn.XLOOKUP(B228,$B:$B,$J:$J,0),0)))</f>
        <v>0</v>
      </c>
      <c r="K229" s="287">
        <f t="shared" ca="1" si="26"/>
        <v>0</v>
      </c>
      <c r="L229" s="288">
        <f t="shared" ca="1" si="27"/>
        <v>0</v>
      </c>
      <c r="M229" s="289">
        <f t="shared" ca="1" si="23"/>
        <v>0</v>
      </c>
      <c r="N229" s="286">
        <f>Table13[[#This Row],[Benefit Option]]</f>
        <v>0</v>
      </c>
      <c r="O229" s="284">
        <f>IF(OR(Table2[[#This Row],[Member Type]]="Spouse",Table2[[#This Row],[Member Type]]="Child"),0,
IF(_xlfn.XLOOKUP($N229,Lookups!$D$13:$D$27,Lookups!$F$13:$F$27,0)=Table2[[#This Row],[Table Lookup for Life Cover]],0,
_xlfn.XLOOKUP($N229,Lookups!$D$13:$D$27,Lookups!$F$13:$F$27,0)))</f>
        <v>0</v>
      </c>
      <c r="P229" s="284">
        <f>IF(Table2[[#This Row],[Table Lookup for Funeral]]=0,0,IFERROR(INDEX('Quotation Tool'!$S$54:$V$60,MATCH($T229,'Quotation Tool'!$S$54:$S$60,0),3),0))</f>
        <v>0</v>
      </c>
      <c r="Q229" s="288">
        <f ca="1">IF(OR(Table2[[#This Row],[Benefit Name]]="My Value Plus Life - Main Member",Table2[[#This Row],[Benefit Name]]="My Value Plus Life - Spouse"),0,
IFERROR(VLOOKUP($G229,INDIRECT($O229),$P229,FALSE),0))</f>
        <v>0</v>
      </c>
      <c r="R229" s="288">
        <f ca="1">IF(OR(Table2[[#This Row],[Benefit Name]]="My Value Plus Life - Main Member",Table2[[#This Row],[Benefit Name]]="My Value Plus Life - Spouse"),0,
IFERROR(VLOOKUP($G229,INDIRECT($O229),$P229+1,FALSE),0))</f>
        <v>0</v>
      </c>
      <c r="S229" s="289">
        <f t="shared" ca="1" si="24"/>
        <v>0</v>
      </c>
      <c r="T229" s="284" t="str">
        <f>IF(Table13[[#This Row],[Premium Waiver]]="","None",Table13[[#This Row],[Premium Waiver]])</f>
        <v>None</v>
      </c>
      <c r="U229" s="284">
        <f>Table13[[#This Row],[VAPs Options]]</f>
        <v>0</v>
      </c>
      <c r="V229" s="284">
        <f>Table13[[#This Row],[Annual Increase Option]]</f>
        <v>0</v>
      </c>
      <c r="W229" s="290">
        <f>Table13[[#This Row],[Life Cover Amount]]</f>
        <v>0</v>
      </c>
      <c r="X229" s="290">
        <f>Table13[[#This Row],[Funeral Cover Amount]]</f>
        <v>0</v>
      </c>
      <c r="Y22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2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29" s="301">
        <f t="shared" ca="1" si="25"/>
        <v>0</v>
      </c>
      <c r="AB229" s="298"/>
      <c r="AC229" s="326" t="str">
        <f>IF(Table2[[#This Row],[Member Type]]="Main Member",Lookups!$C$13,
IF(Table2[[#This Row],[Member Type]]="Spouse",_xlfn.XLOOKUP(B229,Table2[Main Member Link ID],Table2[Product Option],0),
IF(AND(Table2[[#This Row],[Member Type]]="Child",_xlfn.XLOOKUP(B229,Table2[Main Member Link ID],Table2[Product Option],0)&lt;&gt;"My Value Plus Life"),Lookups!$C$24,
IF(AND(OR(Table2[[#This Row],[Member Type]]="Parent",Table2[[#This Row],[Member Type]]="Extended"),_xlfn.XLOOKUP(B229,Table2[Main Member Link ID],Table2[Product Option],0)&lt;&gt;"My Value Plus Life"),Lookups!$C$26,""))))</f>
        <v/>
      </c>
      <c r="AD229" s="326" t="str">
        <f>IF(Table2[[#This Row],[Member Type]]="Main Member",Lookups!$C$14,"")</f>
        <v/>
      </c>
      <c r="AE22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Funeral",_xlfn.XLOOKUP(B229,Table2[Main Member Link ID],Table2[Benefit Name],0)=Lookups!$D$14),"",
IF(AND(Table2[[#This Row],[Member Type]]="Spouse",Table2[[#This Row],[Product Option]]="My Value Plus Life &amp; Funeral",_xlfn.XLOOKUP(B228,Table2[Main Member Link ID],Table2[Benefit Name],0)=Lookups!$D$15),Lookups!$D$20,
IF(AND(Table2[[#This Row],[Member Type]]="Spouse",Table2[[#This Row],[Product Option]]="My Value Plus Life &amp; Funeral",_xlfn.XLOOKUP(B228,Table2[Main Member Link ID],Table2[Benefit Name],0)=Lookups!$D$16),"",
IF(AND(Table2[[#This Row],[Member Type]]="Spouse",Table2[[#This Row],[Product Option]]="My Value Plus Life &amp; Funeral",_xlfn.XLOOKUP(B228,Table2[Main Member Link ID],Table2[Benefit Name],0)=Lookups!$D$17),Lookups!$D$21,
IF(AND(Table2[[#This Row],[Member Type]]="Child",Table2[[#This Row],[Product Option]]="My Value Plus Life &amp; Funeral",_xlfn.XLOOKUP(B229,Table2[Main Member Link ID],Table2[Benefit Name],0)=Lookups!$D$14),"",
IF(AND(Table2[[#This Row],[Member Type]]="Child",Table2[[#This Row],[Product Option]]="My Value Plus Life &amp; Funeral",_xlfn.XLOOKUP(B229,Table2[Main Member Link ID],Table2[Benefit Name],0)=Lookups!$D$15),"",
IF(AND(Table2[[#This Row],[Member Type]]="Child",Table2[[#This Row],[Product Option]]="My Value Plus Life &amp; Funeral",_xlfn.XLOOKUP(B229,Table2[Main Member Link ID],Table2[Benefit Name],0)=Lookups!$D$16),Lookups!$D$24,
IF(AND(Table2[[#This Row],[Member Type]]="Child",Table2[[#This Row],[Product Option]]="My Value Plus Life &amp; Funeral",_xlfn.XLOOKUP(B229,Table2[Main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Funeral",_xlfn.XLOOKUP(B229,Table2[Main Member Link ID],Table2[Benefit Name],0)&lt;&gt;Lookups!$D$14),
IF(_xlfn.XLOOKUP(B229,Table2[Main Member Link ID],Table2[Benefit Name],0)=0,"",_xlfn.XLOOKUP(B229,Table2[Main Member Link ID],Table2[Benefit Name],0)),"")))))))))))))))</f>
        <v/>
      </c>
      <c r="AF229" s="327" t="str">
        <f>IF(AND(Table2[[#This Row],[Member Type]]="Main Member",Table2[[#This Row],[Product Option]]="My Value Plus Life &amp; Funeral"),Lookups!$D$15,
IF(AND(Table2[[#This Row],[Member Type]]="Spouse",Table2[[#This Row],[Product Option]]="My Value Plus Life &amp; Funeral",_xlfn.XLOOKUP(B229,Table2[Main Member Link ID],Table2[Benefit Name],0)=Lookups!$D$14),"",
IF(AND(Table2[[#This Row],[Member Type]]="Spouse",Table2[[#This Row],[Product Option]]="My Value Plus Life &amp; Funeral",_xlfn.XLOOKUP(B228,Table2[Main Member Link ID],Table2[Benefit Name],0)=Lookups!$D$16),"",
IF(AND(Table2[[#This Row],[Member Type]]="Spouse",Table2[[#This Row],[Product Option]]="My Value Plus Life &amp; Funeral",_xlfn.XLOOKUP(B228,Table2[Main Member Link ID],Table2[Benefit Name],0)=Lookups!$D$15),"",
IF(AND(Table2[[#This Row],[Member Type]]="Spouse",Table2[[#This Row],[Product Option]]="My Value Plus Life &amp; Funeral",_xlfn.XLOOKUP(B228,Table2[Main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Funeral",_xlfn.XLOOKUP(B229,Table2[Main Member Link ID],Table2[Benefit Name],0)&lt;&gt;Lookups!$D$15),
IF(_xlfn.XLOOKUP(B229,Table2[Main Member Link ID],Table2[Benefit Name],0)=0,"",_xlfn.XLOOKUP(B229,Table2[Main Member Link ID],Table2[Benefit Name],0)),"")
))))))</f>
        <v/>
      </c>
      <c r="AG229" s="327" t="str">
        <f>IF(AND(Table2[[#This Row],[Member Type]]="Main Member",Table2[[#This Row],[Product Option]]="My Value Plus Life &amp; Funeral"),Lookups!$D$16,
IF(AND(Table2[[#This Row],[Member Type]]="Spouse",Table2[[#This Row],[Product Option]]="My Value Plus Life &amp; Funeral",_xlfn.XLOOKUP(B229,Table2[Main Member Link ID],Table2[Benefit Name],0)=Lookups!$D$14),"",
IF(AND(Table2[[#This Row],[Member Type]]="Spouse",Table2[[#This Row],[Product Option]]="My Value Plus Life &amp; Funeral",_xlfn.XLOOKUP(B228,Table2[Main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Funeral",_xlfn.XLOOKUP(B229,Table2[Main Member Link ID],Table2[Benefit Name],0)&lt;&gt;Lookups!$D$16),
IF(_xlfn.XLOOKUP(B229,Table2[Main Member Link ID],Table2[Benefit Name],0)=0,"",_xlfn.XLOOKUP(B229,Table2[Main Member Link ID],Table2[Benefit Name],0)),"")
))))</f>
        <v/>
      </c>
      <c r="AH229" s="327" t="str">
        <f>IF(AND(Table2[[#This Row],[Member Type]]="Main Member",Table2[[#This Row],[Product Option]]="My Value Plus Life &amp; Funeral"),Lookups!$D$17,
IF(AND(Table2[[#This Row],[Member Type]]="Spouse",Table2[[#This Row],[Product Option]]="My Value Plus Life &amp; Funeral",_xlfn.XLOOKUP(B229,Table2[Main Member Link ID],Table2[Benefit Name],0)=Lookups!$D$14),"",
IF(AND(Table2[[#This Row],[Member Type]]="Spouse",Table2[[#This Row],[Product Option]]="My Value Plus Life &amp; Funeral",_xlfn.XLOOKUP(B228,Table2[Main Member Link ID],Table2[Benefit Name],0)=Lookups!$D$16),"",
IF(AND(Table2[[#This Row],[Member Type]]="Child",Table2[[#This Row],[Product Option]]="My Value Plus Life &amp; Funeral"),"",
IF(AND(Table2[[#This Row],[Member Type]]="Child",Table2[[#This Row],[Product Option]]="My Value Plus Life &amp; Funeral",_xlfn.XLOOKUP(B229,Table2[Main Member Link ID],Table2[Benefit Name],0)=Lookups!$D$15),"",
IF(AND(OR(Table2[[#This Row],[Member Type]]="Spouse",Table2[[#This Row],[Member Type]]="Child"),Table2[[#This Row],[Product Option]]="My Value Plus Life &amp; Funeral",_xlfn.XLOOKUP(B229,Table2[Main Member Link ID],Table2[Benefit Name],0)&lt;&gt;Lookups!$D$17),
IF(_xlfn.XLOOKUP(B229,Table2[Main Member Link ID],Table2[Benefit Name],0)=0,"",_xlfn.XLOOKUP(B229,Table2[Main Member Link ID],Table2[Benefit Name],0)),""))))))</f>
        <v/>
      </c>
      <c r="AI229" s="328" t="str">
        <f>IF(AND(Table2[[#This Row],[Member Type]]="Main Member",Table2[[#This Row],[Table Lookup for Life Cover]]="MM_LIFE",Table2[[#This Row],[Age Next Birthday]]&lt;56),1,
IF(AND(Table2[[#This Row],[Member Type]]="Main Member",Table2[[#This Row],[Table Lookup for Life Cover]]="MM_LIFE",Table2[[#This Row],[Age Next Birthday]]&gt;=56),2,
""))</f>
        <v/>
      </c>
      <c r="AJ229" s="328">
        <f>IF(OR(Table2[[#This Row],[Member Type]]="Main Member",Table2[[#This Row],[Main Member Link ID]]=B228),1,0)</f>
        <v>1</v>
      </c>
      <c r="AK229" s="328">
        <f>IF(Table2[[#This Row],[Member Type]]=0,0,
IF(OR(Table2[[#This Row],[Member Type]]="Main Member",Table2[[#This Row],[Main Member Link ID]]&lt;&gt;B229),COUNTIFS(B:B,Table2[[#This Row],[Main Member Link ID]]),
COUNTIFS(B:B,Table2[[#This Row],[Main Member Link ID]],A:A,Table2[[#This Row],[Member Type]])))</f>
        <v>0</v>
      </c>
    </row>
    <row r="230" spans="1:37" x14ac:dyDescent="0.3">
      <c r="A230" s="284">
        <f>Table13[[#This Row],[Member Type]]</f>
        <v>0</v>
      </c>
      <c r="B230" s="284">
        <f>Table13[[#This Row],[Main Member Link ID]]</f>
        <v>0</v>
      </c>
      <c r="C230" s="284">
        <f>Table13[[#This Row],[ID Number]]</f>
        <v>0</v>
      </c>
      <c r="D230" s="285">
        <f>Table13[[#This Row],[Date Of Birth]]</f>
        <v>0</v>
      </c>
      <c r="E230" s="285">
        <f>Table13[[#This Row],[Commencement Date]]</f>
        <v>0</v>
      </c>
      <c r="F230" s="284">
        <f t="shared" si="21"/>
        <v>1</v>
      </c>
      <c r="G230" s="284">
        <f t="shared" si="22"/>
        <v>25</v>
      </c>
      <c r="H230" s="286">
        <f>Table13[[#This Row],[Product Option]]</f>
        <v>0</v>
      </c>
      <c r="I230" s="284">
        <f>IF(AND($A230="Main Member",Table2[[#This Row],[Product Option]]="My Value Plus Life"),"MM_LIFE",
IF(AND($A230="Spouse",Table2[[#This Row],[Product Option]]="My Value Plus Life"),"SP_LIFE",
IF(AND($A230="Main Member",Table2[[#This Row],[Product Option]]="My Value Plus Life &amp; Funeral"),"MM_LIFE",
IF(AND($A230="Spouse",Table2[[#This Row],[Product Option]]="My Value Plus Life &amp; Funeral"),_xlfn.XLOOKUP(Table2[[#This Row],[Benefit Name]],Lookups!$D$18:$D$23,Lookups!$E$18:$E$23,0),
0))))</f>
        <v>0</v>
      </c>
      <c r="J230" s="284">
        <f>IF($I230="","",
IF($I230="MM_LIFE",INDEX('Quotation Tool'!$S$54:$V$60,MATCH($T230,'Quotation Tool'!$S$54:$S$60,0),4),
IF($I230="SP_LIFE",_xlfn.XLOOKUP(B229,$B:$B,$J:$J,0),0)))</f>
        <v>0</v>
      </c>
      <c r="K230" s="287">
        <f t="shared" ca="1" si="26"/>
        <v>0</v>
      </c>
      <c r="L230" s="288">
        <f t="shared" ca="1" si="27"/>
        <v>0</v>
      </c>
      <c r="M230" s="289">
        <f t="shared" ca="1" si="23"/>
        <v>0</v>
      </c>
      <c r="N230" s="286">
        <f>Table13[[#This Row],[Benefit Option]]</f>
        <v>0</v>
      </c>
      <c r="O230" s="284">
        <f>IF(OR(Table2[[#This Row],[Member Type]]="Spouse",Table2[[#This Row],[Member Type]]="Child"),0,
IF(_xlfn.XLOOKUP($N230,Lookups!$D$13:$D$27,Lookups!$F$13:$F$27,0)=Table2[[#This Row],[Table Lookup for Life Cover]],0,
_xlfn.XLOOKUP($N230,Lookups!$D$13:$D$27,Lookups!$F$13:$F$27,0)))</f>
        <v>0</v>
      </c>
      <c r="P230" s="284">
        <f>IF(Table2[[#This Row],[Table Lookup for Funeral]]=0,0,IFERROR(INDEX('Quotation Tool'!$S$54:$V$60,MATCH($T230,'Quotation Tool'!$S$54:$S$60,0),3),0))</f>
        <v>0</v>
      </c>
      <c r="Q230" s="288">
        <f ca="1">IF(OR(Table2[[#This Row],[Benefit Name]]="My Value Plus Life - Main Member",Table2[[#This Row],[Benefit Name]]="My Value Plus Life - Spouse"),0,
IFERROR(VLOOKUP($G230,INDIRECT($O230),$P230,FALSE),0))</f>
        <v>0</v>
      </c>
      <c r="R230" s="288">
        <f ca="1">IF(OR(Table2[[#This Row],[Benefit Name]]="My Value Plus Life - Main Member",Table2[[#This Row],[Benefit Name]]="My Value Plus Life - Spouse"),0,
IFERROR(VLOOKUP($G230,INDIRECT($O230),$P230+1,FALSE),0))</f>
        <v>0</v>
      </c>
      <c r="S230" s="289">
        <f t="shared" ca="1" si="24"/>
        <v>0</v>
      </c>
      <c r="T230" s="284" t="str">
        <f>IF(Table13[[#This Row],[Premium Waiver]]="","None",Table13[[#This Row],[Premium Waiver]])</f>
        <v>None</v>
      </c>
      <c r="U230" s="284">
        <f>Table13[[#This Row],[VAPs Options]]</f>
        <v>0</v>
      </c>
      <c r="V230" s="284">
        <f>Table13[[#This Row],[Annual Increase Option]]</f>
        <v>0</v>
      </c>
      <c r="W230" s="290">
        <f>Table13[[#This Row],[Life Cover Amount]]</f>
        <v>0</v>
      </c>
      <c r="X230" s="290">
        <f>Table13[[#This Row],[Funeral Cover Amount]]</f>
        <v>0</v>
      </c>
      <c r="Y23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3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30" s="301">
        <f t="shared" ca="1" si="25"/>
        <v>0</v>
      </c>
      <c r="AB230" s="298"/>
      <c r="AC230" s="326" t="str">
        <f>IF(Table2[[#This Row],[Member Type]]="Main Member",Lookups!$C$13,
IF(Table2[[#This Row],[Member Type]]="Spouse",_xlfn.XLOOKUP(B230,Table2[Main Member Link ID],Table2[Product Option],0),
IF(AND(Table2[[#This Row],[Member Type]]="Child",_xlfn.XLOOKUP(B230,Table2[Main Member Link ID],Table2[Product Option],0)&lt;&gt;"My Value Plus Life"),Lookups!$C$24,
IF(AND(OR(Table2[[#This Row],[Member Type]]="Parent",Table2[[#This Row],[Member Type]]="Extended"),_xlfn.XLOOKUP(B230,Table2[Main Member Link ID],Table2[Product Option],0)&lt;&gt;"My Value Plus Life"),Lookups!$C$26,""))))</f>
        <v/>
      </c>
      <c r="AD230" s="326" t="str">
        <f>IF(Table2[[#This Row],[Member Type]]="Main Member",Lookups!$C$14,"")</f>
        <v/>
      </c>
      <c r="AE23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Funeral",_xlfn.XLOOKUP(B230,Table2[Main Member Link ID],Table2[Benefit Name],0)=Lookups!$D$14),"",
IF(AND(Table2[[#This Row],[Member Type]]="Spouse",Table2[[#This Row],[Product Option]]="My Value Plus Life &amp; Funeral",_xlfn.XLOOKUP(B229,Table2[Main Member Link ID],Table2[Benefit Name],0)=Lookups!$D$15),Lookups!$D$20,
IF(AND(Table2[[#This Row],[Member Type]]="Spouse",Table2[[#This Row],[Product Option]]="My Value Plus Life &amp; Funeral",_xlfn.XLOOKUP(B229,Table2[Main Member Link ID],Table2[Benefit Name],0)=Lookups!$D$16),"",
IF(AND(Table2[[#This Row],[Member Type]]="Spouse",Table2[[#This Row],[Product Option]]="My Value Plus Life &amp; Funeral",_xlfn.XLOOKUP(B229,Table2[Main Member Link ID],Table2[Benefit Name],0)=Lookups!$D$17),Lookups!$D$21,
IF(AND(Table2[[#This Row],[Member Type]]="Child",Table2[[#This Row],[Product Option]]="My Value Plus Life &amp; Funeral",_xlfn.XLOOKUP(B230,Table2[Main Member Link ID],Table2[Benefit Name],0)=Lookups!$D$14),"",
IF(AND(Table2[[#This Row],[Member Type]]="Child",Table2[[#This Row],[Product Option]]="My Value Plus Life &amp; Funeral",_xlfn.XLOOKUP(B230,Table2[Main Member Link ID],Table2[Benefit Name],0)=Lookups!$D$15),"",
IF(AND(Table2[[#This Row],[Member Type]]="Child",Table2[[#This Row],[Product Option]]="My Value Plus Life &amp; Funeral",_xlfn.XLOOKUP(B230,Table2[Main Member Link ID],Table2[Benefit Name],0)=Lookups!$D$16),Lookups!$D$24,
IF(AND(Table2[[#This Row],[Member Type]]="Child",Table2[[#This Row],[Product Option]]="My Value Plus Life &amp; Funeral",_xlfn.XLOOKUP(B230,Table2[Main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Funeral",_xlfn.XLOOKUP(B230,Table2[Main Member Link ID],Table2[Benefit Name],0)&lt;&gt;Lookups!$D$14),
IF(_xlfn.XLOOKUP(B230,Table2[Main Member Link ID],Table2[Benefit Name],0)=0,"",_xlfn.XLOOKUP(B230,Table2[Main Member Link ID],Table2[Benefit Name],0)),"")))))))))))))))</f>
        <v/>
      </c>
      <c r="AF230" s="327" t="str">
        <f>IF(AND(Table2[[#This Row],[Member Type]]="Main Member",Table2[[#This Row],[Product Option]]="My Value Plus Life &amp; Funeral"),Lookups!$D$15,
IF(AND(Table2[[#This Row],[Member Type]]="Spouse",Table2[[#This Row],[Product Option]]="My Value Plus Life &amp; Funeral",_xlfn.XLOOKUP(B230,Table2[Main Member Link ID],Table2[Benefit Name],0)=Lookups!$D$14),"",
IF(AND(Table2[[#This Row],[Member Type]]="Spouse",Table2[[#This Row],[Product Option]]="My Value Plus Life &amp; Funeral",_xlfn.XLOOKUP(B229,Table2[Main Member Link ID],Table2[Benefit Name],0)=Lookups!$D$16),"",
IF(AND(Table2[[#This Row],[Member Type]]="Spouse",Table2[[#This Row],[Product Option]]="My Value Plus Life &amp; Funeral",_xlfn.XLOOKUP(B229,Table2[Main Member Link ID],Table2[Benefit Name],0)=Lookups!$D$15),"",
IF(AND(Table2[[#This Row],[Member Type]]="Spouse",Table2[[#This Row],[Product Option]]="My Value Plus Life &amp; Funeral",_xlfn.XLOOKUP(B229,Table2[Main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Funeral",_xlfn.XLOOKUP(B230,Table2[Main Member Link ID],Table2[Benefit Name],0)&lt;&gt;Lookups!$D$15),
IF(_xlfn.XLOOKUP(B230,Table2[Main Member Link ID],Table2[Benefit Name],0)=0,"",_xlfn.XLOOKUP(B230,Table2[Main Member Link ID],Table2[Benefit Name],0)),"")
))))))</f>
        <v/>
      </c>
      <c r="AG230" s="327" t="str">
        <f>IF(AND(Table2[[#This Row],[Member Type]]="Main Member",Table2[[#This Row],[Product Option]]="My Value Plus Life &amp; Funeral"),Lookups!$D$16,
IF(AND(Table2[[#This Row],[Member Type]]="Spouse",Table2[[#This Row],[Product Option]]="My Value Plus Life &amp; Funeral",_xlfn.XLOOKUP(B230,Table2[Main Member Link ID],Table2[Benefit Name],0)=Lookups!$D$14),"",
IF(AND(Table2[[#This Row],[Member Type]]="Spouse",Table2[[#This Row],[Product Option]]="My Value Plus Life &amp; Funeral",_xlfn.XLOOKUP(B229,Table2[Main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Funeral",_xlfn.XLOOKUP(B230,Table2[Main Member Link ID],Table2[Benefit Name],0)&lt;&gt;Lookups!$D$16),
IF(_xlfn.XLOOKUP(B230,Table2[Main Member Link ID],Table2[Benefit Name],0)=0,"",_xlfn.XLOOKUP(B230,Table2[Main Member Link ID],Table2[Benefit Name],0)),"")
))))</f>
        <v/>
      </c>
      <c r="AH230" s="327" t="str">
        <f>IF(AND(Table2[[#This Row],[Member Type]]="Main Member",Table2[[#This Row],[Product Option]]="My Value Plus Life &amp; Funeral"),Lookups!$D$17,
IF(AND(Table2[[#This Row],[Member Type]]="Spouse",Table2[[#This Row],[Product Option]]="My Value Plus Life &amp; Funeral",_xlfn.XLOOKUP(B230,Table2[Main Member Link ID],Table2[Benefit Name],0)=Lookups!$D$14),"",
IF(AND(Table2[[#This Row],[Member Type]]="Spouse",Table2[[#This Row],[Product Option]]="My Value Plus Life &amp; Funeral",_xlfn.XLOOKUP(B229,Table2[Main Member Link ID],Table2[Benefit Name],0)=Lookups!$D$16),"",
IF(AND(Table2[[#This Row],[Member Type]]="Child",Table2[[#This Row],[Product Option]]="My Value Plus Life &amp; Funeral"),"",
IF(AND(Table2[[#This Row],[Member Type]]="Child",Table2[[#This Row],[Product Option]]="My Value Plus Life &amp; Funeral",_xlfn.XLOOKUP(B230,Table2[Main Member Link ID],Table2[Benefit Name],0)=Lookups!$D$15),"",
IF(AND(OR(Table2[[#This Row],[Member Type]]="Spouse",Table2[[#This Row],[Member Type]]="Child"),Table2[[#This Row],[Product Option]]="My Value Plus Life &amp; Funeral",_xlfn.XLOOKUP(B230,Table2[Main Member Link ID],Table2[Benefit Name],0)&lt;&gt;Lookups!$D$17),
IF(_xlfn.XLOOKUP(B230,Table2[Main Member Link ID],Table2[Benefit Name],0)=0,"",_xlfn.XLOOKUP(B230,Table2[Main Member Link ID],Table2[Benefit Name],0)),""))))))</f>
        <v/>
      </c>
      <c r="AI230" s="328" t="str">
        <f>IF(AND(Table2[[#This Row],[Member Type]]="Main Member",Table2[[#This Row],[Table Lookup for Life Cover]]="MM_LIFE",Table2[[#This Row],[Age Next Birthday]]&lt;56),1,
IF(AND(Table2[[#This Row],[Member Type]]="Main Member",Table2[[#This Row],[Table Lookup for Life Cover]]="MM_LIFE",Table2[[#This Row],[Age Next Birthday]]&gt;=56),2,
""))</f>
        <v/>
      </c>
      <c r="AJ230" s="328">
        <f>IF(OR(Table2[[#This Row],[Member Type]]="Main Member",Table2[[#This Row],[Main Member Link ID]]=B229),1,0)</f>
        <v>1</v>
      </c>
      <c r="AK230" s="328">
        <f>IF(Table2[[#This Row],[Member Type]]=0,0,
IF(OR(Table2[[#This Row],[Member Type]]="Main Member",Table2[[#This Row],[Main Member Link ID]]&lt;&gt;B230),COUNTIFS(B:B,Table2[[#This Row],[Main Member Link ID]]),
COUNTIFS(B:B,Table2[[#This Row],[Main Member Link ID]],A:A,Table2[[#This Row],[Member Type]])))</f>
        <v>0</v>
      </c>
    </row>
    <row r="231" spans="1:37" x14ac:dyDescent="0.3">
      <c r="A231" s="284">
        <f>Table13[[#This Row],[Member Type]]</f>
        <v>0</v>
      </c>
      <c r="B231" s="284">
        <f>Table13[[#This Row],[Main Member Link ID]]</f>
        <v>0</v>
      </c>
      <c r="C231" s="284">
        <f>Table13[[#This Row],[ID Number]]</f>
        <v>0</v>
      </c>
      <c r="D231" s="285">
        <f>Table13[[#This Row],[Date Of Birth]]</f>
        <v>0</v>
      </c>
      <c r="E231" s="285">
        <f>Table13[[#This Row],[Commencement Date]]</f>
        <v>0</v>
      </c>
      <c r="F231" s="284">
        <f t="shared" si="21"/>
        <v>1</v>
      </c>
      <c r="G231" s="284">
        <f t="shared" si="22"/>
        <v>25</v>
      </c>
      <c r="H231" s="286">
        <f>Table13[[#This Row],[Product Option]]</f>
        <v>0</v>
      </c>
      <c r="I231" s="284">
        <f>IF(AND($A231="Main Member",Table2[[#This Row],[Product Option]]="My Value Plus Life"),"MM_LIFE",
IF(AND($A231="Spouse",Table2[[#This Row],[Product Option]]="My Value Plus Life"),"SP_LIFE",
IF(AND($A231="Main Member",Table2[[#This Row],[Product Option]]="My Value Plus Life &amp; Funeral"),"MM_LIFE",
IF(AND($A231="Spouse",Table2[[#This Row],[Product Option]]="My Value Plus Life &amp; Funeral"),_xlfn.XLOOKUP(Table2[[#This Row],[Benefit Name]],Lookups!$D$18:$D$23,Lookups!$E$18:$E$23,0),
0))))</f>
        <v>0</v>
      </c>
      <c r="J231" s="284">
        <f>IF($I231="","",
IF($I231="MM_LIFE",INDEX('Quotation Tool'!$S$54:$V$60,MATCH($T231,'Quotation Tool'!$S$54:$S$60,0),4),
IF($I231="SP_LIFE",_xlfn.XLOOKUP(B230,$B:$B,$J:$J,0),0)))</f>
        <v>0</v>
      </c>
      <c r="K231" s="287">
        <f t="shared" ca="1" si="26"/>
        <v>0</v>
      </c>
      <c r="L231" s="288">
        <f t="shared" ca="1" si="27"/>
        <v>0</v>
      </c>
      <c r="M231" s="289">
        <f t="shared" ca="1" si="23"/>
        <v>0</v>
      </c>
      <c r="N231" s="286">
        <f>Table13[[#This Row],[Benefit Option]]</f>
        <v>0</v>
      </c>
      <c r="O231" s="284">
        <f>IF(OR(Table2[[#This Row],[Member Type]]="Spouse",Table2[[#This Row],[Member Type]]="Child"),0,
IF(_xlfn.XLOOKUP($N231,Lookups!$D$13:$D$27,Lookups!$F$13:$F$27,0)=Table2[[#This Row],[Table Lookup for Life Cover]],0,
_xlfn.XLOOKUP($N231,Lookups!$D$13:$D$27,Lookups!$F$13:$F$27,0)))</f>
        <v>0</v>
      </c>
      <c r="P231" s="284">
        <f>IF(Table2[[#This Row],[Table Lookup for Funeral]]=0,0,IFERROR(INDEX('Quotation Tool'!$S$54:$V$60,MATCH($T231,'Quotation Tool'!$S$54:$S$60,0),3),0))</f>
        <v>0</v>
      </c>
      <c r="Q231" s="288">
        <f ca="1">IF(OR(Table2[[#This Row],[Benefit Name]]="My Value Plus Life - Main Member",Table2[[#This Row],[Benefit Name]]="My Value Plus Life - Spouse"),0,
IFERROR(VLOOKUP($G231,INDIRECT($O231),$P231,FALSE),0))</f>
        <v>0</v>
      </c>
      <c r="R231" s="288">
        <f ca="1">IF(OR(Table2[[#This Row],[Benefit Name]]="My Value Plus Life - Main Member",Table2[[#This Row],[Benefit Name]]="My Value Plus Life - Spouse"),0,
IFERROR(VLOOKUP($G231,INDIRECT($O231),$P231+1,FALSE),0))</f>
        <v>0</v>
      </c>
      <c r="S231" s="289">
        <f t="shared" ca="1" si="24"/>
        <v>0</v>
      </c>
      <c r="T231" s="284" t="str">
        <f>IF(Table13[[#This Row],[Premium Waiver]]="","None",Table13[[#This Row],[Premium Waiver]])</f>
        <v>None</v>
      </c>
      <c r="U231" s="284">
        <f>Table13[[#This Row],[VAPs Options]]</f>
        <v>0</v>
      </c>
      <c r="V231" s="284">
        <f>Table13[[#This Row],[Annual Increase Option]]</f>
        <v>0</v>
      </c>
      <c r="W231" s="290">
        <f>Table13[[#This Row],[Life Cover Amount]]</f>
        <v>0</v>
      </c>
      <c r="X231" s="290">
        <f>Table13[[#This Row],[Funeral Cover Amount]]</f>
        <v>0</v>
      </c>
      <c r="Y23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3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31" s="301">
        <f t="shared" ca="1" si="25"/>
        <v>0</v>
      </c>
      <c r="AB231" s="298"/>
      <c r="AC231" s="326" t="str">
        <f>IF(Table2[[#This Row],[Member Type]]="Main Member",Lookups!$C$13,
IF(Table2[[#This Row],[Member Type]]="Spouse",_xlfn.XLOOKUP(B231,Table2[Main Member Link ID],Table2[Product Option],0),
IF(AND(Table2[[#This Row],[Member Type]]="Child",_xlfn.XLOOKUP(B231,Table2[Main Member Link ID],Table2[Product Option],0)&lt;&gt;"My Value Plus Life"),Lookups!$C$24,
IF(AND(OR(Table2[[#This Row],[Member Type]]="Parent",Table2[[#This Row],[Member Type]]="Extended"),_xlfn.XLOOKUP(B231,Table2[Main Member Link ID],Table2[Product Option],0)&lt;&gt;"My Value Plus Life"),Lookups!$C$26,""))))</f>
        <v/>
      </c>
      <c r="AD231" s="326" t="str">
        <f>IF(Table2[[#This Row],[Member Type]]="Main Member",Lookups!$C$14,"")</f>
        <v/>
      </c>
      <c r="AE23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Funeral",_xlfn.XLOOKUP(B231,Table2[Main Member Link ID],Table2[Benefit Name],0)=Lookups!$D$14),"",
IF(AND(Table2[[#This Row],[Member Type]]="Spouse",Table2[[#This Row],[Product Option]]="My Value Plus Life &amp; Funeral",_xlfn.XLOOKUP(B230,Table2[Main Member Link ID],Table2[Benefit Name],0)=Lookups!$D$15),Lookups!$D$20,
IF(AND(Table2[[#This Row],[Member Type]]="Spouse",Table2[[#This Row],[Product Option]]="My Value Plus Life &amp; Funeral",_xlfn.XLOOKUP(B230,Table2[Main Member Link ID],Table2[Benefit Name],0)=Lookups!$D$16),"",
IF(AND(Table2[[#This Row],[Member Type]]="Spouse",Table2[[#This Row],[Product Option]]="My Value Plus Life &amp; Funeral",_xlfn.XLOOKUP(B230,Table2[Main Member Link ID],Table2[Benefit Name],0)=Lookups!$D$17),Lookups!$D$21,
IF(AND(Table2[[#This Row],[Member Type]]="Child",Table2[[#This Row],[Product Option]]="My Value Plus Life &amp; Funeral",_xlfn.XLOOKUP(B231,Table2[Main Member Link ID],Table2[Benefit Name],0)=Lookups!$D$14),"",
IF(AND(Table2[[#This Row],[Member Type]]="Child",Table2[[#This Row],[Product Option]]="My Value Plus Life &amp; Funeral",_xlfn.XLOOKUP(B231,Table2[Main Member Link ID],Table2[Benefit Name],0)=Lookups!$D$15),"",
IF(AND(Table2[[#This Row],[Member Type]]="Child",Table2[[#This Row],[Product Option]]="My Value Plus Life &amp; Funeral",_xlfn.XLOOKUP(B231,Table2[Main Member Link ID],Table2[Benefit Name],0)=Lookups!$D$16),Lookups!$D$24,
IF(AND(Table2[[#This Row],[Member Type]]="Child",Table2[[#This Row],[Product Option]]="My Value Plus Life &amp; Funeral",_xlfn.XLOOKUP(B231,Table2[Main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Funeral",_xlfn.XLOOKUP(B231,Table2[Main Member Link ID],Table2[Benefit Name],0)&lt;&gt;Lookups!$D$14),
IF(_xlfn.XLOOKUP(B231,Table2[Main Member Link ID],Table2[Benefit Name],0)=0,"",_xlfn.XLOOKUP(B231,Table2[Main Member Link ID],Table2[Benefit Name],0)),"")))))))))))))))</f>
        <v/>
      </c>
      <c r="AF231" s="327" t="str">
        <f>IF(AND(Table2[[#This Row],[Member Type]]="Main Member",Table2[[#This Row],[Product Option]]="My Value Plus Life &amp; Funeral"),Lookups!$D$15,
IF(AND(Table2[[#This Row],[Member Type]]="Spouse",Table2[[#This Row],[Product Option]]="My Value Plus Life &amp; Funeral",_xlfn.XLOOKUP(B231,Table2[Main Member Link ID],Table2[Benefit Name],0)=Lookups!$D$14),"",
IF(AND(Table2[[#This Row],[Member Type]]="Spouse",Table2[[#This Row],[Product Option]]="My Value Plus Life &amp; Funeral",_xlfn.XLOOKUP(B230,Table2[Main Member Link ID],Table2[Benefit Name],0)=Lookups!$D$16),"",
IF(AND(Table2[[#This Row],[Member Type]]="Spouse",Table2[[#This Row],[Product Option]]="My Value Plus Life &amp; Funeral",_xlfn.XLOOKUP(B230,Table2[Main Member Link ID],Table2[Benefit Name],0)=Lookups!$D$15),"",
IF(AND(Table2[[#This Row],[Member Type]]="Spouse",Table2[[#This Row],[Product Option]]="My Value Plus Life &amp; Funeral",_xlfn.XLOOKUP(B230,Table2[Main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Funeral",_xlfn.XLOOKUP(B231,Table2[Main Member Link ID],Table2[Benefit Name],0)&lt;&gt;Lookups!$D$15),
IF(_xlfn.XLOOKUP(B231,Table2[Main Member Link ID],Table2[Benefit Name],0)=0,"",_xlfn.XLOOKUP(B231,Table2[Main Member Link ID],Table2[Benefit Name],0)),"")
))))))</f>
        <v/>
      </c>
      <c r="AG231" s="327" t="str">
        <f>IF(AND(Table2[[#This Row],[Member Type]]="Main Member",Table2[[#This Row],[Product Option]]="My Value Plus Life &amp; Funeral"),Lookups!$D$16,
IF(AND(Table2[[#This Row],[Member Type]]="Spouse",Table2[[#This Row],[Product Option]]="My Value Plus Life &amp; Funeral",_xlfn.XLOOKUP(B231,Table2[Main Member Link ID],Table2[Benefit Name],0)=Lookups!$D$14),"",
IF(AND(Table2[[#This Row],[Member Type]]="Spouse",Table2[[#This Row],[Product Option]]="My Value Plus Life &amp; Funeral",_xlfn.XLOOKUP(B230,Table2[Main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Funeral",_xlfn.XLOOKUP(B231,Table2[Main Member Link ID],Table2[Benefit Name],0)&lt;&gt;Lookups!$D$16),
IF(_xlfn.XLOOKUP(B231,Table2[Main Member Link ID],Table2[Benefit Name],0)=0,"",_xlfn.XLOOKUP(B231,Table2[Main Member Link ID],Table2[Benefit Name],0)),"")
))))</f>
        <v/>
      </c>
      <c r="AH231" s="327" t="str">
        <f>IF(AND(Table2[[#This Row],[Member Type]]="Main Member",Table2[[#This Row],[Product Option]]="My Value Plus Life &amp; Funeral"),Lookups!$D$17,
IF(AND(Table2[[#This Row],[Member Type]]="Spouse",Table2[[#This Row],[Product Option]]="My Value Plus Life &amp; Funeral",_xlfn.XLOOKUP(B231,Table2[Main Member Link ID],Table2[Benefit Name],0)=Lookups!$D$14),"",
IF(AND(Table2[[#This Row],[Member Type]]="Spouse",Table2[[#This Row],[Product Option]]="My Value Plus Life &amp; Funeral",_xlfn.XLOOKUP(B230,Table2[Main Member Link ID],Table2[Benefit Name],0)=Lookups!$D$16),"",
IF(AND(Table2[[#This Row],[Member Type]]="Child",Table2[[#This Row],[Product Option]]="My Value Plus Life &amp; Funeral"),"",
IF(AND(Table2[[#This Row],[Member Type]]="Child",Table2[[#This Row],[Product Option]]="My Value Plus Life &amp; Funeral",_xlfn.XLOOKUP(B231,Table2[Main Member Link ID],Table2[Benefit Name],0)=Lookups!$D$15),"",
IF(AND(OR(Table2[[#This Row],[Member Type]]="Spouse",Table2[[#This Row],[Member Type]]="Child"),Table2[[#This Row],[Product Option]]="My Value Plus Life &amp; Funeral",_xlfn.XLOOKUP(B231,Table2[Main Member Link ID],Table2[Benefit Name],0)&lt;&gt;Lookups!$D$17),
IF(_xlfn.XLOOKUP(B231,Table2[Main Member Link ID],Table2[Benefit Name],0)=0,"",_xlfn.XLOOKUP(B231,Table2[Main Member Link ID],Table2[Benefit Name],0)),""))))))</f>
        <v/>
      </c>
      <c r="AI231" s="328" t="str">
        <f>IF(AND(Table2[[#This Row],[Member Type]]="Main Member",Table2[[#This Row],[Table Lookup for Life Cover]]="MM_LIFE",Table2[[#This Row],[Age Next Birthday]]&lt;56),1,
IF(AND(Table2[[#This Row],[Member Type]]="Main Member",Table2[[#This Row],[Table Lookup for Life Cover]]="MM_LIFE",Table2[[#This Row],[Age Next Birthday]]&gt;=56),2,
""))</f>
        <v/>
      </c>
      <c r="AJ231" s="328">
        <f>IF(OR(Table2[[#This Row],[Member Type]]="Main Member",Table2[[#This Row],[Main Member Link ID]]=B230),1,0)</f>
        <v>1</v>
      </c>
      <c r="AK231" s="328">
        <f>IF(Table2[[#This Row],[Member Type]]=0,0,
IF(OR(Table2[[#This Row],[Member Type]]="Main Member",Table2[[#This Row],[Main Member Link ID]]&lt;&gt;B231),COUNTIFS(B:B,Table2[[#This Row],[Main Member Link ID]]),
COUNTIFS(B:B,Table2[[#This Row],[Main Member Link ID]],A:A,Table2[[#This Row],[Member Type]])))</f>
        <v>0</v>
      </c>
    </row>
    <row r="232" spans="1:37" x14ac:dyDescent="0.3">
      <c r="A232" s="284">
        <f>Table13[[#This Row],[Member Type]]</f>
        <v>0</v>
      </c>
      <c r="B232" s="284">
        <f>Table13[[#This Row],[Main Member Link ID]]</f>
        <v>0</v>
      </c>
      <c r="C232" s="284">
        <f>Table13[[#This Row],[ID Number]]</f>
        <v>0</v>
      </c>
      <c r="D232" s="285">
        <f>Table13[[#This Row],[Date Of Birth]]</f>
        <v>0</v>
      </c>
      <c r="E232" s="285">
        <f>Table13[[#This Row],[Commencement Date]]</f>
        <v>0</v>
      </c>
      <c r="F232" s="284">
        <f t="shared" si="21"/>
        <v>1</v>
      </c>
      <c r="G232" s="284">
        <f t="shared" si="22"/>
        <v>25</v>
      </c>
      <c r="H232" s="286">
        <f>Table13[[#This Row],[Product Option]]</f>
        <v>0</v>
      </c>
      <c r="I232" s="284">
        <f>IF(AND($A232="Main Member",Table2[[#This Row],[Product Option]]="My Value Plus Life"),"MM_LIFE",
IF(AND($A232="Spouse",Table2[[#This Row],[Product Option]]="My Value Plus Life"),"SP_LIFE",
IF(AND($A232="Main Member",Table2[[#This Row],[Product Option]]="My Value Plus Life &amp; Funeral"),"MM_LIFE",
IF(AND($A232="Spouse",Table2[[#This Row],[Product Option]]="My Value Plus Life &amp; Funeral"),_xlfn.XLOOKUP(Table2[[#This Row],[Benefit Name]],Lookups!$D$18:$D$23,Lookups!$E$18:$E$23,0),
0))))</f>
        <v>0</v>
      </c>
      <c r="J232" s="284">
        <f>IF($I232="","",
IF($I232="MM_LIFE",INDEX('Quotation Tool'!$S$54:$V$60,MATCH($T232,'Quotation Tool'!$S$54:$S$60,0),4),
IF($I232="SP_LIFE",_xlfn.XLOOKUP(B231,$B:$B,$J:$J,0),0)))</f>
        <v>0</v>
      </c>
      <c r="K232" s="287">
        <f t="shared" ca="1" si="26"/>
        <v>0</v>
      </c>
      <c r="L232" s="288">
        <f t="shared" ca="1" si="27"/>
        <v>0</v>
      </c>
      <c r="M232" s="289">
        <f t="shared" ca="1" si="23"/>
        <v>0</v>
      </c>
      <c r="N232" s="286">
        <f>Table13[[#This Row],[Benefit Option]]</f>
        <v>0</v>
      </c>
      <c r="O232" s="284">
        <f>IF(OR(Table2[[#This Row],[Member Type]]="Spouse",Table2[[#This Row],[Member Type]]="Child"),0,
IF(_xlfn.XLOOKUP($N232,Lookups!$D$13:$D$27,Lookups!$F$13:$F$27,0)=Table2[[#This Row],[Table Lookup for Life Cover]],0,
_xlfn.XLOOKUP($N232,Lookups!$D$13:$D$27,Lookups!$F$13:$F$27,0)))</f>
        <v>0</v>
      </c>
      <c r="P232" s="284">
        <f>IF(Table2[[#This Row],[Table Lookup for Funeral]]=0,0,IFERROR(INDEX('Quotation Tool'!$S$54:$V$60,MATCH($T232,'Quotation Tool'!$S$54:$S$60,0),3),0))</f>
        <v>0</v>
      </c>
      <c r="Q232" s="288">
        <f ca="1">IF(OR(Table2[[#This Row],[Benefit Name]]="My Value Plus Life - Main Member",Table2[[#This Row],[Benefit Name]]="My Value Plus Life - Spouse"),0,
IFERROR(VLOOKUP($G232,INDIRECT($O232),$P232,FALSE),0))</f>
        <v>0</v>
      </c>
      <c r="R232" s="288">
        <f ca="1">IF(OR(Table2[[#This Row],[Benefit Name]]="My Value Plus Life - Main Member",Table2[[#This Row],[Benefit Name]]="My Value Plus Life - Spouse"),0,
IFERROR(VLOOKUP($G232,INDIRECT($O232),$P232+1,FALSE),0))</f>
        <v>0</v>
      </c>
      <c r="S232" s="289">
        <f t="shared" ca="1" si="24"/>
        <v>0</v>
      </c>
      <c r="T232" s="284" t="str">
        <f>IF(Table13[[#This Row],[Premium Waiver]]="","None",Table13[[#This Row],[Premium Waiver]])</f>
        <v>None</v>
      </c>
      <c r="U232" s="284">
        <f>Table13[[#This Row],[VAPs Options]]</f>
        <v>0</v>
      </c>
      <c r="V232" s="284">
        <f>Table13[[#This Row],[Annual Increase Option]]</f>
        <v>0</v>
      </c>
      <c r="W232" s="290">
        <f>Table13[[#This Row],[Life Cover Amount]]</f>
        <v>0</v>
      </c>
      <c r="X232" s="290">
        <f>Table13[[#This Row],[Funeral Cover Amount]]</f>
        <v>0</v>
      </c>
      <c r="Y23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3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32" s="301">
        <f t="shared" ca="1" si="25"/>
        <v>0</v>
      </c>
      <c r="AB232" s="298"/>
      <c r="AC232" s="326" t="str">
        <f>IF(Table2[[#This Row],[Member Type]]="Main Member",Lookups!$C$13,
IF(Table2[[#This Row],[Member Type]]="Spouse",_xlfn.XLOOKUP(B232,Table2[Main Member Link ID],Table2[Product Option],0),
IF(AND(Table2[[#This Row],[Member Type]]="Child",_xlfn.XLOOKUP(B232,Table2[Main Member Link ID],Table2[Product Option],0)&lt;&gt;"My Value Plus Life"),Lookups!$C$24,
IF(AND(OR(Table2[[#This Row],[Member Type]]="Parent",Table2[[#This Row],[Member Type]]="Extended"),_xlfn.XLOOKUP(B232,Table2[Main Member Link ID],Table2[Product Option],0)&lt;&gt;"My Value Plus Life"),Lookups!$C$26,""))))</f>
        <v/>
      </c>
      <c r="AD232" s="326" t="str">
        <f>IF(Table2[[#This Row],[Member Type]]="Main Member",Lookups!$C$14,"")</f>
        <v/>
      </c>
      <c r="AE23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Funeral",_xlfn.XLOOKUP(B232,Table2[Main Member Link ID],Table2[Benefit Name],0)=Lookups!$D$14),"",
IF(AND(Table2[[#This Row],[Member Type]]="Spouse",Table2[[#This Row],[Product Option]]="My Value Plus Life &amp; Funeral",_xlfn.XLOOKUP(B231,Table2[Main Member Link ID],Table2[Benefit Name],0)=Lookups!$D$15),Lookups!$D$20,
IF(AND(Table2[[#This Row],[Member Type]]="Spouse",Table2[[#This Row],[Product Option]]="My Value Plus Life &amp; Funeral",_xlfn.XLOOKUP(B231,Table2[Main Member Link ID],Table2[Benefit Name],0)=Lookups!$D$16),"",
IF(AND(Table2[[#This Row],[Member Type]]="Spouse",Table2[[#This Row],[Product Option]]="My Value Plus Life &amp; Funeral",_xlfn.XLOOKUP(B231,Table2[Main Member Link ID],Table2[Benefit Name],0)=Lookups!$D$17),Lookups!$D$21,
IF(AND(Table2[[#This Row],[Member Type]]="Child",Table2[[#This Row],[Product Option]]="My Value Plus Life &amp; Funeral",_xlfn.XLOOKUP(B232,Table2[Main Member Link ID],Table2[Benefit Name],0)=Lookups!$D$14),"",
IF(AND(Table2[[#This Row],[Member Type]]="Child",Table2[[#This Row],[Product Option]]="My Value Plus Life &amp; Funeral",_xlfn.XLOOKUP(B232,Table2[Main Member Link ID],Table2[Benefit Name],0)=Lookups!$D$15),"",
IF(AND(Table2[[#This Row],[Member Type]]="Child",Table2[[#This Row],[Product Option]]="My Value Plus Life &amp; Funeral",_xlfn.XLOOKUP(B232,Table2[Main Member Link ID],Table2[Benefit Name],0)=Lookups!$D$16),Lookups!$D$24,
IF(AND(Table2[[#This Row],[Member Type]]="Child",Table2[[#This Row],[Product Option]]="My Value Plus Life &amp; Funeral",_xlfn.XLOOKUP(B232,Table2[Main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Funeral",_xlfn.XLOOKUP(B232,Table2[Main Member Link ID],Table2[Benefit Name],0)&lt;&gt;Lookups!$D$14),
IF(_xlfn.XLOOKUP(B232,Table2[Main Member Link ID],Table2[Benefit Name],0)=0,"",_xlfn.XLOOKUP(B232,Table2[Main Member Link ID],Table2[Benefit Name],0)),"")))))))))))))))</f>
        <v/>
      </c>
      <c r="AF232" s="327" t="str">
        <f>IF(AND(Table2[[#This Row],[Member Type]]="Main Member",Table2[[#This Row],[Product Option]]="My Value Plus Life &amp; Funeral"),Lookups!$D$15,
IF(AND(Table2[[#This Row],[Member Type]]="Spouse",Table2[[#This Row],[Product Option]]="My Value Plus Life &amp; Funeral",_xlfn.XLOOKUP(B232,Table2[Main Member Link ID],Table2[Benefit Name],0)=Lookups!$D$14),"",
IF(AND(Table2[[#This Row],[Member Type]]="Spouse",Table2[[#This Row],[Product Option]]="My Value Plus Life &amp; Funeral",_xlfn.XLOOKUP(B231,Table2[Main Member Link ID],Table2[Benefit Name],0)=Lookups!$D$16),"",
IF(AND(Table2[[#This Row],[Member Type]]="Spouse",Table2[[#This Row],[Product Option]]="My Value Plus Life &amp; Funeral",_xlfn.XLOOKUP(B231,Table2[Main Member Link ID],Table2[Benefit Name],0)=Lookups!$D$15),"",
IF(AND(Table2[[#This Row],[Member Type]]="Spouse",Table2[[#This Row],[Product Option]]="My Value Plus Life &amp; Funeral",_xlfn.XLOOKUP(B231,Table2[Main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Funeral",_xlfn.XLOOKUP(B232,Table2[Main Member Link ID],Table2[Benefit Name],0)&lt;&gt;Lookups!$D$15),
IF(_xlfn.XLOOKUP(B232,Table2[Main Member Link ID],Table2[Benefit Name],0)=0,"",_xlfn.XLOOKUP(B232,Table2[Main Member Link ID],Table2[Benefit Name],0)),"")
))))))</f>
        <v/>
      </c>
      <c r="AG232" s="327" t="str">
        <f>IF(AND(Table2[[#This Row],[Member Type]]="Main Member",Table2[[#This Row],[Product Option]]="My Value Plus Life &amp; Funeral"),Lookups!$D$16,
IF(AND(Table2[[#This Row],[Member Type]]="Spouse",Table2[[#This Row],[Product Option]]="My Value Plus Life &amp; Funeral",_xlfn.XLOOKUP(B232,Table2[Main Member Link ID],Table2[Benefit Name],0)=Lookups!$D$14),"",
IF(AND(Table2[[#This Row],[Member Type]]="Spouse",Table2[[#This Row],[Product Option]]="My Value Plus Life &amp; Funeral",_xlfn.XLOOKUP(B231,Table2[Main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Funeral",_xlfn.XLOOKUP(B232,Table2[Main Member Link ID],Table2[Benefit Name],0)&lt;&gt;Lookups!$D$16),
IF(_xlfn.XLOOKUP(B232,Table2[Main Member Link ID],Table2[Benefit Name],0)=0,"",_xlfn.XLOOKUP(B232,Table2[Main Member Link ID],Table2[Benefit Name],0)),"")
))))</f>
        <v/>
      </c>
      <c r="AH232" s="327" t="str">
        <f>IF(AND(Table2[[#This Row],[Member Type]]="Main Member",Table2[[#This Row],[Product Option]]="My Value Plus Life &amp; Funeral"),Lookups!$D$17,
IF(AND(Table2[[#This Row],[Member Type]]="Spouse",Table2[[#This Row],[Product Option]]="My Value Plus Life &amp; Funeral",_xlfn.XLOOKUP(B232,Table2[Main Member Link ID],Table2[Benefit Name],0)=Lookups!$D$14),"",
IF(AND(Table2[[#This Row],[Member Type]]="Spouse",Table2[[#This Row],[Product Option]]="My Value Plus Life &amp; Funeral",_xlfn.XLOOKUP(B231,Table2[Main Member Link ID],Table2[Benefit Name],0)=Lookups!$D$16),"",
IF(AND(Table2[[#This Row],[Member Type]]="Child",Table2[[#This Row],[Product Option]]="My Value Plus Life &amp; Funeral"),"",
IF(AND(Table2[[#This Row],[Member Type]]="Child",Table2[[#This Row],[Product Option]]="My Value Plus Life &amp; Funeral",_xlfn.XLOOKUP(B232,Table2[Main Member Link ID],Table2[Benefit Name],0)=Lookups!$D$15),"",
IF(AND(OR(Table2[[#This Row],[Member Type]]="Spouse",Table2[[#This Row],[Member Type]]="Child"),Table2[[#This Row],[Product Option]]="My Value Plus Life &amp; Funeral",_xlfn.XLOOKUP(B232,Table2[Main Member Link ID],Table2[Benefit Name],0)&lt;&gt;Lookups!$D$17),
IF(_xlfn.XLOOKUP(B232,Table2[Main Member Link ID],Table2[Benefit Name],0)=0,"",_xlfn.XLOOKUP(B232,Table2[Main Member Link ID],Table2[Benefit Name],0)),""))))))</f>
        <v/>
      </c>
      <c r="AI232" s="328" t="str">
        <f>IF(AND(Table2[[#This Row],[Member Type]]="Main Member",Table2[[#This Row],[Table Lookup for Life Cover]]="MM_LIFE",Table2[[#This Row],[Age Next Birthday]]&lt;56),1,
IF(AND(Table2[[#This Row],[Member Type]]="Main Member",Table2[[#This Row],[Table Lookup for Life Cover]]="MM_LIFE",Table2[[#This Row],[Age Next Birthday]]&gt;=56),2,
""))</f>
        <v/>
      </c>
      <c r="AJ232" s="328">
        <f>IF(OR(Table2[[#This Row],[Member Type]]="Main Member",Table2[[#This Row],[Main Member Link ID]]=B231),1,0)</f>
        <v>1</v>
      </c>
      <c r="AK232" s="328">
        <f>IF(Table2[[#This Row],[Member Type]]=0,0,
IF(OR(Table2[[#This Row],[Member Type]]="Main Member",Table2[[#This Row],[Main Member Link ID]]&lt;&gt;B232),COUNTIFS(B:B,Table2[[#This Row],[Main Member Link ID]]),
COUNTIFS(B:B,Table2[[#This Row],[Main Member Link ID]],A:A,Table2[[#This Row],[Member Type]])))</f>
        <v>0</v>
      </c>
    </row>
    <row r="233" spans="1:37" x14ac:dyDescent="0.3">
      <c r="A233" s="284">
        <f>Table13[[#This Row],[Member Type]]</f>
        <v>0</v>
      </c>
      <c r="B233" s="284">
        <f>Table13[[#This Row],[Main Member Link ID]]</f>
        <v>0</v>
      </c>
      <c r="C233" s="284">
        <f>Table13[[#This Row],[ID Number]]</f>
        <v>0</v>
      </c>
      <c r="D233" s="285">
        <f>Table13[[#This Row],[Date Of Birth]]</f>
        <v>0</v>
      </c>
      <c r="E233" s="285">
        <f>Table13[[#This Row],[Commencement Date]]</f>
        <v>0</v>
      </c>
      <c r="F233" s="284">
        <f t="shared" si="21"/>
        <v>1</v>
      </c>
      <c r="G233" s="284">
        <f t="shared" si="22"/>
        <v>25</v>
      </c>
      <c r="H233" s="286">
        <f>Table13[[#This Row],[Product Option]]</f>
        <v>0</v>
      </c>
      <c r="I233" s="284">
        <f>IF(AND($A233="Main Member",Table2[[#This Row],[Product Option]]="My Value Plus Life"),"MM_LIFE",
IF(AND($A233="Spouse",Table2[[#This Row],[Product Option]]="My Value Plus Life"),"SP_LIFE",
IF(AND($A233="Main Member",Table2[[#This Row],[Product Option]]="My Value Plus Life &amp; Funeral"),"MM_LIFE",
IF(AND($A233="Spouse",Table2[[#This Row],[Product Option]]="My Value Plus Life &amp; Funeral"),_xlfn.XLOOKUP(Table2[[#This Row],[Benefit Name]],Lookups!$D$18:$D$23,Lookups!$E$18:$E$23,0),
0))))</f>
        <v>0</v>
      </c>
      <c r="J233" s="284">
        <f>IF($I233="","",
IF($I233="MM_LIFE",INDEX('Quotation Tool'!$S$54:$V$60,MATCH($T233,'Quotation Tool'!$S$54:$S$60,0),4),
IF($I233="SP_LIFE",_xlfn.XLOOKUP(B232,$B:$B,$J:$J,0),0)))</f>
        <v>0</v>
      </c>
      <c r="K233" s="287">
        <f t="shared" ca="1" si="26"/>
        <v>0</v>
      </c>
      <c r="L233" s="288">
        <f t="shared" ca="1" si="27"/>
        <v>0</v>
      </c>
      <c r="M233" s="289">
        <f t="shared" ca="1" si="23"/>
        <v>0</v>
      </c>
      <c r="N233" s="286">
        <f>Table13[[#This Row],[Benefit Option]]</f>
        <v>0</v>
      </c>
      <c r="O233" s="284">
        <f>IF(OR(Table2[[#This Row],[Member Type]]="Spouse",Table2[[#This Row],[Member Type]]="Child"),0,
IF(_xlfn.XLOOKUP($N233,Lookups!$D$13:$D$27,Lookups!$F$13:$F$27,0)=Table2[[#This Row],[Table Lookup for Life Cover]],0,
_xlfn.XLOOKUP($N233,Lookups!$D$13:$D$27,Lookups!$F$13:$F$27,0)))</f>
        <v>0</v>
      </c>
      <c r="P233" s="284">
        <f>IF(Table2[[#This Row],[Table Lookup for Funeral]]=0,0,IFERROR(INDEX('Quotation Tool'!$S$54:$V$60,MATCH($T233,'Quotation Tool'!$S$54:$S$60,0),3),0))</f>
        <v>0</v>
      </c>
      <c r="Q233" s="288">
        <f ca="1">IF(OR(Table2[[#This Row],[Benefit Name]]="My Value Plus Life - Main Member",Table2[[#This Row],[Benefit Name]]="My Value Plus Life - Spouse"),0,
IFERROR(VLOOKUP($G233,INDIRECT($O233),$P233,FALSE),0))</f>
        <v>0</v>
      </c>
      <c r="R233" s="288">
        <f ca="1">IF(OR(Table2[[#This Row],[Benefit Name]]="My Value Plus Life - Main Member",Table2[[#This Row],[Benefit Name]]="My Value Plus Life - Spouse"),0,
IFERROR(VLOOKUP($G233,INDIRECT($O233),$P233+1,FALSE),0))</f>
        <v>0</v>
      </c>
      <c r="S233" s="289">
        <f t="shared" ca="1" si="24"/>
        <v>0</v>
      </c>
      <c r="T233" s="284" t="str">
        <f>IF(Table13[[#This Row],[Premium Waiver]]="","None",Table13[[#This Row],[Premium Waiver]])</f>
        <v>None</v>
      </c>
      <c r="U233" s="284">
        <f>Table13[[#This Row],[VAPs Options]]</f>
        <v>0</v>
      </c>
      <c r="V233" s="284">
        <f>Table13[[#This Row],[Annual Increase Option]]</f>
        <v>0</v>
      </c>
      <c r="W233" s="290">
        <f>Table13[[#This Row],[Life Cover Amount]]</f>
        <v>0</v>
      </c>
      <c r="X233" s="290">
        <f>Table13[[#This Row],[Funeral Cover Amount]]</f>
        <v>0</v>
      </c>
      <c r="Y23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3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33" s="301">
        <f t="shared" ca="1" si="25"/>
        <v>0</v>
      </c>
      <c r="AB233" s="298"/>
      <c r="AC233" s="326" t="str">
        <f>IF(Table2[[#This Row],[Member Type]]="Main Member",Lookups!$C$13,
IF(Table2[[#This Row],[Member Type]]="Spouse",_xlfn.XLOOKUP(B233,Table2[Main Member Link ID],Table2[Product Option],0),
IF(AND(Table2[[#This Row],[Member Type]]="Child",_xlfn.XLOOKUP(B233,Table2[Main Member Link ID],Table2[Product Option],0)&lt;&gt;"My Value Plus Life"),Lookups!$C$24,
IF(AND(OR(Table2[[#This Row],[Member Type]]="Parent",Table2[[#This Row],[Member Type]]="Extended"),_xlfn.XLOOKUP(B233,Table2[Main Member Link ID],Table2[Product Option],0)&lt;&gt;"My Value Plus Life"),Lookups!$C$26,""))))</f>
        <v/>
      </c>
      <c r="AD233" s="326" t="str">
        <f>IF(Table2[[#This Row],[Member Type]]="Main Member",Lookups!$C$14,"")</f>
        <v/>
      </c>
      <c r="AE23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Funeral",_xlfn.XLOOKUP(B233,Table2[Main Member Link ID],Table2[Benefit Name],0)=Lookups!$D$14),"",
IF(AND(Table2[[#This Row],[Member Type]]="Spouse",Table2[[#This Row],[Product Option]]="My Value Plus Life &amp; Funeral",_xlfn.XLOOKUP(B232,Table2[Main Member Link ID],Table2[Benefit Name],0)=Lookups!$D$15),Lookups!$D$20,
IF(AND(Table2[[#This Row],[Member Type]]="Spouse",Table2[[#This Row],[Product Option]]="My Value Plus Life &amp; Funeral",_xlfn.XLOOKUP(B232,Table2[Main Member Link ID],Table2[Benefit Name],0)=Lookups!$D$16),"",
IF(AND(Table2[[#This Row],[Member Type]]="Spouse",Table2[[#This Row],[Product Option]]="My Value Plus Life &amp; Funeral",_xlfn.XLOOKUP(B232,Table2[Main Member Link ID],Table2[Benefit Name],0)=Lookups!$D$17),Lookups!$D$21,
IF(AND(Table2[[#This Row],[Member Type]]="Child",Table2[[#This Row],[Product Option]]="My Value Plus Life &amp; Funeral",_xlfn.XLOOKUP(B233,Table2[Main Member Link ID],Table2[Benefit Name],0)=Lookups!$D$14),"",
IF(AND(Table2[[#This Row],[Member Type]]="Child",Table2[[#This Row],[Product Option]]="My Value Plus Life &amp; Funeral",_xlfn.XLOOKUP(B233,Table2[Main Member Link ID],Table2[Benefit Name],0)=Lookups!$D$15),"",
IF(AND(Table2[[#This Row],[Member Type]]="Child",Table2[[#This Row],[Product Option]]="My Value Plus Life &amp; Funeral",_xlfn.XLOOKUP(B233,Table2[Main Member Link ID],Table2[Benefit Name],0)=Lookups!$D$16),Lookups!$D$24,
IF(AND(Table2[[#This Row],[Member Type]]="Child",Table2[[#This Row],[Product Option]]="My Value Plus Life &amp; Funeral",_xlfn.XLOOKUP(B233,Table2[Main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Funeral",_xlfn.XLOOKUP(B233,Table2[Main Member Link ID],Table2[Benefit Name],0)&lt;&gt;Lookups!$D$14),
IF(_xlfn.XLOOKUP(B233,Table2[Main Member Link ID],Table2[Benefit Name],0)=0,"",_xlfn.XLOOKUP(B233,Table2[Main Member Link ID],Table2[Benefit Name],0)),"")))))))))))))))</f>
        <v/>
      </c>
      <c r="AF233" s="327" t="str">
        <f>IF(AND(Table2[[#This Row],[Member Type]]="Main Member",Table2[[#This Row],[Product Option]]="My Value Plus Life &amp; Funeral"),Lookups!$D$15,
IF(AND(Table2[[#This Row],[Member Type]]="Spouse",Table2[[#This Row],[Product Option]]="My Value Plus Life &amp; Funeral",_xlfn.XLOOKUP(B233,Table2[Main Member Link ID],Table2[Benefit Name],0)=Lookups!$D$14),"",
IF(AND(Table2[[#This Row],[Member Type]]="Spouse",Table2[[#This Row],[Product Option]]="My Value Plus Life &amp; Funeral",_xlfn.XLOOKUP(B232,Table2[Main Member Link ID],Table2[Benefit Name],0)=Lookups!$D$16),"",
IF(AND(Table2[[#This Row],[Member Type]]="Spouse",Table2[[#This Row],[Product Option]]="My Value Plus Life &amp; Funeral",_xlfn.XLOOKUP(B232,Table2[Main Member Link ID],Table2[Benefit Name],0)=Lookups!$D$15),"",
IF(AND(Table2[[#This Row],[Member Type]]="Spouse",Table2[[#This Row],[Product Option]]="My Value Plus Life &amp; Funeral",_xlfn.XLOOKUP(B232,Table2[Main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Funeral",_xlfn.XLOOKUP(B233,Table2[Main Member Link ID],Table2[Benefit Name],0)&lt;&gt;Lookups!$D$15),
IF(_xlfn.XLOOKUP(B233,Table2[Main Member Link ID],Table2[Benefit Name],0)=0,"",_xlfn.XLOOKUP(B233,Table2[Main Member Link ID],Table2[Benefit Name],0)),"")
))))))</f>
        <v/>
      </c>
      <c r="AG233" s="327" t="str">
        <f>IF(AND(Table2[[#This Row],[Member Type]]="Main Member",Table2[[#This Row],[Product Option]]="My Value Plus Life &amp; Funeral"),Lookups!$D$16,
IF(AND(Table2[[#This Row],[Member Type]]="Spouse",Table2[[#This Row],[Product Option]]="My Value Plus Life &amp; Funeral",_xlfn.XLOOKUP(B233,Table2[Main Member Link ID],Table2[Benefit Name],0)=Lookups!$D$14),"",
IF(AND(Table2[[#This Row],[Member Type]]="Spouse",Table2[[#This Row],[Product Option]]="My Value Plus Life &amp; Funeral",_xlfn.XLOOKUP(B232,Table2[Main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Funeral",_xlfn.XLOOKUP(B233,Table2[Main Member Link ID],Table2[Benefit Name],0)&lt;&gt;Lookups!$D$16),
IF(_xlfn.XLOOKUP(B233,Table2[Main Member Link ID],Table2[Benefit Name],0)=0,"",_xlfn.XLOOKUP(B233,Table2[Main Member Link ID],Table2[Benefit Name],0)),"")
))))</f>
        <v/>
      </c>
      <c r="AH233" s="327" t="str">
        <f>IF(AND(Table2[[#This Row],[Member Type]]="Main Member",Table2[[#This Row],[Product Option]]="My Value Plus Life &amp; Funeral"),Lookups!$D$17,
IF(AND(Table2[[#This Row],[Member Type]]="Spouse",Table2[[#This Row],[Product Option]]="My Value Plus Life &amp; Funeral",_xlfn.XLOOKUP(B233,Table2[Main Member Link ID],Table2[Benefit Name],0)=Lookups!$D$14),"",
IF(AND(Table2[[#This Row],[Member Type]]="Spouse",Table2[[#This Row],[Product Option]]="My Value Plus Life &amp; Funeral",_xlfn.XLOOKUP(B232,Table2[Main Member Link ID],Table2[Benefit Name],0)=Lookups!$D$16),"",
IF(AND(Table2[[#This Row],[Member Type]]="Child",Table2[[#This Row],[Product Option]]="My Value Plus Life &amp; Funeral"),"",
IF(AND(Table2[[#This Row],[Member Type]]="Child",Table2[[#This Row],[Product Option]]="My Value Plus Life &amp; Funeral",_xlfn.XLOOKUP(B233,Table2[Main Member Link ID],Table2[Benefit Name],0)=Lookups!$D$15),"",
IF(AND(OR(Table2[[#This Row],[Member Type]]="Spouse",Table2[[#This Row],[Member Type]]="Child"),Table2[[#This Row],[Product Option]]="My Value Plus Life &amp; Funeral",_xlfn.XLOOKUP(B233,Table2[Main Member Link ID],Table2[Benefit Name],0)&lt;&gt;Lookups!$D$17),
IF(_xlfn.XLOOKUP(B233,Table2[Main Member Link ID],Table2[Benefit Name],0)=0,"",_xlfn.XLOOKUP(B233,Table2[Main Member Link ID],Table2[Benefit Name],0)),""))))))</f>
        <v/>
      </c>
      <c r="AI233" s="328" t="str">
        <f>IF(AND(Table2[[#This Row],[Member Type]]="Main Member",Table2[[#This Row],[Table Lookup for Life Cover]]="MM_LIFE",Table2[[#This Row],[Age Next Birthday]]&lt;56),1,
IF(AND(Table2[[#This Row],[Member Type]]="Main Member",Table2[[#This Row],[Table Lookup for Life Cover]]="MM_LIFE",Table2[[#This Row],[Age Next Birthday]]&gt;=56),2,
""))</f>
        <v/>
      </c>
      <c r="AJ233" s="328">
        <f>IF(OR(Table2[[#This Row],[Member Type]]="Main Member",Table2[[#This Row],[Main Member Link ID]]=B232),1,0)</f>
        <v>1</v>
      </c>
      <c r="AK233" s="328">
        <f>IF(Table2[[#This Row],[Member Type]]=0,0,
IF(OR(Table2[[#This Row],[Member Type]]="Main Member",Table2[[#This Row],[Main Member Link ID]]&lt;&gt;B233),COUNTIFS(B:B,Table2[[#This Row],[Main Member Link ID]]),
COUNTIFS(B:B,Table2[[#This Row],[Main Member Link ID]],A:A,Table2[[#This Row],[Member Type]])))</f>
        <v>0</v>
      </c>
    </row>
    <row r="234" spans="1:37" x14ac:dyDescent="0.3">
      <c r="A234" s="284">
        <f>Table13[[#This Row],[Member Type]]</f>
        <v>0</v>
      </c>
      <c r="B234" s="284">
        <f>Table13[[#This Row],[Main Member Link ID]]</f>
        <v>0</v>
      </c>
      <c r="C234" s="284">
        <f>Table13[[#This Row],[ID Number]]</f>
        <v>0</v>
      </c>
      <c r="D234" s="285">
        <f>Table13[[#This Row],[Date Of Birth]]</f>
        <v>0</v>
      </c>
      <c r="E234" s="285">
        <f>Table13[[#This Row],[Commencement Date]]</f>
        <v>0</v>
      </c>
      <c r="F234" s="284">
        <f t="shared" si="21"/>
        <v>1</v>
      </c>
      <c r="G234" s="284">
        <f t="shared" si="22"/>
        <v>25</v>
      </c>
      <c r="H234" s="286">
        <f>Table13[[#This Row],[Product Option]]</f>
        <v>0</v>
      </c>
      <c r="I234" s="284">
        <f>IF(AND($A234="Main Member",Table2[[#This Row],[Product Option]]="My Value Plus Life"),"MM_LIFE",
IF(AND($A234="Spouse",Table2[[#This Row],[Product Option]]="My Value Plus Life"),"SP_LIFE",
IF(AND($A234="Main Member",Table2[[#This Row],[Product Option]]="My Value Plus Life &amp; Funeral"),"MM_LIFE",
IF(AND($A234="Spouse",Table2[[#This Row],[Product Option]]="My Value Plus Life &amp; Funeral"),_xlfn.XLOOKUP(Table2[[#This Row],[Benefit Name]],Lookups!$D$18:$D$23,Lookups!$E$18:$E$23,0),
0))))</f>
        <v>0</v>
      </c>
      <c r="J234" s="284">
        <f>IF($I234="","",
IF($I234="MM_LIFE",INDEX('Quotation Tool'!$S$54:$V$60,MATCH($T234,'Quotation Tool'!$S$54:$S$60,0),4),
IF($I234="SP_LIFE",_xlfn.XLOOKUP(B233,$B:$B,$J:$J,0),0)))</f>
        <v>0</v>
      </c>
      <c r="K234" s="287">
        <f t="shared" ca="1" si="26"/>
        <v>0</v>
      </c>
      <c r="L234" s="288">
        <f t="shared" ca="1" si="27"/>
        <v>0</v>
      </c>
      <c r="M234" s="289">
        <f t="shared" ca="1" si="23"/>
        <v>0</v>
      </c>
      <c r="N234" s="286">
        <f>Table13[[#This Row],[Benefit Option]]</f>
        <v>0</v>
      </c>
      <c r="O234" s="284">
        <f>IF(OR(Table2[[#This Row],[Member Type]]="Spouse",Table2[[#This Row],[Member Type]]="Child"),0,
IF(_xlfn.XLOOKUP($N234,Lookups!$D$13:$D$27,Lookups!$F$13:$F$27,0)=Table2[[#This Row],[Table Lookup for Life Cover]],0,
_xlfn.XLOOKUP($N234,Lookups!$D$13:$D$27,Lookups!$F$13:$F$27,0)))</f>
        <v>0</v>
      </c>
      <c r="P234" s="284">
        <f>IF(Table2[[#This Row],[Table Lookup for Funeral]]=0,0,IFERROR(INDEX('Quotation Tool'!$S$54:$V$60,MATCH($T234,'Quotation Tool'!$S$54:$S$60,0),3),0))</f>
        <v>0</v>
      </c>
      <c r="Q234" s="288">
        <f ca="1">IF(OR(Table2[[#This Row],[Benefit Name]]="My Value Plus Life - Main Member",Table2[[#This Row],[Benefit Name]]="My Value Plus Life - Spouse"),0,
IFERROR(VLOOKUP($G234,INDIRECT($O234),$P234,FALSE),0))</f>
        <v>0</v>
      </c>
      <c r="R234" s="288">
        <f ca="1">IF(OR(Table2[[#This Row],[Benefit Name]]="My Value Plus Life - Main Member",Table2[[#This Row],[Benefit Name]]="My Value Plus Life - Spouse"),0,
IFERROR(VLOOKUP($G234,INDIRECT($O234),$P234+1,FALSE),0))</f>
        <v>0</v>
      </c>
      <c r="S234" s="289">
        <f t="shared" ca="1" si="24"/>
        <v>0</v>
      </c>
      <c r="T234" s="284" t="str">
        <f>IF(Table13[[#This Row],[Premium Waiver]]="","None",Table13[[#This Row],[Premium Waiver]])</f>
        <v>None</v>
      </c>
      <c r="U234" s="284">
        <f>Table13[[#This Row],[VAPs Options]]</f>
        <v>0</v>
      </c>
      <c r="V234" s="284">
        <f>Table13[[#This Row],[Annual Increase Option]]</f>
        <v>0</v>
      </c>
      <c r="W234" s="290">
        <f>Table13[[#This Row],[Life Cover Amount]]</f>
        <v>0</v>
      </c>
      <c r="X234" s="290">
        <f>Table13[[#This Row],[Funeral Cover Amount]]</f>
        <v>0</v>
      </c>
      <c r="Y23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3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34" s="301">
        <f t="shared" ca="1" si="25"/>
        <v>0</v>
      </c>
      <c r="AB234" s="298"/>
      <c r="AC234" s="326" t="str">
        <f>IF(Table2[[#This Row],[Member Type]]="Main Member",Lookups!$C$13,
IF(Table2[[#This Row],[Member Type]]="Spouse",_xlfn.XLOOKUP(B234,Table2[Main Member Link ID],Table2[Product Option],0),
IF(AND(Table2[[#This Row],[Member Type]]="Child",_xlfn.XLOOKUP(B234,Table2[Main Member Link ID],Table2[Product Option],0)&lt;&gt;"My Value Plus Life"),Lookups!$C$24,
IF(AND(OR(Table2[[#This Row],[Member Type]]="Parent",Table2[[#This Row],[Member Type]]="Extended"),_xlfn.XLOOKUP(B234,Table2[Main Member Link ID],Table2[Product Option],0)&lt;&gt;"My Value Plus Life"),Lookups!$C$26,""))))</f>
        <v/>
      </c>
      <c r="AD234" s="326" t="str">
        <f>IF(Table2[[#This Row],[Member Type]]="Main Member",Lookups!$C$14,"")</f>
        <v/>
      </c>
      <c r="AE23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Funeral",_xlfn.XLOOKUP(B234,Table2[Main Member Link ID],Table2[Benefit Name],0)=Lookups!$D$14),"",
IF(AND(Table2[[#This Row],[Member Type]]="Spouse",Table2[[#This Row],[Product Option]]="My Value Plus Life &amp; Funeral",_xlfn.XLOOKUP(B233,Table2[Main Member Link ID],Table2[Benefit Name],0)=Lookups!$D$15),Lookups!$D$20,
IF(AND(Table2[[#This Row],[Member Type]]="Spouse",Table2[[#This Row],[Product Option]]="My Value Plus Life &amp; Funeral",_xlfn.XLOOKUP(B233,Table2[Main Member Link ID],Table2[Benefit Name],0)=Lookups!$D$16),"",
IF(AND(Table2[[#This Row],[Member Type]]="Spouse",Table2[[#This Row],[Product Option]]="My Value Plus Life &amp; Funeral",_xlfn.XLOOKUP(B233,Table2[Main Member Link ID],Table2[Benefit Name],0)=Lookups!$D$17),Lookups!$D$21,
IF(AND(Table2[[#This Row],[Member Type]]="Child",Table2[[#This Row],[Product Option]]="My Value Plus Life &amp; Funeral",_xlfn.XLOOKUP(B234,Table2[Main Member Link ID],Table2[Benefit Name],0)=Lookups!$D$14),"",
IF(AND(Table2[[#This Row],[Member Type]]="Child",Table2[[#This Row],[Product Option]]="My Value Plus Life &amp; Funeral",_xlfn.XLOOKUP(B234,Table2[Main Member Link ID],Table2[Benefit Name],0)=Lookups!$D$15),"",
IF(AND(Table2[[#This Row],[Member Type]]="Child",Table2[[#This Row],[Product Option]]="My Value Plus Life &amp; Funeral",_xlfn.XLOOKUP(B234,Table2[Main Member Link ID],Table2[Benefit Name],0)=Lookups!$D$16),Lookups!$D$24,
IF(AND(Table2[[#This Row],[Member Type]]="Child",Table2[[#This Row],[Product Option]]="My Value Plus Life &amp; Funeral",_xlfn.XLOOKUP(B234,Table2[Main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Funeral",_xlfn.XLOOKUP(B234,Table2[Main Member Link ID],Table2[Benefit Name],0)&lt;&gt;Lookups!$D$14),
IF(_xlfn.XLOOKUP(B234,Table2[Main Member Link ID],Table2[Benefit Name],0)=0,"",_xlfn.XLOOKUP(B234,Table2[Main Member Link ID],Table2[Benefit Name],0)),"")))))))))))))))</f>
        <v/>
      </c>
      <c r="AF234" s="327" t="str">
        <f>IF(AND(Table2[[#This Row],[Member Type]]="Main Member",Table2[[#This Row],[Product Option]]="My Value Plus Life &amp; Funeral"),Lookups!$D$15,
IF(AND(Table2[[#This Row],[Member Type]]="Spouse",Table2[[#This Row],[Product Option]]="My Value Plus Life &amp; Funeral",_xlfn.XLOOKUP(B234,Table2[Main Member Link ID],Table2[Benefit Name],0)=Lookups!$D$14),"",
IF(AND(Table2[[#This Row],[Member Type]]="Spouse",Table2[[#This Row],[Product Option]]="My Value Plus Life &amp; Funeral",_xlfn.XLOOKUP(B233,Table2[Main Member Link ID],Table2[Benefit Name],0)=Lookups!$D$16),"",
IF(AND(Table2[[#This Row],[Member Type]]="Spouse",Table2[[#This Row],[Product Option]]="My Value Plus Life &amp; Funeral",_xlfn.XLOOKUP(B233,Table2[Main Member Link ID],Table2[Benefit Name],0)=Lookups!$D$15),"",
IF(AND(Table2[[#This Row],[Member Type]]="Spouse",Table2[[#This Row],[Product Option]]="My Value Plus Life &amp; Funeral",_xlfn.XLOOKUP(B233,Table2[Main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Funeral",_xlfn.XLOOKUP(B234,Table2[Main Member Link ID],Table2[Benefit Name],0)&lt;&gt;Lookups!$D$15),
IF(_xlfn.XLOOKUP(B234,Table2[Main Member Link ID],Table2[Benefit Name],0)=0,"",_xlfn.XLOOKUP(B234,Table2[Main Member Link ID],Table2[Benefit Name],0)),"")
))))))</f>
        <v/>
      </c>
      <c r="AG234" s="327" t="str">
        <f>IF(AND(Table2[[#This Row],[Member Type]]="Main Member",Table2[[#This Row],[Product Option]]="My Value Plus Life &amp; Funeral"),Lookups!$D$16,
IF(AND(Table2[[#This Row],[Member Type]]="Spouse",Table2[[#This Row],[Product Option]]="My Value Plus Life &amp; Funeral",_xlfn.XLOOKUP(B234,Table2[Main Member Link ID],Table2[Benefit Name],0)=Lookups!$D$14),"",
IF(AND(Table2[[#This Row],[Member Type]]="Spouse",Table2[[#This Row],[Product Option]]="My Value Plus Life &amp; Funeral",_xlfn.XLOOKUP(B233,Table2[Main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Funeral",_xlfn.XLOOKUP(B234,Table2[Main Member Link ID],Table2[Benefit Name],0)&lt;&gt;Lookups!$D$16),
IF(_xlfn.XLOOKUP(B234,Table2[Main Member Link ID],Table2[Benefit Name],0)=0,"",_xlfn.XLOOKUP(B234,Table2[Main Member Link ID],Table2[Benefit Name],0)),"")
))))</f>
        <v/>
      </c>
      <c r="AH234" s="327" t="str">
        <f>IF(AND(Table2[[#This Row],[Member Type]]="Main Member",Table2[[#This Row],[Product Option]]="My Value Plus Life &amp; Funeral"),Lookups!$D$17,
IF(AND(Table2[[#This Row],[Member Type]]="Spouse",Table2[[#This Row],[Product Option]]="My Value Plus Life &amp; Funeral",_xlfn.XLOOKUP(B234,Table2[Main Member Link ID],Table2[Benefit Name],0)=Lookups!$D$14),"",
IF(AND(Table2[[#This Row],[Member Type]]="Spouse",Table2[[#This Row],[Product Option]]="My Value Plus Life &amp; Funeral",_xlfn.XLOOKUP(B233,Table2[Main Member Link ID],Table2[Benefit Name],0)=Lookups!$D$16),"",
IF(AND(Table2[[#This Row],[Member Type]]="Child",Table2[[#This Row],[Product Option]]="My Value Plus Life &amp; Funeral"),"",
IF(AND(Table2[[#This Row],[Member Type]]="Child",Table2[[#This Row],[Product Option]]="My Value Plus Life &amp; Funeral",_xlfn.XLOOKUP(B234,Table2[Main Member Link ID],Table2[Benefit Name],0)=Lookups!$D$15),"",
IF(AND(OR(Table2[[#This Row],[Member Type]]="Spouse",Table2[[#This Row],[Member Type]]="Child"),Table2[[#This Row],[Product Option]]="My Value Plus Life &amp; Funeral",_xlfn.XLOOKUP(B234,Table2[Main Member Link ID],Table2[Benefit Name],0)&lt;&gt;Lookups!$D$17),
IF(_xlfn.XLOOKUP(B234,Table2[Main Member Link ID],Table2[Benefit Name],0)=0,"",_xlfn.XLOOKUP(B234,Table2[Main Member Link ID],Table2[Benefit Name],0)),""))))))</f>
        <v/>
      </c>
      <c r="AI234" s="328" t="str">
        <f>IF(AND(Table2[[#This Row],[Member Type]]="Main Member",Table2[[#This Row],[Table Lookup for Life Cover]]="MM_LIFE",Table2[[#This Row],[Age Next Birthday]]&lt;56),1,
IF(AND(Table2[[#This Row],[Member Type]]="Main Member",Table2[[#This Row],[Table Lookup for Life Cover]]="MM_LIFE",Table2[[#This Row],[Age Next Birthday]]&gt;=56),2,
""))</f>
        <v/>
      </c>
      <c r="AJ234" s="328">
        <f>IF(OR(Table2[[#This Row],[Member Type]]="Main Member",Table2[[#This Row],[Main Member Link ID]]=B233),1,0)</f>
        <v>1</v>
      </c>
      <c r="AK234" s="328">
        <f>IF(Table2[[#This Row],[Member Type]]=0,0,
IF(OR(Table2[[#This Row],[Member Type]]="Main Member",Table2[[#This Row],[Main Member Link ID]]&lt;&gt;B234),COUNTIFS(B:B,Table2[[#This Row],[Main Member Link ID]]),
COUNTIFS(B:B,Table2[[#This Row],[Main Member Link ID]],A:A,Table2[[#This Row],[Member Type]])))</f>
        <v>0</v>
      </c>
    </row>
    <row r="235" spans="1:37" x14ac:dyDescent="0.3">
      <c r="A235" s="284">
        <f>Table13[[#This Row],[Member Type]]</f>
        <v>0</v>
      </c>
      <c r="B235" s="284">
        <f>Table13[[#This Row],[Main Member Link ID]]</f>
        <v>0</v>
      </c>
      <c r="C235" s="284">
        <f>Table13[[#This Row],[ID Number]]</f>
        <v>0</v>
      </c>
      <c r="D235" s="285">
        <f>Table13[[#This Row],[Date Of Birth]]</f>
        <v>0</v>
      </c>
      <c r="E235" s="285">
        <f>Table13[[#This Row],[Commencement Date]]</f>
        <v>0</v>
      </c>
      <c r="F235" s="284">
        <f t="shared" si="21"/>
        <v>1</v>
      </c>
      <c r="G235" s="284">
        <f t="shared" si="22"/>
        <v>25</v>
      </c>
      <c r="H235" s="286">
        <f>Table13[[#This Row],[Product Option]]</f>
        <v>0</v>
      </c>
      <c r="I235" s="284">
        <f>IF(AND($A235="Main Member",Table2[[#This Row],[Product Option]]="My Value Plus Life"),"MM_LIFE",
IF(AND($A235="Spouse",Table2[[#This Row],[Product Option]]="My Value Plus Life"),"SP_LIFE",
IF(AND($A235="Main Member",Table2[[#This Row],[Product Option]]="My Value Plus Life &amp; Funeral"),"MM_LIFE",
IF(AND($A235="Spouse",Table2[[#This Row],[Product Option]]="My Value Plus Life &amp; Funeral"),_xlfn.XLOOKUP(Table2[[#This Row],[Benefit Name]],Lookups!$D$18:$D$23,Lookups!$E$18:$E$23,0),
0))))</f>
        <v>0</v>
      </c>
      <c r="J235" s="284">
        <f>IF($I235="","",
IF($I235="MM_LIFE",INDEX('Quotation Tool'!$S$54:$V$60,MATCH($T235,'Quotation Tool'!$S$54:$S$60,0),4),
IF($I235="SP_LIFE",_xlfn.XLOOKUP(B234,$B:$B,$J:$J,0),0)))</f>
        <v>0</v>
      </c>
      <c r="K235" s="287">
        <f t="shared" ca="1" si="26"/>
        <v>0</v>
      </c>
      <c r="L235" s="288">
        <f t="shared" ca="1" si="27"/>
        <v>0</v>
      </c>
      <c r="M235" s="289">
        <f t="shared" ca="1" si="23"/>
        <v>0</v>
      </c>
      <c r="N235" s="286">
        <f>Table13[[#This Row],[Benefit Option]]</f>
        <v>0</v>
      </c>
      <c r="O235" s="284">
        <f>IF(OR(Table2[[#This Row],[Member Type]]="Spouse",Table2[[#This Row],[Member Type]]="Child"),0,
IF(_xlfn.XLOOKUP($N235,Lookups!$D$13:$D$27,Lookups!$F$13:$F$27,0)=Table2[[#This Row],[Table Lookup for Life Cover]],0,
_xlfn.XLOOKUP($N235,Lookups!$D$13:$D$27,Lookups!$F$13:$F$27,0)))</f>
        <v>0</v>
      </c>
      <c r="P235" s="284">
        <f>IF(Table2[[#This Row],[Table Lookup for Funeral]]=0,0,IFERROR(INDEX('Quotation Tool'!$S$54:$V$60,MATCH($T235,'Quotation Tool'!$S$54:$S$60,0),3),0))</f>
        <v>0</v>
      </c>
      <c r="Q235" s="288">
        <f ca="1">IF(OR(Table2[[#This Row],[Benefit Name]]="My Value Plus Life - Main Member",Table2[[#This Row],[Benefit Name]]="My Value Plus Life - Spouse"),0,
IFERROR(VLOOKUP($G235,INDIRECT($O235),$P235,FALSE),0))</f>
        <v>0</v>
      </c>
      <c r="R235" s="288">
        <f ca="1">IF(OR(Table2[[#This Row],[Benefit Name]]="My Value Plus Life - Main Member",Table2[[#This Row],[Benefit Name]]="My Value Plus Life - Spouse"),0,
IFERROR(VLOOKUP($G235,INDIRECT($O235),$P235+1,FALSE),0))</f>
        <v>0</v>
      </c>
      <c r="S235" s="289">
        <f t="shared" ca="1" si="24"/>
        <v>0</v>
      </c>
      <c r="T235" s="284" t="str">
        <f>IF(Table13[[#This Row],[Premium Waiver]]="","None",Table13[[#This Row],[Premium Waiver]])</f>
        <v>None</v>
      </c>
      <c r="U235" s="284">
        <f>Table13[[#This Row],[VAPs Options]]</f>
        <v>0</v>
      </c>
      <c r="V235" s="284">
        <f>Table13[[#This Row],[Annual Increase Option]]</f>
        <v>0</v>
      </c>
      <c r="W235" s="290">
        <f>Table13[[#This Row],[Life Cover Amount]]</f>
        <v>0</v>
      </c>
      <c r="X235" s="290">
        <f>Table13[[#This Row],[Funeral Cover Amount]]</f>
        <v>0</v>
      </c>
      <c r="Y23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3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35" s="301">
        <f t="shared" ca="1" si="25"/>
        <v>0</v>
      </c>
      <c r="AB235" s="298"/>
      <c r="AC235" s="326" t="str">
        <f>IF(Table2[[#This Row],[Member Type]]="Main Member",Lookups!$C$13,
IF(Table2[[#This Row],[Member Type]]="Spouse",_xlfn.XLOOKUP(B235,Table2[Main Member Link ID],Table2[Product Option],0),
IF(AND(Table2[[#This Row],[Member Type]]="Child",_xlfn.XLOOKUP(B235,Table2[Main Member Link ID],Table2[Product Option],0)&lt;&gt;"My Value Plus Life"),Lookups!$C$24,
IF(AND(OR(Table2[[#This Row],[Member Type]]="Parent",Table2[[#This Row],[Member Type]]="Extended"),_xlfn.XLOOKUP(B235,Table2[Main Member Link ID],Table2[Product Option],0)&lt;&gt;"My Value Plus Life"),Lookups!$C$26,""))))</f>
        <v/>
      </c>
      <c r="AD235" s="326" t="str">
        <f>IF(Table2[[#This Row],[Member Type]]="Main Member",Lookups!$C$14,"")</f>
        <v/>
      </c>
      <c r="AE23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Funeral",_xlfn.XLOOKUP(B235,Table2[Main Member Link ID],Table2[Benefit Name],0)=Lookups!$D$14),"",
IF(AND(Table2[[#This Row],[Member Type]]="Spouse",Table2[[#This Row],[Product Option]]="My Value Plus Life &amp; Funeral",_xlfn.XLOOKUP(B234,Table2[Main Member Link ID],Table2[Benefit Name],0)=Lookups!$D$15),Lookups!$D$20,
IF(AND(Table2[[#This Row],[Member Type]]="Spouse",Table2[[#This Row],[Product Option]]="My Value Plus Life &amp; Funeral",_xlfn.XLOOKUP(B234,Table2[Main Member Link ID],Table2[Benefit Name],0)=Lookups!$D$16),"",
IF(AND(Table2[[#This Row],[Member Type]]="Spouse",Table2[[#This Row],[Product Option]]="My Value Plus Life &amp; Funeral",_xlfn.XLOOKUP(B234,Table2[Main Member Link ID],Table2[Benefit Name],0)=Lookups!$D$17),Lookups!$D$21,
IF(AND(Table2[[#This Row],[Member Type]]="Child",Table2[[#This Row],[Product Option]]="My Value Plus Life &amp; Funeral",_xlfn.XLOOKUP(B235,Table2[Main Member Link ID],Table2[Benefit Name],0)=Lookups!$D$14),"",
IF(AND(Table2[[#This Row],[Member Type]]="Child",Table2[[#This Row],[Product Option]]="My Value Plus Life &amp; Funeral",_xlfn.XLOOKUP(B235,Table2[Main Member Link ID],Table2[Benefit Name],0)=Lookups!$D$15),"",
IF(AND(Table2[[#This Row],[Member Type]]="Child",Table2[[#This Row],[Product Option]]="My Value Plus Life &amp; Funeral",_xlfn.XLOOKUP(B235,Table2[Main Member Link ID],Table2[Benefit Name],0)=Lookups!$D$16),Lookups!$D$24,
IF(AND(Table2[[#This Row],[Member Type]]="Child",Table2[[#This Row],[Product Option]]="My Value Plus Life &amp; Funeral",_xlfn.XLOOKUP(B235,Table2[Main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Funeral",_xlfn.XLOOKUP(B235,Table2[Main Member Link ID],Table2[Benefit Name],0)&lt;&gt;Lookups!$D$14),
IF(_xlfn.XLOOKUP(B235,Table2[Main Member Link ID],Table2[Benefit Name],0)=0,"",_xlfn.XLOOKUP(B235,Table2[Main Member Link ID],Table2[Benefit Name],0)),"")))))))))))))))</f>
        <v/>
      </c>
      <c r="AF235" s="327" t="str">
        <f>IF(AND(Table2[[#This Row],[Member Type]]="Main Member",Table2[[#This Row],[Product Option]]="My Value Plus Life &amp; Funeral"),Lookups!$D$15,
IF(AND(Table2[[#This Row],[Member Type]]="Spouse",Table2[[#This Row],[Product Option]]="My Value Plus Life &amp; Funeral",_xlfn.XLOOKUP(B235,Table2[Main Member Link ID],Table2[Benefit Name],0)=Lookups!$D$14),"",
IF(AND(Table2[[#This Row],[Member Type]]="Spouse",Table2[[#This Row],[Product Option]]="My Value Plus Life &amp; Funeral",_xlfn.XLOOKUP(B234,Table2[Main Member Link ID],Table2[Benefit Name],0)=Lookups!$D$16),"",
IF(AND(Table2[[#This Row],[Member Type]]="Spouse",Table2[[#This Row],[Product Option]]="My Value Plus Life &amp; Funeral",_xlfn.XLOOKUP(B234,Table2[Main Member Link ID],Table2[Benefit Name],0)=Lookups!$D$15),"",
IF(AND(Table2[[#This Row],[Member Type]]="Spouse",Table2[[#This Row],[Product Option]]="My Value Plus Life &amp; Funeral",_xlfn.XLOOKUP(B234,Table2[Main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Funeral",_xlfn.XLOOKUP(B235,Table2[Main Member Link ID],Table2[Benefit Name],0)&lt;&gt;Lookups!$D$15),
IF(_xlfn.XLOOKUP(B235,Table2[Main Member Link ID],Table2[Benefit Name],0)=0,"",_xlfn.XLOOKUP(B235,Table2[Main Member Link ID],Table2[Benefit Name],0)),"")
))))))</f>
        <v/>
      </c>
      <c r="AG235" s="327" t="str">
        <f>IF(AND(Table2[[#This Row],[Member Type]]="Main Member",Table2[[#This Row],[Product Option]]="My Value Plus Life &amp; Funeral"),Lookups!$D$16,
IF(AND(Table2[[#This Row],[Member Type]]="Spouse",Table2[[#This Row],[Product Option]]="My Value Plus Life &amp; Funeral",_xlfn.XLOOKUP(B235,Table2[Main Member Link ID],Table2[Benefit Name],0)=Lookups!$D$14),"",
IF(AND(Table2[[#This Row],[Member Type]]="Spouse",Table2[[#This Row],[Product Option]]="My Value Plus Life &amp; Funeral",_xlfn.XLOOKUP(B234,Table2[Main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Funeral",_xlfn.XLOOKUP(B235,Table2[Main Member Link ID],Table2[Benefit Name],0)&lt;&gt;Lookups!$D$16),
IF(_xlfn.XLOOKUP(B235,Table2[Main Member Link ID],Table2[Benefit Name],0)=0,"",_xlfn.XLOOKUP(B235,Table2[Main Member Link ID],Table2[Benefit Name],0)),"")
))))</f>
        <v/>
      </c>
      <c r="AH235" s="327" t="str">
        <f>IF(AND(Table2[[#This Row],[Member Type]]="Main Member",Table2[[#This Row],[Product Option]]="My Value Plus Life &amp; Funeral"),Lookups!$D$17,
IF(AND(Table2[[#This Row],[Member Type]]="Spouse",Table2[[#This Row],[Product Option]]="My Value Plus Life &amp; Funeral",_xlfn.XLOOKUP(B235,Table2[Main Member Link ID],Table2[Benefit Name],0)=Lookups!$D$14),"",
IF(AND(Table2[[#This Row],[Member Type]]="Spouse",Table2[[#This Row],[Product Option]]="My Value Plus Life &amp; Funeral",_xlfn.XLOOKUP(B234,Table2[Main Member Link ID],Table2[Benefit Name],0)=Lookups!$D$16),"",
IF(AND(Table2[[#This Row],[Member Type]]="Child",Table2[[#This Row],[Product Option]]="My Value Plus Life &amp; Funeral"),"",
IF(AND(Table2[[#This Row],[Member Type]]="Child",Table2[[#This Row],[Product Option]]="My Value Plus Life &amp; Funeral",_xlfn.XLOOKUP(B235,Table2[Main Member Link ID],Table2[Benefit Name],0)=Lookups!$D$15),"",
IF(AND(OR(Table2[[#This Row],[Member Type]]="Spouse",Table2[[#This Row],[Member Type]]="Child"),Table2[[#This Row],[Product Option]]="My Value Plus Life &amp; Funeral",_xlfn.XLOOKUP(B235,Table2[Main Member Link ID],Table2[Benefit Name],0)&lt;&gt;Lookups!$D$17),
IF(_xlfn.XLOOKUP(B235,Table2[Main Member Link ID],Table2[Benefit Name],0)=0,"",_xlfn.XLOOKUP(B235,Table2[Main Member Link ID],Table2[Benefit Name],0)),""))))))</f>
        <v/>
      </c>
      <c r="AI235" s="328" t="str">
        <f>IF(AND(Table2[[#This Row],[Member Type]]="Main Member",Table2[[#This Row],[Table Lookup for Life Cover]]="MM_LIFE",Table2[[#This Row],[Age Next Birthday]]&lt;56),1,
IF(AND(Table2[[#This Row],[Member Type]]="Main Member",Table2[[#This Row],[Table Lookup for Life Cover]]="MM_LIFE",Table2[[#This Row],[Age Next Birthday]]&gt;=56),2,
""))</f>
        <v/>
      </c>
      <c r="AJ235" s="328">
        <f>IF(OR(Table2[[#This Row],[Member Type]]="Main Member",Table2[[#This Row],[Main Member Link ID]]=B234),1,0)</f>
        <v>1</v>
      </c>
      <c r="AK235" s="328">
        <f>IF(Table2[[#This Row],[Member Type]]=0,0,
IF(OR(Table2[[#This Row],[Member Type]]="Main Member",Table2[[#This Row],[Main Member Link ID]]&lt;&gt;B235),COUNTIFS(B:B,Table2[[#This Row],[Main Member Link ID]]),
COUNTIFS(B:B,Table2[[#This Row],[Main Member Link ID]],A:A,Table2[[#This Row],[Member Type]])))</f>
        <v>0</v>
      </c>
    </row>
    <row r="236" spans="1:37" x14ac:dyDescent="0.3">
      <c r="A236" s="284">
        <f>Table13[[#This Row],[Member Type]]</f>
        <v>0</v>
      </c>
      <c r="B236" s="284">
        <f>Table13[[#This Row],[Main Member Link ID]]</f>
        <v>0</v>
      </c>
      <c r="C236" s="284">
        <f>Table13[[#This Row],[ID Number]]</f>
        <v>0</v>
      </c>
      <c r="D236" s="285">
        <f>Table13[[#This Row],[Date Of Birth]]</f>
        <v>0</v>
      </c>
      <c r="E236" s="285">
        <f>Table13[[#This Row],[Commencement Date]]</f>
        <v>0</v>
      </c>
      <c r="F236" s="284">
        <f t="shared" si="21"/>
        <v>1</v>
      </c>
      <c r="G236" s="284">
        <f t="shared" si="22"/>
        <v>25</v>
      </c>
      <c r="H236" s="286">
        <f>Table13[[#This Row],[Product Option]]</f>
        <v>0</v>
      </c>
      <c r="I236" s="284">
        <f>IF(AND($A236="Main Member",Table2[[#This Row],[Product Option]]="My Value Plus Life"),"MM_LIFE",
IF(AND($A236="Spouse",Table2[[#This Row],[Product Option]]="My Value Plus Life"),"SP_LIFE",
IF(AND($A236="Main Member",Table2[[#This Row],[Product Option]]="My Value Plus Life &amp; Funeral"),"MM_LIFE",
IF(AND($A236="Spouse",Table2[[#This Row],[Product Option]]="My Value Plus Life &amp; Funeral"),_xlfn.XLOOKUP(Table2[[#This Row],[Benefit Name]],Lookups!$D$18:$D$23,Lookups!$E$18:$E$23,0),
0))))</f>
        <v>0</v>
      </c>
      <c r="J236" s="284">
        <f>IF($I236="","",
IF($I236="MM_LIFE",INDEX('Quotation Tool'!$S$54:$V$60,MATCH($T236,'Quotation Tool'!$S$54:$S$60,0),4),
IF($I236="SP_LIFE",_xlfn.XLOOKUP(B235,$B:$B,$J:$J,0),0)))</f>
        <v>0</v>
      </c>
      <c r="K236" s="287">
        <f t="shared" ca="1" si="26"/>
        <v>0</v>
      </c>
      <c r="L236" s="288">
        <f t="shared" ca="1" si="27"/>
        <v>0</v>
      </c>
      <c r="M236" s="289">
        <f t="shared" ca="1" si="23"/>
        <v>0</v>
      </c>
      <c r="N236" s="286">
        <f>Table13[[#This Row],[Benefit Option]]</f>
        <v>0</v>
      </c>
      <c r="O236" s="284">
        <f>IF(OR(Table2[[#This Row],[Member Type]]="Spouse",Table2[[#This Row],[Member Type]]="Child"),0,
IF(_xlfn.XLOOKUP($N236,Lookups!$D$13:$D$27,Lookups!$F$13:$F$27,0)=Table2[[#This Row],[Table Lookup for Life Cover]],0,
_xlfn.XLOOKUP($N236,Lookups!$D$13:$D$27,Lookups!$F$13:$F$27,0)))</f>
        <v>0</v>
      </c>
      <c r="P236" s="284">
        <f>IF(Table2[[#This Row],[Table Lookup for Funeral]]=0,0,IFERROR(INDEX('Quotation Tool'!$S$54:$V$60,MATCH($T236,'Quotation Tool'!$S$54:$S$60,0),3),0))</f>
        <v>0</v>
      </c>
      <c r="Q236" s="288">
        <f ca="1">IF(OR(Table2[[#This Row],[Benefit Name]]="My Value Plus Life - Main Member",Table2[[#This Row],[Benefit Name]]="My Value Plus Life - Spouse"),0,
IFERROR(VLOOKUP($G236,INDIRECT($O236),$P236,FALSE),0))</f>
        <v>0</v>
      </c>
      <c r="R236" s="288">
        <f ca="1">IF(OR(Table2[[#This Row],[Benefit Name]]="My Value Plus Life - Main Member",Table2[[#This Row],[Benefit Name]]="My Value Plus Life - Spouse"),0,
IFERROR(VLOOKUP($G236,INDIRECT($O236),$P236+1,FALSE),0))</f>
        <v>0</v>
      </c>
      <c r="S236" s="289">
        <f t="shared" ca="1" si="24"/>
        <v>0</v>
      </c>
      <c r="T236" s="284" t="str">
        <f>IF(Table13[[#This Row],[Premium Waiver]]="","None",Table13[[#This Row],[Premium Waiver]])</f>
        <v>None</v>
      </c>
      <c r="U236" s="284">
        <f>Table13[[#This Row],[VAPs Options]]</f>
        <v>0</v>
      </c>
      <c r="V236" s="284">
        <f>Table13[[#This Row],[Annual Increase Option]]</f>
        <v>0</v>
      </c>
      <c r="W236" s="290">
        <f>Table13[[#This Row],[Life Cover Amount]]</f>
        <v>0</v>
      </c>
      <c r="X236" s="290">
        <f>Table13[[#This Row],[Funeral Cover Amount]]</f>
        <v>0</v>
      </c>
      <c r="Y23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3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36" s="301">
        <f t="shared" ca="1" si="25"/>
        <v>0</v>
      </c>
      <c r="AB236" s="298"/>
      <c r="AC236" s="326" t="str">
        <f>IF(Table2[[#This Row],[Member Type]]="Main Member",Lookups!$C$13,
IF(Table2[[#This Row],[Member Type]]="Spouse",_xlfn.XLOOKUP(B236,Table2[Main Member Link ID],Table2[Product Option],0),
IF(AND(Table2[[#This Row],[Member Type]]="Child",_xlfn.XLOOKUP(B236,Table2[Main Member Link ID],Table2[Product Option],0)&lt;&gt;"My Value Plus Life"),Lookups!$C$24,
IF(AND(OR(Table2[[#This Row],[Member Type]]="Parent",Table2[[#This Row],[Member Type]]="Extended"),_xlfn.XLOOKUP(B236,Table2[Main Member Link ID],Table2[Product Option],0)&lt;&gt;"My Value Plus Life"),Lookups!$C$26,""))))</f>
        <v/>
      </c>
      <c r="AD236" s="326" t="str">
        <f>IF(Table2[[#This Row],[Member Type]]="Main Member",Lookups!$C$14,"")</f>
        <v/>
      </c>
      <c r="AE23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Funeral",_xlfn.XLOOKUP(B236,Table2[Main Member Link ID],Table2[Benefit Name],0)=Lookups!$D$14),"",
IF(AND(Table2[[#This Row],[Member Type]]="Spouse",Table2[[#This Row],[Product Option]]="My Value Plus Life &amp; Funeral",_xlfn.XLOOKUP(B235,Table2[Main Member Link ID],Table2[Benefit Name],0)=Lookups!$D$15),Lookups!$D$20,
IF(AND(Table2[[#This Row],[Member Type]]="Spouse",Table2[[#This Row],[Product Option]]="My Value Plus Life &amp; Funeral",_xlfn.XLOOKUP(B235,Table2[Main Member Link ID],Table2[Benefit Name],0)=Lookups!$D$16),"",
IF(AND(Table2[[#This Row],[Member Type]]="Spouse",Table2[[#This Row],[Product Option]]="My Value Plus Life &amp; Funeral",_xlfn.XLOOKUP(B235,Table2[Main Member Link ID],Table2[Benefit Name],0)=Lookups!$D$17),Lookups!$D$21,
IF(AND(Table2[[#This Row],[Member Type]]="Child",Table2[[#This Row],[Product Option]]="My Value Plus Life &amp; Funeral",_xlfn.XLOOKUP(B236,Table2[Main Member Link ID],Table2[Benefit Name],0)=Lookups!$D$14),"",
IF(AND(Table2[[#This Row],[Member Type]]="Child",Table2[[#This Row],[Product Option]]="My Value Plus Life &amp; Funeral",_xlfn.XLOOKUP(B236,Table2[Main Member Link ID],Table2[Benefit Name],0)=Lookups!$D$15),"",
IF(AND(Table2[[#This Row],[Member Type]]="Child",Table2[[#This Row],[Product Option]]="My Value Plus Life &amp; Funeral",_xlfn.XLOOKUP(B236,Table2[Main Member Link ID],Table2[Benefit Name],0)=Lookups!$D$16),Lookups!$D$24,
IF(AND(Table2[[#This Row],[Member Type]]="Child",Table2[[#This Row],[Product Option]]="My Value Plus Life &amp; Funeral",_xlfn.XLOOKUP(B236,Table2[Main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Funeral",_xlfn.XLOOKUP(B236,Table2[Main Member Link ID],Table2[Benefit Name],0)&lt;&gt;Lookups!$D$14),
IF(_xlfn.XLOOKUP(B236,Table2[Main Member Link ID],Table2[Benefit Name],0)=0,"",_xlfn.XLOOKUP(B236,Table2[Main Member Link ID],Table2[Benefit Name],0)),"")))))))))))))))</f>
        <v/>
      </c>
      <c r="AF236" s="327" t="str">
        <f>IF(AND(Table2[[#This Row],[Member Type]]="Main Member",Table2[[#This Row],[Product Option]]="My Value Plus Life &amp; Funeral"),Lookups!$D$15,
IF(AND(Table2[[#This Row],[Member Type]]="Spouse",Table2[[#This Row],[Product Option]]="My Value Plus Life &amp; Funeral",_xlfn.XLOOKUP(B236,Table2[Main Member Link ID],Table2[Benefit Name],0)=Lookups!$D$14),"",
IF(AND(Table2[[#This Row],[Member Type]]="Spouse",Table2[[#This Row],[Product Option]]="My Value Plus Life &amp; Funeral",_xlfn.XLOOKUP(B235,Table2[Main Member Link ID],Table2[Benefit Name],0)=Lookups!$D$16),"",
IF(AND(Table2[[#This Row],[Member Type]]="Spouse",Table2[[#This Row],[Product Option]]="My Value Plus Life &amp; Funeral",_xlfn.XLOOKUP(B235,Table2[Main Member Link ID],Table2[Benefit Name],0)=Lookups!$D$15),"",
IF(AND(Table2[[#This Row],[Member Type]]="Spouse",Table2[[#This Row],[Product Option]]="My Value Plus Life &amp; Funeral",_xlfn.XLOOKUP(B235,Table2[Main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Funeral",_xlfn.XLOOKUP(B236,Table2[Main Member Link ID],Table2[Benefit Name],0)&lt;&gt;Lookups!$D$15),
IF(_xlfn.XLOOKUP(B236,Table2[Main Member Link ID],Table2[Benefit Name],0)=0,"",_xlfn.XLOOKUP(B236,Table2[Main Member Link ID],Table2[Benefit Name],0)),"")
))))))</f>
        <v/>
      </c>
      <c r="AG236" s="327" t="str">
        <f>IF(AND(Table2[[#This Row],[Member Type]]="Main Member",Table2[[#This Row],[Product Option]]="My Value Plus Life &amp; Funeral"),Lookups!$D$16,
IF(AND(Table2[[#This Row],[Member Type]]="Spouse",Table2[[#This Row],[Product Option]]="My Value Plus Life &amp; Funeral",_xlfn.XLOOKUP(B236,Table2[Main Member Link ID],Table2[Benefit Name],0)=Lookups!$D$14),"",
IF(AND(Table2[[#This Row],[Member Type]]="Spouse",Table2[[#This Row],[Product Option]]="My Value Plus Life &amp; Funeral",_xlfn.XLOOKUP(B235,Table2[Main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Funeral",_xlfn.XLOOKUP(B236,Table2[Main Member Link ID],Table2[Benefit Name],0)&lt;&gt;Lookups!$D$16),
IF(_xlfn.XLOOKUP(B236,Table2[Main Member Link ID],Table2[Benefit Name],0)=0,"",_xlfn.XLOOKUP(B236,Table2[Main Member Link ID],Table2[Benefit Name],0)),"")
))))</f>
        <v/>
      </c>
      <c r="AH236" s="327" t="str">
        <f>IF(AND(Table2[[#This Row],[Member Type]]="Main Member",Table2[[#This Row],[Product Option]]="My Value Plus Life &amp; Funeral"),Lookups!$D$17,
IF(AND(Table2[[#This Row],[Member Type]]="Spouse",Table2[[#This Row],[Product Option]]="My Value Plus Life &amp; Funeral",_xlfn.XLOOKUP(B236,Table2[Main Member Link ID],Table2[Benefit Name],0)=Lookups!$D$14),"",
IF(AND(Table2[[#This Row],[Member Type]]="Spouse",Table2[[#This Row],[Product Option]]="My Value Plus Life &amp; Funeral",_xlfn.XLOOKUP(B235,Table2[Main Member Link ID],Table2[Benefit Name],0)=Lookups!$D$16),"",
IF(AND(Table2[[#This Row],[Member Type]]="Child",Table2[[#This Row],[Product Option]]="My Value Plus Life &amp; Funeral"),"",
IF(AND(Table2[[#This Row],[Member Type]]="Child",Table2[[#This Row],[Product Option]]="My Value Plus Life &amp; Funeral",_xlfn.XLOOKUP(B236,Table2[Main Member Link ID],Table2[Benefit Name],0)=Lookups!$D$15),"",
IF(AND(OR(Table2[[#This Row],[Member Type]]="Spouse",Table2[[#This Row],[Member Type]]="Child"),Table2[[#This Row],[Product Option]]="My Value Plus Life &amp; Funeral",_xlfn.XLOOKUP(B236,Table2[Main Member Link ID],Table2[Benefit Name],0)&lt;&gt;Lookups!$D$17),
IF(_xlfn.XLOOKUP(B236,Table2[Main Member Link ID],Table2[Benefit Name],0)=0,"",_xlfn.XLOOKUP(B236,Table2[Main Member Link ID],Table2[Benefit Name],0)),""))))))</f>
        <v/>
      </c>
      <c r="AI236" s="328" t="str">
        <f>IF(AND(Table2[[#This Row],[Member Type]]="Main Member",Table2[[#This Row],[Table Lookup for Life Cover]]="MM_LIFE",Table2[[#This Row],[Age Next Birthday]]&lt;56),1,
IF(AND(Table2[[#This Row],[Member Type]]="Main Member",Table2[[#This Row],[Table Lookup for Life Cover]]="MM_LIFE",Table2[[#This Row],[Age Next Birthday]]&gt;=56),2,
""))</f>
        <v/>
      </c>
      <c r="AJ236" s="328">
        <f>IF(OR(Table2[[#This Row],[Member Type]]="Main Member",Table2[[#This Row],[Main Member Link ID]]=B235),1,0)</f>
        <v>1</v>
      </c>
      <c r="AK236" s="328">
        <f>IF(Table2[[#This Row],[Member Type]]=0,0,
IF(OR(Table2[[#This Row],[Member Type]]="Main Member",Table2[[#This Row],[Main Member Link ID]]&lt;&gt;B236),COUNTIFS(B:B,Table2[[#This Row],[Main Member Link ID]]),
COUNTIFS(B:B,Table2[[#This Row],[Main Member Link ID]],A:A,Table2[[#This Row],[Member Type]])))</f>
        <v>0</v>
      </c>
    </row>
    <row r="237" spans="1:37" x14ac:dyDescent="0.3">
      <c r="A237" s="284">
        <f>Table13[[#This Row],[Member Type]]</f>
        <v>0</v>
      </c>
      <c r="B237" s="284">
        <f>Table13[[#This Row],[Main Member Link ID]]</f>
        <v>0</v>
      </c>
      <c r="C237" s="284">
        <f>Table13[[#This Row],[ID Number]]</f>
        <v>0</v>
      </c>
      <c r="D237" s="285">
        <f>Table13[[#This Row],[Date Of Birth]]</f>
        <v>0</v>
      </c>
      <c r="E237" s="285">
        <f>Table13[[#This Row],[Commencement Date]]</f>
        <v>0</v>
      </c>
      <c r="F237" s="284">
        <f t="shared" si="21"/>
        <v>1</v>
      </c>
      <c r="G237" s="284">
        <f t="shared" si="22"/>
        <v>25</v>
      </c>
      <c r="H237" s="286">
        <f>Table13[[#This Row],[Product Option]]</f>
        <v>0</v>
      </c>
      <c r="I237" s="284">
        <f>IF(AND($A237="Main Member",Table2[[#This Row],[Product Option]]="My Value Plus Life"),"MM_LIFE",
IF(AND($A237="Spouse",Table2[[#This Row],[Product Option]]="My Value Plus Life"),"SP_LIFE",
IF(AND($A237="Main Member",Table2[[#This Row],[Product Option]]="My Value Plus Life &amp; Funeral"),"MM_LIFE",
IF(AND($A237="Spouse",Table2[[#This Row],[Product Option]]="My Value Plus Life &amp; Funeral"),_xlfn.XLOOKUP(Table2[[#This Row],[Benefit Name]],Lookups!$D$18:$D$23,Lookups!$E$18:$E$23,0),
0))))</f>
        <v>0</v>
      </c>
      <c r="J237" s="284">
        <f>IF($I237="","",
IF($I237="MM_LIFE",INDEX('Quotation Tool'!$S$54:$V$60,MATCH($T237,'Quotation Tool'!$S$54:$S$60,0),4),
IF($I237="SP_LIFE",_xlfn.XLOOKUP(B236,$B:$B,$J:$J,0),0)))</f>
        <v>0</v>
      </c>
      <c r="K237" s="287">
        <f t="shared" ca="1" si="26"/>
        <v>0</v>
      </c>
      <c r="L237" s="288">
        <f t="shared" ca="1" si="27"/>
        <v>0</v>
      </c>
      <c r="M237" s="289">
        <f t="shared" ca="1" si="23"/>
        <v>0</v>
      </c>
      <c r="N237" s="286">
        <f>Table13[[#This Row],[Benefit Option]]</f>
        <v>0</v>
      </c>
      <c r="O237" s="284">
        <f>IF(OR(Table2[[#This Row],[Member Type]]="Spouse",Table2[[#This Row],[Member Type]]="Child"),0,
IF(_xlfn.XLOOKUP($N237,Lookups!$D$13:$D$27,Lookups!$F$13:$F$27,0)=Table2[[#This Row],[Table Lookup for Life Cover]],0,
_xlfn.XLOOKUP($N237,Lookups!$D$13:$D$27,Lookups!$F$13:$F$27,0)))</f>
        <v>0</v>
      </c>
      <c r="P237" s="284">
        <f>IF(Table2[[#This Row],[Table Lookup for Funeral]]=0,0,IFERROR(INDEX('Quotation Tool'!$S$54:$V$60,MATCH($T237,'Quotation Tool'!$S$54:$S$60,0),3),0))</f>
        <v>0</v>
      </c>
      <c r="Q237" s="288">
        <f ca="1">IF(OR(Table2[[#This Row],[Benefit Name]]="My Value Plus Life - Main Member",Table2[[#This Row],[Benefit Name]]="My Value Plus Life - Spouse"),0,
IFERROR(VLOOKUP($G237,INDIRECT($O237),$P237,FALSE),0))</f>
        <v>0</v>
      </c>
      <c r="R237" s="288">
        <f ca="1">IF(OR(Table2[[#This Row],[Benefit Name]]="My Value Plus Life - Main Member",Table2[[#This Row],[Benefit Name]]="My Value Plus Life - Spouse"),0,
IFERROR(VLOOKUP($G237,INDIRECT($O237),$P237+1,FALSE),0))</f>
        <v>0</v>
      </c>
      <c r="S237" s="289">
        <f t="shared" ca="1" si="24"/>
        <v>0</v>
      </c>
      <c r="T237" s="284" t="str">
        <f>IF(Table13[[#This Row],[Premium Waiver]]="","None",Table13[[#This Row],[Premium Waiver]])</f>
        <v>None</v>
      </c>
      <c r="U237" s="284">
        <f>Table13[[#This Row],[VAPs Options]]</f>
        <v>0</v>
      </c>
      <c r="V237" s="284">
        <f>Table13[[#This Row],[Annual Increase Option]]</f>
        <v>0</v>
      </c>
      <c r="W237" s="290">
        <f>Table13[[#This Row],[Life Cover Amount]]</f>
        <v>0</v>
      </c>
      <c r="X237" s="290">
        <f>Table13[[#This Row],[Funeral Cover Amount]]</f>
        <v>0</v>
      </c>
      <c r="Y23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3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37" s="301">
        <f t="shared" ca="1" si="25"/>
        <v>0</v>
      </c>
      <c r="AB237" s="298"/>
      <c r="AC237" s="326" t="str">
        <f>IF(Table2[[#This Row],[Member Type]]="Main Member",Lookups!$C$13,
IF(Table2[[#This Row],[Member Type]]="Spouse",_xlfn.XLOOKUP(B237,Table2[Main Member Link ID],Table2[Product Option],0),
IF(AND(Table2[[#This Row],[Member Type]]="Child",_xlfn.XLOOKUP(B237,Table2[Main Member Link ID],Table2[Product Option],0)&lt;&gt;"My Value Plus Life"),Lookups!$C$24,
IF(AND(OR(Table2[[#This Row],[Member Type]]="Parent",Table2[[#This Row],[Member Type]]="Extended"),_xlfn.XLOOKUP(B237,Table2[Main Member Link ID],Table2[Product Option],0)&lt;&gt;"My Value Plus Life"),Lookups!$C$26,""))))</f>
        <v/>
      </c>
      <c r="AD237" s="326" t="str">
        <f>IF(Table2[[#This Row],[Member Type]]="Main Member",Lookups!$C$14,"")</f>
        <v/>
      </c>
      <c r="AE23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Funeral",_xlfn.XLOOKUP(B237,Table2[Main Member Link ID],Table2[Benefit Name],0)=Lookups!$D$14),"",
IF(AND(Table2[[#This Row],[Member Type]]="Spouse",Table2[[#This Row],[Product Option]]="My Value Plus Life &amp; Funeral",_xlfn.XLOOKUP(B236,Table2[Main Member Link ID],Table2[Benefit Name],0)=Lookups!$D$15),Lookups!$D$20,
IF(AND(Table2[[#This Row],[Member Type]]="Spouse",Table2[[#This Row],[Product Option]]="My Value Plus Life &amp; Funeral",_xlfn.XLOOKUP(B236,Table2[Main Member Link ID],Table2[Benefit Name],0)=Lookups!$D$16),"",
IF(AND(Table2[[#This Row],[Member Type]]="Spouse",Table2[[#This Row],[Product Option]]="My Value Plus Life &amp; Funeral",_xlfn.XLOOKUP(B236,Table2[Main Member Link ID],Table2[Benefit Name],0)=Lookups!$D$17),Lookups!$D$21,
IF(AND(Table2[[#This Row],[Member Type]]="Child",Table2[[#This Row],[Product Option]]="My Value Plus Life &amp; Funeral",_xlfn.XLOOKUP(B237,Table2[Main Member Link ID],Table2[Benefit Name],0)=Lookups!$D$14),"",
IF(AND(Table2[[#This Row],[Member Type]]="Child",Table2[[#This Row],[Product Option]]="My Value Plus Life &amp; Funeral",_xlfn.XLOOKUP(B237,Table2[Main Member Link ID],Table2[Benefit Name],0)=Lookups!$D$15),"",
IF(AND(Table2[[#This Row],[Member Type]]="Child",Table2[[#This Row],[Product Option]]="My Value Plus Life &amp; Funeral",_xlfn.XLOOKUP(B237,Table2[Main Member Link ID],Table2[Benefit Name],0)=Lookups!$D$16),Lookups!$D$24,
IF(AND(Table2[[#This Row],[Member Type]]="Child",Table2[[#This Row],[Product Option]]="My Value Plus Life &amp; Funeral",_xlfn.XLOOKUP(B237,Table2[Main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Funeral",_xlfn.XLOOKUP(B237,Table2[Main Member Link ID],Table2[Benefit Name],0)&lt;&gt;Lookups!$D$14),
IF(_xlfn.XLOOKUP(B237,Table2[Main Member Link ID],Table2[Benefit Name],0)=0,"",_xlfn.XLOOKUP(B237,Table2[Main Member Link ID],Table2[Benefit Name],0)),"")))))))))))))))</f>
        <v/>
      </c>
      <c r="AF237" s="327" t="str">
        <f>IF(AND(Table2[[#This Row],[Member Type]]="Main Member",Table2[[#This Row],[Product Option]]="My Value Plus Life &amp; Funeral"),Lookups!$D$15,
IF(AND(Table2[[#This Row],[Member Type]]="Spouse",Table2[[#This Row],[Product Option]]="My Value Plus Life &amp; Funeral",_xlfn.XLOOKUP(B237,Table2[Main Member Link ID],Table2[Benefit Name],0)=Lookups!$D$14),"",
IF(AND(Table2[[#This Row],[Member Type]]="Spouse",Table2[[#This Row],[Product Option]]="My Value Plus Life &amp; Funeral",_xlfn.XLOOKUP(B236,Table2[Main Member Link ID],Table2[Benefit Name],0)=Lookups!$D$16),"",
IF(AND(Table2[[#This Row],[Member Type]]="Spouse",Table2[[#This Row],[Product Option]]="My Value Plus Life &amp; Funeral",_xlfn.XLOOKUP(B236,Table2[Main Member Link ID],Table2[Benefit Name],0)=Lookups!$D$15),"",
IF(AND(Table2[[#This Row],[Member Type]]="Spouse",Table2[[#This Row],[Product Option]]="My Value Plus Life &amp; Funeral",_xlfn.XLOOKUP(B236,Table2[Main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Funeral",_xlfn.XLOOKUP(B237,Table2[Main Member Link ID],Table2[Benefit Name],0)&lt;&gt;Lookups!$D$15),
IF(_xlfn.XLOOKUP(B237,Table2[Main Member Link ID],Table2[Benefit Name],0)=0,"",_xlfn.XLOOKUP(B237,Table2[Main Member Link ID],Table2[Benefit Name],0)),"")
))))))</f>
        <v/>
      </c>
      <c r="AG237" s="327" t="str">
        <f>IF(AND(Table2[[#This Row],[Member Type]]="Main Member",Table2[[#This Row],[Product Option]]="My Value Plus Life &amp; Funeral"),Lookups!$D$16,
IF(AND(Table2[[#This Row],[Member Type]]="Spouse",Table2[[#This Row],[Product Option]]="My Value Plus Life &amp; Funeral",_xlfn.XLOOKUP(B237,Table2[Main Member Link ID],Table2[Benefit Name],0)=Lookups!$D$14),"",
IF(AND(Table2[[#This Row],[Member Type]]="Spouse",Table2[[#This Row],[Product Option]]="My Value Plus Life &amp; Funeral",_xlfn.XLOOKUP(B236,Table2[Main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Funeral",_xlfn.XLOOKUP(B237,Table2[Main Member Link ID],Table2[Benefit Name],0)&lt;&gt;Lookups!$D$16),
IF(_xlfn.XLOOKUP(B237,Table2[Main Member Link ID],Table2[Benefit Name],0)=0,"",_xlfn.XLOOKUP(B237,Table2[Main Member Link ID],Table2[Benefit Name],0)),"")
))))</f>
        <v/>
      </c>
      <c r="AH237" s="327" t="str">
        <f>IF(AND(Table2[[#This Row],[Member Type]]="Main Member",Table2[[#This Row],[Product Option]]="My Value Plus Life &amp; Funeral"),Lookups!$D$17,
IF(AND(Table2[[#This Row],[Member Type]]="Spouse",Table2[[#This Row],[Product Option]]="My Value Plus Life &amp; Funeral",_xlfn.XLOOKUP(B237,Table2[Main Member Link ID],Table2[Benefit Name],0)=Lookups!$D$14),"",
IF(AND(Table2[[#This Row],[Member Type]]="Spouse",Table2[[#This Row],[Product Option]]="My Value Plus Life &amp; Funeral",_xlfn.XLOOKUP(B236,Table2[Main Member Link ID],Table2[Benefit Name],0)=Lookups!$D$16),"",
IF(AND(Table2[[#This Row],[Member Type]]="Child",Table2[[#This Row],[Product Option]]="My Value Plus Life &amp; Funeral"),"",
IF(AND(Table2[[#This Row],[Member Type]]="Child",Table2[[#This Row],[Product Option]]="My Value Plus Life &amp; Funeral",_xlfn.XLOOKUP(B237,Table2[Main Member Link ID],Table2[Benefit Name],0)=Lookups!$D$15),"",
IF(AND(OR(Table2[[#This Row],[Member Type]]="Spouse",Table2[[#This Row],[Member Type]]="Child"),Table2[[#This Row],[Product Option]]="My Value Plus Life &amp; Funeral",_xlfn.XLOOKUP(B237,Table2[Main Member Link ID],Table2[Benefit Name],0)&lt;&gt;Lookups!$D$17),
IF(_xlfn.XLOOKUP(B237,Table2[Main Member Link ID],Table2[Benefit Name],0)=0,"",_xlfn.XLOOKUP(B237,Table2[Main Member Link ID],Table2[Benefit Name],0)),""))))))</f>
        <v/>
      </c>
      <c r="AI237" s="328" t="str">
        <f>IF(AND(Table2[[#This Row],[Member Type]]="Main Member",Table2[[#This Row],[Table Lookup for Life Cover]]="MM_LIFE",Table2[[#This Row],[Age Next Birthday]]&lt;56),1,
IF(AND(Table2[[#This Row],[Member Type]]="Main Member",Table2[[#This Row],[Table Lookup for Life Cover]]="MM_LIFE",Table2[[#This Row],[Age Next Birthday]]&gt;=56),2,
""))</f>
        <v/>
      </c>
      <c r="AJ237" s="328">
        <f>IF(OR(Table2[[#This Row],[Member Type]]="Main Member",Table2[[#This Row],[Main Member Link ID]]=B236),1,0)</f>
        <v>1</v>
      </c>
      <c r="AK237" s="328">
        <f>IF(Table2[[#This Row],[Member Type]]=0,0,
IF(OR(Table2[[#This Row],[Member Type]]="Main Member",Table2[[#This Row],[Main Member Link ID]]&lt;&gt;B237),COUNTIFS(B:B,Table2[[#This Row],[Main Member Link ID]]),
COUNTIFS(B:B,Table2[[#This Row],[Main Member Link ID]],A:A,Table2[[#This Row],[Member Type]])))</f>
        <v>0</v>
      </c>
    </row>
    <row r="238" spans="1:37" x14ac:dyDescent="0.3">
      <c r="A238" s="284">
        <f>Table13[[#This Row],[Member Type]]</f>
        <v>0</v>
      </c>
      <c r="B238" s="284">
        <f>Table13[[#This Row],[Main Member Link ID]]</f>
        <v>0</v>
      </c>
      <c r="C238" s="284">
        <f>Table13[[#This Row],[ID Number]]</f>
        <v>0</v>
      </c>
      <c r="D238" s="285">
        <f>Table13[[#This Row],[Date Of Birth]]</f>
        <v>0</v>
      </c>
      <c r="E238" s="285">
        <f>Table13[[#This Row],[Commencement Date]]</f>
        <v>0</v>
      </c>
      <c r="F238" s="284">
        <f t="shared" si="21"/>
        <v>1</v>
      </c>
      <c r="G238" s="284">
        <f t="shared" si="22"/>
        <v>25</v>
      </c>
      <c r="H238" s="286">
        <f>Table13[[#This Row],[Product Option]]</f>
        <v>0</v>
      </c>
      <c r="I238" s="284">
        <f>IF(AND($A238="Main Member",Table2[[#This Row],[Product Option]]="My Value Plus Life"),"MM_LIFE",
IF(AND($A238="Spouse",Table2[[#This Row],[Product Option]]="My Value Plus Life"),"SP_LIFE",
IF(AND($A238="Main Member",Table2[[#This Row],[Product Option]]="My Value Plus Life &amp; Funeral"),"MM_LIFE",
IF(AND($A238="Spouse",Table2[[#This Row],[Product Option]]="My Value Plus Life &amp; Funeral"),_xlfn.XLOOKUP(Table2[[#This Row],[Benefit Name]],Lookups!$D$18:$D$23,Lookups!$E$18:$E$23,0),
0))))</f>
        <v>0</v>
      </c>
      <c r="J238" s="284">
        <f>IF($I238="","",
IF($I238="MM_LIFE",INDEX('Quotation Tool'!$S$54:$V$60,MATCH($T238,'Quotation Tool'!$S$54:$S$60,0),4),
IF($I238="SP_LIFE",_xlfn.XLOOKUP(B237,$B:$B,$J:$J,0),0)))</f>
        <v>0</v>
      </c>
      <c r="K238" s="287">
        <f t="shared" ca="1" si="26"/>
        <v>0</v>
      </c>
      <c r="L238" s="288">
        <f t="shared" ca="1" si="27"/>
        <v>0</v>
      </c>
      <c r="M238" s="289">
        <f t="shared" ca="1" si="23"/>
        <v>0</v>
      </c>
      <c r="N238" s="286">
        <f>Table13[[#This Row],[Benefit Option]]</f>
        <v>0</v>
      </c>
      <c r="O238" s="284">
        <f>IF(OR(Table2[[#This Row],[Member Type]]="Spouse",Table2[[#This Row],[Member Type]]="Child"),0,
IF(_xlfn.XLOOKUP($N238,Lookups!$D$13:$D$27,Lookups!$F$13:$F$27,0)=Table2[[#This Row],[Table Lookup for Life Cover]],0,
_xlfn.XLOOKUP($N238,Lookups!$D$13:$D$27,Lookups!$F$13:$F$27,0)))</f>
        <v>0</v>
      </c>
      <c r="P238" s="284">
        <f>IF(Table2[[#This Row],[Table Lookup for Funeral]]=0,0,IFERROR(INDEX('Quotation Tool'!$S$54:$V$60,MATCH($T238,'Quotation Tool'!$S$54:$S$60,0),3),0))</f>
        <v>0</v>
      </c>
      <c r="Q238" s="288">
        <f ca="1">IF(OR(Table2[[#This Row],[Benefit Name]]="My Value Plus Life - Main Member",Table2[[#This Row],[Benefit Name]]="My Value Plus Life - Spouse"),0,
IFERROR(VLOOKUP($G238,INDIRECT($O238),$P238,FALSE),0))</f>
        <v>0</v>
      </c>
      <c r="R238" s="288">
        <f ca="1">IF(OR(Table2[[#This Row],[Benefit Name]]="My Value Plus Life - Main Member",Table2[[#This Row],[Benefit Name]]="My Value Plus Life - Spouse"),0,
IFERROR(VLOOKUP($G238,INDIRECT($O238),$P238+1,FALSE),0))</f>
        <v>0</v>
      </c>
      <c r="S238" s="289">
        <f t="shared" ca="1" si="24"/>
        <v>0</v>
      </c>
      <c r="T238" s="284" t="str">
        <f>IF(Table13[[#This Row],[Premium Waiver]]="","None",Table13[[#This Row],[Premium Waiver]])</f>
        <v>None</v>
      </c>
      <c r="U238" s="284">
        <f>Table13[[#This Row],[VAPs Options]]</f>
        <v>0</v>
      </c>
      <c r="V238" s="284">
        <f>Table13[[#This Row],[Annual Increase Option]]</f>
        <v>0</v>
      </c>
      <c r="W238" s="290">
        <f>Table13[[#This Row],[Life Cover Amount]]</f>
        <v>0</v>
      </c>
      <c r="X238" s="290">
        <f>Table13[[#This Row],[Funeral Cover Amount]]</f>
        <v>0</v>
      </c>
      <c r="Y23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3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38" s="301">
        <f t="shared" ca="1" si="25"/>
        <v>0</v>
      </c>
      <c r="AB238" s="298"/>
      <c r="AC238" s="326" t="str">
        <f>IF(Table2[[#This Row],[Member Type]]="Main Member",Lookups!$C$13,
IF(Table2[[#This Row],[Member Type]]="Spouse",_xlfn.XLOOKUP(B238,Table2[Main Member Link ID],Table2[Product Option],0),
IF(AND(Table2[[#This Row],[Member Type]]="Child",_xlfn.XLOOKUP(B238,Table2[Main Member Link ID],Table2[Product Option],0)&lt;&gt;"My Value Plus Life"),Lookups!$C$24,
IF(AND(OR(Table2[[#This Row],[Member Type]]="Parent",Table2[[#This Row],[Member Type]]="Extended"),_xlfn.XLOOKUP(B238,Table2[Main Member Link ID],Table2[Product Option],0)&lt;&gt;"My Value Plus Life"),Lookups!$C$26,""))))</f>
        <v/>
      </c>
      <c r="AD238" s="326" t="str">
        <f>IF(Table2[[#This Row],[Member Type]]="Main Member",Lookups!$C$14,"")</f>
        <v/>
      </c>
      <c r="AE23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Funeral",_xlfn.XLOOKUP(B238,Table2[Main Member Link ID],Table2[Benefit Name],0)=Lookups!$D$14),"",
IF(AND(Table2[[#This Row],[Member Type]]="Spouse",Table2[[#This Row],[Product Option]]="My Value Plus Life &amp; Funeral",_xlfn.XLOOKUP(B237,Table2[Main Member Link ID],Table2[Benefit Name],0)=Lookups!$D$15),Lookups!$D$20,
IF(AND(Table2[[#This Row],[Member Type]]="Spouse",Table2[[#This Row],[Product Option]]="My Value Plus Life &amp; Funeral",_xlfn.XLOOKUP(B237,Table2[Main Member Link ID],Table2[Benefit Name],0)=Lookups!$D$16),"",
IF(AND(Table2[[#This Row],[Member Type]]="Spouse",Table2[[#This Row],[Product Option]]="My Value Plus Life &amp; Funeral",_xlfn.XLOOKUP(B237,Table2[Main Member Link ID],Table2[Benefit Name],0)=Lookups!$D$17),Lookups!$D$21,
IF(AND(Table2[[#This Row],[Member Type]]="Child",Table2[[#This Row],[Product Option]]="My Value Plus Life &amp; Funeral",_xlfn.XLOOKUP(B238,Table2[Main Member Link ID],Table2[Benefit Name],0)=Lookups!$D$14),"",
IF(AND(Table2[[#This Row],[Member Type]]="Child",Table2[[#This Row],[Product Option]]="My Value Plus Life &amp; Funeral",_xlfn.XLOOKUP(B238,Table2[Main Member Link ID],Table2[Benefit Name],0)=Lookups!$D$15),"",
IF(AND(Table2[[#This Row],[Member Type]]="Child",Table2[[#This Row],[Product Option]]="My Value Plus Life &amp; Funeral",_xlfn.XLOOKUP(B238,Table2[Main Member Link ID],Table2[Benefit Name],0)=Lookups!$D$16),Lookups!$D$24,
IF(AND(Table2[[#This Row],[Member Type]]="Child",Table2[[#This Row],[Product Option]]="My Value Plus Life &amp; Funeral",_xlfn.XLOOKUP(B238,Table2[Main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Funeral",_xlfn.XLOOKUP(B238,Table2[Main Member Link ID],Table2[Benefit Name],0)&lt;&gt;Lookups!$D$14),
IF(_xlfn.XLOOKUP(B238,Table2[Main Member Link ID],Table2[Benefit Name],0)=0,"",_xlfn.XLOOKUP(B238,Table2[Main Member Link ID],Table2[Benefit Name],0)),"")))))))))))))))</f>
        <v/>
      </c>
      <c r="AF238" s="327" t="str">
        <f>IF(AND(Table2[[#This Row],[Member Type]]="Main Member",Table2[[#This Row],[Product Option]]="My Value Plus Life &amp; Funeral"),Lookups!$D$15,
IF(AND(Table2[[#This Row],[Member Type]]="Spouse",Table2[[#This Row],[Product Option]]="My Value Plus Life &amp; Funeral",_xlfn.XLOOKUP(B238,Table2[Main Member Link ID],Table2[Benefit Name],0)=Lookups!$D$14),"",
IF(AND(Table2[[#This Row],[Member Type]]="Spouse",Table2[[#This Row],[Product Option]]="My Value Plus Life &amp; Funeral",_xlfn.XLOOKUP(B237,Table2[Main Member Link ID],Table2[Benefit Name],0)=Lookups!$D$16),"",
IF(AND(Table2[[#This Row],[Member Type]]="Spouse",Table2[[#This Row],[Product Option]]="My Value Plus Life &amp; Funeral",_xlfn.XLOOKUP(B237,Table2[Main Member Link ID],Table2[Benefit Name],0)=Lookups!$D$15),"",
IF(AND(Table2[[#This Row],[Member Type]]="Spouse",Table2[[#This Row],[Product Option]]="My Value Plus Life &amp; Funeral",_xlfn.XLOOKUP(B237,Table2[Main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Funeral",_xlfn.XLOOKUP(B238,Table2[Main Member Link ID],Table2[Benefit Name],0)&lt;&gt;Lookups!$D$15),
IF(_xlfn.XLOOKUP(B238,Table2[Main Member Link ID],Table2[Benefit Name],0)=0,"",_xlfn.XLOOKUP(B238,Table2[Main Member Link ID],Table2[Benefit Name],0)),"")
))))))</f>
        <v/>
      </c>
      <c r="AG238" s="327" t="str">
        <f>IF(AND(Table2[[#This Row],[Member Type]]="Main Member",Table2[[#This Row],[Product Option]]="My Value Plus Life &amp; Funeral"),Lookups!$D$16,
IF(AND(Table2[[#This Row],[Member Type]]="Spouse",Table2[[#This Row],[Product Option]]="My Value Plus Life &amp; Funeral",_xlfn.XLOOKUP(B238,Table2[Main Member Link ID],Table2[Benefit Name],0)=Lookups!$D$14),"",
IF(AND(Table2[[#This Row],[Member Type]]="Spouse",Table2[[#This Row],[Product Option]]="My Value Plus Life &amp; Funeral",_xlfn.XLOOKUP(B237,Table2[Main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Funeral",_xlfn.XLOOKUP(B238,Table2[Main Member Link ID],Table2[Benefit Name],0)&lt;&gt;Lookups!$D$16),
IF(_xlfn.XLOOKUP(B238,Table2[Main Member Link ID],Table2[Benefit Name],0)=0,"",_xlfn.XLOOKUP(B238,Table2[Main Member Link ID],Table2[Benefit Name],0)),"")
))))</f>
        <v/>
      </c>
      <c r="AH238" s="327" t="str">
        <f>IF(AND(Table2[[#This Row],[Member Type]]="Main Member",Table2[[#This Row],[Product Option]]="My Value Plus Life &amp; Funeral"),Lookups!$D$17,
IF(AND(Table2[[#This Row],[Member Type]]="Spouse",Table2[[#This Row],[Product Option]]="My Value Plus Life &amp; Funeral",_xlfn.XLOOKUP(B238,Table2[Main Member Link ID],Table2[Benefit Name],0)=Lookups!$D$14),"",
IF(AND(Table2[[#This Row],[Member Type]]="Spouse",Table2[[#This Row],[Product Option]]="My Value Plus Life &amp; Funeral",_xlfn.XLOOKUP(B237,Table2[Main Member Link ID],Table2[Benefit Name],0)=Lookups!$D$16),"",
IF(AND(Table2[[#This Row],[Member Type]]="Child",Table2[[#This Row],[Product Option]]="My Value Plus Life &amp; Funeral"),"",
IF(AND(Table2[[#This Row],[Member Type]]="Child",Table2[[#This Row],[Product Option]]="My Value Plus Life &amp; Funeral",_xlfn.XLOOKUP(B238,Table2[Main Member Link ID],Table2[Benefit Name],0)=Lookups!$D$15),"",
IF(AND(OR(Table2[[#This Row],[Member Type]]="Spouse",Table2[[#This Row],[Member Type]]="Child"),Table2[[#This Row],[Product Option]]="My Value Plus Life &amp; Funeral",_xlfn.XLOOKUP(B238,Table2[Main Member Link ID],Table2[Benefit Name],0)&lt;&gt;Lookups!$D$17),
IF(_xlfn.XLOOKUP(B238,Table2[Main Member Link ID],Table2[Benefit Name],0)=0,"",_xlfn.XLOOKUP(B238,Table2[Main Member Link ID],Table2[Benefit Name],0)),""))))))</f>
        <v/>
      </c>
      <c r="AI238" s="328" t="str">
        <f>IF(AND(Table2[[#This Row],[Member Type]]="Main Member",Table2[[#This Row],[Table Lookup for Life Cover]]="MM_LIFE",Table2[[#This Row],[Age Next Birthday]]&lt;56),1,
IF(AND(Table2[[#This Row],[Member Type]]="Main Member",Table2[[#This Row],[Table Lookup for Life Cover]]="MM_LIFE",Table2[[#This Row],[Age Next Birthday]]&gt;=56),2,
""))</f>
        <v/>
      </c>
      <c r="AJ238" s="328">
        <f>IF(OR(Table2[[#This Row],[Member Type]]="Main Member",Table2[[#This Row],[Main Member Link ID]]=B237),1,0)</f>
        <v>1</v>
      </c>
      <c r="AK238" s="328">
        <f>IF(Table2[[#This Row],[Member Type]]=0,0,
IF(OR(Table2[[#This Row],[Member Type]]="Main Member",Table2[[#This Row],[Main Member Link ID]]&lt;&gt;B238),COUNTIFS(B:B,Table2[[#This Row],[Main Member Link ID]]),
COUNTIFS(B:B,Table2[[#This Row],[Main Member Link ID]],A:A,Table2[[#This Row],[Member Type]])))</f>
        <v>0</v>
      </c>
    </row>
    <row r="239" spans="1:37" x14ac:dyDescent="0.3">
      <c r="A239" s="284">
        <f>Table13[[#This Row],[Member Type]]</f>
        <v>0</v>
      </c>
      <c r="B239" s="284">
        <f>Table13[[#This Row],[Main Member Link ID]]</f>
        <v>0</v>
      </c>
      <c r="C239" s="284">
        <f>Table13[[#This Row],[ID Number]]</f>
        <v>0</v>
      </c>
      <c r="D239" s="285">
        <f>Table13[[#This Row],[Date Of Birth]]</f>
        <v>0</v>
      </c>
      <c r="E239" s="285">
        <f>Table13[[#This Row],[Commencement Date]]</f>
        <v>0</v>
      </c>
      <c r="F239" s="284">
        <f t="shared" si="21"/>
        <v>1</v>
      </c>
      <c r="G239" s="284">
        <f t="shared" si="22"/>
        <v>25</v>
      </c>
      <c r="H239" s="286">
        <f>Table13[[#This Row],[Product Option]]</f>
        <v>0</v>
      </c>
      <c r="I239" s="284">
        <f>IF(AND($A239="Main Member",Table2[[#This Row],[Product Option]]="My Value Plus Life"),"MM_LIFE",
IF(AND($A239="Spouse",Table2[[#This Row],[Product Option]]="My Value Plus Life"),"SP_LIFE",
IF(AND($A239="Main Member",Table2[[#This Row],[Product Option]]="My Value Plus Life &amp; Funeral"),"MM_LIFE",
IF(AND($A239="Spouse",Table2[[#This Row],[Product Option]]="My Value Plus Life &amp; Funeral"),_xlfn.XLOOKUP(Table2[[#This Row],[Benefit Name]],Lookups!$D$18:$D$23,Lookups!$E$18:$E$23,0),
0))))</f>
        <v>0</v>
      </c>
      <c r="J239" s="284">
        <f>IF($I239="","",
IF($I239="MM_LIFE",INDEX('Quotation Tool'!$S$54:$V$60,MATCH($T239,'Quotation Tool'!$S$54:$S$60,0),4),
IF($I239="SP_LIFE",_xlfn.XLOOKUP(B238,$B:$B,$J:$J,0),0)))</f>
        <v>0</v>
      </c>
      <c r="K239" s="287">
        <f t="shared" ca="1" si="26"/>
        <v>0</v>
      </c>
      <c r="L239" s="288">
        <f t="shared" ca="1" si="27"/>
        <v>0</v>
      </c>
      <c r="M239" s="289">
        <f t="shared" ca="1" si="23"/>
        <v>0</v>
      </c>
      <c r="N239" s="286">
        <f>Table13[[#This Row],[Benefit Option]]</f>
        <v>0</v>
      </c>
      <c r="O239" s="284">
        <f>IF(OR(Table2[[#This Row],[Member Type]]="Spouse",Table2[[#This Row],[Member Type]]="Child"),0,
IF(_xlfn.XLOOKUP($N239,Lookups!$D$13:$D$27,Lookups!$F$13:$F$27,0)=Table2[[#This Row],[Table Lookup for Life Cover]],0,
_xlfn.XLOOKUP($N239,Lookups!$D$13:$D$27,Lookups!$F$13:$F$27,0)))</f>
        <v>0</v>
      </c>
      <c r="P239" s="284">
        <f>IF(Table2[[#This Row],[Table Lookup for Funeral]]=0,0,IFERROR(INDEX('Quotation Tool'!$S$54:$V$60,MATCH($T239,'Quotation Tool'!$S$54:$S$60,0),3),0))</f>
        <v>0</v>
      </c>
      <c r="Q239" s="288">
        <f ca="1">IF(OR(Table2[[#This Row],[Benefit Name]]="My Value Plus Life - Main Member",Table2[[#This Row],[Benefit Name]]="My Value Plus Life - Spouse"),0,
IFERROR(VLOOKUP($G239,INDIRECT($O239),$P239,FALSE),0))</f>
        <v>0</v>
      </c>
      <c r="R239" s="288">
        <f ca="1">IF(OR(Table2[[#This Row],[Benefit Name]]="My Value Plus Life - Main Member",Table2[[#This Row],[Benefit Name]]="My Value Plus Life - Spouse"),0,
IFERROR(VLOOKUP($G239,INDIRECT($O239),$P239+1,FALSE),0))</f>
        <v>0</v>
      </c>
      <c r="S239" s="289">
        <f t="shared" ca="1" si="24"/>
        <v>0</v>
      </c>
      <c r="T239" s="284" t="str">
        <f>IF(Table13[[#This Row],[Premium Waiver]]="","None",Table13[[#This Row],[Premium Waiver]])</f>
        <v>None</v>
      </c>
      <c r="U239" s="284">
        <f>Table13[[#This Row],[VAPs Options]]</f>
        <v>0</v>
      </c>
      <c r="V239" s="284">
        <f>Table13[[#This Row],[Annual Increase Option]]</f>
        <v>0</v>
      </c>
      <c r="W239" s="290">
        <f>Table13[[#This Row],[Life Cover Amount]]</f>
        <v>0</v>
      </c>
      <c r="X239" s="290">
        <f>Table13[[#This Row],[Funeral Cover Amount]]</f>
        <v>0</v>
      </c>
      <c r="Y23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3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39" s="301">
        <f t="shared" ca="1" si="25"/>
        <v>0</v>
      </c>
      <c r="AB239" s="298"/>
      <c r="AC239" s="326" t="str">
        <f>IF(Table2[[#This Row],[Member Type]]="Main Member",Lookups!$C$13,
IF(Table2[[#This Row],[Member Type]]="Spouse",_xlfn.XLOOKUP(B239,Table2[Main Member Link ID],Table2[Product Option],0),
IF(AND(Table2[[#This Row],[Member Type]]="Child",_xlfn.XLOOKUP(B239,Table2[Main Member Link ID],Table2[Product Option],0)&lt;&gt;"My Value Plus Life"),Lookups!$C$24,
IF(AND(OR(Table2[[#This Row],[Member Type]]="Parent",Table2[[#This Row],[Member Type]]="Extended"),_xlfn.XLOOKUP(B239,Table2[Main Member Link ID],Table2[Product Option],0)&lt;&gt;"My Value Plus Life"),Lookups!$C$26,""))))</f>
        <v/>
      </c>
      <c r="AD239" s="326" t="str">
        <f>IF(Table2[[#This Row],[Member Type]]="Main Member",Lookups!$C$14,"")</f>
        <v/>
      </c>
      <c r="AE23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Funeral",_xlfn.XLOOKUP(B239,Table2[Main Member Link ID],Table2[Benefit Name],0)=Lookups!$D$14),"",
IF(AND(Table2[[#This Row],[Member Type]]="Spouse",Table2[[#This Row],[Product Option]]="My Value Plus Life &amp; Funeral",_xlfn.XLOOKUP(B238,Table2[Main Member Link ID],Table2[Benefit Name],0)=Lookups!$D$15),Lookups!$D$20,
IF(AND(Table2[[#This Row],[Member Type]]="Spouse",Table2[[#This Row],[Product Option]]="My Value Plus Life &amp; Funeral",_xlfn.XLOOKUP(B238,Table2[Main Member Link ID],Table2[Benefit Name],0)=Lookups!$D$16),"",
IF(AND(Table2[[#This Row],[Member Type]]="Spouse",Table2[[#This Row],[Product Option]]="My Value Plus Life &amp; Funeral",_xlfn.XLOOKUP(B238,Table2[Main Member Link ID],Table2[Benefit Name],0)=Lookups!$D$17),Lookups!$D$21,
IF(AND(Table2[[#This Row],[Member Type]]="Child",Table2[[#This Row],[Product Option]]="My Value Plus Life &amp; Funeral",_xlfn.XLOOKUP(B239,Table2[Main Member Link ID],Table2[Benefit Name],0)=Lookups!$D$14),"",
IF(AND(Table2[[#This Row],[Member Type]]="Child",Table2[[#This Row],[Product Option]]="My Value Plus Life &amp; Funeral",_xlfn.XLOOKUP(B239,Table2[Main Member Link ID],Table2[Benefit Name],0)=Lookups!$D$15),"",
IF(AND(Table2[[#This Row],[Member Type]]="Child",Table2[[#This Row],[Product Option]]="My Value Plus Life &amp; Funeral",_xlfn.XLOOKUP(B239,Table2[Main Member Link ID],Table2[Benefit Name],0)=Lookups!$D$16),Lookups!$D$24,
IF(AND(Table2[[#This Row],[Member Type]]="Child",Table2[[#This Row],[Product Option]]="My Value Plus Life &amp; Funeral",_xlfn.XLOOKUP(B239,Table2[Main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Funeral",_xlfn.XLOOKUP(B239,Table2[Main Member Link ID],Table2[Benefit Name],0)&lt;&gt;Lookups!$D$14),
IF(_xlfn.XLOOKUP(B239,Table2[Main Member Link ID],Table2[Benefit Name],0)=0,"",_xlfn.XLOOKUP(B239,Table2[Main Member Link ID],Table2[Benefit Name],0)),"")))))))))))))))</f>
        <v/>
      </c>
      <c r="AF239" s="327" t="str">
        <f>IF(AND(Table2[[#This Row],[Member Type]]="Main Member",Table2[[#This Row],[Product Option]]="My Value Plus Life &amp; Funeral"),Lookups!$D$15,
IF(AND(Table2[[#This Row],[Member Type]]="Spouse",Table2[[#This Row],[Product Option]]="My Value Plus Life &amp; Funeral",_xlfn.XLOOKUP(B239,Table2[Main Member Link ID],Table2[Benefit Name],0)=Lookups!$D$14),"",
IF(AND(Table2[[#This Row],[Member Type]]="Spouse",Table2[[#This Row],[Product Option]]="My Value Plus Life &amp; Funeral",_xlfn.XLOOKUP(B238,Table2[Main Member Link ID],Table2[Benefit Name],0)=Lookups!$D$16),"",
IF(AND(Table2[[#This Row],[Member Type]]="Spouse",Table2[[#This Row],[Product Option]]="My Value Plus Life &amp; Funeral",_xlfn.XLOOKUP(B238,Table2[Main Member Link ID],Table2[Benefit Name],0)=Lookups!$D$15),"",
IF(AND(Table2[[#This Row],[Member Type]]="Spouse",Table2[[#This Row],[Product Option]]="My Value Plus Life &amp; Funeral",_xlfn.XLOOKUP(B238,Table2[Main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Funeral",_xlfn.XLOOKUP(B239,Table2[Main Member Link ID],Table2[Benefit Name],0)&lt;&gt;Lookups!$D$15),
IF(_xlfn.XLOOKUP(B239,Table2[Main Member Link ID],Table2[Benefit Name],0)=0,"",_xlfn.XLOOKUP(B239,Table2[Main Member Link ID],Table2[Benefit Name],0)),"")
))))))</f>
        <v/>
      </c>
      <c r="AG239" s="327" t="str">
        <f>IF(AND(Table2[[#This Row],[Member Type]]="Main Member",Table2[[#This Row],[Product Option]]="My Value Plus Life &amp; Funeral"),Lookups!$D$16,
IF(AND(Table2[[#This Row],[Member Type]]="Spouse",Table2[[#This Row],[Product Option]]="My Value Plus Life &amp; Funeral",_xlfn.XLOOKUP(B239,Table2[Main Member Link ID],Table2[Benefit Name],0)=Lookups!$D$14),"",
IF(AND(Table2[[#This Row],[Member Type]]="Spouse",Table2[[#This Row],[Product Option]]="My Value Plus Life &amp; Funeral",_xlfn.XLOOKUP(B238,Table2[Main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Funeral",_xlfn.XLOOKUP(B239,Table2[Main Member Link ID],Table2[Benefit Name],0)&lt;&gt;Lookups!$D$16),
IF(_xlfn.XLOOKUP(B239,Table2[Main Member Link ID],Table2[Benefit Name],0)=0,"",_xlfn.XLOOKUP(B239,Table2[Main Member Link ID],Table2[Benefit Name],0)),"")
))))</f>
        <v/>
      </c>
      <c r="AH239" s="327" t="str">
        <f>IF(AND(Table2[[#This Row],[Member Type]]="Main Member",Table2[[#This Row],[Product Option]]="My Value Plus Life &amp; Funeral"),Lookups!$D$17,
IF(AND(Table2[[#This Row],[Member Type]]="Spouse",Table2[[#This Row],[Product Option]]="My Value Plus Life &amp; Funeral",_xlfn.XLOOKUP(B239,Table2[Main Member Link ID],Table2[Benefit Name],0)=Lookups!$D$14),"",
IF(AND(Table2[[#This Row],[Member Type]]="Spouse",Table2[[#This Row],[Product Option]]="My Value Plus Life &amp; Funeral",_xlfn.XLOOKUP(B238,Table2[Main Member Link ID],Table2[Benefit Name],0)=Lookups!$D$16),"",
IF(AND(Table2[[#This Row],[Member Type]]="Child",Table2[[#This Row],[Product Option]]="My Value Plus Life &amp; Funeral"),"",
IF(AND(Table2[[#This Row],[Member Type]]="Child",Table2[[#This Row],[Product Option]]="My Value Plus Life &amp; Funeral",_xlfn.XLOOKUP(B239,Table2[Main Member Link ID],Table2[Benefit Name],0)=Lookups!$D$15),"",
IF(AND(OR(Table2[[#This Row],[Member Type]]="Spouse",Table2[[#This Row],[Member Type]]="Child"),Table2[[#This Row],[Product Option]]="My Value Plus Life &amp; Funeral",_xlfn.XLOOKUP(B239,Table2[Main Member Link ID],Table2[Benefit Name],0)&lt;&gt;Lookups!$D$17),
IF(_xlfn.XLOOKUP(B239,Table2[Main Member Link ID],Table2[Benefit Name],0)=0,"",_xlfn.XLOOKUP(B239,Table2[Main Member Link ID],Table2[Benefit Name],0)),""))))))</f>
        <v/>
      </c>
      <c r="AI239" s="328" t="str">
        <f>IF(AND(Table2[[#This Row],[Member Type]]="Main Member",Table2[[#This Row],[Table Lookup for Life Cover]]="MM_LIFE",Table2[[#This Row],[Age Next Birthday]]&lt;56),1,
IF(AND(Table2[[#This Row],[Member Type]]="Main Member",Table2[[#This Row],[Table Lookup for Life Cover]]="MM_LIFE",Table2[[#This Row],[Age Next Birthday]]&gt;=56),2,
""))</f>
        <v/>
      </c>
      <c r="AJ239" s="328">
        <f>IF(OR(Table2[[#This Row],[Member Type]]="Main Member",Table2[[#This Row],[Main Member Link ID]]=B238),1,0)</f>
        <v>1</v>
      </c>
      <c r="AK239" s="328">
        <f>IF(Table2[[#This Row],[Member Type]]=0,0,
IF(OR(Table2[[#This Row],[Member Type]]="Main Member",Table2[[#This Row],[Main Member Link ID]]&lt;&gt;B239),COUNTIFS(B:B,Table2[[#This Row],[Main Member Link ID]]),
COUNTIFS(B:B,Table2[[#This Row],[Main Member Link ID]],A:A,Table2[[#This Row],[Member Type]])))</f>
        <v>0</v>
      </c>
    </row>
    <row r="240" spans="1:37" x14ac:dyDescent="0.3">
      <c r="A240" s="284">
        <f>Table13[[#This Row],[Member Type]]</f>
        <v>0</v>
      </c>
      <c r="B240" s="284">
        <f>Table13[[#This Row],[Main Member Link ID]]</f>
        <v>0</v>
      </c>
      <c r="C240" s="284">
        <f>Table13[[#This Row],[ID Number]]</f>
        <v>0</v>
      </c>
      <c r="D240" s="285">
        <f>Table13[[#This Row],[Date Of Birth]]</f>
        <v>0</v>
      </c>
      <c r="E240" s="285">
        <f>Table13[[#This Row],[Commencement Date]]</f>
        <v>0</v>
      </c>
      <c r="F240" s="284">
        <f t="shared" si="21"/>
        <v>1</v>
      </c>
      <c r="G240" s="284">
        <f t="shared" si="22"/>
        <v>25</v>
      </c>
      <c r="H240" s="286">
        <f>Table13[[#This Row],[Product Option]]</f>
        <v>0</v>
      </c>
      <c r="I240" s="284">
        <f>IF(AND($A240="Main Member",Table2[[#This Row],[Product Option]]="My Value Plus Life"),"MM_LIFE",
IF(AND($A240="Spouse",Table2[[#This Row],[Product Option]]="My Value Plus Life"),"SP_LIFE",
IF(AND($A240="Main Member",Table2[[#This Row],[Product Option]]="My Value Plus Life &amp; Funeral"),"MM_LIFE",
IF(AND($A240="Spouse",Table2[[#This Row],[Product Option]]="My Value Plus Life &amp; Funeral"),_xlfn.XLOOKUP(Table2[[#This Row],[Benefit Name]],Lookups!$D$18:$D$23,Lookups!$E$18:$E$23,0),
0))))</f>
        <v>0</v>
      </c>
      <c r="J240" s="284">
        <f>IF($I240="","",
IF($I240="MM_LIFE",INDEX('Quotation Tool'!$S$54:$V$60,MATCH($T240,'Quotation Tool'!$S$54:$S$60,0),4),
IF($I240="SP_LIFE",_xlfn.XLOOKUP(B239,$B:$B,$J:$J,0),0)))</f>
        <v>0</v>
      </c>
      <c r="K240" s="287">
        <f t="shared" ca="1" si="26"/>
        <v>0</v>
      </c>
      <c r="L240" s="288">
        <f t="shared" ca="1" si="27"/>
        <v>0</v>
      </c>
      <c r="M240" s="289">
        <f t="shared" ca="1" si="23"/>
        <v>0</v>
      </c>
      <c r="N240" s="286">
        <f>Table13[[#This Row],[Benefit Option]]</f>
        <v>0</v>
      </c>
      <c r="O240" s="284">
        <f>IF(OR(Table2[[#This Row],[Member Type]]="Spouse",Table2[[#This Row],[Member Type]]="Child"),0,
IF(_xlfn.XLOOKUP($N240,Lookups!$D$13:$D$27,Lookups!$F$13:$F$27,0)=Table2[[#This Row],[Table Lookup for Life Cover]],0,
_xlfn.XLOOKUP($N240,Lookups!$D$13:$D$27,Lookups!$F$13:$F$27,0)))</f>
        <v>0</v>
      </c>
      <c r="P240" s="284">
        <f>IF(Table2[[#This Row],[Table Lookup for Funeral]]=0,0,IFERROR(INDEX('Quotation Tool'!$S$54:$V$60,MATCH($T240,'Quotation Tool'!$S$54:$S$60,0),3),0))</f>
        <v>0</v>
      </c>
      <c r="Q240" s="288">
        <f ca="1">IF(OR(Table2[[#This Row],[Benefit Name]]="My Value Plus Life - Main Member",Table2[[#This Row],[Benefit Name]]="My Value Plus Life - Spouse"),0,
IFERROR(VLOOKUP($G240,INDIRECT($O240),$P240,FALSE),0))</f>
        <v>0</v>
      </c>
      <c r="R240" s="288">
        <f ca="1">IF(OR(Table2[[#This Row],[Benefit Name]]="My Value Plus Life - Main Member",Table2[[#This Row],[Benefit Name]]="My Value Plus Life - Spouse"),0,
IFERROR(VLOOKUP($G240,INDIRECT($O240),$P240+1,FALSE),0))</f>
        <v>0</v>
      </c>
      <c r="S240" s="289">
        <f t="shared" ca="1" si="24"/>
        <v>0</v>
      </c>
      <c r="T240" s="284" t="str">
        <f>IF(Table13[[#This Row],[Premium Waiver]]="","None",Table13[[#This Row],[Premium Waiver]])</f>
        <v>None</v>
      </c>
      <c r="U240" s="284">
        <f>Table13[[#This Row],[VAPs Options]]</f>
        <v>0</v>
      </c>
      <c r="V240" s="284">
        <f>Table13[[#This Row],[Annual Increase Option]]</f>
        <v>0</v>
      </c>
      <c r="W240" s="290">
        <f>Table13[[#This Row],[Life Cover Amount]]</f>
        <v>0</v>
      </c>
      <c r="X240" s="290">
        <f>Table13[[#This Row],[Funeral Cover Amount]]</f>
        <v>0</v>
      </c>
      <c r="Y24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4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40" s="301">
        <f t="shared" ca="1" si="25"/>
        <v>0</v>
      </c>
      <c r="AB240" s="298"/>
      <c r="AC240" s="326" t="str">
        <f>IF(Table2[[#This Row],[Member Type]]="Main Member",Lookups!$C$13,
IF(Table2[[#This Row],[Member Type]]="Spouse",_xlfn.XLOOKUP(B240,Table2[Main Member Link ID],Table2[Product Option],0),
IF(AND(Table2[[#This Row],[Member Type]]="Child",_xlfn.XLOOKUP(B240,Table2[Main Member Link ID],Table2[Product Option],0)&lt;&gt;"My Value Plus Life"),Lookups!$C$24,
IF(AND(OR(Table2[[#This Row],[Member Type]]="Parent",Table2[[#This Row],[Member Type]]="Extended"),_xlfn.XLOOKUP(B240,Table2[Main Member Link ID],Table2[Product Option],0)&lt;&gt;"My Value Plus Life"),Lookups!$C$26,""))))</f>
        <v/>
      </c>
      <c r="AD240" s="326" t="str">
        <f>IF(Table2[[#This Row],[Member Type]]="Main Member",Lookups!$C$14,"")</f>
        <v/>
      </c>
      <c r="AE24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Funeral",_xlfn.XLOOKUP(B240,Table2[Main Member Link ID],Table2[Benefit Name],0)=Lookups!$D$14),"",
IF(AND(Table2[[#This Row],[Member Type]]="Spouse",Table2[[#This Row],[Product Option]]="My Value Plus Life &amp; Funeral",_xlfn.XLOOKUP(B239,Table2[Main Member Link ID],Table2[Benefit Name],0)=Lookups!$D$15),Lookups!$D$20,
IF(AND(Table2[[#This Row],[Member Type]]="Spouse",Table2[[#This Row],[Product Option]]="My Value Plus Life &amp; Funeral",_xlfn.XLOOKUP(B239,Table2[Main Member Link ID],Table2[Benefit Name],0)=Lookups!$D$16),"",
IF(AND(Table2[[#This Row],[Member Type]]="Spouse",Table2[[#This Row],[Product Option]]="My Value Plus Life &amp; Funeral",_xlfn.XLOOKUP(B239,Table2[Main Member Link ID],Table2[Benefit Name],0)=Lookups!$D$17),Lookups!$D$21,
IF(AND(Table2[[#This Row],[Member Type]]="Child",Table2[[#This Row],[Product Option]]="My Value Plus Life &amp; Funeral",_xlfn.XLOOKUP(B240,Table2[Main Member Link ID],Table2[Benefit Name],0)=Lookups!$D$14),"",
IF(AND(Table2[[#This Row],[Member Type]]="Child",Table2[[#This Row],[Product Option]]="My Value Plus Life &amp; Funeral",_xlfn.XLOOKUP(B240,Table2[Main Member Link ID],Table2[Benefit Name],0)=Lookups!$D$15),"",
IF(AND(Table2[[#This Row],[Member Type]]="Child",Table2[[#This Row],[Product Option]]="My Value Plus Life &amp; Funeral",_xlfn.XLOOKUP(B240,Table2[Main Member Link ID],Table2[Benefit Name],0)=Lookups!$D$16),Lookups!$D$24,
IF(AND(Table2[[#This Row],[Member Type]]="Child",Table2[[#This Row],[Product Option]]="My Value Plus Life &amp; Funeral",_xlfn.XLOOKUP(B240,Table2[Main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Funeral",_xlfn.XLOOKUP(B240,Table2[Main Member Link ID],Table2[Benefit Name],0)&lt;&gt;Lookups!$D$14),
IF(_xlfn.XLOOKUP(B240,Table2[Main Member Link ID],Table2[Benefit Name],0)=0,"",_xlfn.XLOOKUP(B240,Table2[Main Member Link ID],Table2[Benefit Name],0)),"")))))))))))))))</f>
        <v/>
      </c>
      <c r="AF240" s="327" t="str">
        <f>IF(AND(Table2[[#This Row],[Member Type]]="Main Member",Table2[[#This Row],[Product Option]]="My Value Plus Life &amp; Funeral"),Lookups!$D$15,
IF(AND(Table2[[#This Row],[Member Type]]="Spouse",Table2[[#This Row],[Product Option]]="My Value Plus Life &amp; Funeral",_xlfn.XLOOKUP(B240,Table2[Main Member Link ID],Table2[Benefit Name],0)=Lookups!$D$14),"",
IF(AND(Table2[[#This Row],[Member Type]]="Spouse",Table2[[#This Row],[Product Option]]="My Value Plus Life &amp; Funeral",_xlfn.XLOOKUP(B239,Table2[Main Member Link ID],Table2[Benefit Name],0)=Lookups!$D$16),"",
IF(AND(Table2[[#This Row],[Member Type]]="Spouse",Table2[[#This Row],[Product Option]]="My Value Plus Life &amp; Funeral",_xlfn.XLOOKUP(B239,Table2[Main Member Link ID],Table2[Benefit Name],0)=Lookups!$D$15),"",
IF(AND(Table2[[#This Row],[Member Type]]="Spouse",Table2[[#This Row],[Product Option]]="My Value Plus Life &amp; Funeral",_xlfn.XLOOKUP(B239,Table2[Main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Funeral",_xlfn.XLOOKUP(B240,Table2[Main Member Link ID],Table2[Benefit Name],0)&lt;&gt;Lookups!$D$15),
IF(_xlfn.XLOOKUP(B240,Table2[Main Member Link ID],Table2[Benefit Name],0)=0,"",_xlfn.XLOOKUP(B240,Table2[Main Member Link ID],Table2[Benefit Name],0)),"")
))))))</f>
        <v/>
      </c>
      <c r="AG240" s="327" t="str">
        <f>IF(AND(Table2[[#This Row],[Member Type]]="Main Member",Table2[[#This Row],[Product Option]]="My Value Plus Life &amp; Funeral"),Lookups!$D$16,
IF(AND(Table2[[#This Row],[Member Type]]="Spouse",Table2[[#This Row],[Product Option]]="My Value Plus Life &amp; Funeral",_xlfn.XLOOKUP(B240,Table2[Main Member Link ID],Table2[Benefit Name],0)=Lookups!$D$14),"",
IF(AND(Table2[[#This Row],[Member Type]]="Spouse",Table2[[#This Row],[Product Option]]="My Value Plus Life &amp; Funeral",_xlfn.XLOOKUP(B239,Table2[Main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Funeral",_xlfn.XLOOKUP(B240,Table2[Main Member Link ID],Table2[Benefit Name],0)&lt;&gt;Lookups!$D$16),
IF(_xlfn.XLOOKUP(B240,Table2[Main Member Link ID],Table2[Benefit Name],0)=0,"",_xlfn.XLOOKUP(B240,Table2[Main Member Link ID],Table2[Benefit Name],0)),"")
))))</f>
        <v/>
      </c>
      <c r="AH240" s="327" t="str">
        <f>IF(AND(Table2[[#This Row],[Member Type]]="Main Member",Table2[[#This Row],[Product Option]]="My Value Plus Life &amp; Funeral"),Lookups!$D$17,
IF(AND(Table2[[#This Row],[Member Type]]="Spouse",Table2[[#This Row],[Product Option]]="My Value Plus Life &amp; Funeral",_xlfn.XLOOKUP(B240,Table2[Main Member Link ID],Table2[Benefit Name],0)=Lookups!$D$14),"",
IF(AND(Table2[[#This Row],[Member Type]]="Spouse",Table2[[#This Row],[Product Option]]="My Value Plus Life &amp; Funeral",_xlfn.XLOOKUP(B239,Table2[Main Member Link ID],Table2[Benefit Name],0)=Lookups!$D$16),"",
IF(AND(Table2[[#This Row],[Member Type]]="Child",Table2[[#This Row],[Product Option]]="My Value Plus Life &amp; Funeral"),"",
IF(AND(Table2[[#This Row],[Member Type]]="Child",Table2[[#This Row],[Product Option]]="My Value Plus Life &amp; Funeral",_xlfn.XLOOKUP(B240,Table2[Main Member Link ID],Table2[Benefit Name],0)=Lookups!$D$15),"",
IF(AND(OR(Table2[[#This Row],[Member Type]]="Spouse",Table2[[#This Row],[Member Type]]="Child"),Table2[[#This Row],[Product Option]]="My Value Plus Life &amp; Funeral",_xlfn.XLOOKUP(B240,Table2[Main Member Link ID],Table2[Benefit Name],0)&lt;&gt;Lookups!$D$17),
IF(_xlfn.XLOOKUP(B240,Table2[Main Member Link ID],Table2[Benefit Name],0)=0,"",_xlfn.XLOOKUP(B240,Table2[Main Member Link ID],Table2[Benefit Name],0)),""))))))</f>
        <v/>
      </c>
      <c r="AI240" s="328" t="str">
        <f>IF(AND(Table2[[#This Row],[Member Type]]="Main Member",Table2[[#This Row],[Table Lookup for Life Cover]]="MM_LIFE",Table2[[#This Row],[Age Next Birthday]]&lt;56),1,
IF(AND(Table2[[#This Row],[Member Type]]="Main Member",Table2[[#This Row],[Table Lookup for Life Cover]]="MM_LIFE",Table2[[#This Row],[Age Next Birthday]]&gt;=56),2,
""))</f>
        <v/>
      </c>
      <c r="AJ240" s="328">
        <f>IF(OR(Table2[[#This Row],[Member Type]]="Main Member",Table2[[#This Row],[Main Member Link ID]]=B239),1,0)</f>
        <v>1</v>
      </c>
      <c r="AK240" s="328">
        <f>IF(Table2[[#This Row],[Member Type]]=0,0,
IF(OR(Table2[[#This Row],[Member Type]]="Main Member",Table2[[#This Row],[Main Member Link ID]]&lt;&gt;B240),COUNTIFS(B:B,Table2[[#This Row],[Main Member Link ID]]),
COUNTIFS(B:B,Table2[[#This Row],[Main Member Link ID]],A:A,Table2[[#This Row],[Member Type]])))</f>
        <v>0</v>
      </c>
    </row>
    <row r="241" spans="1:37" x14ac:dyDescent="0.3">
      <c r="A241" s="284">
        <f>Table13[[#This Row],[Member Type]]</f>
        <v>0</v>
      </c>
      <c r="B241" s="284">
        <f>Table13[[#This Row],[Main Member Link ID]]</f>
        <v>0</v>
      </c>
      <c r="C241" s="284">
        <f>Table13[[#This Row],[ID Number]]</f>
        <v>0</v>
      </c>
      <c r="D241" s="285">
        <f>Table13[[#This Row],[Date Of Birth]]</f>
        <v>0</v>
      </c>
      <c r="E241" s="285">
        <f>Table13[[#This Row],[Commencement Date]]</f>
        <v>0</v>
      </c>
      <c r="F241" s="284">
        <f t="shared" si="21"/>
        <v>1</v>
      </c>
      <c r="G241" s="284">
        <f t="shared" si="22"/>
        <v>25</v>
      </c>
      <c r="H241" s="286">
        <f>Table13[[#This Row],[Product Option]]</f>
        <v>0</v>
      </c>
      <c r="I241" s="284">
        <f>IF(AND($A241="Main Member",Table2[[#This Row],[Product Option]]="My Value Plus Life"),"MM_LIFE",
IF(AND($A241="Spouse",Table2[[#This Row],[Product Option]]="My Value Plus Life"),"SP_LIFE",
IF(AND($A241="Main Member",Table2[[#This Row],[Product Option]]="My Value Plus Life &amp; Funeral"),"MM_LIFE",
IF(AND($A241="Spouse",Table2[[#This Row],[Product Option]]="My Value Plus Life &amp; Funeral"),_xlfn.XLOOKUP(Table2[[#This Row],[Benefit Name]],Lookups!$D$18:$D$23,Lookups!$E$18:$E$23,0),
0))))</f>
        <v>0</v>
      </c>
      <c r="J241" s="284">
        <f>IF($I241="","",
IF($I241="MM_LIFE",INDEX('Quotation Tool'!$S$54:$V$60,MATCH($T241,'Quotation Tool'!$S$54:$S$60,0),4),
IF($I241="SP_LIFE",_xlfn.XLOOKUP(B240,$B:$B,$J:$J,0),0)))</f>
        <v>0</v>
      </c>
      <c r="K241" s="287">
        <f t="shared" ca="1" si="26"/>
        <v>0</v>
      </c>
      <c r="L241" s="288">
        <f t="shared" ca="1" si="27"/>
        <v>0</v>
      </c>
      <c r="M241" s="289">
        <f t="shared" ca="1" si="23"/>
        <v>0</v>
      </c>
      <c r="N241" s="286">
        <f>Table13[[#This Row],[Benefit Option]]</f>
        <v>0</v>
      </c>
      <c r="O241" s="284">
        <f>IF(OR(Table2[[#This Row],[Member Type]]="Spouse",Table2[[#This Row],[Member Type]]="Child"),0,
IF(_xlfn.XLOOKUP($N241,Lookups!$D$13:$D$27,Lookups!$F$13:$F$27,0)=Table2[[#This Row],[Table Lookup for Life Cover]],0,
_xlfn.XLOOKUP($N241,Lookups!$D$13:$D$27,Lookups!$F$13:$F$27,0)))</f>
        <v>0</v>
      </c>
      <c r="P241" s="284">
        <f>IF(Table2[[#This Row],[Table Lookup for Funeral]]=0,0,IFERROR(INDEX('Quotation Tool'!$S$54:$V$60,MATCH($T241,'Quotation Tool'!$S$54:$S$60,0),3),0))</f>
        <v>0</v>
      </c>
      <c r="Q241" s="288">
        <f ca="1">IF(OR(Table2[[#This Row],[Benefit Name]]="My Value Plus Life - Main Member",Table2[[#This Row],[Benefit Name]]="My Value Plus Life - Spouse"),0,
IFERROR(VLOOKUP($G241,INDIRECT($O241),$P241,FALSE),0))</f>
        <v>0</v>
      </c>
      <c r="R241" s="288">
        <f ca="1">IF(OR(Table2[[#This Row],[Benefit Name]]="My Value Plus Life - Main Member",Table2[[#This Row],[Benefit Name]]="My Value Plus Life - Spouse"),0,
IFERROR(VLOOKUP($G241,INDIRECT($O241),$P241+1,FALSE),0))</f>
        <v>0</v>
      </c>
      <c r="S241" s="289">
        <f t="shared" ca="1" si="24"/>
        <v>0</v>
      </c>
      <c r="T241" s="284" t="str">
        <f>IF(Table13[[#This Row],[Premium Waiver]]="","None",Table13[[#This Row],[Premium Waiver]])</f>
        <v>None</v>
      </c>
      <c r="U241" s="284">
        <f>Table13[[#This Row],[VAPs Options]]</f>
        <v>0</v>
      </c>
      <c r="V241" s="284">
        <f>Table13[[#This Row],[Annual Increase Option]]</f>
        <v>0</v>
      </c>
      <c r="W241" s="290">
        <f>Table13[[#This Row],[Life Cover Amount]]</f>
        <v>0</v>
      </c>
      <c r="X241" s="290">
        <f>Table13[[#This Row],[Funeral Cover Amount]]</f>
        <v>0</v>
      </c>
      <c r="Y24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4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41" s="301">
        <f t="shared" ca="1" si="25"/>
        <v>0</v>
      </c>
      <c r="AB241" s="298"/>
      <c r="AC241" s="326" t="str">
        <f>IF(Table2[[#This Row],[Member Type]]="Main Member",Lookups!$C$13,
IF(Table2[[#This Row],[Member Type]]="Spouse",_xlfn.XLOOKUP(B241,Table2[Main Member Link ID],Table2[Product Option],0),
IF(AND(Table2[[#This Row],[Member Type]]="Child",_xlfn.XLOOKUP(B241,Table2[Main Member Link ID],Table2[Product Option],0)&lt;&gt;"My Value Plus Life"),Lookups!$C$24,
IF(AND(OR(Table2[[#This Row],[Member Type]]="Parent",Table2[[#This Row],[Member Type]]="Extended"),_xlfn.XLOOKUP(B241,Table2[Main Member Link ID],Table2[Product Option],0)&lt;&gt;"My Value Plus Life"),Lookups!$C$26,""))))</f>
        <v/>
      </c>
      <c r="AD241" s="326" t="str">
        <f>IF(Table2[[#This Row],[Member Type]]="Main Member",Lookups!$C$14,"")</f>
        <v/>
      </c>
      <c r="AE24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Funeral",_xlfn.XLOOKUP(B241,Table2[Main Member Link ID],Table2[Benefit Name],0)=Lookups!$D$14),"",
IF(AND(Table2[[#This Row],[Member Type]]="Spouse",Table2[[#This Row],[Product Option]]="My Value Plus Life &amp; Funeral",_xlfn.XLOOKUP(B240,Table2[Main Member Link ID],Table2[Benefit Name],0)=Lookups!$D$15),Lookups!$D$20,
IF(AND(Table2[[#This Row],[Member Type]]="Spouse",Table2[[#This Row],[Product Option]]="My Value Plus Life &amp; Funeral",_xlfn.XLOOKUP(B240,Table2[Main Member Link ID],Table2[Benefit Name],0)=Lookups!$D$16),"",
IF(AND(Table2[[#This Row],[Member Type]]="Spouse",Table2[[#This Row],[Product Option]]="My Value Plus Life &amp; Funeral",_xlfn.XLOOKUP(B240,Table2[Main Member Link ID],Table2[Benefit Name],0)=Lookups!$D$17),Lookups!$D$21,
IF(AND(Table2[[#This Row],[Member Type]]="Child",Table2[[#This Row],[Product Option]]="My Value Plus Life &amp; Funeral",_xlfn.XLOOKUP(B241,Table2[Main Member Link ID],Table2[Benefit Name],0)=Lookups!$D$14),"",
IF(AND(Table2[[#This Row],[Member Type]]="Child",Table2[[#This Row],[Product Option]]="My Value Plus Life &amp; Funeral",_xlfn.XLOOKUP(B241,Table2[Main Member Link ID],Table2[Benefit Name],0)=Lookups!$D$15),"",
IF(AND(Table2[[#This Row],[Member Type]]="Child",Table2[[#This Row],[Product Option]]="My Value Plus Life &amp; Funeral",_xlfn.XLOOKUP(B241,Table2[Main Member Link ID],Table2[Benefit Name],0)=Lookups!$D$16),Lookups!$D$24,
IF(AND(Table2[[#This Row],[Member Type]]="Child",Table2[[#This Row],[Product Option]]="My Value Plus Life &amp; Funeral",_xlfn.XLOOKUP(B241,Table2[Main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Funeral",_xlfn.XLOOKUP(B241,Table2[Main Member Link ID],Table2[Benefit Name],0)&lt;&gt;Lookups!$D$14),
IF(_xlfn.XLOOKUP(B241,Table2[Main Member Link ID],Table2[Benefit Name],0)=0,"",_xlfn.XLOOKUP(B241,Table2[Main Member Link ID],Table2[Benefit Name],0)),"")))))))))))))))</f>
        <v/>
      </c>
      <c r="AF241" s="327" t="str">
        <f>IF(AND(Table2[[#This Row],[Member Type]]="Main Member",Table2[[#This Row],[Product Option]]="My Value Plus Life &amp; Funeral"),Lookups!$D$15,
IF(AND(Table2[[#This Row],[Member Type]]="Spouse",Table2[[#This Row],[Product Option]]="My Value Plus Life &amp; Funeral",_xlfn.XLOOKUP(B241,Table2[Main Member Link ID],Table2[Benefit Name],0)=Lookups!$D$14),"",
IF(AND(Table2[[#This Row],[Member Type]]="Spouse",Table2[[#This Row],[Product Option]]="My Value Plus Life &amp; Funeral",_xlfn.XLOOKUP(B240,Table2[Main Member Link ID],Table2[Benefit Name],0)=Lookups!$D$16),"",
IF(AND(Table2[[#This Row],[Member Type]]="Spouse",Table2[[#This Row],[Product Option]]="My Value Plus Life &amp; Funeral",_xlfn.XLOOKUP(B240,Table2[Main Member Link ID],Table2[Benefit Name],0)=Lookups!$D$15),"",
IF(AND(Table2[[#This Row],[Member Type]]="Spouse",Table2[[#This Row],[Product Option]]="My Value Plus Life &amp; Funeral",_xlfn.XLOOKUP(B240,Table2[Main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Funeral",_xlfn.XLOOKUP(B241,Table2[Main Member Link ID],Table2[Benefit Name],0)&lt;&gt;Lookups!$D$15),
IF(_xlfn.XLOOKUP(B241,Table2[Main Member Link ID],Table2[Benefit Name],0)=0,"",_xlfn.XLOOKUP(B241,Table2[Main Member Link ID],Table2[Benefit Name],0)),"")
))))))</f>
        <v/>
      </c>
      <c r="AG241" s="327" t="str">
        <f>IF(AND(Table2[[#This Row],[Member Type]]="Main Member",Table2[[#This Row],[Product Option]]="My Value Plus Life &amp; Funeral"),Lookups!$D$16,
IF(AND(Table2[[#This Row],[Member Type]]="Spouse",Table2[[#This Row],[Product Option]]="My Value Plus Life &amp; Funeral",_xlfn.XLOOKUP(B241,Table2[Main Member Link ID],Table2[Benefit Name],0)=Lookups!$D$14),"",
IF(AND(Table2[[#This Row],[Member Type]]="Spouse",Table2[[#This Row],[Product Option]]="My Value Plus Life &amp; Funeral",_xlfn.XLOOKUP(B240,Table2[Main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Funeral",_xlfn.XLOOKUP(B241,Table2[Main Member Link ID],Table2[Benefit Name],0)&lt;&gt;Lookups!$D$16),
IF(_xlfn.XLOOKUP(B241,Table2[Main Member Link ID],Table2[Benefit Name],0)=0,"",_xlfn.XLOOKUP(B241,Table2[Main Member Link ID],Table2[Benefit Name],0)),"")
))))</f>
        <v/>
      </c>
      <c r="AH241" s="327" t="str">
        <f>IF(AND(Table2[[#This Row],[Member Type]]="Main Member",Table2[[#This Row],[Product Option]]="My Value Plus Life &amp; Funeral"),Lookups!$D$17,
IF(AND(Table2[[#This Row],[Member Type]]="Spouse",Table2[[#This Row],[Product Option]]="My Value Plus Life &amp; Funeral",_xlfn.XLOOKUP(B241,Table2[Main Member Link ID],Table2[Benefit Name],0)=Lookups!$D$14),"",
IF(AND(Table2[[#This Row],[Member Type]]="Spouse",Table2[[#This Row],[Product Option]]="My Value Plus Life &amp; Funeral",_xlfn.XLOOKUP(B240,Table2[Main Member Link ID],Table2[Benefit Name],0)=Lookups!$D$16),"",
IF(AND(Table2[[#This Row],[Member Type]]="Child",Table2[[#This Row],[Product Option]]="My Value Plus Life &amp; Funeral"),"",
IF(AND(Table2[[#This Row],[Member Type]]="Child",Table2[[#This Row],[Product Option]]="My Value Plus Life &amp; Funeral",_xlfn.XLOOKUP(B241,Table2[Main Member Link ID],Table2[Benefit Name],0)=Lookups!$D$15),"",
IF(AND(OR(Table2[[#This Row],[Member Type]]="Spouse",Table2[[#This Row],[Member Type]]="Child"),Table2[[#This Row],[Product Option]]="My Value Plus Life &amp; Funeral",_xlfn.XLOOKUP(B241,Table2[Main Member Link ID],Table2[Benefit Name],0)&lt;&gt;Lookups!$D$17),
IF(_xlfn.XLOOKUP(B241,Table2[Main Member Link ID],Table2[Benefit Name],0)=0,"",_xlfn.XLOOKUP(B241,Table2[Main Member Link ID],Table2[Benefit Name],0)),""))))))</f>
        <v/>
      </c>
      <c r="AI241" s="328" t="str">
        <f>IF(AND(Table2[[#This Row],[Member Type]]="Main Member",Table2[[#This Row],[Table Lookup for Life Cover]]="MM_LIFE",Table2[[#This Row],[Age Next Birthday]]&lt;56),1,
IF(AND(Table2[[#This Row],[Member Type]]="Main Member",Table2[[#This Row],[Table Lookup for Life Cover]]="MM_LIFE",Table2[[#This Row],[Age Next Birthday]]&gt;=56),2,
""))</f>
        <v/>
      </c>
      <c r="AJ241" s="328">
        <f>IF(OR(Table2[[#This Row],[Member Type]]="Main Member",Table2[[#This Row],[Main Member Link ID]]=B240),1,0)</f>
        <v>1</v>
      </c>
      <c r="AK241" s="328">
        <f>IF(Table2[[#This Row],[Member Type]]=0,0,
IF(OR(Table2[[#This Row],[Member Type]]="Main Member",Table2[[#This Row],[Main Member Link ID]]&lt;&gt;B241),COUNTIFS(B:B,Table2[[#This Row],[Main Member Link ID]]),
COUNTIFS(B:B,Table2[[#This Row],[Main Member Link ID]],A:A,Table2[[#This Row],[Member Type]])))</f>
        <v>0</v>
      </c>
    </row>
    <row r="242" spans="1:37" x14ac:dyDescent="0.3">
      <c r="A242" s="284">
        <f>Table13[[#This Row],[Member Type]]</f>
        <v>0</v>
      </c>
      <c r="B242" s="284">
        <f>Table13[[#This Row],[Main Member Link ID]]</f>
        <v>0</v>
      </c>
      <c r="C242" s="284">
        <f>Table13[[#This Row],[ID Number]]</f>
        <v>0</v>
      </c>
      <c r="D242" s="285">
        <f>Table13[[#This Row],[Date Of Birth]]</f>
        <v>0</v>
      </c>
      <c r="E242" s="285">
        <f>Table13[[#This Row],[Commencement Date]]</f>
        <v>0</v>
      </c>
      <c r="F242" s="284">
        <f t="shared" si="21"/>
        <v>1</v>
      </c>
      <c r="G242" s="284">
        <f t="shared" si="22"/>
        <v>25</v>
      </c>
      <c r="H242" s="286">
        <f>Table13[[#This Row],[Product Option]]</f>
        <v>0</v>
      </c>
      <c r="I242" s="284">
        <f>IF(AND($A242="Main Member",Table2[[#This Row],[Product Option]]="My Value Plus Life"),"MM_LIFE",
IF(AND($A242="Spouse",Table2[[#This Row],[Product Option]]="My Value Plus Life"),"SP_LIFE",
IF(AND($A242="Main Member",Table2[[#This Row],[Product Option]]="My Value Plus Life &amp; Funeral"),"MM_LIFE",
IF(AND($A242="Spouse",Table2[[#This Row],[Product Option]]="My Value Plus Life &amp; Funeral"),_xlfn.XLOOKUP(Table2[[#This Row],[Benefit Name]],Lookups!$D$18:$D$23,Lookups!$E$18:$E$23,0),
0))))</f>
        <v>0</v>
      </c>
      <c r="J242" s="284">
        <f>IF($I242="","",
IF($I242="MM_LIFE",INDEX('Quotation Tool'!$S$54:$V$60,MATCH($T242,'Quotation Tool'!$S$54:$S$60,0),4),
IF($I242="SP_LIFE",_xlfn.XLOOKUP(B241,$B:$B,$J:$J,0),0)))</f>
        <v>0</v>
      </c>
      <c r="K242" s="287">
        <f t="shared" ca="1" si="26"/>
        <v>0</v>
      </c>
      <c r="L242" s="288">
        <f t="shared" ca="1" si="27"/>
        <v>0</v>
      </c>
      <c r="M242" s="289">
        <f t="shared" ca="1" si="23"/>
        <v>0</v>
      </c>
      <c r="N242" s="286">
        <f>Table13[[#This Row],[Benefit Option]]</f>
        <v>0</v>
      </c>
      <c r="O242" s="284">
        <f>IF(OR(Table2[[#This Row],[Member Type]]="Spouse",Table2[[#This Row],[Member Type]]="Child"),0,
IF(_xlfn.XLOOKUP($N242,Lookups!$D$13:$D$27,Lookups!$F$13:$F$27,0)=Table2[[#This Row],[Table Lookup for Life Cover]],0,
_xlfn.XLOOKUP($N242,Lookups!$D$13:$D$27,Lookups!$F$13:$F$27,0)))</f>
        <v>0</v>
      </c>
      <c r="P242" s="284">
        <f>IF(Table2[[#This Row],[Table Lookup for Funeral]]=0,0,IFERROR(INDEX('Quotation Tool'!$S$54:$V$60,MATCH($T242,'Quotation Tool'!$S$54:$S$60,0),3),0))</f>
        <v>0</v>
      </c>
      <c r="Q242" s="288">
        <f ca="1">IF(OR(Table2[[#This Row],[Benefit Name]]="My Value Plus Life - Main Member",Table2[[#This Row],[Benefit Name]]="My Value Plus Life - Spouse"),0,
IFERROR(VLOOKUP($G242,INDIRECT($O242),$P242,FALSE),0))</f>
        <v>0</v>
      </c>
      <c r="R242" s="288">
        <f ca="1">IF(OR(Table2[[#This Row],[Benefit Name]]="My Value Plus Life - Main Member",Table2[[#This Row],[Benefit Name]]="My Value Plus Life - Spouse"),0,
IFERROR(VLOOKUP($G242,INDIRECT($O242),$P242+1,FALSE),0))</f>
        <v>0</v>
      </c>
      <c r="S242" s="289">
        <f t="shared" ca="1" si="24"/>
        <v>0</v>
      </c>
      <c r="T242" s="284" t="str">
        <f>IF(Table13[[#This Row],[Premium Waiver]]="","None",Table13[[#This Row],[Premium Waiver]])</f>
        <v>None</v>
      </c>
      <c r="U242" s="284">
        <f>Table13[[#This Row],[VAPs Options]]</f>
        <v>0</v>
      </c>
      <c r="V242" s="284">
        <f>Table13[[#This Row],[Annual Increase Option]]</f>
        <v>0</v>
      </c>
      <c r="W242" s="290">
        <f>Table13[[#This Row],[Life Cover Amount]]</f>
        <v>0</v>
      </c>
      <c r="X242" s="290">
        <f>Table13[[#This Row],[Funeral Cover Amount]]</f>
        <v>0</v>
      </c>
      <c r="Y24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4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42" s="301">
        <f t="shared" ca="1" si="25"/>
        <v>0</v>
      </c>
      <c r="AB242" s="298"/>
      <c r="AC242" s="326" t="str">
        <f>IF(Table2[[#This Row],[Member Type]]="Main Member",Lookups!$C$13,
IF(Table2[[#This Row],[Member Type]]="Spouse",_xlfn.XLOOKUP(B242,Table2[Main Member Link ID],Table2[Product Option],0),
IF(AND(Table2[[#This Row],[Member Type]]="Child",_xlfn.XLOOKUP(B242,Table2[Main Member Link ID],Table2[Product Option],0)&lt;&gt;"My Value Plus Life"),Lookups!$C$24,
IF(AND(OR(Table2[[#This Row],[Member Type]]="Parent",Table2[[#This Row],[Member Type]]="Extended"),_xlfn.XLOOKUP(B242,Table2[Main Member Link ID],Table2[Product Option],0)&lt;&gt;"My Value Plus Life"),Lookups!$C$26,""))))</f>
        <v/>
      </c>
      <c r="AD242" s="326" t="str">
        <f>IF(Table2[[#This Row],[Member Type]]="Main Member",Lookups!$C$14,"")</f>
        <v/>
      </c>
      <c r="AE24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Funeral",_xlfn.XLOOKUP(B242,Table2[Main Member Link ID],Table2[Benefit Name],0)=Lookups!$D$14),"",
IF(AND(Table2[[#This Row],[Member Type]]="Spouse",Table2[[#This Row],[Product Option]]="My Value Plus Life &amp; Funeral",_xlfn.XLOOKUP(B241,Table2[Main Member Link ID],Table2[Benefit Name],0)=Lookups!$D$15),Lookups!$D$20,
IF(AND(Table2[[#This Row],[Member Type]]="Spouse",Table2[[#This Row],[Product Option]]="My Value Plus Life &amp; Funeral",_xlfn.XLOOKUP(B241,Table2[Main Member Link ID],Table2[Benefit Name],0)=Lookups!$D$16),"",
IF(AND(Table2[[#This Row],[Member Type]]="Spouse",Table2[[#This Row],[Product Option]]="My Value Plus Life &amp; Funeral",_xlfn.XLOOKUP(B241,Table2[Main Member Link ID],Table2[Benefit Name],0)=Lookups!$D$17),Lookups!$D$21,
IF(AND(Table2[[#This Row],[Member Type]]="Child",Table2[[#This Row],[Product Option]]="My Value Plus Life &amp; Funeral",_xlfn.XLOOKUP(B242,Table2[Main Member Link ID],Table2[Benefit Name],0)=Lookups!$D$14),"",
IF(AND(Table2[[#This Row],[Member Type]]="Child",Table2[[#This Row],[Product Option]]="My Value Plus Life &amp; Funeral",_xlfn.XLOOKUP(B242,Table2[Main Member Link ID],Table2[Benefit Name],0)=Lookups!$D$15),"",
IF(AND(Table2[[#This Row],[Member Type]]="Child",Table2[[#This Row],[Product Option]]="My Value Plus Life &amp; Funeral",_xlfn.XLOOKUP(B242,Table2[Main Member Link ID],Table2[Benefit Name],0)=Lookups!$D$16),Lookups!$D$24,
IF(AND(Table2[[#This Row],[Member Type]]="Child",Table2[[#This Row],[Product Option]]="My Value Plus Life &amp; Funeral",_xlfn.XLOOKUP(B242,Table2[Main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Funeral",_xlfn.XLOOKUP(B242,Table2[Main Member Link ID],Table2[Benefit Name],0)&lt;&gt;Lookups!$D$14),
IF(_xlfn.XLOOKUP(B242,Table2[Main Member Link ID],Table2[Benefit Name],0)=0,"",_xlfn.XLOOKUP(B242,Table2[Main Member Link ID],Table2[Benefit Name],0)),"")))))))))))))))</f>
        <v/>
      </c>
      <c r="AF242" s="327" t="str">
        <f>IF(AND(Table2[[#This Row],[Member Type]]="Main Member",Table2[[#This Row],[Product Option]]="My Value Plus Life &amp; Funeral"),Lookups!$D$15,
IF(AND(Table2[[#This Row],[Member Type]]="Spouse",Table2[[#This Row],[Product Option]]="My Value Plus Life &amp; Funeral",_xlfn.XLOOKUP(B242,Table2[Main Member Link ID],Table2[Benefit Name],0)=Lookups!$D$14),"",
IF(AND(Table2[[#This Row],[Member Type]]="Spouse",Table2[[#This Row],[Product Option]]="My Value Plus Life &amp; Funeral",_xlfn.XLOOKUP(B241,Table2[Main Member Link ID],Table2[Benefit Name],0)=Lookups!$D$16),"",
IF(AND(Table2[[#This Row],[Member Type]]="Spouse",Table2[[#This Row],[Product Option]]="My Value Plus Life &amp; Funeral",_xlfn.XLOOKUP(B241,Table2[Main Member Link ID],Table2[Benefit Name],0)=Lookups!$D$15),"",
IF(AND(Table2[[#This Row],[Member Type]]="Spouse",Table2[[#This Row],[Product Option]]="My Value Plus Life &amp; Funeral",_xlfn.XLOOKUP(B241,Table2[Main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Funeral",_xlfn.XLOOKUP(B242,Table2[Main Member Link ID],Table2[Benefit Name],0)&lt;&gt;Lookups!$D$15),
IF(_xlfn.XLOOKUP(B242,Table2[Main Member Link ID],Table2[Benefit Name],0)=0,"",_xlfn.XLOOKUP(B242,Table2[Main Member Link ID],Table2[Benefit Name],0)),"")
))))))</f>
        <v/>
      </c>
      <c r="AG242" s="327" t="str">
        <f>IF(AND(Table2[[#This Row],[Member Type]]="Main Member",Table2[[#This Row],[Product Option]]="My Value Plus Life &amp; Funeral"),Lookups!$D$16,
IF(AND(Table2[[#This Row],[Member Type]]="Spouse",Table2[[#This Row],[Product Option]]="My Value Plus Life &amp; Funeral",_xlfn.XLOOKUP(B242,Table2[Main Member Link ID],Table2[Benefit Name],0)=Lookups!$D$14),"",
IF(AND(Table2[[#This Row],[Member Type]]="Spouse",Table2[[#This Row],[Product Option]]="My Value Plus Life &amp; Funeral",_xlfn.XLOOKUP(B241,Table2[Main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Funeral",_xlfn.XLOOKUP(B242,Table2[Main Member Link ID],Table2[Benefit Name],0)&lt;&gt;Lookups!$D$16),
IF(_xlfn.XLOOKUP(B242,Table2[Main Member Link ID],Table2[Benefit Name],0)=0,"",_xlfn.XLOOKUP(B242,Table2[Main Member Link ID],Table2[Benefit Name],0)),"")
))))</f>
        <v/>
      </c>
      <c r="AH242" s="327" t="str">
        <f>IF(AND(Table2[[#This Row],[Member Type]]="Main Member",Table2[[#This Row],[Product Option]]="My Value Plus Life &amp; Funeral"),Lookups!$D$17,
IF(AND(Table2[[#This Row],[Member Type]]="Spouse",Table2[[#This Row],[Product Option]]="My Value Plus Life &amp; Funeral",_xlfn.XLOOKUP(B242,Table2[Main Member Link ID],Table2[Benefit Name],0)=Lookups!$D$14),"",
IF(AND(Table2[[#This Row],[Member Type]]="Spouse",Table2[[#This Row],[Product Option]]="My Value Plus Life &amp; Funeral",_xlfn.XLOOKUP(B241,Table2[Main Member Link ID],Table2[Benefit Name],0)=Lookups!$D$16),"",
IF(AND(Table2[[#This Row],[Member Type]]="Child",Table2[[#This Row],[Product Option]]="My Value Plus Life &amp; Funeral"),"",
IF(AND(Table2[[#This Row],[Member Type]]="Child",Table2[[#This Row],[Product Option]]="My Value Plus Life &amp; Funeral",_xlfn.XLOOKUP(B242,Table2[Main Member Link ID],Table2[Benefit Name],0)=Lookups!$D$15),"",
IF(AND(OR(Table2[[#This Row],[Member Type]]="Spouse",Table2[[#This Row],[Member Type]]="Child"),Table2[[#This Row],[Product Option]]="My Value Plus Life &amp; Funeral",_xlfn.XLOOKUP(B242,Table2[Main Member Link ID],Table2[Benefit Name],0)&lt;&gt;Lookups!$D$17),
IF(_xlfn.XLOOKUP(B242,Table2[Main Member Link ID],Table2[Benefit Name],0)=0,"",_xlfn.XLOOKUP(B242,Table2[Main Member Link ID],Table2[Benefit Name],0)),""))))))</f>
        <v/>
      </c>
      <c r="AI242" s="328" t="str">
        <f>IF(AND(Table2[[#This Row],[Member Type]]="Main Member",Table2[[#This Row],[Table Lookup for Life Cover]]="MM_LIFE",Table2[[#This Row],[Age Next Birthday]]&lt;56),1,
IF(AND(Table2[[#This Row],[Member Type]]="Main Member",Table2[[#This Row],[Table Lookup for Life Cover]]="MM_LIFE",Table2[[#This Row],[Age Next Birthday]]&gt;=56),2,
""))</f>
        <v/>
      </c>
      <c r="AJ242" s="328">
        <f>IF(OR(Table2[[#This Row],[Member Type]]="Main Member",Table2[[#This Row],[Main Member Link ID]]=B241),1,0)</f>
        <v>1</v>
      </c>
      <c r="AK242" s="328">
        <f>IF(Table2[[#This Row],[Member Type]]=0,0,
IF(OR(Table2[[#This Row],[Member Type]]="Main Member",Table2[[#This Row],[Main Member Link ID]]&lt;&gt;B242),COUNTIFS(B:B,Table2[[#This Row],[Main Member Link ID]]),
COUNTIFS(B:B,Table2[[#This Row],[Main Member Link ID]],A:A,Table2[[#This Row],[Member Type]])))</f>
        <v>0</v>
      </c>
    </row>
    <row r="243" spans="1:37" x14ac:dyDescent="0.3">
      <c r="A243" s="284">
        <f>Table13[[#This Row],[Member Type]]</f>
        <v>0</v>
      </c>
      <c r="B243" s="284">
        <f>Table13[[#This Row],[Main Member Link ID]]</f>
        <v>0</v>
      </c>
      <c r="C243" s="284">
        <f>Table13[[#This Row],[ID Number]]</f>
        <v>0</v>
      </c>
      <c r="D243" s="285">
        <f>Table13[[#This Row],[Date Of Birth]]</f>
        <v>0</v>
      </c>
      <c r="E243" s="285">
        <f>Table13[[#This Row],[Commencement Date]]</f>
        <v>0</v>
      </c>
      <c r="F243" s="284">
        <f t="shared" si="21"/>
        <v>1</v>
      </c>
      <c r="G243" s="284">
        <f t="shared" si="22"/>
        <v>25</v>
      </c>
      <c r="H243" s="286">
        <f>Table13[[#This Row],[Product Option]]</f>
        <v>0</v>
      </c>
      <c r="I243" s="284">
        <f>IF(AND($A243="Main Member",Table2[[#This Row],[Product Option]]="My Value Plus Life"),"MM_LIFE",
IF(AND($A243="Spouse",Table2[[#This Row],[Product Option]]="My Value Plus Life"),"SP_LIFE",
IF(AND($A243="Main Member",Table2[[#This Row],[Product Option]]="My Value Plus Life &amp; Funeral"),"MM_LIFE",
IF(AND($A243="Spouse",Table2[[#This Row],[Product Option]]="My Value Plus Life &amp; Funeral"),_xlfn.XLOOKUP(Table2[[#This Row],[Benefit Name]],Lookups!$D$18:$D$23,Lookups!$E$18:$E$23,0),
0))))</f>
        <v>0</v>
      </c>
      <c r="J243" s="284">
        <f>IF($I243="","",
IF($I243="MM_LIFE",INDEX('Quotation Tool'!$S$54:$V$60,MATCH($T243,'Quotation Tool'!$S$54:$S$60,0),4),
IF($I243="SP_LIFE",_xlfn.XLOOKUP(B242,$B:$B,$J:$J,0),0)))</f>
        <v>0</v>
      </c>
      <c r="K243" s="287">
        <f t="shared" ca="1" si="26"/>
        <v>0</v>
      </c>
      <c r="L243" s="288">
        <f t="shared" ca="1" si="27"/>
        <v>0</v>
      </c>
      <c r="M243" s="289">
        <f t="shared" ca="1" si="23"/>
        <v>0</v>
      </c>
      <c r="N243" s="286">
        <f>Table13[[#This Row],[Benefit Option]]</f>
        <v>0</v>
      </c>
      <c r="O243" s="284">
        <f>IF(OR(Table2[[#This Row],[Member Type]]="Spouse",Table2[[#This Row],[Member Type]]="Child"),0,
IF(_xlfn.XLOOKUP($N243,Lookups!$D$13:$D$27,Lookups!$F$13:$F$27,0)=Table2[[#This Row],[Table Lookup for Life Cover]],0,
_xlfn.XLOOKUP($N243,Lookups!$D$13:$D$27,Lookups!$F$13:$F$27,0)))</f>
        <v>0</v>
      </c>
      <c r="P243" s="284">
        <f>IF(Table2[[#This Row],[Table Lookup for Funeral]]=0,0,IFERROR(INDEX('Quotation Tool'!$S$54:$V$60,MATCH($T243,'Quotation Tool'!$S$54:$S$60,0),3),0))</f>
        <v>0</v>
      </c>
      <c r="Q243" s="288">
        <f ca="1">IF(OR(Table2[[#This Row],[Benefit Name]]="My Value Plus Life - Main Member",Table2[[#This Row],[Benefit Name]]="My Value Plus Life - Spouse"),0,
IFERROR(VLOOKUP($G243,INDIRECT($O243),$P243,FALSE),0))</f>
        <v>0</v>
      </c>
      <c r="R243" s="288">
        <f ca="1">IF(OR(Table2[[#This Row],[Benefit Name]]="My Value Plus Life - Main Member",Table2[[#This Row],[Benefit Name]]="My Value Plus Life - Spouse"),0,
IFERROR(VLOOKUP($G243,INDIRECT($O243),$P243+1,FALSE),0))</f>
        <v>0</v>
      </c>
      <c r="S243" s="289">
        <f t="shared" ca="1" si="24"/>
        <v>0</v>
      </c>
      <c r="T243" s="284" t="str">
        <f>IF(Table13[[#This Row],[Premium Waiver]]="","None",Table13[[#This Row],[Premium Waiver]])</f>
        <v>None</v>
      </c>
      <c r="U243" s="284">
        <f>Table13[[#This Row],[VAPs Options]]</f>
        <v>0</v>
      </c>
      <c r="V243" s="284">
        <f>Table13[[#This Row],[Annual Increase Option]]</f>
        <v>0</v>
      </c>
      <c r="W243" s="290">
        <f>Table13[[#This Row],[Life Cover Amount]]</f>
        <v>0</v>
      </c>
      <c r="X243" s="290">
        <f>Table13[[#This Row],[Funeral Cover Amount]]</f>
        <v>0</v>
      </c>
      <c r="Y24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4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43" s="301">
        <f t="shared" ca="1" si="25"/>
        <v>0</v>
      </c>
      <c r="AB243" s="298"/>
      <c r="AC243" s="326" t="str">
        <f>IF(Table2[[#This Row],[Member Type]]="Main Member",Lookups!$C$13,
IF(Table2[[#This Row],[Member Type]]="Spouse",_xlfn.XLOOKUP(B243,Table2[Main Member Link ID],Table2[Product Option],0),
IF(AND(Table2[[#This Row],[Member Type]]="Child",_xlfn.XLOOKUP(B243,Table2[Main Member Link ID],Table2[Product Option],0)&lt;&gt;"My Value Plus Life"),Lookups!$C$24,
IF(AND(OR(Table2[[#This Row],[Member Type]]="Parent",Table2[[#This Row],[Member Type]]="Extended"),_xlfn.XLOOKUP(B243,Table2[Main Member Link ID],Table2[Product Option],0)&lt;&gt;"My Value Plus Life"),Lookups!$C$26,""))))</f>
        <v/>
      </c>
      <c r="AD243" s="326" t="str">
        <f>IF(Table2[[#This Row],[Member Type]]="Main Member",Lookups!$C$14,"")</f>
        <v/>
      </c>
      <c r="AE24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Funeral",_xlfn.XLOOKUP(B243,Table2[Main Member Link ID],Table2[Benefit Name],0)=Lookups!$D$14),"",
IF(AND(Table2[[#This Row],[Member Type]]="Spouse",Table2[[#This Row],[Product Option]]="My Value Plus Life &amp; Funeral",_xlfn.XLOOKUP(B242,Table2[Main Member Link ID],Table2[Benefit Name],0)=Lookups!$D$15),Lookups!$D$20,
IF(AND(Table2[[#This Row],[Member Type]]="Spouse",Table2[[#This Row],[Product Option]]="My Value Plus Life &amp; Funeral",_xlfn.XLOOKUP(B242,Table2[Main Member Link ID],Table2[Benefit Name],0)=Lookups!$D$16),"",
IF(AND(Table2[[#This Row],[Member Type]]="Spouse",Table2[[#This Row],[Product Option]]="My Value Plus Life &amp; Funeral",_xlfn.XLOOKUP(B242,Table2[Main Member Link ID],Table2[Benefit Name],0)=Lookups!$D$17),Lookups!$D$21,
IF(AND(Table2[[#This Row],[Member Type]]="Child",Table2[[#This Row],[Product Option]]="My Value Plus Life &amp; Funeral",_xlfn.XLOOKUP(B243,Table2[Main Member Link ID],Table2[Benefit Name],0)=Lookups!$D$14),"",
IF(AND(Table2[[#This Row],[Member Type]]="Child",Table2[[#This Row],[Product Option]]="My Value Plus Life &amp; Funeral",_xlfn.XLOOKUP(B243,Table2[Main Member Link ID],Table2[Benefit Name],0)=Lookups!$D$15),"",
IF(AND(Table2[[#This Row],[Member Type]]="Child",Table2[[#This Row],[Product Option]]="My Value Plus Life &amp; Funeral",_xlfn.XLOOKUP(B243,Table2[Main Member Link ID],Table2[Benefit Name],0)=Lookups!$D$16),Lookups!$D$24,
IF(AND(Table2[[#This Row],[Member Type]]="Child",Table2[[#This Row],[Product Option]]="My Value Plus Life &amp; Funeral",_xlfn.XLOOKUP(B243,Table2[Main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Funeral",_xlfn.XLOOKUP(B243,Table2[Main Member Link ID],Table2[Benefit Name],0)&lt;&gt;Lookups!$D$14),
IF(_xlfn.XLOOKUP(B243,Table2[Main Member Link ID],Table2[Benefit Name],0)=0,"",_xlfn.XLOOKUP(B243,Table2[Main Member Link ID],Table2[Benefit Name],0)),"")))))))))))))))</f>
        <v/>
      </c>
      <c r="AF243" s="327" t="str">
        <f>IF(AND(Table2[[#This Row],[Member Type]]="Main Member",Table2[[#This Row],[Product Option]]="My Value Plus Life &amp; Funeral"),Lookups!$D$15,
IF(AND(Table2[[#This Row],[Member Type]]="Spouse",Table2[[#This Row],[Product Option]]="My Value Plus Life &amp; Funeral",_xlfn.XLOOKUP(B243,Table2[Main Member Link ID],Table2[Benefit Name],0)=Lookups!$D$14),"",
IF(AND(Table2[[#This Row],[Member Type]]="Spouse",Table2[[#This Row],[Product Option]]="My Value Plus Life &amp; Funeral",_xlfn.XLOOKUP(B242,Table2[Main Member Link ID],Table2[Benefit Name],0)=Lookups!$D$16),"",
IF(AND(Table2[[#This Row],[Member Type]]="Spouse",Table2[[#This Row],[Product Option]]="My Value Plus Life &amp; Funeral",_xlfn.XLOOKUP(B242,Table2[Main Member Link ID],Table2[Benefit Name],0)=Lookups!$D$15),"",
IF(AND(Table2[[#This Row],[Member Type]]="Spouse",Table2[[#This Row],[Product Option]]="My Value Plus Life &amp; Funeral",_xlfn.XLOOKUP(B242,Table2[Main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Funeral",_xlfn.XLOOKUP(B243,Table2[Main Member Link ID],Table2[Benefit Name],0)&lt;&gt;Lookups!$D$15),
IF(_xlfn.XLOOKUP(B243,Table2[Main Member Link ID],Table2[Benefit Name],0)=0,"",_xlfn.XLOOKUP(B243,Table2[Main Member Link ID],Table2[Benefit Name],0)),"")
))))))</f>
        <v/>
      </c>
      <c r="AG243" s="327" t="str">
        <f>IF(AND(Table2[[#This Row],[Member Type]]="Main Member",Table2[[#This Row],[Product Option]]="My Value Plus Life &amp; Funeral"),Lookups!$D$16,
IF(AND(Table2[[#This Row],[Member Type]]="Spouse",Table2[[#This Row],[Product Option]]="My Value Plus Life &amp; Funeral",_xlfn.XLOOKUP(B243,Table2[Main Member Link ID],Table2[Benefit Name],0)=Lookups!$D$14),"",
IF(AND(Table2[[#This Row],[Member Type]]="Spouse",Table2[[#This Row],[Product Option]]="My Value Plus Life &amp; Funeral",_xlfn.XLOOKUP(B242,Table2[Main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Funeral",_xlfn.XLOOKUP(B243,Table2[Main Member Link ID],Table2[Benefit Name],0)&lt;&gt;Lookups!$D$16),
IF(_xlfn.XLOOKUP(B243,Table2[Main Member Link ID],Table2[Benefit Name],0)=0,"",_xlfn.XLOOKUP(B243,Table2[Main Member Link ID],Table2[Benefit Name],0)),"")
))))</f>
        <v/>
      </c>
      <c r="AH243" s="327" t="str">
        <f>IF(AND(Table2[[#This Row],[Member Type]]="Main Member",Table2[[#This Row],[Product Option]]="My Value Plus Life &amp; Funeral"),Lookups!$D$17,
IF(AND(Table2[[#This Row],[Member Type]]="Spouse",Table2[[#This Row],[Product Option]]="My Value Plus Life &amp; Funeral",_xlfn.XLOOKUP(B243,Table2[Main Member Link ID],Table2[Benefit Name],0)=Lookups!$D$14),"",
IF(AND(Table2[[#This Row],[Member Type]]="Spouse",Table2[[#This Row],[Product Option]]="My Value Plus Life &amp; Funeral",_xlfn.XLOOKUP(B242,Table2[Main Member Link ID],Table2[Benefit Name],0)=Lookups!$D$16),"",
IF(AND(Table2[[#This Row],[Member Type]]="Child",Table2[[#This Row],[Product Option]]="My Value Plus Life &amp; Funeral"),"",
IF(AND(Table2[[#This Row],[Member Type]]="Child",Table2[[#This Row],[Product Option]]="My Value Plus Life &amp; Funeral",_xlfn.XLOOKUP(B243,Table2[Main Member Link ID],Table2[Benefit Name],0)=Lookups!$D$15),"",
IF(AND(OR(Table2[[#This Row],[Member Type]]="Spouse",Table2[[#This Row],[Member Type]]="Child"),Table2[[#This Row],[Product Option]]="My Value Plus Life &amp; Funeral",_xlfn.XLOOKUP(B243,Table2[Main Member Link ID],Table2[Benefit Name],0)&lt;&gt;Lookups!$D$17),
IF(_xlfn.XLOOKUP(B243,Table2[Main Member Link ID],Table2[Benefit Name],0)=0,"",_xlfn.XLOOKUP(B243,Table2[Main Member Link ID],Table2[Benefit Name],0)),""))))))</f>
        <v/>
      </c>
      <c r="AI243" s="328" t="str">
        <f>IF(AND(Table2[[#This Row],[Member Type]]="Main Member",Table2[[#This Row],[Table Lookup for Life Cover]]="MM_LIFE",Table2[[#This Row],[Age Next Birthday]]&lt;56),1,
IF(AND(Table2[[#This Row],[Member Type]]="Main Member",Table2[[#This Row],[Table Lookup for Life Cover]]="MM_LIFE",Table2[[#This Row],[Age Next Birthday]]&gt;=56),2,
""))</f>
        <v/>
      </c>
      <c r="AJ243" s="328">
        <f>IF(OR(Table2[[#This Row],[Member Type]]="Main Member",Table2[[#This Row],[Main Member Link ID]]=B242),1,0)</f>
        <v>1</v>
      </c>
      <c r="AK243" s="328">
        <f>IF(Table2[[#This Row],[Member Type]]=0,0,
IF(OR(Table2[[#This Row],[Member Type]]="Main Member",Table2[[#This Row],[Main Member Link ID]]&lt;&gt;B243),COUNTIFS(B:B,Table2[[#This Row],[Main Member Link ID]]),
COUNTIFS(B:B,Table2[[#This Row],[Main Member Link ID]],A:A,Table2[[#This Row],[Member Type]])))</f>
        <v>0</v>
      </c>
    </row>
    <row r="244" spans="1:37" x14ac:dyDescent="0.3">
      <c r="A244" s="284">
        <f>Table13[[#This Row],[Member Type]]</f>
        <v>0</v>
      </c>
      <c r="B244" s="284">
        <f>Table13[[#This Row],[Main Member Link ID]]</f>
        <v>0</v>
      </c>
      <c r="C244" s="284">
        <f>Table13[[#This Row],[ID Number]]</f>
        <v>0</v>
      </c>
      <c r="D244" s="285">
        <f>Table13[[#This Row],[Date Of Birth]]</f>
        <v>0</v>
      </c>
      <c r="E244" s="285">
        <f>Table13[[#This Row],[Commencement Date]]</f>
        <v>0</v>
      </c>
      <c r="F244" s="284">
        <f t="shared" si="21"/>
        <v>1</v>
      </c>
      <c r="G244" s="284">
        <f t="shared" si="22"/>
        <v>25</v>
      </c>
      <c r="H244" s="286">
        <f>Table13[[#This Row],[Product Option]]</f>
        <v>0</v>
      </c>
      <c r="I244" s="284">
        <f>IF(AND($A244="Main Member",Table2[[#This Row],[Product Option]]="My Value Plus Life"),"MM_LIFE",
IF(AND($A244="Spouse",Table2[[#This Row],[Product Option]]="My Value Plus Life"),"SP_LIFE",
IF(AND($A244="Main Member",Table2[[#This Row],[Product Option]]="My Value Plus Life &amp; Funeral"),"MM_LIFE",
IF(AND($A244="Spouse",Table2[[#This Row],[Product Option]]="My Value Plus Life &amp; Funeral"),_xlfn.XLOOKUP(Table2[[#This Row],[Benefit Name]],Lookups!$D$18:$D$23,Lookups!$E$18:$E$23,0),
0))))</f>
        <v>0</v>
      </c>
      <c r="J244" s="284">
        <f>IF($I244="","",
IF($I244="MM_LIFE",INDEX('Quotation Tool'!$S$54:$V$60,MATCH($T244,'Quotation Tool'!$S$54:$S$60,0),4),
IF($I244="SP_LIFE",_xlfn.XLOOKUP(B243,$B:$B,$J:$J,0),0)))</f>
        <v>0</v>
      </c>
      <c r="K244" s="287">
        <f t="shared" ca="1" si="26"/>
        <v>0</v>
      </c>
      <c r="L244" s="288">
        <f t="shared" ca="1" si="27"/>
        <v>0</v>
      </c>
      <c r="M244" s="289">
        <f t="shared" ca="1" si="23"/>
        <v>0</v>
      </c>
      <c r="N244" s="286">
        <f>Table13[[#This Row],[Benefit Option]]</f>
        <v>0</v>
      </c>
      <c r="O244" s="284">
        <f>IF(OR(Table2[[#This Row],[Member Type]]="Spouse",Table2[[#This Row],[Member Type]]="Child"),0,
IF(_xlfn.XLOOKUP($N244,Lookups!$D$13:$D$27,Lookups!$F$13:$F$27,0)=Table2[[#This Row],[Table Lookup for Life Cover]],0,
_xlfn.XLOOKUP($N244,Lookups!$D$13:$D$27,Lookups!$F$13:$F$27,0)))</f>
        <v>0</v>
      </c>
      <c r="P244" s="284">
        <f>IF(Table2[[#This Row],[Table Lookup for Funeral]]=0,0,IFERROR(INDEX('Quotation Tool'!$S$54:$V$60,MATCH($T244,'Quotation Tool'!$S$54:$S$60,0),3),0))</f>
        <v>0</v>
      </c>
      <c r="Q244" s="288">
        <f ca="1">IF(OR(Table2[[#This Row],[Benefit Name]]="My Value Plus Life - Main Member",Table2[[#This Row],[Benefit Name]]="My Value Plus Life - Spouse"),0,
IFERROR(VLOOKUP($G244,INDIRECT($O244),$P244,FALSE),0))</f>
        <v>0</v>
      </c>
      <c r="R244" s="288">
        <f ca="1">IF(OR(Table2[[#This Row],[Benefit Name]]="My Value Plus Life - Main Member",Table2[[#This Row],[Benefit Name]]="My Value Plus Life - Spouse"),0,
IFERROR(VLOOKUP($G244,INDIRECT($O244),$P244+1,FALSE),0))</f>
        <v>0</v>
      </c>
      <c r="S244" s="289">
        <f t="shared" ca="1" si="24"/>
        <v>0</v>
      </c>
      <c r="T244" s="284" t="str">
        <f>IF(Table13[[#This Row],[Premium Waiver]]="","None",Table13[[#This Row],[Premium Waiver]])</f>
        <v>None</v>
      </c>
      <c r="U244" s="284">
        <f>Table13[[#This Row],[VAPs Options]]</f>
        <v>0</v>
      </c>
      <c r="V244" s="284">
        <f>Table13[[#This Row],[Annual Increase Option]]</f>
        <v>0</v>
      </c>
      <c r="W244" s="290">
        <f>Table13[[#This Row],[Life Cover Amount]]</f>
        <v>0</v>
      </c>
      <c r="X244" s="290">
        <f>Table13[[#This Row],[Funeral Cover Amount]]</f>
        <v>0</v>
      </c>
      <c r="Y24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4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44" s="301">
        <f t="shared" ca="1" si="25"/>
        <v>0</v>
      </c>
      <c r="AB244" s="298"/>
      <c r="AC244" s="326" t="str">
        <f>IF(Table2[[#This Row],[Member Type]]="Main Member",Lookups!$C$13,
IF(Table2[[#This Row],[Member Type]]="Spouse",_xlfn.XLOOKUP(B244,Table2[Main Member Link ID],Table2[Product Option],0),
IF(AND(Table2[[#This Row],[Member Type]]="Child",_xlfn.XLOOKUP(B244,Table2[Main Member Link ID],Table2[Product Option],0)&lt;&gt;"My Value Plus Life"),Lookups!$C$24,
IF(AND(OR(Table2[[#This Row],[Member Type]]="Parent",Table2[[#This Row],[Member Type]]="Extended"),_xlfn.XLOOKUP(B244,Table2[Main Member Link ID],Table2[Product Option],0)&lt;&gt;"My Value Plus Life"),Lookups!$C$26,""))))</f>
        <v/>
      </c>
      <c r="AD244" s="326" t="str">
        <f>IF(Table2[[#This Row],[Member Type]]="Main Member",Lookups!$C$14,"")</f>
        <v/>
      </c>
      <c r="AE24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Funeral",_xlfn.XLOOKUP(B244,Table2[Main Member Link ID],Table2[Benefit Name],0)=Lookups!$D$14),"",
IF(AND(Table2[[#This Row],[Member Type]]="Spouse",Table2[[#This Row],[Product Option]]="My Value Plus Life &amp; Funeral",_xlfn.XLOOKUP(B243,Table2[Main Member Link ID],Table2[Benefit Name],0)=Lookups!$D$15),Lookups!$D$20,
IF(AND(Table2[[#This Row],[Member Type]]="Spouse",Table2[[#This Row],[Product Option]]="My Value Plus Life &amp; Funeral",_xlfn.XLOOKUP(B243,Table2[Main Member Link ID],Table2[Benefit Name],0)=Lookups!$D$16),"",
IF(AND(Table2[[#This Row],[Member Type]]="Spouse",Table2[[#This Row],[Product Option]]="My Value Plus Life &amp; Funeral",_xlfn.XLOOKUP(B243,Table2[Main Member Link ID],Table2[Benefit Name],0)=Lookups!$D$17),Lookups!$D$21,
IF(AND(Table2[[#This Row],[Member Type]]="Child",Table2[[#This Row],[Product Option]]="My Value Plus Life &amp; Funeral",_xlfn.XLOOKUP(B244,Table2[Main Member Link ID],Table2[Benefit Name],0)=Lookups!$D$14),"",
IF(AND(Table2[[#This Row],[Member Type]]="Child",Table2[[#This Row],[Product Option]]="My Value Plus Life &amp; Funeral",_xlfn.XLOOKUP(B244,Table2[Main Member Link ID],Table2[Benefit Name],0)=Lookups!$D$15),"",
IF(AND(Table2[[#This Row],[Member Type]]="Child",Table2[[#This Row],[Product Option]]="My Value Plus Life &amp; Funeral",_xlfn.XLOOKUP(B244,Table2[Main Member Link ID],Table2[Benefit Name],0)=Lookups!$D$16),Lookups!$D$24,
IF(AND(Table2[[#This Row],[Member Type]]="Child",Table2[[#This Row],[Product Option]]="My Value Plus Life &amp; Funeral",_xlfn.XLOOKUP(B244,Table2[Main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Funeral",_xlfn.XLOOKUP(B244,Table2[Main Member Link ID],Table2[Benefit Name],0)&lt;&gt;Lookups!$D$14),
IF(_xlfn.XLOOKUP(B244,Table2[Main Member Link ID],Table2[Benefit Name],0)=0,"",_xlfn.XLOOKUP(B244,Table2[Main Member Link ID],Table2[Benefit Name],0)),"")))))))))))))))</f>
        <v/>
      </c>
      <c r="AF244" s="327" t="str">
        <f>IF(AND(Table2[[#This Row],[Member Type]]="Main Member",Table2[[#This Row],[Product Option]]="My Value Plus Life &amp; Funeral"),Lookups!$D$15,
IF(AND(Table2[[#This Row],[Member Type]]="Spouse",Table2[[#This Row],[Product Option]]="My Value Plus Life &amp; Funeral",_xlfn.XLOOKUP(B244,Table2[Main Member Link ID],Table2[Benefit Name],0)=Lookups!$D$14),"",
IF(AND(Table2[[#This Row],[Member Type]]="Spouse",Table2[[#This Row],[Product Option]]="My Value Plus Life &amp; Funeral",_xlfn.XLOOKUP(B243,Table2[Main Member Link ID],Table2[Benefit Name],0)=Lookups!$D$16),"",
IF(AND(Table2[[#This Row],[Member Type]]="Spouse",Table2[[#This Row],[Product Option]]="My Value Plus Life &amp; Funeral",_xlfn.XLOOKUP(B243,Table2[Main Member Link ID],Table2[Benefit Name],0)=Lookups!$D$15),"",
IF(AND(Table2[[#This Row],[Member Type]]="Spouse",Table2[[#This Row],[Product Option]]="My Value Plus Life &amp; Funeral",_xlfn.XLOOKUP(B243,Table2[Main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Funeral",_xlfn.XLOOKUP(B244,Table2[Main Member Link ID],Table2[Benefit Name],0)&lt;&gt;Lookups!$D$15),
IF(_xlfn.XLOOKUP(B244,Table2[Main Member Link ID],Table2[Benefit Name],0)=0,"",_xlfn.XLOOKUP(B244,Table2[Main Member Link ID],Table2[Benefit Name],0)),"")
))))))</f>
        <v/>
      </c>
      <c r="AG244" s="327" t="str">
        <f>IF(AND(Table2[[#This Row],[Member Type]]="Main Member",Table2[[#This Row],[Product Option]]="My Value Plus Life &amp; Funeral"),Lookups!$D$16,
IF(AND(Table2[[#This Row],[Member Type]]="Spouse",Table2[[#This Row],[Product Option]]="My Value Plus Life &amp; Funeral",_xlfn.XLOOKUP(B244,Table2[Main Member Link ID],Table2[Benefit Name],0)=Lookups!$D$14),"",
IF(AND(Table2[[#This Row],[Member Type]]="Spouse",Table2[[#This Row],[Product Option]]="My Value Plus Life &amp; Funeral",_xlfn.XLOOKUP(B243,Table2[Main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Funeral",_xlfn.XLOOKUP(B244,Table2[Main Member Link ID],Table2[Benefit Name],0)&lt;&gt;Lookups!$D$16),
IF(_xlfn.XLOOKUP(B244,Table2[Main Member Link ID],Table2[Benefit Name],0)=0,"",_xlfn.XLOOKUP(B244,Table2[Main Member Link ID],Table2[Benefit Name],0)),"")
))))</f>
        <v/>
      </c>
      <c r="AH244" s="327" t="str">
        <f>IF(AND(Table2[[#This Row],[Member Type]]="Main Member",Table2[[#This Row],[Product Option]]="My Value Plus Life &amp; Funeral"),Lookups!$D$17,
IF(AND(Table2[[#This Row],[Member Type]]="Spouse",Table2[[#This Row],[Product Option]]="My Value Plus Life &amp; Funeral",_xlfn.XLOOKUP(B244,Table2[Main Member Link ID],Table2[Benefit Name],0)=Lookups!$D$14),"",
IF(AND(Table2[[#This Row],[Member Type]]="Spouse",Table2[[#This Row],[Product Option]]="My Value Plus Life &amp; Funeral",_xlfn.XLOOKUP(B243,Table2[Main Member Link ID],Table2[Benefit Name],0)=Lookups!$D$16),"",
IF(AND(Table2[[#This Row],[Member Type]]="Child",Table2[[#This Row],[Product Option]]="My Value Plus Life &amp; Funeral"),"",
IF(AND(Table2[[#This Row],[Member Type]]="Child",Table2[[#This Row],[Product Option]]="My Value Plus Life &amp; Funeral",_xlfn.XLOOKUP(B244,Table2[Main Member Link ID],Table2[Benefit Name],0)=Lookups!$D$15),"",
IF(AND(OR(Table2[[#This Row],[Member Type]]="Spouse",Table2[[#This Row],[Member Type]]="Child"),Table2[[#This Row],[Product Option]]="My Value Plus Life &amp; Funeral",_xlfn.XLOOKUP(B244,Table2[Main Member Link ID],Table2[Benefit Name],0)&lt;&gt;Lookups!$D$17),
IF(_xlfn.XLOOKUP(B244,Table2[Main Member Link ID],Table2[Benefit Name],0)=0,"",_xlfn.XLOOKUP(B244,Table2[Main Member Link ID],Table2[Benefit Name],0)),""))))))</f>
        <v/>
      </c>
      <c r="AI244" s="328" t="str">
        <f>IF(AND(Table2[[#This Row],[Member Type]]="Main Member",Table2[[#This Row],[Table Lookup for Life Cover]]="MM_LIFE",Table2[[#This Row],[Age Next Birthday]]&lt;56),1,
IF(AND(Table2[[#This Row],[Member Type]]="Main Member",Table2[[#This Row],[Table Lookup for Life Cover]]="MM_LIFE",Table2[[#This Row],[Age Next Birthday]]&gt;=56),2,
""))</f>
        <v/>
      </c>
      <c r="AJ244" s="328">
        <f>IF(OR(Table2[[#This Row],[Member Type]]="Main Member",Table2[[#This Row],[Main Member Link ID]]=B243),1,0)</f>
        <v>1</v>
      </c>
      <c r="AK244" s="328">
        <f>IF(Table2[[#This Row],[Member Type]]=0,0,
IF(OR(Table2[[#This Row],[Member Type]]="Main Member",Table2[[#This Row],[Main Member Link ID]]&lt;&gt;B244),COUNTIFS(B:B,Table2[[#This Row],[Main Member Link ID]]),
COUNTIFS(B:B,Table2[[#This Row],[Main Member Link ID]],A:A,Table2[[#This Row],[Member Type]])))</f>
        <v>0</v>
      </c>
    </row>
    <row r="245" spans="1:37" x14ac:dyDescent="0.3">
      <c r="A245" s="284">
        <f>Table13[[#This Row],[Member Type]]</f>
        <v>0</v>
      </c>
      <c r="B245" s="284">
        <f>Table13[[#This Row],[Main Member Link ID]]</f>
        <v>0</v>
      </c>
      <c r="C245" s="284">
        <f>Table13[[#This Row],[ID Number]]</f>
        <v>0</v>
      </c>
      <c r="D245" s="285">
        <f>Table13[[#This Row],[Date Of Birth]]</f>
        <v>0</v>
      </c>
      <c r="E245" s="285">
        <f>Table13[[#This Row],[Commencement Date]]</f>
        <v>0</v>
      </c>
      <c r="F245" s="284">
        <f t="shared" si="21"/>
        <v>1</v>
      </c>
      <c r="G245" s="284">
        <f t="shared" si="22"/>
        <v>25</v>
      </c>
      <c r="H245" s="286">
        <f>Table13[[#This Row],[Product Option]]</f>
        <v>0</v>
      </c>
      <c r="I245" s="284">
        <f>IF(AND($A245="Main Member",Table2[[#This Row],[Product Option]]="My Value Plus Life"),"MM_LIFE",
IF(AND($A245="Spouse",Table2[[#This Row],[Product Option]]="My Value Plus Life"),"SP_LIFE",
IF(AND($A245="Main Member",Table2[[#This Row],[Product Option]]="My Value Plus Life &amp; Funeral"),"MM_LIFE",
IF(AND($A245="Spouse",Table2[[#This Row],[Product Option]]="My Value Plus Life &amp; Funeral"),_xlfn.XLOOKUP(Table2[[#This Row],[Benefit Name]],Lookups!$D$18:$D$23,Lookups!$E$18:$E$23,0),
0))))</f>
        <v>0</v>
      </c>
      <c r="J245" s="284">
        <f>IF($I245="","",
IF($I245="MM_LIFE",INDEX('Quotation Tool'!$S$54:$V$60,MATCH($T245,'Quotation Tool'!$S$54:$S$60,0),4),
IF($I245="SP_LIFE",_xlfn.XLOOKUP(B244,$B:$B,$J:$J,0),0)))</f>
        <v>0</v>
      </c>
      <c r="K245" s="287">
        <f t="shared" ca="1" si="26"/>
        <v>0</v>
      </c>
      <c r="L245" s="288">
        <f t="shared" ca="1" si="27"/>
        <v>0</v>
      </c>
      <c r="M245" s="289">
        <f t="shared" ca="1" si="23"/>
        <v>0</v>
      </c>
      <c r="N245" s="286">
        <f>Table13[[#This Row],[Benefit Option]]</f>
        <v>0</v>
      </c>
      <c r="O245" s="284">
        <f>IF(OR(Table2[[#This Row],[Member Type]]="Spouse",Table2[[#This Row],[Member Type]]="Child"),0,
IF(_xlfn.XLOOKUP($N245,Lookups!$D$13:$D$27,Lookups!$F$13:$F$27,0)=Table2[[#This Row],[Table Lookup for Life Cover]],0,
_xlfn.XLOOKUP($N245,Lookups!$D$13:$D$27,Lookups!$F$13:$F$27,0)))</f>
        <v>0</v>
      </c>
      <c r="P245" s="284">
        <f>IF(Table2[[#This Row],[Table Lookup for Funeral]]=0,0,IFERROR(INDEX('Quotation Tool'!$S$54:$V$60,MATCH($T245,'Quotation Tool'!$S$54:$S$60,0),3),0))</f>
        <v>0</v>
      </c>
      <c r="Q245" s="288">
        <f ca="1">IF(OR(Table2[[#This Row],[Benefit Name]]="My Value Plus Life - Main Member",Table2[[#This Row],[Benefit Name]]="My Value Plus Life - Spouse"),0,
IFERROR(VLOOKUP($G245,INDIRECT($O245),$P245,FALSE),0))</f>
        <v>0</v>
      </c>
      <c r="R245" s="288">
        <f ca="1">IF(OR(Table2[[#This Row],[Benefit Name]]="My Value Plus Life - Main Member",Table2[[#This Row],[Benefit Name]]="My Value Plus Life - Spouse"),0,
IFERROR(VLOOKUP($G245,INDIRECT($O245),$P245+1,FALSE),0))</f>
        <v>0</v>
      </c>
      <c r="S245" s="289">
        <f t="shared" ca="1" si="24"/>
        <v>0</v>
      </c>
      <c r="T245" s="284" t="str">
        <f>IF(Table13[[#This Row],[Premium Waiver]]="","None",Table13[[#This Row],[Premium Waiver]])</f>
        <v>None</v>
      </c>
      <c r="U245" s="284">
        <f>Table13[[#This Row],[VAPs Options]]</f>
        <v>0</v>
      </c>
      <c r="V245" s="284">
        <f>Table13[[#This Row],[Annual Increase Option]]</f>
        <v>0</v>
      </c>
      <c r="W245" s="290">
        <f>Table13[[#This Row],[Life Cover Amount]]</f>
        <v>0</v>
      </c>
      <c r="X245" s="290">
        <f>Table13[[#This Row],[Funeral Cover Amount]]</f>
        <v>0</v>
      </c>
      <c r="Y24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4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45" s="301">
        <f t="shared" ca="1" si="25"/>
        <v>0</v>
      </c>
      <c r="AB245" s="298"/>
      <c r="AC245" s="326" t="str">
        <f>IF(Table2[[#This Row],[Member Type]]="Main Member",Lookups!$C$13,
IF(Table2[[#This Row],[Member Type]]="Spouse",_xlfn.XLOOKUP(B245,Table2[Main Member Link ID],Table2[Product Option],0),
IF(AND(Table2[[#This Row],[Member Type]]="Child",_xlfn.XLOOKUP(B245,Table2[Main Member Link ID],Table2[Product Option],0)&lt;&gt;"My Value Plus Life"),Lookups!$C$24,
IF(AND(OR(Table2[[#This Row],[Member Type]]="Parent",Table2[[#This Row],[Member Type]]="Extended"),_xlfn.XLOOKUP(B245,Table2[Main Member Link ID],Table2[Product Option],0)&lt;&gt;"My Value Plus Life"),Lookups!$C$26,""))))</f>
        <v/>
      </c>
      <c r="AD245" s="326" t="str">
        <f>IF(Table2[[#This Row],[Member Type]]="Main Member",Lookups!$C$14,"")</f>
        <v/>
      </c>
      <c r="AE24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Funeral",_xlfn.XLOOKUP(B245,Table2[Main Member Link ID],Table2[Benefit Name],0)=Lookups!$D$14),"",
IF(AND(Table2[[#This Row],[Member Type]]="Spouse",Table2[[#This Row],[Product Option]]="My Value Plus Life &amp; Funeral",_xlfn.XLOOKUP(B244,Table2[Main Member Link ID],Table2[Benefit Name],0)=Lookups!$D$15),Lookups!$D$20,
IF(AND(Table2[[#This Row],[Member Type]]="Spouse",Table2[[#This Row],[Product Option]]="My Value Plus Life &amp; Funeral",_xlfn.XLOOKUP(B244,Table2[Main Member Link ID],Table2[Benefit Name],0)=Lookups!$D$16),"",
IF(AND(Table2[[#This Row],[Member Type]]="Spouse",Table2[[#This Row],[Product Option]]="My Value Plus Life &amp; Funeral",_xlfn.XLOOKUP(B244,Table2[Main Member Link ID],Table2[Benefit Name],0)=Lookups!$D$17),Lookups!$D$21,
IF(AND(Table2[[#This Row],[Member Type]]="Child",Table2[[#This Row],[Product Option]]="My Value Plus Life &amp; Funeral",_xlfn.XLOOKUP(B245,Table2[Main Member Link ID],Table2[Benefit Name],0)=Lookups!$D$14),"",
IF(AND(Table2[[#This Row],[Member Type]]="Child",Table2[[#This Row],[Product Option]]="My Value Plus Life &amp; Funeral",_xlfn.XLOOKUP(B245,Table2[Main Member Link ID],Table2[Benefit Name],0)=Lookups!$D$15),"",
IF(AND(Table2[[#This Row],[Member Type]]="Child",Table2[[#This Row],[Product Option]]="My Value Plus Life &amp; Funeral",_xlfn.XLOOKUP(B245,Table2[Main Member Link ID],Table2[Benefit Name],0)=Lookups!$D$16),Lookups!$D$24,
IF(AND(Table2[[#This Row],[Member Type]]="Child",Table2[[#This Row],[Product Option]]="My Value Plus Life &amp; Funeral",_xlfn.XLOOKUP(B245,Table2[Main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Funeral",_xlfn.XLOOKUP(B245,Table2[Main Member Link ID],Table2[Benefit Name],0)&lt;&gt;Lookups!$D$14),
IF(_xlfn.XLOOKUP(B245,Table2[Main Member Link ID],Table2[Benefit Name],0)=0,"",_xlfn.XLOOKUP(B245,Table2[Main Member Link ID],Table2[Benefit Name],0)),"")))))))))))))))</f>
        <v/>
      </c>
      <c r="AF245" s="327" t="str">
        <f>IF(AND(Table2[[#This Row],[Member Type]]="Main Member",Table2[[#This Row],[Product Option]]="My Value Plus Life &amp; Funeral"),Lookups!$D$15,
IF(AND(Table2[[#This Row],[Member Type]]="Spouse",Table2[[#This Row],[Product Option]]="My Value Plus Life &amp; Funeral",_xlfn.XLOOKUP(B245,Table2[Main Member Link ID],Table2[Benefit Name],0)=Lookups!$D$14),"",
IF(AND(Table2[[#This Row],[Member Type]]="Spouse",Table2[[#This Row],[Product Option]]="My Value Plus Life &amp; Funeral",_xlfn.XLOOKUP(B244,Table2[Main Member Link ID],Table2[Benefit Name],0)=Lookups!$D$16),"",
IF(AND(Table2[[#This Row],[Member Type]]="Spouse",Table2[[#This Row],[Product Option]]="My Value Plus Life &amp; Funeral",_xlfn.XLOOKUP(B244,Table2[Main Member Link ID],Table2[Benefit Name],0)=Lookups!$D$15),"",
IF(AND(Table2[[#This Row],[Member Type]]="Spouse",Table2[[#This Row],[Product Option]]="My Value Plus Life &amp; Funeral",_xlfn.XLOOKUP(B244,Table2[Main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Funeral",_xlfn.XLOOKUP(B245,Table2[Main Member Link ID],Table2[Benefit Name],0)&lt;&gt;Lookups!$D$15),
IF(_xlfn.XLOOKUP(B245,Table2[Main Member Link ID],Table2[Benefit Name],0)=0,"",_xlfn.XLOOKUP(B245,Table2[Main Member Link ID],Table2[Benefit Name],0)),"")
))))))</f>
        <v/>
      </c>
      <c r="AG245" s="327" t="str">
        <f>IF(AND(Table2[[#This Row],[Member Type]]="Main Member",Table2[[#This Row],[Product Option]]="My Value Plus Life &amp; Funeral"),Lookups!$D$16,
IF(AND(Table2[[#This Row],[Member Type]]="Spouse",Table2[[#This Row],[Product Option]]="My Value Plus Life &amp; Funeral",_xlfn.XLOOKUP(B245,Table2[Main Member Link ID],Table2[Benefit Name],0)=Lookups!$D$14),"",
IF(AND(Table2[[#This Row],[Member Type]]="Spouse",Table2[[#This Row],[Product Option]]="My Value Plus Life &amp; Funeral",_xlfn.XLOOKUP(B244,Table2[Main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Funeral",_xlfn.XLOOKUP(B245,Table2[Main Member Link ID],Table2[Benefit Name],0)&lt;&gt;Lookups!$D$16),
IF(_xlfn.XLOOKUP(B245,Table2[Main Member Link ID],Table2[Benefit Name],0)=0,"",_xlfn.XLOOKUP(B245,Table2[Main Member Link ID],Table2[Benefit Name],0)),"")
))))</f>
        <v/>
      </c>
      <c r="AH245" s="327" t="str">
        <f>IF(AND(Table2[[#This Row],[Member Type]]="Main Member",Table2[[#This Row],[Product Option]]="My Value Plus Life &amp; Funeral"),Lookups!$D$17,
IF(AND(Table2[[#This Row],[Member Type]]="Spouse",Table2[[#This Row],[Product Option]]="My Value Plus Life &amp; Funeral",_xlfn.XLOOKUP(B245,Table2[Main Member Link ID],Table2[Benefit Name],0)=Lookups!$D$14),"",
IF(AND(Table2[[#This Row],[Member Type]]="Spouse",Table2[[#This Row],[Product Option]]="My Value Plus Life &amp; Funeral",_xlfn.XLOOKUP(B244,Table2[Main Member Link ID],Table2[Benefit Name],0)=Lookups!$D$16),"",
IF(AND(Table2[[#This Row],[Member Type]]="Child",Table2[[#This Row],[Product Option]]="My Value Plus Life &amp; Funeral"),"",
IF(AND(Table2[[#This Row],[Member Type]]="Child",Table2[[#This Row],[Product Option]]="My Value Plus Life &amp; Funeral",_xlfn.XLOOKUP(B245,Table2[Main Member Link ID],Table2[Benefit Name],0)=Lookups!$D$15),"",
IF(AND(OR(Table2[[#This Row],[Member Type]]="Spouse",Table2[[#This Row],[Member Type]]="Child"),Table2[[#This Row],[Product Option]]="My Value Plus Life &amp; Funeral",_xlfn.XLOOKUP(B245,Table2[Main Member Link ID],Table2[Benefit Name],0)&lt;&gt;Lookups!$D$17),
IF(_xlfn.XLOOKUP(B245,Table2[Main Member Link ID],Table2[Benefit Name],0)=0,"",_xlfn.XLOOKUP(B245,Table2[Main Member Link ID],Table2[Benefit Name],0)),""))))))</f>
        <v/>
      </c>
      <c r="AI245" s="328" t="str">
        <f>IF(AND(Table2[[#This Row],[Member Type]]="Main Member",Table2[[#This Row],[Table Lookup for Life Cover]]="MM_LIFE",Table2[[#This Row],[Age Next Birthday]]&lt;56),1,
IF(AND(Table2[[#This Row],[Member Type]]="Main Member",Table2[[#This Row],[Table Lookup for Life Cover]]="MM_LIFE",Table2[[#This Row],[Age Next Birthday]]&gt;=56),2,
""))</f>
        <v/>
      </c>
      <c r="AJ245" s="328">
        <f>IF(OR(Table2[[#This Row],[Member Type]]="Main Member",Table2[[#This Row],[Main Member Link ID]]=B244),1,0)</f>
        <v>1</v>
      </c>
      <c r="AK245" s="328">
        <f>IF(Table2[[#This Row],[Member Type]]=0,0,
IF(OR(Table2[[#This Row],[Member Type]]="Main Member",Table2[[#This Row],[Main Member Link ID]]&lt;&gt;B245),COUNTIFS(B:B,Table2[[#This Row],[Main Member Link ID]]),
COUNTIFS(B:B,Table2[[#This Row],[Main Member Link ID]],A:A,Table2[[#This Row],[Member Type]])))</f>
        <v>0</v>
      </c>
    </row>
    <row r="246" spans="1:37" x14ac:dyDescent="0.3">
      <c r="A246" s="284">
        <f>Table13[[#This Row],[Member Type]]</f>
        <v>0</v>
      </c>
      <c r="B246" s="284">
        <f>Table13[[#This Row],[Main Member Link ID]]</f>
        <v>0</v>
      </c>
      <c r="C246" s="284">
        <f>Table13[[#This Row],[ID Number]]</f>
        <v>0</v>
      </c>
      <c r="D246" s="285">
        <f>Table13[[#This Row],[Date Of Birth]]</f>
        <v>0</v>
      </c>
      <c r="E246" s="285">
        <f>Table13[[#This Row],[Commencement Date]]</f>
        <v>0</v>
      </c>
      <c r="F246" s="284">
        <f t="shared" si="21"/>
        <v>1</v>
      </c>
      <c r="G246" s="284">
        <f t="shared" si="22"/>
        <v>25</v>
      </c>
      <c r="H246" s="286">
        <f>Table13[[#This Row],[Product Option]]</f>
        <v>0</v>
      </c>
      <c r="I246" s="284">
        <f>IF(AND($A246="Main Member",Table2[[#This Row],[Product Option]]="My Value Plus Life"),"MM_LIFE",
IF(AND($A246="Spouse",Table2[[#This Row],[Product Option]]="My Value Plus Life"),"SP_LIFE",
IF(AND($A246="Main Member",Table2[[#This Row],[Product Option]]="My Value Plus Life &amp; Funeral"),"MM_LIFE",
IF(AND($A246="Spouse",Table2[[#This Row],[Product Option]]="My Value Plus Life &amp; Funeral"),_xlfn.XLOOKUP(Table2[[#This Row],[Benefit Name]],Lookups!$D$18:$D$23,Lookups!$E$18:$E$23,0),
0))))</f>
        <v>0</v>
      </c>
      <c r="J246" s="284">
        <f>IF($I246="","",
IF($I246="MM_LIFE",INDEX('Quotation Tool'!$S$54:$V$60,MATCH($T246,'Quotation Tool'!$S$54:$S$60,0),4),
IF($I246="SP_LIFE",_xlfn.XLOOKUP(B245,$B:$B,$J:$J,0),0)))</f>
        <v>0</v>
      </c>
      <c r="K246" s="287">
        <f t="shared" ca="1" si="26"/>
        <v>0</v>
      </c>
      <c r="L246" s="288">
        <f t="shared" ca="1" si="27"/>
        <v>0</v>
      </c>
      <c r="M246" s="289">
        <f t="shared" ca="1" si="23"/>
        <v>0</v>
      </c>
      <c r="N246" s="286">
        <f>Table13[[#This Row],[Benefit Option]]</f>
        <v>0</v>
      </c>
      <c r="O246" s="284">
        <f>IF(OR(Table2[[#This Row],[Member Type]]="Spouse",Table2[[#This Row],[Member Type]]="Child"),0,
IF(_xlfn.XLOOKUP($N246,Lookups!$D$13:$D$27,Lookups!$F$13:$F$27,0)=Table2[[#This Row],[Table Lookup for Life Cover]],0,
_xlfn.XLOOKUP($N246,Lookups!$D$13:$D$27,Lookups!$F$13:$F$27,0)))</f>
        <v>0</v>
      </c>
      <c r="P246" s="284">
        <f>IF(Table2[[#This Row],[Table Lookup for Funeral]]=0,0,IFERROR(INDEX('Quotation Tool'!$S$54:$V$60,MATCH($T246,'Quotation Tool'!$S$54:$S$60,0),3),0))</f>
        <v>0</v>
      </c>
      <c r="Q246" s="288">
        <f ca="1">IF(OR(Table2[[#This Row],[Benefit Name]]="My Value Plus Life - Main Member",Table2[[#This Row],[Benefit Name]]="My Value Plus Life - Spouse"),0,
IFERROR(VLOOKUP($G246,INDIRECT($O246),$P246,FALSE),0))</f>
        <v>0</v>
      </c>
      <c r="R246" s="288">
        <f ca="1">IF(OR(Table2[[#This Row],[Benefit Name]]="My Value Plus Life - Main Member",Table2[[#This Row],[Benefit Name]]="My Value Plus Life - Spouse"),0,
IFERROR(VLOOKUP($G246,INDIRECT($O246),$P246+1,FALSE),0))</f>
        <v>0</v>
      </c>
      <c r="S246" s="289">
        <f t="shared" ca="1" si="24"/>
        <v>0</v>
      </c>
      <c r="T246" s="284" t="str">
        <f>IF(Table13[[#This Row],[Premium Waiver]]="","None",Table13[[#This Row],[Premium Waiver]])</f>
        <v>None</v>
      </c>
      <c r="U246" s="284">
        <f>Table13[[#This Row],[VAPs Options]]</f>
        <v>0</v>
      </c>
      <c r="V246" s="284">
        <f>Table13[[#This Row],[Annual Increase Option]]</f>
        <v>0</v>
      </c>
      <c r="W246" s="290">
        <f>Table13[[#This Row],[Life Cover Amount]]</f>
        <v>0</v>
      </c>
      <c r="X246" s="290">
        <f>Table13[[#This Row],[Funeral Cover Amount]]</f>
        <v>0</v>
      </c>
      <c r="Y24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4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46" s="301">
        <f t="shared" ca="1" si="25"/>
        <v>0</v>
      </c>
      <c r="AB246" s="298"/>
      <c r="AC246" s="326" t="str">
        <f>IF(Table2[[#This Row],[Member Type]]="Main Member",Lookups!$C$13,
IF(Table2[[#This Row],[Member Type]]="Spouse",_xlfn.XLOOKUP(B246,Table2[Main Member Link ID],Table2[Product Option],0),
IF(AND(Table2[[#This Row],[Member Type]]="Child",_xlfn.XLOOKUP(B246,Table2[Main Member Link ID],Table2[Product Option],0)&lt;&gt;"My Value Plus Life"),Lookups!$C$24,
IF(AND(OR(Table2[[#This Row],[Member Type]]="Parent",Table2[[#This Row],[Member Type]]="Extended"),_xlfn.XLOOKUP(B246,Table2[Main Member Link ID],Table2[Product Option],0)&lt;&gt;"My Value Plus Life"),Lookups!$C$26,""))))</f>
        <v/>
      </c>
      <c r="AD246" s="326" t="str">
        <f>IF(Table2[[#This Row],[Member Type]]="Main Member",Lookups!$C$14,"")</f>
        <v/>
      </c>
      <c r="AE24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Funeral",_xlfn.XLOOKUP(B246,Table2[Main Member Link ID],Table2[Benefit Name],0)=Lookups!$D$14),"",
IF(AND(Table2[[#This Row],[Member Type]]="Spouse",Table2[[#This Row],[Product Option]]="My Value Plus Life &amp; Funeral",_xlfn.XLOOKUP(B245,Table2[Main Member Link ID],Table2[Benefit Name],0)=Lookups!$D$15),Lookups!$D$20,
IF(AND(Table2[[#This Row],[Member Type]]="Spouse",Table2[[#This Row],[Product Option]]="My Value Plus Life &amp; Funeral",_xlfn.XLOOKUP(B245,Table2[Main Member Link ID],Table2[Benefit Name],0)=Lookups!$D$16),"",
IF(AND(Table2[[#This Row],[Member Type]]="Spouse",Table2[[#This Row],[Product Option]]="My Value Plus Life &amp; Funeral",_xlfn.XLOOKUP(B245,Table2[Main Member Link ID],Table2[Benefit Name],0)=Lookups!$D$17),Lookups!$D$21,
IF(AND(Table2[[#This Row],[Member Type]]="Child",Table2[[#This Row],[Product Option]]="My Value Plus Life &amp; Funeral",_xlfn.XLOOKUP(B246,Table2[Main Member Link ID],Table2[Benefit Name],0)=Lookups!$D$14),"",
IF(AND(Table2[[#This Row],[Member Type]]="Child",Table2[[#This Row],[Product Option]]="My Value Plus Life &amp; Funeral",_xlfn.XLOOKUP(B246,Table2[Main Member Link ID],Table2[Benefit Name],0)=Lookups!$D$15),"",
IF(AND(Table2[[#This Row],[Member Type]]="Child",Table2[[#This Row],[Product Option]]="My Value Plus Life &amp; Funeral",_xlfn.XLOOKUP(B246,Table2[Main Member Link ID],Table2[Benefit Name],0)=Lookups!$D$16),Lookups!$D$24,
IF(AND(Table2[[#This Row],[Member Type]]="Child",Table2[[#This Row],[Product Option]]="My Value Plus Life &amp; Funeral",_xlfn.XLOOKUP(B246,Table2[Main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Funeral",_xlfn.XLOOKUP(B246,Table2[Main Member Link ID],Table2[Benefit Name],0)&lt;&gt;Lookups!$D$14),
IF(_xlfn.XLOOKUP(B246,Table2[Main Member Link ID],Table2[Benefit Name],0)=0,"",_xlfn.XLOOKUP(B246,Table2[Main Member Link ID],Table2[Benefit Name],0)),"")))))))))))))))</f>
        <v/>
      </c>
      <c r="AF246" s="327" t="str">
        <f>IF(AND(Table2[[#This Row],[Member Type]]="Main Member",Table2[[#This Row],[Product Option]]="My Value Plus Life &amp; Funeral"),Lookups!$D$15,
IF(AND(Table2[[#This Row],[Member Type]]="Spouse",Table2[[#This Row],[Product Option]]="My Value Plus Life &amp; Funeral",_xlfn.XLOOKUP(B246,Table2[Main Member Link ID],Table2[Benefit Name],0)=Lookups!$D$14),"",
IF(AND(Table2[[#This Row],[Member Type]]="Spouse",Table2[[#This Row],[Product Option]]="My Value Plus Life &amp; Funeral",_xlfn.XLOOKUP(B245,Table2[Main Member Link ID],Table2[Benefit Name],0)=Lookups!$D$16),"",
IF(AND(Table2[[#This Row],[Member Type]]="Spouse",Table2[[#This Row],[Product Option]]="My Value Plus Life &amp; Funeral",_xlfn.XLOOKUP(B245,Table2[Main Member Link ID],Table2[Benefit Name],0)=Lookups!$D$15),"",
IF(AND(Table2[[#This Row],[Member Type]]="Spouse",Table2[[#This Row],[Product Option]]="My Value Plus Life &amp; Funeral",_xlfn.XLOOKUP(B245,Table2[Main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Funeral",_xlfn.XLOOKUP(B246,Table2[Main Member Link ID],Table2[Benefit Name],0)&lt;&gt;Lookups!$D$15),
IF(_xlfn.XLOOKUP(B246,Table2[Main Member Link ID],Table2[Benefit Name],0)=0,"",_xlfn.XLOOKUP(B246,Table2[Main Member Link ID],Table2[Benefit Name],0)),"")
))))))</f>
        <v/>
      </c>
      <c r="AG246" s="327" t="str">
        <f>IF(AND(Table2[[#This Row],[Member Type]]="Main Member",Table2[[#This Row],[Product Option]]="My Value Plus Life &amp; Funeral"),Lookups!$D$16,
IF(AND(Table2[[#This Row],[Member Type]]="Spouse",Table2[[#This Row],[Product Option]]="My Value Plus Life &amp; Funeral",_xlfn.XLOOKUP(B246,Table2[Main Member Link ID],Table2[Benefit Name],0)=Lookups!$D$14),"",
IF(AND(Table2[[#This Row],[Member Type]]="Spouse",Table2[[#This Row],[Product Option]]="My Value Plus Life &amp; Funeral",_xlfn.XLOOKUP(B245,Table2[Main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Funeral",_xlfn.XLOOKUP(B246,Table2[Main Member Link ID],Table2[Benefit Name],0)&lt;&gt;Lookups!$D$16),
IF(_xlfn.XLOOKUP(B246,Table2[Main Member Link ID],Table2[Benefit Name],0)=0,"",_xlfn.XLOOKUP(B246,Table2[Main Member Link ID],Table2[Benefit Name],0)),"")
))))</f>
        <v/>
      </c>
      <c r="AH246" s="327" t="str">
        <f>IF(AND(Table2[[#This Row],[Member Type]]="Main Member",Table2[[#This Row],[Product Option]]="My Value Plus Life &amp; Funeral"),Lookups!$D$17,
IF(AND(Table2[[#This Row],[Member Type]]="Spouse",Table2[[#This Row],[Product Option]]="My Value Plus Life &amp; Funeral",_xlfn.XLOOKUP(B246,Table2[Main Member Link ID],Table2[Benefit Name],0)=Lookups!$D$14),"",
IF(AND(Table2[[#This Row],[Member Type]]="Spouse",Table2[[#This Row],[Product Option]]="My Value Plus Life &amp; Funeral",_xlfn.XLOOKUP(B245,Table2[Main Member Link ID],Table2[Benefit Name],0)=Lookups!$D$16),"",
IF(AND(Table2[[#This Row],[Member Type]]="Child",Table2[[#This Row],[Product Option]]="My Value Plus Life &amp; Funeral"),"",
IF(AND(Table2[[#This Row],[Member Type]]="Child",Table2[[#This Row],[Product Option]]="My Value Plus Life &amp; Funeral",_xlfn.XLOOKUP(B246,Table2[Main Member Link ID],Table2[Benefit Name],0)=Lookups!$D$15),"",
IF(AND(OR(Table2[[#This Row],[Member Type]]="Spouse",Table2[[#This Row],[Member Type]]="Child"),Table2[[#This Row],[Product Option]]="My Value Plus Life &amp; Funeral",_xlfn.XLOOKUP(B246,Table2[Main Member Link ID],Table2[Benefit Name],0)&lt;&gt;Lookups!$D$17),
IF(_xlfn.XLOOKUP(B246,Table2[Main Member Link ID],Table2[Benefit Name],0)=0,"",_xlfn.XLOOKUP(B246,Table2[Main Member Link ID],Table2[Benefit Name],0)),""))))))</f>
        <v/>
      </c>
      <c r="AI246" s="328" t="str">
        <f>IF(AND(Table2[[#This Row],[Member Type]]="Main Member",Table2[[#This Row],[Table Lookup for Life Cover]]="MM_LIFE",Table2[[#This Row],[Age Next Birthday]]&lt;56),1,
IF(AND(Table2[[#This Row],[Member Type]]="Main Member",Table2[[#This Row],[Table Lookup for Life Cover]]="MM_LIFE",Table2[[#This Row],[Age Next Birthday]]&gt;=56),2,
""))</f>
        <v/>
      </c>
      <c r="AJ246" s="328">
        <f>IF(OR(Table2[[#This Row],[Member Type]]="Main Member",Table2[[#This Row],[Main Member Link ID]]=B245),1,0)</f>
        <v>1</v>
      </c>
      <c r="AK246" s="328">
        <f>IF(Table2[[#This Row],[Member Type]]=0,0,
IF(OR(Table2[[#This Row],[Member Type]]="Main Member",Table2[[#This Row],[Main Member Link ID]]&lt;&gt;B246),COUNTIFS(B:B,Table2[[#This Row],[Main Member Link ID]]),
COUNTIFS(B:B,Table2[[#This Row],[Main Member Link ID]],A:A,Table2[[#This Row],[Member Type]])))</f>
        <v>0</v>
      </c>
    </row>
    <row r="247" spans="1:37" x14ac:dyDescent="0.3">
      <c r="A247" s="284">
        <f>Table13[[#This Row],[Member Type]]</f>
        <v>0</v>
      </c>
      <c r="B247" s="284">
        <f>Table13[[#This Row],[Main Member Link ID]]</f>
        <v>0</v>
      </c>
      <c r="C247" s="284">
        <f>Table13[[#This Row],[ID Number]]</f>
        <v>0</v>
      </c>
      <c r="D247" s="285">
        <f>Table13[[#This Row],[Date Of Birth]]</f>
        <v>0</v>
      </c>
      <c r="E247" s="285">
        <f>Table13[[#This Row],[Commencement Date]]</f>
        <v>0</v>
      </c>
      <c r="F247" s="284">
        <f t="shared" si="21"/>
        <v>1</v>
      </c>
      <c r="G247" s="284">
        <f t="shared" si="22"/>
        <v>25</v>
      </c>
      <c r="H247" s="286">
        <f>Table13[[#This Row],[Product Option]]</f>
        <v>0</v>
      </c>
      <c r="I247" s="284">
        <f>IF(AND($A247="Main Member",Table2[[#This Row],[Product Option]]="My Value Plus Life"),"MM_LIFE",
IF(AND($A247="Spouse",Table2[[#This Row],[Product Option]]="My Value Plus Life"),"SP_LIFE",
IF(AND($A247="Main Member",Table2[[#This Row],[Product Option]]="My Value Plus Life &amp; Funeral"),"MM_LIFE",
IF(AND($A247="Spouse",Table2[[#This Row],[Product Option]]="My Value Plus Life &amp; Funeral"),_xlfn.XLOOKUP(Table2[[#This Row],[Benefit Name]],Lookups!$D$18:$D$23,Lookups!$E$18:$E$23,0),
0))))</f>
        <v>0</v>
      </c>
      <c r="J247" s="284">
        <f>IF($I247="","",
IF($I247="MM_LIFE",INDEX('Quotation Tool'!$S$54:$V$60,MATCH($T247,'Quotation Tool'!$S$54:$S$60,0),4),
IF($I247="SP_LIFE",_xlfn.XLOOKUP(B246,$B:$B,$J:$J,0),0)))</f>
        <v>0</v>
      </c>
      <c r="K247" s="287">
        <f t="shared" ca="1" si="26"/>
        <v>0</v>
      </c>
      <c r="L247" s="288">
        <f t="shared" ca="1" si="27"/>
        <v>0</v>
      </c>
      <c r="M247" s="289">
        <f t="shared" ca="1" si="23"/>
        <v>0</v>
      </c>
      <c r="N247" s="286">
        <f>Table13[[#This Row],[Benefit Option]]</f>
        <v>0</v>
      </c>
      <c r="O247" s="284">
        <f>IF(OR(Table2[[#This Row],[Member Type]]="Spouse",Table2[[#This Row],[Member Type]]="Child"),0,
IF(_xlfn.XLOOKUP($N247,Lookups!$D$13:$D$27,Lookups!$F$13:$F$27,0)=Table2[[#This Row],[Table Lookup for Life Cover]],0,
_xlfn.XLOOKUP($N247,Lookups!$D$13:$D$27,Lookups!$F$13:$F$27,0)))</f>
        <v>0</v>
      </c>
      <c r="P247" s="284">
        <f>IF(Table2[[#This Row],[Table Lookup for Funeral]]=0,0,IFERROR(INDEX('Quotation Tool'!$S$54:$V$60,MATCH($T247,'Quotation Tool'!$S$54:$S$60,0),3),0))</f>
        <v>0</v>
      </c>
      <c r="Q247" s="288">
        <f ca="1">IF(OR(Table2[[#This Row],[Benefit Name]]="My Value Plus Life - Main Member",Table2[[#This Row],[Benefit Name]]="My Value Plus Life - Spouse"),0,
IFERROR(VLOOKUP($G247,INDIRECT($O247),$P247,FALSE),0))</f>
        <v>0</v>
      </c>
      <c r="R247" s="288">
        <f ca="1">IF(OR(Table2[[#This Row],[Benefit Name]]="My Value Plus Life - Main Member",Table2[[#This Row],[Benefit Name]]="My Value Plus Life - Spouse"),0,
IFERROR(VLOOKUP($G247,INDIRECT($O247),$P247+1,FALSE),0))</f>
        <v>0</v>
      </c>
      <c r="S247" s="289">
        <f t="shared" ca="1" si="24"/>
        <v>0</v>
      </c>
      <c r="T247" s="284" t="str">
        <f>IF(Table13[[#This Row],[Premium Waiver]]="","None",Table13[[#This Row],[Premium Waiver]])</f>
        <v>None</v>
      </c>
      <c r="U247" s="284">
        <f>Table13[[#This Row],[VAPs Options]]</f>
        <v>0</v>
      </c>
      <c r="V247" s="284">
        <f>Table13[[#This Row],[Annual Increase Option]]</f>
        <v>0</v>
      </c>
      <c r="W247" s="290">
        <f>Table13[[#This Row],[Life Cover Amount]]</f>
        <v>0</v>
      </c>
      <c r="X247" s="290">
        <f>Table13[[#This Row],[Funeral Cover Amount]]</f>
        <v>0</v>
      </c>
      <c r="Y24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4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47" s="301">
        <f t="shared" ca="1" si="25"/>
        <v>0</v>
      </c>
      <c r="AB247" s="298"/>
      <c r="AC247" s="326" t="str">
        <f>IF(Table2[[#This Row],[Member Type]]="Main Member",Lookups!$C$13,
IF(Table2[[#This Row],[Member Type]]="Spouse",_xlfn.XLOOKUP(B247,Table2[Main Member Link ID],Table2[Product Option],0),
IF(AND(Table2[[#This Row],[Member Type]]="Child",_xlfn.XLOOKUP(B247,Table2[Main Member Link ID],Table2[Product Option],0)&lt;&gt;"My Value Plus Life"),Lookups!$C$24,
IF(AND(OR(Table2[[#This Row],[Member Type]]="Parent",Table2[[#This Row],[Member Type]]="Extended"),_xlfn.XLOOKUP(B247,Table2[Main Member Link ID],Table2[Product Option],0)&lt;&gt;"My Value Plus Life"),Lookups!$C$26,""))))</f>
        <v/>
      </c>
      <c r="AD247" s="326" t="str">
        <f>IF(Table2[[#This Row],[Member Type]]="Main Member",Lookups!$C$14,"")</f>
        <v/>
      </c>
      <c r="AE24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Funeral",_xlfn.XLOOKUP(B247,Table2[Main Member Link ID],Table2[Benefit Name],0)=Lookups!$D$14),"",
IF(AND(Table2[[#This Row],[Member Type]]="Spouse",Table2[[#This Row],[Product Option]]="My Value Plus Life &amp; Funeral",_xlfn.XLOOKUP(B246,Table2[Main Member Link ID],Table2[Benefit Name],0)=Lookups!$D$15),Lookups!$D$20,
IF(AND(Table2[[#This Row],[Member Type]]="Spouse",Table2[[#This Row],[Product Option]]="My Value Plus Life &amp; Funeral",_xlfn.XLOOKUP(B246,Table2[Main Member Link ID],Table2[Benefit Name],0)=Lookups!$D$16),"",
IF(AND(Table2[[#This Row],[Member Type]]="Spouse",Table2[[#This Row],[Product Option]]="My Value Plus Life &amp; Funeral",_xlfn.XLOOKUP(B246,Table2[Main Member Link ID],Table2[Benefit Name],0)=Lookups!$D$17),Lookups!$D$21,
IF(AND(Table2[[#This Row],[Member Type]]="Child",Table2[[#This Row],[Product Option]]="My Value Plus Life &amp; Funeral",_xlfn.XLOOKUP(B247,Table2[Main Member Link ID],Table2[Benefit Name],0)=Lookups!$D$14),"",
IF(AND(Table2[[#This Row],[Member Type]]="Child",Table2[[#This Row],[Product Option]]="My Value Plus Life &amp; Funeral",_xlfn.XLOOKUP(B247,Table2[Main Member Link ID],Table2[Benefit Name],0)=Lookups!$D$15),"",
IF(AND(Table2[[#This Row],[Member Type]]="Child",Table2[[#This Row],[Product Option]]="My Value Plus Life &amp; Funeral",_xlfn.XLOOKUP(B247,Table2[Main Member Link ID],Table2[Benefit Name],0)=Lookups!$D$16),Lookups!$D$24,
IF(AND(Table2[[#This Row],[Member Type]]="Child",Table2[[#This Row],[Product Option]]="My Value Plus Life &amp; Funeral",_xlfn.XLOOKUP(B247,Table2[Main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Funeral",_xlfn.XLOOKUP(B247,Table2[Main Member Link ID],Table2[Benefit Name],0)&lt;&gt;Lookups!$D$14),
IF(_xlfn.XLOOKUP(B247,Table2[Main Member Link ID],Table2[Benefit Name],0)=0,"",_xlfn.XLOOKUP(B247,Table2[Main Member Link ID],Table2[Benefit Name],0)),"")))))))))))))))</f>
        <v/>
      </c>
      <c r="AF247" s="327" t="str">
        <f>IF(AND(Table2[[#This Row],[Member Type]]="Main Member",Table2[[#This Row],[Product Option]]="My Value Plus Life &amp; Funeral"),Lookups!$D$15,
IF(AND(Table2[[#This Row],[Member Type]]="Spouse",Table2[[#This Row],[Product Option]]="My Value Plus Life &amp; Funeral",_xlfn.XLOOKUP(B247,Table2[Main Member Link ID],Table2[Benefit Name],0)=Lookups!$D$14),"",
IF(AND(Table2[[#This Row],[Member Type]]="Spouse",Table2[[#This Row],[Product Option]]="My Value Plus Life &amp; Funeral",_xlfn.XLOOKUP(B246,Table2[Main Member Link ID],Table2[Benefit Name],0)=Lookups!$D$16),"",
IF(AND(Table2[[#This Row],[Member Type]]="Spouse",Table2[[#This Row],[Product Option]]="My Value Plus Life &amp; Funeral",_xlfn.XLOOKUP(B246,Table2[Main Member Link ID],Table2[Benefit Name],0)=Lookups!$D$15),"",
IF(AND(Table2[[#This Row],[Member Type]]="Spouse",Table2[[#This Row],[Product Option]]="My Value Plus Life &amp; Funeral",_xlfn.XLOOKUP(B246,Table2[Main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Funeral",_xlfn.XLOOKUP(B247,Table2[Main Member Link ID],Table2[Benefit Name],0)&lt;&gt;Lookups!$D$15),
IF(_xlfn.XLOOKUP(B247,Table2[Main Member Link ID],Table2[Benefit Name],0)=0,"",_xlfn.XLOOKUP(B247,Table2[Main Member Link ID],Table2[Benefit Name],0)),"")
))))))</f>
        <v/>
      </c>
      <c r="AG247" s="327" t="str">
        <f>IF(AND(Table2[[#This Row],[Member Type]]="Main Member",Table2[[#This Row],[Product Option]]="My Value Plus Life &amp; Funeral"),Lookups!$D$16,
IF(AND(Table2[[#This Row],[Member Type]]="Spouse",Table2[[#This Row],[Product Option]]="My Value Plus Life &amp; Funeral",_xlfn.XLOOKUP(B247,Table2[Main Member Link ID],Table2[Benefit Name],0)=Lookups!$D$14),"",
IF(AND(Table2[[#This Row],[Member Type]]="Spouse",Table2[[#This Row],[Product Option]]="My Value Plus Life &amp; Funeral",_xlfn.XLOOKUP(B246,Table2[Main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Funeral",_xlfn.XLOOKUP(B247,Table2[Main Member Link ID],Table2[Benefit Name],0)&lt;&gt;Lookups!$D$16),
IF(_xlfn.XLOOKUP(B247,Table2[Main Member Link ID],Table2[Benefit Name],0)=0,"",_xlfn.XLOOKUP(B247,Table2[Main Member Link ID],Table2[Benefit Name],0)),"")
))))</f>
        <v/>
      </c>
      <c r="AH247" s="327" t="str">
        <f>IF(AND(Table2[[#This Row],[Member Type]]="Main Member",Table2[[#This Row],[Product Option]]="My Value Plus Life &amp; Funeral"),Lookups!$D$17,
IF(AND(Table2[[#This Row],[Member Type]]="Spouse",Table2[[#This Row],[Product Option]]="My Value Plus Life &amp; Funeral",_xlfn.XLOOKUP(B247,Table2[Main Member Link ID],Table2[Benefit Name],0)=Lookups!$D$14),"",
IF(AND(Table2[[#This Row],[Member Type]]="Spouse",Table2[[#This Row],[Product Option]]="My Value Plus Life &amp; Funeral",_xlfn.XLOOKUP(B246,Table2[Main Member Link ID],Table2[Benefit Name],0)=Lookups!$D$16),"",
IF(AND(Table2[[#This Row],[Member Type]]="Child",Table2[[#This Row],[Product Option]]="My Value Plus Life &amp; Funeral"),"",
IF(AND(Table2[[#This Row],[Member Type]]="Child",Table2[[#This Row],[Product Option]]="My Value Plus Life &amp; Funeral",_xlfn.XLOOKUP(B247,Table2[Main Member Link ID],Table2[Benefit Name],0)=Lookups!$D$15),"",
IF(AND(OR(Table2[[#This Row],[Member Type]]="Spouse",Table2[[#This Row],[Member Type]]="Child"),Table2[[#This Row],[Product Option]]="My Value Plus Life &amp; Funeral",_xlfn.XLOOKUP(B247,Table2[Main Member Link ID],Table2[Benefit Name],0)&lt;&gt;Lookups!$D$17),
IF(_xlfn.XLOOKUP(B247,Table2[Main Member Link ID],Table2[Benefit Name],0)=0,"",_xlfn.XLOOKUP(B247,Table2[Main Member Link ID],Table2[Benefit Name],0)),""))))))</f>
        <v/>
      </c>
      <c r="AI247" s="328" t="str">
        <f>IF(AND(Table2[[#This Row],[Member Type]]="Main Member",Table2[[#This Row],[Table Lookup for Life Cover]]="MM_LIFE",Table2[[#This Row],[Age Next Birthday]]&lt;56),1,
IF(AND(Table2[[#This Row],[Member Type]]="Main Member",Table2[[#This Row],[Table Lookup for Life Cover]]="MM_LIFE",Table2[[#This Row],[Age Next Birthday]]&gt;=56),2,
""))</f>
        <v/>
      </c>
      <c r="AJ247" s="328">
        <f>IF(OR(Table2[[#This Row],[Member Type]]="Main Member",Table2[[#This Row],[Main Member Link ID]]=B246),1,0)</f>
        <v>1</v>
      </c>
      <c r="AK247" s="328">
        <f>IF(Table2[[#This Row],[Member Type]]=0,0,
IF(OR(Table2[[#This Row],[Member Type]]="Main Member",Table2[[#This Row],[Main Member Link ID]]&lt;&gt;B247),COUNTIFS(B:B,Table2[[#This Row],[Main Member Link ID]]),
COUNTIFS(B:B,Table2[[#This Row],[Main Member Link ID]],A:A,Table2[[#This Row],[Member Type]])))</f>
        <v>0</v>
      </c>
    </row>
    <row r="248" spans="1:37" x14ac:dyDescent="0.3">
      <c r="A248" s="284">
        <f>Table13[[#This Row],[Member Type]]</f>
        <v>0</v>
      </c>
      <c r="B248" s="284">
        <f>Table13[[#This Row],[Main Member Link ID]]</f>
        <v>0</v>
      </c>
      <c r="C248" s="284">
        <f>Table13[[#This Row],[ID Number]]</f>
        <v>0</v>
      </c>
      <c r="D248" s="285">
        <f>Table13[[#This Row],[Date Of Birth]]</f>
        <v>0</v>
      </c>
      <c r="E248" s="285">
        <f>Table13[[#This Row],[Commencement Date]]</f>
        <v>0</v>
      </c>
      <c r="F248" s="284">
        <f t="shared" si="21"/>
        <v>1</v>
      </c>
      <c r="G248" s="284">
        <f t="shared" si="22"/>
        <v>25</v>
      </c>
      <c r="H248" s="286">
        <f>Table13[[#This Row],[Product Option]]</f>
        <v>0</v>
      </c>
      <c r="I248" s="284">
        <f>IF(AND($A248="Main Member",Table2[[#This Row],[Product Option]]="My Value Plus Life"),"MM_LIFE",
IF(AND($A248="Spouse",Table2[[#This Row],[Product Option]]="My Value Plus Life"),"SP_LIFE",
IF(AND($A248="Main Member",Table2[[#This Row],[Product Option]]="My Value Plus Life &amp; Funeral"),"MM_LIFE",
IF(AND($A248="Spouse",Table2[[#This Row],[Product Option]]="My Value Plus Life &amp; Funeral"),_xlfn.XLOOKUP(Table2[[#This Row],[Benefit Name]],Lookups!$D$18:$D$23,Lookups!$E$18:$E$23,0),
0))))</f>
        <v>0</v>
      </c>
      <c r="J248" s="284">
        <f>IF($I248="","",
IF($I248="MM_LIFE",INDEX('Quotation Tool'!$S$54:$V$60,MATCH($T248,'Quotation Tool'!$S$54:$S$60,0),4),
IF($I248="SP_LIFE",_xlfn.XLOOKUP(B247,$B:$B,$J:$J,0),0)))</f>
        <v>0</v>
      </c>
      <c r="K248" s="287">
        <f t="shared" ca="1" si="26"/>
        <v>0</v>
      </c>
      <c r="L248" s="288">
        <f t="shared" ca="1" si="27"/>
        <v>0</v>
      </c>
      <c r="M248" s="289">
        <f t="shared" ca="1" si="23"/>
        <v>0</v>
      </c>
      <c r="N248" s="286">
        <f>Table13[[#This Row],[Benefit Option]]</f>
        <v>0</v>
      </c>
      <c r="O248" s="284">
        <f>IF(OR(Table2[[#This Row],[Member Type]]="Spouse",Table2[[#This Row],[Member Type]]="Child"),0,
IF(_xlfn.XLOOKUP($N248,Lookups!$D$13:$D$27,Lookups!$F$13:$F$27,0)=Table2[[#This Row],[Table Lookup for Life Cover]],0,
_xlfn.XLOOKUP($N248,Lookups!$D$13:$D$27,Lookups!$F$13:$F$27,0)))</f>
        <v>0</v>
      </c>
      <c r="P248" s="284">
        <f>IF(Table2[[#This Row],[Table Lookup for Funeral]]=0,0,IFERROR(INDEX('Quotation Tool'!$S$54:$V$60,MATCH($T248,'Quotation Tool'!$S$54:$S$60,0),3),0))</f>
        <v>0</v>
      </c>
      <c r="Q248" s="288">
        <f ca="1">IF(OR(Table2[[#This Row],[Benefit Name]]="My Value Plus Life - Main Member",Table2[[#This Row],[Benefit Name]]="My Value Plus Life - Spouse"),0,
IFERROR(VLOOKUP($G248,INDIRECT($O248),$P248,FALSE),0))</f>
        <v>0</v>
      </c>
      <c r="R248" s="288">
        <f ca="1">IF(OR(Table2[[#This Row],[Benefit Name]]="My Value Plus Life - Main Member",Table2[[#This Row],[Benefit Name]]="My Value Plus Life - Spouse"),0,
IFERROR(VLOOKUP($G248,INDIRECT($O248),$P248+1,FALSE),0))</f>
        <v>0</v>
      </c>
      <c r="S248" s="289">
        <f t="shared" ca="1" si="24"/>
        <v>0</v>
      </c>
      <c r="T248" s="284" t="str">
        <f>IF(Table13[[#This Row],[Premium Waiver]]="","None",Table13[[#This Row],[Premium Waiver]])</f>
        <v>None</v>
      </c>
      <c r="U248" s="284">
        <f>Table13[[#This Row],[VAPs Options]]</f>
        <v>0</v>
      </c>
      <c r="V248" s="284">
        <f>Table13[[#This Row],[Annual Increase Option]]</f>
        <v>0</v>
      </c>
      <c r="W248" s="290">
        <f>Table13[[#This Row],[Life Cover Amount]]</f>
        <v>0</v>
      </c>
      <c r="X248" s="290">
        <f>Table13[[#This Row],[Funeral Cover Amount]]</f>
        <v>0</v>
      </c>
      <c r="Y24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4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48" s="301">
        <f t="shared" ca="1" si="25"/>
        <v>0</v>
      </c>
      <c r="AB248" s="298"/>
      <c r="AC248" s="326" t="str">
        <f>IF(Table2[[#This Row],[Member Type]]="Main Member",Lookups!$C$13,
IF(Table2[[#This Row],[Member Type]]="Spouse",_xlfn.XLOOKUP(B248,Table2[Main Member Link ID],Table2[Product Option],0),
IF(AND(Table2[[#This Row],[Member Type]]="Child",_xlfn.XLOOKUP(B248,Table2[Main Member Link ID],Table2[Product Option],0)&lt;&gt;"My Value Plus Life"),Lookups!$C$24,
IF(AND(OR(Table2[[#This Row],[Member Type]]="Parent",Table2[[#This Row],[Member Type]]="Extended"),_xlfn.XLOOKUP(B248,Table2[Main Member Link ID],Table2[Product Option],0)&lt;&gt;"My Value Plus Life"),Lookups!$C$26,""))))</f>
        <v/>
      </c>
      <c r="AD248" s="326" t="str">
        <f>IF(Table2[[#This Row],[Member Type]]="Main Member",Lookups!$C$14,"")</f>
        <v/>
      </c>
      <c r="AE24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Funeral",_xlfn.XLOOKUP(B248,Table2[Main Member Link ID],Table2[Benefit Name],0)=Lookups!$D$14),"",
IF(AND(Table2[[#This Row],[Member Type]]="Spouse",Table2[[#This Row],[Product Option]]="My Value Plus Life &amp; Funeral",_xlfn.XLOOKUP(B247,Table2[Main Member Link ID],Table2[Benefit Name],0)=Lookups!$D$15),Lookups!$D$20,
IF(AND(Table2[[#This Row],[Member Type]]="Spouse",Table2[[#This Row],[Product Option]]="My Value Plus Life &amp; Funeral",_xlfn.XLOOKUP(B247,Table2[Main Member Link ID],Table2[Benefit Name],0)=Lookups!$D$16),"",
IF(AND(Table2[[#This Row],[Member Type]]="Spouse",Table2[[#This Row],[Product Option]]="My Value Plus Life &amp; Funeral",_xlfn.XLOOKUP(B247,Table2[Main Member Link ID],Table2[Benefit Name],0)=Lookups!$D$17),Lookups!$D$21,
IF(AND(Table2[[#This Row],[Member Type]]="Child",Table2[[#This Row],[Product Option]]="My Value Plus Life &amp; Funeral",_xlfn.XLOOKUP(B248,Table2[Main Member Link ID],Table2[Benefit Name],0)=Lookups!$D$14),"",
IF(AND(Table2[[#This Row],[Member Type]]="Child",Table2[[#This Row],[Product Option]]="My Value Plus Life &amp; Funeral",_xlfn.XLOOKUP(B248,Table2[Main Member Link ID],Table2[Benefit Name],0)=Lookups!$D$15),"",
IF(AND(Table2[[#This Row],[Member Type]]="Child",Table2[[#This Row],[Product Option]]="My Value Plus Life &amp; Funeral",_xlfn.XLOOKUP(B248,Table2[Main Member Link ID],Table2[Benefit Name],0)=Lookups!$D$16),Lookups!$D$24,
IF(AND(Table2[[#This Row],[Member Type]]="Child",Table2[[#This Row],[Product Option]]="My Value Plus Life &amp; Funeral",_xlfn.XLOOKUP(B248,Table2[Main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Funeral",_xlfn.XLOOKUP(B248,Table2[Main Member Link ID],Table2[Benefit Name],0)&lt;&gt;Lookups!$D$14),
IF(_xlfn.XLOOKUP(B248,Table2[Main Member Link ID],Table2[Benefit Name],0)=0,"",_xlfn.XLOOKUP(B248,Table2[Main Member Link ID],Table2[Benefit Name],0)),"")))))))))))))))</f>
        <v/>
      </c>
      <c r="AF248" s="327" t="str">
        <f>IF(AND(Table2[[#This Row],[Member Type]]="Main Member",Table2[[#This Row],[Product Option]]="My Value Plus Life &amp; Funeral"),Lookups!$D$15,
IF(AND(Table2[[#This Row],[Member Type]]="Spouse",Table2[[#This Row],[Product Option]]="My Value Plus Life &amp; Funeral",_xlfn.XLOOKUP(B248,Table2[Main Member Link ID],Table2[Benefit Name],0)=Lookups!$D$14),"",
IF(AND(Table2[[#This Row],[Member Type]]="Spouse",Table2[[#This Row],[Product Option]]="My Value Plus Life &amp; Funeral",_xlfn.XLOOKUP(B247,Table2[Main Member Link ID],Table2[Benefit Name],0)=Lookups!$D$16),"",
IF(AND(Table2[[#This Row],[Member Type]]="Spouse",Table2[[#This Row],[Product Option]]="My Value Plus Life &amp; Funeral",_xlfn.XLOOKUP(B247,Table2[Main Member Link ID],Table2[Benefit Name],0)=Lookups!$D$15),"",
IF(AND(Table2[[#This Row],[Member Type]]="Spouse",Table2[[#This Row],[Product Option]]="My Value Plus Life &amp; Funeral",_xlfn.XLOOKUP(B247,Table2[Main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Funeral",_xlfn.XLOOKUP(B248,Table2[Main Member Link ID],Table2[Benefit Name],0)&lt;&gt;Lookups!$D$15),
IF(_xlfn.XLOOKUP(B248,Table2[Main Member Link ID],Table2[Benefit Name],0)=0,"",_xlfn.XLOOKUP(B248,Table2[Main Member Link ID],Table2[Benefit Name],0)),"")
))))))</f>
        <v/>
      </c>
      <c r="AG248" s="327" t="str">
        <f>IF(AND(Table2[[#This Row],[Member Type]]="Main Member",Table2[[#This Row],[Product Option]]="My Value Plus Life &amp; Funeral"),Lookups!$D$16,
IF(AND(Table2[[#This Row],[Member Type]]="Spouse",Table2[[#This Row],[Product Option]]="My Value Plus Life &amp; Funeral",_xlfn.XLOOKUP(B248,Table2[Main Member Link ID],Table2[Benefit Name],0)=Lookups!$D$14),"",
IF(AND(Table2[[#This Row],[Member Type]]="Spouse",Table2[[#This Row],[Product Option]]="My Value Plus Life &amp; Funeral",_xlfn.XLOOKUP(B247,Table2[Main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Funeral",_xlfn.XLOOKUP(B248,Table2[Main Member Link ID],Table2[Benefit Name],0)&lt;&gt;Lookups!$D$16),
IF(_xlfn.XLOOKUP(B248,Table2[Main Member Link ID],Table2[Benefit Name],0)=0,"",_xlfn.XLOOKUP(B248,Table2[Main Member Link ID],Table2[Benefit Name],0)),"")
))))</f>
        <v/>
      </c>
      <c r="AH248" s="327" t="str">
        <f>IF(AND(Table2[[#This Row],[Member Type]]="Main Member",Table2[[#This Row],[Product Option]]="My Value Plus Life &amp; Funeral"),Lookups!$D$17,
IF(AND(Table2[[#This Row],[Member Type]]="Spouse",Table2[[#This Row],[Product Option]]="My Value Plus Life &amp; Funeral",_xlfn.XLOOKUP(B248,Table2[Main Member Link ID],Table2[Benefit Name],0)=Lookups!$D$14),"",
IF(AND(Table2[[#This Row],[Member Type]]="Spouse",Table2[[#This Row],[Product Option]]="My Value Plus Life &amp; Funeral",_xlfn.XLOOKUP(B247,Table2[Main Member Link ID],Table2[Benefit Name],0)=Lookups!$D$16),"",
IF(AND(Table2[[#This Row],[Member Type]]="Child",Table2[[#This Row],[Product Option]]="My Value Plus Life &amp; Funeral"),"",
IF(AND(Table2[[#This Row],[Member Type]]="Child",Table2[[#This Row],[Product Option]]="My Value Plus Life &amp; Funeral",_xlfn.XLOOKUP(B248,Table2[Main Member Link ID],Table2[Benefit Name],0)=Lookups!$D$15),"",
IF(AND(OR(Table2[[#This Row],[Member Type]]="Spouse",Table2[[#This Row],[Member Type]]="Child"),Table2[[#This Row],[Product Option]]="My Value Plus Life &amp; Funeral",_xlfn.XLOOKUP(B248,Table2[Main Member Link ID],Table2[Benefit Name],0)&lt;&gt;Lookups!$D$17),
IF(_xlfn.XLOOKUP(B248,Table2[Main Member Link ID],Table2[Benefit Name],0)=0,"",_xlfn.XLOOKUP(B248,Table2[Main Member Link ID],Table2[Benefit Name],0)),""))))))</f>
        <v/>
      </c>
      <c r="AI248" s="328" t="str">
        <f>IF(AND(Table2[[#This Row],[Member Type]]="Main Member",Table2[[#This Row],[Table Lookup for Life Cover]]="MM_LIFE",Table2[[#This Row],[Age Next Birthday]]&lt;56),1,
IF(AND(Table2[[#This Row],[Member Type]]="Main Member",Table2[[#This Row],[Table Lookup for Life Cover]]="MM_LIFE",Table2[[#This Row],[Age Next Birthday]]&gt;=56),2,
""))</f>
        <v/>
      </c>
      <c r="AJ248" s="328">
        <f>IF(OR(Table2[[#This Row],[Member Type]]="Main Member",Table2[[#This Row],[Main Member Link ID]]=B247),1,0)</f>
        <v>1</v>
      </c>
      <c r="AK248" s="328">
        <f>IF(Table2[[#This Row],[Member Type]]=0,0,
IF(OR(Table2[[#This Row],[Member Type]]="Main Member",Table2[[#This Row],[Main Member Link ID]]&lt;&gt;B248),COUNTIFS(B:B,Table2[[#This Row],[Main Member Link ID]]),
COUNTIFS(B:B,Table2[[#This Row],[Main Member Link ID]],A:A,Table2[[#This Row],[Member Type]])))</f>
        <v>0</v>
      </c>
    </row>
    <row r="249" spans="1:37" x14ac:dyDescent="0.3">
      <c r="A249" s="284">
        <f>Table13[[#This Row],[Member Type]]</f>
        <v>0</v>
      </c>
      <c r="B249" s="284">
        <f>Table13[[#This Row],[Main Member Link ID]]</f>
        <v>0</v>
      </c>
      <c r="C249" s="284">
        <f>Table13[[#This Row],[ID Number]]</f>
        <v>0</v>
      </c>
      <c r="D249" s="285">
        <f>Table13[[#This Row],[Date Of Birth]]</f>
        <v>0</v>
      </c>
      <c r="E249" s="285">
        <f>Table13[[#This Row],[Commencement Date]]</f>
        <v>0</v>
      </c>
      <c r="F249" s="284">
        <f t="shared" si="21"/>
        <v>1</v>
      </c>
      <c r="G249" s="284">
        <f t="shared" si="22"/>
        <v>25</v>
      </c>
      <c r="H249" s="286">
        <f>Table13[[#This Row],[Product Option]]</f>
        <v>0</v>
      </c>
      <c r="I249" s="284">
        <f>IF(AND($A249="Main Member",Table2[[#This Row],[Product Option]]="My Value Plus Life"),"MM_LIFE",
IF(AND($A249="Spouse",Table2[[#This Row],[Product Option]]="My Value Plus Life"),"SP_LIFE",
IF(AND($A249="Main Member",Table2[[#This Row],[Product Option]]="My Value Plus Life &amp; Funeral"),"MM_LIFE",
IF(AND($A249="Spouse",Table2[[#This Row],[Product Option]]="My Value Plus Life &amp; Funeral"),_xlfn.XLOOKUP(Table2[[#This Row],[Benefit Name]],Lookups!$D$18:$D$23,Lookups!$E$18:$E$23,0),
0))))</f>
        <v>0</v>
      </c>
      <c r="J249" s="284">
        <f>IF($I249="","",
IF($I249="MM_LIFE",INDEX('Quotation Tool'!$S$54:$V$60,MATCH($T249,'Quotation Tool'!$S$54:$S$60,0),4),
IF($I249="SP_LIFE",_xlfn.XLOOKUP(B248,$B:$B,$J:$J,0),0)))</f>
        <v>0</v>
      </c>
      <c r="K249" s="287">
        <f t="shared" ca="1" si="26"/>
        <v>0</v>
      </c>
      <c r="L249" s="288">
        <f t="shared" ca="1" si="27"/>
        <v>0</v>
      </c>
      <c r="M249" s="289">
        <f t="shared" ca="1" si="23"/>
        <v>0</v>
      </c>
      <c r="N249" s="286">
        <f>Table13[[#This Row],[Benefit Option]]</f>
        <v>0</v>
      </c>
      <c r="O249" s="284">
        <f>IF(OR(Table2[[#This Row],[Member Type]]="Spouse",Table2[[#This Row],[Member Type]]="Child"),0,
IF(_xlfn.XLOOKUP($N249,Lookups!$D$13:$D$27,Lookups!$F$13:$F$27,0)=Table2[[#This Row],[Table Lookup for Life Cover]],0,
_xlfn.XLOOKUP($N249,Lookups!$D$13:$D$27,Lookups!$F$13:$F$27,0)))</f>
        <v>0</v>
      </c>
      <c r="P249" s="284">
        <f>IF(Table2[[#This Row],[Table Lookup for Funeral]]=0,0,IFERROR(INDEX('Quotation Tool'!$S$54:$V$60,MATCH($T249,'Quotation Tool'!$S$54:$S$60,0),3),0))</f>
        <v>0</v>
      </c>
      <c r="Q249" s="288">
        <f ca="1">IF(OR(Table2[[#This Row],[Benefit Name]]="My Value Plus Life - Main Member",Table2[[#This Row],[Benefit Name]]="My Value Plus Life - Spouse"),0,
IFERROR(VLOOKUP($G249,INDIRECT($O249),$P249,FALSE),0))</f>
        <v>0</v>
      </c>
      <c r="R249" s="288">
        <f ca="1">IF(OR(Table2[[#This Row],[Benefit Name]]="My Value Plus Life - Main Member",Table2[[#This Row],[Benefit Name]]="My Value Plus Life - Spouse"),0,
IFERROR(VLOOKUP($G249,INDIRECT($O249),$P249+1,FALSE),0))</f>
        <v>0</v>
      </c>
      <c r="S249" s="289">
        <f t="shared" ca="1" si="24"/>
        <v>0</v>
      </c>
      <c r="T249" s="284" t="str">
        <f>IF(Table13[[#This Row],[Premium Waiver]]="","None",Table13[[#This Row],[Premium Waiver]])</f>
        <v>None</v>
      </c>
      <c r="U249" s="284">
        <f>Table13[[#This Row],[VAPs Options]]</f>
        <v>0</v>
      </c>
      <c r="V249" s="284">
        <f>Table13[[#This Row],[Annual Increase Option]]</f>
        <v>0</v>
      </c>
      <c r="W249" s="290">
        <f>Table13[[#This Row],[Life Cover Amount]]</f>
        <v>0</v>
      </c>
      <c r="X249" s="290">
        <f>Table13[[#This Row],[Funeral Cover Amount]]</f>
        <v>0</v>
      </c>
      <c r="Y24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4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49" s="301">
        <f t="shared" ca="1" si="25"/>
        <v>0</v>
      </c>
      <c r="AB249" s="298"/>
      <c r="AC249" s="326" t="str">
        <f>IF(Table2[[#This Row],[Member Type]]="Main Member",Lookups!$C$13,
IF(Table2[[#This Row],[Member Type]]="Spouse",_xlfn.XLOOKUP(B249,Table2[Main Member Link ID],Table2[Product Option],0),
IF(AND(Table2[[#This Row],[Member Type]]="Child",_xlfn.XLOOKUP(B249,Table2[Main Member Link ID],Table2[Product Option],0)&lt;&gt;"My Value Plus Life"),Lookups!$C$24,
IF(AND(OR(Table2[[#This Row],[Member Type]]="Parent",Table2[[#This Row],[Member Type]]="Extended"),_xlfn.XLOOKUP(B249,Table2[Main Member Link ID],Table2[Product Option],0)&lt;&gt;"My Value Plus Life"),Lookups!$C$26,""))))</f>
        <v/>
      </c>
      <c r="AD249" s="326" t="str">
        <f>IF(Table2[[#This Row],[Member Type]]="Main Member",Lookups!$C$14,"")</f>
        <v/>
      </c>
      <c r="AE24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Funeral",_xlfn.XLOOKUP(B249,Table2[Main Member Link ID],Table2[Benefit Name],0)=Lookups!$D$14),"",
IF(AND(Table2[[#This Row],[Member Type]]="Spouse",Table2[[#This Row],[Product Option]]="My Value Plus Life &amp; Funeral",_xlfn.XLOOKUP(B248,Table2[Main Member Link ID],Table2[Benefit Name],0)=Lookups!$D$15),Lookups!$D$20,
IF(AND(Table2[[#This Row],[Member Type]]="Spouse",Table2[[#This Row],[Product Option]]="My Value Plus Life &amp; Funeral",_xlfn.XLOOKUP(B248,Table2[Main Member Link ID],Table2[Benefit Name],0)=Lookups!$D$16),"",
IF(AND(Table2[[#This Row],[Member Type]]="Spouse",Table2[[#This Row],[Product Option]]="My Value Plus Life &amp; Funeral",_xlfn.XLOOKUP(B248,Table2[Main Member Link ID],Table2[Benefit Name],0)=Lookups!$D$17),Lookups!$D$21,
IF(AND(Table2[[#This Row],[Member Type]]="Child",Table2[[#This Row],[Product Option]]="My Value Plus Life &amp; Funeral",_xlfn.XLOOKUP(B249,Table2[Main Member Link ID],Table2[Benefit Name],0)=Lookups!$D$14),"",
IF(AND(Table2[[#This Row],[Member Type]]="Child",Table2[[#This Row],[Product Option]]="My Value Plus Life &amp; Funeral",_xlfn.XLOOKUP(B249,Table2[Main Member Link ID],Table2[Benefit Name],0)=Lookups!$D$15),"",
IF(AND(Table2[[#This Row],[Member Type]]="Child",Table2[[#This Row],[Product Option]]="My Value Plus Life &amp; Funeral",_xlfn.XLOOKUP(B249,Table2[Main Member Link ID],Table2[Benefit Name],0)=Lookups!$D$16),Lookups!$D$24,
IF(AND(Table2[[#This Row],[Member Type]]="Child",Table2[[#This Row],[Product Option]]="My Value Plus Life &amp; Funeral",_xlfn.XLOOKUP(B249,Table2[Main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Funeral",_xlfn.XLOOKUP(B249,Table2[Main Member Link ID],Table2[Benefit Name],0)&lt;&gt;Lookups!$D$14),
IF(_xlfn.XLOOKUP(B249,Table2[Main Member Link ID],Table2[Benefit Name],0)=0,"",_xlfn.XLOOKUP(B249,Table2[Main Member Link ID],Table2[Benefit Name],0)),"")))))))))))))))</f>
        <v/>
      </c>
      <c r="AF249" s="327" t="str">
        <f>IF(AND(Table2[[#This Row],[Member Type]]="Main Member",Table2[[#This Row],[Product Option]]="My Value Plus Life &amp; Funeral"),Lookups!$D$15,
IF(AND(Table2[[#This Row],[Member Type]]="Spouse",Table2[[#This Row],[Product Option]]="My Value Plus Life &amp; Funeral",_xlfn.XLOOKUP(B249,Table2[Main Member Link ID],Table2[Benefit Name],0)=Lookups!$D$14),"",
IF(AND(Table2[[#This Row],[Member Type]]="Spouse",Table2[[#This Row],[Product Option]]="My Value Plus Life &amp; Funeral",_xlfn.XLOOKUP(B248,Table2[Main Member Link ID],Table2[Benefit Name],0)=Lookups!$D$16),"",
IF(AND(Table2[[#This Row],[Member Type]]="Spouse",Table2[[#This Row],[Product Option]]="My Value Plus Life &amp; Funeral",_xlfn.XLOOKUP(B248,Table2[Main Member Link ID],Table2[Benefit Name],0)=Lookups!$D$15),"",
IF(AND(Table2[[#This Row],[Member Type]]="Spouse",Table2[[#This Row],[Product Option]]="My Value Plus Life &amp; Funeral",_xlfn.XLOOKUP(B248,Table2[Main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Funeral",_xlfn.XLOOKUP(B249,Table2[Main Member Link ID],Table2[Benefit Name],0)&lt;&gt;Lookups!$D$15),
IF(_xlfn.XLOOKUP(B249,Table2[Main Member Link ID],Table2[Benefit Name],0)=0,"",_xlfn.XLOOKUP(B249,Table2[Main Member Link ID],Table2[Benefit Name],0)),"")
))))))</f>
        <v/>
      </c>
      <c r="AG249" s="327" t="str">
        <f>IF(AND(Table2[[#This Row],[Member Type]]="Main Member",Table2[[#This Row],[Product Option]]="My Value Plus Life &amp; Funeral"),Lookups!$D$16,
IF(AND(Table2[[#This Row],[Member Type]]="Spouse",Table2[[#This Row],[Product Option]]="My Value Plus Life &amp; Funeral",_xlfn.XLOOKUP(B249,Table2[Main Member Link ID],Table2[Benefit Name],0)=Lookups!$D$14),"",
IF(AND(Table2[[#This Row],[Member Type]]="Spouse",Table2[[#This Row],[Product Option]]="My Value Plus Life &amp; Funeral",_xlfn.XLOOKUP(B248,Table2[Main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Funeral",_xlfn.XLOOKUP(B249,Table2[Main Member Link ID],Table2[Benefit Name],0)&lt;&gt;Lookups!$D$16),
IF(_xlfn.XLOOKUP(B249,Table2[Main Member Link ID],Table2[Benefit Name],0)=0,"",_xlfn.XLOOKUP(B249,Table2[Main Member Link ID],Table2[Benefit Name],0)),"")
))))</f>
        <v/>
      </c>
      <c r="AH249" s="327" t="str">
        <f>IF(AND(Table2[[#This Row],[Member Type]]="Main Member",Table2[[#This Row],[Product Option]]="My Value Plus Life &amp; Funeral"),Lookups!$D$17,
IF(AND(Table2[[#This Row],[Member Type]]="Spouse",Table2[[#This Row],[Product Option]]="My Value Plus Life &amp; Funeral",_xlfn.XLOOKUP(B249,Table2[Main Member Link ID],Table2[Benefit Name],0)=Lookups!$D$14),"",
IF(AND(Table2[[#This Row],[Member Type]]="Spouse",Table2[[#This Row],[Product Option]]="My Value Plus Life &amp; Funeral",_xlfn.XLOOKUP(B248,Table2[Main Member Link ID],Table2[Benefit Name],0)=Lookups!$D$16),"",
IF(AND(Table2[[#This Row],[Member Type]]="Child",Table2[[#This Row],[Product Option]]="My Value Plus Life &amp; Funeral"),"",
IF(AND(Table2[[#This Row],[Member Type]]="Child",Table2[[#This Row],[Product Option]]="My Value Plus Life &amp; Funeral",_xlfn.XLOOKUP(B249,Table2[Main Member Link ID],Table2[Benefit Name],0)=Lookups!$D$15),"",
IF(AND(OR(Table2[[#This Row],[Member Type]]="Spouse",Table2[[#This Row],[Member Type]]="Child"),Table2[[#This Row],[Product Option]]="My Value Plus Life &amp; Funeral",_xlfn.XLOOKUP(B249,Table2[Main Member Link ID],Table2[Benefit Name],0)&lt;&gt;Lookups!$D$17),
IF(_xlfn.XLOOKUP(B249,Table2[Main Member Link ID],Table2[Benefit Name],0)=0,"",_xlfn.XLOOKUP(B249,Table2[Main Member Link ID],Table2[Benefit Name],0)),""))))))</f>
        <v/>
      </c>
      <c r="AI249" s="328" t="str">
        <f>IF(AND(Table2[[#This Row],[Member Type]]="Main Member",Table2[[#This Row],[Table Lookup for Life Cover]]="MM_LIFE",Table2[[#This Row],[Age Next Birthday]]&lt;56),1,
IF(AND(Table2[[#This Row],[Member Type]]="Main Member",Table2[[#This Row],[Table Lookup for Life Cover]]="MM_LIFE",Table2[[#This Row],[Age Next Birthday]]&gt;=56),2,
""))</f>
        <v/>
      </c>
      <c r="AJ249" s="328">
        <f>IF(OR(Table2[[#This Row],[Member Type]]="Main Member",Table2[[#This Row],[Main Member Link ID]]=B248),1,0)</f>
        <v>1</v>
      </c>
      <c r="AK249" s="328">
        <f>IF(Table2[[#This Row],[Member Type]]=0,0,
IF(OR(Table2[[#This Row],[Member Type]]="Main Member",Table2[[#This Row],[Main Member Link ID]]&lt;&gt;B249),COUNTIFS(B:B,Table2[[#This Row],[Main Member Link ID]]),
COUNTIFS(B:B,Table2[[#This Row],[Main Member Link ID]],A:A,Table2[[#This Row],[Member Type]])))</f>
        <v>0</v>
      </c>
    </row>
    <row r="250" spans="1:37" x14ac:dyDescent="0.3">
      <c r="A250" s="284">
        <f>Table13[[#This Row],[Member Type]]</f>
        <v>0</v>
      </c>
      <c r="B250" s="284">
        <f>Table13[[#This Row],[Main Member Link ID]]</f>
        <v>0</v>
      </c>
      <c r="C250" s="284">
        <f>Table13[[#This Row],[ID Number]]</f>
        <v>0</v>
      </c>
      <c r="D250" s="285">
        <f>Table13[[#This Row],[Date Of Birth]]</f>
        <v>0</v>
      </c>
      <c r="E250" s="285">
        <f>Table13[[#This Row],[Commencement Date]]</f>
        <v>0</v>
      </c>
      <c r="F250" s="284">
        <f t="shared" si="21"/>
        <v>1</v>
      </c>
      <c r="G250" s="284">
        <f t="shared" si="22"/>
        <v>25</v>
      </c>
      <c r="H250" s="286">
        <f>Table13[[#This Row],[Product Option]]</f>
        <v>0</v>
      </c>
      <c r="I250" s="284">
        <f>IF(AND($A250="Main Member",Table2[[#This Row],[Product Option]]="My Value Plus Life"),"MM_LIFE",
IF(AND($A250="Spouse",Table2[[#This Row],[Product Option]]="My Value Plus Life"),"SP_LIFE",
IF(AND($A250="Main Member",Table2[[#This Row],[Product Option]]="My Value Plus Life &amp; Funeral"),"MM_LIFE",
IF(AND($A250="Spouse",Table2[[#This Row],[Product Option]]="My Value Plus Life &amp; Funeral"),_xlfn.XLOOKUP(Table2[[#This Row],[Benefit Name]],Lookups!$D$18:$D$23,Lookups!$E$18:$E$23,0),
0))))</f>
        <v>0</v>
      </c>
      <c r="J250" s="284">
        <f>IF($I250="","",
IF($I250="MM_LIFE",INDEX('Quotation Tool'!$S$54:$V$60,MATCH($T250,'Quotation Tool'!$S$54:$S$60,0),4),
IF($I250="SP_LIFE",_xlfn.XLOOKUP(B249,$B:$B,$J:$J,0),0)))</f>
        <v>0</v>
      </c>
      <c r="K250" s="287">
        <f t="shared" ca="1" si="26"/>
        <v>0</v>
      </c>
      <c r="L250" s="288">
        <f t="shared" ca="1" si="27"/>
        <v>0</v>
      </c>
      <c r="M250" s="289">
        <f t="shared" ca="1" si="23"/>
        <v>0</v>
      </c>
      <c r="N250" s="286">
        <f>Table13[[#This Row],[Benefit Option]]</f>
        <v>0</v>
      </c>
      <c r="O250" s="284">
        <f>IF(OR(Table2[[#This Row],[Member Type]]="Spouse",Table2[[#This Row],[Member Type]]="Child"),0,
IF(_xlfn.XLOOKUP($N250,Lookups!$D$13:$D$27,Lookups!$F$13:$F$27,0)=Table2[[#This Row],[Table Lookup for Life Cover]],0,
_xlfn.XLOOKUP($N250,Lookups!$D$13:$D$27,Lookups!$F$13:$F$27,0)))</f>
        <v>0</v>
      </c>
      <c r="P250" s="284">
        <f>IF(Table2[[#This Row],[Table Lookup for Funeral]]=0,0,IFERROR(INDEX('Quotation Tool'!$S$54:$V$60,MATCH($T250,'Quotation Tool'!$S$54:$S$60,0),3),0))</f>
        <v>0</v>
      </c>
      <c r="Q250" s="288">
        <f ca="1">IF(OR(Table2[[#This Row],[Benefit Name]]="My Value Plus Life - Main Member",Table2[[#This Row],[Benefit Name]]="My Value Plus Life - Spouse"),0,
IFERROR(VLOOKUP($G250,INDIRECT($O250),$P250,FALSE),0))</f>
        <v>0</v>
      </c>
      <c r="R250" s="288">
        <f ca="1">IF(OR(Table2[[#This Row],[Benefit Name]]="My Value Plus Life - Main Member",Table2[[#This Row],[Benefit Name]]="My Value Plus Life - Spouse"),0,
IFERROR(VLOOKUP($G250,INDIRECT($O250),$P250+1,FALSE),0))</f>
        <v>0</v>
      </c>
      <c r="S250" s="289">
        <f t="shared" ca="1" si="24"/>
        <v>0</v>
      </c>
      <c r="T250" s="284" t="str">
        <f>IF(Table13[[#This Row],[Premium Waiver]]="","None",Table13[[#This Row],[Premium Waiver]])</f>
        <v>None</v>
      </c>
      <c r="U250" s="284">
        <f>Table13[[#This Row],[VAPs Options]]</f>
        <v>0</v>
      </c>
      <c r="V250" s="284">
        <f>Table13[[#This Row],[Annual Increase Option]]</f>
        <v>0</v>
      </c>
      <c r="W250" s="290">
        <f>Table13[[#This Row],[Life Cover Amount]]</f>
        <v>0</v>
      </c>
      <c r="X250" s="290">
        <f>Table13[[#This Row],[Funeral Cover Amount]]</f>
        <v>0</v>
      </c>
      <c r="Y25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5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50" s="301">
        <f t="shared" ca="1" si="25"/>
        <v>0</v>
      </c>
      <c r="AB250" s="298"/>
      <c r="AC250" s="326" t="str">
        <f>IF(Table2[[#This Row],[Member Type]]="Main Member",Lookups!$C$13,
IF(Table2[[#This Row],[Member Type]]="Spouse",_xlfn.XLOOKUP(B250,Table2[Main Member Link ID],Table2[Product Option],0),
IF(AND(Table2[[#This Row],[Member Type]]="Child",_xlfn.XLOOKUP(B250,Table2[Main Member Link ID],Table2[Product Option],0)&lt;&gt;"My Value Plus Life"),Lookups!$C$24,
IF(AND(OR(Table2[[#This Row],[Member Type]]="Parent",Table2[[#This Row],[Member Type]]="Extended"),_xlfn.XLOOKUP(B250,Table2[Main Member Link ID],Table2[Product Option],0)&lt;&gt;"My Value Plus Life"),Lookups!$C$26,""))))</f>
        <v/>
      </c>
      <c r="AD250" s="326" t="str">
        <f>IF(Table2[[#This Row],[Member Type]]="Main Member",Lookups!$C$14,"")</f>
        <v/>
      </c>
      <c r="AE25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Funeral",_xlfn.XLOOKUP(B250,Table2[Main Member Link ID],Table2[Benefit Name],0)=Lookups!$D$14),"",
IF(AND(Table2[[#This Row],[Member Type]]="Spouse",Table2[[#This Row],[Product Option]]="My Value Plus Life &amp; Funeral",_xlfn.XLOOKUP(B249,Table2[Main Member Link ID],Table2[Benefit Name],0)=Lookups!$D$15),Lookups!$D$20,
IF(AND(Table2[[#This Row],[Member Type]]="Spouse",Table2[[#This Row],[Product Option]]="My Value Plus Life &amp; Funeral",_xlfn.XLOOKUP(B249,Table2[Main Member Link ID],Table2[Benefit Name],0)=Lookups!$D$16),"",
IF(AND(Table2[[#This Row],[Member Type]]="Spouse",Table2[[#This Row],[Product Option]]="My Value Plus Life &amp; Funeral",_xlfn.XLOOKUP(B249,Table2[Main Member Link ID],Table2[Benefit Name],0)=Lookups!$D$17),Lookups!$D$21,
IF(AND(Table2[[#This Row],[Member Type]]="Child",Table2[[#This Row],[Product Option]]="My Value Plus Life &amp; Funeral",_xlfn.XLOOKUP(B250,Table2[Main Member Link ID],Table2[Benefit Name],0)=Lookups!$D$14),"",
IF(AND(Table2[[#This Row],[Member Type]]="Child",Table2[[#This Row],[Product Option]]="My Value Plus Life &amp; Funeral",_xlfn.XLOOKUP(B250,Table2[Main Member Link ID],Table2[Benefit Name],0)=Lookups!$D$15),"",
IF(AND(Table2[[#This Row],[Member Type]]="Child",Table2[[#This Row],[Product Option]]="My Value Plus Life &amp; Funeral",_xlfn.XLOOKUP(B250,Table2[Main Member Link ID],Table2[Benefit Name],0)=Lookups!$D$16),Lookups!$D$24,
IF(AND(Table2[[#This Row],[Member Type]]="Child",Table2[[#This Row],[Product Option]]="My Value Plus Life &amp; Funeral",_xlfn.XLOOKUP(B250,Table2[Main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Funeral",_xlfn.XLOOKUP(B250,Table2[Main Member Link ID],Table2[Benefit Name],0)&lt;&gt;Lookups!$D$14),
IF(_xlfn.XLOOKUP(B250,Table2[Main Member Link ID],Table2[Benefit Name],0)=0,"",_xlfn.XLOOKUP(B250,Table2[Main Member Link ID],Table2[Benefit Name],0)),"")))))))))))))))</f>
        <v/>
      </c>
      <c r="AF250" s="327" t="str">
        <f>IF(AND(Table2[[#This Row],[Member Type]]="Main Member",Table2[[#This Row],[Product Option]]="My Value Plus Life &amp; Funeral"),Lookups!$D$15,
IF(AND(Table2[[#This Row],[Member Type]]="Spouse",Table2[[#This Row],[Product Option]]="My Value Plus Life &amp; Funeral",_xlfn.XLOOKUP(B250,Table2[Main Member Link ID],Table2[Benefit Name],0)=Lookups!$D$14),"",
IF(AND(Table2[[#This Row],[Member Type]]="Spouse",Table2[[#This Row],[Product Option]]="My Value Plus Life &amp; Funeral",_xlfn.XLOOKUP(B249,Table2[Main Member Link ID],Table2[Benefit Name],0)=Lookups!$D$16),"",
IF(AND(Table2[[#This Row],[Member Type]]="Spouse",Table2[[#This Row],[Product Option]]="My Value Plus Life &amp; Funeral",_xlfn.XLOOKUP(B249,Table2[Main Member Link ID],Table2[Benefit Name],0)=Lookups!$D$15),"",
IF(AND(Table2[[#This Row],[Member Type]]="Spouse",Table2[[#This Row],[Product Option]]="My Value Plus Life &amp; Funeral",_xlfn.XLOOKUP(B249,Table2[Main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Funeral",_xlfn.XLOOKUP(B250,Table2[Main Member Link ID],Table2[Benefit Name],0)&lt;&gt;Lookups!$D$15),
IF(_xlfn.XLOOKUP(B250,Table2[Main Member Link ID],Table2[Benefit Name],0)=0,"",_xlfn.XLOOKUP(B250,Table2[Main Member Link ID],Table2[Benefit Name],0)),"")
))))))</f>
        <v/>
      </c>
      <c r="AG250" s="327" t="str">
        <f>IF(AND(Table2[[#This Row],[Member Type]]="Main Member",Table2[[#This Row],[Product Option]]="My Value Plus Life &amp; Funeral"),Lookups!$D$16,
IF(AND(Table2[[#This Row],[Member Type]]="Spouse",Table2[[#This Row],[Product Option]]="My Value Plus Life &amp; Funeral",_xlfn.XLOOKUP(B250,Table2[Main Member Link ID],Table2[Benefit Name],0)=Lookups!$D$14),"",
IF(AND(Table2[[#This Row],[Member Type]]="Spouse",Table2[[#This Row],[Product Option]]="My Value Plus Life &amp; Funeral",_xlfn.XLOOKUP(B249,Table2[Main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Funeral",_xlfn.XLOOKUP(B250,Table2[Main Member Link ID],Table2[Benefit Name],0)&lt;&gt;Lookups!$D$16),
IF(_xlfn.XLOOKUP(B250,Table2[Main Member Link ID],Table2[Benefit Name],0)=0,"",_xlfn.XLOOKUP(B250,Table2[Main Member Link ID],Table2[Benefit Name],0)),"")
))))</f>
        <v/>
      </c>
      <c r="AH250" s="327" t="str">
        <f>IF(AND(Table2[[#This Row],[Member Type]]="Main Member",Table2[[#This Row],[Product Option]]="My Value Plus Life &amp; Funeral"),Lookups!$D$17,
IF(AND(Table2[[#This Row],[Member Type]]="Spouse",Table2[[#This Row],[Product Option]]="My Value Plus Life &amp; Funeral",_xlfn.XLOOKUP(B250,Table2[Main Member Link ID],Table2[Benefit Name],0)=Lookups!$D$14),"",
IF(AND(Table2[[#This Row],[Member Type]]="Spouse",Table2[[#This Row],[Product Option]]="My Value Plus Life &amp; Funeral",_xlfn.XLOOKUP(B249,Table2[Main Member Link ID],Table2[Benefit Name],0)=Lookups!$D$16),"",
IF(AND(Table2[[#This Row],[Member Type]]="Child",Table2[[#This Row],[Product Option]]="My Value Plus Life &amp; Funeral"),"",
IF(AND(Table2[[#This Row],[Member Type]]="Child",Table2[[#This Row],[Product Option]]="My Value Plus Life &amp; Funeral",_xlfn.XLOOKUP(B250,Table2[Main Member Link ID],Table2[Benefit Name],0)=Lookups!$D$15),"",
IF(AND(OR(Table2[[#This Row],[Member Type]]="Spouse",Table2[[#This Row],[Member Type]]="Child"),Table2[[#This Row],[Product Option]]="My Value Plus Life &amp; Funeral",_xlfn.XLOOKUP(B250,Table2[Main Member Link ID],Table2[Benefit Name],0)&lt;&gt;Lookups!$D$17),
IF(_xlfn.XLOOKUP(B250,Table2[Main Member Link ID],Table2[Benefit Name],0)=0,"",_xlfn.XLOOKUP(B250,Table2[Main Member Link ID],Table2[Benefit Name],0)),""))))))</f>
        <v/>
      </c>
      <c r="AI250" s="328" t="str">
        <f>IF(AND(Table2[[#This Row],[Member Type]]="Main Member",Table2[[#This Row],[Table Lookup for Life Cover]]="MM_LIFE",Table2[[#This Row],[Age Next Birthday]]&lt;56),1,
IF(AND(Table2[[#This Row],[Member Type]]="Main Member",Table2[[#This Row],[Table Lookup for Life Cover]]="MM_LIFE",Table2[[#This Row],[Age Next Birthday]]&gt;=56),2,
""))</f>
        <v/>
      </c>
      <c r="AJ250" s="328">
        <f>IF(OR(Table2[[#This Row],[Member Type]]="Main Member",Table2[[#This Row],[Main Member Link ID]]=B249),1,0)</f>
        <v>1</v>
      </c>
      <c r="AK250" s="328">
        <f>IF(Table2[[#This Row],[Member Type]]=0,0,
IF(OR(Table2[[#This Row],[Member Type]]="Main Member",Table2[[#This Row],[Main Member Link ID]]&lt;&gt;B250),COUNTIFS(B:B,Table2[[#This Row],[Main Member Link ID]]),
COUNTIFS(B:B,Table2[[#This Row],[Main Member Link ID]],A:A,Table2[[#This Row],[Member Type]])))</f>
        <v>0</v>
      </c>
    </row>
    <row r="251" spans="1:37" x14ac:dyDescent="0.3">
      <c r="A251" s="284">
        <f>Table13[[#This Row],[Member Type]]</f>
        <v>0</v>
      </c>
      <c r="B251" s="284">
        <f>Table13[[#This Row],[Main Member Link ID]]</f>
        <v>0</v>
      </c>
      <c r="C251" s="284">
        <f>Table13[[#This Row],[ID Number]]</f>
        <v>0</v>
      </c>
      <c r="D251" s="285">
        <f>Table13[[#This Row],[Date Of Birth]]</f>
        <v>0</v>
      </c>
      <c r="E251" s="285">
        <f>Table13[[#This Row],[Commencement Date]]</f>
        <v>0</v>
      </c>
      <c r="F251" s="284">
        <f t="shared" si="21"/>
        <v>1</v>
      </c>
      <c r="G251" s="284">
        <f t="shared" si="22"/>
        <v>25</v>
      </c>
      <c r="H251" s="286">
        <f>Table13[[#This Row],[Product Option]]</f>
        <v>0</v>
      </c>
      <c r="I251" s="284">
        <f>IF(AND($A251="Main Member",Table2[[#This Row],[Product Option]]="My Value Plus Life"),"MM_LIFE",
IF(AND($A251="Spouse",Table2[[#This Row],[Product Option]]="My Value Plus Life"),"SP_LIFE",
IF(AND($A251="Main Member",Table2[[#This Row],[Product Option]]="My Value Plus Life &amp; Funeral"),"MM_LIFE",
IF(AND($A251="Spouse",Table2[[#This Row],[Product Option]]="My Value Plus Life &amp; Funeral"),_xlfn.XLOOKUP(Table2[[#This Row],[Benefit Name]],Lookups!$D$18:$D$23,Lookups!$E$18:$E$23,0),
0))))</f>
        <v>0</v>
      </c>
      <c r="J251" s="284">
        <f>IF($I251="","",
IF($I251="MM_LIFE",INDEX('Quotation Tool'!$S$54:$V$60,MATCH($T251,'Quotation Tool'!$S$54:$S$60,0),4),
IF($I251="SP_LIFE",_xlfn.XLOOKUP(B250,$B:$B,$J:$J,0),0)))</f>
        <v>0</v>
      </c>
      <c r="K251" s="287">
        <f t="shared" ca="1" si="26"/>
        <v>0</v>
      </c>
      <c r="L251" s="288">
        <f t="shared" ca="1" si="27"/>
        <v>0</v>
      </c>
      <c r="M251" s="289">
        <f t="shared" ca="1" si="23"/>
        <v>0</v>
      </c>
      <c r="N251" s="286">
        <f>Table13[[#This Row],[Benefit Option]]</f>
        <v>0</v>
      </c>
      <c r="O251" s="284">
        <f>IF(OR(Table2[[#This Row],[Member Type]]="Spouse",Table2[[#This Row],[Member Type]]="Child"),0,
IF(_xlfn.XLOOKUP($N251,Lookups!$D$13:$D$27,Lookups!$F$13:$F$27,0)=Table2[[#This Row],[Table Lookup for Life Cover]],0,
_xlfn.XLOOKUP($N251,Lookups!$D$13:$D$27,Lookups!$F$13:$F$27,0)))</f>
        <v>0</v>
      </c>
      <c r="P251" s="284">
        <f>IF(Table2[[#This Row],[Table Lookup for Funeral]]=0,0,IFERROR(INDEX('Quotation Tool'!$S$54:$V$60,MATCH($T251,'Quotation Tool'!$S$54:$S$60,0),3),0))</f>
        <v>0</v>
      </c>
      <c r="Q251" s="288">
        <f ca="1">IF(OR(Table2[[#This Row],[Benefit Name]]="My Value Plus Life - Main Member",Table2[[#This Row],[Benefit Name]]="My Value Plus Life - Spouse"),0,
IFERROR(VLOOKUP($G251,INDIRECT($O251),$P251,FALSE),0))</f>
        <v>0</v>
      </c>
      <c r="R251" s="288">
        <f ca="1">IF(OR(Table2[[#This Row],[Benefit Name]]="My Value Plus Life - Main Member",Table2[[#This Row],[Benefit Name]]="My Value Plus Life - Spouse"),0,
IFERROR(VLOOKUP($G251,INDIRECT($O251),$P251+1,FALSE),0))</f>
        <v>0</v>
      </c>
      <c r="S251" s="289">
        <f t="shared" ca="1" si="24"/>
        <v>0</v>
      </c>
      <c r="T251" s="284" t="str">
        <f>IF(Table13[[#This Row],[Premium Waiver]]="","None",Table13[[#This Row],[Premium Waiver]])</f>
        <v>None</v>
      </c>
      <c r="U251" s="284">
        <f>Table13[[#This Row],[VAPs Options]]</f>
        <v>0</v>
      </c>
      <c r="V251" s="284">
        <f>Table13[[#This Row],[Annual Increase Option]]</f>
        <v>0</v>
      </c>
      <c r="W251" s="290">
        <f>Table13[[#This Row],[Life Cover Amount]]</f>
        <v>0</v>
      </c>
      <c r="X251" s="290">
        <f>Table13[[#This Row],[Funeral Cover Amount]]</f>
        <v>0</v>
      </c>
      <c r="Y25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5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51" s="301">
        <f t="shared" ca="1" si="25"/>
        <v>0</v>
      </c>
      <c r="AB251" s="298"/>
      <c r="AC251" s="326" t="str">
        <f>IF(Table2[[#This Row],[Member Type]]="Main Member",Lookups!$C$13,
IF(Table2[[#This Row],[Member Type]]="Spouse",_xlfn.XLOOKUP(B251,Table2[Main Member Link ID],Table2[Product Option],0),
IF(AND(Table2[[#This Row],[Member Type]]="Child",_xlfn.XLOOKUP(B251,Table2[Main Member Link ID],Table2[Product Option],0)&lt;&gt;"My Value Plus Life"),Lookups!$C$24,
IF(AND(OR(Table2[[#This Row],[Member Type]]="Parent",Table2[[#This Row],[Member Type]]="Extended"),_xlfn.XLOOKUP(B251,Table2[Main Member Link ID],Table2[Product Option],0)&lt;&gt;"My Value Plus Life"),Lookups!$C$26,""))))</f>
        <v/>
      </c>
      <c r="AD251" s="326" t="str">
        <f>IF(Table2[[#This Row],[Member Type]]="Main Member",Lookups!$C$14,"")</f>
        <v/>
      </c>
      <c r="AE25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Funeral",_xlfn.XLOOKUP(B251,Table2[Main Member Link ID],Table2[Benefit Name],0)=Lookups!$D$14),"",
IF(AND(Table2[[#This Row],[Member Type]]="Spouse",Table2[[#This Row],[Product Option]]="My Value Plus Life &amp; Funeral",_xlfn.XLOOKUP(B250,Table2[Main Member Link ID],Table2[Benefit Name],0)=Lookups!$D$15),Lookups!$D$20,
IF(AND(Table2[[#This Row],[Member Type]]="Spouse",Table2[[#This Row],[Product Option]]="My Value Plus Life &amp; Funeral",_xlfn.XLOOKUP(B250,Table2[Main Member Link ID],Table2[Benefit Name],0)=Lookups!$D$16),"",
IF(AND(Table2[[#This Row],[Member Type]]="Spouse",Table2[[#This Row],[Product Option]]="My Value Plus Life &amp; Funeral",_xlfn.XLOOKUP(B250,Table2[Main Member Link ID],Table2[Benefit Name],0)=Lookups!$D$17),Lookups!$D$21,
IF(AND(Table2[[#This Row],[Member Type]]="Child",Table2[[#This Row],[Product Option]]="My Value Plus Life &amp; Funeral",_xlfn.XLOOKUP(B251,Table2[Main Member Link ID],Table2[Benefit Name],0)=Lookups!$D$14),"",
IF(AND(Table2[[#This Row],[Member Type]]="Child",Table2[[#This Row],[Product Option]]="My Value Plus Life &amp; Funeral",_xlfn.XLOOKUP(B251,Table2[Main Member Link ID],Table2[Benefit Name],0)=Lookups!$D$15),"",
IF(AND(Table2[[#This Row],[Member Type]]="Child",Table2[[#This Row],[Product Option]]="My Value Plus Life &amp; Funeral",_xlfn.XLOOKUP(B251,Table2[Main Member Link ID],Table2[Benefit Name],0)=Lookups!$D$16),Lookups!$D$24,
IF(AND(Table2[[#This Row],[Member Type]]="Child",Table2[[#This Row],[Product Option]]="My Value Plus Life &amp; Funeral",_xlfn.XLOOKUP(B251,Table2[Main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Funeral",_xlfn.XLOOKUP(B251,Table2[Main Member Link ID],Table2[Benefit Name],0)&lt;&gt;Lookups!$D$14),
IF(_xlfn.XLOOKUP(B251,Table2[Main Member Link ID],Table2[Benefit Name],0)=0,"",_xlfn.XLOOKUP(B251,Table2[Main Member Link ID],Table2[Benefit Name],0)),"")))))))))))))))</f>
        <v/>
      </c>
      <c r="AF251" s="327" t="str">
        <f>IF(AND(Table2[[#This Row],[Member Type]]="Main Member",Table2[[#This Row],[Product Option]]="My Value Plus Life &amp; Funeral"),Lookups!$D$15,
IF(AND(Table2[[#This Row],[Member Type]]="Spouse",Table2[[#This Row],[Product Option]]="My Value Plus Life &amp; Funeral",_xlfn.XLOOKUP(B251,Table2[Main Member Link ID],Table2[Benefit Name],0)=Lookups!$D$14),"",
IF(AND(Table2[[#This Row],[Member Type]]="Spouse",Table2[[#This Row],[Product Option]]="My Value Plus Life &amp; Funeral",_xlfn.XLOOKUP(B250,Table2[Main Member Link ID],Table2[Benefit Name],0)=Lookups!$D$16),"",
IF(AND(Table2[[#This Row],[Member Type]]="Spouse",Table2[[#This Row],[Product Option]]="My Value Plus Life &amp; Funeral",_xlfn.XLOOKUP(B250,Table2[Main Member Link ID],Table2[Benefit Name],0)=Lookups!$D$15),"",
IF(AND(Table2[[#This Row],[Member Type]]="Spouse",Table2[[#This Row],[Product Option]]="My Value Plus Life &amp; Funeral",_xlfn.XLOOKUP(B250,Table2[Main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Funeral",_xlfn.XLOOKUP(B251,Table2[Main Member Link ID],Table2[Benefit Name],0)&lt;&gt;Lookups!$D$15),
IF(_xlfn.XLOOKUP(B251,Table2[Main Member Link ID],Table2[Benefit Name],0)=0,"",_xlfn.XLOOKUP(B251,Table2[Main Member Link ID],Table2[Benefit Name],0)),"")
))))))</f>
        <v/>
      </c>
      <c r="AG251" s="327" t="str">
        <f>IF(AND(Table2[[#This Row],[Member Type]]="Main Member",Table2[[#This Row],[Product Option]]="My Value Plus Life &amp; Funeral"),Lookups!$D$16,
IF(AND(Table2[[#This Row],[Member Type]]="Spouse",Table2[[#This Row],[Product Option]]="My Value Plus Life &amp; Funeral",_xlfn.XLOOKUP(B251,Table2[Main Member Link ID],Table2[Benefit Name],0)=Lookups!$D$14),"",
IF(AND(Table2[[#This Row],[Member Type]]="Spouse",Table2[[#This Row],[Product Option]]="My Value Plus Life &amp; Funeral",_xlfn.XLOOKUP(B250,Table2[Main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Funeral",_xlfn.XLOOKUP(B251,Table2[Main Member Link ID],Table2[Benefit Name],0)&lt;&gt;Lookups!$D$16),
IF(_xlfn.XLOOKUP(B251,Table2[Main Member Link ID],Table2[Benefit Name],0)=0,"",_xlfn.XLOOKUP(B251,Table2[Main Member Link ID],Table2[Benefit Name],0)),"")
))))</f>
        <v/>
      </c>
      <c r="AH251" s="327" t="str">
        <f>IF(AND(Table2[[#This Row],[Member Type]]="Main Member",Table2[[#This Row],[Product Option]]="My Value Plus Life &amp; Funeral"),Lookups!$D$17,
IF(AND(Table2[[#This Row],[Member Type]]="Spouse",Table2[[#This Row],[Product Option]]="My Value Plus Life &amp; Funeral",_xlfn.XLOOKUP(B251,Table2[Main Member Link ID],Table2[Benefit Name],0)=Lookups!$D$14),"",
IF(AND(Table2[[#This Row],[Member Type]]="Spouse",Table2[[#This Row],[Product Option]]="My Value Plus Life &amp; Funeral",_xlfn.XLOOKUP(B250,Table2[Main Member Link ID],Table2[Benefit Name],0)=Lookups!$D$16),"",
IF(AND(Table2[[#This Row],[Member Type]]="Child",Table2[[#This Row],[Product Option]]="My Value Plus Life &amp; Funeral"),"",
IF(AND(Table2[[#This Row],[Member Type]]="Child",Table2[[#This Row],[Product Option]]="My Value Plus Life &amp; Funeral",_xlfn.XLOOKUP(B251,Table2[Main Member Link ID],Table2[Benefit Name],0)=Lookups!$D$15),"",
IF(AND(OR(Table2[[#This Row],[Member Type]]="Spouse",Table2[[#This Row],[Member Type]]="Child"),Table2[[#This Row],[Product Option]]="My Value Plus Life &amp; Funeral",_xlfn.XLOOKUP(B251,Table2[Main Member Link ID],Table2[Benefit Name],0)&lt;&gt;Lookups!$D$17),
IF(_xlfn.XLOOKUP(B251,Table2[Main Member Link ID],Table2[Benefit Name],0)=0,"",_xlfn.XLOOKUP(B251,Table2[Main Member Link ID],Table2[Benefit Name],0)),""))))))</f>
        <v/>
      </c>
      <c r="AI251" s="328" t="str">
        <f>IF(AND(Table2[[#This Row],[Member Type]]="Main Member",Table2[[#This Row],[Table Lookup for Life Cover]]="MM_LIFE",Table2[[#This Row],[Age Next Birthday]]&lt;56),1,
IF(AND(Table2[[#This Row],[Member Type]]="Main Member",Table2[[#This Row],[Table Lookup for Life Cover]]="MM_LIFE",Table2[[#This Row],[Age Next Birthday]]&gt;=56),2,
""))</f>
        <v/>
      </c>
      <c r="AJ251" s="328">
        <f>IF(OR(Table2[[#This Row],[Member Type]]="Main Member",Table2[[#This Row],[Main Member Link ID]]=B250),1,0)</f>
        <v>1</v>
      </c>
      <c r="AK251" s="328">
        <f>IF(Table2[[#This Row],[Member Type]]=0,0,
IF(OR(Table2[[#This Row],[Member Type]]="Main Member",Table2[[#This Row],[Main Member Link ID]]&lt;&gt;B251),COUNTIFS(B:B,Table2[[#This Row],[Main Member Link ID]]),
COUNTIFS(B:B,Table2[[#This Row],[Main Member Link ID]],A:A,Table2[[#This Row],[Member Type]])))</f>
        <v>0</v>
      </c>
    </row>
    <row r="252" spans="1:37" x14ac:dyDescent="0.3">
      <c r="A252" s="284">
        <f>Table13[[#This Row],[Member Type]]</f>
        <v>0</v>
      </c>
      <c r="B252" s="284">
        <f>Table13[[#This Row],[Main Member Link ID]]</f>
        <v>0</v>
      </c>
      <c r="C252" s="284">
        <f>Table13[[#This Row],[ID Number]]</f>
        <v>0</v>
      </c>
      <c r="D252" s="285">
        <f>Table13[[#This Row],[Date Of Birth]]</f>
        <v>0</v>
      </c>
      <c r="E252" s="285">
        <f>Table13[[#This Row],[Commencement Date]]</f>
        <v>0</v>
      </c>
      <c r="F252" s="284">
        <f t="shared" si="21"/>
        <v>1</v>
      </c>
      <c r="G252" s="284">
        <f t="shared" si="22"/>
        <v>25</v>
      </c>
      <c r="H252" s="286">
        <f>Table13[[#This Row],[Product Option]]</f>
        <v>0</v>
      </c>
      <c r="I252" s="284">
        <f>IF(AND($A252="Main Member",Table2[[#This Row],[Product Option]]="My Value Plus Life"),"MM_LIFE",
IF(AND($A252="Spouse",Table2[[#This Row],[Product Option]]="My Value Plus Life"),"SP_LIFE",
IF(AND($A252="Main Member",Table2[[#This Row],[Product Option]]="My Value Plus Life &amp; Funeral"),"MM_LIFE",
IF(AND($A252="Spouse",Table2[[#This Row],[Product Option]]="My Value Plus Life &amp; Funeral"),_xlfn.XLOOKUP(Table2[[#This Row],[Benefit Name]],Lookups!$D$18:$D$23,Lookups!$E$18:$E$23,0),
0))))</f>
        <v>0</v>
      </c>
      <c r="J252" s="284">
        <f>IF($I252="","",
IF($I252="MM_LIFE",INDEX('Quotation Tool'!$S$54:$V$60,MATCH($T252,'Quotation Tool'!$S$54:$S$60,0),4),
IF($I252="SP_LIFE",_xlfn.XLOOKUP(B251,$B:$B,$J:$J,0),0)))</f>
        <v>0</v>
      </c>
      <c r="K252" s="287">
        <f t="shared" ca="1" si="26"/>
        <v>0</v>
      </c>
      <c r="L252" s="288">
        <f t="shared" ca="1" si="27"/>
        <v>0</v>
      </c>
      <c r="M252" s="289">
        <f t="shared" ca="1" si="23"/>
        <v>0</v>
      </c>
      <c r="N252" s="286">
        <f>Table13[[#This Row],[Benefit Option]]</f>
        <v>0</v>
      </c>
      <c r="O252" s="284">
        <f>IF(OR(Table2[[#This Row],[Member Type]]="Spouse",Table2[[#This Row],[Member Type]]="Child"),0,
IF(_xlfn.XLOOKUP($N252,Lookups!$D$13:$D$27,Lookups!$F$13:$F$27,0)=Table2[[#This Row],[Table Lookup for Life Cover]],0,
_xlfn.XLOOKUP($N252,Lookups!$D$13:$D$27,Lookups!$F$13:$F$27,0)))</f>
        <v>0</v>
      </c>
      <c r="P252" s="284">
        <f>IF(Table2[[#This Row],[Table Lookup for Funeral]]=0,0,IFERROR(INDEX('Quotation Tool'!$S$54:$V$60,MATCH($T252,'Quotation Tool'!$S$54:$S$60,0),3),0))</f>
        <v>0</v>
      </c>
      <c r="Q252" s="288">
        <f ca="1">IF(OR(Table2[[#This Row],[Benefit Name]]="My Value Plus Life - Main Member",Table2[[#This Row],[Benefit Name]]="My Value Plus Life - Spouse"),0,
IFERROR(VLOOKUP($G252,INDIRECT($O252),$P252,FALSE),0))</f>
        <v>0</v>
      </c>
      <c r="R252" s="288">
        <f ca="1">IF(OR(Table2[[#This Row],[Benefit Name]]="My Value Plus Life - Main Member",Table2[[#This Row],[Benefit Name]]="My Value Plus Life - Spouse"),0,
IFERROR(VLOOKUP($G252,INDIRECT($O252),$P252+1,FALSE),0))</f>
        <v>0</v>
      </c>
      <c r="S252" s="289">
        <f t="shared" ca="1" si="24"/>
        <v>0</v>
      </c>
      <c r="T252" s="284" t="str">
        <f>IF(Table13[[#This Row],[Premium Waiver]]="","None",Table13[[#This Row],[Premium Waiver]])</f>
        <v>None</v>
      </c>
      <c r="U252" s="284">
        <f>Table13[[#This Row],[VAPs Options]]</f>
        <v>0</v>
      </c>
      <c r="V252" s="284">
        <f>Table13[[#This Row],[Annual Increase Option]]</f>
        <v>0</v>
      </c>
      <c r="W252" s="290">
        <f>Table13[[#This Row],[Life Cover Amount]]</f>
        <v>0</v>
      </c>
      <c r="X252" s="290">
        <f>Table13[[#This Row],[Funeral Cover Amount]]</f>
        <v>0</v>
      </c>
      <c r="Y25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5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52" s="301">
        <f t="shared" ca="1" si="25"/>
        <v>0</v>
      </c>
      <c r="AB252" s="298"/>
      <c r="AC252" s="326" t="str">
        <f>IF(Table2[[#This Row],[Member Type]]="Main Member",Lookups!$C$13,
IF(Table2[[#This Row],[Member Type]]="Spouse",_xlfn.XLOOKUP(B252,Table2[Main Member Link ID],Table2[Product Option],0),
IF(AND(Table2[[#This Row],[Member Type]]="Child",_xlfn.XLOOKUP(B252,Table2[Main Member Link ID],Table2[Product Option],0)&lt;&gt;"My Value Plus Life"),Lookups!$C$24,
IF(AND(OR(Table2[[#This Row],[Member Type]]="Parent",Table2[[#This Row],[Member Type]]="Extended"),_xlfn.XLOOKUP(B252,Table2[Main Member Link ID],Table2[Product Option],0)&lt;&gt;"My Value Plus Life"),Lookups!$C$26,""))))</f>
        <v/>
      </c>
      <c r="AD252" s="326" t="str">
        <f>IF(Table2[[#This Row],[Member Type]]="Main Member",Lookups!$C$14,"")</f>
        <v/>
      </c>
      <c r="AE25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Funeral",_xlfn.XLOOKUP(B252,Table2[Main Member Link ID],Table2[Benefit Name],0)=Lookups!$D$14),"",
IF(AND(Table2[[#This Row],[Member Type]]="Spouse",Table2[[#This Row],[Product Option]]="My Value Plus Life &amp; Funeral",_xlfn.XLOOKUP(B251,Table2[Main Member Link ID],Table2[Benefit Name],0)=Lookups!$D$15),Lookups!$D$20,
IF(AND(Table2[[#This Row],[Member Type]]="Spouse",Table2[[#This Row],[Product Option]]="My Value Plus Life &amp; Funeral",_xlfn.XLOOKUP(B251,Table2[Main Member Link ID],Table2[Benefit Name],0)=Lookups!$D$16),"",
IF(AND(Table2[[#This Row],[Member Type]]="Spouse",Table2[[#This Row],[Product Option]]="My Value Plus Life &amp; Funeral",_xlfn.XLOOKUP(B251,Table2[Main Member Link ID],Table2[Benefit Name],0)=Lookups!$D$17),Lookups!$D$21,
IF(AND(Table2[[#This Row],[Member Type]]="Child",Table2[[#This Row],[Product Option]]="My Value Plus Life &amp; Funeral",_xlfn.XLOOKUP(B252,Table2[Main Member Link ID],Table2[Benefit Name],0)=Lookups!$D$14),"",
IF(AND(Table2[[#This Row],[Member Type]]="Child",Table2[[#This Row],[Product Option]]="My Value Plus Life &amp; Funeral",_xlfn.XLOOKUP(B252,Table2[Main Member Link ID],Table2[Benefit Name],0)=Lookups!$D$15),"",
IF(AND(Table2[[#This Row],[Member Type]]="Child",Table2[[#This Row],[Product Option]]="My Value Plus Life &amp; Funeral",_xlfn.XLOOKUP(B252,Table2[Main Member Link ID],Table2[Benefit Name],0)=Lookups!$D$16),Lookups!$D$24,
IF(AND(Table2[[#This Row],[Member Type]]="Child",Table2[[#This Row],[Product Option]]="My Value Plus Life &amp; Funeral",_xlfn.XLOOKUP(B252,Table2[Main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Funeral",_xlfn.XLOOKUP(B252,Table2[Main Member Link ID],Table2[Benefit Name],0)&lt;&gt;Lookups!$D$14),
IF(_xlfn.XLOOKUP(B252,Table2[Main Member Link ID],Table2[Benefit Name],0)=0,"",_xlfn.XLOOKUP(B252,Table2[Main Member Link ID],Table2[Benefit Name],0)),"")))))))))))))))</f>
        <v/>
      </c>
      <c r="AF252" s="327" t="str">
        <f>IF(AND(Table2[[#This Row],[Member Type]]="Main Member",Table2[[#This Row],[Product Option]]="My Value Plus Life &amp; Funeral"),Lookups!$D$15,
IF(AND(Table2[[#This Row],[Member Type]]="Spouse",Table2[[#This Row],[Product Option]]="My Value Plus Life &amp; Funeral",_xlfn.XLOOKUP(B252,Table2[Main Member Link ID],Table2[Benefit Name],0)=Lookups!$D$14),"",
IF(AND(Table2[[#This Row],[Member Type]]="Spouse",Table2[[#This Row],[Product Option]]="My Value Plus Life &amp; Funeral",_xlfn.XLOOKUP(B251,Table2[Main Member Link ID],Table2[Benefit Name],0)=Lookups!$D$16),"",
IF(AND(Table2[[#This Row],[Member Type]]="Spouse",Table2[[#This Row],[Product Option]]="My Value Plus Life &amp; Funeral",_xlfn.XLOOKUP(B251,Table2[Main Member Link ID],Table2[Benefit Name],0)=Lookups!$D$15),"",
IF(AND(Table2[[#This Row],[Member Type]]="Spouse",Table2[[#This Row],[Product Option]]="My Value Plus Life &amp; Funeral",_xlfn.XLOOKUP(B251,Table2[Main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Funeral",_xlfn.XLOOKUP(B252,Table2[Main Member Link ID],Table2[Benefit Name],0)&lt;&gt;Lookups!$D$15),
IF(_xlfn.XLOOKUP(B252,Table2[Main Member Link ID],Table2[Benefit Name],0)=0,"",_xlfn.XLOOKUP(B252,Table2[Main Member Link ID],Table2[Benefit Name],0)),"")
))))))</f>
        <v/>
      </c>
      <c r="AG252" s="327" t="str">
        <f>IF(AND(Table2[[#This Row],[Member Type]]="Main Member",Table2[[#This Row],[Product Option]]="My Value Plus Life &amp; Funeral"),Lookups!$D$16,
IF(AND(Table2[[#This Row],[Member Type]]="Spouse",Table2[[#This Row],[Product Option]]="My Value Plus Life &amp; Funeral",_xlfn.XLOOKUP(B252,Table2[Main Member Link ID],Table2[Benefit Name],0)=Lookups!$D$14),"",
IF(AND(Table2[[#This Row],[Member Type]]="Spouse",Table2[[#This Row],[Product Option]]="My Value Plus Life &amp; Funeral",_xlfn.XLOOKUP(B251,Table2[Main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Funeral",_xlfn.XLOOKUP(B252,Table2[Main Member Link ID],Table2[Benefit Name],0)&lt;&gt;Lookups!$D$16),
IF(_xlfn.XLOOKUP(B252,Table2[Main Member Link ID],Table2[Benefit Name],0)=0,"",_xlfn.XLOOKUP(B252,Table2[Main Member Link ID],Table2[Benefit Name],0)),"")
))))</f>
        <v/>
      </c>
      <c r="AH252" s="327" t="str">
        <f>IF(AND(Table2[[#This Row],[Member Type]]="Main Member",Table2[[#This Row],[Product Option]]="My Value Plus Life &amp; Funeral"),Lookups!$D$17,
IF(AND(Table2[[#This Row],[Member Type]]="Spouse",Table2[[#This Row],[Product Option]]="My Value Plus Life &amp; Funeral",_xlfn.XLOOKUP(B252,Table2[Main Member Link ID],Table2[Benefit Name],0)=Lookups!$D$14),"",
IF(AND(Table2[[#This Row],[Member Type]]="Spouse",Table2[[#This Row],[Product Option]]="My Value Plus Life &amp; Funeral",_xlfn.XLOOKUP(B251,Table2[Main Member Link ID],Table2[Benefit Name],0)=Lookups!$D$16),"",
IF(AND(Table2[[#This Row],[Member Type]]="Child",Table2[[#This Row],[Product Option]]="My Value Plus Life &amp; Funeral"),"",
IF(AND(Table2[[#This Row],[Member Type]]="Child",Table2[[#This Row],[Product Option]]="My Value Plus Life &amp; Funeral",_xlfn.XLOOKUP(B252,Table2[Main Member Link ID],Table2[Benefit Name],0)=Lookups!$D$15),"",
IF(AND(OR(Table2[[#This Row],[Member Type]]="Spouse",Table2[[#This Row],[Member Type]]="Child"),Table2[[#This Row],[Product Option]]="My Value Plus Life &amp; Funeral",_xlfn.XLOOKUP(B252,Table2[Main Member Link ID],Table2[Benefit Name],0)&lt;&gt;Lookups!$D$17),
IF(_xlfn.XLOOKUP(B252,Table2[Main Member Link ID],Table2[Benefit Name],0)=0,"",_xlfn.XLOOKUP(B252,Table2[Main Member Link ID],Table2[Benefit Name],0)),""))))))</f>
        <v/>
      </c>
      <c r="AI252" s="328" t="str">
        <f>IF(AND(Table2[[#This Row],[Member Type]]="Main Member",Table2[[#This Row],[Table Lookup for Life Cover]]="MM_LIFE",Table2[[#This Row],[Age Next Birthday]]&lt;56),1,
IF(AND(Table2[[#This Row],[Member Type]]="Main Member",Table2[[#This Row],[Table Lookup for Life Cover]]="MM_LIFE",Table2[[#This Row],[Age Next Birthday]]&gt;=56),2,
""))</f>
        <v/>
      </c>
      <c r="AJ252" s="328">
        <f>IF(OR(Table2[[#This Row],[Member Type]]="Main Member",Table2[[#This Row],[Main Member Link ID]]=B251),1,0)</f>
        <v>1</v>
      </c>
      <c r="AK252" s="328">
        <f>IF(Table2[[#This Row],[Member Type]]=0,0,
IF(OR(Table2[[#This Row],[Member Type]]="Main Member",Table2[[#This Row],[Main Member Link ID]]&lt;&gt;B252),COUNTIFS(B:B,Table2[[#This Row],[Main Member Link ID]]),
COUNTIFS(B:B,Table2[[#This Row],[Main Member Link ID]],A:A,Table2[[#This Row],[Member Type]])))</f>
        <v>0</v>
      </c>
    </row>
    <row r="253" spans="1:37" x14ac:dyDescent="0.3">
      <c r="A253" s="284">
        <f>Table13[[#This Row],[Member Type]]</f>
        <v>0</v>
      </c>
      <c r="B253" s="284">
        <f>Table13[[#This Row],[Main Member Link ID]]</f>
        <v>0</v>
      </c>
      <c r="C253" s="284">
        <f>Table13[[#This Row],[ID Number]]</f>
        <v>0</v>
      </c>
      <c r="D253" s="285">
        <f>Table13[[#This Row],[Date Of Birth]]</f>
        <v>0</v>
      </c>
      <c r="E253" s="285">
        <f>Table13[[#This Row],[Commencement Date]]</f>
        <v>0</v>
      </c>
      <c r="F253" s="284">
        <f t="shared" si="21"/>
        <v>1</v>
      </c>
      <c r="G253" s="284">
        <f t="shared" si="22"/>
        <v>25</v>
      </c>
      <c r="H253" s="286">
        <f>Table13[[#This Row],[Product Option]]</f>
        <v>0</v>
      </c>
      <c r="I253" s="284">
        <f>IF(AND($A253="Main Member",Table2[[#This Row],[Product Option]]="My Value Plus Life"),"MM_LIFE",
IF(AND($A253="Spouse",Table2[[#This Row],[Product Option]]="My Value Plus Life"),"SP_LIFE",
IF(AND($A253="Main Member",Table2[[#This Row],[Product Option]]="My Value Plus Life &amp; Funeral"),"MM_LIFE",
IF(AND($A253="Spouse",Table2[[#This Row],[Product Option]]="My Value Plus Life &amp; Funeral"),_xlfn.XLOOKUP(Table2[[#This Row],[Benefit Name]],Lookups!$D$18:$D$23,Lookups!$E$18:$E$23,0),
0))))</f>
        <v>0</v>
      </c>
      <c r="J253" s="284">
        <f>IF($I253="","",
IF($I253="MM_LIFE",INDEX('Quotation Tool'!$S$54:$V$60,MATCH($T253,'Quotation Tool'!$S$54:$S$60,0),4),
IF($I253="SP_LIFE",_xlfn.XLOOKUP(B252,$B:$B,$J:$J,0),0)))</f>
        <v>0</v>
      </c>
      <c r="K253" s="287">
        <f t="shared" ca="1" si="26"/>
        <v>0</v>
      </c>
      <c r="L253" s="288">
        <f t="shared" ca="1" si="27"/>
        <v>0</v>
      </c>
      <c r="M253" s="289">
        <f t="shared" ca="1" si="23"/>
        <v>0</v>
      </c>
      <c r="N253" s="286">
        <f>Table13[[#This Row],[Benefit Option]]</f>
        <v>0</v>
      </c>
      <c r="O253" s="284">
        <f>IF(OR(Table2[[#This Row],[Member Type]]="Spouse",Table2[[#This Row],[Member Type]]="Child"),0,
IF(_xlfn.XLOOKUP($N253,Lookups!$D$13:$D$27,Lookups!$F$13:$F$27,0)=Table2[[#This Row],[Table Lookup for Life Cover]],0,
_xlfn.XLOOKUP($N253,Lookups!$D$13:$D$27,Lookups!$F$13:$F$27,0)))</f>
        <v>0</v>
      </c>
      <c r="P253" s="284">
        <f>IF(Table2[[#This Row],[Table Lookup for Funeral]]=0,0,IFERROR(INDEX('Quotation Tool'!$S$54:$V$60,MATCH($T253,'Quotation Tool'!$S$54:$S$60,0),3),0))</f>
        <v>0</v>
      </c>
      <c r="Q253" s="288">
        <f ca="1">IF(OR(Table2[[#This Row],[Benefit Name]]="My Value Plus Life - Main Member",Table2[[#This Row],[Benefit Name]]="My Value Plus Life - Spouse"),0,
IFERROR(VLOOKUP($G253,INDIRECT($O253),$P253,FALSE),0))</f>
        <v>0</v>
      </c>
      <c r="R253" s="288">
        <f ca="1">IF(OR(Table2[[#This Row],[Benefit Name]]="My Value Plus Life - Main Member",Table2[[#This Row],[Benefit Name]]="My Value Plus Life - Spouse"),0,
IFERROR(VLOOKUP($G253,INDIRECT($O253),$P253+1,FALSE),0))</f>
        <v>0</v>
      </c>
      <c r="S253" s="289">
        <f t="shared" ca="1" si="24"/>
        <v>0</v>
      </c>
      <c r="T253" s="284" t="str">
        <f>IF(Table13[[#This Row],[Premium Waiver]]="","None",Table13[[#This Row],[Premium Waiver]])</f>
        <v>None</v>
      </c>
      <c r="U253" s="284">
        <f>Table13[[#This Row],[VAPs Options]]</f>
        <v>0</v>
      </c>
      <c r="V253" s="284">
        <f>Table13[[#This Row],[Annual Increase Option]]</f>
        <v>0</v>
      </c>
      <c r="W253" s="290">
        <f>Table13[[#This Row],[Life Cover Amount]]</f>
        <v>0</v>
      </c>
      <c r="X253" s="290">
        <f>Table13[[#This Row],[Funeral Cover Amount]]</f>
        <v>0</v>
      </c>
      <c r="Y25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5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53" s="301">
        <f t="shared" ca="1" si="25"/>
        <v>0</v>
      </c>
      <c r="AB253" s="298"/>
      <c r="AC253" s="326" t="str">
        <f>IF(Table2[[#This Row],[Member Type]]="Main Member",Lookups!$C$13,
IF(Table2[[#This Row],[Member Type]]="Spouse",_xlfn.XLOOKUP(B253,Table2[Main Member Link ID],Table2[Product Option],0),
IF(AND(Table2[[#This Row],[Member Type]]="Child",_xlfn.XLOOKUP(B253,Table2[Main Member Link ID],Table2[Product Option],0)&lt;&gt;"My Value Plus Life"),Lookups!$C$24,
IF(AND(OR(Table2[[#This Row],[Member Type]]="Parent",Table2[[#This Row],[Member Type]]="Extended"),_xlfn.XLOOKUP(B253,Table2[Main Member Link ID],Table2[Product Option],0)&lt;&gt;"My Value Plus Life"),Lookups!$C$26,""))))</f>
        <v/>
      </c>
      <c r="AD253" s="326" t="str">
        <f>IF(Table2[[#This Row],[Member Type]]="Main Member",Lookups!$C$14,"")</f>
        <v/>
      </c>
      <c r="AE25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Funeral",_xlfn.XLOOKUP(B253,Table2[Main Member Link ID],Table2[Benefit Name],0)=Lookups!$D$14),"",
IF(AND(Table2[[#This Row],[Member Type]]="Spouse",Table2[[#This Row],[Product Option]]="My Value Plus Life &amp; Funeral",_xlfn.XLOOKUP(B252,Table2[Main Member Link ID],Table2[Benefit Name],0)=Lookups!$D$15),Lookups!$D$20,
IF(AND(Table2[[#This Row],[Member Type]]="Spouse",Table2[[#This Row],[Product Option]]="My Value Plus Life &amp; Funeral",_xlfn.XLOOKUP(B252,Table2[Main Member Link ID],Table2[Benefit Name],0)=Lookups!$D$16),"",
IF(AND(Table2[[#This Row],[Member Type]]="Spouse",Table2[[#This Row],[Product Option]]="My Value Plus Life &amp; Funeral",_xlfn.XLOOKUP(B252,Table2[Main Member Link ID],Table2[Benefit Name],0)=Lookups!$D$17),Lookups!$D$21,
IF(AND(Table2[[#This Row],[Member Type]]="Child",Table2[[#This Row],[Product Option]]="My Value Plus Life &amp; Funeral",_xlfn.XLOOKUP(B253,Table2[Main Member Link ID],Table2[Benefit Name],0)=Lookups!$D$14),"",
IF(AND(Table2[[#This Row],[Member Type]]="Child",Table2[[#This Row],[Product Option]]="My Value Plus Life &amp; Funeral",_xlfn.XLOOKUP(B253,Table2[Main Member Link ID],Table2[Benefit Name],0)=Lookups!$D$15),"",
IF(AND(Table2[[#This Row],[Member Type]]="Child",Table2[[#This Row],[Product Option]]="My Value Plus Life &amp; Funeral",_xlfn.XLOOKUP(B253,Table2[Main Member Link ID],Table2[Benefit Name],0)=Lookups!$D$16),Lookups!$D$24,
IF(AND(Table2[[#This Row],[Member Type]]="Child",Table2[[#This Row],[Product Option]]="My Value Plus Life &amp; Funeral",_xlfn.XLOOKUP(B253,Table2[Main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Funeral",_xlfn.XLOOKUP(B253,Table2[Main Member Link ID],Table2[Benefit Name],0)&lt;&gt;Lookups!$D$14),
IF(_xlfn.XLOOKUP(B253,Table2[Main Member Link ID],Table2[Benefit Name],0)=0,"",_xlfn.XLOOKUP(B253,Table2[Main Member Link ID],Table2[Benefit Name],0)),"")))))))))))))))</f>
        <v/>
      </c>
      <c r="AF253" s="327" t="str">
        <f>IF(AND(Table2[[#This Row],[Member Type]]="Main Member",Table2[[#This Row],[Product Option]]="My Value Plus Life &amp; Funeral"),Lookups!$D$15,
IF(AND(Table2[[#This Row],[Member Type]]="Spouse",Table2[[#This Row],[Product Option]]="My Value Plus Life &amp; Funeral",_xlfn.XLOOKUP(B253,Table2[Main Member Link ID],Table2[Benefit Name],0)=Lookups!$D$14),"",
IF(AND(Table2[[#This Row],[Member Type]]="Spouse",Table2[[#This Row],[Product Option]]="My Value Plus Life &amp; Funeral",_xlfn.XLOOKUP(B252,Table2[Main Member Link ID],Table2[Benefit Name],0)=Lookups!$D$16),"",
IF(AND(Table2[[#This Row],[Member Type]]="Spouse",Table2[[#This Row],[Product Option]]="My Value Plus Life &amp; Funeral",_xlfn.XLOOKUP(B252,Table2[Main Member Link ID],Table2[Benefit Name],0)=Lookups!$D$15),"",
IF(AND(Table2[[#This Row],[Member Type]]="Spouse",Table2[[#This Row],[Product Option]]="My Value Plus Life &amp; Funeral",_xlfn.XLOOKUP(B252,Table2[Main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Funeral",_xlfn.XLOOKUP(B253,Table2[Main Member Link ID],Table2[Benefit Name],0)&lt;&gt;Lookups!$D$15),
IF(_xlfn.XLOOKUP(B253,Table2[Main Member Link ID],Table2[Benefit Name],0)=0,"",_xlfn.XLOOKUP(B253,Table2[Main Member Link ID],Table2[Benefit Name],0)),"")
))))))</f>
        <v/>
      </c>
      <c r="AG253" s="327" t="str">
        <f>IF(AND(Table2[[#This Row],[Member Type]]="Main Member",Table2[[#This Row],[Product Option]]="My Value Plus Life &amp; Funeral"),Lookups!$D$16,
IF(AND(Table2[[#This Row],[Member Type]]="Spouse",Table2[[#This Row],[Product Option]]="My Value Plus Life &amp; Funeral",_xlfn.XLOOKUP(B253,Table2[Main Member Link ID],Table2[Benefit Name],0)=Lookups!$D$14),"",
IF(AND(Table2[[#This Row],[Member Type]]="Spouse",Table2[[#This Row],[Product Option]]="My Value Plus Life &amp; Funeral",_xlfn.XLOOKUP(B252,Table2[Main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Funeral",_xlfn.XLOOKUP(B253,Table2[Main Member Link ID],Table2[Benefit Name],0)&lt;&gt;Lookups!$D$16),
IF(_xlfn.XLOOKUP(B253,Table2[Main Member Link ID],Table2[Benefit Name],0)=0,"",_xlfn.XLOOKUP(B253,Table2[Main Member Link ID],Table2[Benefit Name],0)),"")
))))</f>
        <v/>
      </c>
      <c r="AH253" s="327" t="str">
        <f>IF(AND(Table2[[#This Row],[Member Type]]="Main Member",Table2[[#This Row],[Product Option]]="My Value Plus Life &amp; Funeral"),Lookups!$D$17,
IF(AND(Table2[[#This Row],[Member Type]]="Spouse",Table2[[#This Row],[Product Option]]="My Value Plus Life &amp; Funeral",_xlfn.XLOOKUP(B253,Table2[Main Member Link ID],Table2[Benefit Name],0)=Lookups!$D$14),"",
IF(AND(Table2[[#This Row],[Member Type]]="Spouse",Table2[[#This Row],[Product Option]]="My Value Plus Life &amp; Funeral",_xlfn.XLOOKUP(B252,Table2[Main Member Link ID],Table2[Benefit Name],0)=Lookups!$D$16),"",
IF(AND(Table2[[#This Row],[Member Type]]="Child",Table2[[#This Row],[Product Option]]="My Value Plus Life &amp; Funeral"),"",
IF(AND(Table2[[#This Row],[Member Type]]="Child",Table2[[#This Row],[Product Option]]="My Value Plus Life &amp; Funeral",_xlfn.XLOOKUP(B253,Table2[Main Member Link ID],Table2[Benefit Name],0)=Lookups!$D$15),"",
IF(AND(OR(Table2[[#This Row],[Member Type]]="Spouse",Table2[[#This Row],[Member Type]]="Child"),Table2[[#This Row],[Product Option]]="My Value Plus Life &amp; Funeral",_xlfn.XLOOKUP(B253,Table2[Main Member Link ID],Table2[Benefit Name],0)&lt;&gt;Lookups!$D$17),
IF(_xlfn.XLOOKUP(B253,Table2[Main Member Link ID],Table2[Benefit Name],0)=0,"",_xlfn.XLOOKUP(B253,Table2[Main Member Link ID],Table2[Benefit Name],0)),""))))))</f>
        <v/>
      </c>
      <c r="AI253" s="328" t="str">
        <f>IF(AND(Table2[[#This Row],[Member Type]]="Main Member",Table2[[#This Row],[Table Lookup for Life Cover]]="MM_LIFE",Table2[[#This Row],[Age Next Birthday]]&lt;56),1,
IF(AND(Table2[[#This Row],[Member Type]]="Main Member",Table2[[#This Row],[Table Lookup for Life Cover]]="MM_LIFE",Table2[[#This Row],[Age Next Birthday]]&gt;=56),2,
""))</f>
        <v/>
      </c>
      <c r="AJ253" s="328">
        <f>IF(OR(Table2[[#This Row],[Member Type]]="Main Member",Table2[[#This Row],[Main Member Link ID]]=B252),1,0)</f>
        <v>1</v>
      </c>
      <c r="AK253" s="328">
        <f>IF(Table2[[#This Row],[Member Type]]=0,0,
IF(OR(Table2[[#This Row],[Member Type]]="Main Member",Table2[[#This Row],[Main Member Link ID]]&lt;&gt;B253),COUNTIFS(B:B,Table2[[#This Row],[Main Member Link ID]]),
COUNTIFS(B:B,Table2[[#This Row],[Main Member Link ID]],A:A,Table2[[#This Row],[Member Type]])))</f>
        <v>0</v>
      </c>
    </row>
    <row r="254" spans="1:37" x14ac:dyDescent="0.3">
      <c r="A254" s="284">
        <f>Table13[[#This Row],[Member Type]]</f>
        <v>0</v>
      </c>
      <c r="B254" s="284">
        <f>Table13[[#This Row],[Main Member Link ID]]</f>
        <v>0</v>
      </c>
      <c r="C254" s="284">
        <f>Table13[[#This Row],[ID Number]]</f>
        <v>0</v>
      </c>
      <c r="D254" s="285">
        <f>Table13[[#This Row],[Date Of Birth]]</f>
        <v>0</v>
      </c>
      <c r="E254" s="285">
        <f>Table13[[#This Row],[Commencement Date]]</f>
        <v>0</v>
      </c>
      <c r="F254" s="284">
        <f t="shared" si="21"/>
        <v>1</v>
      </c>
      <c r="G254" s="284">
        <f t="shared" si="22"/>
        <v>25</v>
      </c>
      <c r="H254" s="286">
        <f>Table13[[#This Row],[Product Option]]</f>
        <v>0</v>
      </c>
      <c r="I254" s="284">
        <f>IF(AND($A254="Main Member",Table2[[#This Row],[Product Option]]="My Value Plus Life"),"MM_LIFE",
IF(AND($A254="Spouse",Table2[[#This Row],[Product Option]]="My Value Plus Life"),"SP_LIFE",
IF(AND($A254="Main Member",Table2[[#This Row],[Product Option]]="My Value Plus Life &amp; Funeral"),"MM_LIFE",
IF(AND($A254="Spouse",Table2[[#This Row],[Product Option]]="My Value Plus Life &amp; Funeral"),_xlfn.XLOOKUP(Table2[[#This Row],[Benefit Name]],Lookups!$D$18:$D$23,Lookups!$E$18:$E$23,0),
0))))</f>
        <v>0</v>
      </c>
      <c r="J254" s="284">
        <f>IF($I254="","",
IF($I254="MM_LIFE",INDEX('Quotation Tool'!$S$54:$V$60,MATCH($T254,'Quotation Tool'!$S$54:$S$60,0),4),
IF($I254="SP_LIFE",_xlfn.XLOOKUP(B253,$B:$B,$J:$J,0),0)))</f>
        <v>0</v>
      </c>
      <c r="K254" s="287">
        <f t="shared" ca="1" si="26"/>
        <v>0</v>
      </c>
      <c r="L254" s="288">
        <f t="shared" ca="1" si="27"/>
        <v>0</v>
      </c>
      <c r="M254" s="289">
        <f t="shared" ca="1" si="23"/>
        <v>0</v>
      </c>
      <c r="N254" s="286">
        <f>Table13[[#This Row],[Benefit Option]]</f>
        <v>0</v>
      </c>
      <c r="O254" s="284">
        <f>IF(OR(Table2[[#This Row],[Member Type]]="Spouse",Table2[[#This Row],[Member Type]]="Child"),0,
IF(_xlfn.XLOOKUP($N254,Lookups!$D$13:$D$27,Lookups!$F$13:$F$27,0)=Table2[[#This Row],[Table Lookup for Life Cover]],0,
_xlfn.XLOOKUP($N254,Lookups!$D$13:$D$27,Lookups!$F$13:$F$27,0)))</f>
        <v>0</v>
      </c>
      <c r="P254" s="284">
        <f>IF(Table2[[#This Row],[Table Lookup for Funeral]]=0,0,IFERROR(INDEX('Quotation Tool'!$S$54:$V$60,MATCH($T254,'Quotation Tool'!$S$54:$S$60,0),3),0))</f>
        <v>0</v>
      </c>
      <c r="Q254" s="288">
        <f ca="1">IF(OR(Table2[[#This Row],[Benefit Name]]="My Value Plus Life - Main Member",Table2[[#This Row],[Benefit Name]]="My Value Plus Life - Spouse"),0,
IFERROR(VLOOKUP($G254,INDIRECT($O254),$P254,FALSE),0))</f>
        <v>0</v>
      </c>
      <c r="R254" s="288">
        <f ca="1">IF(OR(Table2[[#This Row],[Benefit Name]]="My Value Plus Life - Main Member",Table2[[#This Row],[Benefit Name]]="My Value Plus Life - Spouse"),0,
IFERROR(VLOOKUP($G254,INDIRECT($O254),$P254+1,FALSE),0))</f>
        <v>0</v>
      </c>
      <c r="S254" s="289">
        <f t="shared" ca="1" si="24"/>
        <v>0</v>
      </c>
      <c r="T254" s="284" t="str">
        <f>IF(Table13[[#This Row],[Premium Waiver]]="","None",Table13[[#This Row],[Premium Waiver]])</f>
        <v>None</v>
      </c>
      <c r="U254" s="284">
        <f>Table13[[#This Row],[VAPs Options]]</f>
        <v>0</v>
      </c>
      <c r="V254" s="284">
        <f>Table13[[#This Row],[Annual Increase Option]]</f>
        <v>0</v>
      </c>
      <c r="W254" s="290">
        <f>Table13[[#This Row],[Life Cover Amount]]</f>
        <v>0</v>
      </c>
      <c r="X254" s="290">
        <f>Table13[[#This Row],[Funeral Cover Amount]]</f>
        <v>0</v>
      </c>
      <c r="Y25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5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54" s="301">
        <f t="shared" ca="1" si="25"/>
        <v>0</v>
      </c>
      <c r="AB254" s="298"/>
      <c r="AC254" s="326" t="str">
        <f>IF(Table2[[#This Row],[Member Type]]="Main Member",Lookups!$C$13,
IF(Table2[[#This Row],[Member Type]]="Spouse",_xlfn.XLOOKUP(B254,Table2[Main Member Link ID],Table2[Product Option],0),
IF(AND(Table2[[#This Row],[Member Type]]="Child",_xlfn.XLOOKUP(B254,Table2[Main Member Link ID],Table2[Product Option],0)&lt;&gt;"My Value Plus Life"),Lookups!$C$24,
IF(AND(OR(Table2[[#This Row],[Member Type]]="Parent",Table2[[#This Row],[Member Type]]="Extended"),_xlfn.XLOOKUP(B254,Table2[Main Member Link ID],Table2[Product Option],0)&lt;&gt;"My Value Plus Life"),Lookups!$C$26,""))))</f>
        <v/>
      </c>
      <c r="AD254" s="326" t="str">
        <f>IF(Table2[[#This Row],[Member Type]]="Main Member",Lookups!$C$14,"")</f>
        <v/>
      </c>
      <c r="AE25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Funeral",_xlfn.XLOOKUP(B254,Table2[Main Member Link ID],Table2[Benefit Name],0)=Lookups!$D$14),"",
IF(AND(Table2[[#This Row],[Member Type]]="Spouse",Table2[[#This Row],[Product Option]]="My Value Plus Life &amp; Funeral",_xlfn.XLOOKUP(B253,Table2[Main Member Link ID],Table2[Benefit Name],0)=Lookups!$D$15),Lookups!$D$20,
IF(AND(Table2[[#This Row],[Member Type]]="Spouse",Table2[[#This Row],[Product Option]]="My Value Plus Life &amp; Funeral",_xlfn.XLOOKUP(B253,Table2[Main Member Link ID],Table2[Benefit Name],0)=Lookups!$D$16),"",
IF(AND(Table2[[#This Row],[Member Type]]="Spouse",Table2[[#This Row],[Product Option]]="My Value Plus Life &amp; Funeral",_xlfn.XLOOKUP(B253,Table2[Main Member Link ID],Table2[Benefit Name],0)=Lookups!$D$17),Lookups!$D$21,
IF(AND(Table2[[#This Row],[Member Type]]="Child",Table2[[#This Row],[Product Option]]="My Value Plus Life &amp; Funeral",_xlfn.XLOOKUP(B254,Table2[Main Member Link ID],Table2[Benefit Name],0)=Lookups!$D$14),"",
IF(AND(Table2[[#This Row],[Member Type]]="Child",Table2[[#This Row],[Product Option]]="My Value Plus Life &amp; Funeral",_xlfn.XLOOKUP(B254,Table2[Main Member Link ID],Table2[Benefit Name],0)=Lookups!$D$15),"",
IF(AND(Table2[[#This Row],[Member Type]]="Child",Table2[[#This Row],[Product Option]]="My Value Plus Life &amp; Funeral",_xlfn.XLOOKUP(B254,Table2[Main Member Link ID],Table2[Benefit Name],0)=Lookups!$D$16),Lookups!$D$24,
IF(AND(Table2[[#This Row],[Member Type]]="Child",Table2[[#This Row],[Product Option]]="My Value Plus Life &amp; Funeral",_xlfn.XLOOKUP(B254,Table2[Main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Funeral",_xlfn.XLOOKUP(B254,Table2[Main Member Link ID],Table2[Benefit Name],0)&lt;&gt;Lookups!$D$14),
IF(_xlfn.XLOOKUP(B254,Table2[Main Member Link ID],Table2[Benefit Name],0)=0,"",_xlfn.XLOOKUP(B254,Table2[Main Member Link ID],Table2[Benefit Name],0)),"")))))))))))))))</f>
        <v/>
      </c>
      <c r="AF254" s="327" t="str">
        <f>IF(AND(Table2[[#This Row],[Member Type]]="Main Member",Table2[[#This Row],[Product Option]]="My Value Plus Life &amp; Funeral"),Lookups!$D$15,
IF(AND(Table2[[#This Row],[Member Type]]="Spouse",Table2[[#This Row],[Product Option]]="My Value Plus Life &amp; Funeral",_xlfn.XLOOKUP(B254,Table2[Main Member Link ID],Table2[Benefit Name],0)=Lookups!$D$14),"",
IF(AND(Table2[[#This Row],[Member Type]]="Spouse",Table2[[#This Row],[Product Option]]="My Value Plus Life &amp; Funeral",_xlfn.XLOOKUP(B253,Table2[Main Member Link ID],Table2[Benefit Name],0)=Lookups!$D$16),"",
IF(AND(Table2[[#This Row],[Member Type]]="Spouse",Table2[[#This Row],[Product Option]]="My Value Plus Life &amp; Funeral",_xlfn.XLOOKUP(B253,Table2[Main Member Link ID],Table2[Benefit Name],0)=Lookups!$D$15),"",
IF(AND(Table2[[#This Row],[Member Type]]="Spouse",Table2[[#This Row],[Product Option]]="My Value Plus Life &amp; Funeral",_xlfn.XLOOKUP(B253,Table2[Main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Funeral",_xlfn.XLOOKUP(B254,Table2[Main Member Link ID],Table2[Benefit Name],0)&lt;&gt;Lookups!$D$15),
IF(_xlfn.XLOOKUP(B254,Table2[Main Member Link ID],Table2[Benefit Name],0)=0,"",_xlfn.XLOOKUP(B254,Table2[Main Member Link ID],Table2[Benefit Name],0)),"")
))))))</f>
        <v/>
      </c>
      <c r="AG254" s="327" t="str">
        <f>IF(AND(Table2[[#This Row],[Member Type]]="Main Member",Table2[[#This Row],[Product Option]]="My Value Plus Life &amp; Funeral"),Lookups!$D$16,
IF(AND(Table2[[#This Row],[Member Type]]="Spouse",Table2[[#This Row],[Product Option]]="My Value Plus Life &amp; Funeral",_xlfn.XLOOKUP(B254,Table2[Main Member Link ID],Table2[Benefit Name],0)=Lookups!$D$14),"",
IF(AND(Table2[[#This Row],[Member Type]]="Spouse",Table2[[#This Row],[Product Option]]="My Value Plus Life &amp; Funeral",_xlfn.XLOOKUP(B253,Table2[Main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Funeral",_xlfn.XLOOKUP(B254,Table2[Main Member Link ID],Table2[Benefit Name],0)&lt;&gt;Lookups!$D$16),
IF(_xlfn.XLOOKUP(B254,Table2[Main Member Link ID],Table2[Benefit Name],0)=0,"",_xlfn.XLOOKUP(B254,Table2[Main Member Link ID],Table2[Benefit Name],0)),"")
))))</f>
        <v/>
      </c>
      <c r="AH254" s="327" t="str">
        <f>IF(AND(Table2[[#This Row],[Member Type]]="Main Member",Table2[[#This Row],[Product Option]]="My Value Plus Life &amp; Funeral"),Lookups!$D$17,
IF(AND(Table2[[#This Row],[Member Type]]="Spouse",Table2[[#This Row],[Product Option]]="My Value Plus Life &amp; Funeral",_xlfn.XLOOKUP(B254,Table2[Main Member Link ID],Table2[Benefit Name],0)=Lookups!$D$14),"",
IF(AND(Table2[[#This Row],[Member Type]]="Spouse",Table2[[#This Row],[Product Option]]="My Value Plus Life &amp; Funeral",_xlfn.XLOOKUP(B253,Table2[Main Member Link ID],Table2[Benefit Name],0)=Lookups!$D$16),"",
IF(AND(Table2[[#This Row],[Member Type]]="Child",Table2[[#This Row],[Product Option]]="My Value Plus Life &amp; Funeral"),"",
IF(AND(Table2[[#This Row],[Member Type]]="Child",Table2[[#This Row],[Product Option]]="My Value Plus Life &amp; Funeral",_xlfn.XLOOKUP(B254,Table2[Main Member Link ID],Table2[Benefit Name],0)=Lookups!$D$15),"",
IF(AND(OR(Table2[[#This Row],[Member Type]]="Spouse",Table2[[#This Row],[Member Type]]="Child"),Table2[[#This Row],[Product Option]]="My Value Plus Life &amp; Funeral",_xlfn.XLOOKUP(B254,Table2[Main Member Link ID],Table2[Benefit Name],0)&lt;&gt;Lookups!$D$17),
IF(_xlfn.XLOOKUP(B254,Table2[Main Member Link ID],Table2[Benefit Name],0)=0,"",_xlfn.XLOOKUP(B254,Table2[Main Member Link ID],Table2[Benefit Name],0)),""))))))</f>
        <v/>
      </c>
      <c r="AI254" s="328" t="str">
        <f>IF(AND(Table2[[#This Row],[Member Type]]="Main Member",Table2[[#This Row],[Table Lookup for Life Cover]]="MM_LIFE",Table2[[#This Row],[Age Next Birthday]]&lt;56),1,
IF(AND(Table2[[#This Row],[Member Type]]="Main Member",Table2[[#This Row],[Table Lookup for Life Cover]]="MM_LIFE",Table2[[#This Row],[Age Next Birthday]]&gt;=56),2,
""))</f>
        <v/>
      </c>
      <c r="AJ254" s="328">
        <f>IF(OR(Table2[[#This Row],[Member Type]]="Main Member",Table2[[#This Row],[Main Member Link ID]]=B253),1,0)</f>
        <v>1</v>
      </c>
      <c r="AK254" s="328">
        <f>IF(Table2[[#This Row],[Member Type]]=0,0,
IF(OR(Table2[[#This Row],[Member Type]]="Main Member",Table2[[#This Row],[Main Member Link ID]]&lt;&gt;B254),COUNTIFS(B:B,Table2[[#This Row],[Main Member Link ID]]),
COUNTIFS(B:B,Table2[[#This Row],[Main Member Link ID]],A:A,Table2[[#This Row],[Member Type]])))</f>
        <v>0</v>
      </c>
    </row>
    <row r="255" spans="1:37" x14ac:dyDescent="0.3">
      <c r="A255" s="284">
        <f>Table13[[#This Row],[Member Type]]</f>
        <v>0</v>
      </c>
      <c r="B255" s="284">
        <f>Table13[[#This Row],[Main Member Link ID]]</f>
        <v>0</v>
      </c>
      <c r="C255" s="284">
        <f>Table13[[#This Row],[ID Number]]</f>
        <v>0</v>
      </c>
      <c r="D255" s="285">
        <f>Table13[[#This Row],[Date Of Birth]]</f>
        <v>0</v>
      </c>
      <c r="E255" s="285">
        <f>Table13[[#This Row],[Commencement Date]]</f>
        <v>0</v>
      </c>
      <c r="F255" s="284">
        <f t="shared" si="21"/>
        <v>1</v>
      </c>
      <c r="G255" s="284">
        <f t="shared" si="22"/>
        <v>25</v>
      </c>
      <c r="H255" s="286">
        <f>Table13[[#This Row],[Product Option]]</f>
        <v>0</v>
      </c>
      <c r="I255" s="284">
        <f>IF(AND($A255="Main Member",Table2[[#This Row],[Product Option]]="My Value Plus Life"),"MM_LIFE",
IF(AND($A255="Spouse",Table2[[#This Row],[Product Option]]="My Value Plus Life"),"SP_LIFE",
IF(AND($A255="Main Member",Table2[[#This Row],[Product Option]]="My Value Plus Life &amp; Funeral"),"MM_LIFE",
IF(AND($A255="Spouse",Table2[[#This Row],[Product Option]]="My Value Plus Life &amp; Funeral"),_xlfn.XLOOKUP(Table2[[#This Row],[Benefit Name]],Lookups!$D$18:$D$23,Lookups!$E$18:$E$23,0),
0))))</f>
        <v>0</v>
      </c>
      <c r="J255" s="284">
        <f>IF($I255="","",
IF($I255="MM_LIFE",INDEX('Quotation Tool'!$S$54:$V$60,MATCH($T255,'Quotation Tool'!$S$54:$S$60,0),4),
IF($I255="SP_LIFE",_xlfn.XLOOKUP(B254,$B:$B,$J:$J,0),0)))</f>
        <v>0</v>
      </c>
      <c r="K255" s="287">
        <f t="shared" ca="1" si="26"/>
        <v>0</v>
      </c>
      <c r="L255" s="288">
        <f t="shared" ca="1" si="27"/>
        <v>0</v>
      </c>
      <c r="M255" s="289">
        <f t="shared" ca="1" si="23"/>
        <v>0</v>
      </c>
      <c r="N255" s="286">
        <f>Table13[[#This Row],[Benefit Option]]</f>
        <v>0</v>
      </c>
      <c r="O255" s="284">
        <f>IF(OR(Table2[[#This Row],[Member Type]]="Spouse",Table2[[#This Row],[Member Type]]="Child"),0,
IF(_xlfn.XLOOKUP($N255,Lookups!$D$13:$D$27,Lookups!$F$13:$F$27,0)=Table2[[#This Row],[Table Lookup for Life Cover]],0,
_xlfn.XLOOKUP($N255,Lookups!$D$13:$D$27,Lookups!$F$13:$F$27,0)))</f>
        <v>0</v>
      </c>
      <c r="P255" s="284">
        <f>IF(Table2[[#This Row],[Table Lookup for Funeral]]=0,0,IFERROR(INDEX('Quotation Tool'!$S$54:$V$60,MATCH($T255,'Quotation Tool'!$S$54:$S$60,0),3),0))</f>
        <v>0</v>
      </c>
      <c r="Q255" s="288">
        <f ca="1">IF(OR(Table2[[#This Row],[Benefit Name]]="My Value Plus Life - Main Member",Table2[[#This Row],[Benefit Name]]="My Value Plus Life - Spouse"),0,
IFERROR(VLOOKUP($G255,INDIRECT($O255),$P255,FALSE),0))</f>
        <v>0</v>
      </c>
      <c r="R255" s="288">
        <f ca="1">IF(OR(Table2[[#This Row],[Benefit Name]]="My Value Plus Life - Main Member",Table2[[#This Row],[Benefit Name]]="My Value Plus Life - Spouse"),0,
IFERROR(VLOOKUP($G255,INDIRECT($O255),$P255+1,FALSE),0))</f>
        <v>0</v>
      </c>
      <c r="S255" s="289">
        <f t="shared" ca="1" si="24"/>
        <v>0</v>
      </c>
      <c r="T255" s="284" t="str">
        <f>IF(Table13[[#This Row],[Premium Waiver]]="","None",Table13[[#This Row],[Premium Waiver]])</f>
        <v>None</v>
      </c>
      <c r="U255" s="284">
        <f>Table13[[#This Row],[VAPs Options]]</f>
        <v>0</v>
      </c>
      <c r="V255" s="284">
        <f>Table13[[#This Row],[Annual Increase Option]]</f>
        <v>0</v>
      </c>
      <c r="W255" s="290">
        <f>Table13[[#This Row],[Life Cover Amount]]</f>
        <v>0</v>
      </c>
      <c r="X255" s="290">
        <f>Table13[[#This Row],[Funeral Cover Amount]]</f>
        <v>0</v>
      </c>
      <c r="Y25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5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55" s="301">
        <f t="shared" ca="1" si="25"/>
        <v>0</v>
      </c>
      <c r="AB255" s="298"/>
      <c r="AC255" s="326" t="str">
        <f>IF(Table2[[#This Row],[Member Type]]="Main Member",Lookups!$C$13,
IF(Table2[[#This Row],[Member Type]]="Spouse",_xlfn.XLOOKUP(B255,Table2[Main Member Link ID],Table2[Product Option],0),
IF(AND(Table2[[#This Row],[Member Type]]="Child",_xlfn.XLOOKUP(B255,Table2[Main Member Link ID],Table2[Product Option],0)&lt;&gt;"My Value Plus Life"),Lookups!$C$24,
IF(AND(OR(Table2[[#This Row],[Member Type]]="Parent",Table2[[#This Row],[Member Type]]="Extended"),_xlfn.XLOOKUP(B255,Table2[Main Member Link ID],Table2[Product Option],0)&lt;&gt;"My Value Plus Life"),Lookups!$C$26,""))))</f>
        <v/>
      </c>
      <c r="AD255" s="326" t="str">
        <f>IF(Table2[[#This Row],[Member Type]]="Main Member",Lookups!$C$14,"")</f>
        <v/>
      </c>
      <c r="AE25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Funeral",_xlfn.XLOOKUP(B255,Table2[Main Member Link ID],Table2[Benefit Name],0)=Lookups!$D$14),"",
IF(AND(Table2[[#This Row],[Member Type]]="Spouse",Table2[[#This Row],[Product Option]]="My Value Plus Life &amp; Funeral",_xlfn.XLOOKUP(B254,Table2[Main Member Link ID],Table2[Benefit Name],0)=Lookups!$D$15),Lookups!$D$20,
IF(AND(Table2[[#This Row],[Member Type]]="Spouse",Table2[[#This Row],[Product Option]]="My Value Plus Life &amp; Funeral",_xlfn.XLOOKUP(B254,Table2[Main Member Link ID],Table2[Benefit Name],0)=Lookups!$D$16),"",
IF(AND(Table2[[#This Row],[Member Type]]="Spouse",Table2[[#This Row],[Product Option]]="My Value Plus Life &amp; Funeral",_xlfn.XLOOKUP(B254,Table2[Main Member Link ID],Table2[Benefit Name],0)=Lookups!$D$17),Lookups!$D$21,
IF(AND(Table2[[#This Row],[Member Type]]="Child",Table2[[#This Row],[Product Option]]="My Value Plus Life &amp; Funeral",_xlfn.XLOOKUP(B255,Table2[Main Member Link ID],Table2[Benefit Name],0)=Lookups!$D$14),"",
IF(AND(Table2[[#This Row],[Member Type]]="Child",Table2[[#This Row],[Product Option]]="My Value Plus Life &amp; Funeral",_xlfn.XLOOKUP(B255,Table2[Main Member Link ID],Table2[Benefit Name],0)=Lookups!$D$15),"",
IF(AND(Table2[[#This Row],[Member Type]]="Child",Table2[[#This Row],[Product Option]]="My Value Plus Life &amp; Funeral",_xlfn.XLOOKUP(B255,Table2[Main Member Link ID],Table2[Benefit Name],0)=Lookups!$D$16),Lookups!$D$24,
IF(AND(Table2[[#This Row],[Member Type]]="Child",Table2[[#This Row],[Product Option]]="My Value Plus Life &amp; Funeral",_xlfn.XLOOKUP(B255,Table2[Main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Funeral",_xlfn.XLOOKUP(B255,Table2[Main Member Link ID],Table2[Benefit Name],0)&lt;&gt;Lookups!$D$14),
IF(_xlfn.XLOOKUP(B255,Table2[Main Member Link ID],Table2[Benefit Name],0)=0,"",_xlfn.XLOOKUP(B255,Table2[Main Member Link ID],Table2[Benefit Name],0)),"")))))))))))))))</f>
        <v/>
      </c>
      <c r="AF255" s="327" t="str">
        <f>IF(AND(Table2[[#This Row],[Member Type]]="Main Member",Table2[[#This Row],[Product Option]]="My Value Plus Life &amp; Funeral"),Lookups!$D$15,
IF(AND(Table2[[#This Row],[Member Type]]="Spouse",Table2[[#This Row],[Product Option]]="My Value Plus Life &amp; Funeral",_xlfn.XLOOKUP(B255,Table2[Main Member Link ID],Table2[Benefit Name],0)=Lookups!$D$14),"",
IF(AND(Table2[[#This Row],[Member Type]]="Spouse",Table2[[#This Row],[Product Option]]="My Value Plus Life &amp; Funeral",_xlfn.XLOOKUP(B254,Table2[Main Member Link ID],Table2[Benefit Name],0)=Lookups!$D$16),"",
IF(AND(Table2[[#This Row],[Member Type]]="Spouse",Table2[[#This Row],[Product Option]]="My Value Plus Life &amp; Funeral",_xlfn.XLOOKUP(B254,Table2[Main Member Link ID],Table2[Benefit Name],0)=Lookups!$D$15),"",
IF(AND(Table2[[#This Row],[Member Type]]="Spouse",Table2[[#This Row],[Product Option]]="My Value Plus Life &amp; Funeral",_xlfn.XLOOKUP(B254,Table2[Main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Funeral",_xlfn.XLOOKUP(B255,Table2[Main Member Link ID],Table2[Benefit Name],0)&lt;&gt;Lookups!$D$15),
IF(_xlfn.XLOOKUP(B255,Table2[Main Member Link ID],Table2[Benefit Name],0)=0,"",_xlfn.XLOOKUP(B255,Table2[Main Member Link ID],Table2[Benefit Name],0)),"")
))))))</f>
        <v/>
      </c>
      <c r="AG255" s="327" t="str">
        <f>IF(AND(Table2[[#This Row],[Member Type]]="Main Member",Table2[[#This Row],[Product Option]]="My Value Plus Life &amp; Funeral"),Lookups!$D$16,
IF(AND(Table2[[#This Row],[Member Type]]="Spouse",Table2[[#This Row],[Product Option]]="My Value Plus Life &amp; Funeral",_xlfn.XLOOKUP(B255,Table2[Main Member Link ID],Table2[Benefit Name],0)=Lookups!$D$14),"",
IF(AND(Table2[[#This Row],[Member Type]]="Spouse",Table2[[#This Row],[Product Option]]="My Value Plus Life &amp; Funeral",_xlfn.XLOOKUP(B254,Table2[Main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Funeral",_xlfn.XLOOKUP(B255,Table2[Main Member Link ID],Table2[Benefit Name],0)&lt;&gt;Lookups!$D$16),
IF(_xlfn.XLOOKUP(B255,Table2[Main Member Link ID],Table2[Benefit Name],0)=0,"",_xlfn.XLOOKUP(B255,Table2[Main Member Link ID],Table2[Benefit Name],0)),"")
))))</f>
        <v/>
      </c>
      <c r="AH255" s="327" t="str">
        <f>IF(AND(Table2[[#This Row],[Member Type]]="Main Member",Table2[[#This Row],[Product Option]]="My Value Plus Life &amp; Funeral"),Lookups!$D$17,
IF(AND(Table2[[#This Row],[Member Type]]="Spouse",Table2[[#This Row],[Product Option]]="My Value Plus Life &amp; Funeral",_xlfn.XLOOKUP(B255,Table2[Main Member Link ID],Table2[Benefit Name],0)=Lookups!$D$14),"",
IF(AND(Table2[[#This Row],[Member Type]]="Spouse",Table2[[#This Row],[Product Option]]="My Value Plus Life &amp; Funeral",_xlfn.XLOOKUP(B254,Table2[Main Member Link ID],Table2[Benefit Name],0)=Lookups!$D$16),"",
IF(AND(Table2[[#This Row],[Member Type]]="Child",Table2[[#This Row],[Product Option]]="My Value Plus Life &amp; Funeral"),"",
IF(AND(Table2[[#This Row],[Member Type]]="Child",Table2[[#This Row],[Product Option]]="My Value Plus Life &amp; Funeral",_xlfn.XLOOKUP(B255,Table2[Main Member Link ID],Table2[Benefit Name],0)=Lookups!$D$15),"",
IF(AND(OR(Table2[[#This Row],[Member Type]]="Spouse",Table2[[#This Row],[Member Type]]="Child"),Table2[[#This Row],[Product Option]]="My Value Plus Life &amp; Funeral",_xlfn.XLOOKUP(B255,Table2[Main Member Link ID],Table2[Benefit Name],0)&lt;&gt;Lookups!$D$17),
IF(_xlfn.XLOOKUP(B255,Table2[Main Member Link ID],Table2[Benefit Name],0)=0,"",_xlfn.XLOOKUP(B255,Table2[Main Member Link ID],Table2[Benefit Name],0)),""))))))</f>
        <v/>
      </c>
      <c r="AI255" s="328" t="str">
        <f>IF(AND(Table2[[#This Row],[Member Type]]="Main Member",Table2[[#This Row],[Table Lookup for Life Cover]]="MM_LIFE",Table2[[#This Row],[Age Next Birthday]]&lt;56),1,
IF(AND(Table2[[#This Row],[Member Type]]="Main Member",Table2[[#This Row],[Table Lookup for Life Cover]]="MM_LIFE",Table2[[#This Row],[Age Next Birthday]]&gt;=56),2,
""))</f>
        <v/>
      </c>
      <c r="AJ255" s="328">
        <f>IF(OR(Table2[[#This Row],[Member Type]]="Main Member",Table2[[#This Row],[Main Member Link ID]]=B254),1,0)</f>
        <v>1</v>
      </c>
      <c r="AK255" s="328">
        <f>IF(Table2[[#This Row],[Member Type]]=0,0,
IF(OR(Table2[[#This Row],[Member Type]]="Main Member",Table2[[#This Row],[Main Member Link ID]]&lt;&gt;B255),COUNTIFS(B:B,Table2[[#This Row],[Main Member Link ID]]),
COUNTIFS(B:B,Table2[[#This Row],[Main Member Link ID]],A:A,Table2[[#This Row],[Member Type]])))</f>
        <v>0</v>
      </c>
    </row>
    <row r="256" spans="1:37" x14ac:dyDescent="0.3">
      <c r="A256" s="284">
        <f>Table13[[#This Row],[Member Type]]</f>
        <v>0</v>
      </c>
      <c r="B256" s="284">
        <f>Table13[[#This Row],[Main Member Link ID]]</f>
        <v>0</v>
      </c>
      <c r="C256" s="284">
        <f>Table13[[#This Row],[ID Number]]</f>
        <v>0</v>
      </c>
      <c r="D256" s="285">
        <f>Table13[[#This Row],[Date Of Birth]]</f>
        <v>0</v>
      </c>
      <c r="E256" s="285">
        <f>Table13[[#This Row],[Commencement Date]]</f>
        <v>0</v>
      </c>
      <c r="F256" s="284">
        <f t="shared" si="21"/>
        <v>1</v>
      </c>
      <c r="G256" s="284">
        <f t="shared" si="22"/>
        <v>25</v>
      </c>
      <c r="H256" s="286">
        <f>Table13[[#This Row],[Product Option]]</f>
        <v>0</v>
      </c>
      <c r="I256" s="284">
        <f>IF(AND($A256="Main Member",Table2[[#This Row],[Product Option]]="My Value Plus Life"),"MM_LIFE",
IF(AND($A256="Spouse",Table2[[#This Row],[Product Option]]="My Value Plus Life"),"SP_LIFE",
IF(AND($A256="Main Member",Table2[[#This Row],[Product Option]]="My Value Plus Life &amp; Funeral"),"MM_LIFE",
IF(AND($A256="Spouse",Table2[[#This Row],[Product Option]]="My Value Plus Life &amp; Funeral"),_xlfn.XLOOKUP(Table2[[#This Row],[Benefit Name]],Lookups!$D$18:$D$23,Lookups!$E$18:$E$23,0),
0))))</f>
        <v>0</v>
      </c>
      <c r="J256" s="284">
        <f>IF($I256="","",
IF($I256="MM_LIFE",INDEX('Quotation Tool'!$S$54:$V$60,MATCH($T256,'Quotation Tool'!$S$54:$S$60,0),4),
IF($I256="SP_LIFE",_xlfn.XLOOKUP(B255,$B:$B,$J:$J,0),0)))</f>
        <v>0</v>
      </c>
      <c r="K256" s="287">
        <f t="shared" ca="1" si="26"/>
        <v>0</v>
      </c>
      <c r="L256" s="288">
        <f t="shared" ca="1" si="27"/>
        <v>0</v>
      </c>
      <c r="M256" s="289">
        <f t="shared" ca="1" si="23"/>
        <v>0</v>
      </c>
      <c r="N256" s="286">
        <f>Table13[[#This Row],[Benefit Option]]</f>
        <v>0</v>
      </c>
      <c r="O256" s="284">
        <f>IF(OR(Table2[[#This Row],[Member Type]]="Spouse",Table2[[#This Row],[Member Type]]="Child"),0,
IF(_xlfn.XLOOKUP($N256,Lookups!$D$13:$D$27,Lookups!$F$13:$F$27,0)=Table2[[#This Row],[Table Lookup for Life Cover]],0,
_xlfn.XLOOKUP($N256,Lookups!$D$13:$D$27,Lookups!$F$13:$F$27,0)))</f>
        <v>0</v>
      </c>
      <c r="P256" s="284">
        <f>IF(Table2[[#This Row],[Table Lookup for Funeral]]=0,0,IFERROR(INDEX('Quotation Tool'!$S$54:$V$60,MATCH($T256,'Quotation Tool'!$S$54:$S$60,0),3),0))</f>
        <v>0</v>
      </c>
      <c r="Q256" s="288">
        <f ca="1">IF(OR(Table2[[#This Row],[Benefit Name]]="My Value Plus Life - Main Member",Table2[[#This Row],[Benefit Name]]="My Value Plus Life - Spouse"),0,
IFERROR(VLOOKUP($G256,INDIRECT($O256),$P256,FALSE),0))</f>
        <v>0</v>
      </c>
      <c r="R256" s="288">
        <f ca="1">IF(OR(Table2[[#This Row],[Benefit Name]]="My Value Plus Life - Main Member",Table2[[#This Row],[Benefit Name]]="My Value Plus Life - Spouse"),0,
IFERROR(VLOOKUP($G256,INDIRECT($O256),$P256+1,FALSE),0))</f>
        <v>0</v>
      </c>
      <c r="S256" s="289">
        <f t="shared" ca="1" si="24"/>
        <v>0</v>
      </c>
      <c r="T256" s="284" t="str">
        <f>IF(Table13[[#This Row],[Premium Waiver]]="","None",Table13[[#This Row],[Premium Waiver]])</f>
        <v>None</v>
      </c>
      <c r="U256" s="284">
        <f>Table13[[#This Row],[VAPs Options]]</f>
        <v>0</v>
      </c>
      <c r="V256" s="284">
        <f>Table13[[#This Row],[Annual Increase Option]]</f>
        <v>0</v>
      </c>
      <c r="W256" s="290">
        <f>Table13[[#This Row],[Life Cover Amount]]</f>
        <v>0</v>
      </c>
      <c r="X256" s="290">
        <f>Table13[[#This Row],[Funeral Cover Amount]]</f>
        <v>0</v>
      </c>
      <c r="Y25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5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56" s="301">
        <f t="shared" ca="1" si="25"/>
        <v>0</v>
      </c>
      <c r="AB256" s="298"/>
      <c r="AC256" s="326" t="str">
        <f>IF(Table2[[#This Row],[Member Type]]="Main Member",Lookups!$C$13,
IF(Table2[[#This Row],[Member Type]]="Spouse",_xlfn.XLOOKUP(B256,Table2[Main Member Link ID],Table2[Product Option],0),
IF(AND(Table2[[#This Row],[Member Type]]="Child",_xlfn.XLOOKUP(B256,Table2[Main Member Link ID],Table2[Product Option],0)&lt;&gt;"My Value Plus Life"),Lookups!$C$24,
IF(AND(OR(Table2[[#This Row],[Member Type]]="Parent",Table2[[#This Row],[Member Type]]="Extended"),_xlfn.XLOOKUP(B256,Table2[Main Member Link ID],Table2[Product Option],0)&lt;&gt;"My Value Plus Life"),Lookups!$C$26,""))))</f>
        <v/>
      </c>
      <c r="AD256" s="326" t="str">
        <f>IF(Table2[[#This Row],[Member Type]]="Main Member",Lookups!$C$14,"")</f>
        <v/>
      </c>
      <c r="AE25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Funeral",_xlfn.XLOOKUP(B256,Table2[Main Member Link ID],Table2[Benefit Name],0)=Lookups!$D$14),"",
IF(AND(Table2[[#This Row],[Member Type]]="Spouse",Table2[[#This Row],[Product Option]]="My Value Plus Life &amp; Funeral",_xlfn.XLOOKUP(B255,Table2[Main Member Link ID],Table2[Benefit Name],0)=Lookups!$D$15),Lookups!$D$20,
IF(AND(Table2[[#This Row],[Member Type]]="Spouse",Table2[[#This Row],[Product Option]]="My Value Plus Life &amp; Funeral",_xlfn.XLOOKUP(B255,Table2[Main Member Link ID],Table2[Benefit Name],0)=Lookups!$D$16),"",
IF(AND(Table2[[#This Row],[Member Type]]="Spouse",Table2[[#This Row],[Product Option]]="My Value Plus Life &amp; Funeral",_xlfn.XLOOKUP(B255,Table2[Main Member Link ID],Table2[Benefit Name],0)=Lookups!$D$17),Lookups!$D$21,
IF(AND(Table2[[#This Row],[Member Type]]="Child",Table2[[#This Row],[Product Option]]="My Value Plus Life &amp; Funeral",_xlfn.XLOOKUP(B256,Table2[Main Member Link ID],Table2[Benefit Name],0)=Lookups!$D$14),"",
IF(AND(Table2[[#This Row],[Member Type]]="Child",Table2[[#This Row],[Product Option]]="My Value Plus Life &amp; Funeral",_xlfn.XLOOKUP(B256,Table2[Main Member Link ID],Table2[Benefit Name],0)=Lookups!$D$15),"",
IF(AND(Table2[[#This Row],[Member Type]]="Child",Table2[[#This Row],[Product Option]]="My Value Plus Life &amp; Funeral",_xlfn.XLOOKUP(B256,Table2[Main Member Link ID],Table2[Benefit Name],0)=Lookups!$D$16),Lookups!$D$24,
IF(AND(Table2[[#This Row],[Member Type]]="Child",Table2[[#This Row],[Product Option]]="My Value Plus Life &amp; Funeral",_xlfn.XLOOKUP(B256,Table2[Main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Funeral",_xlfn.XLOOKUP(B256,Table2[Main Member Link ID],Table2[Benefit Name],0)&lt;&gt;Lookups!$D$14),
IF(_xlfn.XLOOKUP(B256,Table2[Main Member Link ID],Table2[Benefit Name],0)=0,"",_xlfn.XLOOKUP(B256,Table2[Main Member Link ID],Table2[Benefit Name],0)),"")))))))))))))))</f>
        <v/>
      </c>
      <c r="AF256" s="327" t="str">
        <f>IF(AND(Table2[[#This Row],[Member Type]]="Main Member",Table2[[#This Row],[Product Option]]="My Value Plus Life &amp; Funeral"),Lookups!$D$15,
IF(AND(Table2[[#This Row],[Member Type]]="Spouse",Table2[[#This Row],[Product Option]]="My Value Plus Life &amp; Funeral",_xlfn.XLOOKUP(B256,Table2[Main Member Link ID],Table2[Benefit Name],0)=Lookups!$D$14),"",
IF(AND(Table2[[#This Row],[Member Type]]="Spouse",Table2[[#This Row],[Product Option]]="My Value Plus Life &amp; Funeral",_xlfn.XLOOKUP(B255,Table2[Main Member Link ID],Table2[Benefit Name],0)=Lookups!$D$16),"",
IF(AND(Table2[[#This Row],[Member Type]]="Spouse",Table2[[#This Row],[Product Option]]="My Value Plus Life &amp; Funeral",_xlfn.XLOOKUP(B255,Table2[Main Member Link ID],Table2[Benefit Name],0)=Lookups!$D$15),"",
IF(AND(Table2[[#This Row],[Member Type]]="Spouse",Table2[[#This Row],[Product Option]]="My Value Plus Life &amp; Funeral",_xlfn.XLOOKUP(B255,Table2[Main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Funeral",_xlfn.XLOOKUP(B256,Table2[Main Member Link ID],Table2[Benefit Name],0)&lt;&gt;Lookups!$D$15),
IF(_xlfn.XLOOKUP(B256,Table2[Main Member Link ID],Table2[Benefit Name],0)=0,"",_xlfn.XLOOKUP(B256,Table2[Main Member Link ID],Table2[Benefit Name],0)),"")
))))))</f>
        <v/>
      </c>
      <c r="AG256" s="327" t="str">
        <f>IF(AND(Table2[[#This Row],[Member Type]]="Main Member",Table2[[#This Row],[Product Option]]="My Value Plus Life &amp; Funeral"),Lookups!$D$16,
IF(AND(Table2[[#This Row],[Member Type]]="Spouse",Table2[[#This Row],[Product Option]]="My Value Plus Life &amp; Funeral",_xlfn.XLOOKUP(B256,Table2[Main Member Link ID],Table2[Benefit Name],0)=Lookups!$D$14),"",
IF(AND(Table2[[#This Row],[Member Type]]="Spouse",Table2[[#This Row],[Product Option]]="My Value Plus Life &amp; Funeral",_xlfn.XLOOKUP(B255,Table2[Main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Funeral",_xlfn.XLOOKUP(B256,Table2[Main Member Link ID],Table2[Benefit Name],0)&lt;&gt;Lookups!$D$16),
IF(_xlfn.XLOOKUP(B256,Table2[Main Member Link ID],Table2[Benefit Name],0)=0,"",_xlfn.XLOOKUP(B256,Table2[Main Member Link ID],Table2[Benefit Name],0)),"")
))))</f>
        <v/>
      </c>
      <c r="AH256" s="327" t="str">
        <f>IF(AND(Table2[[#This Row],[Member Type]]="Main Member",Table2[[#This Row],[Product Option]]="My Value Plus Life &amp; Funeral"),Lookups!$D$17,
IF(AND(Table2[[#This Row],[Member Type]]="Spouse",Table2[[#This Row],[Product Option]]="My Value Plus Life &amp; Funeral",_xlfn.XLOOKUP(B256,Table2[Main Member Link ID],Table2[Benefit Name],0)=Lookups!$D$14),"",
IF(AND(Table2[[#This Row],[Member Type]]="Spouse",Table2[[#This Row],[Product Option]]="My Value Plus Life &amp; Funeral",_xlfn.XLOOKUP(B255,Table2[Main Member Link ID],Table2[Benefit Name],0)=Lookups!$D$16),"",
IF(AND(Table2[[#This Row],[Member Type]]="Child",Table2[[#This Row],[Product Option]]="My Value Plus Life &amp; Funeral"),"",
IF(AND(Table2[[#This Row],[Member Type]]="Child",Table2[[#This Row],[Product Option]]="My Value Plus Life &amp; Funeral",_xlfn.XLOOKUP(B256,Table2[Main Member Link ID],Table2[Benefit Name],0)=Lookups!$D$15),"",
IF(AND(OR(Table2[[#This Row],[Member Type]]="Spouse",Table2[[#This Row],[Member Type]]="Child"),Table2[[#This Row],[Product Option]]="My Value Plus Life &amp; Funeral",_xlfn.XLOOKUP(B256,Table2[Main Member Link ID],Table2[Benefit Name],0)&lt;&gt;Lookups!$D$17),
IF(_xlfn.XLOOKUP(B256,Table2[Main Member Link ID],Table2[Benefit Name],0)=0,"",_xlfn.XLOOKUP(B256,Table2[Main Member Link ID],Table2[Benefit Name],0)),""))))))</f>
        <v/>
      </c>
      <c r="AI256" s="328" t="str">
        <f>IF(AND(Table2[[#This Row],[Member Type]]="Main Member",Table2[[#This Row],[Table Lookup for Life Cover]]="MM_LIFE",Table2[[#This Row],[Age Next Birthday]]&lt;56),1,
IF(AND(Table2[[#This Row],[Member Type]]="Main Member",Table2[[#This Row],[Table Lookup for Life Cover]]="MM_LIFE",Table2[[#This Row],[Age Next Birthday]]&gt;=56),2,
""))</f>
        <v/>
      </c>
      <c r="AJ256" s="328">
        <f>IF(OR(Table2[[#This Row],[Member Type]]="Main Member",Table2[[#This Row],[Main Member Link ID]]=B255),1,0)</f>
        <v>1</v>
      </c>
      <c r="AK256" s="328">
        <f>IF(Table2[[#This Row],[Member Type]]=0,0,
IF(OR(Table2[[#This Row],[Member Type]]="Main Member",Table2[[#This Row],[Main Member Link ID]]&lt;&gt;B256),COUNTIFS(B:B,Table2[[#This Row],[Main Member Link ID]]),
COUNTIFS(B:B,Table2[[#This Row],[Main Member Link ID]],A:A,Table2[[#This Row],[Member Type]])))</f>
        <v>0</v>
      </c>
    </row>
    <row r="257" spans="1:37" x14ac:dyDescent="0.3">
      <c r="A257" s="284">
        <f>Table13[[#This Row],[Member Type]]</f>
        <v>0</v>
      </c>
      <c r="B257" s="284">
        <f>Table13[[#This Row],[Main Member Link ID]]</f>
        <v>0</v>
      </c>
      <c r="C257" s="284">
        <f>Table13[[#This Row],[ID Number]]</f>
        <v>0</v>
      </c>
      <c r="D257" s="285">
        <f>Table13[[#This Row],[Date Of Birth]]</f>
        <v>0</v>
      </c>
      <c r="E257" s="285">
        <f>Table13[[#This Row],[Commencement Date]]</f>
        <v>0</v>
      </c>
      <c r="F257" s="284">
        <f t="shared" si="21"/>
        <v>1</v>
      </c>
      <c r="G257" s="284">
        <f t="shared" si="22"/>
        <v>25</v>
      </c>
      <c r="H257" s="286">
        <f>Table13[[#This Row],[Product Option]]</f>
        <v>0</v>
      </c>
      <c r="I257" s="284">
        <f>IF(AND($A257="Main Member",Table2[[#This Row],[Product Option]]="My Value Plus Life"),"MM_LIFE",
IF(AND($A257="Spouse",Table2[[#This Row],[Product Option]]="My Value Plus Life"),"SP_LIFE",
IF(AND($A257="Main Member",Table2[[#This Row],[Product Option]]="My Value Plus Life &amp; Funeral"),"MM_LIFE",
IF(AND($A257="Spouse",Table2[[#This Row],[Product Option]]="My Value Plus Life &amp; Funeral"),_xlfn.XLOOKUP(Table2[[#This Row],[Benefit Name]],Lookups!$D$18:$D$23,Lookups!$E$18:$E$23,0),
0))))</f>
        <v>0</v>
      </c>
      <c r="J257" s="284">
        <f>IF($I257="","",
IF($I257="MM_LIFE",INDEX('Quotation Tool'!$S$54:$V$60,MATCH($T257,'Quotation Tool'!$S$54:$S$60,0),4),
IF($I257="SP_LIFE",_xlfn.XLOOKUP(B256,$B:$B,$J:$J,0),0)))</f>
        <v>0</v>
      </c>
      <c r="K257" s="287">
        <f t="shared" ca="1" si="26"/>
        <v>0</v>
      </c>
      <c r="L257" s="288">
        <f t="shared" ca="1" si="27"/>
        <v>0</v>
      </c>
      <c r="M257" s="289">
        <f t="shared" ca="1" si="23"/>
        <v>0</v>
      </c>
      <c r="N257" s="286">
        <f>Table13[[#This Row],[Benefit Option]]</f>
        <v>0</v>
      </c>
      <c r="O257" s="284">
        <f>IF(OR(Table2[[#This Row],[Member Type]]="Spouse",Table2[[#This Row],[Member Type]]="Child"),0,
IF(_xlfn.XLOOKUP($N257,Lookups!$D$13:$D$27,Lookups!$F$13:$F$27,0)=Table2[[#This Row],[Table Lookup for Life Cover]],0,
_xlfn.XLOOKUP($N257,Lookups!$D$13:$D$27,Lookups!$F$13:$F$27,0)))</f>
        <v>0</v>
      </c>
      <c r="P257" s="284">
        <f>IF(Table2[[#This Row],[Table Lookup for Funeral]]=0,0,IFERROR(INDEX('Quotation Tool'!$S$54:$V$60,MATCH($T257,'Quotation Tool'!$S$54:$S$60,0),3),0))</f>
        <v>0</v>
      </c>
      <c r="Q257" s="288">
        <f ca="1">IF(OR(Table2[[#This Row],[Benefit Name]]="My Value Plus Life - Main Member",Table2[[#This Row],[Benefit Name]]="My Value Plus Life - Spouse"),0,
IFERROR(VLOOKUP($G257,INDIRECT($O257),$P257,FALSE),0))</f>
        <v>0</v>
      </c>
      <c r="R257" s="288">
        <f ca="1">IF(OR(Table2[[#This Row],[Benefit Name]]="My Value Plus Life - Main Member",Table2[[#This Row],[Benefit Name]]="My Value Plus Life - Spouse"),0,
IFERROR(VLOOKUP($G257,INDIRECT($O257),$P257+1,FALSE),0))</f>
        <v>0</v>
      </c>
      <c r="S257" s="289">
        <f t="shared" ca="1" si="24"/>
        <v>0</v>
      </c>
      <c r="T257" s="284" t="str">
        <f>IF(Table13[[#This Row],[Premium Waiver]]="","None",Table13[[#This Row],[Premium Waiver]])</f>
        <v>None</v>
      </c>
      <c r="U257" s="284">
        <f>Table13[[#This Row],[VAPs Options]]</f>
        <v>0</v>
      </c>
      <c r="V257" s="284">
        <f>Table13[[#This Row],[Annual Increase Option]]</f>
        <v>0</v>
      </c>
      <c r="W257" s="290">
        <f>Table13[[#This Row],[Life Cover Amount]]</f>
        <v>0</v>
      </c>
      <c r="X257" s="290">
        <f>Table13[[#This Row],[Funeral Cover Amount]]</f>
        <v>0</v>
      </c>
      <c r="Y25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5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57" s="301">
        <f t="shared" ca="1" si="25"/>
        <v>0</v>
      </c>
      <c r="AB257" s="298"/>
      <c r="AC257" s="326" t="str">
        <f>IF(Table2[[#This Row],[Member Type]]="Main Member",Lookups!$C$13,
IF(Table2[[#This Row],[Member Type]]="Spouse",_xlfn.XLOOKUP(B257,Table2[Main Member Link ID],Table2[Product Option],0),
IF(AND(Table2[[#This Row],[Member Type]]="Child",_xlfn.XLOOKUP(B257,Table2[Main Member Link ID],Table2[Product Option],0)&lt;&gt;"My Value Plus Life"),Lookups!$C$24,
IF(AND(OR(Table2[[#This Row],[Member Type]]="Parent",Table2[[#This Row],[Member Type]]="Extended"),_xlfn.XLOOKUP(B257,Table2[Main Member Link ID],Table2[Product Option],0)&lt;&gt;"My Value Plus Life"),Lookups!$C$26,""))))</f>
        <v/>
      </c>
      <c r="AD257" s="326" t="str">
        <f>IF(Table2[[#This Row],[Member Type]]="Main Member",Lookups!$C$14,"")</f>
        <v/>
      </c>
      <c r="AE25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Funeral",_xlfn.XLOOKUP(B257,Table2[Main Member Link ID],Table2[Benefit Name],0)=Lookups!$D$14),"",
IF(AND(Table2[[#This Row],[Member Type]]="Spouse",Table2[[#This Row],[Product Option]]="My Value Plus Life &amp; Funeral",_xlfn.XLOOKUP(B256,Table2[Main Member Link ID],Table2[Benefit Name],0)=Lookups!$D$15),Lookups!$D$20,
IF(AND(Table2[[#This Row],[Member Type]]="Spouse",Table2[[#This Row],[Product Option]]="My Value Plus Life &amp; Funeral",_xlfn.XLOOKUP(B256,Table2[Main Member Link ID],Table2[Benefit Name],0)=Lookups!$D$16),"",
IF(AND(Table2[[#This Row],[Member Type]]="Spouse",Table2[[#This Row],[Product Option]]="My Value Plus Life &amp; Funeral",_xlfn.XLOOKUP(B256,Table2[Main Member Link ID],Table2[Benefit Name],0)=Lookups!$D$17),Lookups!$D$21,
IF(AND(Table2[[#This Row],[Member Type]]="Child",Table2[[#This Row],[Product Option]]="My Value Plus Life &amp; Funeral",_xlfn.XLOOKUP(B257,Table2[Main Member Link ID],Table2[Benefit Name],0)=Lookups!$D$14),"",
IF(AND(Table2[[#This Row],[Member Type]]="Child",Table2[[#This Row],[Product Option]]="My Value Plus Life &amp; Funeral",_xlfn.XLOOKUP(B257,Table2[Main Member Link ID],Table2[Benefit Name],0)=Lookups!$D$15),"",
IF(AND(Table2[[#This Row],[Member Type]]="Child",Table2[[#This Row],[Product Option]]="My Value Plus Life &amp; Funeral",_xlfn.XLOOKUP(B257,Table2[Main Member Link ID],Table2[Benefit Name],0)=Lookups!$D$16),Lookups!$D$24,
IF(AND(Table2[[#This Row],[Member Type]]="Child",Table2[[#This Row],[Product Option]]="My Value Plus Life &amp; Funeral",_xlfn.XLOOKUP(B257,Table2[Main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Funeral",_xlfn.XLOOKUP(B257,Table2[Main Member Link ID],Table2[Benefit Name],0)&lt;&gt;Lookups!$D$14),
IF(_xlfn.XLOOKUP(B257,Table2[Main Member Link ID],Table2[Benefit Name],0)=0,"",_xlfn.XLOOKUP(B257,Table2[Main Member Link ID],Table2[Benefit Name],0)),"")))))))))))))))</f>
        <v/>
      </c>
      <c r="AF257" s="327" t="str">
        <f>IF(AND(Table2[[#This Row],[Member Type]]="Main Member",Table2[[#This Row],[Product Option]]="My Value Plus Life &amp; Funeral"),Lookups!$D$15,
IF(AND(Table2[[#This Row],[Member Type]]="Spouse",Table2[[#This Row],[Product Option]]="My Value Plus Life &amp; Funeral",_xlfn.XLOOKUP(B257,Table2[Main Member Link ID],Table2[Benefit Name],0)=Lookups!$D$14),"",
IF(AND(Table2[[#This Row],[Member Type]]="Spouse",Table2[[#This Row],[Product Option]]="My Value Plus Life &amp; Funeral",_xlfn.XLOOKUP(B256,Table2[Main Member Link ID],Table2[Benefit Name],0)=Lookups!$D$16),"",
IF(AND(Table2[[#This Row],[Member Type]]="Spouse",Table2[[#This Row],[Product Option]]="My Value Plus Life &amp; Funeral",_xlfn.XLOOKUP(B256,Table2[Main Member Link ID],Table2[Benefit Name],0)=Lookups!$D$15),"",
IF(AND(Table2[[#This Row],[Member Type]]="Spouse",Table2[[#This Row],[Product Option]]="My Value Plus Life &amp; Funeral",_xlfn.XLOOKUP(B256,Table2[Main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Funeral",_xlfn.XLOOKUP(B257,Table2[Main Member Link ID],Table2[Benefit Name],0)&lt;&gt;Lookups!$D$15),
IF(_xlfn.XLOOKUP(B257,Table2[Main Member Link ID],Table2[Benefit Name],0)=0,"",_xlfn.XLOOKUP(B257,Table2[Main Member Link ID],Table2[Benefit Name],0)),"")
))))))</f>
        <v/>
      </c>
      <c r="AG257" s="327" t="str">
        <f>IF(AND(Table2[[#This Row],[Member Type]]="Main Member",Table2[[#This Row],[Product Option]]="My Value Plus Life &amp; Funeral"),Lookups!$D$16,
IF(AND(Table2[[#This Row],[Member Type]]="Spouse",Table2[[#This Row],[Product Option]]="My Value Plus Life &amp; Funeral",_xlfn.XLOOKUP(B257,Table2[Main Member Link ID],Table2[Benefit Name],0)=Lookups!$D$14),"",
IF(AND(Table2[[#This Row],[Member Type]]="Spouse",Table2[[#This Row],[Product Option]]="My Value Plus Life &amp; Funeral",_xlfn.XLOOKUP(B256,Table2[Main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Funeral",_xlfn.XLOOKUP(B257,Table2[Main Member Link ID],Table2[Benefit Name],0)&lt;&gt;Lookups!$D$16),
IF(_xlfn.XLOOKUP(B257,Table2[Main Member Link ID],Table2[Benefit Name],0)=0,"",_xlfn.XLOOKUP(B257,Table2[Main Member Link ID],Table2[Benefit Name],0)),"")
))))</f>
        <v/>
      </c>
      <c r="AH257" s="327" t="str">
        <f>IF(AND(Table2[[#This Row],[Member Type]]="Main Member",Table2[[#This Row],[Product Option]]="My Value Plus Life &amp; Funeral"),Lookups!$D$17,
IF(AND(Table2[[#This Row],[Member Type]]="Spouse",Table2[[#This Row],[Product Option]]="My Value Plus Life &amp; Funeral",_xlfn.XLOOKUP(B257,Table2[Main Member Link ID],Table2[Benefit Name],0)=Lookups!$D$14),"",
IF(AND(Table2[[#This Row],[Member Type]]="Spouse",Table2[[#This Row],[Product Option]]="My Value Plus Life &amp; Funeral",_xlfn.XLOOKUP(B256,Table2[Main Member Link ID],Table2[Benefit Name],0)=Lookups!$D$16),"",
IF(AND(Table2[[#This Row],[Member Type]]="Child",Table2[[#This Row],[Product Option]]="My Value Plus Life &amp; Funeral"),"",
IF(AND(Table2[[#This Row],[Member Type]]="Child",Table2[[#This Row],[Product Option]]="My Value Plus Life &amp; Funeral",_xlfn.XLOOKUP(B257,Table2[Main Member Link ID],Table2[Benefit Name],0)=Lookups!$D$15),"",
IF(AND(OR(Table2[[#This Row],[Member Type]]="Spouse",Table2[[#This Row],[Member Type]]="Child"),Table2[[#This Row],[Product Option]]="My Value Plus Life &amp; Funeral",_xlfn.XLOOKUP(B257,Table2[Main Member Link ID],Table2[Benefit Name],0)&lt;&gt;Lookups!$D$17),
IF(_xlfn.XLOOKUP(B257,Table2[Main Member Link ID],Table2[Benefit Name],0)=0,"",_xlfn.XLOOKUP(B257,Table2[Main Member Link ID],Table2[Benefit Name],0)),""))))))</f>
        <v/>
      </c>
      <c r="AI257" s="328" t="str">
        <f>IF(AND(Table2[[#This Row],[Member Type]]="Main Member",Table2[[#This Row],[Table Lookup for Life Cover]]="MM_LIFE",Table2[[#This Row],[Age Next Birthday]]&lt;56),1,
IF(AND(Table2[[#This Row],[Member Type]]="Main Member",Table2[[#This Row],[Table Lookup for Life Cover]]="MM_LIFE",Table2[[#This Row],[Age Next Birthday]]&gt;=56),2,
""))</f>
        <v/>
      </c>
      <c r="AJ257" s="328">
        <f>IF(OR(Table2[[#This Row],[Member Type]]="Main Member",Table2[[#This Row],[Main Member Link ID]]=B256),1,0)</f>
        <v>1</v>
      </c>
      <c r="AK257" s="328">
        <f>IF(Table2[[#This Row],[Member Type]]=0,0,
IF(OR(Table2[[#This Row],[Member Type]]="Main Member",Table2[[#This Row],[Main Member Link ID]]&lt;&gt;B257),COUNTIFS(B:B,Table2[[#This Row],[Main Member Link ID]]),
COUNTIFS(B:B,Table2[[#This Row],[Main Member Link ID]],A:A,Table2[[#This Row],[Member Type]])))</f>
        <v>0</v>
      </c>
    </row>
    <row r="258" spans="1:37" x14ac:dyDescent="0.3">
      <c r="A258" s="284">
        <f>Table13[[#This Row],[Member Type]]</f>
        <v>0</v>
      </c>
      <c r="B258" s="284">
        <f>Table13[[#This Row],[Main Member Link ID]]</f>
        <v>0</v>
      </c>
      <c r="C258" s="284">
        <f>Table13[[#This Row],[ID Number]]</f>
        <v>0</v>
      </c>
      <c r="D258" s="285">
        <f>Table13[[#This Row],[Date Of Birth]]</f>
        <v>0</v>
      </c>
      <c r="E258" s="285">
        <f>Table13[[#This Row],[Commencement Date]]</f>
        <v>0</v>
      </c>
      <c r="F258" s="284">
        <f t="shared" si="21"/>
        <v>1</v>
      </c>
      <c r="G258" s="284">
        <f t="shared" si="22"/>
        <v>25</v>
      </c>
      <c r="H258" s="286">
        <f>Table13[[#This Row],[Product Option]]</f>
        <v>0</v>
      </c>
      <c r="I258" s="284">
        <f>IF(AND($A258="Main Member",Table2[[#This Row],[Product Option]]="My Value Plus Life"),"MM_LIFE",
IF(AND($A258="Spouse",Table2[[#This Row],[Product Option]]="My Value Plus Life"),"SP_LIFE",
IF(AND($A258="Main Member",Table2[[#This Row],[Product Option]]="My Value Plus Life &amp; Funeral"),"MM_LIFE",
IF(AND($A258="Spouse",Table2[[#This Row],[Product Option]]="My Value Plus Life &amp; Funeral"),_xlfn.XLOOKUP(Table2[[#This Row],[Benefit Name]],Lookups!$D$18:$D$23,Lookups!$E$18:$E$23,0),
0))))</f>
        <v>0</v>
      </c>
      <c r="J258" s="284">
        <f>IF($I258="","",
IF($I258="MM_LIFE",INDEX('Quotation Tool'!$S$54:$V$60,MATCH($T258,'Quotation Tool'!$S$54:$S$60,0),4),
IF($I258="SP_LIFE",_xlfn.XLOOKUP(B257,$B:$B,$J:$J,0),0)))</f>
        <v>0</v>
      </c>
      <c r="K258" s="287">
        <f t="shared" ca="1" si="26"/>
        <v>0</v>
      </c>
      <c r="L258" s="288">
        <f t="shared" ca="1" si="27"/>
        <v>0</v>
      </c>
      <c r="M258" s="289">
        <f t="shared" ca="1" si="23"/>
        <v>0</v>
      </c>
      <c r="N258" s="286">
        <f>Table13[[#This Row],[Benefit Option]]</f>
        <v>0</v>
      </c>
      <c r="O258" s="284">
        <f>IF(OR(Table2[[#This Row],[Member Type]]="Spouse",Table2[[#This Row],[Member Type]]="Child"),0,
IF(_xlfn.XLOOKUP($N258,Lookups!$D$13:$D$27,Lookups!$F$13:$F$27,0)=Table2[[#This Row],[Table Lookup for Life Cover]],0,
_xlfn.XLOOKUP($N258,Lookups!$D$13:$D$27,Lookups!$F$13:$F$27,0)))</f>
        <v>0</v>
      </c>
      <c r="P258" s="284">
        <f>IF(Table2[[#This Row],[Table Lookup for Funeral]]=0,0,IFERROR(INDEX('Quotation Tool'!$S$54:$V$60,MATCH($T258,'Quotation Tool'!$S$54:$S$60,0),3),0))</f>
        <v>0</v>
      </c>
      <c r="Q258" s="288">
        <f ca="1">IF(OR(Table2[[#This Row],[Benefit Name]]="My Value Plus Life - Main Member",Table2[[#This Row],[Benefit Name]]="My Value Plus Life - Spouse"),0,
IFERROR(VLOOKUP($G258,INDIRECT($O258),$P258,FALSE),0))</f>
        <v>0</v>
      </c>
      <c r="R258" s="288">
        <f ca="1">IF(OR(Table2[[#This Row],[Benefit Name]]="My Value Plus Life - Main Member",Table2[[#This Row],[Benefit Name]]="My Value Plus Life - Spouse"),0,
IFERROR(VLOOKUP($G258,INDIRECT($O258),$P258+1,FALSE),0))</f>
        <v>0</v>
      </c>
      <c r="S258" s="289">
        <f t="shared" ca="1" si="24"/>
        <v>0</v>
      </c>
      <c r="T258" s="284" t="str">
        <f>IF(Table13[[#This Row],[Premium Waiver]]="","None",Table13[[#This Row],[Premium Waiver]])</f>
        <v>None</v>
      </c>
      <c r="U258" s="284">
        <f>Table13[[#This Row],[VAPs Options]]</f>
        <v>0</v>
      </c>
      <c r="V258" s="284">
        <f>Table13[[#This Row],[Annual Increase Option]]</f>
        <v>0</v>
      </c>
      <c r="W258" s="290">
        <f>Table13[[#This Row],[Life Cover Amount]]</f>
        <v>0</v>
      </c>
      <c r="X258" s="290">
        <f>Table13[[#This Row],[Funeral Cover Amount]]</f>
        <v>0</v>
      </c>
      <c r="Y25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5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58" s="301">
        <f t="shared" ca="1" si="25"/>
        <v>0</v>
      </c>
      <c r="AB258" s="298"/>
      <c r="AC258" s="326" t="str">
        <f>IF(Table2[[#This Row],[Member Type]]="Main Member",Lookups!$C$13,
IF(Table2[[#This Row],[Member Type]]="Spouse",_xlfn.XLOOKUP(B258,Table2[Main Member Link ID],Table2[Product Option],0),
IF(AND(Table2[[#This Row],[Member Type]]="Child",_xlfn.XLOOKUP(B258,Table2[Main Member Link ID],Table2[Product Option],0)&lt;&gt;"My Value Plus Life"),Lookups!$C$24,
IF(AND(OR(Table2[[#This Row],[Member Type]]="Parent",Table2[[#This Row],[Member Type]]="Extended"),_xlfn.XLOOKUP(B258,Table2[Main Member Link ID],Table2[Product Option],0)&lt;&gt;"My Value Plus Life"),Lookups!$C$26,""))))</f>
        <v/>
      </c>
      <c r="AD258" s="326" t="str">
        <f>IF(Table2[[#This Row],[Member Type]]="Main Member",Lookups!$C$14,"")</f>
        <v/>
      </c>
      <c r="AE25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Funeral",_xlfn.XLOOKUP(B258,Table2[Main Member Link ID],Table2[Benefit Name],0)=Lookups!$D$14),"",
IF(AND(Table2[[#This Row],[Member Type]]="Spouse",Table2[[#This Row],[Product Option]]="My Value Plus Life &amp; Funeral",_xlfn.XLOOKUP(B257,Table2[Main Member Link ID],Table2[Benefit Name],0)=Lookups!$D$15),Lookups!$D$20,
IF(AND(Table2[[#This Row],[Member Type]]="Spouse",Table2[[#This Row],[Product Option]]="My Value Plus Life &amp; Funeral",_xlfn.XLOOKUP(B257,Table2[Main Member Link ID],Table2[Benefit Name],0)=Lookups!$D$16),"",
IF(AND(Table2[[#This Row],[Member Type]]="Spouse",Table2[[#This Row],[Product Option]]="My Value Plus Life &amp; Funeral",_xlfn.XLOOKUP(B257,Table2[Main Member Link ID],Table2[Benefit Name],0)=Lookups!$D$17),Lookups!$D$21,
IF(AND(Table2[[#This Row],[Member Type]]="Child",Table2[[#This Row],[Product Option]]="My Value Plus Life &amp; Funeral",_xlfn.XLOOKUP(B258,Table2[Main Member Link ID],Table2[Benefit Name],0)=Lookups!$D$14),"",
IF(AND(Table2[[#This Row],[Member Type]]="Child",Table2[[#This Row],[Product Option]]="My Value Plus Life &amp; Funeral",_xlfn.XLOOKUP(B258,Table2[Main Member Link ID],Table2[Benefit Name],0)=Lookups!$D$15),"",
IF(AND(Table2[[#This Row],[Member Type]]="Child",Table2[[#This Row],[Product Option]]="My Value Plus Life &amp; Funeral",_xlfn.XLOOKUP(B258,Table2[Main Member Link ID],Table2[Benefit Name],0)=Lookups!$D$16),Lookups!$D$24,
IF(AND(Table2[[#This Row],[Member Type]]="Child",Table2[[#This Row],[Product Option]]="My Value Plus Life &amp; Funeral",_xlfn.XLOOKUP(B258,Table2[Main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Funeral",_xlfn.XLOOKUP(B258,Table2[Main Member Link ID],Table2[Benefit Name],0)&lt;&gt;Lookups!$D$14),
IF(_xlfn.XLOOKUP(B258,Table2[Main Member Link ID],Table2[Benefit Name],0)=0,"",_xlfn.XLOOKUP(B258,Table2[Main Member Link ID],Table2[Benefit Name],0)),"")))))))))))))))</f>
        <v/>
      </c>
      <c r="AF258" s="327" t="str">
        <f>IF(AND(Table2[[#This Row],[Member Type]]="Main Member",Table2[[#This Row],[Product Option]]="My Value Plus Life &amp; Funeral"),Lookups!$D$15,
IF(AND(Table2[[#This Row],[Member Type]]="Spouse",Table2[[#This Row],[Product Option]]="My Value Plus Life &amp; Funeral",_xlfn.XLOOKUP(B258,Table2[Main Member Link ID],Table2[Benefit Name],0)=Lookups!$D$14),"",
IF(AND(Table2[[#This Row],[Member Type]]="Spouse",Table2[[#This Row],[Product Option]]="My Value Plus Life &amp; Funeral",_xlfn.XLOOKUP(B257,Table2[Main Member Link ID],Table2[Benefit Name],0)=Lookups!$D$16),"",
IF(AND(Table2[[#This Row],[Member Type]]="Spouse",Table2[[#This Row],[Product Option]]="My Value Plus Life &amp; Funeral",_xlfn.XLOOKUP(B257,Table2[Main Member Link ID],Table2[Benefit Name],0)=Lookups!$D$15),"",
IF(AND(Table2[[#This Row],[Member Type]]="Spouse",Table2[[#This Row],[Product Option]]="My Value Plus Life &amp; Funeral",_xlfn.XLOOKUP(B257,Table2[Main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Funeral",_xlfn.XLOOKUP(B258,Table2[Main Member Link ID],Table2[Benefit Name],0)&lt;&gt;Lookups!$D$15),
IF(_xlfn.XLOOKUP(B258,Table2[Main Member Link ID],Table2[Benefit Name],0)=0,"",_xlfn.XLOOKUP(B258,Table2[Main Member Link ID],Table2[Benefit Name],0)),"")
))))))</f>
        <v/>
      </c>
      <c r="AG258" s="327" t="str">
        <f>IF(AND(Table2[[#This Row],[Member Type]]="Main Member",Table2[[#This Row],[Product Option]]="My Value Plus Life &amp; Funeral"),Lookups!$D$16,
IF(AND(Table2[[#This Row],[Member Type]]="Spouse",Table2[[#This Row],[Product Option]]="My Value Plus Life &amp; Funeral",_xlfn.XLOOKUP(B258,Table2[Main Member Link ID],Table2[Benefit Name],0)=Lookups!$D$14),"",
IF(AND(Table2[[#This Row],[Member Type]]="Spouse",Table2[[#This Row],[Product Option]]="My Value Plus Life &amp; Funeral",_xlfn.XLOOKUP(B257,Table2[Main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Funeral",_xlfn.XLOOKUP(B258,Table2[Main Member Link ID],Table2[Benefit Name],0)&lt;&gt;Lookups!$D$16),
IF(_xlfn.XLOOKUP(B258,Table2[Main Member Link ID],Table2[Benefit Name],0)=0,"",_xlfn.XLOOKUP(B258,Table2[Main Member Link ID],Table2[Benefit Name],0)),"")
))))</f>
        <v/>
      </c>
      <c r="AH258" s="327" t="str">
        <f>IF(AND(Table2[[#This Row],[Member Type]]="Main Member",Table2[[#This Row],[Product Option]]="My Value Plus Life &amp; Funeral"),Lookups!$D$17,
IF(AND(Table2[[#This Row],[Member Type]]="Spouse",Table2[[#This Row],[Product Option]]="My Value Plus Life &amp; Funeral",_xlfn.XLOOKUP(B258,Table2[Main Member Link ID],Table2[Benefit Name],0)=Lookups!$D$14),"",
IF(AND(Table2[[#This Row],[Member Type]]="Spouse",Table2[[#This Row],[Product Option]]="My Value Plus Life &amp; Funeral",_xlfn.XLOOKUP(B257,Table2[Main Member Link ID],Table2[Benefit Name],0)=Lookups!$D$16),"",
IF(AND(Table2[[#This Row],[Member Type]]="Child",Table2[[#This Row],[Product Option]]="My Value Plus Life &amp; Funeral"),"",
IF(AND(Table2[[#This Row],[Member Type]]="Child",Table2[[#This Row],[Product Option]]="My Value Plus Life &amp; Funeral",_xlfn.XLOOKUP(B258,Table2[Main Member Link ID],Table2[Benefit Name],0)=Lookups!$D$15),"",
IF(AND(OR(Table2[[#This Row],[Member Type]]="Spouse",Table2[[#This Row],[Member Type]]="Child"),Table2[[#This Row],[Product Option]]="My Value Plus Life &amp; Funeral",_xlfn.XLOOKUP(B258,Table2[Main Member Link ID],Table2[Benefit Name],0)&lt;&gt;Lookups!$D$17),
IF(_xlfn.XLOOKUP(B258,Table2[Main Member Link ID],Table2[Benefit Name],0)=0,"",_xlfn.XLOOKUP(B258,Table2[Main Member Link ID],Table2[Benefit Name],0)),""))))))</f>
        <v/>
      </c>
      <c r="AI258" s="328" t="str">
        <f>IF(AND(Table2[[#This Row],[Member Type]]="Main Member",Table2[[#This Row],[Table Lookup for Life Cover]]="MM_LIFE",Table2[[#This Row],[Age Next Birthday]]&lt;56),1,
IF(AND(Table2[[#This Row],[Member Type]]="Main Member",Table2[[#This Row],[Table Lookup for Life Cover]]="MM_LIFE",Table2[[#This Row],[Age Next Birthday]]&gt;=56),2,
""))</f>
        <v/>
      </c>
      <c r="AJ258" s="328">
        <f>IF(OR(Table2[[#This Row],[Member Type]]="Main Member",Table2[[#This Row],[Main Member Link ID]]=B257),1,0)</f>
        <v>1</v>
      </c>
      <c r="AK258" s="328">
        <f>IF(Table2[[#This Row],[Member Type]]=0,0,
IF(OR(Table2[[#This Row],[Member Type]]="Main Member",Table2[[#This Row],[Main Member Link ID]]&lt;&gt;B258),COUNTIFS(B:B,Table2[[#This Row],[Main Member Link ID]]),
COUNTIFS(B:B,Table2[[#This Row],[Main Member Link ID]],A:A,Table2[[#This Row],[Member Type]])))</f>
        <v>0</v>
      </c>
    </row>
    <row r="259" spans="1:37" x14ac:dyDescent="0.3">
      <c r="A259" s="284">
        <f>Table13[[#This Row],[Member Type]]</f>
        <v>0</v>
      </c>
      <c r="B259" s="284">
        <f>Table13[[#This Row],[Main Member Link ID]]</f>
        <v>0</v>
      </c>
      <c r="C259" s="284">
        <f>Table13[[#This Row],[ID Number]]</f>
        <v>0</v>
      </c>
      <c r="D259" s="285">
        <f>Table13[[#This Row],[Date Of Birth]]</f>
        <v>0</v>
      </c>
      <c r="E259" s="285">
        <f>Table13[[#This Row],[Commencement Date]]</f>
        <v>0</v>
      </c>
      <c r="F259" s="284">
        <f t="shared" si="21"/>
        <v>1</v>
      </c>
      <c r="G259" s="284">
        <f t="shared" si="22"/>
        <v>25</v>
      </c>
      <c r="H259" s="286">
        <f>Table13[[#This Row],[Product Option]]</f>
        <v>0</v>
      </c>
      <c r="I259" s="284">
        <f>IF(AND($A259="Main Member",Table2[[#This Row],[Product Option]]="My Value Plus Life"),"MM_LIFE",
IF(AND($A259="Spouse",Table2[[#This Row],[Product Option]]="My Value Plus Life"),"SP_LIFE",
IF(AND($A259="Main Member",Table2[[#This Row],[Product Option]]="My Value Plus Life &amp; Funeral"),"MM_LIFE",
IF(AND($A259="Spouse",Table2[[#This Row],[Product Option]]="My Value Plus Life &amp; Funeral"),_xlfn.XLOOKUP(Table2[[#This Row],[Benefit Name]],Lookups!$D$18:$D$23,Lookups!$E$18:$E$23,0),
0))))</f>
        <v>0</v>
      </c>
      <c r="J259" s="284">
        <f>IF($I259="","",
IF($I259="MM_LIFE",INDEX('Quotation Tool'!$S$54:$V$60,MATCH($T259,'Quotation Tool'!$S$54:$S$60,0),4),
IF($I259="SP_LIFE",_xlfn.XLOOKUP(B258,$B:$B,$J:$J,0),0)))</f>
        <v>0</v>
      </c>
      <c r="K259" s="287">
        <f t="shared" ca="1" si="26"/>
        <v>0</v>
      </c>
      <c r="L259" s="288">
        <f t="shared" ca="1" si="27"/>
        <v>0</v>
      </c>
      <c r="M259" s="289">
        <f t="shared" ca="1" si="23"/>
        <v>0</v>
      </c>
      <c r="N259" s="286">
        <f>Table13[[#This Row],[Benefit Option]]</f>
        <v>0</v>
      </c>
      <c r="O259" s="284">
        <f>IF(OR(Table2[[#This Row],[Member Type]]="Spouse",Table2[[#This Row],[Member Type]]="Child"),0,
IF(_xlfn.XLOOKUP($N259,Lookups!$D$13:$D$27,Lookups!$F$13:$F$27,0)=Table2[[#This Row],[Table Lookup for Life Cover]],0,
_xlfn.XLOOKUP($N259,Lookups!$D$13:$D$27,Lookups!$F$13:$F$27,0)))</f>
        <v>0</v>
      </c>
      <c r="P259" s="284">
        <f>IF(Table2[[#This Row],[Table Lookup for Funeral]]=0,0,IFERROR(INDEX('Quotation Tool'!$S$54:$V$60,MATCH($T259,'Quotation Tool'!$S$54:$S$60,0),3),0))</f>
        <v>0</v>
      </c>
      <c r="Q259" s="288">
        <f ca="1">IF(OR(Table2[[#This Row],[Benefit Name]]="My Value Plus Life - Main Member",Table2[[#This Row],[Benefit Name]]="My Value Plus Life - Spouse"),0,
IFERROR(VLOOKUP($G259,INDIRECT($O259),$P259,FALSE),0))</f>
        <v>0</v>
      </c>
      <c r="R259" s="288">
        <f ca="1">IF(OR(Table2[[#This Row],[Benefit Name]]="My Value Plus Life - Main Member",Table2[[#This Row],[Benefit Name]]="My Value Plus Life - Spouse"),0,
IFERROR(VLOOKUP($G259,INDIRECT($O259),$P259+1,FALSE),0))</f>
        <v>0</v>
      </c>
      <c r="S259" s="289">
        <f t="shared" ca="1" si="24"/>
        <v>0</v>
      </c>
      <c r="T259" s="284" t="str">
        <f>IF(Table13[[#This Row],[Premium Waiver]]="","None",Table13[[#This Row],[Premium Waiver]])</f>
        <v>None</v>
      </c>
      <c r="U259" s="284">
        <f>Table13[[#This Row],[VAPs Options]]</f>
        <v>0</v>
      </c>
      <c r="V259" s="284">
        <f>Table13[[#This Row],[Annual Increase Option]]</f>
        <v>0</v>
      </c>
      <c r="W259" s="290">
        <f>Table13[[#This Row],[Life Cover Amount]]</f>
        <v>0</v>
      </c>
      <c r="X259" s="290">
        <f>Table13[[#This Row],[Funeral Cover Amount]]</f>
        <v>0</v>
      </c>
      <c r="Y25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5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59" s="301">
        <f t="shared" ca="1" si="25"/>
        <v>0</v>
      </c>
      <c r="AB259" s="298"/>
      <c r="AC259" s="326" t="str">
        <f>IF(Table2[[#This Row],[Member Type]]="Main Member",Lookups!$C$13,
IF(Table2[[#This Row],[Member Type]]="Spouse",_xlfn.XLOOKUP(B259,Table2[Main Member Link ID],Table2[Product Option],0),
IF(AND(Table2[[#This Row],[Member Type]]="Child",_xlfn.XLOOKUP(B259,Table2[Main Member Link ID],Table2[Product Option],0)&lt;&gt;"My Value Plus Life"),Lookups!$C$24,
IF(AND(OR(Table2[[#This Row],[Member Type]]="Parent",Table2[[#This Row],[Member Type]]="Extended"),_xlfn.XLOOKUP(B259,Table2[Main Member Link ID],Table2[Product Option],0)&lt;&gt;"My Value Plus Life"),Lookups!$C$26,""))))</f>
        <v/>
      </c>
      <c r="AD259" s="326" t="str">
        <f>IF(Table2[[#This Row],[Member Type]]="Main Member",Lookups!$C$14,"")</f>
        <v/>
      </c>
      <c r="AE25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Funeral",_xlfn.XLOOKUP(B259,Table2[Main Member Link ID],Table2[Benefit Name],0)=Lookups!$D$14),"",
IF(AND(Table2[[#This Row],[Member Type]]="Spouse",Table2[[#This Row],[Product Option]]="My Value Plus Life &amp; Funeral",_xlfn.XLOOKUP(B258,Table2[Main Member Link ID],Table2[Benefit Name],0)=Lookups!$D$15),Lookups!$D$20,
IF(AND(Table2[[#This Row],[Member Type]]="Spouse",Table2[[#This Row],[Product Option]]="My Value Plus Life &amp; Funeral",_xlfn.XLOOKUP(B258,Table2[Main Member Link ID],Table2[Benefit Name],0)=Lookups!$D$16),"",
IF(AND(Table2[[#This Row],[Member Type]]="Spouse",Table2[[#This Row],[Product Option]]="My Value Plus Life &amp; Funeral",_xlfn.XLOOKUP(B258,Table2[Main Member Link ID],Table2[Benefit Name],0)=Lookups!$D$17),Lookups!$D$21,
IF(AND(Table2[[#This Row],[Member Type]]="Child",Table2[[#This Row],[Product Option]]="My Value Plus Life &amp; Funeral",_xlfn.XLOOKUP(B259,Table2[Main Member Link ID],Table2[Benefit Name],0)=Lookups!$D$14),"",
IF(AND(Table2[[#This Row],[Member Type]]="Child",Table2[[#This Row],[Product Option]]="My Value Plus Life &amp; Funeral",_xlfn.XLOOKUP(B259,Table2[Main Member Link ID],Table2[Benefit Name],0)=Lookups!$D$15),"",
IF(AND(Table2[[#This Row],[Member Type]]="Child",Table2[[#This Row],[Product Option]]="My Value Plus Life &amp; Funeral",_xlfn.XLOOKUP(B259,Table2[Main Member Link ID],Table2[Benefit Name],0)=Lookups!$D$16),Lookups!$D$24,
IF(AND(Table2[[#This Row],[Member Type]]="Child",Table2[[#This Row],[Product Option]]="My Value Plus Life &amp; Funeral",_xlfn.XLOOKUP(B259,Table2[Main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Funeral",_xlfn.XLOOKUP(B259,Table2[Main Member Link ID],Table2[Benefit Name],0)&lt;&gt;Lookups!$D$14),
IF(_xlfn.XLOOKUP(B259,Table2[Main Member Link ID],Table2[Benefit Name],0)=0,"",_xlfn.XLOOKUP(B259,Table2[Main Member Link ID],Table2[Benefit Name],0)),"")))))))))))))))</f>
        <v/>
      </c>
      <c r="AF259" s="327" t="str">
        <f>IF(AND(Table2[[#This Row],[Member Type]]="Main Member",Table2[[#This Row],[Product Option]]="My Value Plus Life &amp; Funeral"),Lookups!$D$15,
IF(AND(Table2[[#This Row],[Member Type]]="Spouse",Table2[[#This Row],[Product Option]]="My Value Plus Life &amp; Funeral",_xlfn.XLOOKUP(B259,Table2[Main Member Link ID],Table2[Benefit Name],0)=Lookups!$D$14),"",
IF(AND(Table2[[#This Row],[Member Type]]="Spouse",Table2[[#This Row],[Product Option]]="My Value Plus Life &amp; Funeral",_xlfn.XLOOKUP(B258,Table2[Main Member Link ID],Table2[Benefit Name],0)=Lookups!$D$16),"",
IF(AND(Table2[[#This Row],[Member Type]]="Spouse",Table2[[#This Row],[Product Option]]="My Value Plus Life &amp; Funeral",_xlfn.XLOOKUP(B258,Table2[Main Member Link ID],Table2[Benefit Name],0)=Lookups!$D$15),"",
IF(AND(Table2[[#This Row],[Member Type]]="Spouse",Table2[[#This Row],[Product Option]]="My Value Plus Life &amp; Funeral",_xlfn.XLOOKUP(B258,Table2[Main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Funeral",_xlfn.XLOOKUP(B259,Table2[Main Member Link ID],Table2[Benefit Name],0)&lt;&gt;Lookups!$D$15),
IF(_xlfn.XLOOKUP(B259,Table2[Main Member Link ID],Table2[Benefit Name],0)=0,"",_xlfn.XLOOKUP(B259,Table2[Main Member Link ID],Table2[Benefit Name],0)),"")
))))))</f>
        <v/>
      </c>
      <c r="AG259" s="327" t="str">
        <f>IF(AND(Table2[[#This Row],[Member Type]]="Main Member",Table2[[#This Row],[Product Option]]="My Value Plus Life &amp; Funeral"),Lookups!$D$16,
IF(AND(Table2[[#This Row],[Member Type]]="Spouse",Table2[[#This Row],[Product Option]]="My Value Plus Life &amp; Funeral",_xlfn.XLOOKUP(B259,Table2[Main Member Link ID],Table2[Benefit Name],0)=Lookups!$D$14),"",
IF(AND(Table2[[#This Row],[Member Type]]="Spouse",Table2[[#This Row],[Product Option]]="My Value Plus Life &amp; Funeral",_xlfn.XLOOKUP(B258,Table2[Main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Funeral",_xlfn.XLOOKUP(B259,Table2[Main Member Link ID],Table2[Benefit Name],0)&lt;&gt;Lookups!$D$16),
IF(_xlfn.XLOOKUP(B259,Table2[Main Member Link ID],Table2[Benefit Name],0)=0,"",_xlfn.XLOOKUP(B259,Table2[Main Member Link ID],Table2[Benefit Name],0)),"")
))))</f>
        <v/>
      </c>
      <c r="AH259" s="327" t="str">
        <f>IF(AND(Table2[[#This Row],[Member Type]]="Main Member",Table2[[#This Row],[Product Option]]="My Value Plus Life &amp; Funeral"),Lookups!$D$17,
IF(AND(Table2[[#This Row],[Member Type]]="Spouse",Table2[[#This Row],[Product Option]]="My Value Plus Life &amp; Funeral",_xlfn.XLOOKUP(B259,Table2[Main Member Link ID],Table2[Benefit Name],0)=Lookups!$D$14),"",
IF(AND(Table2[[#This Row],[Member Type]]="Spouse",Table2[[#This Row],[Product Option]]="My Value Plus Life &amp; Funeral",_xlfn.XLOOKUP(B258,Table2[Main Member Link ID],Table2[Benefit Name],0)=Lookups!$D$16),"",
IF(AND(Table2[[#This Row],[Member Type]]="Child",Table2[[#This Row],[Product Option]]="My Value Plus Life &amp; Funeral"),"",
IF(AND(Table2[[#This Row],[Member Type]]="Child",Table2[[#This Row],[Product Option]]="My Value Plus Life &amp; Funeral",_xlfn.XLOOKUP(B259,Table2[Main Member Link ID],Table2[Benefit Name],0)=Lookups!$D$15),"",
IF(AND(OR(Table2[[#This Row],[Member Type]]="Spouse",Table2[[#This Row],[Member Type]]="Child"),Table2[[#This Row],[Product Option]]="My Value Plus Life &amp; Funeral",_xlfn.XLOOKUP(B259,Table2[Main Member Link ID],Table2[Benefit Name],0)&lt;&gt;Lookups!$D$17),
IF(_xlfn.XLOOKUP(B259,Table2[Main Member Link ID],Table2[Benefit Name],0)=0,"",_xlfn.XLOOKUP(B259,Table2[Main Member Link ID],Table2[Benefit Name],0)),""))))))</f>
        <v/>
      </c>
      <c r="AI259" s="328" t="str">
        <f>IF(AND(Table2[[#This Row],[Member Type]]="Main Member",Table2[[#This Row],[Table Lookup for Life Cover]]="MM_LIFE",Table2[[#This Row],[Age Next Birthday]]&lt;56),1,
IF(AND(Table2[[#This Row],[Member Type]]="Main Member",Table2[[#This Row],[Table Lookup for Life Cover]]="MM_LIFE",Table2[[#This Row],[Age Next Birthday]]&gt;=56),2,
""))</f>
        <v/>
      </c>
      <c r="AJ259" s="328">
        <f>IF(OR(Table2[[#This Row],[Member Type]]="Main Member",Table2[[#This Row],[Main Member Link ID]]=B258),1,0)</f>
        <v>1</v>
      </c>
      <c r="AK259" s="328">
        <f>IF(Table2[[#This Row],[Member Type]]=0,0,
IF(OR(Table2[[#This Row],[Member Type]]="Main Member",Table2[[#This Row],[Main Member Link ID]]&lt;&gt;B259),COUNTIFS(B:B,Table2[[#This Row],[Main Member Link ID]]),
COUNTIFS(B:B,Table2[[#This Row],[Main Member Link ID]],A:A,Table2[[#This Row],[Member Type]])))</f>
        <v>0</v>
      </c>
    </row>
    <row r="260" spans="1:37" x14ac:dyDescent="0.3">
      <c r="A260" s="284">
        <f>Table13[[#This Row],[Member Type]]</f>
        <v>0</v>
      </c>
      <c r="B260" s="284">
        <f>Table13[[#This Row],[Main Member Link ID]]</f>
        <v>0</v>
      </c>
      <c r="C260" s="284">
        <f>Table13[[#This Row],[ID Number]]</f>
        <v>0</v>
      </c>
      <c r="D260" s="285">
        <f>Table13[[#This Row],[Date Of Birth]]</f>
        <v>0</v>
      </c>
      <c r="E260" s="285">
        <f>Table13[[#This Row],[Commencement Date]]</f>
        <v>0</v>
      </c>
      <c r="F260" s="284">
        <f t="shared" si="21"/>
        <v>1</v>
      </c>
      <c r="G260" s="284">
        <f t="shared" si="22"/>
        <v>25</v>
      </c>
      <c r="H260" s="286">
        <f>Table13[[#This Row],[Product Option]]</f>
        <v>0</v>
      </c>
      <c r="I260" s="284">
        <f>IF(AND($A260="Main Member",Table2[[#This Row],[Product Option]]="My Value Plus Life"),"MM_LIFE",
IF(AND($A260="Spouse",Table2[[#This Row],[Product Option]]="My Value Plus Life"),"SP_LIFE",
IF(AND($A260="Main Member",Table2[[#This Row],[Product Option]]="My Value Plus Life &amp; Funeral"),"MM_LIFE",
IF(AND($A260="Spouse",Table2[[#This Row],[Product Option]]="My Value Plus Life &amp; Funeral"),_xlfn.XLOOKUP(Table2[[#This Row],[Benefit Name]],Lookups!$D$18:$D$23,Lookups!$E$18:$E$23,0),
0))))</f>
        <v>0</v>
      </c>
      <c r="J260" s="284">
        <f>IF($I260="","",
IF($I260="MM_LIFE",INDEX('Quotation Tool'!$S$54:$V$60,MATCH($T260,'Quotation Tool'!$S$54:$S$60,0),4),
IF($I260="SP_LIFE",_xlfn.XLOOKUP(B259,$B:$B,$J:$J,0),0)))</f>
        <v>0</v>
      </c>
      <c r="K260" s="287">
        <f t="shared" ca="1" si="26"/>
        <v>0</v>
      </c>
      <c r="L260" s="288">
        <f t="shared" ca="1" si="27"/>
        <v>0</v>
      </c>
      <c r="M260" s="289">
        <f t="shared" ca="1" si="23"/>
        <v>0</v>
      </c>
      <c r="N260" s="286">
        <f>Table13[[#This Row],[Benefit Option]]</f>
        <v>0</v>
      </c>
      <c r="O260" s="284">
        <f>IF(OR(Table2[[#This Row],[Member Type]]="Spouse",Table2[[#This Row],[Member Type]]="Child"),0,
IF(_xlfn.XLOOKUP($N260,Lookups!$D$13:$D$27,Lookups!$F$13:$F$27,0)=Table2[[#This Row],[Table Lookup for Life Cover]],0,
_xlfn.XLOOKUP($N260,Lookups!$D$13:$D$27,Lookups!$F$13:$F$27,0)))</f>
        <v>0</v>
      </c>
      <c r="P260" s="284">
        <f>IF(Table2[[#This Row],[Table Lookup for Funeral]]=0,0,IFERROR(INDEX('Quotation Tool'!$S$54:$V$60,MATCH($T260,'Quotation Tool'!$S$54:$S$60,0),3),0))</f>
        <v>0</v>
      </c>
      <c r="Q260" s="288">
        <f ca="1">IF(OR(Table2[[#This Row],[Benefit Name]]="My Value Plus Life - Main Member",Table2[[#This Row],[Benefit Name]]="My Value Plus Life - Spouse"),0,
IFERROR(VLOOKUP($G260,INDIRECT($O260),$P260,FALSE),0))</f>
        <v>0</v>
      </c>
      <c r="R260" s="288">
        <f ca="1">IF(OR(Table2[[#This Row],[Benefit Name]]="My Value Plus Life - Main Member",Table2[[#This Row],[Benefit Name]]="My Value Plus Life - Spouse"),0,
IFERROR(VLOOKUP($G260,INDIRECT($O260),$P260+1,FALSE),0))</f>
        <v>0</v>
      </c>
      <c r="S260" s="289">
        <f t="shared" ca="1" si="24"/>
        <v>0</v>
      </c>
      <c r="T260" s="284" t="str">
        <f>IF(Table13[[#This Row],[Premium Waiver]]="","None",Table13[[#This Row],[Premium Waiver]])</f>
        <v>None</v>
      </c>
      <c r="U260" s="284">
        <f>Table13[[#This Row],[VAPs Options]]</f>
        <v>0</v>
      </c>
      <c r="V260" s="284">
        <f>Table13[[#This Row],[Annual Increase Option]]</f>
        <v>0</v>
      </c>
      <c r="W260" s="290">
        <f>Table13[[#This Row],[Life Cover Amount]]</f>
        <v>0</v>
      </c>
      <c r="X260" s="290">
        <f>Table13[[#This Row],[Funeral Cover Amount]]</f>
        <v>0</v>
      </c>
      <c r="Y26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6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60" s="301">
        <f t="shared" ca="1" si="25"/>
        <v>0</v>
      </c>
      <c r="AB260" s="298"/>
      <c r="AC260" s="326" t="str">
        <f>IF(Table2[[#This Row],[Member Type]]="Main Member",Lookups!$C$13,
IF(Table2[[#This Row],[Member Type]]="Spouse",_xlfn.XLOOKUP(B260,Table2[Main Member Link ID],Table2[Product Option],0),
IF(AND(Table2[[#This Row],[Member Type]]="Child",_xlfn.XLOOKUP(B260,Table2[Main Member Link ID],Table2[Product Option],0)&lt;&gt;"My Value Plus Life"),Lookups!$C$24,
IF(AND(OR(Table2[[#This Row],[Member Type]]="Parent",Table2[[#This Row],[Member Type]]="Extended"),_xlfn.XLOOKUP(B260,Table2[Main Member Link ID],Table2[Product Option],0)&lt;&gt;"My Value Plus Life"),Lookups!$C$26,""))))</f>
        <v/>
      </c>
      <c r="AD260" s="326" t="str">
        <f>IF(Table2[[#This Row],[Member Type]]="Main Member",Lookups!$C$14,"")</f>
        <v/>
      </c>
      <c r="AE26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Funeral",_xlfn.XLOOKUP(B260,Table2[Main Member Link ID],Table2[Benefit Name],0)=Lookups!$D$14),"",
IF(AND(Table2[[#This Row],[Member Type]]="Spouse",Table2[[#This Row],[Product Option]]="My Value Plus Life &amp; Funeral",_xlfn.XLOOKUP(B259,Table2[Main Member Link ID],Table2[Benefit Name],0)=Lookups!$D$15),Lookups!$D$20,
IF(AND(Table2[[#This Row],[Member Type]]="Spouse",Table2[[#This Row],[Product Option]]="My Value Plus Life &amp; Funeral",_xlfn.XLOOKUP(B259,Table2[Main Member Link ID],Table2[Benefit Name],0)=Lookups!$D$16),"",
IF(AND(Table2[[#This Row],[Member Type]]="Spouse",Table2[[#This Row],[Product Option]]="My Value Plus Life &amp; Funeral",_xlfn.XLOOKUP(B259,Table2[Main Member Link ID],Table2[Benefit Name],0)=Lookups!$D$17),Lookups!$D$21,
IF(AND(Table2[[#This Row],[Member Type]]="Child",Table2[[#This Row],[Product Option]]="My Value Plus Life &amp; Funeral",_xlfn.XLOOKUP(B260,Table2[Main Member Link ID],Table2[Benefit Name],0)=Lookups!$D$14),"",
IF(AND(Table2[[#This Row],[Member Type]]="Child",Table2[[#This Row],[Product Option]]="My Value Plus Life &amp; Funeral",_xlfn.XLOOKUP(B260,Table2[Main Member Link ID],Table2[Benefit Name],0)=Lookups!$D$15),"",
IF(AND(Table2[[#This Row],[Member Type]]="Child",Table2[[#This Row],[Product Option]]="My Value Plus Life &amp; Funeral",_xlfn.XLOOKUP(B260,Table2[Main Member Link ID],Table2[Benefit Name],0)=Lookups!$D$16),Lookups!$D$24,
IF(AND(Table2[[#This Row],[Member Type]]="Child",Table2[[#This Row],[Product Option]]="My Value Plus Life &amp; Funeral",_xlfn.XLOOKUP(B260,Table2[Main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Funeral",_xlfn.XLOOKUP(B260,Table2[Main Member Link ID],Table2[Benefit Name],0)&lt;&gt;Lookups!$D$14),
IF(_xlfn.XLOOKUP(B260,Table2[Main Member Link ID],Table2[Benefit Name],0)=0,"",_xlfn.XLOOKUP(B260,Table2[Main Member Link ID],Table2[Benefit Name],0)),"")))))))))))))))</f>
        <v/>
      </c>
      <c r="AF260" s="327" t="str">
        <f>IF(AND(Table2[[#This Row],[Member Type]]="Main Member",Table2[[#This Row],[Product Option]]="My Value Plus Life &amp; Funeral"),Lookups!$D$15,
IF(AND(Table2[[#This Row],[Member Type]]="Spouse",Table2[[#This Row],[Product Option]]="My Value Plus Life &amp; Funeral",_xlfn.XLOOKUP(B260,Table2[Main Member Link ID],Table2[Benefit Name],0)=Lookups!$D$14),"",
IF(AND(Table2[[#This Row],[Member Type]]="Spouse",Table2[[#This Row],[Product Option]]="My Value Plus Life &amp; Funeral",_xlfn.XLOOKUP(B259,Table2[Main Member Link ID],Table2[Benefit Name],0)=Lookups!$D$16),"",
IF(AND(Table2[[#This Row],[Member Type]]="Spouse",Table2[[#This Row],[Product Option]]="My Value Plus Life &amp; Funeral",_xlfn.XLOOKUP(B259,Table2[Main Member Link ID],Table2[Benefit Name],0)=Lookups!$D$15),"",
IF(AND(Table2[[#This Row],[Member Type]]="Spouse",Table2[[#This Row],[Product Option]]="My Value Plus Life &amp; Funeral",_xlfn.XLOOKUP(B259,Table2[Main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Funeral",_xlfn.XLOOKUP(B260,Table2[Main Member Link ID],Table2[Benefit Name],0)&lt;&gt;Lookups!$D$15),
IF(_xlfn.XLOOKUP(B260,Table2[Main Member Link ID],Table2[Benefit Name],0)=0,"",_xlfn.XLOOKUP(B260,Table2[Main Member Link ID],Table2[Benefit Name],0)),"")
))))))</f>
        <v/>
      </c>
      <c r="AG260" s="327" t="str">
        <f>IF(AND(Table2[[#This Row],[Member Type]]="Main Member",Table2[[#This Row],[Product Option]]="My Value Plus Life &amp; Funeral"),Lookups!$D$16,
IF(AND(Table2[[#This Row],[Member Type]]="Spouse",Table2[[#This Row],[Product Option]]="My Value Plus Life &amp; Funeral",_xlfn.XLOOKUP(B260,Table2[Main Member Link ID],Table2[Benefit Name],0)=Lookups!$D$14),"",
IF(AND(Table2[[#This Row],[Member Type]]="Spouse",Table2[[#This Row],[Product Option]]="My Value Plus Life &amp; Funeral",_xlfn.XLOOKUP(B259,Table2[Main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Funeral",_xlfn.XLOOKUP(B260,Table2[Main Member Link ID],Table2[Benefit Name],0)&lt;&gt;Lookups!$D$16),
IF(_xlfn.XLOOKUP(B260,Table2[Main Member Link ID],Table2[Benefit Name],0)=0,"",_xlfn.XLOOKUP(B260,Table2[Main Member Link ID],Table2[Benefit Name],0)),"")
))))</f>
        <v/>
      </c>
      <c r="AH260" s="327" t="str">
        <f>IF(AND(Table2[[#This Row],[Member Type]]="Main Member",Table2[[#This Row],[Product Option]]="My Value Plus Life &amp; Funeral"),Lookups!$D$17,
IF(AND(Table2[[#This Row],[Member Type]]="Spouse",Table2[[#This Row],[Product Option]]="My Value Plus Life &amp; Funeral",_xlfn.XLOOKUP(B260,Table2[Main Member Link ID],Table2[Benefit Name],0)=Lookups!$D$14),"",
IF(AND(Table2[[#This Row],[Member Type]]="Spouse",Table2[[#This Row],[Product Option]]="My Value Plus Life &amp; Funeral",_xlfn.XLOOKUP(B259,Table2[Main Member Link ID],Table2[Benefit Name],0)=Lookups!$D$16),"",
IF(AND(Table2[[#This Row],[Member Type]]="Child",Table2[[#This Row],[Product Option]]="My Value Plus Life &amp; Funeral"),"",
IF(AND(Table2[[#This Row],[Member Type]]="Child",Table2[[#This Row],[Product Option]]="My Value Plus Life &amp; Funeral",_xlfn.XLOOKUP(B260,Table2[Main Member Link ID],Table2[Benefit Name],0)=Lookups!$D$15),"",
IF(AND(OR(Table2[[#This Row],[Member Type]]="Spouse",Table2[[#This Row],[Member Type]]="Child"),Table2[[#This Row],[Product Option]]="My Value Plus Life &amp; Funeral",_xlfn.XLOOKUP(B260,Table2[Main Member Link ID],Table2[Benefit Name],0)&lt;&gt;Lookups!$D$17),
IF(_xlfn.XLOOKUP(B260,Table2[Main Member Link ID],Table2[Benefit Name],0)=0,"",_xlfn.XLOOKUP(B260,Table2[Main Member Link ID],Table2[Benefit Name],0)),""))))))</f>
        <v/>
      </c>
      <c r="AI260" s="328" t="str">
        <f>IF(AND(Table2[[#This Row],[Member Type]]="Main Member",Table2[[#This Row],[Table Lookup for Life Cover]]="MM_LIFE",Table2[[#This Row],[Age Next Birthday]]&lt;56),1,
IF(AND(Table2[[#This Row],[Member Type]]="Main Member",Table2[[#This Row],[Table Lookup for Life Cover]]="MM_LIFE",Table2[[#This Row],[Age Next Birthday]]&gt;=56),2,
""))</f>
        <v/>
      </c>
      <c r="AJ260" s="328">
        <f>IF(OR(Table2[[#This Row],[Member Type]]="Main Member",Table2[[#This Row],[Main Member Link ID]]=B259),1,0)</f>
        <v>1</v>
      </c>
      <c r="AK260" s="328">
        <f>IF(Table2[[#This Row],[Member Type]]=0,0,
IF(OR(Table2[[#This Row],[Member Type]]="Main Member",Table2[[#This Row],[Main Member Link ID]]&lt;&gt;B260),COUNTIFS(B:B,Table2[[#This Row],[Main Member Link ID]]),
COUNTIFS(B:B,Table2[[#This Row],[Main Member Link ID]],A:A,Table2[[#This Row],[Member Type]])))</f>
        <v>0</v>
      </c>
    </row>
    <row r="261" spans="1:37" x14ac:dyDescent="0.3">
      <c r="A261" s="284">
        <f>Table13[[#This Row],[Member Type]]</f>
        <v>0</v>
      </c>
      <c r="B261" s="284">
        <f>Table13[[#This Row],[Main Member Link ID]]</f>
        <v>0</v>
      </c>
      <c r="C261" s="284">
        <f>Table13[[#This Row],[ID Number]]</f>
        <v>0</v>
      </c>
      <c r="D261" s="285">
        <f>Table13[[#This Row],[Date Of Birth]]</f>
        <v>0</v>
      </c>
      <c r="E261" s="285">
        <f>Table13[[#This Row],[Commencement Date]]</f>
        <v>0</v>
      </c>
      <c r="F261" s="284">
        <f t="shared" ref="F261:F324" si="28">IF(D261="","",
IF(OR($A261="Main Member",$A261="Spouse",$A261="Child"),IFERROR(IF((IF($D261="",-1,DATEDIF($D261,$E261,"Y"))+1)&gt;75,"Max age",IF($D261="",-1,DATEDIF($D261,$E261,"Y"))+1),FALSE),
IFERROR(IF((IF($D261="",-1,DATEDIF($D261,$E261,"Y"))+1)&gt;75,"Max age",IF($D261="",-1,DATEDIF($D261,$E261,"Y"))+1),FALSE)))</f>
        <v>1</v>
      </c>
      <c r="G261" s="284">
        <f t="shared" ref="G261:G324" si="29">IF(F261="","",
IF(F261="Max age","Max age",
IF(OR($A261="Main Member",$A261="Spouse",$A261="Child"),IF($F261=0,"",IF($F261&lt;26,25,IF($F261&lt;36,35,IF($F261&lt;46,45,IF($F261&lt;51,50,IF($F261&lt;56,55,IF($F261&lt;61,60,IF($F261&lt;66,65,IF($F261&lt;71,70,IF($F261&lt;76,75)))))))))),
IF($F261=0,"",IF($F261&lt;26,25,IF($F261&lt;36,35,IF($F261&lt;46,45,IF($F261&lt;51,50,IF($F261&lt;56,55,IF($F261&lt;61,60,IF($F261&lt;66,65,IF($F261&lt;71,70,IF($F261&lt;76,75)))))))))))))</f>
        <v>25</v>
      </c>
      <c r="H261" s="286">
        <f>Table13[[#This Row],[Product Option]]</f>
        <v>0</v>
      </c>
      <c r="I261" s="284">
        <f>IF(AND($A261="Main Member",Table2[[#This Row],[Product Option]]="My Value Plus Life"),"MM_LIFE",
IF(AND($A261="Spouse",Table2[[#This Row],[Product Option]]="My Value Plus Life"),"SP_LIFE",
IF(AND($A261="Main Member",Table2[[#This Row],[Product Option]]="My Value Plus Life &amp; Funeral"),"MM_LIFE",
IF(AND($A261="Spouse",Table2[[#This Row],[Product Option]]="My Value Plus Life &amp; Funeral"),_xlfn.XLOOKUP(Table2[[#This Row],[Benefit Name]],Lookups!$D$18:$D$23,Lookups!$E$18:$E$23,0),
0))))</f>
        <v>0</v>
      </c>
      <c r="J261" s="284">
        <f>IF($I261="","",
IF($I261="MM_LIFE",INDEX('Quotation Tool'!$S$54:$V$60,MATCH($T261,'Quotation Tool'!$S$54:$S$60,0),4),
IF($I261="SP_LIFE",_xlfn.XLOOKUP(B260,$B:$B,$J:$J,0),0)))</f>
        <v>0</v>
      </c>
      <c r="K261" s="287">
        <f t="shared" ca="1" si="26"/>
        <v>0</v>
      </c>
      <c r="L261" s="288">
        <f t="shared" ca="1" si="27"/>
        <v>0</v>
      </c>
      <c r="M261" s="289">
        <f t="shared" ref="M261:M324" ca="1" si="30">K261+L261/1000*W261</f>
        <v>0</v>
      </c>
      <c r="N261" s="286">
        <f>Table13[[#This Row],[Benefit Option]]</f>
        <v>0</v>
      </c>
      <c r="O261" s="284">
        <f>IF(OR(Table2[[#This Row],[Member Type]]="Spouse",Table2[[#This Row],[Member Type]]="Child"),0,
IF(_xlfn.XLOOKUP($N261,Lookups!$D$13:$D$27,Lookups!$F$13:$F$27,0)=Table2[[#This Row],[Table Lookup for Life Cover]],0,
_xlfn.XLOOKUP($N261,Lookups!$D$13:$D$27,Lookups!$F$13:$F$27,0)))</f>
        <v>0</v>
      </c>
      <c r="P261" s="284">
        <f>IF(Table2[[#This Row],[Table Lookup for Funeral]]=0,0,IFERROR(INDEX('Quotation Tool'!$S$54:$V$60,MATCH($T261,'Quotation Tool'!$S$54:$S$60,0),3),0))</f>
        <v>0</v>
      </c>
      <c r="Q261" s="288">
        <f ca="1">IF(OR(Table2[[#This Row],[Benefit Name]]="My Value Plus Life - Main Member",Table2[[#This Row],[Benefit Name]]="My Value Plus Life - Spouse"),0,
IFERROR(VLOOKUP($G261,INDIRECT($O261),$P261,FALSE),0))</f>
        <v>0</v>
      </c>
      <c r="R261" s="288">
        <f ca="1">IF(OR(Table2[[#This Row],[Benefit Name]]="My Value Plus Life - Main Member",Table2[[#This Row],[Benefit Name]]="My Value Plus Life - Spouse"),0,
IFERROR(VLOOKUP($G261,INDIRECT($O261),$P261+1,FALSE),0))</f>
        <v>0</v>
      </c>
      <c r="S261" s="289">
        <f t="shared" ref="S261:S324" ca="1" si="31">Q261+R261/1000*X261</f>
        <v>0</v>
      </c>
      <c r="T261" s="284" t="str">
        <f>IF(Table13[[#This Row],[Premium Waiver]]="","None",Table13[[#This Row],[Premium Waiver]])</f>
        <v>None</v>
      </c>
      <c r="U261" s="284">
        <f>Table13[[#This Row],[VAPs Options]]</f>
        <v>0</v>
      </c>
      <c r="V261" s="284">
        <f>Table13[[#This Row],[Annual Increase Option]]</f>
        <v>0</v>
      </c>
      <c r="W261" s="290">
        <f>Table13[[#This Row],[Life Cover Amount]]</f>
        <v>0</v>
      </c>
      <c r="X261" s="290">
        <f>Table13[[#This Row],[Funeral Cover Amount]]</f>
        <v>0</v>
      </c>
      <c r="Y26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6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61" s="301">
        <f t="shared" ref="AA261:AA324" ca="1" si="32">S261+M261</f>
        <v>0</v>
      </c>
      <c r="AB261" s="298"/>
      <c r="AC261" s="326" t="str">
        <f>IF(Table2[[#This Row],[Member Type]]="Main Member",Lookups!$C$13,
IF(Table2[[#This Row],[Member Type]]="Spouse",_xlfn.XLOOKUP(B261,Table2[Main Member Link ID],Table2[Product Option],0),
IF(AND(Table2[[#This Row],[Member Type]]="Child",_xlfn.XLOOKUP(B261,Table2[Main Member Link ID],Table2[Product Option],0)&lt;&gt;"My Value Plus Life"),Lookups!$C$24,
IF(AND(OR(Table2[[#This Row],[Member Type]]="Parent",Table2[[#This Row],[Member Type]]="Extended"),_xlfn.XLOOKUP(B261,Table2[Main Member Link ID],Table2[Product Option],0)&lt;&gt;"My Value Plus Life"),Lookups!$C$26,""))))</f>
        <v/>
      </c>
      <c r="AD261" s="326" t="str">
        <f>IF(Table2[[#This Row],[Member Type]]="Main Member",Lookups!$C$14,"")</f>
        <v/>
      </c>
      <c r="AE26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Funeral",_xlfn.XLOOKUP(B261,Table2[Main Member Link ID],Table2[Benefit Name],0)=Lookups!$D$14),"",
IF(AND(Table2[[#This Row],[Member Type]]="Spouse",Table2[[#This Row],[Product Option]]="My Value Plus Life &amp; Funeral",_xlfn.XLOOKUP(B260,Table2[Main Member Link ID],Table2[Benefit Name],0)=Lookups!$D$15),Lookups!$D$20,
IF(AND(Table2[[#This Row],[Member Type]]="Spouse",Table2[[#This Row],[Product Option]]="My Value Plus Life &amp; Funeral",_xlfn.XLOOKUP(B260,Table2[Main Member Link ID],Table2[Benefit Name],0)=Lookups!$D$16),"",
IF(AND(Table2[[#This Row],[Member Type]]="Spouse",Table2[[#This Row],[Product Option]]="My Value Plus Life &amp; Funeral",_xlfn.XLOOKUP(B260,Table2[Main Member Link ID],Table2[Benefit Name],0)=Lookups!$D$17),Lookups!$D$21,
IF(AND(Table2[[#This Row],[Member Type]]="Child",Table2[[#This Row],[Product Option]]="My Value Plus Life &amp; Funeral",_xlfn.XLOOKUP(B261,Table2[Main Member Link ID],Table2[Benefit Name],0)=Lookups!$D$14),"",
IF(AND(Table2[[#This Row],[Member Type]]="Child",Table2[[#This Row],[Product Option]]="My Value Plus Life &amp; Funeral",_xlfn.XLOOKUP(B261,Table2[Main Member Link ID],Table2[Benefit Name],0)=Lookups!$D$15),"",
IF(AND(Table2[[#This Row],[Member Type]]="Child",Table2[[#This Row],[Product Option]]="My Value Plus Life &amp; Funeral",_xlfn.XLOOKUP(B261,Table2[Main Member Link ID],Table2[Benefit Name],0)=Lookups!$D$16),Lookups!$D$24,
IF(AND(Table2[[#This Row],[Member Type]]="Child",Table2[[#This Row],[Product Option]]="My Value Plus Life &amp; Funeral",_xlfn.XLOOKUP(B261,Table2[Main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Funeral",_xlfn.XLOOKUP(B261,Table2[Main Member Link ID],Table2[Benefit Name],0)&lt;&gt;Lookups!$D$14),
IF(_xlfn.XLOOKUP(B261,Table2[Main Member Link ID],Table2[Benefit Name],0)=0,"",_xlfn.XLOOKUP(B261,Table2[Main Member Link ID],Table2[Benefit Name],0)),"")))))))))))))))</f>
        <v/>
      </c>
      <c r="AF261" s="327" t="str">
        <f>IF(AND(Table2[[#This Row],[Member Type]]="Main Member",Table2[[#This Row],[Product Option]]="My Value Plus Life &amp; Funeral"),Lookups!$D$15,
IF(AND(Table2[[#This Row],[Member Type]]="Spouse",Table2[[#This Row],[Product Option]]="My Value Plus Life &amp; Funeral",_xlfn.XLOOKUP(B261,Table2[Main Member Link ID],Table2[Benefit Name],0)=Lookups!$D$14),"",
IF(AND(Table2[[#This Row],[Member Type]]="Spouse",Table2[[#This Row],[Product Option]]="My Value Plus Life &amp; Funeral",_xlfn.XLOOKUP(B260,Table2[Main Member Link ID],Table2[Benefit Name],0)=Lookups!$D$16),"",
IF(AND(Table2[[#This Row],[Member Type]]="Spouse",Table2[[#This Row],[Product Option]]="My Value Plus Life &amp; Funeral",_xlfn.XLOOKUP(B260,Table2[Main Member Link ID],Table2[Benefit Name],0)=Lookups!$D$15),"",
IF(AND(Table2[[#This Row],[Member Type]]="Spouse",Table2[[#This Row],[Product Option]]="My Value Plus Life &amp; Funeral",_xlfn.XLOOKUP(B260,Table2[Main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Funeral",_xlfn.XLOOKUP(B261,Table2[Main Member Link ID],Table2[Benefit Name],0)&lt;&gt;Lookups!$D$15),
IF(_xlfn.XLOOKUP(B261,Table2[Main Member Link ID],Table2[Benefit Name],0)=0,"",_xlfn.XLOOKUP(B261,Table2[Main Member Link ID],Table2[Benefit Name],0)),"")
))))))</f>
        <v/>
      </c>
      <c r="AG261" s="327" t="str">
        <f>IF(AND(Table2[[#This Row],[Member Type]]="Main Member",Table2[[#This Row],[Product Option]]="My Value Plus Life &amp; Funeral"),Lookups!$D$16,
IF(AND(Table2[[#This Row],[Member Type]]="Spouse",Table2[[#This Row],[Product Option]]="My Value Plus Life &amp; Funeral",_xlfn.XLOOKUP(B261,Table2[Main Member Link ID],Table2[Benefit Name],0)=Lookups!$D$14),"",
IF(AND(Table2[[#This Row],[Member Type]]="Spouse",Table2[[#This Row],[Product Option]]="My Value Plus Life &amp; Funeral",_xlfn.XLOOKUP(B260,Table2[Main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Funeral",_xlfn.XLOOKUP(B261,Table2[Main Member Link ID],Table2[Benefit Name],0)&lt;&gt;Lookups!$D$16),
IF(_xlfn.XLOOKUP(B261,Table2[Main Member Link ID],Table2[Benefit Name],0)=0,"",_xlfn.XLOOKUP(B261,Table2[Main Member Link ID],Table2[Benefit Name],0)),"")
))))</f>
        <v/>
      </c>
      <c r="AH261" s="327" t="str">
        <f>IF(AND(Table2[[#This Row],[Member Type]]="Main Member",Table2[[#This Row],[Product Option]]="My Value Plus Life &amp; Funeral"),Lookups!$D$17,
IF(AND(Table2[[#This Row],[Member Type]]="Spouse",Table2[[#This Row],[Product Option]]="My Value Plus Life &amp; Funeral",_xlfn.XLOOKUP(B261,Table2[Main Member Link ID],Table2[Benefit Name],0)=Lookups!$D$14),"",
IF(AND(Table2[[#This Row],[Member Type]]="Spouse",Table2[[#This Row],[Product Option]]="My Value Plus Life &amp; Funeral",_xlfn.XLOOKUP(B260,Table2[Main Member Link ID],Table2[Benefit Name],0)=Lookups!$D$16),"",
IF(AND(Table2[[#This Row],[Member Type]]="Child",Table2[[#This Row],[Product Option]]="My Value Plus Life &amp; Funeral"),"",
IF(AND(Table2[[#This Row],[Member Type]]="Child",Table2[[#This Row],[Product Option]]="My Value Plus Life &amp; Funeral",_xlfn.XLOOKUP(B261,Table2[Main Member Link ID],Table2[Benefit Name],0)=Lookups!$D$15),"",
IF(AND(OR(Table2[[#This Row],[Member Type]]="Spouse",Table2[[#This Row],[Member Type]]="Child"),Table2[[#This Row],[Product Option]]="My Value Plus Life &amp; Funeral",_xlfn.XLOOKUP(B261,Table2[Main Member Link ID],Table2[Benefit Name],0)&lt;&gt;Lookups!$D$17),
IF(_xlfn.XLOOKUP(B261,Table2[Main Member Link ID],Table2[Benefit Name],0)=0,"",_xlfn.XLOOKUP(B261,Table2[Main Member Link ID],Table2[Benefit Name],0)),""))))))</f>
        <v/>
      </c>
      <c r="AI261" s="328" t="str">
        <f>IF(AND(Table2[[#This Row],[Member Type]]="Main Member",Table2[[#This Row],[Table Lookup for Life Cover]]="MM_LIFE",Table2[[#This Row],[Age Next Birthday]]&lt;56),1,
IF(AND(Table2[[#This Row],[Member Type]]="Main Member",Table2[[#This Row],[Table Lookup for Life Cover]]="MM_LIFE",Table2[[#This Row],[Age Next Birthday]]&gt;=56),2,
""))</f>
        <v/>
      </c>
      <c r="AJ261" s="328">
        <f>IF(OR(Table2[[#This Row],[Member Type]]="Main Member",Table2[[#This Row],[Main Member Link ID]]=B260),1,0)</f>
        <v>1</v>
      </c>
      <c r="AK261" s="328">
        <f>IF(Table2[[#This Row],[Member Type]]=0,0,
IF(OR(Table2[[#This Row],[Member Type]]="Main Member",Table2[[#This Row],[Main Member Link ID]]&lt;&gt;B261),COUNTIFS(B:B,Table2[[#This Row],[Main Member Link ID]]),
COUNTIFS(B:B,Table2[[#This Row],[Main Member Link ID]],A:A,Table2[[#This Row],[Member Type]])))</f>
        <v>0</v>
      </c>
    </row>
    <row r="262" spans="1:37" x14ac:dyDescent="0.3">
      <c r="A262" s="284">
        <f>Table13[[#This Row],[Member Type]]</f>
        <v>0</v>
      </c>
      <c r="B262" s="284">
        <f>Table13[[#This Row],[Main Member Link ID]]</f>
        <v>0</v>
      </c>
      <c r="C262" s="284">
        <f>Table13[[#This Row],[ID Number]]</f>
        <v>0</v>
      </c>
      <c r="D262" s="285">
        <f>Table13[[#This Row],[Date Of Birth]]</f>
        <v>0</v>
      </c>
      <c r="E262" s="285">
        <f>Table13[[#This Row],[Commencement Date]]</f>
        <v>0</v>
      </c>
      <c r="F262" s="284">
        <f t="shared" si="28"/>
        <v>1</v>
      </c>
      <c r="G262" s="284">
        <f t="shared" si="29"/>
        <v>25</v>
      </c>
      <c r="H262" s="286">
        <f>Table13[[#This Row],[Product Option]]</f>
        <v>0</v>
      </c>
      <c r="I262" s="284">
        <f>IF(AND($A262="Main Member",Table2[[#This Row],[Product Option]]="My Value Plus Life"),"MM_LIFE",
IF(AND($A262="Spouse",Table2[[#This Row],[Product Option]]="My Value Plus Life"),"SP_LIFE",
IF(AND($A262="Main Member",Table2[[#This Row],[Product Option]]="My Value Plus Life &amp; Funeral"),"MM_LIFE",
IF(AND($A262="Spouse",Table2[[#This Row],[Product Option]]="My Value Plus Life &amp; Funeral"),_xlfn.XLOOKUP(Table2[[#This Row],[Benefit Name]],Lookups!$D$18:$D$23,Lookups!$E$18:$E$23,0),
0))))</f>
        <v>0</v>
      </c>
      <c r="J262" s="284">
        <f>IF($I262="","",
IF($I262="MM_LIFE",INDEX('Quotation Tool'!$S$54:$V$60,MATCH($T262,'Quotation Tool'!$S$54:$S$60,0),4),
IF($I262="SP_LIFE",_xlfn.XLOOKUP(B261,$B:$B,$J:$J,0),0)))</f>
        <v>0</v>
      </c>
      <c r="K262" s="287">
        <f t="shared" ref="K262:K325" ca="1" si="33">IFERROR(VLOOKUP($G262,INDIRECT($I262),$J262,FALSE),0)</f>
        <v>0</v>
      </c>
      <c r="L262" s="288">
        <f t="shared" ref="L262:L325" ca="1" si="34">IFERROR(VLOOKUP($G262,INDIRECT($I262),$J262+1,FALSE),0)</f>
        <v>0</v>
      </c>
      <c r="M262" s="289">
        <f t="shared" ca="1" si="30"/>
        <v>0</v>
      </c>
      <c r="N262" s="286">
        <f>Table13[[#This Row],[Benefit Option]]</f>
        <v>0</v>
      </c>
      <c r="O262" s="284">
        <f>IF(OR(Table2[[#This Row],[Member Type]]="Spouse",Table2[[#This Row],[Member Type]]="Child"),0,
IF(_xlfn.XLOOKUP($N262,Lookups!$D$13:$D$27,Lookups!$F$13:$F$27,0)=Table2[[#This Row],[Table Lookup for Life Cover]],0,
_xlfn.XLOOKUP($N262,Lookups!$D$13:$D$27,Lookups!$F$13:$F$27,0)))</f>
        <v>0</v>
      </c>
      <c r="P262" s="284">
        <f>IF(Table2[[#This Row],[Table Lookup for Funeral]]=0,0,IFERROR(INDEX('Quotation Tool'!$S$54:$V$60,MATCH($T262,'Quotation Tool'!$S$54:$S$60,0),3),0))</f>
        <v>0</v>
      </c>
      <c r="Q262" s="288">
        <f ca="1">IF(OR(Table2[[#This Row],[Benefit Name]]="My Value Plus Life - Main Member",Table2[[#This Row],[Benefit Name]]="My Value Plus Life - Spouse"),0,
IFERROR(VLOOKUP($G262,INDIRECT($O262),$P262,FALSE),0))</f>
        <v>0</v>
      </c>
      <c r="R262" s="288">
        <f ca="1">IF(OR(Table2[[#This Row],[Benefit Name]]="My Value Plus Life - Main Member",Table2[[#This Row],[Benefit Name]]="My Value Plus Life - Spouse"),0,
IFERROR(VLOOKUP($G262,INDIRECT($O262),$P262+1,FALSE),0))</f>
        <v>0</v>
      </c>
      <c r="S262" s="289">
        <f t="shared" ca="1" si="31"/>
        <v>0</v>
      </c>
      <c r="T262" s="284" t="str">
        <f>IF(Table13[[#This Row],[Premium Waiver]]="","None",Table13[[#This Row],[Premium Waiver]])</f>
        <v>None</v>
      </c>
      <c r="U262" s="284">
        <f>Table13[[#This Row],[VAPs Options]]</f>
        <v>0</v>
      </c>
      <c r="V262" s="284">
        <f>Table13[[#This Row],[Annual Increase Option]]</f>
        <v>0</v>
      </c>
      <c r="W262" s="290">
        <f>Table13[[#This Row],[Life Cover Amount]]</f>
        <v>0</v>
      </c>
      <c r="X262" s="290">
        <f>Table13[[#This Row],[Funeral Cover Amount]]</f>
        <v>0</v>
      </c>
      <c r="Y26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6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62" s="301">
        <f t="shared" ca="1" si="32"/>
        <v>0</v>
      </c>
      <c r="AB262" s="298"/>
      <c r="AC262" s="326" t="str">
        <f>IF(Table2[[#This Row],[Member Type]]="Main Member",Lookups!$C$13,
IF(Table2[[#This Row],[Member Type]]="Spouse",_xlfn.XLOOKUP(B262,Table2[Main Member Link ID],Table2[Product Option],0),
IF(AND(Table2[[#This Row],[Member Type]]="Child",_xlfn.XLOOKUP(B262,Table2[Main Member Link ID],Table2[Product Option],0)&lt;&gt;"My Value Plus Life"),Lookups!$C$24,
IF(AND(OR(Table2[[#This Row],[Member Type]]="Parent",Table2[[#This Row],[Member Type]]="Extended"),_xlfn.XLOOKUP(B262,Table2[Main Member Link ID],Table2[Product Option],0)&lt;&gt;"My Value Plus Life"),Lookups!$C$26,""))))</f>
        <v/>
      </c>
      <c r="AD262" s="326" t="str">
        <f>IF(Table2[[#This Row],[Member Type]]="Main Member",Lookups!$C$14,"")</f>
        <v/>
      </c>
      <c r="AE26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Funeral",_xlfn.XLOOKUP(B262,Table2[Main Member Link ID],Table2[Benefit Name],0)=Lookups!$D$14),"",
IF(AND(Table2[[#This Row],[Member Type]]="Spouse",Table2[[#This Row],[Product Option]]="My Value Plus Life &amp; Funeral",_xlfn.XLOOKUP(B261,Table2[Main Member Link ID],Table2[Benefit Name],0)=Lookups!$D$15),Lookups!$D$20,
IF(AND(Table2[[#This Row],[Member Type]]="Spouse",Table2[[#This Row],[Product Option]]="My Value Plus Life &amp; Funeral",_xlfn.XLOOKUP(B261,Table2[Main Member Link ID],Table2[Benefit Name],0)=Lookups!$D$16),"",
IF(AND(Table2[[#This Row],[Member Type]]="Spouse",Table2[[#This Row],[Product Option]]="My Value Plus Life &amp; Funeral",_xlfn.XLOOKUP(B261,Table2[Main Member Link ID],Table2[Benefit Name],0)=Lookups!$D$17),Lookups!$D$21,
IF(AND(Table2[[#This Row],[Member Type]]="Child",Table2[[#This Row],[Product Option]]="My Value Plus Life &amp; Funeral",_xlfn.XLOOKUP(B262,Table2[Main Member Link ID],Table2[Benefit Name],0)=Lookups!$D$14),"",
IF(AND(Table2[[#This Row],[Member Type]]="Child",Table2[[#This Row],[Product Option]]="My Value Plus Life &amp; Funeral",_xlfn.XLOOKUP(B262,Table2[Main Member Link ID],Table2[Benefit Name],0)=Lookups!$D$15),"",
IF(AND(Table2[[#This Row],[Member Type]]="Child",Table2[[#This Row],[Product Option]]="My Value Plus Life &amp; Funeral",_xlfn.XLOOKUP(B262,Table2[Main Member Link ID],Table2[Benefit Name],0)=Lookups!$D$16),Lookups!$D$24,
IF(AND(Table2[[#This Row],[Member Type]]="Child",Table2[[#This Row],[Product Option]]="My Value Plus Life &amp; Funeral",_xlfn.XLOOKUP(B262,Table2[Main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Funeral",_xlfn.XLOOKUP(B262,Table2[Main Member Link ID],Table2[Benefit Name],0)&lt;&gt;Lookups!$D$14),
IF(_xlfn.XLOOKUP(B262,Table2[Main Member Link ID],Table2[Benefit Name],0)=0,"",_xlfn.XLOOKUP(B262,Table2[Main Member Link ID],Table2[Benefit Name],0)),"")))))))))))))))</f>
        <v/>
      </c>
      <c r="AF262" s="327" t="str">
        <f>IF(AND(Table2[[#This Row],[Member Type]]="Main Member",Table2[[#This Row],[Product Option]]="My Value Plus Life &amp; Funeral"),Lookups!$D$15,
IF(AND(Table2[[#This Row],[Member Type]]="Spouse",Table2[[#This Row],[Product Option]]="My Value Plus Life &amp; Funeral",_xlfn.XLOOKUP(B262,Table2[Main Member Link ID],Table2[Benefit Name],0)=Lookups!$D$14),"",
IF(AND(Table2[[#This Row],[Member Type]]="Spouse",Table2[[#This Row],[Product Option]]="My Value Plus Life &amp; Funeral",_xlfn.XLOOKUP(B261,Table2[Main Member Link ID],Table2[Benefit Name],0)=Lookups!$D$16),"",
IF(AND(Table2[[#This Row],[Member Type]]="Spouse",Table2[[#This Row],[Product Option]]="My Value Plus Life &amp; Funeral",_xlfn.XLOOKUP(B261,Table2[Main Member Link ID],Table2[Benefit Name],0)=Lookups!$D$15),"",
IF(AND(Table2[[#This Row],[Member Type]]="Spouse",Table2[[#This Row],[Product Option]]="My Value Plus Life &amp; Funeral",_xlfn.XLOOKUP(B261,Table2[Main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Funeral",_xlfn.XLOOKUP(B262,Table2[Main Member Link ID],Table2[Benefit Name],0)&lt;&gt;Lookups!$D$15),
IF(_xlfn.XLOOKUP(B262,Table2[Main Member Link ID],Table2[Benefit Name],0)=0,"",_xlfn.XLOOKUP(B262,Table2[Main Member Link ID],Table2[Benefit Name],0)),"")
))))))</f>
        <v/>
      </c>
      <c r="AG262" s="327" t="str">
        <f>IF(AND(Table2[[#This Row],[Member Type]]="Main Member",Table2[[#This Row],[Product Option]]="My Value Plus Life &amp; Funeral"),Lookups!$D$16,
IF(AND(Table2[[#This Row],[Member Type]]="Spouse",Table2[[#This Row],[Product Option]]="My Value Plus Life &amp; Funeral",_xlfn.XLOOKUP(B262,Table2[Main Member Link ID],Table2[Benefit Name],0)=Lookups!$D$14),"",
IF(AND(Table2[[#This Row],[Member Type]]="Spouse",Table2[[#This Row],[Product Option]]="My Value Plus Life &amp; Funeral",_xlfn.XLOOKUP(B261,Table2[Main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Funeral",_xlfn.XLOOKUP(B262,Table2[Main Member Link ID],Table2[Benefit Name],0)&lt;&gt;Lookups!$D$16),
IF(_xlfn.XLOOKUP(B262,Table2[Main Member Link ID],Table2[Benefit Name],0)=0,"",_xlfn.XLOOKUP(B262,Table2[Main Member Link ID],Table2[Benefit Name],0)),"")
))))</f>
        <v/>
      </c>
      <c r="AH262" s="327" t="str">
        <f>IF(AND(Table2[[#This Row],[Member Type]]="Main Member",Table2[[#This Row],[Product Option]]="My Value Plus Life &amp; Funeral"),Lookups!$D$17,
IF(AND(Table2[[#This Row],[Member Type]]="Spouse",Table2[[#This Row],[Product Option]]="My Value Plus Life &amp; Funeral",_xlfn.XLOOKUP(B262,Table2[Main Member Link ID],Table2[Benefit Name],0)=Lookups!$D$14),"",
IF(AND(Table2[[#This Row],[Member Type]]="Spouse",Table2[[#This Row],[Product Option]]="My Value Plus Life &amp; Funeral",_xlfn.XLOOKUP(B261,Table2[Main Member Link ID],Table2[Benefit Name],0)=Lookups!$D$16),"",
IF(AND(Table2[[#This Row],[Member Type]]="Child",Table2[[#This Row],[Product Option]]="My Value Plus Life &amp; Funeral"),"",
IF(AND(Table2[[#This Row],[Member Type]]="Child",Table2[[#This Row],[Product Option]]="My Value Plus Life &amp; Funeral",_xlfn.XLOOKUP(B262,Table2[Main Member Link ID],Table2[Benefit Name],0)=Lookups!$D$15),"",
IF(AND(OR(Table2[[#This Row],[Member Type]]="Spouse",Table2[[#This Row],[Member Type]]="Child"),Table2[[#This Row],[Product Option]]="My Value Plus Life &amp; Funeral",_xlfn.XLOOKUP(B262,Table2[Main Member Link ID],Table2[Benefit Name],0)&lt;&gt;Lookups!$D$17),
IF(_xlfn.XLOOKUP(B262,Table2[Main Member Link ID],Table2[Benefit Name],0)=0,"",_xlfn.XLOOKUP(B262,Table2[Main Member Link ID],Table2[Benefit Name],0)),""))))))</f>
        <v/>
      </c>
      <c r="AI262" s="328" t="str">
        <f>IF(AND(Table2[[#This Row],[Member Type]]="Main Member",Table2[[#This Row],[Table Lookup for Life Cover]]="MM_LIFE",Table2[[#This Row],[Age Next Birthday]]&lt;56),1,
IF(AND(Table2[[#This Row],[Member Type]]="Main Member",Table2[[#This Row],[Table Lookup for Life Cover]]="MM_LIFE",Table2[[#This Row],[Age Next Birthday]]&gt;=56),2,
""))</f>
        <v/>
      </c>
      <c r="AJ262" s="328">
        <f>IF(OR(Table2[[#This Row],[Member Type]]="Main Member",Table2[[#This Row],[Main Member Link ID]]=B261),1,0)</f>
        <v>1</v>
      </c>
      <c r="AK262" s="328">
        <f>IF(Table2[[#This Row],[Member Type]]=0,0,
IF(OR(Table2[[#This Row],[Member Type]]="Main Member",Table2[[#This Row],[Main Member Link ID]]&lt;&gt;B262),COUNTIFS(B:B,Table2[[#This Row],[Main Member Link ID]]),
COUNTIFS(B:B,Table2[[#This Row],[Main Member Link ID]],A:A,Table2[[#This Row],[Member Type]])))</f>
        <v>0</v>
      </c>
    </row>
    <row r="263" spans="1:37" x14ac:dyDescent="0.3">
      <c r="A263" s="284">
        <f>Table13[[#This Row],[Member Type]]</f>
        <v>0</v>
      </c>
      <c r="B263" s="284">
        <f>Table13[[#This Row],[Main Member Link ID]]</f>
        <v>0</v>
      </c>
      <c r="C263" s="284">
        <f>Table13[[#This Row],[ID Number]]</f>
        <v>0</v>
      </c>
      <c r="D263" s="285">
        <f>Table13[[#This Row],[Date Of Birth]]</f>
        <v>0</v>
      </c>
      <c r="E263" s="285">
        <f>Table13[[#This Row],[Commencement Date]]</f>
        <v>0</v>
      </c>
      <c r="F263" s="284">
        <f t="shared" si="28"/>
        <v>1</v>
      </c>
      <c r="G263" s="284">
        <f t="shared" si="29"/>
        <v>25</v>
      </c>
      <c r="H263" s="286">
        <f>Table13[[#This Row],[Product Option]]</f>
        <v>0</v>
      </c>
      <c r="I263" s="284">
        <f>IF(AND($A263="Main Member",Table2[[#This Row],[Product Option]]="My Value Plus Life"),"MM_LIFE",
IF(AND($A263="Spouse",Table2[[#This Row],[Product Option]]="My Value Plus Life"),"SP_LIFE",
IF(AND($A263="Main Member",Table2[[#This Row],[Product Option]]="My Value Plus Life &amp; Funeral"),"MM_LIFE",
IF(AND($A263="Spouse",Table2[[#This Row],[Product Option]]="My Value Plus Life &amp; Funeral"),_xlfn.XLOOKUP(Table2[[#This Row],[Benefit Name]],Lookups!$D$18:$D$23,Lookups!$E$18:$E$23,0),
0))))</f>
        <v>0</v>
      </c>
      <c r="J263" s="284">
        <f>IF($I263="","",
IF($I263="MM_LIFE",INDEX('Quotation Tool'!$S$54:$V$60,MATCH($T263,'Quotation Tool'!$S$54:$S$60,0),4),
IF($I263="SP_LIFE",_xlfn.XLOOKUP(B262,$B:$B,$J:$J,0),0)))</f>
        <v>0</v>
      </c>
      <c r="K263" s="287">
        <f t="shared" ca="1" si="33"/>
        <v>0</v>
      </c>
      <c r="L263" s="288">
        <f t="shared" ca="1" si="34"/>
        <v>0</v>
      </c>
      <c r="M263" s="289">
        <f t="shared" ca="1" si="30"/>
        <v>0</v>
      </c>
      <c r="N263" s="286">
        <f>Table13[[#This Row],[Benefit Option]]</f>
        <v>0</v>
      </c>
      <c r="O263" s="284">
        <f>IF(OR(Table2[[#This Row],[Member Type]]="Spouse",Table2[[#This Row],[Member Type]]="Child"),0,
IF(_xlfn.XLOOKUP($N263,Lookups!$D$13:$D$27,Lookups!$F$13:$F$27,0)=Table2[[#This Row],[Table Lookup for Life Cover]],0,
_xlfn.XLOOKUP($N263,Lookups!$D$13:$D$27,Lookups!$F$13:$F$27,0)))</f>
        <v>0</v>
      </c>
      <c r="P263" s="284">
        <f>IF(Table2[[#This Row],[Table Lookup for Funeral]]=0,0,IFERROR(INDEX('Quotation Tool'!$S$54:$V$60,MATCH($T263,'Quotation Tool'!$S$54:$S$60,0),3),0))</f>
        <v>0</v>
      </c>
      <c r="Q263" s="288">
        <f ca="1">IF(OR(Table2[[#This Row],[Benefit Name]]="My Value Plus Life - Main Member",Table2[[#This Row],[Benefit Name]]="My Value Plus Life - Spouse"),0,
IFERROR(VLOOKUP($G263,INDIRECT($O263),$P263,FALSE),0))</f>
        <v>0</v>
      </c>
      <c r="R263" s="288">
        <f ca="1">IF(OR(Table2[[#This Row],[Benefit Name]]="My Value Plus Life - Main Member",Table2[[#This Row],[Benefit Name]]="My Value Plus Life - Spouse"),0,
IFERROR(VLOOKUP($G263,INDIRECT($O263),$P263+1,FALSE),0))</f>
        <v>0</v>
      </c>
      <c r="S263" s="289">
        <f t="shared" ca="1" si="31"/>
        <v>0</v>
      </c>
      <c r="T263" s="284" t="str">
        <f>IF(Table13[[#This Row],[Premium Waiver]]="","None",Table13[[#This Row],[Premium Waiver]])</f>
        <v>None</v>
      </c>
      <c r="U263" s="284">
        <f>Table13[[#This Row],[VAPs Options]]</f>
        <v>0</v>
      </c>
      <c r="V263" s="284">
        <f>Table13[[#This Row],[Annual Increase Option]]</f>
        <v>0</v>
      </c>
      <c r="W263" s="290">
        <f>Table13[[#This Row],[Life Cover Amount]]</f>
        <v>0</v>
      </c>
      <c r="X263" s="290">
        <f>Table13[[#This Row],[Funeral Cover Amount]]</f>
        <v>0</v>
      </c>
      <c r="Y26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6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63" s="301">
        <f t="shared" ca="1" si="32"/>
        <v>0</v>
      </c>
      <c r="AB263" s="298"/>
      <c r="AC263" s="326" t="str">
        <f>IF(Table2[[#This Row],[Member Type]]="Main Member",Lookups!$C$13,
IF(Table2[[#This Row],[Member Type]]="Spouse",_xlfn.XLOOKUP(B263,Table2[Main Member Link ID],Table2[Product Option],0),
IF(AND(Table2[[#This Row],[Member Type]]="Child",_xlfn.XLOOKUP(B263,Table2[Main Member Link ID],Table2[Product Option],0)&lt;&gt;"My Value Plus Life"),Lookups!$C$24,
IF(AND(OR(Table2[[#This Row],[Member Type]]="Parent",Table2[[#This Row],[Member Type]]="Extended"),_xlfn.XLOOKUP(B263,Table2[Main Member Link ID],Table2[Product Option],0)&lt;&gt;"My Value Plus Life"),Lookups!$C$26,""))))</f>
        <v/>
      </c>
      <c r="AD263" s="326" t="str">
        <f>IF(Table2[[#This Row],[Member Type]]="Main Member",Lookups!$C$14,"")</f>
        <v/>
      </c>
      <c r="AE26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Funeral",_xlfn.XLOOKUP(B263,Table2[Main Member Link ID],Table2[Benefit Name],0)=Lookups!$D$14),"",
IF(AND(Table2[[#This Row],[Member Type]]="Spouse",Table2[[#This Row],[Product Option]]="My Value Plus Life &amp; Funeral",_xlfn.XLOOKUP(B262,Table2[Main Member Link ID],Table2[Benefit Name],0)=Lookups!$D$15),Lookups!$D$20,
IF(AND(Table2[[#This Row],[Member Type]]="Spouse",Table2[[#This Row],[Product Option]]="My Value Plus Life &amp; Funeral",_xlfn.XLOOKUP(B262,Table2[Main Member Link ID],Table2[Benefit Name],0)=Lookups!$D$16),"",
IF(AND(Table2[[#This Row],[Member Type]]="Spouse",Table2[[#This Row],[Product Option]]="My Value Plus Life &amp; Funeral",_xlfn.XLOOKUP(B262,Table2[Main Member Link ID],Table2[Benefit Name],0)=Lookups!$D$17),Lookups!$D$21,
IF(AND(Table2[[#This Row],[Member Type]]="Child",Table2[[#This Row],[Product Option]]="My Value Plus Life &amp; Funeral",_xlfn.XLOOKUP(B263,Table2[Main Member Link ID],Table2[Benefit Name],0)=Lookups!$D$14),"",
IF(AND(Table2[[#This Row],[Member Type]]="Child",Table2[[#This Row],[Product Option]]="My Value Plus Life &amp; Funeral",_xlfn.XLOOKUP(B263,Table2[Main Member Link ID],Table2[Benefit Name],0)=Lookups!$D$15),"",
IF(AND(Table2[[#This Row],[Member Type]]="Child",Table2[[#This Row],[Product Option]]="My Value Plus Life &amp; Funeral",_xlfn.XLOOKUP(B263,Table2[Main Member Link ID],Table2[Benefit Name],0)=Lookups!$D$16),Lookups!$D$24,
IF(AND(Table2[[#This Row],[Member Type]]="Child",Table2[[#This Row],[Product Option]]="My Value Plus Life &amp; Funeral",_xlfn.XLOOKUP(B263,Table2[Main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Funeral",_xlfn.XLOOKUP(B263,Table2[Main Member Link ID],Table2[Benefit Name],0)&lt;&gt;Lookups!$D$14),
IF(_xlfn.XLOOKUP(B263,Table2[Main Member Link ID],Table2[Benefit Name],0)=0,"",_xlfn.XLOOKUP(B263,Table2[Main Member Link ID],Table2[Benefit Name],0)),"")))))))))))))))</f>
        <v/>
      </c>
      <c r="AF263" s="327" t="str">
        <f>IF(AND(Table2[[#This Row],[Member Type]]="Main Member",Table2[[#This Row],[Product Option]]="My Value Plus Life &amp; Funeral"),Lookups!$D$15,
IF(AND(Table2[[#This Row],[Member Type]]="Spouse",Table2[[#This Row],[Product Option]]="My Value Plus Life &amp; Funeral",_xlfn.XLOOKUP(B263,Table2[Main Member Link ID],Table2[Benefit Name],0)=Lookups!$D$14),"",
IF(AND(Table2[[#This Row],[Member Type]]="Spouse",Table2[[#This Row],[Product Option]]="My Value Plus Life &amp; Funeral",_xlfn.XLOOKUP(B262,Table2[Main Member Link ID],Table2[Benefit Name],0)=Lookups!$D$16),"",
IF(AND(Table2[[#This Row],[Member Type]]="Spouse",Table2[[#This Row],[Product Option]]="My Value Plus Life &amp; Funeral",_xlfn.XLOOKUP(B262,Table2[Main Member Link ID],Table2[Benefit Name],0)=Lookups!$D$15),"",
IF(AND(Table2[[#This Row],[Member Type]]="Spouse",Table2[[#This Row],[Product Option]]="My Value Plus Life &amp; Funeral",_xlfn.XLOOKUP(B262,Table2[Main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Funeral",_xlfn.XLOOKUP(B263,Table2[Main Member Link ID],Table2[Benefit Name],0)&lt;&gt;Lookups!$D$15),
IF(_xlfn.XLOOKUP(B263,Table2[Main Member Link ID],Table2[Benefit Name],0)=0,"",_xlfn.XLOOKUP(B263,Table2[Main Member Link ID],Table2[Benefit Name],0)),"")
))))))</f>
        <v/>
      </c>
      <c r="AG263" s="327" t="str">
        <f>IF(AND(Table2[[#This Row],[Member Type]]="Main Member",Table2[[#This Row],[Product Option]]="My Value Plus Life &amp; Funeral"),Lookups!$D$16,
IF(AND(Table2[[#This Row],[Member Type]]="Spouse",Table2[[#This Row],[Product Option]]="My Value Plus Life &amp; Funeral",_xlfn.XLOOKUP(B263,Table2[Main Member Link ID],Table2[Benefit Name],0)=Lookups!$D$14),"",
IF(AND(Table2[[#This Row],[Member Type]]="Spouse",Table2[[#This Row],[Product Option]]="My Value Plus Life &amp; Funeral",_xlfn.XLOOKUP(B262,Table2[Main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Funeral",_xlfn.XLOOKUP(B263,Table2[Main Member Link ID],Table2[Benefit Name],0)&lt;&gt;Lookups!$D$16),
IF(_xlfn.XLOOKUP(B263,Table2[Main Member Link ID],Table2[Benefit Name],0)=0,"",_xlfn.XLOOKUP(B263,Table2[Main Member Link ID],Table2[Benefit Name],0)),"")
))))</f>
        <v/>
      </c>
      <c r="AH263" s="327" t="str">
        <f>IF(AND(Table2[[#This Row],[Member Type]]="Main Member",Table2[[#This Row],[Product Option]]="My Value Plus Life &amp; Funeral"),Lookups!$D$17,
IF(AND(Table2[[#This Row],[Member Type]]="Spouse",Table2[[#This Row],[Product Option]]="My Value Plus Life &amp; Funeral",_xlfn.XLOOKUP(B263,Table2[Main Member Link ID],Table2[Benefit Name],0)=Lookups!$D$14),"",
IF(AND(Table2[[#This Row],[Member Type]]="Spouse",Table2[[#This Row],[Product Option]]="My Value Plus Life &amp; Funeral",_xlfn.XLOOKUP(B262,Table2[Main Member Link ID],Table2[Benefit Name],0)=Lookups!$D$16),"",
IF(AND(Table2[[#This Row],[Member Type]]="Child",Table2[[#This Row],[Product Option]]="My Value Plus Life &amp; Funeral"),"",
IF(AND(Table2[[#This Row],[Member Type]]="Child",Table2[[#This Row],[Product Option]]="My Value Plus Life &amp; Funeral",_xlfn.XLOOKUP(B263,Table2[Main Member Link ID],Table2[Benefit Name],0)=Lookups!$D$15),"",
IF(AND(OR(Table2[[#This Row],[Member Type]]="Spouse",Table2[[#This Row],[Member Type]]="Child"),Table2[[#This Row],[Product Option]]="My Value Plus Life &amp; Funeral",_xlfn.XLOOKUP(B263,Table2[Main Member Link ID],Table2[Benefit Name],0)&lt;&gt;Lookups!$D$17),
IF(_xlfn.XLOOKUP(B263,Table2[Main Member Link ID],Table2[Benefit Name],0)=0,"",_xlfn.XLOOKUP(B263,Table2[Main Member Link ID],Table2[Benefit Name],0)),""))))))</f>
        <v/>
      </c>
      <c r="AI263" s="328" t="str">
        <f>IF(AND(Table2[[#This Row],[Member Type]]="Main Member",Table2[[#This Row],[Table Lookup for Life Cover]]="MM_LIFE",Table2[[#This Row],[Age Next Birthday]]&lt;56),1,
IF(AND(Table2[[#This Row],[Member Type]]="Main Member",Table2[[#This Row],[Table Lookup for Life Cover]]="MM_LIFE",Table2[[#This Row],[Age Next Birthday]]&gt;=56),2,
""))</f>
        <v/>
      </c>
      <c r="AJ263" s="328">
        <f>IF(OR(Table2[[#This Row],[Member Type]]="Main Member",Table2[[#This Row],[Main Member Link ID]]=B262),1,0)</f>
        <v>1</v>
      </c>
      <c r="AK263" s="328">
        <f>IF(Table2[[#This Row],[Member Type]]=0,0,
IF(OR(Table2[[#This Row],[Member Type]]="Main Member",Table2[[#This Row],[Main Member Link ID]]&lt;&gt;B263),COUNTIFS(B:B,Table2[[#This Row],[Main Member Link ID]]),
COUNTIFS(B:B,Table2[[#This Row],[Main Member Link ID]],A:A,Table2[[#This Row],[Member Type]])))</f>
        <v>0</v>
      </c>
    </row>
    <row r="264" spans="1:37" x14ac:dyDescent="0.3">
      <c r="A264" s="284">
        <f>Table13[[#This Row],[Member Type]]</f>
        <v>0</v>
      </c>
      <c r="B264" s="284">
        <f>Table13[[#This Row],[Main Member Link ID]]</f>
        <v>0</v>
      </c>
      <c r="C264" s="284">
        <f>Table13[[#This Row],[ID Number]]</f>
        <v>0</v>
      </c>
      <c r="D264" s="285">
        <f>Table13[[#This Row],[Date Of Birth]]</f>
        <v>0</v>
      </c>
      <c r="E264" s="285">
        <f>Table13[[#This Row],[Commencement Date]]</f>
        <v>0</v>
      </c>
      <c r="F264" s="284">
        <f t="shared" si="28"/>
        <v>1</v>
      </c>
      <c r="G264" s="284">
        <f t="shared" si="29"/>
        <v>25</v>
      </c>
      <c r="H264" s="286">
        <f>Table13[[#This Row],[Product Option]]</f>
        <v>0</v>
      </c>
      <c r="I264" s="284">
        <f>IF(AND($A264="Main Member",Table2[[#This Row],[Product Option]]="My Value Plus Life"),"MM_LIFE",
IF(AND($A264="Spouse",Table2[[#This Row],[Product Option]]="My Value Plus Life"),"SP_LIFE",
IF(AND($A264="Main Member",Table2[[#This Row],[Product Option]]="My Value Plus Life &amp; Funeral"),"MM_LIFE",
IF(AND($A264="Spouse",Table2[[#This Row],[Product Option]]="My Value Plus Life &amp; Funeral"),_xlfn.XLOOKUP(Table2[[#This Row],[Benefit Name]],Lookups!$D$18:$D$23,Lookups!$E$18:$E$23,0),
0))))</f>
        <v>0</v>
      </c>
      <c r="J264" s="284">
        <f>IF($I264="","",
IF($I264="MM_LIFE",INDEX('Quotation Tool'!$S$54:$V$60,MATCH($T264,'Quotation Tool'!$S$54:$S$60,0),4),
IF($I264="SP_LIFE",_xlfn.XLOOKUP(B263,$B:$B,$J:$J,0),0)))</f>
        <v>0</v>
      </c>
      <c r="K264" s="287">
        <f t="shared" ca="1" si="33"/>
        <v>0</v>
      </c>
      <c r="L264" s="288">
        <f t="shared" ca="1" si="34"/>
        <v>0</v>
      </c>
      <c r="M264" s="289">
        <f t="shared" ca="1" si="30"/>
        <v>0</v>
      </c>
      <c r="N264" s="286">
        <f>Table13[[#This Row],[Benefit Option]]</f>
        <v>0</v>
      </c>
      <c r="O264" s="284">
        <f>IF(OR(Table2[[#This Row],[Member Type]]="Spouse",Table2[[#This Row],[Member Type]]="Child"),0,
IF(_xlfn.XLOOKUP($N264,Lookups!$D$13:$D$27,Lookups!$F$13:$F$27,0)=Table2[[#This Row],[Table Lookup for Life Cover]],0,
_xlfn.XLOOKUP($N264,Lookups!$D$13:$D$27,Lookups!$F$13:$F$27,0)))</f>
        <v>0</v>
      </c>
      <c r="P264" s="284">
        <f>IF(Table2[[#This Row],[Table Lookup for Funeral]]=0,0,IFERROR(INDEX('Quotation Tool'!$S$54:$V$60,MATCH($T264,'Quotation Tool'!$S$54:$S$60,0),3),0))</f>
        <v>0</v>
      </c>
      <c r="Q264" s="288">
        <f ca="1">IF(OR(Table2[[#This Row],[Benefit Name]]="My Value Plus Life - Main Member",Table2[[#This Row],[Benefit Name]]="My Value Plus Life - Spouse"),0,
IFERROR(VLOOKUP($G264,INDIRECT($O264),$P264,FALSE),0))</f>
        <v>0</v>
      </c>
      <c r="R264" s="288">
        <f ca="1">IF(OR(Table2[[#This Row],[Benefit Name]]="My Value Plus Life - Main Member",Table2[[#This Row],[Benefit Name]]="My Value Plus Life - Spouse"),0,
IFERROR(VLOOKUP($G264,INDIRECT($O264),$P264+1,FALSE),0))</f>
        <v>0</v>
      </c>
      <c r="S264" s="289">
        <f t="shared" ca="1" si="31"/>
        <v>0</v>
      </c>
      <c r="T264" s="284" t="str">
        <f>IF(Table13[[#This Row],[Premium Waiver]]="","None",Table13[[#This Row],[Premium Waiver]])</f>
        <v>None</v>
      </c>
      <c r="U264" s="284">
        <f>Table13[[#This Row],[VAPs Options]]</f>
        <v>0</v>
      </c>
      <c r="V264" s="284">
        <f>Table13[[#This Row],[Annual Increase Option]]</f>
        <v>0</v>
      </c>
      <c r="W264" s="290">
        <f>Table13[[#This Row],[Life Cover Amount]]</f>
        <v>0</v>
      </c>
      <c r="X264" s="290">
        <f>Table13[[#This Row],[Funeral Cover Amount]]</f>
        <v>0</v>
      </c>
      <c r="Y26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6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64" s="301">
        <f t="shared" ca="1" si="32"/>
        <v>0</v>
      </c>
      <c r="AB264" s="298"/>
      <c r="AC264" s="326" t="str">
        <f>IF(Table2[[#This Row],[Member Type]]="Main Member",Lookups!$C$13,
IF(Table2[[#This Row],[Member Type]]="Spouse",_xlfn.XLOOKUP(B264,Table2[Main Member Link ID],Table2[Product Option],0),
IF(AND(Table2[[#This Row],[Member Type]]="Child",_xlfn.XLOOKUP(B264,Table2[Main Member Link ID],Table2[Product Option],0)&lt;&gt;"My Value Plus Life"),Lookups!$C$24,
IF(AND(OR(Table2[[#This Row],[Member Type]]="Parent",Table2[[#This Row],[Member Type]]="Extended"),_xlfn.XLOOKUP(B264,Table2[Main Member Link ID],Table2[Product Option],0)&lt;&gt;"My Value Plus Life"),Lookups!$C$26,""))))</f>
        <v/>
      </c>
      <c r="AD264" s="326" t="str">
        <f>IF(Table2[[#This Row],[Member Type]]="Main Member",Lookups!$C$14,"")</f>
        <v/>
      </c>
      <c r="AE26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Funeral",_xlfn.XLOOKUP(B264,Table2[Main Member Link ID],Table2[Benefit Name],0)=Lookups!$D$14),"",
IF(AND(Table2[[#This Row],[Member Type]]="Spouse",Table2[[#This Row],[Product Option]]="My Value Plus Life &amp; Funeral",_xlfn.XLOOKUP(B263,Table2[Main Member Link ID],Table2[Benefit Name],0)=Lookups!$D$15),Lookups!$D$20,
IF(AND(Table2[[#This Row],[Member Type]]="Spouse",Table2[[#This Row],[Product Option]]="My Value Plus Life &amp; Funeral",_xlfn.XLOOKUP(B263,Table2[Main Member Link ID],Table2[Benefit Name],0)=Lookups!$D$16),"",
IF(AND(Table2[[#This Row],[Member Type]]="Spouse",Table2[[#This Row],[Product Option]]="My Value Plus Life &amp; Funeral",_xlfn.XLOOKUP(B263,Table2[Main Member Link ID],Table2[Benefit Name],0)=Lookups!$D$17),Lookups!$D$21,
IF(AND(Table2[[#This Row],[Member Type]]="Child",Table2[[#This Row],[Product Option]]="My Value Plus Life &amp; Funeral",_xlfn.XLOOKUP(B264,Table2[Main Member Link ID],Table2[Benefit Name],0)=Lookups!$D$14),"",
IF(AND(Table2[[#This Row],[Member Type]]="Child",Table2[[#This Row],[Product Option]]="My Value Plus Life &amp; Funeral",_xlfn.XLOOKUP(B264,Table2[Main Member Link ID],Table2[Benefit Name],0)=Lookups!$D$15),"",
IF(AND(Table2[[#This Row],[Member Type]]="Child",Table2[[#This Row],[Product Option]]="My Value Plus Life &amp; Funeral",_xlfn.XLOOKUP(B264,Table2[Main Member Link ID],Table2[Benefit Name],0)=Lookups!$D$16),Lookups!$D$24,
IF(AND(Table2[[#This Row],[Member Type]]="Child",Table2[[#This Row],[Product Option]]="My Value Plus Life &amp; Funeral",_xlfn.XLOOKUP(B264,Table2[Main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Funeral",_xlfn.XLOOKUP(B264,Table2[Main Member Link ID],Table2[Benefit Name],0)&lt;&gt;Lookups!$D$14),
IF(_xlfn.XLOOKUP(B264,Table2[Main Member Link ID],Table2[Benefit Name],0)=0,"",_xlfn.XLOOKUP(B264,Table2[Main Member Link ID],Table2[Benefit Name],0)),"")))))))))))))))</f>
        <v/>
      </c>
      <c r="AF264" s="327" t="str">
        <f>IF(AND(Table2[[#This Row],[Member Type]]="Main Member",Table2[[#This Row],[Product Option]]="My Value Plus Life &amp; Funeral"),Lookups!$D$15,
IF(AND(Table2[[#This Row],[Member Type]]="Spouse",Table2[[#This Row],[Product Option]]="My Value Plus Life &amp; Funeral",_xlfn.XLOOKUP(B264,Table2[Main Member Link ID],Table2[Benefit Name],0)=Lookups!$D$14),"",
IF(AND(Table2[[#This Row],[Member Type]]="Spouse",Table2[[#This Row],[Product Option]]="My Value Plus Life &amp; Funeral",_xlfn.XLOOKUP(B263,Table2[Main Member Link ID],Table2[Benefit Name],0)=Lookups!$D$16),"",
IF(AND(Table2[[#This Row],[Member Type]]="Spouse",Table2[[#This Row],[Product Option]]="My Value Plus Life &amp; Funeral",_xlfn.XLOOKUP(B263,Table2[Main Member Link ID],Table2[Benefit Name],0)=Lookups!$D$15),"",
IF(AND(Table2[[#This Row],[Member Type]]="Spouse",Table2[[#This Row],[Product Option]]="My Value Plus Life &amp; Funeral",_xlfn.XLOOKUP(B263,Table2[Main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Funeral",_xlfn.XLOOKUP(B264,Table2[Main Member Link ID],Table2[Benefit Name],0)&lt;&gt;Lookups!$D$15),
IF(_xlfn.XLOOKUP(B264,Table2[Main Member Link ID],Table2[Benefit Name],0)=0,"",_xlfn.XLOOKUP(B264,Table2[Main Member Link ID],Table2[Benefit Name],0)),"")
))))))</f>
        <v/>
      </c>
      <c r="AG264" s="327" t="str">
        <f>IF(AND(Table2[[#This Row],[Member Type]]="Main Member",Table2[[#This Row],[Product Option]]="My Value Plus Life &amp; Funeral"),Lookups!$D$16,
IF(AND(Table2[[#This Row],[Member Type]]="Spouse",Table2[[#This Row],[Product Option]]="My Value Plus Life &amp; Funeral",_xlfn.XLOOKUP(B264,Table2[Main Member Link ID],Table2[Benefit Name],0)=Lookups!$D$14),"",
IF(AND(Table2[[#This Row],[Member Type]]="Spouse",Table2[[#This Row],[Product Option]]="My Value Plus Life &amp; Funeral",_xlfn.XLOOKUP(B263,Table2[Main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Funeral",_xlfn.XLOOKUP(B264,Table2[Main Member Link ID],Table2[Benefit Name],0)&lt;&gt;Lookups!$D$16),
IF(_xlfn.XLOOKUP(B264,Table2[Main Member Link ID],Table2[Benefit Name],0)=0,"",_xlfn.XLOOKUP(B264,Table2[Main Member Link ID],Table2[Benefit Name],0)),"")
))))</f>
        <v/>
      </c>
      <c r="AH264" s="327" t="str">
        <f>IF(AND(Table2[[#This Row],[Member Type]]="Main Member",Table2[[#This Row],[Product Option]]="My Value Plus Life &amp; Funeral"),Lookups!$D$17,
IF(AND(Table2[[#This Row],[Member Type]]="Spouse",Table2[[#This Row],[Product Option]]="My Value Plus Life &amp; Funeral",_xlfn.XLOOKUP(B264,Table2[Main Member Link ID],Table2[Benefit Name],0)=Lookups!$D$14),"",
IF(AND(Table2[[#This Row],[Member Type]]="Spouse",Table2[[#This Row],[Product Option]]="My Value Plus Life &amp; Funeral",_xlfn.XLOOKUP(B263,Table2[Main Member Link ID],Table2[Benefit Name],0)=Lookups!$D$16),"",
IF(AND(Table2[[#This Row],[Member Type]]="Child",Table2[[#This Row],[Product Option]]="My Value Plus Life &amp; Funeral"),"",
IF(AND(Table2[[#This Row],[Member Type]]="Child",Table2[[#This Row],[Product Option]]="My Value Plus Life &amp; Funeral",_xlfn.XLOOKUP(B264,Table2[Main Member Link ID],Table2[Benefit Name],0)=Lookups!$D$15),"",
IF(AND(OR(Table2[[#This Row],[Member Type]]="Spouse",Table2[[#This Row],[Member Type]]="Child"),Table2[[#This Row],[Product Option]]="My Value Plus Life &amp; Funeral",_xlfn.XLOOKUP(B264,Table2[Main Member Link ID],Table2[Benefit Name],0)&lt;&gt;Lookups!$D$17),
IF(_xlfn.XLOOKUP(B264,Table2[Main Member Link ID],Table2[Benefit Name],0)=0,"",_xlfn.XLOOKUP(B264,Table2[Main Member Link ID],Table2[Benefit Name],0)),""))))))</f>
        <v/>
      </c>
      <c r="AI264" s="328" t="str">
        <f>IF(AND(Table2[[#This Row],[Member Type]]="Main Member",Table2[[#This Row],[Table Lookup for Life Cover]]="MM_LIFE",Table2[[#This Row],[Age Next Birthday]]&lt;56),1,
IF(AND(Table2[[#This Row],[Member Type]]="Main Member",Table2[[#This Row],[Table Lookup for Life Cover]]="MM_LIFE",Table2[[#This Row],[Age Next Birthday]]&gt;=56),2,
""))</f>
        <v/>
      </c>
      <c r="AJ264" s="328">
        <f>IF(OR(Table2[[#This Row],[Member Type]]="Main Member",Table2[[#This Row],[Main Member Link ID]]=B263),1,0)</f>
        <v>1</v>
      </c>
      <c r="AK264" s="328">
        <f>IF(Table2[[#This Row],[Member Type]]=0,0,
IF(OR(Table2[[#This Row],[Member Type]]="Main Member",Table2[[#This Row],[Main Member Link ID]]&lt;&gt;B264),COUNTIFS(B:B,Table2[[#This Row],[Main Member Link ID]]),
COUNTIFS(B:B,Table2[[#This Row],[Main Member Link ID]],A:A,Table2[[#This Row],[Member Type]])))</f>
        <v>0</v>
      </c>
    </row>
    <row r="265" spans="1:37" x14ac:dyDescent="0.3">
      <c r="A265" s="284">
        <f>Table13[[#This Row],[Member Type]]</f>
        <v>0</v>
      </c>
      <c r="B265" s="284">
        <f>Table13[[#This Row],[Main Member Link ID]]</f>
        <v>0</v>
      </c>
      <c r="C265" s="284">
        <f>Table13[[#This Row],[ID Number]]</f>
        <v>0</v>
      </c>
      <c r="D265" s="285">
        <f>Table13[[#This Row],[Date Of Birth]]</f>
        <v>0</v>
      </c>
      <c r="E265" s="285">
        <f>Table13[[#This Row],[Commencement Date]]</f>
        <v>0</v>
      </c>
      <c r="F265" s="284">
        <f t="shared" si="28"/>
        <v>1</v>
      </c>
      <c r="G265" s="284">
        <f t="shared" si="29"/>
        <v>25</v>
      </c>
      <c r="H265" s="286">
        <f>Table13[[#This Row],[Product Option]]</f>
        <v>0</v>
      </c>
      <c r="I265" s="284">
        <f>IF(AND($A265="Main Member",Table2[[#This Row],[Product Option]]="My Value Plus Life"),"MM_LIFE",
IF(AND($A265="Spouse",Table2[[#This Row],[Product Option]]="My Value Plus Life"),"SP_LIFE",
IF(AND($A265="Main Member",Table2[[#This Row],[Product Option]]="My Value Plus Life &amp; Funeral"),"MM_LIFE",
IF(AND($A265="Spouse",Table2[[#This Row],[Product Option]]="My Value Plus Life &amp; Funeral"),_xlfn.XLOOKUP(Table2[[#This Row],[Benefit Name]],Lookups!$D$18:$D$23,Lookups!$E$18:$E$23,0),
0))))</f>
        <v>0</v>
      </c>
      <c r="J265" s="284">
        <f>IF($I265="","",
IF($I265="MM_LIFE",INDEX('Quotation Tool'!$S$54:$V$60,MATCH($T265,'Quotation Tool'!$S$54:$S$60,0),4),
IF($I265="SP_LIFE",_xlfn.XLOOKUP(B264,$B:$B,$J:$J,0),0)))</f>
        <v>0</v>
      </c>
      <c r="K265" s="287">
        <f t="shared" ca="1" si="33"/>
        <v>0</v>
      </c>
      <c r="L265" s="288">
        <f t="shared" ca="1" si="34"/>
        <v>0</v>
      </c>
      <c r="M265" s="289">
        <f t="shared" ca="1" si="30"/>
        <v>0</v>
      </c>
      <c r="N265" s="286">
        <f>Table13[[#This Row],[Benefit Option]]</f>
        <v>0</v>
      </c>
      <c r="O265" s="284">
        <f>IF(OR(Table2[[#This Row],[Member Type]]="Spouse",Table2[[#This Row],[Member Type]]="Child"),0,
IF(_xlfn.XLOOKUP($N265,Lookups!$D$13:$D$27,Lookups!$F$13:$F$27,0)=Table2[[#This Row],[Table Lookup for Life Cover]],0,
_xlfn.XLOOKUP($N265,Lookups!$D$13:$D$27,Lookups!$F$13:$F$27,0)))</f>
        <v>0</v>
      </c>
      <c r="P265" s="284">
        <f>IF(Table2[[#This Row],[Table Lookup for Funeral]]=0,0,IFERROR(INDEX('Quotation Tool'!$S$54:$V$60,MATCH($T265,'Quotation Tool'!$S$54:$S$60,0),3),0))</f>
        <v>0</v>
      </c>
      <c r="Q265" s="288">
        <f ca="1">IF(OR(Table2[[#This Row],[Benefit Name]]="My Value Plus Life - Main Member",Table2[[#This Row],[Benefit Name]]="My Value Plus Life - Spouse"),0,
IFERROR(VLOOKUP($G265,INDIRECT($O265),$P265,FALSE),0))</f>
        <v>0</v>
      </c>
      <c r="R265" s="288">
        <f ca="1">IF(OR(Table2[[#This Row],[Benefit Name]]="My Value Plus Life - Main Member",Table2[[#This Row],[Benefit Name]]="My Value Plus Life - Spouse"),0,
IFERROR(VLOOKUP($G265,INDIRECT($O265),$P265+1,FALSE),0))</f>
        <v>0</v>
      </c>
      <c r="S265" s="289">
        <f t="shared" ca="1" si="31"/>
        <v>0</v>
      </c>
      <c r="T265" s="284" t="str">
        <f>IF(Table13[[#This Row],[Premium Waiver]]="","None",Table13[[#This Row],[Premium Waiver]])</f>
        <v>None</v>
      </c>
      <c r="U265" s="284">
        <f>Table13[[#This Row],[VAPs Options]]</f>
        <v>0</v>
      </c>
      <c r="V265" s="284">
        <f>Table13[[#This Row],[Annual Increase Option]]</f>
        <v>0</v>
      </c>
      <c r="W265" s="290">
        <f>Table13[[#This Row],[Life Cover Amount]]</f>
        <v>0</v>
      </c>
      <c r="X265" s="290">
        <f>Table13[[#This Row],[Funeral Cover Amount]]</f>
        <v>0</v>
      </c>
      <c r="Y26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6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65" s="301">
        <f t="shared" ca="1" si="32"/>
        <v>0</v>
      </c>
      <c r="AB265" s="298"/>
      <c r="AC265" s="326" t="str">
        <f>IF(Table2[[#This Row],[Member Type]]="Main Member",Lookups!$C$13,
IF(Table2[[#This Row],[Member Type]]="Spouse",_xlfn.XLOOKUP(B265,Table2[Main Member Link ID],Table2[Product Option],0),
IF(AND(Table2[[#This Row],[Member Type]]="Child",_xlfn.XLOOKUP(B265,Table2[Main Member Link ID],Table2[Product Option],0)&lt;&gt;"My Value Plus Life"),Lookups!$C$24,
IF(AND(OR(Table2[[#This Row],[Member Type]]="Parent",Table2[[#This Row],[Member Type]]="Extended"),_xlfn.XLOOKUP(B265,Table2[Main Member Link ID],Table2[Product Option],0)&lt;&gt;"My Value Plus Life"),Lookups!$C$26,""))))</f>
        <v/>
      </c>
      <c r="AD265" s="326" t="str">
        <f>IF(Table2[[#This Row],[Member Type]]="Main Member",Lookups!$C$14,"")</f>
        <v/>
      </c>
      <c r="AE26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Funeral",_xlfn.XLOOKUP(B265,Table2[Main Member Link ID],Table2[Benefit Name],0)=Lookups!$D$14),"",
IF(AND(Table2[[#This Row],[Member Type]]="Spouse",Table2[[#This Row],[Product Option]]="My Value Plus Life &amp; Funeral",_xlfn.XLOOKUP(B264,Table2[Main Member Link ID],Table2[Benefit Name],0)=Lookups!$D$15),Lookups!$D$20,
IF(AND(Table2[[#This Row],[Member Type]]="Spouse",Table2[[#This Row],[Product Option]]="My Value Plus Life &amp; Funeral",_xlfn.XLOOKUP(B264,Table2[Main Member Link ID],Table2[Benefit Name],0)=Lookups!$D$16),"",
IF(AND(Table2[[#This Row],[Member Type]]="Spouse",Table2[[#This Row],[Product Option]]="My Value Plus Life &amp; Funeral",_xlfn.XLOOKUP(B264,Table2[Main Member Link ID],Table2[Benefit Name],0)=Lookups!$D$17),Lookups!$D$21,
IF(AND(Table2[[#This Row],[Member Type]]="Child",Table2[[#This Row],[Product Option]]="My Value Plus Life &amp; Funeral",_xlfn.XLOOKUP(B265,Table2[Main Member Link ID],Table2[Benefit Name],0)=Lookups!$D$14),"",
IF(AND(Table2[[#This Row],[Member Type]]="Child",Table2[[#This Row],[Product Option]]="My Value Plus Life &amp; Funeral",_xlfn.XLOOKUP(B265,Table2[Main Member Link ID],Table2[Benefit Name],0)=Lookups!$D$15),"",
IF(AND(Table2[[#This Row],[Member Type]]="Child",Table2[[#This Row],[Product Option]]="My Value Plus Life &amp; Funeral",_xlfn.XLOOKUP(B265,Table2[Main Member Link ID],Table2[Benefit Name],0)=Lookups!$D$16),Lookups!$D$24,
IF(AND(Table2[[#This Row],[Member Type]]="Child",Table2[[#This Row],[Product Option]]="My Value Plus Life &amp; Funeral",_xlfn.XLOOKUP(B265,Table2[Main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Funeral",_xlfn.XLOOKUP(B265,Table2[Main Member Link ID],Table2[Benefit Name],0)&lt;&gt;Lookups!$D$14),
IF(_xlfn.XLOOKUP(B265,Table2[Main Member Link ID],Table2[Benefit Name],0)=0,"",_xlfn.XLOOKUP(B265,Table2[Main Member Link ID],Table2[Benefit Name],0)),"")))))))))))))))</f>
        <v/>
      </c>
      <c r="AF265" s="327" t="str">
        <f>IF(AND(Table2[[#This Row],[Member Type]]="Main Member",Table2[[#This Row],[Product Option]]="My Value Plus Life &amp; Funeral"),Lookups!$D$15,
IF(AND(Table2[[#This Row],[Member Type]]="Spouse",Table2[[#This Row],[Product Option]]="My Value Plus Life &amp; Funeral",_xlfn.XLOOKUP(B265,Table2[Main Member Link ID],Table2[Benefit Name],0)=Lookups!$D$14),"",
IF(AND(Table2[[#This Row],[Member Type]]="Spouse",Table2[[#This Row],[Product Option]]="My Value Plus Life &amp; Funeral",_xlfn.XLOOKUP(B264,Table2[Main Member Link ID],Table2[Benefit Name],0)=Lookups!$D$16),"",
IF(AND(Table2[[#This Row],[Member Type]]="Spouse",Table2[[#This Row],[Product Option]]="My Value Plus Life &amp; Funeral",_xlfn.XLOOKUP(B264,Table2[Main Member Link ID],Table2[Benefit Name],0)=Lookups!$D$15),"",
IF(AND(Table2[[#This Row],[Member Type]]="Spouse",Table2[[#This Row],[Product Option]]="My Value Plus Life &amp; Funeral",_xlfn.XLOOKUP(B264,Table2[Main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Funeral",_xlfn.XLOOKUP(B265,Table2[Main Member Link ID],Table2[Benefit Name],0)&lt;&gt;Lookups!$D$15),
IF(_xlfn.XLOOKUP(B265,Table2[Main Member Link ID],Table2[Benefit Name],0)=0,"",_xlfn.XLOOKUP(B265,Table2[Main Member Link ID],Table2[Benefit Name],0)),"")
))))))</f>
        <v/>
      </c>
      <c r="AG265" s="327" t="str">
        <f>IF(AND(Table2[[#This Row],[Member Type]]="Main Member",Table2[[#This Row],[Product Option]]="My Value Plus Life &amp; Funeral"),Lookups!$D$16,
IF(AND(Table2[[#This Row],[Member Type]]="Spouse",Table2[[#This Row],[Product Option]]="My Value Plus Life &amp; Funeral",_xlfn.XLOOKUP(B265,Table2[Main Member Link ID],Table2[Benefit Name],0)=Lookups!$D$14),"",
IF(AND(Table2[[#This Row],[Member Type]]="Spouse",Table2[[#This Row],[Product Option]]="My Value Plus Life &amp; Funeral",_xlfn.XLOOKUP(B264,Table2[Main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Funeral",_xlfn.XLOOKUP(B265,Table2[Main Member Link ID],Table2[Benefit Name],0)&lt;&gt;Lookups!$D$16),
IF(_xlfn.XLOOKUP(B265,Table2[Main Member Link ID],Table2[Benefit Name],0)=0,"",_xlfn.XLOOKUP(B265,Table2[Main Member Link ID],Table2[Benefit Name],0)),"")
))))</f>
        <v/>
      </c>
      <c r="AH265" s="327" t="str">
        <f>IF(AND(Table2[[#This Row],[Member Type]]="Main Member",Table2[[#This Row],[Product Option]]="My Value Plus Life &amp; Funeral"),Lookups!$D$17,
IF(AND(Table2[[#This Row],[Member Type]]="Spouse",Table2[[#This Row],[Product Option]]="My Value Plus Life &amp; Funeral",_xlfn.XLOOKUP(B265,Table2[Main Member Link ID],Table2[Benefit Name],0)=Lookups!$D$14),"",
IF(AND(Table2[[#This Row],[Member Type]]="Spouse",Table2[[#This Row],[Product Option]]="My Value Plus Life &amp; Funeral",_xlfn.XLOOKUP(B264,Table2[Main Member Link ID],Table2[Benefit Name],0)=Lookups!$D$16),"",
IF(AND(Table2[[#This Row],[Member Type]]="Child",Table2[[#This Row],[Product Option]]="My Value Plus Life &amp; Funeral"),"",
IF(AND(Table2[[#This Row],[Member Type]]="Child",Table2[[#This Row],[Product Option]]="My Value Plus Life &amp; Funeral",_xlfn.XLOOKUP(B265,Table2[Main Member Link ID],Table2[Benefit Name],0)=Lookups!$D$15),"",
IF(AND(OR(Table2[[#This Row],[Member Type]]="Spouse",Table2[[#This Row],[Member Type]]="Child"),Table2[[#This Row],[Product Option]]="My Value Plus Life &amp; Funeral",_xlfn.XLOOKUP(B265,Table2[Main Member Link ID],Table2[Benefit Name],0)&lt;&gt;Lookups!$D$17),
IF(_xlfn.XLOOKUP(B265,Table2[Main Member Link ID],Table2[Benefit Name],0)=0,"",_xlfn.XLOOKUP(B265,Table2[Main Member Link ID],Table2[Benefit Name],0)),""))))))</f>
        <v/>
      </c>
      <c r="AI265" s="328" t="str">
        <f>IF(AND(Table2[[#This Row],[Member Type]]="Main Member",Table2[[#This Row],[Table Lookup for Life Cover]]="MM_LIFE",Table2[[#This Row],[Age Next Birthday]]&lt;56),1,
IF(AND(Table2[[#This Row],[Member Type]]="Main Member",Table2[[#This Row],[Table Lookup for Life Cover]]="MM_LIFE",Table2[[#This Row],[Age Next Birthday]]&gt;=56),2,
""))</f>
        <v/>
      </c>
      <c r="AJ265" s="328">
        <f>IF(OR(Table2[[#This Row],[Member Type]]="Main Member",Table2[[#This Row],[Main Member Link ID]]=B264),1,0)</f>
        <v>1</v>
      </c>
      <c r="AK265" s="328">
        <f>IF(Table2[[#This Row],[Member Type]]=0,0,
IF(OR(Table2[[#This Row],[Member Type]]="Main Member",Table2[[#This Row],[Main Member Link ID]]&lt;&gt;B265),COUNTIFS(B:B,Table2[[#This Row],[Main Member Link ID]]),
COUNTIFS(B:B,Table2[[#This Row],[Main Member Link ID]],A:A,Table2[[#This Row],[Member Type]])))</f>
        <v>0</v>
      </c>
    </row>
    <row r="266" spans="1:37" x14ac:dyDescent="0.3">
      <c r="A266" s="284">
        <f>Table13[[#This Row],[Member Type]]</f>
        <v>0</v>
      </c>
      <c r="B266" s="284">
        <f>Table13[[#This Row],[Main Member Link ID]]</f>
        <v>0</v>
      </c>
      <c r="C266" s="284">
        <f>Table13[[#This Row],[ID Number]]</f>
        <v>0</v>
      </c>
      <c r="D266" s="285">
        <f>Table13[[#This Row],[Date Of Birth]]</f>
        <v>0</v>
      </c>
      <c r="E266" s="285">
        <f>Table13[[#This Row],[Commencement Date]]</f>
        <v>0</v>
      </c>
      <c r="F266" s="284">
        <f t="shared" si="28"/>
        <v>1</v>
      </c>
      <c r="G266" s="284">
        <f t="shared" si="29"/>
        <v>25</v>
      </c>
      <c r="H266" s="286">
        <f>Table13[[#This Row],[Product Option]]</f>
        <v>0</v>
      </c>
      <c r="I266" s="284">
        <f>IF(AND($A266="Main Member",Table2[[#This Row],[Product Option]]="My Value Plus Life"),"MM_LIFE",
IF(AND($A266="Spouse",Table2[[#This Row],[Product Option]]="My Value Plus Life"),"SP_LIFE",
IF(AND($A266="Main Member",Table2[[#This Row],[Product Option]]="My Value Plus Life &amp; Funeral"),"MM_LIFE",
IF(AND($A266="Spouse",Table2[[#This Row],[Product Option]]="My Value Plus Life &amp; Funeral"),_xlfn.XLOOKUP(Table2[[#This Row],[Benefit Name]],Lookups!$D$18:$D$23,Lookups!$E$18:$E$23,0),
0))))</f>
        <v>0</v>
      </c>
      <c r="J266" s="284">
        <f>IF($I266="","",
IF($I266="MM_LIFE",INDEX('Quotation Tool'!$S$54:$V$60,MATCH($T266,'Quotation Tool'!$S$54:$S$60,0),4),
IF($I266="SP_LIFE",_xlfn.XLOOKUP(B265,$B:$B,$J:$J,0),0)))</f>
        <v>0</v>
      </c>
      <c r="K266" s="287">
        <f t="shared" ca="1" si="33"/>
        <v>0</v>
      </c>
      <c r="L266" s="288">
        <f t="shared" ca="1" si="34"/>
        <v>0</v>
      </c>
      <c r="M266" s="289">
        <f t="shared" ca="1" si="30"/>
        <v>0</v>
      </c>
      <c r="N266" s="286">
        <f>Table13[[#This Row],[Benefit Option]]</f>
        <v>0</v>
      </c>
      <c r="O266" s="284">
        <f>IF(OR(Table2[[#This Row],[Member Type]]="Spouse",Table2[[#This Row],[Member Type]]="Child"),0,
IF(_xlfn.XLOOKUP($N266,Lookups!$D$13:$D$27,Lookups!$F$13:$F$27,0)=Table2[[#This Row],[Table Lookup for Life Cover]],0,
_xlfn.XLOOKUP($N266,Lookups!$D$13:$D$27,Lookups!$F$13:$F$27,0)))</f>
        <v>0</v>
      </c>
      <c r="P266" s="284">
        <f>IF(Table2[[#This Row],[Table Lookup for Funeral]]=0,0,IFERROR(INDEX('Quotation Tool'!$S$54:$V$60,MATCH($T266,'Quotation Tool'!$S$54:$S$60,0),3),0))</f>
        <v>0</v>
      </c>
      <c r="Q266" s="288">
        <f ca="1">IF(OR(Table2[[#This Row],[Benefit Name]]="My Value Plus Life - Main Member",Table2[[#This Row],[Benefit Name]]="My Value Plus Life - Spouse"),0,
IFERROR(VLOOKUP($G266,INDIRECT($O266),$P266,FALSE),0))</f>
        <v>0</v>
      </c>
      <c r="R266" s="288">
        <f ca="1">IF(OR(Table2[[#This Row],[Benefit Name]]="My Value Plus Life - Main Member",Table2[[#This Row],[Benefit Name]]="My Value Plus Life - Spouse"),0,
IFERROR(VLOOKUP($G266,INDIRECT($O266),$P266+1,FALSE),0))</f>
        <v>0</v>
      </c>
      <c r="S266" s="289">
        <f t="shared" ca="1" si="31"/>
        <v>0</v>
      </c>
      <c r="T266" s="284" t="str">
        <f>IF(Table13[[#This Row],[Premium Waiver]]="","None",Table13[[#This Row],[Premium Waiver]])</f>
        <v>None</v>
      </c>
      <c r="U266" s="284">
        <f>Table13[[#This Row],[VAPs Options]]</f>
        <v>0</v>
      </c>
      <c r="V266" s="284">
        <f>Table13[[#This Row],[Annual Increase Option]]</f>
        <v>0</v>
      </c>
      <c r="W266" s="290">
        <f>Table13[[#This Row],[Life Cover Amount]]</f>
        <v>0</v>
      </c>
      <c r="X266" s="290">
        <f>Table13[[#This Row],[Funeral Cover Amount]]</f>
        <v>0</v>
      </c>
      <c r="Y26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6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66" s="301">
        <f t="shared" ca="1" si="32"/>
        <v>0</v>
      </c>
      <c r="AB266" s="298"/>
      <c r="AC266" s="326" t="str">
        <f>IF(Table2[[#This Row],[Member Type]]="Main Member",Lookups!$C$13,
IF(Table2[[#This Row],[Member Type]]="Spouse",_xlfn.XLOOKUP(B266,Table2[Main Member Link ID],Table2[Product Option],0),
IF(AND(Table2[[#This Row],[Member Type]]="Child",_xlfn.XLOOKUP(B266,Table2[Main Member Link ID],Table2[Product Option],0)&lt;&gt;"My Value Plus Life"),Lookups!$C$24,
IF(AND(OR(Table2[[#This Row],[Member Type]]="Parent",Table2[[#This Row],[Member Type]]="Extended"),_xlfn.XLOOKUP(B266,Table2[Main Member Link ID],Table2[Product Option],0)&lt;&gt;"My Value Plus Life"),Lookups!$C$26,""))))</f>
        <v/>
      </c>
      <c r="AD266" s="326" t="str">
        <f>IF(Table2[[#This Row],[Member Type]]="Main Member",Lookups!$C$14,"")</f>
        <v/>
      </c>
      <c r="AE26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Funeral",_xlfn.XLOOKUP(B266,Table2[Main Member Link ID],Table2[Benefit Name],0)=Lookups!$D$14),"",
IF(AND(Table2[[#This Row],[Member Type]]="Spouse",Table2[[#This Row],[Product Option]]="My Value Plus Life &amp; Funeral",_xlfn.XLOOKUP(B265,Table2[Main Member Link ID],Table2[Benefit Name],0)=Lookups!$D$15),Lookups!$D$20,
IF(AND(Table2[[#This Row],[Member Type]]="Spouse",Table2[[#This Row],[Product Option]]="My Value Plus Life &amp; Funeral",_xlfn.XLOOKUP(B265,Table2[Main Member Link ID],Table2[Benefit Name],0)=Lookups!$D$16),"",
IF(AND(Table2[[#This Row],[Member Type]]="Spouse",Table2[[#This Row],[Product Option]]="My Value Plus Life &amp; Funeral",_xlfn.XLOOKUP(B265,Table2[Main Member Link ID],Table2[Benefit Name],0)=Lookups!$D$17),Lookups!$D$21,
IF(AND(Table2[[#This Row],[Member Type]]="Child",Table2[[#This Row],[Product Option]]="My Value Plus Life &amp; Funeral",_xlfn.XLOOKUP(B266,Table2[Main Member Link ID],Table2[Benefit Name],0)=Lookups!$D$14),"",
IF(AND(Table2[[#This Row],[Member Type]]="Child",Table2[[#This Row],[Product Option]]="My Value Plus Life &amp; Funeral",_xlfn.XLOOKUP(B266,Table2[Main Member Link ID],Table2[Benefit Name],0)=Lookups!$D$15),"",
IF(AND(Table2[[#This Row],[Member Type]]="Child",Table2[[#This Row],[Product Option]]="My Value Plus Life &amp; Funeral",_xlfn.XLOOKUP(B266,Table2[Main Member Link ID],Table2[Benefit Name],0)=Lookups!$D$16),Lookups!$D$24,
IF(AND(Table2[[#This Row],[Member Type]]="Child",Table2[[#This Row],[Product Option]]="My Value Plus Life &amp; Funeral",_xlfn.XLOOKUP(B266,Table2[Main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Funeral",_xlfn.XLOOKUP(B266,Table2[Main Member Link ID],Table2[Benefit Name],0)&lt;&gt;Lookups!$D$14),
IF(_xlfn.XLOOKUP(B266,Table2[Main Member Link ID],Table2[Benefit Name],0)=0,"",_xlfn.XLOOKUP(B266,Table2[Main Member Link ID],Table2[Benefit Name],0)),"")))))))))))))))</f>
        <v/>
      </c>
      <c r="AF266" s="327" t="str">
        <f>IF(AND(Table2[[#This Row],[Member Type]]="Main Member",Table2[[#This Row],[Product Option]]="My Value Plus Life &amp; Funeral"),Lookups!$D$15,
IF(AND(Table2[[#This Row],[Member Type]]="Spouse",Table2[[#This Row],[Product Option]]="My Value Plus Life &amp; Funeral",_xlfn.XLOOKUP(B266,Table2[Main Member Link ID],Table2[Benefit Name],0)=Lookups!$D$14),"",
IF(AND(Table2[[#This Row],[Member Type]]="Spouse",Table2[[#This Row],[Product Option]]="My Value Plus Life &amp; Funeral",_xlfn.XLOOKUP(B265,Table2[Main Member Link ID],Table2[Benefit Name],0)=Lookups!$D$16),"",
IF(AND(Table2[[#This Row],[Member Type]]="Spouse",Table2[[#This Row],[Product Option]]="My Value Plus Life &amp; Funeral",_xlfn.XLOOKUP(B265,Table2[Main Member Link ID],Table2[Benefit Name],0)=Lookups!$D$15),"",
IF(AND(Table2[[#This Row],[Member Type]]="Spouse",Table2[[#This Row],[Product Option]]="My Value Plus Life &amp; Funeral",_xlfn.XLOOKUP(B265,Table2[Main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Funeral",_xlfn.XLOOKUP(B266,Table2[Main Member Link ID],Table2[Benefit Name],0)&lt;&gt;Lookups!$D$15),
IF(_xlfn.XLOOKUP(B266,Table2[Main Member Link ID],Table2[Benefit Name],0)=0,"",_xlfn.XLOOKUP(B266,Table2[Main Member Link ID],Table2[Benefit Name],0)),"")
))))))</f>
        <v/>
      </c>
      <c r="AG266" s="327" t="str">
        <f>IF(AND(Table2[[#This Row],[Member Type]]="Main Member",Table2[[#This Row],[Product Option]]="My Value Plus Life &amp; Funeral"),Lookups!$D$16,
IF(AND(Table2[[#This Row],[Member Type]]="Spouse",Table2[[#This Row],[Product Option]]="My Value Plus Life &amp; Funeral",_xlfn.XLOOKUP(B266,Table2[Main Member Link ID],Table2[Benefit Name],0)=Lookups!$D$14),"",
IF(AND(Table2[[#This Row],[Member Type]]="Spouse",Table2[[#This Row],[Product Option]]="My Value Plus Life &amp; Funeral",_xlfn.XLOOKUP(B265,Table2[Main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Funeral",_xlfn.XLOOKUP(B266,Table2[Main Member Link ID],Table2[Benefit Name],0)&lt;&gt;Lookups!$D$16),
IF(_xlfn.XLOOKUP(B266,Table2[Main Member Link ID],Table2[Benefit Name],0)=0,"",_xlfn.XLOOKUP(B266,Table2[Main Member Link ID],Table2[Benefit Name],0)),"")
))))</f>
        <v/>
      </c>
      <c r="AH266" s="327" t="str">
        <f>IF(AND(Table2[[#This Row],[Member Type]]="Main Member",Table2[[#This Row],[Product Option]]="My Value Plus Life &amp; Funeral"),Lookups!$D$17,
IF(AND(Table2[[#This Row],[Member Type]]="Spouse",Table2[[#This Row],[Product Option]]="My Value Plus Life &amp; Funeral",_xlfn.XLOOKUP(B266,Table2[Main Member Link ID],Table2[Benefit Name],0)=Lookups!$D$14),"",
IF(AND(Table2[[#This Row],[Member Type]]="Spouse",Table2[[#This Row],[Product Option]]="My Value Plus Life &amp; Funeral",_xlfn.XLOOKUP(B265,Table2[Main Member Link ID],Table2[Benefit Name],0)=Lookups!$D$16),"",
IF(AND(Table2[[#This Row],[Member Type]]="Child",Table2[[#This Row],[Product Option]]="My Value Plus Life &amp; Funeral"),"",
IF(AND(Table2[[#This Row],[Member Type]]="Child",Table2[[#This Row],[Product Option]]="My Value Plus Life &amp; Funeral",_xlfn.XLOOKUP(B266,Table2[Main Member Link ID],Table2[Benefit Name],0)=Lookups!$D$15),"",
IF(AND(OR(Table2[[#This Row],[Member Type]]="Spouse",Table2[[#This Row],[Member Type]]="Child"),Table2[[#This Row],[Product Option]]="My Value Plus Life &amp; Funeral",_xlfn.XLOOKUP(B266,Table2[Main Member Link ID],Table2[Benefit Name],0)&lt;&gt;Lookups!$D$17),
IF(_xlfn.XLOOKUP(B266,Table2[Main Member Link ID],Table2[Benefit Name],0)=0,"",_xlfn.XLOOKUP(B266,Table2[Main Member Link ID],Table2[Benefit Name],0)),""))))))</f>
        <v/>
      </c>
      <c r="AI266" s="328" t="str">
        <f>IF(AND(Table2[[#This Row],[Member Type]]="Main Member",Table2[[#This Row],[Table Lookup for Life Cover]]="MM_LIFE",Table2[[#This Row],[Age Next Birthday]]&lt;56),1,
IF(AND(Table2[[#This Row],[Member Type]]="Main Member",Table2[[#This Row],[Table Lookup for Life Cover]]="MM_LIFE",Table2[[#This Row],[Age Next Birthday]]&gt;=56),2,
""))</f>
        <v/>
      </c>
      <c r="AJ266" s="328">
        <f>IF(OR(Table2[[#This Row],[Member Type]]="Main Member",Table2[[#This Row],[Main Member Link ID]]=B265),1,0)</f>
        <v>1</v>
      </c>
      <c r="AK266" s="328">
        <f>IF(Table2[[#This Row],[Member Type]]=0,0,
IF(OR(Table2[[#This Row],[Member Type]]="Main Member",Table2[[#This Row],[Main Member Link ID]]&lt;&gt;B266),COUNTIFS(B:B,Table2[[#This Row],[Main Member Link ID]]),
COUNTIFS(B:B,Table2[[#This Row],[Main Member Link ID]],A:A,Table2[[#This Row],[Member Type]])))</f>
        <v>0</v>
      </c>
    </row>
    <row r="267" spans="1:37" x14ac:dyDescent="0.3">
      <c r="A267" s="284">
        <f>Table13[[#This Row],[Member Type]]</f>
        <v>0</v>
      </c>
      <c r="B267" s="284">
        <f>Table13[[#This Row],[Main Member Link ID]]</f>
        <v>0</v>
      </c>
      <c r="C267" s="284">
        <f>Table13[[#This Row],[ID Number]]</f>
        <v>0</v>
      </c>
      <c r="D267" s="285">
        <f>Table13[[#This Row],[Date Of Birth]]</f>
        <v>0</v>
      </c>
      <c r="E267" s="285">
        <f>Table13[[#This Row],[Commencement Date]]</f>
        <v>0</v>
      </c>
      <c r="F267" s="284">
        <f t="shared" si="28"/>
        <v>1</v>
      </c>
      <c r="G267" s="284">
        <f t="shared" si="29"/>
        <v>25</v>
      </c>
      <c r="H267" s="286">
        <f>Table13[[#This Row],[Product Option]]</f>
        <v>0</v>
      </c>
      <c r="I267" s="284">
        <f>IF(AND($A267="Main Member",Table2[[#This Row],[Product Option]]="My Value Plus Life"),"MM_LIFE",
IF(AND($A267="Spouse",Table2[[#This Row],[Product Option]]="My Value Plus Life"),"SP_LIFE",
IF(AND($A267="Main Member",Table2[[#This Row],[Product Option]]="My Value Plus Life &amp; Funeral"),"MM_LIFE",
IF(AND($A267="Spouse",Table2[[#This Row],[Product Option]]="My Value Plus Life &amp; Funeral"),_xlfn.XLOOKUP(Table2[[#This Row],[Benefit Name]],Lookups!$D$18:$D$23,Lookups!$E$18:$E$23,0),
0))))</f>
        <v>0</v>
      </c>
      <c r="J267" s="284">
        <f>IF($I267="","",
IF($I267="MM_LIFE",INDEX('Quotation Tool'!$S$54:$V$60,MATCH($T267,'Quotation Tool'!$S$54:$S$60,0),4),
IF($I267="SP_LIFE",_xlfn.XLOOKUP(B266,$B:$B,$J:$J,0),0)))</f>
        <v>0</v>
      </c>
      <c r="K267" s="287">
        <f t="shared" ca="1" si="33"/>
        <v>0</v>
      </c>
      <c r="L267" s="288">
        <f t="shared" ca="1" si="34"/>
        <v>0</v>
      </c>
      <c r="M267" s="289">
        <f t="shared" ca="1" si="30"/>
        <v>0</v>
      </c>
      <c r="N267" s="286">
        <f>Table13[[#This Row],[Benefit Option]]</f>
        <v>0</v>
      </c>
      <c r="O267" s="284">
        <f>IF(OR(Table2[[#This Row],[Member Type]]="Spouse",Table2[[#This Row],[Member Type]]="Child"),0,
IF(_xlfn.XLOOKUP($N267,Lookups!$D$13:$D$27,Lookups!$F$13:$F$27,0)=Table2[[#This Row],[Table Lookup for Life Cover]],0,
_xlfn.XLOOKUP($N267,Lookups!$D$13:$D$27,Lookups!$F$13:$F$27,0)))</f>
        <v>0</v>
      </c>
      <c r="P267" s="284">
        <f>IF(Table2[[#This Row],[Table Lookup for Funeral]]=0,0,IFERROR(INDEX('Quotation Tool'!$S$54:$V$60,MATCH($T267,'Quotation Tool'!$S$54:$S$60,0),3),0))</f>
        <v>0</v>
      </c>
      <c r="Q267" s="288">
        <f ca="1">IF(OR(Table2[[#This Row],[Benefit Name]]="My Value Plus Life - Main Member",Table2[[#This Row],[Benefit Name]]="My Value Plus Life - Spouse"),0,
IFERROR(VLOOKUP($G267,INDIRECT($O267),$P267,FALSE),0))</f>
        <v>0</v>
      </c>
      <c r="R267" s="288">
        <f ca="1">IF(OR(Table2[[#This Row],[Benefit Name]]="My Value Plus Life - Main Member",Table2[[#This Row],[Benefit Name]]="My Value Plus Life - Spouse"),0,
IFERROR(VLOOKUP($G267,INDIRECT($O267),$P267+1,FALSE),0))</f>
        <v>0</v>
      </c>
      <c r="S267" s="289">
        <f t="shared" ca="1" si="31"/>
        <v>0</v>
      </c>
      <c r="T267" s="284" t="str">
        <f>IF(Table13[[#This Row],[Premium Waiver]]="","None",Table13[[#This Row],[Premium Waiver]])</f>
        <v>None</v>
      </c>
      <c r="U267" s="284">
        <f>Table13[[#This Row],[VAPs Options]]</f>
        <v>0</v>
      </c>
      <c r="V267" s="284">
        <f>Table13[[#This Row],[Annual Increase Option]]</f>
        <v>0</v>
      </c>
      <c r="W267" s="290">
        <f>Table13[[#This Row],[Life Cover Amount]]</f>
        <v>0</v>
      </c>
      <c r="X267" s="290">
        <f>Table13[[#This Row],[Funeral Cover Amount]]</f>
        <v>0</v>
      </c>
      <c r="Y26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6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67" s="301">
        <f t="shared" ca="1" si="32"/>
        <v>0</v>
      </c>
      <c r="AB267" s="298"/>
      <c r="AC267" s="326" t="str">
        <f>IF(Table2[[#This Row],[Member Type]]="Main Member",Lookups!$C$13,
IF(Table2[[#This Row],[Member Type]]="Spouse",_xlfn.XLOOKUP(B267,Table2[Main Member Link ID],Table2[Product Option],0),
IF(AND(Table2[[#This Row],[Member Type]]="Child",_xlfn.XLOOKUP(B267,Table2[Main Member Link ID],Table2[Product Option],0)&lt;&gt;"My Value Plus Life"),Lookups!$C$24,
IF(AND(OR(Table2[[#This Row],[Member Type]]="Parent",Table2[[#This Row],[Member Type]]="Extended"),_xlfn.XLOOKUP(B267,Table2[Main Member Link ID],Table2[Product Option],0)&lt;&gt;"My Value Plus Life"),Lookups!$C$26,""))))</f>
        <v/>
      </c>
      <c r="AD267" s="326" t="str">
        <f>IF(Table2[[#This Row],[Member Type]]="Main Member",Lookups!$C$14,"")</f>
        <v/>
      </c>
      <c r="AE26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Funeral",_xlfn.XLOOKUP(B267,Table2[Main Member Link ID],Table2[Benefit Name],0)=Lookups!$D$14),"",
IF(AND(Table2[[#This Row],[Member Type]]="Spouse",Table2[[#This Row],[Product Option]]="My Value Plus Life &amp; Funeral",_xlfn.XLOOKUP(B266,Table2[Main Member Link ID],Table2[Benefit Name],0)=Lookups!$D$15),Lookups!$D$20,
IF(AND(Table2[[#This Row],[Member Type]]="Spouse",Table2[[#This Row],[Product Option]]="My Value Plus Life &amp; Funeral",_xlfn.XLOOKUP(B266,Table2[Main Member Link ID],Table2[Benefit Name],0)=Lookups!$D$16),"",
IF(AND(Table2[[#This Row],[Member Type]]="Spouse",Table2[[#This Row],[Product Option]]="My Value Plus Life &amp; Funeral",_xlfn.XLOOKUP(B266,Table2[Main Member Link ID],Table2[Benefit Name],0)=Lookups!$D$17),Lookups!$D$21,
IF(AND(Table2[[#This Row],[Member Type]]="Child",Table2[[#This Row],[Product Option]]="My Value Plus Life &amp; Funeral",_xlfn.XLOOKUP(B267,Table2[Main Member Link ID],Table2[Benefit Name],0)=Lookups!$D$14),"",
IF(AND(Table2[[#This Row],[Member Type]]="Child",Table2[[#This Row],[Product Option]]="My Value Plus Life &amp; Funeral",_xlfn.XLOOKUP(B267,Table2[Main Member Link ID],Table2[Benefit Name],0)=Lookups!$D$15),"",
IF(AND(Table2[[#This Row],[Member Type]]="Child",Table2[[#This Row],[Product Option]]="My Value Plus Life &amp; Funeral",_xlfn.XLOOKUP(B267,Table2[Main Member Link ID],Table2[Benefit Name],0)=Lookups!$D$16),Lookups!$D$24,
IF(AND(Table2[[#This Row],[Member Type]]="Child",Table2[[#This Row],[Product Option]]="My Value Plus Life &amp; Funeral",_xlfn.XLOOKUP(B267,Table2[Main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Funeral",_xlfn.XLOOKUP(B267,Table2[Main Member Link ID],Table2[Benefit Name],0)&lt;&gt;Lookups!$D$14),
IF(_xlfn.XLOOKUP(B267,Table2[Main Member Link ID],Table2[Benefit Name],0)=0,"",_xlfn.XLOOKUP(B267,Table2[Main Member Link ID],Table2[Benefit Name],0)),"")))))))))))))))</f>
        <v/>
      </c>
      <c r="AF267" s="327" t="str">
        <f>IF(AND(Table2[[#This Row],[Member Type]]="Main Member",Table2[[#This Row],[Product Option]]="My Value Plus Life &amp; Funeral"),Lookups!$D$15,
IF(AND(Table2[[#This Row],[Member Type]]="Spouse",Table2[[#This Row],[Product Option]]="My Value Plus Life &amp; Funeral",_xlfn.XLOOKUP(B267,Table2[Main Member Link ID],Table2[Benefit Name],0)=Lookups!$D$14),"",
IF(AND(Table2[[#This Row],[Member Type]]="Spouse",Table2[[#This Row],[Product Option]]="My Value Plus Life &amp; Funeral",_xlfn.XLOOKUP(B266,Table2[Main Member Link ID],Table2[Benefit Name],0)=Lookups!$D$16),"",
IF(AND(Table2[[#This Row],[Member Type]]="Spouse",Table2[[#This Row],[Product Option]]="My Value Plus Life &amp; Funeral",_xlfn.XLOOKUP(B266,Table2[Main Member Link ID],Table2[Benefit Name],0)=Lookups!$D$15),"",
IF(AND(Table2[[#This Row],[Member Type]]="Spouse",Table2[[#This Row],[Product Option]]="My Value Plus Life &amp; Funeral",_xlfn.XLOOKUP(B266,Table2[Main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Funeral",_xlfn.XLOOKUP(B267,Table2[Main Member Link ID],Table2[Benefit Name],0)&lt;&gt;Lookups!$D$15),
IF(_xlfn.XLOOKUP(B267,Table2[Main Member Link ID],Table2[Benefit Name],0)=0,"",_xlfn.XLOOKUP(B267,Table2[Main Member Link ID],Table2[Benefit Name],0)),"")
))))))</f>
        <v/>
      </c>
      <c r="AG267" s="327" t="str">
        <f>IF(AND(Table2[[#This Row],[Member Type]]="Main Member",Table2[[#This Row],[Product Option]]="My Value Plus Life &amp; Funeral"),Lookups!$D$16,
IF(AND(Table2[[#This Row],[Member Type]]="Spouse",Table2[[#This Row],[Product Option]]="My Value Plus Life &amp; Funeral",_xlfn.XLOOKUP(B267,Table2[Main Member Link ID],Table2[Benefit Name],0)=Lookups!$D$14),"",
IF(AND(Table2[[#This Row],[Member Type]]="Spouse",Table2[[#This Row],[Product Option]]="My Value Plus Life &amp; Funeral",_xlfn.XLOOKUP(B266,Table2[Main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Funeral",_xlfn.XLOOKUP(B267,Table2[Main Member Link ID],Table2[Benefit Name],0)&lt;&gt;Lookups!$D$16),
IF(_xlfn.XLOOKUP(B267,Table2[Main Member Link ID],Table2[Benefit Name],0)=0,"",_xlfn.XLOOKUP(B267,Table2[Main Member Link ID],Table2[Benefit Name],0)),"")
))))</f>
        <v/>
      </c>
      <c r="AH267" s="327" t="str">
        <f>IF(AND(Table2[[#This Row],[Member Type]]="Main Member",Table2[[#This Row],[Product Option]]="My Value Plus Life &amp; Funeral"),Lookups!$D$17,
IF(AND(Table2[[#This Row],[Member Type]]="Spouse",Table2[[#This Row],[Product Option]]="My Value Plus Life &amp; Funeral",_xlfn.XLOOKUP(B267,Table2[Main Member Link ID],Table2[Benefit Name],0)=Lookups!$D$14),"",
IF(AND(Table2[[#This Row],[Member Type]]="Spouse",Table2[[#This Row],[Product Option]]="My Value Plus Life &amp; Funeral",_xlfn.XLOOKUP(B266,Table2[Main Member Link ID],Table2[Benefit Name],0)=Lookups!$D$16),"",
IF(AND(Table2[[#This Row],[Member Type]]="Child",Table2[[#This Row],[Product Option]]="My Value Plus Life &amp; Funeral"),"",
IF(AND(Table2[[#This Row],[Member Type]]="Child",Table2[[#This Row],[Product Option]]="My Value Plus Life &amp; Funeral",_xlfn.XLOOKUP(B267,Table2[Main Member Link ID],Table2[Benefit Name],0)=Lookups!$D$15),"",
IF(AND(OR(Table2[[#This Row],[Member Type]]="Spouse",Table2[[#This Row],[Member Type]]="Child"),Table2[[#This Row],[Product Option]]="My Value Plus Life &amp; Funeral",_xlfn.XLOOKUP(B267,Table2[Main Member Link ID],Table2[Benefit Name],0)&lt;&gt;Lookups!$D$17),
IF(_xlfn.XLOOKUP(B267,Table2[Main Member Link ID],Table2[Benefit Name],0)=0,"",_xlfn.XLOOKUP(B267,Table2[Main Member Link ID],Table2[Benefit Name],0)),""))))))</f>
        <v/>
      </c>
      <c r="AI267" s="328" t="str">
        <f>IF(AND(Table2[[#This Row],[Member Type]]="Main Member",Table2[[#This Row],[Table Lookup for Life Cover]]="MM_LIFE",Table2[[#This Row],[Age Next Birthday]]&lt;56),1,
IF(AND(Table2[[#This Row],[Member Type]]="Main Member",Table2[[#This Row],[Table Lookup for Life Cover]]="MM_LIFE",Table2[[#This Row],[Age Next Birthday]]&gt;=56),2,
""))</f>
        <v/>
      </c>
      <c r="AJ267" s="328">
        <f>IF(OR(Table2[[#This Row],[Member Type]]="Main Member",Table2[[#This Row],[Main Member Link ID]]=B266),1,0)</f>
        <v>1</v>
      </c>
      <c r="AK267" s="328">
        <f>IF(Table2[[#This Row],[Member Type]]=0,0,
IF(OR(Table2[[#This Row],[Member Type]]="Main Member",Table2[[#This Row],[Main Member Link ID]]&lt;&gt;B267),COUNTIFS(B:B,Table2[[#This Row],[Main Member Link ID]]),
COUNTIFS(B:B,Table2[[#This Row],[Main Member Link ID]],A:A,Table2[[#This Row],[Member Type]])))</f>
        <v>0</v>
      </c>
    </row>
    <row r="268" spans="1:37" x14ac:dyDescent="0.3">
      <c r="A268" s="284">
        <f>Table13[[#This Row],[Member Type]]</f>
        <v>0</v>
      </c>
      <c r="B268" s="284">
        <f>Table13[[#This Row],[Main Member Link ID]]</f>
        <v>0</v>
      </c>
      <c r="C268" s="284">
        <f>Table13[[#This Row],[ID Number]]</f>
        <v>0</v>
      </c>
      <c r="D268" s="285">
        <f>Table13[[#This Row],[Date Of Birth]]</f>
        <v>0</v>
      </c>
      <c r="E268" s="285">
        <f>Table13[[#This Row],[Commencement Date]]</f>
        <v>0</v>
      </c>
      <c r="F268" s="284">
        <f t="shared" si="28"/>
        <v>1</v>
      </c>
      <c r="G268" s="284">
        <f t="shared" si="29"/>
        <v>25</v>
      </c>
      <c r="H268" s="286">
        <f>Table13[[#This Row],[Product Option]]</f>
        <v>0</v>
      </c>
      <c r="I268" s="284">
        <f>IF(AND($A268="Main Member",Table2[[#This Row],[Product Option]]="My Value Plus Life"),"MM_LIFE",
IF(AND($A268="Spouse",Table2[[#This Row],[Product Option]]="My Value Plus Life"),"SP_LIFE",
IF(AND($A268="Main Member",Table2[[#This Row],[Product Option]]="My Value Plus Life &amp; Funeral"),"MM_LIFE",
IF(AND($A268="Spouse",Table2[[#This Row],[Product Option]]="My Value Plus Life &amp; Funeral"),_xlfn.XLOOKUP(Table2[[#This Row],[Benefit Name]],Lookups!$D$18:$D$23,Lookups!$E$18:$E$23,0),
0))))</f>
        <v>0</v>
      </c>
      <c r="J268" s="284">
        <f>IF($I268="","",
IF($I268="MM_LIFE",INDEX('Quotation Tool'!$S$54:$V$60,MATCH($T268,'Quotation Tool'!$S$54:$S$60,0),4),
IF($I268="SP_LIFE",_xlfn.XLOOKUP(B267,$B:$B,$J:$J,0),0)))</f>
        <v>0</v>
      </c>
      <c r="K268" s="287">
        <f t="shared" ca="1" si="33"/>
        <v>0</v>
      </c>
      <c r="L268" s="288">
        <f t="shared" ca="1" si="34"/>
        <v>0</v>
      </c>
      <c r="M268" s="289">
        <f t="shared" ca="1" si="30"/>
        <v>0</v>
      </c>
      <c r="N268" s="286">
        <f>Table13[[#This Row],[Benefit Option]]</f>
        <v>0</v>
      </c>
      <c r="O268" s="284">
        <f>IF(OR(Table2[[#This Row],[Member Type]]="Spouse",Table2[[#This Row],[Member Type]]="Child"),0,
IF(_xlfn.XLOOKUP($N268,Lookups!$D$13:$D$27,Lookups!$F$13:$F$27,0)=Table2[[#This Row],[Table Lookup for Life Cover]],0,
_xlfn.XLOOKUP($N268,Lookups!$D$13:$D$27,Lookups!$F$13:$F$27,0)))</f>
        <v>0</v>
      </c>
      <c r="P268" s="284">
        <f>IF(Table2[[#This Row],[Table Lookup for Funeral]]=0,0,IFERROR(INDEX('Quotation Tool'!$S$54:$V$60,MATCH($T268,'Quotation Tool'!$S$54:$S$60,0),3),0))</f>
        <v>0</v>
      </c>
      <c r="Q268" s="288">
        <f ca="1">IF(OR(Table2[[#This Row],[Benefit Name]]="My Value Plus Life - Main Member",Table2[[#This Row],[Benefit Name]]="My Value Plus Life - Spouse"),0,
IFERROR(VLOOKUP($G268,INDIRECT($O268),$P268,FALSE),0))</f>
        <v>0</v>
      </c>
      <c r="R268" s="288">
        <f ca="1">IF(OR(Table2[[#This Row],[Benefit Name]]="My Value Plus Life - Main Member",Table2[[#This Row],[Benefit Name]]="My Value Plus Life - Spouse"),0,
IFERROR(VLOOKUP($G268,INDIRECT($O268),$P268+1,FALSE),0))</f>
        <v>0</v>
      </c>
      <c r="S268" s="289">
        <f t="shared" ca="1" si="31"/>
        <v>0</v>
      </c>
      <c r="T268" s="284" t="str">
        <f>IF(Table13[[#This Row],[Premium Waiver]]="","None",Table13[[#This Row],[Premium Waiver]])</f>
        <v>None</v>
      </c>
      <c r="U268" s="284">
        <f>Table13[[#This Row],[VAPs Options]]</f>
        <v>0</v>
      </c>
      <c r="V268" s="284">
        <f>Table13[[#This Row],[Annual Increase Option]]</f>
        <v>0</v>
      </c>
      <c r="W268" s="290">
        <f>Table13[[#This Row],[Life Cover Amount]]</f>
        <v>0</v>
      </c>
      <c r="X268" s="290">
        <f>Table13[[#This Row],[Funeral Cover Amount]]</f>
        <v>0</v>
      </c>
      <c r="Y26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6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68" s="301">
        <f t="shared" ca="1" si="32"/>
        <v>0</v>
      </c>
      <c r="AB268" s="298"/>
      <c r="AC268" s="326" t="str">
        <f>IF(Table2[[#This Row],[Member Type]]="Main Member",Lookups!$C$13,
IF(Table2[[#This Row],[Member Type]]="Spouse",_xlfn.XLOOKUP(B268,Table2[Main Member Link ID],Table2[Product Option],0),
IF(AND(Table2[[#This Row],[Member Type]]="Child",_xlfn.XLOOKUP(B268,Table2[Main Member Link ID],Table2[Product Option],0)&lt;&gt;"My Value Plus Life"),Lookups!$C$24,
IF(AND(OR(Table2[[#This Row],[Member Type]]="Parent",Table2[[#This Row],[Member Type]]="Extended"),_xlfn.XLOOKUP(B268,Table2[Main Member Link ID],Table2[Product Option],0)&lt;&gt;"My Value Plus Life"),Lookups!$C$26,""))))</f>
        <v/>
      </c>
      <c r="AD268" s="326" t="str">
        <f>IF(Table2[[#This Row],[Member Type]]="Main Member",Lookups!$C$14,"")</f>
        <v/>
      </c>
      <c r="AE26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Funeral",_xlfn.XLOOKUP(B268,Table2[Main Member Link ID],Table2[Benefit Name],0)=Lookups!$D$14),"",
IF(AND(Table2[[#This Row],[Member Type]]="Spouse",Table2[[#This Row],[Product Option]]="My Value Plus Life &amp; Funeral",_xlfn.XLOOKUP(B267,Table2[Main Member Link ID],Table2[Benefit Name],0)=Lookups!$D$15),Lookups!$D$20,
IF(AND(Table2[[#This Row],[Member Type]]="Spouse",Table2[[#This Row],[Product Option]]="My Value Plus Life &amp; Funeral",_xlfn.XLOOKUP(B267,Table2[Main Member Link ID],Table2[Benefit Name],0)=Lookups!$D$16),"",
IF(AND(Table2[[#This Row],[Member Type]]="Spouse",Table2[[#This Row],[Product Option]]="My Value Plus Life &amp; Funeral",_xlfn.XLOOKUP(B267,Table2[Main Member Link ID],Table2[Benefit Name],0)=Lookups!$D$17),Lookups!$D$21,
IF(AND(Table2[[#This Row],[Member Type]]="Child",Table2[[#This Row],[Product Option]]="My Value Plus Life &amp; Funeral",_xlfn.XLOOKUP(B268,Table2[Main Member Link ID],Table2[Benefit Name],0)=Lookups!$D$14),"",
IF(AND(Table2[[#This Row],[Member Type]]="Child",Table2[[#This Row],[Product Option]]="My Value Plus Life &amp; Funeral",_xlfn.XLOOKUP(B268,Table2[Main Member Link ID],Table2[Benefit Name],0)=Lookups!$D$15),"",
IF(AND(Table2[[#This Row],[Member Type]]="Child",Table2[[#This Row],[Product Option]]="My Value Plus Life &amp; Funeral",_xlfn.XLOOKUP(B268,Table2[Main Member Link ID],Table2[Benefit Name],0)=Lookups!$D$16),Lookups!$D$24,
IF(AND(Table2[[#This Row],[Member Type]]="Child",Table2[[#This Row],[Product Option]]="My Value Plus Life &amp; Funeral",_xlfn.XLOOKUP(B268,Table2[Main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Funeral",_xlfn.XLOOKUP(B268,Table2[Main Member Link ID],Table2[Benefit Name],0)&lt;&gt;Lookups!$D$14),
IF(_xlfn.XLOOKUP(B268,Table2[Main Member Link ID],Table2[Benefit Name],0)=0,"",_xlfn.XLOOKUP(B268,Table2[Main Member Link ID],Table2[Benefit Name],0)),"")))))))))))))))</f>
        <v/>
      </c>
      <c r="AF268" s="327" t="str">
        <f>IF(AND(Table2[[#This Row],[Member Type]]="Main Member",Table2[[#This Row],[Product Option]]="My Value Plus Life &amp; Funeral"),Lookups!$D$15,
IF(AND(Table2[[#This Row],[Member Type]]="Spouse",Table2[[#This Row],[Product Option]]="My Value Plus Life &amp; Funeral",_xlfn.XLOOKUP(B268,Table2[Main Member Link ID],Table2[Benefit Name],0)=Lookups!$D$14),"",
IF(AND(Table2[[#This Row],[Member Type]]="Spouse",Table2[[#This Row],[Product Option]]="My Value Plus Life &amp; Funeral",_xlfn.XLOOKUP(B267,Table2[Main Member Link ID],Table2[Benefit Name],0)=Lookups!$D$16),"",
IF(AND(Table2[[#This Row],[Member Type]]="Spouse",Table2[[#This Row],[Product Option]]="My Value Plus Life &amp; Funeral",_xlfn.XLOOKUP(B267,Table2[Main Member Link ID],Table2[Benefit Name],0)=Lookups!$D$15),"",
IF(AND(Table2[[#This Row],[Member Type]]="Spouse",Table2[[#This Row],[Product Option]]="My Value Plus Life &amp; Funeral",_xlfn.XLOOKUP(B267,Table2[Main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Funeral",_xlfn.XLOOKUP(B268,Table2[Main Member Link ID],Table2[Benefit Name],0)&lt;&gt;Lookups!$D$15),
IF(_xlfn.XLOOKUP(B268,Table2[Main Member Link ID],Table2[Benefit Name],0)=0,"",_xlfn.XLOOKUP(B268,Table2[Main Member Link ID],Table2[Benefit Name],0)),"")
))))))</f>
        <v/>
      </c>
      <c r="AG268" s="327" t="str">
        <f>IF(AND(Table2[[#This Row],[Member Type]]="Main Member",Table2[[#This Row],[Product Option]]="My Value Plus Life &amp; Funeral"),Lookups!$D$16,
IF(AND(Table2[[#This Row],[Member Type]]="Spouse",Table2[[#This Row],[Product Option]]="My Value Plus Life &amp; Funeral",_xlfn.XLOOKUP(B268,Table2[Main Member Link ID],Table2[Benefit Name],0)=Lookups!$D$14),"",
IF(AND(Table2[[#This Row],[Member Type]]="Spouse",Table2[[#This Row],[Product Option]]="My Value Plus Life &amp; Funeral",_xlfn.XLOOKUP(B267,Table2[Main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Funeral",_xlfn.XLOOKUP(B268,Table2[Main Member Link ID],Table2[Benefit Name],0)&lt;&gt;Lookups!$D$16),
IF(_xlfn.XLOOKUP(B268,Table2[Main Member Link ID],Table2[Benefit Name],0)=0,"",_xlfn.XLOOKUP(B268,Table2[Main Member Link ID],Table2[Benefit Name],0)),"")
))))</f>
        <v/>
      </c>
      <c r="AH268" s="327" t="str">
        <f>IF(AND(Table2[[#This Row],[Member Type]]="Main Member",Table2[[#This Row],[Product Option]]="My Value Plus Life &amp; Funeral"),Lookups!$D$17,
IF(AND(Table2[[#This Row],[Member Type]]="Spouse",Table2[[#This Row],[Product Option]]="My Value Plus Life &amp; Funeral",_xlfn.XLOOKUP(B268,Table2[Main Member Link ID],Table2[Benefit Name],0)=Lookups!$D$14),"",
IF(AND(Table2[[#This Row],[Member Type]]="Spouse",Table2[[#This Row],[Product Option]]="My Value Plus Life &amp; Funeral",_xlfn.XLOOKUP(B267,Table2[Main Member Link ID],Table2[Benefit Name],0)=Lookups!$D$16),"",
IF(AND(Table2[[#This Row],[Member Type]]="Child",Table2[[#This Row],[Product Option]]="My Value Plus Life &amp; Funeral"),"",
IF(AND(Table2[[#This Row],[Member Type]]="Child",Table2[[#This Row],[Product Option]]="My Value Plus Life &amp; Funeral",_xlfn.XLOOKUP(B268,Table2[Main Member Link ID],Table2[Benefit Name],0)=Lookups!$D$15),"",
IF(AND(OR(Table2[[#This Row],[Member Type]]="Spouse",Table2[[#This Row],[Member Type]]="Child"),Table2[[#This Row],[Product Option]]="My Value Plus Life &amp; Funeral",_xlfn.XLOOKUP(B268,Table2[Main Member Link ID],Table2[Benefit Name],0)&lt;&gt;Lookups!$D$17),
IF(_xlfn.XLOOKUP(B268,Table2[Main Member Link ID],Table2[Benefit Name],0)=0,"",_xlfn.XLOOKUP(B268,Table2[Main Member Link ID],Table2[Benefit Name],0)),""))))))</f>
        <v/>
      </c>
      <c r="AI268" s="328" t="str">
        <f>IF(AND(Table2[[#This Row],[Member Type]]="Main Member",Table2[[#This Row],[Table Lookup for Life Cover]]="MM_LIFE",Table2[[#This Row],[Age Next Birthday]]&lt;56),1,
IF(AND(Table2[[#This Row],[Member Type]]="Main Member",Table2[[#This Row],[Table Lookup for Life Cover]]="MM_LIFE",Table2[[#This Row],[Age Next Birthday]]&gt;=56),2,
""))</f>
        <v/>
      </c>
      <c r="AJ268" s="328">
        <f>IF(OR(Table2[[#This Row],[Member Type]]="Main Member",Table2[[#This Row],[Main Member Link ID]]=B267),1,0)</f>
        <v>1</v>
      </c>
      <c r="AK268" s="328">
        <f>IF(Table2[[#This Row],[Member Type]]=0,0,
IF(OR(Table2[[#This Row],[Member Type]]="Main Member",Table2[[#This Row],[Main Member Link ID]]&lt;&gt;B268),COUNTIFS(B:B,Table2[[#This Row],[Main Member Link ID]]),
COUNTIFS(B:B,Table2[[#This Row],[Main Member Link ID]],A:A,Table2[[#This Row],[Member Type]])))</f>
        <v>0</v>
      </c>
    </row>
    <row r="269" spans="1:37" x14ac:dyDescent="0.3">
      <c r="A269" s="284">
        <f>Table13[[#This Row],[Member Type]]</f>
        <v>0</v>
      </c>
      <c r="B269" s="284">
        <f>Table13[[#This Row],[Main Member Link ID]]</f>
        <v>0</v>
      </c>
      <c r="C269" s="284">
        <f>Table13[[#This Row],[ID Number]]</f>
        <v>0</v>
      </c>
      <c r="D269" s="285">
        <f>Table13[[#This Row],[Date Of Birth]]</f>
        <v>0</v>
      </c>
      <c r="E269" s="285">
        <f>Table13[[#This Row],[Commencement Date]]</f>
        <v>0</v>
      </c>
      <c r="F269" s="284">
        <f t="shared" si="28"/>
        <v>1</v>
      </c>
      <c r="G269" s="284">
        <f t="shared" si="29"/>
        <v>25</v>
      </c>
      <c r="H269" s="286">
        <f>Table13[[#This Row],[Product Option]]</f>
        <v>0</v>
      </c>
      <c r="I269" s="284">
        <f>IF(AND($A269="Main Member",Table2[[#This Row],[Product Option]]="My Value Plus Life"),"MM_LIFE",
IF(AND($A269="Spouse",Table2[[#This Row],[Product Option]]="My Value Plus Life"),"SP_LIFE",
IF(AND($A269="Main Member",Table2[[#This Row],[Product Option]]="My Value Plus Life &amp; Funeral"),"MM_LIFE",
IF(AND($A269="Spouse",Table2[[#This Row],[Product Option]]="My Value Plus Life &amp; Funeral"),_xlfn.XLOOKUP(Table2[[#This Row],[Benefit Name]],Lookups!$D$18:$D$23,Lookups!$E$18:$E$23,0),
0))))</f>
        <v>0</v>
      </c>
      <c r="J269" s="284">
        <f>IF($I269="","",
IF($I269="MM_LIFE",INDEX('Quotation Tool'!$S$54:$V$60,MATCH($T269,'Quotation Tool'!$S$54:$S$60,0),4),
IF($I269="SP_LIFE",_xlfn.XLOOKUP(B268,$B:$B,$J:$J,0),0)))</f>
        <v>0</v>
      </c>
      <c r="K269" s="287">
        <f t="shared" ca="1" si="33"/>
        <v>0</v>
      </c>
      <c r="L269" s="288">
        <f t="shared" ca="1" si="34"/>
        <v>0</v>
      </c>
      <c r="M269" s="289">
        <f t="shared" ca="1" si="30"/>
        <v>0</v>
      </c>
      <c r="N269" s="286">
        <f>Table13[[#This Row],[Benefit Option]]</f>
        <v>0</v>
      </c>
      <c r="O269" s="284">
        <f>IF(OR(Table2[[#This Row],[Member Type]]="Spouse",Table2[[#This Row],[Member Type]]="Child"),0,
IF(_xlfn.XLOOKUP($N269,Lookups!$D$13:$D$27,Lookups!$F$13:$F$27,0)=Table2[[#This Row],[Table Lookup for Life Cover]],0,
_xlfn.XLOOKUP($N269,Lookups!$D$13:$D$27,Lookups!$F$13:$F$27,0)))</f>
        <v>0</v>
      </c>
      <c r="P269" s="284">
        <f>IF(Table2[[#This Row],[Table Lookup for Funeral]]=0,0,IFERROR(INDEX('Quotation Tool'!$S$54:$V$60,MATCH($T269,'Quotation Tool'!$S$54:$S$60,0),3),0))</f>
        <v>0</v>
      </c>
      <c r="Q269" s="288">
        <f ca="1">IF(OR(Table2[[#This Row],[Benefit Name]]="My Value Plus Life - Main Member",Table2[[#This Row],[Benefit Name]]="My Value Plus Life - Spouse"),0,
IFERROR(VLOOKUP($G269,INDIRECT($O269),$P269,FALSE),0))</f>
        <v>0</v>
      </c>
      <c r="R269" s="288">
        <f ca="1">IF(OR(Table2[[#This Row],[Benefit Name]]="My Value Plus Life - Main Member",Table2[[#This Row],[Benefit Name]]="My Value Plus Life - Spouse"),0,
IFERROR(VLOOKUP($G269,INDIRECT($O269),$P269+1,FALSE),0))</f>
        <v>0</v>
      </c>
      <c r="S269" s="289">
        <f t="shared" ca="1" si="31"/>
        <v>0</v>
      </c>
      <c r="T269" s="284" t="str">
        <f>IF(Table13[[#This Row],[Premium Waiver]]="","None",Table13[[#This Row],[Premium Waiver]])</f>
        <v>None</v>
      </c>
      <c r="U269" s="284">
        <f>Table13[[#This Row],[VAPs Options]]</f>
        <v>0</v>
      </c>
      <c r="V269" s="284">
        <f>Table13[[#This Row],[Annual Increase Option]]</f>
        <v>0</v>
      </c>
      <c r="W269" s="290">
        <f>Table13[[#This Row],[Life Cover Amount]]</f>
        <v>0</v>
      </c>
      <c r="X269" s="290">
        <f>Table13[[#This Row],[Funeral Cover Amount]]</f>
        <v>0</v>
      </c>
      <c r="Y26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6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69" s="301">
        <f t="shared" ca="1" si="32"/>
        <v>0</v>
      </c>
      <c r="AB269" s="298"/>
      <c r="AC269" s="326" t="str">
        <f>IF(Table2[[#This Row],[Member Type]]="Main Member",Lookups!$C$13,
IF(Table2[[#This Row],[Member Type]]="Spouse",_xlfn.XLOOKUP(B269,Table2[Main Member Link ID],Table2[Product Option],0),
IF(AND(Table2[[#This Row],[Member Type]]="Child",_xlfn.XLOOKUP(B269,Table2[Main Member Link ID],Table2[Product Option],0)&lt;&gt;"My Value Plus Life"),Lookups!$C$24,
IF(AND(OR(Table2[[#This Row],[Member Type]]="Parent",Table2[[#This Row],[Member Type]]="Extended"),_xlfn.XLOOKUP(B269,Table2[Main Member Link ID],Table2[Product Option],0)&lt;&gt;"My Value Plus Life"),Lookups!$C$26,""))))</f>
        <v/>
      </c>
      <c r="AD269" s="326" t="str">
        <f>IF(Table2[[#This Row],[Member Type]]="Main Member",Lookups!$C$14,"")</f>
        <v/>
      </c>
      <c r="AE26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Funeral",_xlfn.XLOOKUP(B269,Table2[Main Member Link ID],Table2[Benefit Name],0)=Lookups!$D$14),"",
IF(AND(Table2[[#This Row],[Member Type]]="Spouse",Table2[[#This Row],[Product Option]]="My Value Plus Life &amp; Funeral",_xlfn.XLOOKUP(B268,Table2[Main Member Link ID],Table2[Benefit Name],0)=Lookups!$D$15),Lookups!$D$20,
IF(AND(Table2[[#This Row],[Member Type]]="Spouse",Table2[[#This Row],[Product Option]]="My Value Plus Life &amp; Funeral",_xlfn.XLOOKUP(B268,Table2[Main Member Link ID],Table2[Benefit Name],0)=Lookups!$D$16),"",
IF(AND(Table2[[#This Row],[Member Type]]="Spouse",Table2[[#This Row],[Product Option]]="My Value Plus Life &amp; Funeral",_xlfn.XLOOKUP(B268,Table2[Main Member Link ID],Table2[Benefit Name],0)=Lookups!$D$17),Lookups!$D$21,
IF(AND(Table2[[#This Row],[Member Type]]="Child",Table2[[#This Row],[Product Option]]="My Value Plus Life &amp; Funeral",_xlfn.XLOOKUP(B269,Table2[Main Member Link ID],Table2[Benefit Name],0)=Lookups!$D$14),"",
IF(AND(Table2[[#This Row],[Member Type]]="Child",Table2[[#This Row],[Product Option]]="My Value Plus Life &amp; Funeral",_xlfn.XLOOKUP(B269,Table2[Main Member Link ID],Table2[Benefit Name],0)=Lookups!$D$15),"",
IF(AND(Table2[[#This Row],[Member Type]]="Child",Table2[[#This Row],[Product Option]]="My Value Plus Life &amp; Funeral",_xlfn.XLOOKUP(B269,Table2[Main Member Link ID],Table2[Benefit Name],0)=Lookups!$D$16),Lookups!$D$24,
IF(AND(Table2[[#This Row],[Member Type]]="Child",Table2[[#This Row],[Product Option]]="My Value Plus Life &amp; Funeral",_xlfn.XLOOKUP(B269,Table2[Main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Funeral",_xlfn.XLOOKUP(B269,Table2[Main Member Link ID],Table2[Benefit Name],0)&lt;&gt;Lookups!$D$14),
IF(_xlfn.XLOOKUP(B269,Table2[Main Member Link ID],Table2[Benefit Name],0)=0,"",_xlfn.XLOOKUP(B269,Table2[Main Member Link ID],Table2[Benefit Name],0)),"")))))))))))))))</f>
        <v/>
      </c>
      <c r="AF269" s="327" t="str">
        <f>IF(AND(Table2[[#This Row],[Member Type]]="Main Member",Table2[[#This Row],[Product Option]]="My Value Plus Life &amp; Funeral"),Lookups!$D$15,
IF(AND(Table2[[#This Row],[Member Type]]="Spouse",Table2[[#This Row],[Product Option]]="My Value Plus Life &amp; Funeral",_xlfn.XLOOKUP(B269,Table2[Main Member Link ID],Table2[Benefit Name],0)=Lookups!$D$14),"",
IF(AND(Table2[[#This Row],[Member Type]]="Spouse",Table2[[#This Row],[Product Option]]="My Value Plus Life &amp; Funeral",_xlfn.XLOOKUP(B268,Table2[Main Member Link ID],Table2[Benefit Name],0)=Lookups!$D$16),"",
IF(AND(Table2[[#This Row],[Member Type]]="Spouse",Table2[[#This Row],[Product Option]]="My Value Plus Life &amp; Funeral",_xlfn.XLOOKUP(B268,Table2[Main Member Link ID],Table2[Benefit Name],0)=Lookups!$D$15),"",
IF(AND(Table2[[#This Row],[Member Type]]="Spouse",Table2[[#This Row],[Product Option]]="My Value Plus Life &amp; Funeral",_xlfn.XLOOKUP(B268,Table2[Main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Funeral",_xlfn.XLOOKUP(B269,Table2[Main Member Link ID],Table2[Benefit Name],0)&lt;&gt;Lookups!$D$15),
IF(_xlfn.XLOOKUP(B269,Table2[Main Member Link ID],Table2[Benefit Name],0)=0,"",_xlfn.XLOOKUP(B269,Table2[Main Member Link ID],Table2[Benefit Name],0)),"")
))))))</f>
        <v/>
      </c>
      <c r="AG269" s="327" t="str">
        <f>IF(AND(Table2[[#This Row],[Member Type]]="Main Member",Table2[[#This Row],[Product Option]]="My Value Plus Life &amp; Funeral"),Lookups!$D$16,
IF(AND(Table2[[#This Row],[Member Type]]="Spouse",Table2[[#This Row],[Product Option]]="My Value Plus Life &amp; Funeral",_xlfn.XLOOKUP(B269,Table2[Main Member Link ID],Table2[Benefit Name],0)=Lookups!$D$14),"",
IF(AND(Table2[[#This Row],[Member Type]]="Spouse",Table2[[#This Row],[Product Option]]="My Value Plus Life &amp; Funeral",_xlfn.XLOOKUP(B268,Table2[Main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Funeral",_xlfn.XLOOKUP(B269,Table2[Main Member Link ID],Table2[Benefit Name],0)&lt;&gt;Lookups!$D$16),
IF(_xlfn.XLOOKUP(B269,Table2[Main Member Link ID],Table2[Benefit Name],0)=0,"",_xlfn.XLOOKUP(B269,Table2[Main Member Link ID],Table2[Benefit Name],0)),"")
))))</f>
        <v/>
      </c>
      <c r="AH269" s="327" t="str">
        <f>IF(AND(Table2[[#This Row],[Member Type]]="Main Member",Table2[[#This Row],[Product Option]]="My Value Plus Life &amp; Funeral"),Lookups!$D$17,
IF(AND(Table2[[#This Row],[Member Type]]="Spouse",Table2[[#This Row],[Product Option]]="My Value Plus Life &amp; Funeral",_xlfn.XLOOKUP(B269,Table2[Main Member Link ID],Table2[Benefit Name],0)=Lookups!$D$14),"",
IF(AND(Table2[[#This Row],[Member Type]]="Spouse",Table2[[#This Row],[Product Option]]="My Value Plus Life &amp; Funeral",_xlfn.XLOOKUP(B268,Table2[Main Member Link ID],Table2[Benefit Name],0)=Lookups!$D$16),"",
IF(AND(Table2[[#This Row],[Member Type]]="Child",Table2[[#This Row],[Product Option]]="My Value Plus Life &amp; Funeral"),"",
IF(AND(Table2[[#This Row],[Member Type]]="Child",Table2[[#This Row],[Product Option]]="My Value Plus Life &amp; Funeral",_xlfn.XLOOKUP(B269,Table2[Main Member Link ID],Table2[Benefit Name],0)=Lookups!$D$15),"",
IF(AND(OR(Table2[[#This Row],[Member Type]]="Spouse",Table2[[#This Row],[Member Type]]="Child"),Table2[[#This Row],[Product Option]]="My Value Plus Life &amp; Funeral",_xlfn.XLOOKUP(B269,Table2[Main Member Link ID],Table2[Benefit Name],0)&lt;&gt;Lookups!$D$17),
IF(_xlfn.XLOOKUP(B269,Table2[Main Member Link ID],Table2[Benefit Name],0)=0,"",_xlfn.XLOOKUP(B269,Table2[Main Member Link ID],Table2[Benefit Name],0)),""))))))</f>
        <v/>
      </c>
      <c r="AI269" s="328" t="str">
        <f>IF(AND(Table2[[#This Row],[Member Type]]="Main Member",Table2[[#This Row],[Table Lookup for Life Cover]]="MM_LIFE",Table2[[#This Row],[Age Next Birthday]]&lt;56),1,
IF(AND(Table2[[#This Row],[Member Type]]="Main Member",Table2[[#This Row],[Table Lookup for Life Cover]]="MM_LIFE",Table2[[#This Row],[Age Next Birthday]]&gt;=56),2,
""))</f>
        <v/>
      </c>
      <c r="AJ269" s="328">
        <f>IF(OR(Table2[[#This Row],[Member Type]]="Main Member",Table2[[#This Row],[Main Member Link ID]]=B268),1,0)</f>
        <v>1</v>
      </c>
      <c r="AK269" s="328">
        <f>IF(Table2[[#This Row],[Member Type]]=0,0,
IF(OR(Table2[[#This Row],[Member Type]]="Main Member",Table2[[#This Row],[Main Member Link ID]]&lt;&gt;B269),COUNTIFS(B:B,Table2[[#This Row],[Main Member Link ID]]),
COUNTIFS(B:B,Table2[[#This Row],[Main Member Link ID]],A:A,Table2[[#This Row],[Member Type]])))</f>
        <v>0</v>
      </c>
    </row>
    <row r="270" spans="1:37" x14ac:dyDescent="0.3">
      <c r="A270" s="284">
        <f>Table13[[#This Row],[Member Type]]</f>
        <v>0</v>
      </c>
      <c r="B270" s="284">
        <f>Table13[[#This Row],[Main Member Link ID]]</f>
        <v>0</v>
      </c>
      <c r="C270" s="284">
        <f>Table13[[#This Row],[ID Number]]</f>
        <v>0</v>
      </c>
      <c r="D270" s="285">
        <f>Table13[[#This Row],[Date Of Birth]]</f>
        <v>0</v>
      </c>
      <c r="E270" s="285">
        <f>Table13[[#This Row],[Commencement Date]]</f>
        <v>0</v>
      </c>
      <c r="F270" s="284">
        <f t="shared" si="28"/>
        <v>1</v>
      </c>
      <c r="G270" s="284">
        <f t="shared" si="29"/>
        <v>25</v>
      </c>
      <c r="H270" s="286">
        <f>Table13[[#This Row],[Product Option]]</f>
        <v>0</v>
      </c>
      <c r="I270" s="284">
        <f>IF(AND($A270="Main Member",Table2[[#This Row],[Product Option]]="My Value Plus Life"),"MM_LIFE",
IF(AND($A270="Spouse",Table2[[#This Row],[Product Option]]="My Value Plus Life"),"SP_LIFE",
IF(AND($A270="Main Member",Table2[[#This Row],[Product Option]]="My Value Plus Life &amp; Funeral"),"MM_LIFE",
IF(AND($A270="Spouse",Table2[[#This Row],[Product Option]]="My Value Plus Life &amp; Funeral"),_xlfn.XLOOKUP(Table2[[#This Row],[Benefit Name]],Lookups!$D$18:$D$23,Lookups!$E$18:$E$23,0),
0))))</f>
        <v>0</v>
      </c>
      <c r="J270" s="284">
        <f>IF($I270="","",
IF($I270="MM_LIFE",INDEX('Quotation Tool'!$S$54:$V$60,MATCH($T270,'Quotation Tool'!$S$54:$S$60,0),4),
IF($I270="SP_LIFE",_xlfn.XLOOKUP(B269,$B:$B,$J:$J,0),0)))</f>
        <v>0</v>
      </c>
      <c r="K270" s="287">
        <f t="shared" ca="1" si="33"/>
        <v>0</v>
      </c>
      <c r="L270" s="288">
        <f t="shared" ca="1" si="34"/>
        <v>0</v>
      </c>
      <c r="M270" s="289">
        <f t="shared" ca="1" si="30"/>
        <v>0</v>
      </c>
      <c r="N270" s="286">
        <f>Table13[[#This Row],[Benefit Option]]</f>
        <v>0</v>
      </c>
      <c r="O270" s="284">
        <f>IF(OR(Table2[[#This Row],[Member Type]]="Spouse",Table2[[#This Row],[Member Type]]="Child"),0,
IF(_xlfn.XLOOKUP($N270,Lookups!$D$13:$D$27,Lookups!$F$13:$F$27,0)=Table2[[#This Row],[Table Lookup for Life Cover]],0,
_xlfn.XLOOKUP($N270,Lookups!$D$13:$D$27,Lookups!$F$13:$F$27,0)))</f>
        <v>0</v>
      </c>
      <c r="P270" s="284">
        <f>IF(Table2[[#This Row],[Table Lookup for Funeral]]=0,0,IFERROR(INDEX('Quotation Tool'!$S$54:$V$60,MATCH($T270,'Quotation Tool'!$S$54:$S$60,0),3),0))</f>
        <v>0</v>
      </c>
      <c r="Q270" s="288">
        <f ca="1">IF(OR(Table2[[#This Row],[Benefit Name]]="My Value Plus Life - Main Member",Table2[[#This Row],[Benefit Name]]="My Value Plus Life - Spouse"),0,
IFERROR(VLOOKUP($G270,INDIRECT($O270),$P270,FALSE),0))</f>
        <v>0</v>
      </c>
      <c r="R270" s="288">
        <f ca="1">IF(OR(Table2[[#This Row],[Benefit Name]]="My Value Plus Life - Main Member",Table2[[#This Row],[Benefit Name]]="My Value Plus Life - Spouse"),0,
IFERROR(VLOOKUP($G270,INDIRECT($O270),$P270+1,FALSE),0))</f>
        <v>0</v>
      </c>
      <c r="S270" s="289">
        <f t="shared" ca="1" si="31"/>
        <v>0</v>
      </c>
      <c r="T270" s="284" t="str">
        <f>IF(Table13[[#This Row],[Premium Waiver]]="","None",Table13[[#This Row],[Premium Waiver]])</f>
        <v>None</v>
      </c>
      <c r="U270" s="284">
        <f>Table13[[#This Row],[VAPs Options]]</f>
        <v>0</v>
      </c>
      <c r="V270" s="284">
        <f>Table13[[#This Row],[Annual Increase Option]]</f>
        <v>0</v>
      </c>
      <c r="W270" s="290">
        <f>Table13[[#This Row],[Life Cover Amount]]</f>
        <v>0</v>
      </c>
      <c r="X270" s="290">
        <f>Table13[[#This Row],[Funeral Cover Amount]]</f>
        <v>0</v>
      </c>
      <c r="Y27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7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70" s="301">
        <f t="shared" ca="1" si="32"/>
        <v>0</v>
      </c>
      <c r="AB270" s="298"/>
      <c r="AC270" s="326" t="str">
        <f>IF(Table2[[#This Row],[Member Type]]="Main Member",Lookups!$C$13,
IF(Table2[[#This Row],[Member Type]]="Spouse",_xlfn.XLOOKUP(B270,Table2[Main Member Link ID],Table2[Product Option],0),
IF(AND(Table2[[#This Row],[Member Type]]="Child",_xlfn.XLOOKUP(B270,Table2[Main Member Link ID],Table2[Product Option],0)&lt;&gt;"My Value Plus Life"),Lookups!$C$24,
IF(AND(OR(Table2[[#This Row],[Member Type]]="Parent",Table2[[#This Row],[Member Type]]="Extended"),_xlfn.XLOOKUP(B270,Table2[Main Member Link ID],Table2[Product Option],0)&lt;&gt;"My Value Plus Life"),Lookups!$C$26,""))))</f>
        <v/>
      </c>
      <c r="AD270" s="326" t="str">
        <f>IF(Table2[[#This Row],[Member Type]]="Main Member",Lookups!$C$14,"")</f>
        <v/>
      </c>
      <c r="AE27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Funeral",_xlfn.XLOOKUP(B270,Table2[Main Member Link ID],Table2[Benefit Name],0)=Lookups!$D$14),"",
IF(AND(Table2[[#This Row],[Member Type]]="Spouse",Table2[[#This Row],[Product Option]]="My Value Plus Life &amp; Funeral",_xlfn.XLOOKUP(B269,Table2[Main Member Link ID],Table2[Benefit Name],0)=Lookups!$D$15),Lookups!$D$20,
IF(AND(Table2[[#This Row],[Member Type]]="Spouse",Table2[[#This Row],[Product Option]]="My Value Plus Life &amp; Funeral",_xlfn.XLOOKUP(B269,Table2[Main Member Link ID],Table2[Benefit Name],0)=Lookups!$D$16),"",
IF(AND(Table2[[#This Row],[Member Type]]="Spouse",Table2[[#This Row],[Product Option]]="My Value Plus Life &amp; Funeral",_xlfn.XLOOKUP(B269,Table2[Main Member Link ID],Table2[Benefit Name],0)=Lookups!$D$17),Lookups!$D$21,
IF(AND(Table2[[#This Row],[Member Type]]="Child",Table2[[#This Row],[Product Option]]="My Value Plus Life &amp; Funeral",_xlfn.XLOOKUP(B270,Table2[Main Member Link ID],Table2[Benefit Name],0)=Lookups!$D$14),"",
IF(AND(Table2[[#This Row],[Member Type]]="Child",Table2[[#This Row],[Product Option]]="My Value Plus Life &amp; Funeral",_xlfn.XLOOKUP(B270,Table2[Main Member Link ID],Table2[Benefit Name],0)=Lookups!$D$15),"",
IF(AND(Table2[[#This Row],[Member Type]]="Child",Table2[[#This Row],[Product Option]]="My Value Plus Life &amp; Funeral",_xlfn.XLOOKUP(B270,Table2[Main Member Link ID],Table2[Benefit Name],0)=Lookups!$D$16),Lookups!$D$24,
IF(AND(Table2[[#This Row],[Member Type]]="Child",Table2[[#This Row],[Product Option]]="My Value Plus Life &amp; Funeral",_xlfn.XLOOKUP(B270,Table2[Main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Funeral",_xlfn.XLOOKUP(B270,Table2[Main Member Link ID],Table2[Benefit Name],0)&lt;&gt;Lookups!$D$14),
IF(_xlfn.XLOOKUP(B270,Table2[Main Member Link ID],Table2[Benefit Name],0)=0,"",_xlfn.XLOOKUP(B270,Table2[Main Member Link ID],Table2[Benefit Name],0)),"")))))))))))))))</f>
        <v/>
      </c>
      <c r="AF270" s="327" t="str">
        <f>IF(AND(Table2[[#This Row],[Member Type]]="Main Member",Table2[[#This Row],[Product Option]]="My Value Plus Life &amp; Funeral"),Lookups!$D$15,
IF(AND(Table2[[#This Row],[Member Type]]="Spouse",Table2[[#This Row],[Product Option]]="My Value Plus Life &amp; Funeral",_xlfn.XLOOKUP(B270,Table2[Main Member Link ID],Table2[Benefit Name],0)=Lookups!$D$14),"",
IF(AND(Table2[[#This Row],[Member Type]]="Spouse",Table2[[#This Row],[Product Option]]="My Value Plus Life &amp; Funeral",_xlfn.XLOOKUP(B269,Table2[Main Member Link ID],Table2[Benefit Name],0)=Lookups!$D$16),"",
IF(AND(Table2[[#This Row],[Member Type]]="Spouse",Table2[[#This Row],[Product Option]]="My Value Plus Life &amp; Funeral",_xlfn.XLOOKUP(B269,Table2[Main Member Link ID],Table2[Benefit Name],0)=Lookups!$D$15),"",
IF(AND(Table2[[#This Row],[Member Type]]="Spouse",Table2[[#This Row],[Product Option]]="My Value Plus Life &amp; Funeral",_xlfn.XLOOKUP(B269,Table2[Main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Funeral",_xlfn.XLOOKUP(B270,Table2[Main Member Link ID],Table2[Benefit Name],0)&lt;&gt;Lookups!$D$15),
IF(_xlfn.XLOOKUP(B270,Table2[Main Member Link ID],Table2[Benefit Name],0)=0,"",_xlfn.XLOOKUP(B270,Table2[Main Member Link ID],Table2[Benefit Name],0)),"")
))))))</f>
        <v/>
      </c>
      <c r="AG270" s="327" t="str">
        <f>IF(AND(Table2[[#This Row],[Member Type]]="Main Member",Table2[[#This Row],[Product Option]]="My Value Plus Life &amp; Funeral"),Lookups!$D$16,
IF(AND(Table2[[#This Row],[Member Type]]="Spouse",Table2[[#This Row],[Product Option]]="My Value Plus Life &amp; Funeral",_xlfn.XLOOKUP(B270,Table2[Main Member Link ID],Table2[Benefit Name],0)=Lookups!$D$14),"",
IF(AND(Table2[[#This Row],[Member Type]]="Spouse",Table2[[#This Row],[Product Option]]="My Value Plus Life &amp; Funeral",_xlfn.XLOOKUP(B269,Table2[Main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Funeral",_xlfn.XLOOKUP(B270,Table2[Main Member Link ID],Table2[Benefit Name],0)&lt;&gt;Lookups!$D$16),
IF(_xlfn.XLOOKUP(B270,Table2[Main Member Link ID],Table2[Benefit Name],0)=0,"",_xlfn.XLOOKUP(B270,Table2[Main Member Link ID],Table2[Benefit Name],0)),"")
))))</f>
        <v/>
      </c>
      <c r="AH270" s="327" t="str">
        <f>IF(AND(Table2[[#This Row],[Member Type]]="Main Member",Table2[[#This Row],[Product Option]]="My Value Plus Life &amp; Funeral"),Lookups!$D$17,
IF(AND(Table2[[#This Row],[Member Type]]="Spouse",Table2[[#This Row],[Product Option]]="My Value Plus Life &amp; Funeral",_xlfn.XLOOKUP(B270,Table2[Main Member Link ID],Table2[Benefit Name],0)=Lookups!$D$14),"",
IF(AND(Table2[[#This Row],[Member Type]]="Spouse",Table2[[#This Row],[Product Option]]="My Value Plus Life &amp; Funeral",_xlfn.XLOOKUP(B269,Table2[Main Member Link ID],Table2[Benefit Name],0)=Lookups!$D$16),"",
IF(AND(Table2[[#This Row],[Member Type]]="Child",Table2[[#This Row],[Product Option]]="My Value Plus Life &amp; Funeral"),"",
IF(AND(Table2[[#This Row],[Member Type]]="Child",Table2[[#This Row],[Product Option]]="My Value Plus Life &amp; Funeral",_xlfn.XLOOKUP(B270,Table2[Main Member Link ID],Table2[Benefit Name],0)=Lookups!$D$15),"",
IF(AND(OR(Table2[[#This Row],[Member Type]]="Spouse",Table2[[#This Row],[Member Type]]="Child"),Table2[[#This Row],[Product Option]]="My Value Plus Life &amp; Funeral",_xlfn.XLOOKUP(B270,Table2[Main Member Link ID],Table2[Benefit Name],0)&lt;&gt;Lookups!$D$17),
IF(_xlfn.XLOOKUP(B270,Table2[Main Member Link ID],Table2[Benefit Name],0)=0,"",_xlfn.XLOOKUP(B270,Table2[Main Member Link ID],Table2[Benefit Name],0)),""))))))</f>
        <v/>
      </c>
      <c r="AI270" s="328" t="str">
        <f>IF(AND(Table2[[#This Row],[Member Type]]="Main Member",Table2[[#This Row],[Table Lookup for Life Cover]]="MM_LIFE",Table2[[#This Row],[Age Next Birthday]]&lt;56),1,
IF(AND(Table2[[#This Row],[Member Type]]="Main Member",Table2[[#This Row],[Table Lookup for Life Cover]]="MM_LIFE",Table2[[#This Row],[Age Next Birthday]]&gt;=56),2,
""))</f>
        <v/>
      </c>
      <c r="AJ270" s="328">
        <f>IF(OR(Table2[[#This Row],[Member Type]]="Main Member",Table2[[#This Row],[Main Member Link ID]]=B269),1,0)</f>
        <v>1</v>
      </c>
      <c r="AK270" s="328">
        <f>IF(Table2[[#This Row],[Member Type]]=0,0,
IF(OR(Table2[[#This Row],[Member Type]]="Main Member",Table2[[#This Row],[Main Member Link ID]]&lt;&gt;B270),COUNTIFS(B:B,Table2[[#This Row],[Main Member Link ID]]),
COUNTIFS(B:B,Table2[[#This Row],[Main Member Link ID]],A:A,Table2[[#This Row],[Member Type]])))</f>
        <v>0</v>
      </c>
    </row>
    <row r="271" spans="1:37" x14ac:dyDescent="0.3">
      <c r="A271" s="284">
        <f>Table13[[#This Row],[Member Type]]</f>
        <v>0</v>
      </c>
      <c r="B271" s="284">
        <f>Table13[[#This Row],[Main Member Link ID]]</f>
        <v>0</v>
      </c>
      <c r="C271" s="284">
        <f>Table13[[#This Row],[ID Number]]</f>
        <v>0</v>
      </c>
      <c r="D271" s="285">
        <f>Table13[[#This Row],[Date Of Birth]]</f>
        <v>0</v>
      </c>
      <c r="E271" s="285">
        <f>Table13[[#This Row],[Commencement Date]]</f>
        <v>0</v>
      </c>
      <c r="F271" s="284">
        <f t="shared" si="28"/>
        <v>1</v>
      </c>
      <c r="G271" s="284">
        <f t="shared" si="29"/>
        <v>25</v>
      </c>
      <c r="H271" s="286">
        <f>Table13[[#This Row],[Product Option]]</f>
        <v>0</v>
      </c>
      <c r="I271" s="284">
        <f>IF(AND($A271="Main Member",Table2[[#This Row],[Product Option]]="My Value Plus Life"),"MM_LIFE",
IF(AND($A271="Spouse",Table2[[#This Row],[Product Option]]="My Value Plus Life"),"SP_LIFE",
IF(AND($A271="Main Member",Table2[[#This Row],[Product Option]]="My Value Plus Life &amp; Funeral"),"MM_LIFE",
IF(AND($A271="Spouse",Table2[[#This Row],[Product Option]]="My Value Plus Life &amp; Funeral"),_xlfn.XLOOKUP(Table2[[#This Row],[Benefit Name]],Lookups!$D$18:$D$23,Lookups!$E$18:$E$23,0),
0))))</f>
        <v>0</v>
      </c>
      <c r="J271" s="284">
        <f>IF($I271="","",
IF($I271="MM_LIFE",INDEX('Quotation Tool'!$S$54:$V$60,MATCH($T271,'Quotation Tool'!$S$54:$S$60,0),4),
IF($I271="SP_LIFE",_xlfn.XLOOKUP(B270,$B:$B,$J:$J,0),0)))</f>
        <v>0</v>
      </c>
      <c r="K271" s="287">
        <f t="shared" ca="1" si="33"/>
        <v>0</v>
      </c>
      <c r="L271" s="288">
        <f t="shared" ca="1" si="34"/>
        <v>0</v>
      </c>
      <c r="M271" s="289">
        <f t="shared" ca="1" si="30"/>
        <v>0</v>
      </c>
      <c r="N271" s="286">
        <f>Table13[[#This Row],[Benefit Option]]</f>
        <v>0</v>
      </c>
      <c r="O271" s="284">
        <f>IF(OR(Table2[[#This Row],[Member Type]]="Spouse",Table2[[#This Row],[Member Type]]="Child"),0,
IF(_xlfn.XLOOKUP($N271,Lookups!$D$13:$D$27,Lookups!$F$13:$F$27,0)=Table2[[#This Row],[Table Lookup for Life Cover]],0,
_xlfn.XLOOKUP($N271,Lookups!$D$13:$D$27,Lookups!$F$13:$F$27,0)))</f>
        <v>0</v>
      </c>
      <c r="P271" s="284">
        <f>IF(Table2[[#This Row],[Table Lookup for Funeral]]=0,0,IFERROR(INDEX('Quotation Tool'!$S$54:$V$60,MATCH($T271,'Quotation Tool'!$S$54:$S$60,0),3),0))</f>
        <v>0</v>
      </c>
      <c r="Q271" s="288">
        <f ca="1">IF(OR(Table2[[#This Row],[Benefit Name]]="My Value Plus Life - Main Member",Table2[[#This Row],[Benefit Name]]="My Value Plus Life - Spouse"),0,
IFERROR(VLOOKUP($G271,INDIRECT($O271),$P271,FALSE),0))</f>
        <v>0</v>
      </c>
      <c r="R271" s="288">
        <f ca="1">IF(OR(Table2[[#This Row],[Benefit Name]]="My Value Plus Life - Main Member",Table2[[#This Row],[Benefit Name]]="My Value Plus Life - Spouse"),0,
IFERROR(VLOOKUP($G271,INDIRECT($O271),$P271+1,FALSE),0))</f>
        <v>0</v>
      </c>
      <c r="S271" s="289">
        <f t="shared" ca="1" si="31"/>
        <v>0</v>
      </c>
      <c r="T271" s="284" t="str">
        <f>IF(Table13[[#This Row],[Premium Waiver]]="","None",Table13[[#This Row],[Premium Waiver]])</f>
        <v>None</v>
      </c>
      <c r="U271" s="284">
        <f>Table13[[#This Row],[VAPs Options]]</f>
        <v>0</v>
      </c>
      <c r="V271" s="284">
        <f>Table13[[#This Row],[Annual Increase Option]]</f>
        <v>0</v>
      </c>
      <c r="W271" s="290">
        <f>Table13[[#This Row],[Life Cover Amount]]</f>
        <v>0</v>
      </c>
      <c r="X271" s="290">
        <f>Table13[[#This Row],[Funeral Cover Amount]]</f>
        <v>0</v>
      </c>
      <c r="Y27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7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71" s="301">
        <f t="shared" ca="1" si="32"/>
        <v>0</v>
      </c>
      <c r="AB271" s="298"/>
      <c r="AC271" s="326" t="str">
        <f>IF(Table2[[#This Row],[Member Type]]="Main Member",Lookups!$C$13,
IF(Table2[[#This Row],[Member Type]]="Spouse",_xlfn.XLOOKUP(B271,Table2[Main Member Link ID],Table2[Product Option],0),
IF(AND(Table2[[#This Row],[Member Type]]="Child",_xlfn.XLOOKUP(B271,Table2[Main Member Link ID],Table2[Product Option],0)&lt;&gt;"My Value Plus Life"),Lookups!$C$24,
IF(AND(OR(Table2[[#This Row],[Member Type]]="Parent",Table2[[#This Row],[Member Type]]="Extended"),_xlfn.XLOOKUP(B271,Table2[Main Member Link ID],Table2[Product Option],0)&lt;&gt;"My Value Plus Life"),Lookups!$C$26,""))))</f>
        <v/>
      </c>
      <c r="AD271" s="326" t="str">
        <f>IF(Table2[[#This Row],[Member Type]]="Main Member",Lookups!$C$14,"")</f>
        <v/>
      </c>
      <c r="AE27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Funeral",_xlfn.XLOOKUP(B271,Table2[Main Member Link ID],Table2[Benefit Name],0)=Lookups!$D$14),"",
IF(AND(Table2[[#This Row],[Member Type]]="Spouse",Table2[[#This Row],[Product Option]]="My Value Plus Life &amp; Funeral",_xlfn.XLOOKUP(B270,Table2[Main Member Link ID],Table2[Benefit Name],0)=Lookups!$D$15),Lookups!$D$20,
IF(AND(Table2[[#This Row],[Member Type]]="Spouse",Table2[[#This Row],[Product Option]]="My Value Plus Life &amp; Funeral",_xlfn.XLOOKUP(B270,Table2[Main Member Link ID],Table2[Benefit Name],0)=Lookups!$D$16),"",
IF(AND(Table2[[#This Row],[Member Type]]="Spouse",Table2[[#This Row],[Product Option]]="My Value Plus Life &amp; Funeral",_xlfn.XLOOKUP(B270,Table2[Main Member Link ID],Table2[Benefit Name],0)=Lookups!$D$17),Lookups!$D$21,
IF(AND(Table2[[#This Row],[Member Type]]="Child",Table2[[#This Row],[Product Option]]="My Value Plus Life &amp; Funeral",_xlfn.XLOOKUP(B271,Table2[Main Member Link ID],Table2[Benefit Name],0)=Lookups!$D$14),"",
IF(AND(Table2[[#This Row],[Member Type]]="Child",Table2[[#This Row],[Product Option]]="My Value Plus Life &amp; Funeral",_xlfn.XLOOKUP(B271,Table2[Main Member Link ID],Table2[Benefit Name],0)=Lookups!$D$15),"",
IF(AND(Table2[[#This Row],[Member Type]]="Child",Table2[[#This Row],[Product Option]]="My Value Plus Life &amp; Funeral",_xlfn.XLOOKUP(B271,Table2[Main Member Link ID],Table2[Benefit Name],0)=Lookups!$D$16),Lookups!$D$24,
IF(AND(Table2[[#This Row],[Member Type]]="Child",Table2[[#This Row],[Product Option]]="My Value Plus Life &amp; Funeral",_xlfn.XLOOKUP(B271,Table2[Main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Funeral",_xlfn.XLOOKUP(B271,Table2[Main Member Link ID],Table2[Benefit Name],0)&lt;&gt;Lookups!$D$14),
IF(_xlfn.XLOOKUP(B271,Table2[Main Member Link ID],Table2[Benefit Name],0)=0,"",_xlfn.XLOOKUP(B271,Table2[Main Member Link ID],Table2[Benefit Name],0)),"")))))))))))))))</f>
        <v/>
      </c>
      <c r="AF271" s="327" t="str">
        <f>IF(AND(Table2[[#This Row],[Member Type]]="Main Member",Table2[[#This Row],[Product Option]]="My Value Plus Life &amp; Funeral"),Lookups!$D$15,
IF(AND(Table2[[#This Row],[Member Type]]="Spouse",Table2[[#This Row],[Product Option]]="My Value Plus Life &amp; Funeral",_xlfn.XLOOKUP(B271,Table2[Main Member Link ID],Table2[Benefit Name],0)=Lookups!$D$14),"",
IF(AND(Table2[[#This Row],[Member Type]]="Spouse",Table2[[#This Row],[Product Option]]="My Value Plus Life &amp; Funeral",_xlfn.XLOOKUP(B270,Table2[Main Member Link ID],Table2[Benefit Name],0)=Lookups!$D$16),"",
IF(AND(Table2[[#This Row],[Member Type]]="Spouse",Table2[[#This Row],[Product Option]]="My Value Plus Life &amp; Funeral",_xlfn.XLOOKUP(B270,Table2[Main Member Link ID],Table2[Benefit Name],0)=Lookups!$D$15),"",
IF(AND(Table2[[#This Row],[Member Type]]="Spouse",Table2[[#This Row],[Product Option]]="My Value Plus Life &amp; Funeral",_xlfn.XLOOKUP(B270,Table2[Main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Funeral",_xlfn.XLOOKUP(B271,Table2[Main Member Link ID],Table2[Benefit Name],0)&lt;&gt;Lookups!$D$15),
IF(_xlfn.XLOOKUP(B271,Table2[Main Member Link ID],Table2[Benefit Name],0)=0,"",_xlfn.XLOOKUP(B271,Table2[Main Member Link ID],Table2[Benefit Name],0)),"")
))))))</f>
        <v/>
      </c>
      <c r="AG271" s="327" t="str">
        <f>IF(AND(Table2[[#This Row],[Member Type]]="Main Member",Table2[[#This Row],[Product Option]]="My Value Plus Life &amp; Funeral"),Lookups!$D$16,
IF(AND(Table2[[#This Row],[Member Type]]="Spouse",Table2[[#This Row],[Product Option]]="My Value Plus Life &amp; Funeral",_xlfn.XLOOKUP(B271,Table2[Main Member Link ID],Table2[Benefit Name],0)=Lookups!$D$14),"",
IF(AND(Table2[[#This Row],[Member Type]]="Spouse",Table2[[#This Row],[Product Option]]="My Value Plus Life &amp; Funeral",_xlfn.XLOOKUP(B270,Table2[Main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Funeral",_xlfn.XLOOKUP(B271,Table2[Main Member Link ID],Table2[Benefit Name],0)&lt;&gt;Lookups!$D$16),
IF(_xlfn.XLOOKUP(B271,Table2[Main Member Link ID],Table2[Benefit Name],0)=0,"",_xlfn.XLOOKUP(B271,Table2[Main Member Link ID],Table2[Benefit Name],0)),"")
))))</f>
        <v/>
      </c>
      <c r="AH271" s="327" t="str">
        <f>IF(AND(Table2[[#This Row],[Member Type]]="Main Member",Table2[[#This Row],[Product Option]]="My Value Plus Life &amp; Funeral"),Lookups!$D$17,
IF(AND(Table2[[#This Row],[Member Type]]="Spouse",Table2[[#This Row],[Product Option]]="My Value Plus Life &amp; Funeral",_xlfn.XLOOKUP(B271,Table2[Main Member Link ID],Table2[Benefit Name],0)=Lookups!$D$14),"",
IF(AND(Table2[[#This Row],[Member Type]]="Spouse",Table2[[#This Row],[Product Option]]="My Value Plus Life &amp; Funeral",_xlfn.XLOOKUP(B270,Table2[Main Member Link ID],Table2[Benefit Name],0)=Lookups!$D$16),"",
IF(AND(Table2[[#This Row],[Member Type]]="Child",Table2[[#This Row],[Product Option]]="My Value Plus Life &amp; Funeral"),"",
IF(AND(Table2[[#This Row],[Member Type]]="Child",Table2[[#This Row],[Product Option]]="My Value Plus Life &amp; Funeral",_xlfn.XLOOKUP(B271,Table2[Main Member Link ID],Table2[Benefit Name],0)=Lookups!$D$15),"",
IF(AND(OR(Table2[[#This Row],[Member Type]]="Spouse",Table2[[#This Row],[Member Type]]="Child"),Table2[[#This Row],[Product Option]]="My Value Plus Life &amp; Funeral",_xlfn.XLOOKUP(B271,Table2[Main Member Link ID],Table2[Benefit Name],0)&lt;&gt;Lookups!$D$17),
IF(_xlfn.XLOOKUP(B271,Table2[Main Member Link ID],Table2[Benefit Name],0)=0,"",_xlfn.XLOOKUP(B271,Table2[Main Member Link ID],Table2[Benefit Name],0)),""))))))</f>
        <v/>
      </c>
      <c r="AI271" s="328" t="str">
        <f>IF(AND(Table2[[#This Row],[Member Type]]="Main Member",Table2[[#This Row],[Table Lookup for Life Cover]]="MM_LIFE",Table2[[#This Row],[Age Next Birthday]]&lt;56),1,
IF(AND(Table2[[#This Row],[Member Type]]="Main Member",Table2[[#This Row],[Table Lookup for Life Cover]]="MM_LIFE",Table2[[#This Row],[Age Next Birthday]]&gt;=56),2,
""))</f>
        <v/>
      </c>
      <c r="AJ271" s="328">
        <f>IF(OR(Table2[[#This Row],[Member Type]]="Main Member",Table2[[#This Row],[Main Member Link ID]]=B270),1,0)</f>
        <v>1</v>
      </c>
      <c r="AK271" s="328">
        <f>IF(Table2[[#This Row],[Member Type]]=0,0,
IF(OR(Table2[[#This Row],[Member Type]]="Main Member",Table2[[#This Row],[Main Member Link ID]]&lt;&gt;B271),COUNTIFS(B:B,Table2[[#This Row],[Main Member Link ID]]),
COUNTIFS(B:B,Table2[[#This Row],[Main Member Link ID]],A:A,Table2[[#This Row],[Member Type]])))</f>
        <v>0</v>
      </c>
    </row>
    <row r="272" spans="1:37" x14ac:dyDescent="0.3">
      <c r="A272" s="284">
        <f>Table13[[#This Row],[Member Type]]</f>
        <v>0</v>
      </c>
      <c r="B272" s="284">
        <f>Table13[[#This Row],[Main Member Link ID]]</f>
        <v>0</v>
      </c>
      <c r="C272" s="284">
        <f>Table13[[#This Row],[ID Number]]</f>
        <v>0</v>
      </c>
      <c r="D272" s="285">
        <f>Table13[[#This Row],[Date Of Birth]]</f>
        <v>0</v>
      </c>
      <c r="E272" s="285">
        <f>Table13[[#This Row],[Commencement Date]]</f>
        <v>0</v>
      </c>
      <c r="F272" s="284">
        <f t="shared" si="28"/>
        <v>1</v>
      </c>
      <c r="G272" s="284">
        <f t="shared" si="29"/>
        <v>25</v>
      </c>
      <c r="H272" s="286">
        <f>Table13[[#This Row],[Product Option]]</f>
        <v>0</v>
      </c>
      <c r="I272" s="284">
        <f>IF(AND($A272="Main Member",Table2[[#This Row],[Product Option]]="My Value Plus Life"),"MM_LIFE",
IF(AND($A272="Spouse",Table2[[#This Row],[Product Option]]="My Value Plus Life"),"SP_LIFE",
IF(AND($A272="Main Member",Table2[[#This Row],[Product Option]]="My Value Plus Life &amp; Funeral"),"MM_LIFE",
IF(AND($A272="Spouse",Table2[[#This Row],[Product Option]]="My Value Plus Life &amp; Funeral"),_xlfn.XLOOKUP(Table2[[#This Row],[Benefit Name]],Lookups!$D$18:$D$23,Lookups!$E$18:$E$23,0),
0))))</f>
        <v>0</v>
      </c>
      <c r="J272" s="284">
        <f>IF($I272="","",
IF($I272="MM_LIFE",INDEX('Quotation Tool'!$S$54:$V$60,MATCH($T272,'Quotation Tool'!$S$54:$S$60,0),4),
IF($I272="SP_LIFE",_xlfn.XLOOKUP(B271,$B:$B,$J:$J,0),0)))</f>
        <v>0</v>
      </c>
      <c r="K272" s="287">
        <f t="shared" ca="1" si="33"/>
        <v>0</v>
      </c>
      <c r="L272" s="288">
        <f t="shared" ca="1" si="34"/>
        <v>0</v>
      </c>
      <c r="M272" s="289">
        <f t="shared" ca="1" si="30"/>
        <v>0</v>
      </c>
      <c r="N272" s="286">
        <f>Table13[[#This Row],[Benefit Option]]</f>
        <v>0</v>
      </c>
      <c r="O272" s="284">
        <f>IF(OR(Table2[[#This Row],[Member Type]]="Spouse",Table2[[#This Row],[Member Type]]="Child"),0,
IF(_xlfn.XLOOKUP($N272,Lookups!$D$13:$D$27,Lookups!$F$13:$F$27,0)=Table2[[#This Row],[Table Lookup for Life Cover]],0,
_xlfn.XLOOKUP($N272,Lookups!$D$13:$D$27,Lookups!$F$13:$F$27,0)))</f>
        <v>0</v>
      </c>
      <c r="P272" s="284">
        <f>IF(Table2[[#This Row],[Table Lookup for Funeral]]=0,0,IFERROR(INDEX('Quotation Tool'!$S$54:$V$60,MATCH($T272,'Quotation Tool'!$S$54:$S$60,0),3),0))</f>
        <v>0</v>
      </c>
      <c r="Q272" s="288">
        <f ca="1">IF(OR(Table2[[#This Row],[Benefit Name]]="My Value Plus Life - Main Member",Table2[[#This Row],[Benefit Name]]="My Value Plus Life - Spouse"),0,
IFERROR(VLOOKUP($G272,INDIRECT($O272),$P272,FALSE),0))</f>
        <v>0</v>
      </c>
      <c r="R272" s="288">
        <f ca="1">IF(OR(Table2[[#This Row],[Benefit Name]]="My Value Plus Life - Main Member",Table2[[#This Row],[Benefit Name]]="My Value Plus Life - Spouse"),0,
IFERROR(VLOOKUP($G272,INDIRECT($O272),$P272+1,FALSE),0))</f>
        <v>0</v>
      </c>
      <c r="S272" s="289">
        <f t="shared" ca="1" si="31"/>
        <v>0</v>
      </c>
      <c r="T272" s="284" t="str">
        <f>IF(Table13[[#This Row],[Premium Waiver]]="","None",Table13[[#This Row],[Premium Waiver]])</f>
        <v>None</v>
      </c>
      <c r="U272" s="284">
        <f>Table13[[#This Row],[VAPs Options]]</f>
        <v>0</v>
      </c>
      <c r="V272" s="284">
        <f>Table13[[#This Row],[Annual Increase Option]]</f>
        <v>0</v>
      </c>
      <c r="W272" s="290">
        <f>Table13[[#This Row],[Life Cover Amount]]</f>
        <v>0</v>
      </c>
      <c r="X272" s="290">
        <f>Table13[[#This Row],[Funeral Cover Amount]]</f>
        <v>0</v>
      </c>
      <c r="Y27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7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72" s="301">
        <f t="shared" ca="1" si="32"/>
        <v>0</v>
      </c>
      <c r="AB272" s="298"/>
      <c r="AC272" s="326" t="str">
        <f>IF(Table2[[#This Row],[Member Type]]="Main Member",Lookups!$C$13,
IF(Table2[[#This Row],[Member Type]]="Spouse",_xlfn.XLOOKUP(B272,Table2[Main Member Link ID],Table2[Product Option],0),
IF(AND(Table2[[#This Row],[Member Type]]="Child",_xlfn.XLOOKUP(B272,Table2[Main Member Link ID],Table2[Product Option],0)&lt;&gt;"My Value Plus Life"),Lookups!$C$24,
IF(AND(OR(Table2[[#This Row],[Member Type]]="Parent",Table2[[#This Row],[Member Type]]="Extended"),_xlfn.XLOOKUP(B272,Table2[Main Member Link ID],Table2[Product Option],0)&lt;&gt;"My Value Plus Life"),Lookups!$C$26,""))))</f>
        <v/>
      </c>
      <c r="AD272" s="326" t="str">
        <f>IF(Table2[[#This Row],[Member Type]]="Main Member",Lookups!$C$14,"")</f>
        <v/>
      </c>
      <c r="AE27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Funeral",_xlfn.XLOOKUP(B272,Table2[Main Member Link ID],Table2[Benefit Name],0)=Lookups!$D$14),"",
IF(AND(Table2[[#This Row],[Member Type]]="Spouse",Table2[[#This Row],[Product Option]]="My Value Plus Life &amp; Funeral",_xlfn.XLOOKUP(B271,Table2[Main Member Link ID],Table2[Benefit Name],0)=Lookups!$D$15),Lookups!$D$20,
IF(AND(Table2[[#This Row],[Member Type]]="Spouse",Table2[[#This Row],[Product Option]]="My Value Plus Life &amp; Funeral",_xlfn.XLOOKUP(B271,Table2[Main Member Link ID],Table2[Benefit Name],0)=Lookups!$D$16),"",
IF(AND(Table2[[#This Row],[Member Type]]="Spouse",Table2[[#This Row],[Product Option]]="My Value Plus Life &amp; Funeral",_xlfn.XLOOKUP(B271,Table2[Main Member Link ID],Table2[Benefit Name],0)=Lookups!$D$17),Lookups!$D$21,
IF(AND(Table2[[#This Row],[Member Type]]="Child",Table2[[#This Row],[Product Option]]="My Value Plus Life &amp; Funeral",_xlfn.XLOOKUP(B272,Table2[Main Member Link ID],Table2[Benefit Name],0)=Lookups!$D$14),"",
IF(AND(Table2[[#This Row],[Member Type]]="Child",Table2[[#This Row],[Product Option]]="My Value Plus Life &amp; Funeral",_xlfn.XLOOKUP(B272,Table2[Main Member Link ID],Table2[Benefit Name],0)=Lookups!$D$15),"",
IF(AND(Table2[[#This Row],[Member Type]]="Child",Table2[[#This Row],[Product Option]]="My Value Plus Life &amp; Funeral",_xlfn.XLOOKUP(B272,Table2[Main Member Link ID],Table2[Benefit Name],0)=Lookups!$D$16),Lookups!$D$24,
IF(AND(Table2[[#This Row],[Member Type]]="Child",Table2[[#This Row],[Product Option]]="My Value Plus Life &amp; Funeral",_xlfn.XLOOKUP(B272,Table2[Main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Funeral",_xlfn.XLOOKUP(B272,Table2[Main Member Link ID],Table2[Benefit Name],0)&lt;&gt;Lookups!$D$14),
IF(_xlfn.XLOOKUP(B272,Table2[Main Member Link ID],Table2[Benefit Name],0)=0,"",_xlfn.XLOOKUP(B272,Table2[Main Member Link ID],Table2[Benefit Name],0)),"")))))))))))))))</f>
        <v/>
      </c>
      <c r="AF272" s="327" t="str">
        <f>IF(AND(Table2[[#This Row],[Member Type]]="Main Member",Table2[[#This Row],[Product Option]]="My Value Plus Life &amp; Funeral"),Lookups!$D$15,
IF(AND(Table2[[#This Row],[Member Type]]="Spouse",Table2[[#This Row],[Product Option]]="My Value Plus Life &amp; Funeral",_xlfn.XLOOKUP(B272,Table2[Main Member Link ID],Table2[Benefit Name],0)=Lookups!$D$14),"",
IF(AND(Table2[[#This Row],[Member Type]]="Spouse",Table2[[#This Row],[Product Option]]="My Value Plus Life &amp; Funeral",_xlfn.XLOOKUP(B271,Table2[Main Member Link ID],Table2[Benefit Name],0)=Lookups!$D$16),"",
IF(AND(Table2[[#This Row],[Member Type]]="Spouse",Table2[[#This Row],[Product Option]]="My Value Plus Life &amp; Funeral",_xlfn.XLOOKUP(B271,Table2[Main Member Link ID],Table2[Benefit Name],0)=Lookups!$D$15),"",
IF(AND(Table2[[#This Row],[Member Type]]="Spouse",Table2[[#This Row],[Product Option]]="My Value Plus Life &amp; Funeral",_xlfn.XLOOKUP(B271,Table2[Main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Funeral",_xlfn.XLOOKUP(B272,Table2[Main Member Link ID],Table2[Benefit Name],0)&lt;&gt;Lookups!$D$15),
IF(_xlfn.XLOOKUP(B272,Table2[Main Member Link ID],Table2[Benefit Name],0)=0,"",_xlfn.XLOOKUP(B272,Table2[Main Member Link ID],Table2[Benefit Name],0)),"")
))))))</f>
        <v/>
      </c>
      <c r="AG272" s="327" t="str">
        <f>IF(AND(Table2[[#This Row],[Member Type]]="Main Member",Table2[[#This Row],[Product Option]]="My Value Plus Life &amp; Funeral"),Lookups!$D$16,
IF(AND(Table2[[#This Row],[Member Type]]="Spouse",Table2[[#This Row],[Product Option]]="My Value Plus Life &amp; Funeral",_xlfn.XLOOKUP(B272,Table2[Main Member Link ID],Table2[Benefit Name],0)=Lookups!$D$14),"",
IF(AND(Table2[[#This Row],[Member Type]]="Spouse",Table2[[#This Row],[Product Option]]="My Value Plus Life &amp; Funeral",_xlfn.XLOOKUP(B271,Table2[Main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Funeral",_xlfn.XLOOKUP(B272,Table2[Main Member Link ID],Table2[Benefit Name],0)&lt;&gt;Lookups!$D$16),
IF(_xlfn.XLOOKUP(B272,Table2[Main Member Link ID],Table2[Benefit Name],0)=0,"",_xlfn.XLOOKUP(B272,Table2[Main Member Link ID],Table2[Benefit Name],0)),"")
))))</f>
        <v/>
      </c>
      <c r="AH272" s="327" t="str">
        <f>IF(AND(Table2[[#This Row],[Member Type]]="Main Member",Table2[[#This Row],[Product Option]]="My Value Plus Life &amp; Funeral"),Lookups!$D$17,
IF(AND(Table2[[#This Row],[Member Type]]="Spouse",Table2[[#This Row],[Product Option]]="My Value Plus Life &amp; Funeral",_xlfn.XLOOKUP(B272,Table2[Main Member Link ID],Table2[Benefit Name],0)=Lookups!$D$14),"",
IF(AND(Table2[[#This Row],[Member Type]]="Spouse",Table2[[#This Row],[Product Option]]="My Value Plus Life &amp; Funeral",_xlfn.XLOOKUP(B271,Table2[Main Member Link ID],Table2[Benefit Name],0)=Lookups!$D$16),"",
IF(AND(Table2[[#This Row],[Member Type]]="Child",Table2[[#This Row],[Product Option]]="My Value Plus Life &amp; Funeral"),"",
IF(AND(Table2[[#This Row],[Member Type]]="Child",Table2[[#This Row],[Product Option]]="My Value Plus Life &amp; Funeral",_xlfn.XLOOKUP(B272,Table2[Main Member Link ID],Table2[Benefit Name],0)=Lookups!$D$15),"",
IF(AND(OR(Table2[[#This Row],[Member Type]]="Spouse",Table2[[#This Row],[Member Type]]="Child"),Table2[[#This Row],[Product Option]]="My Value Plus Life &amp; Funeral",_xlfn.XLOOKUP(B272,Table2[Main Member Link ID],Table2[Benefit Name],0)&lt;&gt;Lookups!$D$17),
IF(_xlfn.XLOOKUP(B272,Table2[Main Member Link ID],Table2[Benefit Name],0)=0,"",_xlfn.XLOOKUP(B272,Table2[Main Member Link ID],Table2[Benefit Name],0)),""))))))</f>
        <v/>
      </c>
      <c r="AI272" s="328" t="str">
        <f>IF(AND(Table2[[#This Row],[Member Type]]="Main Member",Table2[[#This Row],[Table Lookup for Life Cover]]="MM_LIFE",Table2[[#This Row],[Age Next Birthday]]&lt;56),1,
IF(AND(Table2[[#This Row],[Member Type]]="Main Member",Table2[[#This Row],[Table Lookup for Life Cover]]="MM_LIFE",Table2[[#This Row],[Age Next Birthday]]&gt;=56),2,
""))</f>
        <v/>
      </c>
      <c r="AJ272" s="328">
        <f>IF(OR(Table2[[#This Row],[Member Type]]="Main Member",Table2[[#This Row],[Main Member Link ID]]=B271),1,0)</f>
        <v>1</v>
      </c>
      <c r="AK272" s="328">
        <f>IF(Table2[[#This Row],[Member Type]]=0,0,
IF(OR(Table2[[#This Row],[Member Type]]="Main Member",Table2[[#This Row],[Main Member Link ID]]&lt;&gt;B272),COUNTIFS(B:B,Table2[[#This Row],[Main Member Link ID]]),
COUNTIFS(B:B,Table2[[#This Row],[Main Member Link ID]],A:A,Table2[[#This Row],[Member Type]])))</f>
        <v>0</v>
      </c>
    </row>
    <row r="273" spans="1:37" x14ac:dyDescent="0.3">
      <c r="A273" s="284">
        <f>Table13[[#This Row],[Member Type]]</f>
        <v>0</v>
      </c>
      <c r="B273" s="284">
        <f>Table13[[#This Row],[Main Member Link ID]]</f>
        <v>0</v>
      </c>
      <c r="C273" s="284">
        <f>Table13[[#This Row],[ID Number]]</f>
        <v>0</v>
      </c>
      <c r="D273" s="285">
        <f>Table13[[#This Row],[Date Of Birth]]</f>
        <v>0</v>
      </c>
      <c r="E273" s="285">
        <f>Table13[[#This Row],[Commencement Date]]</f>
        <v>0</v>
      </c>
      <c r="F273" s="284">
        <f t="shared" si="28"/>
        <v>1</v>
      </c>
      <c r="G273" s="284">
        <f t="shared" si="29"/>
        <v>25</v>
      </c>
      <c r="H273" s="286">
        <f>Table13[[#This Row],[Product Option]]</f>
        <v>0</v>
      </c>
      <c r="I273" s="284">
        <f>IF(AND($A273="Main Member",Table2[[#This Row],[Product Option]]="My Value Plus Life"),"MM_LIFE",
IF(AND($A273="Spouse",Table2[[#This Row],[Product Option]]="My Value Plus Life"),"SP_LIFE",
IF(AND($A273="Main Member",Table2[[#This Row],[Product Option]]="My Value Plus Life &amp; Funeral"),"MM_LIFE",
IF(AND($A273="Spouse",Table2[[#This Row],[Product Option]]="My Value Plus Life &amp; Funeral"),_xlfn.XLOOKUP(Table2[[#This Row],[Benefit Name]],Lookups!$D$18:$D$23,Lookups!$E$18:$E$23,0),
0))))</f>
        <v>0</v>
      </c>
      <c r="J273" s="284">
        <f>IF($I273="","",
IF($I273="MM_LIFE",INDEX('Quotation Tool'!$S$54:$V$60,MATCH($T273,'Quotation Tool'!$S$54:$S$60,0),4),
IF($I273="SP_LIFE",_xlfn.XLOOKUP(B272,$B:$B,$J:$J,0),0)))</f>
        <v>0</v>
      </c>
      <c r="K273" s="287">
        <f t="shared" ca="1" si="33"/>
        <v>0</v>
      </c>
      <c r="L273" s="288">
        <f t="shared" ca="1" si="34"/>
        <v>0</v>
      </c>
      <c r="M273" s="289">
        <f t="shared" ca="1" si="30"/>
        <v>0</v>
      </c>
      <c r="N273" s="286">
        <f>Table13[[#This Row],[Benefit Option]]</f>
        <v>0</v>
      </c>
      <c r="O273" s="284">
        <f>IF(OR(Table2[[#This Row],[Member Type]]="Spouse",Table2[[#This Row],[Member Type]]="Child"),0,
IF(_xlfn.XLOOKUP($N273,Lookups!$D$13:$D$27,Lookups!$F$13:$F$27,0)=Table2[[#This Row],[Table Lookup for Life Cover]],0,
_xlfn.XLOOKUP($N273,Lookups!$D$13:$D$27,Lookups!$F$13:$F$27,0)))</f>
        <v>0</v>
      </c>
      <c r="P273" s="284">
        <f>IF(Table2[[#This Row],[Table Lookup for Funeral]]=0,0,IFERROR(INDEX('Quotation Tool'!$S$54:$V$60,MATCH($T273,'Quotation Tool'!$S$54:$S$60,0),3),0))</f>
        <v>0</v>
      </c>
      <c r="Q273" s="288">
        <f ca="1">IF(OR(Table2[[#This Row],[Benefit Name]]="My Value Plus Life - Main Member",Table2[[#This Row],[Benefit Name]]="My Value Plus Life - Spouse"),0,
IFERROR(VLOOKUP($G273,INDIRECT($O273),$P273,FALSE),0))</f>
        <v>0</v>
      </c>
      <c r="R273" s="288">
        <f ca="1">IF(OR(Table2[[#This Row],[Benefit Name]]="My Value Plus Life - Main Member",Table2[[#This Row],[Benefit Name]]="My Value Plus Life - Spouse"),0,
IFERROR(VLOOKUP($G273,INDIRECT($O273),$P273+1,FALSE),0))</f>
        <v>0</v>
      </c>
      <c r="S273" s="289">
        <f t="shared" ca="1" si="31"/>
        <v>0</v>
      </c>
      <c r="T273" s="284" t="str">
        <f>IF(Table13[[#This Row],[Premium Waiver]]="","None",Table13[[#This Row],[Premium Waiver]])</f>
        <v>None</v>
      </c>
      <c r="U273" s="284">
        <f>Table13[[#This Row],[VAPs Options]]</f>
        <v>0</v>
      </c>
      <c r="V273" s="284">
        <f>Table13[[#This Row],[Annual Increase Option]]</f>
        <v>0</v>
      </c>
      <c r="W273" s="290">
        <f>Table13[[#This Row],[Life Cover Amount]]</f>
        <v>0</v>
      </c>
      <c r="X273" s="290">
        <f>Table13[[#This Row],[Funeral Cover Amount]]</f>
        <v>0</v>
      </c>
      <c r="Y27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7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73" s="301">
        <f t="shared" ca="1" si="32"/>
        <v>0</v>
      </c>
      <c r="AB273" s="298"/>
      <c r="AC273" s="326" t="str">
        <f>IF(Table2[[#This Row],[Member Type]]="Main Member",Lookups!$C$13,
IF(Table2[[#This Row],[Member Type]]="Spouse",_xlfn.XLOOKUP(B273,Table2[Main Member Link ID],Table2[Product Option],0),
IF(AND(Table2[[#This Row],[Member Type]]="Child",_xlfn.XLOOKUP(B273,Table2[Main Member Link ID],Table2[Product Option],0)&lt;&gt;"My Value Plus Life"),Lookups!$C$24,
IF(AND(OR(Table2[[#This Row],[Member Type]]="Parent",Table2[[#This Row],[Member Type]]="Extended"),_xlfn.XLOOKUP(B273,Table2[Main Member Link ID],Table2[Product Option],0)&lt;&gt;"My Value Plus Life"),Lookups!$C$26,""))))</f>
        <v/>
      </c>
      <c r="AD273" s="326" t="str">
        <f>IF(Table2[[#This Row],[Member Type]]="Main Member",Lookups!$C$14,"")</f>
        <v/>
      </c>
      <c r="AE27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Funeral",_xlfn.XLOOKUP(B273,Table2[Main Member Link ID],Table2[Benefit Name],0)=Lookups!$D$14),"",
IF(AND(Table2[[#This Row],[Member Type]]="Spouse",Table2[[#This Row],[Product Option]]="My Value Plus Life &amp; Funeral",_xlfn.XLOOKUP(B272,Table2[Main Member Link ID],Table2[Benefit Name],0)=Lookups!$D$15),Lookups!$D$20,
IF(AND(Table2[[#This Row],[Member Type]]="Spouse",Table2[[#This Row],[Product Option]]="My Value Plus Life &amp; Funeral",_xlfn.XLOOKUP(B272,Table2[Main Member Link ID],Table2[Benefit Name],0)=Lookups!$D$16),"",
IF(AND(Table2[[#This Row],[Member Type]]="Spouse",Table2[[#This Row],[Product Option]]="My Value Plus Life &amp; Funeral",_xlfn.XLOOKUP(B272,Table2[Main Member Link ID],Table2[Benefit Name],0)=Lookups!$D$17),Lookups!$D$21,
IF(AND(Table2[[#This Row],[Member Type]]="Child",Table2[[#This Row],[Product Option]]="My Value Plus Life &amp; Funeral",_xlfn.XLOOKUP(B273,Table2[Main Member Link ID],Table2[Benefit Name],0)=Lookups!$D$14),"",
IF(AND(Table2[[#This Row],[Member Type]]="Child",Table2[[#This Row],[Product Option]]="My Value Plus Life &amp; Funeral",_xlfn.XLOOKUP(B273,Table2[Main Member Link ID],Table2[Benefit Name],0)=Lookups!$D$15),"",
IF(AND(Table2[[#This Row],[Member Type]]="Child",Table2[[#This Row],[Product Option]]="My Value Plus Life &amp; Funeral",_xlfn.XLOOKUP(B273,Table2[Main Member Link ID],Table2[Benefit Name],0)=Lookups!$D$16),Lookups!$D$24,
IF(AND(Table2[[#This Row],[Member Type]]="Child",Table2[[#This Row],[Product Option]]="My Value Plus Life &amp; Funeral",_xlfn.XLOOKUP(B273,Table2[Main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Funeral",_xlfn.XLOOKUP(B273,Table2[Main Member Link ID],Table2[Benefit Name],0)&lt;&gt;Lookups!$D$14),
IF(_xlfn.XLOOKUP(B273,Table2[Main Member Link ID],Table2[Benefit Name],0)=0,"",_xlfn.XLOOKUP(B273,Table2[Main Member Link ID],Table2[Benefit Name],0)),"")))))))))))))))</f>
        <v/>
      </c>
      <c r="AF273" s="327" t="str">
        <f>IF(AND(Table2[[#This Row],[Member Type]]="Main Member",Table2[[#This Row],[Product Option]]="My Value Plus Life &amp; Funeral"),Lookups!$D$15,
IF(AND(Table2[[#This Row],[Member Type]]="Spouse",Table2[[#This Row],[Product Option]]="My Value Plus Life &amp; Funeral",_xlfn.XLOOKUP(B273,Table2[Main Member Link ID],Table2[Benefit Name],0)=Lookups!$D$14),"",
IF(AND(Table2[[#This Row],[Member Type]]="Spouse",Table2[[#This Row],[Product Option]]="My Value Plus Life &amp; Funeral",_xlfn.XLOOKUP(B272,Table2[Main Member Link ID],Table2[Benefit Name],0)=Lookups!$D$16),"",
IF(AND(Table2[[#This Row],[Member Type]]="Spouse",Table2[[#This Row],[Product Option]]="My Value Plus Life &amp; Funeral",_xlfn.XLOOKUP(B272,Table2[Main Member Link ID],Table2[Benefit Name],0)=Lookups!$D$15),"",
IF(AND(Table2[[#This Row],[Member Type]]="Spouse",Table2[[#This Row],[Product Option]]="My Value Plus Life &amp; Funeral",_xlfn.XLOOKUP(B272,Table2[Main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Funeral",_xlfn.XLOOKUP(B273,Table2[Main Member Link ID],Table2[Benefit Name],0)&lt;&gt;Lookups!$D$15),
IF(_xlfn.XLOOKUP(B273,Table2[Main Member Link ID],Table2[Benefit Name],0)=0,"",_xlfn.XLOOKUP(B273,Table2[Main Member Link ID],Table2[Benefit Name],0)),"")
))))))</f>
        <v/>
      </c>
      <c r="AG273" s="327" t="str">
        <f>IF(AND(Table2[[#This Row],[Member Type]]="Main Member",Table2[[#This Row],[Product Option]]="My Value Plus Life &amp; Funeral"),Lookups!$D$16,
IF(AND(Table2[[#This Row],[Member Type]]="Spouse",Table2[[#This Row],[Product Option]]="My Value Plus Life &amp; Funeral",_xlfn.XLOOKUP(B273,Table2[Main Member Link ID],Table2[Benefit Name],0)=Lookups!$D$14),"",
IF(AND(Table2[[#This Row],[Member Type]]="Spouse",Table2[[#This Row],[Product Option]]="My Value Plus Life &amp; Funeral",_xlfn.XLOOKUP(B272,Table2[Main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Funeral",_xlfn.XLOOKUP(B273,Table2[Main Member Link ID],Table2[Benefit Name],0)&lt;&gt;Lookups!$D$16),
IF(_xlfn.XLOOKUP(B273,Table2[Main Member Link ID],Table2[Benefit Name],0)=0,"",_xlfn.XLOOKUP(B273,Table2[Main Member Link ID],Table2[Benefit Name],0)),"")
))))</f>
        <v/>
      </c>
      <c r="AH273" s="327" t="str">
        <f>IF(AND(Table2[[#This Row],[Member Type]]="Main Member",Table2[[#This Row],[Product Option]]="My Value Plus Life &amp; Funeral"),Lookups!$D$17,
IF(AND(Table2[[#This Row],[Member Type]]="Spouse",Table2[[#This Row],[Product Option]]="My Value Plus Life &amp; Funeral",_xlfn.XLOOKUP(B273,Table2[Main Member Link ID],Table2[Benefit Name],0)=Lookups!$D$14),"",
IF(AND(Table2[[#This Row],[Member Type]]="Spouse",Table2[[#This Row],[Product Option]]="My Value Plus Life &amp; Funeral",_xlfn.XLOOKUP(B272,Table2[Main Member Link ID],Table2[Benefit Name],0)=Lookups!$D$16),"",
IF(AND(Table2[[#This Row],[Member Type]]="Child",Table2[[#This Row],[Product Option]]="My Value Plus Life &amp; Funeral"),"",
IF(AND(Table2[[#This Row],[Member Type]]="Child",Table2[[#This Row],[Product Option]]="My Value Plus Life &amp; Funeral",_xlfn.XLOOKUP(B273,Table2[Main Member Link ID],Table2[Benefit Name],0)=Lookups!$D$15),"",
IF(AND(OR(Table2[[#This Row],[Member Type]]="Spouse",Table2[[#This Row],[Member Type]]="Child"),Table2[[#This Row],[Product Option]]="My Value Plus Life &amp; Funeral",_xlfn.XLOOKUP(B273,Table2[Main Member Link ID],Table2[Benefit Name],0)&lt;&gt;Lookups!$D$17),
IF(_xlfn.XLOOKUP(B273,Table2[Main Member Link ID],Table2[Benefit Name],0)=0,"",_xlfn.XLOOKUP(B273,Table2[Main Member Link ID],Table2[Benefit Name],0)),""))))))</f>
        <v/>
      </c>
      <c r="AI273" s="328" t="str">
        <f>IF(AND(Table2[[#This Row],[Member Type]]="Main Member",Table2[[#This Row],[Table Lookup for Life Cover]]="MM_LIFE",Table2[[#This Row],[Age Next Birthday]]&lt;56),1,
IF(AND(Table2[[#This Row],[Member Type]]="Main Member",Table2[[#This Row],[Table Lookup for Life Cover]]="MM_LIFE",Table2[[#This Row],[Age Next Birthday]]&gt;=56),2,
""))</f>
        <v/>
      </c>
      <c r="AJ273" s="328">
        <f>IF(OR(Table2[[#This Row],[Member Type]]="Main Member",Table2[[#This Row],[Main Member Link ID]]=B272),1,0)</f>
        <v>1</v>
      </c>
      <c r="AK273" s="328">
        <f>IF(Table2[[#This Row],[Member Type]]=0,0,
IF(OR(Table2[[#This Row],[Member Type]]="Main Member",Table2[[#This Row],[Main Member Link ID]]&lt;&gt;B273),COUNTIFS(B:B,Table2[[#This Row],[Main Member Link ID]]),
COUNTIFS(B:B,Table2[[#This Row],[Main Member Link ID]],A:A,Table2[[#This Row],[Member Type]])))</f>
        <v>0</v>
      </c>
    </row>
    <row r="274" spans="1:37" x14ac:dyDescent="0.3">
      <c r="A274" s="284">
        <f>Table13[[#This Row],[Member Type]]</f>
        <v>0</v>
      </c>
      <c r="B274" s="284">
        <f>Table13[[#This Row],[Main Member Link ID]]</f>
        <v>0</v>
      </c>
      <c r="C274" s="284">
        <f>Table13[[#This Row],[ID Number]]</f>
        <v>0</v>
      </c>
      <c r="D274" s="285">
        <f>Table13[[#This Row],[Date Of Birth]]</f>
        <v>0</v>
      </c>
      <c r="E274" s="285">
        <f>Table13[[#This Row],[Commencement Date]]</f>
        <v>0</v>
      </c>
      <c r="F274" s="284">
        <f t="shared" si="28"/>
        <v>1</v>
      </c>
      <c r="G274" s="284">
        <f t="shared" si="29"/>
        <v>25</v>
      </c>
      <c r="H274" s="286">
        <f>Table13[[#This Row],[Product Option]]</f>
        <v>0</v>
      </c>
      <c r="I274" s="284">
        <f>IF(AND($A274="Main Member",Table2[[#This Row],[Product Option]]="My Value Plus Life"),"MM_LIFE",
IF(AND($A274="Spouse",Table2[[#This Row],[Product Option]]="My Value Plus Life"),"SP_LIFE",
IF(AND($A274="Main Member",Table2[[#This Row],[Product Option]]="My Value Plus Life &amp; Funeral"),"MM_LIFE",
IF(AND($A274="Spouse",Table2[[#This Row],[Product Option]]="My Value Plus Life &amp; Funeral"),_xlfn.XLOOKUP(Table2[[#This Row],[Benefit Name]],Lookups!$D$18:$D$23,Lookups!$E$18:$E$23,0),
0))))</f>
        <v>0</v>
      </c>
      <c r="J274" s="284">
        <f>IF($I274="","",
IF($I274="MM_LIFE",INDEX('Quotation Tool'!$S$54:$V$60,MATCH($T274,'Quotation Tool'!$S$54:$S$60,0),4),
IF($I274="SP_LIFE",_xlfn.XLOOKUP(B273,$B:$B,$J:$J,0),0)))</f>
        <v>0</v>
      </c>
      <c r="K274" s="287">
        <f t="shared" ca="1" si="33"/>
        <v>0</v>
      </c>
      <c r="L274" s="288">
        <f t="shared" ca="1" si="34"/>
        <v>0</v>
      </c>
      <c r="M274" s="289">
        <f t="shared" ca="1" si="30"/>
        <v>0</v>
      </c>
      <c r="N274" s="286">
        <f>Table13[[#This Row],[Benefit Option]]</f>
        <v>0</v>
      </c>
      <c r="O274" s="284">
        <f>IF(OR(Table2[[#This Row],[Member Type]]="Spouse",Table2[[#This Row],[Member Type]]="Child"),0,
IF(_xlfn.XLOOKUP($N274,Lookups!$D$13:$D$27,Lookups!$F$13:$F$27,0)=Table2[[#This Row],[Table Lookup for Life Cover]],0,
_xlfn.XLOOKUP($N274,Lookups!$D$13:$D$27,Lookups!$F$13:$F$27,0)))</f>
        <v>0</v>
      </c>
      <c r="P274" s="284">
        <f>IF(Table2[[#This Row],[Table Lookup for Funeral]]=0,0,IFERROR(INDEX('Quotation Tool'!$S$54:$V$60,MATCH($T274,'Quotation Tool'!$S$54:$S$60,0),3),0))</f>
        <v>0</v>
      </c>
      <c r="Q274" s="288">
        <f ca="1">IF(OR(Table2[[#This Row],[Benefit Name]]="My Value Plus Life - Main Member",Table2[[#This Row],[Benefit Name]]="My Value Plus Life - Spouse"),0,
IFERROR(VLOOKUP($G274,INDIRECT($O274),$P274,FALSE),0))</f>
        <v>0</v>
      </c>
      <c r="R274" s="288">
        <f ca="1">IF(OR(Table2[[#This Row],[Benefit Name]]="My Value Plus Life - Main Member",Table2[[#This Row],[Benefit Name]]="My Value Plus Life - Spouse"),0,
IFERROR(VLOOKUP($G274,INDIRECT($O274),$P274+1,FALSE),0))</f>
        <v>0</v>
      </c>
      <c r="S274" s="289">
        <f t="shared" ca="1" si="31"/>
        <v>0</v>
      </c>
      <c r="T274" s="284" t="str">
        <f>IF(Table13[[#This Row],[Premium Waiver]]="","None",Table13[[#This Row],[Premium Waiver]])</f>
        <v>None</v>
      </c>
      <c r="U274" s="284">
        <f>Table13[[#This Row],[VAPs Options]]</f>
        <v>0</v>
      </c>
      <c r="V274" s="284">
        <f>Table13[[#This Row],[Annual Increase Option]]</f>
        <v>0</v>
      </c>
      <c r="W274" s="290">
        <f>Table13[[#This Row],[Life Cover Amount]]</f>
        <v>0</v>
      </c>
      <c r="X274" s="290">
        <f>Table13[[#This Row],[Funeral Cover Amount]]</f>
        <v>0</v>
      </c>
      <c r="Y27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7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74" s="301">
        <f t="shared" ca="1" si="32"/>
        <v>0</v>
      </c>
      <c r="AB274" s="298"/>
      <c r="AC274" s="326" t="str">
        <f>IF(Table2[[#This Row],[Member Type]]="Main Member",Lookups!$C$13,
IF(Table2[[#This Row],[Member Type]]="Spouse",_xlfn.XLOOKUP(B274,Table2[Main Member Link ID],Table2[Product Option],0),
IF(AND(Table2[[#This Row],[Member Type]]="Child",_xlfn.XLOOKUP(B274,Table2[Main Member Link ID],Table2[Product Option],0)&lt;&gt;"My Value Plus Life"),Lookups!$C$24,
IF(AND(OR(Table2[[#This Row],[Member Type]]="Parent",Table2[[#This Row],[Member Type]]="Extended"),_xlfn.XLOOKUP(B274,Table2[Main Member Link ID],Table2[Product Option],0)&lt;&gt;"My Value Plus Life"),Lookups!$C$26,""))))</f>
        <v/>
      </c>
      <c r="AD274" s="326" t="str">
        <f>IF(Table2[[#This Row],[Member Type]]="Main Member",Lookups!$C$14,"")</f>
        <v/>
      </c>
      <c r="AE27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Funeral",_xlfn.XLOOKUP(B274,Table2[Main Member Link ID],Table2[Benefit Name],0)=Lookups!$D$14),"",
IF(AND(Table2[[#This Row],[Member Type]]="Spouse",Table2[[#This Row],[Product Option]]="My Value Plus Life &amp; Funeral",_xlfn.XLOOKUP(B273,Table2[Main Member Link ID],Table2[Benefit Name],0)=Lookups!$D$15),Lookups!$D$20,
IF(AND(Table2[[#This Row],[Member Type]]="Spouse",Table2[[#This Row],[Product Option]]="My Value Plus Life &amp; Funeral",_xlfn.XLOOKUP(B273,Table2[Main Member Link ID],Table2[Benefit Name],0)=Lookups!$D$16),"",
IF(AND(Table2[[#This Row],[Member Type]]="Spouse",Table2[[#This Row],[Product Option]]="My Value Plus Life &amp; Funeral",_xlfn.XLOOKUP(B273,Table2[Main Member Link ID],Table2[Benefit Name],0)=Lookups!$D$17),Lookups!$D$21,
IF(AND(Table2[[#This Row],[Member Type]]="Child",Table2[[#This Row],[Product Option]]="My Value Plus Life &amp; Funeral",_xlfn.XLOOKUP(B274,Table2[Main Member Link ID],Table2[Benefit Name],0)=Lookups!$D$14),"",
IF(AND(Table2[[#This Row],[Member Type]]="Child",Table2[[#This Row],[Product Option]]="My Value Plus Life &amp; Funeral",_xlfn.XLOOKUP(B274,Table2[Main Member Link ID],Table2[Benefit Name],0)=Lookups!$D$15),"",
IF(AND(Table2[[#This Row],[Member Type]]="Child",Table2[[#This Row],[Product Option]]="My Value Plus Life &amp; Funeral",_xlfn.XLOOKUP(B274,Table2[Main Member Link ID],Table2[Benefit Name],0)=Lookups!$D$16),Lookups!$D$24,
IF(AND(Table2[[#This Row],[Member Type]]="Child",Table2[[#This Row],[Product Option]]="My Value Plus Life &amp; Funeral",_xlfn.XLOOKUP(B274,Table2[Main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Funeral",_xlfn.XLOOKUP(B274,Table2[Main Member Link ID],Table2[Benefit Name],0)&lt;&gt;Lookups!$D$14),
IF(_xlfn.XLOOKUP(B274,Table2[Main Member Link ID],Table2[Benefit Name],0)=0,"",_xlfn.XLOOKUP(B274,Table2[Main Member Link ID],Table2[Benefit Name],0)),"")))))))))))))))</f>
        <v/>
      </c>
      <c r="AF274" s="327" t="str">
        <f>IF(AND(Table2[[#This Row],[Member Type]]="Main Member",Table2[[#This Row],[Product Option]]="My Value Plus Life &amp; Funeral"),Lookups!$D$15,
IF(AND(Table2[[#This Row],[Member Type]]="Spouse",Table2[[#This Row],[Product Option]]="My Value Plus Life &amp; Funeral",_xlfn.XLOOKUP(B274,Table2[Main Member Link ID],Table2[Benefit Name],0)=Lookups!$D$14),"",
IF(AND(Table2[[#This Row],[Member Type]]="Spouse",Table2[[#This Row],[Product Option]]="My Value Plus Life &amp; Funeral",_xlfn.XLOOKUP(B273,Table2[Main Member Link ID],Table2[Benefit Name],0)=Lookups!$D$16),"",
IF(AND(Table2[[#This Row],[Member Type]]="Spouse",Table2[[#This Row],[Product Option]]="My Value Plus Life &amp; Funeral",_xlfn.XLOOKUP(B273,Table2[Main Member Link ID],Table2[Benefit Name],0)=Lookups!$D$15),"",
IF(AND(Table2[[#This Row],[Member Type]]="Spouse",Table2[[#This Row],[Product Option]]="My Value Plus Life &amp; Funeral",_xlfn.XLOOKUP(B273,Table2[Main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Funeral",_xlfn.XLOOKUP(B274,Table2[Main Member Link ID],Table2[Benefit Name],0)&lt;&gt;Lookups!$D$15),
IF(_xlfn.XLOOKUP(B274,Table2[Main Member Link ID],Table2[Benefit Name],0)=0,"",_xlfn.XLOOKUP(B274,Table2[Main Member Link ID],Table2[Benefit Name],0)),"")
))))))</f>
        <v/>
      </c>
      <c r="AG274" s="327" t="str">
        <f>IF(AND(Table2[[#This Row],[Member Type]]="Main Member",Table2[[#This Row],[Product Option]]="My Value Plus Life &amp; Funeral"),Lookups!$D$16,
IF(AND(Table2[[#This Row],[Member Type]]="Spouse",Table2[[#This Row],[Product Option]]="My Value Plus Life &amp; Funeral",_xlfn.XLOOKUP(B274,Table2[Main Member Link ID],Table2[Benefit Name],0)=Lookups!$D$14),"",
IF(AND(Table2[[#This Row],[Member Type]]="Spouse",Table2[[#This Row],[Product Option]]="My Value Plus Life &amp; Funeral",_xlfn.XLOOKUP(B273,Table2[Main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Funeral",_xlfn.XLOOKUP(B274,Table2[Main Member Link ID],Table2[Benefit Name],0)&lt;&gt;Lookups!$D$16),
IF(_xlfn.XLOOKUP(B274,Table2[Main Member Link ID],Table2[Benefit Name],0)=0,"",_xlfn.XLOOKUP(B274,Table2[Main Member Link ID],Table2[Benefit Name],0)),"")
))))</f>
        <v/>
      </c>
      <c r="AH274" s="327" t="str">
        <f>IF(AND(Table2[[#This Row],[Member Type]]="Main Member",Table2[[#This Row],[Product Option]]="My Value Plus Life &amp; Funeral"),Lookups!$D$17,
IF(AND(Table2[[#This Row],[Member Type]]="Spouse",Table2[[#This Row],[Product Option]]="My Value Plus Life &amp; Funeral",_xlfn.XLOOKUP(B274,Table2[Main Member Link ID],Table2[Benefit Name],0)=Lookups!$D$14),"",
IF(AND(Table2[[#This Row],[Member Type]]="Spouse",Table2[[#This Row],[Product Option]]="My Value Plus Life &amp; Funeral",_xlfn.XLOOKUP(B273,Table2[Main Member Link ID],Table2[Benefit Name],0)=Lookups!$D$16),"",
IF(AND(Table2[[#This Row],[Member Type]]="Child",Table2[[#This Row],[Product Option]]="My Value Plus Life &amp; Funeral"),"",
IF(AND(Table2[[#This Row],[Member Type]]="Child",Table2[[#This Row],[Product Option]]="My Value Plus Life &amp; Funeral",_xlfn.XLOOKUP(B274,Table2[Main Member Link ID],Table2[Benefit Name],0)=Lookups!$D$15),"",
IF(AND(OR(Table2[[#This Row],[Member Type]]="Spouse",Table2[[#This Row],[Member Type]]="Child"),Table2[[#This Row],[Product Option]]="My Value Plus Life &amp; Funeral",_xlfn.XLOOKUP(B274,Table2[Main Member Link ID],Table2[Benefit Name],0)&lt;&gt;Lookups!$D$17),
IF(_xlfn.XLOOKUP(B274,Table2[Main Member Link ID],Table2[Benefit Name],0)=0,"",_xlfn.XLOOKUP(B274,Table2[Main Member Link ID],Table2[Benefit Name],0)),""))))))</f>
        <v/>
      </c>
      <c r="AI274" s="328" t="str">
        <f>IF(AND(Table2[[#This Row],[Member Type]]="Main Member",Table2[[#This Row],[Table Lookup for Life Cover]]="MM_LIFE",Table2[[#This Row],[Age Next Birthday]]&lt;56),1,
IF(AND(Table2[[#This Row],[Member Type]]="Main Member",Table2[[#This Row],[Table Lookup for Life Cover]]="MM_LIFE",Table2[[#This Row],[Age Next Birthday]]&gt;=56),2,
""))</f>
        <v/>
      </c>
      <c r="AJ274" s="328">
        <f>IF(OR(Table2[[#This Row],[Member Type]]="Main Member",Table2[[#This Row],[Main Member Link ID]]=B273),1,0)</f>
        <v>1</v>
      </c>
      <c r="AK274" s="328">
        <f>IF(Table2[[#This Row],[Member Type]]=0,0,
IF(OR(Table2[[#This Row],[Member Type]]="Main Member",Table2[[#This Row],[Main Member Link ID]]&lt;&gt;B274),COUNTIFS(B:B,Table2[[#This Row],[Main Member Link ID]]),
COUNTIFS(B:B,Table2[[#This Row],[Main Member Link ID]],A:A,Table2[[#This Row],[Member Type]])))</f>
        <v>0</v>
      </c>
    </row>
    <row r="275" spans="1:37" x14ac:dyDescent="0.3">
      <c r="A275" s="284">
        <f>Table13[[#This Row],[Member Type]]</f>
        <v>0</v>
      </c>
      <c r="B275" s="284">
        <f>Table13[[#This Row],[Main Member Link ID]]</f>
        <v>0</v>
      </c>
      <c r="C275" s="284">
        <f>Table13[[#This Row],[ID Number]]</f>
        <v>0</v>
      </c>
      <c r="D275" s="285">
        <f>Table13[[#This Row],[Date Of Birth]]</f>
        <v>0</v>
      </c>
      <c r="E275" s="285">
        <f>Table13[[#This Row],[Commencement Date]]</f>
        <v>0</v>
      </c>
      <c r="F275" s="284">
        <f t="shared" si="28"/>
        <v>1</v>
      </c>
      <c r="G275" s="284">
        <f t="shared" si="29"/>
        <v>25</v>
      </c>
      <c r="H275" s="286">
        <f>Table13[[#This Row],[Product Option]]</f>
        <v>0</v>
      </c>
      <c r="I275" s="284">
        <f>IF(AND($A275="Main Member",Table2[[#This Row],[Product Option]]="My Value Plus Life"),"MM_LIFE",
IF(AND($A275="Spouse",Table2[[#This Row],[Product Option]]="My Value Plus Life"),"SP_LIFE",
IF(AND($A275="Main Member",Table2[[#This Row],[Product Option]]="My Value Plus Life &amp; Funeral"),"MM_LIFE",
IF(AND($A275="Spouse",Table2[[#This Row],[Product Option]]="My Value Plus Life &amp; Funeral"),_xlfn.XLOOKUP(Table2[[#This Row],[Benefit Name]],Lookups!$D$18:$D$23,Lookups!$E$18:$E$23,0),
0))))</f>
        <v>0</v>
      </c>
      <c r="J275" s="284">
        <f>IF($I275="","",
IF($I275="MM_LIFE",INDEX('Quotation Tool'!$S$54:$V$60,MATCH($T275,'Quotation Tool'!$S$54:$S$60,0),4),
IF($I275="SP_LIFE",_xlfn.XLOOKUP(B274,$B:$B,$J:$J,0),0)))</f>
        <v>0</v>
      </c>
      <c r="K275" s="287">
        <f t="shared" ca="1" si="33"/>
        <v>0</v>
      </c>
      <c r="L275" s="288">
        <f t="shared" ca="1" si="34"/>
        <v>0</v>
      </c>
      <c r="M275" s="289">
        <f t="shared" ca="1" si="30"/>
        <v>0</v>
      </c>
      <c r="N275" s="286">
        <f>Table13[[#This Row],[Benefit Option]]</f>
        <v>0</v>
      </c>
      <c r="O275" s="284">
        <f>IF(OR(Table2[[#This Row],[Member Type]]="Spouse",Table2[[#This Row],[Member Type]]="Child"),0,
IF(_xlfn.XLOOKUP($N275,Lookups!$D$13:$D$27,Lookups!$F$13:$F$27,0)=Table2[[#This Row],[Table Lookup for Life Cover]],0,
_xlfn.XLOOKUP($N275,Lookups!$D$13:$D$27,Lookups!$F$13:$F$27,0)))</f>
        <v>0</v>
      </c>
      <c r="P275" s="284">
        <f>IF(Table2[[#This Row],[Table Lookup for Funeral]]=0,0,IFERROR(INDEX('Quotation Tool'!$S$54:$V$60,MATCH($T275,'Quotation Tool'!$S$54:$S$60,0),3),0))</f>
        <v>0</v>
      </c>
      <c r="Q275" s="288">
        <f ca="1">IF(OR(Table2[[#This Row],[Benefit Name]]="My Value Plus Life - Main Member",Table2[[#This Row],[Benefit Name]]="My Value Plus Life - Spouse"),0,
IFERROR(VLOOKUP($G275,INDIRECT($O275),$P275,FALSE),0))</f>
        <v>0</v>
      </c>
      <c r="R275" s="288">
        <f ca="1">IF(OR(Table2[[#This Row],[Benefit Name]]="My Value Plus Life - Main Member",Table2[[#This Row],[Benefit Name]]="My Value Plus Life - Spouse"),0,
IFERROR(VLOOKUP($G275,INDIRECT($O275),$P275+1,FALSE),0))</f>
        <v>0</v>
      </c>
      <c r="S275" s="289">
        <f t="shared" ca="1" si="31"/>
        <v>0</v>
      </c>
      <c r="T275" s="284" t="str">
        <f>IF(Table13[[#This Row],[Premium Waiver]]="","None",Table13[[#This Row],[Premium Waiver]])</f>
        <v>None</v>
      </c>
      <c r="U275" s="284">
        <f>Table13[[#This Row],[VAPs Options]]</f>
        <v>0</v>
      </c>
      <c r="V275" s="284">
        <f>Table13[[#This Row],[Annual Increase Option]]</f>
        <v>0</v>
      </c>
      <c r="W275" s="290">
        <f>Table13[[#This Row],[Life Cover Amount]]</f>
        <v>0</v>
      </c>
      <c r="X275" s="290">
        <f>Table13[[#This Row],[Funeral Cover Amount]]</f>
        <v>0</v>
      </c>
      <c r="Y27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7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75" s="301">
        <f t="shared" ca="1" si="32"/>
        <v>0</v>
      </c>
      <c r="AB275" s="298"/>
      <c r="AC275" s="326" t="str">
        <f>IF(Table2[[#This Row],[Member Type]]="Main Member",Lookups!$C$13,
IF(Table2[[#This Row],[Member Type]]="Spouse",_xlfn.XLOOKUP(B275,Table2[Main Member Link ID],Table2[Product Option],0),
IF(AND(Table2[[#This Row],[Member Type]]="Child",_xlfn.XLOOKUP(B275,Table2[Main Member Link ID],Table2[Product Option],0)&lt;&gt;"My Value Plus Life"),Lookups!$C$24,
IF(AND(OR(Table2[[#This Row],[Member Type]]="Parent",Table2[[#This Row],[Member Type]]="Extended"),_xlfn.XLOOKUP(B275,Table2[Main Member Link ID],Table2[Product Option],0)&lt;&gt;"My Value Plus Life"),Lookups!$C$26,""))))</f>
        <v/>
      </c>
      <c r="AD275" s="326" t="str">
        <f>IF(Table2[[#This Row],[Member Type]]="Main Member",Lookups!$C$14,"")</f>
        <v/>
      </c>
      <c r="AE27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Funeral",_xlfn.XLOOKUP(B275,Table2[Main Member Link ID],Table2[Benefit Name],0)=Lookups!$D$14),"",
IF(AND(Table2[[#This Row],[Member Type]]="Spouse",Table2[[#This Row],[Product Option]]="My Value Plus Life &amp; Funeral",_xlfn.XLOOKUP(B274,Table2[Main Member Link ID],Table2[Benefit Name],0)=Lookups!$D$15),Lookups!$D$20,
IF(AND(Table2[[#This Row],[Member Type]]="Spouse",Table2[[#This Row],[Product Option]]="My Value Plus Life &amp; Funeral",_xlfn.XLOOKUP(B274,Table2[Main Member Link ID],Table2[Benefit Name],0)=Lookups!$D$16),"",
IF(AND(Table2[[#This Row],[Member Type]]="Spouse",Table2[[#This Row],[Product Option]]="My Value Plus Life &amp; Funeral",_xlfn.XLOOKUP(B274,Table2[Main Member Link ID],Table2[Benefit Name],0)=Lookups!$D$17),Lookups!$D$21,
IF(AND(Table2[[#This Row],[Member Type]]="Child",Table2[[#This Row],[Product Option]]="My Value Plus Life &amp; Funeral",_xlfn.XLOOKUP(B275,Table2[Main Member Link ID],Table2[Benefit Name],0)=Lookups!$D$14),"",
IF(AND(Table2[[#This Row],[Member Type]]="Child",Table2[[#This Row],[Product Option]]="My Value Plus Life &amp; Funeral",_xlfn.XLOOKUP(B275,Table2[Main Member Link ID],Table2[Benefit Name],0)=Lookups!$D$15),"",
IF(AND(Table2[[#This Row],[Member Type]]="Child",Table2[[#This Row],[Product Option]]="My Value Plus Life &amp; Funeral",_xlfn.XLOOKUP(B275,Table2[Main Member Link ID],Table2[Benefit Name],0)=Lookups!$D$16),Lookups!$D$24,
IF(AND(Table2[[#This Row],[Member Type]]="Child",Table2[[#This Row],[Product Option]]="My Value Plus Life &amp; Funeral",_xlfn.XLOOKUP(B275,Table2[Main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Funeral",_xlfn.XLOOKUP(B275,Table2[Main Member Link ID],Table2[Benefit Name],0)&lt;&gt;Lookups!$D$14),
IF(_xlfn.XLOOKUP(B275,Table2[Main Member Link ID],Table2[Benefit Name],0)=0,"",_xlfn.XLOOKUP(B275,Table2[Main Member Link ID],Table2[Benefit Name],0)),"")))))))))))))))</f>
        <v/>
      </c>
      <c r="AF275" s="327" t="str">
        <f>IF(AND(Table2[[#This Row],[Member Type]]="Main Member",Table2[[#This Row],[Product Option]]="My Value Plus Life &amp; Funeral"),Lookups!$D$15,
IF(AND(Table2[[#This Row],[Member Type]]="Spouse",Table2[[#This Row],[Product Option]]="My Value Plus Life &amp; Funeral",_xlfn.XLOOKUP(B275,Table2[Main Member Link ID],Table2[Benefit Name],0)=Lookups!$D$14),"",
IF(AND(Table2[[#This Row],[Member Type]]="Spouse",Table2[[#This Row],[Product Option]]="My Value Plus Life &amp; Funeral",_xlfn.XLOOKUP(B274,Table2[Main Member Link ID],Table2[Benefit Name],0)=Lookups!$D$16),"",
IF(AND(Table2[[#This Row],[Member Type]]="Spouse",Table2[[#This Row],[Product Option]]="My Value Plus Life &amp; Funeral",_xlfn.XLOOKUP(B274,Table2[Main Member Link ID],Table2[Benefit Name],0)=Lookups!$D$15),"",
IF(AND(Table2[[#This Row],[Member Type]]="Spouse",Table2[[#This Row],[Product Option]]="My Value Plus Life &amp; Funeral",_xlfn.XLOOKUP(B274,Table2[Main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Funeral",_xlfn.XLOOKUP(B275,Table2[Main Member Link ID],Table2[Benefit Name],0)&lt;&gt;Lookups!$D$15),
IF(_xlfn.XLOOKUP(B275,Table2[Main Member Link ID],Table2[Benefit Name],0)=0,"",_xlfn.XLOOKUP(B275,Table2[Main Member Link ID],Table2[Benefit Name],0)),"")
))))))</f>
        <v/>
      </c>
      <c r="AG275" s="327" t="str">
        <f>IF(AND(Table2[[#This Row],[Member Type]]="Main Member",Table2[[#This Row],[Product Option]]="My Value Plus Life &amp; Funeral"),Lookups!$D$16,
IF(AND(Table2[[#This Row],[Member Type]]="Spouse",Table2[[#This Row],[Product Option]]="My Value Plus Life &amp; Funeral",_xlfn.XLOOKUP(B275,Table2[Main Member Link ID],Table2[Benefit Name],0)=Lookups!$D$14),"",
IF(AND(Table2[[#This Row],[Member Type]]="Spouse",Table2[[#This Row],[Product Option]]="My Value Plus Life &amp; Funeral",_xlfn.XLOOKUP(B274,Table2[Main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Funeral",_xlfn.XLOOKUP(B275,Table2[Main Member Link ID],Table2[Benefit Name],0)&lt;&gt;Lookups!$D$16),
IF(_xlfn.XLOOKUP(B275,Table2[Main Member Link ID],Table2[Benefit Name],0)=0,"",_xlfn.XLOOKUP(B275,Table2[Main Member Link ID],Table2[Benefit Name],0)),"")
))))</f>
        <v/>
      </c>
      <c r="AH275" s="327" t="str">
        <f>IF(AND(Table2[[#This Row],[Member Type]]="Main Member",Table2[[#This Row],[Product Option]]="My Value Plus Life &amp; Funeral"),Lookups!$D$17,
IF(AND(Table2[[#This Row],[Member Type]]="Spouse",Table2[[#This Row],[Product Option]]="My Value Plus Life &amp; Funeral",_xlfn.XLOOKUP(B275,Table2[Main Member Link ID],Table2[Benefit Name],0)=Lookups!$D$14),"",
IF(AND(Table2[[#This Row],[Member Type]]="Spouse",Table2[[#This Row],[Product Option]]="My Value Plus Life &amp; Funeral",_xlfn.XLOOKUP(B274,Table2[Main Member Link ID],Table2[Benefit Name],0)=Lookups!$D$16),"",
IF(AND(Table2[[#This Row],[Member Type]]="Child",Table2[[#This Row],[Product Option]]="My Value Plus Life &amp; Funeral"),"",
IF(AND(Table2[[#This Row],[Member Type]]="Child",Table2[[#This Row],[Product Option]]="My Value Plus Life &amp; Funeral",_xlfn.XLOOKUP(B275,Table2[Main Member Link ID],Table2[Benefit Name],0)=Lookups!$D$15),"",
IF(AND(OR(Table2[[#This Row],[Member Type]]="Spouse",Table2[[#This Row],[Member Type]]="Child"),Table2[[#This Row],[Product Option]]="My Value Plus Life &amp; Funeral",_xlfn.XLOOKUP(B275,Table2[Main Member Link ID],Table2[Benefit Name],0)&lt;&gt;Lookups!$D$17),
IF(_xlfn.XLOOKUP(B275,Table2[Main Member Link ID],Table2[Benefit Name],0)=0,"",_xlfn.XLOOKUP(B275,Table2[Main Member Link ID],Table2[Benefit Name],0)),""))))))</f>
        <v/>
      </c>
      <c r="AI275" s="328" t="str">
        <f>IF(AND(Table2[[#This Row],[Member Type]]="Main Member",Table2[[#This Row],[Table Lookup for Life Cover]]="MM_LIFE",Table2[[#This Row],[Age Next Birthday]]&lt;56),1,
IF(AND(Table2[[#This Row],[Member Type]]="Main Member",Table2[[#This Row],[Table Lookup for Life Cover]]="MM_LIFE",Table2[[#This Row],[Age Next Birthday]]&gt;=56),2,
""))</f>
        <v/>
      </c>
      <c r="AJ275" s="328">
        <f>IF(OR(Table2[[#This Row],[Member Type]]="Main Member",Table2[[#This Row],[Main Member Link ID]]=B274),1,0)</f>
        <v>1</v>
      </c>
      <c r="AK275" s="328">
        <f>IF(Table2[[#This Row],[Member Type]]=0,0,
IF(OR(Table2[[#This Row],[Member Type]]="Main Member",Table2[[#This Row],[Main Member Link ID]]&lt;&gt;B275),COUNTIFS(B:B,Table2[[#This Row],[Main Member Link ID]]),
COUNTIFS(B:B,Table2[[#This Row],[Main Member Link ID]],A:A,Table2[[#This Row],[Member Type]])))</f>
        <v>0</v>
      </c>
    </row>
    <row r="276" spans="1:37" x14ac:dyDescent="0.3">
      <c r="A276" s="284">
        <f>Table13[[#This Row],[Member Type]]</f>
        <v>0</v>
      </c>
      <c r="B276" s="284">
        <f>Table13[[#This Row],[Main Member Link ID]]</f>
        <v>0</v>
      </c>
      <c r="C276" s="284">
        <f>Table13[[#This Row],[ID Number]]</f>
        <v>0</v>
      </c>
      <c r="D276" s="285">
        <f>Table13[[#This Row],[Date Of Birth]]</f>
        <v>0</v>
      </c>
      <c r="E276" s="285">
        <f>Table13[[#This Row],[Commencement Date]]</f>
        <v>0</v>
      </c>
      <c r="F276" s="284">
        <f t="shared" si="28"/>
        <v>1</v>
      </c>
      <c r="G276" s="284">
        <f t="shared" si="29"/>
        <v>25</v>
      </c>
      <c r="H276" s="286">
        <f>Table13[[#This Row],[Product Option]]</f>
        <v>0</v>
      </c>
      <c r="I276" s="284">
        <f>IF(AND($A276="Main Member",Table2[[#This Row],[Product Option]]="My Value Plus Life"),"MM_LIFE",
IF(AND($A276="Spouse",Table2[[#This Row],[Product Option]]="My Value Plus Life"),"SP_LIFE",
IF(AND($A276="Main Member",Table2[[#This Row],[Product Option]]="My Value Plus Life &amp; Funeral"),"MM_LIFE",
IF(AND($A276="Spouse",Table2[[#This Row],[Product Option]]="My Value Plus Life &amp; Funeral"),_xlfn.XLOOKUP(Table2[[#This Row],[Benefit Name]],Lookups!$D$18:$D$23,Lookups!$E$18:$E$23,0),
0))))</f>
        <v>0</v>
      </c>
      <c r="J276" s="284">
        <f>IF($I276="","",
IF($I276="MM_LIFE",INDEX('Quotation Tool'!$S$54:$V$60,MATCH($T276,'Quotation Tool'!$S$54:$S$60,0),4),
IF($I276="SP_LIFE",_xlfn.XLOOKUP(B275,$B:$B,$J:$J,0),0)))</f>
        <v>0</v>
      </c>
      <c r="K276" s="287">
        <f t="shared" ca="1" si="33"/>
        <v>0</v>
      </c>
      <c r="L276" s="288">
        <f t="shared" ca="1" si="34"/>
        <v>0</v>
      </c>
      <c r="M276" s="289">
        <f t="shared" ca="1" si="30"/>
        <v>0</v>
      </c>
      <c r="N276" s="286">
        <f>Table13[[#This Row],[Benefit Option]]</f>
        <v>0</v>
      </c>
      <c r="O276" s="284">
        <f>IF(OR(Table2[[#This Row],[Member Type]]="Spouse",Table2[[#This Row],[Member Type]]="Child"),0,
IF(_xlfn.XLOOKUP($N276,Lookups!$D$13:$D$27,Lookups!$F$13:$F$27,0)=Table2[[#This Row],[Table Lookup for Life Cover]],0,
_xlfn.XLOOKUP($N276,Lookups!$D$13:$D$27,Lookups!$F$13:$F$27,0)))</f>
        <v>0</v>
      </c>
      <c r="P276" s="284">
        <f>IF(Table2[[#This Row],[Table Lookup for Funeral]]=0,0,IFERROR(INDEX('Quotation Tool'!$S$54:$V$60,MATCH($T276,'Quotation Tool'!$S$54:$S$60,0),3),0))</f>
        <v>0</v>
      </c>
      <c r="Q276" s="288">
        <f ca="1">IF(OR(Table2[[#This Row],[Benefit Name]]="My Value Plus Life - Main Member",Table2[[#This Row],[Benefit Name]]="My Value Plus Life - Spouse"),0,
IFERROR(VLOOKUP($G276,INDIRECT($O276),$P276,FALSE),0))</f>
        <v>0</v>
      </c>
      <c r="R276" s="288">
        <f ca="1">IF(OR(Table2[[#This Row],[Benefit Name]]="My Value Plus Life - Main Member",Table2[[#This Row],[Benefit Name]]="My Value Plus Life - Spouse"),0,
IFERROR(VLOOKUP($G276,INDIRECT($O276),$P276+1,FALSE),0))</f>
        <v>0</v>
      </c>
      <c r="S276" s="289">
        <f t="shared" ca="1" si="31"/>
        <v>0</v>
      </c>
      <c r="T276" s="284" t="str">
        <f>IF(Table13[[#This Row],[Premium Waiver]]="","None",Table13[[#This Row],[Premium Waiver]])</f>
        <v>None</v>
      </c>
      <c r="U276" s="284">
        <f>Table13[[#This Row],[VAPs Options]]</f>
        <v>0</v>
      </c>
      <c r="V276" s="284">
        <f>Table13[[#This Row],[Annual Increase Option]]</f>
        <v>0</v>
      </c>
      <c r="W276" s="290">
        <f>Table13[[#This Row],[Life Cover Amount]]</f>
        <v>0</v>
      </c>
      <c r="X276" s="290">
        <f>Table13[[#This Row],[Funeral Cover Amount]]</f>
        <v>0</v>
      </c>
      <c r="Y27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7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76" s="301">
        <f t="shared" ca="1" si="32"/>
        <v>0</v>
      </c>
      <c r="AB276" s="298"/>
      <c r="AC276" s="326" t="str">
        <f>IF(Table2[[#This Row],[Member Type]]="Main Member",Lookups!$C$13,
IF(Table2[[#This Row],[Member Type]]="Spouse",_xlfn.XLOOKUP(B276,Table2[Main Member Link ID],Table2[Product Option],0),
IF(AND(Table2[[#This Row],[Member Type]]="Child",_xlfn.XLOOKUP(B276,Table2[Main Member Link ID],Table2[Product Option],0)&lt;&gt;"My Value Plus Life"),Lookups!$C$24,
IF(AND(OR(Table2[[#This Row],[Member Type]]="Parent",Table2[[#This Row],[Member Type]]="Extended"),_xlfn.XLOOKUP(B276,Table2[Main Member Link ID],Table2[Product Option],0)&lt;&gt;"My Value Plus Life"),Lookups!$C$26,""))))</f>
        <v/>
      </c>
      <c r="AD276" s="326" t="str">
        <f>IF(Table2[[#This Row],[Member Type]]="Main Member",Lookups!$C$14,"")</f>
        <v/>
      </c>
      <c r="AE27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Funeral",_xlfn.XLOOKUP(B276,Table2[Main Member Link ID],Table2[Benefit Name],0)=Lookups!$D$14),"",
IF(AND(Table2[[#This Row],[Member Type]]="Spouse",Table2[[#This Row],[Product Option]]="My Value Plus Life &amp; Funeral",_xlfn.XLOOKUP(B275,Table2[Main Member Link ID],Table2[Benefit Name],0)=Lookups!$D$15),Lookups!$D$20,
IF(AND(Table2[[#This Row],[Member Type]]="Spouse",Table2[[#This Row],[Product Option]]="My Value Plus Life &amp; Funeral",_xlfn.XLOOKUP(B275,Table2[Main Member Link ID],Table2[Benefit Name],0)=Lookups!$D$16),"",
IF(AND(Table2[[#This Row],[Member Type]]="Spouse",Table2[[#This Row],[Product Option]]="My Value Plus Life &amp; Funeral",_xlfn.XLOOKUP(B275,Table2[Main Member Link ID],Table2[Benefit Name],0)=Lookups!$D$17),Lookups!$D$21,
IF(AND(Table2[[#This Row],[Member Type]]="Child",Table2[[#This Row],[Product Option]]="My Value Plus Life &amp; Funeral",_xlfn.XLOOKUP(B276,Table2[Main Member Link ID],Table2[Benefit Name],0)=Lookups!$D$14),"",
IF(AND(Table2[[#This Row],[Member Type]]="Child",Table2[[#This Row],[Product Option]]="My Value Plus Life &amp; Funeral",_xlfn.XLOOKUP(B276,Table2[Main Member Link ID],Table2[Benefit Name],0)=Lookups!$D$15),"",
IF(AND(Table2[[#This Row],[Member Type]]="Child",Table2[[#This Row],[Product Option]]="My Value Plus Life &amp; Funeral",_xlfn.XLOOKUP(B276,Table2[Main Member Link ID],Table2[Benefit Name],0)=Lookups!$D$16),Lookups!$D$24,
IF(AND(Table2[[#This Row],[Member Type]]="Child",Table2[[#This Row],[Product Option]]="My Value Plus Life &amp; Funeral",_xlfn.XLOOKUP(B276,Table2[Main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Funeral",_xlfn.XLOOKUP(B276,Table2[Main Member Link ID],Table2[Benefit Name],0)&lt;&gt;Lookups!$D$14),
IF(_xlfn.XLOOKUP(B276,Table2[Main Member Link ID],Table2[Benefit Name],0)=0,"",_xlfn.XLOOKUP(B276,Table2[Main Member Link ID],Table2[Benefit Name],0)),"")))))))))))))))</f>
        <v/>
      </c>
      <c r="AF276" s="327" t="str">
        <f>IF(AND(Table2[[#This Row],[Member Type]]="Main Member",Table2[[#This Row],[Product Option]]="My Value Plus Life &amp; Funeral"),Lookups!$D$15,
IF(AND(Table2[[#This Row],[Member Type]]="Spouse",Table2[[#This Row],[Product Option]]="My Value Plus Life &amp; Funeral",_xlfn.XLOOKUP(B276,Table2[Main Member Link ID],Table2[Benefit Name],0)=Lookups!$D$14),"",
IF(AND(Table2[[#This Row],[Member Type]]="Spouse",Table2[[#This Row],[Product Option]]="My Value Plus Life &amp; Funeral",_xlfn.XLOOKUP(B275,Table2[Main Member Link ID],Table2[Benefit Name],0)=Lookups!$D$16),"",
IF(AND(Table2[[#This Row],[Member Type]]="Spouse",Table2[[#This Row],[Product Option]]="My Value Plus Life &amp; Funeral",_xlfn.XLOOKUP(B275,Table2[Main Member Link ID],Table2[Benefit Name],0)=Lookups!$D$15),"",
IF(AND(Table2[[#This Row],[Member Type]]="Spouse",Table2[[#This Row],[Product Option]]="My Value Plus Life &amp; Funeral",_xlfn.XLOOKUP(B275,Table2[Main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Funeral",_xlfn.XLOOKUP(B276,Table2[Main Member Link ID],Table2[Benefit Name],0)&lt;&gt;Lookups!$D$15),
IF(_xlfn.XLOOKUP(B276,Table2[Main Member Link ID],Table2[Benefit Name],0)=0,"",_xlfn.XLOOKUP(B276,Table2[Main Member Link ID],Table2[Benefit Name],0)),"")
))))))</f>
        <v/>
      </c>
      <c r="AG276" s="327" t="str">
        <f>IF(AND(Table2[[#This Row],[Member Type]]="Main Member",Table2[[#This Row],[Product Option]]="My Value Plus Life &amp; Funeral"),Lookups!$D$16,
IF(AND(Table2[[#This Row],[Member Type]]="Spouse",Table2[[#This Row],[Product Option]]="My Value Plus Life &amp; Funeral",_xlfn.XLOOKUP(B276,Table2[Main Member Link ID],Table2[Benefit Name],0)=Lookups!$D$14),"",
IF(AND(Table2[[#This Row],[Member Type]]="Spouse",Table2[[#This Row],[Product Option]]="My Value Plus Life &amp; Funeral",_xlfn.XLOOKUP(B275,Table2[Main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Funeral",_xlfn.XLOOKUP(B276,Table2[Main Member Link ID],Table2[Benefit Name],0)&lt;&gt;Lookups!$D$16),
IF(_xlfn.XLOOKUP(B276,Table2[Main Member Link ID],Table2[Benefit Name],0)=0,"",_xlfn.XLOOKUP(B276,Table2[Main Member Link ID],Table2[Benefit Name],0)),"")
))))</f>
        <v/>
      </c>
      <c r="AH276" s="327" t="str">
        <f>IF(AND(Table2[[#This Row],[Member Type]]="Main Member",Table2[[#This Row],[Product Option]]="My Value Plus Life &amp; Funeral"),Lookups!$D$17,
IF(AND(Table2[[#This Row],[Member Type]]="Spouse",Table2[[#This Row],[Product Option]]="My Value Plus Life &amp; Funeral",_xlfn.XLOOKUP(B276,Table2[Main Member Link ID],Table2[Benefit Name],0)=Lookups!$D$14),"",
IF(AND(Table2[[#This Row],[Member Type]]="Spouse",Table2[[#This Row],[Product Option]]="My Value Plus Life &amp; Funeral",_xlfn.XLOOKUP(B275,Table2[Main Member Link ID],Table2[Benefit Name],0)=Lookups!$D$16),"",
IF(AND(Table2[[#This Row],[Member Type]]="Child",Table2[[#This Row],[Product Option]]="My Value Plus Life &amp; Funeral"),"",
IF(AND(Table2[[#This Row],[Member Type]]="Child",Table2[[#This Row],[Product Option]]="My Value Plus Life &amp; Funeral",_xlfn.XLOOKUP(B276,Table2[Main Member Link ID],Table2[Benefit Name],0)=Lookups!$D$15),"",
IF(AND(OR(Table2[[#This Row],[Member Type]]="Spouse",Table2[[#This Row],[Member Type]]="Child"),Table2[[#This Row],[Product Option]]="My Value Plus Life &amp; Funeral",_xlfn.XLOOKUP(B276,Table2[Main Member Link ID],Table2[Benefit Name],0)&lt;&gt;Lookups!$D$17),
IF(_xlfn.XLOOKUP(B276,Table2[Main Member Link ID],Table2[Benefit Name],0)=0,"",_xlfn.XLOOKUP(B276,Table2[Main Member Link ID],Table2[Benefit Name],0)),""))))))</f>
        <v/>
      </c>
      <c r="AI276" s="328" t="str">
        <f>IF(AND(Table2[[#This Row],[Member Type]]="Main Member",Table2[[#This Row],[Table Lookup for Life Cover]]="MM_LIFE",Table2[[#This Row],[Age Next Birthday]]&lt;56),1,
IF(AND(Table2[[#This Row],[Member Type]]="Main Member",Table2[[#This Row],[Table Lookup for Life Cover]]="MM_LIFE",Table2[[#This Row],[Age Next Birthday]]&gt;=56),2,
""))</f>
        <v/>
      </c>
      <c r="AJ276" s="328">
        <f>IF(OR(Table2[[#This Row],[Member Type]]="Main Member",Table2[[#This Row],[Main Member Link ID]]=B275),1,0)</f>
        <v>1</v>
      </c>
      <c r="AK276" s="328">
        <f>IF(Table2[[#This Row],[Member Type]]=0,0,
IF(OR(Table2[[#This Row],[Member Type]]="Main Member",Table2[[#This Row],[Main Member Link ID]]&lt;&gt;B276),COUNTIFS(B:B,Table2[[#This Row],[Main Member Link ID]]),
COUNTIFS(B:B,Table2[[#This Row],[Main Member Link ID]],A:A,Table2[[#This Row],[Member Type]])))</f>
        <v>0</v>
      </c>
    </row>
    <row r="277" spans="1:37" x14ac:dyDescent="0.3">
      <c r="A277" s="284">
        <f>Table13[[#This Row],[Member Type]]</f>
        <v>0</v>
      </c>
      <c r="B277" s="284">
        <f>Table13[[#This Row],[Main Member Link ID]]</f>
        <v>0</v>
      </c>
      <c r="C277" s="284">
        <f>Table13[[#This Row],[ID Number]]</f>
        <v>0</v>
      </c>
      <c r="D277" s="285">
        <f>Table13[[#This Row],[Date Of Birth]]</f>
        <v>0</v>
      </c>
      <c r="E277" s="285">
        <f>Table13[[#This Row],[Commencement Date]]</f>
        <v>0</v>
      </c>
      <c r="F277" s="284">
        <f t="shared" si="28"/>
        <v>1</v>
      </c>
      <c r="G277" s="284">
        <f t="shared" si="29"/>
        <v>25</v>
      </c>
      <c r="H277" s="286">
        <f>Table13[[#This Row],[Product Option]]</f>
        <v>0</v>
      </c>
      <c r="I277" s="284">
        <f>IF(AND($A277="Main Member",Table2[[#This Row],[Product Option]]="My Value Plus Life"),"MM_LIFE",
IF(AND($A277="Spouse",Table2[[#This Row],[Product Option]]="My Value Plus Life"),"SP_LIFE",
IF(AND($A277="Main Member",Table2[[#This Row],[Product Option]]="My Value Plus Life &amp; Funeral"),"MM_LIFE",
IF(AND($A277="Spouse",Table2[[#This Row],[Product Option]]="My Value Plus Life &amp; Funeral"),_xlfn.XLOOKUP(Table2[[#This Row],[Benefit Name]],Lookups!$D$18:$D$23,Lookups!$E$18:$E$23,0),
0))))</f>
        <v>0</v>
      </c>
      <c r="J277" s="284">
        <f>IF($I277="","",
IF($I277="MM_LIFE",INDEX('Quotation Tool'!$S$54:$V$60,MATCH($T277,'Quotation Tool'!$S$54:$S$60,0),4),
IF($I277="SP_LIFE",_xlfn.XLOOKUP(B276,$B:$B,$J:$J,0),0)))</f>
        <v>0</v>
      </c>
      <c r="K277" s="287">
        <f t="shared" ca="1" si="33"/>
        <v>0</v>
      </c>
      <c r="L277" s="288">
        <f t="shared" ca="1" si="34"/>
        <v>0</v>
      </c>
      <c r="M277" s="289">
        <f t="shared" ca="1" si="30"/>
        <v>0</v>
      </c>
      <c r="N277" s="286">
        <f>Table13[[#This Row],[Benefit Option]]</f>
        <v>0</v>
      </c>
      <c r="O277" s="284">
        <f>IF(OR(Table2[[#This Row],[Member Type]]="Spouse",Table2[[#This Row],[Member Type]]="Child"),0,
IF(_xlfn.XLOOKUP($N277,Lookups!$D$13:$D$27,Lookups!$F$13:$F$27,0)=Table2[[#This Row],[Table Lookup for Life Cover]],0,
_xlfn.XLOOKUP($N277,Lookups!$D$13:$D$27,Lookups!$F$13:$F$27,0)))</f>
        <v>0</v>
      </c>
      <c r="P277" s="284">
        <f>IF(Table2[[#This Row],[Table Lookup for Funeral]]=0,0,IFERROR(INDEX('Quotation Tool'!$S$54:$V$60,MATCH($T277,'Quotation Tool'!$S$54:$S$60,0),3),0))</f>
        <v>0</v>
      </c>
      <c r="Q277" s="288">
        <f ca="1">IF(OR(Table2[[#This Row],[Benefit Name]]="My Value Plus Life - Main Member",Table2[[#This Row],[Benefit Name]]="My Value Plus Life - Spouse"),0,
IFERROR(VLOOKUP($G277,INDIRECT($O277),$P277,FALSE),0))</f>
        <v>0</v>
      </c>
      <c r="R277" s="288">
        <f ca="1">IF(OR(Table2[[#This Row],[Benefit Name]]="My Value Plus Life - Main Member",Table2[[#This Row],[Benefit Name]]="My Value Plus Life - Spouse"),0,
IFERROR(VLOOKUP($G277,INDIRECT($O277),$P277+1,FALSE),0))</f>
        <v>0</v>
      </c>
      <c r="S277" s="289">
        <f t="shared" ca="1" si="31"/>
        <v>0</v>
      </c>
      <c r="T277" s="284" t="str">
        <f>IF(Table13[[#This Row],[Premium Waiver]]="","None",Table13[[#This Row],[Premium Waiver]])</f>
        <v>None</v>
      </c>
      <c r="U277" s="284">
        <f>Table13[[#This Row],[VAPs Options]]</f>
        <v>0</v>
      </c>
      <c r="V277" s="284">
        <f>Table13[[#This Row],[Annual Increase Option]]</f>
        <v>0</v>
      </c>
      <c r="W277" s="290">
        <f>Table13[[#This Row],[Life Cover Amount]]</f>
        <v>0</v>
      </c>
      <c r="X277" s="290">
        <f>Table13[[#This Row],[Funeral Cover Amount]]</f>
        <v>0</v>
      </c>
      <c r="Y27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7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77" s="301">
        <f t="shared" ca="1" si="32"/>
        <v>0</v>
      </c>
      <c r="AB277" s="298"/>
      <c r="AC277" s="326" t="str">
        <f>IF(Table2[[#This Row],[Member Type]]="Main Member",Lookups!$C$13,
IF(Table2[[#This Row],[Member Type]]="Spouse",_xlfn.XLOOKUP(B277,Table2[Main Member Link ID],Table2[Product Option],0),
IF(AND(Table2[[#This Row],[Member Type]]="Child",_xlfn.XLOOKUP(B277,Table2[Main Member Link ID],Table2[Product Option],0)&lt;&gt;"My Value Plus Life"),Lookups!$C$24,
IF(AND(OR(Table2[[#This Row],[Member Type]]="Parent",Table2[[#This Row],[Member Type]]="Extended"),_xlfn.XLOOKUP(B277,Table2[Main Member Link ID],Table2[Product Option],0)&lt;&gt;"My Value Plus Life"),Lookups!$C$26,""))))</f>
        <v/>
      </c>
      <c r="AD277" s="326" t="str">
        <f>IF(Table2[[#This Row],[Member Type]]="Main Member",Lookups!$C$14,"")</f>
        <v/>
      </c>
      <c r="AE27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Funeral",_xlfn.XLOOKUP(B277,Table2[Main Member Link ID],Table2[Benefit Name],0)=Lookups!$D$14),"",
IF(AND(Table2[[#This Row],[Member Type]]="Spouse",Table2[[#This Row],[Product Option]]="My Value Plus Life &amp; Funeral",_xlfn.XLOOKUP(B276,Table2[Main Member Link ID],Table2[Benefit Name],0)=Lookups!$D$15),Lookups!$D$20,
IF(AND(Table2[[#This Row],[Member Type]]="Spouse",Table2[[#This Row],[Product Option]]="My Value Plus Life &amp; Funeral",_xlfn.XLOOKUP(B276,Table2[Main Member Link ID],Table2[Benefit Name],0)=Lookups!$D$16),"",
IF(AND(Table2[[#This Row],[Member Type]]="Spouse",Table2[[#This Row],[Product Option]]="My Value Plus Life &amp; Funeral",_xlfn.XLOOKUP(B276,Table2[Main Member Link ID],Table2[Benefit Name],0)=Lookups!$D$17),Lookups!$D$21,
IF(AND(Table2[[#This Row],[Member Type]]="Child",Table2[[#This Row],[Product Option]]="My Value Plus Life &amp; Funeral",_xlfn.XLOOKUP(B277,Table2[Main Member Link ID],Table2[Benefit Name],0)=Lookups!$D$14),"",
IF(AND(Table2[[#This Row],[Member Type]]="Child",Table2[[#This Row],[Product Option]]="My Value Plus Life &amp; Funeral",_xlfn.XLOOKUP(B277,Table2[Main Member Link ID],Table2[Benefit Name],0)=Lookups!$D$15),"",
IF(AND(Table2[[#This Row],[Member Type]]="Child",Table2[[#This Row],[Product Option]]="My Value Plus Life &amp; Funeral",_xlfn.XLOOKUP(B277,Table2[Main Member Link ID],Table2[Benefit Name],0)=Lookups!$D$16),Lookups!$D$24,
IF(AND(Table2[[#This Row],[Member Type]]="Child",Table2[[#This Row],[Product Option]]="My Value Plus Life &amp; Funeral",_xlfn.XLOOKUP(B277,Table2[Main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Funeral",_xlfn.XLOOKUP(B277,Table2[Main Member Link ID],Table2[Benefit Name],0)&lt;&gt;Lookups!$D$14),
IF(_xlfn.XLOOKUP(B277,Table2[Main Member Link ID],Table2[Benefit Name],0)=0,"",_xlfn.XLOOKUP(B277,Table2[Main Member Link ID],Table2[Benefit Name],0)),"")))))))))))))))</f>
        <v/>
      </c>
      <c r="AF277" s="327" t="str">
        <f>IF(AND(Table2[[#This Row],[Member Type]]="Main Member",Table2[[#This Row],[Product Option]]="My Value Plus Life &amp; Funeral"),Lookups!$D$15,
IF(AND(Table2[[#This Row],[Member Type]]="Spouse",Table2[[#This Row],[Product Option]]="My Value Plus Life &amp; Funeral",_xlfn.XLOOKUP(B277,Table2[Main Member Link ID],Table2[Benefit Name],0)=Lookups!$D$14),"",
IF(AND(Table2[[#This Row],[Member Type]]="Spouse",Table2[[#This Row],[Product Option]]="My Value Plus Life &amp; Funeral",_xlfn.XLOOKUP(B276,Table2[Main Member Link ID],Table2[Benefit Name],0)=Lookups!$D$16),"",
IF(AND(Table2[[#This Row],[Member Type]]="Spouse",Table2[[#This Row],[Product Option]]="My Value Plus Life &amp; Funeral",_xlfn.XLOOKUP(B276,Table2[Main Member Link ID],Table2[Benefit Name],0)=Lookups!$D$15),"",
IF(AND(Table2[[#This Row],[Member Type]]="Spouse",Table2[[#This Row],[Product Option]]="My Value Plus Life &amp; Funeral",_xlfn.XLOOKUP(B276,Table2[Main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Funeral",_xlfn.XLOOKUP(B277,Table2[Main Member Link ID],Table2[Benefit Name],0)&lt;&gt;Lookups!$D$15),
IF(_xlfn.XLOOKUP(B277,Table2[Main Member Link ID],Table2[Benefit Name],0)=0,"",_xlfn.XLOOKUP(B277,Table2[Main Member Link ID],Table2[Benefit Name],0)),"")
))))))</f>
        <v/>
      </c>
      <c r="AG277" s="327" t="str">
        <f>IF(AND(Table2[[#This Row],[Member Type]]="Main Member",Table2[[#This Row],[Product Option]]="My Value Plus Life &amp; Funeral"),Lookups!$D$16,
IF(AND(Table2[[#This Row],[Member Type]]="Spouse",Table2[[#This Row],[Product Option]]="My Value Plus Life &amp; Funeral",_xlfn.XLOOKUP(B277,Table2[Main Member Link ID],Table2[Benefit Name],0)=Lookups!$D$14),"",
IF(AND(Table2[[#This Row],[Member Type]]="Spouse",Table2[[#This Row],[Product Option]]="My Value Plus Life &amp; Funeral",_xlfn.XLOOKUP(B276,Table2[Main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Funeral",_xlfn.XLOOKUP(B277,Table2[Main Member Link ID],Table2[Benefit Name],0)&lt;&gt;Lookups!$D$16),
IF(_xlfn.XLOOKUP(B277,Table2[Main Member Link ID],Table2[Benefit Name],0)=0,"",_xlfn.XLOOKUP(B277,Table2[Main Member Link ID],Table2[Benefit Name],0)),"")
))))</f>
        <v/>
      </c>
      <c r="AH277" s="327" t="str">
        <f>IF(AND(Table2[[#This Row],[Member Type]]="Main Member",Table2[[#This Row],[Product Option]]="My Value Plus Life &amp; Funeral"),Lookups!$D$17,
IF(AND(Table2[[#This Row],[Member Type]]="Spouse",Table2[[#This Row],[Product Option]]="My Value Plus Life &amp; Funeral",_xlfn.XLOOKUP(B277,Table2[Main Member Link ID],Table2[Benefit Name],0)=Lookups!$D$14),"",
IF(AND(Table2[[#This Row],[Member Type]]="Spouse",Table2[[#This Row],[Product Option]]="My Value Plus Life &amp; Funeral",_xlfn.XLOOKUP(B276,Table2[Main Member Link ID],Table2[Benefit Name],0)=Lookups!$D$16),"",
IF(AND(Table2[[#This Row],[Member Type]]="Child",Table2[[#This Row],[Product Option]]="My Value Plus Life &amp; Funeral"),"",
IF(AND(Table2[[#This Row],[Member Type]]="Child",Table2[[#This Row],[Product Option]]="My Value Plus Life &amp; Funeral",_xlfn.XLOOKUP(B277,Table2[Main Member Link ID],Table2[Benefit Name],0)=Lookups!$D$15),"",
IF(AND(OR(Table2[[#This Row],[Member Type]]="Spouse",Table2[[#This Row],[Member Type]]="Child"),Table2[[#This Row],[Product Option]]="My Value Plus Life &amp; Funeral",_xlfn.XLOOKUP(B277,Table2[Main Member Link ID],Table2[Benefit Name],0)&lt;&gt;Lookups!$D$17),
IF(_xlfn.XLOOKUP(B277,Table2[Main Member Link ID],Table2[Benefit Name],0)=0,"",_xlfn.XLOOKUP(B277,Table2[Main Member Link ID],Table2[Benefit Name],0)),""))))))</f>
        <v/>
      </c>
      <c r="AI277" s="328" t="str">
        <f>IF(AND(Table2[[#This Row],[Member Type]]="Main Member",Table2[[#This Row],[Table Lookup for Life Cover]]="MM_LIFE",Table2[[#This Row],[Age Next Birthday]]&lt;56),1,
IF(AND(Table2[[#This Row],[Member Type]]="Main Member",Table2[[#This Row],[Table Lookup for Life Cover]]="MM_LIFE",Table2[[#This Row],[Age Next Birthday]]&gt;=56),2,
""))</f>
        <v/>
      </c>
      <c r="AJ277" s="328">
        <f>IF(OR(Table2[[#This Row],[Member Type]]="Main Member",Table2[[#This Row],[Main Member Link ID]]=B276),1,0)</f>
        <v>1</v>
      </c>
      <c r="AK277" s="328">
        <f>IF(Table2[[#This Row],[Member Type]]=0,0,
IF(OR(Table2[[#This Row],[Member Type]]="Main Member",Table2[[#This Row],[Main Member Link ID]]&lt;&gt;B277),COUNTIFS(B:B,Table2[[#This Row],[Main Member Link ID]]),
COUNTIFS(B:B,Table2[[#This Row],[Main Member Link ID]],A:A,Table2[[#This Row],[Member Type]])))</f>
        <v>0</v>
      </c>
    </row>
    <row r="278" spans="1:37" x14ac:dyDescent="0.3">
      <c r="A278" s="284">
        <f>Table13[[#This Row],[Member Type]]</f>
        <v>0</v>
      </c>
      <c r="B278" s="284">
        <f>Table13[[#This Row],[Main Member Link ID]]</f>
        <v>0</v>
      </c>
      <c r="C278" s="284">
        <f>Table13[[#This Row],[ID Number]]</f>
        <v>0</v>
      </c>
      <c r="D278" s="285">
        <f>Table13[[#This Row],[Date Of Birth]]</f>
        <v>0</v>
      </c>
      <c r="E278" s="285">
        <f>Table13[[#This Row],[Commencement Date]]</f>
        <v>0</v>
      </c>
      <c r="F278" s="284">
        <f t="shared" si="28"/>
        <v>1</v>
      </c>
      <c r="G278" s="284">
        <f t="shared" si="29"/>
        <v>25</v>
      </c>
      <c r="H278" s="286">
        <f>Table13[[#This Row],[Product Option]]</f>
        <v>0</v>
      </c>
      <c r="I278" s="284">
        <f>IF(AND($A278="Main Member",Table2[[#This Row],[Product Option]]="My Value Plus Life"),"MM_LIFE",
IF(AND($A278="Spouse",Table2[[#This Row],[Product Option]]="My Value Plus Life"),"SP_LIFE",
IF(AND($A278="Main Member",Table2[[#This Row],[Product Option]]="My Value Plus Life &amp; Funeral"),"MM_LIFE",
IF(AND($A278="Spouse",Table2[[#This Row],[Product Option]]="My Value Plus Life &amp; Funeral"),_xlfn.XLOOKUP(Table2[[#This Row],[Benefit Name]],Lookups!$D$18:$D$23,Lookups!$E$18:$E$23,0),
0))))</f>
        <v>0</v>
      </c>
      <c r="J278" s="284">
        <f>IF($I278="","",
IF($I278="MM_LIFE",INDEX('Quotation Tool'!$S$54:$V$60,MATCH($T278,'Quotation Tool'!$S$54:$S$60,0),4),
IF($I278="SP_LIFE",_xlfn.XLOOKUP(B277,$B:$B,$J:$J,0),0)))</f>
        <v>0</v>
      </c>
      <c r="K278" s="287">
        <f t="shared" ca="1" si="33"/>
        <v>0</v>
      </c>
      <c r="L278" s="288">
        <f t="shared" ca="1" si="34"/>
        <v>0</v>
      </c>
      <c r="M278" s="289">
        <f t="shared" ca="1" si="30"/>
        <v>0</v>
      </c>
      <c r="N278" s="286">
        <f>Table13[[#This Row],[Benefit Option]]</f>
        <v>0</v>
      </c>
      <c r="O278" s="284">
        <f>IF(OR(Table2[[#This Row],[Member Type]]="Spouse",Table2[[#This Row],[Member Type]]="Child"),0,
IF(_xlfn.XLOOKUP($N278,Lookups!$D$13:$D$27,Lookups!$F$13:$F$27,0)=Table2[[#This Row],[Table Lookup for Life Cover]],0,
_xlfn.XLOOKUP($N278,Lookups!$D$13:$D$27,Lookups!$F$13:$F$27,0)))</f>
        <v>0</v>
      </c>
      <c r="P278" s="284">
        <f>IF(Table2[[#This Row],[Table Lookup for Funeral]]=0,0,IFERROR(INDEX('Quotation Tool'!$S$54:$V$60,MATCH($T278,'Quotation Tool'!$S$54:$S$60,0),3),0))</f>
        <v>0</v>
      </c>
      <c r="Q278" s="288">
        <f ca="1">IF(OR(Table2[[#This Row],[Benefit Name]]="My Value Plus Life - Main Member",Table2[[#This Row],[Benefit Name]]="My Value Plus Life - Spouse"),0,
IFERROR(VLOOKUP($G278,INDIRECT($O278),$P278,FALSE),0))</f>
        <v>0</v>
      </c>
      <c r="R278" s="288">
        <f ca="1">IF(OR(Table2[[#This Row],[Benefit Name]]="My Value Plus Life - Main Member",Table2[[#This Row],[Benefit Name]]="My Value Plus Life - Spouse"),0,
IFERROR(VLOOKUP($G278,INDIRECT($O278),$P278+1,FALSE),0))</f>
        <v>0</v>
      </c>
      <c r="S278" s="289">
        <f t="shared" ca="1" si="31"/>
        <v>0</v>
      </c>
      <c r="T278" s="284" t="str">
        <f>IF(Table13[[#This Row],[Premium Waiver]]="","None",Table13[[#This Row],[Premium Waiver]])</f>
        <v>None</v>
      </c>
      <c r="U278" s="284">
        <f>Table13[[#This Row],[VAPs Options]]</f>
        <v>0</v>
      </c>
      <c r="V278" s="284">
        <f>Table13[[#This Row],[Annual Increase Option]]</f>
        <v>0</v>
      </c>
      <c r="W278" s="290">
        <f>Table13[[#This Row],[Life Cover Amount]]</f>
        <v>0</v>
      </c>
      <c r="X278" s="290">
        <f>Table13[[#This Row],[Funeral Cover Amount]]</f>
        <v>0</v>
      </c>
      <c r="Y27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7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78" s="301">
        <f t="shared" ca="1" si="32"/>
        <v>0</v>
      </c>
      <c r="AB278" s="298"/>
      <c r="AC278" s="326" t="str">
        <f>IF(Table2[[#This Row],[Member Type]]="Main Member",Lookups!$C$13,
IF(Table2[[#This Row],[Member Type]]="Spouse",_xlfn.XLOOKUP(B278,Table2[Main Member Link ID],Table2[Product Option],0),
IF(AND(Table2[[#This Row],[Member Type]]="Child",_xlfn.XLOOKUP(B278,Table2[Main Member Link ID],Table2[Product Option],0)&lt;&gt;"My Value Plus Life"),Lookups!$C$24,
IF(AND(OR(Table2[[#This Row],[Member Type]]="Parent",Table2[[#This Row],[Member Type]]="Extended"),_xlfn.XLOOKUP(B278,Table2[Main Member Link ID],Table2[Product Option],0)&lt;&gt;"My Value Plus Life"),Lookups!$C$26,""))))</f>
        <v/>
      </c>
      <c r="AD278" s="326" t="str">
        <f>IF(Table2[[#This Row],[Member Type]]="Main Member",Lookups!$C$14,"")</f>
        <v/>
      </c>
      <c r="AE27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Funeral",_xlfn.XLOOKUP(B278,Table2[Main Member Link ID],Table2[Benefit Name],0)=Lookups!$D$14),"",
IF(AND(Table2[[#This Row],[Member Type]]="Spouse",Table2[[#This Row],[Product Option]]="My Value Plus Life &amp; Funeral",_xlfn.XLOOKUP(B277,Table2[Main Member Link ID],Table2[Benefit Name],0)=Lookups!$D$15),Lookups!$D$20,
IF(AND(Table2[[#This Row],[Member Type]]="Spouse",Table2[[#This Row],[Product Option]]="My Value Plus Life &amp; Funeral",_xlfn.XLOOKUP(B277,Table2[Main Member Link ID],Table2[Benefit Name],0)=Lookups!$D$16),"",
IF(AND(Table2[[#This Row],[Member Type]]="Spouse",Table2[[#This Row],[Product Option]]="My Value Plus Life &amp; Funeral",_xlfn.XLOOKUP(B277,Table2[Main Member Link ID],Table2[Benefit Name],0)=Lookups!$D$17),Lookups!$D$21,
IF(AND(Table2[[#This Row],[Member Type]]="Child",Table2[[#This Row],[Product Option]]="My Value Plus Life &amp; Funeral",_xlfn.XLOOKUP(B278,Table2[Main Member Link ID],Table2[Benefit Name],0)=Lookups!$D$14),"",
IF(AND(Table2[[#This Row],[Member Type]]="Child",Table2[[#This Row],[Product Option]]="My Value Plus Life &amp; Funeral",_xlfn.XLOOKUP(B278,Table2[Main Member Link ID],Table2[Benefit Name],0)=Lookups!$D$15),"",
IF(AND(Table2[[#This Row],[Member Type]]="Child",Table2[[#This Row],[Product Option]]="My Value Plus Life &amp; Funeral",_xlfn.XLOOKUP(B278,Table2[Main Member Link ID],Table2[Benefit Name],0)=Lookups!$D$16),Lookups!$D$24,
IF(AND(Table2[[#This Row],[Member Type]]="Child",Table2[[#This Row],[Product Option]]="My Value Plus Life &amp; Funeral",_xlfn.XLOOKUP(B278,Table2[Main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Funeral",_xlfn.XLOOKUP(B278,Table2[Main Member Link ID],Table2[Benefit Name],0)&lt;&gt;Lookups!$D$14),
IF(_xlfn.XLOOKUP(B278,Table2[Main Member Link ID],Table2[Benefit Name],0)=0,"",_xlfn.XLOOKUP(B278,Table2[Main Member Link ID],Table2[Benefit Name],0)),"")))))))))))))))</f>
        <v/>
      </c>
      <c r="AF278" s="327" t="str">
        <f>IF(AND(Table2[[#This Row],[Member Type]]="Main Member",Table2[[#This Row],[Product Option]]="My Value Plus Life &amp; Funeral"),Lookups!$D$15,
IF(AND(Table2[[#This Row],[Member Type]]="Spouse",Table2[[#This Row],[Product Option]]="My Value Plus Life &amp; Funeral",_xlfn.XLOOKUP(B278,Table2[Main Member Link ID],Table2[Benefit Name],0)=Lookups!$D$14),"",
IF(AND(Table2[[#This Row],[Member Type]]="Spouse",Table2[[#This Row],[Product Option]]="My Value Plus Life &amp; Funeral",_xlfn.XLOOKUP(B277,Table2[Main Member Link ID],Table2[Benefit Name],0)=Lookups!$D$16),"",
IF(AND(Table2[[#This Row],[Member Type]]="Spouse",Table2[[#This Row],[Product Option]]="My Value Plus Life &amp; Funeral",_xlfn.XLOOKUP(B277,Table2[Main Member Link ID],Table2[Benefit Name],0)=Lookups!$D$15),"",
IF(AND(Table2[[#This Row],[Member Type]]="Spouse",Table2[[#This Row],[Product Option]]="My Value Plus Life &amp; Funeral",_xlfn.XLOOKUP(B277,Table2[Main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Funeral",_xlfn.XLOOKUP(B278,Table2[Main Member Link ID],Table2[Benefit Name],0)&lt;&gt;Lookups!$D$15),
IF(_xlfn.XLOOKUP(B278,Table2[Main Member Link ID],Table2[Benefit Name],0)=0,"",_xlfn.XLOOKUP(B278,Table2[Main Member Link ID],Table2[Benefit Name],0)),"")
))))))</f>
        <v/>
      </c>
      <c r="AG278" s="327" t="str">
        <f>IF(AND(Table2[[#This Row],[Member Type]]="Main Member",Table2[[#This Row],[Product Option]]="My Value Plus Life &amp; Funeral"),Lookups!$D$16,
IF(AND(Table2[[#This Row],[Member Type]]="Spouse",Table2[[#This Row],[Product Option]]="My Value Plus Life &amp; Funeral",_xlfn.XLOOKUP(B278,Table2[Main Member Link ID],Table2[Benefit Name],0)=Lookups!$D$14),"",
IF(AND(Table2[[#This Row],[Member Type]]="Spouse",Table2[[#This Row],[Product Option]]="My Value Plus Life &amp; Funeral",_xlfn.XLOOKUP(B277,Table2[Main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Funeral",_xlfn.XLOOKUP(B278,Table2[Main Member Link ID],Table2[Benefit Name],0)&lt;&gt;Lookups!$D$16),
IF(_xlfn.XLOOKUP(B278,Table2[Main Member Link ID],Table2[Benefit Name],0)=0,"",_xlfn.XLOOKUP(B278,Table2[Main Member Link ID],Table2[Benefit Name],0)),"")
))))</f>
        <v/>
      </c>
      <c r="AH278" s="327" t="str">
        <f>IF(AND(Table2[[#This Row],[Member Type]]="Main Member",Table2[[#This Row],[Product Option]]="My Value Plus Life &amp; Funeral"),Lookups!$D$17,
IF(AND(Table2[[#This Row],[Member Type]]="Spouse",Table2[[#This Row],[Product Option]]="My Value Plus Life &amp; Funeral",_xlfn.XLOOKUP(B278,Table2[Main Member Link ID],Table2[Benefit Name],0)=Lookups!$D$14),"",
IF(AND(Table2[[#This Row],[Member Type]]="Spouse",Table2[[#This Row],[Product Option]]="My Value Plus Life &amp; Funeral",_xlfn.XLOOKUP(B277,Table2[Main Member Link ID],Table2[Benefit Name],0)=Lookups!$D$16),"",
IF(AND(Table2[[#This Row],[Member Type]]="Child",Table2[[#This Row],[Product Option]]="My Value Plus Life &amp; Funeral"),"",
IF(AND(Table2[[#This Row],[Member Type]]="Child",Table2[[#This Row],[Product Option]]="My Value Plus Life &amp; Funeral",_xlfn.XLOOKUP(B278,Table2[Main Member Link ID],Table2[Benefit Name],0)=Lookups!$D$15),"",
IF(AND(OR(Table2[[#This Row],[Member Type]]="Spouse",Table2[[#This Row],[Member Type]]="Child"),Table2[[#This Row],[Product Option]]="My Value Plus Life &amp; Funeral",_xlfn.XLOOKUP(B278,Table2[Main Member Link ID],Table2[Benefit Name],0)&lt;&gt;Lookups!$D$17),
IF(_xlfn.XLOOKUP(B278,Table2[Main Member Link ID],Table2[Benefit Name],0)=0,"",_xlfn.XLOOKUP(B278,Table2[Main Member Link ID],Table2[Benefit Name],0)),""))))))</f>
        <v/>
      </c>
      <c r="AI278" s="328" t="str">
        <f>IF(AND(Table2[[#This Row],[Member Type]]="Main Member",Table2[[#This Row],[Table Lookup for Life Cover]]="MM_LIFE",Table2[[#This Row],[Age Next Birthday]]&lt;56),1,
IF(AND(Table2[[#This Row],[Member Type]]="Main Member",Table2[[#This Row],[Table Lookup for Life Cover]]="MM_LIFE",Table2[[#This Row],[Age Next Birthday]]&gt;=56),2,
""))</f>
        <v/>
      </c>
      <c r="AJ278" s="328">
        <f>IF(OR(Table2[[#This Row],[Member Type]]="Main Member",Table2[[#This Row],[Main Member Link ID]]=B277),1,0)</f>
        <v>1</v>
      </c>
      <c r="AK278" s="328">
        <f>IF(Table2[[#This Row],[Member Type]]=0,0,
IF(OR(Table2[[#This Row],[Member Type]]="Main Member",Table2[[#This Row],[Main Member Link ID]]&lt;&gt;B278),COUNTIFS(B:B,Table2[[#This Row],[Main Member Link ID]]),
COUNTIFS(B:B,Table2[[#This Row],[Main Member Link ID]],A:A,Table2[[#This Row],[Member Type]])))</f>
        <v>0</v>
      </c>
    </row>
    <row r="279" spans="1:37" x14ac:dyDescent="0.3">
      <c r="A279" s="284">
        <f>Table13[[#This Row],[Member Type]]</f>
        <v>0</v>
      </c>
      <c r="B279" s="284">
        <f>Table13[[#This Row],[Main Member Link ID]]</f>
        <v>0</v>
      </c>
      <c r="C279" s="284">
        <f>Table13[[#This Row],[ID Number]]</f>
        <v>0</v>
      </c>
      <c r="D279" s="285">
        <f>Table13[[#This Row],[Date Of Birth]]</f>
        <v>0</v>
      </c>
      <c r="E279" s="285">
        <f>Table13[[#This Row],[Commencement Date]]</f>
        <v>0</v>
      </c>
      <c r="F279" s="284">
        <f t="shared" si="28"/>
        <v>1</v>
      </c>
      <c r="G279" s="284">
        <f t="shared" si="29"/>
        <v>25</v>
      </c>
      <c r="H279" s="286">
        <f>Table13[[#This Row],[Product Option]]</f>
        <v>0</v>
      </c>
      <c r="I279" s="284">
        <f>IF(AND($A279="Main Member",Table2[[#This Row],[Product Option]]="My Value Plus Life"),"MM_LIFE",
IF(AND($A279="Spouse",Table2[[#This Row],[Product Option]]="My Value Plus Life"),"SP_LIFE",
IF(AND($A279="Main Member",Table2[[#This Row],[Product Option]]="My Value Plus Life &amp; Funeral"),"MM_LIFE",
IF(AND($A279="Spouse",Table2[[#This Row],[Product Option]]="My Value Plus Life &amp; Funeral"),_xlfn.XLOOKUP(Table2[[#This Row],[Benefit Name]],Lookups!$D$18:$D$23,Lookups!$E$18:$E$23,0),
0))))</f>
        <v>0</v>
      </c>
      <c r="J279" s="284">
        <f>IF($I279="","",
IF($I279="MM_LIFE",INDEX('Quotation Tool'!$S$54:$V$60,MATCH($T279,'Quotation Tool'!$S$54:$S$60,0),4),
IF($I279="SP_LIFE",_xlfn.XLOOKUP(B278,$B:$B,$J:$J,0),0)))</f>
        <v>0</v>
      </c>
      <c r="K279" s="287">
        <f t="shared" ca="1" si="33"/>
        <v>0</v>
      </c>
      <c r="L279" s="288">
        <f t="shared" ca="1" si="34"/>
        <v>0</v>
      </c>
      <c r="M279" s="289">
        <f t="shared" ca="1" si="30"/>
        <v>0</v>
      </c>
      <c r="N279" s="286">
        <f>Table13[[#This Row],[Benefit Option]]</f>
        <v>0</v>
      </c>
      <c r="O279" s="284">
        <f>IF(OR(Table2[[#This Row],[Member Type]]="Spouse",Table2[[#This Row],[Member Type]]="Child"),0,
IF(_xlfn.XLOOKUP($N279,Lookups!$D$13:$D$27,Lookups!$F$13:$F$27,0)=Table2[[#This Row],[Table Lookup for Life Cover]],0,
_xlfn.XLOOKUP($N279,Lookups!$D$13:$D$27,Lookups!$F$13:$F$27,0)))</f>
        <v>0</v>
      </c>
      <c r="P279" s="284">
        <f>IF(Table2[[#This Row],[Table Lookup for Funeral]]=0,0,IFERROR(INDEX('Quotation Tool'!$S$54:$V$60,MATCH($T279,'Quotation Tool'!$S$54:$S$60,0),3),0))</f>
        <v>0</v>
      </c>
      <c r="Q279" s="288">
        <f ca="1">IF(OR(Table2[[#This Row],[Benefit Name]]="My Value Plus Life - Main Member",Table2[[#This Row],[Benefit Name]]="My Value Plus Life - Spouse"),0,
IFERROR(VLOOKUP($G279,INDIRECT($O279),$P279,FALSE),0))</f>
        <v>0</v>
      </c>
      <c r="R279" s="288">
        <f ca="1">IF(OR(Table2[[#This Row],[Benefit Name]]="My Value Plus Life - Main Member",Table2[[#This Row],[Benefit Name]]="My Value Plus Life - Spouse"),0,
IFERROR(VLOOKUP($G279,INDIRECT($O279),$P279+1,FALSE),0))</f>
        <v>0</v>
      </c>
      <c r="S279" s="289">
        <f t="shared" ca="1" si="31"/>
        <v>0</v>
      </c>
      <c r="T279" s="284" t="str">
        <f>IF(Table13[[#This Row],[Premium Waiver]]="","None",Table13[[#This Row],[Premium Waiver]])</f>
        <v>None</v>
      </c>
      <c r="U279" s="284">
        <f>Table13[[#This Row],[VAPs Options]]</f>
        <v>0</v>
      </c>
      <c r="V279" s="284">
        <f>Table13[[#This Row],[Annual Increase Option]]</f>
        <v>0</v>
      </c>
      <c r="W279" s="290">
        <f>Table13[[#This Row],[Life Cover Amount]]</f>
        <v>0</v>
      </c>
      <c r="X279" s="290">
        <f>Table13[[#This Row],[Funeral Cover Amount]]</f>
        <v>0</v>
      </c>
      <c r="Y27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7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79" s="301">
        <f t="shared" ca="1" si="32"/>
        <v>0</v>
      </c>
      <c r="AB279" s="298"/>
      <c r="AC279" s="326" t="str">
        <f>IF(Table2[[#This Row],[Member Type]]="Main Member",Lookups!$C$13,
IF(Table2[[#This Row],[Member Type]]="Spouse",_xlfn.XLOOKUP(B279,Table2[Main Member Link ID],Table2[Product Option],0),
IF(AND(Table2[[#This Row],[Member Type]]="Child",_xlfn.XLOOKUP(B279,Table2[Main Member Link ID],Table2[Product Option],0)&lt;&gt;"My Value Plus Life"),Lookups!$C$24,
IF(AND(OR(Table2[[#This Row],[Member Type]]="Parent",Table2[[#This Row],[Member Type]]="Extended"),_xlfn.XLOOKUP(B279,Table2[Main Member Link ID],Table2[Product Option],0)&lt;&gt;"My Value Plus Life"),Lookups!$C$26,""))))</f>
        <v/>
      </c>
      <c r="AD279" s="326" t="str">
        <f>IF(Table2[[#This Row],[Member Type]]="Main Member",Lookups!$C$14,"")</f>
        <v/>
      </c>
      <c r="AE27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Funeral",_xlfn.XLOOKUP(B279,Table2[Main Member Link ID],Table2[Benefit Name],0)=Lookups!$D$14),"",
IF(AND(Table2[[#This Row],[Member Type]]="Spouse",Table2[[#This Row],[Product Option]]="My Value Plus Life &amp; Funeral",_xlfn.XLOOKUP(B278,Table2[Main Member Link ID],Table2[Benefit Name],0)=Lookups!$D$15),Lookups!$D$20,
IF(AND(Table2[[#This Row],[Member Type]]="Spouse",Table2[[#This Row],[Product Option]]="My Value Plus Life &amp; Funeral",_xlfn.XLOOKUP(B278,Table2[Main Member Link ID],Table2[Benefit Name],0)=Lookups!$D$16),"",
IF(AND(Table2[[#This Row],[Member Type]]="Spouse",Table2[[#This Row],[Product Option]]="My Value Plus Life &amp; Funeral",_xlfn.XLOOKUP(B278,Table2[Main Member Link ID],Table2[Benefit Name],0)=Lookups!$D$17),Lookups!$D$21,
IF(AND(Table2[[#This Row],[Member Type]]="Child",Table2[[#This Row],[Product Option]]="My Value Plus Life &amp; Funeral",_xlfn.XLOOKUP(B279,Table2[Main Member Link ID],Table2[Benefit Name],0)=Lookups!$D$14),"",
IF(AND(Table2[[#This Row],[Member Type]]="Child",Table2[[#This Row],[Product Option]]="My Value Plus Life &amp; Funeral",_xlfn.XLOOKUP(B279,Table2[Main Member Link ID],Table2[Benefit Name],0)=Lookups!$D$15),"",
IF(AND(Table2[[#This Row],[Member Type]]="Child",Table2[[#This Row],[Product Option]]="My Value Plus Life &amp; Funeral",_xlfn.XLOOKUP(B279,Table2[Main Member Link ID],Table2[Benefit Name],0)=Lookups!$D$16),Lookups!$D$24,
IF(AND(Table2[[#This Row],[Member Type]]="Child",Table2[[#This Row],[Product Option]]="My Value Plus Life &amp; Funeral",_xlfn.XLOOKUP(B279,Table2[Main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Funeral",_xlfn.XLOOKUP(B279,Table2[Main Member Link ID],Table2[Benefit Name],0)&lt;&gt;Lookups!$D$14),
IF(_xlfn.XLOOKUP(B279,Table2[Main Member Link ID],Table2[Benefit Name],0)=0,"",_xlfn.XLOOKUP(B279,Table2[Main Member Link ID],Table2[Benefit Name],0)),"")))))))))))))))</f>
        <v/>
      </c>
      <c r="AF279" s="327" t="str">
        <f>IF(AND(Table2[[#This Row],[Member Type]]="Main Member",Table2[[#This Row],[Product Option]]="My Value Plus Life &amp; Funeral"),Lookups!$D$15,
IF(AND(Table2[[#This Row],[Member Type]]="Spouse",Table2[[#This Row],[Product Option]]="My Value Plus Life &amp; Funeral",_xlfn.XLOOKUP(B279,Table2[Main Member Link ID],Table2[Benefit Name],0)=Lookups!$D$14),"",
IF(AND(Table2[[#This Row],[Member Type]]="Spouse",Table2[[#This Row],[Product Option]]="My Value Plus Life &amp; Funeral",_xlfn.XLOOKUP(B278,Table2[Main Member Link ID],Table2[Benefit Name],0)=Lookups!$D$16),"",
IF(AND(Table2[[#This Row],[Member Type]]="Spouse",Table2[[#This Row],[Product Option]]="My Value Plus Life &amp; Funeral",_xlfn.XLOOKUP(B278,Table2[Main Member Link ID],Table2[Benefit Name],0)=Lookups!$D$15),"",
IF(AND(Table2[[#This Row],[Member Type]]="Spouse",Table2[[#This Row],[Product Option]]="My Value Plus Life &amp; Funeral",_xlfn.XLOOKUP(B278,Table2[Main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Funeral",_xlfn.XLOOKUP(B279,Table2[Main Member Link ID],Table2[Benefit Name],0)&lt;&gt;Lookups!$D$15),
IF(_xlfn.XLOOKUP(B279,Table2[Main Member Link ID],Table2[Benefit Name],0)=0,"",_xlfn.XLOOKUP(B279,Table2[Main Member Link ID],Table2[Benefit Name],0)),"")
))))))</f>
        <v/>
      </c>
      <c r="AG279" s="327" t="str">
        <f>IF(AND(Table2[[#This Row],[Member Type]]="Main Member",Table2[[#This Row],[Product Option]]="My Value Plus Life &amp; Funeral"),Lookups!$D$16,
IF(AND(Table2[[#This Row],[Member Type]]="Spouse",Table2[[#This Row],[Product Option]]="My Value Plus Life &amp; Funeral",_xlfn.XLOOKUP(B279,Table2[Main Member Link ID],Table2[Benefit Name],0)=Lookups!$D$14),"",
IF(AND(Table2[[#This Row],[Member Type]]="Spouse",Table2[[#This Row],[Product Option]]="My Value Plus Life &amp; Funeral",_xlfn.XLOOKUP(B278,Table2[Main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Funeral",_xlfn.XLOOKUP(B279,Table2[Main Member Link ID],Table2[Benefit Name],0)&lt;&gt;Lookups!$D$16),
IF(_xlfn.XLOOKUP(B279,Table2[Main Member Link ID],Table2[Benefit Name],0)=0,"",_xlfn.XLOOKUP(B279,Table2[Main Member Link ID],Table2[Benefit Name],0)),"")
))))</f>
        <v/>
      </c>
      <c r="AH279" s="327" t="str">
        <f>IF(AND(Table2[[#This Row],[Member Type]]="Main Member",Table2[[#This Row],[Product Option]]="My Value Plus Life &amp; Funeral"),Lookups!$D$17,
IF(AND(Table2[[#This Row],[Member Type]]="Spouse",Table2[[#This Row],[Product Option]]="My Value Plus Life &amp; Funeral",_xlfn.XLOOKUP(B279,Table2[Main Member Link ID],Table2[Benefit Name],0)=Lookups!$D$14),"",
IF(AND(Table2[[#This Row],[Member Type]]="Spouse",Table2[[#This Row],[Product Option]]="My Value Plus Life &amp; Funeral",_xlfn.XLOOKUP(B278,Table2[Main Member Link ID],Table2[Benefit Name],0)=Lookups!$D$16),"",
IF(AND(Table2[[#This Row],[Member Type]]="Child",Table2[[#This Row],[Product Option]]="My Value Plus Life &amp; Funeral"),"",
IF(AND(Table2[[#This Row],[Member Type]]="Child",Table2[[#This Row],[Product Option]]="My Value Plus Life &amp; Funeral",_xlfn.XLOOKUP(B279,Table2[Main Member Link ID],Table2[Benefit Name],0)=Lookups!$D$15),"",
IF(AND(OR(Table2[[#This Row],[Member Type]]="Spouse",Table2[[#This Row],[Member Type]]="Child"),Table2[[#This Row],[Product Option]]="My Value Plus Life &amp; Funeral",_xlfn.XLOOKUP(B279,Table2[Main Member Link ID],Table2[Benefit Name],0)&lt;&gt;Lookups!$D$17),
IF(_xlfn.XLOOKUP(B279,Table2[Main Member Link ID],Table2[Benefit Name],0)=0,"",_xlfn.XLOOKUP(B279,Table2[Main Member Link ID],Table2[Benefit Name],0)),""))))))</f>
        <v/>
      </c>
      <c r="AI279" s="328" t="str">
        <f>IF(AND(Table2[[#This Row],[Member Type]]="Main Member",Table2[[#This Row],[Table Lookup for Life Cover]]="MM_LIFE",Table2[[#This Row],[Age Next Birthday]]&lt;56),1,
IF(AND(Table2[[#This Row],[Member Type]]="Main Member",Table2[[#This Row],[Table Lookup for Life Cover]]="MM_LIFE",Table2[[#This Row],[Age Next Birthday]]&gt;=56),2,
""))</f>
        <v/>
      </c>
      <c r="AJ279" s="328">
        <f>IF(OR(Table2[[#This Row],[Member Type]]="Main Member",Table2[[#This Row],[Main Member Link ID]]=B278),1,0)</f>
        <v>1</v>
      </c>
      <c r="AK279" s="328">
        <f>IF(Table2[[#This Row],[Member Type]]=0,0,
IF(OR(Table2[[#This Row],[Member Type]]="Main Member",Table2[[#This Row],[Main Member Link ID]]&lt;&gt;B279),COUNTIFS(B:B,Table2[[#This Row],[Main Member Link ID]]),
COUNTIFS(B:B,Table2[[#This Row],[Main Member Link ID]],A:A,Table2[[#This Row],[Member Type]])))</f>
        <v>0</v>
      </c>
    </row>
    <row r="280" spans="1:37" x14ac:dyDescent="0.3">
      <c r="A280" s="284">
        <f>Table13[[#This Row],[Member Type]]</f>
        <v>0</v>
      </c>
      <c r="B280" s="284">
        <f>Table13[[#This Row],[Main Member Link ID]]</f>
        <v>0</v>
      </c>
      <c r="C280" s="284">
        <f>Table13[[#This Row],[ID Number]]</f>
        <v>0</v>
      </c>
      <c r="D280" s="285">
        <f>Table13[[#This Row],[Date Of Birth]]</f>
        <v>0</v>
      </c>
      <c r="E280" s="285">
        <f>Table13[[#This Row],[Commencement Date]]</f>
        <v>0</v>
      </c>
      <c r="F280" s="284">
        <f t="shared" si="28"/>
        <v>1</v>
      </c>
      <c r="G280" s="284">
        <f t="shared" si="29"/>
        <v>25</v>
      </c>
      <c r="H280" s="286">
        <f>Table13[[#This Row],[Product Option]]</f>
        <v>0</v>
      </c>
      <c r="I280" s="284">
        <f>IF(AND($A280="Main Member",Table2[[#This Row],[Product Option]]="My Value Plus Life"),"MM_LIFE",
IF(AND($A280="Spouse",Table2[[#This Row],[Product Option]]="My Value Plus Life"),"SP_LIFE",
IF(AND($A280="Main Member",Table2[[#This Row],[Product Option]]="My Value Plus Life &amp; Funeral"),"MM_LIFE",
IF(AND($A280="Spouse",Table2[[#This Row],[Product Option]]="My Value Plus Life &amp; Funeral"),_xlfn.XLOOKUP(Table2[[#This Row],[Benefit Name]],Lookups!$D$18:$D$23,Lookups!$E$18:$E$23,0),
0))))</f>
        <v>0</v>
      </c>
      <c r="J280" s="284">
        <f>IF($I280="","",
IF($I280="MM_LIFE",INDEX('Quotation Tool'!$S$54:$V$60,MATCH($T280,'Quotation Tool'!$S$54:$S$60,0),4),
IF($I280="SP_LIFE",_xlfn.XLOOKUP(B279,$B:$B,$J:$J,0),0)))</f>
        <v>0</v>
      </c>
      <c r="K280" s="287">
        <f t="shared" ca="1" si="33"/>
        <v>0</v>
      </c>
      <c r="L280" s="288">
        <f t="shared" ca="1" si="34"/>
        <v>0</v>
      </c>
      <c r="M280" s="289">
        <f t="shared" ca="1" si="30"/>
        <v>0</v>
      </c>
      <c r="N280" s="286">
        <f>Table13[[#This Row],[Benefit Option]]</f>
        <v>0</v>
      </c>
      <c r="O280" s="284">
        <f>IF(OR(Table2[[#This Row],[Member Type]]="Spouse",Table2[[#This Row],[Member Type]]="Child"),0,
IF(_xlfn.XLOOKUP($N280,Lookups!$D$13:$D$27,Lookups!$F$13:$F$27,0)=Table2[[#This Row],[Table Lookup for Life Cover]],0,
_xlfn.XLOOKUP($N280,Lookups!$D$13:$D$27,Lookups!$F$13:$F$27,0)))</f>
        <v>0</v>
      </c>
      <c r="P280" s="284">
        <f>IF(Table2[[#This Row],[Table Lookup for Funeral]]=0,0,IFERROR(INDEX('Quotation Tool'!$S$54:$V$60,MATCH($T280,'Quotation Tool'!$S$54:$S$60,0),3),0))</f>
        <v>0</v>
      </c>
      <c r="Q280" s="288">
        <f ca="1">IF(OR(Table2[[#This Row],[Benefit Name]]="My Value Plus Life - Main Member",Table2[[#This Row],[Benefit Name]]="My Value Plus Life - Spouse"),0,
IFERROR(VLOOKUP($G280,INDIRECT($O280),$P280,FALSE),0))</f>
        <v>0</v>
      </c>
      <c r="R280" s="288">
        <f ca="1">IF(OR(Table2[[#This Row],[Benefit Name]]="My Value Plus Life - Main Member",Table2[[#This Row],[Benefit Name]]="My Value Plus Life - Spouse"),0,
IFERROR(VLOOKUP($G280,INDIRECT($O280),$P280+1,FALSE),0))</f>
        <v>0</v>
      </c>
      <c r="S280" s="289">
        <f t="shared" ca="1" si="31"/>
        <v>0</v>
      </c>
      <c r="T280" s="284" t="str">
        <f>IF(Table13[[#This Row],[Premium Waiver]]="","None",Table13[[#This Row],[Premium Waiver]])</f>
        <v>None</v>
      </c>
      <c r="U280" s="284">
        <f>Table13[[#This Row],[VAPs Options]]</f>
        <v>0</v>
      </c>
      <c r="V280" s="284">
        <f>Table13[[#This Row],[Annual Increase Option]]</f>
        <v>0</v>
      </c>
      <c r="W280" s="290">
        <f>Table13[[#This Row],[Life Cover Amount]]</f>
        <v>0</v>
      </c>
      <c r="X280" s="290">
        <f>Table13[[#This Row],[Funeral Cover Amount]]</f>
        <v>0</v>
      </c>
      <c r="Y28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8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80" s="301">
        <f t="shared" ca="1" si="32"/>
        <v>0</v>
      </c>
      <c r="AB280" s="298"/>
      <c r="AC280" s="326" t="str">
        <f>IF(Table2[[#This Row],[Member Type]]="Main Member",Lookups!$C$13,
IF(Table2[[#This Row],[Member Type]]="Spouse",_xlfn.XLOOKUP(B280,Table2[Main Member Link ID],Table2[Product Option],0),
IF(AND(Table2[[#This Row],[Member Type]]="Child",_xlfn.XLOOKUP(B280,Table2[Main Member Link ID],Table2[Product Option],0)&lt;&gt;"My Value Plus Life"),Lookups!$C$24,
IF(AND(OR(Table2[[#This Row],[Member Type]]="Parent",Table2[[#This Row],[Member Type]]="Extended"),_xlfn.XLOOKUP(B280,Table2[Main Member Link ID],Table2[Product Option],0)&lt;&gt;"My Value Plus Life"),Lookups!$C$26,""))))</f>
        <v/>
      </c>
      <c r="AD280" s="326" t="str">
        <f>IF(Table2[[#This Row],[Member Type]]="Main Member",Lookups!$C$14,"")</f>
        <v/>
      </c>
      <c r="AE28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Funeral",_xlfn.XLOOKUP(B280,Table2[Main Member Link ID],Table2[Benefit Name],0)=Lookups!$D$14),"",
IF(AND(Table2[[#This Row],[Member Type]]="Spouse",Table2[[#This Row],[Product Option]]="My Value Plus Life &amp; Funeral",_xlfn.XLOOKUP(B279,Table2[Main Member Link ID],Table2[Benefit Name],0)=Lookups!$D$15),Lookups!$D$20,
IF(AND(Table2[[#This Row],[Member Type]]="Spouse",Table2[[#This Row],[Product Option]]="My Value Plus Life &amp; Funeral",_xlfn.XLOOKUP(B279,Table2[Main Member Link ID],Table2[Benefit Name],0)=Lookups!$D$16),"",
IF(AND(Table2[[#This Row],[Member Type]]="Spouse",Table2[[#This Row],[Product Option]]="My Value Plus Life &amp; Funeral",_xlfn.XLOOKUP(B279,Table2[Main Member Link ID],Table2[Benefit Name],0)=Lookups!$D$17),Lookups!$D$21,
IF(AND(Table2[[#This Row],[Member Type]]="Child",Table2[[#This Row],[Product Option]]="My Value Plus Life &amp; Funeral",_xlfn.XLOOKUP(B280,Table2[Main Member Link ID],Table2[Benefit Name],0)=Lookups!$D$14),"",
IF(AND(Table2[[#This Row],[Member Type]]="Child",Table2[[#This Row],[Product Option]]="My Value Plus Life &amp; Funeral",_xlfn.XLOOKUP(B280,Table2[Main Member Link ID],Table2[Benefit Name],0)=Lookups!$D$15),"",
IF(AND(Table2[[#This Row],[Member Type]]="Child",Table2[[#This Row],[Product Option]]="My Value Plus Life &amp; Funeral",_xlfn.XLOOKUP(B280,Table2[Main Member Link ID],Table2[Benefit Name],0)=Lookups!$D$16),Lookups!$D$24,
IF(AND(Table2[[#This Row],[Member Type]]="Child",Table2[[#This Row],[Product Option]]="My Value Plus Life &amp; Funeral",_xlfn.XLOOKUP(B280,Table2[Main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Funeral",_xlfn.XLOOKUP(B280,Table2[Main Member Link ID],Table2[Benefit Name],0)&lt;&gt;Lookups!$D$14),
IF(_xlfn.XLOOKUP(B280,Table2[Main Member Link ID],Table2[Benefit Name],0)=0,"",_xlfn.XLOOKUP(B280,Table2[Main Member Link ID],Table2[Benefit Name],0)),"")))))))))))))))</f>
        <v/>
      </c>
      <c r="AF280" s="327" t="str">
        <f>IF(AND(Table2[[#This Row],[Member Type]]="Main Member",Table2[[#This Row],[Product Option]]="My Value Plus Life &amp; Funeral"),Lookups!$D$15,
IF(AND(Table2[[#This Row],[Member Type]]="Spouse",Table2[[#This Row],[Product Option]]="My Value Plus Life &amp; Funeral",_xlfn.XLOOKUP(B280,Table2[Main Member Link ID],Table2[Benefit Name],0)=Lookups!$D$14),"",
IF(AND(Table2[[#This Row],[Member Type]]="Spouse",Table2[[#This Row],[Product Option]]="My Value Plus Life &amp; Funeral",_xlfn.XLOOKUP(B279,Table2[Main Member Link ID],Table2[Benefit Name],0)=Lookups!$D$16),"",
IF(AND(Table2[[#This Row],[Member Type]]="Spouse",Table2[[#This Row],[Product Option]]="My Value Plus Life &amp; Funeral",_xlfn.XLOOKUP(B279,Table2[Main Member Link ID],Table2[Benefit Name],0)=Lookups!$D$15),"",
IF(AND(Table2[[#This Row],[Member Type]]="Spouse",Table2[[#This Row],[Product Option]]="My Value Plus Life &amp; Funeral",_xlfn.XLOOKUP(B279,Table2[Main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Funeral",_xlfn.XLOOKUP(B280,Table2[Main Member Link ID],Table2[Benefit Name],0)&lt;&gt;Lookups!$D$15),
IF(_xlfn.XLOOKUP(B280,Table2[Main Member Link ID],Table2[Benefit Name],0)=0,"",_xlfn.XLOOKUP(B280,Table2[Main Member Link ID],Table2[Benefit Name],0)),"")
))))))</f>
        <v/>
      </c>
      <c r="AG280" s="327" t="str">
        <f>IF(AND(Table2[[#This Row],[Member Type]]="Main Member",Table2[[#This Row],[Product Option]]="My Value Plus Life &amp; Funeral"),Lookups!$D$16,
IF(AND(Table2[[#This Row],[Member Type]]="Spouse",Table2[[#This Row],[Product Option]]="My Value Plus Life &amp; Funeral",_xlfn.XLOOKUP(B280,Table2[Main Member Link ID],Table2[Benefit Name],0)=Lookups!$D$14),"",
IF(AND(Table2[[#This Row],[Member Type]]="Spouse",Table2[[#This Row],[Product Option]]="My Value Plus Life &amp; Funeral",_xlfn.XLOOKUP(B279,Table2[Main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Funeral",_xlfn.XLOOKUP(B280,Table2[Main Member Link ID],Table2[Benefit Name],0)&lt;&gt;Lookups!$D$16),
IF(_xlfn.XLOOKUP(B280,Table2[Main Member Link ID],Table2[Benefit Name],0)=0,"",_xlfn.XLOOKUP(B280,Table2[Main Member Link ID],Table2[Benefit Name],0)),"")
))))</f>
        <v/>
      </c>
      <c r="AH280" s="327" t="str">
        <f>IF(AND(Table2[[#This Row],[Member Type]]="Main Member",Table2[[#This Row],[Product Option]]="My Value Plus Life &amp; Funeral"),Lookups!$D$17,
IF(AND(Table2[[#This Row],[Member Type]]="Spouse",Table2[[#This Row],[Product Option]]="My Value Plus Life &amp; Funeral",_xlfn.XLOOKUP(B280,Table2[Main Member Link ID],Table2[Benefit Name],0)=Lookups!$D$14),"",
IF(AND(Table2[[#This Row],[Member Type]]="Spouse",Table2[[#This Row],[Product Option]]="My Value Plus Life &amp; Funeral",_xlfn.XLOOKUP(B279,Table2[Main Member Link ID],Table2[Benefit Name],0)=Lookups!$D$16),"",
IF(AND(Table2[[#This Row],[Member Type]]="Child",Table2[[#This Row],[Product Option]]="My Value Plus Life &amp; Funeral"),"",
IF(AND(Table2[[#This Row],[Member Type]]="Child",Table2[[#This Row],[Product Option]]="My Value Plus Life &amp; Funeral",_xlfn.XLOOKUP(B280,Table2[Main Member Link ID],Table2[Benefit Name],0)=Lookups!$D$15),"",
IF(AND(OR(Table2[[#This Row],[Member Type]]="Spouse",Table2[[#This Row],[Member Type]]="Child"),Table2[[#This Row],[Product Option]]="My Value Plus Life &amp; Funeral",_xlfn.XLOOKUP(B280,Table2[Main Member Link ID],Table2[Benefit Name],0)&lt;&gt;Lookups!$D$17),
IF(_xlfn.XLOOKUP(B280,Table2[Main Member Link ID],Table2[Benefit Name],0)=0,"",_xlfn.XLOOKUP(B280,Table2[Main Member Link ID],Table2[Benefit Name],0)),""))))))</f>
        <v/>
      </c>
      <c r="AI280" s="328" t="str">
        <f>IF(AND(Table2[[#This Row],[Member Type]]="Main Member",Table2[[#This Row],[Table Lookup for Life Cover]]="MM_LIFE",Table2[[#This Row],[Age Next Birthday]]&lt;56),1,
IF(AND(Table2[[#This Row],[Member Type]]="Main Member",Table2[[#This Row],[Table Lookup for Life Cover]]="MM_LIFE",Table2[[#This Row],[Age Next Birthday]]&gt;=56),2,
""))</f>
        <v/>
      </c>
      <c r="AJ280" s="328">
        <f>IF(OR(Table2[[#This Row],[Member Type]]="Main Member",Table2[[#This Row],[Main Member Link ID]]=B279),1,0)</f>
        <v>1</v>
      </c>
      <c r="AK280" s="328">
        <f>IF(Table2[[#This Row],[Member Type]]=0,0,
IF(OR(Table2[[#This Row],[Member Type]]="Main Member",Table2[[#This Row],[Main Member Link ID]]&lt;&gt;B280),COUNTIFS(B:B,Table2[[#This Row],[Main Member Link ID]]),
COUNTIFS(B:B,Table2[[#This Row],[Main Member Link ID]],A:A,Table2[[#This Row],[Member Type]])))</f>
        <v>0</v>
      </c>
    </row>
    <row r="281" spans="1:37" x14ac:dyDescent="0.3">
      <c r="A281" s="284">
        <f>Table13[[#This Row],[Member Type]]</f>
        <v>0</v>
      </c>
      <c r="B281" s="284">
        <f>Table13[[#This Row],[Main Member Link ID]]</f>
        <v>0</v>
      </c>
      <c r="C281" s="284">
        <f>Table13[[#This Row],[ID Number]]</f>
        <v>0</v>
      </c>
      <c r="D281" s="285">
        <f>Table13[[#This Row],[Date Of Birth]]</f>
        <v>0</v>
      </c>
      <c r="E281" s="285">
        <f>Table13[[#This Row],[Commencement Date]]</f>
        <v>0</v>
      </c>
      <c r="F281" s="284">
        <f t="shared" si="28"/>
        <v>1</v>
      </c>
      <c r="G281" s="284">
        <f t="shared" si="29"/>
        <v>25</v>
      </c>
      <c r="H281" s="286">
        <f>Table13[[#This Row],[Product Option]]</f>
        <v>0</v>
      </c>
      <c r="I281" s="284">
        <f>IF(AND($A281="Main Member",Table2[[#This Row],[Product Option]]="My Value Plus Life"),"MM_LIFE",
IF(AND($A281="Spouse",Table2[[#This Row],[Product Option]]="My Value Plus Life"),"SP_LIFE",
IF(AND($A281="Main Member",Table2[[#This Row],[Product Option]]="My Value Plus Life &amp; Funeral"),"MM_LIFE",
IF(AND($A281="Spouse",Table2[[#This Row],[Product Option]]="My Value Plus Life &amp; Funeral"),_xlfn.XLOOKUP(Table2[[#This Row],[Benefit Name]],Lookups!$D$18:$D$23,Lookups!$E$18:$E$23,0),
0))))</f>
        <v>0</v>
      </c>
      <c r="J281" s="284">
        <f>IF($I281="","",
IF($I281="MM_LIFE",INDEX('Quotation Tool'!$S$54:$V$60,MATCH($T281,'Quotation Tool'!$S$54:$S$60,0),4),
IF($I281="SP_LIFE",_xlfn.XLOOKUP(B280,$B:$B,$J:$J,0),0)))</f>
        <v>0</v>
      </c>
      <c r="K281" s="287">
        <f t="shared" ca="1" si="33"/>
        <v>0</v>
      </c>
      <c r="L281" s="288">
        <f t="shared" ca="1" si="34"/>
        <v>0</v>
      </c>
      <c r="M281" s="289">
        <f t="shared" ca="1" si="30"/>
        <v>0</v>
      </c>
      <c r="N281" s="286">
        <f>Table13[[#This Row],[Benefit Option]]</f>
        <v>0</v>
      </c>
      <c r="O281" s="284">
        <f>IF(OR(Table2[[#This Row],[Member Type]]="Spouse",Table2[[#This Row],[Member Type]]="Child"),0,
IF(_xlfn.XLOOKUP($N281,Lookups!$D$13:$D$27,Lookups!$F$13:$F$27,0)=Table2[[#This Row],[Table Lookup for Life Cover]],0,
_xlfn.XLOOKUP($N281,Lookups!$D$13:$D$27,Lookups!$F$13:$F$27,0)))</f>
        <v>0</v>
      </c>
      <c r="P281" s="284">
        <f>IF(Table2[[#This Row],[Table Lookup for Funeral]]=0,0,IFERROR(INDEX('Quotation Tool'!$S$54:$V$60,MATCH($T281,'Quotation Tool'!$S$54:$S$60,0),3),0))</f>
        <v>0</v>
      </c>
      <c r="Q281" s="288">
        <f ca="1">IF(OR(Table2[[#This Row],[Benefit Name]]="My Value Plus Life - Main Member",Table2[[#This Row],[Benefit Name]]="My Value Plus Life - Spouse"),0,
IFERROR(VLOOKUP($G281,INDIRECT($O281),$P281,FALSE),0))</f>
        <v>0</v>
      </c>
      <c r="R281" s="288">
        <f ca="1">IF(OR(Table2[[#This Row],[Benefit Name]]="My Value Plus Life - Main Member",Table2[[#This Row],[Benefit Name]]="My Value Plus Life - Spouse"),0,
IFERROR(VLOOKUP($G281,INDIRECT($O281),$P281+1,FALSE),0))</f>
        <v>0</v>
      </c>
      <c r="S281" s="289">
        <f t="shared" ca="1" si="31"/>
        <v>0</v>
      </c>
      <c r="T281" s="284" t="str">
        <f>IF(Table13[[#This Row],[Premium Waiver]]="","None",Table13[[#This Row],[Premium Waiver]])</f>
        <v>None</v>
      </c>
      <c r="U281" s="284">
        <f>Table13[[#This Row],[VAPs Options]]</f>
        <v>0</v>
      </c>
      <c r="V281" s="284">
        <f>Table13[[#This Row],[Annual Increase Option]]</f>
        <v>0</v>
      </c>
      <c r="W281" s="290">
        <f>Table13[[#This Row],[Life Cover Amount]]</f>
        <v>0</v>
      </c>
      <c r="X281" s="290">
        <f>Table13[[#This Row],[Funeral Cover Amount]]</f>
        <v>0</v>
      </c>
      <c r="Y28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8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81" s="301">
        <f t="shared" ca="1" si="32"/>
        <v>0</v>
      </c>
      <c r="AB281" s="298"/>
      <c r="AC281" s="326" t="str">
        <f>IF(Table2[[#This Row],[Member Type]]="Main Member",Lookups!$C$13,
IF(Table2[[#This Row],[Member Type]]="Spouse",_xlfn.XLOOKUP(B281,Table2[Main Member Link ID],Table2[Product Option],0),
IF(AND(Table2[[#This Row],[Member Type]]="Child",_xlfn.XLOOKUP(B281,Table2[Main Member Link ID],Table2[Product Option],0)&lt;&gt;"My Value Plus Life"),Lookups!$C$24,
IF(AND(OR(Table2[[#This Row],[Member Type]]="Parent",Table2[[#This Row],[Member Type]]="Extended"),_xlfn.XLOOKUP(B281,Table2[Main Member Link ID],Table2[Product Option],0)&lt;&gt;"My Value Plus Life"),Lookups!$C$26,""))))</f>
        <v/>
      </c>
      <c r="AD281" s="326" t="str">
        <f>IF(Table2[[#This Row],[Member Type]]="Main Member",Lookups!$C$14,"")</f>
        <v/>
      </c>
      <c r="AE28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Funeral",_xlfn.XLOOKUP(B281,Table2[Main Member Link ID],Table2[Benefit Name],0)=Lookups!$D$14),"",
IF(AND(Table2[[#This Row],[Member Type]]="Spouse",Table2[[#This Row],[Product Option]]="My Value Plus Life &amp; Funeral",_xlfn.XLOOKUP(B280,Table2[Main Member Link ID],Table2[Benefit Name],0)=Lookups!$D$15),Lookups!$D$20,
IF(AND(Table2[[#This Row],[Member Type]]="Spouse",Table2[[#This Row],[Product Option]]="My Value Plus Life &amp; Funeral",_xlfn.XLOOKUP(B280,Table2[Main Member Link ID],Table2[Benefit Name],0)=Lookups!$D$16),"",
IF(AND(Table2[[#This Row],[Member Type]]="Spouse",Table2[[#This Row],[Product Option]]="My Value Plus Life &amp; Funeral",_xlfn.XLOOKUP(B280,Table2[Main Member Link ID],Table2[Benefit Name],0)=Lookups!$D$17),Lookups!$D$21,
IF(AND(Table2[[#This Row],[Member Type]]="Child",Table2[[#This Row],[Product Option]]="My Value Plus Life &amp; Funeral",_xlfn.XLOOKUP(B281,Table2[Main Member Link ID],Table2[Benefit Name],0)=Lookups!$D$14),"",
IF(AND(Table2[[#This Row],[Member Type]]="Child",Table2[[#This Row],[Product Option]]="My Value Plus Life &amp; Funeral",_xlfn.XLOOKUP(B281,Table2[Main Member Link ID],Table2[Benefit Name],0)=Lookups!$D$15),"",
IF(AND(Table2[[#This Row],[Member Type]]="Child",Table2[[#This Row],[Product Option]]="My Value Plus Life &amp; Funeral",_xlfn.XLOOKUP(B281,Table2[Main Member Link ID],Table2[Benefit Name],0)=Lookups!$D$16),Lookups!$D$24,
IF(AND(Table2[[#This Row],[Member Type]]="Child",Table2[[#This Row],[Product Option]]="My Value Plus Life &amp; Funeral",_xlfn.XLOOKUP(B281,Table2[Main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Funeral",_xlfn.XLOOKUP(B281,Table2[Main Member Link ID],Table2[Benefit Name],0)&lt;&gt;Lookups!$D$14),
IF(_xlfn.XLOOKUP(B281,Table2[Main Member Link ID],Table2[Benefit Name],0)=0,"",_xlfn.XLOOKUP(B281,Table2[Main Member Link ID],Table2[Benefit Name],0)),"")))))))))))))))</f>
        <v/>
      </c>
      <c r="AF281" s="327" t="str">
        <f>IF(AND(Table2[[#This Row],[Member Type]]="Main Member",Table2[[#This Row],[Product Option]]="My Value Plus Life &amp; Funeral"),Lookups!$D$15,
IF(AND(Table2[[#This Row],[Member Type]]="Spouse",Table2[[#This Row],[Product Option]]="My Value Plus Life &amp; Funeral",_xlfn.XLOOKUP(B281,Table2[Main Member Link ID],Table2[Benefit Name],0)=Lookups!$D$14),"",
IF(AND(Table2[[#This Row],[Member Type]]="Spouse",Table2[[#This Row],[Product Option]]="My Value Plus Life &amp; Funeral",_xlfn.XLOOKUP(B280,Table2[Main Member Link ID],Table2[Benefit Name],0)=Lookups!$D$16),"",
IF(AND(Table2[[#This Row],[Member Type]]="Spouse",Table2[[#This Row],[Product Option]]="My Value Plus Life &amp; Funeral",_xlfn.XLOOKUP(B280,Table2[Main Member Link ID],Table2[Benefit Name],0)=Lookups!$D$15),"",
IF(AND(Table2[[#This Row],[Member Type]]="Spouse",Table2[[#This Row],[Product Option]]="My Value Plus Life &amp; Funeral",_xlfn.XLOOKUP(B280,Table2[Main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Funeral",_xlfn.XLOOKUP(B281,Table2[Main Member Link ID],Table2[Benefit Name],0)&lt;&gt;Lookups!$D$15),
IF(_xlfn.XLOOKUP(B281,Table2[Main Member Link ID],Table2[Benefit Name],0)=0,"",_xlfn.XLOOKUP(B281,Table2[Main Member Link ID],Table2[Benefit Name],0)),"")
))))))</f>
        <v/>
      </c>
      <c r="AG281" s="327" t="str">
        <f>IF(AND(Table2[[#This Row],[Member Type]]="Main Member",Table2[[#This Row],[Product Option]]="My Value Plus Life &amp; Funeral"),Lookups!$D$16,
IF(AND(Table2[[#This Row],[Member Type]]="Spouse",Table2[[#This Row],[Product Option]]="My Value Plus Life &amp; Funeral",_xlfn.XLOOKUP(B281,Table2[Main Member Link ID],Table2[Benefit Name],0)=Lookups!$D$14),"",
IF(AND(Table2[[#This Row],[Member Type]]="Spouse",Table2[[#This Row],[Product Option]]="My Value Plus Life &amp; Funeral",_xlfn.XLOOKUP(B280,Table2[Main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Funeral",_xlfn.XLOOKUP(B281,Table2[Main Member Link ID],Table2[Benefit Name],0)&lt;&gt;Lookups!$D$16),
IF(_xlfn.XLOOKUP(B281,Table2[Main Member Link ID],Table2[Benefit Name],0)=0,"",_xlfn.XLOOKUP(B281,Table2[Main Member Link ID],Table2[Benefit Name],0)),"")
))))</f>
        <v/>
      </c>
      <c r="AH281" s="327" t="str">
        <f>IF(AND(Table2[[#This Row],[Member Type]]="Main Member",Table2[[#This Row],[Product Option]]="My Value Plus Life &amp; Funeral"),Lookups!$D$17,
IF(AND(Table2[[#This Row],[Member Type]]="Spouse",Table2[[#This Row],[Product Option]]="My Value Plus Life &amp; Funeral",_xlfn.XLOOKUP(B281,Table2[Main Member Link ID],Table2[Benefit Name],0)=Lookups!$D$14),"",
IF(AND(Table2[[#This Row],[Member Type]]="Spouse",Table2[[#This Row],[Product Option]]="My Value Plus Life &amp; Funeral",_xlfn.XLOOKUP(B280,Table2[Main Member Link ID],Table2[Benefit Name],0)=Lookups!$D$16),"",
IF(AND(Table2[[#This Row],[Member Type]]="Child",Table2[[#This Row],[Product Option]]="My Value Plus Life &amp; Funeral"),"",
IF(AND(Table2[[#This Row],[Member Type]]="Child",Table2[[#This Row],[Product Option]]="My Value Plus Life &amp; Funeral",_xlfn.XLOOKUP(B281,Table2[Main Member Link ID],Table2[Benefit Name],0)=Lookups!$D$15),"",
IF(AND(OR(Table2[[#This Row],[Member Type]]="Spouse",Table2[[#This Row],[Member Type]]="Child"),Table2[[#This Row],[Product Option]]="My Value Plus Life &amp; Funeral",_xlfn.XLOOKUP(B281,Table2[Main Member Link ID],Table2[Benefit Name],0)&lt;&gt;Lookups!$D$17),
IF(_xlfn.XLOOKUP(B281,Table2[Main Member Link ID],Table2[Benefit Name],0)=0,"",_xlfn.XLOOKUP(B281,Table2[Main Member Link ID],Table2[Benefit Name],0)),""))))))</f>
        <v/>
      </c>
      <c r="AI281" s="328" t="str">
        <f>IF(AND(Table2[[#This Row],[Member Type]]="Main Member",Table2[[#This Row],[Table Lookup for Life Cover]]="MM_LIFE",Table2[[#This Row],[Age Next Birthday]]&lt;56),1,
IF(AND(Table2[[#This Row],[Member Type]]="Main Member",Table2[[#This Row],[Table Lookup for Life Cover]]="MM_LIFE",Table2[[#This Row],[Age Next Birthday]]&gt;=56),2,
""))</f>
        <v/>
      </c>
      <c r="AJ281" s="328">
        <f>IF(OR(Table2[[#This Row],[Member Type]]="Main Member",Table2[[#This Row],[Main Member Link ID]]=B280),1,0)</f>
        <v>1</v>
      </c>
      <c r="AK281" s="328">
        <f>IF(Table2[[#This Row],[Member Type]]=0,0,
IF(OR(Table2[[#This Row],[Member Type]]="Main Member",Table2[[#This Row],[Main Member Link ID]]&lt;&gt;B281),COUNTIFS(B:B,Table2[[#This Row],[Main Member Link ID]]),
COUNTIFS(B:B,Table2[[#This Row],[Main Member Link ID]],A:A,Table2[[#This Row],[Member Type]])))</f>
        <v>0</v>
      </c>
    </row>
    <row r="282" spans="1:37" x14ac:dyDescent="0.3">
      <c r="A282" s="284">
        <f>Table13[[#This Row],[Member Type]]</f>
        <v>0</v>
      </c>
      <c r="B282" s="284">
        <f>Table13[[#This Row],[Main Member Link ID]]</f>
        <v>0</v>
      </c>
      <c r="C282" s="284">
        <f>Table13[[#This Row],[ID Number]]</f>
        <v>0</v>
      </c>
      <c r="D282" s="285">
        <f>Table13[[#This Row],[Date Of Birth]]</f>
        <v>0</v>
      </c>
      <c r="E282" s="285">
        <f>Table13[[#This Row],[Commencement Date]]</f>
        <v>0</v>
      </c>
      <c r="F282" s="284">
        <f t="shared" si="28"/>
        <v>1</v>
      </c>
      <c r="G282" s="284">
        <f t="shared" si="29"/>
        <v>25</v>
      </c>
      <c r="H282" s="286">
        <f>Table13[[#This Row],[Product Option]]</f>
        <v>0</v>
      </c>
      <c r="I282" s="284">
        <f>IF(AND($A282="Main Member",Table2[[#This Row],[Product Option]]="My Value Plus Life"),"MM_LIFE",
IF(AND($A282="Spouse",Table2[[#This Row],[Product Option]]="My Value Plus Life"),"SP_LIFE",
IF(AND($A282="Main Member",Table2[[#This Row],[Product Option]]="My Value Plus Life &amp; Funeral"),"MM_LIFE",
IF(AND($A282="Spouse",Table2[[#This Row],[Product Option]]="My Value Plus Life &amp; Funeral"),_xlfn.XLOOKUP(Table2[[#This Row],[Benefit Name]],Lookups!$D$18:$D$23,Lookups!$E$18:$E$23,0),
0))))</f>
        <v>0</v>
      </c>
      <c r="J282" s="284">
        <f>IF($I282="","",
IF($I282="MM_LIFE",INDEX('Quotation Tool'!$S$54:$V$60,MATCH($T282,'Quotation Tool'!$S$54:$S$60,0),4),
IF($I282="SP_LIFE",_xlfn.XLOOKUP(B281,$B:$B,$J:$J,0),0)))</f>
        <v>0</v>
      </c>
      <c r="K282" s="287">
        <f t="shared" ca="1" si="33"/>
        <v>0</v>
      </c>
      <c r="L282" s="288">
        <f t="shared" ca="1" si="34"/>
        <v>0</v>
      </c>
      <c r="M282" s="289">
        <f t="shared" ca="1" si="30"/>
        <v>0</v>
      </c>
      <c r="N282" s="286">
        <f>Table13[[#This Row],[Benefit Option]]</f>
        <v>0</v>
      </c>
      <c r="O282" s="284">
        <f>IF(OR(Table2[[#This Row],[Member Type]]="Spouse",Table2[[#This Row],[Member Type]]="Child"),0,
IF(_xlfn.XLOOKUP($N282,Lookups!$D$13:$D$27,Lookups!$F$13:$F$27,0)=Table2[[#This Row],[Table Lookup for Life Cover]],0,
_xlfn.XLOOKUP($N282,Lookups!$D$13:$D$27,Lookups!$F$13:$F$27,0)))</f>
        <v>0</v>
      </c>
      <c r="P282" s="284">
        <f>IF(Table2[[#This Row],[Table Lookup for Funeral]]=0,0,IFERROR(INDEX('Quotation Tool'!$S$54:$V$60,MATCH($T282,'Quotation Tool'!$S$54:$S$60,0),3),0))</f>
        <v>0</v>
      </c>
      <c r="Q282" s="288">
        <f ca="1">IF(OR(Table2[[#This Row],[Benefit Name]]="My Value Plus Life - Main Member",Table2[[#This Row],[Benefit Name]]="My Value Plus Life - Spouse"),0,
IFERROR(VLOOKUP($G282,INDIRECT($O282),$P282,FALSE),0))</f>
        <v>0</v>
      </c>
      <c r="R282" s="288">
        <f ca="1">IF(OR(Table2[[#This Row],[Benefit Name]]="My Value Plus Life - Main Member",Table2[[#This Row],[Benefit Name]]="My Value Plus Life - Spouse"),0,
IFERROR(VLOOKUP($G282,INDIRECT($O282),$P282+1,FALSE),0))</f>
        <v>0</v>
      </c>
      <c r="S282" s="289">
        <f t="shared" ca="1" si="31"/>
        <v>0</v>
      </c>
      <c r="T282" s="284" t="str">
        <f>IF(Table13[[#This Row],[Premium Waiver]]="","None",Table13[[#This Row],[Premium Waiver]])</f>
        <v>None</v>
      </c>
      <c r="U282" s="284">
        <f>Table13[[#This Row],[VAPs Options]]</f>
        <v>0</v>
      </c>
      <c r="V282" s="284">
        <f>Table13[[#This Row],[Annual Increase Option]]</f>
        <v>0</v>
      </c>
      <c r="W282" s="290">
        <f>Table13[[#This Row],[Life Cover Amount]]</f>
        <v>0</v>
      </c>
      <c r="X282" s="290">
        <f>Table13[[#This Row],[Funeral Cover Amount]]</f>
        <v>0</v>
      </c>
      <c r="Y28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8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82" s="301">
        <f t="shared" ca="1" si="32"/>
        <v>0</v>
      </c>
      <c r="AB282" s="298"/>
      <c r="AC282" s="326" t="str">
        <f>IF(Table2[[#This Row],[Member Type]]="Main Member",Lookups!$C$13,
IF(Table2[[#This Row],[Member Type]]="Spouse",_xlfn.XLOOKUP(B282,Table2[Main Member Link ID],Table2[Product Option],0),
IF(AND(Table2[[#This Row],[Member Type]]="Child",_xlfn.XLOOKUP(B282,Table2[Main Member Link ID],Table2[Product Option],0)&lt;&gt;"My Value Plus Life"),Lookups!$C$24,
IF(AND(OR(Table2[[#This Row],[Member Type]]="Parent",Table2[[#This Row],[Member Type]]="Extended"),_xlfn.XLOOKUP(B282,Table2[Main Member Link ID],Table2[Product Option],0)&lt;&gt;"My Value Plus Life"),Lookups!$C$26,""))))</f>
        <v/>
      </c>
      <c r="AD282" s="326" t="str">
        <f>IF(Table2[[#This Row],[Member Type]]="Main Member",Lookups!$C$14,"")</f>
        <v/>
      </c>
      <c r="AE28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Funeral",_xlfn.XLOOKUP(B282,Table2[Main Member Link ID],Table2[Benefit Name],0)=Lookups!$D$14),"",
IF(AND(Table2[[#This Row],[Member Type]]="Spouse",Table2[[#This Row],[Product Option]]="My Value Plus Life &amp; Funeral",_xlfn.XLOOKUP(B281,Table2[Main Member Link ID],Table2[Benefit Name],0)=Lookups!$D$15),Lookups!$D$20,
IF(AND(Table2[[#This Row],[Member Type]]="Spouse",Table2[[#This Row],[Product Option]]="My Value Plus Life &amp; Funeral",_xlfn.XLOOKUP(B281,Table2[Main Member Link ID],Table2[Benefit Name],0)=Lookups!$D$16),"",
IF(AND(Table2[[#This Row],[Member Type]]="Spouse",Table2[[#This Row],[Product Option]]="My Value Plus Life &amp; Funeral",_xlfn.XLOOKUP(B281,Table2[Main Member Link ID],Table2[Benefit Name],0)=Lookups!$D$17),Lookups!$D$21,
IF(AND(Table2[[#This Row],[Member Type]]="Child",Table2[[#This Row],[Product Option]]="My Value Plus Life &amp; Funeral",_xlfn.XLOOKUP(B282,Table2[Main Member Link ID],Table2[Benefit Name],0)=Lookups!$D$14),"",
IF(AND(Table2[[#This Row],[Member Type]]="Child",Table2[[#This Row],[Product Option]]="My Value Plus Life &amp; Funeral",_xlfn.XLOOKUP(B282,Table2[Main Member Link ID],Table2[Benefit Name],0)=Lookups!$D$15),"",
IF(AND(Table2[[#This Row],[Member Type]]="Child",Table2[[#This Row],[Product Option]]="My Value Plus Life &amp; Funeral",_xlfn.XLOOKUP(B282,Table2[Main Member Link ID],Table2[Benefit Name],0)=Lookups!$D$16),Lookups!$D$24,
IF(AND(Table2[[#This Row],[Member Type]]="Child",Table2[[#This Row],[Product Option]]="My Value Plus Life &amp; Funeral",_xlfn.XLOOKUP(B282,Table2[Main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Funeral",_xlfn.XLOOKUP(B282,Table2[Main Member Link ID],Table2[Benefit Name],0)&lt;&gt;Lookups!$D$14),
IF(_xlfn.XLOOKUP(B282,Table2[Main Member Link ID],Table2[Benefit Name],0)=0,"",_xlfn.XLOOKUP(B282,Table2[Main Member Link ID],Table2[Benefit Name],0)),"")))))))))))))))</f>
        <v/>
      </c>
      <c r="AF282" s="327" t="str">
        <f>IF(AND(Table2[[#This Row],[Member Type]]="Main Member",Table2[[#This Row],[Product Option]]="My Value Plus Life &amp; Funeral"),Lookups!$D$15,
IF(AND(Table2[[#This Row],[Member Type]]="Spouse",Table2[[#This Row],[Product Option]]="My Value Plus Life &amp; Funeral",_xlfn.XLOOKUP(B282,Table2[Main Member Link ID],Table2[Benefit Name],0)=Lookups!$D$14),"",
IF(AND(Table2[[#This Row],[Member Type]]="Spouse",Table2[[#This Row],[Product Option]]="My Value Plus Life &amp; Funeral",_xlfn.XLOOKUP(B281,Table2[Main Member Link ID],Table2[Benefit Name],0)=Lookups!$D$16),"",
IF(AND(Table2[[#This Row],[Member Type]]="Spouse",Table2[[#This Row],[Product Option]]="My Value Plus Life &amp; Funeral",_xlfn.XLOOKUP(B281,Table2[Main Member Link ID],Table2[Benefit Name],0)=Lookups!$D$15),"",
IF(AND(Table2[[#This Row],[Member Type]]="Spouse",Table2[[#This Row],[Product Option]]="My Value Plus Life &amp; Funeral",_xlfn.XLOOKUP(B281,Table2[Main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Funeral",_xlfn.XLOOKUP(B282,Table2[Main Member Link ID],Table2[Benefit Name],0)&lt;&gt;Lookups!$D$15),
IF(_xlfn.XLOOKUP(B282,Table2[Main Member Link ID],Table2[Benefit Name],0)=0,"",_xlfn.XLOOKUP(B282,Table2[Main Member Link ID],Table2[Benefit Name],0)),"")
))))))</f>
        <v/>
      </c>
      <c r="AG282" s="327" t="str">
        <f>IF(AND(Table2[[#This Row],[Member Type]]="Main Member",Table2[[#This Row],[Product Option]]="My Value Plus Life &amp; Funeral"),Lookups!$D$16,
IF(AND(Table2[[#This Row],[Member Type]]="Spouse",Table2[[#This Row],[Product Option]]="My Value Plus Life &amp; Funeral",_xlfn.XLOOKUP(B282,Table2[Main Member Link ID],Table2[Benefit Name],0)=Lookups!$D$14),"",
IF(AND(Table2[[#This Row],[Member Type]]="Spouse",Table2[[#This Row],[Product Option]]="My Value Plus Life &amp; Funeral",_xlfn.XLOOKUP(B281,Table2[Main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Funeral",_xlfn.XLOOKUP(B282,Table2[Main Member Link ID],Table2[Benefit Name],0)&lt;&gt;Lookups!$D$16),
IF(_xlfn.XLOOKUP(B282,Table2[Main Member Link ID],Table2[Benefit Name],0)=0,"",_xlfn.XLOOKUP(B282,Table2[Main Member Link ID],Table2[Benefit Name],0)),"")
))))</f>
        <v/>
      </c>
      <c r="AH282" s="327" t="str">
        <f>IF(AND(Table2[[#This Row],[Member Type]]="Main Member",Table2[[#This Row],[Product Option]]="My Value Plus Life &amp; Funeral"),Lookups!$D$17,
IF(AND(Table2[[#This Row],[Member Type]]="Spouse",Table2[[#This Row],[Product Option]]="My Value Plus Life &amp; Funeral",_xlfn.XLOOKUP(B282,Table2[Main Member Link ID],Table2[Benefit Name],0)=Lookups!$D$14),"",
IF(AND(Table2[[#This Row],[Member Type]]="Spouse",Table2[[#This Row],[Product Option]]="My Value Plus Life &amp; Funeral",_xlfn.XLOOKUP(B281,Table2[Main Member Link ID],Table2[Benefit Name],0)=Lookups!$D$16),"",
IF(AND(Table2[[#This Row],[Member Type]]="Child",Table2[[#This Row],[Product Option]]="My Value Plus Life &amp; Funeral"),"",
IF(AND(Table2[[#This Row],[Member Type]]="Child",Table2[[#This Row],[Product Option]]="My Value Plus Life &amp; Funeral",_xlfn.XLOOKUP(B282,Table2[Main Member Link ID],Table2[Benefit Name],0)=Lookups!$D$15),"",
IF(AND(OR(Table2[[#This Row],[Member Type]]="Spouse",Table2[[#This Row],[Member Type]]="Child"),Table2[[#This Row],[Product Option]]="My Value Plus Life &amp; Funeral",_xlfn.XLOOKUP(B282,Table2[Main Member Link ID],Table2[Benefit Name],0)&lt;&gt;Lookups!$D$17),
IF(_xlfn.XLOOKUP(B282,Table2[Main Member Link ID],Table2[Benefit Name],0)=0,"",_xlfn.XLOOKUP(B282,Table2[Main Member Link ID],Table2[Benefit Name],0)),""))))))</f>
        <v/>
      </c>
      <c r="AI282" s="328" t="str">
        <f>IF(AND(Table2[[#This Row],[Member Type]]="Main Member",Table2[[#This Row],[Table Lookup for Life Cover]]="MM_LIFE",Table2[[#This Row],[Age Next Birthday]]&lt;56),1,
IF(AND(Table2[[#This Row],[Member Type]]="Main Member",Table2[[#This Row],[Table Lookup for Life Cover]]="MM_LIFE",Table2[[#This Row],[Age Next Birthday]]&gt;=56),2,
""))</f>
        <v/>
      </c>
      <c r="AJ282" s="328">
        <f>IF(OR(Table2[[#This Row],[Member Type]]="Main Member",Table2[[#This Row],[Main Member Link ID]]=B281),1,0)</f>
        <v>1</v>
      </c>
      <c r="AK282" s="328">
        <f>IF(Table2[[#This Row],[Member Type]]=0,0,
IF(OR(Table2[[#This Row],[Member Type]]="Main Member",Table2[[#This Row],[Main Member Link ID]]&lt;&gt;B282),COUNTIFS(B:B,Table2[[#This Row],[Main Member Link ID]]),
COUNTIFS(B:B,Table2[[#This Row],[Main Member Link ID]],A:A,Table2[[#This Row],[Member Type]])))</f>
        <v>0</v>
      </c>
    </row>
    <row r="283" spans="1:37" x14ac:dyDescent="0.3">
      <c r="A283" s="284">
        <f>Table13[[#This Row],[Member Type]]</f>
        <v>0</v>
      </c>
      <c r="B283" s="284">
        <f>Table13[[#This Row],[Main Member Link ID]]</f>
        <v>0</v>
      </c>
      <c r="C283" s="284">
        <f>Table13[[#This Row],[ID Number]]</f>
        <v>0</v>
      </c>
      <c r="D283" s="285">
        <f>Table13[[#This Row],[Date Of Birth]]</f>
        <v>0</v>
      </c>
      <c r="E283" s="285">
        <f>Table13[[#This Row],[Commencement Date]]</f>
        <v>0</v>
      </c>
      <c r="F283" s="284">
        <f t="shared" si="28"/>
        <v>1</v>
      </c>
      <c r="G283" s="284">
        <f t="shared" si="29"/>
        <v>25</v>
      </c>
      <c r="H283" s="286">
        <f>Table13[[#This Row],[Product Option]]</f>
        <v>0</v>
      </c>
      <c r="I283" s="284">
        <f>IF(AND($A283="Main Member",Table2[[#This Row],[Product Option]]="My Value Plus Life"),"MM_LIFE",
IF(AND($A283="Spouse",Table2[[#This Row],[Product Option]]="My Value Plus Life"),"SP_LIFE",
IF(AND($A283="Main Member",Table2[[#This Row],[Product Option]]="My Value Plus Life &amp; Funeral"),"MM_LIFE",
IF(AND($A283="Spouse",Table2[[#This Row],[Product Option]]="My Value Plus Life &amp; Funeral"),_xlfn.XLOOKUP(Table2[[#This Row],[Benefit Name]],Lookups!$D$18:$D$23,Lookups!$E$18:$E$23,0),
0))))</f>
        <v>0</v>
      </c>
      <c r="J283" s="284">
        <f>IF($I283="","",
IF($I283="MM_LIFE",INDEX('Quotation Tool'!$S$54:$V$60,MATCH($T283,'Quotation Tool'!$S$54:$S$60,0),4),
IF($I283="SP_LIFE",_xlfn.XLOOKUP(B282,$B:$B,$J:$J,0),0)))</f>
        <v>0</v>
      </c>
      <c r="K283" s="287">
        <f t="shared" ca="1" si="33"/>
        <v>0</v>
      </c>
      <c r="L283" s="288">
        <f t="shared" ca="1" si="34"/>
        <v>0</v>
      </c>
      <c r="M283" s="289">
        <f t="shared" ca="1" si="30"/>
        <v>0</v>
      </c>
      <c r="N283" s="286">
        <f>Table13[[#This Row],[Benefit Option]]</f>
        <v>0</v>
      </c>
      <c r="O283" s="284">
        <f>IF(OR(Table2[[#This Row],[Member Type]]="Spouse",Table2[[#This Row],[Member Type]]="Child"),0,
IF(_xlfn.XLOOKUP($N283,Lookups!$D$13:$D$27,Lookups!$F$13:$F$27,0)=Table2[[#This Row],[Table Lookup for Life Cover]],0,
_xlfn.XLOOKUP($N283,Lookups!$D$13:$D$27,Lookups!$F$13:$F$27,0)))</f>
        <v>0</v>
      </c>
      <c r="P283" s="284">
        <f>IF(Table2[[#This Row],[Table Lookup for Funeral]]=0,0,IFERROR(INDEX('Quotation Tool'!$S$54:$V$60,MATCH($T283,'Quotation Tool'!$S$54:$S$60,0),3),0))</f>
        <v>0</v>
      </c>
      <c r="Q283" s="288">
        <f ca="1">IF(OR(Table2[[#This Row],[Benefit Name]]="My Value Plus Life - Main Member",Table2[[#This Row],[Benefit Name]]="My Value Plus Life - Spouse"),0,
IFERROR(VLOOKUP($G283,INDIRECT($O283),$P283,FALSE),0))</f>
        <v>0</v>
      </c>
      <c r="R283" s="288">
        <f ca="1">IF(OR(Table2[[#This Row],[Benefit Name]]="My Value Plus Life - Main Member",Table2[[#This Row],[Benefit Name]]="My Value Plus Life - Spouse"),0,
IFERROR(VLOOKUP($G283,INDIRECT($O283),$P283+1,FALSE),0))</f>
        <v>0</v>
      </c>
      <c r="S283" s="289">
        <f t="shared" ca="1" si="31"/>
        <v>0</v>
      </c>
      <c r="T283" s="284" t="str">
        <f>IF(Table13[[#This Row],[Premium Waiver]]="","None",Table13[[#This Row],[Premium Waiver]])</f>
        <v>None</v>
      </c>
      <c r="U283" s="284">
        <f>Table13[[#This Row],[VAPs Options]]</f>
        <v>0</v>
      </c>
      <c r="V283" s="284">
        <f>Table13[[#This Row],[Annual Increase Option]]</f>
        <v>0</v>
      </c>
      <c r="W283" s="290">
        <f>Table13[[#This Row],[Life Cover Amount]]</f>
        <v>0</v>
      </c>
      <c r="X283" s="290">
        <f>Table13[[#This Row],[Funeral Cover Amount]]</f>
        <v>0</v>
      </c>
      <c r="Y28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8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83" s="301">
        <f t="shared" ca="1" si="32"/>
        <v>0</v>
      </c>
      <c r="AB283" s="298"/>
      <c r="AC283" s="326" t="str">
        <f>IF(Table2[[#This Row],[Member Type]]="Main Member",Lookups!$C$13,
IF(Table2[[#This Row],[Member Type]]="Spouse",_xlfn.XLOOKUP(B283,Table2[Main Member Link ID],Table2[Product Option],0),
IF(AND(Table2[[#This Row],[Member Type]]="Child",_xlfn.XLOOKUP(B283,Table2[Main Member Link ID],Table2[Product Option],0)&lt;&gt;"My Value Plus Life"),Lookups!$C$24,
IF(AND(OR(Table2[[#This Row],[Member Type]]="Parent",Table2[[#This Row],[Member Type]]="Extended"),_xlfn.XLOOKUP(B283,Table2[Main Member Link ID],Table2[Product Option],0)&lt;&gt;"My Value Plus Life"),Lookups!$C$26,""))))</f>
        <v/>
      </c>
      <c r="AD283" s="326" t="str">
        <f>IF(Table2[[#This Row],[Member Type]]="Main Member",Lookups!$C$14,"")</f>
        <v/>
      </c>
      <c r="AE28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Funeral",_xlfn.XLOOKUP(B283,Table2[Main Member Link ID],Table2[Benefit Name],0)=Lookups!$D$14),"",
IF(AND(Table2[[#This Row],[Member Type]]="Spouse",Table2[[#This Row],[Product Option]]="My Value Plus Life &amp; Funeral",_xlfn.XLOOKUP(B282,Table2[Main Member Link ID],Table2[Benefit Name],0)=Lookups!$D$15),Lookups!$D$20,
IF(AND(Table2[[#This Row],[Member Type]]="Spouse",Table2[[#This Row],[Product Option]]="My Value Plus Life &amp; Funeral",_xlfn.XLOOKUP(B282,Table2[Main Member Link ID],Table2[Benefit Name],0)=Lookups!$D$16),"",
IF(AND(Table2[[#This Row],[Member Type]]="Spouse",Table2[[#This Row],[Product Option]]="My Value Plus Life &amp; Funeral",_xlfn.XLOOKUP(B282,Table2[Main Member Link ID],Table2[Benefit Name],0)=Lookups!$D$17),Lookups!$D$21,
IF(AND(Table2[[#This Row],[Member Type]]="Child",Table2[[#This Row],[Product Option]]="My Value Plus Life &amp; Funeral",_xlfn.XLOOKUP(B283,Table2[Main Member Link ID],Table2[Benefit Name],0)=Lookups!$D$14),"",
IF(AND(Table2[[#This Row],[Member Type]]="Child",Table2[[#This Row],[Product Option]]="My Value Plus Life &amp; Funeral",_xlfn.XLOOKUP(B283,Table2[Main Member Link ID],Table2[Benefit Name],0)=Lookups!$D$15),"",
IF(AND(Table2[[#This Row],[Member Type]]="Child",Table2[[#This Row],[Product Option]]="My Value Plus Life &amp; Funeral",_xlfn.XLOOKUP(B283,Table2[Main Member Link ID],Table2[Benefit Name],0)=Lookups!$D$16),Lookups!$D$24,
IF(AND(Table2[[#This Row],[Member Type]]="Child",Table2[[#This Row],[Product Option]]="My Value Plus Life &amp; Funeral",_xlfn.XLOOKUP(B283,Table2[Main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Funeral",_xlfn.XLOOKUP(B283,Table2[Main Member Link ID],Table2[Benefit Name],0)&lt;&gt;Lookups!$D$14),
IF(_xlfn.XLOOKUP(B283,Table2[Main Member Link ID],Table2[Benefit Name],0)=0,"",_xlfn.XLOOKUP(B283,Table2[Main Member Link ID],Table2[Benefit Name],0)),"")))))))))))))))</f>
        <v/>
      </c>
      <c r="AF283" s="327" t="str">
        <f>IF(AND(Table2[[#This Row],[Member Type]]="Main Member",Table2[[#This Row],[Product Option]]="My Value Plus Life &amp; Funeral"),Lookups!$D$15,
IF(AND(Table2[[#This Row],[Member Type]]="Spouse",Table2[[#This Row],[Product Option]]="My Value Plus Life &amp; Funeral",_xlfn.XLOOKUP(B283,Table2[Main Member Link ID],Table2[Benefit Name],0)=Lookups!$D$14),"",
IF(AND(Table2[[#This Row],[Member Type]]="Spouse",Table2[[#This Row],[Product Option]]="My Value Plus Life &amp; Funeral",_xlfn.XLOOKUP(B282,Table2[Main Member Link ID],Table2[Benefit Name],0)=Lookups!$D$16),"",
IF(AND(Table2[[#This Row],[Member Type]]="Spouse",Table2[[#This Row],[Product Option]]="My Value Plus Life &amp; Funeral",_xlfn.XLOOKUP(B282,Table2[Main Member Link ID],Table2[Benefit Name],0)=Lookups!$D$15),"",
IF(AND(Table2[[#This Row],[Member Type]]="Spouse",Table2[[#This Row],[Product Option]]="My Value Plus Life &amp; Funeral",_xlfn.XLOOKUP(B282,Table2[Main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Funeral",_xlfn.XLOOKUP(B283,Table2[Main Member Link ID],Table2[Benefit Name],0)&lt;&gt;Lookups!$D$15),
IF(_xlfn.XLOOKUP(B283,Table2[Main Member Link ID],Table2[Benefit Name],0)=0,"",_xlfn.XLOOKUP(B283,Table2[Main Member Link ID],Table2[Benefit Name],0)),"")
))))))</f>
        <v/>
      </c>
      <c r="AG283" s="327" t="str">
        <f>IF(AND(Table2[[#This Row],[Member Type]]="Main Member",Table2[[#This Row],[Product Option]]="My Value Plus Life &amp; Funeral"),Lookups!$D$16,
IF(AND(Table2[[#This Row],[Member Type]]="Spouse",Table2[[#This Row],[Product Option]]="My Value Plus Life &amp; Funeral",_xlfn.XLOOKUP(B283,Table2[Main Member Link ID],Table2[Benefit Name],0)=Lookups!$D$14),"",
IF(AND(Table2[[#This Row],[Member Type]]="Spouse",Table2[[#This Row],[Product Option]]="My Value Plus Life &amp; Funeral",_xlfn.XLOOKUP(B282,Table2[Main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Funeral",_xlfn.XLOOKUP(B283,Table2[Main Member Link ID],Table2[Benefit Name],0)&lt;&gt;Lookups!$D$16),
IF(_xlfn.XLOOKUP(B283,Table2[Main Member Link ID],Table2[Benefit Name],0)=0,"",_xlfn.XLOOKUP(B283,Table2[Main Member Link ID],Table2[Benefit Name],0)),"")
))))</f>
        <v/>
      </c>
      <c r="AH283" s="327" t="str">
        <f>IF(AND(Table2[[#This Row],[Member Type]]="Main Member",Table2[[#This Row],[Product Option]]="My Value Plus Life &amp; Funeral"),Lookups!$D$17,
IF(AND(Table2[[#This Row],[Member Type]]="Spouse",Table2[[#This Row],[Product Option]]="My Value Plus Life &amp; Funeral",_xlfn.XLOOKUP(B283,Table2[Main Member Link ID],Table2[Benefit Name],0)=Lookups!$D$14),"",
IF(AND(Table2[[#This Row],[Member Type]]="Spouse",Table2[[#This Row],[Product Option]]="My Value Plus Life &amp; Funeral",_xlfn.XLOOKUP(B282,Table2[Main Member Link ID],Table2[Benefit Name],0)=Lookups!$D$16),"",
IF(AND(Table2[[#This Row],[Member Type]]="Child",Table2[[#This Row],[Product Option]]="My Value Plus Life &amp; Funeral"),"",
IF(AND(Table2[[#This Row],[Member Type]]="Child",Table2[[#This Row],[Product Option]]="My Value Plus Life &amp; Funeral",_xlfn.XLOOKUP(B283,Table2[Main Member Link ID],Table2[Benefit Name],0)=Lookups!$D$15),"",
IF(AND(OR(Table2[[#This Row],[Member Type]]="Spouse",Table2[[#This Row],[Member Type]]="Child"),Table2[[#This Row],[Product Option]]="My Value Plus Life &amp; Funeral",_xlfn.XLOOKUP(B283,Table2[Main Member Link ID],Table2[Benefit Name],0)&lt;&gt;Lookups!$D$17),
IF(_xlfn.XLOOKUP(B283,Table2[Main Member Link ID],Table2[Benefit Name],0)=0,"",_xlfn.XLOOKUP(B283,Table2[Main Member Link ID],Table2[Benefit Name],0)),""))))))</f>
        <v/>
      </c>
      <c r="AI283" s="328" t="str">
        <f>IF(AND(Table2[[#This Row],[Member Type]]="Main Member",Table2[[#This Row],[Table Lookup for Life Cover]]="MM_LIFE",Table2[[#This Row],[Age Next Birthday]]&lt;56),1,
IF(AND(Table2[[#This Row],[Member Type]]="Main Member",Table2[[#This Row],[Table Lookup for Life Cover]]="MM_LIFE",Table2[[#This Row],[Age Next Birthday]]&gt;=56),2,
""))</f>
        <v/>
      </c>
      <c r="AJ283" s="328">
        <f>IF(OR(Table2[[#This Row],[Member Type]]="Main Member",Table2[[#This Row],[Main Member Link ID]]=B282),1,0)</f>
        <v>1</v>
      </c>
      <c r="AK283" s="328">
        <f>IF(Table2[[#This Row],[Member Type]]=0,0,
IF(OR(Table2[[#This Row],[Member Type]]="Main Member",Table2[[#This Row],[Main Member Link ID]]&lt;&gt;B283),COUNTIFS(B:B,Table2[[#This Row],[Main Member Link ID]]),
COUNTIFS(B:B,Table2[[#This Row],[Main Member Link ID]],A:A,Table2[[#This Row],[Member Type]])))</f>
        <v>0</v>
      </c>
    </row>
    <row r="284" spans="1:37" x14ac:dyDescent="0.3">
      <c r="A284" s="284">
        <f>Table13[[#This Row],[Member Type]]</f>
        <v>0</v>
      </c>
      <c r="B284" s="284">
        <f>Table13[[#This Row],[Main Member Link ID]]</f>
        <v>0</v>
      </c>
      <c r="C284" s="284">
        <f>Table13[[#This Row],[ID Number]]</f>
        <v>0</v>
      </c>
      <c r="D284" s="285">
        <f>Table13[[#This Row],[Date Of Birth]]</f>
        <v>0</v>
      </c>
      <c r="E284" s="285">
        <f>Table13[[#This Row],[Commencement Date]]</f>
        <v>0</v>
      </c>
      <c r="F284" s="284">
        <f t="shared" si="28"/>
        <v>1</v>
      </c>
      <c r="G284" s="284">
        <f t="shared" si="29"/>
        <v>25</v>
      </c>
      <c r="H284" s="286">
        <f>Table13[[#This Row],[Product Option]]</f>
        <v>0</v>
      </c>
      <c r="I284" s="284">
        <f>IF(AND($A284="Main Member",Table2[[#This Row],[Product Option]]="My Value Plus Life"),"MM_LIFE",
IF(AND($A284="Spouse",Table2[[#This Row],[Product Option]]="My Value Plus Life"),"SP_LIFE",
IF(AND($A284="Main Member",Table2[[#This Row],[Product Option]]="My Value Plus Life &amp; Funeral"),"MM_LIFE",
IF(AND($A284="Spouse",Table2[[#This Row],[Product Option]]="My Value Plus Life &amp; Funeral"),_xlfn.XLOOKUP(Table2[[#This Row],[Benefit Name]],Lookups!$D$18:$D$23,Lookups!$E$18:$E$23,0),
0))))</f>
        <v>0</v>
      </c>
      <c r="J284" s="284">
        <f>IF($I284="","",
IF($I284="MM_LIFE",INDEX('Quotation Tool'!$S$54:$V$60,MATCH($T284,'Quotation Tool'!$S$54:$S$60,0),4),
IF($I284="SP_LIFE",_xlfn.XLOOKUP(B283,$B:$B,$J:$J,0),0)))</f>
        <v>0</v>
      </c>
      <c r="K284" s="287">
        <f t="shared" ca="1" si="33"/>
        <v>0</v>
      </c>
      <c r="L284" s="288">
        <f t="shared" ca="1" si="34"/>
        <v>0</v>
      </c>
      <c r="M284" s="289">
        <f t="shared" ca="1" si="30"/>
        <v>0</v>
      </c>
      <c r="N284" s="286">
        <f>Table13[[#This Row],[Benefit Option]]</f>
        <v>0</v>
      </c>
      <c r="O284" s="284">
        <f>IF(OR(Table2[[#This Row],[Member Type]]="Spouse",Table2[[#This Row],[Member Type]]="Child"),0,
IF(_xlfn.XLOOKUP($N284,Lookups!$D$13:$D$27,Lookups!$F$13:$F$27,0)=Table2[[#This Row],[Table Lookup for Life Cover]],0,
_xlfn.XLOOKUP($N284,Lookups!$D$13:$D$27,Lookups!$F$13:$F$27,0)))</f>
        <v>0</v>
      </c>
      <c r="P284" s="284">
        <f>IF(Table2[[#This Row],[Table Lookup for Funeral]]=0,0,IFERROR(INDEX('Quotation Tool'!$S$54:$V$60,MATCH($T284,'Quotation Tool'!$S$54:$S$60,0),3),0))</f>
        <v>0</v>
      </c>
      <c r="Q284" s="288">
        <f ca="1">IF(OR(Table2[[#This Row],[Benefit Name]]="My Value Plus Life - Main Member",Table2[[#This Row],[Benefit Name]]="My Value Plus Life - Spouse"),0,
IFERROR(VLOOKUP($G284,INDIRECT($O284),$P284,FALSE),0))</f>
        <v>0</v>
      </c>
      <c r="R284" s="288">
        <f ca="1">IF(OR(Table2[[#This Row],[Benefit Name]]="My Value Plus Life - Main Member",Table2[[#This Row],[Benefit Name]]="My Value Plus Life - Spouse"),0,
IFERROR(VLOOKUP($G284,INDIRECT($O284),$P284+1,FALSE),0))</f>
        <v>0</v>
      </c>
      <c r="S284" s="289">
        <f t="shared" ca="1" si="31"/>
        <v>0</v>
      </c>
      <c r="T284" s="284" t="str">
        <f>IF(Table13[[#This Row],[Premium Waiver]]="","None",Table13[[#This Row],[Premium Waiver]])</f>
        <v>None</v>
      </c>
      <c r="U284" s="284">
        <f>Table13[[#This Row],[VAPs Options]]</f>
        <v>0</v>
      </c>
      <c r="V284" s="284">
        <f>Table13[[#This Row],[Annual Increase Option]]</f>
        <v>0</v>
      </c>
      <c r="W284" s="290">
        <f>Table13[[#This Row],[Life Cover Amount]]</f>
        <v>0</v>
      </c>
      <c r="X284" s="290">
        <f>Table13[[#This Row],[Funeral Cover Amount]]</f>
        <v>0</v>
      </c>
      <c r="Y28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8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84" s="301">
        <f t="shared" ca="1" si="32"/>
        <v>0</v>
      </c>
      <c r="AB284" s="298"/>
      <c r="AC284" s="326" t="str">
        <f>IF(Table2[[#This Row],[Member Type]]="Main Member",Lookups!$C$13,
IF(Table2[[#This Row],[Member Type]]="Spouse",_xlfn.XLOOKUP(B284,Table2[Main Member Link ID],Table2[Product Option],0),
IF(AND(Table2[[#This Row],[Member Type]]="Child",_xlfn.XLOOKUP(B284,Table2[Main Member Link ID],Table2[Product Option],0)&lt;&gt;"My Value Plus Life"),Lookups!$C$24,
IF(AND(OR(Table2[[#This Row],[Member Type]]="Parent",Table2[[#This Row],[Member Type]]="Extended"),_xlfn.XLOOKUP(B284,Table2[Main Member Link ID],Table2[Product Option],0)&lt;&gt;"My Value Plus Life"),Lookups!$C$26,""))))</f>
        <v/>
      </c>
      <c r="AD284" s="326" t="str">
        <f>IF(Table2[[#This Row],[Member Type]]="Main Member",Lookups!$C$14,"")</f>
        <v/>
      </c>
      <c r="AE28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Funeral",_xlfn.XLOOKUP(B284,Table2[Main Member Link ID],Table2[Benefit Name],0)=Lookups!$D$14),"",
IF(AND(Table2[[#This Row],[Member Type]]="Spouse",Table2[[#This Row],[Product Option]]="My Value Plus Life &amp; Funeral",_xlfn.XLOOKUP(B283,Table2[Main Member Link ID],Table2[Benefit Name],0)=Lookups!$D$15),Lookups!$D$20,
IF(AND(Table2[[#This Row],[Member Type]]="Spouse",Table2[[#This Row],[Product Option]]="My Value Plus Life &amp; Funeral",_xlfn.XLOOKUP(B283,Table2[Main Member Link ID],Table2[Benefit Name],0)=Lookups!$D$16),"",
IF(AND(Table2[[#This Row],[Member Type]]="Spouse",Table2[[#This Row],[Product Option]]="My Value Plus Life &amp; Funeral",_xlfn.XLOOKUP(B283,Table2[Main Member Link ID],Table2[Benefit Name],0)=Lookups!$D$17),Lookups!$D$21,
IF(AND(Table2[[#This Row],[Member Type]]="Child",Table2[[#This Row],[Product Option]]="My Value Plus Life &amp; Funeral",_xlfn.XLOOKUP(B284,Table2[Main Member Link ID],Table2[Benefit Name],0)=Lookups!$D$14),"",
IF(AND(Table2[[#This Row],[Member Type]]="Child",Table2[[#This Row],[Product Option]]="My Value Plus Life &amp; Funeral",_xlfn.XLOOKUP(B284,Table2[Main Member Link ID],Table2[Benefit Name],0)=Lookups!$D$15),"",
IF(AND(Table2[[#This Row],[Member Type]]="Child",Table2[[#This Row],[Product Option]]="My Value Plus Life &amp; Funeral",_xlfn.XLOOKUP(B284,Table2[Main Member Link ID],Table2[Benefit Name],0)=Lookups!$D$16),Lookups!$D$24,
IF(AND(Table2[[#This Row],[Member Type]]="Child",Table2[[#This Row],[Product Option]]="My Value Plus Life &amp; Funeral",_xlfn.XLOOKUP(B284,Table2[Main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Funeral",_xlfn.XLOOKUP(B284,Table2[Main Member Link ID],Table2[Benefit Name],0)&lt;&gt;Lookups!$D$14),
IF(_xlfn.XLOOKUP(B284,Table2[Main Member Link ID],Table2[Benefit Name],0)=0,"",_xlfn.XLOOKUP(B284,Table2[Main Member Link ID],Table2[Benefit Name],0)),"")))))))))))))))</f>
        <v/>
      </c>
      <c r="AF284" s="327" t="str">
        <f>IF(AND(Table2[[#This Row],[Member Type]]="Main Member",Table2[[#This Row],[Product Option]]="My Value Plus Life &amp; Funeral"),Lookups!$D$15,
IF(AND(Table2[[#This Row],[Member Type]]="Spouse",Table2[[#This Row],[Product Option]]="My Value Plus Life &amp; Funeral",_xlfn.XLOOKUP(B284,Table2[Main Member Link ID],Table2[Benefit Name],0)=Lookups!$D$14),"",
IF(AND(Table2[[#This Row],[Member Type]]="Spouse",Table2[[#This Row],[Product Option]]="My Value Plus Life &amp; Funeral",_xlfn.XLOOKUP(B283,Table2[Main Member Link ID],Table2[Benefit Name],0)=Lookups!$D$16),"",
IF(AND(Table2[[#This Row],[Member Type]]="Spouse",Table2[[#This Row],[Product Option]]="My Value Plus Life &amp; Funeral",_xlfn.XLOOKUP(B283,Table2[Main Member Link ID],Table2[Benefit Name],0)=Lookups!$D$15),"",
IF(AND(Table2[[#This Row],[Member Type]]="Spouse",Table2[[#This Row],[Product Option]]="My Value Plus Life &amp; Funeral",_xlfn.XLOOKUP(B283,Table2[Main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Funeral",_xlfn.XLOOKUP(B284,Table2[Main Member Link ID],Table2[Benefit Name],0)&lt;&gt;Lookups!$D$15),
IF(_xlfn.XLOOKUP(B284,Table2[Main Member Link ID],Table2[Benefit Name],0)=0,"",_xlfn.XLOOKUP(B284,Table2[Main Member Link ID],Table2[Benefit Name],0)),"")
))))))</f>
        <v/>
      </c>
      <c r="AG284" s="327" t="str">
        <f>IF(AND(Table2[[#This Row],[Member Type]]="Main Member",Table2[[#This Row],[Product Option]]="My Value Plus Life &amp; Funeral"),Lookups!$D$16,
IF(AND(Table2[[#This Row],[Member Type]]="Spouse",Table2[[#This Row],[Product Option]]="My Value Plus Life &amp; Funeral",_xlfn.XLOOKUP(B284,Table2[Main Member Link ID],Table2[Benefit Name],0)=Lookups!$D$14),"",
IF(AND(Table2[[#This Row],[Member Type]]="Spouse",Table2[[#This Row],[Product Option]]="My Value Plus Life &amp; Funeral",_xlfn.XLOOKUP(B283,Table2[Main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Funeral",_xlfn.XLOOKUP(B284,Table2[Main Member Link ID],Table2[Benefit Name],0)&lt;&gt;Lookups!$D$16),
IF(_xlfn.XLOOKUP(B284,Table2[Main Member Link ID],Table2[Benefit Name],0)=0,"",_xlfn.XLOOKUP(B284,Table2[Main Member Link ID],Table2[Benefit Name],0)),"")
))))</f>
        <v/>
      </c>
      <c r="AH284" s="327" t="str">
        <f>IF(AND(Table2[[#This Row],[Member Type]]="Main Member",Table2[[#This Row],[Product Option]]="My Value Plus Life &amp; Funeral"),Lookups!$D$17,
IF(AND(Table2[[#This Row],[Member Type]]="Spouse",Table2[[#This Row],[Product Option]]="My Value Plus Life &amp; Funeral",_xlfn.XLOOKUP(B284,Table2[Main Member Link ID],Table2[Benefit Name],0)=Lookups!$D$14),"",
IF(AND(Table2[[#This Row],[Member Type]]="Spouse",Table2[[#This Row],[Product Option]]="My Value Plus Life &amp; Funeral",_xlfn.XLOOKUP(B283,Table2[Main Member Link ID],Table2[Benefit Name],0)=Lookups!$D$16),"",
IF(AND(Table2[[#This Row],[Member Type]]="Child",Table2[[#This Row],[Product Option]]="My Value Plus Life &amp; Funeral"),"",
IF(AND(Table2[[#This Row],[Member Type]]="Child",Table2[[#This Row],[Product Option]]="My Value Plus Life &amp; Funeral",_xlfn.XLOOKUP(B284,Table2[Main Member Link ID],Table2[Benefit Name],0)=Lookups!$D$15),"",
IF(AND(OR(Table2[[#This Row],[Member Type]]="Spouse",Table2[[#This Row],[Member Type]]="Child"),Table2[[#This Row],[Product Option]]="My Value Plus Life &amp; Funeral",_xlfn.XLOOKUP(B284,Table2[Main Member Link ID],Table2[Benefit Name],0)&lt;&gt;Lookups!$D$17),
IF(_xlfn.XLOOKUP(B284,Table2[Main Member Link ID],Table2[Benefit Name],0)=0,"",_xlfn.XLOOKUP(B284,Table2[Main Member Link ID],Table2[Benefit Name],0)),""))))))</f>
        <v/>
      </c>
      <c r="AI284" s="328" t="str">
        <f>IF(AND(Table2[[#This Row],[Member Type]]="Main Member",Table2[[#This Row],[Table Lookup for Life Cover]]="MM_LIFE",Table2[[#This Row],[Age Next Birthday]]&lt;56),1,
IF(AND(Table2[[#This Row],[Member Type]]="Main Member",Table2[[#This Row],[Table Lookup for Life Cover]]="MM_LIFE",Table2[[#This Row],[Age Next Birthday]]&gt;=56),2,
""))</f>
        <v/>
      </c>
      <c r="AJ284" s="328">
        <f>IF(OR(Table2[[#This Row],[Member Type]]="Main Member",Table2[[#This Row],[Main Member Link ID]]=B283),1,0)</f>
        <v>1</v>
      </c>
      <c r="AK284" s="328">
        <f>IF(Table2[[#This Row],[Member Type]]=0,0,
IF(OR(Table2[[#This Row],[Member Type]]="Main Member",Table2[[#This Row],[Main Member Link ID]]&lt;&gt;B284),COUNTIFS(B:B,Table2[[#This Row],[Main Member Link ID]]),
COUNTIFS(B:B,Table2[[#This Row],[Main Member Link ID]],A:A,Table2[[#This Row],[Member Type]])))</f>
        <v>0</v>
      </c>
    </row>
    <row r="285" spans="1:37" x14ac:dyDescent="0.3">
      <c r="A285" s="284">
        <f>Table13[[#This Row],[Member Type]]</f>
        <v>0</v>
      </c>
      <c r="B285" s="284">
        <f>Table13[[#This Row],[Main Member Link ID]]</f>
        <v>0</v>
      </c>
      <c r="C285" s="284">
        <f>Table13[[#This Row],[ID Number]]</f>
        <v>0</v>
      </c>
      <c r="D285" s="285">
        <f>Table13[[#This Row],[Date Of Birth]]</f>
        <v>0</v>
      </c>
      <c r="E285" s="285">
        <f>Table13[[#This Row],[Commencement Date]]</f>
        <v>0</v>
      </c>
      <c r="F285" s="284">
        <f t="shared" si="28"/>
        <v>1</v>
      </c>
      <c r="G285" s="284">
        <f t="shared" si="29"/>
        <v>25</v>
      </c>
      <c r="H285" s="286">
        <f>Table13[[#This Row],[Product Option]]</f>
        <v>0</v>
      </c>
      <c r="I285" s="284">
        <f>IF(AND($A285="Main Member",Table2[[#This Row],[Product Option]]="My Value Plus Life"),"MM_LIFE",
IF(AND($A285="Spouse",Table2[[#This Row],[Product Option]]="My Value Plus Life"),"SP_LIFE",
IF(AND($A285="Main Member",Table2[[#This Row],[Product Option]]="My Value Plus Life &amp; Funeral"),"MM_LIFE",
IF(AND($A285="Spouse",Table2[[#This Row],[Product Option]]="My Value Plus Life &amp; Funeral"),_xlfn.XLOOKUP(Table2[[#This Row],[Benefit Name]],Lookups!$D$18:$D$23,Lookups!$E$18:$E$23,0),
0))))</f>
        <v>0</v>
      </c>
      <c r="J285" s="284">
        <f>IF($I285="","",
IF($I285="MM_LIFE",INDEX('Quotation Tool'!$S$54:$V$60,MATCH($T285,'Quotation Tool'!$S$54:$S$60,0),4),
IF($I285="SP_LIFE",_xlfn.XLOOKUP(B284,$B:$B,$J:$J,0),0)))</f>
        <v>0</v>
      </c>
      <c r="K285" s="287">
        <f t="shared" ca="1" si="33"/>
        <v>0</v>
      </c>
      <c r="L285" s="288">
        <f t="shared" ca="1" si="34"/>
        <v>0</v>
      </c>
      <c r="M285" s="289">
        <f t="shared" ca="1" si="30"/>
        <v>0</v>
      </c>
      <c r="N285" s="286">
        <f>Table13[[#This Row],[Benefit Option]]</f>
        <v>0</v>
      </c>
      <c r="O285" s="284">
        <f>IF(OR(Table2[[#This Row],[Member Type]]="Spouse",Table2[[#This Row],[Member Type]]="Child"),0,
IF(_xlfn.XLOOKUP($N285,Lookups!$D$13:$D$27,Lookups!$F$13:$F$27,0)=Table2[[#This Row],[Table Lookup for Life Cover]],0,
_xlfn.XLOOKUP($N285,Lookups!$D$13:$D$27,Lookups!$F$13:$F$27,0)))</f>
        <v>0</v>
      </c>
      <c r="P285" s="284">
        <f>IF(Table2[[#This Row],[Table Lookup for Funeral]]=0,0,IFERROR(INDEX('Quotation Tool'!$S$54:$V$60,MATCH($T285,'Quotation Tool'!$S$54:$S$60,0),3),0))</f>
        <v>0</v>
      </c>
      <c r="Q285" s="288">
        <f ca="1">IF(OR(Table2[[#This Row],[Benefit Name]]="My Value Plus Life - Main Member",Table2[[#This Row],[Benefit Name]]="My Value Plus Life - Spouse"),0,
IFERROR(VLOOKUP($G285,INDIRECT($O285),$P285,FALSE),0))</f>
        <v>0</v>
      </c>
      <c r="R285" s="288">
        <f ca="1">IF(OR(Table2[[#This Row],[Benefit Name]]="My Value Plus Life - Main Member",Table2[[#This Row],[Benefit Name]]="My Value Plus Life - Spouse"),0,
IFERROR(VLOOKUP($G285,INDIRECT($O285),$P285+1,FALSE),0))</f>
        <v>0</v>
      </c>
      <c r="S285" s="289">
        <f t="shared" ca="1" si="31"/>
        <v>0</v>
      </c>
      <c r="T285" s="284" t="str">
        <f>IF(Table13[[#This Row],[Premium Waiver]]="","None",Table13[[#This Row],[Premium Waiver]])</f>
        <v>None</v>
      </c>
      <c r="U285" s="284">
        <f>Table13[[#This Row],[VAPs Options]]</f>
        <v>0</v>
      </c>
      <c r="V285" s="284">
        <f>Table13[[#This Row],[Annual Increase Option]]</f>
        <v>0</v>
      </c>
      <c r="W285" s="290">
        <f>Table13[[#This Row],[Life Cover Amount]]</f>
        <v>0</v>
      </c>
      <c r="X285" s="290">
        <f>Table13[[#This Row],[Funeral Cover Amount]]</f>
        <v>0</v>
      </c>
      <c r="Y28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8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85" s="301">
        <f t="shared" ca="1" si="32"/>
        <v>0</v>
      </c>
      <c r="AB285" s="298"/>
      <c r="AC285" s="326" t="str">
        <f>IF(Table2[[#This Row],[Member Type]]="Main Member",Lookups!$C$13,
IF(Table2[[#This Row],[Member Type]]="Spouse",_xlfn.XLOOKUP(B285,Table2[Main Member Link ID],Table2[Product Option],0),
IF(AND(Table2[[#This Row],[Member Type]]="Child",_xlfn.XLOOKUP(B285,Table2[Main Member Link ID],Table2[Product Option],0)&lt;&gt;"My Value Plus Life"),Lookups!$C$24,
IF(AND(OR(Table2[[#This Row],[Member Type]]="Parent",Table2[[#This Row],[Member Type]]="Extended"),_xlfn.XLOOKUP(B285,Table2[Main Member Link ID],Table2[Product Option],0)&lt;&gt;"My Value Plus Life"),Lookups!$C$26,""))))</f>
        <v/>
      </c>
      <c r="AD285" s="326" t="str">
        <f>IF(Table2[[#This Row],[Member Type]]="Main Member",Lookups!$C$14,"")</f>
        <v/>
      </c>
      <c r="AE28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Funeral",_xlfn.XLOOKUP(B285,Table2[Main Member Link ID],Table2[Benefit Name],0)=Lookups!$D$14),"",
IF(AND(Table2[[#This Row],[Member Type]]="Spouse",Table2[[#This Row],[Product Option]]="My Value Plus Life &amp; Funeral",_xlfn.XLOOKUP(B284,Table2[Main Member Link ID],Table2[Benefit Name],0)=Lookups!$D$15),Lookups!$D$20,
IF(AND(Table2[[#This Row],[Member Type]]="Spouse",Table2[[#This Row],[Product Option]]="My Value Plus Life &amp; Funeral",_xlfn.XLOOKUP(B284,Table2[Main Member Link ID],Table2[Benefit Name],0)=Lookups!$D$16),"",
IF(AND(Table2[[#This Row],[Member Type]]="Spouse",Table2[[#This Row],[Product Option]]="My Value Plus Life &amp; Funeral",_xlfn.XLOOKUP(B284,Table2[Main Member Link ID],Table2[Benefit Name],0)=Lookups!$D$17),Lookups!$D$21,
IF(AND(Table2[[#This Row],[Member Type]]="Child",Table2[[#This Row],[Product Option]]="My Value Plus Life &amp; Funeral",_xlfn.XLOOKUP(B285,Table2[Main Member Link ID],Table2[Benefit Name],0)=Lookups!$D$14),"",
IF(AND(Table2[[#This Row],[Member Type]]="Child",Table2[[#This Row],[Product Option]]="My Value Plus Life &amp; Funeral",_xlfn.XLOOKUP(B285,Table2[Main Member Link ID],Table2[Benefit Name],0)=Lookups!$D$15),"",
IF(AND(Table2[[#This Row],[Member Type]]="Child",Table2[[#This Row],[Product Option]]="My Value Plus Life &amp; Funeral",_xlfn.XLOOKUP(B285,Table2[Main Member Link ID],Table2[Benefit Name],0)=Lookups!$D$16),Lookups!$D$24,
IF(AND(Table2[[#This Row],[Member Type]]="Child",Table2[[#This Row],[Product Option]]="My Value Plus Life &amp; Funeral",_xlfn.XLOOKUP(B285,Table2[Main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Funeral",_xlfn.XLOOKUP(B285,Table2[Main Member Link ID],Table2[Benefit Name],0)&lt;&gt;Lookups!$D$14),
IF(_xlfn.XLOOKUP(B285,Table2[Main Member Link ID],Table2[Benefit Name],0)=0,"",_xlfn.XLOOKUP(B285,Table2[Main Member Link ID],Table2[Benefit Name],0)),"")))))))))))))))</f>
        <v/>
      </c>
      <c r="AF285" s="327" t="str">
        <f>IF(AND(Table2[[#This Row],[Member Type]]="Main Member",Table2[[#This Row],[Product Option]]="My Value Plus Life &amp; Funeral"),Lookups!$D$15,
IF(AND(Table2[[#This Row],[Member Type]]="Spouse",Table2[[#This Row],[Product Option]]="My Value Plus Life &amp; Funeral",_xlfn.XLOOKUP(B285,Table2[Main Member Link ID],Table2[Benefit Name],0)=Lookups!$D$14),"",
IF(AND(Table2[[#This Row],[Member Type]]="Spouse",Table2[[#This Row],[Product Option]]="My Value Plus Life &amp; Funeral",_xlfn.XLOOKUP(B284,Table2[Main Member Link ID],Table2[Benefit Name],0)=Lookups!$D$16),"",
IF(AND(Table2[[#This Row],[Member Type]]="Spouse",Table2[[#This Row],[Product Option]]="My Value Plus Life &amp; Funeral",_xlfn.XLOOKUP(B284,Table2[Main Member Link ID],Table2[Benefit Name],0)=Lookups!$D$15),"",
IF(AND(Table2[[#This Row],[Member Type]]="Spouse",Table2[[#This Row],[Product Option]]="My Value Plus Life &amp; Funeral",_xlfn.XLOOKUP(B284,Table2[Main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Funeral",_xlfn.XLOOKUP(B285,Table2[Main Member Link ID],Table2[Benefit Name],0)&lt;&gt;Lookups!$D$15),
IF(_xlfn.XLOOKUP(B285,Table2[Main Member Link ID],Table2[Benefit Name],0)=0,"",_xlfn.XLOOKUP(B285,Table2[Main Member Link ID],Table2[Benefit Name],0)),"")
))))))</f>
        <v/>
      </c>
      <c r="AG285" s="327" t="str">
        <f>IF(AND(Table2[[#This Row],[Member Type]]="Main Member",Table2[[#This Row],[Product Option]]="My Value Plus Life &amp; Funeral"),Lookups!$D$16,
IF(AND(Table2[[#This Row],[Member Type]]="Spouse",Table2[[#This Row],[Product Option]]="My Value Plus Life &amp; Funeral",_xlfn.XLOOKUP(B285,Table2[Main Member Link ID],Table2[Benefit Name],0)=Lookups!$D$14),"",
IF(AND(Table2[[#This Row],[Member Type]]="Spouse",Table2[[#This Row],[Product Option]]="My Value Plus Life &amp; Funeral",_xlfn.XLOOKUP(B284,Table2[Main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Funeral",_xlfn.XLOOKUP(B285,Table2[Main Member Link ID],Table2[Benefit Name],0)&lt;&gt;Lookups!$D$16),
IF(_xlfn.XLOOKUP(B285,Table2[Main Member Link ID],Table2[Benefit Name],0)=0,"",_xlfn.XLOOKUP(B285,Table2[Main Member Link ID],Table2[Benefit Name],0)),"")
))))</f>
        <v/>
      </c>
      <c r="AH285" s="327" t="str">
        <f>IF(AND(Table2[[#This Row],[Member Type]]="Main Member",Table2[[#This Row],[Product Option]]="My Value Plus Life &amp; Funeral"),Lookups!$D$17,
IF(AND(Table2[[#This Row],[Member Type]]="Spouse",Table2[[#This Row],[Product Option]]="My Value Plus Life &amp; Funeral",_xlfn.XLOOKUP(B285,Table2[Main Member Link ID],Table2[Benefit Name],0)=Lookups!$D$14),"",
IF(AND(Table2[[#This Row],[Member Type]]="Spouse",Table2[[#This Row],[Product Option]]="My Value Plus Life &amp; Funeral",_xlfn.XLOOKUP(B284,Table2[Main Member Link ID],Table2[Benefit Name],0)=Lookups!$D$16),"",
IF(AND(Table2[[#This Row],[Member Type]]="Child",Table2[[#This Row],[Product Option]]="My Value Plus Life &amp; Funeral"),"",
IF(AND(Table2[[#This Row],[Member Type]]="Child",Table2[[#This Row],[Product Option]]="My Value Plus Life &amp; Funeral",_xlfn.XLOOKUP(B285,Table2[Main Member Link ID],Table2[Benefit Name],0)=Lookups!$D$15),"",
IF(AND(OR(Table2[[#This Row],[Member Type]]="Spouse",Table2[[#This Row],[Member Type]]="Child"),Table2[[#This Row],[Product Option]]="My Value Plus Life &amp; Funeral",_xlfn.XLOOKUP(B285,Table2[Main Member Link ID],Table2[Benefit Name],0)&lt;&gt;Lookups!$D$17),
IF(_xlfn.XLOOKUP(B285,Table2[Main Member Link ID],Table2[Benefit Name],0)=0,"",_xlfn.XLOOKUP(B285,Table2[Main Member Link ID],Table2[Benefit Name],0)),""))))))</f>
        <v/>
      </c>
      <c r="AI285" s="328" t="str">
        <f>IF(AND(Table2[[#This Row],[Member Type]]="Main Member",Table2[[#This Row],[Table Lookup for Life Cover]]="MM_LIFE",Table2[[#This Row],[Age Next Birthday]]&lt;56),1,
IF(AND(Table2[[#This Row],[Member Type]]="Main Member",Table2[[#This Row],[Table Lookup for Life Cover]]="MM_LIFE",Table2[[#This Row],[Age Next Birthday]]&gt;=56),2,
""))</f>
        <v/>
      </c>
      <c r="AJ285" s="328">
        <f>IF(OR(Table2[[#This Row],[Member Type]]="Main Member",Table2[[#This Row],[Main Member Link ID]]=B284),1,0)</f>
        <v>1</v>
      </c>
      <c r="AK285" s="328">
        <f>IF(Table2[[#This Row],[Member Type]]=0,0,
IF(OR(Table2[[#This Row],[Member Type]]="Main Member",Table2[[#This Row],[Main Member Link ID]]&lt;&gt;B285),COUNTIFS(B:B,Table2[[#This Row],[Main Member Link ID]]),
COUNTIFS(B:B,Table2[[#This Row],[Main Member Link ID]],A:A,Table2[[#This Row],[Member Type]])))</f>
        <v>0</v>
      </c>
    </row>
    <row r="286" spans="1:37" x14ac:dyDescent="0.3">
      <c r="A286" s="284">
        <f>Table13[[#This Row],[Member Type]]</f>
        <v>0</v>
      </c>
      <c r="B286" s="284">
        <f>Table13[[#This Row],[Main Member Link ID]]</f>
        <v>0</v>
      </c>
      <c r="C286" s="284">
        <f>Table13[[#This Row],[ID Number]]</f>
        <v>0</v>
      </c>
      <c r="D286" s="285">
        <f>Table13[[#This Row],[Date Of Birth]]</f>
        <v>0</v>
      </c>
      <c r="E286" s="285">
        <f>Table13[[#This Row],[Commencement Date]]</f>
        <v>0</v>
      </c>
      <c r="F286" s="284">
        <f t="shared" si="28"/>
        <v>1</v>
      </c>
      <c r="G286" s="284">
        <f t="shared" si="29"/>
        <v>25</v>
      </c>
      <c r="H286" s="286">
        <f>Table13[[#This Row],[Product Option]]</f>
        <v>0</v>
      </c>
      <c r="I286" s="284">
        <f>IF(AND($A286="Main Member",Table2[[#This Row],[Product Option]]="My Value Plus Life"),"MM_LIFE",
IF(AND($A286="Spouse",Table2[[#This Row],[Product Option]]="My Value Plus Life"),"SP_LIFE",
IF(AND($A286="Main Member",Table2[[#This Row],[Product Option]]="My Value Plus Life &amp; Funeral"),"MM_LIFE",
IF(AND($A286="Spouse",Table2[[#This Row],[Product Option]]="My Value Plus Life &amp; Funeral"),_xlfn.XLOOKUP(Table2[[#This Row],[Benefit Name]],Lookups!$D$18:$D$23,Lookups!$E$18:$E$23,0),
0))))</f>
        <v>0</v>
      </c>
      <c r="J286" s="284">
        <f>IF($I286="","",
IF($I286="MM_LIFE",INDEX('Quotation Tool'!$S$54:$V$60,MATCH($T286,'Quotation Tool'!$S$54:$S$60,0),4),
IF($I286="SP_LIFE",_xlfn.XLOOKUP(B285,$B:$B,$J:$J,0),0)))</f>
        <v>0</v>
      </c>
      <c r="K286" s="287">
        <f t="shared" ca="1" si="33"/>
        <v>0</v>
      </c>
      <c r="L286" s="288">
        <f t="shared" ca="1" si="34"/>
        <v>0</v>
      </c>
      <c r="M286" s="289">
        <f t="shared" ca="1" si="30"/>
        <v>0</v>
      </c>
      <c r="N286" s="286">
        <f>Table13[[#This Row],[Benefit Option]]</f>
        <v>0</v>
      </c>
      <c r="O286" s="284">
        <f>IF(OR(Table2[[#This Row],[Member Type]]="Spouse",Table2[[#This Row],[Member Type]]="Child"),0,
IF(_xlfn.XLOOKUP($N286,Lookups!$D$13:$D$27,Lookups!$F$13:$F$27,0)=Table2[[#This Row],[Table Lookup for Life Cover]],0,
_xlfn.XLOOKUP($N286,Lookups!$D$13:$D$27,Lookups!$F$13:$F$27,0)))</f>
        <v>0</v>
      </c>
      <c r="P286" s="284">
        <f>IF(Table2[[#This Row],[Table Lookup for Funeral]]=0,0,IFERROR(INDEX('Quotation Tool'!$S$54:$V$60,MATCH($T286,'Quotation Tool'!$S$54:$S$60,0),3),0))</f>
        <v>0</v>
      </c>
      <c r="Q286" s="288">
        <f ca="1">IF(OR(Table2[[#This Row],[Benefit Name]]="My Value Plus Life - Main Member",Table2[[#This Row],[Benefit Name]]="My Value Plus Life - Spouse"),0,
IFERROR(VLOOKUP($G286,INDIRECT($O286),$P286,FALSE),0))</f>
        <v>0</v>
      </c>
      <c r="R286" s="288">
        <f ca="1">IF(OR(Table2[[#This Row],[Benefit Name]]="My Value Plus Life - Main Member",Table2[[#This Row],[Benefit Name]]="My Value Plus Life - Spouse"),0,
IFERROR(VLOOKUP($G286,INDIRECT($O286),$P286+1,FALSE),0))</f>
        <v>0</v>
      </c>
      <c r="S286" s="289">
        <f t="shared" ca="1" si="31"/>
        <v>0</v>
      </c>
      <c r="T286" s="284" t="str">
        <f>IF(Table13[[#This Row],[Premium Waiver]]="","None",Table13[[#This Row],[Premium Waiver]])</f>
        <v>None</v>
      </c>
      <c r="U286" s="284">
        <f>Table13[[#This Row],[VAPs Options]]</f>
        <v>0</v>
      </c>
      <c r="V286" s="284">
        <f>Table13[[#This Row],[Annual Increase Option]]</f>
        <v>0</v>
      </c>
      <c r="W286" s="290">
        <f>Table13[[#This Row],[Life Cover Amount]]</f>
        <v>0</v>
      </c>
      <c r="X286" s="290">
        <f>Table13[[#This Row],[Funeral Cover Amount]]</f>
        <v>0</v>
      </c>
      <c r="Y28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8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86" s="301">
        <f t="shared" ca="1" si="32"/>
        <v>0</v>
      </c>
      <c r="AB286" s="298"/>
      <c r="AC286" s="326" t="str">
        <f>IF(Table2[[#This Row],[Member Type]]="Main Member",Lookups!$C$13,
IF(Table2[[#This Row],[Member Type]]="Spouse",_xlfn.XLOOKUP(B286,Table2[Main Member Link ID],Table2[Product Option],0),
IF(AND(Table2[[#This Row],[Member Type]]="Child",_xlfn.XLOOKUP(B286,Table2[Main Member Link ID],Table2[Product Option],0)&lt;&gt;"My Value Plus Life"),Lookups!$C$24,
IF(AND(OR(Table2[[#This Row],[Member Type]]="Parent",Table2[[#This Row],[Member Type]]="Extended"),_xlfn.XLOOKUP(B286,Table2[Main Member Link ID],Table2[Product Option],0)&lt;&gt;"My Value Plus Life"),Lookups!$C$26,""))))</f>
        <v/>
      </c>
      <c r="AD286" s="326" t="str">
        <f>IF(Table2[[#This Row],[Member Type]]="Main Member",Lookups!$C$14,"")</f>
        <v/>
      </c>
      <c r="AE28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Funeral",_xlfn.XLOOKUP(B286,Table2[Main Member Link ID],Table2[Benefit Name],0)=Lookups!$D$14),"",
IF(AND(Table2[[#This Row],[Member Type]]="Spouse",Table2[[#This Row],[Product Option]]="My Value Plus Life &amp; Funeral",_xlfn.XLOOKUP(B285,Table2[Main Member Link ID],Table2[Benefit Name],0)=Lookups!$D$15),Lookups!$D$20,
IF(AND(Table2[[#This Row],[Member Type]]="Spouse",Table2[[#This Row],[Product Option]]="My Value Plus Life &amp; Funeral",_xlfn.XLOOKUP(B285,Table2[Main Member Link ID],Table2[Benefit Name],0)=Lookups!$D$16),"",
IF(AND(Table2[[#This Row],[Member Type]]="Spouse",Table2[[#This Row],[Product Option]]="My Value Plus Life &amp; Funeral",_xlfn.XLOOKUP(B285,Table2[Main Member Link ID],Table2[Benefit Name],0)=Lookups!$D$17),Lookups!$D$21,
IF(AND(Table2[[#This Row],[Member Type]]="Child",Table2[[#This Row],[Product Option]]="My Value Plus Life &amp; Funeral",_xlfn.XLOOKUP(B286,Table2[Main Member Link ID],Table2[Benefit Name],0)=Lookups!$D$14),"",
IF(AND(Table2[[#This Row],[Member Type]]="Child",Table2[[#This Row],[Product Option]]="My Value Plus Life &amp; Funeral",_xlfn.XLOOKUP(B286,Table2[Main Member Link ID],Table2[Benefit Name],0)=Lookups!$D$15),"",
IF(AND(Table2[[#This Row],[Member Type]]="Child",Table2[[#This Row],[Product Option]]="My Value Plus Life &amp; Funeral",_xlfn.XLOOKUP(B286,Table2[Main Member Link ID],Table2[Benefit Name],0)=Lookups!$D$16),Lookups!$D$24,
IF(AND(Table2[[#This Row],[Member Type]]="Child",Table2[[#This Row],[Product Option]]="My Value Plus Life &amp; Funeral",_xlfn.XLOOKUP(B286,Table2[Main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Funeral",_xlfn.XLOOKUP(B286,Table2[Main Member Link ID],Table2[Benefit Name],0)&lt;&gt;Lookups!$D$14),
IF(_xlfn.XLOOKUP(B286,Table2[Main Member Link ID],Table2[Benefit Name],0)=0,"",_xlfn.XLOOKUP(B286,Table2[Main Member Link ID],Table2[Benefit Name],0)),"")))))))))))))))</f>
        <v/>
      </c>
      <c r="AF286" s="327" t="str">
        <f>IF(AND(Table2[[#This Row],[Member Type]]="Main Member",Table2[[#This Row],[Product Option]]="My Value Plus Life &amp; Funeral"),Lookups!$D$15,
IF(AND(Table2[[#This Row],[Member Type]]="Spouse",Table2[[#This Row],[Product Option]]="My Value Plus Life &amp; Funeral",_xlfn.XLOOKUP(B286,Table2[Main Member Link ID],Table2[Benefit Name],0)=Lookups!$D$14),"",
IF(AND(Table2[[#This Row],[Member Type]]="Spouse",Table2[[#This Row],[Product Option]]="My Value Plus Life &amp; Funeral",_xlfn.XLOOKUP(B285,Table2[Main Member Link ID],Table2[Benefit Name],0)=Lookups!$D$16),"",
IF(AND(Table2[[#This Row],[Member Type]]="Spouse",Table2[[#This Row],[Product Option]]="My Value Plus Life &amp; Funeral",_xlfn.XLOOKUP(B285,Table2[Main Member Link ID],Table2[Benefit Name],0)=Lookups!$D$15),"",
IF(AND(Table2[[#This Row],[Member Type]]="Spouse",Table2[[#This Row],[Product Option]]="My Value Plus Life &amp; Funeral",_xlfn.XLOOKUP(B285,Table2[Main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Funeral",_xlfn.XLOOKUP(B286,Table2[Main Member Link ID],Table2[Benefit Name],0)&lt;&gt;Lookups!$D$15),
IF(_xlfn.XLOOKUP(B286,Table2[Main Member Link ID],Table2[Benefit Name],0)=0,"",_xlfn.XLOOKUP(B286,Table2[Main Member Link ID],Table2[Benefit Name],0)),"")
))))))</f>
        <v/>
      </c>
      <c r="AG286" s="327" t="str">
        <f>IF(AND(Table2[[#This Row],[Member Type]]="Main Member",Table2[[#This Row],[Product Option]]="My Value Plus Life &amp; Funeral"),Lookups!$D$16,
IF(AND(Table2[[#This Row],[Member Type]]="Spouse",Table2[[#This Row],[Product Option]]="My Value Plus Life &amp; Funeral",_xlfn.XLOOKUP(B286,Table2[Main Member Link ID],Table2[Benefit Name],0)=Lookups!$D$14),"",
IF(AND(Table2[[#This Row],[Member Type]]="Spouse",Table2[[#This Row],[Product Option]]="My Value Plus Life &amp; Funeral",_xlfn.XLOOKUP(B285,Table2[Main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Funeral",_xlfn.XLOOKUP(B286,Table2[Main Member Link ID],Table2[Benefit Name],0)&lt;&gt;Lookups!$D$16),
IF(_xlfn.XLOOKUP(B286,Table2[Main Member Link ID],Table2[Benefit Name],0)=0,"",_xlfn.XLOOKUP(B286,Table2[Main Member Link ID],Table2[Benefit Name],0)),"")
))))</f>
        <v/>
      </c>
      <c r="AH286" s="327" t="str">
        <f>IF(AND(Table2[[#This Row],[Member Type]]="Main Member",Table2[[#This Row],[Product Option]]="My Value Plus Life &amp; Funeral"),Lookups!$D$17,
IF(AND(Table2[[#This Row],[Member Type]]="Spouse",Table2[[#This Row],[Product Option]]="My Value Plus Life &amp; Funeral",_xlfn.XLOOKUP(B286,Table2[Main Member Link ID],Table2[Benefit Name],0)=Lookups!$D$14),"",
IF(AND(Table2[[#This Row],[Member Type]]="Spouse",Table2[[#This Row],[Product Option]]="My Value Plus Life &amp; Funeral",_xlfn.XLOOKUP(B285,Table2[Main Member Link ID],Table2[Benefit Name],0)=Lookups!$D$16),"",
IF(AND(Table2[[#This Row],[Member Type]]="Child",Table2[[#This Row],[Product Option]]="My Value Plus Life &amp; Funeral"),"",
IF(AND(Table2[[#This Row],[Member Type]]="Child",Table2[[#This Row],[Product Option]]="My Value Plus Life &amp; Funeral",_xlfn.XLOOKUP(B286,Table2[Main Member Link ID],Table2[Benefit Name],0)=Lookups!$D$15),"",
IF(AND(OR(Table2[[#This Row],[Member Type]]="Spouse",Table2[[#This Row],[Member Type]]="Child"),Table2[[#This Row],[Product Option]]="My Value Plus Life &amp; Funeral",_xlfn.XLOOKUP(B286,Table2[Main Member Link ID],Table2[Benefit Name],0)&lt;&gt;Lookups!$D$17),
IF(_xlfn.XLOOKUP(B286,Table2[Main Member Link ID],Table2[Benefit Name],0)=0,"",_xlfn.XLOOKUP(B286,Table2[Main Member Link ID],Table2[Benefit Name],0)),""))))))</f>
        <v/>
      </c>
      <c r="AI286" s="328" t="str">
        <f>IF(AND(Table2[[#This Row],[Member Type]]="Main Member",Table2[[#This Row],[Table Lookup for Life Cover]]="MM_LIFE",Table2[[#This Row],[Age Next Birthday]]&lt;56),1,
IF(AND(Table2[[#This Row],[Member Type]]="Main Member",Table2[[#This Row],[Table Lookup for Life Cover]]="MM_LIFE",Table2[[#This Row],[Age Next Birthday]]&gt;=56),2,
""))</f>
        <v/>
      </c>
      <c r="AJ286" s="328">
        <f>IF(OR(Table2[[#This Row],[Member Type]]="Main Member",Table2[[#This Row],[Main Member Link ID]]=B285),1,0)</f>
        <v>1</v>
      </c>
      <c r="AK286" s="328">
        <f>IF(Table2[[#This Row],[Member Type]]=0,0,
IF(OR(Table2[[#This Row],[Member Type]]="Main Member",Table2[[#This Row],[Main Member Link ID]]&lt;&gt;B286),COUNTIFS(B:B,Table2[[#This Row],[Main Member Link ID]]),
COUNTIFS(B:B,Table2[[#This Row],[Main Member Link ID]],A:A,Table2[[#This Row],[Member Type]])))</f>
        <v>0</v>
      </c>
    </row>
    <row r="287" spans="1:37" x14ac:dyDescent="0.3">
      <c r="A287" s="284">
        <f>Table13[[#This Row],[Member Type]]</f>
        <v>0</v>
      </c>
      <c r="B287" s="284">
        <f>Table13[[#This Row],[Main Member Link ID]]</f>
        <v>0</v>
      </c>
      <c r="C287" s="284">
        <f>Table13[[#This Row],[ID Number]]</f>
        <v>0</v>
      </c>
      <c r="D287" s="285">
        <f>Table13[[#This Row],[Date Of Birth]]</f>
        <v>0</v>
      </c>
      <c r="E287" s="285">
        <f>Table13[[#This Row],[Commencement Date]]</f>
        <v>0</v>
      </c>
      <c r="F287" s="284">
        <f t="shared" si="28"/>
        <v>1</v>
      </c>
      <c r="G287" s="284">
        <f t="shared" si="29"/>
        <v>25</v>
      </c>
      <c r="H287" s="286">
        <f>Table13[[#This Row],[Product Option]]</f>
        <v>0</v>
      </c>
      <c r="I287" s="284">
        <f>IF(AND($A287="Main Member",Table2[[#This Row],[Product Option]]="My Value Plus Life"),"MM_LIFE",
IF(AND($A287="Spouse",Table2[[#This Row],[Product Option]]="My Value Plus Life"),"SP_LIFE",
IF(AND($A287="Main Member",Table2[[#This Row],[Product Option]]="My Value Plus Life &amp; Funeral"),"MM_LIFE",
IF(AND($A287="Spouse",Table2[[#This Row],[Product Option]]="My Value Plus Life &amp; Funeral"),_xlfn.XLOOKUP(Table2[[#This Row],[Benefit Name]],Lookups!$D$18:$D$23,Lookups!$E$18:$E$23,0),
0))))</f>
        <v>0</v>
      </c>
      <c r="J287" s="284">
        <f>IF($I287="","",
IF($I287="MM_LIFE",INDEX('Quotation Tool'!$S$54:$V$60,MATCH($T287,'Quotation Tool'!$S$54:$S$60,0),4),
IF($I287="SP_LIFE",_xlfn.XLOOKUP(B286,$B:$B,$J:$J,0),0)))</f>
        <v>0</v>
      </c>
      <c r="K287" s="287">
        <f t="shared" ca="1" si="33"/>
        <v>0</v>
      </c>
      <c r="L287" s="288">
        <f t="shared" ca="1" si="34"/>
        <v>0</v>
      </c>
      <c r="M287" s="289">
        <f t="shared" ca="1" si="30"/>
        <v>0</v>
      </c>
      <c r="N287" s="286">
        <f>Table13[[#This Row],[Benefit Option]]</f>
        <v>0</v>
      </c>
      <c r="O287" s="284">
        <f>IF(OR(Table2[[#This Row],[Member Type]]="Spouse",Table2[[#This Row],[Member Type]]="Child"),0,
IF(_xlfn.XLOOKUP($N287,Lookups!$D$13:$D$27,Lookups!$F$13:$F$27,0)=Table2[[#This Row],[Table Lookup for Life Cover]],0,
_xlfn.XLOOKUP($N287,Lookups!$D$13:$D$27,Lookups!$F$13:$F$27,0)))</f>
        <v>0</v>
      </c>
      <c r="P287" s="284">
        <f>IF(Table2[[#This Row],[Table Lookup for Funeral]]=0,0,IFERROR(INDEX('Quotation Tool'!$S$54:$V$60,MATCH($T287,'Quotation Tool'!$S$54:$S$60,0),3),0))</f>
        <v>0</v>
      </c>
      <c r="Q287" s="288">
        <f ca="1">IF(OR(Table2[[#This Row],[Benefit Name]]="My Value Plus Life - Main Member",Table2[[#This Row],[Benefit Name]]="My Value Plus Life - Spouse"),0,
IFERROR(VLOOKUP($G287,INDIRECT($O287),$P287,FALSE),0))</f>
        <v>0</v>
      </c>
      <c r="R287" s="288">
        <f ca="1">IF(OR(Table2[[#This Row],[Benefit Name]]="My Value Plus Life - Main Member",Table2[[#This Row],[Benefit Name]]="My Value Plus Life - Spouse"),0,
IFERROR(VLOOKUP($G287,INDIRECT($O287),$P287+1,FALSE),0))</f>
        <v>0</v>
      </c>
      <c r="S287" s="289">
        <f t="shared" ca="1" si="31"/>
        <v>0</v>
      </c>
      <c r="T287" s="284" t="str">
        <f>IF(Table13[[#This Row],[Premium Waiver]]="","None",Table13[[#This Row],[Premium Waiver]])</f>
        <v>None</v>
      </c>
      <c r="U287" s="284">
        <f>Table13[[#This Row],[VAPs Options]]</f>
        <v>0</v>
      </c>
      <c r="V287" s="284">
        <f>Table13[[#This Row],[Annual Increase Option]]</f>
        <v>0</v>
      </c>
      <c r="W287" s="290">
        <f>Table13[[#This Row],[Life Cover Amount]]</f>
        <v>0</v>
      </c>
      <c r="X287" s="290">
        <f>Table13[[#This Row],[Funeral Cover Amount]]</f>
        <v>0</v>
      </c>
      <c r="Y28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8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87" s="301">
        <f t="shared" ca="1" si="32"/>
        <v>0</v>
      </c>
      <c r="AB287" s="298"/>
      <c r="AC287" s="326" t="str">
        <f>IF(Table2[[#This Row],[Member Type]]="Main Member",Lookups!$C$13,
IF(Table2[[#This Row],[Member Type]]="Spouse",_xlfn.XLOOKUP(B287,Table2[Main Member Link ID],Table2[Product Option],0),
IF(AND(Table2[[#This Row],[Member Type]]="Child",_xlfn.XLOOKUP(B287,Table2[Main Member Link ID],Table2[Product Option],0)&lt;&gt;"My Value Plus Life"),Lookups!$C$24,
IF(AND(OR(Table2[[#This Row],[Member Type]]="Parent",Table2[[#This Row],[Member Type]]="Extended"),_xlfn.XLOOKUP(B287,Table2[Main Member Link ID],Table2[Product Option],0)&lt;&gt;"My Value Plus Life"),Lookups!$C$26,""))))</f>
        <v/>
      </c>
      <c r="AD287" s="326" t="str">
        <f>IF(Table2[[#This Row],[Member Type]]="Main Member",Lookups!$C$14,"")</f>
        <v/>
      </c>
      <c r="AE28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Funeral",_xlfn.XLOOKUP(B287,Table2[Main Member Link ID],Table2[Benefit Name],0)=Lookups!$D$14),"",
IF(AND(Table2[[#This Row],[Member Type]]="Spouse",Table2[[#This Row],[Product Option]]="My Value Plus Life &amp; Funeral",_xlfn.XLOOKUP(B286,Table2[Main Member Link ID],Table2[Benefit Name],0)=Lookups!$D$15),Lookups!$D$20,
IF(AND(Table2[[#This Row],[Member Type]]="Spouse",Table2[[#This Row],[Product Option]]="My Value Plus Life &amp; Funeral",_xlfn.XLOOKUP(B286,Table2[Main Member Link ID],Table2[Benefit Name],0)=Lookups!$D$16),"",
IF(AND(Table2[[#This Row],[Member Type]]="Spouse",Table2[[#This Row],[Product Option]]="My Value Plus Life &amp; Funeral",_xlfn.XLOOKUP(B286,Table2[Main Member Link ID],Table2[Benefit Name],0)=Lookups!$D$17),Lookups!$D$21,
IF(AND(Table2[[#This Row],[Member Type]]="Child",Table2[[#This Row],[Product Option]]="My Value Plus Life &amp; Funeral",_xlfn.XLOOKUP(B287,Table2[Main Member Link ID],Table2[Benefit Name],0)=Lookups!$D$14),"",
IF(AND(Table2[[#This Row],[Member Type]]="Child",Table2[[#This Row],[Product Option]]="My Value Plus Life &amp; Funeral",_xlfn.XLOOKUP(B287,Table2[Main Member Link ID],Table2[Benefit Name],0)=Lookups!$D$15),"",
IF(AND(Table2[[#This Row],[Member Type]]="Child",Table2[[#This Row],[Product Option]]="My Value Plus Life &amp; Funeral",_xlfn.XLOOKUP(B287,Table2[Main Member Link ID],Table2[Benefit Name],0)=Lookups!$D$16),Lookups!$D$24,
IF(AND(Table2[[#This Row],[Member Type]]="Child",Table2[[#This Row],[Product Option]]="My Value Plus Life &amp; Funeral",_xlfn.XLOOKUP(B287,Table2[Main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Funeral",_xlfn.XLOOKUP(B287,Table2[Main Member Link ID],Table2[Benefit Name],0)&lt;&gt;Lookups!$D$14),
IF(_xlfn.XLOOKUP(B287,Table2[Main Member Link ID],Table2[Benefit Name],0)=0,"",_xlfn.XLOOKUP(B287,Table2[Main Member Link ID],Table2[Benefit Name],0)),"")))))))))))))))</f>
        <v/>
      </c>
      <c r="AF287" s="327" t="str">
        <f>IF(AND(Table2[[#This Row],[Member Type]]="Main Member",Table2[[#This Row],[Product Option]]="My Value Plus Life &amp; Funeral"),Lookups!$D$15,
IF(AND(Table2[[#This Row],[Member Type]]="Spouse",Table2[[#This Row],[Product Option]]="My Value Plus Life &amp; Funeral",_xlfn.XLOOKUP(B287,Table2[Main Member Link ID],Table2[Benefit Name],0)=Lookups!$D$14),"",
IF(AND(Table2[[#This Row],[Member Type]]="Spouse",Table2[[#This Row],[Product Option]]="My Value Plus Life &amp; Funeral",_xlfn.XLOOKUP(B286,Table2[Main Member Link ID],Table2[Benefit Name],0)=Lookups!$D$16),"",
IF(AND(Table2[[#This Row],[Member Type]]="Spouse",Table2[[#This Row],[Product Option]]="My Value Plus Life &amp; Funeral",_xlfn.XLOOKUP(B286,Table2[Main Member Link ID],Table2[Benefit Name],0)=Lookups!$D$15),"",
IF(AND(Table2[[#This Row],[Member Type]]="Spouse",Table2[[#This Row],[Product Option]]="My Value Plus Life &amp; Funeral",_xlfn.XLOOKUP(B286,Table2[Main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Funeral",_xlfn.XLOOKUP(B287,Table2[Main Member Link ID],Table2[Benefit Name],0)&lt;&gt;Lookups!$D$15),
IF(_xlfn.XLOOKUP(B287,Table2[Main Member Link ID],Table2[Benefit Name],0)=0,"",_xlfn.XLOOKUP(B287,Table2[Main Member Link ID],Table2[Benefit Name],0)),"")
))))))</f>
        <v/>
      </c>
      <c r="AG287" s="327" t="str">
        <f>IF(AND(Table2[[#This Row],[Member Type]]="Main Member",Table2[[#This Row],[Product Option]]="My Value Plus Life &amp; Funeral"),Lookups!$D$16,
IF(AND(Table2[[#This Row],[Member Type]]="Spouse",Table2[[#This Row],[Product Option]]="My Value Plus Life &amp; Funeral",_xlfn.XLOOKUP(B287,Table2[Main Member Link ID],Table2[Benefit Name],0)=Lookups!$D$14),"",
IF(AND(Table2[[#This Row],[Member Type]]="Spouse",Table2[[#This Row],[Product Option]]="My Value Plus Life &amp; Funeral",_xlfn.XLOOKUP(B286,Table2[Main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Funeral",_xlfn.XLOOKUP(B287,Table2[Main Member Link ID],Table2[Benefit Name],0)&lt;&gt;Lookups!$D$16),
IF(_xlfn.XLOOKUP(B287,Table2[Main Member Link ID],Table2[Benefit Name],0)=0,"",_xlfn.XLOOKUP(B287,Table2[Main Member Link ID],Table2[Benefit Name],0)),"")
))))</f>
        <v/>
      </c>
      <c r="AH287" s="327" t="str">
        <f>IF(AND(Table2[[#This Row],[Member Type]]="Main Member",Table2[[#This Row],[Product Option]]="My Value Plus Life &amp; Funeral"),Lookups!$D$17,
IF(AND(Table2[[#This Row],[Member Type]]="Spouse",Table2[[#This Row],[Product Option]]="My Value Plus Life &amp; Funeral",_xlfn.XLOOKUP(B287,Table2[Main Member Link ID],Table2[Benefit Name],0)=Lookups!$D$14),"",
IF(AND(Table2[[#This Row],[Member Type]]="Spouse",Table2[[#This Row],[Product Option]]="My Value Plus Life &amp; Funeral",_xlfn.XLOOKUP(B286,Table2[Main Member Link ID],Table2[Benefit Name],0)=Lookups!$D$16),"",
IF(AND(Table2[[#This Row],[Member Type]]="Child",Table2[[#This Row],[Product Option]]="My Value Plus Life &amp; Funeral"),"",
IF(AND(Table2[[#This Row],[Member Type]]="Child",Table2[[#This Row],[Product Option]]="My Value Plus Life &amp; Funeral",_xlfn.XLOOKUP(B287,Table2[Main Member Link ID],Table2[Benefit Name],0)=Lookups!$D$15),"",
IF(AND(OR(Table2[[#This Row],[Member Type]]="Spouse",Table2[[#This Row],[Member Type]]="Child"),Table2[[#This Row],[Product Option]]="My Value Plus Life &amp; Funeral",_xlfn.XLOOKUP(B287,Table2[Main Member Link ID],Table2[Benefit Name],0)&lt;&gt;Lookups!$D$17),
IF(_xlfn.XLOOKUP(B287,Table2[Main Member Link ID],Table2[Benefit Name],0)=0,"",_xlfn.XLOOKUP(B287,Table2[Main Member Link ID],Table2[Benefit Name],0)),""))))))</f>
        <v/>
      </c>
      <c r="AI287" s="328" t="str">
        <f>IF(AND(Table2[[#This Row],[Member Type]]="Main Member",Table2[[#This Row],[Table Lookup for Life Cover]]="MM_LIFE",Table2[[#This Row],[Age Next Birthday]]&lt;56),1,
IF(AND(Table2[[#This Row],[Member Type]]="Main Member",Table2[[#This Row],[Table Lookup for Life Cover]]="MM_LIFE",Table2[[#This Row],[Age Next Birthday]]&gt;=56),2,
""))</f>
        <v/>
      </c>
      <c r="AJ287" s="328">
        <f>IF(OR(Table2[[#This Row],[Member Type]]="Main Member",Table2[[#This Row],[Main Member Link ID]]=B286),1,0)</f>
        <v>1</v>
      </c>
      <c r="AK287" s="328">
        <f>IF(Table2[[#This Row],[Member Type]]=0,0,
IF(OR(Table2[[#This Row],[Member Type]]="Main Member",Table2[[#This Row],[Main Member Link ID]]&lt;&gt;B287),COUNTIFS(B:B,Table2[[#This Row],[Main Member Link ID]]),
COUNTIFS(B:B,Table2[[#This Row],[Main Member Link ID]],A:A,Table2[[#This Row],[Member Type]])))</f>
        <v>0</v>
      </c>
    </row>
    <row r="288" spans="1:37" x14ac:dyDescent="0.3">
      <c r="A288" s="284">
        <f>Table13[[#This Row],[Member Type]]</f>
        <v>0</v>
      </c>
      <c r="B288" s="284">
        <f>Table13[[#This Row],[Main Member Link ID]]</f>
        <v>0</v>
      </c>
      <c r="C288" s="284">
        <f>Table13[[#This Row],[ID Number]]</f>
        <v>0</v>
      </c>
      <c r="D288" s="285">
        <f>Table13[[#This Row],[Date Of Birth]]</f>
        <v>0</v>
      </c>
      <c r="E288" s="285">
        <f>Table13[[#This Row],[Commencement Date]]</f>
        <v>0</v>
      </c>
      <c r="F288" s="284">
        <f t="shared" si="28"/>
        <v>1</v>
      </c>
      <c r="G288" s="284">
        <f t="shared" si="29"/>
        <v>25</v>
      </c>
      <c r="H288" s="286">
        <f>Table13[[#This Row],[Product Option]]</f>
        <v>0</v>
      </c>
      <c r="I288" s="284">
        <f>IF(AND($A288="Main Member",Table2[[#This Row],[Product Option]]="My Value Plus Life"),"MM_LIFE",
IF(AND($A288="Spouse",Table2[[#This Row],[Product Option]]="My Value Plus Life"),"SP_LIFE",
IF(AND($A288="Main Member",Table2[[#This Row],[Product Option]]="My Value Plus Life &amp; Funeral"),"MM_LIFE",
IF(AND($A288="Spouse",Table2[[#This Row],[Product Option]]="My Value Plus Life &amp; Funeral"),_xlfn.XLOOKUP(Table2[[#This Row],[Benefit Name]],Lookups!$D$18:$D$23,Lookups!$E$18:$E$23,0),
0))))</f>
        <v>0</v>
      </c>
      <c r="J288" s="284">
        <f>IF($I288="","",
IF($I288="MM_LIFE",INDEX('Quotation Tool'!$S$54:$V$60,MATCH($T288,'Quotation Tool'!$S$54:$S$60,0),4),
IF($I288="SP_LIFE",_xlfn.XLOOKUP(B287,$B:$B,$J:$J,0),0)))</f>
        <v>0</v>
      </c>
      <c r="K288" s="287">
        <f t="shared" ca="1" si="33"/>
        <v>0</v>
      </c>
      <c r="L288" s="288">
        <f t="shared" ca="1" si="34"/>
        <v>0</v>
      </c>
      <c r="M288" s="289">
        <f t="shared" ca="1" si="30"/>
        <v>0</v>
      </c>
      <c r="N288" s="286">
        <f>Table13[[#This Row],[Benefit Option]]</f>
        <v>0</v>
      </c>
      <c r="O288" s="284">
        <f>IF(OR(Table2[[#This Row],[Member Type]]="Spouse",Table2[[#This Row],[Member Type]]="Child"),0,
IF(_xlfn.XLOOKUP($N288,Lookups!$D$13:$D$27,Lookups!$F$13:$F$27,0)=Table2[[#This Row],[Table Lookup for Life Cover]],0,
_xlfn.XLOOKUP($N288,Lookups!$D$13:$D$27,Lookups!$F$13:$F$27,0)))</f>
        <v>0</v>
      </c>
      <c r="P288" s="284">
        <f>IF(Table2[[#This Row],[Table Lookup for Funeral]]=0,0,IFERROR(INDEX('Quotation Tool'!$S$54:$V$60,MATCH($T288,'Quotation Tool'!$S$54:$S$60,0),3),0))</f>
        <v>0</v>
      </c>
      <c r="Q288" s="288">
        <f ca="1">IF(OR(Table2[[#This Row],[Benefit Name]]="My Value Plus Life - Main Member",Table2[[#This Row],[Benefit Name]]="My Value Plus Life - Spouse"),0,
IFERROR(VLOOKUP($G288,INDIRECT($O288),$P288,FALSE),0))</f>
        <v>0</v>
      </c>
      <c r="R288" s="288">
        <f ca="1">IF(OR(Table2[[#This Row],[Benefit Name]]="My Value Plus Life - Main Member",Table2[[#This Row],[Benefit Name]]="My Value Plus Life - Spouse"),0,
IFERROR(VLOOKUP($G288,INDIRECT($O288),$P288+1,FALSE),0))</f>
        <v>0</v>
      </c>
      <c r="S288" s="289">
        <f t="shared" ca="1" si="31"/>
        <v>0</v>
      </c>
      <c r="T288" s="284" t="str">
        <f>IF(Table13[[#This Row],[Premium Waiver]]="","None",Table13[[#This Row],[Premium Waiver]])</f>
        <v>None</v>
      </c>
      <c r="U288" s="284">
        <f>Table13[[#This Row],[VAPs Options]]</f>
        <v>0</v>
      </c>
      <c r="V288" s="284">
        <f>Table13[[#This Row],[Annual Increase Option]]</f>
        <v>0</v>
      </c>
      <c r="W288" s="290">
        <f>Table13[[#This Row],[Life Cover Amount]]</f>
        <v>0</v>
      </c>
      <c r="X288" s="290">
        <f>Table13[[#This Row],[Funeral Cover Amount]]</f>
        <v>0</v>
      </c>
      <c r="Y28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8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88" s="301">
        <f t="shared" ca="1" si="32"/>
        <v>0</v>
      </c>
      <c r="AB288" s="298"/>
      <c r="AC288" s="326" t="str">
        <f>IF(Table2[[#This Row],[Member Type]]="Main Member",Lookups!$C$13,
IF(Table2[[#This Row],[Member Type]]="Spouse",_xlfn.XLOOKUP(B288,Table2[Main Member Link ID],Table2[Product Option],0),
IF(AND(Table2[[#This Row],[Member Type]]="Child",_xlfn.XLOOKUP(B288,Table2[Main Member Link ID],Table2[Product Option],0)&lt;&gt;"My Value Plus Life"),Lookups!$C$24,
IF(AND(OR(Table2[[#This Row],[Member Type]]="Parent",Table2[[#This Row],[Member Type]]="Extended"),_xlfn.XLOOKUP(B288,Table2[Main Member Link ID],Table2[Product Option],0)&lt;&gt;"My Value Plus Life"),Lookups!$C$26,""))))</f>
        <v/>
      </c>
      <c r="AD288" s="326" t="str">
        <f>IF(Table2[[#This Row],[Member Type]]="Main Member",Lookups!$C$14,"")</f>
        <v/>
      </c>
      <c r="AE28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Funeral",_xlfn.XLOOKUP(B288,Table2[Main Member Link ID],Table2[Benefit Name],0)=Lookups!$D$14),"",
IF(AND(Table2[[#This Row],[Member Type]]="Spouse",Table2[[#This Row],[Product Option]]="My Value Plus Life &amp; Funeral",_xlfn.XLOOKUP(B287,Table2[Main Member Link ID],Table2[Benefit Name],0)=Lookups!$D$15),Lookups!$D$20,
IF(AND(Table2[[#This Row],[Member Type]]="Spouse",Table2[[#This Row],[Product Option]]="My Value Plus Life &amp; Funeral",_xlfn.XLOOKUP(B287,Table2[Main Member Link ID],Table2[Benefit Name],0)=Lookups!$D$16),"",
IF(AND(Table2[[#This Row],[Member Type]]="Spouse",Table2[[#This Row],[Product Option]]="My Value Plus Life &amp; Funeral",_xlfn.XLOOKUP(B287,Table2[Main Member Link ID],Table2[Benefit Name],0)=Lookups!$D$17),Lookups!$D$21,
IF(AND(Table2[[#This Row],[Member Type]]="Child",Table2[[#This Row],[Product Option]]="My Value Plus Life &amp; Funeral",_xlfn.XLOOKUP(B288,Table2[Main Member Link ID],Table2[Benefit Name],0)=Lookups!$D$14),"",
IF(AND(Table2[[#This Row],[Member Type]]="Child",Table2[[#This Row],[Product Option]]="My Value Plus Life &amp; Funeral",_xlfn.XLOOKUP(B288,Table2[Main Member Link ID],Table2[Benefit Name],0)=Lookups!$D$15),"",
IF(AND(Table2[[#This Row],[Member Type]]="Child",Table2[[#This Row],[Product Option]]="My Value Plus Life &amp; Funeral",_xlfn.XLOOKUP(B288,Table2[Main Member Link ID],Table2[Benefit Name],0)=Lookups!$D$16),Lookups!$D$24,
IF(AND(Table2[[#This Row],[Member Type]]="Child",Table2[[#This Row],[Product Option]]="My Value Plus Life &amp; Funeral",_xlfn.XLOOKUP(B288,Table2[Main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Funeral",_xlfn.XLOOKUP(B288,Table2[Main Member Link ID],Table2[Benefit Name],0)&lt;&gt;Lookups!$D$14),
IF(_xlfn.XLOOKUP(B288,Table2[Main Member Link ID],Table2[Benefit Name],0)=0,"",_xlfn.XLOOKUP(B288,Table2[Main Member Link ID],Table2[Benefit Name],0)),"")))))))))))))))</f>
        <v/>
      </c>
      <c r="AF288" s="327" t="str">
        <f>IF(AND(Table2[[#This Row],[Member Type]]="Main Member",Table2[[#This Row],[Product Option]]="My Value Plus Life &amp; Funeral"),Lookups!$D$15,
IF(AND(Table2[[#This Row],[Member Type]]="Spouse",Table2[[#This Row],[Product Option]]="My Value Plus Life &amp; Funeral",_xlfn.XLOOKUP(B288,Table2[Main Member Link ID],Table2[Benefit Name],0)=Lookups!$D$14),"",
IF(AND(Table2[[#This Row],[Member Type]]="Spouse",Table2[[#This Row],[Product Option]]="My Value Plus Life &amp; Funeral",_xlfn.XLOOKUP(B287,Table2[Main Member Link ID],Table2[Benefit Name],0)=Lookups!$D$16),"",
IF(AND(Table2[[#This Row],[Member Type]]="Spouse",Table2[[#This Row],[Product Option]]="My Value Plus Life &amp; Funeral",_xlfn.XLOOKUP(B287,Table2[Main Member Link ID],Table2[Benefit Name],0)=Lookups!$D$15),"",
IF(AND(Table2[[#This Row],[Member Type]]="Spouse",Table2[[#This Row],[Product Option]]="My Value Plus Life &amp; Funeral",_xlfn.XLOOKUP(B287,Table2[Main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Funeral",_xlfn.XLOOKUP(B288,Table2[Main Member Link ID],Table2[Benefit Name],0)&lt;&gt;Lookups!$D$15),
IF(_xlfn.XLOOKUP(B288,Table2[Main Member Link ID],Table2[Benefit Name],0)=0,"",_xlfn.XLOOKUP(B288,Table2[Main Member Link ID],Table2[Benefit Name],0)),"")
))))))</f>
        <v/>
      </c>
      <c r="AG288" s="327" t="str">
        <f>IF(AND(Table2[[#This Row],[Member Type]]="Main Member",Table2[[#This Row],[Product Option]]="My Value Plus Life &amp; Funeral"),Lookups!$D$16,
IF(AND(Table2[[#This Row],[Member Type]]="Spouse",Table2[[#This Row],[Product Option]]="My Value Plus Life &amp; Funeral",_xlfn.XLOOKUP(B288,Table2[Main Member Link ID],Table2[Benefit Name],0)=Lookups!$D$14),"",
IF(AND(Table2[[#This Row],[Member Type]]="Spouse",Table2[[#This Row],[Product Option]]="My Value Plus Life &amp; Funeral",_xlfn.XLOOKUP(B287,Table2[Main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Funeral",_xlfn.XLOOKUP(B288,Table2[Main Member Link ID],Table2[Benefit Name],0)&lt;&gt;Lookups!$D$16),
IF(_xlfn.XLOOKUP(B288,Table2[Main Member Link ID],Table2[Benefit Name],0)=0,"",_xlfn.XLOOKUP(B288,Table2[Main Member Link ID],Table2[Benefit Name],0)),"")
))))</f>
        <v/>
      </c>
      <c r="AH288" s="327" t="str">
        <f>IF(AND(Table2[[#This Row],[Member Type]]="Main Member",Table2[[#This Row],[Product Option]]="My Value Plus Life &amp; Funeral"),Lookups!$D$17,
IF(AND(Table2[[#This Row],[Member Type]]="Spouse",Table2[[#This Row],[Product Option]]="My Value Plus Life &amp; Funeral",_xlfn.XLOOKUP(B288,Table2[Main Member Link ID],Table2[Benefit Name],0)=Lookups!$D$14),"",
IF(AND(Table2[[#This Row],[Member Type]]="Spouse",Table2[[#This Row],[Product Option]]="My Value Plus Life &amp; Funeral",_xlfn.XLOOKUP(B287,Table2[Main Member Link ID],Table2[Benefit Name],0)=Lookups!$D$16),"",
IF(AND(Table2[[#This Row],[Member Type]]="Child",Table2[[#This Row],[Product Option]]="My Value Plus Life &amp; Funeral"),"",
IF(AND(Table2[[#This Row],[Member Type]]="Child",Table2[[#This Row],[Product Option]]="My Value Plus Life &amp; Funeral",_xlfn.XLOOKUP(B288,Table2[Main Member Link ID],Table2[Benefit Name],0)=Lookups!$D$15),"",
IF(AND(OR(Table2[[#This Row],[Member Type]]="Spouse",Table2[[#This Row],[Member Type]]="Child"),Table2[[#This Row],[Product Option]]="My Value Plus Life &amp; Funeral",_xlfn.XLOOKUP(B288,Table2[Main Member Link ID],Table2[Benefit Name],0)&lt;&gt;Lookups!$D$17),
IF(_xlfn.XLOOKUP(B288,Table2[Main Member Link ID],Table2[Benefit Name],0)=0,"",_xlfn.XLOOKUP(B288,Table2[Main Member Link ID],Table2[Benefit Name],0)),""))))))</f>
        <v/>
      </c>
      <c r="AI288" s="328" t="str">
        <f>IF(AND(Table2[[#This Row],[Member Type]]="Main Member",Table2[[#This Row],[Table Lookup for Life Cover]]="MM_LIFE",Table2[[#This Row],[Age Next Birthday]]&lt;56),1,
IF(AND(Table2[[#This Row],[Member Type]]="Main Member",Table2[[#This Row],[Table Lookup for Life Cover]]="MM_LIFE",Table2[[#This Row],[Age Next Birthday]]&gt;=56),2,
""))</f>
        <v/>
      </c>
      <c r="AJ288" s="328">
        <f>IF(OR(Table2[[#This Row],[Member Type]]="Main Member",Table2[[#This Row],[Main Member Link ID]]=B287),1,0)</f>
        <v>1</v>
      </c>
      <c r="AK288" s="328">
        <f>IF(Table2[[#This Row],[Member Type]]=0,0,
IF(OR(Table2[[#This Row],[Member Type]]="Main Member",Table2[[#This Row],[Main Member Link ID]]&lt;&gt;B288),COUNTIFS(B:B,Table2[[#This Row],[Main Member Link ID]]),
COUNTIFS(B:B,Table2[[#This Row],[Main Member Link ID]],A:A,Table2[[#This Row],[Member Type]])))</f>
        <v>0</v>
      </c>
    </row>
    <row r="289" spans="1:37" x14ac:dyDescent="0.3">
      <c r="A289" s="284">
        <f>Table13[[#This Row],[Member Type]]</f>
        <v>0</v>
      </c>
      <c r="B289" s="284">
        <f>Table13[[#This Row],[Main Member Link ID]]</f>
        <v>0</v>
      </c>
      <c r="C289" s="284">
        <f>Table13[[#This Row],[ID Number]]</f>
        <v>0</v>
      </c>
      <c r="D289" s="285">
        <f>Table13[[#This Row],[Date Of Birth]]</f>
        <v>0</v>
      </c>
      <c r="E289" s="285">
        <f>Table13[[#This Row],[Commencement Date]]</f>
        <v>0</v>
      </c>
      <c r="F289" s="284">
        <f t="shared" si="28"/>
        <v>1</v>
      </c>
      <c r="G289" s="284">
        <f t="shared" si="29"/>
        <v>25</v>
      </c>
      <c r="H289" s="286">
        <f>Table13[[#This Row],[Product Option]]</f>
        <v>0</v>
      </c>
      <c r="I289" s="284">
        <f>IF(AND($A289="Main Member",Table2[[#This Row],[Product Option]]="My Value Plus Life"),"MM_LIFE",
IF(AND($A289="Spouse",Table2[[#This Row],[Product Option]]="My Value Plus Life"),"SP_LIFE",
IF(AND($A289="Main Member",Table2[[#This Row],[Product Option]]="My Value Plus Life &amp; Funeral"),"MM_LIFE",
IF(AND($A289="Spouse",Table2[[#This Row],[Product Option]]="My Value Plus Life &amp; Funeral"),_xlfn.XLOOKUP(Table2[[#This Row],[Benefit Name]],Lookups!$D$18:$D$23,Lookups!$E$18:$E$23,0),
0))))</f>
        <v>0</v>
      </c>
      <c r="J289" s="284">
        <f>IF($I289="","",
IF($I289="MM_LIFE",INDEX('Quotation Tool'!$S$54:$V$60,MATCH($T289,'Quotation Tool'!$S$54:$S$60,0),4),
IF($I289="SP_LIFE",_xlfn.XLOOKUP(B288,$B:$B,$J:$J,0),0)))</f>
        <v>0</v>
      </c>
      <c r="K289" s="287">
        <f t="shared" ca="1" si="33"/>
        <v>0</v>
      </c>
      <c r="L289" s="288">
        <f t="shared" ca="1" si="34"/>
        <v>0</v>
      </c>
      <c r="M289" s="289">
        <f t="shared" ca="1" si="30"/>
        <v>0</v>
      </c>
      <c r="N289" s="286">
        <f>Table13[[#This Row],[Benefit Option]]</f>
        <v>0</v>
      </c>
      <c r="O289" s="284">
        <f>IF(OR(Table2[[#This Row],[Member Type]]="Spouse",Table2[[#This Row],[Member Type]]="Child"),0,
IF(_xlfn.XLOOKUP($N289,Lookups!$D$13:$D$27,Lookups!$F$13:$F$27,0)=Table2[[#This Row],[Table Lookup for Life Cover]],0,
_xlfn.XLOOKUP($N289,Lookups!$D$13:$D$27,Lookups!$F$13:$F$27,0)))</f>
        <v>0</v>
      </c>
      <c r="P289" s="284">
        <f>IF(Table2[[#This Row],[Table Lookup for Funeral]]=0,0,IFERROR(INDEX('Quotation Tool'!$S$54:$V$60,MATCH($T289,'Quotation Tool'!$S$54:$S$60,0),3),0))</f>
        <v>0</v>
      </c>
      <c r="Q289" s="288">
        <f ca="1">IF(OR(Table2[[#This Row],[Benefit Name]]="My Value Plus Life - Main Member",Table2[[#This Row],[Benefit Name]]="My Value Plus Life - Spouse"),0,
IFERROR(VLOOKUP($G289,INDIRECT($O289),$P289,FALSE),0))</f>
        <v>0</v>
      </c>
      <c r="R289" s="288">
        <f ca="1">IF(OR(Table2[[#This Row],[Benefit Name]]="My Value Plus Life - Main Member",Table2[[#This Row],[Benefit Name]]="My Value Plus Life - Spouse"),0,
IFERROR(VLOOKUP($G289,INDIRECT($O289),$P289+1,FALSE),0))</f>
        <v>0</v>
      </c>
      <c r="S289" s="289">
        <f t="shared" ca="1" si="31"/>
        <v>0</v>
      </c>
      <c r="T289" s="284" t="str">
        <f>IF(Table13[[#This Row],[Premium Waiver]]="","None",Table13[[#This Row],[Premium Waiver]])</f>
        <v>None</v>
      </c>
      <c r="U289" s="284">
        <f>Table13[[#This Row],[VAPs Options]]</f>
        <v>0</v>
      </c>
      <c r="V289" s="284">
        <f>Table13[[#This Row],[Annual Increase Option]]</f>
        <v>0</v>
      </c>
      <c r="W289" s="290">
        <f>Table13[[#This Row],[Life Cover Amount]]</f>
        <v>0</v>
      </c>
      <c r="X289" s="290">
        <f>Table13[[#This Row],[Funeral Cover Amount]]</f>
        <v>0</v>
      </c>
      <c r="Y28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8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89" s="301">
        <f t="shared" ca="1" si="32"/>
        <v>0</v>
      </c>
      <c r="AB289" s="298"/>
      <c r="AC289" s="326" t="str">
        <f>IF(Table2[[#This Row],[Member Type]]="Main Member",Lookups!$C$13,
IF(Table2[[#This Row],[Member Type]]="Spouse",_xlfn.XLOOKUP(B289,Table2[Main Member Link ID],Table2[Product Option],0),
IF(AND(Table2[[#This Row],[Member Type]]="Child",_xlfn.XLOOKUP(B289,Table2[Main Member Link ID],Table2[Product Option],0)&lt;&gt;"My Value Plus Life"),Lookups!$C$24,
IF(AND(OR(Table2[[#This Row],[Member Type]]="Parent",Table2[[#This Row],[Member Type]]="Extended"),_xlfn.XLOOKUP(B289,Table2[Main Member Link ID],Table2[Product Option],0)&lt;&gt;"My Value Plus Life"),Lookups!$C$26,""))))</f>
        <v/>
      </c>
      <c r="AD289" s="326" t="str">
        <f>IF(Table2[[#This Row],[Member Type]]="Main Member",Lookups!$C$14,"")</f>
        <v/>
      </c>
      <c r="AE28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Funeral",_xlfn.XLOOKUP(B289,Table2[Main Member Link ID],Table2[Benefit Name],0)=Lookups!$D$14),"",
IF(AND(Table2[[#This Row],[Member Type]]="Spouse",Table2[[#This Row],[Product Option]]="My Value Plus Life &amp; Funeral",_xlfn.XLOOKUP(B288,Table2[Main Member Link ID],Table2[Benefit Name],0)=Lookups!$D$15),Lookups!$D$20,
IF(AND(Table2[[#This Row],[Member Type]]="Spouse",Table2[[#This Row],[Product Option]]="My Value Plus Life &amp; Funeral",_xlfn.XLOOKUP(B288,Table2[Main Member Link ID],Table2[Benefit Name],0)=Lookups!$D$16),"",
IF(AND(Table2[[#This Row],[Member Type]]="Spouse",Table2[[#This Row],[Product Option]]="My Value Plus Life &amp; Funeral",_xlfn.XLOOKUP(B288,Table2[Main Member Link ID],Table2[Benefit Name],0)=Lookups!$D$17),Lookups!$D$21,
IF(AND(Table2[[#This Row],[Member Type]]="Child",Table2[[#This Row],[Product Option]]="My Value Plus Life &amp; Funeral",_xlfn.XLOOKUP(B289,Table2[Main Member Link ID],Table2[Benefit Name],0)=Lookups!$D$14),"",
IF(AND(Table2[[#This Row],[Member Type]]="Child",Table2[[#This Row],[Product Option]]="My Value Plus Life &amp; Funeral",_xlfn.XLOOKUP(B289,Table2[Main Member Link ID],Table2[Benefit Name],0)=Lookups!$D$15),"",
IF(AND(Table2[[#This Row],[Member Type]]="Child",Table2[[#This Row],[Product Option]]="My Value Plus Life &amp; Funeral",_xlfn.XLOOKUP(B289,Table2[Main Member Link ID],Table2[Benefit Name],0)=Lookups!$D$16),Lookups!$D$24,
IF(AND(Table2[[#This Row],[Member Type]]="Child",Table2[[#This Row],[Product Option]]="My Value Plus Life &amp; Funeral",_xlfn.XLOOKUP(B289,Table2[Main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Funeral",_xlfn.XLOOKUP(B289,Table2[Main Member Link ID],Table2[Benefit Name],0)&lt;&gt;Lookups!$D$14),
IF(_xlfn.XLOOKUP(B289,Table2[Main Member Link ID],Table2[Benefit Name],0)=0,"",_xlfn.XLOOKUP(B289,Table2[Main Member Link ID],Table2[Benefit Name],0)),"")))))))))))))))</f>
        <v/>
      </c>
      <c r="AF289" s="327" t="str">
        <f>IF(AND(Table2[[#This Row],[Member Type]]="Main Member",Table2[[#This Row],[Product Option]]="My Value Plus Life &amp; Funeral"),Lookups!$D$15,
IF(AND(Table2[[#This Row],[Member Type]]="Spouse",Table2[[#This Row],[Product Option]]="My Value Plus Life &amp; Funeral",_xlfn.XLOOKUP(B289,Table2[Main Member Link ID],Table2[Benefit Name],0)=Lookups!$D$14),"",
IF(AND(Table2[[#This Row],[Member Type]]="Spouse",Table2[[#This Row],[Product Option]]="My Value Plus Life &amp; Funeral",_xlfn.XLOOKUP(B288,Table2[Main Member Link ID],Table2[Benefit Name],0)=Lookups!$D$16),"",
IF(AND(Table2[[#This Row],[Member Type]]="Spouse",Table2[[#This Row],[Product Option]]="My Value Plus Life &amp; Funeral",_xlfn.XLOOKUP(B288,Table2[Main Member Link ID],Table2[Benefit Name],0)=Lookups!$D$15),"",
IF(AND(Table2[[#This Row],[Member Type]]="Spouse",Table2[[#This Row],[Product Option]]="My Value Plus Life &amp; Funeral",_xlfn.XLOOKUP(B288,Table2[Main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Funeral",_xlfn.XLOOKUP(B289,Table2[Main Member Link ID],Table2[Benefit Name],0)&lt;&gt;Lookups!$D$15),
IF(_xlfn.XLOOKUP(B289,Table2[Main Member Link ID],Table2[Benefit Name],0)=0,"",_xlfn.XLOOKUP(B289,Table2[Main Member Link ID],Table2[Benefit Name],0)),"")
))))))</f>
        <v/>
      </c>
      <c r="AG289" s="327" t="str">
        <f>IF(AND(Table2[[#This Row],[Member Type]]="Main Member",Table2[[#This Row],[Product Option]]="My Value Plus Life &amp; Funeral"),Lookups!$D$16,
IF(AND(Table2[[#This Row],[Member Type]]="Spouse",Table2[[#This Row],[Product Option]]="My Value Plus Life &amp; Funeral",_xlfn.XLOOKUP(B289,Table2[Main Member Link ID],Table2[Benefit Name],0)=Lookups!$D$14),"",
IF(AND(Table2[[#This Row],[Member Type]]="Spouse",Table2[[#This Row],[Product Option]]="My Value Plus Life &amp; Funeral",_xlfn.XLOOKUP(B288,Table2[Main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Funeral",_xlfn.XLOOKUP(B289,Table2[Main Member Link ID],Table2[Benefit Name],0)&lt;&gt;Lookups!$D$16),
IF(_xlfn.XLOOKUP(B289,Table2[Main Member Link ID],Table2[Benefit Name],0)=0,"",_xlfn.XLOOKUP(B289,Table2[Main Member Link ID],Table2[Benefit Name],0)),"")
))))</f>
        <v/>
      </c>
      <c r="AH289" s="327" t="str">
        <f>IF(AND(Table2[[#This Row],[Member Type]]="Main Member",Table2[[#This Row],[Product Option]]="My Value Plus Life &amp; Funeral"),Lookups!$D$17,
IF(AND(Table2[[#This Row],[Member Type]]="Spouse",Table2[[#This Row],[Product Option]]="My Value Plus Life &amp; Funeral",_xlfn.XLOOKUP(B289,Table2[Main Member Link ID],Table2[Benefit Name],0)=Lookups!$D$14),"",
IF(AND(Table2[[#This Row],[Member Type]]="Spouse",Table2[[#This Row],[Product Option]]="My Value Plus Life &amp; Funeral",_xlfn.XLOOKUP(B288,Table2[Main Member Link ID],Table2[Benefit Name],0)=Lookups!$D$16),"",
IF(AND(Table2[[#This Row],[Member Type]]="Child",Table2[[#This Row],[Product Option]]="My Value Plus Life &amp; Funeral"),"",
IF(AND(Table2[[#This Row],[Member Type]]="Child",Table2[[#This Row],[Product Option]]="My Value Plus Life &amp; Funeral",_xlfn.XLOOKUP(B289,Table2[Main Member Link ID],Table2[Benefit Name],0)=Lookups!$D$15),"",
IF(AND(OR(Table2[[#This Row],[Member Type]]="Spouse",Table2[[#This Row],[Member Type]]="Child"),Table2[[#This Row],[Product Option]]="My Value Plus Life &amp; Funeral",_xlfn.XLOOKUP(B289,Table2[Main Member Link ID],Table2[Benefit Name],0)&lt;&gt;Lookups!$D$17),
IF(_xlfn.XLOOKUP(B289,Table2[Main Member Link ID],Table2[Benefit Name],0)=0,"",_xlfn.XLOOKUP(B289,Table2[Main Member Link ID],Table2[Benefit Name],0)),""))))))</f>
        <v/>
      </c>
      <c r="AI289" s="328" t="str">
        <f>IF(AND(Table2[[#This Row],[Member Type]]="Main Member",Table2[[#This Row],[Table Lookup for Life Cover]]="MM_LIFE",Table2[[#This Row],[Age Next Birthday]]&lt;56),1,
IF(AND(Table2[[#This Row],[Member Type]]="Main Member",Table2[[#This Row],[Table Lookup for Life Cover]]="MM_LIFE",Table2[[#This Row],[Age Next Birthday]]&gt;=56),2,
""))</f>
        <v/>
      </c>
      <c r="AJ289" s="328">
        <f>IF(OR(Table2[[#This Row],[Member Type]]="Main Member",Table2[[#This Row],[Main Member Link ID]]=B288),1,0)</f>
        <v>1</v>
      </c>
      <c r="AK289" s="328">
        <f>IF(Table2[[#This Row],[Member Type]]=0,0,
IF(OR(Table2[[#This Row],[Member Type]]="Main Member",Table2[[#This Row],[Main Member Link ID]]&lt;&gt;B289),COUNTIFS(B:B,Table2[[#This Row],[Main Member Link ID]]),
COUNTIFS(B:B,Table2[[#This Row],[Main Member Link ID]],A:A,Table2[[#This Row],[Member Type]])))</f>
        <v>0</v>
      </c>
    </row>
    <row r="290" spans="1:37" x14ac:dyDescent="0.3">
      <c r="A290" s="284">
        <f>Table13[[#This Row],[Member Type]]</f>
        <v>0</v>
      </c>
      <c r="B290" s="284">
        <f>Table13[[#This Row],[Main Member Link ID]]</f>
        <v>0</v>
      </c>
      <c r="C290" s="284">
        <f>Table13[[#This Row],[ID Number]]</f>
        <v>0</v>
      </c>
      <c r="D290" s="285">
        <f>Table13[[#This Row],[Date Of Birth]]</f>
        <v>0</v>
      </c>
      <c r="E290" s="285">
        <f>Table13[[#This Row],[Commencement Date]]</f>
        <v>0</v>
      </c>
      <c r="F290" s="284">
        <f t="shared" si="28"/>
        <v>1</v>
      </c>
      <c r="G290" s="284">
        <f t="shared" si="29"/>
        <v>25</v>
      </c>
      <c r="H290" s="286">
        <f>Table13[[#This Row],[Product Option]]</f>
        <v>0</v>
      </c>
      <c r="I290" s="284">
        <f>IF(AND($A290="Main Member",Table2[[#This Row],[Product Option]]="My Value Plus Life"),"MM_LIFE",
IF(AND($A290="Spouse",Table2[[#This Row],[Product Option]]="My Value Plus Life"),"SP_LIFE",
IF(AND($A290="Main Member",Table2[[#This Row],[Product Option]]="My Value Plus Life &amp; Funeral"),"MM_LIFE",
IF(AND($A290="Spouse",Table2[[#This Row],[Product Option]]="My Value Plus Life &amp; Funeral"),_xlfn.XLOOKUP(Table2[[#This Row],[Benefit Name]],Lookups!$D$18:$D$23,Lookups!$E$18:$E$23,0),
0))))</f>
        <v>0</v>
      </c>
      <c r="J290" s="284">
        <f>IF($I290="","",
IF($I290="MM_LIFE",INDEX('Quotation Tool'!$S$54:$V$60,MATCH($T290,'Quotation Tool'!$S$54:$S$60,0),4),
IF($I290="SP_LIFE",_xlfn.XLOOKUP(B289,$B:$B,$J:$J,0),0)))</f>
        <v>0</v>
      </c>
      <c r="K290" s="287">
        <f t="shared" ca="1" si="33"/>
        <v>0</v>
      </c>
      <c r="L290" s="288">
        <f t="shared" ca="1" si="34"/>
        <v>0</v>
      </c>
      <c r="M290" s="289">
        <f t="shared" ca="1" si="30"/>
        <v>0</v>
      </c>
      <c r="N290" s="286">
        <f>Table13[[#This Row],[Benefit Option]]</f>
        <v>0</v>
      </c>
      <c r="O290" s="284">
        <f>IF(OR(Table2[[#This Row],[Member Type]]="Spouse",Table2[[#This Row],[Member Type]]="Child"),0,
IF(_xlfn.XLOOKUP($N290,Lookups!$D$13:$D$27,Lookups!$F$13:$F$27,0)=Table2[[#This Row],[Table Lookup for Life Cover]],0,
_xlfn.XLOOKUP($N290,Lookups!$D$13:$D$27,Lookups!$F$13:$F$27,0)))</f>
        <v>0</v>
      </c>
      <c r="P290" s="284">
        <f>IF(Table2[[#This Row],[Table Lookup for Funeral]]=0,0,IFERROR(INDEX('Quotation Tool'!$S$54:$V$60,MATCH($T290,'Quotation Tool'!$S$54:$S$60,0),3),0))</f>
        <v>0</v>
      </c>
      <c r="Q290" s="288">
        <f ca="1">IF(OR(Table2[[#This Row],[Benefit Name]]="My Value Plus Life - Main Member",Table2[[#This Row],[Benefit Name]]="My Value Plus Life - Spouse"),0,
IFERROR(VLOOKUP($G290,INDIRECT($O290),$P290,FALSE),0))</f>
        <v>0</v>
      </c>
      <c r="R290" s="288">
        <f ca="1">IF(OR(Table2[[#This Row],[Benefit Name]]="My Value Plus Life - Main Member",Table2[[#This Row],[Benefit Name]]="My Value Plus Life - Spouse"),0,
IFERROR(VLOOKUP($G290,INDIRECT($O290),$P290+1,FALSE),0))</f>
        <v>0</v>
      </c>
      <c r="S290" s="289">
        <f t="shared" ca="1" si="31"/>
        <v>0</v>
      </c>
      <c r="T290" s="284" t="str">
        <f>IF(Table13[[#This Row],[Premium Waiver]]="","None",Table13[[#This Row],[Premium Waiver]])</f>
        <v>None</v>
      </c>
      <c r="U290" s="284">
        <f>Table13[[#This Row],[VAPs Options]]</f>
        <v>0</v>
      </c>
      <c r="V290" s="284">
        <f>Table13[[#This Row],[Annual Increase Option]]</f>
        <v>0</v>
      </c>
      <c r="W290" s="290">
        <f>Table13[[#This Row],[Life Cover Amount]]</f>
        <v>0</v>
      </c>
      <c r="X290" s="290">
        <f>Table13[[#This Row],[Funeral Cover Amount]]</f>
        <v>0</v>
      </c>
      <c r="Y29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9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90" s="301">
        <f t="shared" ca="1" si="32"/>
        <v>0</v>
      </c>
      <c r="AB290" s="298"/>
      <c r="AC290" s="326" t="str">
        <f>IF(Table2[[#This Row],[Member Type]]="Main Member",Lookups!$C$13,
IF(Table2[[#This Row],[Member Type]]="Spouse",_xlfn.XLOOKUP(B290,Table2[Main Member Link ID],Table2[Product Option],0),
IF(AND(Table2[[#This Row],[Member Type]]="Child",_xlfn.XLOOKUP(B290,Table2[Main Member Link ID],Table2[Product Option],0)&lt;&gt;"My Value Plus Life"),Lookups!$C$24,
IF(AND(OR(Table2[[#This Row],[Member Type]]="Parent",Table2[[#This Row],[Member Type]]="Extended"),_xlfn.XLOOKUP(B290,Table2[Main Member Link ID],Table2[Product Option],0)&lt;&gt;"My Value Plus Life"),Lookups!$C$26,""))))</f>
        <v/>
      </c>
      <c r="AD290" s="326" t="str">
        <f>IF(Table2[[#This Row],[Member Type]]="Main Member",Lookups!$C$14,"")</f>
        <v/>
      </c>
      <c r="AE29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Funeral",_xlfn.XLOOKUP(B290,Table2[Main Member Link ID],Table2[Benefit Name],0)=Lookups!$D$14),"",
IF(AND(Table2[[#This Row],[Member Type]]="Spouse",Table2[[#This Row],[Product Option]]="My Value Plus Life &amp; Funeral",_xlfn.XLOOKUP(B289,Table2[Main Member Link ID],Table2[Benefit Name],0)=Lookups!$D$15),Lookups!$D$20,
IF(AND(Table2[[#This Row],[Member Type]]="Spouse",Table2[[#This Row],[Product Option]]="My Value Plus Life &amp; Funeral",_xlfn.XLOOKUP(B289,Table2[Main Member Link ID],Table2[Benefit Name],0)=Lookups!$D$16),"",
IF(AND(Table2[[#This Row],[Member Type]]="Spouse",Table2[[#This Row],[Product Option]]="My Value Plus Life &amp; Funeral",_xlfn.XLOOKUP(B289,Table2[Main Member Link ID],Table2[Benefit Name],0)=Lookups!$D$17),Lookups!$D$21,
IF(AND(Table2[[#This Row],[Member Type]]="Child",Table2[[#This Row],[Product Option]]="My Value Plus Life &amp; Funeral",_xlfn.XLOOKUP(B290,Table2[Main Member Link ID],Table2[Benefit Name],0)=Lookups!$D$14),"",
IF(AND(Table2[[#This Row],[Member Type]]="Child",Table2[[#This Row],[Product Option]]="My Value Plus Life &amp; Funeral",_xlfn.XLOOKUP(B290,Table2[Main Member Link ID],Table2[Benefit Name],0)=Lookups!$D$15),"",
IF(AND(Table2[[#This Row],[Member Type]]="Child",Table2[[#This Row],[Product Option]]="My Value Plus Life &amp; Funeral",_xlfn.XLOOKUP(B290,Table2[Main Member Link ID],Table2[Benefit Name],0)=Lookups!$D$16),Lookups!$D$24,
IF(AND(Table2[[#This Row],[Member Type]]="Child",Table2[[#This Row],[Product Option]]="My Value Plus Life &amp; Funeral",_xlfn.XLOOKUP(B290,Table2[Main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Funeral",_xlfn.XLOOKUP(B290,Table2[Main Member Link ID],Table2[Benefit Name],0)&lt;&gt;Lookups!$D$14),
IF(_xlfn.XLOOKUP(B290,Table2[Main Member Link ID],Table2[Benefit Name],0)=0,"",_xlfn.XLOOKUP(B290,Table2[Main Member Link ID],Table2[Benefit Name],0)),"")))))))))))))))</f>
        <v/>
      </c>
      <c r="AF290" s="327" t="str">
        <f>IF(AND(Table2[[#This Row],[Member Type]]="Main Member",Table2[[#This Row],[Product Option]]="My Value Plus Life &amp; Funeral"),Lookups!$D$15,
IF(AND(Table2[[#This Row],[Member Type]]="Spouse",Table2[[#This Row],[Product Option]]="My Value Plus Life &amp; Funeral",_xlfn.XLOOKUP(B290,Table2[Main Member Link ID],Table2[Benefit Name],0)=Lookups!$D$14),"",
IF(AND(Table2[[#This Row],[Member Type]]="Spouse",Table2[[#This Row],[Product Option]]="My Value Plus Life &amp; Funeral",_xlfn.XLOOKUP(B289,Table2[Main Member Link ID],Table2[Benefit Name],0)=Lookups!$D$16),"",
IF(AND(Table2[[#This Row],[Member Type]]="Spouse",Table2[[#This Row],[Product Option]]="My Value Plus Life &amp; Funeral",_xlfn.XLOOKUP(B289,Table2[Main Member Link ID],Table2[Benefit Name],0)=Lookups!$D$15),"",
IF(AND(Table2[[#This Row],[Member Type]]="Spouse",Table2[[#This Row],[Product Option]]="My Value Plus Life &amp; Funeral",_xlfn.XLOOKUP(B289,Table2[Main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Funeral",_xlfn.XLOOKUP(B290,Table2[Main Member Link ID],Table2[Benefit Name],0)&lt;&gt;Lookups!$D$15),
IF(_xlfn.XLOOKUP(B290,Table2[Main Member Link ID],Table2[Benefit Name],0)=0,"",_xlfn.XLOOKUP(B290,Table2[Main Member Link ID],Table2[Benefit Name],0)),"")
))))))</f>
        <v/>
      </c>
      <c r="AG290" s="327" t="str">
        <f>IF(AND(Table2[[#This Row],[Member Type]]="Main Member",Table2[[#This Row],[Product Option]]="My Value Plus Life &amp; Funeral"),Lookups!$D$16,
IF(AND(Table2[[#This Row],[Member Type]]="Spouse",Table2[[#This Row],[Product Option]]="My Value Plus Life &amp; Funeral",_xlfn.XLOOKUP(B290,Table2[Main Member Link ID],Table2[Benefit Name],0)=Lookups!$D$14),"",
IF(AND(Table2[[#This Row],[Member Type]]="Spouse",Table2[[#This Row],[Product Option]]="My Value Plus Life &amp; Funeral",_xlfn.XLOOKUP(B289,Table2[Main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Funeral",_xlfn.XLOOKUP(B290,Table2[Main Member Link ID],Table2[Benefit Name],0)&lt;&gt;Lookups!$D$16),
IF(_xlfn.XLOOKUP(B290,Table2[Main Member Link ID],Table2[Benefit Name],0)=0,"",_xlfn.XLOOKUP(B290,Table2[Main Member Link ID],Table2[Benefit Name],0)),"")
))))</f>
        <v/>
      </c>
      <c r="AH290" s="327" t="str">
        <f>IF(AND(Table2[[#This Row],[Member Type]]="Main Member",Table2[[#This Row],[Product Option]]="My Value Plus Life &amp; Funeral"),Lookups!$D$17,
IF(AND(Table2[[#This Row],[Member Type]]="Spouse",Table2[[#This Row],[Product Option]]="My Value Plus Life &amp; Funeral",_xlfn.XLOOKUP(B290,Table2[Main Member Link ID],Table2[Benefit Name],0)=Lookups!$D$14),"",
IF(AND(Table2[[#This Row],[Member Type]]="Spouse",Table2[[#This Row],[Product Option]]="My Value Plus Life &amp; Funeral",_xlfn.XLOOKUP(B289,Table2[Main Member Link ID],Table2[Benefit Name],0)=Lookups!$D$16),"",
IF(AND(Table2[[#This Row],[Member Type]]="Child",Table2[[#This Row],[Product Option]]="My Value Plus Life &amp; Funeral"),"",
IF(AND(Table2[[#This Row],[Member Type]]="Child",Table2[[#This Row],[Product Option]]="My Value Plus Life &amp; Funeral",_xlfn.XLOOKUP(B290,Table2[Main Member Link ID],Table2[Benefit Name],0)=Lookups!$D$15),"",
IF(AND(OR(Table2[[#This Row],[Member Type]]="Spouse",Table2[[#This Row],[Member Type]]="Child"),Table2[[#This Row],[Product Option]]="My Value Plus Life &amp; Funeral",_xlfn.XLOOKUP(B290,Table2[Main Member Link ID],Table2[Benefit Name],0)&lt;&gt;Lookups!$D$17),
IF(_xlfn.XLOOKUP(B290,Table2[Main Member Link ID],Table2[Benefit Name],0)=0,"",_xlfn.XLOOKUP(B290,Table2[Main Member Link ID],Table2[Benefit Name],0)),""))))))</f>
        <v/>
      </c>
      <c r="AI290" s="328" t="str">
        <f>IF(AND(Table2[[#This Row],[Member Type]]="Main Member",Table2[[#This Row],[Table Lookup for Life Cover]]="MM_LIFE",Table2[[#This Row],[Age Next Birthday]]&lt;56),1,
IF(AND(Table2[[#This Row],[Member Type]]="Main Member",Table2[[#This Row],[Table Lookup for Life Cover]]="MM_LIFE",Table2[[#This Row],[Age Next Birthday]]&gt;=56),2,
""))</f>
        <v/>
      </c>
      <c r="AJ290" s="328">
        <f>IF(OR(Table2[[#This Row],[Member Type]]="Main Member",Table2[[#This Row],[Main Member Link ID]]=B289),1,0)</f>
        <v>1</v>
      </c>
      <c r="AK290" s="328">
        <f>IF(Table2[[#This Row],[Member Type]]=0,0,
IF(OR(Table2[[#This Row],[Member Type]]="Main Member",Table2[[#This Row],[Main Member Link ID]]&lt;&gt;B290),COUNTIFS(B:B,Table2[[#This Row],[Main Member Link ID]]),
COUNTIFS(B:B,Table2[[#This Row],[Main Member Link ID]],A:A,Table2[[#This Row],[Member Type]])))</f>
        <v>0</v>
      </c>
    </row>
    <row r="291" spans="1:37" x14ac:dyDescent="0.3">
      <c r="A291" s="284">
        <f>Table13[[#This Row],[Member Type]]</f>
        <v>0</v>
      </c>
      <c r="B291" s="284">
        <f>Table13[[#This Row],[Main Member Link ID]]</f>
        <v>0</v>
      </c>
      <c r="C291" s="284">
        <f>Table13[[#This Row],[ID Number]]</f>
        <v>0</v>
      </c>
      <c r="D291" s="285">
        <f>Table13[[#This Row],[Date Of Birth]]</f>
        <v>0</v>
      </c>
      <c r="E291" s="285">
        <f>Table13[[#This Row],[Commencement Date]]</f>
        <v>0</v>
      </c>
      <c r="F291" s="284">
        <f t="shared" si="28"/>
        <v>1</v>
      </c>
      <c r="G291" s="284">
        <f t="shared" si="29"/>
        <v>25</v>
      </c>
      <c r="H291" s="286">
        <f>Table13[[#This Row],[Product Option]]</f>
        <v>0</v>
      </c>
      <c r="I291" s="284">
        <f>IF(AND($A291="Main Member",Table2[[#This Row],[Product Option]]="My Value Plus Life"),"MM_LIFE",
IF(AND($A291="Spouse",Table2[[#This Row],[Product Option]]="My Value Plus Life"),"SP_LIFE",
IF(AND($A291="Main Member",Table2[[#This Row],[Product Option]]="My Value Plus Life &amp; Funeral"),"MM_LIFE",
IF(AND($A291="Spouse",Table2[[#This Row],[Product Option]]="My Value Plus Life &amp; Funeral"),_xlfn.XLOOKUP(Table2[[#This Row],[Benefit Name]],Lookups!$D$18:$D$23,Lookups!$E$18:$E$23,0),
0))))</f>
        <v>0</v>
      </c>
      <c r="J291" s="284">
        <f>IF($I291="","",
IF($I291="MM_LIFE",INDEX('Quotation Tool'!$S$54:$V$60,MATCH($T291,'Quotation Tool'!$S$54:$S$60,0),4),
IF($I291="SP_LIFE",_xlfn.XLOOKUP(B290,$B:$B,$J:$J,0),0)))</f>
        <v>0</v>
      </c>
      <c r="K291" s="287">
        <f t="shared" ca="1" si="33"/>
        <v>0</v>
      </c>
      <c r="L291" s="288">
        <f t="shared" ca="1" si="34"/>
        <v>0</v>
      </c>
      <c r="M291" s="289">
        <f t="shared" ca="1" si="30"/>
        <v>0</v>
      </c>
      <c r="N291" s="286">
        <f>Table13[[#This Row],[Benefit Option]]</f>
        <v>0</v>
      </c>
      <c r="O291" s="284">
        <f>IF(OR(Table2[[#This Row],[Member Type]]="Spouse",Table2[[#This Row],[Member Type]]="Child"),0,
IF(_xlfn.XLOOKUP($N291,Lookups!$D$13:$D$27,Lookups!$F$13:$F$27,0)=Table2[[#This Row],[Table Lookup for Life Cover]],0,
_xlfn.XLOOKUP($N291,Lookups!$D$13:$D$27,Lookups!$F$13:$F$27,0)))</f>
        <v>0</v>
      </c>
      <c r="P291" s="284">
        <f>IF(Table2[[#This Row],[Table Lookup for Funeral]]=0,0,IFERROR(INDEX('Quotation Tool'!$S$54:$V$60,MATCH($T291,'Quotation Tool'!$S$54:$S$60,0),3),0))</f>
        <v>0</v>
      </c>
      <c r="Q291" s="288">
        <f ca="1">IF(OR(Table2[[#This Row],[Benefit Name]]="My Value Plus Life - Main Member",Table2[[#This Row],[Benefit Name]]="My Value Plus Life - Spouse"),0,
IFERROR(VLOOKUP($G291,INDIRECT($O291),$P291,FALSE),0))</f>
        <v>0</v>
      </c>
      <c r="R291" s="288">
        <f ca="1">IF(OR(Table2[[#This Row],[Benefit Name]]="My Value Plus Life - Main Member",Table2[[#This Row],[Benefit Name]]="My Value Plus Life - Spouse"),0,
IFERROR(VLOOKUP($G291,INDIRECT($O291),$P291+1,FALSE),0))</f>
        <v>0</v>
      </c>
      <c r="S291" s="289">
        <f t="shared" ca="1" si="31"/>
        <v>0</v>
      </c>
      <c r="T291" s="284" t="str">
        <f>IF(Table13[[#This Row],[Premium Waiver]]="","None",Table13[[#This Row],[Premium Waiver]])</f>
        <v>None</v>
      </c>
      <c r="U291" s="284">
        <f>Table13[[#This Row],[VAPs Options]]</f>
        <v>0</v>
      </c>
      <c r="V291" s="284">
        <f>Table13[[#This Row],[Annual Increase Option]]</f>
        <v>0</v>
      </c>
      <c r="W291" s="290">
        <f>Table13[[#This Row],[Life Cover Amount]]</f>
        <v>0</v>
      </c>
      <c r="X291" s="290">
        <f>Table13[[#This Row],[Funeral Cover Amount]]</f>
        <v>0</v>
      </c>
      <c r="Y29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9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91" s="301">
        <f t="shared" ca="1" si="32"/>
        <v>0</v>
      </c>
      <c r="AB291" s="298"/>
      <c r="AC291" s="326" t="str">
        <f>IF(Table2[[#This Row],[Member Type]]="Main Member",Lookups!$C$13,
IF(Table2[[#This Row],[Member Type]]="Spouse",_xlfn.XLOOKUP(B291,Table2[Main Member Link ID],Table2[Product Option],0),
IF(AND(Table2[[#This Row],[Member Type]]="Child",_xlfn.XLOOKUP(B291,Table2[Main Member Link ID],Table2[Product Option],0)&lt;&gt;"My Value Plus Life"),Lookups!$C$24,
IF(AND(OR(Table2[[#This Row],[Member Type]]="Parent",Table2[[#This Row],[Member Type]]="Extended"),_xlfn.XLOOKUP(B291,Table2[Main Member Link ID],Table2[Product Option],0)&lt;&gt;"My Value Plus Life"),Lookups!$C$26,""))))</f>
        <v/>
      </c>
      <c r="AD291" s="326" t="str">
        <f>IF(Table2[[#This Row],[Member Type]]="Main Member",Lookups!$C$14,"")</f>
        <v/>
      </c>
      <c r="AE29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Funeral",_xlfn.XLOOKUP(B291,Table2[Main Member Link ID],Table2[Benefit Name],0)=Lookups!$D$14),"",
IF(AND(Table2[[#This Row],[Member Type]]="Spouse",Table2[[#This Row],[Product Option]]="My Value Plus Life &amp; Funeral",_xlfn.XLOOKUP(B290,Table2[Main Member Link ID],Table2[Benefit Name],0)=Lookups!$D$15),Lookups!$D$20,
IF(AND(Table2[[#This Row],[Member Type]]="Spouse",Table2[[#This Row],[Product Option]]="My Value Plus Life &amp; Funeral",_xlfn.XLOOKUP(B290,Table2[Main Member Link ID],Table2[Benefit Name],0)=Lookups!$D$16),"",
IF(AND(Table2[[#This Row],[Member Type]]="Spouse",Table2[[#This Row],[Product Option]]="My Value Plus Life &amp; Funeral",_xlfn.XLOOKUP(B290,Table2[Main Member Link ID],Table2[Benefit Name],0)=Lookups!$D$17),Lookups!$D$21,
IF(AND(Table2[[#This Row],[Member Type]]="Child",Table2[[#This Row],[Product Option]]="My Value Plus Life &amp; Funeral",_xlfn.XLOOKUP(B291,Table2[Main Member Link ID],Table2[Benefit Name],0)=Lookups!$D$14),"",
IF(AND(Table2[[#This Row],[Member Type]]="Child",Table2[[#This Row],[Product Option]]="My Value Plus Life &amp; Funeral",_xlfn.XLOOKUP(B291,Table2[Main Member Link ID],Table2[Benefit Name],0)=Lookups!$D$15),"",
IF(AND(Table2[[#This Row],[Member Type]]="Child",Table2[[#This Row],[Product Option]]="My Value Plus Life &amp; Funeral",_xlfn.XLOOKUP(B291,Table2[Main Member Link ID],Table2[Benefit Name],0)=Lookups!$D$16),Lookups!$D$24,
IF(AND(Table2[[#This Row],[Member Type]]="Child",Table2[[#This Row],[Product Option]]="My Value Plus Life &amp; Funeral",_xlfn.XLOOKUP(B291,Table2[Main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Funeral",_xlfn.XLOOKUP(B291,Table2[Main Member Link ID],Table2[Benefit Name],0)&lt;&gt;Lookups!$D$14),
IF(_xlfn.XLOOKUP(B291,Table2[Main Member Link ID],Table2[Benefit Name],0)=0,"",_xlfn.XLOOKUP(B291,Table2[Main Member Link ID],Table2[Benefit Name],0)),"")))))))))))))))</f>
        <v/>
      </c>
      <c r="AF291" s="327" t="str">
        <f>IF(AND(Table2[[#This Row],[Member Type]]="Main Member",Table2[[#This Row],[Product Option]]="My Value Plus Life &amp; Funeral"),Lookups!$D$15,
IF(AND(Table2[[#This Row],[Member Type]]="Spouse",Table2[[#This Row],[Product Option]]="My Value Plus Life &amp; Funeral",_xlfn.XLOOKUP(B291,Table2[Main Member Link ID],Table2[Benefit Name],0)=Lookups!$D$14),"",
IF(AND(Table2[[#This Row],[Member Type]]="Spouse",Table2[[#This Row],[Product Option]]="My Value Plus Life &amp; Funeral",_xlfn.XLOOKUP(B290,Table2[Main Member Link ID],Table2[Benefit Name],0)=Lookups!$D$16),"",
IF(AND(Table2[[#This Row],[Member Type]]="Spouse",Table2[[#This Row],[Product Option]]="My Value Plus Life &amp; Funeral",_xlfn.XLOOKUP(B290,Table2[Main Member Link ID],Table2[Benefit Name],0)=Lookups!$D$15),"",
IF(AND(Table2[[#This Row],[Member Type]]="Spouse",Table2[[#This Row],[Product Option]]="My Value Plus Life &amp; Funeral",_xlfn.XLOOKUP(B290,Table2[Main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Funeral",_xlfn.XLOOKUP(B291,Table2[Main Member Link ID],Table2[Benefit Name],0)&lt;&gt;Lookups!$D$15),
IF(_xlfn.XLOOKUP(B291,Table2[Main Member Link ID],Table2[Benefit Name],0)=0,"",_xlfn.XLOOKUP(B291,Table2[Main Member Link ID],Table2[Benefit Name],0)),"")
))))))</f>
        <v/>
      </c>
      <c r="AG291" s="327" t="str">
        <f>IF(AND(Table2[[#This Row],[Member Type]]="Main Member",Table2[[#This Row],[Product Option]]="My Value Plus Life &amp; Funeral"),Lookups!$D$16,
IF(AND(Table2[[#This Row],[Member Type]]="Spouse",Table2[[#This Row],[Product Option]]="My Value Plus Life &amp; Funeral",_xlfn.XLOOKUP(B291,Table2[Main Member Link ID],Table2[Benefit Name],0)=Lookups!$D$14),"",
IF(AND(Table2[[#This Row],[Member Type]]="Spouse",Table2[[#This Row],[Product Option]]="My Value Plus Life &amp; Funeral",_xlfn.XLOOKUP(B290,Table2[Main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Funeral",_xlfn.XLOOKUP(B291,Table2[Main Member Link ID],Table2[Benefit Name],0)&lt;&gt;Lookups!$D$16),
IF(_xlfn.XLOOKUP(B291,Table2[Main Member Link ID],Table2[Benefit Name],0)=0,"",_xlfn.XLOOKUP(B291,Table2[Main Member Link ID],Table2[Benefit Name],0)),"")
))))</f>
        <v/>
      </c>
      <c r="AH291" s="327" t="str">
        <f>IF(AND(Table2[[#This Row],[Member Type]]="Main Member",Table2[[#This Row],[Product Option]]="My Value Plus Life &amp; Funeral"),Lookups!$D$17,
IF(AND(Table2[[#This Row],[Member Type]]="Spouse",Table2[[#This Row],[Product Option]]="My Value Plus Life &amp; Funeral",_xlfn.XLOOKUP(B291,Table2[Main Member Link ID],Table2[Benefit Name],0)=Lookups!$D$14),"",
IF(AND(Table2[[#This Row],[Member Type]]="Spouse",Table2[[#This Row],[Product Option]]="My Value Plus Life &amp; Funeral",_xlfn.XLOOKUP(B290,Table2[Main Member Link ID],Table2[Benefit Name],0)=Lookups!$D$16),"",
IF(AND(Table2[[#This Row],[Member Type]]="Child",Table2[[#This Row],[Product Option]]="My Value Plus Life &amp; Funeral"),"",
IF(AND(Table2[[#This Row],[Member Type]]="Child",Table2[[#This Row],[Product Option]]="My Value Plus Life &amp; Funeral",_xlfn.XLOOKUP(B291,Table2[Main Member Link ID],Table2[Benefit Name],0)=Lookups!$D$15),"",
IF(AND(OR(Table2[[#This Row],[Member Type]]="Spouse",Table2[[#This Row],[Member Type]]="Child"),Table2[[#This Row],[Product Option]]="My Value Plus Life &amp; Funeral",_xlfn.XLOOKUP(B291,Table2[Main Member Link ID],Table2[Benefit Name],0)&lt;&gt;Lookups!$D$17),
IF(_xlfn.XLOOKUP(B291,Table2[Main Member Link ID],Table2[Benefit Name],0)=0,"",_xlfn.XLOOKUP(B291,Table2[Main Member Link ID],Table2[Benefit Name],0)),""))))))</f>
        <v/>
      </c>
      <c r="AI291" s="328" t="str">
        <f>IF(AND(Table2[[#This Row],[Member Type]]="Main Member",Table2[[#This Row],[Table Lookup for Life Cover]]="MM_LIFE",Table2[[#This Row],[Age Next Birthday]]&lt;56),1,
IF(AND(Table2[[#This Row],[Member Type]]="Main Member",Table2[[#This Row],[Table Lookup for Life Cover]]="MM_LIFE",Table2[[#This Row],[Age Next Birthday]]&gt;=56),2,
""))</f>
        <v/>
      </c>
      <c r="AJ291" s="328">
        <f>IF(OR(Table2[[#This Row],[Member Type]]="Main Member",Table2[[#This Row],[Main Member Link ID]]=B290),1,0)</f>
        <v>1</v>
      </c>
      <c r="AK291" s="328">
        <f>IF(Table2[[#This Row],[Member Type]]=0,0,
IF(OR(Table2[[#This Row],[Member Type]]="Main Member",Table2[[#This Row],[Main Member Link ID]]&lt;&gt;B291),COUNTIFS(B:B,Table2[[#This Row],[Main Member Link ID]]),
COUNTIFS(B:B,Table2[[#This Row],[Main Member Link ID]],A:A,Table2[[#This Row],[Member Type]])))</f>
        <v>0</v>
      </c>
    </row>
    <row r="292" spans="1:37" x14ac:dyDescent="0.3">
      <c r="A292" s="284">
        <f>Table13[[#This Row],[Member Type]]</f>
        <v>0</v>
      </c>
      <c r="B292" s="284">
        <f>Table13[[#This Row],[Main Member Link ID]]</f>
        <v>0</v>
      </c>
      <c r="C292" s="284">
        <f>Table13[[#This Row],[ID Number]]</f>
        <v>0</v>
      </c>
      <c r="D292" s="285">
        <f>Table13[[#This Row],[Date Of Birth]]</f>
        <v>0</v>
      </c>
      <c r="E292" s="285">
        <f>Table13[[#This Row],[Commencement Date]]</f>
        <v>0</v>
      </c>
      <c r="F292" s="284">
        <f t="shared" si="28"/>
        <v>1</v>
      </c>
      <c r="G292" s="284">
        <f t="shared" si="29"/>
        <v>25</v>
      </c>
      <c r="H292" s="286">
        <f>Table13[[#This Row],[Product Option]]</f>
        <v>0</v>
      </c>
      <c r="I292" s="284">
        <f>IF(AND($A292="Main Member",Table2[[#This Row],[Product Option]]="My Value Plus Life"),"MM_LIFE",
IF(AND($A292="Spouse",Table2[[#This Row],[Product Option]]="My Value Plus Life"),"SP_LIFE",
IF(AND($A292="Main Member",Table2[[#This Row],[Product Option]]="My Value Plus Life &amp; Funeral"),"MM_LIFE",
IF(AND($A292="Spouse",Table2[[#This Row],[Product Option]]="My Value Plus Life &amp; Funeral"),_xlfn.XLOOKUP(Table2[[#This Row],[Benefit Name]],Lookups!$D$18:$D$23,Lookups!$E$18:$E$23,0),
0))))</f>
        <v>0</v>
      </c>
      <c r="J292" s="284">
        <f>IF($I292="","",
IF($I292="MM_LIFE",INDEX('Quotation Tool'!$S$54:$V$60,MATCH($T292,'Quotation Tool'!$S$54:$S$60,0),4),
IF($I292="SP_LIFE",_xlfn.XLOOKUP(B291,$B:$B,$J:$J,0),0)))</f>
        <v>0</v>
      </c>
      <c r="K292" s="287">
        <f t="shared" ca="1" si="33"/>
        <v>0</v>
      </c>
      <c r="L292" s="288">
        <f t="shared" ca="1" si="34"/>
        <v>0</v>
      </c>
      <c r="M292" s="289">
        <f t="shared" ca="1" si="30"/>
        <v>0</v>
      </c>
      <c r="N292" s="286">
        <f>Table13[[#This Row],[Benefit Option]]</f>
        <v>0</v>
      </c>
      <c r="O292" s="284">
        <f>IF(OR(Table2[[#This Row],[Member Type]]="Spouse",Table2[[#This Row],[Member Type]]="Child"),0,
IF(_xlfn.XLOOKUP($N292,Lookups!$D$13:$D$27,Lookups!$F$13:$F$27,0)=Table2[[#This Row],[Table Lookup for Life Cover]],0,
_xlfn.XLOOKUP($N292,Lookups!$D$13:$D$27,Lookups!$F$13:$F$27,0)))</f>
        <v>0</v>
      </c>
      <c r="P292" s="284">
        <f>IF(Table2[[#This Row],[Table Lookup for Funeral]]=0,0,IFERROR(INDEX('Quotation Tool'!$S$54:$V$60,MATCH($T292,'Quotation Tool'!$S$54:$S$60,0),3),0))</f>
        <v>0</v>
      </c>
      <c r="Q292" s="288">
        <f ca="1">IF(OR(Table2[[#This Row],[Benefit Name]]="My Value Plus Life - Main Member",Table2[[#This Row],[Benefit Name]]="My Value Plus Life - Spouse"),0,
IFERROR(VLOOKUP($G292,INDIRECT($O292),$P292,FALSE),0))</f>
        <v>0</v>
      </c>
      <c r="R292" s="288">
        <f ca="1">IF(OR(Table2[[#This Row],[Benefit Name]]="My Value Plus Life - Main Member",Table2[[#This Row],[Benefit Name]]="My Value Plus Life - Spouse"),0,
IFERROR(VLOOKUP($G292,INDIRECT($O292),$P292+1,FALSE),0))</f>
        <v>0</v>
      </c>
      <c r="S292" s="289">
        <f t="shared" ca="1" si="31"/>
        <v>0</v>
      </c>
      <c r="T292" s="284" t="str">
        <f>IF(Table13[[#This Row],[Premium Waiver]]="","None",Table13[[#This Row],[Premium Waiver]])</f>
        <v>None</v>
      </c>
      <c r="U292" s="284">
        <f>Table13[[#This Row],[VAPs Options]]</f>
        <v>0</v>
      </c>
      <c r="V292" s="284">
        <f>Table13[[#This Row],[Annual Increase Option]]</f>
        <v>0</v>
      </c>
      <c r="W292" s="290">
        <f>Table13[[#This Row],[Life Cover Amount]]</f>
        <v>0</v>
      </c>
      <c r="X292" s="290">
        <f>Table13[[#This Row],[Funeral Cover Amount]]</f>
        <v>0</v>
      </c>
      <c r="Y29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9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92" s="301">
        <f t="shared" ca="1" si="32"/>
        <v>0</v>
      </c>
      <c r="AB292" s="298"/>
      <c r="AC292" s="326" t="str">
        <f>IF(Table2[[#This Row],[Member Type]]="Main Member",Lookups!$C$13,
IF(Table2[[#This Row],[Member Type]]="Spouse",_xlfn.XLOOKUP(B292,Table2[Main Member Link ID],Table2[Product Option],0),
IF(AND(Table2[[#This Row],[Member Type]]="Child",_xlfn.XLOOKUP(B292,Table2[Main Member Link ID],Table2[Product Option],0)&lt;&gt;"My Value Plus Life"),Lookups!$C$24,
IF(AND(OR(Table2[[#This Row],[Member Type]]="Parent",Table2[[#This Row],[Member Type]]="Extended"),_xlfn.XLOOKUP(B292,Table2[Main Member Link ID],Table2[Product Option],0)&lt;&gt;"My Value Plus Life"),Lookups!$C$26,""))))</f>
        <v/>
      </c>
      <c r="AD292" s="326" t="str">
        <f>IF(Table2[[#This Row],[Member Type]]="Main Member",Lookups!$C$14,"")</f>
        <v/>
      </c>
      <c r="AE29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Funeral",_xlfn.XLOOKUP(B292,Table2[Main Member Link ID],Table2[Benefit Name],0)=Lookups!$D$14),"",
IF(AND(Table2[[#This Row],[Member Type]]="Spouse",Table2[[#This Row],[Product Option]]="My Value Plus Life &amp; Funeral",_xlfn.XLOOKUP(B291,Table2[Main Member Link ID],Table2[Benefit Name],0)=Lookups!$D$15),Lookups!$D$20,
IF(AND(Table2[[#This Row],[Member Type]]="Spouse",Table2[[#This Row],[Product Option]]="My Value Plus Life &amp; Funeral",_xlfn.XLOOKUP(B291,Table2[Main Member Link ID],Table2[Benefit Name],0)=Lookups!$D$16),"",
IF(AND(Table2[[#This Row],[Member Type]]="Spouse",Table2[[#This Row],[Product Option]]="My Value Plus Life &amp; Funeral",_xlfn.XLOOKUP(B291,Table2[Main Member Link ID],Table2[Benefit Name],0)=Lookups!$D$17),Lookups!$D$21,
IF(AND(Table2[[#This Row],[Member Type]]="Child",Table2[[#This Row],[Product Option]]="My Value Plus Life &amp; Funeral",_xlfn.XLOOKUP(B292,Table2[Main Member Link ID],Table2[Benefit Name],0)=Lookups!$D$14),"",
IF(AND(Table2[[#This Row],[Member Type]]="Child",Table2[[#This Row],[Product Option]]="My Value Plus Life &amp; Funeral",_xlfn.XLOOKUP(B292,Table2[Main Member Link ID],Table2[Benefit Name],0)=Lookups!$D$15),"",
IF(AND(Table2[[#This Row],[Member Type]]="Child",Table2[[#This Row],[Product Option]]="My Value Plus Life &amp; Funeral",_xlfn.XLOOKUP(B292,Table2[Main Member Link ID],Table2[Benefit Name],0)=Lookups!$D$16),Lookups!$D$24,
IF(AND(Table2[[#This Row],[Member Type]]="Child",Table2[[#This Row],[Product Option]]="My Value Plus Life &amp; Funeral",_xlfn.XLOOKUP(B292,Table2[Main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Funeral",_xlfn.XLOOKUP(B292,Table2[Main Member Link ID],Table2[Benefit Name],0)&lt;&gt;Lookups!$D$14),
IF(_xlfn.XLOOKUP(B292,Table2[Main Member Link ID],Table2[Benefit Name],0)=0,"",_xlfn.XLOOKUP(B292,Table2[Main Member Link ID],Table2[Benefit Name],0)),"")))))))))))))))</f>
        <v/>
      </c>
      <c r="AF292" s="327" t="str">
        <f>IF(AND(Table2[[#This Row],[Member Type]]="Main Member",Table2[[#This Row],[Product Option]]="My Value Plus Life &amp; Funeral"),Lookups!$D$15,
IF(AND(Table2[[#This Row],[Member Type]]="Spouse",Table2[[#This Row],[Product Option]]="My Value Plus Life &amp; Funeral",_xlfn.XLOOKUP(B292,Table2[Main Member Link ID],Table2[Benefit Name],0)=Lookups!$D$14),"",
IF(AND(Table2[[#This Row],[Member Type]]="Spouse",Table2[[#This Row],[Product Option]]="My Value Plus Life &amp; Funeral",_xlfn.XLOOKUP(B291,Table2[Main Member Link ID],Table2[Benefit Name],0)=Lookups!$D$16),"",
IF(AND(Table2[[#This Row],[Member Type]]="Spouse",Table2[[#This Row],[Product Option]]="My Value Plus Life &amp; Funeral",_xlfn.XLOOKUP(B291,Table2[Main Member Link ID],Table2[Benefit Name],0)=Lookups!$D$15),"",
IF(AND(Table2[[#This Row],[Member Type]]="Spouse",Table2[[#This Row],[Product Option]]="My Value Plus Life &amp; Funeral",_xlfn.XLOOKUP(B291,Table2[Main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Funeral",_xlfn.XLOOKUP(B292,Table2[Main Member Link ID],Table2[Benefit Name],0)&lt;&gt;Lookups!$D$15),
IF(_xlfn.XLOOKUP(B292,Table2[Main Member Link ID],Table2[Benefit Name],0)=0,"",_xlfn.XLOOKUP(B292,Table2[Main Member Link ID],Table2[Benefit Name],0)),"")
))))))</f>
        <v/>
      </c>
      <c r="AG292" s="327" t="str">
        <f>IF(AND(Table2[[#This Row],[Member Type]]="Main Member",Table2[[#This Row],[Product Option]]="My Value Plus Life &amp; Funeral"),Lookups!$D$16,
IF(AND(Table2[[#This Row],[Member Type]]="Spouse",Table2[[#This Row],[Product Option]]="My Value Plus Life &amp; Funeral",_xlfn.XLOOKUP(B292,Table2[Main Member Link ID],Table2[Benefit Name],0)=Lookups!$D$14),"",
IF(AND(Table2[[#This Row],[Member Type]]="Spouse",Table2[[#This Row],[Product Option]]="My Value Plus Life &amp; Funeral",_xlfn.XLOOKUP(B291,Table2[Main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Funeral",_xlfn.XLOOKUP(B292,Table2[Main Member Link ID],Table2[Benefit Name],0)&lt;&gt;Lookups!$D$16),
IF(_xlfn.XLOOKUP(B292,Table2[Main Member Link ID],Table2[Benefit Name],0)=0,"",_xlfn.XLOOKUP(B292,Table2[Main Member Link ID],Table2[Benefit Name],0)),"")
))))</f>
        <v/>
      </c>
      <c r="AH292" s="327" t="str">
        <f>IF(AND(Table2[[#This Row],[Member Type]]="Main Member",Table2[[#This Row],[Product Option]]="My Value Plus Life &amp; Funeral"),Lookups!$D$17,
IF(AND(Table2[[#This Row],[Member Type]]="Spouse",Table2[[#This Row],[Product Option]]="My Value Plus Life &amp; Funeral",_xlfn.XLOOKUP(B292,Table2[Main Member Link ID],Table2[Benefit Name],0)=Lookups!$D$14),"",
IF(AND(Table2[[#This Row],[Member Type]]="Spouse",Table2[[#This Row],[Product Option]]="My Value Plus Life &amp; Funeral",_xlfn.XLOOKUP(B291,Table2[Main Member Link ID],Table2[Benefit Name],0)=Lookups!$D$16),"",
IF(AND(Table2[[#This Row],[Member Type]]="Child",Table2[[#This Row],[Product Option]]="My Value Plus Life &amp; Funeral"),"",
IF(AND(Table2[[#This Row],[Member Type]]="Child",Table2[[#This Row],[Product Option]]="My Value Plus Life &amp; Funeral",_xlfn.XLOOKUP(B292,Table2[Main Member Link ID],Table2[Benefit Name],0)=Lookups!$D$15),"",
IF(AND(OR(Table2[[#This Row],[Member Type]]="Spouse",Table2[[#This Row],[Member Type]]="Child"),Table2[[#This Row],[Product Option]]="My Value Plus Life &amp; Funeral",_xlfn.XLOOKUP(B292,Table2[Main Member Link ID],Table2[Benefit Name],0)&lt;&gt;Lookups!$D$17),
IF(_xlfn.XLOOKUP(B292,Table2[Main Member Link ID],Table2[Benefit Name],0)=0,"",_xlfn.XLOOKUP(B292,Table2[Main Member Link ID],Table2[Benefit Name],0)),""))))))</f>
        <v/>
      </c>
      <c r="AI292" s="328" t="str">
        <f>IF(AND(Table2[[#This Row],[Member Type]]="Main Member",Table2[[#This Row],[Table Lookup for Life Cover]]="MM_LIFE",Table2[[#This Row],[Age Next Birthday]]&lt;56),1,
IF(AND(Table2[[#This Row],[Member Type]]="Main Member",Table2[[#This Row],[Table Lookup for Life Cover]]="MM_LIFE",Table2[[#This Row],[Age Next Birthday]]&gt;=56),2,
""))</f>
        <v/>
      </c>
      <c r="AJ292" s="328">
        <f>IF(OR(Table2[[#This Row],[Member Type]]="Main Member",Table2[[#This Row],[Main Member Link ID]]=B291),1,0)</f>
        <v>1</v>
      </c>
      <c r="AK292" s="328">
        <f>IF(Table2[[#This Row],[Member Type]]=0,0,
IF(OR(Table2[[#This Row],[Member Type]]="Main Member",Table2[[#This Row],[Main Member Link ID]]&lt;&gt;B292),COUNTIFS(B:B,Table2[[#This Row],[Main Member Link ID]]),
COUNTIFS(B:B,Table2[[#This Row],[Main Member Link ID]],A:A,Table2[[#This Row],[Member Type]])))</f>
        <v>0</v>
      </c>
    </row>
    <row r="293" spans="1:37" x14ac:dyDescent="0.3">
      <c r="A293" s="284">
        <f>Table13[[#This Row],[Member Type]]</f>
        <v>0</v>
      </c>
      <c r="B293" s="284">
        <f>Table13[[#This Row],[Main Member Link ID]]</f>
        <v>0</v>
      </c>
      <c r="C293" s="284">
        <f>Table13[[#This Row],[ID Number]]</f>
        <v>0</v>
      </c>
      <c r="D293" s="285">
        <f>Table13[[#This Row],[Date Of Birth]]</f>
        <v>0</v>
      </c>
      <c r="E293" s="285">
        <f>Table13[[#This Row],[Commencement Date]]</f>
        <v>0</v>
      </c>
      <c r="F293" s="284">
        <f t="shared" si="28"/>
        <v>1</v>
      </c>
      <c r="G293" s="284">
        <f t="shared" si="29"/>
        <v>25</v>
      </c>
      <c r="H293" s="286">
        <f>Table13[[#This Row],[Product Option]]</f>
        <v>0</v>
      </c>
      <c r="I293" s="284">
        <f>IF(AND($A293="Main Member",Table2[[#This Row],[Product Option]]="My Value Plus Life"),"MM_LIFE",
IF(AND($A293="Spouse",Table2[[#This Row],[Product Option]]="My Value Plus Life"),"SP_LIFE",
IF(AND($A293="Main Member",Table2[[#This Row],[Product Option]]="My Value Plus Life &amp; Funeral"),"MM_LIFE",
IF(AND($A293="Spouse",Table2[[#This Row],[Product Option]]="My Value Plus Life &amp; Funeral"),_xlfn.XLOOKUP(Table2[[#This Row],[Benefit Name]],Lookups!$D$18:$D$23,Lookups!$E$18:$E$23,0),
0))))</f>
        <v>0</v>
      </c>
      <c r="J293" s="284">
        <f>IF($I293="","",
IF($I293="MM_LIFE",INDEX('Quotation Tool'!$S$54:$V$60,MATCH($T293,'Quotation Tool'!$S$54:$S$60,0),4),
IF($I293="SP_LIFE",_xlfn.XLOOKUP(B292,$B:$B,$J:$J,0),0)))</f>
        <v>0</v>
      </c>
      <c r="K293" s="287">
        <f t="shared" ca="1" si="33"/>
        <v>0</v>
      </c>
      <c r="L293" s="288">
        <f t="shared" ca="1" si="34"/>
        <v>0</v>
      </c>
      <c r="M293" s="289">
        <f t="shared" ca="1" si="30"/>
        <v>0</v>
      </c>
      <c r="N293" s="286">
        <f>Table13[[#This Row],[Benefit Option]]</f>
        <v>0</v>
      </c>
      <c r="O293" s="284">
        <f>IF(OR(Table2[[#This Row],[Member Type]]="Spouse",Table2[[#This Row],[Member Type]]="Child"),0,
IF(_xlfn.XLOOKUP($N293,Lookups!$D$13:$D$27,Lookups!$F$13:$F$27,0)=Table2[[#This Row],[Table Lookup for Life Cover]],0,
_xlfn.XLOOKUP($N293,Lookups!$D$13:$D$27,Lookups!$F$13:$F$27,0)))</f>
        <v>0</v>
      </c>
      <c r="P293" s="284">
        <f>IF(Table2[[#This Row],[Table Lookup for Funeral]]=0,0,IFERROR(INDEX('Quotation Tool'!$S$54:$V$60,MATCH($T293,'Quotation Tool'!$S$54:$S$60,0),3),0))</f>
        <v>0</v>
      </c>
      <c r="Q293" s="288">
        <f ca="1">IF(OR(Table2[[#This Row],[Benefit Name]]="My Value Plus Life - Main Member",Table2[[#This Row],[Benefit Name]]="My Value Plus Life - Spouse"),0,
IFERROR(VLOOKUP($G293,INDIRECT($O293),$P293,FALSE),0))</f>
        <v>0</v>
      </c>
      <c r="R293" s="288">
        <f ca="1">IF(OR(Table2[[#This Row],[Benefit Name]]="My Value Plus Life - Main Member",Table2[[#This Row],[Benefit Name]]="My Value Plus Life - Spouse"),0,
IFERROR(VLOOKUP($G293,INDIRECT($O293),$P293+1,FALSE),0))</f>
        <v>0</v>
      </c>
      <c r="S293" s="289">
        <f t="shared" ca="1" si="31"/>
        <v>0</v>
      </c>
      <c r="T293" s="284" t="str">
        <f>IF(Table13[[#This Row],[Premium Waiver]]="","None",Table13[[#This Row],[Premium Waiver]])</f>
        <v>None</v>
      </c>
      <c r="U293" s="284">
        <f>Table13[[#This Row],[VAPs Options]]</f>
        <v>0</v>
      </c>
      <c r="V293" s="284">
        <f>Table13[[#This Row],[Annual Increase Option]]</f>
        <v>0</v>
      </c>
      <c r="W293" s="290">
        <f>Table13[[#This Row],[Life Cover Amount]]</f>
        <v>0</v>
      </c>
      <c r="X293" s="290">
        <f>Table13[[#This Row],[Funeral Cover Amount]]</f>
        <v>0</v>
      </c>
      <c r="Y29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9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93" s="301">
        <f t="shared" ca="1" si="32"/>
        <v>0</v>
      </c>
      <c r="AB293" s="298"/>
      <c r="AC293" s="326" t="str">
        <f>IF(Table2[[#This Row],[Member Type]]="Main Member",Lookups!$C$13,
IF(Table2[[#This Row],[Member Type]]="Spouse",_xlfn.XLOOKUP(B293,Table2[Main Member Link ID],Table2[Product Option],0),
IF(AND(Table2[[#This Row],[Member Type]]="Child",_xlfn.XLOOKUP(B293,Table2[Main Member Link ID],Table2[Product Option],0)&lt;&gt;"My Value Plus Life"),Lookups!$C$24,
IF(AND(OR(Table2[[#This Row],[Member Type]]="Parent",Table2[[#This Row],[Member Type]]="Extended"),_xlfn.XLOOKUP(B293,Table2[Main Member Link ID],Table2[Product Option],0)&lt;&gt;"My Value Plus Life"),Lookups!$C$26,""))))</f>
        <v/>
      </c>
      <c r="AD293" s="326" t="str">
        <f>IF(Table2[[#This Row],[Member Type]]="Main Member",Lookups!$C$14,"")</f>
        <v/>
      </c>
      <c r="AE29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Funeral",_xlfn.XLOOKUP(B293,Table2[Main Member Link ID],Table2[Benefit Name],0)=Lookups!$D$14),"",
IF(AND(Table2[[#This Row],[Member Type]]="Spouse",Table2[[#This Row],[Product Option]]="My Value Plus Life &amp; Funeral",_xlfn.XLOOKUP(B292,Table2[Main Member Link ID],Table2[Benefit Name],0)=Lookups!$D$15),Lookups!$D$20,
IF(AND(Table2[[#This Row],[Member Type]]="Spouse",Table2[[#This Row],[Product Option]]="My Value Plus Life &amp; Funeral",_xlfn.XLOOKUP(B292,Table2[Main Member Link ID],Table2[Benefit Name],0)=Lookups!$D$16),"",
IF(AND(Table2[[#This Row],[Member Type]]="Spouse",Table2[[#This Row],[Product Option]]="My Value Plus Life &amp; Funeral",_xlfn.XLOOKUP(B292,Table2[Main Member Link ID],Table2[Benefit Name],0)=Lookups!$D$17),Lookups!$D$21,
IF(AND(Table2[[#This Row],[Member Type]]="Child",Table2[[#This Row],[Product Option]]="My Value Plus Life &amp; Funeral",_xlfn.XLOOKUP(B293,Table2[Main Member Link ID],Table2[Benefit Name],0)=Lookups!$D$14),"",
IF(AND(Table2[[#This Row],[Member Type]]="Child",Table2[[#This Row],[Product Option]]="My Value Plus Life &amp; Funeral",_xlfn.XLOOKUP(B293,Table2[Main Member Link ID],Table2[Benefit Name],0)=Lookups!$D$15),"",
IF(AND(Table2[[#This Row],[Member Type]]="Child",Table2[[#This Row],[Product Option]]="My Value Plus Life &amp; Funeral",_xlfn.XLOOKUP(B293,Table2[Main Member Link ID],Table2[Benefit Name],0)=Lookups!$D$16),Lookups!$D$24,
IF(AND(Table2[[#This Row],[Member Type]]="Child",Table2[[#This Row],[Product Option]]="My Value Plus Life &amp; Funeral",_xlfn.XLOOKUP(B293,Table2[Main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Funeral",_xlfn.XLOOKUP(B293,Table2[Main Member Link ID],Table2[Benefit Name],0)&lt;&gt;Lookups!$D$14),
IF(_xlfn.XLOOKUP(B293,Table2[Main Member Link ID],Table2[Benefit Name],0)=0,"",_xlfn.XLOOKUP(B293,Table2[Main Member Link ID],Table2[Benefit Name],0)),"")))))))))))))))</f>
        <v/>
      </c>
      <c r="AF293" s="327" t="str">
        <f>IF(AND(Table2[[#This Row],[Member Type]]="Main Member",Table2[[#This Row],[Product Option]]="My Value Plus Life &amp; Funeral"),Lookups!$D$15,
IF(AND(Table2[[#This Row],[Member Type]]="Spouse",Table2[[#This Row],[Product Option]]="My Value Plus Life &amp; Funeral",_xlfn.XLOOKUP(B293,Table2[Main Member Link ID],Table2[Benefit Name],0)=Lookups!$D$14),"",
IF(AND(Table2[[#This Row],[Member Type]]="Spouse",Table2[[#This Row],[Product Option]]="My Value Plus Life &amp; Funeral",_xlfn.XLOOKUP(B292,Table2[Main Member Link ID],Table2[Benefit Name],0)=Lookups!$D$16),"",
IF(AND(Table2[[#This Row],[Member Type]]="Spouse",Table2[[#This Row],[Product Option]]="My Value Plus Life &amp; Funeral",_xlfn.XLOOKUP(B292,Table2[Main Member Link ID],Table2[Benefit Name],0)=Lookups!$D$15),"",
IF(AND(Table2[[#This Row],[Member Type]]="Spouse",Table2[[#This Row],[Product Option]]="My Value Plus Life &amp; Funeral",_xlfn.XLOOKUP(B292,Table2[Main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Funeral",_xlfn.XLOOKUP(B293,Table2[Main Member Link ID],Table2[Benefit Name],0)&lt;&gt;Lookups!$D$15),
IF(_xlfn.XLOOKUP(B293,Table2[Main Member Link ID],Table2[Benefit Name],0)=0,"",_xlfn.XLOOKUP(B293,Table2[Main Member Link ID],Table2[Benefit Name],0)),"")
))))))</f>
        <v/>
      </c>
      <c r="AG293" s="327" t="str">
        <f>IF(AND(Table2[[#This Row],[Member Type]]="Main Member",Table2[[#This Row],[Product Option]]="My Value Plus Life &amp; Funeral"),Lookups!$D$16,
IF(AND(Table2[[#This Row],[Member Type]]="Spouse",Table2[[#This Row],[Product Option]]="My Value Plus Life &amp; Funeral",_xlfn.XLOOKUP(B293,Table2[Main Member Link ID],Table2[Benefit Name],0)=Lookups!$D$14),"",
IF(AND(Table2[[#This Row],[Member Type]]="Spouse",Table2[[#This Row],[Product Option]]="My Value Plus Life &amp; Funeral",_xlfn.XLOOKUP(B292,Table2[Main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Funeral",_xlfn.XLOOKUP(B293,Table2[Main Member Link ID],Table2[Benefit Name],0)&lt;&gt;Lookups!$D$16),
IF(_xlfn.XLOOKUP(B293,Table2[Main Member Link ID],Table2[Benefit Name],0)=0,"",_xlfn.XLOOKUP(B293,Table2[Main Member Link ID],Table2[Benefit Name],0)),"")
))))</f>
        <v/>
      </c>
      <c r="AH293" s="327" t="str">
        <f>IF(AND(Table2[[#This Row],[Member Type]]="Main Member",Table2[[#This Row],[Product Option]]="My Value Plus Life &amp; Funeral"),Lookups!$D$17,
IF(AND(Table2[[#This Row],[Member Type]]="Spouse",Table2[[#This Row],[Product Option]]="My Value Plus Life &amp; Funeral",_xlfn.XLOOKUP(B293,Table2[Main Member Link ID],Table2[Benefit Name],0)=Lookups!$D$14),"",
IF(AND(Table2[[#This Row],[Member Type]]="Spouse",Table2[[#This Row],[Product Option]]="My Value Plus Life &amp; Funeral",_xlfn.XLOOKUP(B292,Table2[Main Member Link ID],Table2[Benefit Name],0)=Lookups!$D$16),"",
IF(AND(Table2[[#This Row],[Member Type]]="Child",Table2[[#This Row],[Product Option]]="My Value Plus Life &amp; Funeral"),"",
IF(AND(Table2[[#This Row],[Member Type]]="Child",Table2[[#This Row],[Product Option]]="My Value Plus Life &amp; Funeral",_xlfn.XLOOKUP(B293,Table2[Main Member Link ID],Table2[Benefit Name],0)=Lookups!$D$15),"",
IF(AND(OR(Table2[[#This Row],[Member Type]]="Spouse",Table2[[#This Row],[Member Type]]="Child"),Table2[[#This Row],[Product Option]]="My Value Plus Life &amp; Funeral",_xlfn.XLOOKUP(B293,Table2[Main Member Link ID],Table2[Benefit Name],0)&lt;&gt;Lookups!$D$17),
IF(_xlfn.XLOOKUP(B293,Table2[Main Member Link ID],Table2[Benefit Name],0)=0,"",_xlfn.XLOOKUP(B293,Table2[Main Member Link ID],Table2[Benefit Name],0)),""))))))</f>
        <v/>
      </c>
      <c r="AI293" s="328" t="str">
        <f>IF(AND(Table2[[#This Row],[Member Type]]="Main Member",Table2[[#This Row],[Table Lookup for Life Cover]]="MM_LIFE",Table2[[#This Row],[Age Next Birthday]]&lt;56),1,
IF(AND(Table2[[#This Row],[Member Type]]="Main Member",Table2[[#This Row],[Table Lookup for Life Cover]]="MM_LIFE",Table2[[#This Row],[Age Next Birthday]]&gt;=56),2,
""))</f>
        <v/>
      </c>
      <c r="AJ293" s="328">
        <f>IF(OR(Table2[[#This Row],[Member Type]]="Main Member",Table2[[#This Row],[Main Member Link ID]]=B292),1,0)</f>
        <v>1</v>
      </c>
      <c r="AK293" s="328">
        <f>IF(Table2[[#This Row],[Member Type]]=0,0,
IF(OR(Table2[[#This Row],[Member Type]]="Main Member",Table2[[#This Row],[Main Member Link ID]]&lt;&gt;B293),COUNTIFS(B:B,Table2[[#This Row],[Main Member Link ID]]),
COUNTIFS(B:B,Table2[[#This Row],[Main Member Link ID]],A:A,Table2[[#This Row],[Member Type]])))</f>
        <v>0</v>
      </c>
    </row>
    <row r="294" spans="1:37" x14ac:dyDescent="0.3">
      <c r="A294" s="284">
        <f>Table13[[#This Row],[Member Type]]</f>
        <v>0</v>
      </c>
      <c r="B294" s="284">
        <f>Table13[[#This Row],[Main Member Link ID]]</f>
        <v>0</v>
      </c>
      <c r="C294" s="284">
        <f>Table13[[#This Row],[ID Number]]</f>
        <v>0</v>
      </c>
      <c r="D294" s="285">
        <f>Table13[[#This Row],[Date Of Birth]]</f>
        <v>0</v>
      </c>
      <c r="E294" s="285">
        <f>Table13[[#This Row],[Commencement Date]]</f>
        <v>0</v>
      </c>
      <c r="F294" s="284">
        <f t="shared" si="28"/>
        <v>1</v>
      </c>
      <c r="G294" s="284">
        <f t="shared" si="29"/>
        <v>25</v>
      </c>
      <c r="H294" s="286">
        <f>Table13[[#This Row],[Product Option]]</f>
        <v>0</v>
      </c>
      <c r="I294" s="284">
        <f>IF(AND($A294="Main Member",Table2[[#This Row],[Product Option]]="My Value Plus Life"),"MM_LIFE",
IF(AND($A294="Spouse",Table2[[#This Row],[Product Option]]="My Value Plus Life"),"SP_LIFE",
IF(AND($A294="Main Member",Table2[[#This Row],[Product Option]]="My Value Plus Life &amp; Funeral"),"MM_LIFE",
IF(AND($A294="Spouse",Table2[[#This Row],[Product Option]]="My Value Plus Life &amp; Funeral"),_xlfn.XLOOKUP(Table2[[#This Row],[Benefit Name]],Lookups!$D$18:$D$23,Lookups!$E$18:$E$23,0),
0))))</f>
        <v>0</v>
      </c>
      <c r="J294" s="284">
        <f>IF($I294="","",
IF($I294="MM_LIFE",INDEX('Quotation Tool'!$S$54:$V$60,MATCH($T294,'Quotation Tool'!$S$54:$S$60,0),4),
IF($I294="SP_LIFE",_xlfn.XLOOKUP(B293,$B:$B,$J:$J,0),0)))</f>
        <v>0</v>
      </c>
      <c r="K294" s="287">
        <f t="shared" ca="1" si="33"/>
        <v>0</v>
      </c>
      <c r="L294" s="288">
        <f t="shared" ca="1" si="34"/>
        <v>0</v>
      </c>
      <c r="M294" s="289">
        <f t="shared" ca="1" si="30"/>
        <v>0</v>
      </c>
      <c r="N294" s="286">
        <f>Table13[[#This Row],[Benefit Option]]</f>
        <v>0</v>
      </c>
      <c r="O294" s="284">
        <f>IF(OR(Table2[[#This Row],[Member Type]]="Spouse",Table2[[#This Row],[Member Type]]="Child"),0,
IF(_xlfn.XLOOKUP($N294,Lookups!$D$13:$D$27,Lookups!$F$13:$F$27,0)=Table2[[#This Row],[Table Lookup for Life Cover]],0,
_xlfn.XLOOKUP($N294,Lookups!$D$13:$D$27,Lookups!$F$13:$F$27,0)))</f>
        <v>0</v>
      </c>
      <c r="P294" s="284">
        <f>IF(Table2[[#This Row],[Table Lookup for Funeral]]=0,0,IFERROR(INDEX('Quotation Tool'!$S$54:$V$60,MATCH($T294,'Quotation Tool'!$S$54:$S$60,0),3),0))</f>
        <v>0</v>
      </c>
      <c r="Q294" s="288">
        <f ca="1">IF(OR(Table2[[#This Row],[Benefit Name]]="My Value Plus Life - Main Member",Table2[[#This Row],[Benefit Name]]="My Value Plus Life - Spouse"),0,
IFERROR(VLOOKUP($G294,INDIRECT($O294),$P294,FALSE),0))</f>
        <v>0</v>
      </c>
      <c r="R294" s="288">
        <f ca="1">IF(OR(Table2[[#This Row],[Benefit Name]]="My Value Plus Life - Main Member",Table2[[#This Row],[Benefit Name]]="My Value Plus Life - Spouse"),0,
IFERROR(VLOOKUP($G294,INDIRECT($O294),$P294+1,FALSE),0))</f>
        <v>0</v>
      </c>
      <c r="S294" s="289">
        <f t="shared" ca="1" si="31"/>
        <v>0</v>
      </c>
      <c r="T294" s="284" t="str">
        <f>IF(Table13[[#This Row],[Premium Waiver]]="","None",Table13[[#This Row],[Premium Waiver]])</f>
        <v>None</v>
      </c>
      <c r="U294" s="284">
        <f>Table13[[#This Row],[VAPs Options]]</f>
        <v>0</v>
      </c>
      <c r="V294" s="284">
        <f>Table13[[#This Row],[Annual Increase Option]]</f>
        <v>0</v>
      </c>
      <c r="W294" s="290">
        <f>Table13[[#This Row],[Life Cover Amount]]</f>
        <v>0</v>
      </c>
      <c r="X294" s="290">
        <f>Table13[[#This Row],[Funeral Cover Amount]]</f>
        <v>0</v>
      </c>
      <c r="Y29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9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94" s="301">
        <f t="shared" ca="1" si="32"/>
        <v>0</v>
      </c>
      <c r="AB294" s="298"/>
      <c r="AC294" s="326" t="str">
        <f>IF(Table2[[#This Row],[Member Type]]="Main Member",Lookups!$C$13,
IF(Table2[[#This Row],[Member Type]]="Spouse",_xlfn.XLOOKUP(B294,Table2[Main Member Link ID],Table2[Product Option],0),
IF(AND(Table2[[#This Row],[Member Type]]="Child",_xlfn.XLOOKUP(B294,Table2[Main Member Link ID],Table2[Product Option],0)&lt;&gt;"My Value Plus Life"),Lookups!$C$24,
IF(AND(OR(Table2[[#This Row],[Member Type]]="Parent",Table2[[#This Row],[Member Type]]="Extended"),_xlfn.XLOOKUP(B294,Table2[Main Member Link ID],Table2[Product Option],0)&lt;&gt;"My Value Plus Life"),Lookups!$C$26,""))))</f>
        <v/>
      </c>
      <c r="AD294" s="326" t="str">
        <f>IF(Table2[[#This Row],[Member Type]]="Main Member",Lookups!$C$14,"")</f>
        <v/>
      </c>
      <c r="AE29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Funeral",_xlfn.XLOOKUP(B294,Table2[Main Member Link ID],Table2[Benefit Name],0)=Lookups!$D$14),"",
IF(AND(Table2[[#This Row],[Member Type]]="Spouse",Table2[[#This Row],[Product Option]]="My Value Plus Life &amp; Funeral",_xlfn.XLOOKUP(B293,Table2[Main Member Link ID],Table2[Benefit Name],0)=Lookups!$D$15),Lookups!$D$20,
IF(AND(Table2[[#This Row],[Member Type]]="Spouse",Table2[[#This Row],[Product Option]]="My Value Plus Life &amp; Funeral",_xlfn.XLOOKUP(B293,Table2[Main Member Link ID],Table2[Benefit Name],0)=Lookups!$D$16),"",
IF(AND(Table2[[#This Row],[Member Type]]="Spouse",Table2[[#This Row],[Product Option]]="My Value Plus Life &amp; Funeral",_xlfn.XLOOKUP(B293,Table2[Main Member Link ID],Table2[Benefit Name],0)=Lookups!$D$17),Lookups!$D$21,
IF(AND(Table2[[#This Row],[Member Type]]="Child",Table2[[#This Row],[Product Option]]="My Value Plus Life &amp; Funeral",_xlfn.XLOOKUP(B294,Table2[Main Member Link ID],Table2[Benefit Name],0)=Lookups!$D$14),"",
IF(AND(Table2[[#This Row],[Member Type]]="Child",Table2[[#This Row],[Product Option]]="My Value Plus Life &amp; Funeral",_xlfn.XLOOKUP(B294,Table2[Main Member Link ID],Table2[Benefit Name],0)=Lookups!$D$15),"",
IF(AND(Table2[[#This Row],[Member Type]]="Child",Table2[[#This Row],[Product Option]]="My Value Plus Life &amp; Funeral",_xlfn.XLOOKUP(B294,Table2[Main Member Link ID],Table2[Benefit Name],0)=Lookups!$D$16),Lookups!$D$24,
IF(AND(Table2[[#This Row],[Member Type]]="Child",Table2[[#This Row],[Product Option]]="My Value Plus Life &amp; Funeral",_xlfn.XLOOKUP(B294,Table2[Main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Funeral",_xlfn.XLOOKUP(B294,Table2[Main Member Link ID],Table2[Benefit Name],0)&lt;&gt;Lookups!$D$14),
IF(_xlfn.XLOOKUP(B294,Table2[Main Member Link ID],Table2[Benefit Name],0)=0,"",_xlfn.XLOOKUP(B294,Table2[Main Member Link ID],Table2[Benefit Name],0)),"")))))))))))))))</f>
        <v/>
      </c>
      <c r="AF294" s="327" t="str">
        <f>IF(AND(Table2[[#This Row],[Member Type]]="Main Member",Table2[[#This Row],[Product Option]]="My Value Plus Life &amp; Funeral"),Lookups!$D$15,
IF(AND(Table2[[#This Row],[Member Type]]="Spouse",Table2[[#This Row],[Product Option]]="My Value Plus Life &amp; Funeral",_xlfn.XLOOKUP(B294,Table2[Main Member Link ID],Table2[Benefit Name],0)=Lookups!$D$14),"",
IF(AND(Table2[[#This Row],[Member Type]]="Spouse",Table2[[#This Row],[Product Option]]="My Value Plus Life &amp; Funeral",_xlfn.XLOOKUP(B293,Table2[Main Member Link ID],Table2[Benefit Name],0)=Lookups!$D$16),"",
IF(AND(Table2[[#This Row],[Member Type]]="Spouse",Table2[[#This Row],[Product Option]]="My Value Plus Life &amp; Funeral",_xlfn.XLOOKUP(B293,Table2[Main Member Link ID],Table2[Benefit Name],0)=Lookups!$D$15),"",
IF(AND(Table2[[#This Row],[Member Type]]="Spouse",Table2[[#This Row],[Product Option]]="My Value Plus Life &amp; Funeral",_xlfn.XLOOKUP(B293,Table2[Main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Funeral",_xlfn.XLOOKUP(B294,Table2[Main Member Link ID],Table2[Benefit Name],0)&lt;&gt;Lookups!$D$15),
IF(_xlfn.XLOOKUP(B294,Table2[Main Member Link ID],Table2[Benefit Name],0)=0,"",_xlfn.XLOOKUP(B294,Table2[Main Member Link ID],Table2[Benefit Name],0)),"")
))))))</f>
        <v/>
      </c>
      <c r="AG294" s="327" t="str">
        <f>IF(AND(Table2[[#This Row],[Member Type]]="Main Member",Table2[[#This Row],[Product Option]]="My Value Plus Life &amp; Funeral"),Lookups!$D$16,
IF(AND(Table2[[#This Row],[Member Type]]="Spouse",Table2[[#This Row],[Product Option]]="My Value Plus Life &amp; Funeral",_xlfn.XLOOKUP(B294,Table2[Main Member Link ID],Table2[Benefit Name],0)=Lookups!$D$14),"",
IF(AND(Table2[[#This Row],[Member Type]]="Spouse",Table2[[#This Row],[Product Option]]="My Value Plus Life &amp; Funeral",_xlfn.XLOOKUP(B293,Table2[Main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Funeral",_xlfn.XLOOKUP(B294,Table2[Main Member Link ID],Table2[Benefit Name],0)&lt;&gt;Lookups!$D$16),
IF(_xlfn.XLOOKUP(B294,Table2[Main Member Link ID],Table2[Benefit Name],0)=0,"",_xlfn.XLOOKUP(B294,Table2[Main Member Link ID],Table2[Benefit Name],0)),"")
))))</f>
        <v/>
      </c>
      <c r="AH294" s="327" t="str">
        <f>IF(AND(Table2[[#This Row],[Member Type]]="Main Member",Table2[[#This Row],[Product Option]]="My Value Plus Life &amp; Funeral"),Lookups!$D$17,
IF(AND(Table2[[#This Row],[Member Type]]="Spouse",Table2[[#This Row],[Product Option]]="My Value Plus Life &amp; Funeral",_xlfn.XLOOKUP(B294,Table2[Main Member Link ID],Table2[Benefit Name],0)=Lookups!$D$14),"",
IF(AND(Table2[[#This Row],[Member Type]]="Spouse",Table2[[#This Row],[Product Option]]="My Value Plus Life &amp; Funeral",_xlfn.XLOOKUP(B293,Table2[Main Member Link ID],Table2[Benefit Name],0)=Lookups!$D$16),"",
IF(AND(Table2[[#This Row],[Member Type]]="Child",Table2[[#This Row],[Product Option]]="My Value Plus Life &amp; Funeral"),"",
IF(AND(Table2[[#This Row],[Member Type]]="Child",Table2[[#This Row],[Product Option]]="My Value Plus Life &amp; Funeral",_xlfn.XLOOKUP(B294,Table2[Main Member Link ID],Table2[Benefit Name],0)=Lookups!$D$15),"",
IF(AND(OR(Table2[[#This Row],[Member Type]]="Spouse",Table2[[#This Row],[Member Type]]="Child"),Table2[[#This Row],[Product Option]]="My Value Plus Life &amp; Funeral",_xlfn.XLOOKUP(B294,Table2[Main Member Link ID],Table2[Benefit Name],0)&lt;&gt;Lookups!$D$17),
IF(_xlfn.XLOOKUP(B294,Table2[Main Member Link ID],Table2[Benefit Name],0)=0,"",_xlfn.XLOOKUP(B294,Table2[Main Member Link ID],Table2[Benefit Name],0)),""))))))</f>
        <v/>
      </c>
      <c r="AI294" s="328" t="str">
        <f>IF(AND(Table2[[#This Row],[Member Type]]="Main Member",Table2[[#This Row],[Table Lookup for Life Cover]]="MM_LIFE",Table2[[#This Row],[Age Next Birthday]]&lt;56),1,
IF(AND(Table2[[#This Row],[Member Type]]="Main Member",Table2[[#This Row],[Table Lookup for Life Cover]]="MM_LIFE",Table2[[#This Row],[Age Next Birthday]]&gt;=56),2,
""))</f>
        <v/>
      </c>
      <c r="AJ294" s="328">
        <f>IF(OR(Table2[[#This Row],[Member Type]]="Main Member",Table2[[#This Row],[Main Member Link ID]]=B293),1,0)</f>
        <v>1</v>
      </c>
      <c r="AK294" s="328">
        <f>IF(Table2[[#This Row],[Member Type]]=0,0,
IF(OR(Table2[[#This Row],[Member Type]]="Main Member",Table2[[#This Row],[Main Member Link ID]]&lt;&gt;B294),COUNTIFS(B:B,Table2[[#This Row],[Main Member Link ID]]),
COUNTIFS(B:B,Table2[[#This Row],[Main Member Link ID]],A:A,Table2[[#This Row],[Member Type]])))</f>
        <v>0</v>
      </c>
    </row>
    <row r="295" spans="1:37" x14ac:dyDescent="0.3">
      <c r="A295" s="284">
        <f>Table13[[#This Row],[Member Type]]</f>
        <v>0</v>
      </c>
      <c r="B295" s="284">
        <f>Table13[[#This Row],[Main Member Link ID]]</f>
        <v>0</v>
      </c>
      <c r="C295" s="284">
        <f>Table13[[#This Row],[ID Number]]</f>
        <v>0</v>
      </c>
      <c r="D295" s="285">
        <f>Table13[[#This Row],[Date Of Birth]]</f>
        <v>0</v>
      </c>
      <c r="E295" s="285">
        <f>Table13[[#This Row],[Commencement Date]]</f>
        <v>0</v>
      </c>
      <c r="F295" s="284">
        <f t="shared" si="28"/>
        <v>1</v>
      </c>
      <c r="G295" s="284">
        <f t="shared" si="29"/>
        <v>25</v>
      </c>
      <c r="H295" s="286">
        <f>Table13[[#This Row],[Product Option]]</f>
        <v>0</v>
      </c>
      <c r="I295" s="284">
        <f>IF(AND($A295="Main Member",Table2[[#This Row],[Product Option]]="My Value Plus Life"),"MM_LIFE",
IF(AND($A295="Spouse",Table2[[#This Row],[Product Option]]="My Value Plus Life"),"SP_LIFE",
IF(AND($A295="Main Member",Table2[[#This Row],[Product Option]]="My Value Plus Life &amp; Funeral"),"MM_LIFE",
IF(AND($A295="Spouse",Table2[[#This Row],[Product Option]]="My Value Plus Life &amp; Funeral"),_xlfn.XLOOKUP(Table2[[#This Row],[Benefit Name]],Lookups!$D$18:$D$23,Lookups!$E$18:$E$23,0),
0))))</f>
        <v>0</v>
      </c>
      <c r="J295" s="284">
        <f>IF($I295="","",
IF($I295="MM_LIFE",INDEX('Quotation Tool'!$S$54:$V$60,MATCH($T295,'Quotation Tool'!$S$54:$S$60,0),4),
IF($I295="SP_LIFE",_xlfn.XLOOKUP(B294,$B:$B,$J:$J,0),0)))</f>
        <v>0</v>
      </c>
      <c r="K295" s="287">
        <f t="shared" ca="1" si="33"/>
        <v>0</v>
      </c>
      <c r="L295" s="288">
        <f t="shared" ca="1" si="34"/>
        <v>0</v>
      </c>
      <c r="M295" s="289">
        <f t="shared" ca="1" si="30"/>
        <v>0</v>
      </c>
      <c r="N295" s="286">
        <f>Table13[[#This Row],[Benefit Option]]</f>
        <v>0</v>
      </c>
      <c r="O295" s="284">
        <f>IF(OR(Table2[[#This Row],[Member Type]]="Spouse",Table2[[#This Row],[Member Type]]="Child"),0,
IF(_xlfn.XLOOKUP($N295,Lookups!$D$13:$D$27,Lookups!$F$13:$F$27,0)=Table2[[#This Row],[Table Lookup for Life Cover]],0,
_xlfn.XLOOKUP($N295,Lookups!$D$13:$D$27,Lookups!$F$13:$F$27,0)))</f>
        <v>0</v>
      </c>
      <c r="P295" s="284">
        <f>IF(Table2[[#This Row],[Table Lookup for Funeral]]=0,0,IFERROR(INDEX('Quotation Tool'!$S$54:$V$60,MATCH($T295,'Quotation Tool'!$S$54:$S$60,0),3),0))</f>
        <v>0</v>
      </c>
      <c r="Q295" s="288">
        <f ca="1">IF(OR(Table2[[#This Row],[Benefit Name]]="My Value Plus Life - Main Member",Table2[[#This Row],[Benefit Name]]="My Value Plus Life - Spouse"),0,
IFERROR(VLOOKUP($G295,INDIRECT($O295),$P295,FALSE),0))</f>
        <v>0</v>
      </c>
      <c r="R295" s="288">
        <f ca="1">IF(OR(Table2[[#This Row],[Benefit Name]]="My Value Plus Life - Main Member",Table2[[#This Row],[Benefit Name]]="My Value Plus Life - Spouse"),0,
IFERROR(VLOOKUP($G295,INDIRECT($O295),$P295+1,FALSE),0))</f>
        <v>0</v>
      </c>
      <c r="S295" s="289">
        <f t="shared" ca="1" si="31"/>
        <v>0</v>
      </c>
      <c r="T295" s="284" t="str">
        <f>IF(Table13[[#This Row],[Premium Waiver]]="","None",Table13[[#This Row],[Premium Waiver]])</f>
        <v>None</v>
      </c>
      <c r="U295" s="284">
        <f>Table13[[#This Row],[VAPs Options]]</f>
        <v>0</v>
      </c>
      <c r="V295" s="284">
        <f>Table13[[#This Row],[Annual Increase Option]]</f>
        <v>0</v>
      </c>
      <c r="W295" s="290">
        <f>Table13[[#This Row],[Life Cover Amount]]</f>
        <v>0</v>
      </c>
      <c r="X295" s="290">
        <f>Table13[[#This Row],[Funeral Cover Amount]]</f>
        <v>0</v>
      </c>
      <c r="Y29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9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95" s="301">
        <f t="shared" ca="1" si="32"/>
        <v>0</v>
      </c>
      <c r="AB295" s="298"/>
      <c r="AC295" s="326" t="str">
        <f>IF(Table2[[#This Row],[Member Type]]="Main Member",Lookups!$C$13,
IF(Table2[[#This Row],[Member Type]]="Spouse",_xlfn.XLOOKUP(B295,Table2[Main Member Link ID],Table2[Product Option],0),
IF(AND(Table2[[#This Row],[Member Type]]="Child",_xlfn.XLOOKUP(B295,Table2[Main Member Link ID],Table2[Product Option],0)&lt;&gt;"My Value Plus Life"),Lookups!$C$24,
IF(AND(OR(Table2[[#This Row],[Member Type]]="Parent",Table2[[#This Row],[Member Type]]="Extended"),_xlfn.XLOOKUP(B295,Table2[Main Member Link ID],Table2[Product Option],0)&lt;&gt;"My Value Plus Life"),Lookups!$C$26,""))))</f>
        <v/>
      </c>
      <c r="AD295" s="326" t="str">
        <f>IF(Table2[[#This Row],[Member Type]]="Main Member",Lookups!$C$14,"")</f>
        <v/>
      </c>
      <c r="AE29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Funeral",_xlfn.XLOOKUP(B295,Table2[Main Member Link ID],Table2[Benefit Name],0)=Lookups!$D$14),"",
IF(AND(Table2[[#This Row],[Member Type]]="Spouse",Table2[[#This Row],[Product Option]]="My Value Plus Life &amp; Funeral",_xlfn.XLOOKUP(B294,Table2[Main Member Link ID],Table2[Benefit Name],0)=Lookups!$D$15),Lookups!$D$20,
IF(AND(Table2[[#This Row],[Member Type]]="Spouse",Table2[[#This Row],[Product Option]]="My Value Plus Life &amp; Funeral",_xlfn.XLOOKUP(B294,Table2[Main Member Link ID],Table2[Benefit Name],0)=Lookups!$D$16),"",
IF(AND(Table2[[#This Row],[Member Type]]="Spouse",Table2[[#This Row],[Product Option]]="My Value Plus Life &amp; Funeral",_xlfn.XLOOKUP(B294,Table2[Main Member Link ID],Table2[Benefit Name],0)=Lookups!$D$17),Lookups!$D$21,
IF(AND(Table2[[#This Row],[Member Type]]="Child",Table2[[#This Row],[Product Option]]="My Value Plus Life &amp; Funeral",_xlfn.XLOOKUP(B295,Table2[Main Member Link ID],Table2[Benefit Name],0)=Lookups!$D$14),"",
IF(AND(Table2[[#This Row],[Member Type]]="Child",Table2[[#This Row],[Product Option]]="My Value Plus Life &amp; Funeral",_xlfn.XLOOKUP(B295,Table2[Main Member Link ID],Table2[Benefit Name],0)=Lookups!$D$15),"",
IF(AND(Table2[[#This Row],[Member Type]]="Child",Table2[[#This Row],[Product Option]]="My Value Plus Life &amp; Funeral",_xlfn.XLOOKUP(B295,Table2[Main Member Link ID],Table2[Benefit Name],0)=Lookups!$D$16),Lookups!$D$24,
IF(AND(Table2[[#This Row],[Member Type]]="Child",Table2[[#This Row],[Product Option]]="My Value Plus Life &amp; Funeral",_xlfn.XLOOKUP(B295,Table2[Main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Funeral",_xlfn.XLOOKUP(B295,Table2[Main Member Link ID],Table2[Benefit Name],0)&lt;&gt;Lookups!$D$14),
IF(_xlfn.XLOOKUP(B295,Table2[Main Member Link ID],Table2[Benefit Name],0)=0,"",_xlfn.XLOOKUP(B295,Table2[Main Member Link ID],Table2[Benefit Name],0)),"")))))))))))))))</f>
        <v/>
      </c>
      <c r="AF295" s="327" t="str">
        <f>IF(AND(Table2[[#This Row],[Member Type]]="Main Member",Table2[[#This Row],[Product Option]]="My Value Plus Life &amp; Funeral"),Lookups!$D$15,
IF(AND(Table2[[#This Row],[Member Type]]="Spouse",Table2[[#This Row],[Product Option]]="My Value Plus Life &amp; Funeral",_xlfn.XLOOKUP(B295,Table2[Main Member Link ID],Table2[Benefit Name],0)=Lookups!$D$14),"",
IF(AND(Table2[[#This Row],[Member Type]]="Spouse",Table2[[#This Row],[Product Option]]="My Value Plus Life &amp; Funeral",_xlfn.XLOOKUP(B294,Table2[Main Member Link ID],Table2[Benefit Name],0)=Lookups!$D$16),"",
IF(AND(Table2[[#This Row],[Member Type]]="Spouse",Table2[[#This Row],[Product Option]]="My Value Plus Life &amp; Funeral",_xlfn.XLOOKUP(B294,Table2[Main Member Link ID],Table2[Benefit Name],0)=Lookups!$D$15),"",
IF(AND(Table2[[#This Row],[Member Type]]="Spouse",Table2[[#This Row],[Product Option]]="My Value Plus Life &amp; Funeral",_xlfn.XLOOKUP(B294,Table2[Main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Funeral",_xlfn.XLOOKUP(B295,Table2[Main Member Link ID],Table2[Benefit Name],0)&lt;&gt;Lookups!$D$15),
IF(_xlfn.XLOOKUP(B295,Table2[Main Member Link ID],Table2[Benefit Name],0)=0,"",_xlfn.XLOOKUP(B295,Table2[Main Member Link ID],Table2[Benefit Name],0)),"")
))))))</f>
        <v/>
      </c>
      <c r="AG295" s="327" t="str">
        <f>IF(AND(Table2[[#This Row],[Member Type]]="Main Member",Table2[[#This Row],[Product Option]]="My Value Plus Life &amp; Funeral"),Lookups!$D$16,
IF(AND(Table2[[#This Row],[Member Type]]="Spouse",Table2[[#This Row],[Product Option]]="My Value Plus Life &amp; Funeral",_xlfn.XLOOKUP(B295,Table2[Main Member Link ID],Table2[Benefit Name],0)=Lookups!$D$14),"",
IF(AND(Table2[[#This Row],[Member Type]]="Spouse",Table2[[#This Row],[Product Option]]="My Value Plus Life &amp; Funeral",_xlfn.XLOOKUP(B294,Table2[Main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Funeral",_xlfn.XLOOKUP(B295,Table2[Main Member Link ID],Table2[Benefit Name],0)&lt;&gt;Lookups!$D$16),
IF(_xlfn.XLOOKUP(B295,Table2[Main Member Link ID],Table2[Benefit Name],0)=0,"",_xlfn.XLOOKUP(B295,Table2[Main Member Link ID],Table2[Benefit Name],0)),"")
))))</f>
        <v/>
      </c>
      <c r="AH295" s="327" t="str">
        <f>IF(AND(Table2[[#This Row],[Member Type]]="Main Member",Table2[[#This Row],[Product Option]]="My Value Plus Life &amp; Funeral"),Lookups!$D$17,
IF(AND(Table2[[#This Row],[Member Type]]="Spouse",Table2[[#This Row],[Product Option]]="My Value Plus Life &amp; Funeral",_xlfn.XLOOKUP(B295,Table2[Main Member Link ID],Table2[Benefit Name],0)=Lookups!$D$14),"",
IF(AND(Table2[[#This Row],[Member Type]]="Spouse",Table2[[#This Row],[Product Option]]="My Value Plus Life &amp; Funeral",_xlfn.XLOOKUP(B294,Table2[Main Member Link ID],Table2[Benefit Name],0)=Lookups!$D$16),"",
IF(AND(Table2[[#This Row],[Member Type]]="Child",Table2[[#This Row],[Product Option]]="My Value Plus Life &amp; Funeral"),"",
IF(AND(Table2[[#This Row],[Member Type]]="Child",Table2[[#This Row],[Product Option]]="My Value Plus Life &amp; Funeral",_xlfn.XLOOKUP(B295,Table2[Main Member Link ID],Table2[Benefit Name],0)=Lookups!$D$15),"",
IF(AND(OR(Table2[[#This Row],[Member Type]]="Spouse",Table2[[#This Row],[Member Type]]="Child"),Table2[[#This Row],[Product Option]]="My Value Plus Life &amp; Funeral",_xlfn.XLOOKUP(B295,Table2[Main Member Link ID],Table2[Benefit Name],0)&lt;&gt;Lookups!$D$17),
IF(_xlfn.XLOOKUP(B295,Table2[Main Member Link ID],Table2[Benefit Name],0)=0,"",_xlfn.XLOOKUP(B295,Table2[Main Member Link ID],Table2[Benefit Name],0)),""))))))</f>
        <v/>
      </c>
      <c r="AI295" s="328" t="str">
        <f>IF(AND(Table2[[#This Row],[Member Type]]="Main Member",Table2[[#This Row],[Table Lookup for Life Cover]]="MM_LIFE",Table2[[#This Row],[Age Next Birthday]]&lt;56),1,
IF(AND(Table2[[#This Row],[Member Type]]="Main Member",Table2[[#This Row],[Table Lookup for Life Cover]]="MM_LIFE",Table2[[#This Row],[Age Next Birthday]]&gt;=56),2,
""))</f>
        <v/>
      </c>
      <c r="AJ295" s="328">
        <f>IF(OR(Table2[[#This Row],[Member Type]]="Main Member",Table2[[#This Row],[Main Member Link ID]]=B294),1,0)</f>
        <v>1</v>
      </c>
      <c r="AK295" s="328">
        <f>IF(Table2[[#This Row],[Member Type]]=0,0,
IF(OR(Table2[[#This Row],[Member Type]]="Main Member",Table2[[#This Row],[Main Member Link ID]]&lt;&gt;B295),COUNTIFS(B:B,Table2[[#This Row],[Main Member Link ID]]),
COUNTIFS(B:B,Table2[[#This Row],[Main Member Link ID]],A:A,Table2[[#This Row],[Member Type]])))</f>
        <v>0</v>
      </c>
    </row>
    <row r="296" spans="1:37" x14ac:dyDescent="0.3">
      <c r="A296" s="284">
        <f>Table13[[#This Row],[Member Type]]</f>
        <v>0</v>
      </c>
      <c r="B296" s="284">
        <f>Table13[[#This Row],[Main Member Link ID]]</f>
        <v>0</v>
      </c>
      <c r="C296" s="284">
        <f>Table13[[#This Row],[ID Number]]</f>
        <v>0</v>
      </c>
      <c r="D296" s="285">
        <f>Table13[[#This Row],[Date Of Birth]]</f>
        <v>0</v>
      </c>
      <c r="E296" s="285">
        <f>Table13[[#This Row],[Commencement Date]]</f>
        <v>0</v>
      </c>
      <c r="F296" s="284">
        <f t="shared" si="28"/>
        <v>1</v>
      </c>
      <c r="G296" s="284">
        <f t="shared" si="29"/>
        <v>25</v>
      </c>
      <c r="H296" s="286">
        <f>Table13[[#This Row],[Product Option]]</f>
        <v>0</v>
      </c>
      <c r="I296" s="284">
        <f>IF(AND($A296="Main Member",Table2[[#This Row],[Product Option]]="My Value Plus Life"),"MM_LIFE",
IF(AND($A296="Spouse",Table2[[#This Row],[Product Option]]="My Value Plus Life"),"SP_LIFE",
IF(AND($A296="Main Member",Table2[[#This Row],[Product Option]]="My Value Plus Life &amp; Funeral"),"MM_LIFE",
IF(AND($A296="Spouse",Table2[[#This Row],[Product Option]]="My Value Plus Life &amp; Funeral"),_xlfn.XLOOKUP(Table2[[#This Row],[Benefit Name]],Lookups!$D$18:$D$23,Lookups!$E$18:$E$23,0),
0))))</f>
        <v>0</v>
      </c>
      <c r="J296" s="284">
        <f>IF($I296="","",
IF($I296="MM_LIFE",INDEX('Quotation Tool'!$S$54:$V$60,MATCH($T296,'Quotation Tool'!$S$54:$S$60,0),4),
IF($I296="SP_LIFE",_xlfn.XLOOKUP(B295,$B:$B,$J:$J,0),0)))</f>
        <v>0</v>
      </c>
      <c r="K296" s="287">
        <f t="shared" ca="1" si="33"/>
        <v>0</v>
      </c>
      <c r="L296" s="288">
        <f t="shared" ca="1" si="34"/>
        <v>0</v>
      </c>
      <c r="M296" s="289">
        <f t="shared" ca="1" si="30"/>
        <v>0</v>
      </c>
      <c r="N296" s="286">
        <f>Table13[[#This Row],[Benefit Option]]</f>
        <v>0</v>
      </c>
      <c r="O296" s="284">
        <f>IF(OR(Table2[[#This Row],[Member Type]]="Spouse",Table2[[#This Row],[Member Type]]="Child"),0,
IF(_xlfn.XLOOKUP($N296,Lookups!$D$13:$D$27,Lookups!$F$13:$F$27,0)=Table2[[#This Row],[Table Lookup for Life Cover]],0,
_xlfn.XLOOKUP($N296,Lookups!$D$13:$D$27,Lookups!$F$13:$F$27,0)))</f>
        <v>0</v>
      </c>
      <c r="P296" s="284">
        <f>IF(Table2[[#This Row],[Table Lookup for Funeral]]=0,0,IFERROR(INDEX('Quotation Tool'!$S$54:$V$60,MATCH($T296,'Quotation Tool'!$S$54:$S$60,0),3),0))</f>
        <v>0</v>
      </c>
      <c r="Q296" s="288">
        <f ca="1">IF(OR(Table2[[#This Row],[Benefit Name]]="My Value Plus Life - Main Member",Table2[[#This Row],[Benefit Name]]="My Value Plus Life - Spouse"),0,
IFERROR(VLOOKUP($G296,INDIRECT($O296),$P296,FALSE),0))</f>
        <v>0</v>
      </c>
      <c r="R296" s="288">
        <f ca="1">IF(OR(Table2[[#This Row],[Benefit Name]]="My Value Plus Life - Main Member",Table2[[#This Row],[Benefit Name]]="My Value Plus Life - Spouse"),0,
IFERROR(VLOOKUP($G296,INDIRECT($O296),$P296+1,FALSE),0))</f>
        <v>0</v>
      </c>
      <c r="S296" s="289">
        <f t="shared" ca="1" si="31"/>
        <v>0</v>
      </c>
      <c r="T296" s="284" t="str">
        <f>IF(Table13[[#This Row],[Premium Waiver]]="","None",Table13[[#This Row],[Premium Waiver]])</f>
        <v>None</v>
      </c>
      <c r="U296" s="284">
        <f>Table13[[#This Row],[VAPs Options]]</f>
        <v>0</v>
      </c>
      <c r="V296" s="284">
        <f>Table13[[#This Row],[Annual Increase Option]]</f>
        <v>0</v>
      </c>
      <c r="W296" s="290">
        <f>Table13[[#This Row],[Life Cover Amount]]</f>
        <v>0</v>
      </c>
      <c r="X296" s="290">
        <f>Table13[[#This Row],[Funeral Cover Amount]]</f>
        <v>0</v>
      </c>
      <c r="Y29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9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96" s="301">
        <f t="shared" ca="1" si="32"/>
        <v>0</v>
      </c>
      <c r="AB296" s="298"/>
      <c r="AC296" s="326" t="str">
        <f>IF(Table2[[#This Row],[Member Type]]="Main Member",Lookups!$C$13,
IF(Table2[[#This Row],[Member Type]]="Spouse",_xlfn.XLOOKUP(B296,Table2[Main Member Link ID],Table2[Product Option],0),
IF(AND(Table2[[#This Row],[Member Type]]="Child",_xlfn.XLOOKUP(B296,Table2[Main Member Link ID],Table2[Product Option],0)&lt;&gt;"My Value Plus Life"),Lookups!$C$24,
IF(AND(OR(Table2[[#This Row],[Member Type]]="Parent",Table2[[#This Row],[Member Type]]="Extended"),_xlfn.XLOOKUP(B296,Table2[Main Member Link ID],Table2[Product Option],0)&lt;&gt;"My Value Plus Life"),Lookups!$C$26,""))))</f>
        <v/>
      </c>
      <c r="AD296" s="326" t="str">
        <f>IF(Table2[[#This Row],[Member Type]]="Main Member",Lookups!$C$14,"")</f>
        <v/>
      </c>
      <c r="AE29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Funeral",_xlfn.XLOOKUP(B296,Table2[Main Member Link ID],Table2[Benefit Name],0)=Lookups!$D$14),"",
IF(AND(Table2[[#This Row],[Member Type]]="Spouse",Table2[[#This Row],[Product Option]]="My Value Plus Life &amp; Funeral",_xlfn.XLOOKUP(B295,Table2[Main Member Link ID],Table2[Benefit Name],0)=Lookups!$D$15),Lookups!$D$20,
IF(AND(Table2[[#This Row],[Member Type]]="Spouse",Table2[[#This Row],[Product Option]]="My Value Plus Life &amp; Funeral",_xlfn.XLOOKUP(B295,Table2[Main Member Link ID],Table2[Benefit Name],0)=Lookups!$D$16),"",
IF(AND(Table2[[#This Row],[Member Type]]="Spouse",Table2[[#This Row],[Product Option]]="My Value Plus Life &amp; Funeral",_xlfn.XLOOKUP(B295,Table2[Main Member Link ID],Table2[Benefit Name],0)=Lookups!$D$17),Lookups!$D$21,
IF(AND(Table2[[#This Row],[Member Type]]="Child",Table2[[#This Row],[Product Option]]="My Value Plus Life &amp; Funeral",_xlfn.XLOOKUP(B296,Table2[Main Member Link ID],Table2[Benefit Name],0)=Lookups!$D$14),"",
IF(AND(Table2[[#This Row],[Member Type]]="Child",Table2[[#This Row],[Product Option]]="My Value Plus Life &amp; Funeral",_xlfn.XLOOKUP(B296,Table2[Main Member Link ID],Table2[Benefit Name],0)=Lookups!$D$15),"",
IF(AND(Table2[[#This Row],[Member Type]]="Child",Table2[[#This Row],[Product Option]]="My Value Plus Life &amp; Funeral",_xlfn.XLOOKUP(B296,Table2[Main Member Link ID],Table2[Benefit Name],0)=Lookups!$D$16),Lookups!$D$24,
IF(AND(Table2[[#This Row],[Member Type]]="Child",Table2[[#This Row],[Product Option]]="My Value Plus Life &amp; Funeral",_xlfn.XLOOKUP(B296,Table2[Main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Funeral",_xlfn.XLOOKUP(B296,Table2[Main Member Link ID],Table2[Benefit Name],0)&lt;&gt;Lookups!$D$14),
IF(_xlfn.XLOOKUP(B296,Table2[Main Member Link ID],Table2[Benefit Name],0)=0,"",_xlfn.XLOOKUP(B296,Table2[Main Member Link ID],Table2[Benefit Name],0)),"")))))))))))))))</f>
        <v/>
      </c>
      <c r="AF296" s="327" t="str">
        <f>IF(AND(Table2[[#This Row],[Member Type]]="Main Member",Table2[[#This Row],[Product Option]]="My Value Plus Life &amp; Funeral"),Lookups!$D$15,
IF(AND(Table2[[#This Row],[Member Type]]="Spouse",Table2[[#This Row],[Product Option]]="My Value Plus Life &amp; Funeral",_xlfn.XLOOKUP(B296,Table2[Main Member Link ID],Table2[Benefit Name],0)=Lookups!$D$14),"",
IF(AND(Table2[[#This Row],[Member Type]]="Spouse",Table2[[#This Row],[Product Option]]="My Value Plus Life &amp; Funeral",_xlfn.XLOOKUP(B295,Table2[Main Member Link ID],Table2[Benefit Name],0)=Lookups!$D$16),"",
IF(AND(Table2[[#This Row],[Member Type]]="Spouse",Table2[[#This Row],[Product Option]]="My Value Plus Life &amp; Funeral",_xlfn.XLOOKUP(B295,Table2[Main Member Link ID],Table2[Benefit Name],0)=Lookups!$D$15),"",
IF(AND(Table2[[#This Row],[Member Type]]="Spouse",Table2[[#This Row],[Product Option]]="My Value Plus Life &amp; Funeral",_xlfn.XLOOKUP(B295,Table2[Main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Funeral",_xlfn.XLOOKUP(B296,Table2[Main Member Link ID],Table2[Benefit Name],0)&lt;&gt;Lookups!$D$15),
IF(_xlfn.XLOOKUP(B296,Table2[Main Member Link ID],Table2[Benefit Name],0)=0,"",_xlfn.XLOOKUP(B296,Table2[Main Member Link ID],Table2[Benefit Name],0)),"")
))))))</f>
        <v/>
      </c>
      <c r="AG296" s="327" t="str">
        <f>IF(AND(Table2[[#This Row],[Member Type]]="Main Member",Table2[[#This Row],[Product Option]]="My Value Plus Life &amp; Funeral"),Lookups!$D$16,
IF(AND(Table2[[#This Row],[Member Type]]="Spouse",Table2[[#This Row],[Product Option]]="My Value Plus Life &amp; Funeral",_xlfn.XLOOKUP(B296,Table2[Main Member Link ID],Table2[Benefit Name],0)=Lookups!$D$14),"",
IF(AND(Table2[[#This Row],[Member Type]]="Spouse",Table2[[#This Row],[Product Option]]="My Value Plus Life &amp; Funeral",_xlfn.XLOOKUP(B295,Table2[Main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Funeral",_xlfn.XLOOKUP(B296,Table2[Main Member Link ID],Table2[Benefit Name],0)&lt;&gt;Lookups!$D$16),
IF(_xlfn.XLOOKUP(B296,Table2[Main Member Link ID],Table2[Benefit Name],0)=0,"",_xlfn.XLOOKUP(B296,Table2[Main Member Link ID],Table2[Benefit Name],0)),"")
))))</f>
        <v/>
      </c>
      <c r="AH296" s="327" t="str">
        <f>IF(AND(Table2[[#This Row],[Member Type]]="Main Member",Table2[[#This Row],[Product Option]]="My Value Plus Life &amp; Funeral"),Lookups!$D$17,
IF(AND(Table2[[#This Row],[Member Type]]="Spouse",Table2[[#This Row],[Product Option]]="My Value Plus Life &amp; Funeral",_xlfn.XLOOKUP(B296,Table2[Main Member Link ID],Table2[Benefit Name],0)=Lookups!$D$14),"",
IF(AND(Table2[[#This Row],[Member Type]]="Spouse",Table2[[#This Row],[Product Option]]="My Value Plus Life &amp; Funeral",_xlfn.XLOOKUP(B295,Table2[Main Member Link ID],Table2[Benefit Name],0)=Lookups!$D$16),"",
IF(AND(Table2[[#This Row],[Member Type]]="Child",Table2[[#This Row],[Product Option]]="My Value Plus Life &amp; Funeral"),"",
IF(AND(Table2[[#This Row],[Member Type]]="Child",Table2[[#This Row],[Product Option]]="My Value Plus Life &amp; Funeral",_xlfn.XLOOKUP(B296,Table2[Main Member Link ID],Table2[Benefit Name],0)=Lookups!$D$15),"",
IF(AND(OR(Table2[[#This Row],[Member Type]]="Spouse",Table2[[#This Row],[Member Type]]="Child"),Table2[[#This Row],[Product Option]]="My Value Plus Life &amp; Funeral",_xlfn.XLOOKUP(B296,Table2[Main Member Link ID],Table2[Benefit Name],0)&lt;&gt;Lookups!$D$17),
IF(_xlfn.XLOOKUP(B296,Table2[Main Member Link ID],Table2[Benefit Name],0)=0,"",_xlfn.XLOOKUP(B296,Table2[Main Member Link ID],Table2[Benefit Name],0)),""))))))</f>
        <v/>
      </c>
      <c r="AI296" s="328" t="str">
        <f>IF(AND(Table2[[#This Row],[Member Type]]="Main Member",Table2[[#This Row],[Table Lookup for Life Cover]]="MM_LIFE",Table2[[#This Row],[Age Next Birthday]]&lt;56),1,
IF(AND(Table2[[#This Row],[Member Type]]="Main Member",Table2[[#This Row],[Table Lookup for Life Cover]]="MM_LIFE",Table2[[#This Row],[Age Next Birthday]]&gt;=56),2,
""))</f>
        <v/>
      </c>
      <c r="AJ296" s="328">
        <f>IF(OR(Table2[[#This Row],[Member Type]]="Main Member",Table2[[#This Row],[Main Member Link ID]]=B295),1,0)</f>
        <v>1</v>
      </c>
      <c r="AK296" s="328">
        <f>IF(Table2[[#This Row],[Member Type]]=0,0,
IF(OR(Table2[[#This Row],[Member Type]]="Main Member",Table2[[#This Row],[Main Member Link ID]]&lt;&gt;B296),COUNTIFS(B:B,Table2[[#This Row],[Main Member Link ID]]),
COUNTIFS(B:B,Table2[[#This Row],[Main Member Link ID]],A:A,Table2[[#This Row],[Member Type]])))</f>
        <v>0</v>
      </c>
    </row>
    <row r="297" spans="1:37" x14ac:dyDescent="0.3">
      <c r="A297" s="284">
        <f>Table13[[#This Row],[Member Type]]</f>
        <v>0</v>
      </c>
      <c r="B297" s="284">
        <f>Table13[[#This Row],[Main Member Link ID]]</f>
        <v>0</v>
      </c>
      <c r="C297" s="284">
        <f>Table13[[#This Row],[ID Number]]</f>
        <v>0</v>
      </c>
      <c r="D297" s="285">
        <f>Table13[[#This Row],[Date Of Birth]]</f>
        <v>0</v>
      </c>
      <c r="E297" s="285">
        <f>Table13[[#This Row],[Commencement Date]]</f>
        <v>0</v>
      </c>
      <c r="F297" s="284">
        <f t="shared" si="28"/>
        <v>1</v>
      </c>
      <c r="G297" s="284">
        <f t="shared" si="29"/>
        <v>25</v>
      </c>
      <c r="H297" s="286">
        <f>Table13[[#This Row],[Product Option]]</f>
        <v>0</v>
      </c>
      <c r="I297" s="284">
        <f>IF(AND($A297="Main Member",Table2[[#This Row],[Product Option]]="My Value Plus Life"),"MM_LIFE",
IF(AND($A297="Spouse",Table2[[#This Row],[Product Option]]="My Value Plus Life"),"SP_LIFE",
IF(AND($A297="Main Member",Table2[[#This Row],[Product Option]]="My Value Plus Life &amp; Funeral"),"MM_LIFE",
IF(AND($A297="Spouse",Table2[[#This Row],[Product Option]]="My Value Plus Life &amp; Funeral"),_xlfn.XLOOKUP(Table2[[#This Row],[Benefit Name]],Lookups!$D$18:$D$23,Lookups!$E$18:$E$23,0),
0))))</f>
        <v>0</v>
      </c>
      <c r="J297" s="284">
        <f>IF($I297="","",
IF($I297="MM_LIFE",INDEX('Quotation Tool'!$S$54:$V$60,MATCH($T297,'Quotation Tool'!$S$54:$S$60,0),4),
IF($I297="SP_LIFE",_xlfn.XLOOKUP(B296,$B:$B,$J:$J,0),0)))</f>
        <v>0</v>
      </c>
      <c r="K297" s="287">
        <f t="shared" ca="1" si="33"/>
        <v>0</v>
      </c>
      <c r="L297" s="288">
        <f t="shared" ca="1" si="34"/>
        <v>0</v>
      </c>
      <c r="M297" s="289">
        <f t="shared" ca="1" si="30"/>
        <v>0</v>
      </c>
      <c r="N297" s="286">
        <f>Table13[[#This Row],[Benefit Option]]</f>
        <v>0</v>
      </c>
      <c r="O297" s="284">
        <f>IF(OR(Table2[[#This Row],[Member Type]]="Spouse",Table2[[#This Row],[Member Type]]="Child"),0,
IF(_xlfn.XLOOKUP($N297,Lookups!$D$13:$D$27,Lookups!$F$13:$F$27,0)=Table2[[#This Row],[Table Lookup for Life Cover]],0,
_xlfn.XLOOKUP($N297,Lookups!$D$13:$D$27,Lookups!$F$13:$F$27,0)))</f>
        <v>0</v>
      </c>
      <c r="P297" s="284">
        <f>IF(Table2[[#This Row],[Table Lookup for Funeral]]=0,0,IFERROR(INDEX('Quotation Tool'!$S$54:$V$60,MATCH($T297,'Quotation Tool'!$S$54:$S$60,0),3),0))</f>
        <v>0</v>
      </c>
      <c r="Q297" s="288">
        <f ca="1">IF(OR(Table2[[#This Row],[Benefit Name]]="My Value Plus Life - Main Member",Table2[[#This Row],[Benefit Name]]="My Value Plus Life - Spouse"),0,
IFERROR(VLOOKUP($G297,INDIRECT($O297),$P297,FALSE),0))</f>
        <v>0</v>
      </c>
      <c r="R297" s="288">
        <f ca="1">IF(OR(Table2[[#This Row],[Benefit Name]]="My Value Plus Life - Main Member",Table2[[#This Row],[Benefit Name]]="My Value Plus Life - Spouse"),0,
IFERROR(VLOOKUP($G297,INDIRECT($O297),$P297+1,FALSE),0))</f>
        <v>0</v>
      </c>
      <c r="S297" s="289">
        <f t="shared" ca="1" si="31"/>
        <v>0</v>
      </c>
      <c r="T297" s="284" t="str">
        <f>IF(Table13[[#This Row],[Premium Waiver]]="","None",Table13[[#This Row],[Premium Waiver]])</f>
        <v>None</v>
      </c>
      <c r="U297" s="284">
        <f>Table13[[#This Row],[VAPs Options]]</f>
        <v>0</v>
      </c>
      <c r="V297" s="284">
        <f>Table13[[#This Row],[Annual Increase Option]]</f>
        <v>0</v>
      </c>
      <c r="W297" s="290">
        <f>Table13[[#This Row],[Life Cover Amount]]</f>
        <v>0</v>
      </c>
      <c r="X297" s="290">
        <f>Table13[[#This Row],[Funeral Cover Amount]]</f>
        <v>0</v>
      </c>
      <c r="Y29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9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97" s="301">
        <f t="shared" ca="1" si="32"/>
        <v>0</v>
      </c>
      <c r="AB297" s="298"/>
      <c r="AC297" s="326" t="str">
        <f>IF(Table2[[#This Row],[Member Type]]="Main Member",Lookups!$C$13,
IF(Table2[[#This Row],[Member Type]]="Spouse",_xlfn.XLOOKUP(B297,Table2[Main Member Link ID],Table2[Product Option],0),
IF(AND(Table2[[#This Row],[Member Type]]="Child",_xlfn.XLOOKUP(B297,Table2[Main Member Link ID],Table2[Product Option],0)&lt;&gt;"My Value Plus Life"),Lookups!$C$24,
IF(AND(OR(Table2[[#This Row],[Member Type]]="Parent",Table2[[#This Row],[Member Type]]="Extended"),_xlfn.XLOOKUP(B297,Table2[Main Member Link ID],Table2[Product Option],0)&lt;&gt;"My Value Plus Life"),Lookups!$C$26,""))))</f>
        <v/>
      </c>
      <c r="AD297" s="326" t="str">
        <f>IF(Table2[[#This Row],[Member Type]]="Main Member",Lookups!$C$14,"")</f>
        <v/>
      </c>
      <c r="AE29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Funeral",_xlfn.XLOOKUP(B297,Table2[Main Member Link ID],Table2[Benefit Name],0)=Lookups!$D$14),"",
IF(AND(Table2[[#This Row],[Member Type]]="Spouse",Table2[[#This Row],[Product Option]]="My Value Plus Life &amp; Funeral",_xlfn.XLOOKUP(B296,Table2[Main Member Link ID],Table2[Benefit Name],0)=Lookups!$D$15),Lookups!$D$20,
IF(AND(Table2[[#This Row],[Member Type]]="Spouse",Table2[[#This Row],[Product Option]]="My Value Plus Life &amp; Funeral",_xlfn.XLOOKUP(B296,Table2[Main Member Link ID],Table2[Benefit Name],0)=Lookups!$D$16),"",
IF(AND(Table2[[#This Row],[Member Type]]="Spouse",Table2[[#This Row],[Product Option]]="My Value Plus Life &amp; Funeral",_xlfn.XLOOKUP(B296,Table2[Main Member Link ID],Table2[Benefit Name],0)=Lookups!$D$17),Lookups!$D$21,
IF(AND(Table2[[#This Row],[Member Type]]="Child",Table2[[#This Row],[Product Option]]="My Value Plus Life &amp; Funeral",_xlfn.XLOOKUP(B297,Table2[Main Member Link ID],Table2[Benefit Name],0)=Lookups!$D$14),"",
IF(AND(Table2[[#This Row],[Member Type]]="Child",Table2[[#This Row],[Product Option]]="My Value Plus Life &amp; Funeral",_xlfn.XLOOKUP(B297,Table2[Main Member Link ID],Table2[Benefit Name],0)=Lookups!$D$15),"",
IF(AND(Table2[[#This Row],[Member Type]]="Child",Table2[[#This Row],[Product Option]]="My Value Plus Life &amp; Funeral",_xlfn.XLOOKUP(B297,Table2[Main Member Link ID],Table2[Benefit Name],0)=Lookups!$D$16),Lookups!$D$24,
IF(AND(Table2[[#This Row],[Member Type]]="Child",Table2[[#This Row],[Product Option]]="My Value Plus Life &amp; Funeral",_xlfn.XLOOKUP(B297,Table2[Main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Funeral",_xlfn.XLOOKUP(B297,Table2[Main Member Link ID],Table2[Benefit Name],0)&lt;&gt;Lookups!$D$14),
IF(_xlfn.XLOOKUP(B297,Table2[Main Member Link ID],Table2[Benefit Name],0)=0,"",_xlfn.XLOOKUP(B297,Table2[Main Member Link ID],Table2[Benefit Name],0)),"")))))))))))))))</f>
        <v/>
      </c>
      <c r="AF297" s="327" t="str">
        <f>IF(AND(Table2[[#This Row],[Member Type]]="Main Member",Table2[[#This Row],[Product Option]]="My Value Plus Life &amp; Funeral"),Lookups!$D$15,
IF(AND(Table2[[#This Row],[Member Type]]="Spouse",Table2[[#This Row],[Product Option]]="My Value Plus Life &amp; Funeral",_xlfn.XLOOKUP(B297,Table2[Main Member Link ID],Table2[Benefit Name],0)=Lookups!$D$14),"",
IF(AND(Table2[[#This Row],[Member Type]]="Spouse",Table2[[#This Row],[Product Option]]="My Value Plus Life &amp; Funeral",_xlfn.XLOOKUP(B296,Table2[Main Member Link ID],Table2[Benefit Name],0)=Lookups!$D$16),"",
IF(AND(Table2[[#This Row],[Member Type]]="Spouse",Table2[[#This Row],[Product Option]]="My Value Plus Life &amp; Funeral",_xlfn.XLOOKUP(B296,Table2[Main Member Link ID],Table2[Benefit Name],0)=Lookups!$D$15),"",
IF(AND(Table2[[#This Row],[Member Type]]="Spouse",Table2[[#This Row],[Product Option]]="My Value Plus Life &amp; Funeral",_xlfn.XLOOKUP(B296,Table2[Main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Funeral",_xlfn.XLOOKUP(B297,Table2[Main Member Link ID],Table2[Benefit Name],0)&lt;&gt;Lookups!$D$15),
IF(_xlfn.XLOOKUP(B297,Table2[Main Member Link ID],Table2[Benefit Name],0)=0,"",_xlfn.XLOOKUP(B297,Table2[Main Member Link ID],Table2[Benefit Name],0)),"")
))))))</f>
        <v/>
      </c>
      <c r="AG297" s="327" t="str">
        <f>IF(AND(Table2[[#This Row],[Member Type]]="Main Member",Table2[[#This Row],[Product Option]]="My Value Plus Life &amp; Funeral"),Lookups!$D$16,
IF(AND(Table2[[#This Row],[Member Type]]="Spouse",Table2[[#This Row],[Product Option]]="My Value Plus Life &amp; Funeral",_xlfn.XLOOKUP(B297,Table2[Main Member Link ID],Table2[Benefit Name],0)=Lookups!$D$14),"",
IF(AND(Table2[[#This Row],[Member Type]]="Spouse",Table2[[#This Row],[Product Option]]="My Value Plus Life &amp; Funeral",_xlfn.XLOOKUP(B296,Table2[Main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Funeral",_xlfn.XLOOKUP(B297,Table2[Main Member Link ID],Table2[Benefit Name],0)&lt;&gt;Lookups!$D$16),
IF(_xlfn.XLOOKUP(B297,Table2[Main Member Link ID],Table2[Benefit Name],0)=0,"",_xlfn.XLOOKUP(B297,Table2[Main Member Link ID],Table2[Benefit Name],0)),"")
))))</f>
        <v/>
      </c>
      <c r="AH297" s="327" t="str">
        <f>IF(AND(Table2[[#This Row],[Member Type]]="Main Member",Table2[[#This Row],[Product Option]]="My Value Plus Life &amp; Funeral"),Lookups!$D$17,
IF(AND(Table2[[#This Row],[Member Type]]="Spouse",Table2[[#This Row],[Product Option]]="My Value Plus Life &amp; Funeral",_xlfn.XLOOKUP(B297,Table2[Main Member Link ID],Table2[Benefit Name],0)=Lookups!$D$14),"",
IF(AND(Table2[[#This Row],[Member Type]]="Spouse",Table2[[#This Row],[Product Option]]="My Value Plus Life &amp; Funeral",_xlfn.XLOOKUP(B296,Table2[Main Member Link ID],Table2[Benefit Name],0)=Lookups!$D$16),"",
IF(AND(Table2[[#This Row],[Member Type]]="Child",Table2[[#This Row],[Product Option]]="My Value Plus Life &amp; Funeral"),"",
IF(AND(Table2[[#This Row],[Member Type]]="Child",Table2[[#This Row],[Product Option]]="My Value Plus Life &amp; Funeral",_xlfn.XLOOKUP(B297,Table2[Main Member Link ID],Table2[Benefit Name],0)=Lookups!$D$15),"",
IF(AND(OR(Table2[[#This Row],[Member Type]]="Spouse",Table2[[#This Row],[Member Type]]="Child"),Table2[[#This Row],[Product Option]]="My Value Plus Life &amp; Funeral",_xlfn.XLOOKUP(B297,Table2[Main Member Link ID],Table2[Benefit Name],0)&lt;&gt;Lookups!$D$17),
IF(_xlfn.XLOOKUP(B297,Table2[Main Member Link ID],Table2[Benefit Name],0)=0,"",_xlfn.XLOOKUP(B297,Table2[Main Member Link ID],Table2[Benefit Name],0)),""))))))</f>
        <v/>
      </c>
      <c r="AI297" s="328" t="str">
        <f>IF(AND(Table2[[#This Row],[Member Type]]="Main Member",Table2[[#This Row],[Table Lookup for Life Cover]]="MM_LIFE",Table2[[#This Row],[Age Next Birthday]]&lt;56),1,
IF(AND(Table2[[#This Row],[Member Type]]="Main Member",Table2[[#This Row],[Table Lookup for Life Cover]]="MM_LIFE",Table2[[#This Row],[Age Next Birthday]]&gt;=56),2,
""))</f>
        <v/>
      </c>
      <c r="AJ297" s="328">
        <f>IF(OR(Table2[[#This Row],[Member Type]]="Main Member",Table2[[#This Row],[Main Member Link ID]]=B296),1,0)</f>
        <v>1</v>
      </c>
      <c r="AK297" s="328">
        <f>IF(Table2[[#This Row],[Member Type]]=0,0,
IF(OR(Table2[[#This Row],[Member Type]]="Main Member",Table2[[#This Row],[Main Member Link ID]]&lt;&gt;B297),COUNTIFS(B:B,Table2[[#This Row],[Main Member Link ID]]),
COUNTIFS(B:B,Table2[[#This Row],[Main Member Link ID]],A:A,Table2[[#This Row],[Member Type]])))</f>
        <v>0</v>
      </c>
    </row>
    <row r="298" spans="1:37" x14ac:dyDescent="0.3">
      <c r="A298" s="284">
        <f>Table13[[#This Row],[Member Type]]</f>
        <v>0</v>
      </c>
      <c r="B298" s="284">
        <f>Table13[[#This Row],[Main Member Link ID]]</f>
        <v>0</v>
      </c>
      <c r="C298" s="284">
        <f>Table13[[#This Row],[ID Number]]</f>
        <v>0</v>
      </c>
      <c r="D298" s="285">
        <f>Table13[[#This Row],[Date Of Birth]]</f>
        <v>0</v>
      </c>
      <c r="E298" s="285">
        <f>Table13[[#This Row],[Commencement Date]]</f>
        <v>0</v>
      </c>
      <c r="F298" s="284">
        <f t="shared" si="28"/>
        <v>1</v>
      </c>
      <c r="G298" s="284">
        <f t="shared" si="29"/>
        <v>25</v>
      </c>
      <c r="H298" s="286">
        <f>Table13[[#This Row],[Product Option]]</f>
        <v>0</v>
      </c>
      <c r="I298" s="284">
        <f>IF(AND($A298="Main Member",Table2[[#This Row],[Product Option]]="My Value Plus Life"),"MM_LIFE",
IF(AND($A298="Spouse",Table2[[#This Row],[Product Option]]="My Value Plus Life"),"SP_LIFE",
IF(AND($A298="Main Member",Table2[[#This Row],[Product Option]]="My Value Plus Life &amp; Funeral"),"MM_LIFE",
IF(AND($A298="Spouse",Table2[[#This Row],[Product Option]]="My Value Plus Life &amp; Funeral"),_xlfn.XLOOKUP(Table2[[#This Row],[Benefit Name]],Lookups!$D$18:$D$23,Lookups!$E$18:$E$23,0),
0))))</f>
        <v>0</v>
      </c>
      <c r="J298" s="284">
        <f>IF($I298="","",
IF($I298="MM_LIFE",INDEX('Quotation Tool'!$S$54:$V$60,MATCH($T298,'Quotation Tool'!$S$54:$S$60,0),4),
IF($I298="SP_LIFE",_xlfn.XLOOKUP(B297,$B:$B,$J:$J,0),0)))</f>
        <v>0</v>
      </c>
      <c r="K298" s="287">
        <f t="shared" ca="1" si="33"/>
        <v>0</v>
      </c>
      <c r="L298" s="288">
        <f t="shared" ca="1" si="34"/>
        <v>0</v>
      </c>
      <c r="M298" s="289">
        <f t="shared" ca="1" si="30"/>
        <v>0</v>
      </c>
      <c r="N298" s="286">
        <f>Table13[[#This Row],[Benefit Option]]</f>
        <v>0</v>
      </c>
      <c r="O298" s="284">
        <f>IF(OR(Table2[[#This Row],[Member Type]]="Spouse",Table2[[#This Row],[Member Type]]="Child"),0,
IF(_xlfn.XLOOKUP($N298,Lookups!$D$13:$D$27,Lookups!$F$13:$F$27,0)=Table2[[#This Row],[Table Lookup for Life Cover]],0,
_xlfn.XLOOKUP($N298,Lookups!$D$13:$D$27,Lookups!$F$13:$F$27,0)))</f>
        <v>0</v>
      </c>
      <c r="P298" s="284">
        <f>IF(Table2[[#This Row],[Table Lookup for Funeral]]=0,0,IFERROR(INDEX('Quotation Tool'!$S$54:$V$60,MATCH($T298,'Quotation Tool'!$S$54:$S$60,0),3),0))</f>
        <v>0</v>
      </c>
      <c r="Q298" s="288">
        <f ca="1">IF(OR(Table2[[#This Row],[Benefit Name]]="My Value Plus Life - Main Member",Table2[[#This Row],[Benefit Name]]="My Value Plus Life - Spouse"),0,
IFERROR(VLOOKUP($G298,INDIRECT($O298),$P298,FALSE),0))</f>
        <v>0</v>
      </c>
      <c r="R298" s="288">
        <f ca="1">IF(OR(Table2[[#This Row],[Benefit Name]]="My Value Plus Life - Main Member",Table2[[#This Row],[Benefit Name]]="My Value Plus Life - Spouse"),0,
IFERROR(VLOOKUP($G298,INDIRECT($O298),$P298+1,FALSE),0))</f>
        <v>0</v>
      </c>
      <c r="S298" s="289">
        <f t="shared" ca="1" si="31"/>
        <v>0</v>
      </c>
      <c r="T298" s="284" t="str">
        <f>IF(Table13[[#This Row],[Premium Waiver]]="","None",Table13[[#This Row],[Premium Waiver]])</f>
        <v>None</v>
      </c>
      <c r="U298" s="284">
        <f>Table13[[#This Row],[VAPs Options]]</f>
        <v>0</v>
      </c>
      <c r="V298" s="284">
        <f>Table13[[#This Row],[Annual Increase Option]]</f>
        <v>0</v>
      </c>
      <c r="W298" s="290">
        <f>Table13[[#This Row],[Life Cover Amount]]</f>
        <v>0</v>
      </c>
      <c r="X298" s="290">
        <f>Table13[[#This Row],[Funeral Cover Amount]]</f>
        <v>0</v>
      </c>
      <c r="Y29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9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98" s="301">
        <f t="shared" ca="1" si="32"/>
        <v>0</v>
      </c>
      <c r="AB298" s="298"/>
      <c r="AC298" s="326" t="str">
        <f>IF(Table2[[#This Row],[Member Type]]="Main Member",Lookups!$C$13,
IF(Table2[[#This Row],[Member Type]]="Spouse",_xlfn.XLOOKUP(B298,Table2[Main Member Link ID],Table2[Product Option],0),
IF(AND(Table2[[#This Row],[Member Type]]="Child",_xlfn.XLOOKUP(B298,Table2[Main Member Link ID],Table2[Product Option],0)&lt;&gt;"My Value Plus Life"),Lookups!$C$24,
IF(AND(OR(Table2[[#This Row],[Member Type]]="Parent",Table2[[#This Row],[Member Type]]="Extended"),_xlfn.XLOOKUP(B298,Table2[Main Member Link ID],Table2[Product Option],0)&lt;&gt;"My Value Plus Life"),Lookups!$C$26,""))))</f>
        <v/>
      </c>
      <c r="AD298" s="326" t="str">
        <f>IF(Table2[[#This Row],[Member Type]]="Main Member",Lookups!$C$14,"")</f>
        <v/>
      </c>
      <c r="AE29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Funeral",_xlfn.XLOOKUP(B298,Table2[Main Member Link ID],Table2[Benefit Name],0)=Lookups!$D$14),"",
IF(AND(Table2[[#This Row],[Member Type]]="Spouse",Table2[[#This Row],[Product Option]]="My Value Plus Life &amp; Funeral",_xlfn.XLOOKUP(B297,Table2[Main Member Link ID],Table2[Benefit Name],0)=Lookups!$D$15),Lookups!$D$20,
IF(AND(Table2[[#This Row],[Member Type]]="Spouse",Table2[[#This Row],[Product Option]]="My Value Plus Life &amp; Funeral",_xlfn.XLOOKUP(B297,Table2[Main Member Link ID],Table2[Benefit Name],0)=Lookups!$D$16),"",
IF(AND(Table2[[#This Row],[Member Type]]="Spouse",Table2[[#This Row],[Product Option]]="My Value Plus Life &amp; Funeral",_xlfn.XLOOKUP(B297,Table2[Main Member Link ID],Table2[Benefit Name],0)=Lookups!$D$17),Lookups!$D$21,
IF(AND(Table2[[#This Row],[Member Type]]="Child",Table2[[#This Row],[Product Option]]="My Value Plus Life &amp; Funeral",_xlfn.XLOOKUP(B298,Table2[Main Member Link ID],Table2[Benefit Name],0)=Lookups!$D$14),"",
IF(AND(Table2[[#This Row],[Member Type]]="Child",Table2[[#This Row],[Product Option]]="My Value Plus Life &amp; Funeral",_xlfn.XLOOKUP(B298,Table2[Main Member Link ID],Table2[Benefit Name],0)=Lookups!$D$15),"",
IF(AND(Table2[[#This Row],[Member Type]]="Child",Table2[[#This Row],[Product Option]]="My Value Plus Life &amp; Funeral",_xlfn.XLOOKUP(B298,Table2[Main Member Link ID],Table2[Benefit Name],0)=Lookups!$D$16),Lookups!$D$24,
IF(AND(Table2[[#This Row],[Member Type]]="Child",Table2[[#This Row],[Product Option]]="My Value Plus Life &amp; Funeral",_xlfn.XLOOKUP(B298,Table2[Main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Funeral",_xlfn.XLOOKUP(B298,Table2[Main Member Link ID],Table2[Benefit Name],0)&lt;&gt;Lookups!$D$14),
IF(_xlfn.XLOOKUP(B298,Table2[Main Member Link ID],Table2[Benefit Name],0)=0,"",_xlfn.XLOOKUP(B298,Table2[Main Member Link ID],Table2[Benefit Name],0)),"")))))))))))))))</f>
        <v/>
      </c>
      <c r="AF298" s="327" t="str">
        <f>IF(AND(Table2[[#This Row],[Member Type]]="Main Member",Table2[[#This Row],[Product Option]]="My Value Plus Life &amp; Funeral"),Lookups!$D$15,
IF(AND(Table2[[#This Row],[Member Type]]="Spouse",Table2[[#This Row],[Product Option]]="My Value Plus Life &amp; Funeral",_xlfn.XLOOKUP(B298,Table2[Main Member Link ID],Table2[Benefit Name],0)=Lookups!$D$14),"",
IF(AND(Table2[[#This Row],[Member Type]]="Spouse",Table2[[#This Row],[Product Option]]="My Value Plus Life &amp; Funeral",_xlfn.XLOOKUP(B297,Table2[Main Member Link ID],Table2[Benefit Name],0)=Lookups!$D$16),"",
IF(AND(Table2[[#This Row],[Member Type]]="Spouse",Table2[[#This Row],[Product Option]]="My Value Plus Life &amp; Funeral",_xlfn.XLOOKUP(B297,Table2[Main Member Link ID],Table2[Benefit Name],0)=Lookups!$D$15),"",
IF(AND(Table2[[#This Row],[Member Type]]="Spouse",Table2[[#This Row],[Product Option]]="My Value Plus Life &amp; Funeral",_xlfn.XLOOKUP(B297,Table2[Main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Funeral",_xlfn.XLOOKUP(B298,Table2[Main Member Link ID],Table2[Benefit Name],0)&lt;&gt;Lookups!$D$15),
IF(_xlfn.XLOOKUP(B298,Table2[Main Member Link ID],Table2[Benefit Name],0)=0,"",_xlfn.XLOOKUP(B298,Table2[Main Member Link ID],Table2[Benefit Name],0)),"")
))))))</f>
        <v/>
      </c>
      <c r="AG298" s="327" t="str">
        <f>IF(AND(Table2[[#This Row],[Member Type]]="Main Member",Table2[[#This Row],[Product Option]]="My Value Plus Life &amp; Funeral"),Lookups!$D$16,
IF(AND(Table2[[#This Row],[Member Type]]="Spouse",Table2[[#This Row],[Product Option]]="My Value Plus Life &amp; Funeral",_xlfn.XLOOKUP(B298,Table2[Main Member Link ID],Table2[Benefit Name],0)=Lookups!$D$14),"",
IF(AND(Table2[[#This Row],[Member Type]]="Spouse",Table2[[#This Row],[Product Option]]="My Value Plus Life &amp; Funeral",_xlfn.XLOOKUP(B297,Table2[Main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Funeral",_xlfn.XLOOKUP(B298,Table2[Main Member Link ID],Table2[Benefit Name],0)&lt;&gt;Lookups!$D$16),
IF(_xlfn.XLOOKUP(B298,Table2[Main Member Link ID],Table2[Benefit Name],0)=0,"",_xlfn.XLOOKUP(B298,Table2[Main Member Link ID],Table2[Benefit Name],0)),"")
))))</f>
        <v/>
      </c>
      <c r="AH298" s="327" t="str">
        <f>IF(AND(Table2[[#This Row],[Member Type]]="Main Member",Table2[[#This Row],[Product Option]]="My Value Plus Life &amp; Funeral"),Lookups!$D$17,
IF(AND(Table2[[#This Row],[Member Type]]="Spouse",Table2[[#This Row],[Product Option]]="My Value Plus Life &amp; Funeral",_xlfn.XLOOKUP(B298,Table2[Main Member Link ID],Table2[Benefit Name],0)=Lookups!$D$14),"",
IF(AND(Table2[[#This Row],[Member Type]]="Spouse",Table2[[#This Row],[Product Option]]="My Value Plus Life &amp; Funeral",_xlfn.XLOOKUP(B297,Table2[Main Member Link ID],Table2[Benefit Name],0)=Lookups!$D$16),"",
IF(AND(Table2[[#This Row],[Member Type]]="Child",Table2[[#This Row],[Product Option]]="My Value Plus Life &amp; Funeral"),"",
IF(AND(Table2[[#This Row],[Member Type]]="Child",Table2[[#This Row],[Product Option]]="My Value Plus Life &amp; Funeral",_xlfn.XLOOKUP(B298,Table2[Main Member Link ID],Table2[Benefit Name],0)=Lookups!$D$15),"",
IF(AND(OR(Table2[[#This Row],[Member Type]]="Spouse",Table2[[#This Row],[Member Type]]="Child"),Table2[[#This Row],[Product Option]]="My Value Plus Life &amp; Funeral",_xlfn.XLOOKUP(B298,Table2[Main Member Link ID],Table2[Benefit Name],0)&lt;&gt;Lookups!$D$17),
IF(_xlfn.XLOOKUP(B298,Table2[Main Member Link ID],Table2[Benefit Name],0)=0,"",_xlfn.XLOOKUP(B298,Table2[Main Member Link ID],Table2[Benefit Name],0)),""))))))</f>
        <v/>
      </c>
      <c r="AI298" s="328" t="str">
        <f>IF(AND(Table2[[#This Row],[Member Type]]="Main Member",Table2[[#This Row],[Table Lookup for Life Cover]]="MM_LIFE",Table2[[#This Row],[Age Next Birthday]]&lt;56),1,
IF(AND(Table2[[#This Row],[Member Type]]="Main Member",Table2[[#This Row],[Table Lookup for Life Cover]]="MM_LIFE",Table2[[#This Row],[Age Next Birthday]]&gt;=56),2,
""))</f>
        <v/>
      </c>
      <c r="AJ298" s="328">
        <f>IF(OR(Table2[[#This Row],[Member Type]]="Main Member",Table2[[#This Row],[Main Member Link ID]]=B297),1,0)</f>
        <v>1</v>
      </c>
      <c r="AK298" s="328">
        <f>IF(Table2[[#This Row],[Member Type]]=0,0,
IF(OR(Table2[[#This Row],[Member Type]]="Main Member",Table2[[#This Row],[Main Member Link ID]]&lt;&gt;B298),COUNTIFS(B:B,Table2[[#This Row],[Main Member Link ID]]),
COUNTIFS(B:B,Table2[[#This Row],[Main Member Link ID]],A:A,Table2[[#This Row],[Member Type]])))</f>
        <v>0</v>
      </c>
    </row>
    <row r="299" spans="1:37" x14ac:dyDescent="0.3">
      <c r="A299" s="284">
        <f>Table13[[#This Row],[Member Type]]</f>
        <v>0</v>
      </c>
      <c r="B299" s="284">
        <f>Table13[[#This Row],[Main Member Link ID]]</f>
        <v>0</v>
      </c>
      <c r="C299" s="284">
        <f>Table13[[#This Row],[ID Number]]</f>
        <v>0</v>
      </c>
      <c r="D299" s="285">
        <f>Table13[[#This Row],[Date Of Birth]]</f>
        <v>0</v>
      </c>
      <c r="E299" s="285">
        <f>Table13[[#This Row],[Commencement Date]]</f>
        <v>0</v>
      </c>
      <c r="F299" s="284">
        <f t="shared" si="28"/>
        <v>1</v>
      </c>
      <c r="G299" s="284">
        <f t="shared" si="29"/>
        <v>25</v>
      </c>
      <c r="H299" s="286">
        <f>Table13[[#This Row],[Product Option]]</f>
        <v>0</v>
      </c>
      <c r="I299" s="284">
        <f>IF(AND($A299="Main Member",Table2[[#This Row],[Product Option]]="My Value Plus Life"),"MM_LIFE",
IF(AND($A299="Spouse",Table2[[#This Row],[Product Option]]="My Value Plus Life"),"SP_LIFE",
IF(AND($A299="Main Member",Table2[[#This Row],[Product Option]]="My Value Plus Life &amp; Funeral"),"MM_LIFE",
IF(AND($A299="Spouse",Table2[[#This Row],[Product Option]]="My Value Plus Life &amp; Funeral"),_xlfn.XLOOKUP(Table2[[#This Row],[Benefit Name]],Lookups!$D$18:$D$23,Lookups!$E$18:$E$23,0),
0))))</f>
        <v>0</v>
      </c>
      <c r="J299" s="284">
        <f>IF($I299="","",
IF($I299="MM_LIFE",INDEX('Quotation Tool'!$S$54:$V$60,MATCH($T299,'Quotation Tool'!$S$54:$S$60,0),4),
IF($I299="SP_LIFE",_xlfn.XLOOKUP(B298,$B:$B,$J:$J,0),0)))</f>
        <v>0</v>
      </c>
      <c r="K299" s="287">
        <f t="shared" ca="1" si="33"/>
        <v>0</v>
      </c>
      <c r="L299" s="288">
        <f t="shared" ca="1" si="34"/>
        <v>0</v>
      </c>
      <c r="M299" s="289">
        <f t="shared" ca="1" si="30"/>
        <v>0</v>
      </c>
      <c r="N299" s="286">
        <f>Table13[[#This Row],[Benefit Option]]</f>
        <v>0</v>
      </c>
      <c r="O299" s="284">
        <f>IF(OR(Table2[[#This Row],[Member Type]]="Spouse",Table2[[#This Row],[Member Type]]="Child"),0,
IF(_xlfn.XLOOKUP($N299,Lookups!$D$13:$D$27,Lookups!$F$13:$F$27,0)=Table2[[#This Row],[Table Lookup for Life Cover]],0,
_xlfn.XLOOKUP($N299,Lookups!$D$13:$D$27,Lookups!$F$13:$F$27,0)))</f>
        <v>0</v>
      </c>
      <c r="P299" s="284">
        <f>IF(Table2[[#This Row],[Table Lookup for Funeral]]=0,0,IFERROR(INDEX('Quotation Tool'!$S$54:$V$60,MATCH($T299,'Quotation Tool'!$S$54:$S$60,0),3),0))</f>
        <v>0</v>
      </c>
      <c r="Q299" s="288">
        <f ca="1">IF(OR(Table2[[#This Row],[Benefit Name]]="My Value Plus Life - Main Member",Table2[[#This Row],[Benefit Name]]="My Value Plus Life - Spouse"),0,
IFERROR(VLOOKUP($G299,INDIRECT($O299),$P299,FALSE),0))</f>
        <v>0</v>
      </c>
      <c r="R299" s="288">
        <f ca="1">IF(OR(Table2[[#This Row],[Benefit Name]]="My Value Plus Life - Main Member",Table2[[#This Row],[Benefit Name]]="My Value Plus Life - Spouse"),0,
IFERROR(VLOOKUP($G299,INDIRECT($O299),$P299+1,FALSE),0))</f>
        <v>0</v>
      </c>
      <c r="S299" s="289">
        <f t="shared" ca="1" si="31"/>
        <v>0</v>
      </c>
      <c r="T299" s="284" t="str">
        <f>IF(Table13[[#This Row],[Premium Waiver]]="","None",Table13[[#This Row],[Premium Waiver]])</f>
        <v>None</v>
      </c>
      <c r="U299" s="284">
        <f>Table13[[#This Row],[VAPs Options]]</f>
        <v>0</v>
      </c>
      <c r="V299" s="284">
        <f>Table13[[#This Row],[Annual Increase Option]]</f>
        <v>0</v>
      </c>
      <c r="W299" s="290">
        <f>Table13[[#This Row],[Life Cover Amount]]</f>
        <v>0</v>
      </c>
      <c r="X299" s="290">
        <f>Table13[[#This Row],[Funeral Cover Amount]]</f>
        <v>0</v>
      </c>
      <c r="Y29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29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299" s="301">
        <f t="shared" ca="1" si="32"/>
        <v>0</v>
      </c>
      <c r="AB299" s="298"/>
      <c r="AC299" s="326" t="str">
        <f>IF(Table2[[#This Row],[Member Type]]="Main Member",Lookups!$C$13,
IF(Table2[[#This Row],[Member Type]]="Spouse",_xlfn.XLOOKUP(B299,Table2[Main Member Link ID],Table2[Product Option],0),
IF(AND(Table2[[#This Row],[Member Type]]="Child",_xlfn.XLOOKUP(B299,Table2[Main Member Link ID],Table2[Product Option],0)&lt;&gt;"My Value Plus Life"),Lookups!$C$24,
IF(AND(OR(Table2[[#This Row],[Member Type]]="Parent",Table2[[#This Row],[Member Type]]="Extended"),_xlfn.XLOOKUP(B299,Table2[Main Member Link ID],Table2[Product Option],0)&lt;&gt;"My Value Plus Life"),Lookups!$C$26,""))))</f>
        <v/>
      </c>
      <c r="AD299" s="326" t="str">
        <f>IF(Table2[[#This Row],[Member Type]]="Main Member",Lookups!$C$14,"")</f>
        <v/>
      </c>
      <c r="AE29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Funeral",_xlfn.XLOOKUP(B299,Table2[Main Member Link ID],Table2[Benefit Name],0)=Lookups!$D$14),"",
IF(AND(Table2[[#This Row],[Member Type]]="Spouse",Table2[[#This Row],[Product Option]]="My Value Plus Life &amp; Funeral",_xlfn.XLOOKUP(B298,Table2[Main Member Link ID],Table2[Benefit Name],0)=Lookups!$D$15),Lookups!$D$20,
IF(AND(Table2[[#This Row],[Member Type]]="Spouse",Table2[[#This Row],[Product Option]]="My Value Plus Life &amp; Funeral",_xlfn.XLOOKUP(B298,Table2[Main Member Link ID],Table2[Benefit Name],0)=Lookups!$D$16),"",
IF(AND(Table2[[#This Row],[Member Type]]="Spouse",Table2[[#This Row],[Product Option]]="My Value Plus Life &amp; Funeral",_xlfn.XLOOKUP(B298,Table2[Main Member Link ID],Table2[Benefit Name],0)=Lookups!$D$17),Lookups!$D$21,
IF(AND(Table2[[#This Row],[Member Type]]="Child",Table2[[#This Row],[Product Option]]="My Value Plus Life &amp; Funeral",_xlfn.XLOOKUP(B299,Table2[Main Member Link ID],Table2[Benefit Name],0)=Lookups!$D$14),"",
IF(AND(Table2[[#This Row],[Member Type]]="Child",Table2[[#This Row],[Product Option]]="My Value Plus Life &amp; Funeral",_xlfn.XLOOKUP(B299,Table2[Main Member Link ID],Table2[Benefit Name],0)=Lookups!$D$15),"",
IF(AND(Table2[[#This Row],[Member Type]]="Child",Table2[[#This Row],[Product Option]]="My Value Plus Life &amp; Funeral",_xlfn.XLOOKUP(B299,Table2[Main Member Link ID],Table2[Benefit Name],0)=Lookups!$D$16),Lookups!$D$24,
IF(AND(Table2[[#This Row],[Member Type]]="Child",Table2[[#This Row],[Product Option]]="My Value Plus Life &amp; Funeral",_xlfn.XLOOKUP(B299,Table2[Main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Funeral",_xlfn.XLOOKUP(B299,Table2[Main Member Link ID],Table2[Benefit Name],0)&lt;&gt;Lookups!$D$14),
IF(_xlfn.XLOOKUP(B299,Table2[Main Member Link ID],Table2[Benefit Name],0)=0,"",_xlfn.XLOOKUP(B299,Table2[Main Member Link ID],Table2[Benefit Name],0)),"")))))))))))))))</f>
        <v/>
      </c>
      <c r="AF299" s="327" t="str">
        <f>IF(AND(Table2[[#This Row],[Member Type]]="Main Member",Table2[[#This Row],[Product Option]]="My Value Plus Life &amp; Funeral"),Lookups!$D$15,
IF(AND(Table2[[#This Row],[Member Type]]="Spouse",Table2[[#This Row],[Product Option]]="My Value Plus Life &amp; Funeral",_xlfn.XLOOKUP(B299,Table2[Main Member Link ID],Table2[Benefit Name],0)=Lookups!$D$14),"",
IF(AND(Table2[[#This Row],[Member Type]]="Spouse",Table2[[#This Row],[Product Option]]="My Value Plus Life &amp; Funeral",_xlfn.XLOOKUP(B298,Table2[Main Member Link ID],Table2[Benefit Name],0)=Lookups!$D$16),"",
IF(AND(Table2[[#This Row],[Member Type]]="Spouse",Table2[[#This Row],[Product Option]]="My Value Plus Life &amp; Funeral",_xlfn.XLOOKUP(B298,Table2[Main Member Link ID],Table2[Benefit Name],0)=Lookups!$D$15),"",
IF(AND(Table2[[#This Row],[Member Type]]="Spouse",Table2[[#This Row],[Product Option]]="My Value Plus Life &amp; Funeral",_xlfn.XLOOKUP(B298,Table2[Main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Funeral",_xlfn.XLOOKUP(B299,Table2[Main Member Link ID],Table2[Benefit Name],0)&lt;&gt;Lookups!$D$15),
IF(_xlfn.XLOOKUP(B299,Table2[Main Member Link ID],Table2[Benefit Name],0)=0,"",_xlfn.XLOOKUP(B299,Table2[Main Member Link ID],Table2[Benefit Name],0)),"")
))))))</f>
        <v/>
      </c>
      <c r="AG299" s="327" t="str">
        <f>IF(AND(Table2[[#This Row],[Member Type]]="Main Member",Table2[[#This Row],[Product Option]]="My Value Plus Life &amp; Funeral"),Lookups!$D$16,
IF(AND(Table2[[#This Row],[Member Type]]="Spouse",Table2[[#This Row],[Product Option]]="My Value Plus Life &amp; Funeral",_xlfn.XLOOKUP(B299,Table2[Main Member Link ID],Table2[Benefit Name],0)=Lookups!$D$14),"",
IF(AND(Table2[[#This Row],[Member Type]]="Spouse",Table2[[#This Row],[Product Option]]="My Value Plus Life &amp; Funeral",_xlfn.XLOOKUP(B298,Table2[Main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Funeral",_xlfn.XLOOKUP(B299,Table2[Main Member Link ID],Table2[Benefit Name],0)&lt;&gt;Lookups!$D$16),
IF(_xlfn.XLOOKUP(B299,Table2[Main Member Link ID],Table2[Benefit Name],0)=0,"",_xlfn.XLOOKUP(B299,Table2[Main Member Link ID],Table2[Benefit Name],0)),"")
))))</f>
        <v/>
      </c>
      <c r="AH299" s="327" t="str">
        <f>IF(AND(Table2[[#This Row],[Member Type]]="Main Member",Table2[[#This Row],[Product Option]]="My Value Plus Life &amp; Funeral"),Lookups!$D$17,
IF(AND(Table2[[#This Row],[Member Type]]="Spouse",Table2[[#This Row],[Product Option]]="My Value Plus Life &amp; Funeral",_xlfn.XLOOKUP(B299,Table2[Main Member Link ID],Table2[Benefit Name],0)=Lookups!$D$14),"",
IF(AND(Table2[[#This Row],[Member Type]]="Spouse",Table2[[#This Row],[Product Option]]="My Value Plus Life &amp; Funeral",_xlfn.XLOOKUP(B298,Table2[Main Member Link ID],Table2[Benefit Name],0)=Lookups!$D$16),"",
IF(AND(Table2[[#This Row],[Member Type]]="Child",Table2[[#This Row],[Product Option]]="My Value Plus Life &amp; Funeral"),"",
IF(AND(Table2[[#This Row],[Member Type]]="Child",Table2[[#This Row],[Product Option]]="My Value Plus Life &amp; Funeral",_xlfn.XLOOKUP(B299,Table2[Main Member Link ID],Table2[Benefit Name],0)=Lookups!$D$15),"",
IF(AND(OR(Table2[[#This Row],[Member Type]]="Spouse",Table2[[#This Row],[Member Type]]="Child"),Table2[[#This Row],[Product Option]]="My Value Plus Life &amp; Funeral",_xlfn.XLOOKUP(B299,Table2[Main Member Link ID],Table2[Benefit Name],0)&lt;&gt;Lookups!$D$17),
IF(_xlfn.XLOOKUP(B299,Table2[Main Member Link ID],Table2[Benefit Name],0)=0,"",_xlfn.XLOOKUP(B299,Table2[Main Member Link ID],Table2[Benefit Name],0)),""))))))</f>
        <v/>
      </c>
      <c r="AI299" s="328" t="str">
        <f>IF(AND(Table2[[#This Row],[Member Type]]="Main Member",Table2[[#This Row],[Table Lookup for Life Cover]]="MM_LIFE",Table2[[#This Row],[Age Next Birthday]]&lt;56),1,
IF(AND(Table2[[#This Row],[Member Type]]="Main Member",Table2[[#This Row],[Table Lookup for Life Cover]]="MM_LIFE",Table2[[#This Row],[Age Next Birthday]]&gt;=56),2,
""))</f>
        <v/>
      </c>
      <c r="AJ299" s="328">
        <f>IF(OR(Table2[[#This Row],[Member Type]]="Main Member",Table2[[#This Row],[Main Member Link ID]]=B298),1,0)</f>
        <v>1</v>
      </c>
      <c r="AK299" s="328">
        <f>IF(Table2[[#This Row],[Member Type]]=0,0,
IF(OR(Table2[[#This Row],[Member Type]]="Main Member",Table2[[#This Row],[Main Member Link ID]]&lt;&gt;B299),COUNTIFS(B:B,Table2[[#This Row],[Main Member Link ID]]),
COUNTIFS(B:B,Table2[[#This Row],[Main Member Link ID]],A:A,Table2[[#This Row],[Member Type]])))</f>
        <v>0</v>
      </c>
    </row>
    <row r="300" spans="1:37" x14ac:dyDescent="0.3">
      <c r="A300" s="284">
        <f>Table13[[#This Row],[Member Type]]</f>
        <v>0</v>
      </c>
      <c r="B300" s="284">
        <f>Table13[[#This Row],[Main Member Link ID]]</f>
        <v>0</v>
      </c>
      <c r="C300" s="284">
        <f>Table13[[#This Row],[ID Number]]</f>
        <v>0</v>
      </c>
      <c r="D300" s="285">
        <f>Table13[[#This Row],[Date Of Birth]]</f>
        <v>0</v>
      </c>
      <c r="E300" s="285">
        <f>Table13[[#This Row],[Commencement Date]]</f>
        <v>0</v>
      </c>
      <c r="F300" s="284">
        <f t="shared" si="28"/>
        <v>1</v>
      </c>
      <c r="G300" s="284">
        <f t="shared" si="29"/>
        <v>25</v>
      </c>
      <c r="H300" s="286">
        <f>Table13[[#This Row],[Product Option]]</f>
        <v>0</v>
      </c>
      <c r="I300" s="284">
        <f>IF(AND($A300="Main Member",Table2[[#This Row],[Product Option]]="My Value Plus Life"),"MM_LIFE",
IF(AND($A300="Spouse",Table2[[#This Row],[Product Option]]="My Value Plus Life"),"SP_LIFE",
IF(AND($A300="Main Member",Table2[[#This Row],[Product Option]]="My Value Plus Life &amp; Funeral"),"MM_LIFE",
IF(AND($A300="Spouse",Table2[[#This Row],[Product Option]]="My Value Plus Life &amp; Funeral"),_xlfn.XLOOKUP(Table2[[#This Row],[Benefit Name]],Lookups!$D$18:$D$23,Lookups!$E$18:$E$23,0),
0))))</f>
        <v>0</v>
      </c>
      <c r="J300" s="284">
        <f>IF($I300="","",
IF($I300="MM_LIFE",INDEX('Quotation Tool'!$S$54:$V$60,MATCH($T300,'Quotation Tool'!$S$54:$S$60,0),4),
IF($I300="SP_LIFE",_xlfn.XLOOKUP(B299,$B:$B,$J:$J,0),0)))</f>
        <v>0</v>
      </c>
      <c r="K300" s="287">
        <f t="shared" ca="1" si="33"/>
        <v>0</v>
      </c>
      <c r="L300" s="288">
        <f t="shared" ca="1" si="34"/>
        <v>0</v>
      </c>
      <c r="M300" s="289">
        <f t="shared" ca="1" si="30"/>
        <v>0</v>
      </c>
      <c r="N300" s="286">
        <f>Table13[[#This Row],[Benefit Option]]</f>
        <v>0</v>
      </c>
      <c r="O300" s="284">
        <f>IF(OR(Table2[[#This Row],[Member Type]]="Spouse",Table2[[#This Row],[Member Type]]="Child"),0,
IF(_xlfn.XLOOKUP($N300,Lookups!$D$13:$D$27,Lookups!$F$13:$F$27,0)=Table2[[#This Row],[Table Lookup for Life Cover]],0,
_xlfn.XLOOKUP($N300,Lookups!$D$13:$D$27,Lookups!$F$13:$F$27,0)))</f>
        <v>0</v>
      </c>
      <c r="P300" s="284">
        <f>IF(Table2[[#This Row],[Table Lookup for Funeral]]=0,0,IFERROR(INDEX('Quotation Tool'!$S$54:$V$60,MATCH($T300,'Quotation Tool'!$S$54:$S$60,0),3),0))</f>
        <v>0</v>
      </c>
      <c r="Q300" s="288">
        <f ca="1">IF(OR(Table2[[#This Row],[Benefit Name]]="My Value Plus Life - Main Member",Table2[[#This Row],[Benefit Name]]="My Value Plus Life - Spouse"),0,
IFERROR(VLOOKUP($G300,INDIRECT($O300),$P300,FALSE),0))</f>
        <v>0</v>
      </c>
      <c r="R300" s="288">
        <f ca="1">IF(OR(Table2[[#This Row],[Benefit Name]]="My Value Plus Life - Main Member",Table2[[#This Row],[Benefit Name]]="My Value Plus Life - Spouse"),0,
IFERROR(VLOOKUP($G300,INDIRECT($O300),$P300+1,FALSE),0))</f>
        <v>0</v>
      </c>
      <c r="S300" s="289">
        <f t="shared" ca="1" si="31"/>
        <v>0</v>
      </c>
      <c r="T300" s="284" t="str">
        <f>IF(Table13[[#This Row],[Premium Waiver]]="","None",Table13[[#This Row],[Premium Waiver]])</f>
        <v>None</v>
      </c>
      <c r="U300" s="284">
        <f>Table13[[#This Row],[VAPs Options]]</f>
        <v>0</v>
      </c>
      <c r="V300" s="284">
        <f>Table13[[#This Row],[Annual Increase Option]]</f>
        <v>0</v>
      </c>
      <c r="W300" s="290">
        <f>Table13[[#This Row],[Life Cover Amount]]</f>
        <v>0</v>
      </c>
      <c r="X300" s="290">
        <f>Table13[[#This Row],[Funeral Cover Amount]]</f>
        <v>0</v>
      </c>
      <c r="Y30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0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00" s="301">
        <f t="shared" ca="1" si="32"/>
        <v>0</v>
      </c>
      <c r="AB300" s="298"/>
      <c r="AC300" s="326" t="str">
        <f>IF(Table2[[#This Row],[Member Type]]="Main Member",Lookups!$C$13,
IF(Table2[[#This Row],[Member Type]]="Spouse",_xlfn.XLOOKUP(B300,Table2[Main Member Link ID],Table2[Product Option],0),
IF(AND(Table2[[#This Row],[Member Type]]="Child",_xlfn.XLOOKUP(B300,Table2[Main Member Link ID],Table2[Product Option],0)&lt;&gt;"My Value Plus Life"),Lookups!$C$24,
IF(AND(OR(Table2[[#This Row],[Member Type]]="Parent",Table2[[#This Row],[Member Type]]="Extended"),_xlfn.XLOOKUP(B300,Table2[Main Member Link ID],Table2[Product Option],0)&lt;&gt;"My Value Plus Life"),Lookups!$C$26,""))))</f>
        <v/>
      </c>
      <c r="AD300" s="326" t="str">
        <f>IF(Table2[[#This Row],[Member Type]]="Main Member",Lookups!$C$14,"")</f>
        <v/>
      </c>
      <c r="AE30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Funeral",_xlfn.XLOOKUP(B300,Table2[Main Member Link ID],Table2[Benefit Name],0)=Lookups!$D$14),"",
IF(AND(Table2[[#This Row],[Member Type]]="Spouse",Table2[[#This Row],[Product Option]]="My Value Plus Life &amp; Funeral",_xlfn.XLOOKUP(B299,Table2[Main Member Link ID],Table2[Benefit Name],0)=Lookups!$D$15),Lookups!$D$20,
IF(AND(Table2[[#This Row],[Member Type]]="Spouse",Table2[[#This Row],[Product Option]]="My Value Plus Life &amp; Funeral",_xlfn.XLOOKUP(B299,Table2[Main Member Link ID],Table2[Benefit Name],0)=Lookups!$D$16),"",
IF(AND(Table2[[#This Row],[Member Type]]="Spouse",Table2[[#This Row],[Product Option]]="My Value Plus Life &amp; Funeral",_xlfn.XLOOKUP(B299,Table2[Main Member Link ID],Table2[Benefit Name],0)=Lookups!$D$17),Lookups!$D$21,
IF(AND(Table2[[#This Row],[Member Type]]="Child",Table2[[#This Row],[Product Option]]="My Value Plus Life &amp; Funeral",_xlfn.XLOOKUP(B300,Table2[Main Member Link ID],Table2[Benefit Name],0)=Lookups!$D$14),"",
IF(AND(Table2[[#This Row],[Member Type]]="Child",Table2[[#This Row],[Product Option]]="My Value Plus Life &amp; Funeral",_xlfn.XLOOKUP(B300,Table2[Main Member Link ID],Table2[Benefit Name],0)=Lookups!$D$15),"",
IF(AND(Table2[[#This Row],[Member Type]]="Child",Table2[[#This Row],[Product Option]]="My Value Plus Life &amp; Funeral",_xlfn.XLOOKUP(B300,Table2[Main Member Link ID],Table2[Benefit Name],0)=Lookups!$D$16),Lookups!$D$24,
IF(AND(Table2[[#This Row],[Member Type]]="Child",Table2[[#This Row],[Product Option]]="My Value Plus Life &amp; Funeral",_xlfn.XLOOKUP(B300,Table2[Main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Funeral",_xlfn.XLOOKUP(B300,Table2[Main Member Link ID],Table2[Benefit Name],0)&lt;&gt;Lookups!$D$14),
IF(_xlfn.XLOOKUP(B300,Table2[Main Member Link ID],Table2[Benefit Name],0)=0,"",_xlfn.XLOOKUP(B300,Table2[Main Member Link ID],Table2[Benefit Name],0)),"")))))))))))))))</f>
        <v/>
      </c>
      <c r="AF300" s="327" t="str">
        <f>IF(AND(Table2[[#This Row],[Member Type]]="Main Member",Table2[[#This Row],[Product Option]]="My Value Plus Life &amp; Funeral"),Lookups!$D$15,
IF(AND(Table2[[#This Row],[Member Type]]="Spouse",Table2[[#This Row],[Product Option]]="My Value Plus Life &amp; Funeral",_xlfn.XLOOKUP(B300,Table2[Main Member Link ID],Table2[Benefit Name],0)=Lookups!$D$14),"",
IF(AND(Table2[[#This Row],[Member Type]]="Spouse",Table2[[#This Row],[Product Option]]="My Value Plus Life &amp; Funeral",_xlfn.XLOOKUP(B299,Table2[Main Member Link ID],Table2[Benefit Name],0)=Lookups!$D$16),"",
IF(AND(Table2[[#This Row],[Member Type]]="Spouse",Table2[[#This Row],[Product Option]]="My Value Plus Life &amp; Funeral",_xlfn.XLOOKUP(B299,Table2[Main Member Link ID],Table2[Benefit Name],0)=Lookups!$D$15),"",
IF(AND(Table2[[#This Row],[Member Type]]="Spouse",Table2[[#This Row],[Product Option]]="My Value Plus Life &amp; Funeral",_xlfn.XLOOKUP(B299,Table2[Main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Funeral",_xlfn.XLOOKUP(B300,Table2[Main Member Link ID],Table2[Benefit Name],0)&lt;&gt;Lookups!$D$15),
IF(_xlfn.XLOOKUP(B300,Table2[Main Member Link ID],Table2[Benefit Name],0)=0,"",_xlfn.XLOOKUP(B300,Table2[Main Member Link ID],Table2[Benefit Name],0)),"")
))))))</f>
        <v/>
      </c>
      <c r="AG300" s="327" t="str">
        <f>IF(AND(Table2[[#This Row],[Member Type]]="Main Member",Table2[[#This Row],[Product Option]]="My Value Plus Life &amp; Funeral"),Lookups!$D$16,
IF(AND(Table2[[#This Row],[Member Type]]="Spouse",Table2[[#This Row],[Product Option]]="My Value Plus Life &amp; Funeral",_xlfn.XLOOKUP(B300,Table2[Main Member Link ID],Table2[Benefit Name],0)=Lookups!$D$14),"",
IF(AND(Table2[[#This Row],[Member Type]]="Spouse",Table2[[#This Row],[Product Option]]="My Value Plus Life &amp; Funeral",_xlfn.XLOOKUP(B299,Table2[Main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Funeral",_xlfn.XLOOKUP(B300,Table2[Main Member Link ID],Table2[Benefit Name],0)&lt;&gt;Lookups!$D$16),
IF(_xlfn.XLOOKUP(B300,Table2[Main Member Link ID],Table2[Benefit Name],0)=0,"",_xlfn.XLOOKUP(B300,Table2[Main Member Link ID],Table2[Benefit Name],0)),"")
))))</f>
        <v/>
      </c>
      <c r="AH300" s="327" t="str">
        <f>IF(AND(Table2[[#This Row],[Member Type]]="Main Member",Table2[[#This Row],[Product Option]]="My Value Plus Life &amp; Funeral"),Lookups!$D$17,
IF(AND(Table2[[#This Row],[Member Type]]="Spouse",Table2[[#This Row],[Product Option]]="My Value Plus Life &amp; Funeral",_xlfn.XLOOKUP(B300,Table2[Main Member Link ID],Table2[Benefit Name],0)=Lookups!$D$14),"",
IF(AND(Table2[[#This Row],[Member Type]]="Spouse",Table2[[#This Row],[Product Option]]="My Value Plus Life &amp; Funeral",_xlfn.XLOOKUP(B299,Table2[Main Member Link ID],Table2[Benefit Name],0)=Lookups!$D$16),"",
IF(AND(Table2[[#This Row],[Member Type]]="Child",Table2[[#This Row],[Product Option]]="My Value Plus Life &amp; Funeral"),"",
IF(AND(Table2[[#This Row],[Member Type]]="Child",Table2[[#This Row],[Product Option]]="My Value Plus Life &amp; Funeral",_xlfn.XLOOKUP(B300,Table2[Main Member Link ID],Table2[Benefit Name],0)=Lookups!$D$15),"",
IF(AND(OR(Table2[[#This Row],[Member Type]]="Spouse",Table2[[#This Row],[Member Type]]="Child"),Table2[[#This Row],[Product Option]]="My Value Plus Life &amp; Funeral",_xlfn.XLOOKUP(B300,Table2[Main Member Link ID],Table2[Benefit Name],0)&lt;&gt;Lookups!$D$17),
IF(_xlfn.XLOOKUP(B300,Table2[Main Member Link ID],Table2[Benefit Name],0)=0,"",_xlfn.XLOOKUP(B300,Table2[Main Member Link ID],Table2[Benefit Name],0)),""))))))</f>
        <v/>
      </c>
      <c r="AI300" s="328" t="str">
        <f>IF(AND(Table2[[#This Row],[Member Type]]="Main Member",Table2[[#This Row],[Table Lookup for Life Cover]]="MM_LIFE",Table2[[#This Row],[Age Next Birthday]]&lt;56),1,
IF(AND(Table2[[#This Row],[Member Type]]="Main Member",Table2[[#This Row],[Table Lookup for Life Cover]]="MM_LIFE",Table2[[#This Row],[Age Next Birthday]]&gt;=56),2,
""))</f>
        <v/>
      </c>
      <c r="AJ300" s="328">
        <f>IF(OR(Table2[[#This Row],[Member Type]]="Main Member",Table2[[#This Row],[Main Member Link ID]]=B299),1,0)</f>
        <v>1</v>
      </c>
      <c r="AK300" s="328">
        <f>IF(Table2[[#This Row],[Member Type]]=0,0,
IF(OR(Table2[[#This Row],[Member Type]]="Main Member",Table2[[#This Row],[Main Member Link ID]]&lt;&gt;B300),COUNTIFS(B:B,Table2[[#This Row],[Main Member Link ID]]),
COUNTIFS(B:B,Table2[[#This Row],[Main Member Link ID]],A:A,Table2[[#This Row],[Member Type]])))</f>
        <v>0</v>
      </c>
    </row>
    <row r="301" spans="1:37" x14ac:dyDescent="0.3">
      <c r="A301" s="284">
        <f>Table13[[#This Row],[Member Type]]</f>
        <v>0</v>
      </c>
      <c r="B301" s="284">
        <f>Table13[[#This Row],[Main Member Link ID]]</f>
        <v>0</v>
      </c>
      <c r="C301" s="284">
        <f>Table13[[#This Row],[ID Number]]</f>
        <v>0</v>
      </c>
      <c r="D301" s="285">
        <f>Table13[[#This Row],[Date Of Birth]]</f>
        <v>0</v>
      </c>
      <c r="E301" s="285">
        <f>Table13[[#This Row],[Commencement Date]]</f>
        <v>0</v>
      </c>
      <c r="F301" s="284">
        <f t="shared" si="28"/>
        <v>1</v>
      </c>
      <c r="G301" s="284">
        <f t="shared" si="29"/>
        <v>25</v>
      </c>
      <c r="H301" s="286">
        <f>Table13[[#This Row],[Product Option]]</f>
        <v>0</v>
      </c>
      <c r="I301" s="284">
        <f>IF(AND($A301="Main Member",Table2[[#This Row],[Product Option]]="My Value Plus Life"),"MM_LIFE",
IF(AND($A301="Spouse",Table2[[#This Row],[Product Option]]="My Value Plus Life"),"SP_LIFE",
IF(AND($A301="Main Member",Table2[[#This Row],[Product Option]]="My Value Plus Life &amp; Funeral"),"MM_LIFE",
IF(AND($A301="Spouse",Table2[[#This Row],[Product Option]]="My Value Plus Life &amp; Funeral"),_xlfn.XLOOKUP(Table2[[#This Row],[Benefit Name]],Lookups!$D$18:$D$23,Lookups!$E$18:$E$23,0),
0))))</f>
        <v>0</v>
      </c>
      <c r="J301" s="284">
        <f>IF($I301="","",
IF($I301="MM_LIFE",INDEX('Quotation Tool'!$S$54:$V$60,MATCH($T301,'Quotation Tool'!$S$54:$S$60,0),4),
IF($I301="SP_LIFE",_xlfn.XLOOKUP(B300,$B:$B,$J:$J,0),0)))</f>
        <v>0</v>
      </c>
      <c r="K301" s="287">
        <f t="shared" ca="1" si="33"/>
        <v>0</v>
      </c>
      <c r="L301" s="288">
        <f t="shared" ca="1" si="34"/>
        <v>0</v>
      </c>
      <c r="M301" s="289">
        <f t="shared" ca="1" si="30"/>
        <v>0</v>
      </c>
      <c r="N301" s="286">
        <f>Table13[[#This Row],[Benefit Option]]</f>
        <v>0</v>
      </c>
      <c r="O301" s="284">
        <f>IF(OR(Table2[[#This Row],[Member Type]]="Spouse",Table2[[#This Row],[Member Type]]="Child"),0,
IF(_xlfn.XLOOKUP($N301,Lookups!$D$13:$D$27,Lookups!$F$13:$F$27,0)=Table2[[#This Row],[Table Lookup for Life Cover]],0,
_xlfn.XLOOKUP($N301,Lookups!$D$13:$D$27,Lookups!$F$13:$F$27,0)))</f>
        <v>0</v>
      </c>
      <c r="P301" s="284">
        <f>IF(Table2[[#This Row],[Table Lookup for Funeral]]=0,0,IFERROR(INDEX('Quotation Tool'!$S$54:$V$60,MATCH($T301,'Quotation Tool'!$S$54:$S$60,0),3),0))</f>
        <v>0</v>
      </c>
      <c r="Q301" s="288">
        <f ca="1">IF(OR(Table2[[#This Row],[Benefit Name]]="My Value Plus Life - Main Member",Table2[[#This Row],[Benefit Name]]="My Value Plus Life - Spouse"),0,
IFERROR(VLOOKUP($G301,INDIRECT($O301),$P301,FALSE),0))</f>
        <v>0</v>
      </c>
      <c r="R301" s="288">
        <f ca="1">IF(OR(Table2[[#This Row],[Benefit Name]]="My Value Plus Life - Main Member",Table2[[#This Row],[Benefit Name]]="My Value Plus Life - Spouse"),0,
IFERROR(VLOOKUP($G301,INDIRECT($O301),$P301+1,FALSE),0))</f>
        <v>0</v>
      </c>
      <c r="S301" s="289">
        <f t="shared" ca="1" si="31"/>
        <v>0</v>
      </c>
      <c r="T301" s="284" t="str">
        <f>IF(Table13[[#This Row],[Premium Waiver]]="","None",Table13[[#This Row],[Premium Waiver]])</f>
        <v>None</v>
      </c>
      <c r="U301" s="284">
        <f>Table13[[#This Row],[VAPs Options]]</f>
        <v>0</v>
      </c>
      <c r="V301" s="284">
        <f>Table13[[#This Row],[Annual Increase Option]]</f>
        <v>0</v>
      </c>
      <c r="W301" s="290">
        <f>Table13[[#This Row],[Life Cover Amount]]</f>
        <v>0</v>
      </c>
      <c r="X301" s="290">
        <f>Table13[[#This Row],[Funeral Cover Amount]]</f>
        <v>0</v>
      </c>
      <c r="Y30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0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01" s="301">
        <f t="shared" ca="1" si="32"/>
        <v>0</v>
      </c>
      <c r="AB301" s="298"/>
      <c r="AC301" s="326" t="str">
        <f>IF(Table2[[#This Row],[Member Type]]="Main Member",Lookups!$C$13,
IF(Table2[[#This Row],[Member Type]]="Spouse",_xlfn.XLOOKUP(B301,Table2[Main Member Link ID],Table2[Product Option],0),
IF(AND(Table2[[#This Row],[Member Type]]="Child",_xlfn.XLOOKUP(B301,Table2[Main Member Link ID],Table2[Product Option],0)&lt;&gt;"My Value Plus Life"),Lookups!$C$24,
IF(AND(OR(Table2[[#This Row],[Member Type]]="Parent",Table2[[#This Row],[Member Type]]="Extended"),_xlfn.XLOOKUP(B301,Table2[Main Member Link ID],Table2[Product Option],0)&lt;&gt;"My Value Plus Life"),Lookups!$C$26,""))))</f>
        <v/>
      </c>
      <c r="AD301" s="326" t="str">
        <f>IF(Table2[[#This Row],[Member Type]]="Main Member",Lookups!$C$14,"")</f>
        <v/>
      </c>
      <c r="AE30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Funeral",_xlfn.XLOOKUP(B301,Table2[Main Member Link ID],Table2[Benefit Name],0)=Lookups!$D$14),"",
IF(AND(Table2[[#This Row],[Member Type]]="Spouse",Table2[[#This Row],[Product Option]]="My Value Plus Life &amp; Funeral",_xlfn.XLOOKUP(B300,Table2[Main Member Link ID],Table2[Benefit Name],0)=Lookups!$D$15),Lookups!$D$20,
IF(AND(Table2[[#This Row],[Member Type]]="Spouse",Table2[[#This Row],[Product Option]]="My Value Plus Life &amp; Funeral",_xlfn.XLOOKUP(B300,Table2[Main Member Link ID],Table2[Benefit Name],0)=Lookups!$D$16),"",
IF(AND(Table2[[#This Row],[Member Type]]="Spouse",Table2[[#This Row],[Product Option]]="My Value Plus Life &amp; Funeral",_xlfn.XLOOKUP(B300,Table2[Main Member Link ID],Table2[Benefit Name],0)=Lookups!$D$17),Lookups!$D$21,
IF(AND(Table2[[#This Row],[Member Type]]="Child",Table2[[#This Row],[Product Option]]="My Value Plus Life &amp; Funeral",_xlfn.XLOOKUP(B301,Table2[Main Member Link ID],Table2[Benefit Name],0)=Lookups!$D$14),"",
IF(AND(Table2[[#This Row],[Member Type]]="Child",Table2[[#This Row],[Product Option]]="My Value Plus Life &amp; Funeral",_xlfn.XLOOKUP(B301,Table2[Main Member Link ID],Table2[Benefit Name],0)=Lookups!$D$15),"",
IF(AND(Table2[[#This Row],[Member Type]]="Child",Table2[[#This Row],[Product Option]]="My Value Plus Life &amp; Funeral",_xlfn.XLOOKUP(B301,Table2[Main Member Link ID],Table2[Benefit Name],0)=Lookups!$D$16),Lookups!$D$24,
IF(AND(Table2[[#This Row],[Member Type]]="Child",Table2[[#This Row],[Product Option]]="My Value Plus Life &amp; Funeral",_xlfn.XLOOKUP(B301,Table2[Main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Funeral",_xlfn.XLOOKUP(B301,Table2[Main Member Link ID],Table2[Benefit Name],0)&lt;&gt;Lookups!$D$14),
IF(_xlfn.XLOOKUP(B301,Table2[Main Member Link ID],Table2[Benefit Name],0)=0,"",_xlfn.XLOOKUP(B301,Table2[Main Member Link ID],Table2[Benefit Name],0)),"")))))))))))))))</f>
        <v/>
      </c>
      <c r="AF301" s="327" t="str">
        <f>IF(AND(Table2[[#This Row],[Member Type]]="Main Member",Table2[[#This Row],[Product Option]]="My Value Plus Life &amp; Funeral"),Lookups!$D$15,
IF(AND(Table2[[#This Row],[Member Type]]="Spouse",Table2[[#This Row],[Product Option]]="My Value Plus Life &amp; Funeral",_xlfn.XLOOKUP(B301,Table2[Main Member Link ID],Table2[Benefit Name],0)=Lookups!$D$14),"",
IF(AND(Table2[[#This Row],[Member Type]]="Spouse",Table2[[#This Row],[Product Option]]="My Value Plus Life &amp; Funeral",_xlfn.XLOOKUP(B300,Table2[Main Member Link ID],Table2[Benefit Name],0)=Lookups!$D$16),"",
IF(AND(Table2[[#This Row],[Member Type]]="Spouse",Table2[[#This Row],[Product Option]]="My Value Plus Life &amp; Funeral",_xlfn.XLOOKUP(B300,Table2[Main Member Link ID],Table2[Benefit Name],0)=Lookups!$D$15),"",
IF(AND(Table2[[#This Row],[Member Type]]="Spouse",Table2[[#This Row],[Product Option]]="My Value Plus Life &amp; Funeral",_xlfn.XLOOKUP(B300,Table2[Main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Funeral",_xlfn.XLOOKUP(B301,Table2[Main Member Link ID],Table2[Benefit Name],0)&lt;&gt;Lookups!$D$15),
IF(_xlfn.XLOOKUP(B301,Table2[Main Member Link ID],Table2[Benefit Name],0)=0,"",_xlfn.XLOOKUP(B301,Table2[Main Member Link ID],Table2[Benefit Name],0)),"")
))))))</f>
        <v/>
      </c>
      <c r="AG301" s="327" t="str">
        <f>IF(AND(Table2[[#This Row],[Member Type]]="Main Member",Table2[[#This Row],[Product Option]]="My Value Plus Life &amp; Funeral"),Lookups!$D$16,
IF(AND(Table2[[#This Row],[Member Type]]="Spouse",Table2[[#This Row],[Product Option]]="My Value Plus Life &amp; Funeral",_xlfn.XLOOKUP(B301,Table2[Main Member Link ID],Table2[Benefit Name],0)=Lookups!$D$14),"",
IF(AND(Table2[[#This Row],[Member Type]]="Spouse",Table2[[#This Row],[Product Option]]="My Value Plus Life &amp; Funeral",_xlfn.XLOOKUP(B300,Table2[Main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Funeral",_xlfn.XLOOKUP(B301,Table2[Main Member Link ID],Table2[Benefit Name],0)&lt;&gt;Lookups!$D$16),
IF(_xlfn.XLOOKUP(B301,Table2[Main Member Link ID],Table2[Benefit Name],0)=0,"",_xlfn.XLOOKUP(B301,Table2[Main Member Link ID],Table2[Benefit Name],0)),"")
))))</f>
        <v/>
      </c>
      <c r="AH301" s="327" t="str">
        <f>IF(AND(Table2[[#This Row],[Member Type]]="Main Member",Table2[[#This Row],[Product Option]]="My Value Plus Life &amp; Funeral"),Lookups!$D$17,
IF(AND(Table2[[#This Row],[Member Type]]="Spouse",Table2[[#This Row],[Product Option]]="My Value Plus Life &amp; Funeral",_xlfn.XLOOKUP(B301,Table2[Main Member Link ID],Table2[Benefit Name],0)=Lookups!$D$14),"",
IF(AND(Table2[[#This Row],[Member Type]]="Spouse",Table2[[#This Row],[Product Option]]="My Value Plus Life &amp; Funeral",_xlfn.XLOOKUP(B300,Table2[Main Member Link ID],Table2[Benefit Name],0)=Lookups!$D$16),"",
IF(AND(Table2[[#This Row],[Member Type]]="Child",Table2[[#This Row],[Product Option]]="My Value Plus Life &amp; Funeral"),"",
IF(AND(Table2[[#This Row],[Member Type]]="Child",Table2[[#This Row],[Product Option]]="My Value Plus Life &amp; Funeral",_xlfn.XLOOKUP(B301,Table2[Main Member Link ID],Table2[Benefit Name],0)=Lookups!$D$15),"",
IF(AND(OR(Table2[[#This Row],[Member Type]]="Spouse",Table2[[#This Row],[Member Type]]="Child"),Table2[[#This Row],[Product Option]]="My Value Plus Life &amp; Funeral",_xlfn.XLOOKUP(B301,Table2[Main Member Link ID],Table2[Benefit Name],0)&lt;&gt;Lookups!$D$17),
IF(_xlfn.XLOOKUP(B301,Table2[Main Member Link ID],Table2[Benefit Name],0)=0,"",_xlfn.XLOOKUP(B301,Table2[Main Member Link ID],Table2[Benefit Name],0)),""))))))</f>
        <v/>
      </c>
      <c r="AI301" s="328" t="str">
        <f>IF(AND(Table2[[#This Row],[Member Type]]="Main Member",Table2[[#This Row],[Table Lookup for Life Cover]]="MM_LIFE",Table2[[#This Row],[Age Next Birthday]]&lt;56),1,
IF(AND(Table2[[#This Row],[Member Type]]="Main Member",Table2[[#This Row],[Table Lookup for Life Cover]]="MM_LIFE",Table2[[#This Row],[Age Next Birthday]]&gt;=56),2,
""))</f>
        <v/>
      </c>
      <c r="AJ301" s="328">
        <f>IF(OR(Table2[[#This Row],[Member Type]]="Main Member",Table2[[#This Row],[Main Member Link ID]]=B300),1,0)</f>
        <v>1</v>
      </c>
      <c r="AK301" s="328">
        <f>IF(Table2[[#This Row],[Member Type]]=0,0,
IF(OR(Table2[[#This Row],[Member Type]]="Main Member",Table2[[#This Row],[Main Member Link ID]]&lt;&gt;B301),COUNTIFS(B:B,Table2[[#This Row],[Main Member Link ID]]),
COUNTIFS(B:B,Table2[[#This Row],[Main Member Link ID]],A:A,Table2[[#This Row],[Member Type]])))</f>
        <v>0</v>
      </c>
    </row>
    <row r="302" spans="1:37" x14ac:dyDescent="0.3">
      <c r="A302" s="284">
        <f>Table13[[#This Row],[Member Type]]</f>
        <v>0</v>
      </c>
      <c r="B302" s="284">
        <f>Table13[[#This Row],[Main Member Link ID]]</f>
        <v>0</v>
      </c>
      <c r="C302" s="284">
        <f>Table13[[#This Row],[ID Number]]</f>
        <v>0</v>
      </c>
      <c r="D302" s="285">
        <f>Table13[[#This Row],[Date Of Birth]]</f>
        <v>0</v>
      </c>
      <c r="E302" s="285">
        <f>Table13[[#This Row],[Commencement Date]]</f>
        <v>0</v>
      </c>
      <c r="F302" s="284">
        <f t="shared" si="28"/>
        <v>1</v>
      </c>
      <c r="G302" s="284">
        <f t="shared" si="29"/>
        <v>25</v>
      </c>
      <c r="H302" s="286">
        <f>Table13[[#This Row],[Product Option]]</f>
        <v>0</v>
      </c>
      <c r="I302" s="284">
        <f>IF(AND($A302="Main Member",Table2[[#This Row],[Product Option]]="My Value Plus Life"),"MM_LIFE",
IF(AND($A302="Spouse",Table2[[#This Row],[Product Option]]="My Value Plus Life"),"SP_LIFE",
IF(AND($A302="Main Member",Table2[[#This Row],[Product Option]]="My Value Plus Life &amp; Funeral"),"MM_LIFE",
IF(AND($A302="Spouse",Table2[[#This Row],[Product Option]]="My Value Plus Life &amp; Funeral"),_xlfn.XLOOKUP(Table2[[#This Row],[Benefit Name]],Lookups!$D$18:$D$23,Lookups!$E$18:$E$23,0),
0))))</f>
        <v>0</v>
      </c>
      <c r="J302" s="284">
        <f>IF($I302="","",
IF($I302="MM_LIFE",INDEX('Quotation Tool'!$S$54:$V$60,MATCH($T302,'Quotation Tool'!$S$54:$S$60,0),4),
IF($I302="SP_LIFE",_xlfn.XLOOKUP(B301,$B:$B,$J:$J,0),0)))</f>
        <v>0</v>
      </c>
      <c r="K302" s="287">
        <f t="shared" ca="1" si="33"/>
        <v>0</v>
      </c>
      <c r="L302" s="288">
        <f t="shared" ca="1" si="34"/>
        <v>0</v>
      </c>
      <c r="M302" s="289">
        <f t="shared" ca="1" si="30"/>
        <v>0</v>
      </c>
      <c r="N302" s="286">
        <f>Table13[[#This Row],[Benefit Option]]</f>
        <v>0</v>
      </c>
      <c r="O302" s="284">
        <f>IF(OR(Table2[[#This Row],[Member Type]]="Spouse",Table2[[#This Row],[Member Type]]="Child"),0,
IF(_xlfn.XLOOKUP($N302,Lookups!$D$13:$D$27,Lookups!$F$13:$F$27,0)=Table2[[#This Row],[Table Lookup for Life Cover]],0,
_xlfn.XLOOKUP($N302,Lookups!$D$13:$D$27,Lookups!$F$13:$F$27,0)))</f>
        <v>0</v>
      </c>
      <c r="P302" s="284">
        <f>IF(Table2[[#This Row],[Table Lookup for Funeral]]=0,0,IFERROR(INDEX('Quotation Tool'!$S$54:$V$60,MATCH($T302,'Quotation Tool'!$S$54:$S$60,0),3),0))</f>
        <v>0</v>
      </c>
      <c r="Q302" s="288">
        <f ca="1">IF(OR(Table2[[#This Row],[Benefit Name]]="My Value Plus Life - Main Member",Table2[[#This Row],[Benefit Name]]="My Value Plus Life - Spouse"),0,
IFERROR(VLOOKUP($G302,INDIRECT($O302),$P302,FALSE),0))</f>
        <v>0</v>
      </c>
      <c r="R302" s="288">
        <f ca="1">IF(OR(Table2[[#This Row],[Benefit Name]]="My Value Plus Life - Main Member",Table2[[#This Row],[Benefit Name]]="My Value Plus Life - Spouse"),0,
IFERROR(VLOOKUP($G302,INDIRECT($O302),$P302+1,FALSE),0))</f>
        <v>0</v>
      </c>
      <c r="S302" s="289">
        <f t="shared" ca="1" si="31"/>
        <v>0</v>
      </c>
      <c r="T302" s="284" t="str">
        <f>IF(Table13[[#This Row],[Premium Waiver]]="","None",Table13[[#This Row],[Premium Waiver]])</f>
        <v>None</v>
      </c>
      <c r="U302" s="284">
        <f>Table13[[#This Row],[VAPs Options]]</f>
        <v>0</v>
      </c>
      <c r="V302" s="284">
        <f>Table13[[#This Row],[Annual Increase Option]]</f>
        <v>0</v>
      </c>
      <c r="W302" s="290">
        <f>Table13[[#This Row],[Life Cover Amount]]</f>
        <v>0</v>
      </c>
      <c r="X302" s="290">
        <f>Table13[[#This Row],[Funeral Cover Amount]]</f>
        <v>0</v>
      </c>
      <c r="Y30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0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02" s="301">
        <f t="shared" ca="1" si="32"/>
        <v>0</v>
      </c>
      <c r="AB302" s="298"/>
      <c r="AC302" s="326" t="str">
        <f>IF(Table2[[#This Row],[Member Type]]="Main Member",Lookups!$C$13,
IF(Table2[[#This Row],[Member Type]]="Spouse",_xlfn.XLOOKUP(B302,Table2[Main Member Link ID],Table2[Product Option],0),
IF(AND(Table2[[#This Row],[Member Type]]="Child",_xlfn.XLOOKUP(B302,Table2[Main Member Link ID],Table2[Product Option],0)&lt;&gt;"My Value Plus Life"),Lookups!$C$24,
IF(AND(OR(Table2[[#This Row],[Member Type]]="Parent",Table2[[#This Row],[Member Type]]="Extended"),_xlfn.XLOOKUP(B302,Table2[Main Member Link ID],Table2[Product Option],0)&lt;&gt;"My Value Plus Life"),Lookups!$C$26,""))))</f>
        <v/>
      </c>
      <c r="AD302" s="326" t="str">
        <f>IF(Table2[[#This Row],[Member Type]]="Main Member",Lookups!$C$14,"")</f>
        <v/>
      </c>
      <c r="AE30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Funeral",_xlfn.XLOOKUP(B302,Table2[Main Member Link ID],Table2[Benefit Name],0)=Lookups!$D$14),"",
IF(AND(Table2[[#This Row],[Member Type]]="Spouse",Table2[[#This Row],[Product Option]]="My Value Plus Life &amp; Funeral",_xlfn.XLOOKUP(B301,Table2[Main Member Link ID],Table2[Benefit Name],0)=Lookups!$D$15),Lookups!$D$20,
IF(AND(Table2[[#This Row],[Member Type]]="Spouse",Table2[[#This Row],[Product Option]]="My Value Plus Life &amp; Funeral",_xlfn.XLOOKUP(B301,Table2[Main Member Link ID],Table2[Benefit Name],0)=Lookups!$D$16),"",
IF(AND(Table2[[#This Row],[Member Type]]="Spouse",Table2[[#This Row],[Product Option]]="My Value Plus Life &amp; Funeral",_xlfn.XLOOKUP(B301,Table2[Main Member Link ID],Table2[Benefit Name],0)=Lookups!$D$17),Lookups!$D$21,
IF(AND(Table2[[#This Row],[Member Type]]="Child",Table2[[#This Row],[Product Option]]="My Value Plus Life &amp; Funeral",_xlfn.XLOOKUP(B302,Table2[Main Member Link ID],Table2[Benefit Name],0)=Lookups!$D$14),"",
IF(AND(Table2[[#This Row],[Member Type]]="Child",Table2[[#This Row],[Product Option]]="My Value Plus Life &amp; Funeral",_xlfn.XLOOKUP(B302,Table2[Main Member Link ID],Table2[Benefit Name],0)=Lookups!$D$15),"",
IF(AND(Table2[[#This Row],[Member Type]]="Child",Table2[[#This Row],[Product Option]]="My Value Plus Life &amp; Funeral",_xlfn.XLOOKUP(B302,Table2[Main Member Link ID],Table2[Benefit Name],0)=Lookups!$D$16),Lookups!$D$24,
IF(AND(Table2[[#This Row],[Member Type]]="Child",Table2[[#This Row],[Product Option]]="My Value Plus Life &amp; Funeral",_xlfn.XLOOKUP(B302,Table2[Main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Funeral",_xlfn.XLOOKUP(B302,Table2[Main Member Link ID],Table2[Benefit Name],0)&lt;&gt;Lookups!$D$14),
IF(_xlfn.XLOOKUP(B302,Table2[Main Member Link ID],Table2[Benefit Name],0)=0,"",_xlfn.XLOOKUP(B302,Table2[Main Member Link ID],Table2[Benefit Name],0)),"")))))))))))))))</f>
        <v/>
      </c>
      <c r="AF302" s="327" t="str">
        <f>IF(AND(Table2[[#This Row],[Member Type]]="Main Member",Table2[[#This Row],[Product Option]]="My Value Plus Life &amp; Funeral"),Lookups!$D$15,
IF(AND(Table2[[#This Row],[Member Type]]="Spouse",Table2[[#This Row],[Product Option]]="My Value Plus Life &amp; Funeral",_xlfn.XLOOKUP(B302,Table2[Main Member Link ID],Table2[Benefit Name],0)=Lookups!$D$14),"",
IF(AND(Table2[[#This Row],[Member Type]]="Spouse",Table2[[#This Row],[Product Option]]="My Value Plus Life &amp; Funeral",_xlfn.XLOOKUP(B301,Table2[Main Member Link ID],Table2[Benefit Name],0)=Lookups!$D$16),"",
IF(AND(Table2[[#This Row],[Member Type]]="Spouse",Table2[[#This Row],[Product Option]]="My Value Plus Life &amp; Funeral",_xlfn.XLOOKUP(B301,Table2[Main Member Link ID],Table2[Benefit Name],0)=Lookups!$D$15),"",
IF(AND(Table2[[#This Row],[Member Type]]="Spouse",Table2[[#This Row],[Product Option]]="My Value Plus Life &amp; Funeral",_xlfn.XLOOKUP(B301,Table2[Main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Funeral",_xlfn.XLOOKUP(B302,Table2[Main Member Link ID],Table2[Benefit Name],0)&lt;&gt;Lookups!$D$15),
IF(_xlfn.XLOOKUP(B302,Table2[Main Member Link ID],Table2[Benefit Name],0)=0,"",_xlfn.XLOOKUP(B302,Table2[Main Member Link ID],Table2[Benefit Name],0)),"")
))))))</f>
        <v/>
      </c>
      <c r="AG302" s="327" t="str">
        <f>IF(AND(Table2[[#This Row],[Member Type]]="Main Member",Table2[[#This Row],[Product Option]]="My Value Plus Life &amp; Funeral"),Lookups!$D$16,
IF(AND(Table2[[#This Row],[Member Type]]="Spouse",Table2[[#This Row],[Product Option]]="My Value Plus Life &amp; Funeral",_xlfn.XLOOKUP(B302,Table2[Main Member Link ID],Table2[Benefit Name],0)=Lookups!$D$14),"",
IF(AND(Table2[[#This Row],[Member Type]]="Spouse",Table2[[#This Row],[Product Option]]="My Value Plus Life &amp; Funeral",_xlfn.XLOOKUP(B301,Table2[Main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Funeral",_xlfn.XLOOKUP(B302,Table2[Main Member Link ID],Table2[Benefit Name],0)&lt;&gt;Lookups!$D$16),
IF(_xlfn.XLOOKUP(B302,Table2[Main Member Link ID],Table2[Benefit Name],0)=0,"",_xlfn.XLOOKUP(B302,Table2[Main Member Link ID],Table2[Benefit Name],0)),"")
))))</f>
        <v/>
      </c>
      <c r="AH302" s="327" t="str">
        <f>IF(AND(Table2[[#This Row],[Member Type]]="Main Member",Table2[[#This Row],[Product Option]]="My Value Plus Life &amp; Funeral"),Lookups!$D$17,
IF(AND(Table2[[#This Row],[Member Type]]="Spouse",Table2[[#This Row],[Product Option]]="My Value Plus Life &amp; Funeral",_xlfn.XLOOKUP(B302,Table2[Main Member Link ID],Table2[Benefit Name],0)=Lookups!$D$14),"",
IF(AND(Table2[[#This Row],[Member Type]]="Spouse",Table2[[#This Row],[Product Option]]="My Value Plus Life &amp; Funeral",_xlfn.XLOOKUP(B301,Table2[Main Member Link ID],Table2[Benefit Name],0)=Lookups!$D$16),"",
IF(AND(Table2[[#This Row],[Member Type]]="Child",Table2[[#This Row],[Product Option]]="My Value Plus Life &amp; Funeral"),"",
IF(AND(Table2[[#This Row],[Member Type]]="Child",Table2[[#This Row],[Product Option]]="My Value Plus Life &amp; Funeral",_xlfn.XLOOKUP(B302,Table2[Main Member Link ID],Table2[Benefit Name],0)=Lookups!$D$15),"",
IF(AND(OR(Table2[[#This Row],[Member Type]]="Spouse",Table2[[#This Row],[Member Type]]="Child"),Table2[[#This Row],[Product Option]]="My Value Plus Life &amp; Funeral",_xlfn.XLOOKUP(B302,Table2[Main Member Link ID],Table2[Benefit Name],0)&lt;&gt;Lookups!$D$17),
IF(_xlfn.XLOOKUP(B302,Table2[Main Member Link ID],Table2[Benefit Name],0)=0,"",_xlfn.XLOOKUP(B302,Table2[Main Member Link ID],Table2[Benefit Name],0)),""))))))</f>
        <v/>
      </c>
      <c r="AI302" s="328" t="str">
        <f>IF(AND(Table2[[#This Row],[Member Type]]="Main Member",Table2[[#This Row],[Table Lookup for Life Cover]]="MM_LIFE",Table2[[#This Row],[Age Next Birthday]]&lt;56),1,
IF(AND(Table2[[#This Row],[Member Type]]="Main Member",Table2[[#This Row],[Table Lookup for Life Cover]]="MM_LIFE",Table2[[#This Row],[Age Next Birthday]]&gt;=56),2,
""))</f>
        <v/>
      </c>
      <c r="AJ302" s="328">
        <f>IF(OR(Table2[[#This Row],[Member Type]]="Main Member",Table2[[#This Row],[Main Member Link ID]]=B301),1,0)</f>
        <v>1</v>
      </c>
      <c r="AK302" s="328">
        <f>IF(Table2[[#This Row],[Member Type]]=0,0,
IF(OR(Table2[[#This Row],[Member Type]]="Main Member",Table2[[#This Row],[Main Member Link ID]]&lt;&gt;B302),COUNTIFS(B:B,Table2[[#This Row],[Main Member Link ID]]),
COUNTIFS(B:B,Table2[[#This Row],[Main Member Link ID]],A:A,Table2[[#This Row],[Member Type]])))</f>
        <v>0</v>
      </c>
    </row>
    <row r="303" spans="1:37" x14ac:dyDescent="0.3">
      <c r="A303" s="284">
        <f>Table13[[#This Row],[Member Type]]</f>
        <v>0</v>
      </c>
      <c r="B303" s="284">
        <f>Table13[[#This Row],[Main Member Link ID]]</f>
        <v>0</v>
      </c>
      <c r="C303" s="284">
        <f>Table13[[#This Row],[ID Number]]</f>
        <v>0</v>
      </c>
      <c r="D303" s="285">
        <f>Table13[[#This Row],[Date Of Birth]]</f>
        <v>0</v>
      </c>
      <c r="E303" s="285">
        <f>Table13[[#This Row],[Commencement Date]]</f>
        <v>0</v>
      </c>
      <c r="F303" s="284">
        <f t="shared" si="28"/>
        <v>1</v>
      </c>
      <c r="G303" s="284">
        <f t="shared" si="29"/>
        <v>25</v>
      </c>
      <c r="H303" s="286">
        <f>Table13[[#This Row],[Product Option]]</f>
        <v>0</v>
      </c>
      <c r="I303" s="284">
        <f>IF(AND($A303="Main Member",Table2[[#This Row],[Product Option]]="My Value Plus Life"),"MM_LIFE",
IF(AND($A303="Spouse",Table2[[#This Row],[Product Option]]="My Value Plus Life"),"SP_LIFE",
IF(AND($A303="Main Member",Table2[[#This Row],[Product Option]]="My Value Plus Life &amp; Funeral"),"MM_LIFE",
IF(AND($A303="Spouse",Table2[[#This Row],[Product Option]]="My Value Plus Life &amp; Funeral"),_xlfn.XLOOKUP(Table2[[#This Row],[Benefit Name]],Lookups!$D$18:$D$23,Lookups!$E$18:$E$23,0),
0))))</f>
        <v>0</v>
      </c>
      <c r="J303" s="284">
        <f>IF($I303="","",
IF($I303="MM_LIFE",INDEX('Quotation Tool'!$S$54:$V$60,MATCH($T303,'Quotation Tool'!$S$54:$S$60,0),4),
IF($I303="SP_LIFE",_xlfn.XLOOKUP(B302,$B:$B,$J:$J,0),0)))</f>
        <v>0</v>
      </c>
      <c r="K303" s="287">
        <f t="shared" ca="1" si="33"/>
        <v>0</v>
      </c>
      <c r="L303" s="288">
        <f t="shared" ca="1" si="34"/>
        <v>0</v>
      </c>
      <c r="M303" s="289">
        <f t="shared" ca="1" si="30"/>
        <v>0</v>
      </c>
      <c r="N303" s="286">
        <f>Table13[[#This Row],[Benefit Option]]</f>
        <v>0</v>
      </c>
      <c r="O303" s="284">
        <f>IF(OR(Table2[[#This Row],[Member Type]]="Spouse",Table2[[#This Row],[Member Type]]="Child"),0,
IF(_xlfn.XLOOKUP($N303,Lookups!$D$13:$D$27,Lookups!$F$13:$F$27,0)=Table2[[#This Row],[Table Lookup for Life Cover]],0,
_xlfn.XLOOKUP($N303,Lookups!$D$13:$D$27,Lookups!$F$13:$F$27,0)))</f>
        <v>0</v>
      </c>
      <c r="P303" s="284">
        <f>IF(Table2[[#This Row],[Table Lookup for Funeral]]=0,0,IFERROR(INDEX('Quotation Tool'!$S$54:$V$60,MATCH($T303,'Quotation Tool'!$S$54:$S$60,0),3),0))</f>
        <v>0</v>
      </c>
      <c r="Q303" s="288">
        <f ca="1">IF(OR(Table2[[#This Row],[Benefit Name]]="My Value Plus Life - Main Member",Table2[[#This Row],[Benefit Name]]="My Value Plus Life - Spouse"),0,
IFERROR(VLOOKUP($G303,INDIRECT($O303),$P303,FALSE),0))</f>
        <v>0</v>
      </c>
      <c r="R303" s="288">
        <f ca="1">IF(OR(Table2[[#This Row],[Benefit Name]]="My Value Plus Life - Main Member",Table2[[#This Row],[Benefit Name]]="My Value Plus Life - Spouse"),0,
IFERROR(VLOOKUP($G303,INDIRECT($O303),$P303+1,FALSE),0))</f>
        <v>0</v>
      </c>
      <c r="S303" s="289">
        <f t="shared" ca="1" si="31"/>
        <v>0</v>
      </c>
      <c r="T303" s="284" t="str">
        <f>IF(Table13[[#This Row],[Premium Waiver]]="","None",Table13[[#This Row],[Premium Waiver]])</f>
        <v>None</v>
      </c>
      <c r="U303" s="284">
        <f>Table13[[#This Row],[VAPs Options]]</f>
        <v>0</v>
      </c>
      <c r="V303" s="284">
        <f>Table13[[#This Row],[Annual Increase Option]]</f>
        <v>0</v>
      </c>
      <c r="W303" s="290">
        <f>Table13[[#This Row],[Life Cover Amount]]</f>
        <v>0</v>
      </c>
      <c r="X303" s="290">
        <f>Table13[[#This Row],[Funeral Cover Amount]]</f>
        <v>0</v>
      </c>
      <c r="Y30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0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03" s="301">
        <f t="shared" ca="1" si="32"/>
        <v>0</v>
      </c>
      <c r="AB303" s="298"/>
      <c r="AC303" s="326" t="str">
        <f>IF(Table2[[#This Row],[Member Type]]="Main Member",Lookups!$C$13,
IF(Table2[[#This Row],[Member Type]]="Spouse",_xlfn.XLOOKUP(B303,Table2[Main Member Link ID],Table2[Product Option],0),
IF(AND(Table2[[#This Row],[Member Type]]="Child",_xlfn.XLOOKUP(B303,Table2[Main Member Link ID],Table2[Product Option],0)&lt;&gt;"My Value Plus Life"),Lookups!$C$24,
IF(AND(OR(Table2[[#This Row],[Member Type]]="Parent",Table2[[#This Row],[Member Type]]="Extended"),_xlfn.XLOOKUP(B303,Table2[Main Member Link ID],Table2[Product Option],0)&lt;&gt;"My Value Plus Life"),Lookups!$C$26,""))))</f>
        <v/>
      </c>
      <c r="AD303" s="326" t="str">
        <f>IF(Table2[[#This Row],[Member Type]]="Main Member",Lookups!$C$14,"")</f>
        <v/>
      </c>
      <c r="AE30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Funeral",_xlfn.XLOOKUP(B303,Table2[Main Member Link ID],Table2[Benefit Name],0)=Lookups!$D$14),"",
IF(AND(Table2[[#This Row],[Member Type]]="Spouse",Table2[[#This Row],[Product Option]]="My Value Plus Life &amp; Funeral",_xlfn.XLOOKUP(B302,Table2[Main Member Link ID],Table2[Benefit Name],0)=Lookups!$D$15),Lookups!$D$20,
IF(AND(Table2[[#This Row],[Member Type]]="Spouse",Table2[[#This Row],[Product Option]]="My Value Plus Life &amp; Funeral",_xlfn.XLOOKUP(B302,Table2[Main Member Link ID],Table2[Benefit Name],0)=Lookups!$D$16),"",
IF(AND(Table2[[#This Row],[Member Type]]="Spouse",Table2[[#This Row],[Product Option]]="My Value Plus Life &amp; Funeral",_xlfn.XLOOKUP(B302,Table2[Main Member Link ID],Table2[Benefit Name],0)=Lookups!$D$17),Lookups!$D$21,
IF(AND(Table2[[#This Row],[Member Type]]="Child",Table2[[#This Row],[Product Option]]="My Value Plus Life &amp; Funeral",_xlfn.XLOOKUP(B303,Table2[Main Member Link ID],Table2[Benefit Name],0)=Lookups!$D$14),"",
IF(AND(Table2[[#This Row],[Member Type]]="Child",Table2[[#This Row],[Product Option]]="My Value Plus Life &amp; Funeral",_xlfn.XLOOKUP(B303,Table2[Main Member Link ID],Table2[Benefit Name],0)=Lookups!$D$15),"",
IF(AND(Table2[[#This Row],[Member Type]]="Child",Table2[[#This Row],[Product Option]]="My Value Plus Life &amp; Funeral",_xlfn.XLOOKUP(B303,Table2[Main Member Link ID],Table2[Benefit Name],0)=Lookups!$D$16),Lookups!$D$24,
IF(AND(Table2[[#This Row],[Member Type]]="Child",Table2[[#This Row],[Product Option]]="My Value Plus Life &amp; Funeral",_xlfn.XLOOKUP(B303,Table2[Main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Funeral",_xlfn.XLOOKUP(B303,Table2[Main Member Link ID],Table2[Benefit Name],0)&lt;&gt;Lookups!$D$14),
IF(_xlfn.XLOOKUP(B303,Table2[Main Member Link ID],Table2[Benefit Name],0)=0,"",_xlfn.XLOOKUP(B303,Table2[Main Member Link ID],Table2[Benefit Name],0)),"")))))))))))))))</f>
        <v/>
      </c>
      <c r="AF303" s="327" t="str">
        <f>IF(AND(Table2[[#This Row],[Member Type]]="Main Member",Table2[[#This Row],[Product Option]]="My Value Plus Life &amp; Funeral"),Lookups!$D$15,
IF(AND(Table2[[#This Row],[Member Type]]="Spouse",Table2[[#This Row],[Product Option]]="My Value Plus Life &amp; Funeral",_xlfn.XLOOKUP(B303,Table2[Main Member Link ID],Table2[Benefit Name],0)=Lookups!$D$14),"",
IF(AND(Table2[[#This Row],[Member Type]]="Spouse",Table2[[#This Row],[Product Option]]="My Value Plus Life &amp; Funeral",_xlfn.XLOOKUP(B302,Table2[Main Member Link ID],Table2[Benefit Name],0)=Lookups!$D$16),"",
IF(AND(Table2[[#This Row],[Member Type]]="Spouse",Table2[[#This Row],[Product Option]]="My Value Plus Life &amp; Funeral",_xlfn.XLOOKUP(B302,Table2[Main Member Link ID],Table2[Benefit Name],0)=Lookups!$D$15),"",
IF(AND(Table2[[#This Row],[Member Type]]="Spouse",Table2[[#This Row],[Product Option]]="My Value Plus Life &amp; Funeral",_xlfn.XLOOKUP(B302,Table2[Main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Funeral",_xlfn.XLOOKUP(B303,Table2[Main Member Link ID],Table2[Benefit Name],0)&lt;&gt;Lookups!$D$15),
IF(_xlfn.XLOOKUP(B303,Table2[Main Member Link ID],Table2[Benefit Name],0)=0,"",_xlfn.XLOOKUP(B303,Table2[Main Member Link ID],Table2[Benefit Name],0)),"")
))))))</f>
        <v/>
      </c>
      <c r="AG303" s="327" t="str">
        <f>IF(AND(Table2[[#This Row],[Member Type]]="Main Member",Table2[[#This Row],[Product Option]]="My Value Plus Life &amp; Funeral"),Lookups!$D$16,
IF(AND(Table2[[#This Row],[Member Type]]="Spouse",Table2[[#This Row],[Product Option]]="My Value Plus Life &amp; Funeral",_xlfn.XLOOKUP(B303,Table2[Main Member Link ID],Table2[Benefit Name],0)=Lookups!$D$14),"",
IF(AND(Table2[[#This Row],[Member Type]]="Spouse",Table2[[#This Row],[Product Option]]="My Value Plus Life &amp; Funeral",_xlfn.XLOOKUP(B302,Table2[Main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Funeral",_xlfn.XLOOKUP(B303,Table2[Main Member Link ID],Table2[Benefit Name],0)&lt;&gt;Lookups!$D$16),
IF(_xlfn.XLOOKUP(B303,Table2[Main Member Link ID],Table2[Benefit Name],0)=0,"",_xlfn.XLOOKUP(B303,Table2[Main Member Link ID],Table2[Benefit Name],0)),"")
))))</f>
        <v/>
      </c>
      <c r="AH303" s="327" t="str">
        <f>IF(AND(Table2[[#This Row],[Member Type]]="Main Member",Table2[[#This Row],[Product Option]]="My Value Plus Life &amp; Funeral"),Lookups!$D$17,
IF(AND(Table2[[#This Row],[Member Type]]="Spouse",Table2[[#This Row],[Product Option]]="My Value Plus Life &amp; Funeral",_xlfn.XLOOKUP(B303,Table2[Main Member Link ID],Table2[Benefit Name],0)=Lookups!$D$14),"",
IF(AND(Table2[[#This Row],[Member Type]]="Spouse",Table2[[#This Row],[Product Option]]="My Value Plus Life &amp; Funeral",_xlfn.XLOOKUP(B302,Table2[Main Member Link ID],Table2[Benefit Name],0)=Lookups!$D$16),"",
IF(AND(Table2[[#This Row],[Member Type]]="Child",Table2[[#This Row],[Product Option]]="My Value Plus Life &amp; Funeral"),"",
IF(AND(Table2[[#This Row],[Member Type]]="Child",Table2[[#This Row],[Product Option]]="My Value Plus Life &amp; Funeral",_xlfn.XLOOKUP(B303,Table2[Main Member Link ID],Table2[Benefit Name],0)=Lookups!$D$15),"",
IF(AND(OR(Table2[[#This Row],[Member Type]]="Spouse",Table2[[#This Row],[Member Type]]="Child"),Table2[[#This Row],[Product Option]]="My Value Plus Life &amp; Funeral",_xlfn.XLOOKUP(B303,Table2[Main Member Link ID],Table2[Benefit Name],0)&lt;&gt;Lookups!$D$17),
IF(_xlfn.XLOOKUP(B303,Table2[Main Member Link ID],Table2[Benefit Name],0)=0,"",_xlfn.XLOOKUP(B303,Table2[Main Member Link ID],Table2[Benefit Name],0)),""))))))</f>
        <v/>
      </c>
      <c r="AI303" s="328" t="str">
        <f>IF(AND(Table2[[#This Row],[Member Type]]="Main Member",Table2[[#This Row],[Table Lookup for Life Cover]]="MM_LIFE",Table2[[#This Row],[Age Next Birthday]]&lt;56),1,
IF(AND(Table2[[#This Row],[Member Type]]="Main Member",Table2[[#This Row],[Table Lookup for Life Cover]]="MM_LIFE",Table2[[#This Row],[Age Next Birthday]]&gt;=56),2,
""))</f>
        <v/>
      </c>
      <c r="AJ303" s="328">
        <f>IF(OR(Table2[[#This Row],[Member Type]]="Main Member",Table2[[#This Row],[Main Member Link ID]]=B302),1,0)</f>
        <v>1</v>
      </c>
      <c r="AK303" s="328">
        <f>IF(Table2[[#This Row],[Member Type]]=0,0,
IF(OR(Table2[[#This Row],[Member Type]]="Main Member",Table2[[#This Row],[Main Member Link ID]]&lt;&gt;B303),COUNTIFS(B:B,Table2[[#This Row],[Main Member Link ID]]),
COUNTIFS(B:B,Table2[[#This Row],[Main Member Link ID]],A:A,Table2[[#This Row],[Member Type]])))</f>
        <v>0</v>
      </c>
    </row>
    <row r="304" spans="1:37" x14ac:dyDescent="0.3">
      <c r="A304" s="284">
        <f>Table13[[#This Row],[Member Type]]</f>
        <v>0</v>
      </c>
      <c r="B304" s="284">
        <f>Table13[[#This Row],[Main Member Link ID]]</f>
        <v>0</v>
      </c>
      <c r="C304" s="284">
        <f>Table13[[#This Row],[ID Number]]</f>
        <v>0</v>
      </c>
      <c r="D304" s="285">
        <f>Table13[[#This Row],[Date Of Birth]]</f>
        <v>0</v>
      </c>
      <c r="E304" s="285">
        <f>Table13[[#This Row],[Commencement Date]]</f>
        <v>0</v>
      </c>
      <c r="F304" s="284">
        <f t="shared" si="28"/>
        <v>1</v>
      </c>
      <c r="G304" s="284">
        <f t="shared" si="29"/>
        <v>25</v>
      </c>
      <c r="H304" s="286">
        <f>Table13[[#This Row],[Product Option]]</f>
        <v>0</v>
      </c>
      <c r="I304" s="284">
        <f>IF(AND($A304="Main Member",Table2[[#This Row],[Product Option]]="My Value Plus Life"),"MM_LIFE",
IF(AND($A304="Spouse",Table2[[#This Row],[Product Option]]="My Value Plus Life"),"SP_LIFE",
IF(AND($A304="Main Member",Table2[[#This Row],[Product Option]]="My Value Plus Life &amp; Funeral"),"MM_LIFE",
IF(AND($A304="Spouse",Table2[[#This Row],[Product Option]]="My Value Plus Life &amp; Funeral"),_xlfn.XLOOKUP(Table2[[#This Row],[Benefit Name]],Lookups!$D$18:$D$23,Lookups!$E$18:$E$23,0),
0))))</f>
        <v>0</v>
      </c>
      <c r="J304" s="284">
        <f>IF($I304="","",
IF($I304="MM_LIFE",INDEX('Quotation Tool'!$S$54:$V$60,MATCH($T304,'Quotation Tool'!$S$54:$S$60,0),4),
IF($I304="SP_LIFE",_xlfn.XLOOKUP(B303,$B:$B,$J:$J,0),0)))</f>
        <v>0</v>
      </c>
      <c r="K304" s="287">
        <f t="shared" ca="1" si="33"/>
        <v>0</v>
      </c>
      <c r="L304" s="288">
        <f t="shared" ca="1" si="34"/>
        <v>0</v>
      </c>
      <c r="M304" s="289">
        <f t="shared" ca="1" si="30"/>
        <v>0</v>
      </c>
      <c r="N304" s="286">
        <f>Table13[[#This Row],[Benefit Option]]</f>
        <v>0</v>
      </c>
      <c r="O304" s="284">
        <f>IF(OR(Table2[[#This Row],[Member Type]]="Spouse",Table2[[#This Row],[Member Type]]="Child"),0,
IF(_xlfn.XLOOKUP($N304,Lookups!$D$13:$D$27,Lookups!$F$13:$F$27,0)=Table2[[#This Row],[Table Lookup for Life Cover]],0,
_xlfn.XLOOKUP($N304,Lookups!$D$13:$D$27,Lookups!$F$13:$F$27,0)))</f>
        <v>0</v>
      </c>
      <c r="P304" s="284">
        <f>IF(Table2[[#This Row],[Table Lookup for Funeral]]=0,0,IFERROR(INDEX('Quotation Tool'!$S$54:$V$60,MATCH($T304,'Quotation Tool'!$S$54:$S$60,0),3),0))</f>
        <v>0</v>
      </c>
      <c r="Q304" s="288">
        <f ca="1">IF(OR(Table2[[#This Row],[Benefit Name]]="My Value Plus Life - Main Member",Table2[[#This Row],[Benefit Name]]="My Value Plus Life - Spouse"),0,
IFERROR(VLOOKUP($G304,INDIRECT($O304),$P304,FALSE),0))</f>
        <v>0</v>
      </c>
      <c r="R304" s="288">
        <f ca="1">IF(OR(Table2[[#This Row],[Benefit Name]]="My Value Plus Life - Main Member",Table2[[#This Row],[Benefit Name]]="My Value Plus Life - Spouse"),0,
IFERROR(VLOOKUP($G304,INDIRECT($O304),$P304+1,FALSE),0))</f>
        <v>0</v>
      </c>
      <c r="S304" s="289">
        <f t="shared" ca="1" si="31"/>
        <v>0</v>
      </c>
      <c r="T304" s="284" t="str">
        <f>IF(Table13[[#This Row],[Premium Waiver]]="","None",Table13[[#This Row],[Premium Waiver]])</f>
        <v>None</v>
      </c>
      <c r="U304" s="284">
        <f>Table13[[#This Row],[VAPs Options]]</f>
        <v>0</v>
      </c>
      <c r="V304" s="284">
        <f>Table13[[#This Row],[Annual Increase Option]]</f>
        <v>0</v>
      </c>
      <c r="W304" s="290">
        <f>Table13[[#This Row],[Life Cover Amount]]</f>
        <v>0</v>
      </c>
      <c r="X304" s="290">
        <f>Table13[[#This Row],[Funeral Cover Amount]]</f>
        <v>0</v>
      </c>
      <c r="Y30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0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04" s="301">
        <f t="shared" ca="1" si="32"/>
        <v>0</v>
      </c>
      <c r="AB304" s="298"/>
      <c r="AC304" s="326" t="str">
        <f>IF(Table2[[#This Row],[Member Type]]="Main Member",Lookups!$C$13,
IF(Table2[[#This Row],[Member Type]]="Spouse",_xlfn.XLOOKUP(B304,Table2[Main Member Link ID],Table2[Product Option],0),
IF(AND(Table2[[#This Row],[Member Type]]="Child",_xlfn.XLOOKUP(B304,Table2[Main Member Link ID],Table2[Product Option],0)&lt;&gt;"My Value Plus Life"),Lookups!$C$24,
IF(AND(OR(Table2[[#This Row],[Member Type]]="Parent",Table2[[#This Row],[Member Type]]="Extended"),_xlfn.XLOOKUP(B304,Table2[Main Member Link ID],Table2[Product Option],0)&lt;&gt;"My Value Plus Life"),Lookups!$C$26,""))))</f>
        <v/>
      </c>
      <c r="AD304" s="326" t="str">
        <f>IF(Table2[[#This Row],[Member Type]]="Main Member",Lookups!$C$14,"")</f>
        <v/>
      </c>
      <c r="AE30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Funeral",_xlfn.XLOOKUP(B304,Table2[Main Member Link ID],Table2[Benefit Name],0)=Lookups!$D$14),"",
IF(AND(Table2[[#This Row],[Member Type]]="Spouse",Table2[[#This Row],[Product Option]]="My Value Plus Life &amp; Funeral",_xlfn.XLOOKUP(B303,Table2[Main Member Link ID],Table2[Benefit Name],0)=Lookups!$D$15),Lookups!$D$20,
IF(AND(Table2[[#This Row],[Member Type]]="Spouse",Table2[[#This Row],[Product Option]]="My Value Plus Life &amp; Funeral",_xlfn.XLOOKUP(B303,Table2[Main Member Link ID],Table2[Benefit Name],0)=Lookups!$D$16),"",
IF(AND(Table2[[#This Row],[Member Type]]="Spouse",Table2[[#This Row],[Product Option]]="My Value Plus Life &amp; Funeral",_xlfn.XLOOKUP(B303,Table2[Main Member Link ID],Table2[Benefit Name],0)=Lookups!$D$17),Lookups!$D$21,
IF(AND(Table2[[#This Row],[Member Type]]="Child",Table2[[#This Row],[Product Option]]="My Value Plus Life &amp; Funeral",_xlfn.XLOOKUP(B304,Table2[Main Member Link ID],Table2[Benefit Name],0)=Lookups!$D$14),"",
IF(AND(Table2[[#This Row],[Member Type]]="Child",Table2[[#This Row],[Product Option]]="My Value Plus Life &amp; Funeral",_xlfn.XLOOKUP(B304,Table2[Main Member Link ID],Table2[Benefit Name],0)=Lookups!$D$15),"",
IF(AND(Table2[[#This Row],[Member Type]]="Child",Table2[[#This Row],[Product Option]]="My Value Plus Life &amp; Funeral",_xlfn.XLOOKUP(B304,Table2[Main Member Link ID],Table2[Benefit Name],0)=Lookups!$D$16),Lookups!$D$24,
IF(AND(Table2[[#This Row],[Member Type]]="Child",Table2[[#This Row],[Product Option]]="My Value Plus Life &amp; Funeral",_xlfn.XLOOKUP(B304,Table2[Main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Funeral",_xlfn.XLOOKUP(B304,Table2[Main Member Link ID],Table2[Benefit Name],0)&lt;&gt;Lookups!$D$14),
IF(_xlfn.XLOOKUP(B304,Table2[Main Member Link ID],Table2[Benefit Name],0)=0,"",_xlfn.XLOOKUP(B304,Table2[Main Member Link ID],Table2[Benefit Name],0)),"")))))))))))))))</f>
        <v/>
      </c>
      <c r="AF304" s="327" t="str">
        <f>IF(AND(Table2[[#This Row],[Member Type]]="Main Member",Table2[[#This Row],[Product Option]]="My Value Plus Life &amp; Funeral"),Lookups!$D$15,
IF(AND(Table2[[#This Row],[Member Type]]="Spouse",Table2[[#This Row],[Product Option]]="My Value Plus Life &amp; Funeral",_xlfn.XLOOKUP(B304,Table2[Main Member Link ID],Table2[Benefit Name],0)=Lookups!$D$14),"",
IF(AND(Table2[[#This Row],[Member Type]]="Spouse",Table2[[#This Row],[Product Option]]="My Value Plus Life &amp; Funeral",_xlfn.XLOOKUP(B303,Table2[Main Member Link ID],Table2[Benefit Name],0)=Lookups!$D$16),"",
IF(AND(Table2[[#This Row],[Member Type]]="Spouse",Table2[[#This Row],[Product Option]]="My Value Plus Life &amp; Funeral",_xlfn.XLOOKUP(B303,Table2[Main Member Link ID],Table2[Benefit Name],0)=Lookups!$D$15),"",
IF(AND(Table2[[#This Row],[Member Type]]="Spouse",Table2[[#This Row],[Product Option]]="My Value Plus Life &amp; Funeral",_xlfn.XLOOKUP(B303,Table2[Main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Funeral",_xlfn.XLOOKUP(B304,Table2[Main Member Link ID],Table2[Benefit Name],0)&lt;&gt;Lookups!$D$15),
IF(_xlfn.XLOOKUP(B304,Table2[Main Member Link ID],Table2[Benefit Name],0)=0,"",_xlfn.XLOOKUP(B304,Table2[Main Member Link ID],Table2[Benefit Name],0)),"")
))))))</f>
        <v/>
      </c>
      <c r="AG304" s="327" t="str">
        <f>IF(AND(Table2[[#This Row],[Member Type]]="Main Member",Table2[[#This Row],[Product Option]]="My Value Plus Life &amp; Funeral"),Lookups!$D$16,
IF(AND(Table2[[#This Row],[Member Type]]="Spouse",Table2[[#This Row],[Product Option]]="My Value Plus Life &amp; Funeral",_xlfn.XLOOKUP(B304,Table2[Main Member Link ID],Table2[Benefit Name],0)=Lookups!$D$14),"",
IF(AND(Table2[[#This Row],[Member Type]]="Spouse",Table2[[#This Row],[Product Option]]="My Value Plus Life &amp; Funeral",_xlfn.XLOOKUP(B303,Table2[Main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Funeral",_xlfn.XLOOKUP(B304,Table2[Main Member Link ID],Table2[Benefit Name],0)&lt;&gt;Lookups!$D$16),
IF(_xlfn.XLOOKUP(B304,Table2[Main Member Link ID],Table2[Benefit Name],0)=0,"",_xlfn.XLOOKUP(B304,Table2[Main Member Link ID],Table2[Benefit Name],0)),"")
))))</f>
        <v/>
      </c>
      <c r="AH304" s="327" t="str">
        <f>IF(AND(Table2[[#This Row],[Member Type]]="Main Member",Table2[[#This Row],[Product Option]]="My Value Plus Life &amp; Funeral"),Lookups!$D$17,
IF(AND(Table2[[#This Row],[Member Type]]="Spouse",Table2[[#This Row],[Product Option]]="My Value Plus Life &amp; Funeral",_xlfn.XLOOKUP(B304,Table2[Main Member Link ID],Table2[Benefit Name],0)=Lookups!$D$14),"",
IF(AND(Table2[[#This Row],[Member Type]]="Spouse",Table2[[#This Row],[Product Option]]="My Value Plus Life &amp; Funeral",_xlfn.XLOOKUP(B303,Table2[Main Member Link ID],Table2[Benefit Name],0)=Lookups!$D$16),"",
IF(AND(Table2[[#This Row],[Member Type]]="Child",Table2[[#This Row],[Product Option]]="My Value Plus Life &amp; Funeral"),"",
IF(AND(Table2[[#This Row],[Member Type]]="Child",Table2[[#This Row],[Product Option]]="My Value Plus Life &amp; Funeral",_xlfn.XLOOKUP(B304,Table2[Main Member Link ID],Table2[Benefit Name],0)=Lookups!$D$15),"",
IF(AND(OR(Table2[[#This Row],[Member Type]]="Spouse",Table2[[#This Row],[Member Type]]="Child"),Table2[[#This Row],[Product Option]]="My Value Plus Life &amp; Funeral",_xlfn.XLOOKUP(B304,Table2[Main Member Link ID],Table2[Benefit Name],0)&lt;&gt;Lookups!$D$17),
IF(_xlfn.XLOOKUP(B304,Table2[Main Member Link ID],Table2[Benefit Name],0)=0,"",_xlfn.XLOOKUP(B304,Table2[Main Member Link ID],Table2[Benefit Name],0)),""))))))</f>
        <v/>
      </c>
      <c r="AI304" s="328" t="str">
        <f>IF(AND(Table2[[#This Row],[Member Type]]="Main Member",Table2[[#This Row],[Table Lookup for Life Cover]]="MM_LIFE",Table2[[#This Row],[Age Next Birthday]]&lt;56),1,
IF(AND(Table2[[#This Row],[Member Type]]="Main Member",Table2[[#This Row],[Table Lookup for Life Cover]]="MM_LIFE",Table2[[#This Row],[Age Next Birthday]]&gt;=56),2,
""))</f>
        <v/>
      </c>
      <c r="AJ304" s="328">
        <f>IF(OR(Table2[[#This Row],[Member Type]]="Main Member",Table2[[#This Row],[Main Member Link ID]]=B303),1,0)</f>
        <v>1</v>
      </c>
      <c r="AK304" s="328">
        <f>IF(Table2[[#This Row],[Member Type]]=0,0,
IF(OR(Table2[[#This Row],[Member Type]]="Main Member",Table2[[#This Row],[Main Member Link ID]]&lt;&gt;B304),COUNTIFS(B:B,Table2[[#This Row],[Main Member Link ID]]),
COUNTIFS(B:B,Table2[[#This Row],[Main Member Link ID]],A:A,Table2[[#This Row],[Member Type]])))</f>
        <v>0</v>
      </c>
    </row>
    <row r="305" spans="1:37" x14ac:dyDescent="0.3">
      <c r="A305" s="284">
        <f>Table13[[#This Row],[Member Type]]</f>
        <v>0</v>
      </c>
      <c r="B305" s="284">
        <f>Table13[[#This Row],[Main Member Link ID]]</f>
        <v>0</v>
      </c>
      <c r="C305" s="284">
        <f>Table13[[#This Row],[ID Number]]</f>
        <v>0</v>
      </c>
      <c r="D305" s="285">
        <f>Table13[[#This Row],[Date Of Birth]]</f>
        <v>0</v>
      </c>
      <c r="E305" s="285">
        <f>Table13[[#This Row],[Commencement Date]]</f>
        <v>0</v>
      </c>
      <c r="F305" s="284">
        <f t="shared" si="28"/>
        <v>1</v>
      </c>
      <c r="G305" s="284">
        <f t="shared" si="29"/>
        <v>25</v>
      </c>
      <c r="H305" s="286">
        <f>Table13[[#This Row],[Product Option]]</f>
        <v>0</v>
      </c>
      <c r="I305" s="284">
        <f>IF(AND($A305="Main Member",Table2[[#This Row],[Product Option]]="My Value Plus Life"),"MM_LIFE",
IF(AND($A305="Spouse",Table2[[#This Row],[Product Option]]="My Value Plus Life"),"SP_LIFE",
IF(AND($A305="Main Member",Table2[[#This Row],[Product Option]]="My Value Plus Life &amp; Funeral"),"MM_LIFE",
IF(AND($A305="Spouse",Table2[[#This Row],[Product Option]]="My Value Plus Life &amp; Funeral"),_xlfn.XLOOKUP(Table2[[#This Row],[Benefit Name]],Lookups!$D$18:$D$23,Lookups!$E$18:$E$23,0),
0))))</f>
        <v>0</v>
      </c>
      <c r="J305" s="284">
        <f>IF($I305="","",
IF($I305="MM_LIFE",INDEX('Quotation Tool'!$S$54:$V$60,MATCH($T305,'Quotation Tool'!$S$54:$S$60,0),4),
IF($I305="SP_LIFE",_xlfn.XLOOKUP(B304,$B:$B,$J:$J,0),0)))</f>
        <v>0</v>
      </c>
      <c r="K305" s="287">
        <f t="shared" ca="1" si="33"/>
        <v>0</v>
      </c>
      <c r="L305" s="288">
        <f t="shared" ca="1" si="34"/>
        <v>0</v>
      </c>
      <c r="M305" s="289">
        <f t="shared" ca="1" si="30"/>
        <v>0</v>
      </c>
      <c r="N305" s="286">
        <f>Table13[[#This Row],[Benefit Option]]</f>
        <v>0</v>
      </c>
      <c r="O305" s="284">
        <f>IF(OR(Table2[[#This Row],[Member Type]]="Spouse",Table2[[#This Row],[Member Type]]="Child"),0,
IF(_xlfn.XLOOKUP($N305,Lookups!$D$13:$D$27,Lookups!$F$13:$F$27,0)=Table2[[#This Row],[Table Lookup for Life Cover]],0,
_xlfn.XLOOKUP($N305,Lookups!$D$13:$D$27,Lookups!$F$13:$F$27,0)))</f>
        <v>0</v>
      </c>
      <c r="P305" s="284">
        <f>IF(Table2[[#This Row],[Table Lookup for Funeral]]=0,0,IFERROR(INDEX('Quotation Tool'!$S$54:$V$60,MATCH($T305,'Quotation Tool'!$S$54:$S$60,0),3),0))</f>
        <v>0</v>
      </c>
      <c r="Q305" s="288">
        <f ca="1">IF(OR(Table2[[#This Row],[Benefit Name]]="My Value Plus Life - Main Member",Table2[[#This Row],[Benefit Name]]="My Value Plus Life - Spouse"),0,
IFERROR(VLOOKUP($G305,INDIRECT($O305),$P305,FALSE),0))</f>
        <v>0</v>
      </c>
      <c r="R305" s="288">
        <f ca="1">IF(OR(Table2[[#This Row],[Benefit Name]]="My Value Plus Life - Main Member",Table2[[#This Row],[Benefit Name]]="My Value Plus Life - Spouse"),0,
IFERROR(VLOOKUP($G305,INDIRECT($O305),$P305+1,FALSE),0))</f>
        <v>0</v>
      </c>
      <c r="S305" s="289">
        <f t="shared" ca="1" si="31"/>
        <v>0</v>
      </c>
      <c r="T305" s="284" t="str">
        <f>IF(Table13[[#This Row],[Premium Waiver]]="","None",Table13[[#This Row],[Premium Waiver]])</f>
        <v>None</v>
      </c>
      <c r="U305" s="284">
        <f>Table13[[#This Row],[VAPs Options]]</f>
        <v>0</v>
      </c>
      <c r="V305" s="284">
        <f>Table13[[#This Row],[Annual Increase Option]]</f>
        <v>0</v>
      </c>
      <c r="W305" s="290">
        <f>Table13[[#This Row],[Life Cover Amount]]</f>
        <v>0</v>
      </c>
      <c r="X305" s="290">
        <f>Table13[[#This Row],[Funeral Cover Amount]]</f>
        <v>0</v>
      </c>
      <c r="Y30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0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05" s="301">
        <f t="shared" ca="1" si="32"/>
        <v>0</v>
      </c>
      <c r="AB305" s="298"/>
      <c r="AC305" s="326" t="str">
        <f>IF(Table2[[#This Row],[Member Type]]="Main Member",Lookups!$C$13,
IF(Table2[[#This Row],[Member Type]]="Spouse",_xlfn.XLOOKUP(B305,Table2[Main Member Link ID],Table2[Product Option],0),
IF(AND(Table2[[#This Row],[Member Type]]="Child",_xlfn.XLOOKUP(B305,Table2[Main Member Link ID],Table2[Product Option],0)&lt;&gt;"My Value Plus Life"),Lookups!$C$24,
IF(AND(OR(Table2[[#This Row],[Member Type]]="Parent",Table2[[#This Row],[Member Type]]="Extended"),_xlfn.XLOOKUP(B305,Table2[Main Member Link ID],Table2[Product Option],0)&lt;&gt;"My Value Plus Life"),Lookups!$C$26,""))))</f>
        <v/>
      </c>
      <c r="AD305" s="326" t="str">
        <f>IF(Table2[[#This Row],[Member Type]]="Main Member",Lookups!$C$14,"")</f>
        <v/>
      </c>
      <c r="AE30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Funeral",_xlfn.XLOOKUP(B305,Table2[Main Member Link ID],Table2[Benefit Name],0)=Lookups!$D$14),"",
IF(AND(Table2[[#This Row],[Member Type]]="Spouse",Table2[[#This Row],[Product Option]]="My Value Plus Life &amp; Funeral",_xlfn.XLOOKUP(B304,Table2[Main Member Link ID],Table2[Benefit Name],0)=Lookups!$D$15),Lookups!$D$20,
IF(AND(Table2[[#This Row],[Member Type]]="Spouse",Table2[[#This Row],[Product Option]]="My Value Plus Life &amp; Funeral",_xlfn.XLOOKUP(B304,Table2[Main Member Link ID],Table2[Benefit Name],0)=Lookups!$D$16),"",
IF(AND(Table2[[#This Row],[Member Type]]="Spouse",Table2[[#This Row],[Product Option]]="My Value Plus Life &amp; Funeral",_xlfn.XLOOKUP(B304,Table2[Main Member Link ID],Table2[Benefit Name],0)=Lookups!$D$17),Lookups!$D$21,
IF(AND(Table2[[#This Row],[Member Type]]="Child",Table2[[#This Row],[Product Option]]="My Value Plus Life &amp; Funeral",_xlfn.XLOOKUP(B305,Table2[Main Member Link ID],Table2[Benefit Name],0)=Lookups!$D$14),"",
IF(AND(Table2[[#This Row],[Member Type]]="Child",Table2[[#This Row],[Product Option]]="My Value Plus Life &amp; Funeral",_xlfn.XLOOKUP(B305,Table2[Main Member Link ID],Table2[Benefit Name],0)=Lookups!$D$15),"",
IF(AND(Table2[[#This Row],[Member Type]]="Child",Table2[[#This Row],[Product Option]]="My Value Plus Life &amp; Funeral",_xlfn.XLOOKUP(B305,Table2[Main Member Link ID],Table2[Benefit Name],0)=Lookups!$D$16),Lookups!$D$24,
IF(AND(Table2[[#This Row],[Member Type]]="Child",Table2[[#This Row],[Product Option]]="My Value Plus Life &amp; Funeral",_xlfn.XLOOKUP(B305,Table2[Main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Funeral",_xlfn.XLOOKUP(B305,Table2[Main Member Link ID],Table2[Benefit Name],0)&lt;&gt;Lookups!$D$14),
IF(_xlfn.XLOOKUP(B305,Table2[Main Member Link ID],Table2[Benefit Name],0)=0,"",_xlfn.XLOOKUP(B305,Table2[Main Member Link ID],Table2[Benefit Name],0)),"")))))))))))))))</f>
        <v/>
      </c>
      <c r="AF305" s="327" t="str">
        <f>IF(AND(Table2[[#This Row],[Member Type]]="Main Member",Table2[[#This Row],[Product Option]]="My Value Plus Life &amp; Funeral"),Lookups!$D$15,
IF(AND(Table2[[#This Row],[Member Type]]="Spouse",Table2[[#This Row],[Product Option]]="My Value Plus Life &amp; Funeral",_xlfn.XLOOKUP(B305,Table2[Main Member Link ID],Table2[Benefit Name],0)=Lookups!$D$14),"",
IF(AND(Table2[[#This Row],[Member Type]]="Spouse",Table2[[#This Row],[Product Option]]="My Value Plus Life &amp; Funeral",_xlfn.XLOOKUP(B304,Table2[Main Member Link ID],Table2[Benefit Name],0)=Lookups!$D$16),"",
IF(AND(Table2[[#This Row],[Member Type]]="Spouse",Table2[[#This Row],[Product Option]]="My Value Plus Life &amp; Funeral",_xlfn.XLOOKUP(B304,Table2[Main Member Link ID],Table2[Benefit Name],0)=Lookups!$D$15),"",
IF(AND(Table2[[#This Row],[Member Type]]="Spouse",Table2[[#This Row],[Product Option]]="My Value Plus Life &amp; Funeral",_xlfn.XLOOKUP(B304,Table2[Main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Funeral",_xlfn.XLOOKUP(B305,Table2[Main Member Link ID],Table2[Benefit Name],0)&lt;&gt;Lookups!$D$15),
IF(_xlfn.XLOOKUP(B305,Table2[Main Member Link ID],Table2[Benefit Name],0)=0,"",_xlfn.XLOOKUP(B305,Table2[Main Member Link ID],Table2[Benefit Name],0)),"")
))))))</f>
        <v/>
      </c>
      <c r="AG305" s="327" t="str">
        <f>IF(AND(Table2[[#This Row],[Member Type]]="Main Member",Table2[[#This Row],[Product Option]]="My Value Plus Life &amp; Funeral"),Lookups!$D$16,
IF(AND(Table2[[#This Row],[Member Type]]="Spouse",Table2[[#This Row],[Product Option]]="My Value Plus Life &amp; Funeral",_xlfn.XLOOKUP(B305,Table2[Main Member Link ID],Table2[Benefit Name],0)=Lookups!$D$14),"",
IF(AND(Table2[[#This Row],[Member Type]]="Spouse",Table2[[#This Row],[Product Option]]="My Value Plus Life &amp; Funeral",_xlfn.XLOOKUP(B304,Table2[Main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Funeral",_xlfn.XLOOKUP(B305,Table2[Main Member Link ID],Table2[Benefit Name],0)&lt;&gt;Lookups!$D$16),
IF(_xlfn.XLOOKUP(B305,Table2[Main Member Link ID],Table2[Benefit Name],0)=0,"",_xlfn.XLOOKUP(B305,Table2[Main Member Link ID],Table2[Benefit Name],0)),"")
))))</f>
        <v/>
      </c>
      <c r="AH305" s="327" t="str">
        <f>IF(AND(Table2[[#This Row],[Member Type]]="Main Member",Table2[[#This Row],[Product Option]]="My Value Plus Life &amp; Funeral"),Lookups!$D$17,
IF(AND(Table2[[#This Row],[Member Type]]="Spouse",Table2[[#This Row],[Product Option]]="My Value Plus Life &amp; Funeral",_xlfn.XLOOKUP(B305,Table2[Main Member Link ID],Table2[Benefit Name],0)=Lookups!$D$14),"",
IF(AND(Table2[[#This Row],[Member Type]]="Spouse",Table2[[#This Row],[Product Option]]="My Value Plus Life &amp; Funeral",_xlfn.XLOOKUP(B304,Table2[Main Member Link ID],Table2[Benefit Name],0)=Lookups!$D$16),"",
IF(AND(Table2[[#This Row],[Member Type]]="Child",Table2[[#This Row],[Product Option]]="My Value Plus Life &amp; Funeral"),"",
IF(AND(Table2[[#This Row],[Member Type]]="Child",Table2[[#This Row],[Product Option]]="My Value Plus Life &amp; Funeral",_xlfn.XLOOKUP(B305,Table2[Main Member Link ID],Table2[Benefit Name],0)=Lookups!$D$15),"",
IF(AND(OR(Table2[[#This Row],[Member Type]]="Spouse",Table2[[#This Row],[Member Type]]="Child"),Table2[[#This Row],[Product Option]]="My Value Plus Life &amp; Funeral",_xlfn.XLOOKUP(B305,Table2[Main Member Link ID],Table2[Benefit Name],0)&lt;&gt;Lookups!$D$17),
IF(_xlfn.XLOOKUP(B305,Table2[Main Member Link ID],Table2[Benefit Name],0)=0,"",_xlfn.XLOOKUP(B305,Table2[Main Member Link ID],Table2[Benefit Name],0)),""))))))</f>
        <v/>
      </c>
      <c r="AI305" s="328" t="str">
        <f>IF(AND(Table2[[#This Row],[Member Type]]="Main Member",Table2[[#This Row],[Table Lookup for Life Cover]]="MM_LIFE",Table2[[#This Row],[Age Next Birthday]]&lt;56),1,
IF(AND(Table2[[#This Row],[Member Type]]="Main Member",Table2[[#This Row],[Table Lookup for Life Cover]]="MM_LIFE",Table2[[#This Row],[Age Next Birthday]]&gt;=56),2,
""))</f>
        <v/>
      </c>
      <c r="AJ305" s="328">
        <f>IF(OR(Table2[[#This Row],[Member Type]]="Main Member",Table2[[#This Row],[Main Member Link ID]]=B304),1,0)</f>
        <v>1</v>
      </c>
      <c r="AK305" s="328">
        <f>IF(Table2[[#This Row],[Member Type]]=0,0,
IF(OR(Table2[[#This Row],[Member Type]]="Main Member",Table2[[#This Row],[Main Member Link ID]]&lt;&gt;B305),COUNTIFS(B:B,Table2[[#This Row],[Main Member Link ID]]),
COUNTIFS(B:B,Table2[[#This Row],[Main Member Link ID]],A:A,Table2[[#This Row],[Member Type]])))</f>
        <v>0</v>
      </c>
    </row>
    <row r="306" spans="1:37" x14ac:dyDescent="0.3">
      <c r="A306" s="284">
        <f>Table13[[#This Row],[Member Type]]</f>
        <v>0</v>
      </c>
      <c r="B306" s="284">
        <f>Table13[[#This Row],[Main Member Link ID]]</f>
        <v>0</v>
      </c>
      <c r="C306" s="284">
        <f>Table13[[#This Row],[ID Number]]</f>
        <v>0</v>
      </c>
      <c r="D306" s="285">
        <f>Table13[[#This Row],[Date Of Birth]]</f>
        <v>0</v>
      </c>
      <c r="E306" s="285">
        <f>Table13[[#This Row],[Commencement Date]]</f>
        <v>0</v>
      </c>
      <c r="F306" s="284">
        <f t="shared" si="28"/>
        <v>1</v>
      </c>
      <c r="G306" s="284">
        <f t="shared" si="29"/>
        <v>25</v>
      </c>
      <c r="H306" s="286">
        <f>Table13[[#This Row],[Product Option]]</f>
        <v>0</v>
      </c>
      <c r="I306" s="284">
        <f>IF(AND($A306="Main Member",Table2[[#This Row],[Product Option]]="My Value Plus Life"),"MM_LIFE",
IF(AND($A306="Spouse",Table2[[#This Row],[Product Option]]="My Value Plus Life"),"SP_LIFE",
IF(AND($A306="Main Member",Table2[[#This Row],[Product Option]]="My Value Plus Life &amp; Funeral"),"MM_LIFE",
IF(AND($A306="Spouse",Table2[[#This Row],[Product Option]]="My Value Plus Life &amp; Funeral"),_xlfn.XLOOKUP(Table2[[#This Row],[Benefit Name]],Lookups!$D$18:$D$23,Lookups!$E$18:$E$23,0),
0))))</f>
        <v>0</v>
      </c>
      <c r="J306" s="284">
        <f>IF($I306="","",
IF($I306="MM_LIFE",INDEX('Quotation Tool'!$S$54:$V$60,MATCH($T306,'Quotation Tool'!$S$54:$S$60,0),4),
IF($I306="SP_LIFE",_xlfn.XLOOKUP(B305,$B:$B,$J:$J,0),0)))</f>
        <v>0</v>
      </c>
      <c r="K306" s="287">
        <f t="shared" ca="1" si="33"/>
        <v>0</v>
      </c>
      <c r="L306" s="288">
        <f t="shared" ca="1" si="34"/>
        <v>0</v>
      </c>
      <c r="M306" s="289">
        <f t="shared" ca="1" si="30"/>
        <v>0</v>
      </c>
      <c r="N306" s="286">
        <f>Table13[[#This Row],[Benefit Option]]</f>
        <v>0</v>
      </c>
      <c r="O306" s="284">
        <f>IF(OR(Table2[[#This Row],[Member Type]]="Spouse",Table2[[#This Row],[Member Type]]="Child"),0,
IF(_xlfn.XLOOKUP($N306,Lookups!$D$13:$D$27,Lookups!$F$13:$F$27,0)=Table2[[#This Row],[Table Lookup for Life Cover]],0,
_xlfn.XLOOKUP($N306,Lookups!$D$13:$D$27,Lookups!$F$13:$F$27,0)))</f>
        <v>0</v>
      </c>
      <c r="P306" s="284">
        <f>IF(Table2[[#This Row],[Table Lookup for Funeral]]=0,0,IFERROR(INDEX('Quotation Tool'!$S$54:$V$60,MATCH($T306,'Quotation Tool'!$S$54:$S$60,0),3),0))</f>
        <v>0</v>
      </c>
      <c r="Q306" s="288">
        <f ca="1">IF(OR(Table2[[#This Row],[Benefit Name]]="My Value Plus Life - Main Member",Table2[[#This Row],[Benefit Name]]="My Value Plus Life - Spouse"),0,
IFERROR(VLOOKUP($G306,INDIRECT($O306),$P306,FALSE),0))</f>
        <v>0</v>
      </c>
      <c r="R306" s="288">
        <f ca="1">IF(OR(Table2[[#This Row],[Benefit Name]]="My Value Plus Life - Main Member",Table2[[#This Row],[Benefit Name]]="My Value Plus Life - Spouse"),0,
IFERROR(VLOOKUP($G306,INDIRECT($O306),$P306+1,FALSE),0))</f>
        <v>0</v>
      </c>
      <c r="S306" s="289">
        <f t="shared" ca="1" si="31"/>
        <v>0</v>
      </c>
      <c r="T306" s="284" t="str">
        <f>IF(Table13[[#This Row],[Premium Waiver]]="","None",Table13[[#This Row],[Premium Waiver]])</f>
        <v>None</v>
      </c>
      <c r="U306" s="284">
        <f>Table13[[#This Row],[VAPs Options]]</f>
        <v>0</v>
      </c>
      <c r="V306" s="284">
        <f>Table13[[#This Row],[Annual Increase Option]]</f>
        <v>0</v>
      </c>
      <c r="W306" s="290">
        <f>Table13[[#This Row],[Life Cover Amount]]</f>
        <v>0</v>
      </c>
      <c r="X306" s="290">
        <f>Table13[[#This Row],[Funeral Cover Amount]]</f>
        <v>0</v>
      </c>
      <c r="Y30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0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06" s="301">
        <f t="shared" ca="1" si="32"/>
        <v>0</v>
      </c>
      <c r="AB306" s="298"/>
      <c r="AC306" s="326" t="str">
        <f>IF(Table2[[#This Row],[Member Type]]="Main Member",Lookups!$C$13,
IF(Table2[[#This Row],[Member Type]]="Spouse",_xlfn.XLOOKUP(B306,Table2[Main Member Link ID],Table2[Product Option],0),
IF(AND(Table2[[#This Row],[Member Type]]="Child",_xlfn.XLOOKUP(B306,Table2[Main Member Link ID],Table2[Product Option],0)&lt;&gt;"My Value Plus Life"),Lookups!$C$24,
IF(AND(OR(Table2[[#This Row],[Member Type]]="Parent",Table2[[#This Row],[Member Type]]="Extended"),_xlfn.XLOOKUP(B306,Table2[Main Member Link ID],Table2[Product Option],0)&lt;&gt;"My Value Plus Life"),Lookups!$C$26,""))))</f>
        <v/>
      </c>
      <c r="AD306" s="326" t="str">
        <f>IF(Table2[[#This Row],[Member Type]]="Main Member",Lookups!$C$14,"")</f>
        <v/>
      </c>
      <c r="AE30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Funeral",_xlfn.XLOOKUP(B306,Table2[Main Member Link ID],Table2[Benefit Name],0)=Lookups!$D$14),"",
IF(AND(Table2[[#This Row],[Member Type]]="Spouse",Table2[[#This Row],[Product Option]]="My Value Plus Life &amp; Funeral",_xlfn.XLOOKUP(B305,Table2[Main Member Link ID],Table2[Benefit Name],0)=Lookups!$D$15),Lookups!$D$20,
IF(AND(Table2[[#This Row],[Member Type]]="Spouse",Table2[[#This Row],[Product Option]]="My Value Plus Life &amp; Funeral",_xlfn.XLOOKUP(B305,Table2[Main Member Link ID],Table2[Benefit Name],0)=Lookups!$D$16),"",
IF(AND(Table2[[#This Row],[Member Type]]="Spouse",Table2[[#This Row],[Product Option]]="My Value Plus Life &amp; Funeral",_xlfn.XLOOKUP(B305,Table2[Main Member Link ID],Table2[Benefit Name],0)=Lookups!$D$17),Lookups!$D$21,
IF(AND(Table2[[#This Row],[Member Type]]="Child",Table2[[#This Row],[Product Option]]="My Value Plus Life &amp; Funeral",_xlfn.XLOOKUP(B306,Table2[Main Member Link ID],Table2[Benefit Name],0)=Lookups!$D$14),"",
IF(AND(Table2[[#This Row],[Member Type]]="Child",Table2[[#This Row],[Product Option]]="My Value Plus Life &amp; Funeral",_xlfn.XLOOKUP(B306,Table2[Main Member Link ID],Table2[Benefit Name],0)=Lookups!$D$15),"",
IF(AND(Table2[[#This Row],[Member Type]]="Child",Table2[[#This Row],[Product Option]]="My Value Plus Life &amp; Funeral",_xlfn.XLOOKUP(B306,Table2[Main Member Link ID],Table2[Benefit Name],0)=Lookups!$D$16),Lookups!$D$24,
IF(AND(Table2[[#This Row],[Member Type]]="Child",Table2[[#This Row],[Product Option]]="My Value Plus Life &amp; Funeral",_xlfn.XLOOKUP(B306,Table2[Main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Funeral",_xlfn.XLOOKUP(B306,Table2[Main Member Link ID],Table2[Benefit Name],0)&lt;&gt;Lookups!$D$14),
IF(_xlfn.XLOOKUP(B306,Table2[Main Member Link ID],Table2[Benefit Name],0)=0,"",_xlfn.XLOOKUP(B306,Table2[Main Member Link ID],Table2[Benefit Name],0)),"")))))))))))))))</f>
        <v/>
      </c>
      <c r="AF306" s="327" t="str">
        <f>IF(AND(Table2[[#This Row],[Member Type]]="Main Member",Table2[[#This Row],[Product Option]]="My Value Plus Life &amp; Funeral"),Lookups!$D$15,
IF(AND(Table2[[#This Row],[Member Type]]="Spouse",Table2[[#This Row],[Product Option]]="My Value Plus Life &amp; Funeral",_xlfn.XLOOKUP(B306,Table2[Main Member Link ID],Table2[Benefit Name],0)=Lookups!$D$14),"",
IF(AND(Table2[[#This Row],[Member Type]]="Spouse",Table2[[#This Row],[Product Option]]="My Value Plus Life &amp; Funeral",_xlfn.XLOOKUP(B305,Table2[Main Member Link ID],Table2[Benefit Name],0)=Lookups!$D$16),"",
IF(AND(Table2[[#This Row],[Member Type]]="Spouse",Table2[[#This Row],[Product Option]]="My Value Plus Life &amp; Funeral",_xlfn.XLOOKUP(B305,Table2[Main Member Link ID],Table2[Benefit Name],0)=Lookups!$D$15),"",
IF(AND(Table2[[#This Row],[Member Type]]="Spouse",Table2[[#This Row],[Product Option]]="My Value Plus Life &amp; Funeral",_xlfn.XLOOKUP(B305,Table2[Main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Funeral",_xlfn.XLOOKUP(B306,Table2[Main Member Link ID],Table2[Benefit Name],0)&lt;&gt;Lookups!$D$15),
IF(_xlfn.XLOOKUP(B306,Table2[Main Member Link ID],Table2[Benefit Name],0)=0,"",_xlfn.XLOOKUP(B306,Table2[Main Member Link ID],Table2[Benefit Name],0)),"")
))))))</f>
        <v/>
      </c>
      <c r="AG306" s="327" t="str">
        <f>IF(AND(Table2[[#This Row],[Member Type]]="Main Member",Table2[[#This Row],[Product Option]]="My Value Plus Life &amp; Funeral"),Lookups!$D$16,
IF(AND(Table2[[#This Row],[Member Type]]="Spouse",Table2[[#This Row],[Product Option]]="My Value Plus Life &amp; Funeral",_xlfn.XLOOKUP(B306,Table2[Main Member Link ID],Table2[Benefit Name],0)=Lookups!$D$14),"",
IF(AND(Table2[[#This Row],[Member Type]]="Spouse",Table2[[#This Row],[Product Option]]="My Value Plus Life &amp; Funeral",_xlfn.XLOOKUP(B305,Table2[Main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Funeral",_xlfn.XLOOKUP(B306,Table2[Main Member Link ID],Table2[Benefit Name],0)&lt;&gt;Lookups!$D$16),
IF(_xlfn.XLOOKUP(B306,Table2[Main Member Link ID],Table2[Benefit Name],0)=0,"",_xlfn.XLOOKUP(B306,Table2[Main Member Link ID],Table2[Benefit Name],0)),"")
))))</f>
        <v/>
      </c>
      <c r="AH306" s="327" t="str">
        <f>IF(AND(Table2[[#This Row],[Member Type]]="Main Member",Table2[[#This Row],[Product Option]]="My Value Plus Life &amp; Funeral"),Lookups!$D$17,
IF(AND(Table2[[#This Row],[Member Type]]="Spouse",Table2[[#This Row],[Product Option]]="My Value Plus Life &amp; Funeral",_xlfn.XLOOKUP(B306,Table2[Main Member Link ID],Table2[Benefit Name],0)=Lookups!$D$14),"",
IF(AND(Table2[[#This Row],[Member Type]]="Spouse",Table2[[#This Row],[Product Option]]="My Value Plus Life &amp; Funeral",_xlfn.XLOOKUP(B305,Table2[Main Member Link ID],Table2[Benefit Name],0)=Lookups!$D$16),"",
IF(AND(Table2[[#This Row],[Member Type]]="Child",Table2[[#This Row],[Product Option]]="My Value Plus Life &amp; Funeral"),"",
IF(AND(Table2[[#This Row],[Member Type]]="Child",Table2[[#This Row],[Product Option]]="My Value Plus Life &amp; Funeral",_xlfn.XLOOKUP(B306,Table2[Main Member Link ID],Table2[Benefit Name],0)=Lookups!$D$15),"",
IF(AND(OR(Table2[[#This Row],[Member Type]]="Spouse",Table2[[#This Row],[Member Type]]="Child"),Table2[[#This Row],[Product Option]]="My Value Plus Life &amp; Funeral",_xlfn.XLOOKUP(B306,Table2[Main Member Link ID],Table2[Benefit Name],0)&lt;&gt;Lookups!$D$17),
IF(_xlfn.XLOOKUP(B306,Table2[Main Member Link ID],Table2[Benefit Name],0)=0,"",_xlfn.XLOOKUP(B306,Table2[Main Member Link ID],Table2[Benefit Name],0)),""))))))</f>
        <v/>
      </c>
      <c r="AI306" s="328" t="str">
        <f>IF(AND(Table2[[#This Row],[Member Type]]="Main Member",Table2[[#This Row],[Table Lookup for Life Cover]]="MM_LIFE",Table2[[#This Row],[Age Next Birthday]]&lt;56),1,
IF(AND(Table2[[#This Row],[Member Type]]="Main Member",Table2[[#This Row],[Table Lookup for Life Cover]]="MM_LIFE",Table2[[#This Row],[Age Next Birthday]]&gt;=56),2,
""))</f>
        <v/>
      </c>
      <c r="AJ306" s="328">
        <f>IF(OR(Table2[[#This Row],[Member Type]]="Main Member",Table2[[#This Row],[Main Member Link ID]]=B305),1,0)</f>
        <v>1</v>
      </c>
      <c r="AK306" s="328">
        <f>IF(Table2[[#This Row],[Member Type]]=0,0,
IF(OR(Table2[[#This Row],[Member Type]]="Main Member",Table2[[#This Row],[Main Member Link ID]]&lt;&gt;B306),COUNTIFS(B:B,Table2[[#This Row],[Main Member Link ID]]),
COUNTIFS(B:B,Table2[[#This Row],[Main Member Link ID]],A:A,Table2[[#This Row],[Member Type]])))</f>
        <v>0</v>
      </c>
    </row>
    <row r="307" spans="1:37" x14ac:dyDescent="0.3">
      <c r="A307" s="284">
        <f>Table13[[#This Row],[Member Type]]</f>
        <v>0</v>
      </c>
      <c r="B307" s="284">
        <f>Table13[[#This Row],[Main Member Link ID]]</f>
        <v>0</v>
      </c>
      <c r="C307" s="284">
        <f>Table13[[#This Row],[ID Number]]</f>
        <v>0</v>
      </c>
      <c r="D307" s="285">
        <f>Table13[[#This Row],[Date Of Birth]]</f>
        <v>0</v>
      </c>
      <c r="E307" s="285">
        <f>Table13[[#This Row],[Commencement Date]]</f>
        <v>0</v>
      </c>
      <c r="F307" s="284">
        <f t="shared" si="28"/>
        <v>1</v>
      </c>
      <c r="G307" s="284">
        <f t="shared" si="29"/>
        <v>25</v>
      </c>
      <c r="H307" s="286">
        <f>Table13[[#This Row],[Product Option]]</f>
        <v>0</v>
      </c>
      <c r="I307" s="284">
        <f>IF(AND($A307="Main Member",Table2[[#This Row],[Product Option]]="My Value Plus Life"),"MM_LIFE",
IF(AND($A307="Spouse",Table2[[#This Row],[Product Option]]="My Value Plus Life"),"SP_LIFE",
IF(AND($A307="Main Member",Table2[[#This Row],[Product Option]]="My Value Plus Life &amp; Funeral"),"MM_LIFE",
IF(AND($A307="Spouse",Table2[[#This Row],[Product Option]]="My Value Plus Life &amp; Funeral"),_xlfn.XLOOKUP(Table2[[#This Row],[Benefit Name]],Lookups!$D$18:$D$23,Lookups!$E$18:$E$23,0),
0))))</f>
        <v>0</v>
      </c>
      <c r="J307" s="284">
        <f>IF($I307="","",
IF($I307="MM_LIFE",INDEX('Quotation Tool'!$S$54:$V$60,MATCH($T307,'Quotation Tool'!$S$54:$S$60,0),4),
IF($I307="SP_LIFE",_xlfn.XLOOKUP(B306,$B:$B,$J:$J,0),0)))</f>
        <v>0</v>
      </c>
      <c r="K307" s="287">
        <f t="shared" ca="1" si="33"/>
        <v>0</v>
      </c>
      <c r="L307" s="288">
        <f t="shared" ca="1" si="34"/>
        <v>0</v>
      </c>
      <c r="M307" s="289">
        <f t="shared" ca="1" si="30"/>
        <v>0</v>
      </c>
      <c r="N307" s="286">
        <f>Table13[[#This Row],[Benefit Option]]</f>
        <v>0</v>
      </c>
      <c r="O307" s="284">
        <f>IF(OR(Table2[[#This Row],[Member Type]]="Spouse",Table2[[#This Row],[Member Type]]="Child"),0,
IF(_xlfn.XLOOKUP($N307,Lookups!$D$13:$D$27,Lookups!$F$13:$F$27,0)=Table2[[#This Row],[Table Lookup for Life Cover]],0,
_xlfn.XLOOKUP($N307,Lookups!$D$13:$D$27,Lookups!$F$13:$F$27,0)))</f>
        <v>0</v>
      </c>
      <c r="P307" s="284">
        <f>IF(Table2[[#This Row],[Table Lookup for Funeral]]=0,0,IFERROR(INDEX('Quotation Tool'!$S$54:$V$60,MATCH($T307,'Quotation Tool'!$S$54:$S$60,0),3),0))</f>
        <v>0</v>
      </c>
      <c r="Q307" s="288">
        <f ca="1">IF(OR(Table2[[#This Row],[Benefit Name]]="My Value Plus Life - Main Member",Table2[[#This Row],[Benefit Name]]="My Value Plus Life - Spouse"),0,
IFERROR(VLOOKUP($G307,INDIRECT($O307),$P307,FALSE),0))</f>
        <v>0</v>
      </c>
      <c r="R307" s="288">
        <f ca="1">IF(OR(Table2[[#This Row],[Benefit Name]]="My Value Plus Life - Main Member",Table2[[#This Row],[Benefit Name]]="My Value Plus Life - Spouse"),0,
IFERROR(VLOOKUP($G307,INDIRECT($O307),$P307+1,FALSE),0))</f>
        <v>0</v>
      </c>
      <c r="S307" s="289">
        <f t="shared" ca="1" si="31"/>
        <v>0</v>
      </c>
      <c r="T307" s="284" t="str">
        <f>IF(Table13[[#This Row],[Premium Waiver]]="","None",Table13[[#This Row],[Premium Waiver]])</f>
        <v>None</v>
      </c>
      <c r="U307" s="284">
        <f>Table13[[#This Row],[VAPs Options]]</f>
        <v>0</v>
      </c>
      <c r="V307" s="284">
        <f>Table13[[#This Row],[Annual Increase Option]]</f>
        <v>0</v>
      </c>
      <c r="W307" s="290">
        <f>Table13[[#This Row],[Life Cover Amount]]</f>
        <v>0</v>
      </c>
      <c r="X307" s="290">
        <f>Table13[[#This Row],[Funeral Cover Amount]]</f>
        <v>0</v>
      </c>
      <c r="Y30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0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07" s="301">
        <f t="shared" ca="1" si="32"/>
        <v>0</v>
      </c>
      <c r="AB307" s="298"/>
      <c r="AC307" s="326" t="str">
        <f>IF(Table2[[#This Row],[Member Type]]="Main Member",Lookups!$C$13,
IF(Table2[[#This Row],[Member Type]]="Spouse",_xlfn.XLOOKUP(B307,Table2[Main Member Link ID],Table2[Product Option],0),
IF(AND(Table2[[#This Row],[Member Type]]="Child",_xlfn.XLOOKUP(B307,Table2[Main Member Link ID],Table2[Product Option],0)&lt;&gt;"My Value Plus Life"),Lookups!$C$24,
IF(AND(OR(Table2[[#This Row],[Member Type]]="Parent",Table2[[#This Row],[Member Type]]="Extended"),_xlfn.XLOOKUP(B307,Table2[Main Member Link ID],Table2[Product Option],0)&lt;&gt;"My Value Plus Life"),Lookups!$C$26,""))))</f>
        <v/>
      </c>
      <c r="AD307" s="326" t="str">
        <f>IF(Table2[[#This Row],[Member Type]]="Main Member",Lookups!$C$14,"")</f>
        <v/>
      </c>
      <c r="AE30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Funeral",_xlfn.XLOOKUP(B307,Table2[Main Member Link ID],Table2[Benefit Name],0)=Lookups!$D$14),"",
IF(AND(Table2[[#This Row],[Member Type]]="Spouse",Table2[[#This Row],[Product Option]]="My Value Plus Life &amp; Funeral",_xlfn.XLOOKUP(B306,Table2[Main Member Link ID],Table2[Benefit Name],0)=Lookups!$D$15),Lookups!$D$20,
IF(AND(Table2[[#This Row],[Member Type]]="Spouse",Table2[[#This Row],[Product Option]]="My Value Plus Life &amp; Funeral",_xlfn.XLOOKUP(B306,Table2[Main Member Link ID],Table2[Benefit Name],0)=Lookups!$D$16),"",
IF(AND(Table2[[#This Row],[Member Type]]="Spouse",Table2[[#This Row],[Product Option]]="My Value Plus Life &amp; Funeral",_xlfn.XLOOKUP(B306,Table2[Main Member Link ID],Table2[Benefit Name],0)=Lookups!$D$17),Lookups!$D$21,
IF(AND(Table2[[#This Row],[Member Type]]="Child",Table2[[#This Row],[Product Option]]="My Value Plus Life &amp; Funeral",_xlfn.XLOOKUP(B307,Table2[Main Member Link ID],Table2[Benefit Name],0)=Lookups!$D$14),"",
IF(AND(Table2[[#This Row],[Member Type]]="Child",Table2[[#This Row],[Product Option]]="My Value Plus Life &amp; Funeral",_xlfn.XLOOKUP(B307,Table2[Main Member Link ID],Table2[Benefit Name],0)=Lookups!$D$15),"",
IF(AND(Table2[[#This Row],[Member Type]]="Child",Table2[[#This Row],[Product Option]]="My Value Plus Life &amp; Funeral",_xlfn.XLOOKUP(B307,Table2[Main Member Link ID],Table2[Benefit Name],0)=Lookups!$D$16),Lookups!$D$24,
IF(AND(Table2[[#This Row],[Member Type]]="Child",Table2[[#This Row],[Product Option]]="My Value Plus Life &amp; Funeral",_xlfn.XLOOKUP(B307,Table2[Main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Funeral",_xlfn.XLOOKUP(B307,Table2[Main Member Link ID],Table2[Benefit Name],0)&lt;&gt;Lookups!$D$14),
IF(_xlfn.XLOOKUP(B307,Table2[Main Member Link ID],Table2[Benefit Name],0)=0,"",_xlfn.XLOOKUP(B307,Table2[Main Member Link ID],Table2[Benefit Name],0)),"")))))))))))))))</f>
        <v/>
      </c>
      <c r="AF307" s="327" t="str">
        <f>IF(AND(Table2[[#This Row],[Member Type]]="Main Member",Table2[[#This Row],[Product Option]]="My Value Plus Life &amp; Funeral"),Lookups!$D$15,
IF(AND(Table2[[#This Row],[Member Type]]="Spouse",Table2[[#This Row],[Product Option]]="My Value Plus Life &amp; Funeral",_xlfn.XLOOKUP(B307,Table2[Main Member Link ID],Table2[Benefit Name],0)=Lookups!$D$14),"",
IF(AND(Table2[[#This Row],[Member Type]]="Spouse",Table2[[#This Row],[Product Option]]="My Value Plus Life &amp; Funeral",_xlfn.XLOOKUP(B306,Table2[Main Member Link ID],Table2[Benefit Name],0)=Lookups!$D$16),"",
IF(AND(Table2[[#This Row],[Member Type]]="Spouse",Table2[[#This Row],[Product Option]]="My Value Plus Life &amp; Funeral",_xlfn.XLOOKUP(B306,Table2[Main Member Link ID],Table2[Benefit Name],0)=Lookups!$D$15),"",
IF(AND(Table2[[#This Row],[Member Type]]="Spouse",Table2[[#This Row],[Product Option]]="My Value Plus Life &amp; Funeral",_xlfn.XLOOKUP(B306,Table2[Main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Funeral",_xlfn.XLOOKUP(B307,Table2[Main Member Link ID],Table2[Benefit Name],0)&lt;&gt;Lookups!$D$15),
IF(_xlfn.XLOOKUP(B307,Table2[Main Member Link ID],Table2[Benefit Name],0)=0,"",_xlfn.XLOOKUP(B307,Table2[Main Member Link ID],Table2[Benefit Name],0)),"")
))))))</f>
        <v/>
      </c>
      <c r="AG307" s="327" t="str">
        <f>IF(AND(Table2[[#This Row],[Member Type]]="Main Member",Table2[[#This Row],[Product Option]]="My Value Plus Life &amp; Funeral"),Lookups!$D$16,
IF(AND(Table2[[#This Row],[Member Type]]="Spouse",Table2[[#This Row],[Product Option]]="My Value Plus Life &amp; Funeral",_xlfn.XLOOKUP(B307,Table2[Main Member Link ID],Table2[Benefit Name],0)=Lookups!$D$14),"",
IF(AND(Table2[[#This Row],[Member Type]]="Spouse",Table2[[#This Row],[Product Option]]="My Value Plus Life &amp; Funeral",_xlfn.XLOOKUP(B306,Table2[Main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Funeral",_xlfn.XLOOKUP(B307,Table2[Main Member Link ID],Table2[Benefit Name],0)&lt;&gt;Lookups!$D$16),
IF(_xlfn.XLOOKUP(B307,Table2[Main Member Link ID],Table2[Benefit Name],0)=0,"",_xlfn.XLOOKUP(B307,Table2[Main Member Link ID],Table2[Benefit Name],0)),"")
))))</f>
        <v/>
      </c>
      <c r="AH307" s="327" t="str">
        <f>IF(AND(Table2[[#This Row],[Member Type]]="Main Member",Table2[[#This Row],[Product Option]]="My Value Plus Life &amp; Funeral"),Lookups!$D$17,
IF(AND(Table2[[#This Row],[Member Type]]="Spouse",Table2[[#This Row],[Product Option]]="My Value Plus Life &amp; Funeral",_xlfn.XLOOKUP(B307,Table2[Main Member Link ID],Table2[Benefit Name],0)=Lookups!$D$14),"",
IF(AND(Table2[[#This Row],[Member Type]]="Spouse",Table2[[#This Row],[Product Option]]="My Value Plus Life &amp; Funeral",_xlfn.XLOOKUP(B306,Table2[Main Member Link ID],Table2[Benefit Name],0)=Lookups!$D$16),"",
IF(AND(Table2[[#This Row],[Member Type]]="Child",Table2[[#This Row],[Product Option]]="My Value Plus Life &amp; Funeral"),"",
IF(AND(Table2[[#This Row],[Member Type]]="Child",Table2[[#This Row],[Product Option]]="My Value Plus Life &amp; Funeral",_xlfn.XLOOKUP(B307,Table2[Main Member Link ID],Table2[Benefit Name],0)=Lookups!$D$15),"",
IF(AND(OR(Table2[[#This Row],[Member Type]]="Spouse",Table2[[#This Row],[Member Type]]="Child"),Table2[[#This Row],[Product Option]]="My Value Plus Life &amp; Funeral",_xlfn.XLOOKUP(B307,Table2[Main Member Link ID],Table2[Benefit Name],0)&lt;&gt;Lookups!$D$17),
IF(_xlfn.XLOOKUP(B307,Table2[Main Member Link ID],Table2[Benefit Name],0)=0,"",_xlfn.XLOOKUP(B307,Table2[Main Member Link ID],Table2[Benefit Name],0)),""))))))</f>
        <v/>
      </c>
      <c r="AI307" s="328" t="str">
        <f>IF(AND(Table2[[#This Row],[Member Type]]="Main Member",Table2[[#This Row],[Table Lookup for Life Cover]]="MM_LIFE",Table2[[#This Row],[Age Next Birthday]]&lt;56),1,
IF(AND(Table2[[#This Row],[Member Type]]="Main Member",Table2[[#This Row],[Table Lookup for Life Cover]]="MM_LIFE",Table2[[#This Row],[Age Next Birthday]]&gt;=56),2,
""))</f>
        <v/>
      </c>
      <c r="AJ307" s="328">
        <f>IF(OR(Table2[[#This Row],[Member Type]]="Main Member",Table2[[#This Row],[Main Member Link ID]]=B306),1,0)</f>
        <v>1</v>
      </c>
      <c r="AK307" s="328">
        <f>IF(Table2[[#This Row],[Member Type]]=0,0,
IF(OR(Table2[[#This Row],[Member Type]]="Main Member",Table2[[#This Row],[Main Member Link ID]]&lt;&gt;B307),COUNTIFS(B:B,Table2[[#This Row],[Main Member Link ID]]),
COUNTIFS(B:B,Table2[[#This Row],[Main Member Link ID]],A:A,Table2[[#This Row],[Member Type]])))</f>
        <v>0</v>
      </c>
    </row>
    <row r="308" spans="1:37" x14ac:dyDescent="0.3">
      <c r="A308" s="284">
        <f>Table13[[#This Row],[Member Type]]</f>
        <v>0</v>
      </c>
      <c r="B308" s="284">
        <f>Table13[[#This Row],[Main Member Link ID]]</f>
        <v>0</v>
      </c>
      <c r="C308" s="284">
        <f>Table13[[#This Row],[ID Number]]</f>
        <v>0</v>
      </c>
      <c r="D308" s="285">
        <f>Table13[[#This Row],[Date Of Birth]]</f>
        <v>0</v>
      </c>
      <c r="E308" s="285">
        <f>Table13[[#This Row],[Commencement Date]]</f>
        <v>0</v>
      </c>
      <c r="F308" s="284">
        <f t="shared" si="28"/>
        <v>1</v>
      </c>
      <c r="G308" s="284">
        <f t="shared" si="29"/>
        <v>25</v>
      </c>
      <c r="H308" s="286">
        <f>Table13[[#This Row],[Product Option]]</f>
        <v>0</v>
      </c>
      <c r="I308" s="284">
        <f>IF(AND($A308="Main Member",Table2[[#This Row],[Product Option]]="My Value Plus Life"),"MM_LIFE",
IF(AND($A308="Spouse",Table2[[#This Row],[Product Option]]="My Value Plus Life"),"SP_LIFE",
IF(AND($A308="Main Member",Table2[[#This Row],[Product Option]]="My Value Plus Life &amp; Funeral"),"MM_LIFE",
IF(AND($A308="Spouse",Table2[[#This Row],[Product Option]]="My Value Plus Life &amp; Funeral"),_xlfn.XLOOKUP(Table2[[#This Row],[Benefit Name]],Lookups!$D$18:$D$23,Lookups!$E$18:$E$23,0),
0))))</f>
        <v>0</v>
      </c>
      <c r="J308" s="284">
        <f>IF($I308="","",
IF($I308="MM_LIFE",INDEX('Quotation Tool'!$S$54:$V$60,MATCH($T308,'Quotation Tool'!$S$54:$S$60,0),4),
IF($I308="SP_LIFE",_xlfn.XLOOKUP(B307,$B:$B,$J:$J,0),0)))</f>
        <v>0</v>
      </c>
      <c r="K308" s="287">
        <f t="shared" ca="1" si="33"/>
        <v>0</v>
      </c>
      <c r="L308" s="288">
        <f t="shared" ca="1" si="34"/>
        <v>0</v>
      </c>
      <c r="M308" s="289">
        <f t="shared" ca="1" si="30"/>
        <v>0</v>
      </c>
      <c r="N308" s="286">
        <f>Table13[[#This Row],[Benefit Option]]</f>
        <v>0</v>
      </c>
      <c r="O308" s="284">
        <f>IF(OR(Table2[[#This Row],[Member Type]]="Spouse",Table2[[#This Row],[Member Type]]="Child"),0,
IF(_xlfn.XLOOKUP($N308,Lookups!$D$13:$D$27,Lookups!$F$13:$F$27,0)=Table2[[#This Row],[Table Lookup for Life Cover]],0,
_xlfn.XLOOKUP($N308,Lookups!$D$13:$D$27,Lookups!$F$13:$F$27,0)))</f>
        <v>0</v>
      </c>
      <c r="P308" s="284">
        <f>IF(Table2[[#This Row],[Table Lookup for Funeral]]=0,0,IFERROR(INDEX('Quotation Tool'!$S$54:$V$60,MATCH($T308,'Quotation Tool'!$S$54:$S$60,0),3),0))</f>
        <v>0</v>
      </c>
      <c r="Q308" s="288">
        <f ca="1">IF(OR(Table2[[#This Row],[Benefit Name]]="My Value Plus Life - Main Member",Table2[[#This Row],[Benefit Name]]="My Value Plus Life - Spouse"),0,
IFERROR(VLOOKUP($G308,INDIRECT($O308),$P308,FALSE),0))</f>
        <v>0</v>
      </c>
      <c r="R308" s="288">
        <f ca="1">IF(OR(Table2[[#This Row],[Benefit Name]]="My Value Plus Life - Main Member",Table2[[#This Row],[Benefit Name]]="My Value Plus Life - Spouse"),0,
IFERROR(VLOOKUP($G308,INDIRECT($O308),$P308+1,FALSE),0))</f>
        <v>0</v>
      </c>
      <c r="S308" s="289">
        <f t="shared" ca="1" si="31"/>
        <v>0</v>
      </c>
      <c r="T308" s="284" t="str">
        <f>IF(Table13[[#This Row],[Premium Waiver]]="","None",Table13[[#This Row],[Premium Waiver]])</f>
        <v>None</v>
      </c>
      <c r="U308" s="284">
        <f>Table13[[#This Row],[VAPs Options]]</f>
        <v>0</v>
      </c>
      <c r="V308" s="284">
        <f>Table13[[#This Row],[Annual Increase Option]]</f>
        <v>0</v>
      </c>
      <c r="W308" s="290">
        <f>Table13[[#This Row],[Life Cover Amount]]</f>
        <v>0</v>
      </c>
      <c r="X308" s="290">
        <f>Table13[[#This Row],[Funeral Cover Amount]]</f>
        <v>0</v>
      </c>
      <c r="Y30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0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08" s="301">
        <f t="shared" ca="1" si="32"/>
        <v>0</v>
      </c>
      <c r="AB308" s="298"/>
      <c r="AC308" s="326" t="str">
        <f>IF(Table2[[#This Row],[Member Type]]="Main Member",Lookups!$C$13,
IF(Table2[[#This Row],[Member Type]]="Spouse",_xlfn.XLOOKUP(B308,Table2[Main Member Link ID],Table2[Product Option],0),
IF(AND(Table2[[#This Row],[Member Type]]="Child",_xlfn.XLOOKUP(B308,Table2[Main Member Link ID],Table2[Product Option],0)&lt;&gt;"My Value Plus Life"),Lookups!$C$24,
IF(AND(OR(Table2[[#This Row],[Member Type]]="Parent",Table2[[#This Row],[Member Type]]="Extended"),_xlfn.XLOOKUP(B308,Table2[Main Member Link ID],Table2[Product Option],0)&lt;&gt;"My Value Plus Life"),Lookups!$C$26,""))))</f>
        <v/>
      </c>
      <c r="AD308" s="326" t="str">
        <f>IF(Table2[[#This Row],[Member Type]]="Main Member",Lookups!$C$14,"")</f>
        <v/>
      </c>
      <c r="AE30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Funeral",_xlfn.XLOOKUP(B308,Table2[Main Member Link ID],Table2[Benefit Name],0)=Lookups!$D$14),"",
IF(AND(Table2[[#This Row],[Member Type]]="Spouse",Table2[[#This Row],[Product Option]]="My Value Plus Life &amp; Funeral",_xlfn.XLOOKUP(B307,Table2[Main Member Link ID],Table2[Benefit Name],0)=Lookups!$D$15),Lookups!$D$20,
IF(AND(Table2[[#This Row],[Member Type]]="Spouse",Table2[[#This Row],[Product Option]]="My Value Plus Life &amp; Funeral",_xlfn.XLOOKUP(B307,Table2[Main Member Link ID],Table2[Benefit Name],0)=Lookups!$D$16),"",
IF(AND(Table2[[#This Row],[Member Type]]="Spouse",Table2[[#This Row],[Product Option]]="My Value Plus Life &amp; Funeral",_xlfn.XLOOKUP(B307,Table2[Main Member Link ID],Table2[Benefit Name],0)=Lookups!$D$17),Lookups!$D$21,
IF(AND(Table2[[#This Row],[Member Type]]="Child",Table2[[#This Row],[Product Option]]="My Value Plus Life &amp; Funeral",_xlfn.XLOOKUP(B308,Table2[Main Member Link ID],Table2[Benefit Name],0)=Lookups!$D$14),"",
IF(AND(Table2[[#This Row],[Member Type]]="Child",Table2[[#This Row],[Product Option]]="My Value Plus Life &amp; Funeral",_xlfn.XLOOKUP(B308,Table2[Main Member Link ID],Table2[Benefit Name],0)=Lookups!$D$15),"",
IF(AND(Table2[[#This Row],[Member Type]]="Child",Table2[[#This Row],[Product Option]]="My Value Plus Life &amp; Funeral",_xlfn.XLOOKUP(B308,Table2[Main Member Link ID],Table2[Benefit Name],0)=Lookups!$D$16),Lookups!$D$24,
IF(AND(Table2[[#This Row],[Member Type]]="Child",Table2[[#This Row],[Product Option]]="My Value Plus Life &amp; Funeral",_xlfn.XLOOKUP(B308,Table2[Main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Funeral",_xlfn.XLOOKUP(B308,Table2[Main Member Link ID],Table2[Benefit Name],0)&lt;&gt;Lookups!$D$14),
IF(_xlfn.XLOOKUP(B308,Table2[Main Member Link ID],Table2[Benefit Name],0)=0,"",_xlfn.XLOOKUP(B308,Table2[Main Member Link ID],Table2[Benefit Name],0)),"")))))))))))))))</f>
        <v/>
      </c>
      <c r="AF308" s="327" t="str">
        <f>IF(AND(Table2[[#This Row],[Member Type]]="Main Member",Table2[[#This Row],[Product Option]]="My Value Plus Life &amp; Funeral"),Lookups!$D$15,
IF(AND(Table2[[#This Row],[Member Type]]="Spouse",Table2[[#This Row],[Product Option]]="My Value Plus Life &amp; Funeral",_xlfn.XLOOKUP(B308,Table2[Main Member Link ID],Table2[Benefit Name],0)=Lookups!$D$14),"",
IF(AND(Table2[[#This Row],[Member Type]]="Spouse",Table2[[#This Row],[Product Option]]="My Value Plus Life &amp; Funeral",_xlfn.XLOOKUP(B307,Table2[Main Member Link ID],Table2[Benefit Name],0)=Lookups!$D$16),"",
IF(AND(Table2[[#This Row],[Member Type]]="Spouse",Table2[[#This Row],[Product Option]]="My Value Plus Life &amp; Funeral",_xlfn.XLOOKUP(B307,Table2[Main Member Link ID],Table2[Benefit Name],0)=Lookups!$D$15),"",
IF(AND(Table2[[#This Row],[Member Type]]="Spouse",Table2[[#This Row],[Product Option]]="My Value Plus Life &amp; Funeral",_xlfn.XLOOKUP(B307,Table2[Main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Funeral",_xlfn.XLOOKUP(B308,Table2[Main Member Link ID],Table2[Benefit Name],0)&lt;&gt;Lookups!$D$15),
IF(_xlfn.XLOOKUP(B308,Table2[Main Member Link ID],Table2[Benefit Name],0)=0,"",_xlfn.XLOOKUP(B308,Table2[Main Member Link ID],Table2[Benefit Name],0)),"")
))))))</f>
        <v/>
      </c>
      <c r="AG308" s="327" t="str">
        <f>IF(AND(Table2[[#This Row],[Member Type]]="Main Member",Table2[[#This Row],[Product Option]]="My Value Plus Life &amp; Funeral"),Lookups!$D$16,
IF(AND(Table2[[#This Row],[Member Type]]="Spouse",Table2[[#This Row],[Product Option]]="My Value Plus Life &amp; Funeral",_xlfn.XLOOKUP(B308,Table2[Main Member Link ID],Table2[Benefit Name],0)=Lookups!$D$14),"",
IF(AND(Table2[[#This Row],[Member Type]]="Spouse",Table2[[#This Row],[Product Option]]="My Value Plus Life &amp; Funeral",_xlfn.XLOOKUP(B307,Table2[Main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Funeral",_xlfn.XLOOKUP(B308,Table2[Main Member Link ID],Table2[Benefit Name],0)&lt;&gt;Lookups!$D$16),
IF(_xlfn.XLOOKUP(B308,Table2[Main Member Link ID],Table2[Benefit Name],0)=0,"",_xlfn.XLOOKUP(B308,Table2[Main Member Link ID],Table2[Benefit Name],0)),"")
))))</f>
        <v/>
      </c>
      <c r="AH308" s="327" t="str">
        <f>IF(AND(Table2[[#This Row],[Member Type]]="Main Member",Table2[[#This Row],[Product Option]]="My Value Plus Life &amp; Funeral"),Lookups!$D$17,
IF(AND(Table2[[#This Row],[Member Type]]="Spouse",Table2[[#This Row],[Product Option]]="My Value Plus Life &amp; Funeral",_xlfn.XLOOKUP(B308,Table2[Main Member Link ID],Table2[Benefit Name],0)=Lookups!$D$14),"",
IF(AND(Table2[[#This Row],[Member Type]]="Spouse",Table2[[#This Row],[Product Option]]="My Value Plus Life &amp; Funeral",_xlfn.XLOOKUP(B307,Table2[Main Member Link ID],Table2[Benefit Name],0)=Lookups!$D$16),"",
IF(AND(Table2[[#This Row],[Member Type]]="Child",Table2[[#This Row],[Product Option]]="My Value Plus Life &amp; Funeral"),"",
IF(AND(Table2[[#This Row],[Member Type]]="Child",Table2[[#This Row],[Product Option]]="My Value Plus Life &amp; Funeral",_xlfn.XLOOKUP(B308,Table2[Main Member Link ID],Table2[Benefit Name],0)=Lookups!$D$15),"",
IF(AND(OR(Table2[[#This Row],[Member Type]]="Spouse",Table2[[#This Row],[Member Type]]="Child"),Table2[[#This Row],[Product Option]]="My Value Plus Life &amp; Funeral",_xlfn.XLOOKUP(B308,Table2[Main Member Link ID],Table2[Benefit Name],0)&lt;&gt;Lookups!$D$17),
IF(_xlfn.XLOOKUP(B308,Table2[Main Member Link ID],Table2[Benefit Name],0)=0,"",_xlfn.XLOOKUP(B308,Table2[Main Member Link ID],Table2[Benefit Name],0)),""))))))</f>
        <v/>
      </c>
      <c r="AI308" s="328" t="str">
        <f>IF(AND(Table2[[#This Row],[Member Type]]="Main Member",Table2[[#This Row],[Table Lookup for Life Cover]]="MM_LIFE",Table2[[#This Row],[Age Next Birthday]]&lt;56),1,
IF(AND(Table2[[#This Row],[Member Type]]="Main Member",Table2[[#This Row],[Table Lookup for Life Cover]]="MM_LIFE",Table2[[#This Row],[Age Next Birthday]]&gt;=56),2,
""))</f>
        <v/>
      </c>
      <c r="AJ308" s="328">
        <f>IF(OR(Table2[[#This Row],[Member Type]]="Main Member",Table2[[#This Row],[Main Member Link ID]]=B307),1,0)</f>
        <v>1</v>
      </c>
      <c r="AK308" s="328">
        <f>IF(Table2[[#This Row],[Member Type]]=0,0,
IF(OR(Table2[[#This Row],[Member Type]]="Main Member",Table2[[#This Row],[Main Member Link ID]]&lt;&gt;B308),COUNTIFS(B:B,Table2[[#This Row],[Main Member Link ID]]),
COUNTIFS(B:B,Table2[[#This Row],[Main Member Link ID]],A:A,Table2[[#This Row],[Member Type]])))</f>
        <v>0</v>
      </c>
    </row>
    <row r="309" spans="1:37" x14ac:dyDescent="0.3">
      <c r="A309" s="284">
        <f>Table13[[#This Row],[Member Type]]</f>
        <v>0</v>
      </c>
      <c r="B309" s="284">
        <f>Table13[[#This Row],[Main Member Link ID]]</f>
        <v>0</v>
      </c>
      <c r="C309" s="284">
        <f>Table13[[#This Row],[ID Number]]</f>
        <v>0</v>
      </c>
      <c r="D309" s="285">
        <f>Table13[[#This Row],[Date Of Birth]]</f>
        <v>0</v>
      </c>
      <c r="E309" s="285">
        <f>Table13[[#This Row],[Commencement Date]]</f>
        <v>0</v>
      </c>
      <c r="F309" s="284">
        <f t="shared" si="28"/>
        <v>1</v>
      </c>
      <c r="G309" s="284">
        <f t="shared" si="29"/>
        <v>25</v>
      </c>
      <c r="H309" s="286">
        <f>Table13[[#This Row],[Product Option]]</f>
        <v>0</v>
      </c>
      <c r="I309" s="284">
        <f>IF(AND($A309="Main Member",Table2[[#This Row],[Product Option]]="My Value Plus Life"),"MM_LIFE",
IF(AND($A309="Spouse",Table2[[#This Row],[Product Option]]="My Value Plus Life"),"SP_LIFE",
IF(AND($A309="Main Member",Table2[[#This Row],[Product Option]]="My Value Plus Life &amp; Funeral"),"MM_LIFE",
IF(AND($A309="Spouse",Table2[[#This Row],[Product Option]]="My Value Plus Life &amp; Funeral"),_xlfn.XLOOKUP(Table2[[#This Row],[Benefit Name]],Lookups!$D$18:$D$23,Lookups!$E$18:$E$23,0),
0))))</f>
        <v>0</v>
      </c>
      <c r="J309" s="284">
        <f>IF($I309="","",
IF($I309="MM_LIFE",INDEX('Quotation Tool'!$S$54:$V$60,MATCH($T309,'Quotation Tool'!$S$54:$S$60,0),4),
IF($I309="SP_LIFE",_xlfn.XLOOKUP(B308,$B:$B,$J:$J,0),0)))</f>
        <v>0</v>
      </c>
      <c r="K309" s="287">
        <f t="shared" ca="1" si="33"/>
        <v>0</v>
      </c>
      <c r="L309" s="288">
        <f t="shared" ca="1" si="34"/>
        <v>0</v>
      </c>
      <c r="M309" s="289">
        <f t="shared" ca="1" si="30"/>
        <v>0</v>
      </c>
      <c r="N309" s="286">
        <f>Table13[[#This Row],[Benefit Option]]</f>
        <v>0</v>
      </c>
      <c r="O309" s="284">
        <f>IF(OR(Table2[[#This Row],[Member Type]]="Spouse",Table2[[#This Row],[Member Type]]="Child"),0,
IF(_xlfn.XLOOKUP($N309,Lookups!$D$13:$D$27,Lookups!$F$13:$F$27,0)=Table2[[#This Row],[Table Lookup for Life Cover]],0,
_xlfn.XLOOKUP($N309,Lookups!$D$13:$D$27,Lookups!$F$13:$F$27,0)))</f>
        <v>0</v>
      </c>
      <c r="P309" s="284">
        <f>IF(Table2[[#This Row],[Table Lookup for Funeral]]=0,0,IFERROR(INDEX('Quotation Tool'!$S$54:$V$60,MATCH($T309,'Quotation Tool'!$S$54:$S$60,0),3),0))</f>
        <v>0</v>
      </c>
      <c r="Q309" s="288">
        <f ca="1">IF(OR(Table2[[#This Row],[Benefit Name]]="My Value Plus Life - Main Member",Table2[[#This Row],[Benefit Name]]="My Value Plus Life - Spouse"),0,
IFERROR(VLOOKUP($G309,INDIRECT($O309),$P309,FALSE),0))</f>
        <v>0</v>
      </c>
      <c r="R309" s="288">
        <f ca="1">IF(OR(Table2[[#This Row],[Benefit Name]]="My Value Plus Life - Main Member",Table2[[#This Row],[Benefit Name]]="My Value Plus Life - Spouse"),0,
IFERROR(VLOOKUP($G309,INDIRECT($O309),$P309+1,FALSE),0))</f>
        <v>0</v>
      </c>
      <c r="S309" s="289">
        <f t="shared" ca="1" si="31"/>
        <v>0</v>
      </c>
      <c r="T309" s="284" t="str">
        <f>IF(Table13[[#This Row],[Premium Waiver]]="","None",Table13[[#This Row],[Premium Waiver]])</f>
        <v>None</v>
      </c>
      <c r="U309" s="284">
        <f>Table13[[#This Row],[VAPs Options]]</f>
        <v>0</v>
      </c>
      <c r="V309" s="284">
        <f>Table13[[#This Row],[Annual Increase Option]]</f>
        <v>0</v>
      </c>
      <c r="W309" s="290">
        <f>Table13[[#This Row],[Life Cover Amount]]</f>
        <v>0</v>
      </c>
      <c r="X309" s="290">
        <f>Table13[[#This Row],[Funeral Cover Amount]]</f>
        <v>0</v>
      </c>
      <c r="Y30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0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09" s="301">
        <f t="shared" ca="1" si="32"/>
        <v>0</v>
      </c>
      <c r="AB309" s="298"/>
      <c r="AC309" s="326" t="str">
        <f>IF(Table2[[#This Row],[Member Type]]="Main Member",Lookups!$C$13,
IF(Table2[[#This Row],[Member Type]]="Spouse",_xlfn.XLOOKUP(B309,Table2[Main Member Link ID],Table2[Product Option],0),
IF(AND(Table2[[#This Row],[Member Type]]="Child",_xlfn.XLOOKUP(B309,Table2[Main Member Link ID],Table2[Product Option],0)&lt;&gt;"My Value Plus Life"),Lookups!$C$24,
IF(AND(OR(Table2[[#This Row],[Member Type]]="Parent",Table2[[#This Row],[Member Type]]="Extended"),_xlfn.XLOOKUP(B309,Table2[Main Member Link ID],Table2[Product Option],0)&lt;&gt;"My Value Plus Life"),Lookups!$C$26,""))))</f>
        <v/>
      </c>
      <c r="AD309" s="326" t="str">
        <f>IF(Table2[[#This Row],[Member Type]]="Main Member",Lookups!$C$14,"")</f>
        <v/>
      </c>
      <c r="AE30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Funeral",_xlfn.XLOOKUP(B309,Table2[Main Member Link ID],Table2[Benefit Name],0)=Lookups!$D$14),"",
IF(AND(Table2[[#This Row],[Member Type]]="Spouse",Table2[[#This Row],[Product Option]]="My Value Plus Life &amp; Funeral",_xlfn.XLOOKUP(B308,Table2[Main Member Link ID],Table2[Benefit Name],0)=Lookups!$D$15),Lookups!$D$20,
IF(AND(Table2[[#This Row],[Member Type]]="Spouse",Table2[[#This Row],[Product Option]]="My Value Plus Life &amp; Funeral",_xlfn.XLOOKUP(B308,Table2[Main Member Link ID],Table2[Benefit Name],0)=Lookups!$D$16),"",
IF(AND(Table2[[#This Row],[Member Type]]="Spouse",Table2[[#This Row],[Product Option]]="My Value Plus Life &amp; Funeral",_xlfn.XLOOKUP(B308,Table2[Main Member Link ID],Table2[Benefit Name],0)=Lookups!$D$17),Lookups!$D$21,
IF(AND(Table2[[#This Row],[Member Type]]="Child",Table2[[#This Row],[Product Option]]="My Value Plus Life &amp; Funeral",_xlfn.XLOOKUP(B309,Table2[Main Member Link ID],Table2[Benefit Name],0)=Lookups!$D$14),"",
IF(AND(Table2[[#This Row],[Member Type]]="Child",Table2[[#This Row],[Product Option]]="My Value Plus Life &amp; Funeral",_xlfn.XLOOKUP(B309,Table2[Main Member Link ID],Table2[Benefit Name],0)=Lookups!$D$15),"",
IF(AND(Table2[[#This Row],[Member Type]]="Child",Table2[[#This Row],[Product Option]]="My Value Plus Life &amp; Funeral",_xlfn.XLOOKUP(B309,Table2[Main Member Link ID],Table2[Benefit Name],0)=Lookups!$D$16),Lookups!$D$24,
IF(AND(Table2[[#This Row],[Member Type]]="Child",Table2[[#This Row],[Product Option]]="My Value Plus Life &amp; Funeral",_xlfn.XLOOKUP(B309,Table2[Main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Funeral",_xlfn.XLOOKUP(B309,Table2[Main Member Link ID],Table2[Benefit Name],0)&lt;&gt;Lookups!$D$14),
IF(_xlfn.XLOOKUP(B309,Table2[Main Member Link ID],Table2[Benefit Name],0)=0,"",_xlfn.XLOOKUP(B309,Table2[Main Member Link ID],Table2[Benefit Name],0)),"")))))))))))))))</f>
        <v/>
      </c>
      <c r="AF309" s="327" t="str">
        <f>IF(AND(Table2[[#This Row],[Member Type]]="Main Member",Table2[[#This Row],[Product Option]]="My Value Plus Life &amp; Funeral"),Lookups!$D$15,
IF(AND(Table2[[#This Row],[Member Type]]="Spouse",Table2[[#This Row],[Product Option]]="My Value Plus Life &amp; Funeral",_xlfn.XLOOKUP(B309,Table2[Main Member Link ID],Table2[Benefit Name],0)=Lookups!$D$14),"",
IF(AND(Table2[[#This Row],[Member Type]]="Spouse",Table2[[#This Row],[Product Option]]="My Value Plus Life &amp; Funeral",_xlfn.XLOOKUP(B308,Table2[Main Member Link ID],Table2[Benefit Name],0)=Lookups!$D$16),"",
IF(AND(Table2[[#This Row],[Member Type]]="Spouse",Table2[[#This Row],[Product Option]]="My Value Plus Life &amp; Funeral",_xlfn.XLOOKUP(B308,Table2[Main Member Link ID],Table2[Benefit Name],0)=Lookups!$D$15),"",
IF(AND(Table2[[#This Row],[Member Type]]="Spouse",Table2[[#This Row],[Product Option]]="My Value Plus Life &amp; Funeral",_xlfn.XLOOKUP(B308,Table2[Main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Funeral",_xlfn.XLOOKUP(B309,Table2[Main Member Link ID],Table2[Benefit Name],0)&lt;&gt;Lookups!$D$15),
IF(_xlfn.XLOOKUP(B309,Table2[Main Member Link ID],Table2[Benefit Name],0)=0,"",_xlfn.XLOOKUP(B309,Table2[Main Member Link ID],Table2[Benefit Name],0)),"")
))))))</f>
        <v/>
      </c>
      <c r="AG309" s="327" t="str">
        <f>IF(AND(Table2[[#This Row],[Member Type]]="Main Member",Table2[[#This Row],[Product Option]]="My Value Plus Life &amp; Funeral"),Lookups!$D$16,
IF(AND(Table2[[#This Row],[Member Type]]="Spouse",Table2[[#This Row],[Product Option]]="My Value Plus Life &amp; Funeral",_xlfn.XLOOKUP(B309,Table2[Main Member Link ID],Table2[Benefit Name],0)=Lookups!$D$14),"",
IF(AND(Table2[[#This Row],[Member Type]]="Spouse",Table2[[#This Row],[Product Option]]="My Value Plus Life &amp; Funeral",_xlfn.XLOOKUP(B308,Table2[Main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Funeral",_xlfn.XLOOKUP(B309,Table2[Main Member Link ID],Table2[Benefit Name],0)&lt;&gt;Lookups!$D$16),
IF(_xlfn.XLOOKUP(B309,Table2[Main Member Link ID],Table2[Benefit Name],0)=0,"",_xlfn.XLOOKUP(B309,Table2[Main Member Link ID],Table2[Benefit Name],0)),"")
))))</f>
        <v/>
      </c>
      <c r="AH309" s="327" t="str">
        <f>IF(AND(Table2[[#This Row],[Member Type]]="Main Member",Table2[[#This Row],[Product Option]]="My Value Plus Life &amp; Funeral"),Lookups!$D$17,
IF(AND(Table2[[#This Row],[Member Type]]="Spouse",Table2[[#This Row],[Product Option]]="My Value Plus Life &amp; Funeral",_xlfn.XLOOKUP(B309,Table2[Main Member Link ID],Table2[Benefit Name],0)=Lookups!$D$14),"",
IF(AND(Table2[[#This Row],[Member Type]]="Spouse",Table2[[#This Row],[Product Option]]="My Value Plus Life &amp; Funeral",_xlfn.XLOOKUP(B308,Table2[Main Member Link ID],Table2[Benefit Name],0)=Lookups!$D$16),"",
IF(AND(Table2[[#This Row],[Member Type]]="Child",Table2[[#This Row],[Product Option]]="My Value Plus Life &amp; Funeral"),"",
IF(AND(Table2[[#This Row],[Member Type]]="Child",Table2[[#This Row],[Product Option]]="My Value Plus Life &amp; Funeral",_xlfn.XLOOKUP(B309,Table2[Main Member Link ID],Table2[Benefit Name],0)=Lookups!$D$15),"",
IF(AND(OR(Table2[[#This Row],[Member Type]]="Spouse",Table2[[#This Row],[Member Type]]="Child"),Table2[[#This Row],[Product Option]]="My Value Plus Life &amp; Funeral",_xlfn.XLOOKUP(B309,Table2[Main Member Link ID],Table2[Benefit Name],0)&lt;&gt;Lookups!$D$17),
IF(_xlfn.XLOOKUP(B309,Table2[Main Member Link ID],Table2[Benefit Name],0)=0,"",_xlfn.XLOOKUP(B309,Table2[Main Member Link ID],Table2[Benefit Name],0)),""))))))</f>
        <v/>
      </c>
      <c r="AI309" s="328" t="str">
        <f>IF(AND(Table2[[#This Row],[Member Type]]="Main Member",Table2[[#This Row],[Table Lookup for Life Cover]]="MM_LIFE",Table2[[#This Row],[Age Next Birthday]]&lt;56),1,
IF(AND(Table2[[#This Row],[Member Type]]="Main Member",Table2[[#This Row],[Table Lookup for Life Cover]]="MM_LIFE",Table2[[#This Row],[Age Next Birthday]]&gt;=56),2,
""))</f>
        <v/>
      </c>
      <c r="AJ309" s="328">
        <f>IF(OR(Table2[[#This Row],[Member Type]]="Main Member",Table2[[#This Row],[Main Member Link ID]]=B308),1,0)</f>
        <v>1</v>
      </c>
      <c r="AK309" s="328">
        <f>IF(Table2[[#This Row],[Member Type]]=0,0,
IF(OR(Table2[[#This Row],[Member Type]]="Main Member",Table2[[#This Row],[Main Member Link ID]]&lt;&gt;B309),COUNTIFS(B:B,Table2[[#This Row],[Main Member Link ID]]),
COUNTIFS(B:B,Table2[[#This Row],[Main Member Link ID]],A:A,Table2[[#This Row],[Member Type]])))</f>
        <v>0</v>
      </c>
    </row>
    <row r="310" spans="1:37" x14ac:dyDescent="0.3">
      <c r="A310" s="284">
        <f>Table13[[#This Row],[Member Type]]</f>
        <v>0</v>
      </c>
      <c r="B310" s="284">
        <f>Table13[[#This Row],[Main Member Link ID]]</f>
        <v>0</v>
      </c>
      <c r="C310" s="284">
        <f>Table13[[#This Row],[ID Number]]</f>
        <v>0</v>
      </c>
      <c r="D310" s="285">
        <f>Table13[[#This Row],[Date Of Birth]]</f>
        <v>0</v>
      </c>
      <c r="E310" s="285">
        <f>Table13[[#This Row],[Commencement Date]]</f>
        <v>0</v>
      </c>
      <c r="F310" s="284">
        <f t="shared" si="28"/>
        <v>1</v>
      </c>
      <c r="G310" s="284">
        <f t="shared" si="29"/>
        <v>25</v>
      </c>
      <c r="H310" s="286">
        <f>Table13[[#This Row],[Product Option]]</f>
        <v>0</v>
      </c>
      <c r="I310" s="284">
        <f>IF(AND($A310="Main Member",Table2[[#This Row],[Product Option]]="My Value Plus Life"),"MM_LIFE",
IF(AND($A310="Spouse",Table2[[#This Row],[Product Option]]="My Value Plus Life"),"SP_LIFE",
IF(AND($A310="Main Member",Table2[[#This Row],[Product Option]]="My Value Plus Life &amp; Funeral"),"MM_LIFE",
IF(AND($A310="Spouse",Table2[[#This Row],[Product Option]]="My Value Plus Life &amp; Funeral"),_xlfn.XLOOKUP(Table2[[#This Row],[Benefit Name]],Lookups!$D$18:$D$23,Lookups!$E$18:$E$23,0),
0))))</f>
        <v>0</v>
      </c>
      <c r="J310" s="284">
        <f>IF($I310="","",
IF($I310="MM_LIFE",INDEX('Quotation Tool'!$S$54:$V$60,MATCH($T310,'Quotation Tool'!$S$54:$S$60,0),4),
IF($I310="SP_LIFE",_xlfn.XLOOKUP(B309,$B:$B,$J:$J,0),0)))</f>
        <v>0</v>
      </c>
      <c r="K310" s="287">
        <f t="shared" ca="1" si="33"/>
        <v>0</v>
      </c>
      <c r="L310" s="288">
        <f t="shared" ca="1" si="34"/>
        <v>0</v>
      </c>
      <c r="M310" s="289">
        <f t="shared" ca="1" si="30"/>
        <v>0</v>
      </c>
      <c r="N310" s="286">
        <f>Table13[[#This Row],[Benefit Option]]</f>
        <v>0</v>
      </c>
      <c r="O310" s="284">
        <f>IF(OR(Table2[[#This Row],[Member Type]]="Spouse",Table2[[#This Row],[Member Type]]="Child"),0,
IF(_xlfn.XLOOKUP($N310,Lookups!$D$13:$D$27,Lookups!$F$13:$F$27,0)=Table2[[#This Row],[Table Lookup for Life Cover]],0,
_xlfn.XLOOKUP($N310,Lookups!$D$13:$D$27,Lookups!$F$13:$F$27,0)))</f>
        <v>0</v>
      </c>
      <c r="P310" s="284">
        <f>IF(Table2[[#This Row],[Table Lookup for Funeral]]=0,0,IFERROR(INDEX('Quotation Tool'!$S$54:$V$60,MATCH($T310,'Quotation Tool'!$S$54:$S$60,0),3),0))</f>
        <v>0</v>
      </c>
      <c r="Q310" s="288">
        <f ca="1">IF(OR(Table2[[#This Row],[Benefit Name]]="My Value Plus Life - Main Member",Table2[[#This Row],[Benefit Name]]="My Value Plus Life - Spouse"),0,
IFERROR(VLOOKUP($G310,INDIRECT($O310),$P310,FALSE),0))</f>
        <v>0</v>
      </c>
      <c r="R310" s="288">
        <f ca="1">IF(OR(Table2[[#This Row],[Benefit Name]]="My Value Plus Life - Main Member",Table2[[#This Row],[Benefit Name]]="My Value Plus Life - Spouse"),0,
IFERROR(VLOOKUP($G310,INDIRECT($O310),$P310+1,FALSE),0))</f>
        <v>0</v>
      </c>
      <c r="S310" s="289">
        <f t="shared" ca="1" si="31"/>
        <v>0</v>
      </c>
      <c r="T310" s="284" t="str">
        <f>IF(Table13[[#This Row],[Premium Waiver]]="","None",Table13[[#This Row],[Premium Waiver]])</f>
        <v>None</v>
      </c>
      <c r="U310" s="284">
        <f>Table13[[#This Row],[VAPs Options]]</f>
        <v>0</v>
      </c>
      <c r="V310" s="284">
        <f>Table13[[#This Row],[Annual Increase Option]]</f>
        <v>0</v>
      </c>
      <c r="W310" s="290">
        <f>Table13[[#This Row],[Life Cover Amount]]</f>
        <v>0</v>
      </c>
      <c r="X310" s="290">
        <f>Table13[[#This Row],[Funeral Cover Amount]]</f>
        <v>0</v>
      </c>
      <c r="Y31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1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10" s="301">
        <f t="shared" ca="1" si="32"/>
        <v>0</v>
      </c>
      <c r="AB310" s="298"/>
      <c r="AC310" s="326" t="str">
        <f>IF(Table2[[#This Row],[Member Type]]="Main Member",Lookups!$C$13,
IF(Table2[[#This Row],[Member Type]]="Spouse",_xlfn.XLOOKUP(B310,Table2[Main Member Link ID],Table2[Product Option],0),
IF(AND(Table2[[#This Row],[Member Type]]="Child",_xlfn.XLOOKUP(B310,Table2[Main Member Link ID],Table2[Product Option],0)&lt;&gt;"My Value Plus Life"),Lookups!$C$24,
IF(AND(OR(Table2[[#This Row],[Member Type]]="Parent",Table2[[#This Row],[Member Type]]="Extended"),_xlfn.XLOOKUP(B310,Table2[Main Member Link ID],Table2[Product Option],0)&lt;&gt;"My Value Plus Life"),Lookups!$C$26,""))))</f>
        <v/>
      </c>
      <c r="AD310" s="326" t="str">
        <f>IF(Table2[[#This Row],[Member Type]]="Main Member",Lookups!$C$14,"")</f>
        <v/>
      </c>
      <c r="AE31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Funeral",_xlfn.XLOOKUP(B310,Table2[Main Member Link ID],Table2[Benefit Name],0)=Lookups!$D$14),"",
IF(AND(Table2[[#This Row],[Member Type]]="Spouse",Table2[[#This Row],[Product Option]]="My Value Plus Life &amp; Funeral",_xlfn.XLOOKUP(B309,Table2[Main Member Link ID],Table2[Benefit Name],0)=Lookups!$D$15),Lookups!$D$20,
IF(AND(Table2[[#This Row],[Member Type]]="Spouse",Table2[[#This Row],[Product Option]]="My Value Plus Life &amp; Funeral",_xlfn.XLOOKUP(B309,Table2[Main Member Link ID],Table2[Benefit Name],0)=Lookups!$D$16),"",
IF(AND(Table2[[#This Row],[Member Type]]="Spouse",Table2[[#This Row],[Product Option]]="My Value Plus Life &amp; Funeral",_xlfn.XLOOKUP(B309,Table2[Main Member Link ID],Table2[Benefit Name],0)=Lookups!$D$17),Lookups!$D$21,
IF(AND(Table2[[#This Row],[Member Type]]="Child",Table2[[#This Row],[Product Option]]="My Value Plus Life &amp; Funeral",_xlfn.XLOOKUP(B310,Table2[Main Member Link ID],Table2[Benefit Name],0)=Lookups!$D$14),"",
IF(AND(Table2[[#This Row],[Member Type]]="Child",Table2[[#This Row],[Product Option]]="My Value Plus Life &amp; Funeral",_xlfn.XLOOKUP(B310,Table2[Main Member Link ID],Table2[Benefit Name],0)=Lookups!$D$15),"",
IF(AND(Table2[[#This Row],[Member Type]]="Child",Table2[[#This Row],[Product Option]]="My Value Plus Life &amp; Funeral",_xlfn.XLOOKUP(B310,Table2[Main Member Link ID],Table2[Benefit Name],0)=Lookups!$D$16),Lookups!$D$24,
IF(AND(Table2[[#This Row],[Member Type]]="Child",Table2[[#This Row],[Product Option]]="My Value Plus Life &amp; Funeral",_xlfn.XLOOKUP(B310,Table2[Main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Funeral",_xlfn.XLOOKUP(B310,Table2[Main Member Link ID],Table2[Benefit Name],0)&lt;&gt;Lookups!$D$14),
IF(_xlfn.XLOOKUP(B310,Table2[Main Member Link ID],Table2[Benefit Name],0)=0,"",_xlfn.XLOOKUP(B310,Table2[Main Member Link ID],Table2[Benefit Name],0)),"")))))))))))))))</f>
        <v/>
      </c>
      <c r="AF310" s="327" t="str">
        <f>IF(AND(Table2[[#This Row],[Member Type]]="Main Member",Table2[[#This Row],[Product Option]]="My Value Plus Life &amp; Funeral"),Lookups!$D$15,
IF(AND(Table2[[#This Row],[Member Type]]="Spouse",Table2[[#This Row],[Product Option]]="My Value Plus Life &amp; Funeral",_xlfn.XLOOKUP(B310,Table2[Main Member Link ID],Table2[Benefit Name],0)=Lookups!$D$14),"",
IF(AND(Table2[[#This Row],[Member Type]]="Spouse",Table2[[#This Row],[Product Option]]="My Value Plus Life &amp; Funeral",_xlfn.XLOOKUP(B309,Table2[Main Member Link ID],Table2[Benefit Name],0)=Lookups!$D$16),"",
IF(AND(Table2[[#This Row],[Member Type]]="Spouse",Table2[[#This Row],[Product Option]]="My Value Plus Life &amp; Funeral",_xlfn.XLOOKUP(B309,Table2[Main Member Link ID],Table2[Benefit Name],0)=Lookups!$D$15),"",
IF(AND(Table2[[#This Row],[Member Type]]="Spouse",Table2[[#This Row],[Product Option]]="My Value Plus Life &amp; Funeral",_xlfn.XLOOKUP(B309,Table2[Main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Funeral",_xlfn.XLOOKUP(B310,Table2[Main Member Link ID],Table2[Benefit Name],0)&lt;&gt;Lookups!$D$15),
IF(_xlfn.XLOOKUP(B310,Table2[Main Member Link ID],Table2[Benefit Name],0)=0,"",_xlfn.XLOOKUP(B310,Table2[Main Member Link ID],Table2[Benefit Name],0)),"")
))))))</f>
        <v/>
      </c>
      <c r="AG310" s="327" t="str">
        <f>IF(AND(Table2[[#This Row],[Member Type]]="Main Member",Table2[[#This Row],[Product Option]]="My Value Plus Life &amp; Funeral"),Lookups!$D$16,
IF(AND(Table2[[#This Row],[Member Type]]="Spouse",Table2[[#This Row],[Product Option]]="My Value Plus Life &amp; Funeral",_xlfn.XLOOKUP(B310,Table2[Main Member Link ID],Table2[Benefit Name],0)=Lookups!$D$14),"",
IF(AND(Table2[[#This Row],[Member Type]]="Spouse",Table2[[#This Row],[Product Option]]="My Value Plus Life &amp; Funeral",_xlfn.XLOOKUP(B309,Table2[Main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Funeral",_xlfn.XLOOKUP(B310,Table2[Main Member Link ID],Table2[Benefit Name],0)&lt;&gt;Lookups!$D$16),
IF(_xlfn.XLOOKUP(B310,Table2[Main Member Link ID],Table2[Benefit Name],0)=0,"",_xlfn.XLOOKUP(B310,Table2[Main Member Link ID],Table2[Benefit Name],0)),"")
))))</f>
        <v/>
      </c>
      <c r="AH310" s="327" t="str">
        <f>IF(AND(Table2[[#This Row],[Member Type]]="Main Member",Table2[[#This Row],[Product Option]]="My Value Plus Life &amp; Funeral"),Lookups!$D$17,
IF(AND(Table2[[#This Row],[Member Type]]="Spouse",Table2[[#This Row],[Product Option]]="My Value Plus Life &amp; Funeral",_xlfn.XLOOKUP(B310,Table2[Main Member Link ID],Table2[Benefit Name],0)=Lookups!$D$14),"",
IF(AND(Table2[[#This Row],[Member Type]]="Spouse",Table2[[#This Row],[Product Option]]="My Value Plus Life &amp; Funeral",_xlfn.XLOOKUP(B309,Table2[Main Member Link ID],Table2[Benefit Name],0)=Lookups!$D$16),"",
IF(AND(Table2[[#This Row],[Member Type]]="Child",Table2[[#This Row],[Product Option]]="My Value Plus Life &amp; Funeral"),"",
IF(AND(Table2[[#This Row],[Member Type]]="Child",Table2[[#This Row],[Product Option]]="My Value Plus Life &amp; Funeral",_xlfn.XLOOKUP(B310,Table2[Main Member Link ID],Table2[Benefit Name],0)=Lookups!$D$15),"",
IF(AND(OR(Table2[[#This Row],[Member Type]]="Spouse",Table2[[#This Row],[Member Type]]="Child"),Table2[[#This Row],[Product Option]]="My Value Plus Life &amp; Funeral",_xlfn.XLOOKUP(B310,Table2[Main Member Link ID],Table2[Benefit Name],0)&lt;&gt;Lookups!$D$17),
IF(_xlfn.XLOOKUP(B310,Table2[Main Member Link ID],Table2[Benefit Name],0)=0,"",_xlfn.XLOOKUP(B310,Table2[Main Member Link ID],Table2[Benefit Name],0)),""))))))</f>
        <v/>
      </c>
      <c r="AI310" s="328" t="str">
        <f>IF(AND(Table2[[#This Row],[Member Type]]="Main Member",Table2[[#This Row],[Table Lookup for Life Cover]]="MM_LIFE",Table2[[#This Row],[Age Next Birthday]]&lt;56),1,
IF(AND(Table2[[#This Row],[Member Type]]="Main Member",Table2[[#This Row],[Table Lookup for Life Cover]]="MM_LIFE",Table2[[#This Row],[Age Next Birthday]]&gt;=56),2,
""))</f>
        <v/>
      </c>
      <c r="AJ310" s="328">
        <f>IF(OR(Table2[[#This Row],[Member Type]]="Main Member",Table2[[#This Row],[Main Member Link ID]]=B309),1,0)</f>
        <v>1</v>
      </c>
      <c r="AK310" s="328">
        <f>IF(Table2[[#This Row],[Member Type]]=0,0,
IF(OR(Table2[[#This Row],[Member Type]]="Main Member",Table2[[#This Row],[Main Member Link ID]]&lt;&gt;B310),COUNTIFS(B:B,Table2[[#This Row],[Main Member Link ID]]),
COUNTIFS(B:B,Table2[[#This Row],[Main Member Link ID]],A:A,Table2[[#This Row],[Member Type]])))</f>
        <v>0</v>
      </c>
    </row>
    <row r="311" spans="1:37" x14ac:dyDescent="0.3">
      <c r="A311" s="284">
        <f>Table13[[#This Row],[Member Type]]</f>
        <v>0</v>
      </c>
      <c r="B311" s="284">
        <f>Table13[[#This Row],[Main Member Link ID]]</f>
        <v>0</v>
      </c>
      <c r="C311" s="284">
        <f>Table13[[#This Row],[ID Number]]</f>
        <v>0</v>
      </c>
      <c r="D311" s="285">
        <f>Table13[[#This Row],[Date Of Birth]]</f>
        <v>0</v>
      </c>
      <c r="E311" s="285">
        <f>Table13[[#This Row],[Commencement Date]]</f>
        <v>0</v>
      </c>
      <c r="F311" s="284">
        <f t="shared" si="28"/>
        <v>1</v>
      </c>
      <c r="G311" s="284">
        <f t="shared" si="29"/>
        <v>25</v>
      </c>
      <c r="H311" s="286">
        <f>Table13[[#This Row],[Product Option]]</f>
        <v>0</v>
      </c>
      <c r="I311" s="284">
        <f>IF(AND($A311="Main Member",Table2[[#This Row],[Product Option]]="My Value Plus Life"),"MM_LIFE",
IF(AND($A311="Spouse",Table2[[#This Row],[Product Option]]="My Value Plus Life"),"SP_LIFE",
IF(AND($A311="Main Member",Table2[[#This Row],[Product Option]]="My Value Plus Life &amp; Funeral"),"MM_LIFE",
IF(AND($A311="Spouse",Table2[[#This Row],[Product Option]]="My Value Plus Life &amp; Funeral"),_xlfn.XLOOKUP(Table2[[#This Row],[Benefit Name]],Lookups!$D$18:$D$23,Lookups!$E$18:$E$23,0),
0))))</f>
        <v>0</v>
      </c>
      <c r="J311" s="284">
        <f>IF($I311="","",
IF($I311="MM_LIFE",INDEX('Quotation Tool'!$S$54:$V$60,MATCH($T311,'Quotation Tool'!$S$54:$S$60,0),4),
IF($I311="SP_LIFE",_xlfn.XLOOKUP(B310,$B:$B,$J:$J,0),0)))</f>
        <v>0</v>
      </c>
      <c r="K311" s="287">
        <f t="shared" ca="1" si="33"/>
        <v>0</v>
      </c>
      <c r="L311" s="288">
        <f t="shared" ca="1" si="34"/>
        <v>0</v>
      </c>
      <c r="M311" s="289">
        <f t="shared" ca="1" si="30"/>
        <v>0</v>
      </c>
      <c r="N311" s="286">
        <f>Table13[[#This Row],[Benefit Option]]</f>
        <v>0</v>
      </c>
      <c r="O311" s="284">
        <f>IF(OR(Table2[[#This Row],[Member Type]]="Spouse",Table2[[#This Row],[Member Type]]="Child"),0,
IF(_xlfn.XLOOKUP($N311,Lookups!$D$13:$D$27,Lookups!$F$13:$F$27,0)=Table2[[#This Row],[Table Lookup for Life Cover]],0,
_xlfn.XLOOKUP($N311,Lookups!$D$13:$D$27,Lookups!$F$13:$F$27,0)))</f>
        <v>0</v>
      </c>
      <c r="P311" s="284">
        <f>IF(Table2[[#This Row],[Table Lookup for Funeral]]=0,0,IFERROR(INDEX('Quotation Tool'!$S$54:$V$60,MATCH($T311,'Quotation Tool'!$S$54:$S$60,0),3),0))</f>
        <v>0</v>
      </c>
      <c r="Q311" s="288">
        <f ca="1">IF(OR(Table2[[#This Row],[Benefit Name]]="My Value Plus Life - Main Member",Table2[[#This Row],[Benefit Name]]="My Value Plus Life - Spouse"),0,
IFERROR(VLOOKUP($G311,INDIRECT($O311),$P311,FALSE),0))</f>
        <v>0</v>
      </c>
      <c r="R311" s="288">
        <f ca="1">IF(OR(Table2[[#This Row],[Benefit Name]]="My Value Plus Life - Main Member",Table2[[#This Row],[Benefit Name]]="My Value Plus Life - Spouse"),0,
IFERROR(VLOOKUP($G311,INDIRECT($O311),$P311+1,FALSE),0))</f>
        <v>0</v>
      </c>
      <c r="S311" s="289">
        <f t="shared" ca="1" si="31"/>
        <v>0</v>
      </c>
      <c r="T311" s="284" t="str">
        <f>IF(Table13[[#This Row],[Premium Waiver]]="","None",Table13[[#This Row],[Premium Waiver]])</f>
        <v>None</v>
      </c>
      <c r="U311" s="284">
        <f>Table13[[#This Row],[VAPs Options]]</f>
        <v>0</v>
      </c>
      <c r="V311" s="284">
        <f>Table13[[#This Row],[Annual Increase Option]]</f>
        <v>0</v>
      </c>
      <c r="W311" s="290">
        <f>Table13[[#This Row],[Life Cover Amount]]</f>
        <v>0</v>
      </c>
      <c r="X311" s="290">
        <f>Table13[[#This Row],[Funeral Cover Amount]]</f>
        <v>0</v>
      </c>
      <c r="Y31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1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11" s="301">
        <f t="shared" ca="1" si="32"/>
        <v>0</v>
      </c>
      <c r="AB311" s="298"/>
      <c r="AC311" s="326" t="str">
        <f>IF(Table2[[#This Row],[Member Type]]="Main Member",Lookups!$C$13,
IF(Table2[[#This Row],[Member Type]]="Spouse",_xlfn.XLOOKUP(B311,Table2[Main Member Link ID],Table2[Product Option],0),
IF(AND(Table2[[#This Row],[Member Type]]="Child",_xlfn.XLOOKUP(B311,Table2[Main Member Link ID],Table2[Product Option],0)&lt;&gt;"My Value Plus Life"),Lookups!$C$24,
IF(AND(OR(Table2[[#This Row],[Member Type]]="Parent",Table2[[#This Row],[Member Type]]="Extended"),_xlfn.XLOOKUP(B311,Table2[Main Member Link ID],Table2[Product Option],0)&lt;&gt;"My Value Plus Life"),Lookups!$C$26,""))))</f>
        <v/>
      </c>
      <c r="AD311" s="326" t="str">
        <f>IF(Table2[[#This Row],[Member Type]]="Main Member",Lookups!$C$14,"")</f>
        <v/>
      </c>
      <c r="AE31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Funeral",_xlfn.XLOOKUP(B311,Table2[Main Member Link ID],Table2[Benefit Name],0)=Lookups!$D$14),"",
IF(AND(Table2[[#This Row],[Member Type]]="Spouse",Table2[[#This Row],[Product Option]]="My Value Plus Life &amp; Funeral",_xlfn.XLOOKUP(B310,Table2[Main Member Link ID],Table2[Benefit Name],0)=Lookups!$D$15),Lookups!$D$20,
IF(AND(Table2[[#This Row],[Member Type]]="Spouse",Table2[[#This Row],[Product Option]]="My Value Plus Life &amp; Funeral",_xlfn.XLOOKUP(B310,Table2[Main Member Link ID],Table2[Benefit Name],0)=Lookups!$D$16),"",
IF(AND(Table2[[#This Row],[Member Type]]="Spouse",Table2[[#This Row],[Product Option]]="My Value Plus Life &amp; Funeral",_xlfn.XLOOKUP(B310,Table2[Main Member Link ID],Table2[Benefit Name],0)=Lookups!$D$17),Lookups!$D$21,
IF(AND(Table2[[#This Row],[Member Type]]="Child",Table2[[#This Row],[Product Option]]="My Value Plus Life &amp; Funeral",_xlfn.XLOOKUP(B311,Table2[Main Member Link ID],Table2[Benefit Name],0)=Lookups!$D$14),"",
IF(AND(Table2[[#This Row],[Member Type]]="Child",Table2[[#This Row],[Product Option]]="My Value Plus Life &amp; Funeral",_xlfn.XLOOKUP(B311,Table2[Main Member Link ID],Table2[Benefit Name],0)=Lookups!$D$15),"",
IF(AND(Table2[[#This Row],[Member Type]]="Child",Table2[[#This Row],[Product Option]]="My Value Plus Life &amp; Funeral",_xlfn.XLOOKUP(B311,Table2[Main Member Link ID],Table2[Benefit Name],0)=Lookups!$D$16),Lookups!$D$24,
IF(AND(Table2[[#This Row],[Member Type]]="Child",Table2[[#This Row],[Product Option]]="My Value Plus Life &amp; Funeral",_xlfn.XLOOKUP(B311,Table2[Main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Funeral",_xlfn.XLOOKUP(B311,Table2[Main Member Link ID],Table2[Benefit Name],0)&lt;&gt;Lookups!$D$14),
IF(_xlfn.XLOOKUP(B311,Table2[Main Member Link ID],Table2[Benefit Name],0)=0,"",_xlfn.XLOOKUP(B311,Table2[Main Member Link ID],Table2[Benefit Name],0)),"")))))))))))))))</f>
        <v/>
      </c>
      <c r="AF311" s="327" t="str">
        <f>IF(AND(Table2[[#This Row],[Member Type]]="Main Member",Table2[[#This Row],[Product Option]]="My Value Plus Life &amp; Funeral"),Lookups!$D$15,
IF(AND(Table2[[#This Row],[Member Type]]="Spouse",Table2[[#This Row],[Product Option]]="My Value Plus Life &amp; Funeral",_xlfn.XLOOKUP(B311,Table2[Main Member Link ID],Table2[Benefit Name],0)=Lookups!$D$14),"",
IF(AND(Table2[[#This Row],[Member Type]]="Spouse",Table2[[#This Row],[Product Option]]="My Value Plus Life &amp; Funeral",_xlfn.XLOOKUP(B310,Table2[Main Member Link ID],Table2[Benefit Name],0)=Lookups!$D$16),"",
IF(AND(Table2[[#This Row],[Member Type]]="Spouse",Table2[[#This Row],[Product Option]]="My Value Plus Life &amp; Funeral",_xlfn.XLOOKUP(B310,Table2[Main Member Link ID],Table2[Benefit Name],0)=Lookups!$D$15),"",
IF(AND(Table2[[#This Row],[Member Type]]="Spouse",Table2[[#This Row],[Product Option]]="My Value Plus Life &amp; Funeral",_xlfn.XLOOKUP(B310,Table2[Main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Funeral",_xlfn.XLOOKUP(B311,Table2[Main Member Link ID],Table2[Benefit Name],0)&lt;&gt;Lookups!$D$15),
IF(_xlfn.XLOOKUP(B311,Table2[Main Member Link ID],Table2[Benefit Name],0)=0,"",_xlfn.XLOOKUP(B311,Table2[Main Member Link ID],Table2[Benefit Name],0)),"")
))))))</f>
        <v/>
      </c>
      <c r="AG311" s="327" t="str">
        <f>IF(AND(Table2[[#This Row],[Member Type]]="Main Member",Table2[[#This Row],[Product Option]]="My Value Plus Life &amp; Funeral"),Lookups!$D$16,
IF(AND(Table2[[#This Row],[Member Type]]="Spouse",Table2[[#This Row],[Product Option]]="My Value Plus Life &amp; Funeral",_xlfn.XLOOKUP(B311,Table2[Main Member Link ID],Table2[Benefit Name],0)=Lookups!$D$14),"",
IF(AND(Table2[[#This Row],[Member Type]]="Spouse",Table2[[#This Row],[Product Option]]="My Value Plus Life &amp; Funeral",_xlfn.XLOOKUP(B310,Table2[Main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Funeral",_xlfn.XLOOKUP(B311,Table2[Main Member Link ID],Table2[Benefit Name],0)&lt;&gt;Lookups!$D$16),
IF(_xlfn.XLOOKUP(B311,Table2[Main Member Link ID],Table2[Benefit Name],0)=0,"",_xlfn.XLOOKUP(B311,Table2[Main Member Link ID],Table2[Benefit Name],0)),"")
))))</f>
        <v/>
      </c>
      <c r="AH311" s="327" t="str">
        <f>IF(AND(Table2[[#This Row],[Member Type]]="Main Member",Table2[[#This Row],[Product Option]]="My Value Plus Life &amp; Funeral"),Lookups!$D$17,
IF(AND(Table2[[#This Row],[Member Type]]="Spouse",Table2[[#This Row],[Product Option]]="My Value Plus Life &amp; Funeral",_xlfn.XLOOKUP(B311,Table2[Main Member Link ID],Table2[Benefit Name],0)=Lookups!$D$14),"",
IF(AND(Table2[[#This Row],[Member Type]]="Spouse",Table2[[#This Row],[Product Option]]="My Value Plus Life &amp; Funeral",_xlfn.XLOOKUP(B310,Table2[Main Member Link ID],Table2[Benefit Name],0)=Lookups!$D$16),"",
IF(AND(Table2[[#This Row],[Member Type]]="Child",Table2[[#This Row],[Product Option]]="My Value Plus Life &amp; Funeral"),"",
IF(AND(Table2[[#This Row],[Member Type]]="Child",Table2[[#This Row],[Product Option]]="My Value Plus Life &amp; Funeral",_xlfn.XLOOKUP(B311,Table2[Main Member Link ID],Table2[Benefit Name],0)=Lookups!$D$15),"",
IF(AND(OR(Table2[[#This Row],[Member Type]]="Spouse",Table2[[#This Row],[Member Type]]="Child"),Table2[[#This Row],[Product Option]]="My Value Plus Life &amp; Funeral",_xlfn.XLOOKUP(B311,Table2[Main Member Link ID],Table2[Benefit Name],0)&lt;&gt;Lookups!$D$17),
IF(_xlfn.XLOOKUP(B311,Table2[Main Member Link ID],Table2[Benefit Name],0)=0,"",_xlfn.XLOOKUP(B311,Table2[Main Member Link ID],Table2[Benefit Name],0)),""))))))</f>
        <v/>
      </c>
      <c r="AI311" s="328" t="str">
        <f>IF(AND(Table2[[#This Row],[Member Type]]="Main Member",Table2[[#This Row],[Table Lookup for Life Cover]]="MM_LIFE",Table2[[#This Row],[Age Next Birthday]]&lt;56),1,
IF(AND(Table2[[#This Row],[Member Type]]="Main Member",Table2[[#This Row],[Table Lookup for Life Cover]]="MM_LIFE",Table2[[#This Row],[Age Next Birthday]]&gt;=56),2,
""))</f>
        <v/>
      </c>
      <c r="AJ311" s="328">
        <f>IF(OR(Table2[[#This Row],[Member Type]]="Main Member",Table2[[#This Row],[Main Member Link ID]]=B310),1,0)</f>
        <v>1</v>
      </c>
      <c r="AK311" s="328">
        <f>IF(Table2[[#This Row],[Member Type]]=0,0,
IF(OR(Table2[[#This Row],[Member Type]]="Main Member",Table2[[#This Row],[Main Member Link ID]]&lt;&gt;B311),COUNTIFS(B:B,Table2[[#This Row],[Main Member Link ID]]),
COUNTIFS(B:B,Table2[[#This Row],[Main Member Link ID]],A:A,Table2[[#This Row],[Member Type]])))</f>
        <v>0</v>
      </c>
    </row>
    <row r="312" spans="1:37" x14ac:dyDescent="0.3">
      <c r="A312" s="284">
        <f>Table13[[#This Row],[Member Type]]</f>
        <v>0</v>
      </c>
      <c r="B312" s="284">
        <f>Table13[[#This Row],[Main Member Link ID]]</f>
        <v>0</v>
      </c>
      <c r="C312" s="284">
        <f>Table13[[#This Row],[ID Number]]</f>
        <v>0</v>
      </c>
      <c r="D312" s="285">
        <f>Table13[[#This Row],[Date Of Birth]]</f>
        <v>0</v>
      </c>
      <c r="E312" s="285">
        <f>Table13[[#This Row],[Commencement Date]]</f>
        <v>0</v>
      </c>
      <c r="F312" s="284">
        <f t="shared" si="28"/>
        <v>1</v>
      </c>
      <c r="G312" s="284">
        <f t="shared" si="29"/>
        <v>25</v>
      </c>
      <c r="H312" s="286">
        <f>Table13[[#This Row],[Product Option]]</f>
        <v>0</v>
      </c>
      <c r="I312" s="284">
        <f>IF(AND($A312="Main Member",Table2[[#This Row],[Product Option]]="My Value Plus Life"),"MM_LIFE",
IF(AND($A312="Spouse",Table2[[#This Row],[Product Option]]="My Value Plus Life"),"SP_LIFE",
IF(AND($A312="Main Member",Table2[[#This Row],[Product Option]]="My Value Plus Life &amp; Funeral"),"MM_LIFE",
IF(AND($A312="Spouse",Table2[[#This Row],[Product Option]]="My Value Plus Life &amp; Funeral"),_xlfn.XLOOKUP(Table2[[#This Row],[Benefit Name]],Lookups!$D$18:$D$23,Lookups!$E$18:$E$23,0),
0))))</f>
        <v>0</v>
      </c>
      <c r="J312" s="284">
        <f>IF($I312="","",
IF($I312="MM_LIFE",INDEX('Quotation Tool'!$S$54:$V$60,MATCH($T312,'Quotation Tool'!$S$54:$S$60,0),4),
IF($I312="SP_LIFE",_xlfn.XLOOKUP(B311,$B:$B,$J:$J,0),0)))</f>
        <v>0</v>
      </c>
      <c r="K312" s="287">
        <f t="shared" ca="1" si="33"/>
        <v>0</v>
      </c>
      <c r="L312" s="288">
        <f t="shared" ca="1" si="34"/>
        <v>0</v>
      </c>
      <c r="M312" s="289">
        <f t="shared" ca="1" si="30"/>
        <v>0</v>
      </c>
      <c r="N312" s="286">
        <f>Table13[[#This Row],[Benefit Option]]</f>
        <v>0</v>
      </c>
      <c r="O312" s="284">
        <f>IF(OR(Table2[[#This Row],[Member Type]]="Spouse",Table2[[#This Row],[Member Type]]="Child"),0,
IF(_xlfn.XLOOKUP($N312,Lookups!$D$13:$D$27,Lookups!$F$13:$F$27,0)=Table2[[#This Row],[Table Lookup for Life Cover]],0,
_xlfn.XLOOKUP($N312,Lookups!$D$13:$D$27,Lookups!$F$13:$F$27,0)))</f>
        <v>0</v>
      </c>
      <c r="P312" s="284">
        <f>IF(Table2[[#This Row],[Table Lookup for Funeral]]=0,0,IFERROR(INDEX('Quotation Tool'!$S$54:$V$60,MATCH($T312,'Quotation Tool'!$S$54:$S$60,0),3),0))</f>
        <v>0</v>
      </c>
      <c r="Q312" s="288">
        <f ca="1">IF(OR(Table2[[#This Row],[Benefit Name]]="My Value Plus Life - Main Member",Table2[[#This Row],[Benefit Name]]="My Value Plus Life - Spouse"),0,
IFERROR(VLOOKUP($G312,INDIRECT($O312),$P312,FALSE),0))</f>
        <v>0</v>
      </c>
      <c r="R312" s="288">
        <f ca="1">IF(OR(Table2[[#This Row],[Benefit Name]]="My Value Plus Life - Main Member",Table2[[#This Row],[Benefit Name]]="My Value Plus Life - Spouse"),0,
IFERROR(VLOOKUP($G312,INDIRECT($O312),$P312+1,FALSE),0))</f>
        <v>0</v>
      </c>
      <c r="S312" s="289">
        <f t="shared" ca="1" si="31"/>
        <v>0</v>
      </c>
      <c r="T312" s="284" t="str">
        <f>IF(Table13[[#This Row],[Premium Waiver]]="","None",Table13[[#This Row],[Premium Waiver]])</f>
        <v>None</v>
      </c>
      <c r="U312" s="284">
        <f>Table13[[#This Row],[VAPs Options]]</f>
        <v>0</v>
      </c>
      <c r="V312" s="284">
        <f>Table13[[#This Row],[Annual Increase Option]]</f>
        <v>0</v>
      </c>
      <c r="W312" s="290">
        <f>Table13[[#This Row],[Life Cover Amount]]</f>
        <v>0</v>
      </c>
      <c r="X312" s="290">
        <f>Table13[[#This Row],[Funeral Cover Amount]]</f>
        <v>0</v>
      </c>
      <c r="Y31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1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12" s="301">
        <f t="shared" ca="1" si="32"/>
        <v>0</v>
      </c>
      <c r="AB312" s="298"/>
      <c r="AC312" s="326" t="str">
        <f>IF(Table2[[#This Row],[Member Type]]="Main Member",Lookups!$C$13,
IF(Table2[[#This Row],[Member Type]]="Spouse",_xlfn.XLOOKUP(B312,Table2[Main Member Link ID],Table2[Product Option],0),
IF(AND(Table2[[#This Row],[Member Type]]="Child",_xlfn.XLOOKUP(B312,Table2[Main Member Link ID],Table2[Product Option],0)&lt;&gt;"My Value Plus Life"),Lookups!$C$24,
IF(AND(OR(Table2[[#This Row],[Member Type]]="Parent",Table2[[#This Row],[Member Type]]="Extended"),_xlfn.XLOOKUP(B312,Table2[Main Member Link ID],Table2[Product Option],0)&lt;&gt;"My Value Plus Life"),Lookups!$C$26,""))))</f>
        <v/>
      </c>
      <c r="AD312" s="326" t="str">
        <f>IF(Table2[[#This Row],[Member Type]]="Main Member",Lookups!$C$14,"")</f>
        <v/>
      </c>
      <c r="AE31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Funeral",_xlfn.XLOOKUP(B312,Table2[Main Member Link ID],Table2[Benefit Name],0)=Lookups!$D$14),"",
IF(AND(Table2[[#This Row],[Member Type]]="Spouse",Table2[[#This Row],[Product Option]]="My Value Plus Life &amp; Funeral",_xlfn.XLOOKUP(B311,Table2[Main Member Link ID],Table2[Benefit Name],0)=Lookups!$D$15),Lookups!$D$20,
IF(AND(Table2[[#This Row],[Member Type]]="Spouse",Table2[[#This Row],[Product Option]]="My Value Plus Life &amp; Funeral",_xlfn.XLOOKUP(B311,Table2[Main Member Link ID],Table2[Benefit Name],0)=Lookups!$D$16),"",
IF(AND(Table2[[#This Row],[Member Type]]="Spouse",Table2[[#This Row],[Product Option]]="My Value Plus Life &amp; Funeral",_xlfn.XLOOKUP(B311,Table2[Main Member Link ID],Table2[Benefit Name],0)=Lookups!$D$17),Lookups!$D$21,
IF(AND(Table2[[#This Row],[Member Type]]="Child",Table2[[#This Row],[Product Option]]="My Value Plus Life &amp; Funeral",_xlfn.XLOOKUP(B312,Table2[Main Member Link ID],Table2[Benefit Name],0)=Lookups!$D$14),"",
IF(AND(Table2[[#This Row],[Member Type]]="Child",Table2[[#This Row],[Product Option]]="My Value Plus Life &amp; Funeral",_xlfn.XLOOKUP(B312,Table2[Main Member Link ID],Table2[Benefit Name],0)=Lookups!$D$15),"",
IF(AND(Table2[[#This Row],[Member Type]]="Child",Table2[[#This Row],[Product Option]]="My Value Plus Life &amp; Funeral",_xlfn.XLOOKUP(B312,Table2[Main Member Link ID],Table2[Benefit Name],0)=Lookups!$D$16),Lookups!$D$24,
IF(AND(Table2[[#This Row],[Member Type]]="Child",Table2[[#This Row],[Product Option]]="My Value Plus Life &amp; Funeral",_xlfn.XLOOKUP(B312,Table2[Main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Funeral",_xlfn.XLOOKUP(B312,Table2[Main Member Link ID],Table2[Benefit Name],0)&lt;&gt;Lookups!$D$14),
IF(_xlfn.XLOOKUP(B312,Table2[Main Member Link ID],Table2[Benefit Name],0)=0,"",_xlfn.XLOOKUP(B312,Table2[Main Member Link ID],Table2[Benefit Name],0)),"")))))))))))))))</f>
        <v/>
      </c>
      <c r="AF312" s="327" t="str">
        <f>IF(AND(Table2[[#This Row],[Member Type]]="Main Member",Table2[[#This Row],[Product Option]]="My Value Plus Life &amp; Funeral"),Lookups!$D$15,
IF(AND(Table2[[#This Row],[Member Type]]="Spouse",Table2[[#This Row],[Product Option]]="My Value Plus Life &amp; Funeral",_xlfn.XLOOKUP(B312,Table2[Main Member Link ID],Table2[Benefit Name],0)=Lookups!$D$14),"",
IF(AND(Table2[[#This Row],[Member Type]]="Spouse",Table2[[#This Row],[Product Option]]="My Value Plus Life &amp; Funeral",_xlfn.XLOOKUP(B311,Table2[Main Member Link ID],Table2[Benefit Name],0)=Lookups!$D$16),"",
IF(AND(Table2[[#This Row],[Member Type]]="Spouse",Table2[[#This Row],[Product Option]]="My Value Plus Life &amp; Funeral",_xlfn.XLOOKUP(B311,Table2[Main Member Link ID],Table2[Benefit Name],0)=Lookups!$D$15),"",
IF(AND(Table2[[#This Row],[Member Type]]="Spouse",Table2[[#This Row],[Product Option]]="My Value Plus Life &amp; Funeral",_xlfn.XLOOKUP(B311,Table2[Main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Funeral",_xlfn.XLOOKUP(B312,Table2[Main Member Link ID],Table2[Benefit Name],0)&lt;&gt;Lookups!$D$15),
IF(_xlfn.XLOOKUP(B312,Table2[Main Member Link ID],Table2[Benefit Name],0)=0,"",_xlfn.XLOOKUP(B312,Table2[Main Member Link ID],Table2[Benefit Name],0)),"")
))))))</f>
        <v/>
      </c>
      <c r="AG312" s="327" t="str">
        <f>IF(AND(Table2[[#This Row],[Member Type]]="Main Member",Table2[[#This Row],[Product Option]]="My Value Plus Life &amp; Funeral"),Lookups!$D$16,
IF(AND(Table2[[#This Row],[Member Type]]="Spouse",Table2[[#This Row],[Product Option]]="My Value Plus Life &amp; Funeral",_xlfn.XLOOKUP(B312,Table2[Main Member Link ID],Table2[Benefit Name],0)=Lookups!$D$14),"",
IF(AND(Table2[[#This Row],[Member Type]]="Spouse",Table2[[#This Row],[Product Option]]="My Value Plus Life &amp; Funeral",_xlfn.XLOOKUP(B311,Table2[Main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Funeral",_xlfn.XLOOKUP(B312,Table2[Main Member Link ID],Table2[Benefit Name],0)&lt;&gt;Lookups!$D$16),
IF(_xlfn.XLOOKUP(B312,Table2[Main Member Link ID],Table2[Benefit Name],0)=0,"",_xlfn.XLOOKUP(B312,Table2[Main Member Link ID],Table2[Benefit Name],0)),"")
))))</f>
        <v/>
      </c>
      <c r="AH312" s="327" t="str">
        <f>IF(AND(Table2[[#This Row],[Member Type]]="Main Member",Table2[[#This Row],[Product Option]]="My Value Plus Life &amp; Funeral"),Lookups!$D$17,
IF(AND(Table2[[#This Row],[Member Type]]="Spouse",Table2[[#This Row],[Product Option]]="My Value Plus Life &amp; Funeral",_xlfn.XLOOKUP(B312,Table2[Main Member Link ID],Table2[Benefit Name],0)=Lookups!$D$14),"",
IF(AND(Table2[[#This Row],[Member Type]]="Spouse",Table2[[#This Row],[Product Option]]="My Value Plus Life &amp; Funeral",_xlfn.XLOOKUP(B311,Table2[Main Member Link ID],Table2[Benefit Name],0)=Lookups!$D$16),"",
IF(AND(Table2[[#This Row],[Member Type]]="Child",Table2[[#This Row],[Product Option]]="My Value Plus Life &amp; Funeral"),"",
IF(AND(Table2[[#This Row],[Member Type]]="Child",Table2[[#This Row],[Product Option]]="My Value Plus Life &amp; Funeral",_xlfn.XLOOKUP(B312,Table2[Main Member Link ID],Table2[Benefit Name],0)=Lookups!$D$15),"",
IF(AND(OR(Table2[[#This Row],[Member Type]]="Spouse",Table2[[#This Row],[Member Type]]="Child"),Table2[[#This Row],[Product Option]]="My Value Plus Life &amp; Funeral",_xlfn.XLOOKUP(B312,Table2[Main Member Link ID],Table2[Benefit Name],0)&lt;&gt;Lookups!$D$17),
IF(_xlfn.XLOOKUP(B312,Table2[Main Member Link ID],Table2[Benefit Name],0)=0,"",_xlfn.XLOOKUP(B312,Table2[Main Member Link ID],Table2[Benefit Name],0)),""))))))</f>
        <v/>
      </c>
      <c r="AI312" s="328" t="str">
        <f>IF(AND(Table2[[#This Row],[Member Type]]="Main Member",Table2[[#This Row],[Table Lookup for Life Cover]]="MM_LIFE",Table2[[#This Row],[Age Next Birthday]]&lt;56),1,
IF(AND(Table2[[#This Row],[Member Type]]="Main Member",Table2[[#This Row],[Table Lookup for Life Cover]]="MM_LIFE",Table2[[#This Row],[Age Next Birthday]]&gt;=56),2,
""))</f>
        <v/>
      </c>
      <c r="AJ312" s="328">
        <f>IF(OR(Table2[[#This Row],[Member Type]]="Main Member",Table2[[#This Row],[Main Member Link ID]]=B311),1,0)</f>
        <v>1</v>
      </c>
      <c r="AK312" s="328">
        <f>IF(Table2[[#This Row],[Member Type]]=0,0,
IF(OR(Table2[[#This Row],[Member Type]]="Main Member",Table2[[#This Row],[Main Member Link ID]]&lt;&gt;B312),COUNTIFS(B:B,Table2[[#This Row],[Main Member Link ID]]),
COUNTIFS(B:B,Table2[[#This Row],[Main Member Link ID]],A:A,Table2[[#This Row],[Member Type]])))</f>
        <v>0</v>
      </c>
    </row>
    <row r="313" spans="1:37" x14ac:dyDescent="0.3">
      <c r="A313" s="284">
        <f>Table13[[#This Row],[Member Type]]</f>
        <v>0</v>
      </c>
      <c r="B313" s="284">
        <f>Table13[[#This Row],[Main Member Link ID]]</f>
        <v>0</v>
      </c>
      <c r="C313" s="284">
        <f>Table13[[#This Row],[ID Number]]</f>
        <v>0</v>
      </c>
      <c r="D313" s="285">
        <f>Table13[[#This Row],[Date Of Birth]]</f>
        <v>0</v>
      </c>
      <c r="E313" s="285">
        <f>Table13[[#This Row],[Commencement Date]]</f>
        <v>0</v>
      </c>
      <c r="F313" s="284">
        <f t="shared" si="28"/>
        <v>1</v>
      </c>
      <c r="G313" s="284">
        <f t="shared" si="29"/>
        <v>25</v>
      </c>
      <c r="H313" s="286">
        <f>Table13[[#This Row],[Product Option]]</f>
        <v>0</v>
      </c>
      <c r="I313" s="284">
        <f>IF(AND($A313="Main Member",Table2[[#This Row],[Product Option]]="My Value Plus Life"),"MM_LIFE",
IF(AND($A313="Spouse",Table2[[#This Row],[Product Option]]="My Value Plus Life"),"SP_LIFE",
IF(AND($A313="Main Member",Table2[[#This Row],[Product Option]]="My Value Plus Life &amp; Funeral"),"MM_LIFE",
IF(AND($A313="Spouse",Table2[[#This Row],[Product Option]]="My Value Plus Life &amp; Funeral"),_xlfn.XLOOKUP(Table2[[#This Row],[Benefit Name]],Lookups!$D$18:$D$23,Lookups!$E$18:$E$23,0),
0))))</f>
        <v>0</v>
      </c>
      <c r="J313" s="284">
        <f>IF($I313="","",
IF($I313="MM_LIFE",INDEX('Quotation Tool'!$S$54:$V$60,MATCH($T313,'Quotation Tool'!$S$54:$S$60,0),4),
IF($I313="SP_LIFE",_xlfn.XLOOKUP(B312,$B:$B,$J:$J,0),0)))</f>
        <v>0</v>
      </c>
      <c r="K313" s="287">
        <f t="shared" ca="1" si="33"/>
        <v>0</v>
      </c>
      <c r="L313" s="288">
        <f t="shared" ca="1" si="34"/>
        <v>0</v>
      </c>
      <c r="M313" s="289">
        <f t="shared" ca="1" si="30"/>
        <v>0</v>
      </c>
      <c r="N313" s="286">
        <f>Table13[[#This Row],[Benefit Option]]</f>
        <v>0</v>
      </c>
      <c r="O313" s="284">
        <f>IF(OR(Table2[[#This Row],[Member Type]]="Spouse",Table2[[#This Row],[Member Type]]="Child"),0,
IF(_xlfn.XLOOKUP($N313,Lookups!$D$13:$D$27,Lookups!$F$13:$F$27,0)=Table2[[#This Row],[Table Lookup for Life Cover]],0,
_xlfn.XLOOKUP($N313,Lookups!$D$13:$D$27,Lookups!$F$13:$F$27,0)))</f>
        <v>0</v>
      </c>
      <c r="P313" s="284">
        <f>IF(Table2[[#This Row],[Table Lookup for Funeral]]=0,0,IFERROR(INDEX('Quotation Tool'!$S$54:$V$60,MATCH($T313,'Quotation Tool'!$S$54:$S$60,0),3),0))</f>
        <v>0</v>
      </c>
      <c r="Q313" s="288">
        <f ca="1">IF(OR(Table2[[#This Row],[Benefit Name]]="My Value Plus Life - Main Member",Table2[[#This Row],[Benefit Name]]="My Value Plus Life - Spouse"),0,
IFERROR(VLOOKUP($G313,INDIRECT($O313),$P313,FALSE),0))</f>
        <v>0</v>
      </c>
      <c r="R313" s="288">
        <f ca="1">IF(OR(Table2[[#This Row],[Benefit Name]]="My Value Plus Life - Main Member",Table2[[#This Row],[Benefit Name]]="My Value Plus Life - Spouse"),0,
IFERROR(VLOOKUP($G313,INDIRECT($O313),$P313+1,FALSE),0))</f>
        <v>0</v>
      </c>
      <c r="S313" s="289">
        <f t="shared" ca="1" si="31"/>
        <v>0</v>
      </c>
      <c r="T313" s="284" t="str">
        <f>IF(Table13[[#This Row],[Premium Waiver]]="","None",Table13[[#This Row],[Premium Waiver]])</f>
        <v>None</v>
      </c>
      <c r="U313" s="284">
        <f>Table13[[#This Row],[VAPs Options]]</f>
        <v>0</v>
      </c>
      <c r="V313" s="284">
        <f>Table13[[#This Row],[Annual Increase Option]]</f>
        <v>0</v>
      </c>
      <c r="W313" s="290">
        <f>Table13[[#This Row],[Life Cover Amount]]</f>
        <v>0</v>
      </c>
      <c r="X313" s="290">
        <f>Table13[[#This Row],[Funeral Cover Amount]]</f>
        <v>0</v>
      </c>
      <c r="Y31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1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13" s="301">
        <f t="shared" ca="1" si="32"/>
        <v>0</v>
      </c>
      <c r="AB313" s="298"/>
      <c r="AC313" s="326" t="str">
        <f>IF(Table2[[#This Row],[Member Type]]="Main Member",Lookups!$C$13,
IF(Table2[[#This Row],[Member Type]]="Spouse",_xlfn.XLOOKUP(B313,Table2[Main Member Link ID],Table2[Product Option],0),
IF(AND(Table2[[#This Row],[Member Type]]="Child",_xlfn.XLOOKUP(B313,Table2[Main Member Link ID],Table2[Product Option],0)&lt;&gt;"My Value Plus Life"),Lookups!$C$24,
IF(AND(OR(Table2[[#This Row],[Member Type]]="Parent",Table2[[#This Row],[Member Type]]="Extended"),_xlfn.XLOOKUP(B313,Table2[Main Member Link ID],Table2[Product Option],0)&lt;&gt;"My Value Plus Life"),Lookups!$C$26,""))))</f>
        <v/>
      </c>
      <c r="AD313" s="326" t="str">
        <f>IF(Table2[[#This Row],[Member Type]]="Main Member",Lookups!$C$14,"")</f>
        <v/>
      </c>
      <c r="AE31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Funeral",_xlfn.XLOOKUP(B313,Table2[Main Member Link ID],Table2[Benefit Name],0)=Lookups!$D$14),"",
IF(AND(Table2[[#This Row],[Member Type]]="Spouse",Table2[[#This Row],[Product Option]]="My Value Plus Life &amp; Funeral",_xlfn.XLOOKUP(B312,Table2[Main Member Link ID],Table2[Benefit Name],0)=Lookups!$D$15),Lookups!$D$20,
IF(AND(Table2[[#This Row],[Member Type]]="Spouse",Table2[[#This Row],[Product Option]]="My Value Plus Life &amp; Funeral",_xlfn.XLOOKUP(B312,Table2[Main Member Link ID],Table2[Benefit Name],0)=Lookups!$D$16),"",
IF(AND(Table2[[#This Row],[Member Type]]="Spouse",Table2[[#This Row],[Product Option]]="My Value Plus Life &amp; Funeral",_xlfn.XLOOKUP(B312,Table2[Main Member Link ID],Table2[Benefit Name],0)=Lookups!$D$17),Lookups!$D$21,
IF(AND(Table2[[#This Row],[Member Type]]="Child",Table2[[#This Row],[Product Option]]="My Value Plus Life &amp; Funeral",_xlfn.XLOOKUP(B313,Table2[Main Member Link ID],Table2[Benefit Name],0)=Lookups!$D$14),"",
IF(AND(Table2[[#This Row],[Member Type]]="Child",Table2[[#This Row],[Product Option]]="My Value Plus Life &amp; Funeral",_xlfn.XLOOKUP(B313,Table2[Main Member Link ID],Table2[Benefit Name],0)=Lookups!$D$15),"",
IF(AND(Table2[[#This Row],[Member Type]]="Child",Table2[[#This Row],[Product Option]]="My Value Plus Life &amp; Funeral",_xlfn.XLOOKUP(B313,Table2[Main Member Link ID],Table2[Benefit Name],0)=Lookups!$D$16),Lookups!$D$24,
IF(AND(Table2[[#This Row],[Member Type]]="Child",Table2[[#This Row],[Product Option]]="My Value Plus Life &amp; Funeral",_xlfn.XLOOKUP(B313,Table2[Main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Funeral",_xlfn.XLOOKUP(B313,Table2[Main Member Link ID],Table2[Benefit Name],0)&lt;&gt;Lookups!$D$14),
IF(_xlfn.XLOOKUP(B313,Table2[Main Member Link ID],Table2[Benefit Name],0)=0,"",_xlfn.XLOOKUP(B313,Table2[Main Member Link ID],Table2[Benefit Name],0)),"")))))))))))))))</f>
        <v/>
      </c>
      <c r="AF313" s="327" t="str">
        <f>IF(AND(Table2[[#This Row],[Member Type]]="Main Member",Table2[[#This Row],[Product Option]]="My Value Plus Life &amp; Funeral"),Lookups!$D$15,
IF(AND(Table2[[#This Row],[Member Type]]="Spouse",Table2[[#This Row],[Product Option]]="My Value Plus Life &amp; Funeral",_xlfn.XLOOKUP(B313,Table2[Main Member Link ID],Table2[Benefit Name],0)=Lookups!$D$14),"",
IF(AND(Table2[[#This Row],[Member Type]]="Spouse",Table2[[#This Row],[Product Option]]="My Value Plus Life &amp; Funeral",_xlfn.XLOOKUP(B312,Table2[Main Member Link ID],Table2[Benefit Name],0)=Lookups!$D$16),"",
IF(AND(Table2[[#This Row],[Member Type]]="Spouse",Table2[[#This Row],[Product Option]]="My Value Plus Life &amp; Funeral",_xlfn.XLOOKUP(B312,Table2[Main Member Link ID],Table2[Benefit Name],0)=Lookups!$D$15),"",
IF(AND(Table2[[#This Row],[Member Type]]="Spouse",Table2[[#This Row],[Product Option]]="My Value Plus Life &amp; Funeral",_xlfn.XLOOKUP(B312,Table2[Main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Funeral",_xlfn.XLOOKUP(B313,Table2[Main Member Link ID],Table2[Benefit Name],0)&lt;&gt;Lookups!$D$15),
IF(_xlfn.XLOOKUP(B313,Table2[Main Member Link ID],Table2[Benefit Name],0)=0,"",_xlfn.XLOOKUP(B313,Table2[Main Member Link ID],Table2[Benefit Name],0)),"")
))))))</f>
        <v/>
      </c>
      <c r="AG313" s="327" t="str">
        <f>IF(AND(Table2[[#This Row],[Member Type]]="Main Member",Table2[[#This Row],[Product Option]]="My Value Plus Life &amp; Funeral"),Lookups!$D$16,
IF(AND(Table2[[#This Row],[Member Type]]="Spouse",Table2[[#This Row],[Product Option]]="My Value Plus Life &amp; Funeral",_xlfn.XLOOKUP(B313,Table2[Main Member Link ID],Table2[Benefit Name],0)=Lookups!$D$14),"",
IF(AND(Table2[[#This Row],[Member Type]]="Spouse",Table2[[#This Row],[Product Option]]="My Value Plus Life &amp; Funeral",_xlfn.XLOOKUP(B312,Table2[Main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Funeral",_xlfn.XLOOKUP(B313,Table2[Main Member Link ID],Table2[Benefit Name],0)&lt;&gt;Lookups!$D$16),
IF(_xlfn.XLOOKUP(B313,Table2[Main Member Link ID],Table2[Benefit Name],0)=0,"",_xlfn.XLOOKUP(B313,Table2[Main Member Link ID],Table2[Benefit Name],0)),"")
))))</f>
        <v/>
      </c>
      <c r="AH313" s="327" t="str">
        <f>IF(AND(Table2[[#This Row],[Member Type]]="Main Member",Table2[[#This Row],[Product Option]]="My Value Plus Life &amp; Funeral"),Lookups!$D$17,
IF(AND(Table2[[#This Row],[Member Type]]="Spouse",Table2[[#This Row],[Product Option]]="My Value Plus Life &amp; Funeral",_xlfn.XLOOKUP(B313,Table2[Main Member Link ID],Table2[Benefit Name],0)=Lookups!$D$14),"",
IF(AND(Table2[[#This Row],[Member Type]]="Spouse",Table2[[#This Row],[Product Option]]="My Value Plus Life &amp; Funeral",_xlfn.XLOOKUP(B312,Table2[Main Member Link ID],Table2[Benefit Name],0)=Lookups!$D$16),"",
IF(AND(Table2[[#This Row],[Member Type]]="Child",Table2[[#This Row],[Product Option]]="My Value Plus Life &amp; Funeral"),"",
IF(AND(Table2[[#This Row],[Member Type]]="Child",Table2[[#This Row],[Product Option]]="My Value Plus Life &amp; Funeral",_xlfn.XLOOKUP(B313,Table2[Main Member Link ID],Table2[Benefit Name],0)=Lookups!$D$15),"",
IF(AND(OR(Table2[[#This Row],[Member Type]]="Spouse",Table2[[#This Row],[Member Type]]="Child"),Table2[[#This Row],[Product Option]]="My Value Plus Life &amp; Funeral",_xlfn.XLOOKUP(B313,Table2[Main Member Link ID],Table2[Benefit Name],0)&lt;&gt;Lookups!$D$17),
IF(_xlfn.XLOOKUP(B313,Table2[Main Member Link ID],Table2[Benefit Name],0)=0,"",_xlfn.XLOOKUP(B313,Table2[Main Member Link ID],Table2[Benefit Name],0)),""))))))</f>
        <v/>
      </c>
      <c r="AI313" s="328" t="str">
        <f>IF(AND(Table2[[#This Row],[Member Type]]="Main Member",Table2[[#This Row],[Table Lookup for Life Cover]]="MM_LIFE",Table2[[#This Row],[Age Next Birthday]]&lt;56),1,
IF(AND(Table2[[#This Row],[Member Type]]="Main Member",Table2[[#This Row],[Table Lookup for Life Cover]]="MM_LIFE",Table2[[#This Row],[Age Next Birthday]]&gt;=56),2,
""))</f>
        <v/>
      </c>
      <c r="AJ313" s="328">
        <f>IF(OR(Table2[[#This Row],[Member Type]]="Main Member",Table2[[#This Row],[Main Member Link ID]]=B312),1,0)</f>
        <v>1</v>
      </c>
      <c r="AK313" s="328">
        <f>IF(Table2[[#This Row],[Member Type]]=0,0,
IF(OR(Table2[[#This Row],[Member Type]]="Main Member",Table2[[#This Row],[Main Member Link ID]]&lt;&gt;B313),COUNTIFS(B:B,Table2[[#This Row],[Main Member Link ID]]),
COUNTIFS(B:B,Table2[[#This Row],[Main Member Link ID]],A:A,Table2[[#This Row],[Member Type]])))</f>
        <v>0</v>
      </c>
    </row>
    <row r="314" spans="1:37" x14ac:dyDescent="0.3">
      <c r="A314" s="284">
        <f>Table13[[#This Row],[Member Type]]</f>
        <v>0</v>
      </c>
      <c r="B314" s="284">
        <f>Table13[[#This Row],[Main Member Link ID]]</f>
        <v>0</v>
      </c>
      <c r="C314" s="284">
        <f>Table13[[#This Row],[ID Number]]</f>
        <v>0</v>
      </c>
      <c r="D314" s="285">
        <f>Table13[[#This Row],[Date Of Birth]]</f>
        <v>0</v>
      </c>
      <c r="E314" s="285">
        <f>Table13[[#This Row],[Commencement Date]]</f>
        <v>0</v>
      </c>
      <c r="F314" s="284">
        <f t="shared" si="28"/>
        <v>1</v>
      </c>
      <c r="G314" s="284">
        <f t="shared" si="29"/>
        <v>25</v>
      </c>
      <c r="H314" s="286">
        <f>Table13[[#This Row],[Product Option]]</f>
        <v>0</v>
      </c>
      <c r="I314" s="284">
        <f>IF(AND($A314="Main Member",Table2[[#This Row],[Product Option]]="My Value Plus Life"),"MM_LIFE",
IF(AND($A314="Spouse",Table2[[#This Row],[Product Option]]="My Value Plus Life"),"SP_LIFE",
IF(AND($A314="Main Member",Table2[[#This Row],[Product Option]]="My Value Plus Life &amp; Funeral"),"MM_LIFE",
IF(AND($A314="Spouse",Table2[[#This Row],[Product Option]]="My Value Plus Life &amp; Funeral"),_xlfn.XLOOKUP(Table2[[#This Row],[Benefit Name]],Lookups!$D$18:$D$23,Lookups!$E$18:$E$23,0),
0))))</f>
        <v>0</v>
      </c>
      <c r="J314" s="284">
        <f>IF($I314="","",
IF($I314="MM_LIFE",INDEX('Quotation Tool'!$S$54:$V$60,MATCH($T314,'Quotation Tool'!$S$54:$S$60,0),4),
IF($I314="SP_LIFE",_xlfn.XLOOKUP(B313,$B:$B,$J:$J,0),0)))</f>
        <v>0</v>
      </c>
      <c r="K314" s="287">
        <f t="shared" ca="1" si="33"/>
        <v>0</v>
      </c>
      <c r="L314" s="288">
        <f t="shared" ca="1" si="34"/>
        <v>0</v>
      </c>
      <c r="M314" s="289">
        <f t="shared" ca="1" si="30"/>
        <v>0</v>
      </c>
      <c r="N314" s="286">
        <f>Table13[[#This Row],[Benefit Option]]</f>
        <v>0</v>
      </c>
      <c r="O314" s="284">
        <f>IF(OR(Table2[[#This Row],[Member Type]]="Spouse",Table2[[#This Row],[Member Type]]="Child"),0,
IF(_xlfn.XLOOKUP($N314,Lookups!$D$13:$D$27,Lookups!$F$13:$F$27,0)=Table2[[#This Row],[Table Lookup for Life Cover]],0,
_xlfn.XLOOKUP($N314,Lookups!$D$13:$D$27,Lookups!$F$13:$F$27,0)))</f>
        <v>0</v>
      </c>
      <c r="P314" s="284">
        <f>IF(Table2[[#This Row],[Table Lookup for Funeral]]=0,0,IFERROR(INDEX('Quotation Tool'!$S$54:$V$60,MATCH($T314,'Quotation Tool'!$S$54:$S$60,0),3),0))</f>
        <v>0</v>
      </c>
      <c r="Q314" s="288">
        <f ca="1">IF(OR(Table2[[#This Row],[Benefit Name]]="My Value Plus Life - Main Member",Table2[[#This Row],[Benefit Name]]="My Value Plus Life - Spouse"),0,
IFERROR(VLOOKUP($G314,INDIRECT($O314),$P314,FALSE),0))</f>
        <v>0</v>
      </c>
      <c r="R314" s="288">
        <f ca="1">IF(OR(Table2[[#This Row],[Benefit Name]]="My Value Plus Life - Main Member",Table2[[#This Row],[Benefit Name]]="My Value Plus Life - Spouse"),0,
IFERROR(VLOOKUP($G314,INDIRECT($O314),$P314+1,FALSE),0))</f>
        <v>0</v>
      </c>
      <c r="S314" s="289">
        <f t="shared" ca="1" si="31"/>
        <v>0</v>
      </c>
      <c r="T314" s="284" t="str">
        <f>IF(Table13[[#This Row],[Premium Waiver]]="","None",Table13[[#This Row],[Premium Waiver]])</f>
        <v>None</v>
      </c>
      <c r="U314" s="284">
        <f>Table13[[#This Row],[VAPs Options]]</f>
        <v>0</v>
      </c>
      <c r="V314" s="284">
        <f>Table13[[#This Row],[Annual Increase Option]]</f>
        <v>0</v>
      </c>
      <c r="W314" s="290">
        <f>Table13[[#This Row],[Life Cover Amount]]</f>
        <v>0</v>
      </c>
      <c r="X314" s="290">
        <f>Table13[[#This Row],[Funeral Cover Amount]]</f>
        <v>0</v>
      </c>
      <c r="Y31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1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14" s="301">
        <f t="shared" ca="1" si="32"/>
        <v>0</v>
      </c>
      <c r="AB314" s="298"/>
      <c r="AC314" s="326" t="str">
        <f>IF(Table2[[#This Row],[Member Type]]="Main Member",Lookups!$C$13,
IF(Table2[[#This Row],[Member Type]]="Spouse",_xlfn.XLOOKUP(B314,Table2[Main Member Link ID],Table2[Product Option],0),
IF(AND(Table2[[#This Row],[Member Type]]="Child",_xlfn.XLOOKUP(B314,Table2[Main Member Link ID],Table2[Product Option],0)&lt;&gt;"My Value Plus Life"),Lookups!$C$24,
IF(AND(OR(Table2[[#This Row],[Member Type]]="Parent",Table2[[#This Row],[Member Type]]="Extended"),_xlfn.XLOOKUP(B314,Table2[Main Member Link ID],Table2[Product Option],0)&lt;&gt;"My Value Plus Life"),Lookups!$C$26,""))))</f>
        <v/>
      </c>
      <c r="AD314" s="326" t="str">
        <f>IF(Table2[[#This Row],[Member Type]]="Main Member",Lookups!$C$14,"")</f>
        <v/>
      </c>
      <c r="AE31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Funeral",_xlfn.XLOOKUP(B314,Table2[Main Member Link ID],Table2[Benefit Name],0)=Lookups!$D$14),"",
IF(AND(Table2[[#This Row],[Member Type]]="Spouse",Table2[[#This Row],[Product Option]]="My Value Plus Life &amp; Funeral",_xlfn.XLOOKUP(B313,Table2[Main Member Link ID],Table2[Benefit Name],0)=Lookups!$D$15),Lookups!$D$20,
IF(AND(Table2[[#This Row],[Member Type]]="Spouse",Table2[[#This Row],[Product Option]]="My Value Plus Life &amp; Funeral",_xlfn.XLOOKUP(B313,Table2[Main Member Link ID],Table2[Benefit Name],0)=Lookups!$D$16),"",
IF(AND(Table2[[#This Row],[Member Type]]="Spouse",Table2[[#This Row],[Product Option]]="My Value Plus Life &amp; Funeral",_xlfn.XLOOKUP(B313,Table2[Main Member Link ID],Table2[Benefit Name],0)=Lookups!$D$17),Lookups!$D$21,
IF(AND(Table2[[#This Row],[Member Type]]="Child",Table2[[#This Row],[Product Option]]="My Value Plus Life &amp; Funeral",_xlfn.XLOOKUP(B314,Table2[Main Member Link ID],Table2[Benefit Name],0)=Lookups!$D$14),"",
IF(AND(Table2[[#This Row],[Member Type]]="Child",Table2[[#This Row],[Product Option]]="My Value Plus Life &amp; Funeral",_xlfn.XLOOKUP(B314,Table2[Main Member Link ID],Table2[Benefit Name],0)=Lookups!$D$15),"",
IF(AND(Table2[[#This Row],[Member Type]]="Child",Table2[[#This Row],[Product Option]]="My Value Plus Life &amp; Funeral",_xlfn.XLOOKUP(B314,Table2[Main Member Link ID],Table2[Benefit Name],0)=Lookups!$D$16),Lookups!$D$24,
IF(AND(Table2[[#This Row],[Member Type]]="Child",Table2[[#This Row],[Product Option]]="My Value Plus Life &amp; Funeral",_xlfn.XLOOKUP(B314,Table2[Main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Funeral",_xlfn.XLOOKUP(B314,Table2[Main Member Link ID],Table2[Benefit Name],0)&lt;&gt;Lookups!$D$14),
IF(_xlfn.XLOOKUP(B314,Table2[Main Member Link ID],Table2[Benefit Name],0)=0,"",_xlfn.XLOOKUP(B314,Table2[Main Member Link ID],Table2[Benefit Name],0)),"")))))))))))))))</f>
        <v/>
      </c>
      <c r="AF314" s="327" t="str">
        <f>IF(AND(Table2[[#This Row],[Member Type]]="Main Member",Table2[[#This Row],[Product Option]]="My Value Plus Life &amp; Funeral"),Lookups!$D$15,
IF(AND(Table2[[#This Row],[Member Type]]="Spouse",Table2[[#This Row],[Product Option]]="My Value Plus Life &amp; Funeral",_xlfn.XLOOKUP(B314,Table2[Main Member Link ID],Table2[Benefit Name],0)=Lookups!$D$14),"",
IF(AND(Table2[[#This Row],[Member Type]]="Spouse",Table2[[#This Row],[Product Option]]="My Value Plus Life &amp; Funeral",_xlfn.XLOOKUP(B313,Table2[Main Member Link ID],Table2[Benefit Name],0)=Lookups!$D$16),"",
IF(AND(Table2[[#This Row],[Member Type]]="Spouse",Table2[[#This Row],[Product Option]]="My Value Plus Life &amp; Funeral",_xlfn.XLOOKUP(B313,Table2[Main Member Link ID],Table2[Benefit Name],0)=Lookups!$D$15),"",
IF(AND(Table2[[#This Row],[Member Type]]="Spouse",Table2[[#This Row],[Product Option]]="My Value Plus Life &amp; Funeral",_xlfn.XLOOKUP(B313,Table2[Main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Funeral",_xlfn.XLOOKUP(B314,Table2[Main Member Link ID],Table2[Benefit Name],0)&lt;&gt;Lookups!$D$15),
IF(_xlfn.XLOOKUP(B314,Table2[Main Member Link ID],Table2[Benefit Name],0)=0,"",_xlfn.XLOOKUP(B314,Table2[Main Member Link ID],Table2[Benefit Name],0)),"")
))))))</f>
        <v/>
      </c>
      <c r="AG314" s="327" t="str">
        <f>IF(AND(Table2[[#This Row],[Member Type]]="Main Member",Table2[[#This Row],[Product Option]]="My Value Plus Life &amp; Funeral"),Lookups!$D$16,
IF(AND(Table2[[#This Row],[Member Type]]="Spouse",Table2[[#This Row],[Product Option]]="My Value Plus Life &amp; Funeral",_xlfn.XLOOKUP(B314,Table2[Main Member Link ID],Table2[Benefit Name],0)=Lookups!$D$14),"",
IF(AND(Table2[[#This Row],[Member Type]]="Spouse",Table2[[#This Row],[Product Option]]="My Value Plus Life &amp; Funeral",_xlfn.XLOOKUP(B313,Table2[Main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Funeral",_xlfn.XLOOKUP(B314,Table2[Main Member Link ID],Table2[Benefit Name],0)&lt;&gt;Lookups!$D$16),
IF(_xlfn.XLOOKUP(B314,Table2[Main Member Link ID],Table2[Benefit Name],0)=0,"",_xlfn.XLOOKUP(B314,Table2[Main Member Link ID],Table2[Benefit Name],0)),"")
))))</f>
        <v/>
      </c>
      <c r="AH314" s="327" t="str">
        <f>IF(AND(Table2[[#This Row],[Member Type]]="Main Member",Table2[[#This Row],[Product Option]]="My Value Plus Life &amp; Funeral"),Lookups!$D$17,
IF(AND(Table2[[#This Row],[Member Type]]="Spouse",Table2[[#This Row],[Product Option]]="My Value Plus Life &amp; Funeral",_xlfn.XLOOKUP(B314,Table2[Main Member Link ID],Table2[Benefit Name],0)=Lookups!$D$14),"",
IF(AND(Table2[[#This Row],[Member Type]]="Spouse",Table2[[#This Row],[Product Option]]="My Value Plus Life &amp; Funeral",_xlfn.XLOOKUP(B313,Table2[Main Member Link ID],Table2[Benefit Name],0)=Lookups!$D$16),"",
IF(AND(Table2[[#This Row],[Member Type]]="Child",Table2[[#This Row],[Product Option]]="My Value Plus Life &amp; Funeral"),"",
IF(AND(Table2[[#This Row],[Member Type]]="Child",Table2[[#This Row],[Product Option]]="My Value Plus Life &amp; Funeral",_xlfn.XLOOKUP(B314,Table2[Main Member Link ID],Table2[Benefit Name],0)=Lookups!$D$15),"",
IF(AND(OR(Table2[[#This Row],[Member Type]]="Spouse",Table2[[#This Row],[Member Type]]="Child"),Table2[[#This Row],[Product Option]]="My Value Plus Life &amp; Funeral",_xlfn.XLOOKUP(B314,Table2[Main Member Link ID],Table2[Benefit Name],0)&lt;&gt;Lookups!$D$17),
IF(_xlfn.XLOOKUP(B314,Table2[Main Member Link ID],Table2[Benefit Name],0)=0,"",_xlfn.XLOOKUP(B314,Table2[Main Member Link ID],Table2[Benefit Name],0)),""))))))</f>
        <v/>
      </c>
      <c r="AI314" s="328" t="str">
        <f>IF(AND(Table2[[#This Row],[Member Type]]="Main Member",Table2[[#This Row],[Table Lookup for Life Cover]]="MM_LIFE",Table2[[#This Row],[Age Next Birthday]]&lt;56),1,
IF(AND(Table2[[#This Row],[Member Type]]="Main Member",Table2[[#This Row],[Table Lookup for Life Cover]]="MM_LIFE",Table2[[#This Row],[Age Next Birthday]]&gt;=56),2,
""))</f>
        <v/>
      </c>
      <c r="AJ314" s="328">
        <f>IF(OR(Table2[[#This Row],[Member Type]]="Main Member",Table2[[#This Row],[Main Member Link ID]]=B313),1,0)</f>
        <v>1</v>
      </c>
      <c r="AK314" s="328">
        <f>IF(Table2[[#This Row],[Member Type]]=0,0,
IF(OR(Table2[[#This Row],[Member Type]]="Main Member",Table2[[#This Row],[Main Member Link ID]]&lt;&gt;B314),COUNTIFS(B:B,Table2[[#This Row],[Main Member Link ID]]),
COUNTIFS(B:B,Table2[[#This Row],[Main Member Link ID]],A:A,Table2[[#This Row],[Member Type]])))</f>
        <v>0</v>
      </c>
    </row>
    <row r="315" spans="1:37" x14ac:dyDescent="0.3">
      <c r="A315" s="284">
        <f>Table13[[#This Row],[Member Type]]</f>
        <v>0</v>
      </c>
      <c r="B315" s="284">
        <f>Table13[[#This Row],[Main Member Link ID]]</f>
        <v>0</v>
      </c>
      <c r="C315" s="284">
        <f>Table13[[#This Row],[ID Number]]</f>
        <v>0</v>
      </c>
      <c r="D315" s="285">
        <f>Table13[[#This Row],[Date Of Birth]]</f>
        <v>0</v>
      </c>
      <c r="E315" s="285">
        <f>Table13[[#This Row],[Commencement Date]]</f>
        <v>0</v>
      </c>
      <c r="F315" s="284">
        <f t="shared" si="28"/>
        <v>1</v>
      </c>
      <c r="G315" s="284">
        <f t="shared" si="29"/>
        <v>25</v>
      </c>
      <c r="H315" s="286">
        <f>Table13[[#This Row],[Product Option]]</f>
        <v>0</v>
      </c>
      <c r="I315" s="284">
        <f>IF(AND($A315="Main Member",Table2[[#This Row],[Product Option]]="My Value Plus Life"),"MM_LIFE",
IF(AND($A315="Spouse",Table2[[#This Row],[Product Option]]="My Value Plus Life"),"SP_LIFE",
IF(AND($A315="Main Member",Table2[[#This Row],[Product Option]]="My Value Plus Life &amp; Funeral"),"MM_LIFE",
IF(AND($A315="Spouse",Table2[[#This Row],[Product Option]]="My Value Plus Life &amp; Funeral"),_xlfn.XLOOKUP(Table2[[#This Row],[Benefit Name]],Lookups!$D$18:$D$23,Lookups!$E$18:$E$23,0),
0))))</f>
        <v>0</v>
      </c>
      <c r="J315" s="284">
        <f>IF($I315="","",
IF($I315="MM_LIFE",INDEX('Quotation Tool'!$S$54:$V$60,MATCH($T315,'Quotation Tool'!$S$54:$S$60,0),4),
IF($I315="SP_LIFE",_xlfn.XLOOKUP(B314,$B:$B,$J:$J,0),0)))</f>
        <v>0</v>
      </c>
      <c r="K315" s="287">
        <f t="shared" ca="1" si="33"/>
        <v>0</v>
      </c>
      <c r="L315" s="288">
        <f t="shared" ca="1" si="34"/>
        <v>0</v>
      </c>
      <c r="M315" s="289">
        <f t="shared" ca="1" si="30"/>
        <v>0</v>
      </c>
      <c r="N315" s="286">
        <f>Table13[[#This Row],[Benefit Option]]</f>
        <v>0</v>
      </c>
      <c r="O315" s="284">
        <f>IF(OR(Table2[[#This Row],[Member Type]]="Spouse",Table2[[#This Row],[Member Type]]="Child"),0,
IF(_xlfn.XLOOKUP($N315,Lookups!$D$13:$D$27,Lookups!$F$13:$F$27,0)=Table2[[#This Row],[Table Lookup for Life Cover]],0,
_xlfn.XLOOKUP($N315,Lookups!$D$13:$D$27,Lookups!$F$13:$F$27,0)))</f>
        <v>0</v>
      </c>
      <c r="P315" s="284">
        <f>IF(Table2[[#This Row],[Table Lookup for Funeral]]=0,0,IFERROR(INDEX('Quotation Tool'!$S$54:$V$60,MATCH($T315,'Quotation Tool'!$S$54:$S$60,0),3),0))</f>
        <v>0</v>
      </c>
      <c r="Q315" s="288">
        <f ca="1">IF(OR(Table2[[#This Row],[Benefit Name]]="My Value Plus Life - Main Member",Table2[[#This Row],[Benefit Name]]="My Value Plus Life - Spouse"),0,
IFERROR(VLOOKUP($G315,INDIRECT($O315),$P315,FALSE),0))</f>
        <v>0</v>
      </c>
      <c r="R315" s="288">
        <f ca="1">IF(OR(Table2[[#This Row],[Benefit Name]]="My Value Plus Life - Main Member",Table2[[#This Row],[Benefit Name]]="My Value Plus Life - Spouse"),0,
IFERROR(VLOOKUP($G315,INDIRECT($O315),$P315+1,FALSE),0))</f>
        <v>0</v>
      </c>
      <c r="S315" s="289">
        <f t="shared" ca="1" si="31"/>
        <v>0</v>
      </c>
      <c r="T315" s="284" t="str">
        <f>IF(Table13[[#This Row],[Premium Waiver]]="","None",Table13[[#This Row],[Premium Waiver]])</f>
        <v>None</v>
      </c>
      <c r="U315" s="284">
        <f>Table13[[#This Row],[VAPs Options]]</f>
        <v>0</v>
      </c>
      <c r="V315" s="284">
        <f>Table13[[#This Row],[Annual Increase Option]]</f>
        <v>0</v>
      </c>
      <c r="W315" s="290">
        <f>Table13[[#This Row],[Life Cover Amount]]</f>
        <v>0</v>
      </c>
      <c r="X315" s="290">
        <f>Table13[[#This Row],[Funeral Cover Amount]]</f>
        <v>0</v>
      </c>
      <c r="Y31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1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15" s="301">
        <f t="shared" ca="1" si="32"/>
        <v>0</v>
      </c>
      <c r="AB315" s="298"/>
      <c r="AC315" s="326" t="str">
        <f>IF(Table2[[#This Row],[Member Type]]="Main Member",Lookups!$C$13,
IF(Table2[[#This Row],[Member Type]]="Spouse",_xlfn.XLOOKUP(B315,Table2[Main Member Link ID],Table2[Product Option],0),
IF(AND(Table2[[#This Row],[Member Type]]="Child",_xlfn.XLOOKUP(B315,Table2[Main Member Link ID],Table2[Product Option],0)&lt;&gt;"My Value Plus Life"),Lookups!$C$24,
IF(AND(OR(Table2[[#This Row],[Member Type]]="Parent",Table2[[#This Row],[Member Type]]="Extended"),_xlfn.XLOOKUP(B315,Table2[Main Member Link ID],Table2[Product Option],0)&lt;&gt;"My Value Plus Life"),Lookups!$C$26,""))))</f>
        <v/>
      </c>
      <c r="AD315" s="326" t="str">
        <f>IF(Table2[[#This Row],[Member Type]]="Main Member",Lookups!$C$14,"")</f>
        <v/>
      </c>
      <c r="AE31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Funeral",_xlfn.XLOOKUP(B315,Table2[Main Member Link ID],Table2[Benefit Name],0)=Lookups!$D$14),"",
IF(AND(Table2[[#This Row],[Member Type]]="Spouse",Table2[[#This Row],[Product Option]]="My Value Plus Life &amp; Funeral",_xlfn.XLOOKUP(B314,Table2[Main Member Link ID],Table2[Benefit Name],0)=Lookups!$D$15),Lookups!$D$20,
IF(AND(Table2[[#This Row],[Member Type]]="Spouse",Table2[[#This Row],[Product Option]]="My Value Plus Life &amp; Funeral",_xlfn.XLOOKUP(B314,Table2[Main Member Link ID],Table2[Benefit Name],0)=Lookups!$D$16),"",
IF(AND(Table2[[#This Row],[Member Type]]="Spouse",Table2[[#This Row],[Product Option]]="My Value Plus Life &amp; Funeral",_xlfn.XLOOKUP(B314,Table2[Main Member Link ID],Table2[Benefit Name],0)=Lookups!$D$17),Lookups!$D$21,
IF(AND(Table2[[#This Row],[Member Type]]="Child",Table2[[#This Row],[Product Option]]="My Value Plus Life &amp; Funeral",_xlfn.XLOOKUP(B315,Table2[Main Member Link ID],Table2[Benefit Name],0)=Lookups!$D$14),"",
IF(AND(Table2[[#This Row],[Member Type]]="Child",Table2[[#This Row],[Product Option]]="My Value Plus Life &amp; Funeral",_xlfn.XLOOKUP(B315,Table2[Main Member Link ID],Table2[Benefit Name],0)=Lookups!$D$15),"",
IF(AND(Table2[[#This Row],[Member Type]]="Child",Table2[[#This Row],[Product Option]]="My Value Plus Life &amp; Funeral",_xlfn.XLOOKUP(B315,Table2[Main Member Link ID],Table2[Benefit Name],0)=Lookups!$D$16),Lookups!$D$24,
IF(AND(Table2[[#This Row],[Member Type]]="Child",Table2[[#This Row],[Product Option]]="My Value Plus Life &amp; Funeral",_xlfn.XLOOKUP(B315,Table2[Main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Funeral",_xlfn.XLOOKUP(B315,Table2[Main Member Link ID],Table2[Benefit Name],0)&lt;&gt;Lookups!$D$14),
IF(_xlfn.XLOOKUP(B315,Table2[Main Member Link ID],Table2[Benefit Name],0)=0,"",_xlfn.XLOOKUP(B315,Table2[Main Member Link ID],Table2[Benefit Name],0)),"")))))))))))))))</f>
        <v/>
      </c>
      <c r="AF315" s="327" t="str">
        <f>IF(AND(Table2[[#This Row],[Member Type]]="Main Member",Table2[[#This Row],[Product Option]]="My Value Plus Life &amp; Funeral"),Lookups!$D$15,
IF(AND(Table2[[#This Row],[Member Type]]="Spouse",Table2[[#This Row],[Product Option]]="My Value Plus Life &amp; Funeral",_xlfn.XLOOKUP(B315,Table2[Main Member Link ID],Table2[Benefit Name],0)=Lookups!$D$14),"",
IF(AND(Table2[[#This Row],[Member Type]]="Spouse",Table2[[#This Row],[Product Option]]="My Value Plus Life &amp; Funeral",_xlfn.XLOOKUP(B314,Table2[Main Member Link ID],Table2[Benefit Name],0)=Lookups!$D$16),"",
IF(AND(Table2[[#This Row],[Member Type]]="Spouse",Table2[[#This Row],[Product Option]]="My Value Plus Life &amp; Funeral",_xlfn.XLOOKUP(B314,Table2[Main Member Link ID],Table2[Benefit Name],0)=Lookups!$D$15),"",
IF(AND(Table2[[#This Row],[Member Type]]="Spouse",Table2[[#This Row],[Product Option]]="My Value Plus Life &amp; Funeral",_xlfn.XLOOKUP(B314,Table2[Main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Funeral",_xlfn.XLOOKUP(B315,Table2[Main Member Link ID],Table2[Benefit Name],0)&lt;&gt;Lookups!$D$15),
IF(_xlfn.XLOOKUP(B315,Table2[Main Member Link ID],Table2[Benefit Name],0)=0,"",_xlfn.XLOOKUP(B315,Table2[Main Member Link ID],Table2[Benefit Name],0)),"")
))))))</f>
        <v/>
      </c>
      <c r="AG315" s="327" t="str">
        <f>IF(AND(Table2[[#This Row],[Member Type]]="Main Member",Table2[[#This Row],[Product Option]]="My Value Plus Life &amp; Funeral"),Lookups!$D$16,
IF(AND(Table2[[#This Row],[Member Type]]="Spouse",Table2[[#This Row],[Product Option]]="My Value Plus Life &amp; Funeral",_xlfn.XLOOKUP(B315,Table2[Main Member Link ID],Table2[Benefit Name],0)=Lookups!$D$14),"",
IF(AND(Table2[[#This Row],[Member Type]]="Spouse",Table2[[#This Row],[Product Option]]="My Value Plus Life &amp; Funeral",_xlfn.XLOOKUP(B314,Table2[Main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Funeral",_xlfn.XLOOKUP(B315,Table2[Main Member Link ID],Table2[Benefit Name],0)&lt;&gt;Lookups!$D$16),
IF(_xlfn.XLOOKUP(B315,Table2[Main Member Link ID],Table2[Benefit Name],0)=0,"",_xlfn.XLOOKUP(B315,Table2[Main Member Link ID],Table2[Benefit Name],0)),"")
))))</f>
        <v/>
      </c>
      <c r="AH315" s="327" t="str">
        <f>IF(AND(Table2[[#This Row],[Member Type]]="Main Member",Table2[[#This Row],[Product Option]]="My Value Plus Life &amp; Funeral"),Lookups!$D$17,
IF(AND(Table2[[#This Row],[Member Type]]="Spouse",Table2[[#This Row],[Product Option]]="My Value Plus Life &amp; Funeral",_xlfn.XLOOKUP(B315,Table2[Main Member Link ID],Table2[Benefit Name],0)=Lookups!$D$14),"",
IF(AND(Table2[[#This Row],[Member Type]]="Spouse",Table2[[#This Row],[Product Option]]="My Value Plus Life &amp; Funeral",_xlfn.XLOOKUP(B314,Table2[Main Member Link ID],Table2[Benefit Name],0)=Lookups!$D$16),"",
IF(AND(Table2[[#This Row],[Member Type]]="Child",Table2[[#This Row],[Product Option]]="My Value Plus Life &amp; Funeral"),"",
IF(AND(Table2[[#This Row],[Member Type]]="Child",Table2[[#This Row],[Product Option]]="My Value Plus Life &amp; Funeral",_xlfn.XLOOKUP(B315,Table2[Main Member Link ID],Table2[Benefit Name],0)=Lookups!$D$15),"",
IF(AND(OR(Table2[[#This Row],[Member Type]]="Spouse",Table2[[#This Row],[Member Type]]="Child"),Table2[[#This Row],[Product Option]]="My Value Plus Life &amp; Funeral",_xlfn.XLOOKUP(B315,Table2[Main Member Link ID],Table2[Benefit Name],0)&lt;&gt;Lookups!$D$17),
IF(_xlfn.XLOOKUP(B315,Table2[Main Member Link ID],Table2[Benefit Name],0)=0,"",_xlfn.XLOOKUP(B315,Table2[Main Member Link ID],Table2[Benefit Name],0)),""))))))</f>
        <v/>
      </c>
      <c r="AI315" s="328" t="str">
        <f>IF(AND(Table2[[#This Row],[Member Type]]="Main Member",Table2[[#This Row],[Table Lookup for Life Cover]]="MM_LIFE",Table2[[#This Row],[Age Next Birthday]]&lt;56),1,
IF(AND(Table2[[#This Row],[Member Type]]="Main Member",Table2[[#This Row],[Table Lookup for Life Cover]]="MM_LIFE",Table2[[#This Row],[Age Next Birthday]]&gt;=56),2,
""))</f>
        <v/>
      </c>
      <c r="AJ315" s="328">
        <f>IF(OR(Table2[[#This Row],[Member Type]]="Main Member",Table2[[#This Row],[Main Member Link ID]]=B314),1,0)</f>
        <v>1</v>
      </c>
      <c r="AK315" s="328">
        <f>IF(Table2[[#This Row],[Member Type]]=0,0,
IF(OR(Table2[[#This Row],[Member Type]]="Main Member",Table2[[#This Row],[Main Member Link ID]]&lt;&gt;B315),COUNTIFS(B:B,Table2[[#This Row],[Main Member Link ID]]),
COUNTIFS(B:B,Table2[[#This Row],[Main Member Link ID]],A:A,Table2[[#This Row],[Member Type]])))</f>
        <v>0</v>
      </c>
    </row>
    <row r="316" spans="1:37" x14ac:dyDescent="0.3">
      <c r="A316" s="284">
        <f>Table13[[#This Row],[Member Type]]</f>
        <v>0</v>
      </c>
      <c r="B316" s="284">
        <f>Table13[[#This Row],[Main Member Link ID]]</f>
        <v>0</v>
      </c>
      <c r="C316" s="284">
        <f>Table13[[#This Row],[ID Number]]</f>
        <v>0</v>
      </c>
      <c r="D316" s="285">
        <f>Table13[[#This Row],[Date Of Birth]]</f>
        <v>0</v>
      </c>
      <c r="E316" s="285">
        <f>Table13[[#This Row],[Commencement Date]]</f>
        <v>0</v>
      </c>
      <c r="F316" s="284">
        <f t="shared" si="28"/>
        <v>1</v>
      </c>
      <c r="G316" s="284">
        <f t="shared" si="29"/>
        <v>25</v>
      </c>
      <c r="H316" s="286">
        <f>Table13[[#This Row],[Product Option]]</f>
        <v>0</v>
      </c>
      <c r="I316" s="284">
        <f>IF(AND($A316="Main Member",Table2[[#This Row],[Product Option]]="My Value Plus Life"),"MM_LIFE",
IF(AND($A316="Spouse",Table2[[#This Row],[Product Option]]="My Value Plus Life"),"SP_LIFE",
IF(AND($A316="Main Member",Table2[[#This Row],[Product Option]]="My Value Plus Life &amp; Funeral"),"MM_LIFE",
IF(AND($A316="Spouse",Table2[[#This Row],[Product Option]]="My Value Plus Life &amp; Funeral"),_xlfn.XLOOKUP(Table2[[#This Row],[Benefit Name]],Lookups!$D$18:$D$23,Lookups!$E$18:$E$23,0),
0))))</f>
        <v>0</v>
      </c>
      <c r="J316" s="284">
        <f>IF($I316="","",
IF($I316="MM_LIFE",INDEX('Quotation Tool'!$S$54:$V$60,MATCH($T316,'Quotation Tool'!$S$54:$S$60,0),4),
IF($I316="SP_LIFE",_xlfn.XLOOKUP(B315,$B:$B,$J:$J,0),0)))</f>
        <v>0</v>
      </c>
      <c r="K316" s="287">
        <f t="shared" ca="1" si="33"/>
        <v>0</v>
      </c>
      <c r="L316" s="288">
        <f t="shared" ca="1" si="34"/>
        <v>0</v>
      </c>
      <c r="M316" s="289">
        <f t="shared" ca="1" si="30"/>
        <v>0</v>
      </c>
      <c r="N316" s="286">
        <f>Table13[[#This Row],[Benefit Option]]</f>
        <v>0</v>
      </c>
      <c r="O316" s="284">
        <f>IF(OR(Table2[[#This Row],[Member Type]]="Spouse",Table2[[#This Row],[Member Type]]="Child"),0,
IF(_xlfn.XLOOKUP($N316,Lookups!$D$13:$D$27,Lookups!$F$13:$F$27,0)=Table2[[#This Row],[Table Lookup for Life Cover]],0,
_xlfn.XLOOKUP($N316,Lookups!$D$13:$D$27,Lookups!$F$13:$F$27,0)))</f>
        <v>0</v>
      </c>
      <c r="P316" s="284">
        <f>IF(Table2[[#This Row],[Table Lookup for Funeral]]=0,0,IFERROR(INDEX('Quotation Tool'!$S$54:$V$60,MATCH($T316,'Quotation Tool'!$S$54:$S$60,0),3),0))</f>
        <v>0</v>
      </c>
      <c r="Q316" s="288">
        <f ca="1">IF(OR(Table2[[#This Row],[Benefit Name]]="My Value Plus Life - Main Member",Table2[[#This Row],[Benefit Name]]="My Value Plus Life - Spouse"),0,
IFERROR(VLOOKUP($G316,INDIRECT($O316),$P316,FALSE),0))</f>
        <v>0</v>
      </c>
      <c r="R316" s="288">
        <f ca="1">IF(OR(Table2[[#This Row],[Benefit Name]]="My Value Plus Life - Main Member",Table2[[#This Row],[Benefit Name]]="My Value Plus Life - Spouse"),0,
IFERROR(VLOOKUP($G316,INDIRECT($O316),$P316+1,FALSE),0))</f>
        <v>0</v>
      </c>
      <c r="S316" s="289">
        <f t="shared" ca="1" si="31"/>
        <v>0</v>
      </c>
      <c r="T316" s="284" t="str">
        <f>IF(Table13[[#This Row],[Premium Waiver]]="","None",Table13[[#This Row],[Premium Waiver]])</f>
        <v>None</v>
      </c>
      <c r="U316" s="284">
        <f>Table13[[#This Row],[VAPs Options]]</f>
        <v>0</v>
      </c>
      <c r="V316" s="284">
        <f>Table13[[#This Row],[Annual Increase Option]]</f>
        <v>0</v>
      </c>
      <c r="W316" s="290">
        <f>Table13[[#This Row],[Life Cover Amount]]</f>
        <v>0</v>
      </c>
      <c r="X316" s="290">
        <f>Table13[[#This Row],[Funeral Cover Amount]]</f>
        <v>0</v>
      </c>
      <c r="Y31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1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16" s="301">
        <f t="shared" ca="1" si="32"/>
        <v>0</v>
      </c>
      <c r="AB316" s="298"/>
      <c r="AC316" s="326" t="str">
        <f>IF(Table2[[#This Row],[Member Type]]="Main Member",Lookups!$C$13,
IF(Table2[[#This Row],[Member Type]]="Spouse",_xlfn.XLOOKUP(B316,Table2[Main Member Link ID],Table2[Product Option],0),
IF(AND(Table2[[#This Row],[Member Type]]="Child",_xlfn.XLOOKUP(B316,Table2[Main Member Link ID],Table2[Product Option],0)&lt;&gt;"My Value Plus Life"),Lookups!$C$24,
IF(AND(OR(Table2[[#This Row],[Member Type]]="Parent",Table2[[#This Row],[Member Type]]="Extended"),_xlfn.XLOOKUP(B316,Table2[Main Member Link ID],Table2[Product Option],0)&lt;&gt;"My Value Plus Life"),Lookups!$C$26,""))))</f>
        <v/>
      </c>
      <c r="AD316" s="326" t="str">
        <f>IF(Table2[[#This Row],[Member Type]]="Main Member",Lookups!$C$14,"")</f>
        <v/>
      </c>
      <c r="AE31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Funeral",_xlfn.XLOOKUP(B316,Table2[Main Member Link ID],Table2[Benefit Name],0)=Lookups!$D$14),"",
IF(AND(Table2[[#This Row],[Member Type]]="Spouse",Table2[[#This Row],[Product Option]]="My Value Plus Life &amp; Funeral",_xlfn.XLOOKUP(B315,Table2[Main Member Link ID],Table2[Benefit Name],0)=Lookups!$D$15),Lookups!$D$20,
IF(AND(Table2[[#This Row],[Member Type]]="Spouse",Table2[[#This Row],[Product Option]]="My Value Plus Life &amp; Funeral",_xlfn.XLOOKUP(B315,Table2[Main Member Link ID],Table2[Benefit Name],0)=Lookups!$D$16),"",
IF(AND(Table2[[#This Row],[Member Type]]="Spouse",Table2[[#This Row],[Product Option]]="My Value Plus Life &amp; Funeral",_xlfn.XLOOKUP(B315,Table2[Main Member Link ID],Table2[Benefit Name],0)=Lookups!$D$17),Lookups!$D$21,
IF(AND(Table2[[#This Row],[Member Type]]="Child",Table2[[#This Row],[Product Option]]="My Value Plus Life &amp; Funeral",_xlfn.XLOOKUP(B316,Table2[Main Member Link ID],Table2[Benefit Name],0)=Lookups!$D$14),"",
IF(AND(Table2[[#This Row],[Member Type]]="Child",Table2[[#This Row],[Product Option]]="My Value Plus Life &amp; Funeral",_xlfn.XLOOKUP(B316,Table2[Main Member Link ID],Table2[Benefit Name],0)=Lookups!$D$15),"",
IF(AND(Table2[[#This Row],[Member Type]]="Child",Table2[[#This Row],[Product Option]]="My Value Plus Life &amp; Funeral",_xlfn.XLOOKUP(B316,Table2[Main Member Link ID],Table2[Benefit Name],0)=Lookups!$D$16),Lookups!$D$24,
IF(AND(Table2[[#This Row],[Member Type]]="Child",Table2[[#This Row],[Product Option]]="My Value Plus Life &amp; Funeral",_xlfn.XLOOKUP(B316,Table2[Main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Funeral",_xlfn.XLOOKUP(B316,Table2[Main Member Link ID],Table2[Benefit Name],0)&lt;&gt;Lookups!$D$14),
IF(_xlfn.XLOOKUP(B316,Table2[Main Member Link ID],Table2[Benefit Name],0)=0,"",_xlfn.XLOOKUP(B316,Table2[Main Member Link ID],Table2[Benefit Name],0)),"")))))))))))))))</f>
        <v/>
      </c>
      <c r="AF316" s="327" t="str">
        <f>IF(AND(Table2[[#This Row],[Member Type]]="Main Member",Table2[[#This Row],[Product Option]]="My Value Plus Life &amp; Funeral"),Lookups!$D$15,
IF(AND(Table2[[#This Row],[Member Type]]="Spouse",Table2[[#This Row],[Product Option]]="My Value Plus Life &amp; Funeral",_xlfn.XLOOKUP(B316,Table2[Main Member Link ID],Table2[Benefit Name],0)=Lookups!$D$14),"",
IF(AND(Table2[[#This Row],[Member Type]]="Spouse",Table2[[#This Row],[Product Option]]="My Value Plus Life &amp; Funeral",_xlfn.XLOOKUP(B315,Table2[Main Member Link ID],Table2[Benefit Name],0)=Lookups!$D$16),"",
IF(AND(Table2[[#This Row],[Member Type]]="Spouse",Table2[[#This Row],[Product Option]]="My Value Plus Life &amp; Funeral",_xlfn.XLOOKUP(B315,Table2[Main Member Link ID],Table2[Benefit Name],0)=Lookups!$D$15),"",
IF(AND(Table2[[#This Row],[Member Type]]="Spouse",Table2[[#This Row],[Product Option]]="My Value Plus Life &amp; Funeral",_xlfn.XLOOKUP(B315,Table2[Main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Funeral",_xlfn.XLOOKUP(B316,Table2[Main Member Link ID],Table2[Benefit Name],0)&lt;&gt;Lookups!$D$15),
IF(_xlfn.XLOOKUP(B316,Table2[Main Member Link ID],Table2[Benefit Name],0)=0,"",_xlfn.XLOOKUP(B316,Table2[Main Member Link ID],Table2[Benefit Name],0)),"")
))))))</f>
        <v/>
      </c>
      <c r="AG316" s="327" t="str">
        <f>IF(AND(Table2[[#This Row],[Member Type]]="Main Member",Table2[[#This Row],[Product Option]]="My Value Plus Life &amp; Funeral"),Lookups!$D$16,
IF(AND(Table2[[#This Row],[Member Type]]="Spouse",Table2[[#This Row],[Product Option]]="My Value Plus Life &amp; Funeral",_xlfn.XLOOKUP(B316,Table2[Main Member Link ID],Table2[Benefit Name],0)=Lookups!$D$14),"",
IF(AND(Table2[[#This Row],[Member Type]]="Spouse",Table2[[#This Row],[Product Option]]="My Value Plus Life &amp; Funeral",_xlfn.XLOOKUP(B315,Table2[Main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Funeral",_xlfn.XLOOKUP(B316,Table2[Main Member Link ID],Table2[Benefit Name],0)&lt;&gt;Lookups!$D$16),
IF(_xlfn.XLOOKUP(B316,Table2[Main Member Link ID],Table2[Benefit Name],0)=0,"",_xlfn.XLOOKUP(B316,Table2[Main Member Link ID],Table2[Benefit Name],0)),"")
))))</f>
        <v/>
      </c>
      <c r="AH316" s="327" t="str">
        <f>IF(AND(Table2[[#This Row],[Member Type]]="Main Member",Table2[[#This Row],[Product Option]]="My Value Plus Life &amp; Funeral"),Lookups!$D$17,
IF(AND(Table2[[#This Row],[Member Type]]="Spouse",Table2[[#This Row],[Product Option]]="My Value Plus Life &amp; Funeral",_xlfn.XLOOKUP(B316,Table2[Main Member Link ID],Table2[Benefit Name],0)=Lookups!$D$14),"",
IF(AND(Table2[[#This Row],[Member Type]]="Spouse",Table2[[#This Row],[Product Option]]="My Value Plus Life &amp; Funeral",_xlfn.XLOOKUP(B315,Table2[Main Member Link ID],Table2[Benefit Name],0)=Lookups!$D$16),"",
IF(AND(Table2[[#This Row],[Member Type]]="Child",Table2[[#This Row],[Product Option]]="My Value Plus Life &amp; Funeral"),"",
IF(AND(Table2[[#This Row],[Member Type]]="Child",Table2[[#This Row],[Product Option]]="My Value Plus Life &amp; Funeral",_xlfn.XLOOKUP(B316,Table2[Main Member Link ID],Table2[Benefit Name],0)=Lookups!$D$15),"",
IF(AND(OR(Table2[[#This Row],[Member Type]]="Spouse",Table2[[#This Row],[Member Type]]="Child"),Table2[[#This Row],[Product Option]]="My Value Plus Life &amp; Funeral",_xlfn.XLOOKUP(B316,Table2[Main Member Link ID],Table2[Benefit Name],0)&lt;&gt;Lookups!$D$17),
IF(_xlfn.XLOOKUP(B316,Table2[Main Member Link ID],Table2[Benefit Name],0)=0,"",_xlfn.XLOOKUP(B316,Table2[Main Member Link ID],Table2[Benefit Name],0)),""))))))</f>
        <v/>
      </c>
      <c r="AI316" s="328" t="str">
        <f>IF(AND(Table2[[#This Row],[Member Type]]="Main Member",Table2[[#This Row],[Table Lookup for Life Cover]]="MM_LIFE",Table2[[#This Row],[Age Next Birthday]]&lt;56),1,
IF(AND(Table2[[#This Row],[Member Type]]="Main Member",Table2[[#This Row],[Table Lookup for Life Cover]]="MM_LIFE",Table2[[#This Row],[Age Next Birthday]]&gt;=56),2,
""))</f>
        <v/>
      </c>
      <c r="AJ316" s="328">
        <f>IF(OR(Table2[[#This Row],[Member Type]]="Main Member",Table2[[#This Row],[Main Member Link ID]]=B315),1,0)</f>
        <v>1</v>
      </c>
      <c r="AK316" s="328">
        <f>IF(Table2[[#This Row],[Member Type]]=0,0,
IF(OR(Table2[[#This Row],[Member Type]]="Main Member",Table2[[#This Row],[Main Member Link ID]]&lt;&gt;B316),COUNTIFS(B:B,Table2[[#This Row],[Main Member Link ID]]),
COUNTIFS(B:B,Table2[[#This Row],[Main Member Link ID]],A:A,Table2[[#This Row],[Member Type]])))</f>
        <v>0</v>
      </c>
    </row>
    <row r="317" spans="1:37" x14ac:dyDescent="0.3">
      <c r="A317" s="284">
        <f>Table13[[#This Row],[Member Type]]</f>
        <v>0</v>
      </c>
      <c r="B317" s="284">
        <f>Table13[[#This Row],[Main Member Link ID]]</f>
        <v>0</v>
      </c>
      <c r="C317" s="284">
        <f>Table13[[#This Row],[ID Number]]</f>
        <v>0</v>
      </c>
      <c r="D317" s="285">
        <f>Table13[[#This Row],[Date Of Birth]]</f>
        <v>0</v>
      </c>
      <c r="E317" s="285">
        <f>Table13[[#This Row],[Commencement Date]]</f>
        <v>0</v>
      </c>
      <c r="F317" s="284">
        <f t="shared" si="28"/>
        <v>1</v>
      </c>
      <c r="G317" s="284">
        <f t="shared" si="29"/>
        <v>25</v>
      </c>
      <c r="H317" s="286">
        <f>Table13[[#This Row],[Product Option]]</f>
        <v>0</v>
      </c>
      <c r="I317" s="284">
        <f>IF(AND($A317="Main Member",Table2[[#This Row],[Product Option]]="My Value Plus Life"),"MM_LIFE",
IF(AND($A317="Spouse",Table2[[#This Row],[Product Option]]="My Value Plus Life"),"SP_LIFE",
IF(AND($A317="Main Member",Table2[[#This Row],[Product Option]]="My Value Plus Life &amp; Funeral"),"MM_LIFE",
IF(AND($A317="Spouse",Table2[[#This Row],[Product Option]]="My Value Plus Life &amp; Funeral"),_xlfn.XLOOKUP(Table2[[#This Row],[Benefit Name]],Lookups!$D$18:$D$23,Lookups!$E$18:$E$23,0),
0))))</f>
        <v>0</v>
      </c>
      <c r="J317" s="284">
        <f>IF($I317="","",
IF($I317="MM_LIFE",INDEX('Quotation Tool'!$S$54:$V$60,MATCH($T317,'Quotation Tool'!$S$54:$S$60,0),4),
IF($I317="SP_LIFE",_xlfn.XLOOKUP(B316,$B:$B,$J:$J,0),0)))</f>
        <v>0</v>
      </c>
      <c r="K317" s="287">
        <f t="shared" ca="1" si="33"/>
        <v>0</v>
      </c>
      <c r="L317" s="288">
        <f t="shared" ca="1" si="34"/>
        <v>0</v>
      </c>
      <c r="M317" s="289">
        <f t="shared" ca="1" si="30"/>
        <v>0</v>
      </c>
      <c r="N317" s="286">
        <f>Table13[[#This Row],[Benefit Option]]</f>
        <v>0</v>
      </c>
      <c r="O317" s="284">
        <f>IF(OR(Table2[[#This Row],[Member Type]]="Spouse",Table2[[#This Row],[Member Type]]="Child"),0,
IF(_xlfn.XLOOKUP($N317,Lookups!$D$13:$D$27,Lookups!$F$13:$F$27,0)=Table2[[#This Row],[Table Lookup for Life Cover]],0,
_xlfn.XLOOKUP($N317,Lookups!$D$13:$D$27,Lookups!$F$13:$F$27,0)))</f>
        <v>0</v>
      </c>
      <c r="P317" s="284">
        <f>IF(Table2[[#This Row],[Table Lookup for Funeral]]=0,0,IFERROR(INDEX('Quotation Tool'!$S$54:$V$60,MATCH($T317,'Quotation Tool'!$S$54:$S$60,0),3),0))</f>
        <v>0</v>
      </c>
      <c r="Q317" s="288">
        <f ca="1">IF(OR(Table2[[#This Row],[Benefit Name]]="My Value Plus Life - Main Member",Table2[[#This Row],[Benefit Name]]="My Value Plus Life - Spouse"),0,
IFERROR(VLOOKUP($G317,INDIRECT($O317),$P317,FALSE),0))</f>
        <v>0</v>
      </c>
      <c r="R317" s="288">
        <f ca="1">IF(OR(Table2[[#This Row],[Benefit Name]]="My Value Plus Life - Main Member",Table2[[#This Row],[Benefit Name]]="My Value Plus Life - Spouse"),0,
IFERROR(VLOOKUP($G317,INDIRECT($O317),$P317+1,FALSE),0))</f>
        <v>0</v>
      </c>
      <c r="S317" s="289">
        <f t="shared" ca="1" si="31"/>
        <v>0</v>
      </c>
      <c r="T317" s="284" t="str">
        <f>IF(Table13[[#This Row],[Premium Waiver]]="","None",Table13[[#This Row],[Premium Waiver]])</f>
        <v>None</v>
      </c>
      <c r="U317" s="284">
        <f>Table13[[#This Row],[VAPs Options]]</f>
        <v>0</v>
      </c>
      <c r="V317" s="284">
        <f>Table13[[#This Row],[Annual Increase Option]]</f>
        <v>0</v>
      </c>
      <c r="W317" s="290">
        <f>Table13[[#This Row],[Life Cover Amount]]</f>
        <v>0</v>
      </c>
      <c r="X317" s="290">
        <f>Table13[[#This Row],[Funeral Cover Amount]]</f>
        <v>0</v>
      </c>
      <c r="Y31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1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17" s="301">
        <f t="shared" ca="1" si="32"/>
        <v>0</v>
      </c>
      <c r="AB317" s="298"/>
      <c r="AC317" s="326" t="str">
        <f>IF(Table2[[#This Row],[Member Type]]="Main Member",Lookups!$C$13,
IF(Table2[[#This Row],[Member Type]]="Spouse",_xlfn.XLOOKUP(B317,Table2[Main Member Link ID],Table2[Product Option],0),
IF(AND(Table2[[#This Row],[Member Type]]="Child",_xlfn.XLOOKUP(B317,Table2[Main Member Link ID],Table2[Product Option],0)&lt;&gt;"My Value Plus Life"),Lookups!$C$24,
IF(AND(OR(Table2[[#This Row],[Member Type]]="Parent",Table2[[#This Row],[Member Type]]="Extended"),_xlfn.XLOOKUP(B317,Table2[Main Member Link ID],Table2[Product Option],0)&lt;&gt;"My Value Plus Life"),Lookups!$C$26,""))))</f>
        <v/>
      </c>
      <c r="AD317" s="326" t="str">
        <f>IF(Table2[[#This Row],[Member Type]]="Main Member",Lookups!$C$14,"")</f>
        <v/>
      </c>
      <c r="AE31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Funeral",_xlfn.XLOOKUP(B317,Table2[Main Member Link ID],Table2[Benefit Name],0)=Lookups!$D$14),"",
IF(AND(Table2[[#This Row],[Member Type]]="Spouse",Table2[[#This Row],[Product Option]]="My Value Plus Life &amp; Funeral",_xlfn.XLOOKUP(B316,Table2[Main Member Link ID],Table2[Benefit Name],0)=Lookups!$D$15),Lookups!$D$20,
IF(AND(Table2[[#This Row],[Member Type]]="Spouse",Table2[[#This Row],[Product Option]]="My Value Plus Life &amp; Funeral",_xlfn.XLOOKUP(B316,Table2[Main Member Link ID],Table2[Benefit Name],0)=Lookups!$D$16),"",
IF(AND(Table2[[#This Row],[Member Type]]="Spouse",Table2[[#This Row],[Product Option]]="My Value Plus Life &amp; Funeral",_xlfn.XLOOKUP(B316,Table2[Main Member Link ID],Table2[Benefit Name],0)=Lookups!$D$17),Lookups!$D$21,
IF(AND(Table2[[#This Row],[Member Type]]="Child",Table2[[#This Row],[Product Option]]="My Value Plus Life &amp; Funeral",_xlfn.XLOOKUP(B317,Table2[Main Member Link ID],Table2[Benefit Name],0)=Lookups!$D$14),"",
IF(AND(Table2[[#This Row],[Member Type]]="Child",Table2[[#This Row],[Product Option]]="My Value Plus Life &amp; Funeral",_xlfn.XLOOKUP(B317,Table2[Main Member Link ID],Table2[Benefit Name],0)=Lookups!$D$15),"",
IF(AND(Table2[[#This Row],[Member Type]]="Child",Table2[[#This Row],[Product Option]]="My Value Plus Life &amp; Funeral",_xlfn.XLOOKUP(B317,Table2[Main Member Link ID],Table2[Benefit Name],0)=Lookups!$D$16),Lookups!$D$24,
IF(AND(Table2[[#This Row],[Member Type]]="Child",Table2[[#This Row],[Product Option]]="My Value Plus Life &amp; Funeral",_xlfn.XLOOKUP(B317,Table2[Main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Funeral",_xlfn.XLOOKUP(B317,Table2[Main Member Link ID],Table2[Benefit Name],0)&lt;&gt;Lookups!$D$14),
IF(_xlfn.XLOOKUP(B317,Table2[Main Member Link ID],Table2[Benefit Name],0)=0,"",_xlfn.XLOOKUP(B317,Table2[Main Member Link ID],Table2[Benefit Name],0)),"")))))))))))))))</f>
        <v/>
      </c>
      <c r="AF317" s="327" t="str">
        <f>IF(AND(Table2[[#This Row],[Member Type]]="Main Member",Table2[[#This Row],[Product Option]]="My Value Plus Life &amp; Funeral"),Lookups!$D$15,
IF(AND(Table2[[#This Row],[Member Type]]="Spouse",Table2[[#This Row],[Product Option]]="My Value Plus Life &amp; Funeral",_xlfn.XLOOKUP(B317,Table2[Main Member Link ID],Table2[Benefit Name],0)=Lookups!$D$14),"",
IF(AND(Table2[[#This Row],[Member Type]]="Spouse",Table2[[#This Row],[Product Option]]="My Value Plus Life &amp; Funeral",_xlfn.XLOOKUP(B316,Table2[Main Member Link ID],Table2[Benefit Name],0)=Lookups!$D$16),"",
IF(AND(Table2[[#This Row],[Member Type]]="Spouse",Table2[[#This Row],[Product Option]]="My Value Plus Life &amp; Funeral",_xlfn.XLOOKUP(B316,Table2[Main Member Link ID],Table2[Benefit Name],0)=Lookups!$D$15),"",
IF(AND(Table2[[#This Row],[Member Type]]="Spouse",Table2[[#This Row],[Product Option]]="My Value Plus Life &amp; Funeral",_xlfn.XLOOKUP(B316,Table2[Main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Funeral",_xlfn.XLOOKUP(B317,Table2[Main Member Link ID],Table2[Benefit Name],0)&lt;&gt;Lookups!$D$15),
IF(_xlfn.XLOOKUP(B317,Table2[Main Member Link ID],Table2[Benefit Name],0)=0,"",_xlfn.XLOOKUP(B317,Table2[Main Member Link ID],Table2[Benefit Name],0)),"")
))))))</f>
        <v/>
      </c>
      <c r="AG317" s="327" t="str">
        <f>IF(AND(Table2[[#This Row],[Member Type]]="Main Member",Table2[[#This Row],[Product Option]]="My Value Plus Life &amp; Funeral"),Lookups!$D$16,
IF(AND(Table2[[#This Row],[Member Type]]="Spouse",Table2[[#This Row],[Product Option]]="My Value Plus Life &amp; Funeral",_xlfn.XLOOKUP(B317,Table2[Main Member Link ID],Table2[Benefit Name],0)=Lookups!$D$14),"",
IF(AND(Table2[[#This Row],[Member Type]]="Spouse",Table2[[#This Row],[Product Option]]="My Value Plus Life &amp; Funeral",_xlfn.XLOOKUP(B316,Table2[Main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Funeral",_xlfn.XLOOKUP(B317,Table2[Main Member Link ID],Table2[Benefit Name],0)&lt;&gt;Lookups!$D$16),
IF(_xlfn.XLOOKUP(B317,Table2[Main Member Link ID],Table2[Benefit Name],0)=0,"",_xlfn.XLOOKUP(B317,Table2[Main Member Link ID],Table2[Benefit Name],0)),"")
))))</f>
        <v/>
      </c>
      <c r="AH317" s="327" t="str">
        <f>IF(AND(Table2[[#This Row],[Member Type]]="Main Member",Table2[[#This Row],[Product Option]]="My Value Plus Life &amp; Funeral"),Lookups!$D$17,
IF(AND(Table2[[#This Row],[Member Type]]="Spouse",Table2[[#This Row],[Product Option]]="My Value Plus Life &amp; Funeral",_xlfn.XLOOKUP(B317,Table2[Main Member Link ID],Table2[Benefit Name],0)=Lookups!$D$14),"",
IF(AND(Table2[[#This Row],[Member Type]]="Spouse",Table2[[#This Row],[Product Option]]="My Value Plus Life &amp; Funeral",_xlfn.XLOOKUP(B316,Table2[Main Member Link ID],Table2[Benefit Name],0)=Lookups!$D$16),"",
IF(AND(Table2[[#This Row],[Member Type]]="Child",Table2[[#This Row],[Product Option]]="My Value Plus Life &amp; Funeral"),"",
IF(AND(Table2[[#This Row],[Member Type]]="Child",Table2[[#This Row],[Product Option]]="My Value Plus Life &amp; Funeral",_xlfn.XLOOKUP(B317,Table2[Main Member Link ID],Table2[Benefit Name],0)=Lookups!$D$15),"",
IF(AND(OR(Table2[[#This Row],[Member Type]]="Spouse",Table2[[#This Row],[Member Type]]="Child"),Table2[[#This Row],[Product Option]]="My Value Plus Life &amp; Funeral",_xlfn.XLOOKUP(B317,Table2[Main Member Link ID],Table2[Benefit Name],0)&lt;&gt;Lookups!$D$17),
IF(_xlfn.XLOOKUP(B317,Table2[Main Member Link ID],Table2[Benefit Name],0)=0,"",_xlfn.XLOOKUP(B317,Table2[Main Member Link ID],Table2[Benefit Name],0)),""))))))</f>
        <v/>
      </c>
      <c r="AI317" s="328" t="str">
        <f>IF(AND(Table2[[#This Row],[Member Type]]="Main Member",Table2[[#This Row],[Table Lookup for Life Cover]]="MM_LIFE",Table2[[#This Row],[Age Next Birthday]]&lt;56),1,
IF(AND(Table2[[#This Row],[Member Type]]="Main Member",Table2[[#This Row],[Table Lookup for Life Cover]]="MM_LIFE",Table2[[#This Row],[Age Next Birthday]]&gt;=56),2,
""))</f>
        <v/>
      </c>
      <c r="AJ317" s="328">
        <f>IF(OR(Table2[[#This Row],[Member Type]]="Main Member",Table2[[#This Row],[Main Member Link ID]]=B316),1,0)</f>
        <v>1</v>
      </c>
      <c r="AK317" s="328">
        <f>IF(Table2[[#This Row],[Member Type]]=0,0,
IF(OR(Table2[[#This Row],[Member Type]]="Main Member",Table2[[#This Row],[Main Member Link ID]]&lt;&gt;B317),COUNTIFS(B:B,Table2[[#This Row],[Main Member Link ID]]),
COUNTIFS(B:B,Table2[[#This Row],[Main Member Link ID]],A:A,Table2[[#This Row],[Member Type]])))</f>
        <v>0</v>
      </c>
    </row>
    <row r="318" spans="1:37" x14ac:dyDescent="0.3">
      <c r="A318" s="284">
        <f>Table13[[#This Row],[Member Type]]</f>
        <v>0</v>
      </c>
      <c r="B318" s="284">
        <f>Table13[[#This Row],[Main Member Link ID]]</f>
        <v>0</v>
      </c>
      <c r="C318" s="284">
        <f>Table13[[#This Row],[ID Number]]</f>
        <v>0</v>
      </c>
      <c r="D318" s="285">
        <f>Table13[[#This Row],[Date Of Birth]]</f>
        <v>0</v>
      </c>
      <c r="E318" s="285">
        <f>Table13[[#This Row],[Commencement Date]]</f>
        <v>0</v>
      </c>
      <c r="F318" s="284">
        <f t="shared" si="28"/>
        <v>1</v>
      </c>
      <c r="G318" s="284">
        <f t="shared" si="29"/>
        <v>25</v>
      </c>
      <c r="H318" s="286">
        <f>Table13[[#This Row],[Product Option]]</f>
        <v>0</v>
      </c>
      <c r="I318" s="284">
        <f>IF(AND($A318="Main Member",Table2[[#This Row],[Product Option]]="My Value Plus Life"),"MM_LIFE",
IF(AND($A318="Spouse",Table2[[#This Row],[Product Option]]="My Value Plus Life"),"SP_LIFE",
IF(AND($A318="Main Member",Table2[[#This Row],[Product Option]]="My Value Plus Life &amp; Funeral"),"MM_LIFE",
IF(AND($A318="Spouse",Table2[[#This Row],[Product Option]]="My Value Plus Life &amp; Funeral"),_xlfn.XLOOKUP(Table2[[#This Row],[Benefit Name]],Lookups!$D$18:$D$23,Lookups!$E$18:$E$23,0),
0))))</f>
        <v>0</v>
      </c>
      <c r="J318" s="284">
        <f>IF($I318="","",
IF($I318="MM_LIFE",INDEX('Quotation Tool'!$S$54:$V$60,MATCH($T318,'Quotation Tool'!$S$54:$S$60,0),4),
IF($I318="SP_LIFE",_xlfn.XLOOKUP(B317,$B:$B,$J:$J,0),0)))</f>
        <v>0</v>
      </c>
      <c r="K318" s="287">
        <f t="shared" ca="1" si="33"/>
        <v>0</v>
      </c>
      <c r="L318" s="288">
        <f t="shared" ca="1" si="34"/>
        <v>0</v>
      </c>
      <c r="M318" s="289">
        <f t="shared" ca="1" si="30"/>
        <v>0</v>
      </c>
      <c r="N318" s="286">
        <f>Table13[[#This Row],[Benefit Option]]</f>
        <v>0</v>
      </c>
      <c r="O318" s="284">
        <f>IF(OR(Table2[[#This Row],[Member Type]]="Spouse",Table2[[#This Row],[Member Type]]="Child"),0,
IF(_xlfn.XLOOKUP($N318,Lookups!$D$13:$D$27,Lookups!$F$13:$F$27,0)=Table2[[#This Row],[Table Lookup for Life Cover]],0,
_xlfn.XLOOKUP($N318,Lookups!$D$13:$D$27,Lookups!$F$13:$F$27,0)))</f>
        <v>0</v>
      </c>
      <c r="P318" s="284">
        <f>IF(Table2[[#This Row],[Table Lookup for Funeral]]=0,0,IFERROR(INDEX('Quotation Tool'!$S$54:$V$60,MATCH($T318,'Quotation Tool'!$S$54:$S$60,0),3),0))</f>
        <v>0</v>
      </c>
      <c r="Q318" s="288">
        <f ca="1">IF(OR(Table2[[#This Row],[Benefit Name]]="My Value Plus Life - Main Member",Table2[[#This Row],[Benefit Name]]="My Value Plus Life - Spouse"),0,
IFERROR(VLOOKUP($G318,INDIRECT($O318),$P318,FALSE),0))</f>
        <v>0</v>
      </c>
      <c r="R318" s="288">
        <f ca="1">IF(OR(Table2[[#This Row],[Benefit Name]]="My Value Plus Life - Main Member",Table2[[#This Row],[Benefit Name]]="My Value Plus Life - Spouse"),0,
IFERROR(VLOOKUP($G318,INDIRECT($O318),$P318+1,FALSE),0))</f>
        <v>0</v>
      </c>
      <c r="S318" s="289">
        <f t="shared" ca="1" si="31"/>
        <v>0</v>
      </c>
      <c r="T318" s="284" t="str">
        <f>IF(Table13[[#This Row],[Premium Waiver]]="","None",Table13[[#This Row],[Premium Waiver]])</f>
        <v>None</v>
      </c>
      <c r="U318" s="284">
        <f>Table13[[#This Row],[VAPs Options]]</f>
        <v>0</v>
      </c>
      <c r="V318" s="284">
        <f>Table13[[#This Row],[Annual Increase Option]]</f>
        <v>0</v>
      </c>
      <c r="W318" s="290">
        <f>Table13[[#This Row],[Life Cover Amount]]</f>
        <v>0</v>
      </c>
      <c r="X318" s="290">
        <f>Table13[[#This Row],[Funeral Cover Amount]]</f>
        <v>0</v>
      </c>
      <c r="Y31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1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18" s="301">
        <f t="shared" ca="1" si="32"/>
        <v>0</v>
      </c>
      <c r="AB318" s="298"/>
      <c r="AC318" s="326" t="str">
        <f>IF(Table2[[#This Row],[Member Type]]="Main Member",Lookups!$C$13,
IF(Table2[[#This Row],[Member Type]]="Spouse",_xlfn.XLOOKUP(B318,Table2[Main Member Link ID],Table2[Product Option],0),
IF(AND(Table2[[#This Row],[Member Type]]="Child",_xlfn.XLOOKUP(B318,Table2[Main Member Link ID],Table2[Product Option],0)&lt;&gt;"My Value Plus Life"),Lookups!$C$24,
IF(AND(OR(Table2[[#This Row],[Member Type]]="Parent",Table2[[#This Row],[Member Type]]="Extended"),_xlfn.XLOOKUP(B318,Table2[Main Member Link ID],Table2[Product Option],0)&lt;&gt;"My Value Plus Life"),Lookups!$C$26,""))))</f>
        <v/>
      </c>
      <c r="AD318" s="326" t="str">
        <f>IF(Table2[[#This Row],[Member Type]]="Main Member",Lookups!$C$14,"")</f>
        <v/>
      </c>
      <c r="AE31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Funeral",_xlfn.XLOOKUP(B318,Table2[Main Member Link ID],Table2[Benefit Name],0)=Lookups!$D$14),"",
IF(AND(Table2[[#This Row],[Member Type]]="Spouse",Table2[[#This Row],[Product Option]]="My Value Plus Life &amp; Funeral",_xlfn.XLOOKUP(B317,Table2[Main Member Link ID],Table2[Benefit Name],0)=Lookups!$D$15),Lookups!$D$20,
IF(AND(Table2[[#This Row],[Member Type]]="Spouse",Table2[[#This Row],[Product Option]]="My Value Plus Life &amp; Funeral",_xlfn.XLOOKUP(B317,Table2[Main Member Link ID],Table2[Benefit Name],0)=Lookups!$D$16),"",
IF(AND(Table2[[#This Row],[Member Type]]="Spouse",Table2[[#This Row],[Product Option]]="My Value Plus Life &amp; Funeral",_xlfn.XLOOKUP(B317,Table2[Main Member Link ID],Table2[Benefit Name],0)=Lookups!$D$17),Lookups!$D$21,
IF(AND(Table2[[#This Row],[Member Type]]="Child",Table2[[#This Row],[Product Option]]="My Value Plus Life &amp; Funeral",_xlfn.XLOOKUP(B318,Table2[Main Member Link ID],Table2[Benefit Name],0)=Lookups!$D$14),"",
IF(AND(Table2[[#This Row],[Member Type]]="Child",Table2[[#This Row],[Product Option]]="My Value Plus Life &amp; Funeral",_xlfn.XLOOKUP(B318,Table2[Main Member Link ID],Table2[Benefit Name],0)=Lookups!$D$15),"",
IF(AND(Table2[[#This Row],[Member Type]]="Child",Table2[[#This Row],[Product Option]]="My Value Plus Life &amp; Funeral",_xlfn.XLOOKUP(B318,Table2[Main Member Link ID],Table2[Benefit Name],0)=Lookups!$D$16),Lookups!$D$24,
IF(AND(Table2[[#This Row],[Member Type]]="Child",Table2[[#This Row],[Product Option]]="My Value Plus Life &amp; Funeral",_xlfn.XLOOKUP(B318,Table2[Main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Funeral",_xlfn.XLOOKUP(B318,Table2[Main Member Link ID],Table2[Benefit Name],0)&lt;&gt;Lookups!$D$14),
IF(_xlfn.XLOOKUP(B318,Table2[Main Member Link ID],Table2[Benefit Name],0)=0,"",_xlfn.XLOOKUP(B318,Table2[Main Member Link ID],Table2[Benefit Name],0)),"")))))))))))))))</f>
        <v/>
      </c>
      <c r="AF318" s="327" t="str">
        <f>IF(AND(Table2[[#This Row],[Member Type]]="Main Member",Table2[[#This Row],[Product Option]]="My Value Plus Life &amp; Funeral"),Lookups!$D$15,
IF(AND(Table2[[#This Row],[Member Type]]="Spouse",Table2[[#This Row],[Product Option]]="My Value Plus Life &amp; Funeral",_xlfn.XLOOKUP(B318,Table2[Main Member Link ID],Table2[Benefit Name],0)=Lookups!$D$14),"",
IF(AND(Table2[[#This Row],[Member Type]]="Spouse",Table2[[#This Row],[Product Option]]="My Value Plus Life &amp; Funeral",_xlfn.XLOOKUP(B317,Table2[Main Member Link ID],Table2[Benefit Name],0)=Lookups!$D$16),"",
IF(AND(Table2[[#This Row],[Member Type]]="Spouse",Table2[[#This Row],[Product Option]]="My Value Plus Life &amp; Funeral",_xlfn.XLOOKUP(B317,Table2[Main Member Link ID],Table2[Benefit Name],0)=Lookups!$D$15),"",
IF(AND(Table2[[#This Row],[Member Type]]="Spouse",Table2[[#This Row],[Product Option]]="My Value Plus Life &amp; Funeral",_xlfn.XLOOKUP(B317,Table2[Main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Funeral",_xlfn.XLOOKUP(B318,Table2[Main Member Link ID],Table2[Benefit Name],0)&lt;&gt;Lookups!$D$15),
IF(_xlfn.XLOOKUP(B318,Table2[Main Member Link ID],Table2[Benefit Name],0)=0,"",_xlfn.XLOOKUP(B318,Table2[Main Member Link ID],Table2[Benefit Name],0)),"")
))))))</f>
        <v/>
      </c>
      <c r="AG318" s="327" t="str">
        <f>IF(AND(Table2[[#This Row],[Member Type]]="Main Member",Table2[[#This Row],[Product Option]]="My Value Plus Life &amp; Funeral"),Lookups!$D$16,
IF(AND(Table2[[#This Row],[Member Type]]="Spouse",Table2[[#This Row],[Product Option]]="My Value Plus Life &amp; Funeral",_xlfn.XLOOKUP(B318,Table2[Main Member Link ID],Table2[Benefit Name],0)=Lookups!$D$14),"",
IF(AND(Table2[[#This Row],[Member Type]]="Spouse",Table2[[#This Row],[Product Option]]="My Value Plus Life &amp; Funeral",_xlfn.XLOOKUP(B317,Table2[Main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Funeral",_xlfn.XLOOKUP(B318,Table2[Main Member Link ID],Table2[Benefit Name],0)&lt;&gt;Lookups!$D$16),
IF(_xlfn.XLOOKUP(B318,Table2[Main Member Link ID],Table2[Benefit Name],0)=0,"",_xlfn.XLOOKUP(B318,Table2[Main Member Link ID],Table2[Benefit Name],0)),"")
))))</f>
        <v/>
      </c>
      <c r="AH318" s="327" t="str">
        <f>IF(AND(Table2[[#This Row],[Member Type]]="Main Member",Table2[[#This Row],[Product Option]]="My Value Plus Life &amp; Funeral"),Lookups!$D$17,
IF(AND(Table2[[#This Row],[Member Type]]="Spouse",Table2[[#This Row],[Product Option]]="My Value Plus Life &amp; Funeral",_xlfn.XLOOKUP(B318,Table2[Main Member Link ID],Table2[Benefit Name],0)=Lookups!$D$14),"",
IF(AND(Table2[[#This Row],[Member Type]]="Spouse",Table2[[#This Row],[Product Option]]="My Value Plus Life &amp; Funeral",_xlfn.XLOOKUP(B317,Table2[Main Member Link ID],Table2[Benefit Name],0)=Lookups!$D$16),"",
IF(AND(Table2[[#This Row],[Member Type]]="Child",Table2[[#This Row],[Product Option]]="My Value Plus Life &amp; Funeral"),"",
IF(AND(Table2[[#This Row],[Member Type]]="Child",Table2[[#This Row],[Product Option]]="My Value Plus Life &amp; Funeral",_xlfn.XLOOKUP(B318,Table2[Main Member Link ID],Table2[Benefit Name],0)=Lookups!$D$15),"",
IF(AND(OR(Table2[[#This Row],[Member Type]]="Spouse",Table2[[#This Row],[Member Type]]="Child"),Table2[[#This Row],[Product Option]]="My Value Plus Life &amp; Funeral",_xlfn.XLOOKUP(B318,Table2[Main Member Link ID],Table2[Benefit Name],0)&lt;&gt;Lookups!$D$17),
IF(_xlfn.XLOOKUP(B318,Table2[Main Member Link ID],Table2[Benefit Name],0)=0,"",_xlfn.XLOOKUP(B318,Table2[Main Member Link ID],Table2[Benefit Name],0)),""))))))</f>
        <v/>
      </c>
      <c r="AI318" s="328" t="str">
        <f>IF(AND(Table2[[#This Row],[Member Type]]="Main Member",Table2[[#This Row],[Table Lookup for Life Cover]]="MM_LIFE",Table2[[#This Row],[Age Next Birthday]]&lt;56),1,
IF(AND(Table2[[#This Row],[Member Type]]="Main Member",Table2[[#This Row],[Table Lookup for Life Cover]]="MM_LIFE",Table2[[#This Row],[Age Next Birthday]]&gt;=56),2,
""))</f>
        <v/>
      </c>
      <c r="AJ318" s="328">
        <f>IF(OR(Table2[[#This Row],[Member Type]]="Main Member",Table2[[#This Row],[Main Member Link ID]]=B317),1,0)</f>
        <v>1</v>
      </c>
      <c r="AK318" s="328">
        <f>IF(Table2[[#This Row],[Member Type]]=0,0,
IF(OR(Table2[[#This Row],[Member Type]]="Main Member",Table2[[#This Row],[Main Member Link ID]]&lt;&gt;B318),COUNTIFS(B:B,Table2[[#This Row],[Main Member Link ID]]),
COUNTIFS(B:B,Table2[[#This Row],[Main Member Link ID]],A:A,Table2[[#This Row],[Member Type]])))</f>
        <v>0</v>
      </c>
    </row>
    <row r="319" spans="1:37" x14ac:dyDescent="0.3">
      <c r="A319" s="284">
        <f>Table13[[#This Row],[Member Type]]</f>
        <v>0</v>
      </c>
      <c r="B319" s="284">
        <f>Table13[[#This Row],[Main Member Link ID]]</f>
        <v>0</v>
      </c>
      <c r="C319" s="284">
        <f>Table13[[#This Row],[ID Number]]</f>
        <v>0</v>
      </c>
      <c r="D319" s="285">
        <f>Table13[[#This Row],[Date Of Birth]]</f>
        <v>0</v>
      </c>
      <c r="E319" s="285">
        <f>Table13[[#This Row],[Commencement Date]]</f>
        <v>0</v>
      </c>
      <c r="F319" s="284">
        <f t="shared" si="28"/>
        <v>1</v>
      </c>
      <c r="G319" s="284">
        <f t="shared" si="29"/>
        <v>25</v>
      </c>
      <c r="H319" s="286">
        <f>Table13[[#This Row],[Product Option]]</f>
        <v>0</v>
      </c>
      <c r="I319" s="284">
        <f>IF(AND($A319="Main Member",Table2[[#This Row],[Product Option]]="My Value Plus Life"),"MM_LIFE",
IF(AND($A319="Spouse",Table2[[#This Row],[Product Option]]="My Value Plus Life"),"SP_LIFE",
IF(AND($A319="Main Member",Table2[[#This Row],[Product Option]]="My Value Plus Life &amp; Funeral"),"MM_LIFE",
IF(AND($A319="Spouse",Table2[[#This Row],[Product Option]]="My Value Plus Life &amp; Funeral"),_xlfn.XLOOKUP(Table2[[#This Row],[Benefit Name]],Lookups!$D$18:$D$23,Lookups!$E$18:$E$23,0),
0))))</f>
        <v>0</v>
      </c>
      <c r="J319" s="284">
        <f>IF($I319="","",
IF($I319="MM_LIFE",INDEX('Quotation Tool'!$S$54:$V$60,MATCH($T319,'Quotation Tool'!$S$54:$S$60,0),4),
IF($I319="SP_LIFE",_xlfn.XLOOKUP(B318,$B:$B,$J:$J,0),0)))</f>
        <v>0</v>
      </c>
      <c r="K319" s="287">
        <f t="shared" ca="1" si="33"/>
        <v>0</v>
      </c>
      <c r="L319" s="288">
        <f t="shared" ca="1" si="34"/>
        <v>0</v>
      </c>
      <c r="M319" s="289">
        <f t="shared" ca="1" si="30"/>
        <v>0</v>
      </c>
      <c r="N319" s="286">
        <f>Table13[[#This Row],[Benefit Option]]</f>
        <v>0</v>
      </c>
      <c r="O319" s="284">
        <f>IF(OR(Table2[[#This Row],[Member Type]]="Spouse",Table2[[#This Row],[Member Type]]="Child"),0,
IF(_xlfn.XLOOKUP($N319,Lookups!$D$13:$D$27,Lookups!$F$13:$F$27,0)=Table2[[#This Row],[Table Lookup for Life Cover]],0,
_xlfn.XLOOKUP($N319,Lookups!$D$13:$D$27,Lookups!$F$13:$F$27,0)))</f>
        <v>0</v>
      </c>
      <c r="P319" s="284">
        <f>IF(Table2[[#This Row],[Table Lookup for Funeral]]=0,0,IFERROR(INDEX('Quotation Tool'!$S$54:$V$60,MATCH($T319,'Quotation Tool'!$S$54:$S$60,0),3),0))</f>
        <v>0</v>
      </c>
      <c r="Q319" s="288">
        <f ca="1">IF(OR(Table2[[#This Row],[Benefit Name]]="My Value Plus Life - Main Member",Table2[[#This Row],[Benefit Name]]="My Value Plus Life - Spouse"),0,
IFERROR(VLOOKUP($G319,INDIRECT($O319),$P319,FALSE),0))</f>
        <v>0</v>
      </c>
      <c r="R319" s="288">
        <f ca="1">IF(OR(Table2[[#This Row],[Benefit Name]]="My Value Plus Life - Main Member",Table2[[#This Row],[Benefit Name]]="My Value Plus Life - Spouse"),0,
IFERROR(VLOOKUP($G319,INDIRECT($O319),$P319+1,FALSE),0))</f>
        <v>0</v>
      </c>
      <c r="S319" s="289">
        <f t="shared" ca="1" si="31"/>
        <v>0</v>
      </c>
      <c r="T319" s="284" t="str">
        <f>IF(Table13[[#This Row],[Premium Waiver]]="","None",Table13[[#This Row],[Premium Waiver]])</f>
        <v>None</v>
      </c>
      <c r="U319" s="284">
        <f>Table13[[#This Row],[VAPs Options]]</f>
        <v>0</v>
      </c>
      <c r="V319" s="284">
        <f>Table13[[#This Row],[Annual Increase Option]]</f>
        <v>0</v>
      </c>
      <c r="W319" s="290">
        <f>Table13[[#This Row],[Life Cover Amount]]</f>
        <v>0</v>
      </c>
      <c r="X319" s="290">
        <f>Table13[[#This Row],[Funeral Cover Amount]]</f>
        <v>0</v>
      </c>
      <c r="Y31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1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19" s="301">
        <f t="shared" ca="1" si="32"/>
        <v>0</v>
      </c>
      <c r="AB319" s="298"/>
      <c r="AC319" s="326" t="str">
        <f>IF(Table2[[#This Row],[Member Type]]="Main Member",Lookups!$C$13,
IF(Table2[[#This Row],[Member Type]]="Spouse",_xlfn.XLOOKUP(B319,Table2[Main Member Link ID],Table2[Product Option],0),
IF(AND(Table2[[#This Row],[Member Type]]="Child",_xlfn.XLOOKUP(B319,Table2[Main Member Link ID],Table2[Product Option],0)&lt;&gt;"My Value Plus Life"),Lookups!$C$24,
IF(AND(OR(Table2[[#This Row],[Member Type]]="Parent",Table2[[#This Row],[Member Type]]="Extended"),_xlfn.XLOOKUP(B319,Table2[Main Member Link ID],Table2[Product Option],0)&lt;&gt;"My Value Plus Life"),Lookups!$C$26,""))))</f>
        <v/>
      </c>
      <c r="AD319" s="326" t="str">
        <f>IF(Table2[[#This Row],[Member Type]]="Main Member",Lookups!$C$14,"")</f>
        <v/>
      </c>
      <c r="AE31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Funeral",_xlfn.XLOOKUP(B319,Table2[Main Member Link ID],Table2[Benefit Name],0)=Lookups!$D$14),"",
IF(AND(Table2[[#This Row],[Member Type]]="Spouse",Table2[[#This Row],[Product Option]]="My Value Plus Life &amp; Funeral",_xlfn.XLOOKUP(B318,Table2[Main Member Link ID],Table2[Benefit Name],0)=Lookups!$D$15),Lookups!$D$20,
IF(AND(Table2[[#This Row],[Member Type]]="Spouse",Table2[[#This Row],[Product Option]]="My Value Plus Life &amp; Funeral",_xlfn.XLOOKUP(B318,Table2[Main Member Link ID],Table2[Benefit Name],0)=Lookups!$D$16),"",
IF(AND(Table2[[#This Row],[Member Type]]="Spouse",Table2[[#This Row],[Product Option]]="My Value Plus Life &amp; Funeral",_xlfn.XLOOKUP(B318,Table2[Main Member Link ID],Table2[Benefit Name],0)=Lookups!$D$17),Lookups!$D$21,
IF(AND(Table2[[#This Row],[Member Type]]="Child",Table2[[#This Row],[Product Option]]="My Value Plus Life &amp; Funeral",_xlfn.XLOOKUP(B319,Table2[Main Member Link ID],Table2[Benefit Name],0)=Lookups!$D$14),"",
IF(AND(Table2[[#This Row],[Member Type]]="Child",Table2[[#This Row],[Product Option]]="My Value Plus Life &amp; Funeral",_xlfn.XLOOKUP(B319,Table2[Main Member Link ID],Table2[Benefit Name],0)=Lookups!$D$15),"",
IF(AND(Table2[[#This Row],[Member Type]]="Child",Table2[[#This Row],[Product Option]]="My Value Plus Life &amp; Funeral",_xlfn.XLOOKUP(B319,Table2[Main Member Link ID],Table2[Benefit Name],0)=Lookups!$D$16),Lookups!$D$24,
IF(AND(Table2[[#This Row],[Member Type]]="Child",Table2[[#This Row],[Product Option]]="My Value Plus Life &amp; Funeral",_xlfn.XLOOKUP(B319,Table2[Main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Funeral",_xlfn.XLOOKUP(B319,Table2[Main Member Link ID],Table2[Benefit Name],0)&lt;&gt;Lookups!$D$14),
IF(_xlfn.XLOOKUP(B319,Table2[Main Member Link ID],Table2[Benefit Name],0)=0,"",_xlfn.XLOOKUP(B319,Table2[Main Member Link ID],Table2[Benefit Name],0)),"")))))))))))))))</f>
        <v/>
      </c>
      <c r="AF319" s="327" t="str">
        <f>IF(AND(Table2[[#This Row],[Member Type]]="Main Member",Table2[[#This Row],[Product Option]]="My Value Plus Life &amp; Funeral"),Lookups!$D$15,
IF(AND(Table2[[#This Row],[Member Type]]="Spouse",Table2[[#This Row],[Product Option]]="My Value Plus Life &amp; Funeral",_xlfn.XLOOKUP(B319,Table2[Main Member Link ID],Table2[Benefit Name],0)=Lookups!$D$14),"",
IF(AND(Table2[[#This Row],[Member Type]]="Spouse",Table2[[#This Row],[Product Option]]="My Value Plus Life &amp; Funeral",_xlfn.XLOOKUP(B318,Table2[Main Member Link ID],Table2[Benefit Name],0)=Lookups!$D$16),"",
IF(AND(Table2[[#This Row],[Member Type]]="Spouse",Table2[[#This Row],[Product Option]]="My Value Plus Life &amp; Funeral",_xlfn.XLOOKUP(B318,Table2[Main Member Link ID],Table2[Benefit Name],0)=Lookups!$D$15),"",
IF(AND(Table2[[#This Row],[Member Type]]="Spouse",Table2[[#This Row],[Product Option]]="My Value Plus Life &amp; Funeral",_xlfn.XLOOKUP(B318,Table2[Main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Funeral",_xlfn.XLOOKUP(B319,Table2[Main Member Link ID],Table2[Benefit Name],0)&lt;&gt;Lookups!$D$15),
IF(_xlfn.XLOOKUP(B319,Table2[Main Member Link ID],Table2[Benefit Name],0)=0,"",_xlfn.XLOOKUP(B319,Table2[Main Member Link ID],Table2[Benefit Name],0)),"")
))))))</f>
        <v/>
      </c>
      <c r="AG319" s="327" t="str">
        <f>IF(AND(Table2[[#This Row],[Member Type]]="Main Member",Table2[[#This Row],[Product Option]]="My Value Plus Life &amp; Funeral"),Lookups!$D$16,
IF(AND(Table2[[#This Row],[Member Type]]="Spouse",Table2[[#This Row],[Product Option]]="My Value Plus Life &amp; Funeral",_xlfn.XLOOKUP(B319,Table2[Main Member Link ID],Table2[Benefit Name],0)=Lookups!$D$14),"",
IF(AND(Table2[[#This Row],[Member Type]]="Spouse",Table2[[#This Row],[Product Option]]="My Value Plus Life &amp; Funeral",_xlfn.XLOOKUP(B318,Table2[Main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Funeral",_xlfn.XLOOKUP(B319,Table2[Main Member Link ID],Table2[Benefit Name],0)&lt;&gt;Lookups!$D$16),
IF(_xlfn.XLOOKUP(B319,Table2[Main Member Link ID],Table2[Benefit Name],0)=0,"",_xlfn.XLOOKUP(B319,Table2[Main Member Link ID],Table2[Benefit Name],0)),"")
))))</f>
        <v/>
      </c>
      <c r="AH319" s="327" t="str">
        <f>IF(AND(Table2[[#This Row],[Member Type]]="Main Member",Table2[[#This Row],[Product Option]]="My Value Plus Life &amp; Funeral"),Lookups!$D$17,
IF(AND(Table2[[#This Row],[Member Type]]="Spouse",Table2[[#This Row],[Product Option]]="My Value Plus Life &amp; Funeral",_xlfn.XLOOKUP(B319,Table2[Main Member Link ID],Table2[Benefit Name],0)=Lookups!$D$14),"",
IF(AND(Table2[[#This Row],[Member Type]]="Spouse",Table2[[#This Row],[Product Option]]="My Value Plus Life &amp; Funeral",_xlfn.XLOOKUP(B318,Table2[Main Member Link ID],Table2[Benefit Name],0)=Lookups!$D$16),"",
IF(AND(Table2[[#This Row],[Member Type]]="Child",Table2[[#This Row],[Product Option]]="My Value Plus Life &amp; Funeral"),"",
IF(AND(Table2[[#This Row],[Member Type]]="Child",Table2[[#This Row],[Product Option]]="My Value Plus Life &amp; Funeral",_xlfn.XLOOKUP(B319,Table2[Main Member Link ID],Table2[Benefit Name],0)=Lookups!$D$15),"",
IF(AND(OR(Table2[[#This Row],[Member Type]]="Spouse",Table2[[#This Row],[Member Type]]="Child"),Table2[[#This Row],[Product Option]]="My Value Plus Life &amp; Funeral",_xlfn.XLOOKUP(B319,Table2[Main Member Link ID],Table2[Benefit Name],0)&lt;&gt;Lookups!$D$17),
IF(_xlfn.XLOOKUP(B319,Table2[Main Member Link ID],Table2[Benefit Name],0)=0,"",_xlfn.XLOOKUP(B319,Table2[Main Member Link ID],Table2[Benefit Name],0)),""))))))</f>
        <v/>
      </c>
      <c r="AI319" s="328" t="str">
        <f>IF(AND(Table2[[#This Row],[Member Type]]="Main Member",Table2[[#This Row],[Table Lookup for Life Cover]]="MM_LIFE",Table2[[#This Row],[Age Next Birthday]]&lt;56),1,
IF(AND(Table2[[#This Row],[Member Type]]="Main Member",Table2[[#This Row],[Table Lookup for Life Cover]]="MM_LIFE",Table2[[#This Row],[Age Next Birthday]]&gt;=56),2,
""))</f>
        <v/>
      </c>
      <c r="AJ319" s="328">
        <f>IF(OR(Table2[[#This Row],[Member Type]]="Main Member",Table2[[#This Row],[Main Member Link ID]]=B318),1,0)</f>
        <v>1</v>
      </c>
      <c r="AK319" s="328">
        <f>IF(Table2[[#This Row],[Member Type]]=0,0,
IF(OR(Table2[[#This Row],[Member Type]]="Main Member",Table2[[#This Row],[Main Member Link ID]]&lt;&gt;B319),COUNTIFS(B:B,Table2[[#This Row],[Main Member Link ID]]),
COUNTIFS(B:B,Table2[[#This Row],[Main Member Link ID]],A:A,Table2[[#This Row],[Member Type]])))</f>
        <v>0</v>
      </c>
    </row>
    <row r="320" spans="1:37" x14ac:dyDescent="0.3">
      <c r="A320" s="284">
        <f>Table13[[#This Row],[Member Type]]</f>
        <v>0</v>
      </c>
      <c r="B320" s="284">
        <f>Table13[[#This Row],[Main Member Link ID]]</f>
        <v>0</v>
      </c>
      <c r="C320" s="284">
        <f>Table13[[#This Row],[ID Number]]</f>
        <v>0</v>
      </c>
      <c r="D320" s="285">
        <f>Table13[[#This Row],[Date Of Birth]]</f>
        <v>0</v>
      </c>
      <c r="E320" s="285">
        <f>Table13[[#This Row],[Commencement Date]]</f>
        <v>0</v>
      </c>
      <c r="F320" s="284">
        <f t="shared" si="28"/>
        <v>1</v>
      </c>
      <c r="G320" s="284">
        <f t="shared" si="29"/>
        <v>25</v>
      </c>
      <c r="H320" s="286">
        <f>Table13[[#This Row],[Product Option]]</f>
        <v>0</v>
      </c>
      <c r="I320" s="284">
        <f>IF(AND($A320="Main Member",Table2[[#This Row],[Product Option]]="My Value Plus Life"),"MM_LIFE",
IF(AND($A320="Spouse",Table2[[#This Row],[Product Option]]="My Value Plus Life"),"SP_LIFE",
IF(AND($A320="Main Member",Table2[[#This Row],[Product Option]]="My Value Plus Life &amp; Funeral"),"MM_LIFE",
IF(AND($A320="Spouse",Table2[[#This Row],[Product Option]]="My Value Plus Life &amp; Funeral"),_xlfn.XLOOKUP(Table2[[#This Row],[Benefit Name]],Lookups!$D$18:$D$23,Lookups!$E$18:$E$23,0),
0))))</f>
        <v>0</v>
      </c>
      <c r="J320" s="284">
        <f>IF($I320="","",
IF($I320="MM_LIFE",INDEX('Quotation Tool'!$S$54:$V$60,MATCH($T320,'Quotation Tool'!$S$54:$S$60,0),4),
IF($I320="SP_LIFE",_xlfn.XLOOKUP(B319,$B:$B,$J:$J,0),0)))</f>
        <v>0</v>
      </c>
      <c r="K320" s="287">
        <f t="shared" ca="1" si="33"/>
        <v>0</v>
      </c>
      <c r="L320" s="288">
        <f t="shared" ca="1" si="34"/>
        <v>0</v>
      </c>
      <c r="M320" s="289">
        <f t="shared" ca="1" si="30"/>
        <v>0</v>
      </c>
      <c r="N320" s="286">
        <f>Table13[[#This Row],[Benefit Option]]</f>
        <v>0</v>
      </c>
      <c r="O320" s="284">
        <f>IF(OR(Table2[[#This Row],[Member Type]]="Spouse",Table2[[#This Row],[Member Type]]="Child"),0,
IF(_xlfn.XLOOKUP($N320,Lookups!$D$13:$D$27,Lookups!$F$13:$F$27,0)=Table2[[#This Row],[Table Lookup for Life Cover]],0,
_xlfn.XLOOKUP($N320,Lookups!$D$13:$D$27,Lookups!$F$13:$F$27,0)))</f>
        <v>0</v>
      </c>
      <c r="P320" s="284">
        <f>IF(Table2[[#This Row],[Table Lookup for Funeral]]=0,0,IFERROR(INDEX('Quotation Tool'!$S$54:$V$60,MATCH($T320,'Quotation Tool'!$S$54:$S$60,0),3),0))</f>
        <v>0</v>
      </c>
      <c r="Q320" s="288">
        <f ca="1">IF(OR(Table2[[#This Row],[Benefit Name]]="My Value Plus Life - Main Member",Table2[[#This Row],[Benefit Name]]="My Value Plus Life - Spouse"),0,
IFERROR(VLOOKUP($G320,INDIRECT($O320),$P320,FALSE),0))</f>
        <v>0</v>
      </c>
      <c r="R320" s="288">
        <f ca="1">IF(OR(Table2[[#This Row],[Benefit Name]]="My Value Plus Life - Main Member",Table2[[#This Row],[Benefit Name]]="My Value Plus Life - Spouse"),0,
IFERROR(VLOOKUP($G320,INDIRECT($O320),$P320+1,FALSE),0))</f>
        <v>0</v>
      </c>
      <c r="S320" s="289">
        <f t="shared" ca="1" si="31"/>
        <v>0</v>
      </c>
      <c r="T320" s="284" t="str">
        <f>IF(Table13[[#This Row],[Premium Waiver]]="","None",Table13[[#This Row],[Premium Waiver]])</f>
        <v>None</v>
      </c>
      <c r="U320" s="284">
        <f>Table13[[#This Row],[VAPs Options]]</f>
        <v>0</v>
      </c>
      <c r="V320" s="284">
        <f>Table13[[#This Row],[Annual Increase Option]]</f>
        <v>0</v>
      </c>
      <c r="W320" s="290">
        <f>Table13[[#This Row],[Life Cover Amount]]</f>
        <v>0</v>
      </c>
      <c r="X320" s="290">
        <f>Table13[[#This Row],[Funeral Cover Amount]]</f>
        <v>0</v>
      </c>
      <c r="Y32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2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20" s="301">
        <f t="shared" ca="1" si="32"/>
        <v>0</v>
      </c>
      <c r="AB320" s="298"/>
      <c r="AC320" s="326" t="str">
        <f>IF(Table2[[#This Row],[Member Type]]="Main Member",Lookups!$C$13,
IF(Table2[[#This Row],[Member Type]]="Spouse",_xlfn.XLOOKUP(B320,Table2[Main Member Link ID],Table2[Product Option],0),
IF(AND(Table2[[#This Row],[Member Type]]="Child",_xlfn.XLOOKUP(B320,Table2[Main Member Link ID],Table2[Product Option],0)&lt;&gt;"My Value Plus Life"),Lookups!$C$24,
IF(AND(OR(Table2[[#This Row],[Member Type]]="Parent",Table2[[#This Row],[Member Type]]="Extended"),_xlfn.XLOOKUP(B320,Table2[Main Member Link ID],Table2[Product Option],0)&lt;&gt;"My Value Plus Life"),Lookups!$C$26,""))))</f>
        <v/>
      </c>
      <c r="AD320" s="326" t="str">
        <f>IF(Table2[[#This Row],[Member Type]]="Main Member",Lookups!$C$14,"")</f>
        <v/>
      </c>
      <c r="AE32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Funeral",_xlfn.XLOOKUP(B320,Table2[Main Member Link ID],Table2[Benefit Name],0)=Lookups!$D$14),"",
IF(AND(Table2[[#This Row],[Member Type]]="Spouse",Table2[[#This Row],[Product Option]]="My Value Plus Life &amp; Funeral",_xlfn.XLOOKUP(B319,Table2[Main Member Link ID],Table2[Benefit Name],0)=Lookups!$D$15),Lookups!$D$20,
IF(AND(Table2[[#This Row],[Member Type]]="Spouse",Table2[[#This Row],[Product Option]]="My Value Plus Life &amp; Funeral",_xlfn.XLOOKUP(B319,Table2[Main Member Link ID],Table2[Benefit Name],0)=Lookups!$D$16),"",
IF(AND(Table2[[#This Row],[Member Type]]="Spouse",Table2[[#This Row],[Product Option]]="My Value Plus Life &amp; Funeral",_xlfn.XLOOKUP(B319,Table2[Main Member Link ID],Table2[Benefit Name],0)=Lookups!$D$17),Lookups!$D$21,
IF(AND(Table2[[#This Row],[Member Type]]="Child",Table2[[#This Row],[Product Option]]="My Value Plus Life &amp; Funeral",_xlfn.XLOOKUP(B320,Table2[Main Member Link ID],Table2[Benefit Name],0)=Lookups!$D$14),"",
IF(AND(Table2[[#This Row],[Member Type]]="Child",Table2[[#This Row],[Product Option]]="My Value Plus Life &amp; Funeral",_xlfn.XLOOKUP(B320,Table2[Main Member Link ID],Table2[Benefit Name],0)=Lookups!$D$15),"",
IF(AND(Table2[[#This Row],[Member Type]]="Child",Table2[[#This Row],[Product Option]]="My Value Plus Life &amp; Funeral",_xlfn.XLOOKUP(B320,Table2[Main Member Link ID],Table2[Benefit Name],0)=Lookups!$D$16),Lookups!$D$24,
IF(AND(Table2[[#This Row],[Member Type]]="Child",Table2[[#This Row],[Product Option]]="My Value Plus Life &amp; Funeral",_xlfn.XLOOKUP(B320,Table2[Main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Funeral",_xlfn.XLOOKUP(B320,Table2[Main Member Link ID],Table2[Benefit Name],0)&lt;&gt;Lookups!$D$14),
IF(_xlfn.XLOOKUP(B320,Table2[Main Member Link ID],Table2[Benefit Name],0)=0,"",_xlfn.XLOOKUP(B320,Table2[Main Member Link ID],Table2[Benefit Name],0)),"")))))))))))))))</f>
        <v/>
      </c>
      <c r="AF320" s="327" t="str">
        <f>IF(AND(Table2[[#This Row],[Member Type]]="Main Member",Table2[[#This Row],[Product Option]]="My Value Plus Life &amp; Funeral"),Lookups!$D$15,
IF(AND(Table2[[#This Row],[Member Type]]="Spouse",Table2[[#This Row],[Product Option]]="My Value Plus Life &amp; Funeral",_xlfn.XLOOKUP(B320,Table2[Main Member Link ID],Table2[Benefit Name],0)=Lookups!$D$14),"",
IF(AND(Table2[[#This Row],[Member Type]]="Spouse",Table2[[#This Row],[Product Option]]="My Value Plus Life &amp; Funeral",_xlfn.XLOOKUP(B319,Table2[Main Member Link ID],Table2[Benefit Name],0)=Lookups!$D$16),"",
IF(AND(Table2[[#This Row],[Member Type]]="Spouse",Table2[[#This Row],[Product Option]]="My Value Plus Life &amp; Funeral",_xlfn.XLOOKUP(B319,Table2[Main Member Link ID],Table2[Benefit Name],0)=Lookups!$D$15),"",
IF(AND(Table2[[#This Row],[Member Type]]="Spouse",Table2[[#This Row],[Product Option]]="My Value Plus Life &amp; Funeral",_xlfn.XLOOKUP(B319,Table2[Main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Funeral",_xlfn.XLOOKUP(B320,Table2[Main Member Link ID],Table2[Benefit Name],0)&lt;&gt;Lookups!$D$15),
IF(_xlfn.XLOOKUP(B320,Table2[Main Member Link ID],Table2[Benefit Name],0)=0,"",_xlfn.XLOOKUP(B320,Table2[Main Member Link ID],Table2[Benefit Name],0)),"")
))))))</f>
        <v/>
      </c>
      <c r="AG320" s="327" t="str">
        <f>IF(AND(Table2[[#This Row],[Member Type]]="Main Member",Table2[[#This Row],[Product Option]]="My Value Plus Life &amp; Funeral"),Lookups!$D$16,
IF(AND(Table2[[#This Row],[Member Type]]="Spouse",Table2[[#This Row],[Product Option]]="My Value Plus Life &amp; Funeral",_xlfn.XLOOKUP(B320,Table2[Main Member Link ID],Table2[Benefit Name],0)=Lookups!$D$14),"",
IF(AND(Table2[[#This Row],[Member Type]]="Spouse",Table2[[#This Row],[Product Option]]="My Value Plus Life &amp; Funeral",_xlfn.XLOOKUP(B319,Table2[Main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Funeral",_xlfn.XLOOKUP(B320,Table2[Main Member Link ID],Table2[Benefit Name],0)&lt;&gt;Lookups!$D$16),
IF(_xlfn.XLOOKUP(B320,Table2[Main Member Link ID],Table2[Benefit Name],0)=0,"",_xlfn.XLOOKUP(B320,Table2[Main Member Link ID],Table2[Benefit Name],0)),"")
))))</f>
        <v/>
      </c>
      <c r="AH320" s="327" t="str">
        <f>IF(AND(Table2[[#This Row],[Member Type]]="Main Member",Table2[[#This Row],[Product Option]]="My Value Plus Life &amp; Funeral"),Lookups!$D$17,
IF(AND(Table2[[#This Row],[Member Type]]="Spouse",Table2[[#This Row],[Product Option]]="My Value Plus Life &amp; Funeral",_xlfn.XLOOKUP(B320,Table2[Main Member Link ID],Table2[Benefit Name],0)=Lookups!$D$14),"",
IF(AND(Table2[[#This Row],[Member Type]]="Spouse",Table2[[#This Row],[Product Option]]="My Value Plus Life &amp; Funeral",_xlfn.XLOOKUP(B319,Table2[Main Member Link ID],Table2[Benefit Name],0)=Lookups!$D$16),"",
IF(AND(Table2[[#This Row],[Member Type]]="Child",Table2[[#This Row],[Product Option]]="My Value Plus Life &amp; Funeral"),"",
IF(AND(Table2[[#This Row],[Member Type]]="Child",Table2[[#This Row],[Product Option]]="My Value Plus Life &amp; Funeral",_xlfn.XLOOKUP(B320,Table2[Main Member Link ID],Table2[Benefit Name],0)=Lookups!$D$15),"",
IF(AND(OR(Table2[[#This Row],[Member Type]]="Spouse",Table2[[#This Row],[Member Type]]="Child"),Table2[[#This Row],[Product Option]]="My Value Plus Life &amp; Funeral",_xlfn.XLOOKUP(B320,Table2[Main Member Link ID],Table2[Benefit Name],0)&lt;&gt;Lookups!$D$17),
IF(_xlfn.XLOOKUP(B320,Table2[Main Member Link ID],Table2[Benefit Name],0)=0,"",_xlfn.XLOOKUP(B320,Table2[Main Member Link ID],Table2[Benefit Name],0)),""))))))</f>
        <v/>
      </c>
      <c r="AI320" s="328" t="str">
        <f>IF(AND(Table2[[#This Row],[Member Type]]="Main Member",Table2[[#This Row],[Table Lookup for Life Cover]]="MM_LIFE",Table2[[#This Row],[Age Next Birthday]]&lt;56),1,
IF(AND(Table2[[#This Row],[Member Type]]="Main Member",Table2[[#This Row],[Table Lookup for Life Cover]]="MM_LIFE",Table2[[#This Row],[Age Next Birthday]]&gt;=56),2,
""))</f>
        <v/>
      </c>
      <c r="AJ320" s="328">
        <f>IF(OR(Table2[[#This Row],[Member Type]]="Main Member",Table2[[#This Row],[Main Member Link ID]]=B319),1,0)</f>
        <v>1</v>
      </c>
      <c r="AK320" s="328">
        <f>IF(Table2[[#This Row],[Member Type]]=0,0,
IF(OR(Table2[[#This Row],[Member Type]]="Main Member",Table2[[#This Row],[Main Member Link ID]]&lt;&gt;B320),COUNTIFS(B:B,Table2[[#This Row],[Main Member Link ID]]),
COUNTIFS(B:B,Table2[[#This Row],[Main Member Link ID]],A:A,Table2[[#This Row],[Member Type]])))</f>
        <v>0</v>
      </c>
    </row>
    <row r="321" spans="1:37" x14ac:dyDescent="0.3">
      <c r="A321" s="284">
        <f>Table13[[#This Row],[Member Type]]</f>
        <v>0</v>
      </c>
      <c r="B321" s="284">
        <f>Table13[[#This Row],[Main Member Link ID]]</f>
        <v>0</v>
      </c>
      <c r="C321" s="284">
        <f>Table13[[#This Row],[ID Number]]</f>
        <v>0</v>
      </c>
      <c r="D321" s="285">
        <f>Table13[[#This Row],[Date Of Birth]]</f>
        <v>0</v>
      </c>
      <c r="E321" s="285">
        <f>Table13[[#This Row],[Commencement Date]]</f>
        <v>0</v>
      </c>
      <c r="F321" s="284">
        <f t="shared" si="28"/>
        <v>1</v>
      </c>
      <c r="G321" s="284">
        <f t="shared" si="29"/>
        <v>25</v>
      </c>
      <c r="H321" s="286">
        <f>Table13[[#This Row],[Product Option]]</f>
        <v>0</v>
      </c>
      <c r="I321" s="284">
        <f>IF(AND($A321="Main Member",Table2[[#This Row],[Product Option]]="My Value Plus Life"),"MM_LIFE",
IF(AND($A321="Spouse",Table2[[#This Row],[Product Option]]="My Value Plus Life"),"SP_LIFE",
IF(AND($A321="Main Member",Table2[[#This Row],[Product Option]]="My Value Plus Life &amp; Funeral"),"MM_LIFE",
IF(AND($A321="Spouse",Table2[[#This Row],[Product Option]]="My Value Plus Life &amp; Funeral"),_xlfn.XLOOKUP(Table2[[#This Row],[Benefit Name]],Lookups!$D$18:$D$23,Lookups!$E$18:$E$23,0),
0))))</f>
        <v>0</v>
      </c>
      <c r="J321" s="284">
        <f>IF($I321="","",
IF($I321="MM_LIFE",INDEX('Quotation Tool'!$S$54:$V$60,MATCH($T321,'Quotation Tool'!$S$54:$S$60,0),4),
IF($I321="SP_LIFE",_xlfn.XLOOKUP(B320,$B:$B,$J:$J,0),0)))</f>
        <v>0</v>
      </c>
      <c r="K321" s="287">
        <f t="shared" ca="1" si="33"/>
        <v>0</v>
      </c>
      <c r="L321" s="288">
        <f t="shared" ca="1" si="34"/>
        <v>0</v>
      </c>
      <c r="M321" s="289">
        <f t="shared" ca="1" si="30"/>
        <v>0</v>
      </c>
      <c r="N321" s="286">
        <f>Table13[[#This Row],[Benefit Option]]</f>
        <v>0</v>
      </c>
      <c r="O321" s="284">
        <f>IF(OR(Table2[[#This Row],[Member Type]]="Spouse",Table2[[#This Row],[Member Type]]="Child"),0,
IF(_xlfn.XLOOKUP($N321,Lookups!$D$13:$D$27,Lookups!$F$13:$F$27,0)=Table2[[#This Row],[Table Lookup for Life Cover]],0,
_xlfn.XLOOKUP($N321,Lookups!$D$13:$D$27,Lookups!$F$13:$F$27,0)))</f>
        <v>0</v>
      </c>
      <c r="P321" s="284">
        <f>IF(Table2[[#This Row],[Table Lookup for Funeral]]=0,0,IFERROR(INDEX('Quotation Tool'!$S$54:$V$60,MATCH($T321,'Quotation Tool'!$S$54:$S$60,0),3),0))</f>
        <v>0</v>
      </c>
      <c r="Q321" s="288">
        <f ca="1">IF(OR(Table2[[#This Row],[Benefit Name]]="My Value Plus Life - Main Member",Table2[[#This Row],[Benefit Name]]="My Value Plus Life - Spouse"),0,
IFERROR(VLOOKUP($G321,INDIRECT($O321),$P321,FALSE),0))</f>
        <v>0</v>
      </c>
      <c r="R321" s="288">
        <f ca="1">IF(OR(Table2[[#This Row],[Benefit Name]]="My Value Plus Life - Main Member",Table2[[#This Row],[Benefit Name]]="My Value Plus Life - Spouse"),0,
IFERROR(VLOOKUP($G321,INDIRECT($O321),$P321+1,FALSE),0))</f>
        <v>0</v>
      </c>
      <c r="S321" s="289">
        <f t="shared" ca="1" si="31"/>
        <v>0</v>
      </c>
      <c r="T321" s="284" t="str">
        <f>IF(Table13[[#This Row],[Premium Waiver]]="","None",Table13[[#This Row],[Premium Waiver]])</f>
        <v>None</v>
      </c>
      <c r="U321" s="284">
        <f>Table13[[#This Row],[VAPs Options]]</f>
        <v>0</v>
      </c>
      <c r="V321" s="284">
        <f>Table13[[#This Row],[Annual Increase Option]]</f>
        <v>0</v>
      </c>
      <c r="W321" s="290">
        <f>Table13[[#This Row],[Life Cover Amount]]</f>
        <v>0</v>
      </c>
      <c r="X321" s="290">
        <f>Table13[[#This Row],[Funeral Cover Amount]]</f>
        <v>0</v>
      </c>
      <c r="Y32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2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21" s="301">
        <f t="shared" ca="1" si="32"/>
        <v>0</v>
      </c>
      <c r="AB321" s="298"/>
      <c r="AC321" s="326" t="str">
        <f>IF(Table2[[#This Row],[Member Type]]="Main Member",Lookups!$C$13,
IF(Table2[[#This Row],[Member Type]]="Spouse",_xlfn.XLOOKUP(B321,Table2[Main Member Link ID],Table2[Product Option],0),
IF(AND(Table2[[#This Row],[Member Type]]="Child",_xlfn.XLOOKUP(B321,Table2[Main Member Link ID],Table2[Product Option],0)&lt;&gt;"My Value Plus Life"),Lookups!$C$24,
IF(AND(OR(Table2[[#This Row],[Member Type]]="Parent",Table2[[#This Row],[Member Type]]="Extended"),_xlfn.XLOOKUP(B321,Table2[Main Member Link ID],Table2[Product Option],0)&lt;&gt;"My Value Plus Life"),Lookups!$C$26,""))))</f>
        <v/>
      </c>
      <c r="AD321" s="326" t="str">
        <f>IF(Table2[[#This Row],[Member Type]]="Main Member",Lookups!$C$14,"")</f>
        <v/>
      </c>
      <c r="AE32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Funeral",_xlfn.XLOOKUP(B321,Table2[Main Member Link ID],Table2[Benefit Name],0)=Lookups!$D$14),"",
IF(AND(Table2[[#This Row],[Member Type]]="Spouse",Table2[[#This Row],[Product Option]]="My Value Plus Life &amp; Funeral",_xlfn.XLOOKUP(B320,Table2[Main Member Link ID],Table2[Benefit Name],0)=Lookups!$D$15),Lookups!$D$20,
IF(AND(Table2[[#This Row],[Member Type]]="Spouse",Table2[[#This Row],[Product Option]]="My Value Plus Life &amp; Funeral",_xlfn.XLOOKUP(B320,Table2[Main Member Link ID],Table2[Benefit Name],0)=Lookups!$D$16),"",
IF(AND(Table2[[#This Row],[Member Type]]="Spouse",Table2[[#This Row],[Product Option]]="My Value Plus Life &amp; Funeral",_xlfn.XLOOKUP(B320,Table2[Main Member Link ID],Table2[Benefit Name],0)=Lookups!$D$17),Lookups!$D$21,
IF(AND(Table2[[#This Row],[Member Type]]="Child",Table2[[#This Row],[Product Option]]="My Value Plus Life &amp; Funeral",_xlfn.XLOOKUP(B321,Table2[Main Member Link ID],Table2[Benefit Name],0)=Lookups!$D$14),"",
IF(AND(Table2[[#This Row],[Member Type]]="Child",Table2[[#This Row],[Product Option]]="My Value Plus Life &amp; Funeral",_xlfn.XLOOKUP(B321,Table2[Main Member Link ID],Table2[Benefit Name],0)=Lookups!$D$15),"",
IF(AND(Table2[[#This Row],[Member Type]]="Child",Table2[[#This Row],[Product Option]]="My Value Plus Life &amp; Funeral",_xlfn.XLOOKUP(B321,Table2[Main Member Link ID],Table2[Benefit Name],0)=Lookups!$D$16),Lookups!$D$24,
IF(AND(Table2[[#This Row],[Member Type]]="Child",Table2[[#This Row],[Product Option]]="My Value Plus Life &amp; Funeral",_xlfn.XLOOKUP(B321,Table2[Main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Funeral",_xlfn.XLOOKUP(B321,Table2[Main Member Link ID],Table2[Benefit Name],0)&lt;&gt;Lookups!$D$14),
IF(_xlfn.XLOOKUP(B321,Table2[Main Member Link ID],Table2[Benefit Name],0)=0,"",_xlfn.XLOOKUP(B321,Table2[Main Member Link ID],Table2[Benefit Name],0)),"")))))))))))))))</f>
        <v/>
      </c>
      <c r="AF321" s="327" t="str">
        <f>IF(AND(Table2[[#This Row],[Member Type]]="Main Member",Table2[[#This Row],[Product Option]]="My Value Plus Life &amp; Funeral"),Lookups!$D$15,
IF(AND(Table2[[#This Row],[Member Type]]="Spouse",Table2[[#This Row],[Product Option]]="My Value Plus Life &amp; Funeral",_xlfn.XLOOKUP(B321,Table2[Main Member Link ID],Table2[Benefit Name],0)=Lookups!$D$14),"",
IF(AND(Table2[[#This Row],[Member Type]]="Spouse",Table2[[#This Row],[Product Option]]="My Value Plus Life &amp; Funeral",_xlfn.XLOOKUP(B320,Table2[Main Member Link ID],Table2[Benefit Name],0)=Lookups!$D$16),"",
IF(AND(Table2[[#This Row],[Member Type]]="Spouse",Table2[[#This Row],[Product Option]]="My Value Plus Life &amp; Funeral",_xlfn.XLOOKUP(B320,Table2[Main Member Link ID],Table2[Benefit Name],0)=Lookups!$D$15),"",
IF(AND(Table2[[#This Row],[Member Type]]="Spouse",Table2[[#This Row],[Product Option]]="My Value Plus Life &amp; Funeral",_xlfn.XLOOKUP(B320,Table2[Main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Funeral",_xlfn.XLOOKUP(B321,Table2[Main Member Link ID],Table2[Benefit Name],0)&lt;&gt;Lookups!$D$15),
IF(_xlfn.XLOOKUP(B321,Table2[Main Member Link ID],Table2[Benefit Name],0)=0,"",_xlfn.XLOOKUP(B321,Table2[Main Member Link ID],Table2[Benefit Name],0)),"")
))))))</f>
        <v/>
      </c>
      <c r="AG321" s="327" t="str">
        <f>IF(AND(Table2[[#This Row],[Member Type]]="Main Member",Table2[[#This Row],[Product Option]]="My Value Plus Life &amp; Funeral"),Lookups!$D$16,
IF(AND(Table2[[#This Row],[Member Type]]="Spouse",Table2[[#This Row],[Product Option]]="My Value Plus Life &amp; Funeral",_xlfn.XLOOKUP(B321,Table2[Main Member Link ID],Table2[Benefit Name],0)=Lookups!$D$14),"",
IF(AND(Table2[[#This Row],[Member Type]]="Spouse",Table2[[#This Row],[Product Option]]="My Value Plus Life &amp; Funeral",_xlfn.XLOOKUP(B320,Table2[Main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Funeral",_xlfn.XLOOKUP(B321,Table2[Main Member Link ID],Table2[Benefit Name],0)&lt;&gt;Lookups!$D$16),
IF(_xlfn.XLOOKUP(B321,Table2[Main Member Link ID],Table2[Benefit Name],0)=0,"",_xlfn.XLOOKUP(B321,Table2[Main Member Link ID],Table2[Benefit Name],0)),"")
))))</f>
        <v/>
      </c>
      <c r="AH321" s="327" t="str">
        <f>IF(AND(Table2[[#This Row],[Member Type]]="Main Member",Table2[[#This Row],[Product Option]]="My Value Plus Life &amp; Funeral"),Lookups!$D$17,
IF(AND(Table2[[#This Row],[Member Type]]="Spouse",Table2[[#This Row],[Product Option]]="My Value Plus Life &amp; Funeral",_xlfn.XLOOKUP(B321,Table2[Main Member Link ID],Table2[Benefit Name],0)=Lookups!$D$14),"",
IF(AND(Table2[[#This Row],[Member Type]]="Spouse",Table2[[#This Row],[Product Option]]="My Value Plus Life &amp; Funeral",_xlfn.XLOOKUP(B320,Table2[Main Member Link ID],Table2[Benefit Name],0)=Lookups!$D$16),"",
IF(AND(Table2[[#This Row],[Member Type]]="Child",Table2[[#This Row],[Product Option]]="My Value Plus Life &amp; Funeral"),"",
IF(AND(Table2[[#This Row],[Member Type]]="Child",Table2[[#This Row],[Product Option]]="My Value Plus Life &amp; Funeral",_xlfn.XLOOKUP(B321,Table2[Main Member Link ID],Table2[Benefit Name],0)=Lookups!$D$15),"",
IF(AND(OR(Table2[[#This Row],[Member Type]]="Spouse",Table2[[#This Row],[Member Type]]="Child"),Table2[[#This Row],[Product Option]]="My Value Plus Life &amp; Funeral",_xlfn.XLOOKUP(B321,Table2[Main Member Link ID],Table2[Benefit Name],0)&lt;&gt;Lookups!$D$17),
IF(_xlfn.XLOOKUP(B321,Table2[Main Member Link ID],Table2[Benefit Name],0)=0,"",_xlfn.XLOOKUP(B321,Table2[Main Member Link ID],Table2[Benefit Name],0)),""))))))</f>
        <v/>
      </c>
      <c r="AI321" s="328" t="str">
        <f>IF(AND(Table2[[#This Row],[Member Type]]="Main Member",Table2[[#This Row],[Table Lookup for Life Cover]]="MM_LIFE",Table2[[#This Row],[Age Next Birthday]]&lt;56),1,
IF(AND(Table2[[#This Row],[Member Type]]="Main Member",Table2[[#This Row],[Table Lookup for Life Cover]]="MM_LIFE",Table2[[#This Row],[Age Next Birthday]]&gt;=56),2,
""))</f>
        <v/>
      </c>
      <c r="AJ321" s="328">
        <f>IF(OR(Table2[[#This Row],[Member Type]]="Main Member",Table2[[#This Row],[Main Member Link ID]]=B320),1,0)</f>
        <v>1</v>
      </c>
      <c r="AK321" s="328">
        <f>IF(Table2[[#This Row],[Member Type]]=0,0,
IF(OR(Table2[[#This Row],[Member Type]]="Main Member",Table2[[#This Row],[Main Member Link ID]]&lt;&gt;B321),COUNTIFS(B:B,Table2[[#This Row],[Main Member Link ID]]),
COUNTIFS(B:B,Table2[[#This Row],[Main Member Link ID]],A:A,Table2[[#This Row],[Member Type]])))</f>
        <v>0</v>
      </c>
    </row>
    <row r="322" spans="1:37" x14ac:dyDescent="0.3">
      <c r="A322" s="284">
        <f>Table13[[#This Row],[Member Type]]</f>
        <v>0</v>
      </c>
      <c r="B322" s="284">
        <f>Table13[[#This Row],[Main Member Link ID]]</f>
        <v>0</v>
      </c>
      <c r="C322" s="284">
        <f>Table13[[#This Row],[ID Number]]</f>
        <v>0</v>
      </c>
      <c r="D322" s="285">
        <f>Table13[[#This Row],[Date Of Birth]]</f>
        <v>0</v>
      </c>
      <c r="E322" s="285">
        <f>Table13[[#This Row],[Commencement Date]]</f>
        <v>0</v>
      </c>
      <c r="F322" s="284">
        <f t="shared" si="28"/>
        <v>1</v>
      </c>
      <c r="G322" s="284">
        <f t="shared" si="29"/>
        <v>25</v>
      </c>
      <c r="H322" s="286">
        <f>Table13[[#This Row],[Product Option]]</f>
        <v>0</v>
      </c>
      <c r="I322" s="284">
        <f>IF(AND($A322="Main Member",Table2[[#This Row],[Product Option]]="My Value Plus Life"),"MM_LIFE",
IF(AND($A322="Spouse",Table2[[#This Row],[Product Option]]="My Value Plus Life"),"SP_LIFE",
IF(AND($A322="Main Member",Table2[[#This Row],[Product Option]]="My Value Plus Life &amp; Funeral"),"MM_LIFE",
IF(AND($A322="Spouse",Table2[[#This Row],[Product Option]]="My Value Plus Life &amp; Funeral"),_xlfn.XLOOKUP(Table2[[#This Row],[Benefit Name]],Lookups!$D$18:$D$23,Lookups!$E$18:$E$23,0),
0))))</f>
        <v>0</v>
      </c>
      <c r="J322" s="284">
        <f>IF($I322="","",
IF($I322="MM_LIFE",INDEX('Quotation Tool'!$S$54:$V$60,MATCH($T322,'Quotation Tool'!$S$54:$S$60,0),4),
IF($I322="SP_LIFE",_xlfn.XLOOKUP(B321,$B:$B,$J:$J,0),0)))</f>
        <v>0</v>
      </c>
      <c r="K322" s="287">
        <f t="shared" ca="1" si="33"/>
        <v>0</v>
      </c>
      <c r="L322" s="288">
        <f t="shared" ca="1" si="34"/>
        <v>0</v>
      </c>
      <c r="M322" s="289">
        <f t="shared" ca="1" si="30"/>
        <v>0</v>
      </c>
      <c r="N322" s="286">
        <f>Table13[[#This Row],[Benefit Option]]</f>
        <v>0</v>
      </c>
      <c r="O322" s="284">
        <f>IF(OR(Table2[[#This Row],[Member Type]]="Spouse",Table2[[#This Row],[Member Type]]="Child"),0,
IF(_xlfn.XLOOKUP($N322,Lookups!$D$13:$D$27,Lookups!$F$13:$F$27,0)=Table2[[#This Row],[Table Lookup for Life Cover]],0,
_xlfn.XLOOKUP($N322,Lookups!$D$13:$D$27,Lookups!$F$13:$F$27,0)))</f>
        <v>0</v>
      </c>
      <c r="P322" s="284">
        <f>IF(Table2[[#This Row],[Table Lookup for Funeral]]=0,0,IFERROR(INDEX('Quotation Tool'!$S$54:$V$60,MATCH($T322,'Quotation Tool'!$S$54:$S$60,0),3),0))</f>
        <v>0</v>
      </c>
      <c r="Q322" s="288">
        <f ca="1">IF(OR(Table2[[#This Row],[Benefit Name]]="My Value Plus Life - Main Member",Table2[[#This Row],[Benefit Name]]="My Value Plus Life - Spouse"),0,
IFERROR(VLOOKUP($G322,INDIRECT($O322),$P322,FALSE),0))</f>
        <v>0</v>
      </c>
      <c r="R322" s="288">
        <f ca="1">IF(OR(Table2[[#This Row],[Benefit Name]]="My Value Plus Life - Main Member",Table2[[#This Row],[Benefit Name]]="My Value Plus Life - Spouse"),0,
IFERROR(VLOOKUP($G322,INDIRECT($O322),$P322+1,FALSE),0))</f>
        <v>0</v>
      </c>
      <c r="S322" s="289">
        <f t="shared" ca="1" si="31"/>
        <v>0</v>
      </c>
      <c r="T322" s="284" t="str">
        <f>IF(Table13[[#This Row],[Premium Waiver]]="","None",Table13[[#This Row],[Premium Waiver]])</f>
        <v>None</v>
      </c>
      <c r="U322" s="284">
        <f>Table13[[#This Row],[VAPs Options]]</f>
        <v>0</v>
      </c>
      <c r="V322" s="284">
        <f>Table13[[#This Row],[Annual Increase Option]]</f>
        <v>0</v>
      </c>
      <c r="W322" s="290">
        <f>Table13[[#This Row],[Life Cover Amount]]</f>
        <v>0</v>
      </c>
      <c r="X322" s="290">
        <f>Table13[[#This Row],[Funeral Cover Amount]]</f>
        <v>0</v>
      </c>
      <c r="Y32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2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22" s="301">
        <f t="shared" ca="1" si="32"/>
        <v>0</v>
      </c>
      <c r="AB322" s="298"/>
      <c r="AC322" s="326" t="str">
        <f>IF(Table2[[#This Row],[Member Type]]="Main Member",Lookups!$C$13,
IF(Table2[[#This Row],[Member Type]]="Spouse",_xlfn.XLOOKUP(B322,Table2[Main Member Link ID],Table2[Product Option],0),
IF(AND(Table2[[#This Row],[Member Type]]="Child",_xlfn.XLOOKUP(B322,Table2[Main Member Link ID],Table2[Product Option],0)&lt;&gt;"My Value Plus Life"),Lookups!$C$24,
IF(AND(OR(Table2[[#This Row],[Member Type]]="Parent",Table2[[#This Row],[Member Type]]="Extended"),_xlfn.XLOOKUP(B322,Table2[Main Member Link ID],Table2[Product Option],0)&lt;&gt;"My Value Plus Life"),Lookups!$C$26,""))))</f>
        <v/>
      </c>
      <c r="AD322" s="326" t="str">
        <f>IF(Table2[[#This Row],[Member Type]]="Main Member",Lookups!$C$14,"")</f>
        <v/>
      </c>
      <c r="AE32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Funeral",_xlfn.XLOOKUP(B322,Table2[Main Member Link ID],Table2[Benefit Name],0)=Lookups!$D$14),"",
IF(AND(Table2[[#This Row],[Member Type]]="Spouse",Table2[[#This Row],[Product Option]]="My Value Plus Life &amp; Funeral",_xlfn.XLOOKUP(B321,Table2[Main Member Link ID],Table2[Benefit Name],0)=Lookups!$D$15),Lookups!$D$20,
IF(AND(Table2[[#This Row],[Member Type]]="Spouse",Table2[[#This Row],[Product Option]]="My Value Plus Life &amp; Funeral",_xlfn.XLOOKUP(B321,Table2[Main Member Link ID],Table2[Benefit Name],0)=Lookups!$D$16),"",
IF(AND(Table2[[#This Row],[Member Type]]="Spouse",Table2[[#This Row],[Product Option]]="My Value Plus Life &amp; Funeral",_xlfn.XLOOKUP(B321,Table2[Main Member Link ID],Table2[Benefit Name],0)=Lookups!$D$17),Lookups!$D$21,
IF(AND(Table2[[#This Row],[Member Type]]="Child",Table2[[#This Row],[Product Option]]="My Value Plus Life &amp; Funeral",_xlfn.XLOOKUP(B322,Table2[Main Member Link ID],Table2[Benefit Name],0)=Lookups!$D$14),"",
IF(AND(Table2[[#This Row],[Member Type]]="Child",Table2[[#This Row],[Product Option]]="My Value Plus Life &amp; Funeral",_xlfn.XLOOKUP(B322,Table2[Main Member Link ID],Table2[Benefit Name],0)=Lookups!$D$15),"",
IF(AND(Table2[[#This Row],[Member Type]]="Child",Table2[[#This Row],[Product Option]]="My Value Plus Life &amp; Funeral",_xlfn.XLOOKUP(B322,Table2[Main Member Link ID],Table2[Benefit Name],0)=Lookups!$D$16),Lookups!$D$24,
IF(AND(Table2[[#This Row],[Member Type]]="Child",Table2[[#This Row],[Product Option]]="My Value Plus Life &amp; Funeral",_xlfn.XLOOKUP(B322,Table2[Main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Funeral",_xlfn.XLOOKUP(B322,Table2[Main Member Link ID],Table2[Benefit Name],0)&lt;&gt;Lookups!$D$14),
IF(_xlfn.XLOOKUP(B322,Table2[Main Member Link ID],Table2[Benefit Name],0)=0,"",_xlfn.XLOOKUP(B322,Table2[Main Member Link ID],Table2[Benefit Name],0)),"")))))))))))))))</f>
        <v/>
      </c>
      <c r="AF322" s="327" t="str">
        <f>IF(AND(Table2[[#This Row],[Member Type]]="Main Member",Table2[[#This Row],[Product Option]]="My Value Plus Life &amp; Funeral"),Lookups!$D$15,
IF(AND(Table2[[#This Row],[Member Type]]="Spouse",Table2[[#This Row],[Product Option]]="My Value Plus Life &amp; Funeral",_xlfn.XLOOKUP(B322,Table2[Main Member Link ID],Table2[Benefit Name],0)=Lookups!$D$14),"",
IF(AND(Table2[[#This Row],[Member Type]]="Spouse",Table2[[#This Row],[Product Option]]="My Value Plus Life &amp; Funeral",_xlfn.XLOOKUP(B321,Table2[Main Member Link ID],Table2[Benefit Name],0)=Lookups!$D$16),"",
IF(AND(Table2[[#This Row],[Member Type]]="Spouse",Table2[[#This Row],[Product Option]]="My Value Plus Life &amp; Funeral",_xlfn.XLOOKUP(B321,Table2[Main Member Link ID],Table2[Benefit Name],0)=Lookups!$D$15),"",
IF(AND(Table2[[#This Row],[Member Type]]="Spouse",Table2[[#This Row],[Product Option]]="My Value Plus Life &amp; Funeral",_xlfn.XLOOKUP(B321,Table2[Main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Funeral",_xlfn.XLOOKUP(B322,Table2[Main Member Link ID],Table2[Benefit Name],0)&lt;&gt;Lookups!$D$15),
IF(_xlfn.XLOOKUP(B322,Table2[Main Member Link ID],Table2[Benefit Name],0)=0,"",_xlfn.XLOOKUP(B322,Table2[Main Member Link ID],Table2[Benefit Name],0)),"")
))))))</f>
        <v/>
      </c>
      <c r="AG322" s="327" t="str">
        <f>IF(AND(Table2[[#This Row],[Member Type]]="Main Member",Table2[[#This Row],[Product Option]]="My Value Plus Life &amp; Funeral"),Lookups!$D$16,
IF(AND(Table2[[#This Row],[Member Type]]="Spouse",Table2[[#This Row],[Product Option]]="My Value Plus Life &amp; Funeral",_xlfn.XLOOKUP(B322,Table2[Main Member Link ID],Table2[Benefit Name],0)=Lookups!$D$14),"",
IF(AND(Table2[[#This Row],[Member Type]]="Spouse",Table2[[#This Row],[Product Option]]="My Value Plus Life &amp; Funeral",_xlfn.XLOOKUP(B321,Table2[Main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Funeral",_xlfn.XLOOKUP(B322,Table2[Main Member Link ID],Table2[Benefit Name],0)&lt;&gt;Lookups!$D$16),
IF(_xlfn.XLOOKUP(B322,Table2[Main Member Link ID],Table2[Benefit Name],0)=0,"",_xlfn.XLOOKUP(B322,Table2[Main Member Link ID],Table2[Benefit Name],0)),"")
))))</f>
        <v/>
      </c>
      <c r="AH322" s="327" t="str">
        <f>IF(AND(Table2[[#This Row],[Member Type]]="Main Member",Table2[[#This Row],[Product Option]]="My Value Plus Life &amp; Funeral"),Lookups!$D$17,
IF(AND(Table2[[#This Row],[Member Type]]="Spouse",Table2[[#This Row],[Product Option]]="My Value Plus Life &amp; Funeral",_xlfn.XLOOKUP(B322,Table2[Main Member Link ID],Table2[Benefit Name],0)=Lookups!$D$14),"",
IF(AND(Table2[[#This Row],[Member Type]]="Spouse",Table2[[#This Row],[Product Option]]="My Value Plus Life &amp; Funeral",_xlfn.XLOOKUP(B321,Table2[Main Member Link ID],Table2[Benefit Name],0)=Lookups!$D$16),"",
IF(AND(Table2[[#This Row],[Member Type]]="Child",Table2[[#This Row],[Product Option]]="My Value Plus Life &amp; Funeral"),"",
IF(AND(Table2[[#This Row],[Member Type]]="Child",Table2[[#This Row],[Product Option]]="My Value Plus Life &amp; Funeral",_xlfn.XLOOKUP(B322,Table2[Main Member Link ID],Table2[Benefit Name],0)=Lookups!$D$15),"",
IF(AND(OR(Table2[[#This Row],[Member Type]]="Spouse",Table2[[#This Row],[Member Type]]="Child"),Table2[[#This Row],[Product Option]]="My Value Plus Life &amp; Funeral",_xlfn.XLOOKUP(B322,Table2[Main Member Link ID],Table2[Benefit Name],0)&lt;&gt;Lookups!$D$17),
IF(_xlfn.XLOOKUP(B322,Table2[Main Member Link ID],Table2[Benefit Name],0)=0,"",_xlfn.XLOOKUP(B322,Table2[Main Member Link ID],Table2[Benefit Name],0)),""))))))</f>
        <v/>
      </c>
      <c r="AI322" s="328" t="str">
        <f>IF(AND(Table2[[#This Row],[Member Type]]="Main Member",Table2[[#This Row],[Table Lookup for Life Cover]]="MM_LIFE",Table2[[#This Row],[Age Next Birthday]]&lt;56),1,
IF(AND(Table2[[#This Row],[Member Type]]="Main Member",Table2[[#This Row],[Table Lookup for Life Cover]]="MM_LIFE",Table2[[#This Row],[Age Next Birthday]]&gt;=56),2,
""))</f>
        <v/>
      </c>
      <c r="AJ322" s="328">
        <f>IF(OR(Table2[[#This Row],[Member Type]]="Main Member",Table2[[#This Row],[Main Member Link ID]]=B321),1,0)</f>
        <v>1</v>
      </c>
      <c r="AK322" s="328">
        <f>IF(Table2[[#This Row],[Member Type]]=0,0,
IF(OR(Table2[[#This Row],[Member Type]]="Main Member",Table2[[#This Row],[Main Member Link ID]]&lt;&gt;B322),COUNTIFS(B:B,Table2[[#This Row],[Main Member Link ID]]),
COUNTIFS(B:B,Table2[[#This Row],[Main Member Link ID]],A:A,Table2[[#This Row],[Member Type]])))</f>
        <v>0</v>
      </c>
    </row>
    <row r="323" spans="1:37" x14ac:dyDescent="0.3">
      <c r="A323" s="284">
        <f>Table13[[#This Row],[Member Type]]</f>
        <v>0</v>
      </c>
      <c r="B323" s="284">
        <f>Table13[[#This Row],[Main Member Link ID]]</f>
        <v>0</v>
      </c>
      <c r="C323" s="284">
        <f>Table13[[#This Row],[ID Number]]</f>
        <v>0</v>
      </c>
      <c r="D323" s="285">
        <f>Table13[[#This Row],[Date Of Birth]]</f>
        <v>0</v>
      </c>
      <c r="E323" s="285">
        <f>Table13[[#This Row],[Commencement Date]]</f>
        <v>0</v>
      </c>
      <c r="F323" s="284">
        <f t="shared" si="28"/>
        <v>1</v>
      </c>
      <c r="G323" s="284">
        <f t="shared" si="29"/>
        <v>25</v>
      </c>
      <c r="H323" s="286">
        <f>Table13[[#This Row],[Product Option]]</f>
        <v>0</v>
      </c>
      <c r="I323" s="284">
        <f>IF(AND($A323="Main Member",Table2[[#This Row],[Product Option]]="My Value Plus Life"),"MM_LIFE",
IF(AND($A323="Spouse",Table2[[#This Row],[Product Option]]="My Value Plus Life"),"SP_LIFE",
IF(AND($A323="Main Member",Table2[[#This Row],[Product Option]]="My Value Plus Life &amp; Funeral"),"MM_LIFE",
IF(AND($A323="Spouse",Table2[[#This Row],[Product Option]]="My Value Plus Life &amp; Funeral"),_xlfn.XLOOKUP(Table2[[#This Row],[Benefit Name]],Lookups!$D$18:$D$23,Lookups!$E$18:$E$23,0),
0))))</f>
        <v>0</v>
      </c>
      <c r="J323" s="284">
        <f>IF($I323="","",
IF($I323="MM_LIFE",INDEX('Quotation Tool'!$S$54:$V$60,MATCH($T323,'Quotation Tool'!$S$54:$S$60,0),4),
IF($I323="SP_LIFE",_xlfn.XLOOKUP(B322,$B:$B,$J:$J,0),0)))</f>
        <v>0</v>
      </c>
      <c r="K323" s="287">
        <f t="shared" ca="1" si="33"/>
        <v>0</v>
      </c>
      <c r="L323" s="288">
        <f t="shared" ca="1" si="34"/>
        <v>0</v>
      </c>
      <c r="M323" s="289">
        <f t="shared" ca="1" si="30"/>
        <v>0</v>
      </c>
      <c r="N323" s="286">
        <f>Table13[[#This Row],[Benefit Option]]</f>
        <v>0</v>
      </c>
      <c r="O323" s="284">
        <f>IF(OR(Table2[[#This Row],[Member Type]]="Spouse",Table2[[#This Row],[Member Type]]="Child"),0,
IF(_xlfn.XLOOKUP($N323,Lookups!$D$13:$D$27,Lookups!$F$13:$F$27,0)=Table2[[#This Row],[Table Lookup for Life Cover]],0,
_xlfn.XLOOKUP($N323,Lookups!$D$13:$D$27,Lookups!$F$13:$F$27,0)))</f>
        <v>0</v>
      </c>
      <c r="P323" s="284">
        <f>IF(Table2[[#This Row],[Table Lookup for Funeral]]=0,0,IFERROR(INDEX('Quotation Tool'!$S$54:$V$60,MATCH($T323,'Quotation Tool'!$S$54:$S$60,0),3),0))</f>
        <v>0</v>
      </c>
      <c r="Q323" s="288">
        <f ca="1">IF(OR(Table2[[#This Row],[Benefit Name]]="My Value Plus Life - Main Member",Table2[[#This Row],[Benefit Name]]="My Value Plus Life - Spouse"),0,
IFERROR(VLOOKUP($G323,INDIRECT($O323),$P323,FALSE),0))</f>
        <v>0</v>
      </c>
      <c r="R323" s="288">
        <f ca="1">IF(OR(Table2[[#This Row],[Benefit Name]]="My Value Plus Life - Main Member",Table2[[#This Row],[Benefit Name]]="My Value Plus Life - Spouse"),0,
IFERROR(VLOOKUP($G323,INDIRECT($O323),$P323+1,FALSE),0))</f>
        <v>0</v>
      </c>
      <c r="S323" s="289">
        <f t="shared" ca="1" si="31"/>
        <v>0</v>
      </c>
      <c r="T323" s="284" t="str">
        <f>IF(Table13[[#This Row],[Premium Waiver]]="","None",Table13[[#This Row],[Premium Waiver]])</f>
        <v>None</v>
      </c>
      <c r="U323" s="284">
        <f>Table13[[#This Row],[VAPs Options]]</f>
        <v>0</v>
      </c>
      <c r="V323" s="284">
        <f>Table13[[#This Row],[Annual Increase Option]]</f>
        <v>0</v>
      </c>
      <c r="W323" s="290">
        <f>Table13[[#This Row],[Life Cover Amount]]</f>
        <v>0</v>
      </c>
      <c r="X323" s="290">
        <f>Table13[[#This Row],[Funeral Cover Amount]]</f>
        <v>0</v>
      </c>
      <c r="Y32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2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23" s="301">
        <f t="shared" ca="1" si="32"/>
        <v>0</v>
      </c>
      <c r="AB323" s="298"/>
      <c r="AC323" s="326" t="str">
        <f>IF(Table2[[#This Row],[Member Type]]="Main Member",Lookups!$C$13,
IF(Table2[[#This Row],[Member Type]]="Spouse",_xlfn.XLOOKUP(B323,Table2[Main Member Link ID],Table2[Product Option],0),
IF(AND(Table2[[#This Row],[Member Type]]="Child",_xlfn.XLOOKUP(B323,Table2[Main Member Link ID],Table2[Product Option],0)&lt;&gt;"My Value Plus Life"),Lookups!$C$24,
IF(AND(OR(Table2[[#This Row],[Member Type]]="Parent",Table2[[#This Row],[Member Type]]="Extended"),_xlfn.XLOOKUP(B323,Table2[Main Member Link ID],Table2[Product Option],0)&lt;&gt;"My Value Plus Life"),Lookups!$C$26,""))))</f>
        <v/>
      </c>
      <c r="AD323" s="326" t="str">
        <f>IF(Table2[[#This Row],[Member Type]]="Main Member",Lookups!$C$14,"")</f>
        <v/>
      </c>
      <c r="AE32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Funeral",_xlfn.XLOOKUP(B323,Table2[Main Member Link ID],Table2[Benefit Name],0)=Lookups!$D$14),"",
IF(AND(Table2[[#This Row],[Member Type]]="Spouse",Table2[[#This Row],[Product Option]]="My Value Plus Life &amp; Funeral",_xlfn.XLOOKUP(B322,Table2[Main Member Link ID],Table2[Benefit Name],0)=Lookups!$D$15),Lookups!$D$20,
IF(AND(Table2[[#This Row],[Member Type]]="Spouse",Table2[[#This Row],[Product Option]]="My Value Plus Life &amp; Funeral",_xlfn.XLOOKUP(B322,Table2[Main Member Link ID],Table2[Benefit Name],0)=Lookups!$D$16),"",
IF(AND(Table2[[#This Row],[Member Type]]="Spouse",Table2[[#This Row],[Product Option]]="My Value Plus Life &amp; Funeral",_xlfn.XLOOKUP(B322,Table2[Main Member Link ID],Table2[Benefit Name],0)=Lookups!$D$17),Lookups!$D$21,
IF(AND(Table2[[#This Row],[Member Type]]="Child",Table2[[#This Row],[Product Option]]="My Value Plus Life &amp; Funeral",_xlfn.XLOOKUP(B323,Table2[Main Member Link ID],Table2[Benefit Name],0)=Lookups!$D$14),"",
IF(AND(Table2[[#This Row],[Member Type]]="Child",Table2[[#This Row],[Product Option]]="My Value Plus Life &amp; Funeral",_xlfn.XLOOKUP(B323,Table2[Main Member Link ID],Table2[Benefit Name],0)=Lookups!$D$15),"",
IF(AND(Table2[[#This Row],[Member Type]]="Child",Table2[[#This Row],[Product Option]]="My Value Plus Life &amp; Funeral",_xlfn.XLOOKUP(B323,Table2[Main Member Link ID],Table2[Benefit Name],0)=Lookups!$D$16),Lookups!$D$24,
IF(AND(Table2[[#This Row],[Member Type]]="Child",Table2[[#This Row],[Product Option]]="My Value Plus Life &amp; Funeral",_xlfn.XLOOKUP(B323,Table2[Main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Funeral",_xlfn.XLOOKUP(B323,Table2[Main Member Link ID],Table2[Benefit Name],0)&lt;&gt;Lookups!$D$14),
IF(_xlfn.XLOOKUP(B323,Table2[Main Member Link ID],Table2[Benefit Name],0)=0,"",_xlfn.XLOOKUP(B323,Table2[Main Member Link ID],Table2[Benefit Name],0)),"")))))))))))))))</f>
        <v/>
      </c>
      <c r="AF323" s="327" t="str">
        <f>IF(AND(Table2[[#This Row],[Member Type]]="Main Member",Table2[[#This Row],[Product Option]]="My Value Plus Life &amp; Funeral"),Lookups!$D$15,
IF(AND(Table2[[#This Row],[Member Type]]="Spouse",Table2[[#This Row],[Product Option]]="My Value Plus Life &amp; Funeral",_xlfn.XLOOKUP(B323,Table2[Main Member Link ID],Table2[Benefit Name],0)=Lookups!$D$14),"",
IF(AND(Table2[[#This Row],[Member Type]]="Spouse",Table2[[#This Row],[Product Option]]="My Value Plus Life &amp; Funeral",_xlfn.XLOOKUP(B322,Table2[Main Member Link ID],Table2[Benefit Name],0)=Lookups!$D$16),"",
IF(AND(Table2[[#This Row],[Member Type]]="Spouse",Table2[[#This Row],[Product Option]]="My Value Plus Life &amp; Funeral",_xlfn.XLOOKUP(B322,Table2[Main Member Link ID],Table2[Benefit Name],0)=Lookups!$D$15),"",
IF(AND(Table2[[#This Row],[Member Type]]="Spouse",Table2[[#This Row],[Product Option]]="My Value Plus Life &amp; Funeral",_xlfn.XLOOKUP(B322,Table2[Main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Funeral",_xlfn.XLOOKUP(B323,Table2[Main Member Link ID],Table2[Benefit Name],0)&lt;&gt;Lookups!$D$15),
IF(_xlfn.XLOOKUP(B323,Table2[Main Member Link ID],Table2[Benefit Name],0)=0,"",_xlfn.XLOOKUP(B323,Table2[Main Member Link ID],Table2[Benefit Name],0)),"")
))))))</f>
        <v/>
      </c>
      <c r="AG323" s="327" t="str">
        <f>IF(AND(Table2[[#This Row],[Member Type]]="Main Member",Table2[[#This Row],[Product Option]]="My Value Plus Life &amp; Funeral"),Lookups!$D$16,
IF(AND(Table2[[#This Row],[Member Type]]="Spouse",Table2[[#This Row],[Product Option]]="My Value Plus Life &amp; Funeral",_xlfn.XLOOKUP(B323,Table2[Main Member Link ID],Table2[Benefit Name],0)=Lookups!$D$14),"",
IF(AND(Table2[[#This Row],[Member Type]]="Spouse",Table2[[#This Row],[Product Option]]="My Value Plus Life &amp; Funeral",_xlfn.XLOOKUP(B322,Table2[Main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Funeral",_xlfn.XLOOKUP(B323,Table2[Main Member Link ID],Table2[Benefit Name],0)&lt;&gt;Lookups!$D$16),
IF(_xlfn.XLOOKUP(B323,Table2[Main Member Link ID],Table2[Benefit Name],0)=0,"",_xlfn.XLOOKUP(B323,Table2[Main Member Link ID],Table2[Benefit Name],0)),"")
))))</f>
        <v/>
      </c>
      <c r="AH323" s="327" t="str">
        <f>IF(AND(Table2[[#This Row],[Member Type]]="Main Member",Table2[[#This Row],[Product Option]]="My Value Plus Life &amp; Funeral"),Lookups!$D$17,
IF(AND(Table2[[#This Row],[Member Type]]="Spouse",Table2[[#This Row],[Product Option]]="My Value Plus Life &amp; Funeral",_xlfn.XLOOKUP(B323,Table2[Main Member Link ID],Table2[Benefit Name],0)=Lookups!$D$14),"",
IF(AND(Table2[[#This Row],[Member Type]]="Spouse",Table2[[#This Row],[Product Option]]="My Value Plus Life &amp; Funeral",_xlfn.XLOOKUP(B322,Table2[Main Member Link ID],Table2[Benefit Name],0)=Lookups!$D$16),"",
IF(AND(Table2[[#This Row],[Member Type]]="Child",Table2[[#This Row],[Product Option]]="My Value Plus Life &amp; Funeral"),"",
IF(AND(Table2[[#This Row],[Member Type]]="Child",Table2[[#This Row],[Product Option]]="My Value Plus Life &amp; Funeral",_xlfn.XLOOKUP(B323,Table2[Main Member Link ID],Table2[Benefit Name],0)=Lookups!$D$15),"",
IF(AND(OR(Table2[[#This Row],[Member Type]]="Spouse",Table2[[#This Row],[Member Type]]="Child"),Table2[[#This Row],[Product Option]]="My Value Plus Life &amp; Funeral",_xlfn.XLOOKUP(B323,Table2[Main Member Link ID],Table2[Benefit Name],0)&lt;&gt;Lookups!$D$17),
IF(_xlfn.XLOOKUP(B323,Table2[Main Member Link ID],Table2[Benefit Name],0)=0,"",_xlfn.XLOOKUP(B323,Table2[Main Member Link ID],Table2[Benefit Name],0)),""))))))</f>
        <v/>
      </c>
      <c r="AI323" s="328" t="str">
        <f>IF(AND(Table2[[#This Row],[Member Type]]="Main Member",Table2[[#This Row],[Table Lookup for Life Cover]]="MM_LIFE",Table2[[#This Row],[Age Next Birthday]]&lt;56),1,
IF(AND(Table2[[#This Row],[Member Type]]="Main Member",Table2[[#This Row],[Table Lookup for Life Cover]]="MM_LIFE",Table2[[#This Row],[Age Next Birthday]]&gt;=56),2,
""))</f>
        <v/>
      </c>
      <c r="AJ323" s="328">
        <f>IF(OR(Table2[[#This Row],[Member Type]]="Main Member",Table2[[#This Row],[Main Member Link ID]]=B322),1,0)</f>
        <v>1</v>
      </c>
      <c r="AK323" s="328">
        <f>IF(Table2[[#This Row],[Member Type]]=0,0,
IF(OR(Table2[[#This Row],[Member Type]]="Main Member",Table2[[#This Row],[Main Member Link ID]]&lt;&gt;B323),COUNTIFS(B:B,Table2[[#This Row],[Main Member Link ID]]),
COUNTIFS(B:B,Table2[[#This Row],[Main Member Link ID]],A:A,Table2[[#This Row],[Member Type]])))</f>
        <v>0</v>
      </c>
    </row>
    <row r="324" spans="1:37" x14ac:dyDescent="0.3">
      <c r="A324" s="284">
        <f>Table13[[#This Row],[Member Type]]</f>
        <v>0</v>
      </c>
      <c r="B324" s="284">
        <f>Table13[[#This Row],[Main Member Link ID]]</f>
        <v>0</v>
      </c>
      <c r="C324" s="284">
        <f>Table13[[#This Row],[ID Number]]</f>
        <v>0</v>
      </c>
      <c r="D324" s="285">
        <f>Table13[[#This Row],[Date Of Birth]]</f>
        <v>0</v>
      </c>
      <c r="E324" s="285">
        <f>Table13[[#This Row],[Commencement Date]]</f>
        <v>0</v>
      </c>
      <c r="F324" s="284">
        <f t="shared" si="28"/>
        <v>1</v>
      </c>
      <c r="G324" s="284">
        <f t="shared" si="29"/>
        <v>25</v>
      </c>
      <c r="H324" s="286">
        <f>Table13[[#This Row],[Product Option]]</f>
        <v>0</v>
      </c>
      <c r="I324" s="284">
        <f>IF(AND($A324="Main Member",Table2[[#This Row],[Product Option]]="My Value Plus Life"),"MM_LIFE",
IF(AND($A324="Spouse",Table2[[#This Row],[Product Option]]="My Value Plus Life"),"SP_LIFE",
IF(AND($A324="Main Member",Table2[[#This Row],[Product Option]]="My Value Plus Life &amp; Funeral"),"MM_LIFE",
IF(AND($A324="Spouse",Table2[[#This Row],[Product Option]]="My Value Plus Life &amp; Funeral"),_xlfn.XLOOKUP(Table2[[#This Row],[Benefit Name]],Lookups!$D$18:$D$23,Lookups!$E$18:$E$23,0),
0))))</f>
        <v>0</v>
      </c>
      <c r="J324" s="284">
        <f>IF($I324="","",
IF($I324="MM_LIFE",INDEX('Quotation Tool'!$S$54:$V$60,MATCH($T324,'Quotation Tool'!$S$54:$S$60,0),4),
IF($I324="SP_LIFE",_xlfn.XLOOKUP(B323,$B:$B,$J:$J,0),0)))</f>
        <v>0</v>
      </c>
      <c r="K324" s="287">
        <f t="shared" ca="1" si="33"/>
        <v>0</v>
      </c>
      <c r="L324" s="288">
        <f t="shared" ca="1" si="34"/>
        <v>0</v>
      </c>
      <c r="M324" s="289">
        <f t="shared" ca="1" si="30"/>
        <v>0</v>
      </c>
      <c r="N324" s="286">
        <f>Table13[[#This Row],[Benefit Option]]</f>
        <v>0</v>
      </c>
      <c r="O324" s="284">
        <f>IF(OR(Table2[[#This Row],[Member Type]]="Spouse",Table2[[#This Row],[Member Type]]="Child"),0,
IF(_xlfn.XLOOKUP($N324,Lookups!$D$13:$D$27,Lookups!$F$13:$F$27,0)=Table2[[#This Row],[Table Lookup for Life Cover]],0,
_xlfn.XLOOKUP($N324,Lookups!$D$13:$D$27,Lookups!$F$13:$F$27,0)))</f>
        <v>0</v>
      </c>
      <c r="P324" s="284">
        <f>IF(Table2[[#This Row],[Table Lookup for Funeral]]=0,0,IFERROR(INDEX('Quotation Tool'!$S$54:$V$60,MATCH($T324,'Quotation Tool'!$S$54:$S$60,0),3),0))</f>
        <v>0</v>
      </c>
      <c r="Q324" s="288">
        <f ca="1">IF(OR(Table2[[#This Row],[Benefit Name]]="My Value Plus Life - Main Member",Table2[[#This Row],[Benefit Name]]="My Value Plus Life - Spouse"),0,
IFERROR(VLOOKUP($G324,INDIRECT($O324),$P324,FALSE),0))</f>
        <v>0</v>
      </c>
      <c r="R324" s="288">
        <f ca="1">IF(OR(Table2[[#This Row],[Benefit Name]]="My Value Plus Life - Main Member",Table2[[#This Row],[Benefit Name]]="My Value Plus Life - Spouse"),0,
IFERROR(VLOOKUP($G324,INDIRECT($O324),$P324+1,FALSE),0))</f>
        <v>0</v>
      </c>
      <c r="S324" s="289">
        <f t="shared" ca="1" si="31"/>
        <v>0</v>
      </c>
      <c r="T324" s="284" t="str">
        <f>IF(Table13[[#This Row],[Premium Waiver]]="","None",Table13[[#This Row],[Premium Waiver]])</f>
        <v>None</v>
      </c>
      <c r="U324" s="284">
        <f>Table13[[#This Row],[VAPs Options]]</f>
        <v>0</v>
      </c>
      <c r="V324" s="284">
        <f>Table13[[#This Row],[Annual Increase Option]]</f>
        <v>0</v>
      </c>
      <c r="W324" s="290">
        <f>Table13[[#This Row],[Life Cover Amount]]</f>
        <v>0</v>
      </c>
      <c r="X324" s="290">
        <f>Table13[[#This Row],[Funeral Cover Amount]]</f>
        <v>0</v>
      </c>
      <c r="Y32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2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24" s="301">
        <f t="shared" ca="1" si="32"/>
        <v>0</v>
      </c>
      <c r="AB324" s="298"/>
      <c r="AC324" s="326" t="str">
        <f>IF(Table2[[#This Row],[Member Type]]="Main Member",Lookups!$C$13,
IF(Table2[[#This Row],[Member Type]]="Spouse",_xlfn.XLOOKUP(B324,Table2[Main Member Link ID],Table2[Product Option],0),
IF(AND(Table2[[#This Row],[Member Type]]="Child",_xlfn.XLOOKUP(B324,Table2[Main Member Link ID],Table2[Product Option],0)&lt;&gt;"My Value Plus Life"),Lookups!$C$24,
IF(AND(OR(Table2[[#This Row],[Member Type]]="Parent",Table2[[#This Row],[Member Type]]="Extended"),_xlfn.XLOOKUP(B324,Table2[Main Member Link ID],Table2[Product Option],0)&lt;&gt;"My Value Plus Life"),Lookups!$C$26,""))))</f>
        <v/>
      </c>
      <c r="AD324" s="326" t="str">
        <f>IF(Table2[[#This Row],[Member Type]]="Main Member",Lookups!$C$14,"")</f>
        <v/>
      </c>
      <c r="AE32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Funeral",_xlfn.XLOOKUP(B324,Table2[Main Member Link ID],Table2[Benefit Name],0)=Lookups!$D$14),"",
IF(AND(Table2[[#This Row],[Member Type]]="Spouse",Table2[[#This Row],[Product Option]]="My Value Plus Life &amp; Funeral",_xlfn.XLOOKUP(B323,Table2[Main Member Link ID],Table2[Benefit Name],0)=Lookups!$D$15),Lookups!$D$20,
IF(AND(Table2[[#This Row],[Member Type]]="Spouse",Table2[[#This Row],[Product Option]]="My Value Plus Life &amp; Funeral",_xlfn.XLOOKUP(B323,Table2[Main Member Link ID],Table2[Benefit Name],0)=Lookups!$D$16),"",
IF(AND(Table2[[#This Row],[Member Type]]="Spouse",Table2[[#This Row],[Product Option]]="My Value Plus Life &amp; Funeral",_xlfn.XLOOKUP(B323,Table2[Main Member Link ID],Table2[Benefit Name],0)=Lookups!$D$17),Lookups!$D$21,
IF(AND(Table2[[#This Row],[Member Type]]="Child",Table2[[#This Row],[Product Option]]="My Value Plus Life &amp; Funeral",_xlfn.XLOOKUP(B324,Table2[Main Member Link ID],Table2[Benefit Name],0)=Lookups!$D$14),"",
IF(AND(Table2[[#This Row],[Member Type]]="Child",Table2[[#This Row],[Product Option]]="My Value Plus Life &amp; Funeral",_xlfn.XLOOKUP(B324,Table2[Main Member Link ID],Table2[Benefit Name],0)=Lookups!$D$15),"",
IF(AND(Table2[[#This Row],[Member Type]]="Child",Table2[[#This Row],[Product Option]]="My Value Plus Life &amp; Funeral",_xlfn.XLOOKUP(B324,Table2[Main Member Link ID],Table2[Benefit Name],0)=Lookups!$D$16),Lookups!$D$24,
IF(AND(Table2[[#This Row],[Member Type]]="Child",Table2[[#This Row],[Product Option]]="My Value Plus Life &amp; Funeral",_xlfn.XLOOKUP(B324,Table2[Main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Funeral",_xlfn.XLOOKUP(B324,Table2[Main Member Link ID],Table2[Benefit Name],0)&lt;&gt;Lookups!$D$14),
IF(_xlfn.XLOOKUP(B324,Table2[Main Member Link ID],Table2[Benefit Name],0)=0,"",_xlfn.XLOOKUP(B324,Table2[Main Member Link ID],Table2[Benefit Name],0)),"")))))))))))))))</f>
        <v/>
      </c>
      <c r="AF324" s="327" t="str">
        <f>IF(AND(Table2[[#This Row],[Member Type]]="Main Member",Table2[[#This Row],[Product Option]]="My Value Plus Life &amp; Funeral"),Lookups!$D$15,
IF(AND(Table2[[#This Row],[Member Type]]="Spouse",Table2[[#This Row],[Product Option]]="My Value Plus Life &amp; Funeral",_xlfn.XLOOKUP(B324,Table2[Main Member Link ID],Table2[Benefit Name],0)=Lookups!$D$14),"",
IF(AND(Table2[[#This Row],[Member Type]]="Spouse",Table2[[#This Row],[Product Option]]="My Value Plus Life &amp; Funeral",_xlfn.XLOOKUP(B323,Table2[Main Member Link ID],Table2[Benefit Name],0)=Lookups!$D$16),"",
IF(AND(Table2[[#This Row],[Member Type]]="Spouse",Table2[[#This Row],[Product Option]]="My Value Plus Life &amp; Funeral",_xlfn.XLOOKUP(B323,Table2[Main Member Link ID],Table2[Benefit Name],0)=Lookups!$D$15),"",
IF(AND(Table2[[#This Row],[Member Type]]="Spouse",Table2[[#This Row],[Product Option]]="My Value Plus Life &amp; Funeral",_xlfn.XLOOKUP(B323,Table2[Main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Funeral",_xlfn.XLOOKUP(B324,Table2[Main Member Link ID],Table2[Benefit Name],0)&lt;&gt;Lookups!$D$15),
IF(_xlfn.XLOOKUP(B324,Table2[Main Member Link ID],Table2[Benefit Name],0)=0,"",_xlfn.XLOOKUP(B324,Table2[Main Member Link ID],Table2[Benefit Name],0)),"")
))))))</f>
        <v/>
      </c>
      <c r="AG324" s="327" t="str">
        <f>IF(AND(Table2[[#This Row],[Member Type]]="Main Member",Table2[[#This Row],[Product Option]]="My Value Plus Life &amp; Funeral"),Lookups!$D$16,
IF(AND(Table2[[#This Row],[Member Type]]="Spouse",Table2[[#This Row],[Product Option]]="My Value Plus Life &amp; Funeral",_xlfn.XLOOKUP(B324,Table2[Main Member Link ID],Table2[Benefit Name],0)=Lookups!$D$14),"",
IF(AND(Table2[[#This Row],[Member Type]]="Spouse",Table2[[#This Row],[Product Option]]="My Value Plus Life &amp; Funeral",_xlfn.XLOOKUP(B323,Table2[Main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Funeral",_xlfn.XLOOKUP(B324,Table2[Main Member Link ID],Table2[Benefit Name],0)&lt;&gt;Lookups!$D$16),
IF(_xlfn.XLOOKUP(B324,Table2[Main Member Link ID],Table2[Benefit Name],0)=0,"",_xlfn.XLOOKUP(B324,Table2[Main Member Link ID],Table2[Benefit Name],0)),"")
))))</f>
        <v/>
      </c>
      <c r="AH324" s="327" t="str">
        <f>IF(AND(Table2[[#This Row],[Member Type]]="Main Member",Table2[[#This Row],[Product Option]]="My Value Plus Life &amp; Funeral"),Lookups!$D$17,
IF(AND(Table2[[#This Row],[Member Type]]="Spouse",Table2[[#This Row],[Product Option]]="My Value Plus Life &amp; Funeral",_xlfn.XLOOKUP(B324,Table2[Main Member Link ID],Table2[Benefit Name],0)=Lookups!$D$14),"",
IF(AND(Table2[[#This Row],[Member Type]]="Spouse",Table2[[#This Row],[Product Option]]="My Value Plus Life &amp; Funeral",_xlfn.XLOOKUP(B323,Table2[Main Member Link ID],Table2[Benefit Name],0)=Lookups!$D$16),"",
IF(AND(Table2[[#This Row],[Member Type]]="Child",Table2[[#This Row],[Product Option]]="My Value Plus Life &amp; Funeral"),"",
IF(AND(Table2[[#This Row],[Member Type]]="Child",Table2[[#This Row],[Product Option]]="My Value Plus Life &amp; Funeral",_xlfn.XLOOKUP(B324,Table2[Main Member Link ID],Table2[Benefit Name],0)=Lookups!$D$15),"",
IF(AND(OR(Table2[[#This Row],[Member Type]]="Spouse",Table2[[#This Row],[Member Type]]="Child"),Table2[[#This Row],[Product Option]]="My Value Plus Life &amp; Funeral",_xlfn.XLOOKUP(B324,Table2[Main Member Link ID],Table2[Benefit Name],0)&lt;&gt;Lookups!$D$17),
IF(_xlfn.XLOOKUP(B324,Table2[Main Member Link ID],Table2[Benefit Name],0)=0,"",_xlfn.XLOOKUP(B324,Table2[Main Member Link ID],Table2[Benefit Name],0)),""))))))</f>
        <v/>
      </c>
      <c r="AI324" s="328" t="str">
        <f>IF(AND(Table2[[#This Row],[Member Type]]="Main Member",Table2[[#This Row],[Table Lookup for Life Cover]]="MM_LIFE",Table2[[#This Row],[Age Next Birthday]]&lt;56),1,
IF(AND(Table2[[#This Row],[Member Type]]="Main Member",Table2[[#This Row],[Table Lookup for Life Cover]]="MM_LIFE",Table2[[#This Row],[Age Next Birthday]]&gt;=56),2,
""))</f>
        <v/>
      </c>
      <c r="AJ324" s="328">
        <f>IF(OR(Table2[[#This Row],[Member Type]]="Main Member",Table2[[#This Row],[Main Member Link ID]]=B323),1,0)</f>
        <v>1</v>
      </c>
      <c r="AK324" s="328">
        <f>IF(Table2[[#This Row],[Member Type]]=0,0,
IF(OR(Table2[[#This Row],[Member Type]]="Main Member",Table2[[#This Row],[Main Member Link ID]]&lt;&gt;B324),COUNTIFS(B:B,Table2[[#This Row],[Main Member Link ID]]),
COUNTIFS(B:B,Table2[[#This Row],[Main Member Link ID]],A:A,Table2[[#This Row],[Member Type]])))</f>
        <v>0</v>
      </c>
    </row>
    <row r="325" spans="1:37" x14ac:dyDescent="0.3">
      <c r="A325" s="284">
        <f>Table13[[#This Row],[Member Type]]</f>
        <v>0</v>
      </c>
      <c r="B325" s="284">
        <f>Table13[[#This Row],[Main Member Link ID]]</f>
        <v>0</v>
      </c>
      <c r="C325" s="284">
        <f>Table13[[#This Row],[ID Number]]</f>
        <v>0</v>
      </c>
      <c r="D325" s="285">
        <f>Table13[[#This Row],[Date Of Birth]]</f>
        <v>0</v>
      </c>
      <c r="E325" s="285">
        <f>Table13[[#This Row],[Commencement Date]]</f>
        <v>0</v>
      </c>
      <c r="F325" s="284">
        <f t="shared" ref="F325:F388" si="35">IF(D325="","",
IF(OR($A325="Main Member",$A325="Spouse",$A325="Child"),IFERROR(IF((IF($D325="",-1,DATEDIF($D325,$E325,"Y"))+1)&gt;75,"Max age",IF($D325="",-1,DATEDIF($D325,$E325,"Y"))+1),FALSE),
IFERROR(IF((IF($D325="",-1,DATEDIF($D325,$E325,"Y"))+1)&gt;75,"Max age",IF($D325="",-1,DATEDIF($D325,$E325,"Y"))+1),FALSE)))</f>
        <v>1</v>
      </c>
      <c r="G325" s="284">
        <f t="shared" ref="G325:G388" si="36">IF(F325="","",
IF(F325="Max age","Max age",
IF(OR($A325="Main Member",$A325="Spouse",$A325="Child"),IF($F325=0,"",IF($F325&lt;26,25,IF($F325&lt;36,35,IF($F325&lt;46,45,IF($F325&lt;51,50,IF($F325&lt;56,55,IF($F325&lt;61,60,IF($F325&lt;66,65,IF($F325&lt;71,70,IF($F325&lt;76,75)))))))))),
IF($F325=0,"",IF($F325&lt;26,25,IF($F325&lt;36,35,IF($F325&lt;46,45,IF($F325&lt;51,50,IF($F325&lt;56,55,IF($F325&lt;61,60,IF($F325&lt;66,65,IF($F325&lt;71,70,IF($F325&lt;76,75)))))))))))))</f>
        <v>25</v>
      </c>
      <c r="H325" s="286">
        <f>Table13[[#This Row],[Product Option]]</f>
        <v>0</v>
      </c>
      <c r="I325" s="284">
        <f>IF(AND($A325="Main Member",Table2[[#This Row],[Product Option]]="My Value Plus Life"),"MM_LIFE",
IF(AND($A325="Spouse",Table2[[#This Row],[Product Option]]="My Value Plus Life"),"SP_LIFE",
IF(AND($A325="Main Member",Table2[[#This Row],[Product Option]]="My Value Plus Life &amp; Funeral"),"MM_LIFE",
IF(AND($A325="Spouse",Table2[[#This Row],[Product Option]]="My Value Plus Life &amp; Funeral"),_xlfn.XLOOKUP(Table2[[#This Row],[Benefit Name]],Lookups!$D$18:$D$23,Lookups!$E$18:$E$23,0),
0))))</f>
        <v>0</v>
      </c>
      <c r="J325" s="284">
        <f>IF($I325="","",
IF($I325="MM_LIFE",INDEX('Quotation Tool'!$S$54:$V$60,MATCH($T325,'Quotation Tool'!$S$54:$S$60,0),4),
IF($I325="SP_LIFE",_xlfn.XLOOKUP(B324,$B:$B,$J:$J,0),0)))</f>
        <v>0</v>
      </c>
      <c r="K325" s="287">
        <f t="shared" ca="1" si="33"/>
        <v>0</v>
      </c>
      <c r="L325" s="288">
        <f t="shared" ca="1" si="34"/>
        <v>0</v>
      </c>
      <c r="M325" s="289">
        <f t="shared" ref="M325:M388" ca="1" si="37">K325+L325/1000*W325</f>
        <v>0</v>
      </c>
      <c r="N325" s="286">
        <f>Table13[[#This Row],[Benefit Option]]</f>
        <v>0</v>
      </c>
      <c r="O325" s="284">
        <f>IF(OR(Table2[[#This Row],[Member Type]]="Spouse",Table2[[#This Row],[Member Type]]="Child"),0,
IF(_xlfn.XLOOKUP($N325,Lookups!$D$13:$D$27,Lookups!$F$13:$F$27,0)=Table2[[#This Row],[Table Lookup for Life Cover]],0,
_xlfn.XLOOKUP($N325,Lookups!$D$13:$D$27,Lookups!$F$13:$F$27,0)))</f>
        <v>0</v>
      </c>
      <c r="P325" s="284">
        <f>IF(Table2[[#This Row],[Table Lookup for Funeral]]=0,0,IFERROR(INDEX('Quotation Tool'!$S$54:$V$60,MATCH($T325,'Quotation Tool'!$S$54:$S$60,0),3),0))</f>
        <v>0</v>
      </c>
      <c r="Q325" s="288">
        <f ca="1">IF(OR(Table2[[#This Row],[Benefit Name]]="My Value Plus Life - Main Member",Table2[[#This Row],[Benefit Name]]="My Value Plus Life - Spouse"),0,
IFERROR(VLOOKUP($G325,INDIRECT($O325),$P325,FALSE),0))</f>
        <v>0</v>
      </c>
      <c r="R325" s="288">
        <f ca="1">IF(OR(Table2[[#This Row],[Benefit Name]]="My Value Plus Life - Main Member",Table2[[#This Row],[Benefit Name]]="My Value Plus Life - Spouse"),0,
IFERROR(VLOOKUP($G325,INDIRECT($O325),$P325+1,FALSE),0))</f>
        <v>0</v>
      </c>
      <c r="S325" s="289">
        <f t="shared" ref="S325:S388" ca="1" si="38">Q325+R325/1000*X325</f>
        <v>0</v>
      </c>
      <c r="T325" s="284" t="str">
        <f>IF(Table13[[#This Row],[Premium Waiver]]="","None",Table13[[#This Row],[Premium Waiver]])</f>
        <v>None</v>
      </c>
      <c r="U325" s="284">
        <f>Table13[[#This Row],[VAPs Options]]</f>
        <v>0</v>
      </c>
      <c r="V325" s="284">
        <f>Table13[[#This Row],[Annual Increase Option]]</f>
        <v>0</v>
      </c>
      <c r="W325" s="290">
        <f>Table13[[#This Row],[Life Cover Amount]]</f>
        <v>0</v>
      </c>
      <c r="X325" s="290">
        <f>Table13[[#This Row],[Funeral Cover Amount]]</f>
        <v>0</v>
      </c>
      <c r="Y32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2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25" s="301">
        <f t="shared" ref="AA325:AA388" ca="1" si="39">S325+M325</f>
        <v>0</v>
      </c>
      <c r="AB325" s="298"/>
      <c r="AC325" s="326" t="str">
        <f>IF(Table2[[#This Row],[Member Type]]="Main Member",Lookups!$C$13,
IF(Table2[[#This Row],[Member Type]]="Spouse",_xlfn.XLOOKUP(B325,Table2[Main Member Link ID],Table2[Product Option],0),
IF(AND(Table2[[#This Row],[Member Type]]="Child",_xlfn.XLOOKUP(B325,Table2[Main Member Link ID],Table2[Product Option],0)&lt;&gt;"My Value Plus Life"),Lookups!$C$24,
IF(AND(OR(Table2[[#This Row],[Member Type]]="Parent",Table2[[#This Row],[Member Type]]="Extended"),_xlfn.XLOOKUP(B325,Table2[Main Member Link ID],Table2[Product Option],0)&lt;&gt;"My Value Plus Life"),Lookups!$C$26,""))))</f>
        <v/>
      </c>
      <c r="AD325" s="326" t="str">
        <f>IF(Table2[[#This Row],[Member Type]]="Main Member",Lookups!$C$14,"")</f>
        <v/>
      </c>
      <c r="AE32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Funeral",_xlfn.XLOOKUP(B325,Table2[Main Member Link ID],Table2[Benefit Name],0)=Lookups!$D$14),"",
IF(AND(Table2[[#This Row],[Member Type]]="Spouse",Table2[[#This Row],[Product Option]]="My Value Plus Life &amp; Funeral",_xlfn.XLOOKUP(B324,Table2[Main Member Link ID],Table2[Benefit Name],0)=Lookups!$D$15),Lookups!$D$20,
IF(AND(Table2[[#This Row],[Member Type]]="Spouse",Table2[[#This Row],[Product Option]]="My Value Plus Life &amp; Funeral",_xlfn.XLOOKUP(B324,Table2[Main Member Link ID],Table2[Benefit Name],0)=Lookups!$D$16),"",
IF(AND(Table2[[#This Row],[Member Type]]="Spouse",Table2[[#This Row],[Product Option]]="My Value Plus Life &amp; Funeral",_xlfn.XLOOKUP(B324,Table2[Main Member Link ID],Table2[Benefit Name],0)=Lookups!$D$17),Lookups!$D$21,
IF(AND(Table2[[#This Row],[Member Type]]="Child",Table2[[#This Row],[Product Option]]="My Value Plus Life &amp; Funeral",_xlfn.XLOOKUP(B325,Table2[Main Member Link ID],Table2[Benefit Name],0)=Lookups!$D$14),"",
IF(AND(Table2[[#This Row],[Member Type]]="Child",Table2[[#This Row],[Product Option]]="My Value Plus Life &amp; Funeral",_xlfn.XLOOKUP(B325,Table2[Main Member Link ID],Table2[Benefit Name],0)=Lookups!$D$15),"",
IF(AND(Table2[[#This Row],[Member Type]]="Child",Table2[[#This Row],[Product Option]]="My Value Plus Life &amp; Funeral",_xlfn.XLOOKUP(B325,Table2[Main Member Link ID],Table2[Benefit Name],0)=Lookups!$D$16),Lookups!$D$24,
IF(AND(Table2[[#This Row],[Member Type]]="Child",Table2[[#This Row],[Product Option]]="My Value Plus Life &amp; Funeral",_xlfn.XLOOKUP(B325,Table2[Main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Funeral",_xlfn.XLOOKUP(B325,Table2[Main Member Link ID],Table2[Benefit Name],0)&lt;&gt;Lookups!$D$14),
IF(_xlfn.XLOOKUP(B325,Table2[Main Member Link ID],Table2[Benefit Name],0)=0,"",_xlfn.XLOOKUP(B325,Table2[Main Member Link ID],Table2[Benefit Name],0)),"")))))))))))))))</f>
        <v/>
      </c>
      <c r="AF325" s="327" t="str">
        <f>IF(AND(Table2[[#This Row],[Member Type]]="Main Member",Table2[[#This Row],[Product Option]]="My Value Plus Life &amp; Funeral"),Lookups!$D$15,
IF(AND(Table2[[#This Row],[Member Type]]="Spouse",Table2[[#This Row],[Product Option]]="My Value Plus Life &amp; Funeral",_xlfn.XLOOKUP(B325,Table2[Main Member Link ID],Table2[Benefit Name],0)=Lookups!$D$14),"",
IF(AND(Table2[[#This Row],[Member Type]]="Spouse",Table2[[#This Row],[Product Option]]="My Value Plus Life &amp; Funeral",_xlfn.XLOOKUP(B324,Table2[Main Member Link ID],Table2[Benefit Name],0)=Lookups!$D$16),"",
IF(AND(Table2[[#This Row],[Member Type]]="Spouse",Table2[[#This Row],[Product Option]]="My Value Plus Life &amp; Funeral",_xlfn.XLOOKUP(B324,Table2[Main Member Link ID],Table2[Benefit Name],0)=Lookups!$D$15),"",
IF(AND(Table2[[#This Row],[Member Type]]="Spouse",Table2[[#This Row],[Product Option]]="My Value Plus Life &amp; Funeral",_xlfn.XLOOKUP(B324,Table2[Main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Funeral",_xlfn.XLOOKUP(B325,Table2[Main Member Link ID],Table2[Benefit Name],0)&lt;&gt;Lookups!$D$15),
IF(_xlfn.XLOOKUP(B325,Table2[Main Member Link ID],Table2[Benefit Name],0)=0,"",_xlfn.XLOOKUP(B325,Table2[Main Member Link ID],Table2[Benefit Name],0)),"")
))))))</f>
        <v/>
      </c>
      <c r="AG325" s="327" t="str">
        <f>IF(AND(Table2[[#This Row],[Member Type]]="Main Member",Table2[[#This Row],[Product Option]]="My Value Plus Life &amp; Funeral"),Lookups!$D$16,
IF(AND(Table2[[#This Row],[Member Type]]="Spouse",Table2[[#This Row],[Product Option]]="My Value Plus Life &amp; Funeral",_xlfn.XLOOKUP(B325,Table2[Main Member Link ID],Table2[Benefit Name],0)=Lookups!$D$14),"",
IF(AND(Table2[[#This Row],[Member Type]]="Spouse",Table2[[#This Row],[Product Option]]="My Value Plus Life &amp; Funeral",_xlfn.XLOOKUP(B324,Table2[Main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Funeral",_xlfn.XLOOKUP(B325,Table2[Main Member Link ID],Table2[Benefit Name],0)&lt;&gt;Lookups!$D$16),
IF(_xlfn.XLOOKUP(B325,Table2[Main Member Link ID],Table2[Benefit Name],0)=0,"",_xlfn.XLOOKUP(B325,Table2[Main Member Link ID],Table2[Benefit Name],0)),"")
))))</f>
        <v/>
      </c>
      <c r="AH325" s="327" t="str">
        <f>IF(AND(Table2[[#This Row],[Member Type]]="Main Member",Table2[[#This Row],[Product Option]]="My Value Plus Life &amp; Funeral"),Lookups!$D$17,
IF(AND(Table2[[#This Row],[Member Type]]="Spouse",Table2[[#This Row],[Product Option]]="My Value Plus Life &amp; Funeral",_xlfn.XLOOKUP(B325,Table2[Main Member Link ID],Table2[Benefit Name],0)=Lookups!$D$14),"",
IF(AND(Table2[[#This Row],[Member Type]]="Spouse",Table2[[#This Row],[Product Option]]="My Value Plus Life &amp; Funeral",_xlfn.XLOOKUP(B324,Table2[Main Member Link ID],Table2[Benefit Name],0)=Lookups!$D$16),"",
IF(AND(Table2[[#This Row],[Member Type]]="Child",Table2[[#This Row],[Product Option]]="My Value Plus Life &amp; Funeral"),"",
IF(AND(Table2[[#This Row],[Member Type]]="Child",Table2[[#This Row],[Product Option]]="My Value Plus Life &amp; Funeral",_xlfn.XLOOKUP(B325,Table2[Main Member Link ID],Table2[Benefit Name],0)=Lookups!$D$15),"",
IF(AND(OR(Table2[[#This Row],[Member Type]]="Spouse",Table2[[#This Row],[Member Type]]="Child"),Table2[[#This Row],[Product Option]]="My Value Plus Life &amp; Funeral",_xlfn.XLOOKUP(B325,Table2[Main Member Link ID],Table2[Benefit Name],0)&lt;&gt;Lookups!$D$17),
IF(_xlfn.XLOOKUP(B325,Table2[Main Member Link ID],Table2[Benefit Name],0)=0,"",_xlfn.XLOOKUP(B325,Table2[Main Member Link ID],Table2[Benefit Name],0)),""))))))</f>
        <v/>
      </c>
      <c r="AI325" s="328" t="str">
        <f>IF(AND(Table2[[#This Row],[Member Type]]="Main Member",Table2[[#This Row],[Table Lookup for Life Cover]]="MM_LIFE",Table2[[#This Row],[Age Next Birthday]]&lt;56),1,
IF(AND(Table2[[#This Row],[Member Type]]="Main Member",Table2[[#This Row],[Table Lookup for Life Cover]]="MM_LIFE",Table2[[#This Row],[Age Next Birthday]]&gt;=56),2,
""))</f>
        <v/>
      </c>
      <c r="AJ325" s="328">
        <f>IF(OR(Table2[[#This Row],[Member Type]]="Main Member",Table2[[#This Row],[Main Member Link ID]]=B324),1,0)</f>
        <v>1</v>
      </c>
      <c r="AK325" s="328">
        <f>IF(Table2[[#This Row],[Member Type]]=0,0,
IF(OR(Table2[[#This Row],[Member Type]]="Main Member",Table2[[#This Row],[Main Member Link ID]]&lt;&gt;B325),COUNTIFS(B:B,Table2[[#This Row],[Main Member Link ID]]),
COUNTIFS(B:B,Table2[[#This Row],[Main Member Link ID]],A:A,Table2[[#This Row],[Member Type]])))</f>
        <v>0</v>
      </c>
    </row>
    <row r="326" spans="1:37" x14ac:dyDescent="0.3">
      <c r="A326" s="284">
        <f>Table13[[#This Row],[Member Type]]</f>
        <v>0</v>
      </c>
      <c r="B326" s="284">
        <f>Table13[[#This Row],[Main Member Link ID]]</f>
        <v>0</v>
      </c>
      <c r="C326" s="284">
        <f>Table13[[#This Row],[ID Number]]</f>
        <v>0</v>
      </c>
      <c r="D326" s="285">
        <f>Table13[[#This Row],[Date Of Birth]]</f>
        <v>0</v>
      </c>
      <c r="E326" s="285">
        <f>Table13[[#This Row],[Commencement Date]]</f>
        <v>0</v>
      </c>
      <c r="F326" s="284">
        <f t="shared" si="35"/>
        <v>1</v>
      </c>
      <c r="G326" s="284">
        <f t="shared" si="36"/>
        <v>25</v>
      </c>
      <c r="H326" s="286">
        <f>Table13[[#This Row],[Product Option]]</f>
        <v>0</v>
      </c>
      <c r="I326" s="284">
        <f>IF(AND($A326="Main Member",Table2[[#This Row],[Product Option]]="My Value Plus Life"),"MM_LIFE",
IF(AND($A326="Spouse",Table2[[#This Row],[Product Option]]="My Value Plus Life"),"SP_LIFE",
IF(AND($A326="Main Member",Table2[[#This Row],[Product Option]]="My Value Plus Life &amp; Funeral"),"MM_LIFE",
IF(AND($A326="Spouse",Table2[[#This Row],[Product Option]]="My Value Plus Life &amp; Funeral"),_xlfn.XLOOKUP(Table2[[#This Row],[Benefit Name]],Lookups!$D$18:$D$23,Lookups!$E$18:$E$23,0),
0))))</f>
        <v>0</v>
      </c>
      <c r="J326" s="284">
        <f>IF($I326="","",
IF($I326="MM_LIFE",INDEX('Quotation Tool'!$S$54:$V$60,MATCH($T326,'Quotation Tool'!$S$54:$S$60,0),4),
IF($I326="SP_LIFE",_xlfn.XLOOKUP(B325,$B:$B,$J:$J,0),0)))</f>
        <v>0</v>
      </c>
      <c r="K326" s="287">
        <f t="shared" ref="K326:K389" ca="1" si="40">IFERROR(VLOOKUP($G326,INDIRECT($I326),$J326,FALSE),0)</f>
        <v>0</v>
      </c>
      <c r="L326" s="288">
        <f t="shared" ref="L326:L389" ca="1" si="41">IFERROR(VLOOKUP($G326,INDIRECT($I326),$J326+1,FALSE),0)</f>
        <v>0</v>
      </c>
      <c r="M326" s="289">
        <f t="shared" ca="1" si="37"/>
        <v>0</v>
      </c>
      <c r="N326" s="286">
        <f>Table13[[#This Row],[Benefit Option]]</f>
        <v>0</v>
      </c>
      <c r="O326" s="284">
        <f>IF(OR(Table2[[#This Row],[Member Type]]="Spouse",Table2[[#This Row],[Member Type]]="Child"),0,
IF(_xlfn.XLOOKUP($N326,Lookups!$D$13:$D$27,Lookups!$F$13:$F$27,0)=Table2[[#This Row],[Table Lookup for Life Cover]],0,
_xlfn.XLOOKUP($N326,Lookups!$D$13:$D$27,Lookups!$F$13:$F$27,0)))</f>
        <v>0</v>
      </c>
      <c r="P326" s="284">
        <f>IF(Table2[[#This Row],[Table Lookup for Funeral]]=0,0,IFERROR(INDEX('Quotation Tool'!$S$54:$V$60,MATCH($T326,'Quotation Tool'!$S$54:$S$60,0),3),0))</f>
        <v>0</v>
      </c>
      <c r="Q326" s="288">
        <f ca="1">IF(OR(Table2[[#This Row],[Benefit Name]]="My Value Plus Life - Main Member",Table2[[#This Row],[Benefit Name]]="My Value Plus Life - Spouse"),0,
IFERROR(VLOOKUP($G326,INDIRECT($O326),$P326,FALSE),0))</f>
        <v>0</v>
      </c>
      <c r="R326" s="288">
        <f ca="1">IF(OR(Table2[[#This Row],[Benefit Name]]="My Value Plus Life - Main Member",Table2[[#This Row],[Benefit Name]]="My Value Plus Life - Spouse"),0,
IFERROR(VLOOKUP($G326,INDIRECT($O326),$P326+1,FALSE),0))</f>
        <v>0</v>
      </c>
      <c r="S326" s="289">
        <f t="shared" ca="1" si="38"/>
        <v>0</v>
      </c>
      <c r="T326" s="284" t="str">
        <f>IF(Table13[[#This Row],[Premium Waiver]]="","None",Table13[[#This Row],[Premium Waiver]])</f>
        <v>None</v>
      </c>
      <c r="U326" s="284">
        <f>Table13[[#This Row],[VAPs Options]]</f>
        <v>0</v>
      </c>
      <c r="V326" s="284">
        <f>Table13[[#This Row],[Annual Increase Option]]</f>
        <v>0</v>
      </c>
      <c r="W326" s="290">
        <f>Table13[[#This Row],[Life Cover Amount]]</f>
        <v>0</v>
      </c>
      <c r="X326" s="290">
        <f>Table13[[#This Row],[Funeral Cover Amount]]</f>
        <v>0</v>
      </c>
      <c r="Y32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2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26" s="301">
        <f t="shared" ca="1" si="39"/>
        <v>0</v>
      </c>
      <c r="AB326" s="298"/>
      <c r="AC326" s="326" t="str">
        <f>IF(Table2[[#This Row],[Member Type]]="Main Member",Lookups!$C$13,
IF(Table2[[#This Row],[Member Type]]="Spouse",_xlfn.XLOOKUP(B326,Table2[Main Member Link ID],Table2[Product Option],0),
IF(AND(Table2[[#This Row],[Member Type]]="Child",_xlfn.XLOOKUP(B326,Table2[Main Member Link ID],Table2[Product Option],0)&lt;&gt;"My Value Plus Life"),Lookups!$C$24,
IF(AND(OR(Table2[[#This Row],[Member Type]]="Parent",Table2[[#This Row],[Member Type]]="Extended"),_xlfn.XLOOKUP(B326,Table2[Main Member Link ID],Table2[Product Option],0)&lt;&gt;"My Value Plus Life"),Lookups!$C$26,""))))</f>
        <v/>
      </c>
      <c r="AD326" s="326" t="str">
        <f>IF(Table2[[#This Row],[Member Type]]="Main Member",Lookups!$C$14,"")</f>
        <v/>
      </c>
      <c r="AE32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Funeral",_xlfn.XLOOKUP(B326,Table2[Main Member Link ID],Table2[Benefit Name],0)=Lookups!$D$14),"",
IF(AND(Table2[[#This Row],[Member Type]]="Spouse",Table2[[#This Row],[Product Option]]="My Value Plus Life &amp; Funeral",_xlfn.XLOOKUP(B325,Table2[Main Member Link ID],Table2[Benefit Name],0)=Lookups!$D$15),Lookups!$D$20,
IF(AND(Table2[[#This Row],[Member Type]]="Spouse",Table2[[#This Row],[Product Option]]="My Value Plus Life &amp; Funeral",_xlfn.XLOOKUP(B325,Table2[Main Member Link ID],Table2[Benefit Name],0)=Lookups!$D$16),"",
IF(AND(Table2[[#This Row],[Member Type]]="Spouse",Table2[[#This Row],[Product Option]]="My Value Plus Life &amp; Funeral",_xlfn.XLOOKUP(B325,Table2[Main Member Link ID],Table2[Benefit Name],0)=Lookups!$D$17),Lookups!$D$21,
IF(AND(Table2[[#This Row],[Member Type]]="Child",Table2[[#This Row],[Product Option]]="My Value Plus Life &amp; Funeral",_xlfn.XLOOKUP(B326,Table2[Main Member Link ID],Table2[Benefit Name],0)=Lookups!$D$14),"",
IF(AND(Table2[[#This Row],[Member Type]]="Child",Table2[[#This Row],[Product Option]]="My Value Plus Life &amp; Funeral",_xlfn.XLOOKUP(B326,Table2[Main Member Link ID],Table2[Benefit Name],0)=Lookups!$D$15),"",
IF(AND(Table2[[#This Row],[Member Type]]="Child",Table2[[#This Row],[Product Option]]="My Value Plus Life &amp; Funeral",_xlfn.XLOOKUP(B326,Table2[Main Member Link ID],Table2[Benefit Name],0)=Lookups!$D$16),Lookups!$D$24,
IF(AND(Table2[[#This Row],[Member Type]]="Child",Table2[[#This Row],[Product Option]]="My Value Plus Life &amp; Funeral",_xlfn.XLOOKUP(B326,Table2[Main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Funeral",_xlfn.XLOOKUP(B326,Table2[Main Member Link ID],Table2[Benefit Name],0)&lt;&gt;Lookups!$D$14),
IF(_xlfn.XLOOKUP(B326,Table2[Main Member Link ID],Table2[Benefit Name],0)=0,"",_xlfn.XLOOKUP(B326,Table2[Main Member Link ID],Table2[Benefit Name],0)),"")))))))))))))))</f>
        <v/>
      </c>
      <c r="AF326" s="327" t="str">
        <f>IF(AND(Table2[[#This Row],[Member Type]]="Main Member",Table2[[#This Row],[Product Option]]="My Value Plus Life &amp; Funeral"),Lookups!$D$15,
IF(AND(Table2[[#This Row],[Member Type]]="Spouse",Table2[[#This Row],[Product Option]]="My Value Plus Life &amp; Funeral",_xlfn.XLOOKUP(B326,Table2[Main Member Link ID],Table2[Benefit Name],0)=Lookups!$D$14),"",
IF(AND(Table2[[#This Row],[Member Type]]="Spouse",Table2[[#This Row],[Product Option]]="My Value Plus Life &amp; Funeral",_xlfn.XLOOKUP(B325,Table2[Main Member Link ID],Table2[Benefit Name],0)=Lookups!$D$16),"",
IF(AND(Table2[[#This Row],[Member Type]]="Spouse",Table2[[#This Row],[Product Option]]="My Value Plus Life &amp; Funeral",_xlfn.XLOOKUP(B325,Table2[Main Member Link ID],Table2[Benefit Name],0)=Lookups!$D$15),"",
IF(AND(Table2[[#This Row],[Member Type]]="Spouse",Table2[[#This Row],[Product Option]]="My Value Plus Life &amp; Funeral",_xlfn.XLOOKUP(B325,Table2[Main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Funeral",_xlfn.XLOOKUP(B326,Table2[Main Member Link ID],Table2[Benefit Name],0)&lt;&gt;Lookups!$D$15),
IF(_xlfn.XLOOKUP(B326,Table2[Main Member Link ID],Table2[Benefit Name],0)=0,"",_xlfn.XLOOKUP(B326,Table2[Main Member Link ID],Table2[Benefit Name],0)),"")
))))))</f>
        <v/>
      </c>
      <c r="AG326" s="327" t="str">
        <f>IF(AND(Table2[[#This Row],[Member Type]]="Main Member",Table2[[#This Row],[Product Option]]="My Value Plus Life &amp; Funeral"),Lookups!$D$16,
IF(AND(Table2[[#This Row],[Member Type]]="Spouse",Table2[[#This Row],[Product Option]]="My Value Plus Life &amp; Funeral",_xlfn.XLOOKUP(B326,Table2[Main Member Link ID],Table2[Benefit Name],0)=Lookups!$D$14),"",
IF(AND(Table2[[#This Row],[Member Type]]="Spouse",Table2[[#This Row],[Product Option]]="My Value Plus Life &amp; Funeral",_xlfn.XLOOKUP(B325,Table2[Main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Funeral",_xlfn.XLOOKUP(B326,Table2[Main Member Link ID],Table2[Benefit Name],0)&lt;&gt;Lookups!$D$16),
IF(_xlfn.XLOOKUP(B326,Table2[Main Member Link ID],Table2[Benefit Name],0)=0,"",_xlfn.XLOOKUP(B326,Table2[Main Member Link ID],Table2[Benefit Name],0)),"")
))))</f>
        <v/>
      </c>
      <c r="AH326" s="327" t="str">
        <f>IF(AND(Table2[[#This Row],[Member Type]]="Main Member",Table2[[#This Row],[Product Option]]="My Value Plus Life &amp; Funeral"),Lookups!$D$17,
IF(AND(Table2[[#This Row],[Member Type]]="Spouse",Table2[[#This Row],[Product Option]]="My Value Plus Life &amp; Funeral",_xlfn.XLOOKUP(B326,Table2[Main Member Link ID],Table2[Benefit Name],0)=Lookups!$D$14),"",
IF(AND(Table2[[#This Row],[Member Type]]="Spouse",Table2[[#This Row],[Product Option]]="My Value Plus Life &amp; Funeral",_xlfn.XLOOKUP(B325,Table2[Main Member Link ID],Table2[Benefit Name],0)=Lookups!$D$16),"",
IF(AND(Table2[[#This Row],[Member Type]]="Child",Table2[[#This Row],[Product Option]]="My Value Plus Life &amp; Funeral"),"",
IF(AND(Table2[[#This Row],[Member Type]]="Child",Table2[[#This Row],[Product Option]]="My Value Plus Life &amp; Funeral",_xlfn.XLOOKUP(B326,Table2[Main Member Link ID],Table2[Benefit Name],0)=Lookups!$D$15),"",
IF(AND(OR(Table2[[#This Row],[Member Type]]="Spouse",Table2[[#This Row],[Member Type]]="Child"),Table2[[#This Row],[Product Option]]="My Value Plus Life &amp; Funeral",_xlfn.XLOOKUP(B326,Table2[Main Member Link ID],Table2[Benefit Name],0)&lt;&gt;Lookups!$D$17),
IF(_xlfn.XLOOKUP(B326,Table2[Main Member Link ID],Table2[Benefit Name],0)=0,"",_xlfn.XLOOKUP(B326,Table2[Main Member Link ID],Table2[Benefit Name],0)),""))))))</f>
        <v/>
      </c>
      <c r="AI326" s="328" t="str">
        <f>IF(AND(Table2[[#This Row],[Member Type]]="Main Member",Table2[[#This Row],[Table Lookup for Life Cover]]="MM_LIFE",Table2[[#This Row],[Age Next Birthday]]&lt;56),1,
IF(AND(Table2[[#This Row],[Member Type]]="Main Member",Table2[[#This Row],[Table Lookup for Life Cover]]="MM_LIFE",Table2[[#This Row],[Age Next Birthday]]&gt;=56),2,
""))</f>
        <v/>
      </c>
      <c r="AJ326" s="328">
        <f>IF(OR(Table2[[#This Row],[Member Type]]="Main Member",Table2[[#This Row],[Main Member Link ID]]=B325),1,0)</f>
        <v>1</v>
      </c>
      <c r="AK326" s="328">
        <f>IF(Table2[[#This Row],[Member Type]]=0,0,
IF(OR(Table2[[#This Row],[Member Type]]="Main Member",Table2[[#This Row],[Main Member Link ID]]&lt;&gt;B326),COUNTIFS(B:B,Table2[[#This Row],[Main Member Link ID]]),
COUNTIFS(B:B,Table2[[#This Row],[Main Member Link ID]],A:A,Table2[[#This Row],[Member Type]])))</f>
        <v>0</v>
      </c>
    </row>
    <row r="327" spans="1:37" x14ac:dyDescent="0.3">
      <c r="A327" s="284">
        <f>Table13[[#This Row],[Member Type]]</f>
        <v>0</v>
      </c>
      <c r="B327" s="284">
        <f>Table13[[#This Row],[Main Member Link ID]]</f>
        <v>0</v>
      </c>
      <c r="C327" s="284">
        <f>Table13[[#This Row],[ID Number]]</f>
        <v>0</v>
      </c>
      <c r="D327" s="285">
        <f>Table13[[#This Row],[Date Of Birth]]</f>
        <v>0</v>
      </c>
      <c r="E327" s="285">
        <f>Table13[[#This Row],[Commencement Date]]</f>
        <v>0</v>
      </c>
      <c r="F327" s="284">
        <f t="shared" si="35"/>
        <v>1</v>
      </c>
      <c r="G327" s="284">
        <f t="shared" si="36"/>
        <v>25</v>
      </c>
      <c r="H327" s="286">
        <f>Table13[[#This Row],[Product Option]]</f>
        <v>0</v>
      </c>
      <c r="I327" s="284">
        <f>IF(AND($A327="Main Member",Table2[[#This Row],[Product Option]]="My Value Plus Life"),"MM_LIFE",
IF(AND($A327="Spouse",Table2[[#This Row],[Product Option]]="My Value Plus Life"),"SP_LIFE",
IF(AND($A327="Main Member",Table2[[#This Row],[Product Option]]="My Value Plus Life &amp; Funeral"),"MM_LIFE",
IF(AND($A327="Spouse",Table2[[#This Row],[Product Option]]="My Value Plus Life &amp; Funeral"),_xlfn.XLOOKUP(Table2[[#This Row],[Benefit Name]],Lookups!$D$18:$D$23,Lookups!$E$18:$E$23,0),
0))))</f>
        <v>0</v>
      </c>
      <c r="J327" s="284">
        <f>IF($I327="","",
IF($I327="MM_LIFE",INDEX('Quotation Tool'!$S$54:$V$60,MATCH($T327,'Quotation Tool'!$S$54:$S$60,0),4),
IF($I327="SP_LIFE",_xlfn.XLOOKUP(B326,$B:$B,$J:$J,0),0)))</f>
        <v>0</v>
      </c>
      <c r="K327" s="287">
        <f t="shared" ca="1" si="40"/>
        <v>0</v>
      </c>
      <c r="L327" s="288">
        <f t="shared" ca="1" si="41"/>
        <v>0</v>
      </c>
      <c r="M327" s="289">
        <f t="shared" ca="1" si="37"/>
        <v>0</v>
      </c>
      <c r="N327" s="286">
        <f>Table13[[#This Row],[Benefit Option]]</f>
        <v>0</v>
      </c>
      <c r="O327" s="284">
        <f>IF(OR(Table2[[#This Row],[Member Type]]="Spouse",Table2[[#This Row],[Member Type]]="Child"),0,
IF(_xlfn.XLOOKUP($N327,Lookups!$D$13:$D$27,Lookups!$F$13:$F$27,0)=Table2[[#This Row],[Table Lookup for Life Cover]],0,
_xlfn.XLOOKUP($N327,Lookups!$D$13:$D$27,Lookups!$F$13:$F$27,0)))</f>
        <v>0</v>
      </c>
      <c r="P327" s="284">
        <f>IF(Table2[[#This Row],[Table Lookup for Funeral]]=0,0,IFERROR(INDEX('Quotation Tool'!$S$54:$V$60,MATCH($T327,'Quotation Tool'!$S$54:$S$60,0),3),0))</f>
        <v>0</v>
      </c>
      <c r="Q327" s="288">
        <f ca="1">IF(OR(Table2[[#This Row],[Benefit Name]]="My Value Plus Life - Main Member",Table2[[#This Row],[Benefit Name]]="My Value Plus Life - Spouse"),0,
IFERROR(VLOOKUP($G327,INDIRECT($O327),$P327,FALSE),0))</f>
        <v>0</v>
      </c>
      <c r="R327" s="288">
        <f ca="1">IF(OR(Table2[[#This Row],[Benefit Name]]="My Value Plus Life - Main Member",Table2[[#This Row],[Benefit Name]]="My Value Plus Life - Spouse"),0,
IFERROR(VLOOKUP($G327,INDIRECT($O327),$P327+1,FALSE),0))</f>
        <v>0</v>
      </c>
      <c r="S327" s="289">
        <f t="shared" ca="1" si="38"/>
        <v>0</v>
      </c>
      <c r="T327" s="284" t="str">
        <f>IF(Table13[[#This Row],[Premium Waiver]]="","None",Table13[[#This Row],[Premium Waiver]])</f>
        <v>None</v>
      </c>
      <c r="U327" s="284">
        <f>Table13[[#This Row],[VAPs Options]]</f>
        <v>0</v>
      </c>
      <c r="V327" s="284">
        <f>Table13[[#This Row],[Annual Increase Option]]</f>
        <v>0</v>
      </c>
      <c r="W327" s="290">
        <f>Table13[[#This Row],[Life Cover Amount]]</f>
        <v>0</v>
      </c>
      <c r="X327" s="290">
        <f>Table13[[#This Row],[Funeral Cover Amount]]</f>
        <v>0</v>
      </c>
      <c r="Y32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2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27" s="301">
        <f t="shared" ca="1" si="39"/>
        <v>0</v>
      </c>
      <c r="AB327" s="298"/>
      <c r="AC327" s="326" t="str">
        <f>IF(Table2[[#This Row],[Member Type]]="Main Member",Lookups!$C$13,
IF(Table2[[#This Row],[Member Type]]="Spouse",_xlfn.XLOOKUP(B327,Table2[Main Member Link ID],Table2[Product Option],0),
IF(AND(Table2[[#This Row],[Member Type]]="Child",_xlfn.XLOOKUP(B327,Table2[Main Member Link ID],Table2[Product Option],0)&lt;&gt;"My Value Plus Life"),Lookups!$C$24,
IF(AND(OR(Table2[[#This Row],[Member Type]]="Parent",Table2[[#This Row],[Member Type]]="Extended"),_xlfn.XLOOKUP(B327,Table2[Main Member Link ID],Table2[Product Option],0)&lt;&gt;"My Value Plus Life"),Lookups!$C$26,""))))</f>
        <v/>
      </c>
      <c r="AD327" s="326" t="str">
        <f>IF(Table2[[#This Row],[Member Type]]="Main Member",Lookups!$C$14,"")</f>
        <v/>
      </c>
      <c r="AE32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Funeral",_xlfn.XLOOKUP(B327,Table2[Main Member Link ID],Table2[Benefit Name],0)=Lookups!$D$14),"",
IF(AND(Table2[[#This Row],[Member Type]]="Spouse",Table2[[#This Row],[Product Option]]="My Value Plus Life &amp; Funeral",_xlfn.XLOOKUP(B326,Table2[Main Member Link ID],Table2[Benefit Name],0)=Lookups!$D$15),Lookups!$D$20,
IF(AND(Table2[[#This Row],[Member Type]]="Spouse",Table2[[#This Row],[Product Option]]="My Value Plus Life &amp; Funeral",_xlfn.XLOOKUP(B326,Table2[Main Member Link ID],Table2[Benefit Name],0)=Lookups!$D$16),"",
IF(AND(Table2[[#This Row],[Member Type]]="Spouse",Table2[[#This Row],[Product Option]]="My Value Plus Life &amp; Funeral",_xlfn.XLOOKUP(B326,Table2[Main Member Link ID],Table2[Benefit Name],0)=Lookups!$D$17),Lookups!$D$21,
IF(AND(Table2[[#This Row],[Member Type]]="Child",Table2[[#This Row],[Product Option]]="My Value Plus Life &amp; Funeral",_xlfn.XLOOKUP(B327,Table2[Main Member Link ID],Table2[Benefit Name],0)=Lookups!$D$14),"",
IF(AND(Table2[[#This Row],[Member Type]]="Child",Table2[[#This Row],[Product Option]]="My Value Plus Life &amp; Funeral",_xlfn.XLOOKUP(B327,Table2[Main Member Link ID],Table2[Benefit Name],0)=Lookups!$D$15),"",
IF(AND(Table2[[#This Row],[Member Type]]="Child",Table2[[#This Row],[Product Option]]="My Value Plus Life &amp; Funeral",_xlfn.XLOOKUP(B327,Table2[Main Member Link ID],Table2[Benefit Name],0)=Lookups!$D$16),Lookups!$D$24,
IF(AND(Table2[[#This Row],[Member Type]]="Child",Table2[[#This Row],[Product Option]]="My Value Plus Life &amp; Funeral",_xlfn.XLOOKUP(B327,Table2[Main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Funeral",_xlfn.XLOOKUP(B327,Table2[Main Member Link ID],Table2[Benefit Name],0)&lt;&gt;Lookups!$D$14),
IF(_xlfn.XLOOKUP(B327,Table2[Main Member Link ID],Table2[Benefit Name],0)=0,"",_xlfn.XLOOKUP(B327,Table2[Main Member Link ID],Table2[Benefit Name],0)),"")))))))))))))))</f>
        <v/>
      </c>
      <c r="AF327" s="327" t="str">
        <f>IF(AND(Table2[[#This Row],[Member Type]]="Main Member",Table2[[#This Row],[Product Option]]="My Value Plus Life &amp; Funeral"),Lookups!$D$15,
IF(AND(Table2[[#This Row],[Member Type]]="Spouse",Table2[[#This Row],[Product Option]]="My Value Plus Life &amp; Funeral",_xlfn.XLOOKUP(B327,Table2[Main Member Link ID],Table2[Benefit Name],0)=Lookups!$D$14),"",
IF(AND(Table2[[#This Row],[Member Type]]="Spouse",Table2[[#This Row],[Product Option]]="My Value Plus Life &amp; Funeral",_xlfn.XLOOKUP(B326,Table2[Main Member Link ID],Table2[Benefit Name],0)=Lookups!$D$16),"",
IF(AND(Table2[[#This Row],[Member Type]]="Spouse",Table2[[#This Row],[Product Option]]="My Value Plus Life &amp; Funeral",_xlfn.XLOOKUP(B326,Table2[Main Member Link ID],Table2[Benefit Name],0)=Lookups!$D$15),"",
IF(AND(Table2[[#This Row],[Member Type]]="Spouse",Table2[[#This Row],[Product Option]]="My Value Plus Life &amp; Funeral",_xlfn.XLOOKUP(B326,Table2[Main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Funeral",_xlfn.XLOOKUP(B327,Table2[Main Member Link ID],Table2[Benefit Name],0)&lt;&gt;Lookups!$D$15),
IF(_xlfn.XLOOKUP(B327,Table2[Main Member Link ID],Table2[Benefit Name],0)=0,"",_xlfn.XLOOKUP(B327,Table2[Main Member Link ID],Table2[Benefit Name],0)),"")
))))))</f>
        <v/>
      </c>
      <c r="AG327" s="327" t="str">
        <f>IF(AND(Table2[[#This Row],[Member Type]]="Main Member",Table2[[#This Row],[Product Option]]="My Value Plus Life &amp; Funeral"),Lookups!$D$16,
IF(AND(Table2[[#This Row],[Member Type]]="Spouse",Table2[[#This Row],[Product Option]]="My Value Plus Life &amp; Funeral",_xlfn.XLOOKUP(B327,Table2[Main Member Link ID],Table2[Benefit Name],0)=Lookups!$D$14),"",
IF(AND(Table2[[#This Row],[Member Type]]="Spouse",Table2[[#This Row],[Product Option]]="My Value Plus Life &amp; Funeral",_xlfn.XLOOKUP(B326,Table2[Main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Funeral",_xlfn.XLOOKUP(B327,Table2[Main Member Link ID],Table2[Benefit Name],0)&lt;&gt;Lookups!$D$16),
IF(_xlfn.XLOOKUP(B327,Table2[Main Member Link ID],Table2[Benefit Name],0)=0,"",_xlfn.XLOOKUP(B327,Table2[Main Member Link ID],Table2[Benefit Name],0)),"")
))))</f>
        <v/>
      </c>
      <c r="AH327" s="327" t="str">
        <f>IF(AND(Table2[[#This Row],[Member Type]]="Main Member",Table2[[#This Row],[Product Option]]="My Value Plus Life &amp; Funeral"),Lookups!$D$17,
IF(AND(Table2[[#This Row],[Member Type]]="Spouse",Table2[[#This Row],[Product Option]]="My Value Plus Life &amp; Funeral",_xlfn.XLOOKUP(B327,Table2[Main Member Link ID],Table2[Benefit Name],0)=Lookups!$D$14),"",
IF(AND(Table2[[#This Row],[Member Type]]="Spouse",Table2[[#This Row],[Product Option]]="My Value Plus Life &amp; Funeral",_xlfn.XLOOKUP(B326,Table2[Main Member Link ID],Table2[Benefit Name],0)=Lookups!$D$16),"",
IF(AND(Table2[[#This Row],[Member Type]]="Child",Table2[[#This Row],[Product Option]]="My Value Plus Life &amp; Funeral"),"",
IF(AND(Table2[[#This Row],[Member Type]]="Child",Table2[[#This Row],[Product Option]]="My Value Plus Life &amp; Funeral",_xlfn.XLOOKUP(B327,Table2[Main Member Link ID],Table2[Benefit Name],0)=Lookups!$D$15),"",
IF(AND(OR(Table2[[#This Row],[Member Type]]="Spouse",Table2[[#This Row],[Member Type]]="Child"),Table2[[#This Row],[Product Option]]="My Value Plus Life &amp; Funeral",_xlfn.XLOOKUP(B327,Table2[Main Member Link ID],Table2[Benefit Name],0)&lt;&gt;Lookups!$D$17),
IF(_xlfn.XLOOKUP(B327,Table2[Main Member Link ID],Table2[Benefit Name],0)=0,"",_xlfn.XLOOKUP(B327,Table2[Main Member Link ID],Table2[Benefit Name],0)),""))))))</f>
        <v/>
      </c>
      <c r="AI327" s="328" t="str">
        <f>IF(AND(Table2[[#This Row],[Member Type]]="Main Member",Table2[[#This Row],[Table Lookup for Life Cover]]="MM_LIFE",Table2[[#This Row],[Age Next Birthday]]&lt;56),1,
IF(AND(Table2[[#This Row],[Member Type]]="Main Member",Table2[[#This Row],[Table Lookup for Life Cover]]="MM_LIFE",Table2[[#This Row],[Age Next Birthday]]&gt;=56),2,
""))</f>
        <v/>
      </c>
      <c r="AJ327" s="328">
        <f>IF(OR(Table2[[#This Row],[Member Type]]="Main Member",Table2[[#This Row],[Main Member Link ID]]=B326),1,0)</f>
        <v>1</v>
      </c>
      <c r="AK327" s="328">
        <f>IF(Table2[[#This Row],[Member Type]]=0,0,
IF(OR(Table2[[#This Row],[Member Type]]="Main Member",Table2[[#This Row],[Main Member Link ID]]&lt;&gt;B327),COUNTIFS(B:B,Table2[[#This Row],[Main Member Link ID]]),
COUNTIFS(B:B,Table2[[#This Row],[Main Member Link ID]],A:A,Table2[[#This Row],[Member Type]])))</f>
        <v>0</v>
      </c>
    </row>
    <row r="328" spans="1:37" x14ac:dyDescent="0.3">
      <c r="A328" s="284">
        <f>Table13[[#This Row],[Member Type]]</f>
        <v>0</v>
      </c>
      <c r="B328" s="284">
        <f>Table13[[#This Row],[Main Member Link ID]]</f>
        <v>0</v>
      </c>
      <c r="C328" s="284">
        <f>Table13[[#This Row],[ID Number]]</f>
        <v>0</v>
      </c>
      <c r="D328" s="285">
        <f>Table13[[#This Row],[Date Of Birth]]</f>
        <v>0</v>
      </c>
      <c r="E328" s="285">
        <f>Table13[[#This Row],[Commencement Date]]</f>
        <v>0</v>
      </c>
      <c r="F328" s="284">
        <f t="shared" si="35"/>
        <v>1</v>
      </c>
      <c r="G328" s="284">
        <f t="shared" si="36"/>
        <v>25</v>
      </c>
      <c r="H328" s="286">
        <f>Table13[[#This Row],[Product Option]]</f>
        <v>0</v>
      </c>
      <c r="I328" s="284">
        <f>IF(AND($A328="Main Member",Table2[[#This Row],[Product Option]]="My Value Plus Life"),"MM_LIFE",
IF(AND($A328="Spouse",Table2[[#This Row],[Product Option]]="My Value Plus Life"),"SP_LIFE",
IF(AND($A328="Main Member",Table2[[#This Row],[Product Option]]="My Value Plus Life &amp; Funeral"),"MM_LIFE",
IF(AND($A328="Spouse",Table2[[#This Row],[Product Option]]="My Value Plus Life &amp; Funeral"),_xlfn.XLOOKUP(Table2[[#This Row],[Benefit Name]],Lookups!$D$18:$D$23,Lookups!$E$18:$E$23,0),
0))))</f>
        <v>0</v>
      </c>
      <c r="J328" s="284">
        <f>IF($I328="","",
IF($I328="MM_LIFE",INDEX('Quotation Tool'!$S$54:$V$60,MATCH($T328,'Quotation Tool'!$S$54:$S$60,0),4),
IF($I328="SP_LIFE",_xlfn.XLOOKUP(B327,$B:$B,$J:$J,0),0)))</f>
        <v>0</v>
      </c>
      <c r="K328" s="287">
        <f t="shared" ca="1" si="40"/>
        <v>0</v>
      </c>
      <c r="L328" s="288">
        <f t="shared" ca="1" si="41"/>
        <v>0</v>
      </c>
      <c r="M328" s="289">
        <f t="shared" ca="1" si="37"/>
        <v>0</v>
      </c>
      <c r="N328" s="286">
        <f>Table13[[#This Row],[Benefit Option]]</f>
        <v>0</v>
      </c>
      <c r="O328" s="284">
        <f>IF(OR(Table2[[#This Row],[Member Type]]="Spouse",Table2[[#This Row],[Member Type]]="Child"),0,
IF(_xlfn.XLOOKUP($N328,Lookups!$D$13:$D$27,Lookups!$F$13:$F$27,0)=Table2[[#This Row],[Table Lookup for Life Cover]],0,
_xlfn.XLOOKUP($N328,Lookups!$D$13:$D$27,Lookups!$F$13:$F$27,0)))</f>
        <v>0</v>
      </c>
      <c r="P328" s="284">
        <f>IF(Table2[[#This Row],[Table Lookup for Funeral]]=0,0,IFERROR(INDEX('Quotation Tool'!$S$54:$V$60,MATCH($T328,'Quotation Tool'!$S$54:$S$60,0),3),0))</f>
        <v>0</v>
      </c>
      <c r="Q328" s="288">
        <f ca="1">IF(OR(Table2[[#This Row],[Benefit Name]]="My Value Plus Life - Main Member",Table2[[#This Row],[Benefit Name]]="My Value Plus Life - Spouse"),0,
IFERROR(VLOOKUP($G328,INDIRECT($O328),$P328,FALSE),0))</f>
        <v>0</v>
      </c>
      <c r="R328" s="288">
        <f ca="1">IF(OR(Table2[[#This Row],[Benefit Name]]="My Value Plus Life - Main Member",Table2[[#This Row],[Benefit Name]]="My Value Plus Life - Spouse"),0,
IFERROR(VLOOKUP($G328,INDIRECT($O328),$P328+1,FALSE),0))</f>
        <v>0</v>
      </c>
      <c r="S328" s="289">
        <f t="shared" ca="1" si="38"/>
        <v>0</v>
      </c>
      <c r="T328" s="284" t="str">
        <f>IF(Table13[[#This Row],[Premium Waiver]]="","None",Table13[[#This Row],[Premium Waiver]])</f>
        <v>None</v>
      </c>
      <c r="U328" s="284">
        <f>Table13[[#This Row],[VAPs Options]]</f>
        <v>0</v>
      </c>
      <c r="V328" s="284">
        <f>Table13[[#This Row],[Annual Increase Option]]</f>
        <v>0</v>
      </c>
      <c r="W328" s="290">
        <f>Table13[[#This Row],[Life Cover Amount]]</f>
        <v>0</v>
      </c>
      <c r="X328" s="290">
        <f>Table13[[#This Row],[Funeral Cover Amount]]</f>
        <v>0</v>
      </c>
      <c r="Y32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2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28" s="301">
        <f t="shared" ca="1" si="39"/>
        <v>0</v>
      </c>
      <c r="AB328" s="298"/>
      <c r="AC328" s="326" t="str">
        <f>IF(Table2[[#This Row],[Member Type]]="Main Member",Lookups!$C$13,
IF(Table2[[#This Row],[Member Type]]="Spouse",_xlfn.XLOOKUP(B328,Table2[Main Member Link ID],Table2[Product Option],0),
IF(AND(Table2[[#This Row],[Member Type]]="Child",_xlfn.XLOOKUP(B328,Table2[Main Member Link ID],Table2[Product Option],0)&lt;&gt;"My Value Plus Life"),Lookups!$C$24,
IF(AND(OR(Table2[[#This Row],[Member Type]]="Parent",Table2[[#This Row],[Member Type]]="Extended"),_xlfn.XLOOKUP(B328,Table2[Main Member Link ID],Table2[Product Option],0)&lt;&gt;"My Value Plus Life"),Lookups!$C$26,""))))</f>
        <v/>
      </c>
      <c r="AD328" s="326" t="str">
        <f>IF(Table2[[#This Row],[Member Type]]="Main Member",Lookups!$C$14,"")</f>
        <v/>
      </c>
      <c r="AE32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Funeral",_xlfn.XLOOKUP(B328,Table2[Main Member Link ID],Table2[Benefit Name],0)=Lookups!$D$14),"",
IF(AND(Table2[[#This Row],[Member Type]]="Spouse",Table2[[#This Row],[Product Option]]="My Value Plus Life &amp; Funeral",_xlfn.XLOOKUP(B327,Table2[Main Member Link ID],Table2[Benefit Name],0)=Lookups!$D$15),Lookups!$D$20,
IF(AND(Table2[[#This Row],[Member Type]]="Spouse",Table2[[#This Row],[Product Option]]="My Value Plus Life &amp; Funeral",_xlfn.XLOOKUP(B327,Table2[Main Member Link ID],Table2[Benefit Name],0)=Lookups!$D$16),"",
IF(AND(Table2[[#This Row],[Member Type]]="Spouse",Table2[[#This Row],[Product Option]]="My Value Plus Life &amp; Funeral",_xlfn.XLOOKUP(B327,Table2[Main Member Link ID],Table2[Benefit Name],0)=Lookups!$D$17),Lookups!$D$21,
IF(AND(Table2[[#This Row],[Member Type]]="Child",Table2[[#This Row],[Product Option]]="My Value Plus Life &amp; Funeral",_xlfn.XLOOKUP(B328,Table2[Main Member Link ID],Table2[Benefit Name],0)=Lookups!$D$14),"",
IF(AND(Table2[[#This Row],[Member Type]]="Child",Table2[[#This Row],[Product Option]]="My Value Plus Life &amp; Funeral",_xlfn.XLOOKUP(B328,Table2[Main Member Link ID],Table2[Benefit Name],0)=Lookups!$D$15),"",
IF(AND(Table2[[#This Row],[Member Type]]="Child",Table2[[#This Row],[Product Option]]="My Value Plus Life &amp; Funeral",_xlfn.XLOOKUP(B328,Table2[Main Member Link ID],Table2[Benefit Name],0)=Lookups!$D$16),Lookups!$D$24,
IF(AND(Table2[[#This Row],[Member Type]]="Child",Table2[[#This Row],[Product Option]]="My Value Plus Life &amp; Funeral",_xlfn.XLOOKUP(B328,Table2[Main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Funeral",_xlfn.XLOOKUP(B328,Table2[Main Member Link ID],Table2[Benefit Name],0)&lt;&gt;Lookups!$D$14),
IF(_xlfn.XLOOKUP(B328,Table2[Main Member Link ID],Table2[Benefit Name],0)=0,"",_xlfn.XLOOKUP(B328,Table2[Main Member Link ID],Table2[Benefit Name],0)),"")))))))))))))))</f>
        <v/>
      </c>
      <c r="AF328" s="327" t="str">
        <f>IF(AND(Table2[[#This Row],[Member Type]]="Main Member",Table2[[#This Row],[Product Option]]="My Value Plus Life &amp; Funeral"),Lookups!$D$15,
IF(AND(Table2[[#This Row],[Member Type]]="Spouse",Table2[[#This Row],[Product Option]]="My Value Plus Life &amp; Funeral",_xlfn.XLOOKUP(B328,Table2[Main Member Link ID],Table2[Benefit Name],0)=Lookups!$D$14),"",
IF(AND(Table2[[#This Row],[Member Type]]="Spouse",Table2[[#This Row],[Product Option]]="My Value Plus Life &amp; Funeral",_xlfn.XLOOKUP(B327,Table2[Main Member Link ID],Table2[Benefit Name],0)=Lookups!$D$16),"",
IF(AND(Table2[[#This Row],[Member Type]]="Spouse",Table2[[#This Row],[Product Option]]="My Value Plus Life &amp; Funeral",_xlfn.XLOOKUP(B327,Table2[Main Member Link ID],Table2[Benefit Name],0)=Lookups!$D$15),"",
IF(AND(Table2[[#This Row],[Member Type]]="Spouse",Table2[[#This Row],[Product Option]]="My Value Plus Life &amp; Funeral",_xlfn.XLOOKUP(B327,Table2[Main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Funeral",_xlfn.XLOOKUP(B328,Table2[Main Member Link ID],Table2[Benefit Name],0)&lt;&gt;Lookups!$D$15),
IF(_xlfn.XLOOKUP(B328,Table2[Main Member Link ID],Table2[Benefit Name],0)=0,"",_xlfn.XLOOKUP(B328,Table2[Main Member Link ID],Table2[Benefit Name],0)),"")
))))))</f>
        <v/>
      </c>
      <c r="AG328" s="327" t="str">
        <f>IF(AND(Table2[[#This Row],[Member Type]]="Main Member",Table2[[#This Row],[Product Option]]="My Value Plus Life &amp; Funeral"),Lookups!$D$16,
IF(AND(Table2[[#This Row],[Member Type]]="Spouse",Table2[[#This Row],[Product Option]]="My Value Plus Life &amp; Funeral",_xlfn.XLOOKUP(B328,Table2[Main Member Link ID],Table2[Benefit Name],0)=Lookups!$D$14),"",
IF(AND(Table2[[#This Row],[Member Type]]="Spouse",Table2[[#This Row],[Product Option]]="My Value Plus Life &amp; Funeral",_xlfn.XLOOKUP(B327,Table2[Main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Funeral",_xlfn.XLOOKUP(B328,Table2[Main Member Link ID],Table2[Benefit Name],0)&lt;&gt;Lookups!$D$16),
IF(_xlfn.XLOOKUP(B328,Table2[Main Member Link ID],Table2[Benefit Name],0)=0,"",_xlfn.XLOOKUP(B328,Table2[Main Member Link ID],Table2[Benefit Name],0)),"")
))))</f>
        <v/>
      </c>
      <c r="AH328" s="327" t="str">
        <f>IF(AND(Table2[[#This Row],[Member Type]]="Main Member",Table2[[#This Row],[Product Option]]="My Value Plus Life &amp; Funeral"),Lookups!$D$17,
IF(AND(Table2[[#This Row],[Member Type]]="Spouse",Table2[[#This Row],[Product Option]]="My Value Plus Life &amp; Funeral",_xlfn.XLOOKUP(B328,Table2[Main Member Link ID],Table2[Benefit Name],0)=Lookups!$D$14),"",
IF(AND(Table2[[#This Row],[Member Type]]="Spouse",Table2[[#This Row],[Product Option]]="My Value Plus Life &amp; Funeral",_xlfn.XLOOKUP(B327,Table2[Main Member Link ID],Table2[Benefit Name],0)=Lookups!$D$16),"",
IF(AND(Table2[[#This Row],[Member Type]]="Child",Table2[[#This Row],[Product Option]]="My Value Plus Life &amp; Funeral"),"",
IF(AND(Table2[[#This Row],[Member Type]]="Child",Table2[[#This Row],[Product Option]]="My Value Plus Life &amp; Funeral",_xlfn.XLOOKUP(B328,Table2[Main Member Link ID],Table2[Benefit Name],0)=Lookups!$D$15),"",
IF(AND(OR(Table2[[#This Row],[Member Type]]="Spouse",Table2[[#This Row],[Member Type]]="Child"),Table2[[#This Row],[Product Option]]="My Value Plus Life &amp; Funeral",_xlfn.XLOOKUP(B328,Table2[Main Member Link ID],Table2[Benefit Name],0)&lt;&gt;Lookups!$D$17),
IF(_xlfn.XLOOKUP(B328,Table2[Main Member Link ID],Table2[Benefit Name],0)=0,"",_xlfn.XLOOKUP(B328,Table2[Main Member Link ID],Table2[Benefit Name],0)),""))))))</f>
        <v/>
      </c>
      <c r="AI328" s="328" t="str">
        <f>IF(AND(Table2[[#This Row],[Member Type]]="Main Member",Table2[[#This Row],[Table Lookup for Life Cover]]="MM_LIFE",Table2[[#This Row],[Age Next Birthday]]&lt;56),1,
IF(AND(Table2[[#This Row],[Member Type]]="Main Member",Table2[[#This Row],[Table Lookup for Life Cover]]="MM_LIFE",Table2[[#This Row],[Age Next Birthday]]&gt;=56),2,
""))</f>
        <v/>
      </c>
      <c r="AJ328" s="328">
        <f>IF(OR(Table2[[#This Row],[Member Type]]="Main Member",Table2[[#This Row],[Main Member Link ID]]=B327),1,0)</f>
        <v>1</v>
      </c>
      <c r="AK328" s="328">
        <f>IF(Table2[[#This Row],[Member Type]]=0,0,
IF(OR(Table2[[#This Row],[Member Type]]="Main Member",Table2[[#This Row],[Main Member Link ID]]&lt;&gt;B328),COUNTIFS(B:B,Table2[[#This Row],[Main Member Link ID]]),
COUNTIFS(B:B,Table2[[#This Row],[Main Member Link ID]],A:A,Table2[[#This Row],[Member Type]])))</f>
        <v>0</v>
      </c>
    </row>
    <row r="329" spans="1:37" x14ac:dyDescent="0.3">
      <c r="A329" s="284">
        <f>Table13[[#This Row],[Member Type]]</f>
        <v>0</v>
      </c>
      <c r="B329" s="284">
        <f>Table13[[#This Row],[Main Member Link ID]]</f>
        <v>0</v>
      </c>
      <c r="C329" s="284">
        <f>Table13[[#This Row],[ID Number]]</f>
        <v>0</v>
      </c>
      <c r="D329" s="285">
        <f>Table13[[#This Row],[Date Of Birth]]</f>
        <v>0</v>
      </c>
      <c r="E329" s="285">
        <f>Table13[[#This Row],[Commencement Date]]</f>
        <v>0</v>
      </c>
      <c r="F329" s="284">
        <f t="shared" si="35"/>
        <v>1</v>
      </c>
      <c r="G329" s="284">
        <f t="shared" si="36"/>
        <v>25</v>
      </c>
      <c r="H329" s="286">
        <f>Table13[[#This Row],[Product Option]]</f>
        <v>0</v>
      </c>
      <c r="I329" s="284">
        <f>IF(AND($A329="Main Member",Table2[[#This Row],[Product Option]]="My Value Plus Life"),"MM_LIFE",
IF(AND($A329="Spouse",Table2[[#This Row],[Product Option]]="My Value Plus Life"),"SP_LIFE",
IF(AND($A329="Main Member",Table2[[#This Row],[Product Option]]="My Value Plus Life &amp; Funeral"),"MM_LIFE",
IF(AND($A329="Spouse",Table2[[#This Row],[Product Option]]="My Value Plus Life &amp; Funeral"),_xlfn.XLOOKUP(Table2[[#This Row],[Benefit Name]],Lookups!$D$18:$D$23,Lookups!$E$18:$E$23,0),
0))))</f>
        <v>0</v>
      </c>
      <c r="J329" s="284">
        <f>IF($I329="","",
IF($I329="MM_LIFE",INDEX('Quotation Tool'!$S$54:$V$60,MATCH($T329,'Quotation Tool'!$S$54:$S$60,0),4),
IF($I329="SP_LIFE",_xlfn.XLOOKUP(B328,$B:$B,$J:$J,0),0)))</f>
        <v>0</v>
      </c>
      <c r="K329" s="287">
        <f t="shared" ca="1" si="40"/>
        <v>0</v>
      </c>
      <c r="L329" s="288">
        <f t="shared" ca="1" si="41"/>
        <v>0</v>
      </c>
      <c r="M329" s="289">
        <f t="shared" ca="1" si="37"/>
        <v>0</v>
      </c>
      <c r="N329" s="286">
        <f>Table13[[#This Row],[Benefit Option]]</f>
        <v>0</v>
      </c>
      <c r="O329" s="284">
        <f>IF(OR(Table2[[#This Row],[Member Type]]="Spouse",Table2[[#This Row],[Member Type]]="Child"),0,
IF(_xlfn.XLOOKUP($N329,Lookups!$D$13:$D$27,Lookups!$F$13:$F$27,0)=Table2[[#This Row],[Table Lookup for Life Cover]],0,
_xlfn.XLOOKUP($N329,Lookups!$D$13:$D$27,Lookups!$F$13:$F$27,0)))</f>
        <v>0</v>
      </c>
      <c r="P329" s="284">
        <f>IF(Table2[[#This Row],[Table Lookup for Funeral]]=0,0,IFERROR(INDEX('Quotation Tool'!$S$54:$V$60,MATCH($T329,'Quotation Tool'!$S$54:$S$60,0),3),0))</f>
        <v>0</v>
      </c>
      <c r="Q329" s="288">
        <f ca="1">IF(OR(Table2[[#This Row],[Benefit Name]]="My Value Plus Life - Main Member",Table2[[#This Row],[Benefit Name]]="My Value Plus Life - Spouse"),0,
IFERROR(VLOOKUP($G329,INDIRECT($O329),$P329,FALSE),0))</f>
        <v>0</v>
      </c>
      <c r="R329" s="288">
        <f ca="1">IF(OR(Table2[[#This Row],[Benefit Name]]="My Value Plus Life - Main Member",Table2[[#This Row],[Benefit Name]]="My Value Plus Life - Spouse"),0,
IFERROR(VLOOKUP($G329,INDIRECT($O329),$P329+1,FALSE),0))</f>
        <v>0</v>
      </c>
      <c r="S329" s="289">
        <f t="shared" ca="1" si="38"/>
        <v>0</v>
      </c>
      <c r="T329" s="284" t="str">
        <f>IF(Table13[[#This Row],[Premium Waiver]]="","None",Table13[[#This Row],[Premium Waiver]])</f>
        <v>None</v>
      </c>
      <c r="U329" s="284">
        <f>Table13[[#This Row],[VAPs Options]]</f>
        <v>0</v>
      </c>
      <c r="V329" s="284">
        <f>Table13[[#This Row],[Annual Increase Option]]</f>
        <v>0</v>
      </c>
      <c r="W329" s="290">
        <f>Table13[[#This Row],[Life Cover Amount]]</f>
        <v>0</v>
      </c>
      <c r="X329" s="290">
        <f>Table13[[#This Row],[Funeral Cover Amount]]</f>
        <v>0</v>
      </c>
      <c r="Y32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2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29" s="301">
        <f t="shared" ca="1" si="39"/>
        <v>0</v>
      </c>
      <c r="AB329" s="298"/>
      <c r="AC329" s="326" t="str">
        <f>IF(Table2[[#This Row],[Member Type]]="Main Member",Lookups!$C$13,
IF(Table2[[#This Row],[Member Type]]="Spouse",_xlfn.XLOOKUP(B329,Table2[Main Member Link ID],Table2[Product Option],0),
IF(AND(Table2[[#This Row],[Member Type]]="Child",_xlfn.XLOOKUP(B329,Table2[Main Member Link ID],Table2[Product Option],0)&lt;&gt;"My Value Plus Life"),Lookups!$C$24,
IF(AND(OR(Table2[[#This Row],[Member Type]]="Parent",Table2[[#This Row],[Member Type]]="Extended"),_xlfn.XLOOKUP(B329,Table2[Main Member Link ID],Table2[Product Option],0)&lt;&gt;"My Value Plus Life"),Lookups!$C$26,""))))</f>
        <v/>
      </c>
      <c r="AD329" s="326" t="str">
        <f>IF(Table2[[#This Row],[Member Type]]="Main Member",Lookups!$C$14,"")</f>
        <v/>
      </c>
      <c r="AE32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Funeral",_xlfn.XLOOKUP(B329,Table2[Main Member Link ID],Table2[Benefit Name],0)=Lookups!$D$14),"",
IF(AND(Table2[[#This Row],[Member Type]]="Spouse",Table2[[#This Row],[Product Option]]="My Value Plus Life &amp; Funeral",_xlfn.XLOOKUP(B328,Table2[Main Member Link ID],Table2[Benefit Name],0)=Lookups!$D$15),Lookups!$D$20,
IF(AND(Table2[[#This Row],[Member Type]]="Spouse",Table2[[#This Row],[Product Option]]="My Value Plus Life &amp; Funeral",_xlfn.XLOOKUP(B328,Table2[Main Member Link ID],Table2[Benefit Name],0)=Lookups!$D$16),"",
IF(AND(Table2[[#This Row],[Member Type]]="Spouse",Table2[[#This Row],[Product Option]]="My Value Plus Life &amp; Funeral",_xlfn.XLOOKUP(B328,Table2[Main Member Link ID],Table2[Benefit Name],0)=Lookups!$D$17),Lookups!$D$21,
IF(AND(Table2[[#This Row],[Member Type]]="Child",Table2[[#This Row],[Product Option]]="My Value Plus Life &amp; Funeral",_xlfn.XLOOKUP(B329,Table2[Main Member Link ID],Table2[Benefit Name],0)=Lookups!$D$14),"",
IF(AND(Table2[[#This Row],[Member Type]]="Child",Table2[[#This Row],[Product Option]]="My Value Plus Life &amp; Funeral",_xlfn.XLOOKUP(B329,Table2[Main Member Link ID],Table2[Benefit Name],0)=Lookups!$D$15),"",
IF(AND(Table2[[#This Row],[Member Type]]="Child",Table2[[#This Row],[Product Option]]="My Value Plus Life &amp; Funeral",_xlfn.XLOOKUP(B329,Table2[Main Member Link ID],Table2[Benefit Name],0)=Lookups!$D$16),Lookups!$D$24,
IF(AND(Table2[[#This Row],[Member Type]]="Child",Table2[[#This Row],[Product Option]]="My Value Plus Life &amp; Funeral",_xlfn.XLOOKUP(B329,Table2[Main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Funeral",_xlfn.XLOOKUP(B329,Table2[Main Member Link ID],Table2[Benefit Name],0)&lt;&gt;Lookups!$D$14),
IF(_xlfn.XLOOKUP(B329,Table2[Main Member Link ID],Table2[Benefit Name],0)=0,"",_xlfn.XLOOKUP(B329,Table2[Main Member Link ID],Table2[Benefit Name],0)),"")))))))))))))))</f>
        <v/>
      </c>
      <c r="AF329" s="327" t="str">
        <f>IF(AND(Table2[[#This Row],[Member Type]]="Main Member",Table2[[#This Row],[Product Option]]="My Value Plus Life &amp; Funeral"),Lookups!$D$15,
IF(AND(Table2[[#This Row],[Member Type]]="Spouse",Table2[[#This Row],[Product Option]]="My Value Plus Life &amp; Funeral",_xlfn.XLOOKUP(B329,Table2[Main Member Link ID],Table2[Benefit Name],0)=Lookups!$D$14),"",
IF(AND(Table2[[#This Row],[Member Type]]="Spouse",Table2[[#This Row],[Product Option]]="My Value Plus Life &amp; Funeral",_xlfn.XLOOKUP(B328,Table2[Main Member Link ID],Table2[Benefit Name],0)=Lookups!$D$16),"",
IF(AND(Table2[[#This Row],[Member Type]]="Spouse",Table2[[#This Row],[Product Option]]="My Value Plus Life &amp; Funeral",_xlfn.XLOOKUP(B328,Table2[Main Member Link ID],Table2[Benefit Name],0)=Lookups!$D$15),"",
IF(AND(Table2[[#This Row],[Member Type]]="Spouse",Table2[[#This Row],[Product Option]]="My Value Plus Life &amp; Funeral",_xlfn.XLOOKUP(B328,Table2[Main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Funeral",_xlfn.XLOOKUP(B329,Table2[Main Member Link ID],Table2[Benefit Name],0)&lt;&gt;Lookups!$D$15),
IF(_xlfn.XLOOKUP(B329,Table2[Main Member Link ID],Table2[Benefit Name],0)=0,"",_xlfn.XLOOKUP(B329,Table2[Main Member Link ID],Table2[Benefit Name],0)),"")
))))))</f>
        <v/>
      </c>
      <c r="AG329" s="327" t="str">
        <f>IF(AND(Table2[[#This Row],[Member Type]]="Main Member",Table2[[#This Row],[Product Option]]="My Value Plus Life &amp; Funeral"),Lookups!$D$16,
IF(AND(Table2[[#This Row],[Member Type]]="Spouse",Table2[[#This Row],[Product Option]]="My Value Plus Life &amp; Funeral",_xlfn.XLOOKUP(B329,Table2[Main Member Link ID],Table2[Benefit Name],0)=Lookups!$D$14),"",
IF(AND(Table2[[#This Row],[Member Type]]="Spouse",Table2[[#This Row],[Product Option]]="My Value Plus Life &amp; Funeral",_xlfn.XLOOKUP(B328,Table2[Main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Funeral",_xlfn.XLOOKUP(B329,Table2[Main Member Link ID],Table2[Benefit Name],0)&lt;&gt;Lookups!$D$16),
IF(_xlfn.XLOOKUP(B329,Table2[Main Member Link ID],Table2[Benefit Name],0)=0,"",_xlfn.XLOOKUP(B329,Table2[Main Member Link ID],Table2[Benefit Name],0)),"")
))))</f>
        <v/>
      </c>
      <c r="AH329" s="327" t="str">
        <f>IF(AND(Table2[[#This Row],[Member Type]]="Main Member",Table2[[#This Row],[Product Option]]="My Value Plus Life &amp; Funeral"),Lookups!$D$17,
IF(AND(Table2[[#This Row],[Member Type]]="Spouse",Table2[[#This Row],[Product Option]]="My Value Plus Life &amp; Funeral",_xlfn.XLOOKUP(B329,Table2[Main Member Link ID],Table2[Benefit Name],0)=Lookups!$D$14),"",
IF(AND(Table2[[#This Row],[Member Type]]="Spouse",Table2[[#This Row],[Product Option]]="My Value Plus Life &amp; Funeral",_xlfn.XLOOKUP(B328,Table2[Main Member Link ID],Table2[Benefit Name],0)=Lookups!$D$16),"",
IF(AND(Table2[[#This Row],[Member Type]]="Child",Table2[[#This Row],[Product Option]]="My Value Plus Life &amp; Funeral"),"",
IF(AND(Table2[[#This Row],[Member Type]]="Child",Table2[[#This Row],[Product Option]]="My Value Plus Life &amp; Funeral",_xlfn.XLOOKUP(B329,Table2[Main Member Link ID],Table2[Benefit Name],0)=Lookups!$D$15),"",
IF(AND(OR(Table2[[#This Row],[Member Type]]="Spouse",Table2[[#This Row],[Member Type]]="Child"),Table2[[#This Row],[Product Option]]="My Value Plus Life &amp; Funeral",_xlfn.XLOOKUP(B329,Table2[Main Member Link ID],Table2[Benefit Name],0)&lt;&gt;Lookups!$D$17),
IF(_xlfn.XLOOKUP(B329,Table2[Main Member Link ID],Table2[Benefit Name],0)=0,"",_xlfn.XLOOKUP(B329,Table2[Main Member Link ID],Table2[Benefit Name],0)),""))))))</f>
        <v/>
      </c>
      <c r="AI329" s="328" t="str">
        <f>IF(AND(Table2[[#This Row],[Member Type]]="Main Member",Table2[[#This Row],[Table Lookup for Life Cover]]="MM_LIFE",Table2[[#This Row],[Age Next Birthday]]&lt;56),1,
IF(AND(Table2[[#This Row],[Member Type]]="Main Member",Table2[[#This Row],[Table Lookup for Life Cover]]="MM_LIFE",Table2[[#This Row],[Age Next Birthday]]&gt;=56),2,
""))</f>
        <v/>
      </c>
      <c r="AJ329" s="328">
        <f>IF(OR(Table2[[#This Row],[Member Type]]="Main Member",Table2[[#This Row],[Main Member Link ID]]=B328),1,0)</f>
        <v>1</v>
      </c>
      <c r="AK329" s="328">
        <f>IF(Table2[[#This Row],[Member Type]]=0,0,
IF(OR(Table2[[#This Row],[Member Type]]="Main Member",Table2[[#This Row],[Main Member Link ID]]&lt;&gt;B329),COUNTIFS(B:B,Table2[[#This Row],[Main Member Link ID]]),
COUNTIFS(B:B,Table2[[#This Row],[Main Member Link ID]],A:A,Table2[[#This Row],[Member Type]])))</f>
        <v>0</v>
      </c>
    </row>
    <row r="330" spans="1:37" x14ac:dyDescent="0.3">
      <c r="A330" s="284">
        <f>Table13[[#This Row],[Member Type]]</f>
        <v>0</v>
      </c>
      <c r="B330" s="284">
        <f>Table13[[#This Row],[Main Member Link ID]]</f>
        <v>0</v>
      </c>
      <c r="C330" s="284">
        <f>Table13[[#This Row],[ID Number]]</f>
        <v>0</v>
      </c>
      <c r="D330" s="285">
        <f>Table13[[#This Row],[Date Of Birth]]</f>
        <v>0</v>
      </c>
      <c r="E330" s="285">
        <f>Table13[[#This Row],[Commencement Date]]</f>
        <v>0</v>
      </c>
      <c r="F330" s="284">
        <f t="shared" si="35"/>
        <v>1</v>
      </c>
      <c r="G330" s="284">
        <f t="shared" si="36"/>
        <v>25</v>
      </c>
      <c r="H330" s="286">
        <f>Table13[[#This Row],[Product Option]]</f>
        <v>0</v>
      </c>
      <c r="I330" s="284">
        <f>IF(AND($A330="Main Member",Table2[[#This Row],[Product Option]]="My Value Plus Life"),"MM_LIFE",
IF(AND($A330="Spouse",Table2[[#This Row],[Product Option]]="My Value Plus Life"),"SP_LIFE",
IF(AND($A330="Main Member",Table2[[#This Row],[Product Option]]="My Value Plus Life &amp; Funeral"),"MM_LIFE",
IF(AND($A330="Spouse",Table2[[#This Row],[Product Option]]="My Value Plus Life &amp; Funeral"),_xlfn.XLOOKUP(Table2[[#This Row],[Benefit Name]],Lookups!$D$18:$D$23,Lookups!$E$18:$E$23,0),
0))))</f>
        <v>0</v>
      </c>
      <c r="J330" s="284">
        <f>IF($I330="","",
IF($I330="MM_LIFE",INDEX('Quotation Tool'!$S$54:$V$60,MATCH($T330,'Quotation Tool'!$S$54:$S$60,0),4),
IF($I330="SP_LIFE",_xlfn.XLOOKUP(B329,$B:$B,$J:$J,0),0)))</f>
        <v>0</v>
      </c>
      <c r="K330" s="287">
        <f t="shared" ca="1" si="40"/>
        <v>0</v>
      </c>
      <c r="L330" s="288">
        <f t="shared" ca="1" si="41"/>
        <v>0</v>
      </c>
      <c r="M330" s="289">
        <f t="shared" ca="1" si="37"/>
        <v>0</v>
      </c>
      <c r="N330" s="286">
        <f>Table13[[#This Row],[Benefit Option]]</f>
        <v>0</v>
      </c>
      <c r="O330" s="284">
        <f>IF(OR(Table2[[#This Row],[Member Type]]="Spouse",Table2[[#This Row],[Member Type]]="Child"),0,
IF(_xlfn.XLOOKUP($N330,Lookups!$D$13:$D$27,Lookups!$F$13:$F$27,0)=Table2[[#This Row],[Table Lookup for Life Cover]],0,
_xlfn.XLOOKUP($N330,Lookups!$D$13:$D$27,Lookups!$F$13:$F$27,0)))</f>
        <v>0</v>
      </c>
      <c r="P330" s="284">
        <f>IF(Table2[[#This Row],[Table Lookup for Funeral]]=0,0,IFERROR(INDEX('Quotation Tool'!$S$54:$V$60,MATCH($T330,'Quotation Tool'!$S$54:$S$60,0),3),0))</f>
        <v>0</v>
      </c>
      <c r="Q330" s="288">
        <f ca="1">IF(OR(Table2[[#This Row],[Benefit Name]]="My Value Plus Life - Main Member",Table2[[#This Row],[Benefit Name]]="My Value Plus Life - Spouse"),0,
IFERROR(VLOOKUP($G330,INDIRECT($O330),$P330,FALSE),0))</f>
        <v>0</v>
      </c>
      <c r="R330" s="288">
        <f ca="1">IF(OR(Table2[[#This Row],[Benefit Name]]="My Value Plus Life - Main Member",Table2[[#This Row],[Benefit Name]]="My Value Plus Life - Spouse"),0,
IFERROR(VLOOKUP($G330,INDIRECT($O330),$P330+1,FALSE),0))</f>
        <v>0</v>
      </c>
      <c r="S330" s="289">
        <f t="shared" ca="1" si="38"/>
        <v>0</v>
      </c>
      <c r="T330" s="284" t="str">
        <f>IF(Table13[[#This Row],[Premium Waiver]]="","None",Table13[[#This Row],[Premium Waiver]])</f>
        <v>None</v>
      </c>
      <c r="U330" s="284">
        <f>Table13[[#This Row],[VAPs Options]]</f>
        <v>0</v>
      </c>
      <c r="V330" s="284">
        <f>Table13[[#This Row],[Annual Increase Option]]</f>
        <v>0</v>
      </c>
      <c r="W330" s="290">
        <f>Table13[[#This Row],[Life Cover Amount]]</f>
        <v>0</v>
      </c>
      <c r="X330" s="290">
        <f>Table13[[#This Row],[Funeral Cover Amount]]</f>
        <v>0</v>
      </c>
      <c r="Y33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3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30" s="301">
        <f t="shared" ca="1" si="39"/>
        <v>0</v>
      </c>
      <c r="AB330" s="298"/>
      <c r="AC330" s="326" t="str">
        <f>IF(Table2[[#This Row],[Member Type]]="Main Member",Lookups!$C$13,
IF(Table2[[#This Row],[Member Type]]="Spouse",_xlfn.XLOOKUP(B330,Table2[Main Member Link ID],Table2[Product Option],0),
IF(AND(Table2[[#This Row],[Member Type]]="Child",_xlfn.XLOOKUP(B330,Table2[Main Member Link ID],Table2[Product Option],0)&lt;&gt;"My Value Plus Life"),Lookups!$C$24,
IF(AND(OR(Table2[[#This Row],[Member Type]]="Parent",Table2[[#This Row],[Member Type]]="Extended"),_xlfn.XLOOKUP(B330,Table2[Main Member Link ID],Table2[Product Option],0)&lt;&gt;"My Value Plus Life"),Lookups!$C$26,""))))</f>
        <v/>
      </c>
      <c r="AD330" s="326" t="str">
        <f>IF(Table2[[#This Row],[Member Type]]="Main Member",Lookups!$C$14,"")</f>
        <v/>
      </c>
      <c r="AE33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Funeral",_xlfn.XLOOKUP(B330,Table2[Main Member Link ID],Table2[Benefit Name],0)=Lookups!$D$14),"",
IF(AND(Table2[[#This Row],[Member Type]]="Spouse",Table2[[#This Row],[Product Option]]="My Value Plus Life &amp; Funeral",_xlfn.XLOOKUP(B329,Table2[Main Member Link ID],Table2[Benefit Name],0)=Lookups!$D$15),Lookups!$D$20,
IF(AND(Table2[[#This Row],[Member Type]]="Spouse",Table2[[#This Row],[Product Option]]="My Value Plus Life &amp; Funeral",_xlfn.XLOOKUP(B329,Table2[Main Member Link ID],Table2[Benefit Name],0)=Lookups!$D$16),"",
IF(AND(Table2[[#This Row],[Member Type]]="Spouse",Table2[[#This Row],[Product Option]]="My Value Plus Life &amp; Funeral",_xlfn.XLOOKUP(B329,Table2[Main Member Link ID],Table2[Benefit Name],0)=Lookups!$D$17),Lookups!$D$21,
IF(AND(Table2[[#This Row],[Member Type]]="Child",Table2[[#This Row],[Product Option]]="My Value Plus Life &amp; Funeral",_xlfn.XLOOKUP(B330,Table2[Main Member Link ID],Table2[Benefit Name],0)=Lookups!$D$14),"",
IF(AND(Table2[[#This Row],[Member Type]]="Child",Table2[[#This Row],[Product Option]]="My Value Plus Life &amp; Funeral",_xlfn.XLOOKUP(B330,Table2[Main Member Link ID],Table2[Benefit Name],0)=Lookups!$D$15),"",
IF(AND(Table2[[#This Row],[Member Type]]="Child",Table2[[#This Row],[Product Option]]="My Value Plus Life &amp; Funeral",_xlfn.XLOOKUP(B330,Table2[Main Member Link ID],Table2[Benefit Name],0)=Lookups!$D$16),Lookups!$D$24,
IF(AND(Table2[[#This Row],[Member Type]]="Child",Table2[[#This Row],[Product Option]]="My Value Plus Life &amp; Funeral",_xlfn.XLOOKUP(B330,Table2[Main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Funeral",_xlfn.XLOOKUP(B330,Table2[Main Member Link ID],Table2[Benefit Name],0)&lt;&gt;Lookups!$D$14),
IF(_xlfn.XLOOKUP(B330,Table2[Main Member Link ID],Table2[Benefit Name],0)=0,"",_xlfn.XLOOKUP(B330,Table2[Main Member Link ID],Table2[Benefit Name],0)),"")))))))))))))))</f>
        <v/>
      </c>
      <c r="AF330" s="327" t="str">
        <f>IF(AND(Table2[[#This Row],[Member Type]]="Main Member",Table2[[#This Row],[Product Option]]="My Value Plus Life &amp; Funeral"),Lookups!$D$15,
IF(AND(Table2[[#This Row],[Member Type]]="Spouse",Table2[[#This Row],[Product Option]]="My Value Plus Life &amp; Funeral",_xlfn.XLOOKUP(B330,Table2[Main Member Link ID],Table2[Benefit Name],0)=Lookups!$D$14),"",
IF(AND(Table2[[#This Row],[Member Type]]="Spouse",Table2[[#This Row],[Product Option]]="My Value Plus Life &amp; Funeral",_xlfn.XLOOKUP(B329,Table2[Main Member Link ID],Table2[Benefit Name],0)=Lookups!$D$16),"",
IF(AND(Table2[[#This Row],[Member Type]]="Spouse",Table2[[#This Row],[Product Option]]="My Value Plus Life &amp; Funeral",_xlfn.XLOOKUP(B329,Table2[Main Member Link ID],Table2[Benefit Name],0)=Lookups!$D$15),"",
IF(AND(Table2[[#This Row],[Member Type]]="Spouse",Table2[[#This Row],[Product Option]]="My Value Plus Life &amp; Funeral",_xlfn.XLOOKUP(B329,Table2[Main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Funeral",_xlfn.XLOOKUP(B330,Table2[Main Member Link ID],Table2[Benefit Name],0)&lt;&gt;Lookups!$D$15),
IF(_xlfn.XLOOKUP(B330,Table2[Main Member Link ID],Table2[Benefit Name],0)=0,"",_xlfn.XLOOKUP(B330,Table2[Main Member Link ID],Table2[Benefit Name],0)),"")
))))))</f>
        <v/>
      </c>
      <c r="AG330" s="327" t="str">
        <f>IF(AND(Table2[[#This Row],[Member Type]]="Main Member",Table2[[#This Row],[Product Option]]="My Value Plus Life &amp; Funeral"),Lookups!$D$16,
IF(AND(Table2[[#This Row],[Member Type]]="Spouse",Table2[[#This Row],[Product Option]]="My Value Plus Life &amp; Funeral",_xlfn.XLOOKUP(B330,Table2[Main Member Link ID],Table2[Benefit Name],0)=Lookups!$D$14),"",
IF(AND(Table2[[#This Row],[Member Type]]="Spouse",Table2[[#This Row],[Product Option]]="My Value Plus Life &amp; Funeral",_xlfn.XLOOKUP(B329,Table2[Main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Funeral",_xlfn.XLOOKUP(B330,Table2[Main Member Link ID],Table2[Benefit Name],0)&lt;&gt;Lookups!$D$16),
IF(_xlfn.XLOOKUP(B330,Table2[Main Member Link ID],Table2[Benefit Name],0)=0,"",_xlfn.XLOOKUP(B330,Table2[Main Member Link ID],Table2[Benefit Name],0)),"")
))))</f>
        <v/>
      </c>
      <c r="AH330" s="327" t="str">
        <f>IF(AND(Table2[[#This Row],[Member Type]]="Main Member",Table2[[#This Row],[Product Option]]="My Value Plus Life &amp; Funeral"),Lookups!$D$17,
IF(AND(Table2[[#This Row],[Member Type]]="Spouse",Table2[[#This Row],[Product Option]]="My Value Plus Life &amp; Funeral",_xlfn.XLOOKUP(B330,Table2[Main Member Link ID],Table2[Benefit Name],0)=Lookups!$D$14),"",
IF(AND(Table2[[#This Row],[Member Type]]="Spouse",Table2[[#This Row],[Product Option]]="My Value Plus Life &amp; Funeral",_xlfn.XLOOKUP(B329,Table2[Main Member Link ID],Table2[Benefit Name],0)=Lookups!$D$16),"",
IF(AND(Table2[[#This Row],[Member Type]]="Child",Table2[[#This Row],[Product Option]]="My Value Plus Life &amp; Funeral"),"",
IF(AND(Table2[[#This Row],[Member Type]]="Child",Table2[[#This Row],[Product Option]]="My Value Plus Life &amp; Funeral",_xlfn.XLOOKUP(B330,Table2[Main Member Link ID],Table2[Benefit Name],0)=Lookups!$D$15),"",
IF(AND(OR(Table2[[#This Row],[Member Type]]="Spouse",Table2[[#This Row],[Member Type]]="Child"),Table2[[#This Row],[Product Option]]="My Value Plus Life &amp; Funeral",_xlfn.XLOOKUP(B330,Table2[Main Member Link ID],Table2[Benefit Name],0)&lt;&gt;Lookups!$D$17),
IF(_xlfn.XLOOKUP(B330,Table2[Main Member Link ID],Table2[Benefit Name],0)=0,"",_xlfn.XLOOKUP(B330,Table2[Main Member Link ID],Table2[Benefit Name],0)),""))))))</f>
        <v/>
      </c>
      <c r="AI330" s="328" t="str">
        <f>IF(AND(Table2[[#This Row],[Member Type]]="Main Member",Table2[[#This Row],[Table Lookup for Life Cover]]="MM_LIFE",Table2[[#This Row],[Age Next Birthday]]&lt;56),1,
IF(AND(Table2[[#This Row],[Member Type]]="Main Member",Table2[[#This Row],[Table Lookup for Life Cover]]="MM_LIFE",Table2[[#This Row],[Age Next Birthday]]&gt;=56),2,
""))</f>
        <v/>
      </c>
      <c r="AJ330" s="328">
        <f>IF(OR(Table2[[#This Row],[Member Type]]="Main Member",Table2[[#This Row],[Main Member Link ID]]=B329),1,0)</f>
        <v>1</v>
      </c>
      <c r="AK330" s="328">
        <f>IF(Table2[[#This Row],[Member Type]]=0,0,
IF(OR(Table2[[#This Row],[Member Type]]="Main Member",Table2[[#This Row],[Main Member Link ID]]&lt;&gt;B330),COUNTIFS(B:B,Table2[[#This Row],[Main Member Link ID]]),
COUNTIFS(B:B,Table2[[#This Row],[Main Member Link ID]],A:A,Table2[[#This Row],[Member Type]])))</f>
        <v>0</v>
      </c>
    </row>
    <row r="331" spans="1:37" x14ac:dyDescent="0.3">
      <c r="A331" s="284">
        <f>Table13[[#This Row],[Member Type]]</f>
        <v>0</v>
      </c>
      <c r="B331" s="284">
        <f>Table13[[#This Row],[Main Member Link ID]]</f>
        <v>0</v>
      </c>
      <c r="C331" s="284">
        <f>Table13[[#This Row],[ID Number]]</f>
        <v>0</v>
      </c>
      <c r="D331" s="285">
        <f>Table13[[#This Row],[Date Of Birth]]</f>
        <v>0</v>
      </c>
      <c r="E331" s="285">
        <f>Table13[[#This Row],[Commencement Date]]</f>
        <v>0</v>
      </c>
      <c r="F331" s="284">
        <f t="shared" si="35"/>
        <v>1</v>
      </c>
      <c r="G331" s="284">
        <f t="shared" si="36"/>
        <v>25</v>
      </c>
      <c r="H331" s="286">
        <f>Table13[[#This Row],[Product Option]]</f>
        <v>0</v>
      </c>
      <c r="I331" s="284">
        <f>IF(AND($A331="Main Member",Table2[[#This Row],[Product Option]]="My Value Plus Life"),"MM_LIFE",
IF(AND($A331="Spouse",Table2[[#This Row],[Product Option]]="My Value Plus Life"),"SP_LIFE",
IF(AND($A331="Main Member",Table2[[#This Row],[Product Option]]="My Value Plus Life &amp; Funeral"),"MM_LIFE",
IF(AND($A331="Spouse",Table2[[#This Row],[Product Option]]="My Value Plus Life &amp; Funeral"),_xlfn.XLOOKUP(Table2[[#This Row],[Benefit Name]],Lookups!$D$18:$D$23,Lookups!$E$18:$E$23,0),
0))))</f>
        <v>0</v>
      </c>
      <c r="J331" s="284">
        <f>IF($I331="","",
IF($I331="MM_LIFE",INDEX('Quotation Tool'!$S$54:$V$60,MATCH($T331,'Quotation Tool'!$S$54:$S$60,0),4),
IF($I331="SP_LIFE",_xlfn.XLOOKUP(B330,$B:$B,$J:$J,0),0)))</f>
        <v>0</v>
      </c>
      <c r="K331" s="287">
        <f t="shared" ca="1" si="40"/>
        <v>0</v>
      </c>
      <c r="L331" s="288">
        <f t="shared" ca="1" si="41"/>
        <v>0</v>
      </c>
      <c r="M331" s="289">
        <f t="shared" ca="1" si="37"/>
        <v>0</v>
      </c>
      <c r="N331" s="286">
        <f>Table13[[#This Row],[Benefit Option]]</f>
        <v>0</v>
      </c>
      <c r="O331" s="284">
        <f>IF(OR(Table2[[#This Row],[Member Type]]="Spouse",Table2[[#This Row],[Member Type]]="Child"),0,
IF(_xlfn.XLOOKUP($N331,Lookups!$D$13:$D$27,Lookups!$F$13:$F$27,0)=Table2[[#This Row],[Table Lookup for Life Cover]],0,
_xlfn.XLOOKUP($N331,Lookups!$D$13:$D$27,Lookups!$F$13:$F$27,0)))</f>
        <v>0</v>
      </c>
      <c r="P331" s="284">
        <f>IF(Table2[[#This Row],[Table Lookup for Funeral]]=0,0,IFERROR(INDEX('Quotation Tool'!$S$54:$V$60,MATCH($T331,'Quotation Tool'!$S$54:$S$60,0),3),0))</f>
        <v>0</v>
      </c>
      <c r="Q331" s="288">
        <f ca="1">IF(OR(Table2[[#This Row],[Benefit Name]]="My Value Plus Life - Main Member",Table2[[#This Row],[Benefit Name]]="My Value Plus Life - Spouse"),0,
IFERROR(VLOOKUP($G331,INDIRECT($O331),$P331,FALSE),0))</f>
        <v>0</v>
      </c>
      <c r="R331" s="288">
        <f ca="1">IF(OR(Table2[[#This Row],[Benefit Name]]="My Value Plus Life - Main Member",Table2[[#This Row],[Benefit Name]]="My Value Plus Life - Spouse"),0,
IFERROR(VLOOKUP($G331,INDIRECT($O331),$P331+1,FALSE),0))</f>
        <v>0</v>
      </c>
      <c r="S331" s="289">
        <f t="shared" ca="1" si="38"/>
        <v>0</v>
      </c>
      <c r="T331" s="284" t="str">
        <f>IF(Table13[[#This Row],[Premium Waiver]]="","None",Table13[[#This Row],[Premium Waiver]])</f>
        <v>None</v>
      </c>
      <c r="U331" s="284">
        <f>Table13[[#This Row],[VAPs Options]]</f>
        <v>0</v>
      </c>
      <c r="V331" s="284">
        <f>Table13[[#This Row],[Annual Increase Option]]</f>
        <v>0</v>
      </c>
      <c r="W331" s="290">
        <f>Table13[[#This Row],[Life Cover Amount]]</f>
        <v>0</v>
      </c>
      <c r="X331" s="290">
        <f>Table13[[#This Row],[Funeral Cover Amount]]</f>
        <v>0</v>
      </c>
      <c r="Y33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3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31" s="301">
        <f t="shared" ca="1" si="39"/>
        <v>0</v>
      </c>
      <c r="AB331" s="298"/>
      <c r="AC331" s="326" t="str">
        <f>IF(Table2[[#This Row],[Member Type]]="Main Member",Lookups!$C$13,
IF(Table2[[#This Row],[Member Type]]="Spouse",_xlfn.XLOOKUP(B331,Table2[Main Member Link ID],Table2[Product Option],0),
IF(AND(Table2[[#This Row],[Member Type]]="Child",_xlfn.XLOOKUP(B331,Table2[Main Member Link ID],Table2[Product Option],0)&lt;&gt;"My Value Plus Life"),Lookups!$C$24,
IF(AND(OR(Table2[[#This Row],[Member Type]]="Parent",Table2[[#This Row],[Member Type]]="Extended"),_xlfn.XLOOKUP(B331,Table2[Main Member Link ID],Table2[Product Option],0)&lt;&gt;"My Value Plus Life"),Lookups!$C$26,""))))</f>
        <v/>
      </c>
      <c r="AD331" s="326" t="str">
        <f>IF(Table2[[#This Row],[Member Type]]="Main Member",Lookups!$C$14,"")</f>
        <v/>
      </c>
      <c r="AE33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Funeral",_xlfn.XLOOKUP(B331,Table2[Main Member Link ID],Table2[Benefit Name],0)=Lookups!$D$14),"",
IF(AND(Table2[[#This Row],[Member Type]]="Spouse",Table2[[#This Row],[Product Option]]="My Value Plus Life &amp; Funeral",_xlfn.XLOOKUP(B330,Table2[Main Member Link ID],Table2[Benefit Name],0)=Lookups!$D$15),Lookups!$D$20,
IF(AND(Table2[[#This Row],[Member Type]]="Spouse",Table2[[#This Row],[Product Option]]="My Value Plus Life &amp; Funeral",_xlfn.XLOOKUP(B330,Table2[Main Member Link ID],Table2[Benefit Name],0)=Lookups!$D$16),"",
IF(AND(Table2[[#This Row],[Member Type]]="Spouse",Table2[[#This Row],[Product Option]]="My Value Plus Life &amp; Funeral",_xlfn.XLOOKUP(B330,Table2[Main Member Link ID],Table2[Benefit Name],0)=Lookups!$D$17),Lookups!$D$21,
IF(AND(Table2[[#This Row],[Member Type]]="Child",Table2[[#This Row],[Product Option]]="My Value Plus Life &amp; Funeral",_xlfn.XLOOKUP(B331,Table2[Main Member Link ID],Table2[Benefit Name],0)=Lookups!$D$14),"",
IF(AND(Table2[[#This Row],[Member Type]]="Child",Table2[[#This Row],[Product Option]]="My Value Plus Life &amp; Funeral",_xlfn.XLOOKUP(B331,Table2[Main Member Link ID],Table2[Benefit Name],0)=Lookups!$D$15),"",
IF(AND(Table2[[#This Row],[Member Type]]="Child",Table2[[#This Row],[Product Option]]="My Value Plus Life &amp; Funeral",_xlfn.XLOOKUP(B331,Table2[Main Member Link ID],Table2[Benefit Name],0)=Lookups!$D$16),Lookups!$D$24,
IF(AND(Table2[[#This Row],[Member Type]]="Child",Table2[[#This Row],[Product Option]]="My Value Plus Life &amp; Funeral",_xlfn.XLOOKUP(B331,Table2[Main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Funeral",_xlfn.XLOOKUP(B331,Table2[Main Member Link ID],Table2[Benefit Name],0)&lt;&gt;Lookups!$D$14),
IF(_xlfn.XLOOKUP(B331,Table2[Main Member Link ID],Table2[Benefit Name],0)=0,"",_xlfn.XLOOKUP(B331,Table2[Main Member Link ID],Table2[Benefit Name],0)),"")))))))))))))))</f>
        <v/>
      </c>
      <c r="AF331" s="327" t="str">
        <f>IF(AND(Table2[[#This Row],[Member Type]]="Main Member",Table2[[#This Row],[Product Option]]="My Value Plus Life &amp; Funeral"),Lookups!$D$15,
IF(AND(Table2[[#This Row],[Member Type]]="Spouse",Table2[[#This Row],[Product Option]]="My Value Plus Life &amp; Funeral",_xlfn.XLOOKUP(B331,Table2[Main Member Link ID],Table2[Benefit Name],0)=Lookups!$D$14),"",
IF(AND(Table2[[#This Row],[Member Type]]="Spouse",Table2[[#This Row],[Product Option]]="My Value Plus Life &amp; Funeral",_xlfn.XLOOKUP(B330,Table2[Main Member Link ID],Table2[Benefit Name],0)=Lookups!$D$16),"",
IF(AND(Table2[[#This Row],[Member Type]]="Spouse",Table2[[#This Row],[Product Option]]="My Value Plus Life &amp; Funeral",_xlfn.XLOOKUP(B330,Table2[Main Member Link ID],Table2[Benefit Name],0)=Lookups!$D$15),"",
IF(AND(Table2[[#This Row],[Member Type]]="Spouse",Table2[[#This Row],[Product Option]]="My Value Plus Life &amp; Funeral",_xlfn.XLOOKUP(B330,Table2[Main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Funeral",_xlfn.XLOOKUP(B331,Table2[Main Member Link ID],Table2[Benefit Name],0)&lt;&gt;Lookups!$D$15),
IF(_xlfn.XLOOKUP(B331,Table2[Main Member Link ID],Table2[Benefit Name],0)=0,"",_xlfn.XLOOKUP(B331,Table2[Main Member Link ID],Table2[Benefit Name],0)),"")
))))))</f>
        <v/>
      </c>
      <c r="AG331" s="327" t="str">
        <f>IF(AND(Table2[[#This Row],[Member Type]]="Main Member",Table2[[#This Row],[Product Option]]="My Value Plus Life &amp; Funeral"),Lookups!$D$16,
IF(AND(Table2[[#This Row],[Member Type]]="Spouse",Table2[[#This Row],[Product Option]]="My Value Plus Life &amp; Funeral",_xlfn.XLOOKUP(B331,Table2[Main Member Link ID],Table2[Benefit Name],0)=Lookups!$D$14),"",
IF(AND(Table2[[#This Row],[Member Type]]="Spouse",Table2[[#This Row],[Product Option]]="My Value Plus Life &amp; Funeral",_xlfn.XLOOKUP(B330,Table2[Main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Funeral",_xlfn.XLOOKUP(B331,Table2[Main Member Link ID],Table2[Benefit Name],0)&lt;&gt;Lookups!$D$16),
IF(_xlfn.XLOOKUP(B331,Table2[Main Member Link ID],Table2[Benefit Name],0)=0,"",_xlfn.XLOOKUP(B331,Table2[Main Member Link ID],Table2[Benefit Name],0)),"")
))))</f>
        <v/>
      </c>
      <c r="AH331" s="327" t="str">
        <f>IF(AND(Table2[[#This Row],[Member Type]]="Main Member",Table2[[#This Row],[Product Option]]="My Value Plus Life &amp; Funeral"),Lookups!$D$17,
IF(AND(Table2[[#This Row],[Member Type]]="Spouse",Table2[[#This Row],[Product Option]]="My Value Plus Life &amp; Funeral",_xlfn.XLOOKUP(B331,Table2[Main Member Link ID],Table2[Benefit Name],0)=Lookups!$D$14),"",
IF(AND(Table2[[#This Row],[Member Type]]="Spouse",Table2[[#This Row],[Product Option]]="My Value Plus Life &amp; Funeral",_xlfn.XLOOKUP(B330,Table2[Main Member Link ID],Table2[Benefit Name],0)=Lookups!$D$16),"",
IF(AND(Table2[[#This Row],[Member Type]]="Child",Table2[[#This Row],[Product Option]]="My Value Plus Life &amp; Funeral"),"",
IF(AND(Table2[[#This Row],[Member Type]]="Child",Table2[[#This Row],[Product Option]]="My Value Plus Life &amp; Funeral",_xlfn.XLOOKUP(B331,Table2[Main Member Link ID],Table2[Benefit Name],0)=Lookups!$D$15),"",
IF(AND(OR(Table2[[#This Row],[Member Type]]="Spouse",Table2[[#This Row],[Member Type]]="Child"),Table2[[#This Row],[Product Option]]="My Value Plus Life &amp; Funeral",_xlfn.XLOOKUP(B331,Table2[Main Member Link ID],Table2[Benefit Name],0)&lt;&gt;Lookups!$D$17),
IF(_xlfn.XLOOKUP(B331,Table2[Main Member Link ID],Table2[Benefit Name],0)=0,"",_xlfn.XLOOKUP(B331,Table2[Main Member Link ID],Table2[Benefit Name],0)),""))))))</f>
        <v/>
      </c>
      <c r="AI331" s="328" t="str">
        <f>IF(AND(Table2[[#This Row],[Member Type]]="Main Member",Table2[[#This Row],[Table Lookup for Life Cover]]="MM_LIFE",Table2[[#This Row],[Age Next Birthday]]&lt;56),1,
IF(AND(Table2[[#This Row],[Member Type]]="Main Member",Table2[[#This Row],[Table Lookup for Life Cover]]="MM_LIFE",Table2[[#This Row],[Age Next Birthday]]&gt;=56),2,
""))</f>
        <v/>
      </c>
      <c r="AJ331" s="328">
        <f>IF(OR(Table2[[#This Row],[Member Type]]="Main Member",Table2[[#This Row],[Main Member Link ID]]=B330),1,0)</f>
        <v>1</v>
      </c>
      <c r="AK331" s="328">
        <f>IF(Table2[[#This Row],[Member Type]]=0,0,
IF(OR(Table2[[#This Row],[Member Type]]="Main Member",Table2[[#This Row],[Main Member Link ID]]&lt;&gt;B331),COUNTIFS(B:B,Table2[[#This Row],[Main Member Link ID]]),
COUNTIFS(B:B,Table2[[#This Row],[Main Member Link ID]],A:A,Table2[[#This Row],[Member Type]])))</f>
        <v>0</v>
      </c>
    </row>
    <row r="332" spans="1:37" x14ac:dyDescent="0.3">
      <c r="A332" s="284">
        <f>Table13[[#This Row],[Member Type]]</f>
        <v>0</v>
      </c>
      <c r="B332" s="284">
        <f>Table13[[#This Row],[Main Member Link ID]]</f>
        <v>0</v>
      </c>
      <c r="C332" s="284">
        <f>Table13[[#This Row],[ID Number]]</f>
        <v>0</v>
      </c>
      <c r="D332" s="285">
        <f>Table13[[#This Row],[Date Of Birth]]</f>
        <v>0</v>
      </c>
      <c r="E332" s="285">
        <f>Table13[[#This Row],[Commencement Date]]</f>
        <v>0</v>
      </c>
      <c r="F332" s="284">
        <f t="shared" si="35"/>
        <v>1</v>
      </c>
      <c r="G332" s="284">
        <f t="shared" si="36"/>
        <v>25</v>
      </c>
      <c r="H332" s="286">
        <f>Table13[[#This Row],[Product Option]]</f>
        <v>0</v>
      </c>
      <c r="I332" s="284">
        <f>IF(AND($A332="Main Member",Table2[[#This Row],[Product Option]]="My Value Plus Life"),"MM_LIFE",
IF(AND($A332="Spouse",Table2[[#This Row],[Product Option]]="My Value Plus Life"),"SP_LIFE",
IF(AND($A332="Main Member",Table2[[#This Row],[Product Option]]="My Value Plus Life &amp; Funeral"),"MM_LIFE",
IF(AND($A332="Spouse",Table2[[#This Row],[Product Option]]="My Value Plus Life &amp; Funeral"),_xlfn.XLOOKUP(Table2[[#This Row],[Benefit Name]],Lookups!$D$18:$D$23,Lookups!$E$18:$E$23,0),
0))))</f>
        <v>0</v>
      </c>
      <c r="J332" s="284">
        <f>IF($I332="","",
IF($I332="MM_LIFE",INDEX('Quotation Tool'!$S$54:$V$60,MATCH($T332,'Quotation Tool'!$S$54:$S$60,0),4),
IF($I332="SP_LIFE",_xlfn.XLOOKUP(B331,$B:$B,$J:$J,0),0)))</f>
        <v>0</v>
      </c>
      <c r="K332" s="287">
        <f t="shared" ca="1" si="40"/>
        <v>0</v>
      </c>
      <c r="L332" s="288">
        <f t="shared" ca="1" si="41"/>
        <v>0</v>
      </c>
      <c r="M332" s="289">
        <f t="shared" ca="1" si="37"/>
        <v>0</v>
      </c>
      <c r="N332" s="286">
        <f>Table13[[#This Row],[Benefit Option]]</f>
        <v>0</v>
      </c>
      <c r="O332" s="284">
        <f>IF(OR(Table2[[#This Row],[Member Type]]="Spouse",Table2[[#This Row],[Member Type]]="Child"),0,
IF(_xlfn.XLOOKUP($N332,Lookups!$D$13:$D$27,Lookups!$F$13:$F$27,0)=Table2[[#This Row],[Table Lookup for Life Cover]],0,
_xlfn.XLOOKUP($N332,Lookups!$D$13:$D$27,Lookups!$F$13:$F$27,0)))</f>
        <v>0</v>
      </c>
      <c r="P332" s="284">
        <f>IF(Table2[[#This Row],[Table Lookup for Funeral]]=0,0,IFERROR(INDEX('Quotation Tool'!$S$54:$V$60,MATCH($T332,'Quotation Tool'!$S$54:$S$60,0),3),0))</f>
        <v>0</v>
      </c>
      <c r="Q332" s="288">
        <f ca="1">IF(OR(Table2[[#This Row],[Benefit Name]]="My Value Plus Life - Main Member",Table2[[#This Row],[Benefit Name]]="My Value Plus Life - Spouse"),0,
IFERROR(VLOOKUP($G332,INDIRECT($O332),$P332,FALSE),0))</f>
        <v>0</v>
      </c>
      <c r="R332" s="288">
        <f ca="1">IF(OR(Table2[[#This Row],[Benefit Name]]="My Value Plus Life - Main Member",Table2[[#This Row],[Benefit Name]]="My Value Plus Life - Spouse"),0,
IFERROR(VLOOKUP($G332,INDIRECT($O332),$P332+1,FALSE),0))</f>
        <v>0</v>
      </c>
      <c r="S332" s="289">
        <f t="shared" ca="1" si="38"/>
        <v>0</v>
      </c>
      <c r="T332" s="284" t="str">
        <f>IF(Table13[[#This Row],[Premium Waiver]]="","None",Table13[[#This Row],[Premium Waiver]])</f>
        <v>None</v>
      </c>
      <c r="U332" s="284">
        <f>Table13[[#This Row],[VAPs Options]]</f>
        <v>0</v>
      </c>
      <c r="V332" s="284">
        <f>Table13[[#This Row],[Annual Increase Option]]</f>
        <v>0</v>
      </c>
      <c r="W332" s="290">
        <f>Table13[[#This Row],[Life Cover Amount]]</f>
        <v>0</v>
      </c>
      <c r="X332" s="290">
        <f>Table13[[#This Row],[Funeral Cover Amount]]</f>
        <v>0</v>
      </c>
      <c r="Y33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3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32" s="301">
        <f t="shared" ca="1" si="39"/>
        <v>0</v>
      </c>
      <c r="AB332" s="298"/>
      <c r="AC332" s="326" t="str">
        <f>IF(Table2[[#This Row],[Member Type]]="Main Member",Lookups!$C$13,
IF(Table2[[#This Row],[Member Type]]="Spouse",_xlfn.XLOOKUP(B332,Table2[Main Member Link ID],Table2[Product Option],0),
IF(AND(Table2[[#This Row],[Member Type]]="Child",_xlfn.XLOOKUP(B332,Table2[Main Member Link ID],Table2[Product Option],0)&lt;&gt;"My Value Plus Life"),Lookups!$C$24,
IF(AND(OR(Table2[[#This Row],[Member Type]]="Parent",Table2[[#This Row],[Member Type]]="Extended"),_xlfn.XLOOKUP(B332,Table2[Main Member Link ID],Table2[Product Option],0)&lt;&gt;"My Value Plus Life"),Lookups!$C$26,""))))</f>
        <v/>
      </c>
      <c r="AD332" s="326" t="str">
        <f>IF(Table2[[#This Row],[Member Type]]="Main Member",Lookups!$C$14,"")</f>
        <v/>
      </c>
      <c r="AE33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Funeral",_xlfn.XLOOKUP(B332,Table2[Main Member Link ID],Table2[Benefit Name],0)=Lookups!$D$14),"",
IF(AND(Table2[[#This Row],[Member Type]]="Spouse",Table2[[#This Row],[Product Option]]="My Value Plus Life &amp; Funeral",_xlfn.XLOOKUP(B331,Table2[Main Member Link ID],Table2[Benefit Name],0)=Lookups!$D$15),Lookups!$D$20,
IF(AND(Table2[[#This Row],[Member Type]]="Spouse",Table2[[#This Row],[Product Option]]="My Value Plus Life &amp; Funeral",_xlfn.XLOOKUP(B331,Table2[Main Member Link ID],Table2[Benefit Name],0)=Lookups!$D$16),"",
IF(AND(Table2[[#This Row],[Member Type]]="Spouse",Table2[[#This Row],[Product Option]]="My Value Plus Life &amp; Funeral",_xlfn.XLOOKUP(B331,Table2[Main Member Link ID],Table2[Benefit Name],0)=Lookups!$D$17),Lookups!$D$21,
IF(AND(Table2[[#This Row],[Member Type]]="Child",Table2[[#This Row],[Product Option]]="My Value Plus Life &amp; Funeral",_xlfn.XLOOKUP(B332,Table2[Main Member Link ID],Table2[Benefit Name],0)=Lookups!$D$14),"",
IF(AND(Table2[[#This Row],[Member Type]]="Child",Table2[[#This Row],[Product Option]]="My Value Plus Life &amp; Funeral",_xlfn.XLOOKUP(B332,Table2[Main Member Link ID],Table2[Benefit Name],0)=Lookups!$D$15),"",
IF(AND(Table2[[#This Row],[Member Type]]="Child",Table2[[#This Row],[Product Option]]="My Value Plus Life &amp; Funeral",_xlfn.XLOOKUP(B332,Table2[Main Member Link ID],Table2[Benefit Name],0)=Lookups!$D$16),Lookups!$D$24,
IF(AND(Table2[[#This Row],[Member Type]]="Child",Table2[[#This Row],[Product Option]]="My Value Plus Life &amp; Funeral",_xlfn.XLOOKUP(B332,Table2[Main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Funeral",_xlfn.XLOOKUP(B332,Table2[Main Member Link ID],Table2[Benefit Name],0)&lt;&gt;Lookups!$D$14),
IF(_xlfn.XLOOKUP(B332,Table2[Main Member Link ID],Table2[Benefit Name],0)=0,"",_xlfn.XLOOKUP(B332,Table2[Main Member Link ID],Table2[Benefit Name],0)),"")))))))))))))))</f>
        <v/>
      </c>
      <c r="AF332" s="327" t="str">
        <f>IF(AND(Table2[[#This Row],[Member Type]]="Main Member",Table2[[#This Row],[Product Option]]="My Value Plus Life &amp; Funeral"),Lookups!$D$15,
IF(AND(Table2[[#This Row],[Member Type]]="Spouse",Table2[[#This Row],[Product Option]]="My Value Plus Life &amp; Funeral",_xlfn.XLOOKUP(B332,Table2[Main Member Link ID],Table2[Benefit Name],0)=Lookups!$D$14),"",
IF(AND(Table2[[#This Row],[Member Type]]="Spouse",Table2[[#This Row],[Product Option]]="My Value Plus Life &amp; Funeral",_xlfn.XLOOKUP(B331,Table2[Main Member Link ID],Table2[Benefit Name],0)=Lookups!$D$16),"",
IF(AND(Table2[[#This Row],[Member Type]]="Spouse",Table2[[#This Row],[Product Option]]="My Value Plus Life &amp; Funeral",_xlfn.XLOOKUP(B331,Table2[Main Member Link ID],Table2[Benefit Name],0)=Lookups!$D$15),"",
IF(AND(Table2[[#This Row],[Member Type]]="Spouse",Table2[[#This Row],[Product Option]]="My Value Plus Life &amp; Funeral",_xlfn.XLOOKUP(B331,Table2[Main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Funeral",_xlfn.XLOOKUP(B332,Table2[Main Member Link ID],Table2[Benefit Name],0)&lt;&gt;Lookups!$D$15),
IF(_xlfn.XLOOKUP(B332,Table2[Main Member Link ID],Table2[Benefit Name],0)=0,"",_xlfn.XLOOKUP(B332,Table2[Main Member Link ID],Table2[Benefit Name],0)),"")
))))))</f>
        <v/>
      </c>
      <c r="AG332" s="327" t="str">
        <f>IF(AND(Table2[[#This Row],[Member Type]]="Main Member",Table2[[#This Row],[Product Option]]="My Value Plus Life &amp; Funeral"),Lookups!$D$16,
IF(AND(Table2[[#This Row],[Member Type]]="Spouse",Table2[[#This Row],[Product Option]]="My Value Plus Life &amp; Funeral",_xlfn.XLOOKUP(B332,Table2[Main Member Link ID],Table2[Benefit Name],0)=Lookups!$D$14),"",
IF(AND(Table2[[#This Row],[Member Type]]="Spouse",Table2[[#This Row],[Product Option]]="My Value Plus Life &amp; Funeral",_xlfn.XLOOKUP(B331,Table2[Main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Funeral",_xlfn.XLOOKUP(B332,Table2[Main Member Link ID],Table2[Benefit Name],0)&lt;&gt;Lookups!$D$16),
IF(_xlfn.XLOOKUP(B332,Table2[Main Member Link ID],Table2[Benefit Name],0)=0,"",_xlfn.XLOOKUP(B332,Table2[Main Member Link ID],Table2[Benefit Name],0)),"")
))))</f>
        <v/>
      </c>
      <c r="AH332" s="327" t="str">
        <f>IF(AND(Table2[[#This Row],[Member Type]]="Main Member",Table2[[#This Row],[Product Option]]="My Value Plus Life &amp; Funeral"),Lookups!$D$17,
IF(AND(Table2[[#This Row],[Member Type]]="Spouse",Table2[[#This Row],[Product Option]]="My Value Plus Life &amp; Funeral",_xlfn.XLOOKUP(B332,Table2[Main Member Link ID],Table2[Benefit Name],0)=Lookups!$D$14),"",
IF(AND(Table2[[#This Row],[Member Type]]="Spouse",Table2[[#This Row],[Product Option]]="My Value Plus Life &amp; Funeral",_xlfn.XLOOKUP(B331,Table2[Main Member Link ID],Table2[Benefit Name],0)=Lookups!$D$16),"",
IF(AND(Table2[[#This Row],[Member Type]]="Child",Table2[[#This Row],[Product Option]]="My Value Plus Life &amp; Funeral"),"",
IF(AND(Table2[[#This Row],[Member Type]]="Child",Table2[[#This Row],[Product Option]]="My Value Plus Life &amp; Funeral",_xlfn.XLOOKUP(B332,Table2[Main Member Link ID],Table2[Benefit Name],0)=Lookups!$D$15),"",
IF(AND(OR(Table2[[#This Row],[Member Type]]="Spouse",Table2[[#This Row],[Member Type]]="Child"),Table2[[#This Row],[Product Option]]="My Value Plus Life &amp; Funeral",_xlfn.XLOOKUP(B332,Table2[Main Member Link ID],Table2[Benefit Name],0)&lt;&gt;Lookups!$D$17),
IF(_xlfn.XLOOKUP(B332,Table2[Main Member Link ID],Table2[Benefit Name],0)=0,"",_xlfn.XLOOKUP(B332,Table2[Main Member Link ID],Table2[Benefit Name],0)),""))))))</f>
        <v/>
      </c>
      <c r="AI332" s="328" t="str">
        <f>IF(AND(Table2[[#This Row],[Member Type]]="Main Member",Table2[[#This Row],[Table Lookup for Life Cover]]="MM_LIFE",Table2[[#This Row],[Age Next Birthday]]&lt;56),1,
IF(AND(Table2[[#This Row],[Member Type]]="Main Member",Table2[[#This Row],[Table Lookup for Life Cover]]="MM_LIFE",Table2[[#This Row],[Age Next Birthday]]&gt;=56),2,
""))</f>
        <v/>
      </c>
      <c r="AJ332" s="328">
        <f>IF(OR(Table2[[#This Row],[Member Type]]="Main Member",Table2[[#This Row],[Main Member Link ID]]=B331),1,0)</f>
        <v>1</v>
      </c>
      <c r="AK332" s="328">
        <f>IF(Table2[[#This Row],[Member Type]]=0,0,
IF(OR(Table2[[#This Row],[Member Type]]="Main Member",Table2[[#This Row],[Main Member Link ID]]&lt;&gt;B332),COUNTIFS(B:B,Table2[[#This Row],[Main Member Link ID]]),
COUNTIFS(B:B,Table2[[#This Row],[Main Member Link ID]],A:A,Table2[[#This Row],[Member Type]])))</f>
        <v>0</v>
      </c>
    </row>
    <row r="333" spans="1:37" x14ac:dyDescent="0.3">
      <c r="A333" s="284">
        <f>Table13[[#This Row],[Member Type]]</f>
        <v>0</v>
      </c>
      <c r="B333" s="284">
        <f>Table13[[#This Row],[Main Member Link ID]]</f>
        <v>0</v>
      </c>
      <c r="C333" s="284">
        <f>Table13[[#This Row],[ID Number]]</f>
        <v>0</v>
      </c>
      <c r="D333" s="285">
        <f>Table13[[#This Row],[Date Of Birth]]</f>
        <v>0</v>
      </c>
      <c r="E333" s="285">
        <f>Table13[[#This Row],[Commencement Date]]</f>
        <v>0</v>
      </c>
      <c r="F333" s="284">
        <f t="shared" si="35"/>
        <v>1</v>
      </c>
      <c r="G333" s="284">
        <f t="shared" si="36"/>
        <v>25</v>
      </c>
      <c r="H333" s="286">
        <f>Table13[[#This Row],[Product Option]]</f>
        <v>0</v>
      </c>
      <c r="I333" s="284">
        <f>IF(AND($A333="Main Member",Table2[[#This Row],[Product Option]]="My Value Plus Life"),"MM_LIFE",
IF(AND($A333="Spouse",Table2[[#This Row],[Product Option]]="My Value Plus Life"),"SP_LIFE",
IF(AND($A333="Main Member",Table2[[#This Row],[Product Option]]="My Value Plus Life &amp; Funeral"),"MM_LIFE",
IF(AND($A333="Spouse",Table2[[#This Row],[Product Option]]="My Value Plus Life &amp; Funeral"),_xlfn.XLOOKUP(Table2[[#This Row],[Benefit Name]],Lookups!$D$18:$D$23,Lookups!$E$18:$E$23,0),
0))))</f>
        <v>0</v>
      </c>
      <c r="J333" s="284">
        <f>IF($I333="","",
IF($I333="MM_LIFE",INDEX('Quotation Tool'!$S$54:$V$60,MATCH($T333,'Quotation Tool'!$S$54:$S$60,0),4),
IF($I333="SP_LIFE",_xlfn.XLOOKUP(B332,$B:$B,$J:$J,0),0)))</f>
        <v>0</v>
      </c>
      <c r="K333" s="287">
        <f t="shared" ca="1" si="40"/>
        <v>0</v>
      </c>
      <c r="L333" s="288">
        <f t="shared" ca="1" si="41"/>
        <v>0</v>
      </c>
      <c r="M333" s="289">
        <f t="shared" ca="1" si="37"/>
        <v>0</v>
      </c>
      <c r="N333" s="286">
        <f>Table13[[#This Row],[Benefit Option]]</f>
        <v>0</v>
      </c>
      <c r="O333" s="284">
        <f>IF(OR(Table2[[#This Row],[Member Type]]="Spouse",Table2[[#This Row],[Member Type]]="Child"),0,
IF(_xlfn.XLOOKUP($N333,Lookups!$D$13:$D$27,Lookups!$F$13:$F$27,0)=Table2[[#This Row],[Table Lookup for Life Cover]],0,
_xlfn.XLOOKUP($N333,Lookups!$D$13:$D$27,Lookups!$F$13:$F$27,0)))</f>
        <v>0</v>
      </c>
      <c r="P333" s="284">
        <f>IF(Table2[[#This Row],[Table Lookup for Funeral]]=0,0,IFERROR(INDEX('Quotation Tool'!$S$54:$V$60,MATCH($T333,'Quotation Tool'!$S$54:$S$60,0),3),0))</f>
        <v>0</v>
      </c>
      <c r="Q333" s="288">
        <f ca="1">IF(OR(Table2[[#This Row],[Benefit Name]]="My Value Plus Life - Main Member",Table2[[#This Row],[Benefit Name]]="My Value Plus Life - Spouse"),0,
IFERROR(VLOOKUP($G333,INDIRECT($O333),$P333,FALSE),0))</f>
        <v>0</v>
      </c>
      <c r="R333" s="288">
        <f ca="1">IF(OR(Table2[[#This Row],[Benefit Name]]="My Value Plus Life - Main Member",Table2[[#This Row],[Benefit Name]]="My Value Plus Life - Spouse"),0,
IFERROR(VLOOKUP($G333,INDIRECT($O333),$P333+1,FALSE),0))</f>
        <v>0</v>
      </c>
      <c r="S333" s="289">
        <f t="shared" ca="1" si="38"/>
        <v>0</v>
      </c>
      <c r="T333" s="284" t="str">
        <f>IF(Table13[[#This Row],[Premium Waiver]]="","None",Table13[[#This Row],[Premium Waiver]])</f>
        <v>None</v>
      </c>
      <c r="U333" s="284">
        <f>Table13[[#This Row],[VAPs Options]]</f>
        <v>0</v>
      </c>
      <c r="V333" s="284">
        <f>Table13[[#This Row],[Annual Increase Option]]</f>
        <v>0</v>
      </c>
      <c r="W333" s="290">
        <f>Table13[[#This Row],[Life Cover Amount]]</f>
        <v>0</v>
      </c>
      <c r="X333" s="290">
        <f>Table13[[#This Row],[Funeral Cover Amount]]</f>
        <v>0</v>
      </c>
      <c r="Y33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3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33" s="301">
        <f t="shared" ca="1" si="39"/>
        <v>0</v>
      </c>
      <c r="AB333" s="298"/>
      <c r="AC333" s="326" t="str">
        <f>IF(Table2[[#This Row],[Member Type]]="Main Member",Lookups!$C$13,
IF(Table2[[#This Row],[Member Type]]="Spouse",_xlfn.XLOOKUP(B333,Table2[Main Member Link ID],Table2[Product Option],0),
IF(AND(Table2[[#This Row],[Member Type]]="Child",_xlfn.XLOOKUP(B333,Table2[Main Member Link ID],Table2[Product Option],0)&lt;&gt;"My Value Plus Life"),Lookups!$C$24,
IF(AND(OR(Table2[[#This Row],[Member Type]]="Parent",Table2[[#This Row],[Member Type]]="Extended"),_xlfn.XLOOKUP(B333,Table2[Main Member Link ID],Table2[Product Option],0)&lt;&gt;"My Value Plus Life"),Lookups!$C$26,""))))</f>
        <v/>
      </c>
      <c r="AD333" s="326" t="str">
        <f>IF(Table2[[#This Row],[Member Type]]="Main Member",Lookups!$C$14,"")</f>
        <v/>
      </c>
      <c r="AE33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Funeral",_xlfn.XLOOKUP(B333,Table2[Main Member Link ID],Table2[Benefit Name],0)=Lookups!$D$14),"",
IF(AND(Table2[[#This Row],[Member Type]]="Spouse",Table2[[#This Row],[Product Option]]="My Value Plus Life &amp; Funeral",_xlfn.XLOOKUP(B332,Table2[Main Member Link ID],Table2[Benefit Name],0)=Lookups!$D$15),Lookups!$D$20,
IF(AND(Table2[[#This Row],[Member Type]]="Spouse",Table2[[#This Row],[Product Option]]="My Value Plus Life &amp; Funeral",_xlfn.XLOOKUP(B332,Table2[Main Member Link ID],Table2[Benefit Name],0)=Lookups!$D$16),"",
IF(AND(Table2[[#This Row],[Member Type]]="Spouse",Table2[[#This Row],[Product Option]]="My Value Plus Life &amp; Funeral",_xlfn.XLOOKUP(B332,Table2[Main Member Link ID],Table2[Benefit Name],0)=Lookups!$D$17),Lookups!$D$21,
IF(AND(Table2[[#This Row],[Member Type]]="Child",Table2[[#This Row],[Product Option]]="My Value Plus Life &amp; Funeral",_xlfn.XLOOKUP(B333,Table2[Main Member Link ID],Table2[Benefit Name],0)=Lookups!$D$14),"",
IF(AND(Table2[[#This Row],[Member Type]]="Child",Table2[[#This Row],[Product Option]]="My Value Plus Life &amp; Funeral",_xlfn.XLOOKUP(B333,Table2[Main Member Link ID],Table2[Benefit Name],0)=Lookups!$D$15),"",
IF(AND(Table2[[#This Row],[Member Type]]="Child",Table2[[#This Row],[Product Option]]="My Value Plus Life &amp; Funeral",_xlfn.XLOOKUP(B333,Table2[Main Member Link ID],Table2[Benefit Name],0)=Lookups!$D$16),Lookups!$D$24,
IF(AND(Table2[[#This Row],[Member Type]]="Child",Table2[[#This Row],[Product Option]]="My Value Plus Life &amp; Funeral",_xlfn.XLOOKUP(B333,Table2[Main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Funeral",_xlfn.XLOOKUP(B333,Table2[Main Member Link ID],Table2[Benefit Name],0)&lt;&gt;Lookups!$D$14),
IF(_xlfn.XLOOKUP(B333,Table2[Main Member Link ID],Table2[Benefit Name],0)=0,"",_xlfn.XLOOKUP(B333,Table2[Main Member Link ID],Table2[Benefit Name],0)),"")))))))))))))))</f>
        <v/>
      </c>
      <c r="AF333" s="327" t="str">
        <f>IF(AND(Table2[[#This Row],[Member Type]]="Main Member",Table2[[#This Row],[Product Option]]="My Value Plus Life &amp; Funeral"),Lookups!$D$15,
IF(AND(Table2[[#This Row],[Member Type]]="Spouse",Table2[[#This Row],[Product Option]]="My Value Plus Life &amp; Funeral",_xlfn.XLOOKUP(B333,Table2[Main Member Link ID],Table2[Benefit Name],0)=Lookups!$D$14),"",
IF(AND(Table2[[#This Row],[Member Type]]="Spouse",Table2[[#This Row],[Product Option]]="My Value Plus Life &amp; Funeral",_xlfn.XLOOKUP(B332,Table2[Main Member Link ID],Table2[Benefit Name],0)=Lookups!$D$16),"",
IF(AND(Table2[[#This Row],[Member Type]]="Spouse",Table2[[#This Row],[Product Option]]="My Value Plus Life &amp; Funeral",_xlfn.XLOOKUP(B332,Table2[Main Member Link ID],Table2[Benefit Name],0)=Lookups!$D$15),"",
IF(AND(Table2[[#This Row],[Member Type]]="Spouse",Table2[[#This Row],[Product Option]]="My Value Plus Life &amp; Funeral",_xlfn.XLOOKUP(B332,Table2[Main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Funeral",_xlfn.XLOOKUP(B333,Table2[Main Member Link ID],Table2[Benefit Name],0)&lt;&gt;Lookups!$D$15),
IF(_xlfn.XLOOKUP(B333,Table2[Main Member Link ID],Table2[Benefit Name],0)=0,"",_xlfn.XLOOKUP(B333,Table2[Main Member Link ID],Table2[Benefit Name],0)),"")
))))))</f>
        <v/>
      </c>
      <c r="AG333" s="327" t="str">
        <f>IF(AND(Table2[[#This Row],[Member Type]]="Main Member",Table2[[#This Row],[Product Option]]="My Value Plus Life &amp; Funeral"),Lookups!$D$16,
IF(AND(Table2[[#This Row],[Member Type]]="Spouse",Table2[[#This Row],[Product Option]]="My Value Plus Life &amp; Funeral",_xlfn.XLOOKUP(B333,Table2[Main Member Link ID],Table2[Benefit Name],0)=Lookups!$D$14),"",
IF(AND(Table2[[#This Row],[Member Type]]="Spouse",Table2[[#This Row],[Product Option]]="My Value Plus Life &amp; Funeral",_xlfn.XLOOKUP(B332,Table2[Main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Funeral",_xlfn.XLOOKUP(B333,Table2[Main Member Link ID],Table2[Benefit Name],0)&lt;&gt;Lookups!$D$16),
IF(_xlfn.XLOOKUP(B333,Table2[Main Member Link ID],Table2[Benefit Name],0)=0,"",_xlfn.XLOOKUP(B333,Table2[Main Member Link ID],Table2[Benefit Name],0)),"")
))))</f>
        <v/>
      </c>
      <c r="AH333" s="327" t="str">
        <f>IF(AND(Table2[[#This Row],[Member Type]]="Main Member",Table2[[#This Row],[Product Option]]="My Value Plus Life &amp; Funeral"),Lookups!$D$17,
IF(AND(Table2[[#This Row],[Member Type]]="Spouse",Table2[[#This Row],[Product Option]]="My Value Plus Life &amp; Funeral",_xlfn.XLOOKUP(B333,Table2[Main Member Link ID],Table2[Benefit Name],0)=Lookups!$D$14),"",
IF(AND(Table2[[#This Row],[Member Type]]="Spouse",Table2[[#This Row],[Product Option]]="My Value Plus Life &amp; Funeral",_xlfn.XLOOKUP(B332,Table2[Main Member Link ID],Table2[Benefit Name],0)=Lookups!$D$16),"",
IF(AND(Table2[[#This Row],[Member Type]]="Child",Table2[[#This Row],[Product Option]]="My Value Plus Life &amp; Funeral"),"",
IF(AND(Table2[[#This Row],[Member Type]]="Child",Table2[[#This Row],[Product Option]]="My Value Plus Life &amp; Funeral",_xlfn.XLOOKUP(B333,Table2[Main Member Link ID],Table2[Benefit Name],0)=Lookups!$D$15),"",
IF(AND(OR(Table2[[#This Row],[Member Type]]="Spouse",Table2[[#This Row],[Member Type]]="Child"),Table2[[#This Row],[Product Option]]="My Value Plus Life &amp; Funeral",_xlfn.XLOOKUP(B333,Table2[Main Member Link ID],Table2[Benefit Name],0)&lt;&gt;Lookups!$D$17),
IF(_xlfn.XLOOKUP(B333,Table2[Main Member Link ID],Table2[Benefit Name],0)=0,"",_xlfn.XLOOKUP(B333,Table2[Main Member Link ID],Table2[Benefit Name],0)),""))))))</f>
        <v/>
      </c>
      <c r="AI333" s="328" t="str">
        <f>IF(AND(Table2[[#This Row],[Member Type]]="Main Member",Table2[[#This Row],[Table Lookup for Life Cover]]="MM_LIFE",Table2[[#This Row],[Age Next Birthday]]&lt;56),1,
IF(AND(Table2[[#This Row],[Member Type]]="Main Member",Table2[[#This Row],[Table Lookup for Life Cover]]="MM_LIFE",Table2[[#This Row],[Age Next Birthday]]&gt;=56),2,
""))</f>
        <v/>
      </c>
      <c r="AJ333" s="328">
        <f>IF(OR(Table2[[#This Row],[Member Type]]="Main Member",Table2[[#This Row],[Main Member Link ID]]=B332),1,0)</f>
        <v>1</v>
      </c>
      <c r="AK333" s="328">
        <f>IF(Table2[[#This Row],[Member Type]]=0,0,
IF(OR(Table2[[#This Row],[Member Type]]="Main Member",Table2[[#This Row],[Main Member Link ID]]&lt;&gt;B333),COUNTIFS(B:B,Table2[[#This Row],[Main Member Link ID]]),
COUNTIFS(B:B,Table2[[#This Row],[Main Member Link ID]],A:A,Table2[[#This Row],[Member Type]])))</f>
        <v>0</v>
      </c>
    </row>
    <row r="334" spans="1:37" x14ac:dyDescent="0.3">
      <c r="A334" s="284">
        <f>Table13[[#This Row],[Member Type]]</f>
        <v>0</v>
      </c>
      <c r="B334" s="284">
        <f>Table13[[#This Row],[Main Member Link ID]]</f>
        <v>0</v>
      </c>
      <c r="C334" s="284">
        <f>Table13[[#This Row],[ID Number]]</f>
        <v>0</v>
      </c>
      <c r="D334" s="285">
        <f>Table13[[#This Row],[Date Of Birth]]</f>
        <v>0</v>
      </c>
      <c r="E334" s="285">
        <f>Table13[[#This Row],[Commencement Date]]</f>
        <v>0</v>
      </c>
      <c r="F334" s="284">
        <f t="shared" si="35"/>
        <v>1</v>
      </c>
      <c r="G334" s="284">
        <f t="shared" si="36"/>
        <v>25</v>
      </c>
      <c r="H334" s="286">
        <f>Table13[[#This Row],[Product Option]]</f>
        <v>0</v>
      </c>
      <c r="I334" s="284">
        <f>IF(AND($A334="Main Member",Table2[[#This Row],[Product Option]]="My Value Plus Life"),"MM_LIFE",
IF(AND($A334="Spouse",Table2[[#This Row],[Product Option]]="My Value Plus Life"),"SP_LIFE",
IF(AND($A334="Main Member",Table2[[#This Row],[Product Option]]="My Value Plus Life &amp; Funeral"),"MM_LIFE",
IF(AND($A334="Spouse",Table2[[#This Row],[Product Option]]="My Value Plus Life &amp; Funeral"),_xlfn.XLOOKUP(Table2[[#This Row],[Benefit Name]],Lookups!$D$18:$D$23,Lookups!$E$18:$E$23,0),
0))))</f>
        <v>0</v>
      </c>
      <c r="J334" s="284">
        <f>IF($I334="","",
IF($I334="MM_LIFE",INDEX('Quotation Tool'!$S$54:$V$60,MATCH($T334,'Quotation Tool'!$S$54:$S$60,0),4),
IF($I334="SP_LIFE",_xlfn.XLOOKUP(B333,$B:$B,$J:$J,0),0)))</f>
        <v>0</v>
      </c>
      <c r="K334" s="287">
        <f t="shared" ca="1" si="40"/>
        <v>0</v>
      </c>
      <c r="L334" s="288">
        <f t="shared" ca="1" si="41"/>
        <v>0</v>
      </c>
      <c r="M334" s="289">
        <f t="shared" ca="1" si="37"/>
        <v>0</v>
      </c>
      <c r="N334" s="286">
        <f>Table13[[#This Row],[Benefit Option]]</f>
        <v>0</v>
      </c>
      <c r="O334" s="284">
        <f>IF(OR(Table2[[#This Row],[Member Type]]="Spouse",Table2[[#This Row],[Member Type]]="Child"),0,
IF(_xlfn.XLOOKUP($N334,Lookups!$D$13:$D$27,Lookups!$F$13:$F$27,0)=Table2[[#This Row],[Table Lookup for Life Cover]],0,
_xlfn.XLOOKUP($N334,Lookups!$D$13:$D$27,Lookups!$F$13:$F$27,0)))</f>
        <v>0</v>
      </c>
      <c r="P334" s="284">
        <f>IF(Table2[[#This Row],[Table Lookup for Funeral]]=0,0,IFERROR(INDEX('Quotation Tool'!$S$54:$V$60,MATCH($T334,'Quotation Tool'!$S$54:$S$60,0),3),0))</f>
        <v>0</v>
      </c>
      <c r="Q334" s="288">
        <f ca="1">IF(OR(Table2[[#This Row],[Benefit Name]]="My Value Plus Life - Main Member",Table2[[#This Row],[Benefit Name]]="My Value Plus Life - Spouse"),0,
IFERROR(VLOOKUP($G334,INDIRECT($O334),$P334,FALSE),0))</f>
        <v>0</v>
      </c>
      <c r="R334" s="288">
        <f ca="1">IF(OR(Table2[[#This Row],[Benefit Name]]="My Value Plus Life - Main Member",Table2[[#This Row],[Benefit Name]]="My Value Plus Life - Spouse"),0,
IFERROR(VLOOKUP($G334,INDIRECT($O334),$P334+1,FALSE),0))</f>
        <v>0</v>
      </c>
      <c r="S334" s="289">
        <f t="shared" ca="1" si="38"/>
        <v>0</v>
      </c>
      <c r="T334" s="284" t="str">
        <f>IF(Table13[[#This Row],[Premium Waiver]]="","None",Table13[[#This Row],[Premium Waiver]])</f>
        <v>None</v>
      </c>
      <c r="U334" s="284">
        <f>Table13[[#This Row],[VAPs Options]]</f>
        <v>0</v>
      </c>
      <c r="V334" s="284">
        <f>Table13[[#This Row],[Annual Increase Option]]</f>
        <v>0</v>
      </c>
      <c r="W334" s="290">
        <f>Table13[[#This Row],[Life Cover Amount]]</f>
        <v>0</v>
      </c>
      <c r="X334" s="290">
        <f>Table13[[#This Row],[Funeral Cover Amount]]</f>
        <v>0</v>
      </c>
      <c r="Y33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3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34" s="301">
        <f t="shared" ca="1" si="39"/>
        <v>0</v>
      </c>
      <c r="AB334" s="298"/>
      <c r="AC334" s="326" t="str">
        <f>IF(Table2[[#This Row],[Member Type]]="Main Member",Lookups!$C$13,
IF(Table2[[#This Row],[Member Type]]="Spouse",_xlfn.XLOOKUP(B334,Table2[Main Member Link ID],Table2[Product Option],0),
IF(AND(Table2[[#This Row],[Member Type]]="Child",_xlfn.XLOOKUP(B334,Table2[Main Member Link ID],Table2[Product Option],0)&lt;&gt;"My Value Plus Life"),Lookups!$C$24,
IF(AND(OR(Table2[[#This Row],[Member Type]]="Parent",Table2[[#This Row],[Member Type]]="Extended"),_xlfn.XLOOKUP(B334,Table2[Main Member Link ID],Table2[Product Option],0)&lt;&gt;"My Value Plus Life"),Lookups!$C$26,""))))</f>
        <v/>
      </c>
      <c r="AD334" s="326" t="str">
        <f>IF(Table2[[#This Row],[Member Type]]="Main Member",Lookups!$C$14,"")</f>
        <v/>
      </c>
      <c r="AE33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Funeral",_xlfn.XLOOKUP(B334,Table2[Main Member Link ID],Table2[Benefit Name],0)=Lookups!$D$14),"",
IF(AND(Table2[[#This Row],[Member Type]]="Spouse",Table2[[#This Row],[Product Option]]="My Value Plus Life &amp; Funeral",_xlfn.XLOOKUP(B333,Table2[Main Member Link ID],Table2[Benefit Name],0)=Lookups!$D$15),Lookups!$D$20,
IF(AND(Table2[[#This Row],[Member Type]]="Spouse",Table2[[#This Row],[Product Option]]="My Value Plus Life &amp; Funeral",_xlfn.XLOOKUP(B333,Table2[Main Member Link ID],Table2[Benefit Name],0)=Lookups!$D$16),"",
IF(AND(Table2[[#This Row],[Member Type]]="Spouse",Table2[[#This Row],[Product Option]]="My Value Plus Life &amp; Funeral",_xlfn.XLOOKUP(B333,Table2[Main Member Link ID],Table2[Benefit Name],0)=Lookups!$D$17),Lookups!$D$21,
IF(AND(Table2[[#This Row],[Member Type]]="Child",Table2[[#This Row],[Product Option]]="My Value Plus Life &amp; Funeral",_xlfn.XLOOKUP(B334,Table2[Main Member Link ID],Table2[Benefit Name],0)=Lookups!$D$14),"",
IF(AND(Table2[[#This Row],[Member Type]]="Child",Table2[[#This Row],[Product Option]]="My Value Plus Life &amp; Funeral",_xlfn.XLOOKUP(B334,Table2[Main Member Link ID],Table2[Benefit Name],0)=Lookups!$D$15),"",
IF(AND(Table2[[#This Row],[Member Type]]="Child",Table2[[#This Row],[Product Option]]="My Value Plus Life &amp; Funeral",_xlfn.XLOOKUP(B334,Table2[Main Member Link ID],Table2[Benefit Name],0)=Lookups!$D$16),Lookups!$D$24,
IF(AND(Table2[[#This Row],[Member Type]]="Child",Table2[[#This Row],[Product Option]]="My Value Plus Life &amp; Funeral",_xlfn.XLOOKUP(B334,Table2[Main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Funeral",_xlfn.XLOOKUP(B334,Table2[Main Member Link ID],Table2[Benefit Name],0)&lt;&gt;Lookups!$D$14),
IF(_xlfn.XLOOKUP(B334,Table2[Main Member Link ID],Table2[Benefit Name],0)=0,"",_xlfn.XLOOKUP(B334,Table2[Main Member Link ID],Table2[Benefit Name],0)),"")))))))))))))))</f>
        <v/>
      </c>
      <c r="AF334" s="327" t="str">
        <f>IF(AND(Table2[[#This Row],[Member Type]]="Main Member",Table2[[#This Row],[Product Option]]="My Value Plus Life &amp; Funeral"),Lookups!$D$15,
IF(AND(Table2[[#This Row],[Member Type]]="Spouse",Table2[[#This Row],[Product Option]]="My Value Plus Life &amp; Funeral",_xlfn.XLOOKUP(B334,Table2[Main Member Link ID],Table2[Benefit Name],0)=Lookups!$D$14),"",
IF(AND(Table2[[#This Row],[Member Type]]="Spouse",Table2[[#This Row],[Product Option]]="My Value Plus Life &amp; Funeral",_xlfn.XLOOKUP(B333,Table2[Main Member Link ID],Table2[Benefit Name],0)=Lookups!$D$16),"",
IF(AND(Table2[[#This Row],[Member Type]]="Spouse",Table2[[#This Row],[Product Option]]="My Value Plus Life &amp; Funeral",_xlfn.XLOOKUP(B333,Table2[Main Member Link ID],Table2[Benefit Name],0)=Lookups!$D$15),"",
IF(AND(Table2[[#This Row],[Member Type]]="Spouse",Table2[[#This Row],[Product Option]]="My Value Plus Life &amp; Funeral",_xlfn.XLOOKUP(B333,Table2[Main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Funeral",_xlfn.XLOOKUP(B334,Table2[Main Member Link ID],Table2[Benefit Name],0)&lt;&gt;Lookups!$D$15),
IF(_xlfn.XLOOKUP(B334,Table2[Main Member Link ID],Table2[Benefit Name],0)=0,"",_xlfn.XLOOKUP(B334,Table2[Main Member Link ID],Table2[Benefit Name],0)),"")
))))))</f>
        <v/>
      </c>
      <c r="AG334" s="327" t="str">
        <f>IF(AND(Table2[[#This Row],[Member Type]]="Main Member",Table2[[#This Row],[Product Option]]="My Value Plus Life &amp; Funeral"),Lookups!$D$16,
IF(AND(Table2[[#This Row],[Member Type]]="Spouse",Table2[[#This Row],[Product Option]]="My Value Plus Life &amp; Funeral",_xlfn.XLOOKUP(B334,Table2[Main Member Link ID],Table2[Benefit Name],0)=Lookups!$D$14),"",
IF(AND(Table2[[#This Row],[Member Type]]="Spouse",Table2[[#This Row],[Product Option]]="My Value Plus Life &amp; Funeral",_xlfn.XLOOKUP(B333,Table2[Main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Funeral",_xlfn.XLOOKUP(B334,Table2[Main Member Link ID],Table2[Benefit Name],0)&lt;&gt;Lookups!$D$16),
IF(_xlfn.XLOOKUP(B334,Table2[Main Member Link ID],Table2[Benefit Name],0)=0,"",_xlfn.XLOOKUP(B334,Table2[Main Member Link ID],Table2[Benefit Name],0)),"")
))))</f>
        <v/>
      </c>
      <c r="AH334" s="327" t="str">
        <f>IF(AND(Table2[[#This Row],[Member Type]]="Main Member",Table2[[#This Row],[Product Option]]="My Value Plus Life &amp; Funeral"),Lookups!$D$17,
IF(AND(Table2[[#This Row],[Member Type]]="Spouse",Table2[[#This Row],[Product Option]]="My Value Plus Life &amp; Funeral",_xlfn.XLOOKUP(B334,Table2[Main Member Link ID],Table2[Benefit Name],0)=Lookups!$D$14),"",
IF(AND(Table2[[#This Row],[Member Type]]="Spouse",Table2[[#This Row],[Product Option]]="My Value Plus Life &amp; Funeral",_xlfn.XLOOKUP(B333,Table2[Main Member Link ID],Table2[Benefit Name],0)=Lookups!$D$16),"",
IF(AND(Table2[[#This Row],[Member Type]]="Child",Table2[[#This Row],[Product Option]]="My Value Plus Life &amp; Funeral"),"",
IF(AND(Table2[[#This Row],[Member Type]]="Child",Table2[[#This Row],[Product Option]]="My Value Plus Life &amp; Funeral",_xlfn.XLOOKUP(B334,Table2[Main Member Link ID],Table2[Benefit Name],0)=Lookups!$D$15),"",
IF(AND(OR(Table2[[#This Row],[Member Type]]="Spouse",Table2[[#This Row],[Member Type]]="Child"),Table2[[#This Row],[Product Option]]="My Value Plus Life &amp; Funeral",_xlfn.XLOOKUP(B334,Table2[Main Member Link ID],Table2[Benefit Name],0)&lt;&gt;Lookups!$D$17),
IF(_xlfn.XLOOKUP(B334,Table2[Main Member Link ID],Table2[Benefit Name],0)=0,"",_xlfn.XLOOKUP(B334,Table2[Main Member Link ID],Table2[Benefit Name],0)),""))))))</f>
        <v/>
      </c>
      <c r="AI334" s="328" t="str">
        <f>IF(AND(Table2[[#This Row],[Member Type]]="Main Member",Table2[[#This Row],[Table Lookup for Life Cover]]="MM_LIFE",Table2[[#This Row],[Age Next Birthday]]&lt;56),1,
IF(AND(Table2[[#This Row],[Member Type]]="Main Member",Table2[[#This Row],[Table Lookup for Life Cover]]="MM_LIFE",Table2[[#This Row],[Age Next Birthday]]&gt;=56),2,
""))</f>
        <v/>
      </c>
      <c r="AJ334" s="328">
        <f>IF(OR(Table2[[#This Row],[Member Type]]="Main Member",Table2[[#This Row],[Main Member Link ID]]=B333),1,0)</f>
        <v>1</v>
      </c>
      <c r="AK334" s="328">
        <f>IF(Table2[[#This Row],[Member Type]]=0,0,
IF(OR(Table2[[#This Row],[Member Type]]="Main Member",Table2[[#This Row],[Main Member Link ID]]&lt;&gt;B334),COUNTIFS(B:B,Table2[[#This Row],[Main Member Link ID]]),
COUNTIFS(B:B,Table2[[#This Row],[Main Member Link ID]],A:A,Table2[[#This Row],[Member Type]])))</f>
        <v>0</v>
      </c>
    </row>
    <row r="335" spans="1:37" x14ac:dyDescent="0.3">
      <c r="A335" s="284">
        <f>Table13[[#This Row],[Member Type]]</f>
        <v>0</v>
      </c>
      <c r="B335" s="284">
        <f>Table13[[#This Row],[Main Member Link ID]]</f>
        <v>0</v>
      </c>
      <c r="C335" s="284">
        <f>Table13[[#This Row],[ID Number]]</f>
        <v>0</v>
      </c>
      <c r="D335" s="285">
        <f>Table13[[#This Row],[Date Of Birth]]</f>
        <v>0</v>
      </c>
      <c r="E335" s="285">
        <f>Table13[[#This Row],[Commencement Date]]</f>
        <v>0</v>
      </c>
      <c r="F335" s="284">
        <f t="shared" si="35"/>
        <v>1</v>
      </c>
      <c r="G335" s="284">
        <f t="shared" si="36"/>
        <v>25</v>
      </c>
      <c r="H335" s="286">
        <f>Table13[[#This Row],[Product Option]]</f>
        <v>0</v>
      </c>
      <c r="I335" s="284">
        <f>IF(AND($A335="Main Member",Table2[[#This Row],[Product Option]]="My Value Plus Life"),"MM_LIFE",
IF(AND($A335="Spouse",Table2[[#This Row],[Product Option]]="My Value Plus Life"),"SP_LIFE",
IF(AND($A335="Main Member",Table2[[#This Row],[Product Option]]="My Value Plus Life &amp; Funeral"),"MM_LIFE",
IF(AND($A335="Spouse",Table2[[#This Row],[Product Option]]="My Value Plus Life &amp; Funeral"),_xlfn.XLOOKUP(Table2[[#This Row],[Benefit Name]],Lookups!$D$18:$D$23,Lookups!$E$18:$E$23,0),
0))))</f>
        <v>0</v>
      </c>
      <c r="J335" s="284">
        <f>IF($I335="","",
IF($I335="MM_LIFE",INDEX('Quotation Tool'!$S$54:$V$60,MATCH($T335,'Quotation Tool'!$S$54:$S$60,0),4),
IF($I335="SP_LIFE",_xlfn.XLOOKUP(B334,$B:$B,$J:$J,0),0)))</f>
        <v>0</v>
      </c>
      <c r="K335" s="287">
        <f t="shared" ca="1" si="40"/>
        <v>0</v>
      </c>
      <c r="L335" s="288">
        <f t="shared" ca="1" si="41"/>
        <v>0</v>
      </c>
      <c r="M335" s="289">
        <f t="shared" ca="1" si="37"/>
        <v>0</v>
      </c>
      <c r="N335" s="286">
        <f>Table13[[#This Row],[Benefit Option]]</f>
        <v>0</v>
      </c>
      <c r="O335" s="284">
        <f>IF(OR(Table2[[#This Row],[Member Type]]="Spouse",Table2[[#This Row],[Member Type]]="Child"),0,
IF(_xlfn.XLOOKUP($N335,Lookups!$D$13:$D$27,Lookups!$F$13:$F$27,0)=Table2[[#This Row],[Table Lookup for Life Cover]],0,
_xlfn.XLOOKUP($N335,Lookups!$D$13:$D$27,Lookups!$F$13:$F$27,0)))</f>
        <v>0</v>
      </c>
      <c r="P335" s="284">
        <f>IF(Table2[[#This Row],[Table Lookup for Funeral]]=0,0,IFERROR(INDEX('Quotation Tool'!$S$54:$V$60,MATCH($T335,'Quotation Tool'!$S$54:$S$60,0),3),0))</f>
        <v>0</v>
      </c>
      <c r="Q335" s="288">
        <f ca="1">IF(OR(Table2[[#This Row],[Benefit Name]]="My Value Plus Life - Main Member",Table2[[#This Row],[Benefit Name]]="My Value Plus Life - Spouse"),0,
IFERROR(VLOOKUP($G335,INDIRECT($O335),$P335,FALSE),0))</f>
        <v>0</v>
      </c>
      <c r="R335" s="288">
        <f ca="1">IF(OR(Table2[[#This Row],[Benefit Name]]="My Value Plus Life - Main Member",Table2[[#This Row],[Benefit Name]]="My Value Plus Life - Spouse"),0,
IFERROR(VLOOKUP($G335,INDIRECT($O335),$P335+1,FALSE),0))</f>
        <v>0</v>
      </c>
      <c r="S335" s="289">
        <f t="shared" ca="1" si="38"/>
        <v>0</v>
      </c>
      <c r="T335" s="284" t="str">
        <f>IF(Table13[[#This Row],[Premium Waiver]]="","None",Table13[[#This Row],[Premium Waiver]])</f>
        <v>None</v>
      </c>
      <c r="U335" s="284">
        <f>Table13[[#This Row],[VAPs Options]]</f>
        <v>0</v>
      </c>
      <c r="V335" s="284">
        <f>Table13[[#This Row],[Annual Increase Option]]</f>
        <v>0</v>
      </c>
      <c r="W335" s="290">
        <f>Table13[[#This Row],[Life Cover Amount]]</f>
        <v>0</v>
      </c>
      <c r="X335" s="290">
        <f>Table13[[#This Row],[Funeral Cover Amount]]</f>
        <v>0</v>
      </c>
      <c r="Y33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3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35" s="301">
        <f t="shared" ca="1" si="39"/>
        <v>0</v>
      </c>
      <c r="AB335" s="298"/>
      <c r="AC335" s="326" t="str">
        <f>IF(Table2[[#This Row],[Member Type]]="Main Member",Lookups!$C$13,
IF(Table2[[#This Row],[Member Type]]="Spouse",_xlfn.XLOOKUP(B335,Table2[Main Member Link ID],Table2[Product Option],0),
IF(AND(Table2[[#This Row],[Member Type]]="Child",_xlfn.XLOOKUP(B335,Table2[Main Member Link ID],Table2[Product Option],0)&lt;&gt;"My Value Plus Life"),Lookups!$C$24,
IF(AND(OR(Table2[[#This Row],[Member Type]]="Parent",Table2[[#This Row],[Member Type]]="Extended"),_xlfn.XLOOKUP(B335,Table2[Main Member Link ID],Table2[Product Option],0)&lt;&gt;"My Value Plus Life"),Lookups!$C$26,""))))</f>
        <v/>
      </c>
      <c r="AD335" s="326" t="str">
        <f>IF(Table2[[#This Row],[Member Type]]="Main Member",Lookups!$C$14,"")</f>
        <v/>
      </c>
      <c r="AE33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Funeral",_xlfn.XLOOKUP(B335,Table2[Main Member Link ID],Table2[Benefit Name],0)=Lookups!$D$14),"",
IF(AND(Table2[[#This Row],[Member Type]]="Spouse",Table2[[#This Row],[Product Option]]="My Value Plus Life &amp; Funeral",_xlfn.XLOOKUP(B334,Table2[Main Member Link ID],Table2[Benefit Name],0)=Lookups!$D$15),Lookups!$D$20,
IF(AND(Table2[[#This Row],[Member Type]]="Spouse",Table2[[#This Row],[Product Option]]="My Value Plus Life &amp; Funeral",_xlfn.XLOOKUP(B334,Table2[Main Member Link ID],Table2[Benefit Name],0)=Lookups!$D$16),"",
IF(AND(Table2[[#This Row],[Member Type]]="Spouse",Table2[[#This Row],[Product Option]]="My Value Plus Life &amp; Funeral",_xlfn.XLOOKUP(B334,Table2[Main Member Link ID],Table2[Benefit Name],0)=Lookups!$D$17),Lookups!$D$21,
IF(AND(Table2[[#This Row],[Member Type]]="Child",Table2[[#This Row],[Product Option]]="My Value Plus Life &amp; Funeral",_xlfn.XLOOKUP(B335,Table2[Main Member Link ID],Table2[Benefit Name],0)=Lookups!$D$14),"",
IF(AND(Table2[[#This Row],[Member Type]]="Child",Table2[[#This Row],[Product Option]]="My Value Plus Life &amp; Funeral",_xlfn.XLOOKUP(B335,Table2[Main Member Link ID],Table2[Benefit Name],0)=Lookups!$D$15),"",
IF(AND(Table2[[#This Row],[Member Type]]="Child",Table2[[#This Row],[Product Option]]="My Value Plus Life &amp; Funeral",_xlfn.XLOOKUP(B335,Table2[Main Member Link ID],Table2[Benefit Name],0)=Lookups!$D$16),Lookups!$D$24,
IF(AND(Table2[[#This Row],[Member Type]]="Child",Table2[[#This Row],[Product Option]]="My Value Plus Life &amp; Funeral",_xlfn.XLOOKUP(B335,Table2[Main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Funeral",_xlfn.XLOOKUP(B335,Table2[Main Member Link ID],Table2[Benefit Name],0)&lt;&gt;Lookups!$D$14),
IF(_xlfn.XLOOKUP(B335,Table2[Main Member Link ID],Table2[Benefit Name],0)=0,"",_xlfn.XLOOKUP(B335,Table2[Main Member Link ID],Table2[Benefit Name],0)),"")))))))))))))))</f>
        <v/>
      </c>
      <c r="AF335" s="327" t="str">
        <f>IF(AND(Table2[[#This Row],[Member Type]]="Main Member",Table2[[#This Row],[Product Option]]="My Value Plus Life &amp; Funeral"),Lookups!$D$15,
IF(AND(Table2[[#This Row],[Member Type]]="Spouse",Table2[[#This Row],[Product Option]]="My Value Plus Life &amp; Funeral",_xlfn.XLOOKUP(B335,Table2[Main Member Link ID],Table2[Benefit Name],0)=Lookups!$D$14),"",
IF(AND(Table2[[#This Row],[Member Type]]="Spouse",Table2[[#This Row],[Product Option]]="My Value Plus Life &amp; Funeral",_xlfn.XLOOKUP(B334,Table2[Main Member Link ID],Table2[Benefit Name],0)=Lookups!$D$16),"",
IF(AND(Table2[[#This Row],[Member Type]]="Spouse",Table2[[#This Row],[Product Option]]="My Value Plus Life &amp; Funeral",_xlfn.XLOOKUP(B334,Table2[Main Member Link ID],Table2[Benefit Name],0)=Lookups!$D$15),"",
IF(AND(Table2[[#This Row],[Member Type]]="Spouse",Table2[[#This Row],[Product Option]]="My Value Plus Life &amp; Funeral",_xlfn.XLOOKUP(B334,Table2[Main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Funeral",_xlfn.XLOOKUP(B335,Table2[Main Member Link ID],Table2[Benefit Name],0)&lt;&gt;Lookups!$D$15),
IF(_xlfn.XLOOKUP(B335,Table2[Main Member Link ID],Table2[Benefit Name],0)=0,"",_xlfn.XLOOKUP(B335,Table2[Main Member Link ID],Table2[Benefit Name],0)),"")
))))))</f>
        <v/>
      </c>
      <c r="AG335" s="327" t="str">
        <f>IF(AND(Table2[[#This Row],[Member Type]]="Main Member",Table2[[#This Row],[Product Option]]="My Value Plus Life &amp; Funeral"),Lookups!$D$16,
IF(AND(Table2[[#This Row],[Member Type]]="Spouse",Table2[[#This Row],[Product Option]]="My Value Plus Life &amp; Funeral",_xlfn.XLOOKUP(B335,Table2[Main Member Link ID],Table2[Benefit Name],0)=Lookups!$D$14),"",
IF(AND(Table2[[#This Row],[Member Type]]="Spouse",Table2[[#This Row],[Product Option]]="My Value Plus Life &amp; Funeral",_xlfn.XLOOKUP(B334,Table2[Main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Funeral",_xlfn.XLOOKUP(B335,Table2[Main Member Link ID],Table2[Benefit Name],0)&lt;&gt;Lookups!$D$16),
IF(_xlfn.XLOOKUP(B335,Table2[Main Member Link ID],Table2[Benefit Name],0)=0,"",_xlfn.XLOOKUP(B335,Table2[Main Member Link ID],Table2[Benefit Name],0)),"")
))))</f>
        <v/>
      </c>
      <c r="AH335" s="327" t="str">
        <f>IF(AND(Table2[[#This Row],[Member Type]]="Main Member",Table2[[#This Row],[Product Option]]="My Value Plus Life &amp; Funeral"),Lookups!$D$17,
IF(AND(Table2[[#This Row],[Member Type]]="Spouse",Table2[[#This Row],[Product Option]]="My Value Plus Life &amp; Funeral",_xlfn.XLOOKUP(B335,Table2[Main Member Link ID],Table2[Benefit Name],0)=Lookups!$D$14),"",
IF(AND(Table2[[#This Row],[Member Type]]="Spouse",Table2[[#This Row],[Product Option]]="My Value Plus Life &amp; Funeral",_xlfn.XLOOKUP(B334,Table2[Main Member Link ID],Table2[Benefit Name],0)=Lookups!$D$16),"",
IF(AND(Table2[[#This Row],[Member Type]]="Child",Table2[[#This Row],[Product Option]]="My Value Plus Life &amp; Funeral"),"",
IF(AND(Table2[[#This Row],[Member Type]]="Child",Table2[[#This Row],[Product Option]]="My Value Plus Life &amp; Funeral",_xlfn.XLOOKUP(B335,Table2[Main Member Link ID],Table2[Benefit Name],0)=Lookups!$D$15),"",
IF(AND(OR(Table2[[#This Row],[Member Type]]="Spouse",Table2[[#This Row],[Member Type]]="Child"),Table2[[#This Row],[Product Option]]="My Value Plus Life &amp; Funeral",_xlfn.XLOOKUP(B335,Table2[Main Member Link ID],Table2[Benefit Name],0)&lt;&gt;Lookups!$D$17),
IF(_xlfn.XLOOKUP(B335,Table2[Main Member Link ID],Table2[Benefit Name],0)=0,"",_xlfn.XLOOKUP(B335,Table2[Main Member Link ID],Table2[Benefit Name],0)),""))))))</f>
        <v/>
      </c>
      <c r="AI335" s="328" t="str">
        <f>IF(AND(Table2[[#This Row],[Member Type]]="Main Member",Table2[[#This Row],[Table Lookup for Life Cover]]="MM_LIFE",Table2[[#This Row],[Age Next Birthday]]&lt;56),1,
IF(AND(Table2[[#This Row],[Member Type]]="Main Member",Table2[[#This Row],[Table Lookup for Life Cover]]="MM_LIFE",Table2[[#This Row],[Age Next Birthday]]&gt;=56),2,
""))</f>
        <v/>
      </c>
      <c r="AJ335" s="328">
        <f>IF(OR(Table2[[#This Row],[Member Type]]="Main Member",Table2[[#This Row],[Main Member Link ID]]=B334),1,0)</f>
        <v>1</v>
      </c>
      <c r="AK335" s="328">
        <f>IF(Table2[[#This Row],[Member Type]]=0,0,
IF(OR(Table2[[#This Row],[Member Type]]="Main Member",Table2[[#This Row],[Main Member Link ID]]&lt;&gt;B335),COUNTIFS(B:B,Table2[[#This Row],[Main Member Link ID]]),
COUNTIFS(B:B,Table2[[#This Row],[Main Member Link ID]],A:A,Table2[[#This Row],[Member Type]])))</f>
        <v>0</v>
      </c>
    </row>
    <row r="336" spans="1:37" x14ac:dyDescent="0.3">
      <c r="A336" s="284">
        <f>Table13[[#This Row],[Member Type]]</f>
        <v>0</v>
      </c>
      <c r="B336" s="284">
        <f>Table13[[#This Row],[Main Member Link ID]]</f>
        <v>0</v>
      </c>
      <c r="C336" s="284">
        <f>Table13[[#This Row],[ID Number]]</f>
        <v>0</v>
      </c>
      <c r="D336" s="285">
        <f>Table13[[#This Row],[Date Of Birth]]</f>
        <v>0</v>
      </c>
      <c r="E336" s="285">
        <f>Table13[[#This Row],[Commencement Date]]</f>
        <v>0</v>
      </c>
      <c r="F336" s="284">
        <f t="shared" si="35"/>
        <v>1</v>
      </c>
      <c r="G336" s="284">
        <f t="shared" si="36"/>
        <v>25</v>
      </c>
      <c r="H336" s="286">
        <f>Table13[[#This Row],[Product Option]]</f>
        <v>0</v>
      </c>
      <c r="I336" s="284">
        <f>IF(AND($A336="Main Member",Table2[[#This Row],[Product Option]]="My Value Plus Life"),"MM_LIFE",
IF(AND($A336="Spouse",Table2[[#This Row],[Product Option]]="My Value Plus Life"),"SP_LIFE",
IF(AND($A336="Main Member",Table2[[#This Row],[Product Option]]="My Value Plus Life &amp; Funeral"),"MM_LIFE",
IF(AND($A336="Spouse",Table2[[#This Row],[Product Option]]="My Value Plus Life &amp; Funeral"),_xlfn.XLOOKUP(Table2[[#This Row],[Benefit Name]],Lookups!$D$18:$D$23,Lookups!$E$18:$E$23,0),
0))))</f>
        <v>0</v>
      </c>
      <c r="J336" s="284">
        <f>IF($I336="","",
IF($I336="MM_LIFE",INDEX('Quotation Tool'!$S$54:$V$60,MATCH($T336,'Quotation Tool'!$S$54:$S$60,0),4),
IF($I336="SP_LIFE",_xlfn.XLOOKUP(B335,$B:$B,$J:$J,0),0)))</f>
        <v>0</v>
      </c>
      <c r="K336" s="287">
        <f t="shared" ca="1" si="40"/>
        <v>0</v>
      </c>
      <c r="L336" s="288">
        <f t="shared" ca="1" si="41"/>
        <v>0</v>
      </c>
      <c r="M336" s="289">
        <f t="shared" ca="1" si="37"/>
        <v>0</v>
      </c>
      <c r="N336" s="286">
        <f>Table13[[#This Row],[Benefit Option]]</f>
        <v>0</v>
      </c>
      <c r="O336" s="284">
        <f>IF(OR(Table2[[#This Row],[Member Type]]="Spouse",Table2[[#This Row],[Member Type]]="Child"),0,
IF(_xlfn.XLOOKUP($N336,Lookups!$D$13:$D$27,Lookups!$F$13:$F$27,0)=Table2[[#This Row],[Table Lookup for Life Cover]],0,
_xlfn.XLOOKUP($N336,Lookups!$D$13:$D$27,Lookups!$F$13:$F$27,0)))</f>
        <v>0</v>
      </c>
      <c r="P336" s="284">
        <f>IF(Table2[[#This Row],[Table Lookup for Funeral]]=0,0,IFERROR(INDEX('Quotation Tool'!$S$54:$V$60,MATCH($T336,'Quotation Tool'!$S$54:$S$60,0),3),0))</f>
        <v>0</v>
      </c>
      <c r="Q336" s="288">
        <f ca="1">IF(OR(Table2[[#This Row],[Benefit Name]]="My Value Plus Life - Main Member",Table2[[#This Row],[Benefit Name]]="My Value Plus Life - Spouse"),0,
IFERROR(VLOOKUP($G336,INDIRECT($O336),$P336,FALSE),0))</f>
        <v>0</v>
      </c>
      <c r="R336" s="288">
        <f ca="1">IF(OR(Table2[[#This Row],[Benefit Name]]="My Value Plus Life - Main Member",Table2[[#This Row],[Benefit Name]]="My Value Plus Life - Spouse"),0,
IFERROR(VLOOKUP($G336,INDIRECT($O336),$P336+1,FALSE),0))</f>
        <v>0</v>
      </c>
      <c r="S336" s="289">
        <f t="shared" ca="1" si="38"/>
        <v>0</v>
      </c>
      <c r="T336" s="284" t="str">
        <f>IF(Table13[[#This Row],[Premium Waiver]]="","None",Table13[[#This Row],[Premium Waiver]])</f>
        <v>None</v>
      </c>
      <c r="U336" s="284">
        <f>Table13[[#This Row],[VAPs Options]]</f>
        <v>0</v>
      </c>
      <c r="V336" s="284">
        <f>Table13[[#This Row],[Annual Increase Option]]</f>
        <v>0</v>
      </c>
      <c r="W336" s="290">
        <f>Table13[[#This Row],[Life Cover Amount]]</f>
        <v>0</v>
      </c>
      <c r="X336" s="290">
        <f>Table13[[#This Row],[Funeral Cover Amount]]</f>
        <v>0</v>
      </c>
      <c r="Y33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3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36" s="301">
        <f t="shared" ca="1" si="39"/>
        <v>0</v>
      </c>
      <c r="AB336" s="298"/>
      <c r="AC336" s="326" t="str">
        <f>IF(Table2[[#This Row],[Member Type]]="Main Member",Lookups!$C$13,
IF(Table2[[#This Row],[Member Type]]="Spouse",_xlfn.XLOOKUP(B336,Table2[Main Member Link ID],Table2[Product Option],0),
IF(AND(Table2[[#This Row],[Member Type]]="Child",_xlfn.XLOOKUP(B336,Table2[Main Member Link ID],Table2[Product Option],0)&lt;&gt;"My Value Plus Life"),Lookups!$C$24,
IF(AND(OR(Table2[[#This Row],[Member Type]]="Parent",Table2[[#This Row],[Member Type]]="Extended"),_xlfn.XLOOKUP(B336,Table2[Main Member Link ID],Table2[Product Option],0)&lt;&gt;"My Value Plus Life"),Lookups!$C$26,""))))</f>
        <v/>
      </c>
      <c r="AD336" s="326" t="str">
        <f>IF(Table2[[#This Row],[Member Type]]="Main Member",Lookups!$C$14,"")</f>
        <v/>
      </c>
      <c r="AE33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Funeral",_xlfn.XLOOKUP(B336,Table2[Main Member Link ID],Table2[Benefit Name],0)=Lookups!$D$14),"",
IF(AND(Table2[[#This Row],[Member Type]]="Spouse",Table2[[#This Row],[Product Option]]="My Value Plus Life &amp; Funeral",_xlfn.XLOOKUP(B335,Table2[Main Member Link ID],Table2[Benefit Name],0)=Lookups!$D$15),Lookups!$D$20,
IF(AND(Table2[[#This Row],[Member Type]]="Spouse",Table2[[#This Row],[Product Option]]="My Value Plus Life &amp; Funeral",_xlfn.XLOOKUP(B335,Table2[Main Member Link ID],Table2[Benefit Name],0)=Lookups!$D$16),"",
IF(AND(Table2[[#This Row],[Member Type]]="Spouse",Table2[[#This Row],[Product Option]]="My Value Plus Life &amp; Funeral",_xlfn.XLOOKUP(B335,Table2[Main Member Link ID],Table2[Benefit Name],0)=Lookups!$D$17),Lookups!$D$21,
IF(AND(Table2[[#This Row],[Member Type]]="Child",Table2[[#This Row],[Product Option]]="My Value Plus Life &amp; Funeral",_xlfn.XLOOKUP(B336,Table2[Main Member Link ID],Table2[Benefit Name],0)=Lookups!$D$14),"",
IF(AND(Table2[[#This Row],[Member Type]]="Child",Table2[[#This Row],[Product Option]]="My Value Plus Life &amp; Funeral",_xlfn.XLOOKUP(B336,Table2[Main Member Link ID],Table2[Benefit Name],0)=Lookups!$D$15),"",
IF(AND(Table2[[#This Row],[Member Type]]="Child",Table2[[#This Row],[Product Option]]="My Value Plus Life &amp; Funeral",_xlfn.XLOOKUP(B336,Table2[Main Member Link ID],Table2[Benefit Name],0)=Lookups!$D$16),Lookups!$D$24,
IF(AND(Table2[[#This Row],[Member Type]]="Child",Table2[[#This Row],[Product Option]]="My Value Plus Life &amp; Funeral",_xlfn.XLOOKUP(B336,Table2[Main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Funeral",_xlfn.XLOOKUP(B336,Table2[Main Member Link ID],Table2[Benefit Name],0)&lt;&gt;Lookups!$D$14),
IF(_xlfn.XLOOKUP(B336,Table2[Main Member Link ID],Table2[Benefit Name],0)=0,"",_xlfn.XLOOKUP(B336,Table2[Main Member Link ID],Table2[Benefit Name],0)),"")))))))))))))))</f>
        <v/>
      </c>
      <c r="AF336" s="327" t="str">
        <f>IF(AND(Table2[[#This Row],[Member Type]]="Main Member",Table2[[#This Row],[Product Option]]="My Value Plus Life &amp; Funeral"),Lookups!$D$15,
IF(AND(Table2[[#This Row],[Member Type]]="Spouse",Table2[[#This Row],[Product Option]]="My Value Plus Life &amp; Funeral",_xlfn.XLOOKUP(B336,Table2[Main Member Link ID],Table2[Benefit Name],0)=Lookups!$D$14),"",
IF(AND(Table2[[#This Row],[Member Type]]="Spouse",Table2[[#This Row],[Product Option]]="My Value Plus Life &amp; Funeral",_xlfn.XLOOKUP(B335,Table2[Main Member Link ID],Table2[Benefit Name],0)=Lookups!$D$16),"",
IF(AND(Table2[[#This Row],[Member Type]]="Spouse",Table2[[#This Row],[Product Option]]="My Value Plus Life &amp; Funeral",_xlfn.XLOOKUP(B335,Table2[Main Member Link ID],Table2[Benefit Name],0)=Lookups!$D$15),"",
IF(AND(Table2[[#This Row],[Member Type]]="Spouse",Table2[[#This Row],[Product Option]]="My Value Plus Life &amp; Funeral",_xlfn.XLOOKUP(B335,Table2[Main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Funeral",_xlfn.XLOOKUP(B336,Table2[Main Member Link ID],Table2[Benefit Name],0)&lt;&gt;Lookups!$D$15),
IF(_xlfn.XLOOKUP(B336,Table2[Main Member Link ID],Table2[Benefit Name],0)=0,"",_xlfn.XLOOKUP(B336,Table2[Main Member Link ID],Table2[Benefit Name],0)),"")
))))))</f>
        <v/>
      </c>
      <c r="AG336" s="327" t="str">
        <f>IF(AND(Table2[[#This Row],[Member Type]]="Main Member",Table2[[#This Row],[Product Option]]="My Value Plus Life &amp; Funeral"),Lookups!$D$16,
IF(AND(Table2[[#This Row],[Member Type]]="Spouse",Table2[[#This Row],[Product Option]]="My Value Plus Life &amp; Funeral",_xlfn.XLOOKUP(B336,Table2[Main Member Link ID],Table2[Benefit Name],0)=Lookups!$D$14),"",
IF(AND(Table2[[#This Row],[Member Type]]="Spouse",Table2[[#This Row],[Product Option]]="My Value Plus Life &amp; Funeral",_xlfn.XLOOKUP(B335,Table2[Main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Funeral",_xlfn.XLOOKUP(B336,Table2[Main Member Link ID],Table2[Benefit Name],0)&lt;&gt;Lookups!$D$16),
IF(_xlfn.XLOOKUP(B336,Table2[Main Member Link ID],Table2[Benefit Name],0)=0,"",_xlfn.XLOOKUP(B336,Table2[Main Member Link ID],Table2[Benefit Name],0)),"")
))))</f>
        <v/>
      </c>
      <c r="AH336" s="327" t="str">
        <f>IF(AND(Table2[[#This Row],[Member Type]]="Main Member",Table2[[#This Row],[Product Option]]="My Value Plus Life &amp; Funeral"),Lookups!$D$17,
IF(AND(Table2[[#This Row],[Member Type]]="Spouse",Table2[[#This Row],[Product Option]]="My Value Plus Life &amp; Funeral",_xlfn.XLOOKUP(B336,Table2[Main Member Link ID],Table2[Benefit Name],0)=Lookups!$D$14),"",
IF(AND(Table2[[#This Row],[Member Type]]="Spouse",Table2[[#This Row],[Product Option]]="My Value Plus Life &amp; Funeral",_xlfn.XLOOKUP(B335,Table2[Main Member Link ID],Table2[Benefit Name],0)=Lookups!$D$16),"",
IF(AND(Table2[[#This Row],[Member Type]]="Child",Table2[[#This Row],[Product Option]]="My Value Plus Life &amp; Funeral"),"",
IF(AND(Table2[[#This Row],[Member Type]]="Child",Table2[[#This Row],[Product Option]]="My Value Plus Life &amp; Funeral",_xlfn.XLOOKUP(B336,Table2[Main Member Link ID],Table2[Benefit Name],0)=Lookups!$D$15),"",
IF(AND(OR(Table2[[#This Row],[Member Type]]="Spouse",Table2[[#This Row],[Member Type]]="Child"),Table2[[#This Row],[Product Option]]="My Value Plus Life &amp; Funeral",_xlfn.XLOOKUP(B336,Table2[Main Member Link ID],Table2[Benefit Name],0)&lt;&gt;Lookups!$D$17),
IF(_xlfn.XLOOKUP(B336,Table2[Main Member Link ID],Table2[Benefit Name],0)=0,"",_xlfn.XLOOKUP(B336,Table2[Main Member Link ID],Table2[Benefit Name],0)),""))))))</f>
        <v/>
      </c>
      <c r="AI336" s="328" t="str">
        <f>IF(AND(Table2[[#This Row],[Member Type]]="Main Member",Table2[[#This Row],[Table Lookup for Life Cover]]="MM_LIFE",Table2[[#This Row],[Age Next Birthday]]&lt;56),1,
IF(AND(Table2[[#This Row],[Member Type]]="Main Member",Table2[[#This Row],[Table Lookup for Life Cover]]="MM_LIFE",Table2[[#This Row],[Age Next Birthday]]&gt;=56),2,
""))</f>
        <v/>
      </c>
      <c r="AJ336" s="328">
        <f>IF(OR(Table2[[#This Row],[Member Type]]="Main Member",Table2[[#This Row],[Main Member Link ID]]=B335),1,0)</f>
        <v>1</v>
      </c>
      <c r="AK336" s="328">
        <f>IF(Table2[[#This Row],[Member Type]]=0,0,
IF(OR(Table2[[#This Row],[Member Type]]="Main Member",Table2[[#This Row],[Main Member Link ID]]&lt;&gt;B336),COUNTIFS(B:B,Table2[[#This Row],[Main Member Link ID]]),
COUNTIFS(B:B,Table2[[#This Row],[Main Member Link ID]],A:A,Table2[[#This Row],[Member Type]])))</f>
        <v>0</v>
      </c>
    </row>
    <row r="337" spans="1:37" x14ac:dyDescent="0.3">
      <c r="A337" s="284">
        <f>Table13[[#This Row],[Member Type]]</f>
        <v>0</v>
      </c>
      <c r="B337" s="284">
        <f>Table13[[#This Row],[Main Member Link ID]]</f>
        <v>0</v>
      </c>
      <c r="C337" s="284">
        <f>Table13[[#This Row],[ID Number]]</f>
        <v>0</v>
      </c>
      <c r="D337" s="285">
        <f>Table13[[#This Row],[Date Of Birth]]</f>
        <v>0</v>
      </c>
      <c r="E337" s="285">
        <f>Table13[[#This Row],[Commencement Date]]</f>
        <v>0</v>
      </c>
      <c r="F337" s="284">
        <f t="shared" si="35"/>
        <v>1</v>
      </c>
      <c r="G337" s="284">
        <f t="shared" si="36"/>
        <v>25</v>
      </c>
      <c r="H337" s="286">
        <f>Table13[[#This Row],[Product Option]]</f>
        <v>0</v>
      </c>
      <c r="I337" s="284">
        <f>IF(AND($A337="Main Member",Table2[[#This Row],[Product Option]]="My Value Plus Life"),"MM_LIFE",
IF(AND($A337="Spouse",Table2[[#This Row],[Product Option]]="My Value Plus Life"),"SP_LIFE",
IF(AND($A337="Main Member",Table2[[#This Row],[Product Option]]="My Value Plus Life &amp; Funeral"),"MM_LIFE",
IF(AND($A337="Spouse",Table2[[#This Row],[Product Option]]="My Value Plus Life &amp; Funeral"),_xlfn.XLOOKUP(Table2[[#This Row],[Benefit Name]],Lookups!$D$18:$D$23,Lookups!$E$18:$E$23,0),
0))))</f>
        <v>0</v>
      </c>
      <c r="J337" s="284">
        <f>IF($I337="","",
IF($I337="MM_LIFE",INDEX('Quotation Tool'!$S$54:$V$60,MATCH($T337,'Quotation Tool'!$S$54:$S$60,0),4),
IF($I337="SP_LIFE",_xlfn.XLOOKUP(B336,$B:$B,$J:$J,0),0)))</f>
        <v>0</v>
      </c>
      <c r="K337" s="287">
        <f t="shared" ca="1" si="40"/>
        <v>0</v>
      </c>
      <c r="L337" s="288">
        <f t="shared" ca="1" si="41"/>
        <v>0</v>
      </c>
      <c r="M337" s="289">
        <f t="shared" ca="1" si="37"/>
        <v>0</v>
      </c>
      <c r="N337" s="286">
        <f>Table13[[#This Row],[Benefit Option]]</f>
        <v>0</v>
      </c>
      <c r="O337" s="284">
        <f>IF(OR(Table2[[#This Row],[Member Type]]="Spouse",Table2[[#This Row],[Member Type]]="Child"),0,
IF(_xlfn.XLOOKUP($N337,Lookups!$D$13:$D$27,Lookups!$F$13:$F$27,0)=Table2[[#This Row],[Table Lookup for Life Cover]],0,
_xlfn.XLOOKUP($N337,Lookups!$D$13:$D$27,Lookups!$F$13:$F$27,0)))</f>
        <v>0</v>
      </c>
      <c r="P337" s="284">
        <f>IF(Table2[[#This Row],[Table Lookup for Funeral]]=0,0,IFERROR(INDEX('Quotation Tool'!$S$54:$V$60,MATCH($T337,'Quotation Tool'!$S$54:$S$60,0),3),0))</f>
        <v>0</v>
      </c>
      <c r="Q337" s="288">
        <f ca="1">IF(OR(Table2[[#This Row],[Benefit Name]]="My Value Plus Life - Main Member",Table2[[#This Row],[Benefit Name]]="My Value Plus Life - Spouse"),0,
IFERROR(VLOOKUP($G337,INDIRECT($O337),$P337,FALSE),0))</f>
        <v>0</v>
      </c>
      <c r="R337" s="288">
        <f ca="1">IF(OR(Table2[[#This Row],[Benefit Name]]="My Value Plus Life - Main Member",Table2[[#This Row],[Benefit Name]]="My Value Plus Life - Spouse"),0,
IFERROR(VLOOKUP($G337,INDIRECT($O337),$P337+1,FALSE),0))</f>
        <v>0</v>
      </c>
      <c r="S337" s="289">
        <f t="shared" ca="1" si="38"/>
        <v>0</v>
      </c>
      <c r="T337" s="284" t="str">
        <f>IF(Table13[[#This Row],[Premium Waiver]]="","None",Table13[[#This Row],[Premium Waiver]])</f>
        <v>None</v>
      </c>
      <c r="U337" s="284">
        <f>Table13[[#This Row],[VAPs Options]]</f>
        <v>0</v>
      </c>
      <c r="V337" s="284">
        <f>Table13[[#This Row],[Annual Increase Option]]</f>
        <v>0</v>
      </c>
      <c r="W337" s="290">
        <f>Table13[[#This Row],[Life Cover Amount]]</f>
        <v>0</v>
      </c>
      <c r="X337" s="290">
        <f>Table13[[#This Row],[Funeral Cover Amount]]</f>
        <v>0</v>
      </c>
      <c r="Y33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3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37" s="301">
        <f t="shared" ca="1" si="39"/>
        <v>0</v>
      </c>
      <c r="AB337" s="298"/>
      <c r="AC337" s="326" t="str">
        <f>IF(Table2[[#This Row],[Member Type]]="Main Member",Lookups!$C$13,
IF(Table2[[#This Row],[Member Type]]="Spouse",_xlfn.XLOOKUP(B337,Table2[Main Member Link ID],Table2[Product Option],0),
IF(AND(Table2[[#This Row],[Member Type]]="Child",_xlfn.XLOOKUP(B337,Table2[Main Member Link ID],Table2[Product Option],0)&lt;&gt;"My Value Plus Life"),Lookups!$C$24,
IF(AND(OR(Table2[[#This Row],[Member Type]]="Parent",Table2[[#This Row],[Member Type]]="Extended"),_xlfn.XLOOKUP(B337,Table2[Main Member Link ID],Table2[Product Option],0)&lt;&gt;"My Value Plus Life"),Lookups!$C$26,""))))</f>
        <v/>
      </c>
      <c r="AD337" s="326" t="str">
        <f>IF(Table2[[#This Row],[Member Type]]="Main Member",Lookups!$C$14,"")</f>
        <v/>
      </c>
      <c r="AE33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Funeral",_xlfn.XLOOKUP(B337,Table2[Main Member Link ID],Table2[Benefit Name],0)=Lookups!$D$14),"",
IF(AND(Table2[[#This Row],[Member Type]]="Spouse",Table2[[#This Row],[Product Option]]="My Value Plus Life &amp; Funeral",_xlfn.XLOOKUP(B336,Table2[Main Member Link ID],Table2[Benefit Name],0)=Lookups!$D$15),Lookups!$D$20,
IF(AND(Table2[[#This Row],[Member Type]]="Spouse",Table2[[#This Row],[Product Option]]="My Value Plus Life &amp; Funeral",_xlfn.XLOOKUP(B336,Table2[Main Member Link ID],Table2[Benefit Name],0)=Lookups!$D$16),"",
IF(AND(Table2[[#This Row],[Member Type]]="Spouse",Table2[[#This Row],[Product Option]]="My Value Plus Life &amp; Funeral",_xlfn.XLOOKUP(B336,Table2[Main Member Link ID],Table2[Benefit Name],0)=Lookups!$D$17),Lookups!$D$21,
IF(AND(Table2[[#This Row],[Member Type]]="Child",Table2[[#This Row],[Product Option]]="My Value Plus Life &amp; Funeral",_xlfn.XLOOKUP(B337,Table2[Main Member Link ID],Table2[Benefit Name],0)=Lookups!$D$14),"",
IF(AND(Table2[[#This Row],[Member Type]]="Child",Table2[[#This Row],[Product Option]]="My Value Plus Life &amp; Funeral",_xlfn.XLOOKUP(B337,Table2[Main Member Link ID],Table2[Benefit Name],0)=Lookups!$D$15),"",
IF(AND(Table2[[#This Row],[Member Type]]="Child",Table2[[#This Row],[Product Option]]="My Value Plus Life &amp; Funeral",_xlfn.XLOOKUP(B337,Table2[Main Member Link ID],Table2[Benefit Name],0)=Lookups!$D$16),Lookups!$D$24,
IF(AND(Table2[[#This Row],[Member Type]]="Child",Table2[[#This Row],[Product Option]]="My Value Plus Life &amp; Funeral",_xlfn.XLOOKUP(B337,Table2[Main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Funeral",_xlfn.XLOOKUP(B337,Table2[Main Member Link ID],Table2[Benefit Name],0)&lt;&gt;Lookups!$D$14),
IF(_xlfn.XLOOKUP(B337,Table2[Main Member Link ID],Table2[Benefit Name],0)=0,"",_xlfn.XLOOKUP(B337,Table2[Main Member Link ID],Table2[Benefit Name],0)),"")))))))))))))))</f>
        <v/>
      </c>
      <c r="AF337" s="327" t="str">
        <f>IF(AND(Table2[[#This Row],[Member Type]]="Main Member",Table2[[#This Row],[Product Option]]="My Value Plus Life &amp; Funeral"),Lookups!$D$15,
IF(AND(Table2[[#This Row],[Member Type]]="Spouse",Table2[[#This Row],[Product Option]]="My Value Plus Life &amp; Funeral",_xlfn.XLOOKUP(B337,Table2[Main Member Link ID],Table2[Benefit Name],0)=Lookups!$D$14),"",
IF(AND(Table2[[#This Row],[Member Type]]="Spouse",Table2[[#This Row],[Product Option]]="My Value Plus Life &amp; Funeral",_xlfn.XLOOKUP(B336,Table2[Main Member Link ID],Table2[Benefit Name],0)=Lookups!$D$16),"",
IF(AND(Table2[[#This Row],[Member Type]]="Spouse",Table2[[#This Row],[Product Option]]="My Value Plus Life &amp; Funeral",_xlfn.XLOOKUP(B336,Table2[Main Member Link ID],Table2[Benefit Name],0)=Lookups!$D$15),"",
IF(AND(Table2[[#This Row],[Member Type]]="Spouse",Table2[[#This Row],[Product Option]]="My Value Plus Life &amp; Funeral",_xlfn.XLOOKUP(B336,Table2[Main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Funeral",_xlfn.XLOOKUP(B337,Table2[Main Member Link ID],Table2[Benefit Name],0)&lt;&gt;Lookups!$D$15),
IF(_xlfn.XLOOKUP(B337,Table2[Main Member Link ID],Table2[Benefit Name],0)=0,"",_xlfn.XLOOKUP(B337,Table2[Main Member Link ID],Table2[Benefit Name],0)),"")
))))))</f>
        <v/>
      </c>
      <c r="AG337" s="327" t="str">
        <f>IF(AND(Table2[[#This Row],[Member Type]]="Main Member",Table2[[#This Row],[Product Option]]="My Value Plus Life &amp; Funeral"),Lookups!$D$16,
IF(AND(Table2[[#This Row],[Member Type]]="Spouse",Table2[[#This Row],[Product Option]]="My Value Plus Life &amp; Funeral",_xlfn.XLOOKUP(B337,Table2[Main Member Link ID],Table2[Benefit Name],0)=Lookups!$D$14),"",
IF(AND(Table2[[#This Row],[Member Type]]="Spouse",Table2[[#This Row],[Product Option]]="My Value Plus Life &amp; Funeral",_xlfn.XLOOKUP(B336,Table2[Main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Funeral",_xlfn.XLOOKUP(B337,Table2[Main Member Link ID],Table2[Benefit Name],0)&lt;&gt;Lookups!$D$16),
IF(_xlfn.XLOOKUP(B337,Table2[Main Member Link ID],Table2[Benefit Name],0)=0,"",_xlfn.XLOOKUP(B337,Table2[Main Member Link ID],Table2[Benefit Name],0)),"")
))))</f>
        <v/>
      </c>
      <c r="AH337" s="327" t="str">
        <f>IF(AND(Table2[[#This Row],[Member Type]]="Main Member",Table2[[#This Row],[Product Option]]="My Value Plus Life &amp; Funeral"),Lookups!$D$17,
IF(AND(Table2[[#This Row],[Member Type]]="Spouse",Table2[[#This Row],[Product Option]]="My Value Plus Life &amp; Funeral",_xlfn.XLOOKUP(B337,Table2[Main Member Link ID],Table2[Benefit Name],0)=Lookups!$D$14),"",
IF(AND(Table2[[#This Row],[Member Type]]="Spouse",Table2[[#This Row],[Product Option]]="My Value Plus Life &amp; Funeral",_xlfn.XLOOKUP(B336,Table2[Main Member Link ID],Table2[Benefit Name],0)=Lookups!$D$16),"",
IF(AND(Table2[[#This Row],[Member Type]]="Child",Table2[[#This Row],[Product Option]]="My Value Plus Life &amp; Funeral"),"",
IF(AND(Table2[[#This Row],[Member Type]]="Child",Table2[[#This Row],[Product Option]]="My Value Plus Life &amp; Funeral",_xlfn.XLOOKUP(B337,Table2[Main Member Link ID],Table2[Benefit Name],0)=Lookups!$D$15),"",
IF(AND(OR(Table2[[#This Row],[Member Type]]="Spouse",Table2[[#This Row],[Member Type]]="Child"),Table2[[#This Row],[Product Option]]="My Value Plus Life &amp; Funeral",_xlfn.XLOOKUP(B337,Table2[Main Member Link ID],Table2[Benefit Name],0)&lt;&gt;Lookups!$D$17),
IF(_xlfn.XLOOKUP(B337,Table2[Main Member Link ID],Table2[Benefit Name],0)=0,"",_xlfn.XLOOKUP(B337,Table2[Main Member Link ID],Table2[Benefit Name],0)),""))))))</f>
        <v/>
      </c>
      <c r="AI337" s="328" t="str">
        <f>IF(AND(Table2[[#This Row],[Member Type]]="Main Member",Table2[[#This Row],[Table Lookup for Life Cover]]="MM_LIFE",Table2[[#This Row],[Age Next Birthday]]&lt;56),1,
IF(AND(Table2[[#This Row],[Member Type]]="Main Member",Table2[[#This Row],[Table Lookup for Life Cover]]="MM_LIFE",Table2[[#This Row],[Age Next Birthday]]&gt;=56),2,
""))</f>
        <v/>
      </c>
      <c r="AJ337" s="328">
        <f>IF(OR(Table2[[#This Row],[Member Type]]="Main Member",Table2[[#This Row],[Main Member Link ID]]=B336),1,0)</f>
        <v>1</v>
      </c>
      <c r="AK337" s="328">
        <f>IF(Table2[[#This Row],[Member Type]]=0,0,
IF(OR(Table2[[#This Row],[Member Type]]="Main Member",Table2[[#This Row],[Main Member Link ID]]&lt;&gt;B337),COUNTIFS(B:B,Table2[[#This Row],[Main Member Link ID]]),
COUNTIFS(B:B,Table2[[#This Row],[Main Member Link ID]],A:A,Table2[[#This Row],[Member Type]])))</f>
        <v>0</v>
      </c>
    </row>
    <row r="338" spans="1:37" x14ac:dyDescent="0.3">
      <c r="A338" s="284">
        <f>Table13[[#This Row],[Member Type]]</f>
        <v>0</v>
      </c>
      <c r="B338" s="284">
        <f>Table13[[#This Row],[Main Member Link ID]]</f>
        <v>0</v>
      </c>
      <c r="C338" s="284">
        <f>Table13[[#This Row],[ID Number]]</f>
        <v>0</v>
      </c>
      <c r="D338" s="285">
        <f>Table13[[#This Row],[Date Of Birth]]</f>
        <v>0</v>
      </c>
      <c r="E338" s="285">
        <f>Table13[[#This Row],[Commencement Date]]</f>
        <v>0</v>
      </c>
      <c r="F338" s="284">
        <f t="shared" si="35"/>
        <v>1</v>
      </c>
      <c r="G338" s="284">
        <f t="shared" si="36"/>
        <v>25</v>
      </c>
      <c r="H338" s="286">
        <f>Table13[[#This Row],[Product Option]]</f>
        <v>0</v>
      </c>
      <c r="I338" s="284">
        <f>IF(AND($A338="Main Member",Table2[[#This Row],[Product Option]]="My Value Plus Life"),"MM_LIFE",
IF(AND($A338="Spouse",Table2[[#This Row],[Product Option]]="My Value Plus Life"),"SP_LIFE",
IF(AND($A338="Main Member",Table2[[#This Row],[Product Option]]="My Value Plus Life &amp; Funeral"),"MM_LIFE",
IF(AND($A338="Spouse",Table2[[#This Row],[Product Option]]="My Value Plus Life &amp; Funeral"),_xlfn.XLOOKUP(Table2[[#This Row],[Benefit Name]],Lookups!$D$18:$D$23,Lookups!$E$18:$E$23,0),
0))))</f>
        <v>0</v>
      </c>
      <c r="J338" s="284">
        <f>IF($I338="","",
IF($I338="MM_LIFE",INDEX('Quotation Tool'!$S$54:$V$60,MATCH($T338,'Quotation Tool'!$S$54:$S$60,0),4),
IF($I338="SP_LIFE",_xlfn.XLOOKUP(B337,$B:$B,$J:$J,0),0)))</f>
        <v>0</v>
      </c>
      <c r="K338" s="287">
        <f t="shared" ca="1" si="40"/>
        <v>0</v>
      </c>
      <c r="L338" s="288">
        <f t="shared" ca="1" si="41"/>
        <v>0</v>
      </c>
      <c r="M338" s="289">
        <f t="shared" ca="1" si="37"/>
        <v>0</v>
      </c>
      <c r="N338" s="286">
        <f>Table13[[#This Row],[Benefit Option]]</f>
        <v>0</v>
      </c>
      <c r="O338" s="284">
        <f>IF(OR(Table2[[#This Row],[Member Type]]="Spouse",Table2[[#This Row],[Member Type]]="Child"),0,
IF(_xlfn.XLOOKUP($N338,Lookups!$D$13:$D$27,Lookups!$F$13:$F$27,0)=Table2[[#This Row],[Table Lookup for Life Cover]],0,
_xlfn.XLOOKUP($N338,Lookups!$D$13:$D$27,Lookups!$F$13:$F$27,0)))</f>
        <v>0</v>
      </c>
      <c r="P338" s="284">
        <f>IF(Table2[[#This Row],[Table Lookup for Funeral]]=0,0,IFERROR(INDEX('Quotation Tool'!$S$54:$V$60,MATCH($T338,'Quotation Tool'!$S$54:$S$60,0),3),0))</f>
        <v>0</v>
      </c>
      <c r="Q338" s="288">
        <f ca="1">IF(OR(Table2[[#This Row],[Benefit Name]]="My Value Plus Life - Main Member",Table2[[#This Row],[Benefit Name]]="My Value Plus Life - Spouse"),0,
IFERROR(VLOOKUP($G338,INDIRECT($O338),$P338,FALSE),0))</f>
        <v>0</v>
      </c>
      <c r="R338" s="288">
        <f ca="1">IF(OR(Table2[[#This Row],[Benefit Name]]="My Value Plus Life - Main Member",Table2[[#This Row],[Benefit Name]]="My Value Plus Life - Spouse"),0,
IFERROR(VLOOKUP($G338,INDIRECT($O338),$P338+1,FALSE),0))</f>
        <v>0</v>
      </c>
      <c r="S338" s="289">
        <f t="shared" ca="1" si="38"/>
        <v>0</v>
      </c>
      <c r="T338" s="284" t="str">
        <f>IF(Table13[[#This Row],[Premium Waiver]]="","None",Table13[[#This Row],[Premium Waiver]])</f>
        <v>None</v>
      </c>
      <c r="U338" s="284">
        <f>Table13[[#This Row],[VAPs Options]]</f>
        <v>0</v>
      </c>
      <c r="V338" s="284">
        <f>Table13[[#This Row],[Annual Increase Option]]</f>
        <v>0</v>
      </c>
      <c r="W338" s="290">
        <f>Table13[[#This Row],[Life Cover Amount]]</f>
        <v>0</v>
      </c>
      <c r="X338" s="290">
        <f>Table13[[#This Row],[Funeral Cover Amount]]</f>
        <v>0</v>
      </c>
      <c r="Y33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3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38" s="301">
        <f t="shared" ca="1" si="39"/>
        <v>0</v>
      </c>
      <c r="AB338" s="298"/>
      <c r="AC338" s="326" t="str">
        <f>IF(Table2[[#This Row],[Member Type]]="Main Member",Lookups!$C$13,
IF(Table2[[#This Row],[Member Type]]="Spouse",_xlfn.XLOOKUP(B338,Table2[Main Member Link ID],Table2[Product Option],0),
IF(AND(Table2[[#This Row],[Member Type]]="Child",_xlfn.XLOOKUP(B338,Table2[Main Member Link ID],Table2[Product Option],0)&lt;&gt;"My Value Plus Life"),Lookups!$C$24,
IF(AND(OR(Table2[[#This Row],[Member Type]]="Parent",Table2[[#This Row],[Member Type]]="Extended"),_xlfn.XLOOKUP(B338,Table2[Main Member Link ID],Table2[Product Option],0)&lt;&gt;"My Value Plus Life"),Lookups!$C$26,""))))</f>
        <v/>
      </c>
      <c r="AD338" s="326" t="str">
        <f>IF(Table2[[#This Row],[Member Type]]="Main Member",Lookups!$C$14,"")</f>
        <v/>
      </c>
      <c r="AE33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Funeral",_xlfn.XLOOKUP(B338,Table2[Main Member Link ID],Table2[Benefit Name],0)=Lookups!$D$14),"",
IF(AND(Table2[[#This Row],[Member Type]]="Spouse",Table2[[#This Row],[Product Option]]="My Value Plus Life &amp; Funeral",_xlfn.XLOOKUP(B337,Table2[Main Member Link ID],Table2[Benefit Name],0)=Lookups!$D$15),Lookups!$D$20,
IF(AND(Table2[[#This Row],[Member Type]]="Spouse",Table2[[#This Row],[Product Option]]="My Value Plus Life &amp; Funeral",_xlfn.XLOOKUP(B337,Table2[Main Member Link ID],Table2[Benefit Name],0)=Lookups!$D$16),"",
IF(AND(Table2[[#This Row],[Member Type]]="Spouse",Table2[[#This Row],[Product Option]]="My Value Plus Life &amp; Funeral",_xlfn.XLOOKUP(B337,Table2[Main Member Link ID],Table2[Benefit Name],0)=Lookups!$D$17),Lookups!$D$21,
IF(AND(Table2[[#This Row],[Member Type]]="Child",Table2[[#This Row],[Product Option]]="My Value Plus Life &amp; Funeral",_xlfn.XLOOKUP(B338,Table2[Main Member Link ID],Table2[Benefit Name],0)=Lookups!$D$14),"",
IF(AND(Table2[[#This Row],[Member Type]]="Child",Table2[[#This Row],[Product Option]]="My Value Plus Life &amp; Funeral",_xlfn.XLOOKUP(B338,Table2[Main Member Link ID],Table2[Benefit Name],0)=Lookups!$D$15),"",
IF(AND(Table2[[#This Row],[Member Type]]="Child",Table2[[#This Row],[Product Option]]="My Value Plus Life &amp; Funeral",_xlfn.XLOOKUP(B338,Table2[Main Member Link ID],Table2[Benefit Name],0)=Lookups!$D$16),Lookups!$D$24,
IF(AND(Table2[[#This Row],[Member Type]]="Child",Table2[[#This Row],[Product Option]]="My Value Plus Life &amp; Funeral",_xlfn.XLOOKUP(B338,Table2[Main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Funeral",_xlfn.XLOOKUP(B338,Table2[Main Member Link ID],Table2[Benefit Name],0)&lt;&gt;Lookups!$D$14),
IF(_xlfn.XLOOKUP(B338,Table2[Main Member Link ID],Table2[Benefit Name],0)=0,"",_xlfn.XLOOKUP(B338,Table2[Main Member Link ID],Table2[Benefit Name],0)),"")))))))))))))))</f>
        <v/>
      </c>
      <c r="AF338" s="327" t="str">
        <f>IF(AND(Table2[[#This Row],[Member Type]]="Main Member",Table2[[#This Row],[Product Option]]="My Value Plus Life &amp; Funeral"),Lookups!$D$15,
IF(AND(Table2[[#This Row],[Member Type]]="Spouse",Table2[[#This Row],[Product Option]]="My Value Plus Life &amp; Funeral",_xlfn.XLOOKUP(B338,Table2[Main Member Link ID],Table2[Benefit Name],0)=Lookups!$D$14),"",
IF(AND(Table2[[#This Row],[Member Type]]="Spouse",Table2[[#This Row],[Product Option]]="My Value Plus Life &amp; Funeral",_xlfn.XLOOKUP(B337,Table2[Main Member Link ID],Table2[Benefit Name],0)=Lookups!$D$16),"",
IF(AND(Table2[[#This Row],[Member Type]]="Spouse",Table2[[#This Row],[Product Option]]="My Value Plus Life &amp; Funeral",_xlfn.XLOOKUP(B337,Table2[Main Member Link ID],Table2[Benefit Name],0)=Lookups!$D$15),"",
IF(AND(Table2[[#This Row],[Member Type]]="Spouse",Table2[[#This Row],[Product Option]]="My Value Plus Life &amp; Funeral",_xlfn.XLOOKUP(B337,Table2[Main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Funeral",_xlfn.XLOOKUP(B338,Table2[Main Member Link ID],Table2[Benefit Name],0)&lt;&gt;Lookups!$D$15),
IF(_xlfn.XLOOKUP(B338,Table2[Main Member Link ID],Table2[Benefit Name],0)=0,"",_xlfn.XLOOKUP(B338,Table2[Main Member Link ID],Table2[Benefit Name],0)),"")
))))))</f>
        <v/>
      </c>
      <c r="AG338" s="327" t="str">
        <f>IF(AND(Table2[[#This Row],[Member Type]]="Main Member",Table2[[#This Row],[Product Option]]="My Value Plus Life &amp; Funeral"),Lookups!$D$16,
IF(AND(Table2[[#This Row],[Member Type]]="Spouse",Table2[[#This Row],[Product Option]]="My Value Plus Life &amp; Funeral",_xlfn.XLOOKUP(B338,Table2[Main Member Link ID],Table2[Benefit Name],0)=Lookups!$D$14),"",
IF(AND(Table2[[#This Row],[Member Type]]="Spouse",Table2[[#This Row],[Product Option]]="My Value Plus Life &amp; Funeral",_xlfn.XLOOKUP(B337,Table2[Main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Funeral",_xlfn.XLOOKUP(B338,Table2[Main Member Link ID],Table2[Benefit Name],0)&lt;&gt;Lookups!$D$16),
IF(_xlfn.XLOOKUP(B338,Table2[Main Member Link ID],Table2[Benefit Name],0)=0,"",_xlfn.XLOOKUP(B338,Table2[Main Member Link ID],Table2[Benefit Name],0)),"")
))))</f>
        <v/>
      </c>
      <c r="AH338" s="327" t="str">
        <f>IF(AND(Table2[[#This Row],[Member Type]]="Main Member",Table2[[#This Row],[Product Option]]="My Value Plus Life &amp; Funeral"),Lookups!$D$17,
IF(AND(Table2[[#This Row],[Member Type]]="Spouse",Table2[[#This Row],[Product Option]]="My Value Plus Life &amp; Funeral",_xlfn.XLOOKUP(B338,Table2[Main Member Link ID],Table2[Benefit Name],0)=Lookups!$D$14),"",
IF(AND(Table2[[#This Row],[Member Type]]="Spouse",Table2[[#This Row],[Product Option]]="My Value Plus Life &amp; Funeral",_xlfn.XLOOKUP(B337,Table2[Main Member Link ID],Table2[Benefit Name],0)=Lookups!$D$16),"",
IF(AND(Table2[[#This Row],[Member Type]]="Child",Table2[[#This Row],[Product Option]]="My Value Plus Life &amp; Funeral"),"",
IF(AND(Table2[[#This Row],[Member Type]]="Child",Table2[[#This Row],[Product Option]]="My Value Plus Life &amp; Funeral",_xlfn.XLOOKUP(B338,Table2[Main Member Link ID],Table2[Benefit Name],0)=Lookups!$D$15),"",
IF(AND(OR(Table2[[#This Row],[Member Type]]="Spouse",Table2[[#This Row],[Member Type]]="Child"),Table2[[#This Row],[Product Option]]="My Value Plus Life &amp; Funeral",_xlfn.XLOOKUP(B338,Table2[Main Member Link ID],Table2[Benefit Name],0)&lt;&gt;Lookups!$D$17),
IF(_xlfn.XLOOKUP(B338,Table2[Main Member Link ID],Table2[Benefit Name],0)=0,"",_xlfn.XLOOKUP(B338,Table2[Main Member Link ID],Table2[Benefit Name],0)),""))))))</f>
        <v/>
      </c>
      <c r="AI338" s="328" t="str">
        <f>IF(AND(Table2[[#This Row],[Member Type]]="Main Member",Table2[[#This Row],[Table Lookup for Life Cover]]="MM_LIFE",Table2[[#This Row],[Age Next Birthday]]&lt;56),1,
IF(AND(Table2[[#This Row],[Member Type]]="Main Member",Table2[[#This Row],[Table Lookup for Life Cover]]="MM_LIFE",Table2[[#This Row],[Age Next Birthday]]&gt;=56),2,
""))</f>
        <v/>
      </c>
      <c r="AJ338" s="328">
        <f>IF(OR(Table2[[#This Row],[Member Type]]="Main Member",Table2[[#This Row],[Main Member Link ID]]=B337),1,0)</f>
        <v>1</v>
      </c>
      <c r="AK338" s="328">
        <f>IF(Table2[[#This Row],[Member Type]]=0,0,
IF(OR(Table2[[#This Row],[Member Type]]="Main Member",Table2[[#This Row],[Main Member Link ID]]&lt;&gt;B338),COUNTIFS(B:B,Table2[[#This Row],[Main Member Link ID]]),
COUNTIFS(B:B,Table2[[#This Row],[Main Member Link ID]],A:A,Table2[[#This Row],[Member Type]])))</f>
        <v>0</v>
      </c>
    </row>
    <row r="339" spans="1:37" x14ac:dyDescent="0.3">
      <c r="A339" s="284">
        <f>Table13[[#This Row],[Member Type]]</f>
        <v>0</v>
      </c>
      <c r="B339" s="284">
        <f>Table13[[#This Row],[Main Member Link ID]]</f>
        <v>0</v>
      </c>
      <c r="C339" s="284">
        <f>Table13[[#This Row],[ID Number]]</f>
        <v>0</v>
      </c>
      <c r="D339" s="285">
        <f>Table13[[#This Row],[Date Of Birth]]</f>
        <v>0</v>
      </c>
      <c r="E339" s="285">
        <f>Table13[[#This Row],[Commencement Date]]</f>
        <v>0</v>
      </c>
      <c r="F339" s="284">
        <f t="shared" si="35"/>
        <v>1</v>
      </c>
      <c r="G339" s="284">
        <f t="shared" si="36"/>
        <v>25</v>
      </c>
      <c r="H339" s="286">
        <f>Table13[[#This Row],[Product Option]]</f>
        <v>0</v>
      </c>
      <c r="I339" s="284">
        <f>IF(AND($A339="Main Member",Table2[[#This Row],[Product Option]]="My Value Plus Life"),"MM_LIFE",
IF(AND($A339="Spouse",Table2[[#This Row],[Product Option]]="My Value Plus Life"),"SP_LIFE",
IF(AND($A339="Main Member",Table2[[#This Row],[Product Option]]="My Value Plus Life &amp; Funeral"),"MM_LIFE",
IF(AND($A339="Spouse",Table2[[#This Row],[Product Option]]="My Value Plus Life &amp; Funeral"),_xlfn.XLOOKUP(Table2[[#This Row],[Benefit Name]],Lookups!$D$18:$D$23,Lookups!$E$18:$E$23,0),
0))))</f>
        <v>0</v>
      </c>
      <c r="J339" s="284">
        <f>IF($I339="","",
IF($I339="MM_LIFE",INDEX('Quotation Tool'!$S$54:$V$60,MATCH($T339,'Quotation Tool'!$S$54:$S$60,0),4),
IF($I339="SP_LIFE",_xlfn.XLOOKUP(B338,$B:$B,$J:$J,0),0)))</f>
        <v>0</v>
      </c>
      <c r="K339" s="287">
        <f t="shared" ca="1" si="40"/>
        <v>0</v>
      </c>
      <c r="L339" s="288">
        <f t="shared" ca="1" si="41"/>
        <v>0</v>
      </c>
      <c r="M339" s="289">
        <f t="shared" ca="1" si="37"/>
        <v>0</v>
      </c>
      <c r="N339" s="286">
        <f>Table13[[#This Row],[Benefit Option]]</f>
        <v>0</v>
      </c>
      <c r="O339" s="284">
        <f>IF(OR(Table2[[#This Row],[Member Type]]="Spouse",Table2[[#This Row],[Member Type]]="Child"),0,
IF(_xlfn.XLOOKUP($N339,Lookups!$D$13:$D$27,Lookups!$F$13:$F$27,0)=Table2[[#This Row],[Table Lookup for Life Cover]],0,
_xlfn.XLOOKUP($N339,Lookups!$D$13:$D$27,Lookups!$F$13:$F$27,0)))</f>
        <v>0</v>
      </c>
      <c r="P339" s="284">
        <f>IF(Table2[[#This Row],[Table Lookup for Funeral]]=0,0,IFERROR(INDEX('Quotation Tool'!$S$54:$V$60,MATCH($T339,'Quotation Tool'!$S$54:$S$60,0),3),0))</f>
        <v>0</v>
      </c>
      <c r="Q339" s="288">
        <f ca="1">IF(OR(Table2[[#This Row],[Benefit Name]]="My Value Plus Life - Main Member",Table2[[#This Row],[Benefit Name]]="My Value Plus Life - Spouse"),0,
IFERROR(VLOOKUP($G339,INDIRECT($O339),$P339,FALSE),0))</f>
        <v>0</v>
      </c>
      <c r="R339" s="288">
        <f ca="1">IF(OR(Table2[[#This Row],[Benefit Name]]="My Value Plus Life - Main Member",Table2[[#This Row],[Benefit Name]]="My Value Plus Life - Spouse"),0,
IFERROR(VLOOKUP($G339,INDIRECT($O339),$P339+1,FALSE),0))</f>
        <v>0</v>
      </c>
      <c r="S339" s="289">
        <f t="shared" ca="1" si="38"/>
        <v>0</v>
      </c>
      <c r="T339" s="284" t="str">
        <f>IF(Table13[[#This Row],[Premium Waiver]]="","None",Table13[[#This Row],[Premium Waiver]])</f>
        <v>None</v>
      </c>
      <c r="U339" s="284">
        <f>Table13[[#This Row],[VAPs Options]]</f>
        <v>0</v>
      </c>
      <c r="V339" s="284">
        <f>Table13[[#This Row],[Annual Increase Option]]</f>
        <v>0</v>
      </c>
      <c r="W339" s="290">
        <f>Table13[[#This Row],[Life Cover Amount]]</f>
        <v>0</v>
      </c>
      <c r="X339" s="290">
        <f>Table13[[#This Row],[Funeral Cover Amount]]</f>
        <v>0</v>
      </c>
      <c r="Y33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3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39" s="301">
        <f t="shared" ca="1" si="39"/>
        <v>0</v>
      </c>
      <c r="AB339" s="298"/>
      <c r="AC339" s="326" t="str">
        <f>IF(Table2[[#This Row],[Member Type]]="Main Member",Lookups!$C$13,
IF(Table2[[#This Row],[Member Type]]="Spouse",_xlfn.XLOOKUP(B339,Table2[Main Member Link ID],Table2[Product Option],0),
IF(AND(Table2[[#This Row],[Member Type]]="Child",_xlfn.XLOOKUP(B339,Table2[Main Member Link ID],Table2[Product Option],0)&lt;&gt;"My Value Plus Life"),Lookups!$C$24,
IF(AND(OR(Table2[[#This Row],[Member Type]]="Parent",Table2[[#This Row],[Member Type]]="Extended"),_xlfn.XLOOKUP(B339,Table2[Main Member Link ID],Table2[Product Option],0)&lt;&gt;"My Value Plus Life"),Lookups!$C$26,""))))</f>
        <v/>
      </c>
      <c r="AD339" s="326" t="str">
        <f>IF(Table2[[#This Row],[Member Type]]="Main Member",Lookups!$C$14,"")</f>
        <v/>
      </c>
      <c r="AE33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Funeral",_xlfn.XLOOKUP(B339,Table2[Main Member Link ID],Table2[Benefit Name],0)=Lookups!$D$14),"",
IF(AND(Table2[[#This Row],[Member Type]]="Spouse",Table2[[#This Row],[Product Option]]="My Value Plus Life &amp; Funeral",_xlfn.XLOOKUP(B338,Table2[Main Member Link ID],Table2[Benefit Name],0)=Lookups!$D$15),Lookups!$D$20,
IF(AND(Table2[[#This Row],[Member Type]]="Spouse",Table2[[#This Row],[Product Option]]="My Value Plus Life &amp; Funeral",_xlfn.XLOOKUP(B338,Table2[Main Member Link ID],Table2[Benefit Name],0)=Lookups!$D$16),"",
IF(AND(Table2[[#This Row],[Member Type]]="Spouse",Table2[[#This Row],[Product Option]]="My Value Plus Life &amp; Funeral",_xlfn.XLOOKUP(B338,Table2[Main Member Link ID],Table2[Benefit Name],0)=Lookups!$D$17),Lookups!$D$21,
IF(AND(Table2[[#This Row],[Member Type]]="Child",Table2[[#This Row],[Product Option]]="My Value Plus Life &amp; Funeral",_xlfn.XLOOKUP(B339,Table2[Main Member Link ID],Table2[Benefit Name],0)=Lookups!$D$14),"",
IF(AND(Table2[[#This Row],[Member Type]]="Child",Table2[[#This Row],[Product Option]]="My Value Plus Life &amp; Funeral",_xlfn.XLOOKUP(B339,Table2[Main Member Link ID],Table2[Benefit Name],0)=Lookups!$D$15),"",
IF(AND(Table2[[#This Row],[Member Type]]="Child",Table2[[#This Row],[Product Option]]="My Value Plus Life &amp; Funeral",_xlfn.XLOOKUP(B339,Table2[Main Member Link ID],Table2[Benefit Name],0)=Lookups!$D$16),Lookups!$D$24,
IF(AND(Table2[[#This Row],[Member Type]]="Child",Table2[[#This Row],[Product Option]]="My Value Plus Life &amp; Funeral",_xlfn.XLOOKUP(B339,Table2[Main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Funeral",_xlfn.XLOOKUP(B339,Table2[Main Member Link ID],Table2[Benefit Name],0)&lt;&gt;Lookups!$D$14),
IF(_xlfn.XLOOKUP(B339,Table2[Main Member Link ID],Table2[Benefit Name],0)=0,"",_xlfn.XLOOKUP(B339,Table2[Main Member Link ID],Table2[Benefit Name],0)),"")))))))))))))))</f>
        <v/>
      </c>
      <c r="AF339" s="327" t="str">
        <f>IF(AND(Table2[[#This Row],[Member Type]]="Main Member",Table2[[#This Row],[Product Option]]="My Value Plus Life &amp; Funeral"),Lookups!$D$15,
IF(AND(Table2[[#This Row],[Member Type]]="Spouse",Table2[[#This Row],[Product Option]]="My Value Plus Life &amp; Funeral",_xlfn.XLOOKUP(B339,Table2[Main Member Link ID],Table2[Benefit Name],0)=Lookups!$D$14),"",
IF(AND(Table2[[#This Row],[Member Type]]="Spouse",Table2[[#This Row],[Product Option]]="My Value Plus Life &amp; Funeral",_xlfn.XLOOKUP(B338,Table2[Main Member Link ID],Table2[Benefit Name],0)=Lookups!$D$16),"",
IF(AND(Table2[[#This Row],[Member Type]]="Spouse",Table2[[#This Row],[Product Option]]="My Value Plus Life &amp; Funeral",_xlfn.XLOOKUP(B338,Table2[Main Member Link ID],Table2[Benefit Name],0)=Lookups!$D$15),"",
IF(AND(Table2[[#This Row],[Member Type]]="Spouse",Table2[[#This Row],[Product Option]]="My Value Plus Life &amp; Funeral",_xlfn.XLOOKUP(B338,Table2[Main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Funeral",_xlfn.XLOOKUP(B339,Table2[Main Member Link ID],Table2[Benefit Name],0)&lt;&gt;Lookups!$D$15),
IF(_xlfn.XLOOKUP(B339,Table2[Main Member Link ID],Table2[Benefit Name],0)=0,"",_xlfn.XLOOKUP(B339,Table2[Main Member Link ID],Table2[Benefit Name],0)),"")
))))))</f>
        <v/>
      </c>
      <c r="AG339" s="327" t="str">
        <f>IF(AND(Table2[[#This Row],[Member Type]]="Main Member",Table2[[#This Row],[Product Option]]="My Value Plus Life &amp; Funeral"),Lookups!$D$16,
IF(AND(Table2[[#This Row],[Member Type]]="Spouse",Table2[[#This Row],[Product Option]]="My Value Plus Life &amp; Funeral",_xlfn.XLOOKUP(B339,Table2[Main Member Link ID],Table2[Benefit Name],0)=Lookups!$D$14),"",
IF(AND(Table2[[#This Row],[Member Type]]="Spouse",Table2[[#This Row],[Product Option]]="My Value Plus Life &amp; Funeral",_xlfn.XLOOKUP(B338,Table2[Main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Funeral",_xlfn.XLOOKUP(B339,Table2[Main Member Link ID],Table2[Benefit Name],0)&lt;&gt;Lookups!$D$16),
IF(_xlfn.XLOOKUP(B339,Table2[Main Member Link ID],Table2[Benefit Name],0)=0,"",_xlfn.XLOOKUP(B339,Table2[Main Member Link ID],Table2[Benefit Name],0)),"")
))))</f>
        <v/>
      </c>
      <c r="AH339" s="327" t="str">
        <f>IF(AND(Table2[[#This Row],[Member Type]]="Main Member",Table2[[#This Row],[Product Option]]="My Value Plus Life &amp; Funeral"),Lookups!$D$17,
IF(AND(Table2[[#This Row],[Member Type]]="Spouse",Table2[[#This Row],[Product Option]]="My Value Plus Life &amp; Funeral",_xlfn.XLOOKUP(B339,Table2[Main Member Link ID],Table2[Benefit Name],0)=Lookups!$D$14),"",
IF(AND(Table2[[#This Row],[Member Type]]="Spouse",Table2[[#This Row],[Product Option]]="My Value Plus Life &amp; Funeral",_xlfn.XLOOKUP(B338,Table2[Main Member Link ID],Table2[Benefit Name],0)=Lookups!$D$16),"",
IF(AND(Table2[[#This Row],[Member Type]]="Child",Table2[[#This Row],[Product Option]]="My Value Plus Life &amp; Funeral"),"",
IF(AND(Table2[[#This Row],[Member Type]]="Child",Table2[[#This Row],[Product Option]]="My Value Plus Life &amp; Funeral",_xlfn.XLOOKUP(B339,Table2[Main Member Link ID],Table2[Benefit Name],0)=Lookups!$D$15),"",
IF(AND(OR(Table2[[#This Row],[Member Type]]="Spouse",Table2[[#This Row],[Member Type]]="Child"),Table2[[#This Row],[Product Option]]="My Value Plus Life &amp; Funeral",_xlfn.XLOOKUP(B339,Table2[Main Member Link ID],Table2[Benefit Name],0)&lt;&gt;Lookups!$D$17),
IF(_xlfn.XLOOKUP(B339,Table2[Main Member Link ID],Table2[Benefit Name],0)=0,"",_xlfn.XLOOKUP(B339,Table2[Main Member Link ID],Table2[Benefit Name],0)),""))))))</f>
        <v/>
      </c>
      <c r="AI339" s="328" t="str">
        <f>IF(AND(Table2[[#This Row],[Member Type]]="Main Member",Table2[[#This Row],[Table Lookup for Life Cover]]="MM_LIFE",Table2[[#This Row],[Age Next Birthday]]&lt;56),1,
IF(AND(Table2[[#This Row],[Member Type]]="Main Member",Table2[[#This Row],[Table Lookup for Life Cover]]="MM_LIFE",Table2[[#This Row],[Age Next Birthday]]&gt;=56),2,
""))</f>
        <v/>
      </c>
      <c r="AJ339" s="328">
        <f>IF(OR(Table2[[#This Row],[Member Type]]="Main Member",Table2[[#This Row],[Main Member Link ID]]=B338),1,0)</f>
        <v>1</v>
      </c>
      <c r="AK339" s="328">
        <f>IF(Table2[[#This Row],[Member Type]]=0,0,
IF(OR(Table2[[#This Row],[Member Type]]="Main Member",Table2[[#This Row],[Main Member Link ID]]&lt;&gt;B339),COUNTIFS(B:B,Table2[[#This Row],[Main Member Link ID]]),
COUNTIFS(B:B,Table2[[#This Row],[Main Member Link ID]],A:A,Table2[[#This Row],[Member Type]])))</f>
        <v>0</v>
      </c>
    </row>
    <row r="340" spans="1:37" x14ac:dyDescent="0.3">
      <c r="A340" s="284">
        <f>Table13[[#This Row],[Member Type]]</f>
        <v>0</v>
      </c>
      <c r="B340" s="284">
        <f>Table13[[#This Row],[Main Member Link ID]]</f>
        <v>0</v>
      </c>
      <c r="C340" s="284">
        <f>Table13[[#This Row],[ID Number]]</f>
        <v>0</v>
      </c>
      <c r="D340" s="285">
        <f>Table13[[#This Row],[Date Of Birth]]</f>
        <v>0</v>
      </c>
      <c r="E340" s="285">
        <f>Table13[[#This Row],[Commencement Date]]</f>
        <v>0</v>
      </c>
      <c r="F340" s="284">
        <f t="shared" si="35"/>
        <v>1</v>
      </c>
      <c r="G340" s="284">
        <f t="shared" si="36"/>
        <v>25</v>
      </c>
      <c r="H340" s="286">
        <f>Table13[[#This Row],[Product Option]]</f>
        <v>0</v>
      </c>
      <c r="I340" s="284">
        <f>IF(AND($A340="Main Member",Table2[[#This Row],[Product Option]]="My Value Plus Life"),"MM_LIFE",
IF(AND($A340="Spouse",Table2[[#This Row],[Product Option]]="My Value Plus Life"),"SP_LIFE",
IF(AND($A340="Main Member",Table2[[#This Row],[Product Option]]="My Value Plus Life &amp; Funeral"),"MM_LIFE",
IF(AND($A340="Spouse",Table2[[#This Row],[Product Option]]="My Value Plus Life &amp; Funeral"),_xlfn.XLOOKUP(Table2[[#This Row],[Benefit Name]],Lookups!$D$18:$D$23,Lookups!$E$18:$E$23,0),
0))))</f>
        <v>0</v>
      </c>
      <c r="J340" s="284">
        <f>IF($I340="","",
IF($I340="MM_LIFE",INDEX('Quotation Tool'!$S$54:$V$60,MATCH($T340,'Quotation Tool'!$S$54:$S$60,0),4),
IF($I340="SP_LIFE",_xlfn.XLOOKUP(B339,$B:$B,$J:$J,0),0)))</f>
        <v>0</v>
      </c>
      <c r="K340" s="287">
        <f t="shared" ca="1" si="40"/>
        <v>0</v>
      </c>
      <c r="L340" s="288">
        <f t="shared" ca="1" si="41"/>
        <v>0</v>
      </c>
      <c r="M340" s="289">
        <f t="shared" ca="1" si="37"/>
        <v>0</v>
      </c>
      <c r="N340" s="286">
        <f>Table13[[#This Row],[Benefit Option]]</f>
        <v>0</v>
      </c>
      <c r="O340" s="284">
        <f>IF(OR(Table2[[#This Row],[Member Type]]="Spouse",Table2[[#This Row],[Member Type]]="Child"),0,
IF(_xlfn.XLOOKUP($N340,Lookups!$D$13:$D$27,Lookups!$F$13:$F$27,0)=Table2[[#This Row],[Table Lookup for Life Cover]],0,
_xlfn.XLOOKUP($N340,Lookups!$D$13:$D$27,Lookups!$F$13:$F$27,0)))</f>
        <v>0</v>
      </c>
      <c r="P340" s="284">
        <f>IF(Table2[[#This Row],[Table Lookup for Funeral]]=0,0,IFERROR(INDEX('Quotation Tool'!$S$54:$V$60,MATCH($T340,'Quotation Tool'!$S$54:$S$60,0),3),0))</f>
        <v>0</v>
      </c>
      <c r="Q340" s="288">
        <f ca="1">IF(OR(Table2[[#This Row],[Benefit Name]]="My Value Plus Life - Main Member",Table2[[#This Row],[Benefit Name]]="My Value Plus Life - Spouse"),0,
IFERROR(VLOOKUP($G340,INDIRECT($O340),$P340,FALSE),0))</f>
        <v>0</v>
      </c>
      <c r="R340" s="288">
        <f ca="1">IF(OR(Table2[[#This Row],[Benefit Name]]="My Value Plus Life - Main Member",Table2[[#This Row],[Benefit Name]]="My Value Plus Life - Spouse"),0,
IFERROR(VLOOKUP($G340,INDIRECT($O340),$P340+1,FALSE),0))</f>
        <v>0</v>
      </c>
      <c r="S340" s="289">
        <f t="shared" ca="1" si="38"/>
        <v>0</v>
      </c>
      <c r="T340" s="284" t="str">
        <f>IF(Table13[[#This Row],[Premium Waiver]]="","None",Table13[[#This Row],[Premium Waiver]])</f>
        <v>None</v>
      </c>
      <c r="U340" s="284">
        <f>Table13[[#This Row],[VAPs Options]]</f>
        <v>0</v>
      </c>
      <c r="V340" s="284">
        <f>Table13[[#This Row],[Annual Increase Option]]</f>
        <v>0</v>
      </c>
      <c r="W340" s="290">
        <f>Table13[[#This Row],[Life Cover Amount]]</f>
        <v>0</v>
      </c>
      <c r="X340" s="290">
        <f>Table13[[#This Row],[Funeral Cover Amount]]</f>
        <v>0</v>
      </c>
      <c r="Y34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4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40" s="301">
        <f t="shared" ca="1" si="39"/>
        <v>0</v>
      </c>
      <c r="AB340" s="298"/>
      <c r="AC340" s="326" t="str">
        <f>IF(Table2[[#This Row],[Member Type]]="Main Member",Lookups!$C$13,
IF(Table2[[#This Row],[Member Type]]="Spouse",_xlfn.XLOOKUP(B340,Table2[Main Member Link ID],Table2[Product Option],0),
IF(AND(Table2[[#This Row],[Member Type]]="Child",_xlfn.XLOOKUP(B340,Table2[Main Member Link ID],Table2[Product Option],0)&lt;&gt;"My Value Plus Life"),Lookups!$C$24,
IF(AND(OR(Table2[[#This Row],[Member Type]]="Parent",Table2[[#This Row],[Member Type]]="Extended"),_xlfn.XLOOKUP(B340,Table2[Main Member Link ID],Table2[Product Option],0)&lt;&gt;"My Value Plus Life"),Lookups!$C$26,""))))</f>
        <v/>
      </c>
      <c r="AD340" s="326" t="str">
        <f>IF(Table2[[#This Row],[Member Type]]="Main Member",Lookups!$C$14,"")</f>
        <v/>
      </c>
      <c r="AE34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Funeral",_xlfn.XLOOKUP(B340,Table2[Main Member Link ID],Table2[Benefit Name],0)=Lookups!$D$14),"",
IF(AND(Table2[[#This Row],[Member Type]]="Spouse",Table2[[#This Row],[Product Option]]="My Value Plus Life &amp; Funeral",_xlfn.XLOOKUP(B339,Table2[Main Member Link ID],Table2[Benefit Name],0)=Lookups!$D$15),Lookups!$D$20,
IF(AND(Table2[[#This Row],[Member Type]]="Spouse",Table2[[#This Row],[Product Option]]="My Value Plus Life &amp; Funeral",_xlfn.XLOOKUP(B339,Table2[Main Member Link ID],Table2[Benefit Name],0)=Lookups!$D$16),"",
IF(AND(Table2[[#This Row],[Member Type]]="Spouse",Table2[[#This Row],[Product Option]]="My Value Plus Life &amp; Funeral",_xlfn.XLOOKUP(B339,Table2[Main Member Link ID],Table2[Benefit Name],0)=Lookups!$D$17),Lookups!$D$21,
IF(AND(Table2[[#This Row],[Member Type]]="Child",Table2[[#This Row],[Product Option]]="My Value Plus Life &amp; Funeral",_xlfn.XLOOKUP(B340,Table2[Main Member Link ID],Table2[Benefit Name],0)=Lookups!$D$14),"",
IF(AND(Table2[[#This Row],[Member Type]]="Child",Table2[[#This Row],[Product Option]]="My Value Plus Life &amp; Funeral",_xlfn.XLOOKUP(B340,Table2[Main Member Link ID],Table2[Benefit Name],0)=Lookups!$D$15),"",
IF(AND(Table2[[#This Row],[Member Type]]="Child",Table2[[#This Row],[Product Option]]="My Value Plus Life &amp; Funeral",_xlfn.XLOOKUP(B340,Table2[Main Member Link ID],Table2[Benefit Name],0)=Lookups!$D$16),Lookups!$D$24,
IF(AND(Table2[[#This Row],[Member Type]]="Child",Table2[[#This Row],[Product Option]]="My Value Plus Life &amp; Funeral",_xlfn.XLOOKUP(B340,Table2[Main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Funeral",_xlfn.XLOOKUP(B340,Table2[Main Member Link ID],Table2[Benefit Name],0)&lt;&gt;Lookups!$D$14),
IF(_xlfn.XLOOKUP(B340,Table2[Main Member Link ID],Table2[Benefit Name],0)=0,"",_xlfn.XLOOKUP(B340,Table2[Main Member Link ID],Table2[Benefit Name],0)),"")))))))))))))))</f>
        <v/>
      </c>
      <c r="AF340" s="327" t="str">
        <f>IF(AND(Table2[[#This Row],[Member Type]]="Main Member",Table2[[#This Row],[Product Option]]="My Value Plus Life &amp; Funeral"),Lookups!$D$15,
IF(AND(Table2[[#This Row],[Member Type]]="Spouse",Table2[[#This Row],[Product Option]]="My Value Plus Life &amp; Funeral",_xlfn.XLOOKUP(B340,Table2[Main Member Link ID],Table2[Benefit Name],0)=Lookups!$D$14),"",
IF(AND(Table2[[#This Row],[Member Type]]="Spouse",Table2[[#This Row],[Product Option]]="My Value Plus Life &amp; Funeral",_xlfn.XLOOKUP(B339,Table2[Main Member Link ID],Table2[Benefit Name],0)=Lookups!$D$16),"",
IF(AND(Table2[[#This Row],[Member Type]]="Spouse",Table2[[#This Row],[Product Option]]="My Value Plus Life &amp; Funeral",_xlfn.XLOOKUP(B339,Table2[Main Member Link ID],Table2[Benefit Name],0)=Lookups!$D$15),"",
IF(AND(Table2[[#This Row],[Member Type]]="Spouse",Table2[[#This Row],[Product Option]]="My Value Plus Life &amp; Funeral",_xlfn.XLOOKUP(B339,Table2[Main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Funeral",_xlfn.XLOOKUP(B340,Table2[Main Member Link ID],Table2[Benefit Name],0)&lt;&gt;Lookups!$D$15),
IF(_xlfn.XLOOKUP(B340,Table2[Main Member Link ID],Table2[Benefit Name],0)=0,"",_xlfn.XLOOKUP(B340,Table2[Main Member Link ID],Table2[Benefit Name],0)),"")
))))))</f>
        <v/>
      </c>
      <c r="AG340" s="327" t="str">
        <f>IF(AND(Table2[[#This Row],[Member Type]]="Main Member",Table2[[#This Row],[Product Option]]="My Value Plus Life &amp; Funeral"),Lookups!$D$16,
IF(AND(Table2[[#This Row],[Member Type]]="Spouse",Table2[[#This Row],[Product Option]]="My Value Plus Life &amp; Funeral",_xlfn.XLOOKUP(B340,Table2[Main Member Link ID],Table2[Benefit Name],0)=Lookups!$D$14),"",
IF(AND(Table2[[#This Row],[Member Type]]="Spouse",Table2[[#This Row],[Product Option]]="My Value Plus Life &amp; Funeral",_xlfn.XLOOKUP(B339,Table2[Main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Funeral",_xlfn.XLOOKUP(B340,Table2[Main Member Link ID],Table2[Benefit Name],0)&lt;&gt;Lookups!$D$16),
IF(_xlfn.XLOOKUP(B340,Table2[Main Member Link ID],Table2[Benefit Name],0)=0,"",_xlfn.XLOOKUP(B340,Table2[Main Member Link ID],Table2[Benefit Name],0)),"")
))))</f>
        <v/>
      </c>
      <c r="AH340" s="327" t="str">
        <f>IF(AND(Table2[[#This Row],[Member Type]]="Main Member",Table2[[#This Row],[Product Option]]="My Value Plus Life &amp; Funeral"),Lookups!$D$17,
IF(AND(Table2[[#This Row],[Member Type]]="Spouse",Table2[[#This Row],[Product Option]]="My Value Plus Life &amp; Funeral",_xlfn.XLOOKUP(B340,Table2[Main Member Link ID],Table2[Benefit Name],0)=Lookups!$D$14),"",
IF(AND(Table2[[#This Row],[Member Type]]="Spouse",Table2[[#This Row],[Product Option]]="My Value Plus Life &amp; Funeral",_xlfn.XLOOKUP(B339,Table2[Main Member Link ID],Table2[Benefit Name],0)=Lookups!$D$16),"",
IF(AND(Table2[[#This Row],[Member Type]]="Child",Table2[[#This Row],[Product Option]]="My Value Plus Life &amp; Funeral"),"",
IF(AND(Table2[[#This Row],[Member Type]]="Child",Table2[[#This Row],[Product Option]]="My Value Plus Life &amp; Funeral",_xlfn.XLOOKUP(B340,Table2[Main Member Link ID],Table2[Benefit Name],0)=Lookups!$D$15),"",
IF(AND(OR(Table2[[#This Row],[Member Type]]="Spouse",Table2[[#This Row],[Member Type]]="Child"),Table2[[#This Row],[Product Option]]="My Value Plus Life &amp; Funeral",_xlfn.XLOOKUP(B340,Table2[Main Member Link ID],Table2[Benefit Name],0)&lt;&gt;Lookups!$D$17),
IF(_xlfn.XLOOKUP(B340,Table2[Main Member Link ID],Table2[Benefit Name],0)=0,"",_xlfn.XLOOKUP(B340,Table2[Main Member Link ID],Table2[Benefit Name],0)),""))))))</f>
        <v/>
      </c>
      <c r="AI340" s="328" t="str">
        <f>IF(AND(Table2[[#This Row],[Member Type]]="Main Member",Table2[[#This Row],[Table Lookup for Life Cover]]="MM_LIFE",Table2[[#This Row],[Age Next Birthday]]&lt;56),1,
IF(AND(Table2[[#This Row],[Member Type]]="Main Member",Table2[[#This Row],[Table Lookup for Life Cover]]="MM_LIFE",Table2[[#This Row],[Age Next Birthday]]&gt;=56),2,
""))</f>
        <v/>
      </c>
      <c r="AJ340" s="328">
        <f>IF(OR(Table2[[#This Row],[Member Type]]="Main Member",Table2[[#This Row],[Main Member Link ID]]=B339),1,0)</f>
        <v>1</v>
      </c>
      <c r="AK340" s="328">
        <f>IF(Table2[[#This Row],[Member Type]]=0,0,
IF(OR(Table2[[#This Row],[Member Type]]="Main Member",Table2[[#This Row],[Main Member Link ID]]&lt;&gt;B340),COUNTIFS(B:B,Table2[[#This Row],[Main Member Link ID]]),
COUNTIFS(B:B,Table2[[#This Row],[Main Member Link ID]],A:A,Table2[[#This Row],[Member Type]])))</f>
        <v>0</v>
      </c>
    </row>
    <row r="341" spans="1:37" x14ac:dyDescent="0.3">
      <c r="A341" s="284">
        <f>Table13[[#This Row],[Member Type]]</f>
        <v>0</v>
      </c>
      <c r="B341" s="284">
        <f>Table13[[#This Row],[Main Member Link ID]]</f>
        <v>0</v>
      </c>
      <c r="C341" s="284">
        <f>Table13[[#This Row],[ID Number]]</f>
        <v>0</v>
      </c>
      <c r="D341" s="285">
        <f>Table13[[#This Row],[Date Of Birth]]</f>
        <v>0</v>
      </c>
      <c r="E341" s="285">
        <f>Table13[[#This Row],[Commencement Date]]</f>
        <v>0</v>
      </c>
      <c r="F341" s="284">
        <f t="shared" si="35"/>
        <v>1</v>
      </c>
      <c r="G341" s="284">
        <f t="shared" si="36"/>
        <v>25</v>
      </c>
      <c r="H341" s="286">
        <f>Table13[[#This Row],[Product Option]]</f>
        <v>0</v>
      </c>
      <c r="I341" s="284">
        <f>IF(AND($A341="Main Member",Table2[[#This Row],[Product Option]]="My Value Plus Life"),"MM_LIFE",
IF(AND($A341="Spouse",Table2[[#This Row],[Product Option]]="My Value Plus Life"),"SP_LIFE",
IF(AND($A341="Main Member",Table2[[#This Row],[Product Option]]="My Value Plus Life &amp; Funeral"),"MM_LIFE",
IF(AND($A341="Spouse",Table2[[#This Row],[Product Option]]="My Value Plus Life &amp; Funeral"),_xlfn.XLOOKUP(Table2[[#This Row],[Benefit Name]],Lookups!$D$18:$D$23,Lookups!$E$18:$E$23,0),
0))))</f>
        <v>0</v>
      </c>
      <c r="J341" s="284">
        <f>IF($I341="","",
IF($I341="MM_LIFE",INDEX('Quotation Tool'!$S$54:$V$60,MATCH($T341,'Quotation Tool'!$S$54:$S$60,0),4),
IF($I341="SP_LIFE",_xlfn.XLOOKUP(B340,$B:$B,$J:$J,0),0)))</f>
        <v>0</v>
      </c>
      <c r="K341" s="287">
        <f t="shared" ca="1" si="40"/>
        <v>0</v>
      </c>
      <c r="L341" s="288">
        <f t="shared" ca="1" si="41"/>
        <v>0</v>
      </c>
      <c r="M341" s="289">
        <f t="shared" ca="1" si="37"/>
        <v>0</v>
      </c>
      <c r="N341" s="286">
        <f>Table13[[#This Row],[Benefit Option]]</f>
        <v>0</v>
      </c>
      <c r="O341" s="284">
        <f>IF(OR(Table2[[#This Row],[Member Type]]="Spouse",Table2[[#This Row],[Member Type]]="Child"),0,
IF(_xlfn.XLOOKUP($N341,Lookups!$D$13:$D$27,Lookups!$F$13:$F$27,0)=Table2[[#This Row],[Table Lookup for Life Cover]],0,
_xlfn.XLOOKUP($N341,Lookups!$D$13:$D$27,Lookups!$F$13:$F$27,0)))</f>
        <v>0</v>
      </c>
      <c r="P341" s="284">
        <f>IF(Table2[[#This Row],[Table Lookup for Funeral]]=0,0,IFERROR(INDEX('Quotation Tool'!$S$54:$V$60,MATCH($T341,'Quotation Tool'!$S$54:$S$60,0),3),0))</f>
        <v>0</v>
      </c>
      <c r="Q341" s="288">
        <f ca="1">IF(OR(Table2[[#This Row],[Benefit Name]]="My Value Plus Life - Main Member",Table2[[#This Row],[Benefit Name]]="My Value Plus Life - Spouse"),0,
IFERROR(VLOOKUP($G341,INDIRECT($O341),$P341,FALSE),0))</f>
        <v>0</v>
      </c>
      <c r="R341" s="288">
        <f ca="1">IF(OR(Table2[[#This Row],[Benefit Name]]="My Value Plus Life - Main Member",Table2[[#This Row],[Benefit Name]]="My Value Plus Life - Spouse"),0,
IFERROR(VLOOKUP($G341,INDIRECT($O341),$P341+1,FALSE),0))</f>
        <v>0</v>
      </c>
      <c r="S341" s="289">
        <f t="shared" ca="1" si="38"/>
        <v>0</v>
      </c>
      <c r="T341" s="284" t="str">
        <f>IF(Table13[[#This Row],[Premium Waiver]]="","None",Table13[[#This Row],[Premium Waiver]])</f>
        <v>None</v>
      </c>
      <c r="U341" s="284">
        <f>Table13[[#This Row],[VAPs Options]]</f>
        <v>0</v>
      </c>
      <c r="V341" s="284">
        <f>Table13[[#This Row],[Annual Increase Option]]</f>
        <v>0</v>
      </c>
      <c r="W341" s="290">
        <f>Table13[[#This Row],[Life Cover Amount]]</f>
        <v>0</v>
      </c>
      <c r="X341" s="290">
        <f>Table13[[#This Row],[Funeral Cover Amount]]</f>
        <v>0</v>
      </c>
      <c r="Y34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4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41" s="301">
        <f t="shared" ca="1" si="39"/>
        <v>0</v>
      </c>
      <c r="AB341" s="298"/>
      <c r="AC341" s="326" t="str">
        <f>IF(Table2[[#This Row],[Member Type]]="Main Member",Lookups!$C$13,
IF(Table2[[#This Row],[Member Type]]="Spouse",_xlfn.XLOOKUP(B341,Table2[Main Member Link ID],Table2[Product Option],0),
IF(AND(Table2[[#This Row],[Member Type]]="Child",_xlfn.XLOOKUP(B341,Table2[Main Member Link ID],Table2[Product Option],0)&lt;&gt;"My Value Plus Life"),Lookups!$C$24,
IF(AND(OR(Table2[[#This Row],[Member Type]]="Parent",Table2[[#This Row],[Member Type]]="Extended"),_xlfn.XLOOKUP(B341,Table2[Main Member Link ID],Table2[Product Option],0)&lt;&gt;"My Value Plus Life"),Lookups!$C$26,""))))</f>
        <v/>
      </c>
      <c r="AD341" s="326" t="str">
        <f>IF(Table2[[#This Row],[Member Type]]="Main Member",Lookups!$C$14,"")</f>
        <v/>
      </c>
      <c r="AE34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Funeral",_xlfn.XLOOKUP(B341,Table2[Main Member Link ID],Table2[Benefit Name],0)=Lookups!$D$14),"",
IF(AND(Table2[[#This Row],[Member Type]]="Spouse",Table2[[#This Row],[Product Option]]="My Value Plus Life &amp; Funeral",_xlfn.XLOOKUP(B340,Table2[Main Member Link ID],Table2[Benefit Name],0)=Lookups!$D$15),Lookups!$D$20,
IF(AND(Table2[[#This Row],[Member Type]]="Spouse",Table2[[#This Row],[Product Option]]="My Value Plus Life &amp; Funeral",_xlfn.XLOOKUP(B340,Table2[Main Member Link ID],Table2[Benefit Name],0)=Lookups!$D$16),"",
IF(AND(Table2[[#This Row],[Member Type]]="Spouse",Table2[[#This Row],[Product Option]]="My Value Plus Life &amp; Funeral",_xlfn.XLOOKUP(B340,Table2[Main Member Link ID],Table2[Benefit Name],0)=Lookups!$D$17),Lookups!$D$21,
IF(AND(Table2[[#This Row],[Member Type]]="Child",Table2[[#This Row],[Product Option]]="My Value Plus Life &amp; Funeral",_xlfn.XLOOKUP(B341,Table2[Main Member Link ID],Table2[Benefit Name],0)=Lookups!$D$14),"",
IF(AND(Table2[[#This Row],[Member Type]]="Child",Table2[[#This Row],[Product Option]]="My Value Plus Life &amp; Funeral",_xlfn.XLOOKUP(B341,Table2[Main Member Link ID],Table2[Benefit Name],0)=Lookups!$D$15),"",
IF(AND(Table2[[#This Row],[Member Type]]="Child",Table2[[#This Row],[Product Option]]="My Value Plus Life &amp; Funeral",_xlfn.XLOOKUP(B341,Table2[Main Member Link ID],Table2[Benefit Name],0)=Lookups!$D$16),Lookups!$D$24,
IF(AND(Table2[[#This Row],[Member Type]]="Child",Table2[[#This Row],[Product Option]]="My Value Plus Life &amp; Funeral",_xlfn.XLOOKUP(B341,Table2[Main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Funeral",_xlfn.XLOOKUP(B341,Table2[Main Member Link ID],Table2[Benefit Name],0)&lt;&gt;Lookups!$D$14),
IF(_xlfn.XLOOKUP(B341,Table2[Main Member Link ID],Table2[Benefit Name],0)=0,"",_xlfn.XLOOKUP(B341,Table2[Main Member Link ID],Table2[Benefit Name],0)),"")))))))))))))))</f>
        <v/>
      </c>
      <c r="AF341" s="327" t="str">
        <f>IF(AND(Table2[[#This Row],[Member Type]]="Main Member",Table2[[#This Row],[Product Option]]="My Value Plus Life &amp; Funeral"),Lookups!$D$15,
IF(AND(Table2[[#This Row],[Member Type]]="Spouse",Table2[[#This Row],[Product Option]]="My Value Plus Life &amp; Funeral",_xlfn.XLOOKUP(B341,Table2[Main Member Link ID],Table2[Benefit Name],0)=Lookups!$D$14),"",
IF(AND(Table2[[#This Row],[Member Type]]="Spouse",Table2[[#This Row],[Product Option]]="My Value Plus Life &amp; Funeral",_xlfn.XLOOKUP(B340,Table2[Main Member Link ID],Table2[Benefit Name],0)=Lookups!$D$16),"",
IF(AND(Table2[[#This Row],[Member Type]]="Spouse",Table2[[#This Row],[Product Option]]="My Value Plus Life &amp; Funeral",_xlfn.XLOOKUP(B340,Table2[Main Member Link ID],Table2[Benefit Name],0)=Lookups!$D$15),"",
IF(AND(Table2[[#This Row],[Member Type]]="Spouse",Table2[[#This Row],[Product Option]]="My Value Plus Life &amp; Funeral",_xlfn.XLOOKUP(B340,Table2[Main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Funeral",_xlfn.XLOOKUP(B341,Table2[Main Member Link ID],Table2[Benefit Name],0)&lt;&gt;Lookups!$D$15),
IF(_xlfn.XLOOKUP(B341,Table2[Main Member Link ID],Table2[Benefit Name],0)=0,"",_xlfn.XLOOKUP(B341,Table2[Main Member Link ID],Table2[Benefit Name],0)),"")
))))))</f>
        <v/>
      </c>
      <c r="AG341" s="327" t="str">
        <f>IF(AND(Table2[[#This Row],[Member Type]]="Main Member",Table2[[#This Row],[Product Option]]="My Value Plus Life &amp; Funeral"),Lookups!$D$16,
IF(AND(Table2[[#This Row],[Member Type]]="Spouse",Table2[[#This Row],[Product Option]]="My Value Plus Life &amp; Funeral",_xlfn.XLOOKUP(B341,Table2[Main Member Link ID],Table2[Benefit Name],0)=Lookups!$D$14),"",
IF(AND(Table2[[#This Row],[Member Type]]="Spouse",Table2[[#This Row],[Product Option]]="My Value Plus Life &amp; Funeral",_xlfn.XLOOKUP(B340,Table2[Main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Funeral",_xlfn.XLOOKUP(B341,Table2[Main Member Link ID],Table2[Benefit Name],0)&lt;&gt;Lookups!$D$16),
IF(_xlfn.XLOOKUP(B341,Table2[Main Member Link ID],Table2[Benefit Name],0)=0,"",_xlfn.XLOOKUP(B341,Table2[Main Member Link ID],Table2[Benefit Name],0)),"")
))))</f>
        <v/>
      </c>
      <c r="AH341" s="327" t="str">
        <f>IF(AND(Table2[[#This Row],[Member Type]]="Main Member",Table2[[#This Row],[Product Option]]="My Value Plus Life &amp; Funeral"),Lookups!$D$17,
IF(AND(Table2[[#This Row],[Member Type]]="Spouse",Table2[[#This Row],[Product Option]]="My Value Plus Life &amp; Funeral",_xlfn.XLOOKUP(B341,Table2[Main Member Link ID],Table2[Benefit Name],0)=Lookups!$D$14),"",
IF(AND(Table2[[#This Row],[Member Type]]="Spouse",Table2[[#This Row],[Product Option]]="My Value Plus Life &amp; Funeral",_xlfn.XLOOKUP(B340,Table2[Main Member Link ID],Table2[Benefit Name],0)=Lookups!$D$16),"",
IF(AND(Table2[[#This Row],[Member Type]]="Child",Table2[[#This Row],[Product Option]]="My Value Plus Life &amp; Funeral"),"",
IF(AND(Table2[[#This Row],[Member Type]]="Child",Table2[[#This Row],[Product Option]]="My Value Plus Life &amp; Funeral",_xlfn.XLOOKUP(B341,Table2[Main Member Link ID],Table2[Benefit Name],0)=Lookups!$D$15),"",
IF(AND(OR(Table2[[#This Row],[Member Type]]="Spouse",Table2[[#This Row],[Member Type]]="Child"),Table2[[#This Row],[Product Option]]="My Value Plus Life &amp; Funeral",_xlfn.XLOOKUP(B341,Table2[Main Member Link ID],Table2[Benefit Name],0)&lt;&gt;Lookups!$D$17),
IF(_xlfn.XLOOKUP(B341,Table2[Main Member Link ID],Table2[Benefit Name],0)=0,"",_xlfn.XLOOKUP(B341,Table2[Main Member Link ID],Table2[Benefit Name],0)),""))))))</f>
        <v/>
      </c>
      <c r="AI341" s="328" t="str">
        <f>IF(AND(Table2[[#This Row],[Member Type]]="Main Member",Table2[[#This Row],[Table Lookup for Life Cover]]="MM_LIFE",Table2[[#This Row],[Age Next Birthday]]&lt;56),1,
IF(AND(Table2[[#This Row],[Member Type]]="Main Member",Table2[[#This Row],[Table Lookup for Life Cover]]="MM_LIFE",Table2[[#This Row],[Age Next Birthday]]&gt;=56),2,
""))</f>
        <v/>
      </c>
      <c r="AJ341" s="328">
        <f>IF(OR(Table2[[#This Row],[Member Type]]="Main Member",Table2[[#This Row],[Main Member Link ID]]=B340),1,0)</f>
        <v>1</v>
      </c>
      <c r="AK341" s="328">
        <f>IF(Table2[[#This Row],[Member Type]]=0,0,
IF(OR(Table2[[#This Row],[Member Type]]="Main Member",Table2[[#This Row],[Main Member Link ID]]&lt;&gt;B341),COUNTIFS(B:B,Table2[[#This Row],[Main Member Link ID]]),
COUNTIFS(B:B,Table2[[#This Row],[Main Member Link ID]],A:A,Table2[[#This Row],[Member Type]])))</f>
        <v>0</v>
      </c>
    </row>
    <row r="342" spans="1:37" x14ac:dyDescent="0.3">
      <c r="A342" s="284">
        <f>Table13[[#This Row],[Member Type]]</f>
        <v>0</v>
      </c>
      <c r="B342" s="284">
        <f>Table13[[#This Row],[Main Member Link ID]]</f>
        <v>0</v>
      </c>
      <c r="C342" s="284">
        <f>Table13[[#This Row],[ID Number]]</f>
        <v>0</v>
      </c>
      <c r="D342" s="285">
        <f>Table13[[#This Row],[Date Of Birth]]</f>
        <v>0</v>
      </c>
      <c r="E342" s="285">
        <f>Table13[[#This Row],[Commencement Date]]</f>
        <v>0</v>
      </c>
      <c r="F342" s="284">
        <f t="shared" si="35"/>
        <v>1</v>
      </c>
      <c r="G342" s="284">
        <f t="shared" si="36"/>
        <v>25</v>
      </c>
      <c r="H342" s="286">
        <f>Table13[[#This Row],[Product Option]]</f>
        <v>0</v>
      </c>
      <c r="I342" s="284">
        <f>IF(AND($A342="Main Member",Table2[[#This Row],[Product Option]]="My Value Plus Life"),"MM_LIFE",
IF(AND($A342="Spouse",Table2[[#This Row],[Product Option]]="My Value Plus Life"),"SP_LIFE",
IF(AND($A342="Main Member",Table2[[#This Row],[Product Option]]="My Value Plus Life &amp; Funeral"),"MM_LIFE",
IF(AND($A342="Spouse",Table2[[#This Row],[Product Option]]="My Value Plus Life &amp; Funeral"),_xlfn.XLOOKUP(Table2[[#This Row],[Benefit Name]],Lookups!$D$18:$D$23,Lookups!$E$18:$E$23,0),
0))))</f>
        <v>0</v>
      </c>
      <c r="J342" s="284">
        <f>IF($I342="","",
IF($I342="MM_LIFE",INDEX('Quotation Tool'!$S$54:$V$60,MATCH($T342,'Quotation Tool'!$S$54:$S$60,0),4),
IF($I342="SP_LIFE",_xlfn.XLOOKUP(B341,$B:$B,$J:$J,0),0)))</f>
        <v>0</v>
      </c>
      <c r="K342" s="287">
        <f t="shared" ca="1" si="40"/>
        <v>0</v>
      </c>
      <c r="L342" s="288">
        <f t="shared" ca="1" si="41"/>
        <v>0</v>
      </c>
      <c r="M342" s="289">
        <f t="shared" ca="1" si="37"/>
        <v>0</v>
      </c>
      <c r="N342" s="286">
        <f>Table13[[#This Row],[Benefit Option]]</f>
        <v>0</v>
      </c>
      <c r="O342" s="284">
        <f>IF(OR(Table2[[#This Row],[Member Type]]="Spouse",Table2[[#This Row],[Member Type]]="Child"),0,
IF(_xlfn.XLOOKUP($N342,Lookups!$D$13:$D$27,Lookups!$F$13:$F$27,0)=Table2[[#This Row],[Table Lookup for Life Cover]],0,
_xlfn.XLOOKUP($N342,Lookups!$D$13:$D$27,Lookups!$F$13:$F$27,0)))</f>
        <v>0</v>
      </c>
      <c r="P342" s="284">
        <f>IF(Table2[[#This Row],[Table Lookup for Funeral]]=0,0,IFERROR(INDEX('Quotation Tool'!$S$54:$V$60,MATCH($T342,'Quotation Tool'!$S$54:$S$60,0),3),0))</f>
        <v>0</v>
      </c>
      <c r="Q342" s="288">
        <f ca="1">IF(OR(Table2[[#This Row],[Benefit Name]]="My Value Plus Life - Main Member",Table2[[#This Row],[Benefit Name]]="My Value Plus Life - Spouse"),0,
IFERROR(VLOOKUP($G342,INDIRECT($O342),$P342,FALSE),0))</f>
        <v>0</v>
      </c>
      <c r="R342" s="288">
        <f ca="1">IF(OR(Table2[[#This Row],[Benefit Name]]="My Value Plus Life - Main Member",Table2[[#This Row],[Benefit Name]]="My Value Plus Life - Spouse"),0,
IFERROR(VLOOKUP($G342,INDIRECT($O342),$P342+1,FALSE),0))</f>
        <v>0</v>
      </c>
      <c r="S342" s="289">
        <f t="shared" ca="1" si="38"/>
        <v>0</v>
      </c>
      <c r="T342" s="284" t="str">
        <f>IF(Table13[[#This Row],[Premium Waiver]]="","None",Table13[[#This Row],[Premium Waiver]])</f>
        <v>None</v>
      </c>
      <c r="U342" s="284">
        <f>Table13[[#This Row],[VAPs Options]]</f>
        <v>0</v>
      </c>
      <c r="V342" s="284">
        <f>Table13[[#This Row],[Annual Increase Option]]</f>
        <v>0</v>
      </c>
      <c r="W342" s="290">
        <f>Table13[[#This Row],[Life Cover Amount]]</f>
        <v>0</v>
      </c>
      <c r="X342" s="290">
        <f>Table13[[#This Row],[Funeral Cover Amount]]</f>
        <v>0</v>
      </c>
      <c r="Y34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4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42" s="301">
        <f t="shared" ca="1" si="39"/>
        <v>0</v>
      </c>
      <c r="AB342" s="298"/>
      <c r="AC342" s="326" t="str">
        <f>IF(Table2[[#This Row],[Member Type]]="Main Member",Lookups!$C$13,
IF(Table2[[#This Row],[Member Type]]="Spouse",_xlfn.XLOOKUP(B342,Table2[Main Member Link ID],Table2[Product Option],0),
IF(AND(Table2[[#This Row],[Member Type]]="Child",_xlfn.XLOOKUP(B342,Table2[Main Member Link ID],Table2[Product Option],0)&lt;&gt;"My Value Plus Life"),Lookups!$C$24,
IF(AND(OR(Table2[[#This Row],[Member Type]]="Parent",Table2[[#This Row],[Member Type]]="Extended"),_xlfn.XLOOKUP(B342,Table2[Main Member Link ID],Table2[Product Option],0)&lt;&gt;"My Value Plus Life"),Lookups!$C$26,""))))</f>
        <v/>
      </c>
      <c r="AD342" s="326" t="str">
        <f>IF(Table2[[#This Row],[Member Type]]="Main Member",Lookups!$C$14,"")</f>
        <v/>
      </c>
      <c r="AE34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Funeral",_xlfn.XLOOKUP(B342,Table2[Main Member Link ID],Table2[Benefit Name],0)=Lookups!$D$14),"",
IF(AND(Table2[[#This Row],[Member Type]]="Spouse",Table2[[#This Row],[Product Option]]="My Value Plus Life &amp; Funeral",_xlfn.XLOOKUP(B341,Table2[Main Member Link ID],Table2[Benefit Name],0)=Lookups!$D$15),Lookups!$D$20,
IF(AND(Table2[[#This Row],[Member Type]]="Spouse",Table2[[#This Row],[Product Option]]="My Value Plus Life &amp; Funeral",_xlfn.XLOOKUP(B341,Table2[Main Member Link ID],Table2[Benefit Name],0)=Lookups!$D$16),"",
IF(AND(Table2[[#This Row],[Member Type]]="Spouse",Table2[[#This Row],[Product Option]]="My Value Plus Life &amp; Funeral",_xlfn.XLOOKUP(B341,Table2[Main Member Link ID],Table2[Benefit Name],0)=Lookups!$D$17),Lookups!$D$21,
IF(AND(Table2[[#This Row],[Member Type]]="Child",Table2[[#This Row],[Product Option]]="My Value Plus Life &amp; Funeral",_xlfn.XLOOKUP(B342,Table2[Main Member Link ID],Table2[Benefit Name],0)=Lookups!$D$14),"",
IF(AND(Table2[[#This Row],[Member Type]]="Child",Table2[[#This Row],[Product Option]]="My Value Plus Life &amp; Funeral",_xlfn.XLOOKUP(B342,Table2[Main Member Link ID],Table2[Benefit Name],0)=Lookups!$D$15),"",
IF(AND(Table2[[#This Row],[Member Type]]="Child",Table2[[#This Row],[Product Option]]="My Value Plus Life &amp; Funeral",_xlfn.XLOOKUP(B342,Table2[Main Member Link ID],Table2[Benefit Name],0)=Lookups!$D$16),Lookups!$D$24,
IF(AND(Table2[[#This Row],[Member Type]]="Child",Table2[[#This Row],[Product Option]]="My Value Plus Life &amp; Funeral",_xlfn.XLOOKUP(B342,Table2[Main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Funeral",_xlfn.XLOOKUP(B342,Table2[Main Member Link ID],Table2[Benefit Name],0)&lt;&gt;Lookups!$D$14),
IF(_xlfn.XLOOKUP(B342,Table2[Main Member Link ID],Table2[Benefit Name],0)=0,"",_xlfn.XLOOKUP(B342,Table2[Main Member Link ID],Table2[Benefit Name],0)),"")))))))))))))))</f>
        <v/>
      </c>
      <c r="AF342" s="327" t="str">
        <f>IF(AND(Table2[[#This Row],[Member Type]]="Main Member",Table2[[#This Row],[Product Option]]="My Value Plus Life &amp; Funeral"),Lookups!$D$15,
IF(AND(Table2[[#This Row],[Member Type]]="Spouse",Table2[[#This Row],[Product Option]]="My Value Plus Life &amp; Funeral",_xlfn.XLOOKUP(B342,Table2[Main Member Link ID],Table2[Benefit Name],0)=Lookups!$D$14),"",
IF(AND(Table2[[#This Row],[Member Type]]="Spouse",Table2[[#This Row],[Product Option]]="My Value Plus Life &amp; Funeral",_xlfn.XLOOKUP(B341,Table2[Main Member Link ID],Table2[Benefit Name],0)=Lookups!$D$16),"",
IF(AND(Table2[[#This Row],[Member Type]]="Spouse",Table2[[#This Row],[Product Option]]="My Value Plus Life &amp; Funeral",_xlfn.XLOOKUP(B341,Table2[Main Member Link ID],Table2[Benefit Name],0)=Lookups!$D$15),"",
IF(AND(Table2[[#This Row],[Member Type]]="Spouse",Table2[[#This Row],[Product Option]]="My Value Plus Life &amp; Funeral",_xlfn.XLOOKUP(B341,Table2[Main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Funeral",_xlfn.XLOOKUP(B342,Table2[Main Member Link ID],Table2[Benefit Name],0)&lt;&gt;Lookups!$D$15),
IF(_xlfn.XLOOKUP(B342,Table2[Main Member Link ID],Table2[Benefit Name],0)=0,"",_xlfn.XLOOKUP(B342,Table2[Main Member Link ID],Table2[Benefit Name],0)),"")
))))))</f>
        <v/>
      </c>
      <c r="AG342" s="327" t="str">
        <f>IF(AND(Table2[[#This Row],[Member Type]]="Main Member",Table2[[#This Row],[Product Option]]="My Value Plus Life &amp; Funeral"),Lookups!$D$16,
IF(AND(Table2[[#This Row],[Member Type]]="Spouse",Table2[[#This Row],[Product Option]]="My Value Plus Life &amp; Funeral",_xlfn.XLOOKUP(B342,Table2[Main Member Link ID],Table2[Benefit Name],0)=Lookups!$D$14),"",
IF(AND(Table2[[#This Row],[Member Type]]="Spouse",Table2[[#This Row],[Product Option]]="My Value Plus Life &amp; Funeral",_xlfn.XLOOKUP(B341,Table2[Main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Funeral",_xlfn.XLOOKUP(B342,Table2[Main Member Link ID],Table2[Benefit Name],0)&lt;&gt;Lookups!$D$16),
IF(_xlfn.XLOOKUP(B342,Table2[Main Member Link ID],Table2[Benefit Name],0)=0,"",_xlfn.XLOOKUP(B342,Table2[Main Member Link ID],Table2[Benefit Name],0)),"")
))))</f>
        <v/>
      </c>
      <c r="AH342" s="327" t="str">
        <f>IF(AND(Table2[[#This Row],[Member Type]]="Main Member",Table2[[#This Row],[Product Option]]="My Value Plus Life &amp; Funeral"),Lookups!$D$17,
IF(AND(Table2[[#This Row],[Member Type]]="Spouse",Table2[[#This Row],[Product Option]]="My Value Plus Life &amp; Funeral",_xlfn.XLOOKUP(B342,Table2[Main Member Link ID],Table2[Benefit Name],0)=Lookups!$D$14),"",
IF(AND(Table2[[#This Row],[Member Type]]="Spouse",Table2[[#This Row],[Product Option]]="My Value Plus Life &amp; Funeral",_xlfn.XLOOKUP(B341,Table2[Main Member Link ID],Table2[Benefit Name],0)=Lookups!$D$16),"",
IF(AND(Table2[[#This Row],[Member Type]]="Child",Table2[[#This Row],[Product Option]]="My Value Plus Life &amp; Funeral"),"",
IF(AND(Table2[[#This Row],[Member Type]]="Child",Table2[[#This Row],[Product Option]]="My Value Plus Life &amp; Funeral",_xlfn.XLOOKUP(B342,Table2[Main Member Link ID],Table2[Benefit Name],0)=Lookups!$D$15),"",
IF(AND(OR(Table2[[#This Row],[Member Type]]="Spouse",Table2[[#This Row],[Member Type]]="Child"),Table2[[#This Row],[Product Option]]="My Value Plus Life &amp; Funeral",_xlfn.XLOOKUP(B342,Table2[Main Member Link ID],Table2[Benefit Name],0)&lt;&gt;Lookups!$D$17),
IF(_xlfn.XLOOKUP(B342,Table2[Main Member Link ID],Table2[Benefit Name],0)=0,"",_xlfn.XLOOKUP(B342,Table2[Main Member Link ID],Table2[Benefit Name],0)),""))))))</f>
        <v/>
      </c>
      <c r="AI342" s="328" t="str">
        <f>IF(AND(Table2[[#This Row],[Member Type]]="Main Member",Table2[[#This Row],[Table Lookup for Life Cover]]="MM_LIFE",Table2[[#This Row],[Age Next Birthday]]&lt;56),1,
IF(AND(Table2[[#This Row],[Member Type]]="Main Member",Table2[[#This Row],[Table Lookup for Life Cover]]="MM_LIFE",Table2[[#This Row],[Age Next Birthday]]&gt;=56),2,
""))</f>
        <v/>
      </c>
      <c r="AJ342" s="328">
        <f>IF(OR(Table2[[#This Row],[Member Type]]="Main Member",Table2[[#This Row],[Main Member Link ID]]=B341),1,0)</f>
        <v>1</v>
      </c>
      <c r="AK342" s="328">
        <f>IF(Table2[[#This Row],[Member Type]]=0,0,
IF(OR(Table2[[#This Row],[Member Type]]="Main Member",Table2[[#This Row],[Main Member Link ID]]&lt;&gt;B342),COUNTIFS(B:B,Table2[[#This Row],[Main Member Link ID]]),
COUNTIFS(B:B,Table2[[#This Row],[Main Member Link ID]],A:A,Table2[[#This Row],[Member Type]])))</f>
        <v>0</v>
      </c>
    </row>
    <row r="343" spans="1:37" x14ac:dyDescent="0.3">
      <c r="A343" s="284">
        <f>Table13[[#This Row],[Member Type]]</f>
        <v>0</v>
      </c>
      <c r="B343" s="284">
        <f>Table13[[#This Row],[Main Member Link ID]]</f>
        <v>0</v>
      </c>
      <c r="C343" s="284">
        <f>Table13[[#This Row],[ID Number]]</f>
        <v>0</v>
      </c>
      <c r="D343" s="285">
        <f>Table13[[#This Row],[Date Of Birth]]</f>
        <v>0</v>
      </c>
      <c r="E343" s="285">
        <f>Table13[[#This Row],[Commencement Date]]</f>
        <v>0</v>
      </c>
      <c r="F343" s="284">
        <f t="shared" si="35"/>
        <v>1</v>
      </c>
      <c r="G343" s="284">
        <f t="shared" si="36"/>
        <v>25</v>
      </c>
      <c r="H343" s="286">
        <f>Table13[[#This Row],[Product Option]]</f>
        <v>0</v>
      </c>
      <c r="I343" s="284">
        <f>IF(AND($A343="Main Member",Table2[[#This Row],[Product Option]]="My Value Plus Life"),"MM_LIFE",
IF(AND($A343="Spouse",Table2[[#This Row],[Product Option]]="My Value Plus Life"),"SP_LIFE",
IF(AND($A343="Main Member",Table2[[#This Row],[Product Option]]="My Value Plus Life &amp; Funeral"),"MM_LIFE",
IF(AND($A343="Spouse",Table2[[#This Row],[Product Option]]="My Value Plus Life &amp; Funeral"),_xlfn.XLOOKUP(Table2[[#This Row],[Benefit Name]],Lookups!$D$18:$D$23,Lookups!$E$18:$E$23,0),
0))))</f>
        <v>0</v>
      </c>
      <c r="J343" s="284">
        <f>IF($I343="","",
IF($I343="MM_LIFE",INDEX('Quotation Tool'!$S$54:$V$60,MATCH($T343,'Quotation Tool'!$S$54:$S$60,0),4),
IF($I343="SP_LIFE",_xlfn.XLOOKUP(B342,$B:$B,$J:$J,0),0)))</f>
        <v>0</v>
      </c>
      <c r="K343" s="287">
        <f t="shared" ca="1" si="40"/>
        <v>0</v>
      </c>
      <c r="L343" s="288">
        <f t="shared" ca="1" si="41"/>
        <v>0</v>
      </c>
      <c r="M343" s="289">
        <f t="shared" ca="1" si="37"/>
        <v>0</v>
      </c>
      <c r="N343" s="286">
        <f>Table13[[#This Row],[Benefit Option]]</f>
        <v>0</v>
      </c>
      <c r="O343" s="284">
        <f>IF(OR(Table2[[#This Row],[Member Type]]="Spouse",Table2[[#This Row],[Member Type]]="Child"),0,
IF(_xlfn.XLOOKUP($N343,Lookups!$D$13:$D$27,Lookups!$F$13:$F$27,0)=Table2[[#This Row],[Table Lookup for Life Cover]],0,
_xlfn.XLOOKUP($N343,Lookups!$D$13:$D$27,Lookups!$F$13:$F$27,0)))</f>
        <v>0</v>
      </c>
      <c r="P343" s="284">
        <f>IF(Table2[[#This Row],[Table Lookup for Funeral]]=0,0,IFERROR(INDEX('Quotation Tool'!$S$54:$V$60,MATCH($T343,'Quotation Tool'!$S$54:$S$60,0),3),0))</f>
        <v>0</v>
      </c>
      <c r="Q343" s="288">
        <f ca="1">IF(OR(Table2[[#This Row],[Benefit Name]]="My Value Plus Life - Main Member",Table2[[#This Row],[Benefit Name]]="My Value Plus Life - Spouse"),0,
IFERROR(VLOOKUP($G343,INDIRECT($O343),$P343,FALSE),0))</f>
        <v>0</v>
      </c>
      <c r="R343" s="288">
        <f ca="1">IF(OR(Table2[[#This Row],[Benefit Name]]="My Value Plus Life - Main Member",Table2[[#This Row],[Benefit Name]]="My Value Plus Life - Spouse"),0,
IFERROR(VLOOKUP($G343,INDIRECT($O343),$P343+1,FALSE),0))</f>
        <v>0</v>
      </c>
      <c r="S343" s="289">
        <f t="shared" ca="1" si="38"/>
        <v>0</v>
      </c>
      <c r="T343" s="284" t="str">
        <f>IF(Table13[[#This Row],[Premium Waiver]]="","None",Table13[[#This Row],[Premium Waiver]])</f>
        <v>None</v>
      </c>
      <c r="U343" s="284">
        <f>Table13[[#This Row],[VAPs Options]]</f>
        <v>0</v>
      </c>
      <c r="V343" s="284">
        <f>Table13[[#This Row],[Annual Increase Option]]</f>
        <v>0</v>
      </c>
      <c r="W343" s="290">
        <f>Table13[[#This Row],[Life Cover Amount]]</f>
        <v>0</v>
      </c>
      <c r="X343" s="290">
        <f>Table13[[#This Row],[Funeral Cover Amount]]</f>
        <v>0</v>
      </c>
      <c r="Y34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4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43" s="301">
        <f t="shared" ca="1" si="39"/>
        <v>0</v>
      </c>
      <c r="AB343" s="298"/>
      <c r="AC343" s="326" t="str">
        <f>IF(Table2[[#This Row],[Member Type]]="Main Member",Lookups!$C$13,
IF(Table2[[#This Row],[Member Type]]="Spouse",_xlfn.XLOOKUP(B343,Table2[Main Member Link ID],Table2[Product Option],0),
IF(AND(Table2[[#This Row],[Member Type]]="Child",_xlfn.XLOOKUP(B343,Table2[Main Member Link ID],Table2[Product Option],0)&lt;&gt;"My Value Plus Life"),Lookups!$C$24,
IF(AND(OR(Table2[[#This Row],[Member Type]]="Parent",Table2[[#This Row],[Member Type]]="Extended"),_xlfn.XLOOKUP(B343,Table2[Main Member Link ID],Table2[Product Option],0)&lt;&gt;"My Value Plus Life"),Lookups!$C$26,""))))</f>
        <v/>
      </c>
      <c r="AD343" s="326" t="str">
        <f>IF(Table2[[#This Row],[Member Type]]="Main Member",Lookups!$C$14,"")</f>
        <v/>
      </c>
      <c r="AE34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Funeral",_xlfn.XLOOKUP(B343,Table2[Main Member Link ID],Table2[Benefit Name],0)=Lookups!$D$14),"",
IF(AND(Table2[[#This Row],[Member Type]]="Spouse",Table2[[#This Row],[Product Option]]="My Value Plus Life &amp; Funeral",_xlfn.XLOOKUP(B342,Table2[Main Member Link ID],Table2[Benefit Name],0)=Lookups!$D$15),Lookups!$D$20,
IF(AND(Table2[[#This Row],[Member Type]]="Spouse",Table2[[#This Row],[Product Option]]="My Value Plus Life &amp; Funeral",_xlfn.XLOOKUP(B342,Table2[Main Member Link ID],Table2[Benefit Name],0)=Lookups!$D$16),"",
IF(AND(Table2[[#This Row],[Member Type]]="Spouse",Table2[[#This Row],[Product Option]]="My Value Plus Life &amp; Funeral",_xlfn.XLOOKUP(B342,Table2[Main Member Link ID],Table2[Benefit Name],0)=Lookups!$D$17),Lookups!$D$21,
IF(AND(Table2[[#This Row],[Member Type]]="Child",Table2[[#This Row],[Product Option]]="My Value Plus Life &amp; Funeral",_xlfn.XLOOKUP(B343,Table2[Main Member Link ID],Table2[Benefit Name],0)=Lookups!$D$14),"",
IF(AND(Table2[[#This Row],[Member Type]]="Child",Table2[[#This Row],[Product Option]]="My Value Plus Life &amp; Funeral",_xlfn.XLOOKUP(B343,Table2[Main Member Link ID],Table2[Benefit Name],0)=Lookups!$D$15),"",
IF(AND(Table2[[#This Row],[Member Type]]="Child",Table2[[#This Row],[Product Option]]="My Value Plus Life &amp; Funeral",_xlfn.XLOOKUP(B343,Table2[Main Member Link ID],Table2[Benefit Name],0)=Lookups!$D$16),Lookups!$D$24,
IF(AND(Table2[[#This Row],[Member Type]]="Child",Table2[[#This Row],[Product Option]]="My Value Plus Life &amp; Funeral",_xlfn.XLOOKUP(B343,Table2[Main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Funeral",_xlfn.XLOOKUP(B343,Table2[Main Member Link ID],Table2[Benefit Name],0)&lt;&gt;Lookups!$D$14),
IF(_xlfn.XLOOKUP(B343,Table2[Main Member Link ID],Table2[Benefit Name],0)=0,"",_xlfn.XLOOKUP(B343,Table2[Main Member Link ID],Table2[Benefit Name],0)),"")))))))))))))))</f>
        <v/>
      </c>
      <c r="AF343" s="327" t="str">
        <f>IF(AND(Table2[[#This Row],[Member Type]]="Main Member",Table2[[#This Row],[Product Option]]="My Value Plus Life &amp; Funeral"),Lookups!$D$15,
IF(AND(Table2[[#This Row],[Member Type]]="Spouse",Table2[[#This Row],[Product Option]]="My Value Plus Life &amp; Funeral",_xlfn.XLOOKUP(B343,Table2[Main Member Link ID],Table2[Benefit Name],0)=Lookups!$D$14),"",
IF(AND(Table2[[#This Row],[Member Type]]="Spouse",Table2[[#This Row],[Product Option]]="My Value Plus Life &amp; Funeral",_xlfn.XLOOKUP(B342,Table2[Main Member Link ID],Table2[Benefit Name],0)=Lookups!$D$16),"",
IF(AND(Table2[[#This Row],[Member Type]]="Spouse",Table2[[#This Row],[Product Option]]="My Value Plus Life &amp; Funeral",_xlfn.XLOOKUP(B342,Table2[Main Member Link ID],Table2[Benefit Name],0)=Lookups!$D$15),"",
IF(AND(Table2[[#This Row],[Member Type]]="Spouse",Table2[[#This Row],[Product Option]]="My Value Plus Life &amp; Funeral",_xlfn.XLOOKUP(B342,Table2[Main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Funeral",_xlfn.XLOOKUP(B343,Table2[Main Member Link ID],Table2[Benefit Name],0)&lt;&gt;Lookups!$D$15),
IF(_xlfn.XLOOKUP(B343,Table2[Main Member Link ID],Table2[Benefit Name],0)=0,"",_xlfn.XLOOKUP(B343,Table2[Main Member Link ID],Table2[Benefit Name],0)),"")
))))))</f>
        <v/>
      </c>
      <c r="AG343" s="327" t="str">
        <f>IF(AND(Table2[[#This Row],[Member Type]]="Main Member",Table2[[#This Row],[Product Option]]="My Value Plus Life &amp; Funeral"),Lookups!$D$16,
IF(AND(Table2[[#This Row],[Member Type]]="Spouse",Table2[[#This Row],[Product Option]]="My Value Plus Life &amp; Funeral",_xlfn.XLOOKUP(B343,Table2[Main Member Link ID],Table2[Benefit Name],0)=Lookups!$D$14),"",
IF(AND(Table2[[#This Row],[Member Type]]="Spouse",Table2[[#This Row],[Product Option]]="My Value Plus Life &amp; Funeral",_xlfn.XLOOKUP(B342,Table2[Main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Funeral",_xlfn.XLOOKUP(B343,Table2[Main Member Link ID],Table2[Benefit Name],0)&lt;&gt;Lookups!$D$16),
IF(_xlfn.XLOOKUP(B343,Table2[Main Member Link ID],Table2[Benefit Name],0)=0,"",_xlfn.XLOOKUP(B343,Table2[Main Member Link ID],Table2[Benefit Name],0)),"")
))))</f>
        <v/>
      </c>
      <c r="AH343" s="327" t="str">
        <f>IF(AND(Table2[[#This Row],[Member Type]]="Main Member",Table2[[#This Row],[Product Option]]="My Value Plus Life &amp; Funeral"),Lookups!$D$17,
IF(AND(Table2[[#This Row],[Member Type]]="Spouse",Table2[[#This Row],[Product Option]]="My Value Plus Life &amp; Funeral",_xlfn.XLOOKUP(B343,Table2[Main Member Link ID],Table2[Benefit Name],0)=Lookups!$D$14),"",
IF(AND(Table2[[#This Row],[Member Type]]="Spouse",Table2[[#This Row],[Product Option]]="My Value Plus Life &amp; Funeral",_xlfn.XLOOKUP(B342,Table2[Main Member Link ID],Table2[Benefit Name],0)=Lookups!$D$16),"",
IF(AND(Table2[[#This Row],[Member Type]]="Child",Table2[[#This Row],[Product Option]]="My Value Plus Life &amp; Funeral"),"",
IF(AND(Table2[[#This Row],[Member Type]]="Child",Table2[[#This Row],[Product Option]]="My Value Plus Life &amp; Funeral",_xlfn.XLOOKUP(B343,Table2[Main Member Link ID],Table2[Benefit Name],0)=Lookups!$D$15),"",
IF(AND(OR(Table2[[#This Row],[Member Type]]="Spouse",Table2[[#This Row],[Member Type]]="Child"),Table2[[#This Row],[Product Option]]="My Value Plus Life &amp; Funeral",_xlfn.XLOOKUP(B343,Table2[Main Member Link ID],Table2[Benefit Name],0)&lt;&gt;Lookups!$D$17),
IF(_xlfn.XLOOKUP(B343,Table2[Main Member Link ID],Table2[Benefit Name],0)=0,"",_xlfn.XLOOKUP(B343,Table2[Main Member Link ID],Table2[Benefit Name],0)),""))))))</f>
        <v/>
      </c>
      <c r="AI343" s="328" t="str">
        <f>IF(AND(Table2[[#This Row],[Member Type]]="Main Member",Table2[[#This Row],[Table Lookup for Life Cover]]="MM_LIFE",Table2[[#This Row],[Age Next Birthday]]&lt;56),1,
IF(AND(Table2[[#This Row],[Member Type]]="Main Member",Table2[[#This Row],[Table Lookup for Life Cover]]="MM_LIFE",Table2[[#This Row],[Age Next Birthday]]&gt;=56),2,
""))</f>
        <v/>
      </c>
      <c r="AJ343" s="328">
        <f>IF(OR(Table2[[#This Row],[Member Type]]="Main Member",Table2[[#This Row],[Main Member Link ID]]=B342),1,0)</f>
        <v>1</v>
      </c>
      <c r="AK343" s="328">
        <f>IF(Table2[[#This Row],[Member Type]]=0,0,
IF(OR(Table2[[#This Row],[Member Type]]="Main Member",Table2[[#This Row],[Main Member Link ID]]&lt;&gt;B343),COUNTIFS(B:B,Table2[[#This Row],[Main Member Link ID]]),
COUNTIFS(B:B,Table2[[#This Row],[Main Member Link ID]],A:A,Table2[[#This Row],[Member Type]])))</f>
        <v>0</v>
      </c>
    </row>
    <row r="344" spans="1:37" x14ac:dyDescent="0.3">
      <c r="A344" s="284">
        <f>Table13[[#This Row],[Member Type]]</f>
        <v>0</v>
      </c>
      <c r="B344" s="284">
        <f>Table13[[#This Row],[Main Member Link ID]]</f>
        <v>0</v>
      </c>
      <c r="C344" s="284">
        <f>Table13[[#This Row],[ID Number]]</f>
        <v>0</v>
      </c>
      <c r="D344" s="285">
        <f>Table13[[#This Row],[Date Of Birth]]</f>
        <v>0</v>
      </c>
      <c r="E344" s="285">
        <f>Table13[[#This Row],[Commencement Date]]</f>
        <v>0</v>
      </c>
      <c r="F344" s="284">
        <f t="shared" si="35"/>
        <v>1</v>
      </c>
      <c r="G344" s="284">
        <f t="shared" si="36"/>
        <v>25</v>
      </c>
      <c r="H344" s="286">
        <f>Table13[[#This Row],[Product Option]]</f>
        <v>0</v>
      </c>
      <c r="I344" s="284">
        <f>IF(AND($A344="Main Member",Table2[[#This Row],[Product Option]]="My Value Plus Life"),"MM_LIFE",
IF(AND($A344="Spouse",Table2[[#This Row],[Product Option]]="My Value Plus Life"),"SP_LIFE",
IF(AND($A344="Main Member",Table2[[#This Row],[Product Option]]="My Value Plus Life &amp; Funeral"),"MM_LIFE",
IF(AND($A344="Spouse",Table2[[#This Row],[Product Option]]="My Value Plus Life &amp; Funeral"),_xlfn.XLOOKUP(Table2[[#This Row],[Benefit Name]],Lookups!$D$18:$D$23,Lookups!$E$18:$E$23,0),
0))))</f>
        <v>0</v>
      </c>
      <c r="J344" s="284">
        <f>IF($I344="","",
IF($I344="MM_LIFE",INDEX('Quotation Tool'!$S$54:$V$60,MATCH($T344,'Quotation Tool'!$S$54:$S$60,0),4),
IF($I344="SP_LIFE",_xlfn.XLOOKUP(B343,$B:$B,$J:$J,0),0)))</f>
        <v>0</v>
      </c>
      <c r="K344" s="287">
        <f t="shared" ca="1" si="40"/>
        <v>0</v>
      </c>
      <c r="L344" s="288">
        <f t="shared" ca="1" si="41"/>
        <v>0</v>
      </c>
      <c r="M344" s="289">
        <f t="shared" ca="1" si="37"/>
        <v>0</v>
      </c>
      <c r="N344" s="286">
        <f>Table13[[#This Row],[Benefit Option]]</f>
        <v>0</v>
      </c>
      <c r="O344" s="284">
        <f>IF(OR(Table2[[#This Row],[Member Type]]="Spouse",Table2[[#This Row],[Member Type]]="Child"),0,
IF(_xlfn.XLOOKUP($N344,Lookups!$D$13:$D$27,Lookups!$F$13:$F$27,0)=Table2[[#This Row],[Table Lookup for Life Cover]],0,
_xlfn.XLOOKUP($N344,Lookups!$D$13:$D$27,Lookups!$F$13:$F$27,0)))</f>
        <v>0</v>
      </c>
      <c r="P344" s="284">
        <f>IF(Table2[[#This Row],[Table Lookup for Funeral]]=0,0,IFERROR(INDEX('Quotation Tool'!$S$54:$V$60,MATCH($T344,'Quotation Tool'!$S$54:$S$60,0),3),0))</f>
        <v>0</v>
      </c>
      <c r="Q344" s="288">
        <f ca="1">IF(OR(Table2[[#This Row],[Benefit Name]]="My Value Plus Life - Main Member",Table2[[#This Row],[Benefit Name]]="My Value Plus Life - Spouse"),0,
IFERROR(VLOOKUP($G344,INDIRECT($O344),$P344,FALSE),0))</f>
        <v>0</v>
      </c>
      <c r="R344" s="288">
        <f ca="1">IF(OR(Table2[[#This Row],[Benefit Name]]="My Value Plus Life - Main Member",Table2[[#This Row],[Benefit Name]]="My Value Plus Life - Spouse"),0,
IFERROR(VLOOKUP($G344,INDIRECT($O344),$P344+1,FALSE),0))</f>
        <v>0</v>
      </c>
      <c r="S344" s="289">
        <f t="shared" ca="1" si="38"/>
        <v>0</v>
      </c>
      <c r="T344" s="284" t="str">
        <f>IF(Table13[[#This Row],[Premium Waiver]]="","None",Table13[[#This Row],[Premium Waiver]])</f>
        <v>None</v>
      </c>
      <c r="U344" s="284">
        <f>Table13[[#This Row],[VAPs Options]]</f>
        <v>0</v>
      </c>
      <c r="V344" s="284">
        <f>Table13[[#This Row],[Annual Increase Option]]</f>
        <v>0</v>
      </c>
      <c r="W344" s="290">
        <f>Table13[[#This Row],[Life Cover Amount]]</f>
        <v>0</v>
      </c>
      <c r="X344" s="290">
        <f>Table13[[#This Row],[Funeral Cover Amount]]</f>
        <v>0</v>
      </c>
      <c r="Y34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4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44" s="301">
        <f t="shared" ca="1" si="39"/>
        <v>0</v>
      </c>
      <c r="AB344" s="298"/>
      <c r="AC344" s="326" t="str">
        <f>IF(Table2[[#This Row],[Member Type]]="Main Member",Lookups!$C$13,
IF(Table2[[#This Row],[Member Type]]="Spouse",_xlfn.XLOOKUP(B344,Table2[Main Member Link ID],Table2[Product Option],0),
IF(AND(Table2[[#This Row],[Member Type]]="Child",_xlfn.XLOOKUP(B344,Table2[Main Member Link ID],Table2[Product Option],0)&lt;&gt;"My Value Plus Life"),Lookups!$C$24,
IF(AND(OR(Table2[[#This Row],[Member Type]]="Parent",Table2[[#This Row],[Member Type]]="Extended"),_xlfn.XLOOKUP(B344,Table2[Main Member Link ID],Table2[Product Option],0)&lt;&gt;"My Value Plus Life"),Lookups!$C$26,""))))</f>
        <v/>
      </c>
      <c r="AD344" s="326" t="str">
        <f>IF(Table2[[#This Row],[Member Type]]="Main Member",Lookups!$C$14,"")</f>
        <v/>
      </c>
      <c r="AE34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Funeral",_xlfn.XLOOKUP(B344,Table2[Main Member Link ID],Table2[Benefit Name],0)=Lookups!$D$14),"",
IF(AND(Table2[[#This Row],[Member Type]]="Spouse",Table2[[#This Row],[Product Option]]="My Value Plus Life &amp; Funeral",_xlfn.XLOOKUP(B343,Table2[Main Member Link ID],Table2[Benefit Name],0)=Lookups!$D$15),Lookups!$D$20,
IF(AND(Table2[[#This Row],[Member Type]]="Spouse",Table2[[#This Row],[Product Option]]="My Value Plus Life &amp; Funeral",_xlfn.XLOOKUP(B343,Table2[Main Member Link ID],Table2[Benefit Name],0)=Lookups!$D$16),"",
IF(AND(Table2[[#This Row],[Member Type]]="Spouse",Table2[[#This Row],[Product Option]]="My Value Plus Life &amp; Funeral",_xlfn.XLOOKUP(B343,Table2[Main Member Link ID],Table2[Benefit Name],0)=Lookups!$D$17),Lookups!$D$21,
IF(AND(Table2[[#This Row],[Member Type]]="Child",Table2[[#This Row],[Product Option]]="My Value Plus Life &amp; Funeral",_xlfn.XLOOKUP(B344,Table2[Main Member Link ID],Table2[Benefit Name],0)=Lookups!$D$14),"",
IF(AND(Table2[[#This Row],[Member Type]]="Child",Table2[[#This Row],[Product Option]]="My Value Plus Life &amp; Funeral",_xlfn.XLOOKUP(B344,Table2[Main Member Link ID],Table2[Benefit Name],0)=Lookups!$D$15),"",
IF(AND(Table2[[#This Row],[Member Type]]="Child",Table2[[#This Row],[Product Option]]="My Value Plus Life &amp; Funeral",_xlfn.XLOOKUP(B344,Table2[Main Member Link ID],Table2[Benefit Name],0)=Lookups!$D$16),Lookups!$D$24,
IF(AND(Table2[[#This Row],[Member Type]]="Child",Table2[[#This Row],[Product Option]]="My Value Plus Life &amp; Funeral",_xlfn.XLOOKUP(B344,Table2[Main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Funeral",_xlfn.XLOOKUP(B344,Table2[Main Member Link ID],Table2[Benefit Name],0)&lt;&gt;Lookups!$D$14),
IF(_xlfn.XLOOKUP(B344,Table2[Main Member Link ID],Table2[Benefit Name],0)=0,"",_xlfn.XLOOKUP(B344,Table2[Main Member Link ID],Table2[Benefit Name],0)),"")))))))))))))))</f>
        <v/>
      </c>
      <c r="AF344" s="327" t="str">
        <f>IF(AND(Table2[[#This Row],[Member Type]]="Main Member",Table2[[#This Row],[Product Option]]="My Value Plus Life &amp; Funeral"),Lookups!$D$15,
IF(AND(Table2[[#This Row],[Member Type]]="Spouse",Table2[[#This Row],[Product Option]]="My Value Plus Life &amp; Funeral",_xlfn.XLOOKUP(B344,Table2[Main Member Link ID],Table2[Benefit Name],0)=Lookups!$D$14),"",
IF(AND(Table2[[#This Row],[Member Type]]="Spouse",Table2[[#This Row],[Product Option]]="My Value Plus Life &amp; Funeral",_xlfn.XLOOKUP(B343,Table2[Main Member Link ID],Table2[Benefit Name],0)=Lookups!$D$16),"",
IF(AND(Table2[[#This Row],[Member Type]]="Spouse",Table2[[#This Row],[Product Option]]="My Value Plus Life &amp; Funeral",_xlfn.XLOOKUP(B343,Table2[Main Member Link ID],Table2[Benefit Name],0)=Lookups!$D$15),"",
IF(AND(Table2[[#This Row],[Member Type]]="Spouse",Table2[[#This Row],[Product Option]]="My Value Plus Life &amp; Funeral",_xlfn.XLOOKUP(B343,Table2[Main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Funeral",_xlfn.XLOOKUP(B344,Table2[Main Member Link ID],Table2[Benefit Name],0)&lt;&gt;Lookups!$D$15),
IF(_xlfn.XLOOKUP(B344,Table2[Main Member Link ID],Table2[Benefit Name],0)=0,"",_xlfn.XLOOKUP(B344,Table2[Main Member Link ID],Table2[Benefit Name],0)),"")
))))))</f>
        <v/>
      </c>
      <c r="AG344" s="327" t="str">
        <f>IF(AND(Table2[[#This Row],[Member Type]]="Main Member",Table2[[#This Row],[Product Option]]="My Value Plus Life &amp; Funeral"),Lookups!$D$16,
IF(AND(Table2[[#This Row],[Member Type]]="Spouse",Table2[[#This Row],[Product Option]]="My Value Plus Life &amp; Funeral",_xlfn.XLOOKUP(B344,Table2[Main Member Link ID],Table2[Benefit Name],0)=Lookups!$D$14),"",
IF(AND(Table2[[#This Row],[Member Type]]="Spouse",Table2[[#This Row],[Product Option]]="My Value Plus Life &amp; Funeral",_xlfn.XLOOKUP(B343,Table2[Main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Funeral",_xlfn.XLOOKUP(B344,Table2[Main Member Link ID],Table2[Benefit Name],0)&lt;&gt;Lookups!$D$16),
IF(_xlfn.XLOOKUP(B344,Table2[Main Member Link ID],Table2[Benefit Name],0)=0,"",_xlfn.XLOOKUP(B344,Table2[Main Member Link ID],Table2[Benefit Name],0)),"")
))))</f>
        <v/>
      </c>
      <c r="AH344" s="327" t="str">
        <f>IF(AND(Table2[[#This Row],[Member Type]]="Main Member",Table2[[#This Row],[Product Option]]="My Value Plus Life &amp; Funeral"),Lookups!$D$17,
IF(AND(Table2[[#This Row],[Member Type]]="Spouse",Table2[[#This Row],[Product Option]]="My Value Plus Life &amp; Funeral",_xlfn.XLOOKUP(B344,Table2[Main Member Link ID],Table2[Benefit Name],0)=Lookups!$D$14),"",
IF(AND(Table2[[#This Row],[Member Type]]="Spouse",Table2[[#This Row],[Product Option]]="My Value Plus Life &amp; Funeral",_xlfn.XLOOKUP(B343,Table2[Main Member Link ID],Table2[Benefit Name],0)=Lookups!$D$16),"",
IF(AND(Table2[[#This Row],[Member Type]]="Child",Table2[[#This Row],[Product Option]]="My Value Plus Life &amp; Funeral"),"",
IF(AND(Table2[[#This Row],[Member Type]]="Child",Table2[[#This Row],[Product Option]]="My Value Plus Life &amp; Funeral",_xlfn.XLOOKUP(B344,Table2[Main Member Link ID],Table2[Benefit Name],0)=Lookups!$D$15),"",
IF(AND(OR(Table2[[#This Row],[Member Type]]="Spouse",Table2[[#This Row],[Member Type]]="Child"),Table2[[#This Row],[Product Option]]="My Value Plus Life &amp; Funeral",_xlfn.XLOOKUP(B344,Table2[Main Member Link ID],Table2[Benefit Name],0)&lt;&gt;Lookups!$D$17),
IF(_xlfn.XLOOKUP(B344,Table2[Main Member Link ID],Table2[Benefit Name],0)=0,"",_xlfn.XLOOKUP(B344,Table2[Main Member Link ID],Table2[Benefit Name],0)),""))))))</f>
        <v/>
      </c>
      <c r="AI344" s="328" t="str">
        <f>IF(AND(Table2[[#This Row],[Member Type]]="Main Member",Table2[[#This Row],[Table Lookup for Life Cover]]="MM_LIFE",Table2[[#This Row],[Age Next Birthday]]&lt;56),1,
IF(AND(Table2[[#This Row],[Member Type]]="Main Member",Table2[[#This Row],[Table Lookup for Life Cover]]="MM_LIFE",Table2[[#This Row],[Age Next Birthday]]&gt;=56),2,
""))</f>
        <v/>
      </c>
      <c r="AJ344" s="328">
        <f>IF(OR(Table2[[#This Row],[Member Type]]="Main Member",Table2[[#This Row],[Main Member Link ID]]=B343),1,0)</f>
        <v>1</v>
      </c>
      <c r="AK344" s="328">
        <f>IF(Table2[[#This Row],[Member Type]]=0,0,
IF(OR(Table2[[#This Row],[Member Type]]="Main Member",Table2[[#This Row],[Main Member Link ID]]&lt;&gt;B344),COUNTIFS(B:B,Table2[[#This Row],[Main Member Link ID]]),
COUNTIFS(B:B,Table2[[#This Row],[Main Member Link ID]],A:A,Table2[[#This Row],[Member Type]])))</f>
        <v>0</v>
      </c>
    </row>
    <row r="345" spans="1:37" x14ac:dyDescent="0.3">
      <c r="A345" s="284">
        <f>Table13[[#This Row],[Member Type]]</f>
        <v>0</v>
      </c>
      <c r="B345" s="284">
        <f>Table13[[#This Row],[Main Member Link ID]]</f>
        <v>0</v>
      </c>
      <c r="C345" s="284">
        <f>Table13[[#This Row],[ID Number]]</f>
        <v>0</v>
      </c>
      <c r="D345" s="285">
        <f>Table13[[#This Row],[Date Of Birth]]</f>
        <v>0</v>
      </c>
      <c r="E345" s="285">
        <f>Table13[[#This Row],[Commencement Date]]</f>
        <v>0</v>
      </c>
      <c r="F345" s="284">
        <f t="shared" si="35"/>
        <v>1</v>
      </c>
      <c r="G345" s="284">
        <f t="shared" si="36"/>
        <v>25</v>
      </c>
      <c r="H345" s="286">
        <f>Table13[[#This Row],[Product Option]]</f>
        <v>0</v>
      </c>
      <c r="I345" s="284">
        <f>IF(AND($A345="Main Member",Table2[[#This Row],[Product Option]]="My Value Plus Life"),"MM_LIFE",
IF(AND($A345="Spouse",Table2[[#This Row],[Product Option]]="My Value Plus Life"),"SP_LIFE",
IF(AND($A345="Main Member",Table2[[#This Row],[Product Option]]="My Value Plus Life &amp; Funeral"),"MM_LIFE",
IF(AND($A345="Spouse",Table2[[#This Row],[Product Option]]="My Value Plus Life &amp; Funeral"),_xlfn.XLOOKUP(Table2[[#This Row],[Benefit Name]],Lookups!$D$18:$D$23,Lookups!$E$18:$E$23,0),
0))))</f>
        <v>0</v>
      </c>
      <c r="J345" s="284">
        <f>IF($I345="","",
IF($I345="MM_LIFE",INDEX('Quotation Tool'!$S$54:$V$60,MATCH($T345,'Quotation Tool'!$S$54:$S$60,0),4),
IF($I345="SP_LIFE",_xlfn.XLOOKUP(B344,$B:$B,$J:$J,0),0)))</f>
        <v>0</v>
      </c>
      <c r="K345" s="287">
        <f t="shared" ca="1" si="40"/>
        <v>0</v>
      </c>
      <c r="L345" s="288">
        <f t="shared" ca="1" si="41"/>
        <v>0</v>
      </c>
      <c r="M345" s="289">
        <f t="shared" ca="1" si="37"/>
        <v>0</v>
      </c>
      <c r="N345" s="286">
        <f>Table13[[#This Row],[Benefit Option]]</f>
        <v>0</v>
      </c>
      <c r="O345" s="284">
        <f>IF(OR(Table2[[#This Row],[Member Type]]="Spouse",Table2[[#This Row],[Member Type]]="Child"),0,
IF(_xlfn.XLOOKUP($N345,Lookups!$D$13:$D$27,Lookups!$F$13:$F$27,0)=Table2[[#This Row],[Table Lookup for Life Cover]],0,
_xlfn.XLOOKUP($N345,Lookups!$D$13:$D$27,Lookups!$F$13:$F$27,0)))</f>
        <v>0</v>
      </c>
      <c r="P345" s="284">
        <f>IF(Table2[[#This Row],[Table Lookup for Funeral]]=0,0,IFERROR(INDEX('Quotation Tool'!$S$54:$V$60,MATCH($T345,'Quotation Tool'!$S$54:$S$60,0),3),0))</f>
        <v>0</v>
      </c>
      <c r="Q345" s="288">
        <f ca="1">IF(OR(Table2[[#This Row],[Benefit Name]]="My Value Plus Life - Main Member",Table2[[#This Row],[Benefit Name]]="My Value Plus Life - Spouse"),0,
IFERROR(VLOOKUP($G345,INDIRECT($O345),$P345,FALSE),0))</f>
        <v>0</v>
      </c>
      <c r="R345" s="288">
        <f ca="1">IF(OR(Table2[[#This Row],[Benefit Name]]="My Value Plus Life - Main Member",Table2[[#This Row],[Benefit Name]]="My Value Plus Life - Spouse"),0,
IFERROR(VLOOKUP($G345,INDIRECT($O345),$P345+1,FALSE),0))</f>
        <v>0</v>
      </c>
      <c r="S345" s="289">
        <f t="shared" ca="1" si="38"/>
        <v>0</v>
      </c>
      <c r="T345" s="284" t="str">
        <f>IF(Table13[[#This Row],[Premium Waiver]]="","None",Table13[[#This Row],[Premium Waiver]])</f>
        <v>None</v>
      </c>
      <c r="U345" s="284">
        <f>Table13[[#This Row],[VAPs Options]]</f>
        <v>0</v>
      </c>
      <c r="V345" s="284">
        <f>Table13[[#This Row],[Annual Increase Option]]</f>
        <v>0</v>
      </c>
      <c r="W345" s="290">
        <f>Table13[[#This Row],[Life Cover Amount]]</f>
        <v>0</v>
      </c>
      <c r="X345" s="290">
        <f>Table13[[#This Row],[Funeral Cover Amount]]</f>
        <v>0</v>
      </c>
      <c r="Y34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4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45" s="301">
        <f t="shared" ca="1" si="39"/>
        <v>0</v>
      </c>
      <c r="AB345" s="298"/>
      <c r="AC345" s="326" t="str">
        <f>IF(Table2[[#This Row],[Member Type]]="Main Member",Lookups!$C$13,
IF(Table2[[#This Row],[Member Type]]="Spouse",_xlfn.XLOOKUP(B345,Table2[Main Member Link ID],Table2[Product Option],0),
IF(AND(Table2[[#This Row],[Member Type]]="Child",_xlfn.XLOOKUP(B345,Table2[Main Member Link ID],Table2[Product Option],0)&lt;&gt;"My Value Plus Life"),Lookups!$C$24,
IF(AND(OR(Table2[[#This Row],[Member Type]]="Parent",Table2[[#This Row],[Member Type]]="Extended"),_xlfn.XLOOKUP(B345,Table2[Main Member Link ID],Table2[Product Option],0)&lt;&gt;"My Value Plus Life"),Lookups!$C$26,""))))</f>
        <v/>
      </c>
      <c r="AD345" s="326" t="str">
        <f>IF(Table2[[#This Row],[Member Type]]="Main Member",Lookups!$C$14,"")</f>
        <v/>
      </c>
      <c r="AE34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Funeral",_xlfn.XLOOKUP(B345,Table2[Main Member Link ID],Table2[Benefit Name],0)=Lookups!$D$14),"",
IF(AND(Table2[[#This Row],[Member Type]]="Spouse",Table2[[#This Row],[Product Option]]="My Value Plus Life &amp; Funeral",_xlfn.XLOOKUP(B344,Table2[Main Member Link ID],Table2[Benefit Name],0)=Lookups!$D$15),Lookups!$D$20,
IF(AND(Table2[[#This Row],[Member Type]]="Spouse",Table2[[#This Row],[Product Option]]="My Value Plus Life &amp; Funeral",_xlfn.XLOOKUP(B344,Table2[Main Member Link ID],Table2[Benefit Name],0)=Lookups!$D$16),"",
IF(AND(Table2[[#This Row],[Member Type]]="Spouse",Table2[[#This Row],[Product Option]]="My Value Plus Life &amp; Funeral",_xlfn.XLOOKUP(B344,Table2[Main Member Link ID],Table2[Benefit Name],0)=Lookups!$D$17),Lookups!$D$21,
IF(AND(Table2[[#This Row],[Member Type]]="Child",Table2[[#This Row],[Product Option]]="My Value Plus Life &amp; Funeral",_xlfn.XLOOKUP(B345,Table2[Main Member Link ID],Table2[Benefit Name],0)=Lookups!$D$14),"",
IF(AND(Table2[[#This Row],[Member Type]]="Child",Table2[[#This Row],[Product Option]]="My Value Plus Life &amp; Funeral",_xlfn.XLOOKUP(B345,Table2[Main Member Link ID],Table2[Benefit Name],0)=Lookups!$D$15),"",
IF(AND(Table2[[#This Row],[Member Type]]="Child",Table2[[#This Row],[Product Option]]="My Value Plus Life &amp; Funeral",_xlfn.XLOOKUP(B345,Table2[Main Member Link ID],Table2[Benefit Name],0)=Lookups!$D$16),Lookups!$D$24,
IF(AND(Table2[[#This Row],[Member Type]]="Child",Table2[[#This Row],[Product Option]]="My Value Plus Life &amp; Funeral",_xlfn.XLOOKUP(B345,Table2[Main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Funeral",_xlfn.XLOOKUP(B345,Table2[Main Member Link ID],Table2[Benefit Name],0)&lt;&gt;Lookups!$D$14),
IF(_xlfn.XLOOKUP(B345,Table2[Main Member Link ID],Table2[Benefit Name],0)=0,"",_xlfn.XLOOKUP(B345,Table2[Main Member Link ID],Table2[Benefit Name],0)),"")))))))))))))))</f>
        <v/>
      </c>
      <c r="AF345" s="327" t="str">
        <f>IF(AND(Table2[[#This Row],[Member Type]]="Main Member",Table2[[#This Row],[Product Option]]="My Value Plus Life &amp; Funeral"),Lookups!$D$15,
IF(AND(Table2[[#This Row],[Member Type]]="Spouse",Table2[[#This Row],[Product Option]]="My Value Plus Life &amp; Funeral",_xlfn.XLOOKUP(B345,Table2[Main Member Link ID],Table2[Benefit Name],0)=Lookups!$D$14),"",
IF(AND(Table2[[#This Row],[Member Type]]="Spouse",Table2[[#This Row],[Product Option]]="My Value Plus Life &amp; Funeral",_xlfn.XLOOKUP(B344,Table2[Main Member Link ID],Table2[Benefit Name],0)=Lookups!$D$16),"",
IF(AND(Table2[[#This Row],[Member Type]]="Spouse",Table2[[#This Row],[Product Option]]="My Value Plus Life &amp; Funeral",_xlfn.XLOOKUP(B344,Table2[Main Member Link ID],Table2[Benefit Name],0)=Lookups!$D$15),"",
IF(AND(Table2[[#This Row],[Member Type]]="Spouse",Table2[[#This Row],[Product Option]]="My Value Plus Life &amp; Funeral",_xlfn.XLOOKUP(B344,Table2[Main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Funeral",_xlfn.XLOOKUP(B345,Table2[Main Member Link ID],Table2[Benefit Name],0)&lt;&gt;Lookups!$D$15),
IF(_xlfn.XLOOKUP(B345,Table2[Main Member Link ID],Table2[Benefit Name],0)=0,"",_xlfn.XLOOKUP(B345,Table2[Main Member Link ID],Table2[Benefit Name],0)),"")
))))))</f>
        <v/>
      </c>
      <c r="AG345" s="327" t="str">
        <f>IF(AND(Table2[[#This Row],[Member Type]]="Main Member",Table2[[#This Row],[Product Option]]="My Value Plus Life &amp; Funeral"),Lookups!$D$16,
IF(AND(Table2[[#This Row],[Member Type]]="Spouse",Table2[[#This Row],[Product Option]]="My Value Plus Life &amp; Funeral",_xlfn.XLOOKUP(B345,Table2[Main Member Link ID],Table2[Benefit Name],0)=Lookups!$D$14),"",
IF(AND(Table2[[#This Row],[Member Type]]="Spouse",Table2[[#This Row],[Product Option]]="My Value Plus Life &amp; Funeral",_xlfn.XLOOKUP(B344,Table2[Main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Funeral",_xlfn.XLOOKUP(B345,Table2[Main Member Link ID],Table2[Benefit Name],0)&lt;&gt;Lookups!$D$16),
IF(_xlfn.XLOOKUP(B345,Table2[Main Member Link ID],Table2[Benefit Name],0)=0,"",_xlfn.XLOOKUP(B345,Table2[Main Member Link ID],Table2[Benefit Name],0)),"")
))))</f>
        <v/>
      </c>
      <c r="AH345" s="327" t="str">
        <f>IF(AND(Table2[[#This Row],[Member Type]]="Main Member",Table2[[#This Row],[Product Option]]="My Value Plus Life &amp; Funeral"),Lookups!$D$17,
IF(AND(Table2[[#This Row],[Member Type]]="Spouse",Table2[[#This Row],[Product Option]]="My Value Plus Life &amp; Funeral",_xlfn.XLOOKUP(B345,Table2[Main Member Link ID],Table2[Benefit Name],0)=Lookups!$D$14),"",
IF(AND(Table2[[#This Row],[Member Type]]="Spouse",Table2[[#This Row],[Product Option]]="My Value Plus Life &amp; Funeral",_xlfn.XLOOKUP(B344,Table2[Main Member Link ID],Table2[Benefit Name],0)=Lookups!$D$16),"",
IF(AND(Table2[[#This Row],[Member Type]]="Child",Table2[[#This Row],[Product Option]]="My Value Plus Life &amp; Funeral"),"",
IF(AND(Table2[[#This Row],[Member Type]]="Child",Table2[[#This Row],[Product Option]]="My Value Plus Life &amp; Funeral",_xlfn.XLOOKUP(B345,Table2[Main Member Link ID],Table2[Benefit Name],0)=Lookups!$D$15),"",
IF(AND(OR(Table2[[#This Row],[Member Type]]="Spouse",Table2[[#This Row],[Member Type]]="Child"),Table2[[#This Row],[Product Option]]="My Value Plus Life &amp; Funeral",_xlfn.XLOOKUP(B345,Table2[Main Member Link ID],Table2[Benefit Name],0)&lt;&gt;Lookups!$D$17),
IF(_xlfn.XLOOKUP(B345,Table2[Main Member Link ID],Table2[Benefit Name],0)=0,"",_xlfn.XLOOKUP(B345,Table2[Main Member Link ID],Table2[Benefit Name],0)),""))))))</f>
        <v/>
      </c>
      <c r="AI345" s="328" t="str">
        <f>IF(AND(Table2[[#This Row],[Member Type]]="Main Member",Table2[[#This Row],[Table Lookup for Life Cover]]="MM_LIFE",Table2[[#This Row],[Age Next Birthday]]&lt;56),1,
IF(AND(Table2[[#This Row],[Member Type]]="Main Member",Table2[[#This Row],[Table Lookup for Life Cover]]="MM_LIFE",Table2[[#This Row],[Age Next Birthday]]&gt;=56),2,
""))</f>
        <v/>
      </c>
      <c r="AJ345" s="328">
        <f>IF(OR(Table2[[#This Row],[Member Type]]="Main Member",Table2[[#This Row],[Main Member Link ID]]=B344),1,0)</f>
        <v>1</v>
      </c>
      <c r="AK345" s="328">
        <f>IF(Table2[[#This Row],[Member Type]]=0,0,
IF(OR(Table2[[#This Row],[Member Type]]="Main Member",Table2[[#This Row],[Main Member Link ID]]&lt;&gt;B345),COUNTIFS(B:B,Table2[[#This Row],[Main Member Link ID]]),
COUNTIFS(B:B,Table2[[#This Row],[Main Member Link ID]],A:A,Table2[[#This Row],[Member Type]])))</f>
        <v>0</v>
      </c>
    </row>
    <row r="346" spans="1:37" x14ac:dyDescent="0.3">
      <c r="A346" s="284">
        <f>Table13[[#This Row],[Member Type]]</f>
        <v>0</v>
      </c>
      <c r="B346" s="284">
        <f>Table13[[#This Row],[Main Member Link ID]]</f>
        <v>0</v>
      </c>
      <c r="C346" s="284">
        <f>Table13[[#This Row],[ID Number]]</f>
        <v>0</v>
      </c>
      <c r="D346" s="285">
        <f>Table13[[#This Row],[Date Of Birth]]</f>
        <v>0</v>
      </c>
      <c r="E346" s="285">
        <f>Table13[[#This Row],[Commencement Date]]</f>
        <v>0</v>
      </c>
      <c r="F346" s="284">
        <f t="shared" si="35"/>
        <v>1</v>
      </c>
      <c r="G346" s="284">
        <f t="shared" si="36"/>
        <v>25</v>
      </c>
      <c r="H346" s="286">
        <f>Table13[[#This Row],[Product Option]]</f>
        <v>0</v>
      </c>
      <c r="I346" s="284">
        <f>IF(AND($A346="Main Member",Table2[[#This Row],[Product Option]]="My Value Plus Life"),"MM_LIFE",
IF(AND($A346="Spouse",Table2[[#This Row],[Product Option]]="My Value Plus Life"),"SP_LIFE",
IF(AND($A346="Main Member",Table2[[#This Row],[Product Option]]="My Value Plus Life &amp; Funeral"),"MM_LIFE",
IF(AND($A346="Spouse",Table2[[#This Row],[Product Option]]="My Value Plus Life &amp; Funeral"),_xlfn.XLOOKUP(Table2[[#This Row],[Benefit Name]],Lookups!$D$18:$D$23,Lookups!$E$18:$E$23,0),
0))))</f>
        <v>0</v>
      </c>
      <c r="J346" s="284">
        <f>IF($I346="","",
IF($I346="MM_LIFE",INDEX('Quotation Tool'!$S$54:$V$60,MATCH($T346,'Quotation Tool'!$S$54:$S$60,0),4),
IF($I346="SP_LIFE",_xlfn.XLOOKUP(B345,$B:$B,$J:$J,0),0)))</f>
        <v>0</v>
      </c>
      <c r="K346" s="287">
        <f t="shared" ca="1" si="40"/>
        <v>0</v>
      </c>
      <c r="L346" s="288">
        <f t="shared" ca="1" si="41"/>
        <v>0</v>
      </c>
      <c r="M346" s="289">
        <f t="shared" ca="1" si="37"/>
        <v>0</v>
      </c>
      <c r="N346" s="286">
        <f>Table13[[#This Row],[Benefit Option]]</f>
        <v>0</v>
      </c>
      <c r="O346" s="284">
        <f>IF(OR(Table2[[#This Row],[Member Type]]="Spouse",Table2[[#This Row],[Member Type]]="Child"),0,
IF(_xlfn.XLOOKUP($N346,Lookups!$D$13:$D$27,Lookups!$F$13:$F$27,0)=Table2[[#This Row],[Table Lookup for Life Cover]],0,
_xlfn.XLOOKUP($N346,Lookups!$D$13:$D$27,Lookups!$F$13:$F$27,0)))</f>
        <v>0</v>
      </c>
      <c r="P346" s="284">
        <f>IF(Table2[[#This Row],[Table Lookup for Funeral]]=0,0,IFERROR(INDEX('Quotation Tool'!$S$54:$V$60,MATCH($T346,'Quotation Tool'!$S$54:$S$60,0),3),0))</f>
        <v>0</v>
      </c>
      <c r="Q346" s="288">
        <f ca="1">IF(OR(Table2[[#This Row],[Benefit Name]]="My Value Plus Life - Main Member",Table2[[#This Row],[Benefit Name]]="My Value Plus Life - Spouse"),0,
IFERROR(VLOOKUP($G346,INDIRECT($O346),$P346,FALSE),0))</f>
        <v>0</v>
      </c>
      <c r="R346" s="288">
        <f ca="1">IF(OR(Table2[[#This Row],[Benefit Name]]="My Value Plus Life - Main Member",Table2[[#This Row],[Benefit Name]]="My Value Plus Life - Spouse"),0,
IFERROR(VLOOKUP($G346,INDIRECT($O346),$P346+1,FALSE),0))</f>
        <v>0</v>
      </c>
      <c r="S346" s="289">
        <f t="shared" ca="1" si="38"/>
        <v>0</v>
      </c>
      <c r="T346" s="284" t="str">
        <f>IF(Table13[[#This Row],[Premium Waiver]]="","None",Table13[[#This Row],[Premium Waiver]])</f>
        <v>None</v>
      </c>
      <c r="U346" s="284">
        <f>Table13[[#This Row],[VAPs Options]]</f>
        <v>0</v>
      </c>
      <c r="V346" s="284">
        <f>Table13[[#This Row],[Annual Increase Option]]</f>
        <v>0</v>
      </c>
      <c r="W346" s="290">
        <f>Table13[[#This Row],[Life Cover Amount]]</f>
        <v>0</v>
      </c>
      <c r="X346" s="290">
        <f>Table13[[#This Row],[Funeral Cover Amount]]</f>
        <v>0</v>
      </c>
      <c r="Y34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4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46" s="301">
        <f t="shared" ca="1" si="39"/>
        <v>0</v>
      </c>
      <c r="AB346" s="298"/>
      <c r="AC346" s="326" t="str">
        <f>IF(Table2[[#This Row],[Member Type]]="Main Member",Lookups!$C$13,
IF(Table2[[#This Row],[Member Type]]="Spouse",_xlfn.XLOOKUP(B346,Table2[Main Member Link ID],Table2[Product Option],0),
IF(AND(Table2[[#This Row],[Member Type]]="Child",_xlfn.XLOOKUP(B346,Table2[Main Member Link ID],Table2[Product Option],0)&lt;&gt;"My Value Plus Life"),Lookups!$C$24,
IF(AND(OR(Table2[[#This Row],[Member Type]]="Parent",Table2[[#This Row],[Member Type]]="Extended"),_xlfn.XLOOKUP(B346,Table2[Main Member Link ID],Table2[Product Option],0)&lt;&gt;"My Value Plus Life"),Lookups!$C$26,""))))</f>
        <v/>
      </c>
      <c r="AD346" s="326" t="str">
        <f>IF(Table2[[#This Row],[Member Type]]="Main Member",Lookups!$C$14,"")</f>
        <v/>
      </c>
      <c r="AE34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Funeral",_xlfn.XLOOKUP(B346,Table2[Main Member Link ID],Table2[Benefit Name],0)=Lookups!$D$14),"",
IF(AND(Table2[[#This Row],[Member Type]]="Spouse",Table2[[#This Row],[Product Option]]="My Value Plus Life &amp; Funeral",_xlfn.XLOOKUP(B345,Table2[Main Member Link ID],Table2[Benefit Name],0)=Lookups!$D$15),Lookups!$D$20,
IF(AND(Table2[[#This Row],[Member Type]]="Spouse",Table2[[#This Row],[Product Option]]="My Value Plus Life &amp; Funeral",_xlfn.XLOOKUP(B345,Table2[Main Member Link ID],Table2[Benefit Name],0)=Lookups!$D$16),"",
IF(AND(Table2[[#This Row],[Member Type]]="Spouse",Table2[[#This Row],[Product Option]]="My Value Plus Life &amp; Funeral",_xlfn.XLOOKUP(B345,Table2[Main Member Link ID],Table2[Benefit Name],0)=Lookups!$D$17),Lookups!$D$21,
IF(AND(Table2[[#This Row],[Member Type]]="Child",Table2[[#This Row],[Product Option]]="My Value Plus Life &amp; Funeral",_xlfn.XLOOKUP(B346,Table2[Main Member Link ID],Table2[Benefit Name],0)=Lookups!$D$14),"",
IF(AND(Table2[[#This Row],[Member Type]]="Child",Table2[[#This Row],[Product Option]]="My Value Plus Life &amp; Funeral",_xlfn.XLOOKUP(B346,Table2[Main Member Link ID],Table2[Benefit Name],0)=Lookups!$D$15),"",
IF(AND(Table2[[#This Row],[Member Type]]="Child",Table2[[#This Row],[Product Option]]="My Value Plus Life &amp; Funeral",_xlfn.XLOOKUP(B346,Table2[Main Member Link ID],Table2[Benefit Name],0)=Lookups!$D$16),Lookups!$D$24,
IF(AND(Table2[[#This Row],[Member Type]]="Child",Table2[[#This Row],[Product Option]]="My Value Plus Life &amp; Funeral",_xlfn.XLOOKUP(B346,Table2[Main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Funeral",_xlfn.XLOOKUP(B346,Table2[Main Member Link ID],Table2[Benefit Name],0)&lt;&gt;Lookups!$D$14),
IF(_xlfn.XLOOKUP(B346,Table2[Main Member Link ID],Table2[Benefit Name],0)=0,"",_xlfn.XLOOKUP(B346,Table2[Main Member Link ID],Table2[Benefit Name],0)),"")))))))))))))))</f>
        <v/>
      </c>
      <c r="AF346" s="327" t="str">
        <f>IF(AND(Table2[[#This Row],[Member Type]]="Main Member",Table2[[#This Row],[Product Option]]="My Value Plus Life &amp; Funeral"),Lookups!$D$15,
IF(AND(Table2[[#This Row],[Member Type]]="Spouse",Table2[[#This Row],[Product Option]]="My Value Plus Life &amp; Funeral",_xlfn.XLOOKUP(B346,Table2[Main Member Link ID],Table2[Benefit Name],0)=Lookups!$D$14),"",
IF(AND(Table2[[#This Row],[Member Type]]="Spouse",Table2[[#This Row],[Product Option]]="My Value Plus Life &amp; Funeral",_xlfn.XLOOKUP(B345,Table2[Main Member Link ID],Table2[Benefit Name],0)=Lookups!$D$16),"",
IF(AND(Table2[[#This Row],[Member Type]]="Spouse",Table2[[#This Row],[Product Option]]="My Value Plus Life &amp; Funeral",_xlfn.XLOOKUP(B345,Table2[Main Member Link ID],Table2[Benefit Name],0)=Lookups!$D$15),"",
IF(AND(Table2[[#This Row],[Member Type]]="Spouse",Table2[[#This Row],[Product Option]]="My Value Plus Life &amp; Funeral",_xlfn.XLOOKUP(B345,Table2[Main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Funeral",_xlfn.XLOOKUP(B346,Table2[Main Member Link ID],Table2[Benefit Name],0)&lt;&gt;Lookups!$D$15),
IF(_xlfn.XLOOKUP(B346,Table2[Main Member Link ID],Table2[Benefit Name],0)=0,"",_xlfn.XLOOKUP(B346,Table2[Main Member Link ID],Table2[Benefit Name],0)),"")
))))))</f>
        <v/>
      </c>
      <c r="AG346" s="327" t="str">
        <f>IF(AND(Table2[[#This Row],[Member Type]]="Main Member",Table2[[#This Row],[Product Option]]="My Value Plus Life &amp; Funeral"),Lookups!$D$16,
IF(AND(Table2[[#This Row],[Member Type]]="Spouse",Table2[[#This Row],[Product Option]]="My Value Plus Life &amp; Funeral",_xlfn.XLOOKUP(B346,Table2[Main Member Link ID],Table2[Benefit Name],0)=Lookups!$D$14),"",
IF(AND(Table2[[#This Row],[Member Type]]="Spouse",Table2[[#This Row],[Product Option]]="My Value Plus Life &amp; Funeral",_xlfn.XLOOKUP(B345,Table2[Main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Funeral",_xlfn.XLOOKUP(B346,Table2[Main Member Link ID],Table2[Benefit Name],0)&lt;&gt;Lookups!$D$16),
IF(_xlfn.XLOOKUP(B346,Table2[Main Member Link ID],Table2[Benefit Name],0)=0,"",_xlfn.XLOOKUP(B346,Table2[Main Member Link ID],Table2[Benefit Name],0)),"")
))))</f>
        <v/>
      </c>
      <c r="AH346" s="327" t="str">
        <f>IF(AND(Table2[[#This Row],[Member Type]]="Main Member",Table2[[#This Row],[Product Option]]="My Value Plus Life &amp; Funeral"),Lookups!$D$17,
IF(AND(Table2[[#This Row],[Member Type]]="Spouse",Table2[[#This Row],[Product Option]]="My Value Plus Life &amp; Funeral",_xlfn.XLOOKUP(B346,Table2[Main Member Link ID],Table2[Benefit Name],0)=Lookups!$D$14),"",
IF(AND(Table2[[#This Row],[Member Type]]="Spouse",Table2[[#This Row],[Product Option]]="My Value Plus Life &amp; Funeral",_xlfn.XLOOKUP(B345,Table2[Main Member Link ID],Table2[Benefit Name],0)=Lookups!$D$16),"",
IF(AND(Table2[[#This Row],[Member Type]]="Child",Table2[[#This Row],[Product Option]]="My Value Plus Life &amp; Funeral"),"",
IF(AND(Table2[[#This Row],[Member Type]]="Child",Table2[[#This Row],[Product Option]]="My Value Plus Life &amp; Funeral",_xlfn.XLOOKUP(B346,Table2[Main Member Link ID],Table2[Benefit Name],0)=Lookups!$D$15),"",
IF(AND(OR(Table2[[#This Row],[Member Type]]="Spouse",Table2[[#This Row],[Member Type]]="Child"),Table2[[#This Row],[Product Option]]="My Value Plus Life &amp; Funeral",_xlfn.XLOOKUP(B346,Table2[Main Member Link ID],Table2[Benefit Name],0)&lt;&gt;Lookups!$D$17),
IF(_xlfn.XLOOKUP(B346,Table2[Main Member Link ID],Table2[Benefit Name],0)=0,"",_xlfn.XLOOKUP(B346,Table2[Main Member Link ID],Table2[Benefit Name],0)),""))))))</f>
        <v/>
      </c>
      <c r="AI346" s="328" t="str">
        <f>IF(AND(Table2[[#This Row],[Member Type]]="Main Member",Table2[[#This Row],[Table Lookup for Life Cover]]="MM_LIFE",Table2[[#This Row],[Age Next Birthday]]&lt;56),1,
IF(AND(Table2[[#This Row],[Member Type]]="Main Member",Table2[[#This Row],[Table Lookup for Life Cover]]="MM_LIFE",Table2[[#This Row],[Age Next Birthday]]&gt;=56),2,
""))</f>
        <v/>
      </c>
      <c r="AJ346" s="328">
        <f>IF(OR(Table2[[#This Row],[Member Type]]="Main Member",Table2[[#This Row],[Main Member Link ID]]=B345),1,0)</f>
        <v>1</v>
      </c>
      <c r="AK346" s="328">
        <f>IF(Table2[[#This Row],[Member Type]]=0,0,
IF(OR(Table2[[#This Row],[Member Type]]="Main Member",Table2[[#This Row],[Main Member Link ID]]&lt;&gt;B346),COUNTIFS(B:B,Table2[[#This Row],[Main Member Link ID]]),
COUNTIFS(B:B,Table2[[#This Row],[Main Member Link ID]],A:A,Table2[[#This Row],[Member Type]])))</f>
        <v>0</v>
      </c>
    </row>
    <row r="347" spans="1:37" x14ac:dyDescent="0.3">
      <c r="A347" s="284">
        <f>Table13[[#This Row],[Member Type]]</f>
        <v>0</v>
      </c>
      <c r="B347" s="284">
        <f>Table13[[#This Row],[Main Member Link ID]]</f>
        <v>0</v>
      </c>
      <c r="C347" s="284">
        <f>Table13[[#This Row],[ID Number]]</f>
        <v>0</v>
      </c>
      <c r="D347" s="285">
        <f>Table13[[#This Row],[Date Of Birth]]</f>
        <v>0</v>
      </c>
      <c r="E347" s="285">
        <f>Table13[[#This Row],[Commencement Date]]</f>
        <v>0</v>
      </c>
      <c r="F347" s="284">
        <f t="shared" si="35"/>
        <v>1</v>
      </c>
      <c r="G347" s="284">
        <f t="shared" si="36"/>
        <v>25</v>
      </c>
      <c r="H347" s="286">
        <f>Table13[[#This Row],[Product Option]]</f>
        <v>0</v>
      </c>
      <c r="I347" s="284">
        <f>IF(AND($A347="Main Member",Table2[[#This Row],[Product Option]]="My Value Plus Life"),"MM_LIFE",
IF(AND($A347="Spouse",Table2[[#This Row],[Product Option]]="My Value Plus Life"),"SP_LIFE",
IF(AND($A347="Main Member",Table2[[#This Row],[Product Option]]="My Value Plus Life &amp; Funeral"),"MM_LIFE",
IF(AND($A347="Spouse",Table2[[#This Row],[Product Option]]="My Value Plus Life &amp; Funeral"),_xlfn.XLOOKUP(Table2[[#This Row],[Benefit Name]],Lookups!$D$18:$D$23,Lookups!$E$18:$E$23,0),
0))))</f>
        <v>0</v>
      </c>
      <c r="J347" s="284">
        <f>IF($I347="","",
IF($I347="MM_LIFE",INDEX('Quotation Tool'!$S$54:$V$60,MATCH($T347,'Quotation Tool'!$S$54:$S$60,0),4),
IF($I347="SP_LIFE",_xlfn.XLOOKUP(B346,$B:$B,$J:$J,0),0)))</f>
        <v>0</v>
      </c>
      <c r="K347" s="287">
        <f t="shared" ca="1" si="40"/>
        <v>0</v>
      </c>
      <c r="L347" s="288">
        <f t="shared" ca="1" si="41"/>
        <v>0</v>
      </c>
      <c r="M347" s="289">
        <f t="shared" ca="1" si="37"/>
        <v>0</v>
      </c>
      <c r="N347" s="286">
        <f>Table13[[#This Row],[Benefit Option]]</f>
        <v>0</v>
      </c>
      <c r="O347" s="284">
        <f>IF(OR(Table2[[#This Row],[Member Type]]="Spouse",Table2[[#This Row],[Member Type]]="Child"),0,
IF(_xlfn.XLOOKUP($N347,Lookups!$D$13:$D$27,Lookups!$F$13:$F$27,0)=Table2[[#This Row],[Table Lookup for Life Cover]],0,
_xlfn.XLOOKUP($N347,Lookups!$D$13:$D$27,Lookups!$F$13:$F$27,0)))</f>
        <v>0</v>
      </c>
      <c r="P347" s="284">
        <f>IF(Table2[[#This Row],[Table Lookup for Funeral]]=0,0,IFERROR(INDEX('Quotation Tool'!$S$54:$V$60,MATCH($T347,'Quotation Tool'!$S$54:$S$60,0),3),0))</f>
        <v>0</v>
      </c>
      <c r="Q347" s="288">
        <f ca="1">IF(OR(Table2[[#This Row],[Benefit Name]]="My Value Plus Life - Main Member",Table2[[#This Row],[Benefit Name]]="My Value Plus Life - Spouse"),0,
IFERROR(VLOOKUP($G347,INDIRECT($O347),$P347,FALSE),0))</f>
        <v>0</v>
      </c>
      <c r="R347" s="288">
        <f ca="1">IF(OR(Table2[[#This Row],[Benefit Name]]="My Value Plus Life - Main Member",Table2[[#This Row],[Benefit Name]]="My Value Plus Life - Spouse"),0,
IFERROR(VLOOKUP($G347,INDIRECT($O347),$P347+1,FALSE),0))</f>
        <v>0</v>
      </c>
      <c r="S347" s="289">
        <f t="shared" ca="1" si="38"/>
        <v>0</v>
      </c>
      <c r="T347" s="284" t="str">
        <f>IF(Table13[[#This Row],[Premium Waiver]]="","None",Table13[[#This Row],[Premium Waiver]])</f>
        <v>None</v>
      </c>
      <c r="U347" s="284">
        <f>Table13[[#This Row],[VAPs Options]]</f>
        <v>0</v>
      </c>
      <c r="V347" s="284">
        <f>Table13[[#This Row],[Annual Increase Option]]</f>
        <v>0</v>
      </c>
      <c r="W347" s="290">
        <f>Table13[[#This Row],[Life Cover Amount]]</f>
        <v>0</v>
      </c>
      <c r="X347" s="290">
        <f>Table13[[#This Row],[Funeral Cover Amount]]</f>
        <v>0</v>
      </c>
      <c r="Y34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4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47" s="301">
        <f t="shared" ca="1" si="39"/>
        <v>0</v>
      </c>
      <c r="AB347" s="298"/>
      <c r="AC347" s="326" t="str">
        <f>IF(Table2[[#This Row],[Member Type]]="Main Member",Lookups!$C$13,
IF(Table2[[#This Row],[Member Type]]="Spouse",_xlfn.XLOOKUP(B347,Table2[Main Member Link ID],Table2[Product Option],0),
IF(AND(Table2[[#This Row],[Member Type]]="Child",_xlfn.XLOOKUP(B347,Table2[Main Member Link ID],Table2[Product Option],0)&lt;&gt;"My Value Plus Life"),Lookups!$C$24,
IF(AND(OR(Table2[[#This Row],[Member Type]]="Parent",Table2[[#This Row],[Member Type]]="Extended"),_xlfn.XLOOKUP(B347,Table2[Main Member Link ID],Table2[Product Option],0)&lt;&gt;"My Value Plus Life"),Lookups!$C$26,""))))</f>
        <v/>
      </c>
      <c r="AD347" s="326" t="str">
        <f>IF(Table2[[#This Row],[Member Type]]="Main Member",Lookups!$C$14,"")</f>
        <v/>
      </c>
      <c r="AE34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Funeral",_xlfn.XLOOKUP(B347,Table2[Main Member Link ID],Table2[Benefit Name],0)=Lookups!$D$14),"",
IF(AND(Table2[[#This Row],[Member Type]]="Spouse",Table2[[#This Row],[Product Option]]="My Value Plus Life &amp; Funeral",_xlfn.XLOOKUP(B346,Table2[Main Member Link ID],Table2[Benefit Name],0)=Lookups!$D$15),Lookups!$D$20,
IF(AND(Table2[[#This Row],[Member Type]]="Spouse",Table2[[#This Row],[Product Option]]="My Value Plus Life &amp; Funeral",_xlfn.XLOOKUP(B346,Table2[Main Member Link ID],Table2[Benefit Name],0)=Lookups!$D$16),"",
IF(AND(Table2[[#This Row],[Member Type]]="Spouse",Table2[[#This Row],[Product Option]]="My Value Plus Life &amp; Funeral",_xlfn.XLOOKUP(B346,Table2[Main Member Link ID],Table2[Benefit Name],0)=Lookups!$D$17),Lookups!$D$21,
IF(AND(Table2[[#This Row],[Member Type]]="Child",Table2[[#This Row],[Product Option]]="My Value Plus Life &amp; Funeral",_xlfn.XLOOKUP(B347,Table2[Main Member Link ID],Table2[Benefit Name],0)=Lookups!$D$14),"",
IF(AND(Table2[[#This Row],[Member Type]]="Child",Table2[[#This Row],[Product Option]]="My Value Plus Life &amp; Funeral",_xlfn.XLOOKUP(B347,Table2[Main Member Link ID],Table2[Benefit Name],0)=Lookups!$D$15),"",
IF(AND(Table2[[#This Row],[Member Type]]="Child",Table2[[#This Row],[Product Option]]="My Value Plus Life &amp; Funeral",_xlfn.XLOOKUP(B347,Table2[Main Member Link ID],Table2[Benefit Name],0)=Lookups!$D$16),Lookups!$D$24,
IF(AND(Table2[[#This Row],[Member Type]]="Child",Table2[[#This Row],[Product Option]]="My Value Plus Life &amp; Funeral",_xlfn.XLOOKUP(B347,Table2[Main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Funeral",_xlfn.XLOOKUP(B347,Table2[Main Member Link ID],Table2[Benefit Name],0)&lt;&gt;Lookups!$D$14),
IF(_xlfn.XLOOKUP(B347,Table2[Main Member Link ID],Table2[Benefit Name],0)=0,"",_xlfn.XLOOKUP(B347,Table2[Main Member Link ID],Table2[Benefit Name],0)),"")))))))))))))))</f>
        <v/>
      </c>
      <c r="AF347" s="327" t="str">
        <f>IF(AND(Table2[[#This Row],[Member Type]]="Main Member",Table2[[#This Row],[Product Option]]="My Value Plus Life &amp; Funeral"),Lookups!$D$15,
IF(AND(Table2[[#This Row],[Member Type]]="Spouse",Table2[[#This Row],[Product Option]]="My Value Plus Life &amp; Funeral",_xlfn.XLOOKUP(B347,Table2[Main Member Link ID],Table2[Benefit Name],0)=Lookups!$D$14),"",
IF(AND(Table2[[#This Row],[Member Type]]="Spouse",Table2[[#This Row],[Product Option]]="My Value Plus Life &amp; Funeral",_xlfn.XLOOKUP(B346,Table2[Main Member Link ID],Table2[Benefit Name],0)=Lookups!$D$16),"",
IF(AND(Table2[[#This Row],[Member Type]]="Spouse",Table2[[#This Row],[Product Option]]="My Value Plus Life &amp; Funeral",_xlfn.XLOOKUP(B346,Table2[Main Member Link ID],Table2[Benefit Name],0)=Lookups!$D$15),"",
IF(AND(Table2[[#This Row],[Member Type]]="Spouse",Table2[[#This Row],[Product Option]]="My Value Plus Life &amp; Funeral",_xlfn.XLOOKUP(B346,Table2[Main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Funeral",_xlfn.XLOOKUP(B347,Table2[Main Member Link ID],Table2[Benefit Name],0)&lt;&gt;Lookups!$D$15),
IF(_xlfn.XLOOKUP(B347,Table2[Main Member Link ID],Table2[Benefit Name],0)=0,"",_xlfn.XLOOKUP(B347,Table2[Main Member Link ID],Table2[Benefit Name],0)),"")
))))))</f>
        <v/>
      </c>
      <c r="AG347" s="327" t="str">
        <f>IF(AND(Table2[[#This Row],[Member Type]]="Main Member",Table2[[#This Row],[Product Option]]="My Value Plus Life &amp; Funeral"),Lookups!$D$16,
IF(AND(Table2[[#This Row],[Member Type]]="Spouse",Table2[[#This Row],[Product Option]]="My Value Plus Life &amp; Funeral",_xlfn.XLOOKUP(B347,Table2[Main Member Link ID],Table2[Benefit Name],0)=Lookups!$D$14),"",
IF(AND(Table2[[#This Row],[Member Type]]="Spouse",Table2[[#This Row],[Product Option]]="My Value Plus Life &amp; Funeral",_xlfn.XLOOKUP(B346,Table2[Main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Funeral",_xlfn.XLOOKUP(B347,Table2[Main Member Link ID],Table2[Benefit Name],0)&lt;&gt;Lookups!$D$16),
IF(_xlfn.XLOOKUP(B347,Table2[Main Member Link ID],Table2[Benefit Name],0)=0,"",_xlfn.XLOOKUP(B347,Table2[Main Member Link ID],Table2[Benefit Name],0)),"")
))))</f>
        <v/>
      </c>
      <c r="AH347" s="327" t="str">
        <f>IF(AND(Table2[[#This Row],[Member Type]]="Main Member",Table2[[#This Row],[Product Option]]="My Value Plus Life &amp; Funeral"),Lookups!$D$17,
IF(AND(Table2[[#This Row],[Member Type]]="Spouse",Table2[[#This Row],[Product Option]]="My Value Plus Life &amp; Funeral",_xlfn.XLOOKUP(B347,Table2[Main Member Link ID],Table2[Benefit Name],0)=Lookups!$D$14),"",
IF(AND(Table2[[#This Row],[Member Type]]="Spouse",Table2[[#This Row],[Product Option]]="My Value Plus Life &amp; Funeral",_xlfn.XLOOKUP(B346,Table2[Main Member Link ID],Table2[Benefit Name],0)=Lookups!$D$16),"",
IF(AND(Table2[[#This Row],[Member Type]]="Child",Table2[[#This Row],[Product Option]]="My Value Plus Life &amp; Funeral"),"",
IF(AND(Table2[[#This Row],[Member Type]]="Child",Table2[[#This Row],[Product Option]]="My Value Plus Life &amp; Funeral",_xlfn.XLOOKUP(B347,Table2[Main Member Link ID],Table2[Benefit Name],0)=Lookups!$D$15),"",
IF(AND(OR(Table2[[#This Row],[Member Type]]="Spouse",Table2[[#This Row],[Member Type]]="Child"),Table2[[#This Row],[Product Option]]="My Value Plus Life &amp; Funeral",_xlfn.XLOOKUP(B347,Table2[Main Member Link ID],Table2[Benefit Name],0)&lt;&gt;Lookups!$D$17),
IF(_xlfn.XLOOKUP(B347,Table2[Main Member Link ID],Table2[Benefit Name],0)=0,"",_xlfn.XLOOKUP(B347,Table2[Main Member Link ID],Table2[Benefit Name],0)),""))))))</f>
        <v/>
      </c>
      <c r="AI347" s="328" t="str">
        <f>IF(AND(Table2[[#This Row],[Member Type]]="Main Member",Table2[[#This Row],[Table Lookup for Life Cover]]="MM_LIFE",Table2[[#This Row],[Age Next Birthday]]&lt;56),1,
IF(AND(Table2[[#This Row],[Member Type]]="Main Member",Table2[[#This Row],[Table Lookup for Life Cover]]="MM_LIFE",Table2[[#This Row],[Age Next Birthday]]&gt;=56),2,
""))</f>
        <v/>
      </c>
      <c r="AJ347" s="328">
        <f>IF(OR(Table2[[#This Row],[Member Type]]="Main Member",Table2[[#This Row],[Main Member Link ID]]=B346),1,0)</f>
        <v>1</v>
      </c>
      <c r="AK347" s="328">
        <f>IF(Table2[[#This Row],[Member Type]]=0,0,
IF(OR(Table2[[#This Row],[Member Type]]="Main Member",Table2[[#This Row],[Main Member Link ID]]&lt;&gt;B347),COUNTIFS(B:B,Table2[[#This Row],[Main Member Link ID]]),
COUNTIFS(B:B,Table2[[#This Row],[Main Member Link ID]],A:A,Table2[[#This Row],[Member Type]])))</f>
        <v>0</v>
      </c>
    </row>
    <row r="348" spans="1:37" x14ac:dyDescent="0.3">
      <c r="A348" s="284">
        <f>Table13[[#This Row],[Member Type]]</f>
        <v>0</v>
      </c>
      <c r="B348" s="284">
        <f>Table13[[#This Row],[Main Member Link ID]]</f>
        <v>0</v>
      </c>
      <c r="C348" s="284">
        <f>Table13[[#This Row],[ID Number]]</f>
        <v>0</v>
      </c>
      <c r="D348" s="285">
        <f>Table13[[#This Row],[Date Of Birth]]</f>
        <v>0</v>
      </c>
      <c r="E348" s="285">
        <f>Table13[[#This Row],[Commencement Date]]</f>
        <v>0</v>
      </c>
      <c r="F348" s="284">
        <f t="shared" si="35"/>
        <v>1</v>
      </c>
      <c r="G348" s="284">
        <f t="shared" si="36"/>
        <v>25</v>
      </c>
      <c r="H348" s="286">
        <f>Table13[[#This Row],[Product Option]]</f>
        <v>0</v>
      </c>
      <c r="I348" s="284">
        <f>IF(AND($A348="Main Member",Table2[[#This Row],[Product Option]]="My Value Plus Life"),"MM_LIFE",
IF(AND($A348="Spouse",Table2[[#This Row],[Product Option]]="My Value Plus Life"),"SP_LIFE",
IF(AND($A348="Main Member",Table2[[#This Row],[Product Option]]="My Value Plus Life &amp; Funeral"),"MM_LIFE",
IF(AND($A348="Spouse",Table2[[#This Row],[Product Option]]="My Value Plus Life &amp; Funeral"),_xlfn.XLOOKUP(Table2[[#This Row],[Benefit Name]],Lookups!$D$18:$D$23,Lookups!$E$18:$E$23,0),
0))))</f>
        <v>0</v>
      </c>
      <c r="J348" s="284">
        <f>IF($I348="","",
IF($I348="MM_LIFE",INDEX('Quotation Tool'!$S$54:$V$60,MATCH($T348,'Quotation Tool'!$S$54:$S$60,0),4),
IF($I348="SP_LIFE",_xlfn.XLOOKUP(B347,$B:$B,$J:$J,0),0)))</f>
        <v>0</v>
      </c>
      <c r="K348" s="287">
        <f t="shared" ca="1" si="40"/>
        <v>0</v>
      </c>
      <c r="L348" s="288">
        <f t="shared" ca="1" si="41"/>
        <v>0</v>
      </c>
      <c r="M348" s="289">
        <f t="shared" ca="1" si="37"/>
        <v>0</v>
      </c>
      <c r="N348" s="286">
        <f>Table13[[#This Row],[Benefit Option]]</f>
        <v>0</v>
      </c>
      <c r="O348" s="284">
        <f>IF(OR(Table2[[#This Row],[Member Type]]="Spouse",Table2[[#This Row],[Member Type]]="Child"),0,
IF(_xlfn.XLOOKUP($N348,Lookups!$D$13:$D$27,Lookups!$F$13:$F$27,0)=Table2[[#This Row],[Table Lookup for Life Cover]],0,
_xlfn.XLOOKUP($N348,Lookups!$D$13:$D$27,Lookups!$F$13:$F$27,0)))</f>
        <v>0</v>
      </c>
      <c r="P348" s="284">
        <f>IF(Table2[[#This Row],[Table Lookup for Funeral]]=0,0,IFERROR(INDEX('Quotation Tool'!$S$54:$V$60,MATCH($T348,'Quotation Tool'!$S$54:$S$60,0),3),0))</f>
        <v>0</v>
      </c>
      <c r="Q348" s="288">
        <f ca="1">IF(OR(Table2[[#This Row],[Benefit Name]]="My Value Plus Life - Main Member",Table2[[#This Row],[Benefit Name]]="My Value Plus Life - Spouse"),0,
IFERROR(VLOOKUP($G348,INDIRECT($O348),$P348,FALSE),0))</f>
        <v>0</v>
      </c>
      <c r="R348" s="288">
        <f ca="1">IF(OR(Table2[[#This Row],[Benefit Name]]="My Value Plus Life - Main Member",Table2[[#This Row],[Benefit Name]]="My Value Plus Life - Spouse"),0,
IFERROR(VLOOKUP($G348,INDIRECT($O348),$P348+1,FALSE),0))</f>
        <v>0</v>
      </c>
      <c r="S348" s="289">
        <f t="shared" ca="1" si="38"/>
        <v>0</v>
      </c>
      <c r="T348" s="284" t="str">
        <f>IF(Table13[[#This Row],[Premium Waiver]]="","None",Table13[[#This Row],[Premium Waiver]])</f>
        <v>None</v>
      </c>
      <c r="U348" s="284">
        <f>Table13[[#This Row],[VAPs Options]]</f>
        <v>0</v>
      </c>
      <c r="V348" s="284">
        <f>Table13[[#This Row],[Annual Increase Option]]</f>
        <v>0</v>
      </c>
      <c r="W348" s="290">
        <f>Table13[[#This Row],[Life Cover Amount]]</f>
        <v>0</v>
      </c>
      <c r="X348" s="290">
        <f>Table13[[#This Row],[Funeral Cover Amount]]</f>
        <v>0</v>
      </c>
      <c r="Y34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4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48" s="301">
        <f t="shared" ca="1" si="39"/>
        <v>0</v>
      </c>
      <c r="AB348" s="298"/>
      <c r="AC348" s="326" t="str">
        <f>IF(Table2[[#This Row],[Member Type]]="Main Member",Lookups!$C$13,
IF(Table2[[#This Row],[Member Type]]="Spouse",_xlfn.XLOOKUP(B348,Table2[Main Member Link ID],Table2[Product Option],0),
IF(AND(Table2[[#This Row],[Member Type]]="Child",_xlfn.XLOOKUP(B348,Table2[Main Member Link ID],Table2[Product Option],0)&lt;&gt;"My Value Plus Life"),Lookups!$C$24,
IF(AND(OR(Table2[[#This Row],[Member Type]]="Parent",Table2[[#This Row],[Member Type]]="Extended"),_xlfn.XLOOKUP(B348,Table2[Main Member Link ID],Table2[Product Option],0)&lt;&gt;"My Value Plus Life"),Lookups!$C$26,""))))</f>
        <v/>
      </c>
      <c r="AD348" s="326" t="str">
        <f>IF(Table2[[#This Row],[Member Type]]="Main Member",Lookups!$C$14,"")</f>
        <v/>
      </c>
      <c r="AE34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Funeral",_xlfn.XLOOKUP(B348,Table2[Main Member Link ID],Table2[Benefit Name],0)=Lookups!$D$14),"",
IF(AND(Table2[[#This Row],[Member Type]]="Spouse",Table2[[#This Row],[Product Option]]="My Value Plus Life &amp; Funeral",_xlfn.XLOOKUP(B347,Table2[Main Member Link ID],Table2[Benefit Name],0)=Lookups!$D$15),Lookups!$D$20,
IF(AND(Table2[[#This Row],[Member Type]]="Spouse",Table2[[#This Row],[Product Option]]="My Value Plus Life &amp; Funeral",_xlfn.XLOOKUP(B347,Table2[Main Member Link ID],Table2[Benefit Name],0)=Lookups!$D$16),"",
IF(AND(Table2[[#This Row],[Member Type]]="Spouse",Table2[[#This Row],[Product Option]]="My Value Plus Life &amp; Funeral",_xlfn.XLOOKUP(B347,Table2[Main Member Link ID],Table2[Benefit Name],0)=Lookups!$D$17),Lookups!$D$21,
IF(AND(Table2[[#This Row],[Member Type]]="Child",Table2[[#This Row],[Product Option]]="My Value Plus Life &amp; Funeral",_xlfn.XLOOKUP(B348,Table2[Main Member Link ID],Table2[Benefit Name],0)=Lookups!$D$14),"",
IF(AND(Table2[[#This Row],[Member Type]]="Child",Table2[[#This Row],[Product Option]]="My Value Plus Life &amp; Funeral",_xlfn.XLOOKUP(B348,Table2[Main Member Link ID],Table2[Benefit Name],0)=Lookups!$D$15),"",
IF(AND(Table2[[#This Row],[Member Type]]="Child",Table2[[#This Row],[Product Option]]="My Value Plus Life &amp; Funeral",_xlfn.XLOOKUP(B348,Table2[Main Member Link ID],Table2[Benefit Name],0)=Lookups!$D$16),Lookups!$D$24,
IF(AND(Table2[[#This Row],[Member Type]]="Child",Table2[[#This Row],[Product Option]]="My Value Plus Life &amp; Funeral",_xlfn.XLOOKUP(B348,Table2[Main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Funeral",_xlfn.XLOOKUP(B348,Table2[Main Member Link ID],Table2[Benefit Name],0)&lt;&gt;Lookups!$D$14),
IF(_xlfn.XLOOKUP(B348,Table2[Main Member Link ID],Table2[Benefit Name],0)=0,"",_xlfn.XLOOKUP(B348,Table2[Main Member Link ID],Table2[Benefit Name],0)),"")))))))))))))))</f>
        <v/>
      </c>
      <c r="AF348" s="327" t="str">
        <f>IF(AND(Table2[[#This Row],[Member Type]]="Main Member",Table2[[#This Row],[Product Option]]="My Value Plus Life &amp; Funeral"),Lookups!$D$15,
IF(AND(Table2[[#This Row],[Member Type]]="Spouse",Table2[[#This Row],[Product Option]]="My Value Plus Life &amp; Funeral",_xlfn.XLOOKUP(B348,Table2[Main Member Link ID],Table2[Benefit Name],0)=Lookups!$D$14),"",
IF(AND(Table2[[#This Row],[Member Type]]="Spouse",Table2[[#This Row],[Product Option]]="My Value Plus Life &amp; Funeral",_xlfn.XLOOKUP(B347,Table2[Main Member Link ID],Table2[Benefit Name],0)=Lookups!$D$16),"",
IF(AND(Table2[[#This Row],[Member Type]]="Spouse",Table2[[#This Row],[Product Option]]="My Value Plus Life &amp; Funeral",_xlfn.XLOOKUP(B347,Table2[Main Member Link ID],Table2[Benefit Name],0)=Lookups!$D$15),"",
IF(AND(Table2[[#This Row],[Member Type]]="Spouse",Table2[[#This Row],[Product Option]]="My Value Plus Life &amp; Funeral",_xlfn.XLOOKUP(B347,Table2[Main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Funeral",_xlfn.XLOOKUP(B348,Table2[Main Member Link ID],Table2[Benefit Name],0)&lt;&gt;Lookups!$D$15),
IF(_xlfn.XLOOKUP(B348,Table2[Main Member Link ID],Table2[Benefit Name],0)=0,"",_xlfn.XLOOKUP(B348,Table2[Main Member Link ID],Table2[Benefit Name],0)),"")
))))))</f>
        <v/>
      </c>
      <c r="AG348" s="327" t="str">
        <f>IF(AND(Table2[[#This Row],[Member Type]]="Main Member",Table2[[#This Row],[Product Option]]="My Value Plus Life &amp; Funeral"),Lookups!$D$16,
IF(AND(Table2[[#This Row],[Member Type]]="Spouse",Table2[[#This Row],[Product Option]]="My Value Plus Life &amp; Funeral",_xlfn.XLOOKUP(B348,Table2[Main Member Link ID],Table2[Benefit Name],0)=Lookups!$D$14),"",
IF(AND(Table2[[#This Row],[Member Type]]="Spouse",Table2[[#This Row],[Product Option]]="My Value Plus Life &amp; Funeral",_xlfn.XLOOKUP(B347,Table2[Main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Funeral",_xlfn.XLOOKUP(B348,Table2[Main Member Link ID],Table2[Benefit Name],0)&lt;&gt;Lookups!$D$16),
IF(_xlfn.XLOOKUP(B348,Table2[Main Member Link ID],Table2[Benefit Name],0)=0,"",_xlfn.XLOOKUP(B348,Table2[Main Member Link ID],Table2[Benefit Name],0)),"")
))))</f>
        <v/>
      </c>
      <c r="AH348" s="327" t="str">
        <f>IF(AND(Table2[[#This Row],[Member Type]]="Main Member",Table2[[#This Row],[Product Option]]="My Value Plus Life &amp; Funeral"),Lookups!$D$17,
IF(AND(Table2[[#This Row],[Member Type]]="Spouse",Table2[[#This Row],[Product Option]]="My Value Plus Life &amp; Funeral",_xlfn.XLOOKUP(B348,Table2[Main Member Link ID],Table2[Benefit Name],0)=Lookups!$D$14),"",
IF(AND(Table2[[#This Row],[Member Type]]="Spouse",Table2[[#This Row],[Product Option]]="My Value Plus Life &amp; Funeral",_xlfn.XLOOKUP(B347,Table2[Main Member Link ID],Table2[Benefit Name],0)=Lookups!$D$16),"",
IF(AND(Table2[[#This Row],[Member Type]]="Child",Table2[[#This Row],[Product Option]]="My Value Plus Life &amp; Funeral"),"",
IF(AND(Table2[[#This Row],[Member Type]]="Child",Table2[[#This Row],[Product Option]]="My Value Plus Life &amp; Funeral",_xlfn.XLOOKUP(B348,Table2[Main Member Link ID],Table2[Benefit Name],0)=Lookups!$D$15),"",
IF(AND(OR(Table2[[#This Row],[Member Type]]="Spouse",Table2[[#This Row],[Member Type]]="Child"),Table2[[#This Row],[Product Option]]="My Value Plus Life &amp; Funeral",_xlfn.XLOOKUP(B348,Table2[Main Member Link ID],Table2[Benefit Name],0)&lt;&gt;Lookups!$D$17),
IF(_xlfn.XLOOKUP(B348,Table2[Main Member Link ID],Table2[Benefit Name],0)=0,"",_xlfn.XLOOKUP(B348,Table2[Main Member Link ID],Table2[Benefit Name],0)),""))))))</f>
        <v/>
      </c>
      <c r="AI348" s="328" t="str">
        <f>IF(AND(Table2[[#This Row],[Member Type]]="Main Member",Table2[[#This Row],[Table Lookup for Life Cover]]="MM_LIFE",Table2[[#This Row],[Age Next Birthday]]&lt;56),1,
IF(AND(Table2[[#This Row],[Member Type]]="Main Member",Table2[[#This Row],[Table Lookup for Life Cover]]="MM_LIFE",Table2[[#This Row],[Age Next Birthday]]&gt;=56),2,
""))</f>
        <v/>
      </c>
      <c r="AJ348" s="328">
        <f>IF(OR(Table2[[#This Row],[Member Type]]="Main Member",Table2[[#This Row],[Main Member Link ID]]=B347),1,0)</f>
        <v>1</v>
      </c>
      <c r="AK348" s="328">
        <f>IF(Table2[[#This Row],[Member Type]]=0,0,
IF(OR(Table2[[#This Row],[Member Type]]="Main Member",Table2[[#This Row],[Main Member Link ID]]&lt;&gt;B348),COUNTIFS(B:B,Table2[[#This Row],[Main Member Link ID]]),
COUNTIFS(B:B,Table2[[#This Row],[Main Member Link ID]],A:A,Table2[[#This Row],[Member Type]])))</f>
        <v>0</v>
      </c>
    </row>
    <row r="349" spans="1:37" x14ac:dyDescent="0.3">
      <c r="A349" s="284">
        <f>Table13[[#This Row],[Member Type]]</f>
        <v>0</v>
      </c>
      <c r="B349" s="284">
        <f>Table13[[#This Row],[Main Member Link ID]]</f>
        <v>0</v>
      </c>
      <c r="C349" s="284">
        <f>Table13[[#This Row],[ID Number]]</f>
        <v>0</v>
      </c>
      <c r="D349" s="285">
        <f>Table13[[#This Row],[Date Of Birth]]</f>
        <v>0</v>
      </c>
      <c r="E349" s="285">
        <f>Table13[[#This Row],[Commencement Date]]</f>
        <v>0</v>
      </c>
      <c r="F349" s="284">
        <f t="shared" si="35"/>
        <v>1</v>
      </c>
      <c r="G349" s="284">
        <f t="shared" si="36"/>
        <v>25</v>
      </c>
      <c r="H349" s="286">
        <f>Table13[[#This Row],[Product Option]]</f>
        <v>0</v>
      </c>
      <c r="I349" s="284">
        <f>IF(AND($A349="Main Member",Table2[[#This Row],[Product Option]]="My Value Plus Life"),"MM_LIFE",
IF(AND($A349="Spouse",Table2[[#This Row],[Product Option]]="My Value Plus Life"),"SP_LIFE",
IF(AND($A349="Main Member",Table2[[#This Row],[Product Option]]="My Value Plus Life &amp; Funeral"),"MM_LIFE",
IF(AND($A349="Spouse",Table2[[#This Row],[Product Option]]="My Value Plus Life &amp; Funeral"),_xlfn.XLOOKUP(Table2[[#This Row],[Benefit Name]],Lookups!$D$18:$D$23,Lookups!$E$18:$E$23,0),
0))))</f>
        <v>0</v>
      </c>
      <c r="J349" s="284">
        <f>IF($I349="","",
IF($I349="MM_LIFE",INDEX('Quotation Tool'!$S$54:$V$60,MATCH($T349,'Quotation Tool'!$S$54:$S$60,0),4),
IF($I349="SP_LIFE",_xlfn.XLOOKUP(B348,$B:$B,$J:$J,0),0)))</f>
        <v>0</v>
      </c>
      <c r="K349" s="287">
        <f t="shared" ca="1" si="40"/>
        <v>0</v>
      </c>
      <c r="L349" s="288">
        <f t="shared" ca="1" si="41"/>
        <v>0</v>
      </c>
      <c r="M349" s="289">
        <f t="shared" ca="1" si="37"/>
        <v>0</v>
      </c>
      <c r="N349" s="286">
        <f>Table13[[#This Row],[Benefit Option]]</f>
        <v>0</v>
      </c>
      <c r="O349" s="284">
        <f>IF(OR(Table2[[#This Row],[Member Type]]="Spouse",Table2[[#This Row],[Member Type]]="Child"),0,
IF(_xlfn.XLOOKUP($N349,Lookups!$D$13:$D$27,Lookups!$F$13:$F$27,0)=Table2[[#This Row],[Table Lookup for Life Cover]],0,
_xlfn.XLOOKUP($N349,Lookups!$D$13:$D$27,Lookups!$F$13:$F$27,0)))</f>
        <v>0</v>
      </c>
      <c r="P349" s="284">
        <f>IF(Table2[[#This Row],[Table Lookup for Funeral]]=0,0,IFERROR(INDEX('Quotation Tool'!$S$54:$V$60,MATCH($T349,'Quotation Tool'!$S$54:$S$60,0),3),0))</f>
        <v>0</v>
      </c>
      <c r="Q349" s="288">
        <f ca="1">IF(OR(Table2[[#This Row],[Benefit Name]]="My Value Plus Life - Main Member",Table2[[#This Row],[Benefit Name]]="My Value Plus Life - Spouse"),0,
IFERROR(VLOOKUP($G349,INDIRECT($O349),$P349,FALSE),0))</f>
        <v>0</v>
      </c>
      <c r="R349" s="288">
        <f ca="1">IF(OR(Table2[[#This Row],[Benefit Name]]="My Value Plus Life - Main Member",Table2[[#This Row],[Benefit Name]]="My Value Plus Life - Spouse"),0,
IFERROR(VLOOKUP($G349,INDIRECT($O349),$P349+1,FALSE),0))</f>
        <v>0</v>
      </c>
      <c r="S349" s="289">
        <f t="shared" ca="1" si="38"/>
        <v>0</v>
      </c>
      <c r="T349" s="284" t="str">
        <f>IF(Table13[[#This Row],[Premium Waiver]]="","None",Table13[[#This Row],[Premium Waiver]])</f>
        <v>None</v>
      </c>
      <c r="U349" s="284">
        <f>Table13[[#This Row],[VAPs Options]]</f>
        <v>0</v>
      </c>
      <c r="V349" s="284">
        <f>Table13[[#This Row],[Annual Increase Option]]</f>
        <v>0</v>
      </c>
      <c r="W349" s="290">
        <f>Table13[[#This Row],[Life Cover Amount]]</f>
        <v>0</v>
      </c>
      <c r="X349" s="290">
        <f>Table13[[#This Row],[Funeral Cover Amount]]</f>
        <v>0</v>
      </c>
      <c r="Y34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4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49" s="301">
        <f t="shared" ca="1" si="39"/>
        <v>0</v>
      </c>
      <c r="AB349" s="298"/>
      <c r="AC349" s="326" t="str">
        <f>IF(Table2[[#This Row],[Member Type]]="Main Member",Lookups!$C$13,
IF(Table2[[#This Row],[Member Type]]="Spouse",_xlfn.XLOOKUP(B349,Table2[Main Member Link ID],Table2[Product Option],0),
IF(AND(Table2[[#This Row],[Member Type]]="Child",_xlfn.XLOOKUP(B349,Table2[Main Member Link ID],Table2[Product Option],0)&lt;&gt;"My Value Plus Life"),Lookups!$C$24,
IF(AND(OR(Table2[[#This Row],[Member Type]]="Parent",Table2[[#This Row],[Member Type]]="Extended"),_xlfn.XLOOKUP(B349,Table2[Main Member Link ID],Table2[Product Option],0)&lt;&gt;"My Value Plus Life"),Lookups!$C$26,""))))</f>
        <v/>
      </c>
      <c r="AD349" s="326" t="str">
        <f>IF(Table2[[#This Row],[Member Type]]="Main Member",Lookups!$C$14,"")</f>
        <v/>
      </c>
      <c r="AE34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Funeral",_xlfn.XLOOKUP(B349,Table2[Main Member Link ID],Table2[Benefit Name],0)=Lookups!$D$14),"",
IF(AND(Table2[[#This Row],[Member Type]]="Spouse",Table2[[#This Row],[Product Option]]="My Value Plus Life &amp; Funeral",_xlfn.XLOOKUP(B348,Table2[Main Member Link ID],Table2[Benefit Name],0)=Lookups!$D$15),Lookups!$D$20,
IF(AND(Table2[[#This Row],[Member Type]]="Spouse",Table2[[#This Row],[Product Option]]="My Value Plus Life &amp; Funeral",_xlfn.XLOOKUP(B348,Table2[Main Member Link ID],Table2[Benefit Name],0)=Lookups!$D$16),"",
IF(AND(Table2[[#This Row],[Member Type]]="Spouse",Table2[[#This Row],[Product Option]]="My Value Plus Life &amp; Funeral",_xlfn.XLOOKUP(B348,Table2[Main Member Link ID],Table2[Benefit Name],0)=Lookups!$D$17),Lookups!$D$21,
IF(AND(Table2[[#This Row],[Member Type]]="Child",Table2[[#This Row],[Product Option]]="My Value Plus Life &amp; Funeral",_xlfn.XLOOKUP(B349,Table2[Main Member Link ID],Table2[Benefit Name],0)=Lookups!$D$14),"",
IF(AND(Table2[[#This Row],[Member Type]]="Child",Table2[[#This Row],[Product Option]]="My Value Plus Life &amp; Funeral",_xlfn.XLOOKUP(B349,Table2[Main Member Link ID],Table2[Benefit Name],0)=Lookups!$D$15),"",
IF(AND(Table2[[#This Row],[Member Type]]="Child",Table2[[#This Row],[Product Option]]="My Value Plus Life &amp; Funeral",_xlfn.XLOOKUP(B349,Table2[Main Member Link ID],Table2[Benefit Name],0)=Lookups!$D$16),Lookups!$D$24,
IF(AND(Table2[[#This Row],[Member Type]]="Child",Table2[[#This Row],[Product Option]]="My Value Plus Life &amp; Funeral",_xlfn.XLOOKUP(B349,Table2[Main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Funeral",_xlfn.XLOOKUP(B349,Table2[Main Member Link ID],Table2[Benefit Name],0)&lt;&gt;Lookups!$D$14),
IF(_xlfn.XLOOKUP(B349,Table2[Main Member Link ID],Table2[Benefit Name],0)=0,"",_xlfn.XLOOKUP(B349,Table2[Main Member Link ID],Table2[Benefit Name],0)),"")))))))))))))))</f>
        <v/>
      </c>
      <c r="AF349" s="327" t="str">
        <f>IF(AND(Table2[[#This Row],[Member Type]]="Main Member",Table2[[#This Row],[Product Option]]="My Value Plus Life &amp; Funeral"),Lookups!$D$15,
IF(AND(Table2[[#This Row],[Member Type]]="Spouse",Table2[[#This Row],[Product Option]]="My Value Plus Life &amp; Funeral",_xlfn.XLOOKUP(B349,Table2[Main Member Link ID],Table2[Benefit Name],0)=Lookups!$D$14),"",
IF(AND(Table2[[#This Row],[Member Type]]="Spouse",Table2[[#This Row],[Product Option]]="My Value Plus Life &amp; Funeral",_xlfn.XLOOKUP(B348,Table2[Main Member Link ID],Table2[Benefit Name],0)=Lookups!$D$16),"",
IF(AND(Table2[[#This Row],[Member Type]]="Spouse",Table2[[#This Row],[Product Option]]="My Value Plus Life &amp; Funeral",_xlfn.XLOOKUP(B348,Table2[Main Member Link ID],Table2[Benefit Name],0)=Lookups!$D$15),"",
IF(AND(Table2[[#This Row],[Member Type]]="Spouse",Table2[[#This Row],[Product Option]]="My Value Plus Life &amp; Funeral",_xlfn.XLOOKUP(B348,Table2[Main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Funeral",_xlfn.XLOOKUP(B349,Table2[Main Member Link ID],Table2[Benefit Name],0)&lt;&gt;Lookups!$D$15),
IF(_xlfn.XLOOKUP(B349,Table2[Main Member Link ID],Table2[Benefit Name],0)=0,"",_xlfn.XLOOKUP(B349,Table2[Main Member Link ID],Table2[Benefit Name],0)),"")
))))))</f>
        <v/>
      </c>
      <c r="AG349" s="327" t="str">
        <f>IF(AND(Table2[[#This Row],[Member Type]]="Main Member",Table2[[#This Row],[Product Option]]="My Value Plus Life &amp; Funeral"),Lookups!$D$16,
IF(AND(Table2[[#This Row],[Member Type]]="Spouse",Table2[[#This Row],[Product Option]]="My Value Plus Life &amp; Funeral",_xlfn.XLOOKUP(B349,Table2[Main Member Link ID],Table2[Benefit Name],0)=Lookups!$D$14),"",
IF(AND(Table2[[#This Row],[Member Type]]="Spouse",Table2[[#This Row],[Product Option]]="My Value Plus Life &amp; Funeral",_xlfn.XLOOKUP(B348,Table2[Main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Funeral",_xlfn.XLOOKUP(B349,Table2[Main Member Link ID],Table2[Benefit Name],0)&lt;&gt;Lookups!$D$16),
IF(_xlfn.XLOOKUP(B349,Table2[Main Member Link ID],Table2[Benefit Name],0)=0,"",_xlfn.XLOOKUP(B349,Table2[Main Member Link ID],Table2[Benefit Name],0)),"")
))))</f>
        <v/>
      </c>
      <c r="AH349" s="327" t="str">
        <f>IF(AND(Table2[[#This Row],[Member Type]]="Main Member",Table2[[#This Row],[Product Option]]="My Value Plus Life &amp; Funeral"),Lookups!$D$17,
IF(AND(Table2[[#This Row],[Member Type]]="Spouse",Table2[[#This Row],[Product Option]]="My Value Plus Life &amp; Funeral",_xlfn.XLOOKUP(B349,Table2[Main Member Link ID],Table2[Benefit Name],0)=Lookups!$D$14),"",
IF(AND(Table2[[#This Row],[Member Type]]="Spouse",Table2[[#This Row],[Product Option]]="My Value Plus Life &amp; Funeral",_xlfn.XLOOKUP(B348,Table2[Main Member Link ID],Table2[Benefit Name],0)=Lookups!$D$16),"",
IF(AND(Table2[[#This Row],[Member Type]]="Child",Table2[[#This Row],[Product Option]]="My Value Plus Life &amp; Funeral"),"",
IF(AND(Table2[[#This Row],[Member Type]]="Child",Table2[[#This Row],[Product Option]]="My Value Plus Life &amp; Funeral",_xlfn.XLOOKUP(B349,Table2[Main Member Link ID],Table2[Benefit Name],0)=Lookups!$D$15),"",
IF(AND(OR(Table2[[#This Row],[Member Type]]="Spouse",Table2[[#This Row],[Member Type]]="Child"),Table2[[#This Row],[Product Option]]="My Value Plus Life &amp; Funeral",_xlfn.XLOOKUP(B349,Table2[Main Member Link ID],Table2[Benefit Name],0)&lt;&gt;Lookups!$D$17),
IF(_xlfn.XLOOKUP(B349,Table2[Main Member Link ID],Table2[Benefit Name],0)=0,"",_xlfn.XLOOKUP(B349,Table2[Main Member Link ID],Table2[Benefit Name],0)),""))))))</f>
        <v/>
      </c>
      <c r="AI349" s="328" t="str">
        <f>IF(AND(Table2[[#This Row],[Member Type]]="Main Member",Table2[[#This Row],[Table Lookup for Life Cover]]="MM_LIFE",Table2[[#This Row],[Age Next Birthday]]&lt;56),1,
IF(AND(Table2[[#This Row],[Member Type]]="Main Member",Table2[[#This Row],[Table Lookup for Life Cover]]="MM_LIFE",Table2[[#This Row],[Age Next Birthday]]&gt;=56),2,
""))</f>
        <v/>
      </c>
      <c r="AJ349" s="328">
        <f>IF(OR(Table2[[#This Row],[Member Type]]="Main Member",Table2[[#This Row],[Main Member Link ID]]=B348),1,0)</f>
        <v>1</v>
      </c>
      <c r="AK349" s="328">
        <f>IF(Table2[[#This Row],[Member Type]]=0,0,
IF(OR(Table2[[#This Row],[Member Type]]="Main Member",Table2[[#This Row],[Main Member Link ID]]&lt;&gt;B349),COUNTIFS(B:B,Table2[[#This Row],[Main Member Link ID]]),
COUNTIFS(B:B,Table2[[#This Row],[Main Member Link ID]],A:A,Table2[[#This Row],[Member Type]])))</f>
        <v>0</v>
      </c>
    </row>
    <row r="350" spans="1:37" x14ac:dyDescent="0.3">
      <c r="A350" s="284">
        <f>Table13[[#This Row],[Member Type]]</f>
        <v>0</v>
      </c>
      <c r="B350" s="284">
        <f>Table13[[#This Row],[Main Member Link ID]]</f>
        <v>0</v>
      </c>
      <c r="C350" s="284">
        <f>Table13[[#This Row],[ID Number]]</f>
        <v>0</v>
      </c>
      <c r="D350" s="285">
        <f>Table13[[#This Row],[Date Of Birth]]</f>
        <v>0</v>
      </c>
      <c r="E350" s="285">
        <f>Table13[[#This Row],[Commencement Date]]</f>
        <v>0</v>
      </c>
      <c r="F350" s="284">
        <f t="shared" si="35"/>
        <v>1</v>
      </c>
      <c r="G350" s="284">
        <f t="shared" si="36"/>
        <v>25</v>
      </c>
      <c r="H350" s="286">
        <f>Table13[[#This Row],[Product Option]]</f>
        <v>0</v>
      </c>
      <c r="I350" s="284">
        <f>IF(AND($A350="Main Member",Table2[[#This Row],[Product Option]]="My Value Plus Life"),"MM_LIFE",
IF(AND($A350="Spouse",Table2[[#This Row],[Product Option]]="My Value Plus Life"),"SP_LIFE",
IF(AND($A350="Main Member",Table2[[#This Row],[Product Option]]="My Value Plus Life &amp; Funeral"),"MM_LIFE",
IF(AND($A350="Spouse",Table2[[#This Row],[Product Option]]="My Value Plus Life &amp; Funeral"),_xlfn.XLOOKUP(Table2[[#This Row],[Benefit Name]],Lookups!$D$18:$D$23,Lookups!$E$18:$E$23,0),
0))))</f>
        <v>0</v>
      </c>
      <c r="J350" s="284">
        <f>IF($I350="","",
IF($I350="MM_LIFE",INDEX('Quotation Tool'!$S$54:$V$60,MATCH($T350,'Quotation Tool'!$S$54:$S$60,0),4),
IF($I350="SP_LIFE",_xlfn.XLOOKUP(B349,$B:$B,$J:$J,0),0)))</f>
        <v>0</v>
      </c>
      <c r="K350" s="287">
        <f t="shared" ca="1" si="40"/>
        <v>0</v>
      </c>
      <c r="L350" s="288">
        <f t="shared" ca="1" si="41"/>
        <v>0</v>
      </c>
      <c r="M350" s="289">
        <f t="shared" ca="1" si="37"/>
        <v>0</v>
      </c>
      <c r="N350" s="286">
        <f>Table13[[#This Row],[Benefit Option]]</f>
        <v>0</v>
      </c>
      <c r="O350" s="284">
        <f>IF(OR(Table2[[#This Row],[Member Type]]="Spouse",Table2[[#This Row],[Member Type]]="Child"),0,
IF(_xlfn.XLOOKUP($N350,Lookups!$D$13:$D$27,Lookups!$F$13:$F$27,0)=Table2[[#This Row],[Table Lookup for Life Cover]],0,
_xlfn.XLOOKUP($N350,Lookups!$D$13:$D$27,Lookups!$F$13:$F$27,0)))</f>
        <v>0</v>
      </c>
      <c r="P350" s="284">
        <f>IF(Table2[[#This Row],[Table Lookup for Funeral]]=0,0,IFERROR(INDEX('Quotation Tool'!$S$54:$V$60,MATCH($T350,'Quotation Tool'!$S$54:$S$60,0),3),0))</f>
        <v>0</v>
      </c>
      <c r="Q350" s="288">
        <f ca="1">IF(OR(Table2[[#This Row],[Benefit Name]]="My Value Plus Life - Main Member",Table2[[#This Row],[Benefit Name]]="My Value Plus Life - Spouse"),0,
IFERROR(VLOOKUP($G350,INDIRECT($O350),$P350,FALSE),0))</f>
        <v>0</v>
      </c>
      <c r="R350" s="288">
        <f ca="1">IF(OR(Table2[[#This Row],[Benefit Name]]="My Value Plus Life - Main Member",Table2[[#This Row],[Benefit Name]]="My Value Plus Life - Spouse"),0,
IFERROR(VLOOKUP($G350,INDIRECT($O350),$P350+1,FALSE),0))</f>
        <v>0</v>
      </c>
      <c r="S350" s="289">
        <f t="shared" ca="1" si="38"/>
        <v>0</v>
      </c>
      <c r="T350" s="284" t="str">
        <f>IF(Table13[[#This Row],[Premium Waiver]]="","None",Table13[[#This Row],[Premium Waiver]])</f>
        <v>None</v>
      </c>
      <c r="U350" s="284">
        <f>Table13[[#This Row],[VAPs Options]]</f>
        <v>0</v>
      </c>
      <c r="V350" s="284">
        <f>Table13[[#This Row],[Annual Increase Option]]</f>
        <v>0</v>
      </c>
      <c r="W350" s="290">
        <f>Table13[[#This Row],[Life Cover Amount]]</f>
        <v>0</v>
      </c>
      <c r="X350" s="290">
        <f>Table13[[#This Row],[Funeral Cover Amount]]</f>
        <v>0</v>
      </c>
      <c r="Y35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5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50" s="301">
        <f t="shared" ca="1" si="39"/>
        <v>0</v>
      </c>
      <c r="AB350" s="298"/>
      <c r="AC350" s="326" t="str">
        <f>IF(Table2[[#This Row],[Member Type]]="Main Member",Lookups!$C$13,
IF(Table2[[#This Row],[Member Type]]="Spouse",_xlfn.XLOOKUP(B350,Table2[Main Member Link ID],Table2[Product Option],0),
IF(AND(Table2[[#This Row],[Member Type]]="Child",_xlfn.XLOOKUP(B350,Table2[Main Member Link ID],Table2[Product Option],0)&lt;&gt;"My Value Plus Life"),Lookups!$C$24,
IF(AND(OR(Table2[[#This Row],[Member Type]]="Parent",Table2[[#This Row],[Member Type]]="Extended"),_xlfn.XLOOKUP(B350,Table2[Main Member Link ID],Table2[Product Option],0)&lt;&gt;"My Value Plus Life"),Lookups!$C$26,""))))</f>
        <v/>
      </c>
      <c r="AD350" s="326" t="str">
        <f>IF(Table2[[#This Row],[Member Type]]="Main Member",Lookups!$C$14,"")</f>
        <v/>
      </c>
      <c r="AE35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Funeral",_xlfn.XLOOKUP(B350,Table2[Main Member Link ID],Table2[Benefit Name],0)=Lookups!$D$14),"",
IF(AND(Table2[[#This Row],[Member Type]]="Spouse",Table2[[#This Row],[Product Option]]="My Value Plus Life &amp; Funeral",_xlfn.XLOOKUP(B349,Table2[Main Member Link ID],Table2[Benefit Name],0)=Lookups!$D$15),Lookups!$D$20,
IF(AND(Table2[[#This Row],[Member Type]]="Spouse",Table2[[#This Row],[Product Option]]="My Value Plus Life &amp; Funeral",_xlfn.XLOOKUP(B349,Table2[Main Member Link ID],Table2[Benefit Name],0)=Lookups!$D$16),"",
IF(AND(Table2[[#This Row],[Member Type]]="Spouse",Table2[[#This Row],[Product Option]]="My Value Plus Life &amp; Funeral",_xlfn.XLOOKUP(B349,Table2[Main Member Link ID],Table2[Benefit Name],0)=Lookups!$D$17),Lookups!$D$21,
IF(AND(Table2[[#This Row],[Member Type]]="Child",Table2[[#This Row],[Product Option]]="My Value Plus Life &amp; Funeral",_xlfn.XLOOKUP(B350,Table2[Main Member Link ID],Table2[Benefit Name],0)=Lookups!$D$14),"",
IF(AND(Table2[[#This Row],[Member Type]]="Child",Table2[[#This Row],[Product Option]]="My Value Plus Life &amp; Funeral",_xlfn.XLOOKUP(B350,Table2[Main Member Link ID],Table2[Benefit Name],0)=Lookups!$D$15),"",
IF(AND(Table2[[#This Row],[Member Type]]="Child",Table2[[#This Row],[Product Option]]="My Value Plus Life &amp; Funeral",_xlfn.XLOOKUP(B350,Table2[Main Member Link ID],Table2[Benefit Name],0)=Lookups!$D$16),Lookups!$D$24,
IF(AND(Table2[[#This Row],[Member Type]]="Child",Table2[[#This Row],[Product Option]]="My Value Plus Life &amp; Funeral",_xlfn.XLOOKUP(B350,Table2[Main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Funeral",_xlfn.XLOOKUP(B350,Table2[Main Member Link ID],Table2[Benefit Name],0)&lt;&gt;Lookups!$D$14),
IF(_xlfn.XLOOKUP(B350,Table2[Main Member Link ID],Table2[Benefit Name],0)=0,"",_xlfn.XLOOKUP(B350,Table2[Main Member Link ID],Table2[Benefit Name],0)),"")))))))))))))))</f>
        <v/>
      </c>
      <c r="AF350" s="327" t="str">
        <f>IF(AND(Table2[[#This Row],[Member Type]]="Main Member",Table2[[#This Row],[Product Option]]="My Value Plus Life &amp; Funeral"),Lookups!$D$15,
IF(AND(Table2[[#This Row],[Member Type]]="Spouse",Table2[[#This Row],[Product Option]]="My Value Plus Life &amp; Funeral",_xlfn.XLOOKUP(B350,Table2[Main Member Link ID],Table2[Benefit Name],0)=Lookups!$D$14),"",
IF(AND(Table2[[#This Row],[Member Type]]="Spouse",Table2[[#This Row],[Product Option]]="My Value Plus Life &amp; Funeral",_xlfn.XLOOKUP(B349,Table2[Main Member Link ID],Table2[Benefit Name],0)=Lookups!$D$16),"",
IF(AND(Table2[[#This Row],[Member Type]]="Spouse",Table2[[#This Row],[Product Option]]="My Value Plus Life &amp; Funeral",_xlfn.XLOOKUP(B349,Table2[Main Member Link ID],Table2[Benefit Name],0)=Lookups!$D$15),"",
IF(AND(Table2[[#This Row],[Member Type]]="Spouse",Table2[[#This Row],[Product Option]]="My Value Plus Life &amp; Funeral",_xlfn.XLOOKUP(B349,Table2[Main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Funeral",_xlfn.XLOOKUP(B350,Table2[Main Member Link ID],Table2[Benefit Name],0)&lt;&gt;Lookups!$D$15),
IF(_xlfn.XLOOKUP(B350,Table2[Main Member Link ID],Table2[Benefit Name],0)=0,"",_xlfn.XLOOKUP(B350,Table2[Main Member Link ID],Table2[Benefit Name],0)),"")
))))))</f>
        <v/>
      </c>
      <c r="AG350" s="327" t="str">
        <f>IF(AND(Table2[[#This Row],[Member Type]]="Main Member",Table2[[#This Row],[Product Option]]="My Value Plus Life &amp; Funeral"),Lookups!$D$16,
IF(AND(Table2[[#This Row],[Member Type]]="Spouse",Table2[[#This Row],[Product Option]]="My Value Plus Life &amp; Funeral",_xlfn.XLOOKUP(B350,Table2[Main Member Link ID],Table2[Benefit Name],0)=Lookups!$D$14),"",
IF(AND(Table2[[#This Row],[Member Type]]="Spouse",Table2[[#This Row],[Product Option]]="My Value Plus Life &amp; Funeral",_xlfn.XLOOKUP(B349,Table2[Main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Funeral",_xlfn.XLOOKUP(B350,Table2[Main Member Link ID],Table2[Benefit Name],0)&lt;&gt;Lookups!$D$16),
IF(_xlfn.XLOOKUP(B350,Table2[Main Member Link ID],Table2[Benefit Name],0)=0,"",_xlfn.XLOOKUP(B350,Table2[Main Member Link ID],Table2[Benefit Name],0)),"")
))))</f>
        <v/>
      </c>
      <c r="AH350" s="327" t="str">
        <f>IF(AND(Table2[[#This Row],[Member Type]]="Main Member",Table2[[#This Row],[Product Option]]="My Value Plus Life &amp; Funeral"),Lookups!$D$17,
IF(AND(Table2[[#This Row],[Member Type]]="Spouse",Table2[[#This Row],[Product Option]]="My Value Plus Life &amp; Funeral",_xlfn.XLOOKUP(B350,Table2[Main Member Link ID],Table2[Benefit Name],0)=Lookups!$D$14),"",
IF(AND(Table2[[#This Row],[Member Type]]="Spouse",Table2[[#This Row],[Product Option]]="My Value Plus Life &amp; Funeral",_xlfn.XLOOKUP(B349,Table2[Main Member Link ID],Table2[Benefit Name],0)=Lookups!$D$16),"",
IF(AND(Table2[[#This Row],[Member Type]]="Child",Table2[[#This Row],[Product Option]]="My Value Plus Life &amp; Funeral"),"",
IF(AND(Table2[[#This Row],[Member Type]]="Child",Table2[[#This Row],[Product Option]]="My Value Plus Life &amp; Funeral",_xlfn.XLOOKUP(B350,Table2[Main Member Link ID],Table2[Benefit Name],0)=Lookups!$D$15),"",
IF(AND(OR(Table2[[#This Row],[Member Type]]="Spouse",Table2[[#This Row],[Member Type]]="Child"),Table2[[#This Row],[Product Option]]="My Value Plus Life &amp; Funeral",_xlfn.XLOOKUP(B350,Table2[Main Member Link ID],Table2[Benefit Name],0)&lt;&gt;Lookups!$D$17),
IF(_xlfn.XLOOKUP(B350,Table2[Main Member Link ID],Table2[Benefit Name],0)=0,"",_xlfn.XLOOKUP(B350,Table2[Main Member Link ID],Table2[Benefit Name],0)),""))))))</f>
        <v/>
      </c>
      <c r="AI350" s="328" t="str">
        <f>IF(AND(Table2[[#This Row],[Member Type]]="Main Member",Table2[[#This Row],[Table Lookup for Life Cover]]="MM_LIFE",Table2[[#This Row],[Age Next Birthday]]&lt;56),1,
IF(AND(Table2[[#This Row],[Member Type]]="Main Member",Table2[[#This Row],[Table Lookup for Life Cover]]="MM_LIFE",Table2[[#This Row],[Age Next Birthday]]&gt;=56),2,
""))</f>
        <v/>
      </c>
      <c r="AJ350" s="328">
        <f>IF(OR(Table2[[#This Row],[Member Type]]="Main Member",Table2[[#This Row],[Main Member Link ID]]=B349),1,0)</f>
        <v>1</v>
      </c>
      <c r="AK350" s="328">
        <f>IF(Table2[[#This Row],[Member Type]]=0,0,
IF(OR(Table2[[#This Row],[Member Type]]="Main Member",Table2[[#This Row],[Main Member Link ID]]&lt;&gt;B350),COUNTIFS(B:B,Table2[[#This Row],[Main Member Link ID]]),
COUNTIFS(B:B,Table2[[#This Row],[Main Member Link ID]],A:A,Table2[[#This Row],[Member Type]])))</f>
        <v>0</v>
      </c>
    </row>
    <row r="351" spans="1:37" x14ac:dyDescent="0.3">
      <c r="A351" s="284">
        <f>Table13[[#This Row],[Member Type]]</f>
        <v>0</v>
      </c>
      <c r="B351" s="284">
        <f>Table13[[#This Row],[Main Member Link ID]]</f>
        <v>0</v>
      </c>
      <c r="C351" s="284">
        <f>Table13[[#This Row],[ID Number]]</f>
        <v>0</v>
      </c>
      <c r="D351" s="285">
        <f>Table13[[#This Row],[Date Of Birth]]</f>
        <v>0</v>
      </c>
      <c r="E351" s="285">
        <f>Table13[[#This Row],[Commencement Date]]</f>
        <v>0</v>
      </c>
      <c r="F351" s="284">
        <f t="shared" si="35"/>
        <v>1</v>
      </c>
      <c r="G351" s="284">
        <f t="shared" si="36"/>
        <v>25</v>
      </c>
      <c r="H351" s="286">
        <f>Table13[[#This Row],[Product Option]]</f>
        <v>0</v>
      </c>
      <c r="I351" s="284">
        <f>IF(AND($A351="Main Member",Table2[[#This Row],[Product Option]]="My Value Plus Life"),"MM_LIFE",
IF(AND($A351="Spouse",Table2[[#This Row],[Product Option]]="My Value Plus Life"),"SP_LIFE",
IF(AND($A351="Main Member",Table2[[#This Row],[Product Option]]="My Value Plus Life &amp; Funeral"),"MM_LIFE",
IF(AND($A351="Spouse",Table2[[#This Row],[Product Option]]="My Value Plus Life &amp; Funeral"),_xlfn.XLOOKUP(Table2[[#This Row],[Benefit Name]],Lookups!$D$18:$D$23,Lookups!$E$18:$E$23,0),
0))))</f>
        <v>0</v>
      </c>
      <c r="J351" s="284">
        <f>IF($I351="","",
IF($I351="MM_LIFE",INDEX('Quotation Tool'!$S$54:$V$60,MATCH($T351,'Quotation Tool'!$S$54:$S$60,0),4),
IF($I351="SP_LIFE",_xlfn.XLOOKUP(B350,$B:$B,$J:$J,0),0)))</f>
        <v>0</v>
      </c>
      <c r="K351" s="287">
        <f t="shared" ca="1" si="40"/>
        <v>0</v>
      </c>
      <c r="L351" s="288">
        <f t="shared" ca="1" si="41"/>
        <v>0</v>
      </c>
      <c r="M351" s="289">
        <f t="shared" ca="1" si="37"/>
        <v>0</v>
      </c>
      <c r="N351" s="286">
        <f>Table13[[#This Row],[Benefit Option]]</f>
        <v>0</v>
      </c>
      <c r="O351" s="284">
        <f>IF(OR(Table2[[#This Row],[Member Type]]="Spouse",Table2[[#This Row],[Member Type]]="Child"),0,
IF(_xlfn.XLOOKUP($N351,Lookups!$D$13:$D$27,Lookups!$F$13:$F$27,0)=Table2[[#This Row],[Table Lookup for Life Cover]],0,
_xlfn.XLOOKUP($N351,Lookups!$D$13:$D$27,Lookups!$F$13:$F$27,0)))</f>
        <v>0</v>
      </c>
      <c r="P351" s="284">
        <f>IF(Table2[[#This Row],[Table Lookup for Funeral]]=0,0,IFERROR(INDEX('Quotation Tool'!$S$54:$V$60,MATCH($T351,'Quotation Tool'!$S$54:$S$60,0),3),0))</f>
        <v>0</v>
      </c>
      <c r="Q351" s="288">
        <f ca="1">IF(OR(Table2[[#This Row],[Benefit Name]]="My Value Plus Life - Main Member",Table2[[#This Row],[Benefit Name]]="My Value Plus Life - Spouse"),0,
IFERROR(VLOOKUP($G351,INDIRECT($O351),$P351,FALSE),0))</f>
        <v>0</v>
      </c>
      <c r="R351" s="288">
        <f ca="1">IF(OR(Table2[[#This Row],[Benefit Name]]="My Value Plus Life - Main Member",Table2[[#This Row],[Benefit Name]]="My Value Plus Life - Spouse"),0,
IFERROR(VLOOKUP($G351,INDIRECT($O351),$P351+1,FALSE),0))</f>
        <v>0</v>
      </c>
      <c r="S351" s="289">
        <f t="shared" ca="1" si="38"/>
        <v>0</v>
      </c>
      <c r="T351" s="284" t="str">
        <f>IF(Table13[[#This Row],[Premium Waiver]]="","None",Table13[[#This Row],[Premium Waiver]])</f>
        <v>None</v>
      </c>
      <c r="U351" s="284">
        <f>Table13[[#This Row],[VAPs Options]]</f>
        <v>0</v>
      </c>
      <c r="V351" s="284">
        <f>Table13[[#This Row],[Annual Increase Option]]</f>
        <v>0</v>
      </c>
      <c r="W351" s="290">
        <f>Table13[[#This Row],[Life Cover Amount]]</f>
        <v>0</v>
      </c>
      <c r="X351" s="290">
        <f>Table13[[#This Row],[Funeral Cover Amount]]</f>
        <v>0</v>
      </c>
      <c r="Y35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5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51" s="301">
        <f t="shared" ca="1" si="39"/>
        <v>0</v>
      </c>
      <c r="AB351" s="298"/>
      <c r="AC351" s="326" t="str">
        <f>IF(Table2[[#This Row],[Member Type]]="Main Member",Lookups!$C$13,
IF(Table2[[#This Row],[Member Type]]="Spouse",_xlfn.XLOOKUP(B351,Table2[Main Member Link ID],Table2[Product Option],0),
IF(AND(Table2[[#This Row],[Member Type]]="Child",_xlfn.XLOOKUP(B351,Table2[Main Member Link ID],Table2[Product Option],0)&lt;&gt;"My Value Plus Life"),Lookups!$C$24,
IF(AND(OR(Table2[[#This Row],[Member Type]]="Parent",Table2[[#This Row],[Member Type]]="Extended"),_xlfn.XLOOKUP(B351,Table2[Main Member Link ID],Table2[Product Option],0)&lt;&gt;"My Value Plus Life"),Lookups!$C$26,""))))</f>
        <v/>
      </c>
      <c r="AD351" s="326" t="str">
        <f>IF(Table2[[#This Row],[Member Type]]="Main Member",Lookups!$C$14,"")</f>
        <v/>
      </c>
      <c r="AE35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Funeral",_xlfn.XLOOKUP(B351,Table2[Main Member Link ID],Table2[Benefit Name],0)=Lookups!$D$14),"",
IF(AND(Table2[[#This Row],[Member Type]]="Spouse",Table2[[#This Row],[Product Option]]="My Value Plus Life &amp; Funeral",_xlfn.XLOOKUP(B350,Table2[Main Member Link ID],Table2[Benefit Name],0)=Lookups!$D$15),Lookups!$D$20,
IF(AND(Table2[[#This Row],[Member Type]]="Spouse",Table2[[#This Row],[Product Option]]="My Value Plus Life &amp; Funeral",_xlfn.XLOOKUP(B350,Table2[Main Member Link ID],Table2[Benefit Name],0)=Lookups!$D$16),"",
IF(AND(Table2[[#This Row],[Member Type]]="Spouse",Table2[[#This Row],[Product Option]]="My Value Plus Life &amp; Funeral",_xlfn.XLOOKUP(B350,Table2[Main Member Link ID],Table2[Benefit Name],0)=Lookups!$D$17),Lookups!$D$21,
IF(AND(Table2[[#This Row],[Member Type]]="Child",Table2[[#This Row],[Product Option]]="My Value Plus Life &amp; Funeral",_xlfn.XLOOKUP(B351,Table2[Main Member Link ID],Table2[Benefit Name],0)=Lookups!$D$14),"",
IF(AND(Table2[[#This Row],[Member Type]]="Child",Table2[[#This Row],[Product Option]]="My Value Plus Life &amp; Funeral",_xlfn.XLOOKUP(B351,Table2[Main Member Link ID],Table2[Benefit Name],0)=Lookups!$D$15),"",
IF(AND(Table2[[#This Row],[Member Type]]="Child",Table2[[#This Row],[Product Option]]="My Value Plus Life &amp; Funeral",_xlfn.XLOOKUP(B351,Table2[Main Member Link ID],Table2[Benefit Name],0)=Lookups!$D$16),Lookups!$D$24,
IF(AND(Table2[[#This Row],[Member Type]]="Child",Table2[[#This Row],[Product Option]]="My Value Plus Life &amp; Funeral",_xlfn.XLOOKUP(B351,Table2[Main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Funeral",_xlfn.XLOOKUP(B351,Table2[Main Member Link ID],Table2[Benefit Name],0)&lt;&gt;Lookups!$D$14),
IF(_xlfn.XLOOKUP(B351,Table2[Main Member Link ID],Table2[Benefit Name],0)=0,"",_xlfn.XLOOKUP(B351,Table2[Main Member Link ID],Table2[Benefit Name],0)),"")))))))))))))))</f>
        <v/>
      </c>
      <c r="AF351" s="327" t="str">
        <f>IF(AND(Table2[[#This Row],[Member Type]]="Main Member",Table2[[#This Row],[Product Option]]="My Value Plus Life &amp; Funeral"),Lookups!$D$15,
IF(AND(Table2[[#This Row],[Member Type]]="Spouse",Table2[[#This Row],[Product Option]]="My Value Plus Life &amp; Funeral",_xlfn.XLOOKUP(B351,Table2[Main Member Link ID],Table2[Benefit Name],0)=Lookups!$D$14),"",
IF(AND(Table2[[#This Row],[Member Type]]="Spouse",Table2[[#This Row],[Product Option]]="My Value Plus Life &amp; Funeral",_xlfn.XLOOKUP(B350,Table2[Main Member Link ID],Table2[Benefit Name],0)=Lookups!$D$16),"",
IF(AND(Table2[[#This Row],[Member Type]]="Spouse",Table2[[#This Row],[Product Option]]="My Value Plus Life &amp; Funeral",_xlfn.XLOOKUP(B350,Table2[Main Member Link ID],Table2[Benefit Name],0)=Lookups!$D$15),"",
IF(AND(Table2[[#This Row],[Member Type]]="Spouse",Table2[[#This Row],[Product Option]]="My Value Plus Life &amp; Funeral",_xlfn.XLOOKUP(B350,Table2[Main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Funeral",_xlfn.XLOOKUP(B351,Table2[Main Member Link ID],Table2[Benefit Name],0)&lt;&gt;Lookups!$D$15),
IF(_xlfn.XLOOKUP(B351,Table2[Main Member Link ID],Table2[Benefit Name],0)=0,"",_xlfn.XLOOKUP(B351,Table2[Main Member Link ID],Table2[Benefit Name],0)),"")
))))))</f>
        <v/>
      </c>
      <c r="AG351" s="327" t="str">
        <f>IF(AND(Table2[[#This Row],[Member Type]]="Main Member",Table2[[#This Row],[Product Option]]="My Value Plus Life &amp; Funeral"),Lookups!$D$16,
IF(AND(Table2[[#This Row],[Member Type]]="Spouse",Table2[[#This Row],[Product Option]]="My Value Plus Life &amp; Funeral",_xlfn.XLOOKUP(B351,Table2[Main Member Link ID],Table2[Benefit Name],0)=Lookups!$D$14),"",
IF(AND(Table2[[#This Row],[Member Type]]="Spouse",Table2[[#This Row],[Product Option]]="My Value Plus Life &amp; Funeral",_xlfn.XLOOKUP(B350,Table2[Main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Funeral",_xlfn.XLOOKUP(B351,Table2[Main Member Link ID],Table2[Benefit Name],0)&lt;&gt;Lookups!$D$16),
IF(_xlfn.XLOOKUP(B351,Table2[Main Member Link ID],Table2[Benefit Name],0)=0,"",_xlfn.XLOOKUP(B351,Table2[Main Member Link ID],Table2[Benefit Name],0)),"")
))))</f>
        <v/>
      </c>
      <c r="AH351" s="327" t="str">
        <f>IF(AND(Table2[[#This Row],[Member Type]]="Main Member",Table2[[#This Row],[Product Option]]="My Value Plus Life &amp; Funeral"),Lookups!$D$17,
IF(AND(Table2[[#This Row],[Member Type]]="Spouse",Table2[[#This Row],[Product Option]]="My Value Plus Life &amp; Funeral",_xlfn.XLOOKUP(B351,Table2[Main Member Link ID],Table2[Benefit Name],0)=Lookups!$D$14),"",
IF(AND(Table2[[#This Row],[Member Type]]="Spouse",Table2[[#This Row],[Product Option]]="My Value Plus Life &amp; Funeral",_xlfn.XLOOKUP(B350,Table2[Main Member Link ID],Table2[Benefit Name],0)=Lookups!$D$16),"",
IF(AND(Table2[[#This Row],[Member Type]]="Child",Table2[[#This Row],[Product Option]]="My Value Plus Life &amp; Funeral"),"",
IF(AND(Table2[[#This Row],[Member Type]]="Child",Table2[[#This Row],[Product Option]]="My Value Plus Life &amp; Funeral",_xlfn.XLOOKUP(B351,Table2[Main Member Link ID],Table2[Benefit Name],0)=Lookups!$D$15),"",
IF(AND(OR(Table2[[#This Row],[Member Type]]="Spouse",Table2[[#This Row],[Member Type]]="Child"),Table2[[#This Row],[Product Option]]="My Value Plus Life &amp; Funeral",_xlfn.XLOOKUP(B351,Table2[Main Member Link ID],Table2[Benefit Name],0)&lt;&gt;Lookups!$D$17),
IF(_xlfn.XLOOKUP(B351,Table2[Main Member Link ID],Table2[Benefit Name],0)=0,"",_xlfn.XLOOKUP(B351,Table2[Main Member Link ID],Table2[Benefit Name],0)),""))))))</f>
        <v/>
      </c>
      <c r="AI351" s="328" t="str">
        <f>IF(AND(Table2[[#This Row],[Member Type]]="Main Member",Table2[[#This Row],[Table Lookup for Life Cover]]="MM_LIFE",Table2[[#This Row],[Age Next Birthday]]&lt;56),1,
IF(AND(Table2[[#This Row],[Member Type]]="Main Member",Table2[[#This Row],[Table Lookup for Life Cover]]="MM_LIFE",Table2[[#This Row],[Age Next Birthday]]&gt;=56),2,
""))</f>
        <v/>
      </c>
      <c r="AJ351" s="328">
        <f>IF(OR(Table2[[#This Row],[Member Type]]="Main Member",Table2[[#This Row],[Main Member Link ID]]=B350),1,0)</f>
        <v>1</v>
      </c>
      <c r="AK351" s="328">
        <f>IF(Table2[[#This Row],[Member Type]]=0,0,
IF(OR(Table2[[#This Row],[Member Type]]="Main Member",Table2[[#This Row],[Main Member Link ID]]&lt;&gt;B351),COUNTIFS(B:B,Table2[[#This Row],[Main Member Link ID]]),
COUNTIFS(B:B,Table2[[#This Row],[Main Member Link ID]],A:A,Table2[[#This Row],[Member Type]])))</f>
        <v>0</v>
      </c>
    </row>
    <row r="352" spans="1:37" x14ac:dyDescent="0.3">
      <c r="A352" s="284">
        <f>Table13[[#This Row],[Member Type]]</f>
        <v>0</v>
      </c>
      <c r="B352" s="284">
        <f>Table13[[#This Row],[Main Member Link ID]]</f>
        <v>0</v>
      </c>
      <c r="C352" s="284">
        <f>Table13[[#This Row],[ID Number]]</f>
        <v>0</v>
      </c>
      <c r="D352" s="285">
        <f>Table13[[#This Row],[Date Of Birth]]</f>
        <v>0</v>
      </c>
      <c r="E352" s="285">
        <f>Table13[[#This Row],[Commencement Date]]</f>
        <v>0</v>
      </c>
      <c r="F352" s="284">
        <f t="shared" si="35"/>
        <v>1</v>
      </c>
      <c r="G352" s="284">
        <f t="shared" si="36"/>
        <v>25</v>
      </c>
      <c r="H352" s="286">
        <f>Table13[[#This Row],[Product Option]]</f>
        <v>0</v>
      </c>
      <c r="I352" s="284">
        <f>IF(AND($A352="Main Member",Table2[[#This Row],[Product Option]]="My Value Plus Life"),"MM_LIFE",
IF(AND($A352="Spouse",Table2[[#This Row],[Product Option]]="My Value Plus Life"),"SP_LIFE",
IF(AND($A352="Main Member",Table2[[#This Row],[Product Option]]="My Value Plus Life &amp; Funeral"),"MM_LIFE",
IF(AND($A352="Spouse",Table2[[#This Row],[Product Option]]="My Value Plus Life &amp; Funeral"),_xlfn.XLOOKUP(Table2[[#This Row],[Benefit Name]],Lookups!$D$18:$D$23,Lookups!$E$18:$E$23,0),
0))))</f>
        <v>0</v>
      </c>
      <c r="J352" s="284">
        <f>IF($I352="","",
IF($I352="MM_LIFE",INDEX('Quotation Tool'!$S$54:$V$60,MATCH($T352,'Quotation Tool'!$S$54:$S$60,0),4),
IF($I352="SP_LIFE",_xlfn.XLOOKUP(B351,$B:$B,$J:$J,0),0)))</f>
        <v>0</v>
      </c>
      <c r="K352" s="287">
        <f t="shared" ca="1" si="40"/>
        <v>0</v>
      </c>
      <c r="L352" s="288">
        <f t="shared" ca="1" si="41"/>
        <v>0</v>
      </c>
      <c r="M352" s="289">
        <f t="shared" ca="1" si="37"/>
        <v>0</v>
      </c>
      <c r="N352" s="286">
        <f>Table13[[#This Row],[Benefit Option]]</f>
        <v>0</v>
      </c>
      <c r="O352" s="284">
        <f>IF(OR(Table2[[#This Row],[Member Type]]="Spouse",Table2[[#This Row],[Member Type]]="Child"),0,
IF(_xlfn.XLOOKUP($N352,Lookups!$D$13:$D$27,Lookups!$F$13:$F$27,0)=Table2[[#This Row],[Table Lookup for Life Cover]],0,
_xlfn.XLOOKUP($N352,Lookups!$D$13:$D$27,Lookups!$F$13:$F$27,0)))</f>
        <v>0</v>
      </c>
      <c r="P352" s="284">
        <f>IF(Table2[[#This Row],[Table Lookup for Funeral]]=0,0,IFERROR(INDEX('Quotation Tool'!$S$54:$V$60,MATCH($T352,'Quotation Tool'!$S$54:$S$60,0),3),0))</f>
        <v>0</v>
      </c>
      <c r="Q352" s="288">
        <f ca="1">IF(OR(Table2[[#This Row],[Benefit Name]]="My Value Plus Life - Main Member",Table2[[#This Row],[Benefit Name]]="My Value Plus Life - Spouse"),0,
IFERROR(VLOOKUP($G352,INDIRECT($O352),$P352,FALSE),0))</f>
        <v>0</v>
      </c>
      <c r="R352" s="288">
        <f ca="1">IF(OR(Table2[[#This Row],[Benefit Name]]="My Value Plus Life - Main Member",Table2[[#This Row],[Benefit Name]]="My Value Plus Life - Spouse"),0,
IFERROR(VLOOKUP($G352,INDIRECT($O352),$P352+1,FALSE),0))</f>
        <v>0</v>
      </c>
      <c r="S352" s="289">
        <f t="shared" ca="1" si="38"/>
        <v>0</v>
      </c>
      <c r="T352" s="284" t="str">
        <f>IF(Table13[[#This Row],[Premium Waiver]]="","None",Table13[[#This Row],[Premium Waiver]])</f>
        <v>None</v>
      </c>
      <c r="U352" s="284">
        <f>Table13[[#This Row],[VAPs Options]]</f>
        <v>0</v>
      </c>
      <c r="V352" s="284">
        <f>Table13[[#This Row],[Annual Increase Option]]</f>
        <v>0</v>
      </c>
      <c r="W352" s="290">
        <f>Table13[[#This Row],[Life Cover Amount]]</f>
        <v>0</v>
      </c>
      <c r="X352" s="290">
        <f>Table13[[#This Row],[Funeral Cover Amount]]</f>
        <v>0</v>
      </c>
      <c r="Y35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5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52" s="301">
        <f t="shared" ca="1" si="39"/>
        <v>0</v>
      </c>
      <c r="AB352" s="298"/>
      <c r="AC352" s="326" t="str">
        <f>IF(Table2[[#This Row],[Member Type]]="Main Member",Lookups!$C$13,
IF(Table2[[#This Row],[Member Type]]="Spouse",_xlfn.XLOOKUP(B352,Table2[Main Member Link ID],Table2[Product Option],0),
IF(AND(Table2[[#This Row],[Member Type]]="Child",_xlfn.XLOOKUP(B352,Table2[Main Member Link ID],Table2[Product Option],0)&lt;&gt;"My Value Plus Life"),Lookups!$C$24,
IF(AND(OR(Table2[[#This Row],[Member Type]]="Parent",Table2[[#This Row],[Member Type]]="Extended"),_xlfn.XLOOKUP(B352,Table2[Main Member Link ID],Table2[Product Option],0)&lt;&gt;"My Value Plus Life"),Lookups!$C$26,""))))</f>
        <v/>
      </c>
      <c r="AD352" s="326" t="str">
        <f>IF(Table2[[#This Row],[Member Type]]="Main Member",Lookups!$C$14,"")</f>
        <v/>
      </c>
      <c r="AE35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Funeral",_xlfn.XLOOKUP(B352,Table2[Main Member Link ID],Table2[Benefit Name],0)=Lookups!$D$14),"",
IF(AND(Table2[[#This Row],[Member Type]]="Spouse",Table2[[#This Row],[Product Option]]="My Value Plus Life &amp; Funeral",_xlfn.XLOOKUP(B351,Table2[Main Member Link ID],Table2[Benefit Name],0)=Lookups!$D$15),Lookups!$D$20,
IF(AND(Table2[[#This Row],[Member Type]]="Spouse",Table2[[#This Row],[Product Option]]="My Value Plus Life &amp; Funeral",_xlfn.XLOOKUP(B351,Table2[Main Member Link ID],Table2[Benefit Name],0)=Lookups!$D$16),"",
IF(AND(Table2[[#This Row],[Member Type]]="Spouse",Table2[[#This Row],[Product Option]]="My Value Plus Life &amp; Funeral",_xlfn.XLOOKUP(B351,Table2[Main Member Link ID],Table2[Benefit Name],0)=Lookups!$D$17),Lookups!$D$21,
IF(AND(Table2[[#This Row],[Member Type]]="Child",Table2[[#This Row],[Product Option]]="My Value Plus Life &amp; Funeral",_xlfn.XLOOKUP(B352,Table2[Main Member Link ID],Table2[Benefit Name],0)=Lookups!$D$14),"",
IF(AND(Table2[[#This Row],[Member Type]]="Child",Table2[[#This Row],[Product Option]]="My Value Plus Life &amp; Funeral",_xlfn.XLOOKUP(B352,Table2[Main Member Link ID],Table2[Benefit Name],0)=Lookups!$D$15),"",
IF(AND(Table2[[#This Row],[Member Type]]="Child",Table2[[#This Row],[Product Option]]="My Value Plus Life &amp; Funeral",_xlfn.XLOOKUP(B352,Table2[Main Member Link ID],Table2[Benefit Name],0)=Lookups!$D$16),Lookups!$D$24,
IF(AND(Table2[[#This Row],[Member Type]]="Child",Table2[[#This Row],[Product Option]]="My Value Plus Life &amp; Funeral",_xlfn.XLOOKUP(B352,Table2[Main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Funeral",_xlfn.XLOOKUP(B352,Table2[Main Member Link ID],Table2[Benefit Name],0)&lt;&gt;Lookups!$D$14),
IF(_xlfn.XLOOKUP(B352,Table2[Main Member Link ID],Table2[Benefit Name],0)=0,"",_xlfn.XLOOKUP(B352,Table2[Main Member Link ID],Table2[Benefit Name],0)),"")))))))))))))))</f>
        <v/>
      </c>
      <c r="AF352" s="327" t="str">
        <f>IF(AND(Table2[[#This Row],[Member Type]]="Main Member",Table2[[#This Row],[Product Option]]="My Value Plus Life &amp; Funeral"),Lookups!$D$15,
IF(AND(Table2[[#This Row],[Member Type]]="Spouse",Table2[[#This Row],[Product Option]]="My Value Plus Life &amp; Funeral",_xlfn.XLOOKUP(B352,Table2[Main Member Link ID],Table2[Benefit Name],0)=Lookups!$D$14),"",
IF(AND(Table2[[#This Row],[Member Type]]="Spouse",Table2[[#This Row],[Product Option]]="My Value Plus Life &amp; Funeral",_xlfn.XLOOKUP(B351,Table2[Main Member Link ID],Table2[Benefit Name],0)=Lookups!$D$16),"",
IF(AND(Table2[[#This Row],[Member Type]]="Spouse",Table2[[#This Row],[Product Option]]="My Value Plus Life &amp; Funeral",_xlfn.XLOOKUP(B351,Table2[Main Member Link ID],Table2[Benefit Name],0)=Lookups!$D$15),"",
IF(AND(Table2[[#This Row],[Member Type]]="Spouse",Table2[[#This Row],[Product Option]]="My Value Plus Life &amp; Funeral",_xlfn.XLOOKUP(B351,Table2[Main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Funeral",_xlfn.XLOOKUP(B352,Table2[Main Member Link ID],Table2[Benefit Name],0)&lt;&gt;Lookups!$D$15),
IF(_xlfn.XLOOKUP(B352,Table2[Main Member Link ID],Table2[Benefit Name],0)=0,"",_xlfn.XLOOKUP(B352,Table2[Main Member Link ID],Table2[Benefit Name],0)),"")
))))))</f>
        <v/>
      </c>
      <c r="AG352" s="327" t="str">
        <f>IF(AND(Table2[[#This Row],[Member Type]]="Main Member",Table2[[#This Row],[Product Option]]="My Value Plus Life &amp; Funeral"),Lookups!$D$16,
IF(AND(Table2[[#This Row],[Member Type]]="Spouse",Table2[[#This Row],[Product Option]]="My Value Plus Life &amp; Funeral",_xlfn.XLOOKUP(B352,Table2[Main Member Link ID],Table2[Benefit Name],0)=Lookups!$D$14),"",
IF(AND(Table2[[#This Row],[Member Type]]="Spouse",Table2[[#This Row],[Product Option]]="My Value Plus Life &amp; Funeral",_xlfn.XLOOKUP(B351,Table2[Main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Funeral",_xlfn.XLOOKUP(B352,Table2[Main Member Link ID],Table2[Benefit Name],0)&lt;&gt;Lookups!$D$16),
IF(_xlfn.XLOOKUP(B352,Table2[Main Member Link ID],Table2[Benefit Name],0)=0,"",_xlfn.XLOOKUP(B352,Table2[Main Member Link ID],Table2[Benefit Name],0)),"")
))))</f>
        <v/>
      </c>
      <c r="AH352" s="327" t="str">
        <f>IF(AND(Table2[[#This Row],[Member Type]]="Main Member",Table2[[#This Row],[Product Option]]="My Value Plus Life &amp; Funeral"),Lookups!$D$17,
IF(AND(Table2[[#This Row],[Member Type]]="Spouse",Table2[[#This Row],[Product Option]]="My Value Plus Life &amp; Funeral",_xlfn.XLOOKUP(B352,Table2[Main Member Link ID],Table2[Benefit Name],0)=Lookups!$D$14),"",
IF(AND(Table2[[#This Row],[Member Type]]="Spouse",Table2[[#This Row],[Product Option]]="My Value Plus Life &amp; Funeral",_xlfn.XLOOKUP(B351,Table2[Main Member Link ID],Table2[Benefit Name],0)=Lookups!$D$16),"",
IF(AND(Table2[[#This Row],[Member Type]]="Child",Table2[[#This Row],[Product Option]]="My Value Plus Life &amp; Funeral"),"",
IF(AND(Table2[[#This Row],[Member Type]]="Child",Table2[[#This Row],[Product Option]]="My Value Plus Life &amp; Funeral",_xlfn.XLOOKUP(B352,Table2[Main Member Link ID],Table2[Benefit Name],0)=Lookups!$D$15),"",
IF(AND(OR(Table2[[#This Row],[Member Type]]="Spouse",Table2[[#This Row],[Member Type]]="Child"),Table2[[#This Row],[Product Option]]="My Value Plus Life &amp; Funeral",_xlfn.XLOOKUP(B352,Table2[Main Member Link ID],Table2[Benefit Name],0)&lt;&gt;Lookups!$D$17),
IF(_xlfn.XLOOKUP(B352,Table2[Main Member Link ID],Table2[Benefit Name],0)=0,"",_xlfn.XLOOKUP(B352,Table2[Main Member Link ID],Table2[Benefit Name],0)),""))))))</f>
        <v/>
      </c>
      <c r="AI352" s="328" t="str">
        <f>IF(AND(Table2[[#This Row],[Member Type]]="Main Member",Table2[[#This Row],[Table Lookup for Life Cover]]="MM_LIFE",Table2[[#This Row],[Age Next Birthday]]&lt;56),1,
IF(AND(Table2[[#This Row],[Member Type]]="Main Member",Table2[[#This Row],[Table Lookup for Life Cover]]="MM_LIFE",Table2[[#This Row],[Age Next Birthday]]&gt;=56),2,
""))</f>
        <v/>
      </c>
      <c r="AJ352" s="328">
        <f>IF(OR(Table2[[#This Row],[Member Type]]="Main Member",Table2[[#This Row],[Main Member Link ID]]=B351),1,0)</f>
        <v>1</v>
      </c>
      <c r="AK352" s="328">
        <f>IF(Table2[[#This Row],[Member Type]]=0,0,
IF(OR(Table2[[#This Row],[Member Type]]="Main Member",Table2[[#This Row],[Main Member Link ID]]&lt;&gt;B352),COUNTIFS(B:B,Table2[[#This Row],[Main Member Link ID]]),
COUNTIFS(B:B,Table2[[#This Row],[Main Member Link ID]],A:A,Table2[[#This Row],[Member Type]])))</f>
        <v>0</v>
      </c>
    </row>
    <row r="353" spans="1:37" x14ac:dyDescent="0.3">
      <c r="A353" s="284">
        <f>Table13[[#This Row],[Member Type]]</f>
        <v>0</v>
      </c>
      <c r="B353" s="284">
        <f>Table13[[#This Row],[Main Member Link ID]]</f>
        <v>0</v>
      </c>
      <c r="C353" s="284">
        <f>Table13[[#This Row],[ID Number]]</f>
        <v>0</v>
      </c>
      <c r="D353" s="285">
        <f>Table13[[#This Row],[Date Of Birth]]</f>
        <v>0</v>
      </c>
      <c r="E353" s="285">
        <f>Table13[[#This Row],[Commencement Date]]</f>
        <v>0</v>
      </c>
      <c r="F353" s="284">
        <f t="shared" si="35"/>
        <v>1</v>
      </c>
      <c r="G353" s="284">
        <f t="shared" si="36"/>
        <v>25</v>
      </c>
      <c r="H353" s="286">
        <f>Table13[[#This Row],[Product Option]]</f>
        <v>0</v>
      </c>
      <c r="I353" s="284">
        <f>IF(AND($A353="Main Member",Table2[[#This Row],[Product Option]]="My Value Plus Life"),"MM_LIFE",
IF(AND($A353="Spouse",Table2[[#This Row],[Product Option]]="My Value Plus Life"),"SP_LIFE",
IF(AND($A353="Main Member",Table2[[#This Row],[Product Option]]="My Value Plus Life &amp; Funeral"),"MM_LIFE",
IF(AND($A353="Spouse",Table2[[#This Row],[Product Option]]="My Value Plus Life &amp; Funeral"),_xlfn.XLOOKUP(Table2[[#This Row],[Benefit Name]],Lookups!$D$18:$D$23,Lookups!$E$18:$E$23,0),
0))))</f>
        <v>0</v>
      </c>
      <c r="J353" s="284">
        <f>IF($I353="","",
IF($I353="MM_LIFE",INDEX('Quotation Tool'!$S$54:$V$60,MATCH($T353,'Quotation Tool'!$S$54:$S$60,0),4),
IF($I353="SP_LIFE",_xlfn.XLOOKUP(B352,$B:$B,$J:$J,0),0)))</f>
        <v>0</v>
      </c>
      <c r="K353" s="287">
        <f t="shared" ca="1" si="40"/>
        <v>0</v>
      </c>
      <c r="L353" s="288">
        <f t="shared" ca="1" si="41"/>
        <v>0</v>
      </c>
      <c r="M353" s="289">
        <f t="shared" ca="1" si="37"/>
        <v>0</v>
      </c>
      <c r="N353" s="286">
        <f>Table13[[#This Row],[Benefit Option]]</f>
        <v>0</v>
      </c>
      <c r="O353" s="284">
        <f>IF(OR(Table2[[#This Row],[Member Type]]="Spouse",Table2[[#This Row],[Member Type]]="Child"),0,
IF(_xlfn.XLOOKUP($N353,Lookups!$D$13:$D$27,Lookups!$F$13:$F$27,0)=Table2[[#This Row],[Table Lookup for Life Cover]],0,
_xlfn.XLOOKUP($N353,Lookups!$D$13:$D$27,Lookups!$F$13:$F$27,0)))</f>
        <v>0</v>
      </c>
      <c r="P353" s="284">
        <f>IF(Table2[[#This Row],[Table Lookup for Funeral]]=0,0,IFERROR(INDEX('Quotation Tool'!$S$54:$V$60,MATCH($T353,'Quotation Tool'!$S$54:$S$60,0),3),0))</f>
        <v>0</v>
      </c>
      <c r="Q353" s="288">
        <f ca="1">IF(OR(Table2[[#This Row],[Benefit Name]]="My Value Plus Life - Main Member",Table2[[#This Row],[Benefit Name]]="My Value Plus Life - Spouse"),0,
IFERROR(VLOOKUP($G353,INDIRECT($O353),$P353,FALSE),0))</f>
        <v>0</v>
      </c>
      <c r="R353" s="288">
        <f ca="1">IF(OR(Table2[[#This Row],[Benefit Name]]="My Value Plus Life - Main Member",Table2[[#This Row],[Benefit Name]]="My Value Plus Life - Spouse"),0,
IFERROR(VLOOKUP($G353,INDIRECT($O353),$P353+1,FALSE),0))</f>
        <v>0</v>
      </c>
      <c r="S353" s="289">
        <f t="shared" ca="1" si="38"/>
        <v>0</v>
      </c>
      <c r="T353" s="284" t="str">
        <f>IF(Table13[[#This Row],[Premium Waiver]]="","None",Table13[[#This Row],[Premium Waiver]])</f>
        <v>None</v>
      </c>
      <c r="U353" s="284">
        <f>Table13[[#This Row],[VAPs Options]]</f>
        <v>0</v>
      </c>
      <c r="V353" s="284">
        <f>Table13[[#This Row],[Annual Increase Option]]</f>
        <v>0</v>
      </c>
      <c r="W353" s="290">
        <f>Table13[[#This Row],[Life Cover Amount]]</f>
        <v>0</v>
      </c>
      <c r="X353" s="290">
        <f>Table13[[#This Row],[Funeral Cover Amount]]</f>
        <v>0</v>
      </c>
      <c r="Y35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5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53" s="301">
        <f t="shared" ca="1" si="39"/>
        <v>0</v>
      </c>
      <c r="AB353" s="298"/>
      <c r="AC353" s="326" t="str">
        <f>IF(Table2[[#This Row],[Member Type]]="Main Member",Lookups!$C$13,
IF(Table2[[#This Row],[Member Type]]="Spouse",_xlfn.XLOOKUP(B353,Table2[Main Member Link ID],Table2[Product Option],0),
IF(AND(Table2[[#This Row],[Member Type]]="Child",_xlfn.XLOOKUP(B353,Table2[Main Member Link ID],Table2[Product Option],0)&lt;&gt;"My Value Plus Life"),Lookups!$C$24,
IF(AND(OR(Table2[[#This Row],[Member Type]]="Parent",Table2[[#This Row],[Member Type]]="Extended"),_xlfn.XLOOKUP(B353,Table2[Main Member Link ID],Table2[Product Option],0)&lt;&gt;"My Value Plus Life"),Lookups!$C$26,""))))</f>
        <v/>
      </c>
      <c r="AD353" s="326" t="str">
        <f>IF(Table2[[#This Row],[Member Type]]="Main Member",Lookups!$C$14,"")</f>
        <v/>
      </c>
      <c r="AE35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Funeral",_xlfn.XLOOKUP(B353,Table2[Main Member Link ID],Table2[Benefit Name],0)=Lookups!$D$14),"",
IF(AND(Table2[[#This Row],[Member Type]]="Spouse",Table2[[#This Row],[Product Option]]="My Value Plus Life &amp; Funeral",_xlfn.XLOOKUP(B352,Table2[Main Member Link ID],Table2[Benefit Name],0)=Lookups!$D$15),Lookups!$D$20,
IF(AND(Table2[[#This Row],[Member Type]]="Spouse",Table2[[#This Row],[Product Option]]="My Value Plus Life &amp; Funeral",_xlfn.XLOOKUP(B352,Table2[Main Member Link ID],Table2[Benefit Name],0)=Lookups!$D$16),"",
IF(AND(Table2[[#This Row],[Member Type]]="Spouse",Table2[[#This Row],[Product Option]]="My Value Plus Life &amp; Funeral",_xlfn.XLOOKUP(B352,Table2[Main Member Link ID],Table2[Benefit Name],0)=Lookups!$D$17),Lookups!$D$21,
IF(AND(Table2[[#This Row],[Member Type]]="Child",Table2[[#This Row],[Product Option]]="My Value Plus Life &amp; Funeral",_xlfn.XLOOKUP(B353,Table2[Main Member Link ID],Table2[Benefit Name],0)=Lookups!$D$14),"",
IF(AND(Table2[[#This Row],[Member Type]]="Child",Table2[[#This Row],[Product Option]]="My Value Plus Life &amp; Funeral",_xlfn.XLOOKUP(B353,Table2[Main Member Link ID],Table2[Benefit Name],0)=Lookups!$D$15),"",
IF(AND(Table2[[#This Row],[Member Type]]="Child",Table2[[#This Row],[Product Option]]="My Value Plus Life &amp; Funeral",_xlfn.XLOOKUP(B353,Table2[Main Member Link ID],Table2[Benefit Name],0)=Lookups!$D$16),Lookups!$D$24,
IF(AND(Table2[[#This Row],[Member Type]]="Child",Table2[[#This Row],[Product Option]]="My Value Plus Life &amp; Funeral",_xlfn.XLOOKUP(B353,Table2[Main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Funeral",_xlfn.XLOOKUP(B353,Table2[Main Member Link ID],Table2[Benefit Name],0)&lt;&gt;Lookups!$D$14),
IF(_xlfn.XLOOKUP(B353,Table2[Main Member Link ID],Table2[Benefit Name],0)=0,"",_xlfn.XLOOKUP(B353,Table2[Main Member Link ID],Table2[Benefit Name],0)),"")))))))))))))))</f>
        <v/>
      </c>
      <c r="AF353" s="327" t="str">
        <f>IF(AND(Table2[[#This Row],[Member Type]]="Main Member",Table2[[#This Row],[Product Option]]="My Value Plus Life &amp; Funeral"),Lookups!$D$15,
IF(AND(Table2[[#This Row],[Member Type]]="Spouse",Table2[[#This Row],[Product Option]]="My Value Plus Life &amp; Funeral",_xlfn.XLOOKUP(B353,Table2[Main Member Link ID],Table2[Benefit Name],0)=Lookups!$D$14),"",
IF(AND(Table2[[#This Row],[Member Type]]="Spouse",Table2[[#This Row],[Product Option]]="My Value Plus Life &amp; Funeral",_xlfn.XLOOKUP(B352,Table2[Main Member Link ID],Table2[Benefit Name],0)=Lookups!$D$16),"",
IF(AND(Table2[[#This Row],[Member Type]]="Spouse",Table2[[#This Row],[Product Option]]="My Value Plus Life &amp; Funeral",_xlfn.XLOOKUP(B352,Table2[Main Member Link ID],Table2[Benefit Name],0)=Lookups!$D$15),"",
IF(AND(Table2[[#This Row],[Member Type]]="Spouse",Table2[[#This Row],[Product Option]]="My Value Plus Life &amp; Funeral",_xlfn.XLOOKUP(B352,Table2[Main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Funeral",_xlfn.XLOOKUP(B353,Table2[Main Member Link ID],Table2[Benefit Name],0)&lt;&gt;Lookups!$D$15),
IF(_xlfn.XLOOKUP(B353,Table2[Main Member Link ID],Table2[Benefit Name],0)=0,"",_xlfn.XLOOKUP(B353,Table2[Main Member Link ID],Table2[Benefit Name],0)),"")
))))))</f>
        <v/>
      </c>
      <c r="AG353" s="327" t="str">
        <f>IF(AND(Table2[[#This Row],[Member Type]]="Main Member",Table2[[#This Row],[Product Option]]="My Value Plus Life &amp; Funeral"),Lookups!$D$16,
IF(AND(Table2[[#This Row],[Member Type]]="Spouse",Table2[[#This Row],[Product Option]]="My Value Plus Life &amp; Funeral",_xlfn.XLOOKUP(B353,Table2[Main Member Link ID],Table2[Benefit Name],0)=Lookups!$D$14),"",
IF(AND(Table2[[#This Row],[Member Type]]="Spouse",Table2[[#This Row],[Product Option]]="My Value Plus Life &amp; Funeral",_xlfn.XLOOKUP(B352,Table2[Main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Funeral",_xlfn.XLOOKUP(B353,Table2[Main Member Link ID],Table2[Benefit Name],0)&lt;&gt;Lookups!$D$16),
IF(_xlfn.XLOOKUP(B353,Table2[Main Member Link ID],Table2[Benefit Name],0)=0,"",_xlfn.XLOOKUP(B353,Table2[Main Member Link ID],Table2[Benefit Name],0)),"")
))))</f>
        <v/>
      </c>
      <c r="AH353" s="327" t="str">
        <f>IF(AND(Table2[[#This Row],[Member Type]]="Main Member",Table2[[#This Row],[Product Option]]="My Value Plus Life &amp; Funeral"),Lookups!$D$17,
IF(AND(Table2[[#This Row],[Member Type]]="Spouse",Table2[[#This Row],[Product Option]]="My Value Plus Life &amp; Funeral",_xlfn.XLOOKUP(B353,Table2[Main Member Link ID],Table2[Benefit Name],0)=Lookups!$D$14),"",
IF(AND(Table2[[#This Row],[Member Type]]="Spouse",Table2[[#This Row],[Product Option]]="My Value Plus Life &amp; Funeral",_xlfn.XLOOKUP(B352,Table2[Main Member Link ID],Table2[Benefit Name],0)=Lookups!$D$16),"",
IF(AND(Table2[[#This Row],[Member Type]]="Child",Table2[[#This Row],[Product Option]]="My Value Plus Life &amp; Funeral"),"",
IF(AND(Table2[[#This Row],[Member Type]]="Child",Table2[[#This Row],[Product Option]]="My Value Plus Life &amp; Funeral",_xlfn.XLOOKUP(B353,Table2[Main Member Link ID],Table2[Benefit Name],0)=Lookups!$D$15),"",
IF(AND(OR(Table2[[#This Row],[Member Type]]="Spouse",Table2[[#This Row],[Member Type]]="Child"),Table2[[#This Row],[Product Option]]="My Value Plus Life &amp; Funeral",_xlfn.XLOOKUP(B353,Table2[Main Member Link ID],Table2[Benefit Name],0)&lt;&gt;Lookups!$D$17),
IF(_xlfn.XLOOKUP(B353,Table2[Main Member Link ID],Table2[Benefit Name],0)=0,"",_xlfn.XLOOKUP(B353,Table2[Main Member Link ID],Table2[Benefit Name],0)),""))))))</f>
        <v/>
      </c>
      <c r="AI353" s="328" t="str">
        <f>IF(AND(Table2[[#This Row],[Member Type]]="Main Member",Table2[[#This Row],[Table Lookup for Life Cover]]="MM_LIFE",Table2[[#This Row],[Age Next Birthday]]&lt;56),1,
IF(AND(Table2[[#This Row],[Member Type]]="Main Member",Table2[[#This Row],[Table Lookup for Life Cover]]="MM_LIFE",Table2[[#This Row],[Age Next Birthday]]&gt;=56),2,
""))</f>
        <v/>
      </c>
      <c r="AJ353" s="328">
        <f>IF(OR(Table2[[#This Row],[Member Type]]="Main Member",Table2[[#This Row],[Main Member Link ID]]=B352),1,0)</f>
        <v>1</v>
      </c>
      <c r="AK353" s="328">
        <f>IF(Table2[[#This Row],[Member Type]]=0,0,
IF(OR(Table2[[#This Row],[Member Type]]="Main Member",Table2[[#This Row],[Main Member Link ID]]&lt;&gt;B353),COUNTIFS(B:B,Table2[[#This Row],[Main Member Link ID]]),
COUNTIFS(B:B,Table2[[#This Row],[Main Member Link ID]],A:A,Table2[[#This Row],[Member Type]])))</f>
        <v>0</v>
      </c>
    </row>
    <row r="354" spans="1:37" x14ac:dyDescent="0.3">
      <c r="A354" s="284">
        <f>Table13[[#This Row],[Member Type]]</f>
        <v>0</v>
      </c>
      <c r="B354" s="284">
        <f>Table13[[#This Row],[Main Member Link ID]]</f>
        <v>0</v>
      </c>
      <c r="C354" s="284">
        <f>Table13[[#This Row],[ID Number]]</f>
        <v>0</v>
      </c>
      <c r="D354" s="285">
        <f>Table13[[#This Row],[Date Of Birth]]</f>
        <v>0</v>
      </c>
      <c r="E354" s="285">
        <f>Table13[[#This Row],[Commencement Date]]</f>
        <v>0</v>
      </c>
      <c r="F354" s="284">
        <f t="shared" si="35"/>
        <v>1</v>
      </c>
      <c r="G354" s="284">
        <f t="shared" si="36"/>
        <v>25</v>
      </c>
      <c r="H354" s="286">
        <f>Table13[[#This Row],[Product Option]]</f>
        <v>0</v>
      </c>
      <c r="I354" s="284">
        <f>IF(AND($A354="Main Member",Table2[[#This Row],[Product Option]]="My Value Plus Life"),"MM_LIFE",
IF(AND($A354="Spouse",Table2[[#This Row],[Product Option]]="My Value Plus Life"),"SP_LIFE",
IF(AND($A354="Main Member",Table2[[#This Row],[Product Option]]="My Value Plus Life &amp; Funeral"),"MM_LIFE",
IF(AND($A354="Spouse",Table2[[#This Row],[Product Option]]="My Value Plus Life &amp; Funeral"),_xlfn.XLOOKUP(Table2[[#This Row],[Benefit Name]],Lookups!$D$18:$D$23,Lookups!$E$18:$E$23,0),
0))))</f>
        <v>0</v>
      </c>
      <c r="J354" s="284">
        <f>IF($I354="","",
IF($I354="MM_LIFE",INDEX('Quotation Tool'!$S$54:$V$60,MATCH($T354,'Quotation Tool'!$S$54:$S$60,0),4),
IF($I354="SP_LIFE",_xlfn.XLOOKUP(B353,$B:$B,$J:$J,0),0)))</f>
        <v>0</v>
      </c>
      <c r="K354" s="287">
        <f t="shared" ca="1" si="40"/>
        <v>0</v>
      </c>
      <c r="L354" s="288">
        <f t="shared" ca="1" si="41"/>
        <v>0</v>
      </c>
      <c r="M354" s="289">
        <f t="shared" ca="1" si="37"/>
        <v>0</v>
      </c>
      <c r="N354" s="286">
        <f>Table13[[#This Row],[Benefit Option]]</f>
        <v>0</v>
      </c>
      <c r="O354" s="284">
        <f>IF(OR(Table2[[#This Row],[Member Type]]="Spouse",Table2[[#This Row],[Member Type]]="Child"),0,
IF(_xlfn.XLOOKUP($N354,Lookups!$D$13:$D$27,Lookups!$F$13:$F$27,0)=Table2[[#This Row],[Table Lookup for Life Cover]],0,
_xlfn.XLOOKUP($N354,Lookups!$D$13:$D$27,Lookups!$F$13:$F$27,0)))</f>
        <v>0</v>
      </c>
      <c r="P354" s="284">
        <f>IF(Table2[[#This Row],[Table Lookup for Funeral]]=0,0,IFERROR(INDEX('Quotation Tool'!$S$54:$V$60,MATCH($T354,'Quotation Tool'!$S$54:$S$60,0),3),0))</f>
        <v>0</v>
      </c>
      <c r="Q354" s="288">
        <f ca="1">IF(OR(Table2[[#This Row],[Benefit Name]]="My Value Plus Life - Main Member",Table2[[#This Row],[Benefit Name]]="My Value Plus Life - Spouse"),0,
IFERROR(VLOOKUP($G354,INDIRECT($O354),$P354,FALSE),0))</f>
        <v>0</v>
      </c>
      <c r="R354" s="288">
        <f ca="1">IF(OR(Table2[[#This Row],[Benefit Name]]="My Value Plus Life - Main Member",Table2[[#This Row],[Benefit Name]]="My Value Plus Life - Spouse"),0,
IFERROR(VLOOKUP($G354,INDIRECT($O354),$P354+1,FALSE),0))</f>
        <v>0</v>
      </c>
      <c r="S354" s="289">
        <f t="shared" ca="1" si="38"/>
        <v>0</v>
      </c>
      <c r="T354" s="284" t="str">
        <f>IF(Table13[[#This Row],[Premium Waiver]]="","None",Table13[[#This Row],[Premium Waiver]])</f>
        <v>None</v>
      </c>
      <c r="U354" s="284">
        <f>Table13[[#This Row],[VAPs Options]]</f>
        <v>0</v>
      </c>
      <c r="V354" s="284">
        <f>Table13[[#This Row],[Annual Increase Option]]</f>
        <v>0</v>
      </c>
      <c r="W354" s="290">
        <f>Table13[[#This Row],[Life Cover Amount]]</f>
        <v>0</v>
      </c>
      <c r="X354" s="290">
        <f>Table13[[#This Row],[Funeral Cover Amount]]</f>
        <v>0</v>
      </c>
      <c r="Y35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5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54" s="301">
        <f t="shared" ca="1" si="39"/>
        <v>0</v>
      </c>
      <c r="AB354" s="298"/>
      <c r="AC354" s="326" t="str">
        <f>IF(Table2[[#This Row],[Member Type]]="Main Member",Lookups!$C$13,
IF(Table2[[#This Row],[Member Type]]="Spouse",_xlfn.XLOOKUP(B354,Table2[Main Member Link ID],Table2[Product Option],0),
IF(AND(Table2[[#This Row],[Member Type]]="Child",_xlfn.XLOOKUP(B354,Table2[Main Member Link ID],Table2[Product Option],0)&lt;&gt;"My Value Plus Life"),Lookups!$C$24,
IF(AND(OR(Table2[[#This Row],[Member Type]]="Parent",Table2[[#This Row],[Member Type]]="Extended"),_xlfn.XLOOKUP(B354,Table2[Main Member Link ID],Table2[Product Option],0)&lt;&gt;"My Value Plus Life"),Lookups!$C$26,""))))</f>
        <v/>
      </c>
      <c r="AD354" s="326" t="str">
        <f>IF(Table2[[#This Row],[Member Type]]="Main Member",Lookups!$C$14,"")</f>
        <v/>
      </c>
      <c r="AE35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Funeral",_xlfn.XLOOKUP(B354,Table2[Main Member Link ID],Table2[Benefit Name],0)=Lookups!$D$14),"",
IF(AND(Table2[[#This Row],[Member Type]]="Spouse",Table2[[#This Row],[Product Option]]="My Value Plus Life &amp; Funeral",_xlfn.XLOOKUP(B353,Table2[Main Member Link ID],Table2[Benefit Name],0)=Lookups!$D$15),Lookups!$D$20,
IF(AND(Table2[[#This Row],[Member Type]]="Spouse",Table2[[#This Row],[Product Option]]="My Value Plus Life &amp; Funeral",_xlfn.XLOOKUP(B353,Table2[Main Member Link ID],Table2[Benefit Name],0)=Lookups!$D$16),"",
IF(AND(Table2[[#This Row],[Member Type]]="Spouse",Table2[[#This Row],[Product Option]]="My Value Plus Life &amp; Funeral",_xlfn.XLOOKUP(B353,Table2[Main Member Link ID],Table2[Benefit Name],0)=Lookups!$D$17),Lookups!$D$21,
IF(AND(Table2[[#This Row],[Member Type]]="Child",Table2[[#This Row],[Product Option]]="My Value Plus Life &amp; Funeral",_xlfn.XLOOKUP(B354,Table2[Main Member Link ID],Table2[Benefit Name],0)=Lookups!$D$14),"",
IF(AND(Table2[[#This Row],[Member Type]]="Child",Table2[[#This Row],[Product Option]]="My Value Plus Life &amp; Funeral",_xlfn.XLOOKUP(B354,Table2[Main Member Link ID],Table2[Benefit Name],0)=Lookups!$D$15),"",
IF(AND(Table2[[#This Row],[Member Type]]="Child",Table2[[#This Row],[Product Option]]="My Value Plus Life &amp; Funeral",_xlfn.XLOOKUP(B354,Table2[Main Member Link ID],Table2[Benefit Name],0)=Lookups!$D$16),Lookups!$D$24,
IF(AND(Table2[[#This Row],[Member Type]]="Child",Table2[[#This Row],[Product Option]]="My Value Plus Life &amp; Funeral",_xlfn.XLOOKUP(B354,Table2[Main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Funeral",_xlfn.XLOOKUP(B354,Table2[Main Member Link ID],Table2[Benefit Name],0)&lt;&gt;Lookups!$D$14),
IF(_xlfn.XLOOKUP(B354,Table2[Main Member Link ID],Table2[Benefit Name],0)=0,"",_xlfn.XLOOKUP(B354,Table2[Main Member Link ID],Table2[Benefit Name],0)),"")))))))))))))))</f>
        <v/>
      </c>
      <c r="AF354" s="327" t="str">
        <f>IF(AND(Table2[[#This Row],[Member Type]]="Main Member",Table2[[#This Row],[Product Option]]="My Value Plus Life &amp; Funeral"),Lookups!$D$15,
IF(AND(Table2[[#This Row],[Member Type]]="Spouse",Table2[[#This Row],[Product Option]]="My Value Plus Life &amp; Funeral",_xlfn.XLOOKUP(B354,Table2[Main Member Link ID],Table2[Benefit Name],0)=Lookups!$D$14),"",
IF(AND(Table2[[#This Row],[Member Type]]="Spouse",Table2[[#This Row],[Product Option]]="My Value Plus Life &amp; Funeral",_xlfn.XLOOKUP(B353,Table2[Main Member Link ID],Table2[Benefit Name],0)=Lookups!$D$16),"",
IF(AND(Table2[[#This Row],[Member Type]]="Spouse",Table2[[#This Row],[Product Option]]="My Value Plus Life &amp; Funeral",_xlfn.XLOOKUP(B353,Table2[Main Member Link ID],Table2[Benefit Name],0)=Lookups!$D$15),"",
IF(AND(Table2[[#This Row],[Member Type]]="Spouse",Table2[[#This Row],[Product Option]]="My Value Plus Life &amp; Funeral",_xlfn.XLOOKUP(B353,Table2[Main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Funeral",_xlfn.XLOOKUP(B354,Table2[Main Member Link ID],Table2[Benefit Name],0)&lt;&gt;Lookups!$D$15),
IF(_xlfn.XLOOKUP(B354,Table2[Main Member Link ID],Table2[Benefit Name],0)=0,"",_xlfn.XLOOKUP(B354,Table2[Main Member Link ID],Table2[Benefit Name],0)),"")
))))))</f>
        <v/>
      </c>
      <c r="AG354" s="327" t="str">
        <f>IF(AND(Table2[[#This Row],[Member Type]]="Main Member",Table2[[#This Row],[Product Option]]="My Value Plus Life &amp; Funeral"),Lookups!$D$16,
IF(AND(Table2[[#This Row],[Member Type]]="Spouse",Table2[[#This Row],[Product Option]]="My Value Plus Life &amp; Funeral",_xlfn.XLOOKUP(B354,Table2[Main Member Link ID],Table2[Benefit Name],0)=Lookups!$D$14),"",
IF(AND(Table2[[#This Row],[Member Type]]="Spouse",Table2[[#This Row],[Product Option]]="My Value Plus Life &amp; Funeral",_xlfn.XLOOKUP(B353,Table2[Main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Funeral",_xlfn.XLOOKUP(B354,Table2[Main Member Link ID],Table2[Benefit Name],0)&lt;&gt;Lookups!$D$16),
IF(_xlfn.XLOOKUP(B354,Table2[Main Member Link ID],Table2[Benefit Name],0)=0,"",_xlfn.XLOOKUP(B354,Table2[Main Member Link ID],Table2[Benefit Name],0)),"")
))))</f>
        <v/>
      </c>
      <c r="AH354" s="327" t="str">
        <f>IF(AND(Table2[[#This Row],[Member Type]]="Main Member",Table2[[#This Row],[Product Option]]="My Value Plus Life &amp; Funeral"),Lookups!$D$17,
IF(AND(Table2[[#This Row],[Member Type]]="Spouse",Table2[[#This Row],[Product Option]]="My Value Plus Life &amp; Funeral",_xlfn.XLOOKUP(B354,Table2[Main Member Link ID],Table2[Benefit Name],0)=Lookups!$D$14),"",
IF(AND(Table2[[#This Row],[Member Type]]="Spouse",Table2[[#This Row],[Product Option]]="My Value Plus Life &amp; Funeral",_xlfn.XLOOKUP(B353,Table2[Main Member Link ID],Table2[Benefit Name],0)=Lookups!$D$16),"",
IF(AND(Table2[[#This Row],[Member Type]]="Child",Table2[[#This Row],[Product Option]]="My Value Plus Life &amp; Funeral"),"",
IF(AND(Table2[[#This Row],[Member Type]]="Child",Table2[[#This Row],[Product Option]]="My Value Plus Life &amp; Funeral",_xlfn.XLOOKUP(B354,Table2[Main Member Link ID],Table2[Benefit Name],0)=Lookups!$D$15),"",
IF(AND(OR(Table2[[#This Row],[Member Type]]="Spouse",Table2[[#This Row],[Member Type]]="Child"),Table2[[#This Row],[Product Option]]="My Value Plus Life &amp; Funeral",_xlfn.XLOOKUP(B354,Table2[Main Member Link ID],Table2[Benefit Name],0)&lt;&gt;Lookups!$D$17),
IF(_xlfn.XLOOKUP(B354,Table2[Main Member Link ID],Table2[Benefit Name],0)=0,"",_xlfn.XLOOKUP(B354,Table2[Main Member Link ID],Table2[Benefit Name],0)),""))))))</f>
        <v/>
      </c>
      <c r="AI354" s="328" t="str">
        <f>IF(AND(Table2[[#This Row],[Member Type]]="Main Member",Table2[[#This Row],[Table Lookup for Life Cover]]="MM_LIFE",Table2[[#This Row],[Age Next Birthday]]&lt;56),1,
IF(AND(Table2[[#This Row],[Member Type]]="Main Member",Table2[[#This Row],[Table Lookup for Life Cover]]="MM_LIFE",Table2[[#This Row],[Age Next Birthday]]&gt;=56),2,
""))</f>
        <v/>
      </c>
      <c r="AJ354" s="328">
        <f>IF(OR(Table2[[#This Row],[Member Type]]="Main Member",Table2[[#This Row],[Main Member Link ID]]=B353),1,0)</f>
        <v>1</v>
      </c>
      <c r="AK354" s="328">
        <f>IF(Table2[[#This Row],[Member Type]]=0,0,
IF(OR(Table2[[#This Row],[Member Type]]="Main Member",Table2[[#This Row],[Main Member Link ID]]&lt;&gt;B354),COUNTIFS(B:B,Table2[[#This Row],[Main Member Link ID]]),
COUNTIFS(B:B,Table2[[#This Row],[Main Member Link ID]],A:A,Table2[[#This Row],[Member Type]])))</f>
        <v>0</v>
      </c>
    </row>
    <row r="355" spans="1:37" x14ac:dyDescent="0.3">
      <c r="A355" s="284">
        <f>Table13[[#This Row],[Member Type]]</f>
        <v>0</v>
      </c>
      <c r="B355" s="284">
        <f>Table13[[#This Row],[Main Member Link ID]]</f>
        <v>0</v>
      </c>
      <c r="C355" s="284">
        <f>Table13[[#This Row],[ID Number]]</f>
        <v>0</v>
      </c>
      <c r="D355" s="285">
        <f>Table13[[#This Row],[Date Of Birth]]</f>
        <v>0</v>
      </c>
      <c r="E355" s="285">
        <f>Table13[[#This Row],[Commencement Date]]</f>
        <v>0</v>
      </c>
      <c r="F355" s="284">
        <f t="shared" si="35"/>
        <v>1</v>
      </c>
      <c r="G355" s="284">
        <f t="shared" si="36"/>
        <v>25</v>
      </c>
      <c r="H355" s="286">
        <f>Table13[[#This Row],[Product Option]]</f>
        <v>0</v>
      </c>
      <c r="I355" s="284">
        <f>IF(AND($A355="Main Member",Table2[[#This Row],[Product Option]]="My Value Plus Life"),"MM_LIFE",
IF(AND($A355="Spouse",Table2[[#This Row],[Product Option]]="My Value Plus Life"),"SP_LIFE",
IF(AND($A355="Main Member",Table2[[#This Row],[Product Option]]="My Value Plus Life &amp; Funeral"),"MM_LIFE",
IF(AND($A355="Spouse",Table2[[#This Row],[Product Option]]="My Value Plus Life &amp; Funeral"),_xlfn.XLOOKUP(Table2[[#This Row],[Benefit Name]],Lookups!$D$18:$D$23,Lookups!$E$18:$E$23,0),
0))))</f>
        <v>0</v>
      </c>
      <c r="J355" s="284">
        <f>IF($I355="","",
IF($I355="MM_LIFE",INDEX('Quotation Tool'!$S$54:$V$60,MATCH($T355,'Quotation Tool'!$S$54:$S$60,0),4),
IF($I355="SP_LIFE",_xlfn.XLOOKUP(B354,$B:$B,$J:$J,0),0)))</f>
        <v>0</v>
      </c>
      <c r="K355" s="287">
        <f t="shared" ca="1" si="40"/>
        <v>0</v>
      </c>
      <c r="L355" s="288">
        <f t="shared" ca="1" si="41"/>
        <v>0</v>
      </c>
      <c r="M355" s="289">
        <f t="shared" ca="1" si="37"/>
        <v>0</v>
      </c>
      <c r="N355" s="286">
        <f>Table13[[#This Row],[Benefit Option]]</f>
        <v>0</v>
      </c>
      <c r="O355" s="284">
        <f>IF(OR(Table2[[#This Row],[Member Type]]="Spouse",Table2[[#This Row],[Member Type]]="Child"),0,
IF(_xlfn.XLOOKUP($N355,Lookups!$D$13:$D$27,Lookups!$F$13:$F$27,0)=Table2[[#This Row],[Table Lookup for Life Cover]],0,
_xlfn.XLOOKUP($N355,Lookups!$D$13:$D$27,Lookups!$F$13:$F$27,0)))</f>
        <v>0</v>
      </c>
      <c r="P355" s="284">
        <f>IF(Table2[[#This Row],[Table Lookup for Funeral]]=0,0,IFERROR(INDEX('Quotation Tool'!$S$54:$V$60,MATCH($T355,'Quotation Tool'!$S$54:$S$60,0),3),0))</f>
        <v>0</v>
      </c>
      <c r="Q355" s="288">
        <f ca="1">IF(OR(Table2[[#This Row],[Benefit Name]]="My Value Plus Life - Main Member",Table2[[#This Row],[Benefit Name]]="My Value Plus Life - Spouse"),0,
IFERROR(VLOOKUP($G355,INDIRECT($O355),$P355,FALSE),0))</f>
        <v>0</v>
      </c>
      <c r="R355" s="288">
        <f ca="1">IF(OR(Table2[[#This Row],[Benefit Name]]="My Value Plus Life - Main Member",Table2[[#This Row],[Benefit Name]]="My Value Plus Life - Spouse"),0,
IFERROR(VLOOKUP($G355,INDIRECT($O355),$P355+1,FALSE),0))</f>
        <v>0</v>
      </c>
      <c r="S355" s="289">
        <f t="shared" ca="1" si="38"/>
        <v>0</v>
      </c>
      <c r="T355" s="284" t="str">
        <f>IF(Table13[[#This Row],[Premium Waiver]]="","None",Table13[[#This Row],[Premium Waiver]])</f>
        <v>None</v>
      </c>
      <c r="U355" s="284">
        <f>Table13[[#This Row],[VAPs Options]]</f>
        <v>0</v>
      </c>
      <c r="V355" s="284">
        <f>Table13[[#This Row],[Annual Increase Option]]</f>
        <v>0</v>
      </c>
      <c r="W355" s="290">
        <f>Table13[[#This Row],[Life Cover Amount]]</f>
        <v>0</v>
      </c>
      <c r="X355" s="290">
        <f>Table13[[#This Row],[Funeral Cover Amount]]</f>
        <v>0</v>
      </c>
      <c r="Y35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5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55" s="301">
        <f t="shared" ca="1" si="39"/>
        <v>0</v>
      </c>
      <c r="AB355" s="298"/>
      <c r="AC355" s="326" t="str">
        <f>IF(Table2[[#This Row],[Member Type]]="Main Member",Lookups!$C$13,
IF(Table2[[#This Row],[Member Type]]="Spouse",_xlfn.XLOOKUP(B355,Table2[Main Member Link ID],Table2[Product Option],0),
IF(AND(Table2[[#This Row],[Member Type]]="Child",_xlfn.XLOOKUP(B355,Table2[Main Member Link ID],Table2[Product Option],0)&lt;&gt;"My Value Plus Life"),Lookups!$C$24,
IF(AND(OR(Table2[[#This Row],[Member Type]]="Parent",Table2[[#This Row],[Member Type]]="Extended"),_xlfn.XLOOKUP(B355,Table2[Main Member Link ID],Table2[Product Option],0)&lt;&gt;"My Value Plus Life"),Lookups!$C$26,""))))</f>
        <v/>
      </c>
      <c r="AD355" s="326" t="str">
        <f>IF(Table2[[#This Row],[Member Type]]="Main Member",Lookups!$C$14,"")</f>
        <v/>
      </c>
      <c r="AE35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Funeral",_xlfn.XLOOKUP(B355,Table2[Main Member Link ID],Table2[Benefit Name],0)=Lookups!$D$14),"",
IF(AND(Table2[[#This Row],[Member Type]]="Spouse",Table2[[#This Row],[Product Option]]="My Value Plus Life &amp; Funeral",_xlfn.XLOOKUP(B354,Table2[Main Member Link ID],Table2[Benefit Name],0)=Lookups!$D$15),Lookups!$D$20,
IF(AND(Table2[[#This Row],[Member Type]]="Spouse",Table2[[#This Row],[Product Option]]="My Value Plus Life &amp; Funeral",_xlfn.XLOOKUP(B354,Table2[Main Member Link ID],Table2[Benefit Name],0)=Lookups!$D$16),"",
IF(AND(Table2[[#This Row],[Member Type]]="Spouse",Table2[[#This Row],[Product Option]]="My Value Plus Life &amp; Funeral",_xlfn.XLOOKUP(B354,Table2[Main Member Link ID],Table2[Benefit Name],0)=Lookups!$D$17),Lookups!$D$21,
IF(AND(Table2[[#This Row],[Member Type]]="Child",Table2[[#This Row],[Product Option]]="My Value Plus Life &amp; Funeral",_xlfn.XLOOKUP(B355,Table2[Main Member Link ID],Table2[Benefit Name],0)=Lookups!$D$14),"",
IF(AND(Table2[[#This Row],[Member Type]]="Child",Table2[[#This Row],[Product Option]]="My Value Plus Life &amp; Funeral",_xlfn.XLOOKUP(B355,Table2[Main Member Link ID],Table2[Benefit Name],0)=Lookups!$D$15),"",
IF(AND(Table2[[#This Row],[Member Type]]="Child",Table2[[#This Row],[Product Option]]="My Value Plus Life &amp; Funeral",_xlfn.XLOOKUP(B355,Table2[Main Member Link ID],Table2[Benefit Name],0)=Lookups!$D$16),Lookups!$D$24,
IF(AND(Table2[[#This Row],[Member Type]]="Child",Table2[[#This Row],[Product Option]]="My Value Plus Life &amp; Funeral",_xlfn.XLOOKUP(B355,Table2[Main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Funeral",_xlfn.XLOOKUP(B355,Table2[Main Member Link ID],Table2[Benefit Name],0)&lt;&gt;Lookups!$D$14),
IF(_xlfn.XLOOKUP(B355,Table2[Main Member Link ID],Table2[Benefit Name],0)=0,"",_xlfn.XLOOKUP(B355,Table2[Main Member Link ID],Table2[Benefit Name],0)),"")))))))))))))))</f>
        <v/>
      </c>
      <c r="AF355" s="327" t="str">
        <f>IF(AND(Table2[[#This Row],[Member Type]]="Main Member",Table2[[#This Row],[Product Option]]="My Value Plus Life &amp; Funeral"),Lookups!$D$15,
IF(AND(Table2[[#This Row],[Member Type]]="Spouse",Table2[[#This Row],[Product Option]]="My Value Plus Life &amp; Funeral",_xlfn.XLOOKUP(B355,Table2[Main Member Link ID],Table2[Benefit Name],0)=Lookups!$D$14),"",
IF(AND(Table2[[#This Row],[Member Type]]="Spouse",Table2[[#This Row],[Product Option]]="My Value Plus Life &amp; Funeral",_xlfn.XLOOKUP(B354,Table2[Main Member Link ID],Table2[Benefit Name],0)=Lookups!$D$16),"",
IF(AND(Table2[[#This Row],[Member Type]]="Spouse",Table2[[#This Row],[Product Option]]="My Value Plus Life &amp; Funeral",_xlfn.XLOOKUP(B354,Table2[Main Member Link ID],Table2[Benefit Name],0)=Lookups!$D$15),"",
IF(AND(Table2[[#This Row],[Member Type]]="Spouse",Table2[[#This Row],[Product Option]]="My Value Plus Life &amp; Funeral",_xlfn.XLOOKUP(B354,Table2[Main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Funeral",_xlfn.XLOOKUP(B355,Table2[Main Member Link ID],Table2[Benefit Name],0)&lt;&gt;Lookups!$D$15),
IF(_xlfn.XLOOKUP(B355,Table2[Main Member Link ID],Table2[Benefit Name],0)=0,"",_xlfn.XLOOKUP(B355,Table2[Main Member Link ID],Table2[Benefit Name],0)),"")
))))))</f>
        <v/>
      </c>
      <c r="AG355" s="327" t="str">
        <f>IF(AND(Table2[[#This Row],[Member Type]]="Main Member",Table2[[#This Row],[Product Option]]="My Value Plus Life &amp; Funeral"),Lookups!$D$16,
IF(AND(Table2[[#This Row],[Member Type]]="Spouse",Table2[[#This Row],[Product Option]]="My Value Plus Life &amp; Funeral",_xlfn.XLOOKUP(B355,Table2[Main Member Link ID],Table2[Benefit Name],0)=Lookups!$D$14),"",
IF(AND(Table2[[#This Row],[Member Type]]="Spouse",Table2[[#This Row],[Product Option]]="My Value Plus Life &amp; Funeral",_xlfn.XLOOKUP(B354,Table2[Main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Funeral",_xlfn.XLOOKUP(B355,Table2[Main Member Link ID],Table2[Benefit Name],0)&lt;&gt;Lookups!$D$16),
IF(_xlfn.XLOOKUP(B355,Table2[Main Member Link ID],Table2[Benefit Name],0)=0,"",_xlfn.XLOOKUP(B355,Table2[Main Member Link ID],Table2[Benefit Name],0)),"")
))))</f>
        <v/>
      </c>
      <c r="AH355" s="327" t="str">
        <f>IF(AND(Table2[[#This Row],[Member Type]]="Main Member",Table2[[#This Row],[Product Option]]="My Value Plus Life &amp; Funeral"),Lookups!$D$17,
IF(AND(Table2[[#This Row],[Member Type]]="Spouse",Table2[[#This Row],[Product Option]]="My Value Plus Life &amp; Funeral",_xlfn.XLOOKUP(B355,Table2[Main Member Link ID],Table2[Benefit Name],0)=Lookups!$D$14),"",
IF(AND(Table2[[#This Row],[Member Type]]="Spouse",Table2[[#This Row],[Product Option]]="My Value Plus Life &amp; Funeral",_xlfn.XLOOKUP(B354,Table2[Main Member Link ID],Table2[Benefit Name],0)=Lookups!$D$16),"",
IF(AND(Table2[[#This Row],[Member Type]]="Child",Table2[[#This Row],[Product Option]]="My Value Plus Life &amp; Funeral"),"",
IF(AND(Table2[[#This Row],[Member Type]]="Child",Table2[[#This Row],[Product Option]]="My Value Plus Life &amp; Funeral",_xlfn.XLOOKUP(B355,Table2[Main Member Link ID],Table2[Benefit Name],0)=Lookups!$D$15),"",
IF(AND(OR(Table2[[#This Row],[Member Type]]="Spouse",Table2[[#This Row],[Member Type]]="Child"),Table2[[#This Row],[Product Option]]="My Value Plus Life &amp; Funeral",_xlfn.XLOOKUP(B355,Table2[Main Member Link ID],Table2[Benefit Name],0)&lt;&gt;Lookups!$D$17),
IF(_xlfn.XLOOKUP(B355,Table2[Main Member Link ID],Table2[Benefit Name],0)=0,"",_xlfn.XLOOKUP(B355,Table2[Main Member Link ID],Table2[Benefit Name],0)),""))))))</f>
        <v/>
      </c>
      <c r="AI355" s="328" t="str">
        <f>IF(AND(Table2[[#This Row],[Member Type]]="Main Member",Table2[[#This Row],[Table Lookup for Life Cover]]="MM_LIFE",Table2[[#This Row],[Age Next Birthday]]&lt;56),1,
IF(AND(Table2[[#This Row],[Member Type]]="Main Member",Table2[[#This Row],[Table Lookup for Life Cover]]="MM_LIFE",Table2[[#This Row],[Age Next Birthday]]&gt;=56),2,
""))</f>
        <v/>
      </c>
      <c r="AJ355" s="328">
        <f>IF(OR(Table2[[#This Row],[Member Type]]="Main Member",Table2[[#This Row],[Main Member Link ID]]=B354),1,0)</f>
        <v>1</v>
      </c>
      <c r="AK355" s="328">
        <f>IF(Table2[[#This Row],[Member Type]]=0,0,
IF(OR(Table2[[#This Row],[Member Type]]="Main Member",Table2[[#This Row],[Main Member Link ID]]&lt;&gt;B355),COUNTIFS(B:B,Table2[[#This Row],[Main Member Link ID]]),
COUNTIFS(B:B,Table2[[#This Row],[Main Member Link ID]],A:A,Table2[[#This Row],[Member Type]])))</f>
        <v>0</v>
      </c>
    </row>
    <row r="356" spans="1:37" x14ac:dyDescent="0.3">
      <c r="A356" s="284">
        <f>Table13[[#This Row],[Member Type]]</f>
        <v>0</v>
      </c>
      <c r="B356" s="284">
        <f>Table13[[#This Row],[Main Member Link ID]]</f>
        <v>0</v>
      </c>
      <c r="C356" s="284">
        <f>Table13[[#This Row],[ID Number]]</f>
        <v>0</v>
      </c>
      <c r="D356" s="285">
        <f>Table13[[#This Row],[Date Of Birth]]</f>
        <v>0</v>
      </c>
      <c r="E356" s="285">
        <f>Table13[[#This Row],[Commencement Date]]</f>
        <v>0</v>
      </c>
      <c r="F356" s="284">
        <f t="shared" si="35"/>
        <v>1</v>
      </c>
      <c r="G356" s="284">
        <f t="shared" si="36"/>
        <v>25</v>
      </c>
      <c r="H356" s="286">
        <f>Table13[[#This Row],[Product Option]]</f>
        <v>0</v>
      </c>
      <c r="I356" s="284">
        <f>IF(AND($A356="Main Member",Table2[[#This Row],[Product Option]]="My Value Plus Life"),"MM_LIFE",
IF(AND($A356="Spouse",Table2[[#This Row],[Product Option]]="My Value Plus Life"),"SP_LIFE",
IF(AND($A356="Main Member",Table2[[#This Row],[Product Option]]="My Value Plus Life &amp; Funeral"),"MM_LIFE",
IF(AND($A356="Spouse",Table2[[#This Row],[Product Option]]="My Value Plus Life &amp; Funeral"),_xlfn.XLOOKUP(Table2[[#This Row],[Benefit Name]],Lookups!$D$18:$D$23,Lookups!$E$18:$E$23,0),
0))))</f>
        <v>0</v>
      </c>
      <c r="J356" s="284">
        <f>IF($I356="","",
IF($I356="MM_LIFE",INDEX('Quotation Tool'!$S$54:$V$60,MATCH($T356,'Quotation Tool'!$S$54:$S$60,0),4),
IF($I356="SP_LIFE",_xlfn.XLOOKUP(B355,$B:$B,$J:$J,0),0)))</f>
        <v>0</v>
      </c>
      <c r="K356" s="287">
        <f t="shared" ca="1" si="40"/>
        <v>0</v>
      </c>
      <c r="L356" s="288">
        <f t="shared" ca="1" si="41"/>
        <v>0</v>
      </c>
      <c r="M356" s="289">
        <f t="shared" ca="1" si="37"/>
        <v>0</v>
      </c>
      <c r="N356" s="286">
        <f>Table13[[#This Row],[Benefit Option]]</f>
        <v>0</v>
      </c>
      <c r="O356" s="284">
        <f>IF(OR(Table2[[#This Row],[Member Type]]="Spouse",Table2[[#This Row],[Member Type]]="Child"),0,
IF(_xlfn.XLOOKUP($N356,Lookups!$D$13:$D$27,Lookups!$F$13:$F$27,0)=Table2[[#This Row],[Table Lookup for Life Cover]],0,
_xlfn.XLOOKUP($N356,Lookups!$D$13:$D$27,Lookups!$F$13:$F$27,0)))</f>
        <v>0</v>
      </c>
      <c r="P356" s="284">
        <f>IF(Table2[[#This Row],[Table Lookup for Funeral]]=0,0,IFERROR(INDEX('Quotation Tool'!$S$54:$V$60,MATCH($T356,'Quotation Tool'!$S$54:$S$60,0),3),0))</f>
        <v>0</v>
      </c>
      <c r="Q356" s="288">
        <f ca="1">IF(OR(Table2[[#This Row],[Benefit Name]]="My Value Plus Life - Main Member",Table2[[#This Row],[Benefit Name]]="My Value Plus Life - Spouse"),0,
IFERROR(VLOOKUP($G356,INDIRECT($O356),$P356,FALSE),0))</f>
        <v>0</v>
      </c>
      <c r="R356" s="288">
        <f ca="1">IF(OR(Table2[[#This Row],[Benefit Name]]="My Value Plus Life - Main Member",Table2[[#This Row],[Benefit Name]]="My Value Plus Life - Spouse"),0,
IFERROR(VLOOKUP($G356,INDIRECT($O356),$P356+1,FALSE),0))</f>
        <v>0</v>
      </c>
      <c r="S356" s="289">
        <f t="shared" ca="1" si="38"/>
        <v>0</v>
      </c>
      <c r="T356" s="284" t="str">
        <f>IF(Table13[[#This Row],[Premium Waiver]]="","None",Table13[[#This Row],[Premium Waiver]])</f>
        <v>None</v>
      </c>
      <c r="U356" s="284">
        <f>Table13[[#This Row],[VAPs Options]]</f>
        <v>0</v>
      </c>
      <c r="V356" s="284">
        <f>Table13[[#This Row],[Annual Increase Option]]</f>
        <v>0</v>
      </c>
      <c r="W356" s="290">
        <f>Table13[[#This Row],[Life Cover Amount]]</f>
        <v>0</v>
      </c>
      <c r="X356" s="290">
        <f>Table13[[#This Row],[Funeral Cover Amount]]</f>
        <v>0</v>
      </c>
      <c r="Y35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5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56" s="301">
        <f t="shared" ca="1" si="39"/>
        <v>0</v>
      </c>
      <c r="AB356" s="298"/>
      <c r="AC356" s="326" t="str">
        <f>IF(Table2[[#This Row],[Member Type]]="Main Member",Lookups!$C$13,
IF(Table2[[#This Row],[Member Type]]="Spouse",_xlfn.XLOOKUP(B356,Table2[Main Member Link ID],Table2[Product Option],0),
IF(AND(Table2[[#This Row],[Member Type]]="Child",_xlfn.XLOOKUP(B356,Table2[Main Member Link ID],Table2[Product Option],0)&lt;&gt;"My Value Plus Life"),Lookups!$C$24,
IF(AND(OR(Table2[[#This Row],[Member Type]]="Parent",Table2[[#This Row],[Member Type]]="Extended"),_xlfn.XLOOKUP(B356,Table2[Main Member Link ID],Table2[Product Option],0)&lt;&gt;"My Value Plus Life"),Lookups!$C$26,""))))</f>
        <v/>
      </c>
      <c r="AD356" s="326" t="str">
        <f>IF(Table2[[#This Row],[Member Type]]="Main Member",Lookups!$C$14,"")</f>
        <v/>
      </c>
      <c r="AE35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Funeral",_xlfn.XLOOKUP(B356,Table2[Main Member Link ID],Table2[Benefit Name],0)=Lookups!$D$14),"",
IF(AND(Table2[[#This Row],[Member Type]]="Spouse",Table2[[#This Row],[Product Option]]="My Value Plus Life &amp; Funeral",_xlfn.XLOOKUP(B355,Table2[Main Member Link ID],Table2[Benefit Name],0)=Lookups!$D$15),Lookups!$D$20,
IF(AND(Table2[[#This Row],[Member Type]]="Spouse",Table2[[#This Row],[Product Option]]="My Value Plus Life &amp; Funeral",_xlfn.XLOOKUP(B355,Table2[Main Member Link ID],Table2[Benefit Name],0)=Lookups!$D$16),"",
IF(AND(Table2[[#This Row],[Member Type]]="Spouse",Table2[[#This Row],[Product Option]]="My Value Plus Life &amp; Funeral",_xlfn.XLOOKUP(B355,Table2[Main Member Link ID],Table2[Benefit Name],0)=Lookups!$D$17),Lookups!$D$21,
IF(AND(Table2[[#This Row],[Member Type]]="Child",Table2[[#This Row],[Product Option]]="My Value Plus Life &amp; Funeral",_xlfn.XLOOKUP(B356,Table2[Main Member Link ID],Table2[Benefit Name],0)=Lookups!$D$14),"",
IF(AND(Table2[[#This Row],[Member Type]]="Child",Table2[[#This Row],[Product Option]]="My Value Plus Life &amp; Funeral",_xlfn.XLOOKUP(B356,Table2[Main Member Link ID],Table2[Benefit Name],0)=Lookups!$D$15),"",
IF(AND(Table2[[#This Row],[Member Type]]="Child",Table2[[#This Row],[Product Option]]="My Value Plus Life &amp; Funeral",_xlfn.XLOOKUP(B356,Table2[Main Member Link ID],Table2[Benefit Name],0)=Lookups!$D$16),Lookups!$D$24,
IF(AND(Table2[[#This Row],[Member Type]]="Child",Table2[[#This Row],[Product Option]]="My Value Plus Life &amp; Funeral",_xlfn.XLOOKUP(B356,Table2[Main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Funeral",_xlfn.XLOOKUP(B356,Table2[Main Member Link ID],Table2[Benefit Name],0)&lt;&gt;Lookups!$D$14),
IF(_xlfn.XLOOKUP(B356,Table2[Main Member Link ID],Table2[Benefit Name],0)=0,"",_xlfn.XLOOKUP(B356,Table2[Main Member Link ID],Table2[Benefit Name],0)),"")))))))))))))))</f>
        <v/>
      </c>
      <c r="AF356" s="327" t="str">
        <f>IF(AND(Table2[[#This Row],[Member Type]]="Main Member",Table2[[#This Row],[Product Option]]="My Value Plus Life &amp; Funeral"),Lookups!$D$15,
IF(AND(Table2[[#This Row],[Member Type]]="Spouse",Table2[[#This Row],[Product Option]]="My Value Plus Life &amp; Funeral",_xlfn.XLOOKUP(B356,Table2[Main Member Link ID],Table2[Benefit Name],0)=Lookups!$D$14),"",
IF(AND(Table2[[#This Row],[Member Type]]="Spouse",Table2[[#This Row],[Product Option]]="My Value Plus Life &amp; Funeral",_xlfn.XLOOKUP(B355,Table2[Main Member Link ID],Table2[Benefit Name],0)=Lookups!$D$16),"",
IF(AND(Table2[[#This Row],[Member Type]]="Spouse",Table2[[#This Row],[Product Option]]="My Value Plus Life &amp; Funeral",_xlfn.XLOOKUP(B355,Table2[Main Member Link ID],Table2[Benefit Name],0)=Lookups!$D$15),"",
IF(AND(Table2[[#This Row],[Member Type]]="Spouse",Table2[[#This Row],[Product Option]]="My Value Plus Life &amp; Funeral",_xlfn.XLOOKUP(B355,Table2[Main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Funeral",_xlfn.XLOOKUP(B356,Table2[Main Member Link ID],Table2[Benefit Name],0)&lt;&gt;Lookups!$D$15),
IF(_xlfn.XLOOKUP(B356,Table2[Main Member Link ID],Table2[Benefit Name],0)=0,"",_xlfn.XLOOKUP(B356,Table2[Main Member Link ID],Table2[Benefit Name],0)),"")
))))))</f>
        <v/>
      </c>
      <c r="AG356" s="327" t="str">
        <f>IF(AND(Table2[[#This Row],[Member Type]]="Main Member",Table2[[#This Row],[Product Option]]="My Value Plus Life &amp; Funeral"),Lookups!$D$16,
IF(AND(Table2[[#This Row],[Member Type]]="Spouse",Table2[[#This Row],[Product Option]]="My Value Plus Life &amp; Funeral",_xlfn.XLOOKUP(B356,Table2[Main Member Link ID],Table2[Benefit Name],0)=Lookups!$D$14),"",
IF(AND(Table2[[#This Row],[Member Type]]="Spouse",Table2[[#This Row],[Product Option]]="My Value Plus Life &amp; Funeral",_xlfn.XLOOKUP(B355,Table2[Main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Funeral",_xlfn.XLOOKUP(B356,Table2[Main Member Link ID],Table2[Benefit Name],0)&lt;&gt;Lookups!$D$16),
IF(_xlfn.XLOOKUP(B356,Table2[Main Member Link ID],Table2[Benefit Name],0)=0,"",_xlfn.XLOOKUP(B356,Table2[Main Member Link ID],Table2[Benefit Name],0)),"")
))))</f>
        <v/>
      </c>
      <c r="AH356" s="327" t="str">
        <f>IF(AND(Table2[[#This Row],[Member Type]]="Main Member",Table2[[#This Row],[Product Option]]="My Value Plus Life &amp; Funeral"),Lookups!$D$17,
IF(AND(Table2[[#This Row],[Member Type]]="Spouse",Table2[[#This Row],[Product Option]]="My Value Plus Life &amp; Funeral",_xlfn.XLOOKUP(B356,Table2[Main Member Link ID],Table2[Benefit Name],0)=Lookups!$D$14),"",
IF(AND(Table2[[#This Row],[Member Type]]="Spouse",Table2[[#This Row],[Product Option]]="My Value Plus Life &amp; Funeral",_xlfn.XLOOKUP(B355,Table2[Main Member Link ID],Table2[Benefit Name],0)=Lookups!$D$16),"",
IF(AND(Table2[[#This Row],[Member Type]]="Child",Table2[[#This Row],[Product Option]]="My Value Plus Life &amp; Funeral"),"",
IF(AND(Table2[[#This Row],[Member Type]]="Child",Table2[[#This Row],[Product Option]]="My Value Plus Life &amp; Funeral",_xlfn.XLOOKUP(B356,Table2[Main Member Link ID],Table2[Benefit Name],0)=Lookups!$D$15),"",
IF(AND(OR(Table2[[#This Row],[Member Type]]="Spouse",Table2[[#This Row],[Member Type]]="Child"),Table2[[#This Row],[Product Option]]="My Value Plus Life &amp; Funeral",_xlfn.XLOOKUP(B356,Table2[Main Member Link ID],Table2[Benefit Name],0)&lt;&gt;Lookups!$D$17),
IF(_xlfn.XLOOKUP(B356,Table2[Main Member Link ID],Table2[Benefit Name],0)=0,"",_xlfn.XLOOKUP(B356,Table2[Main Member Link ID],Table2[Benefit Name],0)),""))))))</f>
        <v/>
      </c>
      <c r="AI356" s="328" t="str">
        <f>IF(AND(Table2[[#This Row],[Member Type]]="Main Member",Table2[[#This Row],[Table Lookup for Life Cover]]="MM_LIFE",Table2[[#This Row],[Age Next Birthday]]&lt;56),1,
IF(AND(Table2[[#This Row],[Member Type]]="Main Member",Table2[[#This Row],[Table Lookup for Life Cover]]="MM_LIFE",Table2[[#This Row],[Age Next Birthday]]&gt;=56),2,
""))</f>
        <v/>
      </c>
      <c r="AJ356" s="328">
        <f>IF(OR(Table2[[#This Row],[Member Type]]="Main Member",Table2[[#This Row],[Main Member Link ID]]=B355),1,0)</f>
        <v>1</v>
      </c>
      <c r="AK356" s="328">
        <f>IF(Table2[[#This Row],[Member Type]]=0,0,
IF(OR(Table2[[#This Row],[Member Type]]="Main Member",Table2[[#This Row],[Main Member Link ID]]&lt;&gt;B356),COUNTIFS(B:B,Table2[[#This Row],[Main Member Link ID]]),
COUNTIFS(B:B,Table2[[#This Row],[Main Member Link ID]],A:A,Table2[[#This Row],[Member Type]])))</f>
        <v>0</v>
      </c>
    </row>
    <row r="357" spans="1:37" x14ac:dyDescent="0.3">
      <c r="A357" s="284">
        <f>Table13[[#This Row],[Member Type]]</f>
        <v>0</v>
      </c>
      <c r="B357" s="284">
        <f>Table13[[#This Row],[Main Member Link ID]]</f>
        <v>0</v>
      </c>
      <c r="C357" s="284">
        <f>Table13[[#This Row],[ID Number]]</f>
        <v>0</v>
      </c>
      <c r="D357" s="285">
        <f>Table13[[#This Row],[Date Of Birth]]</f>
        <v>0</v>
      </c>
      <c r="E357" s="285">
        <f>Table13[[#This Row],[Commencement Date]]</f>
        <v>0</v>
      </c>
      <c r="F357" s="284">
        <f t="shared" si="35"/>
        <v>1</v>
      </c>
      <c r="G357" s="284">
        <f t="shared" si="36"/>
        <v>25</v>
      </c>
      <c r="H357" s="286">
        <f>Table13[[#This Row],[Product Option]]</f>
        <v>0</v>
      </c>
      <c r="I357" s="284">
        <f>IF(AND($A357="Main Member",Table2[[#This Row],[Product Option]]="My Value Plus Life"),"MM_LIFE",
IF(AND($A357="Spouse",Table2[[#This Row],[Product Option]]="My Value Plus Life"),"SP_LIFE",
IF(AND($A357="Main Member",Table2[[#This Row],[Product Option]]="My Value Plus Life &amp; Funeral"),"MM_LIFE",
IF(AND($A357="Spouse",Table2[[#This Row],[Product Option]]="My Value Plus Life &amp; Funeral"),_xlfn.XLOOKUP(Table2[[#This Row],[Benefit Name]],Lookups!$D$18:$D$23,Lookups!$E$18:$E$23,0),
0))))</f>
        <v>0</v>
      </c>
      <c r="J357" s="284">
        <f>IF($I357="","",
IF($I357="MM_LIFE",INDEX('Quotation Tool'!$S$54:$V$60,MATCH($T357,'Quotation Tool'!$S$54:$S$60,0),4),
IF($I357="SP_LIFE",_xlfn.XLOOKUP(B356,$B:$B,$J:$J,0),0)))</f>
        <v>0</v>
      </c>
      <c r="K357" s="287">
        <f t="shared" ca="1" si="40"/>
        <v>0</v>
      </c>
      <c r="L357" s="288">
        <f t="shared" ca="1" si="41"/>
        <v>0</v>
      </c>
      <c r="M357" s="289">
        <f t="shared" ca="1" si="37"/>
        <v>0</v>
      </c>
      <c r="N357" s="286">
        <f>Table13[[#This Row],[Benefit Option]]</f>
        <v>0</v>
      </c>
      <c r="O357" s="284">
        <f>IF(OR(Table2[[#This Row],[Member Type]]="Spouse",Table2[[#This Row],[Member Type]]="Child"),0,
IF(_xlfn.XLOOKUP($N357,Lookups!$D$13:$D$27,Lookups!$F$13:$F$27,0)=Table2[[#This Row],[Table Lookup for Life Cover]],0,
_xlfn.XLOOKUP($N357,Lookups!$D$13:$D$27,Lookups!$F$13:$F$27,0)))</f>
        <v>0</v>
      </c>
      <c r="P357" s="284">
        <f>IF(Table2[[#This Row],[Table Lookup for Funeral]]=0,0,IFERROR(INDEX('Quotation Tool'!$S$54:$V$60,MATCH($T357,'Quotation Tool'!$S$54:$S$60,0),3),0))</f>
        <v>0</v>
      </c>
      <c r="Q357" s="288">
        <f ca="1">IF(OR(Table2[[#This Row],[Benefit Name]]="My Value Plus Life - Main Member",Table2[[#This Row],[Benefit Name]]="My Value Plus Life - Spouse"),0,
IFERROR(VLOOKUP($G357,INDIRECT($O357),$P357,FALSE),0))</f>
        <v>0</v>
      </c>
      <c r="R357" s="288">
        <f ca="1">IF(OR(Table2[[#This Row],[Benefit Name]]="My Value Plus Life - Main Member",Table2[[#This Row],[Benefit Name]]="My Value Plus Life - Spouse"),0,
IFERROR(VLOOKUP($G357,INDIRECT($O357),$P357+1,FALSE),0))</f>
        <v>0</v>
      </c>
      <c r="S357" s="289">
        <f t="shared" ca="1" si="38"/>
        <v>0</v>
      </c>
      <c r="T357" s="284" t="str">
        <f>IF(Table13[[#This Row],[Premium Waiver]]="","None",Table13[[#This Row],[Premium Waiver]])</f>
        <v>None</v>
      </c>
      <c r="U357" s="284">
        <f>Table13[[#This Row],[VAPs Options]]</f>
        <v>0</v>
      </c>
      <c r="V357" s="284">
        <f>Table13[[#This Row],[Annual Increase Option]]</f>
        <v>0</v>
      </c>
      <c r="W357" s="290">
        <f>Table13[[#This Row],[Life Cover Amount]]</f>
        <v>0</v>
      </c>
      <c r="X357" s="290">
        <f>Table13[[#This Row],[Funeral Cover Amount]]</f>
        <v>0</v>
      </c>
      <c r="Y35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5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57" s="301">
        <f t="shared" ca="1" si="39"/>
        <v>0</v>
      </c>
      <c r="AB357" s="298"/>
      <c r="AC357" s="326" t="str">
        <f>IF(Table2[[#This Row],[Member Type]]="Main Member",Lookups!$C$13,
IF(Table2[[#This Row],[Member Type]]="Spouse",_xlfn.XLOOKUP(B357,Table2[Main Member Link ID],Table2[Product Option],0),
IF(AND(Table2[[#This Row],[Member Type]]="Child",_xlfn.XLOOKUP(B357,Table2[Main Member Link ID],Table2[Product Option],0)&lt;&gt;"My Value Plus Life"),Lookups!$C$24,
IF(AND(OR(Table2[[#This Row],[Member Type]]="Parent",Table2[[#This Row],[Member Type]]="Extended"),_xlfn.XLOOKUP(B357,Table2[Main Member Link ID],Table2[Product Option],0)&lt;&gt;"My Value Plus Life"),Lookups!$C$26,""))))</f>
        <v/>
      </c>
      <c r="AD357" s="326" t="str">
        <f>IF(Table2[[#This Row],[Member Type]]="Main Member",Lookups!$C$14,"")</f>
        <v/>
      </c>
      <c r="AE35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Funeral",_xlfn.XLOOKUP(B357,Table2[Main Member Link ID],Table2[Benefit Name],0)=Lookups!$D$14),"",
IF(AND(Table2[[#This Row],[Member Type]]="Spouse",Table2[[#This Row],[Product Option]]="My Value Plus Life &amp; Funeral",_xlfn.XLOOKUP(B356,Table2[Main Member Link ID],Table2[Benefit Name],0)=Lookups!$D$15),Lookups!$D$20,
IF(AND(Table2[[#This Row],[Member Type]]="Spouse",Table2[[#This Row],[Product Option]]="My Value Plus Life &amp; Funeral",_xlfn.XLOOKUP(B356,Table2[Main Member Link ID],Table2[Benefit Name],0)=Lookups!$D$16),"",
IF(AND(Table2[[#This Row],[Member Type]]="Spouse",Table2[[#This Row],[Product Option]]="My Value Plus Life &amp; Funeral",_xlfn.XLOOKUP(B356,Table2[Main Member Link ID],Table2[Benefit Name],0)=Lookups!$D$17),Lookups!$D$21,
IF(AND(Table2[[#This Row],[Member Type]]="Child",Table2[[#This Row],[Product Option]]="My Value Plus Life &amp; Funeral",_xlfn.XLOOKUP(B357,Table2[Main Member Link ID],Table2[Benefit Name],0)=Lookups!$D$14),"",
IF(AND(Table2[[#This Row],[Member Type]]="Child",Table2[[#This Row],[Product Option]]="My Value Plus Life &amp; Funeral",_xlfn.XLOOKUP(B357,Table2[Main Member Link ID],Table2[Benefit Name],0)=Lookups!$D$15),"",
IF(AND(Table2[[#This Row],[Member Type]]="Child",Table2[[#This Row],[Product Option]]="My Value Plus Life &amp; Funeral",_xlfn.XLOOKUP(B357,Table2[Main Member Link ID],Table2[Benefit Name],0)=Lookups!$D$16),Lookups!$D$24,
IF(AND(Table2[[#This Row],[Member Type]]="Child",Table2[[#This Row],[Product Option]]="My Value Plus Life &amp; Funeral",_xlfn.XLOOKUP(B357,Table2[Main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Funeral",_xlfn.XLOOKUP(B357,Table2[Main Member Link ID],Table2[Benefit Name],0)&lt;&gt;Lookups!$D$14),
IF(_xlfn.XLOOKUP(B357,Table2[Main Member Link ID],Table2[Benefit Name],0)=0,"",_xlfn.XLOOKUP(B357,Table2[Main Member Link ID],Table2[Benefit Name],0)),"")))))))))))))))</f>
        <v/>
      </c>
      <c r="AF357" s="327" t="str">
        <f>IF(AND(Table2[[#This Row],[Member Type]]="Main Member",Table2[[#This Row],[Product Option]]="My Value Plus Life &amp; Funeral"),Lookups!$D$15,
IF(AND(Table2[[#This Row],[Member Type]]="Spouse",Table2[[#This Row],[Product Option]]="My Value Plus Life &amp; Funeral",_xlfn.XLOOKUP(B357,Table2[Main Member Link ID],Table2[Benefit Name],0)=Lookups!$D$14),"",
IF(AND(Table2[[#This Row],[Member Type]]="Spouse",Table2[[#This Row],[Product Option]]="My Value Plus Life &amp; Funeral",_xlfn.XLOOKUP(B356,Table2[Main Member Link ID],Table2[Benefit Name],0)=Lookups!$D$16),"",
IF(AND(Table2[[#This Row],[Member Type]]="Spouse",Table2[[#This Row],[Product Option]]="My Value Plus Life &amp; Funeral",_xlfn.XLOOKUP(B356,Table2[Main Member Link ID],Table2[Benefit Name],0)=Lookups!$D$15),"",
IF(AND(Table2[[#This Row],[Member Type]]="Spouse",Table2[[#This Row],[Product Option]]="My Value Plus Life &amp; Funeral",_xlfn.XLOOKUP(B356,Table2[Main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Funeral",_xlfn.XLOOKUP(B357,Table2[Main Member Link ID],Table2[Benefit Name],0)&lt;&gt;Lookups!$D$15),
IF(_xlfn.XLOOKUP(B357,Table2[Main Member Link ID],Table2[Benefit Name],0)=0,"",_xlfn.XLOOKUP(B357,Table2[Main Member Link ID],Table2[Benefit Name],0)),"")
))))))</f>
        <v/>
      </c>
      <c r="AG357" s="327" t="str">
        <f>IF(AND(Table2[[#This Row],[Member Type]]="Main Member",Table2[[#This Row],[Product Option]]="My Value Plus Life &amp; Funeral"),Lookups!$D$16,
IF(AND(Table2[[#This Row],[Member Type]]="Spouse",Table2[[#This Row],[Product Option]]="My Value Plus Life &amp; Funeral",_xlfn.XLOOKUP(B357,Table2[Main Member Link ID],Table2[Benefit Name],0)=Lookups!$D$14),"",
IF(AND(Table2[[#This Row],[Member Type]]="Spouse",Table2[[#This Row],[Product Option]]="My Value Plus Life &amp; Funeral",_xlfn.XLOOKUP(B356,Table2[Main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Funeral",_xlfn.XLOOKUP(B357,Table2[Main Member Link ID],Table2[Benefit Name],0)&lt;&gt;Lookups!$D$16),
IF(_xlfn.XLOOKUP(B357,Table2[Main Member Link ID],Table2[Benefit Name],0)=0,"",_xlfn.XLOOKUP(B357,Table2[Main Member Link ID],Table2[Benefit Name],0)),"")
))))</f>
        <v/>
      </c>
      <c r="AH357" s="327" t="str">
        <f>IF(AND(Table2[[#This Row],[Member Type]]="Main Member",Table2[[#This Row],[Product Option]]="My Value Plus Life &amp; Funeral"),Lookups!$D$17,
IF(AND(Table2[[#This Row],[Member Type]]="Spouse",Table2[[#This Row],[Product Option]]="My Value Plus Life &amp; Funeral",_xlfn.XLOOKUP(B357,Table2[Main Member Link ID],Table2[Benefit Name],0)=Lookups!$D$14),"",
IF(AND(Table2[[#This Row],[Member Type]]="Spouse",Table2[[#This Row],[Product Option]]="My Value Plus Life &amp; Funeral",_xlfn.XLOOKUP(B356,Table2[Main Member Link ID],Table2[Benefit Name],0)=Lookups!$D$16),"",
IF(AND(Table2[[#This Row],[Member Type]]="Child",Table2[[#This Row],[Product Option]]="My Value Plus Life &amp; Funeral"),"",
IF(AND(Table2[[#This Row],[Member Type]]="Child",Table2[[#This Row],[Product Option]]="My Value Plus Life &amp; Funeral",_xlfn.XLOOKUP(B357,Table2[Main Member Link ID],Table2[Benefit Name],0)=Lookups!$D$15),"",
IF(AND(OR(Table2[[#This Row],[Member Type]]="Spouse",Table2[[#This Row],[Member Type]]="Child"),Table2[[#This Row],[Product Option]]="My Value Plus Life &amp; Funeral",_xlfn.XLOOKUP(B357,Table2[Main Member Link ID],Table2[Benefit Name],0)&lt;&gt;Lookups!$D$17),
IF(_xlfn.XLOOKUP(B357,Table2[Main Member Link ID],Table2[Benefit Name],0)=0,"",_xlfn.XLOOKUP(B357,Table2[Main Member Link ID],Table2[Benefit Name],0)),""))))))</f>
        <v/>
      </c>
      <c r="AI357" s="328" t="str">
        <f>IF(AND(Table2[[#This Row],[Member Type]]="Main Member",Table2[[#This Row],[Table Lookup for Life Cover]]="MM_LIFE",Table2[[#This Row],[Age Next Birthday]]&lt;56),1,
IF(AND(Table2[[#This Row],[Member Type]]="Main Member",Table2[[#This Row],[Table Lookup for Life Cover]]="MM_LIFE",Table2[[#This Row],[Age Next Birthday]]&gt;=56),2,
""))</f>
        <v/>
      </c>
      <c r="AJ357" s="328">
        <f>IF(OR(Table2[[#This Row],[Member Type]]="Main Member",Table2[[#This Row],[Main Member Link ID]]=B356),1,0)</f>
        <v>1</v>
      </c>
      <c r="AK357" s="328">
        <f>IF(Table2[[#This Row],[Member Type]]=0,0,
IF(OR(Table2[[#This Row],[Member Type]]="Main Member",Table2[[#This Row],[Main Member Link ID]]&lt;&gt;B357),COUNTIFS(B:B,Table2[[#This Row],[Main Member Link ID]]),
COUNTIFS(B:B,Table2[[#This Row],[Main Member Link ID]],A:A,Table2[[#This Row],[Member Type]])))</f>
        <v>0</v>
      </c>
    </row>
    <row r="358" spans="1:37" x14ac:dyDescent="0.3">
      <c r="A358" s="284">
        <f>Table13[[#This Row],[Member Type]]</f>
        <v>0</v>
      </c>
      <c r="B358" s="284">
        <f>Table13[[#This Row],[Main Member Link ID]]</f>
        <v>0</v>
      </c>
      <c r="C358" s="284">
        <f>Table13[[#This Row],[ID Number]]</f>
        <v>0</v>
      </c>
      <c r="D358" s="285">
        <f>Table13[[#This Row],[Date Of Birth]]</f>
        <v>0</v>
      </c>
      <c r="E358" s="285">
        <f>Table13[[#This Row],[Commencement Date]]</f>
        <v>0</v>
      </c>
      <c r="F358" s="284">
        <f t="shared" si="35"/>
        <v>1</v>
      </c>
      <c r="G358" s="284">
        <f t="shared" si="36"/>
        <v>25</v>
      </c>
      <c r="H358" s="286">
        <f>Table13[[#This Row],[Product Option]]</f>
        <v>0</v>
      </c>
      <c r="I358" s="284">
        <f>IF(AND($A358="Main Member",Table2[[#This Row],[Product Option]]="My Value Plus Life"),"MM_LIFE",
IF(AND($A358="Spouse",Table2[[#This Row],[Product Option]]="My Value Plus Life"),"SP_LIFE",
IF(AND($A358="Main Member",Table2[[#This Row],[Product Option]]="My Value Plus Life &amp; Funeral"),"MM_LIFE",
IF(AND($A358="Spouse",Table2[[#This Row],[Product Option]]="My Value Plus Life &amp; Funeral"),_xlfn.XLOOKUP(Table2[[#This Row],[Benefit Name]],Lookups!$D$18:$D$23,Lookups!$E$18:$E$23,0),
0))))</f>
        <v>0</v>
      </c>
      <c r="J358" s="284">
        <f>IF($I358="","",
IF($I358="MM_LIFE",INDEX('Quotation Tool'!$S$54:$V$60,MATCH($T358,'Quotation Tool'!$S$54:$S$60,0),4),
IF($I358="SP_LIFE",_xlfn.XLOOKUP(B357,$B:$B,$J:$J,0),0)))</f>
        <v>0</v>
      </c>
      <c r="K358" s="287">
        <f t="shared" ca="1" si="40"/>
        <v>0</v>
      </c>
      <c r="L358" s="288">
        <f t="shared" ca="1" si="41"/>
        <v>0</v>
      </c>
      <c r="M358" s="289">
        <f t="shared" ca="1" si="37"/>
        <v>0</v>
      </c>
      <c r="N358" s="286">
        <f>Table13[[#This Row],[Benefit Option]]</f>
        <v>0</v>
      </c>
      <c r="O358" s="284">
        <f>IF(OR(Table2[[#This Row],[Member Type]]="Spouse",Table2[[#This Row],[Member Type]]="Child"),0,
IF(_xlfn.XLOOKUP($N358,Lookups!$D$13:$D$27,Lookups!$F$13:$F$27,0)=Table2[[#This Row],[Table Lookup for Life Cover]],0,
_xlfn.XLOOKUP($N358,Lookups!$D$13:$D$27,Lookups!$F$13:$F$27,0)))</f>
        <v>0</v>
      </c>
      <c r="P358" s="284">
        <f>IF(Table2[[#This Row],[Table Lookup for Funeral]]=0,0,IFERROR(INDEX('Quotation Tool'!$S$54:$V$60,MATCH($T358,'Quotation Tool'!$S$54:$S$60,0),3),0))</f>
        <v>0</v>
      </c>
      <c r="Q358" s="288">
        <f ca="1">IF(OR(Table2[[#This Row],[Benefit Name]]="My Value Plus Life - Main Member",Table2[[#This Row],[Benefit Name]]="My Value Plus Life - Spouse"),0,
IFERROR(VLOOKUP($G358,INDIRECT($O358),$P358,FALSE),0))</f>
        <v>0</v>
      </c>
      <c r="R358" s="288">
        <f ca="1">IF(OR(Table2[[#This Row],[Benefit Name]]="My Value Plus Life - Main Member",Table2[[#This Row],[Benefit Name]]="My Value Plus Life - Spouse"),0,
IFERROR(VLOOKUP($G358,INDIRECT($O358),$P358+1,FALSE),0))</f>
        <v>0</v>
      </c>
      <c r="S358" s="289">
        <f t="shared" ca="1" si="38"/>
        <v>0</v>
      </c>
      <c r="T358" s="284" t="str">
        <f>IF(Table13[[#This Row],[Premium Waiver]]="","None",Table13[[#This Row],[Premium Waiver]])</f>
        <v>None</v>
      </c>
      <c r="U358" s="284">
        <f>Table13[[#This Row],[VAPs Options]]</f>
        <v>0</v>
      </c>
      <c r="V358" s="284">
        <f>Table13[[#This Row],[Annual Increase Option]]</f>
        <v>0</v>
      </c>
      <c r="W358" s="290">
        <f>Table13[[#This Row],[Life Cover Amount]]</f>
        <v>0</v>
      </c>
      <c r="X358" s="290">
        <f>Table13[[#This Row],[Funeral Cover Amount]]</f>
        <v>0</v>
      </c>
      <c r="Y35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5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58" s="301">
        <f t="shared" ca="1" si="39"/>
        <v>0</v>
      </c>
      <c r="AB358" s="298"/>
      <c r="AC358" s="326" t="str">
        <f>IF(Table2[[#This Row],[Member Type]]="Main Member",Lookups!$C$13,
IF(Table2[[#This Row],[Member Type]]="Spouse",_xlfn.XLOOKUP(B358,Table2[Main Member Link ID],Table2[Product Option],0),
IF(AND(Table2[[#This Row],[Member Type]]="Child",_xlfn.XLOOKUP(B358,Table2[Main Member Link ID],Table2[Product Option],0)&lt;&gt;"My Value Plus Life"),Lookups!$C$24,
IF(AND(OR(Table2[[#This Row],[Member Type]]="Parent",Table2[[#This Row],[Member Type]]="Extended"),_xlfn.XLOOKUP(B358,Table2[Main Member Link ID],Table2[Product Option],0)&lt;&gt;"My Value Plus Life"),Lookups!$C$26,""))))</f>
        <v/>
      </c>
      <c r="AD358" s="326" t="str">
        <f>IF(Table2[[#This Row],[Member Type]]="Main Member",Lookups!$C$14,"")</f>
        <v/>
      </c>
      <c r="AE35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Funeral",_xlfn.XLOOKUP(B358,Table2[Main Member Link ID],Table2[Benefit Name],0)=Lookups!$D$14),"",
IF(AND(Table2[[#This Row],[Member Type]]="Spouse",Table2[[#This Row],[Product Option]]="My Value Plus Life &amp; Funeral",_xlfn.XLOOKUP(B357,Table2[Main Member Link ID],Table2[Benefit Name],0)=Lookups!$D$15),Lookups!$D$20,
IF(AND(Table2[[#This Row],[Member Type]]="Spouse",Table2[[#This Row],[Product Option]]="My Value Plus Life &amp; Funeral",_xlfn.XLOOKUP(B357,Table2[Main Member Link ID],Table2[Benefit Name],0)=Lookups!$D$16),"",
IF(AND(Table2[[#This Row],[Member Type]]="Spouse",Table2[[#This Row],[Product Option]]="My Value Plus Life &amp; Funeral",_xlfn.XLOOKUP(B357,Table2[Main Member Link ID],Table2[Benefit Name],0)=Lookups!$D$17),Lookups!$D$21,
IF(AND(Table2[[#This Row],[Member Type]]="Child",Table2[[#This Row],[Product Option]]="My Value Plus Life &amp; Funeral",_xlfn.XLOOKUP(B358,Table2[Main Member Link ID],Table2[Benefit Name],0)=Lookups!$D$14),"",
IF(AND(Table2[[#This Row],[Member Type]]="Child",Table2[[#This Row],[Product Option]]="My Value Plus Life &amp; Funeral",_xlfn.XLOOKUP(B358,Table2[Main Member Link ID],Table2[Benefit Name],0)=Lookups!$D$15),"",
IF(AND(Table2[[#This Row],[Member Type]]="Child",Table2[[#This Row],[Product Option]]="My Value Plus Life &amp; Funeral",_xlfn.XLOOKUP(B358,Table2[Main Member Link ID],Table2[Benefit Name],0)=Lookups!$D$16),Lookups!$D$24,
IF(AND(Table2[[#This Row],[Member Type]]="Child",Table2[[#This Row],[Product Option]]="My Value Plus Life &amp; Funeral",_xlfn.XLOOKUP(B358,Table2[Main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Funeral",_xlfn.XLOOKUP(B358,Table2[Main Member Link ID],Table2[Benefit Name],0)&lt;&gt;Lookups!$D$14),
IF(_xlfn.XLOOKUP(B358,Table2[Main Member Link ID],Table2[Benefit Name],0)=0,"",_xlfn.XLOOKUP(B358,Table2[Main Member Link ID],Table2[Benefit Name],0)),"")))))))))))))))</f>
        <v/>
      </c>
      <c r="AF358" s="327" t="str">
        <f>IF(AND(Table2[[#This Row],[Member Type]]="Main Member",Table2[[#This Row],[Product Option]]="My Value Plus Life &amp; Funeral"),Lookups!$D$15,
IF(AND(Table2[[#This Row],[Member Type]]="Spouse",Table2[[#This Row],[Product Option]]="My Value Plus Life &amp; Funeral",_xlfn.XLOOKUP(B358,Table2[Main Member Link ID],Table2[Benefit Name],0)=Lookups!$D$14),"",
IF(AND(Table2[[#This Row],[Member Type]]="Spouse",Table2[[#This Row],[Product Option]]="My Value Plus Life &amp; Funeral",_xlfn.XLOOKUP(B357,Table2[Main Member Link ID],Table2[Benefit Name],0)=Lookups!$D$16),"",
IF(AND(Table2[[#This Row],[Member Type]]="Spouse",Table2[[#This Row],[Product Option]]="My Value Plus Life &amp; Funeral",_xlfn.XLOOKUP(B357,Table2[Main Member Link ID],Table2[Benefit Name],0)=Lookups!$D$15),"",
IF(AND(Table2[[#This Row],[Member Type]]="Spouse",Table2[[#This Row],[Product Option]]="My Value Plus Life &amp; Funeral",_xlfn.XLOOKUP(B357,Table2[Main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Funeral",_xlfn.XLOOKUP(B358,Table2[Main Member Link ID],Table2[Benefit Name],0)&lt;&gt;Lookups!$D$15),
IF(_xlfn.XLOOKUP(B358,Table2[Main Member Link ID],Table2[Benefit Name],0)=0,"",_xlfn.XLOOKUP(B358,Table2[Main Member Link ID],Table2[Benefit Name],0)),"")
))))))</f>
        <v/>
      </c>
      <c r="AG358" s="327" t="str">
        <f>IF(AND(Table2[[#This Row],[Member Type]]="Main Member",Table2[[#This Row],[Product Option]]="My Value Plus Life &amp; Funeral"),Lookups!$D$16,
IF(AND(Table2[[#This Row],[Member Type]]="Spouse",Table2[[#This Row],[Product Option]]="My Value Plus Life &amp; Funeral",_xlfn.XLOOKUP(B358,Table2[Main Member Link ID],Table2[Benefit Name],0)=Lookups!$D$14),"",
IF(AND(Table2[[#This Row],[Member Type]]="Spouse",Table2[[#This Row],[Product Option]]="My Value Plus Life &amp; Funeral",_xlfn.XLOOKUP(B357,Table2[Main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Funeral",_xlfn.XLOOKUP(B358,Table2[Main Member Link ID],Table2[Benefit Name],0)&lt;&gt;Lookups!$D$16),
IF(_xlfn.XLOOKUP(B358,Table2[Main Member Link ID],Table2[Benefit Name],0)=0,"",_xlfn.XLOOKUP(B358,Table2[Main Member Link ID],Table2[Benefit Name],0)),"")
))))</f>
        <v/>
      </c>
      <c r="AH358" s="327" t="str">
        <f>IF(AND(Table2[[#This Row],[Member Type]]="Main Member",Table2[[#This Row],[Product Option]]="My Value Plus Life &amp; Funeral"),Lookups!$D$17,
IF(AND(Table2[[#This Row],[Member Type]]="Spouse",Table2[[#This Row],[Product Option]]="My Value Plus Life &amp; Funeral",_xlfn.XLOOKUP(B358,Table2[Main Member Link ID],Table2[Benefit Name],0)=Lookups!$D$14),"",
IF(AND(Table2[[#This Row],[Member Type]]="Spouse",Table2[[#This Row],[Product Option]]="My Value Plus Life &amp; Funeral",_xlfn.XLOOKUP(B357,Table2[Main Member Link ID],Table2[Benefit Name],0)=Lookups!$D$16),"",
IF(AND(Table2[[#This Row],[Member Type]]="Child",Table2[[#This Row],[Product Option]]="My Value Plus Life &amp; Funeral"),"",
IF(AND(Table2[[#This Row],[Member Type]]="Child",Table2[[#This Row],[Product Option]]="My Value Plus Life &amp; Funeral",_xlfn.XLOOKUP(B358,Table2[Main Member Link ID],Table2[Benefit Name],0)=Lookups!$D$15),"",
IF(AND(OR(Table2[[#This Row],[Member Type]]="Spouse",Table2[[#This Row],[Member Type]]="Child"),Table2[[#This Row],[Product Option]]="My Value Plus Life &amp; Funeral",_xlfn.XLOOKUP(B358,Table2[Main Member Link ID],Table2[Benefit Name],0)&lt;&gt;Lookups!$D$17),
IF(_xlfn.XLOOKUP(B358,Table2[Main Member Link ID],Table2[Benefit Name],0)=0,"",_xlfn.XLOOKUP(B358,Table2[Main Member Link ID],Table2[Benefit Name],0)),""))))))</f>
        <v/>
      </c>
      <c r="AI358" s="328" t="str">
        <f>IF(AND(Table2[[#This Row],[Member Type]]="Main Member",Table2[[#This Row],[Table Lookup for Life Cover]]="MM_LIFE",Table2[[#This Row],[Age Next Birthday]]&lt;56),1,
IF(AND(Table2[[#This Row],[Member Type]]="Main Member",Table2[[#This Row],[Table Lookup for Life Cover]]="MM_LIFE",Table2[[#This Row],[Age Next Birthday]]&gt;=56),2,
""))</f>
        <v/>
      </c>
      <c r="AJ358" s="328">
        <f>IF(OR(Table2[[#This Row],[Member Type]]="Main Member",Table2[[#This Row],[Main Member Link ID]]=B357),1,0)</f>
        <v>1</v>
      </c>
      <c r="AK358" s="328">
        <f>IF(Table2[[#This Row],[Member Type]]=0,0,
IF(OR(Table2[[#This Row],[Member Type]]="Main Member",Table2[[#This Row],[Main Member Link ID]]&lt;&gt;B358),COUNTIFS(B:B,Table2[[#This Row],[Main Member Link ID]]),
COUNTIFS(B:B,Table2[[#This Row],[Main Member Link ID]],A:A,Table2[[#This Row],[Member Type]])))</f>
        <v>0</v>
      </c>
    </row>
    <row r="359" spans="1:37" x14ac:dyDescent="0.3">
      <c r="A359" s="284">
        <f>Table13[[#This Row],[Member Type]]</f>
        <v>0</v>
      </c>
      <c r="B359" s="284">
        <f>Table13[[#This Row],[Main Member Link ID]]</f>
        <v>0</v>
      </c>
      <c r="C359" s="284">
        <f>Table13[[#This Row],[ID Number]]</f>
        <v>0</v>
      </c>
      <c r="D359" s="285">
        <f>Table13[[#This Row],[Date Of Birth]]</f>
        <v>0</v>
      </c>
      <c r="E359" s="285">
        <f>Table13[[#This Row],[Commencement Date]]</f>
        <v>0</v>
      </c>
      <c r="F359" s="284">
        <f t="shared" si="35"/>
        <v>1</v>
      </c>
      <c r="G359" s="284">
        <f t="shared" si="36"/>
        <v>25</v>
      </c>
      <c r="H359" s="286">
        <f>Table13[[#This Row],[Product Option]]</f>
        <v>0</v>
      </c>
      <c r="I359" s="284">
        <f>IF(AND($A359="Main Member",Table2[[#This Row],[Product Option]]="My Value Plus Life"),"MM_LIFE",
IF(AND($A359="Spouse",Table2[[#This Row],[Product Option]]="My Value Plus Life"),"SP_LIFE",
IF(AND($A359="Main Member",Table2[[#This Row],[Product Option]]="My Value Plus Life &amp; Funeral"),"MM_LIFE",
IF(AND($A359="Spouse",Table2[[#This Row],[Product Option]]="My Value Plus Life &amp; Funeral"),_xlfn.XLOOKUP(Table2[[#This Row],[Benefit Name]],Lookups!$D$18:$D$23,Lookups!$E$18:$E$23,0),
0))))</f>
        <v>0</v>
      </c>
      <c r="J359" s="284">
        <f>IF($I359="","",
IF($I359="MM_LIFE",INDEX('Quotation Tool'!$S$54:$V$60,MATCH($T359,'Quotation Tool'!$S$54:$S$60,0),4),
IF($I359="SP_LIFE",_xlfn.XLOOKUP(B358,$B:$B,$J:$J,0),0)))</f>
        <v>0</v>
      </c>
      <c r="K359" s="287">
        <f t="shared" ca="1" si="40"/>
        <v>0</v>
      </c>
      <c r="L359" s="288">
        <f t="shared" ca="1" si="41"/>
        <v>0</v>
      </c>
      <c r="M359" s="289">
        <f t="shared" ca="1" si="37"/>
        <v>0</v>
      </c>
      <c r="N359" s="286">
        <f>Table13[[#This Row],[Benefit Option]]</f>
        <v>0</v>
      </c>
      <c r="O359" s="284">
        <f>IF(OR(Table2[[#This Row],[Member Type]]="Spouse",Table2[[#This Row],[Member Type]]="Child"),0,
IF(_xlfn.XLOOKUP($N359,Lookups!$D$13:$D$27,Lookups!$F$13:$F$27,0)=Table2[[#This Row],[Table Lookup for Life Cover]],0,
_xlfn.XLOOKUP($N359,Lookups!$D$13:$D$27,Lookups!$F$13:$F$27,0)))</f>
        <v>0</v>
      </c>
      <c r="P359" s="284">
        <f>IF(Table2[[#This Row],[Table Lookup for Funeral]]=0,0,IFERROR(INDEX('Quotation Tool'!$S$54:$V$60,MATCH($T359,'Quotation Tool'!$S$54:$S$60,0),3),0))</f>
        <v>0</v>
      </c>
      <c r="Q359" s="288">
        <f ca="1">IF(OR(Table2[[#This Row],[Benefit Name]]="My Value Plus Life - Main Member",Table2[[#This Row],[Benefit Name]]="My Value Plus Life - Spouse"),0,
IFERROR(VLOOKUP($G359,INDIRECT($O359),$P359,FALSE),0))</f>
        <v>0</v>
      </c>
      <c r="R359" s="288">
        <f ca="1">IF(OR(Table2[[#This Row],[Benefit Name]]="My Value Plus Life - Main Member",Table2[[#This Row],[Benefit Name]]="My Value Plus Life - Spouse"),0,
IFERROR(VLOOKUP($G359,INDIRECT($O359),$P359+1,FALSE),0))</f>
        <v>0</v>
      </c>
      <c r="S359" s="289">
        <f t="shared" ca="1" si="38"/>
        <v>0</v>
      </c>
      <c r="T359" s="284" t="str">
        <f>IF(Table13[[#This Row],[Premium Waiver]]="","None",Table13[[#This Row],[Premium Waiver]])</f>
        <v>None</v>
      </c>
      <c r="U359" s="284">
        <f>Table13[[#This Row],[VAPs Options]]</f>
        <v>0</v>
      </c>
      <c r="V359" s="284">
        <f>Table13[[#This Row],[Annual Increase Option]]</f>
        <v>0</v>
      </c>
      <c r="W359" s="290">
        <f>Table13[[#This Row],[Life Cover Amount]]</f>
        <v>0</v>
      </c>
      <c r="X359" s="290">
        <f>Table13[[#This Row],[Funeral Cover Amount]]</f>
        <v>0</v>
      </c>
      <c r="Y35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5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59" s="301">
        <f t="shared" ca="1" si="39"/>
        <v>0</v>
      </c>
      <c r="AB359" s="298"/>
      <c r="AC359" s="326" t="str">
        <f>IF(Table2[[#This Row],[Member Type]]="Main Member",Lookups!$C$13,
IF(Table2[[#This Row],[Member Type]]="Spouse",_xlfn.XLOOKUP(B359,Table2[Main Member Link ID],Table2[Product Option],0),
IF(AND(Table2[[#This Row],[Member Type]]="Child",_xlfn.XLOOKUP(B359,Table2[Main Member Link ID],Table2[Product Option],0)&lt;&gt;"My Value Plus Life"),Lookups!$C$24,
IF(AND(OR(Table2[[#This Row],[Member Type]]="Parent",Table2[[#This Row],[Member Type]]="Extended"),_xlfn.XLOOKUP(B359,Table2[Main Member Link ID],Table2[Product Option],0)&lt;&gt;"My Value Plus Life"),Lookups!$C$26,""))))</f>
        <v/>
      </c>
      <c r="AD359" s="326" t="str">
        <f>IF(Table2[[#This Row],[Member Type]]="Main Member",Lookups!$C$14,"")</f>
        <v/>
      </c>
      <c r="AE35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Funeral",_xlfn.XLOOKUP(B359,Table2[Main Member Link ID],Table2[Benefit Name],0)=Lookups!$D$14),"",
IF(AND(Table2[[#This Row],[Member Type]]="Spouse",Table2[[#This Row],[Product Option]]="My Value Plus Life &amp; Funeral",_xlfn.XLOOKUP(B358,Table2[Main Member Link ID],Table2[Benefit Name],0)=Lookups!$D$15),Lookups!$D$20,
IF(AND(Table2[[#This Row],[Member Type]]="Spouse",Table2[[#This Row],[Product Option]]="My Value Plus Life &amp; Funeral",_xlfn.XLOOKUP(B358,Table2[Main Member Link ID],Table2[Benefit Name],0)=Lookups!$D$16),"",
IF(AND(Table2[[#This Row],[Member Type]]="Spouse",Table2[[#This Row],[Product Option]]="My Value Plus Life &amp; Funeral",_xlfn.XLOOKUP(B358,Table2[Main Member Link ID],Table2[Benefit Name],0)=Lookups!$D$17),Lookups!$D$21,
IF(AND(Table2[[#This Row],[Member Type]]="Child",Table2[[#This Row],[Product Option]]="My Value Plus Life &amp; Funeral",_xlfn.XLOOKUP(B359,Table2[Main Member Link ID],Table2[Benefit Name],0)=Lookups!$D$14),"",
IF(AND(Table2[[#This Row],[Member Type]]="Child",Table2[[#This Row],[Product Option]]="My Value Plus Life &amp; Funeral",_xlfn.XLOOKUP(B359,Table2[Main Member Link ID],Table2[Benefit Name],0)=Lookups!$D$15),"",
IF(AND(Table2[[#This Row],[Member Type]]="Child",Table2[[#This Row],[Product Option]]="My Value Plus Life &amp; Funeral",_xlfn.XLOOKUP(B359,Table2[Main Member Link ID],Table2[Benefit Name],0)=Lookups!$D$16),Lookups!$D$24,
IF(AND(Table2[[#This Row],[Member Type]]="Child",Table2[[#This Row],[Product Option]]="My Value Plus Life &amp; Funeral",_xlfn.XLOOKUP(B359,Table2[Main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Funeral",_xlfn.XLOOKUP(B359,Table2[Main Member Link ID],Table2[Benefit Name],0)&lt;&gt;Lookups!$D$14),
IF(_xlfn.XLOOKUP(B359,Table2[Main Member Link ID],Table2[Benefit Name],0)=0,"",_xlfn.XLOOKUP(B359,Table2[Main Member Link ID],Table2[Benefit Name],0)),"")))))))))))))))</f>
        <v/>
      </c>
      <c r="AF359" s="327" t="str">
        <f>IF(AND(Table2[[#This Row],[Member Type]]="Main Member",Table2[[#This Row],[Product Option]]="My Value Plus Life &amp; Funeral"),Lookups!$D$15,
IF(AND(Table2[[#This Row],[Member Type]]="Spouse",Table2[[#This Row],[Product Option]]="My Value Plus Life &amp; Funeral",_xlfn.XLOOKUP(B359,Table2[Main Member Link ID],Table2[Benefit Name],0)=Lookups!$D$14),"",
IF(AND(Table2[[#This Row],[Member Type]]="Spouse",Table2[[#This Row],[Product Option]]="My Value Plus Life &amp; Funeral",_xlfn.XLOOKUP(B358,Table2[Main Member Link ID],Table2[Benefit Name],0)=Lookups!$D$16),"",
IF(AND(Table2[[#This Row],[Member Type]]="Spouse",Table2[[#This Row],[Product Option]]="My Value Plus Life &amp; Funeral",_xlfn.XLOOKUP(B358,Table2[Main Member Link ID],Table2[Benefit Name],0)=Lookups!$D$15),"",
IF(AND(Table2[[#This Row],[Member Type]]="Spouse",Table2[[#This Row],[Product Option]]="My Value Plus Life &amp; Funeral",_xlfn.XLOOKUP(B358,Table2[Main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Funeral",_xlfn.XLOOKUP(B359,Table2[Main Member Link ID],Table2[Benefit Name],0)&lt;&gt;Lookups!$D$15),
IF(_xlfn.XLOOKUP(B359,Table2[Main Member Link ID],Table2[Benefit Name],0)=0,"",_xlfn.XLOOKUP(B359,Table2[Main Member Link ID],Table2[Benefit Name],0)),"")
))))))</f>
        <v/>
      </c>
      <c r="AG359" s="327" t="str">
        <f>IF(AND(Table2[[#This Row],[Member Type]]="Main Member",Table2[[#This Row],[Product Option]]="My Value Plus Life &amp; Funeral"),Lookups!$D$16,
IF(AND(Table2[[#This Row],[Member Type]]="Spouse",Table2[[#This Row],[Product Option]]="My Value Plus Life &amp; Funeral",_xlfn.XLOOKUP(B359,Table2[Main Member Link ID],Table2[Benefit Name],0)=Lookups!$D$14),"",
IF(AND(Table2[[#This Row],[Member Type]]="Spouse",Table2[[#This Row],[Product Option]]="My Value Plus Life &amp; Funeral",_xlfn.XLOOKUP(B358,Table2[Main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Funeral",_xlfn.XLOOKUP(B359,Table2[Main Member Link ID],Table2[Benefit Name],0)&lt;&gt;Lookups!$D$16),
IF(_xlfn.XLOOKUP(B359,Table2[Main Member Link ID],Table2[Benefit Name],0)=0,"",_xlfn.XLOOKUP(B359,Table2[Main Member Link ID],Table2[Benefit Name],0)),"")
))))</f>
        <v/>
      </c>
      <c r="AH359" s="327" t="str">
        <f>IF(AND(Table2[[#This Row],[Member Type]]="Main Member",Table2[[#This Row],[Product Option]]="My Value Plus Life &amp; Funeral"),Lookups!$D$17,
IF(AND(Table2[[#This Row],[Member Type]]="Spouse",Table2[[#This Row],[Product Option]]="My Value Plus Life &amp; Funeral",_xlfn.XLOOKUP(B359,Table2[Main Member Link ID],Table2[Benefit Name],0)=Lookups!$D$14),"",
IF(AND(Table2[[#This Row],[Member Type]]="Spouse",Table2[[#This Row],[Product Option]]="My Value Plus Life &amp; Funeral",_xlfn.XLOOKUP(B358,Table2[Main Member Link ID],Table2[Benefit Name],0)=Lookups!$D$16),"",
IF(AND(Table2[[#This Row],[Member Type]]="Child",Table2[[#This Row],[Product Option]]="My Value Plus Life &amp; Funeral"),"",
IF(AND(Table2[[#This Row],[Member Type]]="Child",Table2[[#This Row],[Product Option]]="My Value Plus Life &amp; Funeral",_xlfn.XLOOKUP(B359,Table2[Main Member Link ID],Table2[Benefit Name],0)=Lookups!$D$15),"",
IF(AND(OR(Table2[[#This Row],[Member Type]]="Spouse",Table2[[#This Row],[Member Type]]="Child"),Table2[[#This Row],[Product Option]]="My Value Plus Life &amp; Funeral",_xlfn.XLOOKUP(B359,Table2[Main Member Link ID],Table2[Benefit Name],0)&lt;&gt;Lookups!$D$17),
IF(_xlfn.XLOOKUP(B359,Table2[Main Member Link ID],Table2[Benefit Name],0)=0,"",_xlfn.XLOOKUP(B359,Table2[Main Member Link ID],Table2[Benefit Name],0)),""))))))</f>
        <v/>
      </c>
      <c r="AI359" s="328" t="str">
        <f>IF(AND(Table2[[#This Row],[Member Type]]="Main Member",Table2[[#This Row],[Table Lookup for Life Cover]]="MM_LIFE",Table2[[#This Row],[Age Next Birthday]]&lt;56),1,
IF(AND(Table2[[#This Row],[Member Type]]="Main Member",Table2[[#This Row],[Table Lookup for Life Cover]]="MM_LIFE",Table2[[#This Row],[Age Next Birthday]]&gt;=56),2,
""))</f>
        <v/>
      </c>
      <c r="AJ359" s="328">
        <f>IF(OR(Table2[[#This Row],[Member Type]]="Main Member",Table2[[#This Row],[Main Member Link ID]]=B358),1,0)</f>
        <v>1</v>
      </c>
      <c r="AK359" s="328">
        <f>IF(Table2[[#This Row],[Member Type]]=0,0,
IF(OR(Table2[[#This Row],[Member Type]]="Main Member",Table2[[#This Row],[Main Member Link ID]]&lt;&gt;B359),COUNTIFS(B:B,Table2[[#This Row],[Main Member Link ID]]),
COUNTIFS(B:B,Table2[[#This Row],[Main Member Link ID]],A:A,Table2[[#This Row],[Member Type]])))</f>
        <v>0</v>
      </c>
    </row>
    <row r="360" spans="1:37" x14ac:dyDescent="0.3">
      <c r="A360" s="284">
        <f>Table13[[#This Row],[Member Type]]</f>
        <v>0</v>
      </c>
      <c r="B360" s="284">
        <f>Table13[[#This Row],[Main Member Link ID]]</f>
        <v>0</v>
      </c>
      <c r="C360" s="284">
        <f>Table13[[#This Row],[ID Number]]</f>
        <v>0</v>
      </c>
      <c r="D360" s="285">
        <f>Table13[[#This Row],[Date Of Birth]]</f>
        <v>0</v>
      </c>
      <c r="E360" s="285">
        <f>Table13[[#This Row],[Commencement Date]]</f>
        <v>0</v>
      </c>
      <c r="F360" s="284">
        <f t="shared" si="35"/>
        <v>1</v>
      </c>
      <c r="G360" s="284">
        <f t="shared" si="36"/>
        <v>25</v>
      </c>
      <c r="H360" s="286">
        <f>Table13[[#This Row],[Product Option]]</f>
        <v>0</v>
      </c>
      <c r="I360" s="284">
        <f>IF(AND($A360="Main Member",Table2[[#This Row],[Product Option]]="My Value Plus Life"),"MM_LIFE",
IF(AND($A360="Spouse",Table2[[#This Row],[Product Option]]="My Value Plus Life"),"SP_LIFE",
IF(AND($A360="Main Member",Table2[[#This Row],[Product Option]]="My Value Plus Life &amp; Funeral"),"MM_LIFE",
IF(AND($A360="Spouse",Table2[[#This Row],[Product Option]]="My Value Plus Life &amp; Funeral"),_xlfn.XLOOKUP(Table2[[#This Row],[Benefit Name]],Lookups!$D$18:$D$23,Lookups!$E$18:$E$23,0),
0))))</f>
        <v>0</v>
      </c>
      <c r="J360" s="284">
        <f>IF($I360="","",
IF($I360="MM_LIFE",INDEX('Quotation Tool'!$S$54:$V$60,MATCH($T360,'Quotation Tool'!$S$54:$S$60,0),4),
IF($I360="SP_LIFE",_xlfn.XLOOKUP(B359,$B:$B,$J:$J,0),0)))</f>
        <v>0</v>
      </c>
      <c r="K360" s="287">
        <f t="shared" ca="1" si="40"/>
        <v>0</v>
      </c>
      <c r="L360" s="288">
        <f t="shared" ca="1" si="41"/>
        <v>0</v>
      </c>
      <c r="M360" s="289">
        <f t="shared" ca="1" si="37"/>
        <v>0</v>
      </c>
      <c r="N360" s="286">
        <f>Table13[[#This Row],[Benefit Option]]</f>
        <v>0</v>
      </c>
      <c r="O360" s="284">
        <f>IF(OR(Table2[[#This Row],[Member Type]]="Spouse",Table2[[#This Row],[Member Type]]="Child"),0,
IF(_xlfn.XLOOKUP($N360,Lookups!$D$13:$D$27,Lookups!$F$13:$F$27,0)=Table2[[#This Row],[Table Lookup for Life Cover]],0,
_xlfn.XLOOKUP($N360,Lookups!$D$13:$D$27,Lookups!$F$13:$F$27,0)))</f>
        <v>0</v>
      </c>
      <c r="P360" s="284">
        <f>IF(Table2[[#This Row],[Table Lookup for Funeral]]=0,0,IFERROR(INDEX('Quotation Tool'!$S$54:$V$60,MATCH($T360,'Quotation Tool'!$S$54:$S$60,0),3),0))</f>
        <v>0</v>
      </c>
      <c r="Q360" s="288">
        <f ca="1">IF(OR(Table2[[#This Row],[Benefit Name]]="My Value Plus Life - Main Member",Table2[[#This Row],[Benefit Name]]="My Value Plus Life - Spouse"),0,
IFERROR(VLOOKUP($G360,INDIRECT($O360),$P360,FALSE),0))</f>
        <v>0</v>
      </c>
      <c r="R360" s="288">
        <f ca="1">IF(OR(Table2[[#This Row],[Benefit Name]]="My Value Plus Life - Main Member",Table2[[#This Row],[Benefit Name]]="My Value Plus Life - Spouse"),0,
IFERROR(VLOOKUP($G360,INDIRECT($O360),$P360+1,FALSE),0))</f>
        <v>0</v>
      </c>
      <c r="S360" s="289">
        <f t="shared" ca="1" si="38"/>
        <v>0</v>
      </c>
      <c r="T360" s="284" t="str">
        <f>IF(Table13[[#This Row],[Premium Waiver]]="","None",Table13[[#This Row],[Premium Waiver]])</f>
        <v>None</v>
      </c>
      <c r="U360" s="284">
        <f>Table13[[#This Row],[VAPs Options]]</f>
        <v>0</v>
      </c>
      <c r="V360" s="284">
        <f>Table13[[#This Row],[Annual Increase Option]]</f>
        <v>0</v>
      </c>
      <c r="W360" s="290">
        <f>Table13[[#This Row],[Life Cover Amount]]</f>
        <v>0</v>
      </c>
      <c r="X360" s="290">
        <f>Table13[[#This Row],[Funeral Cover Amount]]</f>
        <v>0</v>
      </c>
      <c r="Y36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6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60" s="301">
        <f t="shared" ca="1" si="39"/>
        <v>0</v>
      </c>
      <c r="AB360" s="298"/>
      <c r="AC360" s="326" t="str">
        <f>IF(Table2[[#This Row],[Member Type]]="Main Member",Lookups!$C$13,
IF(Table2[[#This Row],[Member Type]]="Spouse",_xlfn.XLOOKUP(B360,Table2[Main Member Link ID],Table2[Product Option],0),
IF(AND(Table2[[#This Row],[Member Type]]="Child",_xlfn.XLOOKUP(B360,Table2[Main Member Link ID],Table2[Product Option],0)&lt;&gt;"My Value Plus Life"),Lookups!$C$24,
IF(AND(OR(Table2[[#This Row],[Member Type]]="Parent",Table2[[#This Row],[Member Type]]="Extended"),_xlfn.XLOOKUP(B360,Table2[Main Member Link ID],Table2[Product Option],0)&lt;&gt;"My Value Plus Life"),Lookups!$C$26,""))))</f>
        <v/>
      </c>
      <c r="AD360" s="326" t="str">
        <f>IF(Table2[[#This Row],[Member Type]]="Main Member",Lookups!$C$14,"")</f>
        <v/>
      </c>
      <c r="AE36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Funeral",_xlfn.XLOOKUP(B360,Table2[Main Member Link ID],Table2[Benefit Name],0)=Lookups!$D$14),"",
IF(AND(Table2[[#This Row],[Member Type]]="Spouse",Table2[[#This Row],[Product Option]]="My Value Plus Life &amp; Funeral",_xlfn.XLOOKUP(B359,Table2[Main Member Link ID],Table2[Benefit Name],0)=Lookups!$D$15),Lookups!$D$20,
IF(AND(Table2[[#This Row],[Member Type]]="Spouse",Table2[[#This Row],[Product Option]]="My Value Plus Life &amp; Funeral",_xlfn.XLOOKUP(B359,Table2[Main Member Link ID],Table2[Benefit Name],0)=Lookups!$D$16),"",
IF(AND(Table2[[#This Row],[Member Type]]="Spouse",Table2[[#This Row],[Product Option]]="My Value Plus Life &amp; Funeral",_xlfn.XLOOKUP(B359,Table2[Main Member Link ID],Table2[Benefit Name],0)=Lookups!$D$17),Lookups!$D$21,
IF(AND(Table2[[#This Row],[Member Type]]="Child",Table2[[#This Row],[Product Option]]="My Value Plus Life &amp; Funeral",_xlfn.XLOOKUP(B360,Table2[Main Member Link ID],Table2[Benefit Name],0)=Lookups!$D$14),"",
IF(AND(Table2[[#This Row],[Member Type]]="Child",Table2[[#This Row],[Product Option]]="My Value Plus Life &amp; Funeral",_xlfn.XLOOKUP(B360,Table2[Main Member Link ID],Table2[Benefit Name],0)=Lookups!$D$15),"",
IF(AND(Table2[[#This Row],[Member Type]]="Child",Table2[[#This Row],[Product Option]]="My Value Plus Life &amp; Funeral",_xlfn.XLOOKUP(B360,Table2[Main Member Link ID],Table2[Benefit Name],0)=Lookups!$D$16),Lookups!$D$24,
IF(AND(Table2[[#This Row],[Member Type]]="Child",Table2[[#This Row],[Product Option]]="My Value Plus Life &amp; Funeral",_xlfn.XLOOKUP(B360,Table2[Main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Funeral",_xlfn.XLOOKUP(B360,Table2[Main Member Link ID],Table2[Benefit Name],0)&lt;&gt;Lookups!$D$14),
IF(_xlfn.XLOOKUP(B360,Table2[Main Member Link ID],Table2[Benefit Name],0)=0,"",_xlfn.XLOOKUP(B360,Table2[Main Member Link ID],Table2[Benefit Name],0)),"")))))))))))))))</f>
        <v/>
      </c>
      <c r="AF360" s="327" t="str">
        <f>IF(AND(Table2[[#This Row],[Member Type]]="Main Member",Table2[[#This Row],[Product Option]]="My Value Plus Life &amp; Funeral"),Lookups!$D$15,
IF(AND(Table2[[#This Row],[Member Type]]="Spouse",Table2[[#This Row],[Product Option]]="My Value Plus Life &amp; Funeral",_xlfn.XLOOKUP(B360,Table2[Main Member Link ID],Table2[Benefit Name],0)=Lookups!$D$14),"",
IF(AND(Table2[[#This Row],[Member Type]]="Spouse",Table2[[#This Row],[Product Option]]="My Value Plus Life &amp; Funeral",_xlfn.XLOOKUP(B359,Table2[Main Member Link ID],Table2[Benefit Name],0)=Lookups!$D$16),"",
IF(AND(Table2[[#This Row],[Member Type]]="Spouse",Table2[[#This Row],[Product Option]]="My Value Plus Life &amp; Funeral",_xlfn.XLOOKUP(B359,Table2[Main Member Link ID],Table2[Benefit Name],0)=Lookups!$D$15),"",
IF(AND(Table2[[#This Row],[Member Type]]="Spouse",Table2[[#This Row],[Product Option]]="My Value Plus Life &amp; Funeral",_xlfn.XLOOKUP(B359,Table2[Main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Funeral",_xlfn.XLOOKUP(B360,Table2[Main Member Link ID],Table2[Benefit Name],0)&lt;&gt;Lookups!$D$15),
IF(_xlfn.XLOOKUP(B360,Table2[Main Member Link ID],Table2[Benefit Name],0)=0,"",_xlfn.XLOOKUP(B360,Table2[Main Member Link ID],Table2[Benefit Name],0)),"")
))))))</f>
        <v/>
      </c>
      <c r="AG360" s="327" t="str">
        <f>IF(AND(Table2[[#This Row],[Member Type]]="Main Member",Table2[[#This Row],[Product Option]]="My Value Plus Life &amp; Funeral"),Lookups!$D$16,
IF(AND(Table2[[#This Row],[Member Type]]="Spouse",Table2[[#This Row],[Product Option]]="My Value Plus Life &amp; Funeral",_xlfn.XLOOKUP(B360,Table2[Main Member Link ID],Table2[Benefit Name],0)=Lookups!$D$14),"",
IF(AND(Table2[[#This Row],[Member Type]]="Spouse",Table2[[#This Row],[Product Option]]="My Value Plus Life &amp; Funeral",_xlfn.XLOOKUP(B359,Table2[Main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Funeral",_xlfn.XLOOKUP(B360,Table2[Main Member Link ID],Table2[Benefit Name],0)&lt;&gt;Lookups!$D$16),
IF(_xlfn.XLOOKUP(B360,Table2[Main Member Link ID],Table2[Benefit Name],0)=0,"",_xlfn.XLOOKUP(B360,Table2[Main Member Link ID],Table2[Benefit Name],0)),"")
))))</f>
        <v/>
      </c>
      <c r="AH360" s="327" t="str">
        <f>IF(AND(Table2[[#This Row],[Member Type]]="Main Member",Table2[[#This Row],[Product Option]]="My Value Plus Life &amp; Funeral"),Lookups!$D$17,
IF(AND(Table2[[#This Row],[Member Type]]="Spouse",Table2[[#This Row],[Product Option]]="My Value Plus Life &amp; Funeral",_xlfn.XLOOKUP(B360,Table2[Main Member Link ID],Table2[Benefit Name],0)=Lookups!$D$14),"",
IF(AND(Table2[[#This Row],[Member Type]]="Spouse",Table2[[#This Row],[Product Option]]="My Value Plus Life &amp; Funeral",_xlfn.XLOOKUP(B359,Table2[Main Member Link ID],Table2[Benefit Name],0)=Lookups!$D$16),"",
IF(AND(Table2[[#This Row],[Member Type]]="Child",Table2[[#This Row],[Product Option]]="My Value Plus Life &amp; Funeral"),"",
IF(AND(Table2[[#This Row],[Member Type]]="Child",Table2[[#This Row],[Product Option]]="My Value Plus Life &amp; Funeral",_xlfn.XLOOKUP(B360,Table2[Main Member Link ID],Table2[Benefit Name],0)=Lookups!$D$15),"",
IF(AND(OR(Table2[[#This Row],[Member Type]]="Spouse",Table2[[#This Row],[Member Type]]="Child"),Table2[[#This Row],[Product Option]]="My Value Plus Life &amp; Funeral",_xlfn.XLOOKUP(B360,Table2[Main Member Link ID],Table2[Benefit Name],0)&lt;&gt;Lookups!$D$17),
IF(_xlfn.XLOOKUP(B360,Table2[Main Member Link ID],Table2[Benefit Name],0)=0,"",_xlfn.XLOOKUP(B360,Table2[Main Member Link ID],Table2[Benefit Name],0)),""))))))</f>
        <v/>
      </c>
      <c r="AI360" s="328" t="str">
        <f>IF(AND(Table2[[#This Row],[Member Type]]="Main Member",Table2[[#This Row],[Table Lookup for Life Cover]]="MM_LIFE",Table2[[#This Row],[Age Next Birthday]]&lt;56),1,
IF(AND(Table2[[#This Row],[Member Type]]="Main Member",Table2[[#This Row],[Table Lookup for Life Cover]]="MM_LIFE",Table2[[#This Row],[Age Next Birthday]]&gt;=56),2,
""))</f>
        <v/>
      </c>
      <c r="AJ360" s="328">
        <f>IF(OR(Table2[[#This Row],[Member Type]]="Main Member",Table2[[#This Row],[Main Member Link ID]]=B359),1,0)</f>
        <v>1</v>
      </c>
      <c r="AK360" s="328">
        <f>IF(Table2[[#This Row],[Member Type]]=0,0,
IF(OR(Table2[[#This Row],[Member Type]]="Main Member",Table2[[#This Row],[Main Member Link ID]]&lt;&gt;B360),COUNTIFS(B:B,Table2[[#This Row],[Main Member Link ID]]),
COUNTIFS(B:B,Table2[[#This Row],[Main Member Link ID]],A:A,Table2[[#This Row],[Member Type]])))</f>
        <v>0</v>
      </c>
    </row>
    <row r="361" spans="1:37" x14ac:dyDescent="0.3">
      <c r="A361" s="284">
        <f>Table13[[#This Row],[Member Type]]</f>
        <v>0</v>
      </c>
      <c r="B361" s="284">
        <f>Table13[[#This Row],[Main Member Link ID]]</f>
        <v>0</v>
      </c>
      <c r="C361" s="284">
        <f>Table13[[#This Row],[ID Number]]</f>
        <v>0</v>
      </c>
      <c r="D361" s="285">
        <f>Table13[[#This Row],[Date Of Birth]]</f>
        <v>0</v>
      </c>
      <c r="E361" s="285">
        <f>Table13[[#This Row],[Commencement Date]]</f>
        <v>0</v>
      </c>
      <c r="F361" s="284">
        <f t="shared" si="35"/>
        <v>1</v>
      </c>
      <c r="G361" s="284">
        <f t="shared" si="36"/>
        <v>25</v>
      </c>
      <c r="H361" s="286">
        <f>Table13[[#This Row],[Product Option]]</f>
        <v>0</v>
      </c>
      <c r="I361" s="284">
        <f>IF(AND($A361="Main Member",Table2[[#This Row],[Product Option]]="My Value Plus Life"),"MM_LIFE",
IF(AND($A361="Spouse",Table2[[#This Row],[Product Option]]="My Value Plus Life"),"SP_LIFE",
IF(AND($A361="Main Member",Table2[[#This Row],[Product Option]]="My Value Plus Life &amp; Funeral"),"MM_LIFE",
IF(AND($A361="Spouse",Table2[[#This Row],[Product Option]]="My Value Plus Life &amp; Funeral"),_xlfn.XLOOKUP(Table2[[#This Row],[Benefit Name]],Lookups!$D$18:$D$23,Lookups!$E$18:$E$23,0),
0))))</f>
        <v>0</v>
      </c>
      <c r="J361" s="284">
        <f>IF($I361="","",
IF($I361="MM_LIFE",INDEX('Quotation Tool'!$S$54:$V$60,MATCH($T361,'Quotation Tool'!$S$54:$S$60,0),4),
IF($I361="SP_LIFE",_xlfn.XLOOKUP(B360,$B:$B,$J:$J,0),0)))</f>
        <v>0</v>
      </c>
      <c r="K361" s="287">
        <f t="shared" ca="1" si="40"/>
        <v>0</v>
      </c>
      <c r="L361" s="288">
        <f t="shared" ca="1" si="41"/>
        <v>0</v>
      </c>
      <c r="M361" s="289">
        <f t="shared" ca="1" si="37"/>
        <v>0</v>
      </c>
      <c r="N361" s="286">
        <f>Table13[[#This Row],[Benefit Option]]</f>
        <v>0</v>
      </c>
      <c r="O361" s="284">
        <f>IF(OR(Table2[[#This Row],[Member Type]]="Spouse",Table2[[#This Row],[Member Type]]="Child"),0,
IF(_xlfn.XLOOKUP($N361,Lookups!$D$13:$D$27,Lookups!$F$13:$F$27,0)=Table2[[#This Row],[Table Lookup for Life Cover]],0,
_xlfn.XLOOKUP($N361,Lookups!$D$13:$D$27,Lookups!$F$13:$F$27,0)))</f>
        <v>0</v>
      </c>
      <c r="P361" s="284">
        <f>IF(Table2[[#This Row],[Table Lookup for Funeral]]=0,0,IFERROR(INDEX('Quotation Tool'!$S$54:$V$60,MATCH($T361,'Quotation Tool'!$S$54:$S$60,0),3),0))</f>
        <v>0</v>
      </c>
      <c r="Q361" s="288">
        <f ca="1">IF(OR(Table2[[#This Row],[Benefit Name]]="My Value Plus Life - Main Member",Table2[[#This Row],[Benefit Name]]="My Value Plus Life - Spouse"),0,
IFERROR(VLOOKUP($G361,INDIRECT($O361),$P361,FALSE),0))</f>
        <v>0</v>
      </c>
      <c r="R361" s="288">
        <f ca="1">IF(OR(Table2[[#This Row],[Benefit Name]]="My Value Plus Life - Main Member",Table2[[#This Row],[Benefit Name]]="My Value Plus Life - Spouse"),0,
IFERROR(VLOOKUP($G361,INDIRECT($O361),$P361+1,FALSE),0))</f>
        <v>0</v>
      </c>
      <c r="S361" s="289">
        <f t="shared" ca="1" si="38"/>
        <v>0</v>
      </c>
      <c r="T361" s="284" t="str">
        <f>IF(Table13[[#This Row],[Premium Waiver]]="","None",Table13[[#This Row],[Premium Waiver]])</f>
        <v>None</v>
      </c>
      <c r="U361" s="284">
        <f>Table13[[#This Row],[VAPs Options]]</f>
        <v>0</v>
      </c>
      <c r="V361" s="284">
        <f>Table13[[#This Row],[Annual Increase Option]]</f>
        <v>0</v>
      </c>
      <c r="W361" s="290">
        <f>Table13[[#This Row],[Life Cover Amount]]</f>
        <v>0</v>
      </c>
      <c r="X361" s="290">
        <f>Table13[[#This Row],[Funeral Cover Amount]]</f>
        <v>0</v>
      </c>
      <c r="Y36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6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61" s="301">
        <f t="shared" ca="1" si="39"/>
        <v>0</v>
      </c>
      <c r="AB361" s="298"/>
      <c r="AC361" s="326" t="str">
        <f>IF(Table2[[#This Row],[Member Type]]="Main Member",Lookups!$C$13,
IF(Table2[[#This Row],[Member Type]]="Spouse",_xlfn.XLOOKUP(B361,Table2[Main Member Link ID],Table2[Product Option],0),
IF(AND(Table2[[#This Row],[Member Type]]="Child",_xlfn.XLOOKUP(B361,Table2[Main Member Link ID],Table2[Product Option],0)&lt;&gt;"My Value Plus Life"),Lookups!$C$24,
IF(AND(OR(Table2[[#This Row],[Member Type]]="Parent",Table2[[#This Row],[Member Type]]="Extended"),_xlfn.XLOOKUP(B361,Table2[Main Member Link ID],Table2[Product Option],0)&lt;&gt;"My Value Plus Life"),Lookups!$C$26,""))))</f>
        <v/>
      </c>
      <c r="AD361" s="326" t="str">
        <f>IF(Table2[[#This Row],[Member Type]]="Main Member",Lookups!$C$14,"")</f>
        <v/>
      </c>
      <c r="AE36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Funeral",_xlfn.XLOOKUP(B361,Table2[Main Member Link ID],Table2[Benefit Name],0)=Lookups!$D$14),"",
IF(AND(Table2[[#This Row],[Member Type]]="Spouse",Table2[[#This Row],[Product Option]]="My Value Plus Life &amp; Funeral",_xlfn.XLOOKUP(B360,Table2[Main Member Link ID],Table2[Benefit Name],0)=Lookups!$D$15),Lookups!$D$20,
IF(AND(Table2[[#This Row],[Member Type]]="Spouse",Table2[[#This Row],[Product Option]]="My Value Plus Life &amp; Funeral",_xlfn.XLOOKUP(B360,Table2[Main Member Link ID],Table2[Benefit Name],0)=Lookups!$D$16),"",
IF(AND(Table2[[#This Row],[Member Type]]="Spouse",Table2[[#This Row],[Product Option]]="My Value Plus Life &amp; Funeral",_xlfn.XLOOKUP(B360,Table2[Main Member Link ID],Table2[Benefit Name],0)=Lookups!$D$17),Lookups!$D$21,
IF(AND(Table2[[#This Row],[Member Type]]="Child",Table2[[#This Row],[Product Option]]="My Value Plus Life &amp; Funeral",_xlfn.XLOOKUP(B361,Table2[Main Member Link ID],Table2[Benefit Name],0)=Lookups!$D$14),"",
IF(AND(Table2[[#This Row],[Member Type]]="Child",Table2[[#This Row],[Product Option]]="My Value Plus Life &amp; Funeral",_xlfn.XLOOKUP(B361,Table2[Main Member Link ID],Table2[Benefit Name],0)=Lookups!$D$15),"",
IF(AND(Table2[[#This Row],[Member Type]]="Child",Table2[[#This Row],[Product Option]]="My Value Plus Life &amp; Funeral",_xlfn.XLOOKUP(B361,Table2[Main Member Link ID],Table2[Benefit Name],0)=Lookups!$D$16),Lookups!$D$24,
IF(AND(Table2[[#This Row],[Member Type]]="Child",Table2[[#This Row],[Product Option]]="My Value Plus Life &amp; Funeral",_xlfn.XLOOKUP(B361,Table2[Main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Funeral",_xlfn.XLOOKUP(B361,Table2[Main Member Link ID],Table2[Benefit Name],0)&lt;&gt;Lookups!$D$14),
IF(_xlfn.XLOOKUP(B361,Table2[Main Member Link ID],Table2[Benefit Name],0)=0,"",_xlfn.XLOOKUP(B361,Table2[Main Member Link ID],Table2[Benefit Name],0)),"")))))))))))))))</f>
        <v/>
      </c>
      <c r="AF361" s="327" t="str">
        <f>IF(AND(Table2[[#This Row],[Member Type]]="Main Member",Table2[[#This Row],[Product Option]]="My Value Plus Life &amp; Funeral"),Lookups!$D$15,
IF(AND(Table2[[#This Row],[Member Type]]="Spouse",Table2[[#This Row],[Product Option]]="My Value Plus Life &amp; Funeral",_xlfn.XLOOKUP(B361,Table2[Main Member Link ID],Table2[Benefit Name],0)=Lookups!$D$14),"",
IF(AND(Table2[[#This Row],[Member Type]]="Spouse",Table2[[#This Row],[Product Option]]="My Value Plus Life &amp; Funeral",_xlfn.XLOOKUP(B360,Table2[Main Member Link ID],Table2[Benefit Name],0)=Lookups!$D$16),"",
IF(AND(Table2[[#This Row],[Member Type]]="Spouse",Table2[[#This Row],[Product Option]]="My Value Plus Life &amp; Funeral",_xlfn.XLOOKUP(B360,Table2[Main Member Link ID],Table2[Benefit Name],0)=Lookups!$D$15),"",
IF(AND(Table2[[#This Row],[Member Type]]="Spouse",Table2[[#This Row],[Product Option]]="My Value Plus Life &amp; Funeral",_xlfn.XLOOKUP(B360,Table2[Main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Funeral",_xlfn.XLOOKUP(B361,Table2[Main Member Link ID],Table2[Benefit Name],0)&lt;&gt;Lookups!$D$15),
IF(_xlfn.XLOOKUP(B361,Table2[Main Member Link ID],Table2[Benefit Name],0)=0,"",_xlfn.XLOOKUP(B361,Table2[Main Member Link ID],Table2[Benefit Name],0)),"")
))))))</f>
        <v/>
      </c>
      <c r="AG361" s="327" t="str">
        <f>IF(AND(Table2[[#This Row],[Member Type]]="Main Member",Table2[[#This Row],[Product Option]]="My Value Plus Life &amp; Funeral"),Lookups!$D$16,
IF(AND(Table2[[#This Row],[Member Type]]="Spouse",Table2[[#This Row],[Product Option]]="My Value Plus Life &amp; Funeral",_xlfn.XLOOKUP(B361,Table2[Main Member Link ID],Table2[Benefit Name],0)=Lookups!$D$14),"",
IF(AND(Table2[[#This Row],[Member Type]]="Spouse",Table2[[#This Row],[Product Option]]="My Value Plus Life &amp; Funeral",_xlfn.XLOOKUP(B360,Table2[Main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Funeral",_xlfn.XLOOKUP(B361,Table2[Main Member Link ID],Table2[Benefit Name],0)&lt;&gt;Lookups!$D$16),
IF(_xlfn.XLOOKUP(B361,Table2[Main Member Link ID],Table2[Benefit Name],0)=0,"",_xlfn.XLOOKUP(B361,Table2[Main Member Link ID],Table2[Benefit Name],0)),"")
))))</f>
        <v/>
      </c>
      <c r="AH361" s="327" t="str">
        <f>IF(AND(Table2[[#This Row],[Member Type]]="Main Member",Table2[[#This Row],[Product Option]]="My Value Plus Life &amp; Funeral"),Lookups!$D$17,
IF(AND(Table2[[#This Row],[Member Type]]="Spouse",Table2[[#This Row],[Product Option]]="My Value Plus Life &amp; Funeral",_xlfn.XLOOKUP(B361,Table2[Main Member Link ID],Table2[Benefit Name],0)=Lookups!$D$14),"",
IF(AND(Table2[[#This Row],[Member Type]]="Spouse",Table2[[#This Row],[Product Option]]="My Value Plus Life &amp; Funeral",_xlfn.XLOOKUP(B360,Table2[Main Member Link ID],Table2[Benefit Name],0)=Lookups!$D$16),"",
IF(AND(Table2[[#This Row],[Member Type]]="Child",Table2[[#This Row],[Product Option]]="My Value Plus Life &amp; Funeral"),"",
IF(AND(Table2[[#This Row],[Member Type]]="Child",Table2[[#This Row],[Product Option]]="My Value Plus Life &amp; Funeral",_xlfn.XLOOKUP(B361,Table2[Main Member Link ID],Table2[Benefit Name],0)=Lookups!$D$15),"",
IF(AND(OR(Table2[[#This Row],[Member Type]]="Spouse",Table2[[#This Row],[Member Type]]="Child"),Table2[[#This Row],[Product Option]]="My Value Plus Life &amp; Funeral",_xlfn.XLOOKUP(B361,Table2[Main Member Link ID],Table2[Benefit Name],0)&lt;&gt;Lookups!$D$17),
IF(_xlfn.XLOOKUP(B361,Table2[Main Member Link ID],Table2[Benefit Name],0)=0,"",_xlfn.XLOOKUP(B361,Table2[Main Member Link ID],Table2[Benefit Name],0)),""))))))</f>
        <v/>
      </c>
      <c r="AI361" s="328" t="str">
        <f>IF(AND(Table2[[#This Row],[Member Type]]="Main Member",Table2[[#This Row],[Table Lookup for Life Cover]]="MM_LIFE",Table2[[#This Row],[Age Next Birthday]]&lt;56),1,
IF(AND(Table2[[#This Row],[Member Type]]="Main Member",Table2[[#This Row],[Table Lookup for Life Cover]]="MM_LIFE",Table2[[#This Row],[Age Next Birthday]]&gt;=56),2,
""))</f>
        <v/>
      </c>
      <c r="AJ361" s="328">
        <f>IF(OR(Table2[[#This Row],[Member Type]]="Main Member",Table2[[#This Row],[Main Member Link ID]]=B360),1,0)</f>
        <v>1</v>
      </c>
      <c r="AK361" s="328">
        <f>IF(Table2[[#This Row],[Member Type]]=0,0,
IF(OR(Table2[[#This Row],[Member Type]]="Main Member",Table2[[#This Row],[Main Member Link ID]]&lt;&gt;B361),COUNTIFS(B:B,Table2[[#This Row],[Main Member Link ID]]),
COUNTIFS(B:B,Table2[[#This Row],[Main Member Link ID]],A:A,Table2[[#This Row],[Member Type]])))</f>
        <v>0</v>
      </c>
    </row>
    <row r="362" spans="1:37" x14ac:dyDescent="0.3">
      <c r="A362" s="284">
        <f>Table13[[#This Row],[Member Type]]</f>
        <v>0</v>
      </c>
      <c r="B362" s="284">
        <f>Table13[[#This Row],[Main Member Link ID]]</f>
        <v>0</v>
      </c>
      <c r="C362" s="284">
        <f>Table13[[#This Row],[ID Number]]</f>
        <v>0</v>
      </c>
      <c r="D362" s="285">
        <f>Table13[[#This Row],[Date Of Birth]]</f>
        <v>0</v>
      </c>
      <c r="E362" s="285">
        <f>Table13[[#This Row],[Commencement Date]]</f>
        <v>0</v>
      </c>
      <c r="F362" s="284">
        <f t="shared" si="35"/>
        <v>1</v>
      </c>
      <c r="G362" s="284">
        <f t="shared" si="36"/>
        <v>25</v>
      </c>
      <c r="H362" s="286">
        <f>Table13[[#This Row],[Product Option]]</f>
        <v>0</v>
      </c>
      <c r="I362" s="284">
        <f>IF(AND($A362="Main Member",Table2[[#This Row],[Product Option]]="My Value Plus Life"),"MM_LIFE",
IF(AND($A362="Spouse",Table2[[#This Row],[Product Option]]="My Value Plus Life"),"SP_LIFE",
IF(AND($A362="Main Member",Table2[[#This Row],[Product Option]]="My Value Plus Life &amp; Funeral"),"MM_LIFE",
IF(AND($A362="Spouse",Table2[[#This Row],[Product Option]]="My Value Plus Life &amp; Funeral"),_xlfn.XLOOKUP(Table2[[#This Row],[Benefit Name]],Lookups!$D$18:$D$23,Lookups!$E$18:$E$23,0),
0))))</f>
        <v>0</v>
      </c>
      <c r="J362" s="284">
        <f>IF($I362="","",
IF($I362="MM_LIFE",INDEX('Quotation Tool'!$S$54:$V$60,MATCH($T362,'Quotation Tool'!$S$54:$S$60,0),4),
IF($I362="SP_LIFE",_xlfn.XLOOKUP(B361,$B:$B,$J:$J,0),0)))</f>
        <v>0</v>
      </c>
      <c r="K362" s="287">
        <f t="shared" ca="1" si="40"/>
        <v>0</v>
      </c>
      <c r="L362" s="288">
        <f t="shared" ca="1" si="41"/>
        <v>0</v>
      </c>
      <c r="M362" s="289">
        <f t="shared" ca="1" si="37"/>
        <v>0</v>
      </c>
      <c r="N362" s="286">
        <f>Table13[[#This Row],[Benefit Option]]</f>
        <v>0</v>
      </c>
      <c r="O362" s="284">
        <f>IF(OR(Table2[[#This Row],[Member Type]]="Spouse",Table2[[#This Row],[Member Type]]="Child"),0,
IF(_xlfn.XLOOKUP($N362,Lookups!$D$13:$D$27,Lookups!$F$13:$F$27,0)=Table2[[#This Row],[Table Lookup for Life Cover]],0,
_xlfn.XLOOKUP($N362,Lookups!$D$13:$D$27,Lookups!$F$13:$F$27,0)))</f>
        <v>0</v>
      </c>
      <c r="P362" s="284">
        <f>IF(Table2[[#This Row],[Table Lookup for Funeral]]=0,0,IFERROR(INDEX('Quotation Tool'!$S$54:$V$60,MATCH($T362,'Quotation Tool'!$S$54:$S$60,0),3),0))</f>
        <v>0</v>
      </c>
      <c r="Q362" s="288">
        <f ca="1">IF(OR(Table2[[#This Row],[Benefit Name]]="My Value Plus Life - Main Member",Table2[[#This Row],[Benefit Name]]="My Value Plus Life - Spouse"),0,
IFERROR(VLOOKUP($G362,INDIRECT($O362),$P362,FALSE),0))</f>
        <v>0</v>
      </c>
      <c r="R362" s="288">
        <f ca="1">IF(OR(Table2[[#This Row],[Benefit Name]]="My Value Plus Life - Main Member",Table2[[#This Row],[Benefit Name]]="My Value Plus Life - Spouse"),0,
IFERROR(VLOOKUP($G362,INDIRECT($O362),$P362+1,FALSE),0))</f>
        <v>0</v>
      </c>
      <c r="S362" s="289">
        <f t="shared" ca="1" si="38"/>
        <v>0</v>
      </c>
      <c r="T362" s="284" t="str">
        <f>IF(Table13[[#This Row],[Premium Waiver]]="","None",Table13[[#This Row],[Premium Waiver]])</f>
        <v>None</v>
      </c>
      <c r="U362" s="284">
        <f>Table13[[#This Row],[VAPs Options]]</f>
        <v>0</v>
      </c>
      <c r="V362" s="284">
        <f>Table13[[#This Row],[Annual Increase Option]]</f>
        <v>0</v>
      </c>
      <c r="W362" s="290">
        <f>Table13[[#This Row],[Life Cover Amount]]</f>
        <v>0</v>
      </c>
      <c r="X362" s="290">
        <f>Table13[[#This Row],[Funeral Cover Amount]]</f>
        <v>0</v>
      </c>
      <c r="Y36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6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62" s="301">
        <f t="shared" ca="1" si="39"/>
        <v>0</v>
      </c>
      <c r="AB362" s="298"/>
      <c r="AC362" s="326" t="str">
        <f>IF(Table2[[#This Row],[Member Type]]="Main Member",Lookups!$C$13,
IF(Table2[[#This Row],[Member Type]]="Spouse",_xlfn.XLOOKUP(B362,Table2[Main Member Link ID],Table2[Product Option],0),
IF(AND(Table2[[#This Row],[Member Type]]="Child",_xlfn.XLOOKUP(B362,Table2[Main Member Link ID],Table2[Product Option],0)&lt;&gt;"My Value Plus Life"),Lookups!$C$24,
IF(AND(OR(Table2[[#This Row],[Member Type]]="Parent",Table2[[#This Row],[Member Type]]="Extended"),_xlfn.XLOOKUP(B362,Table2[Main Member Link ID],Table2[Product Option],0)&lt;&gt;"My Value Plus Life"),Lookups!$C$26,""))))</f>
        <v/>
      </c>
      <c r="AD362" s="326" t="str">
        <f>IF(Table2[[#This Row],[Member Type]]="Main Member",Lookups!$C$14,"")</f>
        <v/>
      </c>
      <c r="AE36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Funeral",_xlfn.XLOOKUP(B362,Table2[Main Member Link ID],Table2[Benefit Name],0)=Lookups!$D$14),"",
IF(AND(Table2[[#This Row],[Member Type]]="Spouse",Table2[[#This Row],[Product Option]]="My Value Plus Life &amp; Funeral",_xlfn.XLOOKUP(B361,Table2[Main Member Link ID],Table2[Benefit Name],0)=Lookups!$D$15),Lookups!$D$20,
IF(AND(Table2[[#This Row],[Member Type]]="Spouse",Table2[[#This Row],[Product Option]]="My Value Plus Life &amp; Funeral",_xlfn.XLOOKUP(B361,Table2[Main Member Link ID],Table2[Benefit Name],0)=Lookups!$D$16),"",
IF(AND(Table2[[#This Row],[Member Type]]="Spouse",Table2[[#This Row],[Product Option]]="My Value Plus Life &amp; Funeral",_xlfn.XLOOKUP(B361,Table2[Main Member Link ID],Table2[Benefit Name],0)=Lookups!$D$17),Lookups!$D$21,
IF(AND(Table2[[#This Row],[Member Type]]="Child",Table2[[#This Row],[Product Option]]="My Value Plus Life &amp; Funeral",_xlfn.XLOOKUP(B362,Table2[Main Member Link ID],Table2[Benefit Name],0)=Lookups!$D$14),"",
IF(AND(Table2[[#This Row],[Member Type]]="Child",Table2[[#This Row],[Product Option]]="My Value Plus Life &amp; Funeral",_xlfn.XLOOKUP(B362,Table2[Main Member Link ID],Table2[Benefit Name],0)=Lookups!$D$15),"",
IF(AND(Table2[[#This Row],[Member Type]]="Child",Table2[[#This Row],[Product Option]]="My Value Plus Life &amp; Funeral",_xlfn.XLOOKUP(B362,Table2[Main Member Link ID],Table2[Benefit Name],0)=Lookups!$D$16),Lookups!$D$24,
IF(AND(Table2[[#This Row],[Member Type]]="Child",Table2[[#This Row],[Product Option]]="My Value Plus Life &amp; Funeral",_xlfn.XLOOKUP(B362,Table2[Main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Funeral",_xlfn.XLOOKUP(B362,Table2[Main Member Link ID],Table2[Benefit Name],0)&lt;&gt;Lookups!$D$14),
IF(_xlfn.XLOOKUP(B362,Table2[Main Member Link ID],Table2[Benefit Name],0)=0,"",_xlfn.XLOOKUP(B362,Table2[Main Member Link ID],Table2[Benefit Name],0)),"")))))))))))))))</f>
        <v/>
      </c>
      <c r="AF362" s="327" t="str">
        <f>IF(AND(Table2[[#This Row],[Member Type]]="Main Member",Table2[[#This Row],[Product Option]]="My Value Plus Life &amp; Funeral"),Lookups!$D$15,
IF(AND(Table2[[#This Row],[Member Type]]="Spouse",Table2[[#This Row],[Product Option]]="My Value Plus Life &amp; Funeral",_xlfn.XLOOKUP(B362,Table2[Main Member Link ID],Table2[Benefit Name],0)=Lookups!$D$14),"",
IF(AND(Table2[[#This Row],[Member Type]]="Spouse",Table2[[#This Row],[Product Option]]="My Value Plus Life &amp; Funeral",_xlfn.XLOOKUP(B361,Table2[Main Member Link ID],Table2[Benefit Name],0)=Lookups!$D$16),"",
IF(AND(Table2[[#This Row],[Member Type]]="Spouse",Table2[[#This Row],[Product Option]]="My Value Plus Life &amp; Funeral",_xlfn.XLOOKUP(B361,Table2[Main Member Link ID],Table2[Benefit Name],0)=Lookups!$D$15),"",
IF(AND(Table2[[#This Row],[Member Type]]="Spouse",Table2[[#This Row],[Product Option]]="My Value Plus Life &amp; Funeral",_xlfn.XLOOKUP(B361,Table2[Main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Funeral",_xlfn.XLOOKUP(B362,Table2[Main Member Link ID],Table2[Benefit Name],0)&lt;&gt;Lookups!$D$15),
IF(_xlfn.XLOOKUP(B362,Table2[Main Member Link ID],Table2[Benefit Name],0)=0,"",_xlfn.XLOOKUP(B362,Table2[Main Member Link ID],Table2[Benefit Name],0)),"")
))))))</f>
        <v/>
      </c>
      <c r="AG362" s="327" t="str">
        <f>IF(AND(Table2[[#This Row],[Member Type]]="Main Member",Table2[[#This Row],[Product Option]]="My Value Plus Life &amp; Funeral"),Lookups!$D$16,
IF(AND(Table2[[#This Row],[Member Type]]="Spouse",Table2[[#This Row],[Product Option]]="My Value Plus Life &amp; Funeral",_xlfn.XLOOKUP(B362,Table2[Main Member Link ID],Table2[Benefit Name],0)=Lookups!$D$14),"",
IF(AND(Table2[[#This Row],[Member Type]]="Spouse",Table2[[#This Row],[Product Option]]="My Value Plus Life &amp; Funeral",_xlfn.XLOOKUP(B361,Table2[Main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Funeral",_xlfn.XLOOKUP(B362,Table2[Main Member Link ID],Table2[Benefit Name],0)&lt;&gt;Lookups!$D$16),
IF(_xlfn.XLOOKUP(B362,Table2[Main Member Link ID],Table2[Benefit Name],0)=0,"",_xlfn.XLOOKUP(B362,Table2[Main Member Link ID],Table2[Benefit Name],0)),"")
))))</f>
        <v/>
      </c>
      <c r="AH362" s="327" t="str">
        <f>IF(AND(Table2[[#This Row],[Member Type]]="Main Member",Table2[[#This Row],[Product Option]]="My Value Plus Life &amp; Funeral"),Lookups!$D$17,
IF(AND(Table2[[#This Row],[Member Type]]="Spouse",Table2[[#This Row],[Product Option]]="My Value Plus Life &amp; Funeral",_xlfn.XLOOKUP(B362,Table2[Main Member Link ID],Table2[Benefit Name],0)=Lookups!$D$14),"",
IF(AND(Table2[[#This Row],[Member Type]]="Spouse",Table2[[#This Row],[Product Option]]="My Value Plus Life &amp; Funeral",_xlfn.XLOOKUP(B361,Table2[Main Member Link ID],Table2[Benefit Name],0)=Lookups!$D$16),"",
IF(AND(Table2[[#This Row],[Member Type]]="Child",Table2[[#This Row],[Product Option]]="My Value Plus Life &amp; Funeral"),"",
IF(AND(Table2[[#This Row],[Member Type]]="Child",Table2[[#This Row],[Product Option]]="My Value Plus Life &amp; Funeral",_xlfn.XLOOKUP(B362,Table2[Main Member Link ID],Table2[Benefit Name],0)=Lookups!$D$15),"",
IF(AND(OR(Table2[[#This Row],[Member Type]]="Spouse",Table2[[#This Row],[Member Type]]="Child"),Table2[[#This Row],[Product Option]]="My Value Plus Life &amp; Funeral",_xlfn.XLOOKUP(B362,Table2[Main Member Link ID],Table2[Benefit Name],0)&lt;&gt;Lookups!$D$17),
IF(_xlfn.XLOOKUP(B362,Table2[Main Member Link ID],Table2[Benefit Name],0)=0,"",_xlfn.XLOOKUP(B362,Table2[Main Member Link ID],Table2[Benefit Name],0)),""))))))</f>
        <v/>
      </c>
      <c r="AI362" s="328" t="str">
        <f>IF(AND(Table2[[#This Row],[Member Type]]="Main Member",Table2[[#This Row],[Table Lookup for Life Cover]]="MM_LIFE",Table2[[#This Row],[Age Next Birthday]]&lt;56),1,
IF(AND(Table2[[#This Row],[Member Type]]="Main Member",Table2[[#This Row],[Table Lookup for Life Cover]]="MM_LIFE",Table2[[#This Row],[Age Next Birthday]]&gt;=56),2,
""))</f>
        <v/>
      </c>
      <c r="AJ362" s="328">
        <f>IF(OR(Table2[[#This Row],[Member Type]]="Main Member",Table2[[#This Row],[Main Member Link ID]]=B361),1,0)</f>
        <v>1</v>
      </c>
      <c r="AK362" s="328">
        <f>IF(Table2[[#This Row],[Member Type]]=0,0,
IF(OR(Table2[[#This Row],[Member Type]]="Main Member",Table2[[#This Row],[Main Member Link ID]]&lt;&gt;B362),COUNTIFS(B:B,Table2[[#This Row],[Main Member Link ID]]),
COUNTIFS(B:B,Table2[[#This Row],[Main Member Link ID]],A:A,Table2[[#This Row],[Member Type]])))</f>
        <v>0</v>
      </c>
    </row>
    <row r="363" spans="1:37" x14ac:dyDescent="0.3">
      <c r="A363" s="284">
        <f>Table13[[#This Row],[Member Type]]</f>
        <v>0</v>
      </c>
      <c r="B363" s="284">
        <f>Table13[[#This Row],[Main Member Link ID]]</f>
        <v>0</v>
      </c>
      <c r="C363" s="284">
        <f>Table13[[#This Row],[ID Number]]</f>
        <v>0</v>
      </c>
      <c r="D363" s="285">
        <f>Table13[[#This Row],[Date Of Birth]]</f>
        <v>0</v>
      </c>
      <c r="E363" s="285">
        <f>Table13[[#This Row],[Commencement Date]]</f>
        <v>0</v>
      </c>
      <c r="F363" s="284">
        <f t="shared" si="35"/>
        <v>1</v>
      </c>
      <c r="G363" s="284">
        <f t="shared" si="36"/>
        <v>25</v>
      </c>
      <c r="H363" s="286">
        <f>Table13[[#This Row],[Product Option]]</f>
        <v>0</v>
      </c>
      <c r="I363" s="284">
        <f>IF(AND($A363="Main Member",Table2[[#This Row],[Product Option]]="My Value Plus Life"),"MM_LIFE",
IF(AND($A363="Spouse",Table2[[#This Row],[Product Option]]="My Value Plus Life"),"SP_LIFE",
IF(AND($A363="Main Member",Table2[[#This Row],[Product Option]]="My Value Plus Life &amp; Funeral"),"MM_LIFE",
IF(AND($A363="Spouse",Table2[[#This Row],[Product Option]]="My Value Plus Life &amp; Funeral"),_xlfn.XLOOKUP(Table2[[#This Row],[Benefit Name]],Lookups!$D$18:$D$23,Lookups!$E$18:$E$23,0),
0))))</f>
        <v>0</v>
      </c>
      <c r="J363" s="284">
        <f>IF($I363="","",
IF($I363="MM_LIFE",INDEX('Quotation Tool'!$S$54:$V$60,MATCH($T363,'Quotation Tool'!$S$54:$S$60,0),4),
IF($I363="SP_LIFE",_xlfn.XLOOKUP(B362,$B:$B,$J:$J,0),0)))</f>
        <v>0</v>
      </c>
      <c r="K363" s="287">
        <f t="shared" ca="1" si="40"/>
        <v>0</v>
      </c>
      <c r="L363" s="288">
        <f t="shared" ca="1" si="41"/>
        <v>0</v>
      </c>
      <c r="M363" s="289">
        <f t="shared" ca="1" si="37"/>
        <v>0</v>
      </c>
      <c r="N363" s="286">
        <f>Table13[[#This Row],[Benefit Option]]</f>
        <v>0</v>
      </c>
      <c r="O363" s="284">
        <f>IF(OR(Table2[[#This Row],[Member Type]]="Spouse",Table2[[#This Row],[Member Type]]="Child"),0,
IF(_xlfn.XLOOKUP($N363,Lookups!$D$13:$D$27,Lookups!$F$13:$F$27,0)=Table2[[#This Row],[Table Lookup for Life Cover]],0,
_xlfn.XLOOKUP($N363,Lookups!$D$13:$D$27,Lookups!$F$13:$F$27,0)))</f>
        <v>0</v>
      </c>
      <c r="P363" s="284">
        <f>IF(Table2[[#This Row],[Table Lookup for Funeral]]=0,0,IFERROR(INDEX('Quotation Tool'!$S$54:$V$60,MATCH($T363,'Quotation Tool'!$S$54:$S$60,0),3),0))</f>
        <v>0</v>
      </c>
      <c r="Q363" s="288">
        <f ca="1">IF(OR(Table2[[#This Row],[Benefit Name]]="My Value Plus Life - Main Member",Table2[[#This Row],[Benefit Name]]="My Value Plus Life - Spouse"),0,
IFERROR(VLOOKUP($G363,INDIRECT($O363),$P363,FALSE),0))</f>
        <v>0</v>
      </c>
      <c r="R363" s="288">
        <f ca="1">IF(OR(Table2[[#This Row],[Benefit Name]]="My Value Plus Life - Main Member",Table2[[#This Row],[Benefit Name]]="My Value Plus Life - Spouse"),0,
IFERROR(VLOOKUP($G363,INDIRECT($O363),$P363+1,FALSE),0))</f>
        <v>0</v>
      </c>
      <c r="S363" s="289">
        <f t="shared" ca="1" si="38"/>
        <v>0</v>
      </c>
      <c r="T363" s="284" t="str">
        <f>IF(Table13[[#This Row],[Premium Waiver]]="","None",Table13[[#This Row],[Premium Waiver]])</f>
        <v>None</v>
      </c>
      <c r="U363" s="284">
        <f>Table13[[#This Row],[VAPs Options]]</f>
        <v>0</v>
      </c>
      <c r="V363" s="284">
        <f>Table13[[#This Row],[Annual Increase Option]]</f>
        <v>0</v>
      </c>
      <c r="W363" s="290">
        <f>Table13[[#This Row],[Life Cover Amount]]</f>
        <v>0</v>
      </c>
      <c r="X363" s="290">
        <f>Table13[[#This Row],[Funeral Cover Amount]]</f>
        <v>0</v>
      </c>
      <c r="Y36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6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63" s="301">
        <f t="shared" ca="1" si="39"/>
        <v>0</v>
      </c>
      <c r="AB363" s="298"/>
      <c r="AC363" s="326" t="str">
        <f>IF(Table2[[#This Row],[Member Type]]="Main Member",Lookups!$C$13,
IF(Table2[[#This Row],[Member Type]]="Spouse",_xlfn.XLOOKUP(B363,Table2[Main Member Link ID],Table2[Product Option],0),
IF(AND(Table2[[#This Row],[Member Type]]="Child",_xlfn.XLOOKUP(B363,Table2[Main Member Link ID],Table2[Product Option],0)&lt;&gt;"My Value Plus Life"),Lookups!$C$24,
IF(AND(OR(Table2[[#This Row],[Member Type]]="Parent",Table2[[#This Row],[Member Type]]="Extended"),_xlfn.XLOOKUP(B363,Table2[Main Member Link ID],Table2[Product Option],0)&lt;&gt;"My Value Plus Life"),Lookups!$C$26,""))))</f>
        <v/>
      </c>
      <c r="AD363" s="326" t="str">
        <f>IF(Table2[[#This Row],[Member Type]]="Main Member",Lookups!$C$14,"")</f>
        <v/>
      </c>
      <c r="AE36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Funeral",_xlfn.XLOOKUP(B363,Table2[Main Member Link ID],Table2[Benefit Name],0)=Lookups!$D$14),"",
IF(AND(Table2[[#This Row],[Member Type]]="Spouse",Table2[[#This Row],[Product Option]]="My Value Plus Life &amp; Funeral",_xlfn.XLOOKUP(B362,Table2[Main Member Link ID],Table2[Benefit Name],0)=Lookups!$D$15),Lookups!$D$20,
IF(AND(Table2[[#This Row],[Member Type]]="Spouse",Table2[[#This Row],[Product Option]]="My Value Plus Life &amp; Funeral",_xlfn.XLOOKUP(B362,Table2[Main Member Link ID],Table2[Benefit Name],0)=Lookups!$D$16),"",
IF(AND(Table2[[#This Row],[Member Type]]="Spouse",Table2[[#This Row],[Product Option]]="My Value Plus Life &amp; Funeral",_xlfn.XLOOKUP(B362,Table2[Main Member Link ID],Table2[Benefit Name],0)=Lookups!$D$17),Lookups!$D$21,
IF(AND(Table2[[#This Row],[Member Type]]="Child",Table2[[#This Row],[Product Option]]="My Value Plus Life &amp; Funeral",_xlfn.XLOOKUP(B363,Table2[Main Member Link ID],Table2[Benefit Name],0)=Lookups!$D$14),"",
IF(AND(Table2[[#This Row],[Member Type]]="Child",Table2[[#This Row],[Product Option]]="My Value Plus Life &amp; Funeral",_xlfn.XLOOKUP(B363,Table2[Main Member Link ID],Table2[Benefit Name],0)=Lookups!$D$15),"",
IF(AND(Table2[[#This Row],[Member Type]]="Child",Table2[[#This Row],[Product Option]]="My Value Plus Life &amp; Funeral",_xlfn.XLOOKUP(B363,Table2[Main Member Link ID],Table2[Benefit Name],0)=Lookups!$D$16),Lookups!$D$24,
IF(AND(Table2[[#This Row],[Member Type]]="Child",Table2[[#This Row],[Product Option]]="My Value Plus Life &amp; Funeral",_xlfn.XLOOKUP(B363,Table2[Main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Funeral",_xlfn.XLOOKUP(B363,Table2[Main Member Link ID],Table2[Benefit Name],0)&lt;&gt;Lookups!$D$14),
IF(_xlfn.XLOOKUP(B363,Table2[Main Member Link ID],Table2[Benefit Name],0)=0,"",_xlfn.XLOOKUP(B363,Table2[Main Member Link ID],Table2[Benefit Name],0)),"")))))))))))))))</f>
        <v/>
      </c>
      <c r="AF363" s="327" t="str">
        <f>IF(AND(Table2[[#This Row],[Member Type]]="Main Member",Table2[[#This Row],[Product Option]]="My Value Plus Life &amp; Funeral"),Lookups!$D$15,
IF(AND(Table2[[#This Row],[Member Type]]="Spouse",Table2[[#This Row],[Product Option]]="My Value Plus Life &amp; Funeral",_xlfn.XLOOKUP(B363,Table2[Main Member Link ID],Table2[Benefit Name],0)=Lookups!$D$14),"",
IF(AND(Table2[[#This Row],[Member Type]]="Spouse",Table2[[#This Row],[Product Option]]="My Value Plus Life &amp; Funeral",_xlfn.XLOOKUP(B362,Table2[Main Member Link ID],Table2[Benefit Name],0)=Lookups!$D$16),"",
IF(AND(Table2[[#This Row],[Member Type]]="Spouse",Table2[[#This Row],[Product Option]]="My Value Plus Life &amp; Funeral",_xlfn.XLOOKUP(B362,Table2[Main Member Link ID],Table2[Benefit Name],0)=Lookups!$D$15),"",
IF(AND(Table2[[#This Row],[Member Type]]="Spouse",Table2[[#This Row],[Product Option]]="My Value Plus Life &amp; Funeral",_xlfn.XLOOKUP(B362,Table2[Main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Funeral",_xlfn.XLOOKUP(B363,Table2[Main Member Link ID],Table2[Benefit Name],0)&lt;&gt;Lookups!$D$15),
IF(_xlfn.XLOOKUP(B363,Table2[Main Member Link ID],Table2[Benefit Name],0)=0,"",_xlfn.XLOOKUP(B363,Table2[Main Member Link ID],Table2[Benefit Name],0)),"")
))))))</f>
        <v/>
      </c>
      <c r="AG363" s="327" t="str">
        <f>IF(AND(Table2[[#This Row],[Member Type]]="Main Member",Table2[[#This Row],[Product Option]]="My Value Plus Life &amp; Funeral"),Lookups!$D$16,
IF(AND(Table2[[#This Row],[Member Type]]="Spouse",Table2[[#This Row],[Product Option]]="My Value Plus Life &amp; Funeral",_xlfn.XLOOKUP(B363,Table2[Main Member Link ID],Table2[Benefit Name],0)=Lookups!$D$14),"",
IF(AND(Table2[[#This Row],[Member Type]]="Spouse",Table2[[#This Row],[Product Option]]="My Value Plus Life &amp; Funeral",_xlfn.XLOOKUP(B362,Table2[Main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Funeral",_xlfn.XLOOKUP(B363,Table2[Main Member Link ID],Table2[Benefit Name],0)&lt;&gt;Lookups!$D$16),
IF(_xlfn.XLOOKUP(B363,Table2[Main Member Link ID],Table2[Benefit Name],0)=0,"",_xlfn.XLOOKUP(B363,Table2[Main Member Link ID],Table2[Benefit Name],0)),"")
))))</f>
        <v/>
      </c>
      <c r="AH363" s="327" t="str">
        <f>IF(AND(Table2[[#This Row],[Member Type]]="Main Member",Table2[[#This Row],[Product Option]]="My Value Plus Life &amp; Funeral"),Lookups!$D$17,
IF(AND(Table2[[#This Row],[Member Type]]="Spouse",Table2[[#This Row],[Product Option]]="My Value Plus Life &amp; Funeral",_xlfn.XLOOKUP(B363,Table2[Main Member Link ID],Table2[Benefit Name],0)=Lookups!$D$14),"",
IF(AND(Table2[[#This Row],[Member Type]]="Spouse",Table2[[#This Row],[Product Option]]="My Value Plus Life &amp; Funeral",_xlfn.XLOOKUP(B362,Table2[Main Member Link ID],Table2[Benefit Name],0)=Lookups!$D$16),"",
IF(AND(Table2[[#This Row],[Member Type]]="Child",Table2[[#This Row],[Product Option]]="My Value Plus Life &amp; Funeral"),"",
IF(AND(Table2[[#This Row],[Member Type]]="Child",Table2[[#This Row],[Product Option]]="My Value Plus Life &amp; Funeral",_xlfn.XLOOKUP(B363,Table2[Main Member Link ID],Table2[Benefit Name],0)=Lookups!$D$15),"",
IF(AND(OR(Table2[[#This Row],[Member Type]]="Spouse",Table2[[#This Row],[Member Type]]="Child"),Table2[[#This Row],[Product Option]]="My Value Plus Life &amp; Funeral",_xlfn.XLOOKUP(B363,Table2[Main Member Link ID],Table2[Benefit Name],0)&lt;&gt;Lookups!$D$17),
IF(_xlfn.XLOOKUP(B363,Table2[Main Member Link ID],Table2[Benefit Name],0)=0,"",_xlfn.XLOOKUP(B363,Table2[Main Member Link ID],Table2[Benefit Name],0)),""))))))</f>
        <v/>
      </c>
      <c r="AI363" s="328" t="str">
        <f>IF(AND(Table2[[#This Row],[Member Type]]="Main Member",Table2[[#This Row],[Table Lookup for Life Cover]]="MM_LIFE",Table2[[#This Row],[Age Next Birthday]]&lt;56),1,
IF(AND(Table2[[#This Row],[Member Type]]="Main Member",Table2[[#This Row],[Table Lookup for Life Cover]]="MM_LIFE",Table2[[#This Row],[Age Next Birthday]]&gt;=56),2,
""))</f>
        <v/>
      </c>
      <c r="AJ363" s="328">
        <f>IF(OR(Table2[[#This Row],[Member Type]]="Main Member",Table2[[#This Row],[Main Member Link ID]]=B362),1,0)</f>
        <v>1</v>
      </c>
      <c r="AK363" s="328">
        <f>IF(Table2[[#This Row],[Member Type]]=0,0,
IF(OR(Table2[[#This Row],[Member Type]]="Main Member",Table2[[#This Row],[Main Member Link ID]]&lt;&gt;B363),COUNTIFS(B:B,Table2[[#This Row],[Main Member Link ID]]),
COUNTIFS(B:B,Table2[[#This Row],[Main Member Link ID]],A:A,Table2[[#This Row],[Member Type]])))</f>
        <v>0</v>
      </c>
    </row>
    <row r="364" spans="1:37" x14ac:dyDescent="0.3">
      <c r="A364" s="284">
        <f>Table13[[#This Row],[Member Type]]</f>
        <v>0</v>
      </c>
      <c r="B364" s="284">
        <f>Table13[[#This Row],[Main Member Link ID]]</f>
        <v>0</v>
      </c>
      <c r="C364" s="284">
        <f>Table13[[#This Row],[ID Number]]</f>
        <v>0</v>
      </c>
      <c r="D364" s="285">
        <f>Table13[[#This Row],[Date Of Birth]]</f>
        <v>0</v>
      </c>
      <c r="E364" s="285">
        <f>Table13[[#This Row],[Commencement Date]]</f>
        <v>0</v>
      </c>
      <c r="F364" s="284">
        <f t="shared" si="35"/>
        <v>1</v>
      </c>
      <c r="G364" s="284">
        <f t="shared" si="36"/>
        <v>25</v>
      </c>
      <c r="H364" s="286">
        <f>Table13[[#This Row],[Product Option]]</f>
        <v>0</v>
      </c>
      <c r="I364" s="284">
        <f>IF(AND($A364="Main Member",Table2[[#This Row],[Product Option]]="My Value Plus Life"),"MM_LIFE",
IF(AND($A364="Spouse",Table2[[#This Row],[Product Option]]="My Value Plus Life"),"SP_LIFE",
IF(AND($A364="Main Member",Table2[[#This Row],[Product Option]]="My Value Plus Life &amp; Funeral"),"MM_LIFE",
IF(AND($A364="Spouse",Table2[[#This Row],[Product Option]]="My Value Plus Life &amp; Funeral"),_xlfn.XLOOKUP(Table2[[#This Row],[Benefit Name]],Lookups!$D$18:$D$23,Lookups!$E$18:$E$23,0),
0))))</f>
        <v>0</v>
      </c>
      <c r="J364" s="284">
        <f>IF($I364="","",
IF($I364="MM_LIFE",INDEX('Quotation Tool'!$S$54:$V$60,MATCH($T364,'Quotation Tool'!$S$54:$S$60,0),4),
IF($I364="SP_LIFE",_xlfn.XLOOKUP(B363,$B:$B,$J:$J,0),0)))</f>
        <v>0</v>
      </c>
      <c r="K364" s="287">
        <f t="shared" ca="1" si="40"/>
        <v>0</v>
      </c>
      <c r="L364" s="288">
        <f t="shared" ca="1" si="41"/>
        <v>0</v>
      </c>
      <c r="M364" s="289">
        <f t="shared" ca="1" si="37"/>
        <v>0</v>
      </c>
      <c r="N364" s="286">
        <f>Table13[[#This Row],[Benefit Option]]</f>
        <v>0</v>
      </c>
      <c r="O364" s="284">
        <f>IF(OR(Table2[[#This Row],[Member Type]]="Spouse",Table2[[#This Row],[Member Type]]="Child"),0,
IF(_xlfn.XLOOKUP($N364,Lookups!$D$13:$D$27,Lookups!$F$13:$F$27,0)=Table2[[#This Row],[Table Lookup for Life Cover]],0,
_xlfn.XLOOKUP($N364,Lookups!$D$13:$D$27,Lookups!$F$13:$F$27,0)))</f>
        <v>0</v>
      </c>
      <c r="P364" s="284">
        <f>IF(Table2[[#This Row],[Table Lookup for Funeral]]=0,0,IFERROR(INDEX('Quotation Tool'!$S$54:$V$60,MATCH($T364,'Quotation Tool'!$S$54:$S$60,0),3),0))</f>
        <v>0</v>
      </c>
      <c r="Q364" s="288">
        <f ca="1">IF(OR(Table2[[#This Row],[Benefit Name]]="My Value Plus Life - Main Member",Table2[[#This Row],[Benefit Name]]="My Value Plus Life - Spouse"),0,
IFERROR(VLOOKUP($G364,INDIRECT($O364),$P364,FALSE),0))</f>
        <v>0</v>
      </c>
      <c r="R364" s="288">
        <f ca="1">IF(OR(Table2[[#This Row],[Benefit Name]]="My Value Plus Life - Main Member",Table2[[#This Row],[Benefit Name]]="My Value Plus Life - Spouse"),0,
IFERROR(VLOOKUP($G364,INDIRECT($O364),$P364+1,FALSE),0))</f>
        <v>0</v>
      </c>
      <c r="S364" s="289">
        <f t="shared" ca="1" si="38"/>
        <v>0</v>
      </c>
      <c r="T364" s="284" t="str">
        <f>IF(Table13[[#This Row],[Premium Waiver]]="","None",Table13[[#This Row],[Premium Waiver]])</f>
        <v>None</v>
      </c>
      <c r="U364" s="284">
        <f>Table13[[#This Row],[VAPs Options]]</f>
        <v>0</v>
      </c>
      <c r="V364" s="284">
        <f>Table13[[#This Row],[Annual Increase Option]]</f>
        <v>0</v>
      </c>
      <c r="W364" s="290">
        <f>Table13[[#This Row],[Life Cover Amount]]</f>
        <v>0</v>
      </c>
      <c r="X364" s="290">
        <f>Table13[[#This Row],[Funeral Cover Amount]]</f>
        <v>0</v>
      </c>
      <c r="Y36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6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64" s="301">
        <f t="shared" ca="1" si="39"/>
        <v>0</v>
      </c>
      <c r="AB364" s="298"/>
      <c r="AC364" s="326" t="str">
        <f>IF(Table2[[#This Row],[Member Type]]="Main Member",Lookups!$C$13,
IF(Table2[[#This Row],[Member Type]]="Spouse",_xlfn.XLOOKUP(B364,Table2[Main Member Link ID],Table2[Product Option],0),
IF(AND(Table2[[#This Row],[Member Type]]="Child",_xlfn.XLOOKUP(B364,Table2[Main Member Link ID],Table2[Product Option],0)&lt;&gt;"My Value Plus Life"),Lookups!$C$24,
IF(AND(OR(Table2[[#This Row],[Member Type]]="Parent",Table2[[#This Row],[Member Type]]="Extended"),_xlfn.XLOOKUP(B364,Table2[Main Member Link ID],Table2[Product Option],0)&lt;&gt;"My Value Plus Life"),Lookups!$C$26,""))))</f>
        <v/>
      </c>
      <c r="AD364" s="326" t="str">
        <f>IF(Table2[[#This Row],[Member Type]]="Main Member",Lookups!$C$14,"")</f>
        <v/>
      </c>
      <c r="AE36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Funeral",_xlfn.XLOOKUP(B364,Table2[Main Member Link ID],Table2[Benefit Name],0)=Lookups!$D$14),"",
IF(AND(Table2[[#This Row],[Member Type]]="Spouse",Table2[[#This Row],[Product Option]]="My Value Plus Life &amp; Funeral",_xlfn.XLOOKUP(B363,Table2[Main Member Link ID],Table2[Benefit Name],0)=Lookups!$D$15),Lookups!$D$20,
IF(AND(Table2[[#This Row],[Member Type]]="Spouse",Table2[[#This Row],[Product Option]]="My Value Plus Life &amp; Funeral",_xlfn.XLOOKUP(B363,Table2[Main Member Link ID],Table2[Benefit Name],0)=Lookups!$D$16),"",
IF(AND(Table2[[#This Row],[Member Type]]="Spouse",Table2[[#This Row],[Product Option]]="My Value Plus Life &amp; Funeral",_xlfn.XLOOKUP(B363,Table2[Main Member Link ID],Table2[Benefit Name],0)=Lookups!$D$17),Lookups!$D$21,
IF(AND(Table2[[#This Row],[Member Type]]="Child",Table2[[#This Row],[Product Option]]="My Value Plus Life &amp; Funeral",_xlfn.XLOOKUP(B364,Table2[Main Member Link ID],Table2[Benefit Name],0)=Lookups!$D$14),"",
IF(AND(Table2[[#This Row],[Member Type]]="Child",Table2[[#This Row],[Product Option]]="My Value Plus Life &amp; Funeral",_xlfn.XLOOKUP(B364,Table2[Main Member Link ID],Table2[Benefit Name],0)=Lookups!$D$15),"",
IF(AND(Table2[[#This Row],[Member Type]]="Child",Table2[[#This Row],[Product Option]]="My Value Plus Life &amp; Funeral",_xlfn.XLOOKUP(B364,Table2[Main Member Link ID],Table2[Benefit Name],0)=Lookups!$D$16),Lookups!$D$24,
IF(AND(Table2[[#This Row],[Member Type]]="Child",Table2[[#This Row],[Product Option]]="My Value Plus Life &amp; Funeral",_xlfn.XLOOKUP(B364,Table2[Main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Funeral",_xlfn.XLOOKUP(B364,Table2[Main Member Link ID],Table2[Benefit Name],0)&lt;&gt;Lookups!$D$14),
IF(_xlfn.XLOOKUP(B364,Table2[Main Member Link ID],Table2[Benefit Name],0)=0,"",_xlfn.XLOOKUP(B364,Table2[Main Member Link ID],Table2[Benefit Name],0)),"")))))))))))))))</f>
        <v/>
      </c>
      <c r="AF364" s="327" t="str">
        <f>IF(AND(Table2[[#This Row],[Member Type]]="Main Member",Table2[[#This Row],[Product Option]]="My Value Plus Life &amp; Funeral"),Lookups!$D$15,
IF(AND(Table2[[#This Row],[Member Type]]="Spouse",Table2[[#This Row],[Product Option]]="My Value Plus Life &amp; Funeral",_xlfn.XLOOKUP(B364,Table2[Main Member Link ID],Table2[Benefit Name],0)=Lookups!$D$14),"",
IF(AND(Table2[[#This Row],[Member Type]]="Spouse",Table2[[#This Row],[Product Option]]="My Value Plus Life &amp; Funeral",_xlfn.XLOOKUP(B363,Table2[Main Member Link ID],Table2[Benefit Name],0)=Lookups!$D$16),"",
IF(AND(Table2[[#This Row],[Member Type]]="Spouse",Table2[[#This Row],[Product Option]]="My Value Plus Life &amp; Funeral",_xlfn.XLOOKUP(B363,Table2[Main Member Link ID],Table2[Benefit Name],0)=Lookups!$D$15),"",
IF(AND(Table2[[#This Row],[Member Type]]="Spouse",Table2[[#This Row],[Product Option]]="My Value Plus Life &amp; Funeral",_xlfn.XLOOKUP(B363,Table2[Main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Funeral",_xlfn.XLOOKUP(B364,Table2[Main Member Link ID],Table2[Benefit Name],0)&lt;&gt;Lookups!$D$15),
IF(_xlfn.XLOOKUP(B364,Table2[Main Member Link ID],Table2[Benefit Name],0)=0,"",_xlfn.XLOOKUP(B364,Table2[Main Member Link ID],Table2[Benefit Name],0)),"")
))))))</f>
        <v/>
      </c>
      <c r="AG364" s="327" t="str">
        <f>IF(AND(Table2[[#This Row],[Member Type]]="Main Member",Table2[[#This Row],[Product Option]]="My Value Plus Life &amp; Funeral"),Lookups!$D$16,
IF(AND(Table2[[#This Row],[Member Type]]="Spouse",Table2[[#This Row],[Product Option]]="My Value Plus Life &amp; Funeral",_xlfn.XLOOKUP(B364,Table2[Main Member Link ID],Table2[Benefit Name],0)=Lookups!$D$14),"",
IF(AND(Table2[[#This Row],[Member Type]]="Spouse",Table2[[#This Row],[Product Option]]="My Value Plus Life &amp; Funeral",_xlfn.XLOOKUP(B363,Table2[Main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Funeral",_xlfn.XLOOKUP(B364,Table2[Main Member Link ID],Table2[Benefit Name],0)&lt;&gt;Lookups!$D$16),
IF(_xlfn.XLOOKUP(B364,Table2[Main Member Link ID],Table2[Benefit Name],0)=0,"",_xlfn.XLOOKUP(B364,Table2[Main Member Link ID],Table2[Benefit Name],0)),"")
))))</f>
        <v/>
      </c>
      <c r="AH364" s="327" t="str">
        <f>IF(AND(Table2[[#This Row],[Member Type]]="Main Member",Table2[[#This Row],[Product Option]]="My Value Plus Life &amp; Funeral"),Lookups!$D$17,
IF(AND(Table2[[#This Row],[Member Type]]="Spouse",Table2[[#This Row],[Product Option]]="My Value Plus Life &amp; Funeral",_xlfn.XLOOKUP(B364,Table2[Main Member Link ID],Table2[Benefit Name],0)=Lookups!$D$14),"",
IF(AND(Table2[[#This Row],[Member Type]]="Spouse",Table2[[#This Row],[Product Option]]="My Value Plus Life &amp; Funeral",_xlfn.XLOOKUP(B363,Table2[Main Member Link ID],Table2[Benefit Name],0)=Lookups!$D$16),"",
IF(AND(Table2[[#This Row],[Member Type]]="Child",Table2[[#This Row],[Product Option]]="My Value Plus Life &amp; Funeral"),"",
IF(AND(Table2[[#This Row],[Member Type]]="Child",Table2[[#This Row],[Product Option]]="My Value Plus Life &amp; Funeral",_xlfn.XLOOKUP(B364,Table2[Main Member Link ID],Table2[Benefit Name],0)=Lookups!$D$15),"",
IF(AND(OR(Table2[[#This Row],[Member Type]]="Spouse",Table2[[#This Row],[Member Type]]="Child"),Table2[[#This Row],[Product Option]]="My Value Plus Life &amp; Funeral",_xlfn.XLOOKUP(B364,Table2[Main Member Link ID],Table2[Benefit Name],0)&lt;&gt;Lookups!$D$17),
IF(_xlfn.XLOOKUP(B364,Table2[Main Member Link ID],Table2[Benefit Name],0)=0,"",_xlfn.XLOOKUP(B364,Table2[Main Member Link ID],Table2[Benefit Name],0)),""))))))</f>
        <v/>
      </c>
      <c r="AI364" s="328" t="str">
        <f>IF(AND(Table2[[#This Row],[Member Type]]="Main Member",Table2[[#This Row],[Table Lookup for Life Cover]]="MM_LIFE",Table2[[#This Row],[Age Next Birthday]]&lt;56),1,
IF(AND(Table2[[#This Row],[Member Type]]="Main Member",Table2[[#This Row],[Table Lookup for Life Cover]]="MM_LIFE",Table2[[#This Row],[Age Next Birthday]]&gt;=56),2,
""))</f>
        <v/>
      </c>
      <c r="AJ364" s="328">
        <f>IF(OR(Table2[[#This Row],[Member Type]]="Main Member",Table2[[#This Row],[Main Member Link ID]]=B363),1,0)</f>
        <v>1</v>
      </c>
      <c r="AK364" s="328">
        <f>IF(Table2[[#This Row],[Member Type]]=0,0,
IF(OR(Table2[[#This Row],[Member Type]]="Main Member",Table2[[#This Row],[Main Member Link ID]]&lt;&gt;B364),COUNTIFS(B:B,Table2[[#This Row],[Main Member Link ID]]),
COUNTIFS(B:B,Table2[[#This Row],[Main Member Link ID]],A:A,Table2[[#This Row],[Member Type]])))</f>
        <v>0</v>
      </c>
    </row>
    <row r="365" spans="1:37" x14ac:dyDescent="0.3">
      <c r="A365" s="284">
        <f>Table13[[#This Row],[Member Type]]</f>
        <v>0</v>
      </c>
      <c r="B365" s="284">
        <f>Table13[[#This Row],[Main Member Link ID]]</f>
        <v>0</v>
      </c>
      <c r="C365" s="284">
        <f>Table13[[#This Row],[ID Number]]</f>
        <v>0</v>
      </c>
      <c r="D365" s="285">
        <f>Table13[[#This Row],[Date Of Birth]]</f>
        <v>0</v>
      </c>
      <c r="E365" s="285">
        <f>Table13[[#This Row],[Commencement Date]]</f>
        <v>0</v>
      </c>
      <c r="F365" s="284">
        <f t="shared" si="35"/>
        <v>1</v>
      </c>
      <c r="G365" s="284">
        <f t="shared" si="36"/>
        <v>25</v>
      </c>
      <c r="H365" s="286">
        <f>Table13[[#This Row],[Product Option]]</f>
        <v>0</v>
      </c>
      <c r="I365" s="284">
        <f>IF(AND($A365="Main Member",Table2[[#This Row],[Product Option]]="My Value Plus Life"),"MM_LIFE",
IF(AND($A365="Spouse",Table2[[#This Row],[Product Option]]="My Value Plus Life"),"SP_LIFE",
IF(AND($A365="Main Member",Table2[[#This Row],[Product Option]]="My Value Plus Life &amp; Funeral"),"MM_LIFE",
IF(AND($A365="Spouse",Table2[[#This Row],[Product Option]]="My Value Plus Life &amp; Funeral"),_xlfn.XLOOKUP(Table2[[#This Row],[Benefit Name]],Lookups!$D$18:$D$23,Lookups!$E$18:$E$23,0),
0))))</f>
        <v>0</v>
      </c>
      <c r="J365" s="284">
        <f>IF($I365="","",
IF($I365="MM_LIFE",INDEX('Quotation Tool'!$S$54:$V$60,MATCH($T365,'Quotation Tool'!$S$54:$S$60,0),4),
IF($I365="SP_LIFE",_xlfn.XLOOKUP(B364,$B:$B,$J:$J,0),0)))</f>
        <v>0</v>
      </c>
      <c r="K365" s="287">
        <f t="shared" ca="1" si="40"/>
        <v>0</v>
      </c>
      <c r="L365" s="288">
        <f t="shared" ca="1" si="41"/>
        <v>0</v>
      </c>
      <c r="M365" s="289">
        <f t="shared" ca="1" si="37"/>
        <v>0</v>
      </c>
      <c r="N365" s="286">
        <f>Table13[[#This Row],[Benefit Option]]</f>
        <v>0</v>
      </c>
      <c r="O365" s="284">
        <f>IF(OR(Table2[[#This Row],[Member Type]]="Spouse",Table2[[#This Row],[Member Type]]="Child"),0,
IF(_xlfn.XLOOKUP($N365,Lookups!$D$13:$D$27,Lookups!$F$13:$F$27,0)=Table2[[#This Row],[Table Lookup for Life Cover]],0,
_xlfn.XLOOKUP($N365,Lookups!$D$13:$D$27,Lookups!$F$13:$F$27,0)))</f>
        <v>0</v>
      </c>
      <c r="P365" s="284">
        <f>IF(Table2[[#This Row],[Table Lookup for Funeral]]=0,0,IFERROR(INDEX('Quotation Tool'!$S$54:$V$60,MATCH($T365,'Quotation Tool'!$S$54:$S$60,0),3),0))</f>
        <v>0</v>
      </c>
      <c r="Q365" s="288">
        <f ca="1">IF(OR(Table2[[#This Row],[Benefit Name]]="My Value Plus Life - Main Member",Table2[[#This Row],[Benefit Name]]="My Value Plus Life - Spouse"),0,
IFERROR(VLOOKUP($G365,INDIRECT($O365),$P365,FALSE),0))</f>
        <v>0</v>
      </c>
      <c r="R365" s="288">
        <f ca="1">IF(OR(Table2[[#This Row],[Benefit Name]]="My Value Plus Life - Main Member",Table2[[#This Row],[Benefit Name]]="My Value Plus Life - Spouse"),0,
IFERROR(VLOOKUP($G365,INDIRECT($O365),$P365+1,FALSE),0))</f>
        <v>0</v>
      </c>
      <c r="S365" s="289">
        <f t="shared" ca="1" si="38"/>
        <v>0</v>
      </c>
      <c r="T365" s="284" t="str">
        <f>IF(Table13[[#This Row],[Premium Waiver]]="","None",Table13[[#This Row],[Premium Waiver]])</f>
        <v>None</v>
      </c>
      <c r="U365" s="284">
        <f>Table13[[#This Row],[VAPs Options]]</f>
        <v>0</v>
      </c>
      <c r="V365" s="284">
        <f>Table13[[#This Row],[Annual Increase Option]]</f>
        <v>0</v>
      </c>
      <c r="W365" s="290">
        <f>Table13[[#This Row],[Life Cover Amount]]</f>
        <v>0</v>
      </c>
      <c r="X365" s="290">
        <f>Table13[[#This Row],[Funeral Cover Amount]]</f>
        <v>0</v>
      </c>
      <c r="Y36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6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65" s="301">
        <f t="shared" ca="1" si="39"/>
        <v>0</v>
      </c>
      <c r="AB365" s="298"/>
      <c r="AC365" s="326" t="str">
        <f>IF(Table2[[#This Row],[Member Type]]="Main Member",Lookups!$C$13,
IF(Table2[[#This Row],[Member Type]]="Spouse",_xlfn.XLOOKUP(B365,Table2[Main Member Link ID],Table2[Product Option],0),
IF(AND(Table2[[#This Row],[Member Type]]="Child",_xlfn.XLOOKUP(B365,Table2[Main Member Link ID],Table2[Product Option],0)&lt;&gt;"My Value Plus Life"),Lookups!$C$24,
IF(AND(OR(Table2[[#This Row],[Member Type]]="Parent",Table2[[#This Row],[Member Type]]="Extended"),_xlfn.XLOOKUP(B365,Table2[Main Member Link ID],Table2[Product Option],0)&lt;&gt;"My Value Plus Life"),Lookups!$C$26,""))))</f>
        <v/>
      </c>
      <c r="AD365" s="326" t="str">
        <f>IF(Table2[[#This Row],[Member Type]]="Main Member",Lookups!$C$14,"")</f>
        <v/>
      </c>
      <c r="AE36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Funeral",_xlfn.XLOOKUP(B365,Table2[Main Member Link ID],Table2[Benefit Name],0)=Lookups!$D$14),"",
IF(AND(Table2[[#This Row],[Member Type]]="Spouse",Table2[[#This Row],[Product Option]]="My Value Plus Life &amp; Funeral",_xlfn.XLOOKUP(B364,Table2[Main Member Link ID],Table2[Benefit Name],0)=Lookups!$D$15),Lookups!$D$20,
IF(AND(Table2[[#This Row],[Member Type]]="Spouse",Table2[[#This Row],[Product Option]]="My Value Plus Life &amp; Funeral",_xlfn.XLOOKUP(B364,Table2[Main Member Link ID],Table2[Benefit Name],0)=Lookups!$D$16),"",
IF(AND(Table2[[#This Row],[Member Type]]="Spouse",Table2[[#This Row],[Product Option]]="My Value Plus Life &amp; Funeral",_xlfn.XLOOKUP(B364,Table2[Main Member Link ID],Table2[Benefit Name],0)=Lookups!$D$17),Lookups!$D$21,
IF(AND(Table2[[#This Row],[Member Type]]="Child",Table2[[#This Row],[Product Option]]="My Value Plus Life &amp; Funeral",_xlfn.XLOOKUP(B365,Table2[Main Member Link ID],Table2[Benefit Name],0)=Lookups!$D$14),"",
IF(AND(Table2[[#This Row],[Member Type]]="Child",Table2[[#This Row],[Product Option]]="My Value Plus Life &amp; Funeral",_xlfn.XLOOKUP(B365,Table2[Main Member Link ID],Table2[Benefit Name],0)=Lookups!$D$15),"",
IF(AND(Table2[[#This Row],[Member Type]]="Child",Table2[[#This Row],[Product Option]]="My Value Plus Life &amp; Funeral",_xlfn.XLOOKUP(B365,Table2[Main Member Link ID],Table2[Benefit Name],0)=Lookups!$D$16),Lookups!$D$24,
IF(AND(Table2[[#This Row],[Member Type]]="Child",Table2[[#This Row],[Product Option]]="My Value Plus Life &amp; Funeral",_xlfn.XLOOKUP(B365,Table2[Main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Funeral",_xlfn.XLOOKUP(B365,Table2[Main Member Link ID],Table2[Benefit Name],0)&lt;&gt;Lookups!$D$14),
IF(_xlfn.XLOOKUP(B365,Table2[Main Member Link ID],Table2[Benefit Name],0)=0,"",_xlfn.XLOOKUP(B365,Table2[Main Member Link ID],Table2[Benefit Name],0)),"")))))))))))))))</f>
        <v/>
      </c>
      <c r="AF365" s="327" t="str">
        <f>IF(AND(Table2[[#This Row],[Member Type]]="Main Member",Table2[[#This Row],[Product Option]]="My Value Plus Life &amp; Funeral"),Lookups!$D$15,
IF(AND(Table2[[#This Row],[Member Type]]="Spouse",Table2[[#This Row],[Product Option]]="My Value Plus Life &amp; Funeral",_xlfn.XLOOKUP(B365,Table2[Main Member Link ID],Table2[Benefit Name],0)=Lookups!$D$14),"",
IF(AND(Table2[[#This Row],[Member Type]]="Spouse",Table2[[#This Row],[Product Option]]="My Value Plus Life &amp; Funeral",_xlfn.XLOOKUP(B364,Table2[Main Member Link ID],Table2[Benefit Name],0)=Lookups!$D$16),"",
IF(AND(Table2[[#This Row],[Member Type]]="Spouse",Table2[[#This Row],[Product Option]]="My Value Plus Life &amp; Funeral",_xlfn.XLOOKUP(B364,Table2[Main Member Link ID],Table2[Benefit Name],0)=Lookups!$D$15),"",
IF(AND(Table2[[#This Row],[Member Type]]="Spouse",Table2[[#This Row],[Product Option]]="My Value Plus Life &amp; Funeral",_xlfn.XLOOKUP(B364,Table2[Main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Funeral",_xlfn.XLOOKUP(B365,Table2[Main Member Link ID],Table2[Benefit Name],0)&lt;&gt;Lookups!$D$15),
IF(_xlfn.XLOOKUP(B365,Table2[Main Member Link ID],Table2[Benefit Name],0)=0,"",_xlfn.XLOOKUP(B365,Table2[Main Member Link ID],Table2[Benefit Name],0)),"")
))))))</f>
        <v/>
      </c>
      <c r="AG365" s="327" t="str">
        <f>IF(AND(Table2[[#This Row],[Member Type]]="Main Member",Table2[[#This Row],[Product Option]]="My Value Plus Life &amp; Funeral"),Lookups!$D$16,
IF(AND(Table2[[#This Row],[Member Type]]="Spouse",Table2[[#This Row],[Product Option]]="My Value Plus Life &amp; Funeral",_xlfn.XLOOKUP(B365,Table2[Main Member Link ID],Table2[Benefit Name],0)=Lookups!$D$14),"",
IF(AND(Table2[[#This Row],[Member Type]]="Spouse",Table2[[#This Row],[Product Option]]="My Value Plus Life &amp; Funeral",_xlfn.XLOOKUP(B364,Table2[Main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Funeral",_xlfn.XLOOKUP(B365,Table2[Main Member Link ID],Table2[Benefit Name],0)&lt;&gt;Lookups!$D$16),
IF(_xlfn.XLOOKUP(B365,Table2[Main Member Link ID],Table2[Benefit Name],0)=0,"",_xlfn.XLOOKUP(B365,Table2[Main Member Link ID],Table2[Benefit Name],0)),"")
))))</f>
        <v/>
      </c>
      <c r="AH365" s="327" t="str">
        <f>IF(AND(Table2[[#This Row],[Member Type]]="Main Member",Table2[[#This Row],[Product Option]]="My Value Plus Life &amp; Funeral"),Lookups!$D$17,
IF(AND(Table2[[#This Row],[Member Type]]="Spouse",Table2[[#This Row],[Product Option]]="My Value Plus Life &amp; Funeral",_xlfn.XLOOKUP(B365,Table2[Main Member Link ID],Table2[Benefit Name],0)=Lookups!$D$14),"",
IF(AND(Table2[[#This Row],[Member Type]]="Spouse",Table2[[#This Row],[Product Option]]="My Value Plus Life &amp; Funeral",_xlfn.XLOOKUP(B364,Table2[Main Member Link ID],Table2[Benefit Name],0)=Lookups!$D$16),"",
IF(AND(Table2[[#This Row],[Member Type]]="Child",Table2[[#This Row],[Product Option]]="My Value Plus Life &amp; Funeral"),"",
IF(AND(Table2[[#This Row],[Member Type]]="Child",Table2[[#This Row],[Product Option]]="My Value Plus Life &amp; Funeral",_xlfn.XLOOKUP(B365,Table2[Main Member Link ID],Table2[Benefit Name],0)=Lookups!$D$15),"",
IF(AND(OR(Table2[[#This Row],[Member Type]]="Spouse",Table2[[#This Row],[Member Type]]="Child"),Table2[[#This Row],[Product Option]]="My Value Plus Life &amp; Funeral",_xlfn.XLOOKUP(B365,Table2[Main Member Link ID],Table2[Benefit Name],0)&lt;&gt;Lookups!$D$17),
IF(_xlfn.XLOOKUP(B365,Table2[Main Member Link ID],Table2[Benefit Name],0)=0,"",_xlfn.XLOOKUP(B365,Table2[Main Member Link ID],Table2[Benefit Name],0)),""))))))</f>
        <v/>
      </c>
      <c r="AI365" s="328" t="str">
        <f>IF(AND(Table2[[#This Row],[Member Type]]="Main Member",Table2[[#This Row],[Table Lookup for Life Cover]]="MM_LIFE",Table2[[#This Row],[Age Next Birthday]]&lt;56),1,
IF(AND(Table2[[#This Row],[Member Type]]="Main Member",Table2[[#This Row],[Table Lookup for Life Cover]]="MM_LIFE",Table2[[#This Row],[Age Next Birthday]]&gt;=56),2,
""))</f>
        <v/>
      </c>
      <c r="AJ365" s="328">
        <f>IF(OR(Table2[[#This Row],[Member Type]]="Main Member",Table2[[#This Row],[Main Member Link ID]]=B364),1,0)</f>
        <v>1</v>
      </c>
      <c r="AK365" s="328">
        <f>IF(Table2[[#This Row],[Member Type]]=0,0,
IF(OR(Table2[[#This Row],[Member Type]]="Main Member",Table2[[#This Row],[Main Member Link ID]]&lt;&gt;B365),COUNTIFS(B:B,Table2[[#This Row],[Main Member Link ID]]),
COUNTIFS(B:B,Table2[[#This Row],[Main Member Link ID]],A:A,Table2[[#This Row],[Member Type]])))</f>
        <v>0</v>
      </c>
    </row>
    <row r="366" spans="1:37" x14ac:dyDescent="0.3">
      <c r="A366" s="284">
        <f>Table13[[#This Row],[Member Type]]</f>
        <v>0</v>
      </c>
      <c r="B366" s="284">
        <f>Table13[[#This Row],[Main Member Link ID]]</f>
        <v>0</v>
      </c>
      <c r="C366" s="284">
        <f>Table13[[#This Row],[ID Number]]</f>
        <v>0</v>
      </c>
      <c r="D366" s="285">
        <f>Table13[[#This Row],[Date Of Birth]]</f>
        <v>0</v>
      </c>
      <c r="E366" s="285">
        <f>Table13[[#This Row],[Commencement Date]]</f>
        <v>0</v>
      </c>
      <c r="F366" s="284">
        <f t="shared" si="35"/>
        <v>1</v>
      </c>
      <c r="G366" s="284">
        <f t="shared" si="36"/>
        <v>25</v>
      </c>
      <c r="H366" s="286">
        <f>Table13[[#This Row],[Product Option]]</f>
        <v>0</v>
      </c>
      <c r="I366" s="284">
        <f>IF(AND($A366="Main Member",Table2[[#This Row],[Product Option]]="My Value Plus Life"),"MM_LIFE",
IF(AND($A366="Spouse",Table2[[#This Row],[Product Option]]="My Value Plus Life"),"SP_LIFE",
IF(AND($A366="Main Member",Table2[[#This Row],[Product Option]]="My Value Plus Life &amp; Funeral"),"MM_LIFE",
IF(AND($A366="Spouse",Table2[[#This Row],[Product Option]]="My Value Plus Life &amp; Funeral"),_xlfn.XLOOKUP(Table2[[#This Row],[Benefit Name]],Lookups!$D$18:$D$23,Lookups!$E$18:$E$23,0),
0))))</f>
        <v>0</v>
      </c>
      <c r="J366" s="284">
        <f>IF($I366="","",
IF($I366="MM_LIFE",INDEX('Quotation Tool'!$S$54:$V$60,MATCH($T366,'Quotation Tool'!$S$54:$S$60,0),4),
IF($I366="SP_LIFE",_xlfn.XLOOKUP(B365,$B:$B,$J:$J,0),0)))</f>
        <v>0</v>
      </c>
      <c r="K366" s="287">
        <f t="shared" ca="1" si="40"/>
        <v>0</v>
      </c>
      <c r="L366" s="288">
        <f t="shared" ca="1" si="41"/>
        <v>0</v>
      </c>
      <c r="M366" s="289">
        <f t="shared" ca="1" si="37"/>
        <v>0</v>
      </c>
      <c r="N366" s="286">
        <f>Table13[[#This Row],[Benefit Option]]</f>
        <v>0</v>
      </c>
      <c r="O366" s="284">
        <f>IF(OR(Table2[[#This Row],[Member Type]]="Spouse",Table2[[#This Row],[Member Type]]="Child"),0,
IF(_xlfn.XLOOKUP($N366,Lookups!$D$13:$D$27,Lookups!$F$13:$F$27,0)=Table2[[#This Row],[Table Lookup for Life Cover]],0,
_xlfn.XLOOKUP($N366,Lookups!$D$13:$D$27,Lookups!$F$13:$F$27,0)))</f>
        <v>0</v>
      </c>
      <c r="P366" s="284">
        <f>IF(Table2[[#This Row],[Table Lookup for Funeral]]=0,0,IFERROR(INDEX('Quotation Tool'!$S$54:$V$60,MATCH($T366,'Quotation Tool'!$S$54:$S$60,0),3),0))</f>
        <v>0</v>
      </c>
      <c r="Q366" s="288">
        <f ca="1">IF(OR(Table2[[#This Row],[Benefit Name]]="My Value Plus Life - Main Member",Table2[[#This Row],[Benefit Name]]="My Value Plus Life - Spouse"),0,
IFERROR(VLOOKUP($G366,INDIRECT($O366),$P366,FALSE),0))</f>
        <v>0</v>
      </c>
      <c r="R366" s="288">
        <f ca="1">IF(OR(Table2[[#This Row],[Benefit Name]]="My Value Plus Life - Main Member",Table2[[#This Row],[Benefit Name]]="My Value Plus Life - Spouse"),0,
IFERROR(VLOOKUP($G366,INDIRECT($O366),$P366+1,FALSE),0))</f>
        <v>0</v>
      </c>
      <c r="S366" s="289">
        <f t="shared" ca="1" si="38"/>
        <v>0</v>
      </c>
      <c r="T366" s="284" t="str">
        <f>IF(Table13[[#This Row],[Premium Waiver]]="","None",Table13[[#This Row],[Premium Waiver]])</f>
        <v>None</v>
      </c>
      <c r="U366" s="284">
        <f>Table13[[#This Row],[VAPs Options]]</f>
        <v>0</v>
      </c>
      <c r="V366" s="284">
        <f>Table13[[#This Row],[Annual Increase Option]]</f>
        <v>0</v>
      </c>
      <c r="W366" s="290">
        <f>Table13[[#This Row],[Life Cover Amount]]</f>
        <v>0</v>
      </c>
      <c r="X366" s="290">
        <f>Table13[[#This Row],[Funeral Cover Amount]]</f>
        <v>0</v>
      </c>
      <c r="Y36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6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66" s="301">
        <f t="shared" ca="1" si="39"/>
        <v>0</v>
      </c>
      <c r="AB366" s="298"/>
      <c r="AC366" s="326" t="str">
        <f>IF(Table2[[#This Row],[Member Type]]="Main Member",Lookups!$C$13,
IF(Table2[[#This Row],[Member Type]]="Spouse",_xlfn.XLOOKUP(B366,Table2[Main Member Link ID],Table2[Product Option],0),
IF(AND(Table2[[#This Row],[Member Type]]="Child",_xlfn.XLOOKUP(B366,Table2[Main Member Link ID],Table2[Product Option],0)&lt;&gt;"My Value Plus Life"),Lookups!$C$24,
IF(AND(OR(Table2[[#This Row],[Member Type]]="Parent",Table2[[#This Row],[Member Type]]="Extended"),_xlfn.XLOOKUP(B366,Table2[Main Member Link ID],Table2[Product Option],0)&lt;&gt;"My Value Plus Life"),Lookups!$C$26,""))))</f>
        <v/>
      </c>
      <c r="AD366" s="326" t="str">
        <f>IF(Table2[[#This Row],[Member Type]]="Main Member",Lookups!$C$14,"")</f>
        <v/>
      </c>
      <c r="AE36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Funeral",_xlfn.XLOOKUP(B366,Table2[Main Member Link ID],Table2[Benefit Name],0)=Lookups!$D$14),"",
IF(AND(Table2[[#This Row],[Member Type]]="Spouse",Table2[[#This Row],[Product Option]]="My Value Plus Life &amp; Funeral",_xlfn.XLOOKUP(B365,Table2[Main Member Link ID],Table2[Benefit Name],0)=Lookups!$D$15),Lookups!$D$20,
IF(AND(Table2[[#This Row],[Member Type]]="Spouse",Table2[[#This Row],[Product Option]]="My Value Plus Life &amp; Funeral",_xlfn.XLOOKUP(B365,Table2[Main Member Link ID],Table2[Benefit Name],0)=Lookups!$D$16),"",
IF(AND(Table2[[#This Row],[Member Type]]="Spouse",Table2[[#This Row],[Product Option]]="My Value Plus Life &amp; Funeral",_xlfn.XLOOKUP(B365,Table2[Main Member Link ID],Table2[Benefit Name],0)=Lookups!$D$17),Lookups!$D$21,
IF(AND(Table2[[#This Row],[Member Type]]="Child",Table2[[#This Row],[Product Option]]="My Value Plus Life &amp; Funeral",_xlfn.XLOOKUP(B366,Table2[Main Member Link ID],Table2[Benefit Name],0)=Lookups!$D$14),"",
IF(AND(Table2[[#This Row],[Member Type]]="Child",Table2[[#This Row],[Product Option]]="My Value Plus Life &amp; Funeral",_xlfn.XLOOKUP(B366,Table2[Main Member Link ID],Table2[Benefit Name],0)=Lookups!$D$15),"",
IF(AND(Table2[[#This Row],[Member Type]]="Child",Table2[[#This Row],[Product Option]]="My Value Plus Life &amp; Funeral",_xlfn.XLOOKUP(B366,Table2[Main Member Link ID],Table2[Benefit Name],0)=Lookups!$D$16),Lookups!$D$24,
IF(AND(Table2[[#This Row],[Member Type]]="Child",Table2[[#This Row],[Product Option]]="My Value Plus Life &amp; Funeral",_xlfn.XLOOKUP(B366,Table2[Main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Funeral",_xlfn.XLOOKUP(B366,Table2[Main Member Link ID],Table2[Benefit Name],0)&lt;&gt;Lookups!$D$14),
IF(_xlfn.XLOOKUP(B366,Table2[Main Member Link ID],Table2[Benefit Name],0)=0,"",_xlfn.XLOOKUP(B366,Table2[Main Member Link ID],Table2[Benefit Name],0)),"")))))))))))))))</f>
        <v/>
      </c>
      <c r="AF366" s="327" t="str">
        <f>IF(AND(Table2[[#This Row],[Member Type]]="Main Member",Table2[[#This Row],[Product Option]]="My Value Plus Life &amp; Funeral"),Lookups!$D$15,
IF(AND(Table2[[#This Row],[Member Type]]="Spouse",Table2[[#This Row],[Product Option]]="My Value Plus Life &amp; Funeral",_xlfn.XLOOKUP(B366,Table2[Main Member Link ID],Table2[Benefit Name],0)=Lookups!$D$14),"",
IF(AND(Table2[[#This Row],[Member Type]]="Spouse",Table2[[#This Row],[Product Option]]="My Value Plus Life &amp; Funeral",_xlfn.XLOOKUP(B365,Table2[Main Member Link ID],Table2[Benefit Name],0)=Lookups!$D$16),"",
IF(AND(Table2[[#This Row],[Member Type]]="Spouse",Table2[[#This Row],[Product Option]]="My Value Plus Life &amp; Funeral",_xlfn.XLOOKUP(B365,Table2[Main Member Link ID],Table2[Benefit Name],0)=Lookups!$D$15),"",
IF(AND(Table2[[#This Row],[Member Type]]="Spouse",Table2[[#This Row],[Product Option]]="My Value Plus Life &amp; Funeral",_xlfn.XLOOKUP(B365,Table2[Main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Funeral",_xlfn.XLOOKUP(B366,Table2[Main Member Link ID],Table2[Benefit Name],0)&lt;&gt;Lookups!$D$15),
IF(_xlfn.XLOOKUP(B366,Table2[Main Member Link ID],Table2[Benefit Name],0)=0,"",_xlfn.XLOOKUP(B366,Table2[Main Member Link ID],Table2[Benefit Name],0)),"")
))))))</f>
        <v/>
      </c>
      <c r="AG366" s="327" t="str">
        <f>IF(AND(Table2[[#This Row],[Member Type]]="Main Member",Table2[[#This Row],[Product Option]]="My Value Plus Life &amp; Funeral"),Lookups!$D$16,
IF(AND(Table2[[#This Row],[Member Type]]="Spouse",Table2[[#This Row],[Product Option]]="My Value Plus Life &amp; Funeral",_xlfn.XLOOKUP(B366,Table2[Main Member Link ID],Table2[Benefit Name],0)=Lookups!$D$14),"",
IF(AND(Table2[[#This Row],[Member Type]]="Spouse",Table2[[#This Row],[Product Option]]="My Value Plus Life &amp; Funeral",_xlfn.XLOOKUP(B365,Table2[Main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Funeral",_xlfn.XLOOKUP(B366,Table2[Main Member Link ID],Table2[Benefit Name],0)&lt;&gt;Lookups!$D$16),
IF(_xlfn.XLOOKUP(B366,Table2[Main Member Link ID],Table2[Benefit Name],0)=0,"",_xlfn.XLOOKUP(B366,Table2[Main Member Link ID],Table2[Benefit Name],0)),"")
))))</f>
        <v/>
      </c>
      <c r="AH366" s="327" t="str">
        <f>IF(AND(Table2[[#This Row],[Member Type]]="Main Member",Table2[[#This Row],[Product Option]]="My Value Plus Life &amp; Funeral"),Lookups!$D$17,
IF(AND(Table2[[#This Row],[Member Type]]="Spouse",Table2[[#This Row],[Product Option]]="My Value Plus Life &amp; Funeral",_xlfn.XLOOKUP(B366,Table2[Main Member Link ID],Table2[Benefit Name],0)=Lookups!$D$14),"",
IF(AND(Table2[[#This Row],[Member Type]]="Spouse",Table2[[#This Row],[Product Option]]="My Value Plus Life &amp; Funeral",_xlfn.XLOOKUP(B365,Table2[Main Member Link ID],Table2[Benefit Name],0)=Lookups!$D$16),"",
IF(AND(Table2[[#This Row],[Member Type]]="Child",Table2[[#This Row],[Product Option]]="My Value Plus Life &amp; Funeral"),"",
IF(AND(Table2[[#This Row],[Member Type]]="Child",Table2[[#This Row],[Product Option]]="My Value Plus Life &amp; Funeral",_xlfn.XLOOKUP(B366,Table2[Main Member Link ID],Table2[Benefit Name],0)=Lookups!$D$15),"",
IF(AND(OR(Table2[[#This Row],[Member Type]]="Spouse",Table2[[#This Row],[Member Type]]="Child"),Table2[[#This Row],[Product Option]]="My Value Plus Life &amp; Funeral",_xlfn.XLOOKUP(B366,Table2[Main Member Link ID],Table2[Benefit Name],0)&lt;&gt;Lookups!$D$17),
IF(_xlfn.XLOOKUP(B366,Table2[Main Member Link ID],Table2[Benefit Name],0)=0,"",_xlfn.XLOOKUP(B366,Table2[Main Member Link ID],Table2[Benefit Name],0)),""))))))</f>
        <v/>
      </c>
      <c r="AI366" s="328" t="str">
        <f>IF(AND(Table2[[#This Row],[Member Type]]="Main Member",Table2[[#This Row],[Table Lookup for Life Cover]]="MM_LIFE",Table2[[#This Row],[Age Next Birthday]]&lt;56),1,
IF(AND(Table2[[#This Row],[Member Type]]="Main Member",Table2[[#This Row],[Table Lookup for Life Cover]]="MM_LIFE",Table2[[#This Row],[Age Next Birthday]]&gt;=56),2,
""))</f>
        <v/>
      </c>
      <c r="AJ366" s="328">
        <f>IF(OR(Table2[[#This Row],[Member Type]]="Main Member",Table2[[#This Row],[Main Member Link ID]]=B365),1,0)</f>
        <v>1</v>
      </c>
      <c r="AK366" s="328">
        <f>IF(Table2[[#This Row],[Member Type]]=0,0,
IF(OR(Table2[[#This Row],[Member Type]]="Main Member",Table2[[#This Row],[Main Member Link ID]]&lt;&gt;B366),COUNTIFS(B:B,Table2[[#This Row],[Main Member Link ID]]),
COUNTIFS(B:B,Table2[[#This Row],[Main Member Link ID]],A:A,Table2[[#This Row],[Member Type]])))</f>
        <v>0</v>
      </c>
    </row>
    <row r="367" spans="1:37" x14ac:dyDescent="0.3">
      <c r="A367" s="284">
        <f>Table13[[#This Row],[Member Type]]</f>
        <v>0</v>
      </c>
      <c r="B367" s="284">
        <f>Table13[[#This Row],[Main Member Link ID]]</f>
        <v>0</v>
      </c>
      <c r="C367" s="284">
        <f>Table13[[#This Row],[ID Number]]</f>
        <v>0</v>
      </c>
      <c r="D367" s="285">
        <f>Table13[[#This Row],[Date Of Birth]]</f>
        <v>0</v>
      </c>
      <c r="E367" s="285">
        <f>Table13[[#This Row],[Commencement Date]]</f>
        <v>0</v>
      </c>
      <c r="F367" s="284">
        <f t="shared" si="35"/>
        <v>1</v>
      </c>
      <c r="G367" s="284">
        <f t="shared" si="36"/>
        <v>25</v>
      </c>
      <c r="H367" s="286">
        <f>Table13[[#This Row],[Product Option]]</f>
        <v>0</v>
      </c>
      <c r="I367" s="284">
        <f>IF(AND($A367="Main Member",Table2[[#This Row],[Product Option]]="My Value Plus Life"),"MM_LIFE",
IF(AND($A367="Spouse",Table2[[#This Row],[Product Option]]="My Value Plus Life"),"SP_LIFE",
IF(AND($A367="Main Member",Table2[[#This Row],[Product Option]]="My Value Plus Life &amp; Funeral"),"MM_LIFE",
IF(AND($A367="Spouse",Table2[[#This Row],[Product Option]]="My Value Plus Life &amp; Funeral"),_xlfn.XLOOKUP(Table2[[#This Row],[Benefit Name]],Lookups!$D$18:$D$23,Lookups!$E$18:$E$23,0),
0))))</f>
        <v>0</v>
      </c>
      <c r="J367" s="284">
        <f>IF($I367="","",
IF($I367="MM_LIFE",INDEX('Quotation Tool'!$S$54:$V$60,MATCH($T367,'Quotation Tool'!$S$54:$S$60,0),4),
IF($I367="SP_LIFE",_xlfn.XLOOKUP(B366,$B:$B,$J:$J,0),0)))</f>
        <v>0</v>
      </c>
      <c r="K367" s="287">
        <f t="shared" ca="1" si="40"/>
        <v>0</v>
      </c>
      <c r="L367" s="288">
        <f t="shared" ca="1" si="41"/>
        <v>0</v>
      </c>
      <c r="M367" s="289">
        <f t="shared" ca="1" si="37"/>
        <v>0</v>
      </c>
      <c r="N367" s="286">
        <f>Table13[[#This Row],[Benefit Option]]</f>
        <v>0</v>
      </c>
      <c r="O367" s="284">
        <f>IF(OR(Table2[[#This Row],[Member Type]]="Spouse",Table2[[#This Row],[Member Type]]="Child"),0,
IF(_xlfn.XLOOKUP($N367,Lookups!$D$13:$D$27,Lookups!$F$13:$F$27,0)=Table2[[#This Row],[Table Lookup for Life Cover]],0,
_xlfn.XLOOKUP($N367,Lookups!$D$13:$D$27,Lookups!$F$13:$F$27,0)))</f>
        <v>0</v>
      </c>
      <c r="P367" s="284">
        <f>IF(Table2[[#This Row],[Table Lookup for Funeral]]=0,0,IFERROR(INDEX('Quotation Tool'!$S$54:$V$60,MATCH($T367,'Quotation Tool'!$S$54:$S$60,0),3),0))</f>
        <v>0</v>
      </c>
      <c r="Q367" s="288">
        <f ca="1">IF(OR(Table2[[#This Row],[Benefit Name]]="My Value Plus Life - Main Member",Table2[[#This Row],[Benefit Name]]="My Value Plus Life - Spouse"),0,
IFERROR(VLOOKUP($G367,INDIRECT($O367),$P367,FALSE),0))</f>
        <v>0</v>
      </c>
      <c r="R367" s="288">
        <f ca="1">IF(OR(Table2[[#This Row],[Benefit Name]]="My Value Plus Life - Main Member",Table2[[#This Row],[Benefit Name]]="My Value Plus Life - Spouse"),0,
IFERROR(VLOOKUP($G367,INDIRECT($O367),$P367+1,FALSE),0))</f>
        <v>0</v>
      </c>
      <c r="S367" s="289">
        <f t="shared" ca="1" si="38"/>
        <v>0</v>
      </c>
      <c r="T367" s="284" t="str">
        <f>IF(Table13[[#This Row],[Premium Waiver]]="","None",Table13[[#This Row],[Premium Waiver]])</f>
        <v>None</v>
      </c>
      <c r="U367" s="284">
        <f>Table13[[#This Row],[VAPs Options]]</f>
        <v>0</v>
      </c>
      <c r="V367" s="284">
        <f>Table13[[#This Row],[Annual Increase Option]]</f>
        <v>0</v>
      </c>
      <c r="W367" s="290">
        <f>Table13[[#This Row],[Life Cover Amount]]</f>
        <v>0</v>
      </c>
      <c r="X367" s="290">
        <f>Table13[[#This Row],[Funeral Cover Amount]]</f>
        <v>0</v>
      </c>
      <c r="Y36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6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67" s="301">
        <f t="shared" ca="1" si="39"/>
        <v>0</v>
      </c>
      <c r="AB367" s="298"/>
      <c r="AC367" s="326" t="str">
        <f>IF(Table2[[#This Row],[Member Type]]="Main Member",Lookups!$C$13,
IF(Table2[[#This Row],[Member Type]]="Spouse",_xlfn.XLOOKUP(B367,Table2[Main Member Link ID],Table2[Product Option],0),
IF(AND(Table2[[#This Row],[Member Type]]="Child",_xlfn.XLOOKUP(B367,Table2[Main Member Link ID],Table2[Product Option],0)&lt;&gt;"My Value Plus Life"),Lookups!$C$24,
IF(AND(OR(Table2[[#This Row],[Member Type]]="Parent",Table2[[#This Row],[Member Type]]="Extended"),_xlfn.XLOOKUP(B367,Table2[Main Member Link ID],Table2[Product Option],0)&lt;&gt;"My Value Plus Life"),Lookups!$C$26,""))))</f>
        <v/>
      </c>
      <c r="AD367" s="326" t="str">
        <f>IF(Table2[[#This Row],[Member Type]]="Main Member",Lookups!$C$14,"")</f>
        <v/>
      </c>
      <c r="AE36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Funeral",_xlfn.XLOOKUP(B367,Table2[Main Member Link ID],Table2[Benefit Name],0)=Lookups!$D$14),"",
IF(AND(Table2[[#This Row],[Member Type]]="Spouse",Table2[[#This Row],[Product Option]]="My Value Plus Life &amp; Funeral",_xlfn.XLOOKUP(B366,Table2[Main Member Link ID],Table2[Benefit Name],0)=Lookups!$D$15),Lookups!$D$20,
IF(AND(Table2[[#This Row],[Member Type]]="Spouse",Table2[[#This Row],[Product Option]]="My Value Plus Life &amp; Funeral",_xlfn.XLOOKUP(B366,Table2[Main Member Link ID],Table2[Benefit Name],0)=Lookups!$D$16),"",
IF(AND(Table2[[#This Row],[Member Type]]="Spouse",Table2[[#This Row],[Product Option]]="My Value Plus Life &amp; Funeral",_xlfn.XLOOKUP(B366,Table2[Main Member Link ID],Table2[Benefit Name],0)=Lookups!$D$17),Lookups!$D$21,
IF(AND(Table2[[#This Row],[Member Type]]="Child",Table2[[#This Row],[Product Option]]="My Value Plus Life &amp; Funeral",_xlfn.XLOOKUP(B367,Table2[Main Member Link ID],Table2[Benefit Name],0)=Lookups!$D$14),"",
IF(AND(Table2[[#This Row],[Member Type]]="Child",Table2[[#This Row],[Product Option]]="My Value Plus Life &amp; Funeral",_xlfn.XLOOKUP(B367,Table2[Main Member Link ID],Table2[Benefit Name],0)=Lookups!$D$15),"",
IF(AND(Table2[[#This Row],[Member Type]]="Child",Table2[[#This Row],[Product Option]]="My Value Plus Life &amp; Funeral",_xlfn.XLOOKUP(B367,Table2[Main Member Link ID],Table2[Benefit Name],0)=Lookups!$D$16),Lookups!$D$24,
IF(AND(Table2[[#This Row],[Member Type]]="Child",Table2[[#This Row],[Product Option]]="My Value Plus Life &amp; Funeral",_xlfn.XLOOKUP(B367,Table2[Main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Funeral",_xlfn.XLOOKUP(B367,Table2[Main Member Link ID],Table2[Benefit Name],0)&lt;&gt;Lookups!$D$14),
IF(_xlfn.XLOOKUP(B367,Table2[Main Member Link ID],Table2[Benefit Name],0)=0,"",_xlfn.XLOOKUP(B367,Table2[Main Member Link ID],Table2[Benefit Name],0)),"")))))))))))))))</f>
        <v/>
      </c>
      <c r="AF367" s="327" t="str">
        <f>IF(AND(Table2[[#This Row],[Member Type]]="Main Member",Table2[[#This Row],[Product Option]]="My Value Plus Life &amp; Funeral"),Lookups!$D$15,
IF(AND(Table2[[#This Row],[Member Type]]="Spouse",Table2[[#This Row],[Product Option]]="My Value Plus Life &amp; Funeral",_xlfn.XLOOKUP(B367,Table2[Main Member Link ID],Table2[Benefit Name],0)=Lookups!$D$14),"",
IF(AND(Table2[[#This Row],[Member Type]]="Spouse",Table2[[#This Row],[Product Option]]="My Value Plus Life &amp; Funeral",_xlfn.XLOOKUP(B366,Table2[Main Member Link ID],Table2[Benefit Name],0)=Lookups!$D$16),"",
IF(AND(Table2[[#This Row],[Member Type]]="Spouse",Table2[[#This Row],[Product Option]]="My Value Plus Life &amp; Funeral",_xlfn.XLOOKUP(B366,Table2[Main Member Link ID],Table2[Benefit Name],0)=Lookups!$D$15),"",
IF(AND(Table2[[#This Row],[Member Type]]="Spouse",Table2[[#This Row],[Product Option]]="My Value Plus Life &amp; Funeral",_xlfn.XLOOKUP(B366,Table2[Main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Funeral",_xlfn.XLOOKUP(B367,Table2[Main Member Link ID],Table2[Benefit Name],0)&lt;&gt;Lookups!$D$15),
IF(_xlfn.XLOOKUP(B367,Table2[Main Member Link ID],Table2[Benefit Name],0)=0,"",_xlfn.XLOOKUP(B367,Table2[Main Member Link ID],Table2[Benefit Name],0)),"")
))))))</f>
        <v/>
      </c>
      <c r="AG367" s="327" t="str">
        <f>IF(AND(Table2[[#This Row],[Member Type]]="Main Member",Table2[[#This Row],[Product Option]]="My Value Plus Life &amp; Funeral"),Lookups!$D$16,
IF(AND(Table2[[#This Row],[Member Type]]="Spouse",Table2[[#This Row],[Product Option]]="My Value Plus Life &amp; Funeral",_xlfn.XLOOKUP(B367,Table2[Main Member Link ID],Table2[Benefit Name],0)=Lookups!$D$14),"",
IF(AND(Table2[[#This Row],[Member Type]]="Spouse",Table2[[#This Row],[Product Option]]="My Value Plus Life &amp; Funeral",_xlfn.XLOOKUP(B366,Table2[Main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Funeral",_xlfn.XLOOKUP(B367,Table2[Main Member Link ID],Table2[Benefit Name],0)&lt;&gt;Lookups!$D$16),
IF(_xlfn.XLOOKUP(B367,Table2[Main Member Link ID],Table2[Benefit Name],0)=0,"",_xlfn.XLOOKUP(B367,Table2[Main Member Link ID],Table2[Benefit Name],0)),"")
))))</f>
        <v/>
      </c>
      <c r="AH367" s="327" t="str">
        <f>IF(AND(Table2[[#This Row],[Member Type]]="Main Member",Table2[[#This Row],[Product Option]]="My Value Plus Life &amp; Funeral"),Lookups!$D$17,
IF(AND(Table2[[#This Row],[Member Type]]="Spouse",Table2[[#This Row],[Product Option]]="My Value Plus Life &amp; Funeral",_xlfn.XLOOKUP(B367,Table2[Main Member Link ID],Table2[Benefit Name],0)=Lookups!$D$14),"",
IF(AND(Table2[[#This Row],[Member Type]]="Spouse",Table2[[#This Row],[Product Option]]="My Value Plus Life &amp; Funeral",_xlfn.XLOOKUP(B366,Table2[Main Member Link ID],Table2[Benefit Name],0)=Lookups!$D$16),"",
IF(AND(Table2[[#This Row],[Member Type]]="Child",Table2[[#This Row],[Product Option]]="My Value Plus Life &amp; Funeral"),"",
IF(AND(Table2[[#This Row],[Member Type]]="Child",Table2[[#This Row],[Product Option]]="My Value Plus Life &amp; Funeral",_xlfn.XLOOKUP(B367,Table2[Main Member Link ID],Table2[Benefit Name],0)=Lookups!$D$15),"",
IF(AND(OR(Table2[[#This Row],[Member Type]]="Spouse",Table2[[#This Row],[Member Type]]="Child"),Table2[[#This Row],[Product Option]]="My Value Plus Life &amp; Funeral",_xlfn.XLOOKUP(B367,Table2[Main Member Link ID],Table2[Benefit Name],0)&lt;&gt;Lookups!$D$17),
IF(_xlfn.XLOOKUP(B367,Table2[Main Member Link ID],Table2[Benefit Name],0)=0,"",_xlfn.XLOOKUP(B367,Table2[Main Member Link ID],Table2[Benefit Name],0)),""))))))</f>
        <v/>
      </c>
      <c r="AI367" s="328" t="str">
        <f>IF(AND(Table2[[#This Row],[Member Type]]="Main Member",Table2[[#This Row],[Table Lookup for Life Cover]]="MM_LIFE",Table2[[#This Row],[Age Next Birthday]]&lt;56),1,
IF(AND(Table2[[#This Row],[Member Type]]="Main Member",Table2[[#This Row],[Table Lookup for Life Cover]]="MM_LIFE",Table2[[#This Row],[Age Next Birthday]]&gt;=56),2,
""))</f>
        <v/>
      </c>
      <c r="AJ367" s="328">
        <f>IF(OR(Table2[[#This Row],[Member Type]]="Main Member",Table2[[#This Row],[Main Member Link ID]]=B366),1,0)</f>
        <v>1</v>
      </c>
      <c r="AK367" s="328">
        <f>IF(Table2[[#This Row],[Member Type]]=0,0,
IF(OR(Table2[[#This Row],[Member Type]]="Main Member",Table2[[#This Row],[Main Member Link ID]]&lt;&gt;B367),COUNTIFS(B:B,Table2[[#This Row],[Main Member Link ID]]),
COUNTIFS(B:B,Table2[[#This Row],[Main Member Link ID]],A:A,Table2[[#This Row],[Member Type]])))</f>
        <v>0</v>
      </c>
    </row>
    <row r="368" spans="1:37" x14ac:dyDescent="0.3">
      <c r="A368" s="284">
        <f>Table13[[#This Row],[Member Type]]</f>
        <v>0</v>
      </c>
      <c r="B368" s="284">
        <f>Table13[[#This Row],[Main Member Link ID]]</f>
        <v>0</v>
      </c>
      <c r="C368" s="284">
        <f>Table13[[#This Row],[ID Number]]</f>
        <v>0</v>
      </c>
      <c r="D368" s="285">
        <f>Table13[[#This Row],[Date Of Birth]]</f>
        <v>0</v>
      </c>
      <c r="E368" s="285">
        <f>Table13[[#This Row],[Commencement Date]]</f>
        <v>0</v>
      </c>
      <c r="F368" s="284">
        <f t="shared" si="35"/>
        <v>1</v>
      </c>
      <c r="G368" s="284">
        <f t="shared" si="36"/>
        <v>25</v>
      </c>
      <c r="H368" s="286">
        <f>Table13[[#This Row],[Product Option]]</f>
        <v>0</v>
      </c>
      <c r="I368" s="284">
        <f>IF(AND($A368="Main Member",Table2[[#This Row],[Product Option]]="My Value Plus Life"),"MM_LIFE",
IF(AND($A368="Spouse",Table2[[#This Row],[Product Option]]="My Value Plus Life"),"SP_LIFE",
IF(AND($A368="Main Member",Table2[[#This Row],[Product Option]]="My Value Plus Life &amp; Funeral"),"MM_LIFE",
IF(AND($A368="Spouse",Table2[[#This Row],[Product Option]]="My Value Plus Life &amp; Funeral"),_xlfn.XLOOKUP(Table2[[#This Row],[Benefit Name]],Lookups!$D$18:$D$23,Lookups!$E$18:$E$23,0),
0))))</f>
        <v>0</v>
      </c>
      <c r="J368" s="284">
        <f>IF($I368="","",
IF($I368="MM_LIFE",INDEX('Quotation Tool'!$S$54:$V$60,MATCH($T368,'Quotation Tool'!$S$54:$S$60,0),4),
IF($I368="SP_LIFE",_xlfn.XLOOKUP(B367,$B:$B,$J:$J,0),0)))</f>
        <v>0</v>
      </c>
      <c r="K368" s="287">
        <f t="shared" ca="1" si="40"/>
        <v>0</v>
      </c>
      <c r="L368" s="288">
        <f t="shared" ca="1" si="41"/>
        <v>0</v>
      </c>
      <c r="M368" s="289">
        <f t="shared" ca="1" si="37"/>
        <v>0</v>
      </c>
      <c r="N368" s="286">
        <f>Table13[[#This Row],[Benefit Option]]</f>
        <v>0</v>
      </c>
      <c r="O368" s="284">
        <f>IF(OR(Table2[[#This Row],[Member Type]]="Spouse",Table2[[#This Row],[Member Type]]="Child"),0,
IF(_xlfn.XLOOKUP($N368,Lookups!$D$13:$D$27,Lookups!$F$13:$F$27,0)=Table2[[#This Row],[Table Lookup for Life Cover]],0,
_xlfn.XLOOKUP($N368,Lookups!$D$13:$D$27,Lookups!$F$13:$F$27,0)))</f>
        <v>0</v>
      </c>
      <c r="P368" s="284">
        <f>IF(Table2[[#This Row],[Table Lookup for Funeral]]=0,0,IFERROR(INDEX('Quotation Tool'!$S$54:$V$60,MATCH($T368,'Quotation Tool'!$S$54:$S$60,0),3),0))</f>
        <v>0</v>
      </c>
      <c r="Q368" s="288">
        <f ca="1">IF(OR(Table2[[#This Row],[Benefit Name]]="My Value Plus Life - Main Member",Table2[[#This Row],[Benefit Name]]="My Value Plus Life - Spouse"),0,
IFERROR(VLOOKUP($G368,INDIRECT($O368),$P368,FALSE),0))</f>
        <v>0</v>
      </c>
      <c r="R368" s="288">
        <f ca="1">IF(OR(Table2[[#This Row],[Benefit Name]]="My Value Plus Life - Main Member",Table2[[#This Row],[Benefit Name]]="My Value Plus Life - Spouse"),0,
IFERROR(VLOOKUP($G368,INDIRECT($O368),$P368+1,FALSE),0))</f>
        <v>0</v>
      </c>
      <c r="S368" s="289">
        <f t="shared" ca="1" si="38"/>
        <v>0</v>
      </c>
      <c r="T368" s="284" t="str">
        <f>IF(Table13[[#This Row],[Premium Waiver]]="","None",Table13[[#This Row],[Premium Waiver]])</f>
        <v>None</v>
      </c>
      <c r="U368" s="284">
        <f>Table13[[#This Row],[VAPs Options]]</f>
        <v>0</v>
      </c>
      <c r="V368" s="284">
        <f>Table13[[#This Row],[Annual Increase Option]]</f>
        <v>0</v>
      </c>
      <c r="W368" s="290">
        <f>Table13[[#This Row],[Life Cover Amount]]</f>
        <v>0</v>
      </c>
      <c r="X368" s="290">
        <f>Table13[[#This Row],[Funeral Cover Amount]]</f>
        <v>0</v>
      </c>
      <c r="Y36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6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68" s="301">
        <f t="shared" ca="1" si="39"/>
        <v>0</v>
      </c>
      <c r="AB368" s="298"/>
      <c r="AC368" s="326" t="str">
        <f>IF(Table2[[#This Row],[Member Type]]="Main Member",Lookups!$C$13,
IF(Table2[[#This Row],[Member Type]]="Spouse",_xlfn.XLOOKUP(B368,Table2[Main Member Link ID],Table2[Product Option],0),
IF(AND(Table2[[#This Row],[Member Type]]="Child",_xlfn.XLOOKUP(B368,Table2[Main Member Link ID],Table2[Product Option],0)&lt;&gt;"My Value Plus Life"),Lookups!$C$24,
IF(AND(OR(Table2[[#This Row],[Member Type]]="Parent",Table2[[#This Row],[Member Type]]="Extended"),_xlfn.XLOOKUP(B368,Table2[Main Member Link ID],Table2[Product Option],0)&lt;&gt;"My Value Plus Life"),Lookups!$C$26,""))))</f>
        <v/>
      </c>
      <c r="AD368" s="326" t="str">
        <f>IF(Table2[[#This Row],[Member Type]]="Main Member",Lookups!$C$14,"")</f>
        <v/>
      </c>
      <c r="AE36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Funeral",_xlfn.XLOOKUP(B368,Table2[Main Member Link ID],Table2[Benefit Name],0)=Lookups!$D$14),"",
IF(AND(Table2[[#This Row],[Member Type]]="Spouse",Table2[[#This Row],[Product Option]]="My Value Plus Life &amp; Funeral",_xlfn.XLOOKUP(B367,Table2[Main Member Link ID],Table2[Benefit Name],0)=Lookups!$D$15),Lookups!$D$20,
IF(AND(Table2[[#This Row],[Member Type]]="Spouse",Table2[[#This Row],[Product Option]]="My Value Plus Life &amp; Funeral",_xlfn.XLOOKUP(B367,Table2[Main Member Link ID],Table2[Benefit Name],0)=Lookups!$D$16),"",
IF(AND(Table2[[#This Row],[Member Type]]="Spouse",Table2[[#This Row],[Product Option]]="My Value Plus Life &amp; Funeral",_xlfn.XLOOKUP(B367,Table2[Main Member Link ID],Table2[Benefit Name],0)=Lookups!$D$17),Lookups!$D$21,
IF(AND(Table2[[#This Row],[Member Type]]="Child",Table2[[#This Row],[Product Option]]="My Value Plus Life &amp; Funeral",_xlfn.XLOOKUP(B368,Table2[Main Member Link ID],Table2[Benefit Name],0)=Lookups!$D$14),"",
IF(AND(Table2[[#This Row],[Member Type]]="Child",Table2[[#This Row],[Product Option]]="My Value Plus Life &amp; Funeral",_xlfn.XLOOKUP(B368,Table2[Main Member Link ID],Table2[Benefit Name],0)=Lookups!$D$15),"",
IF(AND(Table2[[#This Row],[Member Type]]="Child",Table2[[#This Row],[Product Option]]="My Value Plus Life &amp; Funeral",_xlfn.XLOOKUP(B368,Table2[Main Member Link ID],Table2[Benefit Name],0)=Lookups!$D$16),Lookups!$D$24,
IF(AND(Table2[[#This Row],[Member Type]]="Child",Table2[[#This Row],[Product Option]]="My Value Plus Life &amp; Funeral",_xlfn.XLOOKUP(B368,Table2[Main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Funeral",_xlfn.XLOOKUP(B368,Table2[Main Member Link ID],Table2[Benefit Name],0)&lt;&gt;Lookups!$D$14),
IF(_xlfn.XLOOKUP(B368,Table2[Main Member Link ID],Table2[Benefit Name],0)=0,"",_xlfn.XLOOKUP(B368,Table2[Main Member Link ID],Table2[Benefit Name],0)),"")))))))))))))))</f>
        <v/>
      </c>
      <c r="AF368" s="327" t="str">
        <f>IF(AND(Table2[[#This Row],[Member Type]]="Main Member",Table2[[#This Row],[Product Option]]="My Value Plus Life &amp; Funeral"),Lookups!$D$15,
IF(AND(Table2[[#This Row],[Member Type]]="Spouse",Table2[[#This Row],[Product Option]]="My Value Plus Life &amp; Funeral",_xlfn.XLOOKUP(B368,Table2[Main Member Link ID],Table2[Benefit Name],0)=Lookups!$D$14),"",
IF(AND(Table2[[#This Row],[Member Type]]="Spouse",Table2[[#This Row],[Product Option]]="My Value Plus Life &amp; Funeral",_xlfn.XLOOKUP(B367,Table2[Main Member Link ID],Table2[Benefit Name],0)=Lookups!$D$16),"",
IF(AND(Table2[[#This Row],[Member Type]]="Spouse",Table2[[#This Row],[Product Option]]="My Value Plus Life &amp; Funeral",_xlfn.XLOOKUP(B367,Table2[Main Member Link ID],Table2[Benefit Name],0)=Lookups!$D$15),"",
IF(AND(Table2[[#This Row],[Member Type]]="Spouse",Table2[[#This Row],[Product Option]]="My Value Plus Life &amp; Funeral",_xlfn.XLOOKUP(B367,Table2[Main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Funeral",_xlfn.XLOOKUP(B368,Table2[Main Member Link ID],Table2[Benefit Name],0)&lt;&gt;Lookups!$D$15),
IF(_xlfn.XLOOKUP(B368,Table2[Main Member Link ID],Table2[Benefit Name],0)=0,"",_xlfn.XLOOKUP(B368,Table2[Main Member Link ID],Table2[Benefit Name],0)),"")
))))))</f>
        <v/>
      </c>
      <c r="AG368" s="327" t="str">
        <f>IF(AND(Table2[[#This Row],[Member Type]]="Main Member",Table2[[#This Row],[Product Option]]="My Value Plus Life &amp; Funeral"),Lookups!$D$16,
IF(AND(Table2[[#This Row],[Member Type]]="Spouse",Table2[[#This Row],[Product Option]]="My Value Plus Life &amp; Funeral",_xlfn.XLOOKUP(B368,Table2[Main Member Link ID],Table2[Benefit Name],0)=Lookups!$D$14),"",
IF(AND(Table2[[#This Row],[Member Type]]="Spouse",Table2[[#This Row],[Product Option]]="My Value Plus Life &amp; Funeral",_xlfn.XLOOKUP(B367,Table2[Main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Funeral",_xlfn.XLOOKUP(B368,Table2[Main Member Link ID],Table2[Benefit Name],0)&lt;&gt;Lookups!$D$16),
IF(_xlfn.XLOOKUP(B368,Table2[Main Member Link ID],Table2[Benefit Name],0)=0,"",_xlfn.XLOOKUP(B368,Table2[Main Member Link ID],Table2[Benefit Name],0)),"")
))))</f>
        <v/>
      </c>
      <c r="AH368" s="327" t="str">
        <f>IF(AND(Table2[[#This Row],[Member Type]]="Main Member",Table2[[#This Row],[Product Option]]="My Value Plus Life &amp; Funeral"),Lookups!$D$17,
IF(AND(Table2[[#This Row],[Member Type]]="Spouse",Table2[[#This Row],[Product Option]]="My Value Plus Life &amp; Funeral",_xlfn.XLOOKUP(B368,Table2[Main Member Link ID],Table2[Benefit Name],0)=Lookups!$D$14),"",
IF(AND(Table2[[#This Row],[Member Type]]="Spouse",Table2[[#This Row],[Product Option]]="My Value Plus Life &amp; Funeral",_xlfn.XLOOKUP(B367,Table2[Main Member Link ID],Table2[Benefit Name],0)=Lookups!$D$16),"",
IF(AND(Table2[[#This Row],[Member Type]]="Child",Table2[[#This Row],[Product Option]]="My Value Plus Life &amp; Funeral"),"",
IF(AND(Table2[[#This Row],[Member Type]]="Child",Table2[[#This Row],[Product Option]]="My Value Plus Life &amp; Funeral",_xlfn.XLOOKUP(B368,Table2[Main Member Link ID],Table2[Benefit Name],0)=Lookups!$D$15),"",
IF(AND(OR(Table2[[#This Row],[Member Type]]="Spouse",Table2[[#This Row],[Member Type]]="Child"),Table2[[#This Row],[Product Option]]="My Value Plus Life &amp; Funeral",_xlfn.XLOOKUP(B368,Table2[Main Member Link ID],Table2[Benefit Name],0)&lt;&gt;Lookups!$D$17),
IF(_xlfn.XLOOKUP(B368,Table2[Main Member Link ID],Table2[Benefit Name],0)=0,"",_xlfn.XLOOKUP(B368,Table2[Main Member Link ID],Table2[Benefit Name],0)),""))))))</f>
        <v/>
      </c>
      <c r="AI368" s="328" t="str">
        <f>IF(AND(Table2[[#This Row],[Member Type]]="Main Member",Table2[[#This Row],[Table Lookup for Life Cover]]="MM_LIFE",Table2[[#This Row],[Age Next Birthday]]&lt;56),1,
IF(AND(Table2[[#This Row],[Member Type]]="Main Member",Table2[[#This Row],[Table Lookup for Life Cover]]="MM_LIFE",Table2[[#This Row],[Age Next Birthday]]&gt;=56),2,
""))</f>
        <v/>
      </c>
      <c r="AJ368" s="328">
        <f>IF(OR(Table2[[#This Row],[Member Type]]="Main Member",Table2[[#This Row],[Main Member Link ID]]=B367),1,0)</f>
        <v>1</v>
      </c>
      <c r="AK368" s="328">
        <f>IF(Table2[[#This Row],[Member Type]]=0,0,
IF(OR(Table2[[#This Row],[Member Type]]="Main Member",Table2[[#This Row],[Main Member Link ID]]&lt;&gt;B368),COUNTIFS(B:B,Table2[[#This Row],[Main Member Link ID]]),
COUNTIFS(B:B,Table2[[#This Row],[Main Member Link ID]],A:A,Table2[[#This Row],[Member Type]])))</f>
        <v>0</v>
      </c>
    </row>
    <row r="369" spans="1:37" x14ac:dyDescent="0.3">
      <c r="A369" s="284">
        <f>Table13[[#This Row],[Member Type]]</f>
        <v>0</v>
      </c>
      <c r="B369" s="284">
        <f>Table13[[#This Row],[Main Member Link ID]]</f>
        <v>0</v>
      </c>
      <c r="C369" s="284">
        <f>Table13[[#This Row],[ID Number]]</f>
        <v>0</v>
      </c>
      <c r="D369" s="285">
        <f>Table13[[#This Row],[Date Of Birth]]</f>
        <v>0</v>
      </c>
      <c r="E369" s="285">
        <f>Table13[[#This Row],[Commencement Date]]</f>
        <v>0</v>
      </c>
      <c r="F369" s="284">
        <f t="shared" si="35"/>
        <v>1</v>
      </c>
      <c r="G369" s="284">
        <f t="shared" si="36"/>
        <v>25</v>
      </c>
      <c r="H369" s="286">
        <f>Table13[[#This Row],[Product Option]]</f>
        <v>0</v>
      </c>
      <c r="I369" s="284">
        <f>IF(AND($A369="Main Member",Table2[[#This Row],[Product Option]]="My Value Plus Life"),"MM_LIFE",
IF(AND($A369="Spouse",Table2[[#This Row],[Product Option]]="My Value Plus Life"),"SP_LIFE",
IF(AND($A369="Main Member",Table2[[#This Row],[Product Option]]="My Value Plus Life &amp; Funeral"),"MM_LIFE",
IF(AND($A369="Spouse",Table2[[#This Row],[Product Option]]="My Value Plus Life &amp; Funeral"),_xlfn.XLOOKUP(Table2[[#This Row],[Benefit Name]],Lookups!$D$18:$D$23,Lookups!$E$18:$E$23,0),
0))))</f>
        <v>0</v>
      </c>
      <c r="J369" s="284">
        <f>IF($I369="","",
IF($I369="MM_LIFE",INDEX('Quotation Tool'!$S$54:$V$60,MATCH($T369,'Quotation Tool'!$S$54:$S$60,0),4),
IF($I369="SP_LIFE",_xlfn.XLOOKUP(B368,$B:$B,$J:$J,0),0)))</f>
        <v>0</v>
      </c>
      <c r="K369" s="287">
        <f t="shared" ca="1" si="40"/>
        <v>0</v>
      </c>
      <c r="L369" s="288">
        <f t="shared" ca="1" si="41"/>
        <v>0</v>
      </c>
      <c r="M369" s="289">
        <f t="shared" ca="1" si="37"/>
        <v>0</v>
      </c>
      <c r="N369" s="286">
        <f>Table13[[#This Row],[Benefit Option]]</f>
        <v>0</v>
      </c>
      <c r="O369" s="284">
        <f>IF(OR(Table2[[#This Row],[Member Type]]="Spouse",Table2[[#This Row],[Member Type]]="Child"),0,
IF(_xlfn.XLOOKUP($N369,Lookups!$D$13:$D$27,Lookups!$F$13:$F$27,0)=Table2[[#This Row],[Table Lookup for Life Cover]],0,
_xlfn.XLOOKUP($N369,Lookups!$D$13:$D$27,Lookups!$F$13:$F$27,0)))</f>
        <v>0</v>
      </c>
      <c r="P369" s="284">
        <f>IF(Table2[[#This Row],[Table Lookup for Funeral]]=0,0,IFERROR(INDEX('Quotation Tool'!$S$54:$V$60,MATCH($T369,'Quotation Tool'!$S$54:$S$60,0),3),0))</f>
        <v>0</v>
      </c>
      <c r="Q369" s="288">
        <f ca="1">IF(OR(Table2[[#This Row],[Benefit Name]]="My Value Plus Life - Main Member",Table2[[#This Row],[Benefit Name]]="My Value Plus Life - Spouse"),0,
IFERROR(VLOOKUP($G369,INDIRECT($O369),$P369,FALSE),0))</f>
        <v>0</v>
      </c>
      <c r="R369" s="288">
        <f ca="1">IF(OR(Table2[[#This Row],[Benefit Name]]="My Value Plus Life - Main Member",Table2[[#This Row],[Benefit Name]]="My Value Plus Life - Spouse"),0,
IFERROR(VLOOKUP($G369,INDIRECT($O369),$P369+1,FALSE),0))</f>
        <v>0</v>
      </c>
      <c r="S369" s="289">
        <f t="shared" ca="1" si="38"/>
        <v>0</v>
      </c>
      <c r="T369" s="284" t="str">
        <f>IF(Table13[[#This Row],[Premium Waiver]]="","None",Table13[[#This Row],[Premium Waiver]])</f>
        <v>None</v>
      </c>
      <c r="U369" s="284">
        <f>Table13[[#This Row],[VAPs Options]]</f>
        <v>0</v>
      </c>
      <c r="V369" s="284">
        <f>Table13[[#This Row],[Annual Increase Option]]</f>
        <v>0</v>
      </c>
      <c r="W369" s="290">
        <f>Table13[[#This Row],[Life Cover Amount]]</f>
        <v>0</v>
      </c>
      <c r="X369" s="290">
        <f>Table13[[#This Row],[Funeral Cover Amount]]</f>
        <v>0</v>
      </c>
      <c r="Y36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6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69" s="301">
        <f t="shared" ca="1" si="39"/>
        <v>0</v>
      </c>
      <c r="AB369" s="298"/>
      <c r="AC369" s="326" t="str">
        <f>IF(Table2[[#This Row],[Member Type]]="Main Member",Lookups!$C$13,
IF(Table2[[#This Row],[Member Type]]="Spouse",_xlfn.XLOOKUP(B369,Table2[Main Member Link ID],Table2[Product Option],0),
IF(AND(Table2[[#This Row],[Member Type]]="Child",_xlfn.XLOOKUP(B369,Table2[Main Member Link ID],Table2[Product Option],0)&lt;&gt;"My Value Plus Life"),Lookups!$C$24,
IF(AND(OR(Table2[[#This Row],[Member Type]]="Parent",Table2[[#This Row],[Member Type]]="Extended"),_xlfn.XLOOKUP(B369,Table2[Main Member Link ID],Table2[Product Option],0)&lt;&gt;"My Value Plus Life"),Lookups!$C$26,""))))</f>
        <v/>
      </c>
      <c r="AD369" s="326" t="str">
        <f>IF(Table2[[#This Row],[Member Type]]="Main Member",Lookups!$C$14,"")</f>
        <v/>
      </c>
      <c r="AE36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Funeral",_xlfn.XLOOKUP(B369,Table2[Main Member Link ID],Table2[Benefit Name],0)=Lookups!$D$14),"",
IF(AND(Table2[[#This Row],[Member Type]]="Spouse",Table2[[#This Row],[Product Option]]="My Value Plus Life &amp; Funeral",_xlfn.XLOOKUP(B368,Table2[Main Member Link ID],Table2[Benefit Name],0)=Lookups!$D$15),Lookups!$D$20,
IF(AND(Table2[[#This Row],[Member Type]]="Spouse",Table2[[#This Row],[Product Option]]="My Value Plus Life &amp; Funeral",_xlfn.XLOOKUP(B368,Table2[Main Member Link ID],Table2[Benefit Name],0)=Lookups!$D$16),"",
IF(AND(Table2[[#This Row],[Member Type]]="Spouse",Table2[[#This Row],[Product Option]]="My Value Plus Life &amp; Funeral",_xlfn.XLOOKUP(B368,Table2[Main Member Link ID],Table2[Benefit Name],0)=Lookups!$D$17),Lookups!$D$21,
IF(AND(Table2[[#This Row],[Member Type]]="Child",Table2[[#This Row],[Product Option]]="My Value Plus Life &amp; Funeral",_xlfn.XLOOKUP(B369,Table2[Main Member Link ID],Table2[Benefit Name],0)=Lookups!$D$14),"",
IF(AND(Table2[[#This Row],[Member Type]]="Child",Table2[[#This Row],[Product Option]]="My Value Plus Life &amp; Funeral",_xlfn.XLOOKUP(B369,Table2[Main Member Link ID],Table2[Benefit Name],0)=Lookups!$D$15),"",
IF(AND(Table2[[#This Row],[Member Type]]="Child",Table2[[#This Row],[Product Option]]="My Value Plus Life &amp; Funeral",_xlfn.XLOOKUP(B369,Table2[Main Member Link ID],Table2[Benefit Name],0)=Lookups!$D$16),Lookups!$D$24,
IF(AND(Table2[[#This Row],[Member Type]]="Child",Table2[[#This Row],[Product Option]]="My Value Plus Life &amp; Funeral",_xlfn.XLOOKUP(B369,Table2[Main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Funeral",_xlfn.XLOOKUP(B369,Table2[Main Member Link ID],Table2[Benefit Name],0)&lt;&gt;Lookups!$D$14),
IF(_xlfn.XLOOKUP(B369,Table2[Main Member Link ID],Table2[Benefit Name],0)=0,"",_xlfn.XLOOKUP(B369,Table2[Main Member Link ID],Table2[Benefit Name],0)),"")))))))))))))))</f>
        <v/>
      </c>
      <c r="AF369" s="327" t="str">
        <f>IF(AND(Table2[[#This Row],[Member Type]]="Main Member",Table2[[#This Row],[Product Option]]="My Value Plus Life &amp; Funeral"),Lookups!$D$15,
IF(AND(Table2[[#This Row],[Member Type]]="Spouse",Table2[[#This Row],[Product Option]]="My Value Plus Life &amp; Funeral",_xlfn.XLOOKUP(B369,Table2[Main Member Link ID],Table2[Benefit Name],0)=Lookups!$D$14),"",
IF(AND(Table2[[#This Row],[Member Type]]="Spouse",Table2[[#This Row],[Product Option]]="My Value Plus Life &amp; Funeral",_xlfn.XLOOKUP(B368,Table2[Main Member Link ID],Table2[Benefit Name],0)=Lookups!$D$16),"",
IF(AND(Table2[[#This Row],[Member Type]]="Spouse",Table2[[#This Row],[Product Option]]="My Value Plus Life &amp; Funeral",_xlfn.XLOOKUP(B368,Table2[Main Member Link ID],Table2[Benefit Name],0)=Lookups!$D$15),"",
IF(AND(Table2[[#This Row],[Member Type]]="Spouse",Table2[[#This Row],[Product Option]]="My Value Plus Life &amp; Funeral",_xlfn.XLOOKUP(B368,Table2[Main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Funeral",_xlfn.XLOOKUP(B369,Table2[Main Member Link ID],Table2[Benefit Name],0)&lt;&gt;Lookups!$D$15),
IF(_xlfn.XLOOKUP(B369,Table2[Main Member Link ID],Table2[Benefit Name],0)=0,"",_xlfn.XLOOKUP(B369,Table2[Main Member Link ID],Table2[Benefit Name],0)),"")
))))))</f>
        <v/>
      </c>
      <c r="AG369" s="327" t="str">
        <f>IF(AND(Table2[[#This Row],[Member Type]]="Main Member",Table2[[#This Row],[Product Option]]="My Value Plus Life &amp; Funeral"),Lookups!$D$16,
IF(AND(Table2[[#This Row],[Member Type]]="Spouse",Table2[[#This Row],[Product Option]]="My Value Plus Life &amp; Funeral",_xlfn.XLOOKUP(B369,Table2[Main Member Link ID],Table2[Benefit Name],0)=Lookups!$D$14),"",
IF(AND(Table2[[#This Row],[Member Type]]="Spouse",Table2[[#This Row],[Product Option]]="My Value Plus Life &amp; Funeral",_xlfn.XLOOKUP(B368,Table2[Main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Funeral",_xlfn.XLOOKUP(B369,Table2[Main Member Link ID],Table2[Benefit Name],0)&lt;&gt;Lookups!$D$16),
IF(_xlfn.XLOOKUP(B369,Table2[Main Member Link ID],Table2[Benefit Name],0)=0,"",_xlfn.XLOOKUP(B369,Table2[Main Member Link ID],Table2[Benefit Name],0)),"")
))))</f>
        <v/>
      </c>
      <c r="AH369" s="327" t="str">
        <f>IF(AND(Table2[[#This Row],[Member Type]]="Main Member",Table2[[#This Row],[Product Option]]="My Value Plus Life &amp; Funeral"),Lookups!$D$17,
IF(AND(Table2[[#This Row],[Member Type]]="Spouse",Table2[[#This Row],[Product Option]]="My Value Plus Life &amp; Funeral",_xlfn.XLOOKUP(B369,Table2[Main Member Link ID],Table2[Benefit Name],0)=Lookups!$D$14),"",
IF(AND(Table2[[#This Row],[Member Type]]="Spouse",Table2[[#This Row],[Product Option]]="My Value Plus Life &amp; Funeral",_xlfn.XLOOKUP(B368,Table2[Main Member Link ID],Table2[Benefit Name],0)=Lookups!$D$16),"",
IF(AND(Table2[[#This Row],[Member Type]]="Child",Table2[[#This Row],[Product Option]]="My Value Plus Life &amp; Funeral"),"",
IF(AND(Table2[[#This Row],[Member Type]]="Child",Table2[[#This Row],[Product Option]]="My Value Plus Life &amp; Funeral",_xlfn.XLOOKUP(B369,Table2[Main Member Link ID],Table2[Benefit Name],0)=Lookups!$D$15),"",
IF(AND(OR(Table2[[#This Row],[Member Type]]="Spouse",Table2[[#This Row],[Member Type]]="Child"),Table2[[#This Row],[Product Option]]="My Value Plus Life &amp; Funeral",_xlfn.XLOOKUP(B369,Table2[Main Member Link ID],Table2[Benefit Name],0)&lt;&gt;Lookups!$D$17),
IF(_xlfn.XLOOKUP(B369,Table2[Main Member Link ID],Table2[Benefit Name],0)=0,"",_xlfn.XLOOKUP(B369,Table2[Main Member Link ID],Table2[Benefit Name],0)),""))))))</f>
        <v/>
      </c>
      <c r="AI369" s="328" t="str">
        <f>IF(AND(Table2[[#This Row],[Member Type]]="Main Member",Table2[[#This Row],[Table Lookup for Life Cover]]="MM_LIFE",Table2[[#This Row],[Age Next Birthday]]&lt;56),1,
IF(AND(Table2[[#This Row],[Member Type]]="Main Member",Table2[[#This Row],[Table Lookup for Life Cover]]="MM_LIFE",Table2[[#This Row],[Age Next Birthday]]&gt;=56),2,
""))</f>
        <v/>
      </c>
      <c r="AJ369" s="328">
        <f>IF(OR(Table2[[#This Row],[Member Type]]="Main Member",Table2[[#This Row],[Main Member Link ID]]=B368),1,0)</f>
        <v>1</v>
      </c>
      <c r="AK369" s="328">
        <f>IF(Table2[[#This Row],[Member Type]]=0,0,
IF(OR(Table2[[#This Row],[Member Type]]="Main Member",Table2[[#This Row],[Main Member Link ID]]&lt;&gt;B369),COUNTIFS(B:B,Table2[[#This Row],[Main Member Link ID]]),
COUNTIFS(B:B,Table2[[#This Row],[Main Member Link ID]],A:A,Table2[[#This Row],[Member Type]])))</f>
        <v>0</v>
      </c>
    </row>
    <row r="370" spans="1:37" x14ac:dyDescent="0.3">
      <c r="A370" s="284">
        <f>Table13[[#This Row],[Member Type]]</f>
        <v>0</v>
      </c>
      <c r="B370" s="284">
        <f>Table13[[#This Row],[Main Member Link ID]]</f>
        <v>0</v>
      </c>
      <c r="C370" s="284">
        <f>Table13[[#This Row],[ID Number]]</f>
        <v>0</v>
      </c>
      <c r="D370" s="285">
        <f>Table13[[#This Row],[Date Of Birth]]</f>
        <v>0</v>
      </c>
      <c r="E370" s="285">
        <f>Table13[[#This Row],[Commencement Date]]</f>
        <v>0</v>
      </c>
      <c r="F370" s="284">
        <f t="shared" si="35"/>
        <v>1</v>
      </c>
      <c r="G370" s="284">
        <f t="shared" si="36"/>
        <v>25</v>
      </c>
      <c r="H370" s="286">
        <f>Table13[[#This Row],[Product Option]]</f>
        <v>0</v>
      </c>
      <c r="I370" s="284">
        <f>IF(AND($A370="Main Member",Table2[[#This Row],[Product Option]]="My Value Plus Life"),"MM_LIFE",
IF(AND($A370="Spouse",Table2[[#This Row],[Product Option]]="My Value Plus Life"),"SP_LIFE",
IF(AND($A370="Main Member",Table2[[#This Row],[Product Option]]="My Value Plus Life &amp; Funeral"),"MM_LIFE",
IF(AND($A370="Spouse",Table2[[#This Row],[Product Option]]="My Value Plus Life &amp; Funeral"),_xlfn.XLOOKUP(Table2[[#This Row],[Benefit Name]],Lookups!$D$18:$D$23,Lookups!$E$18:$E$23,0),
0))))</f>
        <v>0</v>
      </c>
      <c r="J370" s="284">
        <f>IF($I370="","",
IF($I370="MM_LIFE",INDEX('Quotation Tool'!$S$54:$V$60,MATCH($T370,'Quotation Tool'!$S$54:$S$60,0),4),
IF($I370="SP_LIFE",_xlfn.XLOOKUP(B369,$B:$B,$J:$J,0),0)))</f>
        <v>0</v>
      </c>
      <c r="K370" s="287">
        <f t="shared" ca="1" si="40"/>
        <v>0</v>
      </c>
      <c r="L370" s="288">
        <f t="shared" ca="1" si="41"/>
        <v>0</v>
      </c>
      <c r="M370" s="289">
        <f t="shared" ca="1" si="37"/>
        <v>0</v>
      </c>
      <c r="N370" s="286">
        <f>Table13[[#This Row],[Benefit Option]]</f>
        <v>0</v>
      </c>
      <c r="O370" s="284">
        <f>IF(OR(Table2[[#This Row],[Member Type]]="Spouse",Table2[[#This Row],[Member Type]]="Child"),0,
IF(_xlfn.XLOOKUP($N370,Lookups!$D$13:$D$27,Lookups!$F$13:$F$27,0)=Table2[[#This Row],[Table Lookup for Life Cover]],0,
_xlfn.XLOOKUP($N370,Lookups!$D$13:$D$27,Lookups!$F$13:$F$27,0)))</f>
        <v>0</v>
      </c>
      <c r="P370" s="284">
        <f>IF(Table2[[#This Row],[Table Lookup for Funeral]]=0,0,IFERROR(INDEX('Quotation Tool'!$S$54:$V$60,MATCH($T370,'Quotation Tool'!$S$54:$S$60,0),3),0))</f>
        <v>0</v>
      </c>
      <c r="Q370" s="288">
        <f ca="1">IF(OR(Table2[[#This Row],[Benefit Name]]="My Value Plus Life - Main Member",Table2[[#This Row],[Benefit Name]]="My Value Plus Life - Spouse"),0,
IFERROR(VLOOKUP($G370,INDIRECT($O370),$P370,FALSE),0))</f>
        <v>0</v>
      </c>
      <c r="R370" s="288">
        <f ca="1">IF(OR(Table2[[#This Row],[Benefit Name]]="My Value Plus Life - Main Member",Table2[[#This Row],[Benefit Name]]="My Value Plus Life - Spouse"),0,
IFERROR(VLOOKUP($G370,INDIRECT($O370),$P370+1,FALSE),0))</f>
        <v>0</v>
      </c>
      <c r="S370" s="289">
        <f t="shared" ca="1" si="38"/>
        <v>0</v>
      </c>
      <c r="T370" s="284" t="str">
        <f>IF(Table13[[#This Row],[Premium Waiver]]="","None",Table13[[#This Row],[Premium Waiver]])</f>
        <v>None</v>
      </c>
      <c r="U370" s="284">
        <f>Table13[[#This Row],[VAPs Options]]</f>
        <v>0</v>
      </c>
      <c r="V370" s="284">
        <f>Table13[[#This Row],[Annual Increase Option]]</f>
        <v>0</v>
      </c>
      <c r="W370" s="290">
        <f>Table13[[#This Row],[Life Cover Amount]]</f>
        <v>0</v>
      </c>
      <c r="X370" s="290">
        <f>Table13[[#This Row],[Funeral Cover Amount]]</f>
        <v>0</v>
      </c>
      <c r="Y37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7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70" s="301">
        <f t="shared" ca="1" si="39"/>
        <v>0</v>
      </c>
      <c r="AB370" s="298"/>
      <c r="AC370" s="326" t="str">
        <f>IF(Table2[[#This Row],[Member Type]]="Main Member",Lookups!$C$13,
IF(Table2[[#This Row],[Member Type]]="Spouse",_xlfn.XLOOKUP(B370,Table2[Main Member Link ID],Table2[Product Option],0),
IF(AND(Table2[[#This Row],[Member Type]]="Child",_xlfn.XLOOKUP(B370,Table2[Main Member Link ID],Table2[Product Option],0)&lt;&gt;"My Value Plus Life"),Lookups!$C$24,
IF(AND(OR(Table2[[#This Row],[Member Type]]="Parent",Table2[[#This Row],[Member Type]]="Extended"),_xlfn.XLOOKUP(B370,Table2[Main Member Link ID],Table2[Product Option],0)&lt;&gt;"My Value Plus Life"),Lookups!$C$26,""))))</f>
        <v/>
      </c>
      <c r="AD370" s="326" t="str">
        <f>IF(Table2[[#This Row],[Member Type]]="Main Member",Lookups!$C$14,"")</f>
        <v/>
      </c>
      <c r="AE37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Funeral",_xlfn.XLOOKUP(B370,Table2[Main Member Link ID],Table2[Benefit Name],0)=Lookups!$D$14),"",
IF(AND(Table2[[#This Row],[Member Type]]="Spouse",Table2[[#This Row],[Product Option]]="My Value Plus Life &amp; Funeral",_xlfn.XLOOKUP(B369,Table2[Main Member Link ID],Table2[Benefit Name],0)=Lookups!$D$15),Lookups!$D$20,
IF(AND(Table2[[#This Row],[Member Type]]="Spouse",Table2[[#This Row],[Product Option]]="My Value Plus Life &amp; Funeral",_xlfn.XLOOKUP(B369,Table2[Main Member Link ID],Table2[Benefit Name],0)=Lookups!$D$16),"",
IF(AND(Table2[[#This Row],[Member Type]]="Spouse",Table2[[#This Row],[Product Option]]="My Value Plus Life &amp; Funeral",_xlfn.XLOOKUP(B369,Table2[Main Member Link ID],Table2[Benefit Name],0)=Lookups!$D$17),Lookups!$D$21,
IF(AND(Table2[[#This Row],[Member Type]]="Child",Table2[[#This Row],[Product Option]]="My Value Plus Life &amp; Funeral",_xlfn.XLOOKUP(B370,Table2[Main Member Link ID],Table2[Benefit Name],0)=Lookups!$D$14),"",
IF(AND(Table2[[#This Row],[Member Type]]="Child",Table2[[#This Row],[Product Option]]="My Value Plus Life &amp; Funeral",_xlfn.XLOOKUP(B370,Table2[Main Member Link ID],Table2[Benefit Name],0)=Lookups!$D$15),"",
IF(AND(Table2[[#This Row],[Member Type]]="Child",Table2[[#This Row],[Product Option]]="My Value Plus Life &amp; Funeral",_xlfn.XLOOKUP(B370,Table2[Main Member Link ID],Table2[Benefit Name],0)=Lookups!$D$16),Lookups!$D$24,
IF(AND(Table2[[#This Row],[Member Type]]="Child",Table2[[#This Row],[Product Option]]="My Value Plus Life &amp; Funeral",_xlfn.XLOOKUP(B370,Table2[Main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Funeral",_xlfn.XLOOKUP(B370,Table2[Main Member Link ID],Table2[Benefit Name],0)&lt;&gt;Lookups!$D$14),
IF(_xlfn.XLOOKUP(B370,Table2[Main Member Link ID],Table2[Benefit Name],0)=0,"",_xlfn.XLOOKUP(B370,Table2[Main Member Link ID],Table2[Benefit Name],0)),"")))))))))))))))</f>
        <v/>
      </c>
      <c r="AF370" s="327" t="str">
        <f>IF(AND(Table2[[#This Row],[Member Type]]="Main Member",Table2[[#This Row],[Product Option]]="My Value Plus Life &amp; Funeral"),Lookups!$D$15,
IF(AND(Table2[[#This Row],[Member Type]]="Spouse",Table2[[#This Row],[Product Option]]="My Value Plus Life &amp; Funeral",_xlfn.XLOOKUP(B370,Table2[Main Member Link ID],Table2[Benefit Name],0)=Lookups!$D$14),"",
IF(AND(Table2[[#This Row],[Member Type]]="Spouse",Table2[[#This Row],[Product Option]]="My Value Plus Life &amp; Funeral",_xlfn.XLOOKUP(B369,Table2[Main Member Link ID],Table2[Benefit Name],0)=Lookups!$D$16),"",
IF(AND(Table2[[#This Row],[Member Type]]="Spouse",Table2[[#This Row],[Product Option]]="My Value Plus Life &amp; Funeral",_xlfn.XLOOKUP(B369,Table2[Main Member Link ID],Table2[Benefit Name],0)=Lookups!$D$15),"",
IF(AND(Table2[[#This Row],[Member Type]]="Spouse",Table2[[#This Row],[Product Option]]="My Value Plus Life &amp; Funeral",_xlfn.XLOOKUP(B369,Table2[Main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Funeral",_xlfn.XLOOKUP(B370,Table2[Main Member Link ID],Table2[Benefit Name],0)&lt;&gt;Lookups!$D$15),
IF(_xlfn.XLOOKUP(B370,Table2[Main Member Link ID],Table2[Benefit Name],0)=0,"",_xlfn.XLOOKUP(B370,Table2[Main Member Link ID],Table2[Benefit Name],0)),"")
))))))</f>
        <v/>
      </c>
      <c r="AG370" s="327" t="str">
        <f>IF(AND(Table2[[#This Row],[Member Type]]="Main Member",Table2[[#This Row],[Product Option]]="My Value Plus Life &amp; Funeral"),Lookups!$D$16,
IF(AND(Table2[[#This Row],[Member Type]]="Spouse",Table2[[#This Row],[Product Option]]="My Value Plus Life &amp; Funeral",_xlfn.XLOOKUP(B370,Table2[Main Member Link ID],Table2[Benefit Name],0)=Lookups!$D$14),"",
IF(AND(Table2[[#This Row],[Member Type]]="Spouse",Table2[[#This Row],[Product Option]]="My Value Plus Life &amp; Funeral",_xlfn.XLOOKUP(B369,Table2[Main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Funeral",_xlfn.XLOOKUP(B370,Table2[Main Member Link ID],Table2[Benefit Name],0)&lt;&gt;Lookups!$D$16),
IF(_xlfn.XLOOKUP(B370,Table2[Main Member Link ID],Table2[Benefit Name],0)=0,"",_xlfn.XLOOKUP(B370,Table2[Main Member Link ID],Table2[Benefit Name],0)),"")
))))</f>
        <v/>
      </c>
      <c r="AH370" s="327" t="str">
        <f>IF(AND(Table2[[#This Row],[Member Type]]="Main Member",Table2[[#This Row],[Product Option]]="My Value Plus Life &amp; Funeral"),Lookups!$D$17,
IF(AND(Table2[[#This Row],[Member Type]]="Spouse",Table2[[#This Row],[Product Option]]="My Value Plus Life &amp; Funeral",_xlfn.XLOOKUP(B370,Table2[Main Member Link ID],Table2[Benefit Name],0)=Lookups!$D$14),"",
IF(AND(Table2[[#This Row],[Member Type]]="Spouse",Table2[[#This Row],[Product Option]]="My Value Plus Life &amp; Funeral",_xlfn.XLOOKUP(B369,Table2[Main Member Link ID],Table2[Benefit Name],0)=Lookups!$D$16),"",
IF(AND(Table2[[#This Row],[Member Type]]="Child",Table2[[#This Row],[Product Option]]="My Value Plus Life &amp; Funeral"),"",
IF(AND(Table2[[#This Row],[Member Type]]="Child",Table2[[#This Row],[Product Option]]="My Value Plus Life &amp; Funeral",_xlfn.XLOOKUP(B370,Table2[Main Member Link ID],Table2[Benefit Name],0)=Lookups!$D$15),"",
IF(AND(OR(Table2[[#This Row],[Member Type]]="Spouse",Table2[[#This Row],[Member Type]]="Child"),Table2[[#This Row],[Product Option]]="My Value Plus Life &amp; Funeral",_xlfn.XLOOKUP(B370,Table2[Main Member Link ID],Table2[Benefit Name],0)&lt;&gt;Lookups!$D$17),
IF(_xlfn.XLOOKUP(B370,Table2[Main Member Link ID],Table2[Benefit Name],0)=0,"",_xlfn.XLOOKUP(B370,Table2[Main Member Link ID],Table2[Benefit Name],0)),""))))))</f>
        <v/>
      </c>
      <c r="AI370" s="328" t="str">
        <f>IF(AND(Table2[[#This Row],[Member Type]]="Main Member",Table2[[#This Row],[Table Lookup for Life Cover]]="MM_LIFE",Table2[[#This Row],[Age Next Birthday]]&lt;56),1,
IF(AND(Table2[[#This Row],[Member Type]]="Main Member",Table2[[#This Row],[Table Lookup for Life Cover]]="MM_LIFE",Table2[[#This Row],[Age Next Birthday]]&gt;=56),2,
""))</f>
        <v/>
      </c>
      <c r="AJ370" s="328">
        <f>IF(OR(Table2[[#This Row],[Member Type]]="Main Member",Table2[[#This Row],[Main Member Link ID]]=B369),1,0)</f>
        <v>1</v>
      </c>
      <c r="AK370" s="328">
        <f>IF(Table2[[#This Row],[Member Type]]=0,0,
IF(OR(Table2[[#This Row],[Member Type]]="Main Member",Table2[[#This Row],[Main Member Link ID]]&lt;&gt;B370),COUNTIFS(B:B,Table2[[#This Row],[Main Member Link ID]]),
COUNTIFS(B:B,Table2[[#This Row],[Main Member Link ID]],A:A,Table2[[#This Row],[Member Type]])))</f>
        <v>0</v>
      </c>
    </row>
    <row r="371" spans="1:37" x14ac:dyDescent="0.3">
      <c r="A371" s="284">
        <f>Table13[[#This Row],[Member Type]]</f>
        <v>0</v>
      </c>
      <c r="B371" s="284">
        <f>Table13[[#This Row],[Main Member Link ID]]</f>
        <v>0</v>
      </c>
      <c r="C371" s="284">
        <f>Table13[[#This Row],[ID Number]]</f>
        <v>0</v>
      </c>
      <c r="D371" s="285">
        <f>Table13[[#This Row],[Date Of Birth]]</f>
        <v>0</v>
      </c>
      <c r="E371" s="285">
        <f>Table13[[#This Row],[Commencement Date]]</f>
        <v>0</v>
      </c>
      <c r="F371" s="284">
        <f t="shared" si="35"/>
        <v>1</v>
      </c>
      <c r="G371" s="284">
        <f t="shared" si="36"/>
        <v>25</v>
      </c>
      <c r="H371" s="286">
        <f>Table13[[#This Row],[Product Option]]</f>
        <v>0</v>
      </c>
      <c r="I371" s="284">
        <f>IF(AND($A371="Main Member",Table2[[#This Row],[Product Option]]="My Value Plus Life"),"MM_LIFE",
IF(AND($A371="Spouse",Table2[[#This Row],[Product Option]]="My Value Plus Life"),"SP_LIFE",
IF(AND($A371="Main Member",Table2[[#This Row],[Product Option]]="My Value Plus Life &amp; Funeral"),"MM_LIFE",
IF(AND($A371="Spouse",Table2[[#This Row],[Product Option]]="My Value Plus Life &amp; Funeral"),_xlfn.XLOOKUP(Table2[[#This Row],[Benefit Name]],Lookups!$D$18:$D$23,Lookups!$E$18:$E$23,0),
0))))</f>
        <v>0</v>
      </c>
      <c r="J371" s="284">
        <f>IF($I371="","",
IF($I371="MM_LIFE",INDEX('Quotation Tool'!$S$54:$V$60,MATCH($T371,'Quotation Tool'!$S$54:$S$60,0),4),
IF($I371="SP_LIFE",_xlfn.XLOOKUP(B370,$B:$B,$J:$J,0),0)))</f>
        <v>0</v>
      </c>
      <c r="K371" s="287">
        <f t="shared" ca="1" si="40"/>
        <v>0</v>
      </c>
      <c r="L371" s="288">
        <f t="shared" ca="1" si="41"/>
        <v>0</v>
      </c>
      <c r="M371" s="289">
        <f t="shared" ca="1" si="37"/>
        <v>0</v>
      </c>
      <c r="N371" s="286">
        <f>Table13[[#This Row],[Benefit Option]]</f>
        <v>0</v>
      </c>
      <c r="O371" s="284">
        <f>IF(OR(Table2[[#This Row],[Member Type]]="Spouse",Table2[[#This Row],[Member Type]]="Child"),0,
IF(_xlfn.XLOOKUP($N371,Lookups!$D$13:$D$27,Lookups!$F$13:$F$27,0)=Table2[[#This Row],[Table Lookup for Life Cover]],0,
_xlfn.XLOOKUP($N371,Lookups!$D$13:$D$27,Lookups!$F$13:$F$27,0)))</f>
        <v>0</v>
      </c>
      <c r="P371" s="284">
        <f>IF(Table2[[#This Row],[Table Lookup for Funeral]]=0,0,IFERROR(INDEX('Quotation Tool'!$S$54:$V$60,MATCH($T371,'Quotation Tool'!$S$54:$S$60,0),3),0))</f>
        <v>0</v>
      </c>
      <c r="Q371" s="288">
        <f ca="1">IF(OR(Table2[[#This Row],[Benefit Name]]="My Value Plus Life - Main Member",Table2[[#This Row],[Benefit Name]]="My Value Plus Life - Spouse"),0,
IFERROR(VLOOKUP($G371,INDIRECT($O371),$P371,FALSE),0))</f>
        <v>0</v>
      </c>
      <c r="R371" s="288">
        <f ca="1">IF(OR(Table2[[#This Row],[Benefit Name]]="My Value Plus Life - Main Member",Table2[[#This Row],[Benefit Name]]="My Value Plus Life - Spouse"),0,
IFERROR(VLOOKUP($G371,INDIRECT($O371),$P371+1,FALSE),0))</f>
        <v>0</v>
      </c>
      <c r="S371" s="289">
        <f t="shared" ca="1" si="38"/>
        <v>0</v>
      </c>
      <c r="T371" s="284" t="str">
        <f>IF(Table13[[#This Row],[Premium Waiver]]="","None",Table13[[#This Row],[Premium Waiver]])</f>
        <v>None</v>
      </c>
      <c r="U371" s="284">
        <f>Table13[[#This Row],[VAPs Options]]</f>
        <v>0</v>
      </c>
      <c r="V371" s="284">
        <f>Table13[[#This Row],[Annual Increase Option]]</f>
        <v>0</v>
      </c>
      <c r="W371" s="290">
        <f>Table13[[#This Row],[Life Cover Amount]]</f>
        <v>0</v>
      </c>
      <c r="X371" s="290">
        <f>Table13[[#This Row],[Funeral Cover Amount]]</f>
        <v>0</v>
      </c>
      <c r="Y37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7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71" s="301">
        <f t="shared" ca="1" si="39"/>
        <v>0</v>
      </c>
      <c r="AB371" s="298"/>
      <c r="AC371" s="326" t="str">
        <f>IF(Table2[[#This Row],[Member Type]]="Main Member",Lookups!$C$13,
IF(Table2[[#This Row],[Member Type]]="Spouse",_xlfn.XLOOKUP(B371,Table2[Main Member Link ID],Table2[Product Option],0),
IF(AND(Table2[[#This Row],[Member Type]]="Child",_xlfn.XLOOKUP(B371,Table2[Main Member Link ID],Table2[Product Option],0)&lt;&gt;"My Value Plus Life"),Lookups!$C$24,
IF(AND(OR(Table2[[#This Row],[Member Type]]="Parent",Table2[[#This Row],[Member Type]]="Extended"),_xlfn.XLOOKUP(B371,Table2[Main Member Link ID],Table2[Product Option],0)&lt;&gt;"My Value Plus Life"),Lookups!$C$26,""))))</f>
        <v/>
      </c>
      <c r="AD371" s="326" t="str">
        <f>IF(Table2[[#This Row],[Member Type]]="Main Member",Lookups!$C$14,"")</f>
        <v/>
      </c>
      <c r="AE37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Funeral",_xlfn.XLOOKUP(B371,Table2[Main Member Link ID],Table2[Benefit Name],0)=Lookups!$D$14),"",
IF(AND(Table2[[#This Row],[Member Type]]="Spouse",Table2[[#This Row],[Product Option]]="My Value Plus Life &amp; Funeral",_xlfn.XLOOKUP(B370,Table2[Main Member Link ID],Table2[Benefit Name],0)=Lookups!$D$15),Lookups!$D$20,
IF(AND(Table2[[#This Row],[Member Type]]="Spouse",Table2[[#This Row],[Product Option]]="My Value Plus Life &amp; Funeral",_xlfn.XLOOKUP(B370,Table2[Main Member Link ID],Table2[Benefit Name],0)=Lookups!$D$16),"",
IF(AND(Table2[[#This Row],[Member Type]]="Spouse",Table2[[#This Row],[Product Option]]="My Value Plus Life &amp; Funeral",_xlfn.XLOOKUP(B370,Table2[Main Member Link ID],Table2[Benefit Name],0)=Lookups!$D$17),Lookups!$D$21,
IF(AND(Table2[[#This Row],[Member Type]]="Child",Table2[[#This Row],[Product Option]]="My Value Plus Life &amp; Funeral",_xlfn.XLOOKUP(B371,Table2[Main Member Link ID],Table2[Benefit Name],0)=Lookups!$D$14),"",
IF(AND(Table2[[#This Row],[Member Type]]="Child",Table2[[#This Row],[Product Option]]="My Value Plus Life &amp; Funeral",_xlfn.XLOOKUP(B371,Table2[Main Member Link ID],Table2[Benefit Name],0)=Lookups!$D$15),"",
IF(AND(Table2[[#This Row],[Member Type]]="Child",Table2[[#This Row],[Product Option]]="My Value Plus Life &amp; Funeral",_xlfn.XLOOKUP(B371,Table2[Main Member Link ID],Table2[Benefit Name],0)=Lookups!$D$16),Lookups!$D$24,
IF(AND(Table2[[#This Row],[Member Type]]="Child",Table2[[#This Row],[Product Option]]="My Value Plus Life &amp; Funeral",_xlfn.XLOOKUP(B371,Table2[Main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Funeral",_xlfn.XLOOKUP(B371,Table2[Main Member Link ID],Table2[Benefit Name],0)&lt;&gt;Lookups!$D$14),
IF(_xlfn.XLOOKUP(B371,Table2[Main Member Link ID],Table2[Benefit Name],0)=0,"",_xlfn.XLOOKUP(B371,Table2[Main Member Link ID],Table2[Benefit Name],0)),"")))))))))))))))</f>
        <v/>
      </c>
      <c r="AF371" s="327" t="str">
        <f>IF(AND(Table2[[#This Row],[Member Type]]="Main Member",Table2[[#This Row],[Product Option]]="My Value Plus Life &amp; Funeral"),Lookups!$D$15,
IF(AND(Table2[[#This Row],[Member Type]]="Spouse",Table2[[#This Row],[Product Option]]="My Value Plus Life &amp; Funeral",_xlfn.XLOOKUP(B371,Table2[Main Member Link ID],Table2[Benefit Name],0)=Lookups!$D$14),"",
IF(AND(Table2[[#This Row],[Member Type]]="Spouse",Table2[[#This Row],[Product Option]]="My Value Plus Life &amp; Funeral",_xlfn.XLOOKUP(B370,Table2[Main Member Link ID],Table2[Benefit Name],0)=Lookups!$D$16),"",
IF(AND(Table2[[#This Row],[Member Type]]="Spouse",Table2[[#This Row],[Product Option]]="My Value Plus Life &amp; Funeral",_xlfn.XLOOKUP(B370,Table2[Main Member Link ID],Table2[Benefit Name],0)=Lookups!$D$15),"",
IF(AND(Table2[[#This Row],[Member Type]]="Spouse",Table2[[#This Row],[Product Option]]="My Value Plus Life &amp; Funeral",_xlfn.XLOOKUP(B370,Table2[Main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Funeral",_xlfn.XLOOKUP(B371,Table2[Main Member Link ID],Table2[Benefit Name],0)&lt;&gt;Lookups!$D$15),
IF(_xlfn.XLOOKUP(B371,Table2[Main Member Link ID],Table2[Benefit Name],0)=0,"",_xlfn.XLOOKUP(B371,Table2[Main Member Link ID],Table2[Benefit Name],0)),"")
))))))</f>
        <v/>
      </c>
      <c r="AG371" s="327" t="str">
        <f>IF(AND(Table2[[#This Row],[Member Type]]="Main Member",Table2[[#This Row],[Product Option]]="My Value Plus Life &amp; Funeral"),Lookups!$D$16,
IF(AND(Table2[[#This Row],[Member Type]]="Spouse",Table2[[#This Row],[Product Option]]="My Value Plus Life &amp; Funeral",_xlfn.XLOOKUP(B371,Table2[Main Member Link ID],Table2[Benefit Name],0)=Lookups!$D$14),"",
IF(AND(Table2[[#This Row],[Member Type]]="Spouse",Table2[[#This Row],[Product Option]]="My Value Plus Life &amp; Funeral",_xlfn.XLOOKUP(B370,Table2[Main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Funeral",_xlfn.XLOOKUP(B371,Table2[Main Member Link ID],Table2[Benefit Name],0)&lt;&gt;Lookups!$D$16),
IF(_xlfn.XLOOKUP(B371,Table2[Main Member Link ID],Table2[Benefit Name],0)=0,"",_xlfn.XLOOKUP(B371,Table2[Main Member Link ID],Table2[Benefit Name],0)),"")
))))</f>
        <v/>
      </c>
      <c r="AH371" s="327" t="str">
        <f>IF(AND(Table2[[#This Row],[Member Type]]="Main Member",Table2[[#This Row],[Product Option]]="My Value Plus Life &amp; Funeral"),Lookups!$D$17,
IF(AND(Table2[[#This Row],[Member Type]]="Spouse",Table2[[#This Row],[Product Option]]="My Value Plus Life &amp; Funeral",_xlfn.XLOOKUP(B371,Table2[Main Member Link ID],Table2[Benefit Name],0)=Lookups!$D$14),"",
IF(AND(Table2[[#This Row],[Member Type]]="Spouse",Table2[[#This Row],[Product Option]]="My Value Plus Life &amp; Funeral",_xlfn.XLOOKUP(B370,Table2[Main Member Link ID],Table2[Benefit Name],0)=Lookups!$D$16),"",
IF(AND(Table2[[#This Row],[Member Type]]="Child",Table2[[#This Row],[Product Option]]="My Value Plus Life &amp; Funeral"),"",
IF(AND(Table2[[#This Row],[Member Type]]="Child",Table2[[#This Row],[Product Option]]="My Value Plus Life &amp; Funeral",_xlfn.XLOOKUP(B371,Table2[Main Member Link ID],Table2[Benefit Name],0)=Lookups!$D$15),"",
IF(AND(OR(Table2[[#This Row],[Member Type]]="Spouse",Table2[[#This Row],[Member Type]]="Child"),Table2[[#This Row],[Product Option]]="My Value Plus Life &amp; Funeral",_xlfn.XLOOKUP(B371,Table2[Main Member Link ID],Table2[Benefit Name],0)&lt;&gt;Lookups!$D$17),
IF(_xlfn.XLOOKUP(B371,Table2[Main Member Link ID],Table2[Benefit Name],0)=0,"",_xlfn.XLOOKUP(B371,Table2[Main Member Link ID],Table2[Benefit Name],0)),""))))))</f>
        <v/>
      </c>
      <c r="AI371" s="328" t="str">
        <f>IF(AND(Table2[[#This Row],[Member Type]]="Main Member",Table2[[#This Row],[Table Lookup for Life Cover]]="MM_LIFE",Table2[[#This Row],[Age Next Birthday]]&lt;56),1,
IF(AND(Table2[[#This Row],[Member Type]]="Main Member",Table2[[#This Row],[Table Lookup for Life Cover]]="MM_LIFE",Table2[[#This Row],[Age Next Birthday]]&gt;=56),2,
""))</f>
        <v/>
      </c>
      <c r="AJ371" s="328">
        <f>IF(OR(Table2[[#This Row],[Member Type]]="Main Member",Table2[[#This Row],[Main Member Link ID]]=B370),1,0)</f>
        <v>1</v>
      </c>
      <c r="AK371" s="328">
        <f>IF(Table2[[#This Row],[Member Type]]=0,0,
IF(OR(Table2[[#This Row],[Member Type]]="Main Member",Table2[[#This Row],[Main Member Link ID]]&lt;&gt;B371),COUNTIFS(B:B,Table2[[#This Row],[Main Member Link ID]]),
COUNTIFS(B:B,Table2[[#This Row],[Main Member Link ID]],A:A,Table2[[#This Row],[Member Type]])))</f>
        <v>0</v>
      </c>
    </row>
    <row r="372" spans="1:37" x14ac:dyDescent="0.3">
      <c r="A372" s="284">
        <f>Table13[[#This Row],[Member Type]]</f>
        <v>0</v>
      </c>
      <c r="B372" s="284">
        <f>Table13[[#This Row],[Main Member Link ID]]</f>
        <v>0</v>
      </c>
      <c r="C372" s="284">
        <f>Table13[[#This Row],[ID Number]]</f>
        <v>0</v>
      </c>
      <c r="D372" s="285">
        <f>Table13[[#This Row],[Date Of Birth]]</f>
        <v>0</v>
      </c>
      <c r="E372" s="285">
        <f>Table13[[#This Row],[Commencement Date]]</f>
        <v>0</v>
      </c>
      <c r="F372" s="284">
        <f t="shared" si="35"/>
        <v>1</v>
      </c>
      <c r="G372" s="284">
        <f t="shared" si="36"/>
        <v>25</v>
      </c>
      <c r="H372" s="286">
        <f>Table13[[#This Row],[Product Option]]</f>
        <v>0</v>
      </c>
      <c r="I372" s="284">
        <f>IF(AND($A372="Main Member",Table2[[#This Row],[Product Option]]="My Value Plus Life"),"MM_LIFE",
IF(AND($A372="Spouse",Table2[[#This Row],[Product Option]]="My Value Plus Life"),"SP_LIFE",
IF(AND($A372="Main Member",Table2[[#This Row],[Product Option]]="My Value Plus Life &amp; Funeral"),"MM_LIFE",
IF(AND($A372="Spouse",Table2[[#This Row],[Product Option]]="My Value Plus Life &amp; Funeral"),_xlfn.XLOOKUP(Table2[[#This Row],[Benefit Name]],Lookups!$D$18:$D$23,Lookups!$E$18:$E$23,0),
0))))</f>
        <v>0</v>
      </c>
      <c r="J372" s="284">
        <f>IF($I372="","",
IF($I372="MM_LIFE",INDEX('Quotation Tool'!$S$54:$V$60,MATCH($T372,'Quotation Tool'!$S$54:$S$60,0),4),
IF($I372="SP_LIFE",_xlfn.XLOOKUP(B371,$B:$B,$J:$J,0),0)))</f>
        <v>0</v>
      </c>
      <c r="K372" s="287">
        <f t="shared" ca="1" si="40"/>
        <v>0</v>
      </c>
      <c r="L372" s="288">
        <f t="shared" ca="1" si="41"/>
        <v>0</v>
      </c>
      <c r="M372" s="289">
        <f t="shared" ca="1" si="37"/>
        <v>0</v>
      </c>
      <c r="N372" s="286">
        <f>Table13[[#This Row],[Benefit Option]]</f>
        <v>0</v>
      </c>
      <c r="O372" s="284">
        <f>IF(OR(Table2[[#This Row],[Member Type]]="Spouse",Table2[[#This Row],[Member Type]]="Child"),0,
IF(_xlfn.XLOOKUP($N372,Lookups!$D$13:$D$27,Lookups!$F$13:$F$27,0)=Table2[[#This Row],[Table Lookup for Life Cover]],0,
_xlfn.XLOOKUP($N372,Lookups!$D$13:$D$27,Lookups!$F$13:$F$27,0)))</f>
        <v>0</v>
      </c>
      <c r="P372" s="284">
        <f>IF(Table2[[#This Row],[Table Lookup for Funeral]]=0,0,IFERROR(INDEX('Quotation Tool'!$S$54:$V$60,MATCH($T372,'Quotation Tool'!$S$54:$S$60,0),3),0))</f>
        <v>0</v>
      </c>
      <c r="Q372" s="288">
        <f ca="1">IF(OR(Table2[[#This Row],[Benefit Name]]="My Value Plus Life - Main Member",Table2[[#This Row],[Benefit Name]]="My Value Plus Life - Spouse"),0,
IFERROR(VLOOKUP($G372,INDIRECT($O372),$P372,FALSE),0))</f>
        <v>0</v>
      </c>
      <c r="R372" s="288">
        <f ca="1">IF(OR(Table2[[#This Row],[Benefit Name]]="My Value Plus Life - Main Member",Table2[[#This Row],[Benefit Name]]="My Value Plus Life - Spouse"),0,
IFERROR(VLOOKUP($G372,INDIRECT($O372),$P372+1,FALSE),0))</f>
        <v>0</v>
      </c>
      <c r="S372" s="289">
        <f t="shared" ca="1" si="38"/>
        <v>0</v>
      </c>
      <c r="T372" s="284" t="str">
        <f>IF(Table13[[#This Row],[Premium Waiver]]="","None",Table13[[#This Row],[Premium Waiver]])</f>
        <v>None</v>
      </c>
      <c r="U372" s="284">
        <f>Table13[[#This Row],[VAPs Options]]</f>
        <v>0</v>
      </c>
      <c r="V372" s="284">
        <f>Table13[[#This Row],[Annual Increase Option]]</f>
        <v>0</v>
      </c>
      <c r="W372" s="290">
        <f>Table13[[#This Row],[Life Cover Amount]]</f>
        <v>0</v>
      </c>
      <c r="X372" s="290">
        <f>Table13[[#This Row],[Funeral Cover Amount]]</f>
        <v>0</v>
      </c>
      <c r="Y37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7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72" s="301">
        <f t="shared" ca="1" si="39"/>
        <v>0</v>
      </c>
      <c r="AB372" s="298"/>
      <c r="AC372" s="326" t="str">
        <f>IF(Table2[[#This Row],[Member Type]]="Main Member",Lookups!$C$13,
IF(Table2[[#This Row],[Member Type]]="Spouse",_xlfn.XLOOKUP(B372,Table2[Main Member Link ID],Table2[Product Option],0),
IF(AND(Table2[[#This Row],[Member Type]]="Child",_xlfn.XLOOKUP(B372,Table2[Main Member Link ID],Table2[Product Option],0)&lt;&gt;"My Value Plus Life"),Lookups!$C$24,
IF(AND(OR(Table2[[#This Row],[Member Type]]="Parent",Table2[[#This Row],[Member Type]]="Extended"),_xlfn.XLOOKUP(B372,Table2[Main Member Link ID],Table2[Product Option],0)&lt;&gt;"My Value Plus Life"),Lookups!$C$26,""))))</f>
        <v/>
      </c>
      <c r="AD372" s="326" t="str">
        <f>IF(Table2[[#This Row],[Member Type]]="Main Member",Lookups!$C$14,"")</f>
        <v/>
      </c>
      <c r="AE37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Funeral",_xlfn.XLOOKUP(B372,Table2[Main Member Link ID],Table2[Benefit Name],0)=Lookups!$D$14),"",
IF(AND(Table2[[#This Row],[Member Type]]="Spouse",Table2[[#This Row],[Product Option]]="My Value Plus Life &amp; Funeral",_xlfn.XLOOKUP(B371,Table2[Main Member Link ID],Table2[Benefit Name],0)=Lookups!$D$15),Lookups!$D$20,
IF(AND(Table2[[#This Row],[Member Type]]="Spouse",Table2[[#This Row],[Product Option]]="My Value Plus Life &amp; Funeral",_xlfn.XLOOKUP(B371,Table2[Main Member Link ID],Table2[Benefit Name],0)=Lookups!$D$16),"",
IF(AND(Table2[[#This Row],[Member Type]]="Spouse",Table2[[#This Row],[Product Option]]="My Value Plus Life &amp; Funeral",_xlfn.XLOOKUP(B371,Table2[Main Member Link ID],Table2[Benefit Name],0)=Lookups!$D$17),Lookups!$D$21,
IF(AND(Table2[[#This Row],[Member Type]]="Child",Table2[[#This Row],[Product Option]]="My Value Plus Life &amp; Funeral",_xlfn.XLOOKUP(B372,Table2[Main Member Link ID],Table2[Benefit Name],0)=Lookups!$D$14),"",
IF(AND(Table2[[#This Row],[Member Type]]="Child",Table2[[#This Row],[Product Option]]="My Value Plus Life &amp; Funeral",_xlfn.XLOOKUP(B372,Table2[Main Member Link ID],Table2[Benefit Name],0)=Lookups!$D$15),"",
IF(AND(Table2[[#This Row],[Member Type]]="Child",Table2[[#This Row],[Product Option]]="My Value Plus Life &amp; Funeral",_xlfn.XLOOKUP(B372,Table2[Main Member Link ID],Table2[Benefit Name],0)=Lookups!$D$16),Lookups!$D$24,
IF(AND(Table2[[#This Row],[Member Type]]="Child",Table2[[#This Row],[Product Option]]="My Value Plus Life &amp; Funeral",_xlfn.XLOOKUP(B372,Table2[Main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Funeral",_xlfn.XLOOKUP(B372,Table2[Main Member Link ID],Table2[Benefit Name],0)&lt;&gt;Lookups!$D$14),
IF(_xlfn.XLOOKUP(B372,Table2[Main Member Link ID],Table2[Benefit Name],0)=0,"",_xlfn.XLOOKUP(B372,Table2[Main Member Link ID],Table2[Benefit Name],0)),"")))))))))))))))</f>
        <v/>
      </c>
      <c r="AF372" s="327" t="str">
        <f>IF(AND(Table2[[#This Row],[Member Type]]="Main Member",Table2[[#This Row],[Product Option]]="My Value Plus Life &amp; Funeral"),Lookups!$D$15,
IF(AND(Table2[[#This Row],[Member Type]]="Spouse",Table2[[#This Row],[Product Option]]="My Value Plus Life &amp; Funeral",_xlfn.XLOOKUP(B372,Table2[Main Member Link ID],Table2[Benefit Name],0)=Lookups!$D$14),"",
IF(AND(Table2[[#This Row],[Member Type]]="Spouse",Table2[[#This Row],[Product Option]]="My Value Plus Life &amp; Funeral",_xlfn.XLOOKUP(B371,Table2[Main Member Link ID],Table2[Benefit Name],0)=Lookups!$D$16),"",
IF(AND(Table2[[#This Row],[Member Type]]="Spouse",Table2[[#This Row],[Product Option]]="My Value Plus Life &amp; Funeral",_xlfn.XLOOKUP(B371,Table2[Main Member Link ID],Table2[Benefit Name],0)=Lookups!$D$15),"",
IF(AND(Table2[[#This Row],[Member Type]]="Spouse",Table2[[#This Row],[Product Option]]="My Value Plus Life &amp; Funeral",_xlfn.XLOOKUP(B371,Table2[Main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Funeral",_xlfn.XLOOKUP(B372,Table2[Main Member Link ID],Table2[Benefit Name],0)&lt;&gt;Lookups!$D$15),
IF(_xlfn.XLOOKUP(B372,Table2[Main Member Link ID],Table2[Benefit Name],0)=0,"",_xlfn.XLOOKUP(B372,Table2[Main Member Link ID],Table2[Benefit Name],0)),"")
))))))</f>
        <v/>
      </c>
      <c r="AG372" s="327" t="str">
        <f>IF(AND(Table2[[#This Row],[Member Type]]="Main Member",Table2[[#This Row],[Product Option]]="My Value Plus Life &amp; Funeral"),Lookups!$D$16,
IF(AND(Table2[[#This Row],[Member Type]]="Spouse",Table2[[#This Row],[Product Option]]="My Value Plus Life &amp; Funeral",_xlfn.XLOOKUP(B372,Table2[Main Member Link ID],Table2[Benefit Name],0)=Lookups!$D$14),"",
IF(AND(Table2[[#This Row],[Member Type]]="Spouse",Table2[[#This Row],[Product Option]]="My Value Plus Life &amp; Funeral",_xlfn.XLOOKUP(B371,Table2[Main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Funeral",_xlfn.XLOOKUP(B372,Table2[Main Member Link ID],Table2[Benefit Name],0)&lt;&gt;Lookups!$D$16),
IF(_xlfn.XLOOKUP(B372,Table2[Main Member Link ID],Table2[Benefit Name],0)=0,"",_xlfn.XLOOKUP(B372,Table2[Main Member Link ID],Table2[Benefit Name],0)),"")
))))</f>
        <v/>
      </c>
      <c r="AH372" s="327" t="str">
        <f>IF(AND(Table2[[#This Row],[Member Type]]="Main Member",Table2[[#This Row],[Product Option]]="My Value Plus Life &amp; Funeral"),Lookups!$D$17,
IF(AND(Table2[[#This Row],[Member Type]]="Spouse",Table2[[#This Row],[Product Option]]="My Value Plus Life &amp; Funeral",_xlfn.XLOOKUP(B372,Table2[Main Member Link ID],Table2[Benefit Name],0)=Lookups!$D$14),"",
IF(AND(Table2[[#This Row],[Member Type]]="Spouse",Table2[[#This Row],[Product Option]]="My Value Plus Life &amp; Funeral",_xlfn.XLOOKUP(B371,Table2[Main Member Link ID],Table2[Benefit Name],0)=Lookups!$D$16),"",
IF(AND(Table2[[#This Row],[Member Type]]="Child",Table2[[#This Row],[Product Option]]="My Value Plus Life &amp; Funeral"),"",
IF(AND(Table2[[#This Row],[Member Type]]="Child",Table2[[#This Row],[Product Option]]="My Value Plus Life &amp; Funeral",_xlfn.XLOOKUP(B372,Table2[Main Member Link ID],Table2[Benefit Name],0)=Lookups!$D$15),"",
IF(AND(OR(Table2[[#This Row],[Member Type]]="Spouse",Table2[[#This Row],[Member Type]]="Child"),Table2[[#This Row],[Product Option]]="My Value Plus Life &amp; Funeral",_xlfn.XLOOKUP(B372,Table2[Main Member Link ID],Table2[Benefit Name],0)&lt;&gt;Lookups!$D$17),
IF(_xlfn.XLOOKUP(B372,Table2[Main Member Link ID],Table2[Benefit Name],0)=0,"",_xlfn.XLOOKUP(B372,Table2[Main Member Link ID],Table2[Benefit Name],0)),""))))))</f>
        <v/>
      </c>
      <c r="AI372" s="328" t="str">
        <f>IF(AND(Table2[[#This Row],[Member Type]]="Main Member",Table2[[#This Row],[Table Lookup for Life Cover]]="MM_LIFE",Table2[[#This Row],[Age Next Birthday]]&lt;56),1,
IF(AND(Table2[[#This Row],[Member Type]]="Main Member",Table2[[#This Row],[Table Lookup for Life Cover]]="MM_LIFE",Table2[[#This Row],[Age Next Birthday]]&gt;=56),2,
""))</f>
        <v/>
      </c>
      <c r="AJ372" s="328">
        <f>IF(OR(Table2[[#This Row],[Member Type]]="Main Member",Table2[[#This Row],[Main Member Link ID]]=B371),1,0)</f>
        <v>1</v>
      </c>
      <c r="AK372" s="328">
        <f>IF(Table2[[#This Row],[Member Type]]=0,0,
IF(OR(Table2[[#This Row],[Member Type]]="Main Member",Table2[[#This Row],[Main Member Link ID]]&lt;&gt;B372),COUNTIFS(B:B,Table2[[#This Row],[Main Member Link ID]]),
COUNTIFS(B:B,Table2[[#This Row],[Main Member Link ID]],A:A,Table2[[#This Row],[Member Type]])))</f>
        <v>0</v>
      </c>
    </row>
    <row r="373" spans="1:37" x14ac:dyDescent="0.3">
      <c r="A373" s="284">
        <f>Table13[[#This Row],[Member Type]]</f>
        <v>0</v>
      </c>
      <c r="B373" s="284">
        <f>Table13[[#This Row],[Main Member Link ID]]</f>
        <v>0</v>
      </c>
      <c r="C373" s="284">
        <f>Table13[[#This Row],[ID Number]]</f>
        <v>0</v>
      </c>
      <c r="D373" s="285">
        <f>Table13[[#This Row],[Date Of Birth]]</f>
        <v>0</v>
      </c>
      <c r="E373" s="285">
        <f>Table13[[#This Row],[Commencement Date]]</f>
        <v>0</v>
      </c>
      <c r="F373" s="284">
        <f t="shared" si="35"/>
        <v>1</v>
      </c>
      <c r="G373" s="284">
        <f t="shared" si="36"/>
        <v>25</v>
      </c>
      <c r="H373" s="286">
        <f>Table13[[#This Row],[Product Option]]</f>
        <v>0</v>
      </c>
      <c r="I373" s="284">
        <f>IF(AND($A373="Main Member",Table2[[#This Row],[Product Option]]="My Value Plus Life"),"MM_LIFE",
IF(AND($A373="Spouse",Table2[[#This Row],[Product Option]]="My Value Plus Life"),"SP_LIFE",
IF(AND($A373="Main Member",Table2[[#This Row],[Product Option]]="My Value Plus Life &amp; Funeral"),"MM_LIFE",
IF(AND($A373="Spouse",Table2[[#This Row],[Product Option]]="My Value Plus Life &amp; Funeral"),_xlfn.XLOOKUP(Table2[[#This Row],[Benefit Name]],Lookups!$D$18:$D$23,Lookups!$E$18:$E$23,0),
0))))</f>
        <v>0</v>
      </c>
      <c r="J373" s="284">
        <f>IF($I373="","",
IF($I373="MM_LIFE",INDEX('Quotation Tool'!$S$54:$V$60,MATCH($T373,'Quotation Tool'!$S$54:$S$60,0),4),
IF($I373="SP_LIFE",_xlfn.XLOOKUP(B372,$B:$B,$J:$J,0),0)))</f>
        <v>0</v>
      </c>
      <c r="K373" s="287">
        <f t="shared" ca="1" si="40"/>
        <v>0</v>
      </c>
      <c r="L373" s="288">
        <f t="shared" ca="1" si="41"/>
        <v>0</v>
      </c>
      <c r="M373" s="289">
        <f t="shared" ca="1" si="37"/>
        <v>0</v>
      </c>
      <c r="N373" s="286">
        <f>Table13[[#This Row],[Benefit Option]]</f>
        <v>0</v>
      </c>
      <c r="O373" s="284">
        <f>IF(OR(Table2[[#This Row],[Member Type]]="Spouse",Table2[[#This Row],[Member Type]]="Child"),0,
IF(_xlfn.XLOOKUP($N373,Lookups!$D$13:$D$27,Lookups!$F$13:$F$27,0)=Table2[[#This Row],[Table Lookup for Life Cover]],0,
_xlfn.XLOOKUP($N373,Lookups!$D$13:$D$27,Lookups!$F$13:$F$27,0)))</f>
        <v>0</v>
      </c>
      <c r="P373" s="284">
        <f>IF(Table2[[#This Row],[Table Lookup for Funeral]]=0,0,IFERROR(INDEX('Quotation Tool'!$S$54:$V$60,MATCH($T373,'Quotation Tool'!$S$54:$S$60,0),3),0))</f>
        <v>0</v>
      </c>
      <c r="Q373" s="288">
        <f ca="1">IF(OR(Table2[[#This Row],[Benefit Name]]="My Value Plus Life - Main Member",Table2[[#This Row],[Benefit Name]]="My Value Plus Life - Spouse"),0,
IFERROR(VLOOKUP($G373,INDIRECT($O373),$P373,FALSE),0))</f>
        <v>0</v>
      </c>
      <c r="R373" s="288">
        <f ca="1">IF(OR(Table2[[#This Row],[Benefit Name]]="My Value Plus Life - Main Member",Table2[[#This Row],[Benefit Name]]="My Value Plus Life - Spouse"),0,
IFERROR(VLOOKUP($G373,INDIRECT($O373),$P373+1,FALSE),0))</f>
        <v>0</v>
      </c>
      <c r="S373" s="289">
        <f t="shared" ca="1" si="38"/>
        <v>0</v>
      </c>
      <c r="T373" s="284" t="str">
        <f>IF(Table13[[#This Row],[Premium Waiver]]="","None",Table13[[#This Row],[Premium Waiver]])</f>
        <v>None</v>
      </c>
      <c r="U373" s="284">
        <f>Table13[[#This Row],[VAPs Options]]</f>
        <v>0</v>
      </c>
      <c r="V373" s="284">
        <f>Table13[[#This Row],[Annual Increase Option]]</f>
        <v>0</v>
      </c>
      <c r="W373" s="290">
        <f>Table13[[#This Row],[Life Cover Amount]]</f>
        <v>0</v>
      </c>
      <c r="X373" s="290">
        <f>Table13[[#This Row],[Funeral Cover Amount]]</f>
        <v>0</v>
      </c>
      <c r="Y37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7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73" s="301">
        <f t="shared" ca="1" si="39"/>
        <v>0</v>
      </c>
      <c r="AB373" s="298"/>
      <c r="AC373" s="326" t="str">
        <f>IF(Table2[[#This Row],[Member Type]]="Main Member",Lookups!$C$13,
IF(Table2[[#This Row],[Member Type]]="Spouse",_xlfn.XLOOKUP(B373,Table2[Main Member Link ID],Table2[Product Option],0),
IF(AND(Table2[[#This Row],[Member Type]]="Child",_xlfn.XLOOKUP(B373,Table2[Main Member Link ID],Table2[Product Option],0)&lt;&gt;"My Value Plus Life"),Lookups!$C$24,
IF(AND(OR(Table2[[#This Row],[Member Type]]="Parent",Table2[[#This Row],[Member Type]]="Extended"),_xlfn.XLOOKUP(B373,Table2[Main Member Link ID],Table2[Product Option],0)&lt;&gt;"My Value Plus Life"),Lookups!$C$26,""))))</f>
        <v/>
      </c>
      <c r="AD373" s="326" t="str">
        <f>IF(Table2[[#This Row],[Member Type]]="Main Member",Lookups!$C$14,"")</f>
        <v/>
      </c>
      <c r="AE37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Funeral",_xlfn.XLOOKUP(B373,Table2[Main Member Link ID],Table2[Benefit Name],0)=Lookups!$D$14),"",
IF(AND(Table2[[#This Row],[Member Type]]="Spouse",Table2[[#This Row],[Product Option]]="My Value Plus Life &amp; Funeral",_xlfn.XLOOKUP(B372,Table2[Main Member Link ID],Table2[Benefit Name],0)=Lookups!$D$15),Lookups!$D$20,
IF(AND(Table2[[#This Row],[Member Type]]="Spouse",Table2[[#This Row],[Product Option]]="My Value Plus Life &amp; Funeral",_xlfn.XLOOKUP(B372,Table2[Main Member Link ID],Table2[Benefit Name],0)=Lookups!$D$16),"",
IF(AND(Table2[[#This Row],[Member Type]]="Spouse",Table2[[#This Row],[Product Option]]="My Value Plus Life &amp; Funeral",_xlfn.XLOOKUP(B372,Table2[Main Member Link ID],Table2[Benefit Name],0)=Lookups!$D$17),Lookups!$D$21,
IF(AND(Table2[[#This Row],[Member Type]]="Child",Table2[[#This Row],[Product Option]]="My Value Plus Life &amp; Funeral",_xlfn.XLOOKUP(B373,Table2[Main Member Link ID],Table2[Benefit Name],0)=Lookups!$D$14),"",
IF(AND(Table2[[#This Row],[Member Type]]="Child",Table2[[#This Row],[Product Option]]="My Value Plus Life &amp; Funeral",_xlfn.XLOOKUP(B373,Table2[Main Member Link ID],Table2[Benefit Name],0)=Lookups!$D$15),"",
IF(AND(Table2[[#This Row],[Member Type]]="Child",Table2[[#This Row],[Product Option]]="My Value Plus Life &amp; Funeral",_xlfn.XLOOKUP(B373,Table2[Main Member Link ID],Table2[Benefit Name],0)=Lookups!$D$16),Lookups!$D$24,
IF(AND(Table2[[#This Row],[Member Type]]="Child",Table2[[#This Row],[Product Option]]="My Value Plus Life &amp; Funeral",_xlfn.XLOOKUP(B373,Table2[Main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Funeral",_xlfn.XLOOKUP(B373,Table2[Main Member Link ID],Table2[Benefit Name],0)&lt;&gt;Lookups!$D$14),
IF(_xlfn.XLOOKUP(B373,Table2[Main Member Link ID],Table2[Benefit Name],0)=0,"",_xlfn.XLOOKUP(B373,Table2[Main Member Link ID],Table2[Benefit Name],0)),"")))))))))))))))</f>
        <v/>
      </c>
      <c r="AF373" s="327" t="str">
        <f>IF(AND(Table2[[#This Row],[Member Type]]="Main Member",Table2[[#This Row],[Product Option]]="My Value Plus Life &amp; Funeral"),Lookups!$D$15,
IF(AND(Table2[[#This Row],[Member Type]]="Spouse",Table2[[#This Row],[Product Option]]="My Value Plus Life &amp; Funeral",_xlfn.XLOOKUP(B373,Table2[Main Member Link ID],Table2[Benefit Name],0)=Lookups!$D$14),"",
IF(AND(Table2[[#This Row],[Member Type]]="Spouse",Table2[[#This Row],[Product Option]]="My Value Plus Life &amp; Funeral",_xlfn.XLOOKUP(B372,Table2[Main Member Link ID],Table2[Benefit Name],0)=Lookups!$D$16),"",
IF(AND(Table2[[#This Row],[Member Type]]="Spouse",Table2[[#This Row],[Product Option]]="My Value Plus Life &amp; Funeral",_xlfn.XLOOKUP(B372,Table2[Main Member Link ID],Table2[Benefit Name],0)=Lookups!$D$15),"",
IF(AND(Table2[[#This Row],[Member Type]]="Spouse",Table2[[#This Row],[Product Option]]="My Value Plus Life &amp; Funeral",_xlfn.XLOOKUP(B372,Table2[Main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Funeral",_xlfn.XLOOKUP(B373,Table2[Main Member Link ID],Table2[Benefit Name],0)&lt;&gt;Lookups!$D$15),
IF(_xlfn.XLOOKUP(B373,Table2[Main Member Link ID],Table2[Benefit Name],0)=0,"",_xlfn.XLOOKUP(B373,Table2[Main Member Link ID],Table2[Benefit Name],0)),"")
))))))</f>
        <v/>
      </c>
      <c r="AG373" s="327" t="str">
        <f>IF(AND(Table2[[#This Row],[Member Type]]="Main Member",Table2[[#This Row],[Product Option]]="My Value Plus Life &amp; Funeral"),Lookups!$D$16,
IF(AND(Table2[[#This Row],[Member Type]]="Spouse",Table2[[#This Row],[Product Option]]="My Value Plus Life &amp; Funeral",_xlfn.XLOOKUP(B373,Table2[Main Member Link ID],Table2[Benefit Name],0)=Lookups!$D$14),"",
IF(AND(Table2[[#This Row],[Member Type]]="Spouse",Table2[[#This Row],[Product Option]]="My Value Plus Life &amp; Funeral",_xlfn.XLOOKUP(B372,Table2[Main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Funeral",_xlfn.XLOOKUP(B373,Table2[Main Member Link ID],Table2[Benefit Name],0)&lt;&gt;Lookups!$D$16),
IF(_xlfn.XLOOKUP(B373,Table2[Main Member Link ID],Table2[Benefit Name],0)=0,"",_xlfn.XLOOKUP(B373,Table2[Main Member Link ID],Table2[Benefit Name],0)),"")
))))</f>
        <v/>
      </c>
      <c r="AH373" s="327" t="str">
        <f>IF(AND(Table2[[#This Row],[Member Type]]="Main Member",Table2[[#This Row],[Product Option]]="My Value Plus Life &amp; Funeral"),Lookups!$D$17,
IF(AND(Table2[[#This Row],[Member Type]]="Spouse",Table2[[#This Row],[Product Option]]="My Value Plus Life &amp; Funeral",_xlfn.XLOOKUP(B373,Table2[Main Member Link ID],Table2[Benefit Name],0)=Lookups!$D$14),"",
IF(AND(Table2[[#This Row],[Member Type]]="Spouse",Table2[[#This Row],[Product Option]]="My Value Plus Life &amp; Funeral",_xlfn.XLOOKUP(B372,Table2[Main Member Link ID],Table2[Benefit Name],0)=Lookups!$D$16),"",
IF(AND(Table2[[#This Row],[Member Type]]="Child",Table2[[#This Row],[Product Option]]="My Value Plus Life &amp; Funeral"),"",
IF(AND(Table2[[#This Row],[Member Type]]="Child",Table2[[#This Row],[Product Option]]="My Value Plus Life &amp; Funeral",_xlfn.XLOOKUP(B373,Table2[Main Member Link ID],Table2[Benefit Name],0)=Lookups!$D$15),"",
IF(AND(OR(Table2[[#This Row],[Member Type]]="Spouse",Table2[[#This Row],[Member Type]]="Child"),Table2[[#This Row],[Product Option]]="My Value Plus Life &amp; Funeral",_xlfn.XLOOKUP(B373,Table2[Main Member Link ID],Table2[Benefit Name],0)&lt;&gt;Lookups!$D$17),
IF(_xlfn.XLOOKUP(B373,Table2[Main Member Link ID],Table2[Benefit Name],0)=0,"",_xlfn.XLOOKUP(B373,Table2[Main Member Link ID],Table2[Benefit Name],0)),""))))))</f>
        <v/>
      </c>
      <c r="AI373" s="328" t="str">
        <f>IF(AND(Table2[[#This Row],[Member Type]]="Main Member",Table2[[#This Row],[Table Lookup for Life Cover]]="MM_LIFE",Table2[[#This Row],[Age Next Birthday]]&lt;56),1,
IF(AND(Table2[[#This Row],[Member Type]]="Main Member",Table2[[#This Row],[Table Lookup for Life Cover]]="MM_LIFE",Table2[[#This Row],[Age Next Birthday]]&gt;=56),2,
""))</f>
        <v/>
      </c>
      <c r="AJ373" s="328">
        <f>IF(OR(Table2[[#This Row],[Member Type]]="Main Member",Table2[[#This Row],[Main Member Link ID]]=B372),1,0)</f>
        <v>1</v>
      </c>
      <c r="AK373" s="328">
        <f>IF(Table2[[#This Row],[Member Type]]=0,0,
IF(OR(Table2[[#This Row],[Member Type]]="Main Member",Table2[[#This Row],[Main Member Link ID]]&lt;&gt;B373),COUNTIFS(B:B,Table2[[#This Row],[Main Member Link ID]]),
COUNTIFS(B:B,Table2[[#This Row],[Main Member Link ID]],A:A,Table2[[#This Row],[Member Type]])))</f>
        <v>0</v>
      </c>
    </row>
    <row r="374" spans="1:37" x14ac:dyDescent="0.3">
      <c r="A374" s="284">
        <f>Table13[[#This Row],[Member Type]]</f>
        <v>0</v>
      </c>
      <c r="B374" s="284">
        <f>Table13[[#This Row],[Main Member Link ID]]</f>
        <v>0</v>
      </c>
      <c r="C374" s="284">
        <f>Table13[[#This Row],[ID Number]]</f>
        <v>0</v>
      </c>
      <c r="D374" s="285">
        <f>Table13[[#This Row],[Date Of Birth]]</f>
        <v>0</v>
      </c>
      <c r="E374" s="285">
        <f>Table13[[#This Row],[Commencement Date]]</f>
        <v>0</v>
      </c>
      <c r="F374" s="284">
        <f t="shared" si="35"/>
        <v>1</v>
      </c>
      <c r="G374" s="284">
        <f t="shared" si="36"/>
        <v>25</v>
      </c>
      <c r="H374" s="286">
        <f>Table13[[#This Row],[Product Option]]</f>
        <v>0</v>
      </c>
      <c r="I374" s="284">
        <f>IF(AND($A374="Main Member",Table2[[#This Row],[Product Option]]="My Value Plus Life"),"MM_LIFE",
IF(AND($A374="Spouse",Table2[[#This Row],[Product Option]]="My Value Plus Life"),"SP_LIFE",
IF(AND($A374="Main Member",Table2[[#This Row],[Product Option]]="My Value Plus Life &amp; Funeral"),"MM_LIFE",
IF(AND($A374="Spouse",Table2[[#This Row],[Product Option]]="My Value Plus Life &amp; Funeral"),_xlfn.XLOOKUP(Table2[[#This Row],[Benefit Name]],Lookups!$D$18:$D$23,Lookups!$E$18:$E$23,0),
0))))</f>
        <v>0</v>
      </c>
      <c r="J374" s="284">
        <f>IF($I374="","",
IF($I374="MM_LIFE",INDEX('Quotation Tool'!$S$54:$V$60,MATCH($T374,'Quotation Tool'!$S$54:$S$60,0),4),
IF($I374="SP_LIFE",_xlfn.XLOOKUP(B373,$B:$B,$J:$J,0),0)))</f>
        <v>0</v>
      </c>
      <c r="K374" s="287">
        <f t="shared" ca="1" si="40"/>
        <v>0</v>
      </c>
      <c r="L374" s="288">
        <f t="shared" ca="1" si="41"/>
        <v>0</v>
      </c>
      <c r="M374" s="289">
        <f t="shared" ca="1" si="37"/>
        <v>0</v>
      </c>
      <c r="N374" s="286">
        <f>Table13[[#This Row],[Benefit Option]]</f>
        <v>0</v>
      </c>
      <c r="O374" s="284">
        <f>IF(OR(Table2[[#This Row],[Member Type]]="Spouse",Table2[[#This Row],[Member Type]]="Child"),0,
IF(_xlfn.XLOOKUP($N374,Lookups!$D$13:$D$27,Lookups!$F$13:$F$27,0)=Table2[[#This Row],[Table Lookup for Life Cover]],0,
_xlfn.XLOOKUP($N374,Lookups!$D$13:$D$27,Lookups!$F$13:$F$27,0)))</f>
        <v>0</v>
      </c>
      <c r="P374" s="284">
        <f>IF(Table2[[#This Row],[Table Lookup for Funeral]]=0,0,IFERROR(INDEX('Quotation Tool'!$S$54:$V$60,MATCH($T374,'Quotation Tool'!$S$54:$S$60,0),3),0))</f>
        <v>0</v>
      </c>
      <c r="Q374" s="288">
        <f ca="1">IF(OR(Table2[[#This Row],[Benefit Name]]="My Value Plus Life - Main Member",Table2[[#This Row],[Benefit Name]]="My Value Plus Life - Spouse"),0,
IFERROR(VLOOKUP($G374,INDIRECT($O374),$P374,FALSE),0))</f>
        <v>0</v>
      </c>
      <c r="R374" s="288">
        <f ca="1">IF(OR(Table2[[#This Row],[Benefit Name]]="My Value Plus Life - Main Member",Table2[[#This Row],[Benefit Name]]="My Value Plus Life - Spouse"),0,
IFERROR(VLOOKUP($G374,INDIRECT($O374),$P374+1,FALSE),0))</f>
        <v>0</v>
      </c>
      <c r="S374" s="289">
        <f t="shared" ca="1" si="38"/>
        <v>0</v>
      </c>
      <c r="T374" s="284" t="str">
        <f>IF(Table13[[#This Row],[Premium Waiver]]="","None",Table13[[#This Row],[Premium Waiver]])</f>
        <v>None</v>
      </c>
      <c r="U374" s="284">
        <f>Table13[[#This Row],[VAPs Options]]</f>
        <v>0</v>
      </c>
      <c r="V374" s="284">
        <f>Table13[[#This Row],[Annual Increase Option]]</f>
        <v>0</v>
      </c>
      <c r="W374" s="290">
        <f>Table13[[#This Row],[Life Cover Amount]]</f>
        <v>0</v>
      </c>
      <c r="X374" s="290">
        <f>Table13[[#This Row],[Funeral Cover Amount]]</f>
        <v>0</v>
      </c>
      <c r="Y37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7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74" s="301">
        <f t="shared" ca="1" si="39"/>
        <v>0</v>
      </c>
      <c r="AB374" s="298"/>
      <c r="AC374" s="326" t="str">
        <f>IF(Table2[[#This Row],[Member Type]]="Main Member",Lookups!$C$13,
IF(Table2[[#This Row],[Member Type]]="Spouse",_xlfn.XLOOKUP(B374,Table2[Main Member Link ID],Table2[Product Option],0),
IF(AND(Table2[[#This Row],[Member Type]]="Child",_xlfn.XLOOKUP(B374,Table2[Main Member Link ID],Table2[Product Option],0)&lt;&gt;"My Value Plus Life"),Lookups!$C$24,
IF(AND(OR(Table2[[#This Row],[Member Type]]="Parent",Table2[[#This Row],[Member Type]]="Extended"),_xlfn.XLOOKUP(B374,Table2[Main Member Link ID],Table2[Product Option],0)&lt;&gt;"My Value Plus Life"),Lookups!$C$26,""))))</f>
        <v/>
      </c>
      <c r="AD374" s="326" t="str">
        <f>IF(Table2[[#This Row],[Member Type]]="Main Member",Lookups!$C$14,"")</f>
        <v/>
      </c>
      <c r="AE37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Funeral",_xlfn.XLOOKUP(B374,Table2[Main Member Link ID],Table2[Benefit Name],0)=Lookups!$D$14),"",
IF(AND(Table2[[#This Row],[Member Type]]="Spouse",Table2[[#This Row],[Product Option]]="My Value Plus Life &amp; Funeral",_xlfn.XLOOKUP(B373,Table2[Main Member Link ID],Table2[Benefit Name],0)=Lookups!$D$15),Lookups!$D$20,
IF(AND(Table2[[#This Row],[Member Type]]="Spouse",Table2[[#This Row],[Product Option]]="My Value Plus Life &amp; Funeral",_xlfn.XLOOKUP(B373,Table2[Main Member Link ID],Table2[Benefit Name],0)=Lookups!$D$16),"",
IF(AND(Table2[[#This Row],[Member Type]]="Spouse",Table2[[#This Row],[Product Option]]="My Value Plus Life &amp; Funeral",_xlfn.XLOOKUP(B373,Table2[Main Member Link ID],Table2[Benefit Name],0)=Lookups!$D$17),Lookups!$D$21,
IF(AND(Table2[[#This Row],[Member Type]]="Child",Table2[[#This Row],[Product Option]]="My Value Plus Life &amp; Funeral",_xlfn.XLOOKUP(B374,Table2[Main Member Link ID],Table2[Benefit Name],0)=Lookups!$D$14),"",
IF(AND(Table2[[#This Row],[Member Type]]="Child",Table2[[#This Row],[Product Option]]="My Value Plus Life &amp; Funeral",_xlfn.XLOOKUP(B374,Table2[Main Member Link ID],Table2[Benefit Name],0)=Lookups!$D$15),"",
IF(AND(Table2[[#This Row],[Member Type]]="Child",Table2[[#This Row],[Product Option]]="My Value Plus Life &amp; Funeral",_xlfn.XLOOKUP(B374,Table2[Main Member Link ID],Table2[Benefit Name],0)=Lookups!$D$16),Lookups!$D$24,
IF(AND(Table2[[#This Row],[Member Type]]="Child",Table2[[#This Row],[Product Option]]="My Value Plus Life &amp; Funeral",_xlfn.XLOOKUP(B374,Table2[Main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Funeral",_xlfn.XLOOKUP(B374,Table2[Main Member Link ID],Table2[Benefit Name],0)&lt;&gt;Lookups!$D$14),
IF(_xlfn.XLOOKUP(B374,Table2[Main Member Link ID],Table2[Benefit Name],0)=0,"",_xlfn.XLOOKUP(B374,Table2[Main Member Link ID],Table2[Benefit Name],0)),"")))))))))))))))</f>
        <v/>
      </c>
      <c r="AF374" s="327" t="str">
        <f>IF(AND(Table2[[#This Row],[Member Type]]="Main Member",Table2[[#This Row],[Product Option]]="My Value Plus Life &amp; Funeral"),Lookups!$D$15,
IF(AND(Table2[[#This Row],[Member Type]]="Spouse",Table2[[#This Row],[Product Option]]="My Value Plus Life &amp; Funeral",_xlfn.XLOOKUP(B374,Table2[Main Member Link ID],Table2[Benefit Name],0)=Lookups!$D$14),"",
IF(AND(Table2[[#This Row],[Member Type]]="Spouse",Table2[[#This Row],[Product Option]]="My Value Plus Life &amp; Funeral",_xlfn.XLOOKUP(B373,Table2[Main Member Link ID],Table2[Benefit Name],0)=Lookups!$D$16),"",
IF(AND(Table2[[#This Row],[Member Type]]="Spouse",Table2[[#This Row],[Product Option]]="My Value Plus Life &amp; Funeral",_xlfn.XLOOKUP(B373,Table2[Main Member Link ID],Table2[Benefit Name],0)=Lookups!$D$15),"",
IF(AND(Table2[[#This Row],[Member Type]]="Spouse",Table2[[#This Row],[Product Option]]="My Value Plus Life &amp; Funeral",_xlfn.XLOOKUP(B373,Table2[Main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Funeral",_xlfn.XLOOKUP(B374,Table2[Main Member Link ID],Table2[Benefit Name],0)&lt;&gt;Lookups!$D$15),
IF(_xlfn.XLOOKUP(B374,Table2[Main Member Link ID],Table2[Benefit Name],0)=0,"",_xlfn.XLOOKUP(B374,Table2[Main Member Link ID],Table2[Benefit Name],0)),"")
))))))</f>
        <v/>
      </c>
      <c r="AG374" s="327" t="str">
        <f>IF(AND(Table2[[#This Row],[Member Type]]="Main Member",Table2[[#This Row],[Product Option]]="My Value Plus Life &amp; Funeral"),Lookups!$D$16,
IF(AND(Table2[[#This Row],[Member Type]]="Spouse",Table2[[#This Row],[Product Option]]="My Value Plus Life &amp; Funeral",_xlfn.XLOOKUP(B374,Table2[Main Member Link ID],Table2[Benefit Name],0)=Lookups!$D$14),"",
IF(AND(Table2[[#This Row],[Member Type]]="Spouse",Table2[[#This Row],[Product Option]]="My Value Plus Life &amp; Funeral",_xlfn.XLOOKUP(B373,Table2[Main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Funeral",_xlfn.XLOOKUP(B374,Table2[Main Member Link ID],Table2[Benefit Name],0)&lt;&gt;Lookups!$D$16),
IF(_xlfn.XLOOKUP(B374,Table2[Main Member Link ID],Table2[Benefit Name],0)=0,"",_xlfn.XLOOKUP(B374,Table2[Main Member Link ID],Table2[Benefit Name],0)),"")
))))</f>
        <v/>
      </c>
      <c r="AH374" s="327" t="str">
        <f>IF(AND(Table2[[#This Row],[Member Type]]="Main Member",Table2[[#This Row],[Product Option]]="My Value Plus Life &amp; Funeral"),Lookups!$D$17,
IF(AND(Table2[[#This Row],[Member Type]]="Spouse",Table2[[#This Row],[Product Option]]="My Value Plus Life &amp; Funeral",_xlfn.XLOOKUP(B374,Table2[Main Member Link ID],Table2[Benefit Name],0)=Lookups!$D$14),"",
IF(AND(Table2[[#This Row],[Member Type]]="Spouse",Table2[[#This Row],[Product Option]]="My Value Plus Life &amp; Funeral",_xlfn.XLOOKUP(B373,Table2[Main Member Link ID],Table2[Benefit Name],0)=Lookups!$D$16),"",
IF(AND(Table2[[#This Row],[Member Type]]="Child",Table2[[#This Row],[Product Option]]="My Value Plus Life &amp; Funeral"),"",
IF(AND(Table2[[#This Row],[Member Type]]="Child",Table2[[#This Row],[Product Option]]="My Value Plus Life &amp; Funeral",_xlfn.XLOOKUP(B374,Table2[Main Member Link ID],Table2[Benefit Name],0)=Lookups!$D$15),"",
IF(AND(OR(Table2[[#This Row],[Member Type]]="Spouse",Table2[[#This Row],[Member Type]]="Child"),Table2[[#This Row],[Product Option]]="My Value Plus Life &amp; Funeral",_xlfn.XLOOKUP(B374,Table2[Main Member Link ID],Table2[Benefit Name],0)&lt;&gt;Lookups!$D$17),
IF(_xlfn.XLOOKUP(B374,Table2[Main Member Link ID],Table2[Benefit Name],0)=0,"",_xlfn.XLOOKUP(B374,Table2[Main Member Link ID],Table2[Benefit Name],0)),""))))))</f>
        <v/>
      </c>
      <c r="AI374" s="328" t="str">
        <f>IF(AND(Table2[[#This Row],[Member Type]]="Main Member",Table2[[#This Row],[Table Lookup for Life Cover]]="MM_LIFE",Table2[[#This Row],[Age Next Birthday]]&lt;56),1,
IF(AND(Table2[[#This Row],[Member Type]]="Main Member",Table2[[#This Row],[Table Lookup for Life Cover]]="MM_LIFE",Table2[[#This Row],[Age Next Birthday]]&gt;=56),2,
""))</f>
        <v/>
      </c>
      <c r="AJ374" s="328">
        <f>IF(OR(Table2[[#This Row],[Member Type]]="Main Member",Table2[[#This Row],[Main Member Link ID]]=B373),1,0)</f>
        <v>1</v>
      </c>
      <c r="AK374" s="328">
        <f>IF(Table2[[#This Row],[Member Type]]=0,0,
IF(OR(Table2[[#This Row],[Member Type]]="Main Member",Table2[[#This Row],[Main Member Link ID]]&lt;&gt;B374),COUNTIFS(B:B,Table2[[#This Row],[Main Member Link ID]]),
COUNTIFS(B:B,Table2[[#This Row],[Main Member Link ID]],A:A,Table2[[#This Row],[Member Type]])))</f>
        <v>0</v>
      </c>
    </row>
    <row r="375" spans="1:37" x14ac:dyDescent="0.3">
      <c r="A375" s="284">
        <f>Table13[[#This Row],[Member Type]]</f>
        <v>0</v>
      </c>
      <c r="B375" s="284">
        <f>Table13[[#This Row],[Main Member Link ID]]</f>
        <v>0</v>
      </c>
      <c r="C375" s="284">
        <f>Table13[[#This Row],[ID Number]]</f>
        <v>0</v>
      </c>
      <c r="D375" s="285">
        <f>Table13[[#This Row],[Date Of Birth]]</f>
        <v>0</v>
      </c>
      <c r="E375" s="285">
        <f>Table13[[#This Row],[Commencement Date]]</f>
        <v>0</v>
      </c>
      <c r="F375" s="284">
        <f t="shared" si="35"/>
        <v>1</v>
      </c>
      <c r="G375" s="284">
        <f t="shared" si="36"/>
        <v>25</v>
      </c>
      <c r="H375" s="286">
        <f>Table13[[#This Row],[Product Option]]</f>
        <v>0</v>
      </c>
      <c r="I375" s="284">
        <f>IF(AND($A375="Main Member",Table2[[#This Row],[Product Option]]="My Value Plus Life"),"MM_LIFE",
IF(AND($A375="Spouse",Table2[[#This Row],[Product Option]]="My Value Plus Life"),"SP_LIFE",
IF(AND($A375="Main Member",Table2[[#This Row],[Product Option]]="My Value Plus Life &amp; Funeral"),"MM_LIFE",
IF(AND($A375="Spouse",Table2[[#This Row],[Product Option]]="My Value Plus Life &amp; Funeral"),_xlfn.XLOOKUP(Table2[[#This Row],[Benefit Name]],Lookups!$D$18:$D$23,Lookups!$E$18:$E$23,0),
0))))</f>
        <v>0</v>
      </c>
      <c r="J375" s="284">
        <f>IF($I375="","",
IF($I375="MM_LIFE",INDEX('Quotation Tool'!$S$54:$V$60,MATCH($T375,'Quotation Tool'!$S$54:$S$60,0),4),
IF($I375="SP_LIFE",_xlfn.XLOOKUP(B374,$B:$B,$J:$J,0),0)))</f>
        <v>0</v>
      </c>
      <c r="K375" s="287">
        <f t="shared" ca="1" si="40"/>
        <v>0</v>
      </c>
      <c r="L375" s="288">
        <f t="shared" ca="1" si="41"/>
        <v>0</v>
      </c>
      <c r="M375" s="289">
        <f t="shared" ca="1" si="37"/>
        <v>0</v>
      </c>
      <c r="N375" s="286">
        <f>Table13[[#This Row],[Benefit Option]]</f>
        <v>0</v>
      </c>
      <c r="O375" s="284">
        <f>IF(OR(Table2[[#This Row],[Member Type]]="Spouse",Table2[[#This Row],[Member Type]]="Child"),0,
IF(_xlfn.XLOOKUP($N375,Lookups!$D$13:$D$27,Lookups!$F$13:$F$27,0)=Table2[[#This Row],[Table Lookup for Life Cover]],0,
_xlfn.XLOOKUP($N375,Lookups!$D$13:$D$27,Lookups!$F$13:$F$27,0)))</f>
        <v>0</v>
      </c>
      <c r="P375" s="284">
        <f>IF(Table2[[#This Row],[Table Lookup for Funeral]]=0,0,IFERROR(INDEX('Quotation Tool'!$S$54:$V$60,MATCH($T375,'Quotation Tool'!$S$54:$S$60,0),3),0))</f>
        <v>0</v>
      </c>
      <c r="Q375" s="288">
        <f ca="1">IF(OR(Table2[[#This Row],[Benefit Name]]="My Value Plus Life - Main Member",Table2[[#This Row],[Benefit Name]]="My Value Plus Life - Spouse"),0,
IFERROR(VLOOKUP($G375,INDIRECT($O375),$P375,FALSE),0))</f>
        <v>0</v>
      </c>
      <c r="R375" s="288">
        <f ca="1">IF(OR(Table2[[#This Row],[Benefit Name]]="My Value Plus Life - Main Member",Table2[[#This Row],[Benefit Name]]="My Value Plus Life - Spouse"),0,
IFERROR(VLOOKUP($G375,INDIRECT($O375),$P375+1,FALSE),0))</f>
        <v>0</v>
      </c>
      <c r="S375" s="289">
        <f t="shared" ca="1" si="38"/>
        <v>0</v>
      </c>
      <c r="T375" s="284" t="str">
        <f>IF(Table13[[#This Row],[Premium Waiver]]="","None",Table13[[#This Row],[Premium Waiver]])</f>
        <v>None</v>
      </c>
      <c r="U375" s="284">
        <f>Table13[[#This Row],[VAPs Options]]</f>
        <v>0</v>
      </c>
      <c r="V375" s="284">
        <f>Table13[[#This Row],[Annual Increase Option]]</f>
        <v>0</v>
      </c>
      <c r="W375" s="290">
        <f>Table13[[#This Row],[Life Cover Amount]]</f>
        <v>0</v>
      </c>
      <c r="X375" s="290">
        <f>Table13[[#This Row],[Funeral Cover Amount]]</f>
        <v>0</v>
      </c>
      <c r="Y37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7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75" s="301">
        <f t="shared" ca="1" si="39"/>
        <v>0</v>
      </c>
      <c r="AB375" s="298"/>
      <c r="AC375" s="326" t="str">
        <f>IF(Table2[[#This Row],[Member Type]]="Main Member",Lookups!$C$13,
IF(Table2[[#This Row],[Member Type]]="Spouse",_xlfn.XLOOKUP(B375,Table2[Main Member Link ID],Table2[Product Option],0),
IF(AND(Table2[[#This Row],[Member Type]]="Child",_xlfn.XLOOKUP(B375,Table2[Main Member Link ID],Table2[Product Option],0)&lt;&gt;"My Value Plus Life"),Lookups!$C$24,
IF(AND(OR(Table2[[#This Row],[Member Type]]="Parent",Table2[[#This Row],[Member Type]]="Extended"),_xlfn.XLOOKUP(B375,Table2[Main Member Link ID],Table2[Product Option],0)&lt;&gt;"My Value Plus Life"),Lookups!$C$26,""))))</f>
        <v/>
      </c>
      <c r="AD375" s="326" t="str">
        <f>IF(Table2[[#This Row],[Member Type]]="Main Member",Lookups!$C$14,"")</f>
        <v/>
      </c>
      <c r="AE37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Funeral",_xlfn.XLOOKUP(B375,Table2[Main Member Link ID],Table2[Benefit Name],0)=Lookups!$D$14),"",
IF(AND(Table2[[#This Row],[Member Type]]="Spouse",Table2[[#This Row],[Product Option]]="My Value Plus Life &amp; Funeral",_xlfn.XLOOKUP(B374,Table2[Main Member Link ID],Table2[Benefit Name],0)=Lookups!$D$15),Lookups!$D$20,
IF(AND(Table2[[#This Row],[Member Type]]="Spouse",Table2[[#This Row],[Product Option]]="My Value Plus Life &amp; Funeral",_xlfn.XLOOKUP(B374,Table2[Main Member Link ID],Table2[Benefit Name],0)=Lookups!$D$16),"",
IF(AND(Table2[[#This Row],[Member Type]]="Spouse",Table2[[#This Row],[Product Option]]="My Value Plus Life &amp; Funeral",_xlfn.XLOOKUP(B374,Table2[Main Member Link ID],Table2[Benefit Name],0)=Lookups!$D$17),Lookups!$D$21,
IF(AND(Table2[[#This Row],[Member Type]]="Child",Table2[[#This Row],[Product Option]]="My Value Plus Life &amp; Funeral",_xlfn.XLOOKUP(B375,Table2[Main Member Link ID],Table2[Benefit Name],0)=Lookups!$D$14),"",
IF(AND(Table2[[#This Row],[Member Type]]="Child",Table2[[#This Row],[Product Option]]="My Value Plus Life &amp; Funeral",_xlfn.XLOOKUP(B375,Table2[Main Member Link ID],Table2[Benefit Name],0)=Lookups!$D$15),"",
IF(AND(Table2[[#This Row],[Member Type]]="Child",Table2[[#This Row],[Product Option]]="My Value Plus Life &amp; Funeral",_xlfn.XLOOKUP(B375,Table2[Main Member Link ID],Table2[Benefit Name],0)=Lookups!$D$16),Lookups!$D$24,
IF(AND(Table2[[#This Row],[Member Type]]="Child",Table2[[#This Row],[Product Option]]="My Value Plus Life &amp; Funeral",_xlfn.XLOOKUP(B375,Table2[Main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Funeral",_xlfn.XLOOKUP(B375,Table2[Main Member Link ID],Table2[Benefit Name],0)&lt;&gt;Lookups!$D$14),
IF(_xlfn.XLOOKUP(B375,Table2[Main Member Link ID],Table2[Benefit Name],0)=0,"",_xlfn.XLOOKUP(B375,Table2[Main Member Link ID],Table2[Benefit Name],0)),"")))))))))))))))</f>
        <v/>
      </c>
      <c r="AF375" s="327" t="str">
        <f>IF(AND(Table2[[#This Row],[Member Type]]="Main Member",Table2[[#This Row],[Product Option]]="My Value Plus Life &amp; Funeral"),Lookups!$D$15,
IF(AND(Table2[[#This Row],[Member Type]]="Spouse",Table2[[#This Row],[Product Option]]="My Value Plus Life &amp; Funeral",_xlfn.XLOOKUP(B375,Table2[Main Member Link ID],Table2[Benefit Name],0)=Lookups!$D$14),"",
IF(AND(Table2[[#This Row],[Member Type]]="Spouse",Table2[[#This Row],[Product Option]]="My Value Plus Life &amp; Funeral",_xlfn.XLOOKUP(B374,Table2[Main Member Link ID],Table2[Benefit Name],0)=Lookups!$D$16),"",
IF(AND(Table2[[#This Row],[Member Type]]="Spouse",Table2[[#This Row],[Product Option]]="My Value Plus Life &amp; Funeral",_xlfn.XLOOKUP(B374,Table2[Main Member Link ID],Table2[Benefit Name],0)=Lookups!$D$15),"",
IF(AND(Table2[[#This Row],[Member Type]]="Spouse",Table2[[#This Row],[Product Option]]="My Value Plus Life &amp; Funeral",_xlfn.XLOOKUP(B374,Table2[Main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Funeral",_xlfn.XLOOKUP(B375,Table2[Main Member Link ID],Table2[Benefit Name],0)&lt;&gt;Lookups!$D$15),
IF(_xlfn.XLOOKUP(B375,Table2[Main Member Link ID],Table2[Benefit Name],0)=0,"",_xlfn.XLOOKUP(B375,Table2[Main Member Link ID],Table2[Benefit Name],0)),"")
))))))</f>
        <v/>
      </c>
      <c r="AG375" s="327" t="str">
        <f>IF(AND(Table2[[#This Row],[Member Type]]="Main Member",Table2[[#This Row],[Product Option]]="My Value Plus Life &amp; Funeral"),Lookups!$D$16,
IF(AND(Table2[[#This Row],[Member Type]]="Spouse",Table2[[#This Row],[Product Option]]="My Value Plus Life &amp; Funeral",_xlfn.XLOOKUP(B375,Table2[Main Member Link ID],Table2[Benefit Name],0)=Lookups!$D$14),"",
IF(AND(Table2[[#This Row],[Member Type]]="Spouse",Table2[[#This Row],[Product Option]]="My Value Plus Life &amp; Funeral",_xlfn.XLOOKUP(B374,Table2[Main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Funeral",_xlfn.XLOOKUP(B375,Table2[Main Member Link ID],Table2[Benefit Name],0)&lt;&gt;Lookups!$D$16),
IF(_xlfn.XLOOKUP(B375,Table2[Main Member Link ID],Table2[Benefit Name],0)=0,"",_xlfn.XLOOKUP(B375,Table2[Main Member Link ID],Table2[Benefit Name],0)),"")
))))</f>
        <v/>
      </c>
      <c r="AH375" s="327" t="str">
        <f>IF(AND(Table2[[#This Row],[Member Type]]="Main Member",Table2[[#This Row],[Product Option]]="My Value Plus Life &amp; Funeral"),Lookups!$D$17,
IF(AND(Table2[[#This Row],[Member Type]]="Spouse",Table2[[#This Row],[Product Option]]="My Value Plus Life &amp; Funeral",_xlfn.XLOOKUP(B375,Table2[Main Member Link ID],Table2[Benefit Name],0)=Lookups!$D$14),"",
IF(AND(Table2[[#This Row],[Member Type]]="Spouse",Table2[[#This Row],[Product Option]]="My Value Plus Life &amp; Funeral",_xlfn.XLOOKUP(B374,Table2[Main Member Link ID],Table2[Benefit Name],0)=Lookups!$D$16),"",
IF(AND(Table2[[#This Row],[Member Type]]="Child",Table2[[#This Row],[Product Option]]="My Value Plus Life &amp; Funeral"),"",
IF(AND(Table2[[#This Row],[Member Type]]="Child",Table2[[#This Row],[Product Option]]="My Value Plus Life &amp; Funeral",_xlfn.XLOOKUP(B375,Table2[Main Member Link ID],Table2[Benefit Name],0)=Lookups!$D$15),"",
IF(AND(OR(Table2[[#This Row],[Member Type]]="Spouse",Table2[[#This Row],[Member Type]]="Child"),Table2[[#This Row],[Product Option]]="My Value Plus Life &amp; Funeral",_xlfn.XLOOKUP(B375,Table2[Main Member Link ID],Table2[Benefit Name],0)&lt;&gt;Lookups!$D$17),
IF(_xlfn.XLOOKUP(B375,Table2[Main Member Link ID],Table2[Benefit Name],0)=0,"",_xlfn.XLOOKUP(B375,Table2[Main Member Link ID],Table2[Benefit Name],0)),""))))))</f>
        <v/>
      </c>
      <c r="AI375" s="328" t="str">
        <f>IF(AND(Table2[[#This Row],[Member Type]]="Main Member",Table2[[#This Row],[Table Lookup for Life Cover]]="MM_LIFE",Table2[[#This Row],[Age Next Birthday]]&lt;56),1,
IF(AND(Table2[[#This Row],[Member Type]]="Main Member",Table2[[#This Row],[Table Lookup for Life Cover]]="MM_LIFE",Table2[[#This Row],[Age Next Birthday]]&gt;=56),2,
""))</f>
        <v/>
      </c>
      <c r="AJ375" s="328">
        <f>IF(OR(Table2[[#This Row],[Member Type]]="Main Member",Table2[[#This Row],[Main Member Link ID]]=B374),1,0)</f>
        <v>1</v>
      </c>
      <c r="AK375" s="328">
        <f>IF(Table2[[#This Row],[Member Type]]=0,0,
IF(OR(Table2[[#This Row],[Member Type]]="Main Member",Table2[[#This Row],[Main Member Link ID]]&lt;&gt;B375),COUNTIFS(B:B,Table2[[#This Row],[Main Member Link ID]]),
COUNTIFS(B:B,Table2[[#This Row],[Main Member Link ID]],A:A,Table2[[#This Row],[Member Type]])))</f>
        <v>0</v>
      </c>
    </row>
    <row r="376" spans="1:37" x14ac:dyDescent="0.3">
      <c r="A376" s="284">
        <f>Table13[[#This Row],[Member Type]]</f>
        <v>0</v>
      </c>
      <c r="B376" s="284">
        <f>Table13[[#This Row],[Main Member Link ID]]</f>
        <v>0</v>
      </c>
      <c r="C376" s="284">
        <f>Table13[[#This Row],[ID Number]]</f>
        <v>0</v>
      </c>
      <c r="D376" s="285">
        <f>Table13[[#This Row],[Date Of Birth]]</f>
        <v>0</v>
      </c>
      <c r="E376" s="285">
        <f>Table13[[#This Row],[Commencement Date]]</f>
        <v>0</v>
      </c>
      <c r="F376" s="284">
        <f t="shared" si="35"/>
        <v>1</v>
      </c>
      <c r="G376" s="284">
        <f t="shared" si="36"/>
        <v>25</v>
      </c>
      <c r="H376" s="286">
        <f>Table13[[#This Row],[Product Option]]</f>
        <v>0</v>
      </c>
      <c r="I376" s="284">
        <f>IF(AND($A376="Main Member",Table2[[#This Row],[Product Option]]="My Value Plus Life"),"MM_LIFE",
IF(AND($A376="Spouse",Table2[[#This Row],[Product Option]]="My Value Plus Life"),"SP_LIFE",
IF(AND($A376="Main Member",Table2[[#This Row],[Product Option]]="My Value Plus Life &amp; Funeral"),"MM_LIFE",
IF(AND($A376="Spouse",Table2[[#This Row],[Product Option]]="My Value Plus Life &amp; Funeral"),_xlfn.XLOOKUP(Table2[[#This Row],[Benefit Name]],Lookups!$D$18:$D$23,Lookups!$E$18:$E$23,0),
0))))</f>
        <v>0</v>
      </c>
      <c r="J376" s="284">
        <f>IF($I376="","",
IF($I376="MM_LIFE",INDEX('Quotation Tool'!$S$54:$V$60,MATCH($T376,'Quotation Tool'!$S$54:$S$60,0),4),
IF($I376="SP_LIFE",_xlfn.XLOOKUP(B375,$B:$B,$J:$J,0),0)))</f>
        <v>0</v>
      </c>
      <c r="K376" s="287">
        <f t="shared" ca="1" si="40"/>
        <v>0</v>
      </c>
      <c r="L376" s="288">
        <f t="shared" ca="1" si="41"/>
        <v>0</v>
      </c>
      <c r="M376" s="289">
        <f t="shared" ca="1" si="37"/>
        <v>0</v>
      </c>
      <c r="N376" s="286">
        <f>Table13[[#This Row],[Benefit Option]]</f>
        <v>0</v>
      </c>
      <c r="O376" s="284">
        <f>IF(OR(Table2[[#This Row],[Member Type]]="Spouse",Table2[[#This Row],[Member Type]]="Child"),0,
IF(_xlfn.XLOOKUP($N376,Lookups!$D$13:$D$27,Lookups!$F$13:$F$27,0)=Table2[[#This Row],[Table Lookup for Life Cover]],0,
_xlfn.XLOOKUP($N376,Lookups!$D$13:$D$27,Lookups!$F$13:$F$27,0)))</f>
        <v>0</v>
      </c>
      <c r="P376" s="284">
        <f>IF(Table2[[#This Row],[Table Lookup for Funeral]]=0,0,IFERROR(INDEX('Quotation Tool'!$S$54:$V$60,MATCH($T376,'Quotation Tool'!$S$54:$S$60,0),3),0))</f>
        <v>0</v>
      </c>
      <c r="Q376" s="288">
        <f ca="1">IF(OR(Table2[[#This Row],[Benefit Name]]="My Value Plus Life - Main Member",Table2[[#This Row],[Benefit Name]]="My Value Plus Life - Spouse"),0,
IFERROR(VLOOKUP($G376,INDIRECT($O376),$P376,FALSE),0))</f>
        <v>0</v>
      </c>
      <c r="R376" s="288">
        <f ca="1">IF(OR(Table2[[#This Row],[Benefit Name]]="My Value Plus Life - Main Member",Table2[[#This Row],[Benefit Name]]="My Value Plus Life - Spouse"),0,
IFERROR(VLOOKUP($G376,INDIRECT($O376),$P376+1,FALSE),0))</f>
        <v>0</v>
      </c>
      <c r="S376" s="289">
        <f t="shared" ca="1" si="38"/>
        <v>0</v>
      </c>
      <c r="T376" s="284" t="str">
        <f>IF(Table13[[#This Row],[Premium Waiver]]="","None",Table13[[#This Row],[Premium Waiver]])</f>
        <v>None</v>
      </c>
      <c r="U376" s="284">
        <f>Table13[[#This Row],[VAPs Options]]</f>
        <v>0</v>
      </c>
      <c r="V376" s="284">
        <f>Table13[[#This Row],[Annual Increase Option]]</f>
        <v>0</v>
      </c>
      <c r="W376" s="290">
        <f>Table13[[#This Row],[Life Cover Amount]]</f>
        <v>0</v>
      </c>
      <c r="X376" s="290">
        <f>Table13[[#This Row],[Funeral Cover Amount]]</f>
        <v>0</v>
      </c>
      <c r="Y37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7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76" s="301">
        <f t="shared" ca="1" si="39"/>
        <v>0</v>
      </c>
      <c r="AB376" s="298"/>
      <c r="AC376" s="326" t="str">
        <f>IF(Table2[[#This Row],[Member Type]]="Main Member",Lookups!$C$13,
IF(Table2[[#This Row],[Member Type]]="Spouse",_xlfn.XLOOKUP(B376,Table2[Main Member Link ID],Table2[Product Option],0),
IF(AND(Table2[[#This Row],[Member Type]]="Child",_xlfn.XLOOKUP(B376,Table2[Main Member Link ID],Table2[Product Option],0)&lt;&gt;"My Value Plus Life"),Lookups!$C$24,
IF(AND(OR(Table2[[#This Row],[Member Type]]="Parent",Table2[[#This Row],[Member Type]]="Extended"),_xlfn.XLOOKUP(B376,Table2[Main Member Link ID],Table2[Product Option],0)&lt;&gt;"My Value Plus Life"),Lookups!$C$26,""))))</f>
        <v/>
      </c>
      <c r="AD376" s="326" t="str">
        <f>IF(Table2[[#This Row],[Member Type]]="Main Member",Lookups!$C$14,"")</f>
        <v/>
      </c>
      <c r="AE37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Funeral",_xlfn.XLOOKUP(B376,Table2[Main Member Link ID],Table2[Benefit Name],0)=Lookups!$D$14),"",
IF(AND(Table2[[#This Row],[Member Type]]="Spouse",Table2[[#This Row],[Product Option]]="My Value Plus Life &amp; Funeral",_xlfn.XLOOKUP(B375,Table2[Main Member Link ID],Table2[Benefit Name],0)=Lookups!$D$15),Lookups!$D$20,
IF(AND(Table2[[#This Row],[Member Type]]="Spouse",Table2[[#This Row],[Product Option]]="My Value Plus Life &amp; Funeral",_xlfn.XLOOKUP(B375,Table2[Main Member Link ID],Table2[Benefit Name],0)=Lookups!$D$16),"",
IF(AND(Table2[[#This Row],[Member Type]]="Spouse",Table2[[#This Row],[Product Option]]="My Value Plus Life &amp; Funeral",_xlfn.XLOOKUP(B375,Table2[Main Member Link ID],Table2[Benefit Name],0)=Lookups!$D$17),Lookups!$D$21,
IF(AND(Table2[[#This Row],[Member Type]]="Child",Table2[[#This Row],[Product Option]]="My Value Plus Life &amp; Funeral",_xlfn.XLOOKUP(B376,Table2[Main Member Link ID],Table2[Benefit Name],0)=Lookups!$D$14),"",
IF(AND(Table2[[#This Row],[Member Type]]="Child",Table2[[#This Row],[Product Option]]="My Value Plus Life &amp; Funeral",_xlfn.XLOOKUP(B376,Table2[Main Member Link ID],Table2[Benefit Name],0)=Lookups!$D$15),"",
IF(AND(Table2[[#This Row],[Member Type]]="Child",Table2[[#This Row],[Product Option]]="My Value Plus Life &amp; Funeral",_xlfn.XLOOKUP(B376,Table2[Main Member Link ID],Table2[Benefit Name],0)=Lookups!$D$16),Lookups!$D$24,
IF(AND(Table2[[#This Row],[Member Type]]="Child",Table2[[#This Row],[Product Option]]="My Value Plus Life &amp; Funeral",_xlfn.XLOOKUP(B376,Table2[Main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Funeral",_xlfn.XLOOKUP(B376,Table2[Main Member Link ID],Table2[Benefit Name],0)&lt;&gt;Lookups!$D$14),
IF(_xlfn.XLOOKUP(B376,Table2[Main Member Link ID],Table2[Benefit Name],0)=0,"",_xlfn.XLOOKUP(B376,Table2[Main Member Link ID],Table2[Benefit Name],0)),"")))))))))))))))</f>
        <v/>
      </c>
      <c r="AF376" s="327" t="str">
        <f>IF(AND(Table2[[#This Row],[Member Type]]="Main Member",Table2[[#This Row],[Product Option]]="My Value Plus Life &amp; Funeral"),Lookups!$D$15,
IF(AND(Table2[[#This Row],[Member Type]]="Spouse",Table2[[#This Row],[Product Option]]="My Value Plus Life &amp; Funeral",_xlfn.XLOOKUP(B376,Table2[Main Member Link ID],Table2[Benefit Name],0)=Lookups!$D$14),"",
IF(AND(Table2[[#This Row],[Member Type]]="Spouse",Table2[[#This Row],[Product Option]]="My Value Plus Life &amp; Funeral",_xlfn.XLOOKUP(B375,Table2[Main Member Link ID],Table2[Benefit Name],0)=Lookups!$D$16),"",
IF(AND(Table2[[#This Row],[Member Type]]="Spouse",Table2[[#This Row],[Product Option]]="My Value Plus Life &amp; Funeral",_xlfn.XLOOKUP(B375,Table2[Main Member Link ID],Table2[Benefit Name],0)=Lookups!$D$15),"",
IF(AND(Table2[[#This Row],[Member Type]]="Spouse",Table2[[#This Row],[Product Option]]="My Value Plus Life &amp; Funeral",_xlfn.XLOOKUP(B375,Table2[Main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Funeral",_xlfn.XLOOKUP(B376,Table2[Main Member Link ID],Table2[Benefit Name],0)&lt;&gt;Lookups!$D$15),
IF(_xlfn.XLOOKUP(B376,Table2[Main Member Link ID],Table2[Benefit Name],0)=0,"",_xlfn.XLOOKUP(B376,Table2[Main Member Link ID],Table2[Benefit Name],0)),"")
))))))</f>
        <v/>
      </c>
      <c r="AG376" s="327" t="str">
        <f>IF(AND(Table2[[#This Row],[Member Type]]="Main Member",Table2[[#This Row],[Product Option]]="My Value Plus Life &amp; Funeral"),Lookups!$D$16,
IF(AND(Table2[[#This Row],[Member Type]]="Spouse",Table2[[#This Row],[Product Option]]="My Value Plus Life &amp; Funeral",_xlfn.XLOOKUP(B376,Table2[Main Member Link ID],Table2[Benefit Name],0)=Lookups!$D$14),"",
IF(AND(Table2[[#This Row],[Member Type]]="Spouse",Table2[[#This Row],[Product Option]]="My Value Plus Life &amp; Funeral",_xlfn.XLOOKUP(B375,Table2[Main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Funeral",_xlfn.XLOOKUP(B376,Table2[Main Member Link ID],Table2[Benefit Name],0)&lt;&gt;Lookups!$D$16),
IF(_xlfn.XLOOKUP(B376,Table2[Main Member Link ID],Table2[Benefit Name],0)=0,"",_xlfn.XLOOKUP(B376,Table2[Main Member Link ID],Table2[Benefit Name],0)),"")
))))</f>
        <v/>
      </c>
      <c r="AH376" s="327" t="str">
        <f>IF(AND(Table2[[#This Row],[Member Type]]="Main Member",Table2[[#This Row],[Product Option]]="My Value Plus Life &amp; Funeral"),Lookups!$D$17,
IF(AND(Table2[[#This Row],[Member Type]]="Spouse",Table2[[#This Row],[Product Option]]="My Value Plus Life &amp; Funeral",_xlfn.XLOOKUP(B376,Table2[Main Member Link ID],Table2[Benefit Name],0)=Lookups!$D$14),"",
IF(AND(Table2[[#This Row],[Member Type]]="Spouse",Table2[[#This Row],[Product Option]]="My Value Plus Life &amp; Funeral",_xlfn.XLOOKUP(B375,Table2[Main Member Link ID],Table2[Benefit Name],0)=Lookups!$D$16),"",
IF(AND(Table2[[#This Row],[Member Type]]="Child",Table2[[#This Row],[Product Option]]="My Value Plus Life &amp; Funeral"),"",
IF(AND(Table2[[#This Row],[Member Type]]="Child",Table2[[#This Row],[Product Option]]="My Value Plus Life &amp; Funeral",_xlfn.XLOOKUP(B376,Table2[Main Member Link ID],Table2[Benefit Name],0)=Lookups!$D$15),"",
IF(AND(OR(Table2[[#This Row],[Member Type]]="Spouse",Table2[[#This Row],[Member Type]]="Child"),Table2[[#This Row],[Product Option]]="My Value Plus Life &amp; Funeral",_xlfn.XLOOKUP(B376,Table2[Main Member Link ID],Table2[Benefit Name],0)&lt;&gt;Lookups!$D$17),
IF(_xlfn.XLOOKUP(B376,Table2[Main Member Link ID],Table2[Benefit Name],0)=0,"",_xlfn.XLOOKUP(B376,Table2[Main Member Link ID],Table2[Benefit Name],0)),""))))))</f>
        <v/>
      </c>
      <c r="AI376" s="328" t="str">
        <f>IF(AND(Table2[[#This Row],[Member Type]]="Main Member",Table2[[#This Row],[Table Lookup for Life Cover]]="MM_LIFE",Table2[[#This Row],[Age Next Birthday]]&lt;56),1,
IF(AND(Table2[[#This Row],[Member Type]]="Main Member",Table2[[#This Row],[Table Lookup for Life Cover]]="MM_LIFE",Table2[[#This Row],[Age Next Birthday]]&gt;=56),2,
""))</f>
        <v/>
      </c>
      <c r="AJ376" s="328">
        <f>IF(OR(Table2[[#This Row],[Member Type]]="Main Member",Table2[[#This Row],[Main Member Link ID]]=B375),1,0)</f>
        <v>1</v>
      </c>
      <c r="AK376" s="328">
        <f>IF(Table2[[#This Row],[Member Type]]=0,0,
IF(OR(Table2[[#This Row],[Member Type]]="Main Member",Table2[[#This Row],[Main Member Link ID]]&lt;&gt;B376),COUNTIFS(B:B,Table2[[#This Row],[Main Member Link ID]]),
COUNTIFS(B:B,Table2[[#This Row],[Main Member Link ID]],A:A,Table2[[#This Row],[Member Type]])))</f>
        <v>0</v>
      </c>
    </row>
    <row r="377" spans="1:37" x14ac:dyDescent="0.3">
      <c r="A377" s="284">
        <f>Table13[[#This Row],[Member Type]]</f>
        <v>0</v>
      </c>
      <c r="B377" s="284">
        <f>Table13[[#This Row],[Main Member Link ID]]</f>
        <v>0</v>
      </c>
      <c r="C377" s="284">
        <f>Table13[[#This Row],[ID Number]]</f>
        <v>0</v>
      </c>
      <c r="D377" s="285">
        <f>Table13[[#This Row],[Date Of Birth]]</f>
        <v>0</v>
      </c>
      <c r="E377" s="285">
        <f>Table13[[#This Row],[Commencement Date]]</f>
        <v>0</v>
      </c>
      <c r="F377" s="284">
        <f t="shared" si="35"/>
        <v>1</v>
      </c>
      <c r="G377" s="284">
        <f t="shared" si="36"/>
        <v>25</v>
      </c>
      <c r="H377" s="286">
        <f>Table13[[#This Row],[Product Option]]</f>
        <v>0</v>
      </c>
      <c r="I377" s="284">
        <f>IF(AND($A377="Main Member",Table2[[#This Row],[Product Option]]="My Value Plus Life"),"MM_LIFE",
IF(AND($A377="Spouse",Table2[[#This Row],[Product Option]]="My Value Plus Life"),"SP_LIFE",
IF(AND($A377="Main Member",Table2[[#This Row],[Product Option]]="My Value Plus Life &amp; Funeral"),"MM_LIFE",
IF(AND($A377="Spouse",Table2[[#This Row],[Product Option]]="My Value Plus Life &amp; Funeral"),_xlfn.XLOOKUP(Table2[[#This Row],[Benefit Name]],Lookups!$D$18:$D$23,Lookups!$E$18:$E$23,0),
0))))</f>
        <v>0</v>
      </c>
      <c r="J377" s="284">
        <f>IF($I377="","",
IF($I377="MM_LIFE",INDEX('Quotation Tool'!$S$54:$V$60,MATCH($T377,'Quotation Tool'!$S$54:$S$60,0),4),
IF($I377="SP_LIFE",_xlfn.XLOOKUP(B376,$B:$B,$J:$J,0),0)))</f>
        <v>0</v>
      </c>
      <c r="K377" s="287">
        <f t="shared" ca="1" si="40"/>
        <v>0</v>
      </c>
      <c r="L377" s="288">
        <f t="shared" ca="1" si="41"/>
        <v>0</v>
      </c>
      <c r="M377" s="289">
        <f t="shared" ca="1" si="37"/>
        <v>0</v>
      </c>
      <c r="N377" s="286">
        <f>Table13[[#This Row],[Benefit Option]]</f>
        <v>0</v>
      </c>
      <c r="O377" s="284">
        <f>IF(OR(Table2[[#This Row],[Member Type]]="Spouse",Table2[[#This Row],[Member Type]]="Child"),0,
IF(_xlfn.XLOOKUP($N377,Lookups!$D$13:$D$27,Lookups!$F$13:$F$27,0)=Table2[[#This Row],[Table Lookup for Life Cover]],0,
_xlfn.XLOOKUP($N377,Lookups!$D$13:$D$27,Lookups!$F$13:$F$27,0)))</f>
        <v>0</v>
      </c>
      <c r="P377" s="284">
        <f>IF(Table2[[#This Row],[Table Lookup for Funeral]]=0,0,IFERROR(INDEX('Quotation Tool'!$S$54:$V$60,MATCH($T377,'Quotation Tool'!$S$54:$S$60,0),3),0))</f>
        <v>0</v>
      </c>
      <c r="Q377" s="288">
        <f ca="1">IF(OR(Table2[[#This Row],[Benefit Name]]="My Value Plus Life - Main Member",Table2[[#This Row],[Benefit Name]]="My Value Plus Life - Spouse"),0,
IFERROR(VLOOKUP($G377,INDIRECT($O377),$P377,FALSE),0))</f>
        <v>0</v>
      </c>
      <c r="R377" s="288">
        <f ca="1">IF(OR(Table2[[#This Row],[Benefit Name]]="My Value Plus Life - Main Member",Table2[[#This Row],[Benefit Name]]="My Value Plus Life - Spouse"),0,
IFERROR(VLOOKUP($G377,INDIRECT($O377),$P377+1,FALSE),0))</f>
        <v>0</v>
      </c>
      <c r="S377" s="289">
        <f t="shared" ca="1" si="38"/>
        <v>0</v>
      </c>
      <c r="T377" s="284" t="str">
        <f>IF(Table13[[#This Row],[Premium Waiver]]="","None",Table13[[#This Row],[Premium Waiver]])</f>
        <v>None</v>
      </c>
      <c r="U377" s="284">
        <f>Table13[[#This Row],[VAPs Options]]</f>
        <v>0</v>
      </c>
      <c r="V377" s="284">
        <f>Table13[[#This Row],[Annual Increase Option]]</f>
        <v>0</v>
      </c>
      <c r="W377" s="290">
        <f>Table13[[#This Row],[Life Cover Amount]]</f>
        <v>0</v>
      </c>
      <c r="X377" s="290">
        <f>Table13[[#This Row],[Funeral Cover Amount]]</f>
        <v>0</v>
      </c>
      <c r="Y37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7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77" s="301">
        <f t="shared" ca="1" si="39"/>
        <v>0</v>
      </c>
      <c r="AB377" s="298"/>
      <c r="AC377" s="326" t="str">
        <f>IF(Table2[[#This Row],[Member Type]]="Main Member",Lookups!$C$13,
IF(Table2[[#This Row],[Member Type]]="Spouse",_xlfn.XLOOKUP(B377,Table2[Main Member Link ID],Table2[Product Option],0),
IF(AND(Table2[[#This Row],[Member Type]]="Child",_xlfn.XLOOKUP(B377,Table2[Main Member Link ID],Table2[Product Option],0)&lt;&gt;"My Value Plus Life"),Lookups!$C$24,
IF(AND(OR(Table2[[#This Row],[Member Type]]="Parent",Table2[[#This Row],[Member Type]]="Extended"),_xlfn.XLOOKUP(B377,Table2[Main Member Link ID],Table2[Product Option],0)&lt;&gt;"My Value Plus Life"),Lookups!$C$26,""))))</f>
        <v/>
      </c>
      <c r="AD377" s="326" t="str">
        <f>IF(Table2[[#This Row],[Member Type]]="Main Member",Lookups!$C$14,"")</f>
        <v/>
      </c>
      <c r="AE37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Funeral",_xlfn.XLOOKUP(B377,Table2[Main Member Link ID],Table2[Benefit Name],0)=Lookups!$D$14),"",
IF(AND(Table2[[#This Row],[Member Type]]="Spouse",Table2[[#This Row],[Product Option]]="My Value Plus Life &amp; Funeral",_xlfn.XLOOKUP(B376,Table2[Main Member Link ID],Table2[Benefit Name],0)=Lookups!$D$15),Lookups!$D$20,
IF(AND(Table2[[#This Row],[Member Type]]="Spouse",Table2[[#This Row],[Product Option]]="My Value Plus Life &amp; Funeral",_xlfn.XLOOKUP(B376,Table2[Main Member Link ID],Table2[Benefit Name],0)=Lookups!$D$16),"",
IF(AND(Table2[[#This Row],[Member Type]]="Spouse",Table2[[#This Row],[Product Option]]="My Value Plus Life &amp; Funeral",_xlfn.XLOOKUP(B376,Table2[Main Member Link ID],Table2[Benefit Name],0)=Lookups!$D$17),Lookups!$D$21,
IF(AND(Table2[[#This Row],[Member Type]]="Child",Table2[[#This Row],[Product Option]]="My Value Plus Life &amp; Funeral",_xlfn.XLOOKUP(B377,Table2[Main Member Link ID],Table2[Benefit Name],0)=Lookups!$D$14),"",
IF(AND(Table2[[#This Row],[Member Type]]="Child",Table2[[#This Row],[Product Option]]="My Value Plus Life &amp; Funeral",_xlfn.XLOOKUP(B377,Table2[Main Member Link ID],Table2[Benefit Name],0)=Lookups!$D$15),"",
IF(AND(Table2[[#This Row],[Member Type]]="Child",Table2[[#This Row],[Product Option]]="My Value Plus Life &amp; Funeral",_xlfn.XLOOKUP(B377,Table2[Main Member Link ID],Table2[Benefit Name],0)=Lookups!$D$16),Lookups!$D$24,
IF(AND(Table2[[#This Row],[Member Type]]="Child",Table2[[#This Row],[Product Option]]="My Value Plus Life &amp; Funeral",_xlfn.XLOOKUP(B377,Table2[Main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Funeral",_xlfn.XLOOKUP(B377,Table2[Main Member Link ID],Table2[Benefit Name],0)&lt;&gt;Lookups!$D$14),
IF(_xlfn.XLOOKUP(B377,Table2[Main Member Link ID],Table2[Benefit Name],0)=0,"",_xlfn.XLOOKUP(B377,Table2[Main Member Link ID],Table2[Benefit Name],0)),"")))))))))))))))</f>
        <v/>
      </c>
      <c r="AF377" s="327" t="str">
        <f>IF(AND(Table2[[#This Row],[Member Type]]="Main Member",Table2[[#This Row],[Product Option]]="My Value Plus Life &amp; Funeral"),Lookups!$D$15,
IF(AND(Table2[[#This Row],[Member Type]]="Spouse",Table2[[#This Row],[Product Option]]="My Value Plus Life &amp; Funeral",_xlfn.XLOOKUP(B377,Table2[Main Member Link ID],Table2[Benefit Name],0)=Lookups!$D$14),"",
IF(AND(Table2[[#This Row],[Member Type]]="Spouse",Table2[[#This Row],[Product Option]]="My Value Plus Life &amp; Funeral",_xlfn.XLOOKUP(B376,Table2[Main Member Link ID],Table2[Benefit Name],0)=Lookups!$D$16),"",
IF(AND(Table2[[#This Row],[Member Type]]="Spouse",Table2[[#This Row],[Product Option]]="My Value Plus Life &amp; Funeral",_xlfn.XLOOKUP(B376,Table2[Main Member Link ID],Table2[Benefit Name],0)=Lookups!$D$15),"",
IF(AND(Table2[[#This Row],[Member Type]]="Spouse",Table2[[#This Row],[Product Option]]="My Value Plus Life &amp; Funeral",_xlfn.XLOOKUP(B376,Table2[Main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Funeral",_xlfn.XLOOKUP(B377,Table2[Main Member Link ID],Table2[Benefit Name],0)&lt;&gt;Lookups!$D$15),
IF(_xlfn.XLOOKUP(B377,Table2[Main Member Link ID],Table2[Benefit Name],0)=0,"",_xlfn.XLOOKUP(B377,Table2[Main Member Link ID],Table2[Benefit Name],0)),"")
))))))</f>
        <v/>
      </c>
      <c r="AG377" s="327" t="str">
        <f>IF(AND(Table2[[#This Row],[Member Type]]="Main Member",Table2[[#This Row],[Product Option]]="My Value Plus Life &amp; Funeral"),Lookups!$D$16,
IF(AND(Table2[[#This Row],[Member Type]]="Spouse",Table2[[#This Row],[Product Option]]="My Value Plus Life &amp; Funeral",_xlfn.XLOOKUP(B377,Table2[Main Member Link ID],Table2[Benefit Name],0)=Lookups!$D$14),"",
IF(AND(Table2[[#This Row],[Member Type]]="Spouse",Table2[[#This Row],[Product Option]]="My Value Plus Life &amp; Funeral",_xlfn.XLOOKUP(B376,Table2[Main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Funeral",_xlfn.XLOOKUP(B377,Table2[Main Member Link ID],Table2[Benefit Name],0)&lt;&gt;Lookups!$D$16),
IF(_xlfn.XLOOKUP(B377,Table2[Main Member Link ID],Table2[Benefit Name],0)=0,"",_xlfn.XLOOKUP(B377,Table2[Main Member Link ID],Table2[Benefit Name],0)),"")
))))</f>
        <v/>
      </c>
      <c r="AH377" s="327" t="str">
        <f>IF(AND(Table2[[#This Row],[Member Type]]="Main Member",Table2[[#This Row],[Product Option]]="My Value Plus Life &amp; Funeral"),Lookups!$D$17,
IF(AND(Table2[[#This Row],[Member Type]]="Spouse",Table2[[#This Row],[Product Option]]="My Value Plus Life &amp; Funeral",_xlfn.XLOOKUP(B377,Table2[Main Member Link ID],Table2[Benefit Name],0)=Lookups!$D$14),"",
IF(AND(Table2[[#This Row],[Member Type]]="Spouse",Table2[[#This Row],[Product Option]]="My Value Plus Life &amp; Funeral",_xlfn.XLOOKUP(B376,Table2[Main Member Link ID],Table2[Benefit Name],0)=Lookups!$D$16),"",
IF(AND(Table2[[#This Row],[Member Type]]="Child",Table2[[#This Row],[Product Option]]="My Value Plus Life &amp; Funeral"),"",
IF(AND(Table2[[#This Row],[Member Type]]="Child",Table2[[#This Row],[Product Option]]="My Value Plus Life &amp; Funeral",_xlfn.XLOOKUP(B377,Table2[Main Member Link ID],Table2[Benefit Name],0)=Lookups!$D$15),"",
IF(AND(OR(Table2[[#This Row],[Member Type]]="Spouse",Table2[[#This Row],[Member Type]]="Child"),Table2[[#This Row],[Product Option]]="My Value Plus Life &amp; Funeral",_xlfn.XLOOKUP(B377,Table2[Main Member Link ID],Table2[Benefit Name],0)&lt;&gt;Lookups!$D$17),
IF(_xlfn.XLOOKUP(B377,Table2[Main Member Link ID],Table2[Benefit Name],0)=0,"",_xlfn.XLOOKUP(B377,Table2[Main Member Link ID],Table2[Benefit Name],0)),""))))))</f>
        <v/>
      </c>
      <c r="AI377" s="328" t="str">
        <f>IF(AND(Table2[[#This Row],[Member Type]]="Main Member",Table2[[#This Row],[Table Lookup for Life Cover]]="MM_LIFE",Table2[[#This Row],[Age Next Birthday]]&lt;56),1,
IF(AND(Table2[[#This Row],[Member Type]]="Main Member",Table2[[#This Row],[Table Lookup for Life Cover]]="MM_LIFE",Table2[[#This Row],[Age Next Birthday]]&gt;=56),2,
""))</f>
        <v/>
      </c>
      <c r="AJ377" s="328">
        <f>IF(OR(Table2[[#This Row],[Member Type]]="Main Member",Table2[[#This Row],[Main Member Link ID]]=B376),1,0)</f>
        <v>1</v>
      </c>
      <c r="AK377" s="328">
        <f>IF(Table2[[#This Row],[Member Type]]=0,0,
IF(OR(Table2[[#This Row],[Member Type]]="Main Member",Table2[[#This Row],[Main Member Link ID]]&lt;&gt;B377),COUNTIFS(B:B,Table2[[#This Row],[Main Member Link ID]]),
COUNTIFS(B:B,Table2[[#This Row],[Main Member Link ID]],A:A,Table2[[#This Row],[Member Type]])))</f>
        <v>0</v>
      </c>
    </row>
    <row r="378" spans="1:37" x14ac:dyDescent="0.3">
      <c r="A378" s="284">
        <f>Table13[[#This Row],[Member Type]]</f>
        <v>0</v>
      </c>
      <c r="B378" s="284">
        <f>Table13[[#This Row],[Main Member Link ID]]</f>
        <v>0</v>
      </c>
      <c r="C378" s="284">
        <f>Table13[[#This Row],[ID Number]]</f>
        <v>0</v>
      </c>
      <c r="D378" s="285">
        <f>Table13[[#This Row],[Date Of Birth]]</f>
        <v>0</v>
      </c>
      <c r="E378" s="285">
        <f>Table13[[#This Row],[Commencement Date]]</f>
        <v>0</v>
      </c>
      <c r="F378" s="284">
        <f t="shared" si="35"/>
        <v>1</v>
      </c>
      <c r="G378" s="284">
        <f t="shared" si="36"/>
        <v>25</v>
      </c>
      <c r="H378" s="286">
        <f>Table13[[#This Row],[Product Option]]</f>
        <v>0</v>
      </c>
      <c r="I378" s="284">
        <f>IF(AND($A378="Main Member",Table2[[#This Row],[Product Option]]="My Value Plus Life"),"MM_LIFE",
IF(AND($A378="Spouse",Table2[[#This Row],[Product Option]]="My Value Plus Life"),"SP_LIFE",
IF(AND($A378="Main Member",Table2[[#This Row],[Product Option]]="My Value Plus Life &amp; Funeral"),"MM_LIFE",
IF(AND($A378="Spouse",Table2[[#This Row],[Product Option]]="My Value Plus Life &amp; Funeral"),_xlfn.XLOOKUP(Table2[[#This Row],[Benefit Name]],Lookups!$D$18:$D$23,Lookups!$E$18:$E$23,0),
0))))</f>
        <v>0</v>
      </c>
      <c r="J378" s="284">
        <f>IF($I378="","",
IF($I378="MM_LIFE",INDEX('Quotation Tool'!$S$54:$V$60,MATCH($T378,'Quotation Tool'!$S$54:$S$60,0),4),
IF($I378="SP_LIFE",_xlfn.XLOOKUP(B377,$B:$B,$J:$J,0),0)))</f>
        <v>0</v>
      </c>
      <c r="K378" s="287">
        <f t="shared" ca="1" si="40"/>
        <v>0</v>
      </c>
      <c r="L378" s="288">
        <f t="shared" ca="1" si="41"/>
        <v>0</v>
      </c>
      <c r="M378" s="289">
        <f t="shared" ca="1" si="37"/>
        <v>0</v>
      </c>
      <c r="N378" s="286">
        <f>Table13[[#This Row],[Benefit Option]]</f>
        <v>0</v>
      </c>
      <c r="O378" s="284">
        <f>IF(OR(Table2[[#This Row],[Member Type]]="Spouse",Table2[[#This Row],[Member Type]]="Child"),0,
IF(_xlfn.XLOOKUP($N378,Lookups!$D$13:$D$27,Lookups!$F$13:$F$27,0)=Table2[[#This Row],[Table Lookup for Life Cover]],0,
_xlfn.XLOOKUP($N378,Lookups!$D$13:$D$27,Lookups!$F$13:$F$27,0)))</f>
        <v>0</v>
      </c>
      <c r="P378" s="284">
        <f>IF(Table2[[#This Row],[Table Lookup for Funeral]]=0,0,IFERROR(INDEX('Quotation Tool'!$S$54:$V$60,MATCH($T378,'Quotation Tool'!$S$54:$S$60,0),3),0))</f>
        <v>0</v>
      </c>
      <c r="Q378" s="288">
        <f ca="1">IF(OR(Table2[[#This Row],[Benefit Name]]="My Value Plus Life - Main Member",Table2[[#This Row],[Benefit Name]]="My Value Plus Life - Spouse"),0,
IFERROR(VLOOKUP($G378,INDIRECT($O378),$P378,FALSE),0))</f>
        <v>0</v>
      </c>
      <c r="R378" s="288">
        <f ca="1">IF(OR(Table2[[#This Row],[Benefit Name]]="My Value Plus Life - Main Member",Table2[[#This Row],[Benefit Name]]="My Value Plus Life - Spouse"),0,
IFERROR(VLOOKUP($G378,INDIRECT($O378),$P378+1,FALSE),0))</f>
        <v>0</v>
      </c>
      <c r="S378" s="289">
        <f t="shared" ca="1" si="38"/>
        <v>0</v>
      </c>
      <c r="T378" s="284" t="str">
        <f>IF(Table13[[#This Row],[Premium Waiver]]="","None",Table13[[#This Row],[Premium Waiver]])</f>
        <v>None</v>
      </c>
      <c r="U378" s="284">
        <f>Table13[[#This Row],[VAPs Options]]</f>
        <v>0</v>
      </c>
      <c r="V378" s="284">
        <f>Table13[[#This Row],[Annual Increase Option]]</f>
        <v>0</v>
      </c>
      <c r="W378" s="290">
        <f>Table13[[#This Row],[Life Cover Amount]]</f>
        <v>0</v>
      </c>
      <c r="X378" s="290">
        <f>Table13[[#This Row],[Funeral Cover Amount]]</f>
        <v>0</v>
      </c>
      <c r="Y37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7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78" s="301">
        <f t="shared" ca="1" si="39"/>
        <v>0</v>
      </c>
      <c r="AB378" s="298"/>
      <c r="AC378" s="326" t="str">
        <f>IF(Table2[[#This Row],[Member Type]]="Main Member",Lookups!$C$13,
IF(Table2[[#This Row],[Member Type]]="Spouse",_xlfn.XLOOKUP(B378,Table2[Main Member Link ID],Table2[Product Option],0),
IF(AND(Table2[[#This Row],[Member Type]]="Child",_xlfn.XLOOKUP(B378,Table2[Main Member Link ID],Table2[Product Option],0)&lt;&gt;"My Value Plus Life"),Lookups!$C$24,
IF(AND(OR(Table2[[#This Row],[Member Type]]="Parent",Table2[[#This Row],[Member Type]]="Extended"),_xlfn.XLOOKUP(B378,Table2[Main Member Link ID],Table2[Product Option],0)&lt;&gt;"My Value Plus Life"),Lookups!$C$26,""))))</f>
        <v/>
      </c>
      <c r="AD378" s="326" t="str">
        <f>IF(Table2[[#This Row],[Member Type]]="Main Member",Lookups!$C$14,"")</f>
        <v/>
      </c>
      <c r="AE37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Funeral",_xlfn.XLOOKUP(B378,Table2[Main Member Link ID],Table2[Benefit Name],0)=Lookups!$D$14),"",
IF(AND(Table2[[#This Row],[Member Type]]="Spouse",Table2[[#This Row],[Product Option]]="My Value Plus Life &amp; Funeral",_xlfn.XLOOKUP(B377,Table2[Main Member Link ID],Table2[Benefit Name],0)=Lookups!$D$15),Lookups!$D$20,
IF(AND(Table2[[#This Row],[Member Type]]="Spouse",Table2[[#This Row],[Product Option]]="My Value Plus Life &amp; Funeral",_xlfn.XLOOKUP(B377,Table2[Main Member Link ID],Table2[Benefit Name],0)=Lookups!$D$16),"",
IF(AND(Table2[[#This Row],[Member Type]]="Spouse",Table2[[#This Row],[Product Option]]="My Value Plus Life &amp; Funeral",_xlfn.XLOOKUP(B377,Table2[Main Member Link ID],Table2[Benefit Name],0)=Lookups!$D$17),Lookups!$D$21,
IF(AND(Table2[[#This Row],[Member Type]]="Child",Table2[[#This Row],[Product Option]]="My Value Plus Life &amp; Funeral",_xlfn.XLOOKUP(B378,Table2[Main Member Link ID],Table2[Benefit Name],0)=Lookups!$D$14),"",
IF(AND(Table2[[#This Row],[Member Type]]="Child",Table2[[#This Row],[Product Option]]="My Value Plus Life &amp; Funeral",_xlfn.XLOOKUP(B378,Table2[Main Member Link ID],Table2[Benefit Name],0)=Lookups!$D$15),"",
IF(AND(Table2[[#This Row],[Member Type]]="Child",Table2[[#This Row],[Product Option]]="My Value Plus Life &amp; Funeral",_xlfn.XLOOKUP(B378,Table2[Main Member Link ID],Table2[Benefit Name],0)=Lookups!$D$16),Lookups!$D$24,
IF(AND(Table2[[#This Row],[Member Type]]="Child",Table2[[#This Row],[Product Option]]="My Value Plus Life &amp; Funeral",_xlfn.XLOOKUP(B378,Table2[Main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Funeral",_xlfn.XLOOKUP(B378,Table2[Main Member Link ID],Table2[Benefit Name],0)&lt;&gt;Lookups!$D$14),
IF(_xlfn.XLOOKUP(B378,Table2[Main Member Link ID],Table2[Benefit Name],0)=0,"",_xlfn.XLOOKUP(B378,Table2[Main Member Link ID],Table2[Benefit Name],0)),"")))))))))))))))</f>
        <v/>
      </c>
      <c r="AF378" s="327" t="str">
        <f>IF(AND(Table2[[#This Row],[Member Type]]="Main Member",Table2[[#This Row],[Product Option]]="My Value Plus Life &amp; Funeral"),Lookups!$D$15,
IF(AND(Table2[[#This Row],[Member Type]]="Spouse",Table2[[#This Row],[Product Option]]="My Value Plus Life &amp; Funeral",_xlfn.XLOOKUP(B378,Table2[Main Member Link ID],Table2[Benefit Name],0)=Lookups!$D$14),"",
IF(AND(Table2[[#This Row],[Member Type]]="Spouse",Table2[[#This Row],[Product Option]]="My Value Plus Life &amp; Funeral",_xlfn.XLOOKUP(B377,Table2[Main Member Link ID],Table2[Benefit Name],0)=Lookups!$D$16),"",
IF(AND(Table2[[#This Row],[Member Type]]="Spouse",Table2[[#This Row],[Product Option]]="My Value Plus Life &amp; Funeral",_xlfn.XLOOKUP(B377,Table2[Main Member Link ID],Table2[Benefit Name],0)=Lookups!$D$15),"",
IF(AND(Table2[[#This Row],[Member Type]]="Spouse",Table2[[#This Row],[Product Option]]="My Value Plus Life &amp; Funeral",_xlfn.XLOOKUP(B377,Table2[Main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Funeral",_xlfn.XLOOKUP(B378,Table2[Main Member Link ID],Table2[Benefit Name],0)&lt;&gt;Lookups!$D$15),
IF(_xlfn.XLOOKUP(B378,Table2[Main Member Link ID],Table2[Benefit Name],0)=0,"",_xlfn.XLOOKUP(B378,Table2[Main Member Link ID],Table2[Benefit Name],0)),"")
))))))</f>
        <v/>
      </c>
      <c r="AG378" s="327" t="str">
        <f>IF(AND(Table2[[#This Row],[Member Type]]="Main Member",Table2[[#This Row],[Product Option]]="My Value Plus Life &amp; Funeral"),Lookups!$D$16,
IF(AND(Table2[[#This Row],[Member Type]]="Spouse",Table2[[#This Row],[Product Option]]="My Value Plus Life &amp; Funeral",_xlfn.XLOOKUP(B378,Table2[Main Member Link ID],Table2[Benefit Name],0)=Lookups!$D$14),"",
IF(AND(Table2[[#This Row],[Member Type]]="Spouse",Table2[[#This Row],[Product Option]]="My Value Plus Life &amp; Funeral",_xlfn.XLOOKUP(B377,Table2[Main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Funeral",_xlfn.XLOOKUP(B378,Table2[Main Member Link ID],Table2[Benefit Name],0)&lt;&gt;Lookups!$D$16),
IF(_xlfn.XLOOKUP(B378,Table2[Main Member Link ID],Table2[Benefit Name],0)=0,"",_xlfn.XLOOKUP(B378,Table2[Main Member Link ID],Table2[Benefit Name],0)),"")
))))</f>
        <v/>
      </c>
      <c r="AH378" s="327" t="str">
        <f>IF(AND(Table2[[#This Row],[Member Type]]="Main Member",Table2[[#This Row],[Product Option]]="My Value Plus Life &amp; Funeral"),Lookups!$D$17,
IF(AND(Table2[[#This Row],[Member Type]]="Spouse",Table2[[#This Row],[Product Option]]="My Value Plus Life &amp; Funeral",_xlfn.XLOOKUP(B378,Table2[Main Member Link ID],Table2[Benefit Name],0)=Lookups!$D$14),"",
IF(AND(Table2[[#This Row],[Member Type]]="Spouse",Table2[[#This Row],[Product Option]]="My Value Plus Life &amp; Funeral",_xlfn.XLOOKUP(B377,Table2[Main Member Link ID],Table2[Benefit Name],0)=Lookups!$D$16),"",
IF(AND(Table2[[#This Row],[Member Type]]="Child",Table2[[#This Row],[Product Option]]="My Value Plus Life &amp; Funeral"),"",
IF(AND(Table2[[#This Row],[Member Type]]="Child",Table2[[#This Row],[Product Option]]="My Value Plus Life &amp; Funeral",_xlfn.XLOOKUP(B378,Table2[Main Member Link ID],Table2[Benefit Name],0)=Lookups!$D$15),"",
IF(AND(OR(Table2[[#This Row],[Member Type]]="Spouse",Table2[[#This Row],[Member Type]]="Child"),Table2[[#This Row],[Product Option]]="My Value Plus Life &amp; Funeral",_xlfn.XLOOKUP(B378,Table2[Main Member Link ID],Table2[Benefit Name],0)&lt;&gt;Lookups!$D$17),
IF(_xlfn.XLOOKUP(B378,Table2[Main Member Link ID],Table2[Benefit Name],0)=0,"",_xlfn.XLOOKUP(B378,Table2[Main Member Link ID],Table2[Benefit Name],0)),""))))))</f>
        <v/>
      </c>
      <c r="AI378" s="328" t="str">
        <f>IF(AND(Table2[[#This Row],[Member Type]]="Main Member",Table2[[#This Row],[Table Lookup for Life Cover]]="MM_LIFE",Table2[[#This Row],[Age Next Birthday]]&lt;56),1,
IF(AND(Table2[[#This Row],[Member Type]]="Main Member",Table2[[#This Row],[Table Lookup for Life Cover]]="MM_LIFE",Table2[[#This Row],[Age Next Birthday]]&gt;=56),2,
""))</f>
        <v/>
      </c>
      <c r="AJ378" s="328">
        <f>IF(OR(Table2[[#This Row],[Member Type]]="Main Member",Table2[[#This Row],[Main Member Link ID]]=B377),1,0)</f>
        <v>1</v>
      </c>
      <c r="AK378" s="328">
        <f>IF(Table2[[#This Row],[Member Type]]=0,0,
IF(OR(Table2[[#This Row],[Member Type]]="Main Member",Table2[[#This Row],[Main Member Link ID]]&lt;&gt;B378),COUNTIFS(B:B,Table2[[#This Row],[Main Member Link ID]]),
COUNTIFS(B:B,Table2[[#This Row],[Main Member Link ID]],A:A,Table2[[#This Row],[Member Type]])))</f>
        <v>0</v>
      </c>
    </row>
    <row r="379" spans="1:37" x14ac:dyDescent="0.3">
      <c r="A379" s="284">
        <f>Table13[[#This Row],[Member Type]]</f>
        <v>0</v>
      </c>
      <c r="B379" s="284">
        <f>Table13[[#This Row],[Main Member Link ID]]</f>
        <v>0</v>
      </c>
      <c r="C379" s="284">
        <f>Table13[[#This Row],[ID Number]]</f>
        <v>0</v>
      </c>
      <c r="D379" s="285">
        <f>Table13[[#This Row],[Date Of Birth]]</f>
        <v>0</v>
      </c>
      <c r="E379" s="285">
        <f>Table13[[#This Row],[Commencement Date]]</f>
        <v>0</v>
      </c>
      <c r="F379" s="284">
        <f t="shared" si="35"/>
        <v>1</v>
      </c>
      <c r="G379" s="284">
        <f t="shared" si="36"/>
        <v>25</v>
      </c>
      <c r="H379" s="286">
        <f>Table13[[#This Row],[Product Option]]</f>
        <v>0</v>
      </c>
      <c r="I379" s="284">
        <f>IF(AND($A379="Main Member",Table2[[#This Row],[Product Option]]="My Value Plus Life"),"MM_LIFE",
IF(AND($A379="Spouse",Table2[[#This Row],[Product Option]]="My Value Plus Life"),"SP_LIFE",
IF(AND($A379="Main Member",Table2[[#This Row],[Product Option]]="My Value Plus Life &amp; Funeral"),"MM_LIFE",
IF(AND($A379="Spouse",Table2[[#This Row],[Product Option]]="My Value Plus Life &amp; Funeral"),_xlfn.XLOOKUP(Table2[[#This Row],[Benefit Name]],Lookups!$D$18:$D$23,Lookups!$E$18:$E$23,0),
0))))</f>
        <v>0</v>
      </c>
      <c r="J379" s="284">
        <f>IF($I379="","",
IF($I379="MM_LIFE",INDEX('Quotation Tool'!$S$54:$V$60,MATCH($T379,'Quotation Tool'!$S$54:$S$60,0),4),
IF($I379="SP_LIFE",_xlfn.XLOOKUP(B378,$B:$B,$J:$J,0),0)))</f>
        <v>0</v>
      </c>
      <c r="K379" s="287">
        <f t="shared" ca="1" si="40"/>
        <v>0</v>
      </c>
      <c r="L379" s="288">
        <f t="shared" ca="1" si="41"/>
        <v>0</v>
      </c>
      <c r="M379" s="289">
        <f t="shared" ca="1" si="37"/>
        <v>0</v>
      </c>
      <c r="N379" s="286">
        <f>Table13[[#This Row],[Benefit Option]]</f>
        <v>0</v>
      </c>
      <c r="O379" s="284">
        <f>IF(OR(Table2[[#This Row],[Member Type]]="Spouse",Table2[[#This Row],[Member Type]]="Child"),0,
IF(_xlfn.XLOOKUP($N379,Lookups!$D$13:$D$27,Lookups!$F$13:$F$27,0)=Table2[[#This Row],[Table Lookup for Life Cover]],0,
_xlfn.XLOOKUP($N379,Lookups!$D$13:$D$27,Lookups!$F$13:$F$27,0)))</f>
        <v>0</v>
      </c>
      <c r="P379" s="284">
        <f>IF(Table2[[#This Row],[Table Lookup for Funeral]]=0,0,IFERROR(INDEX('Quotation Tool'!$S$54:$V$60,MATCH($T379,'Quotation Tool'!$S$54:$S$60,0),3),0))</f>
        <v>0</v>
      </c>
      <c r="Q379" s="288">
        <f ca="1">IF(OR(Table2[[#This Row],[Benefit Name]]="My Value Plus Life - Main Member",Table2[[#This Row],[Benefit Name]]="My Value Plus Life - Spouse"),0,
IFERROR(VLOOKUP($G379,INDIRECT($O379),$P379,FALSE),0))</f>
        <v>0</v>
      </c>
      <c r="R379" s="288">
        <f ca="1">IF(OR(Table2[[#This Row],[Benefit Name]]="My Value Plus Life - Main Member",Table2[[#This Row],[Benefit Name]]="My Value Plus Life - Spouse"),0,
IFERROR(VLOOKUP($G379,INDIRECT($O379),$P379+1,FALSE),0))</f>
        <v>0</v>
      </c>
      <c r="S379" s="289">
        <f t="shared" ca="1" si="38"/>
        <v>0</v>
      </c>
      <c r="T379" s="284" t="str">
        <f>IF(Table13[[#This Row],[Premium Waiver]]="","None",Table13[[#This Row],[Premium Waiver]])</f>
        <v>None</v>
      </c>
      <c r="U379" s="284">
        <f>Table13[[#This Row],[VAPs Options]]</f>
        <v>0</v>
      </c>
      <c r="V379" s="284">
        <f>Table13[[#This Row],[Annual Increase Option]]</f>
        <v>0</v>
      </c>
      <c r="W379" s="290">
        <f>Table13[[#This Row],[Life Cover Amount]]</f>
        <v>0</v>
      </c>
      <c r="X379" s="290">
        <f>Table13[[#This Row],[Funeral Cover Amount]]</f>
        <v>0</v>
      </c>
      <c r="Y37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7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79" s="301">
        <f t="shared" ca="1" si="39"/>
        <v>0</v>
      </c>
      <c r="AB379" s="298"/>
      <c r="AC379" s="326" t="str">
        <f>IF(Table2[[#This Row],[Member Type]]="Main Member",Lookups!$C$13,
IF(Table2[[#This Row],[Member Type]]="Spouse",_xlfn.XLOOKUP(B379,Table2[Main Member Link ID],Table2[Product Option],0),
IF(AND(Table2[[#This Row],[Member Type]]="Child",_xlfn.XLOOKUP(B379,Table2[Main Member Link ID],Table2[Product Option],0)&lt;&gt;"My Value Plus Life"),Lookups!$C$24,
IF(AND(OR(Table2[[#This Row],[Member Type]]="Parent",Table2[[#This Row],[Member Type]]="Extended"),_xlfn.XLOOKUP(B379,Table2[Main Member Link ID],Table2[Product Option],0)&lt;&gt;"My Value Plus Life"),Lookups!$C$26,""))))</f>
        <v/>
      </c>
      <c r="AD379" s="326" t="str">
        <f>IF(Table2[[#This Row],[Member Type]]="Main Member",Lookups!$C$14,"")</f>
        <v/>
      </c>
      <c r="AE37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Funeral",_xlfn.XLOOKUP(B379,Table2[Main Member Link ID],Table2[Benefit Name],0)=Lookups!$D$14),"",
IF(AND(Table2[[#This Row],[Member Type]]="Spouse",Table2[[#This Row],[Product Option]]="My Value Plus Life &amp; Funeral",_xlfn.XLOOKUP(B378,Table2[Main Member Link ID],Table2[Benefit Name],0)=Lookups!$D$15),Lookups!$D$20,
IF(AND(Table2[[#This Row],[Member Type]]="Spouse",Table2[[#This Row],[Product Option]]="My Value Plus Life &amp; Funeral",_xlfn.XLOOKUP(B378,Table2[Main Member Link ID],Table2[Benefit Name],0)=Lookups!$D$16),"",
IF(AND(Table2[[#This Row],[Member Type]]="Spouse",Table2[[#This Row],[Product Option]]="My Value Plus Life &amp; Funeral",_xlfn.XLOOKUP(B378,Table2[Main Member Link ID],Table2[Benefit Name],0)=Lookups!$D$17),Lookups!$D$21,
IF(AND(Table2[[#This Row],[Member Type]]="Child",Table2[[#This Row],[Product Option]]="My Value Plus Life &amp; Funeral",_xlfn.XLOOKUP(B379,Table2[Main Member Link ID],Table2[Benefit Name],0)=Lookups!$D$14),"",
IF(AND(Table2[[#This Row],[Member Type]]="Child",Table2[[#This Row],[Product Option]]="My Value Plus Life &amp; Funeral",_xlfn.XLOOKUP(B379,Table2[Main Member Link ID],Table2[Benefit Name],0)=Lookups!$D$15),"",
IF(AND(Table2[[#This Row],[Member Type]]="Child",Table2[[#This Row],[Product Option]]="My Value Plus Life &amp; Funeral",_xlfn.XLOOKUP(B379,Table2[Main Member Link ID],Table2[Benefit Name],0)=Lookups!$D$16),Lookups!$D$24,
IF(AND(Table2[[#This Row],[Member Type]]="Child",Table2[[#This Row],[Product Option]]="My Value Plus Life &amp; Funeral",_xlfn.XLOOKUP(B379,Table2[Main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Funeral",_xlfn.XLOOKUP(B379,Table2[Main Member Link ID],Table2[Benefit Name],0)&lt;&gt;Lookups!$D$14),
IF(_xlfn.XLOOKUP(B379,Table2[Main Member Link ID],Table2[Benefit Name],0)=0,"",_xlfn.XLOOKUP(B379,Table2[Main Member Link ID],Table2[Benefit Name],0)),"")))))))))))))))</f>
        <v/>
      </c>
      <c r="AF379" s="327" t="str">
        <f>IF(AND(Table2[[#This Row],[Member Type]]="Main Member",Table2[[#This Row],[Product Option]]="My Value Plus Life &amp; Funeral"),Lookups!$D$15,
IF(AND(Table2[[#This Row],[Member Type]]="Spouse",Table2[[#This Row],[Product Option]]="My Value Plus Life &amp; Funeral",_xlfn.XLOOKUP(B379,Table2[Main Member Link ID],Table2[Benefit Name],0)=Lookups!$D$14),"",
IF(AND(Table2[[#This Row],[Member Type]]="Spouse",Table2[[#This Row],[Product Option]]="My Value Plus Life &amp; Funeral",_xlfn.XLOOKUP(B378,Table2[Main Member Link ID],Table2[Benefit Name],0)=Lookups!$D$16),"",
IF(AND(Table2[[#This Row],[Member Type]]="Spouse",Table2[[#This Row],[Product Option]]="My Value Plus Life &amp; Funeral",_xlfn.XLOOKUP(B378,Table2[Main Member Link ID],Table2[Benefit Name],0)=Lookups!$D$15),"",
IF(AND(Table2[[#This Row],[Member Type]]="Spouse",Table2[[#This Row],[Product Option]]="My Value Plus Life &amp; Funeral",_xlfn.XLOOKUP(B378,Table2[Main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Funeral",_xlfn.XLOOKUP(B379,Table2[Main Member Link ID],Table2[Benefit Name],0)&lt;&gt;Lookups!$D$15),
IF(_xlfn.XLOOKUP(B379,Table2[Main Member Link ID],Table2[Benefit Name],0)=0,"",_xlfn.XLOOKUP(B379,Table2[Main Member Link ID],Table2[Benefit Name],0)),"")
))))))</f>
        <v/>
      </c>
      <c r="AG379" s="327" t="str">
        <f>IF(AND(Table2[[#This Row],[Member Type]]="Main Member",Table2[[#This Row],[Product Option]]="My Value Plus Life &amp; Funeral"),Lookups!$D$16,
IF(AND(Table2[[#This Row],[Member Type]]="Spouse",Table2[[#This Row],[Product Option]]="My Value Plus Life &amp; Funeral",_xlfn.XLOOKUP(B379,Table2[Main Member Link ID],Table2[Benefit Name],0)=Lookups!$D$14),"",
IF(AND(Table2[[#This Row],[Member Type]]="Spouse",Table2[[#This Row],[Product Option]]="My Value Plus Life &amp; Funeral",_xlfn.XLOOKUP(B378,Table2[Main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Funeral",_xlfn.XLOOKUP(B379,Table2[Main Member Link ID],Table2[Benefit Name],0)&lt;&gt;Lookups!$D$16),
IF(_xlfn.XLOOKUP(B379,Table2[Main Member Link ID],Table2[Benefit Name],0)=0,"",_xlfn.XLOOKUP(B379,Table2[Main Member Link ID],Table2[Benefit Name],0)),"")
))))</f>
        <v/>
      </c>
      <c r="AH379" s="327" t="str">
        <f>IF(AND(Table2[[#This Row],[Member Type]]="Main Member",Table2[[#This Row],[Product Option]]="My Value Plus Life &amp; Funeral"),Lookups!$D$17,
IF(AND(Table2[[#This Row],[Member Type]]="Spouse",Table2[[#This Row],[Product Option]]="My Value Plus Life &amp; Funeral",_xlfn.XLOOKUP(B379,Table2[Main Member Link ID],Table2[Benefit Name],0)=Lookups!$D$14),"",
IF(AND(Table2[[#This Row],[Member Type]]="Spouse",Table2[[#This Row],[Product Option]]="My Value Plus Life &amp; Funeral",_xlfn.XLOOKUP(B378,Table2[Main Member Link ID],Table2[Benefit Name],0)=Lookups!$D$16),"",
IF(AND(Table2[[#This Row],[Member Type]]="Child",Table2[[#This Row],[Product Option]]="My Value Plus Life &amp; Funeral"),"",
IF(AND(Table2[[#This Row],[Member Type]]="Child",Table2[[#This Row],[Product Option]]="My Value Plus Life &amp; Funeral",_xlfn.XLOOKUP(B379,Table2[Main Member Link ID],Table2[Benefit Name],0)=Lookups!$D$15),"",
IF(AND(OR(Table2[[#This Row],[Member Type]]="Spouse",Table2[[#This Row],[Member Type]]="Child"),Table2[[#This Row],[Product Option]]="My Value Plus Life &amp; Funeral",_xlfn.XLOOKUP(B379,Table2[Main Member Link ID],Table2[Benefit Name],0)&lt;&gt;Lookups!$D$17),
IF(_xlfn.XLOOKUP(B379,Table2[Main Member Link ID],Table2[Benefit Name],0)=0,"",_xlfn.XLOOKUP(B379,Table2[Main Member Link ID],Table2[Benefit Name],0)),""))))))</f>
        <v/>
      </c>
      <c r="AI379" s="328" t="str">
        <f>IF(AND(Table2[[#This Row],[Member Type]]="Main Member",Table2[[#This Row],[Table Lookup for Life Cover]]="MM_LIFE",Table2[[#This Row],[Age Next Birthday]]&lt;56),1,
IF(AND(Table2[[#This Row],[Member Type]]="Main Member",Table2[[#This Row],[Table Lookup for Life Cover]]="MM_LIFE",Table2[[#This Row],[Age Next Birthday]]&gt;=56),2,
""))</f>
        <v/>
      </c>
      <c r="AJ379" s="328">
        <f>IF(OR(Table2[[#This Row],[Member Type]]="Main Member",Table2[[#This Row],[Main Member Link ID]]=B378),1,0)</f>
        <v>1</v>
      </c>
      <c r="AK379" s="328">
        <f>IF(Table2[[#This Row],[Member Type]]=0,0,
IF(OR(Table2[[#This Row],[Member Type]]="Main Member",Table2[[#This Row],[Main Member Link ID]]&lt;&gt;B379),COUNTIFS(B:B,Table2[[#This Row],[Main Member Link ID]]),
COUNTIFS(B:B,Table2[[#This Row],[Main Member Link ID]],A:A,Table2[[#This Row],[Member Type]])))</f>
        <v>0</v>
      </c>
    </row>
    <row r="380" spans="1:37" x14ac:dyDescent="0.3">
      <c r="A380" s="284">
        <f>Table13[[#This Row],[Member Type]]</f>
        <v>0</v>
      </c>
      <c r="B380" s="284">
        <f>Table13[[#This Row],[Main Member Link ID]]</f>
        <v>0</v>
      </c>
      <c r="C380" s="284">
        <f>Table13[[#This Row],[ID Number]]</f>
        <v>0</v>
      </c>
      <c r="D380" s="285">
        <f>Table13[[#This Row],[Date Of Birth]]</f>
        <v>0</v>
      </c>
      <c r="E380" s="285">
        <f>Table13[[#This Row],[Commencement Date]]</f>
        <v>0</v>
      </c>
      <c r="F380" s="284">
        <f t="shared" si="35"/>
        <v>1</v>
      </c>
      <c r="G380" s="284">
        <f t="shared" si="36"/>
        <v>25</v>
      </c>
      <c r="H380" s="286">
        <f>Table13[[#This Row],[Product Option]]</f>
        <v>0</v>
      </c>
      <c r="I380" s="284">
        <f>IF(AND($A380="Main Member",Table2[[#This Row],[Product Option]]="My Value Plus Life"),"MM_LIFE",
IF(AND($A380="Spouse",Table2[[#This Row],[Product Option]]="My Value Plus Life"),"SP_LIFE",
IF(AND($A380="Main Member",Table2[[#This Row],[Product Option]]="My Value Plus Life &amp; Funeral"),"MM_LIFE",
IF(AND($A380="Spouse",Table2[[#This Row],[Product Option]]="My Value Plus Life &amp; Funeral"),_xlfn.XLOOKUP(Table2[[#This Row],[Benefit Name]],Lookups!$D$18:$D$23,Lookups!$E$18:$E$23,0),
0))))</f>
        <v>0</v>
      </c>
      <c r="J380" s="284">
        <f>IF($I380="","",
IF($I380="MM_LIFE",INDEX('Quotation Tool'!$S$54:$V$60,MATCH($T380,'Quotation Tool'!$S$54:$S$60,0),4),
IF($I380="SP_LIFE",_xlfn.XLOOKUP(B379,$B:$B,$J:$J,0),0)))</f>
        <v>0</v>
      </c>
      <c r="K380" s="287">
        <f t="shared" ca="1" si="40"/>
        <v>0</v>
      </c>
      <c r="L380" s="288">
        <f t="shared" ca="1" si="41"/>
        <v>0</v>
      </c>
      <c r="M380" s="289">
        <f t="shared" ca="1" si="37"/>
        <v>0</v>
      </c>
      <c r="N380" s="286">
        <f>Table13[[#This Row],[Benefit Option]]</f>
        <v>0</v>
      </c>
      <c r="O380" s="284">
        <f>IF(OR(Table2[[#This Row],[Member Type]]="Spouse",Table2[[#This Row],[Member Type]]="Child"),0,
IF(_xlfn.XLOOKUP($N380,Lookups!$D$13:$D$27,Lookups!$F$13:$F$27,0)=Table2[[#This Row],[Table Lookup for Life Cover]],0,
_xlfn.XLOOKUP($N380,Lookups!$D$13:$D$27,Lookups!$F$13:$F$27,0)))</f>
        <v>0</v>
      </c>
      <c r="P380" s="284">
        <f>IF(Table2[[#This Row],[Table Lookup for Funeral]]=0,0,IFERROR(INDEX('Quotation Tool'!$S$54:$V$60,MATCH($T380,'Quotation Tool'!$S$54:$S$60,0),3),0))</f>
        <v>0</v>
      </c>
      <c r="Q380" s="288">
        <f ca="1">IF(OR(Table2[[#This Row],[Benefit Name]]="My Value Plus Life - Main Member",Table2[[#This Row],[Benefit Name]]="My Value Plus Life - Spouse"),0,
IFERROR(VLOOKUP($G380,INDIRECT($O380),$P380,FALSE),0))</f>
        <v>0</v>
      </c>
      <c r="R380" s="288">
        <f ca="1">IF(OR(Table2[[#This Row],[Benefit Name]]="My Value Plus Life - Main Member",Table2[[#This Row],[Benefit Name]]="My Value Plus Life - Spouse"),0,
IFERROR(VLOOKUP($G380,INDIRECT($O380),$P380+1,FALSE),0))</f>
        <v>0</v>
      </c>
      <c r="S380" s="289">
        <f t="shared" ca="1" si="38"/>
        <v>0</v>
      </c>
      <c r="T380" s="284" t="str">
        <f>IF(Table13[[#This Row],[Premium Waiver]]="","None",Table13[[#This Row],[Premium Waiver]])</f>
        <v>None</v>
      </c>
      <c r="U380" s="284">
        <f>Table13[[#This Row],[VAPs Options]]</f>
        <v>0</v>
      </c>
      <c r="V380" s="284">
        <f>Table13[[#This Row],[Annual Increase Option]]</f>
        <v>0</v>
      </c>
      <c r="W380" s="290">
        <f>Table13[[#This Row],[Life Cover Amount]]</f>
        <v>0</v>
      </c>
      <c r="X380" s="290">
        <f>Table13[[#This Row],[Funeral Cover Amount]]</f>
        <v>0</v>
      </c>
      <c r="Y38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8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80" s="301">
        <f t="shared" ca="1" si="39"/>
        <v>0</v>
      </c>
      <c r="AB380" s="298"/>
      <c r="AC380" s="326" t="str">
        <f>IF(Table2[[#This Row],[Member Type]]="Main Member",Lookups!$C$13,
IF(Table2[[#This Row],[Member Type]]="Spouse",_xlfn.XLOOKUP(B380,Table2[Main Member Link ID],Table2[Product Option],0),
IF(AND(Table2[[#This Row],[Member Type]]="Child",_xlfn.XLOOKUP(B380,Table2[Main Member Link ID],Table2[Product Option],0)&lt;&gt;"My Value Plus Life"),Lookups!$C$24,
IF(AND(OR(Table2[[#This Row],[Member Type]]="Parent",Table2[[#This Row],[Member Type]]="Extended"),_xlfn.XLOOKUP(B380,Table2[Main Member Link ID],Table2[Product Option],0)&lt;&gt;"My Value Plus Life"),Lookups!$C$26,""))))</f>
        <v/>
      </c>
      <c r="AD380" s="326" t="str">
        <f>IF(Table2[[#This Row],[Member Type]]="Main Member",Lookups!$C$14,"")</f>
        <v/>
      </c>
      <c r="AE38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Funeral",_xlfn.XLOOKUP(B380,Table2[Main Member Link ID],Table2[Benefit Name],0)=Lookups!$D$14),"",
IF(AND(Table2[[#This Row],[Member Type]]="Spouse",Table2[[#This Row],[Product Option]]="My Value Plus Life &amp; Funeral",_xlfn.XLOOKUP(B379,Table2[Main Member Link ID],Table2[Benefit Name],0)=Lookups!$D$15),Lookups!$D$20,
IF(AND(Table2[[#This Row],[Member Type]]="Spouse",Table2[[#This Row],[Product Option]]="My Value Plus Life &amp; Funeral",_xlfn.XLOOKUP(B379,Table2[Main Member Link ID],Table2[Benefit Name],0)=Lookups!$D$16),"",
IF(AND(Table2[[#This Row],[Member Type]]="Spouse",Table2[[#This Row],[Product Option]]="My Value Plus Life &amp; Funeral",_xlfn.XLOOKUP(B379,Table2[Main Member Link ID],Table2[Benefit Name],0)=Lookups!$D$17),Lookups!$D$21,
IF(AND(Table2[[#This Row],[Member Type]]="Child",Table2[[#This Row],[Product Option]]="My Value Plus Life &amp; Funeral",_xlfn.XLOOKUP(B380,Table2[Main Member Link ID],Table2[Benefit Name],0)=Lookups!$D$14),"",
IF(AND(Table2[[#This Row],[Member Type]]="Child",Table2[[#This Row],[Product Option]]="My Value Plus Life &amp; Funeral",_xlfn.XLOOKUP(B380,Table2[Main Member Link ID],Table2[Benefit Name],0)=Lookups!$D$15),"",
IF(AND(Table2[[#This Row],[Member Type]]="Child",Table2[[#This Row],[Product Option]]="My Value Plus Life &amp; Funeral",_xlfn.XLOOKUP(B380,Table2[Main Member Link ID],Table2[Benefit Name],0)=Lookups!$D$16),Lookups!$D$24,
IF(AND(Table2[[#This Row],[Member Type]]="Child",Table2[[#This Row],[Product Option]]="My Value Plus Life &amp; Funeral",_xlfn.XLOOKUP(B380,Table2[Main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Funeral",_xlfn.XLOOKUP(B380,Table2[Main Member Link ID],Table2[Benefit Name],0)&lt;&gt;Lookups!$D$14),
IF(_xlfn.XLOOKUP(B380,Table2[Main Member Link ID],Table2[Benefit Name],0)=0,"",_xlfn.XLOOKUP(B380,Table2[Main Member Link ID],Table2[Benefit Name],0)),"")))))))))))))))</f>
        <v/>
      </c>
      <c r="AF380" s="327" t="str">
        <f>IF(AND(Table2[[#This Row],[Member Type]]="Main Member",Table2[[#This Row],[Product Option]]="My Value Plus Life &amp; Funeral"),Lookups!$D$15,
IF(AND(Table2[[#This Row],[Member Type]]="Spouse",Table2[[#This Row],[Product Option]]="My Value Plus Life &amp; Funeral",_xlfn.XLOOKUP(B380,Table2[Main Member Link ID],Table2[Benefit Name],0)=Lookups!$D$14),"",
IF(AND(Table2[[#This Row],[Member Type]]="Spouse",Table2[[#This Row],[Product Option]]="My Value Plus Life &amp; Funeral",_xlfn.XLOOKUP(B379,Table2[Main Member Link ID],Table2[Benefit Name],0)=Lookups!$D$16),"",
IF(AND(Table2[[#This Row],[Member Type]]="Spouse",Table2[[#This Row],[Product Option]]="My Value Plus Life &amp; Funeral",_xlfn.XLOOKUP(B379,Table2[Main Member Link ID],Table2[Benefit Name],0)=Lookups!$D$15),"",
IF(AND(Table2[[#This Row],[Member Type]]="Spouse",Table2[[#This Row],[Product Option]]="My Value Plus Life &amp; Funeral",_xlfn.XLOOKUP(B379,Table2[Main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Funeral",_xlfn.XLOOKUP(B380,Table2[Main Member Link ID],Table2[Benefit Name],0)&lt;&gt;Lookups!$D$15),
IF(_xlfn.XLOOKUP(B380,Table2[Main Member Link ID],Table2[Benefit Name],0)=0,"",_xlfn.XLOOKUP(B380,Table2[Main Member Link ID],Table2[Benefit Name],0)),"")
))))))</f>
        <v/>
      </c>
      <c r="AG380" s="327" t="str">
        <f>IF(AND(Table2[[#This Row],[Member Type]]="Main Member",Table2[[#This Row],[Product Option]]="My Value Plus Life &amp; Funeral"),Lookups!$D$16,
IF(AND(Table2[[#This Row],[Member Type]]="Spouse",Table2[[#This Row],[Product Option]]="My Value Plus Life &amp; Funeral",_xlfn.XLOOKUP(B380,Table2[Main Member Link ID],Table2[Benefit Name],0)=Lookups!$D$14),"",
IF(AND(Table2[[#This Row],[Member Type]]="Spouse",Table2[[#This Row],[Product Option]]="My Value Plus Life &amp; Funeral",_xlfn.XLOOKUP(B379,Table2[Main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Funeral",_xlfn.XLOOKUP(B380,Table2[Main Member Link ID],Table2[Benefit Name],0)&lt;&gt;Lookups!$D$16),
IF(_xlfn.XLOOKUP(B380,Table2[Main Member Link ID],Table2[Benefit Name],0)=0,"",_xlfn.XLOOKUP(B380,Table2[Main Member Link ID],Table2[Benefit Name],0)),"")
))))</f>
        <v/>
      </c>
      <c r="AH380" s="327" t="str">
        <f>IF(AND(Table2[[#This Row],[Member Type]]="Main Member",Table2[[#This Row],[Product Option]]="My Value Plus Life &amp; Funeral"),Lookups!$D$17,
IF(AND(Table2[[#This Row],[Member Type]]="Spouse",Table2[[#This Row],[Product Option]]="My Value Plus Life &amp; Funeral",_xlfn.XLOOKUP(B380,Table2[Main Member Link ID],Table2[Benefit Name],0)=Lookups!$D$14),"",
IF(AND(Table2[[#This Row],[Member Type]]="Spouse",Table2[[#This Row],[Product Option]]="My Value Plus Life &amp; Funeral",_xlfn.XLOOKUP(B379,Table2[Main Member Link ID],Table2[Benefit Name],0)=Lookups!$D$16),"",
IF(AND(Table2[[#This Row],[Member Type]]="Child",Table2[[#This Row],[Product Option]]="My Value Plus Life &amp; Funeral"),"",
IF(AND(Table2[[#This Row],[Member Type]]="Child",Table2[[#This Row],[Product Option]]="My Value Plus Life &amp; Funeral",_xlfn.XLOOKUP(B380,Table2[Main Member Link ID],Table2[Benefit Name],0)=Lookups!$D$15),"",
IF(AND(OR(Table2[[#This Row],[Member Type]]="Spouse",Table2[[#This Row],[Member Type]]="Child"),Table2[[#This Row],[Product Option]]="My Value Plus Life &amp; Funeral",_xlfn.XLOOKUP(B380,Table2[Main Member Link ID],Table2[Benefit Name],0)&lt;&gt;Lookups!$D$17),
IF(_xlfn.XLOOKUP(B380,Table2[Main Member Link ID],Table2[Benefit Name],0)=0,"",_xlfn.XLOOKUP(B380,Table2[Main Member Link ID],Table2[Benefit Name],0)),""))))))</f>
        <v/>
      </c>
      <c r="AI380" s="328" t="str">
        <f>IF(AND(Table2[[#This Row],[Member Type]]="Main Member",Table2[[#This Row],[Table Lookup for Life Cover]]="MM_LIFE",Table2[[#This Row],[Age Next Birthday]]&lt;56),1,
IF(AND(Table2[[#This Row],[Member Type]]="Main Member",Table2[[#This Row],[Table Lookup for Life Cover]]="MM_LIFE",Table2[[#This Row],[Age Next Birthday]]&gt;=56),2,
""))</f>
        <v/>
      </c>
      <c r="AJ380" s="328">
        <f>IF(OR(Table2[[#This Row],[Member Type]]="Main Member",Table2[[#This Row],[Main Member Link ID]]=B379),1,0)</f>
        <v>1</v>
      </c>
      <c r="AK380" s="328">
        <f>IF(Table2[[#This Row],[Member Type]]=0,0,
IF(OR(Table2[[#This Row],[Member Type]]="Main Member",Table2[[#This Row],[Main Member Link ID]]&lt;&gt;B380),COUNTIFS(B:B,Table2[[#This Row],[Main Member Link ID]]),
COUNTIFS(B:B,Table2[[#This Row],[Main Member Link ID]],A:A,Table2[[#This Row],[Member Type]])))</f>
        <v>0</v>
      </c>
    </row>
    <row r="381" spans="1:37" x14ac:dyDescent="0.3">
      <c r="A381" s="284">
        <f>Table13[[#This Row],[Member Type]]</f>
        <v>0</v>
      </c>
      <c r="B381" s="284">
        <f>Table13[[#This Row],[Main Member Link ID]]</f>
        <v>0</v>
      </c>
      <c r="C381" s="284">
        <f>Table13[[#This Row],[ID Number]]</f>
        <v>0</v>
      </c>
      <c r="D381" s="285">
        <f>Table13[[#This Row],[Date Of Birth]]</f>
        <v>0</v>
      </c>
      <c r="E381" s="285">
        <f>Table13[[#This Row],[Commencement Date]]</f>
        <v>0</v>
      </c>
      <c r="F381" s="284">
        <f t="shared" si="35"/>
        <v>1</v>
      </c>
      <c r="G381" s="284">
        <f t="shared" si="36"/>
        <v>25</v>
      </c>
      <c r="H381" s="286">
        <f>Table13[[#This Row],[Product Option]]</f>
        <v>0</v>
      </c>
      <c r="I381" s="284">
        <f>IF(AND($A381="Main Member",Table2[[#This Row],[Product Option]]="My Value Plus Life"),"MM_LIFE",
IF(AND($A381="Spouse",Table2[[#This Row],[Product Option]]="My Value Plus Life"),"SP_LIFE",
IF(AND($A381="Main Member",Table2[[#This Row],[Product Option]]="My Value Plus Life &amp; Funeral"),"MM_LIFE",
IF(AND($A381="Spouse",Table2[[#This Row],[Product Option]]="My Value Plus Life &amp; Funeral"),_xlfn.XLOOKUP(Table2[[#This Row],[Benefit Name]],Lookups!$D$18:$D$23,Lookups!$E$18:$E$23,0),
0))))</f>
        <v>0</v>
      </c>
      <c r="J381" s="284">
        <f>IF($I381="","",
IF($I381="MM_LIFE",INDEX('Quotation Tool'!$S$54:$V$60,MATCH($T381,'Quotation Tool'!$S$54:$S$60,0),4),
IF($I381="SP_LIFE",_xlfn.XLOOKUP(B380,$B:$B,$J:$J,0),0)))</f>
        <v>0</v>
      </c>
      <c r="K381" s="287">
        <f t="shared" ca="1" si="40"/>
        <v>0</v>
      </c>
      <c r="L381" s="288">
        <f t="shared" ca="1" si="41"/>
        <v>0</v>
      </c>
      <c r="M381" s="289">
        <f t="shared" ca="1" si="37"/>
        <v>0</v>
      </c>
      <c r="N381" s="286">
        <f>Table13[[#This Row],[Benefit Option]]</f>
        <v>0</v>
      </c>
      <c r="O381" s="284">
        <f>IF(OR(Table2[[#This Row],[Member Type]]="Spouse",Table2[[#This Row],[Member Type]]="Child"),0,
IF(_xlfn.XLOOKUP($N381,Lookups!$D$13:$D$27,Lookups!$F$13:$F$27,0)=Table2[[#This Row],[Table Lookup for Life Cover]],0,
_xlfn.XLOOKUP($N381,Lookups!$D$13:$D$27,Lookups!$F$13:$F$27,0)))</f>
        <v>0</v>
      </c>
      <c r="P381" s="284">
        <f>IF(Table2[[#This Row],[Table Lookup for Funeral]]=0,0,IFERROR(INDEX('Quotation Tool'!$S$54:$V$60,MATCH($T381,'Quotation Tool'!$S$54:$S$60,0),3),0))</f>
        <v>0</v>
      </c>
      <c r="Q381" s="288">
        <f ca="1">IF(OR(Table2[[#This Row],[Benefit Name]]="My Value Plus Life - Main Member",Table2[[#This Row],[Benefit Name]]="My Value Plus Life - Spouse"),0,
IFERROR(VLOOKUP($G381,INDIRECT($O381),$P381,FALSE),0))</f>
        <v>0</v>
      </c>
      <c r="R381" s="288">
        <f ca="1">IF(OR(Table2[[#This Row],[Benefit Name]]="My Value Plus Life - Main Member",Table2[[#This Row],[Benefit Name]]="My Value Plus Life - Spouse"),0,
IFERROR(VLOOKUP($G381,INDIRECT($O381),$P381+1,FALSE),0))</f>
        <v>0</v>
      </c>
      <c r="S381" s="289">
        <f t="shared" ca="1" si="38"/>
        <v>0</v>
      </c>
      <c r="T381" s="284" t="str">
        <f>IF(Table13[[#This Row],[Premium Waiver]]="","None",Table13[[#This Row],[Premium Waiver]])</f>
        <v>None</v>
      </c>
      <c r="U381" s="284">
        <f>Table13[[#This Row],[VAPs Options]]</f>
        <v>0</v>
      </c>
      <c r="V381" s="284">
        <f>Table13[[#This Row],[Annual Increase Option]]</f>
        <v>0</v>
      </c>
      <c r="W381" s="290">
        <f>Table13[[#This Row],[Life Cover Amount]]</f>
        <v>0</v>
      </c>
      <c r="X381" s="290">
        <f>Table13[[#This Row],[Funeral Cover Amount]]</f>
        <v>0</v>
      </c>
      <c r="Y38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8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81" s="301">
        <f t="shared" ca="1" si="39"/>
        <v>0</v>
      </c>
      <c r="AB381" s="298"/>
      <c r="AC381" s="326" t="str">
        <f>IF(Table2[[#This Row],[Member Type]]="Main Member",Lookups!$C$13,
IF(Table2[[#This Row],[Member Type]]="Spouse",_xlfn.XLOOKUP(B381,Table2[Main Member Link ID],Table2[Product Option],0),
IF(AND(Table2[[#This Row],[Member Type]]="Child",_xlfn.XLOOKUP(B381,Table2[Main Member Link ID],Table2[Product Option],0)&lt;&gt;"My Value Plus Life"),Lookups!$C$24,
IF(AND(OR(Table2[[#This Row],[Member Type]]="Parent",Table2[[#This Row],[Member Type]]="Extended"),_xlfn.XLOOKUP(B381,Table2[Main Member Link ID],Table2[Product Option],0)&lt;&gt;"My Value Plus Life"),Lookups!$C$26,""))))</f>
        <v/>
      </c>
      <c r="AD381" s="326" t="str">
        <f>IF(Table2[[#This Row],[Member Type]]="Main Member",Lookups!$C$14,"")</f>
        <v/>
      </c>
      <c r="AE38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Funeral",_xlfn.XLOOKUP(B381,Table2[Main Member Link ID],Table2[Benefit Name],0)=Lookups!$D$14),"",
IF(AND(Table2[[#This Row],[Member Type]]="Spouse",Table2[[#This Row],[Product Option]]="My Value Plus Life &amp; Funeral",_xlfn.XLOOKUP(B380,Table2[Main Member Link ID],Table2[Benefit Name],0)=Lookups!$D$15),Lookups!$D$20,
IF(AND(Table2[[#This Row],[Member Type]]="Spouse",Table2[[#This Row],[Product Option]]="My Value Plus Life &amp; Funeral",_xlfn.XLOOKUP(B380,Table2[Main Member Link ID],Table2[Benefit Name],0)=Lookups!$D$16),"",
IF(AND(Table2[[#This Row],[Member Type]]="Spouse",Table2[[#This Row],[Product Option]]="My Value Plus Life &amp; Funeral",_xlfn.XLOOKUP(B380,Table2[Main Member Link ID],Table2[Benefit Name],0)=Lookups!$D$17),Lookups!$D$21,
IF(AND(Table2[[#This Row],[Member Type]]="Child",Table2[[#This Row],[Product Option]]="My Value Plus Life &amp; Funeral",_xlfn.XLOOKUP(B381,Table2[Main Member Link ID],Table2[Benefit Name],0)=Lookups!$D$14),"",
IF(AND(Table2[[#This Row],[Member Type]]="Child",Table2[[#This Row],[Product Option]]="My Value Plus Life &amp; Funeral",_xlfn.XLOOKUP(B381,Table2[Main Member Link ID],Table2[Benefit Name],0)=Lookups!$D$15),"",
IF(AND(Table2[[#This Row],[Member Type]]="Child",Table2[[#This Row],[Product Option]]="My Value Plus Life &amp; Funeral",_xlfn.XLOOKUP(B381,Table2[Main Member Link ID],Table2[Benefit Name],0)=Lookups!$D$16),Lookups!$D$24,
IF(AND(Table2[[#This Row],[Member Type]]="Child",Table2[[#This Row],[Product Option]]="My Value Plus Life &amp; Funeral",_xlfn.XLOOKUP(B381,Table2[Main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Funeral",_xlfn.XLOOKUP(B381,Table2[Main Member Link ID],Table2[Benefit Name],0)&lt;&gt;Lookups!$D$14),
IF(_xlfn.XLOOKUP(B381,Table2[Main Member Link ID],Table2[Benefit Name],0)=0,"",_xlfn.XLOOKUP(B381,Table2[Main Member Link ID],Table2[Benefit Name],0)),"")))))))))))))))</f>
        <v/>
      </c>
      <c r="AF381" s="327" t="str">
        <f>IF(AND(Table2[[#This Row],[Member Type]]="Main Member",Table2[[#This Row],[Product Option]]="My Value Plus Life &amp; Funeral"),Lookups!$D$15,
IF(AND(Table2[[#This Row],[Member Type]]="Spouse",Table2[[#This Row],[Product Option]]="My Value Plus Life &amp; Funeral",_xlfn.XLOOKUP(B381,Table2[Main Member Link ID],Table2[Benefit Name],0)=Lookups!$D$14),"",
IF(AND(Table2[[#This Row],[Member Type]]="Spouse",Table2[[#This Row],[Product Option]]="My Value Plus Life &amp; Funeral",_xlfn.XLOOKUP(B380,Table2[Main Member Link ID],Table2[Benefit Name],0)=Lookups!$D$16),"",
IF(AND(Table2[[#This Row],[Member Type]]="Spouse",Table2[[#This Row],[Product Option]]="My Value Plus Life &amp; Funeral",_xlfn.XLOOKUP(B380,Table2[Main Member Link ID],Table2[Benefit Name],0)=Lookups!$D$15),"",
IF(AND(Table2[[#This Row],[Member Type]]="Spouse",Table2[[#This Row],[Product Option]]="My Value Plus Life &amp; Funeral",_xlfn.XLOOKUP(B380,Table2[Main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Funeral",_xlfn.XLOOKUP(B381,Table2[Main Member Link ID],Table2[Benefit Name],0)&lt;&gt;Lookups!$D$15),
IF(_xlfn.XLOOKUP(B381,Table2[Main Member Link ID],Table2[Benefit Name],0)=0,"",_xlfn.XLOOKUP(B381,Table2[Main Member Link ID],Table2[Benefit Name],0)),"")
))))))</f>
        <v/>
      </c>
      <c r="AG381" s="327" t="str">
        <f>IF(AND(Table2[[#This Row],[Member Type]]="Main Member",Table2[[#This Row],[Product Option]]="My Value Plus Life &amp; Funeral"),Lookups!$D$16,
IF(AND(Table2[[#This Row],[Member Type]]="Spouse",Table2[[#This Row],[Product Option]]="My Value Plus Life &amp; Funeral",_xlfn.XLOOKUP(B381,Table2[Main Member Link ID],Table2[Benefit Name],0)=Lookups!$D$14),"",
IF(AND(Table2[[#This Row],[Member Type]]="Spouse",Table2[[#This Row],[Product Option]]="My Value Plus Life &amp; Funeral",_xlfn.XLOOKUP(B380,Table2[Main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Funeral",_xlfn.XLOOKUP(B381,Table2[Main Member Link ID],Table2[Benefit Name],0)&lt;&gt;Lookups!$D$16),
IF(_xlfn.XLOOKUP(B381,Table2[Main Member Link ID],Table2[Benefit Name],0)=0,"",_xlfn.XLOOKUP(B381,Table2[Main Member Link ID],Table2[Benefit Name],0)),"")
))))</f>
        <v/>
      </c>
      <c r="AH381" s="327" t="str">
        <f>IF(AND(Table2[[#This Row],[Member Type]]="Main Member",Table2[[#This Row],[Product Option]]="My Value Plus Life &amp; Funeral"),Lookups!$D$17,
IF(AND(Table2[[#This Row],[Member Type]]="Spouse",Table2[[#This Row],[Product Option]]="My Value Plus Life &amp; Funeral",_xlfn.XLOOKUP(B381,Table2[Main Member Link ID],Table2[Benefit Name],0)=Lookups!$D$14),"",
IF(AND(Table2[[#This Row],[Member Type]]="Spouse",Table2[[#This Row],[Product Option]]="My Value Plus Life &amp; Funeral",_xlfn.XLOOKUP(B380,Table2[Main Member Link ID],Table2[Benefit Name],0)=Lookups!$D$16),"",
IF(AND(Table2[[#This Row],[Member Type]]="Child",Table2[[#This Row],[Product Option]]="My Value Plus Life &amp; Funeral"),"",
IF(AND(Table2[[#This Row],[Member Type]]="Child",Table2[[#This Row],[Product Option]]="My Value Plus Life &amp; Funeral",_xlfn.XLOOKUP(B381,Table2[Main Member Link ID],Table2[Benefit Name],0)=Lookups!$D$15),"",
IF(AND(OR(Table2[[#This Row],[Member Type]]="Spouse",Table2[[#This Row],[Member Type]]="Child"),Table2[[#This Row],[Product Option]]="My Value Plus Life &amp; Funeral",_xlfn.XLOOKUP(B381,Table2[Main Member Link ID],Table2[Benefit Name],0)&lt;&gt;Lookups!$D$17),
IF(_xlfn.XLOOKUP(B381,Table2[Main Member Link ID],Table2[Benefit Name],0)=0,"",_xlfn.XLOOKUP(B381,Table2[Main Member Link ID],Table2[Benefit Name],0)),""))))))</f>
        <v/>
      </c>
      <c r="AI381" s="328" t="str">
        <f>IF(AND(Table2[[#This Row],[Member Type]]="Main Member",Table2[[#This Row],[Table Lookup for Life Cover]]="MM_LIFE",Table2[[#This Row],[Age Next Birthday]]&lt;56),1,
IF(AND(Table2[[#This Row],[Member Type]]="Main Member",Table2[[#This Row],[Table Lookup for Life Cover]]="MM_LIFE",Table2[[#This Row],[Age Next Birthday]]&gt;=56),2,
""))</f>
        <v/>
      </c>
      <c r="AJ381" s="328">
        <f>IF(OR(Table2[[#This Row],[Member Type]]="Main Member",Table2[[#This Row],[Main Member Link ID]]=B380),1,0)</f>
        <v>1</v>
      </c>
      <c r="AK381" s="328">
        <f>IF(Table2[[#This Row],[Member Type]]=0,0,
IF(OR(Table2[[#This Row],[Member Type]]="Main Member",Table2[[#This Row],[Main Member Link ID]]&lt;&gt;B381),COUNTIFS(B:B,Table2[[#This Row],[Main Member Link ID]]),
COUNTIFS(B:B,Table2[[#This Row],[Main Member Link ID]],A:A,Table2[[#This Row],[Member Type]])))</f>
        <v>0</v>
      </c>
    </row>
    <row r="382" spans="1:37" x14ac:dyDescent="0.3">
      <c r="A382" s="284">
        <f>Table13[[#This Row],[Member Type]]</f>
        <v>0</v>
      </c>
      <c r="B382" s="284">
        <f>Table13[[#This Row],[Main Member Link ID]]</f>
        <v>0</v>
      </c>
      <c r="C382" s="284">
        <f>Table13[[#This Row],[ID Number]]</f>
        <v>0</v>
      </c>
      <c r="D382" s="285">
        <f>Table13[[#This Row],[Date Of Birth]]</f>
        <v>0</v>
      </c>
      <c r="E382" s="285">
        <f>Table13[[#This Row],[Commencement Date]]</f>
        <v>0</v>
      </c>
      <c r="F382" s="284">
        <f t="shared" si="35"/>
        <v>1</v>
      </c>
      <c r="G382" s="284">
        <f t="shared" si="36"/>
        <v>25</v>
      </c>
      <c r="H382" s="286">
        <f>Table13[[#This Row],[Product Option]]</f>
        <v>0</v>
      </c>
      <c r="I382" s="284">
        <f>IF(AND($A382="Main Member",Table2[[#This Row],[Product Option]]="My Value Plus Life"),"MM_LIFE",
IF(AND($A382="Spouse",Table2[[#This Row],[Product Option]]="My Value Plus Life"),"SP_LIFE",
IF(AND($A382="Main Member",Table2[[#This Row],[Product Option]]="My Value Plus Life &amp; Funeral"),"MM_LIFE",
IF(AND($A382="Spouse",Table2[[#This Row],[Product Option]]="My Value Plus Life &amp; Funeral"),_xlfn.XLOOKUP(Table2[[#This Row],[Benefit Name]],Lookups!$D$18:$D$23,Lookups!$E$18:$E$23,0),
0))))</f>
        <v>0</v>
      </c>
      <c r="J382" s="284">
        <f>IF($I382="","",
IF($I382="MM_LIFE",INDEX('Quotation Tool'!$S$54:$V$60,MATCH($T382,'Quotation Tool'!$S$54:$S$60,0),4),
IF($I382="SP_LIFE",_xlfn.XLOOKUP(B381,$B:$B,$J:$J,0),0)))</f>
        <v>0</v>
      </c>
      <c r="K382" s="287">
        <f t="shared" ca="1" si="40"/>
        <v>0</v>
      </c>
      <c r="L382" s="288">
        <f t="shared" ca="1" si="41"/>
        <v>0</v>
      </c>
      <c r="M382" s="289">
        <f t="shared" ca="1" si="37"/>
        <v>0</v>
      </c>
      <c r="N382" s="286">
        <f>Table13[[#This Row],[Benefit Option]]</f>
        <v>0</v>
      </c>
      <c r="O382" s="284">
        <f>IF(OR(Table2[[#This Row],[Member Type]]="Spouse",Table2[[#This Row],[Member Type]]="Child"),0,
IF(_xlfn.XLOOKUP($N382,Lookups!$D$13:$D$27,Lookups!$F$13:$F$27,0)=Table2[[#This Row],[Table Lookup for Life Cover]],0,
_xlfn.XLOOKUP($N382,Lookups!$D$13:$D$27,Lookups!$F$13:$F$27,0)))</f>
        <v>0</v>
      </c>
      <c r="P382" s="284">
        <f>IF(Table2[[#This Row],[Table Lookup for Funeral]]=0,0,IFERROR(INDEX('Quotation Tool'!$S$54:$V$60,MATCH($T382,'Quotation Tool'!$S$54:$S$60,0),3),0))</f>
        <v>0</v>
      </c>
      <c r="Q382" s="288">
        <f ca="1">IF(OR(Table2[[#This Row],[Benefit Name]]="My Value Plus Life - Main Member",Table2[[#This Row],[Benefit Name]]="My Value Plus Life - Spouse"),0,
IFERROR(VLOOKUP($G382,INDIRECT($O382),$P382,FALSE),0))</f>
        <v>0</v>
      </c>
      <c r="R382" s="288">
        <f ca="1">IF(OR(Table2[[#This Row],[Benefit Name]]="My Value Plus Life - Main Member",Table2[[#This Row],[Benefit Name]]="My Value Plus Life - Spouse"),0,
IFERROR(VLOOKUP($G382,INDIRECT($O382),$P382+1,FALSE),0))</f>
        <v>0</v>
      </c>
      <c r="S382" s="289">
        <f t="shared" ca="1" si="38"/>
        <v>0</v>
      </c>
      <c r="T382" s="284" t="str">
        <f>IF(Table13[[#This Row],[Premium Waiver]]="","None",Table13[[#This Row],[Premium Waiver]])</f>
        <v>None</v>
      </c>
      <c r="U382" s="284">
        <f>Table13[[#This Row],[VAPs Options]]</f>
        <v>0</v>
      </c>
      <c r="V382" s="284">
        <f>Table13[[#This Row],[Annual Increase Option]]</f>
        <v>0</v>
      </c>
      <c r="W382" s="290">
        <f>Table13[[#This Row],[Life Cover Amount]]</f>
        <v>0</v>
      </c>
      <c r="X382" s="290">
        <f>Table13[[#This Row],[Funeral Cover Amount]]</f>
        <v>0</v>
      </c>
      <c r="Y38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8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82" s="301">
        <f t="shared" ca="1" si="39"/>
        <v>0</v>
      </c>
      <c r="AB382" s="298"/>
      <c r="AC382" s="326" t="str">
        <f>IF(Table2[[#This Row],[Member Type]]="Main Member",Lookups!$C$13,
IF(Table2[[#This Row],[Member Type]]="Spouse",_xlfn.XLOOKUP(B382,Table2[Main Member Link ID],Table2[Product Option],0),
IF(AND(Table2[[#This Row],[Member Type]]="Child",_xlfn.XLOOKUP(B382,Table2[Main Member Link ID],Table2[Product Option],0)&lt;&gt;"My Value Plus Life"),Lookups!$C$24,
IF(AND(OR(Table2[[#This Row],[Member Type]]="Parent",Table2[[#This Row],[Member Type]]="Extended"),_xlfn.XLOOKUP(B382,Table2[Main Member Link ID],Table2[Product Option],0)&lt;&gt;"My Value Plus Life"),Lookups!$C$26,""))))</f>
        <v/>
      </c>
      <c r="AD382" s="326" t="str">
        <f>IF(Table2[[#This Row],[Member Type]]="Main Member",Lookups!$C$14,"")</f>
        <v/>
      </c>
      <c r="AE38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Funeral",_xlfn.XLOOKUP(B382,Table2[Main Member Link ID],Table2[Benefit Name],0)=Lookups!$D$14),"",
IF(AND(Table2[[#This Row],[Member Type]]="Spouse",Table2[[#This Row],[Product Option]]="My Value Plus Life &amp; Funeral",_xlfn.XLOOKUP(B381,Table2[Main Member Link ID],Table2[Benefit Name],0)=Lookups!$D$15),Lookups!$D$20,
IF(AND(Table2[[#This Row],[Member Type]]="Spouse",Table2[[#This Row],[Product Option]]="My Value Plus Life &amp; Funeral",_xlfn.XLOOKUP(B381,Table2[Main Member Link ID],Table2[Benefit Name],0)=Lookups!$D$16),"",
IF(AND(Table2[[#This Row],[Member Type]]="Spouse",Table2[[#This Row],[Product Option]]="My Value Plus Life &amp; Funeral",_xlfn.XLOOKUP(B381,Table2[Main Member Link ID],Table2[Benefit Name],0)=Lookups!$D$17),Lookups!$D$21,
IF(AND(Table2[[#This Row],[Member Type]]="Child",Table2[[#This Row],[Product Option]]="My Value Plus Life &amp; Funeral",_xlfn.XLOOKUP(B382,Table2[Main Member Link ID],Table2[Benefit Name],0)=Lookups!$D$14),"",
IF(AND(Table2[[#This Row],[Member Type]]="Child",Table2[[#This Row],[Product Option]]="My Value Plus Life &amp; Funeral",_xlfn.XLOOKUP(B382,Table2[Main Member Link ID],Table2[Benefit Name],0)=Lookups!$D$15),"",
IF(AND(Table2[[#This Row],[Member Type]]="Child",Table2[[#This Row],[Product Option]]="My Value Plus Life &amp; Funeral",_xlfn.XLOOKUP(B382,Table2[Main Member Link ID],Table2[Benefit Name],0)=Lookups!$D$16),Lookups!$D$24,
IF(AND(Table2[[#This Row],[Member Type]]="Child",Table2[[#This Row],[Product Option]]="My Value Plus Life &amp; Funeral",_xlfn.XLOOKUP(B382,Table2[Main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Funeral",_xlfn.XLOOKUP(B382,Table2[Main Member Link ID],Table2[Benefit Name],0)&lt;&gt;Lookups!$D$14),
IF(_xlfn.XLOOKUP(B382,Table2[Main Member Link ID],Table2[Benefit Name],0)=0,"",_xlfn.XLOOKUP(B382,Table2[Main Member Link ID],Table2[Benefit Name],0)),"")))))))))))))))</f>
        <v/>
      </c>
      <c r="AF382" s="327" t="str">
        <f>IF(AND(Table2[[#This Row],[Member Type]]="Main Member",Table2[[#This Row],[Product Option]]="My Value Plus Life &amp; Funeral"),Lookups!$D$15,
IF(AND(Table2[[#This Row],[Member Type]]="Spouse",Table2[[#This Row],[Product Option]]="My Value Plus Life &amp; Funeral",_xlfn.XLOOKUP(B382,Table2[Main Member Link ID],Table2[Benefit Name],0)=Lookups!$D$14),"",
IF(AND(Table2[[#This Row],[Member Type]]="Spouse",Table2[[#This Row],[Product Option]]="My Value Plus Life &amp; Funeral",_xlfn.XLOOKUP(B381,Table2[Main Member Link ID],Table2[Benefit Name],0)=Lookups!$D$16),"",
IF(AND(Table2[[#This Row],[Member Type]]="Spouse",Table2[[#This Row],[Product Option]]="My Value Plus Life &amp; Funeral",_xlfn.XLOOKUP(B381,Table2[Main Member Link ID],Table2[Benefit Name],0)=Lookups!$D$15),"",
IF(AND(Table2[[#This Row],[Member Type]]="Spouse",Table2[[#This Row],[Product Option]]="My Value Plus Life &amp; Funeral",_xlfn.XLOOKUP(B381,Table2[Main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Funeral",_xlfn.XLOOKUP(B382,Table2[Main Member Link ID],Table2[Benefit Name],0)&lt;&gt;Lookups!$D$15),
IF(_xlfn.XLOOKUP(B382,Table2[Main Member Link ID],Table2[Benefit Name],0)=0,"",_xlfn.XLOOKUP(B382,Table2[Main Member Link ID],Table2[Benefit Name],0)),"")
))))))</f>
        <v/>
      </c>
      <c r="AG382" s="327" t="str">
        <f>IF(AND(Table2[[#This Row],[Member Type]]="Main Member",Table2[[#This Row],[Product Option]]="My Value Plus Life &amp; Funeral"),Lookups!$D$16,
IF(AND(Table2[[#This Row],[Member Type]]="Spouse",Table2[[#This Row],[Product Option]]="My Value Plus Life &amp; Funeral",_xlfn.XLOOKUP(B382,Table2[Main Member Link ID],Table2[Benefit Name],0)=Lookups!$D$14),"",
IF(AND(Table2[[#This Row],[Member Type]]="Spouse",Table2[[#This Row],[Product Option]]="My Value Plus Life &amp; Funeral",_xlfn.XLOOKUP(B381,Table2[Main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Funeral",_xlfn.XLOOKUP(B382,Table2[Main Member Link ID],Table2[Benefit Name],0)&lt;&gt;Lookups!$D$16),
IF(_xlfn.XLOOKUP(B382,Table2[Main Member Link ID],Table2[Benefit Name],0)=0,"",_xlfn.XLOOKUP(B382,Table2[Main Member Link ID],Table2[Benefit Name],0)),"")
))))</f>
        <v/>
      </c>
      <c r="AH382" s="327" t="str">
        <f>IF(AND(Table2[[#This Row],[Member Type]]="Main Member",Table2[[#This Row],[Product Option]]="My Value Plus Life &amp; Funeral"),Lookups!$D$17,
IF(AND(Table2[[#This Row],[Member Type]]="Spouse",Table2[[#This Row],[Product Option]]="My Value Plus Life &amp; Funeral",_xlfn.XLOOKUP(B382,Table2[Main Member Link ID],Table2[Benefit Name],0)=Lookups!$D$14),"",
IF(AND(Table2[[#This Row],[Member Type]]="Spouse",Table2[[#This Row],[Product Option]]="My Value Plus Life &amp; Funeral",_xlfn.XLOOKUP(B381,Table2[Main Member Link ID],Table2[Benefit Name],0)=Lookups!$D$16),"",
IF(AND(Table2[[#This Row],[Member Type]]="Child",Table2[[#This Row],[Product Option]]="My Value Plus Life &amp; Funeral"),"",
IF(AND(Table2[[#This Row],[Member Type]]="Child",Table2[[#This Row],[Product Option]]="My Value Plus Life &amp; Funeral",_xlfn.XLOOKUP(B382,Table2[Main Member Link ID],Table2[Benefit Name],0)=Lookups!$D$15),"",
IF(AND(OR(Table2[[#This Row],[Member Type]]="Spouse",Table2[[#This Row],[Member Type]]="Child"),Table2[[#This Row],[Product Option]]="My Value Plus Life &amp; Funeral",_xlfn.XLOOKUP(B382,Table2[Main Member Link ID],Table2[Benefit Name],0)&lt;&gt;Lookups!$D$17),
IF(_xlfn.XLOOKUP(B382,Table2[Main Member Link ID],Table2[Benefit Name],0)=0,"",_xlfn.XLOOKUP(B382,Table2[Main Member Link ID],Table2[Benefit Name],0)),""))))))</f>
        <v/>
      </c>
      <c r="AI382" s="328" t="str">
        <f>IF(AND(Table2[[#This Row],[Member Type]]="Main Member",Table2[[#This Row],[Table Lookup for Life Cover]]="MM_LIFE",Table2[[#This Row],[Age Next Birthday]]&lt;56),1,
IF(AND(Table2[[#This Row],[Member Type]]="Main Member",Table2[[#This Row],[Table Lookup for Life Cover]]="MM_LIFE",Table2[[#This Row],[Age Next Birthday]]&gt;=56),2,
""))</f>
        <v/>
      </c>
      <c r="AJ382" s="328">
        <f>IF(OR(Table2[[#This Row],[Member Type]]="Main Member",Table2[[#This Row],[Main Member Link ID]]=B381),1,0)</f>
        <v>1</v>
      </c>
      <c r="AK382" s="328">
        <f>IF(Table2[[#This Row],[Member Type]]=0,0,
IF(OR(Table2[[#This Row],[Member Type]]="Main Member",Table2[[#This Row],[Main Member Link ID]]&lt;&gt;B382),COUNTIFS(B:B,Table2[[#This Row],[Main Member Link ID]]),
COUNTIFS(B:B,Table2[[#This Row],[Main Member Link ID]],A:A,Table2[[#This Row],[Member Type]])))</f>
        <v>0</v>
      </c>
    </row>
    <row r="383" spans="1:37" x14ac:dyDescent="0.3">
      <c r="A383" s="284">
        <f>Table13[[#This Row],[Member Type]]</f>
        <v>0</v>
      </c>
      <c r="B383" s="284">
        <f>Table13[[#This Row],[Main Member Link ID]]</f>
        <v>0</v>
      </c>
      <c r="C383" s="284">
        <f>Table13[[#This Row],[ID Number]]</f>
        <v>0</v>
      </c>
      <c r="D383" s="285">
        <f>Table13[[#This Row],[Date Of Birth]]</f>
        <v>0</v>
      </c>
      <c r="E383" s="285">
        <f>Table13[[#This Row],[Commencement Date]]</f>
        <v>0</v>
      </c>
      <c r="F383" s="284">
        <f t="shared" si="35"/>
        <v>1</v>
      </c>
      <c r="G383" s="284">
        <f t="shared" si="36"/>
        <v>25</v>
      </c>
      <c r="H383" s="286">
        <f>Table13[[#This Row],[Product Option]]</f>
        <v>0</v>
      </c>
      <c r="I383" s="284">
        <f>IF(AND($A383="Main Member",Table2[[#This Row],[Product Option]]="My Value Plus Life"),"MM_LIFE",
IF(AND($A383="Spouse",Table2[[#This Row],[Product Option]]="My Value Plus Life"),"SP_LIFE",
IF(AND($A383="Main Member",Table2[[#This Row],[Product Option]]="My Value Plus Life &amp; Funeral"),"MM_LIFE",
IF(AND($A383="Spouse",Table2[[#This Row],[Product Option]]="My Value Plus Life &amp; Funeral"),_xlfn.XLOOKUP(Table2[[#This Row],[Benefit Name]],Lookups!$D$18:$D$23,Lookups!$E$18:$E$23,0),
0))))</f>
        <v>0</v>
      </c>
      <c r="J383" s="284">
        <f>IF($I383="","",
IF($I383="MM_LIFE",INDEX('Quotation Tool'!$S$54:$V$60,MATCH($T383,'Quotation Tool'!$S$54:$S$60,0),4),
IF($I383="SP_LIFE",_xlfn.XLOOKUP(B382,$B:$B,$J:$J,0),0)))</f>
        <v>0</v>
      </c>
      <c r="K383" s="287">
        <f t="shared" ca="1" si="40"/>
        <v>0</v>
      </c>
      <c r="L383" s="288">
        <f t="shared" ca="1" si="41"/>
        <v>0</v>
      </c>
      <c r="M383" s="289">
        <f t="shared" ca="1" si="37"/>
        <v>0</v>
      </c>
      <c r="N383" s="286">
        <f>Table13[[#This Row],[Benefit Option]]</f>
        <v>0</v>
      </c>
      <c r="O383" s="284">
        <f>IF(OR(Table2[[#This Row],[Member Type]]="Spouse",Table2[[#This Row],[Member Type]]="Child"),0,
IF(_xlfn.XLOOKUP($N383,Lookups!$D$13:$D$27,Lookups!$F$13:$F$27,0)=Table2[[#This Row],[Table Lookup for Life Cover]],0,
_xlfn.XLOOKUP($N383,Lookups!$D$13:$D$27,Lookups!$F$13:$F$27,0)))</f>
        <v>0</v>
      </c>
      <c r="P383" s="284">
        <f>IF(Table2[[#This Row],[Table Lookup for Funeral]]=0,0,IFERROR(INDEX('Quotation Tool'!$S$54:$V$60,MATCH($T383,'Quotation Tool'!$S$54:$S$60,0),3),0))</f>
        <v>0</v>
      </c>
      <c r="Q383" s="288">
        <f ca="1">IF(OR(Table2[[#This Row],[Benefit Name]]="My Value Plus Life - Main Member",Table2[[#This Row],[Benefit Name]]="My Value Plus Life - Spouse"),0,
IFERROR(VLOOKUP($G383,INDIRECT($O383),$P383,FALSE),0))</f>
        <v>0</v>
      </c>
      <c r="R383" s="288">
        <f ca="1">IF(OR(Table2[[#This Row],[Benefit Name]]="My Value Plus Life - Main Member",Table2[[#This Row],[Benefit Name]]="My Value Plus Life - Spouse"),0,
IFERROR(VLOOKUP($G383,INDIRECT($O383),$P383+1,FALSE),0))</f>
        <v>0</v>
      </c>
      <c r="S383" s="289">
        <f t="shared" ca="1" si="38"/>
        <v>0</v>
      </c>
      <c r="T383" s="284" t="str">
        <f>IF(Table13[[#This Row],[Premium Waiver]]="","None",Table13[[#This Row],[Premium Waiver]])</f>
        <v>None</v>
      </c>
      <c r="U383" s="284">
        <f>Table13[[#This Row],[VAPs Options]]</f>
        <v>0</v>
      </c>
      <c r="V383" s="284">
        <f>Table13[[#This Row],[Annual Increase Option]]</f>
        <v>0</v>
      </c>
      <c r="W383" s="290">
        <f>Table13[[#This Row],[Life Cover Amount]]</f>
        <v>0</v>
      </c>
      <c r="X383" s="290">
        <f>Table13[[#This Row],[Funeral Cover Amount]]</f>
        <v>0</v>
      </c>
      <c r="Y38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8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83" s="301">
        <f t="shared" ca="1" si="39"/>
        <v>0</v>
      </c>
      <c r="AB383" s="298"/>
      <c r="AC383" s="326" t="str">
        <f>IF(Table2[[#This Row],[Member Type]]="Main Member",Lookups!$C$13,
IF(Table2[[#This Row],[Member Type]]="Spouse",_xlfn.XLOOKUP(B383,Table2[Main Member Link ID],Table2[Product Option],0),
IF(AND(Table2[[#This Row],[Member Type]]="Child",_xlfn.XLOOKUP(B383,Table2[Main Member Link ID],Table2[Product Option],0)&lt;&gt;"My Value Plus Life"),Lookups!$C$24,
IF(AND(OR(Table2[[#This Row],[Member Type]]="Parent",Table2[[#This Row],[Member Type]]="Extended"),_xlfn.XLOOKUP(B383,Table2[Main Member Link ID],Table2[Product Option],0)&lt;&gt;"My Value Plus Life"),Lookups!$C$26,""))))</f>
        <v/>
      </c>
      <c r="AD383" s="326" t="str">
        <f>IF(Table2[[#This Row],[Member Type]]="Main Member",Lookups!$C$14,"")</f>
        <v/>
      </c>
      <c r="AE38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Funeral",_xlfn.XLOOKUP(B383,Table2[Main Member Link ID],Table2[Benefit Name],0)=Lookups!$D$14),"",
IF(AND(Table2[[#This Row],[Member Type]]="Spouse",Table2[[#This Row],[Product Option]]="My Value Plus Life &amp; Funeral",_xlfn.XLOOKUP(B382,Table2[Main Member Link ID],Table2[Benefit Name],0)=Lookups!$D$15),Lookups!$D$20,
IF(AND(Table2[[#This Row],[Member Type]]="Spouse",Table2[[#This Row],[Product Option]]="My Value Plus Life &amp; Funeral",_xlfn.XLOOKUP(B382,Table2[Main Member Link ID],Table2[Benefit Name],0)=Lookups!$D$16),"",
IF(AND(Table2[[#This Row],[Member Type]]="Spouse",Table2[[#This Row],[Product Option]]="My Value Plus Life &amp; Funeral",_xlfn.XLOOKUP(B382,Table2[Main Member Link ID],Table2[Benefit Name],0)=Lookups!$D$17),Lookups!$D$21,
IF(AND(Table2[[#This Row],[Member Type]]="Child",Table2[[#This Row],[Product Option]]="My Value Plus Life &amp; Funeral",_xlfn.XLOOKUP(B383,Table2[Main Member Link ID],Table2[Benefit Name],0)=Lookups!$D$14),"",
IF(AND(Table2[[#This Row],[Member Type]]="Child",Table2[[#This Row],[Product Option]]="My Value Plus Life &amp; Funeral",_xlfn.XLOOKUP(B383,Table2[Main Member Link ID],Table2[Benefit Name],0)=Lookups!$D$15),"",
IF(AND(Table2[[#This Row],[Member Type]]="Child",Table2[[#This Row],[Product Option]]="My Value Plus Life &amp; Funeral",_xlfn.XLOOKUP(B383,Table2[Main Member Link ID],Table2[Benefit Name],0)=Lookups!$D$16),Lookups!$D$24,
IF(AND(Table2[[#This Row],[Member Type]]="Child",Table2[[#This Row],[Product Option]]="My Value Plus Life &amp; Funeral",_xlfn.XLOOKUP(B383,Table2[Main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Funeral",_xlfn.XLOOKUP(B383,Table2[Main Member Link ID],Table2[Benefit Name],0)&lt;&gt;Lookups!$D$14),
IF(_xlfn.XLOOKUP(B383,Table2[Main Member Link ID],Table2[Benefit Name],0)=0,"",_xlfn.XLOOKUP(B383,Table2[Main Member Link ID],Table2[Benefit Name],0)),"")))))))))))))))</f>
        <v/>
      </c>
      <c r="AF383" s="327" t="str">
        <f>IF(AND(Table2[[#This Row],[Member Type]]="Main Member",Table2[[#This Row],[Product Option]]="My Value Plus Life &amp; Funeral"),Lookups!$D$15,
IF(AND(Table2[[#This Row],[Member Type]]="Spouse",Table2[[#This Row],[Product Option]]="My Value Plus Life &amp; Funeral",_xlfn.XLOOKUP(B383,Table2[Main Member Link ID],Table2[Benefit Name],0)=Lookups!$D$14),"",
IF(AND(Table2[[#This Row],[Member Type]]="Spouse",Table2[[#This Row],[Product Option]]="My Value Plus Life &amp; Funeral",_xlfn.XLOOKUP(B382,Table2[Main Member Link ID],Table2[Benefit Name],0)=Lookups!$D$16),"",
IF(AND(Table2[[#This Row],[Member Type]]="Spouse",Table2[[#This Row],[Product Option]]="My Value Plus Life &amp; Funeral",_xlfn.XLOOKUP(B382,Table2[Main Member Link ID],Table2[Benefit Name],0)=Lookups!$D$15),"",
IF(AND(Table2[[#This Row],[Member Type]]="Spouse",Table2[[#This Row],[Product Option]]="My Value Plus Life &amp; Funeral",_xlfn.XLOOKUP(B382,Table2[Main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Funeral",_xlfn.XLOOKUP(B383,Table2[Main Member Link ID],Table2[Benefit Name],0)&lt;&gt;Lookups!$D$15),
IF(_xlfn.XLOOKUP(B383,Table2[Main Member Link ID],Table2[Benefit Name],0)=0,"",_xlfn.XLOOKUP(B383,Table2[Main Member Link ID],Table2[Benefit Name],0)),"")
))))))</f>
        <v/>
      </c>
      <c r="AG383" s="327" t="str">
        <f>IF(AND(Table2[[#This Row],[Member Type]]="Main Member",Table2[[#This Row],[Product Option]]="My Value Plus Life &amp; Funeral"),Lookups!$D$16,
IF(AND(Table2[[#This Row],[Member Type]]="Spouse",Table2[[#This Row],[Product Option]]="My Value Plus Life &amp; Funeral",_xlfn.XLOOKUP(B383,Table2[Main Member Link ID],Table2[Benefit Name],0)=Lookups!$D$14),"",
IF(AND(Table2[[#This Row],[Member Type]]="Spouse",Table2[[#This Row],[Product Option]]="My Value Plus Life &amp; Funeral",_xlfn.XLOOKUP(B382,Table2[Main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Funeral",_xlfn.XLOOKUP(B383,Table2[Main Member Link ID],Table2[Benefit Name],0)&lt;&gt;Lookups!$D$16),
IF(_xlfn.XLOOKUP(B383,Table2[Main Member Link ID],Table2[Benefit Name],0)=0,"",_xlfn.XLOOKUP(B383,Table2[Main Member Link ID],Table2[Benefit Name],0)),"")
))))</f>
        <v/>
      </c>
      <c r="AH383" s="327" t="str">
        <f>IF(AND(Table2[[#This Row],[Member Type]]="Main Member",Table2[[#This Row],[Product Option]]="My Value Plus Life &amp; Funeral"),Lookups!$D$17,
IF(AND(Table2[[#This Row],[Member Type]]="Spouse",Table2[[#This Row],[Product Option]]="My Value Plus Life &amp; Funeral",_xlfn.XLOOKUP(B383,Table2[Main Member Link ID],Table2[Benefit Name],0)=Lookups!$D$14),"",
IF(AND(Table2[[#This Row],[Member Type]]="Spouse",Table2[[#This Row],[Product Option]]="My Value Plus Life &amp; Funeral",_xlfn.XLOOKUP(B382,Table2[Main Member Link ID],Table2[Benefit Name],0)=Lookups!$D$16),"",
IF(AND(Table2[[#This Row],[Member Type]]="Child",Table2[[#This Row],[Product Option]]="My Value Plus Life &amp; Funeral"),"",
IF(AND(Table2[[#This Row],[Member Type]]="Child",Table2[[#This Row],[Product Option]]="My Value Plus Life &amp; Funeral",_xlfn.XLOOKUP(B383,Table2[Main Member Link ID],Table2[Benefit Name],0)=Lookups!$D$15),"",
IF(AND(OR(Table2[[#This Row],[Member Type]]="Spouse",Table2[[#This Row],[Member Type]]="Child"),Table2[[#This Row],[Product Option]]="My Value Plus Life &amp; Funeral",_xlfn.XLOOKUP(B383,Table2[Main Member Link ID],Table2[Benefit Name],0)&lt;&gt;Lookups!$D$17),
IF(_xlfn.XLOOKUP(B383,Table2[Main Member Link ID],Table2[Benefit Name],0)=0,"",_xlfn.XLOOKUP(B383,Table2[Main Member Link ID],Table2[Benefit Name],0)),""))))))</f>
        <v/>
      </c>
      <c r="AI383" s="328" t="str">
        <f>IF(AND(Table2[[#This Row],[Member Type]]="Main Member",Table2[[#This Row],[Table Lookup for Life Cover]]="MM_LIFE",Table2[[#This Row],[Age Next Birthday]]&lt;56),1,
IF(AND(Table2[[#This Row],[Member Type]]="Main Member",Table2[[#This Row],[Table Lookup for Life Cover]]="MM_LIFE",Table2[[#This Row],[Age Next Birthday]]&gt;=56),2,
""))</f>
        <v/>
      </c>
      <c r="AJ383" s="328">
        <f>IF(OR(Table2[[#This Row],[Member Type]]="Main Member",Table2[[#This Row],[Main Member Link ID]]=B382),1,0)</f>
        <v>1</v>
      </c>
      <c r="AK383" s="328">
        <f>IF(Table2[[#This Row],[Member Type]]=0,0,
IF(OR(Table2[[#This Row],[Member Type]]="Main Member",Table2[[#This Row],[Main Member Link ID]]&lt;&gt;B383),COUNTIFS(B:B,Table2[[#This Row],[Main Member Link ID]]),
COUNTIFS(B:B,Table2[[#This Row],[Main Member Link ID]],A:A,Table2[[#This Row],[Member Type]])))</f>
        <v>0</v>
      </c>
    </row>
    <row r="384" spans="1:37" x14ac:dyDescent="0.3">
      <c r="A384" s="284">
        <f>Table13[[#This Row],[Member Type]]</f>
        <v>0</v>
      </c>
      <c r="B384" s="284">
        <f>Table13[[#This Row],[Main Member Link ID]]</f>
        <v>0</v>
      </c>
      <c r="C384" s="284">
        <f>Table13[[#This Row],[ID Number]]</f>
        <v>0</v>
      </c>
      <c r="D384" s="285">
        <f>Table13[[#This Row],[Date Of Birth]]</f>
        <v>0</v>
      </c>
      <c r="E384" s="285">
        <f>Table13[[#This Row],[Commencement Date]]</f>
        <v>0</v>
      </c>
      <c r="F384" s="284">
        <f t="shared" si="35"/>
        <v>1</v>
      </c>
      <c r="G384" s="284">
        <f t="shared" si="36"/>
        <v>25</v>
      </c>
      <c r="H384" s="286">
        <f>Table13[[#This Row],[Product Option]]</f>
        <v>0</v>
      </c>
      <c r="I384" s="284">
        <f>IF(AND($A384="Main Member",Table2[[#This Row],[Product Option]]="My Value Plus Life"),"MM_LIFE",
IF(AND($A384="Spouse",Table2[[#This Row],[Product Option]]="My Value Plus Life"),"SP_LIFE",
IF(AND($A384="Main Member",Table2[[#This Row],[Product Option]]="My Value Plus Life &amp; Funeral"),"MM_LIFE",
IF(AND($A384="Spouse",Table2[[#This Row],[Product Option]]="My Value Plus Life &amp; Funeral"),_xlfn.XLOOKUP(Table2[[#This Row],[Benefit Name]],Lookups!$D$18:$D$23,Lookups!$E$18:$E$23,0),
0))))</f>
        <v>0</v>
      </c>
      <c r="J384" s="284">
        <f>IF($I384="","",
IF($I384="MM_LIFE",INDEX('Quotation Tool'!$S$54:$V$60,MATCH($T384,'Quotation Tool'!$S$54:$S$60,0),4),
IF($I384="SP_LIFE",_xlfn.XLOOKUP(B383,$B:$B,$J:$J,0),0)))</f>
        <v>0</v>
      </c>
      <c r="K384" s="287">
        <f t="shared" ca="1" si="40"/>
        <v>0</v>
      </c>
      <c r="L384" s="288">
        <f t="shared" ca="1" si="41"/>
        <v>0</v>
      </c>
      <c r="M384" s="289">
        <f t="shared" ca="1" si="37"/>
        <v>0</v>
      </c>
      <c r="N384" s="286">
        <f>Table13[[#This Row],[Benefit Option]]</f>
        <v>0</v>
      </c>
      <c r="O384" s="284">
        <f>IF(OR(Table2[[#This Row],[Member Type]]="Spouse",Table2[[#This Row],[Member Type]]="Child"),0,
IF(_xlfn.XLOOKUP($N384,Lookups!$D$13:$D$27,Lookups!$F$13:$F$27,0)=Table2[[#This Row],[Table Lookup for Life Cover]],0,
_xlfn.XLOOKUP($N384,Lookups!$D$13:$D$27,Lookups!$F$13:$F$27,0)))</f>
        <v>0</v>
      </c>
      <c r="P384" s="284">
        <f>IF(Table2[[#This Row],[Table Lookup for Funeral]]=0,0,IFERROR(INDEX('Quotation Tool'!$S$54:$V$60,MATCH($T384,'Quotation Tool'!$S$54:$S$60,0),3),0))</f>
        <v>0</v>
      </c>
      <c r="Q384" s="288">
        <f ca="1">IF(OR(Table2[[#This Row],[Benefit Name]]="My Value Plus Life - Main Member",Table2[[#This Row],[Benefit Name]]="My Value Plus Life - Spouse"),0,
IFERROR(VLOOKUP($G384,INDIRECT($O384),$P384,FALSE),0))</f>
        <v>0</v>
      </c>
      <c r="R384" s="288">
        <f ca="1">IF(OR(Table2[[#This Row],[Benefit Name]]="My Value Plus Life - Main Member",Table2[[#This Row],[Benefit Name]]="My Value Plus Life - Spouse"),0,
IFERROR(VLOOKUP($G384,INDIRECT($O384),$P384+1,FALSE),0))</f>
        <v>0</v>
      </c>
      <c r="S384" s="289">
        <f t="shared" ca="1" si="38"/>
        <v>0</v>
      </c>
      <c r="T384" s="284" t="str">
        <f>IF(Table13[[#This Row],[Premium Waiver]]="","None",Table13[[#This Row],[Premium Waiver]])</f>
        <v>None</v>
      </c>
      <c r="U384" s="284">
        <f>Table13[[#This Row],[VAPs Options]]</f>
        <v>0</v>
      </c>
      <c r="V384" s="284">
        <f>Table13[[#This Row],[Annual Increase Option]]</f>
        <v>0</v>
      </c>
      <c r="W384" s="290">
        <f>Table13[[#This Row],[Life Cover Amount]]</f>
        <v>0</v>
      </c>
      <c r="X384" s="290">
        <f>Table13[[#This Row],[Funeral Cover Amount]]</f>
        <v>0</v>
      </c>
      <c r="Y38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8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84" s="301">
        <f t="shared" ca="1" si="39"/>
        <v>0</v>
      </c>
      <c r="AB384" s="298"/>
      <c r="AC384" s="326" t="str">
        <f>IF(Table2[[#This Row],[Member Type]]="Main Member",Lookups!$C$13,
IF(Table2[[#This Row],[Member Type]]="Spouse",_xlfn.XLOOKUP(B384,Table2[Main Member Link ID],Table2[Product Option],0),
IF(AND(Table2[[#This Row],[Member Type]]="Child",_xlfn.XLOOKUP(B384,Table2[Main Member Link ID],Table2[Product Option],0)&lt;&gt;"My Value Plus Life"),Lookups!$C$24,
IF(AND(OR(Table2[[#This Row],[Member Type]]="Parent",Table2[[#This Row],[Member Type]]="Extended"),_xlfn.XLOOKUP(B384,Table2[Main Member Link ID],Table2[Product Option],0)&lt;&gt;"My Value Plus Life"),Lookups!$C$26,""))))</f>
        <v/>
      </c>
      <c r="AD384" s="326" t="str">
        <f>IF(Table2[[#This Row],[Member Type]]="Main Member",Lookups!$C$14,"")</f>
        <v/>
      </c>
      <c r="AE38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Funeral",_xlfn.XLOOKUP(B384,Table2[Main Member Link ID],Table2[Benefit Name],0)=Lookups!$D$14),"",
IF(AND(Table2[[#This Row],[Member Type]]="Spouse",Table2[[#This Row],[Product Option]]="My Value Plus Life &amp; Funeral",_xlfn.XLOOKUP(B383,Table2[Main Member Link ID],Table2[Benefit Name],0)=Lookups!$D$15),Lookups!$D$20,
IF(AND(Table2[[#This Row],[Member Type]]="Spouse",Table2[[#This Row],[Product Option]]="My Value Plus Life &amp; Funeral",_xlfn.XLOOKUP(B383,Table2[Main Member Link ID],Table2[Benefit Name],0)=Lookups!$D$16),"",
IF(AND(Table2[[#This Row],[Member Type]]="Spouse",Table2[[#This Row],[Product Option]]="My Value Plus Life &amp; Funeral",_xlfn.XLOOKUP(B383,Table2[Main Member Link ID],Table2[Benefit Name],0)=Lookups!$D$17),Lookups!$D$21,
IF(AND(Table2[[#This Row],[Member Type]]="Child",Table2[[#This Row],[Product Option]]="My Value Plus Life &amp; Funeral",_xlfn.XLOOKUP(B384,Table2[Main Member Link ID],Table2[Benefit Name],0)=Lookups!$D$14),"",
IF(AND(Table2[[#This Row],[Member Type]]="Child",Table2[[#This Row],[Product Option]]="My Value Plus Life &amp; Funeral",_xlfn.XLOOKUP(B384,Table2[Main Member Link ID],Table2[Benefit Name],0)=Lookups!$D$15),"",
IF(AND(Table2[[#This Row],[Member Type]]="Child",Table2[[#This Row],[Product Option]]="My Value Plus Life &amp; Funeral",_xlfn.XLOOKUP(B384,Table2[Main Member Link ID],Table2[Benefit Name],0)=Lookups!$D$16),Lookups!$D$24,
IF(AND(Table2[[#This Row],[Member Type]]="Child",Table2[[#This Row],[Product Option]]="My Value Plus Life &amp; Funeral",_xlfn.XLOOKUP(B384,Table2[Main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Funeral",_xlfn.XLOOKUP(B384,Table2[Main Member Link ID],Table2[Benefit Name],0)&lt;&gt;Lookups!$D$14),
IF(_xlfn.XLOOKUP(B384,Table2[Main Member Link ID],Table2[Benefit Name],0)=0,"",_xlfn.XLOOKUP(B384,Table2[Main Member Link ID],Table2[Benefit Name],0)),"")))))))))))))))</f>
        <v/>
      </c>
      <c r="AF384" s="327" t="str">
        <f>IF(AND(Table2[[#This Row],[Member Type]]="Main Member",Table2[[#This Row],[Product Option]]="My Value Plus Life &amp; Funeral"),Lookups!$D$15,
IF(AND(Table2[[#This Row],[Member Type]]="Spouse",Table2[[#This Row],[Product Option]]="My Value Plus Life &amp; Funeral",_xlfn.XLOOKUP(B384,Table2[Main Member Link ID],Table2[Benefit Name],0)=Lookups!$D$14),"",
IF(AND(Table2[[#This Row],[Member Type]]="Spouse",Table2[[#This Row],[Product Option]]="My Value Plus Life &amp; Funeral",_xlfn.XLOOKUP(B383,Table2[Main Member Link ID],Table2[Benefit Name],0)=Lookups!$D$16),"",
IF(AND(Table2[[#This Row],[Member Type]]="Spouse",Table2[[#This Row],[Product Option]]="My Value Plus Life &amp; Funeral",_xlfn.XLOOKUP(B383,Table2[Main Member Link ID],Table2[Benefit Name],0)=Lookups!$D$15),"",
IF(AND(Table2[[#This Row],[Member Type]]="Spouse",Table2[[#This Row],[Product Option]]="My Value Plus Life &amp; Funeral",_xlfn.XLOOKUP(B383,Table2[Main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Funeral",_xlfn.XLOOKUP(B384,Table2[Main Member Link ID],Table2[Benefit Name],0)&lt;&gt;Lookups!$D$15),
IF(_xlfn.XLOOKUP(B384,Table2[Main Member Link ID],Table2[Benefit Name],0)=0,"",_xlfn.XLOOKUP(B384,Table2[Main Member Link ID],Table2[Benefit Name],0)),"")
))))))</f>
        <v/>
      </c>
      <c r="AG384" s="327" t="str">
        <f>IF(AND(Table2[[#This Row],[Member Type]]="Main Member",Table2[[#This Row],[Product Option]]="My Value Plus Life &amp; Funeral"),Lookups!$D$16,
IF(AND(Table2[[#This Row],[Member Type]]="Spouse",Table2[[#This Row],[Product Option]]="My Value Plus Life &amp; Funeral",_xlfn.XLOOKUP(B384,Table2[Main Member Link ID],Table2[Benefit Name],0)=Lookups!$D$14),"",
IF(AND(Table2[[#This Row],[Member Type]]="Spouse",Table2[[#This Row],[Product Option]]="My Value Plus Life &amp; Funeral",_xlfn.XLOOKUP(B383,Table2[Main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Funeral",_xlfn.XLOOKUP(B384,Table2[Main Member Link ID],Table2[Benefit Name],0)&lt;&gt;Lookups!$D$16),
IF(_xlfn.XLOOKUP(B384,Table2[Main Member Link ID],Table2[Benefit Name],0)=0,"",_xlfn.XLOOKUP(B384,Table2[Main Member Link ID],Table2[Benefit Name],0)),"")
))))</f>
        <v/>
      </c>
      <c r="AH384" s="327" t="str">
        <f>IF(AND(Table2[[#This Row],[Member Type]]="Main Member",Table2[[#This Row],[Product Option]]="My Value Plus Life &amp; Funeral"),Lookups!$D$17,
IF(AND(Table2[[#This Row],[Member Type]]="Spouse",Table2[[#This Row],[Product Option]]="My Value Plus Life &amp; Funeral",_xlfn.XLOOKUP(B384,Table2[Main Member Link ID],Table2[Benefit Name],0)=Lookups!$D$14),"",
IF(AND(Table2[[#This Row],[Member Type]]="Spouse",Table2[[#This Row],[Product Option]]="My Value Plus Life &amp; Funeral",_xlfn.XLOOKUP(B383,Table2[Main Member Link ID],Table2[Benefit Name],0)=Lookups!$D$16),"",
IF(AND(Table2[[#This Row],[Member Type]]="Child",Table2[[#This Row],[Product Option]]="My Value Plus Life &amp; Funeral"),"",
IF(AND(Table2[[#This Row],[Member Type]]="Child",Table2[[#This Row],[Product Option]]="My Value Plus Life &amp; Funeral",_xlfn.XLOOKUP(B384,Table2[Main Member Link ID],Table2[Benefit Name],0)=Lookups!$D$15),"",
IF(AND(OR(Table2[[#This Row],[Member Type]]="Spouse",Table2[[#This Row],[Member Type]]="Child"),Table2[[#This Row],[Product Option]]="My Value Plus Life &amp; Funeral",_xlfn.XLOOKUP(B384,Table2[Main Member Link ID],Table2[Benefit Name],0)&lt;&gt;Lookups!$D$17),
IF(_xlfn.XLOOKUP(B384,Table2[Main Member Link ID],Table2[Benefit Name],0)=0,"",_xlfn.XLOOKUP(B384,Table2[Main Member Link ID],Table2[Benefit Name],0)),""))))))</f>
        <v/>
      </c>
      <c r="AI384" s="328" t="str">
        <f>IF(AND(Table2[[#This Row],[Member Type]]="Main Member",Table2[[#This Row],[Table Lookup for Life Cover]]="MM_LIFE",Table2[[#This Row],[Age Next Birthday]]&lt;56),1,
IF(AND(Table2[[#This Row],[Member Type]]="Main Member",Table2[[#This Row],[Table Lookup for Life Cover]]="MM_LIFE",Table2[[#This Row],[Age Next Birthday]]&gt;=56),2,
""))</f>
        <v/>
      </c>
      <c r="AJ384" s="328">
        <f>IF(OR(Table2[[#This Row],[Member Type]]="Main Member",Table2[[#This Row],[Main Member Link ID]]=B383),1,0)</f>
        <v>1</v>
      </c>
      <c r="AK384" s="328">
        <f>IF(Table2[[#This Row],[Member Type]]=0,0,
IF(OR(Table2[[#This Row],[Member Type]]="Main Member",Table2[[#This Row],[Main Member Link ID]]&lt;&gt;B384),COUNTIFS(B:B,Table2[[#This Row],[Main Member Link ID]]),
COUNTIFS(B:B,Table2[[#This Row],[Main Member Link ID]],A:A,Table2[[#This Row],[Member Type]])))</f>
        <v>0</v>
      </c>
    </row>
    <row r="385" spans="1:37" x14ac:dyDescent="0.3">
      <c r="A385" s="284">
        <f>Table13[[#This Row],[Member Type]]</f>
        <v>0</v>
      </c>
      <c r="B385" s="284">
        <f>Table13[[#This Row],[Main Member Link ID]]</f>
        <v>0</v>
      </c>
      <c r="C385" s="284">
        <f>Table13[[#This Row],[ID Number]]</f>
        <v>0</v>
      </c>
      <c r="D385" s="285">
        <f>Table13[[#This Row],[Date Of Birth]]</f>
        <v>0</v>
      </c>
      <c r="E385" s="285">
        <f>Table13[[#This Row],[Commencement Date]]</f>
        <v>0</v>
      </c>
      <c r="F385" s="284">
        <f t="shared" si="35"/>
        <v>1</v>
      </c>
      <c r="G385" s="284">
        <f t="shared" si="36"/>
        <v>25</v>
      </c>
      <c r="H385" s="286">
        <f>Table13[[#This Row],[Product Option]]</f>
        <v>0</v>
      </c>
      <c r="I385" s="284">
        <f>IF(AND($A385="Main Member",Table2[[#This Row],[Product Option]]="My Value Plus Life"),"MM_LIFE",
IF(AND($A385="Spouse",Table2[[#This Row],[Product Option]]="My Value Plus Life"),"SP_LIFE",
IF(AND($A385="Main Member",Table2[[#This Row],[Product Option]]="My Value Plus Life &amp; Funeral"),"MM_LIFE",
IF(AND($A385="Spouse",Table2[[#This Row],[Product Option]]="My Value Plus Life &amp; Funeral"),_xlfn.XLOOKUP(Table2[[#This Row],[Benefit Name]],Lookups!$D$18:$D$23,Lookups!$E$18:$E$23,0),
0))))</f>
        <v>0</v>
      </c>
      <c r="J385" s="284">
        <f>IF($I385="","",
IF($I385="MM_LIFE",INDEX('Quotation Tool'!$S$54:$V$60,MATCH($T385,'Quotation Tool'!$S$54:$S$60,0),4),
IF($I385="SP_LIFE",_xlfn.XLOOKUP(B384,$B:$B,$J:$J,0),0)))</f>
        <v>0</v>
      </c>
      <c r="K385" s="287">
        <f t="shared" ca="1" si="40"/>
        <v>0</v>
      </c>
      <c r="L385" s="288">
        <f t="shared" ca="1" si="41"/>
        <v>0</v>
      </c>
      <c r="M385" s="289">
        <f t="shared" ca="1" si="37"/>
        <v>0</v>
      </c>
      <c r="N385" s="286">
        <f>Table13[[#This Row],[Benefit Option]]</f>
        <v>0</v>
      </c>
      <c r="O385" s="284">
        <f>IF(OR(Table2[[#This Row],[Member Type]]="Spouse",Table2[[#This Row],[Member Type]]="Child"),0,
IF(_xlfn.XLOOKUP($N385,Lookups!$D$13:$D$27,Lookups!$F$13:$F$27,0)=Table2[[#This Row],[Table Lookup for Life Cover]],0,
_xlfn.XLOOKUP($N385,Lookups!$D$13:$D$27,Lookups!$F$13:$F$27,0)))</f>
        <v>0</v>
      </c>
      <c r="P385" s="284">
        <f>IF(Table2[[#This Row],[Table Lookup for Funeral]]=0,0,IFERROR(INDEX('Quotation Tool'!$S$54:$V$60,MATCH($T385,'Quotation Tool'!$S$54:$S$60,0),3),0))</f>
        <v>0</v>
      </c>
      <c r="Q385" s="288">
        <f ca="1">IF(OR(Table2[[#This Row],[Benefit Name]]="My Value Plus Life - Main Member",Table2[[#This Row],[Benefit Name]]="My Value Plus Life - Spouse"),0,
IFERROR(VLOOKUP($G385,INDIRECT($O385),$P385,FALSE),0))</f>
        <v>0</v>
      </c>
      <c r="R385" s="288">
        <f ca="1">IF(OR(Table2[[#This Row],[Benefit Name]]="My Value Plus Life - Main Member",Table2[[#This Row],[Benefit Name]]="My Value Plus Life - Spouse"),0,
IFERROR(VLOOKUP($G385,INDIRECT($O385),$P385+1,FALSE),0))</f>
        <v>0</v>
      </c>
      <c r="S385" s="289">
        <f t="shared" ca="1" si="38"/>
        <v>0</v>
      </c>
      <c r="T385" s="284" t="str">
        <f>IF(Table13[[#This Row],[Premium Waiver]]="","None",Table13[[#This Row],[Premium Waiver]])</f>
        <v>None</v>
      </c>
      <c r="U385" s="284">
        <f>Table13[[#This Row],[VAPs Options]]</f>
        <v>0</v>
      </c>
      <c r="V385" s="284">
        <f>Table13[[#This Row],[Annual Increase Option]]</f>
        <v>0</v>
      </c>
      <c r="W385" s="290">
        <f>Table13[[#This Row],[Life Cover Amount]]</f>
        <v>0</v>
      </c>
      <c r="X385" s="290">
        <f>Table13[[#This Row],[Funeral Cover Amount]]</f>
        <v>0</v>
      </c>
      <c r="Y38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8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85" s="301">
        <f t="shared" ca="1" si="39"/>
        <v>0</v>
      </c>
      <c r="AB385" s="298"/>
      <c r="AC385" s="326" t="str">
        <f>IF(Table2[[#This Row],[Member Type]]="Main Member",Lookups!$C$13,
IF(Table2[[#This Row],[Member Type]]="Spouse",_xlfn.XLOOKUP(B385,Table2[Main Member Link ID],Table2[Product Option],0),
IF(AND(Table2[[#This Row],[Member Type]]="Child",_xlfn.XLOOKUP(B385,Table2[Main Member Link ID],Table2[Product Option],0)&lt;&gt;"My Value Plus Life"),Lookups!$C$24,
IF(AND(OR(Table2[[#This Row],[Member Type]]="Parent",Table2[[#This Row],[Member Type]]="Extended"),_xlfn.XLOOKUP(B385,Table2[Main Member Link ID],Table2[Product Option],0)&lt;&gt;"My Value Plus Life"),Lookups!$C$26,""))))</f>
        <v/>
      </c>
      <c r="AD385" s="326" t="str">
        <f>IF(Table2[[#This Row],[Member Type]]="Main Member",Lookups!$C$14,"")</f>
        <v/>
      </c>
      <c r="AE38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Funeral",_xlfn.XLOOKUP(B385,Table2[Main Member Link ID],Table2[Benefit Name],0)=Lookups!$D$14),"",
IF(AND(Table2[[#This Row],[Member Type]]="Spouse",Table2[[#This Row],[Product Option]]="My Value Plus Life &amp; Funeral",_xlfn.XLOOKUP(B384,Table2[Main Member Link ID],Table2[Benefit Name],0)=Lookups!$D$15),Lookups!$D$20,
IF(AND(Table2[[#This Row],[Member Type]]="Spouse",Table2[[#This Row],[Product Option]]="My Value Plus Life &amp; Funeral",_xlfn.XLOOKUP(B384,Table2[Main Member Link ID],Table2[Benefit Name],0)=Lookups!$D$16),"",
IF(AND(Table2[[#This Row],[Member Type]]="Spouse",Table2[[#This Row],[Product Option]]="My Value Plus Life &amp; Funeral",_xlfn.XLOOKUP(B384,Table2[Main Member Link ID],Table2[Benefit Name],0)=Lookups!$D$17),Lookups!$D$21,
IF(AND(Table2[[#This Row],[Member Type]]="Child",Table2[[#This Row],[Product Option]]="My Value Plus Life &amp; Funeral",_xlfn.XLOOKUP(B385,Table2[Main Member Link ID],Table2[Benefit Name],0)=Lookups!$D$14),"",
IF(AND(Table2[[#This Row],[Member Type]]="Child",Table2[[#This Row],[Product Option]]="My Value Plus Life &amp; Funeral",_xlfn.XLOOKUP(B385,Table2[Main Member Link ID],Table2[Benefit Name],0)=Lookups!$D$15),"",
IF(AND(Table2[[#This Row],[Member Type]]="Child",Table2[[#This Row],[Product Option]]="My Value Plus Life &amp; Funeral",_xlfn.XLOOKUP(B385,Table2[Main Member Link ID],Table2[Benefit Name],0)=Lookups!$D$16),Lookups!$D$24,
IF(AND(Table2[[#This Row],[Member Type]]="Child",Table2[[#This Row],[Product Option]]="My Value Plus Life &amp; Funeral",_xlfn.XLOOKUP(B385,Table2[Main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Funeral",_xlfn.XLOOKUP(B385,Table2[Main Member Link ID],Table2[Benefit Name],0)&lt;&gt;Lookups!$D$14),
IF(_xlfn.XLOOKUP(B385,Table2[Main Member Link ID],Table2[Benefit Name],0)=0,"",_xlfn.XLOOKUP(B385,Table2[Main Member Link ID],Table2[Benefit Name],0)),"")))))))))))))))</f>
        <v/>
      </c>
      <c r="AF385" s="327" t="str">
        <f>IF(AND(Table2[[#This Row],[Member Type]]="Main Member",Table2[[#This Row],[Product Option]]="My Value Plus Life &amp; Funeral"),Lookups!$D$15,
IF(AND(Table2[[#This Row],[Member Type]]="Spouse",Table2[[#This Row],[Product Option]]="My Value Plus Life &amp; Funeral",_xlfn.XLOOKUP(B385,Table2[Main Member Link ID],Table2[Benefit Name],0)=Lookups!$D$14),"",
IF(AND(Table2[[#This Row],[Member Type]]="Spouse",Table2[[#This Row],[Product Option]]="My Value Plus Life &amp; Funeral",_xlfn.XLOOKUP(B384,Table2[Main Member Link ID],Table2[Benefit Name],0)=Lookups!$D$16),"",
IF(AND(Table2[[#This Row],[Member Type]]="Spouse",Table2[[#This Row],[Product Option]]="My Value Plus Life &amp; Funeral",_xlfn.XLOOKUP(B384,Table2[Main Member Link ID],Table2[Benefit Name],0)=Lookups!$D$15),"",
IF(AND(Table2[[#This Row],[Member Type]]="Spouse",Table2[[#This Row],[Product Option]]="My Value Plus Life &amp; Funeral",_xlfn.XLOOKUP(B384,Table2[Main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Funeral",_xlfn.XLOOKUP(B385,Table2[Main Member Link ID],Table2[Benefit Name],0)&lt;&gt;Lookups!$D$15),
IF(_xlfn.XLOOKUP(B385,Table2[Main Member Link ID],Table2[Benefit Name],0)=0,"",_xlfn.XLOOKUP(B385,Table2[Main Member Link ID],Table2[Benefit Name],0)),"")
))))))</f>
        <v/>
      </c>
      <c r="AG385" s="327" t="str">
        <f>IF(AND(Table2[[#This Row],[Member Type]]="Main Member",Table2[[#This Row],[Product Option]]="My Value Plus Life &amp; Funeral"),Lookups!$D$16,
IF(AND(Table2[[#This Row],[Member Type]]="Spouse",Table2[[#This Row],[Product Option]]="My Value Plus Life &amp; Funeral",_xlfn.XLOOKUP(B385,Table2[Main Member Link ID],Table2[Benefit Name],0)=Lookups!$D$14),"",
IF(AND(Table2[[#This Row],[Member Type]]="Spouse",Table2[[#This Row],[Product Option]]="My Value Plus Life &amp; Funeral",_xlfn.XLOOKUP(B384,Table2[Main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Funeral",_xlfn.XLOOKUP(B385,Table2[Main Member Link ID],Table2[Benefit Name],0)&lt;&gt;Lookups!$D$16),
IF(_xlfn.XLOOKUP(B385,Table2[Main Member Link ID],Table2[Benefit Name],0)=0,"",_xlfn.XLOOKUP(B385,Table2[Main Member Link ID],Table2[Benefit Name],0)),"")
))))</f>
        <v/>
      </c>
      <c r="AH385" s="327" t="str">
        <f>IF(AND(Table2[[#This Row],[Member Type]]="Main Member",Table2[[#This Row],[Product Option]]="My Value Plus Life &amp; Funeral"),Lookups!$D$17,
IF(AND(Table2[[#This Row],[Member Type]]="Spouse",Table2[[#This Row],[Product Option]]="My Value Plus Life &amp; Funeral",_xlfn.XLOOKUP(B385,Table2[Main Member Link ID],Table2[Benefit Name],0)=Lookups!$D$14),"",
IF(AND(Table2[[#This Row],[Member Type]]="Spouse",Table2[[#This Row],[Product Option]]="My Value Plus Life &amp; Funeral",_xlfn.XLOOKUP(B384,Table2[Main Member Link ID],Table2[Benefit Name],0)=Lookups!$D$16),"",
IF(AND(Table2[[#This Row],[Member Type]]="Child",Table2[[#This Row],[Product Option]]="My Value Plus Life &amp; Funeral"),"",
IF(AND(Table2[[#This Row],[Member Type]]="Child",Table2[[#This Row],[Product Option]]="My Value Plus Life &amp; Funeral",_xlfn.XLOOKUP(B385,Table2[Main Member Link ID],Table2[Benefit Name],0)=Lookups!$D$15),"",
IF(AND(OR(Table2[[#This Row],[Member Type]]="Spouse",Table2[[#This Row],[Member Type]]="Child"),Table2[[#This Row],[Product Option]]="My Value Plus Life &amp; Funeral",_xlfn.XLOOKUP(B385,Table2[Main Member Link ID],Table2[Benefit Name],0)&lt;&gt;Lookups!$D$17),
IF(_xlfn.XLOOKUP(B385,Table2[Main Member Link ID],Table2[Benefit Name],0)=0,"",_xlfn.XLOOKUP(B385,Table2[Main Member Link ID],Table2[Benefit Name],0)),""))))))</f>
        <v/>
      </c>
      <c r="AI385" s="328" t="str">
        <f>IF(AND(Table2[[#This Row],[Member Type]]="Main Member",Table2[[#This Row],[Table Lookup for Life Cover]]="MM_LIFE",Table2[[#This Row],[Age Next Birthday]]&lt;56),1,
IF(AND(Table2[[#This Row],[Member Type]]="Main Member",Table2[[#This Row],[Table Lookup for Life Cover]]="MM_LIFE",Table2[[#This Row],[Age Next Birthday]]&gt;=56),2,
""))</f>
        <v/>
      </c>
      <c r="AJ385" s="328">
        <f>IF(OR(Table2[[#This Row],[Member Type]]="Main Member",Table2[[#This Row],[Main Member Link ID]]=B384),1,0)</f>
        <v>1</v>
      </c>
      <c r="AK385" s="328">
        <f>IF(Table2[[#This Row],[Member Type]]=0,0,
IF(OR(Table2[[#This Row],[Member Type]]="Main Member",Table2[[#This Row],[Main Member Link ID]]&lt;&gt;B385),COUNTIFS(B:B,Table2[[#This Row],[Main Member Link ID]]),
COUNTIFS(B:B,Table2[[#This Row],[Main Member Link ID]],A:A,Table2[[#This Row],[Member Type]])))</f>
        <v>0</v>
      </c>
    </row>
    <row r="386" spans="1:37" x14ac:dyDescent="0.3">
      <c r="A386" s="284">
        <f>Table13[[#This Row],[Member Type]]</f>
        <v>0</v>
      </c>
      <c r="B386" s="284">
        <f>Table13[[#This Row],[Main Member Link ID]]</f>
        <v>0</v>
      </c>
      <c r="C386" s="284">
        <f>Table13[[#This Row],[ID Number]]</f>
        <v>0</v>
      </c>
      <c r="D386" s="285">
        <f>Table13[[#This Row],[Date Of Birth]]</f>
        <v>0</v>
      </c>
      <c r="E386" s="285">
        <f>Table13[[#This Row],[Commencement Date]]</f>
        <v>0</v>
      </c>
      <c r="F386" s="284">
        <f t="shared" si="35"/>
        <v>1</v>
      </c>
      <c r="G386" s="284">
        <f t="shared" si="36"/>
        <v>25</v>
      </c>
      <c r="H386" s="286">
        <f>Table13[[#This Row],[Product Option]]</f>
        <v>0</v>
      </c>
      <c r="I386" s="284">
        <f>IF(AND($A386="Main Member",Table2[[#This Row],[Product Option]]="My Value Plus Life"),"MM_LIFE",
IF(AND($A386="Spouse",Table2[[#This Row],[Product Option]]="My Value Plus Life"),"SP_LIFE",
IF(AND($A386="Main Member",Table2[[#This Row],[Product Option]]="My Value Plus Life &amp; Funeral"),"MM_LIFE",
IF(AND($A386="Spouse",Table2[[#This Row],[Product Option]]="My Value Plus Life &amp; Funeral"),_xlfn.XLOOKUP(Table2[[#This Row],[Benefit Name]],Lookups!$D$18:$D$23,Lookups!$E$18:$E$23,0),
0))))</f>
        <v>0</v>
      </c>
      <c r="J386" s="284">
        <f>IF($I386="","",
IF($I386="MM_LIFE",INDEX('Quotation Tool'!$S$54:$V$60,MATCH($T386,'Quotation Tool'!$S$54:$S$60,0),4),
IF($I386="SP_LIFE",_xlfn.XLOOKUP(B385,$B:$B,$J:$J,0),0)))</f>
        <v>0</v>
      </c>
      <c r="K386" s="287">
        <f t="shared" ca="1" si="40"/>
        <v>0</v>
      </c>
      <c r="L386" s="288">
        <f t="shared" ca="1" si="41"/>
        <v>0</v>
      </c>
      <c r="M386" s="289">
        <f t="shared" ca="1" si="37"/>
        <v>0</v>
      </c>
      <c r="N386" s="286">
        <f>Table13[[#This Row],[Benefit Option]]</f>
        <v>0</v>
      </c>
      <c r="O386" s="284">
        <f>IF(OR(Table2[[#This Row],[Member Type]]="Spouse",Table2[[#This Row],[Member Type]]="Child"),0,
IF(_xlfn.XLOOKUP($N386,Lookups!$D$13:$D$27,Lookups!$F$13:$F$27,0)=Table2[[#This Row],[Table Lookup for Life Cover]],0,
_xlfn.XLOOKUP($N386,Lookups!$D$13:$D$27,Lookups!$F$13:$F$27,0)))</f>
        <v>0</v>
      </c>
      <c r="P386" s="284">
        <f>IF(Table2[[#This Row],[Table Lookup for Funeral]]=0,0,IFERROR(INDEX('Quotation Tool'!$S$54:$V$60,MATCH($T386,'Quotation Tool'!$S$54:$S$60,0),3),0))</f>
        <v>0</v>
      </c>
      <c r="Q386" s="288">
        <f ca="1">IF(OR(Table2[[#This Row],[Benefit Name]]="My Value Plus Life - Main Member",Table2[[#This Row],[Benefit Name]]="My Value Plus Life - Spouse"),0,
IFERROR(VLOOKUP($G386,INDIRECT($O386),$P386,FALSE),0))</f>
        <v>0</v>
      </c>
      <c r="R386" s="288">
        <f ca="1">IF(OR(Table2[[#This Row],[Benefit Name]]="My Value Plus Life - Main Member",Table2[[#This Row],[Benefit Name]]="My Value Plus Life - Spouse"),0,
IFERROR(VLOOKUP($G386,INDIRECT($O386),$P386+1,FALSE),0))</f>
        <v>0</v>
      </c>
      <c r="S386" s="289">
        <f t="shared" ca="1" si="38"/>
        <v>0</v>
      </c>
      <c r="T386" s="284" t="str">
        <f>IF(Table13[[#This Row],[Premium Waiver]]="","None",Table13[[#This Row],[Premium Waiver]])</f>
        <v>None</v>
      </c>
      <c r="U386" s="284">
        <f>Table13[[#This Row],[VAPs Options]]</f>
        <v>0</v>
      </c>
      <c r="V386" s="284">
        <f>Table13[[#This Row],[Annual Increase Option]]</f>
        <v>0</v>
      </c>
      <c r="W386" s="290">
        <f>Table13[[#This Row],[Life Cover Amount]]</f>
        <v>0</v>
      </c>
      <c r="X386" s="290">
        <f>Table13[[#This Row],[Funeral Cover Amount]]</f>
        <v>0</v>
      </c>
      <c r="Y38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8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86" s="301">
        <f t="shared" ca="1" si="39"/>
        <v>0</v>
      </c>
      <c r="AB386" s="298"/>
      <c r="AC386" s="326" t="str">
        <f>IF(Table2[[#This Row],[Member Type]]="Main Member",Lookups!$C$13,
IF(Table2[[#This Row],[Member Type]]="Spouse",_xlfn.XLOOKUP(B386,Table2[Main Member Link ID],Table2[Product Option],0),
IF(AND(Table2[[#This Row],[Member Type]]="Child",_xlfn.XLOOKUP(B386,Table2[Main Member Link ID],Table2[Product Option],0)&lt;&gt;"My Value Plus Life"),Lookups!$C$24,
IF(AND(OR(Table2[[#This Row],[Member Type]]="Parent",Table2[[#This Row],[Member Type]]="Extended"),_xlfn.XLOOKUP(B386,Table2[Main Member Link ID],Table2[Product Option],0)&lt;&gt;"My Value Plus Life"),Lookups!$C$26,""))))</f>
        <v/>
      </c>
      <c r="AD386" s="326" t="str">
        <f>IF(Table2[[#This Row],[Member Type]]="Main Member",Lookups!$C$14,"")</f>
        <v/>
      </c>
      <c r="AE38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Funeral",_xlfn.XLOOKUP(B386,Table2[Main Member Link ID],Table2[Benefit Name],0)=Lookups!$D$14),"",
IF(AND(Table2[[#This Row],[Member Type]]="Spouse",Table2[[#This Row],[Product Option]]="My Value Plus Life &amp; Funeral",_xlfn.XLOOKUP(B385,Table2[Main Member Link ID],Table2[Benefit Name],0)=Lookups!$D$15),Lookups!$D$20,
IF(AND(Table2[[#This Row],[Member Type]]="Spouse",Table2[[#This Row],[Product Option]]="My Value Plus Life &amp; Funeral",_xlfn.XLOOKUP(B385,Table2[Main Member Link ID],Table2[Benefit Name],0)=Lookups!$D$16),"",
IF(AND(Table2[[#This Row],[Member Type]]="Spouse",Table2[[#This Row],[Product Option]]="My Value Plus Life &amp; Funeral",_xlfn.XLOOKUP(B385,Table2[Main Member Link ID],Table2[Benefit Name],0)=Lookups!$D$17),Lookups!$D$21,
IF(AND(Table2[[#This Row],[Member Type]]="Child",Table2[[#This Row],[Product Option]]="My Value Plus Life &amp; Funeral",_xlfn.XLOOKUP(B386,Table2[Main Member Link ID],Table2[Benefit Name],0)=Lookups!$D$14),"",
IF(AND(Table2[[#This Row],[Member Type]]="Child",Table2[[#This Row],[Product Option]]="My Value Plus Life &amp; Funeral",_xlfn.XLOOKUP(B386,Table2[Main Member Link ID],Table2[Benefit Name],0)=Lookups!$D$15),"",
IF(AND(Table2[[#This Row],[Member Type]]="Child",Table2[[#This Row],[Product Option]]="My Value Plus Life &amp; Funeral",_xlfn.XLOOKUP(B386,Table2[Main Member Link ID],Table2[Benefit Name],0)=Lookups!$D$16),Lookups!$D$24,
IF(AND(Table2[[#This Row],[Member Type]]="Child",Table2[[#This Row],[Product Option]]="My Value Plus Life &amp; Funeral",_xlfn.XLOOKUP(B386,Table2[Main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Funeral",_xlfn.XLOOKUP(B386,Table2[Main Member Link ID],Table2[Benefit Name],0)&lt;&gt;Lookups!$D$14),
IF(_xlfn.XLOOKUP(B386,Table2[Main Member Link ID],Table2[Benefit Name],0)=0,"",_xlfn.XLOOKUP(B386,Table2[Main Member Link ID],Table2[Benefit Name],0)),"")))))))))))))))</f>
        <v/>
      </c>
      <c r="AF386" s="327" t="str">
        <f>IF(AND(Table2[[#This Row],[Member Type]]="Main Member",Table2[[#This Row],[Product Option]]="My Value Plus Life &amp; Funeral"),Lookups!$D$15,
IF(AND(Table2[[#This Row],[Member Type]]="Spouse",Table2[[#This Row],[Product Option]]="My Value Plus Life &amp; Funeral",_xlfn.XLOOKUP(B386,Table2[Main Member Link ID],Table2[Benefit Name],0)=Lookups!$D$14),"",
IF(AND(Table2[[#This Row],[Member Type]]="Spouse",Table2[[#This Row],[Product Option]]="My Value Plus Life &amp; Funeral",_xlfn.XLOOKUP(B385,Table2[Main Member Link ID],Table2[Benefit Name],0)=Lookups!$D$16),"",
IF(AND(Table2[[#This Row],[Member Type]]="Spouse",Table2[[#This Row],[Product Option]]="My Value Plus Life &amp; Funeral",_xlfn.XLOOKUP(B385,Table2[Main Member Link ID],Table2[Benefit Name],0)=Lookups!$D$15),"",
IF(AND(Table2[[#This Row],[Member Type]]="Spouse",Table2[[#This Row],[Product Option]]="My Value Plus Life &amp; Funeral",_xlfn.XLOOKUP(B385,Table2[Main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Funeral",_xlfn.XLOOKUP(B386,Table2[Main Member Link ID],Table2[Benefit Name],0)&lt;&gt;Lookups!$D$15),
IF(_xlfn.XLOOKUP(B386,Table2[Main Member Link ID],Table2[Benefit Name],0)=0,"",_xlfn.XLOOKUP(B386,Table2[Main Member Link ID],Table2[Benefit Name],0)),"")
))))))</f>
        <v/>
      </c>
      <c r="AG386" s="327" t="str">
        <f>IF(AND(Table2[[#This Row],[Member Type]]="Main Member",Table2[[#This Row],[Product Option]]="My Value Plus Life &amp; Funeral"),Lookups!$D$16,
IF(AND(Table2[[#This Row],[Member Type]]="Spouse",Table2[[#This Row],[Product Option]]="My Value Plus Life &amp; Funeral",_xlfn.XLOOKUP(B386,Table2[Main Member Link ID],Table2[Benefit Name],0)=Lookups!$D$14),"",
IF(AND(Table2[[#This Row],[Member Type]]="Spouse",Table2[[#This Row],[Product Option]]="My Value Plus Life &amp; Funeral",_xlfn.XLOOKUP(B385,Table2[Main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Funeral",_xlfn.XLOOKUP(B386,Table2[Main Member Link ID],Table2[Benefit Name],0)&lt;&gt;Lookups!$D$16),
IF(_xlfn.XLOOKUP(B386,Table2[Main Member Link ID],Table2[Benefit Name],0)=0,"",_xlfn.XLOOKUP(B386,Table2[Main Member Link ID],Table2[Benefit Name],0)),"")
))))</f>
        <v/>
      </c>
      <c r="AH386" s="327" t="str">
        <f>IF(AND(Table2[[#This Row],[Member Type]]="Main Member",Table2[[#This Row],[Product Option]]="My Value Plus Life &amp; Funeral"),Lookups!$D$17,
IF(AND(Table2[[#This Row],[Member Type]]="Spouse",Table2[[#This Row],[Product Option]]="My Value Plus Life &amp; Funeral",_xlfn.XLOOKUP(B386,Table2[Main Member Link ID],Table2[Benefit Name],0)=Lookups!$D$14),"",
IF(AND(Table2[[#This Row],[Member Type]]="Spouse",Table2[[#This Row],[Product Option]]="My Value Plus Life &amp; Funeral",_xlfn.XLOOKUP(B385,Table2[Main Member Link ID],Table2[Benefit Name],0)=Lookups!$D$16),"",
IF(AND(Table2[[#This Row],[Member Type]]="Child",Table2[[#This Row],[Product Option]]="My Value Plus Life &amp; Funeral"),"",
IF(AND(Table2[[#This Row],[Member Type]]="Child",Table2[[#This Row],[Product Option]]="My Value Plus Life &amp; Funeral",_xlfn.XLOOKUP(B386,Table2[Main Member Link ID],Table2[Benefit Name],0)=Lookups!$D$15),"",
IF(AND(OR(Table2[[#This Row],[Member Type]]="Spouse",Table2[[#This Row],[Member Type]]="Child"),Table2[[#This Row],[Product Option]]="My Value Plus Life &amp; Funeral",_xlfn.XLOOKUP(B386,Table2[Main Member Link ID],Table2[Benefit Name],0)&lt;&gt;Lookups!$D$17),
IF(_xlfn.XLOOKUP(B386,Table2[Main Member Link ID],Table2[Benefit Name],0)=0,"",_xlfn.XLOOKUP(B386,Table2[Main Member Link ID],Table2[Benefit Name],0)),""))))))</f>
        <v/>
      </c>
      <c r="AI386" s="328" t="str">
        <f>IF(AND(Table2[[#This Row],[Member Type]]="Main Member",Table2[[#This Row],[Table Lookup for Life Cover]]="MM_LIFE",Table2[[#This Row],[Age Next Birthday]]&lt;56),1,
IF(AND(Table2[[#This Row],[Member Type]]="Main Member",Table2[[#This Row],[Table Lookup for Life Cover]]="MM_LIFE",Table2[[#This Row],[Age Next Birthday]]&gt;=56),2,
""))</f>
        <v/>
      </c>
      <c r="AJ386" s="328">
        <f>IF(OR(Table2[[#This Row],[Member Type]]="Main Member",Table2[[#This Row],[Main Member Link ID]]=B385),1,0)</f>
        <v>1</v>
      </c>
      <c r="AK386" s="328">
        <f>IF(Table2[[#This Row],[Member Type]]=0,0,
IF(OR(Table2[[#This Row],[Member Type]]="Main Member",Table2[[#This Row],[Main Member Link ID]]&lt;&gt;B386),COUNTIFS(B:B,Table2[[#This Row],[Main Member Link ID]]),
COUNTIFS(B:B,Table2[[#This Row],[Main Member Link ID]],A:A,Table2[[#This Row],[Member Type]])))</f>
        <v>0</v>
      </c>
    </row>
    <row r="387" spans="1:37" x14ac:dyDescent="0.3">
      <c r="A387" s="284">
        <f>Table13[[#This Row],[Member Type]]</f>
        <v>0</v>
      </c>
      <c r="B387" s="284">
        <f>Table13[[#This Row],[Main Member Link ID]]</f>
        <v>0</v>
      </c>
      <c r="C387" s="284">
        <f>Table13[[#This Row],[ID Number]]</f>
        <v>0</v>
      </c>
      <c r="D387" s="285">
        <f>Table13[[#This Row],[Date Of Birth]]</f>
        <v>0</v>
      </c>
      <c r="E387" s="285">
        <f>Table13[[#This Row],[Commencement Date]]</f>
        <v>0</v>
      </c>
      <c r="F387" s="284">
        <f t="shared" si="35"/>
        <v>1</v>
      </c>
      <c r="G387" s="284">
        <f t="shared" si="36"/>
        <v>25</v>
      </c>
      <c r="H387" s="286">
        <f>Table13[[#This Row],[Product Option]]</f>
        <v>0</v>
      </c>
      <c r="I387" s="284">
        <f>IF(AND($A387="Main Member",Table2[[#This Row],[Product Option]]="My Value Plus Life"),"MM_LIFE",
IF(AND($A387="Spouse",Table2[[#This Row],[Product Option]]="My Value Plus Life"),"SP_LIFE",
IF(AND($A387="Main Member",Table2[[#This Row],[Product Option]]="My Value Plus Life &amp; Funeral"),"MM_LIFE",
IF(AND($A387="Spouse",Table2[[#This Row],[Product Option]]="My Value Plus Life &amp; Funeral"),_xlfn.XLOOKUP(Table2[[#This Row],[Benefit Name]],Lookups!$D$18:$D$23,Lookups!$E$18:$E$23,0),
0))))</f>
        <v>0</v>
      </c>
      <c r="J387" s="284">
        <f>IF($I387="","",
IF($I387="MM_LIFE",INDEX('Quotation Tool'!$S$54:$V$60,MATCH($T387,'Quotation Tool'!$S$54:$S$60,0),4),
IF($I387="SP_LIFE",_xlfn.XLOOKUP(B386,$B:$B,$J:$J,0),0)))</f>
        <v>0</v>
      </c>
      <c r="K387" s="287">
        <f t="shared" ca="1" si="40"/>
        <v>0</v>
      </c>
      <c r="L387" s="288">
        <f t="shared" ca="1" si="41"/>
        <v>0</v>
      </c>
      <c r="M387" s="289">
        <f t="shared" ca="1" si="37"/>
        <v>0</v>
      </c>
      <c r="N387" s="286">
        <f>Table13[[#This Row],[Benefit Option]]</f>
        <v>0</v>
      </c>
      <c r="O387" s="284">
        <f>IF(OR(Table2[[#This Row],[Member Type]]="Spouse",Table2[[#This Row],[Member Type]]="Child"),0,
IF(_xlfn.XLOOKUP($N387,Lookups!$D$13:$D$27,Lookups!$F$13:$F$27,0)=Table2[[#This Row],[Table Lookup for Life Cover]],0,
_xlfn.XLOOKUP($N387,Lookups!$D$13:$D$27,Lookups!$F$13:$F$27,0)))</f>
        <v>0</v>
      </c>
      <c r="P387" s="284">
        <f>IF(Table2[[#This Row],[Table Lookup for Funeral]]=0,0,IFERROR(INDEX('Quotation Tool'!$S$54:$V$60,MATCH($T387,'Quotation Tool'!$S$54:$S$60,0),3),0))</f>
        <v>0</v>
      </c>
      <c r="Q387" s="288">
        <f ca="1">IF(OR(Table2[[#This Row],[Benefit Name]]="My Value Plus Life - Main Member",Table2[[#This Row],[Benefit Name]]="My Value Plus Life - Spouse"),0,
IFERROR(VLOOKUP($G387,INDIRECT($O387),$P387,FALSE),0))</f>
        <v>0</v>
      </c>
      <c r="R387" s="288">
        <f ca="1">IF(OR(Table2[[#This Row],[Benefit Name]]="My Value Plus Life - Main Member",Table2[[#This Row],[Benefit Name]]="My Value Plus Life - Spouse"),0,
IFERROR(VLOOKUP($G387,INDIRECT($O387),$P387+1,FALSE),0))</f>
        <v>0</v>
      </c>
      <c r="S387" s="289">
        <f t="shared" ca="1" si="38"/>
        <v>0</v>
      </c>
      <c r="T387" s="284" t="str">
        <f>IF(Table13[[#This Row],[Premium Waiver]]="","None",Table13[[#This Row],[Premium Waiver]])</f>
        <v>None</v>
      </c>
      <c r="U387" s="284">
        <f>Table13[[#This Row],[VAPs Options]]</f>
        <v>0</v>
      </c>
      <c r="V387" s="284">
        <f>Table13[[#This Row],[Annual Increase Option]]</f>
        <v>0</v>
      </c>
      <c r="W387" s="290">
        <f>Table13[[#This Row],[Life Cover Amount]]</f>
        <v>0</v>
      </c>
      <c r="X387" s="290">
        <f>Table13[[#This Row],[Funeral Cover Amount]]</f>
        <v>0</v>
      </c>
      <c r="Y38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8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87" s="301">
        <f t="shared" ca="1" si="39"/>
        <v>0</v>
      </c>
      <c r="AB387" s="298"/>
      <c r="AC387" s="326" t="str">
        <f>IF(Table2[[#This Row],[Member Type]]="Main Member",Lookups!$C$13,
IF(Table2[[#This Row],[Member Type]]="Spouse",_xlfn.XLOOKUP(B387,Table2[Main Member Link ID],Table2[Product Option],0),
IF(AND(Table2[[#This Row],[Member Type]]="Child",_xlfn.XLOOKUP(B387,Table2[Main Member Link ID],Table2[Product Option],0)&lt;&gt;"My Value Plus Life"),Lookups!$C$24,
IF(AND(OR(Table2[[#This Row],[Member Type]]="Parent",Table2[[#This Row],[Member Type]]="Extended"),_xlfn.XLOOKUP(B387,Table2[Main Member Link ID],Table2[Product Option],0)&lt;&gt;"My Value Plus Life"),Lookups!$C$26,""))))</f>
        <v/>
      </c>
      <c r="AD387" s="326" t="str">
        <f>IF(Table2[[#This Row],[Member Type]]="Main Member",Lookups!$C$14,"")</f>
        <v/>
      </c>
      <c r="AE38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Funeral",_xlfn.XLOOKUP(B387,Table2[Main Member Link ID],Table2[Benefit Name],0)=Lookups!$D$14),"",
IF(AND(Table2[[#This Row],[Member Type]]="Spouse",Table2[[#This Row],[Product Option]]="My Value Plus Life &amp; Funeral",_xlfn.XLOOKUP(B386,Table2[Main Member Link ID],Table2[Benefit Name],0)=Lookups!$D$15),Lookups!$D$20,
IF(AND(Table2[[#This Row],[Member Type]]="Spouse",Table2[[#This Row],[Product Option]]="My Value Plus Life &amp; Funeral",_xlfn.XLOOKUP(B386,Table2[Main Member Link ID],Table2[Benefit Name],0)=Lookups!$D$16),"",
IF(AND(Table2[[#This Row],[Member Type]]="Spouse",Table2[[#This Row],[Product Option]]="My Value Plus Life &amp; Funeral",_xlfn.XLOOKUP(B386,Table2[Main Member Link ID],Table2[Benefit Name],0)=Lookups!$D$17),Lookups!$D$21,
IF(AND(Table2[[#This Row],[Member Type]]="Child",Table2[[#This Row],[Product Option]]="My Value Plus Life &amp; Funeral",_xlfn.XLOOKUP(B387,Table2[Main Member Link ID],Table2[Benefit Name],0)=Lookups!$D$14),"",
IF(AND(Table2[[#This Row],[Member Type]]="Child",Table2[[#This Row],[Product Option]]="My Value Plus Life &amp; Funeral",_xlfn.XLOOKUP(B387,Table2[Main Member Link ID],Table2[Benefit Name],0)=Lookups!$D$15),"",
IF(AND(Table2[[#This Row],[Member Type]]="Child",Table2[[#This Row],[Product Option]]="My Value Plus Life &amp; Funeral",_xlfn.XLOOKUP(B387,Table2[Main Member Link ID],Table2[Benefit Name],0)=Lookups!$D$16),Lookups!$D$24,
IF(AND(Table2[[#This Row],[Member Type]]="Child",Table2[[#This Row],[Product Option]]="My Value Plus Life &amp; Funeral",_xlfn.XLOOKUP(B387,Table2[Main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Funeral",_xlfn.XLOOKUP(B387,Table2[Main Member Link ID],Table2[Benefit Name],0)&lt;&gt;Lookups!$D$14),
IF(_xlfn.XLOOKUP(B387,Table2[Main Member Link ID],Table2[Benefit Name],0)=0,"",_xlfn.XLOOKUP(B387,Table2[Main Member Link ID],Table2[Benefit Name],0)),"")))))))))))))))</f>
        <v/>
      </c>
      <c r="AF387" s="327" t="str">
        <f>IF(AND(Table2[[#This Row],[Member Type]]="Main Member",Table2[[#This Row],[Product Option]]="My Value Plus Life &amp; Funeral"),Lookups!$D$15,
IF(AND(Table2[[#This Row],[Member Type]]="Spouse",Table2[[#This Row],[Product Option]]="My Value Plus Life &amp; Funeral",_xlfn.XLOOKUP(B387,Table2[Main Member Link ID],Table2[Benefit Name],0)=Lookups!$D$14),"",
IF(AND(Table2[[#This Row],[Member Type]]="Spouse",Table2[[#This Row],[Product Option]]="My Value Plus Life &amp; Funeral",_xlfn.XLOOKUP(B386,Table2[Main Member Link ID],Table2[Benefit Name],0)=Lookups!$D$16),"",
IF(AND(Table2[[#This Row],[Member Type]]="Spouse",Table2[[#This Row],[Product Option]]="My Value Plus Life &amp; Funeral",_xlfn.XLOOKUP(B386,Table2[Main Member Link ID],Table2[Benefit Name],0)=Lookups!$D$15),"",
IF(AND(Table2[[#This Row],[Member Type]]="Spouse",Table2[[#This Row],[Product Option]]="My Value Plus Life &amp; Funeral",_xlfn.XLOOKUP(B386,Table2[Main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Funeral",_xlfn.XLOOKUP(B387,Table2[Main Member Link ID],Table2[Benefit Name],0)&lt;&gt;Lookups!$D$15),
IF(_xlfn.XLOOKUP(B387,Table2[Main Member Link ID],Table2[Benefit Name],0)=0,"",_xlfn.XLOOKUP(B387,Table2[Main Member Link ID],Table2[Benefit Name],0)),"")
))))))</f>
        <v/>
      </c>
      <c r="AG387" s="327" t="str">
        <f>IF(AND(Table2[[#This Row],[Member Type]]="Main Member",Table2[[#This Row],[Product Option]]="My Value Plus Life &amp; Funeral"),Lookups!$D$16,
IF(AND(Table2[[#This Row],[Member Type]]="Spouse",Table2[[#This Row],[Product Option]]="My Value Plus Life &amp; Funeral",_xlfn.XLOOKUP(B387,Table2[Main Member Link ID],Table2[Benefit Name],0)=Lookups!$D$14),"",
IF(AND(Table2[[#This Row],[Member Type]]="Spouse",Table2[[#This Row],[Product Option]]="My Value Plus Life &amp; Funeral",_xlfn.XLOOKUP(B386,Table2[Main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Funeral",_xlfn.XLOOKUP(B387,Table2[Main Member Link ID],Table2[Benefit Name],0)&lt;&gt;Lookups!$D$16),
IF(_xlfn.XLOOKUP(B387,Table2[Main Member Link ID],Table2[Benefit Name],0)=0,"",_xlfn.XLOOKUP(B387,Table2[Main Member Link ID],Table2[Benefit Name],0)),"")
))))</f>
        <v/>
      </c>
      <c r="AH387" s="327" t="str">
        <f>IF(AND(Table2[[#This Row],[Member Type]]="Main Member",Table2[[#This Row],[Product Option]]="My Value Plus Life &amp; Funeral"),Lookups!$D$17,
IF(AND(Table2[[#This Row],[Member Type]]="Spouse",Table2[[#This Row],[Product Option]]="My Value Plus Life &amp; Funeral",_xlfn.XLOOKUP(B387,Table2[Main Member Link ID],Table2[Benefit Name],0)=Lookups!$D$14),"",
IF(AND(Table2[[#This Row],[Member Type]]="Spouse",Table2[[#This Row],[Product Option]]="My Value Plus Life &amp; Funeral",_xlfn.XLOOKUP(B386,Table2[Main Member Link ID],Table2[Benefit Name],0)=Lookups!$D$16),"",
IF(AND(Table2[[#This Row],[Member Type]]="Child",Table2[[#This Row],[Product Option]]="My Value Plus Life &amp; Funeral"),"",
IF(AND(Table2[[#This Row],[Member Type]]="Child",Table2[[#This Row],[Product Option]]="My Value Plus Life &amp; Funeral",_xlfn.XLOOKUP(B387,Table2[Main Member Link ID],Table2[Benefit Name],0)=Lookups!$D$15),"",
IF(AND(OR(Table2[[#This Row],[Member Type]]="Spouse",Table2[[#This Row],[Member Type]]="Child"),Table2[[#This Row],[Product Option]]="My Value Plus Life &amp; Funeral",_xlfn.XLOOKUP(B387,Table2[Main Member Link ID],Table2[Benefit Name],0)&lt;&gt;Lookups!$D$17),
IF(_xlfn.XLOOKUP(B387,Table2[Main Member Link ID],Table2[Benefit Name],0)=0,"",_xlfn.XLOOKUP(B387,Table2[Main Member Link ID],Table2[Benefit Name],0)),""))))))</f>
        <v/>
      </c>
      <c r="AI387" s="328" t="str">
        <f>IF(AND(Table2[[#This Row],[Member Type]]="Main Member",Table2[[#This Row],[Table Lookup for Life Cover]]="MM_LIFE",Table2[[#This Row],[Age Next Birthday]]&lt;56),1,
IF(AND(Table2[[#This Row],[Member Type]]="Main Member",Table2[[#This Row],[Table Lookup for Life Cover]]="MM_LIFE",Table2[[#This Row],[Age Next Birthday]]&gt;=56),2,
""))</f>
        <v/>
      </c>
      <c r="AJ387" s="328">
        <f>IF(OR(Table2[[#This Row],[Member Type]]="Main Member",Table2[[#This Row],[Main Member Link ID]]=B386),1,0)</f>
        <v>1</v>
      </c>
      <c r="AK387" s="328">
        <f>IF(Table2[[#This Row],[Member Type]]=0,0,
IF(OR(Table2[[#This Row],[Member Type]]="Main Member",Table2[[#This Row],[Main Member Link ID]]&lt;&gt;B387),COUNTIFS(B:B,Table2[[#This Row],[Main Member Link ID]]),
COUNTIFS(B:B,Table2[[#This Row],[Main Member Link ID]],A:A,Table2[[#This Row],[Member Type]])))</f>
        <v>0</v>
      </c>
    </row>
    <row r="388" spans="1:37" x14ac:dyDescent="0.3">
      <c r="A388" s="284">
        <f>Table13[[#This Row],[Member Type]]</f>
        <v>0</v>
      </c>
      <c r="B388" s="284">
        <f>Table13[[#This Row],[Main Member Link ID]]</f>
        <v>0</v>
      </c>
      <c r="C388" s="284">
        <f>Table13[[#This Row],[ID Number]]</f>
        <v>0</v>
      </c>
      <c r="D388" s="285">
        <f>Table13[[#This Row],[Date Of Birth]]</f>
        <v>0</v>
      </c>
      <c r="E388" s="285">
        <f>Table13[[#This Row],[Commencement Date]]</f>
        <v>0</v>
      </c>
      <c r="F388" s="284">
        <f t="shared" si="35"/>
        <v>1</v>
      </c>
      <c r="G388" s="284">
        <f t="shared" si="36"/>
        <v>25</v>
      </c>
      <c r="H388" s="286">
        <f>Table13[[#This Row],[Product Option]]</f>
        <v>0</v>
      </c>
      <c r="I388" s="284">
        <f>IF(AND($A388="Main Member",Table2[[#This Row],[Product Option]]="My Value Plus Life"),"MM_LIFE",
IF(AND($A388="Spouse",Table2[[#This Row],[Product Option]]="My Value Plus Life"),"SP_LIFE",
IF(AND($A388="Main Member",Table2[[#This Row],[Product Option]]="My Value Plus Life &amp; Funeral"),"MM_LIFE",
IF(AND($A388="Spouse",Table2[[#This Row],[Product Option]]="My Value Plus Life &amp; Funeral"),_xlfn.XLOOKUP(Table2[[#This Row],[Benefit Name]],Lookups!$D$18:$D$23,Lookups!$E$18:$E$23,0),
0))))</f>
        <v>0</v>
      </c>
      <c r="J388" s="284">
        <f>IF($I388="","",
IF($I388="MM_LIFE",INDEX('Quotation Tool'!$S$54:$V$60,MATCH($T388,'Quotation Tool'!$S$54:$S$60,0),4),
IF($I388="SP_LIFE",_xlfn.XLOOKUP(B387,$B:$B,$J:$J,0),0)))</f>
        <v>0</v>
      </c>
      <c r="K388" s="287">
        <f t="shared" ca="1" si="40"/>
        <v>0</v>
      </c>
      <c r="L388" s="288">
        <f t="shared" ca="1" si="41"/>
        <v>0</v>
      </c>
      <c r="M388" s="289">
        <f t="shared" ca="1" si="37"/>
        <v>0</v>
      </c>
      <c r="N388" s="286">
        <f>Table13[[#This Row],[Benefit Option]]</f>
        <v>0</v>
      </c>
      <c r="O388" s="284">
        <f>IF(OR(Table2[[#This Row],[Member Type]]="Spouse",Table2[[#This Row],[Member Type]]="Child"),0,
IF(_xlfn.XLOOKUP($N388,Lookups!$D$13:$D$27,Lookups!$F$13:$F$27,0)=Table2[[#This Row],[Table Lookup for Life Cover]],0,
_xlfn.XLOOKUP($N388,Lookups!$D$13:$D$27,Lookups!$F$13:$F$27,0)))</f>
        <v>0</v>
      </c>
      <c r="P388" s="284">
        <f>IF(Table2[[#This Row],[Table Lookup for Funeral]]=0,0,IFERROR(INDEX('Quotation Tool'!$S$54:$V$60,MATCH($T388,'Quotation Tool'!$S$54:$S$60,0),3),0))</f>
        <v>0</v>
      </c>
      <c r="Q388" s="288">
        <f ca="1">IF(OR(Table2[[#This Row],[Benefit Name]]="My Value Plus Life - Main Member",Table2[[#This Row],[Benefit Name]]="My Value Plus Life - Spouse"),0,
IFERROR(VLOOKUP($G388,INDIRECT($O388),$P388,FALSE),0))</f>
        <v>0</v>
      </c>
      <c r="R388" s="288">
        <f ca="1">IF(OR(Table2[[#This Row],[Benefit Name]]="My Value Plus Life - Main Member",Table2[[#This Row],[Benefit Name]]="My Value Plus Life - Spouse"),0,
IFERROR(VLOOKUP($G388,INDIRECT($O388),$P388+1,FALSE),0))</f>
        <v>0</v>
      </c>
      <c r="S388" s="289">
        <f t="shared" ca="1" si="38"/>
        <v>0</v>
      </c>
      <c r="T388" s="284" t="str">
        <f>IF(Table13[[#This Row],[Premium Waiver]]="","None",Table13[[#This Row],[Premium Waiver]])</f>
        <v>None</v>
      </c>
      <c r="U388" s="284">
        <f>Table13[[#This Row],[VAPs Options]]</f>
        <v>0</v>
      </c>
      <c r="V388" s="284">
        <f>Table13[[#This Row],[Annual Increase Option]]</f>
        <v>0</v>
      </c>
      <c r="W388" s="290">
        <f>Table13[[#This Row],[Life Cover Amount]]</f>
        <v>0</v>
      </c>
      <c r="X388" s="290">
        <f>Table13[[#This Row],[Funeral Cover Amount]]</f>
        <v>0</v>
      </c>
      <c r="Y38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8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88" s="301">
        <f t="shared" ca="1" si="39"/>
        <v>0</v>
      </c>
      <c r="AB388" s="298"/>
      <c r="AC388" s="326" t="str">
        <f>IF(Table2[[#This Row],[Member Type]]="Main Member",Lookups!$C$13,
IF(Table2[[#This Row],[Member Type]]="Spouse",_xlfn.XLOOKUP(B388,Table2[Main Member Link ID],Table2[Product Option],0),
IF(AND(Table2[[#This Row],[Member Type]]="Child",_xlfn.XLOOKUP(B388,Table2[Main Member Link ID],Table2[Product Option],0)&lt;&gt;"My Value Plus Life"),Lookups!$C$24,
IF(AND(OR(Table2[[#This Row],[Member Type]]="Parent",Table2[[#This Row],[Member Type]]="Extended"),_xlfn.XLOOKUP(B388,Table2[Main Member Link ID],Table2[Product Option],0)&lt;&gt;"My Value Plus Life"),Lookups!$C$26,""))))</f>
        <v/>
      </c>
      <c r="AD388" s="326" t="str">
        <f>IF(Table2[[#This Row],[Member Type]]="Main Member",Lookups!$C$14,"")</f>
        <v/>
      </c>
      <c r="AE38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Funeral",_xlfn.XLOOKUP(B388,Table2[Main Member Link ID],Table2[Benefit Name],0)=Lookups!$D$14),"",
IF(AND(Table2[[#This Row],[Member Type]]="Spouse",Table2[[#This Row],[Product Option]]="My Value Plus Life &amp; Funeral",_xlfn.XLOOKUP(B387,Table2[Main Member Link ID],Table2[Benefit Name],0)=Lookups!$D$15),Lookups!$D$20,
IF(AND(Table2[[#This Row],[Member Type]]="Spouse",Table2[[#This Row],[Product Option]]="My Value Plus Life &amp; Funeral",_xlfn.XLOOKUP(B387,Table2[Main Member Link ID],Table2[Benefit Name],0)=Lookups!$D$16),"",
IF(AND(Table2[[#This Row],[Member Type]]="Spouse",Table2[[#This Row],[Product Option]]="My Value Plus Life &amp; Funeral",_xlfn.XLOOKUP(B387,Table2[Main Member Link ID],Table2[Benefit Name],0)=Lookups!$D$17),Lookups!$D$21,
IF(AND(Table2[[#This Row],[Member Type]]="Child",Table2[[#This Row],[Product Option]]="My Value Plus Life &amp; Funeral",_xlfn.XLOOKUP(B388,Table2[Main Member Link ID],Table2[Benefit Name],0)=Lookups!$D$14),"",
IF(AND(Table2[[#This Row],[Member Type]]="Child",Table2[[#This Row],[Product Option]]="My Value Plus Life &amp; Funeral",_xlfn.XLOOKUP(B388,Table2[Main Member Link ID],Table2[Benefit Name],0)=Lookups!$D$15),"",
IF(AND(Table2[[#This Row],[Member Type]]="Child",Table2[[#This Row],[Product Option]]="My Value Plus Life &amp; Funeral",_xlfn.XLOOKUP(B388,Table2[Main Member Link ID],Table2[Benefit Name],0)=Lookups!$D$16),Lookups!$D$24,
IF(AND(Table2[[#This Row],[Member Type]]="Child",Table2[[#This Row],[Product Option]]="My Value Plus Life &amp; Funeral",_xlfn.XLOOKUP(B388,Table2[Main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Funeral",_xlfn.XLOOKUP(B388,Table2[Main Member Link ID],Table2[Benefit Name],0)&lt;&gt;Lookups!$D$14),
IF(_xlfn.XLOOKUP(B388,Table2[Main Member Link ID],Table2[Benefit Name],0)=0,"",_xlfn.XLOOKUP(B388,Table2[Main Member Link ID],Table2[Benefit Name],0)),"")))))))))))))))</f>
        <v/>
      </c>
      <c r="AF388" s="327" t="str">
        <f>IF(AND(Table2[[#This Row],[Member Type]]="Main Member",Table2[[#This Row],[Product Option]]="My Value Plus Life &amp; Funeral"),Lookups!$D$15,
IF(AND(Table2[[#This Row],[Member Type]]="Spouse",Table2[[#This Row],[Product Option]]="My Value Plus Life &amp; Funeral",_xlfn.XLOOKUP(B388,Table2[Main Member Link ID],Table2[Benefit Name],0)=Lookups!$D$14),"",
IF(AND(Table2[[#This Row],[Member Type]]="Spouse",Table2[[#This Row],[Product Option]]="My Value Plus Life &amp; Funeral",_xlfn.XLOOKUP(B387,Table2[Main Member Link ID],Table2[Benefit Name],0)=Lookups!$D$16),"",
IF(AND(Table2[[#This Row],[Member Type]]="Spouse",Table2[[#This Row],[Product Option]]="My Value Plus Life &amp; Funeral",_xlfn.XLOOKUP(B387,Table2[Main Member Link ID],Table2[Benefit Name],0)=Lookups!$D$15),"",
IF(AND(Table2[[#This Row],[Member Type]]="Spouse",Table2[[#This Row],[Product Option]]="My Value Plus Life &amp; Funeral",_xlfn.XLOOKUP(B387,Table2[Main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Funeral",_xlfn.XLOOKUP(B388,Table2[Main Member Link ID],Table2[Benefit Name],0)&lt;&gt;Lookups!$D$15),
IF(_xlfn.XLOOKUP(B388,Table2[Main Member Link ID],Table2[Benefit Name],0)=0,"",_xlfn.XLOOKUP(B388,Table2[Main Member Link ID],Table2[Benefit Name],0)),"")
))))))</f>
        <v/>
      </c>
      <c r="AG388" s="327" t="str">
        <f>IF(AND(Table2[[#This Row],[Member Type]]="Main Member",Table2[[#This Row],[Product Option]]="My Value Plus Life &amp; Funeral"),Lookups!$D$16,
IF(AND(Table2[[#This Row],[Member Type]]="Spouse",Table2[[#This Row],[Product Option]]="My Value Plus Life &amp; Funeral",_xlfn.XLOOKUP(B388,Table2[Main Member Link ID],Table2[Benefit Name],0)=Lookups!$D$14),"",
IF(AND(Table2[[#This Row],[Member Type]]="Spouse",Table2[[#This Row],[Product Option]]="My Value Plus Life &amp; Funeral",_xlfn.XLOOKUP(B387,Table2[Main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Funeral",_xlfn.XLOOKUP(B388,Table2[Main Member Link ID],Table2[Benefit Name],0)&lt;&gt;Lookups!$D$16),
IF(_xlfn.XLOOKUP(B388,Table2[Main Member Link ID],Table2[Benefit Name],0)=0,"",_xlfn.XLOOKUP(B388,Table2[Main Member Link ID],Table2[Benefit Name],0)),"")
))))</f>
        <v/>
      </c>
      <c r="AH388" s="327" t="str">
        <f>IF(AND(Table2[[#This Row],[Member Type]]="Main Member",Table2[[#This Row],[Product Option]]="My Value Plus Life &amp; Funeral"),Lookups!$D$17,
IF(AND(Table2[[#This Row],[Member Type]]="Spouse",Table2[[#This Row],[Product Option]]="My Value Plus Life &amp; Funeral",_xlfn.XLOOKUP(B388,Table2[Main Member Link ID],Table2[Benefit Name],0)=Lookups!$D$14),"",
IF(AND(Table2[[#This Row],[Member Type]]="Spouse",Table2[[#This Row],[Product Option]]="My Value Plus Life &amp; Funeral",_xlfn.XLOOKUP(B387,Table2[Main Member Link ID],Table2[Benefit Name],0)=Lookups!$D$16),"",
IF(AND(Table2[[#This Row],[Member Type]]="Child",Table2[[#This Row],[Product Option]]="My Value Plus Life &amp; Funeral"),"",
IF(AND(Table2[[#This Row],[Member Type]]="Child",Table2[[#This Row],[Product Option]]="My Value Plus Life &amp; Funeral",_xlfn.XLOOKUP(B388,Table2[Main Member Link ID],Table2[Benefit Name],0)=Lookups!$D$15),"",
IF(AND(OR(Table2[[#This Row],[Member Type]]="Spouse",Table2[[#This Row],[Member Type]]="Child"),Table2[[#This Row],[Product Option]]="My Value Plus Life &amp; Funeral",_xlfn.XLOOKUP(B388,Table2[Main Member Link ID],Table2[Benefit Name],0)&lt;&gt;Lookups!$D$17),
IF(_xlfn.XLOOKUP(B388,Table2[Main Member Link ID],Table2[Benefit Name],0)=0,"",_xlfn.XLOOKUP(B388,Table2[Main Member Link ID],Table2[Benefit Name],0)),""))))))</f>
        <v/>
      </c>
      <c r="AI388" s="328" t="str">
        <f>IF(AND(Table2[[#This Row],[Member Type]]="Main Member",Table2[[#This Row],[Table Lookup for Life Cover]]="MM_LIFE",Table2[[#This Row],[Age Next Birthday]]&lt;56),1,
IF(AND(Table2[[#This Row],[Member Type]]="Main Member",Table2[[#This Row],[Table Lookup for Life Cover]]="MM_LIFE",Table2[[#This Row],[Age Next Birthday]]&gt;=56),2,
""))</f>
        <v/>
      </c>
      <c r="AJ388" s="328">
        <f>IF(OR(Table2[[#This Row],[Member Type]]="Main Member",Table2[[#This Row],[Main Member Link ID]]=B387),1,0)</f>
        <v>1</v>
      </c>
      <c r="AK388" s="328">
        <f>IF(Table2[[#This Row],[Member Type]]=0,0,
IF(OR(Table2[[#This Row],[Member Type]]="Main Member",Table2[[#This Row],[Main Member Link ID]]&lt;&gt;B388),COUNTIFS(B:B,Table2[[#This Row],[Main Member Link ID]]),
COUNTIFS(B:B,Table2[[#This Row],[Main Member Link ID]],A:A,Table2[[#This Row],[Member Type]])))</f>
        <v>0</v>
      </c>
    </row>
    <row r="389" spans="1:37" x14ac:dyDescent="0.3">
      <c r="A389" s="284">
        <f>Table13[[#This Row],[Member Type]]</f>
        <v>0</v>
      </c>
      <c r="B389" s="284">
        <f>Table13[[#This Row],[Main Member Link ID]]</f>
        <v>0</v>
      </c>
      <c r="C389" s="284">
        <f>Table13[[#This Row],[ID Number]]</f>
        <v>0</v>
      </c>
      <c r="D389" s="285">
        <f>Table13[[#This Row],[Date Of Birth]]</f>
        <v>0</v>
      </c>
      <c r="E389" s="285">
        <f>Table13[[#This Row],[Commencement Date]]</f>
        <v>0</v>
      </c>
      <c r="F389" s="284">
        <f t="shared" ref="F389:F452" si="42">IF(D389="","",
IF(OR($A389="Main Member",$A389="Spouse",$A389="Child"),IFERROR(IF((IF($D389="",-1,DATEDIF($D389,$E389,"Y"))+1)&gt;75,"Max age",IF($D389="",-1,DATEDIF($D389,$E389,"Y"))+1),FALSE),
IFERROR(IF((IF($D389="",-1,DATEDIF($D389,$E389,"Y"))+1)&gt;75,"Max age",IF($D389="",-1,DATEDIF($D389,$E389,"Y"))+1),FALSE)))</f>
        <v>1</v>
      </c>
      <c r="G389" s="284">
        <f t="shared" ref="G389:G452" si="43">IF(F389="","",
IF(F389="Max age","Max age",
IF(OR($A389="Main Member",$A389="Spouse",$A389="Child"),IF($F389=0,"",IF($F389&lt;26,25,IF($F389&lt;36,35,IF($F389&lt;46,45,IF($F389&lt;51,50,IF($F389&lt;56,55,IF($F389&lt;61,60,IF($F389&lt;66,65,IF($F389&lt;71,70,IF($F389&lt;76,75)))))))))),
IF($F389=0,"",IF($F389&lt;26,25,IF($F389&lt;36,35,IF($F389&lt;46,45,IF($F389&lt;51,50,IF($F389&lt;56,55,IF($F389&lt;61,60,IF($F389&lt;66,65,IF($F389&lt;71,70,IF($F389&lt;76,75)))))))))))))</f>
        <v>25</v>
      </c>
      <c r="H389" s="286">
        <f>Table13[[#This Row],[Product Option]]</f>
        <v>0</v>
      </c>
      <c r="I389" s="284">
        <f>IF(AND($A389="Main Member",Table2[[#This Row],[Product Option]]="My Value Plus Life"),"MM_LIFE",
IF(AND($A389="Spouse",Table2[[#This Row],[Product Option]]="My Value Plus Life"),"SP_LIFE",
IF(AND($A389="Main Member",Table2[[#This Row],[Product Option]]="My Value Plus Life &amp; Funeral"),"MM_LIFE",
IF(AND($A389="Spouse",Table2[[#This Row],[Product Option]]="My Value Plus Life &amp; Funeral"),_xlfn.XLOOKUP(Table2[[#This Row],[Benefit Name]],Lookups!$D$18:$D$23,Lookups!$E$18:$E$23,0),
0))))</f>
        <v>0</v>
      </c>
      <c r="J389" s="284">
        <f>IF($I389="","",
IF($I389="MM_LIFE",INDEX('Quotation Tool'!$S$54:$V$60,MATCH($T389,'Quotation Tool'!$S$54:$S$60,0),4),
IF($I389="SP_LIFE",_xlfn.XLOOKUP(B388,$B:$B,$J:$J,0),0)))</f>
        <v>0</v>
      </c>
      <c r="K389" s="287">
        <f t="shared" ca="1" si="40"/>
        <v>0</v>
      </c>
      <c r="L389" s="288">
        <f t="shared" ca="1" si="41"/>
        <v>0</v>
      </c>
      <c r="M389" s="289">
        <f t="shared" ref="M389:M452" ca="1" si="44">K389+L389/1000*W389</f>
        <v>0</v>
      </c>
      <c r="N389" s="286">
        <f>Table13[[#This Row],[Benefit Option]]</f>
        <v>0</v>
      </c>
      <c r="O389" s="284">
        <f>IF(OR(Table2[[#This Row],[Member Type]]="Spouse",Table2[[#This Row],[Member Type]]="Child"),0,
IF(_xlfn.XLOOKUP($N389,Lookups!$D$13:$D$27,Lookups!$F$13:$F$27,0)=Table2[[#This Row],[Table Lookup for Life Cover]],0,
_xlfn.XLOOKUP($N389,Lookups!$D$13:$D$27,Lookups!$F$13:$F$27,0)))</f>
        <v>0</v>
      </c>
      <c r="P389" s="284">
        <f>IF(Table2[[#This Row],[Table Lookup for Funeral]]=0,0,IFERROR(INDEX('Quotation Tool'!$S$54:$V$60,MATCH($T389,'Quotation Tool'!$S$54:$S$60,0),3),0))</f>
        <v>0</v>
      </c>
      <c r="Q389" s="288">
        <f ca="1">IF(OR(Table2[[#This Row],[Benefit Name]]="My Value Plus Life - Main Member",Table2[[#This Row],[Benefit Name]]="My Value Plus Life - Spouse"),0,
IFERROR(VLOOKUP($G389,INDIRECT($O389),$P389,FALSE),0))</f>
        <v>0</v>
      </c>
      <c r="R389" s="288">
        <f ca="1">IF(OR(Table2[[#This Row],[Benefit Name]]="My Value Plus Life - Main Member",Table2[[#This Row],[Benefit Name]]="My Value Plus Life - Spouse"),0,
IFERROR(VLOOKUP($G389,INDIRECT($O389),$P389+1,FALSE),0))</f>
        <v>0</v>
      </c>
      <c r="S389" s="289">
        <f t="shared" ref="S389:S452" ca="1" si="45">Q389+R389/1000*X389</f>
        <v>0</v>
      </c>
      <c r="T389" s="284" t="str">
        <f>IF(Table13[[#This Row],[Premium Waiver]]="","None",Table13[[#This Row],[Premium Waiver]])</f>
        <v>None</v>
      </c>
      <c r="U389" s="284">
        <f>Table13[[#This Row],[VAPs Options]]</f>
        <v>0</v>
      </c>
      <c r="V389" s="284">
        <f>Table13[[#This Row],[Annual Increase Option]]</f>
        <v>0</v>
      </c>
      <c r="W389" s="290">
        <f>Table13[[#This Row],[Life Cover Amount]]</f>
        <v>0</v>
      </c>
      <c r="X389" s="290">
        <f>Table13[[#This Row],[Funeral Cover Amount]]</f>
        <v>0</v>
      </c>
      <c r="Y38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8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89" s="301">
        <f t="shared" ref="AA389:AA452" ca="1" si="46">S389+M389</f>
        <v>0</v>
      </c>
      <c r="AB389" s="298"/>
      <c r="AC389" s="326" t="str">
        <f>IF(Table2[[#This Row],[Member Type]]="Main Member",Lookups!$C$13,
IF(Table2[[#This Row],[Member Type]]="Spouse",_xlfn.XLOOKUP(B389,Table2[Main Member Link ID],Table2[Product Option],0),
IF(AND(Table2[[#This Row],[Member Type]]="Child",_xlfn.XLOOKUP(B389,Table2[Main Member Link ID],Table2[Product Option],0)&lt;&gt;"My Value Plus Life"),Lookups!$C$24,
IF(AND(OR(Table2[[#This Row],[Member Type]]="Parent",Table2[[#This Row],[Member Type]]="Extended"),_xlfn.XLOOKUP(B389,Table2[Main Member Link ID],Table2[Product Option],0)&lt;&gt;"My Value Plus Life"),Lookups!$C$26,""))))</f>
        <v/>
      </c>
      <c r="AD389" s="326" t="str">
        <f>IF(Table2[[#This Row],[Member Type]]="Main Member",Lookups!$C$14,"")</f>
        <v/>
      </c>
      <c r="AE38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Funeral",_xlfn.XLOOKUP(B389,Table2[Main Member Link ID],Table2[Benefit Name],0)=Lookups!$D$14),"",
IF(AND(Table2[[#This Row],[Member Type]]="Spouse",Table2[[#This Row],[Product Option]]="My Value Plus Life &amp; Funeral",_xlfn.XLOOKUP(B388,Table2[Main Member Link ID],Table2[Benefit Name],0)=Lookups!$D$15),Lookups!$D$20,
IF(AND(Table2[[#This Row],[Member Type]]="Spouse",Table2[[#This Row],[Product Option]]="My Value Plus Life &amp; Funeral",_xlfn.XLOOKUP(B388,Table2[Main Member Link ID],Table2[Benefit Name],0)=Lookups!$D$16),"",
IF(AND(Table2[[#This Row],[Member Type]]="Spouse",Table2[[#This Row],[Product Option]]="My Value Plus Life &amp; Funeral",_xlfn.XLOOKUP(B388,Table2[Main Member Link ID],Table2[Benefit Name],0)=Lookups!$D$17),Lookups!$D$21,
IF(AND(Table2[[#This Row],[Member Type]]="Child",Table2[[#This Row],[Product Option]]="My Value Plus Life &amp; Funeral",_xlfn.XLOOKUP(B389,Table2[Main Member Link ID],Table2[Benefit Name],0)=Lookups!$D$14),"",
IF(AND(Table2[[#This Row],[Member Type]]="Child",Table2[[#This Row],[Product Option]]="My Value Plus Life &amp; Funeral",_xlfn.XLOOKUP(B389,Table2[Main Member Link ID],Table2[Benefit Name],0)=Lookups!$D$15),"",
IF(AND(Table2[[#This Row],[Member Type]]="Child",Table2[[#This Row],[Product Option]]="My Value Plus Life &amp; Funeral",_xlfn.XLOOKUP(B389,Table2[Main Member Link ID],Table2[Benefit Name],0)=Lookups!$D$16),Lookups!$D$24,
IF(AND(Table2[[#This Row],[Member Type]]="Child",Table2[[#This Row],[Product Option]]="My Value Plus Life &amp; Funeral",_xlfn.XLOOKUP(B389,Table2[Main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Funeral",_xlfn.XLOOKUP(B389,Table2[Main Member Link ID],Table2[Benefit Name],0)&lt;&gt;Lookups!$D$14),
IF(_xlfn.XLOOKUP(B389,Table2[Main Member Link ID],Table2[Benefit Name],0)=0,"",_xlfn.XLOOKUP(B389,Table2[Main Member Link ID],Table2[Benefit Name],0)),"")))))))))))))))</f>
        <v/>
      </c>
      <c r="AF389" s="327" t="str">
        <f>IF(AND(Table2[[#This Row],[Member Type]]="Main Member",Table2[[#This Row],[Product Option]]="My Value Plus Life &amp; Funeral"),Lookups!$D$15,
IF(AND(Table2[[#This Row],[Member Type]]="Spouse",Table2[[#This Row],[Product Option]]="My Value Plus Life &amp; Funeral",_xlfn.XLOOKUP(B389,Table2[Main Member Link ID],Table2[Benefit Name],0)=Lookups!$D$14),"",
IF(AND(Table2[[#This Row],[Member Type]]="Spouse",Table2[[#This Row],[Product Option]]="My Value Plus Life &amp; Funeral",_xlfn.XLOOKUP(B388,Table2[Main Member Link ID],Table2[Benefit Name],0)=Lookups!$D$16),"",
IF(AND(Table2[[#This Row],[Member Type]]="Spouse",Table2[[#This Row],[Product Option]]="My Value Plus Life &amp; Funeral",_xlfn.XLOOKUP(B388,Table2[Main Member Link ID],Table2[Benefit Name],0)=Lookups!$D$15),"",
IF(AND(Table2[[#This Row],[Member Type]]="Spouse",Table2[[#This Row],[Product Option]]="My Value Plus Life &amp; Funeral",_xlfn.XLOOKUP(B388,Table2[Main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Funeral",_xlfn.XLOOKUP(B389,Table2[Main Member Link ID],Table2[Benefit Name],0)&lt;&gt;Lookups!$D$15),
IF(_xlfn.XLOOKUP(B389,Table2[Main Member Link ID],Table2[Benefit Name],0)=0,"",_xlfn.XLOOKUP(B389,Table2[Main Member Link ID],Table2[Benefit Name],0)),"")
))))))</f>
        <v/>
      </c>
      <c r="AG389" s="327" t="str">
        <f>IF(AND(Table2[[#This Row],[Member Type]]="Main Member",Table2[[#This Row],[Product Option]]="My Value Plus Life &amp; Funeral"),Lookups!$D$16,
IF(AND(Table2[[#This Row],[Member Type]]="Spouse",Table2[[#This Row],[Product Option]]="My Value Plus Life &amp; Funeral",_xlfn.XLOOKUP(B389,Table2[Main Member Link ID],Table2[Benefit Name],0)=Lookups!$D$14),"",
IF(AND(Table2[[#This Row],[Member Type]]="Spouse",Table2[[#This Row],[Product Option]]="My Value Plus Life &amp; Funeral",_xlfn.XLOOKUP(B388,Table2[Main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Funeral",_xlfn.XLOOKUP(B389,Table2[Main Member Link ID],Table2[Benefit Name],0)&lt;&gt;Lookups!$D$16),
IF(_xlfn.XLOOKUP(B389,Table2[Main Member Link ID],Table2[Benefit Name],0)=0,"",_xlfn.XLOOKUP(B389,Table2[Main Member Link ID],Table2[Benefit Name],0)),"")
))))</f>
        <v/>
      </c>
      <c r="AH389" s="327" t="str">
        <f>IF(AND(Table2[[#This Row],[Member Type]]="Main Member",Table2[[#This Row],[Product Option]]="My Value Plus Life &amp; Funeral"),Lookups!$D$17,
IF(AND(Table2[[#This Row],[Member Type]]="Spouse",Table2[[#This Row],[Product Option]]="My Value Plus Life &amp; Funeral",_xlfn.XLOOKUP(B389,Table2[Main Member Link ID],Table2[Benefit Name],0)=Lookups!$D$14),"",
IF(AND(Table2[[#This Row],[Member Type]]="Spouse",Table2[[#This Row],[Product Option]]="My Value Plus Life &amp; Funeral",_xlfn.XLOOKUP(B388,Table2[Main Member Link ID],Table2[Benefit Name],0)=Lookups!$D$16),"",
IF(AND(Table2[[#This Row],[Member Type]]="Child",Table2[[#This Row],[Product Option]]="My Value Plus Life &amp; Funeral"),"",
IF(AND(Table2[[#This Row],[Member Type]]="Child",Table2[[#This Row],[Product Option]]="My Value Plus Life &amp; Funeral",_xlfn.XLOOKUP(B389,Table2[Main Member Link ID],Table2[Benefit Name],0)=Lookups!$D$15),"",
IF(AND(OR(Table2[[#This Row],[Member Type]]="Spouse",Table2[[#This Row],[Member Type]]="Child"),Table2[[#This Row],[Product Option]]="My Value Plus Life &amp; Funeral",_xlfn.XLOOKUP(B389,Table2[Main Member Link ID],Table2[Benefit Name],0)&lt;&gt;Lookups!$D$17),
IF(_xlfn.XLOOKUP(B389,Table2[Main Member Link ID],Table2[Benefit Name],0)=0,"",_xlfn.XLOOKUP(B389,Table2[Main Member Link ID],Table2[Benefit Name],0)),""))))))</f>
        <v/>
      </c>
      <c r="AI389" s="328" t="str">
        <f>IF(AND(Table2[[#This Row],[Member Type]]="Main Member",Table2[[#This Row],[Table Lookup for Life Cover]]="MM_LIFE",Table2[[#This Row],[Age Next Birthday]]&lt;56),1,
IF(AND(Table2[[#This Row],[Member Type]]="Main Member",Table2[[#This Row],[Table Lookup for Life Cover]]="MM_LIFE",Table2[[#This Row],[Age Next Birthday]]&gt;=56),2,
""))</f>
        <v/>
      </c>
      <c r="AJ389" s="328">
        <f>IF(OR(Table2[[#This Row],[Member Type]]="Main Member",Table2[[#This Row],[Main Member Link ID]]=B388),1,0)</f>
        <v>1</v>
      </c>
      <c r="AK389" s="328">
        <f>IF(Table2[[#This Row],[Member Type]]=0,0,
IF(OR(Table2[[#This Row],[Member Type]]="Main Member",Table2[[#This Row],[Main Member Link ID]]&lt;&gt;B389),COUNTIFS(B:B,Table2[[#This Row],[Main Member Link ID]]),
COUNTIFS(B:B,Table2[[#This Row],[Main Member Link ID]],A:A,Table2[[#This Row],[Member Type]])))</f>
        <v>0</v>
      </c>
    </row>
    <row r="390" spans="1:37" x14ac:dyDescent="0.3">
      <c r="A390" s="284">
        <f>Table13[[#This Row],[Member Type]]</f>
        <v>0</v>
      </c>
      <c r="B390" s="284">
        <f>Table13[[#This Row],[Main Member Link ID]]</f>
        <v>0</v>
      </c>
      <c r="C390" s="284">
        <f>Table13[[#This Row],[ID Number]]</f>
        <v>0</v>
      </c>
      <c r="D390" s="285">
        <f>Table13[[#This Row],[Date Of Birth]]</f>
        <v>0</v>
      </c>
      <c r="E390" s="285">
        <f>Table13[[#This Row],[Commencement Date]]</f>
        <v>0</v>
      </c>
      <c r="F390" s="284">
        <f t="shared" si="42"/>
        <v>1</v>
      </c>
      <c r="G390" s="284">
        <f t="shared" si="43"/>
        <v>25</v>
      </c>
      <c r="H390" s="286">
        <f>Table13[[#This Row],[Product Option]]</f>
        <v>0</v>
      </c>
      <c r="I390" s="284">
        <f>IF(AND($A390="Main Member",Table2[[#This Row],[Product Option]]="My Value Plus Life"),"MM_LIFE",
IF(AND($A390="Spouse",Table2[[#This Row],[Product Option]]="My Value Plus Life"),"SP_LIFE",
IF(AND($A390="Main Member",Table2[[#This Row],[Product Option]]="My Value Plus Life &amp; Funeral"),"MM_LIFE",
IF(AND($A390="Spouse",Table2[[#This Row],[Product Option]]="My Value Plus Life &amp; Funeral"),_xlfn.XLOOKUP(Table2[[#This Row],[Benefit Name]],Lookups!$D$18:$D$23,Lookups!$E$18:$E$23,0),
0))))</f>
        <v>0</v>
      </c>
      <c r="J390" s="284">
        <f>IF($I390="","",
IF($I390="MM_LIFE",INDEX('Quotation Tool'!$S$54:$V$60,MATCH($T390,'Quotation Tool'!$S$54:$S$60,0),4),
IF($I390="SP_LIFE",_xlfn.XLOOKUP(B389,$B:$B,$J:$J,0),0)))</f>
        <v>0</v>
      </c>
      <c r="K390" s="287">
        <f t="shared" ref="K390:K453" ca="1" si="47">IFERROR(VLOOKUP($G390,INDIRECT($I390),$J390,FALSE),0)</f>
        <v>0</v>
      </c>
      <c r="L390" s="288">
        <f t="shared" ref="L390:L453" ca="1" si="48">IFERROR(VLOOKUP($G390,INDIRECT($I390),$J390+1,FALSE),0)</f>
        <v>0</v>
      </c>
      <c r="M390" s="289">
        <f t="shared" ca="1" si="44"/>
        <v>0</v>
      </c>
      <c r="N390" s="286">
        <f>Table13[[#This Row],[Benefit Option]]</f>
        <v>0</v>
      </c>
      <c r="O390" s="284">
        <f>IF(OR(Table2[[#This Row],[Member Type]]="Spouse",Table2[[#This Row],[Member Type]]="Child"),0,
IF(_xlfn.XLOOKUP($N390,Lookups!$D$13:$D$27,Lookups!$F$13:$F$27,0)=Table2[[#This Row],[Table Lookup for Life Cover]],0,
_xlfn.XLOOKUP($N390,Lookups!$D$13:$D$27,Lookups!$F$13:$F$27,0)))</f>
        <v>0</v>
      </c>
      <c r="P390" s="284">
        <f>IF(Table2[[#This Row],[Table Lookup for Funeral]]=0,0,IFERROR(INDEX('Quotation Tool'!$S$54:$V$60,MATCH($T390,'Quotation Tool'!$S$54:$S$60,0),3),0))</f>
        <v>0</v>
      </c>
      <c r="Q390" s="288">
        <f ca="1">IF(OR(Table2[[#This Row],[Benefit Name]]="My Value Plus Life - Main Member",Table2[[#This Row],[Benefit Name]]="My Value Plus Life - Spouse"),0,
IFERROR(VLOOKUP($G390,INDIRECT($O390),$P390,FALSE),0))</f>
        <v>0</v>
      </c>
      <c r="R390" s="288">
        <f ca="1">IF(OR(Table2[[#This Row],[Benefit Name]]="My Value Plus Life - Main Member",Table2[[#This Row],[Benefit Name]]="My Value Plus Life - Spouse"),0,
IFERROR(VLOOKUP($G390,INDIRECT($O390),$P390+1,FALSE),0))</f>
        <v>0</v>
      </c>
      <c r="S390" s="289">
        <f t="shared" ca="1" si="45"/>
        <v>0</v>
      </c>
      <c r="T390" s="284" t="str">
        <f>IF(Table13[[#This Row],[Premium Waiver]]="","None",Table13[[#This Row],[Premium Waiver]])</f>
        <v>None</v>
      </c>
      <c r="U390" s="284">
        <f>Table13[[#This Row],[VAPs Options]]</f>
        <v>0</v>
      </c>
      <c r="V390" s="284">
        <f>Table13[[#This Row],[Annual Increase Option]]</f>
        <v>0</v>
      </c>
      <c r="W390" s="290">
        <f>Table13[[#This Row],[Life Cover Amount]]</f>
        <v>0</v>
      </c>
      <c r="X390" s="290">
        <f>Table13[[#This Row],[Funeral Cover Amount]]</f>
        <v>0</v>
      </c>
      <c r="Y39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9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90" s="301">
        <f t="shared" ca="1" si="46"/>
        <v>0</v>
      </c>
      <c r="AB390" s="298"/>
      <c r="AC390" s="326" t="str">
        <f>IF(Table2[[#This Row],[Member Type]]="Main Member",Lookups!$C$13,
IF(Table2[[#This Row],[Member Type]]="Spouse",_xlfn.XLOOKUP(B390,Table2[Main Member Link ID],Table2[Product Option],0),
IF(AND(Table2[[#This Row],[Member Type]]="Child",_xlfn.XLOOKUP(B390,Table2[Main Member Link ID],Table2[Product Option],0)&lt;&gt;"My Value Plus Life"),Lookups!$C$24,
IF(AND(OR(Table2[[#This Row],[Member Type]]="Parent",Table2[[#This Row],[Member Type]]="Extended"),_xlfn.XLOOKUP(B390,Table2[Main Member Link ID],Table2[Product Option],0)&lt;&gt;"My Value Plus Life"),Lookups!$C$26,""))))</f>
        <v/>
      </c>
      <c r="AD390" s="326" t="str">
        <f>IF(Table2[[#This Row],[Member Type]]="Main Member",Lookups!$C$14,"")</f>
        <v/>
      </c>
      <c r="AE39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Funeral",_xlfn.XLOOKUP(B390,Table2[Main Member Link ID],Table2[Benefit Name],0)=Lookups!$D$14),"",
IF(AND(Table2[[#This Row],[Member Type]]="Spouse",Table2[[#This Row],[Product Option]]="My Value Plus Life &amp; Funeral",_xlfn.XLOOKUP(B389,Table2[Main Member Link ID],Table2[Benefit Name],0)=Lookups!$D$15),Lookups!$D$20,
IF(AND(Table2[[#This Row],[Member Type]]="Spouse",Table2[[#This Row],[Product Option]]="My Value Plus Life &amp; Funeral",_xlfn.XLOOKUP(B389,Table2[Main Member Link ID],Table2[Benefit Name],0)=Lookups!$D$16),"",
IF(AND(Table2[[#This Row],[Member Type]]="Spouse",Table2[[#This Row],[Product Option]]="My Value Plus Life &amp; Funeral",_xlfn.XLOOKUP(B389,Table2[Main Member Link ID],Table2[Benefit Name],0)=Lookups!$D$17),Lookups!$D$21,
IF(AND(Table2[[#This Row],[Member Type]]="Child",Table2[[#This Row],[Product Option]]="My Value Plus Life &amp; Funeral",_xlfn.XLOOKUP(B390,Table2[Main Member Link ID],Table2[Benefit Name],0)=Lookups!$D$14),"",
IF(AND(Table2[[#This Row],[Member Type]]="Child",Table2[[#This Row],[Product Option]]="My Value Plus Life &amp; Funeral",_xlfn.XLOOKUP(B390,Table2[Main Member Link ID],Table2[Benefit Name],0)=Lookups!$D$15),"",
IF(AND(Table2[[#This Row],[Member Type]]="Child",Table2[[#This Row],[Product Option]]="My Value Plus Life &amp; Funeral",_xlfn.XLOOKUP(B390,Table2[Main Member Link ID],Table2[Benefit Name],0)=Lookups!$D$16),Lookups!$D$24,
IF(AND(Table2[[#This Row],[Member Type]]="Child",Table2[[#This Row],[Product Option]]="My Value Plus Life &amp; Funeral",_xlfn.XLOOKUP(B390,Table2[Main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Funeral",_xlfn.XLOOKUP(B390,Table2[Main Member Link ID],Table2[Benefit Name],0)&lt;&gt;Lookups!$D$14),
IF(_xlfn.XLOOKUP(B390,Table2[Main Member Link ID],Table2[Benefit Name],0)=0,"",_xlfn.XLOOKUP(B390,Table2[Main Member Link ID],Table2[Benefit Name],0)),"")))))))))))))))</f>
        <v/>
      </c>
      <c r="AF390" s="327" t="str">
        <f>IF(AND(Table2[[#This Row],[Member Type]]="Main Member",Table2[[#This Row],[Product Option]]="My Value Plus Life &amp; Funeral"),Lookups!$D$15,
IF(AND(Table2[[#This Row],[Member Type]]="Spouse",Table2[[#This Row],[Product Option]]="My Value Plus Life &amp; Funeral",_xlfn.XLOOKUP(B390,Table2[Main Member Link ID],Table2[Benefit Name],0)=Lookups!$D$14),"",
IF(AND(Table2[[#This Row],[Member Type]]="Spouse",Table2[[#This Row],[Product Option]]="My Value Plus Life &amp; Funeral",_xlfn.XLOOKUP(B389,Table2[Main Member Link ID],Table2[Benefit Name],0)=Lookups!$D$16),"",
IF(AND(Table2[[#This Row],[Member Type]]="Spouse",Table2[[#This Row],[Product Option]]="My Value Plus Life &amp; Funeral",_xlfn.XLOOKUP(B389,Table2[Main Member Link ID],Table2[Benefit Name],0)=Lookups!$D$15),"",
IF(AND(Table2[[#This Row],[Member Type]]="Spouse",Table2[[#This Row],[Product Option]]="My Value Plus Life &amp; Funeral",_xlfn.XLOOKUP(B389,Table2[Main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Funeral",_xlfn.XLOOKUP(B390,Table2[Main Member Link ID],Table2[Benefit Name],0)&lt;&gt;Lookups!$D$15),
IF(_xlfn.XLOOKUP(B390,Table2[Main Member Link ID],Table2[Benefit Name],0)=0,"",_xlfn.XLOOKUP(B390,Table2[Main Member Link ID],Table2[Benefit Name],0)),"")
))))))</f>
        <v/>
      </c>
      <c r="AG390" s="327" t="str">
        <f>IF(AND(Table2[[#This Row],[Member Type]]="Main Member",Table2[[#This Row],[Product Option]]="My Value Plus Life &amp; Funeral"),Lookups!$D$16,
IF(AND(Table2[[#This Row],[Member Type]]="Spouse",Table2[[#This Row],[Product Option]]="My Value Plus Life &amp; Funeral",_xlfn.XLOOKUP(B390,Table2[Main Member Link ID],Table2[Benefit Name],0)=Lookups!$D$14),"",
IF(AND(Table2[[#This Row],[Member Type]]="Spouse",Table2[[#This Row],[Product Option]]="My Value Plus Life &amp; Funeral",_xlfn.XLOOKUP(B389,Table2[Main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Funeral",_xlfn.XLOOKUP(B390,Table2[Main Member Link ID],Table2[Benefit Name],0)&lt;&gt;Lookups!$D$16),
IF(_xlfn.XLOOKUP(B390,Table2[Main Member Link ID],Table2[Benefit Name],0)=0,"",_xlfn.XLOOKUP(B390,Table2[Main Member Link ID],Table2[Benefit Name],0)),"")
))))</f>
        <v/>
      </c>
      <c r="AH390" s="327" t="str">
        <f>IF(AND(Table2[[#This Row],[Member Type]]="Main Member",Table2[[#This Row],[Product Option]]="My Value Plus Life &amp; Funeral"),Lookups!$D$17,
IF(AND(Table2[[#This Row],[Member Type]]="Spouse",Table2[[#This Row],[Product Option]]="My Value Plus Life &amp; Funeral",_xlfn.XLOOKUP(B390,Table2[Main Member Link ID],Table2[Benefit Name],0)=Lookups!$D$14),"",
IF(AND(Table2[[#This Row],[Member Type]]="Spouse",Table2[[#This Row],[Product Option]]="My Value Plus Life &amp; Funeral",_xlfn.XLOOKUP(B389,Table2[Main Member Link ID],Table2[Benefit Name],0)=Lookups!$D$16),"",
IF(AND(Table2[[#This Row],[Member Type]]="Child",Table2[[#This Row],[Product Option]]="My Value Plus Life &amp; Funeral"),"",
IF(AND(Table2[[#This Row],[Member Type]]="Child",Table2[[#This Row],[Product Option]]="My Value Plus Life &amp; Funeral",_xlfn.XLOOKUP(B390,Table2[Main Member Link ID],Table2[Benefit Name],0)=Lookups!$D$15),"",
IF(AND(OR(Table2[[#This Row],[Member Type]]="Spouse",Table2[[#This Row],[Member Type]]="Child"),Table2[[#This Row],[Product Option]]="My Value Plus Life &amp; Funeral",_xlfn.XLOOKUP(B390,Table2[Main Member Link ID],Table2[Benefit Name],0)&lt;&gt;Lookups!$D$17),
IF(_xlfn.XLOOKUP(B390,Table2[Main Member Link ID],Table2[Benefit Name],0)=0,"",_xlfn.XLOOKUP(B390,Table2[Main Member Link ID],Table2[Benefit Name],0)),""))))))</f>
        <v/>
      </c>
      <c r="AI390" s="328" t="str">
        <f>IF(AND(Table2[[#This Row],[Member Type]]="Main Member",Table2[[#This Row],[Table Lookup for Life Cover]]="MM_LIFE",Table2[[#This Row],[Age Next Birthday]]&lt;56),1,
IF(AND(Table2[[#This Row],[Member Type]]="Main Member",Table2[[#This Row],[Table Lookup for Life Cover]]="MM_LIFE",Table2[[#This Row],[Age Next Birthday]]&gt;=56),2,
""))</f>
        <v/>
      </c>
      <c r="AJ390" s="328">
        <f>IF(OR(Table2[[#This Row],[Member Type]]="Main Member",Table2[[#This Row],[Main Member Link ID]]=B389),1,0)</f>
        <v>1</v>
      </c>
      <c r="AK390" s="328">
        <f>IF(Table2[[#This Row],[Member Type]]=0,0,
IF(OR(Table2[[#This Row],[Member Type]]="Main Member",Table2[[#This Row],[Main Member Link ID]]&lt;&gt;B390),COUNTIFS(B:B,Table2[[#This Row],[Main Member Link ID]]),
COUNTIFS(B:B,Table2[[#This Row],[Main Member Link ID]],A:A,Table2[[#This Row],[Member Type]])))</f>
        <v>0</v>
      </c>
    </row>
    <row r="391" spans="1:37" x14ac:dyDescent="0.3">
      <c r="A391" s="284">
        <f>Table13[[#This Row],[Member Type]]</f>
        <v>0</v>
      </c>
      <c r="B391" s="284">
        <f>Table13[[#This Row],[Main Member Link ID]]</f>
        <v>0</v>
      </c>
      <c r="C391" s="284">
        <f>Table13[[#This Row],[ID Number]]</f>
        <v>0</v>
      </c>
      <c r="D391" s="285">
        <f>Table13[[#This Row],[Date Of Birth]]</f>
        <v>0</v>
      </c>
      <c r="E391" s="285">
        <f>Table13[[#This Row],[Commencement Date]]</f>
        <v>0</v>
      </c>
      <c r="F391" s="284">
        <f t="shared" si="42"/>
        <v>1</v>
      </c>
      <c r="G391" s="284">
        <f t="shared" si="43"/>
        <v>25</v>
      </c>
      <c r="H391" s="286">
        <f>Table13[[#This Row],[Product Option]]</f>
        <v>0</v>
      </c>
      <c r="I391" s="284">
        <f>IF(AND($A391="Main Member",Table2[[#This Row],[Product Option]]="My Value Plus Life"),"MM_LIFE",
IF(AND($A391="Spouse",Table2[[#This Row],[Product Option]]="My Value Plus Life"),"SP_LIFE",
IF(AND($A391="Main Member",Table2[[#This Row],[Product Option]]="My Value Plus Life &amp; Funeral"),"MM_LIFE",
IF(AND($A391="Spouse",Table2[[#This Row],[Product Option]]="My Value Plus Life &amp; Funeral"),_xlfn.XLOOKUP(Table2[[#This Row],[Benefit Name]],Lookups!$D$18:$D$23,Lookups!$E$18:$E$23,0),
0))))</f>
        <v>0</v>
      </c>
      <c r="J391" s="284">
        <f>IF($I391="","",
IF($I391="MM_LIFE",INDEX('Quotation Tool'!$S$54:$V$60,MATCH($T391,'Quotation Tool'!$S$54:$S$60,0),4),
IF($I391="SP_LIFE",_xlfn.XLOOKUP(B390,$B:$B,$J:$J,0),0)))</f>
        <v>0</v>
      </c>
      <c r="K391" s="287">
        <f t="shared" ca="1" si="47"/>
        <v>0</v>
      </c>
      <c r="L391" s="288">
        <f t="shared" ca="1" si="48"/>
        <v>0</v>
      </c>
      <c r="M391" s="289">
        <f t="shared" ca="1" si="44"/>
        <v>0</v>
      </c>
      <c r="N391" s="286">
        <f>Table13[[#This Row],[Benefit Option]]</f>
        <v>0</v>
      </c>
      <c r="O391" s="284">
        <f>IF(OR(Table2[[#This Row],[Member Type]]="Spouse",Table2[[#This Row],[Member Type]]="Child"),0,
IF(_xlfn.XLOOKUP($N391,Lookups!$D$13:$D$27,Lookups!$F$13:$F$27,0)=Table2[[#This Row],[Table Lookup for Life Cover]],0,
_xlfn.XLOOKUP($N391,Lookups!$D$13:$D$27,Lookups!$F$13:$F$27,0)))</f>
        <v>0</v>
      </c>
      <c r="P391" s="284">
        <f>IF(Table2[[#This Row],[Table Lookup for Funeral]]=0,0,IFERROR(INDEX('Quotation Tool'!$S$54:$V$60,MATCH($T391,'Quotation Tool'!$S$54:$S$60,0),3),0))</f>
        <v>0</v>
      </c>
      <c r="Q391" s="288">
        <f ca="1">IF(OR(Table2[[#This Row],[Benefit Name]]="My Value Plus Life - Main Member",Table2[[#This Row],[Benefit Name]]="My Value Plus Life - Spouse"),0,
IFERROR(VLOOKUP($G391,INDIRECT($O391),$P391,FALSE),0))</f>
        <v>0</v>
      </c>
      <c r="R391" s="288">
        <f ca="1">IF(OR(Table2[[#This Row],[Benefit Name]]="My Value Plus Life - Main Member",Table2[[#This Row],[Benefit Name]]="My Value Plus Life - Spouse"),0,
IFERROR(VLOOKUP($G391,INDIRECT($O391),$P391+1,FALSE),0))</f>
        <v>0</v>
      </c>
      <c r="S391" s="289">
        <f t="shared" ca="1" si="45"/>
        <v>0</v>
      </c>
      <c r="T391" s="284" t="str">
        <f>IF(Table13[[#This Row],[Premium Waiver]]="","None",Table13[[#This Row],[Premium Waiver]])</f>
        <v>None</v>
      </c>
      <c r="U391" s="284">
        <f>Table13[[#This Row],[VAPs Options]]</f>
        <v>0</v>
      </c>
      <c r="V391" s="284">
        <f>Table13[[#This Row],[Annual Increase Option]]</f>
        <v>0</v>
      </c>
      <c r="W391" s="290">
        <f>Table13[[#This Row],[Life Cover Amount]]</f>
        <v>0</v>
      </c>
      <c r="X391" s="290">
        <f>Table13[[#This Row],[Funeral Cover Amount]]</f>
        <v>0</v>
      </c>
      <c r="Y39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9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91" s="301">
        <f t="shared" ca="1" si="46"/>
        <v>0</v>
      </c>
      <c r="AB391" s="298"/>
      <c r="AC391" s="326" t="str">
        <f>IF(Table2[[#This Row],[Member Type]]="Main Member",Lookups!$C$13,
IF(Table2[[#This Row],[Member Type]]="Spouse",_xlfn.XLOOKUP(B391,Table2[Main Member Link ID],Table2[Product Option],0),
IF(AND(Table2[[#This Row],[Member Type]]="Child",_xlfn.XLOOKUP(B391,Table2[Main Member Link ID],Table2[Product Option],0)&lt;&gt;"My Value Plus Life"),Lookups!$C$24,
IF(AND(OR(Table2[[#This Row],[Member Type]]="Parent",Table2[[#This Row],[Member Type]]="Extended"),_xlfn.XLOOKUP(B391,Table2[Main Member Link ID],Table2[Product Option],0)&lt;&gt;"My Value Plus Life"),Lookups!$C$26,""))))</f>
        <v/>
      </c>
      <c r="AD391" s="326" t="str">
        <f>IF(Table2[[#This Row],[Member Type]]="Main Member",Lookups!$C$14,"")</f>
        <v/>
      </c>
      <c r="AE39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Funeral",_xlfn.XLOOKUP(B391,Table2[Main Member Link ID],Table2[Benefit Name],0)=Lookups!$D$14),"",
IF(AND(Table2[[#This Row],[Member Type]]="Spouse",Table2[[#This Row],[Product Option]]="My Value Plus Life &amp; Funeral",_xlfn.XLOOKUP(B390,Table2[Main Member Link ID],Table2[Benefit Name],0)=Lookups!$D$15),Lookups!$D$20,
IF(AND(Table2[[#This Row],[Member Type]]="Spouse",Table2[[#This Row],[Product Option]]="My Value Plus Life &amp; Funeral",_xlfn.XLOOKUP(B390,Table2[Main Member Link ID],Table2[Benefit Name],0)=Lookups!$D$16),"",
IF(AND(Table2[[#This Row],[Member Type]]="Spouse",Table2[[#This Row],[Product Option]]="My Value Plus Life &amp; Funeral",_xlfn.XLOOKUP(B390,Table2[Main Member Link ID],Table2[Benefit Name],0)=Lookups!$D$17),Lookups!$D$21,
IF(AND(Table2[[#This Row],[Member Type]]="Child",Table2[[#This Row],[Product Option]]="My Value Plus Life &amp; Funeral",_xlfn.XLOOKUP(B391,Table2[Main Member Link ID],Table2[Benefit Name],0)=Lookups!$D$14),"",
IF(AND(Table2[[#This Row],[Member Type]]="Child",Table2[[#This Row],[Product Option]]="My Value Plus Life &amp; Funeral",_xlfn.XLOOKUP(B391,Table2[Main Member Link ID],Table2[Benefit Name],0)=Lookups!$D$15),"",
IF(AND(Table2[[#This Row],[Member Type]]="Child",Table2[[#This Row],[Product Option]]="My Value Plus Life &amp; Funeral",_xlfn.XLOOKUP(B391,Table2[Main Member Link ID],Table2[Benefit Name],0)=Lookups!$D$16),Lookups!$D$24,
IF(AND(Table2[[#This Row],[Member Type]]="Child",Table2[[#This Row],[Product Option]]="My Value Plus Life &amp; Funeral",_xlfn.XLOOKUP(B391,Table2[Main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Funeral",_xlfn.XLOOKUP(B391,Table2[Main Member Link ID],Table2[Benefit Name],0)&lt;&gt;Lookups!$D$14),
IF(_xlfn.XLOOKUP(B391,Table2[Main Member Link ID],Table2[Benefit Name],0)=0,"",_xlfn.XLOOKUP(B391,Table2[Main Member Link ID],Table2[Benefit Name],0)),"")))))))))))))))</f>
        <v/>
      </c>
      <c r="AF391" s="327" t="str">
        <f>IF(AND(Table2[[#This Row],[Member Type]]="Main Member",Table2[[#This Row],[Product Option]]="My Value Plus Life &amp; Funeral"),Lookups!$D$15,
IF(AND(Table2[[#This Row],[Member Type]]="Spouse",Table2[[#This Row],[Product Option]]="My Value Plus Life &amp; Funeral",_xlfn.XLOOKUP(B391,Table2[Main Member Link ID],Table2[Benefit Name],0)=Lookups!$D$14),"",
IF(AND(Table2[[#This Row],[Member Type]]="Spouse",Table2[[#This Row],[Product Option]]="My Value Plus Life &amp; Funeral",_xlfn.XLOOKUP(B390,Table2[Main Member Link ID],Table2[Benefit Name],0)=Lookups!$D$16),"",
IF(AND(Table2[[#This Row],[Member Type]]="Spouse",Table2[[#This Row],[Product Option]]="My Value Plus Life &amp; Funeral",_xlfn.XLOOKUP(B390,Table2[Main Member Link ID],Table2[Benefit Name],0)=Lookups!$D$15),"",
IF(AND(Table2[[#This Row],[Member Type]]="Spouse",Table2[[#This Row],[Product Option]]="My Value Plus Life &amp; Funeral",_xlfn.XLOOKUP(B390,Table2[Main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Funeral",_xlfn.XLOOKUP(B391,Table2[Main Member Link ID],Table2[Benefit Name],0)&lt;&gt;Lookups!$D$15),
IF(_xlfn.XLOOKUP(B391,Table2[Main Member Link ID],Table2[Benefit Name],0)=0,"",_xlfn.XLOOKUP(B391,Table2[Main Member Link ID],Table2[Benefit Name],0)),"")
))))))</f>
        <v/>
      </c>
      <c r="AG391" s="327" t="str">
        <f>IF(AND(Table2[[#This Row],[Member Type]]="Main Member",Table2[[#This Row],[Product Option]]="My Value Plus Life &amp; Funeral"),Lookups!$D$16,
IF(AND(Table2[[#This Row],[Member Type]]="Spouse",Table2[[#This Row],[Product Option]]="My Value Plus Life &amp; Funeral",_xlfn.XLOOKUP(B391,Table2[Main Member Link ID],Table2[Benefit Name],0)=Lookups!$D$14),"",
IF(AND(Table2[[#This Row],[Member Type]]="Spouse",Table2[[#This Row],[Product Option]]="My Value Plus Life &amp; Funeral",_xlfn.XLOOKUP(B390,Table2[Main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Funeral",_xlfn.XLOOKUP(B391,Table2[Main Member Link ID],Table2[Benefit Name],0)&lt;&gt;Lookups!$D$16),
IF(_xlfn.XLOOKUP(B391,Table2[Main Member Link ID],Table2[Benefit Name],0)=0,"",_xlfn.XLOOKUP(B391,Table2[Main Member Link ID],Table2[Benefit Name],0)),"")
))))</f>
        <v/>
      </c>
      <c r="AH391" s="327" t="str">
        <f>IF(AND(Table2[[#This Row],[Member Type]]="Main Member",Table2[[#This Row],[Product Option]]="My Value Plus Life &amp; Funeral"),Lookups!$D$17,
IF(AND(Table2[[#This Row],[Member Type]]="Spouse",Table2[[#This Row],[Product Option]]="My Value Plus Life &amp; Funeral",_xlfn.XLOOKUP(B391,Table2[Main Member Link ID],Table2[Benefit Name],0)=Lookups!$D$14),"",
IF(AND(Table2[[#This Row],[Member Type]]="Spouse",Table2[[#This Row],[Product Option]]="My Value Plus Life &amp; Funeral",_xlfn.XLOOKUP(B390,Table2[Main Member Link ID],Table2[Benefit Name],0)=Lookups!$D$16),"",
IF(AND(Table2[[#This Row],[Member Type]]="Child",Table2[[#This Row],[Product Option]]="My Value Plus Life &amp; Funeral"),"",
IF(AND(Table2[[#This Row],[Member Type]]="Child",Table2[[#This Row],[Product Option]]="My Value Plus Life &amp; Funeral",_xlfn.XLOOKUP(B391,Table2[Main Member Link ID],Table2[Benefit Name],0)=Lookups!$D$15),"",
IF(AND(OR(Table2[[#This Row],[Member Type]]="Spouse",Table2[[#This Row],[Member Type]]="Child"),Table2[[#This Row],[Product Option]]="My Value Plus Life &amp; Funeral",_xlfn.XLOOKUP(B391,Table2[Main Member Link ID],Table2[Benefit Name],0)&lt;&gt;Lookups!$D$17),
IF(_xlfn.XLOOKUP(B391,Table2[Main Member Link ID],Table2[Benefit Name],0)=0,"",_xlfn.XLOOKUP(B391,Table2[Main Member Link ID],Table2[Benefit Name],0)),""))))))</f>
        <v/>
      </c>
      <c r="AI391" s="328" t="str">
        <f>IF(AND(Table2[[#This Row],[Member Type]]="Main Member",Table2[[#This Row],[Table Lookup for Life Cover]]="MM_LIFE",Table2[[#This Row],[Age Next Birthday]]&lt;56),1,
IF(AND(Table2[[#This Row],[Member Type]]="Main Member",Table2[[#This Row],[Table Lookup for Life Cover]]="MM_LIFE",Table2[[#This Row],[Age Next Birthday]]&gt;=56),2,
""))</f>
        <v/>
      </c>
      <c r="AJ391" s="328">
        <f>IF(OR(Table2[[#This Row],[Member Type]]="Main Member",Table2[[#This Row],[Main Member Link ID]]=B390),1,0)</f>
        <v>1</v>
      </c>
      <c r="AK391" s="328">
        <f>IF(Table2[[#This Row],[Member Type]]=0,0,
IF(OR(Table2[[#This Row],[Member Type]]="Main Member",Table2[[#This Row],[Main Member Link ID]]&lt;&gt;B391),COUNTIFS(B:B,Table2[[#This Row],[Main Member Link ID]]),
COUNTIFS(B:B,Table2[[#This Row],[Main Member Link ID]],A:A,Table2[[#This Row],[Member Type]])))</f>
        <v>0</v>
      </c>
    </row>
    <row r="392" spans="1:37" x14ac:dyDescent="0.3">
      <c r="A392" s="284">
        <f>Table13[[#This Row],[Member Type]]</f>
        <v>0</v>
      </c>
      <c r="B392" s="284">
        <f>Table13[[#This Row],[Main Member Link ID]]</f>
        <v>0</v>
      </c>
      <c r="C392" s="284">
        <f>Table13[[#This Row],[ID Number]]</f>
        <v>0</v>
      </c>
      <c r="D392" s="285">
        <f>Table13[[#This Row],[Date Of Birth]]</f>
        <v>0</v>
      </c>
      <c r="E392" s="285">
        <f>Table13[[#This Row],[Commencement Date]]</f>
        <v>0</v>
      </c>
      <c r="F392" s="284">
        <f t="shared" si="42"/>
        <v>1</v>
      </c>
      <c r="G392" s="284">
        <f t="shared" si="43"/>
        <v>25</v>
      </c>
      <c r="H392" s="286">
        <f>Table13[[#This Row],[Product Option]]</f>
        <v>0</v>
      </c>
      <c r="I392" s="284">
        <f>IF(AND($A392="Main Member",Table2[[#This Row],[Product Option]]="My Value Plus Life"),"MM_LIFE",
IF(AND($A392="Spouse",Table2[[#This Row],[Product Option]]="My Value Plus Life"),"SP_LIFE",
IF(AND($A392="Main Member",Table2[[#This Row],[Product Option]]="My Value Plus Life &amp; Funeral"),"MM_LIFE",
IF(AND($A392="Spouse",Table2[[#This Row],[Product Option]]="My Value Plus Life &amp; Funeral"),_xlfn.XLOOKUP(Table2[[#This Row],[Benefit Name]],Lookups!$D$18:$D$23,Lookups!$E$18:$E$23,0),
0))))</f>
        <v>0</v>
      </c>
      <c r="J392" s="284">
        <f>IF($I392="","",
IF($I392="MM_LIFE",INDEX('Quotation Tool'!$S$54:$V$60,MATCH($T392,'Quotation Tool'!$S$54:$S$60,0),4),
IF($I392="SP_LIFE",_xlfn.XLOOKUP(B391,$B:$B,$J:$J,0),0)))</f>
        <v>0</v>
      </c>
      <c r="K392" s="287">
        <f t="shared" ca="1" si="47"/>
        <v>0</v>
      </c>
      <c r="L392" s="288">
        <f t="shared" ca="1" si="48"/>
        <v>0</v>
      </c>
      <c r="M392" s="289">
        <f t="shared" ca="1" si="44"/>
        <v>0</v>
      </c>
      <c r="N392" s="286">
        <f>Table13[[#This Row],[Benefit Option]]</f>
        <v>0</v>
      </c>
      <c r="O392" s="284">
        <f>IF(OR(Table2[[#This Row],[Member Type]]="Spouse",Table2[[#This Row],[Member Type]]="Child"),0,
IF(_xlfn.XLOOKUP($N392,Lookups!$D$13:$D$27,Lookups!$F$13:$F$27,0)=Table2[[#This Row],[Table Lookup for Life Cover]],0,
_xlfn.XLOOKUP($N392,Lookups!$D$13:$D$27,Lookups!$F$13:$F$27,0)))</f>
        <v>0</v>
      </c>
      <c r="P392" s="284">
        <f>IF(Table2[[#This Row],[Table Lookup for Funeral]]=0,0,IFERROR(INDEX('Quotation Tool'!$S$54:$V$60,MATCH($T392,'Quotation Tool'!$S$54:$S$60,0),3),0))</f>
        <v>0</v>
      </c>
      <c r="Q392" s="288">
        <f ca="1">IF(OR(Table2[[#This Row],[Benefit Name]]="My Value Plus Life - Main Member",Table2[[#This Row],[Benefit Name]]="My Value Plus Life - Spouse"),0,
IFERROR(VLOOKUP($G392,INDIRECT($O392),$P392,FALSE),0))</f>
        <v>0</v>
      </c>
      <c r="R392" s="288">
        <f ca="1">IF(OR(Table2[[#This Row],[Benefit Name]]="My Value Plus Life - Main Member",Table2[[#This Row],[Benefit Name]]="My Value Plus Life - Spouse"),0,
IFERROR(VLOOKUP($G392,INDIRECT($O392),$P392+1,FALSE),0))</f>
        <v>0</v>
      </c>
      <c r="S392" s="289">
        <f t="shared" ca="1" si="45"/>
        <v>0</v>
      </c>
      <c r="T392" s="284" t="str">
        <f>IF(Table13[[#This Row],[Premium Waiver]]="","None",Table13[[#This Row],[Premium Waiver]])</f>
        <v>None</v>
      </c>
      <c r="U392" s="284">
        <f>Table13[[#This Row],[VAPs Options]]</f>
        <v>0</v>
      </c>
      <c r="V392" s="284">
        <f>Table13[[#This Row],[Annual Increase Option]]</f>
        <v>0</v>
      </c>
      <c r="W392" s="290">
        <f>Table13[[#This Row],[Life Cover Amount]]</f>
        <v>0</v>
      </c>
      <c r="X392" s="290">
        <f>Table13[[#This Row],[Funeral Cover Amount]]</f>
        <v>0</v>
      </c>
      <c r="Y39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9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92" s="301">
        <f t="shared" ca="1" si="46"/>
        <v>0</v>
      </c>
      <c r="AB392" s="298"/>
      <c r="AC392" s="326" t="str">
        <f>IF(Table2[[#This Row],[Member Type]]="Main Member",Lookups!$C$13,
IF(Table2[[#This Row],[Member Type]]="Spouse",_xlfn.XLOOKUP(B392,Table2[Main Member Link ID],Table2[Product Option],0),
IF(AND(Table2[[#This Row],[Member Type]]="Child",_xlfn.XLOOKUP(B392,Table2[Main Member Link ID],Table2[Product Option],0)&lt;&gt;"My Value Plus Life"),Lookups!$C$24,
IF(AND(OR(Table2[[#This Row],[Member Type]]="Parent",Table2[[#This Row],[Member Type]]="Extended"),_xlfn.XLOOKUP(B392,Table2[Main Member Link ID],Table2[Product Option],0)&lt;&gt;"My Value Plus Life"),Lookups!$C$26,""))))</f>
        <v/>
      </c>
      <c r="AD392" s="326" t="str">
        <f>IF(Table2[[#This Row],[Member Type]]="Main Member",Lookups!$C$14,"")</f>
        <v/>
      </c>
      <c r="AE39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Funeral",_xlfn.XLOOKUP(B392,Table2[Main Member Link ID],Table2[Benefit Name],0)=Lookups!$D$14),"",
IF(AND(Table2[[#This Row],[Member Type]]="Spouse",Table2[[#This Row],[Product Option]]="My Value Plus Life &amp; Funeral",_xlfn.XLOOKUP(B391,Table2[Main Member Link ID],Table2[Benefit Name],0)=Lookups!$D$15),Lookups!$D$20,
IF(AND(Table2[[#This Row],[Member Type]]="Spouse",Table2[[#This Row],[Product Option]]="My Value Plus Life &amp; Funeral",_xlfn.XLOOKUP(B391,Table2[Main Member Link ID],Table2[Benefit Name],0)=Lookups!$D$16),"",
IF(AND(Table2[[#This Row],[Member Type]]="Spouse",Table2[[#This Row],[Product Option]]="My Value Plus Life &amp; Funeral",_xlfn.XLOOKUP(B391,Table2[Main Member Link ID],Table2[Benefit Name],0)=Lookups!$D$17),Lookups!$D$21,
IF(AND(Table2[[#This Row],[Member Type]]="Child",Table2[[#This Row],[Product Option]]="My Value Plus Life &amp; Funeral",_xlfn.XLOOKUP(B392,Table2[Main Member Link ID],Table2[Benefit Name],0)=Lookups!$D$14),"",
IF(AND(Table2[[#This Row],[Member Type]]="Child",Table2[[#This Row],[Product Option]]="My Value Plus Life &amp; Funeral",_xlfn.XLOOKUP(B392,Table2[Main Member Link ID],Table2[Benefit Name],0)=Lookups!$D$15),"",
IF(AND(Table2[[#This Row],[Member Type]]="Child",Table2[[#This Row],[Product Option]]="My Value Plus Life &amp; Funeral",_xlfn.XLOOKUP(B392,Table2[Main Member Link ID],Table2[Benefit Name],0)=Lookups!$D$16),Lookups!$D$24,
IF(AND(Table2[[#This Row],[Member Type]]="Child",Table2[[#This Row],[Product Option]]="My Value Plus Life &amp; Funeral",_xlfn.XLOOKUP(B392,Table2[Main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Funeral",_xlfn.XLOOKUP(B392,Table2[Main Member Link ID],Table2[Benefit Name],0)&lt;&gt;Lookups!$D$14),
IF(_xlfn.XLOOKUP(B392,Table2[Main Member Link ID],Table2[Benefit Name],0)=0,"",_xlfn.XLOOKUP(B392,Table2[Main Member Link ID],Table2[Benefit Name],0)),"")))))))))))))))</f>
        <v/>
      </c>
      <c r="AF392" s="327" t="str">
        <f>IF(AND(Table2[[#This Row],[Member Type]]="Main Member",Table2[[#This Row],[Product Option]]="My Value Plus Life &amp; Funeral"),Lookups!$D$15,
IF(AND(Table2[[#This Row],[Member Type]]="Spouse",Table2[[#This Row],[Product Option]]="My Value Plus Life &amp; Funeral",_xlfn.XLOOKUP(B392,Table2[Main Member Link ID],Table2[Benefit Name],0)=Lookups!$D$14),"",
IF(AND(Table2[[#This Row],[Member Type]]="Spouse",Table2[[#This Row],[Product Option]]="My Value Plus Life &amp; Funeral",_xlfn.XLOOKUP(B391,Table2[Main Member Link ID],Table2[Benefit Name],0)=Lookups!$D$16),"",
IF(AND(Table2[[#This Row],[Member Type]]="Spouse",Table2[[#This Row],[Product Option]]="My Value Plus Life &amp; Funeral",_xlfn.XLOOKUP(B391,Table2[Main Member Link ID],Table2[Benefit Name],0)=Lookups!$D$15),"",
IF(AND(Table2[[#This Row],[Member Type]]="Spouse",Table2[[#This Row],[Product Option]]="My Value Plus Life &amp; Funeral",_xlfn.XLOOKUP(B391,Table2[Main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Funeral",_xlfn.XLOOKUP(B392,Table2[Main Member Link ID],Table2[Benefit Name],0)&lt;&gt;Lookups!$D$15),
IF(_xlfn.XLOOKUP(B392,Table2[Main Member Link ID],Table2[Benefit Name],0)=0,"",_xlfn.XLOOKUP(B392,Table2[Main Member Link ID],Table2[Benefit Name],0)),"")
))))))</f>
        <v/>
      </c>
      <c r="AG392" s="327" t="str">
        <f>IF(AND(Table2[[#This Row],[Member Type]]="Main Member",Table2[[#This Row],[Product Option]]="My Value Plus Life &amp; Funeral"),Lookups!$D$16,
IF(AND(Table2[[#This Row],[Member Type]]="Spouse",Table2[[#This Row],[Product Option]]="My Value Plus Life &amp; Funeral",_xlfn.XLOOKUP(B392,Table2[Main Member Link ID],Table2[Benefit Name],0)=Lookups!$D$14),"",
IF(AND(Table2[[#This Row],[Member Type]]="Spouse",Table2[[#This Row],[Product Option]]="My Value Plus Life &amp; Funeral",_xlfn.XLOOKUP(B391,Table2[Main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Funeral",_xlfn.XLOOKUP(B392,Table2[Main Member Link ID],Table2[Benefit Name],0)&lt;&gt;Lookups!$D$16),
IF(_xlfn.XLOOKUP(B392,Table2[Main Member Link ID],Table2[Benefit Name],0)=0,"",_xlfn.XLOOKUP(B392,Table2[Main Member Link ID],Table2[Benefit Name],0)),"")
))))</f>
        <v/>
      </c>
      <c r="AH392" s="327" t="str">
        <f>IF(AND(Table2[[#This Row],[Member Type]]="Main Member",Table2[[#This Row],[Product Option]]="My Value Plus Life &amp; Funeral"),Lookups!$D$17,
IF(AND(Table2[[#This Row],[Member Type]]="Spouse",Table2[[#This Row],[Product Option]]="My Value Plus Life &amp; Funeral",_xlfn.XLOOKUP(B392,Table2[Main Member Link ID],Table2[Benefit Name],0)=Lookups!$D$14),"",
IF(AND(Table2[[#This Row],[Member Type]]="Spouse",Table2[[#This Row],[Product Option]]="My Value Plus Life &amp; Funeral",_xlfn.XLOOKUP(B391,Table2[Main Member Link ID],Table2[Benefit Name],0)=Lookups!$D$16),"",
IF(AND(Table2[[#This Row],[Member Type]]="Child",Table2[[#This Row],[Product Option]]="My Value Plus Life &amp; Funeral"),"",
IF(AND(Table2[[#This Row],[Member Type]]="Child",Table2[[#This Row],[Product Option]]="My Value Plus Life &amp; Funeral",_xlfn.XLOOKUP(B392,Table2[Main Member Link ID],Table2[Benefit Name],0)=Lookups!$D$15),"",
IF(AND(OR(Table2[[#This Row],[Member Type]]="Spouse",Table2[[#This Row],[Member Type]]="Child"),Table2[[#This Row],[Product Option]]="My Value Plus Life &amp; Funeral",_xlfn.XLOOKUP(B392,Table2[Main Member Link ID],Table2[Benefit Name],0)&lt;&gt;Lookups!$D$17),
IF(_xlfn.XLOOKUP(B392,Table2[Main Member Link ID],Table2[Benefit Name],0)=0,"",_xlfn.XLOOKUP(B392,Table2[Main Member Link ID],Table2[Benefit Name],0)),""))))))</f>
        <v/>
      </c>
      <c r="AI392" s="328" t="str">
        <f>IF(AND(Table2[[#This Row],[Member Type]]="Main Member",Table2[[#This Row],[Table Lookup for Life Cover]]="MM_LIFE",Table2[[#This Row],[Age Next Birthday]]&lt;56),1,
IF(AND(Table2[[#This Row],[Member Type]]="Main Member",Table2[[#This Row],[Table Lookup for Life Cover]]="MM_LIFE",Table2[[#This Row],[Age Next Birthday]]&gt;=56),2,
""))</f>
        <v/>
      </c>
      <c r="AJ392" s="328">
        <f>IF(OR(Table2[[#This Row],[Member Type]]="Main Member",Table2[[#This Row],[Main Member Link ID]]=B391),1,0)</f>
        <v>1</v>
      </c>
      <c r="AK392" s="328">
        <f>IF(Table2[[#This Row],[Member Type]]=0,0,
IF(OR(Table2[[#This Row],[Member Type]]="Main Member",Table2[[#This Row],[Main Member Link ID]]&lt;&gt;B392),COUNTIFS(B:B,Table2[[#This Row],[Main Member Link ID]]),
COUNTIFS(B:B,Table2[[#This Row],[Main Member Link ID]],A:A,Table2[[#This Row],[Member Type]])))</f>
        <v>0</v>
      </c>
    </row>
    <row r="393" spans="1:37" x14ac:dyDescent="0.3">
      <c r="A393" s="284">
        <f>Table13[[#This Row],[Member Type]]</f>
        <v>0</v>
      </c>
      <c r="B393" s="284">
        <f>Table13[[#This Row],[Main Member Link ID]]</f>
        <v>0</v>
      </c>
      <c r="C393" s="284">
        <f>Table13[[#This Row],[ID Number]]</f>
        <v>0</v>
      </c>
      <c r="D393" s="285">
        <f>Table13[[#This Row],[Date Of Birth]]</f>
        <v>0</v>
      </c>
      <c r="E393" s="285">
        <f>Table13[[#This Row],[Commencement Date]]</f>
        <v>0</v>
      </c>
      <c r="F393" s="284">
        <f t="shared" si="42"/>
        <v>1</v>
      </c>
      <c r="G393" s="284">
        <f t="shared" si="43"/>
        <v>25</v>
      </c>
      <c r="H393" s="286">
        <f>Table13[[#This Row],[Product Option]]</f>
        <v>0</v>
      </c>
      <c r="I393" s="284">
        <f>IF(AND($A393="Main Member",Table2[[#This Row],[Product Option]]="My Value Plus Life"),"MM_LIFE",
IF(AND($A393="Spouse",Table2[[#This Row],[Product Option]]="My Value Plus Life"),"SP_LIFE",
IF(AND($A393="Main Member",Table2[[#This Row],[Product Option]]="My Value Plus Life &amp; Funeral"),"MM_LIFE",
IF(AND($A393="Spouse",Table2[[#This Row],[Product Option]]="My Value Plus Life &amp; Funeral"),_xlfn.XLOOKUP(Table2[[#This Row],[Benefit Name]],Lookups!$D$18:$D$23,Lookups!$E$18:$E$23,0),
0))))</f>
        <v>0</v>
      </c>
      <c r="J393" s="284">
        <f>IF($I393="","",
IF($I393="MM_LIFE",INDEX('Quotation Tool'!$S$54:$V$60,MATCH($T393,'Quotation Tool'!$S$54:$S$60,0),4),
IF($I393="SP_LIFE",_xlfn.XLOOKUP(B392,$B:$B,$J:$J,0),0)))</f>
        <v>0</v>
      </c>
      <c r="K393" s="287">
        <f t="shared" ca="1" si="47"/>
        <v>0</v>
      </c>
      <c r="L393" s="288">
        <f t="shared" ca="1" si="48"/>
        <v>0</v>
      </c>
      <c r="M393" s="289">
        <f t="shared" ca="1" si="44"/>
        <v>0</v>
      </c>
      <c r="N393" s="286">
        <f>Table13[[#This Row],[Benefit Option]]</f>
        <v>0</v>
      </c>
      <c r="O393" s="284">
        <f>IF(OR(Table2[[#This Row],[Member Type]]="Spouse",Table2[[#This Row],[Member Type]]="Child"),0,
IF(_xlfn.XLOOKUP($N393,Lookups!$D$13:$D$27,Lookups!$F$13:$F$27,0)=Table2[[#This Row],[Table Lookup for Life Cover]],0,
_xlfn.XLOOKUP($N393,Lookups!$D$13:$D$27,Lookups!$F$13:$F$27,0)))</f>
        <v>0</v>
      </c>
      <c r="P393" s="284">
        <f>IF(Table2[[#This Row],[Table Lookup for Funeral]]=0,0,IFERROR(INDEX('Quotation Tool'!$S$54:$V$60,MATCH($T393,'Quotation Tool'!$S$54:$S$60,0),3),0))</f>
        <v>0</v>
      </c>
      <c r="Q393" s="288">
        <f ca="1">IF(OR(Table2[[#This Row],[Benefit Name]]="My Value Plus Life - Main Member",Table2[[#This Row],[Benefit Name]]="My Value Plus Life - Spouse"),0,
IFERROR(VLOOKUP($G393,INDIRECT($O393),$P393,FALSE),0))</f>
        <v>0</v>
      </c>
      <c r="R393" s="288">
        <f ca="1">IF(OR(Table2[[#This Row],[Benefit Name]]="My Value Plus Life - Main Member",Table2[[#This Row],[Benefit Name]]="My Value Plus Life - Spouse"),0,
IFERROR(VLOOKUP($G393,INDIRECT($O393),$P393+1,FALSE),0))</f>
        <v>0</v>
      </c>
      <c r="S393" s="289">
        <f t="shared" ca="1" si="45"/>
        <v>0</v>
      </c>
      <c r="T393" s="284" t="str">
        <f>IF(Table13[[#This Row],[Premium Waiver]]="","None",Table13[[#This Row],[Premium Waiver]])</f>
        <v>None</v>
      </c>
      <c r="U393" s="284">
        <f>Table13[[#This Row],[VAPs Options]]</f>
        <v>0</v>
      </c>
      <c r="V393" s="284">
        <f>Table13[[#This Row],[Annual Increase Option]]</f>
        <v>0</v>
      </c>
      <c r="W393" s="290">
        <f>Table13[[#This Row],[Life Cover Amount]]</f>
        <v>0</v>
      </c>
      <c r="X393" s="290">
        <f>Table13[[#This Row],[Funeral Cover Amount]]</f>
        <v>0</v>
      </c>
      <c r="Y39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9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93" s="301">
        <f t="shared" ca="1" si="46"/>
        <v>0</v>
      </c>
      <c r="AB393" s="298"/>
      <c r="AC393" s="326" t="str">
        <f>IF(Table2[[#This Row],[Member Type]]="Main Member",Lookups!$C$13,
IF(Table2[[#This Row],[Member Type]]="Spouse",_xlfn.XLOOKUP(B393,Table2[Main Member Link ID],Table2[Product Option],0),
IF(AND(Table2[[#This Row],[Member Type]]="Child",_xlfn.XLOOKUP(B393,Table2[Main Member Link ID],Table2[Product Option],0)&lt;&gt;"My Value Plus Life"),Lookups!$C$24,
IF(AND(OR(Table2[[#This Row],[Member Type]]="Parent",Table2[[#This Row],[Member Type]]="Extended"),_xlfn.XLOOKUP(B393,Table2[Main Member Link ID],Table2[Product Option],0)&lt;&gt;"My Value Plus Life"),Lookups!$C$26,""))))</f>
        <v/>
      </c>
      <c r="AD393" s="326" t="str">
        <f>IF(Table2[[#This Row],[Member Type]]="Main Member",Lookups!$C$14,"")</f>
        <v/>
      </c>
      <c r="AE39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Funeral",_xlfn.XLOOKUP(B393,Table2[Main Member Link ID],Table2[Benefit Name],0)=Lookups!$D$14),"",
IF(AND(Table2[[#This Row],[Member Type]]="Spouse",Table2[[#This Row],[Product Option]]="My Value Plus Life &amp; Funeral",_xlfn.XLOOKUP(B392,Table2[Main Member Link ID],Table2[Benefit Name],0)=Lookups!$D$15),Lookups!$D$20,
IF(AND(Table2[[#This Row],[Member Type]]="Spouse",Table2[[#This Row],[Product Option]]="My Value Plus Life &amp; Funeral",_xlfn.XLOOKUP(B392,Table2[Main Member Link ID],Table2[Benefit Name],0)=Lookups!$D$16),"",
IF(AND(Table2[[#This Row],[Member Type]]="Spouse",Table2[[#This Row],[Product Option]]="My Value Plus Life &amp; Funeral",_xlfn.XLOOKUP(B392,Table2[Main Member Link ID],Table2[Benefit Name],0)=Lookups!$D$17),Lookups!$D$21,
IF(AND(Table2[[#This Row],[Member Type]]="Child",Table2[[#This Row],[Product Option]]="My Value Plus Life &amp; Funeral",_xlfn.XLOOKUP(B393,Table2[Main Member Link ID],Table2[Benefit Name],0)=Lookups!$D$14),"",
IF(AND(Table2[[#This Row],[Member Type]]="Child",Table2[[#This Row],[Product Option]]="My Value Plus Life &amp; Funeral",_xlfn.XLOOKUP(B393,Table2[Main Member Link ID],Table2[Benefit Name],0)=Lookups!$D$15),"",
IF(AND(Table2[[#This Row],[Member Type]]="Child",Table2[[#This Row],[Product Option]]="My Value Plus Life &amp; Funeral",_xlfn.XLOOKUP(B393,Table2[Main Member Link ID],Table2[Benefit Name],0)=Lookups!$D$16),Lookups!$D$24,
IF(AND(Table2[[#This Row],[Member Type]]="Child",Table2[[#This Row],[Product Option]]="My Value Plus Life &amp; Funeral",_xlfn.XLOOKUP(B393,Table2[Main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Funeral",_xlfn.XLOOKUP(B393,Table2[Main Member Link ID],Table2[Benefit Name],0)&lt;&gt;Lookups!$D$14),
IF(_xlfn.XLOOKUP(B393,Table2[Main Member Link ID],Table2[Benefit Name],0)=0,"",_xlfn.XLOOKUP(B393,Table2[Main Member Link ID],Table2[Benefit Name],0)),"")))))))))))))))</f>
        <v/>
      </c>
      <c r="AF393" s="327" t="str">
        <f>IF(AND(Table2[[#This Row],[Member Type]]="Main Member",Table2[[#This Row],[Product Option]]="My Value Plus Life &amp; Funeral"),Lookups!$D$15,
IF(AND(Table2[[#This Row],[Member Type]]="Spouse",Table2[[#This Row],[Product Option]]="My Value Plus Life &amp; Funeral",_xlfn.XLOOKUP(B393,Table2[Main Member Link ID],Table2[Benefit Name],0)=Lookups!$D$14),"",
IF(AND(Table2[[#This Row],[Member Type]]="Spouse",Table2[[#This Row],[Product Option]]="My Value Plus Life &amp; Funeral",_xlfn.XLOOKUP(B392,Table2[Main Member Link ID],Table2[Benefit Name],0)=Lookups!$D$16),"",
IF(AND(Table2[[#This Row],[Member Type]]="Spouse",Table2[[#This Row],[Product Option]]="My Value Plus Life &amp; Funeral",_xlfn.XLOOKUP(B392,Table2[Main Member Link ID],Table2[Benefit Name],0)=Lookups!$D$15),"",
IF(AND(Table2[[#This Row],[Member Type]]="Spouse",Table2[[#This Row],[Product Option]]="My Value Plus Life &amp; Funeral",_xlfn.XLOOKUP(B392,Table2[Main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Funeral",_xlfn.XLOOKUP(B393,Table2[Main Member Link ID],Table2[Benefit Name],0)&lt;&gt;Lookups!$D$15),
IF(_xlfn.XLOOKUP(B393,Table2[Main Member Link ID],Table2[Benefit Name],0)=0,"",_xlfn.XLOOKUP(B393,Table2[Main Member Link ID],Table2[Benefit Name],0)),"")
))))))</f>
        <v/>
      </c>
      <c r="AG393" s="327" t="str">
        <f>IF(AND(Table2[[#This Row],[Member Type]]="Main Member",Table2[[#This Row],[Product Option]]="My Value Plus Life &amp; Funeral"),Lookups!$D$16,
IF(AND(Table2[[#This Row],[Member Type]]="Spouse",Table2[[#This Row],[Product Option]]="My Value Plus Life &amp; Funeral",_xlfn.XLOOKUP(B393,Table2[Main Member Link ID],Table2[Benefit Name],0)=Lookups!$D$14),"",
IF(AND(Table2[[#This Row],[Member Type]]="Spouse",Table2[[#This Row],[Product Option]]="My Value Plus Life &amp; Funeral",_xlfn.XLOOKUP(B392,Table2[Main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Funeral",_xlfn.XLOOKUP(B393,Table2[Main Member Link ID],Table2[Benefit Name],0)&lt;&gt;Lookups!$D$16),
IF(_xlfn.XLOOKUP(B393,Table2[Main Member Link ID],Table2[Benefit Name],0)=0,"",_xlfn.XLOOKUP(B393,Table2[Main Member Link ID],Table2[Benefit Name],0)),"")
))))</f>
        <v/>
      </c>
      <c r="AH393" s="327" t="str">
        <f>IF(AND(Table2[[#This Row],[Member Type]]="Main Member",Table2[[#This Row],[Product Option]]="My Value Plus Life &amp; Funeral"),Lookups!$D$17,
IF(AND(Table2[[#This Row],[Member Type]]="Spouse",Table2[[#This Row],[Product Option]]="My Value Plus Life &amp; Funeral",_xlfn.XLOOKUP(B393,Table2[Main Member Link ID],Table2[Benefit Name],0)=Lookups!$D$14),"",
IF(AND(Table2[[#This Row],[Member Type]]="Spouse",Table2[[#This Row],[Product Option]]="My Value Plus Life &amp; Funeral",_xlfn.XLOOKUP(B392,Table2[Main Member Link ID],Table2[Benefit Name],0)=Lookups!$D$16),"",
IF(AND(Table2[[#This Row],[Member Type]]="Child",Table2[[#This Row],[Product Option]]="My Value Plus Life &amp; Funeral"),"",
IF(AND(Table2[[#This Row],[Member Type]]="Child",Table2[[#This Row],[Product Option]]="My Value Plus Life &amp; Funeral",_xlfn.XLOOKUP(B393,Table2[Main Member Link ID],Table2[Benefit Name],0)=Lookups!$D$15),"",
IF(AND(OR(Table2[[#This Row],[Member Type]]="Spouse",Table2[[#This Row],[Member Type]]="Child"),Table2[[#This Row],[Product Option]]="My Value Plus Life &amp; Funeral",_xlfn.XLOOKUP(B393,Table2[Main Member Link ID],Table2[Benefit Name],0)&lt;&gt;Lookups!$D$17),
IF(_xlfn.XLOOKUP(B393,Table2[Main Member Link ID],Table2[Benefit Name],0)=0,"",_xlfn.XLOOKUP(B393,Table2[Main Member Link ID],Table2[Benefit Name],0)),""))))))</f>
        <v/>
      </c>
      <c r="AI393" s="328" t="str">
        <f>IF(AND(Table2[[#This Row],[Member Type]]="Main Member",Table2[[#This Row],[Table Lookup for Life Cover]]="MM_LIFE",Table2[[#This Row],[Age Next Birthday]]&lt;56),1,
IF(AND(Table2[[#This Row],[Member Type]]="Main Member",Table2[[#This Row],[Table Lookup for Life Cover]]="MM_LIFE",Table2[[#This Row],[Age Next Birthday]]&gt;=56),2,
""))</f>
        <v/>
      </c>
      <c r="AJ393" s="328">
        <f>IF(OR(Table2[[#This Row],[Member Type]]="Main Member",Table2[[#This Row],[Main Member Link ID]]=B392),1,0)</f>
        <v>1</v>
      </c>
      <c r="AK393" s="328">
        <f>IF(Table2[[#This Row],[Member Type]]=0,0,
IF(OR(Table2[[#This Row],[Member Type]]="Main Member",Table2[[#This Row],[Main Member Link ID]]&lt;&gt;B393),COUNTIFS(B:B,Table2[[#This Row],[Main Member Link ID]]),
COUNTIFS(B:B,Table2[[#This Row],[Main Member Link ID]],A:A,Table2[[#This Row],[Member Type]])))</f>
        <v>0</v>
      </c>
    </row>
    <row r="394" spans="1:37" x14ac:dyDescent="0.3">
      <c r="A394" s="284">
        <f>Table13[[#This Row],[Member Type]]</f>
        <v>0</v>
      </c>
      <c r="B394" s="284">
        <f>Table13[[#This Row],[Main Member Link ID]]</f>
        <v>0</v>
      </c>
      <c r="C394" s="284">
        <f>Table13[[#This Row],[ID Number]]</f>
        <v>0</v>
      </c>
      <c r="D394" s="285">
        <f>Table13[[#This Row],[Date Of Birth]]</f>
        <v>0</v>
      </c>
      <c r="E394" s="285">
        <f>Table13[[#This Row],[Commencement Date]]</f>
        <v>0</v>
      </c>
      <c r="F394" s="284">
        <f t="shared" si="42"/>
        <v>1</v>
      </c>
      <c r="G394" s="284">
        <f t="shared" si="43"/>
        <v>25</v>
      </c>
      <c r="H394" s="286">
        <f>Table13[[#This Row],[Product Option]]</f>
        <v>0</v>
      </c>
      <c r="I394" s="284">
        <f>IF(AND($A394="Main Member",Table2[[#This Row],[Product Option]]="My Value Plus Life"),"MM_LIFE",
IF(AND($A394="Spouse",Table2[[#This Row],[Product Option]]="My Value Plus Life"),"SP_LIFE",
IF(AND($A394="Main Member",Table2[[#This Row],[Product Option]]="My Value Plus Life &amp; Funeral"),"MM_LIFE",
IF(AND($A394="Spouse",Table2[[#This Row],[Product Option]]="My Value Plus Life &amp; Funeral"),_xlfn.XLOOKUP(Table2[[#This Row],[Benefit Name]],Lookups!$D$18:$D$23,Lookups!$E$18:$E$23,0),
0))))</f>
        <v>0</v>
      </c>
      <c r="J394" s="284">
        <f>IF($I394="","",
IF($I394="MM_LIFE",INDEX('Quotation Tool'!$S$54:$V$60,MATCH($T394,'Quotation Tool'!$S$54:$S$60,0),4),
IF($I394="SP_LIFE",_xlfn.XLOOKUP(B393,$B:$B,$J:$J,0),0)))</f>
        <v>0</v>
      </c>
      <c r="K394" s="287">
        <f t="shared" ca="1" si="47"/>
        <v>0</v>
      </c>
      <c r="L394" s="288">
        <f t="shared" ca="1" si="48"/>
        <v>0</v>
      </c>
      <c r="M394" s="289">
        <f t="shared" ca="1" si="44"/>
        <v>0</v>
      </c>
      <c r="N394" s="286">
        <f>Table13[[#This Row],[Benefit Option]]</f>
        <v>0</v>
      </c>
      <c r="O394" s="284">
        <f>IF(OR(Table2[[#This Row],[Member Type]]="Spouse",Table2[[#This Row],[Member Type]]="Child"),0,
IF(_xlfn.XLOOKUP($N394,Lookups!$D$13:$D$27,Lookups!$F$13:$F$27,0)=Table2[[#This Row],[Table Lookup for Life Cover]],0,
_xlfn.XLOOKUP($N394,Lookups!$D$13:$D$27,Lookups!$F$13:$F$27,0)))</f>
        <v>0</v>
      </c>
      <c r="P394" s="284">
        <f>IF(Table2[[#This Row],[Table Lookup for Funeral]]=0,0,IFERROR(INDEX('Quotation Tool'!$S$54:$V$60,MATCH($T394,'Quotation Tool'!$S$54:$S$60,0),3),0))</f>
        <v>0</v>
      </c>
      <c r="Q394" s="288">
        <f ca="1">IF(OR(Table2[[#This Row],[Benefit Name]]="My Value Plus Life - Main Member",Table2[[#This Row],[Benefit Name]]="My Value Plus Life - Spouse"),0,
IFERROR(VLOOKUP($G394,INDIRECT($O394),$P394,FALSE),0))</f>
        <v>0</v>
      </c>
      <c r="R394" s="288">
        <f ca="1">IF(OR(Table2[[#This Row],[Benefit Name]]="My Value Plus Life - Main Member",Table2[[#This Row],[Benefit Name]]="My Value Plus Life - Spouse"),0,
IFERROR(VLOOKUP($G394,INDIRECT($O394),$P394+1,FALSE),0))</f>
        <v>0</v>
      </c>
      <c r="S394" s="289">
        <f t="shared" ca="1" si="45"/>
        <v>0</v>
      </c>
      <c r="T394" s="284" t="str">
        <f>IF(Table13[[#This Row],[Premium Waiver]]="","None",Table13[[#This Row],[Premium Waiver]])</f>
        <v>None</v>
      </c>
      <c r="U394" s="284">
        <f>Table13[[#This Row],[VAPs Options]]</f>
        <v>0</v>
      </c>
      <c r="V394" s="284">
        <f>Table13[[#This Row],[Annual Increase Option]]</f>
        <v>0</v>
      </c>
      <c r="W394" s="290">
        <f>Table13[[#This Row],[Life Cover Amount]]</f>
        <v>0</v>
      </c>
      <c r="X394" s="290">
        <f>Table13[[#This Row],[Funeral Cover Amount]]</f>
        <v>0</v>
      </c>
      <c r="Y39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9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94" s="301">
        <f t="shared" ca="1" si="46"/>
        <v>0</v>
      </c>
      <c r="AB394" s="298"/>
      <c r="AC394" s="326" t="str">
        <f>IF(Table2[[#This Row],[Member Type]]="Main Member",Lookups!$C$13,
IF(Table2[[#This Row],[Member Type]]="Spouse",_xlfn.XLOOKUP(B394,Table2[Main Member Link ID],Table2[Product Option],0),
IF(AND(Table2[[#This Row],[Member Type]]="Child",_xlfn.XLOOKUP(B394,Table2[Main Member Link ID],Table2[Product Option],0)&lt;&gt;"My Value Plus Life"),Lookups!$C$24,
IF(AND(OR(Table2[[#This Row],[Member Type]]="Parent",Table2[[#This Row],[Member Type]]="Extended"),_xlfn.XLOOKUP(B394,Table2[Main Member Link ID],Table2[Product Option],0)&lt;&gt;"My Value Plus Life"),Lookups!$C$26,""))))</f>
        <v/>
      </c>
      <c r="AD394" s="326" t="str">
        <f>IF(Table2[[#This Row],[Member Type]]="Main Member",Lookups!$C$14,"")</f>
        <v/>
      </c>
      <c r="AE39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Funeral",_xlfn.XLOOKUP(B394,Table2[Main Member Link ID],Table2[Benefit Name],0)=Lookups!$D$14),"",
IF(AND(Table2[[#This Row],[Member Type]]="Spouse",Table2[[#This Row],[Product Option]]="My Value Plus Life &amp; Funeral",_xlfn.XLOOKUP(B393,Table2[Main Member Link ID],Table2[Benefit Name],0)=Lookups!$D$15),Lookups!$D$20,
IF(AND(Table2[[#This Row],[Member Type]]="Spouse",Table2[[#This Row],[Product Option]]="My Value Plus Life &amp; Funeral",_xlfn.XLOOKUP(B393,Table2[Main Member Link ID],Table2[Benefit Name],0)=Lookups!$D$16),"",
IF(AND(Table2[[#This Row],[Member Type]]="Spouse",Table2[[#This Row],[Product Option]]="My Value Plus Life &amp; Funeral",_xlfn.XLOOKUP(B393,Table2[Main Member Link ID],Table2[Benefit Name],0)=Lookups!$D$17),Lookups!$D$21,
IF(AND(Table2[[#This Row],[Member Type]]="Child",Table2[[#This Row],[Product Option]]="My Value Plus Life &amp; Funeral",_xlfn.XLOOKUP(B394,Table2[Main Member Link ID],Table2[Benefit Name],0)=Lookups!$D$14),"",
IF(AND(Table2[[#This Row],[Member Type]]="Child",Table2[[#This Row],[Product Option]]="My Value Plus Life &amp; Funeral",_xlfn.XLOOKUP(B394,Table2[Main Member Link ID],Table2[Benefit Name],0)=Lookups!$D$15),"",
IF(AND(Table2[[#This Row],[Member Type]]="Child",Table2[[#This Row],[Product Option]]="My Value Plus Life &amp; Funeral",_xlfn.XLOOKUP(B394,Table2[Main Member Link ID],Table2[Benefit Name],0)=Lookups!$D$16),Lookups!$D$24,
IF(AND(Table2[[#This Row],[Member Type]]="Child",Table2[[#This Row],[Product Option]]="My Value Plus Life &amp; Funeral",_xlfn.XLOOKUP(B394,Table2[Main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Funeral",_xlfn.XLOOKUP(B394,Table2[Main Member Link ID],Table2[Benefit Name],0)&lt;&gt;Lookups!$D$14),
IF(_xlfn.XLOOKUP(B394,Table2[Main Member Link ID],Table2[Benefit Name],0)=0,"",_xlfn.XLOOKUP(B394,Table2[Main Member Link ID],Table2[Benefit Name],0)),"")))))))))))))))</f>
        <v/>
      </c>
      <c r="AF394" s="327" t="str">
        <f>IF(AND(Table2[[#This Row],[Member Type]]="Main Member",Table2[[#This Row],[Product Option]]="My Value Plus Life &amp; Funeral"),Lookups!$D$15,
IF(AND(Table2[[#This Row],[Member Type]]="Spouse",Table2[[#This Row],[Product Option]]="My Value Plus Life &amp; Funeral",_xlfn.XLOOKUP(B394,Table2[Main Member Link ID],Table2[Benefit Name],0)=Lookups!$D$14),"",
IF(AND(Table2[[#This Row],[Member Type]]="Spouse",Table2[[#This Row],[Product Option]]="My Value Plus Life &amp; Funeral",_xlfn.XLOOKUP(B393,Table2[Main Member Link ID],Table2[Benefit Name],0)=Lookups!$D$16),"",
IF(AND(Table2[[#This Row],[Member Type]]="Spouse",Table2[[#This Row],[Product Option]]="My Value Plus Life &amp; Funeral",_xlfn.XLOOKUP(B393,Table2[Main Member Link ID],Table2[Benefit Name],0)=Lookups!$D$15),"",
IF(AND(Table2[[#This Row],[Member Type]]="Spouse",Table2[[#This Row],[Product Option]]="My Value Plus Life &amp; Funeral",_xlfn.XLOOKUP(B393,Table2[Main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Funeral",_xlfn.XLOOKUP(B394,Table2[Main Member Link ID],Table2[Benefit Name],0)&lt;&gt;Lookups!$D$15),
IF(_xlfn.XLOOKUP(B394,Table2[Main Member Link ID],Table2[Benefit Name],0)=0,"",_xlfn.XLOOKUP(B394,Table2[Main Member Link ID],Table2[Benefit Name],0)),"")
))))))</f>
        <v/>
      </c>
      <c r="AG394" s="327" t="str">
        <f>IF(AND(Table2[[#This Row],[Member Type]]="Main Member",Table2[[#This Row],[Product Option]]="My Value Plus Life &amp; Funeral"),Lookups!$D$16,
IF(AND(Table2[[#This Row],[Member Type]]="Spouse",Table2[[#This Row],[Product Option]]="My Value Plus Life &amp; Funeral",_xlfn.XLOOKUP(B394,Table2[Main Member Link ID],Table2[Benefit Name],0)=Lookups!$D$14),"",
IF(AND(Table2[[#This Row],[Member Type]]="Spouse",Table2[[#This Row],[Product Option]]="My Value Plus Life &amp; Funeral",_xlfn.XLOOKUP(B393,Table2[Main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Funeral",_xlfn.XLOOKUP(B394,Table2[Main Member Link ID],Table2[Benefit Name],0)&lt;&gt;Lookups!$D$16),
IF(_xlfn.XLOOKUP(B394,Table2[Main Member Link ID],Table2[Benefit Name],0)=0,"",_xlfn.XLOOKUP(B394,Table2[Main Member Link ID],Table2[Benefit Name],0)),"")
))))</f>
        <v/>
      </c>
      <c r="AH394" s="327" t="str">
        <f>IF(AND(Table2[[#This Row],[Member Type]]="Main Member",Table2[[#This Row],[Product Option]]="My Value Plus Life &amp; Funeral"),Lookups!$D$17,
IF(AND(Table2[[#This Row],[Member Type]]="Spouse",Table2[[#This Row],[Product Option]]="My Value Plus Life &amp; Funeral",_xlfn.XLOOKUP(B394,Table2[Main Member Link ID],Table2[Benefit Name],0)=Lookups!$D$14),"",
IF(AND(Table2[[#This Row],[Member Type]]="Spouse",Table2[[#This Row],[Product Option]]="My Value Plus Life &amp; Funeral",_xlfn.XLOOKUP(B393,Table2[Main Member Link ID],Table2[Benefit Name],0)=Lookups!$D$16),"",
IF(AND(Table2[[#This Row],[Member Type]]="Child",Table2[[#This Row],[Product Option]]="My Value Plus Life &amp; Funeral"),"",
IF(AND(Table2[[#This Row],[Member Type]]="Child",Table2[[#This Row],[Product Option]]="My Value Plus Life &amp; Funeral",_xlfn.XLOOKUP(B394,Table2[Main Member Link ID],Table2[Benefit Name],0)=Lookups!$D$15),"",
IF(AND(OR(Table2[[#This Row],[Member Type]]="Spouse",Table2[[#This Row],[Member Type]]="Child"),Table2[[#This Row],[Product Option]]="My Value Plus Life &amp; Funeral",_xlfn.XLOOKUP(B394,Table2[Main Member Link ID],Table2[Benefit Name],0)&lt;&gt;Lookups!$D$17),
IF(_xlfn.XLOOKUP(B394,Table2[Main Member Link ID],Table2[Benefit Name],0)=0,"",_xlfn.XLOOKUP(B394,Table2[Main Member Link ID],Table2[Benefit Name],0)),""))))))</f>
        <v/>
      </c>
      <c r="AI394" s="328" t="str">
        <f>IF(AND(Table2[[#This Row],[Member Type]]="Main Member",Table2[[#This Row],[Table Lookup for Life Cover]]="MM_LIFE",Table2[[#This Row],[Age Next Birthday]]&lt;56),1,
IF(AND(Table2[[#This Row],[Member Type]]="Main Member",Table2[[#This Row],[Table Lookup for Life Cover]]="MM_LIFE",Table2[[#This Row],[Age Next Birthday]]&gt;=56),2,
""))</f>
        <v/>
      </c>
      <c r="AJ394" s="328">
        <f>IF(OR(Table2[[#This Row],[Member Type]]="Main Member",Table2[[#This Row],[Main Member Link ID]]=B393),1,0)</f>
        <v>1</v>
      </c>
      <c r="AK394" s="328">
        <f>IF(Table2[[#This Row],[Member Type]]=0,0,
IF(OR(Table2[[#This Row],[Member Type]]="Main Member",Table2[[#This Row],[Main Member Link ID]]&lt;&gt;B394),COUNTIFS(B:B,Table2[[#This Row],[Main Member Link ID]]),
COUNTIFS(B:B,Table2[[#This Row],[Main Member Link ID]],A:A,Table2[[#This Row],[Member Type]])))</f>
        <v>0</v>
      </c>
    </row>
    <row r="395" spans="1:37" x14ac:dyDescent="0.3">
      <c r="A395" s="284">
        <f>Table13[[#This Row],[Member Type]]</f>
        <v>0</v>
      </c>
      <c r="B395" s="284">
        <f>Table13[[#This Row],[Main Member Link ID]]</f>
        <v>0</v>
      </c>
      <c r="C395" s="284">
        <f>Table13[[#This Row],[ID Number]]</f>
        <v>0</v>
      </c>
      <c r="D395" s="285">
        <f>Table13[[#This Row],[Date Of Birth]]</f>
        <v>0</v>
      </c>
      <c r="E395" s="285">
        <f>Table13[[#This Row],[Commencement Date]]</f>
        <v>0</v>
      </c>
      <c r="F395" s="284">
        <f t="shared" si="42"/>
        <v>1</v>
      </c>
      <c r="G395" s="284">
        <f t="shared" si="43"/>
        <v>25</v>
      </c>
      <c r="H395" s="286">
        <f>Table13[[#This Row],[Product Option]]</f>
        <v>0</v>
      </c>
      <c r="I395" s="284">
        <f>IF(AND($A395="Main Member",Table2[[#This Row],[Product Option]]="My Value Plus Life"),"MM_LIFE",
IF(AND($A395="Spouse",Table2[[#This Row],[Product Option]]="My Value Plus Life"),"SP_LIFE",
IF(AND($A395="Main Member",Table2[[#This Row],[Product Option]]="My Value Plus Life &amp; Funeral"),"MM_LIFE",
IF(AND($A395="Spouse",Table2[[#This Row],[Product Option]]="My Value Plus Life &amp; Funeral"),_xlfn.XLOOKUP(Table2[[#This Row],[Benefit Name]],Lookups!$D$18:$D$23,Lookups!$E$18:$E$23,0),
0))))</f>
        <v>0</v>
      </c>
      <c r="J395" s="284">
        <f>IF($I395="","",
IF($I395="MM_LIFE",INDEX('Quotation Tool'!$S$54:$V$60,MATCH($T395,'Quotation Tool'!$S$54:$S$60,0),4),
IF($I395="SP_LIFE",_xlfn.XLOOKUP(B394,$B:$B,$J:$J,0),0)))</f>
        <v>0</v>
      </c>
      <c r="K395" s="287">
        <f t="shared" ca="1" si="47"/>
        <v>0</v>
      </c>
      <c r="L395" s="288">
        <f t="shared" ca="1" si="48"/>
        <v>0</v>
      </c>
      <c r="M395" s="289">
        <f t="shared" ca="1" si="44"/>
        <v>0</v>
      </c>
      <c r="N395" s="286">
        <f>Table13[[#This Row],[Benefit Option]]</f>
        <v>0</v>
      </c>
      <c r="O395" s="284">
        <f>IF(OR(Table2[[#This Row],[Member Type]]="Spouse",Table2[[#This Row],[Member Type]]="Child"),0,
IF(_xlfn.XLOOKUP($N395,Lookups!$D$13:$D$27,Lookups!$F$13:$F$27,0)=Table2[[#This Row],[Table Lookup for Life Cover]],0,
_xlfn.XLOOKUP($N395,Lookups!$D$13:$D$27,Lookups!$F$13:$F$27,0)))</f>
        <v>0</v>
      </c>
      <c r="P395" s="284">
        <f>IF(Table2[[#This Row],[Table Lookup for Funeral]]=0,0,IFERROR(INDEX('Quotation Tool'!$S$54:$V$60,MATCH($T395,'Quotation Tool'!$S$54:$S$60,0),3),0))</f>
        <v>0</v>
      </c>
      <c r="Q395" s="288">
        <f ca="1">IF(OR(Table2[[#This Row],[Benefit Name]]="My Value Plus Life - Main Member",Table2[[#This Row],[Benefit Name]]="My Value Plus Life - Spouse"),0,
IFERROR(VLOOKUP($G395,INDIRECT($O395),$P395,FALSE),0))</f>
        <v>0</v>
      </c>
      <c r="R395" s="288">
        <f ca="1">IF(OR(Table2[[#This Row],[Benefit Name]]="My Value Plus Life - Main Member",Table2[[#This Row],[Benefit Name]]="My Value Plus Life - Spouse"),0,
IFERROR(VLOOKUP($G395,INDIRECT($O395),$P395+1,FALSE),0))</f>
        <v>0</v>
      </c>
      <c r="S395" s="289">
        <f t="shared" ca="1" si="45"/>
        <v>0</v>
      </c>
      <c r="T395" s="284" t="str">
        <f>IF(Table13[[#This Row],[Premium Waiver]]="","None",Table13[[#This Row],[Premium Waiver]])</f>
        <v>None</v>
      </c>
      <c r="U395" s="284">
        <f>Table13[[#This Row],[VAPs Options]]</f>
        <v>0</v>
      </c>
      <c r="V395" s="284">
        <f>Table13[[#This Row],[Annual Increase Option]]</f>
        <v>0</v>
      </c>
      <c r="W395" s="290">
        <f>Table13[[#This Row],[Life Cover Amount]]</f>
        <v>0</v>
      </c>
      <c r="X395" s="290">
        <f>Table13[[#This Row],[Funeral Cover Amount]]</f>
        <v>0</v>
      </c>
      <c r="Y39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9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95" s="301">
        <f t="shared" ca="1" si="46"/>
        <v>0</v>
      </c>
      <c r="AB395" s="298"/>
      <c r="AC395" s="326" t="str">
        <f>IF(Table2[[#This Row],[Member Type]]="Main Member",Lookups!$C$13,
IF(Table2[[#This Row],[Member Type]]="Spouse",_xlfn.XLOOKUP(B395,Table2[Main Member Link ID],Table2[Product Option],0),
IF(AND(Table2[[#This Row],[Member Type]]="Child",_xlfn.XLOOKUP(B395,Table2[Main Member Link ID],Table2[Product Option],0)&lt;&gt;"My Value Plus Life"),Lookups!$C$24,
IF(AND(OR(Table2[[#This Row],[Member Type]]="Parent",Table2[[#This Row],[Member Type]]="Extended"),_xlfn.XLOOKUP(B395,Table2[Main Member Link ID],Table2[Product Option],0)&lt;&gt;"My Value Plus Life"),Lookups!$C$26,""))))</f>
        <v/>
      </c>
      <c r="AD395" s="326" t="str">
        <f>IF(Table2[[#This Row],[Member Type]]="Main Member",Lookups!$C$14,"")</f>
        <v/>
      </c>
      <c r="AE39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Funeral",_xlfn.XLOOKUP(B395,Table2[Main Member Link ID],Table2[Benefit Name],0)=Lookups!$D$14),"",
IF(AND(Table2[[#This Row],[Member Type]]="Spouse",Table2[[#This Row],[Product Option]]="My Value Plus Life &amp; Funeral",_xlfn.XLOOKUP(B394,Table2[Main Member Link ID],Table2[Benefit Name],0)=Lookups!$D$15),Lookups!$D$20,
IF(AND(Table2[[#This Row],[Member Type]]="Spouse",Table2[[#This Row],[Product Option]]="My Value Plus Life &amp; Funeral",_xlfn.XLOOKUP(B394,Table2[Main Member Link ID],Table2[Benefit Name],0)=Lookups!$D$16),"",
IF(AND(Table2[[#This Row],[Member Type]]="Spouse",Table2[[#This Row],[Product Option]]="My Value Plus Life &amp; Funeral",_xlfn.XLOOKUP(B394,Table2[Main Member Link ID],Table2[Benefit Name],0)=Lookups!$D$17),Lookups!$D$21,
IF(AND(Table2[[#This Row],[Member Type]]="Child",Table2[[#This Row],[Product Option]]="My Value Plus Life &amp; Funeral",_xlfn.XLOOKUP(B395,Table2[Main Member Link ID],Table2[Benefit Name],0)=Lookups!$D$14),"",
IF(AND(Table2[[#This Row],[Member Type]]="Child",Table2[[#This Row],[Product Option]]="My Value Plus Life &amp; Funeral",_xlfn.XLOOKUP(B395,Table2[Main Member Link ID],Table2[Benefit Name],0)=Lookups!$D$15),"",
IF(AND(Table2[[#This Row],[Member Type]]="Child",Table2[[#This Row],[Product Option]]="My Value Plus Life &amp; Funeral",_xlfn.XLOOKUP(B395,Table2[Main Member Link ID],Table2[Benefit Name],0)=Lookups!$D$16),Lookups!$D$24,
IF(AND(Table2[[#This Row],[Member Type]]="Child",Table2[[#This Row],[Product Option]]="My Value Plus Life &amp; Funeral",_xlfn.XLOOKUP(B395,Table2[Main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Funeral",_xlfn.XLOOKUP(B395,Table2[Main Member Link ID],Table2[Benefit Name],0)&lt;&gt;Lookups!$D$14),
IF(_xlfn.XLOOKUP(B395,Table2[Main Member Link ID],Table2[Benefit Name],0)=0,"",_xlfn.XLOOKUP(B395,Table2[Main Member Link ID],Table2[Benefit Name],0)),"")))))))))))))))</f>
        <v/>
      </c>
      <c r="AF395" s="327" t="str">
        <f>IF(AND(Table2[[#This Row],[Member Type]]="Main Member",Table2[[#This Row],[Product Option]]="My Value Plus Life &amp; Funeral"),Lookups!$D$15,
IF(AND(Table2[[#This Row],[Member Type]]="Spouse",Table2[[#This Row],[Product Option]]="My Value Plus Life &amp; Funeral",_xlfn.XLOOKUP(B395,Table2[Main Member Link ID],Table2[Benefit Name],0)=Lookups!$D$14),"",
IF(AND(Table2[[#This Row],[Member Type]]="Spouse",Table2[[#This Row],[Product Option]]="My Value Plus Life &amp; Funeral",_xlfn.XLOOKUP(B394,Table2[Main Member Link ID],Table2[Benefit Name],0)=Lookups!$D$16),"",
IF(AND(Table2[[#This Row],[Member Type]]="Spouse",Table2[[#This Row],[Product Option]]="My Value Plus Life &amp; Funeral",_xlfn.XLOOKUP(B394,Table2[Main Member Link ID],Table2[Benefit Name],0)=Lookups!$D$15),"",
IF(AND(Table2[[#This Row],[Member Type]]="Spouse",Table2[[#This Row],[Product Option]]="My Value Plus Life &amp; Funeral",_xlfn.XLOOKUP(B394,Table2[Main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Funeral",_xlfn.XLOOKUP(B395,Table2[Main Member Link ID],Table2[Benefit Name],0)&lt;&gt;Lookups!$D$15),
IF(_xlfn.XLOOKUP(B395,Table2[Main Member Link ID],Table2[Benefit Name],0)=0,"",_xlfn.XLOOKUP(B395,Table2[Main Member Link ID],Table2[Benefit Name],0)),"")
))))))</f>
        <v/>
      </c>
      <c r="AG395" s="327" t="str">
        <f>IF(AND(Table2[[#This Row],[Member Type]]="Main Member",Table2[[#This Row],[Product Option]]="My Value Plus Life &amp; Funeral"),Lookups!$D$16,
IF(AND(Table2[[#This Row],[Member Type]]="Spouse",Table2[[#This Row],[Product Option]]="My Value Plus Life &amp; Funeral",_xlfn.XLOOKUP(B395,Table2[Main Member Link ID],Table2[Benefit Name],0)=Lookups!$D$14),"",
IF(AND(Table2[[#This Row],[Member Type]]="Spouse",Table2[[#This Row],[Product Option]]="My Value Plus Life &amp; Funeral",_xlfn.XLOOKUP(B394,Table2[Main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Funeral",_xlfn.XLOOKUP(B395,Table2[Main Member Link ID],Table2[Benefit Name],0)&lt;&gt;Lookups!$D$16),
IF(_xlfn.XLOOKUP(B395,Table2[Main Member Link ID],Table2[Benefit Name],0)=0,"",_xlfn.XLOOKUP(B395,Table2[Main Member Link ID],Table2[Benefit Name],0)),"")
))))</f>
        <v/>
      </c>
      <c r="AH395" s="327" t="str">
        <f>IF(AND(Table2[[#This Row],[Member Type]]="Main Member",Table2[[#This Row],[Product Option]]="My Value Plus Life &amp; Funeral"),Lookups!$D$17,
IF(AND(Table2[[#This Row],[Member Type]]="Spouse",Table2[[#This Row],[Product Option]]="My Value Plus Life &amp; Funeral",_xlfn.XLOOKUP(B395,Table2[Main Member Link ID],Table2[Benefit Name],0)=Lookups!$D$14),"",
IF(AND(Table2[[#This Row],[Member Type]]="Spouse",Table2[[#This Row],[Product Option]]="My Value Plus Life &amp; Funeral",_xlfn.XLOOKUP(B394,Table2[Main Member Link ID],Table2[Benefit Name],0)=Lookups!$D$16),"",
IF(AND(Table2[[#This Row],[Member Type]]="Child",Table2[[#This Row],[Product Option]]="My Value Plus Life &amp; Funeral"),"",
IF(AND(Table2[[#This Row],[Member Type]]="Child",Table2[[#This Row],[Product Option]]="My Value Plus Life &amp; Funeral",_xlfn.XLOOKUP(B395,Table2[Main Member Link ID],Table2[Benefit Name],0)=Lookups!$D$15),"",
IF(AND(OR(Table2[[#This Row],[Member Type]]="Spouse",Table2[[#This Row],[Member Type]]="Child"),Table2[[#This Row],[Product Option]]="My Value Plus Life &amp; Funeral",_xlfn.XLOOKUP(B395,Table2[Main Member Link ID],Table2[Benefit Name],0)&lt;&gt;Lookups!$D$17),
IF(_xlfn.XLOOKUP(B395,Table2[Main Member Link ID],Table2[Benefit Name],0)=0,"",_xlfn.XLOOKUP(B395,Table2[Main Member Link ID],Table2[Benefit Name],0)),""))))))</f>
        <v/>
      </c>
      <c r="AI395" s="328" t="str">
        <f>IF(AND(Table2[[#This Row],[Member Type]]="Main Member",Table2[[#This Row],[Table Lookup for Life Cover]]="MM_LIFE",Table2[[#This Row],[Age Next Birthday]]&lt;56),1,
IF(AND(Table2[[#This Row],[Member Type]]="Main Member",Table2[[#This Row],[Table Lookup for Life Cover]]="MM_LIFE",Table2[[#This Row],[Age Next Birthday]]&gt;=56),2,
""))</f>
        <v/>
      </c>
      <c r="AJ395" s="328">
        <f>IF(OR(Table2[[#This Row],[Member Type]]="Main Member",Table2[[#This Row],[Main Member Link ID]]=B394),1,0)</f>
        <v>1</v>
      </c>
      <c r="AK395" s="328">
        <f>IF(Table2[[#This Row],[Member Type]]=0,0,
IF(OR(Table2[[#This Row],[Member Type]]="Main Member",Table2[[#This Row],[Main Member Link ID]]&lt;&gt;B395),COUNTIFS(B:B,Table2[[#This Row],[Main Member Link ID]]),
COUNTIFS(B:B,Table2[[#This Row],[Main Member Link ID]],A:A,Table2[[#This Row],[Member Type]])))</f>
        <v>0</v>
      </c>
    </row>
    <row r="396" spans="1:37" x14ac:dyDescent="0.3">
      <c r="A396" s="284">
        <f>Table13[[#This Row],[Member Type]]</f>
        <v>0</v>
      </c>
      <c r="B396" s="284">
        <f>Table13[[#This Row],[Main Member Link ID]]</f>
        <v>0</v>
      </c>
      <c r="C396" s="284">
        <f>Table13[[#This Row],[ID Number]]</f>
        <v>0</v>
      </c>
      <c r="D396" s="285">
        <f>Table13[[#This Row],[Date Of Birth]]</f>
        <v>0</v>
      </c>
      <c r="E396" s="285">
        <f>Table13[[#This Row],[Commencement Date]]</f>
        <v>0</v>
      </c>
      <c r="F396" s="284">
        <f t="shared" si="42"/>
        <v>1</v>
      </c>
      <c r="G396" s="284">
        <f t="shared" si="43"/>
        <v>25</v>
      </c>
      <c r="H396" s="286">
        <f>Table13[[#This Row],[Product Option]]</f>
        <v>0</v>
      </c>
      <c r="I396" s="284">
        <f>IF(AND($A396="Main Member",Table2[[#This Row],[Product Option]]="My Value Plus Life"),"MM_LIFE",
IF(AND($A396="Spouse",Table2[[#This Row],[Product Option]]="My Value Plus Life"),"SP_LIFE",
IF(AND($A396="Main Member",Table2[[#This Row],[Product Option]]="My Value Plus Life &amp; Funeral"),"MM_LIFE",
IF(AND($A396="Spouse",Table2[[#This Row],[Product Option]]="My Value Plus Life &amp; Funeral"),_xlfn.XLOOKUP(Table2[[#This Row],[Benefit Name]],Lookups!$D$18:$D$23,Lookups!$E$18:$E$23,0),
0))))</f>
        <v>0</v>
      </c>
      <c r="J396" s="284">
        <f>IF($I396="","",
IF($I396="MM_LIFE",INDEX('Quotation Tool'!$S$54:$V$60,MATCH($T396,'Quotation Tool'!$S$54:$S$60,0),4),
IF($I396="SP_LIFE",_xlfn.XLOOKUP(B395,$B:$B,$J:$J,0),0)))</f>
        <v>0</v>
      </c>
      <c r="K396" s="287">
        <f t="shared" ca="1" si="47"/>
        <v>0</v>
      </c>
      <c r="L396" s="288">
        <f t="shared" ca="1" si="48"/>
        <v>0</v>
      </c>
      <c r="M396" s="289">
        <f t="shared" ca="1" si="44"/>
        <v>0</v>
      </c>
      <c r="N396" s="286">
        <f>Table13[[#This Row],[Benefit Option]]</f>
        <v>0</v>
      </c>
      <c r="O396" s="284">
        <f>IF(OR(Table2[[#This Row],[Member Type]]="Spouse",Table2[[#This Row],[Member Type]]="Child"),0,
IF(_xlfn.XLOOKUP($N396,Lookups!$D$13:$D$27,Lookups!$F$13:$F$27,0)=Table2[[#This Row],[Table Lookup for Life Cover]],0,
_xlfn.XLOOKUP($N396,Lookups!$D$13:$D$27,Lookups!$F$13:$F$27,0)))</f>
        <v>0</v>
      </c>
      <c r="P396" s="284">
        <f>IF(Table2[[#This Row],[Table Lookup for Funeral]]=0,0,IFERROR(INDEX('Quotation Tool'!$S$54:$V$60,MATCH($T396,'Quotation Tool'!$S$54:$S$60,0),3),0))</f>
        <v>0</v>
      </c>
      <c r="Q396" s="288">
        <f ca="1">IF(OR(Table2[[#This Row],[Benefit Name]]="My Value Plus Life - Main Member",Table2[[#This Row],[Benefit Name]]="My Value Plus Life - Spouse"),0,
IFERROR(VLOOKUP($G396,INDIRECT($O396),$P396,FALSE),0))</f>
        <v>0</v>
      </c>
      <c r="R396" s="288">
        <f ca="1">IF(OR(Table2[[#This Row],[Benefit Name]]="My Value Plus Life - Main Member",Table2[[#This Row],[Benefit Name]]="My Value Plus Life - Spouse"),0,
IFERROR(VLOOKUP($G396,INDIRECT($O396),$P396+1,FALSE),0))</f>
        <v>0</v>
      </c>
      <c r="S396" s="289">
        <f t="shared" ca="1" si="45"/>
        <v>0</v>
      </c>
      <c r="T396" s="284" t="str">
        <f>IF(Table13[[#This Row],[Premium Waiver]]="","None",Table13[[#This Row],[Premium Waiver]])</f>
        <v>None</v>
      </c>
      <c r="U396" s="284">
        <f>Table13[[#This Row],[VAPs Options]]</f>
        <v>0</v>
      </c>
      <c r="V396" s="284">
        <f>Table13[[#This Row],[Annual Increase Option]]</f>
        <v>0</v>
      </c>
      <c r="W396" s="290">
        <f>Table13[[#This Row],[Life Cover Amount]]</f>
        <v>0</v>
      </c>
      <c r="X396" s="290">
        <f>Table13[[#This Row],[Funeral Cover Amount]]</f>
        <v>0</v>
      </c>
      <c r="Y39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9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96" s="301">
        <f t="shared" ca="1" si="46"/>
        <v>0</v>
      </c>
      <c r="AB396" s="298"/>
      <c r="AC396" s="326" t="str">
        <f>IF(Table2[[#This Row],[Member Type]]="Main Member",Lookups!$C$13,
IF(Table2[[#This Row],[Member Type]]="Spouse",_xlfn.XLOOKUP(B396,Table2[Main Member Link ID],Table2[Product Option],0),
IF(AND(Table2[[#This Row],[Member Type]]="Child",_xlfn.XLOOKUP(B396,Table2[Main Member Link ID],Table2[Product Option],0)&lt;&gt;"My Value Plus Life"),Lookups!$C$24,
IF(AND(OR(Table2[[#This Row],[Member Type]]="Parent",Table2[[#This Row],[Member Type]]="Extended"),_xlfn.XLOOKUP(B396,Table2[Main Member Link ID],Table2[Product Option],0)&lt;&gt;"My Value Plus Life"),Lookups!$C$26,""))))</f>
        <v/>
      </c>
      <c r="AD396" s="326" t="str">
        <f>IF(Table2[[#This Row],[Member Type]]="Main Member",Lookups!$C$14,"")</f>
        <v/>
      </c>
      <c r="AE39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Funeral",_xlfn.XLOOKUP(B396,Table2[Main Member Link ID],Table2[Benefit Name],0)=Lookups!$D$14),"",
IF(AND(Table2[[#This Row],[Member Type]]="Spouse",Table2[[#This Row],[Product Option]]="My Value Plus Life &amp; Funeral",_xlfn.XLOOKUP(B395,Table2[Main Member Link ID],Table2[Benefit Name],0)=Lookups!$D$15),Lookups!$D$20,
IF(AND(Table2[[#This Row],[Member Type]]="Spouse",Table2[[#This Row],[Product Option]]="My Value Plus Life &amp; Funeral",_xlfn.XLOOKUP(B395,Table2[Main Member Link ID],Table2[Benefit Name],0)=Lookups!$D$16),"",
IF(AND(Table2[[#This Row],[Member Type]]="Spouse",Table2[[#This Row],[Product Option]]="My Value Plus Life &amp; Funeral",_xlfn.XLOOKUP(B395,Table2[Main Member Link ID],Table2[Benefit Name],0)=Lookups!$D$17),Lookups!$D$21,
IF(AND(Table2[[#This Row],[Member Type]]="Child",Table2[[#This Row],[Product Option]]="My Value Plus Life &amp; Funeral",_xlfn.XLOOKUP(B396,Table2[Main Member Link ID],Table2[Benefit Name],0)=Lookups!$D$14),"",
IF(AND(Table2[[#This Row],[Member Type]]="Child",Table2[[#This Row],[Product Option]]="My Value Plus Life &amp; Funeral",_xlfn.XLOOKUP(B396,Table2[Main Member Link ID],Table2[Benefit Name],0)=Lookups!$D$15),"",
IF(AND(Table2[[#This Row],[Member Type]]="Child",Table2[[#This Row],[Product Option]]="My Value Plus Life &amp; Funeral",_xlfn.XLOOKUP(B396,Table2[Main Member Link ID],Table2[Benefit Name],0)=Lookups!$D$16),Lookups!$D$24,
IF(AND(Table2[[#This Row],[Member Type]]="Child",Table2[[#This Row],[Product Option]]="My Value Plus Life &amp; Funeral",_xlfn.XLOOKUP(B396,Table2[Main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Funeral",_xlfn.XLOOKUP(B396,Table2[Main Member Link ID],Table2[Benefit Name],0)&lt;&gt;Lookups!$D$14),
IF(_xlfn.XLOOKUP(B396,Table2[Main Member Link ID],Table2[Benefit Name],0)=0,"",_xlfn.XLOOKUP(B396,Table2[Main Member Link ID],Table2[Benefit Name],0)),"")))))))))))))))</f>
        <v/>
      </c>
      <c r="AF396" s="327" t="str">
        <f>IF(AND(Table2[[#This Row],[Member Type]]="Main Member",Table2[[#This Row],[Product Option]]="My Value Plus Life &amp; Funeral"),Lookups!$D$15,
IF(AND(Table2[[#This Row],[Member Type]]="Spouse",Table2[[#This Row],[Product Option]]="My Value Plus Life &amp; Funeral",_xlfn.XLOOKUP(B396,Table2[Main Member Link ID],Table2[Benefit Name],0)=Lookups!$D$14),"",
IF(AND(Table2[[#This Row],[Member Type]]="Spouse",Table2[[#This Row],[Product Option]]="My Value Plus Life &amp; Funeral",_xlfn.XLOOKUP(B395,Table2[Main Member Link ID],Table2[Benefit Name],0)=Lookups!$D$16),"",
IF(AND(Table2[[#This Row],[Member Type]]="Spouse",Table2[[#This Row],[Product Option]]="My Value Plus Life &amp; Funeral",_xlfn.XLOOKUP(B395,Table2[Main Member Link ID],Table2[Benefit Name],0)=Lookups!$D$15),"",
IF(AND(Table2[[#This Row],[Member Type]]="Spouse",Table2[[#This Row],[Product Option]]="My Value Plus Life &amp; Funeral",_xlfn.XLOOKUP(B395,Table2[Main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Funeral",_xlfn.XLOOKUP(B396,Table2[Main Member Link ID],Table2[Benefit Name],0)&lt;&gt;Lookups!$D$15),
IF(_xlfn.XLOOKUP(B396,Table2[Main Member Link ID],Table2[Benefit Name],0)=0,"",_xlfn.XLOOKUP(B396,Table2[Main Member Link ID],Table2[Benefit Name],0)),"")
))))))</f>
        <v/>
      </c>
      <c r="AG396" s="327" t="str">
        <f>IF(AND(Table2[[#This Row],[Member Type]]="Main Member",Table2[[#This Row],[Product Option]]="My Value Plus Life &amp; Funeral"),Lookups!$D$16,
IF(AND(Table2[[#This Row],[Member Type]]="Spouse",Table2[[#This Row],[Product Option]]="My Value Plus Life &amp; Funeral",_xlfn.XLOOKUP(B396,Table2[Main Member Link ID],Table2[Benefit Name],0)=Lookups!$D$14),"",
IF(AND(Table2[[#This Row],[Member Type]]="Spouse",Table2[[#This Row],[Product Option]]="My Value Plus Life &amp; Funeral",_xlfn.XLOOKUP(B395,Table2[Main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Funeral",_xlfn.XLOOKUP(B396,Table2[Main Member Link ID],Table2[Benefit Name],0)&lt;&gt;Lookups!$D$16),
IF(_xlfn.XLOOKUP(B396,Table2[Main Member Link ID],Table2[Benefit Name],0)=0,"",_xlfn.XLOOKUP(B396,Table2[Main Member Link ID],Table2[Benefit Name],0)),"")
))))</f>
        <v/>
      </c>
      <c r="AH396" s="327" t="str">
        <f>IF(AND(Table2[[#This Row],[Member Type]]="Main Member",Table2[[#This Row],[Product Option]]="My Value Plus Life &amp; Funeral"),Lookups!$D$17,
IF(AND(Table2[[#This Row],[Member Type]]="Spouse",Table2[[#This Row],[Product Option]]="My Value Plus Life &amp; Funeral",_xlfn.XLOOKUP(B396,Table2[Main Member Link ID],Table2[Benefit Name],0)=Lookups!$D$14),"",
IF(AND(Table2[[#This Row],[Member Type]]="Spouse",Table2[[#This Row],[Product Option]]="My Value Plus Life &amp; Funeral",_xlfn.XLOOKUP(B395,Table2[Main Member Link ID],Table2[Benefit Name],0)=Lookups!$D$16),"",
IF(AND(Table2[[#This Row],[Member Type]]="Child",Table2[[#This Row],[Product Option]]="My Value Plus Life &amp; Funeral"),"",
IF(AND(Table2[[#This Row],[Member Type]]="Child",Table2[[#This Row],[Product Option]]="My Value Plus Life &amp; Funeral",_xlfn.XLOOKUP(B396,Table2[Main Member Link ID],Table2[Benefit Name],0)=Lookups!$D$15),"",
IF(AND(OR(Table2[[#This Row],[Member Type]]="Spouse",Table2[[#This Row],[Member Type]]="Child"),Table2[[#This Row],[Product Option]]="My Value Plus Life &amp; Funeral",_xlfn.XLOOKUP(B396,Table2[Main Member Link ID],Table2[Benefit Name],0)&lt;&gt;Lookups!$D$17),
IF(_xlfn.XLOOKUP(B396,Table2[Main Member Link ID],Table2[Benefit Name],0)=0,"",_xlfn.XLOOKUP(B396,Table2[Main Member Link ID],Table2[Benefit Name],0)),""))))))</f>
        <v/>
      </c>
      <c r="AI396" s="328" t="str">
        <f>IF(AND(Table2[[#This Row],[Member Type]]="Main Member",Table2[[#This Row],[Table Lookup for Life Cover]]="MM_LIFE",Table2[[#This Row],[Age Next Birthday]]&lt;56),1,
IF(AND(Table2[[#This Row],[Member Type]]="Main Member",Table2[[#This Row],[Table Lookup for Life Cover]]="MM_LIFE",Table2[[#This Row],[Age Next Birthday]]&gt;=56),2,
""))</f>
        <v/>
      </c>
      <c r="AJ396" s="328">
        <f>IF(OR(Table2[[#This Row],[Member Type]]="Main Member",Table2[[#This Row],[Main Member Link ID]]=B395),1,0)</f>
        <v>1</v>
      </c>
      <c r="AK396" s="328">
        <f>IF(Table2[[#This Row],[Member Type]]=0,0,
IF(OR(Table2[[#This Row],[Member Type]]="Main Member",Table2[[#This Row],[Main Member Link ID]]&lt;&gt;B396),COUNTIFS(B:B,Table2[[#This Row],[Main Member Link ID]]),
COUNTIFS(B:B,Table2[[#This Row],[Main Member Link ID]],A:A,Table2[[#This Row],[Member Type]])))</f>
        <v>0</v>
      </c>
    </row>
    <row r="397" spans="1:37" x14ac:dyDescent="0.3">
      <c r="A397" s="284">
        <f>Table13[[#This Row],[Member Type]]</f>
        <v>0</v>
      </c>
      <c r="B397" s="284">
        <f>Table13[[#This Row],[Main Member Link ID]]</f>
        <v>0</v>
      </c>
      <c r="C397" s="284">
        <f>Table13[[#This Row],[ID Number]]</f>
        <v>0</v>
      </c>
      <c r="D397" s="285">
        <f>Table13[[#This Row],[Date Of Birth]]</f>
        <v>0</v>
      </c>
      <c r="E397" s="285">
        <f>Table13[[#This Row],[Commencement Date]]</f>
        <v>0</v>
      </c>
      <c r="F397" s="284">
        <f t="shared" si="42"/>
        <v>1</v>
      </c>
      <c r="G397" s="284">
        <f t="shared" si="43"/>
        <v>25</v>
      </c>
      <c r="H397" s="286">
        <f>Table13[[#This Row],[Product Option]]</f>
        <v>0</v>
      </c>
      <c r="I397" s="284">
        <f>IF(AND($A397="Main Member",Table2[[#This Row],[Product Option]]="My Value Plus Life"),"MM_LIFE",
IF(AND($A397="Spouse",Table2[[#This Row],[Product Option]]="My Value Plus Life"),"SP_LIFE",
IF(AND($A397="Main Member",Table2[[#This Row],[Product Option]]="My Value Plus Life &amp; Funeral"),"MM_LIFE",
IF(AND($A397="Spouse",Table2[[#This Row],[Product Option]]="My Value Plus Life &amp; Funeral"),_xlfn.XLOOKUP(Table2[[#This Row],[Benefit Name]],Lookups!$D$18:$D$23,Lookups!$E$18:$E$23,0),
0))))</f>
        <v>0</v>
      </c>
      <c r="J397" s="284">
        <f>IF($I397="","",
IF($I397="MM_LIFE",INDEX('Quotation Tool'!$S$54:$V$60,MATCH($T397,'Quotation Tool'!$S$54:$S$60,0),4),
IF($I397="SP_LIFE",_xlfn.XLOOKUP(B396,$B:$B,$J:$J,0),0)))</f>
        <v>0</v>
      </c>
      <c r="K397" s="287">
        <f t="shared" ca="1" si="47"/>
        <v>0</v>
      </c>
      <c r="L397" s="288">
        <f t="shared" ca="1" si="48"/>
        <v>0</v>
      </c>
      <c r="M397" s="289">
        <f t="shared" ca="1" si="44"/>
        <v>0</v>
      </c>
      <c r="N397" s="286">
        <f>Table13[[#This Row],[Benefit Option]]</f>
        <v>0</v>
      </c>
      <c r="O397" s="284">
        <f>IF(OR(Table2[[#This Row],[Member Type]]="Spouse",Table2[[#This Row],[Member Type]]="Child"),0,
IF(_xlfn.XLOOKUP($N397,Lookups!$D$13:$D$27,Lookups!$F$13:$F$27,0)=Table2[[#This Row],[Table Lookup for Life Cover]],0,
_xlfn.XLOOKUP($N397,Lookups!$D$13:$D$27,Lookups!$F$13:$F$27,0)))</f>
        <v>0</v>
      </c>
      <c r="P397" s="284">
        <f>IF(Table2[[#This Row],[Table Lookup for Funeral]]=0,0,IFERROR(INDEX('Quotation Tool'!$S$54:$V$60,MATCH($T397,'Quotation Tool'!$S$54:$S$60,0),3),0))</f>
        <v>0</v>
      </c>
      <c r="Q397" s="288">
        <f ca="1">IF(OR(Table2[[#This Row],[Benefit Name]]="My Value Plus Life - Main Member",Table2[[#This Row],[Benefit Name]]="My Value Plus Life - Spouse"),0,
IFERROR(VLOOKUP($G397,INDIRECT($O397),$P397,FALSE),0))</f>
        <v>0</v>
      </c>
      <c r="R397" s="288">
        <f ca="1">IF(OR(Table2[[#This Row],[Benefit Name]]="My Value Plus Life - Main Member",Table2[[#This Row],[Benefit Name]]="My Value Plus Life - Spouse"),0,
IFERROR(VLOOKUP($G397,INDIRECT($O397),$P397+1,FALSE),0))</f>
        <v>0</v>
      </c>
      <c r="S397" s="289">
        <f t="shared" ca="1" si="45"/>
        <v>0</v>
      </c>
      <c r="T397" s="284" t="str">
        <f>IF(Table13[[#This Row],[Premium Waiver]]="","None",Table13[[#This Row],[Premium Waiver]])</f>
        <v>None</v>
      </c>
      <c r="U397" s="284">
        <f>Table13[[#This Row],[VAPs Options]]</f>
        <v>0</v>
      </c>
      <c r="V397" s="284">
        <f>Table13[[#This Row],[Annual Increase Option]]</f>
        <v>0</v>
      </c>
      <c r="W397" s="290">
        <f>Table13[[#This Row],[Life Cover Amount]]</f>
        <v>0</v>
      </c>
      <c r="X397" s="290">
        <f>Table13[[#This Row],[Funeral Cover Amount]]</f>
        <v>0</v>
      </c>
      <c r="Y39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9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97" s="301">
        <f t="shared" ca="1" si="46"/>
        <v>0</v>
      </c>
      <c r="AB397" s="298"/>
      <c r="AC397" s="326" t="str">
        <f>IF(Table2[[#This Row],[Member Type]]="Main Member",Lookups!$C$13,
IF(Table2[[#This Row],[Member Type]]="Spouse",_xlfn.XLOOKUP(B397,Table2[Main Member Link ID],Table2[Product Option],0),
IF(AND(Table2[[#This Row],[Member Type]]="Child",_xlfn.XLOOKUP(B397,Table2[Main Member Link ID],Table2[Product Option],0)&lt;&gt;"My Value Plus Life"),Lookups!$C$24,
IF(AND(OR(Table2[[#This Row],[Member Type]]="Parent",Table2[[#This Row],[Member Type]]="Extended"),_xlfn.XLOOKUP(B397,Table2[Main Member Link ID],Table2[Product Option],0)&lt;&gt;"My Value Plus Life"),Lookups!$C$26,""))))</f>
        <v/>
      </c>
      <c r="AD397" s="326" t="str">
        <f>IF(Table2[[#This Row],[Member Type]]="Main Member",Lookups!$C$14,"")</f>
        <v/>
      </c>
      <c r="AE39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Funeral",_xlfn.XLOOKUP(B397,Table2[Main Member Link ID],Table2[Benefit Name],0)=Lookups!$D$14),"",
IF(AND(Table2[[#This Row],[Member Type]]="Spouse",Table2[[#This Row],[Product Option]]="My Value Plus Life &amp; Funeral",_xlfn.XLOOKUP(B396,Table2[Main Member Link ID],Table2[Benefit Name],0)=Lookups!$D$15),Lookups!$D$20,
IF(AND(Table2[[#This Row],[Member Type]]="Spouse",Table2[[#This Row],[Product Option]]="My Value Plus Life &amp; Funeral",_xlfn.XLOOKUP(B396,Table2[Main Member Link ID],Table2[Benefit Name],0)=Lookups!$D$16),"",
IF(AND(Table2[[#This Row],[Member Type]]="Spouse",Table2[[#This Row],[Product Option]]="My Value Plus Life &amp; Funeral",_xlfn.XLOOKUP(B396,Table2[Main Member Link ID],Table2[Benefit Name],0)=Lookups!$D$17),Lookups!$D$21,
IF(AND(Table2[[#This Row],[Member Type]]="Child",Table2[[#This Row],[Product Option]]="My Value Plus Life &amp; Funeral",_xlfn.XLOOKUP(B397,Table2[Main Member Link ID],Table2[Benefit Name],0)=Lookups!$D$14),"",
IF(AND(Table2[[#This Row],[Member Type]]="Child",Table2[[#This Row],[Product Option]]="My Value Plus Life &amp; Funeral",_xlfn.XLOOKUP(B397,Table2[Main Member Link ID],Table2[Benefit Name],0)=Lookups!$D$15),"",
IF(AND(Table2[[#This Row],[Member Type]]="Child",Table2[[#This Row],[Product Option]]="My Value Plus Life &amp; Funeral",_xlfn.XLOOKUP(B397,Table2[Main Member Link ID],Table2[Benefit Name],0)=Lookups!$D$16),Lookups!$D$24,
IF(AND(Table2[[#This Row],[Member Type]]="Child",Table2[[#This Row],[Product Option]]="My Value Plus Life &amp; Funeral",_xlfn.XLOOKUP(B397,Table2[Main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Funeral",_xlfn.XLOOKUP(B397,Table2[Main Member Link ID],Table2[Benefit Name],0)&lt;&gt;Lookups!$D$14),
IF(_xlfn.XLOOKUP(B397,Table2[Main Member Link ID],Table2[Benefit Name],0)=0,"",_xlfn.XLOOKUP(B397,Table2[Main Member Link ID],Table2[Benefit Name],0)),"")))))))))))))))</f>
        <v/>
      </c>
      <c r="AF397" s="327" t="str">
        <f>IF(AND(Table2[[#This Row],[Member Type]]="Main Member",Table2[[#This Row],[Product Option]]="My Value Plus Life &amp; Funeral"),Lookups!$D$15,
IF(AND(Table2[[#This Row],[Member Type]]="Spouse",Table2[[#This Row],[Product Option]]="My Value Plus Life &amp; Funeral",_xlfn.XLOOKUP(B397,Table2[Main Member Link ID],Table2[Benefit Name],0)=Lookups!$D$14),"",
IF(AND(Table2[[#This Row],[Member Type]]="Spouse",Table2[[#This Row],[Product Option]]="My Value Plus Life &amp; Funeral",_xlfn.XLOOKUP(B396,Table2[Main Member Link ID],Table2[Benefit Name],0)=Lookups!$D$16),"",
IF(AND(Table2[[#This Row],[Member Type]]="Spouse",Table2[[#This Row],[Product Option]]="My Value Plus Life &amp; Funeral",_xlfn.XLOOKUP(B396,Table2[Main Member Link ID],Table2[Benefit Name],0)=Lookups!$D$15),"",
IF(AND(Table2[[#This Row],[Member Type]]="Spouse",Table2[[#This Row],[Product Option]]="My Value Plus Life &amp; Funeral",_xlfn.XLOOKUP(B396,Table2[Main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Funeral",_xlfn.XLOOKUP(B397,Table2[Main Member Link ID],Table2[Benefit Name],0)&lt;&gt;Lookups!$D$15),
IF(_xlfn.XLOOKUP(B397,Table2[Main Member Link ID],Table2[Benefit Name],0)=0,"",_xlfn.XLOOKUP(B397,Table2[Main Member Link ID],Table2[Benefit Name],0)),"")
))))))</f>
        <v/>
      </c>
      <c r="AG397" s="327" t="str">
        <f>IF(AND(Table2[[#This Row],[Member Type]]="Main Member",Table2[[#This Row],[Product Option]]="My Value Plus Life &amp; Funeral"),Lookups!$D$16,
IF(AND(Table2[[#This Row],[Member Type]]="Spouse",Table2[[#This Row],[Product Option]]="My Value Plus Life &amp; Funeral",_xlfn.XLOOKUP(B397,Table2[Main Member Link ID],Table2[Benefit Name],0)=Lookups!$D$14),"",
IF(AND(Table2[[#This Row],[Member Type]]="Spouse",Table2[[#This Row],[Product Option]]="My Value Plus Life &amp; Funeral",_xlfn.XLOOKUP(B396,Table2[Main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Funeral",_xlfn.XLOOKUP(B397,Table2[Main Member Link ID],Table2[Benefit Name],0)&lt;&gt;Lookups!$D$16),
IF(_xlfn.XLOOKUP(B397,Table2[Main Member Link ID],Table2[Benefit Name],0)=0,"",_xlfn.XLOOKUP(B397,Table2[Main Member Link ID],Table2[Benefit Name],0)),"")
))))</f>
        <v/>
      </c>
      <c r="AH397" s="327" t="str">
        <f>IF(AND(Table2[[#This Row],[Member Type]]="Main Member",Table2[[#This Row],[Product Option]]="My Value Plus Life &amp; Funeral"),Lookups!$D$17,
IF(AND(Table2[[#This Row],[Member Type]]="Spouse",Table2[[#This Row],[Product Option]]="My Value Plus Life &amp; Funeral",_xlfn.XLOOKUP(B397,Table2[Main Member Link ID],Table2[Benefit Name],0)=Lookups!$D$14),"",
IF(AND(Table2[[#This Row],[Member Type]]="Spouse",Table2[[#This Row],[Product Option]]="My Value Plus Life &amp; Funeral",_xlfn.XLOOKUP(B396,Table2[Main Member Link ID],Table2[Benefit Name],0)=Lookups!$D$16),"",
IF(AND(Table2[[#This Row],[Member Type]]="Child",Table2[[#This Row],[Product Option]]="My Value Plus Life &amp; Funeral"),"",
IF(AND(Table2[[#This Row],[Member Type]]="Child",Table2[[#This Row],[Product Option]]="My Value Plus Life &amp; Funeral",_xlfn.XLOOKUP(B397,Table2[Main Member Link ID],Table2[Benefit Name],0)=Lookups!$D$15),"",
IF(AND(OR(Table2[[#This Row],[Member Type]]="Spouse",Table2[[#This Row],[Member Type]]="Child"),Table2[[#This Row],[Product Option]]="My Value Plus Life &amp; Funeral",_xlfn.XLOOKUP(B397,Table2[Main Member Link ID],Table2[Benefit Name],0)&lt;&gt;Lookups!$D$17),
IF(_xlfn.XLOOKUP(B397,Table2[Main Member Link ID],Table2[Benefit Name],0)=0,"",_xlfn.XLOOKUP(B397,Table2[Main Member Link ID],Table2[Benefit Name],0)),""))))))</f>
        <v/>
      </c>
      <c r="AI397" s="328" t="str">
        <f>IF(AND(Table2[[#This Row],[Member Type]]="Main Member",Table2[[#This Row],[Table Lookup for Life Cover]]="MM_LIFE",Table2[[#This Row],[Age Next Birthday]]&lt;56),1,
IF(AND(Table2[[#This Row],[Member Type]]="Main Member",Table2[[#This Row],[Table Lookup for Life Cover]]="MM_LIFE",Table2[[#This Row],[Age Next Birthday]]&gt;=56),2,
""))</f>
        <v/>
      </c>
      <c r="AJ397" s="328">
        <f>IF(OR(Table2[[#This Row],[Member Type]]="Main Member",Table2[[#This Row],[Main Member Link ID]]=B396),1,0)</f>
        <v>1</v>
      </c>
      <c r="AK397" s="328">
        <f>IF(Table2[[#This Row],[Member Type]]=0,0,
IF(OR(Table2[[#This Row],[Member Type]]="Main Member",Table2[[#This Row],[Main Member Link ID]]&lt;&gt;B397),COUNTIFS(B:B,Table2[[#This Row],[Main Member Link ID]]),
COUNTIFS(B:B,Table2[[#This Row],[Main Member Link ID]],A:A,Table2[[#This Row],[Member Type]])))</f>
        <v>0</v>
      </c>
    </row>
    <row r="398" spans="1:37" x14ac:dyDescent="0.3">
      <c r="A398" s="284">
        <f>Table13[[#This Row],[Member Type]]</f>
        <v>0</v>
      </c>
      <c r="B398" s="284">
        <f>Table13[[#This Row],[Main Member Link ID]]</f>
        <v>0</v>
      </c>
      <c r="C398" s="284">
        <f>Table13[[#This Row],[ID Number]]</f>
        <v>0</v>
      </c>
      <c r="D398" s="285">
        <f>Table13[[#This Row],[Date Of Birth]]</f>
        <v>0</v>
      </c>
      <c r="E398" s="285">
        <f>Table13[[#This Row],[Commencement Date]]</f>
        <v>0</v>
      </c>
      <c r="F398" s="284">
        <f t="shared" si="42"/>
        <v>1</v>
      </c>
      <c r="G398" s="284">
        <f t="shared" si="43"/>
        <v>25</v>
      </c>
      <c r="H398" s="286">
        <f>Table13[[#This Row],[Product Option]]</f>
        <v>0</v>
      </c>
      <c r="I398" s="284">
        <f>IF(AND($A398="Main Member",Table2[[#This Row],[Product Option]]="My Value Plus Life"),"MM_LIFE",
IF(AND($A398="Spouse",Table2[[#This Row],[Product Option]]="My Value Plus Life"),"SP_LIFE",
IF(AND($A398="Main Member",Table2[[#This Row],[Product Option]]="My Value Plus Life &amp; Funeral"),"MM_LIFE",
IF(AND($A398="Spouse",Table2[[#This Row],[Product Option]]="My Value Plus Life &amp; Funeral"),_xlfn.XLOOKUP(Table2[[#This Row],[Benefit Name]],Lookups!$D$18:$D$23,Lookups!$E$18:$E$23,0),
0))))</f>
        <v>0</v>
      </c>
      <c r="J398" s="284">
        <f>IF($I398="","",
IF($I398="MM_LIFE",INDEX('Quotation Tool'!$S$54:$V$60,MATCH($T398,'Quotation Tool'!$S$54:$S$60,0),4),
IF($I398="SP_LIFE",_xlfn.XLOOKUP(B397,$B:$B,$J:$J,0),0)))</f>
        <v>0</v>
      </c>
      <c r="K398" s="287">
        <f t="shared" ca="1" si="47"/>
        <v>0</v>
      </c>
      <c r="L398" s="288">
        <f t="shared" ca="1" si="48"/>
        <v>0</v>
      </c>
      <c r="M398" s="289">
        <f t="shared" ca="1" si="44"/>
        <v>0</v>
      </c>
      <c r="N398" s="286">
        <f>Table13[[#This Row],[Benefit Option]]</f>
        <v>0</v>
      </c>
      <c r="O398" s="284">
        <f>IF(OR(Table2[[#This Row],[Member Type]]="Spouse",Table2[[#This Row],[Member Type]]="Child"),0,
IF(_xlfn.XLOOKUP($N398,Lookups!$D$13:$D$27,Lookups!$F$13:$F$27,0)=Table2[[#This Row],[Table Lookup for Life Cover]],0,
_xlfn.XLOOKUP($N398,Lookups!$D$13:$D$27,Lookups!$F$13:$F$27,0)))</f>
        <v>0</v>
      </c>
      <c r="P398" s="284">
        <f>IF(Table2[[#This Row],[Table Lookup for Funeral]]=0,0,IFERROR(INDEX('Quotation Tool'!$S$54:$V$60,MATCH($T398,'Quotation Tool'!$S$54:$S$60,0),3),0))</f>
        <v>0</v>
      </c>
      <c r="Q398" s="288">
        <f ca="1">IF(OR(Table2[[#This Row],[Benefit Name]]="My Value Plus Life - Main Member",Table2[[#This Row],[Benefit Name]]="My Value Plus Life - Spouse"),0,
IFERROR(VLOOKUP($G398,INDIRECT($O398),$P398,FALSE),0))</f>
        <v>0</v>
      </c>
      <c r="R398" s="288">
        <f ca="1">IF(OR(Table2[[#This Row],[Benefit Name]]="My Value Plus Life - Main Member",Table2[[#This Row],[Benefit Name]]="My Value Plus Life - Spouse"),0,
IFERROR(VLOOKUP($G398,INDIRECT($O398),$P398+1,FALSE),0))</f>
        <v>0</v>
      </c>
      <c r="S398" s="289">
        <f t="shared" ca="1" si="45"/>
        <v>0</v>
      </c>
      <c r="T398" s="284" t="str">
        <f>IF(Table13[[#This Row],[Premium Waiver]]="","None",Table13[[#This Row],[Premium Waiver]])</f>
        <v>None</v>
      </c>
      <c r="U398" s="284">
        <f>Table13[[#This Row],[VAPs Options]]</f>
        <v>0</v>
      </c>
      <c r="V398" s="284">
        <f>Table13[[#This Row],[Annual Increase Option]]</f>
        <v>0</v>
      </c>
      <c r="W398" s="290">
        <f>Table13[[#This Row],[Life Cover Amount]]</f>
        <v>0</v>
      </c>
      <c r="X398" s="290">
        <f>Table13[[#This Row],[Funeral Cover Amount]]</f>
        <v>0</v>
      </c>
      <c r="Y39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9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98" s="301">
        <f t="shared" ca="1" si="46"/>
        <v>0</v>
      </c>
      <c r="AB398" s="298"/>
      <c r="AC398" s="326" t="str">
        <f>IF(Table2[[#This Row],[Member Type]]="Main Member",Lookups!$C$13,
IF(Table2[[#This Row],[Member Type]]="Spouse",_xlfn.XLOOKUP(B398,Table2[Main Member Link ID],Table2[Product Option],0),
IF(AND(Table2[[#This Row],[Member Type]]="Child",_xlfn.XLOOKUP(B398,Table2[Main Member Link ID],Table2[Product Option],0)&lt;&gt;"My Value Plus Life"),Lookups!$C$24,
IF(AND(OR(Table2[[#This Row],[Member Type]]="Parent",Table2[[#This Row],[Member Type]]="Extended"),_xlfn.XLOOKUP(B398,Table2[Main Member Link ID],Table2[Product Option],0)&lt;&gt;"My Value Plus Life"),Lookups!$C$26,""))))</f>
        <v/>
      </c>
      <c r="AD398" s="326" t="str">
        <f>IF(Table2[[#This Row],[Member Type]]="Main Member",Lookups!$C$14,"")</f>
        <v/>
      </c>
      <c r="AE39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Funeral",_xlfn.XLOOKUP(B398,Table2[Main Member Link ID],Table2[Benefit Name],0)=Lookups!$D$14),"",
IF(AND(Table2[[#This Row],[Member Type]]="Spouse",Table2[[#This Row],[Product Option]]="My Value Plus Life &amp; Funeral",_xlfn.XLOOKUP(B397,Table2[Main Member Link ID],Table2[Benefit Name],0)=Lookups!$D$15),Lookups!$D$20,
IF(AND(Table2[[#This Row],[Member Type]]="Spouse",Table2[[#This Row],[Product Option]]="My Value Plus Life &amp; Funeral",_xlfn.XLOOKUP(B397,Table2[Main Member Link ID],Table2[Benefit Name],0)=Lookups!$D$16),"",
IF(AND(Table2[[#This Row],[Member Type]]="Spouse",Table2[[#This Row],[Product Option]]="My Value Plus Life &amp; Funeral",_xlfn.XLOOKUP(B397,Table2[Main Member Link ID],Table2[Benefit Name],0)=Lookups!$D$17),Lookups!$D$21,
IF(AND(Table2[[#This Row],[Member Type]]="Child",Table2[[#This Row],[Product Option]]="My Value Plus Life &amp; Funeral",_xlfn.XLOOKUP(B398,Table2[Main Member Link ID],Table2[Benefit Name],0)=Lookups!$D$14),"",
IF(AND(Table2[[#This Row],[Member Type]]="Child",Table2[[#This Row],[Product Option]]="My Value Plus Life &amp; Funeral",_xlfn.XLOOKUP(B398,Table2[Main Member Link ID],Table2[Benefit Name],0)=Lookups!$D$15),"",
IF(AND(Table2[[#This Row],[Member Type]]="Child",Table2[[#This Row],[Product Option]]="My Value Plus Life &amp; Funeral",_xlfn.XLOOKUP(B398,Table2[Main Member Link ID],Table2[Benefit Name],0)=Lookups!$D$16),Lookups!$D$24,
IF(AND(Table2[[#This Row],[Member Type]]="Child",Table2[[#This Row],[Product Option]]="My Value Plus Life &amp; Funeral",_xlfn.XLOOKUP(B398,Table2[Main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Funeral",_xlfn.XLOOKUP(B398,Table2[Main Member Link ID],Table2[Benefit Name],0)&lt;&gt;Lookups!$D$14),
IF(_xlfn.XLOOKUP(B398,Table2[Main Member Link ID],Table2[Benefit Name],0)=0,"",_xlfn.XLOOKUP(B398,Table2[Main Member Link ID],Table2[Benefit Name],0)),"")))))))))))))))</f>
        <v/>
      </c>
      <c r="AF398" s="327" t="str">
        <f>IF(AND(Table2[[#This Row],[Member Type]]="Main Member",Table2[[#This Row],[Product Option]]="My Value Plus Life &amp; Funeral"),Lookups!$D$15,
IF(AND(Table2[[#This Row],[Member Type]]="Spouse",Table2[[#This Row],[Product Option]]="My Value Plus Life &amp; Funeral",_xlfn.XLOOKUP(B398,Table2[Main Member Link ID],Table2[Benefit Name],0)=Lookups!$D$14),"",
IF(AND(Table2[[#This Row],[Member Type]]="Spouse",Table2[[#This Row],[Product Option]]="My Value Plus Life &amp; Funeral",_xlfn.XLOOKUP(B397,Table2[Main Member Link ID],Table2[Benefit Name],0)=Lookups!$D$16),"",
IF(AND(Table2[[#This Row],[Member Type]]="Spouse",Table2[[#This Row],[Product Option]]="My Value Plus Life &amp; Funeral",_xlfn.XLOOKUP(B397,Table2[Main Member Link ID],Table2[Benefit Name],0)=Lookups!$D$15),"",
IF(AND(Table2[[#This Row],[Member Type]]="Spouse",Table2[[#This Row],[Product Option]]="My Value Plus Life &amp; Funeral",_xlfn.XLOOKUP(B397,Table2[Main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Funeral",_xlfn.XLOOKUP(B398,Table2[Main Member Link ID],Table2[Benefit Name],0)&lt;&gt;Lookups!$D$15),
IF(_xlfn.XLOOKUP(B398,Table2[Main Member Link ID],Table2[Benefit Name],0)=0,"",_xlfn.XLOOKUP(B398,Table2[Main Member Link ID],Table2[Benefit Name],0)),"")
))))))</f>
        <v/>
      </c>
      <c r="AG398" s="327" t="str">
        <f>IF(AND(Table2[[#This Row],[Member Type]]="Main Member",Table2[[#This Row],[Product Option]]="My Value Plus Life &amp; Funeral"),Lookups!$D$16,
IF(AND(Table2[[#This Row],[Member Type]]="Spouse",Table2[[#This Row],[Product Option]]="My Value Plus Life &amp; Funeral",_xlfn.XLOOKUP(B398,Table2[Main Member Link ID],Table2[Benefit Name],0)=Lookups!$D$14),"",
IF(AND(Table2[[#This Row],[Member Type]]="Spouse",Table2[[#This Row],[Product Option]]="My Value Plus Life &amp; Funeral",_xlfn.XLOOKUP(B397,Table2[Main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Funeral",_xlfn.XLOOKUP(B398,Table2[Main Member Link ID],Table2[Benefit Name],0)&lt;&gt;Lookups!$D$16),
IF(_xlfn.XLOOKUP(B398,Table2[Main Member Link ID],Table2[Benefit Name],0)=0,"",_xlfn.XLOOKUP(B398,Table2[Main Member Link ID],Table2[Benefit Name],0)),"")
))))</f>
        <v/>
      </c>
      <c r="AH398" s="327" t="str">
        <f>IF(AND(Table2[[#This Row],[Member Type]]="Main Member",Table2[[#This Row],[Product Option]]="My Value Plus Life &amp; Funeral"),Lookups!$D$17,
IF(AND(Table2[[#This Row],[Member Type]]="Spouse",Table2[[#This Row],[Product Option]]="My Value Plus Life &amp; Funeral",_xlfn.XLOOKUP(B398,Table2[Main Member Link ID],Table2[Benefit Name],0)=Lookups!$D$14),"",
IF(AND(Table2[[#This Row],[Member Type]]="Spouse",Table2[[#This Row],[Product Option]]="My Value Plus Life &amp; Funeral",_xlfn.XLOOKUP(B397,Table2[Main Member Link ID],Table2[Benefit Name],0)=Lookups!$D$16),"",
IF(AND(Table2[[#This Row],[Member Type]]="Child",Table2[[#This Row],[Product Option]]="My Value Plus Life &amp; Funeral"),"",
IF(AND(Table2[[#This Row],[Member Type]]="Child",Table2[[#This Row],[Product Option]]="My Value Plus Life &amp; Funeral",_xlfn.XLOOKUP(B398,Table2[Main Member Link ID],Table2[Benefit Name],0)=Lookups!$D$15),"",
IF(AND(OR(Table2[[#This Row],[Member Type]]="Spouse",Table2[[#This Row],[Member Type]]="Child"),Table2[[#This Row],[Product Option]]="My Value Plus Life &amp; Funeral",_xlfn.XLOOKUP(B398,Table2[Main Member Link ID],Table2[Benefit Name],0)&lt;&gt;Lookups!$D$17),
IF(_xlfn.XLOOKUP(B398,Table2[Main Member Link ID],Table2[Benefit Name],0)=0,"",_xlfn.XLOOKUP(B398,Table2[Main Member Link ID],Table2[Benefit Name],0)),""))))))</f>
        <v/>
      </c>
      <c r="AI398" s="328" t="str">
        <f>IF(AND(Table2[[#This Row],[Member Type]]="Main Member",Table2[[#This Row],[Table Lookup for Life Cover]]="MM_LIFE",Table2[[#This Row],[Age Next Birthday]]&lt;56),1,
IF(AND(Table2[[#This Row],[Member Type]]="Main Member",Table2[[#This Row],[Table Lookup for Life Cover]]="MM_LIFE",Table2[[#This Row],[Age Next Birthday]]&gt;=56),2,
""))</f>
        <v/>
      </c>
      <c r="AJ398" s="328">
        <f>IF(OR(Table2[[#This Row],[Member Type]]="Main Member",Table2[[#This Row],[Main Member Link ID]]=B397),1,0)</f>
        <v>1</v>
      </c>
      <c r="AK398" s="328">
        <f>IF(Table2[[#This Row],[Member Type]]=0,0,
IF(OR(Table2[[#This Row],[Member Type]]="Main Member",Table2[[#This Row],[Main Member Link ID]]&lt;&gt;B398),COUNTIFS(B:B,Table2[[#This Row],[Main Member Link ID]]),
COUNTIFS(B:B,Table2[[#This Row],[Main Member Link ID]],A:A,Table2[[#This Row],[Member Type]])))</f>
        <v>0</v>
      </c>
    </row>
    <row r="399" spans="1:37" x14ac:dyDescent="0.3">
      <c r="A399" s="284">
        <f>Table13[[#This Row],[Member Type]]</f>
        <v>0</v>
      </c>
      <c r="B399" s="284">
        <f>Table13[[#This Row],[Main Member Link ID]]</f>
        <v>0</v>
      </c>
      <c r="C399" s="284">
        <f>Table13[[#This Row],[ID Number]]</f>
        <v>0</v>
      </c>
      <c r="D399" s="285">
        <f>Table13[[#This Row],[Date Of Birth]]</f>
        <v>0</v>
      </c>
      <c r="E399" s="285">
        <f>Table13[[#This Row],[Commencement Date]]</f>
        <v>0</v>
      </c>
      <c r="F399" s="284">
        <f t="shared" si="42"/>
        <v>1</v>
      </c>
      <c r="G399" s="284">
        <f t="shared" si="43"/>
        <v>25</v>
      </c>
      <c r="H399" s="286">
        <f>Table13[[#This Row],[Product Option]]</f>
        <v>0</v>
      </c>
      <c r="I399" s="284">
        <f>IF(AND($A399="Main Member",Table2[[#This Row],[Product Option]]="My Value Plus Life"),"MM_LIFE",
IF(AND($A399="Spouse",Table2[[#This Row],[Product Option]]="My Value Plus Life"),"SP_LIFE",
IF(AND($A399="Main Member",Table2[[#This Row],[Product Option]]="My Value Plus Life &amp; Funeral"),"MM_LIFE",
IF(AND($A399="Spouse",Table2[[#This Row],[Product Option]]="My Value Plus Life &amp; Funeral"),_xlfn.XLOOKUP(Table2[[#This Row],[Benefit Name]],Lookups!$D$18:$D$23,Lookups!$E$18:$E$23,0),
0))))</f>
        <v>0</v>
      </c>
      <c r="J399" s="284">
        <f>IF($I399="","",
IF($I399="MM_LIFE",INDEX('Quotation Tool'!$S$54:$V$60,MATCH($T399,'Quotation Tool'!$S$54:$S$60,0),4),
IF($I399="SP_LIFE",_xlfn.XLOOKUP(B398,$B:$B,$J:$J,0),0)))</f>
        <v>0</v>
      </c>
      <c r="K399" s="287">
        <f t="shared" ca="1" si="47"/>
        <v>0</v>
      </c>
      <c r="L399" s="288">
        <f t="shared" ca="1" si="48"/>
        <v>0</v>
      </c>
      <c r="M399" s="289">
        <f t="shared" ca="1" si="44"/>
        <v>0</v>
      </c>
      <c r="N399" s="286">
        <f>Table13[[#This Row],[Benefit Option]]</f>
        <v>0</v>
      </c>
      <c r="O399" s="284">
        <f>IF(OR(Table2[[#This Row],[Member Type]]="Spouse",Table2[[#This Row],[Member Type]]="Child"),0,
IF(_xlfn.XLOOKUP($N399,Lookups!$D$13:$D$27,Lookups!$F$13:$F$27,0)=Table2[[#This Row],[Table Lookup for Life Cover]],0,
_xlfn.XLOOKUP($N399,Lookups!$D$13:$D$27,Lookups!$F$13:$F$27,0)))</f>
        <v>0</v>
      </c>
      <c r="P399" s="284">
        <f>IF(Table2[[#This Row],[Table Lookup for Funeral]]=0,0,IFERROR(INDEX('Quotation Tool'!$S$54:$V$60,MATCH($T399,'Quotation Tool'!$S$54:$S$60,0),3),0))</f>
        <v>0</v>
      </c>
      <c r="Q399" s="288">
        <f ca="1">IF(OR(Table2[[#This Row],[Benefit Name]]="My Value Plus Life - Main Member",Table2[[#This Row],[Benefit Name]]="My Value Plus Life - Spouse"),0,
IFERROR(VLOOKUP($G399,INDIRECT($O399),$P399,FALSE),0))</f>
        <v>0</v>
      </c>
      <c r="R399" s="288">
        <f ca="1">IF(OR(Table2[[#This Row],[Benefit Name]]="My Value Plus Life - Main Member",Table2[[#This Row],[Benefit Name]]="My Value Plus Life - Spouse"),0,
IFERROR(VLOOKUP($G399,INDIRECT($O399),$P399+1,FALSE),0))</f>
        <v>0</v>
      </c>
      <c r="S399" s="289">
        <f t="shared" ca="1" si="45"/>
        <v>0</v>
      </c>
      <c r="T399" s="284" t="str">
        <f>IF(Table13[[#This Row],[Premium Waiver]]="","None",Table13[[#This Row],[Premium Waiver]])</f>
        <v>None</v>
      </c>
      <c r="U399" s="284">
        <f>Table13[[#This Row],[VAPs Options]]</f>
        <v>0</v>
      </c>
      <c r="V399" s="284">
        <f>Table13[[#This Row],[Annual Increase Option]]</f>
        <v>0</v>
      </c>
      <c r="W399" s="290">
        <f>Table13[[#This Row],[Life Cover Amount]]</f>
        <v>0</v>
      </c>
      <c r="X399" s="290">
        <f>Table13[[#This Row],[Funeral Cover Amount]]</f>
        <v>0</v>
      </c>
      <c r="Y39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39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399" s="301">
        <f t="shared" ca="1" si="46"/>
        <v>0</v>
      </c>
      <c r="AB399" s="298"/>
      <c r="AC399" s="326" t="str">
        <f>IF(Table2[[#This Row],[Member Type]]="Main Member",Lookups!$C$13,
IF(Table2[[#This Row],[Member Type]]="Spouse",_xlfn.XLOOKUP(B399,Table2[Main Member Link ID],Table2[Product Option],0),
IF(AND(Table2[[#This Row],[Member Type]]="Child",_xlfn.XLOOKUP(B399,Table2[Main Member Link ID],Table2[Product Option],0)&lt;&gt;"My Value Plus Life"),Lookups!$C$24,
IF(AND(OR(Table2[[#This Row],[Member Type]]="Parent",Table2[[#This Row],[Member Type]]="Extended"),_xlfn.XLOOKUP(B399,Table2[Main Member Link ID],Table2[Product Option],0)&lt;&gt;"My Value Plus Life"),Lookups!$C$26,""))))</f>
        <v/>
      </c>
      <c r="AD399" s="326" t="str">
        <f>IF(Table2[[#This Row],[Member Type]]="Main Member",Lookups!$C$14,"")</f>
        <v/>
      </c>
      <c r="AE39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Funeral",_xlfn.XLOOKUP(B399,Table2[Main Member Link ID],Table2[Benefit Name],0)=Lookups!$D$14),"",
IF(AND(Table2[[#This Row],[Member Type]]="Spouse",Table2[[#This Row],[Product Option]]="My Value Plus Life &amp; Funeral",_xlfn.XLOOKUP(B398,Table2[Main Member Link ID],Table2[Benefit Name],0)=Lookups!$D$15),Lookups!$D$20,
IF(AND(Table2[[#This Row],[Member Type]]="Spouse",Table2[[#This Row],[Product Option]]="My Value Plus Life &amp; Funeral",_xlfn.XLOOKUP(B398,Table2[Main Member Link ID],Table2[Benefit Name],0)=Lookups!$D$16),"",
IF(AND(Table2[[#This Row],[Member Type]]="Spouse",Table2[[#This Row],[Product Option]]="My Value Plus Life &amp; Funeral",_xlfn.XLOOKUP(B398,Table2[Main Member Link ID],Table2[Benefit Name],0)=Lookups!$D$17),Lookups!$D$21,
IF(AND(Table2[[#This Row],[Member Type]]="Child",Table2[[#This Row],[Product Option]]="My Value Plus Life &amp; Funeral",_xlfn.XLOOKUP(B399,Table2[Main Member Link ID],Table2[Benefit Name],0)=Lookups!$D$14),"",
IF(AND(Table2[[#This Row],[Member Type]]="Child",Table2[[#This Row],[Product Option]]="My Value Plus Life &amp; Funeral",_xlfn.XLOOKUP(B399,Table2[Main Member Link ID],Table2[Benefit Name],0)=Lookups!$D$15),"",
IF(AND(Table2[[#This Row],[Member Type]]="Child",Table2[[#This Row],[Product Option]]="My Value Plus Life &amp; Funeral",_xlfn.XLOOKUP(B399,Table2[Main Member Link ID],Table2[Benefit Name],0)=Lookups!$D$16),Lookups!$D$24,
IF(AND(Table2[[#This Row],[Member Type]]="Child",Table2[[#This Row],[Product Option]]="My Value Plus Life &amp; Funeral",_xlfn.XLOOKUP(B399,Table2[Main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Funeral",_xlfn.XLOOKUP(B399,Table2[Main Member Link ID],Table2[Benefit Name],0)&lt;&gt;Lookups!$D$14),
IF(_xlfn.XLOOKUP(B399,Table2[Main Member Link ID],Table2[Benefit Name],0)=0,"",_xlfn.XLOOKUP(B399,Table2[Main Member Link ID],Table2[Benefit Name],0)),"")))))))))))))))</f>
        <v/>
      </c>
      <c r="AF399" s="327" t="str">
        <f>IF(AND(Table2[[#This Row],[Member Type]]="Main Member",Table2[[#This Row],[Product Option]]="My Value Plus Life &amp; Funeral"),Lookups!$D$15,
IF(AND(Table2[[#This Row],[Member Type]]="Spouse",Table2[[#This Row],[Product Option]]="My Value Plus Life &amp; Funeral",_xlfn.XLOOKUP(B399,Table2[Main Member Link ID],Table2[Benefit Name],0)=Lookups!$D$14),"",
IF(AND(Table2[[#This Row],[Member Type]]="Spouse",Table2[[#This Row],[Product Option]]="My Value Plus Life &amp; Funeral",_xlfn.XLOOKUP(B398,Table2[Main Member Link ID],Table2[Benefit Name],0)=Lookups!$D$16),"",
IF(AND(Table2[[#This Row],[Member Type]]="Spouse",Table2[[#This Row],[Product Option]]="My Value Plus Life &amp; Funeral",_xlfn.XLOOKUP(B398,Table2[Main Member Link ID],Table2[Benefit Name],0)=Lookups!$D$15),"",
IF(AND(Table2[[#This Row],[Member Type]]="Spouse",Table2[[#This Row],[Product Option]]="My Value Plus Life &amp; Funeral",_xlfn.XLOOKUP(B398,Table2[Main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Funeral",_xlfn.XLOOKUP(B399,Table2[Main Member Link ID],Table2[Benefit Name],0)&lt;&gt;Lookups!$D$15),
IF(_xlfn.XLOOKUP(B399,Table2[Main Member Link ID],Table2[Benefit Name],0)=0,"",_xlfn.XLOOKUP(B399,Table2[Main Member Link ID],Table2[Benefit Name],0)),"")
))))))</f>
        <v/>
      </c>
      <c r="AG399" s="327" t="str">
        <f>IF(AND(Table2[[#This Row],[Member Type]]="Main Member",Table2[[#This Row],[Product Option]]="My Value Plus Life &amp; Funeral"),Lookups!$D$16,
IF(AND(Table2[[#This Row],[Member Type]]="Spouse",Table2[[#This Row],[Product Option]]="My Value Plus Life &amp; Funeral",_xlfn.XLOOKUP(B399,Table2[Main Member Link ID],Table2[Benefit Name],0)=Lookups!$D$14),"",
IF(AND(Table2[[#This Row],[Member Type]]="Spouse",Table2[[#This Row],[Product Option]]="My Value Plus Life &amp; Funeral",_xlfn.XLOOKUP(B398,Table2[Main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Funeral",_xlfn.XLOOKUP(B399,Table2[Main Member Link ID],Table2[Benefit Name],0)&lt;&gt;Lookups!$D$16),
IF(_xlfn.XLOOKUP(B399,Table2[Main Member Link ID],Table2[Benefit Name],0)=0,"",_xlfn.XLOOKUP(B399,Table2[Main Member Link ID],Table2[Benefit Name],0)),"")
))))</f>
        <v/>
      </c>
      <c r="AH399" s="327" t="str">
        <f>IF(AND(Table2[[#This Row],[Member Type]]="Main Member",Table2[[#This Row],[Product Option]]="My Value Plus Life &amp; Funeral"),Lookups!$D$17,
IF(AND(Table2[[#This Row],[Member Type]]="Spouse",Table2[[#This Row],[Product Option]]="My Value Plus Life &amp; Funeral",_xlfn.XLOOKUP(B399,Table2[Main Member Link ID],Table2[Benefit Name],0)=Lookups!$D$14),"",
IF(AND(Table2[[#This Row],[Member Type]]="Spouse",Table2[[#This Row],[Product Option]]="My Value Plus Life &amp; Funeral",_xlfn.XLOOKUP(B398,Table2[Main Member Link ID],Table2[Benefit Name],0)=Lookups!$D$16),"",
IF(AND(Table2[[#This Row],[Member Type]]="Child",Table2[[#This Row],[Product Option]]="My Value Plus Life &amp; Funeral"),"",
IF(AND(Table2[[#This Row],[Member Type]]="Child",Table2[[#This Row],[Product Option]]="My Value Plus Life &amp; Funeral",_xlfn.XLOOKUP(B399,Table2[Main Member Link ID],Table2[Benefit Name],0)=Lookups!$D$15),"",
IF(AND(OR(Table2[[#This Row],[Member Type]]="Spouse",Table2[[#This Row],[Member Type]]="Child"),Table2[[#This Row],[Product Option]]="My Value Plus Life &amp; Funeral",_xlfn.XLOOKUP(B399,Table2[Main Member Link ID],Table2[Benefit Name],0)&lt;&gt;Lookups!$D$17),
IF(_xlfn.XLOOKUP(B399,Table2[Main Member Link ID],Table2[Benefit Name],0)=0,"",_xlfn.XLOOKUP(B399,Table2[Main Member Link ID],Table2[Benefit Name],0)),""))))))</f>
        <v/>
      </c>
      <c r="AI399" s="328" t="str">
        <f>IF(AND(Table2[[#This Row],[Member Type]]="Main Member",Table2[[#This Row],[Table Lookup for Life Cover]]="MM_LIFE",Table2[[#This Row],[Age Next Birthday]]&lt;56),1,
IF(AND(Table2[[#This Row],[Member Type]]="Main Member",Table2[[#This Row],[Table Lookup for Life Cover]]="MM_LIFE",Table2[[#This Row],[Age Next Birthday]]&gt;=56),2,
""))</f>
        <v/>
      </c>
      <c r="AJ399" s="328">
        <f>IF(OR(Table2[[#This Row],[Member Type]]="Main Member",Table2[[#This Row],[Main Member Link ID]]=B398),1,0)</f>
        <v>1</v>
      </c>
      <c r="AK399" s="328">
        <f>IF(Table2[[#This Row],[Member Type]]=0,0,
IF(OR(Table2[[#This Row],[Member Type]]="Main Member",Table2[[#This Row],[Main Member Link ID]]&lt;&gt;B399),COUNTIFS(B:B,Table2[[#This Row],[Main Member Link ID]]),
COUNTIFS(B:B,Table2[[#This Row],[Main Member Link ID]],A:A,Table2[[#This Row],[Member Type]])))</f>
        <v>0</v>
      </c>
    </row>
    <row r="400" spans="1:37" x14ac:dyDescent="0.3">
      <c r="A400" s="284">
        <f>Table13[[#This Row],[Member Type]]</f>
        <v>0</v>
      </c>
      <c r="B400" s="284">
        <f>Table13[[#This Row],[Main Member Link ID]]</f>
        <v>0</v>
      </c>
      <c r="C400" s="284">
        <f>Table13[[#This Row],[ID Number]]</f>
        <v>0</v>
      </c>
      <c r="D400" s="285">
        <f>Table13[[#This Row],[Date Of Birth]]</f>
        <v>0</v>
      </c>
      <c r="E400" s="285">
        <f>Table13[[#This Row],[Commencement Date]]</f>
        <v>0</v>
      </c>
      <c r="F400" s="284">
        <f t="shared" si="42"/>
        <v>1</v>
      </c>
      <c r="G400" s="284">
        <f t="shared" si="43"/>
        <v>25</v>
      </c>
      <c r="H400" s="286">
        <f>Table13[[#This Row],[Product Option]]</f>
        <v>0</v>
      </c>
      <c r="I400" s="284">
        <f>IF(AND($A400="Main Member",Table2[[#This Row],[Product Option]]="My Value Plus Life"),"MM_LIFE",
IF(AND($A400="Spouse",Table2[[#This Row],[Product Option]]="My Value Plus Life"),"SP_LIFE",
IF(AND($A400="Main Member",Table2[[#This Row],[Product Option]]="My Value Plus Life &amp; Funeral"),"MM_LIFE",
IF(AND($A400="Spouse",Table2[[#This Row],[Product Option]]="My Value Plus Life &amp; Funeral"),_xlfn.XLOOKUP(Table2[[#This Row],[Benefit Name]],Lookups!$D$18:$D$23,Lookups!$E$18:$E$23,0),
0))))</f>
        <v>0</v>
      </c>
      <c r="J400" s="284">
        <f>IF($I400="","",
IF($I400="MM_LIFE",INDEX('Quotation Tool'!$S$54:$V$60,MATCH($T400,'Quotation Tool'!$S$54:$S$60,0),4),
IF($I400="SP_LIFE",_xlfn.XLOOKUP(B399,$B:$B,$J:$J,0),0)))</f>
        <v>0</v>
      </c>
      <c r="K400" s="287">
        <f t="shared" ca="1" si="47"/>
        <v>0</v>
      </c>
      <c r="L400" s="288">
        <f t="shared" ca="1" si="48"/>
        <v>0</v>
      </c>
      <c r="M400" s="289">
        <f t="shared" ca="1" si="44"/>
        <v>0</v>
      </c>
      <c r="N400" s="286">
        <f>Table13[[#This Row],[Benefit Option]]</f>
        <v>0</v>
      </c>
      <c r="O400" s="284">
        <f>IF(OR(Table2[[#This Row],[Member Type]]="Spouse",Table2[[#This Row],[Member Type]]="Child"),0,
IF(_xlfn.XLOOKUP($N400,Lookups!$D$13:$D$27,Lookups!$F$13:$F$27,0)=Table2[[#This Row],[Table Lookup for Life Cover]],0,
_xlfn.XLOOKUP($N400,Lookups!$D$13:$D$27,Lookups!$F$13:$F$27,0)))</f>
        <v>0</v>
      </c>
      <c r="P400" s="284">
        <f>IF(Table2[[#This Row],[Table Lookup for Funeral]]=0,0,IFERROR(INDEX('Quotation Tool'!$S$54:$V$60,MATCH($T400,'Quotation Tool'!$S$54:$S$60,0),3),0))</f>
        <v>0</v>
      </c>
      <c r="Q400" s="288">
        <f ca="1">IF(OR(Table2[[#This Row],[Benefit Name]]="My Value Plus Life - Main Member",Table2[[#This Row],[Benefit Name]]="My Value Plus Life - Spouse"),0,
IFERROR(VLOOKUP($G400,INDIRECT($O400),$P400,FALSE),0))</f>
        <v>0</v>
      </c>
      <c r="R400" s="288">
        <f ca="1">IF(OR(Table2[[#This Row],[Benefit Name]]="My Value Plus Life - Main Member",Table2[[#This Row],[Benefit Name]]="My Value Plus Life - Spouse"),0,
IFERROR(VLOOKUP($G400,INDIRECT($O400),$P400+1,FALSE),0))</f>
        <v>0</v>
      </c>
      <c r="S400" s="289">
        <f t="shared" ca="1" si="45"/>
        <v>0</v>
      </c>
      <c r="T400" s="284" t="str">
        <f>IF(Table13[[#This Row],[Premium Waiver]]="","None",Table13[[#This Row],[Premium Waiver]])</f>
        <v>None</v>
      </c>
      <c r="U400" s="284">
        <f>Table13[[#This Row],[VAPs Options]]</f>
        <v>0</v>
      </c>
      <c r="V400" s="284">
        <f>Table13[[#This Row],[Annual Increase Option]]</f>
        <v>0</v>
      </c>
      <c r="W400" s="290">
        <f>Table13[[#This Row],[Life Cover Amount]]</f>
        <v>0</v>
      </c>
      <c r="X400" s="290">
        <f>Table13[[#This Row],[Funeral Cover Amount]]</f>
        <v>0</v>
      </c>
      <c r="Y40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0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00" s="301">
        <f t="shared" ca="1" si="46"/>
        <v>0</v>
      </c>
      <c r="AB400" s="298"/>
      <c r="AC400" s="326" t="str">
        <f>IF(Table2[[#This Row],[Member Type]]="Main Member",Lookups!$C$13,
IF(Table2[[#This Row],[Member Type]]="Spouse",_xlfn.XLOOKUP(B400,Table2[Main Member Link ID],Table2[Product Option],0),
IF(AND(Table2[[#This Row],[Member Type]]="Child",_xlfn.XLOOKUP(B400,Table2[Main Member Link ID],Table2[Product Option],0)&lt;&gt;"My Value Plus Life"),Lookups!$C$24,
IF(AND(OR(Table2[[#This Row],[Member Type]]="Parent",Table2[[#This Row],[Member Type]]="Extended"),_xlfn.XLOOKUP(B400,Table2[Main Member Link ID],Table2[Product Option],0)&lt;&gt;"My Value Plus Life"),Lookups!$C$26,""))))</f>
        <v/>
      </c>
      <c r="AD400" s="326" t="str">
        <f>IF(Table2[[#This Row],[Member Type]]="Main Member",Lookups!$C$14,"")</f>
        <v/>
      </c>
      <c r="AE40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Funeral",_xlfn.XLOOKUP(B400,Table2[Main Member Link ID],Table2[Benefit Name],0)=Lookups!$D$14),"",
IF(AND(Table2[[#This Row],[Member Type]]="Spouse",Table2[[#This Row],[Product Option]]="My Value Plus Life &amp; Funeral",_xlfn.XLOOKUP(B399,Table2[Main Member Link ID],Table2[Benefit Name],0)=Lookups!$D$15),Lookups!$D$20,
IF(AND(Table2[[#This Row],[Member Type]]="Spouse",Table2[[#This Row],[Product Option]]="My Value Plus Life &amp; Funeral",_xlfn.XLOOKUP(B399,Table2[Main Member Link ID],Table2[Benefit Name],0)=Lookups!$D$16),"",
IF(AND(Table2[[#This Row],[Member Type]]="Spouse",Table2[[#This Row],[Product Option]]="My Value Plus Life &amp; Funeral",_xlfn.XLOOKUP(B399,Table2[Main Member Link ID],Table2[Benefit Name],0)=Lookups!$D$17),Lookups!$D$21,
IF(AND(Table2[[#This Row],[Member Type]]="Child",Table2[[#This Row],[Product Option]]="My Value Plus Life &amp; Funeral",_xlfn.XLOOKUP(B400,Table2[Main Member Link ID],Table2[Benefit Name],0)=Lookups!$D$14),"",
IF(AND(Table2[[#This Row],[Member Type]]="Child",Table2[[#This Row],[Product Option]]="My Value Plus Life &amp; Funeral",_xlfn.XLOOKUP(B400,Table2[Main Member Link ID],Table2[Benefit Name],0)=Lookups!$D$15),"",
IF(AND(Table2[[#This Row],[Member Type]]="Child",Table2[[#This Row],[Product Option]]="My Value Plus Life &amp; Funeral",_xlfn.XLOOKUP(B400,Table2[Main Member Link ID],Table2[Benefit Name],0)=Lookups!$D$16),Lookups!$D$24,
IF(AND(Table2[[#This Row],[Member Type]]="Child",Table2[[#This Row],[Product Option]]="My Value Plus Life &amp; Funeral",_xlfn.XLOOKUP(B400,Table2[Main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Funeral",_xlfn.XLOOKUP(B400,Table2[Main Member Link ID],Table2[Benefit Name],0)&lt;&gt;Lookups!$D$14),
IF(_xlfn.XLOOKUP(B400,Table2[Main Member Link ID],Table2[Benefit Name],0)=0,"",_xlfn.XLOOKUP(B400,Table2[Main Member Link ID],Table2[Benefit Name],0)),"")))))))))))))))</f>
        <v/>
      </c>
      <c r="AF400" s="327" t="str">
        <f>IF(AND(Table2[[#This Row],[Member Type]]="Main Member",Table2[[#This Row],[Product Option]]="My Value Plus Life &amp; Funeral"),Lookups!$D$15,
IF(AND(Table2[[#This Row],[Member Type]]="Spouse",Table2[[#This Row],[Product Option]]="My Value Plus Life &amp; Funeral",_xlfn.XLOOKUP(B400,Table2[Main Member Link ID],Table2[Benefit Name],0)=Lookups!$D$14),"",
IF(AND(Table2[[#This Row],[Member Type]]="Spouse",Table2[[#This Row],[Product Option]]="My Value Plus Life &amp; Funeral",_xlfn.XLOOKUP(B399,Table2[Main Member Link ID],Table2[Benefit Name],0)=Lookups!$D$16),"",
IF(AND(Table2[[#This Row],[Member Type]]="Spouse",Table2[[#This Row],[Product Option]]="My Value Plus Life &amp; Funeral",_xlfn.XLOOKUP(B399,Table2[Main Member Link ID],Table2[Benefit Name],0)=Lookups!$D$15),"",
IF(AND(Table2[[#This Row],[Member Type]]="Spouse",Table2[[#This Row],[Product Option]]="My Value Plus Life &amp; Funeral",_xlfn.XLOOKUP(B399,Table2[Main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Funeral",_xlfn.XLOOKUP(B400,Table2[Main Member Link ID],Table2[Benefit Name],0)&lt;&gt;Lookups!$D$15),
IF(_xlfn.XLOOKUP(B400,Table2[Main Member Link ID],Table2[Benefit Name],0)=0,"",_xlfn.XLOOKUP(B400,Table2[Main Member Link ID],Table2[Benefit Name],0)),"")
))))))</f>
        <v/>
      </c>
      <c r="AG400" s="327" t="str">
        <f>IF(AND(Table2[[#This Row],[Member Type]]="Main Member",Table2[[#This Row],[Product Option]]="My Value Plus Life &amp; Funeral"),Lookups!$D$16,
IF(AND(Table2[[#This Row],[Member Type]]="Spouse",Table2[[#This Row],[Product Option]]="My Value Plus Life &amp; Funeral",_xlfn.XLOOKUP(B400,Table2[Main Member Link ID],Table2[Benefit Name],0)=Lookups!$D$14),"",
IF(AND(Table2[[#This Row],[Member Type]]="Spouse",Table2[[#This Row],[Product Option]]="My Value Plus Life &amp; Funeral",_xlfn.XLOOKUP(B399,Table2[Main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Funeral",_xlfn.XLOOKUP(B400,Table2[Main Member Link ID],Table2[Benefit Name],0)&lt;&gt;Lookups!$D$16),
IF(_xlfn.XLOOKUP(B400,Table2[Main Member Link ID],Table2[Benefit Name],0)=0,"",_xlfn.XLOOKUP(B400,Table2[Main Member Link ID],Table2[Benefit Name],0)),"")
))))</f>
        <v/>
      </c>
      <c r="AH400" s="327" t="str">
        <f>IF(AND(Table2[[#This Row],[Member Type]]="Main Member",Table2[[#This Row],[Product Option]]="My Value Plus Life &amp; Funeral"),Lookups!$D$17,
IF(AND(Table2[[#This Row],[Member Type]]="Spouse",Table2[[#This Row],[Product Option]]="My Value Plus Life &amp; Funeral",_xlfn.XLOOKUP(B400,Table2[Main Member Link ID],Table2[Benefit Name],0)=Lookups!$D$14),"",
IF(AND(Table2[[#This Row],[Member Type]]="Spouse",Table2[[#This Row],[Product Option]]="My Value Plus Life &amp; Funeral",_xlfn.XLOOKUP(B399,Table2[Main Member Link ID],Table2[Benefit Name],0)=Lookups!$D$16),"",
IF(AND(Table2[[#This Row],[Member Type]]="Child",Table2[[#This Row],[Product Option]]="My Value Plus Life &amp; Funeral"),"",
IF(AND(Table2[[#This Row],[Member Type]]="Child",Table2[[#This Row],[Product Option]]="My Value Plus Life &amp; Funeral",_xlfn.XLOOKUP(B400,Table2[Main Member Link ID],Table2[Benefit Name],0)=Lookups!$D$15),"",
IF(AND(OR(Table2[[#This Row],[Member Type]]="Spouse",Table2[[#This Row],[Member Type]]="Child"),Table2[[#This Row],[Product Option]]="My Value Plus Life &amp; Funeral",_xlfn.XLOOKUP(B400,Table2[Main Member Link ID],Table2[Benefit Name],0)&lt;&gt;Lookups!$D$17),
IF(_xlfn.XLOOKUP(B400,Table2[Main Member Link ID],Table2[Benefit Name],0)=0,"",_xlfn.XLOOKUP(B400,Table2[Main Member Link ID],Table2[Benefit Name],0)),""))))))</f>
        <v/>
      </c>
      <c r="AI400" s="328" t="str">
        <f>IF(AND(Table2[[#This Row],[Member Type]]="Main Member",Table2[[#This Row],[Table Lookup for Life Cover]]="MM_LIFE",Table2[[#This Row],[Age Next Birthday]]&lt;56),1,
IF(AND(Table2[[#This Row],[Member Type]]="Main Member",Table2[[#This Row],[Table Lookup for Life Cover]]="MM_LIFE",Table2[[#This Row],[Age Next Birthday]]&gt;=56),2,
""))</f>
        <v/>
      </c>
      <c r="AJ400" s="328">
        <f>IF(OR(Table2[[#This Row],[Member Type]]="Main Member",Table2[[#This Row],[Main Member Link ID]]=B399),1,0)</f>
        <v>1</v>
      </c>
      <c r="AK400" s="328">
        <f>IF(Table2[[#This Row],[Member Type]]=0,0,
IF(OR(Table2[[#This Row],[Member Type]]="Main Member",Table2[[#This Row],[Main Member Link ID]]&lt;&gt;B400),COUNTIFS(B:B,Table2[[#This Row],[Main Member Link ID]]),
COUNTIFS(B:B,Table2[[#This Row],[Main Member Link ID]],A:A,Table2[[#This Row],[Member Type]])))</f>
        <v>0</v>
      </c>
    </row>
    <row r="401" spans="1:37" x14ac:dyDescent="0.3">
      <c r="A401" s="284">
        <f>Table13[[#This Row],[Member Type]]</f>
        <v>0</v>
      </c>
      <c r="B401" s="284">
        <f>Table13[[#This Row],[Main Member Link ID]]</f>
        <v>0</v>
      </c>
      <c r="C401" s="284">
        <f>Table13[[#This Row],[ID Number]]</f>
        <v>0</v>
      </c>
      <c r="D401" s="285">
        <f>Table13[[#This Row],[Date Of Birth]]</f>
        <v>0</v>
      </c>
      <c r="E401" s="285">
        <f>Table13[[#This Row],[Commencement Date]]</f>
        <v>0</v>
      </c>
      <c r="F401" s="284">
        <f t="shared" si="42"/>
        <v>1</v>
      </c>
      <c r="G401" s="284">
        <f t="shared" si="43"/>
        <v>25</v>
      </c>
      <c r="H401" s="286">
        <f>Table13[[#This Row],[Product Option]]</f>
        <v>0</v>
      </c>
      <c r="I401" s="284">
        <f>IF(AND($A401="Main Member",Table2[[#This Row],[Product Option]]="My Value Plus Life"),"MM_LIFE",
IF(AND($A401="Spouse",Table2[[#This Row],[Product Option]]="My Value Plus Life"),"SP_LIFE",
IF(AND($A401="Main Member",Table2[[#This Row],[Product Option]]="My Value Plus Life &amp; Funeral"),"MM_LIFE",
IF(AND($A401="Spouse",Table2[[#This Row],[Product Option]]="My Value Plus Life &amp; Funeral"),_xlfn.XLOOKUP(Table2[[#This Row],[Benefit Name]],Lookups!$D$18:$D$23,Lookups!$E$18:$E$23,0),
0))))</f>
        <v>0</v>
      </c>
      <c r="J401" s="284">
        <f>IF($I401="","",
IF($I401="MM_LIFE",INDEX('Quotation Tool'!$S$54:$V$60,MATCH($T401,'Quotation Tool'!$S$54:$S$60,0),4),
IF($I401="SP_LIFE",_xlfn.XLOOKUP(B400,$B:$B,$J:$J,0),0)))</f>
        <v>0</v>
      </c>
      <c r="K401" s="287">
        <f t="shared" ca="1" si="47"/>
        <v>0</v>
      </c>
      <c r="L401" s="288">
        <f t="shared" ca="1" si="48"/>
        <v>0</v>
      </c>
      <c r="M401" s="289">
        <f t="shared" ca="1" si="44"/>
        <v>0</v>
      </c>
      <c r="N401" s="286">
        <f>Table13[[#This Row],[Benefit Option]]</f>
        <v>0</v>
      </c>
      <c r="O401" s="284">
        <f>IF(OR(Table2[[#This Row],[Member Type]]="Spouse",Table2[[#This Row],[Member Type]]="Child"),0,
IF(_xlfn.XLOOKUP($N401,Lookups!$D$13:$D$27,Lookups!$F$13:$F$27,0)=Table2[[#This Row],[Table Lookup for Life Cover]],0,
_xlfn.XLOOKUP($N401,Lookups!$D$13:$D$27,Lookups!$F$13:$F$27,0)))</f>
        <v>0</v>
      </c>
      <c r="P401" s="284">
        <f>IF(Table2[[#This Row],[Table Lookup for Funeral]]=0,0,IFERROR(INDEX('Quotation Tool'!$S$54:$V$60,MATCH($T401,'Quotation Tool'!$S$54:$S$60,0),3),0))</f>
        <v>0</v>
      </c>
      <c r="Q401" s="288">
        <f ca="1">IF(OR(Table2[[#This Row],[Benefit Name]]="My Value Plus Life - Main Member",Table2[[#This Row],[Benefit Name]]="My Value Plus Life - Spouse"),0,
IFERROR(VLOOKUP($G401,INDIRECT($O401),$P401,FALSE),0))</f>
        <v>0</v>
      </c>
      <c r="R401" s="288">
        <f ca="1">IF(OR(Table2[[#This Row],[Benefit Name]]="My Value Plus Life - Main Member",Table2[[#This Row],[Benefit Name]]="My Value Plus Life - Spouse"),0,
IFERROR(VLOOKUP($G401,INDIRECT($O401),$P401+1,FALSE),0))</f>
        <v>0</v>
      </c>
      <c r="S401" s="289">
        <f t="shared" ca="1" si="45"/>
        <v>0</v>
      </c>
      <c r="T401" s="284" t="str">
        <f>IF(Table13[[#This Row],[Premium Waiver]]="","None",Table13[[#This Row],[Premium Waiver]])</f>
        <v>None</v>
      </c>
      <c r="U401" s="284">
        <f>Table13[[#This Row],[VAPs Options]]</f>
        <v>0</v>
      </c>
      <c r="V401" s="284">
        <f>Table13[[#This Row],[Annual Increase Option]]</f>
        <v>0</v>
      </c>
      <c r="W401" s="290">
        <f>Table13[[#This Row],[Life Cover Amount]]</f>
        <v>0</v>
      </c>
      <c r="X401" s="290">
        <f>Table13[[#This Row],[Funeral Cover Amount]]</f>
        <v>0</v>
      </c>
      <c r="Y40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0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01" s="301">
        <f t="shared" ca="1" si="46"/>
        <v>0</v>
      </c>
      <c r="AB401" s="298"/>
      <c r="AC401" s="326" t="str">
        <f>IF(Table2[[#This Row],[Member Type]]="Main Member",Lookups!$C$13,
IF(Table2[[#This Row],[Member Type]]="Spouse",_xlfn.XLOOKUP(B401,Table2[Main Member Link ID],Table2[Product Option],0),
IF(AND(Table2[[#This Row],[Member Type]]="Child",_xlfn.XLOOKUP(B401,Table2[Main Member Link ID],Table2[Product Option],0)&lt;&gt;"My Value Plus Life"),Lookups!$C$24,
IF(AND(OR(Table2[[#This Row],[Member Type]]="Parent",Table2[[#This Row],[Member Type]]="Extended"),_xlfn.XLOOKUP(B401,Table2[Main Member Link ID],Table2[Product Option],0)&lt;&gt;"My Value Plus Life"),Lookups!$C$26,""))))</f>
        <v/>
      </c>
      <c r="AD401" s="326" t="str">
        <f>IF(Table2[[#This Row],[Member Type]]="Main Member",Lookups!$C$14,"")</f>
        <v/>
      </c>
      <c r="AE40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Funeral",_xlfn.XLOOKUP(B401,Table2[Main Member Link ID],Table2[Benefit Name],0)=Lookups!$D$14),"",
IF(AND(Table2[[#This Row],[Member Type]]="Spouse",Table2[[#This Row],[Product Option]]="My Value Plus Life &amp; Funeral",_xlfn.XLOOKUP(B400,Table2[Main Member Link ID],Table2[Benefit Name],0)=Lookups!$D$15),Lookups!$D$20,
IF(AND(Table2[[#This Row],[Member Type]]="Spouse",Table2[[#This Row],[Product Option]]="My Value Plus Life &amp; Funeral",_xlfn.XLOOKUP(B400,Table2[Main Member Link ID],Table2[Benefit Name],0)=Lookups!$D$16),"",
IF(AND(Table2[[#This Row],[Member Type]]="Spouse",Table2[[#This Row],[Product Option]]="My Value Plus Life &amp; Funeral",_xlfn.XLOOKUP(B400,Table2[Main Member Link ID],Table2[Benefit Name],0)=Lookups!$D$17),Lookups!$D$21,
IF(AND(Table2[[#This Row],[Member Type]]="Child",Table2[[#This Row],[Product Option]]="My Value Plus Life &amp; Funeral",_xlfn.XLOOKUP(B401,Table2[Main Member Link ID],Table2[Benefit Name],0)=Lookups!$D$14),"",
IF(AND(Table2[[#This Row],[Member Type]]="Child",Table2[[#This Row],[Product Option]]="My Value Plus Life &amp; Funeral",_xlfn.XLOOKUP(B401,Table2[Main Member Link ID],Table2[Benefit Name],0)=Lookups!$D$15),"",
IF(AND(Table2[[#This Row],[Member Type]]="Child",Table2[[#This Row],[Product Option]]="My Value Plus Life &amp; Funeral",_xlfn.XLOOKUP(B401,Table2[Main Member Link ID],Table2[Benefit Name],0)=Lookups!$D$16),Lookups!$D$24,
IF(AND(Table2[[#This Row],[Member Type]]="Child",Table2[[#This Row],[Product Option]]="My Value Plus Life &amp; Funeral",_xlfn.XLOOKUP(B401,Table2[Main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Funeral",_xlfn.XLOOKUP(B401,Table2[Main Member Link ID],Table2[Benefit Name],0)&lt;&gt;Lookups!$D$14),
IF(_xlfn.XLOOKUP(B401,Table2[Main Member Link ID],Table2[Benefit Name],0)=0,"",_xlfn.XLOOKUP(B401,Table2[Main Member Link ID],Table2[Benefit Name],0)),"")))))))))))))))</f>
        <v/>
      </c>
      <c r="AF401" s="327" t="str">
        <f>IF(AND(Table2[[#This Row],[Member Type]]="Main Member",Table2[[#This Row],[Product Option]]="My Value Plus Life &amp; Funeral"),Lookups!$D$15,
IF(AND(Table2[[#This Row],[Member Type]]="Spouse",Table2[[#This Row],[Product Option]]="My Value Plus Life &amp; Funeral",_xlfn.XLOOKUP(B401,Table2[Main Member Link ID],Table2[Benefit Name],0)=Lookups!$D$14),"",
IF(AND(Table2[[#This Row],[Member Type]]="Spouse",Table2[[#This Row],[Product Option]]="My Value Plus Life &amp; Funeral",_xlfn.XLOOKUP(B400,Table2[Main Member Link ID],Table2[Benefit Name],0)=Lookups!$D$16),"",
IF(AND(Table2[[#This Row],[Member Type]]="Spouse",Table2[[#This Row],[Product Option]]="My Value Plus Life &amp; Funeral",_xlfn.XLOOKUP(B400,Table2[Main Member Link ID],Table2[Benefit Name],0)=Lookups!$D$15),"",
IF(AND(Table2[[#This Row],[Member Type]]="Spouse",Table2[[#This Row],[Product Option]]="My Value Plus Life &amp; Funeral",_xlfn.XLOOKUP(B400,Table2[Main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Funeral",_xlfn.XLOOKUP(B401,Table2[Main Member Link ID],Table2[Benefit Name],0)&lt;&gt;Lookups!$D$15),
IF(_xlfn.XLOOKUP(B401,Table2[Main Member Link ID],Table2[Benefit Name],0)=0,"",_xlfn.XLOOKUP(B401,Table2[Main Member Link ID],Table2[Benefit Name],0)),"")
))))))</f>
        <v/>
      </c>
      <c r="AG401" s="327" t="str">
        <f>IF(AND(Table2[[#This Row],[Member Type]]="Main Member",Table2[[#This Row],[Product Option]]="My Value Plus Life &amp; Funeral"),Lookups!$D$16,
IF(AND(Table2[[#This Row],[Member Type]]="Spouse",Table2[[#This Row],[Product Option]]="My Value Plus Life &amp; Funeral",_xlfn.XLOOKUP(B401,Table2[Main Member Link ID],Table2[Benefit Name],0)=Lookups!$D$14),"",
IF(AND(Table2[[#This Row],[Member Type]]="Spouse",Table2[[#This Row],[Product Option]]="My Value Plus Life &amp; Funeral",_xlfn.XLOOKUP(B400,Table2[Main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Funeral",_xlfn.XLOOKUP(B401,Table2[Main Member Link ID],Table2[Benefit Name],0)&lt;&gt;Lookups!$D$16),
IF(_xlfn.XLOOKUP(B401,Table2[Main Member Link ID],Table2[Benefit Name],0)=0,"",_xlfn.XLOOKUP(B401,Table2[Main Member Link ID],Table2[Benefit Name],0)),"")
))))</f>
        <v/>
      </c>
      <c r="AH401" s="327" t="str">
        <f>IF(AND(Table2[[#This Row],[Member Type]]="Main Member",Table2[[#This Row],[Product Option]]="My Value Plus Life &amp; Funeral"),Lookups!$D$17,
IF(AND(Table2[[#This Row],[Member Type]]="Spouse",Table2[[#This Row],[Product Option]]="My Value Plus Life &amp; Funeral",_xlfn.XLOOKUP(B401,Table2[Main Member Link ID],Table2[Benefit Name],0)=Lookups!$D$14),"",
IF(AND(Table2[[#This Row],[Member Type]]="Spouse",Table2[[#This Row],[Product Option]]="My Value Plus Life &amp; Funeral",_xlfn.XLOOKUP(B400,Table2[Main Member Link ID],Table2[Benefit Name],0)=Lookups!$D$16),"",
IF(AND(Table2[[#This Row],[Member Type]]="Child",Table2[[#This Row],[Product Option]]="My Value Plus Life &amp; Funeral"),"",
IF(AND(Table2[[#This Row],[Member Type]]="Child",Table2[[#This Row],[Product Option]]="My Value Plus Life &amp; Funeral",_xlfn.XLOOKUP(B401,Table2[Main Member Link ID],Table2[Benefit Name],0)=Lookups!$D$15),"",
IF(AND(OR(Table2[[#This Row],[Member Type]]="Spouse",Table2[[#This Row],[Member Type]]="Child"),Table2[[#This Row],[Product Option]]="My Value Plus Life &amp; Funeral",_xlfn.XLOOKUP(B401,Table2[Main Member Link ID],Table2[Benefit Name],0)&lt;&gt;Lookups!$D$17),
IF(_xlfn.XLOOKUP(B401,Table2[Main Member Link ID],Table2[Benefit Name],0)=0,"",_xlfn.XLOOKUP(B401,Table2[Main Member Link ID],Table2[Benefit Name],0)),""))))))</f>
        <v/>
      </c>
      <c r="AI401" s="328" t="str">
        <f>IF(AND(Table2[[#This Row],[Member Type]]="Main Member",Table2[[#This Row],[Table Lookup for Life Cover]]="MM_LIFE",Table2[[#This Row],[Age Next Birthday]]&lt;56),1,
IF(AND(Table2[[#This Row],[Member Type]]="Main Member",Table2[[#This Row],[Table Lookup for Life Cover]]="MM_LIFE",Table2[[#This Row],[Age Next Birthday]]&gt;=56),2,
""))</f>
        <v/>
      </c>
      <c r="AJ401" s="328">
        <f>IF(OR(Table2[[#This Row],[Member Type]]="Main Member",Table2[[#This Row],[Main Member Link ID]]=B400),1,0)</f>
        <v>1</v>
      </c>
      <c r="AK401" s="328">
        <f>IF(Table2[[#This Row],[Member Type]]=0,0,
IF(OR(Table2[[#This Row],[Member Type]]="Main Member",Table2[[#This Row],[Main Member Link ID]]&lt;&gt;B401),COUNTIFS(B:B,Table2[[#This Row],[Main Member Link ID]]),
COUNTIFS(B:B,Table2[[#This Row],[Main Member Link ID]],A:A,Table2[[#This Row],[Member Type]])))</f>
        <v>0</v>
      </c>
    </row>
    <row r="402" spans="1:37" x14ac:dyDescent="0.3">
      <c r="A402" s="284">
        <f>Table13[[#This Row],[Member Type]]</f>
        <v>0</v>
      </c>
      <c r="B402" s="284">
        <f>Table13[[#This Row],[Main Member Link ID]]</f>
        <v>0</v>
      </c>
      <c r="C402" s="284">
        <f>Table13[[#This Row],[ID Number]]</f>
        <v>0</v>
      </c>
      <c r="D402" s="285">
        <f>Table13[[#This Row],[Date Of Birth]]</f>
        <v>0</v>
      </c>
      <c r="E402" s="285">
        <f>Table13[[#This Row],[Commencement Date]]</f>
        <v>0</v>
      </c>
      <c r="F402" s="284">
        <f t="shared" si="42"/>
        <v>1</v>
      </c>
      <c r="G402" s="284">
        <f t="shared" si="43"/>
        <v>25</v>
      </c>
      <c r="H402" s="286">
        <f>Table13[[#This Row],[Product Option]]</f>
        <v>0</v>
      </c>
      <c r="I402" s="284">
        <f>IF(AND($A402="Main Member",Table2[[#This Row],[Product Option]]="My Value Plus Life"),"MM_LIFE",
IF(AND($A402="Spouse",Table2[[#This Row],[Product Option]]="My Value Plus Life"),"SP_LIFE",
IF(AND($A402="Main Member",Table2[[#This Row],[Product Option]]="My Value Plus Life &amp; Funeral"),"MM_LIFE",
IF(AND($A402="Spouse",Table2[[#This Row],[Product Option]]="My Value Plus Life &amp; Funeral"),_xlfn.XLOOKUP(Table2[[#This Row],[Benefit Name]],Lookups!$D$18:$D$23,Lookups!$E$18:$E$23,0),
0))))</f>
        <v>0</v>
      </c>
      <c r="J402" s="284">
        <f>IF($I402="","",
IF($I402="MM_LIFE",INDEX('Quotation Tool'!$S$54:$V$60,MATCH($T402,'Quotation Tool'!$S$54:$S$60,0),4),
IF($I402="SP_LIFE",_xlfn.XLOOKUP(B401,$B:$B,$J:$J,0),0)))</f>
        <v>0</v>
      </c>
      <c r="K402" s="287">
        <f t="shared" ca="1" si="47"/>
        <v>0</v>
      </c>
      <c r="L402" s="288">
        <f t="shared" ca="1" si="48"/>
        <v>0</v>
      </c>
      <c r="M402" s="289">
        <f t="shared" ca="1" si="44"/>
        <v>0</v>
      </c>
      <c r="N402" s="286">
        <f>Table13[[#This Row],[Benefit Option]]</f>
        <v>0</v>
      </c>
      <c r="O402" s="284">
        <f>IF(OR(Table2[[#This Row],[Member Type]]="Spouse",Table2[[#This Row],[Member Type]]="Child"),0,
IF(_xlfn.XLOOKUP($N402,Lookups!$D$13:$D$27,Lookups!$F$13:$F$27,0)=Table2[[#This Row],[Table Lookup for Life Cover]],0,
_xlfn.XLOOKUP($N402,Lookups!$D$13:$D$27,Lookups!$F$13:$F$27,0)))</f>
        <v>0</v>
      </c>
      <c r="P402" s="284">
        <f>IF(Table2[[#This Row],[Table Lookup for Funeral]]=0,0,IFERROR(INDEX('Quotation Tool'!$S$54:$V$60,MATCH($T402,'Quotation Tool'!$S$54:$S$60,0),3),0))</f>
        <v>0</v>
      </c>
      <c r="Q402" s="288">
        <f ca="1">IF(OR(Table2[[#This Row],[Benefit Name]]="My Value Plus Life - Main Member",Table2[[#This Row],[Benefit Name]]="My Value Plus Life - Spouse"),0,
IFERROR(VLOOKUP($G402,INDIRECT($O402),$P402,FALSE),0))</f>
        <v>0</v>
      </c>
      <c r="R402" s="288">
        <f ca="1">IF(OR(Table2[[#This Row],[Benefit Name]]="My Value Plus Life - Main Member",Table2[[#This Row],[Benefit Name]]="My Value Plus Life - Spouse"),0,
IFERROR(VLOOKUP($G402,INDIRECT($O402),$P402+1,FALSE),0))</f>
        <v>0</v>
      </c>
      <c r="S402" s="289">
        <f t="shared" ca="1" si="45"/>
        <v>0</v>
      </c>
      <c r="T402" s="284" t="str">
        <f>IF(Table13[[#This Row],[Premium Waiver]]="","None",Table13[[#This Row],[Premium Waiver]])</f>
        <v>None</v>
      </c>
      <c r="U402" s="284">
        <f>Table13[[#This Row],[VAPs Options]]</f>
        <v>0</v>
      </c>
      <c r="V402" s="284">
        <f>Table13[[#This Row],[Annual Increase Option]]</f>
        <v>0</v>
      </c>
      <c r="W402" s="290">
        <f>Table13[[#This Row],[Life Cover Amount]]</f>
        <v>0</v>
      </c>
      <c r="X402" s="290">
        <f>Table13[[#This Row],[Funeral Cover Amount]]</f>
        <v>0</v>
      </c>
      <c r="Y40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0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02" s="301">
        <f t="shared" ca="1" si="46"/>
        <v>0</v>
      </c>
      <c r="AB402" s="298"/>
      <c r="AC402" s="326" t="str">
        <f>IF(Table2[[#This Row],[Member Type]]="Main Member",Lookups!$C$13,
IF(Table2[[#This Row],[Member Type]]="Spouse",_xlfn.XLOOKUP(B402,Table2[Main Member Link ID],Table2[Product Option],0),
IF(AND(Table2[[#This Row],[Member Type]]="Child",_xlfn.XLOOKUP(B402,Table2[Main Member Link ID],Table2[Product Option],0)&lt;&gt;"My Value Plus Life"),Lookups!$C$24,
IF(AND(OR(Table2[[#This Row],[Member Type]]="Parent",Table2[[#This Row],[Member Type]]="Extended"),_xlfn.XLOOKUP(B402,Table2[Main Member Link ID],Table2[Product Option],0)&lt;&gt;"My Value Plus Life"),Lookups!$C$26,""))))</f>
        <v/>
      </c>
      <c r="AD402" s="326" t="str">
        <f>IF(Table2[[#This Row],[Member Type]]="Main Member",Lookups!$C$14,"")</f>
        <v/>
      </c>
      <c r="AE40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Funeral",_xlfn.XLOOKUP(B402,Table2[Main Member Link ID],Table2[Benefit Name],0)=Lookups!$D$14),"",
IF(AND(Table2[[#This Row],[Member Type]]="Spouse",Table2[[#This Row],[Product Option]]="My Value Plus Life &amp; Funeral",_xlfn.XLOOKUP(B401,Table2[Main Member Link ID],Table2[Benefit Name],0)=Lookups!$D$15),Lookups!$D$20,
IF(AND(Table2[[#This Row],[Member Type]]="Spouse",Table2[[#This Row],[Product Option]]="My Value Plus Life &amp; Funeral",_xlfn.XLOOKUP(B401,Table2[Main Member Link ID],Table2[Benefit Name],0)=Lookups!$D$16),"",
IF(AND(Table2[[#This Row],[Member Type]]="Spouse",Table2[[#This Row],[Product Option]]="My Value Plus Life &amp; Funeral",_xlfn.XLOOKUP(B401,Table2[Main Member Link ID],Table2[Benefit Name],0)=Lookups!$D$17),Lookups!$D$21,
IF(AND(Table2[[#This Row],[Member Type]]="Child",Table2[[#This Row],[Product Option]]="My Value Plus Life &amp; Funeral",_xlfn.XLOOKUP(B402,Table2[Main Member Link ID],Table2[Benefit Name],0)=Lookups!$D$14),"",
IF(AND(Table2[[#This Row],[Member Type]]="Child",Table2[[#This Row],[Product Option]]="My Value Plus Life &amp; Funeral",_xlfn.XLOOKUP(B402,Table2[Main Member Link ID],Table2[Benefit Name],0)=Lookups!$D$15),"",
IF(AND(Table2[[#This Row],[Member Type]]="Child",Table2[[#This Row],[Product Option]]="My Value Plus Life &amp; Funeral",_xlfn.XLOOKUP(B402,Table2[Main Member Link ID],Table2[Benefit Name],0)=Lookups!$D$16),Lookups!$D$24,
IF(AND(Table2[[#This Row],[Member Type]]="Child",Table2[[#This Row],[Product Option]]="My Value Plus Life &amp; Funeral",_xlfn.XLOOKUP(B402,Table2[Main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Funeral",_xlfn.XLOOKUP(B402,Table2[Main Member Link ID],Table2[Benefit Name],0)&lt;&gt;Lookups!$D$14),
IF(_xlfn.XLOOKUP(B402,Table2[Main Member Link ID],Table2[Benefit Name],0)=0,"",_xlfn.XLOOKUP(B402,Table2[Main Member Link ID],Table2[Benefit Name],0)),"")))))))))))))))</f>
        <v/>
      </c>
      <c r="AF402" s="327" t="str">
        <f>IF(AND(Table2[[#This Row],[Member Type]]="Main Member",Table2[[#This Row],[Product Option]]="My Value Plus Life &amp; Funeral"),Lookups!$D$15,
IF(AND(Table2[[#This Row],[Member Type]]="Spouse",Table2[[#This Row],[Product Option]]="My Value Plus Life &amp; Funeral",_xlfn.XLOOKUP(B402,Table2[Main Member Link ID],Table2[Benefit Name],0)=Lookups!$D$14),"",
IF(AND(Table2[[#This Row],[Member Type]]="Spouse",Table2[[#This Row],[Product Option]]="My Value Plus Life &amp; Funeral",_xlfn.XLOOKUP(B401,Table2[Main Member Link ID],Table2[Benefit Name],0)=Lookups!$D$16),"",
IF(AND(Table2[[#This Row],[Member Type]]="Spouse",Table2[[#This Row],[Product Option]]="My Value Plus Life &amp; Funeral",_xlfn.XLOOKUP(B401,Table2[Main Member Link ID],Table2[Benefit Name],0)=Lookups!$D$15),"",
IF(AND(Table2[[#This Row],[Member Type]]="Spouse",Table2[[#This Row],[Product Option]]="My Value Plus Life &amp; Funeral",_xlfn.XLOOKUP(B401,Table2[Main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Funeral",_xlfn.XLOOKUP(B402,Table2[Main Member Link ID],Table2[Benefit Name],0)&lt;&gt;Lookups!$D$15),
IF(_xlfn.XLOOKUP(B402,Table2[Main Member Link ID],Table2[Benefit Name],0)=0,"",_xlfn.XLOOKUP(B402,Table2[Main Member Link ID],Table2[Benefit Name],0)),"")
))))))</f>
        <v/>
      </c>
      <c r="AG402" s="327" t="str">
        <f>IF(AND(Table2[[#This Row],[Member Type]]="Main Member",Table2[[#This Row],[Product Option]]="My Value Plus Life &amp; Funeral"),Lookups!$D$16,
IF(AND(Table2[[#This Row],[Member Type]]="Spouse",Table2[[#This Row],[Product Option]]="My Value Plus Life &amp; Funeral",_xlfn.XLOOKUP(B402,Table2[Main Member Link ID],Table2[Benefit Name],0)=Lookups!$D$14),"",
IF(AND(Table2[[#This Row],[Member Type]]="Spouse",Table2[[#This Row],[Product Option]]="My Value Plus Life &amp; Funeral",_xlfn.XLOOKUP(B401,Table2[Main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Funeral",_xlfn.XLOOKUP(B402,Table2[Main Member Link ID],Table2[Benefit Name],0)&lt;&gt;Lookups!$D$16),
IF(_xlfn.XLOOKUP(B402,Table2[Main Member Link ID],Table2[Benefit Name],0)=0,"",_xlfn.XLOOKUP(B402,Table2[Main Member Link ID],Table2[Benefit Name],0)),"")
))))</f>
        <v/>
      </c>
      <c r="AH402" s="327" t="str">
        <f>IF(AND(Table2[[#This Row],[Member Type]]="Main Member",Table2[[#This Row],[Product Option]]="My Value Plus Life &amp; Funeral"),Lookups!$D$17,
IF(AND(Table2[[#This Row],[Member Type]]="Spouse",Table2[[#This Row],[Product Option]]="My Value Plus Life &amp; Funeral",_xlfn.XLOOKUP(B402,Table2[Main Member Link ID],Table2[Benefit Name],0)=Lookups!$D$14),"",
IF(AND(Table2[[#This Row],[Member Type]]="Spouse",Table2[[#This Row],[Product Option]]="My Value Plus Life &amp; Funeral",_xlfn.XLOOKUP(B401,Table2[Main Member Link ID],Table2[Benefit Name],0)=Lookups!$D$16),"",
IF(AND(Table2[[#This Row],[Member Type]]="Child",Table2[[#This Row],[Product Option]]="My Value Plus Life &amp; Funeral"),"",
IF(AND(Table2[[#This Row],[Member Type]]="Child",Table2[[#This Row],[Product Option]]="My Value Plus Life &amp; Funeral",_xlfn.XLOOKUP(B402,Table2[Main Member Link ID],Table2[Benefit Name],0)=Lookups!$D$15),"",
IF(AND(OR(Table2[[#This Row],[Member Type]]="Spouse",Table2[[#This Row],[Member Type]]="Child"),Table2[[#This Row],[Product Option]]="My Value Plus Life &amp; Funeral",_xlfn.XLOOKUP(B402,Table2[Main Member Link ID],Table2[Benefit Name],0)&lt;&gt;Lookups!$D$17),
IF(_xlfn.XLOOKUP(B402,Table2[Main Member Link ID],Table2[Benefit Name],0)=0,"",_xlfn.XLOOKUP(B402,Table2[Main Member Link ID],Table2[Benefit Name],0)),""))))))</f>
        <v/>
      </c>
      <c r="AI402" s="328" t="str">
        <f>IF(AND(Table2[[#This Row],[Member Type]]="Main Member",Table2[[#This Row],[Table Lookup for Life Cover]]="MM_LIFE",Table2[[#This Row],[Age Next Birthday]]&lt;56),1,
IF(AND(Table2[[#This Row],[Member Type]]="Main Member",Table2[[#This Row],[Table Lookup for Life Cover]]="MM_LIFE",Table2[[#This Row],[Age Next Birthday]]&gt;=56),2,
""))</f>
        <v/>
      </c>
      <c r="AJ402" s="328">
        <f>IF(OR(Table2[[#This Row],[Member Type]]="Main Member",Table2[[#This Row],[Main Member Link ID]]=B401),1,0)</f>
        <v>1</v>
      </c>
      <c r="AK402" s="328">
        <f>IF(Table2[[#This Row],[Member Type]]=0,0,
IF(OR(Table2[[#This Row],[Member Type]]="Main Member",Table2[[#This Row],[Main Member Link ID]]&lt;&gt;B402),COUNTIFS(B:B,Table2[[#This Row],[Main Member Link ID]]),
COUNTIFS(B:B,Table2[[#This Row],[Main Member Link ID]],A:A,Table2[[#This Row],[Member Type]])))</f>
        <v>0</v>
      </c>
    </row>
    <row r="403" spans="1:37" x14ac:dyDescent="0.3">
      <c r="A403" s="284">
        <f>Table13[[#This Row],[Member Type]]</f>
        <v>0</v>
      </c>
      <c r="B403" s="284">
        <f>Table13[[#This Row],[Main Member Link ID]]</f>
        <v>0</v>
      </c>
      <c r="C403" s="284">
        <f>Table13[[#This Row],[ID Number]]</f>
        <v>0</v>
      </c>
      <c r="D403" s="285">
        <f>Table13[[#This Row],[Date Of Birth]]</f>
        <v>0</v>
      </c>
      <c r="E403" s="285">
        <f>Table13[[#This Row],[Commencement Date]]</f>
        <v>0</v>
      </c>
      <c r="F403" s="284">
        <f t="shared" si="42"/>
        <v>1</v>
      </c>
      <c r="G403" s="284">
        <f t="shared" si="43"/>
        <v>25</v>
      </c>
      <c r="H403" s="286">
        <f>Table13[[#This Row],[Product Option]]</f>
        <v>0</v>
      </c>
      <c r="I403" s="284">
        <f>IF(AND($A403="Main Member",Table2[[#This Row],[Product Option]]="My Value Plus Life"),"MM_LIFE",
IF(AND($A403="Spouse",Table2[[#This Row],[Product Option]]="My Value Plus Life"),"SP_LIFE",
IF(AND($A403="Main Member",Table2[[#This Row],[Product Option]]="My Value Plus Life &amp; Funeral"),"MM_LIFE",
IF(AND($A403="Spouse",Table2[[#This Row],[Product Option]]="My Value Plus Life &amp; Funeral"),_xlfn.XLOOKUP(Table2[[#This Row],[Benefit Name]],Lookups!$D$18:$D$23,Lookups!$E$18:$E$23,0),
0))))</f>
        <v>0</v>
      </c>
      <c r="J403" s="284">
        <f>IF($I403="","",
IF($I403="MM_LIFE",INDEX('Quotation Tool'!$S$54:$V$60,MATCH($T403,'Quotation Tool'!$S$54:$S$60,0),4),
IF($I403="SP_LIFE",_xlfn.XLOOKUP(B402,$B:$B,$J:$J,0),0)))</f>
        <v>0</v>
      </c>
      <c r="K403" s="287">
        <f t="shared" ca="1" si="47"/>
        <v>0</v>
      </c>
      <c r="L403" s="288">
        <f t="shared" ca="1" si="48"/>
        <v>0</v>
      </c>
      <c r="M403" s="289">
        <f t="shared" ca="1" si="44"/>
        <v>0</v>
      </c>
      <c r="N403" s="286">
        <f>Table13[[#This Row],[Benefit Option]]</f>
        <v>0</v>
      </c>
      <c r="O403" s="284">
        <f>IF(OR(Table2[[#This Row],[Member Type]]="Spouse",Table2[[#This Row],[Member Type]]="Child"),0,
IF(_xlfn.XLOOKUP($N403,Lookups!$D$13:$D$27,Lookups!$F$13:$F$27,0)=Table2[[#This Row],[Table Lookup for Life Cover]],0,
_xlfn.XLOOKUP($N403,Lookups!$D$13:$D$27,Lookups!$F$13:$F$27,0)))</f>
        <v>0</v>
      </c>
      <c r="P403" s="284">
        <f>IF(Table2[[#This Row],[Table Lookup for Funeral]]=0,0,IFERROR(INDEX('Quotation Tool'!$S$54:$V$60,MATCH($T403,'Quotation Tool'!$S$54:$S$60,0),3),0))</f>
        <v>0</v>
      </c>
      <c r="Q403" s="288">
        <f ca="1">IF(OR(Table2[[#This Row],[Benefit Name]]="My Value Plus Life - Main Member",Table2[[#This Row],[Benefit Name]]="My Value Plus Life - Spouse"),0,
IFERROR(VLOOKUP($G403,INDIRECT($O403),$P403,FALSE),0))</f>
        <v>0</v>
      </c>
      <c r="R403" s="288">
        <f ca="1">IF(OR(Table2[[#This Row],[Benefit Name]]="My Value Plus Life - Main Member",Table2[[#This Row],[Benefit Name]]="My Value Plus Life - Spouse"),0,
IFERROR(VLOOKUP($G403,INDIRECT($O403),$P403+1,FALSE),0))</f>
        <v>0</v>
      </c>
      <c r="S403" s="289">
        <f t="shared" ca="1" si="45"/>
        <v>0</v>
      </c>
      <c r="T403" s="284" t="str">
        <f>IF(Table13[[#This Row],[Premium Waiver]]="","None",Table13[[#This Row],[Premium Waiver]])</f>
        <v>None</v>
      </c>
      <c r="U403" s="284">
        <f>Table13[[#This Row],[VAPs Options]]</f>
        <v>0</v>
      </c>
      <c r="V403" s="284">
        <f>Table13[[#This Row],[Annual Increase Option]]</f>
        <v>0</v>
      </c>
      <c r="W403" s="290">
        <f>Table13[[#This Row],[Life Cover Amount]]</f>
        <v>0</v>
      </c>
      <c r="X403" s="290">
        <f>Table13[[#This Row],[Funeral Cover Amount]]</f>
        <v>0</v>
      </c>
      <c r="Y40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0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03" s="301">
        <f t="shared" ca="1" si="46"/>
        <v>0</v>
      </c>
      <c r="AB403" s="298"/>
      <c r="AC403" s="326" t="str">
        <f>IF(Table2[[#This Row],[Member Type]]="Main Member",Lookups!$C$13,
IF(Table2[[#This Row],[Member Type]]="Spouse",_xlfn.XLOOKUP(B403,Table2[Main Member Link ID],Table2[Product Option],0),
IF(AND(Table2[[#This Row],[Member Type]]="Child",_xlfn.XLOOKUP(B403,Table2[Main Member Link ID],Table2[Product Option],0)&lt;&gt;"My Value Plus Life"),Lookups!$C$24,
IF(AND(OR(Table2[[#This Row],[Member Type]]="Parent",Table2[[#This Row],[Member Type]]="Extended"),_xlfn.XLOOKUP(B403,Table2[Main Member Link ID],Table2[Product Option],0)&lt;&gt;"My Value Plus Life"),Lookups!$C$26,""))))</f>
        <v/>
      </c>
      <c r="AD403" s="326" t="str">
        <f>IF(Table2[[#This Row],[Member Type]]="Main Member",Lookups!$C$14,"")</f>
        <v/>
      </c>
      <c r="AE40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Funeral",_xlfn.XLOOKUP(B403,Table2[Main Member Link ID],Table2[Benefit Name],0)=Lookups!$D$14),"",
IF(AND(Table2[[#This Row],[Member Type]]="Spouse",Table2[[#This Row],[Product Option]]="My Value Plus Life &amp; Funeral",_xlfn.XLOOKUP(B402,Table2[Main Member Link ID],Table2[Benefit Name],0)=Lookups!$D$15),Lookups!$D$20,
IF(AND(Table2[[#This Row],[Member Type]]="Spouse",Table2[[#This Row],[Product Option]]="My Value Plus Life &amp; Funeral",_xlfn.XLOOKUP(B402,Table2[Main Member Link ID],Table2[Benefit Name],0)=Lookups!$D$16),"",
IF(AND(Table2[[#This Row],[Member Type]]="Spouse",Table2[[#This Row],[Product Option]]="My Value Plus Life &amp; Funeral",_xlfn.XLOOKUP(B402,Table2[Main Member Link ID],Table2[Benefit Name],0)=Lookups!$D$17),Lookups!$D$21,
IF(AND(Table2[[#This Row],[Member Type]]="Child",Table2[[#This Row],[Product Option]]="My Value Plus Life &amp; Funeral",_xlfn.XLOOKUP(B403,Table2[Main Member Link ID],Table2[Benefit Name],0)=Lookups!$D$14),"",
IF(AND(Table2[[#This Row],[Member Type]]="Child",Table2[[#This Row],[Product Option]]="My Value Plus Life &amp; Funeral",_xlfn.XLOOKUP(B403,Table2[Main Member Link ID],Table2[Benefit Name],0)=Lookups!$D$15),"",
IF(AND(Table2[[#This Row],[Member Type]]="Child",Table2[[#This Row],[Product Option]]="My Value Plus Life &amp; Funeral",_xlfn.XLOOKUP(B403,Table2[Main Member Link ID],Table2[Benefit Name],0)=Lookups!$D$16),Lookups!$D$24,
IF(AND(Table2[[#This Row],[Member Type]]="Child",Table2[[#This Row],[Product Option]]="My Value Plus Life &amp; Funeral",_xlfn.XLOOKUP(B403,Table2[Main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Funeral",_xlfn.XLOOKUP(B403,Table2[Main Member Link ID],Table2[Benefit Name],0)&lt;&gt;Lookups!$D$14),
IF(_xlfn.XLOOKUP(B403,Table2[Main Member Link ID],Table2[Benefit Name],0)=0,"",_xlfn.XLOOKUP(B403,Table2[Main Member Link ID],Table2[Benefit Name],0)),"")))))))))))))))</f>
        <v/>
      </c>
      <c r="AF403" s="327" t="str">
        <f>IF(AND(Table2[[#This Row],[Member Type]]="Main Member",Table2[[#This Row],[Product Option]]="My Value Plus Life &amp; Funeral"),Lookups!$D$15,
IF(AND(Table2[[#This Row],[Member Type]]="Spouse",Table2[[#This Row],[Product Option]]="My Value Plus Life &amp; Funeral",_xlfn.XLOOKUP(B403,Table2[Main Member Link ID],Table2[Benefit Name],0)=Lookups!$D$14),"",
IF(AND(Table2[[#This Row],[Member Type]]="Spouse",Table2[[#This Row],[Product Option]]="My Value Plus Life &amp; Funeral",_xlfn.XLOOKUP(B402,Table2[Main Member Link ID],Table2[Benefit Name],0)=Lookups!$D$16),"",
IF(AND(Table2[[#This Row],[Member Type]]="Spouse",Table2[[#This Row],[Product Option]]="My Value Plus Life &amp; Funeral",_xlfn.XLOOKUP(B402,Table2[Main Member Link ID],Table2[Benefit Name],0)=Lookups!$D$15),"",
IF(AND(Table2[[#This Row],[Member Type]]="Spouse",Table2[[#This Row],[Product Option]]="My Value Plus Life &amp; Funeral",_xlfn.XLOOKUP(B402,Table2[Main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Funeral",_xlfn.XLOOKUP(B403,Table2[Main Member Link ID],Table2[Benefit Name],0)&lt;&gt;Lookups!$D$15),
IF(_xlfn.XLOOKUP(B403,Table2[Main Member Link ID],Table2[Benefit Name],0)=0,"",_xlfn.XLOOKUP(B403,Table2[Main Member Link ID],Table2[Benefit Name],0)),"")
))))))</f>
        <v/>
      </c>
      <c r="AG403" s="327" t="str">
        <f>IF(AND(Table2[[#This Row],[Member Type]]="Main Member",Table2[[#This Row],[Product Option]]="My Value Plus Life &amp; Funeral"),Lookups!$D$16,
IF(AND(Table2[[#This Row],[Member Type]]="Spouse",Table2[[#This Row],[Product Option]]="My Value Plus Life &amp; Funeral",_xlfn.XLOOKUP(B403,Table2[Main Member Link ID],Table2[Benefit Name],0)=Lookups!$D$14),"",
IF(AND(Table2[[#This Row],[Member Type]]="Spouse",Table2[[#This Row],[Product Option]]="My Value Plus Life &amp; Funeral",_xlfn.XLOOKUP(B402,Table2[Main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Funeral",_xlfn.XLOOKUP(B403,Table2[Main Member Link ID],Table2[Benefit Name],0)&lt;&gt;Lookups!$D$16),
IF(_xlfn.XLOOKUP(B403,Table2[Main Member Link ID],Table2[Benefit Name],0)=0,"",_xlfn.XLOOKUP(B403,Table2[Main Member Link ID],Table2[Benefit Name],0)),"")
))))</f>
        <v/>
      </c>
      <c r="AH403" s="327" t="str">
        <f>IF(AND(Table2[[#This Row],[Member Type]]="Main Member",Table2[[#This Row],[Product Option]]="My Value Plus Life &amp; Funeral"),Lookups!$D$17,
IF(AND(Table2[[#This Row],[Member Type]]="Spouse",Table2[[#This Row],[Product Option]]="My Value Plus Life &amp; Funeral",_xlfn.XLOOKUP(B403,Table2[Main Member Link ID],Table2[Benefit Name],0)=Lookups!$D$14),"",
IF(AND(Table2[[#This Row],[Member Type]]="Spouse",Table2[[#This Row],[Product Option]]="My Value Plus Life &amp; Funeral",_xlfn.XLOOKUP(B402,Table2[Main Member Link ID],Table2[Benefit Name],0)=Lookups!$D$16),"",
IF(AND(Table2[[#This Row],[Member Type]]="Child",Table2[[#This Row],[Product Option]]="My Value Plus Life &amp; Funeral"),"",
IF(AND(Table2[[#This Row],[Member Type]]="Child",Table2[[#This Row],[Product Option]]="My Value Plus Life &amp; Funeral",_xlfn.XLOOKUP(B403,Table2[Main Member Link ID],Table2[Benefit Name],0)=Lookups!$D$15),"",
IF(AND(OR(Table2[[#This Row],[Member Type]]="Spouse",Table2[[#This Row],[Member Type]]="Child"),Table2[[#This Row],[Product Option]]="My Value Plus Life &amp; Funeral",_xlfn.XLOOKUP(B403,Table2[Main Member Link ID],Table2[Benefit Name],0)&lt;&gt;Lookups!$D$17),
IF(_xlfn.XLOOKUP(B403,Table2[Main Member Link ID],Table2[Benefit Name],0)=0,"",_xlfn.XLOOKUP(B403,Table2[Main Member Link ID],Table2[Benefit Name],0)),""))))))</f>
        <v/>
      </c>
      <c r="AI403" s="328" t="str">
        <f>IF(AND(Table2[[#This Row],[Member Type]]="Main Member",Table2[[#This Row],[Table Lookup for Life Cover]]="MM_LIFE",Table2[[#This Row],[Age Next Birthday]]&lt;56),1,
IF(AND(Table2[[#This Row],[Member Type]]="Main Member",Table2[[#This Row],[Table Lookup for Life Cover]]="MM_LIFE",Table2[[#This Row],[Age Next Birthday]]&gt;=56),2,
""))</f>
        <v/>
      </c>
      <c r="AJ403" s="328">
        <f>IF(OR(Table2[[#This Row],[Member Type]]="Main Member",Table2[[#This Row],[Main Member Link ID]]=B402),1,0)</f>
        <v>1</v>
      </c>
      <c r="AK403" s="328">
        <f>IF(Table2[[#This Row],[Member Type]]=0,0,
IF(OR(Table2[[#This Row],[Member Type]]="Main Member",Table2[[#This Row],[Main Member Link ID]]&lt;&gt;B403),COUNTIFS(B:B,Table2[[#This Row],[Main Member Link ID]]),
COUNTIFS(B:B,Table2[[#This Row],[Main Member Link ID]],A:A,Table2[[#This Row],[Member Type]])))</f>
        <v>0</v>
      </c>
    </row>
    <row r="404" spans="1:37" x14ac:dyDescent="0.3">
      <c r="A404" s="284">
        <f>Table13[[#This Row],[Member Type]]</f>
        <v>0</v>
      </c>
      <c r="B404" s="284">
        <f>Table13[[#This Row],[Main Member Link ID]]</f>
        <v>0</v>
      </c>
      <c r="C404" s="284">
        <f>Table13[[#This Row],[ID Number]]</f>
        <v>0</v>
      </c>
      <c r="D404" s="285">
        <f>Table13[[#This Row],[Date Of Birth]]</f>
        <v>0</v>
      </c>
      <c r="E404" s="285">
        <f>Table13[[#This Row],[Commencement Date]]</f>
        <v>0</v>
      </c>
      <c r="F404" s="284">
        <f t="shared" si="42"/>
        <v>1</v>
      </c>
      <c r="G404" s="284">
        <f t="shared" si="43"/>
        <v>25</v>
      </c>
      <c r="H404" s="286">
        <f>Table13[[#This Row],[Product Option]]</f>
        <v>0</v>
      </c>
      <c r="I404" s="284">
        <f>IF(AND($A404="Main Member",Table2[[#This Row],[Product Option]]="My Value Plus Life"),"MM_LIFE",
IF(AND($A404="Spouse",Table2[[#This Row],[Product Option]]="My Value Plus Life"),"SP_LIFE",
IF(AND($A404="Main Member",Table2[[#This Row],[Product Option]]="My Value Plus Life &amp; Funeral"),"MM_LIFE",
IF(AND($A404="Spouse",Table2[[#This Row],[Product Option]]="My Value Plus Life &amp; Funeral"),_xlfn.XLOOKUP(Table2[[#This Row],[Benefit Name]],Lookups!$D$18:$D$23,Lookups!$E$18:$E$23,0),
0))))</f>
        <v>0</v>
      </c>
      <c r="J404" s="284">
        <f>IF($I404="","",
IF($I404="MM_LIFE",INDEX('Quotation Tool'!$S$54:$V$60,MATCH($T404,'Quotation Tool'!$S$54:$S$60,0),4),
IF($I404="SP_LIFE",_xlfn.XLOOKUP(B403,$B:$B,$J:$J,0),0)))</f>
        <v>0</v>
      </c>
      <c r="K404" s="287">
        <f t="shared" ca="1" si="47"/>
        <v>0</v>
      </c>
      <c r="L404" s="288">
        <f t="shared" ca="1" si="48"/>
        <v>0</v>
      </c>
      <c r="M404" s="289">
        <f t="shared" ca="1" si="44"/>
        <v>0</v>
      </c>
      <c r="N404" s="286">
        <f>Table13[[#This Row],[Benefit Option]]</f>
        <v>0</v>
      </c>
      <c r="O404" s="284">
        <f>IF(OR(Table2[[#This Row],[Member Type]]="Spouse",Table2[[#This Row],[Member Type]]="Child"),0,
IF(_xlfn.XLOOKUP($N404,Lookups!$D$13:$D$27,Lookups!$F$13:$F$27,0)=Table2[[#This Row],[Table Lookup for Life Cover]],0,
_xlfn.XLOOKUP($N404,Lookups!$D$13:$D$27,Lookups!$F$13:$F$27,0)))</f>
        <v>0</v>
      </c>
      <c r="P404" s="284">
        <f>IF(Table2[[#This Row],[Table Lookup for Funeral]]=0,0,IFERROR(INDEX('Quotation Tool'!$S$54:$V$60,MATCH($T404,'Quotation Tool'!$S$54:$S$60,0),3),0))</f>
        <v>0</v>
      </c>
      <c r="Q404" s="288">
        <f ca="1">IF(OR(Table2[[#This Row],[Benefit Name]]="My Value Plus Life - Main Member",Table2[[#This Row],[Benefit Name]]="My Value Plus Life - Spouse"),0,
IFERROR(VLOOKUP($G404,INDIRECT($O404),$P404,FALSE),0))</f>
        <v>0</v>
      </c>
      <c r="R404" s="288">
        <f ca="1">IF(OR(Table2[[#This Row],[Benefit Name]]="My Value Plus Life - Main Member",Table2[[#This Row],[Benefit Name]]="My Value Plus Life - Spouse"),0,
IFERROR(VLOOKUP($G404,INDIRECT($O404),$P404+1,FALSE),0))</f>
        <v>0</v>
      </c>
      <c r="S404" s="289">
        <f t="shared" ca="1" si="45"/>
        <v>0</v>
      </c>
      <c r="T404" s="284" t="str">
        <f>IF(Table13[[#This Row],[Premium Waiver]]="","None",Table13[[#This Row],[Premium Waiver]])</f>
        <v>None</v>
      </c>
      <c r="U404" s="284">
        <f>Table13[[#This Row],[VAPs Options]]</f>
        <v>0</v>
      </c>
      <c r="V404" s="284">
        <f>Table13[[#This Row],[Annual Increase Option]]</f>
        <v>0</v>
      </c>
      <c r="W404" s="290">
        <f>Table13[[#This Row],[Life Cover Amount]]</f>
        <v>0</v>
      </c>
      <c r="X404" s="290">
        <f>Table13[[#This Row],[Funeral Cover Amount]]</f>
        <v>0</v>
      </c>
      <c r="Y40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0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04" s="301">
        <f t="shared" ca="1" si="46"/>
        <v>0</v>
      </c>
      <c r="AB404" s="298"/>
      <c r="AC404" s="326" t="str">
        <f>IF(Table2[[#This Row],[Member Type]]="Main Member",Lookups!$C$13,
IF(Table2[[#This Row],[Member Type]]="Spouse",_xlfn.XLOOKUP(B404,Table2[Main Member Link ID],Table2[Product Option],0),
IF(AND(Table2[[#This Row],[Member Type]]="Child",_xlfn.XLOOKUP(B404,Table2[Main Member Link ID],Table2[Product Option],0)&lt;&gt;"My Value Plus Life"),Lookups!$C$24,
IF(AND(OR(Table2[[#This Row],[Member Type]]="Parent",Table2[[#This Row],[Member Type]]="Extended"),_xlfn.XLOOKUP(B404,Table2[Main Member Link ID],Table2[Product Option],0)&lt;&gt;"My Value Plus Life"),Lookups!$C$26,""))))</f>
        <v/>
      </c>
      <c r="AD404" s="326" t="str">
        <f>IF(Table2[[#This Row],[Member Type]]="Main Member",Lookups!$C$14,"")</f>
        <v/>
      </c>
      <c r="AE40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Funeral",_xlfn.XLOOKUP(B404,Table2[Main Member Link ID],Table2[Benefit Name],0)=Lookups!$D$14),"",
IF(AND(Table2[[#This Row],[Member Type]]="Spouse",Table2[[#This Row],[Product Option]]="My Value Plus Life &amp; Funeral",_xlfn.XLOOKUP(B403,Table2[Main Member Link ID],Table2[Benefit Name],0)=Lookups!$D$15),Lookups!$D$20,
IF(AND(Table2[[#This Row],[Member Type]]="Spouse",Table2[[#This Row],[Product Option]]="My Value Plus Life &amp; Funeral",_xlfn.XLOOKUP(B403,Table2[Main Member Link ID],Table2[Benefit Name],0)=Lookups!$D$16),"",
IF(AND(Table2[[#This Row],[Member Type]]="Spouse",Table2[[#This Row],[Product Option]]="My Value Plus Life &amp; Funeral",_xlfn.XLOOKUP(B403,Table2[Main Member Link ID],Table2[Benefit Name],0)=Lookups!$D$17),Lookups!$D$21,
IF(AND(Table2[[#This Row],[Member Type]]="Child",Table2[[#This Row],[Product Option]]="My Value Plus Life &amp; Funeral",_xlfn.XLOOKUP(B404,Table2[Main Member Link ID],Table2[Benefit Name],0)=Lookups!$D$14),"",
IF(AND(Table2[[#This Row],[Member Type]]="Child",Table2[[#This Row],[Product Option]]="My Value Plus Life &amp; Funeral",_xlfn.XLOOKUP(B404,Table2[Main Member Link ID],Table2[Benefit Name],0)=Lookups!$D$15),"",
IF(AND(Table2[[#This Row],[Member Type]]="Child",Table2[[#This Row],[Product Option]]="My Value Plus Life &amp; Funeral",_xlfn.XLOOKUP(B404,Table2[Main Member Link ID],Table2[Benefit Name],0)=Lookups!$D$16),Lookups!$D$24,
IF(AND(Table2[[#This Row],[Member Type]]="Child",Table2[[#This Row],[Product Option]]="My Value Plus Life &amp; Funeral",_xlfn.XLOOKUP(B404,Table2[Main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Funeral",_xlfn.XLOOKUP(B404,Table2[Main Member Link ID],Table2[Benefit Name],0)&lt;&gt;Lookups!$D$14),
IF(_xlfn.XLOOKUP(B404,Table2[Main Member Link ID],Table2[Benefit Name],0)=0,"",_xlfn.XLOOKUP(B404,Table2[Main Member Link ID],Table2[Benefit Name],0)),"")))))))))))))))</f>
        <v/>
      </c>
      <c r="AF404" s="327" t="str">
        <f>IF(AND(Table2[[#This Row],[Member Type]]="Main Member",Table2[[#This Row],[Product Option]]="My Value Plus Life &amp; Funeral"),Lookups!$D$15,
IF(AND(Table2[[#This Row],[Member Type]]="Spouse",Table2[[#This Row],[Product Option]]="My Value Plus Life &amp; Funeral",_xlfn.XLOOKUP(B404,Table2[Main Member Link ID],Table2[Benefit Name],0)=Lookups!$D$14),"",
IF(AND(Table2[[#This Row],[Member Type]]="Spouse",Table2[[#This Row],[Product Option]]="My Value Plus Life &amp; Funeral",_xlfn.XLOOKUP(B403,Table2[Main Member Link ID],Table2[Benefit Name],0)=Lookups!$D$16),"",
IF(AND(Table2[[#This Row],[Member Type]]="Spouse",Table2[[#This Row],[Product Option]]="My Value Plus Life &amp; Funeral",_xlfn.XLOOKUP(B403,Table2[Main Member Link ID],Table2[Benefit Name],0)=Lookups!$D$15),"",
IF(AND(Table2[[#This Row],[Member Type]]="Spouse",Table2[[#This Row],[Product Option]]="My Value Plus Life &amp; Funeral",_xlfn.XLOOKUP(B403,Table2[Main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Funeral",_xlfn.XLOOKUP(B404,Table2[Main Member Link ID],Table2[Benefit Name],0)&lt;&gt;Lookups!$D$15),
IF(_xlfn.XLOOKUP(B404,Table2[Main Member Link ID],Table2[Benefit Name],0)=0,"",_xlfn.XLOOKUP(B404,Table2[Main Member Link ID],Table2[Benefit Name],0)),"")
))))))</f>
        <v/>
      </c>
      <c r="AG404" s="327" t="str">
        <f>IF(AND(Table2[[#This Row],[Member Type]]="Main Member",Table2[[#This Row],[Product Option]]="My Value Plus Life &amp; Funeral"),Lookups!$D$16,
IF(AND(Table2[[#This Row],[Member Type]]="Spouse",Table2[[#This Row],[Product Option]]="My Value Plus Life &amp; Funeral",_xlfn.XLOOKUP(B404,Table2[Main Member Link ID],Table2[Benefit Name],0)=Lookups!$D$14),"",
IF(AND(Table2[[#This Row],[Member Type]]="Spouse",Table2[[#This Row],[Product Option]]="My Value Plus Life &amp; Funeral",_xlfn.XLOOKUP(B403,Table2[Main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Funeral",_xlfn.XLOOKUP(B404,Table2[Main Member Link ID],Table2[Benefit Name],0)&lt;&gt;Lookups!$D$16),
IF(_xlfn.XLOOKUP(B404,Table2[Main Member Link ID],Table2[Benefit Name],0)=0,"",_xlfn.XLOOKUP(B404,Table2[Main Member Link ID],Table2[Benefit Name],0)),"")
))))</f>
        <v/>
      </c>
      <c r="AH404" s="327" t="str">
        <f>IF(AND(Table2[[#This Row],[Member Type]]="Main Member",Table2[[#This Row],[Product Option]]="My Value Plus Life &amp; Funeral"),Lookups!$D$17,
IF(AND(Table2[[#This Row],[Member Type]]="Spouse",Table2[[#This Row],[Product Option]]="My Value Plus Life &amp; Funeral",_xlfn.XLOOKUP(B404,Table2[Main Member Link ID],Table2[Benefit Name],0)=Lookups!$D$14),"",
IF(AND(Table2[[#This Row],[Member Type]]="Spouse",Table2[[#This Row],[Product Option]]="My Value Plus Life &amp; Funeral",_xlfn.XLOOKUP(B403,Table2[Main Member Link ID],Table2[Benefit Name],0)=Lookups!$D$16),"",
IF(AND(Table2[[#This Row],[Member Type]]="Child",Table2[[#This Row],[Product Option]]="My Value Plus Life &amp; Funeral"),"",
IF(AND(Table2[[#This Row],[Member Type]]="Child",Table2[[#This Row],[Product Option]]="My Value Plus Life &amp; Funeral",_xlfn.XLOOKUP(B404,Table2[Main Member Link ID],Table2[Benefit Name],0)=Lookups!$D$15),"",
IF(AND(OR(Table2[[#This Row],[Member Type]]="Spouse",Table2[[#This Row],[Member Type]]="Child"),Table2[[#This Row],[Product Option]]="My Value Plus Life &amp; Funeral",_xlfn.XLOOKUP(B404,Table2[Main Member Link ID],Table2[Benefit Name],0)&lt;&gt;Lookups!$D$17),
IF(_xlfn.XLOOKUP(B404,Table2[Main Member Link ID],Table2[Benefit Name],0)=0,"",_xlfn.XLOOKUP(B404,Table2[Main Member Link ID],Table2[Benefit Name],0)),""))))))</f>
        <v/>
      </c>
      <c r="AI404" s="328" t="str">
        <f>IF(AND(Table2[[#This Row],[Member Type]]="Main Member",Table2[[#This Row],[Table Lookup for Life Cover]]="MM_LIFE",Table2[[#This Row],[Age Next Birthday]]&lt;56),1,
IF(AND(Table2[[#This Row],[Member Type]]="Main Member",Table2[[#This Row],[Table Lookup for Life Cover]]="MM_LIFE",Table2[[#This Row],[Age Next Birthday]]&gt;=56),2,
""))</f>
        <v/>
      </c>
      <c r="AJ404" s="328">
        <f>IF(OR(Table2[[#This Row],[Member Type]]="Main Member",Table2[[#This Row],[Main Member Link ID]]=B403),1,0)</f>
        <v>1</v>
      </c>
      <c r="AK404" s="328">
        <f>IF(Table2[[#This Row],[Member Type]]=0,0,
IF(OR(Table2[[#This Row],[Member Type]]="Main Member",Table2[[#This Row],[Main Member Link ID]]&lt;&gt;B404),COUNTIFS(B:B,Table2[[#This Row],[Main Member Link ID]]),
COUNTIFS(B:B,Table2[[#This Row],[Main Member Link ID]],A:A,Table2[[#This Row],[Member Type]])))</f>
        <v>0</v>
      </c>
    </row>
    <row r="405" spans="1:37" x14ac:dyDescent="0.3">
      <c r="A405" s="284">
        <f>Table13[[#This Row],[Member Type]]</f>
        <v>0</v>
      </c>
      <c r="B405" s="284">
        <f>Table13[[#This Row],[Main Member Link ID]]</f>
        <v>0</v>
      </c>
      <c r="C405" s="284">
        <f>Table13[[#This Row],[ID Number]]</f>
        <v>0</v>
      </c>
      <c r="D405" s="285">
        <f>Table13[[#This Row],[Date Of Birth]]</f>
        <v>0</v>
      </c>
      <c r="E405" s="285">
        <f>Table13[[#This Row],[Commencement Date]]</f>
        <v>0</v>
      </c>
      <c r="F405" s="284">
        <f t="shared" si="42"/>
        <v>1</v>
      </c>
      <c r="G405" s="284">
        <f t="shared" si="43"/>
        <v>25</v>
      </c>
      <c r="H405" s="286">
        <f>Table13[[#This Row],[Product Option]]</f>
        <v>0</v>
      </c>
      <c r="I405" s="284">
        <f>IF(AND($A405="Main Member",Table2[[#This Row],[Product Option]]="My Value Plus Life"),"MM_LIFE",
IF(AND($A405="Spouse",Table2[[#This Row],[Product Option]]="My Value Plus Life"),"SP_LIFE",
IF(AND($A405="Main Member",Table2[[#This Row],[Product Option]]="My Value Plus Life &amp; Funeral"),"MM_LIFE",
IF(AND($A405="Spouse",Table2[[#This Row],[Product Option]]="My Value Plus Life &amp; Funeral"),_xlfn.XLOOKUP(Table2[[#This Row],[Benefit Name]],Lookups!$D$18:$D$23,Lookups!$E$18:$E$23,0),
0))))</f>
        <v>0</v>
      </c>
      <c r="J405" s="284">
        <f>IF($I405="","",
IF($I405="MM_LIFE",INDEX('Quotation Tool'!$S$54:$V$60,MATCH($T405,'Quotation Tool'!$S$54:$S$60,0),4),
IF($I405="SP_LIFE",_xlfn.XLOOKUP(B404,$B:$B,$J:$J,0),0)))</f>
        <v>0</v>
      </c>
      <c r="K405" s="287">
        <f t="shared" ca="1" si="47"/>
        <v>0</v>
      </c>
      <c r="L405" s="288">
        <f t="shared" ca="1" si="48"/>
        <v>0</v>
      </c>
      <c r="M405" s="289">
        <f t="shared" ca="1" si="44"/>
        <v>0</v>
      </c>
      <c r="N405" s="286">
        <f>Table13[[#This Row],[Benefit Option]]</f>
        <v>0</v>
      </c>
      <c r="O405" s="284">
        <f>IF(OR(Table2[[#This Row],[Member Type]]="Spouse",Table2[[#This Row],[Member Type]]="Child"),0,
IF(_xlfn.XLOOKUP($N405,Lookups!$D$13:$D$27,Lookups!$F$13:$F$27,0)=Table2[[#This Row],[Table Lookup for Life Cover]],0,
_xlfn.XLOOKUP($N405,Lookups!$D$13:$D$27,Lookups!$F$13:$F$27,0)))</f>
        <v>0</v>
      </c>
      <c r="P405" s="284">
        <f>IF(Table2[[#This Row],[Table Lookup for Funeral]]=0,0,IFERROR(INDEX('Quotation Tool'!$S$54:$V$60,MATCH($T405,'Quotation Tool'!$S$54:$S$60,0),3),0))</f>
        <v>0</v>
      </c>
      <c r="Q405" s="288">
        <f ca="1">IF(OR(Table2[[#This Row],[Benefit Name]]="My Value Plus Life - Main Member",Table2[[#This Row],[Benefit Name]]="My Value Plus Life - Spouse"),0,
IFERROR(VLOOKUP($G405,INDIRECT($O405),$P405,FALSE),0))</f>
        <v>0</v>
      </c>
      <c r="R405" s="288">
        <f ca="1">IF(OR(Table2[[#This Row],[Benefit Name]]="My Value Plus Life - Main Member",Table2[[#This Row],[Benefit Name]]="My Value Plus Life - Spouse"),0,
IFERROR(VLOOKUP($G405,INDIRECT($O405),$P405+1,FALSE),0))</f>
        <v>0</v>
      </c>
      <c r="S405" s="289">
        <f t="shared" ca="1" si="45"/>
        <v>0</v>
      </c>
      <c r="T405" s="284" t="str">
        <f>IF(Table13[[#This Row],[Premium Waiver]]="","None",Table13[[#This Row],[Premium Waiver]])</f>
        <v>None</v>
      </c>
      <c r="U405" s="284">
        <f>Table13[[#This Row],[VAPs Options]]</f>
        <v>0</v>
      </c>
      <c r="V405" s="284">
        <f>Table13[[#This Row],[Annual Increase Option]]</f>
        <v>0</v>
      </c>
      <c r="W405" s="290">
        <f>Table13[[#This Row],[Life Cover Amount]]</f>
        <v>0</v>
      </c>
      <c r="X405" s="290">
        <f>Table13[[#This Row],[Funeral Cover Amount]]</f>
        <v>0</v>
      </c>
      <c r="Y40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0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05" s="301">
        <f t="shared" ca="1" si="46"/>
        <v>0</v>
      </c>
      <c r="AB405" s="298"/>
      <c r="AC405" s="326" t="str">
        <f>IF(Table2[[#This Row],[Member Type]]="Main Member",Lookups!$C$13,
IF(Table2[[#This Row],[Member Type]]="Spouse",_xlfn.XLOOKUP(B405,Table2[Main Member Link ID],Table2[Product Option],0),
IF(AND(Table2[[#This Row],[Member Type]]="Child",_xlfn.XLOOKUP(B405,Table2[Main Member Link ID],Table2[Product Option],0)&lt;&gt;"My Value Plus Life"),Lookups!$C$24,
IF(AND(OR(Table2[[#This Row],[Member Type]]="Parent",Table2[[#This Row],[Member Type]]="Extended"),_xlfn.XLOOKUP(B405,Table2[Main Member Link ID],Table2[Product Option],0)&lt;&gt;"My Value Plus Life"),Lookups!$C$26,""))))</f>
        <v/>
      </c>
      <c r="AD405" s="326" t="str">
        <f>IF(Table2[[#This Row],[Member Type]]="Main Member",Lookups!$C$14,"")</f>
        <v/>
      </c>
      <c r="AE40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Funeral",_xlfn.XLOOKUP(B405,Table2[Main Member Link ID],Table2[Benefit Name],0)=Lookups!$D$14),"",
IF(AND(Table2[[#This Row],[Member Type]]="Spouse",Table2[[#This Row],[Product Option]]="My Value Plus Life &amp; Funeral",_xlfn.XLOOKUP(B404,Table2[Main Member Link ID],Table2[Benefit Name],0)=Lookups!$D$15),Lookups!$D$20,
IF(AND(Table2[[#This Row],[Member Type]]="Spouse",Table2[[#This Row],[Product Option]]="My Value Plus Life &amp; Funeral",_xlfn.XLOOKUP(B404,Table2[Main Member Link ID],Table2[Benefit Name],0)=Lookups!$D$16),"",
IF(AND(Table2[[#This Row],[Member Type]]="Spouse",Table2[[#This Row],[Product Option]]="My Value Plus Life &amp; Funeral",_xlfn.XLOOKUP(B404,Table2[Main Member Link ID],Table2[Benefit Name],0)=Lookups!$D$17),Lookups!$D$21,
IF(AND(Table2[[#This Row],[Member Type]]="Child",Table2[[#This Row],[Product Option]]="My Value Plus Life &amp; Funeral",_xlfn.XLOOKUP(B405,Table2[Main Member Link ID],Table2[Benefit Name],0)=Lookups!$D$14),"",
IF(AND(Table2[[#This Row],[Member Type]]="Child",Table2[[#This Row],[Product Option]]="My Value Plus Life &amp; Funeral",_xlfn.XLOOKUP(B405,Table2[Main Member Link ID],Table2[Benefit Name],0)=Lookups!$D$15),"",
IF(AND(Table2[[#This Row],[Member Type]]="Child",Table2[[#This Row],[Product Option]]="My Value Plus Life &amp; Funeral",_xlfn.XLOOKUP(B405,Table2[Main Member Link ID],Table2[Benefit Name],0)=Lookups!$D$16),Lookups!$D$24,
IF(AND(Table2[[#This Row],[Member Type]]="Child",Table2[[#This Row],[Product Option]]="My Value Plus Life &amp; Funeral",_xlfn.XLOOKUP(B405,Table2[Main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Funeral",_xlfn.XLOOKUP(B405,Table2[Main Member Link ID],Table2[Benefit Name],0)&lt;&gt;Lookups!$D$14),
IF(_xlfn.XLOOKUP(B405,Table2[Main Member Link ID],Table2[Benefit Name],0)=0,"",_xlfn.XLOOKUP(B405,Table2[Main Member Link ID],Table2[Benefit Name],0)),"")))))))))))))))</f>
        <v/>
      </c>
      <c r="AF405" s="327" t="str">
        <f>IF(AND(Table2[[#This Row],[Member Type]]="Main Member",Table2[[#This Row],[Product Option]]="My Value Plus Life &amp; Funeral"),Lookups!$D$15,
IF(AND(Table2[[#This Row],[Member Type]]="Spouse",Table2[[#This Row],[Product Option]]="My Value Plus Life &amp; Funeral",_xlfn.XLOOKUP(B405,Table2[Main Member Link ID],Table2[Benefit Name],0)=Lookups!$D$14),"",
IF(AND(Table2[[#This Row],[Member Type]]="Spouse",Table2[[#This Row],[Product Option]]="My Value Plus Life &amp; Funeral",_xlfn.XLOOKUP(B404,Table2[Main Member Link ID],Table2[Benefit Name],0)=Lookups!$D$16),"",
IF(AND(Table2[[#This Row],[Member Type]]="Spouse",Table2[[#This Row],[Product Option]]="My Value Plus Life &amp; Funeral",_xlfn.XLOOKUP(B404,Table2[Main Member Link ID],Table2[Benefit Name],0)=Lookups!$D$15),"",
IF(AND(Table2[[#This Row],[Member Type]]="Spouse",Table2[[#This Row],[Product Option]]="My Value Plus Life &amp; Funeral",_xlfn.XLOOKUP(B404,Table2[Main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Funeral",_xlfn.XLOOKUP(B405,Table2[Main Member Link ID],Table2[Benefit Name],0)&lt;&gt;Lookups!$D$15),
IF(_xlfn.XLOOKUP(B405,Table2[Main Member Link ID],Table2[Benefit Name],0)=0,"",_xlfn.XLOOKUP(B405,Table2[Main Member Link ID],Table2[Benefit Name],0)),"")
))))))</f>
        <v/>
      </c>
      <c r="AG405" s="327" t="str">
        <f>IF(AND(Table2[[#This Row],[Member Type]]="Main Member",Table2[[#This Row],[Product Option]]="My Value Plus Life &amp; Funeral"),Lookups!$D$16,
IF(AND(Table2[[#This Row],[Member Type]]="Spouse",Table2[[#This Row],[Product Option]]="My Value Plus Life &amp; Funeral",_xlfn.XLOOKUP(B405,Table2[Main Member Link ID],Table2[Benefit Name],0)=Lookups!$D$14),"",
IF(AND(Table2[[#This Row],[Member Type]]="Spouse",Table2[[#This Row],[Product Option]]="My Value Plus Life &amp; Funeral",_xlfn.XLOOKUP(B404,Table2[Main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Funeral",_xlfn.XLOOKUP(B405,Table2[Main Member Link ID],Table2[Benefit Name],0)&lt;&gt;Lookups!$D$16),
IF(_xlfn.XLOOKUP(B405,Table2[Main Member Link ID],Table2[Benefit Name],0)=0,"",_xlfn.XLOOKUP(B405,Table2[Main Member Link ID],Table2[Benefit Name],0)),"")
))))</f>
        <v/>
      </c>
      <c r="AH405" s="327" t="str">
        <f>IF(AND(Table2[[#This Row],[Member Type]]="Main Member",Table2[[#This Row],[Product Option]]="My Value Plus Life &amp; Funeral"),Lookups!$D$17,
IF(AND(Table2[[#This Row],[Member Type]]="Spouse",Table2[[#This Row],[Product Option]]="My Value Plus Life &amp; Funeral",_xlfn.XLOOKUP(B405,Table2[Main Member Link ID],Table2[Benefit Name],0)=Lookups!$D$14),"",
IF(AND(Table2[[#This Row],[Member Type]]="Spouse",Table2[[#This Row],[Product Option]]="My Value Plus Life &amp; Funeral",_xlfn.XLOOKUP(B404,Table2[Main Member Link ID],Table2[Benefit Name],0)=Lookups!$D$16),"",
IF(AND(Table2[[#This Row],[Member Type]]="Child",Table2[[#This Row],[Product Option]]="My Value Plus Life &amp; Funeral"),"",
IF(AND(Table2[[#This Row],[Member Type]]="Child",Table2[[#This Row],[Product Option]]="My Value Plus Life &amp; Funeral",_xlfn.XLOOKUP(B405,Table2[Main Member Link ID],Table2[Benefit Name],0)=Lookups!$D$15),"",
IF(AND(OR(Table2[[#This Row],[Member Type]]="Spouse",Table2[[#This Row],[Member Type]]="Child"),Table2[[#This Row],[Product Option]]="My Value Plus Life &amp; Funeral",_xlfn.XLOOKUP(B405,Table2[Main Member Link ID],Table2[Benefit Name],0)&lt;&gt;Lookups!$D$17),
IF(_xlfn.XLOOKUP(B405,Table2[Main Member Link ID],Table2[Benefit Name],0)=0,"",_xlfn.XLOOKUP(B405,Table2[Main Member Link ID],Table2[Benefit Name],0)),""))))))</f>
        <v/>
      </c>
      <c r="AI405" s="328" t="str">
        <f>IF(AND(Table2[[#This Row],[Member Type]]="Main Member",Table2[[#This Row],[Table Lookup for Life Cover]]="MM_LIFE",Table2[[#This Row],[Age Next Birthday]]&lt;56),1,
IF(AND(Table2[[#This Row],[Member Type]]="Main Member",Table2[[#This Row],[Table Lookup for Life Cover]]="MM_LIFE",Table2[[#This Row],[Age Next Birthday]]&gt;=56),2,
""))</f>
        <v/>
      </c>
      <c r="AJ405" s="328">
        <f>IF(OR(Table2[[#This Row],[Member Type]]="Main Member",Table2[[#This Row],[Main Member Link ID]]=B404),1,0)</f>
        <v>1</v>
      </c>
      <c r="AK405" s="328">
        <f>IF(Table2[[#This Row],[Member Type]]=0,0,
IF(OR(Table2[[#This Row],[Member Type]]="Main Member",Table2[[#This Row],[Main Member Link ID]]&lt;&gt;B405),COUNTIFS(B:B,Table2[[#This Row],[Main Member Link ID]]),
COUNTIFS(B:B,Table2[[#This Row],[Main Member Link ID]],A:A,Table2[[#This Row],[Member Type]])))</f>
        <v>0</v>
      </c>
    </row>
    <row r="406" spans="1:37" x14ac:dyDescent="0.3">
      <c r="A406" s="284">
        <f>Table13[[#This Row],[Member Type]]</f>
        <v>0</v>
      </c>
      <c r="B406" s="284">
        <f>Table13[[#This Row],[Main Member Link ID]]</f>
        <v>0</v>
      </c>
      <c r="C406" s="284">
        <f>Table13[[#This Row],[ID Number]]</f>
        <v>0</v>
      </c>
      <c r="D406" s="285">
        <f>Table13[[#This Row],[Date Of Birth]]</f>
        <v>0</v>
      </c>
      <c r="E406" s="285">
        <f>Table13[[#This Row],[Commencement Date]]</f>
        <v>0</v>
      </c>
      <c r="F406" s="284">
        <f t="shared" si="42"/>
        <v>1</v>
      </c>
      <c r="G406" s="284">
        <f t="shared" si="43"/>
        <v>25</v>
      </c>
      <c r="H406" s="286">
        <f>Table13[[#This Row],[Product Option]]</f>
        <v>0</v>
      </c>
      <c r="I406" s="284">
        <f>IF(AND($A406="Main Member",Table2[[#This Row],[Product Option]]="My Value Plus Life"),"MM_LIFE",
IF(AND($A406="Spouse",Table2[[#This Row],[Product Option]]="My Value Plus Life"),"SP_LIFE",
IF(AND($A406="Main Member",Table2[[#This Row],[Product Option]]="My Value Plus Life &amp; Funeral"),"MM_LIFE",
IF(AND($A406="Spouse",Table2[[#This Row],[Product Option]]="My Value Plus Life &amp; Funeral"),_xlfn.XLOOKUP(Table2[[#This Row],[Benefit Name]],Lookups!$D$18:$D$23,Lookups!$E$18:$E$23,0),
0))))</f>
        <v>0</v>
      </c>
      <c r="J406" s="284">
        <f>IF($I406="","",
IF($I406="MM_LIFE",INDEX('Quotation Tool'!$S$54:$V$60,MATCH($T406,'Quotation Tool'!$S$54:$S$60,0),4),
IF($I406="SP_LIFE",_xlfn.XLOOKUP(B405,$B:$B,$J:$J,0),0)))</f>
        <v>0</v>
      </c>
      <c r="K406" s="287">
        <f t="shared" ca="1" si="47"/>
        <v>0</v>
      </c>
      <c r="L406" s="288">
        <f t="shared" ca="1" si="48"/>
        <v>0</v>
      </c>
      <c r="M406" s="289">
        <f t="shared" ca="1" si="44"/>
        <v>0</v>
      </c>
      <c r="N406" s="286">
        <f>Table13[[#This Row],[Benefit Option]]</f>
        <v>0</v>
      </c>
      <c r="O406" s="284">
        <f>IF(OR(Table2[[#This Row],[Member Type]]="Spouse",Table2[[#This Row],[Member Type]]="Child"),0,
IF(_xlfn.XLOOKUP($N406,Lookups!$D$13:$D$27,Lookups!$F$13:$F$27,0)=Table2[[#This Row],[Table Lookup for Life Cover]],0,
_xlfn.XLOOKUP($N406,Lookups!$D$13:$D$27,Lookups!$F$13:$F$27,0)))</f>
        <v>0</v>
      </c>
      <c r="P406" s="284">
        <f>IF(Table2[[#This Row],[Table Lookup for Funeral]]=0,0,IFERROR(INDEX('Quotation Tool'!$S$54:$V$60,MATCH($T406,'Quotation Tool'!$S$54:$S$60,0),3),0))</f>
        <v>0</v>
      </c>
      <c r="Q406" s="288">
        <f ca="1">IF(OR(Table2[[#This Row],[Benefit Name]]="My Value Plus Life - Main Member",Table2[[#This Row],[Benefit Name]]="My Value Plus Life - Spouse"),0,
IFERROR(VLOOKUP($G406,INDIRECT($O406),$P406,FALSE),0))</f>
        <v>0</v>
      </c>
      <c r="R406" s="288">
        <f ca="1">IF(OR(Table2[[#This Row],[Benefit Name]]="My Value Plus Life - Main Member",Table2[[#This Row],[Benefit Name]]="My Value Plus Life - Spouse"),0,
IFERROR(VLOOKUP($G406,INDIRECT($O406),$P406+1,FALSE),0))</f>
        <v>0</v>
      </c>
      <c r="S406" s="289">
        <f t="shared" ca="1" si="45"/>
        <v>0</v>
      </c>
      <c r="T406" s="284" t="str">
        <f>IF(Table13[[#This Row],[Premium Waiver]]="","None",Table13[[#This Row],[Premium Waiver]])</f>
        <v>None</v>
      </c>
      <c r="U406" s="284">
        <f>Table13[[#This Row],[VAPs Options]]</f>
        <v>0</v>
      </c>
      <c r="V406" s="284">
        <f>Table13[[#This Row],[Annual Increase Option]]</f>
        <v>0</v>
      </c>
      <c r="W406" s="290">
        <f>Table13[[#This Row],[Life Cover Amount]]</f>
        <v>0</v>
      </c>
      <c r="X406" s="290">
        <f>Table13[[#This Row],[Funeral Cover Amount]]</f>
        <v>0</v>
      </c>
      <c r="Y40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0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06" s="301">
        <f t="shared" ca="1" si="46"/>
        <v>0</v>
      </c>
      <c r="AB406" s="298"/>
      <c r="AC406" s="326" t="str">
        <f>IF(Table2[[#This Row],[Member Type]]="Main Member",Lookups!$C$13,
IF(Table2[[#This Row],[Member Type]]="Spouse",_xlfn.XLOOKUP(B406,Table2[Main Member Link ID],Table2[Product Option],0),
IF(AND(Table2[[#This Row],[Member Type]]="Child",_xlfn.XLOOKUP(B406,Table2[Main Member Link ID],Table2[Product Option],0)&lt;&gt;"My Value Plus Life"),Lookups!$C$24,
IF(AND(OR(Table2[[#This Row],[Member Type]]="Parent",Table2[[#This Row],[Member Type]]="Extended"),_xlfn.XLOOKUP(B406,Table2[Main Member Link ID],Table2[Product Option],0)&lt;&gt;"My Value Plus Life"),Lookups!$C$26,""))))</f>
        <v/>
      </c>
      <c r="AD406" s="326" t="str">
        <f>IF(Table2[[#This Row],[Member Type]]="Main Member",Lookups!$C$14,"")</f>
        <v/>
      </c>
      <c r="AE40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Funeral",_xlfn.XLOOKUP(B406,Table2[Main Member Link ID],Table2[Benefit Name],0)=Lookups!$D$14),"",
IF(AND(Table2[[#This Row],[Member Type]]="Spouse",Table2[[#This Row],[Product Option]]="My Value Plus Life &amp; Funeral",_xlfn.XLOOKUP(B405,Table2[Main Member Link ID],Table2[Benefit Name],0)=Lookups!$D$15),Lookups!$D$20,
IF(AND(Table2[[#This Row],[Member Type]]="Spouse",Table2[[#This Row],[Product Option]]="My Value Plus Life &amp; Funeral",_xlfn.XLOOKUP(B405,Table2[Main Member Link ID],Table2[Benefit Name],0)=Lookups!$D$16),"",
IF(AND(Table2[[#This Row],[Member Type]]="Spouse",Table2[[#This Row],[Product Option]]="My Value Plus Life &amp; Funeral",_xlfn.XLOOKUP(B405,Table2[Main Member Link ID],Table2[Benefit Name],0)=Lookups!$D$17),Lookups!$D$21,
IF(AND(Table2[[#This Row],[Member Type]]="Child",Table2[[#This Row],[Product Option]]="My Value Plus Life &amp; Funeral",_xlfn.XLOOKUP(B406,Table2[Main Member Link ID],Table2[Benefit Name],0)=Lookups!$D$14),"",
IF(AND(Table2[[#This Row],[Member Type]]="Child",Table2[[#This Row],[Product Option]]="My Value Plus Life &amp; Funeral",_xlfn.XLOOKUP(B406,Table2[Main Member Link ID],Table2[Benefit Name],0)=Lookups!$D$15),"",
IF(AND(Table2[[#This Row],[Member Type]]="Child",Table2[[#This Row],[Product Option]]="My Value Plus Life &amp; Funeral",_xlfn.XLOOKUP(B406,Table2[Main Member Link ID],Table2[Benefit Name],0)=Lookups!$D$16),Lookups!$D$24,
IF(AND(Table2[[#This Row],[Member Type]]="Child",Table2[[#This Row],[Product Option]]="My Value Plus Life &amp; Funeral",_xlfn.XLOOKUP(B406,Table2[Main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Funeral",_xlfn.XLOOKUP(B406,Table2[Main Member Link ID],Table2[Benefit Name],0)&lt;&gt;Lookups!$D$14),
IF(_xlfn.XLOOKUP(B406,Table2[Main Member Link ID],Table2[Benefit Name],0)=0,"",_xlfn.XLOOKUP(B406,Table2[Main Member Link ID],Table2[Benefit Name],0)),"")))))))))))))))</f>
        <v/>
      </c>
      <c r="AF406" s="327" t="str">
        <f>IF(AND(Table2[[#This Row],[Member Type]]="Main Member",Table2[[#This Row],[Product Option]]="My Value Plus Life &amp; Funeral"),Lookups!$D$15,
IF(AND(Table2[[#This Row],[Member Type]]="Spouse",Table2[[#This Row],[Product Option]]="My Value Plus Life &amp; Funeral",_xlfn.XLOOKUP(B406,Table2[Main Member Link ID],Table2[Benefit Name],0)=Lookups!$D$14),"",
IF(AND(Table2[[#This Row],[Member Type]]="Spouse",Table2[[#This Row],[Product Option]]="My Value Plus Life &amp; Funeral",_xlfn.XLOOKUP(B405,Table2[Main Member Link ID],Table2[Benefit Name],0)=Lookups!$D$16),"",
IF(AND(Table2[[#This Row],[Member Type]]="Spouse",Table2[[#This Row],[Product Option]]="My Value Plus Life &amp; Funeral",_xlfn.XLOOKUP(B405,Table2[Main Member Link ID],Table2[Benefit Name],0)=Lookups!$D$15),"",
IF(AND(Table2[[#This Row],[Member Type]]="Spouse",Table2[[#This Row],[Product Option]]="My Value Plus Life &amp; Funeral",_xlfn.XLOOKUP(B405,Table2[Main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Funeral",_xlfn.XLOOKUP(B406,Table2[Main Member Link ID],Table2[Benefit Name],0)&lt;&gt;Lookups!$D$15),
IF(_xlfn.XLOOKUP(B406,Table2[Main Member Link ID],Table2[Benefit Name],0)=0,"",_xlfn.XLOOKUP(B406,Table2[Main Member Link ID],Table2[Benefit Name],0)),"")
))))))</f>
        <v/>
      </c>
      <c r="AG406" s="327" t="str">
        <f>IF(AND(Table2[[#This Row],[Member Type]]="Main Member",Table2[[#This Row],[Product Option]]="My Value Plus Life &amp; Funeral"),Lookups!$D$16,
IF(AND(Table2[[#This Row],[Member Type]]="Spouse",Table2[[#This Row],[Product Option]]="My Value Plus Life &amp; Funeral",_xlfn.XLOOKUP(B406,Table2[Main Member Link ID],Table2[Benefit Name],0)=Lookups!$D$14),"",
IF(AND(Table2[[#This Row],[Member Type]]="Spouse",Table2[[#This Row],[Product Option]]="My Value Plus Life &amp; Funeral",_xlfn.XLOOKUP(B405,Table2[Main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Funeral",_xlfn.XLOOKUP(B406,Table2[Main Member Link ID],Table2[Benefit Name],0)&lt;&gt;Lookups!$D$16),
IF(_xlfn.XLOOKUP(B406,Table2[Main Member Link ID],Table2[Benefit Name],0)=0,"",_xlfn.XLOOKUP(B406,Table2[Main Member Link ID],Table2[Benefit Name],0)),"")
))))</f>
        <v/>
      </c>
      <c r="AH406" s="327" t="str">
        <f>IF(AND(Table2[[#This Row],[Member Type]]="Main Member",Table2[[#This Row],[Product Option]]="My Value Plus Life &amp; Funeral"),Lookups!$D$17,
IF(AND(Table2[[#This Row],[Member Type]]="Spouse",Table2[[#This Row],[Product Option]]="My Value Plus Life &amp; Funeral",_xlfn.XLOOKUP(B406,Table2[Main Member Link ID],Table2[Benefit Name],0)=Lookups!$D$14),"",
IF(AND(Table2[[#This Row],[Member Type]]="Spouse",Table2[[#This Row],[Product Option]]="My Value Plus Life &amp; Funeral",_xlfn.XLOOKUP(B405,Table2[Main Member Link ID],Table2[Benefit Name],0)=Lookups!$D$16),"",
IF(AND(Table2[[#This Row],[Member Type]]="Child",Table2[[#This Row],[Product Option]]="My Value Plus Life &amp; Funeral"),"",
IF(AND(Table2[[#This Row],[Member Type]]="Child",Table2[[#This Row],[Product Option]]="My Value Plus Life &amp; Funeral",_xlfn.XLOOKUP(B406,Table2[Main Member Link ID],Table2[Benefit Name],0)=Lookups!$D$15),"",
IF(AND(OR(Table2[[#This Row],[Member Type]]="Spouse",Table2[[#This Row],[Member Type]]="Child"),Table2[[#This Row],[Product Option]]="My Value Plus Life &amp; Funeral",_xlfn.XLOOKUP(B406,Table2[Main Member Link ID],Table2[Benefit Name],0)&lt;&gt;Lookups!$D$17),
IF(_xlfn.XLOOKUP(B406,Table2[Main Member Link ID],Table2[Benefit Name],0)=0,"",_xlfn.XLOOKUP(B406,Table2[Main Member Link ID],Table2[Benefit Name],0)),""))))))</f>
        <v/>
      </c>
      <c r="AI406" s="328" t="str">
        <f>IF(AND(Table2[[#This Row],[Member Type]]="Main Member",Table2[[#This Row],[Table Lookup for Life Cover]]="MM_LIFE",Table2[[#This Row],[Age Next Birthday]]&lt;56),1,
IF(AND(Table2[[#This Row],[Member Type]]="Main Member",Table2[[#This Row],[Table Lookup for Life Cover]]="MM_LIFE",Table2[[#This Row],[Age Next Birthday]]&gt;=56),2,
""))</f>
        <v/>
      </c>
      <c r="AJ406" s="328">
        <f>IF(OR(Table2[[#This Row],[Member Type]]="Main Member",Table2[[#This Row],[Main Member Link ID]]=B405),1,0)</f>
        <v>1</v>
      </c>
      <c r="AK406" s="328">
        <f>IF(Table2[[#This Row],[Member Type]]=0,0,
IF(OR(Table2[[#This Row],[Member Type]]="Main Member",Table2[[#This Row],[Main Member Link ID]]&lt;&gt;B406),COUNTIFS(B:B,Table2[[#This Row],[Main Member Link ID]]),
COUNTIFS(B:B,Table2[[#This Row],[Main Member Link ID]],A:A,Table2[[#This Row],[Member Type]])))</f>
        <v>0</v>
      </c>
    </row>
    <row r="407" spans="1:37" x14ac:dyDescent="0.3">
      <c r="A407" s="284">
        <f>Table13[[#This Row],[Member Type]]</f>
        <v>0</v>
      </c>
      <c r="B407" s="284">
        <f>Table13[[#This Row],[Main Member Link ID]]</f>
        <v>0</v>
      </c>
      <c r="C407" s="284">
        <f>Table13[[#This Row],[ID Number]]</f>
        <v>0</v>
      </c>
      <c r="D407" s="285">
        <f>Table13[[#This Row],[Date Of Birth]]</f>
        <v>0</v>
      </c>
      <c r="E407" s="285">
        <f>Table13[[#This Row],[Commencement Date]]</f>
        <v>0</v>
      </c>
      <c r="F407" s="284">
        <f t="shared" si="42"/>
        <v>1</v>
      </c>
      <c r="G407" s="284">
        <f t="shared" si="43"/>
        <v>25</v>
      </c>
      <c r="H407" s="286">
        <f>Table13[[#This Row],[Product Option]]</f>
        <v>0</v>
      </c>
      <c r="I407" s="284">
        <f>IF(AND($A407="Main Member",Table2[[#This Row],[Product Option]]="My Value Plus Life"),"MM_LIFE",
IF(AND($A407="Spouse",Table2[[#This Row],[Product Option]]="My Value Plus Life"),"SP_LIFE",
IF(AND($A407="Main Member",Table2[[#This Row],[Product Option]]="My Value Plus Life &amp; Funeral"),"MM_LIFE",
IF(AND($A407="Spouse",Table2[[#This Row],[Product Option]]="My Value Plus Life &amp; Funeral"),_xlfn.XLOOKUP(Table2[[#This Row],[Benefit Name]],Lookups!$D$18:$D$23,Lookups!$E$18:$E$23,0),
0))))</f>
        <v>0</v>
      </c>
      <c r="J407" s="284">
        <f>IF($I407="","",
IF($I407="MM_LIFE",INDEX('Quotation Tool'!$S$54:$V$60,MATCH($T407,'Quotation Tool'!$S$54:$S$60,0),4),
IF($I407="SP_LIFE",_xlfn.XLOOKUP(B406,$B:$B,$J:$J,0),0)))</f>
        <v>0</v>
      </c>
      <c r="K407" s="287">
        <f t="shared" ca="1" si="47"/>
        <v>0</v>
      </c>
      <c r="L407" s="288">
        <f t="shared" ca="1" si="48"/>
        <v>0</v>
      </c>
      <c r="M407" s="289">
        <f t="shared" ca="1" si="44"/>
        <v>0</v>
      </c>
      <c r="N407" s="286">
        <f>Table13[[#This Row],[Benefit Option]]</f>
        <v>0</v>
      </c>
      <c r="O407" s="284">
        <f>IF(OR(Table2[[#This Row],[Member Type]]="Spouse",Table2[[#This Row],[Member Type]]="Child"),0,
IF(_xlfn.XLOOKUP($N407,Lookups!$D$13:$D$27,Lookups!$F$13:$F$27,0)=Table2[[#This Row],[Table Lookup for Life Cover]],0,
_xlfn.XLOOKUP($N407,Lookups!$D$13:$D$27,Lookups!$F$13:$F$27,0)))</f>
        <v>0</v>
      </c>
      <c r="P407" s="284">
        <f>IF(Table2[[#This Row],[Table Lookup for Funeral]]=0,0,IFERROR(INDEX('Quotation Tool'!$S$54:$V$60,MATCH($T407,'Quotation Tool'!$S$54:$S$60,0),3),0))</f>
        <v>0</v>
      </c>
      <c r="Q407" s="288">
        <f ca="1">IF(OR(Table2[[#This Row],[Benefit Name]]="My Value Plus Life - Main Member",Table2[[#This Row],[Benefit Name]]="My Value Plus Life - Spouse"),0,
IFERROR(VLOOKUP($G407,INDIRECT($O407),$P407,FALSE),0))</f>
        <v>0</v>
      </c>
      <c r="R407" s="288">
        <f ca="1">IF(OR(Table2[[#This Row],[Benefit Name]]="My Value Plus Life - Main Member",Table2[[#This Row],[Benefit Name]]="My Value Plus Life - Spouse"),0,
IFERROR(VLOOKUP($G407,INDIRECT($O407),$P407+1,FALSE),0))</f>
        <v>0</v>
      </c>
      <c r="S407" s="289">
        <f t="shared" ca="1" si="45"/>
        <v>0</v>
      </c>
      <c r="T407" s="284" t="str">
        <f>IF(Table13[[#This Row],[Premium Waiver]]="","None",Table13[[#This Row],[Premium Waiver]])</f>
        <v>None</v>
      </c>
      <c r="U407" s="284">
        <f>Table13[[#This Row],[VAPs Options]]</f>
        <v>0</v>
      </c>
      <c r="V407" s="284">
        <f>Table13[[#This Row],[Annual Increase Option]]</f>
        <v>0</v>
      </c>
      <c r="W407" s="290">
        <f>Table13[[#This Row],[Life Cover Amount]]</f>
        <v>0</v>
      </c>
      <c r="X407" s="290">
        <f>Table13[[#This Row],[Funeral Cover Amount]]</f>
        <v>0</v>
      </c>
      <c r="Y40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0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07" s="301">
        <f t="shared" ca="1" si="46"/>
        <v>0</v>
      </c>
      <c r="AB407" s="298"/>
      <c r="AC407" s="326" t="str">
        <f>IF(Table2[[#This Row],[Member Type]]="Main Member",Lookups!$C$13,
IF(Table2[[#This Row],[Member Type]]="Spouse",_xlfn.XLOOKUP(B407,Table2[Main Member Link ID],Table2[Product Option],0),
IF(AND(Table2[[#This Row],[Member Type]]="Child",_xlfn.XLOOKUP(B407,Table2[Main Member Link ID],Table2[Product Option],0)&lt;&gt;"My Value Plus Life"),Lookups!$C$24,
IF(AND(OR(Table2[[#This Row],[Member Type]]="Parent",Table2[[#This Row],[Member Type]]="Extended"),_xlfn.XLOOKUP(B407,Table2[Main Member Link ID],Table2[Product Option],0)&lt;&gt;"My Value Plus Life"),Lookups!$C$26,""))))</f>
        <v/>
      </c>
      <c r="AD407" s="326" t="str">
        <f>IF(Table2[[#This Row],[Member Type]]="Main Member",Lookups!$C$14,"")</f>
        <v/>
      </c>
      <c r="AE40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Funeral",_xlfn.XLOOKUP(B407,Table2[Main Member Link ID],Table2[Benefit Name],0)=Lookups!$D$14),"",
IF(AND(Table2[[#This Row],[Member Type]]="Spouse",Table2[[#This Row],[Product Option]]="My Value Plus Life &amp; Funeral",_xlfn.XLOOKUP(B406,Table2[Main Member Link ID],Table2[Benefit Name],0)=Lookups!$D$15),Lookups!$D$20,
IF(AND(Table2[[#This Row],[Member Type]]="Spouse",Table2[[#This Row],[Product Option]]="My Value Plus Life &amp; Funeral",_xlfn.XLOOKUP(B406,Table2[Main Member Link ID],Table2[Benefit Name],0)=Lookups!$D$16),"",
IF(AND(Table2[[#This Row],[Member Type]]="Spouse",Table2[[#This Row],[Product Option]]="My Value Plus Life &amp; Funeral",_xlfn.XLOOKUP(B406,Table2[Main Member Link ID],Table2[Benefit Name],0)=Lookups!$D$17),Lookups!$D$21,
IF(AND(Table2[[#This Row],[Member Type]]="Child",Table2[[#This Row],[Product Option]]="My Value Plus Life &amp; Funeral",_xlfn.XLOOKUP(B407,Table2[Main Member Link ID],Table2[Benefit Name],0)=Lookups!$D$14),"",
IF(AND(Table2[[#This Row],[Member Type]]="Child",Table2[[#This Row],[Product Option]]="My Value Plus Life &amp; Funeral",_xlfn.XLOOKUP(B407,Table2[Main Member Link ID],Table2[Benefit Name],0)=Lookups!$D$15),"",
IF(AND(Table2[[#This Row],[Member Type]]="Child",Table2[[#This Row],[Product Option]]="My Value Plus Life &amp; Funeral",_xlfn.XLOOKUP(B407,Table2[Main Member Link ID],Table2[Benefit Name],0)=Lookups!$D$16),Lookups!$D$24,
IF(AND(Table2[[#This Row],[Member Type]]="Child",Table2[[#This Row],[Product Option]]="My Value Plus Life &amp; Funeral",_xlfn.XLOOKUP(B407,Table2[Main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Funeral",_xlfn.XLOOKUP(B407,Table2[Main Member Link ID],Table2[Benefit Name],0)&lt;&gt;Lookups!$D$14),
IF(_xlfn.XLOOKUP(B407,Table2[Main Member Link ID],Table2[Benefit Name],0)=0,"",_xlfn.XLOOKUP(B407,Table2[Main Member Link ID],Table2[Benefit Name],0)),"")))))))))))))))</f>
        <v/>
      </c>
      <c r="AF407" s="327" t="str">
        <f>IF(AND(Table2[[#This Row],[Member Type]]="Main Member",Table2[[#This Row],[Product Option]]="My Value Plus Life &amp; Funeral"),Lookups!$D$15,
IF(AND(Table2[[#This Row],[Member Type]]="Spouse",Table2[[#This Row],[Product Option]]="My Value Plus Life &amp; Funeral",_xlfn.XLOOKUP(B407,Table2[Main Member Link ID],Table2[Benefit Name],0)=Lookups!$D$14),"",
IF(AND(Table2[[#This Row],[Member Type]]="Spouse",Table2[[#This Row],[Product Option]]="My Value Plus Life &amp; Funeral",_xlfn.XLOOKUP(B406,Table2[Main Member Link ID],Table2[Benefit Name],0)=Lookups!$D$16),"",
IF(AND(Table2[[#This Row],[Member Type]]="Spouse",Table2[[#This Row],[Product Option]]="My Value Plus Life &amp; Funeral",_xlfn.XLOOKUP(B406,Table2[Main Member Link ID],Table2[Benefit Name],0)=Lookups!$D$15),"",
IF(AND(Table2[[#This Row],[Member Type]]="Spouse",Table2[[#This Row],[Product Option]]="My Value Plus Life &amp; Funeral",_xlfn.XLOOKUP(B406,Table2[Main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Funeral",_xlfn.XLOOKUP(B407,Table2[Main Member Link ID],Table2[Benefit Name],0)&lt;&gt;Lookups!$D$15),
IF(_xlfn.XLOOKUP(B407,Table2[Main Member Link ID],Table2[Benefit Name],0)=0,"",_xlfn.XLOOKUP(B407,Table2[Main Member Link ID],Table2[Benefit Name],0)),"")
))))))</f>
        <v/>
      </c>
      <c r="AG407" s="327" t="str">
        <f>IF(AND(Table2[[#This Row],[Member Type]]="Main Member",Table2[[#This Row],[Product Option]]="My Value Plus Life &amp; Funeral"),Lookups!$D$16,
IF(AND(Table2[[#This Row],[Member Type]]="Spouse",Table2[[#This Row],[Product Option]]="My Value Plus Life &amp; Funeral",_xlfn.XLOOKUP(B407,Table2[Main Member Link ID],Table2[Benefit Name],0)=Lookups!$D$14),"",
IF(AND(Table2[[#This Row],[Member Type]]="Spouse",Table2[[#This Row],[Product Option]]="My Value Plus Life &amp; Funeral",_xlfn.XLOOKUP(B406,Table2[Main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Funeral",_xlfn.XLOOKUP(B407,Table2[Main Member Link ID],Table2[Benefit Name],0)&lt;&gt;Lookups!$D$16),
IF(_xlfn.XLOOKUP(B407,Table2[Main Member Link ID],Table2[Benefit Name],0)=0,"",_xlfn.XLOOKUP(B407,Table2[Main Member Link ID],Table2[Benefit Name],0)),"")
))))</f>
        <v/>
      </c>
      <c r="AH407" s="327" t="str">
        <f>IF(AND(Table2[[#This Row],[Member Type]]="Main Member",Table2[[#This Row],[Product Option]]="My Value Plus Life &amp; Funeral"),Lookups!$D$17,
IF(AND(Table2[[#This Row],[Member Type]]="Spouse",Table2[[#This Row],[Product Option]]="My Value Plus Life &amp; Funeral",_xlfn.XLOOKUP(B407,Table2[Main Member Link ID],Table2[Benefit Name],0)=Lookups!$D$14),"",
IF(AND(Table2[[#This Row],[Member Type]]="Spouse",Table2[[#This Row],[Product Option]]="My Value Plus Life &amp; Funeral",_xlfn.XLOOKUP(B406,Table2[Main Member Link ID],Table2[Benefit Name],0)=Lookups!$D$16),"",
IF(AND(Table2[[#This Row],[Member Type]]="Child",Table2[[#This Row],[Product Option]]="My Value Plus Life &amp; Funeral"),"",
IF(AND(Table2[[#This Row],[Member Type]]="Child",Table2[[#This Row],[Product Option]]="My Value Plus Life &amp; Funeral",_xlfn.XLOOKUP(B407,Table2[Main Member Link ID],Table2[Benefit Name],0)=Lookups!$D$15),"",
IF(AND(OR(Table2[[#This Row],[Member Type]]="Spouse",Table2[[#This Row],[Member Type]]="Child"),Table2[[#This Row],[Product Option]]="My Value Plus Life &amp; Funeral",_xlfn.XLOOKUP(B407,Table2[Main Member Link ID],Table2[Benefit Name],0)&lt;&gt;Lookups!$D$17),
IF(_xlfn.XLOOKUP(B407,Table2[Main Member Link ID],Table2[Benefit Name],0)=0,"",_xlfn.XLOOKUP(B407,Table2[Main Member Link ID],Table2[Benefit Name],0)),""))))))</f>
        <v/>
      </c>
      <c r="AI407" s="328" t="str">
        <f>IF(AND(Table2[[#This Row],[Member Type]]="Main Member",Table2[[#This Row],[Table Lookup for Life Cover]]="MM_LIFE",Table2[[#This Row],[Age Next Birthday]]&lt;56),1,
IF(AND(Table2[[#This Row],[Member Type]]="Main Member",Table2[[#This Row],[Table Lookup for Life Cover]]="MM_LIFE",Table2[[#This Row],[Age Next Birthday]]&gt;=56),2,
""))</f>
        <v/>
      </c>
      <c r="AJ407" s="328">
        <f>IF(OR(Table2[[#This Row],[Member Type]]="Main Member",Table2[[#This Row],[Main Member Link ID]]=B406),1,0)</f>
        <v>1</v>
      </c>
      <c r="AK407" s="328">
        <f>IF(Table2[[#This Row],[Member Type]]=0,0,
IF(OR(Table2[[#This Row],[Member Type]]="Main Member",Table2[[#This Row],[Main Member Link ID]]&lt;&gt;B407),COUNTIFS(B:B,Table2[[#This Row],[Main Member Link ID]]),
COUNTIFS(B:B,Table2[[#This Row],[Main Member Link ID]],A:A,Table2[[#This Row],[Member Type]])))</f>
        <v>0</v>
      </c>
    </row>
    <row r="408" spans="1:37" x14ac:dyDescent="0.3">
      <c r="A408" s="284">
        <f>Table13[[#This Row],[Member Type]]</f>
        <v>0</v>
      </c>
      <c r="B408" s="284">
        <f>Table13[[#This Row],[Main Member Link ID]]</f>
        <v>0</v>
      </c>
      <c r="C408" s="284">
        <f>Table13[[#This Row],[ID Number]]</f>
        <v>0</v>
      </c>
      <c r="D408" s="285">
        <f>Table13[[#This Row],[Date Of Birth]]</f>
        <v>0</v>
      </c>
      <c r="E408" s="285">
        <f>Table13[[#This Row],[Commencement Date]]</f>
        <v>0</v>
      </c>
      <c r="F408" s="284">
        <f t="shared" si="42"/>
        <v>1</v>
      </c>
      <c r="G408" s="284">
        <f t="shared" si="43"/>
        <v>25</v>
      </c>
      <c r="H408" s="286">
        <f>Table13[[#This Row],[Product Option]]</f>
        <v>0</v>
      </c>
      <c r="I408" s="284">
        <f>IF(AND($A408="Main Member",Table2[[#This Row],[Product Option]]="My Value Plus Life"),"MM_LIFE",
IF(AND($A408="Spouse",Table2[[#This Row],[Product Option]]="My Value Plus Life"),"SP_LIFE",
IF(AND($A408="Main Member",Table2[[#This Row],[Product Option]]="My Value Plus Life &amp; Funeral"),"MM_LIFE",
IF(AND($A408="Spouse",Table2[[#This Row],[Product Option]]="My Value Plus Life &amp; Funeral"),_xlfn.XLOOKUP(Table2[[#This Row],[Benefit Name]],Lookups!$D$18:$D$23,Lookups!$E$18:$E$23,0),
0))))</f>
        <v>0</v>
      </c>
      <c r="J408" s="284">
        <f>IF($I408="","",
IF($I408="MM_LIFE",INDEX('Quotation Tool'!$S$54:$V$60,MATCH($T408,'Quotation Tool'!$S$54:$S$60,0),4),
IF($I408="SP_LIFE",_xlfn.XLOOKUP(B407,$B:$B,$J:$J,0),0)))</f>
        <v>0</v>
      </c>
      <c r="K408" s="287">
        <f t="shared" ca="1" si="47"/>
        <v>0</v>
      </c>
      <c r="L408" s="288">
        <f t="shared" ca="1" si="48"/>
        <v>0</v>
      </c>
      <c r="M408" s="289">
        <f t="shared" ca="1" si="44"/>
        <v>0</v>
      </c>
      <c r="N408" s="286">
        <f>Table13[[#This Row],[Benefit Option]]</f>
        <v>0</v>
      </c>
      <c r="O408" s="284">
        <f>IF(OR(Table2[[#This Row],[Member Type]]="Spouse",Table2[[#This Row],[Member Type]]="Child"),0,
IF(_xlfn.XLOOKUP($N408,Lookups!$D$13:$D$27,Lookups!$F$13:$F$27,0)=Table2[[#This Row],[Table Lookup for Life Cover]],0,
_xlfn.XLOOKUP($N408,Lookups!$D$13:$D$27,Lookups!$F$13:$F$27,0)))</f>
        <v>0</v>
      </c>
      <c r="P408" s="284">
        <f>IF(Table2[[#This Row],[Table Lookup for Funeral]]=0,0,IFERROR(INDEX('Quotation Tool'!$S$54:$V$60,MATCH($T408,'Quotation Tool'!$S$54:$S$60,0),3),0))</f>
        <v>0</v>
      </c>
      <c r="Q408" s="288">
        <f ca="1">IF(OR(Table2[[#This Row],[Benefit Name]]="My Value Plus Life - Main Member",Table2[[#This Row],[Benefit Name]]="My Value Plus Life - Spouse"),0,
IFERROR(VLOOKUP($G408,INDIRECT($O408),$P408,FALSE),0))</f>
        <v>0</v>
      </c>
      <c r="R408" s="288">
        <f ca="1">IF(OR(Table2[[#This Row],[Benefit Name]]="My Value Plus Life - Main Member",Table2[[#This Row],[Benefit Name]]="My Value Plus Life - Spouse"),0,
IFERROR(VLOOKUP($G408,INDIRECT($O408),$P408+1,FALSE),0))</f>
        <v>0</v>
      </c>
      <c r="S408" s="289">
        <f t="shared" ca="1" si="45"/>
        <v>0</v>
      </c>
      <c r="T408" s="284" t="str">
        <f>IF(Table13[[#This Row],[Premium Waiver]]="","None",Table13[[#This Row],[Premium Waiver]])</f>
        <v>None</v>
      </c>
      <c r="U408" s="284">
        <f>Table13[[#This Row],[VAPs Options]]</f>
        <v>0</v>
      </c>
      <c r="V408" s="284">
        <f>Table13[[#This Row],[Annual Increase Option]]</f>
        <v>0</v>
      </c>
      <c r="W408" s="290">
        <f>Table13[[#This Row],[Life Cover Amount]]</f>
        <v>0</v>
      </c>
      <c r="X408" s="290">
        <f>Table13[[#This Row],[Funeral Cover Amount]]</f>
        <v>0</v>
      </c>
      <c r="Y40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0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08" s="301">
        <f t="shared" ca="1" si="46"/>
        <v>0</v>
      </c>
      <c r="AB408" s="298"/>
      <c r="AC408" s="326" t="str">
        <f>IF(Table2[[#This Row],[Member Type]]="Main Member",Lookups!$C$13,
IF(Table2[[#This Row],[Member Type]]="Spouse",_xlfn.XLOOKUP(B408,Table2[Main Member Link ID],Table2[Product Option],0),
IF(AND(Table2[[#This Row],[Member Type]]="Child",_xlfn.XLOOKUP(B408,Table2[Main Member Link ID],Table2[Product Option],0)&lt;&gt;"My Value Plus Life"),Lookups!$C$24,
IF(AND(OR(Table2[[#This Row],[Member Type]]="Parent",Table2[[#This Row],[Member Type]]="Extended"),_xlfn.XLOOKUP(B408,Table2[Main Member Link ID],Table2[Product Option],0)&lt;&gt;"My Value Plus Life"),Lookups!$C$26,""))))</f>
        <v/>
      </c>
      <c r="AD408" s="326" t="str">
        <f>IF(Table2[[#This Row],[Member Type]]="Main Member",Lookups!$C$14,"")</f>
        <v/>
      </c>
      <c r="AE40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Funeral",_xlfn.XLOOKUP(B408,Table2[Main Member Link ID],Table2[Benefit Name],0)=Lookups!$D$14),"",
IF(AND(Table2[[#This Row],[Member Type]]="Spouse",Table2[[#This Row],[Product Option]]="My Value Plus Life &amp; Funeral",_xlfn.XLOOKUP(B407,Table2[Main Member Link ID],Table2[Benefit Name],0)=Lookups!$D$15),Lookups!$D$20,
IF(AND(Table2[[#This Row],[Member Type]]="Spouse",Table2[[#This Row],[Product Option]]="My Value Plus Life &amp; Funeral",_xlfn.XLOOKUP(B407,Table2[Main Member Link ID],Table2[Benefit Name],0)=Lookups!$D$16),"",
IF(AND(Table2[[#This Row],[Member Type]]="Spouse",Table2[[#This Row],[Product Option]]="My Value Plus Life &amp; Funeral",_xlfn.XLOOKUP(B407,Table2[Main Member Link ID],Table2[Benefit Name],0)=Lookups!$D$17),Lookups!$D$21,
IF(AND(Table2[[#This Row],[Member Type]]="Child",Table2[[#This Row],[Product Option]]="My Value Plus Life &amp; Funeral",_xlfn.XLOOKUP(B408,Table2[Main Member Link ID],Table2[Benefit Name],0)=Lookups!$D$14),"",
IF(AND(Table2[[#This Row],[Member Type]]="Child",Table2[[#This Row],[Product Option]]="My Value Plus Life &amp; Funeral",_xlfn.XLOOKUP(B408,Table2[Main Member Link ID],Table2[Benefit Name],0)=Lookups!$D$15),"",
IF(AND(Table2[[#This Row],[Member Type]]="Child",Table2[[#This Row],[Product Option]]="My Value Plus Life &amp; Funeral",_xlfn.XLOOKUP(B408,Table2[Main Member Link ID],Table2[Benefit Name],0)=Lookups!$D$16),Lookups!$D$24,
IF(AND(Table2[[#This Row],[Member Type]]="Child",Table2[[#This Row],[Product Option]]="My Value Plus Life &amp; Funeral",_xlfn.XLOOKUP(B408,Table2[Main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Funeral",_xlfn.XLOOKUP(B408,Table2[Main Member Link ID],Table2[Benefit Name],0)&lt;&gt;Lookups!$D$14),
IF(_xlfn.XLOOKUP(B408,Table2[Main Member Link ID],Table2[Benefit Name],0)=0,"",_xlfn.XLOOKUP(B408,Table2[Main Member Link ID],Table2[Benefit Name],0)),"")))))))))))))))</f>
        <v/>
      </c>
      <c r="AF408" s="327" t="str">
        <f>IF(AND(Table2[[#This Row],[Member Type]]="Main Member",Table2[[#This Row],[Product Option]]="My Value Plus Life &amp; Funeral"),Lookups!$D$15,
IF(AND(Table2[[#This Row],[Member Type]]="Spouse",Table2[[#This Row],[Product Option]]="My Value Plus Life &amp; Funeral",_xlfn.XLOOKUP(B408,Table2[Main Member Link ID],Table2[Benefit Name],0)=Lookups!$D$14),"",
IF(AND(Table2[[#This Row],[Member Type]]="Spouse",Table2[[#This Row],[Product Option]]="My Value Plus Life &amp; Funeral",_xlfn.XLOOKUP(B407,Table2[Main Member Link ID],Table2[Benefit Name],0)=Lookups!$D$16),"",
IF(AND(Table2[[#This Row],[Member Type]]="Spouse",Table2[[#This Row],[Product Option]]="My Value Plus Life &amp; Funeral",_xlfn.XLOOKUP(B407,Table2[Main Member Link ID],Table2[Benefit Name],0)=Lookups!$D$15),"",
IF(AND(Table2[[#This Row],[Member Type]]="Spouse",Table2[[#This Row],[Product Option]]="My Value Plus Life &amp; Funeral",_xlfn.XLOOKUP(B407,Table2[Main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Funeral",_xlfn.XLOOKUP(B408,Table2[Main Member Link ID],Table2[Benefit Name],0)&lt;&gt;Lookups!$D$15),
IF(_xlfn.XLOOKUP(B408,Table2[Main Member Link ID],Table2[Benefit Name],0)=0,"",_xlfn.XLOOKUP(B408,Table2[Main Member Link ID],Table2[Benefit Name],0)),"")
))))))</f>
        <v/>
      </c>
      <c r="AG408" s="327" t="str">
        <f>IF(AND(Table2[[#This Row],[Member Type]]="Main Member",Table2[[#This Row],[Product Option]]="My Value Plus Life &amp; Funeral"),Lookups!$D$16,
IF(AND(Table2[[#This Row],[Member Type]]="Spouse",Table2[[#This Row],[Product Option]]="My Value Plus Life &amp; Funeral",_xlfn.XLOOKUP(B408,Table2[Main Member Link ID],Table2[Benefit Name],0)=Lookups!$D$14),"",
IF(AND(Table2[[#This Row],[Member Type]]="Spouse",Table2[[#This Row],[Product Option]]="My Value Plus Life &amp; Funeral",_xlfn.XLOOKUP(B407,Table2[Main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Funeral",_xlfn.XLOOKUP(B408,Table2[Main Member Link ID],Table2[Benefit Name],0)&lt;&gt;Lookups!$D$16),
IF(_xlfn.XLOOKUP(B408,Table2[Main Member Link ID],Table2[Benefit Name],0)=0,"",_xlfn.XLOOKUP(B408,Table2[Main Member Link ID],Table2[Benefit Name],0)),"")
))))</f>
        <v/>
      </c>
      <c r="AH408" s="327" t="str">
        <f>IF(AND(Table2[[#This Row],[Member Type]]="Main Member",Table2[[#This Row],[Product Option]]="My Value Plus Life &amp; Funeral"),Lookups!$D$17,
IF(AND(Table2[[#This Row],[Member Type]]="Spouse",Table2[[#This Row],[Product Option]]="My Value Plus Life &amp; Funeral",_xlfn.XLOOKUP(B408,Table2[Main Member Link ID],Table2[Benefit Name],0)=Lookups!$D$14),"",
IF(AND(Table2[[#This Row],[Member Type]]="Spouse",Table2[[#This Row],[Product Option]]="My Value Plus Life &amp; Funeral",_xlfn.XLOOKUP(B407,Table2[Main Member Link ID],Table2[Benefit Name],0)=Lookups!$D$16),"",
IF(AND(Table2[[#This Row],[Member Type]]="Child",Table2[[#This Row],[Product Option]]="My Value Plus Life &amp; Funeral"),"",
IF(AND(Table2[[#This Row],[Member Type]]="Child",Table2[[#This Row],[Product Option]]="My Value Plus Life &amp; Funeral",_xlfn.XLOOKUP(B408,Table2[Main Member Link ID],Table2[Benefit Name],0)=Lookups!$D$15),"",
IF(AND(OR(Table2[[#This Row],[Member Type]]="Spouse",Table2[[#This Row],[Member Type]]="Child"),Table2[[#This Row],[Product Option]]="My Value Plus Life &amp; Funeral",_xlfn.XLOOKUP(B408,Table2[Main Member Link ID],Table2[Benefit Name],0)&lt;&gt;Lookups!$D$17),
IF(_xlfn.XLOOKUP(B408,Table2[Main Member Link ID],Table2[Benefit Name],0)=0,"",_xlfn.XLOOKUP(B408,Table2[Main Member Link ID],Table2[Benefit Name],0)),""))))))</f>
        <v/>
      </c>
      <c r="AI408" s="328" t="str">
        <f>IF(AND(Table2[[#This Row],[Member Type]]="Main Member",Table2[[#This Row],[Table Lookup for Life Cover]]="MM_LIFE",Table2[[#This Row],[Age Next Birthday]]&lt;56),1,
IF(AND(Table2[[#This Row],[Member Type]]="Main Member",Table2[[#This Row],[Table Lookup for Life Cover]]="MM_LIFE",Table2[[#This Row],[Age Next Birthday]]&gt;=56),2,
""))</f>
        <v/>
      </c>
      <c r="AJ408" s="328">
        <f>IF(OR(Table2[[#This Row],[Member Type]]="Main Member",Table2[[#This Row],[Main Member Link ID]]=B407),1,0)</f>
        <v>1</v>
      </c>
      <c r="AK408" s="328">
        <f>IF(Table2[[#This Row],[Member Type]]=0,0,
IF(OR(Table2[[#This Row],[Member Type]]="Main Member",Table2[[#This Row],[Main Member Link ID]]&lt;&gt;B408),COUNTIFS(B:B,Table2[[#This Row],[Main Member Link ID]]),
COUNTIFS(B:B,Table2[[#This Row],[Main Member Link ID]],A:A,Table2[[#This Row],[Member Type]])))</f>
        <v>0</v>
      </c>
    </row>
    <row r="409" spans="1:37" x14ac:dyDescent="0.3">
      <c r="A409" s="284">
        <f>Table13[[#This Row],[Member Type]]</f>
        <v>0</v>
      </c>
      <c r="B409" s="284">
        <f>Table13[[#This Row],[Main Member Link ID]]</f>
        <v>0</v>
      </c>
      <c r="C409" s="284">
        <f>Table13[[#This Row],[ID Number]]</f>
        <v>0</v>
      </c>
      <c r="D409" s="285">
        <f>Table13[[#This Row],[Date Of Birth]]</f>
        <v>0</v>
      </c>
      <c r="E409" s="285">
        <f>Table13[[#This Row],[Commencement Date]]</f>
        <v>0</v>
      </c>
      <c r="F409" s="284">
        <f t="shared" si="42"/>
        <v>1</v>
      </c>
      <c r="G409" s="284">
        <f t="shared" si="43"/>
        <v>25</v>
      </c>
      <c r="H409" s="286">
        <f>Table13[[#This Row],[Product Option]]</f>
        <v>0</v>
      </c>
      <c r="I409" s="284">
        <f>IF(AND($A409="Main Member",Table2[[#This Row],[Product Option]]="My Value Plus Life"),"MM_LIFE",
IF(AND($A409="Spouse",Table2[[#This Row],[Product Option]]="My Value Plus Life"),"SP_LIFE",
IF(AND($A409="Main Member",Table2[[#This Row],[Product Option]]="My Value Plus Life &amp; Funeral"),"MM_LIFE",
IF(AND($A409="Spouse",Table2[[#This Row],[Product Option]]="My Value Plus Life &amp; Funeral"),_xlfn.XLOOKUP(Table2[[#This Row],[Benefit Name]],Lookups!$D$18:$D$23,Lookups!$E$18:$E$23,0),
0))))</f>
        <v>0</v>
      </c>
      <c r="J409" s="284">
        <f>IF($I409="","",
IF($I409="MM_LIFE",INDEX('Quotation Tool'!$S$54:$V$60,MATCH($T409,'Quotation Tool'!$S$54:$S$60,0),4),
IF($I409="SP_LIFE",_xlfn.XLOOKUP(B408,$B:$B,$J:$J,0),0)))</f>
        <v>0</v>
      </c>
      <c r="K409" s="287">
        <f t="shared" ca="1" si="47"/>
        <v>0</v>
      </c>
      <c r="L409" s="288">
        <f t="shared" ca="1" si="48"/>
        <v>0</v>
      </c>
      <c r="M409" s="289">
        <f t="shared" ca="1" si="44"/>
        <v>0</v>
      </c>
      <c r="N409" s="286">
        <f>Table13[[#This Row],[Benefit Option]]</f>
        <v>0</v>
      </c>
      <c r="O409" s="284">
        <f>IF(OR(Table2[[#This Row],[Member Type]]="Spouse",Table2[[#This Row],[Member Type]]="Child"),0,
IF(_xlfn.XLOOKUP($N409,Lookups!$D$13:$D$27,Lookups!$F$13:$F$27,0)=Table2[[#This Row],[Table Lookup for Life Cover]],0,
_xlfn.XLOOKUP($N409,Lookups!$D$13:$D$27,Lookups!$F$13:$F$27,0)))</f>
        <v>0</v>
      </c>
      <c r="P409" s="284">
        <f>IF(Table2[[#This Row],[Table Lookup for Funeral]]=0,0,IFERROR(INDEX('Quotation Tool'!$S$54:$V$60,MATCH($T409,'Quotation Tool'!$S$54:$S$60,0),3),0))</f>
        <v>0</v>
      </c>
      <c r="Q409" s="288">
        <f ca="1">IF(OR(Table2[[#This Row],[Benefit Name]]="My Value Plus Life - Main Member",Table2[[#This Row],[Benefit Name]]="My Value Plus Life - Spouse"),0,
IFERROR(VLOOKUP($G409,INDIRECT($O409),$P409,FALSE),0))</f>
        <v>0</v>
      </c>
      <c r="R409" s="288">
        <f ca="1">IF(OR(Table2[[#This Row],[Benefit Name]]="My Value Plus Life - Main Member",Table2[[#This Row],[Benefit Name]]="My Value Plus Life - Spouse"),0,
IFERROR(VLOOKUP($G409,INDIRECT($O409),$P409+1,FALSE),0))</f>
        <v>0</v>
      </c>
      <c r="S409" s="289">
        <f t="shared" ca="1" si="45"/>
        <v>0</v>
      </c>
      <c r="T409" s="284" t="str">
        <f>IF(Table13[[#This Row],[Premium Waiver]]="","None",Table13[[#This Row],[Premium Waiver]])</f>
        <v>None</v>
      </c>
      <c r="U409" s="284">
        <f>Table13[[#This Row],[VAPs Options]]</f>
        <v>0</v>
      </c>
      <c r="V409" s="284">
        <f>Table13[[#This Row],[Annual Increase Option]]</f>
        <v>0</v>
      </c>
      <c r="W409" s="290">
        <f>Table13[[#This Row],[Life Cover Amount]]</f>
        <v>0</v>
      </c>
      <c r="X409" s="290">
        <f>Table13[[#This Row],[Funeral Cover Amount]]</f>
        <v>0</v>
      </c>
      <c r="Y40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0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09" s="301">
        <f t="shared" ca="1" si="46"/>
        <v>0</v>
      </c>
      <c r="AB409" s="298"/>
      <c r="AC409" s="326" t="str">
        <f>IF(Table2[[#This Row],[Member Type]]="Main Member",Lookups!$C$13,
IF(Table2[[#This Row],[Member Type]]="Spouse",_xlfn.XLOOKUP(B409,Table2[Main Member Link ID],Table2[Product Option],0),
IF(AND(Table2[[#This Row],[Member Type]]="Child",_xlfn.XLOOKUP(B409,Table2[Main Member Link ID],Table2[Product Option],0)&lt;&gt;"My Value Plus Life"),Lookups!$C$24,
IF(AND(OR(Table2[[#This Row],[Member Type]]="Parent",Table2[[#This Row],[Member Type]]="Extended"),_xlfn.XLOOKUP(B409,Table2[Main Member Link ID],Table2[Product Option],0)&lt;&gt;"My Value Plus Life"),Lookups!$C$26,""))))</f>
        <v/>
      </c>
      <c r="AD409" s="326" t="str">
        <f>IF(Table2[[#This Row],[Member Type]]="Main Member",Lookups!$C$14,"")</f>
        <v/>
      </c>
      <c r="AE40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Funeral",_xlfn.XLOOKUP(B409,Table2[Main Member Link ID],Table2[Benefit Name],0)=Lookups!$D$14),"",
IF(AND(Table2[[#This Row],[Member Type]]="Spouse",Table2[[#This Row],[Product Option]]="My Value Plus Life &amp; Funeral",_xlfn.XLOOKUP(B408,Table2[Main Member Link ID],Table2[Benefit Name],0)=Lookups!$D$15),Lookups!$D$20,
IF(AND(Table2[[#This Row],[Member Type]]="Spouse",Table2[[#This Row],[Product Option]]="My Value Plus Life &amp; Funeral",_xlfn.XLOOKUP(B408,Table2[Main Member Link ID],Table2[Benefit Name],0)=Lookups!$D$16),"",
IF(AND(Table2[[#This Row],[Member Type]]="Spouse",Table2[[#This Row],[Product Option]]="My Value Plus Life &amp; Funeral",_xlfn.XLOOKUP(B408,Table2[Main Member Link ID],Table2[Benefit Name],0)=Lookups!$D$17),Lookups!$D$21,
IF(AND(Table2[[#This Row],[Member Type]]="Child",Table2[[#This Row],[Product Option]]="My Value Plus Life &amp; Funeral",_xlfn.XLOOKUP(B409,Table2[Main Member Link ID],Table2[Benefit Name],0)=Lookups!$D$14),"",
IF(AND(Table2[[#This Row],[Member Type]]="Child",Table2[[#This Row],[Product Option]]="My Value Plus Life &amp; Funeral",_xlfn.XLOOKUP(B409,Table2[Main Member Link ID],Table2[Benefit Name],0)=Lookups!$D$15),"",
IF(AND(Table2[[#This Row],[Member Type]]="Child",Table2[[#This Row],[Product Option]]="My Value Plus Life &amp; Funeral",_xlfn.XLOOKUP(B409,Table2[Main Member Link ID],Table2[Benefit Name],0)=Lookups!$D$16),Lookups!$D$24,
IF(AND(Table2[[#This Row],[Member Type]]="Child",Table2[[#This Row],[Product Option]]="My Value Plus Life &amp; Funeral",_xlfn.XLOOKUP(B409,Table2[Main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Funeral",_xlfn.XLOOKUP(B409,Table2[Main Member Link ID],Table2[Benefit Name],0)&lt;&gt;Lookups!$D$14),
IF(_xlfn.XLOOKUP(B409,Table2[Main Member Link ID],Table2[Benefit Name],0)=0,"",_xlfn.XLOOKUP(B409,Table2[Main Member Link ID],Table2[Benefit Name],0)),"")))))))))))))))</f>
        <v/>
      </c>
      <c r="AF409" s="327" t="str">
        <f>IF(AND(Table2[[#This Row],[Member Type]]="Main Member",Table2[[#This Row],[Product Option]]="My Value Plus Life &amp; Funeral"),Lookups!$D$15,
IF(AND(Table2[[#This Row],[Member Type]]="Spouse",Table2[[#This Row],[Product Option]]="My Value Plus Life &amp; Funeral",_xlfn.XLOOKUP(B409,Table2[Main Member Link ID],Table2[Benefit Name],0)=Lookups!$D$14),"",
IF(AND(Table2[[#This Row],[Member Type]]="Spouse",Table2[[#This Row],[Product Option]]="My Value Plus Life &amp; Funeral",_xlfn.XLOOKUP(B408,Table2[Main Member Link ID],Table2[Benefit Name],0)=Lookups!$D$16),"",
IF(AND(Table2[[#This Row],[Member Type]]="Spouse",Table2[[#This Row],[Product Option]]="My Value Plus Life &amp; Funeral",_xlfn.XLOOKUP(B408,Table2[Main Member Link ID],Table2[Benefit Name],0)=Lookups!$D$15),"",
IF(AND(Table2[[#This Row],[Member Type]]="Spouse",Table2[[#This Row],[Product Option]]="My Value Plus Life &amp; Funeral",_xlfn.XLOOKUP(B408,Table2[Main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Funeral",_xlfn.XLOOKUP(B409,Table2[Main Member Link ID],Table2[Benefit Name],0)&lt;&gt;Lookups!$D$15),
IF(_xlfn.XLOOKUP(B409,Table2[Main Member Link ID],Table2[Benefit Name],0)=0,"",_xlfn.XLOOKUP(B409,Table2[Main Member Link ID],Table2[Benefit Name],0)),"")
))))))</f>
        <v/>
      </c>
      <c r="AG409" s="327" t="str">
        <f>IF(AND(Table2[[#This Row],[Member Type]]="Main Member",Table2[[#This Row],[Product Option]]="My Value Plus Life &amp; Funeral"),Lookups!$D$16,
IF(AND(Table2[[#This Row],[Member Type]]="Spouse",Table2[[#This Row],[Product Option]]="My Value Plus Life &amp; Funeral",_xlfn.XLOOKUP(B409,Table2[Main Member Link ID],Table2[Benefit Name],0)=Lookups!$D$14),"",
IF(AND(Table2[[#This Row],[Member Type]]="Spouse",Table2[[#This Row],[Product Option]]="My Value Plus Life &amp; Funeral",_xlfn.XLOOKUP(B408,Table2[Main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Funeral",_xlfn.XLOOKUP(B409,Table2[Main Member Link ID],Table2[Benefit Name],0)&lt;&gt;Lookups!$D$16),
IF(_xlfn.XLOOKUP(B409,Table2[Main Member Link ID],Table2[Benefit Name],0)=0,"",_xlfn.XLOOKUP(B409,Table2[Main Member Link ID],Table2[Benefit Name],0)),"")
))))</f>
        <v/>
      </c>
      <c r="AH409" s="327" t="str">
        <f>IF(AND(Table2[[#This Row],[Member Type]]="Main Member",Table2[[#This Row],[Product Option]]="My Value Plus Life &amp; Funeral"),Lookups!$D$17,
IF(AND(Table2[[#This Row],[Member Type]]="Spouse",Table2[[#This Row],[Product Option]]="My Value Plus Life &amp; Funeral",_xlfn.XLOOKUP(B409,Table2[Main Member Link ID],Table2[Benefit Name],0)=Lookups!$D$14),"",
IF(AND(Table2[[#This Row],[Member Type]]="Spouse",Table2[[#This Row],[Product Option]]="My Value Plus Life &amp; Funeral",_xlfn.XLOOKUP(B408,Table2[Main Member Link ID],Table2[Benefit Name],0)=Lookups!$D$16),"",
IF(AND(Table2[[#This Row],[Member Type]]="Child",Table2[[#This Row],[Product Option]]="My Value Plus Life &amp; Funeral"),"",
IF(AND(Table2[[#This Row],[Member Type]]="Child",Table2[[#This Row],[Product Option]]="My Value Plus Life &amp; Funeral",_xlfn.XLOOKUP(B409,Table2[Main Member Link ID],Table2[Benefit Name],0)=Lookups!$D$15),"",
IF(AND(OR(Table2[[#This Row],[Member Type]]="Spouse",Table2[[#This Row],[Member Type]]="Child"),Table2[[#This Row],[Product Option]]="My Value Plus Life &amp; Funeral",_xlfn.XLOOKUP(B409,Table2[Main Member Link ID],Table2[Benefit Name],0)&lt;&gt;Lookups!$D$17),
IF(_xlfn.XLOOKUP(B409,Table2[Main Member Link ID],Table2[Benefit Name],0)=0,"",_xlfn.XLOOKUP(B409,Table2[Main Member Link ID],Table2[Benefit Name],0)),""))))))</f>
        <v/>
      </c>
      <c r="AI409" s="328" t="str">
        <f>IF(AND(Table2[[#This Row],[Member Type]]="Main Member",Table2[[#This Row],[Table Lookup for Life Cover]]="MM_LIFE",Table2[[#This Row],[Age Next Birthday]]&lt;56),1,
IF(AND(Table2[[#This Row],[Member Type]]="Main Member",Table2[[#This Row],[Table Lookup for Life Cover]]="MM_LIFE",Table2[[#This Row],[Age Next Birthday]]&gt;=56),2,
""))</f>
        <v/>
      </c>
      <c r="AJ409" s="328">
        <f>IF(OR(Table2[[#This Row],[Member Type]]="Main Member",Table2[[#This Row],[Main Member Link ID]]=B408),1,0)</f>
        <v>1</v>
      </c>
      <c r="AK409" s="328">
        <f>IF(Table2[[#This Row],[Member Type]]=0,0,
IF(OR(Table2[[#This Row],[Member Type]]="Main Member",Table2[[#This Row],[Main Member Link ID]]&lt;&gt;B409),COUNTIFS(B:B,Table2[[#This Row],[Main Member Link ID]]),
COUNTIFS(B:B,Table2[[#This Row],[Main Member Link ID]],A:A,Table2[[#This Row],[Member Type]])))</f>
        <v>0</v>
      </c>
    </row>
    <row r="410" spans="1:37" x14ac:dyDescent="0.3">
      <c r="A410" s="284">
        <f>Table13[[#This Row],[Member Type]]</f>
        <v>0</v>
      </c>
      <c r="B410" s="284">
        <f>Table13[[#This Row],[Main Member Link ID]]</f>
        <v>0</v>
      </c>
      <c r="C410" s="284">
        <f>Table13[[#This Row],[ID Number]]</f>
        <v>0</v>
      </c>
      <c r="D410" s="285">
        <f>Table13[[#This Row],[Date Of Birth]]</f>
        <v>0</v>
      </c>
      <c r="E410" s="285">
        <f>Table13[[#This Row],[Commencement Date]]</f>
        <v>0</v>
      </c>
      <c r="F410" s="284">
        <f t="shared" si="42"/>
        <v>1</v>
      </c>
      <c r="G410" s="284">
        <f t="shared" si="43"/>
        <v>25</v>
      </c>
      <c r="H410" s="286">
        <f>Table13[[#This Row],[Product Option]]</f>
        <v>0</v>
      </c>
      <c r="I410" s="284">
        <f>IF(AND($A410="Main Member",Table2[[#This Row],[Product Option]]="My Value Plus Life"),"MM_LIFE",
IF(AND($A410="Spouse",Table2[[#This Row],[Product Option]]="My Value Plus Life"),"SP_LIFE",
IF(AND($A410="Main Member",Table2[[#This Row],[Product Option]]="My Value Plus Life &amp; Funeral"),"MM_LIFE",
IF(AND($A410="Spouse",Table2[[#This Row],[Product Option]]="My Value Plus Life &amp; Funeral"),_xlfn.XLOOKUP(Table2[[#This Row],[Benefit Name]],Lookups!$D$18:$D$23,Lookups!$E$18:$E$23,0),
0))))</f>
        <v>0</v>
      </c>
      <c r="J410" s="284">
        <f>IF($I410="","",
IF($I410="MM_LIFE",INDEX('Quotation Tool'!$S$54:$V$60,MATCH($T410,'Quotation Tool'!$S$54:$S$60,0),4),
IF($I410="SP_LIFE",_xlfn.XLOOKUP(B409,$B:$B,$J:$J,0),0)))</f>
        <v>0</v>
      </c>
      <c r="K410" s="287">
        <f t="shared" ca="1" si="47"/>
        <v>0</v>
      </c>
      <c r="L410" s="288">
        <f t="shared" ca="1" si="48"/>
        <v>0</v>
      </c>
      <c r="M410" s="289">
        <f t="shared" ca="1" si="44"/>
        <v>0</v>
      </c>
      <c r="N410" s="286">
        <f>Table13[[#This Row],[Benefit Option]]</f>
        <v>0</v>
      </c>
      <c r="O410" s="284">
        <f>IF(OR(Table2[[#This Row],[Member Type]]="Spouse",Table2[[#This Row],[Member Type]]="Child"),0,
IF(_xlfn.XLOOKUP($N410,Lookups!$D$13:$D$27,Lookups!$F$13:$F$27,0)=Table2[[#This Row],[Table Lookup for Life Cover]],0,
_xlfn.XLOOKUP($N410,Lookups!$D$13:$D$27,Lookups!$F$13:$F$27,0)))</f>
        <v>0</v>
      </c>
      <c r="P410" s="284">
        <f>IF(Table2[[#This Row],[Table Lookup for Funeral]]=0,0,IFERROR(INDEX('Quotation Tool'!$S$54:$V$60,MATCH($T410,'Quotation Tool'!$S$54:$S$60,0),3),0))</f>
        <v>0</v>
      </c>
      <c r="Q410" s="288">
        <f ca="1">IF(OR(Table2[[#This Row],[Benefit Name]]="My Value Plus Life - Main Member",Table2[[#This Row],[Benefit Name]]="My Value Plus Life - Spouse"),0,
IFERROR(VLOOKUP($G410,INDIRECT($O410),$P410,FALSE),0))</f>
        <v>0</v>
      </c>
      <c r="R410" s="288">
        <f ca="1">IF(OR(Table2[[#This Row],[Benefit Name]]="My Value Plus Life - Main Member",Table2[[#This Row],[Benefit Name]]="My Value Plus Life - Spouse"),0,
IFERROR(VLOOKUP($G410,INDIRECT($O410),$P410+1,FALSE),0))</f>
        <v>0</v>
      </c>
      <c r="S410" s="289">
        <f t="shared" ca="1" si="45"/>
        <v>0</v>
      </c>
      <c r="T410" s="284" t="str">
        <f>IF(Table13[[#This Row],[Premium Waiver]]="","None",Table13[[#This Row],[Premium Waiver]])</f>
        <v>None</v>
      </c>
      <c r="U410" s="284">
        <f>Table13[[#This Row],[VAPs Options]]</f>
        <v>0</v>
      </c>
      <c r="V410" s="284">
        <f>Table13[[#This Row],[Annual Increase Option]]</f>
        <v>0</v>
      </c>
      <c r="W410" s="290">
        <f>Table13[[#This Row],[Life Cover Amount]]</f>
        <v>0</v>
      </c>
      <c r="X410" s="290">
        <f>Table13[[#This Row],[Funeral Cover Amount]]</f>
        <v>0</v>
      </c>
      <c r="Y41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1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10" s="301">
        <f t="shared" ca="1" si="46"/>
        <v>0</v>
      </c>
      <c r="AB410" s="298"/>
      <c r="AC410" s="326" t="str">
        <f>IF(Table2[[#This Row],[Member Type]]="Main Member",Lookups!$C$13,
IF(Table2[[#This Row],[Member Type]]="Spouse",_xlfn.XLOOKUP(B410,Table2[Main Member Link ID],Table2[Product Option],0),
IF(AND(Table2[[#This Row],[Member Type]]="Child",_xlfn.XLOOKUP(B410,Table2[Main Member Link ID],Table2[Product Option],0)&lt;&gt;"My Value Plus Life"),Lookups!$C$24,
IF(AND(OR(Table2[[#This Row],[Member Type]]="Parent",Table2[[#This Row],[Member Type]]="Extended"),_xlfn.XLOOKUP(B410,Table2[Main Member Link ID],Table2[Product Option],0)&lt;&gt;"My Value Plus Life"),Lookups!$C$26,""))))</f>
        <v/>
      </c>
      <c r="AD410" s="326" t="str">
        <f>IF(Table2[[#This Row],[Member Type]]="Main Member",Lookups!$C$14,"")</f>
        <v/>
      </c>
      <c r="AE41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Funeral",_xlfn.XLOOKUP(B410,Table2[Main Member Link ID],Table2[Benefit Name],0)=Lookups!$D$14),"",
IF(AND(Table2[[#This Row],[Member Type]]="Spouse",Table2[[#This Row],[Product Option]]="My Value Plus Life &amp; Funeral",_xlfn.XLOOKUP(B409,Table2[Main Member Link ID],Table2[Benefit Name],0)=Lookups!$D$15),Lookups!$D$20,
IF(AND(Table2[[#This Row],[Member Type]]="Spouse",Table2[[#This Row],[Product Option]]="My Value Plus Life &amp; Funeral",_xlfn.XLOOKUP(B409,Table2[Main Member Link ID],Table2[Benefit Name],0)=Lookups!$D$16),"",
IF(AND(Table2[[#This Row],[Member Type]]="Spouse",Table2[[#This Row],[Product Option]]="My Value Plus Life &amp; Funeral",_xlfn.XLOOKUP(B409,Table2[Main Member Link ID],Table2[Benefit Name],0)=Lookups!$D$17),Lookups!$D$21,
IF(AND(Table2[[#This Row],[Member Type]]="Child",Table2[[#This Row],[Product Option]]="My Value Plus Life &amp; Funeral",_xlfn.XLOOKUP(B410,Table2[Main Member Link ID],Table2[Benefit Name],0)=Lookups!$D$14),"",
IF(AND(Table2[[#This Row],[Member Type]]="Child",Table2[[#This Row],[Product Option]]="My Value Plus Life &amp; Funeral",_xlfn.XLOOKUP(B410,Table2[Main Member Link ID],Table2[Benefit Name],0)=Lookups!$D$15),"",
IF(AND(Table2[[#This Row],[Member Type]]="Child",Table2[[#This Row],[Product Option]]="My Value Plus Life &amp; Funeral",_xlfn.XLOOKUP(B410,Table2[Main Member Link ID],Table2[Benefit Name],0)=Lookups!$D$16),Lookups!$D$24,
IF(AND(Table2[[#This Row],[Member Type]]="Child",Table2[[#This Row],[Product Option]]="My Value Plus Life &amp; Funeral",_xlfn.XLOOKUP(B410,Table2[Main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Funeral",_xlfn.XLOOKUP(B410,Table2[Main Member Link ID],Table2[Benefit Name],0)&lt;&gt;Lookups!$D$14),
IF(_xlfn.XLOOKUP(B410,Table2[Main Member Link ID],Table2[Benefit Name],0)=0,"",_xlfn.XLOOKUP(B410,Table2[Main Member Link ID],Table2[Benefit Name],0)),"")))))))))))))))</f>
        <v/>
      </c>
      <c r="AF410" s="327" t="str">
        <f>IF(AND(Table2[[#This Row],[Member Type]]="Main Member",Table2[[#This Row],[Product Option]]="My Value Plus Life &amp; Funeral"),Lookups!$D$15,
IF(AND(Table2[[#This Row],[Member Type]]="Spouse",Table2[[#This Row],[Product Option]]="My Value Plus Life &amp; Funeral",_xlfn.XLOOKUP(B410,Table2[Main Member Link ID],Table2[Benefit Name],0)=Lookups!$D$14),"",
IF(AND(Table2[[#This Row],[Member Type]]="Spouse",Table2[[#This Row],[Product Option]]="My Value Plus Life &amp; Funeral",_xlfn.XLOOKUP(B409,Table2[Main Member Link ID],Table2[Benefit Name],0)=Lookups!$D$16),"",
IF(AND(Table2[[#This Row],[Member Type]]="Spouse",Table2[[#This Row],[Product Option]]="My Value Plus Life &amp; Funeral",_xlfn.XLOOKUP(B409,Table2[Main Member Link ID],Table2[Benefit Name],0)=Lookups!$D$15),"",
IF(AND(Table2[[#This Row],[Member Type]]="Spouse",Table2[[#This Row],[Product Option]]="My Value Plus Life &amp; Funeral",_xlfn.XLOOKUP(B409,Table2[Main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Funeral",_xlfn.XLOOKUP(B410,Table2[Main Member Link ID],Table2[Benefit Name],0)&lt;&gt;Lookups!$D$15),
IF(_xlfn.XLOOKUP(B410,Table2[Main Member Link ID],Table2[Benefit Name],0)=0,"",_xlfn.XLOOKUP(B410,Table2[Main Member Link ID],Table2[Benefit Name],0)),"")
))))))</f>
        <v/>
      </c>
      <c r="AG410" s="327" t="str">
        <f>IF(AND(Table2[[#This Row],[Member Type]]="Main Member",Table2[[#This Row],[Product Option]]="My Value Plus Life &amp; Funeral"),Lookups!$D$16,
IF(AND(Table2[[#This Row],[Member Type]]="Spouse",Table2[[#This Row],[Product Option]]="My Value Plus Life &amp; Funeral",_xlfn.XLOOKUP(B410,Table2[Main Member Link ID],Table2[Benefit Name],0)=Lookups!$D$14),"",
IF(AND(Table2[[#This Row],[Member Type]]="Spouse",Table2[[#This Row],[Product Option]]="My Value Plus Life &amp; Funeral",_xlfn.XLOOKUP(B409,Table2[Main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Funeral",_xlfn.XLOOKUP(B410,Table2[Main Member Link ID],Table2[Benefit Name],0)&lt;&gt;Lookups!$D$16),
IF(_xlfn.XLOOKUP(B410,Table2[Main Member Link ID],Table2[Benefit Name],0)=0,"",_xlfn.XLOOKUP(B410,Table2[Main Member Link ID],Table2[Benefit Name],0)),"")
))))</f>
        <v/>
      </c>
      <c r="AH410" s="327" t="str">
        <f>IF(AND(Table2[[#This Row],[Member Type]]="Main Member",Table2[[#This Row],[Product Option]]="My Value Plus Life &amp; Funeral"),Lookups!$D$17,
IF(AND(Table2[[#This Row],[Member Type]]="Spouse",Table2[[#This Row],[Product Option]]="My Value Plus Life &amp; Funeral",_xlfn.XLOOKUP(B410,Table2[Main Member Link ID],Table2[Benefit Name],0)=Lookups!$D$14),"",
IF(AND(Table2[[#This Row],[Member Type]]="Spouse",Table2[[#This Row],[Product Option]]="My Value Plus Life &amp; Funeral",_xlfn.XLOOKUP(B409,Table2[Main Member Link ID],Table2[Benefit Name],0)=Lookups!$D$16),"",
IF(AND(Table2[[#This Row],[Member Type]]="Child",Table2[[#This Row],[Product Option]]="My Value Plus Life &amp; Funeral"),"",
IF(AND(Table2[[#This Row],[Member Type]]="Child",Table2[[#This Row],[Product Option]]="My Value Plus Life &amp; Funeral",_xlfn.XLOOKUP(B410,Table2[Main Member Link ID],Table2[Benefit Name],0)=Lookups!$D$15),"",
IF(AND(OR(Table2[[#This Row],[Member Type]]="Spouse",Table2[[#This Row],[Member Type]]="Child"),Table2[[#This Row],[Product Option]]="My Value Plus Life &amp; Funeral",_xlfn.XLOOKUP(B410,Table2[Main Member Link ID],Table2[Benefit Name],0)&lt;&gt;Lookups!$D$17),
IF(_xlfn.XLOOKUP(B410,Table2[Main Member Link ID],Table2[Benefit Name],0)=0,"",_xlfn.XLOOKUP(B410,Table2[Main Member Link ID],Table2[Benefit Name],0)),""))))))</f>
        <v/>
      </c>
      <c r="AI410" s="328" t="str">
        <f>IF(AND(Table2[[#This Row],[Member Type]]="Main Member",Table2[[#This Row],[Table Lookup for Life Cover]]="MM_LIFE",Table2[[#This Row],[Age Next Birthday]]&lt;56),1,
IF(AND(Table2[[#This Row],[Member Type]]="Main Member",Table2[[#This Row],[Table Lookup for Life Cover]]="MM_LIFE",Table2[[#This Row],[Age Next Birthday]]&gt;=56),2,
""))</f>
        <v/>
      </c>
      <c r="AJ410" s="328">
        <f>IF(OR(Table2[[#This Row],[Member Type]]="Main Member",Table2[[#This Row],[Main Member Link ID]]=B409),1,0)</f>
        <v>1</v>
      </c>
      <c r="AK410" s="328">
        <f>IF(Table2[[#This Row],[Member Type]]=0,0,
IF(OR(Table2[[#This Row],[Member Type]]="Main Member",Table2[[#This Row],[Main Member Link ID]]&lt;&gt;B410),COUNTIFS(B:B,Table2[[#This Row],[Main Member Link ID]]),
COUNTIFS(B:B,Table2[[#This Row],[Main Member Link ID]],A:A,Table2[[#This Row],[Member Type]])))</f>
        <v>0</v>
      </c>
    </row>
    <row r="411" spans="1:37" x14ac:dyDescent="0.3">
      <c r="A411" s="284">
        <f>Table13[[#This Row],[Member Type]]</f>
        <v>0</v>
      </c>
      <c r="B411" s="284">
        <f>Table13[[#This Row],[Main Member Link ID]]</f>
        <v>0</v>
      </c>
      <c r="C411" s="284">
        <f>Table13[[#This Row],[ID Number]]</f>
        <v>0</v>
      </c>
      <c r="D411" s="285">
        <f>Table13[[#This Row],[Date Of Birth]]</f>
        <v>0</v>
      </c>
      <c r="E411" s="285">
        <f>Table13[[#This Row],[Commencement Date]]</f>
        <v>0</v>
      </c>
      <c r="F411" s="284">
        <f t="shared" si="42"/>
        <v>1</v>
      </c>
      <c r="G411" s="284">
        <f t="shared" si="43"/>
        <v>25</v>
      </c>
      <c r="H411" s="286">
        <f>Table13[[#This Row],[Product Option]]</f>
        <v>0</v>
      </c>
      <c r="I411" s="284">
        <f>IF(AND($A411="Main Member",Table2[[#This Row],[Product Option]]="My Value Plus Life"),"MM_LIFE",
IF(AND($A411="Spouse",Table2[[#This Row],[Product Option]]="My Value Plus Life"),"SP_LIFE",
IF(AND($A411="Main Member",Table2[[#This Row],[Product Option]]="My Value Plus Life &amp; Funeral"),"MM_LIFE",
IF(AND($A411="Spouse",Table2[[#This Row],[Product Option]]="My Value Plus Life &amp; Funeral"),_xlfn.XLOOKUP(Table2[[#This Row],[Benefit Name]],Lookups!$D$18:$D$23,Lookups!$E$18:$E$23,0),
0))))</f>
        <v>0</v>
      </c>
      <c r="J411" s="284">
        <f>IF($I411="","",
IF($I411="MM_LIFE",INDEX('Quotation Tool'!$S$54:$V$60,MATCH($T411,'Quotation Tool'!$S$54:$S$60,0),4),
IF($I411="SP_LIFE",_xlfn.XLOOKUP(B410,$B:$B,$J:$J,0),0)))</f>
        <v>0</v>
      </c>
      <c r="K411" s="287">
        <f t="shared" ca="1" si="47"/>
        <v>0</v>
      </c>
      <c r="L411" s="288">
        <f t="shared" ca="1" si="48"/>
        <v>0</v>
      </c>
      <c r="M411" s="289">
        <f t="shared" ca="1" si="44"/>
        <v>0</v>
      </c>
      <c r="N411" s="286">
        <f>Table13[[#This Row],[Benefit Option]]</f>
        <v>0</v>
      </c>
      <c r="O411" s="284">
        <f>IF(OR(Table2[[#This Row],[Member Type]]="Spouse",Table2[[#This Row],[Member Type]]="Child"),0,
IF(_xlfn.XLOOKUP($N411,Lookups!$D$13:$D$27,Lookups!$F$13:$F$27,0)=Table2[[#This Row],[Table Lookup for Life Cover]],0,
_xlfn.XLOOKUP($N411,Lookups!$D$13:$D$27,Lookups!$F$13:$F$27,0)))</f>
        <v>0</v>
      </c>
      <c r="P411" s="284">
        <f>IF(Table2[[#This Row],[Table Lookup for Funeral]]=0,0,IFERROR(INDEX('Quotation Tool'!$S$54:$V$60,MATCH($T411,'Quotation Tool'!$S$54:$S$60,0),3),0))</f>
        <v>0</v>
      </c>
      <c r="Q411" s="288">
        <f ca="1">IF(OR(Table2[[#This Row],[Benefit Name]]="My Value Plus Life - Main Member",Table2[[#This Row],[Benefit Name]]="My Value Plus Life - Spouse"),0,
IFERROR(VLOOKUP($G411,INDIRECT($O411),$P411,FALSE),0))</f>
        <v>0</v>
      </c>
      <c r="R411" s="288">
        <f ca="1">IF(OR(Table2[[#This Row],[Benefit Name]]="My Value Plus Life - Main Member",Table2[[#This Row],[Benefit Name]]="My Value Plus Life - Spouse"),0,
IFERROR(VLOOKUP($G411,INDIRECT($O411),$P411+1,FALSE),0))</f>
        <v>0</v>
      </c>
      <c r="S411" s="289">
        <f t="shared" ca="1" si="45"/>
        <v>0</v>
      </c>
      <c r="T411" s="284" t="str">
        <f>IF(Table13[[#This Row],[Premium Waiver]]="","None",Table13[[#This Row],[Premium Waiver]])</f>
        <v>None</v>
      </c>
      <c r="U411" s="284">
        <f>Table13[[#This Row],[VAPs Options]]</f>
        <v>0</v>
      </c>
      <c r="V411" s="284">
        <f>Table13[[#This Row],[Annual Increase Option]]</f>
        <v>0</v>
      </c>
      <c r="W411" s="290">
        <f>Table13[[#This Row],[Life Cover Amount]]</f>
        <v>0</v>
      </c>
      <c r="X411" s="290">
        <f>Table13[[#This Row],[Funeral Cover Amount]]</f>
        <v>0</v>
      </c>
      <c r="Y41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1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11" s="301">
        <f t="shared" ca="1" si="46"/>
        <v>0</v>
      </c>
      <c r="AB411" s="298"/>
      <c r="AC411" s="326" t="str">
        <f>IF(Table2[[#This Row],[Member Type]]="Main Member",Lookups!$C$13,
IF(Table2[[#This Row],[Member Type]]="Spouse",_xlfn.XLOOKUP(B411,Table2[Main Member Link ID],Table2[Product Option],0),
IF(AND(Table2[[#This Row],[Member Type]]="Child",_xlfn.XLOOKUP(B411,Table2[Main Member Link ID],Table2[Product Option],0)&lt;&gt;"My Value Plus Life"),Lookups!$C$24,
IF(AND(OR(Table2[[#This Row],[Member Type]]="Parent",Table2[[#This Row],[Member Type]]="Extended"),_xlfn.XLOOKUP(B411,Table2[Main Member Link ID],Table2[Product Option],0)&lt;&gt;"My Value Plus Life"),Lookups!$C$26,""))))</f>
        <v/>
      </c>
      <c r="AD411" s="326" t="str">
        <f>IF(Table2[[#This Row],[Member Type]]="Main Member",Lookups!$C$14,"")</f>
        <v/>
      </c>
      <c r="AE41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Funeral",_xlfn.XLOOKUP(B411,Table2[Main Member Link ID],Table2[Benefit Name],0)=Lookups!$D$14),"",
IF(AND(Table2[[#This Row],[Member Type]]="Spouse",Table2[[#This Row],[Product Option]]="My Value Plus Life &amp; Funeral",_xlfn.XLOOKUP(B410,Table2[Main Member Link ID],Table2[Benefit Name],0)=Lookups!$D$15),Lookups!$D$20,
IF(AND(Table2[[#This Row],[Member Type]]="Spouse",Table2[[#This Row],[Product Option]]="My Value Plus Life &amp; Funeral",_xlfn.XLOOKUP(B410,Table2[Main Member Link ID],Table2[Benefit Name],0)=Lookups!$D$16),"",
IF(AND(Table2[[#This Row],[Member Type]]="Spouse",Table2[[#This Row],[Product Option]]="My Value Plus Life &amp; Funeral",_xlfn.XLOOKUP(B410,Table2[Main Member Link ID],Table2[Benefit Name],0)=Lookups!$D$17),Lookups!$D$21,
IF(AND(Table2[[#This Row],[Member Type]]="Child",Table2[[#This Row],[Product Option]]="My Value Plus Life &amp; Funeral",_xlfn.XLOOKUP(B411,Table2[Main Member Link ID],Table2[Benefit Name],0)=Lookups!$D$14),"",
IF(AND(Table2[[#This Row],[Member Type]]="Child",Table2[[#This Row],[Product Option]]="My Value Plus Life &amp; Funeral",_xlfn.XLOOKUP(B411,Table2[Main Member Link ID],Table2[Benefit Name],0)=Lookups!$D$15),"",
IF(AND(Table2[[#This Row],[Member Type]]="Child",Table2[[#This Row],[Product Option]]="My Value Plus Life &amp; Funeral",_xlfn.XLOOKUP(B411,Table2[Main Member Link ID],Table2[Benefit Name],0)=Lookups!$D$16),Lookups!$D$24,
IF(AND(Table2[[#This Row],[Member Type]]="Child",Table2[[#This Row],[Product Option]]="My Value Plus Life &amp; Funeral",_xlfn.XLOOKUP(B411,Table2[Main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Funeral",_xlfn.XLOOKUP(B411,Table2[Main Member Link ID],Table2[Benefit Name],0)&lt;&gt;Lookups!$D$14),
IF(_xlfn.XLOOKUP(B411,Table2[Main Member Link ID],Table2[Benefit Name],0)=0,"",_xlfn.XLOOKUP(B411,Table2[Main Member Link ID],Table2[Benefit Name],0)),"")))))))))))))))</f>
        <v/>
      </c>
      <c r="AF411" s="327" t="str">
        <f>IF(AND(Table2[[#This Row],[Member Type]]="Main Member",Table2[[#This Row],[Product Option]]="My Value Plus Life &amp; Funeral"),Lookups!$D$15,
IF(AND(Table2[[#This Row],[Member Type]]="Spouse",Table2[[#This Row],[Product Option]]="My Value Plus Life &amp; Funeral",_xlfn.XLOOKUP(B411,Table2[Main Member Link ID],Table2[Benefit Name],0)=Lookups!$D$14),"",
IF(AND(Table2[[#This Row],[Member Type]]="Spouse",Table2[[#This Row],[Product Option]]="My Value Plus Life &amp; Funeral",_xlfn.XLOOKUP(B410,Table2[Main Member Link ID],Table2[Benefit Name],0)=Lookups!$D$16),"",
IF(AND(Table2[[#This Row],[Member Type]]="Spouse",Table2[[#This Row],[Product Option]]="My Value Plus Life &amp; Funeral",_xlfn.XLOOKUP(B410,Table2[Main Member Link ID],Table2[Benefit Name],0)=Lookups!$D$15),"",
IF(AND(Table2[[#This Row],[Member Type]]="Spouse",Table2[[#This Row],[Product Option]]="My Value Plus Life &amp; Funeral",_xlfn.XLOOKUP(B410,Table2[Main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Funeral",_xlfn.XLOOKUP(B411,Table2[Main Member Link ID],Table2[Benefit Name],0)&lt;&gt;Lookups!$D$15),
IF(_xlfn.XLOOKUP(B411,Table2[Main Member Link ID],Table2[Benefit Name],0)=0,"",_xlfn.XLOOKUP(B411,Table2[Main Member Link ID],Table2[Benefit Name],0)),"")
))))))</f>
        <v/>
      </c>
      <c r="AG411" s="327" t="str">
        <f>IF(AND(Table2[[#This Row],[Member Type]]="Main Member",Table2[[#This Row],[Product Option]]="My Value Plus Life &amp; Funeral"),Lookups!$D$16,
IF(AND(Table2[[#This Row],[Member Type]]="Spouse",Table2[[#This Row],[Product Option]]="My Value Plus Life &amp; Funeral",_xlfn.XLOOKUP(B411,Table2[Main Member Link ID],Table2[Benefit Name],0)=Lookups!$D$14),"",
IF(AND(Table2[[#This Row],[Member Type]]="Spouse",Table2[[#This Row],[Product Option]]="My Value Plus Life &amp; Funeral",_xlfn.XLOOKUP(B410,Table2[Main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Funeral",_xlfn.XLOOKUP(B411,Table2[Main Member Link ID],Table2[Benefit Name],0)&lt;&gt;Lookups!$D$16),
IF(_xlfn.XLOOKUP(B411,Table2[Main Member Link ID],Table2[Benefit Name],0)=0,"",_xlfn.XLOOKUP(B411,Table2[Main Member Link ID],Table2[Benefit Name],0)),"")
))))</f>
        <v/>
      </c>
      <c r="AH411" s="327" t="str">
        <f>IF(AND(Table2[[#This Row],[Member Type]]="Main Member",Table2[[#This Row],[Product Option]]="My Value Plus Life &amp; Funeral"),Lookups!$D$17,
IF(AND(Table2[[#This Row],[Member Type]]="Spouse",Table2[[#This Row],[Product Option]]="My Value Plus Life &amp; Funeral",_xlfn.XLOOKUP(B411,Table2[Main Member Link ID],Table2[Benefit Name],0)=Lookups!$D$14),"",
IF(AND(Table2[[#This Row],[Member Type]]="Spouse",Table2[[#This Row],[Product Option]]="My Value Plus Life &amp; Funeral",_xlfn.XLOOKUP(B410,Table2[Main Member Link ID],Table2[Benefit Name],0)=Lookups!$D$16),"",
IF(AND(Table2[[#This Row],[Member Type]]="Child",Table2[[#This Row],[Product Option]]="My Value Plus Life &amp; Funeral"),"",
IF(AND(Table2[[#This Row],[Member Type]]="Child",Table2[[#This Row],[Product Option]]="My Value Plus Life &amp; Funeral",_xlfn.XLOOKUP(B411,Table2[Main Member Link ID],Table2[Benefit Name],0)=Lookups!$D$15),"",
IF(AND(OR(Table2[[#This Row],[Member Type]]="Spouse",Table2[[#This Row],[Member Type]]="Child"),Table2[[#This Row],[Product Option]]="My Value Plus Life &amp; Funeral",_xlfn.XLOOKUP(B411,Table2[Main Member Link ID],Table2[Benefit Name],0)&lt;&gt;Lookups!$D$17),
IF(_xlfn.XLOOKUP(B411,Table2[Main Member Link ID],Table2[Benefit Name],0)=0,"",_xlfn.XLOOKUP(B411,Table2[Main Member Link ID],Table2[Benefit Name],0)),""))))))</f>
        <v/>
      </c>
      <c r="AI411" s="328" t="str">
        <f>IF(AND(Table2[[#This Row],[Member Type]]="Main Member",Table2[[#This Row],[Table Lookup for Life Cover]]="MM_LIFE",Table2[[#This Row],[Age Next Birthday]]&lt;56),1,
IF(AND(Table2[[#This Row],[Member Type]]="Main Member",Table2[[#This Row],[Table Lookup for Life Cover]]="MM_LIFE",Table2[[#This Row],[Age Next Birthday]]&gt;=56),2,
""))</f>
        <v/>
      </c>
      <c r="AJ411" s="328">
        <f>IF(OR(Table2[[#This Row],[Member Type]]="Main Member",Table2[[#This Row],[Main Member Link ID]]=B410),1,0)</f>
        <v>1</v>
      </c>
      <c r="AK411" s="328">
        <f>IF(Table2[[#This Row],[Member Type]]=0,0,
IF(OR(Table2[[#This Row],[Member Type]]="Main Member",Table2[[#This Row],[Main Member Link ID]]&lt;&gt;B411),COUNTIFS(B:B,Table2[[#This Row],[Main Member Link ID]]),
COUNTIFS(B:B,Table2[[#This Row],[Main Member Link ID]],A:A,Table2[[#This Row],[Member Type]])))</f>
        <v>0</v>
      </c>
    </row>
    <row r="412" spans="1:37" x14ac:dyDescent="0.3">
      <c r="A412" s="284">
        <f>Table13[[#This Row],[Member Type]]</f>
        <v>0</v>
      </c>
      <c r="B412" s="284">
        <f>Table13[[#This Row],[Main Member Link ID]]</f>
        <v>0</v>
      </c>
      <c r="C412" s="284">
        <f>Table13[[#This Row],[ID Number]]</f>
        <v>0</v>
      </c>
      <c r="D412" s="285">
        <f>Table13[[#This Row],[Date Of Birth]]</f>
        <v>0</v>
      </c>
      <c r="E412" s="285">
        <f>Table13[[#This Row],[Commencement Date]]</f>
        <v>0</v>
      </c>
      <c r="F412" s="284">
        <f t="shared" si="42"/>
        <v>1</v>
      </c>
      <c r="G412" s="284">
        <f t="shared" si="43"/>
        <v>25</v>
      </c>
      <c r="H412" s="286">
        <f>Table13[[#This Row],[Product Option]]</f>
        <v>0</v>
      </c>
      <c r="I412" s="284">
        <f>IF(AND($A412="Main Member",Table2[[#This Row],[Product Option]]="My Value Plus Life"),"MM_LIFE",
IF(AND($A412="Spouse",Table2[[#This Row],[Product Option]]="My Value Plus Life"),"SP_LIFE",
IF(AND($A412="Main Member",Table2[[#This Row],[Product Option]]="My Value Plus Life &amp; Funeral"),"MM_LIFE",
IF(AND($A412="Spouse",Table2[[#This Row],[Product Option]]="My Value Plus Life &amp; Funeral"),_xlfn.XLOOKUP(Table2[[#This Row],[Benefit Name]],Lookups!$D$18:$D$23,Lookups!$E$18:$E$23,0),
0))))</f>
        <v>0</v>
      </c>
      <c r="J412" s="284">
        <f>IF($I412="","",
IF($I412="MM_LIFE",INDEX('Quotation Tool'!$S$54:$V$60,MATCH($T412,'Quotation Tool'!$S$54:$S$60,0),4),
IF($I412="SP_LIFE",_xlfn.XLOOKUP(B411,$B:$B,$J:$J,0),0)))</f>
        <v>0</v>
      </c>
      <c r="K412" s="287">
        <f t="shared" ca="1" si="47"/>
        <v>0</v>
      </c>
      <c r="L412" s="288">
        <f t="shared" ca="1" si="48"/>
        <v>0</v>
      </c>
      <c r="M412" s="289">
        <f t="shared" ca="1" si="44"/>
        <v>0</v>
      </c>
      <c r="N412" s="286">
        <f>Table13[[#This Row],[Benefit Option]]</f>
        <v>0</v>
      </c>
      <c r="O412" s="284">
        <f>IF(OR(Table2[[#This Row],[Member Type]]="Spouse",Table2[[#This Row],[Member Type]]="Child"),0,
IF(_xlfn.XLOOKUP($N412,Lookups!$D$13:$D$27,Lookups!$F$13:$F$27,0)=Table2[[#This Row],[Table Lookup for Life Cover]],0,
_xlfn.XLOOKUP($N412,Lookups!$D$13:$D$27,Lookups!$F$13:$F$27,0)))</f>
        <v>0</v>
      </c>
      <c r="P412" s="284">
        <f>IF(Table2[[#This Row],[Table Lookup for Funeral]]=0,0,IFERROR(INDEX('Quotation Tool'!$S$54:$V$60,MATCH($T412,'Quotation Tool'!$S$54:$S$60,0),3),0))</f>
        <v>0</v>
      </c>
      <c r="Q412" s="288">
        <f ca="1">IF(OR(Table2[[#This Row],[Benefit Name]]="My Value Plus Life - Main Member",Table2[[#This Row],[Benefit Name]]="My Value Plus Life - Spouse"),0,
IFERROR(VLOOKUP($G412,INDIRECT($O412),$P412,FALSE),0))</f>
        <v>0</v>
      </c>
      <c r="R412" s="288">
        <f ca="1">IF(OR(Table2[[#This Row],[Benefit Name]]="My Value Plus Life - Main Member",Table2[[#This Row],[Benefit Name]]="My Value Plus Life - Spouse"),0,
IFERROR(VLOOKUP($G412,INDIRECT($O412),$P412+1,FALSE),0))</f>
        <v>0</v>
      </c>
      <c r="S412" s="289">
        <f t="shared" ca="1" si="45"/>
        <v>0</v>
      </c>
      <c r="T412" s="284" t="str">
        <f>IF(Table13[[#This Row],[Premium Waiver]]="","None",Table13[[#This Row],[Premium Waiver]])</f>
        <v>None</v>
      </c>
      <c r="U412" s="284">
        <f>Table13[[#This Row],[VAPs Options]]</f>
        <v>0</v>
      </c>
      <c r="V412" s="284">
        <f>Table13[[#This Row],[Annual Increase Option]]</f>
        <v>0</v>
      </c>
      <c r="W412" s="290">
        <f>Table13[[#This Row],[Life Cover Amount]]</f>
        <v>0</v>
      </c>
      <c r="X412" s="290">
        <f>Table13[[#This Row],[Funeral Cover Amount]]</f>
        <v>0</v>
      </c>
      <c r="Y41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1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12" s="301">
        <f t="shared" ca="1" si="46"/>
        <v>0</v>
      </c>
      <c r="AB412" s="298"/>
      <c r="AC412" s="326" t="str">
        <f>IF(Table2[[#This Row],[Member Type]]="Main Member",Lookups!$C$13,
IF(Table2[[#This Row],[Member Type]]="Spouse",_xlfn.XLOOKUP(B412,Table2[Main Member Link ID],Table2[Product Option],0),
IF(AND(Table2[[#This Row],[Member Type]]="Child",_xlfn.XLOOKUP(B412,Table2[Main Member Link ID],Table2[Product Option],0)&lt;&gt;"My Value Plus Life"),Lookups!$C$24,
IF(AND(OR(Table2[[#This Row],[Member Type]]="Parent",Table2[[#This Row],[Member Type]]="Extended"),_xlfn.XLOOKUP(B412,Table2[Main Member Link ID],Table2[Product Option],0)&lt;&gt;"My Value Plus Life"),Lookups!$C$26,""))))</f>
        <v/>
      </c>
      <c r="AD412" s="326" t="str">
        <f>IF(Table2[[#This Row],[Member Type]]="Main Member",Lookups!$C$14,"")</f>
        <v/>
      </c>
      <c r="AE41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Funeral",_xlfn.XLOOKUP(B412,Table2[Main Member Link ID],Table2[Benefit Name],0)=Lookups!$D$14),"",
IF(AND(Table2[[#This Row],[Member Type]]="Spouse",Table2[[#This Row],[Product Option]]="My Value Plus Life &amp; Funeral",_xlfn.XLOOKUP(B411,Table2[Main Member Link ID],Table2[Benefit Name],0)=Lookups!$D$15),Lookups!$D$20,
IF(AND(Table2[[#This Row],[Member Type]]="Spouse",Table2[[#This Row],[Product Option]]="My Value Plus Life &amp; Funeral",_xlfn.XLOOKUP(B411,Table2[Main Member Link ID],Table2[Benefit Name],0)=Lookups!$D$16),"",
IF(AND(Table2[[#This Row],[Member Type]]="Spouse",Table2[[#This Row],[Product Option]]="My Value Plus Life &amp; Funeral",_xlfn.XLOOKUP(B411,Table2[Main Member Link ID],Table2[Benefit Name],0)=Lookups!$D$17),Lookups!$D$21,
IF(AND(Table2[[#This Row],[Member Type]]="Child",Table2[[#This Row],[Product Option]]="My Value Plus Life &amp; Funeral",_xlfn.XLOOKUP(B412,Table2[Main Member Link ID],Table2[Benefit Name],0)=Lookups!$D$14),"",
IF(AND(Table2[[#This Row],[Member Type]]="Child",Table2[[#This Row],[Product Option]]="My Value Plus Life &amp; Funeral",_xlfn.XLOOKUP(B412,Table2[Main Member Link ID],Table2[Benefit Name],0)=Lookups!$D$15),"",
IF(AND(Table2[[#This Row],[Member Type]]="Child",Table2[[#This Row],[Product Option]]="My Value Plus Life &amp; Funeral",_xlfn.XLOOKUP(B412,Table2[Main Member Link ID],Table2[Benefit Name],0)=Lookups!$D$16),Lookups!$D$24,
IF(AND(Table2[[#This Row],[Member Type]]="Child",Table2[[#This Row],[Product Option]]="My Value Plus Life &amp; Funeral",_xlfn.XLOOKUP(B412,Table2[Main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Funeral",_xlfn.XLOOKUP(B412,Table2[Main Member Link ID],Table2[Benefit Name],0)&lt;&gt;Lookups!$D$14),
IF(_xlfn.XLOOKUP(B412,Table2[Main Member Link ID],Table2[Benefit Name],0)=0,"",_xlfn.XLOOKUP(B412,Table2[Main Member Link ID],Table2[Benefit Name],0)),"")))))))))))))))</f>
        <v/>
      </c>
      <c r="AF412" s="327" t="str">
        <f>IF(AND(Table2[[#This Row],[Member Type]]="Main Member",Table2[[#This Row],[Product Option]]="My Value Plus Life &amp; Funeral"),Lookups!$D$15,
IF(AND(Table2[[#This Row],[Member Type]]="Spouse",Table2[[#This Row],[Product Option]]="My Value Plus Life &amp; Funeral",_xlfn.XLOOKUP(B412,Table2[Main Member Link ID],Table2[Benefit Name],0)=Lookups!$D$14),"",
IF(AND(Table2[[#This Row],[Member Type]]="Spouse",Table2[[#This Row],[Product Option]]="My Value Plus Life &amp; Funeral",_xlfn.XLOOKUP(B411,Table2[Main Member Link ID],Table2[Benefit Name],0)=Lookups!$D$16),"",
IF(AND(Table2[[#This Row],[Member Type]]="Spouse",Table2[[#This Row],[Product Option]]="My Value Plus Life &amp; Funeral",_xlfn.XLOOKUP(B411,Table2[Main Member Link ID],Table2[Benefit Name],0)=Lookups!$D$15),"",
IF(AND(Table2[[#This Row],[Member Type]]="Spouse",Table2[[#This Row],[Product Option]]="My Value Plus Life &amp; Funeral",_xlfn.XLOOKUP(B411,Table2[Main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Funeral",_xlfn.XLOOKUP(B412,Table2[Main Member Link ID],Table2[Benefit Name],0)&lt;&gt;Lookups!$D$15),
IF(_xlfn.XLOOKUP(B412,Table2[Main Member Link ID],Table2[Benefit Name],0)=0,"",_xlfn.XLOOKUP(B412,Table2[Main Member Link ID],Table2[Benefit Name],0)),"")
))))))</f>
        <v/>
      </c>
      <c r="AG412" s="327" t="str">
        <f>IF(AND(Table2[[#This Row],[Member Type]]="Main Member",Table2[[#This Row],[Product Option]]="My Value Plus Life &amp; Funeral"),Lookups!$D$16,
IF(AND(Table2[[#This Row],[Member Type]]="Spouse",Table2[[#This Row],[Product Option]]="My Value Plus Life &amp; Funeral",_xlfn.XLOOKUP(B412,Table2[Main Member Link ID],Table2[Benefit Name],0)=Lookups!$D$14),"",
IF(AND(Table2[[#This Row],[Member Type]]="Spouse",Table2[[#This Row],[Product Option]]="My Value Plus Life &amp; Funeral",_xlfn.XLOOKUP(B411,Table2[Main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Funeral",_xlfn.XLOOKUP(B412,Table2[Main Member Link ID],Table2[Benefit Name],0)&lt;&gt;Lookups!$D$16),
IF(_xlfn.XLOOKUP(B412,Table2[Main Member Link ID],Table2[Benefit Name],0)=0,"",_xlfn.XLOOKUP(B412,Table2[Main Member Link ID],Table2[Benefit Name],0)),"")
))))</f>
        <v/>
      </c>
      <c r="AH412" s="327" t="str">
        <f>IF(AND(Table2[[#This Row],[Member Type]]="Main Member",Table2[[#This Row],[Product Option]]="My Value Plus Life &amp; Funeral"),Lookups!$D$17,
IF(AND(Table2[[#This Row],[Member Type]]="Spouse",Table2[[#This Row],[Product Option]]="My Value Plus Life &amp; Funeral",_xlfn.XLOOKUP(B412,Table2[Main Member Link ID],Table2[Benefit Name],0)=Lookups!$D$14),"",
IF(AND(Table2[[#This Row],[Member Type]]="Spouse",Table2[[#This Row],[Product Option]]="My Value Plus Life &amp; Funeral",_xlfn.XLOOKUP(B411,Table2[Main Member Link ID],Table2[Benefit Name],0)=Lookups!$D$16),"",
IF(AND(Table2[[#This Row],[Member Type]]="Child",Table2[[#This Row],[Product Option]]="My Value Plus Life &amp; Funeral"),"",
IF(AND(Table2[[#This Row],[Member Type]]="Child",Table2[[#This Row],[Product Option]]="My Value Plus Life &amp; Funeral",_xlfn.XLOOKUP(B412,Table2[Main Member Link ID],Table2[Benefit Name],0)=Lookups!$D$15),"",
IF(AND(OR(Table2[[#This Row],[Member Type]]="Spouse",Table2[[#This Row],[Member Type]]="Child"),Table2[[#This Row],[Product Option]]="My Value Plus Life &amp; Funeral",_xlfn.XLOOKUP(B412,Table2[Main Member Link ID],Table2[Benefit Name],0)&lt;&gt;Lookups!$D$17),
IF(_xlfn.XLOOKUP(B412,Table2[Main Member Link ID],Table2[Benefit Name],0)=0,"",_xlfn.XLOOKUP(B412,Table2[Main Member Link ID],Table2[Benefit Name],0)),""))))))</f>
        <v/>
      </c>
      <c r="AI412" s="328" t="str">
        <f>IF(AND(Table2[[#This Row],[Member Type]]="Main Member",Table2[[#This Row],[Table Lookup for Life Cover]]="MM_LIFE",Table2[[#This Row],[Age Next Birthday]]&lt;56),1,
IF(AND(Table2[[#This Row],[Member Type]]="Main Member",Table2[[#This Row],[Table Lookup for Life Cover]]="MM_LIFE",Table2[[#This Row],[Age Next Birthday]]&gt;=56),2,
""))</f>
        <v/>
      </c>
      <c r="AJ412" s="328">
        <f>IF(OR(Table2[[#This Row],[Member Type]]="Main Member",Table2[[#This Row],[Main Member Link ID]]=B411),1,0)</f>
        <v>1</v>
      </c>
      <c r="AK412" s="328">
        <f>IF(Table2[[#This Row],[Member Type]]=0,0,
IF(OR(Table2[[#This Row],[Member Type]]="Main Member",Table2[[#This Row],[Main Member Link ID]]&lt;&gt;B412),COUNTIFS(B:B,Table2[[#This Row],[Main Member Link ID]]),
COUNTIFS(B:B,Table2[[#This Row],[Main Member Link ID]],A:A,Table2[[#This Row],[Member Type]])))</f>
        <v>0</v>
      </c>
    </row>
    <row r="413" spans="1:37" x14ac:dyDescent="0.3">
      <c r="A413" s="284">
        <f>Table13[[#This Row],[Member Type]]</f>
        <v>0</v>
      </c>
      <c r="B413" s="284">
        <f>Table13[[#This Row],[Main Member Link ID]]</f>
        <v>0</v>
      </c>
      <c r="C413" s="284">
        <f>Table13[[#This Row],[ID Number]]</f>
        <v>0</v>
      </c>
      <c r="D413" s="285">
        <f>Table13[[#This Row],[Date Of Birth]]</f>
        <v>0</v>
      </c>
      <c r="E413" s="285">
        <f>Table13[[#This Row],[Commencement Date]]</f>
        <v>0</v>
      </c>
      <c r="F413" s="284">
        <f t="shared" si="42"/>
        <v>1</v>
      </c>
      <c r="G413" s="284">
        <f t="shared" si="43"/>
        <v>25</v>
      </c>
      <c r="H413" s="286">
        <f>Table13[[#This Row],[Product Option]]</f>
        <v>0</v>
      </c>
      <c r="I413" s="284">
        <f>IF(AND($A413="Main Member",Table2[[#This Row],[Product Option]]="My Value Plus Life"),"MM_LIFE",
IF(AND($A413="Spouse",Table2[[#This Row],[Product Option]]="My Value Plus Life"),"SP_LIFE",
IF(AND($A413="Main Member",Table2[[#This Row],[Product Option]]="My Value Plus Life &amp; Funeral"),"MM_LIFE",
IF(AND($A413="Spouse",Table2[[#This Row],[Product Option]]="My Value Plus Life &amp; Funeral"),_xlfn.XLOOKUP(Table2[[#This Row],[Benefit Name]],Lookups!$D$18:$D$23,Lookups!$E$18:$E$23,0),
0))))</f>
        <v>0</v>
      </c>
      <c r="J413" s="284">
        <f>IF($I413="","",
IF($I413="MM_LIFE",INDEX('Quotation Tool'!$S$54:$V$60,MATCH($T413,'Quotation Tool'!$S$54:$S$60,0),4),
IF($I413="SP_LIFE",_xlfn.XLOOKUP(B412,$B:$B,$J:$J,0),0)))</f>
        <v>0</v>
      </c>
      <c r="K413" s="287">
        <f t="shared" ca="1" si="47"/>
        <v>0</v>
      </c>
      <c r="L413" s="288">
        <f t="shared" ca="1" si="48"/>
        <v>0</v>
      </c>
      <c r="M413" s="289">
        <f t="shared" ca="1" si="44"/>
        <v>0</v>
      </c>
      <c r="N413" s="286">
        <f>Table13[[#This Row],[Benefit Option]]</f>
        <v>0</v>
      </c>
      <c r="O413" s="284">
        <f>IF(OR(Table2[[#This Row],[Member Type]]="Spouse",Table2[[#This Row],[Member Type]]="Child"),0,
IF(_xlfn.XLOOKUP($N413,Lookups!$D$13:$D$27,Lookups!$F$13:$F$27,0)=Table2[[#This Row],[Table Lookup for Life Cover]],0,
_xlfn.XLOOKUP($N413,Lookups!$D$13:$D$27,Lookups!$F$13:$F$27,0)))</f>
        <v>0</v>
      </c>
      <c r="P413" s="284">
        <f>IF(Table2[[#This Row],[Table Lookup for Funeral]]=0,0,IFERROR(INDEX('Quotation Tool'!$S$54:$V$60,MATCH($T413,'Quotation Tool'!$S$54:$S$60,0),3),0))</f>
        <v>0</v>
      </c>
      <c r="Q413" s="288">
        <f ca="1">IF(OR(Table2[[#This Row],[Benefit Name]]="My Value Plus Life - Main Member",Table2[[#This Row],[Benefit Name]]="My Value Plus Life - Spouse"),0,
IFERROR(VLOOKUP($G413,INDIRECT($O413),$P413,FALSE),0))</f>
        <v>0</v>
      </c>
      <c r="R413" s="288">
        <f ca="1">IF(OR(Table2[[#This Row],[Benefit Name]]="My Value Plus Life - Main Member",Table2[[#This Row],[Benefit Name]]="My Value Plus Life - Spouse"),0,
IFERROR(VLOOKUP($G413,INDIRECT($O413),$P413+1,FALSE),0))</f>
        <v>0</v>
      </c>
      <c r="S413" s="289">
        <f t="shared" ca="1" si="45"/>
        <v>0</v>
      </c>
      <c r="T413" s="284" t="str">
        <f>IF(Table13[[#This Row],[Premium Waiver]]="","None",Table13[[#This Row],[Premium Waiver]])</f>
        <v>None</v>
      </c>
      <c r="U413" s="284">
        <f>Table13[[#This Row],[VAPs Options]]</f>
        <v>0</v>
      </c>
      <c r="V413" s="284">
        <f>Table13[[#This Row],[Annual Increase Option]]</f>
        <v>0</v>
      </c>
      <c r="W413" s="290">
        <f>Table13[[#This Row],[Life Cover Amount]]</f>
        <v>0</v>
      </c>
      <c r="X413" s="290">
        <f>Table13[[#This Row],[Funeral Cover Amount]]</f>
        <v>0</v>
      </c>
      <c r="Y41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1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13" s="301">
        <f t="shared" ca="1" si="46"/>
        <v>0</v>
      </c>
      <c r="AB413" s="298"/>
      <c r="AC413" s="326" t="str">
        <f>IF(Table2[[#This Row],[Member Type]]="Main Member",Lookups!$C$13,
IF(Table2[[#This Row],[Member Type]]="Spouse",_xlfn.XLOOKUP(B413,Table2[Main Member Link ID],Table2[Product Option],0),
IF(AND(Table2[[#This Row],[Member Type]]="Child",_xlfn.XLOOKUP(B413,Table2[Main Member Link ID],Table2[Product Option],0)&lt;&gt;"My Value Plus Life"),Lookups!$C$24,
IF(AND(OR(Table2[[#This Row],[Member Type]]="Parent",Table2[[#This Row],[Member Type]]="Extended"),_xlfn.XLOOKUP(B413,Table2[Main Member Link ID],Table2[Product Option],0)&lt;&gt;"My Value Plus Life"),Lookups!$C$26,""))))</f>
        <v/>
      </c>
      <c r="AD413" s="326" t="str">
        <f>IF(Table2[[#This Row],[Member Type]]="Main Member",Lookups!$C$14,"")</f>
        <v/>
      </c>
      <c r="AE41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Funeral",_xlfn.XLOOKUP(B413,Table2[Main Member Link ID],Table2[Benefit Name],0)=Lookups!$D$14),"",
IF(AND(Table2[[#This Row],[Member Type]]="Spouse",Table2[[#This Row],[Product Option]]="My Value Plus Life &amp; Funeral",_xlfn.XLOOKUP(B412,Table2[Main Member Link ID],Table2[Benefit Name],0)=Lookups!$D$15),Lookups!$D$20,
IF(AND(Table2[[#This Row],[Member Type]]="Spouse",Table2[[#This Row],[Product Option]]="My Value Plus Life &amp; Funeral",_xlfn.XLOOKUP(B412,Table2[Main Member Link ID],Table2[Benefit Name],0)=Lookups!$D$16),"",
IF(AND(Table2[[#This Row],[Member Type]]="Spouse",Table2[[#This Row],[Product Option]]="My Value Plus Life &amp; Funeral",_xlfn.XLOOKUP(B412,Table2[Main Member Link ID],Table2[Benefit Name],0)=Lookups!$D$17),Lookups!$D$21,
IF(AND(Table2[[#This Row],[Member Type]]="Child",Table2[[#This Row],[Product Option]]="My Value Plus Life &amp; Funeral",_xlfn.XLOOKUP(B413,Table2[Main Member Link ID],Table2[Benefit Name],0)=Lookups!$D$14),"",
IF(AND(Table2[[#This Row],[Member Type]]="Child",Table2[[#This Row],[Product Option]]="My Value Plus Life &amp; Funeral",_xlfn.XLOOKUP(B413,Table2[Main Member Link ID],Table2[Benefit Name],0)=Lookups!$D$15),"",
IF(AND(Table2[[#This Row],[Member Type]]="Child",Table2[[#This Row],[Product Option]]="My Value Plus Life &amp; Funeral",_xlfn.XLOOKUP(B413,Table2[Main Member Link ID],Table2[Benefit Name],0)=Lookups!$D$16),Lookups!$D$24,
IF(AND(Table2[[#This Row],[Member Type]]="Child",Table2[[#This Row],[Product Option]]="My Value Plus Life &amp; Funeral",_xlfn.XLOOKUP(B413,Table2[Main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Funeral",_xlfn.XLOOKUP(B413,Table2[Main Member Link ID],Table2[Benefit Name],0)&lt;&gt;Lookups!$D$14),
IF(_xlfn.XLOOKUP(B413,Table2[Main Member Link ID],Table2[Benefit Name],0)=0,"",_xlfn.XLOOKUP(B413,Table2[Main Member Link ID],Table2[Benefit Name],0)),"")))))))))))))))</f>
        <v/>
      </c>
      <c r="AF413" s="327" t="str">
        <f>IF(AND(Table2[[#This Row],[Member Type]]="Main Member",Table2[[#This Row],[Product Option]]="My Value Plus Life &amp; Funeral"),Lookups!$D$15,
IF(AND(Table2[[#This Row],[Member Type]]="Spouse",Table2[[#This Row],[Product Option]]="My Value Plus Life &amp; Funeral",_xlfn.XLOOKUP(B413,Table2[Main Member Link ID],Table2[Benefit Name],0)=Lookups!$D$14),"",
IF(AND(Table2[[#This Row],[Member Type]]="Spouse",Table2[[#This Row],[Product Option]]="My Value Plus Life &amp; Funeral",_xlfn.XLOOKUP(B412,Table2[Main Member Link ID],Table2[Benefit Name],0)=Lookups!$D$16),"",
IF(AND(Table2[[#This Row],[Member Type]]="Spouse",Table2[[#This Row],[Product Option]]="My Value Plus Life &amp; Funeral",_xlfn.XLOOKUP(B412,Table2[Main Member Link ID],Table2[Benefit Name],0)=Lookups!$D$15),"",
IF(AND(Table2[[#This Row],[Member Type]]="Spouse",Table2[[#This Row],[Product Option]]="My Value Plus Life &amp; Funeral",_xlfn.XLOOKUP(B412,Table2[Main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Funeral",_xlfn.XLOOKUP(B413,Table2[Main Member Link ID],Table2[Benefit Name],0)&lt;&gt;Lookups!$D$15),
IF(_xlfn.XLOOKUP(B413,Table2[Main Member Link ID],Table2[Benefit Name],0)=0,"",_xlfn.XLOOKUP(B413,Table2[Main Member Link ID],Table2[Benefit Name],0)),"")
))))))</f>
        <v/>
      </c>
      <c r="AG413" s="327" t="str">
        <f>IF(AND(Table2[[#This Row],[Member Type]]="Main Member",Table2[[#This Row],[Product Option]]="My Value Plus Life &amp; Funeral"),Lookups!$D$16,
IF(AND(Table2[[#This Row],[Member Type]]="Spouse",Table2[[#This Row],[Product Option]]="My Value Plus Life &amp; Funeral",_xlfn.XLOOKUP(B413,Table2[Main Member Link ID],Table2[Benefit Name],0)=Lookups!$D$14),"",
IF(AND(Table2[[#This Row],[Member Type]]="Spouse",Table2[[#This Row],[Product Option]]="My Value Plus Life &amp; Funeral",_xlfn.XLOOKUP(B412,Table2[Main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Funeral",_xlfn.XLOOKUP(B413,Table2[Main Member Link ID],Table2[Benefit Name],0)&lt;&gt;Lookups!$D$16),
IF(_xlfn.XLOOKUP(B413,Table2[Main Member Link ID],Table2[Benefit Name],0)=0,"",_xlfn.XLOOKUP(B413,Table2[Main Member Link ID],Table2[Benefit Name],0)),"")
))))</f>
        <v/>
      </c>
      <c r="AH413" s="327" t="str">
        <f>IF(AND(Table2[[#This Row],[Member Type]]="Main Member",Table2[[#This Row],[Product Option]]="My Value Plus Life &amp; Funeral"),Lookups!$D$17,
IF(AND(Table2[[#This Row],[Member Type]]="Spouse",Table2[[#This Row],[Product Option]]="My Value Plus Life &amp; Funeral",_xlfn.XLOOKUP(B413,Table2[Main Member Link ID],Table2[Benefit Name],0)=Lookups!$D$14),"",
IF(AND(Table2[[#This Row],[Member Type]]="Spouse",Table2[[#This Row],[Product Option]]="My Value Plus Life &amp; Funeral",_xlfn.XLOOKUP(B412,Table2[Main Member Link ID],Table2[Benefit Name],0)=Lookups!$D$16),"",
IF(AND(Table2[[#This Row],[Member Type]]="Child",Table2[[#This Row],[Product Option]]="My Value Plus Life &amp; Funeral"),"",
IF(AND(Table2[[#This Row],[Member Type]]="Child",Table2[[#This Row],[Product Option]]="My Value Plus Life &amp; Funeral",_xlfn.XLOOKUP(B413,Table2[Main Member Link ID],Table2[Benefit Name],0)=Lookups!$D$15),"",
IF(AND(OR(Table2[[#This Row],[Member Type]]="Spouse",Table2[[#This Row],[Member Type]]="Child"),Table2[[#This Row],[Product Option]]="My Value Plus Life &amp; Funeral",_xlfn.XLOOKUP(B413,Table2[Main Member Link ID],Table2[Benefit Name],0)&lt;&gt;Lookups!$D$17),
IF(_xlfn.XLOOKUP(B413,Table2[Main Member Link ID],Table2[Benefit Name],0)=0,"",_xlfn.XLOOKUP(B413,Table2[Main Member Link ID],Table2[Benefit Name],0)),""))))))</f>
        <v/>
      </c>
      <c r="AI413" s="328" t="str">
        <f>IF(AND(Table2[[#This Row],[Member Type]]="Main Member",Table2[[#This Row],[Table Lookup for Life Cover]]="MM_LIFE",Table2[[#This Row],[Age Next Birthday]]&lt;56),1,
IF(AND(Table2[[#This Row],[Member Type]]="Main Member",Table2[[#This Row],[Table Lookup for Life Cover]]="MM_LIFE",Table2[[#This Row],[Age Next Birthday]]&gt;=56),2,
""))</f>
        <v/>
      </c>
      <c r="AJ413" s="328">
        <f>IF(OR(Table2[[#This Row],[Member Type]]="Main Member",Table2[[#This Row],[Main Member Link ID]]=B412),1,0)</f>
        <v>1</v>
      </c>
      <c r="AK413" s="328">
        <f>IF(Table2[[#This Row],[Member Type]]=0,0,
IF(OR(Table2[[#This Row],[Member Type]]="Main Member",Table2[[#This Row],[Main Member Link ID]]&lt;&gt;B413),COUNTIFS(B:B,Table2[[#This Row],[Main Member Link ID]]),
COUNTIFS(B:B,Table2[[#This Row],[Main Member Link ID]],A:A,Table2[[#This Row],[Member Type]])))</f>
        <v>0</v>
      </c>
    </row>
    <row r="414" spans="1:37" x14ac:dyDescent="0.3">
      <c r="A414" s="284">
        <f>Table13[[#This Row],[Member Type]]</f>
        <v>0</v>
      </c>
      <c r="B414" s="284">
        <f>Table13[[#This Row],[Main Member Link ID]]</f>
        <v>0</v>
      </c>
      <c r="C414" s="284">
        <f>Table13[[#This Row],[ID Number]]</f>
        <v>0</v>
      </c>
      <c r="D414" s="285">
        <f>Table13[[#This Row],[Date Of Birth]]</f>
        <v>0</v>
      </c>
      <c r="E414" s="285">
        <f>Table13[[#This Row],[Commencement Date]]</f>
        <v>0</v>
      </c>
      <c r="F414" s="284">
        <f t="shared" si="42"/>
        <v>1</v>
      </c>
      <c r="G414" s="284">
        <f t="shared" si="43"/>
        <v>25</v>
      </c>
      <c r="H414" s="286">
        <f>Table13[[#This Row],[Product Option]]</f>
        <v>0</v>
      </c>
      <c r="I414" s="284">
        <f>IF(AND($A414="Main Member",Table2[[#This Row],[Product Option]]="My Value Plus Life"),"MM_LIFE",
IF(AND($A414="Spouse",Table2[[#This Row],[Product Option]]="My Value Plus Life"),"SP_LIFE",
IF(AND($A414="Main Member",Table2[[#This Row],[Product Option]]="My Value Plus Life &amp; Funeral"),"MM_LIFE",
IF(AND($A414="Spouse",Table2[[#This Row],[Product Option]]="My Value Plus Life &amp; Funeral"),_xlfn.XLOOKUP(Table2[[#This Row],[Benefit Name]],Lookups!$D$18:$D$23,Lookups!$E$18:$E$23,0),
0))))</f>
        <v>0</v>
      </c>
      <c r="J414" s="284">
        <f>IF($I414="","",
IF($I414="MM_LIFE",INDEX('Quotation Tool'!$S$54:$V$60,MATCH($T414,'Quotation Tool'!$S$54:$S$60,0),4),
IF($I414="SP_LIFE",_xlfn.XLOOKUP(B413,$B:$B,$J:$J,0),0)))</f>
        <v>0</v>
      </c>
      <c r="K414" s="287">
        <f t="shared" ca="1" si="47"/>
        <v>0</v>
      </c>
      <c r="L414" s="288">
        <f t="shared" ca="1" si="48"/>
        <v>0</v>
      </c>
      <c r="M414" s="289">
        <f t="shared" ca="1" si="44"/>
        <v>0</v>
      </c>
      <c r="N414" s="286">
        <f>Table13[[#This Row],[Benefit Option]]</f>
        <v>0</v>
      </c>
      <c r="O414" s="284">
        <f>IF(OR(Table2[[#This Row],[Member Type]]="Spouse",Table2[[#This Row],[Member Type]]="Child"),0,
IF(_xlfn.XLOOKUP($N414,Lookups!$D$13:$D$27,Lookups!$F$13:$F$27,0)=Table2[[#This Row],[Table Lookup for Life Cover]],0,
_xlfn.XLOOKUP($N414,Lookups!$D$13:$D$27,Lookups!$F$13:$F$27,0)))</f>
        <v>0</v>
      </c>
      <c r="P414" s="284">
        <f>IF(Table2[[#This Row],[Table Lookup for Funeral]]=0,0,IFERROR(INDEX('Quotation Tool'!$S$54:$V$60,MATCH($T414,'Quotation Tool'!$S$54:$S$60,0),3),0))</f>
        <v>0</v>
      </c>
      <c r="Q414" s="288">
        <f ca="1">IF(OR(Table2[[#This Row],[Benefit Name]]="My Value Plus Life - Main Member",Table2[[#This Row],[Benefit Name]]="My Value Plus Life - Spouse"),0,
IFERROR(VLOOKUP($G414,INDIRECT($O414),$P414,FALSE),0))</f>
        <v>0</v>
      </c>
      <c r="R414" s="288">
        <f ca="1">IF(OR(Table2[[#This Row],[Benefit Name]]="My Value Plus Life - Main Member",Table2[[#This Row],[Benefit Name]]="My Value Plus Life - Spouse"),0,
IFERROR(VLOOKUP($G414,INDIRECT($O414),$P414+1,FALSE),0))</f>
        <v>0</v>
      </c>
      <c r="S414" s="289">
        <f t="shared" ca="1" si="45"/>
        <v>0</v>
      </c>
      <c r="T414" s="284" t="str">
        <f>IF(Table13[[#This Row],[Premium Waiver]]="","None",Table13[[#This Row],[Premium Waiver]])</f>
        <v>None</v>
      </c>
      <c r="U414" s="284">
        <f>Table13[[#This Row],[VAPs Options]]</f>
        <v>0</v>
      </c>
      <c r="V414" s="284">
        <f>Table13[[#This Row],[Annual Increase Option]]</f>
        <v>0</v>
      </c>
      <c r="W414" s="290">
        <f>Table13[[#This Row],[Life Cover Amount]]</f>
        <v>0</v>
      </c>
      <c r="X414" s="290">
        <f>Table13[[#This Row],[Funeral Cover Amount]]</f>
        <v>0</v>
      </c>
      <c r="Y41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1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14" s="301">
        <f t="shared" ca="1" si="46"/>
        <v>0</v>
      </c>
      <c r="AB414" s="298"/>
      <c r="AC414" s="326" t="str">
        <f>IF(Table2[[#This Row],[Member Type]]="Main Member",Lookups!$C$13,
IF(Table2[[#This Row],[Member Type]]="Spouse",_xlfn.XLOOKUP(B414,Table2[Main Member Link ID],Table2[Product Option],0),
IF(AND(Table2[[#This Row],[Member Type]]="Child",_xlfn.XLOOKUP(B414,Table2[Main Member Link ID],Table2[Product Option],0)&lt;&gt;"My Value Plus Life"),Lookups!$C$24,
IF(AND(OR(Table2[[#This Row],[Member Type]]="Parent",Table2[[#This Row],[Member Type]]="Extended"),_xlfn.XLOOKUP(B414,Table2[Main Member Link ID],Table2[Product Option],0)&lt;&gt;"My Value Plus Life"),Lookups!$C$26,""))))</f>
        <v/>
      </c>
      <c r="AD414" s="326" t="str">
        <f>IF(Table2[[#This Row],[Member Type]]="Main Member",Lookups!$C$14,"")</f>
        <v/>
      </c>
      <c r="AE41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Funeral",_xlfn.XLOOKUP(B414,Table2[Main Member Link ID],Table2[Benefit Name],0)=Lookups!$D$14),"",
IF(AND(Table2[[#This Row],[Member Type]]="Spouse",Table2[[#This Row],[Product Option]]="My Value Plus Life &amp; Funeral",_xlfn.XLOOKUP(B413,Table2[Main Member Link ID],Table2[Benefit Name],0)=Lookups!$D$15),Lookups!$D$20,
IF(AND(Table2[[#This Row],[Member Type]]="Spouse",Table2[[#This Row],[Product Option]]="My Value Plus Life &amp; Funeral",_xlfn.XLOOKUP(B413,Table2[Main Member Link ID],Table2[Benefit Name],0)=Lookups!$D$16),"",
IF(AND(Table2[[#This Row],[Member Type]]="Spouse",Table2[[#This Row],[Product Option]]="My Value Plus Life &amp; Funeral",_xlfn.XLOOKUP(B413,Table2[Main Member Link ID],Table2[Benefit Name],0)=Lookups!$D$17),Lookups!$D$21,
IF(AND(Table2[[#This Row],[Member Type]]="Child",Table2[[#This Row],[Product Option]]="My Value Plus Life &amp; Funeral",_xlfn.XLOOKUP(B414,Table2[Main Member Link ID],Table2[Benefit Name],0)=Lookups!$D$14),"",
IF(AND(Table2[[#This Row],[Member Type]]="Child",Table2[[#This Row],[Product Option]]="My Value Plus Life &amp; Funeral",_xlfn.XLOOKUP(B414,Table2[Main Member Link ID],Table2[Benefit Name],0)=Lookups!$D$15),"",
IF(AND(Table2[[#This Row],[Member Type]]="Child",Table2[[#This Row],[Product Option]]="My Value Plus Life &amp; Funeral",_xlfn.XLOOKUP(B414,Table2[Main Member Link ID],Table2[Benefit Name],0)=Lookups!$D$16),Lookups!$D$24,
IF(AND(Table2[[#This Row],[Member Type]]="Child",Table2[[#This Row],[Product Option]]="My Value Plus Life &amp; Funeral",_xlfn.XLOOKUP(B414,Table2[Main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Funeral",_xlfn.XLOOKUP(B414,Table2[Main Member Link ID],Table2[Benefit Name],0)&lt;&gt;Lookups!$D$14),
IF(_xlfn.XLOOKUP(B414,Table2[Main Member Link ID],Table2[Benefit Name],0)=0,"",_xlfn.XLOOKUP(B414,Table2[Main Member Link ID],Table2[Benefit Name],0)),"")))))))))))))))</f>
        <v/>
      </c>
      <c r="AF414" s="327" t="str">
        <f>IF(AND(Table2[[#This Row],[Member Type]]="Main Member",Table2[[#This Row],[Product Option]]="My Value Plus Life &amp; Funeral"),Lookups!$D$15,
IF(AND(Table2[[#This Row],[Member Type]]="Spouse",Table2[[#This Row],[Product Option]]="My Value Plus Life &amp; Funeral",_xlfn.XLOOKUP(B414,Table2[Main Member Link ID],Table2[Benefit Name],0)=Lookups!$D$14),"",
IF(AND(Table2[[#This Row],[Member Type]]="Spouse",Table2[[#This Row],[Product Option]]="My Value Plus Life &amp; Funeral",_xlfn.XLOOKUP(B413,Table2[Main Member Link ID],Table2[Benefit Name],0)=Lookups!$D$16),"",
IF(AND(Table2[[#This Row],[Member Type]]="Spouse",Table2[[#This Row],[Product Option]]="My Value Plus Life &amp; Funeral",_xlfn.XLOOKUP(B413,Table2[Main Member Link ID],Table2[Benefit Name],0)=Lookups!$D$15),"",
IF(AND(Table2[[#This Row],[Member Type]]="Spouse",Table2[[#This Row],[Product Option]]="My Value Plus Life &amp; Funeral",_xlfn.XLOOKUP(B413,Table2[Main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Funeral",_xlfn.XLOOKUP(B414,Table2[Main Member Link ID],Table2[Benefit Name],0)&lt;&gt;Lookups!$D$15),
IF(_xlfn.XLOOKUP(B414,Table2[Main Member Link ID],Table2[Benefit Name],0)=0,"",_xlfn.XLOOKUP(B414,Table2[Main Member Link ID],Table2[Benefit Name],0)),"")
))))))</f>
        <v/>
      </c>
      <c r="AG414" s="327" t="str">
        <f>IF(AND(Table2[[#This Row],[Member Type]]="Main Member",Table2[[#This Row],[Product Option]]="My Value Plus Life &amp; Funeral"),Lookups!$D$16,
IF(AND(Table2[[#This Row],[Member Type]]="Spouse",Table2[[#This Row],[Product Option]]="My Value Plus Life &amp; Funeral",_xlfn.XLOOKUP(B414,Table2[Main Member Link ID],Table2[Benefit Name],0)=Lookups!$D$14),"",
IF(AND(Table2[[#This Row],[Member Type]]="Spouse",Table2[[#This Row],[Product Option]]="My Value Plus Life &amp; Funeral",_xlfn.XLOOKUP(B413,Table2[Main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Funeral",_xlfn.XLOOKUP(B414,Table2[Main Member Link ID],Table2[Benefit Name],0)&lt;&gt;Lookups!$D$16),
IF(_xlfn.XLOOKUP(B414,Table2[Main Member Link ID],Table2[Benefit Name],0)=0,"",_xlfn.XLOOKUP(B414,Table2[Main Member Link ID],Table2[Benefit Name],0)),"")
))))</f>
        <v/>
      </c>
      <c r="AH414" s="327" t="str">
        <f>IF(AND(Table2[[#This Row],[Member Type]]="Main Member",Table2[[#This Row],[Product Option]]="My Value Plus Life &amp; Funeral"),Lookups!$D$17,
IF(AND(Table2[[#This Row],[Member Type]]="Spouse",Table2[[#This Row],[Product Option]]="My Value Plus Life &amp; Funeral",_xlfn.XLOOKUP(B414,Table2[Main Member Link ID],Table2[Benefit Name],0)=Lookups!$D$14),"",
IF(AND(Table2[[#This Row],[Member Type]]="Spouse",Table2[[#This Row],[Product Option]]="My Value Plus Life &amp; Funeral",_xlfn.XLOOKUP(B413,Table2[Main Member Link ID],Table2[Benefit Name],0)=Lookups!$D$16),"",
IF(AND(Table2[[#This Row],[Member Type]]="Child",Table2[[#This Row],[Product Option]]="My Value Plus Life &amp; Funeral"),"",
IF(AND(Table2[[#This Row],[Member Type]]="Child",Table2[[#This Row],[Product Option]]="My Value Plus Life &amp; Funeral",_xlfn.XLOOKUP(B414,Table2[Main Member Link ID],Table2[Benefit Name],0)=Lookups!$D$15),"",
IF(AND(OR(Table2[[#This Row],[Member Type]]="Spouse",Table2[[#This Row],[Member Type]]="Child"),Table2[[#This Row],[Product Option]]="My Value Plus Life &amp; Funeral",_xlfn.XLOOKUP(B414,Table2[Main Member Link ID],Table2[Benefit Name],0)&lt;&gt;Lookups!$D$17),
IF(_xlfn.XLOOKUP(B414,Table2[Main Member Link ID],Table2[Benefit Name],0)=0,"",_xlfn.XLOOKUP(B414,Table2[Main Member Link ID],Table2[Benefit Name],0)),""))))))</f>
        <v/>
      </c>
      <c r="AI414" s="328" t="str">
        <f>IF(AND(Table2[[#This Row],[Member Type]]="Main Member",Table2[[#This Row],[Table Lookup for Life Cover]]="MM_LIFE",Table2[[#This Row],[Age Next Birthday]]&lt;56),1,
IF(AND(Table2[[#This Row],[Member Type]]="Main Member",Table2[[#This Row],[Table Lookup for Life Cover]]="MM_LIFE",Table2[[#This Row],[Age Next Birthday]]&gt;=56),2,
""))</f>
        <v/>
      </c>
      <c r="AJ414" s="328">
        <f>IF(OR(Table2[[#This Row],[Member Type]]="Main Member",Table2[[#This Row],[Main Member Link ID]]=B413),1,0)</f>
        <v>1</v>
      </c>
      <c r="AK414" s="328">
        <f>IF(Table2[[#This Row],[Member Type]]=0,0,
IF(OR(Table2[[#This Row],[Member Type]]="Main Member",Table2[[#This Row],[Main Member Link ID]]&lt;&gt;B414),COUNTIFS(B:B,Table2[[#This Row],[Main Member Link ID]]),
COUNTIFS(B:B,Table2[[#This Row],[Main Member Link ID]],A:A,Table2[[#This Row],[Member Type]])))</f>
        <v>0</v>
      </c>
    </row>
    <row r="415" spans="1:37" x14ac:dyDescent="0.3">
      <c r="A415" s="284">
        <f>Table13[[#This Row],[Member Type]]</f>
        <v>0</v>
      </c>
      <c r="B415" s="284">
        <f>Table13[[#This Row],[Main Member Link ID]]</f>
        <v>0</v>
      </c>
      <c r="C415" s="284">
        <f>Table13[[#This Row],[ID Number]]</f>
        <v>0</v>
      </c>
      <c r="D415" s="285">
        <f>Table13[[#This Row],[Date Of Birth]]</f>
        <v>0</v>
      </c>
      <c r="E415" s="285">
        <f>Table13[[#This Row],[Commencement Date]]</f>
        <v>0</v>
      </c>
      <c r="F415" s="284">
        <f t="shared" si="42"/>
        <v>1</v>
      </c>
      <c r="G415" s="284">
        <f t="shared" si="43"/>
        <v>25</v>
      </c>
      <c r="H415" s="286">
        <f>Table13[[#This Row],[Product Option]]</f>
        <v>0</v>
      </c>
      <c r="I415" s="284">
        <f>IF(AND($A415="Main Member",Table2[[#This Row],[Product Option]]="My Value Plus Life"),"MM_LIFE",
IF(AND($A415="Spouse",Table2[[#This Row],[Product Option]]="My Value Plus Life"),"SP_LIFE",
IF(AND($A415="Main Member",Table2[[#This Row],[Product Option]]="My Value Plus Life &amp; Funeral"),"MM_LIFE",
IF(AND($A415="Spouse",Table2[[#This Row],[Product Option]]="My Value Plus Life &amp; Funeral"),_xlfn.XLOOKUP(Table2[[#This Row],[Benefit Name]],Lookups!$D$18:$D$23,Lookups!$E$18:$E$23,0),
0))))</f>
        <v>0</v>
      </c>
      <c r="J415" s="284">
        <f>IF($I415="","",
IF($I415="MM_LIFE",INDEX('Quotation Tool'!$S$54:$V$60,MATCH($T415,'Quotation Tool'!$S$54:$S$60,0),4),
IF($I415="SP_LIFE",_xlfn.XLOOKUP(B414,$B:$B,$J:$J,0),0)))</f>
        <v>0</v>
      </c>
      <c r="K415" s="287">
        <f t="shared" ca="1" si="47"/>
        <v>0</v>
      </c>
      <c r="L415" s="288">
        <f t="shared" ca="1" si="48"/>
        <v>0</v>
      </c>
      <c r="M415" s="289">
        <f t="shared" ca="1" si="44"/>
        <v>0</v>
      </c>
      <c r="N415" s="286">
        <f>Table13[[#This Row],[Benefit Option]]</f>
        <v>0</v>
      </c>
      <c r="O415" s="284">
        <f>IF(OR(Table2[[#This Row],[Member Type]]="Spouse",Table2[[#This Row],[Member Type]]="Child"),0,
IF(_xlfn.XLOOKUP($N415,Lookups!$D$13:$D$27,Lookups!$F$13:$F$27,0)=Table2[[#This Row],[Table Lookup for Life Cover]],0,
_xlfn.XLOOKUP($N415,Lookups!$D$13:$D$27,Lookups!$F$13:$F$27,0)))</f>
        <v>0</v>
      </c>
      <c r="P415" s="284">
        <f>IF(Table2[[#This Row],[Table Lookup for Funeral]]=0,0,IFERROR(INDEX('Quotation Tool'!$S$54:$V$60,MATCH($T415,'Quotation Tool'!$S$54:$S$60,0),3),0))</f>
        <v>0</v>
      </c>
      <c r="Q415" s="288">
        <f ca="1">IF(OR(Table2[[#This Row],[Benefit Name]]="My Value Plus Life - Main Member",Table2[[#This Row],[Benefit Name]]="My Value Plus Life - Spouse"),0,
IFERROR(VLOOKUP($G415,INDIRECT($O415),$P415,FALSE),0))</f>
        <v>0</v>
      </c>
      <c r="R415" s="288">
        <f ca="1">IF(OR(Table2[[#This Row],[Benefit Name]]="My Value Plus Life - Main Member",Table2[[#This Row],[Benefit Name]]="My Value Plus Life - Spouse"),0,
IFERROR(VLOOKUP($G415,INDIRECT($O415),$P415+1,FALSE),0))</f>
        <v>0</v>
      </c>
      <c r="S415" s="289">
        <f t="shared" ca="1" si="45"/>
        <v>0</v>
      </c>
      <c r="T415" s="284" t="str">
        <f>IF(Table13[[#This Row],[Premium Waiver]]="","None",Table13[[#This Row],[Premium Waiver]])</f>
        <v>None</v>
      </c>
      <c r="U415" s="284">
        <f>Table13[[#This Row],[VAPs Options]]</f>
        <v>0</v>
      </c>
      <c r="V415" s="284">
        <f>Table13[[#This Row],[Annual Increase Option]]</f>
        <v>0</v>
      </c>
      <c r="W415" s="290">
        <f>Table13[[#This Row],[Life Cover Amount]]</f>
        <v>0</v>
      </c>
      <c r="X415" s="290">
        <f>Table13[[#This Row],[Funeral Cover Amount]]</f>
        <v>0</v>
      </c>
      <c r="Y41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1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15" s="301">
        <f t="shared" ca="1" si="46"/>
        <v>0</v>
      </c>
      <c r="AB415" s="298"/>
      <c r="AC415" s="326" t="str">
        <f>IF(Table2[[#This Row],[Member Type]]="Main Member",Lookups!$C$13,
IF(Table2[[#This Row],[Member Type]]="Spouse",_xlfn.XLOOKUP(B415,Table2[Main Member Link ID],Table2[Product Option],0),
IF(AND(Table2[[#This Row],[Member Type]]="Child",_xlfn.XLOOKUP(B415,Table2[Main Member Link ID],Table2[Product Option],0)&lt;&gt;"My Value Plus Life"),Lookups!$C$24,
IF(AND(OR(Table2[[#This Row],[Member Type]]="Parent",Table2[[#This Row],[Member Type]]="Extended"),_xlfn.XLOOKUP(B415,Table2[Main Member Link ID],Table2[Product Option],0)&lt;&gt;"My Value Plus Life"),Lookups!$C$26,""))))</f>
        <v/>
      </c>
      <c r="AD415" s="326" t="str">
        <f>IF(Table2[[#This Row],[Member Type]]="Main Member",Lookups!$C$14,"")</f>
        <v/>
      </c>
      <c r="AE41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Funeral",_xlfn.XLOOKUP(B415,Table2[Main Member Link ID],Table2[Benefit Name],0)=Lookups!$D$14),"",
IF(AND(Table2[[#This Row],[Member Type]]="Spouse",Table2[[#This Row],[Product Option]]="My Value Plus Life &amp; Funeral",_xlfn.XLOOKUP(B414,Table2[Main Member Link ID],Table2[Benefit Name],0)=Lookups!$D$15),Lookups!$D$20,
IF(AND(Table2[[#This Row],[Member Type]]="Spouse",Table2[[#This Row],[Product Option]]="My Value Plus Life &amp; Funeral",_xlfn.XLOOKUP(B414,Table2[Main Member Link ID],Table2[Benefit Name],0)=Lookups!$D$16),"",
IF(AND(Table2[[#This Row],[Member Type]]="Spouse",Table2[[#This Row],[Product Option]]="My Value Plus Life &amp; Funeral",_xlfn.XLOOKUP(B414,Table2[Main Member Link ID],Table2[Benefit Name],0)=Lookups!$D$17),Lookups!$D$21,
IF(AND(Table2[[#This Row],[Member Type]]="Child",Table2[[#This Row],[Product Option]]="My Value Plus Life &amp; Funeral",_xlfn.XLOOKUP(B415,Table2[Main Member Link ID],Table2[Benefit Name],0)=Lookups!$D$14),"",
IF(AND(Table2[[#This Row],[Member Type]]="Child",Table2[[#This Row],[Product Option]]="My Value Plus Life &amp; Funeral",_xlfn.XLOOKUP(B415,Table2[Main Member Link ID],Table2[Benefit Name],0)=Lookups!$D$15),"",
IF(AND(Table2[[#This Row],[Member Type]]="Child",Table2[[#This Row],[Product Option]]="My Value Plus Life &amp; Funeral",_xlfn.XLOOKUP(B415,Table2[Main Member Link ID],Table2[Benefit Name],0)=Lookups!$D$16),Lookups!$D$24,
IF(AND(Table2[[#This Row],[Member Type]]="Child",Table2[[#This Row],[Product Option]]="My Value Plus Life &amp; Funeral",_xlfn.XLOOKUP(B415,Table2[Main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Funeral",_xlfn.XLOOKUP(B415,Table2[Main Member Link ID],Table2[Benefit Name],0)&lt;&gt;Lookups!$D$14),
IF(_xlfn.XLOOKUP(B415,Table2[Main Member Link ID],Table2[Benefit Name],0)=0,"",_xlfn.XLOOKUP(B415,Table2[Main Member Link ID],Table2[Benefit Name],0)),"")))))))))))))))</f>
        <v/>
      </c>
      <c r="AF415" s="327" t="str">
        <f>IF(AND(Table2[[#This Row],[Member Type]]="Main Member",Table2[[#This Row],[Product Option]]="My Value Plus Life &amp; Funeral"),Lookups!$D$15,
IF(AND(Table2[[#This Row],[Member Type]]="Spouse",Table2[[#This Row],[Product Option]]="My Value Plus Life &amp; Funeral",_xlfn.XLOOKUP(B415,Table2[Main Member Link ID],Table2[Benefit Name],0)=Lookups!$D$14),"",
IF(AND(Table2[[#This Row],[Member Type]]="Spouse",Table2[[#This Row],[Product Option]]="My Value Plus Life &amp; Funeral",_xlfn.XLOOKUP(B414,Table2[Main Member Link ID],Table2[Benefit Name],0)=Lookups!$D$16),"",
IF(AND(Table2[[#This Row],[Member Type]]="Spouse",Table2[[#This Row],[Product Option]]="My Value Plus Life &amp; Funeral",_xlfn.XLOOKUP(B414,Table2[Main Member Link ID],Table2[Benefit Name],0)=Lookups!$D$15),"",
IF(AND(Table2[[#This Row],[Member Type]]="Spouse",Table2[[#This Row],[Product Option]]="My Value Plus Life &amp; Funeral",_xlfn.XLOOKUP(B414,Table2[Main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Funeral",_xlfn.XLOOKUP(B415,Table2[Main Member Link ID],Table2[Benefit Name],0)&lt;&gt;Lookups!$D$15),
IF(_xlfn.XLOOKUP(B415,Table2[Main Member Link ID],Table2[Benefit Name],0)=0,"",_xlfn.XLOOKUP(B415,Table2[Main Member Link ID],Table2[Benefit Name],0)),"")
))))))</f>
        <v/>
      </c>
      <c r="AG415" s="327" t="str">
        <f>IF(AND(Table2[[#This Row],[Member Type]]="Main Member",Table2[[#This Row],[Product Option]]="My Value Plus Life &amp; Funeral"),Lookups!$D$16,
IF(AND(Table2[[#This Row],[Member Type]]="Spouse",Table2[[#This Row],[Product Option]]="My Value Plus Life &amp; Funeral",_xlfn.XLOOKUP(B415,Table2[Main Member Link ID],Table2[Benefit Name],0)=Lookups!$D$14),"",
IF(AND(Table2[[#This Row],[Member Type]]="Spouse",Table2[[#This Row],[Product Option]]="My Value Plus Life &amp; Funeral",_xlfn.XLOOKUP(B414,Table2[Main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Funeral",_xlfn.XLOOKUP(B415,Table2[Main Member Link ID],Table2[Benefit Name],0)&lt;&gt;Lookups!$D$16),
IF(_xlfn.XLOOKUP(B415,Table2[Main Member Link ID],Table2[Benefit Name],0)=0,"",_xlfn.XLOOKUP(B415,Table2[Main Member Link ID],Table2[Benefit Name],0)),"")
))))</f>
        <v/>
      </c>
      <c r="AH415" s="327" t="str">
        <f>IF(AND(Table2[[#This Row],[Member Type]]="Main Member",Table2[[#This Row],[Product Option]]="My Value Plus Life &amp; Funeral"),Lookups!$D$17,
IF(AND(Table2[[#This Row],[Member Type]]="Spouse",Table2[[#This Row],[Product Option]]="My Value Plus Life &amp; Funeral",_xlfn.XLOOKUP(B415,Table2[Main Member Link ID],Table2[Benefit Name],0)=Lookups!$D$14),"",
IF(AND(Table2[[#This Row],[Member Type]]="Spouse",Table2[[#This Row],[Product Option]]="My Value Plus Life &amp; Funeral",_xlfn.XLOOKUP(B414,Table2[Main Member Link ID],Table2[Benefit Name],0)=Lookups!$D$16),"",
IF(AND(Table2[[#This Row],[Member Type]]="Child",Table2[[#This Row],[Product Option]]="My Value Plus Life &amp; Funeral"),"",
IF(AND(Table2[[#This Row],[Member Type]]="Child",Table2[[#This Row],[Product Option]]="My Value Plus Life &amp; Funeral",_xlfn.XLOOKUP(B415,Table2[Main Member Link ID],Table2[Benefit Name],0)=Lookups!$D$15),"",
IF(AND(OR(Table2[[#This Row],[Member Type]]="Spouse",Table2[[#This Row],[Member Type]]="Child"),Table2[[#This Row],[Product Option]]="My Value Plus Life &amp; Funeral",_xlfn.XLOOKUP(B415,Table2[Main Member Link ID],Table2[Benefit Name],0)&lt;&gt;Lookups!$D$17),
IF(_xlfn.XLOOKUP(B415,Table2[Main Member Link ID],Table2[Benefit Name],0)=0,"",_xlfn.XLOOKUP(B415,Table2[Main Member Link ID],Table2[Benefit Name],0)),""))))))</f>
        <v/>
      </c>
      <c r="AI415" s="328" t="str">
        <f>IF(AND(Table2[[#This Row],[Member Type]]="Main Member",Table2[[#This Row],[Table Lookup for Life Cover]]="MM_LIFE",Table2[[#This Row],[Age Next Birthday]]&lt;56),1,
IF(AND(Table2[[#This Row],[Member Type]]="Main Member",Table2[[#This Row],[Table Lookup for Life Cover]]="MM_LIFE",Table2[[#This Row],[Age Next Birthday]]&gt;=56),2,
""))</f>
        <v/>
      </c>
      <c r="AJ415" s="328">
        <f>IF(OR(Table2[[#This Row],[Member Type]]="Main Member",Table2[[#This Row],[Main Member Link ID]]=B414),1,0)</f>
        <v>1</v>
      </c>
      <c r="AK415" s="328">
        <f>IF(Table2[[#This Row],[Member Type]]=0,0,
IF(OR(Table2[[#This Row],[Member Type]]="Main Member",Table2[[#This Row],[Main Member Link ID]]&lt;&gt;B415),COUNTIFS(B:B,Table2[[#This Row],[Main Member Link ID]]),
COUNTIFS(B:B,Table2[[#This Row],[Main Member Link ID]],A:A,Table2[[#This Row],[Member Type]])))</f>
        <v>0</v>
      </c>
    </row>
    <row r="416" spans="1:37" x14ac:dyDescent="0.3">
      <c r="A416" s="284">
        <f>Table13[[#This Row],[Member Type]]</f>
        <v>0</v>
      </c>
      <c r="B416" s="284">
        <f>Table13[[#This Row],[Main Member Link ID]]</f>
        <v>0</v>
      </c>
      <c r="C416" s="284">
        <f>Table13[[#This Row],[ID Number]]</f>
        <v>0</v>
      </c>
      <c r="D416" s="285">
        <f>Table13[[#This Row],[Date Of Birth]]</f>
        <v>0</v>
      </c>
      <c r="E416" s="285">
        <f>Table13[[#This Row],[Commencement Date]]</f>
        <v>0</v>
      </c>
      <c r="F416" s="284">
        <f t="shared" si="42"/>
        <v>1</v>
      </c>
      <c r="G416" s="284">
        <f t="shared" si="43"/>
        <v>25</v>
      </c>
      <c r="H416" s="286">
        <f>Table13[[#This Row],[Product Option]]</f>
        <v>0</v>
      </c>
      <c r="I416" s="284">
        <f>IF(AND($A416="Main Member",Table2[[#This Row],[Product Option]]="My Value Plus Life"),"MM_LIFE",
IF(AND($A416="Spouse",Table2[[#This Row],[Product Option]]="My Value Plus Life"),"SP_LIFE",
IF(AND($A416="Main Member",Table2[[#This Row],[Product Option]]="My Value Plus Life &amp; Funeral"),"MM_LIFE",
IF(AND($A416="Spouse",Table2[[#This Row],[Product Option]]="My Value Plus Life &amp; Funeral"),_xlfn.XLOOKUP(Table2[[#This Row],[Benefit Name]],Lookups!$D$18:$D$23,Lookups!$E$18:$E$23,0),
0))))</f>
        <v>0</v>
      </c>
      <c r="J416" s="284">
        <f>IF($I416="","",
IF($I416="MM_LIFE",INDEX('Quotation Tool'!$S$54:$V$60,MATCH($T416,'Quotation Tool'!$S$54:$S$60,0),4),
IF($I416="SP_LIFE",_xlfn.XLOOKUP(B415,$B:$B,$J:$J,0),0)))</f>
        <v>0</v>
      </c>
      <c r="K416" s="287">
        <f t="shared" ca="1" si="47"/>
        <v>0</v>
      </c>
      <c r="L416" s="288">
        <f t="shared" ca="1" si="48"/>
        <v>0</v>
      </c>
      <c r="M416" s="289">
        <f t="shared" ca="1" si="44"/>
        <v>0</v>
      </c>
      <c r="N416" s="286">
        <f>Table13[[#This Row],[Benefit Option]]</f>
        <v>0</v>
      </c>
      <c r="O416" s="284">
        <f>IF(OR(Table2[[#This Row],[Member Type]]="Spouse",Table2[[#This Row],[Member Type]]="Child"),0,
IF(_xlfn.XLOOKUP($N416,Lookups!$D$13:$D$27,Lookups!$F$13:$F$27,0)=Table2[[#This Row],[Table Lookup for Life Cover]],0,
_xlfn.XLOOKUP($N416,Lookups!$D$13:$D$27,Lookups!$F$13:$F$27,0)))</f>
        <v>0</v>
      </c>
      <c r="P416" s="284">
        <f>IF(Table2[[#This Row],[Table Lookup for Funeral]]=0,0,IFERROR(INDEX('Quotation Tool'!$S$54:$V$60,MATCH($T416,'Quotation Tool'!$S$54:$S$60,0),3),0))</f>
        <v>0</v>
      </c>
      <c r="Q416" s="288">
        <f ca="1">IF(OR(Table2[[#This Row],[Benefit Name]]="My Value Plus Life - Main Member",Table2[[#This Row],[Benefit Name]]="My Value Plus Life - Spouse"),0,
IFERROR(VLOOKUP($G416,INDIRECT($O416),$P416,FALSE),0))</f>
        <v>0</v>
      </c>
      <c r="R416" s="288">
        <f ca="1">IF(OR(Table2[[#This Row],[Benefit Name]]="My Value Plus Life - Main Member",Table2[[#This Row],[Benefit Name]]="My Value Plus Life - Spouse"),0,
IFERROR(VLOOKUP($G416,INDIRECT($O416),$P416+1,FALSE),0))</f>
        <v>0</v>
      </c>
      <c r="S416" s="289">
        <f t="shared" ca="1" si="45"/>
        <v>0</v>
      </c>
      <c r="T416" s="284" t="str">
        <f>IF(Table13[[#This Row],[Premium Waiver]]="","None",Table13[[#This Row],[Premium Waiver]])</f>
        <v>None</v>
      </c>
      <c r="U416" s="284">
        <f>Table13[[#This Row],[VAPs Options]]</f>
        <v>0</v>
      </c>
      <c r="V416" s="284">
        <f>Table13[[#This Row],[Annual Increase Option]]</f>
        <v>0</v>
      </c>
      <c r="W416" s="290">
        <f>Table13[[#This Row],[Life Cover Amount]]</f>
        <v>0</v>
      </c>
      <c r="X416" s="290">
        <f>Table13[[#This Row],[Funeral Cover Amount]]</f>
        <v>0</v>
      </c>
      <c r="Y41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1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16" s="301">
        <f t="shared" ca="1" si="46"/>
        <v>0</v>
      </c>
      <c r="AB416" s="298"/>
      <c r="AC416" s="326" t="str">
        <f>IF(Table2[[#This Row],[Member Type]]="Main Member",Lookups!$C$13,
IF(Table2[[#This Row],[Member Type]]="Spouse",_xlfn.XLOOKUP(B416,Table2[Main Member Link ID],Table2[Product Option],0),
IF(AND(Table2[[#This Row],[Member Type]]="Child",_xlfn.XLOOKUP(B416,Table2[Main Member Link ID],Table2[Product Option],0)&lt;&gt;"My Value Plus Life"),Lookups!$C$24,
IF(AND(OR(Table2[[#This Row],[Member Type]]="Parent",Table2[[#This Row],[Member Type]]="Extended"),_xlfn.XLOOKUP(B416,Table2[Main Member Link ID],Table2[Product Option],0)&lt;&gt;"My Value Plus Life"),Lookups!$C$26,""))))</f>
        <v/>
      </c>
      <c r="AD416" s="326" t="str">
        <f>IF(Table2[[#This Row],[Member Type]]="Main Member",Lookups!$C$14,"")</f>
        <v/>
      </c>
      <c r="AE41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Funeral",_xlfn.XLOOKUP(B416,Table2[Main Member Link ID],Table2[Benefit Name],0)=Lookups!$D$14),"",
IF(AND(Table2[[#This Row],[Member Type]]="Spouse",Table2[[#This Row],[Product Option]]="My Value Plus Life &amp; Funeral",_xlfn.XLOOKUP(B415,Table2[Main Member Link ID],Table2[Benefit Name],0)=Lookups!$D$15),Lookups!$D$20,
IF(AND(Table2[[#This Row],[Member Type]]="Spouse",Table2[[#This Row],[Product Option]]="My Value Plus Life &amp; Funeral",_xlfn.XLOOKUP(B415,Table2[Main Member Link ID],Table2[Benefit Name],0)=Lookups!$D$16),"",
IF(AND(Table2[[#This Row],[Member Type]]="Spouse",Table2[[#This Row],[Product Option]]="My Value Plus Life &amp; Funeral",_xlfn.XLOOKUP(B415,Table2[Main Member Link ID],Table2[Benefit Name],0)=Lookups!$D$17),Lookups!$D$21,
IF(AND(Table2[[#This Row],[Member Type]]="Child",Table2[[#This Row],[Product Option]]="My Value Plus Life &amp; Funeral",_xlfn.XLOOKUP(B416,Table2[Main Member Link ID],Table2[Benefit Name],0)=Lookups!$D$14),"",
IF(AND(Table2[[#This Row],[Member Type]]="Child",Table2[[#This Row],[Product Option]]="My Value Plus Life &amp; Funeral",_xlfn.XLOOKUP(B416,Table2[Main Member Link ID],Table2[Benefit Name],0)=Lookups!$D$15),"",
IF(AND(Table2[[#This Row],[Member Type]]="Child",Table2[[#This Row],[Product Option]]="My Value Plus Life &amp; Funeral",_xlfn.XLOOKUP(B416,Table2[Main Member Link ID],Table2[Benefit Name],0)=Lookups!$D$16),Lookups!$D$24,
IF(AND(Table2[[#This Row],[Member Type]]="Child",Table2[[#This Row],[Product Option]]="My Value Plus Life &amp; Funeral",_xlfn.XLOOKUP(B416,Table2[Main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Funeral",_xlfn.XLOOKUP(B416,Table2[Main Member Link ID],Table2[Benefit Name],0)&lt;&gt;Lookups!$D$14),
IF(_xlfn.XLOOKUP(B416,Table2[Main Member Link ID],Table2[Benefit Name],0)=0,"",_xlfn.XLOOKUP(B416,Table2[Main Member Link ID],Table2[Benefit Name],0)),"")))))))))))))))</f>
        <v/>
      </c>
      <c r="AF416" s="327" t="str">
        <f>IF(AND(Table2[[#This Row],[Member Type]]="Main Member",Table2[[#This Row],[Product Option]]="My Value Plus Life &amp; Funeral"),Lookups!$D$15,
IF(AND(Table2[[#This Row],[Member Type]]="Spouse",Table2[[#This Row],[Product Option]]="My Value Plus Life &amp; Funeral",_xlfn.XLOOKUP(B416,Table2[Main Member Link ID],Table2[Benefit Name],0)=Lookups!$D$14),"",
IF(AND(Table2[[#This Row],[Member Type]]="Spouse",Table2[[#This Row],[Product Option]]="My Value Plus Life &amp; Funeral",_xlfn.XLOOKUP(B415,Table2[Main Member Link ID],Table2[Benefit Name],0)=Lookups!$D$16),"",
IF(AND(Table2[[#This Row],[Member Type]]="Spouse",Table2[[#This Row],[Product Option]]="My Value Plus Life &amp; Funeral",_xlfn.XLOOKUP(B415,Table2[Main Member Link ID],Table2[Benefit Name],0)=Lookups!$D$15),"",
IF(AND(Table2[[#This Row],[Member Type]]="Spouse",Table2[[#This Row],[Product Option]]="My Value Plus Life &amp; Funeral",_xlfn.XLOOKUP(B415,Table2[Main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Funeral",_xlfn.XLOOKUP(B416,Table2[Main Member Link ID],Table2[Benefit Name],0)&lt;&gt;Lookups!$D$15),
IF(_xlfn.XLOOKUP(B416,Table2[Main Member Link ID],Table2[Benefit Name],0)=0,"",_xlfn.XLOOKUP(B416,Table2[Main Member Link ID],Table2[Benefit Name],0)),"")
))))))</f>
        <v/>
      </c>
      <c r="AG416" s="327" t="str">
        <f>IF(AND(Table2[[#This Row],[Member Type]]="Main Member",Table2[[#This Row],[Product Option]]="My Value Plus Life &amp; Funeral"),Lookups!$D$16,
IF(AND(Table2[[#This Row],[Member Type]]="Spouse",Table2[[#This Row],[Product Option]]="My Value Plus Life &amp; Funeral",_xlfn.XLOOKUP(B416,Table2[Main Member Link ID],Table2[Benefit Name],0)=Lookups!$D$14),"",
IF(AND(Table2[[#This Row],[Member Type]]="Spouse",Table2[[#This Row],[Product Option]]="My Value Plus Life &amp; Funeral",_xlfn.XLOOKUP(B415,Table2[Main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Funeral",_xlfn.XLOOKUP(B416,Table2[Main Member Link ID],Table2[Benefit Name],0)&lt;&gt;Lookups!$D$16),
IF(_xlfn.XLOOKUP(B416,Table2[Main Member Link ID],Table2[Benefit Name],0)=0,"",_xlfn.XLOOKUP(B416,Table2[Main Member Link ID],Table2[Benefit Name],0)),"")
))))</f>
        <v/>
      </c>
      <c r="AH416" s="327" t="str">
        <f>IF(AND(Table2[[#This Row],[Member Type]]="Main Member",Table2[[#This Row],[Product Option]]="My Value Plus Life &amp; Funeral"),Lookups!$D$17,
IF(AND(Table2[[#This Row],[Member Type]]="Spouse",Table2[[#This Row],[Product Option]]="My Value Plus Life &amp; Funeral",_xlfn.XLOOKUP(B416,Table2[Main Member Link ID],Table2[Benefit Name],0)=Lookups!$D$14),"",
IF(AND(Table2[[#This Row],[Member Type]]="Spouse",Table2[[#This Row],[Product Option]]="My Value Plus Life &amp; Funeral",_xlfn.XLOOKUP(B415,Table2[Main Member Link ID],Table2[Benefit Name],0)=Lookups!$D$16),"",
IF(AND(Table2[[#This Row],[Member Type]]="Child",Table2[[#This Row],[Product Option]]="My Value Plus Life &amp; Funeral"),"",
IF(AND(Table2[[#This Row],[Member Type]]="Child",Table2[[#This Row],[Product Option]]="My Value Plus Life &amp; Funeral",_xlfn.XLOOKUP(B416,Table2[Main Member Link ID],Table2[Benefit Name],0)=Lookups!$D$15),"",
IF(AND(OR(Table2[[#This Row],[Member Type]]="Spouse",Table2[[#This Row],[Member Type]]="Child"),Table2[[#This Row],[Product Option]]="My Value Plus Life &amp; Funeral",_xlfn.XLOOKUP(B416,Table2[Main Member Link ID],Table2[Benefit Name],0)&lt;&gt;Lookups!$D$17),
IF(_xlfn.XLOOKUP(B416,Table2[Main Member Link ID],Table2[Benefit Name],0)=0,"",_xlfn.XLOOKUP(B416,Table2[Main Member Link ID],Table2[Benefit Name],0)),""))))))</f>
        <v/>
      </c>
      <c r="AI416" s="328" t="str">
        <f>IF(AND(Table2[[#This Row],[Member Type]]="Main Member",Table2[[#This Row],[Table Lookup for Life Cover]]="MM_LIFE",Table2[[#This Row],[Age Next Birthday]]&lt;56),1,
IF(AND(Table2[[#This Row],[Member Type]]="Main Member",Table2[[#This Row],[Table Lookup for Life Cover]]="MM_LIFE",Table2[[#This Row],[Age Next Birthday]]&gt;=56),2,
""))</f>
        <v/>
      </c>
      <c r="AJ416" s="328">
        <f>IF(OR(Table2[[#This Row],[Member Type]]="Main Member",Table2[[#This Row],[Main Member Link ID]]=B415),1,0)</f>
        <v>1</v>
      </c>
      <c r="AK416" s="328">
        <f>IF(Table2[[#This Row],[Member Type]]=0,0,
IF(OR(Table2[[#This Row],[Member Type]]="Main Member",Table2[[#This Row],[Main Member Link ID]]&lt;&gt;B416),COUNTIFS(B:B,Table2[[#This Row],[Main Member Link ID]]),
COUNTIFS(B:B,Table2[[#This Row],[Main Member Link ID]],A:A,Table2[[#This Row],[Member Type]])))</f>
        <v>0</v>
      </c>
    </row>
    <row r="417" spans="1:37" x14ac:dyDescent="0.3">
      <c r="A417" s="284">
        <f>Table13[[#This Row],[Member Type]]</f>
        <v>0</v>
      </c>
      <c r="B417" s="284">
        <f>Table13[[#This Row],[Main Member Link ID]]</f>
        <v>0</v>
      </c>
      <c r="C417" s="284">
        <f>Table13[[#This Row],[ID Number]]</f>
        <v>0</v>
      </c>
      <c r="D417" s="285">
        <f>Table13[[#This Row],[Date Of Birth]]</f>
        <v>0</v>
      </c>
      <c r="E417" s="285">
        <f>Table13[[#This Row],[Commencement Date]]</f>
        <v>0</v>
      </c>
      <c r="F417" s="284">
        <f t="shared" si="42"/>
        <v>1</v>
      </c>
      <c r="G417" s="284">
        <f t="shared" si="43"/>
        <v>25</v>
      </c>
      <c r="H417" s="286">
        <f>Table13[[#This Row],[Product Option]]</f>
        <v>0</v>
      </c>
      <c r="I417" s="284">
        <f>IF(AND($A417="Main Member",Table2[[#This Row],[Product Option]]="My Value Plus Life"),"MM_LIFE",
IF(AND($A417="Spouse",Table2[[#This Row],[Product Option]]="My Value Plus Life"),"SP_LIFE",
IF(AND($A417="Main Member",Table2[[#This Row],[Product Option]]="My Value Plus Life &amp; Funeral"),"MM_LIFE",
IF(AND($A417="Spouse",Table2[[#This Row],[Product Option]]="My Value Plus Life &amp; Funeral"),_xlfn.XLOOKUP(Table2[[#This Row],[Benefit Name]],Lookups!$D$18:$D$23,Lookups!$E$18:$E$23,0),
0))))</f>
        <v>0</v>
      </c>
      <c r="J417" s="284">
        <f>IF($I417="","",
IF($I417="MM_LIFE",INDEX('Quotation Tool'!$S$54:$V$60,MATCH($T417,'Quotation Tool'!$S$54:$S$60,0),4),
IF($I417="SP_LIFE",_xlfn.XLOOKUP(B416,$B:$B,$J:$J,0),0)))</f>
        <v>0</v>
      </c>
      <c r="K417" s="287">
        <f t="shared" ca="1" si="47"/>
        <v>0</v>
      </c>
      <c r="L417" s="288">
        <f t="shared" ca="1" si="48"/>
        <v>0</v>
      </c>
      <c r="M417" s="289">
        <f t="shared" ca="1" si="44"/>
        <v>0</v>
      </c>
      <c r="N417" s="286">
        <f>Table13[[#This Row],[Benefit Option]]</f>
        <v>0</v>
      </c>
      <c r="O417" s="284">
        <f>IF(OR(Table2[[#This Row],[Member Type]]="Spouse",Table2[[#This Row],[Member Type]]="Child"),0,
IF(_xlfn.XLOOKUP($N417,Lookups!$D$13:$D$27,Lookups!$F$13:$F$27,0)=Table2[[#This Row],[Table Lookup for Life Cover]],0,
_xlfn.XLOOKUP($N417,Lookups!$D$13:$D$27,Lookups!$F$13:$F$27,0)))</f>
        <v>0</v>
      </c>
      <c r="P417" s="284">
        <f>IF(Table2[[#This Row],[Table Lookup for Funeral]]=0,0,IFERROR(INDEX('Quotation Tool'!$S$54:$V$60,MATCH($T417,'Quotation Tool'!$S$54:$S$60,0),3),0))</f>
        <v>0</v>
      </c>
      <c r="Q417" s="288">
        <f ca="1">IF(OR(Table2[[#This Row],[Benefit Name]]="My Value Plus Life - Main Member",Table2[[#This Row],[Benefit Name]]="My Value Plus Life - Spouse"),0,
IFERROR(VLOOKUP($G417,INDIRECT($O417),$P417,FALSE),0))</f>
        <v>0</v>
      </c>
      <c r="R417" s="288">
        <f ca="1">IF(OR(Table2[[#This Row],[Benefit Name]]="My Value Plus Life - Main Member",Table2[[#This Row],[Benefit Name]]="My Value Plus Life - Spouse"),0,
IFERROR(VLOOKUP($G417,INDIRECT($O417),$P417+1,FALSE),0))</f>
        <v>0</v>
      </c>
      <c r="S417" s="289">
        <f t="shared" ca="1" si="45"/>
        <v>0</v>
      </c>
      <c r="T417" s="284" t="str">
        <f>IF(Table13[[#This Row],[Premium Waiver]]="","None",Table13[[#This Row],[Premium Waiver]])</f>
        <v>None</v>
      </c>
      <c r="U417" s="284">
        <f>Table13[[#This Row],[VAPs Options]]</f>
        <v>0</v>
      </c>
      <c r="V417" s="284">
        <f>Table13[[#This Row],[Annual Increase Option]]</f>
        <v>0</v>
      </c>
      <c r="W417" s="290">
        <f>Table13[[#This Row],[Life Cover Amount]]</f>
        <v>0</v>
      </c>
      <c r="X417" s="290">
        <f>Table13[[#This Row],[Funeral Cover Amount]]</f>
        <v>0</v>
      </c>
      <c r="Y41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1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17" s="301">
        <f t="shared" ca="1" si="46"/>
        <v>0</v>
      </c>
      <c r="AB417" s="298"/>
      <c r="AC417" s="326" t="str">
        <f>IF(Table2[[#This Row],[Member Type]]="Main Member",Lookups!$C$13,
IF(Table2[[#This Row],[Member Type]]="Spouse",_xlfn.XLOOKUP(B417,Table2[Main Member Link ID],Table2[Product Option],0),
IF(AND(Table2[[#This Row],[Member Type]]="Child",_xlfn.XLOOKUP(B417,Table2[Main Member Link ID],Table2[Product Option],0)&lt;&gt;"My Value Plus Life"),Lookups!$C$24,
IF(AND(OR(Table2[[#This Row],[Member Type]]="Parent",Table2[[#This Row],[Member Type]]="Extended"),_xlfn.XLOOKUP(B417,Table2[Main Member Link ID],Table2[Product Option],0)&lt;&gt;"My Value Plus Life"),Lookups!$C$26,""))))</f>
        <v/>
      </c>
      <c r="AD417" s="326" t="str">
        <f>IF(Table2[[#This Row],[Member Type]]="Main Member",Lookups!$C$14,"")</f>
        <v/>
      </c>
      <c r="AE41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Funeral",_xlfn.XLOOKUP(B417,Table2[Main Member Link ID],Table2[Benefit Name],0)=Lookups!$D$14),"",
IF(AND(Table2[[#This Row],[Member Type]]="Spouse",Table2[[#This Row],[Product Option]]="My Value Plus Life &amp; Funeral",_xlfn.XLOOKUP(B416,Table2[Main Member Link ID],Table2[Benefit Name],0)=Lookups!$D$15),Lookups!$D$20,
IF(AND(Table2[[#This Row],[Member Type]]="Spouse",Table2[[#This Row],[Product Option]]="My Value Plus Life &amp; Funeral",_xlfn.XLOOKUP(B416,Table2[Main Member Link ID],Table2[Benefit Name],0)=Lookups!$D$16),"",
IF(AND(Table2[[#This Row],[Member Type]]="Spouse",Table2[[#This Row],[Product Option]]="My Value Plus Life &amp; Funeral",_xlfn.XLOOKUP(B416,Table2[Main Member Link ID],Table2[Benefit Name],0)=Lookups!$D$17),Lookups!$D$21,
IF(AND(Table2[[#This Row],[Member Type]]="Child",Table2[[#This Row],[Product Option]]="My Value Plus Life &amp; Funeral",_xlfn.XLOOKUP(B417,Table2[Main Member Link ID],Table2[Benefit Name],0)=Lookups!$D$14),"",
IF(AND(Table2[[#This Row],[Member Type]]="Child",Table2[[#This Row],[Product Option]]="My Value Plus Life &amp; Funeral",_xlfn.XLOOKUP(B417,Table2[Main Member Link ID],Table2[Benefit Name],0)=Lookups!$D$15),"",
IF(AND(Table2[[#This Row],[Member Type]]="Child",Table2[[#This Row],[Product Option]]="My Value Plus Life &amp; Funeral",_xlfn.XLOOKUP(B417,Table2[Main Member Link ID],Table2[Benefit Name],0)=Lookups!$D$16),Lookups!$D$24,
IF(AND(Table2[[#This Row],[Member Type]]="Child",Table2[[#This Row],[Product Option]]="My Value Plus Life &amp; Funeral",_xlfn.XLOOKUP(B417,Table2[Main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Funeral",_xlfn.XLOOKUP(B417,Table2[Main Member Link ID],Table2[Benefit Name],0)&lt;&gt;Lookups!$D$14),
IF(_xlfn.XLOOKUP(B417,Table2[Main Member Link ID],Table2[Benefit Name],0)=0,"",_xlfn.XLOOKUP(B417,Table2[Main Member Link ID],Table2[Benefit Name],0)),"")))))))))))))))</f>
        <v/>
      </c>
      <c r="AF417" s="327" t="str">
        <f>IF(AND(Table2[[#This Row],[Member Type]]="Main Member",Table2[[#This Row],[Product Option]]="My Value Plus Life &amp; Funeral"),Lookups!$D$15,
IF(AND(Table2[[#This Row],[Member Type]]="Spouse",Table2[[#This Row],[Product Option]]="My Value Plus Life &amp; Funeral",_xlfn.XLOOKUP(B417,Table2[Main Member Link ID],Table2[Benefit Name],0)=Lookups!$D$14),"",
IF(AND(Table2[[#This Row],[Member Type]]="Spouse",Table2[[#This Row],[Product Option]]="My Value Plus Life &amp; Funeral",_xlfn.XLOOKUP(B416,Table2[Main Member Link ID],Table2[Benefit Name],0)=Lookups!$D$16),"",
IF(AND(Table2[[#This Row],[Member Type]]="Spouse",Table2[[#This Row],[Product Option]]="My Value Plus Life &amp; Funeral",_xlfn.XLOOKUP(B416,Table2[Main Member Link ID],Table2[Benefit Name],0)=Lookups!$D$15),"",
IF(AND(Table2[[#This Row],[Member Type]]="Spouse",Table2[[#This Row],[Product Option]]="My Value Plus Life &amp; Funeral",_xlfn.XLOOKUP(B416,Table2[Main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Funeral",_xlfn.XLOOKUP(B417,Table2[Main Member Link ID],Table2[Benefit Name],0)&lt;&gt;Lookups!$D$15),
IF(_xlfn.XLOOKUP(B417,Table2[Main Member Link ID],Table2[Benefit Name],0)=0,"",_xlfn.XLOOKUP(B417,Table2[Main Member Link ID],Table2[Benefit Name],0)),"")
))))))</f>
        <v/>
      </c>
      <c r="AG417" s="327" t="str">
        <f>IF(AND(Table2[[#This Row],[Member Type]]="Main Member",Table2[[#This Row],[Product Option]]="My Value Plus Life &amp; Funeral"),Lookups!$D$16,
IF(AND(Table2[[#This Row],[Member Type]]="Spouse",Table2[[#This Row],[Product Option]]="My Value Plus Life &amp; Funeral",_xlfn.XLOOKUP(B417,Table2[Main Member Link ID],Table2[Benefit Name],0)=Lookups!$D$14),"",
IF(AND(Table2[[#This Row],[Member Type]]="Spouse",Table2[[#This Row],[Product Option]]="My Value Plus Life &amp; Funeral",_xlfn.XLOOKUP(B416,Table2[Main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Funeral",_xlfn.XLOOKUP(B417,Table2[Main Member Link ID],Table2[Benefit Name],0)&lt;&gt;Lookups!$D$16),
IF(_xlfn.XLOOKUP(B417,Table2[Main Member Link ID],Table2[Benefit Name],0)=0,"",_xlfn.XLOOKUP(B417,Table2[Main Member Link ID],Table2[Benefit Name],0)),"")
))))</f>
        <v/>
      </c>
      <c r="AH417" s="327" t="str">
        <f>IF(AND(Table2[[#This Row],[Member Type]]="Main Member",Table2[[#This Row],[Product Option]]="My Value Plus Life &amp; Funeral"),Lookups!$D$17,
IF(AND(Table2[[#This Row],[Member Type]]="Spouse",Table2[[#This Row],[Product Option]]="My Value Plus Life &amp; Funeral",_xlfn.XLOOKUP(B417,Table2[Main Member Link ID],Table2[Benefit Name],0)=Lookups!$D$14),"",
IF(AND(Table2[[#This Row],[Member Type]]="Spouse",Table2[[#This Row],[Product Option]]="My Value Plus Life &amp; Funeral",_xlfn.XLOOKUP(B416,Table2[Main Member Link ID],Table2[Benefit Name],0)=Lookups!$D$16),"",
IF(AND(Table2[[#This Row],[Member Type]]="Child",Table2[[#This Row],[Product Option]]="My Value Plus Life &amp; Funeral"),"",
IF(AND(Table2[[#This Row],[Member Type]]="Child",Table2[[#This Row],[Product Option]]="My Value Plus Life &amp; Funeral",_xlfn.XLOOKUP(B417,Table2[Main Member Link ID],Table2[Benefit Name],0)=Lookups!$D$15),"",
IF(AND(OR(Table2[[#This Row],[Member Type]]="Spouse",Table2[[#This Row],[Member Type]]="Child"),Table2[[#This Row],[Product Option]]="My Value Plus Life &amp; Funeral",_xlfn.XLOOKUP(B417,Table2[Main Member Link ID],Table2[Benefit Name],0)&lt;&gt;Lookups!$D$17),
IF(_xlfn.XLOOKUP(B417,Table2[Main Member Link ID],Table2[Benefit Name],0)=0,"",_xlfn.XLOOKUP(B417,Table2[Main Member Link ID],Table2[Benefit Name],0)),""))))))</f>
        <v/>
      </c>
      <c r="AI417" s="328" t="str">
        <f>IF(AND(Table2[[#This Row],[Member Type]]="Main Member",Table2[[#This Row],[Table Lookup for Life Cover]]="MM_LIFE",Table2[[#This Row],[Age Next Birthday]]&lt;56),1,
IF(AND(Table2[[#This Row],[Member Type]]="Main Member",Table2[[#This Row],[Table Lookup for Life Cover]]="MM_LIFE",Table2[[#This Row],[Age Next Birthday]]&gt;=56),2,
""))</f>
        <v/>
      </c>
      <c r="AJ417" s="328">
        <f>IF(OR(Table2[[#This Row],[Member Type]]="Main Member",Table2[[#This Row],[Main Member Link ID]]=B416),1,0)</f>
        <v>1</v>
      </c>
      <c r="AK417" s="328">
        <f>IF(Table2[[#This Row],[Member Type]]=0,0,
IF(OR(Table2[[#This Row],[Member Type]]="Main Member",Table2[[#This Row],[Main Member Link ID]]&lt;&gt;B417),COUNTIFS(B:B,Table2[[#This Row],[Main Member Link ID]]),
COUNTIFS(B:B,Table2[[#This Row],[Main Member Link ID]],A:A,Table2[[#This Row],[Member Type]])))</f>
        <v>0</v>
      </c>
    </row>
    <row r="418" spans="1:37" x14ac:dyDescent="0.3">
      <c r="A418" s="284">
        <f>Table13[[#This Row],[Member Type]]</f>
        <v>0</v>
      </c>
      <c r="B418" s="284">
        <f>Table13[[#This Row],[Main Member Link ID]]</f>
        <v>0</v>
      </c>
      <c r="C418" s="284">
        <f>Table13[[#This Row],[ID Number]]</f>
        <v>0</v>
      </c>
      <c r="D418" s="285">
        <f>Table13[[#This Row],[Date Of Birth]]</f>
        <v>0</v>
      </c>
      <c r="E418" s="285">
        <f>Table13[[#This Row],[Commencement Date]]</f>
        <v>0</v>
      </c>
      <c r="F418" s="284">
        <f t="shared" si="42"/>
        <v>1</v>
      </c>
      <c r="G418" s="284">
        <f t="shared" si="43"/>
        <v>25</v>
      </c>
      <c r="H418" s="286">
        <f>Table13[[#This Row],[Product Option]]</f>
        <v>0</v>
      </c>
      <c r="I418" s="284">
        <f>IF(AND($A418="Main Member",Table2[[#This Row],[Product Option]]="My Value Plus Life"),"MM_LIFE",
IF(AND($A418="Spouse",Table2[[#This Row],[Product Option]]="My Value Plus Life"),"SP_LIFE",
IF(AND($A418="Main Member",Table2[[#This Row],[Product Option]]="My Value Plus Life &amp; Funeral"),"MM_LIFE",
IF(AND($A418="Spouse",Table2[[#This Row],[Product Option]]="My Value Plus Life &amp; Funeral"),_xlfn.XLOOKUP(Table2[[#This Row],[Benefit Name]],Lookups!$D$18:$D$23,Lookups!$E$18:$E$23,0),
0))))</f>
        <v>0</v>
      </c>
      <c r="J418" s="284">
        <f>IF($I418="","",
IF($I418="MM_LIFE",INDEX('Quotation Tool'!$S$54:$V$60,MATCH($T418,'Quotation Tool'!$S$54:$S$60,0),4),
IF($I418="SP_LIFE",_xlfn.XLOOKUP(B417,$B:$B,$J:$J,0),0)))</f>
        <v>0</v>
      </c>
      <c r="K418" s="287">
        <f t="shared" ca="1" si="47"/>
        <v>0</v>
      </c>
      <c r="L418" s="288">
        <f t="shared" ca="1" si="48"/>
        <v>0</v>
      </c>
      <c r="M418" s="289">
        <f t="shared" ca="1" si="44"/>
        <v>0</v>
      </c>
      <c r="N418" s="286">
        <f>Table13[[#This Row],[Benefit Option]]</f>
        <v>0</v>
      </c>
      <c r="O418" s="284">
        <f>IF(OR(Table2[[#This Row],[Member Type]]="Spouse",Table2[[#This Row],[Member Type]]="Child"),0,
IF(_xlfn.XLOOKUP($N418,Lookups!$D$13:$D$27,Lookups!$F$13:$F$27,0)=Table2[[#This Row],[Table Lookup for Life Cover]],0,
_xlfn.XLOOKUP($N418,Lookups!$D$13:$D$27,Lookups!$F$13:$F$27,0)))</f>
        <v>0</v>
      </c>
      <c r="P418" s="284">
        <f>IF(Table2[[#This Row],[Table Lookup for Funeral]]=0,0,IFERROR(INDEX('Quotation Tool'!$S$54:$V$60,MATCH($T418,'Quotation Tool'!$S$54:$S$60,0),3),0))</f>
        <v>0</v>
      </c>
      <c r="Q418" s="288">
        <f ca="1">IF(OR(Table2[[#This Row],[Benefit Name]]="My Value Plus Life - Main Member",Table2[[#This Row],[Benefit Name]]="My Value Plus Life - Spouse"),0,
IFERROR(VLOOKUP($G418,INDIRECT($O418),$P418,FALSE),0))</f>
        <v>0</v>
      </c>
      <c r="R418" s="288">
        <f ca="1">IF(OR(Table2[[#This Row],[Benefit Name]]="My Value Plus Life - Main Member",Table2[[#This Row],[Benefit Name]]="My Value Plus Life - Spouse"),0,
IFERROR(VLOOKUP($G418,INDIRECT($O418),$P418+1,FALSE),0))</f>
        <v>0</v>
      </c>
      <c r="S418" s="289">
        <f t="shared" ca="1" si="45"/>
        <v>0</v>
      </c>
      <c r="T418" s="284" t="str">
        <f>IF(Table13[[#This Row],[Premium Waiver]]="","None",Table13[[#This Row],[Premium Waiver]])</f>
        <v>None</v>
      </c>
      <c r="U418" s="284">
        <f>Table13[[#This Row],[VAPs Options]]</f>
        <v>0</v>
      </c>
      <c r="V418" s="284">
        <f>Table13[[#This Row],[Annual Increase Option]]</f>
        <v>0</v>
      </c>
      <c r="W418" s="290">
        <f>Table13[[#This Row],[Life Cover Amount]]</f>
        <v>0</v>
      </c>
      <c r="X418" s="290">
        <f>Table13[[#This Row],[Funeral Cover Amount]]</f>
        <v>0</v>
      </c>
      <c r="Y41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1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18" s="301">
        <f t="shared" ca="1" si="46"/>
        <v>0</v>
      </c>
      <c r="AB418" s="298"/>
      <c r="AC418" s="326" t="str">
        <f>IF(Table2[[#This Row],[Member Type]]="Main Member",Lookups!$C$13,
IF(Table2[[#This Row],[Member Type]]="Spouse",_xlfn.XLOOKUP(B418,Table2[Main Member Link ID],Table2[Product Option],0),
IF(AND(Table2[[#This Row],[Member Type]]="Child",_xlfn.XLOOKUP(B418,Table2[Main Member Link ID],Table2[Product Option],0)&lt;&gt;"My Value Plus Life"),Lookups!$C$24,
IF(AND(OR(Table2[[#This Row],[Member Type]]="Parent",Table2[[#This Row],[Member Type]]="Extended"),_xlfn.XLOOKUP(B418,Table2[Main Member Link ID],Table2[Product Option],0)&lt;&gt;"My Value Plus Life"),Lookups!$C$26,""))))</f>
        <v/>
      </c>
      <c r="AD418" s="326" t="str">
        <f>IF(Table2[[#This Row],[Member Type]]="Main Member",Lookups!$C$14,"")</f>
        <v/>
      </c>
      <c r="AE41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Funeral",_xlfn.XLOOKUP(B418,Table2[Main Member Link ID],Table2[Benefit Name],0)=Lookups!$D$14),"",
IF(AND(Table2[[#This Row],[Member Type]]="Spouse",Table2[[#This Row],[Product Option]]="My Value Plus Life &amp; Funeral",_xlfn.XLOOKUP(B417,Table2[Main Member Link ID],Table2[Benefit Name],0)=Lookups!$D$15),Lookups!$D$20,
IF(AND(Table2[[#This Row],[Member Type]]="Spouse",Table2[[#This Row],[Product Option]]="My Value Plus Life &amp; Funeral",_xlfn.XLOOKUP(B417,Table2[Main Member Link ID],Table2[Benefit Name],0)=Lookups!$D$16),"",
IF(AND(Table2[[#This Row],[Member Type]]="Spouse",Table2[[#This Row],[Product Option]]="My Value Plus Life &amp; Funeral",_xlfn.XLOOKUP(B417,Table2[Main Member Link ID],Table2[Benefit Name],0)=Lookups!$D$17),Lookups!$D$21,
IF(AND(Table2[[#This Row],[Member Type]]="Child",Table2[[#This Row],[Product Option]]="My Value Plus Life &amp; Funeral",_xlfn.XLOOKUP(B418,Table2[Main Member Link ID],Table2[Benefit Name],0)=Lookups!$D$14),"",
IF(AND(Table2[[#This Row],[Member Type]]="Child",Table2[[#This Row],[Product Option]]="My Value Plus Life &amp; Funeral",_xlfn.XLOOKUP(B418,Table2[Main Member Link ID],Table2[Benefit Name],0)=Lookups!$D$15),"",
IF(AND(Table2[[#This Row],[Member Type]]="Child",Table2[[#This Row],[Product Option]]="My Value Plus Life &amp; Funeral",_xlfn.XLOOKUP(B418,Table2[Main Member Link ID],Table2[Benefit Name],0)=Lookups!$D$16),Lookups!$D$24,
IF(AND(Table2[[#This Row],[Member Type]]="Child",Table2[[#This Row],[Product Option]]="My Value Plus Life &amp; Funeral",_xlfn.XLOOKUP(B418,Table2[Main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Funeral",_xlfn.XLOOKUP(B418,Table2[Main Member Link ID],Table2[Benefit Name],0)&lt;&gt;Lookups!$D$14),
IF(_xlfn.XLOOKUP(B418,Table2[Main Member Link ID],Table2[Benefit Name],0)=0,"",_xlfn.XLOOKUP(B418,Table2[Main Member Link ID],Table2[Benefit Name],0)),"")))))))))))))))</f>
        <v/>
      </c>
      <c r="AF418" s="327" t="str">
        <f>IF(AND(Table2[[#This Row],[Member Type]]="Main Member",Table2[[#This Row],[Product Option]]="My Value Plus Life &amp; Funeral"),Lookups!$D$15,
IF(AND(Table2[[#This Row],[Member Type]]="Spouse",Table2[[#This Row],[Product Option]]="My Value Plus Life &amp; Funeral",_xlfn.XLOOKUP(B418,Table2[Main Member Link ID],Table2[Benefit Name],0)=Lookups!$D$14),"",
IF(AND(Table2[[#This Row],[Member Type]]="Spouse",Table2[[#This Row],[Product Option]]="My Value Plus Life &amp; Funeral",_xlfn.XLOOKUP(B417,Table2[Main Member Link ID],Table2[Benefit Name],0)=Lookups!$D$16),"",
IF(AND(Table2[[#This Row],[Member Type]]="Spouse",Table2[[#This Row],[Product Option]]="My Value Plus Life &amp; Funeral",_xlfn.XLOOKUP(B417,Table2[Main Member Link ID],Table2[Benefit Name],0)=Lookups!$D$15),"",
IF(AND(Table2[[#This Row],[Member Type]]="Spouse",Table2[[#This Row],[Product Option]]="My Value Plus Life &amp; Funeral",_xlfn.XLOOKUP(B417,Table2[Main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Funeral",_xlfn.XLOOKUP(B418,Table2[Main Member Link ID],Table2[Benefit Name],0)&lt;&gt;Lookups!$D$15),
IF(_xlfn.XLOOKUP(B418,Table2[Main Member Link ID],Table2[Benefit Name],0)=0,"",_xlfn.XLOOKUP(B418,Table2[Main Member Link ID],Table2[Benefit Name],0)),"")
))))))</f>
        <v/>
      </c>
      <c r="AG418" s="327" t="str">
        <f>IF(AND(Table2[[#This Row],[Member Type]]="Main Member",Table2[[#This Row],[Product Option]]="My Value Plus Life &amp; Funeral"),Lookups!$D$16,
IF(AND(Table2[[#This Row],[Member Type]]="Spouse",Table2[[#This Row],[Product Option]]="My Value Plus Life &amp; Funeral",_xlfn.XLOOKUP(B418,Table2[Main Member Link ID],Table2[Benefit Name],0)=Lookups!$D$14),"",
IF(AND(Table2[[#This Row],[Member Type]]="Spouse",Table2[[#This Row],[Product Option]]="My Value Plus Life &amp; Funeral",_xlfn.XLOOKUP(B417,Table2[Main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Funeral",_xlfn.XLOOKUP(B418,Table2[Main Member Link ID],Table2[Benefit Name],0)&lt;&gt;Lookups!$D$16),
IF(_xlfn.XLOOKUP(B418,Table2[Main Member Link ID],Table2[Benefit Name],0)=0,"",_xlfn.XLOOKUP(B418,Table2[Main Member Link ID],Table2[Benefit Name],0)),"")
))))</f>
        <v/>
      </c>
      <c r="AH418" s="327" t="str">
        <f>IF(AND(Table2[[#This Row],[Member Type]]="Main Member",Table2[[#This Row],[Product Option]]="My Value Plus Life &amp; Funeral"),Lookups!$D$17,
IF(AND(Table2[[#This Row],[Member Type]]="Spouse",Table2[[#This Row],[Product Option]]="My Value Plus Life &amp; Funeral",_xlfn.XLOOKUP(B418,Table2[Main Member Link ID],Table2[Benefit Name],0)=Lookups!$D$14),"",
IF(AND(Table2[[#This Row],[Member Type]]="Spouse",Table2[[#This Row],[Product Option]]="My Value Plus Life &amp; Funeral",_xlfn.XLOOKUP(B417,Table2[Main Member Link ID],Table2[Benefit Name],0)=Lookups!$D$16),"",
IF(AND(Table2[[#This Row],[Member Type]]="Child",Table2[[#This Row],[Product Option]]="My Value Plus Life &amp; Funeral"),"",
IF(AND(Table2[[#This Row],[Member Type]]="Child",Table2[[#This Row],[Product Option]]="My Value Plus Life &amp; Funeral",_xlfn.XLOOKUP(B418,Table2[Main Member Link ID],Table2[Benefit Name],0)=Lookups!$D$15),"",
IF(AND(OR(Table2[[#This Row],[Member Type]]="Spouse",Table2[[#This Row],[Member Type]]="Child"),Table2[[#This Row],[Product Option]]="My Value Plus Life &amp; Funeral",_xlfn.XLOOKUP(B418,Table2[Main Member Link ID],Table2[Benefit Name],0)&lt;&gt;Lookups!$D$17),
IF(_xlfn.XLOOKUP(B418,Table2[Main Member Link ID],Table2[Benefit Name],0)=0,"",_xlfn.XLOOKUP(B418,Table2[Main Member Link ID],Table2[Benefit Name],0)),""))))))</f>
        <v/>
      </c>
      <c r="AI418" s="328" t="str">
        <f>IF(AND(Table2[[#This Row],[Member Type]]="Main Member",Table2[[#This Row],[Table Lookup for Life Cover]]="MM_LIFE",Table2[[#This Row],[Age Next Birthday]]&lt;56),1,
IF(AND(Table2[[#This Row],[Member Type]]="Main Member",Table2[[#This Row],[Table Lookup for Life Cover]]="MM_LIFE",Table2[[#This Row],[Age Next Birthday]]&gt;=56),2,
""))</f>
        <v/>
      </c>
      <c r="AJ418" s="328">
        <f>IF(OR(Table2[[#This Row],[Member Type]]="Main Member",Table2[[#This Row],[Main Member Link ID]]=B417),1,0)</f>
        <v>1</v>
      </c>
      <c r="AK418" s="328">
        <f>IF(Table2[[#This Row],[Member Type]]=0,0,
IF(OR(Table2[[#This Row],[Member Type]]="Main Member",Table2[[#This Row],[Main Member Link ID]]&lt;&gt;B418),COUNTIFS(B:B,Table2[[#This Row],[Main Member Link ID]]),
COUNTIFS(B:B,Table2[[#This Row],[Main Member Link ID]],A:A,Table2[[#This Row],[Member Type]])))</f>
        <v>0</v>
      </c>
    </row>
    <row r="419" spans="1:37" x14ac:dyDescent="0.3">
      <c r="A419" s="284">
        <f>Table13[[#This Row],[Member Type]]</f>
        <v>0</v>
      </c>
      <c r="B419" s="284">
        <f>Table13[[#This Row],[Main Member Link ID]]</f>
        <v>0</v>
      </c>
      <c r="C419" s="284">
        <f>Table13[[#This Row],[ID Number]]</f>
        <v>0</v>
      </c>
      <c r="D419" s="285">
        <f>Table13[[#This Row],[Date Of Birth]]</f>
        <v>0</v>
      </c>
      <c r="E419" s="285">
        <f>Table13[[#This Row],[Commencement Date]]</f>
        <v>0</v>
      </c>
      <c r="F419" s="284">
        <f t="shared" si="42"/>
        <v>1</v>
      </c>
      <c r="G419" s="284">
        <f t="shared" si="43"/>
        <v>25</v>
      </c>
      <c r="H419" s="286">
        <f>Table13[[#This Row],[Product Option]]</f>
        <v>0</v>
      </c>
      <c r="I419" s="284">
        <f>IF(AND($A419="Main Member",Table2[[#This Row],[Product Option]]="My Value Plus Life"),"MM_LIFE",
IF(AND($A419="Spouse",Table2[[#This Row],[Product Option]]="My Value Plus Life"),"SP_LIFE",
IF(AND($A419="Main Member",Table2[[#This Row],[Product Option]]="My Value Plus Life &amp; Funeral"),"MM_LIFE",
IF(AND($A419="Spouse",Table2[[#This Row],[Product Option]]="My Value Plus Life &amp; Funeral"),_xlfn.XLOOKUP(Table2[[#This Row],[Benefit Name]],Lookups!$D$18:$D$23,Lookups!$E$18:$E$23,0),
0))))</f>
        <v>0</v>
      </c>
      <c r="J419" s="284">
        <f>IF($I419="","",
IF($I419="MM_LIFE",INDEX('Quotation Tool'!$S$54:$V$60,MATCH($T419,'Quotation Tool'!$S$54:$S$60,0),4),
IF($I419="SP_LIFE",_xlfn.XLOOKUP(B418,$B:$B,$J:$J,0),0)))</f>
        <v>0</v>
      </c>
      <c r="K419" s="287">
        <f t="shared" ca="1" si="47"/>
        <v>0</v>
      </c>
      <c r="L419" s="288">
        <f t="shared" ca="1" si="48"/>
        <v>0</v>
      </c>
      <c r="M419" s="289">
        <f t="shared" ca="1" si="44"/>
        <v>0</v>
      </c>
      <c r="N419" s="286">
        <f>Table13[[#This Row],[Benefit Option]]</f>
        <v>0</v>
      </c>
      <c r="O419" s="284">
        <f>IF(OR(Table2[[#This Row],[Member Type]]="Spouse",Table2[[#This Row],[Member Type]]="Child"),0,
IF(_xlfn.XLOOKUP($N419,Lookups!$D$13:$D$27,Lookups!$F$13:$F$27,0)=Table2[[#This Row],[Table Lookup for Life Cover]],0,
_xlfn.XLOOKUP($N419,Lookups!$D$13:$D$27,Lookups!$F$13:$F$27,0)))</f>
        <v>0</v>
      </c>
      <c r="P419" s="284">
        <f>IF(Table2[[#This Row],[Table Lookup for Funeral]]=0,0,IFERROR(INDEX('Quotation Tool'!$S$54:$V$60,MATCH($T419,'Quotation Tool'!$S$54:$S$60,0),3),0))</f>
        <v>0</v>
      </c>
      <c r="Q419" s="288">
        <f ca="1">IF(OR(Table2[[#This Row],[Benefit Name]]="My Value Plus Life - Main Member",Table2[[#This Row],[Benefit Name]]="My Value Plus Life - Spouse"),0,
IFERROR(VLOOKUP($G419,INDIRECT($O419),$P419,FALSE),0))</f>
        <v>0</v>
      </c>
      <c r="R419" s="288">
        <f ca="1">IF(OR(Table2[[#This Row],[Benefit Name]]="My Value Plus Life - Main Member",Table2[[#This Row],[Benefit Name]]="My Value Plus Life - Spouse"),0,
IFERROR(VLOOKUP($G419,INDIRECT($O419),$P419+1,FALSE),0))</f>
        <v>0</v>
      </c>
      <c r="S419" s="289">
        <f t="shared" ca="1" si="45"/>
        <v>0</v>
      </c>
      <c r="T419" s="284" t="str">
        <f>IF(Table13[[#This Row],[Premium Waiver]]="","None",Table13[[#This Row],[Premium Waiver]])</f>
        <v>None</v>
      </c>
      <c r="U419" s="284">
        <f>Table13[[#This Row],[VAPs Options]]</f>
        <v>0</v>
      </c>
      <c r="V419" s="284">
        <f>Table13[[#This Row],[Annual Increase Option]]</f>
        <v>0</v>
      </c>
      <c r="W419" s="290">
        <f>Table13[[#This Row],[Life Cover Amount]]</f>
        <v>0</v>
      </c>
      <c r="X419" s="290">
        <f>Table13[[#This Row],[Funeral Cover Amount]]</f>
        <v>0</v>
      </c>
      <c r="Y41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1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19" s="301">
        <f t="shared" ca="1" si="46"/>
        <v>0</v>
      </c>
      <c r="AB419" s="298"/>
      <c r="AC419" s="326" t="str">
        <f>IF(Table2[[#This Row],[Member Type]]="Main Member",Lookups!$C$13,
IF(Table2[[#This Row],[Member Type]]="Spouse",_xlfn.XLOOKUP(B419,Table2[Main Member Link ID],Table2[Product Option],0),
IF(AND(Table2[[#This Row],[Member Type]]="Child",_xlfn.XLOOKUP(B419,Table2[Main Member Link ID],Table2[Product Option],0)&lt;&gt;"My Value Plus Life"),Lookups!$C$24,
IF(AND(OR(Table2[[#This Row],[Member Type]]="Parent",Table2[[#This Row],[Member Type]]="Extended"),_xlfn.XLOOKUP(B419,Table2[Main Member Link ID],Table2[Product Option],0)&lt;&gt;"My Value Plus Life"),Lookups!$C$26,""))))</f>
        <v/>
      </c>
      <c r="AD419" s="326" t="str">
        <f>IF(Table2[[#This Row],[Member Type]]="Main Member",Lookups!$C$14,"")</f>
        <v/>
      </c>
      <c r="AE41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Funeral",_xlfn.XLOOKUP(B419,Table2[Main Member Link ID],Table2[Benefit Name],0)=Lookups!$D$14),"",
IF(AND(Table2[[#This Row],[Member Type]]="Spouse",Table2[[#This Row],[Product Option]]="My Value Plus Life &amp; Funeral",_xlfn.XLOOKUP(B418,Table2[Main Member Link ID],Table2[Benefit Name],0)=Lookups!$D$15),Lookups!$D$20,
IF(AND(Table2[[#This Row],[Member Type]]="Spouse",Table2[[#This Row],[Product Option]]="My Value Plus Life &amp; Funeral",_xlfn.XLOOKUP(B418,Table2[Main Member Link ID],Table2[Benefit Name],0)=Lookups!$D$16),"",
IF(AND(Table2[[#This Row],[Member Type]]="Spouse",Table2[[#This Row],[Product Option]]="My Value Plus Life &amp; Funeral",_xlfn.XLOOKUP(B418,Table2[Main Member Link ID],Table2[Benefit Name],0)=Lookups!$D$17),Lookups!$D$21,
IF(AND(Table2[[#This Row],[Member Type]]="Child",Table2[[#This Row],[Product Option]]="My Value Plus Life &amp; Funeral",_xlfn.XLOOKUP(B419,Table2[Main Member Link ID],Table2[Benefit Name],0)=Lookups!$D$14),"",
IF(AND(Table2[[#This Row],[Member Type]]="Child",Table2[[#This Row],[Product Option]]="My Value Plus Life &amp; Funeral",_xlfn.XLOOKUP(B419,Table2[Main Member Link ID],Table2[Benefit Name],0)=Lookups!$D$15),"",
IF(AND(Table2[[#This Row],[Member Type]]="Child",Table2[[#This Row],[Product Option]]="My Value Plus Life &amp; Funeral",_xlfn.XLOOKUP(B419,Table2[Main Member Link ID],Table2[Benefit Name],0)=Lookups!$D$16),Lookups!$D$24,
IF(AND(Table2[[#This Row],[Member Type]]="Child",Table2[[#This Row],[Product Option]]="My Value Plus Life &amp; Funeral",_xlfn.XLOOKUP(B419,Table2[Main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Funeral",_xlfn.XLOOKUP(B419,Table2[Main Member Link ID],Table2[Benefit Name],0)&lt;&gt;Lookups!$D$14),
IF(_xlfn.XLOOKUP(B419,Table2[Main Member Link ID],Table2[Benefit Name],0)=0,"",_xlfn.XLOOKUP(B419,Table2[Main Member Link ID],Table2[Benefit Name],0)),"")))))))))))))))</f>
        <v/>
      </c>
      <c r="AF419" s="327" t="str">
        <f>IF(AND(Table2[[#This Row],[Member Type]]="Main Member",Table2[[#This Row],[Product Option]]="My Value Plus Life &amp; Funeral"),Lookups!$D$15,
IF(AND(Table2[[#This Row],[Member Type]]="Spouse",Table2[[#This Row],[Product Option]]="My Value Plus Life &amp; Funeral",_xlfn.XLOOKUP(B419,Table2[Main Member Link ID],Table2[Benefit Name],0)=Lookups!$D$14),"",
IF(AND(Table2[[#This Row],[Member Type]]="Spouse",Table2[[#This Row],[Product Option]]="My Value Plus Life &amp; Funeral",_xlfn.XLOOKUP(B418,Table2[Main Member Link ID],Table2[Benefit Name],0)=Lookups!$D$16),"",
IF(AND(Table2[[#This Row],[Member Type]]="Spouse",Table2[[#This Row],[Product Option]]="My Value Plus Life &amp; Funeral",_xlfn.XLOOKUP(B418,Table2[Main Member Link ID],Table2[Benefit Name],0)=Lookups!$D$15),"",
IF(AND(Table2[[#This Row],[Member Type]]="Spouse",Table2[[#This Row],[Product Option]]="My Value Plus Life &amp; Funeral",_xlfn.XLOOKUP(B418,Table2[Main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Funeral",_xlfn.XLOOKUP(B419,Table2[Main Member Link ID],Table2[Benefit Name],0)&lt;&gt;Lookups!$D$15),
IF(_xlfn.XLOOKUP(B419,Table2[Main Member Link ID],Table2[Benefit Name],0)=0,"",_xlfn.XLOOKUP(B419,Table2[Main Member Link ID],Table2[Benefit Name],0)),"")
))))))</f>
        <v/>
      </c>
      <c r="AG419" s="327" t="str">
        <f>IF(AND(Table2[[#This Row],[Member Type]]="Main Member",Table2[[#This Row],[Product Option]]="My Value Plus Life &amp; Funeral"),Lookups!$D$16,
IF(AND(Table2[[#This Row],[Member Type]]="Spouse",Table2[[#This Row],[Product Option]]="My Value Plus Life &amp; Funeral",_xlfn.XLOOKUP(B419,Table2[Main Member Link ID],Table2[Benefit Name],0)=Lookups!$D$14),"",
IF(AND(Table2[[#This Row],[Member Type]]="Spouse",Table2[[#This Row],[Product Option]]="My Value Plus Life &amp; Funeral",_xlfn.XLOOKUP(B418,Table2[Main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Funeral",_xlfn.XLOOKUP(B419,Table2[Main Member Link ID],Table2[Benefit Name],0)&lt;&gt;Lookups!$D$16),
IF(_xlfn.XLOOKUP(B419,Table2[Main Member Link ID],Table2[Benefit Name],0)=0,"",_xlfn.XLOOKUP(B419,Table2[Main Member Link ID],Table2[Benefit Name],0)),"")
))))</f>
        <v/>
      </c>
      <c r="AH419" s="327" t="str">
        <f>IF(AND(Table2[[#This Row],[Member Type]]="Main Member",Table2[[#This Row],[Product Option]]="My Value Plus Life &amp; Funeral"),Lookups!$D$17,
IF(AND(Table2[[#This Row],[Member Type]]="Spouse",Table2[[#This Row],[Product Option]]="My Value Plus Life &amp; Funeral",_xlfn.XLOOKUP(B419,Table2[Main Member Link ID],Table2[Benefit Name],0)=Lookups!$D$14),"",
IF(AND(Table2[[#This Row],[Member Type]]="Spouse",Table2[[#This Row],[Product Option]]="My Value Plus Life &amp; Funeral",_xlfn.XLOOKUP(B418,Table2[Main Member Link ID],Table2[Benefit Name],0)=Lookups!$D$16),"",
IF(AND(Table2[[#This Row],[Member Type]]="Child",Table2[[#This Row],[Product Option]]="My Value Plus Life &amp; Funeral"),"",
IF(AND(Table2[[#This Row],[Member Type]]="Child",Table2[[#This Row],[Product Option]]="My Value Plus Life &amp; Funeral",_xlfn.XLOOKUP(B419,Table2[Main Member Link ID],Table2[Benefit Name],0)=Lookups!$D$15),"",
IF(AND(OR(Table2[[#This Row],[Member Type]]="Spouse",Table2[[#This Row],[Member Type]]="Child"),Table2[[#This Row],[Product Option]]="My Value Plus Life &amp; Funeral",_xlfn.XLOOKUP(B419,Table2[Main Member Link ID],Table2[Benefit Name],0)&lt;&gt;Lookups!$D$17),
IF(_xlfn.XLOOKUP(B419,Table2[Main Member Link ID],Table2[Benefit Name],0)=0,"",_xlfn.XLOOKUP(B419,Table2[Main Member Link ID],Table2[Benefit Name],0)),""))))))</f>
        <v/>
      </c>
      <c r="AI419" s="328" t="str">
        <f>IF(AND(Table2[[#This Row],[Member Type]]="Main Member",Table2[[#This Row],[Table Lookup for Life Cover]]="MM_LIFE",Table2[[#This Row],[Age Next Birthday]]&lt;56),1,
IF(AND(Table2[[#This Row],[Member Type]]="Main Member",Table2[[#This Row],[Table Lookup for Life Cover]]="MM_LIFE",Table2[[#This Row],[Age Next Birthday]]&gt;=56),2,
""))</f>
        <v/>
      </c>
      <c r="AJ419" s="328">
        <f>IF(OR(Table2[[#This Row],[Member Type]]="Main Member",Table2[[#This Row],[Main Member Link ID]]=B418),1,0)</f>
        <v>1</v>
      </c>
      <c r="AK419" s="328">
        <f>IF(Table2[[#This Row],[Member Type]]=0,0,
IF(OR(Table2[[#This Row],[Member Type]]="Main Member",Table2[[#This Row],[Main Member Link ID]]&lt;&gt;B419),COUNTIFS(B:B,Table2[[#This Row],[Main Member Link ID]]),
COUNTIFS(B:B,Table2[[#This Row],[Main Member Link ID]],A:A,Table2[[#This Row],[Member Type]])))</f>
        <v>0</v>
      </c>
    </row>
    <row r="420" spans="1:37" x14ac:dyDescent="0.3">
      <c r="A420" s="284">
        <f>Table13[[#This Row],[Member Type]]</f>
        <v>0</v>
      </c>
      <c r="B420" s="284">
        <f>Table13[[#This Row],[Main Member Link ID]]</f>
        <v>0</v>
      </c>
      <c r="C420" s="284">
        <f>Table13[[#This Row],[ID Number]]</f>
        <v>0</v>
      </c>
      <c r="D420" s="285">
        <f>Table13[[#This Row],[Date Of Birth]]</f>
        <v>0</v>
      </c>
      <c r="E420" s="285">
        <f>Table13[[#This Row],[Commencement Date]]</f>
        <v>0</v>
      </c>
      <c r="F420" s="284">
        <f t="shared" si="42"/>
        <v>1</v>
      </c>
      <c r="G420" s="284">
        <f t="shared" si="43"/>
        <v>25</v>
      </c>
      <c r="H420" s="286">
        <f>Table13[[#This Row],[Product Option]]</f>
        <v>0</v>
      </c>
      <c r="I420" s="284">
        <f>IF(AND($A420="Main Member",Table2[[#This Row],[Product Option]]="My Value Plus Life"),"MM_LIFE",
IF(AND($A420="Spouse",Table2[[#This Row],[Product Option]]="My Value Plus Life"),"SP_LIFE",
IF(AND($A420="Main Member",Table2[[#This Row],[Product Option]]="My Value Plus Life &amp; Funeral"),"MM_LIFE",
IF(AND($A420="Spouse",Table2[[#This Row],[Product Option]]="My Value Plus Life &amp; Funeral"),_xlfn.XLOOKUP(Table2[[#This Row],[Benefit Name]],Lookups!$D$18:$D$23,Lookups!$E$18:$E$23,0),
0))))</f>
        <v>0</v>
      </c>
      <c r="J420" s="284">
        <f>IF($I420="","",
IF($I420="MM_LIFE",INDEX('Quotation Tool'!$S$54:$V$60,MATCH($T420,'Quotation Tool'!$S$54:$S$60,0),4),
IF($I420="SP_LIFE",_xlfn.XLOOKUP(B419,$B:$B,$J:$J,0),0)))</f>
        <v>0</v>
      </c>
      <c r="K420" s="287">
        <f t="shared" ca="1" si="47"/>
        <v>0</v>
      </c>
      <c r="L420" s="288">
        <f t="shared" ca="1" si="48"/>
        <v>0</v>
      </c>
      <c r="M420" s="289">
        <f t="shared" ca="1" si="44"/>
        <v>0</v>
      </c>
      <c r="N420" s="286">
        <f>Table13[[#This Row],[Benefit Option]]</f>
        <v>0</v>
      </c>
      <c r="O420" s="284">
        <f>IF(OR(Table2[[#This Row],[Member Type]]="Spouse",Table2[[#This Row],[Member Type]]="Child"),0,
IF(_xlfn.XLOOKUP($N420,Lookups!$D$13:$D$27,Lookups!$F$13:$F$27,0)=Table2[[#This Row],[Table Lookup for Life Cover]],0,
_xlfn.XLOOKUP($N420,Lookups!$D$13:$D$27,Lookups!$F$13:$F$27,0)))</f>
        <v>0</v>
      </c>
      <c r="P420" s="284">
        <f>IF(Table2[[#This Row],[Table Lookup for Funeral]]=0,0,IFERROR(INDEX('Quotation Tool'!$S$54:$V$60,MATCH($T420,'Quotation Tool'!$S$54:$S$60,0),3),0))</f>
        <v>0</v>
      </c>
      <c r="Q420" s="288">
        <f ca="1">IF(OR(Table2[[#This Row],[Benefit Name]]="My Value Plus Life - Main Member",Table2[[#This Row],[Benefit Name]]="My Value Plus Life - Spouse"),0,
IFERROR(VLOOKUP($G420,INDIRECT($O420),$P420,FALSE),0))</f>
        <v>0</v>
      </c>
      <c r="R420" s="288">
        <f ca="1">IF(OR(Table2[[#This Row],[Benefit Name]]="My Value Plus Life - Main Member",Table2[[#This Row],[Benefit Name]]="My Value Plus Life - Spouse"),0,
IFERROR(VLOOKUP($G420,INDIRECT($O420),$P420+1,FALSE),0))</f>
        <v>0</v>
      </c>
      <c r="S420" s="289">
        <f t="shared" ca="1" si="45"/>
        <v>0</v>
      </c>
      <c r="T420" s="284" t="str">
        <f>IF(Table13[[#This Row],[Premium Waiver]]="","None",Table13[[#This Row],[Premium Waiver]])</f>
        <v>None</v>
      </c>
      <c r="U420" s="284">
        <f>Table13[[#This Row],[VAPs Options]]</f>
        <v>0</v>
      </c>
      <c r="V420" s="284">
        <f>Table13[[#This Row],[Annual Increase Option]]</f>
        <v>0</v>
      </c>
      <c r="W420" s="290">
        <f>Table13[[#This Row],[Life Cover Amount]]</f>
        <v>0</v>
      </c>
      <c r="X420" s="290">
        <f>Table13[[#This Row],[Funeral Cover Amount]]</f>
        <v>0</v>
      </c>
      <c r="Y42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2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20" s="301">
        <f t="shared" ca="1" si="46"/>
        <v>0</v>
      </c>
      <c r="AB420" s="298"/>
      <c r="AC420" s="326" t="str">
        <f>IF(Table2[[#This Row],[Member Type]]="Main Member",Lookups!$C$13,
IF(Table2[[#This Row],[Member Type]]="Spouse",_xlfn.XLOOKUP(B420,Table2[Main Member Link ID],Table2[Product Option],0),
IF(AND(Table2[[#This Row],[Member Type]]="Child",_xlfn.XLOOKUP(B420,Table2[Main Member Link ID],Table2[Product Option],0)&lt;&gt;"My Value Plus Life"),Lookups!$C$24,
IF(AND(OR(Table2[[#This Row],[Member Type]]="Parent",Table2[[#This Row],[Member Type]]="Extended"),_xlfn.XLOOKUP(B420,Table2[Main Member Link ID],Table2[Product Option],0)&lt;&gt;"My Value Plus Life"),Lookups!$C$26,""))))</f>
        <v/>
      </c>
      <c r="AD420" s="326" t="str">
        <f>IF(Table2[[#This Row],[Member Type]]="Main Member",Lookups!$C$14,"")</f>
        <v/>
      </c>
      <c r="AE42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Funeral",_xlfn.XLOOKUP(B420,Table2[Main Member Link ID],Table2[Benefit Name],0)=Lookups!$D$14),"",
IF(AND(Table2[[#This Row],[Member Type]]="Spouse",Table2[[#This Row],[Product Option]]="My Value Plus Life &amp; Funeral",_xlfn.XLOOKUP(B419,Table2[Main Member Link ID],Table2[Benefit Name],0)=Lookups!$D$15),Lookups!$D$20,
IF(AND(Table2[[#This Row],[Member Type]]="Spouse",Table2[[#This Row],[Product Option]]="My Value Plus Life &amp; Funeral",_xlfn.XLOOKUP(B419,Table2[Main Member Link ID],Table2[Benefit Name],0)=Lookups!$D$16),"",
IF(AND(Table2[[#This Row],[Member Type]]="Spouse",Table2[[#This Row],[Product Option]]="My Value Plus Life &amp; Funeral",_xlfn.XLOOKUP(B419,Table2[Main Member Link ID],Table2[Benefit Name],0)=Lookups!$D$17),Lookups!$D$21,
IF(AND(Table2[[#This Row],[Member Type]]="Child",Table2[[#This Row],[Product Option]]="My Value Plus Life &amp; Funeral",_xlfn.XLOOKUP(B420,Table2[Main Member Link ID],Table2[Benefit Name],0)=Lookups!$D$14),"",
IF(AND(Table2[[#This Row],[Member Type]]="Child",Table2[[#This Row],[Product Option]]="My Value Plus Life &amp; Funeral",_xlfn.XLOOKUP(B420,Table2[Main Member Link ID],Table2[Benefit Name],0)=Lookups!$D$15),"",
IF(AND(Table2[[#This Row],[Member Type]]="Child",Table2[[#This Row],[Product Option]]="My Value Plus Life &amp; Funeral",_xlfn.XLOOKUP(B420,Table2[Main Member Link ID],Table2[Benefit Name],0)=Lookups!$D$16),Lookups!$D$24,
IF(AND(Table2[[#This Row],[Member Type]]="Child",Table2[[#This Row],[Product Option]]="My Value Plus Life &amp; Funeral",_xlfn.XLOOKUP(B420,Table2[Main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Funeral",_xlfn.XLOOKUP(B420,Table2[Main Member Link ID],Table2[Benefit Name],0)&lt;&gt;Lookups!$D$14),
IF(_xlfn.XLOOKUP(B420,Table2[Main Member Link ID],Table2[Benefit Name],0)=0,"",_xlfn.XLOOKUP(B420,Table2[Main Member Link ID],Table2[Benefit Name],0)),"")))))))))))))))</f>
        <v/>
      </c>
      <c r="AF420" s="327" t="str">
        <f>IF(AND(Table2[[#This Row],[Member Type]]="Main Member",Table2[[#This Row],[Product Option]]="My Value Plus Life &amp; Funeral"),Lookups!$D$15,
IF(AND(Table2[[#This Row],[Member Type]]="Spouse",Table2[[#This Row],[Product Option]]="My Value Plus Life &amp; Funeral",_xlfn.XLOOKUP(B420,Table2[Main Member Link ID],Table2[Benefit Name],0)=Lookups!$D$14),"",
IF(AND(Table2[[#This Row],[Member Type]]="Spouse",Table2[[#This Row],[Product Option]]="My Value Plus Life &amp; Funeral",_xlfn.XLOOKUP(B419,Table2[Main Member Link ID],Table2[Benefit Name],0)=Lookups!$D$16),"",
IF(AND(Table2[[#This Row],[Member Type]]="Spouse",Table2[[#This Row],[Product Option]]="My Value Plus Life &amp; Funeral",_xlfn.XLOOKUP(B419,Table2[Main Member Link ID],Table2[Benefit Name],0)=Lookups!$D$15),"",
IF(AND(Table2[[#This Row],[Member Type]]="Spouse",Table2[[#This Row],[Product Option]]="My Value Plus Life &amp; Funeral",_xlfn.XLOOKUP(B419,Table2[Main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Funeral",_xlfn.XLOOKUP(B420,Table2[Main Member Link ID],Table2[Benefit Name],0)&lt;&gt;Lookups!$D$15),
IF(_xlfn.XLOOKUP(B420,Table2[Main Member Link ID],Table2[Benefit Name],0)=0,"",_xlfn.XLOOKUP(B420,Table2[Main Member Link ID],Table2[Benefit Name],0)),"")
))))))</f>
        <v/>
      </c>
      <c r="AG420" s="327" t="str">
        <f>IF(AND(Table2[[#This Row],[Member Type]]="Main Member",Table2[[#This Row],[Product Option]]="My Value Plus Life &amp; Funeral"),Lookups!$D$16,
IF(AND(Table2[[#This Row],[Member Type]]="Spouse",Table2[[#This Row],[Product Option]]="My Value Plus Life &amp; Funeral",_xlfn.XLOOKUP(B420,Table2[Main Member Link ID],Table2[Benefit Name],0)=Lookups!$D$14),"",
IF(AND(Table2[[#This Row],[Member Type]]="Spouse",Table2[[#This Row],[Product Option]]="My Value Plus Life &amp; Funeral",_xlfn.XLOOKUP(B419,Table2[Main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Funeral",_xlfn.XLOOKUP(B420,Table2[Main Member Link ID],Table2[Benefit Name],0)&lt;&gt;Lookups!$D$16),
IF(_xlfn.XLOOKUP(B420,Table2[Main Member Link ID],Table2[Benefit Name],0)=0,"",_xlfn.XLOOKUP(B420,Table2[Main Member Link ID],Table2[Benefit Name],0)),"")
))))</f>
        <v/>
      </c>
      <c r="AH420" s="327" t="str">
        <f>IF(AND(Table2[[#This Row],[Member Type]]="Main Member",Table2[[#This Row],[Product Option]]="My Value Plus Life &amp; Funeral"),Lookups!$D$17,
IF(AND(Table2[[#This Row],[Member Type]]="Spouse",Table2[[#This Row],[Product Option]]="My Value Plus Life &amp; Funeral",_xlfn.XLOOKUP(B420,Table2[Main Member Link ID],Table2[Benefit Name],0)=Lookups!$D$14),"",
IF(AND(Table2[[#This Row],[Member Type]]="Spouse",Table2[[#This Row],[Product Option]]="My Value Plus Life &amp; Funeral",_xlfn.XLOOKUP(B419,Table2[Main Member Link ID],Table2[Benefit Name],0)=Lookups!$D$16),"",
IF(AND(Table2[[#This Row],[Member Type]]="Child",Table2[[#This Row],[Product Option]]="My Value Plus Life &amp; Funeral"),"",
IF(AND(Table2[[#This Row],[Member Type]]="Child",Table2[[#This Row],[Product Option]]="My Value Plus Life &amp; Funeral",_xlfn.XLOOKUP(B420,Table2[Main Member Link ID],Table2[Benefit Name],0)=Lookups!$D$15),"",
IF(AND(OR(Table2[[#This Row],[Member Type]]="Spouse",Table2[[#This Row],[Member Type]]="Child"),Table2[[#This Row],[Product Option]]="My Value Plus Life &amp; Funeral",_xlfn.XLOOKUP(B420,Table2[Main Member Link ID],Table2[Benefit Name],0)&lt;&gt;Lookups!$D$17),
IF(_xlfn.XLOOKUP(B420,Table2[Main Member Link ID],Table2[Benefit Name],0)=0,"",_xlfn.XLOOKUP(B420,Table2[Main Member Link ID],Table2[Benefit Name],0)),""))))))</f>
        <v/>
      </c>
      <c r="AI420" s="328" t="str">
        <f>IF(AND(Table2[[#This Row],[Member Type]]="Main Member",Table2[[#This Row],[Table Lookup for Life Cover]]="MM_LIFE",Table2[[#This Row],[Age Next Birthday]]&lt;56),1,
IF(AND(Table2[[#This Row],[Member Type]]="Main Member",Table2[[#This Row],[Table Lookup for Life Cover]]="MM_LIFE",Table2[[#This Row],[Age Next Birthday]]&gt;=56),2,
""))</f>
        <v/>
      </c>
      <c r="AJ420" s="328">
        <f>IF(OR(Table2[[#This Row],[Member Type]]="Main Member",Table2[[#This Row],[Main Member Link ID]]=B419),1,0)</f>
        <v>1</v>
      </c>
      <c r="AK420" s="328">
        <f>IF(Table2[[#This Row],[Member Type]]=0,0,
IF(OR(Table2[[#This Row],[Member Type]]="Main Member",Table2[[#This Row],[Main Member Link ID]]&lt;&gt;B420),COUNTIFS(B:B,Table2[[#This Row],[Main Member Link ID]]),
COUNTIFS(B:B,Table2[[#This Row],[Main Member Link ID]],A:A,Table2[[#This Row],[Member Type]])))</f>
        <v>0</v>
      </c>
    </row>
    <row r="421" spans="1:37" x14ac:dyDescent="0.3">
      <c r="A421" s="284">
        <f>Table13[[#This Row],[Member Type]]</f>
        <v>0</v>
      </c>
      <c r="B421" s="284">
        <f>Table13[[#This Row],[Main Member Link ID]]</f>
        <v>0</v>
      </c>
      <c r="C421" s="284">
        <f>Table13[[#This Row],[ID Number]]</f>
        <v>0</v>
      </c>
      <c r="D421" s="285">
        <f>Table13[[#This Row],[Date Of Birth]]</f>
        <v>0</v>
      </c>
      <c r="E421" s="285">
        <f>Table13[[#This Row],[Commencement Date]]</f>
        <v>0</v>
      </c>
      <c r="F421" s="284">
        <f t="shared" si="42"/>
        <v>1</v>
      </c>
      <c r="G421" s="284">
        <f t="shared" si="43"/>
        <v>25</v>
      </c>
      <c r="H421" s="286">
        <f>Table13[[#This Row],[Product Option]]</f>
        <v>0</v>
      </c>
      <c r="I421" s="284">
        <f>IF(AND($A421="Main Member",Table2[[#This Row],[Product Option]]="My Value Plus Life"),"MM_LIFE",
IF(AND($A421="Spouse",Table2[[#This Row],[Product Option]]="My Value Plus Life"),"SP_LIFE",
IF(AND($A421="Main Member",Table2[[#This Row],[Product Option]]="My Value Plus Life &amp; Funeral"),"MM_LIFE",
IF(AND($A421="Spouse",Table2[[#This Row],[Product Option]]="My Value Plus Life &amp; Funeral"),_xlfn.XLOOKUP(Table2[[#This Row],[Benefit Name]],Lookups!$D$18:$D$23,Lookups!$E$18:$E$23,0),
0))))</f>
        <v>0</v>
      </c>
      <c r="J421" s="284">
        <f>IF($I421="","",
IF($I421="MM_LIFE",INDEX('Quotation Tool'!$S$54:$V$60,MATCH($T421,'Quotation Tool'!$S$54:$S$60,0),4),
IF($I421="SP_LIFE",_xlfn.XLOOKUP(B420,$B:$B,$J:$J,0),0)))</f>
        <v>0</v>
      </c>
      <c r="K421" s="287">
        <f t="shared" ca="1" si="47"/>
        <v>0</v>
      </c>
      <c r="L421" s="288">
        <f t="shared" ca="1" si="48"/>
        <v>0</v>
      </c>
      <c r="M421" s="289">
        <f t="shared" ca="1" si="44"/>
        <v>0</v>
      </c>
      <c r="N421" s="286">
        <f>Table13[[#This Row],[Benefit Option]]</f>
        <v>0</v>
      </c>
      <c r="O421" s="284">
        <f>IF(OR(Table2[[#This Row],[Member Type]]="Spouse",Table2[[#This Row],[Member Type]]="Child"),0,
IF(_xlfn.XLOOKUP($N421,Lookups!$D$13:$D$27,Lookups!$F$13:$F$27,0)=Table2[[#This Row],[Table Lookup for Life Cover]],0,
_xlfn.XLOOKUP($N421,Lookups!$D$13:$D$27,Lookups!$F$13:$F$27,0)))</f>
        <v>0</v>
      </c>
      <c r="P421" s="284">
        <f>IF(Table2[[#This Row],[Table Lookup for Funeral]]=0,0,IFERROR(INDEX('Quotation Tool'!$S$54:$V$60,MATCH($T421,'Quotation Tool'!$S$54:$S$60,0),3),0))</f>
        <v>0</v>
      </c>
      <c r="Q421" s="288">
        <f ca="1">IF(OR(Table2[[#This Row],[Benefit Name]]="My Value Plus Life - Main Member",Table2[[#This Row],[Benefit Name]]="My Value Plus Life - Spouse"),0,
IFERROR(VLOOKUP($G421,INDIRECT($O421),$P421,FALSE),0))</f>
        <v>0</v>
      </c>
      <c r="R421" s="288">
        <f ca="1">IF(OR(Table2[[#This Row],[Benefit Name]]="My Value Plus Life - Main Member",Table2[[#This Row],[Benefit Name]]="My Value Plus Life - Spouse"),0,
IFERROR(VLOOKUP($G421,INDIRECT($O421),$P421+1,FALSE),0))</f>
        <v>0</v>
      </c>
      <c r="S421" s="289">
        <f t="shared" ca="1" si="45"/>
        <v>0</v>
      </c>
      <c r="T421" s="284" t="str">
        <f>IF(Table13[[#This Row],[Premium Waiver]]="","None",Table13[[#This Row],[Premium Waiver]])</f>
        <v>None</v>
      </c>
      <c r="U421" s="284">
        <f>Table13[[#This Row],[VAPs Options]]</f>
        <v>0</v>
      </c>
      <c r="V421" s="284">
        <f>Table13[[#This Row],[Annual Increase Option]]</f>
        <v>0</v>
      </c>
      <c r="W421" s="290">
        <f>Table13[[#This Row],[Life Cover Amount]]</f>
        <v>0</v>
      </c>
      <c r="X421" s="290">
        <f>Table13[[#This Row],[Funeral Cover Amount]]</f>
        <v>0</v>
      </c>
      <c r="Y42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2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21" s="301">
        <f t="shared" ca="1" si="46"/>
        <v>0</v>
      </c>
      <c r="AB421" s="298"/>
      <c r="AC421" s="326" t="str">
        <f>IF(Table2[[#This Row],[Member Type]]="Main Member",Lookups!$C$13,
IF(Table2[[#This Row],[Member Type]]="Spouse",_xlfn.XLOOKUP(B421,Table2[Main Member Link ID],Table2[Product Option],0),
IF(AND(Table2[[#This Row],[Member Type]]="Child",_xlfn.XLOOKUP(B421,Table2[Main Member Link ID],Table2[Product Option],0)&lt;&gt;"My Value Plus Life"),Lookups!$C$24,
IF(AND(OR(Table2[[#This Row],[Member Type]]="Parent",Table2[[#This Row],[Member Type]]="Extended"),_xlfn.XLOOKUP(B421,Table2[Main Member Link ID],Table2[Product Option],0)&lt;&gt;"My Value Plus Life"),Lookups!$C$26,""))))</f>
        <v/>
      </c>
      <c r="AD421" s="326" t="str">
        <f>IF(Table2[[#This Row],[Member Type]]="Main Member",Lookups!$C$14,"")</f>
        <v/>
      </c>
      <c r="AE42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Funeral",_xlfn.XLOOKUP(B421,Table2[Main Member Link ID],Table2[Benefit Name],0)=Lookups!$D$14),"",
IF(AND(Table2[[#This Row],[Member Type]]="Spouse",Table2[[#This Row],[Product Option]]="My Value Plus Life &amp; Funeral",_xlfn.XLOOKUP(B420,Table2[Main Member Link ID],Table2[Benefit Name],0)=Lookups!$D$15),Lookups!$D$20,
IF(AND(Table2[[#This Row],[Member Type]]="Spouse",Table2[[#This Row],[Product Option]]="My Value Plus Life &amp; Funeral",_xlfn.XLOOKUP(B420,Table2[Main Member Link ID],Table2[Benefit Name],0)=Lookups!$D$16),"",
IF(AND(Table2[[#This Row],[Member Type]]="Spouse",Table2[[#This Row],[Product Option]]="My Value Plus Life &amp; Funeral",_xlfn.XLOOKUP(B420,Table2[Main Member Link ID],Table2[Benefit Name],0)=Lookups!$D$17),Lookups!$D$21,
IF(AND(Table2[[#This Row],[Member Type]]="Child",Table2[[#This Row],[Product Option]]="My Value Plus Life &amp; Funeral",_xlfn.XLOOKUP(B421,Table2[Main Member Link ID],Table2[Benefit Name],0)=Lookups!$D$14),"",
IF(AND(Table2[[#This Row],[Member Type]]="Child",Table2[[#This Row],[Product Option]]="My Value Plus Life &amp; Funeral",_xlfn.XLOOKUP(B421,Table2[Main Member Link ID],Table2[Benefit Name],0)=Lookups!$D$15),"",
IF(AND(Table2[[#This Row],[Member Type]]="Child",Table2[[#This Row],[Product Option]]="My Value Plus Life &amp; Funeral",_xlfn.XLOOKUP(B421,Table2[Main Member Link ID],Table2[Benefit Name],0)=Lookups!$D$16),Lookups!$D$24,
IF(AND(Table2[[#This Row],[Member Type]]="Child",Table2[[#This Row],[Product Option]]="My Value Plus Life &amp; Funeral",_xlfn.XLOOKUP(B421,Table2[Main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Funeral",_xlfn.XLOOKUP(B421,Table2[Main Member Link ID],Table2[Benefit Name],0)&lt;&gt;Lookups!$D$14),
IF(_xlfn.XLOOKUP(B421,Table2[Main Member Link ID],Table2[Benefit Name],0)=0,"",_xlfn.XLOOKUP(B421,Table2[Main Member Link ID],Table2[Benefit Name],0)),"")))))))))))))))</f>
        <v/>
      </c>
      <c r="AF421" s="327" t="str">
        <f>IF(AND(Table2[[#This Row],[Member Type]]="Main Member",Table2[[#This Row],[Product Option]]="My Value Plus Life &amp; Funeral"),Lookups!$D$15,
IF(AND(Table2[[#This Row],[Member Type]]="Spouse",Table2[[#This Row],[Product Option]]="My Value Plus Life &amp; Funeral",_xlfn.XLOOKUP(B421,Table2[Main Member Link ID],Table2[Benefit Name],0)=Lookups!$D$14),"",
IF(AND(Table2[[#This Row],[Member Type]]="Spouse",Table2[[#This Row],[Product Option]]="My Value Plus Life &amp; Funeral",_xlfn.XLOOKUP(B420,Table2[Main Member Link ID],Table2[Benefit Name],0)=Lookups!$D$16),"",
IF(AND(Table2[[#This Row],[Member Type]]="Spouse",Table2[[#This Row],[Product Option]]="My Value Plus Life &amp; Funeral",_xlfn.XLOOKUP(B420,Table2[Main Member Link ID],Table2[Benefit Name],0)=Lookups!$D$15),"",
IF(AND(Table2[[#This Row],[Member Type]]="Spouse",Table2[[#This Row],[Product Option]]="My Value Plus Life &amp; Funeral",_xlfn.XLOOKUP(B420,Table2[Main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Funeral",_xlfn.XLOOKUP(B421,Table2[Main Member Link ID],Table2[Benefit Name],0)&lt;&gt;Lookups!$D$15),
IF(_xlfn.XLOOKUP(B421,Table2[Main Member Link ID],Table2[Benefit Name],0)=0,"",_xlfn.XLOOKUP(B421,Table2[Main Member Link ID],Table2[Benefit Name],0)),"")
))))))</f>
        <v/>
      </c>
      <c r="AG421" s="327" t="str">
        <f>IF(AND(Table2[[#This Row],[Member Type]]="Main Member",Table2[[#This Row],[Product Option]]="My Value Plus Life &amp; Funeral"),Lookups!$D$16,
IF(AND(Table2[[#This Row],[Member Type]]="Spouse",Table2[[#This Row],[Product Option]]="My Value Plus Life &amp; Funeral",_xlfn.XLOOKUP(B421,Table2[Main Member Link ID],Table2[Benefit Name],0)=Lookups!$D$14),"",
IF(AND(Table2[[#This Row],[Member Type]]="Spouse",Table2[[#This Row],[Product Option]]="My Value Plus Life &amp; Funeral",_xlfn.XLOOKUP(B420,Table2[Main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Funeral",_xlfn.XLOOKUP(B421,Table2[Main Member Link ID],Table2[Benefit Name],0)&lt;&gt;Lookups!$D$16),
IF(_xlfn.XLOOKUP(B421,Table2[Main Member Link ID],Table2[Benefit Name],0)=0,"",_xlfn.XLOOKUP(B421,Table2[Main Member Link ID],Table2[Benefit Name],0)),"")
))))</f>
        <v/>
      </c>
      <c r="AH421" s="327" t="str">
        <f>IF(AND(Table2[[#This Row],[Member Type]]="Main Member",Table2[[#This Row],[Product Option]]="My Value Plus Life &amp; Funeral"),Lookups!$D$17,
IF(AND(Table2[[#This Row],[Member Type]]="Spouse",Table2[[#This Row],[Product Option]]="My Value Plus Life &amp; Funeral",_xlfn.XLOOKUP(B421,Table2[Main Member Link ID],Table2[Benefit Name],0)=Lookups!$D$14),"",
IF(AND(Table2[[#This Row],[Member Type]]="Spouse",Table2[[#This Row],[Product Option]]="My Value Plus Life &amp; Funeral",_xlfn.XLOOKUP(B420,Table2[Main Member Link ID],Table2[Benefit Name],0)=Lookups!$D$16),"",
IF(AND(Table2[[#This Row],[Member Type]]="Child",Table2[[#This Row],[Product Option]]="My Value Plus Life &amp; Funeral"),"",
IF(AND(Table2[[#This Row],[Member Type]]="Child",Table2[[#This Row],[Product Option]]="My Value Plus Life &amp; Funeral",_xlfn.XLOOKUP(B421,Table2[Main Member Link ID],Table2[Benefit Name],0)=Lookups!$D$15),"",
IF(AND(OR(Table2[[#This Row],[Member Type]]="Spouse",Table2[[#This Row],[Member Type]]="Child"),Table2[[#This Row],[Product Option]]="My Value Plus Life &amp; Funeral",_xlfn.XLOOKUP(B421,Table2[Main Member Link ID],Table2[Benefit Name],0)&lt;&gt;Lookups!$D$17),
IF(_xlfn.XLOOKUP(B421,Table2[Main Member Link ID],Table2[Benefit Name],0)=0,"",_xlfn.XLOOKUP(B421,Table2[Main Member Link ID],Table2[Benefit Name],0)),""))))))</f>
        <v/>
      </c>
      <c r="AI421" s="328" t="str">
        <f>IF(AND(Table2[[#This Row],[Member Type]]="Main Member",Table2[[#This Row],[Table Lookup for Life Cover]]="MM_LIFE",Table2[[#This Row],[Age Next Birthday]]&lt;56),1,
IF(AND(Table2[[#This Row],[Member Type]]="Main Member",Table2[[#This Row],[Table Lookup for Life Cover]]="MM_LIFE",Table2[[#This Row],[Age Next Birthday]]&gt;=56),2,
""))</f>
        <v/>
      </c>
      <c r="AJ421" s="328">
        <f>IF(OR(Table2[[#This Row],[Member Type]]="Main Member",Table2[[#This Row],[Main Member Link ID]]=B420),1,0)</f>
        <v>1</v>
      </c>
      <c r="AK421" s="328">
        <f>IF(Table2[[#This Row],[Member Type]]=0,0,
IF(OR(Table2[[#This Row],[Member Type]]="Main Member",Table2[[#This Row],[Main Member Link ID]]&lt;&gt;B421),COUNTIFS(B:B,Table2[[#This Row],[Main Member Link ID]]),
COUNTIFS(B:B,Table2[[#This Row],[Main Member Link ID]],A:A,Table2[[#This Row],[Member Type]])))</f>
        <v>0</v>
      </c>
    </row>
    <row r="422" spans="1:37" x14ac:dyDescent="0.3">
      <c r="A422" s="284">
        <f>Table13[[#This Row],[Member Type]]</f>
        <v>0</v>
      </c>
      <c r="B422" s="284">
        <f>Table13[[#This Row],[Main Member Link ID]]</f>
        <v>0</v>
      </c>
      <c r="C422" s="284">
        <f>Table13[[#This Row],[ID Number]]</f>
        <v>0</v>
      </c>
      <c r="D422" s="285">
        <f>Table13[[#This Row],[Date Of Birth]]</f>
        <v>0</v>
      </c>
      <c r="E422" s="285">
        <f>Table13[[#This Row],[Commencement Date]]</f>
        <v>0</v>
      </c>
      <c r="F422" s="284">
        <f t="shared" si="42"/>
        <v>1</v>
      </c>
      <c r="G422" s="284">
        <f t="shared" si="43"/>
        <v>25</v>
      </c>
      <c r="H422" s="286">
        <f>Table13[[#This Row],[Product Option]]</f>
        <v>0</v>
      </c>
      <c r="I422" s="284">
        <f>IF(AND($A422="Main Member",Table2[[#This Row],[Product Option]]="My Value Plus Life"),"MM_LIFE",
IF(AND($A422="Spouse",Table2[[#This Row],[Product Option]]="My Value Plus Life"),"SP_LIFE",
IF(AND($A422="Main Member",Table2[[#This Row],[Product Option]]="My Value Plus Life &amp; Funeral"),"MM_LIFE",
IF(AND($A422="Spouse",Table2[[#This Row],[Product Option]]="My Value Plus Life &amp; Funeral"),_xlfn.XLOOKUP(Table2[[#This Row],[Benefit Name]],Lookups!$D$18:$D$23,Lookups!$E$18:$E$23,0),
0))))</f>
        <v>0</v>
      </c>
      <c r="J422" s="284">
        <f>IF($I422="","",
IF($I422="MM_LIFE",INDEX('Quotation Tool'!$S$54:$V$60,MATCH($T422,'Quotation Tool'!$S$54:$S$60,0),4),
IF($I422="SP_LIFE",_xlfn.XLOOKUP(B421,$B:$B,$J:$J,0),0)))</f>
        <v>0</v>
      </c>
      <c r="K422" s="287">
        <f t="shared" ca="1" si="47"/>
        <v>0</v>
      </c>
      <c r="L422" s="288">
        <f t="shared" ca="1" si="48"/>
        <v>0</v>
      </c>
      <c r="M422" s="289">
        <f t="shared" ca="1" si="44"/>
        <v>0</v>
      </c>
      <c r="N422" s="286">
        <f>Table13[[#This Row],[Benefit Option]]</f>
        <v>0</v>
      </c>
      <c r="O422" s="284">
        <f>IF(OR(Table2[[#This Row],[Member Type]]="Spouse",Table2[[#This Row],[Member Type]]="Child"),0,
IF(_xlfn.XLOOKUP($N422,Lookups!$D$13:$D$27,Lookups!$F$13:$F$27,0)=Table2[[#This Row],[Table Lookup for Life Cover]],0,
_xlfn.XLOOKUP($N422,Lookups!$D$13:$D$27,Lookups!$F$13:$F$27,0)))</f>
        <v>0</v>
      </c>
      <c r="P422" s="284">
        <f>IF(Table2[[#This Row],[Table Lookup for Funeral]]=0,0,IFERROR(INDEX('Quotation Tool'!$S$54:$V$60,MATCH($T422,'Quotation Tool'!$S$54:$S$60,0),3),0))</f>
        <v>0</v>
      </c>
      <c r="Q422" s="288">
        <f ca="1">IF(OR(Table2[[#This Row],[Benefit Name]]="My Value Plus Life - Main Member",Table2[[#This Row],[Benefit Name]]="My Value Plus Life - Spouse"),0,
IFERROR(VLOOKUP($G422,INDIRECT($O422),$P422,FALSE),0))</f>
        <v>0</v>
      </c>
      <c r="R422" s="288">
        <f ca="1">IF(OR(Table2[[#This Row],[Benefit Name]]="My Value Plus Life - Main Member",Table2[[#This Row],[Benefit Name]]="My Value Plus Life - Spouse"),0,
IFERROR(VLOOKUP($G422,INDIRECT($O422),$P422+1,FALSE),0))</f>
        <v>0</v>
      </c>
      <c r="S422" s="289">
        <f t="shared" ca="1" si="45"/>
        <v>0</v>
      </c>
      <c r="T422" s="284" t="str">
        <f>IF(Table13[[#This Row],[Premium Waiver]]="","None",Table13[[#This Row],[Premium Waiver]])</f>
        <v>None</v>
      </c>
      <c r="U422" s="284">
        <f>Table13[[#This Row],[VAPs Options]]</f>
        <v>0</v>
      </c>
      <c r="V422" s="284">
        <f>Table13[[#This Row],[Annual Increase Option]]</f>
        <v>0</v>
      </c>
      <c r="W422" s="290">
        <f>Table13[[#This Row],[Life Cover Amount]]</f>
        <v>0</v>
      </c>
      <c r="X422" s="290">
        <f>Table13[[#This Row],[Funeral Cover Amount]]</f>
        <v>0</v>
      </c>
      <c r="Y42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2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22" s="301">
        <f t="shared" ca="1" si="46"/>
        <v>0</v>
      </c>
      <c r="AB422" s="298"/>
      <c r="AC422" s="326" t="str">
        <f>IF(Table2[[#This Row],[Member Type]]="Main Member",Lookups!$C$13,
IF(Table2[[#This Row],[Member Type]]="Spouse",_xlfn.XLOOKUP(B422,Table2[Main Member Link ID],Table2[Product Option],0),
IF(AND(Table2[[#This Row],[Member Type]]="Child",_xlfn.XLOOKUP(B422,Table2[Main Member Link ID],Table2[Product Option],0)&lt;&gt;"My Value Plus Life"),Lookups!$C$24,
IF(AND(OR(Table2[[#This Row],[Member Type]]="Parent",Table2[[#This Row],[Member Type]]="Extended"),_xlfn.XLOOKUP(B422,Table2[Main Member Link ID],Table2[Product Option],0)&lt;&gt;"My Value Plus Life"),Lookups!$C$26,""))))</f>
        <v/>
      </c>
      <c r="AD422" s="326" t="str">
        <f>IF(Table2[[#This Row],[Member Type]]="Main Member",Lookups!$C$14,"")</f>
        <v/>
      </c>
      <c r="AE42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Funeral",_xlfn.XLOOKUP(B422,Table2[Main Member Link ID],Table2[Benefit Name],0)=Lookups!$D$14),"",
IF(AND(Table2[[#This Row],[Member Type]]="Spouse",Table2[[#This Row],[Product Option]]="My Value Plus Life &amp; Funeral",_xlfn.XLOOKUP(B421,Table2[Main Member Link ID],Table2[Benefit Name],0)=Lookups!$D$15),Lookups!$D$20,
IF(AND(Table2[[#This Row],[Member Type]]="Spouse",Table2[[#This Row],[Product Option]]="My Value Plus Life &amp; Funeral",_xlfn.XLOOKUP(B421,Table2[Main Member Link ID],Table2[Benefit Name],0)=Lookups!$D$16),"",
IF(AND(Table2[[#This Row],[Member Type]]="Spouse",Table2[[#This Row],[Product Option]]="My Value Plus Life &amp; Funeral",_xlfn.XLOOKUP(B421,Table2[Main Member Link ID],Table2[Benefit Name],0)=Lookups!$D$17),Lookups!$D$21,
IF(AND(Table2[[#This Row],[Member Type]]="Child",Table2[[#This Row],[Product Option]]="My Value Plus Life &amp; Funeral",_xlfn.XLOOKUP(B422,Table2[Main Member Link ID],Table2[Benefit Name],0)=Lookups!$D$14),"",
IF(AND(Table2[[#This Row],[Member Type]]="Child",Table2[[#This Row],[Product Option]]="My Value Plus Life &amp; Funeral",_xlfn.XLOOKUP(B422,Table2[Main Member Link ID],Table2[Benefit Name],0)=Lookups!$D$15),"",
IF(AND(Table2[[#This Row],[Member Type]]="Child",Table2[[#This Row],[Product Option]]="My Value Plus Life &amp; Funeral",_xlfn.XLOOKUP(B422,Table2[Main Member Link ID],Table2[Benefit Name],0)=Lookups!$D$16),Lookups!$D$24,
IF(AND(Table2[[#This Row],[Member Type]]="Child",Table2[[#This Row],[Product Option]]="My Value Plus Life &amp; Funeral",_xlfn.XLOOKUP(B422,Table2[Main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Funeral",_xlfn.XLOOKUP(B422,Table2[Main Member Link ID],Table2[Benefit Name],0)&lt;&gt;Lookups!$D$14),
IF(_xlfn.XLOOKUP(B422,Table2[Main Member Link ID],Table2[Benefit Name],0)=0,"",_xlfn.XLOOKUP(B422,Table2[Main Member Link ID],Table2[Benefit Name],0)),"")))))))))))))))</f>
        <v/>
      </c>
      <c r="AF422" s="327" t="str">
        <f>IF(AND(Table2[[#This Row],[Member Type]]="Main Member",Table2[[#This Row],[Product Option]]="My Value Plus Life &amp; Funeral"),Lookups!$D$15,
IF(AND(Table2[[#This Row],[Member Type]]="Spouse",Table2[[#This Row],[Product Option]]="My Value Plus Life &amp; Funeral",_xlfn.XLOOKUP(B422,Table2[Main Member Link ID],Table2[Benefit Name],0)=Lookups!$D$14),"",
IF(AND(Table2[[#This Row],[Member Type]]="Spouse",Table2[[#This Row],[Product Option]]="My Value Plus Life &amp; Funeral",_xlfn.XLOOKUP(B421,Table2[Main Member Link ID],Table2[Benefit Name],0)=Lookups!$D$16),"",
IF(AND(Table2[[#This Row],[Member Type]]="Spouse",Table2[[#This Row],[Product Option]]="My Value Plus Life &amp; Funeral",_xlfn.XLOOKUP(B421,Table2[Main Member Link ID],Table2[Benefit Name],0)=Lookups!$D$15),"",
IF(AND(Table2[[#This Row],[Member Type]]="Spouse",Table2[[#This Row],[Product Option]]="My Value Plus Life &amp; Funeral",_xlfn.XLOOKUP(B421,Table2[Main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Funeral",_xlfn.XLOOKUP(B422,Table2[Main Member Link ID],Table2[Benefit Name],0)&lt;&gt;Lookups!$D$15),
IF(_xlfn.XLOOKUP(B422,Table2[Main Member Link ID],Table2[Benefit Name],0)=0,"",_xlfn.XLOOKUP(B422,Table2[Main Member Link ID],Table2[Benefit Name],0)),"")
))))))</f>
        <v/>
      </c>
      <c r="AG422" s="327" t="str">
        <f>IF(AND(Table2[[#This Row],[Member Type]]="Main Member",Table2[[#This Row],[Product Option]]="My Value Plus Life &amp; Funeral"),Lookups!$D$16,
IF(AND(Table2[[#This Row],[Member Type]]="Spouse",Table2[[#This Row],[Product Option]]="My Value Plus Life &amp; Funeral",_xlfn.XLOOKUP(B422,Table2[Main Member Link ID],Table2[Benefit Name],0)=Lookups!$D$14),"",
IF(AND(Table2[[#This Row],[Member Type]]="Spouse",Table2[[#This Row],[Product Option]]="My Value Plus Life &amp; Funeral",_xlfn.XLOOKUP(B421,Table2[Main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Funeral",_xlfn.XLOOKUP(B422,Table2[Main Member Link ID],Table2[Benefit Name],0)&lt;&gt;Lookups!$D$16),
IF(_xlfn.XLOOKUP(B422,Table2[Main Member Link ID],Table2[Benefit Name],0)=0,"",_xlfn.XLOOKUP(B422,Table2[Main Member Link ID],Table2[Benefit Name],0)),"")
))))</f>
        <v/>
      </c>
      <c r="AH422" s="327" t="str">
        <f>IF(AND(Table2[[#This Row],[Member Type]]="Main Member",Table2[[#This Row],[Product Option]]="My Value Plus Life &amp; Funeral"),Lookups!$D$17,
IF(AND(Table2[[#This Row],[Member Type]]="Spouse",Table2[[#This Row],[Product Option]]="My Value Plus Life &amp; Funeral",_xlfn.XLOOKUP(B422,Table2[Main Member Link ID],Table2[Benefit Name],0)=Lookups!$D$14),"",
IF(AND(Table2[[#This Row],[Member Type]]="Spouse",Table2[[#This Row],[Product Option]]="My Value Plus Life &amp; Funeral",_xlfn.XLOOKUP(B421,Table2[Main Member Link ID],Table2[Benefit Name],0)=Lookups!$D$16),"",
IF(AND(Table2[[#This Row],[Member Type]]="Child",Table2[[#This Row],[Product Option]]="My Value Plus Life &amp; Funeral"),"",
IF(AND(Table2[[#This Row],[Member Type]]="Child",Table2[[#This Row],[Product Option]]="My Value Plus Life &amp; Funeral",_xlfn.XLOOKUP(B422,Table2[Main Member Link ID],Table2[Benefit Name],0)=Lookups!$D$15),"",
IF(AND(OR(Table2[[#This Row],[Member Type]]="Spouse",Table2[[#This Row],[Member Type]]="Child"),Table2[[#This Row],[Product Option]]="My Value Plus Life &amp; Funeral",_xlfn.XLOOKUP(B422,Table2[Main Member Link ID],Table2[Benefit Name],0)&lt;&gt;Lookups!$D$17),
IF(_xlfn.XLOOKUP(B422,Table2[Main Member Link ID],Table2[Benefit Name],0)=0,"",_xlfn.XLOOKUP(B422,Table2[Main Member Link ID],Table2[Benefit Name],0)),""))))))</f>
        <v/>
      </c>
      <c r="AI422" s="328" t="str">
        <f>IF(AND(Table2[[#This Row],[Member Type]]="Main Member",Table2[[#This Row],[Table Lookup for Life Cover]]="MM_LIFE",Table2[[#This Row],[Age Next Birthday]]&lt;56),1,
IF(AND(Table2[[#This Row],[Member Type]]="Main Member",Table2[[#This Row],[Table Lookup for Life Cover]]="MM_LIFE",Table2[[#This Row],[Age Next Birthday]]&gt;=56),2,
""))</f>
        <v/>
      </c>
      <c r="AJ422" s="328">
        <f>IF(OR(Table2[[#This Row],[Member Type]]="Main Member",Table2[[#This Row],[Main Member Link ID]]=B421),1,0)</f>
        <v>1</v>
      </c>
      <c r="AK422" s="328">
        <f>IF(Table2[[#This Row],[Member Type]]=0,0,
IF(OR(Table2[[#This Row],[Member Type]]="Main Member",Table2[[#This Row],[Main Member Link ID]]&lt;&gt;B422),COUNTIFS(B:B,Table2[[#This Row],[Main Member Link ID]]),
COUNTIFS(B:B,Table2[[#This Row],[Main Member Link ID]],A:A,Table2[[#This Row],[Member Type]])))</f>
        <v>0</v>
      </c>
    </row>
    <row r="423" spans="1:37" x14ac:dyDescent="0.3">
      <c r="A423" s="284">
        <f>Table13[[#This Row],[Member Type]]</f>
        <v>0</v>
      </c>
      <c r="B423" s="284">
        <f>Table13[[#This Row],[Main Member Link ID]]</f>
        <v>0</v>
      </c>
      <c r="C423" s="284">
        <f>Table13[[#This Row],[ID Number]]</f>
        <v>0</v>
      </c>
      <c r="D423" s="285">
        <f>Table13[[#This Row],[Date Of Birth]]</f>
        <v>0</v>
      </c>
      <c r="E423" s="285">
        <f>Table13[[#This Row],[Commencement Date]]</f>
        <v>0</v>
      </c>
      <c r="F423" s="284">
        <f t="shared" si="42"/>
        <v>1</v>
      </c>
      <c r="G423" s="284">
        <f t="shared" si="43"/>
        <v>25</v>
      </c>
      <c r="H423" s="286">
        <f>Table13[[#This Row],[Product Option]]</f>
        <v>0</v>
      </c>
      <c r="I423" s="284">
        <f>IF(AND($A423="Main Member",Table2[[#This Row],[Product Option]]="My Value Plus Life"),"MM_LIFE",
IF(AND($A423="Spouse",Table2[[#This Row],[Product Option]]="My Value Plus Life"),"SP_LIFE",
IF(AND($A423="Main Member",Table2[[#This Row],[Product Option]]="My Value Plus Life &amp; Funeral"),"MM_LIFE",
IF(AND($A423="Spouse",Table2[[#This Row],[Product Option]]="My Value Plus Life &amp; Funeral"),_xlfn.XLOOKUP(Table2[[#This Row],[Benefit Name]],Lookups!$D$18:$D$23,Lookups!$E$18:$E$23,0),
0))))</f>
        <v>0</v>
      </c>
      <c r="J423" s="284">
        <f>IF($I423="","",
IF($I423="MM_LIFE",INDEX('Quotation Tool'!$S$54:$V$60,MATCH($T423,'Quotation Tool'!$S$54:$S$60,0),4),
IF($I423="SP_LIFE",_xlfn.XLOOKUP(B422,$B:$B,$J:$J,0),0)))</f>
        <v>0</v>
      </c>
      <c r="K423" s="287">
        <f t="shared" ca="1" si="47"/>
        <v>0</v>
      </c>
      <c r="L423" s="288">
        <f t="shared" ca="1" si="48"/>
        <v>0</v>
      </c>
      <c r="M423" s="289">
        <f t="shared" ca="1" si="44"/>
        <v>0</v>
      </c>
      <c r="N423" s="286">
        <f>Table13[[#This Row],[Benefit Option]]</f>
        <v>0</v>
      </c>
      <c r="O423" s="284">
        <f>IF(OR(Table2[[#This Row],[Member Type]]="Spouse",Table2[[#This Row],[Member Type]]="Child"),0,
IF(_xlfn.XLOOKUP($N423,Lookups!$D$13:$D$27,Lookups!$F$13:$F$27,0)=Table2[[#This Row],[Table Lookup for Life Cover]],0,
_xlfn.XLOOKUP($N423,Lookups!$D$13:$D$27,Lookups!$F$13:$F$27,0)))</f>
        <v>0</v>
      </c>
      <c r="P423" s="284">
        <f>IF(Table2[[#This Row],[Table Lookup for Funeral]]=0,0,IFERROR(INDEX('Quotation Tool'!$S$54:$V$60,MATCH($T423,'Quotation Tool'!$S$54:$S$60,0),3),0))</f>
        <v>0</v>
      </c>
      <c r="Q423" s="288">
        <f ca="1">IF(OR(Table2[[#This Row],[Benefit Name]]="My Value Plus Life - Main Member",Table2[[#This Row],[Benefit Name]]="My Value Plus Life - Spouse"),0,
IFERROR(VLOOKUP($G423,INDIRECT($O423),$P423,FALSE),0))</f>
        <v>0</v>
      </c>
      <c r="R423" s="288">
        <f ca="1">IF(OR(Table2[[#This Row],[Benefit Name]]="My Value Plus Life - Main Member",Table2[[#This Row],[Benefit Name]]="My Value Plus Life - Spouse"),0,
IFERROR(VLOOKUP($G423,INDIRECT($O423),$P423+1,FALSE),0))</f>
        <v>0</v>
      </c>
      <c r="S423" s="289">
        <f t="shared" ca="1" si="45"/>
        <v>0</v>
      </c>
      <c r="T423" s="284" t="str">
        <f>IF(Table13[[#This Row],[Premium Waiver]]="","None",Table13[[#This Row],[Premium Waiver]])</f>
        <v>None</v>
      </c>
      <c r="U423" s="284">
        <f>Table13[[#This Row],[VAPs Options]]</f>
        <v>0</v>
      </c>
      <c r="V423" s="284">
        <f>Table13[[#This Row],[Annual Increase Option]]</f>
        <v>0</v>
      </c>
      <c r="W423" s="290">
        <f>Table13[[#This Row],[Life Cover Amount]]</f>
        <v>0</v>
      </c>
      <c r="X423" s="290">
        <f>Table13[[#This Row],[Funeral Cover Amount]]</f>
        <v>0</v>
      </c>
      <c r="Y42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2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23" s="301">
        <f t="shared" ca="1" si="46"/>
        <v>0</v>
      </c>
      <c r="AB423" s="298"/>
      <c r="AC423" s="326" t="str">
        <f>IF(Table2[[#This Row],[Member Type]]="Main Member",Lookups!$C$13,
IF(Table2[[#This Row],[Member Type]]="Spouse",_xlfn.XLOOKUP(B423,Table2[Main Member Link ID],Table2[Product Option],0),
IF(AND(Table2[[#This Row],[Member Type]]="Child",_xlfn.XLOOKUP(B423,Table2[Main Member Link ID],Table2[Product Option],0)&lt;&gt;"My Value Plus Life"),Lookups!$C$24,
IF(AND(OR(Table2[[#This Row],[Member Type]]="Parent",Table2[[#This Row],[Member Type]]="Extended"),_xlfn.XLOOKUP(B423,Table2[Main Member Link ID],Table2[Product Option],0)&lt;&gt;"My Value Plus Life"),Lookups!$C$26,""))))</f>
        <v/>
      </c>
      <c r="AD423" s="326" t="str">
        <f>IF(Table2[[#This Row],[Member Type]]="Main Member",Lookups!$C$14,"")</f>
        <v/>
      </c>
      <c r="AE42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Funeral",_xlfn.XLOOKUP(B423,Table2[Main Member Link ID],Table2[Benefit Name],0)=Lookups!$D$14),"",
IF(AND(Table2[[#This Row],[Member Type]]="Spouse",Table2[[#This Row],[Product Option]]="My Value Plus Life &amp; Funeral",_xlfn.XLOOKUP(B422,Table2[Main Member Link ID],Table2[Benefit Name],0)=Lookups!$D$15),Lookups!$D$20,
IF(AND(Table2[[#This Row],[Member Type]]="Spouse",Table2[[#This Row],[Product Option]]="My Value Plus Life &amp; Funeral",_xlfn.XLOOKUP(B422,Table2[Main Member Link ID],Table2[Benefit Name],0)=Lookups!$D$16),"",
IF(AND(Table2[[#This Row],[Member Type]]="Spouse",Table2[[#This Row],[Product Option]]="My Value Plus Life &amp; Funeral",_xlfn.XLOOKUP(B422,Table2[Main Member Link ID],Table2[Benefit Name],0)=Lookups!$D$17),Lookups!$D$21,
IF(AND(Table2[[#This Row],[Member Type]]="Child",Table2[[#This Row],[Product Option]]="My Value Plus Life &amp; Funeral",_xlfn.XLOOKUP(B423,Table2[Main Member Link ID],Table2[Benefit Name],0)=Lookups!$D$14),"",
IF(AND(Table2[[#This Row],[Member Type]]="Child",Table2[[#This Row],[Product Option]]="My Value Plus Life &amp; Funeral",_xlfn.XLOOKUP(B423,Table2[Main Member Link ID],Table2[Benefit Name],0)=Lookups!$D$15),"",
IF(AND(Table2[[#This Row],[Member Type]]="Child",Table2[[#This Row],[Product Option]]="My Value Plus Life &amp; Funeral",_xlfn.XLOOKUP(B423,Table2[Main Member Link ID],Table2[Benefit Name],0)=Lookups!$D$16),Lookups!$D$24,
IF(AND(Table2[[#This Row],[Member Type]]="Child",Table2[[#This Row],[Product Option]]="My Value Plus Life &amp; Funeral",_xlfn.XLOOKUP(B423,Table2[Main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Funeral",_xlfn.XLOOKUP(B423,Table2[Main Member Link ID],Table2[Benefit Name],0)&lt;&gt;Lookups!$D$14),
IF(_xlfn.XLOOKUP(B423,Table2[Main Member Link ID],Table2[Benefit Name],0)=0,"",_xlfn.XLOOKUP(B423,Table2[Main Member Link ID],Table2[Benefit Name],0)),"")))))))))))))))</f>
        <v/>
      </c>
      <c r="AF423" s="327" t="str">
        <f>IF(AND(Table2[[#This Row],[Member Type]]="Main Member",Table2[[#This Row],[Product Option]]="My Value Plus Life &amp; Funeral"),Lookups!$D$15,
IF(AND(Table2[[#This Row],[Member Type]]="Spouse",Table2[[#This Row],[Product Option]]="My Value Plus Life &amp; Funeral",_xlfn.XLOOKUP(B423,Table2[Main Member Link ID],Table2[Benefit Name],0)=Lookups!$D$14),"",
IF(AND(Table2[[#This Row],[Member Type]]="Spouse",Table2[[#This Row],[Product Option]]="My Value Plus Life &amp; Funeral",_xlfn.XLOOKUP(B422,Table2[Main Member Link ID],Table2[Benefit Name],0)=Lookups!$D$16),"",
IF(AND(Table2[[#This Row],[Member Type]]="Spouse",Table2[[#This Row],[Product Option]]="My Value Plus Life &amp; Funeral",_xlfn.XLOOKUP(B422,Table2[Main Member Link ID],Table2[Benefit Name],0)=Lookups!$D$15),"",
IF(AND(Table2[[#This Row],[Member Type]]="Spouse",Table2[[#This Row],[Product Option]]="My Value Plus Life &amp; Funeral",_xlfn.XLOOKUP(B422,Table2[Main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Funeral",_xlfn.XLOOKUP(B423,Table2[Main Member Link ID],Table2[Benefit Name],0)&lt;&gt;Lookups!$D$15),
IF(_xlfn.XLOOKUP(B423,Table2[Main Member Link ID],Table2[Benefit Name],0)=0,"",_xlfn.XLOOKUP(B423,Table2[Main Member Link ID],Table2[Benefit Name],0)),"")
))))))</f>
        <v/>
      </c>
      <c r="AG423" s="327" t="str">
        <f>IF(AND(Table2[[#This Row],[Member Type]]="Main Member",Table2[[#This Row],[Product Option]]="My Value Plus Life &amp; Funeral"),Lookups!$D$16,
IF(AND(Table2[[#This Row],[Member Type]]="Spouse",Table2[[#This Row],[Product Option]]="My Value Plus Life &amp; Funeral",_xlfn.XLOOKUP(B423,Table2[Main Member Link ID],Table2[Benefit Name],0)=Lookups!$D$14),"",
IF(AND(Table2[[#This Row],[Member Type]]="Spouse",Table2[[#This Row],[Product Option]]="My Value Plus Life &amp; Funeral",_xlfn.XLOOKUP(B422,Table2[Main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Funeral",_xlfn.XLOOKUP(B423,Table2[Main Member Link ID],Table2[Benefit Name],0)&lt;&gt;Lookups!$D$16),
IF(_xlfn.XLOOKUP(B423,Table2[Main Member Link ID],Table2[Benefit Name],0)=0,"",_xlfn.XLOOKUP(B423,Table2[Main Member Link ID],Table2[Benefit Name],0)),"")
))))</f>
        <v/>
      </c>
      <c r="AH423" s="327" t="str">
        <f>IF(AND(Table2[[#This Row],[Member Type]]="Main Member",Table2[[#This Row],[Product Option]]="My Value Plus Life &amp; Funeral"),Lookups!$D$17,
IF(AND(Table2[[#This Row],[Member Type]]="Spouse",Table2[[#This Row],[Product Option]]="My Value Plus Life &amp; Funeral",_xlfn.XLOOKUP(B423,Table2[Main Member Link ID],Table2[Benefit Name],0)=Lookups!$D$14),"",
IF(AND(Table2[[#This Row],[Member Type]]="Spouse",Table2[[#This Row],[Product Option]]="My Value Plus Life &amp; Funeral",_xlfn.XLOOKUP(B422,Table2[Main Member Link ID],Table2[Benefit Name],0)=Lookups!$D$16),"",
IF(AND(Table2[[#This Row],[Member Type]]="Child",Table2[[#This Row],[Product Option]]="My Value Plus Life &amp; Funeral"),"",
IF(AND(Table2[[#This Row],[Member Type]]="Child",Table2[[#This Row],[Product Option]]="My Value Plus Life &amp; Funeral",_xlfn.XLOOKUP(B423,Table2[Main Member Link ID],Table2[Benefit Name],0)=Lookups!$D$15),"",
IF(AND(OR(Table2[[#This Row],[Member Type]]="Spouse",Table2[[#This Row],[Member Type]]="Child"),Table2[[#This Row],[Product Option]]="My Value Plus Life &amp; Funeral",_xlfn.XLOOKUP(B423,Table2[Main Member Link ID],Table2[Benefit Name],0)&lt;&gt;Lookups!$D$17),
IF(_xlfn.XLOOKUP(B423,Table2[Main Member Link ID],Table2[Benefit Name],0)=0,"",_xlfn.XLOOKUP(B423,Table2[Main Member Link ID],Table2[Benefit Name],0)),""))))))</f>
        <v/>
      </c>
      <c r="AI423" s="328" t="str">
        <f>IF(AND(Table2[[#This Row],[Member Type]]="Main Member",Table2[[#This Row],[Table Lookup for Life Cover]]="MM_LIFE",Table2[[#This Row],[Age Next Birthday]]&lt;56),1,
IF(AND(Table2[[#This Row],[Member Type]]="Main Member",Table2[[#This Row],[Table Lookup for Life Cover]]="MM_LIFE",Table2[[#This Row],[Age Next Birthday]]&gt;=56),2,
""))</f>
        <v/>
      </c>
      <c r="AJ423" s="328">
        <f>IF(OR(Table2[[#This Row],[Member Type]]="Main Member",Table2[[#This Row],[Main Member Link ID]]=B422),1,0)</f>
        <v>1</v>
      </c>
      <c r="AK423" s="328">
        <f>IF(Table2[[#This Row],[Member Type]]=0,0,
IF(OR(Table2[[#This Row],[Member Type]]="Main Member",Table2[[#This Row],[Main Member Link ID]]&lt;&gt;B423),COUNTIFS(B:B,Table2[[#This Row],[Main Member Link ID]]),
COUNTIFS(B:B,Table2[[#This Row],[Main Member Link ID]],A:A,Table2[[#This Row],[Member Type]])))</f>
        <v>0</v>
      </c>
    </row>
    <row r="424" spans="1:37" x14ac:dyDescent="0.3">
      <c r="A424" s="284">
        <f>Table13[[#This Row],[Member Type]]</f>
        <v>0</v>
      </c>
      <c r="B424" s="284">
        <f>Table13[[#This Row],[Main Member Link ID]]</f>
        <v>0</v>
      </c>
      <c r="C424" s="284">
        <f>Table13[[#This Row],[ID Number]]</f>
        <v>0</v>
      </c>
      <c r="D424" s="285">
        <f>Table13[[#This Row],[Date Of Birth]]</f>
        <v>0</v>
      </c>
      <c r="E424" s="285">
        <f>Table13[[#This Row],[Commencement Date]]</f>
        <v>0</v>
      </c>
      <c r="F424" s="284">
        <f t="shared" si="42"/>
        <v>1</v>
      </c>
      <c r="G424" s="284">
        <f t="shared" si="43"/>
        <v>25</v>
      </c>
      <c r="H424" s="286">
        <f>Table13[[#This Row],[Product Option]]</f>
        <v>0</v>
      </c>
      <c r="I424" s="284">
        <f>IF(AND($A424="Main Member",Table2[[#This Row],[Product Option]]="My Value Plus Life"),"MM_LIFE",
IF(AND($A424="Spouse",Table2[[#This Row],[Product Option]]="My Value Plus Life"),"SP_LIFE",
IF(AND($A424="Main Member",Table2[[#This Row],[Product Option]]="My Value Plus Life &amp; Funeral"),"MM_LIFE",
IF(AND($A424="Spouse",Table2[[#This Row],[Product Option]]="My Value Plus Life &amp; Funeral"),_xlfn.XLOOKUP(Table2[[#This Row],[Benefit Name]],Lookups!$D$18:$D$23,Lookups!$E$18:$E$23,0),
0))))</f>
        <v>0</v>
      </c>
      <c r="J424" s="284">
        <f>IF($I424="","",
IF($I424="MM_LIFE",INDEX('Quotation Tool'!$S$54:$V$60,MATCH($T424,'Quotation Tool'!$S$54:$S$60,0),4),
IF($I424="SP_LIFE",_xlfn.XLOOKUP(B423,$B:$B,$J:$J,0),0)))</f>
        <v>0</v>
      </c>
      <c r="K424" s="287">
        <f t="shared" ca="1" si="47"/>
        <v>0</v>
      </c>
      <c r="L424" s="288">
        <f t="shared" ca="1" si="48"/>
        <v>0</v>
      </c>
      <c r="M424" s="289">
        <f t="shared" ca="1" si="44"/>
        <v>0</v>
      </c>
      <c r="N424" s="286">
        <f>Table13[[#This Row],[Benefit Option]]</f>
        <v>0</v>
      </c>
      <c r="O424" s="284">
        <f>IF(OR(Table2[[#This Row],[Member Type]]="Spouse",Table2[[#This Row],[Member Type]]="Child"),0,
IF(_xlfn.XLOOKUP($N424,Lookups!$D$13:$D$27,Lookups!$F$13:$F$27,0)=Table2[[#This Row],[Table Lookup for Life Cover]],0,
_xlfn.XLOOKUP($N424,Lookups!$D$13:$D$27,Lookups!$F$13:$F$27,0)))</f>
        <v>0</v>
      </c>
      <c r="P424" s="284">
        <f>IF(Table2[[#This Row],[Table Lookup for Funeral]]=0,0,IFERROR(INDEX('Quotation Tool'!$S$54:$V$60,MATCH($T424,'Quotation Tool'!$S$54:$S$60,0),3),0))</f>
        <v>0</v>
      </c>
      <c r="Q424" s="288">
        <f ca="1">IF(OR(Table2[[#This Row],[Benefit Name]]="My Value Plus Life - Main Member",Table2[[#This Row],[Benefit Name]]="My Value Plus Life - Spouse"),0,
IFERROR(VLOOKUP($G424,INDIRECT($O424),$P424,FALSE),0))</f>
        <v>0</v>
      </c>
      <c r="R424" s="288">
        <f ca="1">IF(OR(Table2[[#This Row],[Benefit Name]]="My Value Plus Life - Main Member",Table2[[#This Row],[Benefit Name]]="My Value Plus Life - Spouse"),0,
IFERROR(VLOOKUP($G424,INDIRECT($O424),$P424+1,FALSE),0))</f>
        <v>0</v>
      </c>
      <c r="S424" s="289">
        <f t="shared" ca="1" si="45"/>
        <v>0</v>
      </c>
      <c r="T424" s="284" t="str">
        <f>IF(Table13[[#This Row],[Premium Waiver]]="","None",Table13[[#This Row],[Premium Waiver]])</f>
        <v>None</v>
      </c>
      <c r="U424" s="284">
        <f>Table13[[#This Row],[VAPs Options]]</f>
        <v>0</v>
      </c>
      <c r="V424" s="284">
        <f>Table13[[#This Row],[Annual Increase Option]]</f>
        <v>0</v>
      </c>
      <c r="W424" s="290">
        <f>Table13[[#This Row],[Life Cover Amount]]</f>
        <v>0</v>
      </c>
      <c r="X424" s="290">
        <f>Table13[[#This Row],[Funeral Cover Amount]]</f>
        <v>0</v>
      </c>
      <c r="Y42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2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24" s="301">
        <f t="shared" ca="1" si="46"/>
        <v>0</v>
      </c>
      <c r="AB424" s="298"/>
      <c r="AC424" s="326" t="str">
        <f>IF(Table2[[#This Row],[Member Type]]="Main Member",Lookups!$C$13,
IF(Table2[[#This Row],[Member Type]]="Spouse",_xlfn.XLOOKUP(B424,Table2[Main Member Link ID],Table2[Product Option],0),
IF(AND(Table2[[#This Row],[Member Type]]="Child",_xlfn.XLOOKUP(B424,Table2[Main Member Link ID],Table2[Product Option],0)&lt;&gt;"My Value Plus Life"),Lookups!$C$24,
IF(AND(OR(Table2[[#This Row],[Member Type]]="Parent",Table2[[#This Row],[Member Type]]="Extended"),_xlfn.XLOOKUP(B424,Table2[Main Member Link ID],Table2[Product Option],0)&lt;&gt;"My Value Plus Life"),Lookups!$C$26,""))))</f>
        <v/>
      </c>
      <c r="AD424" s="326" t="str">
        <f>IF(Table2[[#This Row],[Member Type]]="Main Member",Lookups!$C$14,"")</f>
        <v/>
      </c>
      <c r="AE42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Funeral",_xlfn.XLOOKUP(B424,Table2[Main Member Link ID],Table2[Benefit Name],0)=Lookups!$D$14),"",
IF(AND(Table2[[#This Row],[Member Type]]="Spouse",Table2[[#This Row],[Product Option]]="My Value Plus Life &amp; Funeral",_xlfn.XLOOKUP(B423,Table2[Main Member Link ID],Table2[Benefit Name],0)=Lookups!$D$15),Lookups!$D$20,
IF(AND(Table2[[#This Row],[Member Type]]="Spouse",Table2[[#This Row],[Product Option]]="My Value Plus Life &amp; Funeral",_xlfn.XLOOKUP(B423,Table2[Main Member Link ID],Table2[Benefit Name],0)=Lookups!$D$16),"",
IF(AND(Table2[[#This Row],[Member Type]]="Spouse",Table2[[#This Row],[Product Option]]="My Value Plus Life &amp; Funeral",_xlfn.XLOOKUP(B423,Table2[Main Member Link ID],Table2[Benefit Name],0)=Lookups!$D$17),Lookups!$D$21,
IF(AND(Table2[[#This Row],[Member Type]]="Child",Table2[[#This Row],[Product Option]]="My Value Plus Life &amp; Funeral",_xlfn.XLOOKUP(B424,Table2[Main Member Link ID],Table2[Benefit Name],0)=Lookups!$D$14),"",
IF(AND(Table2[[#This Row],[Member Type]]="Child",Table2[[#This Row],[Product Option]]="My Value Plus Life &amp; Funeral",_xlfn.XLOOKUP(B424,Table2[Main Member Link ID],Table2[Benefit Name],0)=Lookups!$D$15),"",
IF(AND(Table2[[#This Row],[Member Type]]="Child",Table2[[#This Row],[Product Option]]="My Value Plus Life &amp; Funeral",_xlfn.XLOOKUP(B424,Table2[Main Member Link ID],Table2[Benefit Name],0)=Lookups!$D$16),Lookups!$D$24,
IF(AND(Table2[[#This Row],[Member Type]]="Child",Table2[[#This Row],[Product Option]]="My Value Plus Life &amp; Funeral",_xlfn.XLOOKUP(B424,Table2[Main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Funeral",_xlfn.XLOOKUP(B424,Table2[Main Member Link ID],Table2[Benefit Name],0)&lt;&gt;Lookups!$D$14),
IF(_xlfn.XLOOKUP(B424,Table2[Main Member Link ID],Table2[Benefit Name],0)=0,"",_xlfn.XLOOKUP(B424,Table2[Main Member Link ID],Table2[Benefit Name],0)),"")))))))))))))))</f>
        <v/>
      </c>
      <c r="AF424" s="327" t="str">
        <f>IF(AND(Table2[[#This Row],[Member Type]]="Main Member",Table2[[#This Row],[Product Option]]="My Value Plus Life &amp; Funeral"),Lookups!$D$15,
IF(AND(Table2[[#This Row],[Member Type]]="Spouse",Table2[[#This Row],[Product Option]]="My Value Plus Life &amp; Funeral",_xlfn.XLOOKUP(B424,Table2[Main Member Link ID],Table2[Benefit Name],0)=Lookups!$D$14),"",
IF(AND(Table2[[#This Row],[Member Type]]="Spouse",Table2[[#This Row],[Product Option]]="My Value Plus Life &amp; Funeral",_xlfn.XLOOKUP(B423,Table2[Main Member Link ID],Table2[Benefit Name],0)=Lookups!$D$16),"",
IF(AND(Table2[[#This Row],[Member Type]]="Spouse",Table2[[#This Row],[Product Option]]="My Value Plus Life &amp; Funeral",_xlfn.XLOOKUP(B423,Table2[Main Member Link ID],Table2[Benefit Name],0)=Lookups!$D$15),"",
IF(AND(Table2[[#This Row],[Member Type]]="Spouse",Table2[[#This Row],[Product Option]]="My Value Plus Life &amp; Funeral",_xlfn.XLOOKUP(B423,Table2[Main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Funeral",_xlfn.XLOOKUP(B424,Table2[Main Member Link ID],Table2[Benefit Name],0)&lt;&gt;Lookups!$D$15),
IF(_xlfn.XLOOKUP(B424,Table2[Main Member Link ID],Table2[Benefit Name],0)=0,"",_xlfn.XLOOKUP(B424,Table2[Main Member Link ID],Table2[Benefit Name],0)),"")
))))))</f>
        <v/>
      </c>
      <c r="AG424" s="327" t="str">
        <f>IF(AND(Table2[[#This Row],[Member Type]]="Main Member",Table2[[#This Row],[Product Option]]="My Value Plus Life &amp; Funeral"),Lookups!$D$16,
IF(AND(Table2[[#This Row],[Member Type]]="Spouse",Table2[[#This Row],[Product Option]]="My Value Plus Life &amp; Funeral",_xlfn.XLOOKUP(B424,Table2[Main Member Link ID],Table2[Benefit Name],0)=Lookups!$D$14),"",
IF(AND(Table2[[#This Row],[Member Type]]="Spouse",Table2[[#This Row],[Product Option]]="My Value Plus Life &amp; Funeral",_xlfn.XLOOKUP(B423,Table2[Main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Funeral",_xlfn.XLOOKUP(B424,Table2[Main Member Link ID],Table2[Benefit Name],0)&lt;&gt;Lookups!$D$16),
IF(_xlfn.XLOOKUP(B424,Table2[Main Member Link ID],Table2[Benefit Name],0)=0,"",_xlfn.XLOOKUP(B424,Table2[Main Member Link ID],Table2[Benefit Name],0)),"")
))))</f>
        <v/>
      </c>
      <c r="AH424" s="327" t="str">
        <f>IF(AND(Table2[[#This Row],[Member Type]]="Main Member",Table2[[#This Row],[Product Option]]="My Value Plus Life &amp; Funeral"),Lookups!$D$17,
IF(AND(Table2[[#This Row],[Member Type]]="Spouse",Table2[[#This Row],[Product Option]]="My Value Plus Life &amp; Funeral",_xlfn.XLOOKUP(B424,Table2[Main Member Link ID],Table2[Benefit Name],0)=Lookups!$D$14),"",
IF(AND(Table2[[#This Row],[Member Type]]="Spouse",Table2[[#This Row],[Product Option]]="My Value Plus Life &amp; Funeral",_xlfn.XLOOKUP(B423,Table2[Main Member Link ID],Table2[Benefit Name],0)=Lookups!$D$16),"",
IF(AND(Table2[[#This Row],[Member Type]]="Child",Table2[[#This Row],[Product Option]]="My Value Plus Life &amp; Funeral"),"",
IF(AND(Table2[[#This Row],[Member Type]]="Child",Table2[[#This Row],[Product Option]]="My Value Plus Life &amp; Funeral",_xlfn.XLOOKUP(B424,Table2[Main Member Link ID],Table2[Benefit Name],0)=Lookups!$D$15),"",
IF(AND(OR(Table2[[#This Row],[Member Type]]="Spouse",Table2[[#This Row],[Member Type]]="Child"),Table2[[#This Row],[Product Option]]="My Value Plus Life &amp; Funeral",_xlfn.XLOOKUP(B424,Table2[Main Member Link ID],Table2[Benefit Name],0)&lt;&gt;Lookups!$D$17),
IF(_xlfn.XLOOKUP(B424,Table2[Main Member Link ID],Table2[Benefit Name],0)=0,"",_xlfn.XLOOKUP(B424,Table2[Main Member Link ID],Table2[Benefit Name],0)),""))))))</f>
        <v/>
      </c>
      <c r="AI424" s="328" t="str">
        <f>IF(AND(Table2[[#This Row],[Member Type]]="Main Member",Table2[[#This Row],[Table Lookup for Life Cover]]="MM_LIFE",Table2[[#This Row],[Age Next Birthday]]&lt;56),1,
IF(AND(Table2[[#This Row],[Member Type]]="Main Member",Table2[[#This Row],[Table Lookup for Life Cover]]="MM_LIFE",Table2[[#This Row],[Age Next Birthday]]&gt;=56),2,
""))</f>
        <v/>
      </c>
      <c r="AJ424" s="328">
        <f>IF(OR(Table2[[#This Row],[Member Type]]="Main Member",Table2[[#This Row],[Main Member Link ID]]=B423),1,0)</f>
        <v>1</v>
      </c>
      <c r="AK424" s="328">
        <f>IF(Table2[[#This Row],[Member Type]]=0,0,
IF(OR(Table2[[#This Row],[Member Type]]="Main Member",Table2[[#This Row],[Main Member Link ID]]&lt;&gt;B424),COUNTIFS(B:B,Table2[[#This Row],[Main Member Link ID]]),
COUNTIFS(B:B,Table2[[#This Row],[Main Member Link ID]],A:A,Table2[[#This Row],[Member Type]])))</f>
        <v>0</v>
      </c>
    </row>
    <row r="425" spans="1:37" x14ac:dyDescent="0.3">
      <c r="A425" s="284">
        <f>Table13[[#This Row],[Member Type]]</f>
        <v>0</v>
      </c>
      <c r="B425" s="284">
        <f>Table13[[#This Row],[Main Member Link ID]]</f>
        <v>0</v>
      </c>
      <c r="C425" s="284">
        <f>Table13[[#This Row],[ID Number]]</f>
        <v>0</v>
      </c>
      <c r="D425" s="285">
        <f>Table13[[#This Row],[Date Of Birth]]</f>
        <v>0</v>
      </c>
      <c r="E425" s="285">
        <f>Table13[[#This Row],[Commencement Date]]</f>
        <v>0</v>
      </c>
      <c r="F425" s="284">
        <f t="shared" si="42"/>
        <v>1</v>
      </c>
      <c r="G425" s="284">
        <f t="shared" si="43"/>
        <v>25</v>
      </c>
      <c r="H425" s="286">
        <f>Table13[[#This Row],[Product Option]]</f>
        <v>0</v>
      </c>
      <c r="I425" s="284">
        <f>IF(AND($A425="Main Member",Table2[[#This Row],[Product Option]]="My Value Plus Life"),"MM_LIFE",
IF(AND($A425="Spouse",Table2[[#This Row],[Product Option]]="My Value Plus Life"),"SP_LIFE",
IF(AND($A425="Main Member",Table2[[#This Row],[Product Option]]="My Value Plus Life &amp; Funeral"),"MM_LIFE",
IF(AND($A425="Spouse",Table2[[#This Row],[Product Option]]="My Value Plus Life &amp; Funeral"),_xlfn.XLOOKUP(Table2[[#This Row],[Benefit Name]],Lookups!$D$18:$D$23,Lookups!$E$18:$E$23,0),
0))))</f>
        <v>0</v>
      </c>
      <c r="J425" s="284">
        <f>IF($I425="","",
IF($I425="MM_LIFE",INDEX('Quotation Tool'!$S$54:$V$60,MATCH($T425,'Quotation Tool'!$S$54:$S$60,0),4),
IF($I425="SP_LIFE",_xlfn.XLOOKUP(B424,$B:$B,$J:$J,0),0)))</f>
        <v>0</v>
      </c>
      <c r="K425" s="287">
        <f t="shared" ca="1" si="47"/>
        <v>0</v>
      </c>
      <c r="L425" s="288">
        <f t="shared" ca="1" si="48"/>
        <v>0</v>
      </c>
      <c r="M425" s="289">
        <f t="shared" ca="1" si="44"/>
        <v>0</v>
      </c>
      <c r="N425" s="286">
        <f>Table13[[#This Row],[Benefit Option]]</f>
        <v>0</v>
      </c>
      <c r="O425" s="284">
        <f>IF(OR(Table2[[#This Row],[Member Type]]="Spouse",Table2[[#This Row],[Member Type]]="Child"),0,
IF(_xlfn.XLOOKUP($N425,Lookups!$D$13:$D$27,Lookups!$F$13:$F$27,0)=Table2[[#This Row],[Table Lookup for Life Cover]],0,
_xlfn.XLOOKUP($N425,Lookups!$D$13:$D$27,Lookups!$F$13:$F$27,0)))</f>
        <v>0</v>
      </c>
      <c r="P425" s="284">
        <f>IF(Table2[[#This Row],[Table Lookup for Funeral]]=0,0,IFERROR(INDEX('Quotation Tool'!$S$54:$V$60,MATCH($T425,'Quotation Tool'!$S$54:$S$60,0),3),0))</f>
        <v>0</v>
      </c>
      <c r="Q425" s="288">
        <f ca="1">IF(OR(Table2[[#This Row],[Benefit Name]]="My Value Plus Life - Main Member",Table2[[#This Row],[Benefit Name]]="My Value Plus Life - Spouse"),0,
IFERROR(VLOOKUP($G425,INDIRECT($O425),$P425,FALSE),0))</f>
        <v>0</v>
      </c>
      <c r="R425" s="288">
        <f ca="1">IF(OR(Table2[[#This Row],[Benefit Name]]="My Value Plus Life - Main Member",Table2[[#This Row],[Benefit Name]]="My Value Plus Life - Spouse"),0,
IFERROR(VLOOKUP($G425,INDIRECT($O425),$P425+1,FALSE),0))</f>
        <v>0</v>
      </c>
      <c r="S425" s="289">
        <f t="shared" ca="1" si="45"/>
        <v>0</v>
      </c>
      <c r="T425" s="284" t="str">
        <f>IF(Table13[[#This Row],[Premium Waiver]]="","None",Table13[[#This Row],[Premium Waiver]])</f>
        <v>None</v>
      </c>
      <c r="U425" s="284">
        <f>Table13[[#This Row],[VAPs Options]]</f>
        <v>0</v>
      </c>
      <c r="V425" s="284">
        <f>Table13[[#This Row],[Annual Increase Option]]</f>
        <v>0</v>
      </c>
      <c r="W425" s="290">
        <f>Table13[[#This Row],[Life Cover Amount]]</f>
        <v>0</v>
      </c>
      <c r="X425" s="290">
        <f>Table13[[#This Row],[Funeral Cover Amount]]</f>
        <v>0</v>
      </c>
      <c r="Y42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2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25" s="301">
        <f t="shared" ca="1" si="46"/>
        <v>0</v>
      </c>
      <c r="AB425" s="298"/>
      <c r="AC425" s="326" t="str">
        <f>IF(Table2[[#This Row],[Member Type]]="Main Member",Lookups!$C$13,
IF(Table2[[#This Row],[Member Type]]="Spouse",_xlfn.XLOOKUP(B425,Table2[Main Member Link ID],Table2[Product Option],0),
IF(AND(Table2[[#This Row],[Member Type]]="Child",_xlfn.XLOOKUP(B425,Table2[Main Member Link ID],Table2[Product Option],0)&lt;&gt;"My Value Plus Life"),Lookups!$C$24,
IF(AND(OR(Table2[[#This Row],[Member Type]]="Parent",Table2[[#This Row],[Member Type]]="Extended"),_xlfn.XLOOKUP(B425,Table2[Main Member Link ID],Table2[Product Option],0)&lt;&gt;"My Value Plus Life"),Lookups!$C$26,""))))</f>
        <v/>
      </c>
      <c r="AD425" s="326" t="str">
        <f>IF(Table2[[#This Row],[Member Type]]="Main Member",Lookups!$C$14,"")</f>
        <v/>
      </c>
      <c r="AE42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Funeral",_xlfn.XLOOKUP(B425,Table2[Main Member Link ID],Table2[Benefit Name],0)=Lookups!$D$14),"",
IF(AND(Table2[[#This Row],[Member Type]]="Spouse",Table2[[#This Row],[Product Option]]="My Value Plus Life &amp; Funeral",_xlfn.XLOOKUP(B424,Table2[Main Member Link ID],Table2[Benefit Name],0)=Lookups!$D$15),Lookups!$D$20,
IF(AND(Table2[[#This Row],[Member Type]]="Spouse",Table2[[#This Row],[Product Option]]="My Value Plus Life &amp; Funeral",_xlfn.XLOOKUP(B424,Table2[Main Member Link ID],Table2[Benefit Name],0)=Lookups!$D$16),"",
IF(AND(Table2[[#This Row],[Member Type]]="Spouse",Table2[[#This Row],[Product Option]]="My Value Plus Life &amp; Funeral",_xlfn.XLOOKUP(B424,Table2[Main Member Link ID],Table2[Benefit Name],0)=Lookups!$D$17),Lookups!$D$21,
IF(AND(Table2[[#This Row],[Member Type]]="Child",Table2[[#This Row],[Product Option]]="My Value Plus Life &amp; Funeral",_xlfn.XLOOKUP(B425,Table2[Main Member Link ID],Table2[Benefit Name],0)=Lookups!$D$14),"",
IF(AND(Table2[[#This Row],[Member Type]]="Child",Table2[[#This Row],[Product Option]]="My Value Plus Life &amp; Funeral",_xlfn.XLOOKUP(B425,Table2[Main Member Link ID],Table2[Benefit Name],0)=Lookups!$D$15),"",
IF(AND(Table2[[#This Row],[Member Type]]="Child",Table2[[#This Row],[Product Option]]="My Value Plus Life &amp; Funeral",_xlfn.XLOOKUP(B425,Table2[Main Member Link ID],Table2[Benefit Name],0)=Lookups!$D$16),Lookups!$D$24,
IF(AND(Table2[[#This Row],[Member Type]]="Child",Table2[[#This Row],[Product Option]]="My Value Plus Life &amp; Funeral",_xlfn.XLOOKUP(B425,Table2[Main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Funeral",_xlfn.XLOOKUP(B425,Table2[Main Member Link ID],Table2[Benefit Name],0)&lt;&gt;Lookups!$D$14),
IF(_xlfn.XLOOKUP(B425,Table2[Main Member Link ID],Table2[Benefit Name],0)=0,"",_xlfn.XLOOKUP(B425,Table2[Main Member Link ID],Table2[Benefit Name],0)),"")))))))))))))))</f>
        <v/>
      </c>
      <c r="AF425" s="327" t="str">
        <f>IF(AND(Table2[[#This Row],[Member Type]]="Main Member",Table2[[#This Row],[Product Option]]="My Value Plus Life &amp; Funeral"),Lookups!$D$15,
IF(AND(Table2[[#This Row],[Member Type]]="Spouse",Table2[[#This Row],[Product Option]]="My Value Plus Life &amp; Funeral",_xlfn.XLOOKUP(B425,Table2[Main Member Link ID],Table2[Benefit Name],0)=Lookups!$D$14),"",
IF(AND(Table2[[#This Row],[Member Type]]="Spouse",Table2[[#This Row],[Product Option]]="My Value Plus Life &amp; Funeral",_xlfn.XLOOKUP(B424,Table2[Main Member Link ID],Table2[Benefit Name],0)=Lookups!$D$16),"",
IF(AND(Table2[[#This Row],[Member Type]]="Spouse",Table2[[#This Row],[Product Option]]="My Value Plus Life &amp; Funeral",_xlfn.XLOOKUP(B424,Table2[Main Member Link ID],Table2[Benefit Name],0)=Lookups!$D$15),"",
IF(AND(Table2[[#This Row],[Member Type]]="Spouse",Table2[[#This Row],[Product Option]]="My Value Plus Life &amp; Funeral",_xlfn.XLOOKUP(B424,Table2[Main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Funeral",_xlfn.XLOOKUP(B425,Table2[Main Member Link ID],Table2[Benefit Name],0)&lt;&gt;Lookups!$D$15),
IF(_xlfn.XLOOKUP(B425,Table2[Main Member Link ID],Table2[Benefit Name],0)=0,"",_xlfn.XLOOKUP(B425,Table2[Main Member Link ID],Table2[Benefit Name],0)),"")
))))))</f>
        <v/>
      </c>
      <c r="AG425" s="327" t="str">
        <f>IF(AND(Table2[[#This Row],[Member Type]]="Main Member",Table2[[#This Row],[Product Option]]="My Value Plus Life &amp; Funeral"),Lookups!$D$16,
IF(AND(Table2[[#This Row],[Member Type]]="Spouse",Table2[[#This Row],[Product Option]]="My Value Plus Life &amp; Funeral",_xlfn.XLOOKUP(B425,Table2[Main Member Link ID],Table2[Benefit Name],0)=Lookups!$D$14),"",
IF(AND(Table2[[#This Row],[Member Type]]="Spouse",Table2[[#This Row],[Product Option]]="My Value Plus Life &amp; Funeral",_xlfn.XLOOKUP(B424,Table2[Main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Funeral",_xlfn.XLOOKUP(B425,Table2[Main Member Link ID],Table2[Benefit Name],0)&lt;&gt;Lookups!$D$16),
IF(_xlfn.XLOOKUP(B425,Table2[Main Member Link ID],Table2[Benefit Name],0)=0,"",_xlfn.XLOOKUP(B425,Table2[Main Member Link ID],Table2[Benefit Name],0)),"")
))))</f>
        <v/>
      </c>
      <c r="AH425" s="327" t="str">
        <f>IF(AND(Table2[[#This Row],[Member Type]]="Main Member",Table2[[#This Row],[Product Option]]="My Value Plus Life &amp; Funeral"),Lookups!$D$17,
IF(AND(Table2[[#This Row],[Member Type]]="Spouse",Table2[[#This Row],[Product Option]]="My Value Plus Life &amp; Funeral",_xlfn.XLOOKUP(B425,Table2[Main Member Link ID],Table2[Benefit Name],0)=Lookups!$D$14),"",
IF(AND(Table2[[#This Row],[Member Type]]="Spouse",Table2[[#This Row],[Product Option]]="My Value Plus Life &amp; Funeral",_xlfn.XLOOKUP(B424,Table2[Main Member Link ID],Table2[Benefit Name],0)=Lookups!$D$16),"",
IF(AND(Table2[[#This Row],[Member Type]]="Child",Table2[[#This Row],[Product Option]]="My Value Plus Life &amp; Funeral"),"",
IF(AND(Table2[[#This Row],[Member Type]]="Child",Table2[[#This Row],[Product Option]]="My Value Plus Life &amp; Funeral",_xlfn.XLOOKUP(B425,Table2[Main Member Link ID],Table2[Benefit Name],0)=Lookups!$D$15),"",
IF(AND(OR(Table2[[#This Row],[Member Type]]="Spouse",Table2[[#This Row],[Member Type]]="Child"),Table2[[#This Row],[Product Option]]="My Value Plus Life &amp; Funeral",_xlfn.XLOOKUP(B425,Table2[Main Member Link ID],Table2[Benefit Name],0)&lt;&gt;Lookups!$D$17),
IF(_xlfn.XLOOKUP(B425,Table2[Main Member Link ID],Table2[Benefit Name],0)=0,"",_xlfn.XLOOKUP(B425,Table2[Main Member Link ID],Table2[Benefit Name],0)),""))))))</f>
        <v/>
      </c>
      <c r="AI425" s="328" t="str">
        <f>IF(AND(Table2[[#This Row],[Member Type]]="Main Member",Table2[[#This Row],[Table Lookup for Life Cover]]="MM_LIFE",Table2[[#This Row],[Age Next Birthday]]&lt;56),1,
IF(AND(Table2[[#This Row],[Member Type]]="Main Member",Table2[[#This Row],[Table Lookup for Life Cover]]="MM_LIFE",Table2[[#This Row],[Age Next Birthday]]&gt;=56),2,
""))</f>
        <v/>
      </c>
      <c r="AJ425" s="328">
        <f>IF(OR(Table2[[#This Row],[Member Type]]="Main Member",Table2[[#This Row],[Main Member Link ID]]=B424),1,0)</f>
        <v>1</v>
      </c>
      <c r="AK425" s="328">
        <f>IF(Table2[[#This Row],[Member Type]]=0,0,
IF(OR(Table2[[#This Row],[Member Type]]="Main Member",Table2[[#This Row],[Main Member Link ID]]&lt;&gt;B425),COUNTIFS(B:B,Table2[[#This Row],[Main Member Link ID]]),
COUNTIFS(B:B,Table2[[#This Row],[Main Member Link ID]],A:A,Table2[[#This Row],[Member Type]])))</f>
        <v>0</v>
      </c>
    </row>
    <row r="426" spans="1:37" x14ac:dyDescent="0.3">
      <c r="A426" s="284">
        <f>Table13[[#This Row],[Member Type]]</f>
        <v>0</v>
      </c>
      <c r="B426" s="284">
        <f>Table13[[#This Row],[Main Member Link ID]]</f>
        <v>0</v>
      </c>
      <c r="C426" s="284">
        <f>Table13[[#This Row],[ID Number]]</f>
        <v>0</v>
      </c>
      <c r="D426" s="285">
        <f>Table13[[#This Row],[Date Of Birth]]</f>
        <v>0</v>
      </c>
      <c r="E426" s="285">
        <f>Table13[[#This Row],[Commencement Date]]</f>
        <v>0</v>
      </c>
      <c r="F426" s="284">
        <f t="shared" si="42"/>
        <v>1</v>
      </c>
      <c r="G426" s="284">
        <f t="shared" si="43"/>
        <v>25</v>
      </c>
      <c r="H426" s="286">
        <f>Table13[[#This Row],[Product Option]]</f>
        <v>0</v>
      </c>
      <c r="I426" s="284">
        <f>IF(AND($A426="Main Member",Table2[[#This Row],[Product Option]]="My Value Plus Life"),"MM_LIFE",
IF(AND($A426="Spouse",Table2[[#This Row],[Product Option]]="My Value Plus Life"),"SP_LIFE",
IF(AND($A426="Main Member",Table2[[#This Row],[Product Option]]="My Value Plus Life &amp; Funeral"),"MM_LIFE",
IF(AND($A426="Spouse",Table2[[#This Row],[Product Option]]="My Value Plus Life &amp; Funeral"),_xlfn.XLOOKUP(Table2[[#This Row],[Benefit Name]],Lookups!$D$18:$D$23,Lookups!$E$18:$E$23,0),
0))))</f>
        <v>0</v>
      </c>
      <c r="J426" s="284">
        <f>IF($I426="","",
IF($I426="MM_LIFE",INDEX('Quotation Tool'!$S$54:$V$60,MATCH($T426,'Quotation Tool'!$S$54:$S$60,0),4),
IF($I426="SP_LIFE",_xlfn.XLOOKUP(B425,$B:$B,$J:$J,0),0)))</f>
        <v>0</v>
      </c>
      <c r="K426" s="287">
        <f t="shared" ca="1" si="47"/>
        <v>0</v>
      </c>
      <c r="L426" s="288">
        <f t="shared" ca="1" si="48"/>
        <v>0</v>
      </c>
      <c r="M426" s="289">
        <f t="shared" ca="1" si="44"/>
        <v>0</v>
      </c>
      <c r="N426" s="286">
        <f>Table13[[#This Row],[Benefit Option]]</f>
        <v>0</v>
      </c>
      <c r="O426" s="284">
        <f>IF(OR(Table2[[#This Row],[Member Type]]="Spouse",Table2[[#This Row],[Member Type]]="Child"),0,
IF(_xlfn.XLOOKUP($N426,Lookups!$D$13:$D$27,Lookups!$F$13:$F$27,0)=Table2[[#This Row],[Table Lookup for Life Cover]],0,
_xlfn.XLOOKUP($N426,Lookups!$D$13:$D$27,Lookups!$F$13:$F$27,0)))</f>
        <v>0</v>
      </c>
      <c r="P426" s="284">
        <f>IF(Table2[[#This Row],[Table Lookup for Funeral]]=0,0,IFERROR(INDEX('Quotation Tool'!$S$54:$V$60,MATCH($T426,'Quotation Tool'!$S$54:$S$60,0),3),0))</f>
        <v>0</v>
      </c>
      <c r="Q426" s="288">
        <f ca="1">IF(OR(Table2[[#This Row],[Benefit Name]]="My Value Plus Life - Main Member",Table2[[#This Row],[Benefit Name]]="My Value Plus Life - Spouse"),0,
IFERROR(VLOOKUP($G426,INDIRECT($O426),$P426,FALSE),0))</f>
        <v>0</v>
      </c>
      <c r="R426" s="288">
        <f ca="1">IF(OR(Table2[[#This Row],[Benefit Name]]="My Value Plus Life - Main Member",Table2[[#This Row],[Benefit Name]]="My Value Plus Life - Spouse"),0,
IFERROR(VLOOKUP($G426,INDIRECT($O426),$P426+1,FALSE),0))</f>
        <v>0</v>
      </c>
      <c r="S426" s="289">
        <f t="shared" ca="1" si="45"/>
        <v>0</v>
      </c>
      <c r="T426" s="284" t="str">
        <f>IF(Table13[[#This Row],[Premium Waiver]]="","None",Table13[[#This Row],[Premium Waiver]])</f>
        <v>None</v>
      </c>
      <c r="U426" s="284">
        <f>Table13[[#This Row],[VAPs Options]]</f>
        <v>0</v>
      </c>
      <c r="V426" s="284">
        <f>Table13[[#This Row],[Annual Increase Option]]</f>
        <v>0</v>
      </c>
      <c r="W426" s="290">
        <f>Table13[[#This Row],[Life Cover Amount]]</f>
        <v>0</v>
      </c>
      <c r="X426" s="290">
        <f>Table13[[#This Row],[Funeral Cover Amount]]</f>
        <v>0</v>
      </c>
      <c r="Y42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2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26" s="301">
        <f t="shared" ca="1" si="46"/>
        <v>0</v>
      </c>
      <c r="AB426" s="298"/>
      <c r="AC426" s="326" t="str">
        <f>IF(Table2[[#This Row],[Member Type]]="Main Member",Lookups!$C$13,
IF(Table2[[#This Row],[Member Type]]="Spouse",_xlfn.XLOOKUP(B426,Table2[Main Member Link ID],Table2[Product Option],0),
IF(AND(Table2[[#This Row],[Member Type]]="Child",_xlfn.XLOOKUP(B426,Table2[Main Member Link ID],Table2[Product Option],0)&lt;&gt;"My Value Plus Life"),Lookups!$C$24,
IF(AND(OR(Table2[[#This Row],[Member Type]]="Parent",Table2[[#This Row],[Member Type]]="Extended"),_xlfn.XLOOKUP(B426,Table2[Main Member Link ID],Table2[Product Option],0)&lt;&gt;"My Value Plus Life"),Lookups!$C$26,""))))</f>
        <v/>
      </c>
      <c r="AD426" s="326" t="str">
        <f>IF(Table2[[#This Row],[Member Type]]="Main Member",Lookups!$C$14,"")</f>
        <v/>
      </c>
      <c r="AE42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Funeral",_xlfn.XLOOKUP(B426,Table2[Main Member Link ID],Table2[Benefit Name],0)=Lookups!$D$14),"",
IF(AND(Table2[[#This Row],[Member Type]]="Spouse",Table2[[#This Row],[Product Option]]="My Value Plus Life &amp; Funeral",_xlfn.XLOOKUP(B425,Table2[Main Member Link ID],Table2[Benefit Name],0)=Lookups!$D$15),Lookups!$D$20,
IF(AND(Table2[[#This Row],[Member Type]]="Spouse",Table2[[#This Row],[Product Option]]="My Value Plus Life &amp; Funeral",_xlfn.XLOOKUP(B425,Table2[Main Member Link ID],Table2[Benefit Name],0)=Lookups!$D$16),"",
IF(AND(Table2[[#This Row],[Member Type]]="Spouse",Table2[[#This Row],[Product Option]]="My Value Plus Life &amp; Funeral",_xlfn.XLOOKUP(B425,Table2[Main Member Link ID],Table2[Benefit Name],0)=Lookups!$D$17),Lookups!$D$21,
IF(AND(Table2[[#This Row],[Member Type]]="Child",Table2[[#This Row],[Product Option]]="My Value Plus Life &amp; Funeral",_xlfn.XLOOKUP(B426,Table2[Main Member Link ID],Table2[Benefit Name],0)=Lookups!$D$14),"",
IF(AND(Table2[[#This Row],[Member Type]]="Child",Table2[[#This Row],[Product Option]]="My Value Plus Life &amp; Funeral",_xlfn.XLOOKUP(B426,Table2[Main Member Link ID],Table2[Benefit Name],0)=Lookups!$D$15),"",
IF(AND(Table2[[#This Row],[Member Type]]="Child",Table2[[#This Row],[Product Option]]="My Value Plus Life &amp; Funeral",_xlfn.XLOOKUP(B426,Table2[Main Member Link ID],Table2[Benefit Name],0)=Lookups!$D$16),Lookups!$D$24,
IF(AND(Table2[[#This Row],[Member Type]]="Child",Table2[[#This Row],[Product Option]]="My Value Plus Life &amp; Funeral",_xlfn.XLOOKUP(B426,Table2[Main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Funeral",_xlfn.XLOOKUP(B426,Table2[Main Member Link ID],Table2[Benefit Name],0)&lt;&gt;Lookups!$D$14),
IF(_xlfn.XLOOKUP(B426,Table2[Main Member Link ID],Table2[Benefit Name],0)=0,"",_xlfn.XLOOKUP(B426,Table2[Main Member Link ID],Table2[Benefit Name],0)),"")))))))))))))))</f>
        <v/>
      </c>
      <c r="AF426" s="327" t="str">
        <f>IF(AND(Table2[[#This Row],[Member Type]]="Main Member",Table2[[#This Row],[Product Option]]="My Value Plus Life &amp; Funeral"),Lookups!$D$15,
IF(AND(Table2[[#This Row],[Member Type]]="Spouse",Table2[[#This Row],[Product Option]]="My Value Plus Life &amp; Funeral",_xlfn.XLOOKUP(B426,Table2[Main Member Link ID],Table2[Benefit Name],0)=Lookups!$D$14),"",
IF(AND(Table2[[#This Row],[Member Type]]="Spouse",Table2[[#This Row],[Product Option]]="My Value Plus Life &amp; Funeral",_xlfn.XLOOKUP(B425,Table2[Main Member Link ID],Table2[Benefit Name],0)=Lookups!$D$16),"",
IF(AND(Table2[[#This Row],[Member Type]]="Spouse",Table2[[#This Row],[Product Option]]="My Value Plus Life &amp; Funeral",_xlfn.XLOOKUP(B425,Table2[Main Member Link ID],Table2[Benefit Name],0)=Lookups!$D$15),"",
IF(AND(Table2[[#This Row],[Member Type]]="Spouse",Table2[[#This Row],[Product Option]]="My Value Plus Life &amp; Funeral",_xlfn.XLOOKUP(B425,Table2[Main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Funeral",_xlfn.XLOOKUP(B426,Table2[Main Member Link ID],Table2[Benefit Name],0)&lt;&gt;Lookups!$D$15),
IF(_xlfn.XLOOKUP(B426,Table2[Main Member Link ID],Table2[Benefit Name],0)=0,"",_xlfn.XLOOKUP(B426,Table2[Main Member Link ID],Table2[Benefit Name],0)),"")
))))))</f>
        <v/>
      </c>
      <c r="AG426" s="327" t="str">
        <f>IF(AND(Table2[[#This Row],[Member Type]]="Main Member",Table2[[#This Row],[Product Option]]="My Value Plus Life &amp; Funeral"),Lookups!$D$16,
IF(AND(Table2[[#This Row],[Member Type]]="Spouse",Table2[[#This Row],[Product Option]]="My Value Plus Life &amp; Funeral",_xlfn.XLOOKUP(B426,Table2[Main Member Link ID],Table2[Benefit Name],0)=Lookups!$D$14),"",
IF(AND(Table2[[#This Row],[Member Type]]="Spouse",Table2[[#This Row],[Product Option]]="My Value Plus Life &amp; Funeral",_xlfn.XLOOKUP(B425,Table2[Main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Funeral",_xlfn.XLOOKUP(B426,Table2[Main Member Link ID],Table2[Benefit Name],0)&lt;&gt;Lookups!$D$16),
IF(_xlfn.XLOOKUP(B426,Table2[Main Member Link ID],Table2[Benefit Name],0)=0,"",_xlfn.XLOOKUP(B426,Table2[Main Member Link ID],Table2[Benefit Name],0)),"")
))))</f>
        <v/>
      </c>
      <c r="AH426" s="327" t="str">
        <f>IF(AND(Table2[[#This Row],[Member Type]]="Main Member",Table2[[#This Row],[Product Option]]="My Value Plus Life &amp; Funeral"),Lookups!$D$17,
IF(AND(Table2[[#This Row],[Member Type]]="Spouse",Table2[[#This Row],[Product Option]]="My Value Plus Life &amp; Funeral",_xlfn.XLOOKUP(B426,Table2[Main Member Link ID],Table2[Benefit Name],0)=Lookups!$D$14),"",
IF(AND(Table2[[#This Row],[Member Type]]="Spouse",Table2[[#This Row],[Product Option]]="My Value Plus Life &amp; Funeral",_xlfn.XLOOKUP(B425,Table2[Main Member Link ID],Table2[Benefit Name],0)=Lookups!$D$16),"",
IF(AND(Table2[[#This Row],[Member Type]]="Child",Table2[[#This Row],[Product Option]]="My Value Plus Life &amp; Funeral"),"",
IF(AND(Table2[[#This Row],[Member Type]]="Child",Table2[[#This Row],[Product Option]]="My Value Plus Life &amp; Funeral",_xlfn.XLOOKUP(B426,Table2[Main Member Link ID],Table2[Benefit Name],0)=Lookups!$D$15),"",
IF(AND(OR(Table2[[#This Row],[Member Type]]="Spouse",Table2[[#This Row],[Member Type]]="Child"),Table2[[#This Row],[Product Option]]="My Value Plus Life &amp; Funeral",_xlfn.XLOOKUP(B426,Table2[Main Member Link ID],Table2[Benefit Name],0)&lt;&gt;Lookups!$D$17),
IF(_xlfn.XLOOKUP(B426,Table2[Main Member Link ID],Table2[Benefit Name],0)=0,"",_xlfn.XLOOKUP(B426,Table2[Main Member Link ID],Table2[Benefit Name],0)),""))))))</f>
        <v/>
      </c>
      <c r="AI426" s="328" t="str">
        <f>IF(AND(Table2[[#This Row],[Member Type]]="Main Member",Table2[[#This Row],[Table Lookup for Life Cover]]="MM_LIFE",Table2[[#This Row],[Age Next Birthday]]&lt;56),1,
IF(AND(Table2[[#This Row],[Member Type]]="Main Member",Table2[[#This Row],[Table Lookup for Life Cover]]="MM_LIFE",Table2[[#This Row],[Age Next Birthday]]&gt;=56),2,
""))</f>
        <v/>
      </c>
      <c r="AJ426" s="328">
        <f>IF(OR(Table2[[#This Row],[Member Type]]="Main Member",Table2[[#This Row],[Main Member Link ID]]=B425),1,0)</f>
        <v>1</v>
      </c>
      <c r="AK426" s="328">
        <f>IF(Table2[[#This Row],[Member Type]]=0,0,
IF(OR(Table2[[#This Row],[Member Type]]="Main Member",Table2[[#This Row],[Main Member Link ID]]&lt;&gt;B426),COUNTIFS(B:B,Table2[[#This Row],[Main Member Link ID]]),
COUNTIFS(B:B,Table2[[#This Row],[Main Member Link ID]],A:A,Table2[[#This Row],[Member Type]])))</f>
        <v>0</v>
      </c>
    </row>
    <row r="427" spans="1:37" x14ac:dyDescent="0.3">
      <c r="A427" s="284">
        <f>Table13[[#This Row],[Member Type]]</f>
        <v>0</v>
      </c>
      <c r="B427" s="284">
        <f>Table13[[#This Row],[Main Member Link ID]]</f>
        <v>0</v>
      </c>
      <c r="C427" s="284">
        <f>Table13[[#This Row],[ID Number]]</f>
        <v>0</v>
      </c>
      <c r="D427" s="285">
        <f>Table13[[#This Row],[Date Of Birth]]</f>
        <v>0</v>
      </c>
      <c r="E427" s="285">
        <f>Table13[[#This Row],[Commencement Date]]</f>
        <v>0</v>
      </c>
      <c r="F427" s="284">
        <f t="shared" si="42"/>
        <v>1</v>
      </c>
      <c r="G427" s="284">
        <f t="shared" si="43"/>
        <v>25</v>
      </c>
      <c r="H427" s="286">
        <f>Table13[[#This Row],[Product Option]]</f>
        <v>0</v>
      </c>
      <c r="I427" s="284">
        <f>IF(AND($A427="Main Member",Table2[[#This Row],[Product Option]]="My Value Plus Life"),"MM_LIFE",
IF(AND($A427="Spouse",Table2[[#This Row],[Product Option]]="My Value Plus Life"),"SP_LIFE",
IF(AND($A427="Main Member",Table2[[#This Row],[Product Option]]="My Value Plus Life &amp; Funeral"),"MM_LIFE",
IF(AND($A427="Spouse",Table2[[#This Row],[Product Option]]="My Value Plus Life &amp; Funeral"),_xlfn.XLOOKUP(Table2[[#This Row],[Benefit Name]],Lookups!$D$18:$D$23,Lookups!$E$18:$E$23,0),
0))))</f>
        <v>0</v>
      </c>
      <c r="J427" s="284">
        <f>IF($I427="","",
IF($I427="MM_LIFE",INDEX('Quotation Tool'!$S$54:$V$60,MATCH($T427,'Quotation Tool'!$S$54:$S$60,0),4),
IF($I427="SP_LIFE",_xlfn.XLOOKUP(B426,$B:$B,$J:$J,0),0)))</f>
        <v>0</v>
      </c>
      <c r="K427" s="287">
        <f t="shared" ca="1" si="47"/>
        <v>0</v>
      </c>
      <c r="L427" s="288">
        <f t="shared" ca="1" si="48"/>
        <v>0</v>
      </c>
      <c r="M427" s="289">
        <f t="shared" ca="1" si="44"/>
        <v>0</v>
      </c>
      <c r="N427" s="286">
        <f>Table13[[#This Row],[Benefit Option]]</f>
        <v>0</v>
      </c>
      <c r="O427" s="284">
        <f>IF(OR(Table2[[#This Row],[Member Type]]="Spouse",Table2[[#This Row],[Member Type]]="Child"),0,
IF(_xlfn.XLOOKUP($N427,Lookups!$D$13:$D$27,Lookups!$F$13:$F$27,0)=Table2[[#This Row],[Table Lookup for Life Cover]],0,
_xlfn.XLOOKUP($N427,Lookups!$D$13:$D$27,Lookups!$F$13:$F$27,0)))</f>
        <v>0</v>
      </c>
      <c r="P427" s="284">
        <f>IF(Table2[[#This Row],[Table Lookup for Funeral]]=0,0,IFERROR(INDEX('Quotation Tool'!$S$54:$V$60,MATCH($T427,'Quotation Tool'!$S$54:$S$60,0),3),0))</f>
        <v>0</v>
      </c>
      <c r="Q427" s="288">
        <f ca="1">IF(OR(Table2[[#This Row],[Benefit Name]]="My Value Plus Life - Main Member",Table2[[#This Row],[Benefit Name]]="My Value Plus Life - Spouse"),0,
IFERROR(VLOOKUP($G427,INDIRECT($O427),$P427,FALSE),0))</f>
        <v>0</v>
      </c>
      <c r="R427" s="288">
        <f ca="1">IF(OR(Table2[[#This Row],[Benefit Name]]="My Value Plus Life - Main Member",Table2[[#This Row],[Benefit Name]]="My Value Plus Life - Spouse"),0,
IFERROR(VLOOKUP($G427,INDIRECT($O427),$P427+1,FALSE),0))</f>
        <v>0</v>
      </c>
      <c r="S427" s="289">
        <f t="shared" ca="1" si="45"/>
        <v>0</v>
      </c>
      <c r="T427" s="284" t="str">
        <f>IF(Table13[[#This Row],[Premium Waiver]]="","None",Table13[[#This Row],[Premium Waiver]])</f>
        <v>None</v>
      </c>
      <c r="U427" s="284">
        <f>Table13[[#This Row],[VAPs Options]]</f>
        <v>0</v>
      </c>
      <c r="V427" s="284">
        <f>Table13[[#This Row],[Annual Increase Option]]</f>
        <v>0</v>
      </c>
      <c r="W427" s="290">
        <f>Table13[[#This Row],[Life Cover Amount]]</f>
        <v>0</v>
      </c>
      <c r="X427" s="290">
        <f>Table13[[#This Row],[Funeral Cover Amount]]</f>
        <v>0</v>
      </c>
      <c r="Y42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2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27" s="301">
        <f t="shared" ca="1" si="46"/>
        <v>0</v>
      </c>
      <c r="AB427" s="298"/>
      <c r="AC427" s="326" t="str">
        <f>IF(Table2[[#This Row],[Member Type]]="Main Member",Lookups!$C$13,
IF(Table2[[#This Row],[Member Type]]="Spouse",_xlfn.XLOOKUP(B427,Table2[Main Member Link ID],Table2[Product Option],0),
IF(AND(Table2[[#This Row],[Member Type]]="Child",_xlfn.XLOOKUP(B427,Table2[Main Member Link ID],Table2[Product Option],0)&lt;&gt;"My Value Plus Life"),Lookups!$C$24,
IF(AND(OR(Table2[[#This Row],[Member Type]]="Parent",Table2[[#This Row],[Member Type]]="Extended"),_xlfn.XLOOKUP(B427,Table2[Main Member Link ID],Table2[Product Option],0)&lt;&gt;"My Value Plus Life"),Lookups!$C$26,""))))</f>
        <v/>
      </c>
      <c r="AD427" s="326" t="str">
        <f>IF(Table2[[#This Row],[Member Type]]="Main Member",Lookups!$C$14,"")</f>
        <v/>
      </c>
      <c r="AE42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Funeral",_xlfn.XLOOKUP(B427,Table2[Main Member Link ID],Table2[Benefit Name],0)=Lookups!$D$14),"",
IF(AND(Table2[[#This Row],[Member Type]]="Spouse",Table2[[#This Row],[Product Option]]="My Value Plus Life &amp; Funeral",_xlfn.XLOOKUP(B426,Table2[Main Member Link ID],Table2[Benefit Name],0)=Lookups!$D$15),Lookups!$D$20,
IF(AND(Table2[[#This Row],[Member Type]]="Spouse",Table2[[#This Row],[Product Option]]="My Value Plus Life &amp; Funeral",_xlfn.XLOOKUP(B426,Table2[Main Member Link ID],Table2[Benefit Name],0)=Lookups!$D$16),"",
IF(AND(Table2[[#This Row],[Member Type]]="Spouse",Table2[[#This Row],[Product Option]]="My Value Plus Life &amp; Funeral",_xlfn.XLOOKUP(B426,Table2[Main Member Link ID],Table2[Benefit Name],0)=Lookups!$D$17),Lookups!$D$21,
IF(AND(Table2[[#This Row],[Member Type]]="Child",Table2[[#This Row],[Product Option]]="My Value Plus Life &amp; Funeral",_xlfn.XLOOKUP(B427,Table2[Main Member Link ID],Table2[Benefit Name],0)=Lookups!$D$14),"",
IF(AND(Table2[[#This Row],[Member Type]]="Child",Table2[[#This Row],[Product Option]]="My Value Plus Life &amp; Funeral",_xlfn.XLOOKUP(B427,Table2[Main Member Link ID],Table2[Benefit Name],0)=Lookups!$D$15),"",
IF(AND(Table2[[#This Row],[Member Type]]="Child",Table2[[#This Row],[Product Option]]="My Value Plus Life &amp; Funeral",_xlfn.XLOOKUP(B427,Table2[Main Member Link ID],Table2[Benefit Name],0)=Lookups!$D$16),Lookups!$D$24,
IF(AND(Table2[[#This Row],[Member Type]]="Child",Table2[[#This Row],[Product Option]]="My Value Plus Life &amp; Funeral",_xlfn.XLOOKUP(B427,Table2[Main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Funeral",_xlfn.XLOOKUP(B427,Table2[Main Member Link ID],Table2[Benefit Name],0)&lt;&gt;Lookups!$D$14),
IF(_xlfn.XLOOKUP(B427,Table2[Main Member Link ID],Table2[Benefit Name],0)=0,"",_xlfn.XLOOKUP(B427,Table2[Main Member Link ID],Table2[Benefit Name],0)),"")))))))))))))))</f>
        <v/>
      </c>
      <c r="AF427" s="327" t="str">
        <f>IF(AND(Table2[[#This Row],[Member Type]]="Main Member",Table2[[#This Row],[Product Option]]="My Value Plus Life &amp; Funeral"),Lookups!$D$15,
IF(AND(Table2[[#This Row],[Member Type]]="Spouse",Table2[[#This Row],[Product Option]]="My Value Plus Life &amp; Funeral",_xlfn.XLOOKUP(B427,Table2[Main Member Link ID],Table2[Benefit Name],0)=Lookups!$D$14),"",
IF(AND(Table2[[#This Row],[Member Type]]="Spouse",Table2[[#This Row],[Product Option]]="My Value Plus Life &amp; Funeral",_xlfn.XLOOKUP(B426,Table2[Main Member Link ID],Table2[Benefit Name],0)=Lookups!$D$16),"",
IF(AND(Table2[[#This Row],[Member Type]]="Spouse",Table2[[#This Row],[Product Option]]="My Value Plus Life &amp; Funeral",_xlfn.XLOOKUP(B426,Table2[Main Member Link ID],Table2[Benefit Name],0)=Lookups!$D$15),"",
IF(AND(Table2[[#This Row],[Member Type]]="Spouse",Table2[[#This Row],[Product Option]]="My Value Plus Life &amp; Funeral",_xlfn.XLOOKUP(B426,Table2[Main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Funeral",_xlfn.XLOOKUP(B427,Table2[Main Member Link ID],Table2[Benefit Name],0)&lt;&gt;Lookups!$D$15),
IF(_xlfn.XLOOKUP(B427,Table2[Main Member Link ID],Table2[Benefit Name],0)=0,"",_xlfn.XLOOKUP(B427,Table2[Main Member Link ID],Table2[Benefit Name],0)),"")
))))))</f>
        <v/>
      </c>
      <c r="AG427" s="327" t="str">
        <f>IF(AND(Table2[[#This Row],[Member Type]]="Main Member",Table2[[#This Row],[Product Option]]="My Value Plus Life &amp; Funeral"),Lookups!$D$16,
IF(AND(Table2[[#This Row],[Member Type]]="Spouse",Table2[[#This Row],[Product Option]]="My Value Plus Life &amp; Funeral",_xlfn.XLOOKUP(B427,Table2[Main Member Link ID],Table2[Benefit Name],0)=Lookups!$D$14),"",
IF(AND(Table2[[#This Row],[Member Type]]="Spouse",Table2[[#This Row],[Product Option]]="My Value Plus Life &amp; Funeral",_xlfn.XLOOKUP(B426,Table2[Main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Funeral",_xlfn.XLOOKUP(B427,Table2[Main Member Link ID],Table2[Benefit Name],0)&lt;&gt;Lookups!$D$16),
IF(_xlfn.XLOOKUP(B427,Table2[Main Member Link ID],Table2[Benefit Name],0)=0,"",_xlfn.XLOOKUP(B427,Table2[Main Member Link ID],Table2[Benefit Name],0)),"")
))))</f>
        <v/>
      </c>
      <c r="AH427" s="327" t="str">
        <f>IF(AND(Table2[[#This Row],[Member Type]]="Main Member",Table2[[#This Row],[Product Option]]="My Value Plus Life &amp; Funeral"),Lookups!$D$17,
IF(AND(Table2[[#This Row],[Member Type]]="Spouse",Table2[[#This Row],[Product Option]]="My Value Plus Life &amp; Funeral",_xlfn.XLOOKUP(B427,Table2[Main Member Link ID],Table2[Benefit Name],0)=Lookups!$D$14),"",
IF(AND(Table2[[#This Row],[Member Type]]="Spouse",Table2[[#This Row],[Product Option]]="My Value Plus Life &amp; Funeral",_xlfn.XLOOKUP(B426,Table2[Main Member Link ID],Table2[Benefit Name],0)=Lookups!$D$16),"",
IF(AND(Table2[[#This Row],[Member Type]]="Child",Table2[[#This Row],[Product Option]]="My Value Plus Life &amp; Funeral"),"",
IF(AND(Table2[[#This Row],[Member Type]]="Child",Table2[[#This Row],[Product Option]]="My Value Plus Life &amp; Funeral",_xlfn.XLOOKUP(B427,Table2[Main Member Link ID],Table2[Benefit Name],0)=Lookups!$D$15),"",
IF(AND(OR(Table2[[#This Row],[Member Type]]="Spouse",Table2[[#This Row],[Member Type]]="Child"),Table2[[#This Row],[Product Option]]="My Value Plus Life &amp; Funeral",_xlfn.XLOOKUP(B427,Table2[Main Member Link ID],Table2[Benefit Name],0)&lt;&gt;Lookups!$D$17),
IF(_xlfn.XLOOKUP(B427,Table2[Main Member Link ID],Table2[Benefit Name],0)=0,"",_xlfn.XLOOKUP(B427,Table2[Main Member Link ID],Table2[Benefit Name],0)),""))))))</f>
        <v/>
      </c>
      <c r="AI427" s="328" t="str">
        <f>IF(AND(Table2[[#This Row],[Member Type]]="Main Member",Table2[[#This Row],[Table Lookup for Life Cover]]="MM_LIFE",Table2[[#This Row],[Age Next Birthday]]&lt;56),1,
IF(AND(Table2[[#This Row],[Member Type]]="Main Member",Table2[[#This Row],[Table Lookup for Life Cover]]="MM_LIFE",Table2[[#This Row],[Age Next Birthday]]&gt;=56),2,
""))</f>
        <v/>
      </c>
      <c r="AJ427" s="328">
        <f>IF(OR(Table2[[#This Row],[Member Type]]="Main Member",Table2[[#This Row],[Main Member Link ID]]=B426),1,0)</f>
        <v>1</v>
      </c>
      <c r="AK427" s="328">
        <f>IF(Table2[[#This Row],[Member Type]]=0,0,
IF(OR(Table2[[#This Row],[Member Type]]="Main Member",Table2[[#This Row],[Main Member Link ID]]&lt;&gt;B427),COUNTIFS(B:B,Table2[[#This Row],[Main Member Link ID]]),
COUNTIFS(B:B,Table2[[#This Row],[Main Member Link ID]],A:A,Table2[[#This Row],[Member Type]])))</f>
        <v>0</v>
      </c>
    </row>
    <row r="428" spans="1:37" x14ac:dyDescent="0.3">
      <c r="A428" s="284">
        <f>Table13[[#This Row],[Member Type]]</f>
        <v>0</v>
      </c>
      <c r="B428" s="284">
        <f>Table13[[#This Row],[Main Member Link ID]]</f>
        <v>0</v>
      </c>
      <c r="C428" s="284">
        <f>Table13[[#This Row],[ID Number]]</f>
        <v>0</v>
      </c>
      <c r="D428" s="285">
        <f>Table13[[#This Row],[Date Of Birth]]</f>
        <v>0</v>
      </c>
      <c r="E428" s="285">
        <f>Table13[[#This Row],[Commencement Date]]</f>
        <v>0</v>
      </c>
      <c r="F428" s="284">
        <f t="shared" si="42"/>
        <v>1</v>
      </c>
      <c r="G428" s="284">
        <f t="shared" si="43"/>
        <v>25</v>
      </c>
      <c r="H428" s="286">
        <f>Table13[[#This Row],[Product Option]]</f>
        <v>0</v>
      </c>
      <c r="I428" s="284">
        <f>IF(AND($A428="Main Member",Table2[[#This Row],[Product Option]]="My Value Plus Life"),"MM_LIFE",
IF(AND($A428="Spouse",Table2[[#This Row],[Product Option]]="My Value Plus Life"),"SP_LIFE",
IF(AND($A428="Main Member",Table2[[#This Row],[Product Option]]="My Value Plus Life &amp; Funeral"),"MM_LIFE",
IF(AND($A428="Spouse",Table2[[#This Row],[Product Option]]="My Value Plus Life &amp; Funeral"),_xlfn.XLOOKUP(Table2[[#This Row],[Benefit Name]],Lookups!$D$18:$D$23,Lookups!$E$18:$E$23,0),
0))))</f>
        <v>0</v>
      </c>
      <c r="J428" s="284">
        <f>IF($I428="","",
IF($I428="MM_LIFE",INDEX('Quotation Tool'!$S$54:$V$60,MATCH($T428,'Quotation Tool'!$S$54:$S$60,0),4),
IF($I428="SP_LIFE",_xlfn.XLOOKUP(B427,$B:$B,$J:$J,0),0)))</f>
        <v>0</v>
      </c>
      <c r="K428" s="287">
        <f t="shared" ca="1" si="47"/>
        <v>0</v>
      </c>
      <c r="L428" s="288">
        <f t="shared" ca="1" si="48"/>
        <v>0</v>
      </c>
      <c r="M428" s="289">
        <f t="shared" ca="1" si="44"/>
        <v>0</v>
      </c>
      <c r="N428" s="286">
        <f>Table13[[#This Row],[Benefit Option]]</f>
        <v>0</v>
      </c>
      <c r="O428" s="284">
        <f>IF(OR(Table2[[#This Row],[Member Type]]="Spouse",Table2[[#This Row],[Member Type]]="Child"),0,
IF(_xlfn.XLOOKUP($N428,Lookups!$D$13:$D$27,Lookups!$F$13:$F$27,0)=Table2[[#This Row],[Table Lookup for Life Cover]],0,
_xlfn.XLOOKUP($N428,Lookups!$D$13:$D$27,Lookups!$F$13:$F$27,0)))</f>
        <v>0</v>
      </c>
      <c r="P428" s="284">
        <f>IF(Table2[[#This Row],[Table Lookup for Funeral]]=0,0,IFERROR(INDEX('Quotation Tool'!$S$54:$V$60,MATCH($T428,'Quotation Tool'!$S$54:$S$60,0),3),0))</f>
        <v>0</v>
      </c>
      <c r="Q428" s="288">
        <f ca="1">IF(OR(Table2[[#This Row],[Benefit Name]]="My Value Plus Life - Main Member",Table2[[#This Row],[Benefit Name]]="My Value Plus Life - Spouse"),0,
IFERROR(VLOOKUP($G428,INDIRECT($O428),$P428,FALSE),0))</f>
        <v>0</v>
      </c>
      <c r="R428" s="288">
        <f ca="1">IF(OR(Table2[[#This Row],[Benefit Name]]="My Value Plus Life - Main Member",Table2[[#This Row],[Benefit Name]]="My Value Plus Life - Spouse"),0,
IFERROR(VLOOKUP($G428,INDIRECT($O428),$P428+1,FALSE),0))</f>
        <v>0</v>
      </c>
      <c r="S428" s="289">
        <f t="shared" ca="1" si="45"/>
        <v>0</v>
      </c>
      <c r="T428" s="284" t="str">
        <f>IF(Table13[[#This Row],[Premium Waiver]]="","None",Table13[[#This Row],[Premium Waiver]])</f>
        <v>None</v>
      </c>
      <c r="U428" s="284">
        <f>Table13[[#This Row],[VAPs Options]]</f>
        <v>0</v>
      </c>
      <c r="V428" s="284">
        <f>Table13[[#This Row],[Annual Increase Option]]</f>
        <v>0</v>
      </c>
      <c r="W428" s="290">
        <f>Table13[[#This Row],[Life Cover Amount]]</f>
        <v>0</v>
      </c>
      <c r="X428" s="290">
        <f>Table13[[#This Row],[Funeral Cover Amount]]</f>
        <v>0</v>
      </c>
      <c r="Y42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2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28" s="301">
        <f t="shared" ca="1" si="46"/>
        <v>0</v>
      </c>
      <c r="AB428" s="298"/>
      <c r="AC428" s="326" t="str">
        <f>IF(Table2[[#This Row],[Member Type]]="Main Member",Lookups!$C$13,
IF(Table2[[#This Row],[Member Type]]="Spouse",_xlfn.XLOOKUP(B428,Table2[Main Member Link ID],Table2[Product Option],0),
IF(AND(Table2[[#This Row],[Member Type]]="Child",_xlfn.XLOOKUP(B428,Table2[Main Member Link ID],Table2[Product Option],0)&lt;&gt;"My Value Plus Life"),Lookups!$C$24,
IF(AND(OR(Table2[[#This Row],[Member Type]]="Parent",Table2[[#This Row],[Member Type]]="Extended"),_xlfn.XLOOKUP(B428,Table2[Main Member Link ID],Table2[Product Option],0)&lt;&gt;"My Value Plus Life"),Lookups!$C$26,""))))</f>
        <v/>
      </c>
      <c r="AD428" s="326" t="str">
        <f>IF(Table2[[#This Row],[Member Type]]="Main Member",Lookups!$C$14,"")</f>
        <v/>
      </c>
      <c r="AE42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Funeral",_xlfn.XLOOKUP(B428,Table2[Main Member Link ID],Table2[Benefit Name],0)=Lookups!$D$14),"",
IF(AND(Table2[[#This Row],[Member Type]]="Spouse",Table2[[#This Row],[Product Option]]="My Value Plus Life &amp; Funeral",_xlfn.XLOOKUP(B427,Table2[Main Member Link ID],Table2[Benefit Name],0)=Lookups!$D$15),Lookups!$D$20,
IF(AND(Table2[[#This Row],[Member Type]]="Spouse",Table2[[#This Row],[Product Option]]="My Value Plus Life &amp; Funeral",_xlfn.XLOOKUP(B427,Table2[Main Member Link ID],Table2[Benefit Name],0)=Lookups!$D$16),"",
IF(AND(Table2[[#This Row],[Member Type]]="Spouse",Table2[[#This Row],[Product Option]]="My Value Plus Life &amp; Funeral",_xlfn.XLOOKUP(B427,Table2[Main Member Link ID],Table2[Benefit Name],0)=Lookups!$D$17),Lookups!$D$21,
IF(AND(Table2[[#This Row],[Member Type]]="Child",Table2[[#This Row],[Product Option]]="My Value Plus Life &amp; Funeral",_xlfn.XLOOKUP(B428,Table2[Main Member Link ID],Table2[Benefit Name],0)=Lookups!$D$14),"",
IF(AND(Table2[[#This Row],[Member Type]]="Child",Table2[[#This Row],[Product Option]]="My Value Plus Life &amp; Funeral",_xlfn.XLOOKUP(B428,Table2[Main Member Link ID],Table2[Benefit Name],0)=Lookups!$D$15),"",
IF(AND(Table2[[#This Row],[Member Type]]="Child",Table2[[#This Row],[Product Option]]="My Value Plus Life &amp; Funeral",_xlfn.XLOOKUP(B428,Table2[Main Member Link ID],Table2[Benefit Name],0)=Lookups!$D$16),Lookups!$D$24,
IF(AND(Table2[[#This Row],[Member Type]]="Child",Table2[[#This Row],[Product Option]]="My Value Plus Life &amp; Funeral",_xlfn.XLOOKUP(B428,Table2[Main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Funeral",_xlfn.XLOOKUP(B428,Table2[Main Member Link ID],Table2[Benefit Name],0)&lt;&gt;Lookups!$D$14),
IF(_xlfn.XLOOKUP(B428,Table2[Main Member Link ID],Table2[Benefit Name],0)=0,"",_xlfn.XLOOKUP(B428,Table2[Main Member Link ID],Table2[Benefit Name],0)),"")))))))))))))))</f>
        <v/>
      </c>
      <c r="AF428" s="327" t="str">
        <f>IF(AND(Table2[[#This Row],[Member Type]]="Main Member",Table2[[#This Row],[Product Option]]="My Value Plus Life &amp; Funeral"),Lookups!$D$15,
IF(AND(Table2[[#This Row],[Member Type]]="Spouse",Table2[[#This Row],[Product Option]]="My Value Plus Life &amp; Funeral",_xlfn.XLOOKUP(B428,Table2[Main Member Link ID],Table2[Benefit Name],0)=Lookups!$D$14),"",
IF(AND(Table2[[#This Row],[Member Type]]="Spouse",Table2[[#This Row],[Product Option]]="My Value Plus Life &amp; Funeral",_xlfn.XLOOKUP(B427,Table2[Main Member Link ID],Table2[Benefit Name],0)=Lookups!$D$16),"",
IF(AND(Table2[[#This Row],[Member Type]]="Spouse",Table2[[#This Row],[Product Option]]="My Value Plus Life &amp; Funeral",_xlfn.XLOOKUP(B427,Table2[Main Member Link ID],Table2[Benefit Name],0)=Lookups!$D$15),"",
IF(AND(Table2[[#This Row],[Member Type]]="Spouse",Table2[[#This Row],[Product Option]]="My Value Plus Life &amp; Funeral",_xlfn.XLOOKUP(B427,Table2[Main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Funeral",_xlfn.XLOOKUP(B428,Table2[Main Member Link ID],Table2[Benefit Name],0)&lt;&gt;Lookups!$D$15),
IF(_xlfn.XLOOKUP(B428,Table2[Main Member Link ID],Table2[Benefit Name],0)=0,"",_xlfn.XLOOKUP(B428,Table2[Main Member Link ID],Table2[Benefit Name],0)),"")
))))))</f>
        <v/>
      </c>
      <c r="AG428" s="327" t="str">
        <f>IF(AND(Table2[[#This Row],[Member Type]]="Main Member",Table2[[#This Row],[Product Option]]="My Value Plus Life &amp; Funeral"),Lookups!$D$16,
IF(AND(Table2[[#This Row],[Member Type]]="Spouse",Table2[[#This Row],[Product Option]]="My Value Plus Life &amp; Funeral",_xlfn.XLOOKUP(B428,Table2[Main Member Link ID],Table2[Benefit Name],0)=Lookups!$D$14),"",
IF(AND(Table2[[#This Row],[Member Type]]="Spouse",Table2[[#This Row],[Product Option]]="My Value Plus Life &amp; Funeral",_xlfn.XLOOKUP(B427,Table2[Main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Funeral",_xlfn.XLOOKUP(B428,Table2[Main Member Link ID],Table2[Benefit Name],0)&lt;&gt;Lookups!$D$16),
IF(_xlfn.XLOOKUP(B428,Table2[Main Member Link ID],Table2[Benefit Name],0)=0,"",_xlfn.XLOOKUP(B428,Table2[Main Member Link ID],Table2[Benefit Name],0)),"")
))))</f>
        <v/>
      </c>
      <c r="AH428" s="327" t="str">
        <f>IF(AND(Table2[[#This Row],[Member Type]]="Main Member",Table2[[#This Row],[Product Option]]="My Value Plus Life &amp; Funeral"),Lookups!$D$17,
IF(AND(Table2[[#This Row],[Member Type]]="Spouse",Table2[[#This Row],[Product Option]]="My Value Plus Life &amp; Funeral",_xlfn.XLOOKUP(B428,Table2[Main Member Link ID],Table2[Benefit Name],0)=Lookups!$D$14),"",
IF(AND(Table2[[#This Row],[Member Type]]="Spouse",Table2[[#This Row],[Product Option]]="My Value Plus Life &amp; Funeral",_xlfn.XLOOKUP(B427,Table2[Main Member Link ID],Table2[Benefit Name],0)=Lookups!$D$16),"",
IF(AND(Table2[[#This Row],[Member Type]]="Child",Table2[[#This Row],[Product Option]]="My Value Plus Life &amp; Funeral"),"",
IF(AND(Table2[[#This Row],[Member Type]]="Child",Table2[[#This Row],[Product Option]]="My Value Plus Life &amp; Funeral",_xlfn.XLOOKUP(B428,Table2[Main Member Link ID],Table2[Benefit Name],0)=Lookups!$D$15),"",
IF(AND(OR(Table2[[#This Row],[Member Type]]="Spouse",Table2[[#This Row],[Member Type]]="Child"),Table2[[#This Row],[Product Option]]="My Value Plus Life &amp; Funeral",_xlfn.XLOOKUP(B428,Table2[Main Member Link ID],Table2[Benefit Name],0)&lt;&gt;Lookups!$D$17),
IF(_xlfn.XLOOKUP(B428,Table2[Main Member Link ID],Table2[Benefit Name],0)=0,"",_xlfn.XLOOKUP(B428,Table2[Main Member Link ID],Table2[Benefit Name],0)),""))))))</f>
        <v/>
      </c>
      <c r="AI428" s="328" t="str">
        <f>IF(AND(Table2[[#This Row],[Member Type]]="Main Member",Table2[[#This Row],[Table Lookup for Life Cover]]="MM_LIFE",Table2[[#This Row],[Age Next Birthday]]&lt;56),1,
IF(AND(Table2[[#This Row],[Member Type]]="Main Member",Table2[[#This Row],[Table Lookup for Life Cover]]="MM_LIFE",Table2[[#This Row],[Age Next Birthday]]&gt;=56),2,
""))</f>
        <v/>
      </c>
      <c r="AJ428" s="328">
        <f>IF(OR(Table2[[#This Row],[Member Type]]="Main Member",Table2[[#This Row],[Main Member Link ID]]=B427),1,0)</f>
        <v>1</v>
      </c>
      <c r="AK428" s="328">
        <f>IF(Table2[[#This Row],[Member Type]]=0,0,
IF(OR(Table2[[#This Row],[Member Type]]="Main Member",Table2[[#This Row],[Main Member Link ID]]&lt;&gt;B428),COUNTIFS(B:B,Table2[[#This Row],[Main Member Link ID]]),
COUNTIFS(B:B,Table2[[#This Row],[Main Member Link ID]],A:A,Table2[[#This Row],[Member Type]])))</f>
        <v>0</v>
      </c>
    </row>
    <row r="429" spans="1:37" x14ac:dyDescent="0.3">
      <c r="A429" s="284">
        <f>Table13[[#This Row],[Member Type]]</f>
        <v>0</v>
      </c>
      <c r="B429" s="284">
        <f>Table13[[#This Row],[Main Member Link ID]]</f>
        <v>0</v>
      </c>
      <c r="C429" s="284">
        <f>Table13[[#This Row],[ID Number]]</f>
        <v>0</v>
      </c>
      <c r="D429" s="285">
        <f>Table13[[#This Row],[Date Of Birth]]</f>
        <v>0</v>
      </c>
      <c r="E429" s="285">
        <f>Table13[[#This Row],[Commencement Date]]</f>
        <v>0</v>
      </c>
      <c r="F429" s="284">
        <f t="shared" si="42"/>
        <v>1</v>
      </c>
      <c r="G429" s="284">
        <f t="shared" si="43"/>
        <v>25</v>
      </c>
      <c r="H429" s="286">
        <f>Table13[[#This Row],[Product Option]]</f>
        <v>0</v>
      </c>
      <c r="I429" s="284">
        <f>IF(AND($A429="Main Member",Table2[[#This Row],[Product Option]]="My Value Plus Life"),"MM_LIFE",
IF(AND($A429="Spouse",Table2[[#This Row],[Product Option]]="My Value Plus Life"),"SP_LIFE",
IF(AND($A429="Main Member",Table2[[#This Row],[Product Option]]="My Value Plus Life &amp; Funeral"),"MM_LIFE",
IF(AND($A429="Spouse",Table2[[#This Row],[Product Option]]="My Value Plus Life &amp; Funeral"),_xlfn.XLOOKUP(Table2[[#This Row],[Benefit Name]],Lookups!$D$18:$D$23,Lookups!$E$18:$E$23,0),
0))))</f>
        <v>0</v>
      </c>
      <c r="J429" s="284">
        <f>IF($I429="","",
IF($I429="MM_LIFE",INDEX('Quotation Tool'!$S$54:$V$60,MATCH($T429,'Quotation Tool'!$S$54:$S$60,0),4),
IF($I429="SP_LIFE",_xlfn.XLOOKUP(B428,$B:$B,$J:$J,0),0)))</f>
        <v>0</v>
      </c>
      <c r="K429" s="287">
        <f t="shared" ca="1" si="47"/>
        <v>0</v>
      </c>
      <c r="L429" s="288">
        <f t="shared" ca="1" si="48"/>
        <v>0</v>
      </c>
      <c r="M429" s="289">
        <f t="shared" ca="1" si="44"/>
        <v>0</v>
      </c>
      <c r="N429" s="286">
        <f>Table13[[#This Row],[Benefit Option]]</f>
        <v>0</v>
      </c>
      <c r="O429" s="284">
        <f>IF(OR(Table2[[#This Row],[Member Type]]="Spouse",Table2[[#This Row],[Member Type]]="Child"),0,
IF(_xlfn.XLOOKUP($N429,Lookups!$D$13:$D$27,Lookups!$F$13:$F$27,0)=Table2[[#This Row],[Table Lookup for Life Cover]],0,
_xlfn.XLOOKUP($N429,Lookups!$D$13:$D$27,Lookups!$F$13:$F$27,0)))</f>
        <v>0</v>
      </c>
      <c r="P429" s="284">
        <f>IF(Table2[[#This Row],[Table Lookup for Funeral]]=0,0,IFERROR(INDEX('Quotation Tool'!$S$54:$V$60,MATCH($T429,'Quotation Tool'!$S$54:$S$60,0),3),0))</f>
        <v>0</v>
      </c>
      <c r="Q429" s="288">
        <f ca="1">IF(OR(Table2[[#This Row],[Benefit Name]]="My Value Plus Life - Main Member",Table2[[#This Row],[Benefit Name]]="My Value Plus Life - Spouse"),0,
IFERROR(VLOOKUP($G429,INDIRECT($O429),$P429,FALSE),0))</f>
        <v>0</v>
      </c>
      <c r="R429" s="288">
        <f ca="1">IF(OR(Table2[[#This Row],[Benefit Name]]="My Value Plus Life - Main Member",Table2[[#This Row],[Benefit Name]]="My Value Plus Life - Spouse"),0,
IFERROR(VLOOKUP($G429,INDIRECT($O429),$P429+1,FALSE),0))</f>
        <v>0</v>
      </c>
      <c r="S429" s="289">
        <f t="shared" ca="1" si="45"/>
        <v>0</v>
      </c>
      <c r="T429" s="284" t="str">
        <f>IF(Table13[[#This Row],[Premium Waiver]]="","None",Table13[[#This Row],[Premium Waiver]])</f>
        <v>None</v>
      </c>
      <c r="U429" s="284">
        <f>Table13[[#This Row],[VAPs Options]]</f>
        <v>0</v>
      </c>
      <c r="V429" s="284">
        <f>Table13[[#This Row],[Annual Increase Option]]</f>
        <v>0</v>
      </c>
      <c r="W429" s="290">
        <f>Table13[[#This Row],[Life Cover Amount]]</f>
        <v>0</v>
      </c>
      <c r="X429" s="290">
        <f>Table13[[#This Row],[Funeral Cover Amount]]</f>
        <v>0</v>
      </c>
      <c r="Y42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2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29" s="301">
        <f t="shared" ca="1" si="46"/>
        <v>0</v>
      </c>
      <c r="AB429" s="298"/>
      <c r="AC429" s="326" t="str">
        <f>IF(Table2[[#This Row],[Member Type]]="Main Member",Lookups!$C$13,
IF(Table2[[#This Row],[Member Type]]="Spouse",_xlfn.XLOOKUP(B429,Table2[Main Member Link ID],Table2[Product Option],0),
IF(AND(Table2[[#This Row],[Member Type]]="Child",_xlfn.XLOOKUP(B429,Table2[Main Member Link ID],Table2[Product Option],0)&lt;&gt;"My Value Plus Life"),Lookups!$C$24,
IF(AND(OR(Table2[[#This Row],[Member Type]]="Parent",Table2[[#This Row],[Member Type]]="Extended"),_xlfn.XLOOKUP(B429,Table2[Main Member Link ID],Table2[Product Option],0)&lt;&gt;"My Value Plus Life"),Lookups!$C$26,""))))</f>
        <v/>
      </c>
      <c r="AD429" s="326" t="str">
        <f>IF(Table2[[#This Row],[Member Type]]="Main Member",Lookups!$C$14,"")</f>
        <v/>
      </c>
      <c r="AE42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Funeral",_xlfn.XLOOKUP(B429,Table2[Main Member Link ID],Table2[Benefit Name],0)=Lookups!$D$14),"",
IF(AND(Table2[[#This Row],[Member Type]]="Spouse",Table2[[#This Row],[Product Option]]="My Value Plus Life &amp; Funeral",_xlfn.XLOOKUP(B428,Table2[Main Member Link ID],Table2[Benefit Name],0)=Lookups!$D$15),Lookups!$D$20,
IF(AND(Table2[[#This Row],[Member Type]]="Spouse",Table2[[#This Row],[Product Option]]="My Value Plus Life &amp; Funeral",_xlfn.XLOOKUP(B428,Table2[Main Member Link ID],Table2[Benefit Name],0)=Lookups!$D$16),"",
IF(AND(Table2[[#This Row],[Member Type]]="Spouse",Table2[[#This Row],[Product Option]]="My Value Plus Life &amp; Funeral",_xlfn.XLOOKUP(B428,Table2[Main Member Link ID],Table2[Benefit Name],0)=Lookups!$D$17),Lookups!$D$21,
IF(AND(Table2[[#This Row],[Member Type]]="Child",Table2[[#This Row],[Product Option]]="My Value Plus Life &amp; Funeral",_xlfn.XLOOKUP(B429,Table2[Main Member Link ID],Table2[Benefit Name],0)=Lookups!$D$14),"",
IF(AND(Table2[[#This Row],[Member Type]]="Child",Table2[[#This Row],[Product Option]]="My Value Plus Life &amp; Funeral",_xlfn.XLOOKUP(B429,Table2[Main Member Link ID],Table2[Benefit Name],0)=Lookups!$D$15),"",
IF(AND(Table2[[#This Row],[Member Type]]="Child",Table2[[#This Row],[Product Option]]="My Value Plus Life &amp; Funeral",_xlfn.XLOOKUP(B429,Table2[Main Member Link ID],Table2[Benefit Name],0)=Lookups!$D$16),Lookups!$D$24,
IF(AND(Table2[[#This Row],[Member Type]]="Child",Table2[[#This Row],[Product Option]]="My Value Plus Life &amp; Funeral",_xlfn.XLOOKUP(B429,Table2[Main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Funeral",_xlfn.XLOOKUP(B429,Table2[Main Member Link ID],Table2[Benefit Name],0)&lt;&gt;Lookups!$D$14),
IF(_xlfn.XLOOKUP(B429,Table2[Main Member Link ID],Table2[Benefit Name],0)=0,"",_xlfn.XLOOKUP(B429,Table2[Main Member Link ID],Table2[Benefit Name],0)),"")))))))))))))))</f>
        <v/>
      </c>
      <c r="AF429" s="327" t="str">
        <f>IF(AND(Table2[[#This Row],[Member Type]]="Main Member",Table2[[#This Row],[Product Option]]="My Value Plus Life &amp; Funeral"),Lookups!$D$15,
IF(AND(Table2[[#This Row],[Member Type]]="Spouse",Table2[[#This Row],[Product Option]]="My Value Plus Life &amp; Funeral",_xlfn.XLOOKUP(B429,Table2[Main Member Link ID],Table2[Benefit Name],0)=Lookups!$D$14),"",
IF(AND(Table2[[#This Row],[Member Type]]="Spouse",Table2[[#This Row],[Product Option]]="My Value Plus Life &amp; Funeral",_xlfn.XLOOKUP(B428,Table2[Main Member Link ID],Table2[Benefit Name],0)=Lookups!$D$16),"",
IF(AND(Table2[[#This Row],[Member Type]]="Spouse",Table2[[#This Row],[Product Option]]="My Value Plus Life &amp; Funeral",_xlfn.XLOOKUP(B428,Table2[Main Member Link ID],Table2[Benefit Name],0)=Lookups!$D$15),"",
IF(AND(Table2[[#This Row],[Member Type]]="Spouse",Table2[[#This Row],[Product Option]]="My Value Plus Life &amp; Funeral",_xlfn.XLOOKUP(B428,Table2[Main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Funeral",_xlfn.XLOOKUP(B429,Table2[Main Member Link ID],Table2[Benefit Name],0)&lt;&gt;Lookups!$D$15),
IF(_xlfn.XLOOKUP(B429,Table2[Main Member Link ID],Table2[Benefit Name],0)=0,"",_xlfn.XLOOKUP(B429,Table2[Main Member Link ID],Table2[Benefit Name],0)),"")
))))))</f>
        <v/>
      </c>
      <c r="AG429" s="327" t="str">
        <f>IF(AND(Table2[[#This Row],[Member Type]]="Main Member",Table2[[#This Row],[Product Option]]="My Value Plus Life &amp; Funeral"),Lookups!$D$16,
IF(AND(Table2[[#This Row],[Member Type]]="Spouse",Table2[[#This Row],[Product Option]]="My Value Plus Life &amp; Funeral",_xlfn.XLOOKUP(B429,Table2[Main Member Link ID],Table2[Benefit Name],0)=Lookups!$D$14),"",
IF(AND(Table2[[#This Row],[Member Type]]="Spouse",Table2[[#This Row],[Product Option]]="My Value Plus Life &amp; Funeral",_xlfn.XLOOKUP(B428,Table2[Main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Funeral",_xlfn.XLOOKUP(B429,Table2[Main Member Link ID],Table2[Benefit Name],0)&lt;&gt;Lookups!$D$16),
IF(_xlfn.XLOOKUP(B429,Table2[Main Member Link ID],Table2[Benefit Name],0)=0,"",_xlfn.XLOOKUP(B429,Table2[Main Member Link ID],Table2[Benefit Name],0)),"")
))))</f>
        <v/>
      </c>
      <c r="AH429" s="327" t="str">
        <f>IF(AND(Table2[[#This Row],[Member Type]]="Main Member",Table2[[#This Row],[Product Option]]="My Value Plus Life &amp; Funeral"),Lookups!$D$17,
IF(AND(Table2[[#This Row],[Member Type]]="Spouse",Table2[[#This Row],[Product Option]]="My Value Plus Life &amp; Funeral",_xlfn.XLOOKUP(B429,Table2[Main Member Link ID],Table2[Benefit Name],0)=Lookups!$D$14),"",
IF(AND(Table2[[#This Row],[Member Type]]="Spouse",Table2[[#This Row],[Product Option]]="My Value Plus Life &amp; Funeral",_xlfn.XLOOKUP(B428,Table2[Main Member Link ID],Table2[Benefit Name],0)=Lookups!$D$16),"",
IF(AND(Table2[[#This Row],[Member Type]]="Child",Table2[[#This Row],[Product Option]]="My Value Plus Life &amp; Funeral"),"",
IF(AND(Table2[[#This Row],[Member Type]]="Child",Table2[[#This Row],[Product Option]]="My Value Plus Life &amp; Funeral",_xlfn.XLOOKUP(B429,Table2[Main Member Link ID],Table2[Benefit Name],0)=Lookups!$D$15),"",
IF(AND(OR(Table2[[#This Row],[Member Type]]="Spouse",Table2[[#This Row],[Member Type]]="Child"),Table2[[#This Row],[Product Option]]="My Value Plus Life &amp; Funeral",_xlfn.XLOOKUP(B429,Table2[Main Member Link ID],Table2[Benefit Name],0)&lt;&gt;Lookups!$D$17),
IF(_xlfn.XLOOKUP(B429,Table2[Main Member Link ID],Table2[Benefit Name],0)=0,"",_xlfn.XLOOKUP(B429,Table2[Main Member Link ID],Table2[Benefit Name],0)),""))))))</f>
        <v/>
      </c>
      <c r="AI429" s="328" t="str">
        <f>IF(AND(Table2[[#This Row],[Member Type]]="Main Member",Table2[[#This Row],[Table Lookup for Life Cover]]="MM_LIFE",Table2[[#This Row],[Age Next Birthday]]&lt;56),1,
IF(AND(Table2[[#This Row],[Member Type]]="Main Member",Table2[[#This Row],[Table Lookup for Life Cover]]="MM_LIFE",Table2[[#This Row],[Age Next Birthday]]&gt;=56),2,
""))</f>
        <v/>
      </c>
      <c r="AJ429" s="328">
        <f>IF(OR(Table2[[#This Row],[Member Type]]="Main Member",Table2[[#This Row],[Main Member Link ID]]=B428),1,0)</f>
        <v>1</v>
      </c>
      <c r="AK429" s="328">
        <f>IF(Table2[[#This Row],[Member Type]]=0,0,
IF(OR(Table2[[#This Row],[Member Type]]="Main Member",Table2[[#This Row],[Main Member Link ID]]&lt;&gt;B429),COUNTIFS(B:B,Table2[[#This Row],[Main Member Link ID]]),
COUNTIFS(B:B,Table2[[#This Row],[Main Member Link ID]],A:A,Table2[[#This Row],[Member Type]])))</f>
        <v>0</v>
      </c>
    </row>
    <row r="430" spans="1:37" x14ac:dyDescent="0.3">
      <c r="A430" s="284">
        <f>Table13[[#This Row],[Member Type]]</f>
        <v>0</v>
      </c>
      <c r="B430" s="284">
        <f>Table13[[#This Row],[Main Member Link ID]]</f>
        <v>0</v>
      </c>
      <c r="C430" s="284">
        <f>Table13[[#This Row],[ID Number]]</f>
        <v>0</v>
      </c>
      <c r="D430" s="285">
        <f>Table13[[#This Row],[Date Of Birth]]</f>
        <v>0</v>
      </c>
      <c r="E430" s="285">
        <f>Table13[[#This Row],[Commencement Date]]</f>
        <v>0</v>
      </c>
      <c r="F430" s="284">
        <f t="shared" si="42"/>
        <v>1</v>
      </c>
      <c r="G430" s="284">
        <f t="shared" si="43"/>
        <v>25</v>
      </c>
      <c r="H430" s="286">
        <f>Table13[[#This Row],[Product Option]]</f>
        <v>0</v>
      </c>
      <c r="I430" s="284">
        <f>IF(AND($A430="Main Member",Table2[[#This Row],[Product Option]]="My Value Plus Life"),"MM_LIFE",
IF(AND($A430="Spouse",Table2[[#This Row],[Product Option]]="My Value Plus Life"),"SP_LIFE",
IF(AND($A430="Main Member",Table2[[#This Row],[Product Option]]="My Value Plus Life &amp; Funeral"),"MM_LIFE",
IF(AND($A430="Spouse",Table2[[#This Row],[Product Option]]="My Value Plus Life &amp; Funeral"),_xlfn.XLOOKUP(Table2[[#This Row],[Benefit Name]],Lookups!$D$18:$D$23,Lookups!$E$18:$E$23,0),
0))))</f>
        <v>0</v>
      </c>
      <c r="J430" s="284">
        <f>IF($I430="","",
IF($I430="MM_LIFE",INDEX('Quotation Tool'!$S$54:$V$60,MATCH($T430,'Quotation Tool'!$S$54:$S$60,0),4),
IF($I430="SP_LIFE",_xlfn.XLOOKUP(B429,$B:$B,$J:$J,0),0)))</f>
        <v>0</v>
      </c>
      <c r="K430" s="287">
        <f t="shared" ca="1" si="47"/>
        <v>0</v>
      </c>
      <c r="L430" s="288">
        <f t="shared" ca="1" si="48"/>
        <v>0</v>
      </c>
      <c r="M430" s="289">
        <f t="shared" ca="1" si="44"/>
        <v>0</v>
      </c>
      <c r="N430" s="286">
        <f>Table13[[#This Row],[Benefit Option]]</f>
        <v>0</v>
      </c>
      <c r="O430" s="284">
        <f>IF(OR(Table2[[#This Row],[Member Type]]="Spouse",Table2[[#This Row],[Member Type]]="Child"),0,
IF(_xlfn.XLOOKUP($N430,Lookups!$D$13:$D$27,Lookups!$F$13:$F$27,0)=Table2[[#This Row],[Table Lookup for Life Cover]],0,
_xlfn.XLOOKUP($N430,Lookups!$D$13:$D$27,Lookups!$F$13:$F$27,0)))</f>
        <v>0</v>
      </c>
      <c r="P430" s="284">
        <f>IF(Table2[[#This Row],[Table Lookup for Funeral]]=0,0,IFERROR(INDEX('Quotation Tool'!$S$54:$V$60,MATCH($T430,'Quotation Tool'!$S$54:$S$60,0),3),0))</f>
        <v>0</v>
      </c>
      <c r="Q430" s="288">
        <f ca="1">IF(OR(Table2[[#This Row],[Benefit Name]]="My Value Plus Life - Main Member",Table2[[#This Row],[Benefit Name]]="My Value Plus Life - Spouse"),0,
IFERROR(VLOOKUP($G430,INDIRECT($O430),$P430,FALSE),0))</f>
        <v>0</v>
      </c>
      <c r="R430" s="288">
        <f ca="1">IF(OR(Table2[[#This Row],[Benefit Name]]="My Value Plus Life - Main Member",Table2[[#This Row],[Benefit Name]]="My Value Plus Life - Spouse"),0,
IFERROR(VLOOKUP($G430,INDIRECT($O430),$P430+1,FALSE),0))</f>
        <v>0</v>
      </c>
      <c r="S430" s="289">
        <f t="shared" ca="1" si="45"/>
        <v>0</v>
      </c>
      <c r="T430" s="284" t="str">
        <f>IF(Table13[[#This Row],[Premium Waiver]]="","None",Table13[[#This Row],[Premium Waiver]])</f>
        <v>None</v>
      </c>
      <c r="U430" s="284">
        <f>Table13[[#This Row],[VAPs Options]]</f>
        <v>0</v>
      </c>
      <c r="V430" s="284">
        <f>Table13[[#This Row],[Annual Increase Option]]</f>
        <v>0</v>
      </c>
      <c r="W430" s="290">
        <f>Table13[[#This Row],[Life Cover Amount]]</f>
        <v>0</v>
      </c>
      <c r="X430" s="290">
        <f>Table13[[#This Row],[Funeral Cover Amount]]</f>
        <v>0</v>
      </c>
      <c r="Y43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3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30" s="301">
        <f t="shared" ca="1" si="46"/>
        <v>0</v>
      </c>
      <c r="AB430" s="298"/>
      <c r="AC430" s="326" t="str">
        <f>IF(Table2[[#This Row],[Member Type]]="Main Member",Lookups!$C$13,
IF(Table2[[#This Row],[Member Type]]="Spouse",_xlfn.XLOOKUP(B430,Table2[Main Member Link ID],Table2[Product Option],0),
IF(AND(Table2[[#This Row],[Member Type]]="Child",_xlfn.XLOOKUP(B430,Table2[Main Member Link ID],Table2[Product Option],0)&lt;&gt;"My Value Plus Life"),Lookups!$C$24,
IF(AND(OR(Table2[[#This Row],[Member Type]]="Parent",Table2[[#This Row],[Member Type]]="Extended"),_xlfn.XLOOKUP(B430,Table2[Main Member Link ID],Table2[Product Option],0)&lt;&gt;"My Value Plus Life"),Lookups!$C$26,""))))</f>
        <v/>
      </c>
      <c r="AD430" s="326" t="str">
        <f>IF(Table2[[#This Row],[Member Type]]="Main Member",Lookups!$C$14,"")</f>
        <v/>
      </c>
      <c r="AE43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Funeral",_xlfn.XLOOKUP(B430,Table2[Main Member Link ID],Table2[Benefit Name],0)=Lookups!$D$14),"",
IF(AND(Table2[[#This Row],[Member Type]]="Spouse",Table2[[#This Row],[Product Option]]="My Value Plus Life &amp; Funeral",_xlfn.XLOOKUP(B429,Table2[Main Member Link ID],Table2[Benefit Name],0)=Lookups!$D$15),Lookups!$D$20,
IF(AND(Table2[[#This Row],[Member Type]]="Spouse",Table2[[#This Row],[Product Option]]="My Value Plus Life &amp; Funeral",_xlfn.XLOOKUP(B429,Table2[Main Member Link ID],Table2[Benefit Name],0)=Lookups!$D$16),"",
IF(AND(Table2[[#This Row],[Member Type]]="Spouse",Table2[[#This Row],[Product Option]]="My Value Plus Life &amp; Funeral",_xlfn.XLOOKUP(B429,Table2[Main Member Link ID],Table2[Benefit Name],0)=Lookups!$D$17),Lookups!$D$21,
IF(AND(Table2[[#This Row],[Member Type]]="Child",Table2[[#This Row],[Product Option]]="My Value Plus Life &amp; Funeral",_xlfn.XLOOKUP(B430,Table2[Main Member Link ID],Table2[Benefit Name],0)=Lookups!$D$14),"",
IF(AND(Table2[[#This Row],[Member Type]]="Child",Table2[[#This Row],[Product Option]]="My Value Plus Life &amp; Funeral",_xlfn.XLOOKUP(B430,Table2[Main Member Link ID],Table2[Benefit Name],0)=Lookups!$D$15),"",
IF(AND(Table2[[#This Row],[Member Type]]="Child",Table2[[#This Row],[Product Option]]="My Value Plus Life &amp; Funeral",_xlfn.XLOOKUP(B430,Table2[Main Member Link ID],Table2[Benefit Name],0)=Lookups!$D$16),Lookups!$D$24,
IF(AND(Table2[[#This Row],[Member Type]]="Child",Table2[[#This Row],[Product Option]]="My Value Plus Life &amp; Funeral",_xlfn.XLOOKUP(B430,Table2[Main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Funeral",_xlfn.XLOOKUP(B430,Table2[Main Member Link ID],Table2[Benefit Name],0)&lt;&gt;Lookups!$D$14),
IF(_xlfn.XLOOKUP(B430,Table2[Main Member Link ID],Table2[Benefit Name],0)=0,"",_xlfn.XLOOKUP(B430,Table2[Main Member Link ID],Table2[Benefit Name],0)),"")))))))))))))))</f>
        <v/>
      </c>
      <c r="AF430" s="327" t="str">
        <f>IF(AND(Table2[[#This Row],[Member Type]]="Main Member",Table2[[#This Row],[Product Option]]="My Value Plus Life &amp; Funeral"),Lookups!$D$15,
IF(AND(Table2[[#This Row],[Member Type]]="Spouse",Table2[[#This Row],[Product Option]]="My Value Plus Life &amp; Funeral",_xlfn.XLOOKUP(B430,Table2[Main Member Link ID],Table2[Benefit Name],0)=Lookups!$D$14),"",
IF(AND(Table2[[#This Row],[Member Type]]="Spouse",Table2[[#This Row],[Product Option]]="My Value Plus Life &amp; Funeral",_xlfn.XLOOKUP(B429,Table2[Main Member Link ID],Table2[Benefit Name],0)=Lookups!$D$16),"",
IF(AND(Table2[[#This Row],[Member Type]]="Spouse",Table2[[#This Row],[Product Option]]="My Value Plus Life &amp; Funeral",_xlfn.XLOOKUP(B429,Table2[Main Member Link ID],Table2[Benefit Name],0)=Lookups!$D$15),"",
IF(AND(Table2[[#This Row],[Member Type]]="Spouse",Table2[[#This Row],[Product Option]]="My Value Plus Life &amp; Funeral",_xlfn.XLOOKUP(B429,Table2[Main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Funeral",_xlfn.XLOOKUP(B430,Table2[Main Member Link ID],Table2[Benefit Name],0)&lt;&gt;Lookups!$D$15),
IF(_xlfn.XLOOKUP(B430,Table2[Main Member Link ID],Table2[Benefit Name],0)=0,"",_xlfn.XLOOKUP(B430,Table2[Main Member Link ID],Table2[Benefit Name],0)),"")
))))))</f>
        <v/>
      </c>
      <c r="AG430" s="327" t="str">
        <f>IF(AND(Table2[[#This Row],[Member Type]]="Main Member",Table2[[#This Row],[Product Option]]="My Value Plus Life &amp; Funeral"),Lookups!$D$16,
IF(AND(Table2[[#This Row],[Member Type]]="Spouse",Table2[[#This Row],[Product Option]]="My Value Plus Life &amp; Funeral",_xlfn.XLOOKUP(B430,Table2[Main Member Link ID],Table2[Benefit Name],0)=Lookups!$D$14),"",
IF(AND(Table2[[#This Row],[Member Type]]="Spouse",Table2[[#This Row],[Product Option]]="My Value Plus Life &amp; Funeral",_xlfn.XLOOKUP(B429,Table2[Main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Funeral",_xlfn.XLOOKUP(B430,Table2[Main Member Link ID],Table2[Benefit Name],0)&lt;&gt;Lookups!$D$16),
IF(_xlfn.XLOOKUP(B430,Table2[Main Member Link ID],Table2[Benefit Name],0)=0,"",_xlfn.XLOOKUP(B430,Table2[Main Member Link ID],Table2[Benefit Name],0)),"")
))))</f>
        <v/>
      </c>
      <c r="AH430" s="327" t="str">
        <f>IF(AND(Table2[[#This Row],[Member Type]]="Main Member",Table2[[#This Row],[Product Option]]="My Value Plus Life &amp; Funeral"),Lookups!$D$17,
IF(AND(Table2[[#This Row],[Member Type]]="Spouse",Table2[[#This Row],[Product Option]]="My Value Plus Life &amp; Funeral",_xlfn.XLOOKUP(B430,Table2[Main Member Link ID],Table2[Benefit Name],0)=Lookups!$D$14),"",
IF(AND(Table2[[#This Row],[Member Type]]="Spouse",Table2[[#This Row],[Product Option]]="My Value Plus Life &amp; Funeral",_xlfn.XLOOKUP(B429,Table2[Main Member Link ID],Table2[Benefit Name],0)=Lookups!$D$16),"",
IF(AND(Table2[[#This Row],[Member Type]]="Child",Table2[[#This Row],[Product Option]]="My Value Plus Life &amp; Funeral"),"",
IF(AND(Table2[[#This Row],[Member Type]]="Child",Table2[[#This Row],[Product Option]]="My Value Plus Life &amp; Funeral",_xlfn.XLOOKUP(B430,Table2[Main Member Link ID],Table2[Benefit Name],0)=Lookups!$D$15),"",
IF(AND(OR(Table2[[#This Row],[Member Type]]="Spouse",Table2[[#This Row],[Member Type]]="Child"),Table2[[#This Row],[Product Option]]="My Value Plus Life &amp; Funeral",_xlfn.XLOOKUP(B430,Table2[Main Member Link ID],Table2[Benefit Name],0)&lt;&gt;Lookups!$D$17),
IF(_xlfn.XLOOKUP(B430,Table2[Main Member Link ID],Table2[Benefit Name],0)=0,"",_xlfn.XLOOKUP(B430,Table2[Main Member Link ID],Table2[Benefit Name],0)),""))))))</f>
        <v/>
      </c>
      <c r="AI430" s="328" t="str">
        <f>IF(AND(Table2[[#This Row],[Member Type]]="Main Member",Table2[[#This Row],[Table Lookup for Life Cover]]="MM_LIFE",Table2[[#This Row],[Age Next Birthday]]&lt;56),1,
IF(AND(Table2[[#This Row],[Member Type]]="Main Member",Table2[[#This Row],[Table Lookup for Life Cover]]="MM_LIFE",Table2[[#This Row],[Age Next Birthday]]&gt;=56),2,
""))</f>
        <v/>
      </c>
      <c r="AJ430" s="328">
        <f>IF(OR(Table2[[#This Row],[Member Type]]="Main Member",Table2[[#This Row],[Main Member Link ID]]=B429),1,0)</f>
        <v>1</v>
      </c>
      <c r="AK430" s="328">
        <f>IF(Table2[[#This Row],[Member Type]]=0,0,
IF(OR(Table2[[#This Row],[Member Type]]="Main Member",Table2[[#This Row],[Main Member Link ID]]&lt;&gt;B430),COUNTIFS(B:B,Table2[[#This Row],[Main Member Link ID]]),
COUNTIFS(B:B,Table2[[#This Row],[Main Member Link ID]],A:A,Table2[[#This Row],[Member Type]])))</f>
        <v>0</v>
      </c>
    </row>
    <row r="431" spans="1:37" x14ac:dyDescent="0.3">
      <c r="A431" s="284">
        <f>Table13[[#This Row],[Member Type]]</f>
        <v>0</v>
      </c>
      <c r="B431" s="284">
        <f>Table13[[#This Row],[Main Member Link ID]]</f>
        <v>0</v>
      </c>
      <c r="C431" s="284">
        <f>Table13[[#This Row],[ID Number]]</f>
        <v>0</v>
      </c>
      <c r="D431" s="285">
        <f>Table13[[#This Row],[Date Of Birth]]</f>
        <v>0</v>
      </c>
      <c r="E431" s="285">
        <f>Table13[[#This Row],[Commencement Date]]</f>
        <v>0</v>
      </c>
      <c r="F431" s="284">
        <f t="shared" si="42"/>
        <v>1</v>
      </c>
      <c r="G431" s="284">
        <f t="shared" si="43"/>
        <v>25</v>
      </c>
      <c r="H431" s="286">
        <f>Table13[[#This Row],[Product Option]]</f>
        <v>0</v>
      </c>
      <c r="I431" s="284">
        <f>IF(AND($A431="Main Member",Table2[[#This Row],[Product Option]]="My Value Plus Life"),"MM_LIFE",
IF(AND($A431="Spouse",Table2[[#This Row],[Product Option]]="My Value Plus Life"),"SP_LIFE",
IF(AND($A431="Main Member",Table2[[#This Row],[Product Option]]="My Value Plus Life &amp; Funeral"),"MM_LIFE",
IF(AND($A431="Spouse",Table2[[#This Row],[Product Option]]="My Value Plus Life &amp; Funeral"),_xlfn.XLOOKUP(Table2[[#This Row],[Benefit Name]],Lookups!$D$18:$D$23,Lookups!$E$18:$E$23,0),
0))))</f>
        <v>0</v>
      </c>
      <c r="J431" s="284">
        <f>IF($I431="","",
IF($I431="MM_LIFE",INDEX('Quotation Tool'!$S$54:$V$60,MATCH($T431,'Quotation Tool'!$S$54:$S$60,0),4),
IF($I431="SP_LIFE",_xlfn.XLOOKUP(B430,$B:$B,$J:$J,0),0)))</f>
        <v>0</v>
      </c>
      <c r="K431" s="287">
        <f t="shared" ca="1" si="47"/>
        <v>0</v>
      </c>
      <c r="L431" s="288">
        <f t="shared" ca="1" si="48"/>
        <v>0</v>
      </c>
      <c r="M431" s="289">
        <f t="shared" ca="1" si="44"/>
        <v>0</v>
      </c>
      <c r="N431" s="286">
        <f>Table13[[#This Row],[Benefit Option]]</f>
        <v>0</v>
      </c>
      <c r="O431" s="284">
        <f>IF(OR(Table2[[#This Row],[Member Type]]="Spouse",Table2[[#This Row],[Member Type]]="Child"),0,
IF(_xlfn.XLOOKUP($N431,Lookups!$D$13:$D$27,Lookups!$F$13:$F$27,0)=Table2[[#This Row],[Table Lookup for Life Cover]],0,
_xlfn.XLOOKUP($N431,Lookups!$D$13:$D$27,Lookups!$F$13:$F$27,0)))</f>
        <v>0</v>
      </c>
      <c r="P431" s="284">
        <f>IF(Table2[[#This Row],[Table Lookup for Funeral]]=0,0,IFERROR(INDEX('Quotation Tool'!$S$54:$V$60,MATCH($T431,'Quotation Tool'!$S$54:$S$60,0),3),0))</f>
        <v>0</v>
      </c>
      <c r="Q431" s="288">
        <f ca="1">IF(OR(Table2[[#This Row],[Benefit Name]]="My Value Plus Life - Main Member",Table2[[#This Row],[Benefit Name]]="My Value Plus Life - Spouse"),0,
IFERROR(VLOOKUP($G431,INDIRECT($O431),$P431,FALSE),0))</f>
        <v>0</v>
      </c>
      <c r="R431" s="288">
        <f ca="1">IF(OR(Table2[[#This Row],[Benefit Name]]="My Value Plus Life - Main Member",Table2[[#This Row],[Benefit Name]]="My Value Plus Life - Spouse"),0,
IFERROR(VLOOKUP($G431,INDIRECT($O431),$P431+1,FALSE),0))</f>
        <v>0</v>
      </c>
      <c r="S431" s="289">
        <f t="shared" ca="1" si="45"/>
        <v>0</v>
      </c>
      <c r="T431" s="284" t="str">
        <f>IF(Table13[[#This Row],[Premium Waiver]]="","None",Table13[[#This Row],[Premium Waiver]])</f>
        <v>None</v>
      </c>
      <c r="U431" s="284">
        <f>Table13[[#This Row],[VAPs Options]]</f>
        <v>0</v>
      </c>
      <c r="V431" s="284">
        <f>Table13[[#This Row],[Annual Increase Option]]</f>
        <v>0</v>
      </c>
      <c r="W431" s="290">
        <f>Table13[[#This Row],[Life Cover Amount]]</f>
        <v>0</v>
      </c>
      <c r="X431" s="290">
        <f>Table13[[#This Row],[Funeral Cover Amount]]</f>
        <v>0</v>
      </c>
      <c r="Y43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3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31" s="301">
        <f t="shared" ca="1" si="46"/>
        <v>0</v>
      </c>
      <c r="AB431" s="298"/>
      <c r="AC431" s="326" t="str">
        <f>IF(Table2[[#This Row],[Member Type]]="Main Member",Lookups!$C$13,
IF(Table2[[#This Row],[Member Type]]="Spouse",_xlfn.XLOOKUP(B431,Table2[Main Member Link ID],Table2[Product Option],0),
IF(AND(Table2[[#This Row],[Member Type]]="Child",_xlfn.XLOOKUP(B431,Table2[Main Member Link ID],Table2[Product Option],0)&lt;&gt;"My Value Plus Life"),Lookups!$C$24,
IF(AND(OR(Table2[[#This Row],[Member Type]]="Parent",Table2[[#This Row],[Member Type]]="Extended"),_xlfn.XLOOKUP(B431,Table2[Main Member Link ID],Table2[Product Option],0)&lt;&gt;"My Value Plus Life"),Lookups!$C$26,""))))</f>
        <v/>
      </c>
      <c r="AD431" s="326" t="str">
        <f>IF(Table2[[#This Row],[Member Type]]="Main Member",Lookups!$C$14,"")</f>
        <v/>
      </c>
      <c r="AE43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Funeral",_xlfn.XLOOKUP(B431,Table2[Main Member Link ID],Table2[Benefit Name],0)=Lookups!$D$14),"",
IF(AND(Table2[[#This Row],[Member Type]]="Spouse",Table2[[#This Row],[Product Option]]="My Value Plus Life &amp; Funeral",_xlfn.XLOOKUP(B430,Table2[Main Member Link ID],Table2[Benefit Name],0)=Lookups!$D$15),Lookups!$D$20,
IF(AND(Table2[[#This Row],[Member Type]]="Spouse",Table2[[#This Row],[Product Option]]="My Value Plus Life &amp; Funeral",_xlfn.XLOOKUP(B430,Table2[Main Member Link ID],Table2[Benefit Name],0)=Lookups!$D$16),"",
IF(AND(Table2[[#This Row],[Member Type]]="Spouse",Table2[[#This Row],[Product Option]]="My Value Plus Life &amp; Funeral",_xlfn.XLOOKUP(B430,Table2[Main Member Link ID],Table2[Benefit Name],0)=Lookups!$D$17),Lookups!$D$21,
IF(AND(Table2[[#This Row],[Member Type]]="Child",Table2[[#This Row],[Product Option]]="My Value Plus Life &amp; Funeral",_xlfn.XLOOKUP(B431,Table2[Main Member Link ID],Table2[Benefit Name],0)=Lookups!$D$14),"",
IF(AND(Table2[[#This Row],[Member Type]]="Child",Table2[[#This Row],[Product Option]]="My Value Plus Life &amp; Funeral",_xlfn.XLOOKUP(B431,Table2[Main Member Link ID],Table2[Benefit Name],0)=Lookups!$D$15),"",
IF(AND(Table2[[#This Row],[Member Type]]="Child",Table2[[#This Row],[Product Option]]="My Value Plus Life &amp; Funeral",_xlfn.XLOOKUP(B431,Table2[Main Member Link ID],Table2[Benefit Name],0)=Lookups!$D$16),Lookups!$D$24,
IF(AND(Table2[[#This Row],[Member Type]]="Child",Table2[[#This Row],[Product Option]]="My Value Plus Life &amp; Funeral",_xlfn.XLOOKUP(B431,Table2[Main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Funeral",_xlfn.XLOOKUP(B431,Table2[Main Member Link ID],Table2[Benefit Name],0)&lt;&gt;Lookups!$D$14),
IF(_xlfn.XLOOKUP(B431,Table2[Main Member Link ID],Table2[Benefit Name],0)=0,"",_xlfn.XLOOKUP(B431,Table2[Main Member Link ID],Table2[Benefit Name],0)),"")))))))))))))))</f>
        <v/>
      </c>
      <c r="AF431" s="327" t="str">
        <f>IF(AND(Table2[[#This Row],[Member Type]]="Main Member",Table2[[#This Row],[Product Option]]="My Value Plus Life &amp; Funeral"),Lookups!$D$15,
IF(AND(Table2[[#This Row],[Member Type]]="Spouse",Table2[[#This Row],[Product Option]]="My Value Plus Life &amp; Funeral",_xlfn.XLOOKUP(B431,Table2[Main Member Link ID],Table2[Benefit Name],0)=Lookups!$D$14),"",
IF(AND(Table2[[#This Row],[Member Type]]="Spouse",Table2[[#This Row],[Product Option]]="My Value Plus Life &amp; Funeral",_xlfn.XLOOKUP(B430,Table2[Main Member Link ID],Table2[Benefit Name],0)=Lookups!$D$16),"",
IF(AND(Table2[[#This Row],[Member Type]]="Spouse",Table2[[#This Row],[Product Option]]="My Value Plus Life &amp; Funeral",_xlfn.XLOOKUP(B430,Table2[Main Member Link ID],Table2[Benefit Name],0)=Lookups!$D$15),"",
IF(AND(Table2[[#This Row],[Member Type]]="Spouse",Table2[[#This Row],[Product Option]]="My Value Plus Life &amp; Funeral",_xlfn.XLOOKUP(B430,Table2[Main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Funeral",_xlfn.XLOOKUP(B431,Table2[Main Member Link ID],Table2[Benefit Name],0)&lt;&gt;Lookups!$D$15),
IF(_xlfn.XLOOKUP(B431,Table2[Main Member Link ID],Table2[Benefit Name],0)=0,"",_xlfn.XLOOKUP(B431,Table2[Main Member Link ID],Table2[Benefit Name],0)),"")
))))))</f>
        <v/>
      </c>
      <c r="AG431" s="327" t="str">
        <f>IF(AND(Table2[[#This Row],[Member Type]]="Main Member",Table2[[#This Row],[Product Option]]="My Value Plus Life &amp; Funeral"),Lookups!$D$16,
IF(AND(Table2[[#This Row],[Member Type]]="Spouse",Table2[[#This Row],[Product Option]]="My Value Plus Life &amp; Funeral",_xlfn.XLOOKUP(B431,Table2[Main Member Link ID],Table2[Benefit Name],0)=Lookups!$D$14),"",
IF(AND(Table2[[#This Row],[Member Type]]="Spouse",Table2[[#This Row],[Product Option]]="My Value Plus Life &amp; Funeral",_xlfn.XLOOKUP(B430,Table2[Main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Funeral",_xlfn.XLOOKUP(B431,Table2[Main Member Link ID],Table2[Benefit Name],0)&lt;&gt;Lookups!$D$16),
IF(_xlfn.XLOOKUP(B431,Table2[Main Member Link ID],Table2[Benefit Name],0)=0,"",_xlfn.XLOOKUP(B431,Table2[Main Member Link ID],Table2[Benefit Name],0)),"")
))))</f>
        <v/>
      </c>
      <c r="AH431" s="327" t="str">
        <f>IF(AND(Table2[[#This Row],[Member Type]]="Main Member",Table2[[#This Row],[Product Option]]="My Value Plus Life &amp; Funeral"),Lookups!$D$17,
IF(AND(Table2[[#This Row],[Member Type]]="Spouse",Table2[[#This Row],[Product Option]]="My Value Plus Life &amp; Funeral",_xlfn.XLOOKUP(B431,Table2[Main Member Link ID],Table2[Benefit Name],0)=Lookups!$D$14),"",
IF(AND(Table2[[#This Row],[Member Type]]="Spouse",Table2[[#This Row],[Product Option]]="My Value Plus Life &amp; Funeral",_xlfn.XLOOKUP(B430,Table2[Main Member Link ID],Table2[Benefit Name],0)=Lookups!$D$16),"",
IF(AND(Table2[[#This Row],[Member Type]]="Child",Table2[[#This Row],[Product Option]]="My Value Plus Life &amp; Funeral"),"",
IF(AND(Table2[[#This Row],[Member Type]]="Child",Table2[[#This Row],[Product Option]]="My Value Plus Life &amp; Funeral",_xlfn.XLOOKUP(B431,Table2[Main Member Link ID],Table2[Benefit Name],0)=Lookups!$D$15),"",
IF(AND(OR(Table2[[#This Row],[Member Type]]="Spouse",Table2[[#This Row],[Member Type]]="Child"),Table2[[#This Row],[Product Option]]="My Value Plus Life &amp; Funeral",_xlfn.XLOOKUP(B431,Table2[Main Member Link ID],Table2[Benefit Name],0)&lt;&gt;Lookups!$D$17),
IF(_xlfn.XLOOKUP(B431,Table2[Main Member Link ID],Table2[Benefit Name],0)=0,"",_xlfn.XLOOKUP(B431,Table2[Main Member Link ID],Table2[Benefit Name],0)),""))))))</f>
        <v/>
      </c>
      <c r="AI431" s="328" t="str">
        <f>IF(AND(Table2[[#This Row],[Member Type]]="Main Member",Table2[[#This Row],[Table Lookup for Life Cover]]="MM_LIFE",Table2[[#This Row],[Age Next Birthday]]&lt;56),1,
IF(AND(Table2[[#This Row],[Member Type]]="Main Member",Table2[[#This Row],[Table Lookup for Life Cover]]="MM_LIFE",Table2[[#This Row],[Age Next Birthday]]&gt;=56),2,
""))</f>
        <v/>
      </c>
      <c r="AJ431" s="328">
        <f>IF(OR(Table2[[#This Row],[Member Type]]="Main Member",Table2[[#This Row],[Main Member Link ID]]=B430),1,0)</f>
        <v>1</v>
      </c>
      <c r="AK431" s="328">
        <f>IF(Table2[[#This Row],[Member Type]]=0,0,
IF(OR(Table2[[#This Row],[Member Type]]="Main Member",Table2[[#This Row],[Main Member Link ID]]&lt;&gt;B431),COUNTIFS(B:B,Table2[[#This Row],[Main Member Link ID]]),
COUNTIFS(B:B,Table2[[#This Row],[Main Member Link ID]],A:A,Table2[[#This Row],[Member Type]])))</f>
        <v>0</v>
      </c>
    </row>
    <row r="432" spans="1:37" x14ac:dyDescent="0.3">
      <c r="A432" s="284">
        <f>Table13[[#This Row],[Member Type]]</f>
        <v>0</v>
      </c>
      <c r="B432" s="284">
        <f>Table13[[#This Row],[Main Member Link ID]]</f>
        <v>0</v>
      </c>
      <c r="C432" s="284">
        <f>Table13[[#This Row],[ID Number]]</f>
        <v>0</v>
      </c>
      <c r="D432" s="285">
        <f>Table13[[#This Row],[Date Of Birth]]</f>
        <v>0</v>
      </c>
      <c r="E432" s="285">
        <f>Table13[[#This Row],[Commencement Date]]</f>
        <v>0</v>
      </c>
      <c r="F432" s="284">
        <f t="shared" si="42"/>
        <v>1</v>
      </c>
      <c r="G432" s="284">
        <f t="shared" si="43"/>
        <v>25</v>
      </c>
      <c r="H432" s="286">
        <f>Table13[[#This Row],[Product Option]]</f>
        <v>0</v>
      </c>
      <c r="I432" s="284">
        <f>IF(AND($A432="Main Member",Table2[[#This Row],[Product Option]]="My Value Plus Life"),"MM_LIFE",
IF(AND($A432="Spouse",Table2[[#This Row],[Product Option]]="My Value Plus Life"),"SP_LIFE",
IF(AND($A432="Main Member",Table2[[#This Row],[Product Option]]="My Value Plus Life &amp; Funeral"),"MM_LIFE",
IF(AND($A432="Spouse",Table2[[#This Row],[Product Option]]="My Value Plus Life &amp; Funeral"),_xlfn.XLOOKUP(Table2[[#This Row],[Benefit Name]],Lookups!$D$18:$D$23,Lookups!$E$18:$E$23,0),
0))))</f>
        <v>0</v>
      </c>
      <c r="J432" s="284">
        <f>IF($I432="","",
IF($I432="MM_LIFE",INDEX('Quotation Tool'!$S$54:$V$60,MATCH($T432,'Quotation Tool'!$S$54:$S$60,0),4),
IF($I432="SP_LIFE",_xlfn.XLOOKUP(B431,$B:$B,$J:$J,0),0)))</f>
        <v>0</v>
      </c>
      <c r="K432" s="287">
        <f t="shared" ca="1" si="47"/>
        <v>0</v>
      </c>
      <c r="L432" s="288">
        <f t="shared" ca="1" si="48"/>
        <v>0</v>
      </c>
      <c r="M432" s="289">
        <f t="shared" ca="1" si="44"/>
        <v>0</v>
      </c>
      <c r="N432" s="286">
        <f>Table13[[#This Row],[Benefit Option]]</f>
        <v>0</v>
      </c>
      <c r="O432" s="284">
        <f>IF(OR(Table2[[#This Row],[Member Type]]="Spouse",Table2[[#This Row],[Member Type]]="Child"),0,
IF(_xlfn.XLOOKUP($N432,Lookups!$D$13:$D$27,Lookups!$F$13:$F$27,0)=Table2[[#This Row],[Table Lookup for Life Cover]],0,
_xlfn.XLOOKUP($N432,Lookups!$D$13:$D$27,Lookups!$F$13:$F$27,0)))</f>
        <v>0</v>
      </c>
      <c r="P432" s="284">
        <f>IF(Table2[[#This Row],[Table Lookup for Funeral]]=0,0,IFERROR(INDEX('Quotation Tool'!$S$54:$V$60,MATCH($T432,'Quotation Tool'!$S$54:$S$60,0),3),0))</f>
        <v>0</v>
      </c>
      <c r="Q432" s="288">
        <f ca="1">IF(OR(Table2[[#This Row],[Benefit Name]]="My Value Plus Life - Main Member",Table2[[#This Row],[Benefit Name]]="My Value Plus Life - Spouse"),0,
IFERROR(VLOOKUP($G432,INDIRECT($O432),$P432,FALSE),0))</f>
        <v>0</v>
      </c>
      <c r="R432" s="288">
        <f ca="1">IF(OR(Table2[[#This Row],[Benefit Name]]="My Value Plus Life - Main Member",Table2[[#This Row],[Benefit Name]]="My Value Plus Life - Spouse"),0,
IFERROR(VLOOKUP($G432,INDIRECT($O432),$P432+1,FALSE),0))</f>
        <v>0</v>
      </c>
      <c r="S432" s="289">
        <f t="shared" ca="1" si="45"/>
        <v>0</v>
      </c>
      <c r="T432" s="284" t="str">
        <f>IF(Table13[[#This Row],[Premium Waiver]]="","None",Table13[[#This Row],[Premium Waiver]])</f>
        <v>None</v>
      </c>
      <c r="U432" s="284">
        <f>Table13[[#This Row],[VAPs Options]]</f>
        <v>0</v>
      </c>
      <c r="V432" s="284">
        <f>Table13[[#This Row],[Annual Increase Option]]</f>
        <v>0</v>
      </c>
      <c r="W432" s="290">
        <f>Table13[[#This Row],[Life Cover Amount]]</f>
        <v>0</v>
      </c>
      <c r="X432" s="290">
        <f>Table13[[#This Row],[Funeral Cover Amount]]</f>
        <v>0</v>
      </c>
      <c r="Y43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3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32" s="301">
        <f t="shared" ca="1" si="46"/>
        <v>0</v>
      </c>
      <c r="AB432" s="298"/>
      <c r="AC432" s="326" t="str">
        <f>IF(Table2[[#This Row],[Member Type]]="Main Member",Lookups!$C$13,
IF(Table2[[#This Row],[Member Type]]="Spouse",_xlfn.XLOOKUP(B432,Table2[Main Member Link ID],Table2[Product Option],0),
IF(AND(Table2[[#This Row],[Member Type]]="Child",_xlfn.XLOOKUP(B432,Table2[Main Member Link ID],Table2[Product Option],0)&lt;&gt;"My Value Plus Life"),Lookups!$C$24,
IF(AND(OR(Table2[[#This Row],[Member Type]]="Parent",Table2[[#This Row],[Member Type]]="Extended"),_xlfn.XLOOKUP(B432,Table2[Main Member Link ID],Table2[Product Option],0)&lt;&gt;"My Value Plus Life"),Lookups!$C$26,""))))</f>
        <v/>
      </c>
      <c r="AD432" s="326" t="str">
        <f>IF(Table2[[#This Row],[Member Type]]="Main Member",Lookups!$C$14,"")</f>
        <v/>
      </c>
      <c r="AE43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Funeral",_xlfn.XLOOKUP(B432,Table2[Main Member Link ID],Table2[Benefit Name],0)=Lookups!$D$14),"",
IF(AND(Table2[[#This Row],[Member Type]]="Spouse",Table2[[#This Row],[Product Option]]="My Value Plus Life &amp; Funeral",_xlfn.XLOOKUP(B431,Table2[Main Member Link ID],Table2[Benefit Name],0)=Lookups!$D$15),Lookups!$D$20,
IF(AND(Table2[[#This Row],[Member Type]]="Spouse",Table2[[#This Row],[Product Option]]="My Value Plus Life &amp; Funeral",_xlfn.XLOOKUP(B431,Table2[Main Member Link ID],Table2[Benefit Name],0)=Lookups!$D$16),"",
IF(AND(Table2[[#This Row],[Member Type]]="Spouse",Table2[[#This Row],[Product Option]]="My Value Plus Life &amp; Funeral",_xlfn.XLOOKUP(B431,Table2[Main Member Link ID],Table2[Benefit Name],0)=Lookups!$D$17),Lookups!$D$21,
IF(AND(Table2[[#This Row],[Member Type]]="Child",Table2[[#This Row],[Product Option]]="My Value Plus Life &amp; Funeral",_xlfn.XLOOKUP(B432,Table2[Main Member Link ID],Table2[Benefit Name],0)=Lookups!$D$14),"",
IF(AND(Table2[[#This Row],[Member Type]]="Child",Table2[[#This Row],[Product Option]]="My Value Plus Life &amp; Funeral",_xlfn.XLOOKUP(B432,Table2[Main Member Link ID],Table2[Benefit Name],0)=Lookups!$D$15),"",
IF(AND(Table2[[#This Row],[Member Type]]="Child",Table2[[#This Row],[Product Option]]="My Value Plus Life &amp; Funeral",_xlfn.XLOOKUP(B432,Table2[Main Member Link ID],Table2[Benefit Name],0)=Lookups!$D$16),Lookups!$D$24,
IF(AND(Table2[[#This Row],[Member Type]]="Child",Table2[[#This Row],[Product Option]]="My Value Plus Life &amp; Funeral",_xlfn.XLOOKUP(B432,Table2[Main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Funeral",_xlfn.XLOOKUP(B432,Table2[Main Member Link ID],Table2[Benefit Name],0)&lt;&gt;Lookups!$D$14),
IF(_xlfn.XLOOKUP(B432,Table2[Main Member Link ID],Table2[Benefit Name],0)=0,"",_xlfn.XLOOKUP(B432,Table2[Main Member Link ID],Table2[Benefit Name],0)),"")))))))))))))))</f>
        <v/>
      </c>
      <c r="AF432" s="327" t="str">
        <f>IF(AND(Table2[[#This Row],[Member Type]]="Main Member",Table2[[#This Row],[Product Option]]="My Value Plus Life &amp; Funeral"),Lookups!$D$15,
IF(AND(Table2[[#This Row],[Member Type]]="Spouse",Table2[[#This Row],[Product Option]]="My Value Plus Life &amp; Funeral",_xlfn.XLOOKUP(B432,Table2[Main Member Link ID],Table2[Benefit Name],0)=Lookups!$D$14),"",
IF(AND(Table2[[#This Row],[Member Type]]="Spouse",Table2[[#This Row],[Product Option]]="My Value Plus Life &amp; Funeral",_xlfn.XLOOKUP(B431,Table2[Main Member Link ID],Table2[Benefit Name],0)=Lookups!$D$16),"",
IF(AND(Table2[[#This Row],[Member Type]]="Spouse",Table2[[#This Row],[Product Option]]="My Value Plus Life &amp; Funeral",_xlfn.XLOOKUP(B431,Table2[Main Member Link ID],Table2[Benefit Name],0)=Lookups!$D$15),"",
IF(AND(Table2[[#This Row],[Member Type]]="Spouse",Table2[[#This Row],[Product Option]]="My Value Plus Life &amp; Funeral",_xlfn.XLOOKUP(B431,Table2[Main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Funeral",_xlfn.XLOOKUP(B432,Table2[Main Member Link ID],Table2[Benefit Name],0)&lt;&gt;Lookups!$D$15),
IF(_xlfn.XLOOKUP(B432,Table2[Main Member Link ID],Table2[Benefit Name],0)=0,"",_xlfn.XLOOKUP(B432,Table2[Main Member Link ID],Table2[Benefit Name],0)),"")
))))))</f>
        <v/>
      </c>
      <c r="AG432" s="327" t="str">
        <f>IF(AND(Table2[[#This Row],[Member Type]]="Main Member",Table2[[#This Row],[Product Option]]="My Value Plus Life &amp; Funeral"),Lookups!$D$16,
IF(AND(Table2[[#This Row],[Member Type]]="Spouse",Table2[[#This Row],[Product Option]]="My Value Plus Life &amp; Funeral",_xlfn.XLOOKUP(B432,Table2[Main Member Link ID],Table2[Benefit Name],0)=Lookups!$D$14),"",
IF(AND(Table2[[#This Row],[Member Type]]="Spouse",Table2[[#This Row],[Product Option]]="My Value Plus Life &amp; Funeral",_xlfn.XLOOKUP(B431,Table2[Main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Funeral",_xlfn.XLOOKUP(B432,Table2[Main Member Link ID],Table2[Benefit Name],0)&lt;&gt;Lookups!$D$16),
IF(_xlfn.XLOOKUP(B432,Table2[Main Member Link ID],Table2[Benefit Name],0)=0,"",_xlfn.XLOOKUP(B432,Table2[Main Member Link ID],Table2[Benefit Name],0)),"")
))))</f>
        <v/>
      </c>
      <c r="AH432" s="327" t="str">
        <f>IF(AND(Table2[[#This Row],[Member Type]]="Main Member",Table2[[#This Row],[Product Option]]="My Value Plus Life &amp; Funeral"),Lookups!$D$17,
IF(AND(Table2[[#This Row],[Member Type]]="Spouse",Table2[[#This Row],[Product Option]]="My Value Plus Life &amp; Funeral",_xlfn.XLOOKUP(B432,Table2[Main Member Link ID],Table2[Benefit Name],0)=Lookups!$D$14),"",
IF(AND(Table2[[#This Row],[Member Type]]="Spouse",Table2[[#This Row],[Product Option]]="My Value Plus Life &amp; Funeral",_xlfn.XLOOKUP(B431,Table2[Main Member Link ID],Table2[Benefit Name],0)=Lookups!$D$16),"",
IF(AND(Table2[[#This Row],[Member Type]]="Child",Table2[[#This Row],[Product Option]]="My Value Plus Life &amp; Funeral"),"",
IF(AND(Table2[[#This Row],[Member Type]]="Child",Table2[[#This Row],[Product Option]]="My Value Plus Life &amp; Funeral",_xlfn.XLOOKUP(B432,Table2[Main Member Link ID],Table2[Benefit Name],0)=Lookups!$D$15),"",
IF(AND(OR(Table2[[#This Row],[Member Type]]="Spouse",Table2[[#This Row],[Member Type]]="Child"),Table2[[#This Row],[Product Option]]="My Value Plus Life &amp; Funeral",_xlfn.XLOOKUP(B432,Table2[Main Member Link ID],Table2[Benefit Name],0)&lt;&gt;Lookups!$D$17),
IF(_xlfn.XLOOKUP(B432,Table2[Main Member Link ID],Table2[Benefit Name],0)=0,"",_xlfn.XLOOKUP(B432,Table2[Main Member Link ID],Table2[Benefit Name],0)),""))))))</f>
        <v/>
      </c>
      <c r="AI432" s="328" t="str">
        <f>IF(AND(Table2[[#This Row],[Member Type]]="Main Member",Table2[[#This Row],[Table Lookup for Life Cover]]="MM_LIFE",Table2[[#This Row],[Age Next Birthday]]&lt;56),1,
IF(AND(Table2[[#This Row],[Member Type]]="Main Member",Table2[[#This Row],[Table Lookup for Life Cover]]="MM_LIFE",Table2[[#This Row],[Age Next Birthday]]&gt;=56),2,
""))</f>
        <v/>
      </c>
      <c r="AJ432" s="328">
        <f>IF(OR(Table2[[#This Row],[Member Type]]="Main Member",Table2[[#This Row],[Main Member Link ID]]=B431),1,0)</f>
        <v>1</v>
      </c>
      <c r="AK432" s="328">
        <f>IF(Table2[[#This Row],[Member Type]]=0,0,
IF(OR(Table2[[#This Row],[Member Type]]="Main Member",Table2[[#This Row],[Main Member Link ID]]&lt;&gt;B432),COUNTIFS(B:B,Table2[[#This Row],[Main Member Link ID]]),
COUNTIFS(B:B,Table2[[#This Row],[Main Member Link ID]],A:A,Table2[[#This Row],[Member Type]])))</f>
        <v>0</v>
      </c>
    </row>
    <row r="433" spans="1:37" x14ac:dyDescent="0.3">
      <c r="A433" s="284">
        <f>Table13[[#This Row],[Member Type]]</f>
        <v>0</v>
      </c>
      <c r="B433" s="284">
        <f>Table13[[#This Row],[Main Member Link ID]]</f>
        <v>0</v>
      </c>
      <c r="C433" s="284">
        <f>Table13[[#This Row],[ID Number]]</f>
        <v>0</v>
      </c>
      <c r="D433" s="285">
        <f>Table13[[#This Row],[Date Of Birth]]</f>
        <v>0</v>
      </c>
      <c r="E433" s="285">
        <f>Table13[[#This Row],[Commencement Date]]</f>
        <v>0</v>
      </c>
      <c r="F433" s="284">
        <f t="shared" si="42"/>
        <v>1</v>
      </c>
      <c r="G433" s="284">
        <f t="shared" si="43"/>
        <v>25</v>
      </c>
      <c r="H433" s="286">
        <f>Table13[[#This Row],[Product Option]]</f>
        <v>0</v>
      </c>
      <c r="I433" s="284">
        <f>IF(AND($A433="Main Member",Table2[[#This Row],[Product Option]]="My Value Plus Life"),"MM_LIFE",
IF(AND($A433="Spouse",Table2[[#This Row],[Product Option]]="My Value Plus Life"),"SP_LIFE",
IF(AND($A433="Main Member",Table2[[#This Row],[Product Option]]="My Value Plus Life &amp; Funeral"),"MM_LIFE",
IF(AND($A433="Spouse",Table2[[#This Row],[Product Option]]="My Value Plus Life &amp; Funeral"),_xlfn.XLOOKUP(Table2[[#This Row],[Benefit Name]],Lookups!$D$18:$D$23,Lookups!$E$18:$E$23,0),
0))))</f>
        <v>0</v>
      </c>
      <c r="J433" s="284">
        <f>IF($I433="","",
IF($I433="MM_LIFE",INDEX('Quotation Tool'!$S$54:$V$60,MATCH($T433,'Quotation Tool'!$S$54:$S$60,0),4),
IF($I433="SP_LIFE",_xlfn.XLOOKUP(B432,$B:$B,$J:$J,0),0)))</f>
        <v>0</v>
      </c>
      <c r="K433" s="287">
        <f t="shared" ca="1" si="47"/>
        <v>0</v>
      </c>
      <c r="L433" s="288">
        <f t="shared" ca="1" si="48"/>
        <v>0</v>
      </c>
      <c r="M433" s="289">
        <f t="shared" ca="1" si="44"/>
        <v>0</v>
      </c>
      <c r="N433" s="286">
        <f>Table13[[#This Row],[Benefit Option]]</f>
        <v>0</v>
      </c>
      <c r="O433" s="284">
        <f>IF(OR(Table2[[#This Row],[Member Type]]="Spouse",Table2[[#This Row],[Member Type]]="Child"),0,
IF(_xlfn.XLOOKUP($N433,Lookups!$D$13:$D$27,Lookups!$F$13:$F$27,0)=Table2[[#This Row],[Table Lookup for Life Cover]],0,
_xlfn.XLOOKUP($N433,Lookups!$D$13:$D$27,Lookups!$F$13:$F$27,0)))</f>
        <v>0</v>
      </c>
      <c r="P433" s="284">
        <f>IF(Table2[[#This Row],[Table Lookup for Funeral]]=0,0,IFERROR(INDEX('Quotation Tool'!$S$54:$V$60,MATCH($T433,'Quotation Tool'!$S$54:$S$60,0),3),0))</f>
        <v>0</v>
      </c>
      <c r="Q433" s="288">
        <f ca="1">IF(OR(Table2[[#This Row],[Benefit Name]]="My Value Plus Life - Main Member",Table2[[#This Row],[Benefit Name]]="My Value Plus Life - Spouse"),0,
IFERROR(VLOOKUP($G433,INDIRECT($O433),$P433,FALSE),0))</f>
        <v>0</v>
      </c>
      <c r="R433" s="288">
        <f ca="1">IF(OR(Table2[[#This Row],[Benefit Name]]="My Value Plus Life - Main Member",Table2[[#This Row],[Benefit Name]]="My Value Plus Life - Spouse"),0,
IFERROR(VLOOKUP($G433,INDIRECT($O433),$P433+1,FALSE),0))</f>
        <v>0</v>
      </c>
      <c r="S433" s="289">
        <f t="shared" ca="1" si="45"/>
        <v>0</v>
      </c>
      <c r="T433" s="284" t="str">
        <f>IF(Table13[[#This Row],[Premium Waiver]]="","None",Table13[[#This Row],[Premium Waiver]])</f>
        <v>None</v>
      </c>
      <c r="U433" s="284">
        <f>Table13[[#This Row],[VAPs Options]]</f>
        <v>0</v>
      </c>
      <c r="V433" s="284">
        <f>Table13[[#This Row],[Annual Increase Option]]</f>
        <v>0</v>
      </c>
      <c r="W433" s="290">
        <f>Table13[[#This Row],[Life Cover Amount]]</f>
        <v>0</v>
      </c>
      <c r="X433" s="290">
        <f>Table13[[#This Row],[Funeral Cover Amount]]</f>
        <v>0</v>
      </c>
      <c r="Y43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3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33" s="301">
        <f t="shared" ca="1" si="46"/>
        <v>0</v>
      </c>
      <c r="AB433" s="298"/>
      <c r="AC433" s="326" t="str">
        <f>IF(Table2[[#This Row],[Member Type]]="Main Member",Lookups!$C$13,
IF(Table2[[#This Row],[Member Type]]="Spouse",_xlfn.XLOOKUP(B433,Table2[Main Member Link ID],Table2[Product Option],0),
IF(AND(Table2[[#This Row],[Member Type]]="Child",_xlfn.XLOOKUP(B433,Table2[Main Member Link ID],Table2[Product Option],0)&lt;&gt;"My Value Plus Life"),Lookups!$C$24,
IF(AND(OR(Table2[[#This Row],[Member Type]]="Parent",Table2[[#This Row],[Member Type]]="Extended"),_xlfn.XLOOKUP(B433,Table2[Main Member Link ID],Table2[Product Option],0)&lt;&gt;"My Value Plus Life"),Lookups!$C$26,""))))</f>
        <v/>
      </c>
      <c r="AD433" s="326" t="str">
        <f>IF(Table2[[#This Row],[Member Type]]="Main Member",Lookups!$C$14,"")</f>
        <v/>
      </c>
      <c r="AE43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Funeral",_xlfn.XLOOKUP(B433,Table2[Main Member Link ID],Table2[Benefit Name],0)=Lookups!$D$14),"",
IF(AND(Table2[[#This Row],[Member Type]]="Spouse",Table2[[#This Row],[Product Option]]="My Value Plus Life &amp; Funeral",_xlfn.XLOOKUP(B432,Table2[Main Member Link ID],Table2[Benefit Name],0)=Lookups!$D$15),Lookups!$D$20,
IF(AND(Table2[[#This Row],[Member Type]]="Spouse",Table2[[#This Row],[Product Option]]="My Value Plus Life &amp; Funeral",_xlfn.XLOOKUP(B432,Table2[Main Member Link ID],Table2[Benefit Name],0)=Lookups!$D$16),"",
IF(AND(Table2[[#This Row],[Member Type]]="Spouse",Table2[[#This Row],[Product Option]]="My Value Plus Life &amp; Funeral",_xlfn.XLOOKUP(B432,Table2[Main Member Link ID],Table2[Benefit Name],0)=Lookups!$D$17),Lookups!$D$21,
IF(AND(Table2[[#This Row],[Member Type]]="Child",Table2[[#This Row],[Product Option]]="My Value Plus Life &amp; Funeral",_xlfn.XLOOKUP(B433,Table2[Main Member Link ID],Table2[Benefit Name],0)=Lookups!$D$14),"",
IF(AND(Table2[[#This Row],[Member Type]]="Child",Table2[[#This Row],[Product Option]]="My Value Plus Life &amp; Funeral",_xlfn.XLOOKUP(B433,Table2[Main Member Link ID],Table2[Benefit Name],0)=Lookups!$D$15),"",
IF(AND(Table2[[#This Row],[Member Type]]="Child",Table2[[#This Row],[Product Option]]="My Value Plus Life &amp; Funeral",_xlfn.XLOOKUP(B433,Table2[Main Member Link ID],Table2[Benefit Name],0)=Lookups!$D$16),Lookups!$D$24,
IF(AND(Table2[[#This Row],[Member Type]]="Child",Table2[[#This Row],[Product Option]]="My Value Plus Life &amp; Funeral",_xlfn.XLOOKUP(B433,Table2[Main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Funeral",_xlfn.XLOOKUP(B433,Table2[Main Member Link ID],Table2[Benefit Name],0)&lt;&gt;Lookups!$D$14),
IF(_xlfn.XLOOKUP(B433,Table2[Main Member Link ID],Table2[Benefit Name],0)=0,"",_xlfn.XLOOKUP(B433,Table2[Main Member Link ID],Table2[Benefit Name],0)),"")))))))))))))))</f>
        <v/>
      </c>
      <c r="AF433" s="327" t="str">
        <f>IF(AND(Table2[[#This Row],[Member Type]]="Main Member",Table2[[#This Row],[Product Option]]="My Value Plus Life &amp; Funeral"),Lookups!$D$15,
IF(AND(Table2[[#This Row],[Member Type]]="Spouse",Table2[[#This Row],[Product Option]]="My Value Plus Life &amp; Funeral",_xlfn.XLOOKUP(B433,Table2[Main Member Link ID],Table2[Benefit Name],0)=Lookups!$D$14),"",
IF(AND(Table2[[#This Row],[Member Type]]="Spouse",Table2[[#This Row],[Product Option]]="My Value Plus Life &amp; Funeral",_xlfn.XLOOKUP(B432,Table2[Main Member Link ID],Table2[Benefit Name],0)=Lookups!$D$16),"",
IF(AND(Table2[[#This Row],[Member Type]]="Spouse",Table2[[#This Row],[Product Option]]="My Value Plus Life &amp; Funeral",_xlfn.XLOOKUP(B432,Table2[Main Member Link ID],Table2[Benefit Name],0)=Lookups!$D$15),"",
IF(AND(Table2[[#This Row],[Member Type]]="Spouse",Table2[[#This Row],[Product Option]]="My Value Plus Life &amp; Funeral",_xlfn.XLOOKUP(B432,Table2[Main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Funeral",_xlfn.XLOOKUP(B433,Table2[Main Member Link ID],Table2[Benefit Name],0)&lt;&gt;Lookups!$D$15),
IF(_xlfn.XLOOKUP(B433,Table2[Main Member Link ID],Table2[Benefit Name],0)=0,"",_xlfn.XLOOKUP(B433,Table2[Main Member Link ID],Table2[Benefit Name],0)),"")
))))))</f>
        <v/>
      </c>
      <c r="AG433" s="327" t="str">
        <f>IF(AND(Table2[[#This Row],[Member Type]]="Main Member",Table2[[#This Row],[Product Option]]="My Value Plus Life &amp; Funeral"),Lookups!$D$16,
IF(AND(Table2[[#This Row],[Member Type]]="Spouse",Table2[[#This Row],[Product Option]]="My Value Plus Life &amp; Funeral",_xlfn.XLOOKUP(B433,Table2[Main Member Link ID],Table2[Benefit Name],0)=Lookups!$D$14),"",
IF(AND(Table2[[#This Row],[Member Type]]="Spouse",Table2[[#This Row],[Product Option]]="My Value Plus Life &amp; Funeral",_xlfn.XLOOKUP(B432,Table2[Main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Funeral",_xlfn.XLOOKUP(B433,Table2[Main Member Link ID],Table2[Benefit Name],0)&lt;&gt;Lookups!$D$16),
IF(_xlfn.XLOOKUP(B433,Table2[Main Member Link ID],Table2[Benefit Name],0)=0,"",_xlfn.XLOOKUP(B433,Table2[Main Member Link ID],Table2[Benefit Name],0)),"")
))))</f>
        <v/>
      </c>
      <c r="AH433" s="327" t="str">
        <f>IF(AND(Table2[[#This Row],[Member Type]]="Main Member",Table2[[#This Row],[Product Option]]="My Value Plus Life &amp; Funeral"),Lookups!$D$17,
IF(AND(Table2[[#This Row],[Member Type]]="Spouse",Table2[[#This Row],[Product Option]]="My Value Plus Life &amp; Funeral",_xlfn.XLOOKUP(B433,Table2[Main Member Link ID],Table2[Benefit Name],0)=Lookups!$D$14),"",
IF(AND(Table2[[#This Row],[Member Type]]="Spouse",Table2[[#This Row],[Product Option]]="My Value Plus Life &amp; Funeral",_xlfn.XLOOKUP(B432,Table2[Main Member Link ID],Table2[Benefit Name],0)=Lookups!$D$16),"",
IF(AND(Table2[[#This Row],[Member Type]]="Child",Table2[[#This Row],[Product Option]]="My Value Plus Life &amp; Funeral"),"",
IF(AND(Table2[[#This Row],[Member Type]]="Child",Table2[[#This Row],[Product Option]]="My Value Plus Life &amp; Funeral",_xlfn.XLOOKUP(B433,Table2[Main Member Link ID],Table2[Benefit Name],0)=Lookups!$D$15),"",
IF(AND(OR(Table2[[#This Row],[Member Type]]="Spouse",Table2[[#This Row],[Member Type]]="Child"),Table2[[#This Row],[Product Option]]="My Value Plus Life &amp; Funeral",_xlfn.XLOOKUP(B433,Table2[Main Member Link ID],Table2[Benefit Name],0)&lt;&gt;Lookups!$D$17),
IF(_xlfn.XLOOKUP(B433,Table2[Main Member Link ID],Table2[Benefit Name],0)=0,"",_xlfn.XLOOKUP(B433,Table2[Main Member Link ID],Table2[Benefit Name],0)),""))))))</f>
        <v/>
      </c>
      <c r="AI433" s="328" t="str">
        <f>IF(AND(Table2[[#This Row],[Member Type]]="Main Member",Table2[[#This Row],[Table Lookup for Life Cover]]="MM_LIFE",Table2[[#This Row],[Age Next Birthday]]&lt;56),1,
IF(AND(Table2[[#This Row],[Member Type]]="Main Member",Table2[[#This Row],[Table Lookup for Life Cover]]="MM_LIFE",Table2[[#This Row],[Age Next Birthday]]&gt;=56),2,
""))</f>
        <v/>
      </c>
      <c r="AJ433" s="328">
        <f>IF(OR(Table2[[#This Row],[Member Type]]="Main Member",Table2[[#This Row],[Main Member Link ID]]=B432),1,0)</f>
        <v>1</v>
      </c>
      <c r="AK433" s="328">
        <f>IF(Table2[[#This Row],[Member Type]]=0,0,
IF(OR(Table2[[#This Row],[Member Type]]="Main Member",Table2[[#This Row],[Main Member Link ID]]&lt;&gt;B433),COUNTIFS(B:B,Table2[[#This Row],[Main Member Link ID]]),
COUNTIFS(B:B,Table2[[#This Row],[Main Member Link ID]],A:A,Table2[[#This Row],[Member Type]])))</f>
        <v>0</v>
      </c>
    </row>
    <row r="434" spans="1:37" x14ac:dyDescent="0.3">
      <c r="A434" s="284">
        <f>Table13[[#This Row],[Member Type]]</f>
        <v>0</v>
      </c>
      <c r="B434" s="284">
        <f>Table13[[#This Row],[Main Member Link ID]]</f>
        <v>0</v>
      </c>
      <c r="C434" s="284">
        <f>Table13[[#This Row],[ID Number]]</f>
        <v>0</v>
      </c>
      <c r="D434" s="285">
        <f>Table13[[#This Row],[Date Of Birth]]</f>
        <v>0</v>
      </c>
      <c r="E434" s="285">
        <f>Table13[[#This Row],[Commencement Date]]</f>
        <v>0</v>
      </c>
      <c r="F434" s="284">
        <f t="shared" si="42"/>
        <v>1</v>
      </c>
      <c r="G434" s="284">
        <f t="shared" si="43"/>
        <v>25</v>
      </c>
      <c r="H434" s="286">
        <f>Table13[[#This Row],[Product Option]]</f>
        <v>0</v>
      </c>
      <c r="I434" s="284">
        <f>IF(AND($A434="Main Member",Table2[[#This Row],[Product Option]]="My Value Plus Life"),"MM_LIFE",
IF(AND($A434="Spouse",Table2[[#This Row],[Product Option]]="My Value Plus Life"),"SP_LIFE",
IF(AND($A434="Main Member",Table2[[#This Row],[Product Option]]="My Value Plus Life &amp; Funeral"),"MM_LIFE",
IF(AND($A434="Spouse",Table2[[#This Row],[Product Option]]="My Value Plus Life &amp; Funeral"),_xlfn.XLOOKUP(Table2[[#This Row],[Benefit Name]],Lookups!$D$18:$D$23,Lookups!$E$18:$E$23,0),
0))))</f>
        <v>0</v>
      </c>
      <c r="J434" s="284">
        <f>IF($I434="","",
IF($I434="MM_LIFE",INDEX('Quotation Tool'!$S$54:$V$60,MATCH($T434,'Quotation Tool'!$S$54:$S$60,0),4),
IF($I434="SP_LIFE",_xlfn.XLOOKUP(B433,$B:$B,$J:$J,0),0)))</f>
        <v>0</v>
      </c>
      <c r="K434" s="287">
        <f t="shared" ca="1" si="47"/>
        <v>0</v>
      </c>
      <c r="L434" s="288">
        <f t="shared" ca="1" si="48"/>
        <v>0</v>
      </c>
      <c r="M434" s="289">
        <f t="shared" ca="1" si="44"/>
        <v>0</v>
      </c>
      <c r="N434" s="286">
        <f>Table13[[#This Row],[Benefit Option]]</f>
        <v>0</v>
      </c>
      <c r="O434" s="284">
        <f>IF(OR(Table2[[#This Row],[Member Type]]="Spouse",Table2[[#This Row],[Member Type]]="Child"),0,
IF(_xlfn.XLOOKUP($N434,Lookups!$D$13:$D$27,Lookups!$F$13:$F$27,0)=Table2[[#This Row],[Table Lookup for Life Cover]],0,
_xlfn.XLOOKUP($N434,Lookups!$D$13:$D$27,Lookups!$F$13:$F$27,0)))</f>
        <v>0</v>
      </c>
      <c r="P434" s="284">
        <f>IF(Table2[[#This Row],[Table Lookup for Funeral]]=0,0,IFERROR(INDEX('Quotation Tool'!$S$54:$V$60,MATCH($T434,'Quotation Tool'!$S$54:$S$60,0),3),0))</f>
        <v>0</v>
      </c>
      <c r="Q434" s="288">
        <f ca="1">IF(OR(Table2[[#This Row],[Benefit Name]]="My Value Plus Life - Main Member",Table2[[#This Row],[Benefit Name]]="My Value Plus Life - Spouse"),0,
IFERROR(VLOOKUP($G434,INDIRECT($O434),$P434,FALSE),0))</f>
        <v>0</v>
      </c>
      <c r="R434" s="288">
        <f ca="1">IF(OR(Table2[[#This Row],[Benefit Name]]="My Value Plus Life - Main Member",Table2[[#This Row],[Benefit Name]]="My Value Plus Life - Spouse"),0,
IFERROR(VLOOKUP($G434,INDIRECT($O434),$P434+1,FALSE),0))</f>
        <v>0</v>
      </c>
      <c r="S434" s="289">
        <f t="shared" ca="1" si="45"/>
        <v>0</v>
      </c>
      <c r="T434" s="284" t="str">
        <f>IF(Table13[[#This Row],[Premium Waiver]]="","None",Table13[[#This Row],[Premium Waiver]])</f>
        <v>None</v>
      </c>
      <c r="U434" s="284">
        <f>Table13[[#This Row],[VAPs Options]]</f>
        <v>0</v>
      </c>
      <c r="V434" s="284">
        <f>Table13[[#This Row],[Annual Increase Option]]</f>
        <v>0</v>
      </c>
      <c r="W434" s="290">
        <f>Table13[[#This Row],[Life Cover Amount]]</f>
        <v>0</v>
      </c>
      <c r="X434" s="290">
        <f>Table13[[#This Row],[Funeral Cover Amount]]</f>
        <v>0</v>
      </c>
      <c r="Y43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3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34" s="301">
        <f t="shared" ca="1" si="46"/>
        <v>0</v>
      </c>
      <c r="AB434" s="298"/>
      <c r="AC434" s="326" t="str">
        <f>IF(Table2[[#This Row],[Member Type]]="Main Member",Lookups!$C$13,
IF(Table2[[#This Row],[Member Type]]="Spouse",_xlfn.XLOOKUP(B434,Table2[Main Member Link ID],Table2[Product Option],0),
IF(AND(Table2[[#This Row],[Member Type]]="Child",_xlfn.XLOOKUP(B434,Table2[Main Member Link ID],Table2[Product Option],0)&lt;&gt;"My Value Plus Life"),Lookups!$C$24,
IF(AND(OR(Table2[[#This Row],[Member Type]]="Parent",Table2[[#This Row],[Member Type]]="Extended"),_xlfn.XLOOKUP(B434,Table2[Main Member Link ID],Table2[Product Option],0)&lt;&gt;"My Value Plus Life"),Lookups!$C$26,""))))</f>
        <v/>
      </c>
      <c r="AD434" s="326" t="str">
        <f>IF(Table2[[#This Row],[Member Type]]="Main Member",Lookups!$C$14,"")</f>
        <v/>
      </c>
      <c r="AE43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Funeral",_xlfn.XLOOKUP(B434,Table2[Main Member Link ID],Table2[Benefit Name],0)=Lookups!$D$14),"",
IF(AND(Table2[[#This Row],[Member Type]]="Spouse",Table2[[#This Row],[Product Option]]="My Value Plus Life &amp; Funeral",_xlfn.XLOOKUP(B433,Table2[Main Member Link ID],Table2[Benefit Name],0)=Lookups!$D$15),Lookups!$D$20,
IF(AND(Table2[[#This Row],[Member Type]]="Spouse",Table2[[#This Row],[Product Option]]="My Value Plus Life &amp; Funeral",_xlfn.XLOOKUP(B433,Table2[Main Member Link ID],Table2[Benefit Name],0)=Lookups!$D$16),"",
IF(AND(Table2[[#This Row],[Member Type]]="Spouse",Table2[[#This Row],[Product Option]]="My Value Plus Life &amp; Funeral",_xlfn.XLOOKUP(B433,Table2[Main Member Link ID],Table2[Benefit Name],0)=Lookups!$D$17),Lookups!$D$21,
IF(AND(Table2[[#This Row],[Member Type]]="Child",Table2[[#This Row],[Product Option]]="My Value Plus Life &amp; Funeral",_xlfn.XLOOKUP(B434,Table2[Main Member Link ID],Table2[Benefit Name],0)=Lookups!$D$14),"",
IF(AND(Table2[[#This Row],[Member Type]]="Child",Table2[[#This Row],[Product Option]]="My Value Plus Life &amp; Funeral",_xlfn.XLOOKUP(B434,Table2[Main Member Link ID],Table2[Benefit Name],0)=Lookups!$D$15),"",
IF(AND(Table2[[#This Row],[Member Type]]="Child",Table2[[#This Row],[Product Option]]="My Value Plus Life &amp; Funeral",_xlfn.XLOOKUP(B434,Table2[Main Member Link ID],Table2[Benefit Name],0)=Lookups!$D$16),Lookups!$D$24,
IF(AND(Table2[[#This Row],[Member Type]]="Child",Table2[[#This Row],[Product Option]]="My Value Plus Life &amp; Funeral",_xlfn.XLOOKUP(B434,Table2[Main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Funeral",_xlfn.XLOOKUP(B434,Table2[Main Member Link ID],Table2[Benefit Name],0)&lt;&gt;Lookups!$D$14),
IF(_xlfn.XLOOKUP(B434,Table2[Main Member Link ID],Table2[Benefit Name],0)=0,"",_xlfn.XLOOKUP(B434,Table2[Main Member Link ID],Table2[Benefit Name],0)),"")))))))))))))))</f>
        <v/>
      </c>
      <c r="AF434" s="327" t="str">
        <f>IF(AND(Table2[[#This Row],[Member Type]]="Main Member",Table2[[#This Row],[Product Option]]="My Value Plus Life &amp; Funeral"),Lookups!$D$15,
IF(AND(Table2[[#This Row],[Member Type]]="Spouse",Table2[[#This Row],[Product Option]]="My Value Plus Life &amp; Funeral",_xlfn.XLOOKUP(B434,Table2[Main Member Link ID],Table2[Benefit Name],0)=Lookups!$D$14),"",
IF(AND(Table2[[#This Row],[Member Type]]="Spouse",Table2[[#This Row],[Product Option]]="My Value Plus Life &amp; Funeral",_xlfn.XLOOKUP(B433,Table2[Main Member Link ID],Table2[Benefit Name],0)=Lookups!$D$16),"",
IF(AND(Table2[[#This Row],[Member Type]]="Spouse",Table2[[#This Row],[Product Option]]="My Value Plus Life &amp; Funeral",_xlfn.XLOOKUP(B433,Table2[Main Member Link ID],Table2[Benefit Name],0)=Lookups!$D$15),"",
IF(AND(Table2[[#This Row],[Member Type]]="Spouse",Table2[[#This Row],[Product Option]]="My Value Plus Life &amp; Funeral",_xlfn.XLOOKUP(B433,Table2[Main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Funeral",_xlfn.XLOOKUP(B434,Table2[Main Member Link ID],Table2[Benefit Name],0)&lt;&gt;Lookups!$D$15),
IF(_xlfn.XLOOKUP(B434,Table2[Main Member Link ID],Table2[Benefit Name],0)=0,"",_xlfn.XLOOKUP(B434,Table2[Main Member Link ID],Table2[Benefit Name],0)),"")
))))))</f>
        <v/>
      </c>
      <c r="AG434" s="327" t="str">
        <f>IF(AND(Table2[[#This Row],[Member Type]]="Main Member",Table2[[#This Row],[Product Option]]="My Value Plus Life &amp; Funeral"),Lookups!$D$16,
IF(AND(Table2[[#This Row],[Member Type]]="Spouse",Table2[[#This Row],[Product Option]]="My Value Plus Life &amp; Funeral",_xlfn.XLOOKUP(B434,Table2[Main Member Link ID],Table2[Benefit Name],0)=Lookups!$D$14),"",
IF(AND(Table2[[#This Row],[Member Type]]="Spouse",Table2[[#This Row],[Product Option]]="My Value Plus Life &amp; Funeral",_xlfn.XLOOKUP(B433,Table2[Main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Funeral",_xlfn.XLOOKUP(B434,Table2[Main Member Link ID],Table2[Benefit Name],0)&lt;&gt;Lookups!$D$16),
IF(_xlfn.XLOOKUP(B434,Table2[Main Member Link ID],Table2[Benefit Name],0)=0,"",_xlfn.XLOOKUP(B434,Table2[Main Member Link ID],Table2[Benefit Name],0)),"")
))))</f>
        <v/>
      </c>
      <c r="AH434" s="327" t="str">
        <f>IF(AND(Table2[[#This Row],[Member Type]]="Main Member",Table2[[#This Row],[Product Option]]="My Value Plus Life &amp; Funeral"),Lookups!$D$17,
IF(AND(Table2[[#This Row],[Member Type]]="Spouse",Table2[[#This Row],[Product Option]]="My Value Plus Life &amp; Funeral",_xlfn.XLOOKUP(B434,Table2[Main Member Link ID],Table2[Benefit Name],0)=Lookups!$D$14),"",
IF(AND(Table2[[#This Row],[Member Type]]="Spouse",Table2[[#This Row],[Product Option]]="My Value Plus Life &amp; Funeral",_xlfn.XLOOKUP(B433,Table2[Main Member Link ID],Table2[Benefit Name],0)=Lookups!$D$16),"",
IF(AND(Table2[[#This Row],[Member Type]]="Child",Table2[[#This Row],[Product Option]]="My Value Plus Life &amp; Funeral"),"",
IF(AND(Table2[[#This Row],[Member Type]]="Child",Table2[[#This Row],[Product Option]]="My Value Plus Life &amp; Funeral",_xlfn.XLOOKUP(B434,Table2[Main Member Link ID],Table2[Benefit Name],0)=Lookups!$D$15),"",
IF(AND(OR(Table2[[#This Row],[Member Type]]="Spouse",Table2[[#This Row],[Member Type]]="Child"),Table2[[#This Row],[Product Option]]="My Value Plus Life &amp; Funeral",_xlfn.XLOOKUP(B434,Table2[Main Member Link ID],Table2[Benefit Name],0)&lt;&gt;Lookups!$D$17),
IF(_xlfn.XLOOKUP(B434,Table2[Main Member Link ID],Table2[Benefit Name],0)=0,"",_xlfn.XLOOKUP(B434,Table2[Main Member Link ID],Table2[Benefit Name],0)),""))))))</f>
        <v/>
      </c>
      <c r="AI434" s="328" t="str">
        <f>IF(AND(Table2[[#This Row],[Member Type]]="Main Member",Table2[[#This Row],[Table Lookup for Life Cover]]="MM_LIFE",Table2[[#This Row],[Age Next Birthday]]&lt;56),1,
IF(AND(Table2[[#This Row],[Member Type]]="Main Member",Table2[[#This Row],[Table Lookup for Life Cover]]="MM_LIFE",Table2[[#This Row],[Age Next Birthday]]&gt;=56),2,
""))</f>
        <v/>
      </c>
      <c r="AJ434" s="328">
        <f>IF(OR(Table2[[#This Row],[Member Type]]="Main Member",Table2[[#This Row],[Main Member Link ID]]=B433),1,0)</f>
        <v>1</v>
      </c>
      <c r="AK434" s="328">
        <f>IF(Table2[[#This Row],[Member Type]]=0,0,
IF(OR(Table2[[#This Row],[Member Type]]="Main Member",Table2[[#This Row],[Main Member Link ID]]&lt;&gt;B434),COUNTIFS(B:B,Table2[[#This Row],[Main Member Link ID]]),
COUNTIFS(B:B,Table2[[#This Row],[Main Member Link ID]],A:A,Table2[[#This Row],[Member Type]])))</f>
        <v>0</v>
      </c>
    </row>
    <row r="435" spans="1:37" x14ac:dyDescent="0.3">
      <c r="A435" s="284">
        <f>Table13[[#This Row],[Member Type]]</f>
        <v>0</v>
      </c>
      <c r="B435" s="284">
        <f>Table13[[#This Row],[Main Member Link ID]]</f>
        <v>0</v>
      </c>
      <c r="C435" s="284">
        <f>Table13[[#This Row],[ID Number]]</f>
        <v>0</v>
      </c>
      <c r="D435" s="285">
        <f>Table13[[#This Row],[Date Of Birth]]</f>
        <v>0</v>
      </c>
      <c r="E435" s="285">
        <f>Table13[[#This Row],[Commencement Date]]</f>
        <v>0</v>
      </c>
      <c r="F435" s="284">
        <f t="shared" si="42"/>
        <v>1</v>
      </c>
      <c r="G435" s="284">
        <f t="shared" si="43"/>
        <v>25</v>
      </c>
      <c r="H435" s="286">
        <f>Table13[[#This Row],[Product Option]]</f>
        <v>0</v>
      </c>
      <c r="I435" s="284">
        <f>IF(AND($A435="Main Member",Table2[[#This Row],[Product Option]]="My Value Plus Life"),"MM_LIFE",
IF(AND($A435="Spouse",Table2[[#This Row],[Product Option]]="My Value Plus Life"),"SP_LIFE",
IF(AND($A435="Main Member",Table2[[#This Row],[Product Option]]="My Value Plus Life &amp; Funeral"),"MM_LIFE",
IF(AND($A435="Spouse",Table2[[#This Row],[Product Option]]="My Value Plus Life &amp; Funeral"),_xlfn.XLOOKUP(Table2[[#This Row],[Benefit Name]],Lookups!$D$18:$D$23,Lookups!$E$18:$E$23,0),
0))))</f>
        <v>0</v>
      </c>
      <c r="J435" s="284">
        <f>IF($I435="","",
IF($I435="MM_LIFE",INDEX('Quotation Tool'!$S$54:$V$60,MATCH($T435,'Quotation Tool'!$S$54:$S$60,0),4),
IF($I435="SP_LIFE",_xlfn.XLOOKUP(B434,$B:$B,$J:$J,0),0)))</f>
        <v>0</v>
      </c>
      <c r="K435" s="287">
        <f t="shared" ca="1" si="47"/>
        <v>0</v>
      </c>
      <c r="L435" s="288">
        <f t="shared" ca="1" si="48"/>
        <v>0</v>
      </c>
      <c r="M435" s="289">
        <f t="shared" ca="1" si="44"/>
        <v>0</v>
      </c>
      <c r="N435" s="286">
        <f>Table13[[#This Row],[Benefit Option]]</f>
        <v>0</v>
      </c>
      <c r="O435" s="284">
        <f>IF(OR(Table2[[#This Row],[Member Type]]="Spouse",Table2[[#This Row],[Member Type]]="Child"),0,
IF(_xlfn.XLOOKUP($N435,Lookups!$D$13:$D$27,Lookups!$F$13:$F$27,0)=Table2[[#This Row],[Table Lookup for Life Cover]],0,
_xlfn.XLOOKUP($N435,Lookups!$D$13:$D$27,Lookups!$F$13:$F$27,0)))</f>
        <v>0</v>
      </c>
      <c r="P435" s="284">
        <f>IF(Table2[[#This Row],[Table Lookup for Funeral]]=0,0,IFERROR(INDEX('Quotation Tool'!$S$54:$V$60,MATCH($T435,'Quotation Tool'!$S$54:$S$60,0),3),0))</f>
        <v>0</v>
      </c>
      <c r="Q435" s="288">
        <f ca="1">IF(OR(Table2[[#This Row],[Benefit Name]]="My Value Plus Life - Main Member",Table2[[#This Row],[Benefit Name]]="My Value Plus Life - Spouse"),0,
IFERROR(VLOOKUP($G435,INDIRECT($O435),$P435,FALSE),0))</f>
        <v>0</v>
      </c>
      <c r="R435" s="288">
        <f ca="1">IF(OR(Table2[[#This Row],[Benefit Name]]="My Value Plus Life - Main Member",Table2[[#This Row],[Benefit Name]]="My Value Plus Life - Spouse"),0,
IFERROR(VLOOKUP($G435,INDIRECT($O435),$P435+1,FALSE),0))</f>
        <v>0</v>
      </c>
      <c r="S435" s="289">
        <f t="shared" ca="1" si="45"/>
        <v>0</v>
      </c>
      <c r="T435" s="284" t="str">
        <f>IF(Table13[[#This Row],[Premium Waiver]]="","None",Table13[[#This Row],[Premium Waiver]])</f>
        <v>None</v>
      </c>
      <c r="U435" s="284">
        <f>Table13[[#This Row],[VAPs Options]]</f>
        <v>0</v>
      </c>
      <c r="V435" s="284">
        <f>Table13[[#This Row],[Annual Increase Option]]</f>
        <v>0</v>
      </c>
      <c r="W435" s="290">
        <f>Table13[[#This Row],[Life Cover Amount]]</f>
        <v>0</v>
      </c>
      <c r="X435" s="290">
        <f>Table13[[#This Row],[Funeral Cover Amount]]</f>
        <v>0</v>
      </c>
      <c r="Y43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3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35" s="301">
        <f t="shared" ca="1" si="46"/>
        <v>0</v>
      </c>
      <c r="AB435" s="298"/>
      <c r="AC435" s="326" t="str">
        <f>IF(Table2[[#This Row],[Member Type]]="Main Member",Lookups!$C$13,
IF(Table2[[#This Row],[Member Type]]="Spouse",_xlfn.XLOOKUP(B435,Table2[Main Member Link ID],Table2[Product Option],0),
IF(AND(Table2[[#This Row],[Member Type]]="Child",_xlfn.XLOOKUP(B435,Table2[Main Member Link ID],Table2[Product Option],0)&lt;&gt;"My Value Plus Life"),Lookups!$C$24,
IF(AND(OR(Table2[[#This Row],[Member Type]]="Parent",Table2[[#This Row],[Member Type]]="Extended"),_xlfn.XLOOKUP(B435,Table2[Main Member Link ID],Table2[Product Option],0)&lt;&gt;"My Value Plus Life"),Lookups!$C$26,""))))</f>
        <v/>
      </c>
      <c r="AD435" s="326" t="str">
        <f>IF(Table2[[#This Row],[Member Type]]="Main Member",Lookups!$C$14,"")</f>
        <v/>
      </c>
      <c r="AE43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Funeral",_xlfn.XLOOKUP(B435,Table2[Main Member Link ID],Table2[Benefit Name],0)=Lookups!$D$14),"",
IF(AND(Table2[[#This Row],[Member Type]]="Spouse",Table2[[#This Row],[Product Option]]="My Value Plus Life &amp; Funeral",_xlfn.XLOOKUP(B434,Table2[Main Member Link ID],Table2[Benefit Name],0)=Lookups!$D$15),Lookups!$D$20,
IF(AND(Table2[[#This Row],[Member Type]]="Spouse",Table2[[#This Row],[Product Option]]="My Value Plus Life &amp; Funeral",_xlfn.XLOOKUP(B434,Table2[Main Member Link ID],Table2[Benefit Name],0)=Lookups!$D$16),"",
IF(AND(Table2[[#This Row],[Member Type]]="Spouse",Table2[[#This Row],[Product Option]]="My Value Plus Life &amp; Funeral",_xlfn.XLOOKUP(B434,Table2[Main Member Link ID],Table2[Benefit Name],0)=Lookups!$D$17),Lookups!$D$21,
IF(AND(Table2[[#This Row],[Member Type]]="Child",Table2[[#This Row],[Product Option]]="My Value Plus Life &amp; Funeral",_xlfn.XLOOKUP(B435,Table2[Main Member Link ID],Table2[Benefit Name],0)=Lookups!$D$14),"",
IF(AND(Table2[[#This Row],[Member Type]]="Child",Table2[[#This Row],[Product Option]]="My Value Plus Life &amp; Funeral",_xlfn.XLOOKUP(B435,Table2[Main Member Link ID],Table2[Benefit Name],0)=Lookups!$D$15),"",
IF(AND(Table2[[#This Row],[Member Type]]="Child",Table2[[#This Row],[Product Option]]="My Value Plus Life &amp; Funeral",_xlfn.XLOOKUP(B435,Table2[Main Member Link ID],Table2[Benefit Name],0)=Lookups!$D$16),Lookups!$D$24,
IF(AND(Table2[[#This Row],[Member Type]]="Child",Table2[[#This Row],[Product Option]]="My Value Plus Life &amp; Funeral",_xlfn.XLOOKUP(B435,Table2[Main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Funeral",_xlfn.XLOOKUP(B435,Table2[Main Member Link ID],Table2[Benefit Name],0)&lt;&gt;Lookups!$D$14),
IF(_xlfn.XLOOKUP(B435,Table2[Main Member Link ID],Table2[Benefit Name],0)=0,"",_xlfn.XLOOKUP(B435,Table2[Main Member Link ID],Table2[Benefit Name],0)),"")))))))))))))))</f>
        <v/>
      </c>
      <c r="AF435" s="327" t="str">
        <f>IF(AND(Table2[[#This Row],[Member Type]]="Main Member",Table2[[#This Row],[Product Option]]="My Value Plus Life &amp; Funeral"),Lookups!$D$15,
IF(AND(Table2[[#This Row],[Member Type]]="Spouse",Table2[[#This Row],[Product Option]]="My Value Plus Life &amp; Funeral",_xlfn.XLOOKUP(B435,Table2[Main Member Link ID],Table2[Benefit Name],0)=Lookups!$D$14),"",
IF(AND(Table2[[#This Row],[Member Type]]="Spouse",Table2[[#This Row],[Product Option]]="My Value Plus Life &amp; Funeral",_xlfn.XLOOKUP(B434,Table2[Main Member Link ID],Table2[Benefit Name],0)=Lookups!$D$16),"",
IF(AND(Table2[[#This Row],[Member Type]]="Spouse",Table2[[#This Row],[Product Option]]="My Value Plus Life &amp; Funeral",_xlfn.XLOOKUP(B434,Table2[Main Member Link ID],Table2[Benefit Name],0)=Lookups!$D$15),"",
IF(AND(Table2[[#This Row],[Member Type]]="Spouse",Table2[[#This Row],[Product Option]]="My Value Plus Life &amp; Funeral",_xlfn.XLOOKUP(B434,Table2[Main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Funeral",_xlfn.XLOOKUP(B435,Table2[Main Member Link ID],Table2[Benefit Name],0)&lt;&gt;Lookups!$D$15),
IF(_xlfn.XLOOKUP(B435,Table2[Main Member Link ID],Table2[Benefit Name],0)=0,"",_xlfn.XLOOKUP(B435,Table2[Main Member Link ID],Table2[Benefit Name],0)),"")
))))))</f>
        <v/>
      </c>
      <c r="AG435" s="327" t="str">
        <f>IF(AND(Table2[[#This Row],[Member Type]]="Main Member",Table2[[#This Row],[Product Option]]="My Value Plus Life &amp; Funeral"),Lookups!$D$16,
IF(AND(Table2[[#This Row],[Member Type]]="Spouse",Table2[[#This Row],[Product Option]]="My Value Plus Life &amp; Funeral",_xlfn.XLOOKUP(B435,Table2[Main Member Link ID],Table2[Benefit Name],0)=Lookups!$D$14),"",
IF(AND(Table2[[#This Row],[Member Type]]="Spouse",Table2[[#This Row],[Product Option]]="My Value Plus Life &amp; Funeral",_xlfn.XLOOKUP(B434,Table2[Main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Funeral",_xlfn.XLOOKUP(B435,Table2[Main Member Link ID],Table2[Benefit Name],0)&lt;&gt;Lookups!$D$16),
IF(_xlfn.XLOOKUP(B435,Table2[Main Member Link ID],Table2[Benefit Name],0)=0,"",_xlfn.XLOOKUP(B435,Table2[Main Member Link ID],Table2[Benefit Name],0)),"")
))))</f>
        <v/>
      </c>
      <c r="AH435" s="327" t="str">
        <f>IF(AND(Table2[[#This Row],[Member Type]]="Main Member",Table2[[#This Row],[Product Option]]="My Value Plus Life &amp; Funeral"),Lookups!$D$17,
IF(AND(Table2[[#This Row],[Member Type]]="Spouse",Table2[[#This Row],[Product Option]]="My Value Plus Life &amp; Funeral",_xlfn.XLOOKUP(B435,Table2[Main Member Link ID],Table2[Benefit Name],0)=Lookups!$D$14),"",
IF(AND(Table2[[#This Row],[Member Type]]="Spouse",Table2[[#This Row],[Product Option]]="My Value Plus Life &amp; Funeral",_xlfn.XLOOKUP(B434,Table2[Main Member Link ID],Table2[Benefit Name],0)=Lookups!$D$16),"",
IF(AND(Table2[[#This Row],[Member Type]]="Child",Table2[[#This Row],[Product Option]]="My Value Plus Life &amp; Funeral"),"",
IF(AND(Table2[[#This Row],[Member Type]]="Child",Table2[[#This Row],[Product Option]]="My Value Plus Life &amp; Funeral",_xlfn.XLOOKUP(B435,Table2[Main Member Link ID],Table2[Benefit Name],0)=Lookups!$D$15),"",
IF(AND(OR(Table2[[#This Row],[Member Type]]="Spouse",Table2[[#This Row],[Member Type]]="Child"),Table2[[#This Row],[Product Option]]="My Value Plus Life &amp; Funeral",_xlfn.XLOOKUP(B435,Table2[Main Member Link ID],Table2[Benefit Name],0)&lt;&gt;Lookups!$D$17),
IF(_xlfn.XLOOKUP(B435,Table2[Main Member Link ID],Table2[Benefit Name],0)=0,"",_xlfn.XLOOKUP(B435,Table2[Main Member Link ID],Table2[Benefit Name],0)),""))))))</f>
        <v/>
      </c>
      <c r="AI435" s="328" t="str">
        <f>IF(AND(Table2[[#This Row],[Member Type]]="Main Member",Table2[[#This Row],[Table Lookup for Life Cover]]="MM_LIFE",Table2[[#This Row],[Age Next Birthday]]&lt;56),1,
IF(AND(Table2[[#This Row],[Member Type]]="Main Member",Table2[[#This Row],[Table Lookup for Life Cover]]="MM_LIFE",Table2[[#This Row],[Age Next Birthday]]&gt;=56),2,
""))</f>
        <v/>
      </c>
      <c r="AJ435" s="328">
        <f>IF(OR(Table2[[#This Row],[Member Type]]="Main Member",Table2[[#This Row],[Main Member Link ID]]=B434),1,0)</f>
        <v>1</v>
      </c>
      <c r="AK435" s="328">
        <f>IF(Table2[[#This Row],[Member Type]]=0,0,
IF(OR(Table2[[#This Row],[Member Type]]="Main Member",Table2[[#This Row],[Main Member Link ID]]&lt;&gt;B435),COUNTIFS(B:B,Table2[[#This Row],[Main Member Link ID]]),
COUNTIFS(B:B,Table2[[#This Row],[Main Member Link ID]],A:A,Table2[[#This Row],[Member Type]])))</f>
        <v>0</v>
      </c>
    </row>
    <row r="436" spans="1:37" x14ac:dyDescent="0.3">
      <c r="A436" s="284">
        <f>Table13[[#This Row],[Member Type]]</f>
        <v>0</v>
      </c>
      <c r="B436" s="284">
        <f>Table13[[#This Row],[Main Member Link ID]]</f>
        <v>0</v>
      </c>
      <c r="C436" s="284">
        <f>Table13[[#This Row],[ID Number]]</f>
        <v>0</v>
      </c>
      <c r="D436" s="285">
        <f>Table13[[#This Row],[Date Of Birth]]</f>
        <v>0</v>
      </c>
      <c r="E436" s="285">
        <f>Table13[[#This Row],[Commencement Date]]</f>
        <v>0</v>
      </c>
      <c r="F436" s="284">
        <f t="shared" si="42"/>
        <v>1</v>
      </c>
      <c r="G436" s="284">
        <f t="shared" si="43"/>
        <v>25</v>
      </c>
      <c r="H436" s="286">
        <f>Table13[[#This Row],[Product Option]]</f>
        <v>0</v>
      </c>
      <c r="I436" s="284">
        <f>IF(AND($A436="Main Member",Table2[[#This Row],[Product Option]]="My Value Plus Life"),"MM_LIFE",
IF(AND($A436="Spouse",Table2[[#This Row],[Product Option]]="My Value Plus Life"),"SP_LIFE",
IF(AND($A436="Main Member",Table2[[#This Row],[Product Option]]="My Value Plus Life &amp; Funeral"),"MM_LIFE",
IF(AND($A436="Spouse",Table2[[#This Row],[Product Option]]="My Value Plus Life &amp; Funeral"),_xlfn.XLOOKUP(Table2[[#This Row],[Benefit Name]],Lookups!$D$18:$D$23,Lookups!$E$18:$E$23,0),
0))))</f>
        <v>0</v>
      </c>
      <c r="J436" s="284">
        <f>IF($I436="","",
IF($I436="MM_LIFE",INDEX('Quotation Tool'!$S$54:$V$60,MATCH($T436,'Quotation Tool'!$S$54:$S$60,0),4),
IF($I436="SP_LIFE",_xlfn.XLOOKUP(B435,$B:$B,$J:$J,0),0)))</f>
        <v>0</v>
      </c>
      <c r="K436" s="287">
        <f t="shared" ca="1" si="47"/>
        <v>0</v>
      </c>
      <c r="L436" s="288">
        <f t="shared" ca="1" si="48"/>
        <v>0</v>
      </c>
      <c r="M436" s="289">
        <f t="shared" ca="1" si="44"/>
        <v>0</v>
      </c>
      <c r="N436" s="286">
        <f>Table13[[#This Row],[Benefit Option]]</f>
        <v>0</v>
      </c>
      <c r="O436" s="284">
        <f>IF(OR(Table2[[#This Row],[Member Type]]="Spouse",Table2[[#This Row],[Member Type]]="Child"),0,
IF(_xlfn.XLOOKUP($N436,Lookups!$D$13:$D$27,Lookups!$F$13:$F$27,0)=Table2[[#This Row],[Table Lookup for Life Cover]],0,
_xlfn.XLOOKUP($N436,Lookups!$D$13:$D$27,Lookups!$F$13:$F$27,0)))</f>
        <v>0</v>
      </c>
      <c r="P436" s="284">
        <f>IF(Table2[[#This Row],[Table Lookup for Funeral]]=0,0,IFERROR(INDEX('Quotation Tool'!$S$54:$V$60,MATCH($T436,'Quotation Tool'!$S$54:$S$60,0),3),0))</f>
        <v>0</v>
      </c>
      <c r="Q436" s="288">
        <f ca="1">IF(OR(Table2[[#This Row],[Benefit Name]]="My Value Plus Life - Main Member",Table2[[#This Row],[Benefit Name]]="My Value Plus Life - Spouse"),0,
IFERROR(VLOOKUP($G436,INDIRECT($O436),$P436,FALSE),0))</f>
        <v>0</v>
      </c>
      <c r="R436" s="288">
        <f ca="1">IF(OR(Table2[[#This Row],[Benefit Name]]="My Value Plus Life - Main Member",Table2[[#This Row],[Benefit Name]]="My Value Plus Life - Spouse"),0,
IFERROR(VLOOKUP($G436,INDIRECT($O436),$P436+1,FALSE),0))</f>
        <v>0</v>
      </c>
      <c r="S436" s="289">
        <f t="shared" ca="1" si="45"/>
        <v>0</v>
      </c>
      <c r="T436" s="284" t="str">
        <f>IF(Table13[[#This Row],[Premium Waiver]]="","None",Table13[[#This Row],[Premium Waiver]])</f>
        <v>None</v>
      </c>
      <c r="U436" s="284">
        <f>Table13[[#This Row],[VAPs Options]]</f>
        <v>0</v>
      </c>
      <c r="V436" s="284">
        <f>Table13[[#This Row],[Annual Increase Option]]</f>
        <v>0</v>
      </c>
      <c r="W436" s="290">
        <f>Table13[[#This Row],[Life Cover Amount]]</f>
        <v>0</v>
      </c>
      <c r="X436" s="290">
        <f>Table13[[#This Row],[Funeral Cover Amount]]</f>
        <v>0</v>
      </c>
      <c r="Y43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3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36" s="301">
        <f t="shared" ca="1" si="46"/>
        <v>0</v>
      </c>
      <c r="AB436" s="298"/>
      <c r="AC436" s="326" t="str">
        <f>IF(Table2[[#This Row],[Member Type]]="Main Member",Lookups!$C$13,
IF(Table2[[#This Row],[Member Type]]="Spouse",_xlfn.XLOOKUP(B436,Table2[Main Member Link ID],Table2[Product Option],0),
IF(AND(Table2[[#This Row],[Member Type]]="Child",_xlfn.XLOOKUP(B436,Table2[Main Member Link ID],Table2[Product Option],0)&lt;&gt;"My Value Plus Life"),Lookups!$C$24,
IF(AND(OR(Table2[[#This Row],[Member Type]]="Parent",Table2[[#This Row],[Member Type]]="Extended"),_xlfn.XLOOKUP(B436,Table2[Main Member Link ID],Table2[Product Option],0)&lt;&gt;"My Value Plus Life"),Lookups!$C$26,""))))</f>
        <v/>
      </c>
      <c r="AD436" s="326" t="str">
        <f>IF(Table2[[#This Row],[Member Type]]="Main Member",Lookups!$C$14,"")</f>
        <v/>
      </c>
      <c r="AE43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Funeral",_xlfn.XLOOKUP(B436,Table2[Main Member Link ID],Table2[Benefit Name],0)=Lookups!$D$14),"",
IF(AND(Table2[[#This Row],[Member Type]]="Spouse",Table2[[#This Row],[Product Option]]="My Value Plus Life &amp; Funeral",_xlfn.XLOOKUP(B435,Table2[Main Member Link ID],Table2[Benefit Name],0)=Lookups!$D$15),Lookups!$D$20,
IF(AND(Table2[[#This Row],[Member Type]]="Spouse",Table2[[#This Row],[Product Option]]="My Value Plus Life &amp; Funeral",_xlfn.XLOOKUP(B435,Table2[Main Member Link ID],Table2[Benefit Name],0)=Lookups!$D$16),"",
IF(AND(Table2[[#This Row],[Member Type]]="Spouse",Table2[[#This Row],[Product Option]]="My Value Plus Life &amp; Funeral",_xlfn.XLOOKUP(B435,Table2[Main Member Link ID],Table2[Benefit Name],0)=Lookups!$D$17),Lookups!$D$21,
IF(AND(Table2[[#This Row],[Member Type]]="Child",Table2[[#This Row],[Product Option]]="My Value Plus Life &amp; Funeral",_xlfn.XLOOKUP(B436,Table2[Main Member Link ID],Table2[Benefit Name],0)=Lookups!$D$14),"",
IF(AND(Table2[[#This Row],[Member Type]]="Child",Table2[[#This Row],[Product Option]]="My Value Plus Life &amp; Funeral",_xlfn.XLOOKUP(B436,Table2[Main Member Link ID],Table2[Benefit Name],0)=Lookups!$D$15),"",
IF(AND(Table2[[#This Row],[Member Type]]="Child",Table2[[#This Row],[Product Option]]="My Value Plus Life &amp; Funeral",_xlfn.XLOOKUP(B436,Table2[Main Member Link ID],Table2[Benefit Name],0)=Lookups!$D$16),Lookups!$D$24,
IF(AND(Table2[[#This Row],[Member Type]]="Child",Table2[[#This Row],[Product Option]]="My Value Plus Life &amp; Funeral",_xlfn.XLOOKUP(B436,Table2[Main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Funeral",_xlfn.XLOOKUP(B436,Table2[Main Member Link ID],Table2[Benefit Name],0)&lt;&gt;Lookups!$D$14),
IF(_xlfn.XLOOKUP(B436,Table2[Main Member Link ID],Table2[Benefit Name],0)=0,"",_xlfn.XLOOKUP(B436,Table2[Main Member Link ID],Table2[Benefit Name],0)),"")))))))))))))))</f>
        <v/>
      </c>
      <c r="AF436" s="327" t="str">
        <f>IF(AND(Table2[[#This Row],[Member Type]]="Main Member",Table2[[#This Row],[Product Option]]="My Value Plus Life &amp; Funeral"),Lookups!$D$15,
IF(AND(Table2[[#This Row],[Member Type]]="Spouse",Table2[[#This Row],[Product Option]]="My Value Plus Life &amp; Funeral",_xlfn.XLOOKUP(B436,Table2[Main Member Link ID],Table2[Benefit Name],0)=Lookups!$D$14),"",
IF(AND(Table2[[#This Row],[Member Type]]="Spouse",Table2[[#This Row],[Product Option]]="My Value Plus Life &amp; Funeral",_xlfn.XLOOKUP(B435,Table2[Main Member Link ID],Table2[Benefit Name],0)=Lookups!$D$16),"",
IF(AND(Table2[[#This Row],[Member Type]]="Spouse",Table2[[#This Row],[Product Option]]="My Value Plus Life &amp; Funeral",_xlfn.XLOOKUP(B435,Table2[Main Member Link ID],Table2[Benefit Name],0)=Lookups!$D$15),"",
IF(AND(Table2[[#This Row],[Member Type]]="Spouse",Table2[[#This Row],[Product Option]]="My Value Plus Life &amp; Funeral",_xlfn.XLOOKUP(B435,Table2[Main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Funeral",_xlfn.XLOOKUP(B436,Table2[Main Member Link ID],Table2[Benefit Name],0)&lt;&gt;Lookups!$D$15),
IF(_xlfn.XLOOKUP(B436,Table2[Main Member Link ID],Table2[Benefit Name],0)=0,"",_xlfn.XLOOKUP(B436,Table2[Main Member Link ID],Table2[Benefit Name],0)),"")
))))))</f>
        <v/>
      </c>
      <c r="AG436" s="327" t="str">
        <f>IF(AND(Table2[[#This Row],[Member Type]]="Main Member",Table2[[#This Row],[Product Option]]="My Value Plus Life &amp; Funeral"),Lookups!$D$16,
IF(AND(Table2[[#This Row],[Member Type]]="Spouse",Table2[[#This Row],[Product Option]]="My Value Plus Life &amp; Funeral",_xlfn.XLOOKUP(B436,Table2[Main Member Link ID],Table2[Benefit Name],0)=Lookups!$D$14),"",
IF(AND(Table2[[#This Row],[Member Type]]="Spouse",Table2[[#This Row],[Product Option]]="My Value Plus Life &amp; Funeral",_xlfn.XLOOKUP(B435,Table2[Main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Funeral",_xlfn.XLOOKUP(B436,Table2[Main Member Link ID],Table2[Benefit Name],0)&lt;&gt;Lookups!$D$16),
IF(_xlfn.XLOOKUP(B436,Table2[Main Member Link ID],Table2[Benefit Name],0)=0,"",_xlfn.XLOOKUP(B436,Table2[Main Member Link ID],Table2[Benefit Name],0)),"")
))))</f>
        <v/>
      </c>
      <c r="AH436" s="327" t="str">
        <f>IF(AND(Table2[[#This Row],[Member Type]]="Main Member",Table2[[#This Row],[Product Option]]="My Value Plus Life &amp; Funeral"),Lookups!$D$17,
IF(AND(Table2[[#This Row],[Member Type]]="Spouse",Table2[[#This Row],[Product Option]]="My Value Plus Life &amp; Funeral",_xlfn.XLOOKUP(B436,Table2[Main Member Link ID],Table2[Benefit Name],0)=Lookups!$D$14),"",
IF(AND(Table2[[#This Row],[Member Type]]="Spouse",Table2[[#This Row],[Product Option]]="My Value Plus Life &amp; Funeral",_xlfn.XLOOKUP(B435,Table2[Main Member Link ID],Table2[Benefit Name],0)=Lookups!$D$16),"",
IF(AND(Table2[[#This Row],[Member Type]]="Child",Table2[[#This Row],[Product Option]]="My Value Plus Life &amp; Funeral"),"",
IF(AND(Table2[[#This Row],[Member Type]]="Child",Table2[[#This Row],[Product Option]]="My Value Plus Life &amp; Funeral",_xlfn.XLOOKUP(B436,Table2[Main Member Link ID],Table2[Benefit Name],0)=Lookups!$D$15),"",
IF(AND(OR(Table2[[#This Row],[Member Type]]="Spouse",Table2[[#This Row],[Member Type]]="Child"),Table2[[#This Row],[Product Option]]="My Value Plus Life &amp; Funeral",_xlfn.XLOOKUP(B436,Table2[Main Member Link ID],Table2[Benefit Name],0)&lt;&gt;Lookups!$D$17),
IF(_xlfn.XLOOKUP(B436,Table2[Main Member Link ID],Table2[Benefit Name],0)=0,"",_xlfn.XLOOKUP(B436,Table2[Main Member Link ID],Table2[Benefit Name],0)),""))))))</f>
        <v/>
      </c>
      <c r="AI436" s="328" t="str">
        <f>IF(AND(Table2[[#This Row],[Member Type]]="Main Member",Table2[[#This Row],[Table Lookup for Life Cover]]="MM_LIFE",Table2[[#This Row],[Age Next Birthday]]&lt;56),1,
IF(AND(Table2[[#This Row],[Member Type]]="Main Member",Table2[[#This Row],[Table Lookup for Life Cover]]="MM_LIFE",Table2[[#This Row],[Age Next Birthday]]&gt;=56),2,
""))</f>
        <v/>
      </c>
      <c r="AJ436" s="328">
        <f>IF(OR(Table2[[#This Row],[Member Type]]="Main Member",Table2[[#This Row],[Main Member Link ID]]=B435),1,0)</f>
        <v>1</v>
      </c>
      <c r="AK436" s="328">
        <f>IF(Table2[[#This Row],[Member Type]]=0,0,
IF(OR(Table2[[#This Row],[Member Type]]="Main Member",Table2[[#This Row],[Main Member Link ID]]&lt;&gt;B436),COUNTIFS(B:B,Table2[[#This Row],[Main Member Link ID]]),
COUNTIFS(B:B,Table2[[#This Row],[Main Member Link ID]],A:A,Table2[[#This Row],[Member Type]])))</f>
        <v>0</v>
      </c>
    </row>
    <row r="437" spans="1:37" x14ac:dyDescent="0.3">
      <c r="A437" s="284">
        <f>Table13[[#This Row],[Member Type]]</f>
        <v>0</v>
      </c>
      <c r="B437" s="284">
        <f>Table13[[#This Row],[Main Member Link ID]]</f>
        <v>0</v>
      </c>
      <c r="C437" s="284">
        <f>Table13[[#This Row],[ID Number]]</f>
        <v>0</v>
      </c>
      <c r="D437" s="285">
        <f>Table13[[#This Row],[Date Of Birth]]</f>
        <v>0</v>
      </c>
      <c r="E437" s="285">
        <f>Table13[[#This Row],[Commencement Date]]</f>
        <v>0</v>
      </c>
      <c r="F437" s="284">
        <f t="shared" si="42"/>
        <v>1</v>
      </c>
      <c r="G437" s="284">
        <f t="shared" si="43"/>
        <v>25</v>
      </c>
      <c r="H437" s="286">
        <f>Table13[[#This Row],[Product Option]]</f>
        <v>0</v>
      </c>
      <c r="I437" s="284">
        <f>IF(AND($A437="Main Member",Table2[[#This Row],[Product Option]]="My Value Plus Life"),"MM_LIFE",
IF(AND($A437="Spouse",Table2[[#This Row],[Product Option]]="My Value Plus Life"),"SP_LIFE",
IF(AND($A437="Main Member",Table2[[#This Row],[Product Option]]="My Value Plus Life &amp; Funeral"),"MM_LIFE",
IF(AND($A437="Spouse",Table2[[#This Row],[Product Option]]="My Value Plus Life &amp; Funeral"),_xlfn.XLOOKUP(Table2[[#This Row],[Benefit Name]],Lookups!$D$18:$D$23,Lookups!$E$18:$E$23,0),
0))))</f>
        <v>0</v>
      </c>
      <c r="J437" s="284">
        <f>IF($I437="","",
IF($I437="MM_LIFE",INDEX('Quotation Tool'!$S$54:$V$60,MATCH($T437,'Quotation Tool'!$S$54:$S$60,0),4),
IF($I437="SP_LIFE",_xlfn.XLOOKUP(B436,$B:$B,$J:$J,0),0)))</f>
        <v>0</v>
      </c>
      <c r="K437" s="287">
        <f t="shared" ca="1" si="47"/>
        <v>0</v>
      </c>
      <c r="L437" s="288">
        <f t="shared" ca="1" si="48"/>
        <v>0</v>
      </c>
      <c r="M437" s="289">
        <f t="shared" ca="1" si="44"/>
        <v>0</v>
      </c>
      <c r="N437" s="286">
        <f>Table13[[#This Row],[Benefit Option]]</f>
        <v>0</v>
      </c>
      <c r="O437" s="284">
        <f>IF(OR(Table2[[#This Row],[Member Type]]="Spouse",Table2[[#This Row],[Member Type]]="Child"),0,
IF(_xlfn.XLOOKUP($N437,Lookups!$D$13:$D$27,Lookups!$F$13:$F$27,0)=Table2[[#This Row],[Table Lookup for Life Cover]],0,
_xlfn.XLOOKUP($N437,Lookups!$D$13:$D$27,Lookups!$F$13:$F$27,0)))</f>
        <v>0</v>
      </c>
      <c r="P437" s="284">
        <f>IF(Table2[[#This Row],[Table Lookup for Funeral]]=0,0,IFERROR(INDEX('Quotation Tool'!$S$54:$V$60,MATCH($T437,'Quotation Tool'!$S$54:$S$60,0),3),0))</f>
        <v>0</v>
      </c>
      <c r="Q437" s="288">
        <f ca="1">IF(OR(Table2[[#This Row],[Benefit Name]]="My Value Plus Life - Main Member",Table2[[#This Row],[Benefit Name]]="My Value Plus Life - Spouse"),0,
IFERROR(VLOOKUP($G437,INDIRECT($O437),$P437,FALSE),0))</f>
        <v>0</v>
      </c>
      <c r="R437" s="288">
        <f ca="1">IF(OR(Table2[[#This Row],[Benefit Name]]="My Value Plus Life - Main Member",Table2[[#This Row],[Benefit Name]]="My Value Plus Life - Spouse"),0,
IFERROR(VLOOKUP($G437,INDIRECT($O437),$P437+1,FALSE),0))</f>
        <v>0</v>
      </c>
      <c r="S437" s="289">
        <f t="shared" ca="1" si="45"/>
        <v>0</v>
      </c>
      <c r="T437" s="284" t="str">
        <f>IF(Table13[[#This Row],[Premium Waiver]]="","None",Table13[[#This Row],[Premium Waiver]])</f>
        <v>None</v>
      </c>
      <c r="U437" s="284">
        <f>Table13[[#This Row],[VAPs Options]]</f>
        <v>0</v>
      </c>
      <c r="V437" s="284">
        <f>Table13[[#This Row],[Annual Increase Option]]</f>
        <v>0</v>
      </c>
      <c r="W437" s="290">
        <f>Table13[[#This Row],[Life Cover Amount]]</f>
        <v>0</v>
      </c>
      <c r="X437" s="290">
        <f>Table13[[#This Row],[Funeral Cover Amount]]</f>
        <v>0</v>
      </c>
      <c r="Y43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3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37" s="301">
        <f t="shared" ca="1" si="46"/>
        <v>0</v>
      </c>
      <c r="AB437" s="298"/>
      <c r="AC437" s="326" t="str">
        <f>IF(Table2[[#This Row],[Member Type]]="Main Member",Lookups!$C$13,
IF(Table2[[#This Row],[Member Type]]="Spouse",_xlfn.XLOOKUP(B437,Table2[Main Member Link ID],Table2[Product Option],0),
IF(AND(Table2[[#This Row],[Member Type]]="Child",_xlfn.XLOOKUP(B437,Table2[Main Member Link ID],Table2[Product Option],0)&lt;&gt;"My Value Plus Life"),Lookups!$C$24,
IF(AND(OR(Table2[[#This Row],[Member Type]]="Parent",Table2[[#This Row],[Member Type]]="Extended"),_xlfn.XLOOKUP(B437,Table2[Main Member Link ID],Table2[Product Option],0)&lt;&gt;"My Value Plus Life"),Lookups!$C$26,""))))</f>
        <v/>
      </c>
      <c r="AD437" s="326" t="str">
        <f>IF(Table2[[#This Row],[Member Type]]="Main Member",Lookups!$C$14,"")</f>
        <v/>
      </c>
      <c r="AE43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Funeral",_xlfn.XLOOKUP(B437,Table2[Main Member Link ID],Table2[Benefit Name],0)=Lookups!$D$14),"",
IF(AND(Table2[[#This Row],[Member Type]]="Spouse",Table2[[#This Row],[Product Option]]="My Value Plus Life &amp; Funeral",_xlfn.XLOOKUP(B436,Table2[Main Member Link ID],Table2[Benefit Name],0)=Lookups!$D$15),Lookups!$D$20,
IF(AND(Table2[[#This Row],[Member Type]]="Spouse",Table2[[#This Row],[Product Option]]="My Value Plus Life &amp; Funeral",_xlfn.XLOOKUP(B436,Table2[Main Member Link ID],Table2[Benefit Name],0)=Lookups!$D$16),"",
IF(AND(Table2[[#This Row],[Member Type]]="Spouse",Table2[[#This Row],[Product Option]]="My Value Plus Life &amp; Funeral",_xlfn.XLOOKUP(B436,Table2[Main Member Link ID],Table2[Benefit Name],0)=Lookups!$D$17),Lookups!$D$21,
IF(AND(Table2[[#This Row],[Member Type]]="Child",Table2[[#This Row],[Product Option]]="My Value Plus Life &amp; Funeral",_xlfn.XLOOKUP(B437,Table2[Main Member Link ID],Table2[Benefit Name],0)=Lookups!$D$14),"",
IF(AND(Table2[[#This Row],[Member Type]]="Child",Table2[[#This Row],[Product Option]]="My Value Plus Life &amp; Funeral",_xlfn.XLOOKUP(B437,Table2[Main Member Link ID],Table2[Benefit Name],0)=Lookups!$D$15),"",
IF(AND(Table2[[#This Row],[Member Type]]="Child",Table2[[#This Row],[Product Option]]="My Value Plus Life &amp; Funeral",_xlfn.XLOOKUP(B437,Table2[Main Member Link ID],Table2[Benefit Name],0)=Lookups!$D$16),Lookups!$D$24,
IF(AND(Table2[[#This Row],[Member Type]]="Child",Table2[[#This Row],[Product Option]]="My Value Plus Life &amp; Funeral",_xlfn.XLOOKUP(B437,Table2[Main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Funeral",_xlfn.XLOOKUP(B437,Table2[Main Member Link ID],Table2[Benefit Name],0)&lt;&gt;Lookups!$D$14),
IF(_xlfn.XLOOKUP(B437,Table2[Main Member Link ID],Table2[Benefit Name],0)=0,"",_xlfn.XLOOKUP(B437,Table2[Main Member Link ID],Table2[Benefit Name],0)),"")))))))))))))))</f>
        <v/>
      </c>
      <c r="AF437" s="327" t="str">
        <f>IF(AND(Table2[[#This Row],[Member Type]]="Main Member",Table2[[#This Row],[Product Option]]="My Value Plus Life &amp; Funeral"),Lookups!$D$15,
IF(AND(Table2[[#This Row],[Member Type]]="Spouse",Table2[[#This Row],[Product Option]]="My Value Plus Life &amp; Funeral",_xlfn.XLOOKUP(B437,Table2[Main Member Link ID],Table2[Benefit Name],0)=Lookups!$D$14),"",
IF(AND(Table2[[#This Row],[Member Type]]="Spouse",Table2[[#This Row],[Product Option]]="My Value Plus Life &amp; Funeral",_xlfn.XLOOKUP(B436,Table2[Main Member Link ID],Table2[Benefit Name],0)=Lookups!$D$16),"",
IF(AND(Table2[[#This Row],[Member Type]]="Spouse",Table2[[#This Row],[Product Option]]="My Value Plus Life &amp; Funeral",_xlfn.XLOOKUP(B436,Table2[Main Member Link ID],Table2[Benefit Name],0)=Lookups!$D$15),"",
IF(AND(Table2[[#This Row],[Member Type]]="Spouse",Table2[[#This Row],[Product Option]]="My Value Plus Life &amp; Funeral",_xlfn.XLOOKUP(B436,Table2[Main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Funeral",_xlfn.XLOOKUP(B437,Table2[Main Member Link ID],Table2[Benefit Name],0)&lt;&gt;Lookups!$D$15),
IF(_xlfn.XLOOKUP(B437,Table2[Main Member Link ID],Table2[Benefit Name],0)=0,"",_xlfn.XLOOKUP(B437,Table2[Main Member Link ID],Table2[Benefit Name],0)),"")
))))))</f>
        <v/>
      </c>
      <c r="AG437" s="327" t="str">
        <f>IF(AND(Table2[[#This Row],[Member Type]]="Main Member",Table2[[#This Row],[Product Option]]="My Value Plus Life &amp; Funeral"),Lookups!$D$16,
IF(AND(Table2[[#This Row],[Member Type]]="Spouse",Table2[[#This Row],[Product Option]]="My Value Plus Life &amp; Funeral",_xlfn.XLOOKUP(B437,Table2[Main Member Link ID],Table2[Benefit Name],0)=Lookups!$D$14),"",
IF(AND(Table2[[#This Row],[Member Type]]="Spouse",Table2[[#This Row],[Product Option]]="My Value Plus Life &amp; Funeral",_xlfn.XLOOKUP(B436,Table2[Main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Funeral",_xlfn.XLOOKUP(B437,Table2[Main Member Link ID],Table2[Benefit Name],0)&lt;&gt;Lookups!$D$16),
IF(_xlfn.XLOOKUP(B437,Table2[Main Member Link ID],Table2[Benefit Name],0)=0,"",_xlfn.XLOOKUP(B437,Table2[Main Member Link ID],Table2[Benefit Name],0)),"")
))))</f>
        <v/>
      </c>
      <c r="AH437" s="327" t="str">
        <f>IF(AND(Table2[[#This Row],[Member Type]]="Main Member",Table2[[#This Row],[Product Option]]="My Value Plus Life &amp; Funeral"),Lookups!$D$17,
IF(AND(Table2[[#This Row],[Member Type]]="Spouse",Table2[[#This Row],[Product Option]]="My Value Plus Life &amp; Funeral",_xlfn.XLOOKUP(B437,Table2[Main Member Link ID],Table2[Benefit Name],0)=Lookups!$D$14),"",
IF(AND(Table2[[#This Row],[Member Type]]="Spouse",Table2[[#This Row],[Product Option]]="My Value Plus Life &amp; Funeral",_xlfn.XLOOKUP(B436,Table2[Main Member Link ID],Table2[Benefit Name],0)=Lookups!$D$16),"",
IF(AND(Table2[[#This Row],[Member Type]]="Child",Table2[[#This Row],[Product Option]]="My Value Plus Life &amp; Funeral"),"",
IF(AND(Table2[[#This Row],[Member Type]]="Child",Table2[[#This Row],[Product Option]]="My Value Plus Life &amp; Funeral",_xlfn.XLOOKUP(B437,Table2[Main Member Link ID],Table2[Benefit Name],0)=Lookups!$D$15),"",
IF(AND(OR(Table2[[#This Row],[Member Type]]="Spouse",Table2[[#This Row],[Member Type]]="Child"),Table2[[#This Row],[Product Option]]="My Value Plus Life &amp; Funeral",_xlfn.XLOOKUP(B437,Table2[Main Member Link ID],Table2[Benefit Name],0)&lt;&gt;Lookups!$D$17),
IF(_xlfn.XLOOKUP(B437,Table2[Main Member Link ID],Table2[Benefit Name],0)=0,"",_xlfn.XLOOKUP(B437,Table2[Main Member Link ID],Table2[Benefit Name],0)),""))))))</f>
        <v/>
      </c>
      <c r="AI437" s="328" t="str">
        <f>IF(AND(Table2[[#This Row],[Member Type]]="Main Member",Table2[[#This Row],[Table Lookup for Life Cover]]="MM_LIFE",Table2[[#This Row],[Age Next Birthday]]&lt;56),1,
IF(AND(Table2[[#This Row],[Member Type]]="Main Member",Table2[[#This Row],[Table Lookup for Life Cover]]="MM_LIFE",Table2[[#This Row],[Age Next Birthday]]&gt;=56),2,
""))</f>
        <v/>
      </c>
      <c r="AJ437" s="328">
        <f>IF(OR(Table2[[#This Row],[Member Type]]="Main Member",Table2[[#This Row],[Main Member Link ID]]=B436),1,0)</f>
        <v>1</v>
      </c>
      <c r="AK437" s="328">
        <f>IF(Table2[[#This Row],[Member Type]]=0,0,
IF(OR(Table2[[#This Row],[Member Type]]="Main Member",Table2[[#This Row],[Main Member Link ID]]&lt;&gt;B437),COUNTIFS(B:B,Table2[[#This Row],[Main Member Link ID]]),
COUNTIFS(B:B,Table2[[#This Row],[Main Member Link ID]],A:A,Table2[[#This Row],[Member Type]])))</f>
        <v>0</v>
      </c>
    </row>
    <row r="438" spans="1:37" x14ac:dyDescent="0.3">
      <c r="A438" s="284">
        <f>Table13[[#This Row],[Member Type]]</f>
        <v>0</v>
      </c>
      <c r="B438" s="284">
        <f>Table13[[#This Row],[Main Member Link ID]]</f>
        <v>0</v>
      </c>
      <c r="C438" s="284">
        <f>Table13[[#This Row],[ID Number]]</f>
        <v>0</v>
      </c>
      <c r="D438" s="285">
        <f>Table13[[#This Row],[Date Of Birth]]</f>
        <v>0</v>
      </c>
      <c r="E438" s="285">
        <f>Table13[[#This Row],[Commencement Date]]</f>
        <v>0</v>
      </c>
      <c r="F438" s="284">
        <f t="shared" si="42"/>
        <v>1</v>
      </c>
      <c r="G438" s="284">
        <f t="shared" si="43"/>
        <v>25</v>
      </c>
      <c r="H438" s="286">
        <f>Table13[[#This Row],[Product Option]]</f>
        <v>0</v>
      </c>
      <c r="I438" s="284">
        <f>IF(AND($A438="Main Member",Table2[[#This Row],[Product Option]]="My Value Plus Life"),"MM_LIFE",
IF(AND($A438="Spouse",Table2[[#This Row],[Product Option]]="My Value Plus Life"),"SP_LIFE",
IF(AND($A438="Main Member",Table2[[#This Row],[Product Option]]="My Value Plus Life &amp; Funeral"),"MM_LIFE",
IF(AND($A438="Spouse",Table2[[#This Row],[Product Option]]="My Value Plus Life &amp; Funeral"),_xlfn.XLOOKUP(Table2[[#This Row],[Benefit Name]],Lookups!$D$18:$D$23,Lookups!$E$18:$E$23,0),
0))))</f>
        <v>0</v>
      </c>
      <c r="J438" s="284">
        <f>IF($I438="","",
IF($I438="MM_LIFE",INDEX('Quotation Tool'!$S$54:$V$60,MATCH($T438,'Quotation Tool'!$S$54:$S$60,0),4),
IF($I438="SP_LIFE",_xlfn.XLOOKUP(B437,$B:$B,$J:$J,0),0)))</f>
        <v>0</v>
      </c>
      <c r="K438" s="287">
        <f t="shared" ca="1" si="47"/>
        <v>0</v>
      </c>
      <c r="L438" s="288">
        <f t="shared" ca="1" si="48"/>
        <v>0</v>
      </c>
      <c r="M438" s="289">
        <f t="shared" ca="1" si="44"/>
        <v>0</v>
      </c>
      <c r="N438" s="286">
        <f>Table13[[#This Row],[Benefit Option]]</f>
        <v>0</v>
      </c>
      <c r="O438" s="284">
        <f>IF(OR(Table2[[#This Row],[Member Type]]="Spouse",Table2[[#This Row],[Member Type]]="Child"),0,
IF(_xlfn.XLOOKUP($N438,Lookups!$D$13:$D$27,Lookups!$F$13:$F$27,0)=Table2[[#This Row],[Table Lookup for Life Cover]],0,
_xlfn.XLOOKUP($N438,Lookups!$D$13:$D$27,Lookups!$F$13:$F$27,0)))</f>
        <v>0</v>
      </c>
      <c r="P438" s="284">
        <f>IF(Table2[[#This Row],[Table Lookup for Funeral]]=0,0,IFERROR(INDEX('Quotation Tool'!$S$54:$V$60,MATCH($T438,'Quotation Tool'!$S$54:$S$60,0),3),0))</f>
        <v>0</v>
      </c>
      <c r="Q438" s="288">
        <f ca="1">IF(OR(Table2[[#This Row],[Benefit Name]]="My Value Plus Life - Main Member",Table2[[#This Row],[Benefit Name]]="My Value Plus Life - Spouse"),0,
IFERROR(VLOOKUP($G438,INDIRECT($O438),$P438,FALSE),0))</f>
        <v>0</v>
      </c>
      <c r="R438" s="288">
        <f ca="1">IF(OR(Table2[[#This Row],[Benefit Name]]="My Value Plus Life - Main Member",Table2[[#This Row],[Benefit Name]]="My Value Plus Life - Spouse"),0,
IFERROR(VLOOKUP($G438,INDIRECT($O438),$P438+1,FALSE),0))</f>
        <v>0</v>
      </c>
      <c r="S438" s="289">
        <f t="shared" ca="1" si="45"/>
        <v>0</v>
      </c>
      <c r="T438" s="284" t="str">
        <f>IF(Table13[[#This Row],[Premium Waiver]]="","None",Table13[[#This Row],[Premium Waiver]])</f>
        <v>None</v>
      </c>
      <c r="U438" s="284">
        <f>Table13[[#This Row],[VAPs Options]]</f>
        <v>0</v>
      </c>
      <c r="V438" s="284">
        <f>Table13[[#This Row],[Annual Increase Option]]</f>
        <v>0</v>
      </c>
      <c r="W438" s="290">
        <f>Table13[[#This Row],[Life Cover Amount]]</f>
        <v>0</v>
      </c>
      <c r="X438" s="290">
        <f>Table13[[#This Row],[Funeral Cover Amount]]</f>
        <v>0</v>
      </c>
      <c r="Y43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3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38" s="301">
        <f t="shared" ca="1" si="46"/>
        <v>0</v>
      </c>
      <c r="AB438" s="298"/>
      <c r="AC438" s="326" t="str">
        <f>IF(Table2[[#This Row],[Member Type]]="Main Member",Lookups!$C$13,
IF(Table2[[#This Row],[Member Type]]="Spouse",_xlfn.XLOOKUP(B438,Table2[Main Member Link ID],Table2[Product Option],0),
IF(AND(Table2[[#This Row],[Member Type]]="Child",_xlfn.XLOOKUP(B438,Table2[Main Member Link ID],Table2[Product Option],0)&lt;&gt;"My Value Plus Life"),Lookups!$C$24,
IF(AND(OR(Table2[[#This Row],[Member Type]]="Parent",Table2[[#This Row],[Member Type]]="Extended"),_xlfn.XLOOKUP(B438,Table2[Main Member Link ID],Table2[Product Option],0)&lt;&gt;"My Value Plus Life"),Lookups!$C$26,""))))</f>
        <v/>
      </c>
      <c r="AD438" s="326" t="str">
        <f>IF(Table2[[#This Row],[Member Type]]="Main Member",Lookups!$C$14,"")</f>
        <v/>
      </c>
      <c r="AE43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Funeral",_xlfn.XLOOKUP(B438,Table2[Main Member Link ID],Table2[Benefit Name],0)=Lookups!$D$14),"",
IF(AND(Table2[[#This Row],[Member Type]]="Spouse",Table2[[#This Row],[Product Option]]="My Value Plus Life &amp; Funeral",_xlfn.XLOOKUP(B437,Table2[Main Member Link ID],Table2[Benefit Name],0)=Lookups!$D$15),Lookups!$D$20,
IF(AND(Table2[[#This Row],[Member Type]]="Spouse",Table2[[#This Row],[Product Option]]="My Value Plus Life &amp; Funeral",_xlfn.XLOOKUP(B437,Table2[Main Member Link ID],Table2[Benefit Name],0)=Lookups!$D$16),"",
IF(AND(Table2[[#This Row],[Member Type]]="Spouse",Table2[[#This Row],[Product Option]]="My Value Plus Life &amp; Funeral",_xlfn.XLOOKUP(B437,Table2[Main Member Link ID],Table2[Benefit Name],0)=Lookups!$D$17),Lookups!$D$21,
IF(AND(Table2[[#This Row],[Member Type]]="Child",Table2[[#This Row],[Product Option]]="My Value Plus Life &amp; Funeral",_xlfn.XLOOKUP(B438,Table2[Main Member Link ID],Table2[Benefit Name],0)=Lookups!$D$14),"",
IF(AND(Table2[[#This Row],[Member Type]]="Child",Table2[[#This Row],[Product Option]]="My Value Plus Life &amp; Funeral",_xlfn.XLOOKUP(B438,Table2[Main Member Link ID],Table2[Benefit Name],0)=Lookups!$D$15),"",
IF(AND(Table2[[#This Row],[Member Type]]="Child",Table2[[#This Row],[Product Option]]="My Value Plus Life &amp; Funeral",_xlfn.XLOOKUP(B438,Table2[Main Member Link ID],Table2[Benefit Name],0)=Lookups!$D$16),Lookups!$D$24,
IF(AND(Table2[[#This Row],[Member Type]]="Child",Table2[[#This Row],[Product Option]]="My Value Plus Life &amp; Funeral",_xlfn.XLOOKUP(B438,Table2[Main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Funeral",_xlfn.XLOOKUP(B438,Table2[Main Member Link ID],Table2[Benefit Name],0)&lt;&gt;Lookups!$D$14),
IF(_xlfn.XLOOKUP(B438,Table2[Main Member Link ID],Table2[Benefit Name],0)=0,"",_xlfn.XLOOKUP(B438,Table2[Main Member Link ID],Table2[Benefit Name],0)),"")))))))))))))))</f>
        <v/>
      </c>
      <c r="AF438" s="327" t="str">
        <f>IF(AND(Table2[[#This Row],[Member Type]]="Main Member",Table2[[#This Row],[Product Option]]="My Value Plus Life &amp; Funeral"),Lookups!$D$15,
IF(AND(Table2[[#This Row],[Member Type]]="Spouse",Table2[[#This Row],[Product Option]]="My Value Plus Life &amp; Funeral",_xlfn.XLOOKUP(B438,Table2[Main Member Link ID],Table2[Benefit Name],0)=Lookups!$D$14),"",
IF(AND(Table2[[#This Row],[Member Type]]="Spouse",Table2[[#This Row],[Product Option]]="My Value Plus Life &amp; Funeral",_xlfn.XLOOKUP(B437,Table2[Main Member Link ID],Table2[Benefit Name],0)=Lookups!$D$16),"",
IF(AND(Table2[[#This Row],[Member Type]]="Spouse",Table2[[#This Row],[Product Option]]="My Value Plus Life &amp; Funeral",_xlfn.XLOOKUP(B437,Table2[Main Member Link ID],Table2[Benefit Name],0)=Lookups!$D$15),"",
IF(AND(Table2[[#This Row],[Member Type]]="Spouse",Table2[[#This Row],[Product Option]]="My Value Plus Life &amp; Funeral",_xlfn.XLOOKUP(B437,Table2[Main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Funeral",_xlfn.XLOOKUP(B438,Table2[Main Member Link ID],Table2[Benefit Name],0)&lt;&gt;Lookups!$D$15),
IF(_xlfn.XLOOKUP(B438,Table2[Main Member Link ID],Table2[Benefit Name],0)=0,"",_xlfn.XLOOKUP(B438,Table2[Main Member Link ID],Table2[Benefit Name],0)),"")
))))))</f>
        <v/>
      </c>
      <c r="AG438" s="327" t="str">
        <f>IF(AND(Table2[[#This Row],[Member Type]]="Main Member",Table2[[#This Row],[Product Option]]="My Value Plus Life &amp; Funeral"),Lookups!$D$16,
IF(AND(Table2[[#This Row],[Member Type]]="Spouse",Table2[[#This Row],[Product Option]]="My Value Plus Life &amp; Funeral",_xlfn.XLOOKUP(B438,Table2[Main Member Link ID],Table2[Benefit Name],0)=Lookups!$D$14),"",
IF(AND(Table2[[#This Row],[Member Type]]="Spouse",Table2[[#This Row],[Product Option]]="My Value Plus Life &amp; Funeral",_xlfn.XLOOKUP(B437,Table2[Main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Funeral",_xlfn.XLOOKUP(B438,Table2[Main Member Link ID],Table2[Benefit Name],0)&lt;&gt;Lookups!$D$16),
IF(_xlfn.XLOOKUP(B438,Table2[Main Member Link ID],Table2[Benefit Name],0)=0,"",_xlfn.XLOOKUP(B438,Table2[Main Member Link ID],Table2[Benefit Name],0)),"")
))))</f>
        <v/>
      </c>
      <c r="AH438" s="327" t="str">
        <f>IF(AND(Table2[[#This Row],[Member Type]]="Main Member",Table2[[#This Row],[Product Option]]="My Value Plus Life &amp; Funeral"),Lookups!$D$17,
IF(AND(Table2[[#This Row],[Member Type]]="Spouse",Table2[[#This Row],[Product Option]]="My Value Plus Life &amp; Funeral",_xlfn.XLOOKUP(B438,Table2[Main Member Link ID],Table2[Benefit Name],0)=Lookups!$D$14),"",
IF(AND(Table2[[#This Row],[Member Type]]="Spouse",Table2[[#This Row],[Product Option]]="My Value Plus Life &amp; Funeral",_xlfn.XLOOKUP(B437,Table2[Main Member Link ID],Table2[Benefit Name],0)=Lookups!$D$16),"",
IF(AND(Table2[[#This Row],[Member Type]]="Child",Table2[[#This Row],[Product Option]]="My Value Plus Life &amp; Funeral"),"",
IF(AND(Table2[[#This Row],[Member Type]]="Child",Table2[[#This Row],[Product Option]]="My Value Plus Life &amp; Funeral",_xlfn.XLOOKUP(B438,Table2[Main Member Link ID],Table2[Benefit Name],0)=Lookups!$D$15),"",
IF(AND(OR(Table2[[#This Row],[Member Type]]="Spouse",Table2[[#This Row],[Member Type]]="Child"),Table2[[#This Row],[Product Option]]="My Value Plus Life &amp; Funeral",_xlfn.XLOOKUP(B438,Table2[Main Member Link ID],Table2[Benefit Name],0)&lt;&gt;Lookups!$D$17),
IF(_xlfn.XLOOKUP(B438,Table2[Main Member Link ID],Table2[Benefit Name],0)=0,"",_xlfn.XLOOKUP(B438,Table2[Main Member Link ID],Table2[Benefit Name],0)),""))))))</f>
        <v/>
      </c>
      <c r="AI438" s="328" t="str">
        <f>IF(AND(Table2[[#This Row],[Member Type]]="Main Member",Table2[[#This Row],[Table Lookup for Life Cover]]="MM_LIFE",Table2[[#This Row],[Age Next Birthday]]&lt;56),1,
IF(AND(Table2[[#This Row],[Member Type]]="Main Member",Table2[[#This Row],[Table Lookup for Life Cover]]="MM_LIFE",Table2[[#This Row],[Age Next Birthday]]&gt;=56),2,
""))</f>
        <v/>
      </c>
      <c r="AJ438" s="328">
        <f>IF(OR(Table2[[#This Row],[Member Type]]="Main Member",Table2[[#This Row],[Main Member Link ID]]=B437),1,0)</f>
        <v>1</v>
      </c>
      <c r="AK438" s="328">
        <f>IF(Table2[[#This Row],[Member Type]]=0,0,
IF(OR(Table2[[#This Row],[Member Type]]="Main Member",Table2[[#This Row],[Main Member Link ID]]&lt;&gt;B438),COUNTIFS(B:B,Table2[[#This Row],[Main Member Link ID]]),
COUNTIFS(B:B,Table2[[#This Row],[Main Member Link ID]],A:A,Table2[[#This Row],[Member Type]])))</f>
        <v>0</v>
      </c>
    </row>
    <row r="439" spans="1:37" x14ac:dyDescent="0.3">
      <c r="A439" s="284">
        <f>Table13[[#This Row],[Member Type]]</f>
        <v>0</v>
      </c>
      <c r="B439" s="284">
        <f>Table13[[#This Row],[Main Member Link ID]]</f>
        <v>0</v>
      </c>
      <c r="C439" s="284">
        <f>Table13[[#This Row],[ID Number]]</f>
        <v>0</v>
      </c>
      <c r="D439" s="285">
        <f>Table13[[#This Row],[Date Of Birth]]</f>
        <v>0</v>
      </c>
      <c r="E439" s="285">
        <f>Table13[[#This Row],[Commencement Date]]</f>
        <v>0</v>
      </c>
      <c r="F439" s="284">
        <f t="shared" si="42"/>
        <v>1</v>
      </c>
      <c r="G439" s="284">
        <f t="shared" si="43"/>
        <v>25</v>
      </c>
      <c r="H439" s="286">
        <f>Table13[[#This Row],[Product Option]]</f>
        <v>0</v>
      </c>
      <c r="I439" s="284">
        <f>IF(AND($A439="Main Member",Table2[[#This Row],[Product Option]]="My Value Plus Life"),"MM_LIFE",
IF(AND($A439="Spouse",Table2[[#This Row],[Product Option]]="My Value Plus Life"),"SP_LIFE",
IF(AND($A439="Main Member",Table2[[#This Row],[Product Option]]="My Value Plus Life &amp; Funeral"),"MM_LIFE",
IF(AND($A439="Spouse",Table2[[#This Row],[Product Option]]="My Value Plus Life &amp; Funeral"),_xlfn.XLOOKUP(Table2[[#This Row],[Benefit Name]],Lookups!$D$18:$D$23,Lookups!$E$18:$E$23,0),
0))))</f>
        <v>0</v>
      </c>
      <c r="J439" s="284">
        <f>IF($I439="","",
IF($I439="MM_LIFE",INDEX('Quotation Tool'!$S$54:$V$60,MATCH($T439,'Quotation Tool'!$S$54:$S$60,0),4),
IF($I439="SP_LIFE",_xlfn.XLOOKUP(B438,$B:$B,$J:$J,0),0)))</f>
        <v>0</v>
      </c>
      <c r="K439" s="287">
        <f t="shared" ca="1" si="47"/>
        <v>0</v>
      </c>
      <c r="L439" s="288">
        <f t="shared" ca="1" si="48"/>
        <v>0</v>
      </c>
      <c r="M439" s="289">
        <f t="shared" ca="1" si="44"/>
        <v>0</v>
      </c>
      <c r="N439" s="286">
        <f>Table13[[#This Row],[Benefit Option]]</f>
        <v>0</v>
      </c>
      <c r="O439" s="284">
        <f>IF(OR(Table2[[#This Row],[Member Type]]="Spouse",Table2[[#This Row],[Member Type]]="Child"),0,
IF(_xlfn.XLOOKUP($N439,Lookups!$D$13:$D$27,Lookups!$F$13:$F$27,0)=Table2[[#This Row],[Table Lookup for Life Cover]],0,
_xlfn.XLOOKUP($N439,Lookups!$D$13:$D$27,Lookups!$F$13:$F$27,0)))</f>
        <v>0</v>
      </c>
      <c r="P439" s="284">
        <f>IF(Table2[[#This Row],[Table Lookup for Funeral]]=0,0,IFERROR(INDEX('Quotation Tool'!$S$54:$V$60,MATCH($T439,'Quotation Tool'!$S$54:$S$60,0),3),0))</f>
        <v>0</v>
      </c>
      <c r="Q439" s="288">
        <f ca="1">IF(OR(Table2[[#This Row],[Benefit Name]]="My Value Plus Life - Main Member",Table2[[#This Row],[Benefit Name]]="My Value Plus Life - Spouse"),0,
IFERROR(VLOOKUP($G439,INDIRECT($O439),$P439,FALSE),0))</f>
        <v>0</v>
      </c>
      <c r="R439" s="288">
        <f ca="1">IF(OR(Table2[[#This Row],[Benefit Name]]="My Value Plus Life - Main Member",Table2[[#This Row],[Benefit Name]]="My Value Plus Life - Spouse"),0,
IFERROR(VLOOKUP($G439,INDIRECT($O439),$P439+1,FALSE),0))</f>
        <v>0</v>
      </c>
      <c r="S439" s="289">
        <f t="shared" ca="1" si="45"/>
        <v>0</v>
      </c>
      <c r="T439" s="284" t="str">
        <f>IF(Table13[[#This Row],[Premium Waiver]]="","None",Table13[[#This Row],[Premium Waiver]])</f>
        <v>None</v>
      </c>
      <c r="U439" s="284">
        <f>Table13[[#This Row],[VAPs Options]]</f>
        <v>0</v>
      </c>
      <c r="V439" s="284">
        <f>Table13[[#This Row],[Annual Increase Option]]</f>
        <v>0</v>
      </c>
      <c r="W439" s="290">
        <f>Table13[[#This Row],[Life Cover Amount]]</f>
        <v>0</v>
      </c>
      <c r="X439" s="290">
        <f>Table13[[#This Row],[Funeral Cover Amount]]</f>
        <v>0</v>
      </c>
      <c r="Y43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3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39" s="301">
        <f t="shared" ca="1" si="46"/>
        <v>0</v>
      </c>
      <c r="AB439" s="298"/>
      <c r="AC439" s="326" t="str">
        <f>IF(Table2[[#This Row],[Member Type]]="Main Member",Lookups!$C$13,
IF(Table2[[#This Row],[Member Type]]="Spouse",_xlfn.XLOOKUP(B439,Table2[Main Member Link ID],Table2[Product Option],0),
IF(AND(Table2[[#This Row],[Member Type]]="Child",_xlfn.XLOOKUP(B439,Table2[Main Member Link ID],Table2[Product Option],0)&lt;&gt;"My Value Plus Life"),Lookups!$C$24,
IF(AND(OR(Table2[[#This Row],[Member Type]]="Parent",Table2[[#This Row],[Member Type]]="Extended"),_xlfn.XLOOKUP(B439,Table2[Main Member Link ID],Table2[Product Option],0)&lt;&gt;"My Value Plus Life"),Lookups!$C$26,""))))</f>
        <v/>
      </c>
      <c r="AD439" s="326" t="str">
        <f>IF(Table2[[#This Row],[Member Type]]="Main Member",Lookups!$C$14,"")</f>
        <v/>
      </c>
      <c r="AE43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Funeral",_xlfn.XLOOKUP(B439,Table2[Main Member Link ID],Table2[Benefit Name],0)=Lookups!$D$14),"",
IF(AND(Table2[[#This Row],[Member Type]]="Spouse",Table2[[#This Row],[Product Option]]="My Value Plus Life &amp; Funeral",_xlfn.XLOOKUP(B438,Table2[Main Member Link ID],Table2[Benefit Name],0)=Lookups!$D$15),Lookups!$D$20,
IF(AND(Table2[[#This Row],[Member Type]]="Spouse",Table2[[#This Row],[Product Option]]="My Value Plus Life &amp; Funeral",_xlfn.XLOOKUP(B438,Table2[Main Member Link ID],Table2[Benefit Name],0)=Lookups!$D$16),"",
IF(AND(Table2[[#This Row],[Member Type]]="Spouse",Table2[[#This Row],[Product Option]]="My Value Plus Life &amp; Funeral",_xlfn.XLOOKUP(B438,Table2[Main Member Link ID],Table2[Benefit Name],0)=Lookups!$D$17),Lookups!$D$21,
IF(AND(Table2[[#This Row],[Member Type]]="Child",Table2[[#This Row],[Product Option]]="My Value Plus Life &amp; Funeral",_xlfn.XLOOKUP(B439,Table2[Main Member Link ID],Table2[Benefit Name],0)=Lookups!$D$14),"",
IF(AND(Table2[[#This Row],[Member Type]]="Child",Table2[[#This Row],[Product Option]]="My Value Plus Life &amp; Funeral",_xlfn.XLOOKUP(B439,Table2[Main Member Link ID],Table2[Benefit Name],0)=Lookups!$D$15),"",
IF(AND(Table2[[#This Row],[Member Type]]="Child",Table2[[#This Row],[Product Option]]="My Value Plus Life &amp; Funeral",_xlfn.XLOOKUP(B439,Table2[Main Member Link ID],Table2[Benefit Name],0)=Lookups!$D$16),Lookups!$D$24,
IF(AND(Table2[[#This Row],[Member Type]]="Child",Table2[[#This Row],[Product Option]]="My Value Plus Life &amp; Funeral",_xlfn.XLOOKUP(B439,Table2[Main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Funeral",_xlfn.XLOOKUP(B439,Table2[Main Member Link ID],Table2[Benefit Name],0)&lt;&gt;Lookups!$D$14),
IF(_xlfn.XLOOKUP(B439,Table2[Main Member Link ID],Table2[Benefit Name],0)=0,"",_xlfn.XLOOKUP(B439,Table2[Main Member Link ID],Table2[Benefit Name],0)),"")))))))))))))))</f>
        <v/>
      </c>
      <c r="AF439" s="327" t="str">
        <f>IF(AND(Table2[[#This Row],[Member Type]]="Main Member",Table2[[#This Row],[Product Option]]="My Value Plus Life &amp; Funeral"),Lookups!$D$15,
IF(AND(Table2[[#This Row],[Member Type]]="Spouse",Table2[[#This Row],[Product Option]]="My Value Plus Life &amp; Funeral",_xlfn.XLOOKUP(B439,Table2[Main Member Link ID],Table2[Benefit Name],0)=Lookups!$D$14),"",
IF(AND(Table2[[#This Row],[Member Type]]="Spouse",Table2[[#This Row],[Product Option]]="My Value Plus Life &amp; Funeral",_xlfn.XLOOKUP(B438,Table2[Main Member Link ID],Table2[Benefit Name],0)=Lookups!$D$16),"",
IF(AND(Table2[[#This Row],[Member Type]]="Spouse",Table2[[#This Row],[Product Option]]="My Value Plus Life &amp; Funeral",_xlfn.XLOOKUP(B438,Table2[Main Member Link ID],Table2[Benefit Name],0)=Lookups!$D$15),"",
IF(AND(Table2[[#This Row],[Member Type]]="Spouse",Table2[[#This Row],[Product Option]]="My Value Plus Life &amp; Funeral",_xlfn.XLOOKUP(B438,Table2[Main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Funeral",_xlfn.XLOOKUP(B439,Table2[Main Member Link ID],Table2[Benefit Name],0)&lt;&gt;Lookups!$D$15),
IF(_xlfn.XLOOKUP(B439,Table2[Main Member Link ID],Table2[Benefit Name],0)=0,"",_xlfn.XLOOKUP(B439,Table2[Main Member Link ID],Table2[Benefit Name],0)),"")
))))))</f>
        <v/>
      </c>
      <c r="AG439" s="327" t="str">
        <f>IF(AND(Table2[[#This Row],[Member Type]]="Main Member",Table2[[#This Row],[Product Option]]="My Value Plus Life &amp; Funeral"),Lookups!$D$16,
IF(AND(Table2[[#This Row],[Member Type]]="Spouse",Table2[[#This Row],[Product Option]]="My Value Plus Life &amp; Funeral",_xlfn.XLOOKUP(B439,Table2[Main Member Link ID],Table2[Benefit Name],0)=Lookups!$D$14),"",
IF(AND(Table2[[#This Row],[Member Type]]="Spouse",Table2[[#This Row],[Product Option]]="My Value Plus Life &amp; Funeral",_xlfn.XLOOKUP(B438,Table2[Main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Funeral",_xlfn.XLOOKUP(B439,Table2[Main Member Link ID],Table2[Benefit Name],0)&lt;&gt;Lookups!$D$16),
IF(_xlfn.XLOOKUP(B439,Table2[Main Member Link ID],Table2[Benefit Name],0)=0,"",_xlfn.XLOOKUP(B439,Table2[Main Member Link ID],Table2[Benefit Name],0)),"")
))))</f>
        <v/>
      </c>
      <c r="AH439" s="327" t="str">
        <f>IF(AND(Table2[[#This Row],[Member Type]]="Main Member",Table2[[#This Row],[Product Option]]="My Value Plus Life &amp; Funeral"),Lookups!$D$17,
IF(AND(Table2[[#This Row],[Member Type]]="Spouse",Table2[[#This Row],[Product Option]]="My Value Plus Life &amp; Funeral",_xlfn.XLOOKUP(B439,Table2[Main Member Link ID],Table2[Benefit Name],0)=Lookups!$D$14),"",
IF(AND(Table2[[#This Row],[Member Type]]="Spouse",Table2[[#This Row],[Product Option]]="My Value Plus Life &amp; Funeral",_xlfn.XLOOKUP(B438,Table2[Main Member Link ID],Table2[Benefit Name],0)=Lookups!$D$16),"",
IF(AND(Table2[[#This Row],[Member Type]]="Child",Table2[[#This Row],[Product Option]]="My Value Plus Life &amp; Funeral"),"",
IF(AND(Table2[[#This Row],[Member Type]]="Child",Table2[[#This Row],[Product Option]]="My Value Plus Life &amp; Funeral",_xlfn.XLOOKUP(B439,Table2[Main Member Link ID],Table2[Benefit Name],0)=Lookups!$D$15),"",
IF(AND(OR(Table2[[#This Row],[Member Type]]="Spouse",Table2[[#This Row],[Member Type]]="Child"),Table2[[#This Row],[Product Option]]="My Value Plus Life &amp; Funeral",_xlfn.XLOOKUP(B439,Table2[Main Member Link ID],Table2[Benefit Name],0)&lt;&gt;Lookups!$D$17),
IF(_xlfn.XLOOKUP(B439,Table2[Main Member Link ID],Table2[Benefit Name],0)=0,"",_xlfn.XLOOKUP(B439,Table2[Main Member Link ID],Table2[Benefit Name],0)),""))))))</f>
        <v/>
      </c>
      <c r="AI439" s="328" t="str">
        <f>IF(AND(Table2[[#This Row],[Member Type]]="Main Member",Table2[[#This Row],[Table Lookup for Life Cover]]="MM_LIFE",Table2[[#This Row],[Age Next Birthday]]&lt;56),1,
IF(AND(Table2[[#This Row],[Member Type]]="Main Member",Table2[[#This Row],[Table Lookup for Life Cover]]="MM_LIFE",Table2[[#This Row],[Age Next Birthday]]&gt;=56),2,
""))</f>
        <v/>
      </c>
      <c r="AJ439" s="328">
        <f>IF(OR(Table2[[#This Row],[Member Type]]="Main Member",Table2[[#This Row],[Main Member Link ID]]=B438),1,0)</f>
        <v>1</v>
      </c>
      <c r="AK439" s="328">
        <f>IF(Table2[[#This Row],[Member Type]]=0,0,
IF(OR(Table2[[#This Row],[Member Type]]="Main Member",Table2[[#This Row],[Main Member Link ID]]&lt;&gt;B439),COUNTIFS(B:B,Table2[[#This Row],[Main Member Link ID]]),
COUNTIFS(B:B,Table2[[#This Row],[Main Member Link ID]],A:A,Table2[[#This Row],[Member Type]])))</f>
        <v>0</v>
      </c>
    </row>
    <row r="440" spans="1:37" x14ac:dyDescent="0.3">
      <c r="A440" s="284">
        <f>Table13[[#This Row],[Member Type]]</f>
        <v>0</v>
      </c>
      <c r="B440" s="284">
        <f>Table13[[#This Row],[Main Member Link ID]]</f>
        <v>0</v>
      </c>
      <c r="C440" s="284">
        <f>Table13[[#This Row],[ID Number]]</f>
        <v>0</v>
      </c>
      <c r="D440" s="285">
        <f>Table13[[#This Row],[Date Of Birth]]</f>
        <v>0</v>
      </c>
      <c r="E440" s="285">
        <f>Table13[[#This Row],[Commencement Date]]</f>
        <v>0</v>
      </c>
      <c r="F440" s="284">
        <f t="shared" si="42"/>
        <v>1</v>
      </c>
      <c r="G440" s="284">
        <f t="shared" si="43"/>
        <v>25</v>
      </c>
      <c r="H440" s="286">
        <f>Table13[[#This Row],[Product Option]]</f>
        <v>0</v>
      </c>
      <c r="I440" s="284">
        <f>IF(AND($A440="Main Member",Table2[[#This Row],[Product Option]]="My Value Plus Life"),"MM_LIFE",
IF(AND($A440="Spouse",Table2[[#This Row],[Product Option]]="My Value Plus Life"),"SP_LIFE",
IF(AND($A440="Main Member",Table2[[#This Row],[Product Option]]="My Value Plus Life &amp; Funeral"),"MM_LIFE",
IF(AND($A440="Spouse",Table2[[#This Row],[Product Option]]="My Value Plus Life &amp; Funeral"),_xlfn.XLOOKUP(Table2[[#This Row],[Benefit Name]],Lookups!$D$18:$D$23,Lookups!$E$18:$E$23,0),
0))))</f>
        <v>0</v>
      </c>
      <c r="J440" s="284">
        <f>IF($I440="","",
IF($I440="MM_LIFE",INDEX('Quotation Tool'!$S$54:$V$60,MATCH($T440,'Quotation Tool'!$S$54:$S$60,0),4),
IF($I440="SP_LIFE",_xlfn.XLOOKUP(B439,$B:$B,$J:$J,0),0)))</f>
        <v>0</v>
      </c>
      <c r="K440" s="287">
        <f t="shared" ca="1" si="47"/>
        <v>0</v>
      </c>
      <c r="L440" s="288">
        <f t="shared" ca="1" si="48"/>
        <v>0</v>
      </c>
      <c r="M440" s="289">
        <f t="shared" ca="1" si="44"/>
        <v>0</v>
      </c>
      <c r="N440" s="286">
        <f>Table13[[#This Row],[Benefit Option]]</f>
        <v>0</v>
      </c>
      <c r="O440" s="284">
        <f>IF(OR(Table2[[#This Row],[Member Type]]="Spouse",Table2[[#This Row],[Member Type]]="Child"),0,
IF(_xlfn.XLOOKUP($N440,Lookups!$D$13:$D$27,Lookups!$F$13:$F$27,0)=Table2[[#This Row],[Table Lookup for Life Cover]],0,
_xlfn.XLOOKUP($N440,Lookups!$D$13:$D$27,Lookups!$F$13:$F$27,0)))</f>
        <v>0</v>
      </c>
      <c r="P440" s="284">
        <f>IF(Table2[[#This Row],[Table Lookup for Funeral]]=0,0,IFERROR(INDEX('Quotation Tool'!$S$54:$V$60,MATCH($T440,'Quotation Tool'!$S$54:$S$60,0),3),0))</f>
        <v>0</v>
      </c>
      <c r="Q440" s="288">
        <f ca="1">IF(OR(Table2[[#This Row],[Benefit Name]]="My Value Plus Life - Main Member",Table2[[#This Row],[Benefit Name]]="My Value Plus Life - Spouse"),0,
IFERROR(VLOOKUP($G440,INDIRECT($O440),$P440,FALSE),0))</f>
        <v>0</v>
      </c>
      <c r="R440" s="288">
        <f ca="1">IF(OR(Table2[[#This Row],[Benefit Name]]="My Value Plus Life - Main Member",Table2[[#This Row],[Benefit Name]]="My Value Plus Life - Spouse"),0,
IFERROR(VLOOKUP($G440,INDIRECT($O440),$P440+1,FALSE),0))</f>
        <v>0</v>
      </c>
      <c r="S440" s="289">
        <f t="shared" ca="1" si="45"/>
        <v>0</v>
      </c>
      <c r="T440" s="284" t="str">
        <f>IF(Table13[[#This Row],[Premium Waiver]]="","None",Table13[[#This Row],[Premium Waiver]])</f>
        <v>None</v>
      </c>
      <c r="U440" s="284">
        <f>Table13[[#This Row],[VAPs Options]]</f>
        <v>0</v>
      </c>
      <c r="V440" s="284">
        <f>Table13[[#This Row],[Annual Increase Option]]</f>
        <v>0</v>
      </c>
      <c r="W440" s="290">
        <f>Table13[[#This Row],[Life Cover Amount]]</f>
        <v>0</v>
      </c>
      <c r="X440" s="290">
        <f>Table13[[#This Row],[Funeral Cover Amount]]</f>
        <v>0</v>
      </c>
      <c r="Y44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4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40" s="301">
        <f t="shared" ca="1" si="46"/>
        <v>0</v>
      </c>
      <c r="AB440" s="298"/>
      <c r="AC440" s="326" t="str">
        <f>IF(Table2[[#This Row],[Member Type]]="Main Member",Lookups!$C$13,
IF(Table2[[#This Row],[Member Type]]="Spouse",_xlfn.XLOOKUP(B440,Table2[Main Member Link ID],Table2[Product Option],0),
IF(AND(Table2[[#This Row],[Member Type]]="Child",_xlfn.XLOOKUP(B440,Table2[Main Member Link ID],Table2[Product Option],0)&lt;&gt;"My Value Plus Life"),Lookups!$C$24,
IF(AND(OR(Table2[[#This Row],[Member Type]]="Parent",Table2[[#This Row],[Member Type]]="Extended"),_xlfn.XLOOKUP(B440,Table2[Main Member Link ID],Table2[Product Option],0)&lt;&gt;"My Value Plus Life"),Lookups!$C$26,""))))</f>
        <v/>
      </c>
      <c r="AD440" s="326" t="str">
        <f>IF(Table2[[#This Row],[Member Type]]="Main Member",Lookups!$C$14,"")</f>
        <v/>
      </c>
      <c r="AE44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Funeral",_xlfn.XLOOKUP(B440,Table2[Main Member Link ID],Table2[Benefit Name],0)=Lookups!$D$14),"",
IF(AND(Table2[[#This Row],[Member Type]]="Spouse",Table2[[#This Row],[Product Option]]="My Value Plus Life &amp; Funeral",_xlfn.XLOOKUP(B439,Table2[Main Member Link ID],Table2[Benefit Name],0)=Lookups!$D$15),Lookups!$D$20,
IF(AND(Table2[[#This Row],[Member Type]]="Spouse",Table2[[#This Row],[Product Option]]="My Value Plus Life &amp; Funeral",_xlfn.XLOOKUP(B439,Table2[Main Member Link ID],Table2[Benefit Name],0)=Lookups!$D$16),"",
IF(AND(Table2[[#This Row],[Member Type]]="Spouse",Table2[[#This Row],[Product Option]]="My Value Plus Life &amp; Funeral",_xlfn.XLOOKUP(B439,Table2[Main Member Link ID],Table2[Benefit Name],0)=Lookups!$D$17),Lookups!$D$21,
IF(AND(Table2[[#This Row],[Member Type]]="Child",Table2[[#This Row],[Product Option]]="My Value Plus Life &amp; Funeral",_xlfn.XLOOKUP(B440,Table2[Main Member Link ID],Table2[Benefit Name],0)=Lookups!$D$14),"",
IF(AND(Table2[[#This Row],[Member Type]]="Child",Table2[[#This Row],[Product Option]]="My Value Plus Life &amp; Funeral",_xlfn.XLOOKUP(B440,Table2[Main Member Link ID],Table2[Benefit Name],0)=Lookups!$D$15),"",
IF(AND(Table2[[#This Row],[Member Type]]="Child",Table2[[#This Row],[Product Option]]="My Value Plus Life &amp; Funeral",_xlfn.XLOOKUP(B440,Table2[Main Member Link ID],Table2[Benefit Name],0)=Lookups!$D$16),Lookups!$D$24,
IF(AND(Table2[[#This Row],[Member Type]]="Child",Table2[[#This Row],[Product Option]]="My Value Plus Life &amp; Funeral",_xlfn.XLOOKUP(B440,Table2[Main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Funeral",_xlfn.XLOOKUP(B440,Table2[Main Member Link ID],Table2[Benefit Name],0)&lt;&gt;Lookups!$D$14),
IF(_xlfn.XLOOKUP(B440,Table2[Main Member Link ID],Table2[Benefit Name],0)=0,"",_xlfn.XLOOKUP(B440,Table2[Main Member Link ID],Table2[Benefit Name],0)),"")))))))))))))))</f>
        <v/>
      </c>
      <c r="AF440" s="327" t="str">
        <f>IF(AND(Table2[[#This Row],[Member Type]]="Main Member",Table2[[#This Row],[Product Option]]="My Value Plus Life &amp; Funeral"),Lookups!$D$15,
IF(AND(Table2[[#This Row],[Member Type]]="Spouse",Table2[[#This Row],[Product Option]]="My Value Plus Life &amp; Funeral",_xlfn.XLOOKUP(B440,Table2[Main Member Link ID],Table2[Benefit Name],0)=Lookups!$D$14),"",
IF(AND(Table2[[#This Row],[Member Type]]="Spouse",Table2[[#This Row],[Product Option]]="My Value Plus Life &amp; Funeral",_xlfn.XLOOKUP(B439,Table2[Main Member Link ID],Table2[Benefit Name],0)=Lookups!$D$16),"",
IF(AND(Table2[[#This Row],[Member Type]]="Spouse",Table2[[#This Row],[Product Option]]="My Value Plus Life &amp; Funeral",_xlfn.XLOOKUP(B439,Table2[Main Member Link ID],Table2[Benefit Name],0)=Lookups!$D$15),"",
IF(AND(Table2[[#This Row],[Member Type]]="Spouse",Table2[[#This Row],[Product Option]]="My Value Plus Life &amp; Funeral",_xlfn.XLOOKUP(B439,Table2[Main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Funeral",_xlfn.XLOOKUP(B440,Table2[Main Member Link ID],Table2[Benefit Name],0)&lt;&gt;Lookups!$D$15),
IF(_xlfn.XLOOKUP(B440,Table2[Main Member Link ID],Table2[Benefit Name],0)=0,"",_xlfn.XLOOKUP(B440,Table2[Main Member Link ID],Table2[Benefit Name],0)),"")
))))))</f>
        <v/>
      </c>
      <c r="AG440" s="327" t="str">
        <f>IF(AND(Table2[[#This Row],[Member Type]]="Main Member",Table2[[#This Row],[Product Option]]="My Value Plus Life &amp; Funeral"),Lookups!$D$16,
IF(AND(Table2[[#This Row],[Member Type]]="Spouse",Table2[[#This Row],[Product Option]]="My Value Plus Life &amp; Funeral",_xlfn.XLOOKUP(B440,Table2[Main Member Link ID],Table2[Benefit Name],0)=Lookups!$D$14),"",
IF(AND(Table2[[#This Row],[Member Type]]="Spouse",Table2[[#This Row],[Product Option]]="My Value Plus Life &amp; Funeral",_xlfn.XLOOKUP(B439,Table2[Main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Funeral",_xlfn.XLOOKUP(B440,Table2[Main Member Link ID],Table2[Benefit Name],0)&lt;&gt;Lookups!$D$16),
IF(_xlfn.XLOOKUP(B440,Table2[Main Member Link ID],Table2[Benefit Name],0)=0,"",_xlfn.XLOOKUP(B440,Table2[Main Member Link ID],Table2[Benefit Name],0)),"")
))))</f>
        <v/>
      </c>
      <c r="AH440" s="327" t="str">
        <f>IF(AND(Table2[[#This Row],[Member Type]]="Main Member",Table2[[#This Row],[Product Option]]="My Value Plus Life &amp; Funeral"),Lookups!$D$17,
IF(AND(Table2[[#This Row],[Member Type]]="Spouse",Table2[[#This Row],[Product Option]]="My Value Plus Life &amp; Funeral",_xlfn.XLOOKUP(B440,Table2[Main Member Link ID],Table2[Benefit Name],0)=Lookups!$D$14),"",
IF(AND(Table2[[#This Row],[Member Type]]="Spouse",Table2[[#This Row],[Product Option]]="My Value Plus Life &amp; Funeral",_xlfn.XLOOKUP(B439,Table2[Main Member Link ID],Table2[Benefit Name],0)=Lookups!$D$16),"",
IF(AND(Table2[[#This Row],[Member Type]]="Child",Table2[[#This Row],[Product Option]]="My Value Plus Life &amp; Funeral"),"",
IF(AND(Table2[[#This Row],[Member Type]]="Child",Table2[[#This Row],[Product Option]]="My Value Plus Life &amp; Funeral",_xlfn.XLOOKUP(B440,Table2[Main Member Link ID],Table2[Benefit Name],0)=Lookups!$D$15),"",
IF(AND(OR(Table2[[#This Row],[Member Type]]="Spouse",Table2[[#This Row],[Member Type]]="Child"),Table2[[#This Row],[Product Option]]="My Value Plus Life &amp; Funeral",_xlfn.XLOOKUP(B440,Table2[Main Member Link ID],Table2[Benefit Name],0)&lt;&gt;Lookups!$D$17),
IF(_xlfn.XLOOKUP(B440,Table2[Main Member Link ID],Table2[Benefit Name],0)=0,"",_xlfn.XLOOKUP(B440,Table2[Main Member Link ID],Table2[Benefit Name],0)),""))))))</f>
        <v/>
      </c>
      <c r="AI440" s="328" t="str">
        <f>IF(AND(Table2[[#This Row],[Member Type]]="Main Member",Table2[[#This Row],[Table Lookup for Life Cover]]="MM_LIFE",Table2[[#This Row],[Age Next Birthday]]&lt;56),1,
IF(AND(Table2[[#This Row],[Member Type]]="Main Member",Table2[[#This Row],[Table Lookup for Life Cover]]="MM_LIFE",Table2[[#This Row],[Age Next Birthday]]&gt;=56),2,
""))</f>
        <v/>
      </c>
      <c r="AJ440" s="328">
        <f>IF(OR(Table2[[#This Row],[Member Type]]="Main Member",Table2[[#This Row],[Main Member Link ID]]=B439),1,0)</f>
        <v>1</v>
      </c>
      <c r="AK440" s="328">
        <f>IF(Table2[[#This Row],[Member Type]]=0,0,
IF(OR(Table2[[#This Row],[Member Type]]="Main Member",Table2[[#This Row],[Main Member Link ID]]&lt;&gt;B440),COUNTIFS(B:B,Table2[[#This Row],[Main Member Link ID]]),
COUNTIFS(B:B,Table2[[#This Row],[Main Member Link ID]],A:A,Table2[[#This Row],[Member Type]])))</f>
        <v>0</v>
      </c>
    </row>
    <row r="441" spans="1:37" x14ac:dyDescent="0.3">
      <c r="A441" s="284">
        <f>Table13[[#This Row],[Member Type]]</f>
        <v>0</v>
      </c>
      <c r="B441" s="284">
        <f>Table13[[#This Row],[Main Member Link ID]]</f>
        <v>0</v>
      </c>
      <c r="C441" s="284">
        <f>Table13[[#This Row],[ID Number]]</f>
        <v>0</v>
      </c>
      <c r="D441" s="285">
        <f>Table13[[#This Row],[Date Of Birth]]</f>
        <v>0</v>
      </c>
      <c r="E441" s="285">
        <f>Table13[[#This Row],[Commencement Date]]</f>
        <v>0</v>
      </c>
      <c r="F441" s="284">
        <f t="shared" si="42"/>
        <v>1</v>
      </c>
      <c r="G441" s="284">
        <f t="shared" si="43"/>
        <v>25</v>
      </c>
      <c r="H441" s="286">
        <f>Table13[[#This Row],[Product Option]]</f>
        <v>0</v>
      </c>
      <c r="I441" s="284">
        <f>IF(AND($A441="Main Member",Table2[[#This Row],[Product Option]]="My Value Plus Life"),"MM_LIFE",
IF(AND($A441="Spouse",Table2[[#This Row],[Product Option]]="My Value Plus Life"),"SP_LIFE",
IF(AND($A441="Main Member",Table2[[#This Row],[Product Option]]="My Value Plus Life &amp; Funeral"),"MM_LIFE",
IF(AND($A441="Spouse",Table2[[#This Row],[Product Option]]="My Value Plus Life &amp; Funeral"),_xlfn.XLOOKUP(Table2[[#This Row],[Benefit Name]],Lookups!$D$18:$D$23,Lookups!$E$18:$E$23,0),
0))))</f>
        <v>0</v>
      </c>
      <c r="J441" s="284">
        <f>IF($I441="","",
IF($I441="MM_LIFE",INDEX('Quotation Tool'!$S$54:$V$60,MATCH($T441,'Quotation Tool'!$S$54:$S$60,0),4),
IF($I441="SP_LIFE",_xlfn.XLOOKUP(B440,$B:$B,$J:$J,0),0)))</f>
        <v>0</v>
      </c>
      <c r="K441" s="287">
        <f t="shared" ca="1" si="47"/>
        <v>0</v>
      </c>
      <c r="L441" s="288">
        <f t="shared" ca="1" si="48"/>
        <v>0</v>
      </c>
      <c r="M441" s="289">
        <f t="shared" ca="1" si="44"/>
        <v>0</v>
      </c>
      <c r="N441" s="286">
        <f>Table13[[#This Row],[Benefit Option]]</f>
        <v>0</v>
      </c>
      <c r="O441" s="284">
        <f>IF(OR(Table2[[#This Row],[Member Type]]="Spouse",Table2[[#This Row],[Member Type]]="Child"),0,
IF(_xlfn.XLOOKUP($N441,Lookups!$D$13:$D$27,Lookups!$F$13:$F$27,0)=Table2[[#This Row],[Table Lookup for Life Cover]],0,
_xlfn.XLOOKUP($N441,Lookups!$D$13:$D$27,Lookups!$F$13:$F$27,0)))</f>
        <v>0</v>
      </c>
      <c r="P441" s="284">
        <f>IF(Table2[[#This Row],[Table Lookup for Funeral]]=0,0,IFERROR(INDEX('Quotation Tool'!$S$54:$V$60,MATCH($T441,'Quotation Tool'!$S$54:$S$60,0),3),0))</f>
        <v>0</v>
      </c>
      <c r="Q441" s="288">
        <f ca="1">IF(OR(Table2[[#This Row],[Benefit Name]]="My Value Plus Life - Main Member",Table2[[#This Row],[Benefit Name]]="My Value Plus Life - Spouse"),0,
IFERROR(VLOOKUP($G441,INDIRECT($O441),$P441,FALSE),0))</f>
        <v>0</v>
      </c>
      <c r="R441" s="288">
        <f ca="1">IF(OR(Table2[[#This Row],[Benefit Name]]="My Value Plus Life - Main Member",Table2[[#This Row],[Benefit Name]]="My Value Plus Life - Spouse"),0,
IFERROR(VLOOKUP($G441,INDIRECT($O441),$P441+1,FALSE),0))</f>
        <v>0</v>
      </c>
      <c r="S441" s="289">
        <f t="shared" ca="1" si="45"/>
        <v>0</v>
      </c>
      <c r="T441" s="284" t="str">
        <f>IF(Table13[[#This Row],[Premium Waiver]]="","None",Table13[[#This Row],[Premium Waiver]])</f>
        <v>None</v>
      </c>
      <c r="U441" s="284">
        <f>Table13[[#This Row],[VAPs Options]]</f>
        <v>0</v>
      </c>
      <c r="V441" s="284">
        <f>Table13[[#This Row],[Annual Increase Option]]</f>
        <v>0</v>
      </c>
      <c r="W441" s="290">
        <f>Table13[[#This Row],[Life Cover Amount]]</f>
        <v>0</v>
      </c>
      <c r="X441" s="290">
        <f>Table13[[#This Row],[Funeral Cover Amount]]</f>
        <v>0</v>
      </c>
      <c r="Y44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4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41" s="301">
        <f t="shared" ca="1" si="46"/>
        <v>0</v>
      </c>
      <c r="AB441" s="298"/>
      <c r="AC441" s="326" t="str">
        <f>IF(Table2[[#This Row],[Member Type]]="Main Member",Lookups!$C$13,
IF(Table2[[#This Row],[Member Type]]="Spouse",_xlfn.XLOOKUP(B441,Table2[Main Member Link ID],Table2[Product Option],0),
IF(AND(Table2[[#This Row],[Member Type]]="Child",_xlfn.XLOOKUP(B441,Table2[Main Member Link ID],Table2[Product Option],0)&lt;&gt;"My Value Plus Life"),Lookups!$C$24,
IF(AND(OR(Table2[[#This Row],[Member Type]]="Parent",Table2[[#This Row],[Member Type]]="Extended"),_xlfn.XLOOKUP(B441,Table2[Main Member Link ID],Table2[Product Option],0)&lt;&gt;"My Value Plus Life"),Lookups!$C$26,""))))</f>
        <v/>
      </c>
      <c r="AD441" s="326" t="str">
        <f>IF(Table2[[#This Row],[Member Type]]="Main Member",Lookups!$C$14,"")</f>
        <v/>
      </c>
      <c r="AE44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Funeral",_xlfn.XLOOKUP(B441,Table2[Main Member Link ID],Table2[Benefit Name],0)=Lookups!$D$14),"",
IF(AND(Table2[[#This Row],[Member Type]]="Spouse",Table2[[#This Row],[Product Option]]="My Value Plus Life &amp; Funeral",_xlfn.XLOOKUP(B440,Table2[Main Member Link ID],Table2[Benefit Name],0)=Lookups!$D$15),Lookups!$D$20,
IF(AND(Table2[[#This Row],[Member Type]]="Spouse",Table2[[#This Row],[Product Option]]="My Value Plus Life &amp; Funeral",_xlfn.XLOOKUP(B440,Table2[Main Member Link ID],Table2[Benefit Name],0)=Lookups!$D$16),"",
IF(AND(Table2[[#This Row],[Member Type]]="Spouse",Table2[[#This Row],[Product Option]]="My Value Plus Life &amp; Funeral",_xlfn.XLOOKUP(B440,Table2[Main Member Link ID],Table2[Benefit Name],0)=Lookups!$D$17),Lookups!$D$21,
IF(AND(Table2[[#This Row],[Member Type]]="Child",Table2[[#This Row],[Product Option]]="My Value Plus Life &amp; Funeral",_xlfn.XLOOKUP(B441,Table2[Main Member Link ID],Table2[Benefit Name],0)=Lookups!$D$14),"",
IF(AND(Table2[[#This Row],[Member Type]]="Child",Table2[[#This Row],[Product Option]]="My Value Plus Life &amp; Funeral",_xlfn.XLOOKUP(B441,Table2[Main Member Link ID],Table2[Benefit Name],0)=Lookups!$D$15),"",
IF(AND(Table2[[#This Row],[Member Type]]="Child",Table2[[#This Row],[Product Option]]="My Value Plus Life &amp; Funeral",_xlfn.XLOOKUP(B441,Table2[Main Member Link ID],Table2[Benefit Name],0)=Lookups!$D$16),Lookups!$D$24,
IF(AND(Table2[[#This Row],[Member Type]]="Child",Table2[[#This Row],[Product Option]]="My Value Plus Life &amp; Funeral",_xlfn.XLOOKUP(B441,Table2[Main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Funeral",_xlfn.XLOOKUP(B441,Table2[Main Member Link ID],Table2[Benefit Name],0)&lt;&gt;Lookups!$D$14),
IF(_xlfn.XLOOKUP(B441,Table2[Main Member Link ID],Table2[Benefit Name],0)=0,"",_xlfn.XLOOKUP(B441,Table2[Main Member Link ID],Table2[Benefit Name],0)),"")))))))))))))))</f>
        <v/>
      </c>
      <c r="AF441" s="327" t="str">
        <f>IF(AND(Table2[[#This Row],[Member Type]]="Main Member",Table2[[#This Row],[Product Option]]="My Value Plus Life &amp; Funeral"),Lookups!$D$15,
IF(AND(Table2[[#This Row],[Member Type]]="Spouse",Table2[[#This Row],[Product Option]]="My Value Plus Life &amp; Funeral",_xlfn.XLOOKUP(B441,Table2[Main Member Link ID],Table2[Benefit Name],0)=Lookups!$D$14),"",
IF(AND(Table2[[#This Row],[Member Type]]="Spouse",Table2[[#This Row],[Product Option]]="My Value Plus Life &amp; Funeral",_xlfn.XLOOKUP(B440,Table2[Main Member Link ID],Table2[Benefit Name],0)=Lookups!$D$16),"",
IF(AND(Table2[[#This Row],[Member Type]]="Spouse",Table2[[#This Row],[Product Option]]="My Value Plus Life &amp; Funeral",_xlfn.XLOOKUP(B440,Table2[Main Member Link ID],Table2[Benefit Name],0)=Lookups!$D$15),"",
IF(AND(Table2[[#This Row],[Member Type]]="Spouse",Table2[[#This Row],[Product Option]]="My Value Plus Life &amp; Funeral",_xlfn.XLOOKUP(B440,Table2[Main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Funeral",_xlfn.XLOOKUP(B441,Table2[Main Member Link ID],Table2[Benefit Name],0)&lt;&gt;Lookups!$D$15),
IF(_xlfn.XLOOKUP(B441,Table2[Main Member Link ID],Table2[Benefit Name],0)=0,"",_xlfn.XLOOKUP(B441,Table2[Main Member Link ID],Table2[Benefit Name],0)),"")
))))))</f>
        <v/>
      </c>
      <c r="AG441" s="327" t="str">
        <f>IF(AND(Table2[[#This Row],[Member Type]]="Main Member",Table2[[#This Row],[Product Option]]="My Value Plus Life &amp; Funeral"),Lookups!$D$16,
IF(AND(Table2[[#This Row],[Member Type]]="Spouse",Table2[[#This Row],[Product Option]]="My Value Plus Life &amp; Funeral",_xlfn.XLOOKUP(B441,Table2[Main Member Link ID],Table2[Benefit Name],0)=Lookups!$D$14),"",
IF(AND(Table2[[#This Row],[Member Type]]="Spouse",Table2[[#This Row],[Product Option]]="My Value Plus Life &amp; Funeral",_xlfn.XLOOKUP(B440,Table2[Main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Funeral",_xlfn.XLOOKUP(B441,Table2[Main Member Link ID],Table2[Benefit Name],0)&lt;&gt;Lookups!$D$16),
IF(_xlfn.XLOOKUP(B441,Table2[Main Member Link ID],Table2[Benefit Name],0)=0,"",_xlfn.XLOOKUP(B441,Table2[Main Member Link ID],Table2[Benefit Name],0)),"")
))))</f>
        <v/>
      </c>
      <c r="AH441" s="327" t="str">
        <f>IF(AND(Table2[[#This Row],[Member Type]]="Main Member",Table2[[#This Row],[Product Option]]="My Value Plus Life &amp; Funeral"),Lookups!$D$17,
IF(AND(Table2[[#This Row],[Member Type]]="Spouse",Table2[[#This Row],[Product Option]]="My Value Plus Life &amp; Funeral",_xlfn.XLOOKUP(B441,Table2[Main Member Link ID],Table2[Benefit Name],0)=Lookups!$D$14),"",
IF(AND(Table2[[#This Row],[Member Type]]="Spouse",Table2[[#This Row],[Product Option]]="My Value Plus Life &amp; Funeral",_xlfn.XLOOKUP(B440,Table2[Main Member Link ID],Table2[Benefit Name],0)=Lookups!$D$16),"",
IF(AND(Table2[[#This Row],[Member Type]]="Child",Table2[[#This Row],[Product Option]]="My Value Plus Life &amp; Funeral"),"",
IF(AND(Table2[[#This Row],[Member Type]]="Child",Table2[[#This Row],[Product Option]]="My Value Plus Life &amp; Funeral",_xlfn.XLOOKUP(B441,Table2[Main Member Link ID],Table2[Benefit Name],0)=Lookups!$D$15),"",
IF(AND(OR(Table2[[#This Row],[Member Type]]="Spouse",Table2[[#This Row],[Member Type]]="Child"),Table2[[#This Row],[Product Option]]="My Value Plus Life &amp; Funeral",_xlfn.XLOOKUP(B441,Table2[Main Member Link ID],Table2[Benefit Name],0)&lt;&gt;Lookups!$D$17),
IF(_xlfn.XLOOKUP(B441,Table2[Main Member Link ID],Table2[Benefit Name],0)=0,"",_xlfn.XLOOKUP(B441,Table2[Main Member Link ID],Table2[Benefit Name],0)),""))))))</f>
        <v/>
      </c>
      <c r="AI441" s="328" t="str">
        <f>IF(AND(Table2[[#This Row],[Member Type]]="Main Member",Table2[[#This Row],[Table Lookup for Life Cover]]="MM_LIFE",Table2[[#This Row],[Age Next Birthday]]&lt;56),1,
IF(AND(Table2[[#This Row],[Member Type]]="Main Member",Table2[[#This Row],[Table Lookup for Life Cover]]="MM_LIFE",Table2[[#This Row],[Age Next Birthday]]&gt;=56),2,
""))</f>
        <v/>
      </c>
      <c r="AJ441" s="328">
        <f>IF(OR(Table2[[#This Row],[Member Type]]="Main Member",Table2[[#This Row],[Main Member Link ID]]=B440),1,0)</f>
        <v>1</v>
      </c>
      <c r="AK441" s="328">
        <f>IF(Table2[[#This Row],[Member Type]]=0,0,
IF(OR(Table2[[#This Row],[Member Type]]="Main Member",Table2[[#This Row],[Main Member Link ID]]&lt;&gt;B441),COUNTIFS(B:B,Table2[[#This Row],[Main Member Link ID]]),
COUNTIFS(B:B,Table2[[#This Row],[Main Member Link ID]],A:A,Table2[[#This Row],[Member Type]])))</f>
        <v>0</v>
      </c>
    </row>
    <row r="442" spans="1:37" x14ac:dyDescent="0.3">
      <c r="A442" s="284">
        <f>Table13[[#This Row],[Member Type]]</f>
        <v>0</v>
      </c>
      <c r="B442" s="284">
        <f>Table13[[#This Row],[Main Member Link ID]]</f>
        <v>0</v>
      </c>
      <c r="C442" s="284">
        <f>Table13[[#This Row],[ID Number]]</f>
        <v>0</v>
      </c>
      <c r="D442" s="285">
        <f>Table13[[#This Row],[Date Of Birth]]</f>
        <v>0</v>
      </c>
      <c r="E442" s="285">
        <f>Table13[[#This Row],[Commencement Date]]</f>
        <v>0</v>
      </c>
      <c r="F442" s="284">
        <f t="shared" si="42"/>
        <v>1</v>
      </c>
      <c r="G442" s="284">
        <f t="shared" si="43"/>
        <v>25</v>
      </c>
      <c r="H442" s="286">
        <f>Table13[[#This Row],[Product Option]]</f>
        <v>0</v>
      </c>
      <c r="I442" s="284">
        <f>IF(AND($A442="Main Member",Table2[[#This Row],[Product Option]]="My Value Plus Life"),"MM_LIFE",
IF(AND($A442="Spouse",Table2[[#This Row],[Product Option]]="My Value Plus Life"),"SP_LIFE",
IF(AND($A442="Main Member",Table2[[#This Row],[Product Option]]="My Value Plus Life &amp; Funeral"),"MM_LIFE",
IF(AND($A442="Spouse",Table2[[#This Row],[Product Option]]="My Value Plus Life &amp; Funeral"),_xlfn.XLOOKUP(Table2[[#This Row],[Benefit Name]],Lookups!$D$18:$D$23,Lookups!$E$18:$E$23,0),
0))))</f>
        <v>0</v>
      </c>
      <c r="J442" s="284">
        <f>IF($I442="","",
IF($I442="MM_LIFE",INDEX('Quotation Tool'!$S$54:$V$60,MATCH($T442,'Quotation Tool'!$S$54:$S$60,0),4),
IF($I442="SP_LIFE",_xlfn.XLOOKUP(B441,$B:$B,$J:$J,0),0)))</f>
        <v>0</v>
      </c>
      <c r="K442" s="287">
        <f t="shared" ca="1" si="47"/>
        <v>0</v>
      </c>
      <c r="L442" s="288">
        <f t="shared" ca="1" si="48"/>
        <v>0</v>
      </c>
      <c r="M442" s="289">
        <f t="shared" ca="1" si="44"/>
        <v>0</v>
      </c>
      <c r="N442" s="286">
        <f>Table13[[#This Row],[Benefit Option]]</f>
        <v>0</v>
      </c>
      <c r="O442" s="284">
        <f>IF(OR(Table2[[#This Row],[Member Type]]="Spouse",Table2[[#This Row],[Member Type]]="Child"),0,
IF(_xlfn.XLOOKUP($N442,Lookups!$D$13:$D$27,Lookups!$F$13:$F$27,0)=Table2[[#This Row],[Table Lookup for Life Cover]],0,
_xlfn.XLOOKUP($N442,Lookups!$D$13:$D$27,Lookups!$F$13:$F$27,0)))</f>
        <v>0</v>
      </c>
      <c r="P442" s="284">
        <f>IF(Table2[[#This Row],[Table Lookup for Funeral]]=0,0,IFERROR(INDEX('Quotation Tool'!$S$54:$V$60,MATCH($T442,'Quotation Tool'!$S$54:$S$60,0),3),0))</f>
        <v>0</v>
      </c>
      <c r="Q442" s="288">
        <f ca="1">IF(OR(Table2[[#This Row],[Benefit Name]]="My Value Plus Life - Main Member",Table2[[#This Row],[Benefit Name]]="My Value Plus Life - Spouse"),0,
IFERROR(VLOOKUP($G442,INDIRECT($O442),$P442,FALSE),0))</f>
        <v>0</v>
      </c>
      <c r="R442" s="288">
        <f ca="1">IF(OR(Table2[[#This Row],[Benefit Name]]="My Value Plus Life - Main Member",Table2[[#This Row],[Benefit Name]]="My Value Plus Life - Spouse"),0,
IFERROR(VLOOKUP($G442,INDIRECT($O442),$P442+1,FALSE),0))</f>
        <v>0</v>
      </c>
      <c r="S442" s="289">
        <f t="shared" ca="1" si="45"/>
        <v>0</v>
      </c>
      <c r="T442" s="284" t="str">
        <f>IF(Table13[[#This Row],[Premium Waiver]]="","None",Table13[[#This Row],[Premium Waiver]])</f>
        <v>None</v>
      </c>
      <c r="U442" s="284">
        <f>Table13[[#This Row],[VAPs Options]]</f>
        <v>0</v>
      </c>
      <c r="V442" s="284">
        <f>Table13[[#This Row],[Annual Increase Option]]</f>
        <v>0</v>
      </c>
      <c r="W442" s="290">
        <f>Table13[[#This Row],[Life Cover Amount]]</f>
        <v>0</v>
      </c>
      <c r="X442" s="290">
        <f>Table13[[#This Row],[Funeral Cover Amount]]</f>
        <v>0</v>
      </c>
      <c r="Y44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4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42" s="301">
        <f t="shared" ca="1" si="46"/>
        <v>0</v>
      </c>
      <c r="AB442" s="298"/>
      <c r="AC442" s="326" t="str">
        <f>IF(Table2[[#This Row],[Member Type]]="Main Member",Lookups!$C$13,
IF(Table2[[#This Row],[Member Type]]="Spouse",_xlfn.XLOOKUP(B442,Table2[Main Member Link ID],Table2[Product Option],0),
IF(AND(Table2[[#This Row],[Member Type]]="Child",_xlfn.XLOOKUP(B442,Table2[Main Member Link ID],Table2[Product Option],0)&lt;&gt;"My Value Plus Life"),Lookups!$C$24,
IF(AND(OR(Table2[[#This Row],[Member Type]]="Parent",Table2[[#This Row],[Member Type]]="Extended"),_xlfn.XLOOKUP(B442,Table2[Main Member Link ID],Table2[Product Option],0)&lt;&gt;"My Value Plus Life"),Lookups!$C$26,""))))</f>
        <v/>
      </c>
      <c r="AD442" s="326" t="str">
        <f>IF(Table2[[#This Row],[Member Type]]="Main Member",Lookups!$C$14,"")</f>
        <v/>
      </c>
      <c r="AE44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Funeral",_xlfn.XLOOKUP(B442,Table2[Main Member Link ID],Table2[Benefit Name],0)=Lookups!$D$14),"",
IF(AND(Table2[[#This Row],[Member Type]]="Spouse",Table2[[#This Row],[Product Option]]="My Value Plus Life &amp; Funeral",_xlfn.XLOOKUP(B441,Table2[Main Member Link ID],Table2[Benefit Name],0)=Lookups!$D$15),Lookups!$D$20,
IF(AND(Table2[[#This Row],[Member Type]]="Spouse",Table2[[#This Row],[Product Option]]="My Value Plus Life &amp; Funeral",_xlfn.XLOOKUP(B441,Table2[Main Member Link ID],Table2[Benefit Name],0)=Lookups!$D$16),"",
IF(AND(Table2[[#This Row],[Member Type]]="Spouse",Table2[[#This Row],[Product Option]]="My Value Plus Life &amp; Funeral",_xlfn.XLOOKUP(B441,Table2[Main Member Link ID],Table2[Benefit Name],0)=Lookups!$D$17),Lookups!$D$21,
IF(AND(Table2[[#This Row],[Member Type]]="Child",Table2[[#This Row],[Product Option]]="My Value Plus Life &amp; Funeral",_xlfn.XLOOKUP(B442,Table2[Main Member Link ID],Table2[Benefit Name],0)=Lookups!$D$14),"",
IF(AND(Table2[[#This Row],[Member Type]]="Child",Table2[[#This Row],[Product Option]]="My Value Plus Life &amp; Funeral",_xlfn.XLOOKUP(B442,Table2[Main Member Link ID],Table2[Benefit Name],0)=Lookups!$D$15),"",
IF(AND(Table2[[#This Row],[Member Type]]="Child",Table2[[#This Row],[Product Option]]="My Value Plus Life &amp; Funeral",_xlfn.XLOOKUP(B442,Table2[Main Member Link ID],Table2[Benefit Name],0)=Lookups!$D$16),Lookups!$D$24,
IF(AND(Table2[[#This Row],[Member Type]]="Child",Table2[[#This Row],[Product Option]]="My Value Plus Life &amp; Funeral",_xlfn.XLOOKUP(B442,Table2[Main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Funeral",_xlfn.XLOOKUP(B442,Table2[Main Member Link ID],Table2[Benefit Name],0)&lt;&gt;Lookups!$D$14),
IF(_xlfn.XLOOKUP(B442,Table2[Main Member Link ID],Table2[Benefit Name],0)=0,"",_xlfn.XLOOKUP(B442,Table2[Main Member Link ID],Table2[Benefit Name],0)),"")))))))))))))))</f>
        <v/>
      </c>
      <c r="AF442" s="327" t="str">
        <f>IF(AND(Table2[[#This Row],[Member Type]]="Main Member",Table2[[#This Row],[Product Option]]="My Value Plus Life &amp; Funeral"),Lookups!$D$15,
IF(AND(Table2[[#This Row],[Member Type]]="Spouse",Table2[[#This Row],[Product Option]]="My Value Plus Life &amp; Funeral",_xlfn.XLOOKUP(B442,Table2[Main Member Link ID],Table2[Benefit Name],0)=Lookups!$D$14),"",
IF(AND(Table2[[#This Row],[Member Type]]="Spouse",Table2[[#This Row],[Product Option]]="My Value Plus Life &amp; Funeral",_xlfn.XLOOKUP(B441,Table2[Main Member Link ID],Table2[Benefit Name],0)=Lookups!$D$16),"",
IF(AND(Table2[[#This Row],[Member Type]]="Spouse",Table2[[#This Row],[Product Option]]="My Value Plus Life &amp; Funeral",_xlfn.XLOOKUP(B441,Table2[Main Member Link ID],Table2[Benefit Name],0)=Lookups!$D$15),"",
IF(AND(Table2[[#This Row],[Member Type]]="Spouse",Table2[[#This Row],[Product Option]]="My Value Plus Life &amp; Funeral",_xlfn.XLOOKUP(B441,Table2[Main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Funeral",_xlfn.XLOOKUP(B442,Table2[Main Member Link ID],Table2[Benefit Name],0)&lt;&gt;Lookups!$D$15),
IF(_xlfn.XLOOKUP(B442,Table2[Main Member Link ID],Table2[Benefit Name],0)=0,"",_xlfn.XLOOKUP(B442,Table2[Main Member Link ID],Table2[Benefit Name],0)),"")
))))))</f>
        <v/>
      </c>
      <c r="AG442" s="327" t="str">
        <f>IF(AND(Table2[[#This Row],[Member Type]]="Main Member",Table2[[#This Row],[Product Option]]="My Value Plus Life &amp; Funeral"),Lookups!$D$16,
IF(AND(Table2[[#This Row],[Member Type]]="Spouse",Table2[[#This Row],[Product Option]]="My Value Plus Life &amp; Funeral",_xlfn.XLOOKUP(B442,Table2[Main Member Link ID],Table2[Benefit Name],0)=Lookups!$D$14),"",
IF(AND(Table2[[#This Row],[Member Type]]="Spouse",Table2[[#This Row],[Product Option]]="My Value Plus Life &amp; Funeral",_xlfn.XLOOKUP(B441,Table2[Main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Funeral",_xlfn.XLOOKUP(B442,Table2[Main Member Link ID],Table2[Benefit Name],0)&lt;&gt;Lookups!$D$16),
IF(_xlfn.XLOOKUP(B442,Table2[Main Member Link ID],Table2[Benefit Name],0)=0,"",_xlfn.XLOOKUP(B442,Table2[Main Member Link ID],Table2[Benefit Name],0)),"")
))))</f>
        <v/>
      </c>
      <c r="AH442" s="327" t="str">
        <f>IF(AND(Table2[[#This Row],[Member Type]]="Main Member",Table2[[#This Row],[Product Option]]="My Value Plus Life &amp; Funeral"),Lookups!$D$17,
IF(AND(Table2[[#This Row],[Member Type]]="Spouse",Table2[[#This Row],[Product Option]]="My Value Plus Life &amp; Funeral",_xlfn.XLOOKUP(B442,Table2[Main Member Link ID],Table2[Benefit Name],0)=Lookups!$D$14),"",
IF(AND(Table2[[#This Row],[Member Type]]="Spouse",Table2[[#This Row],[Product Option]]="My Value Plus Life &amp; Funeral",_xlfn.XLOOKUP(B441,Table2[Main Member Link ID],Table2[Benefit Name],0)=Lookups!$D$16),"",
IF(AND(Table2[[#This Row],[Member Type]]="Child",Table2[[#This Row],[Product Option]]="My Value Plus Life &amp; Funeral"),"",
IF(AND(Table2[[#This Row],[Member Type]]="Child",Table2[[#This Row],[Product Option]]="My Value Plus Life &amp; Funeral",_xlfn.XLOOKUP(B442,Table2[Main Member Link ID],Table2[Benefit Name],0)=Lookups!$D$15),"",
IF(AND(OR(Table2[[#This Row],[Member Type]]="Spouse",Table2[[#This Row],[Member Type]]="Child"),Table2[[#This Row],[Product Option]]="My Value Plus Life &amp; Funeral",_xlfn.XLOOKUP(B442,Table2[Main Member Link ID],Table2[Benefit Name],0)&lt;&gt;Lookups!$D$17),
IF(_xlfn.XLOOKUP(B442,Table2[Main Member Link ID],Table2[Benefit Name],0)=0,"",_xlfn.XLOOKUP(B442,Table2[Main Member Link ID],Table2[Benefit Name],0)),""))))))</f>
        <v/>
      </c>
      <c r="AI442" s="328" t="str">
        <f>IF(AND(Table2[[#This Row],[Member Type]]="Main Member",Table2[[#This Row],[Table Lookup for Life Cover]]="MM_LIFE",Table2[[#This Row],[Age Next Birthday]]&lt;56),1,
IF(AND(Table2[[#This Row],[Member Type]]="Main Member",Table2[[#This Row],[Table Lookup for Life Cover]]="MM_LIFE",Table2[[#This Row],[Age Next Birthday]]&gt;=56),2,
""))</f>
        <v/>
      </c>
      <c r="AJ442" s="328">
        <f>IF(OR(Table2[[#This Row],[Member Type]]="Main Member",Table2[[#This Row],[Main Member Link ID]]=B441),1,0)</f>
        <v>1</v>
      </c>
      <c r="AK442" s="328">
        <f>IF(Table2[[#This Row],[Member Type]]=0,0,
IF(OR(Table2[[#This Row],[Member Type]]="Main Member",Table2[[#This Row],[Main Member Link ID]]&lt;&gt;B442),COUNTIFS(B:B,Table2[[#This Row],[Main Member Link ID]]),
COUNTIFS(B:B,Table2[[#This Row],[Main Member Link ID]],A:A,Table2[[#This Row],[Member Type]])))</f>
        <v>0</v>
      </c>
    </row>
    <row r="443" spans="1:37" x14ac:dyDescent="0.3">
      <c r="A443" s="284">
        <f>Table13[[#This Row],[Member Type]]</f>
        <v>0</v>
      </c>
      <c r="B443" s="284">
        <f>Table13[[#This Row],[Main Member Link ID]]</f>
        <v>0</v>
      </c>
      <c r="C443" s="284">
        <f>Table13[[#This Row],[ID Number]]</f>
        <v>0</v>
      </c>
      <c r="D443" s="285">
        <f>Table13[[#This Row],[Date Of Birth]]</f>
        <v>0</v>
      </c>
      <c r="E443" s="285">
        <f>Table13[[#This Row],[Commencement Date]]</f>
        <v>0</v>
      </c>
      <c r="F443" s="284">
        <f t="shared" si="42"/>
        <v>1</v>
      </c>
      <c r="G443" s="284">
        <f t="shared" si="43"/>
        <v>25</v>
      </c>
      <c r="H443" s="286">
        <f>Table13[[#This Row],[Product Option]]</f>
        <v>0</v>
      </c>
      <c r="I443" s="284">
        <f>IF(AND($A443="Main Member",Table2[[#This Row],[Product Option]]="My Value Plus Life"),"MM_LIFE",
IF(AND($A443="Spouse",Table2[[#This Row],[Product Option]]="My Value Plus Life"),"SP_LIFE",
IF(AND($A443="Main Member",Table2[[#This Row],[Product Option]]="My Value Plus Life &amp; Funeral"),"MM_LIFE",
IF(AND($A443="Spouse",Table2[[#This Row],[Product Option]]="My Value Plus Life &amp; Funeral"),_xlfn.XLOOKUP(Table2[[#This Row],[Benefit Name]],Lookups!$D$18:$D$23,Lookups!$E$18:$E$23,0),
0))))</f>
        <v>0</v>
      </c>
      <c r="J443" s="284">
        <f>IF($I443="","",
IF($I443="MM_LIFE",INDEX('Quotation Tool'!$S$54:$V$60,MATCH($T443,'Quotation Tool'!$S$54:$S$60,0),4),
IF($I443="SP_LIFE",_xlfn.XLOOKUP(B442,$B:$B,$J:$J,0),0)))</f>
        <v>0</v>
      </c>
      <c r="K443" s="287">
        <f t="shared" ca="1" si="47"/>
        <v>0</v>
      </c>
      <c r="L443" s="288">
        <f t="shared" ca="1" si="48"/>
        <v>0</v>
      </c>
      <c r="M443" s="289">
        <f t="shared" ca="1" si="44"/>
        <v>0</v>
      </c>
      <c r="N443" s="286">
        <f>Table13[[#This Row],[Benefit Option]]</f>
        <v>0</v>
      </c>
      <c r="O443" s="284">
        <f>IF(OR(Table2[[#This Row],[Member Type]]="Spouse",Table2[[#This Row],[Member Type]]="Child"),0,
IF(_xlfn.XLOOKUP($N443,Lookups!$D$13:$D$27,Lookups!$F$13:$F$27,0)=Table2[[#This Row],[Table Lookup for Life Cover]],0,
_xlfn.XLOOKUP($N443,Lookups!$D$13:$D$27,Lookups!$F$13:$F$27,0)))</f>
        <v>0</v>
      </c>
      <c r="P443" s="284">
        <f>IF(Table2[[#This Row],[Table Lookup for Funeral]]=0,0,IFERROR(INDEX('Quotation Tool'!$S$54:$V$60,MATCH($T443,'Quotation Tool'!$S$54:$S$60,0),3),0))</f>
        <v>0</v>
      </c>
      <c r="Q443" s="288">
        <f ca="1">IF(OR(Table2[[#This Row],[Benefit Name]]="My Value Plus Life - Main Member",Table2[[#This Row],[Benefit Name]]="My Value Plus Life - Spouse"),0,
IFERROR(VLOOKUP($G443,INDIRECT($O443),$P443,FALSE),0))</f>
        <v>0</v>
      </c>
      <c r="R443" s="288">
        <f ca="1">IF(OR(Table2[[#This Row],[Benefit Name]]="My Value Plus Life - Main Member",Table2[[#This Row],[Benefit Name]]="My Value Plus Life - Spouse"),0,
IFERROR(VLOOKUP($G443,INDIRECT($O443),$P443+1,FALSE),0))</f>
        <v>0</v>
      </c>
      <c r="S443" s="289">
        <f t="shared" ca="1" si="45"/>
        <v>0</v>
      </c>
      <c r="T443" s="284" t="str">
        <f>IF(Table13[[#This Row],[Premium Waiver]]="","None",Table13[[#This Row],[Premium Waiver]])</f>
        <v>None</v>
      </c>
      <c r="U443" s="284">
        <f>Table13[[#This Row],[VAPs Options]]</f>
        <v>0</v>
      </c>
      <c r="V443" s="284">
        <f>Table13[[#This Row],[Annual Increase Option]]</f>
        <v>0</v>
      </c>
      <c r="W443" s="290">
        <f>Table13[[#This Row],[Life Cover Amount]]</f>
        <v>0</v>
      </c>
      <c r="X443" s="290">
        <f>Table13[[#This Row],[Funeral Cover Amount]]</f>
        <v>0</v>
      </c>
      <c r="Y44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4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43" s="301">
        <f t="shared" ca="1" si="46"/>
        <v>0</v>
      </c>
      <c r="AB443" s="298"/>
      <c r="AC443" s="326" t="str">
        <f>IF(Table2[[#This Row],[Member Type]]="Main Member",Lookups!$C$13,
IF(Table2[[#This Row],[Member Type]]="Spouse",_xlfn.XLOOKUP(B443,Table2[Main Member Link ID],Table2[Product Option],0),
IF(AND(Table2[[#This Row],[Member Type]]="Child",_xlfn.XLOOKUP(B443,Table2[Main Member Link ID],Table2[Product Option],0)&lt;&gt;"My Value Plus Life"),Lookups!$C$24,
IF(AND(OR(Table2[[#This Row],[Member Type]]="Parent",Table2[[#This Row],[Member Type]]="Extended"),_xlfn.XLOOKUP(B443,Table2[Main Member Link ID],Table2[Product Option],0)&lt;&gt;"My Value Plus Life"),Lookups!$C$26,""))))</f>
        <v/>
      </c>
      <c r="AD443" s="326" t="str">
        <f>IF(Table2[[#This Row],[Member Type]]="Main Member",Lookups!$C$14,"")</f>
        <v/>
      </c>
      <c r="AE44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Funeral",_xlfn.XLOOKUP(B443,Table2[Main Member Link ID],Table2[Benefit Name],0)=Lookups!$D$14),"",
IF(AND(Table2[[#This Row],[Member Type]]="Spouse",Table2[[#This Row],[Product Option]]="My Value Plus Life &amp; Funeral",_xlfn.XLOOKUP(B442,Table2[Main Member Link ID],Table2[Benefit Name],0)=Lookups!$D$15),Lookups!$D$20,
IF(AND(Table2[[#This Row],[Member Type]]="Spouse",Table2[[#This Row],[Product Option]]="My Value Plus Life &amp; Funeral",_xlfn.XLOOKUP(B442,Table2[Main Member Link ID],Table2[Benefit Name],0)=Lookups!$D$16),"",
IF(AND(Table2[[#This Row],[Member Type]]="Spouse",Table2[[#This Row],[Product Option]]="My Value Plus Life &amp; Funeral",_xlfn.XLOOKUP(B442,Table2[Main Member Link ID],Table2[Benefit Name],0)=Lookups!$D$17),Lookups!$D$21,
IF(AND(Table2[[#This Row],[Member Type]]="Child",Table2[[#This Row],[Product Option]]="My Value Plus Life &amp; Funeral",_xlfn.XLOOKUP(B443,Table2[Main Member Link ID],Table2[Benefit Name],0)=Lookups!$D$14),"",
IF(AND(Table2[[#This Row],[Member Type]]="Child",Table2[[#This Row],[Product Option]]="My Value Plus Life &amp; Funeral",_xlfn.XLOOKUP(B443,Table2[Main Member Link ID],Table2[Benefit Name],0)=Lookups!$D$15),"",
IF(AND(Table2[[#This Row],[Member Type]]="Child",Table2[[#This Row],[Product Option]]="My Value Plus Life &amp; Funeral",_xlfn.XLOOKUP(B443,Table2[Main Member Link ID],Table2[Benefit Name],0)=Lookups!$D$16),Lookups!$D$24,
IF(AND(Table2[[#This Row],[Member Type]]="Child",Table2[[#This Row],[Product Option]]="My Value Plus Life &amp; Funeral",_xlfn.XLOOKUP(B443,Table2[Main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Funeral",_xlfn.XLOOKUP(B443,Table2[Main Member Link ID],Table2[Benefit Name],0)&lt;&gt;Lookups!$D$14),
IF(_xlfn.XLOOKUP(B443,Table2[Main Member Link ID],Table2[Benefit Name],0)=0,"",_xlfn.XLOOKUP(B443,Table2[Main Member Link ID],Table2[Benefit Name],0)),"")))))))))))))))</f>
        <v/>
      </c>
      <c r="AF443" s="327" t="str">
        <f>IF(AND(Table2[[#This Row],[Member Type]]="Main Member",Table2[[#This Row],[Product Option]]="My Value Plus Life &amp; Funeral"),Lookups!$D$15,
IF(AND(Table2[[#This Row],[Member Type]]="Spouse",Table2[[#This Row],[Product Option]]="My Value Plus Life &amp; Funeral",_xlfn.XLOOKUP(B443,Table2[Main Member Link ID],Table2[Benefit Name],0)=Lookups!$D$14),"",
IF(AND(Table2[[#This Row],[Member Type]]="Spouse",Table2[[#This Row],[Product Option]]="My Value Plus Life &amp; Funeral",_xlfn.XLOOKUP(B442,Table2[Main Member Link ID],Table2[Benefit Name],0)=Lookups!$D$16),"",
IF(AND(Table2[[#This Row],[Member Type]]="Spouse",Table2[[#This Row],[Product Option]]="My Value Plus Life &amp; Funeral",_xlfn.XLOOKUP(B442,Table2[Main Member Link ID],Table2[Benefit Name],0)=Lookups!$D$15),"",
IF(AND(Table2[[#This Row],[Member Type]]="Spouse",Table2[[#This Row],[Product Option]]="My Value Plus Life &amp; Funeral",_xlfn.XLOOKUP(B442,Table2[Main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Funeral",_xlfn.XLOOKUP(B443,Table2[Main Member Link ID],Table2[Benefit Name],0)&lt;&gt;Lookups!$D$15),
IF(_xlfn.XLOOKUP(B443,Table2[Main Member Link ID],Table2[Benefit Name],0)=0,"",_xlfn.XLOOKUP(B443,Table2[Main Member Link ID],Table2[Benefit Name],0)),"")
))))))</f>
        <v/>
      </c>
      <c r="AG443" s="327" t="str">
        <f>IF(AND(Table2[[#This Row],[Member Type]]="Main Member",Table2[[#This Row],[Product Option]]="My Value Plus Life &amp; Funeral"),Lookups!$D$16,
IF(AND(Table2[[#This Row],[Member Type]]="Spouse",Table2[[#This Row],[Product Option]]="My Value Plus Life &amp; Funeral",_xlfn.XLOOKUP(B443,Table2[Main Member Link ID],Table2[Benefit Name],0)=Lookups!$D$14),"",
IF(AND(Table2[[#This Row],[Member Type]]="Spouse",Table2[[#This Row],[Product Option]]="My Value Plus Life &amp; Funeral",_xlfn.XLOOKUP(B442,Table2[Main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Funeral",_xlfn.XLOOKUP(B443,Table2[Main Member Link ID],Table2[Benefit Name],0)&lt;&gt;Lookups!$D$16),
IF(_xlfn.XLOOKUP(B443,Table2[Main Member Link ID],Table2[Benefit Name],0)=0,"",_xlfn.XLOOKUP(B443,Table2[Main Member Link ID],Table2[Benefit Name],0)),"")
))))</f>
        <v/>
      </c>
      <c r="AH443" s="327" t="str">
        <f>IF(AND(Table2[[#This Row],[Member Type]]="Main Member",Table2[[#This Row],[Product Option]]="My Value Plus Life &amp; Funeral"),Lookups!$D$17,
IF(AND(Table2[[#This Row],[Member Type]]="Spouse",Table2[[#This Row],[Product Option]]="My Value Plus Life &amp; Funeral",_xlfn.XLOOKUP(B443,Table2[Main Member Link ID],Table2[Benefit Name],0)=Lookups!$D$14),"",
IF(AND(Table2[[#This Row],[Member Type]]="Spouse",Table2[[#This Row],[Product Option]]="My Value Plus Life &amp; Funeral",_xlfn.XLOOKUP(B442,Table2[Main Member Link ID],Table2[Benefit Name],0)=Lookups!$D$16),"",
IF(AND(Table2[[#This Row],[Member Type]]="Child",Table2[[#This Row],[Product Option]]="My Value Plus Life &amp; Funeral"),"",
IF(AND(Table2[[#This Row],[Member Type]]="Child",Table2[[#This Row],[Product Option]]="My Value Plus Life &amp; Funeral",_xlfn.XLOOKUP(B443,Table2[Main Member Link ID],Table2[Benefit Name],0)=Lookups!$D$15),"",
IF(AND(OR(Table2[[#This Row],[Member Type]]="Spouse",Table2[[#This Row],[Member Type]]="Child"),Table2[[#This Row],[Product Option]]="My Value Plus Life &amp; Funeral",_xlfn.XLOOKUP(B443,Table2[Main Member Link ID],Table2[Benefit Name],0)&lt;&gt;Lookups!$D$17),
IF(_xlfn.XLOOKUP(B443,Table2[Main Member Link ID],Table2[Benefit Name],0)=0,"",_xlfn.XLOOKUP(B443,Table2[Main Member Link ID],Table2[Benefit Name],0)),""))))))</f>
        <v/>
      </c>
      <c r="AI443" s="328" t="str">
        <f>IF(AND(Table2[[#This Row],[Member Type]]="Main Member",Table2[[#This Row],[Table Lookup for Life Cover]]="MM_LIFE",Table2[[#This Row],[Age Next Birthday]]&lt;56),1,
IF(AND(Table2[[#This Row],[Member Type]]="Main Member",Table2[[#This Row],[Table Lookup for Life Cover]]="MM_LIFE",Table2[[#This Row],[Age Next Birthday]]&gt;=56),2,
""))</f>
        <v/>
      </c>
      <c r="AJ443" s="328">
        <f>IF(OR(Table2[[#This Row],[Member Type]]="Main Member",Table2[[#This Row],[Main Member Link ID]]=B442),1,0)</f>
        <v>1</v>
      </c>
      <c r="AK443" s="328">
        <f>IF(Table2[[#This Row],[Member Type]]=0,0,
IF(OR(Table2[[#This Row],[Member Type]]="Main Member",Table2[[#This Row],[Main Member Link ID]]&lt;&gt;B443),COUNTIFS(B:B,Table2[[#This Row],[Main Member Link ID]]),
COUNTIFS(B:B,Table2[[#This Row],[Main Member Link ID]],A:A,Table2[[#This Row],[Member Type]])))</f>
        <v>0</v>
      </c>
    </row>
    <row r="444" spans="1:37" x14ac:dyDescent="0.3">
      <c r="A444" s="284">
        <f>Table13[[#This Row],[Member Type]]</f>
        <v>0</v>
      </c>
      <c r="B444" s="284">
        <f>Table13[[#This Row],[Main Member Link ID]]</f>
        <v>0</v>
      </c>
      <c r="C444" s="284">
        <f>Table13[[#This Row],[ID Number]]</f>
        <v>0</v>
      </c>
      <c r="D444" s="285">
        <f>Table13[[#This Row],[Date Of Birth]]</f>
        <v>0</v>
      </c>
      <c r="E444" s="285">
        <f>Table13[[#This Row],[Commencement Date]]</f>
        <v>0</v>
      </c>
      <c r="F444" s="284">
        <f t="shared" si="42"/>
        <v>1</v>
      </c>
      <c r="G444" s="284">
        <f t="shared" si="43"/>
        <v>25</v>
      </c>
      <c r="H444" s="286">
        <f>Table13[[#This Row],[Product Option]]</f>
        <v>0</v>
      </c>
      <c r="I444" s="284">
        <f>IF(AND($A444="Main Member",Table2[[#This Row],[Product Option]]="My Value Plus Life"),"MM_LIFE",
IF(AND($A444="Spouse",Table2[[#This Row],[Product Option]]="My Value Plus Life"),"SP_LIFE",
IF(AND($A444="Main Member",Table2[[#This Row],[Product Option]]="My Value Plus Life &amp; Funeral"),"MM_LIFE",
IF(AND($A444="Spouse",Table2[[#This Row],[Product Option]]="My Value Plus Life &amp; Funeral"),_xlfn.XLOOKUP(Table2[[#This Row],[Benefit Name]],Lookups!$D$18:$D$23,Lookups!$E$18:$E$23,0),
0))))</f>
        <v>0</v>
      </c>
      <c r="J444" s="284">
        <f>IF($I444="","",
IF($I444="MM_LIFE",INDEX('Quotation Tool'!$S$54:$V$60,MATCH($T444,'Quotation Tool'!$S$54:$S$60,0),4),
IF($I444="SP_LIFE",_xlfn.XLOOKUP(B443,$B:$B,$J:$J,0),0)))</f>
        <v>0</v>
      </c>
      <c r="K444" s="287">
        <f t="shared" ca="1" si="47"/>
        <v>0</v>
      </c>
      <c r="L444" s="288">
        <f t="shared" ca="1" si="48"/>
        <v>0</v>
      </c>
      <c r="M444" s="289">
        <f t="shared" ca="1" si="44"/>
        <v>0</v>
      </c>
      <c r="N444" s="286">
        <f>Table13[[#This Row],[Benefit Option]]</f>
        <v>0</v>
      </c>
      <c r="O444" s="284">
        <f>IF(OR(Table2[[#This Row],[Member Type]]="Spouse",Table2[[#This Row],[Member Type]]="Child"),0,
IF(_xlfn.XLOOKUP($N444,Lookups!$D$13:$D$27,Lookups!$F$13:$F$27,0)=Table2[[#This Row],[Table Lookup for Life Cover]],0,
_xlfn.XLOOKUP($N444,Lookups!$D$13:$D$27,Lookups!$F$13:$F$27,0)))</f>
        <v>0</v>
      </c>
      <c r="P444" s="284">
        <f>IF(Table2[[#This Row],[Table Lookup for Funeral]]=0,0,IFERROR(INDEX('Quotation Tool'!$S$54:$V$60,MATCH($T444,'Quotation Tool'!$S$54:$S$60,0),3),0))</f>
        <v>0</v>
      </c>
      <c r="Q444" s="288">
        <f ca="1">IF(OR(Table2[[#This Row],[Benefit Name]]="My Value Plus Life - Main Member",Table2[[#This Row],[Benefit Name]]="My Value Plus Life - Spouse"),0,
IFERROR(VLOOKUP($G444,INDIRECT($O444),$P444,FALSE),0))</f>
        <v>0</v>
      </c>
      <c r="R444" s="288">
        <f ca="1">IF(OR(Table2[[#This Row],[Benefit Name]]="My Value Plus Life - Main Member",Table2[[#This Row],[Benefit Name]]="My Value Plus Life - Spouse"),0,
IFERROR(VLOOKUP($G444,INDIRECT($O444),$P444+1,FALSE),0))</f>
        <v>0</v>
      </c>
      <c r="S444" s="289">
        <f t="shared" ca="1" si="45"/>
        <v>0</v>
      </c>
      <c r="T444" s="284" t="str">
        <f>IF(Table13[[#This Row],[Premium Waiver]]="","None",Table13[[#This Row],[Premium Waiver]])</f>
        <v>None</v>
      </c>
      <c r="U444" s="284">
        <f>Table13[[#This Row],[VAPs Options]]</f>
        <v>0</v>
      </c>
      <c r="V444" s="284">
        <f>Table13[[#This Row],[Annual Increase Option]]</f>
        <v>0</v>
      </c>
      <c r="W444" s="290">
        <f>Table13[[#This Row],[Life Cover Amount]]</f>
        <v>0</v>
      </c>
      <c r="X444" s="290">
        <f>Table13[[#This Row],[Funeral Cover Amount]]</f>
        <v>0</v>
      </c>
      <c r="Y44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4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44" s="301">
        <f t="shared" ca="1" si="46"/>
        <v>0</v>
      </c>
      <c r="AB444" s="298"/>
      <c r="AC444" s="326" t="str">
        <f>IF(Table2[[#This Row],[Member Type]]="Main Member",Lookups!$C$13,
IF(Table2[[#This Row],[Member Type]]="Spouse",_xlfn.XLOOKUP(B444,Table2[Main Member Link ID],Table2[Product Option],0),
IF(AND(Table2[[#This Row],[Member Type]]="Child",_xlfn.XLOOKUP(B444,Table2[Main Member Link ID],Table2[Product Option],0)&lt;&gt;"My Value Plus Life"),Lookups!$C$24,
IF(AND(OR(Table2[[#This Row],[Member Type]]="Parent",Table2[[#This Row],[Member Type]]="Extended"),_xlfn.XLOOKUP(B444,Table2[Main Member Link ID],Table2[Product Option],0)&lt;&gt;"My Value Plus Life"),Lookups!$C$26,""))))</f>
        <v/>
      </c>
      <c r="AD444" s="326" t="str">
        <f>IF(Table2[[#This Row],[Member Type]]="Main Member",Lookups!$C$14,"")</f>
        <v/>
      </c>
      <c r="AE44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Funeral",_xlfn.XLOOKUP(B444,Table2[Main Member Link ID],Table2[Benefit Name],0)=Lookups!$D$14),"",
IF(AND(Table2[[#This Row],[Member Type]]="Spouse",Table2[[#This Row],[Product Option]]="My Value Plus Life &amp; Funeral",_xlfn.XLOOKUP(B443,Table2[Main Member Link ID],Table2[Benefit Name],0)=Lookups!$D$15),Lookups!$D$20,
IF(AND(Table2[[#This Row],[Member Type]]="Spouse",Table2[[#This Row],[Product Option]]="My Value Plus Life &amp; Funeral",_xlfn.XLOOKUP(B443,Table2[Main Member Link ID],Table2[Benefit Name],0)=Lookups!$D$16),"",
IF(AND(Table2[[#This Row],[Member Type]]="Spouse",Table2[[#This Row],[Product Option]]="My Value Plus Life &amp; Funeral",_xlfn.XLOOKUP(B443,Table2[Main Member Link ID],Table2[Benefit Name],0)=Lookups!$D$17),Lookups!$D$21,
IF(AND(Table2[[#This Row],[Member Type]]="Child",Table2[[#This Row],[Product Option]]="My Value Plus Life &amp; Funeral",_xlfn.XLOOKUP(B444,Table2[Main Member Link ID],Table2[Benefit Name],0)=Lookups!$D$14),"",
IF(AND(Table2[[#This Row],[Member Type]]="Child",Table2[[#This Row],[Product Option]]="My Value Plus Life &amp; Funeral",_xlfn.XLOOKUP(B444,Table2[Main Member Link ID],Table2[Benefit Name],0)=Lookups!$D$15),"",
IF(AND(Table2[[#This Row],[Member Type]]="Child",Table2[[#This Row],[Product Option]]="My Value Plus Life &amp; Funeral",_xlfn.XLOOKUP(B444,Table2[Main Member Link ID],Table2[Benefit Name],0)=Lookups!$D$16),Lookups!$D$24,
IF(AND(Table2[[#This Row],[Member Type]]="Child",Table2[[#This Row],[Product Option]]="My Value Plus Life &amp; Funeral",_xlfn.XLOOKUP(B444,Table2[Main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Funeral",_xlfn.XLOOKUP(B444,Table2[Main Member Link ID],Table2[Benefit Name],0)&lt;&gt;Lookups!$D$14),
IF(_xlfn.XLOOKUP(B444,Table2[Main Member Link ID],Table2[Benefit Name],0)=0,"",_xlfn.XLOOKUP(B444,Table2[Main Member Link ID],Table2[Benefit Name],0)),"")))))))))))))))</f>
        <v/>
      </c>
      <c r="AF444" s="327" t="str">
        <f>IF(AND(Table2[[#This Row],[Member Type]]="Main Member",Table2[[#This Row],[Product Option]]="My Value Plus Life &amp; Funeral"),Lookups!$D$15,
IF(AND(Table2[[#This Row],[Member Type]]="Spouse",Table2[[#This Row],[Product Option]]="My Value Plus Life &amp; Funeral",_xlfn.XLOOKUP(B444,Table2[Main Member Link ID],Table2[Benefit Name],0)=Lookups!$D$14),"",
IF(AND(Table2[[#This Row],[Member Type]]="Spouse",Table2[[#This Row],[Product Option]]="My Value Plus Life &amp; Funeral",_xlfn.XLOOKUP(B443,Table2[Main Member Link ID],Table2[Benefit Name],0)=Lookups!$D$16),"",
IF(AND(Table2[[#This Row],[Member Type]]="Spouse",Table2[[#This Row],[Product Option]]="My Value Plus Life &amp; Funeral",_xlfn.XLOOKUP(B443,Table2[Main Member Link ID],Table2[Benefit Name],0)=Lookups!$D$15),"",
IF(AND(Table2[[#This Row],[Member Type]]="Spouse",Table2[[#This Row],[Product Option]]="My Value Plus Life &amp; Funeral",_xlfn.XLOOKUP(B443,Table2[Main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Funeral",_xlfn.XLOOKUP(B444,Table2[Main Member Link ID],Table2[Benefit Name],0)&lt;&gt;Lookups!$D$15),
IF(_xlfn.XLOOKUP(B444,Table2[Main Member Link ID],Table2[Benefit Name],0)=0,"",_xlfn.XLOOKUP(B444,Table2[Main Member Link ID],Table2[Benefit Name],0)),"")
))))))</f>
        <v/>
      </c>
      <c r="AG444" s="327" t="str">
        <f>IF(AND(Table2[[#This Row],[Member Type]]="Main Member",Table2[[#This Row],[Product Option]]="My Value Plus Life &amp; Funeral"),Lookups!$D$16,
IF(AND(Table2[[#This Row],[Member Type]]="Spouse",Table2[[#This Row],[Product Option]]="My Value Plus Life &amp; Funeral",_xlfn.XLOOKUP(B444,Table2[Main Member Link ID],Table2[Benefit Name],0)=Lookups!$D$14),"",
IF(AND(Table2[[#This Row],[Member Type]]="Spouse",Table2[[#This Row],[Product Option]]="My Value Plus Life &amp; Funeral",_xlfn.XLOOKUP(B443,Table2[Main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Funeral",_xlfn.XLOOKUP(B444,Table2[Main Member Link ID],Table2[Benefit Name],0)&lt;&gt;Lookups!$D$16),
IF(_xlfn.XLOOKUP(B444,Table2[Main Member Link ID],Table2[Benefit Name],0)=0,"",_xlfn.XLOOKUP(B444,Table2[Main Member Link ID],Table2[Benefit Name],0)),"")
))))</f>
        <v/>
      </c>
      <c r="AH444" s="327" t="str">
        <f>IF(AND(Table2[[#This Row],[Member Type]]="Main Member",Table2[[#This Row],[Product Option]]="My Value Plus Life &amp; Funeral"),Lookups!$D$17,
IF(AND(Table2[[#This Row],[Member Type]]="Spouse",Table2[[#This Row],[Product Option]]="My Value Plus Life &amp; Funeral",_xlfn.XLOOKUP(B444,Table2[Main Member Link ID],Table2[Benefit Name],0)=Lookups!$D$14),"",
IF(AND(Table2[[#This Row],[Member Type]]="Spouse",Table2[[#This Row],[Product Option]]="My Value Plus Life &amp; Funeral",_xlfn.XLOOKUP(B443,Table2[Main Member Link ID],Table2[Benefit Name],0)=Lookups!$D$16),"",
IF(AND(Table2[[#This Row],[Member Type]]="Child",Table2[[#This Row],[Product Option]]="My Value Plus Life &amp; Funeral"),"",
IF(AND(Table2[[#This Row],[Member Type]]="Child",Table2[[#This Row],[Product Option]]="My Value Plus Life &amp; Funeral",_xlfn.XLOOKUP(B444,Table2[Main Member Link ID],Table2[Benefit Name],0)=Lookups!$D$15),"",
IF(AND(OR(Table2[[#This Row],[Member Type]]="Spouse",Table2[[#This Row],[Member Type]]="Child"),Table2[[#This Row],[Product Option]]="My Value Plus Life &amp; Funeral",_xlfn.XLOOKUP(B444,Table2[Main Member Link ID],Table2[Benefit Name],0)&lt;&gt;Lookups!$D$17),
IF(_xlfn.XLOOKUP(B444,Table2[Main Member Link ID],Table2[Benefit Name],0)=0,"",_xlfn.XLOOKUP(B444,Table2[Main Member Link ID],Table2[Benefit Name],0)),""))))))</f>
        <v/>
      </c>
      <c r="AI444" s="328" t="str">
        <f>IF(AND(Table2[[#This Row],[Member Type]]="Main Member",Table2[[#This Row],[Table Lookup for Life Cover]]="MM_LIFE",Table2[[#This Row],[Age Next Birthday]]&lt;56),1,
IF(AND(Table2[[#This Row],[Member Type]]="Main Member",Table2[[#This Row],[Table Lookup for Life Cover]]="MM_LIFE",Table2[[#This Row],[Age Next Birthday]]&gt;=56),2,
""))</f>
        <v/>
      </c>
      <c r="AJ444" s="328">
        <f>IF(OR(Table2[[#This Row],[Member Type]]="Main Member",Table2[[#This Row],[Main Member Link ID]]=B443),1,0)</f>
        <v>1</v>
      </c>
      <c r="AK444" s="328">
        <f>IF(Table2[[#This Row],[Member Type]]=0,0,
IF(OR(Table2[[#This Row],[Member Type]]="Main Member",Table2[[#This Row],[Main Member Link ID]]&lt;&gt;B444),COUNTIFS(B:B,Table2[[#This Row],[Main Member Link ID]]),
COUNTIFS(B:B,Table2[[#This Row],[Main Member Link ID]],A:A,Table2[[#This Row],[Member Type]])))</f>
        <v>0</v>
      </c>
    </row>
    <row r="445" spans="1:37" x14ac:dyDescent="0.3">
      <c r="A445" s="284">
        <f>Table13[[#This Row],[Member Type]]</f>
        <v>0</v>
      </c>
      <c r="B445" s="284">
        <f>Table13[[#This Row],[Main Member Link ID]]</f>
        <v>0</v>
      </c>
      <c r="C445" s="284">
        <f>Table13[[#This Row],[ID Number]]</f>
        <v>0</v>
      </c>
      <c r="D445" s="285">
        <f>Table13[[#This Row],[Date Of Birth]]</f>
        <v>0</v>
      </c>
      <c r="E445" s="285">
        <f>Table13[[#This Row],[Commencement Date]]</f>
        <v>0</v>
      </c>
      <c r="F445" s="284">
        <f t="shared" si="42"/>
        <v>1</v>
      </c>
      <c r="G445" s="284">
        <f t="shared" si="43"/>
        <v>25</v>
      </c>
      <c r="H445" s="286">
        <f>Table13[[#This Row],[Product Option]]</f>
        <v>0</v>
      </c>
      <c r="I445" s="284">
        <f>IF(AND($A445="Main Member",Table2[[#This Row],[Product Option]]="My Value Plus Life"),"MM_LIFE",
IF(AND($A445="Spouse",Table2[[#This Row],[Product Option]]="My Value Plus Life"),"SP_LIFE",
IF(AND($A445="Main Member",Table2[[#This Row],[Product Option]]="My Value Plus Life &amp; Funeral"),"MM_LIFE",
IF(AND($A445="Spouse",Table2[[#This Row],[Product Option]]="My Value Plus Life &amp; Funeral"),_xlfn.XLOOKUP(Table2[[#This Row],[Benefit Name]],Lookups!$D$18:$D$23,Lookups!$E$18:$E$23,0),
0))))</f>
        <v>0</v>
      </c>
      <c r="J445" s="284">
        <f>IF($I445="","",
IF($I445="MM_LIFE",INDEX('Quotation Tool'!$S$54:$V$60,MATCH($T445,'Quotation Tool'!$S$54:$S$60,0),4),
IF($I445="SP_LIFE",_xlfn.XLOOKUP(B444,$B:$B,$J:$J,0),0)))</f>
        <v>0</v>
      </c>
      <c r="K445" s="287">
        <f t="shared" ca="1" si="47"/>
        <v>0</v>
      </c>
      <c r="L445" s="288">
        <f t="shared" ca="1" si="48"/>
        <v>0</v>
      </c>
      <c r="M445" s="289">
        <f t="shared" ca="1" si="44"/>
        <v>0</v>
      </c>
      <c r="N445" s="286">
        <f>Table13[[#This Row],[Benefit Option]]</f>
        <v>0</v>
      </c>
      <c r="O445" s="284">
        <f>IF(OR(Table2[[#This Row],[Member Type]]="Spouse",Table2[[#This Row],[Member Type]]="Child"),0,
IF(_xlfn.XLOOKUP($N445,Lookups!$D$13:$D$27,Lookups!$F$13:$F$27,0)=Table2[[#This Row],[Table Lookup for Life Cover]],0,
_xlfn.XLOOKUP($N445,Lookups!$D$13:$D$27,Lookups!$F$13:$F$27,0)))</f>
        <v>0</v>
      </c>
      <c r="P445" s="284">
        <f>IF(Table2[[#This Row],[Table Lookup for Funeral]]=0,0,IFERROR(INDEX('Quotation Tool'!$S$54:$V$60,MATCH($T445,'Quotation Tool'!$S$54:$S$60,0),3),0))</f>
        <v>0</v>
      </c>
      <c r="Q445" s="288">
        <f ca="1">IF(OR(Table2[[#This Row],[Benefit Name]]="My Value Plus Life - Main Member",Table2[[#This Row],[Benefit Name]]="My Value Plus Life - Spouse"),0,
IFERROR(VLOOKUP($G445,INDIRECT($O445),$P445,FALSE),0))</f>
        <v>0</v>
      </c>
      <c r="R445" s="288">
        <f ca="1">IF(OR(Table2[[#This Row],[Benefit Name]]="My Value Plus Life - Main Member",Table2[[#This Row],[Benefit Name]]="My Value Plus Life - Spouse"),0,
IFERROR(VLOOKUP($G445,INDIRECT($O445),$P445+1,FALSE),0))</f>
        <v>0</v>
      </c>
      <c r="S445" s="289">
        <f t="shared" ca="1" si="45"/>
        <v>0</v>
      </c>
      <c r="T445" s="284" t="str">
        <f>IF(Table13[[#This Row],[Premium Waiver]]="","None",Table13[[#This Row],[Premium Waiver]])</f>
        <v>None</v>
      </c>
      <c r="U445" s="284">
        <f>Table13[[#This Row],[VAPs Options]]</f>
        <v>0</v>
      </c>
      <c r="V445" s="284">
        <f>Table13[[#This Row],[Annual Increase Option]]</f>
        <v>0</v>
      </c>
      <c r="W445" s="290">
        <f>Table13[[#This Row],[Life Cover Amount]]</f>
        <v>0</v>
      </c>
      <c r="X445" s="290">
        <f>Table13[[#This Row],[Funeral Cover Amount]]</f>
        <v>0</v>
      </c>
      <c r="Y44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4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45" s="301">
        <f t="shared" ca="1" si="46"/>
        <v>0</v>
      </c>
      <c r="AB445" s="298"/>
      <c r="AC445" s="326" t="str">
        <f>IF(Table2[[#This Row],[Member Type]]="Main Member",Lookups!$C$13,
IF(Table2[[#This Row],[Member Type]]="Spouse",_xlfn.XLOOKUP(B445,Table2[Main Member Link ID],Table2[Product Option],0),
IF(AND(Table2[[#This Row],[Member Type]]="Child",_xlfn.XLOOKUP(B445,Table2[Main Member Link ID],Table2[Product Option],0)&lt;&gt;"My Value Plus Life"),Lookups!$C$24,
IF(AND(OR(Table2[[#This Row],[Member Type]]="Parent",Table2[[#This Row],[Member Type]]="Extended"),_xlfn.XLOOKUP(B445,Table2[Main Member Link ID],Table2[Product Option],0)&lt;&gt;"My Value Plus Life"),Lookups!$C$26,""))))</f>
        <v/>
      </c>
      <c r="AD445" s="326" t="str">
        <f>IF(Table2[[#This Row],[Member Type]]="Main Member",Lookups!$C$14,"")</f>
        <v/>
      </c>
      <c r="AE44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Funeral",_xlfn.XLOOKUP(B445,Table2[Main Member Link ID],Table2[Benefit Name],0)=Lookups!$D$14),"",
IF(AND(Table2[[#This Row],[Member Type]]="Spouse",Table2[[#This Row],[Product Option]]="My Value Plus Life &amp; Funeral",_xlfn.XLOOKUP(B444,Table2[Main Member Link ID],Table2[Benefit Name],0)=Lookups!$D$15),Lookups!$D$20,
IF(AND(Table2[[#This Row],[Member Type]]="Spouse",Table2[[#This Row],[Product Option]]="My Value Plus Life &amp; Funeral",_xlfn.XLOOKUP(B444,Table2[Main Member Link ID],Table2[Benefit Name],0)=Lookups!$D$16),"",
IF(AND(Table2[[#This Row],[Member Type]]="Spouse",Table2[[#This Row],[Product Option]]="My Value Plus Life &amp; Funeral",_xlfn.XLOOKUP(B444,Table2[Main Member Link ID],Table2[Benefit Name],0)=Lookups!$D$17),Lookups!$D$21,
IF(AND(Table2[[#This Row],[Member Type]]="Child",Table2[[#This Row],[Product Option]]="My Value Plus Life &amp; Funeral",_xlfn.XLOOKUP(B445,Table2[Main Member Link ID],Table2[Benefit Name],0)=Lookups!$D$14),"",
IF(AND(Table2[[#This Row],[Member Type]]="Child",Table2[[#This Row],[Product Option]]="My Value Plus Life &amp; Funeral",_xlfn.XLOOKUP(B445,Table2[Main Member Link ID],Table2[Benefit Name],0)=Lookups!$D$15),"",
IF(AND(Table2[[#This Row],[Member Type]]="Child",Table2[[#This Row],[Product Option]]="My Value Plus Life &amp; Funeral",_xlfn.XLOOKUP(B445,Table2[Main Member Link ID],Table2[Benefit Name],0)=Lookups!$D$16),Lookups!$D$24,
IF(AND(Table2[[#This Row],[Member Type]]="Child",Table2[[#This Row],[Product Option]]="My Value Plus Life &amp; Funeral",_xlfn.XLOOKUP(B445,Table2[Main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Funeral",_xlfn.XLOOKUP(B445,Table2[Main Member Link ID],Table2[Benefit Name],0)&lt;&gt;Lookups!$D$14),
IF(_xlfn.XLOOKUP(B445,Table2[Main Member Link ID],Table2[Benefit Name],0)=0,"",_xlfn.XLOOKUP(B445,Table2[Main Member Link ID],Table2[Benefit Name],0)),"")))))))))))))))</f>
        <v/>
      </c>
      <c r="AF445" s="327" t="str">
        <f>IF(AND(Table2[[#This Row],[Member Type]]="Main Member",Table2[[#This Row],[Product Option]]="My Value Plus Life &amp; Funeral"),Lookups!$D$15,
IF(AND(Table2[[#This Row],[Member Type]]="Spouse",Table2[[#This Row],[Product Option]]="My Value Plus Life &amp; Funeral",_xlfn.XLOOKUP(B445,Table2[Main Member Link ID],Table2[Benefit Name],0)=Lookups!$D$14),"",
IF(AND(Table2[[#This Row],[Member Type]]="Spouse",Table2[[#This Row],[Product Option]]="My Value Plus Life &amp; Funeral",_xlfn.XLOOKUP(B444,Table2[Main Member Link ID],Table2[Benefit Name],0)=Lookups!$D$16),"",
IF(AND(Table2[[#This Row],[Member Type]]="Spouse",Table2[[#This Row],[Product Option]]="My Value Plus Life &amp; Funeral",_xlfn.XLOOKUP(B444,Table2[Main Member Link ID],Table2[Benefit Name],0)=Lookups!$D$15),"",
IF(AND(Table2[[#This Row],[Member Type]]="Spouse",Table2[[#This Row],[Product Option]]="My Value Plus Life &amp; Funeral",_xlfn.XLOOKUP(B444,Table2[Main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Funeral",_xlfn.XLOOKUP(B445,Table2[Main Member Link ID],Table2[Benefit Name],0)&lt;&gt;Lookups!$D$15),
IF(_xlfn.XLOOKUP(B445,Table2[Main Member Link ID],Table2[Benefit Name],0)=0,"",_xlfn.XLOOKUP(B445,Table2[Main Member Link ID],Table2[Benefit Name],0)),"")
))))))</f>
        <v/>
      </c>
      <c r="AG445" s="327" t="str">
        <f>IF(AND(Table2[[#This Row],[Member Type]]="Main Member",Table2[[#This Row],[Product Option]]="My Value Plus Life &amp; Funeral"),Lookups!$D$16,
IF(AND(Table2[[#This Row],[Member Type]]="Spouse",Table2[[#This Row],[Product Option]]="My Value Plus Life &amp; Funeral",_xlfn.XLOOKUP(B445,Table2[Main Member Link ID],Table2[Benefit Name],0)=Lookups!$D$14),"",
IF(AND(Table2[[#This Row],[Member Type]]="Spouse",Table2[[#This Row],[Product Option]]="My Value Plus Life &amp; Funeral",_xlfn.XLOOKUP(B444,Table2[Main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Funeral",_xlfn.XLOOKUP(B445,Table2[Main Member Link ID],Table2[Benefit Name],0)&lt;&gt;Lookups!$D$16),
IF(_xlfn.XLOOKUP(B445,Table2[Main Member Link ID],Table2[Benefit Name],0)=0,"",_xlfn.XLOOKUP(B445,Table2[Main Member Link ID],Table2[Benefit Name],0)),"")
))))</f>
        <v/>
      </c>
      <c r="AH445" s="327" t="str">
        <f>IF(AND(Table2[[#This Row],[Member Type]]="Main Member",Table2[[#This Row],[Product Option]]="My Value Plus Life &amp; Funeral"),Lookups!$D$17,
IF(AND(Table2[[#This Row],[Member Type]]="Spouse",Table2[[#This Row],[Product Option]]="My Value Plus Life &amp; Funeral",_xlfn.XLOOKUP(B445,Table2[Main Member Link ID],Table2[Benefit Name],0)=Lookups!$D$14),"",
IF(AND(Table2[[#This Row],[Member Type]]="Spouse",Table2[[#This Row],[Product Option]]="My Value Plus Life &amp; Funeral",_xlfn.XLOOKUP(B444,Table2[Main Member Link ID],Table2[Benefit Name],0)=Lookups!$D$16),"",
IF(AND(Table2[[#This Row],[Member Type]]="Child",Table2[[#This Row],[Product Option]]="My Value Plus Life &amp; Funeral"),"",
IF(AND(Table2[[#This Row],[Member Type]]="Child",Table2[[#This Row],[Product Option]]="My Value Plus Life &amp; Funeral",_xlfn.XLOOKUP(B445,Table2[Main Member Link ID],Table2[Benefit Name],0)=Lookups!$D$15),"",
IF(AND(OR(Table2[[#This Row],[Member Type]]="Spouse",Table2[[#This Row],[Member Type]]="Child"),Table2[[#This Row],[Product Option]]="My Value Plus Life &amp; Funeral",_xlfn.XLOOKUP(B445,Table2[Main Member Link ID],Table2[Benefit Name],0)&lt;&gt;Lookups!$D$17),
IF(_xlfn.XLOOKUP(B445,Table2[Main Member Link ID],Table2[Benefit Name],0)=0,"",_xlfn.XLOOKUP(B445,Table2[Main Member Link ID],Table2[Benefit Name],0)),""))))))</f>
        <v/>
      </c>
      <c r="AI445" s="328" t="str">
        <f>IF(AND(Table2[[#This Row],[Member Type]]="Main Member",Table2[[#This Row],[Table Lookup for Life Cover]]="MM_LIFE",Table2[[#This Row],[Age Next Birthday]]&lt;56),1,
IF(AND(Table2[[#This Row],[Member Type]]="Main Member",Table2[[#This Row],[Table Lookup for Life Cover]]="MM_LIFE",Table2[[#This Row],[Age Next Birthday]]&gt;=56),2,
""))</f>
        <v/>
      </c>
      <c r="AJ445" s="328">
        <f>IF(OR(Table2[[#This Row],[Member Type]]="Main Member",Table2[[#This Row],[Main Member Link ID]]=B444),1,0)</f>
        <v>1</v>
      </c>
      <c r="AK445" s="328">
        <f>IF(Table2[[#This Row],[Member Type]]=0,0,
IF(OR(Table2[[#This Row],[Member Type]]="Main Member",Table2[[#This Row],[Main Member Link ID]]&lt;&gt;B445),COUNTIFS(B:B,Table2[[#This Row],[Main Member Link ID]]),
COUNTIFS(B:B,Table2[[#This Row],[Main Member Link ID]],A:A,Table2[[#This Row],[Member Type]])))</f>
        <v>0</v>
      </c>
    </row>
    <row r="446" spans="1:37" x14ac:dyDescent="0.3">
      <c r="A446" s="284">
        <f>Table13[[#This Row],[Member Type]]</f>
        <v>0</v>
      </c>
      <c r="B446" s="284">
        <f>Table13[[#This Row],[Main Member Link ID]]</f>
        <v>0</v>
      </c>
      <c r="C446" s="284">
        <f>Table13[[#This Row],[ID Number]]</f>
        <v>0</v>
      </c>
      <c r="D446" s="285">
        <f>Table13[[#This Row],[Date Of Birth]]</f>
        <v>0</v>
      </c>
      <c r="E446" s="285">
        <f>Table13[[#This Row],[Commencement Date]]</f>
        <v>0</v>
      </c>
      <c r="F446" s="284">
        <f t="shared" si="42"/>
        <v>1</v>
      </c>
      <c r="G446" s="284">
        <f t="shared" si="43"/>
        <v>25</v>
      </c>
      <c r="H446" s="286">
        <f>Table13[[#This Row],[Product Option]]</f>
        <v>0</v>
      </c>
      <c r="I446" s="284">
        <f>IF(AND($A446="Main Member",Table2[[#This Row],[Product Option]]="My Value Plus Life"),"MM_LIFE",
IF(AND($A446="Spouse",Table2[[#This Row],[Product Option]]="My Value Plus Life"),"SP_LIFE",
IF(AND($A446="Main Member",Table2[[#This Row],[Product Option]]="My Value Plus Life &amp; Funeral"),"MM_LIFE",
IF(AND($A446="Spouse",Table2[[#This Row],[Product Option]]="My Value Plus Life &amp; Funeral"),_xlfn.XLOOKUP(Table2[[#This Row],[Benefit Name]],Lookups!$D$18:$D$23,Lookups!$E$18:$E$23,0),
0))))</f>
        <v>0</v>
      </c>
      <c r="J446" s="284">
        <f>IF($I446="","",
IF($I446="MM_LIFE",INDEX('Quotation Tool'!$S$54:$V$60,MATCH($T446,'Quotation Tool'!$S$54:$S$60,0),4),
IF($I446="SP_LIFE",_xlfn.XLOOKUP(B445,$B:$B,$J:$J,0),0)))</f>
        <v>0</v>
      </c>
      <c r="K446" s="287">
        <f t="shared" ca="1" si="47"/>
        <v>0</v>
      </c>
      <c r="L446" s="288">
        <f t="shared" ca="1" si="48"/>
        <v>0</v>
      </c>
      <c r="M446" s="289">
        <f t="shared" ca="1" si="44"/>
        <v>0</v>
      </c>
      <c r="N446" s="286">
        <f>Table13[[#This Row],[Benefit Option]]</f>
        <v>0</v>
      </c>
      <c r="O446" s="284">
        <f>IF(OR(Table2[[#This Row],[Member Type]]="Spouse",Table2[[#This Row],[Member Type]]="Child"),0,
IF(_xlfn.XLOOKUP($N446,Lookups!$D$13:$D$27,Lookups!$F$13:$F$27,0)=Table2[[#This Row],[Table Lookup for Life Cover]],0,
_xlfn.XLOOKUP($N446,Lookups!$D$13:$D$27,Lookups!$F$13:$F$27,0)))</f>
        <v>0</v>
      </c>
      <c r="P446" s="284">
        <f>IF(Table2[[#This Row],[Table Lookup for Funeral]]=0,0,IFERROR(INDEX('Quotation Tool'!$S$54:$V$60,MATCH($T446,'Quotation Tool'!$S$54:$S$60,0),3),0))</f>
        <v>0</v>
      </c>
      <c r="Q446" s="288">
        <f ca="1">IF(OR(Table2[[#This Row],[Benefit Name]]="My Value Plus Life - Main Member",Table2[[#This Row],[Benefit Name]]="My Value Plus Life - Spouse"),0,
IFERROR(VLOOKUP($G446,INDIRECT($O446),$P446,FALSE),0))</f>
        <v>0</v>
      </c>
      <c r="R446" s="288">
        <f ca="1">IF(OR(Table2[[#This Row],[Benefit Name]]="My Value Plus Life - Main Member",Table2[[#This Row],[Benefit Name]]="My Value Plus Life - Spouse"),0,
IFERROR(VLOOKUP($G446,INDIRECT($O446),$P446+1,FALSE),0))</f>
        <v>0</v>
      </c>
      <c r="S446" s="289">
        <f t="shared" ca="1" si="45"/>
        <v>0</v>
      </c>
      <c r="T446" s="284" t="str">
        <f>IF(Table13[[#This Row],[Premium Waiver]]="","None",Table13[[#This Row],[Premium Waiver]])</f>
        <v>None</v>
      </c>
      <c r="U446" s="284">
        <f>Table13[[#This Row],[VAPs Options]]</f>
        <v>0</v>
      </c>
      <c r="V446" s="284">
        <f>Table13[[#This Row],[Annual Increase Option]]</f>
        <v>0</v>
      </c>
      <c r="W446" s="290">
        <f>Table13[[#This Row],[Life Cover Amount]]</f>
        <v>0</v>
      </c>
      <c r="X446" s="290">
        <f>Table13[[#This Row],[Funeral Cover Amount]]</f>
        <v>0</v>
      </c>
      <c r="Y44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4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46" s="301">
        <f t="shared" ca="1" si="46"/>
        <v>0</v>
      </c>
      <c r="AB446" s="298"/>
      <c r="AC446" s="326" t="str">
        <f>IF(Table2[[#This Row],[Member Type]]="Main Member",Lookups!$C$13,
IF(Table2[[#This Row],[Member Type]]="Spouse",_xlfn.XLOOKUP(B446,Table2[Main Member Link ID],Table2[Product Option],0),
IF(AND(Table2[[#This Row],[Member Type]]="Child",_xlfn.XLOOKUP(B446,Table2[Main Member Link ID],Table2[Product Option],0)&lt;&gt;"My Value Plus Life"),Lookups!$C$24,
IF(AND(OR(Table2[[#This Row],[Member Type]]="Parent",Table2[[#This Row],[Member Type]]="Extended"),_xlfn.XLOOKUP(B446,Table2[Main Member Link ID],Table2[Product Option],0)&lt;&gt;"My Value Plus Life"),Lookups!$C$26,""))))</f>
        <v/>
      </c>
      <c r="AD446" s="326" t="str">
        <f>IF(Table2[[#This Row],[Member Type]]="Main Member",Lookups!$C$14,"")</f>
        <v/>
      </c>
      <c r="AE44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Funeral",_xlfn.XLOOKUP(B446,Table2[Main Member Link ID],Table2[Benefit Name],0)=Lookups!$D$14),"",
IF(AND(Table2[[#This Row],[Member Type]]="Spouse",Table2[[#This Row],[Product Option]]="My Value Plus Life &amp; Funeral",_xlfn.XLOOKUP(B445,Table2[Main Member Link ID],Table2[Benefit Name],0)=Lookups!$D$15),Lookups!$D$20,
IF(AND(Table2[[#This Row],[Member Type]]="Spouse",Table2[[#This Row],[Product Option]]="My Value Plus Life &amp; Funeral",_xlfn.XLOOKUP(B445,Table2[Main Member Link ID],Table2[Benefit Name],0)=Lookups!$D$16),"",
IF(AND(Table2[[#This Row],[Member Type]]="Spouse",Table2[[#This Row],[Product Option]]="My Value Plus Life &amp; Funeral",_xlfn.XLOOKUP(B445,Table2[Main Member Link ID],Table2[Benefit Name],0)=Lookups!$D$17),Lookups!$D$21,
IF(AND(Table2[[#This Row],[Member Type]]="Child",Table2[[#This Row],[Product Option]]="My Value Plus Life &amp; Funeral",_xlfn.XLOOKUP(B446,Table2[Main Member Link ID],Table2[Benefit Name],0)=Lookups!$D$14),"",
IF(AND(Table2[[#This Row],[Member Type]]="Child",Table2[[#This Row],[Product Option]]="My Value Plus Life &amp; Funeral",_xlfn.XLOOKUP(B446,Table2[Main Member Link ID],Table2[Benefit Name],0)=Lookups!$D$15),"",
IF(AND(Table2[[#This Row],[Member Type]]="Child",Table2[[#This Row],[Product Option]]="My Value Plus Life &amp; Funeral",_xlfn.XLOOKUP(B446,Table2[Main Member Link ID],Table2[Benefit Name],0)=Lookups!$D$16),Lookups!$D$24,
IF(AND(Table2[[#This Row],[Member Type]]="Child",Table2[[#This Row],[Product Option]]="My Value Plus Life &amp; Funeral",_xlfn.XLOOKUP(B446,Table2[Main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Funeral",_xlfn.XLOOKUP(B446,Table2[Main Member Link ID],Table2[Benefit Name],0)&lt;&gt;Lookups!$D$14),
IF(_xlfn.XLOOKUP(B446,Table2[Main Member Link ID],Table2[Benefit Name],0)=0,"",_xlfn.XLOOKUP(B446,Table2[Main Member Link ID],Table2[Benefit Name],0)),"")))))))))))))))</f>
        <v/>
      </c>
      <c r="AF446" s="327" t="str">
        <f>IF(AND(Table2[[#This Row],[Member Type]]="Main Member",Table2[[#This Row],[Product Option]]="My Value Plus Life &amp; Funeral"),Lookups!$D$15,
IF(AND(Table2[[#This Row],[Member Type]]="Spouse",Table2[[#This Row],[Product Option]]="My Value Plus Life &amp; Funeral",_xlfn.XLOOKUP(B446,Table2[Main Member Link ID],Table2[Benefit Name],0)=Lookups!$D$14),"",
IF(AND(Table2[[#This Row],[Member Type]]="Spouse",Table2[[#This Row],[Product Option]]="My Value Plus Life &amp; Funeral",_xlfn.XLOOKUP(B445,Table2[Main Member Link ID],Table2[Benefit Name],0)=Lookups!$D$16),"",
IF(AND(Table2[[#This Row],[Member Type]]="Spouse",Table2[[#This Row],[Product Option]]="My Value Plus Life &amp; Funeral",_xlfn.XLOOKUP(B445,Table2[Main Member Link ID],Table2[Benefit Name],0)=Lookups!$D$15),"",
IF(AND(Table2[[#This Row],[Member Type]]="Spouse",Table2[[#This Row],[Product Option]]="My Value Plus Life &amp; Funeral",_xlfn.XLOOKUP(B445,Table2[Main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Funeral",_xlfn.XLOOKUP(B446,Table2[Main Member Link ID],Table2[Benefit Name],0)&lt;&gt;Lookups!$D$15),
IF(_xlfn.XLOOKUP(B446,Table2[Main Member Link ID],Table2[Benefit Name],0)=0,"",_xlfn.XLOOKUP(B446,Table2[Main Member Link ID],Table2[Benefit Name],0)),"")
))))))</f>
        <v/>
      </c>
      <c r="AG446" s="327" t="str">
        <f>IF(AND(Table2[[#This Row],[Member Type]]="Main Member",Table2[[#This Row],[Product Option]]="My Value Plus Life &amp; Funeral"),Lookups!$D$16,
IF(AND(Table2[[#This Row],[Member Type]]="Spouse",Table2[[#This Row],[Product Option]]="My Value Plus Life &amp; Funeral",_xlfn.XLOOKUP(B446,Table2[Main Member Link ID],Table2[Benefit Name],0)=Lookups!$D$14),"",
IF(AND(Table2[[#This Row],[Member Type]]="Spouse",Table2[[#This Row],[Product Option]]="My Value Plus Life &amp; Funeral",_xlfn.XLOOKUP(B445,Table2[Main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Funeral",_xlfn.XLOOKUP(B446,Table2[Main Member Link ID],Table2[Benefit Name],0)&lt;&gt;Lookups!$D$16),
IF(_xlfn.XLOOKUP(B446,Table2[Main Member Link ID],Table2[Benefit Name],0)=0,"",_xlfn.XLOOKUP(B446,Table2[Main Member Link ID],Table2[Benefit Name],0)),"")
))))</f>
        <v/>
      </c>
      <c r="AH446" s="327" t="str">
        <f>IF(AND(Table2[[#This Row],[Member Type]]="Main Member",Table2[[#This Row],[Product Option]]="My Value Plus Life &amp; Funeral"),Lookups!$D$17,
IF(AND(Table2[[#This Row],[Member Type]]="Spouse",Table2[[#This Row],[Product Option]]="My Value Plus Life &amp; Funeral",_xlfn.XLOOKUP(B446,Table2[Main Member Link ID],Table2[Benefit Name],0)=Lookups!$D$14),"",
IF(AND(Table2[[#This Row],[Member Type]]="Spouse",Table2[[#This Row],[Product Option]]="My Value Plus Life &amp; Funeral",_xlfn.XLOOKUP(B445,Table2[Main Member Link ID],Table2[Benefit Name],0)=Lookups!$D$16),"",
IF(AND(Table2[[#This Row],[Member Type]]="Child",Table2[[#This Row],[Product Option]]="My Value Plus Life &amp; Funeral"),"",
IF(AND(Table2[[#This Row],[Member Type]]="Child",Table2[[#This Row],[Product Option]]="My Value Plus Life &amp; Funeral",_xlfn.XLOOKUP(B446,Table2[Main Member Link ID],Table2[Benefit Name],0)=Lookups!$D$15),"",
IF(AND(OR(Table2[[#This Row],[Member Type]]="Spouse",Table2[[#This Row],[Member Type]]="Child"),Table2[[#This Row],[Product Option]]="My Value Plus Life &amp; Funeral",_xlfn.XLOOKUP(B446,Table2[Main Member Link ID],Table2[Benefit Name],0)&lt;&gt;Lookups!$D$17),
IF(_xlfn.XLOOKUP(B446,Table2[Main Member Link ID],Table2[Benefit Name],0)=0,"",_xlfn.XLOOKUP(B446,Table2[Main Member Link ID],Table2[Benefit Name],0)),""))))))</f>
        <v/>
      </c>
      <c r="AI446" s="328" t="str">
        <f>IF(AND(Table2[[#This Row],[Member Type]]="Main Member",Table2[[#This Row],[Table Lookup for Life Cover]]="MM_LIFE",Table2[[#This Row],[Age Next Birthday]]&lt;56),1,
IF(AND(Table2[[#This Row],[Member Type]]="Main Member",Table2[[#This Row],[Table Lookup for Life Cover]]="MM_LIFE",Table2[[#This Row],[Age Next Birthday]]&gt;=56),2,
""))</f>
        <v/>
      </c>
      <c r="AJ446" s="328">
        <f>IF(OR(Table2[[#This Row],[Member Type]]="Main Member",Table2[[#This Row],[Main Member Link ID]]=B445),1,0)</f>
        <v>1</v>
      </c>
      <c r="AK446" s="328">
        <f>IF(Table2[[#This Row],[Member Type]]=0,0,
IF(OR(Table2[[#This Row],[Member Type]]="Main Member",Table2[[#This Row],[Main Member Link ID]]&lt;&gt;B446),COUNTIFS(B:B,Table2[[#This Row],[Main Member Link ID]]),
COUNTIFS(B:B,Table2[[#This Row],[Main Member Link ID]],A:A,Table2[[#This Row],[Member Type]])))</f>
        <v>0</v>
      </c>
    </row>
    <row r="447" spans="1:37" x14ac:dyDescent="0.3">
      <c r="A447" s="284">
        <f>Table13[[#This Row],[Member Type]]</f>
        <v>0</v>
      </c>
      <c r="B447" s="284">
        <f>Table13[[#This Row],[Main Member Link ID]]</f>
        <v>0</v>
      </c>
      <c r="C447" s="284">
        <f>Table13[[#This Row],[ID Number]]</f>
        <v>0</v>
      </c>
      <c r="D447" s="285">
        <f>Table13[[#This Row],[Date Of Birth]]</f>
        <v>0</v>
      </c>
      <c r="E447" s="285">
        <f>Table13[[#This Row],[Commencement Date]]</f>
        <v>0</v>
      </c>
      <c r="F447" s="284">
        <f t="shared" si="42"/>
        <v>1</v>
      </c>
      <c r="G447" s="284">
        <f t="shared" si="43"/>
        <v>25</v>
      </c>
      <c r="H447" s="286">
        <f>Table13[[#This Row],[Product Option]]</f>
        <v>0</v>
      </c>
      <c r="I447" s="284">
        <f>IF(AND($A447="Main Member",Table2[[#This Row],[Product Option]]="My Value Plus Life"),"MM_LIFE",
IF(AND($A447="Spouse",Table2[[#This Row],[Product Option]]="My Value Plus Life"),"SP_LIFE",
IF(AND($A447="Main Member",Table2[[#This Row],[Product Option]]="My Value Plus Life &amp; Funeral"),"MM_LIFE",
IF(AND($A447="Spouse",Table2[[#This Row],[Product Option]]="My Value Plus Life &amp; Funeral"),_xlfn.XLOOKUP(Table2[[#This Row],[Benefit Name]],Lookups!$D$18:$D$23,Lookups!$E$18:$E$23,0),
0))))</f>
        <v>0</v>
      </c>
      <c r="J447" s="284">
        <f>IF($I447="","",
IF($I447="MM_LIFE",INDEX('Quotation Tool'!$S$54:$V$60,MATCH($T447,'Quotation Tool'!$S$54:$S$60,0),4),
IF($I447="SP_LIFE",_xlfn.XLOOKUP(B446,$B:$B,$J:$J,0),0)))</f>
        <v>0</v>
      </c>
      <c r="K447" s="287">
        <f t="shared" ca="1" si="47"/>
        <v>0</v>
      </c>
      <c r="L447" s="288">
        <f t="shared" ca="1" si="48"/>
        <v>0</v>
      </c>
      <c r="M447" s="289">
        <f t="shared" ca="1" si="44"/>
        <v>0</v>
      </c>
      <c r="N447" s="286">
        <f>Table13[[#This Row],[Benefit Option]]</f>
        <v>0</v>
      </c>
      <c r="O447" s="284">
        <f>IF(OR(Table2[[#This Row],[Member Type]]="Spouse",Table2[[#This Row],[Member Type]]="Child"),0,
IF(_xlfn.XLOOKUP($N447,Lookups!$D$13:$D$27,Lookups!$F$13:$F$27,0)=Table2[[#This Row],[Table Lookup for Life Cover]],0,
_xlfn.XLOOKUP($N447,Lookups!$D$13:$D$27,Lookups!$F$13:$F$27,0)))</f>
        <v>0</v>
      </c>
      <c r="P447" s="284">
        <f>IF(Table2[[#This Row],[Table Lookup for Funeral]]=0,0,IFERROR(INDEX('Quotation Tool'!$S$54:$V$60,MATCH($T447,'Quotation Tool'!$S$54:$S$60,0),3),0))</f>
        <v>0</v>
      </c>
      <c r="Q447" s="288">
        <f ca="1">IF(OR(Table2[[#This Row],[Benefit Name]]="My Value Plus Life - Main Member",Table2[[#This Row],[Benefit Name]]="My Value Plus Life - Spouse"),0,
IFERROR(VLOOKUP($G447,INDIRECT($O447),$P447,FALSE),0))</f>
        <v>0</v>
      </c>
      <c r="R447" s="288">
        <f ca="1">IF(OR(Table2[[#This Row],[Benefit Name]]="My Value Plus Life - Main Member",Table2[[#This Row],[Benefit Name]]="My Value Plus Life - Spouse"),0,
IFERROR(VLOOKUP($G447,INDIRECT($O447),$P447+1,FALSE),0))</f>
        <v>0</v>
      </c>
      <c r="S447" s="289">
        <f t="shared" ca="1" si="45"/>
        <v>0</v>
      </c>
      <c r="T447" s="284" t="str">
        <f>IF(Table13[[#This Row],[Premium Waiver]]="","None",Table13[[#This Row],[Premium Waiver]])</f>
        <v>None</v>
      </c>
      <c r="U447" s="284">
        <f>Table13[[#This Row],[VAPs Options]]</f>
        <v>0</v>
      </c>
      <c r="V447" s="284">
        <f>Table13[[#This Row],[Annual Increase Option]]</f>
        <v>0</v>
      </c>
      <c r="W447" s="290">
        <f>Table13[[#This Row],[Life Cover Amount]]</f>
        <v>0</v>
      </c>
      <c r="X447" s="290">
        <f>Table13[[#This Row],[Funeral Cover Amount]]</f>
        <v>0</v>
      </c>
      <c r="Y44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4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47" s="301">
        <f t="shared" ca="1" si="46"/>
        <v>0</v>
      </c>
      <c r="AB447" s="298"/>
      <c r="AC447" s="326" t="str">
        <f>IF(Table2[[#This Row],[Member Type]]="Main Member",Lookups!$C$13,
IF(Table2[[#This Row],[Member Type]]="Spouse",_xlfn.XLOOKUP(B447,Table2[Main Member Link ID],Table2[Product Option],0),
IF(AND(Table2[[#This Row],[Member Type]]="Child",_xlfn.XLOOKUP(B447,Table2[Main Member Link ID],Table2[Product Option],0)&lt;&gt;"My Value Plus Life"),Lookups!$C$24,
IF(AND(OR(Table2[[#This Row],[Member Type]]="Parent",Table2[[#This Row],[Member Type]]="Extended"),_xlfn.XLOOKUP(B447,Table2[Main Member Link ID],Table2[Product Option],0)&lt;&gt;"My Value Plus Life"),Lookups!$C$26,""))))</f>
        <v/>
      </c>
      <c r="AD447" s="326" t="str">
        <f>IF(Table2[[#This Row],[Member Type]]="Main Member",Lookups!$C$14,"")</f>
        <v/>
      </c>
      <c r="AE44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Funeral",_xlfn.XLOOKUP(B447,Table2[Main Member Link ID],Table2[Benefit Name],0)=Lookups!$D$14),"",
IF(AND(Table2[[#This Row],[Member Type]]="Spouse",Table2[[#This Row],[Product Option]]="My Value Plus Life &amp; Funeral",_xlfn.XLOOKUP(B446,Table2[Main Member Link ID],Table2[Benefit Name],0)=Lookups!$D$15),Lookups!$D$20,
IF(AND(Table2[[#This Row],[Member Type]]="Spouse",Table2[[#This Row],[Product Option]]="My Value Plus Life &amp; Funeral",_xlfn.XLOOKUP(B446,Table2[Main Member Link ID],Table2[Benefit Name],0)=Lookups!$D$16),"",
IF(AND(Table2[[#This Row],[Member Type]]="Spouse",Table2[[#This Row],[Product Option]]="My Value Plus Life &amp; Funeral",_xlfn.XLOOKUP(B446,Table2[Main Member Link ID],Table2[Benefit Name],0)=Lookups!$D$17),Lookups!$D$21,
IF(AND(Table2[[#This Row],[Member Type]]="Child",Table2[[#This Row],[Product Option]]="My Value Plus Life &amp; Funeral",_xlfn.XLOOKUP(B447,Table2[Main Member Link ID],Table2[Benefit Name],0)=Lookups!$D$14),"",
IF(AND(Table2[[#This Row],[Member Type]]="Child",Table2[[#This Row],[Product Option]]="My Value Plus Life &amp; Funeral",_xlfn.XLOOKUP(B447,Table2[Main Member Link ID],Table2[Benefit Name],0)=Lookups!$D$15),"",
IF(AND(Table2[[#This Row],[Member Type]]="Child",Table2[[#This Row],[Product Option]]="My Value Plus Life &amp; Funeral",_xlfn.XLOOKUP(B447,Table2[Main Member Link ID],Table2[Benefit Name],0)=Lookups!$D$16),Lookups!$D$24,
IF(AND(Table2[[#This Row],[Member Type]]="Child",Table2[[#This Row],[Product Option]]="My Value Plus Life &amp; Funeral",_xlfn.XLOOKUP(B447,Table2[Main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Funeral",_xlfn.XLOOKUP(B447,Table2[Main Member Link ID],Table2[Benefit Name],0)&lt;&gt;Lookups!$D$14),
IF(_xlfn.XLOOKUP(B447,Table2[Main Member Link ID],Table2[Benefit Name],0)=0,"",_xlfn.XLOOKUP(B447,Table2[Main Member Link ID],Table2[Benefit Name],0)),"")))))))))))))))</f>
        <v/>
      </c>
      <c r="AF447" s="327" t="str">
        <f>IF(AND(Table2[[#This Row],[Member Type]]="Main Member",Table2[[#This Row],[Product Option]]="My Value Plus Life &amp; Funeral"),Lookups!$D$15,
IF(AND(Table2[[#This Row],[Member Type]]="Spouse",Table2[[#This Row],[Product Option]]="My Value Plus Life &amp; Funeral",_xlfn.XLOOKUP(B447,Table2[Main Member Link ID],Table2[Benefit Name],0)=Lookups!$D$14),"",
IF(AND(Table2[[#This Row],[Member Type]]="Spouse",Table2[[#This Row],[Product Option]]="My Value Plus Life &amp; Funeral",_xlfn.XLOOKUP(B446,Table2[Main Member Link ID],Table2[Benefit Name],0)=Lookups!$D$16),"",
IF(AND(Table2[[#This Row],[Member Type]]="Spouse",Table2[[#This Row],[Product Option]]="My Value Plus Life &amp; Funeral",_xlfn.XLOOKUP(B446,Table2[Main Member Link ID],Table2[Benefit Name],0)=Lookups!$D$15),"",
IF(AND(Table2[[#This Row],[Member Type]]="Spouse",Table2[[#This Row],[Product Option]]="My Value Plus Life &amp; Funeral",_xlfn.XLOOKUP(B446,Table2[Main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Funeral",_xlfn.XLOOKUP(B447,Table2[Main Member Link ID],Table2[Benefit Name],0)&lt;&gt;Lookups!$D$15),
IF(_xlfn.XLOOKUP(B447,Table2[Main Member Link ID],Table2[Benefit Name],0)=0,"",_xlfn.XLOOKUP(B447,Table2[Main Member Link ID],Table2[Benefit Name],0)),"")
))))))</f>
        <v/>
      </c>
      <c r="AG447" s="327" t="str">
        <f>IF(AND(Table2[[#This Row],[Member Type]]="Main Member",Table2[[#This Row],[Product Option]]="My Value Plus Life &amp; Funeral"),Lookups!$D$16,
IF(AND(Table2[[#This Row],[Member Type]]="Spouse",Table2[[#This Row],[Product Option]]="My Value Plus Life &amp; Funeral",_xlfn.XLOOKUP(B447,Table2[Main Member Link ID],Table2[Benefit Name],0)=Lookups!$D$14),"",
IF(AND(Table2[[#This Row],[Member Type]]="Spouse",Table2[[#This Row],[Product Option]]="My Value Plus Life &amp; Funeral",_xlfn.XLOOKUP(B446,Table2[Main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Funeral",_xlfn.XLOOKUP(B447,Table2[Main Member Link ID],Table2[Benefit Name],0)&lt;&gt;Lookups!$D$16),
IF(_xlfn.XLOOKUP(B447,Table2[Main Member Link ID],Table2[Benefit Name],0)=0,"",_xlfn.XLOOKUP(B447,Table2[Main Member Link ID],Table2[Benefit Name],0)),"")
))))</f>
        <v/>
      </c>
      <c r="AH447" s="327" t="str">
        <f>IF(AND(Table2[[#This Row],[Member Type]]="Main Member",Table2[[#This Row],[Product Option]]="My Value Plus Life &amp; Funeral"),Lookups!$D$17,
IF(AND(Table2[[#This Row],[Member Type]]="Spouse",Table2[[#This Row],[Product Option]]="My Value Plus Life &amp; Funeral",_xlfn.XLOOKUP(B447,Table2[Main Member Link ID],Table2[Benefit Name],0)=Lookups!$D$14),"",
IF(AND(Table2[[#This Row],[Member Type]]="Spouse",Table2[[#This Row],[Product Option]]="My Value Plus Life &amp; Funeral",_xlfn.XLOOKUP(B446,Table2[Main Member Link ID],Table2[Benefit Name],0)=Lookups!$D$16),"",
IF(AND(Table2[[#This Row],[Member Type]]="Child",Table2[[#This Row],[Product Option]]="My Value Plus Life &amp; Funeral"),"",
IF(AND(Table2[[#This Row],[Member Type]]="Child",Table2[[#This Row],[Product Option]]="My Value Plus Life &amp; Funeral",_xlfn.XLOOKUP(B447,Table2[Main Member Link ID],Table2[Benefit Name],0)=Lookups!$D$15),"",
IF(AND(OR(Table2[[#This Row],[Member Type]]="Spouse",Table2[[#This Row],[Member Type]]="Child"),Table2[[#This Row],[Product Option]]="My Value Plus Life &amp; Funeral",_xlfn.XLOOKUP(B447,Table2[Main Member Link ID],Table2[Benefit Name],0)&lt;&gt;Lookups!$D$17),
IF(_xlfn.XLOOKUP(B447,Table2[Main Member Link ID],Table2[Benefit Name],0)=0,"",_xlfn.XLOOKUP(B447,Table2[Main Member Link ID],Table2[Benefit Name],0)),""))))))</f>
        <v/>
      </c>
      <c r="AI447" s="328" t="str">
        <f>IF(AND(Table2[[#This Row],[Member Type]]="Main Member",Table2[[#This Row],[Table Lookup for Life Cover]]="MM_LIFE",Table2[[#This Row],[Age Next Birthday]]&lt;56),1,
IF(AND(Table2[[#This Row],[Member Type]]="Main Member",Table2[[#This Row],[Table Lookup for Life Cover]]="MM_LIFE",Table2[[#This Row],[Age Next Birthday]]&gt;=56),2,
""))</f>
        <v/>
      </c>
      <c r="AJ447" s="328">
        <f>IF(OR(Table2[[#This Row],[Member Type]]="Main Member",Table2[[#This Row],[Main Member Link ID]]=B446),1,0)</f>
        <v>1</v>
      </c>
      <c r="AK447" s="328">
        <f>IF(Table2[[#This Row],[Member Type]]=0,0,
IF(OR(Table2[[#This Row],[Member Type]]="Main Member",Table2[[#This Row],[Main Member Link ID]]&lt;&gt;B447),COUNTIFS(B:B,Table2[[#This Row],[Main Member Link ID]]),
COUNTIFS(B:B,Table2[[#This Row],[Main Member Link ID]],A:A,Table2[[#This Row],[Member Type]])))</f>
        <v>0</v>
      </c>
    </row>
    <row r="448" spans="1:37" x14ac:dyDescent="0.3">
      <c r="A448" s="284">
        <f>Table13[[#This Row],[Member Type]]</f>
        <v>0</v>
      </c>
      <c r="B448" s="284">
        <f>Table13[[#This Row],[Main Member Link ID]]</f>
        <v>0</v>
      </c>
      <c r="C448" s="284">
        <f>Table13[[#This Row],[ID Number]]</f>
        <v>0</v>
      </c>
      <c r="D448" s="285">
        <f>Table13[[#This Row],[Date Of Birth]]</f>
        <v>0</v>
      </c>
      <c r="E448" s="285">
        <f>Table13[[#This Row],[Commencement Date]]</f>
        <v>0</v>
      </c>
      <c r="F448" s="284">
        <f t="shared" si="42"/>
        <v>1</v>
      </c>
      <c r="G448" s="284">
        <f t="shared" si="43"/>
        <v>25</v>
      </c>
      <c r="H448" s="286">
        <f>Table13[[#This Row],[Product Option]]</f>
        <v>0</v>
      </c>
      <c r="I448" s="284">
        <f>IF(AND($A448="Main Member",Table2[[#This Row],[Product Option]]="My Value Plus Life"),"MM_LIFE",
IF(AND($A448="Spouse",Table2[[#This Row],[Product Option]]="My Value Plus Life"),"SP_LIFE",
IF(AND($A448="Main Member",Table2[[#This Row],[Product Option]]="My Value Plus Life &amp; Funeral"),"MM_LIFE",
IF(AND($A448="Spouse",Table2[[#This Row],[Product Option]]="My Value Plus Life &amp; Funeral"),_xlfn.XLOOKUP(Table2[[#This Row],[Benefit Name]],Lookups!$D$18:$D$23,Lookups!$E$18:$E$23,0),
0))))</f>
        <v>0</v>
      </c>
      <c r="J448" s="284">
        <f>IF($I448="","",
IF($I448="MM_LIFE",INDEX('Quotation Tool'!$S$54:$V$60,MATCH($T448,'Quotation Tool'!$S$54:$S$60,0),4),
IF($I448="SP_LIFE",_xlfn.XLOOKUP(B447,$B:$B,$J:$J,0),0)))</f>
        <v>0</v>
      </c>
      <c r="K448" s="287">
        <f t="shared" ca="1" si="47"/>
        <v>0</v>
      </c>
      <c r="L448" s="288">
        <f t="shared" ca="1" si="48"/>
        <v>0</v>
      </c>
      <c r="M448" s="289">
        <f t="shared" ca="1" si="44"/>
        <v>0</v>
      </c>
      <c r="N448" s="286">
        <f>Table13[[#This Row],[Benefit Option]]</f>
        <v>0</v>
      </c>
      <c r="O448" s="284">
        <f>IF(OR(Table2[[#This Row],[Member Type]]="Spouse",Table2[[#This Row],[Member Type]]="Child"),0,
IF(_xlfn.XLOOKUP($N448,Lookups!$D$13:$D$27,Lookups!$F$13:$F$27,0)=Table2[[#This Row],[Table Lookup for Life Cover]],0,
_xlfn.XLOOKUP($N448,Lookups!$D$13:$D$27,Lookups!$F$13:$F$27,0)))</f>
        <v>0</v>
      </c>
      <c r="P448" s="284">
        <f>IF(Table2[[#This Row],[Table Lookup for Funeral]]=0,0,IFERROR(INDEX('Quotation Tool'!$S$54:$V$60,MATCH($T448,'Quotation Tool'!$S$54:$S$60,0),3),0))</f>
        <v>0</v>
      </c>
      <c r="Q448" s="288">
        <f ca="1">IF(OR(Table2[[#This Row],[Benefit Name]]="My Value Plus Life - Main Member",Table2[[#This Row],[Benefit Name]]="My Value Plus Life - Spouse"),0,
IFERROR(VLOOKUP($G448,INDIRECT($O448),$P448,FALSE),0))</f>
        <v>0</v>
      </c>
      <c r="R448" s="288">
        <f ca="1">IF(OR(Table2[[#This Row],[Benefit Name]]="My Value Plus Life - Main Member",Table2[[#This Row],[Benefit Name]]="My Value Plus Life - Spouse"),0,
IFERROR(VLOOKUP($G448,INDIRECT($O448),$P448+1,FALSE),0))</f>
        <v>0</v>
      </c>
      <c r="S448" s="289">
        <f t="shared" ca="1" si="45"/>
        <v>0</v>
      </c>
      <c r="T448" s="284" t="str">
        <f>IF(Table13[[#This Row],[Premium Waiver]]="","None",Table13[[#This Row],[Premium Waiver]])</f>
        <v>None</v>
      </c>
      <c r="U448" s="284">
        <f>Table13[[#This Row],[VAPs Options]]</f>
        <v>0</v>
      </c>
      <c r="V448" s="284">
        <f>Table13[[#This Row],[Annual Increase Option]]</f>
        <v>0</v>
      </c>
      <c r="W448" s="290">
        <f>Table13[[#This Row],[Life Cover Amount]]</f>
        <v>0</v>
      </c>
      <c r="X448" s="290">
        <f>Table13[[#This Row],[Funeral Cover Amount]]</f>
        <v>0</v>
      </c>
      <c r="Y44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4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48" s="301">
        <f t="shared" ca="1" si="46"/>
        <v>0</v>
      </c>
      <c r="AB448" s="298"/>
      <c r="AC448" s="326" t="str">
        <f>IF(Table2[[#This Row],[Member Type]]="Main Member",Lookups!$C$13,
IF(Table2[[#This Row],[Member Type]]="Spouse",_xlfn.XLOOKUP(B448,Table2[Main Member Link ID],Table2[Product Option],0),
IF(AND(Table2[[#This Row],[Member Type]]="Child",_xlfn.XLOOKUP(B448,Table2[Main Member Link ID],Table2[Product Option],0)&lt;&gt;"My Value Plus Life"),Lookups!$C$24,
IF(AND(OR(Table2[[#This Row],[Member Type]]="Parent",Table2[[#This Row],[Member Type]]="Extended"),_xlfn.XLOOKUP(B448,Table2[Main Member Link ID],Table2[Product Option],0)&lt;&gt;"My Value Plus Life"),Lookups!$C$26,""))))</f>
        <v/>
      </c>
      <c r="AD448" s="326" t="str">
        <f>IF(Table2[[#This Row],[Member Type]]="Main Member",Lookups!$C$14,"")</f>
        <v/>
      </c>
      <c r="AE44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Funeral",_xlfn.XLOOKUP(B448,Table2[Main Member Link ID],Table2[Benefit Name],0)=Lookups!$D$14),"",
IF(AND(Table2[[#This Row],[Member Type]]="Spouse",Table2[[#This Row],[Product Option]]="My Value Plus Life &amp; Funeral",_xlfn.XLOOKUP(B447,Table2[Main Member Link ID],Table2[Benefit Name],0)=Lookups!$D$15),Lookups!$D$20,
IF(AND(Table2[[#This Row],[Member Type]]="Spouse",Table2[[#This Row],[Product Option]]="My Value Plus Life &amp; Funeral",_xlfn.XLOOKUP(B447,Table2[Main Member Link ID],Table2[Benefit Name],0)=Lookups!$D$16),"",
IF(AND(Table2[[#This Row],[Member Type]]="Spouse",Table2[[#This Row],[Product Option]]="My Value Plus Life &amp; Funeral",_xlfn.XLOOKUP(B447,Table2[Main Member Link ID],Table2[Benefit Name],0)=Lookups!$D$17),Lookups!$D$21,
IF(AND(Table2[[#This Row],[Member Type]]="Child",Table2[[#This Row],[Product Option]]="My Value Plus Life &amp; Funeral",_xlfn.XLOOKUP(B448,Table2[Main Member Link ID],Table2[Benefit Name],0)=Lookups!$D$14),"",
IF(AND(Table2[[#This Row],[Member Type]]="Child",Table2[[#This Row],[Product Option]]="My Value Plus Life &amp; Funeral",_xlfn.XLOOKUP(B448,Table2[Main Member Link ID],Table2[Benefit Name],0)=Lookups!$D$15),"",
IF(AND(Table2[[#This Row],[Member Type]]="Child",Table2[[#This Row],[Product Option]]="My Value Plus Life &amp; Funeral",_xlfn.XLOOKUP(B448,Table2[Main Member Link ID],Table2[Benefit Name],0)=Lookups!$D$16),Lookups!$D$24,
IF(AND(Table2[[#This Row],[Member Type]]="Child",Table2[[#This Row],[Product Option]]="My Value Plus Life &amp; Funeral",_xlfn.XLOOKUP(B448,Table2[Main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Funeral",_xlfn.XLOOKUP(B448,Table2[Main Member Link ID],Table2[Benefit Name],0)&lt;&gt;Lookups!$D$14),
IF(_xlfn.XLOOKUP(B448,Table2[Main Member Link ID],Table2[Benefit Name],0)=0,"",_xlfn.XLOOKUP(B448,Table2[Main Member Link ID],Table2[Benefit Name],0)),"")))))))))))))))</f>
        <v/>
      </c>
      <c r="AF448" s="327" t="str">
        <f>IF(AND(Table2[[#This Row],[Member Type]]="Main Member",Table2[[#This Row],[Product Option]]="My Value Plus Life &amp; Funeral"),Lookups!$D$15,
IF(AND(Table2[[#This Row],[Member Type]]="Spouse",Table2[[#This Row],[Product Option]]="My Value Plus Life &amp; Funeral",_xlfn.XLOOKUP(B448,Table2[Main Member Link ID],Table2[Benefit Name],0)=Lookups!$D$14),"",
IF(AND(Table2[[#This Row],[Member Type]]="Spouse",Table2[[#This Row],[Product Option]]="My Value Plus Life &amp; Funeral",_xlfn.XLOOKUP(B447,Table2[Main Member Link ID],Table2[Benefit Name],0)=Lookups!$D$16),"",
IF(AND(Table2[[#This Row],[Member Type]]="Spouse",Table2[[#This Row],[Product Option]]="My Value Plus Life &amp; Funeral",_xlfn.XLOOKUP(B447,Table2[Main Member Link ID],Table2[Benefit Name],0)=Lookups!$D$15),"",
IF(AND(Table2[[#This Row],[Member Type]]="Spouse",Table2[[#This Row],[Product Option]]="My Value Plus Life &amp; Funeral",_xlfn.XLOOKUP(B447,Table2[Main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Funeral",_xlfn.XLOOKUP(B448,Table2[Main Member Link ID],Table2[Benefit Name],0)&lt;&gt;Lookups!$D$15),
IF(_xlfn.XLOOKUP(B448,Table2[Main Member Link ID],Table2[Benefit Name],0)=0,"",_xlfn.XLOOKUP(B448,Table2[Main Member Link ID],Table2[Benefit Name],0)),"")
))))))</f>
        <v/>
      </c>
      <c r="AG448" s="327" t="str">
        <f>IF(AND(Table2[[#This Row],[Member Type]]="Main Member",Table2[[#This Row],[Product Option]]="My Value Plus Life &amp; Funeral"),Lookups!$D$16,
IF(AND(Table2[[#This Row],[Member Type]]="Spouse",Table2[[#This Row],[Product Option]]="My Value Plus Life &amp; Funeral",_xlfn.XLOOKUP(B448,Table2[Main Member Link ID],Table2[Benefit Name],0)=Lookups!$D$14),"",
IF(AND(Table2[[#This Row],[Member Type]]="Spouse",Table2[[#This Row],[Product Option]]="My Value Plus Life &amp; Funeral",_xlfn.XLOOKUP(B447,Table2[Main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Funeral",_xlfn.XLOOKUP(B448,Table2[Main Member Link ID],Table2[Benefit Name],0)&lt;&gt;Lookups!$D$16),
IF(_xlfn.XLOOKUP(B448,Table2[Main Member Link ID],Table2[Benefit Name],0)=0,"",_xlfn.XLOOKUP(B448,Table2[Main Member Link ID],Table2[Benefit Name],0)),"")
))))</f>
        <v/>
      </c>
      <c r="AH448" s="327" t="str">
        <f>IF(AND(Table2[[#This Row],[Member Type]]="Main Member",Table2[[#This Row],[Product Option]]="My Value Plus Life &amp; Funeral"),Lookups!$D$17,
IF(AND(Table2[[#This Row],[Member Type]]="Spouse",Table2[[#This Row],[Product Option]]="My Value Plus Life &amp; Funeral",_xlfn.XLOOKUP(B448,Table2[Main Member Link ID],Table2[Benefit Name],0)=Lookups!$D$14),"",
IF(AND(Table2[[#This Row],[Member Type]]="Spouse",Table2[[#This Row],[Product Option]]="My Value Plus Life &amp; Funeral",_xlfn.XLOOKUP(B447,Table2[Main Member Link ID],Table2[Benefit Name],0)=Lookups!$D$16),"",
IF(AND(Table2[[#This Row],[Member Type]]="Child",Table2[[#This Row],[Product Option]]="My Value Plus Life &amp; Funeral"),"",
IF(AND(Table2[[#This Row],[Member Type]]="Child",Table2[[#This Row],[Product Option]]="My Value Plus Life &amp; Funeral",_xlfn.XLOOKUP(B448,Table2[Main Member Link ID],Table2[Benefit Name],0)=Lookups!$D$15),"",
IF(AND(OR(Table2[[#This Row],[Member Type]]="Spouse",Table2[[#This Row],[Member Type]]="Child"),Table2[[#This Row],[Product Option]]="My Value Plus Life &amp; Funeral",_xlfn.XLOOKUP(B448,Table2[Main Member Link ID],Table2[Benefit Name],0)&lt;&gt;Lookups!$D$17),
IF(_xlfn.XLOOKUP(B448,Table2[Main Member Link ID],Table2[Benefit Name],0)=0,"",_xlfn.XLOOKUP(B448,Table2[Main Member Link ID],Table2[Benefit Name],0)),""))))))</f>
        <v/>
      </c>
      <c r="AI448" s="328" t="str">
        <f>IF(AND(Table2[[#This Row],[Member Type]]="Main Member",Table2[[#This Row],[Table Lookup for Life Cover]]="MM_LIFE",Table2[[#This Row],[Age Next Birthday]]&lt;56),1,
IF(AND(Table2[[#This Row],[Member Type]]="Main Member",Table2[[#This Row],[Table Lookup for Life Cover]]="MM_LIFE",Table2[[#This Row],[Age Next Birthday]]&gt;=56),2,
""))</f>
        <v/>
      </c>
      <c r="AJ448" s="328">
        <f>IF(OR(Table2[[#This Row],[Member Type]]="Main Member",Table2[[#This Row],[Main Member Link ID]]=B447),1,0)</f>
        <v>1</v>
      </c>
      <c r="AK448" s="328">
        <f>IF(Table2[[#This Row],[Member Type]]=0,0,
IF(OR(Table2[[#This Row],[Member Type]]="Main Member",Table2[[#This Row],[Main Member Link ID]]&lt;&gt;B448),COUNTIFS(B:B,Table2[[#This Row],[Main Member Link ID]]),
COUNTIFS(B:B,Table2[[#This Row],[Main Member Link ID]],A:A,Table2[[#This Row],[Member Type]])))</f>
        <v>0</v>
      </c>
    </row>
    <row r="449" spans="1:37" x14ac:dyDescent="0.3">
      <c r="A449" s="284">
        <f>Table13[[#This Row],[Member Type]]</f>
        <v>0</v>
      </c>
      <c r="B449" s="284">
        <f>Table13[[#This Row],[Main Member Link ID]]</f>
        <v>0</v>
      </c>
      <c r="C449" s="284">
        <f>Table13[[#This Row],[ID Number]]</f>
        <v>0</v>
      </c>
      <c r="D449" s="285">
        <f>Table13[[#This Row],[Date Of Birth]]</f>
        <v>0</v>
      </c>
      <c r="E449" s="285">
        <f>Table13[[#This Row],[Commencement Date]]</f>
        <v>0</v>
      </c>
      <c r="F449" s="284">
        <f t="shared" si="42"/>
        <v>1</v>
      </c>
      <c r="G449" s="284">
        <f t="shared" si="43"/>
        <v>25</v>
      </c>
      <c r="H449" s="286">
        <f>Table13[[#This Row],[Product Option]]</f>
        <v>0</v>
      </c>
      <c r="I449" s="284">
        <f>IF(AND($A449="Main Member",Table2[[#This Row],[Product Option]]="My Value Plus Life"),"MM_LIFE",
IF(AND($A449="Spouse",Table2[[#This Row],[Product Option]]="My Value Plus Life"),"SP_LIFE",
IF(AND($A449="Main Member",Table2[[#This Row],[Product Option]]="My Value Plus Life &amp; Funeral"),"MM_LIFE",
IF(AND($A449="Spouse",Table2[[#This Row],[Product Option]]="My Value Plus Life &amp; Funeral"),_xlfn.XLOOKUP(Table2[[#This Row],[Benefit Name]],Lookups!$D$18:$D$23,Lookups!$E$18:$E$23,0),
0))))</f>
        <v>0</v>
      </c>
      <c r="J449" s="284">
        <f>IF($I449="","",
IF($I449="MM_LIFE",INDEX('Quotation Tool'!$S$54:$V$60,MATCH($T449,'Quotation Tool'!$S$54:$S$60,0),4),
IF($I449="SP_LIFE",_xlfn.XLOOKUP(B448,$B:$B,$J:$J,0),0)))</f>
        <v>0</v>
      </c>
      <c r="K449" s="287">
        <f t="shared" ca="1" si="47"/>
        <v>0</v>
      </c>
      <c r="L449" s="288">
        <f t="shared" ca="1" si="48"/>
        <v>0</v>
      </c>
      <c r="M449" s="289">
        <f t="shared" ca="1" si="44"/>
        <v>0</v>
      </c>
      <c r="N449" s="286">
        <f>Table13[[#This Row],[Benefit Option]]</f>
        <v>0</v>
      </c>
      <c r="O449" s="284">
        <f>IF(OR(Table2[[#This Row],[Member Type]]="Spouse",Table2[[#This Row],[Member Type]]="Child"),0,
IF(_xlfn.XLOOKUP($N449,Lookups!$D$13:$D$27,Lookups!$F$13:$F$27,0)=Table2[[#This Row],[Table Lookup for Life Cover]],0,
_xlfn.XLOOKUP($N449,Lookups!$D$13:$D$27,Lookups!$F$13:$F$27,0)))</f>
        <v>0</v>
      </c>
      <c r="P449" s="284">
        <f>IF(Table2[[#This Row],[Table Lookup for Funeral]]=0,0,IFERROR(INDEX('Quotation Tool'!$S$54:$V$60,MATCH($T449,'Quotation Tool'!$S$54:$S$60,0),3),0))</f>
        <v>0</v>
      </c>
      <c r="Q449" s="288">
        <f ca="1">IF(OR(Table2[[#This Row],[Benefit Name]]="My Value Plus Life - Main Member",Table2[[#This Row],[Benefit Name]]="My Value Plus Life - Spouse"),0,
IFERROR(VLOOKUP($G449,INDIRECT($O449),$P449,FALSE),0))</f>
        <v>0</v>
      </c>
      <c r="R449" s="288">
        <f ca="1">IF(OR(Table2[[#This Row],[Benefit Name]]="My Value Plus Life - Main Member",Table2[[#This Row],[Benefit Name]]="My Value Plus Life - Spouse"),0,
IFERROR(VLOOKUP($G449,INDIRECT($O449),$P449+1,FALSE),0))</f>
        <v>0</v>
      </c>
      <c r="S449" s="289">
        <f t="shared" ca="1" si="45"/>
        <v>0</v>
      </c>
      <c r="T449" s="284" t="str">
        <f>IF(Table13[[#This Row],[Premium Waiver]]="","None",Table13[[#This Row],[Premium Waiver]])</f>
        <v>None</v>
      </c>
      <c r="U449" s="284">
        <f>Table13[[#This Row],[VAPs Options]]</f>
        <v>0</v>
      </c>
      <c r="V449" s="284">
        <f>Table13[[#This Row],[Annual Increase Option]]</f>
        <v>0</v>
      </c>
      <c r="W449" s="290">
        <f>Table13[[#This Row],[Life Cover Amount]]</f>
        <v>0</v>
      </c>
      <c r="X449" s="290">
        <f>Table13[[#This Row],[Funeral Cover Amount]]</f>
        <v>0</v>
      </c>
      <c r="Y44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4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49" s="301">
        <f t="shared" ca="1" si="46"/>
        <v>0</v>
      </c>
      <c r="AB449" s="298"/>
      <c r="AC449" s="326" t="str">
        <f>IF(Table2[[#This Row],[Member Type]]="Main Member",Lookups!$C$13,
IF(Table2[[#This Row],[Member Type]]="Spouse",_xlfn.XLOOKUP(B449,Table2[Main Member Link ID],Table2[Product Option],0),
IF(AND(Table2[[#This Row],[Member Type]]="Child",_xlfn.XLOOKUP(B449,Table2[Main Member Link ID],Table2[Product Option],0)&lt;&gt;"My Value Plus Life"),Lookups!$C$24,
IF(AND(OR(Table2[[#This Row],[Member Type]]="Parent",Table2[[#This Row],[Member Type]]="Extended"),_xlfn.XLOOKUP(B449,Table2[Main Member Link ID],Table2[Product Option],0)&lt;&gt;"My Value Plus Life"),Lookups!$C$26,""))))</f>
        <v/>
      </c>
      <c r="AD449" s="326" t="str">
        <f>IF(Table2[[#This Row],[Member Type]]="Main Member",Lookups!$C$14,"")</f>
        <v/>
      </c>
      <c r="AE44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Funeral",_xlfn.XLOOKUP(B449,Table2[Main Member Link ID],Table2[Benefit Name],0)=Lookups!$D$14),"",
IF(AND(Table2[[#This Row],[Member Type]]="Spouse",Table2[[#This Row],[Product Option]]="My Value Plus Life &amp; Funeral",_xlfn.XLOOKUP(B448,Table2[Main Member Link ID],Table2[Benefit Name],0)=Lookups!$D$15),Lookups!$D$20,
IF(AND(Table2[[#This Row],[Member Type]]="Spouse",Table2[[#This Row],[Product Option]]="My Value Plus Life &amp; Funeral",_xlfn.XLOOKUP(B448,Table2[Main Member Link ID],Table2[Benefit Name],0)=Lookups!$D$16),"",
IF(AND(Table2[[#This Row],[Member Type]]="Spouse",Table2[[#This Row],[Product Option]]="My Value Plus Life &amp; Funeral",_xlfn.XLOOKUP(B448,Table2[Main Member Link ID],Table2[Benefit Name],0)=Lookups!$D$17),Lookups!$D$21,
IF(AND(Table2[[#This Row],[Member Type]]="Child",Table2[[#This Row],[Product Option]]="My Value Plus Life &amp; Funeral",_xlfn.XLOOKUP(B449,Table2[Main Member Link ID],Table2[Benefit Name],0)=Lookups!$D$14),"",
IF(AND(Table2[[#This Row],[Member Type]]="Child",Table2[[#This Row],[Product Option]]="My Value Plus Life &amp; Funeral",_xlfn.XLOOKUP(B449,Table2[Main Member Link ID],Table2[Benefit Name],0)=Lookups!$D$15),"",
IF(AND(Table2[[#This Row],[Member Type]]="Child",Table2[[#This Row],[Product Option]]="My Value Plus Life &amp; Funeral",_xlfn.XLOOKUP(B449,Table2[Main Member Link ID],Table2[Benefit Name],0)=Lookups!$D$16),Lookups!$D$24,
IF(AND(Table2[[#This Row],[Member Type]]="Child",Table2[[#This Row],[Product Option]]="My Value Plus Life &amp; Funeral",_xlfn.XLOOKUP(B449,Table2[Main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Funeral",_xlfn.XLOOKUP(B449,Table2[Main Member Link ID],Table2[Benefit Name],0)&lt;&gt;Lookups!$D$14),
IF(_xlfn.XLOOKUP(B449,Table2[Main Member Link ID],Table2[Benefit Name],0)=0,"",_xlfn.XLOOKUP(B449,Table2[Main Member Link ID],Table2[Benefit Name],0)),"")))))))))))))))</f>
        <v/>
      </c>
      <c r="AF449" s="327" t="str">
        <f>IF(AND(Table2[[#This Row],[Member Type]]="Main Member",Table2[[#This Row],[Product Option]]="My Value Plus Life &amp; Funeral"),Lookups!$D$15,
IF(AND(Table2[[#This Row],[Member Type]]="Spouse",Table2[[#This Row],[Product Option]]="My Value Plus Life &amp; Funeral",_xlfn.XLOOKUP(B449,Table2[Main Member Link ID],Table2[Benefit Name],0)=Lookups!$D$14),"",
IF(AND(Table2[[#This Row],[Member Type]]="Spouse",Table2[[#This Row],[Product Option]]="My Value Plus Life &amp; Funeral",_xlfn.XLOOKUP(B448,Table2[Main Member Link ID],Table2[Benefit Name],0)=Lookups!$D$16),"",
IF(AND(Table2[[#This Row],[Member Type]]="Spouse",Table2[[#This Row],[Product Option]]="My Value Plus Life &amp; Funeral",_xlfn.XLOOKUP(B448,Table2[Main Member Link ID],Table2[Benefit Name],0)=Lookups!$D$15),"",
IF(AND(Table2[[#This Row],[Member Type]]="Spouse",Table2[[#This Row],[Product Option]]="My Value Plus Life &amp; Funeral",_xlfn.XLOOKUP(B448,Table2[Main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Funeral",_xlfn.XLOOKUP(B449,Table2[Main Member Link ID],Table2[Benefit Name],0)&lt;&gt;Lookups!$D$15),
IF(_xlfn.XLOOKUP(B449,Table2[Main Member Link ID],Table2[Benefit Name],0)=0,"",_xlfn.XLOOKUP(B449,Table2[Main Member Link ID],Table2[Benefit Name],0)),"")
))))))</f>
        <v/>
      </c>
      <c r="AG449" s="327" t="str">
        <f>IF(AND(Table2[[#This Row],[Member Type]]="Main Member",Table2[[#This Row],[Product Option]]="My Value Plus Life &amp; Funeral"),Lookups!$D$16,
IF(AND(Table2[[#This Row],[Member Type]]="Spouse",Table2[[#This Row],[Product Option]]="My Value Plus Life &amp; Funeral",_xlfn.XLOOKUP(B449,Table2[Main Member Link ID],Table2[Benefit Name],0)=Lookups!$D$14),"",
IF(AND(Table2[[#This Row],[Member Type]]="Spouse",Table2[[#This Row],[Product Option]]="My Value Plus Life &amp; Funeral",_xlfn.XLOOKUP(B448,Table2[Main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Funeral",_xlfn.XLOOKUP(B449,Table2[Main Member Link ID],Table2[Benefit Name],0)&lt;&gt;Lookups!$D$16),
IF(_xlfn.XLOOKUP(B449,Table2[Main Member Link ID],Table2[Benefit Name],0)=0,"",_xlfn.XLOOKUP(B449,Table2[Main Member Link ID],Table2[Benefit Name],0)),"")
))))</f>
        <v/>
      </c>
      <c r="AH449" s="327" t="str">
        <f>IF(AND(Table2[[#This Row],[Member Type]]="Main Member",Table2[[#This Row],[Product Option]]="My Value Plus Life &amp; Funeral"),Lookups!$D$17,
IF(AND(Table2[[#This Row],[Member Type]]="Spouse",Table2[[#This Row],[Product Option]]="My Value Plus Life &amp; Funeral",_xlfn.XLOOKUP(B449,Table2[Main Member Link ID],Table2[Benefit Name],0)=Lookups!$D$14),"",
IF(AND(Table2[[#This Row],[Member Type]]="Spouse",Table2[[#This Row],[Product Option]]="My Value Plus Life &amp; Funeral",_xlfn.XLOOKUP(B448,Table2[Main Member Link ID],Table2[Benefit Name],0)=Lookups!$D$16),"",
IF(AND(Table2[[#This Row],[Member Type]]="Child",Table2[[#This Row],[Product Option]]="My Value Plus Life &amp; Funeral"),"",
IF(AND(Table2[[#This Row],[Member Type]]="Child",Table2[[#This Row],[Product Option]]="My Value Plus Life &amp; Funeral",_xlfn.XLOOKUP(B449,Table2[Main Member Link ID],Table2[Benefit Name],0)=Lookups!$D$15),"",
IF(AND(OR(Table2[[#This Row],[Member Type]]="Spouse",Table2[[#This Row],[Member Type]]="Child"),Table2[[#This Row],[Product Option]]="My Value Plus Life &amp; Funeral",_xlfn.XLOOKUP(B449,Table2[Main Member Link ID],Table2[Benefit Name],0)&lt;&gt;Lookups!$D$17),
IF(_xlfn.XLOOKUP(B449,Table2[Main Member Link ID],Table2[Benefit Name],0)=0,"",_xlfn.XLOOKUP(B449,Table2[Main Member Link ID],Table2[Benefit Name],0)),""))))))</f>
        <v/>
      </c>
      <c r="AI449" s="328" t="str">
        <f>IF(AND(Table2[[#This Row],[Member Type]]="Main Member",Table2[[#This Row],[Table Lookup for Life Cover]]="MM_LIFE",Table2[[#This Row],[Age Next Birthday]]&lt;56),1,
IF(AND(Table2[[#This Row],[Member Type]]="Main Member",Table2[[#This Row],[Table Lookup for Life Cover]]="MM_LIFE",Table2[[#This Row],[Age Next Birthday]]&gt;=56),2,
""))</f>
        <v/>
      </c>
      <c r="AJ449" s="328">
        <f>IF(OR(Table2[[#This Row],[Member Type]]="Main Member",Table2[[#This Row],[Main Member Link ID]]=B448),1,0)</f>
        <v>1</v>
      </c>
      <c r="AK449" s="328">
        <f>IF(Table2[[#This Row],[Member Type]]=0,0,
IF(OR(Table2[[#This Row],[Member Type]]="Main Member",Table2[[#This Row],[Main Member Link ID]]&lt;&gt;B449),COUNTIFS(B:B,Table2[[#This Row],[Main Member Link ID]]),
COUNTIFS(B:B,Table2[[#This Row],[Main Member Link ID]],A:A,Table2[[#This Row],[Member Type]])))</f>
        <v>0</v>
      </c>
    </row>
    <row r="450" spans="1:37" x14ac:dyDescent="0.3">
      <c r="A450" s="284">
        <f>Table13[[#This Row],[Member Type]]</f>
        <v>0</v>
      </c>
      <c r="B450" s="284">
        <f>Table13[[#This Row],[Main Member Link ID]]</f>
        <v>0</v>
      </c>
      <c r="C450" s="284">
        <f>Table13[[#This Row],[ID Number]]</f>
        <v>0</v>
      </c>
      <c r="D450" s="285">
        <f>Table13[[#This Row],[Date Of Birth]]</f>
        <v>0</v>
      </c>
      <c r="E450" s="285">
        <f>Table13[[#This Row],[Commencement Date]]</f>
        <v>0</v>
      </c>
      <c r="F450" s="284">
        <f t="shared" si="42"/>
        <v>1</v>
      </c>
      <c r="G450" s="284">
        <f t="shared" si="43"/>
        <v>25</v>
      </c>
      <c r="H450" s="286">
        <f>Table13[[#This Row],[Product Option]]</f>
        <v>0</v>
      </c>
      <c r="I450" s="284">
        <f>IF(AND($A450="Main Member",Table2[[#This Row],[Product Option]]="My Value Plus Life"),"MM_LIFE",
IF(AND($A450="Spouse",Table2[[#This Row],[Product Option]]="My Value Plus Life"),"SP_LIFE",
IF(AND($A450="Main Member",Table2[[#This Row],[Product Option]]="My Value Plus Life &amp; Funeral"),"MM_LIFE",
IF(AND($A450="Spouse",Table2[[#This Row],[Product Option]]="My Value Plus Life &amp; Funeral"),_xlfn.XLOOKUP(Table2[[#This Row],[Benefit Name]],Lookups!$D$18:$D$23,Lookups!$E$18:$E$23,0),
0))))</f>
        <v>0</v>
      </c>
      <c r="J450" s="284">
        <f>IF($I450="","",
IF($I450="MM_LIFE",INDEX('Quotation Tool'!$S$54:$V$60,MATCH($T450,'Quotation Tool'!$S$54:$S$60,0),4),
IF($I450="SP_LIFE",_xlfn.XLOOKUP(B449,$B:$B,$J:$J,0),0)))</f>
        <v>0</v>
      </c>
      <c r="K450" s="287">
        <f t="shared" ca="1" si="47"/>
        <v>0</v>
      </c>
      <c r="L450" s="288">
        <f t="shared" ca="1" si="48"/>
        <v>0</v>
      </c>
      <c r="M450" s="289">
        <f t="shared" ca="1" si="44"/>
        <v>0</v>
      </c>
      <c r="N450" s="286">
        <f>Table13[[#This Row],[Benefit Option]]</f>
        <v>0</v>
      </c>
      <c r="O450" s="284">
        <f>IF(OR(Table2[[#This Row],[Member Type]]="Spouse",Table2[[#This Row],[Member Type]]="Child"),0,
IF(_xlfn.XLOOKUP($N450,Lookups!$D$13:$D$27,Lookups!$F$13:$F$27,0)=Table2[[#This Row],[Table Lookup for Life Cover]],0,
_xlfn.XLOOKUP($N450,Lookups!$D$13:$D$27,Lookups!$F$13:$F$27,0)))</f>
        <v>0</v>
      </c>
      <c r="P450" s="284">
        <f>IF(Table2[[#This Row],[Table Lookup for Funeral]]=0,0,IFERROR(INDEX('Quotation Tool'!$S$54:$V$60,MATCH($T450,'Quotation Tool'!$S$54:$S$60,0),3),0))</f>
        <v>0</v>
      </c>
      <c r="Q450" s="288">
        <f ca="1">IF(OR(Table2[[#This Row],[Benefit Name]]="My Value Plus Life - Main Member",Table2[[#This Row],[Benefit Name]]="My Value Plus Life - Spouse"),0,
IFERROR(VLOOKUP($G450,INDIRECT($O450),$P450,FALSE),0))</f>
        <v>0</v>
      </c>
      <c r="R450" s="288">
        <f ca="1">IF(OR(Table2[[#This Row],[Benefit Name]]="My Value Plus Life - Main Member",Table2[[#This Row],[Benefit Name]]="My Value Plus Life - Spouse"),0,
IFERROR(VLOOKUP($G450,INDIRECT($O450),$P450+1,FALSE),0))</f>
        <v>0</v>
      </c>
      <c r="S450" s="289">
        <f t="shared" ca="1" si="45"/>
        <v>0</v>
      </c>
      <c r="T450" s="284" t="str">
        <f>IF(Table13[[#This Row],[Premium Waiver]]="","None",Table13[[#This Row],[Premium Waiver]])</f>
        <v>None</v>
      </c>
      <c r="U450" s="284">
        <f>Table13[[#This Row],[VAPs Options]]</f>
        <v>0</v>
      </c>
      <c r="V450" s="284">
        <f>Table13[[#This Row],[Annual Increase Option]]</f>
        <v>0</v>
      </c>
      <c r="W450" s="290">
        <f>Table13[[#This Row],[Life Cover Amount]]</f>
        <v>0</v>
      </c>
      <c r="X450" s="290">
        <f>Table13[[#This Row],[Funeral Cover Amount]]</f>
        <v>0</v>
      </c>
      <c r="Y45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5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50" s="301">
        <f t="shared" ca="1" si="46"/>
        <v>0</v>
      </c>
      <c r="AB450" s="298"/>
      <c r="AC450" s="326" t="str">
        <f>IF(Table2[[#This Row],[Member Type]]="Main Member",Lookups!$C$13,
IF(Table2[[#This Row],[Member Type]]="Spouse",_xlfn.XLOOKUP(B450,Table2[Main Member Link ID],Table2[Product Option],0),
IF(AND(Table2[[#This Row],[Member Type]]="Child",_xlfn.XLOOKUP(B450,Table2[Main Member Link ID],Table2[Product Option],0)&lt;&gt;"My Value Plus Life"),Lookups!$C$24,
IF(AND(OR(Table2[[#This Row],[Member Type]]="Parent",Table2[[#This Row],[Member Type]]="Extended"),_xlfn.XLOOKUP(B450,Table2[Main Member Link ID],Table2[Product Option],0)&lt;&gt;"My Value Plus Life"),Lookups!$C$26,""))))</f>
        <v/>
      </c>
      <c r="AD450" s="326" t="str">
        <f>IF(Table2[[#This Row],[Member Type]]="Main Member",Lookups!$C$14,"")</f>
        <v/>
      </c>
      <c r="AE45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Funeral",_xlfn.XLOOKUP(B450,Table2[Main Member Link ID],Table2[Benefit Name],0)=Lookups!$D$14),"",
IF(AND(Table2[[#This Row],[Member Type]]="Spouse",Table2[[#This Row],[Product Option]]="My Value Plus Life &amp; Funeral",_xlfn.XLOOKUP(B449,Table2[Main Member Link ID],Table2[Benefit Name],0)=Lookups!$D$15),Lookups!$D$20,
IF(AND(Table2[[#This Row],[Member Type]]="Spouse",Table2[[#This Row],[Product Option]]="My Value Plus Life &amp; Funeral",_xlfn.XLOOKUP(B449,Table2[Main Member Link ID],Table2[Benefit Name],0)=Lookups!$D$16),"",
IF(AND(Table2[[#This Row],[Member Type]]="Spouse",Table2[[#This Row],[Product Option]]="My Value Plus Life &amp; Funeral",_xlfn.XLOOKUP(B449,Table2[Main Member Link ID],Table2[Benefit Name],0)=Lookups!$D$17),Lookups!$D$21,
IF(AND(Table2[[#This Row],[Member Type]]="Child",Table2[[#This Row],[Product Option]]="My Value Plus Life &amp; Funeral",_xlfn.XLOOKUP(B450,Table2[Main Member Link ID],Table2[Benefit Name],0)=Lookups!$D$14),"",
IF(AND(Table2[[#This Row],[Member Type]]="Child",Table2[[#This Row],[Product Option]]="My Value Plus Life &amp; Funeral",_xlfn.XLOOKUP(B450,Table2[Main Member Link ID],Table2[Benefit Name],0)=Lookups!$D$15),"",
IF(AND(Table2[[#This Row],[Member Type]]="Child",Table2[[#This Row],[Product Option]]="My Value Plus Life &amp; Funeral",_xlfn.XLOOKUP(B450,Table2[Main Member Link ID],Table2[Benefit Name],0)=Lookups!$D$16),Lookups!$D$24,
IF(AND(Table2[[#This Row],[Member Type]]="Child",Table2[[#This Row],[Product Option]]="My Value Plus Life &amp; Funeral",_xlfn.XLOOKUP(B450,Table2[Main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Funeral",_xlfn.XLOOKUP(B450,Table2[Main Member Link ID],Table2[Benefit Name],0)&lt;&gt;Lookups!$D$14),
IF(_xlfn.XLOOKUP(B450,Table2[Main Member Link ID],Table2[Benefit Name],0)=0,"",_xlfn.XLOOKUP(B450,Table2[Main Member Link ID],Table2[Benefit Name],0)),"")))))))))))))))</f>
        <v/>
      </c>
      <c r="AF450" s="327" t="str">
        <f>IF(AND(Table2[[#This Row],[Member Type]]="Main Member",Table2[[#This Row],[Product Option]]="My Value Plus Life &amp; Funeral"),Lookups!$D$15,
IF(AND(Table2[[#This Row],[Member Type]]="Spouse",Table2[[#This Row],[Product Option]]="My Value Plus Life &amp; Funeral",_xlfn.XLOOKUP(B450,Table2[Main Member Link ID],Table2[Benefit Name],0)=Lookups!$D$14),"",
IF(AND(Table2[[#This Row],[Member Type]]="Spouse",Table2[[#This Row],[Product Option]]="My Value Plus Life &amp; Funeral",_xlfn.XLOOKUP(B449,Table2[Main Member Link ID],Table2[Benefit Name],0)=Lookups!$D$16),"",
IF(AND(Table2[[#This Row],[Member Type]]="Spouse",Table2[[#This Row],[Product Option]]="My Value Plus Life &amp; Funeral",_xlfn.XLOOKUP(B449,Table2[Main Member Link ID],Table2[Benefit Name],0)=Lookups!$D$15),"",
IF(AND(Table2[[#This Row],[Member Type]]="Spouse",Table2[[#This Row],[Product Option]]="My Value Plus Life &amp; Funeral",_xlfn.XLOOKUP(B449,Table2[Main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Funeral",_xlfn.XLOOKUP(B450,Table2[Main Member Link ID],Table2[Benefit Name],0)&lt;&gt;Lookups!$D$15),
IF(_xlfn.XLOOKUP(B450,Table2[Main Member Link ID],Table2[Benefit Name],0)=0,"",_xlfn.XLOOKUP(B450,Table2[Main Member Link ID],Table2[Benefit Name],0)),"")
))))))</f>
        <v/>
      </c>
      <c r="AG450" s="327" t="str">
        <f>IF(AND(Table2[[#This Row],[Member Type]]="Main Member",Table2[[#This Row],[Product Option]]="My Value Plus Life &amp; Funeral"),Lookups!$D$16,
IF(AND(Table2[[#This Row],[Member Type]]="Spouse",Table2[[#This Row],[Product Option]]="My Value Plus Life &amp; Funeral",_xlfn.XLOOKUP(B450,Table2[Main Member Link ID],Table2[Benefit Name],0)=Lookups!$D$14),"",
IF(AND(Table2[[#This Row],[Member Type]]="Spouse",Table2[[#This Row],[Product Option]]="My Value Plus Life &amp; Funeral",_xlfn.XLOOKUP(B449,Table2[Main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Funeral",_xlfn.XLOOKUP(B450,Table2[Main Member Link ID],Table2[Benefit Name],0)&lt;&gt;Lookups!$D$16),
IF(_xlfn.XLOOKUP(B450,Table2[Main Member Link ID],Table2[Benefit Name],0)=0,"",_xlfn.XLOOKUP(B450,Table2[Main Member Link ID],Table2[Benefit Name],0)),"")
))))</f>
        <v/>
      </c>
      <c r="AH450" s="327" t="str">
        <f>IF(AND(Table2[[#This Row],[Member Type]]="Main Member",Table2[[#This Row],[Product Option]]="My Value Plus Life &amp; Funeral"),Lookups!$D$17,
IF(AND(Table2[[#This Row],[Member Type]]="Spouse",Table2[[#This Row],[Product Option]]="My Value Plus Life &amp; Funeral",_xlfn.XLOOKUP(B450,Table2[Main Member Link ID],Table2[Benefit Name],0)=Lookups!$D$14),"",
IF(AND(Table2[[#This Row],[Member Type]]="Spouse",Table2[[#This Row],[Product Option]]="My Value Plus Life &amp; Funeral",_xlfn.XLOOKUP(B449,Table2[Main Member Link ID],Table2[Benefit Name],0)=Lookups!$D$16),"",
IF(AND(Table2[[#This Row],[Member Type]]="Child",Table2[[#This Row],[Product Option]]="My Value Plus Life &amp; Funeral"),"",
IF(AND(Table2[[#This Row],[Member Type]]="Child",Table2[[#This Row],[Product Option]]="My Value Plus Life &amp; Funeral",_xlfn.XLOOKUP(B450,Table2[Main Member Link ID],Table2[Benefit Name],0)=Lookups!$D$15),"",
IF(AND(OR(Table2[[#This Row],[Member Type]]="Spouse",Table2[[#This Row],[Member Type]]="Child"),Table2[[#This Row],[Product Option]]="My Value Plus Life &amp; Funeral",_xlfn.XLOOKUP(B450,Table2[Main Member Link ID],Table2[Benefit Name],0)&lt;&gt;Lookups!$D$17),
IF(_xlfn.XLOOKUP(B450,Table2[Main Member Link ID],Table2[Benefit Name],0)=0,"",_xlfn.XLOOKUP(B450,Table2[Main Member Link ID],Table2[Benefit Name],0)),""))))))</f>
        <v/>
      </c>
      <c r="AI450" s="328" t="str">
        <f>IF(AND(Table2[[#This Row],[Member Type]]="Main Member",Table2[[#This Row],[Table Lookup for Life Cover]]="MM_LIFE",Table2[[#This Row],[Age Next Birthday]]&lt;56),1,
IF(AND(Table2[[#This Row],[Member Type]]="Main Member",Table2[[#This Row],[Table Lookup for Life Cover]]="MM_LIFE",Table2[[#This Row],[Age Next Birthday]]&gt;=56),2,
""))</f>
        <v/>
      </c>
      <c r="AJ450" s="328">
        <f>IF(OR(Table2[[#This Row],[Member Type]]="Main Member",Table2[[#This Row],[Main Member Link ID]]=B449),1,0)</f>
        <v>1</v>
      </c>
      <c r="AK450" s="328">
        <f>IF(Table2[[#This Row],[Member Type]]=0,0,
IF(OR(Table2[[#This Row],[Member Type]]="Main Member",Table2[[#This Row],[Main Member Link ID]]&lt;&gt;B450),COUNTIFS(B:B,Table2[[#This Row],[Main Member Link ID]]),
COUNTIFS(B:B,Table2[[#This Row],[Main Member Link ID]],A:A,Table2[[#This Row],[Member Type]])))</f>
        <v>0</v>
      </c>
    </row>
    <row r="451" spans="1:37" x14ac:dyDescent="0.3">
      <c r="A451" s="284">
        <f>Table13[[#This Row],[Member Type]]</f>
        <v>0</v>
      </c>
      <c r="B451" s="284">
        <f>Table13[[#This Row],[Main Member Link ID]]</f>
        <v>0</v>
      </c>
      <c r="C451" s="284">
        <f>Table13[[#This Row],[ID Number]]</f>
        <v>0</v>
      </c>
      <c r="D451" s="285">
        <f>Table13[[#This Row],[Date Of Birth]]</f>
        <v>0</v>
      </c>
      <c r="E451" s="285">
        <f>Table13[[#This Row],[Commencement Date]]</f>
        <v>0</v>
      </c>
      <c r="F451" s="284">
        <f t="shared" si="42"/>
        <v>1</v>
      </c>
      <c r="G451" s="284">
        <f t="shared" si="43"/>
        <v>25</v>
      </c>
      <c r="H451" s="286">
        <f>Table13[[#This Row],[Product Option]]</f>
        <v>0</v>
      </c>
      <c r="I451" s="284">
        <f>IF(AND($A451="Main Member",Table2[[#This Row],[Product Option]]="My Value Plus Life"),"MM_LIFE",
IF(AND($A451="Spouse",Table2[[#This Row],[Product Option]]="My Value Plus Life"),"SP_LIFE",
IF(AND($A451="Main Member",Table2[[#This Row],[Product Option]]="My Value Plus Life &amp; Funeral"),"MM_LIFE",
IF(AND($A451="Spouse",Table2[[#This Row],[Product Option]]="My Value Plus Life &amp; Funeral"),_xlfn.XLOOKUP(Table2[[#This Row],[Benefit Name]],Lookups!$D$18:$D$23,Lookups!$E$18:$E$23,0),
0))))</f>
        <v>0</v>
      </c>
      <c r="J451" s="284">
        <f>IF($I451="","",
IF($I451="MM_LIFE",INDEX('Quotation Tool'!$S$54:$V$60,MATCH($T451,'Quotation Tool'!$S$54:$S$60,0),4),
IF($I451="SP_LIFE",_xlfn.XLOOKUP(B450,$B:$B,$J:$J,0),0)))</f>
        <v>0</v>
      </c>
      <c r="K451" s="287">
        <f t="shared" ca="1" si="47"/>
        <v>0</v>
      </c>
      <c r="L451" s="288">
        <f t="shared" ca="1" si="48"/>
        <v>0</v>
      </c>
      <c r="M451" s="289">
        <f t="shared" ca="1" si="44"/>
        <v>0</v>
      </c>
      <c r="N451" s="286">
        <f>Table13[[#This Row],[Benefit Option]]</f>
        <v>0</v>
      </c>
      <c r="O451" s="284">
        <f>IF(OR(Table2[[#This Row],[Member Type]]="Spouse",Table2[[#This Row],[Member Type]]="Child"),0,
IF(_xlfn.XLOOKUP($N451,Lookups!$D$13:$D$27,Lookups!$F$13:$F$27,0)=Table2[[#This Row],[Table Lookup for Life Cover]],0,
_xlfn.XLOOKUP($N451,Lookups!$D$13:$D$27,Lookups!$F$13:$F$27,0)))</f>
        <v>0</v>
      </c>
      <c r="P451" s="284">
        <f>IF(Table2[[#This Row],[Table Lookup for Funeral]]=0,0,IFERROR(INDEX('Quotation Tool'!$S$54:$V$60,MATCH($T451,'Quotation Tool'!$S$54:$S$60,0),3),0))</f>
        <v>0</v>
      </c>
      <c r="Q451" s="288">
        <f ca="1">IF(OR(Table2[[#This Row],[Benefit Name]]="My Value Plus Life - Main Member",Table2[[#This Row],[Benefit Name]]="My Value Plus Life - Spouse"),0,
IFERROR(VLOOKUP($G451,INDIRECT($O451),$P451,FALSE),0))</f>
        <v>0</v>
      </c>
      <c r="R451" s="288">
        <f ca="1">IF(OR(Table2[[#This Row],[Benefit Name]]="My Value Plus Life - Main Member",Table2[[#This Row],[Benefit Name]]="My Value Plus Life - Spouse"),0,
IFERROR(VLOOKUP($G451,INDIRECT($O451),$P451+1,FALSE),0))</f>
        <v>0</v>
      </c>
      <c r="S451" s="289">
        <f t="shared" ca="1" si="45"/>
        <v>0</v>
      </c>
      <c r="T451" s="284" t="str">
        <f>IF(Table13[[#This Row],[Premium Waiver]]="","None",Table13[[#This Row],[Premium Waiver]])</f>
        <v>None</v>
      </c>
      <c r="U451" s="284">
        <f>Table13[[#This Row],[VAPs Options]]</f>
        <v>0</v>
      </c>
      <c r="V451" s="284">
        <f>Table13[[#This Row],[Annual Increase Option]]</f>
        <v>0</v>
      </c>
      <c r="W451" s="290">
        <f>Table13[[#This Row],[Life Cover Amount]]</f>
        <v>0</v>
      </c>
      <c r="X451" s="290">
        <f>Table13[[#This Row],[Funeral Cover Amount]]</f>
        <v>0</v>
      </c>
      <c r="Y45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5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51" s="301">
        <f t="shared" ca="1" si="46"/>
        <v>0</v>
      </c>
      <c r="AB451" s="298"/>
      <c r="AC451" s="326" t="str">
        <f>IF(Table2[[#This Row],[Member Type]]="Main Member",Lookups!$C$13,
IF(Table2[[#This Row],[Member Type]]="Spouse",_xlfn.XLOOKUP(B451,Table2[Main Member Link ID],Table2[Product Option],0),
IF(AND(Table2[[#This Row],[Member Type]]="Child",_xlfn.XLOOKUP(B451,Table2[Main Member Link ID],Table2[Product Option],0)&lt;&gt;"My Value Plus Life"),Lookups!$C$24,
IF(AND(OR(Table2[[#This Row],[Member Type]]="Parent",Table2[[#This Row],[Member Type]]="Extended"),_xlfn.XLOOKUP(B451,Table2[Main Member Link ID],Table2[Product Option],0)&lt;&gt;"My Value Plus Life"),Lookups!$C$26,""))))</f>
        <v/>
      </c>
      <c r="AD451" s="326" t="str">
        <f>IF(Table2[[#This Row],[Member Type]]="Main Member",Lookups!$C$14,"")</f>
        <v/>
      </c>
      <c r="AE45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Funeral",_xlfn.XLOOKUP(B451,Table2[Main Member Link ID],Table2[Benefit Name],0)=Lookups!$D$14),"",
IF(AND(Table2[[#This Row],[Member Type]]="Spouse",Table2[[#This Row],[Product Option]]="My Value Plus Life &amp; Funeral",_xlfn.XLOOKUP(B450,Table2[Main Member Link ID],Table2[Benefit Name],0)=Lookups!$D$15),Lookups!$D$20,
IF(AND(Table2[[#This Row],[Member Type]]="Spouse",Table2[[#This Row],[Product Option]]="My Value Plus Life &amp; Funeral",_xlfn.XLOOKUP(B450,Table2[Main Member Link ID],Table2[Benefit Name],0)=Lookups!$D$16),"",
IF(AND(Table2[[#This Row],[Member Type]]="Spouse",Table2[[#This Row],[Product Option]]="My Value Plus Life &amp; Funeral",_xlfn.XLOOKUP(B450,Table2[Main Member Link ID],Table2[Benefit Name],0)=Lookups!$D$17),Lookups!$D$21,
IF(AND(Table2[[#This Row],[Member Type]]="Child",Table2[[#This Row],[Product Option]]="My Value Plus Life &amp; Funeral",_xlfn.XLOOKUP(B451,Table2[Main Member Link ID],Table2[Benefit Name],0)=Lookups!$D$14),"",
IF(AND(Table2[[#This Row],[Member Type]]="Child",Table2[[#This Row],[Product Option]]="My Value Plus Life &amp; Funeral",_xlfn.XLOOKUP(B451,Table2[Main Member Link ID],Table2[Benefit Name],0)=Lookups!$D$15),"",
IF(AND(Table2[[#This Row],[Member Type]]="Child",Table2[[#This Row],[Product Option]]="My Value Plus Life &amp; Funeral",_xlfn.XLOOKUP(B451,Table2[Main Member Link ID],Table2[Benefit Name],0)=Lookups!$D$16),Lookups!$D$24,
IF(AND(Table2[[#This Row],[Member Type]]="Child",Table2[[#This Row],[Product Option]]="My Value Plus Life &amp; Funeral",_xlfn.XLOOKUP(B451,Table2[Main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Funeral",_xlfn.XLOOKUP(B451,Table2[Main Member Link ID],Table2[Benefit Name],0)&lt;&gt;Lookups!$D$14),
IF(_xlfn.XLOOKUP(B451,Table2[Main Member Link ID],Table2[Benefit Name],0)=0,"",_xlfn.XLOOKUP(B451,Table2[Main Member Link ID],Table2[Benefit Name],0)),"")))))))))))))))</f>
        <v/>
      </c>
      <c r="AF451" s="327" t="str">
        <f>IF(AND(Table2[[#This Row],[Member Type]]="Main Member",Table2[[#This Row],[Product Option]]="My Value Plus Life &amp; Funeral"),Lookups!$D$15,
IF(AND(Table2[[#This Row],[Member Type]]="Spouse",Table2[[#This Row],[Product Option]]="My Value Plus Life &amp; Funeral",_xlfn.XLOOKUP(B451,Table2[Main Member Link ID],Table2[Benefit Name],0)=Lookups!$D$14),"",
IF(AND(Table2[[#This Row],[Member Type]]="Spouse",Table2[[#This Row],[Product Option]]="My Value Plus Life &amp; Funeral",_xlfn.XLOOKUP(B450,Table2[Main Member Link ID],Table2[Benefit Name],0)=Lookups!$D$16),"",
IF(AND(Table2[[#This Row],[Member Type]]="Spouse",Table2[[#This Row],[Product Option]]="My Value Plus Life &amp; Funeral",_xlfn.XLOOKUP(B450,Table2[Main Member Link ID],Table2[Benefit Name],0)=Lookups!$D$15),"",
IF(AND(Table2[[#This Row],[Member Type]]="Spouse",Table2[[#This Row],[Product Option]]="My Value Plus Life &amp; Funeral",_xlfn.XLOOKUP(B450,Table2[Main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Funeral",_xlfn.XLOOKUP(B451,Table2[Main Member Link ID],Table2[Benefit Name],0)&lt;&gt;Lookups!$D$15),
IF(_xlfn.XLOOKUP(B451,Table2[Main Member Link ID],Table2[Benefit Name],0)=0,"",_xlfn.XLOOKUP(B451,Table2[Main Member Link ID],Table2[Benefit Name],0)),"")
))))))</f>
        <v/>
      </c>
      <c r="AG451" s="327" t="str">
        <f>IF(AND(Table2[[#This Row],[Member Type]]="Main Member",Table2[[#This Row],[Product Option]]="My Value Plus Life &amp; Funeral"),Lookups!$D$16,
IF(AND(Table2[[#This Row],[Member Type]]="Spouse",Table2[[#This Row],[Product Option]]="My Value Plus Life &amp; Funeral",_xlfn.XLOOKUP(B451,Table2[Main Member Link ID],Table2[Benefit Name],0)=Lookups!$D$14),"",
IF(AND(Table2[[#This Row],[Member Type]]="Spouse",Table2[[#This Row],[Product Option]]="My Value Plus Life &amp; Funeral",_xlfn.XLOOKUP(B450,Table2[Main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Funeral",_xlfn.XLOOKUP(B451,Table2[Main Member Link ID],Table2[Benefit Name],0)&lt;&gt;Lookups!$D$16),
IF(_xlfn.XLOOKUP(B451,Table2[Main Member Link ID],Table2[Benefit Name],0)=0,"",_xlfn.XLOOKUP(B451,Table2[Main Member Link ID],Table2[Benefit Name],0)),"")
))))</f>
        <v/>
      </c>
      <c r="AH451" s="327" t="str">
        <f>IF(AND(Table2[[#This Row],[Member Type]]="Main Member",Table2[[#This Row],[Product Option]]="My Value Plus Life &amp; Funeral"),Lookups!$D$17,
IF(AND(Table2[[#This Row],[Member Type]]="Spouse",Table2[[#This Row],[Product Option]]="My Value Plus Life &amp; Funeral",_xlfn.XLOOKUP(B451,Table2[Main Member Link ID],Table2[Benefit Name],0)=Lookups!$D$14),"",
IF(AND(Table2[[#This Row],[Member Type]]="Spouse",Table2[[#This Row],[Product Option]]="My Value Plus Life &amp; Funeral",_xlfn.XLOOKUP(B450,Table2[Main Member Link ID],Table2[Benefit Name],0)=Lookups!$D$16),"",
IF(AND(Table2[[#This Row],[Member Type]]="Child",Table2[[#This Row],[Product Option]]="My Value Plus Life &amp; Funeral"),"",
IF(AND(Table2[[#This Row],[Member Type]]="Child",Table2[[#This Row],[Product Option]]="My Value Plus Life &amp; Funeral",_xlfn.XLOOKUP(B451,Table2[Main Member Link ID],Table2[Benefit Name],0)=Lookups!$D$15),"",
IF(AND(OR(Table2[[#This Row],[Member Type]]="Spouse",Table2[[#This Row],[Member Type]]="Child"),Table2[[#This Row],[Product Option]]="My Value Plus Life &amp; Funeral",_xlfn.XLOOKUP(B451,Table2[Main Member Link ID],Table2[Benefit Name],0)&lt;&gt;Lookups!$D$17),
IF(_xlfn.XLOOKUP(B451,Table2[Main Member Link ID],Table2[Benefit Name],0)=0,"",_xlfn.XLOOKUP(B451,Table2[Main Member Link ID],Table2[Benefit Name],0)),""))))))</f>
        <v/>
      </c>
      <c r="AI451" s="328" t="str">
        <f>IF(AND(Table2[[#This Row],[Member Type]]="Main Member",Table2[[#This Row],[Table Lookup for Life Cover]]="MM_LIFE",Table2[[#This Row],[Age Next Birthday]]&lt;56),1,
IF(AND(Table2[[#This Row],[Member Type]]="Main Member",Table2[[#This Row],[Table Lookup for Life Cover]]="MM_LIFE",Table2[[#This Row],[Age Next Birthday]]&gt;=56),2,
""))</f>
        <v/>
      </c>
      <c r="AJ451" s="328">
        <f>IF(OR(Table2[[#This Row],[Member Type]]="Main Member",Table2[[#This Row],[Main Member Link ID]]=B450),1,0)</f>
        <v>1</v>
      </c>
      <c r="AK451" s="328">
        <f>IF(Table2[[#This Row],[Member Type]]=0,0,
IF(OR(Table2[[#This Row],[Member Type]]="Main Member",Table2[[#This Row],[Main Member Link ID]]&lt;&gt;B451),COUNTIFS(B:B,Table2[[#This Row],[Main Member Link ID]]),
COUNTIFS(B:B,Table2[[#This Row],[Main Member Link ID]],A:A,Table2[[#This Row],[Member Type]])))</f>
        <v>0</v>
      </c>
    </row>
    <row r="452" spans="1:37" x14ac:dyDescent="0.3">
      <c r="A452" s="284">
        <f>Table13[[#This Row],[Member Type]]</f>
        <v>0</v>
      </c>
      <c r="B452" s="284">
        <f>Table13[[#This Row],[Main Member Link ID]]</f>
        <v>0</v>
      </c>
      <c r="C452" s="284">
        <f>Table13[[#This Row],[ID Number]]</f>
        <v>0</v>
      </c>
      <c r="D452" s="285">
        <f>Table13[[#This Row],[Date Of Birth]]</f>
        <v>0</v>
      </c>
      <c r="E452" s="285">
        <f>Table13[[#This Row],[Commencement Date]]</f>
        <v>0</v>
      </c>
      <c r="F452" s="284">
        <f t="shared" si="42"/>
        <v>1</v>
      </c>
      <c r="G452" s="284">
        <f t="shared" si="43"/>
        <v>25</v>
      </c>
      <c r="H452" s="286">
        <f>Table13[[#This Row],[Product Option]]</f>
        <v>0</v>
      </c>
      <c r="I452" s="284">
        <f>IF(AND($A452="Main Member",Table2[[#This Row],[Product Option]]="My Value Plus Life"),"MM_LIFE",
IF(AND($A452="Spouse",Table2[[#This Row],[Product Option]]="My Value Plus Life"),"SP_LIFE",
IF(AND($A452="Main Member",Table2[[#This Row],[Product Option]]="My Value Plus Life &amp; Funeral"),"MM_LIFE",
IF(AND($A452="Spouse",Table2[[#This Row],[Product Option]]="My Value Plus Life &amp; Funeral"),_xlfn.XLOOKUP(Table2[[#This Row],[Benefit Name]],Lookups!$D$18:$D$23,Lookups!$E$18:$E$23,0),
0))))</f>
        <v>0</v>
      </c>
      <c r="J452" s="284">
        <f>IF($I452="","",
IF($I452="MM_LIFE",INDEX('Quotation Tool'!$S$54:$V$60,MATCH($T452,'Quotation Tool'!$S$54:$S$60,0),4),
IF($I452="SP_LIFE",_xlfn.XLOOKUP(B451,$B:$B,$J:$J,0),0)))</f>
        <v>0</v>
      </c>
      <c r="K452" s="287">
        <f t="shared" ca="1" si="47"/>
        <v>0</v>
      </c>
      <c r="L452" s="288">
        <f t="shared" ca="1" si="48"/>
        <v>0</v>
      </c>
      <c r="M452" s="289">
        <f t="shared" ca="1" si="44"/>
        <v>0</v>
      </c>
      <c r="N452" s="286">
        <f>Table13[[#This Row],[Benefit Option]]</f>
        <v>0</v>
      </c>
      <c r="O452" s="284">
        <f>IF(OR(Table2[[#This Row],[Member Type]]="Spouse",Table2[[#This Row],[Member Type]]="Child"),0,
IF(_xlfn.XLOOKUP($N452,Lookups!$D$13:$D$27,Lookups!$F$13:$F$27,0)=Table2[[#This Row],[Table Lookup for Life Cover]],0,
_xlfn.XLOOKUP($N452,Lookups!$D$13:$D$27,Lookups!$F$13:$F$27,0)))</f>
        <v>0</v>
      </c>
      <c r="P452" s="284">
        <f>IF(Table2[[#This Row],[Table Lookup for Funeral]]=0,0,IFERROR(INDEX('Quotation Tool'!$S$54:$V$60,MATCH($T452,'Quotation Tool'!$S$54:$S$60,0),3),0))</f>
        <v>0</v>
      </c>
      <c r="Q452" s="288">
        <f ca="1">IF(OR(Table2[[#This Row],[Benefit Name]]="My Value Plus Life - Main Member",Table2[[#This Row],[Benefit Name]]="My Value Plus Life - Spouse"),0,
IFERROR(VLOOKUP($G452,INDIRECT($O452),$P452,FALSE),0))</f>
        <v>0</v>
      </c>
      <c r="R452" s="288">
        <f ca="1">IF(OR(Table2[[#This Row],[Benefit Name]]="My Value Plus Life - Main Member",Table2[[#This Row],[Benefit Name]]="My Value Plus Life - Spouse"),0,
IFERROR(VLOOKUP($G452,INDIRECT($O452),$P452+1,FALSE),0))</f>
        <v>0</v>
      </c>
      <c r="S452" s="289">
        <f t="shared" ca="1" si="45"/>
        <v>0</v>
      </c>
      <c r="T452" s="284" t="str">
        <f>IF(Table13[[#This Row],[Premium Waiver]]="","None",Table13[[#This Row],[Premium Waiver]])</f>
        <v>None</v>
      </c>
      <c r="U452" s="284">
        <f>Table13[[#This Row],[VAPs Options]]</f>
        <v>0</v>
      </c>
      <c r="V452" s="284">
        <f>Table13[[#This Row],[Annual Increase Option]]</f>
        <v>0</v>
      </c>
      <c r="W452" s="290">
        <f>Table13[[#This Row],[Life Cover Amount]]</f>
        <v>0</v>
      </c>
      <c r="X452" s="290">
        <f>Table13[[#This Row],[Funeral Cover Amount]]</f>
        <v>0</v>
      </c>
      <c r="Y45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5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52" s="301">
        <f t="shared" ca="1" si="46"/>
        <v>0</v>
      </c>
      <c r="AB452" s="298"/>
      <c r="AC452" s="326" t="str">
        <f>IF(Table2[[#This Row],[Member Type]]="Main Member",Lookups!$C$13,
IF(Table2[[#This Row],[Member Type]]="Spouse",_xlfn.XLOOKUP(B452,Table2[Main Member Link ID],Table2[Product Option],0),
IF(AND(Table2[[#This Row],[Member Type]]="Child",_xlfn.XLOOKUP(B452,Table2[Main Member Link ID],Table2[Product Option],0)&lt;&gt;"My Value Plus Life"),Lookups!$C$24,
IF(AND(OR(Table2[[#This Row],[Member Type]]="Parent",Table2[[#This Row],[Member Type]]="Extended"),_xlfn.XLOOKUP(B452,Table2[Main Member Link ID],Table2[Product Option],0)&lt;&gt;"My Value Plus Life"),Lookups!$C$26,""))))</f>
        <v/>
      </c>
      <c r="AD452" s="326" t="str">
        <f>IF(Table2[[#This Row],[Member Type]]="Main Member",Lookups!$C$14,"")</f>
        <v/>
      </c>
      <c r="AE45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Funeral",_xlfn.XLOOKUP(B452,Table2[Main Member Link ID],Table2[Benefit Name],0)=Lookups!$D$14),"",
IF(AND(Table2[[#This Row],[Member Type]]="Spouse",Table2[[#This Row],[Product Option]]="My Value Plus Life &amp; Funeral",_xlfn.XLOOKUP(B451,Table2[Main Member Link ID],Table2[Benefit Name],0)=Lookups!$D$15),Lookups!$D$20,
IF(AND(Table2[[#This Row],[Member Type]]="Spouse",Table2[[#This Row],[Product Option]]="My Value Plus Life &amp; Funeral",_xlfn.XLOOKUP(B451,Table2[Main Member Link ID],Table2[Benefit Name],0)=Lookups!$D$16),"",
IF(AND(Table2[[#This Row],[Member Type]]="Spouse",Table2[[#This Row],[Product Option]]="My Value Plus Life &amp; Funeral",_xlfn.XLOOKUP(B451,Table2[Main Member Link ID],Table2[Benefit Name],0)=Lookups!$D$17),Lookups!$D$21,
IF(AND(Table2[[#This Row],[Member Type]]="Child",Table2[[#This Row],[Product Option]]="My Value Plus Life &amp; Funeral",_xlfn.XLOOKUP(B452,Table2[Main Member Link ID],Table2[Benefit Name],0)=Lookups!$D$14),"",
IF(AND(Table2[[#This Row],[Member Type]]="Child",Table2[[#This Row],[Product Option]]="My Value Plus Life &amp; Funeral",_xlfn.XLOOKUP(B452,Table2[Main Member Link ID],Table2[Benefit Name],0)=Lookups!$D$15),"",
IF(AND(Table2[[#This Row],[Member Type]]="Child",Table2[[#This Row],[Product Option]]="My Value Plus Life &amp; Funeral",_xlfn.XLOOKUP(B452,Table2[Main Member Link ID],Table2[Benefit Name],0)=Lookups!$D$16),Lookups!$D$24,
IF(AND(Table2[[#This Row],[Member Type]]="Child",Table2[[#This Row],[Product Option]]="My Value Plus Life &amp; Funeral",_xlfn.XLOOKUP(B452,Table2[Main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Funeral",_xlfn.XLOOKUP(B452,Table2[Main Member Link ID],Table2[Benefit Name],0)&lt;&gt;Lookups!$D$14),
IF(_xlfn.XLOOKUP(B452,Table2[Main Member Link ID],Table2[Benefit Name],0)=0,"",_xlfn.XLOOKUP(B452,Table2[Main Member Link ID],Table2[Benefit Name],0)),"")))))))))))))))</f>
        <v/>
      </c>
      <c r="AF452" s="327" t="str">
        <f>IF(AND(Table2[[#This Row],[Member Type]]="Main Member",Table2[[#This Row],[Product Option]]="My Value Plus Life &amp; Funeral"),Lookups!$D$15,
IF(AND(Table2[[#This Row],[Member Type]]="Spouse",Table2[[#This Row],[Product Option]]="My Value Plus Life &amp; Funeral",_xlfn.XLOOKUP(B452,Table2[Main Member Link ID],Table2[Benefit Name],0)=Lookups!$D$14),"",
IF(AND(Table2[[#This Row],[Member Type]]="Spouse",Table2[[#This Row],[Product Option]]="My Value Plus Life &amp; Funeral",_xlfn.XLOOKUP(B451,Table2[Main Member Link ID],Table2[Benefit Name],0)=Lookups!$D$16),"",
IF(AND(Table2[[#This Row],[Member Type]]="Spouse",Table2[[#This Row],[Product Option]]="My Value Plus Life &amp; Funeral",_xlfn.XLOOKUP(B451,Table2[Main Member Link ID],Table2[Benefit Name],0)=Lookups!$D$15),"",
IF(AND(Table2[[#This Row],[Member Type]]="Spouse",Table2[[#This Row],[Product Option]]="My Value Plus Life &amp; Funeral",_xlfn.XLOOKUP(B451,Table2[Main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Funeral",_xlfn.XLOOKUP(B452,Table2[Main Member Link ID],Table2[Benefit Name],0)&lt;&gt;Lookups!$D$15),
IF(_xlfn.XLOOKUP(B452,Table2[Main Member Link ID],Table2[Benefit Name],0)=0,"",_xlfn.XLOOKUP(B452,Table2[Main Member Link ID],Table2[Benefit Name],0)),"")
))))))</f>
        <v/>
      </c>
      <c r="AG452" s="327" t="str">
        <f>IF(AND(Table2[[#This Row],[Member Type]]="Main Member",Table2[[#This Row],[Product Option]]="My Value Plus Life &amp; Funeral"),Lookups!$D$16,
IF(AND(Table2[[#This Row],[Member Type]]="Spouse",Table2[[#This Row],[Product Option]]="My Value Plus Life &amp; Funeral",_xlfn.XLOOKUP(B452,Table2[Main Member Link ID],Table2[Benefit Name],0)=Lookups!$D$14),"",
IF(AND(Table2[[#This Row],[Member Type]]="Spouse",Table2[[#This Row],[Product Option]]="My Value Plus Life &amp; Funeral",_xlfn.XLOOKUP(B451,Table2[Main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Funeral",_xlfn.XLOOKUP(B452,Table2[Main Member Link ID],Table2[Benefit Name],0)&lt;&gt;Lookups!$D$16),
IF(_xlfn.XLOOKUP(B452,Table2[Main Member Link ID],Table2[Benefit Name],0)=0,"",_xlfn.XLOOKUP(B452,Table2[Main Member Link ID],Table2[Benefit Name],0)),"")
))))</f>
        <v/>
      </c>
      <c r="AH452" s="327" t="str">
        <f>IF(AND(Table2[[#This Row],[Member Type]]="Main Member",Table2[[#This Row],[Product Option]]="My Value Plus Life &amp; Funeral"),Lookups!$D$17,
IF(AND(Table2[[#This Row],[Member Type]]="Spouse",Table2[[#This Row],[Product Option]]="My Value Plus Life &amp; Funeral",_xlfn.XLOOKUP(B452,Table2[Main Member Link ID],Table2[Benefit Name],0)=Lookups!$D$14),"",
IF(AND(Table2[[#This Row],[Member Type]]="Spouse",Table2[[#This Row],[Product Option]]="My Value Plus Life &amp; Funeral",_xlfn.XLOOKUP(B451,Table2[Main Member Link ID],Table2[Benefit Name],0)=Lookups!$D$16),"",
IF(AND(Table2[[#This Row],[Member Type]]="Child",Table2[[#This Row],[Product Option]]="My Value Plus Life &amp; Funeral"),"",
IF(AND(Table2[[#This Row],[Member Type]]="Child",Table2[[#This Row],[Product Option]]="My Value Plus Life &amp; Funeral",_xlfn.XLOOKUP(B452,Table2[Main Member Link ID],Table2[Benefit Name],0)=Lookups!$D$15),"",
IF(AND(OR(Table2[[#This Row],[Member Type]]="Spouse",Table2[[#This Row],[Member Type]]="Child"),Table2[[#This Row],[Product Option]]="My Value Plus Life &amp; Funeral",_xlfn.XLOOKUP(B452,Table2[Main Member Link ID],Table2[Benefit Name],0)&lt;&gt;Lookups!$D$17),
IF(_xlfn.XLOOKUP(B452,Table2[Main Member Link ID],Table2[Benefit Name],0)=0,"",_xlfn.XLOOKUP(B452,Table2[Main Member Link ID],Table2[Benefit Name],0)),""))))))</f>
        <v/>
      </c>
      <c r="AI452" s="328" t="str">
        <f>IF(AND(Table2[[#This Row],[Member Type]]="Main Member",Table2[[#This Row],[Table Lookup for Life Cover]]="MM_LIFE",Table2[[#This Row],[Age Next Birthday]]&lt;56),1,
IF(AND(Table2[[#This Row],[Member Type]]="Main Member",Table2[[#This Row],[Table Lookup for Life Cover]]="MM_LIFE",Table2[[#This Row],[Age Next Birthday]]&gt;=56),2,
""))</f>
        <v/>
      </c>
      <c r="AJ452" s="328">
        <f>IF(OR(Table2[[#This Row],[Member Type]]="Main Member",Table2[[#This Row],[Main Member Link ID]]=B451),1,0)</f>
        <v>1</v>
      </c>
      <c r="AK452" s="328">
        <f>IF(Table2[[#This Row],[Member Type]]=0,0,
IF(OR(Table2[[#This Row],[Member Type]]="Main Member",Table2[[#This Row],[Main Member Link ID]]&lt;&gt;B452),COUNTIFS(B:B,Table2[[#This Row],[Main Member Link ID]]),
COUNTIFS(B:B,Table2[[#This Row],[Main Member Link ID]],A:A,Table2[[#This Row],[Member Type]])))</f>
        <v>0</v>
      </c>
    </row>
    <row r="453" spans="1:37" x14ac:dyDescent="0.3">
      <c r="A453" s="284">
        <f>Table13[[#This Row],[Member Type]]</f>
        <v>0</v>
      </c>
      <c r="B453" s="284">
        <f>Table13[[#This Row],[Main Member Link ID]]</f>
        <v>0</v>
      </c>
      <c r="C453" s="284">
        <f>Table13[[#This Row],[ID Number]]</f>
        <v>0</v>
      </c>
      <c r="D453" s="285">
        <f>Table13[[#This Row],[Date Of Birth]]</f>
        <v>0</v>
      </c>
      <c r="E453" s="285">
        <f>Table13[[#This Row],[Commencement Date]]</f>
        <v>0</v>
      </c>
      <c r="F453" s="284">
        <f t="shared" ref="F453:F516" si="49">IF(D453="","",
IF(OR($A453="Main Member",$A453="Spouse",$A453="Child"),IFERROR(IF((IF($D453="",-1,DATEDIF($D453,$E453,"Y"))+1)&gt;75,"Max age",IF($D453="",-1,DATEDIF($D453,$E453,"Y"))+1),FALSE),
IFERROR(IF((IF($D453="",-1,DATEDIF($D453,$E453,"Y"))+1)&gt;75,"Max age",IF($D453="",-1,DATEDIF($D453,$E453,"Y"))+1),FALSE)))</f>
        <v>1</v>
      </c>
      <c r="G453" s="284">
        <f t="shared" ref="G453:G516" si="50">IF(F453="","",
IF(F453="Max age","Max age",
IF(OR($A453="Main Member",$A453="Spouse",$A453="Child"),IF($F453=0,"",IF($F453&lt;26,25,IF($F453&lt;36,35,IF($F453&lt;46,45,IF($F453&lt;51,50,IF($F453&lt;56,55,IF($F453&lt;61,60,IF($F453&lt;66,65,IF($F453&lt;71,70,IF($F453&lt;76,75)))))))))),
IF($F453=0,"",IF($F453&lt;26,25,IF($F453&lt;36,35,IF($F453&lt;46,45,IF($F453&lt;51,50,IF($F453&lt;56,55,IF($F453&lt;61,60,IF($F453&lt;66,65,IF($F453&lt;71,70,IF($F453&lt;76,75)))))))))))))</f>
        <v>25</v>
      </c>
      <c r="H453" s="286">
        <f>Table13[[#This Row],[Product Option]]</f>
        <v>0</v>
      </c>
      <c r="I453" s="284">
        <f>IF(AND($A453="Main Member",Table2[[#This Row],[Product Option]]="My Value Plus Life"),"MM_LIFE",
IF(AND($A453="Spouse",Table2[[#This Row],[Product Option]]="My Value Plus Life"),"SP_LIFE",
IF(AND($A453="Main Member",Table2[[#This Row],[Product Option]]="My Value Plus Life &amp; Funeral"),"MM_LIFE",
IF(AND($A453="Spouse",Table2[[#This Row],[Product Option]]="My Value Plus Life &amp; Funeral"),_xlfn.XLOOKUP(Table2[[#This Row],[Benefit Name]],Lookups!$D$18:$D$23,Lookups!$E$18:$E$23,0),
0))))</f>
        <v>0</v>
      </c>
      <c r="J453" s="284">
        <f>IF($I453="","",
IF($I453="MM_LIFE",INDEX('Quotation Tool'!$S$54:$V$60,MATCH($T453,'Quotation Tool'!$S$54:$S$60,0),4),
IF($I453="SP_LIFE",_xlfn.XLOOKUP(B452,$B:$B,$J:$J,0),0)))</f>
        <v>0</v>
      </c>
      <c r="K453" s="287">
        <f t="shared" ca="1" si="47"/>
        <v>0</v>
      </c>
      <c r="L453" s="288">
        <f t="shared" ca="1" si="48"/>
        <v>0</v>
      </c>
      <c r="M453" s="289">
        <f t="shared" ref="M453:M516" ca="1" si="51">K453+L453/1000*W453</f>
        <v>0</v>
      </c>
      <c r="N453" s="286">
        <f>Table13[[#This Row],[Benefit Option]]</f>
        <v>0</v>
      </c>
      <c r="O453" s="284">
        <f>IF(OR(Table2[[#This Row],[Member Type]]="Spouse",Table2[[#This Row],[Member Type]]="Child"),0,
IF(_xlfn.XLOOKUP($N453,Lookups!$D$13:$D$27,Lookups!$F$13:$F$27,0)=Table2[[#This Row],[Table Lookup for Life Cover]],0,
_xlfn.XLOOKUP($N453,Lookups!$D$13:$D$27,Lookups!$F$13:$F$27,0)))</f>
        <v>0</v>
      </c>
      <c r="P453" s="284">
        <f>IF(Table2[[#This Row],[Table Lookup for Funeral]]=0,0,IFERROR(INDEX('Quotation Tool'!$S$54:$V$60,MATCH($T453,'Quotation Tool'!$S$54:$S$60,0),3),0))</f>
        <v>0</v>
      </c>
      <c r="Q453" s="288">
        <f ca="1">IF(OR(Table2[[#This Row],[Benefit Name]]="My Value Plus Life - Main Member",Table2[[#This Row],[Benefit Name]]="My Value Plus Life - Spouse"),0,
IFERROR(VLOOKUP($G453,INDIRECT($O453),$P453,FALSE),0))</f>
        <v>0</v>
      </c>
      <c r="R453" s="288">
        <f ca="1">IF(OR(Table2[[#This Row],[Benefit Name]]="My Value Plus Life - Main Member",Table2[[#This Row],[Benefit Name]]="My Value Plus Life - Spouse"),0,
IFERROR(VLOOKUP($G453,INDIRECT($O453),$P453+1,FALSE),0))</f>
        <v>0</v>
      </c>
      <c r="S453" s="289">
        <f t="shared" ref="S453:S516" ca="1" si="52">Q453+R453/1000*X453</f>
        <v>0</v>
      </c>
      <c r="T453" s="284" t="str">
        <f>IF(Table13[[#This Row],[Premium Waiver]]="","None",Table13[[#This Row],[Premium Waiver]])</f>
        <v>None</v>
      </c>
      <c r="U453" s="284">
        <f>Table13[[#This Row],[VAPs Options]]</f>
        <v>0</v>
      </c>
      <c r="V453" s="284">
        <f>Table13[[#This Row],[Annual Increase Option]]</f>
        <v>0</v>
      </c>
      <c r="W453" s="290">
        <f>Table13[[#This Row],[Life Cover Amount]]</f>
        <v>0</v>
      </c>
      <c r="X453" s="290">
        <f>Table13[[#This Row],[Funeral Cover Amount]]</f>
        <v>0</v>
      </c>
      <c r="Y45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5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53" s="301">
        <f t="shared" ref="AA453:AA516" ca="1" si="53">S453+M453</f>
        <v>0</v>
      </c>
      <c r="AB453" s="298"/>
      <c r="AC453" s="326" t="str">
        <f>IF(Table2[[#This Row],[Member Type]]="Main Member",Lookups!$C$13,
IF(Table2[[#This Row],[Member Type]]="Spouse",_xlfn.XLOOKUP(B453,Table2[Main Member Link ID],Table2[Product Option],0),
IF(AND(Table2[[#This Row],[Member Type]]="Child",_xlfn.XLOOKUP(B453,Table2[Main Member Link ID],Table2[Product Option],0)&lt;&gt;"My Value Plus Life"),Lookups!$C$24,
IF(AND(OR(Table2[[#This Row],[Member Type]]="Parent",Table2[[#This Row],[Member Type]]="Extended"),_xlfn.XLOOKUP(B453,Table2[Main Member Link ID],Table2[Product Option],0)&lt;&gt;"My Value Plus Life"),Lookups!$C$26,""))))</f>
        <v/>
      </c>
      <c r="AD453" s="326" t="str">
        <f>IF(Table2[[#This Row],[Member Type]]="Main Member",Lookups!$C$14,"")</f>
        <v/>
      </c>
      <c r="AE45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Funeral",_xlfn.XLOOKUP(B453,Table2[Main Member Link ID],Table2[Benefit Name],0)=Lookups!$D$14),"",
IF(AND(Table2[[#This Row],[Member Type]]="Spouse",Table2[[#This Row],[Product Option]]="My Value Plus Life &amp; Funeral",_xlfn.XLOOKUP(B452,Table2[Main Member Link ID],Table2[Benefit Name],0)=Lookups!$D$15),Lookups!$D$20,
IF(AND(Table2[[#This Row],[Member Type]]="Spouse",Table2[[#This Row],[Product Option]]="My Value Plus Life &amp; Funeral",_xlfn.XLOOKUP(B452,Table2[Main Member Link ID],Table2[Benefit Name],0)=Lookups!$D$16),"",
IF(AND(Table2[[#This Row],[Member Type]]="Spouse",Table2[[#This Row],[Product Option]]="My Value Plus Life &amp; Funeral",_xlfn.XLOOKUP(B452,Table2[Main Member Link ID],Table2[Benefit Name],0)=Lookups!$D$17),Lookups!$D$21,
IF(AND(Table2[[#This Row],[Member Type]]="Child",Table2[[#This Row],[Product Option]]="My Value Plus Life &amp; Funeral",_xlfn.XLOOKUP(B453,Table2[Main Member Link ID],Table2[Benefit Name],0)=Lookups!$D$14),"",
IF(AND(Table2[[#This Row],[Member Type]]="Child",Table2[[#This Row],[Product Option]]="My Value Plus Life &amp; Funeral",_xlfn.XLOOKUP(B453,Table2[Main Member Link ID],Table2[Benefit Name],0)=Lookups!$D$15),"",
IF(AND(Table2[[#This Row],[Member Type]]="Child",Table2[[#This Row],[Product Option]]="My Value Plus Life &amp; Funeral",_xlfn.XLOOKUP(B453,Table2[Main Member Link ID],Table2[Benefit Name],0)=Lookups!$D$16),Lookups!$D$24,
IF(AND(Table2[[#This Row],[Member Type]]="Child",Table2[[#This Row],[Product Option]]="My Value Plus Life &amp; Funeral",_xlfn.XLOOKUP(B453,Table2[Main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Funeral",_xlfn.XLOOKUP(B453,Table2[Main Member Link ID],Table2[Benefit Name],0)&lt;&gt;Lookups!$D$14),
IF(_xlfn.XLOOKUP(B453,Table2[Main Member Link ID],Table2[Benefit Name],0)=0,"",_xlfn.XLOOKUP(B453,Table2[Main Member Link ID],Table2[Benefit Name],0)),"")))))))))))))))</f>
        <v/>
      </c>
      <c r="AF453" s="327" t="str">
        <f>IF(AND(Table2[[#This Row],[Member Type]]="Main Member",Table2[[#This Row],[Product Option]]="My Value Plus Life &amp; Funeral"),Lookups!$D$15,
IF(AND(Table2[[#This Row],[Member Type]]="Spouse",Table2[[#This Row],[Product Option]]="My Value Plus Life &amp; Funeral",_xlfn.XLOOKUP(B453,Table2[Main Member Link ID],Table2[Benefit Name],0)=Lookups!$D$14),"",
IF(AND(Table2[[#This Row],[Member Type]]="Spouse",Table2[[#This Row],[Product Option]]="My Value Plus Life &amp; Funeral",_xlfn.XLOOKUP(B452,Table2[Main Member Link ID],Table2[Benefit Name],0)=Lookups!$D$16),"",
IF(AND(Table2[[#This Row],[Member Type]]="Spouse",Table2[[#This Row],[Product Option]]="My Value Plus Life &amp; Funeral",_xlfn.XLOOKUP(B452,Table2[Main Member Link ID],Table2[Benefit Name],0)=Lookups!$D$15),"",
IF(AND(Table2[[#This Row],[Member Type]]="Spouse",Table2[[#This Row],[Product Option]]="My Value Plus Life &amp; Funeral",_xlfn.XLOOKUP(B452,Table2[Main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Funeral",_xlfn.XLOOKUP(B453,Table2[Main Member Link ID],Table2[Benefit Name],0)&lt;&gt;Lookups!$D$15),
IF(_xlfn.XLOOKUP(B453,Table2[Main Member Link ID],Table2[Benefit Name],0)=0,"",_xlfn.XLOOKUP(B453,Table2[Main Member Link ID],Table2[Benefit Name],0)),"")
))))))</f>
        <v/>
      </c>
      <c r="AG453" s="327" t="str">
        <f>IF(AND(Table2[[#This Row],[Member Type]]="Main Member",Table2[[#This Row],[Product Option]]="My Value Plus Life &amp; Funeral"),Lookups!$D$16,
IF(AND(Table2[[#This Row],[Member Type]]="Spouse",Table2[[#This Row],[Product Option]]="My Value Plus Life &amp; Funeral",_xlfn.XLOOKUP(B453,Table2[Main Member Link ID],Table2[Benefit Name],0)=Lookups!$D$14),"",
IF(AND(Table2[[#This Row],[Member Type]]="Spouse",Table2[[#This Row],[Product Option]]="My Value Plus Life &amp; Funeral",_xlfn.XLOOKUP(B452,Table2[Main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Funeral",_xlfn.XLOOKUP(B453,Table2[Main Member Link ID],Table2[Benefit Name],0)&lt;&gt;Lookups!$D$16),
IF(_xlfn.XLOOKUP(B453,Table2[Main Member Link ID],Table2[Benefit Name],0)=0,"",_xlfn.XLOOKUP(B453,Table2[Main Member Link ID],Table2[Benefit Name],0)),"")
))))</f>
        <v/>
      </c>
      <c r="AH453" s="327" t="str">
        <f>IF(AND(Table2[[#This Row],[Member Type]]="Main Member",Table2[[#This Row],[Product Option]]="My Value Plus Life &amp; Funeral"),Lookups!$D$17,
IF(AND(Table2[[#This Row],[Member Type]]="Spouse",Table2[[#This Row],[Product Option]]="My Value Plus Life &amp; Funeral",_xlfn.XLOOKUP(B453,Table2[Main Member Link ID],Table2[Benefit Name],0)=Lookups!$D$14),"",
IF(AND(Table2[[#This Row],[Member Type]]="Spouse",Table2[[#This Row],[Product Option]]="My Value Plus Life &amp; Funeral",_xlfn.XLOOKUP(B452,Table2[Main Member Link ID],Table2[Benefit Name],0)=Lookups!$D$16),"",
IF(AND(Table2[[#This Row],[Member Type]]="Child",Table2[[#This Row],[Product Option]]="My Value Plus Life &amp; Funeral"),"",
IF(AND(Table2[[#This Row],[Member Type]]="Child",Table2[[#This Row],[Product Option]]="My Value Plus Life &amp; Funeral",_xlfn.XLOOKUP(B453,Table2[Main Member Link ID],Table2[Benefit Name],0)=Lookups!$D$15),"",
IF(AND(OR(Table2[[#This Row],[Member Type]]="Spouse",Table2[[#This Row],[Member Type]]="Child"),Table2[[#This Row],[Product Option]]="My Value Plus Life &amp; Funeral",_xlfn.XLOOKUP(B453,Table2[Main Member Link ID],Table2[Benefit Name],0)&lt;&gt;Lookups!$D$17),
IF(_xlfn.XLOOKUP(B453,Table2[Main Member Link ID],Table2[Benefit Name],0)=0,"",_xlfn.XLOOKUP(B453,Table2[Main Member Link ID],Table2[Benefit Name],0)),""))))))</f>
        <v/>
      </c>
      <c r="AI453" s="328" t="str">
        <f>IF(AND(Table2[[#This Row],[Member Type]]="Main Member",Table2[[#This Row],[Table Lookup for Life Cover]]="MM_LIFE",Table2[[#This Row],[Age Next Birthday]]&lt;56),1,
IF(AND(Table2[[#This Row],[Member Type]]="Main Member",Table2[[#This Row],[Table Lookup for Life Cover]]="MM_LIFE",Table2[[#This Row],[Age Next Birthday]]&gt;=56),2,
""))</f>
        <v/>
      </c>
      <c r="AJ453" s="328">
        <f>IF(OR(Table2[[#This Row],[Member Type]]="Main Member",Table2[[#This Row],[Main Member Link ID]]=B452),1,0)</f>
        <v>1</v>
      </c>
      <c r="AK453" s="328">
        <f>IF(Table2[[#This Row],[Member Type]]=0,0,
IF(OR(Table2[[#This Row],[Member Type]]="Main Member",Table2[[#This Row],[Main Member Link ID]]&lt;&gt;B453),COUNTIFS(B:B,Table2[[#This Row],[Main Member Link ID]]),
COUNTIFS(B:B,Table2[[#This Row],[Main Member Link ID]],A:A,Table2[[#This Row],[Member Type]])))</f>
        <v>0</v>
      </c>
    </row>
    <row r="454" spans="1:37" x14ac:dyDescent="0.3">
      <c r="A454" s="284">
        <f>Table13[[#This Row],[Member Type]]</f>
        <v>0</v>
      </c>
      <c r="B454" s="284">
        <f>Table13[[#This Row],[Main Member Link ID]]</f>
        <v>0</v>
      </c>
      <c r="C454" s="284">
        <f>Table13[[#This Row],[ID Number]]</f>
        <v>0</v>
      </c>
      <c r="D454" s="285">
        <f>Table13[[#This Row],[Date Of Birth]]</f>
        <v>0</v>
      </c>
      <c r="E454" s="285">
        <f>Table13[[#This Row],[Commencement Date]]</f>
        <v>0</v>
      </c>
      <c r="F454" s="284">
        <f t="shared" si="49"/>
        <v>1</v>
      </c>
      <c r="G454" s="284">
        <f t="shared" si="50"/>
        <v>25</v>
      </c>
      <c r="H454" s="286">
        <f>Table13[[#This Row],[Product Option]]</f>
        <v>0</v>
      </c>
      <c r="I454" s="284">
        <f>IF(AND($A454="Main Member",Table2[[#This Row],[Product Option]]="My Value Plus Life"),"MM_LIFE",
IF(AND($A454="Spouse",Table2[[#This Row],[Product Option]]="My Value Plus Life"),"SP_LIFE",
IF(AND($A454="Main Member",Table2[[#This Row],[Product Option]]="My Value Plus Life &amp; Funeral"),"MM_LIFE",
IF(AND($A454="Spouse",Table2[[#This Row],[Product Option]]="My Value Plus Life &amp; Funeral"),_xlfn.XLOOKUP(Table2[[#This Row],[Benefit Name]],Lookups!$D$18:$D$23,Lookups!$E$18:$E$23,0),
0))))</f>
        <v>0</v>
      </c>
      <c r="J454" s="284">
        <f>IF($I454="","",
IF($I454="MM_LIFE",INDEX('Quotation Tool'!$S$54:$V$60,MATCH($T454,'Quotation Tool'!$S$54:$S$60,0),4),
IF($I454="SP_LIFE",_xlfn.XLOOKUP(B453,$B:$B,$J:$J,0),0)))</f>
        <v>0</v>
      </c>
      <c r="K454" s="287">
        <f t="shared" ref="K454:K517" ca="1" si="54">IFERROR(VLOOKUP($G454,INDIRECT($I454),$J454,FALSE),0)</f>
        <v>0</v>
      </c>
      <c r="L454" s="288">
        <f t="shared" ref="L454:L517" ca="1" si="55">IFERROR(VLOOKUP($G454,INDIRECT($I454),$J454+1,FALSE),0)</f>
        <v>0</v>
      </c>
      <c r="M454" s="289">
        <f t="shared" ca="1" si="51"/>
        <v>0</v>
      </c>
      <c r="N454" s="286">
        <f>Table13[[#This Row],[Benefit Option]]</f>
        <v>0</v>
      </c>
      <c r="O454" s="284">
        <f>IF(OR(Table2[[#This Row],[Member Type]]="Spouse",Table2[[#This Row],[Member Type]]="Child"),0,
IF(_xlfn.XLOOKUP($N454,Lookups!$D$13:$D$27,Lookups!$F$13:$F$27,0)=Table2[[#This Row],[Table Lookup for Life Cover]],0,
_xlfn.XLOOKUP($N454,Lookups!$D$13:$D$27,Lookups!$F$13:$F$27,0)))</f>
        <v>0</v>
      </c>
      <c r="P454" s="284">
        <f>IF(Table2[[#This Row],[Table Lookup for Funeral]]=0,0,IFERROR(INDEX('Quotation Tool'!$S$54:$V$60,MATCH($T454,'Quotation Tool'!$S$54:$S$60,0),3),0))</f>
        <v>0</v>
      </c>
      <c r="Q454" s="288">
        <f ca="1">IF(OR(Table2[[#This Row],[Benefit Name]]="My Value Plus Life - Main Member",Table2[[#This Row],[Benefit Name]]="My Value Plus Life - Spouse"),0,
IFERROR(VLOOKUP($G454,INDIRECT($O454),$P454,FALSE),0))</f>
        <v>0</v>
      </c>
      <c r="R454" s="288">
        <f ca="1">IF(OR(Table2[[#This Row],[Benefit Name]]="My Value Plus Life - Main Member",Table2[[#This Row],[Benefit Name]]="My Value Plus Life - Spouse"),0,
IFERROR(VLOOKUP($G454,INDIRECT($O454),$P454+1,FALSE),0))</f>
        <v>0</v>
      </c>
      <c r="S454" s="289">
        <f t="shared" ca="1" si="52"/>
        <v>0</v>
      </c>
      <c r="T454" s="284" t="str">
        <f>IF(Table13[[#This Row],[Premium Waiver]]="","None",Table13[[#This Row],[Premium Waiver]])</f>
        <v>None</v>
      </c>
      <c r="U454" s="284">
        <f>Table13[[#This Row],[VAPs Options]]</f>
        <v>0</v>
      </c>
      <c r="V454" s="284">
        <f>Table13[[#This Row],[Annual Increase Option]]</f>
        <v>0</v>
      </c>
      <c r="W454" s="290">
        <f>Table13[[#This Row],[Life Cover Amount]]</f>
        <v>0</v>
      </c>
      <c r="X454" s="290">
        <f>Table13[[#This Row],[Funeral Cover Amount]]</f>
        <v>0</v>
      </c>
      <c r="Y45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5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54" s="301">
        <f t="shared" ca="1" si="53"/>
        <v>0</v>
      </c>
      <c r="AB454" s="298"/>
      <c r="AC454" s="326" t="str">
        <f>IF(Table2[[#This Row],[Member Type]]="Main Member",Lookups!$C$13,
IF(Table2[[#This Row],[Member Type]]="Spouse",_xlfn.XLOOKUP(B454,Table2[Main Member Link ID],Table2[Product Option],0),
IF(AND(Table2[[#This Row],[Member Type]]="Child",_xlfn.XLOOKUP(B454,Table2[Main Member Link ID],Table2[Product Option],0)&lt;&gt;"My Value Plus Life"),Lookups!$C$24,
IF(AND(OR(Table2[[#This Row],[Member Type]]="Parent",Table2[[#This Row],[Member Type]]="Extended"),_xlfn.XLOOKUP(B454,Table2[Main Member Link ID],Table2[Product Option],0)&lt;&gt;"My Value Plus Life"),Lookups!$C$26,""))))</f>
        <v/>
      </c>
      <c r="AD454" s="326" t="str">
        <f>IF(Table2[[#This Row],[Member Type]]="Main Member",Lookups!$C$14,"")</f>
        <v/>
      </c>
      <c r="AE45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Funeral",_xlfn.XLOOKUP(B454,Table2[Main Member Link ID],Table2[Benefit Name],0)=Lookups!$D$14),"",
IF(AND(Table2[[#This Row],[Member Type]]="Spouse",Table2[[#This Row],[Product Option]]="My Value Plus Life &amp; Funeral",_xlfn.XLOOKUP(B453,Table2[Main Member Link ID],Table2[Benefit Name],0)=Lookups!$D$15),Lookups!$D$20,
IF(AND(Table2[[#This Row],[Member Type]]="Spouse",Table2[[#This Row],[Product Option]]="My Value Plus Life &amp; Funeral",_xlfn.XLOOKUP(B453,Table2[Main Member Link ID],Table2[Benefit Name],0)=Lookups!$D$16),"",
IF(AND(Table2[[#This Row],[Member Type]]="Spouse",Table2[[#This Row],[Product Option]]="My Value Plus Life &amp; Funeral",_xlfn.XLOOKUP(B453,Table2[Main Member Link ID],Table2[Benefit Name],0)=Lookups!$D$17),Lookups!$D$21,
IF(AND(Table2[[#This Row],[Member Type]]="Child",Table2[[#This Row],[Product Option]]="My Value Plus Life &amp; Funeral",_xlfn.XLOOKUP(B454,Table2[Main Member Link ID],Table2[Benefit Name],0)=Lookups!$D$14),"",
IF(AND(Table2[[#This Row],[Member Type]]="Child",Table2[[#This Row],[Product Option]]="My Value Plus Life &amp; Funeral",_xlfn.XLOOKUP(B454,Table2[Main Member Link ID],Table2[Benefit Name],0)=Lookups!$D$15),"",
IF(AND(Table2[[#This Row],[Member Type]]="Child",Table2[[#This Row],[Product Option]]="My Value Plus Life &amp; Funeral",_xlfn.XLOOKUP(B454,Table2[Main Member Link ID],Table2[Benefit Name],0)=Lookups!$D$16),Lookups!$D$24,
IF(AND(Table2[[#This Row],[Member Type]]="Child",Table2[[#This Row],[Product Option]]="My Value Plus Life &amp; Funeral",_xlfn.XLOOKUP(B454,Table2[Main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Funeral",_xlfn.XLOOKUP(B454,Table2[Main Member Link ID],Table2[Benefit Name],0)&lt;&gt;Lookups!$D$14),
IF(_xlfn.XLOOKUP(B454,Table2[Main Member Link ID],Table2[Benefit Name],0)=0,"",_xlfn.XLOOKUP(B454,Table2[Main Member Link ID],Table2[Benefit Name],0)),"")))))))))))))))</f>
        <v/>
      </c>
      <c r="AF454" s="327" t="str">
        <f>IF(AND(Table2[[#This Row],[Member Type]]="Main Member",Table2[[#This Row],[Product Option]]="My Value Plus Life &amp; Funeral"),Lookups!$D$15,
IF(AND(Table2[[#This Row],[Member Type]]="Spouse",Table2[[#This Row],[Product Option]]="My Value Plus Life &amp; Funeral",_xlfn.XLOOKUP(B454,Table2[Main Member Link ID],Table2[Benefit Name],0)=Lookups!$D$14),"",
IF(AND(Table2[[#This Row],[Member Type]]="Spouse",Table2[[#This Row],[Product Option]]="My Value Plus Life &amp; Funeral",_xlfn.XLOOKUP(B453,Table2[Main Member Link ID],Table2[Benefit Name],0)=Lookups!$D$16),"",
IF(AND(Table2[[#This Row],[Member Type]]="Spouse",Table2[[#This Row],[Product Option]]="My Value Plus Life &amp; Funeral",_xlfn.XLOOKUP(B453,Table2[Main Member Link ID],Table2[Benefit Name],0)=Lookups!$D$15),"",
IF(AND(Table2[[#This Row],[Member Type]]="Spouse",Table2[[#This Row],[Product Option]]="My Value Plus Life &amp; Funeral",_xlfn.XLOOKUP(B453,Table2[Main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Funeral",_xlfn.XLOOKUP(B454,Table2[Main Member Link ID],Table2[Benefit Name],0)&lt;&gt;Lookups!$D$15),
IF(_xlfn.XLOOKUP(B454,Table2[Main Member Link ID],Table2[Benefit Name],0)=0,"",_xlfn.XLOOKUP(B454,Table2[Main Member Link ID],Table2[Benefit Name],0)),"")
))))))</f>
        <v/>
      </c>
      <c r="AG454" s="327" t="str">
        <f>IF(AND(Table2[[#This Row],[Member Type]]="Main Member",Table2[[#This Row],[Product Option]]="My Value Plus Life &amp; Funeral"),Lookups!$D$16,
IF(AND(Table2[[#This Row],[Member Type]]="Spouse",Table2[[#This Row],[Product Option]]="My Value Plus Life &amp; Funeral",_xlfn.XLOOKUP(B454,Table2[Main Member Link ID],Table2[Benefit Name],0)=Lookups!$D$14),"",
IF(AND(Table2[[#This Row],[Member Type]]="Spouse",Table2[[#This Row],[Product Option]]="My Value Plus Life &amp; Funeral",_xlfn.XLOOKUP(B453,Table2[Main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Funeral",_xlfn.XLOOKUP(B454,Table2[Main Member Link ID],Table2[Benefit Name],0)&lt;&gt;Lookups!$D$16),
IF(_xlfn.XLOOKUP(B454,Table2[Main Member Link ID],Table2[Benefit Name],0)=0,"",_xlfn.XLOOKUP(B454,Table2[Main Member Link ID],Table2[Benefit Name],0)),"")
))))</f>
        <v/>
      </c>
      <c r="AH454" s="327" t="str">
        <f>IF(AND(Table2[[#This Row],[Member Type]]="Main Member",Table2[[#This Row],[Product Option]]="My Value Plus Life &amp; Funeral"),Lookups!$D$17,
IF(AND(Table2[[#This Row],[Member Type]]="Spouse",Table2[[#This Row],[Product Option]]="My Value Plus Life &amp; Funeral",_xlfn.XLOOKUP(B454,Table2[Main Member Link ID],Table2[Benefit Name],0)=Lookups!$D$14),"",
IF(AND(Table2[[#This Row],[Member Type]]="Spouse",Table2[[#This Row],[Product Option]]="My Value Plus Life &amp; Funeral",_xlfn.XLOOKUP(B453,Table2[Main Member Link ID],Table2[Benefit Name],0)=Lookups!$D$16),"",
IF(AND(Table2[[#This Row],[Member Type]]="Child",Table2[[#This Row],[Product Option]]="My Value Plus Life &amp; Funeral"),"",
IF(AND(Table2[[#This Row],[Member Type]]="Child",Table2[[#This Row],[Product Option]]="My Value Plus Life &amp; Funeral",_xlfn.XLOOKUP(B454,Table2[Main Member Link ID],Table2[Benefit Name],0)=Lookups!$D$15),"",
IF(AND(OR(Table2[[#This Row],[Member Type]]="Spouse",Table2[[#This Row],[Member Type]]="Child"),Table2[[#This Row],[Product Option]]="My Value Plus Life &amp; Funeral",_xlfn.XLOOKUP(B454,Table2[Main Member Link ID],Table2[Benefit Name],0)&lt;&gt;Lookups!$D$17),
IF(_xlfn.XLOOKUP(B454,Table2[Main Member Link ID],Table2[Benefit Name],0)=0,"",_xlfn.XLOOKUP(B454,Table2[Main Member Link ID],Table2[Benefit Name],0)),""))))))</f>
        <v/>
      </c>
      <c r="AI454" s="328" t="str">
        <f>IF(AND(Table2[[#This Row],[Member Type]]="Main Member",Table2[[#This Row],[Table Lookup for Life Cover]]="MM_LIFE",Table2[[#This Row],[Age Next Birthday]]&lt;56),1,
IF(AND(Table2[[#This Row],[Member Type]]="Main Member",Table2[[#This Row],[Table Lookup for Life Cover]]="MM_LIFE",Table2[[#This Row],[Age Next Birthday]]&gt;=56),2,
""))</f>
        <v/>
      </c>
      <c r="AJ454" s="328">
        <f>IF(OR(Table2[[#This Row],[Member Type]]="Main Member",Table2[[#This Row],[Main Member Link ID]]=B453),1,0)</f>
        <v>1</v>
      </c>
      <c r="AK454" s="328">
        <f>IF(Table2[[#This Row],[Member Type]]=0,0,
IF(OR(Table2[[#This Row],[Member Type]]="Main Member",Table2[[#This Row],[Main Member Link ID]]&lt;&gt;B454),COUNTIFS(B:B,Table2[[#This Row],[Main Member Link ID]]),
COUNTIFS(B:B,Table2[[#This Row],[Main Member Link ID]],A:A,Table2[[#This Row],[Member Type]])))</f>
        <v>0</v>
      </c>
    </row>
    <row r="455" spans="1:37" x14ac:dyDescent="0.3">
      <c r="A455" s="284">
        <f>Table13[[#This Row],[Member Type]]</f>
        <v>0</v>
      </c>
      <c r="B455" s="284">
        <f>Table13[[#This Row],[Main Member Link ID]]</f>
        <v>0</v>
      </c>
      <c r="C455" s="284">
        <f>Table13[[#This Row],[ID Number]]</f>
        <v>0</v>
      </c>
      <c r="D455" s="285">
        <f>Table13[[#This Row],[Date Of Birth]]</f>
        <v>0</v>
      </c>
      <c r="E455" s="285">
        <f>Table13[[#This Row],[Commencement Date]]</f>
        <v>0</v>
      </c>
      <c r="F455" s="284">
        <f t="shared" si="49"/>
        <v>1</v>
      </c>
      <c r="G455" s="284">
        <f t="shared" si="50"/>
        <v>25</v>
      </c>
      <c r="H455" s="286">
        <f>Table13[[#This Row],[Product Option]]</f>
        <v>0</v>
      </c>
      <c r="I455" s="284">
        <f>IF(AND($A455="Main Member",Table2[[#This Row],[Product Option]]="My Value Plus Life"),"MM_LIFE",
IF(AND($A455="Spouse",Table2[[#This Row],[Product Option]]="My Value Plus Life"),"SP_LIFE",
IF(AND($A455="Main Member",Table2[[#This Row],[Product Option]]="My Value Plus Life &amp; Funeral"),"MM_LIFE",
IF(AND($A455="Spouse",Table2[[#This Row],[Product Option]]="My Value Plus Life &amp; Funeral"),_xlfn.XLOOKUP(Table2[[#This Row],[Benefit Name]],Lookups!$D$18:$D$23,Lookups!$E$18:$E$23,0),
0))))</f>
        <v>0</v>
      </c>
      <c r="J455" s="284">
        <f>IF($I455="","",
IF($I455="MM_LIFE",INDEX('Quotation Tool'!$S$54:$V$60,MATCH($T455,'Quotation Tool'!$S$54:$S$60,0),4),
IF($I455="SP_LIFE",_xlfn.XLOOKUP(B454,$B:$B,$J:$J,0),0)))</f>
        <v>0</v>
      </c>
      <c r="K455" s="287">
        <f t="shared" ca="1" si="54"/>
        <v>0</v>
      </c>
      <c r="L455" s="288">
        <f t="shared" ca="1" si="55"/>
        <v>0</v>
      </c>
      <c r="M455" s="289">
        <f t="shared" ca="1" si="51"/>
        <v>0</v>
      </c>
      <c r="N455" s="286">
        <f>Table13[[#This Row],[Benefit Option]]</f>
        <v>0</v>
      </c>
      <c r="O455" s="284">
        <f>IF(OR(Table2[[#This Row],[Member Type]]="Spouse",Table2[[#This Row],[Member Type]]="Child"),0,
IF(_xlfn.XLOOKUP($N455,Lookups!$D$13:$D$27,Lookups!$F$13:$F$27,0)=Table2[[#This Row],[Table Lookup for Life Cover]],0,
_xlfn.XLOOKUP($N455,Lookups!$D$13:$D$27,Lookups!$F$13:$F$27,0)))</f>
        <v>0</v>
      </c>
      <c r="P455" s="284">
        <f>IF(Table2[[#This Row],[Table Lookup for Funeral]]=0,0,IFERROR(INDEX('Quotation Tool'!$S$54:$V$60,MATCH($T455,'Quotation Tool'!$S$54:$S$60,0),3),0))</f>
        <v>0</v>
      </c>
      <c r="Q455" s="288">
        <f ca="1">IF(OR(Table2[[#This Row],[Benefit Name]]="My Value Plus Life - Main Member",Table2[[#This Row],[Benefit Name]]="My Value Plus Life - Spouse"),0,
IFERROR(VLOOKUP($G455,INDIRECT($O455),$P455,FALSE),0))</f>
        <v>0</v>
      </c>
      <c r="R455" s="288">
        <f ca="1">IF(OR(Table2[[#This Row],[Benefit Name]]="My Value Plus Life - Main Member",Table2[[#This Row],[Benefit Name]]="My Value Plus Life - Spouse"),0,
IFERROR(VLOOKUP($G455,INDIRECT($O455),$P455+1,FALSE),0))</f>
        <v>0</v>
      </c>
      <c r="S455" s="289">
        <f t="shared" ca="1" si="52"/>
        <v>0</v>
      </c>
      <c r="T455" s="284" t="str">
        <f>IF(Table13[[#This Row],[Premium Waiver]]="","None",Table13[[#This Row],[Premium Waiver]])</f>
        <v>None</v>
      </c>
      <c r="U455" s="284">
        <f>Table13[[#This Row],[VAPs Options]]</f>
        <v>0</v>
      </c>
      <c r="V455" s="284">
        <f>Table13[[#This Row],[Annual Increase Option]]</f>
        <v>0</v>
      </c>
      <c r="W455" s="290">
        <f>Table13[[#This Row],[Life Cover Amount]]</f>
        <v>0</v>
      </c>
      <c r="X455" s="290">
        <f>Table13[[#This Row],[Funeral Cover Amount]]</f>
        <v>0</v>
      </c>
      <c r="Y45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5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55" s="301">
        <f t="shared" ca="1" si="53"/>
        <v>0</v>
      </c>
      <c r="AB455" s="298"/>
      <c r="AC455" s="326" t="str">
        <f>IF(Table2[[#This Row],[Member Type]]="Main Member",Lookups!$C$13,
IF(Table2[[#This Row],[Member Type]]="Spouse",_xlfn.XLOOKUP(B455,Table2[Main Member Link ID],Table2[Product Option],0),
IF(AND(Table2[[#This Row],[Member Type]]="Child",_xlfn.XLOOKUP(B455,Table2[Main Member Link ID],Table2[Product Option],0)&lt;&gt;"My Value Plus Life"),Lookups!$C$24,
IF(AND(OR(Table2[[#This Row],[Member Type]]="Parent",Table2[[#This Row],[Member Type]]="Extended"),_xlfn.XLOOKUP(B455,Table2[Main Member Link ID],Table2[Product Option],0)&lt;&gt;"My Value Plus Life"),Lookups!$C$26,""))))</f>
        <v/>
      </c>
      <c r="AD455" s="326" t="str">
        <f>IF(Table2[[#This Row],[Member Type]]="Main Member",Lookups!$C$14,"")</f>
        <v/>
      </c>
      <c r="AE45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Funeral",_xlfn.XLOOKUP(B455,Table2[Main Member Link ID],Table2[Benefit Name],0)=Lookups!$D$14),"",
IF(AND(Table2[[#This Row],[Member Type]]="Spouse",Table2[[#This Row],[Product Option]]="My Value Plus Life &amp; Funeral",_xlfn.XLOOKUP(B454,Table2[Main Member Link ID],Table2[Benefit Name],0)=Lookups!$D$15),Lookups!$D$20,
IF(AND(Table2[[#This Row],[Member Type]]="Spouse",Table2[[#This Row],[Product Option]]="My Value Plus Life &amp; Funeral",_xlfn.XLOOKUP(B454,Table2[Main Member Link ID],Table2[Benefit Name],0)=Lookups!$D$16),"",
IF(AND(Table2[[#This Row],[Member Type]]="Spouse",Table2[[#This Row],[Product Option]]="My Value Plus Life &amp; Funeral",_xlfn.XLOOKUP(B454,Table2[Main Member Link ID],Table2[Benefit Name],0)=Lookups!$D$17),Lookups!$D$21,
IF(AND(Table2[[#This Row],[Member Type]]="Child",Table2[[#This Row],[Product Option]]="My Value Plus Life &amp; Funeral",_xlfn.XLOOKUP(B455,Table2[Main Member Link ID],Table2[Benefit Name],0)=Lookups!$D$14),"",
IF(AND(Table2[[#This Row],[Member Type]]="Child",Table2[[#This Row],[Product Option]]="My Value Plus Life &amp; Funeral",_xlfn.XLOOKUP(B455,Table2[Main Member Link ID],Table2[Benefit Name],0)=Lookups!$D$15),"",
IF(AND(Table2[[#This Row],[Member Type]]="Child",Table2[[#This Row],[Product Option]]="My Value Plus Life &amp; Funeral",_xlfn.XLOOKUP(B455,Table2[Main Member Link ID],Table2[Benefit Name],0)=Lookups!$D$16),Lookups!$D$24,
IF(AND(Table2[[#This Row],[Member Type]]="Child",Table2[[#This Row],[Product Option]]="My Value Plus Life &amp; Funeral",_xlfn.XLOOKUP(B455,Table2[Main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Funeral",_xlfn.XLOOKUP(B455,Table2[Main Member Link ID],Table2[Benefit Name],0)&lt;&gt;Lookups!$D$14),
IF(_xlfn.XLOOKUP(B455,Table2[Main Member Link ID],Table2[Benefit Name],0)=0,"",_xlfn.XLOOKUP(B455,Table2[Main Member Link ID],Table2[Benefit Name],0)),"")))))))))))))))</f>
        <v/>
      </c>
      <c r="AF455" s="327" t="str">
        <f>IF(AND(Table2[[#This Row],[Member Type]]="Main Member",Table2[[#This Row],[Product Option]]="My Value Plus Life &amp; Funeral"),Lookups!$D$15,
IF(AND(Table2[[#This Row],[Member Type]]="Spouse",Table2[[#This Row],[Product Option]]="My Value Plus Life &amp; Funeral",_xlfn.XLOOKUP(B455,Table2[Main Member Link ID],Table2[Benefit Name],0)=Lookups!$D$14),"",
IF(AND(Table2[[#This Row],[Member Type]]="Spouse",Table2[[#This Row],[Product Option]]="My Value Plus Life &amp; Funeral",_xlfn.XLOOKUP(B454,Table2[Main Member Link ID],Table2[Benefit Name],0)=Lookups!$D$16),"",
IF(AND(Table2[[#This Row],[Member Type]]="Spouse",Table2[[#This Row],[Product Option]]="My Value Plus Life &amp; Funeral",_xlfn.XLOOKUP(B454,Table2[Main Member Link ID],Table2[Benefit Name],0)=Lookups!$D$15),"",
IF(AND(Table2[[#This Row],[Member Type]]="Spouse",Table2[[#This Row],[Product Option]]="My Value Plus Life &amp; Funeral",_xlfn.XLOOKUP(B454,Table2[Main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Funeral",_xlfn.XLOOKUP(B455,Table2[Main Member Link ID],Table2[Benefit Name],0)&lt;&gt;Lookups!$D$15),
IF(_xlfn.XLOOKUP(B455,Table2[Main Member Link ID],Table2[Benefit Name],0)=0,"",_xlfn.XLOOKUP(B455,Table2[Main Member Link ID],Table2[Benefit Name],0)),"")
))))))</f>
        <v/>
      </c>
      <c r="AG455" s="327" t="str">
        <f>IF(AND(Table2[[#This Row],[Member Type]]="Main Member",Table2[[#This Row],[Product Option]]="My Value Plus Life &amp; Funeral"),Lookups!$D$16,
IF(AND(Table2[[#This Row],[Member Type]]="Spouse",Table2[[#This Row],[Product Option]]="My Value Plus Life &amp; Funeral",_xlfn.XLOOKUP(B455,Table2[Main Member Link ID],Table2[Benefit Name],0)=Lookups!$D$14),"",
IF(AND(Table2[[#This Row],[Member Type]]="Spouse",Table2[[#This Row],[Product Option]]="My Value Plus Life &amp; Funeral",_xlfn.XLOOKUP(B454,Table2[Main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Funeral",_xlfn.XLOOKUP(B455,Table2[Main Member Link ID],Table2[Benefit Name],0)&lt;&gt;Lookups!$D$16),
IF(_xlfn.XLOOKUP(B455,Table2[Main Member Link ID],Table2[Benefit Name],0)=0,"",_xlfn.XLOOKUP(B455,Table2[Main Member Link ID],Table2[Benefit Name],0)),"")
))))</f>
        <v/>
      </c>
      <c r="AH455" s="327" t="str">
        <f>IF(AND(Table2[[#This Row],[Member Type]]="Main Member",Table2[[#This Row],[Product Option]]="My Value Plus Life &amp; Funeral"),Lookups!$D$17,
IF(AND(Table2[[#This Row],[Member Type]]="Spouse",Table2[[#This Row],[Product Option]]="My Value Plus Life &amp; Funeral",_xlfn.XLOOKUP(B455,Table2[Main Member Link ID],Table2[Benefit Name],0)=Lookups!$D$14),"",
IF(AND(Table2[[#This Row],[Member Type]]="Spouse",Table2[[#This Row],[Product Option]]="My Value Plus Life &amp; Funeral",_xlfn.XLOOKUP(B454,Table2[Main Member Link ID],Table2[Benefit Name],0)=Lookups!$D$16),"",
IF(AND(Table2[[#This Row],[Member Type]]="Child",Table2[[#This Row],[Product Option]]="My Value Plus Life &amp; Funeral"),"",
IF(AND(Table2[[#This Row],[Member Type]]="Child",Table2[[#This Row],[Product Option]]="My Value Plus Life &amp; Funeral",_xlfn.XLOOKUP(B455,Table2[Main Member Link ID],Table2[Benefit Name],0)=Lookups!$D$15),"",
IF(AND(OR(Table2[[#This Row],[Member Type]]="Spouse",Table2[[#This Row],[Member Type]]="Child"),Table2[[#This Row],[Product Option]]="My Value Plus Life &amp; Funeral",_xlfn.XLOOKUP(B455,Table2[Main Member Link ID],Table2[Benefit Name],0)&lt;&gt;Lookups!$D$17),
IF(_xlfn.XLOOKUP(B455,Table2[Main Member Link ID],Table2[Benefit Name],0)=0,"",_xlfn.XLOOKUP(B455,Table2[Main Member Link ID],Table2[Benefit Name],0)),""))))))</f>
        <v/>
      </c>
      <c r="AI455" s="328" t="str">
        <f>IF(AND(Table2[[#This Row],[Member Type]]="Main Member",Table2[[#This Row],[Table Lookup for Life Cover]]="MM_LIFE",Table2[[#This Row],[Age Next Birthday]]&lt;56),1,
IF(AND(Table2[[#This Row],[Member Type]]="Main Member",Table2[[#This Row],[Table Lookup for Life Cover]]="MM_LIFE",Table2[[#This Row],[Age Next Birthday]]&gt;=56),2,
""))</f>
        <v/>
      </c>
      <c r="AJ455" s="328">
        <f>IF(OR(Table2[[#This Row],[Member Type]]="Main Member",Table2[[#This Row],[Main Member Link ID]]=B454),1,0)</f>
        <v>1</v>
      </c>
      <c r="AK455" s="328">
        <f>IF(Table2[[#This Row],[Member Type]]=0,0,
IF(OR(Table2[[#This Row],[Member Type]]="Main Member",Table2[[#This Row],[Main Member Link ID]]&lt;&gt;B455),COUNTIFS(B:B,Table2[[#This Row],[Main Member Link ID]]),
COUNTIFS(B:B,Table2[[#This Row],[Main Member Link ID]],A:A,Table2[[#This Row],[Member Type]])))</f>
        <v>0</v>
      </c>
    </row>
    <row r="456" spans="1:37" x14ac:dyDescent="0.3">
      <c r="A456" s="284">
        <f>Table13[[#This Row],[Member Type]]</f>
        <v>0</v>
      </c>
      <c r="B456" s="284">
        <f>Table13[[#This Row],[Main Member Link ID]]</f>
        <v>0</v>
      </c>
      <c r="C456" s="284">
        <f>Table13[[#This Row],[ID Number]]</f>
        <v>0</v>
      </c>
      <c r="D456" s="285">
        <f>Table13[[#This Row],[Date Of Birth]]</f>
        <v>0</v>
      </c>
      <c r="E456" s="285">
        <f>Table13[[#This Row],[Commencement Date]]</f>
        <v>0</v>
      </c>
      <c r="F456" s="284">
        <f t="shared" si="49"/>
        <v>1</v>
      </c>
      <c r="G456" s="284">
        <f t="shared" si="50"/>
        <v>25</v>
      </c>
      <c r="H456" s="286">
        <f>Table13[[#This Row],[Product Option]]</f>
        <v>0</v>
      </c>
      <c r="I456" s="284">
        <f>IF(AND($A456="Main Member",Table2[[#This Row],[Product Option]]="My Value Plus Life"),"MM_LIFE",
IF(AND($A456="Spouse",Table2[[#This Row],[Product Option]]="My Value Plus Life"),"SP_LIFE",
IF(AND($A456="Main Member",Table2[[#This Row],[Product Option]]="My Value Plus Life &amp; Funeral"),"MM_LIFE",
IF(AND($A456="Spouse",Table2[[#This Row],[Product Option]]="My Value Plus Life &amp; Funeral"),_xlfn.XLOOKUP(Table2[[#This Row],[Benefit Name]],Lookups!$D$18:$D$23,Lookups!$E$18:$E$23,0),
0))))</f>
        <v>0</v>
      </c>
      <c r="J456" s="284">
        <f>IF($I456="","",
IF($I456="MM_LIFE",INDEX('Quotation Tool'!$S$54:$V$60,MATCH($T456,'Quotation Tool'!$S$54:$S$60,0),4),
IF($I456="SP_LIFE",_xlfn.XLOOKUP(B455,$B:$B,$J:$J,0),0)))</f>
        <v>0</v>
      </c>
      <c r="K456" s="287">
        <f t="shared" ca="1" si="54"/>
        <v>0</v>
      </c>
      <c r="L456" s="288">
        <f t="shared" ca="1" si="55"/>
        <v>0</v>
      </c>
      <c r="M456" s="289">
        <f t="shared" ca="1" si="51"/>
        <v>0</v>
      </c>
      <c r="N456" s="286">
        <f>Table13[[#This Row],[Benefit Option]]</f>
        <v>0</v>
      </c>
      <c r="O456" s="284">
        <f>IF(OR(Table2[[#This Row],[Member Type]]="Spouse",Table2[[#This Row],[Member Type]]="Child"),0,
IF(_xlfn.XLOOKUP($N456,Lookups!$D$13:$D$27,Lookups!$F$13:$F$27,0)=Table2[[#This Row],[Table Lookup for Life Cover]],0,
_xlfn.XLOOKUP($N456,Lookups!$D$13:$D$27,Lookups!$F$13:$F$27,0)))</f>
        <v>0</v>
      </c>
      <c r="P456" s="284">
        <f>IF(Table2[[#This Row],[Table Lookup for Funeral]]=0,0,IFERROR(INDEX('Quotation Tool'!$S$54:$V$60,MATCH($T456,'Quotation Tool'!$S$54:$S$60,0),3),0))</f>
        <v>0</v>
      </c>
      <c r="Q456" s="288">
        <f ca="1">IF(OR(Table2[[#This Row],[Benefit Name]]="My Value Plus Life - Main Member",Table2[[#This Row],[Benefit Name]]="My Value Plus Life - Spouse"),0,
IFERROR(VLOOKUP($G456,INDIRECT($O456),$P456,FALSE),0))</f>
        <v>0</v>
      </c>
      <c r="R456" s="288">
        <f ca="1">IF(OR(Table2[[#This Row],[Benefit Name]]="My Value Plus Life - Main Member",Table2[[#This Row],[Benefit Name]]="My Value Plus Life - Spouse"),0,
IFERROR(VLOOKUP($G456,INDIRECT($O456),$P456+1,FALSE),0))</f>
        <v>0</v>
      </c>
      <c r="S456" s="289">
        <f t="shared" ca="1" si="52"/>
        <v>0</v>
      </c>
      <c r="T456" s="284" t="str">
        <f>IF(Table13[[#This Row],[Premium Waiver]]="","None",Table13[[#This Row],[Premium Waiver]])</f>
        <v>None</v>
      </c>
      <c r="U456" s="284">
        <f>Table13[[#This Row],[VAPs Options]]</f>
        <v>0</v>
      </c>
      <c r="V456" s="284">
        <f>Table13[[#This Row],[Annual Increase Option]]</f>
        <v>0</v>
      </c>
      <c r="W456" s="290">
        <f>Table13[[#This Row],[Life Cover Amount]]</f>
        <v>0</v>
      </c>
      <c r="X456" s="290">
        <f>Table13[[#This Row],[Funeral Cover Amount]]</f>
        <v>0</v>
      </c>
      <c r="Y45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5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56" s="301">
        <f t="shared" ca="1" si="53"/>
        <v>0</v>
      </c>
      <c r="AB456" s="298"/>
      <c r="AC456" s="326" t="str">
        <f>IF(Table2[[#This Row],[Member Type]]="Main Member",Lookups!$C$13,
IF(Table2[[#This Row],[Member Type]]="Spouse",_xlfn.XLOOKUP(B456,Table2[Main Member Link ID],Table2[Product Option],0),
IF(AND(Table2[[#This Row],[Member Type]]="Child",_xlfn.XLOOKUP(B456,Table2[Main Member Link ID],Table2[Product Option],0)&lt;&gt;"My Value Plus Life"),Lookups!$C$24,
IF(AND(OR(Table2[[#This Row],[Member Type]]="Parent",Table2[[#This Row],[Member Type]]="Extended"),_xlfn.XLOOKUP(B456,Table2[Main Member Link ID],Table2[Product Option],0)&lt;&gt;"My Value Plus Life"),Lookups!$C$26,""))))</f>
        <v/>
      </c>
      <c r="AD456" s="326" t="str">
        <f>IF(Table2[[#This Row],[Member Type]]="Main Member",Lookups!$C$14,"")</f>
        <v/>
      </c>
      <c r="AE45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Funeral",_xlfn.XLOOKUP(B456,Table2[Main Member Link ID],Table2[Benefit Name],0)=Lookups!$D$14),"",
IF(AND(Table2[[#This Row],[Member Type]]="Spouse",Table2[[#This Row],[Product Option]]="My Value Plus Life &amp; Funeral",_xlfn.XLOOKUP(B455,Table2[Main Member Link ID],Table2[Benefit Name],0)=Lookups!$D$15),Lookups!$D$20,
IF(AND(Table2[[#This Row],[Member Type]]="Spouse",Table2[[#This Row],[Product Option]]="My Value Plus Life &amp; Funeral",_xlfn.XLOOKUP(B455,Table2[Main Member Link ID],Table2[Benefit Name],0)=Lookups!$D$16),"",
IF(AND(Table2[[#This Row],[Member Type]]="Spouse",Table2[[#This Row],[Product Option]]="My Value Plus Life &amp; Funeral",_xlfn.XLOOKUP(B455,Table2[Main Member Link ID],Table2[Benefit Name],0)=Lookups!$D$17),Lookups!$D$21,
IF(AND(Table2[[#This Row],[Member Type]]="Child",Table2[[#This Row],[Product Option]]="My Value Plus Life &amp; Funeral",_xlfn.XLOOKUP(B456,Table2[Main Member Link ID],Table2[Benefit Name],0)=Lookups!$D$14),"",
IF(AND(Table2[[#This Row],[Member Type]]="Child",Table2[[#This Row],[Product Option]]="My Value Plus Life &amp; Funeral",_xlfn.XLOOKUP(B456,Table2[Main Member Link ID],Table2[Benefit Name],0)=Lookups!$D$15),"",
IF(AND(Table2[[#This Row],[Member Type]]="Child",Table2[[#This Row],[Product Option]]="My Value Plus Life &amp; Funeral",_xlfn.XLOOKUP(B456,Table2[Main Member Link ID],Table2[Benefit Name],0)=Lookups!$D$16),Lookups!$D$24,
IF(AND(Table2[[#This Row],[Member Type]]="Child",Table2[[#This Row],[Product Option]]="My Value Plus Life &amp; Funeral",_xlfn.XLOOKUP(B456,Table2[Main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Funeral",_xlfn.XLOOKUP(B456,Table2[Main Member Link ID],Table2[Benefit Name],0)&lt;&gt;Lookups!$D$14),
IF(_xlfn.XLOOKUP(B456,Table2[Main Member Link ID],Table2[Benefit Name],0)=0,"",_xlfn.XLOOKUP(B456,Table2[Main Member Link ID],Table2[Benefit Name],0)),"")))))))))))))))</f>
        <v/>
      </c>
      <c r="AF456" s="327" t="str">
        <f>IF(AND(Table2[[#This Row],[Member Type]]="Main Member",Table2[[#This Row],[Product Option]]="My Value Plus Life &amp; Funeral"),Lookups!$D$15,
IF(AND(Table2[[#This Row],[Member Type]]="Spouse",Table2[[#This Row],[Product Option]]="My Value Plus Life &amp; Funeral",_xlfn.XLOOKUP(B456,Table2[Main Member Link ID],Table2[Benefit Name],0)=Lookups!$D$14),"",
IF(AND(Table2[[#This Row],[Member Type]]="Spouse",Table2[[#This Row],[Product Option]]="My Value Plus Life &amp; Funeral",_xlfn.XLOOKUP(B455,Table2[Main Member Link ID],Table2[Benefit Name],0)=Lookups!$D$16),"",
IF(AND(Table2[[#This Row],[Member Type]]="Spouse",Table2[[#This Row],[Product Option]]="My Value Plus Life &amp; Funeral",_xlfn.XLOOKUP(B455,Table2[Main Member Link ID],Table2[Benefit Name],0)=Lookups!$D$15),"",
IF(AND(Table2[[#This Row],[Member Type]]="Spouse",Table2[[#This Row],[Product Option]]="My Value Plus Life &amp; Funeral",_xlfn.XLOOKUP(B455,Table2[Main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Funeral",_xlfn.XLOOKUP(B456,Table2[Main Member Link ID],Table2[Benefit Name],0)&lt;&gt;Lookups!$D$15),
IF(_xlfn.XLOOKUP(B456,Table2[Main Member Link ID],Table2[Benefit Name],0)=0,"",_xlfn.XLOOKUP(B456,Table2[Main Member Link ID],Table2[Benefit Name],0)),"")
))))))</f>
        <v/>
      </c>
      <c r="AG456" s="327" t="str">
        <f>IF(AND(Table2[[#This Row],[Member Type]]="Main Member",Table2[[#This Row],[Product Option]]="My Value Plus Life &amp; Funeral"),Lookups!$D$16,
IF(AND(Table2[[#This Row],[Member Type]]="Spouse",Table2[[#This Row],[Product Option]]="My Value Plus Life &amp; Funeral",_xlfn.XLOOKUP(B456,Table2[Main Member Link ID],Table2[Benefit Name],0)=Lookups!$D$14),"",
IF(AND(Table2[[#This Row],[Member Type]]="Spouse",Table2[[#This Row],[Product Option]]="My Value Plus Life &amp; Funeral",_xlfn.XLOOKUP(B455,Table2[Main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Funeral",_xlfn.XLOOKUP(B456,Table2[Main Member Link ID],Table2[Benefit Name],0)&lt;&gt;Lookups!$D$16),
IF(_xlfn.XLOOKUP(B456,Table2[Main Member Link ID],Table2[Benefit Name],0)=0,"",_xlfn.XLOOKUP(B456,Table2[Main Member Link ID],Table2[Benefit Name],0)),"")
))))</f>
        <v/>
      </c>
      <c r="AH456" s="327" t="str">
        <f>IF(AND(Table2[[#This Row],[Member Type]]="Main Member",Table2[[#This Row],[Product Option]]="My Value Plus Life &amp; Funeral"),Lookups!$D$17,
IF(AND(Table2[[#This Row],[Member Type]]="Spouse",Table2[[#This Row],[Product Option]]="My Value Plus Life &amp; Funeral",_xlfn.XLOOKUP(B456,Table2[Main Member Link ID],Table2[Benefit Name],0)=Lookups!$D$14),"",
IF(AND(Table2[[#This Row],[Member Type]]="Spouse",Table2[[#This Row],[Product Option]]="My Value Plus Life &amp; Funeral",_xlfn.XLOOKUP(B455,Table2[Main Member Link ID],Table2[Benefit Name],0)=Lookups!$D$16),"",
IF(AND(Table2[[#This Row],[Member Type]]="Child",Table2[[#This Row],[Product Option]]="My Value Plus Life &amp; Funeral"),"",
IF(AND(Table2[[#This Row],[Member Type]]="Child",Table2[[#This Row],[Product Option]]="My Value Plus Life &amp; Funeral",_xlfn.XLOOKUP(B456,Table2[Main Member Link ID],Table2[Benefit Name],0)=Lookups!$D$15),"",
IF(AND(OR(Table2[[#This Row],[Member Type]]="Spouse",Table2[[#This Row],[Member Type]]="Child"),Table2[[#This Row],[Product Option]]="My Value Plus Life &amp; Funeral",_xlfn.XLOOKUP(B456,Table2[Main Member Link ID],Table2[Benefit Name],0)&lt;&gt;Lookups!$D$17),
IF(_xlfn.XLOOKUP(B456,Table2[Main Member Link ID],Table2[Benefit Name],0)=0,"",_xlfn.XLOOKUP(B456,Table2[Main Member Link ID],Table2[Benefit Name],0)),""))))))</f>
        <v/>
      </c>
      <c r="AI456" s="328" t="str">
        <f>IF(AND(Table2[[#This Row],[Member Type]]="Main Member",Table2[[#This Row],[Table Lookup for Life Cover]]="MM_LIFE",Table2[[#This Row],[Age Next Birthday]]&lt;56),1,
IF(AND(Table2[[#This Row],[Member Type]]="Main Member",Table2[[#This Row],[Table Lookup for Life Cover]]="MM_LIFE",Table2[[#This Row],[Age Next Birthday]]&gt;=56),2,
""))</f>
        <v/>
      </c>
      <c r="AJ456" s="328">
        <f>IF(OR(Table2[[#This Row],[Member Type]]="Main Member",Table2[[#This Row],[Main Member Link ID]]=B455),1,0)</f>
        <v>1</v>
      </c>
      <c r="AK456" s="328">
        <f>IF(Table2[[#This Row],[Member Type]]=0,0,
IF(OR(Table2[[#This Row],[Member Type]]="Main Member",Table2[[#This Row],[Main Member Link ID]]&lt;&gt;B456),COUNTIFS(B:B,Table2[[#This Row],[Main Member Link ID]]),
COUNTIFS(B:B,Table2[[#This Row],[Main Member Link ID]],A:A,Table2[[#This Row],[Member Type]])))</f>
        <v>0</v>
      </c>
    </row>
    <row r="457" spans="1:37" x14ac:dyDescent="0.3">
      <c r="A457" s="284">
        <f>Table13[[#This Row],[Member Type]]</f>
        <v>0</v>
      </c>
      <c r="B457" s="284">
        <f>Table13[[#This Row],[Main Member Link ID]]</f>
        <v>0</v>
      </c>
      <c r="C457" s="284">
        <f>Table13[[#This Row],[ID Number]]</f>
        <v>0</v>
      </c>
      <c r="D457" s="285">
        <f>Table13[[#This Row],[Date Of Birth]]</f>
        <v>0</v>
      </c>
      <c r="E457" s="285">
        <f>Table13[[#This Row],[Commencement Date]]</f>
        <v>0</v>
      </c>
      <c r="F457" s="284">
        <f t="shared" si="49"/>
        <v>1</v>
      </c>
      <c r="G457" s="284">
        <f t="shared" si="50"/>
        <v>25</v>
      </c>
      <c r="H457" s="286">
        <f>Table13[[#This Row],[Product Option]]</f>
        <v>0</v>
      </c>
      <c r="I457" s="284">
        <f>IF(AND($A457="Main Member",Table2[[#This Row],[Product Option]]="My Value Plus Life"),"MM_LIFE",
IF(AND($A457="Spouse",Table2[[#This Row],[Product Option]]="My Value Plus Life"),"SP_LIFE",
IF(AND($A457="Main Member",Table2[[#This Row],[Product Option]]="My Value Plus Life &amp; Funeral"),"MM_LIFE",
IF(AND($A457="Spouse",Table2[[#This Row],[Product Option]]="My Value Plus Life &amp; Funeral"),_xlfn.XLOOKUP(Table2[[#This Row],[Benefit Name]],Lookups!$D$18:$D$23,Lookups!$E$18:$E$23,0),
0))))</f>
        <v>0</v>
      </c>
      <c r="J457" s="284">
        <f>IF($I457="","",
IF($I457="MM_LIFE",INDEX('Quotation Tool'!$S$54:$V$60,MATCH($T457,'Quotation Tool'!$S$54:$S$60,0),4),
IF($I457="SP_LIFE",_xlfn.XLOOKUP(B456,$B:$B,$J:$J,0),0)))</f>
        <v>0</v>
      </c>
      <c r="K457" s="287">
        <f t="shared" ca="1" si="54"/>
        <v>0</v>
      </c>
      <c r="L457" s="288">
        <f t="shared" ca="1" si="55"/>
        <v>0</v>
      </c>
      <c r="M457" s="289">
        <f t="shared" ca="1" si="51"/>
        <v>0</v>
      </c>
      <c r="N457" s="286">
        <f>Table13[[#This Row],[Benefit Option]]</f>
        <v>0</v>
      </c>
      <c r="O457" s="284">
        <f>IF(OR(Table2[[#This Row],[Member Type]]="Spouse",Table2[[#This Row],[Member Type]]="Child"),0,
IF(_xlfn.XLOOKUP($N457,Lookups!$D$13:$D$27,Lookups!$F$13:$F$27,0)=Table2[[#This Row],[Table Lookup for Life Cover]],0,
_xlfn.XLOOKUP($N457,Lookups!$D$13:$D$27,Lookups!$F$13:$F$27,0)))</f>
        <v>0</v>
      </c>
      <c r="P457" s="284">
        <f>IF(Table2[[#This Row],[Table Lookup for Funeral]]=0,0,IFERROR(INDEX('Quotation Tool'!$S$54:$V$60,MATCH($T457,'Quotation Tool'!$S$54:$S$60,0),3),0))</f>
        <v>0</v>
      </c>
      <c r="Q457" s="288">
        <f ca="1">IF(OR(Table2[[#This Row],[Benefit Name]]="My Value Plus Life - Main Member",Table2[[#This Row],[Benefit Name]]="My Value Plus Life - Spouse"),0,
IFERROR(VLOOKUP($G457,INDIRECT($O457),$P457,FALSE),0))</f>
        <v>0</v>
      </c>
      <c r="R457" s="288">
        <f ca="1">IF(OR(Table2[[#This Row],[Benefit Name]]="My Value Plus Life - Main Member",Table2[[#This Row],[Benefit Name]]="My Value Plus Life - Spouse"),0,
IFERROR(VLOOKUP($G457,INDIRECT($O457),$P457+1,FALSE),0))</f>
        <v>0</v>
      </c>
      <c r="S457" s="289">
        <f t="shared" ca="1" si="52"/>
        <v>0</v>
      </c>
      <c r="T457" s="284" t="str">
        <f>IF(Table13[[#This Row],[Premium Waiver]]="","None",Table13[[#This Row],[Premium Waiver]])</f>
        <v>None</v>
      </c>
      <c r="U457" s="284">
        <f>Table13[[#This Row],[VAPs Options]]</f>
        <v>0</v>
      </c>
      <c r="V457" s="284">
        <f>Table13[[#This Row],[Annual Increase Option]]</f>
        <v>0</v>
      </c>
      <c r="W457" s="290">
        <f>Table13[[#This Row],[Life Cover Amount]]</f>
        <v>0</v>
      </c>
      <c r="X457" s="290">
        <f>Table13[[#This Row],[Funeral Cover Amount]]</f>
        <v>0</v>
      </c>
      <c r="Y45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5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57" s="301">
        <f t="shared" ca="1" si="53"/>
        <v>0</v>
      </c>
      <c r="AB457" s="298"/>
      <c r="AC457" s="326" t="str">
        <f>IF(Table2[[#This Row],[Member Type]]="Main Member",Lookups!$C$13,
IF(Table2[[#This Row],[Member Type]]="Spouse",_xlfn.XLOOKUP(B457,Table2[Main Member Link ID],Table2[Product Option],0),
IF(AND(Table2[[#This Row],[Member Type]]="Child",_xlfn.XLOOKUP(B457,Table2[Main Member Link ID],Table2[Product Option],0)&lt;&gt;"My Value Plus Life"),Lookups!$C$24,
IF(AND(OR(Table2[[#This Row],[Member Type]]="Parent",Table2[[#This Row],[Member Type]]="Extended"),_xlfn.XLOOKUP(B457,Table2[Main Member Link ID],Table2[Product Option],0)&lt;&gt;"My Value Plus Life"),Lookups!$C$26,""))))</f>
        <v/>
      </c>
      <c r="AD457" s="326" t="str">
        <f>IF(Table2[[#This Row],[Member Type]]="Main Member",Lookups!$C$14,"")</f>
        <v/>
      </c>
      <c r="AE45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Funeral",_xlfn.XLOOKUP(B457,Table2[Main Member Link ID],Table2[Benefit Name],0)=Lookups!$D$14),"",
IF(AND(Table2[[#This Row],[Member Type]]="Spouse",Table2[[#This Row],[Product Option]]="My Value Plus Life &amp; Funeral",_xlfn.XLOOKUP(B456,Table2[Main Member Link ID],Table2[Benefit Name],0)=Lookups!$D$15),Lookups!$D$20,
IF(AND(Table2[[#This Row],[Member Type]]="Spouse",Table2[[#This Row],[Product Option]]="My Value Plus Life &amp; Funeral",_xlfn.XLOOKUP(B456,Table2[Main Member Link ID],Table2[Benefit Name],0)=Lookups!$D$16),"",
IF(AND(Table2[[#This Row],[Member Type]]="Spouse",Table2[[#This Row],[Product Option]]="My Value Plus Life &amp; Funeral",_xlfn.XLOOKUP(B456,Table2[Main Member Link ID],Table2[Benefit Name],0)=Lookups!$D$17),Lookups!$D$21,
IF(AND(Table2[[#This Row],[Member Type]]="Child",Table2[[#This Row],[Product Option]]="My Value Plus Life &amp; Funeral",_xlfn.XLOOKUP(B457,Table2[Main Member Link ID],Table2[Benefit Name],0)=Lookups!$D$14),"",
IF(AND(Table2[[#This Row],[Member Type]]="Child",Table2[[#This Row],[Product Option]]="My Value Plus Life &amp; Funeral",_xlfn.XLOOKUP(B457,Table2[Main Member Link ID],Table2[Benefit Name],0)=Lookups!$D$15),"",
IF(AND(Table2[[#This Row],[Member Type]]="Child",Table2[[#This Row],[Product Option]]="My Value Plus Life &amp; Funeral",_xlfn.XLOOKUP(B457,Table2[Main Member Link ID],Table2[Benefit Name],0)=Lookups!$D$16),Lookups!$D$24,
IF(AND(Table2[[#This Row],[Member Type]]="Child",Table2[[#This Row],[Product Option]]="My Value Plus Life &amp; Funeral",_xlfn.XLOOKUP(B457,Table2[Main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Funeral",_xlfn.XLOOKUP(B457,Table2[Main Member Link ID],Table2[Benefit Name],0)&lt;&gt;Lookups!$D$14),
IF(_xlfn.XLOOKUP(B457,Table2[Main Member Link ID],Table2[Benefit Name],0)=0,"",_xlfn.XLOOKUP(B457,Table2[Main Member Link ID],Table2[Benefit Name],0)),"")))))))))))))))</f>
        <v/>
      </c>
      <c r="AF457" s="327" t="str">
        <f>IF(AND(Table2[[#This Row],[Member Type]]="Main Member",Table2[[#This Row],[Product Option]]="My Value Plus Life &amp; Funeral"),Lookups!$D$15,
IF(AND(Table2[[#This Row],[Member Type]]="Spouse",Table2[[#This Row],[Product Option]]="My Value Plus Life &amp; Funeral",_xlfn.XLOOKUP(B457,Table2[Main Member Link ID],Table2[Benefit Name],0)=Lookups!$D$14),"",
IF(AND(Table2[[#This Row],[Member Type]]="Spouse",Table2[[#This Row],[Product Option]]="My Value Plus Life &amp; Funeral",_xlfn.XLOOKUP(B456,Table2[Main Member Link ID],Table2[Benefit Name],0)=Lookups!$D$16),"",
IF(AND(Table2[[#This Row],[Member Type]]="Spouse",Table2[[#This Row],[Product Option]]="My Value Plus Life &amp; Funeral",_xlfn.XLOOKUP(B456,Table2[Main Member Link ID],Table2[Benefit Name],0)=Lookups!$D$15),"",
IF(AND(Table2[[#This Row],[Member Type]]="Spouse",Table2[[#This Row],[Product Option]]="My Value Plus Life &amp; Funeral",_xlfn.XLOOKUP(B456,Table2[Main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Funeral",_xlfn.XLOOKUP(B457,Table2[Main Member Link ID],Table2[Benefit Name],0)&lt;&gt;Lookups!$D$15),
IF(_xlfn.XLOOKUP(B457,Table2[Main Member Link ID],Table2[Benefit Name],0)=0,"",_xlfn.XLOOKUP(B457,Table2[Main Member Link ID],Table2[Benefit Name],0)),"")
))))))</f>
        <v/>
      </c>
      <c r="AG457" s="327" t="str">
        <f>IF(AND(Table2[[#This Row],[Member Type]]="Main Member",Table2[[#This Row],[Product Option]]="My Value Plus Life &amp; Funeral"),Lookups!$D$16,
IF(AND(Table2[[#This Row],[Member Type]]="Spouse",Table2[[#This Row],[Product Option]]="My Value Plus Life &amp; Funeral",_xlfn.XLOOKUP(B457,Table2[Main Member Link ID],Table2[Benefit Name],0)=Lookups!$D$14),"",
IF(AND(Table2[[#This Row],[Member Type]]="Spouse",Table2[[#This Row],[Product Option]]="My Value Plus Life &amp; Funeral",_xlfn.XLOOKUP(B456,Table2[Main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Funeral",_xlfn.XLOOKUP(B457,Table2[Main Member Link ID],Table2[Benefit Name],0)&lt;&gt;Lookups!$D$16),
IF(_xlfn.XLOOKUP(B457,Table2[Main Member Link ID],Table2[Benefit Name],0)=0,"",_xlfn.XLOOKUP(B457,Table2[Main Member Link ID],Table2[Benefit Name],0)),"")
))))</f>
        <v/>
      </c>
      <c r="AH457" s="327" t="str">
        <f>IF(AND(Table2[[#This Row],[Member Type]]="Main Member",Table2[[#This Row],[Product Option]]="My Value Plus Life &amp; Funeral"),Lookups!$D$17,
IF(AND(Table2[[#This Row],[Member Type]]="Spouse",Table2[[#This Row],[Product Option]]="My Value Plus Life &amp; Funeral",_xlfn.XLOOKUP(B457,Table2[Main Member Link ID],Table2[Benefit Name],0)=Lookups!$D$14),"",
IF(AND(Table2[[#This Row],[Member Type]]="Spouse",Table2[[#This Row],[Product Option]]="My Value Plus Life &amp; Funeral",_xlfn.XLOOKUP(B456,Table2[Main Member Link ID],Table2[Benefit Name],0)=Lookups!$D$16),"",
IF(AND(Table2[[#This Row],[Member Type]]="Child",Table2[[#This Row],[Product Option]]="My Value Plus Life &amp; Funeral"),"",
IF(AND(Table2[[#This Row],[Member Type]]="Child",Table2[[#This Row],[Product Option]]="My Value Plus Life &amp; Funeral",_xlfn.XLOOKUP(B457,Table2[Main Member Link ID],Table2[Benefit Name],0)=Lookups!$D$15),"",
IF(AND(OR(Table2[[#This Row],[Member Type]]="Spouse",Table2[[#This Row],[Member Type]]="Child"),Table2[[#This Row],[Product Option]]="My Value Plus Life &amp; Funeral",_xlfn.XLOOKUP(B457,Table2[Main Member Link ID],Table2[Benefit Name],0)&lt;&gt;Lookups!$D$17),
IF(_xlfn.XLOOKUP(B457,Table2[Main Member Link ID],Table2[Benefit Name],0)=0,"",_xlfn.XLOOKUP(B457,Table2[Main Member Link ID],Table2[Benefit Name],0)),""))))))</f>
        <v/>
      </c>
      <c r="AI457" s="328" t="str">
        <f>IF(AND(Table2[[#This Row],[Member Type]]="Main Member",Table2[[#This Row],[Table Lookup for Life Cover]]="MM_LIFE",Table2[[#This Row],[Age Next Birthday]]&lt;56),1,
IF(AND(Table2[[#This Row],[Member Type]]="Main Member",Table2[[#This Row],[Table Lookup for Life Cover]]="MM_LIFE",Table2[[#This Row],[Age Next Birthday]]&gt;=56),2,
""))</f>
        <v/>
      </c>
      <c r="AJ457" s="328">
        <f>IF(OR(Table2[[#This Row],[Member Type]]="Main Member",Table2[[#This Row],[Main Member Link ID]]=B456),1,0)</f>
        <v>1</v>
      </c>
      <c r="AK457" s="328">
        <f>IF(Table2[[#This Row],[Member Type]]=0,0,
IF(OR(Table2[[#This Row],[Member Type]]="Main Member",Table2[[#This Row],[Main Member Link ID]]&lt;&gt;B457),COUNTIFS(B:B,Table2[[#This Row],[Main Member Link ID]]),
COUNTIFS(B:B,Table2[[#This Row],[Main Member Link ID]],A:A,Table2[[#This Row],[Member Type]])))</f>
        <v>0</v>
      </c>
    </row>
    <row r="458" spans="1:37" x14ac:dyDescent="0.3">
      <c r="A458" s="284">
        <f>Table13[[#This Row],[Member Type]]</f>
        <v>0</v>
      </c>
      <c r="B458" s="284">
        <f>Table13[[#This Row],[Main Member Link ID]]</f>
        <v>0</v>
      </c>
      <c r="C458" s="284">
        <f>Table13[[#This Row],[ID Number]]</f>
        <v>0</v>
      </c>
      <c r="D458" s="285">
        <f>Table13[[#This Row],[Date Of Birth]]</f>
        <v>0</v>
      </c>
      <c r="E458" s="285">
        <f>Table13[[#This Row],[Commencement Date]]</f>
        <v>0</v>
      </c>
      <c r="F458" s="284">
        <f t="shared" si="49"/>
        <v>1</v>
      </c>
      <c r="G458" s="284">
        <f t="shared" si="50"/>
        <v>25</v>
      </c>
      <c r="H458" s="286">
        <f>Table13[[#This Row],[Product Option]]</f>
        <v>0</v>
      </c>
      <c r="I458" s="284">
        <f>IF(AND($A458="Main Member",Table2[[#This Row],[Product Option]]="My Value Plus Life"),"MM_LIFE",
IF(AND($A458="Spouse",Table2[[#This Row],[Product Option]]="My Value Plus Life"),"SP_LIFE",
IF(AND($A458="Main Member",Table2[[#This Row],[Product Option]]="My Value Plus Life &amp; Funeral"),"MM_LIFE",
IF(AND($A458="Spouse",Table2[[#This Row],[Product Option]]="My Value Plus Life &amp; Funeral"),_xlfn.XLOOKUP(Table2[[#This Row],[Benefit Name]],Lookups!$D$18:$D$23,Lookups!$E$18:$E$23,0),
0))))</f>
        <v>0</v>
      </c>
      <c r="J458" s="284">
        <f>IF($I458="","",
IF($I458="MM_LIFE",INDEX('Quotation Tool'!$S$54:$V$60,MATCH($T458,'Quotation Tool'!$S$54:$S$60,0),4),
IF($I458="SP_LIFE",_xlfn.XLOOKUP(B457,$B:$B,$J:$J,0),0)))</f>
        <v>0</v>
      </c>
      <c r="K458" s="287">
        <f t="shared" ca="1" si="54"/>
        <v>0</v>
      </c>
      <c r="L458" s="288">
        <f t="shared" ca="1" si="55"/>
        <v>0</v>
      </c>
      <c r="M458" s="289">
        <f t="shared" ca="1" si="51"/>
        <v>0</v>
      </c>
      <c r="N458" s="286">
        <f>Table13[[#This Row],[Benefit Option]]</f>
        <v>0</v>
      </c>
      <c r="O458" s="284">
        <f>IF(OR(Table2[[#This Row],[Member Type]]="Spouse",Table2[[#This Row],[Member Type]]="Child"),0,
IF(_xlfn.XLOOKUP($N458,Lookups!$D$13:$D$27,Lookups!$F$13:$F$27,0)=Table2[[#This Row],[Table Lookup for Life Cover]],0,
_xlfn.XLOOKUP($N458,Lookups!$D$13:$D$27,Lookups!$F$13:$F$27,0)))</f>
        <v>0</v>
      </c>
      <c r="P458" s="284">
        <f>IF(Table2[[#This Row],[Table Lookup for Funeral]]=0,0,IFERROR(INDEX('Quotation Tool'!$S$54:$V$60,MATCH($T458,'Quotation Tool'!$S$54:$S$60,0),3),0))</f>
        <v>0</v>
      </c>
      <c r="Q458" s="288">
        <f ca="1">IF(OR(Table2[[#This Row],[Benefit Name]]="My Value Plus Life - Main Member",Table2[[#This Row],[Benefit Name]]="My Value Plus Life - Spouse"),0,
IFERROR(VLOOKUP($G458,INDIRECT($O458),$P458,FALSE),0))</f>
        <v>0</v>
      </c>
      <c r="R458" s="288">
        <f ca="1">IF(OR(Table2[[#This Row],[Benefit Name]]="My Value Plus Life - Main Member",Table2[[#This Row],[Benefit Name]]="My Value Plus Life - Spouse"),0,
IFERROR(VLOOKUP($G458,INDIRECT($O458),$P458+1,FALSE),0))</f>
        <v>0</v>
      </c>
      <c r="S458" s="289">
        <f t="shared" ca="1" si="52"/>
        <v>0</v>
      </c>
      <c r="T458" s="284" t="str">
        <f>IF(Table13[[#This Row],[Premium Waiver]]="","None",Table13[[#This Row],[Premium Waiver]])</f>
        <v>None</v>
      </c>
      <c r="U458" s="284">
        <f>Table13[[#This Row],[VAPs Options]]</f>
        <v>0</v>
      </c>
      <c r="V458" s="284">
        <f>Table13[[#This Row],[Annual Increase Option]]</f>
        <v>0</v>
      </c>
      <c r="W458" s="290">
        <f>Table13[[#This Row],[Life Cover Amount]]</f>
        <v>0</v>
      </c>
      <c r="X458" s="290">
        <f>Table13[[#This Row],[Funeral Cover Amount]]</f>
        <v>0</v>
      </c>
      <c r="Y45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5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58" s="301">
        <f t="shared" ca="1" si="53"/>
        <v>0</v>
      </c>
      <c r="AB458" s="298"/>
      <c r="AC458" s="326" t="str">
        <f>IF(Table2[[#This Row],[Member Type]]="Main Member",Lookups!$C$13,
IF(Table2[[#This Row],[Member Type]]="Spouse",_xlfn.XLOOKUP(B458,Table2[Main Member Link ID],Table2[Product Option],0),
IF(AND(Table2[[#This Row],[Member Type]]="Child",_xlfn.XLOOKUP(B458,Table2[Main Member Link ID],Table2[Product Option],0)&lt;&gt;"My Value Plus Life"),Lookups!$C$24,
IF(AND(OR(Table2[[#This Row],[Member Type]]="Parent",Table2[[#This Row],[Member Type]]="Extended"),_xlfn.XLOOKUP(B458,Table2[Main Member Link ID],Table2[Product Option],0)&lt;&gt;"My Value Plus Life"),Lookups!$C$26,""))))</f>
        <v/>
      </c>
      <c r="AD458" s="326" t="str">
        <f>IF(Table2[[#This Row],[Member Type]]="Main Member",Lookups!$C$14,"")</f>
        <v/>
      </c>
      <c r="AE45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Funeral",_xlfn.XLOOKUP(B458,Table2[Main Member Link ID],Table2[Benefit Name],0)=Lookups!$D$14),"",
IF(AND(Table2[[#This Row],[Member Type]]="Spouse",Table2[[#This Row],[Product Option]]="My Value Plus Life &amp; Funeral",_xlfn.XLOOKUP(B457,Table2[Main Member Link ID],Table2[Benefit Name],0)=Lookups!$D$15),Lookups!$D$20,
IF(AND(Table2[[#This Row],[Member Type]]="Spouse",Table2[[#This Row],[Product Option]]="My Value Plus Life &amp; Funeral",_xlfn.XLOOKUP(B457,Table2[Main Member Link ID],Table2[Benefit Name],0)=Lookups!$D$16),"",
IF(AND(Table2[[#This Row],[Member Type]]="Spouse",Table2[[#This Row],[Product Option]]="My Value Plus Life &amp; Funeral",_xlfn.XLOOKUP(B457,Table2[Main Member Link ID],Table2[Benefit Name],0)=Lookups!$D$17),Lookups!$D$21,
IF(AND(Table2[[#This Row],[Member Type]]="Child",Table2[[#This Row],[Product Option]]="My Value Plus Life &amp; Funeral",_xlfn.XLOOKUP(B458,Table2[Main Member Link ID],Table2[Benefit Name],0)=Lookups!$D$14),"",
IF(AND(Table2[[#This Row],[Member Type]]="Child",Table2[[#This Row],[Product Option]]="My Value Plus Life &amp; Funeral",_xlfn.XLOOKUP(B458,Table2[Main Member Link ID],Table2[Benefit Name],0)=Lookups!$D$15),"",
IF(AND(Table2[[#This Row],[Member Type]]="Child",Table2[[#This Row],[Product Option]]="My Value Plus Life &amp; Funeral",_xlfn.XLOOKUP(B458,Table2[Main Member Link ID],Table2[Benefit Name],0)=Lookups!$D$16),Lookups!$D$24,
IF(AND(Table2[[#This Row],[Member Type]]="Child",Table2[[#This Row],[Product Option]]="My Value Plus Life &amp; Funeral",_xlfn.XLOOKUP(B458,Table2[Main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Funeral",_xlfn.XLOOKUP(B458,Table2[Main Member Link ID],Table2[Benefit Name],0)&lt;&gt;Lookups!$D$14),
IF(_xlfn.XLOOKUP(B458,Table2[Main Member Link ID],Table2[Benefit Name],0)=0,"",_xlfn.XLOOKUP(B458,Table2[Main Member Link ID],Table2[Benefit Name],0)),"")))))))))))))))</f>
        <v/>
      </c>
      <c r="AF458" s="327" t="str">
        <f>IF(AND(Table2[[#This Row],[Member Type]]="Main Member",Table2[[#This Row],[Product Option]]="My Value Plus Life &amp; Funeral"),Lookups!$D$15,
IF(AND(Table2[[#This Row],[Member Type]]="Spouse",Table2[[#This Row],[Product Option]]="My Value Plus Life &amp; Funeral",_xlfn.XLOOKUP(B458,Table2[Main Member Link ID],Table2[Benefit Name],0)=Lookups!$D$14),"",
IF(AND(Table2[[#This Row],[Member Type]]="Spouse",Table2[[#This Row],[Product Option]]="My Value Plus Life &amp; Funeral",_xlfn.XLOOKUP(B457,Table2[Main Member Link ID],Table2[Benefit Name],0)=Lookups!$D$16),"",
IF(AND(Table2[[#This Row],[Member Type]]="Spouse",Table2[[#This Row],[Product Option]]="My Value Plus Life &amp; Funeral",_xlfn.XLOOKUP(B457,Table2[Main Member Link ID],Table2[Benefit Name],0)=Lookups!$D$15),"",
IF(AND(Table2[[#This Row],[Member Type]]="Spouse",Table2[[#This Row],[Product Option]]="My Value Plus Life &amp; Funeral",_xlfn.XLOOKUP(B457,Table2[Main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Funeral",_xlfn.XLOOKUP(B458,Table2[Main Member Link ID],Table2[Benefit Name],0)&lt;&gt;Lookups!$D$15),
IF(_xlfn.XLOOKUP(B458,Table2[Main Member Link ID],Table2[Benefit Name],0)=0,"",_xlfn.XLOOKUP(B458,Table2[Main Member Link ID],Table2[Benefit Name],0)),"")
))))))</f>
        <v/>
      </c>
      <c r="AG458" s="327" t="str">
        <f>IF(AND(Table2[[#This Row],[Member Type]]="Main Member",Table2[[#This Row],[Product Option]]="My Value Plus Life &amp; Funeral"),Lookups!$D$16,
IF(AND(Table2[[#This Row],[Member Type]]="Spouse",Table2[[#This Row],[Product Option]]="My Value Plus Life &amp; Funeral",_xlfn.XLOOKUP(B458,Table2[Main Member Link ID],Table2[Benefit Name],0)=Lookups!$D$14),"",
IF(AND(Table2[[#This Row],[Member Type]]="Spouse",Table2[[#This Row],[Product Option]]="My Value Plus Life &amp; Funeral",_xlfn.XLOOKUP(B457,Table2[Main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Funeral",_xlfn.XLOOKUP(B458,Table2[Main Member Link ID],Table2[Benefit Name],0)&lt;&gt;Lookups!$D$16),
IF(_xlfn.XLOOKUP(B458,Table2[Main Member Link ID],Table2[Benefit Name],0)=0,"",_xlfn.XLOOKUP(B458,Table2[Main Member Link ID],Table2[Benefit Name],0)),"")
))))</f>
        <v/>
      </c>
      <c r="AH458" s="327" t="str">
        <f>IF(AND(Table2[[#This Row],[Member Type]]="Main Member",Table2[[#This Row],[Product Option]]="My Value Plus Life &amp; Funeral"),Lookups!$D$17,
IF(AND(Table2[[#This Row],[Member Type]]="Spouse",Table2[[#This Row],[Product Option]]="My Value Plus Life &amp; Funeral",_xlfn.XLOOKUP(B458,Table2[Main Member Link ID],Table2[Benefit Name],0)=Lookups!$D$14),"",
IF(AND(Table2[[#This Row],[Member Type]]="Spouse",Table2[[#This Row],[Product Option]]="My Value Plus Life &amp; Funeral",_xlfn.XLOOKUP(B457,Table2[Main Member Link ID],Table2[Benefit Name],0)=Lookups!$D$16),"",
IF(AND(Table2[[#This Row],[Member Type]]="Child",Table2[[#This Row],[Product Option]]="My Value Plus Life &amp; Funeral"),"",
IF(AND(Table2[[#This Row],[Member Type]]="Child",Table2[[#This Row],[Product Option]]="My Value Plus Life &amp; Funeral",_xlfn.XLOOKUP(B458,Table2[Main Member Link ID],Table2[Benefit Name],0)=Lookups!$D$15),"",
IF(AND(OR(Table2[[#This Row],[Member Type]]="Spouse",Table2[[#This Row],[Member Type]]="Child"),Table2[[#This Row],[Product Option]]="My Value Plus Life &amp; Funeral",_xlfn.XLOOKUP(B458,Table2[Main Member Link ID],Table2[Benefit Name],0)&lt;&gt;Lookups!$D$17),
IF(_xlfn.XLOOKUP(B458,Table2[Main Member Link ID],Table2[Benefit Name],0)=0,"",_xlfn.XLOOKUP(B458,Table2[Main Member Link ID],Table2[Benefit Name],0)),""))))))</f>
        <v/>
      </c>
      <c r="AI458" s="328" t="str">
        <f>IF(AND(Table2[[#This Row],[Member Type]]="Main Member",Table2[[#This Row],[Table Lookup for Life Cover]]="MM_LIFE",Table2[[#This Row],[Age Next Birthday]]&lt;56),1,
IF(AND(Table2[[#This Row],[Member Type]]="Main Member",Table2[[#This Row],[Table Lookup for Life Cover]]="MM_LIFE",Table2[[#This Row],[Age Next Birthday]]&gt;=56),2,
""))</f>
        <v/>
      </c>
      <c r="AJ458" s="328">
        <f>IF(OR(Table2[[#This Row],[Member Type]]="Main Member",Table2[[#This Row],[Main Member Link ID]]=B457),1,0)</f>
        <v>1</v>
      </c>
      <c r="AK458" s="328">
        <f>IF(Table2[[#This Row],[Member Type]]=0,0,
IF(OR(Table2[[#This Row],[Member Type]]="Main Member",Table2[[#This Row],[Main Member Link ID]]&lt;&gt;B458),COUNTIFS(B:B,Table2[[#This Row],[Main Member Link ID]]),
COUNTIFS(B:B,Table2[[#This Row],[Main Member Link ID]],A:A,Table2[[#This Row],[Member Type]])))</f>
        <v>0</v>
      </c>
    </row>
    <row r="459" spans="1:37" x14ac:dyDescent="0.3">
      <c r="A459" s="284">
        <f>Table13[[#This Row],[Member Type]]</f>
        <v>0</v>
      </c>
      <c r="B459" s="284">
        <f>Table13[[#This Row],[Main Member Link ID]]</f>
        <v>0</v>
      </c>
      <c r="C459" s="284">
        <f>Table13[[#This Row],[ID Number]]</f>
        <v>0</v>
      </c>
      <c r="D459" s="285">
        <f>Table13[[#This Row],[Date Of Birth]]</f>
        <v>0</v>
      </c>
      <c r="E459" s="285">
        <f>Table13[[#This Row],[Commencement Date]]</f>
        <v>0</v>
      </c>
      <c r="F459" s="284">
        <f t="shared" si="49"/>
        <v>1</v>
      </c>
      <c r="G459" s="284">
        <f t="shared" si="50"/>
        <v>25</v>
      </c>
      <c r="H459" s="286">
        <f>Table13[[#This Row],[Product Option]]</f>
        <v>0</v>
      </c>
      <c r="I459" s="284">
        <f>IF(AND($A459="Main Member",Table2[[#This Row],[Product Option]]="My Value Plus Life"),"MM_LIFE",
IF(AND($A459="Spouse",Table2[[#This Row],[Product Option]]="My Value Plus Life"),"SP_LIFE",
IF(AND($A459="Main Member",Table2[[#This Row],[Product Option]]="My Value Plus Life &amp; Funeral"),"MM_LIFE",
IF(AND($A459="Spouse",Table2[[#This Row],[Product Option]]="My Value Plus Life &amp; Funeral"),_xlfn.XLOOKUP(Table2[[#This Row],[Benefit Name]],Lookups!$D$18:$D$23,Lookups!$E$18:$E$23,0),
0))))</f>
        <v>0</v>
      </c>
      <c r="J459" s="284">
        <f>IF($I459="","",
IF($I459="MM_LIFE",INDEX('Quotation Tool'!$S$54:$V$60,MATCH($T459,'Quotation Tool'!$S$54:$S$60,0),4),
IF($I459="SP_LIFE",_xlfn.XLOOKUP(B458,$B:$B,$J:$J,0),0)))</f>
        <v>0</v>
      </c>
      <c r="K459" s="287">
        <f t="shared" ca="1" si="54"/>
        <v>0</v>
      </c>
      <c r="L459" s="288">
        <f t="shared" ca="1" si="55"/>
        <v>0</v>
      </c>
      <c r="M459" s="289">
        <f t="shared" ca="1" si="51"/>
        <v>0</v>
      </c>
      <c r="N459" s="286">
        <f>Table13[[#This Row],[Benefit Option]]</f>
        <v>0</v>
      </c>
      <c r="O459" s="284">
        <f>IF(OR(Table2[[#This Row],[Member Type]]="Spouse",Table2[[#This Row],[Member Type]]="Child"),0,
IF(_xlfn.XLOOKUP($N459,Lookups!$D$13:$D$27,Lookups!$F$13:$F$27,0)=Table2[[#This Row],[Table Lookup for Life Cover]],0,
_xlfn.XLOOKUP($N459,Lookups!$D$13:$D$27,Lookups!$F$13:$F$27,0)))</f>
        <v>0</v>
      </c>
      <c r="P459" s="284">
        <f>IF(Table2[[#This Row],[Table Lookup for Funeral]]=0,0,IFERROR(INDEX('Quotation Tool'!$S$54:$V$60,MATCH($T459,'Quotation Tool'!$S$54:$S$60,0),3),0))</f>
        <v>0</v>
      </c>
      <c r="Q459" s="288">
        <f ca="1">IF(OR(Table2[[#This Row],[Benefit Name]]="My Value Plus Life - Main Member",Table2[[#This Row],[Benefit Name]]="My Value Plus Life - Spouse"),0,
IFERROR(VLOOKUP($G459,INDIRECT($O459),$P459,FALSE),0))</f>
        <v>0</v>
      </c>
      <c r="R459" s="288">
        <f ca="1">IF(OR(Table2[[#This Row],[Benefit Name]]="My Value Plus Life - Main Member",Table2[[#This Row],[Benefit Name]]="My Value Plus Life - Spouse"),0,
IFERROR(VLOOKUP($G459,INDIRECT($O459),$P459+1,FALSE),0))</f>
        <v>0</v>
      </c>
      <c r="S459" s="289">
        <f t="shared" ca="1" si="52"/>
        <v>0</v>
      </c>
      <c r="T459" s="284" t="str">
        <f>IF(Table13[[#This Row],[Premium Waiver]]="","None",Table13[[#This Row],[Premium Waiver]])</f>
        <v>None</v>
      </c>
      <c r="U459" s="284">
        <f>Table13[[#This Row],[VAPs Options]]</f>
        <v>0</v>
      </c>
      <c r="V459" s="284">
        <f>Table13[[#This Row],[Annual Increase Option]]</f>
        <v>0</v>
      </c>
      <c r="W459" s="290">
        <f>Table13[[#This Row],[Life Cover Amount]]</f>
        <v>0</v>
      </c>
      <c r="X459" s="290">
        <f>Table13[[#This Row],[Funeral Cover Amount]]</f>
        <v>0</v>
      </c>
      <c r="Y45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5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59" s="301">
        <f t="shared" ca="1" si="53"/>
        <v>0</v>
      </c>
      <c r="AB459" s="298"/>
      <c r="AC459" s="326" t="str">
        <f>IF(Table2[[#This Row],[Member Type]]="Main Member",Lookups!$C$13,
IF(Table2[[#This Row],[Member Type]]="Spouse",_xlfn.XLOOKUP(B459,Table2[Main Member Link ID],Table2[Product Option],0),
IF(AND(Table2[[#This Row],[Member Type]]="Child",_xlfn.XLOOKUP(B459,Table2[Main Member Link ID],Table2[Product Option],0)&lt;&gt;"My Value Plus Life"),Lookups!$C$24,
IF(AND(OR(Table2[[#This Row],[Member Type]]="Parent",Table2[[#This Row],[Member Type]]="Extended"),_xlfn.XLOOKUP(B459,Table2[Main Member Link ID],Table2[Product Option],0)&lt;&gt;"My Value Plus Life"),Lookups!$C$26,""))))</f>
        <v/>
      </c>
      <c r="AD459" s="326" t="str">
        <f>IF(Table2[[#This Row],[Member Type]]="Main Member",Lookups!$C$14,"")</f>
        <v/>
      </c>
      <c r="AE45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Funeral",_xlfn.XLOOKUP(B459,Table2[Main Member Link ID],Table2[Benefit Name],0)=Lookups!$D$14),"",
IF(AND(Table2[[#This Row],[Member Type]]="Spouse",Table2[[#This Row],[Product Option]]="My Value Plus Life &amp; Funeral",_xlfn.XLOOKUP(B458,Table2[Main Member Link ID],Table2[Benefit Name],0)=Lookups!$D$15),Lookups!$D$20,
IF(AND(Table2[[#This Row],[Member Type]]="Spouse",Table2[[#This Row],[Product Option]]="My Value Plus Life &amp; Funeral",_xlfn.XLOOKUP(B458,Table2[Main Member Link ID],Table2[Benefit Name],0)=Lookups!$D$16),"",
IF(AND(Table2[[#This Row],[Member Type]]="Spouse",Table2[[#This Row],[Product Option]]="My Value Plus Life &amp; Funeral",_xlfn.XLOOKUP(B458,Table2[Main Member Link ID],Table2[Benefit Name],0)=Lookups!$D$17),Lookups!$D$21,
IF(AND(Table2[[#This Row],[Member Type]]="Child",Table2[[#This Row],[Product Option]]="My Value Plus Life &amp; Funeral",_xlfn.XLOOKUP(B459,Table2[Main Member Link ID],Table2[Benefit Name],0)=Lookups!$D$14),"",
IF(AND(Table2[[#This Row],[Member Type]]="Child",Table2[[#This Row],[Product Option]]="My Value Plus Life &amp; Funeral",_xlfn.XLOOKUP(B459,Table2[Main Member Link ID],Table2[Benefit Name],0)=Lookups!$D$15),"",
IF(AND(Table2[[#This Row],[Member Type]]="Child",Table2[[#This Row],[Product Option]]="My Value Plus Life &amp; Funeral",_xlfn.XLOOKUP(B459,Table2[Main Member Link ID],Table2[Benefit Name],0)=Lookups!$D$16),Lookups!$D$24,
IF(AND(Table2[[#This Row],[Member Type]]="Child",Table2[[#This Row],[Product Option]]="My Value Plus Life &amp; Funeral",_xlfn.XLOOKUP(B459,Table2[Main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Funeral",_xlfn.XLOOKUP(B459,Table2[Main Member Link ID],Table2[Benefit Name],0)&lt;&gt;Lookups!$D$14),
IF(_xlfn.XLOOKUP(B459,Table2[Main Member Link ID],Table2[Benefit Name],0)=0,"",_xlfn.XLOOKUP(B459,Table2[Main Member Link ID],Table2[Benefit Name],0)),"")))))))))))))))</f>
        <v/>
      </c>
      <c r="AF459" s="327" t="str">
        <f>IF(AND(Table2[[#This Row],[Member Type]]="Main Member",Table2[[#This Row],[Product Option]]="My Value Plus Life &amp; Funeral"),Lookups!$D$15,
IF(AND(Table2[[#This Row],[Member Type]]="Spouse",Table2[[#This Row],[Product Option]]="My Value Plus Life &amp; Funeral",_xlfn.XLOOKUP(B459,Table2[Main Member Link ID],Table2[Benefit Name],0)=Lookups!$D$14),"",
IF(AND(Table2[[#This Row],[Member Type]]="Spouse",Table2[[#This Row],[Product Option]]="My Value Plus Life &amp; Funeral",_xlfn.XLOOKUP(B458,Table2[Main Member Link ID],Table2[Benefit Name],0)=Lookups!$D$16),"",
IF(AND(Table2[[#This Row],[Member Type]]="Spouse",Table2[[#This Row],[Product Option]]="My Value Plus Life &amp; Funeral",_xlfn.XLOOKUP(B458,Table2[Main Member Link ID],Table2[Benefit Name],0)=Lookups!$D$15),"",
IF(AND(Table2[[#This Row],[Member Type]]="Spouse",Table2[[#This Row],[Product Option]]="My Value Plus Life &amp; Funeral",_xlfn.XLOOKUP(B458,Table2[Main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Funeral",_xlfn.XLOOKUP(B459,Table2[Main Member Link ID],Table2[Benefit Name],0)&lt;&gt;Lookups!$D$15),
IF(_xlfn.XLOOKUP(B459,Table2[Main Member Link ID],Table2[Benefit Name],0)=0,"",_xlfn.XLOOKUP(B459,Table2[Main Member Link ID],Table2[Benefit Name],0)),"")
))))))</f>
        <v/>
      </c>
      <c r="AG459" s="327" t="str">
        <f>IF(AND(Table2[[#This Row],[Member Type]]="Main Member",Table2[[#This Row],[Product Option]]="My Value Plus Life &amp; Funeral"),Lookups!$D$16,
IF(AND(Table2[[#This Row],[Member Type]]="Spouse",Table2[[#This Row],[Product Option]]="My Value Plus Life &amp; Funeral",_xlfn.XLOOKUP(B459,Table2[Main Member Link ID],Table2[Benefit Name],0)=Lookups!$D$14),"",
IF(AND(Table2[[#This Row],[Member Type]]="Spouse",Table2[[#This Row],[Product Option]]="My Value Plus Life &amp; Funeral",_xlfn.XLOOKUP(B458,Table2[Main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Funeral",_xlfn.XLOOKUP(B459,Table2[Main Member Link ID],Table2[Benefit Name],0)&lt;&gt;Lookups!$D$16),
IF(_xlfn.XLOOKUP(B459,Table2[Main Member Link ID],Table2[Benefit Name],0)=0,"",_xlfn.XLOOKUP(B459,Table2[Main Member Link ID],Table2[Benefit Name],0)),"")
))))</f>
        <v/>
      </c>
      <c r="AH459" s="327" t="str">
        <f>IF(AND(Table2[[#This Row],[Member Type]]="Main Member",Table2[[#This Row],[Product Option]]="My Value Plus Life &amp; Funeral"),Lookups!$D$17,
IF(AND(Table2[[#This Row],[Member Type]]="Spouse",Table2[[#This Row],[Product Option]]="My Value Plus Life &amp; Funeral",_xlfn.XLOOKUP(B459,Table2[Main Member Link ID],Table2[Benefit Name],0)=Lookups!$D$14),"",
IF(AND(Table2[[#This Row],[Member Type]]="Spouse",Table2[[#This Row],[Product Option]]="My Value Plus Life &amp; Funeral",_xlfn.XLOOKUP(B458,Table2[Main Member Link ID],Table2[Benefit Name],0)=Lookups!$D$16),"",
IF(AND(Table2[[#This Row],[Member Type]]="Child",Table2[[#This Row],[Product Option]]="My Value Plus Life &amp; Funeral"),"",
IF(AND(Table2[[#This Row],[Member Type]]="Child",Table2[[#This Row],[Product Option]]="My Value Plus Life &amp; Funeral",_xlfn.XLOOKUP(B459,Table2[Main Member Link ID],Table2[Benefit Name],0)=Lookups!$D$15),"",
IF(AND(OR(Table2[[#This Row],[Member Type]]="Spouse",Table2[[#This Row],[Member Type]]="Child"),Table2[[#This Row],[Product Option]]="My Value Plus Life &amp; Funeral",_xlfn.XLOOKUP(B459,Table2[Main Member Link ID],Table2[Benefit Name],0)&lt;&gt;Lookups!$D$17),
IF(_xlfn.XLOOKUP(B459,Table2[Main Member Link ID],Table2[Benefit Name],0)=0,"",_xlfn.XLOOKUP(B459,Table2[Main Member Link ID],Table2[Benefit Name],0)),""))))))</f>
        <v/>
      </c>
      <c r="AI459" s="328" t="str">
        <f>IF(AND(Table2[[#This Row],[Member Type]]="Main Member",Table2[[#This Row],[Table Lookup for Life Cover]]="MM_LIFE",Table2[[#This Row],[Age Next Birthday]]&lt;56),1,
IF(AND(Table2[[#This Row],[Member Type]]="Main Member",Table2[[#This Row],[Table Lookup for Life Cover]]="MM_LIFE",Table2[[#This Row],[Age Next Birthday]]&gt;=56),2,
""))</f>
        <v/>
      </c>
      <c r="AJ459" s="328">
        <f>IF(OR(Table2[[#This Row],[Member Type]]="Main Member",Table2[[#This Row],[Main Member Link ID]]=B458),1,0)</f>
        <v>1</v>
      </c>
      <c r="AK459" s="328">
        <f>IF(Table2[[#This Row],[Member Type]]=0,0,
IF(OR(Table2[[#This Row],[Member Type]]="Main Member",Table2[[#This Row],[Main Member Link ID]]&lt;&gt;B459),COUNTIFS(B:B,Table2[[#This Row],[Main Member Link ID]]),
COUNTIFS(B:B,Table2[[#This Row],[Main Member Link ID]],A:A,Table2[[#This Row],[Member Type]])))</f>
        <v>0</v>
      </c>
    </row>
    <row r="460" spans="1:37" x14ac:dyDescent="0.3">
      <c r="A460" s="284">
        <f>Table13[[#This Row],[Member Type]]</f>
        <v>0</v>
      </c>
      <c r="B460" s="284">
        <f>Table13[[#This Row],[Main Member Link ID]]</f>
        <v>0</v>
      </c>
      <c r="C460" s="284">
        <f>Table13[[#This Row],[ID Number]]</f>
        <v>0</v>
      </c>
      <c r="D460" s="285">
        <f>Table13[[#This Row],[Date Of Birth]]</f>
        <v>0</v>
      </c>
      <c r="E460" s="285">
        <f>Table13[[#This Row],[Commencement Date]]</f>
        <v>0</v>
      </c>
      <c r="F460" s="284">
        <f t="shared" si="49"/>
        <v>1</v>
      </c>
      <c r="G460" s="284">
        <f t="shared" si="50"/>
        <v>25</v>
      </c>
      <c r="H460" s="286">
        <f>Table13[[#This Row],[Product Option]]</f>
        <v>0</v>
      </c>
      <c r="I460" s="284">
        <f>IF(AND($A460="Main Member",Table2[[#This Row],[Product Option]]="My Value Plus Life"),"MM_LIFE",
IF(AND($A460="Spouse",Table2[[#This Row],[Product Option]]="My Value Plus Life"),"SP_LIFE",
IF(AND($A460="Main Member",Table2[[#This Row],[Product Option]]="My Value Plus Life &amp; Funeral"),"MM_LIFE",
IF(AND($A460="Spouse",Table2[[#This Row],[Product Option]]="My Value Plus Life &amp; Funeral"),_xlfn.XLOOKUP(Table2[[#This Row],[Benefit Name]],Lookups!$D$18:$D$23,Lookups!$E$18:$E$23,0),
0))))</f>
        <v>0</v>
      </c>
      <c r="J460" s="284">
        <f>IF($I460="","",
IF($I460="MM_LIFE",INDEX('Quotation Tool'!$S$54:$V$60,MATCH($T460,'Quotation Tool'!$S$54:$S$60,0),4),
IF($I460="SP_LIFE",_xlfn.XLOOKUP(B459,$B:$B,$J:$J,0),0)))</f>
        <v>0</v>
      </c>
      <c r="K460" s="287">
        <f t="shared" ca="1" si="54"/>
        <v>0</v>
      </c>
      <c r="L460" s="288">
        <f t="shared" ca="1" si="55"/>
        <v>0</v>
      </c>
      <c r="M460" s="289">
        <f t="shared" ca="1" si="51"/>
        <v>0</v>
      </c>
      <c r="N460" s="286">
        <f>Table13[[#This Row],[Benefit Option]]</f>
        <v>0</v>
      </c>
      <c r="O460" s="284">
        <f>IF(OR(Table2[[#This Row],[Member Type]]="Spouse",Table2[[#This Row],[Member Type]]="Child"),0,
IF(_xlfn.XLOOKUP($N460,Lookups!$D$13:$D$27,Lookups!$F$13:$F$27,0)=Table2[[#This Row],[Table Lookup for Life Cover]],0,
_xlfn.XLOOKUP($N460,Lookups!$D$13:$D$27,Lookups!$F$13:$F$27,0)))</f>
        <v>0</v>
      </c>
      <c r="P460" s="284">
        <f>IF(Table2[[#This Row],[Table Lookup for Funeral]]=0,0,IFERROR(INDEX('Quotation Tool'!$S$54:$V$60,MATCH($T460,'Quotation Tool'!$S$54:$S$60,0),3),0))</f>
        <v>0</v>
      </c>
      <c r="Q460" s="288">
        <f ca="1">IF(OR(Table2[[#This Row],[Benefit Name]]="My Value Plus Life - Main Member",Table2[[#This Row],[Benefit Name]]="My Value Plus Life - Spouse"),0,
IFERROR(VLOOKUP($G460,INDIRECT($O460),$P460,FALSE),0))</f>
        <v>0</v>
      </c>
      <c r="R460" s="288">
        <f ca="1">IF(OR(Table2[[#This Row],[Benefit Name]]="My Value Plus Life - Main Member",Table2[[#This Row],[Benefit Name]]="My Value Plus Life - Spouse"),0,
IFERROR(VLOOKUP($G460,INDIRECT($O460),$P460+1,FALSE),0))</f>
        <v>0</v>
      </c>
      <c r="S460" s="289">
        <f t="shared" ca="1" si="52"/>
        <v>0</v>
      </c>
      <c r="T460" s="284" t="str">
        <f>IF(Table13[[#This Row],[Premium Waiver]]="","None",Table13[[#This Row],[Premium Waiver]])</f>
        <v>None</v>
      </c>
      <c r="U460" s="284">
        <f>Table13[[#This Row],[VAPs Options]]</f>
        <v>0</v>
      </c>
      <c r="V460" s="284">
        <f>Table13[[#This Row],[Annual Increase Option]]</f>
        <v>0</v>
      </c>
      <c r="W460" s="290">
        <f>Table13[[#This Row],[Life Cover Amount]]</f>
        <v>0</v>
      </c>
      <c r="X460" s="290">
        <f>Table13[[#This Row],[Funeral Cover Amount]]</f>
        <v>0</v>
      </c>
      <c r="Y46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6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60" s="301">
        <f t="shared" ca="1" si="53"/>
        <v>0</v>
      </c>
      <c r="AB460" s="298"/>
      <c r="AC460" s="326" t="str">
        <f>IF(Table2[[#This Row],[Member Type]]="Main Member",Lookups!$C$13,
IF(Table2[[#This Row],[Member Type]]="Spouse",_xlfn.XLOOKUP(B460,Table2[Main Member Link ID],Table2[Product Option],0),
IF(AND(Table2[[#This Row],[Member Type]]="Child",_xlfn.XLOOKUP(B460,Table2[Main Member Link ID],Table2[Product Option],0)&lt;&gt;"My Value Plus Life"),Lookups!$C$24,
IF(AND(OR(Table2[[#This Row],[Member Type]]="Parent",Table2[[#This Row],[Member Type]]="Extended"),_xlfn.XLOOKUP(B460,Table2[Main Member Link ID],Table2[Product Option],0)&lt;&gt;"My Value Plus Life"),Lookups!$C$26,""))))</f>
        <v/>
      </c>
      <c r="AD460" s="326" t="str">
        <f>IF(Table2[[#This Row],[Member Type]]="Main Member",Lookups!$C$14,"")</f>
        <v/>
      </c>
      <c r="AE46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Funeral",_xlfn.XLOOKUP(B460,Table2[Main Member Link ID],Table2[Benefit Name],0)=Lookups!$D$14),"",
IF(AND(Table2[[#This Row],[Member Type]]="Spouse",Table2[[#This Row],[Product Option]]="My Value Plus Life &amp; Funeral",_xlfn.XLOOKUP(B459,Table2[Main Member Link ID],Table2[Benefit Name],0)=Lookups!$D$15),Lookups!$D$20,
IF(AND(Table2[[#This Row],[Member Type]]="Spouse",Table2[[#This Row],[Product Option]]="My Value Plus Life &amp; Funeral",_xlfn.XLOOKUP(B459,Table2[Main Member Link ID],Table2[Benefit Name],0)=Lookups!$D$16),"",
IF(AND(Table2[[#This Row],[Member Type]]="Spouse",Table2[[#This Row],[Product Option]]="My Value Plus Life &amp; Funeral",_xlfn.XLOOKUP(B459,Table2[Main Member Link ID],Table2[Benefit Name],0)=Lookups!$D$17),Lookups!$D$21,
IF(AND(Table2[[#This Row],[Member Type]]="Child",Table2[[#This Row],[Product Option]]="My Value Plus Life &amp; Funeral",_xlfn.XLOOKUP(B460,Table2[Main Member Link ID],Table2[Benefit Name],0)=Lookups!$D$14),"",
IF(AND(Table2[[#This Row],[Member Type]]="Child",Table2[[#This Row],[Product Option]]="My Value Plus Life &amp; Funeral",_xlfn.XLOOKUP(B460,Table2[Main Member Link ID],Table2[Benefit Name],0)=Lookups!$D$15),"",
IF(AND(Table2[[#This Row],[Member Type]]="Child",Table2[[#This Row],[Product Option]]="My Value Plus Life &amp; Funeral",_xlfn.XLOOKUP(B460,Table2[Main Member Link ID],Table2[Benefit Name],0)=Lookups!$D$16),Lookups!$D$24,
IF(AND(Table2[[#This Row],[Member Type]]="Child",Table2[[#This Row],[Product Option]]="My Value Plus Life &amp; Funeral",_xlfn.XLOOKUP(B460,Table2[Main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Funeral",_xlfn.XLOOKUP(B460,Table2[Main Member Link ID],Table2[Benefit Name],0)&lt;&gt;Lookups!$D$14),
IF(_xlfn.XLOOKUP(B460,Table2[Main Member Link ID],Table2[Benefit Name],0)=0,"",_xlfn.XLOOKUP(B460,Table2[Main Member Link ID],Table2[Benefit Name],0)),"")))))))))))))))</f>
        <v/>
      </c>
      <c r="AF460" s="327" t="str">
        <f>IF(AND(Table2[[#This Row],[Member Type]]="Main Member",Table2[[#This Row],[Product Option]]="My Value Plus Life &amp; Funeral"),Lookups!$D$15,
IF(AND(Table2[[#This Row],[Member Type]]="Spouse",Table2[[#This Row],[Product Option]]="My Value Plus Life &amp; Funeral",_xlfn.XLOOKUP(B460,Table2[Main Member Link ID],Table2[Benefit Name],0)=Lookups!$D$14),"",
IF(AND(Table2[[#This Row],[Member Type]]="Spouse",Table2[[#This Row],[Product Option]]="My Value Plus Life &amp; Funeral",_xlfn.XLOOKUP(B459,Table2[Main Member Link ID],Table2[Benefit Name],0)=Lookups!$D$16),"",
IF(AND(Table2[[#This Row],[Member Type]]="Spouse",Table2[[#This Row],[Product Option]]="My Value Plus Life &amp; Funeral",_xlfn.XLOOKUP(B459,Table2[Main Member Link ID],Table2[Benefit Name],0)=Lookups!$D$15),"",
IF(AND(Table2[[#This Row],[Member Type]]="Spouse",Table2[[#This Row],[Product Option]]="My Value Plus Life &amp; Funeral",_xlfn.XLOOKUP(B459,Table2[Main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Funeral",_xlfn.XLOOKUP(B460,Table2[Main Member Link ID],Table2[Benefit Name],0)&lt;&gt;Lookups!$D$15),
IF(_xlfn.XLOOKUP(B460,Table2[Main Member Link ID],Table2[Benefit Name],0)=0,"",_xlfn.XLOOKUP(B460,Table2[Main Member Link ID],Table2[Benefit Name],0)),"")
))))))</f>
        <v/>
      </c>
      <c r="AG460" s="327" t="str">
        <f>IF(AND(Table2[[#This Row],[Member Type]]="Main Member",Table2[[#This Row],[Product Option]]="My Value Plus Life &amp; Funeral"),Lookups!$D$16,
IF(AND(Table2[[#This Row],[Member Type]]="Spouse",Table2[[#This Row],[Product Option]]="My Value Plus Life &amp; Funeral",_xlfn.XLOOKUP(B460,Table2[Main Member Link ID],Table2[Benefit Name],0)=Lookups!$D$14),"",
IF(AND(Table2[[#This Row],[Member Type]]="Spouse",Table2[[#This Row],[Product Option]]="My Value Plus Life &amp; Funeral",_xlfn.XLOOKUP(B459,Table2[Main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Funeral",_xlfn.XLOOKUP(B460,Table2[Main Member Link ID],Table2[Benefit Name],0)&lt;&gt;Lookups!$D$16),
IF(_xlfn.XLOOKUP(B460,Table2[Main Member Link ID],Table2[Benefit Name],0)=0,"",_xlfn.XLOOKUP(B460,Table2[Main Member Link ID],Table2[Benefit Name],0)),"")
))))</f>
        <v/>
      </c>
      <c r="AH460" s="327" t="str">
        <f>IF(AND(Table2[[#This Row],[Member Type]]="Main Member",Table2[[#This Row],[Product Option]]="My Value Plus Life &amp; Funeral"),Lookups!$D$17,
IF(AND(Table2[[#This Row],[Member Type]]="Spouse",Table2[[#This Row],[Product Option]]="My Value Plus Life &amp; Funeral",_xlfn.XLOOKUP(B460,Table2[Main Member Link ID],Table2[Benefit Name],0)=Lookups!$D$14),"",
IF(AND(Table2[[#This Row],[Member Type]]="Spouse",Table2[[#This Row],[Product Option]]="My Value Plus Life &amp; Funeral",_xlfn.XLOOKUP(B459,Table2[Main Member Link ID],Table2[Benefit Name],0)=Lookups!$D$16),"",
IF(AND(Table2[[#This Row],[Member Type]]="Child",Table2[[#This Row],[Product Option]]="My Value Plus Life &amp; Funeral"),"",
IF(AND(Table2[[#This Row],[Member Type]]="Child",Table2[[#This Row],[Product Option]]="My Value Plus Life &amp; Funeral",_xlfn.XLOOKUP(B460,Table2[Main Member Link ID],Table2[Benefit Name],0)=Lookups!$D$15),"",
IF(AND(OR(Table2[[#This Row],[Member Type]]="Spouse",Table2[[#This Row],[Member Type]]="Child"),Table2[[#This Row],[Product Option]]="My Value Plus Life &amp; Funeral",_xlfn.XLOOKUP(B460,Table2[Main Member Link ID],Table2[Benefit Name],0)&lt;&gt;Lookups!$D$17),
IF(_xlfn.XLOOKUP(B460,Table2[Main Member Link ID],Table2[Benefit Name],0)=0,"",_xlfn.XLOOKUP(B460,Table2[Main Member Link ID],Table2[Benefit Name],0)),""))))))</f>
        <v/>
      </c>
      <c r="AI460" s="328" t="str">
        <f>IF(AND(Table2[[#This Row],[Member Type]]="Main Member",Table2[[#This Row],[Table Lookup for Life Cover]]="MM_LIFE",Table2[[#This Row],[Age Next Birthday]]&lt;56),1,
IF(AND(Table2[[#This Row],[Member Type]]="Main Member",Table2[[#This Row],[Table Lookup for Life Cover]]="MM_LIFE",Table2[[#This Row],[Age Next Birthday]]&gt;=56),2,
""))</f>
        <v/>
      </c>
      <c r="AJ460" s="328">
        <f>IF(OR(Table2[[#This Row],[Member Type]]="Main Member",Table2[[#This Row],[Main Member Link ID]]=B459),1,0)</f>
        <v>1</v>
      </c>
      <c r="AK460" s="328">
        <f>IF(Table2[[#This Row],[Member Type]]=0,0,
IF(OR(Table2[[#This Row],[Member Type]]="Main Member",Table2[[#This Row],[Main Member Link ID]]&lt;&gt;B460),COUNTIFS(B:B,Table2[[#This Row],[Main Member Link ID]]),
COUNTIFS(B:B,Table2[[#This Row],[Main Member Link ID]],A:A,Table2[[#This Row],[Member Type]])))</f>
        <v>0</v>
      </c>
    </row>
    <row r="461" spans="1:37" x14ac:dyDescent="0.3">
      <c r="A461" s="284">
        <f>Table13[[#This Row],[Member Type]]</f>
        <v>0</v>
      </c>
      <c r="B461" s="284">
        <f>Table13[[#This Row],[Main Member Link ID]]</f>
        <v>0</v>
      </c>
      <c r="C461" s="284">
        <f>Table13[[#This Row],[ID Number]]</f>
        <v>0</v>
      </c>
      <c r="D461" s="285">
        <f>Table13[[#This Row],[Date Of Birth]]</f>
        <v>0</v>
      </c>
      <c r="E461" s="285">
        <f>Table13[[#This Row],[Commencement Date]]</f>
        <v>0</v>
      </c>
      <c r="F461" s="284">
        <f t="shared" si="49"/>
        <v>1</v>
      </c>
      <c r="G461" s="284">
        <f t="shared" si="50"/>
        <v>25</v>
      </c>
      <c r="H461" s="286">
        <f>Table13[[#This Row],[Product Option]]</f>
        <v>0</v>
      </c>
      <c r="I461" s="284">
        <f>IF(AND($A461="Main Member",Table2[[#This Row],[Product Option]]="My Value Plus Life"),"MM_LIFE",
IF(AND($A461="Spouse",Table2[[#This Row],[Product Option]]="My Value Plus Life"),"SP_LIFE",
IF(AND($A461="Main Member",Table2[[#This Row],[Product Option]]="My Value Plus Life &amp; Funeral"),"MM_LIFE",
IF(AND($A461="Spouse",Table2[[#This Row],[Product Option]]="My Value Plus Life &amp; Funeral"),_xlfn.XLOOKUP(Table2[[#This Row],[Benefit Name]],Lookups!$D$18:$D$23,Lookups!$E$18:$E$23,0),
0))))</f>
        <v>0</v>
      </c>
      <c r="J461" s="284">
        <f>IF($I461="","",
IF($I461="MM_LIFE",INDEX('Quotation Tool'!$S$54:$V$60,MATCH($T461,'Quotation Tool'!$S$54:$S$60,0),4),
IF($I461="SP_LIFE",_xlfn.XLOOKUP(B460,$B:$B,$J:$J,0),0)))</f>
        <v>0</v>
      </c>
      <c r="K461" s="287">
        <f t="shared" ca="1" si="54"/>
        <v>0</v>
      </c>
      <c r="L461" s="288">
        <f t="shared" ca="1" si="55"/>
        <v>0</v>
      </c>
      <c r="M461" s="289">
        <f t="shared" ca="1" si="51"/>
        <v>0</v>
      </c>
      <c r="N461" s="286">
        <f>Table13[[#This Row],[Benefit Option]]</f>
        <v>0</v>
      </c>
      <c r="O461" s="284">
        <f>IF(OR(Table2[[#This Row],[Member Type]]="Spouse",Table2[[#This Row],[Member Type]]="Child"),0,
IF(_xlfn.XLOOKUP($N461,Lookups!$D$13:$D$27,Lookups!$F$13:$F$27,0)=Table2[[#This Row],[Table Lookup for Life Cover]],0,
_xlfn.XLOOKUP($N461,Lookups!$D$13:$D$27,Lookups!$F$13:$F$27,0)))</f>
        <v>0</v>
      </c>
      <c r="P461" s="284">
        <f>IF(Table2[[#This Row],[Table Lookup for Funeral]]=0,0,IFERROR(INDEX('Quotation Tool'!$S$54:$V$60,MATCH($T461,'Quotation Tool'!$S$54:$S$60,0),3),0))</f>
        <v>0</v>
      </c>
      <c r="Q461" s="288">
        <f ca="1">IF(OR(Table2[[#This Row],[Benefit Name]]="My Value Plus Life - Main Member",Table2[[#This Row],[Benefit Name]]="My Value Plus Life - Spouse"),0,
IFERROR(VLOOKUP($G461,INDIRECT($O461),$P461,FALSE),0))</f>
        <v>0</v>
      </c>
      <c r="R461" s="288">
        <f ca="1">IF(OR(Table2[[#This Row],[Benefit Name]]="My Value Plus Life - Main Member",Table2[[#This Row],[Benefit Name]]="My Value Plus Life - Spouse"),0,
IFERROR(VLOOKUP($G461,INDIRECT($O461),$P461+1,FALSE),0))</f>
        <v>0</v>
      </c>
      <c r="S461" s="289">
        <f t="shared" ca="1" si="52"/>
        <v>0</v>
      </c>
      <c r="T461" s="284" t="str">
        <f>IF(Table13[[#This Row],[Premium Waiver]]="","None",Table13[[#This Row],[Premium Waiver]])</f>
        <v>None</v>
      </c>
      <c r="U461" s="284">
        <f>Table13[[#This Row],[VAPs Options]]</f>
        <v>0</v>
      </c>
      <c r="V461" s="284">
        <f>Table13[[#This Row],[Annual Increase Option]]</f>
        <v>0</v>
      </c>
      <c r="W461" s="290">
        <f>Table13[[#This Row],[Life Cover Amount]]</f>
        <v>0</v>
      </c>
      <c r="X461" s="290">
        <f>Table13[[#This Row],[Funeral Cover Amount]]</f>
        <v>0</v>
      </c>
      <c r="Y46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6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61" s="301">
        <f t="shared" ca="1" si="53"/>
        <v>0</v>
      </c>
      <c r="AB461" s="298"/>
      <c r="AC461" s="326" t="str">
        <f>IF(Table2[[#This Row],[Member Type]]="Main Member",Lookups!$C$13,
IF(Table2[[#This Row],[Member Type]]="Spouse",_xlfn.XLOOKUP(B461,Table2[Main Member Link ID],Table2[Product Option],0),
IF(AND(Table2[[#This Row],[Member Type]]="Child",_xlfn.XLOOKUP(B461,Table2[Main Member Link ID],Table2[Product Option],0)&lt;&gt;"My Value Plus Life"),Lookups!$C$24,
IF(AND(OR(Table2[[#This Row],[Member Type]]="Parent",Table2[[#This Row],[Member Type]]="Extended"),_xlfn.XLOOKUP(B461,Table2[Main Member Link ID],Table2[Product Option],0)&lt;&gt;"My Value Plus Life"),Lookups!$C$26,""))))</f>
        <v/>
      </c>
      <c r="AD461" s="326" t="str">
        <f>IF(Table2[[#This Row],[Member Type]]="Main Member",Lookups!$C$14,"")</f>
        <v/>
      </c>
      <c r="AE46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Funeral",_xlfn.XLOOKUP(B461,Table2[Main Member Link ID],Table2[Benefit Name],0)=Lookups!$D$14),"",
IF(AND(Table2[[#This Row],[Member Type]]="Spouse",Table2[[#This Row],[Product Option]]="My Value Plus Life &amp; Funeral",_xlfn.XLOOKUP(B460,Table2[Main Member Link ID],Table2[Benefit Name],0)=Lookups!$D$15),Lookups!$D$20,
IF(AND(Table2[[#This Row],[Member Type]]="Spouse",Table2[[#This Row],[Product Option]]="My Value Plus Life &amp; Funeral",_xlfn.XLOOKUP(B460,Table2[Main Member Link ID],Table2[Benefit Name],0)=Lookups!$D$16),"",
IF(AND(Table2[[#This Row],[Member Type]]="Spouse",Table2[[#This Row],[Product Option]]="My Value Plus Life &amp; Funeral",_xlfn.XLOOKUP(B460,Table2[Main Member Link ID],Table2[Benefit Name],0)=Lookups!$D$17),Lookups!$D$21,
IF(AND(Table2[[#This Row],[Member Type]]="Child",Table2[[#This Row],[Product Option]]="My Value Plus Life &amp; Funeral",_xlfn.XLOOKUP(B461,Table2[Main Member Link ID],Table2[Benefit Name],0)=Lookups!$D$14),"",
IF(AND(Table2[[#This Row],[Member Type]]="Child",Table2[[#This Row],[Product Option]]="My Value Plus Life &amp; Funeral",_xlfn.XLOOKUP(B461,Table2[Main Member Link ID],Table2[Benefit Name],0)=Lookups!$D$15),"",
IF(AND(Table2[[#This Row],[Member Type]]="Child",Table2[[#This Row],[Product Option]]="My Value Plus Life &amp; Funeral",_xlfn.XLOOKUP(B461,Table2[Main Member Link ID],Table2[Benefit Name],0)=Lookups!$D$16),Lookups!$D$24,
IF(AND(Table2[[#This Row],[Member Type]]="Child",Table2[[#This Row],[Product Option]]="My Value Plus Life &amp; Funeral",_xlfn.XLOOKUP(B461,Table2[Main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Funeral",_xlfn.XLOOKUP(B461,Table2[Main Member Link ID],Table2[Benefit Name],0)&lt;&gt;Lookups!$D$14),
IF(_xlfn.XLOOKUP(B461,Table2[Main Member Link ID],Table2[Benefit Name],0)=0,"",_xlfn.XLOOKUP(B461,Table2[Main Member Link ID],Table2[Benefit Name],0)),"")))))))))))))))</f>
        <v/>
      </c>
      <c r="AF461" s="327" t="str">
        <f>IF(AND(Table2[[#This Row],[Member Type]]="Main Member",Table2[[#This Row],[Product Option]]="My Value Plus Life &amp; Funeral"),Lookups!$D$15,
IF(AND(Table2[[#This Row],[Member Type]]="Spouse",Table2[[#This Row],[Product Option]]="My Value Plus Life &amp; Funeral",_xlfn.XLOOKUP(B461,Table2[Main Member Link ID],Table2[Benefit Name],0)=Lookups!$D$14),"",
IF(AND(Table2[[#This Row],[Member Type]]="Spouse",Table2[[#This Row],[Product Option]]="My Value Plus Life &amp; Funeral",_xlfn.XLOOKUP(B460,Table2[Main Member Link ID],Table2[Benefit Name],0)=Lookups!$D$16),"",
IF(AND(Table2[[#This Row],[Member Type]]="Spouse",Table2[[#This Row],[Product Option]]="My Value Plus Life &amp; Funeral",_xlfn.XLOOKUP(B460,Table2[Main Member Link ID],Table2[Benefit Name],0)=Lookups!$D$15),"",
IF(AND(Table2[[#This Row],[Member Type]]="Spouse",Table2[[#This Row],[Product Option]]="My Value Plus Life &amp; Funeral",_xlfn.XLOOKUP(B460,Table2[Main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Funeral",_xlfn.XLOOKUP(B461,Table2[Main Member Link ID],Table2[Benefit Name],0)&lt;&gt;Lookups!$D$15),
IF(_xlfn.XLOOKUP(B461,Table2[Main Member Link ID],Table2[Benefit Name],0)=0,"",_xlfn.XLOOKUP(B461,Table2[Main Member Link ID],Table2[Benefit Name],0)),"")
))))))</f>
        <v/>
      </c>
      <c r="AG461" s="327" t="str">
        <f>IF(AND(Table2[[#This Row],[Member Type]]="Main Member",Table2[[#This Row],[Product Option]]="My Value Plus Life &amp; Funeral"),Lookups!$D$16,
IF(AND(Table2[[#This Row],[Member Type]]="Spouse",Table2[[#This Row],[Product Option]]="My Value Plus Life &amp; Funeral",_xlfn.XLOOKUP(B461,Table2[Main Member Link ID],Table2[Benefit Name],0)=Lookups!$D$14),"",
IF(AND(Table2[[#This Row],[Member Type]]="Spouse",Table2[[#This Row],[Product Option]]="My Value Plus Life &amp; Funeral",_xlfn.XLOOKUP(B460,Table2[Main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Funeral",_xlfn.XLOOKUP(B461,Table2[Main Member Link ID],Table2[Benefit Name],0)&lt;&gt;Lookups!$D$16),
IF(_xlfn.XLOOKUP(B461,Table2[Main Member Link ID],Table2[Benefit Name],0)=0,"",_xlfn.XLOOKUP(B461,Table2[Main Member Link ID],Table2[Benefit Name],0)),"")
))))</f>
        <v/>
      </c>
      <c r="AH461" s="327" t="str">
        <f>IF(AND(Table2[[#This Row],[Member Type]]="Main Member",Table2[[#This Row],[Product Option]]="My Value Plus Life &amp; Funeral"),Lookups!$D$17,
IF(AND(Table2[[#This Row],[Member Type]]="Spouse",Table2[[#This Row],[Product Option]]="My Value Plus Life &amp; Funeral",_xlfn.XLOOKUP(B461,Table2[Main Member Link ID],Table2[Benefit Name],0)=Lookups!$D$14),"",
IF(AND(Table2[[#This Row],[Member Type]]="Spouse",Table2[[#This Row],[Product Option]]="My Value Plus Life &amp; Funeral",_xlfn.XLOOKUP(B460,Table2[Main Member Link ID],Table2[Benefit Name],0)=Lookups!$D$16),"",
IF(AND(Table2[[#This Row],[Member Type]]="Child",Table2[[#This Row],[Product Option]]="My Value Plus Life &amp; Funeral"),"",
IF(AND(Table2[[#This Row],[Member Type]]="Child",Table2[[#This Row],[Product Option]]="My Value Plus Life &amp; Funeral",_xlfn.XLOOKUP(B461,Table2[Main Member Link ID],Table2[Benefit Name],0)=Lookups!$D$15),"",
IF(AND(OR(Table2[[#This Row],[Member Type]]="Spouse",Table2[[#This Row],[Member Type]]="Child"),Table2[[#This Row],[Product Option]]="My Value Plus Life &amp; Funeral",_xlfn.XLOOKUP(B461,Table2[Main Member Link ID],Table2[Benefit Name],0)&lt;&gt;Lookups!$D$17),
IF(_xlfn.XLOOKUP(B461,Table2[Main Member Link ID],Table2[Benefit Name],0)=0,"",_xlfn.XLOOKUP(B461,Table2[Main Member Link ID],Table2[Benefit Name],0)),""))))))</f>
        <v/>
      </c>
      <c r="AI461" s="328" t="str">
        <f>IF(AND(Table2[[#This Row],[Member Type]]="Main Member",Table2[[#This Row],[Table Lookup for Life Cover]]="MM_LIFE",Table2[[#This Row],[Age Next Birthday]]&lt;56),1,
IF(AND(Table2[[#This Row],[Member Type]]="Main Member",Table2[[#This Row],[Table Lookup for Life Cover]]="MM_LIFE",Table2[[#This Row],[Age Next Birthday]]&gt;=56),2,
""))</f>
        <v/>
      </c>
      <c r="AJ461" s="328">
        <f>IF(OR(Table2[[#This Row],[Member Type]]="Main Member",Table2[[#This Row],[Main Member Link ID]]=B460),1,0)</f>
        <v>1</v>
      </c>
      <c r="AK461" s="328">
        <f>IF(Table2[[#This Row],[Member Type]]=0,0,
IF(OR(Table2[[#This Row],[Member Type]]="Main Member",Table2[[#This Row],[Main Member Link ID]]&lt;&gt;B461),COUNTIFS(B:B,Table2[[#This Row],[Main Member Link ID]]),
COUNTIFS(B:B,Table2[[#This Row],[Main Member Link ID]],A:A,Table2[[#This Row],[Member Type]])))</f>
        <v>0</v>
      </c>
    </row>
    <row r="462" spans="1:37" x14ac:dyDescent="0.3">
      <c r="A462" s="284">
        <f>Table13[[#This Row],[Member Type]]</f>
        <v>0</v>
      </c>
      <c r="B462" s="284">
        <f>Table13[[#This Row],[Main Member Link ID]]</f>
        <v>0</v>
      </c>
      <c r="C462" s="284">
        <f>Table13[[#This Row],[ID Number]]</f>
        <v>0</v>
      </c>
      <c r="D462" s="285">
        <f>Table13[[#This Row],[Date Of Birth]]</f>
        <v>0</v>
      </c>
      <c r="E462" s="285">
        <f>Table13[[#This Row],[Commencement Date]]</f>
        <v>0</v>
      </c>
      <c r="F462" s="284">
        <f t="shared" si="49"/>
        <v>1</v>
      </c>
      <c r="G462" s="284">
        <f t="shared" si="50"/>
        <v>25</v>
      </c>
      <c r="H462" s="286">
        <f>Table13[[#This Row],[Product Option]]</f>
        <v>0</v>
      </c>
      <c r="I462" s="284">
        <f>IF(AND($A462="Main Member",Table2[[#This Row],[Product Option]]="My Value Plus Life"),"MM_LIFE",
IF(AND($A462="Spouse",Table2[[#This Row],[Product Option]]="My Value Plus Life"),"SP_LIFE",
IF(AND($A462="Main Member",Table2[[#This Row],[Product Option]]="My Value Plus Life &amp; Funeral"),"MM_LIFE",
IF(AND($A462="Spouse",Table2[[#This Row],[Product Option]]="My Value Plus Life &amp; Funeral"),_xlfn.XLOOKUP(Table2[[#This Row],[Benefit Name]],Lookups!$D$18:$D$23,Lookups!$E$18:$E$23,0),
0))))</f>
        <v>0</v>
      </c>
      <c r="J462" s="284">
        <f>IF($I462="","",
IF($I462="MM_LIFE",INDEX('Quotation Tool'!$S$54:$V$60,MATCH($T462,'Quotation Tool'!$S$54:$S$60,0),4),
IF($I462="SP_LIFE",_xlfn.XLOOKUP(B461,$B:$B,$J:$J,0),0)))</f>
        <v>0</v>
      </c>
      <c r="K462" s="287">
        <f t="shared" ca="1" si="54"/>
        <v>0</v>
      </c>
      <c r="L462" s="288">
        <f t="shared" ca="1" si="55"/>
        <v>0</v>
      </c>
      <c r="M462" s="289">
        <f t="shared" ca="1" si="51"/>
        <v>0</v>
      </c>
      <c r="N462" s="286">
        <f>Table13[[#This Row],[Benefit Option]]</f>
        <v>0</v>
      </c>
      <c r="O462" s="284">
        <f>IF(OR(Table2[[#This Row],[Member Type]]="Spouse",Table2[[#This Row],[Member Type]]="Child"),0,
IF(_xlfn.XLOOKUP($N462,Lookups!$D$13:$D$27,Lookups!$F$13:$F$27,0)=Table2[[#This Row],[Table Lookup for Life Cover]],0,
_xlfn.XLOOKUP($N462,Lookups!$D$13:$D$27,Lookups!$F$13:$F$27,0)))</f>
        <v>0</v>
      </c>
      <c r="P462" s="284">
        <f>IF(Table2[[#This Row],[Table Lookup for Funeral]]=0,0,IFERROR(INDEX('Quotation Tool'!$S$54:$V$60,MATCH($T462,'Quotation Tool'!$S$54:$S$60,0),3),0))</f>
        <v>0</v>
      </c>
      <c r="Q462" s="288">
        <f ca="1">IF(OR(Table2[[#This Row],[Benefit Name]]="My Value Plus Life - Main Member",Table2[[#This Row],[Benefit Name]]="My Value Plus Life - Spouse"),0,
IFERROR(VLOOKUP($G462,INDIRECT($O462),$P462,FALSE),0))</f>
        <v>0</v>
      </c>
      <c r="R462" s="288">
        <f ca="1">IF(OR(Table2[[#This Row],[Benefit Name]]="My Value Plus Life - Main Member",Table2[[#This Row],[Benefit Name]]="My Value Plus Life - Spouse"),0,
IFERROR(VLOOKUP($G462,INDIRECT($O462),$P462+1,FALSE),0))</f>
        <v>0</v>
      </c>
      <c r="S462" s="289">
        <f t="shared" ca="1" si="52"/>
        <v>0</v>
      </c>
      <c r="T462" s="284" t="str">
        <f>IF(Table13[[#This Row],[Premium Waiver]]="","None",Table13[[#This Row],[Premium Waiver]])</f>
        <v>None</v>
      </c>
      <c r="U462" s="284">
        <f>Table13[[#This Row],[VAPs Options]]</f>
        <v>0</v>
      </c>
      <c r="V462" s="284">
        <f>Table13[[#This Row],[Annual Increase Option]]</f>
        <v>0</v>
      </c>
      <c r="W462" s="290">
        <f>Table13[[#This Row],[Life Cover Amount]]</f>
        <v>0</v>
      </c>
      <c r="X462" s="290">
        <f>Table13[[#This Row],[Funeral Cover Amount]]</f>
        <v>0</v>
      </c>
      <c r="Y46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6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62" s="301">
        <f t="shared" ca="1" si="53"/>
        <v>0</v>
      </c>
      <c r="AB462" s="298"/>
      <c r="AC462" s="326" t="str">
        <f>IF(Table2[[#This Row],[Member Type]]="Main Member",Lookups!$C$13,
IF(Table2[[#This Row],[Member Type]]="Spouse",_xlfn.XLOOKUP(B462,Table2[Main Member Link ID],Table2[Product Option],0),
IF(AND(Table2[[#This Row],[Member Type]]="Child",_xlfn.XLOOKUP(B462,Table2[Main Member Link ID],Table2[Product Option],0)&lt;&gt;"My Value Plus Life"),Lookups!$C$24,
IF(AND(OR(Table2[[#This Row],[Member Type]]="Parent",Table2[[#This Row],[Member Type]]="Extended"),_xlfn.XLOOKUP(B462,Table2[Main Member Link ID],Table2[Product Option],0)&lt;&gt;"My Value Plus Life"),Lookups!$C$26,""))))</f>
        <v/>
      </c>
      <c r="AD462" s="326" t="str">
        <f>IF(Table2[[#This Row],[Member Type]]="Main Member",Lookups!$C$14,"")</f>
        <v/>
      </c>
      <c r="AE46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Funeral",_xlfn.XLOOKUP(B462,Table2[Main Member Link ID],Table2[Benefit Name],0)=Lookups!$D$14),"",
IF(AND(Table2[[#This Row],[Member Type]]="Spouse",Table2[[#This Row],[Product Option]]="My Value Plus Life &amp; Funeral",_xlfn.XLOOKUP(B461,Table2[Main Member Link ID],Table2[Benefit Name],0)=Lookups!$D$15),Lookups!$D$20,
IF(AND(Table2[[#This Row],[Member Type]]="Spouse",Table2[[#This Row],[Product Option]]="My Value Plus Life &amp; Funeral",_xlfn.XLOOKUP(B461,Table2[Main Member Link ID],Table2[Benefit Name],0)=Lookups!$D$16),"",
IF(AND(Table2[[#This Row],[Member Type]]="Spouse",Table2[[#This Row],[Product Option]]="My Value Plus Life &amp; Funeral",_xlfn.XLOOKUP(B461,Table2[Main Member Link ID],Table2[Benefit Name],0)=Lookups!$D$17),Lookups!$D$21,
IF(AND(Table2[[#This Row],[Member Type]]="Child",Table2[[#This Row],[Product Option]]="My Value Plus Life &amp; Funeral",_xlfn.XLOOKUP(B462,Table2[Main Member Link ID],Table2[Benefit Name],0)=Lookups!$D$14),"",
IF(AND(Table2[[#This Row],[Member Type]]="Child",Table2[[#This Row],[Product Option]]="My Value Plus Life &amp; Funeral",_xlfn.XLOOKUP(B462,Table2[Main Member Link ID],Table2[Benefit Name],0)=Lookups!$D$15),"",
IF(AND(Table2[[#This Row],[Member Type]]="Child",Table2[[#This Row],[Product Option]]="My Value Plus Life &amp; Funeral",_xlfn.XLOOKUP(B462,Table2[Main Member Link ID],Table2[Benefit Name],0)=Lookups!$D$16),Lookups!$D$24,
IF(AND(Table2[[#This Row],[Member Type]]="Child",Table2[[#This Row],[Product Option]]="My Value Plus Life &amp; Funeral",_xlfn.XLOOKUP(B462,Table2[Main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Funeral",_xlfn.XLOOKUP(B462,Table2[Main Member Link ID],Table2[Benefit Name],0)&lt;&gt;Lookups!$D$14),
IF(_xlfn.XLOOKUP(B462,Table2[Main Member Link ID],Table2[Benefit Name],0)=0,"",_xlfn.XLOOKUP(B462,Table2[Main Member Link ID],Table2[Benefit Name],0)),"")))))))))))))))</f>
        <v/>
      </c>
      <c r="AF462" s="327" t="str">
        <f>IF(AND(Table2[[#This Row],[Member Type]]="Main Member",Table2[[#This Row],[Product Option]]="My Value Plus Life &amp; Funeral"),Lookups!$D$15,
IF(AND(Table2[[#This Row],[Member Type]]="Spouse",Table2[[#This Row],[Product Option]]="My Value Plus Life &amp; Funeral",_xlfn.XLOOKUP(B462,Table2[Main Member Link ID],Table2[Benefit Name],0)=Lookups!$D$14),"",
IF(AND(Table2[[#This Row],[Member Type]]="Spouse",Table2[[#This Row],[Product Option]]="My Value Plus Life &amp; Funeral",_xlfn.XLOOKUP(B461,Table2[Main Member Link ID],Table2[Benefit Name],0)=Lookups!$D$16),"",
IF(AND(Table2[[#This Row],[Member Type]]="Spouse",Table2[[#This Row],[Product Option]]="My Value Plus Life &amp; Funeral",_xlfn.XLOOKUP(B461,Table2[Main Member Link ID],Table2[Benefit Name],0)=Lookups!$D$15),"",
IF(AND(Table2[[#This Row],[Member Type]]="Spouse",Table2[[#This Row],[Product Option]]="My Value Plus Life &amp; Funeral",_xlfn.XLOOKUP(B461,Table2[Main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Funeral",_xlfn.XLOOKUP(B462,Table2[Main Member Link ID],Table2[Benefit Name],0)&lt;&gt;Lookups!$D$15),
IF(_xlfn.XLOOKUP(B462,Table2[Main Member Link ID],Table2[Benefit Name],0)=0,"",_xlfn.XLOOKUP(B462,Table2[Main Member Link ID],Table2[Benefit Name],0)),"")
))))))</f>
        <v/>
      </c>
      <c r="AG462" s="327" t="str">
        <f>IF(AND(Table2[[#This Row],[Member Type]]="Main Member",Table2[[#This Row],[Product Option]]="My Value Plus Life &amp; Funeral"),Lookups!$D$16,
IF(AND(Table2[[#This Row],[Member Type]]="Spouse",Table2[[#This Row],[Product Option]]="My Value Plus Life &amp; Funeral",_xlfn.XLOOKUP(B462,Table2[Main Member Link ID],Table2[Benefit Name],0)=Lookups!$D$14),"",
IF(AND(Table2[[#This Row],[Member Type]]="Spouse",Table2[[#This Row],[Product Option]]="My Value Plus Life &amp; Funeral",_xlfn.XLOOKUP(B461,Table2[Main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Funeral",_xlfn.XLOOKUP(B462,Table2[Main Member Link ID],Table2[Benefit Name],0)&lt;&gt;Lookups!$D$16),
IF(_xlfn.XLOOKUP(B462,Table2[Main Member Link ID],Table2[Benefit Name],0)=0,"",_xlfn.XLOOKUP(B462,Table2[Main Member Link ID],Table2[Benefit Name],0)),"")
))))</f>
        <v/>
      </c>
      <c r="AH462" s="327" t="str">
        <f>IF(AND(Table2[[#This Row],[Member Type]]="Main Member",Table2[[#This Row],[Product Option]]="My Value Plus Life &amp; Funeral"),Lookups!$D$17,
IF(AND(Table2[[#This Row],[Member Type]]="Spouse",Table2[[#This Row],[Product Option]]="My Value Plus Life &amp; Funeral",_xlfn.XLOOKUP(B462,Table2[Main Member Link ID],Table2[Benefit Name],0)=Lookups!$D$14),"",
IF(AND(Table2[[#This Row],[Member Type]]="Spouse",Table2[[#This Row],[Product Option]]="My Value Plus Life &amp; Funeral",_xlfn.XLOOKUP(B461,Table2[Main Member Link ID],Table2[Benefit Name],0)=Lookups!$D$16),"",
IF(AND(Table2[[#This Row],[Member Type]]="Child",Table2[[#This Row],[Product Option]]="My Value Plus Life &amp; Funeral"),"",
IF(AND(Table2[[#This Row],[Member Type]]="Child",Table2[[#This Row],[Product Option]]="My Value Plus Life &amp; Funeral",_xlfn.XLOOKUP(B462,Table2[Main Member Link ID],Table2[Benefit Name],0)=Lookups!$D$15),"",
IF(AND(OR(Table2[[#This Row],[Member Type]]="Spouse",Table2[[#This Row],[Member Type]]="Child"),Table2[[#This Row],[Product Option]]="My Value Plus Life &amp; Funeral",_xlfn.XLOOKUP(B462,Table2[Main Member Link ID],Table2[Benefit Name],0)&lt;&gt;Lookups!$D$17),
IF(_xlfn.XLOOKUP(B462,Table2[Main Member Link ID],Table2[Benefit Name],0)=0,"",_xlfn.XLOOKUP(B462,Table2[Main Member Link ID],Table2[Benefit Name],0)),""))))))</f>
        <v/>
      </c>
      <c r="AI462" s="328" t="str">
        <f>IF(AND(Table2[[#This Row],[Member Type]]="Main Member",Table2[[#This Row],[Table Lookup for Life Cover]]="MM_LIFE",Table2[[#This Row],[Age Next Birthday]]&lt;56),1,
IF(AND(Table2[[#This Row],[Member Type]]="Main Member",Table2[[#This Row],[Table Lookup for Life Cover]]="MM_LIFE",Table2[[#This Row],[Age Next Birthday]]&gt;=56),2,
""))</f>
        <v/>
      </c>
      <c r="AJ462" s="328">
        <f>IF(OR(Table2[[#This Row],[Member Type]]="Main Member",Table2[[#This Row],[Main Member Link ID]]=B461),1,0)</f>
        <v>1</v>
      </c>
      <c r="AK462" s="328">
        <f>IF(Table2[[#This Row],[Member Type]]=0,0,
IF(OR(Table2[[#This Row],[Member Type]]="Main Member",Table2[[#This Row],[Main Member Link ID]]&lt;&gt;B462),COUNTIFS(B:B,Table2[[#This Row],[Main Member Link ID]]),
COUNTIFS(B:B,Table2[[#This Row],[Main Member Link ID]],A:A,Table2[[#This Row],[Member Type]])))</f>
        <v>0</v>
      </c>
    </row>
    <row r="463" spans="1:37" x14ac:dyDescent="0.3">
      <c r="A463" s="284">
        <f>Table13[[#This Row],[Member Type]]</f>
        <v>0</v>
      </c>
      <c r="B463" s="284">
        <f>Table13[[#This Row],[Main Member Link ID]]</f>
        <v>0</v>
      </c>
      <c r="C463" s="284">
        <f>Table13[[#This Row],[ID Number]]</f>
        <v>0</v>
      </c>
      <c r="D463" s="285">
        <f>Table13[[#This Row],[Date Of Birth]]</f>
        <v>0</v>
      </c>
      <c r="E463" s="285">
        <f>Table13[[#This Row],[Commencement Date]]</f>
        <v>0</v>
      </c>
      <c r="F463" s="284">
        <f t="shared" si="49"/>
        <v>1</v>
      </c>
      <c r="G463" s="284">
        <f t="shared" si="50"/>
        <v>25</v>
      </c>
      <c r="H463" s="286">
        <f>Table13[[#This Row],[Product Option]]</f>
        <v>0</v>
      </c>
      <c r="I463" s="284">
        <f>IF(AND($A463="Main Member",Table2[[#This Row],[Product Option]]="My Value Plus Life"),"MM_LIFE",
IF(AND($A463="Spouse",Table2[[#This Row],[Product Option]]="My Value Plus Life"),"SP_LIFE",
IF(AND($A463="Main Member",Table2[[#This Row],[Product Option]]="My Value Plus Life &amp; Funeral"),"MM_LIFE",
IF(AND($A463="Spouse",Table2[[#This Row],[Product Option]]="My Value Plus Life &amp; Funeral"),_xlfn.XLOOKUP(Table2[[#This Row],[Benefit Name]],Lookups!$D$18:$D$23,Lookups!$E$18:$E$23,0),
0))))</f>
        <v>0</v>
      </c>
      <c r="J463" s="284">
        <f>IF($I463="","",
IF($I463="MM_LIFE",INDEX('Quotation Tool'!$S$54:$V$60,MATCH($T463,'Quotation Tool'!$S$54:$S$60,0),4),
IF($I463="SP_LIFE",_xlfn.XLOOKUP(B462,$B:$B,$J:$J,0),0)))</f>
        <v>0</v>
      </c>
      <c r="K463" s="287">
        <f t="shared" ca="1" si="54"/>
        <v>0</v>
      </c>
      <c r="L463" s="288">
        <f t="shared" ca="1" si="55"/>
        <v>0</v>
      </c>
      <c r="M463" s="289">
        <f t="shared" ca="1" si="51"/>
        <v>0</v>
      </c>
      <c r="N463" s="286">
        <f>Table13[[#This Row],[Benefit Option]]</f>
        <v>0</v>
      </c>
      <c r="O463" s="284">
        <f>IF(OR(Table2[[#This Row],[Member Type]]="Spouse",Table2[[#This Row],[Member Type]]="Child"),0,
IF(_xlfn.XLOOKUP($N463,Lookups!$D$13:$D$27,Lookups!$F$13:$F$27,0)=Table2[[#This Row],[Table Lookup for Life Cover]],0,
_xlfn.XLOOKUP($N463,Lookups!$D$13:$D$27,Lookups!$F$13:$F$27,0)))</f>
        <v>0</v>
      </c>
      <c r="P463" s="284">
        <f>IF(Table2[[#This Row],[Table Lookup for Funeral]]=0,0,IFERROR(INDEX('Quotation Tool'!$S$54:$V$60,MATCH($T463,'Quotation Tool'!$S$54:$S$60,0),3),0))</f>
        <v>0</v>
      </c>
      <c r="Q463" s="288">
        <f ca="1">IF(OR(Table2[[#This Row],[Benefit Name]]="My Value Plus Life - Main Member",Table2[[#This Row],[Benefit Name]]="My Value Plus Life - Spouse"),0,
IFERROR(VLOOKUP($G463,INDIRECT($O463),$P463,FALSE),0))</f>
        <v>0</v>
      </c>
      <c r="R463" s="288">
        <f ca="1">IF(OR(Table2[[#This Row],[Benefit Name]]="My Value Plus Life - Main Member",Table2[[#This Row],[Benefit Name]]="My Value Plus Life - Spouse"),0,
IFERROR(VLOOKUP($G463,INDIRECT($O463),$P463+1,FALSE),0))</f>
        <v>0</v>
      </c>
      <c r="S463" s="289">
        <f t="shared" ca="1" si="52"/>
        <v>0</v>
      </c>
      <c r="T463" s="284" t="str">
        <f>IF(Table13[[#This Row],[Premium Waiver]]="","None",Table13[[#This Row],[Premium Waiver]])</f>
        <v>None</v>
      </c>
      <c r="U463" s="284">
        <f>Table13[[#This Row],[VAPs Options]]</f>
        <v>0</v>
      </c>
      <c r="V463" s="284">
        <f>Table13[[#This Row],[Annual Increase Option]]</f>
        <v>0</v>
      </c>
      <c r="W463" s="290">
        <f>Table13[[#This Row],[Life Cover Amount]]</f>
        <v>0</v>
      </c>
      <c r="X463" s="290">
        <f>Table13[[#This Row],[Funeral Cover Amount]]</f>
        <v>0</v>
      </c>
      <c r="Y46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6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63" s="301">
        <f t="shared" ca="1" si="53"/>
        <v>0</v>
      </c>
      <c r="AB463" s="298"/>
      <c r="AC463" s="326" t="str">
        <f>IF(Table2[[#This Row],[Member Type]]="Main Member",Lookups!$C$13,
IF(Table2[[#This Row],[Member Type]]="Spouse",_xlfn.XLOOKUP(B463,Table2[Main Member Link ID],Table2[Product Option],0),
IF(AND(Table2[[#This Row],[Member Type]]="Child",_xlfn.XLOOKUP(B463,Table2[Main Member Link ID],Table2[Product Option],0)&lt;&gt;"My Value Plus Life"),Lookups!$C$24,
IF(AND(OR(Table2[[#This Row],[Member Type]]="Parent",Table2[[#This Row],[Member Type]]="Extended"),_xlfn.XLOOKUP(B463,Table2[Main Member Link ID],Table2[Product Option],0)&lt;&gt;"My Value Plus Life"),Lookups!$C$26,""))))</f>
        <v/>
      </c>
      <c r="AD463" s="326" t="str">
        <f>IF(Table2[[#This Row],[Member Type]]="Main Member",Lookups!$C$14,"")</f>
        <v/>
      </c>
      <c r="AE46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Funeral",_xlfn.XLOOKUP(B463,Table2[Main Member Link ID],Table2[Benefit Name],0)=Lookups!$D$14),"",
IF(AND(Table2[[#This Row],[Member Type]]="Spouse",Table2[[#This Row],[Product Option]]="My Value Plus Life &amp; Funeral",_xlfn.XLOOKUP(B462,Table2[Main Member Link ID],Table2[Benefit Name],0)=Lookups!$D$15),Lookups!$D$20,
IF(AND(Table2[[#This Row],[Member Type]]="Spouse",Table2[[#This Row],[Product Option]]="My Value Plus Life &amp; Funeral",_xlfn.XLOOKUP(B462,Table2[Main Member Link ID],Table2[Benefit Name],0)=Lookups!$D$16),"",
IF(AND(Table2[[#This Row],[Member Type]]="Spouse",Table2[[#This Row],[Product Option]]="My Value Plus Life &amp; Funeral",_xlfn.XLOOKUP(B462,Table2[Main Member Link ID],Table2[Benefit Name],0)=Lookups!$D$17),Lookups!$D$21,
IF(AND(Table2[[#This Row],[Member Type]]="Child",Table2[[#This Row],[Product Option]]="My Value Plus Life &amp; Funeral",_xlfn.XLOOKUP(B463,Table2[Main Member Link ID],Table2[Benefit Name],0)=Lookups!$D$14),"",
IF(AND(Table2[[#This Row],[Member Type]]="Child",Table2[[#This Row],[Product Option]]="My Value Plus Life &amp; Funeral",_xlfn.XLOOKUP(B463,Table2[Main Member Link ID],Table2[Benefit Name],0)=Lookups!$D$15),"",
IF(AND(Table2[[#This Row],[Member Type]]="Child",Table2[[#This Row],[Product Option]]="My Value Plus Life &amp; Funeral",_xlfn.XLOOKUP(B463,Table2[Main Member Link ID],Table2[Benefit Name],0)=Lookups!$D$16),Lookups!$D$24,
IF(AND(Table2[[#This Row],[Member Type]]="Child",Table2[[#This Row],[Product Option]]="My Value Plus Life &amp; Funeral",_xlfn.XLOOKUP(B463,Table2[Main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Funeral",_xlfn.XLOOKUP(B463,Table2[Main Member Link ID],Table2[Benefit Name],0)&lt;&gt;Lookups!$D$14),
IF(_xlfn.XLOOKUP(B463,Table2[Main Member Link ID],Table2[Benefit Name],0)=0,"",_xlfn.XLOOKUP(B463,Table2[Main Member Link ID],Table2[Benefit Name],0)),"")))))))))))))))</f>
        <v/>
      </c>
      <c r="AF463" s="327" t="str">
        <f>IF(AND(Table2[[#This Row],[Member Type]]="Main Member",Table2[[#This Row],[Product Option]]="My Value Plus Life &amp; Funeral"),Lookups!$D$15,
IF(AND(Table2[[#This Row],[Member Type]]="Spouse",Table2[[#This Row],[Product Option]]="My Value Plus Life &amp; Funeral",_xlfn.XLOOKUP(B463,Table2[Main Member Link ID],Table2[Benefit Name],0)=Lookups!$D$14),"",
IF(AND(Table2[[#This Row],[Member Type]]="Spouse",Table2[[#This Row],[Product Option]]="My Value Plus Life &amp; Funeral",_xlfn.XLOOKUP(B462,Table2[Main Member Link ID],Table2[Benefit Name],0)=Lookups!$D$16),"",
IF(AND(Table2[[#This Row],[Member Type]]="Spouse",Table2[[#This Row],[Product Option]]="My Value Plus Life &amp; Funeral",_xlfn.XLOOKUP(B462,Table2[Main Member Link ID],Table2[Benefit Name],0)=Lookups!$D$15),"",
IF(AND(Table2[[#This Row],[Member Type]]="Spouse",Table2[[#This Row],[Product Option]]="My Value Plus Life &amp; Funeral",_xlfn.XLOOKUP(B462,Table2[Main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Funeral",_xlfn.XLOOKUP(B463,Table2[Main Member Link ID],Table2[Benefit Name],0)&lt;&gt;Lookups!$D$15),
IF(_xlfn.XLOOKUP(B463,Table2[Main Member Link ID],Table2[Benefit Name],0)=0,"",_xlfn.XLOOKUP(B463,Table2[Main Member Link ID],Table2[Benefit Name],0)),"")
))))))</f>
        <v/>
      </c>
      <c r="AG463" s="327" t="str">
        <f>IF(AND(Table2[[#This Row],[Member Type]]="Main Member",Table2[[#This Row],[Product Option]]="My Value Plus Life &amp; Funeral"),Lookups!$D$16,
IF(AND(Table2[[#This Row],[Member Type]]="Spouse",Table2[[#This Row],[Product Option]]="My Value Plus Life &amp; Funeral",_xlfn.XLOOKUP(B463,Table2[Main Member Link ID],Table2[Benefit Name],0)=Lookups!$D$14),"",
IF(AND(Table2[[#This Row],[Member Type]]="Spouse",Table2[[#This Row],[Product Option]]="My Value Plus Life &amp; Funeral",_xlfn.XLOOKUP(B462,Table2[Main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Funeral",_xlfn.XLOOKUP(B463,Table2[Main Member Link ID],Table2[Benefit Name],0)&lt;&gt;Lookups!$D$16),
IF(_xlfn.XLOOKUP(B463,Table2[Main Member Link ID],Table2[Benefit Name],0)=0,"",_xlfn.XLOOKUP(B463,Table2[Main Member Link ID],Table2[Benefit Name],0)),"")
))))</f>
        <v/>
      </c>
      <c r="AH463" s="327" t="str">
        <f>IF(AND(Table2[[#This Row],[Member Type]]="Main Member",Table2[[#This Row],[Product Option]]="My Value Plus Life &amp; Funeral"),Lookups!$D$17,
IF(AND(Table2[[#This Row],[Member Type]]="Spouse",Table2[[#This Row],[Product Option]]="My Value Plus Life &amp; Funeral",_xlfn.XLOOKUP(B463,Table2[Main Member Link ID],Table2[Benefit Name],0)=Lookups!$D$14),"",
IF(AND(Table2[[#This Row],[Member Type]]="Spouse",Table2[[#This Row],[Product Option]]="My Value Plus Life &amp; Funeral",_xlfn.XLOOKUP(B462,Table2[Main Member Link ID],Table2[Benefit Name],0)=Lookups!$D$16),"",
IF(AND(Table2[[#This Row],[Member Type]]="Child",Table2[[#This Row],[Product Option]]="My Value Plus Life &amp; Funeral"),"",
IF(AND(Table2[[#This Row],[Member Type]]="Child",Table2[[#This Row],[Product Option]]="My Value Plus Life &amp; Funeral",_xlfn.XLOOKUP(B463,Table2[Main Member Link ID],Table2[Benefit Name],0)=Lookups!$D$15),"",
IF(AND(OR(Table2[[#This Row],[Member Type]]="Spouse",Table2[[#This Row],[Member Type]]="Child"),Table2[[#This Row],[Product Option]]="My Value Plus Life &amp; Funeral",_xlfn.XLOOKUP(B463,Table2[Main Member Link ID],Table2[Benefit Name],0)&lt;&gt;Lookups!$D$17),
IF(_xlfn.XLOOKUP(B463,Table2[Main Member Link ID],Table2[Benefit Name],0)=0,"",_xlfn.XLOOKUP(B463,Table2[Main Member Link ID],Table2[Benefit Name],0)),""))))))</f>
        <v/>
      </c>
      <c r="AI463" s="328" t="str">
        <f>IF(AND(Table2[[#This Row],[Member Type]]="Main Member",Table2[[#This Row],[Table Lookup for Life Cover]]="MM_LIFE",Table2[[#This Row],[Age Next Birthday]]&lt;56),1,
IF(AND(Table2[[#This Row],[Member Type]]="Main Member",Table2[[#This Row],[Table Lookup for Life Cover]]="MM_LIFE",Table2[[#This Row],[Age Next Birthday]]&gt;=56),2,
""))</f>
        <v/>
      </c>
      <c r="AJ463" s="328">
        <f>IF(OR(Table2[[#This Row],[Member Type]]="Main Member",Table2[[#This Row],[Main Member Link ID]]=B462),1,0)</f>
        <v>1</v>
      </c>
      <c r="AK463" s="328">
        <f>IF(Table2[[#This Row],[Member Type]]=0,0,
IF(OR(Table2[[#This Row],[Member Type]]="Main Member",Table2[[#This Row],[Main Member Link ID]]&lt;&gt;B463),COUNTIFS(B:B,Table2[[#This Row],[Main Member Link ID]]),
COUNTIFS(B:B,Table2[[#This Row],[Main Member Link ID]],A:A,Table2[[#This Row],[Member Type]])))</f>
        <v>0</v>
      </c>
    </row>
    <row r="464" spans="1:37" x14ac:dyDescent="0.3">
      <c r="A464" s="284">
        <f>Table13[[#This Row],[Member Type]]</f>
        <v>0</v>
      </c>
      <c r="B464" s="284">
        <f>Table13[[#This Row],[Main Member Link ID]]</f>
        <v>0</v>
      </c>
      <c r="C464" s="284">
        <f>Table13[[#This Row],[ID Number]]</f>
        <v>0</v>
      </c>
      <c r="D464" s="285">
        <f>Table13[[#This Row],[Date Of Birth]]</f>
        <v>0</v>
      </c>
      <c r="E464" s="285">
        <f>Table13[[#This Row],[Commencement Date]]</f>
        <v>0</v>
      </c>
      <c r="F464" s="284">
        <f t="shared" si="49"/>
        <v>1</v>
      </c>
      <c r="G464" s="284">
        <f t="shared" si="50"/>
        <v>25</v>
      </c>
      <c r="H464" s="286">
        <f>Table13[[#This Row],[Product Option]]</f>
        <v>0</v>
      </c>
      <c r="I464" s="284">
        <f>IF(AND($A464="Main Member",Table2[[#This Row],[Product Option]]="My Value Plus Life"),"MM_LIFE",
IF(AND($A464="Spouse",Table2[[#This Row],[Product Option]]="My Value Plus Life"),"SP_LIFE",
IF(AND($A464="Main Member",Table2[[#This Row],[Product Option]]="My Value Plus Life &amp; Funeral"),"MM_LIFE",
IF(AND($A464="Spouse",Table2[[#This Row],[Product Option]]="My Value Plus Life &amp; Funeral"),_xlfn.XLOOKUP(Table2[[#This Row],[Benefit Name]],Lookups!$D$18:$D$23,Lookups!$E$18:$E$23,0),
0))))</f>
        <v>0</v>
      </c>
      <c r="J464" s="284">
        <f>IF($I464="","",
IF($I464="MM_LIFE",INDEX('Quotation Tool'!$S$54:$V$60,MATCH($T464,'Quotation Tool'!$S$54:$S$60,0),4),
IF($I464="SP_LIFE",_xlfn.XLOOKUP(B463,$B:$B,$J:$J,0),0)))</f>
        <v>0</v>
      </c>
      <c r="K464" s="287">
        <f t="shared" ca="1" si="54"/>
        <v>0</v>
      </c>
      <c r="L464" s="288">
        <f t="shared" ca="1" si="55"/>
        <v>0</v>
      </c>
      <c r="M464" s="289">
        <f t="shared" ca="1" si="51"/>
        <v>0</v>
      </c>
      <c r="N464" s="286">
        <f>Table13[[#This Row],[Benefit Option]]</f>
        <v>0</v>
      </c>
      <c r="O464" s="284">
        <f>IF(OR(Table2[[#This Row],[Member Type]]="Spouse",Table2[[#This Row],[Member Type]]="Child"),0,
IF(_xlfn.XLOOKUP($N464,Lookups!$D$13:$D$27,Lookups!$F$13:$F$27,0)=Table2[[#This Row],[Table Lookup for Life Cover]],0,
_xlfn.XLOOKUP($N464,Lookups!$D$13:$D$27,Lookups!$F$13:$F$27,0)))</f>
        <v>0</v>
      </c>
      <c r="P464" s="284">
        <f>IF(Table2[[#This Row],[Table Lookup for Funeral]]=0,0,IFERROR(INDEX('Quotation Tool'!$S$54:$V$60,MATCH($T464,'Quotation Tool'!$S$54:$S$60,0),3),0))</f>
        <v>0</v>
      </c>
      <c r="Q464" s="288">
        <f ca="1">IF(OR(Table2[[#This Row],[Benefit Name]]="My Value Plus Life - Main Member",Table2[[#This Row],[Benefit Name]]="My Value Plus Life - Spouse"),0,
IFERROR(VLOOKUP($G464,INDIRECT($O464),$P464,FALSE),0))</f>
        <v>0</v>
      </c>
      <c r="R464" s="288">
        <f ca="1">IF(OR(Table2[[#This Row],[Benefit Name]]="My Value Plus Life - Main Member",Table2[[#This Row],[Benefit Name]]="My Value Plus Life - Spouse"),0,
IFERROR(VLOOKUP($G464,INDIRECT($O464),$P464+1,FALSE),0))</f>
        <v>0</v>
      </c>
      <c r="S464" s="289">
        <f t="shared" ca="1" si="52"/>
        <v>0</v>
      </c>
      <c r="T464" s="284" t="str">
        <f>IF(Table13[[#This Row],[Premium Waiver]]="","None",Table13[[#This Row],[Premium Waiver]])</f>
        <v>None</v>
      </c>
      <c r="U464" s="284">
        <f>Table13[[#This Row],[VAPs Options]]</f>
        <v>0</v>
      </c>
      <c r="V464" s="284">
        <f>Table13[[#This Row],[Annual Increase Option]]</f>
        <v>0</v>
      </c>
      <c r="W464" s="290">
        <f>Table13[[#This Row],[Life Cover Amount]]</f>
        <v>0</v>
      </c>
      <c r="X464" s="290">
        <f>Table13[[#This Row],[Funeral Cover Amount]]</f>
        <v>0</v>
      </c>
      <c r="Y46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6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64" s="301">
        <f t="shared" ca="1" si="53"/>
        <v>0</v>
      </c>
      <c r="AB464" s="298"/>
      <c r="AC464" s="326" t="str">
        <f>IF(Table2[[#This Row],[Member Type]]="Main Member",Lookups!$C$13,
IF(Table2[[#This Row],[Member Type]]="Spouse",_xlfn.XLOOKUP(B464,Table2[Main Member Link ID],Table2[Product Option],0),
IF(AND(Table2[[#This Row],[Member Type]]="Child",_xlfn.XLOOKUP(B464,Table2[Main Member Link ID],Table2[Product Option],0)&lt;&gt;"My Value Plus Life"),Lookups!$C$24,
IF(AND(OR(Table2[[#This Row],[Member Type]]="Parent",Table2[[#This Row],[Member Type]]="Extended"),_xlfn.XLOOKUP(B464,Table2[Main Member Link ID],Table2[Product Option],0)&lt;&gt;"My Value Plus Life"),Lookups!$C$26,""))))</f>
        <v/>
      </c>
      <c r="AD464" s="326" t="str">
        <f>IF(Table2[[#This Row],[Member Type]]="Main Member",Lookups!$C$14,"")</f>
        <v/>
      </c>
      <c r="AE46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Funeral",_xlfn.XLOOKUP(B464,Table2[Main Member Link ID],Table2[Benefit Name],0)=Lookups!$D$14),"",
IF(AND(Table2[[#This Row],[Member Type]]="Spouse",Table2[[#This Row],[Product Option]]="My Value Plus Life &amp; Funeral",_xlfn.XLOOKUP(B463,Table2[Main Member Link ID],Table2[Benefit Name],0)=Lookups!$D$15),Lookups!$D$20,
IF(AND(Table2[[#This Row],[Member Type]]="Spouse",Table2[[#This Row],[Product Option]]="My Value Plus Life &amp; Funeral",_xlfn.XLOOKUP(B463,Table2[Main Member Link ID],Table2[Benefit Name],0)=Lookups!$D$16),"",
IF(AND(Table2[[#This Row],[Member Type]]="Spouse",Table2[[#This Row],[Product Option]]="My Value Plus Life &amp; Funeral",_xlfn.XLOOKUP(B463,Table2[Main Member Link ID],Table2[Benefit Name],0)=Lookups!$D$17),Lookups!$D$21,
IF(AND(Table2[[#This Row],[Member Type]]="Child",Table2[[#This Row],[Product Option]]="My Value Plus Life &amp; Funeral",_xlfn.XLOOKUP(B464,Table2[Main Member Link ID],Table2[Benefit Name],0)=Lookups!$D$14),"",
IF(AND(Table2[[#This Row],[Member Type]]="Child",Table2[[#This Row],[Product Option]]="My Value Plus Life &amp; Funeral",_xlfn.XLOOKUP(B464,Table2[Main Member Link ID],Table2[Benefit Name],0)=Lookups!$D$15),"",
IF(AND(Table2[[#This Row],[Member Type]]="Child",Table2[[#This Row],[Product Option]]="My Value Plus Life &amp; Funeral",_xlfn.XLOOKUP(B464,Table2[Main Member Link ID],Table2[Benefit Name],0)=Lookups!$D$16),Lookups!$D$24,
IF(AND(Table2[[#This Row],[Member Type]]="Child",Table2[[#This Row],[Product Option]]="My Value Plus Life &amp; Funeral",_xlfn.XLOOKUP(B464,Table2[Main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Funeral",_xlfn.XLOOKUP(B464,Table2[Main Member Link ID],Table2[Benefit Name],0)&lt;&gt;Lookups!$D$14),
IF(_xlfn.XLOOKUP(B464,Table2[Main Member Link ID],Table2[Benefit Name],0)=0,"",_xlfn.XLOOKUP(B464,Table2[Main Member Link ID],Table2[Benefit Name],0)),"")))))))))))))))</f>
        <v/>
      </c>
      <c r="AF464" s="327" t="str">
        <f>IF(AND(Table2[[#This Row],[Member Type]]="Main Member",Table2[[#This Row],[Product Option]]="My Value Plus Life &amp; Funeral"),Lookups!$D$15,
IF(AND(Table2[[#This Row],[Member Type]]="Spouse",Table2[[#This Row],[Product Option]]="My Value Plus Life &amp; Funeral",_xlfn.XLOOKUP(B464,Table2[Main Member Link ID],Table2[Benefit Name],0)=Lookups!$D$14),"",
IF(AND(Table2[[#This Row],[Member Type]]="Spouse",Table2[[#This Row],[Product Option]]="My Value Plus Life &amp; Funeral",_xlfn.XLOOKUP(B463,Table2[Main Member Link ID],Table2[Benefit Name],0)=Lookups!$D$16),"",
IF(AND(Table2[[#This Row],[Member Type]]="Spouse",Table2[[#This Row],[Product Option]]="My Value Plus Life &amp; Funeral",_xlfn.XLOOKUP(B463,Table2[Main Member Link ID],Table2[Benefit Name],0)=Lookups!$D$15),"",
IF(AND(Table2[[#This Row],[Member Type]]="Spouse",Table2[[#This Row],[Product Option]]="My Value Plus Life &amp; Funeral",_xlfn.XLOOKUP(B463,Table2[Main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Funeral",_xlfn.XLOOKUP(B464,Table2[Main Member Link ID],Table2[Benefit Name],0)&lt;&gt;Lookups!$D$15),
IF(_xlfn.XLOOKUP(B464,Table2[Main Member Link ID],Table2[Benefit Name],0)=0,"",_xlfn.XLOOKUP(B464,Table2[Main Member Link ID],Table2[Benefit Name],0)),"")
))))))</f>
        <v/>
      </c>
      <c r="AG464" s="327" t="str">
        <f>IF(AND(Table2[[#This Row],[Member Type]]="Main Member",Table2[[#This Row],[Product Option]]="My Value Plus Life &amp; Funeral"),Lookups!$D$16,
IF(AND(Table2[[#This Row],[Member Type]]="Spouse",Table2[[#This Row],[Product Option]]="My Value Plus Life &amp; Funeral",_xlfn.XLOOKUP(B464,Table2[Main Member Link ID],Table2[Benefit Name],0)=Lookups!$D$14),"",
IF(AND(Table2[[#This Row],[Member Type]]="Spouse",Table2[[#This Row],[Product Option]]="My Value Plus Life &amp; Funeral",_xlfn.XLOOKUP(B463,Table2[Main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Funeral",_xlfn.XLOOKUP(B464,Table2[Main Member Link ID],Table2[Benefit Name],0)&lt;&gt;Lookups!$D$16),
IF(_xlfn.XLOOKUP(B464,Table2[Main Member Link ID],Table2[Benefit Name],0)=0,"",_xlfn.XLOOKUP(B464,Table2[Main Member Link ID],Table2[Benefit Name],0)),"")
))))</f>
        <v/>
      </c>
      <c r="AH464" s="327" t="str">
        <f>IF(AND(Table2[[#This Row],[Member Type]]="Main Member",Table2[[#This Row],[Product Option]]="My Value Plus Life &amp; Funeral"),Lookups!$D$17,
IF(AND(Table2[[#This Row],[Member Type]]="Spouse",Table2[[#This Row],[Product Option]]="My Value Plus Life &amp; Funeral",_xlfn.XLOOKUP(B464,Table2[Main Member Link ID],Table2[Benefit Name],0)=Lookups!$D$14),"",
IF(AND(Table2[[#This Row],[Member Type]]="Spouse",Table2[[#This Row],[Product Option]]="My Value Plus Life &amp; Funeral",_xlfn.XLOOKUP(B463,Table2[Main Member Link ID],Table2[Benefit Name],0)=Lookups!$D$16),"",
IF(AND(Table2[[#This Row],[Member Type]]="Child",Table2[[#This Row],[Product Option]]="My Value Plus Life &amp; Funeral"),"",
IF(AND(Table2[[#This Row],[Member Type]]="Child",Table2[[#This Row],[Product Option]]="My Value Plus Life &amp; Funeral",_xlfn.XLOOKUP(B464,Table2[Main Member Link ID],Table2[Benefit Name],0)=Lookups!$D$15),"",
IF(AND(OR(Table2[[#This Row],[Member Type]]="Spouse",Table2[[#This Row],[Member Type]]="Child"),Table2[[#This Row],[Product Option]]="My Value Plus Life &amp; Funeral",_xlfn.XLOOKUP(B464,Table2[Main Member Link ID],Table2[Benefit Name],0)&lt;&gt;Lookups!$D$17),
IF(_xlfn.XLOOKUP(B464,Table2[Main Member Link ID],Table2[Benefit Name],0)=0,"",_xlfn.XLOOKUP(B464,Table2[Main Member Link ID],Table2[Benefit Name],0)),""))))))</f>
        <v/>
      </c>
      <c r="AI464" s="328" t="str">
        <f>IF(AND(Table2[[#This Row],[Member Type]]="Main Member",Table2[[#This Row],[Table Lookup for Life Cover]]="MM_LIFE",Table2[[#This Row],[Age Next Birthday]]&lt;56),1,
IF(AND(Table2[[#This Row],[Member Type]]="Main Member",Table2[[#This Row],[Table Lookup for Life Cover]]="MM_LIFE",Table2[[#This Row],[Age Next Birthday]]&gt;=56),2,
""))</f>
        <v/>
      </c>
      <c r="AJ464" s="328">
        <f>IF(OR(Table2[[#This Row],[Member Type]]="Main Member",Table2[[#This Row],[Main Member Link ID]]=B463),1,0)</f>
        <v>1</v>
      </c>
      <c r="AK464" s="328">
        <f>IF(Table2[[#This Row],[Member Type]]=0,0,
IF(OR(Table2[[#This Row],[Member Type]]="Main Member",Table2[[#This Row],[Main Member Link ID]]&lt;&gt;B464),COUNTIFS(B:B,Table2[[#This Row],[Main Member Link ID]]),
COUNTIFS(B:B,Table2[[#This Row],[Main Member Link ID]],A:A,Table2[[#This Row],[Member Type]])))</f>
        <v>0</v>
      </c>
    </row>
    <row r="465" spans="1:37" x14ac:dyDescent="0.3">
      <c r="A465" s="284">
        <f>Table13[[#This Row],[Member Type]]</f>
        <v>0</v>
      </c>
      <c r="B465" s="284">
        <f>Table13[[#This Row],[Main Member Link ID]]</f>
        <v>0</v>
      </c>
      <c r="C465" s="284">
        <f>Table13[[#This Row],[ID Number]]</f>
        <v>0</v>
      </c>
      <c r="D465" s="285">
        <f>Table13[[#This Row],[Date Of Birth]]</f>
        <v>0</v>
      </c>
      <c r="E465" s="285">
        <f>Table13[[#This Row],[Commencement Date]]</f>
        <v>0</v>
      </c>
      <c r="F465" s="284">
        <f t="shared" si="49"/>
        <v>1</v>
      </c>
      <c r="G465" s="284">
        <f t="shared" si="50"/>
        <v>25</v>
      </c>
      <c r="H465" s="286">
        <f>Table13[[#This Row],[Product Option]]</f>
        <v>0</v>
      </c>
      <c r="I465" s="284">
        <f>IF(AND($A465="Main Member",Table2[[#This Row],[Product Option]]="My Value Plus Life"),"MM_LIFE",
IF(AND($A465="Spouse",Table2[[#This Row],[Product Option]]="My Value Plus Life"),"SP_LIFE",
IF(AND($A465="Main Member",Table2[[#This Row],[Product Option]]="My Value Plus Life &amp; Funeral"),"MM_LIFE",
IF(AND($A465="Spouse",Table2[[#This Row],[Product Option]]="My Value Plus Life &amp; Funeral"),_xlfn.XLOOKUP(Table2[[#This Row],[Benefit Name]],Lookups!$D$18:$D$23,Lookups!$E$18:$E$23,0),
0))))</f>
        <v>0</v>
      </c>
      <c r="J465" s="284">
        <f>IF($I465="","",
IF($I465="MM_LIFE",INDEX('Quotation Tool'!$S$54:$V$60,MATCH($T465,'Quotation Tool'!$S$54:$S$60,0),4),
IF($I465="SP_LIFE",_xlfn.XLOOKUP(B464,$B:$B,$J:$J,0),0)))</f>
        <v>0</v>
      </c>
      <c r="K465" s="287">
        <f t="shared" ca="1" si="54"/>
        <v>0</v>
      </c>
      <c r="L465" s="288">
        <f t="shared" ca="1" si="55"/>
        <v>0</v>
      </c>
      <c r="M465" s="289">
        <f t="shared" ca="1" si="51"/>
        <v>0</v>
      </c>
      <c r="N465" s="286">
        <f>Table13[[#This Row],[Benefit Option]]</f>
        <v>0</v>
      </c>
      <c r="O465" s="284">
        <f>IF(OR(Table2[[#This Row],[Member Type]]="Spouse",Table2[[#This Row],[Member Type]]="Child"),0,
IF(_xlfn.XLOOKUP($N465,Lookups!$D$13:$D$27,Lookups!$F$13:$F$27,0)=Table2[[#This Row],[Table Lookup for Life Cover]],0,
_xlfn.XLOOKUP($N465,Lookups!$D$13:$D$27,Lookups!$F$13:$F$27,0)))</f>
        <v>0</v>
      </c>
      <c r="P465" s="284">
        <f>IF(Table2[[#This Row],[Table Lookup for Funeral]]=0,0,IFERROR(INDEX('Quotation Tool'!$S$54:$V$60,MATCH($T465,'Quotation Tool'!$S$54:$S$60,0),3),0))</f>
        <v>0</v>
      </c>
      <c r="Q465" s="288">
        <f ca="1">IF(OR(Table2[[#This Row],[Benefit Name]]="My Value Plus Life - Main Member",Table2[[#This Row],[Benefit Name]]="My Value Plus Life - Spouse"),0,
IFERROR(VLOOKUP($G465,INDIRECT($O465),$P465,FALSE),0))</f>
        <v>0</v>
      </c>
      <c r="R465" s="288">
        <f ca="1">IF(OR(Table2[[#This Row],[Benefit Name]]="My Value Plus Life - Main Member",Table2[[#This Row],[Benefit Name]]="My Value Plus Life - Spouse"),0,
IFERROR(VLOOKUP($G465,INDIRECT($O465),$P465+1,FALSE),0))</f>
        <v>0</v>
      </c>
      <c r="S465" s="289">
        <f t="shared" ca="1" si="52"/>
        <v>0</v>
      </c>
      <c r="T465" s="284" t="str">
        <f>IF(Table13[[#This Row],[Premium Waiver]]="","None",Table13[[#This Row],[Premium Waiver]])</f>
        <v>None</v>
      </c>
      <c r="U465" s="284">
        <f>Table13[[#This Row],[VAPs Options]]</f>
        <v>0</v>
      </c>
      <c r="V465" s="284">
        <f>Table13[[#This Row],[Annual Increase Option]]</f>
        <v>0</v>
      </c>
      <c r="W465" s="290">
        <f>Table13[[#This Row],[Life Cover Amount]]</f>
        <v>0</v>
      </c>
      <c r="X465" s="290">
        <f>Table13[[#This Row],[Funeral Cover Amount]]</f>
        <v>0</v>
      </c>
      <c r="Y46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6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65" s="301">
        <f t="shared" ca="1" si="53"/>
        <v>0</v>
      </c>
      <c r="AB465" s="298"/>
      <c r="AC465" s="326" t="str">
        <f>IF(Table2[[#This Row],[Member Type]]="Main Member",Lookups!$C$13,
IF(Table2[[#This Row],[Member Type]]="Spouse",_xlfn.XLOOKUP(B465,Table2[Main Member Link ID],Table2[Product Option],0),
IF(AND(Table2[[#This Row],[Member Type]]="Child",_xlfn.XLOOKUP(B465,Table2[Main Member Link ID],Table2[Product Option],0)&lt;&gt;"My Value Plus Life"),Lookups!$C$24,
IF(AND(OR(Table2[[#This Row],[Member Type]]="Parent",Table2[[#This Row],[Member Type]]="Extended"),_xlfn.XLOOKUP(B465,Table2[Main Member Link ID],Table2[Product Option],0)&lt;&gt;"My Value Plus Life"),Lookups!$C$26,""))))</f>
        <v/>
      </c>
      <c r="AD465" s="326" t="str">
        <f>IF(Table2[[#This Row],[Member Type]]="Main Member",Lookups!$C$14,"")</f>
        <v/>
      </c>
      <c r="AE46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Funeral",_xlfn.XLOOKUP(B465,Table2[Main Member Link ID],Table2[Benefit Name],0)=Lookups!$D$14),"",
IF(AND(Table2[[#This Row],[Member Type]]="Spouse",Table2[[#This Row],[Product Option]]="My Value Plus Life &amp; Funeral",_xlfn.XLOOKUP(B464,Table2[Main Member Link ID],Table2[Benefit Name],0)=Lookups!$D$15),Lookups!$D$20,
IF(AND(Table2[[#This Row],[Member Type]]="Spouse",Table2[[#This Row],[Product Option]]="My Value Plus Life &amp; Funeral",_xlfn.XLOOKUP(B464,Table2[Main Member Link ID],Table2[Benefit Name],0)=Lookups!$D$16),"",
IF(AND(Table2[[#This Row],[Member Type]]="Spouse",Table2[[#This Row],[Product Option]]="My Value Plus Life &amp; Funeral",_xlfn.XLOOKUP(B464,Table2[Main Member Link ID],Table2[Benefit Name],0)=Lookups!$D$17),Lookups!$D$21,
IF(AND(Table2[[#This Row],[Member Type]]="Child",Table2[[#This Row],[Product Option]]="My Value Plus Life &amp; Funeral",_xlfn.XLOOKUP(B465,Table2[Main Member Link ID],Table2[Benefit Name],0)=Lookups!$D$14),"",
IF(AND(Table2[[#This Row],[Member Type]]="Child",Table2[[#This Row],[Product Option]]="My Value Plus Life &amp; Funeral",_xlfn.XLOOKUP(B465,Table2[Main Member Link ID],Table2[Benefit Name],0)=Lookups!$D$15),"",
IF(AND(Table2[[#This Row],[Member Type]]="Child",Table2[[#This Row],[Product Option]]="My Value Plus Life &amp; Funeral",_xlfn.XLOOKUP(B465,Table2[Main Member Link ID],Table2[Benefit Name],0)=Lookups!$D$16),Lookups!$D$24,
IF(AND(Table2[[#This Row],[Member Type]]="Child",Table2[[#This Row],[Product Option]]="My Value Plus Life &amp; Funeral",_xlfn.XLOOKUP(B465,Table2[Main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Funeral",_xlfn.XLOOKUP(B465,Table2[Main Member Link ID],Table2[Benefit Name],0)&lt;&gt;Lookups!$D$14),
IF(_xlfn.XLOOKUP(B465,Table2[Main Member Link ID],Table2[Benefit Name],0)=0,"",_xlfn.XLOOKUP(B465,Table2[Main Member Link ID],Table2[Benefit Name],0)),"")))))))))))))))</f>
        <v/>
      </c>
      <c r="AF465" s="327" t="str">
        <f>IF(AND(Table2[[#This Row],[Member Type]]="Main Member",Table2[[#This Row],[Product Option]]="My Value Plus Life &amp; Funeral"),Lookups!$D$15,
IF(AND(Table2[[#This Row],[Member Type]]="Spouse",Table2[[#This Row],[Product Option]]="My Value Plus Life &amp; Funeral",_xlfn.XLOOKUP(B465,Table2[Main Member Link ID],Table2[Benefit Name],0)=Lookups!$D$14),"",
IF(AND(Table2[[#This Row],[Member Type]]="Spouse",Table2[[#This Row],[Product Option]]="My Value Plus Life &amp; Funeral",_xlfn.XLOOKUP(B464,Table2[Main Member Link ID],Table2[Benefit Name],0)=Lookups!$D$16),"",
IF(AND(Table2[[#This Row],[Member Type]]="Spouse",Table2[[#This Row],[Product Option]]="My Value Plus Life &amp; Funeral",_xlfn.XLOOKUP(B464,Table2[Main Member Link ID],Table2[Benefit Name],0)=Lookups!$D$15),"",
IF(AND(Table2[[#This Row],[Member Type]]="Spouse",Table2[[#This Row],[Product Option]]="My Value Plus Life &amp; Funeral",_xlfn.XLOOKUP(B464,Table2[Main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Funeral",_xlfn.XLOOKUP(B465,Table2[Main Member Link ID],Table2[Benefit Name],0)&lt;&gt;Lookups!$D$15),
IF(_xlfn.XLOOKUP(B465,Table2[Main Member Link ID],Table2[Benefit Name],0)=0,"",_xlfn.XLOOKUP(B465,Table2[Main Member Link ID],Table2[Benefit Name],0)),"")
))))))</f>
        <v/>
      </c>
      <c r="AG465" s="327" t="str">
        <f>IF(AND(Table2[[#This Row],[Member Type]]="Main Member",Table2[[#This Row],[Product Option]]="My Value Plus Life &amp; Funeral"),Lookups!$D$16,
IF(AND(Table2[[#This Row],[Member Type]]="Spouse",Table2[[#This Row],[Product Option]]="My Value Plus Life &amp; Funeral",_xlfn.XLOOKUP(B465,Table2[Main Member Link ID],Table2[Benefit Name],0)=Lookups!$D$14),"",
IF(AND(Table2[[#This Row],[Member Type]]="Spouse",Table2[[#This Row],[Product Option]]="My Value Plus Life &amp; Funeral",_xlfn.XLOOKUP(B464,Table2[Main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Funeral",_xlfn.XLOOKUP(B465,Table2[Main Member Link ID],Table2[Benefit Name],0)&lt;&gt;Lookups!$D$16),
IF(_xlfn.XLOOKUP(B465,Table2[Main Member Link ID],Table2[Benefit Name],0)=0,"",_xlfn.XLOOKUP(B465,Table2[Main Member Link ID],Table2[Benefit Name],0)),"")
))))</f>
        <v/>
      </c>
      <c r="AH465" s="327" t="str">
        <f>IF(AND(Table2[[#This Row],[Member Type]]="Main Member",Table2[[#This Row],[Product Option]]="My Value Plus Life &amp; Funeral"),Lookups!$D$17,
IF(AND(Table2[[#This Row],[Member Type]]="Spouse",Table2[[#This Row],[Product Option]]="My Value Plus Life &amp; Funeral",_xlfn.XLOOKUP(B465,Table2[Main Member Link ID],Table2[Benefit Name],0)=Lookups!$D$14),"",
IF(AND(Table2[[#This Row],[Member Type]]="Spouse",Table2[[#This Row],[Product Option]]="My Value Plus Life &amp; Funeral",_xlfn.XLOOKUP(B464,Table2[Main Member Link ID],Table2[Benefit Name],0)=Lookups!$D$16),"",
IF(AND(Table2[[#This Row],[Member Type]]="Child",Table2[[#This Row],[Product Option]]="My Value Plus Life &amp; Funeral"),"",
IF(AND(Table2[[#This Row],[Member Type]]="Child",Table2[[#This Row],[Product Option]]="My Value Plus Life &amp; Funeral",_xlfn.XLOOKUP(B465,Table2[Main Member Link ID],Table2[Benefit Name],0)=Lookups!$D$15),"",
IF(AND(OR(Table2[[#This Row],[Member Type]]="Spouse",Table2[[#This Row],[Member Type]]="Child"),Table2[[#This Row],[Product Option]]="My Value Plus Life &amp; Funeral",_xlfn.XLOOKUP(B465,Table2[Main Member Link ID],Table2[Benefit Name],0)&lt;&gt;Lookups!$D$17),
IF(_xlfn.XLOOKUP(B465,Table2[Main Member Link ID],Table2[Benefit Name],0)=0,"",_xlfn.XLOOKUP(B465,Table2[Main Member Link ID],Table2[Benefit Name],0)),""))))))</f>
        <v/>
      </c>
      <c r="AI465" s="328" t="str">
        <f>IF(AND(Table2[[#This Row],[Member Type]]="Main Member",Table2[[#This Row],[Table Lookup for Life Cover]]="MM_LIFE",Table2[[#This Row],[Age Next Birthday]]&lt;56),1,
IF(AND(Table2[[#This Row],[Member Type]]="Main Member",Table2[[#This Row],[Table Lookup for Life Cover]]="MM_LIFE",Table2[[#This Row],[Age Next Birthday]]&gt;=56),2,
""))</f>
        <v/>
      </c>
      <c r="AJ465" s="328">
        <f>IF(OR(Table2[[#This Row],[Member Type]]="Main Member",Table2[[#This Row],[Main Member Link ID]]=B464),1,0)</f>
        <v>1</v>
      </c>
      <c r="AK465" s="328">
        <f>IF(Table2[[#This Row],[Member Type]]=0,0,
IF(OR(Table2[[#This Row],[Member Type]]="Main Member",Table2[[#This Row],[Main Member Link ID]]&lt;&gt;B465),COUNTIFS(B:B,Table2[[#This Row],[Main Member Link ID]]),
COUNTIFS(B:B,Table2[[#This Row],[Main Member Link ID]],A:A,Table2[[#This Row],[Member Type]])))</f>
        <v>0</v>
      </c>
    </row>
    <row r="466" spans="1:37" x14ac:dyDescent="0.3">
      <c r="A466" s="284">
        <f>Table13[[#This Row],[Member Type]]</f>
        <v>0</v>
      </c>
      <c r="B466" s="284">
        <f>Table13[[#This Row],[Main Member Link ID]]</f>
        <v>0</v>
      </c>
      <c r="C466" s="284">
        <f>Table13[[#This Row],[ID Number]]</f>
        <v>0</v>
      </c>
      <c r="D466" s="285">
        <f>Table13[[#This Row],[Date Of Birth]]</f>
        <v>0</v>
      </c>
      <c r="E466" s="285">
        <f>Table13[[#This Row],[Commencement Date]]</f>
        <v>0</v>
      </c>
      <c r="F466" s="284">
        <f t="shared" si="49"/>
        <v>1</v>
      </c>
      <c r="G466" s="284">
        <f t="shared" si="50"/>
        <v>25</v>
      </c>
      <c r="H466" s="286">
        <f>Table13[[#This Row],[Product Option]]</f>
        <v>0</v>
      </c>
      <c r="I466" s="284">
        <f>IF(AND($A466="Main Member",Table2[[#This Row],[Product Option]]="My Value Plus Life"),"MM_LIFE",
IF(AND($A466="Spouse",Table2[[#This Row],[Product Option]]="My Value Plus Life"),"SP_LIFE",
IF(AND($A466="Main Member",Table2[[#This Row],[Product Option]]="My Value Plus Life &amp; Funeral"),"MM_LIFE",
IF(AND($A466="Spouse",Table2[[#This Row],[Product Option]]="My Value Plus Life &amp; Funeral"),_xlfn.XLOOKUP(Table2[[#This Row],[Benefit Name]],Lookups!$D$18:$D$23,Lookups!$E$18:$E$23,0),
0))))</f>
        <v>0</v>
      </c>
      <c r="J466" s="284">
        <f>IF($I466="","",
IF($I466="MM_LIFE",INDEX('Quotation Tool'!$S$54:$V$60,MATCH($T466,'Quotation Tool'!$S$54:$S$60,0),4),
IF($I466="SP_LIFE",_xlfn.XLOOKUP(B465,$B:$B,$J:$J,0),0)))</f>
        <v>0</v>
      </c>
      <c r="K466" s="287">
        <f t="shared" ca="1" si="54"/>
        <v>0</v>
      </c>
      <c r="L466" s="288">
        <f t="shared" ca="1" si="55"/>
        <v>0</v>
      </c>
      <c r="M466" s="289">
        <f t="shared" ca="1" si="51"/>
        <v>0</v>
      </c>
      <c r="N466" s="286">
        <f>Table13[[#This Row],[Benefit Option]]</f>
        <v>0</v>
      </c>
      <c r="O466" s="284">
        <f>IF(OR(Table2[[#This Row],[Member Type]]="Spouse",Table2[[#This Row],[Member Type]]="Child"),0,
IF(_xlfn.XLOOKUP($N466,Lookups!$D$13:$D$27,Lookups!$F$13:$F$27,0)=Table2[[#This Row],[Table Lookup for Life Cover]],0,
_xlfn.XLOOKUP($N466,Lookups!$D$13:$D$27,Lookups!$F$13:$F$27,0)))</f>
        <v>0</v>
      </c>
      <c r="P466" s="284">
        <f>IF(Table2[[#This Row],[Table Lookup for Funeral]]=0,0,IFERROR(INDEX('Quotation Tool'!$S$54:$V$60,MATCH($T466,'Quotation Tool'!$S$54:$S$60,0),3),0))</f>
        <v>0</v>
      </c>
      <c r="Q466" s="288">
        <f ca="1">IF(OR(Table2[[#This Row],[Benefit Name]]="My Value Plus Life - Main Member",Table2[[#This Row],[Benefit Name]]="My Value Plus Life - Spouse"),0,
IFERROR(VLOOKUP($G466,INDIRECT($O466),$P466,FALSE),0))</f>
        <v>0</v>
      </c>
      <c r="R466" s="288">
        <f ca="1">IF(OR(Table2[[#This Row],[Benefit Name]]="My Value Plus Life - Main Member",Table2[[#This Row],[Benefit Name]]="My Value Plus Life - Spouse"),0,
IFERROR(VLOOKUP($G466,INDIRECT($O466),$P466+1,FALSE),0))</f>
        <v>0</v>
      </c>
      <c r="S466" s="289">
        <f t="shared" ca="1" si="52"/>
        <v>0</v>
      </c>
      <c r="T466" s="284" t="str">
        <f>IF(Table13[[#This Row],[Premium Waiver]]="","None",Table13[[#This Row],[Premium Waiver]])</f>
        <v>None</v>
      </c>
      <c r="U466" s="284">
        <f>Table13[[#This Row],[VAPs Options]]</f>
        <v>0</v>
      </c>
      <c r="V466" s="284">
        <f>Table13[[#This Row],[Annual Increase Option]]</f>
        <v>0</v>
      </c>
      <c r="W466" s="290">
        <f>Table13[[#This Row],[Life Cover Amount]]</f>
        <v>0</v>
      </c>
      <c r="X466" s="290">
        <f>Table13[[#This Row],[Funeral Cover Amount]]</f>
        <v>0</v>
      </c>
      <c r="Y46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6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66" s="301">
        <f t="shared" ca="1" si="53"/>
        <v>0</v>
      </c>
      <c r="AB466" s="298"/>
      <c r="AC466" s="326" t="str">
        <f>IF(Table2[[#This Row],[Member Type]]="Main Member",Lookups!$C$13,
IF(Table2[[#This Row],[Member Type]]="Spouse",_xlfn.XLOOKUP(B466,Table2[Main Member Link ID],Table2[Product Option],0),
IF(AND(Table2[[#This Row],[Member Type]]="Child",_xlfn.XLOOKUP(B466,Table2[Main Member Link ID],Table2[Product Option],0)&lt;&gt;"My Value Plus Life"),Lookups!$C$24,
IF(AND(OR(Table2[[#This Row],[Member Type]]="Parent",Table2[[#This Row],[Member Type]]="Extended"),_xlfn.XLOOKUP(B466,Table2[Main Member Link ID],Table2[Product Option],0)&lt;&gt;"My Value Plus Life"),Lookups!$C$26,""))))</f>
        <v/>
      </c>
      <c r="AD466" s="326" t="str">
        <f>IF(Table2[[#This Row],[Member Type]]="Main Member",Lookups!$C$14,"")</f>
        <v/>
      </c>
      <c r="AE46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Funeral",_xlfn.XLOOKUP(B466,Table2[Main Member Link ID],Table2[Benefit Name],0)=Lookups!$D$14),"",
IF(AND(Table2[[#This Row],[Member Type]]="Spouse",Table2[[#This Row],[Product Option]]="My Value Plus Life &amp; Funeral",_xlfn.XLOOKUP(B465,Table2[Main Member Link ID],Table2[Benefit Name],0)=Lookups!$D$15),Lookups!$D$20,
IF(AND(Table2[[#This Row],[Member Type]]="Spouse",Table2[[#This Row],[Product Option]]="My Value Plus Life &amp; Funeral",_xlfn.XLOOKUP(B465,Table2[Main Member Link ID],Table2[Benefit Name],0)=Lookups!$D$16),"",
IF(AND(Table2[[#This Row],[Member Type]]="Spouse",Table2[[#This Row],[Product Option]]="My Value Plus Life &amp; Funeral",_xlfn.XLOOKUP(B465,Table2[Main Member Link ID],Table2[Benefit Name],0)=Lookups!$D$17),Lookups!$D$21,
IF(AND(Table2[[#This Row],[Member Type]]="Child",Table2[[#This Row],[Product Option]]="My Value Plus Life &amp; Funeral",_xlfn.XLOOKUP(B466,Table2[Main Member Link ID],Table2[Benefit Name],0)=Lookups!$D$14),"",
IF(AND(Table2[[#This Row],[Member Type]]="Child",Table2[[#This Row],[Product Option]]="My Value Plus Life &amp; Funeral",_xlfn.XLOOKUP(B466,Table2[Main Member Link ID],Table2[Benefit Name],0)=Lookups!$D$15),"",
IF(AND(Table2[[#This Row],[Member Type]]="Child",Table2[[#This Row],[Product Option]]="My Value Plus Life &amp; Funeral",_xlfn.XLOOKUP(B466,Table2[Main Member Link ID],Table2[Benefit Name],0)=Lookups!$D$16),Lookups!$D$24,
IF(AND(Table2[[#This Row],[Member Type]]="Child",Table2[[#This Row],[Product Option]]="My Value Plus Life &amp; Funeral",_xlfn.XLOOKUP(B466,Table2[Main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Funeral",_xlfn.XLOOKUP(B466,Table2[Main Member Link ID],Table2[Benefit Name],0)&lt;&gt;Lookups!$D$14),
IF(_xlfn.XLOOKUP(B466,Table2[Main Member Link ID],Table2[Benefit Name],0)=0,"",_xlfn.XLOOKUP(B466,Table2[Main Member Link ID],Table2[Benefit Name],0)),"")))))))))))))))</f>
        <v/>
      </c>
      <c r="AF466" s="327" t="str">
        <f>IF(AND(Table2[[#This Row],[Member Type]]="Main Member",Table2[[#This Row],[Product Option]]="My Value Plus Life &amp; Funeral"),Lookups!$D$15,
IF(AND(Table2[[#This Row],[Member Type]]="Spouse",Table2[[#This Row],[Product Option]]="My Value Plus Life &amp; Funeral",_xlfn.XLOOKUP(B466,Table2[Main Member Link ID],Table2[Benefit Name],0)=Lookups!$D$14),"",
IF(AND(Table2[[#This Row],[Member Type]]="Spouse",Table2[[#This Row],[Product Option]]="My Value Plus Life &amp; Funeral",_xlfn.XLOOKUP(B465,Table2[Main Member Link ID],Table2[Benefit Name],0)=Lookups!$D$16),"",
IF(AND(Table2[[#This Row],[Member Type]]="Spouse",Table2[[#This Row],[Product Option]]="My Value Plus Life &amp; Funeral",_xlfn.XLOOKUP(B465,Table2[Main Member Link ID],Table2[Benefit Name],0)=Lookups!$D$15),"",
IF(AND(Table2[[#This Row],[Member Type]]="Spouse",Table2[[#This Row],[Product Option]]="My Value Plus Life &amp; Funeral",_xlfn.XLOOKUP(B465,Table2[Main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Funeral",_xlfn.XLOOKUP(B466,Table2[Main Member Link ID],Table2[Benefit Name],0)&lt;&gt;Lookups!$D$15),
IF(_xlfn.XLOOKUP(B466,Table2[Main Member Link ID],Table2[Benefit Name],0)=0,"",_xlfn.XLOOKUP(B466,Table2[Main Member Link ID],Table2[Benefit Name],0)),"")
))))))</f>
        <v/>
      </c>
      <c r="AG466" s="327" t="str">
        <f>IF(AND(Table2[[#This Row],[Member Type]]="Main Member",Table2[[#This Row],[Product Option]]="My Value Plus Life &amp; Funeral"),Lookups!$D$16,
IF(AND(Table2[[#This Row],[Member Type]]="Spouse",Table2[[#This Row],[Product Option]]="My Value Plus Life &amp; Funeral",_xlfn.XLOOKUP(B466,Table2[Main Member Link ID],Table2[Benefit Name],0)=Lookups!$D$14),"",
IF(AND(Table2[[#This Row],[Member Type]]="Spouse",Table2[[#This Row],[Product Option]]="My Value Plus Life &amp; Funeral",_xlfn.XLOOKUP(B465,Table2[Main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Funeral",_xlfn.XLOOKUP(B466,Table2[Main Member Link ID],Table2[Benefit Name],0)&lt;&gt;Lookups!$D$16),
IF(_xlfn.XLOOKUP(B466,Table2[Main Member Link ID],Table2[Benefit Name],0)=0,"",_xlfn.XLOOKUP(B466,Table2[Main Member Link ID],Table2[Benefit Name],0)),"")
))))</f>
        <v/>
      </c>
      <c r="AH466" s="327" t="str">
        <f>IF(AND(Table2[[#This Row],[Member Type]]="Main Member",Table2[[#This Row],[Product Option]]="My Value Plus Life &amp; Funeral"),Lookups!$D$17,
IF(AND(Table2[[#This Row],[Member Type]]="Spouse",Table2[[#This Row],[Product Option]]="My Value Plus Life &amp; Funeral",_xlfn.XLOOKUP(B466,Table2[Main Member Link ID],Table2[Benefit Name],0)=Lookups!$D$14),"",
IF(AND(Table2[[#This Row],[Member Type]]="Spouse",Table2[[#This Row],[Product Option]]="My Value Plus Life &amp; Funeral",_xlfn.XLOOKUP(B465,Table2[Main Member Link ID],Table2[Benefit Name],0)=Lookups!$D$16),"",
IF(AND(Table2[[#This Row],[Member Type]]="Child",Table2[[#This Row],[Product Option]]="My Value Plus Life &amp; Funeral"),"",
IF(AND(Table2[[#This Row],[Member Type]]="Child",Table2[[#This Row],[Product Option]]="My Value Plus Life &amp; Funeral",_xlfn.XLOOKUP(B466,Table2[Main Member Link ID],Table2[Benefit Name],0)=Lookups!$D$15),"",
IF(AND(OR(Table2[[#This Row],[Member Type]]="Spouse",Table2[[#This Row],[Member Type]]="Child"),Table2[[#This Row],[Product Option]]="My Value Plus Life &amp; Funeral",_xlfn.XLOOKUP(B466,Table2[Main Member Link ID],Table2[Benefit Name],0)&lt;&gt;Lookups!$D$17),
IF(_xlfn.XLOOKUP(B466,Table2[Main Member Link ID],Table2[Benefit Name],0)=0,"",_xlfn.XLOOKUP(B466,Table2[Main Member Link ID],Table2[Benefit Name],0)),""))))))</f>
        <v/>
      </c>
      <c r="AI466" s="328" t="str">
        <f>IF(AND(Table2[[#This Row],[Member Type]]="Main Member",Table2[[#This Row],[Table Lookup for Life Cover]]="MM_LIFE",Table2[[#This Row],[Age Next Birthday]]&lt;56),1,
IF(AND(Table2[[#This Row],[Member Type]]="Main Member",Table2[[#This Row],[Table Lookup for Life Cover]]="MM_LIFE",Table2[[#This Row],[Age Next Birthday]]&gt;=56),2,
""))</f>
        <v/>
      </c>
      <c r="AJ466" s="328">
        <f>IF(OR(Table2[[#This Row],[Member Type]]="Main Member",Table2[[#This Row],[Main Member Link ID]]=B465),1,0)</f>
        <v>1</v>
      </c>
      <c r="AK466" s="328">
        <f>IF(Table2[[#This Row],[Member Type]]=0,0,
IF(OR(Table2[[#This Row],[Member Type]]="Main Member",Table2[[#This Row],[Main Member Link ID]]&lt;&gt;B466),COUNTIFS(B:B,Table2[[#This Row],[Main Member Link ID]]),
COUNTIFS(B:B,Table2[[#This Row],[Main Member Link ID]],A:A,Table2[[#This Row],[Member Type]])))</f>
        <v>0</v>
      </c>
    </row>
    <row r="467" spans="1:37" x14ac:dyDescent="0.3">
      <c r="A467" s="284">
        <f>Table13[[#This Row],[Member Type]]</f>
        <v>0</v>
      </c>
      <c r="B467" s="284">
        <f>Table13[[#This Row],[Main Member Link ID]]</f>
        <v>0</v>
      </c>
      <c r="C467" s="284">
        <f>Table13[[#This Row],[ID Number]]</f>
        <v>0</v>
      </c>
      <c r="D467" s="285">
        <f>Table13[[#This Row],[Date Of Birth]]</f>
        <v>0</v>
      </c>
      <c r="E467" s="285">
        <f>Table13[[#This Row],[Commencement Date]]</f>
        <v>0</v>
      </c>
      <c r="F467" s="284">
        <f t="shared" si="49"/>
        <v>1</v>
      </c>
      <c r="G467" s="284">
        <f t="shared" si="50"/>
        <v>25</v>
      </c>
      <c r="H467" s="286">
        <f>Table13[[#This Row],[Product Option]]</f>
        <v>0</v>
      </c>
      <c r="I467" s="284">
        <f>IF(AND($A467="Main Member",Table2[[#This Row],[Product Option]]="My Value Plus Life"),"MM_LIFE",
IF(AND($A467="Spouse",Table2[[#This Row],[Product Option]]="My Value Plus Life"),"SP_LIFE",
IF(AND($A467="Main Member",Table2[[#This Row],[Product Option]]="My Value Plus Life &amp; Funeral"),"MM_LIFE",
IF(AND($A467="Spouse",Table2[[#This Row],[Product Option]]="My Value Plus Life &amp; Funeral"),_xlfn.XLOOKUP(Table2[[#This Row],[Benefit Name]],Lookups!$D$18:$D$23,Lookups!$E$18:$E$23,0),
0))))</f>
        <v>0</v>
      </c>
      <c r="J467" s="284">
        <f>IF($I467="","",
IF($I467="MM_LIFE",INDEX('Quotation Tool'!$S$54:$V$60,MATCH($T467,'Quotation Tool'!$S$54:$S$60,0),4),
IF($I467="SP_LIFE",_xlfn.XLOOKUP(B466,$B:$B,$J:$J,0),0)))</f>
        <v>0</v>
      </c>
      <c r="K467" s="287">
        <f t="shared" ca="1" si="54"/>
        <v>0</v>
      </c>
      <c r="L467" s="288">
        <f t="shared" ca="1" si="55"/>
        <v>0</v>
      </c>
      <c r="M467" s="289">
        <f t="shared" ca="1" si="51"/>
        <v>0</v>
      </c>
      <c r="N467" s="286">
        <f>Table13[[#This Row],[Benefit Option]]</f>
        <v>0</v>
      </c>
      <c r="O467" s="284">
        <f>IF(OR(Table2[[#This Row],[Member Type]]="Spouse",Table2[[#This Row],[Member Type]]="Child"),0,
IF(_xlfn.XLOOKUP($N467,Lookups!$D$13:$D$27,Lookups!$F$13:$F$27,0)=Table2[[#This Row],[Table Lookup for Life Cover]],0,
_xlfn.XLOOKUP($N467,Lookups!$D$13:$D$27,Lookups!$F$13:$F$27,0)))</f>
        <v>0</v>
      </c>
      <c r="P467" s="284">
        <f>IF(Table2[[#This Row],[Table Lookup for Funeral]]=0,0,IFERROR(INDEX('Quotation Tool'!$S$54:$V$60,MATCH($T467,'Quotation Tool'!$S$54:$S$60,0),3),0))</f>
        <v>0</v>
      </c>
      <c r="Q467" s="288">
        <f ca="1">IF(OR(Table2[[#This Row],[Benefit Name]]="My Value Plus Life - Main Member",Table2[[#This Row],[Benefit Name]]="My Value Plus Life - Spouse"),0,
IFERROR(VLOOKUP($G467,INDIRECT($O467),$P467,FALSE),0))</f>
        <v>0</v>
      </c>
      <c r="R467" s="288">
        <f ca="1">IF(OR(Table2[[#This Row],[Benefit Name]]="My Value Plus Life - Main Member",Table2[[#This Row],[Benefit Name]]="My Value Plus Life - Spouse"),0,
IFERROR(VLOOKUP($G467,INDIRECT($O467),$P467+1,FALSE),0))</f>
        <v>0</v>
      </c>
      <c r="S467" s="289">
        <f t="shared" ca="1" si="52"/>
        <v>0</v>
      </c>
      <c r="T467" s="284" t="str">
        <f>IF(Table13[[#This Row],[Premium Waiver]]="","None",Table13[[#This Row],[Premium Waiver]])</f>
        <v>None</v>
      </c>
      <c r="U467" s="284">
        <f>Table13[[#This Row],[VAPs Options]]</f>
        <v>0</v>
      </c>
      <c r="V467" s="284">
        <f>Table13[[#This Row],[Annual Increase Option]]</f>
        <v>0</v>
      </c>
      <c r="W467" s="290">
        <f>Table13[[#This Row],[Life Cover Amount]]</f>
        <v>0</v>
      </c>
      <c r="X467" s="290">
        <f>Table13[[#This Row],[Funeral Cover Amount]]</f>
        <v>0</v>
      </c>
      <c r="Y46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6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67" s="301">
        <f t="shared" ca="1" si="53"/>
        <v>0</v>
      </c>
      <c r="AB467" s="298"/>
      <c r="AC467" s="326" t="str">
        <f>IF(Table2[[#This Row],[Member Type]]="Main Member",Lookups!$C$13,
IF(Table2[[#This Row],[Member Type]]="Spouse",_xlfn.XLOOKUP(B467,Table2[Main Member Link ID],Table2[Product Option],0),
IF(AND(Table2[[#This Row],[Member Type]]="Child",_xlfn.XLOOKUP(B467,Table2[Main Member Link ID],Table2[Product Option],0)&lt;&gt;"My Value Plus Life"),Lookups!$C$24,
IF(AND(OR(Table2[[#This Row],[Member Type]]="Parent",Table2[[#This Row],[Member Type]]="Extended"),_xlfn.XLOOKUP(B467,Table2[Main Member Link ID],Table2[Product Option],0)&lt;&gt;"My Value Plus Life"),Lookups!$C$26,""))))</f>
        <v/>
      </c>
      <c r="AD467" s="326" t="str">
        <f>IF(Table2[[#This Row],[Member Type]]="Main Member",Lookups!$C$14,"")</f>
        <v/>
      </c>
      <c r="AE46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Funeral",_xlfn.XLOOKUP(B467,Table2[Main Member Link ID],Table2[Benefit Name],0)=Lookups!$D$14),"",
IF(AND(Table2[[#This Row],[Member Type]]="Spouse",Table2[[#This Row],[Product Option]]="My Value Plus Life &amp; Funeral",_xlfn.XLOOKUP(B466,Table2[Main Member Link ID],Table2[Benefit Name],0)=Lookups!$D$15),Lookups!$D$20,
IF(AND(Table2[[#This Row],[Member Type]]="Spouse",Table2[[#This Row],[Product Option]]="My Value Plus Life &amp; Funeral",_xlfn.XLOOKUP(B466,Table2[Main Member Link ID],Table2[Benefit Name],0)=Lookups!$D$16),"",
IF(AND(Table2[[#This Row],[Member Type]]="Spouse",Table2[[#This Row],[Product Option]]="My Value Plus Life &amp; Funeral",_xlfn.XLOOKUP(B466,Table2[Main Member Link ID],Table2[Benefit Name],0)=Lookups!$D$17),Lookups!$D$21,
IF(AND(Table2[[#This Row],[Member Type]]="Child",Table2[[#This Row],[Product Option]]="My Value Plus Life &amp; Funeral",_xlfn.XLOOKUP(B467,Table2[Main Member Link ID],Table2[Benefit Name],0)=Lookups!$D$14),"",
IF(AND(Table2[[#This Row],[Member Type]]="Child",Table2[[#This Row],[Product Option]]="My Value Plus Life &amp; Funeral",_xlfn.XLOOKUP(B467,Table2[Main Member Link ID],Table2[Benefit Name],0)=Lookups!$D$15),"",
IF(AND(Table2[[#This Row],[Member Type]]="Child",Table2[[#This Row],[Product Option]]="My Value Plus Life &amp; Funeral",_xlfn.XLOOKUP(B467,Table2[Main Member Link ID],Table2[Benefit Name],0)=Lookups!$D$16),Lookups!$D$24,
IF(AND(Table2[[#This Row],[Member Type]]="Child",Table2[[#This Row],[Product Option]]="My Value Plus Life &amp; Funeral",_xlfn.XLOOKUP(B467,Table2[Main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Funeral",_xlfn.XLOOKUP(B467,Table2[Main Member Link ID],Table2[Benefit Name],0)&lt;&gt;Lookups!$D$14),
IF(_xlfn.XLOOKUP(B467,Table2[Main Member Link ID],Table2[Benefit Name],0)=0,"",_xlfn.XLOOKUP(B467,Table2[Main Member Link ID],Table2[Benefit Name],0)),"")))))))))))))))</f>
        <v/>
      </c>
      <c r="AF467" s="327" t="str">
        <f>IF(AND(Table2[[#This Row],[Member Type]]="Main Member",Table2[[#This Row],[Product Option]]="My Value Plus Life &amp; Funeral"),Lookups!$D$15,
IF(AND(Table2[[#This Row],[Member Type]]="Spouse",Table2[[#This Row],[Product Option]]="My Value Plus Life &amp; Funeral",_xlfn.XLOOKUP(B467,Table2[Main Member Link ID],Table2[Benefit Name],0)=Lookups!$D$14),"",
IF(AND(Table2[[#This Row],[Member Type]]="Spouse",Table2[[#This Row],[Product Option]]="My Value Plus Life &amp; Funeral",_xlfn.XLOOKUP(B466,Table2[Main Member Link ID],Table2[Benefit Name],0)=Lookups!$D$16),"",
IF(AND(Table2[[#This Row],[Member Type]]="Spouse",Table2[[#This Row],[Product Option]]="My Value Plus Life &amp; Funeral",_xlfn.XLOOKUP(B466,Table2[Main Member Link ID],Table2[Benefit Name],0)=Lookups!$D$15),"",
IF(AND(Table2[[#This Row],[Member Type]]="Spouse",Table2[[#This Row],[Product Option]]="My Value Plus Life &amp; Funeral",_xlfn.XLOOKUP(B466,Table2[Main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Funeral",_xlfn.XLOOKUP(B467,Table2[Main Member Link ID],Table2[Benefit Name],0)&lt;&gt;Lookups!$D$15),
IF(_xlfn.XLOOKUP(B467,Table2[Main Member Link ID],Table2[Benefit Name],0)=0,"",_xlfn.XLOOKUP(B467,Table2[Main Member Link ID],Table2[Benefit Name],0)),"")
))))))</f>
        <v/>
      </c>
      <c r="AG467" s="327" t="str">
        <f>IF(AND(Table2[[#This Row],[Member Type]]="Main Member",Table2[[#This Row],[Product Option]]="My Value Plus Life &amp; Funeral"),Lookups!$D$16,
IF(AND(Table2[[#This Row],[Member Type]]="Spouse",Table2[[#This Row],[Product Option]]="My Value Plus Life &amp; Funeral",_xlfn.XLOOKUP(B467,Table2[Main Member Link ID],Table2[Benefit Name],0)=Lookups!$D$14),"",
IF(AND(Table2[[#This Row],[Member Type]]="Spouse",Table2[[#This Row],[Product Option]]="My Value Plus Life &amp; Funeral",_xlfn.XLOOKUP(B466,Table2[Main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Funeral",_xlfn.XLOOKUP(B467,Table2[Main Member Link ID],Table2[Benefit Name],0)&lt;&gt;Lookups!$D$16),
IF(_xlfn.XLOOKUP(B467,Table2[Main Member Link ID],Table2[Benefit Name],0)=0,"",_xlfn.XLOOKUP(B467,Table2[Main Member Link ID],Table2[Benefit Name],0)),"")
))))</f>
        <v/>
      </c>
      <c r="AH467" s="327" t="str">
        <f>IF(AND(Table2[[#This Row],[Member Type]]="Main Member",Table2[[#This Row],[Product Option]]="My Value Plus Life &amp; Funeral"),Lookups!$D$17,
IF(AND(Table2[[#This Row],[Member Type]]="Spouse",Table2[[#This Row],[Product Option]]="My Value Plus Life &amp; Funeral",_xlfn.XLOOKUP(B467,Table2[Main Member Link ID],Table2[Benefit Name],0)=Lookups!$D$14),"",
IF(AND(Table2[[#This Row],[Member Type]]="Spouse",Table2[[#This Row],[Product Option]]="My Value Plus Life &amp; Funeral",_xlfn.XLOOKUP(B466,Table2[Main Member Link ID],Table2[Benefit Name],0)=Lookups!$D$16),"",
IF(AND(Table2[[#This Row],[Member Type]]="Child",Table2[[#This Row],[Product Option]]="My Value Plus Life &amp; Funeral"),"",
IF(AND(Table2[[#This Row],[Member Type]]="Child",Table2[[#This Row],[Product Option]]="My Value Plus Life &amp; Funeral",_xlfn.XLOOKUP(B467,Table2[Main Member Link ID],Table2[Benefit Name],0)=Lookups!$D$15),"",
IF(AND(OR(Table2[[#This Row],[Member Type]]="Spouse",Table2[[#This Row],[Member Type]]="Child"),Table2[[#This Row],[Product Option]]="My Value Plus Life &amp; Funeral",_xlfn.XLOOKUP(B467,Table2[Main Member Link ID],Table2[Benefit Name],0)&lt;&gt;Lookups!$D$17),
IF(_xlfn.XLOOKUP(B467,Table2[Main Member Link ID],Table2[Benefit Name],0)=0,"",_xlfn.XLOOKUP(B467,Table2[Main Member Link ID],Table2[Benefit Name],0)),""))))))</f>
        <v/>
      </c>
      <c r="AI467" s="328" t="str">
        <f>IF(AND(Table2[[#This Row],[Member Type]]="Main Member",Table2[[#This Row],[Table Lookup for Life Cover]]="MM_LIFE",Table2[[#This Row],[Age Next Birthday]]&lt;56),1,
IF(AND(Table2[[#This Row],[Member Type]]="Main Member",Table2[[#This Row],[Table Lookup for Life Cover]]="MM_LIFE",Table2[[#This Row],[Age Next Birthday]]&gt;=56),2,
""))</f>
        <v/>
      </c>
      <c r="AJ467" s="328">
        <f>IF(OR(Table2[[#This Row],[Member Type]]="Main Member",Table2[[#This Row],[Main Member Link ID]]=B466),1,0)</f>
        <v>1</v>
      </c>
      <c r="AK467" s="328">
        <f>IF(Table2[[#This Row],[Member Type]]=0,0,
IF(OR(Table2[[#This Row],[Member Type]]="Main Member",Table2[[#This Row],[Main Member Link ID]]&lt;&gt;B467),COUNTIFS(B:B,Table2[[#This Row],[Main Member Link ID]]),
COUNTIFS(B:B,Table2[[#This Row],[Main Member Link ID]],A:A,Table2[[#This Row],[Member Type]])))</f>
        <v>0</v>
      </c>
    </row>
    <row r="468" spans="1:37" x14ac:dyDescent="0.3">
      <c r="A468" s="284">
        <f>Table13[[#This Row],[Member Type]]</f>
        <v>0</v>
      </c>
      <c r="B468" s="284">
        <f>Table13[[#This Row],[Main Member Link ID]]</f>
        <v>0</v>
      </c>
      <c r="C468" s="284">
        <f>Table13[[#This Row],[ID Number]]</f>
        <v>0</v>
      </c>
      <c r="D468" s="285">
        <f>Table13[[#This Row],[Date Of Birth]]</f>
        <v>0</v>
      </c>
      <c r="E468" s="285">
        <f>Table13[[#This Row],[Commencement Date]]</f>
        <v>0</v>
      </c>
      <c r="F468" s="284">
        <f t="shared" si="49"/>
        <v>1</v>
      </c>
      <c r="G468" s="284">
        <f t="shared" si="50"/>
        <v>25</v>
      </c>
      <c r="H468" s="286">
        <f>Table13[[#This Row],[Product Option]]</f>
        <v>0</v>
      </c>
      <c r="I468" s="284">
        <f>IF(AND($A468="Main Member",Table2[[#This Row],[Product Option]]="My Value Plus Life"),"MM_LIFE",
IF(AND($A468="Spouse",Table2[[#This Row],[Product Option]]="My Value Plus Life"),"SP_LIFE",
IF(AND($A468="Main Member",Table2[[#This Row],[Product Option]]="My Value Plus Life &amp; Funeral"),"MM_LIFE",
IF(AND($A468="Spouse",Table2[[#This Row],[Product Option]]="My Value Plus Life &amp; Funeral"),_xlfn.XLOOKUP(Table2[[#This Row],[Benefit Name]],Lookups!$D$18:$D$23,Lookups!$E$18:$E$23,0),
0))))</f>
        <v>0</v>
      </c>
      <c r="J468" s="284">
        <f>IF($I468="","",
IF($I468="MM_LIFE",INDEX('Quotation Tool'!$S$54:$V$60,MATCH($T468,'Quotation Tool'!$S$54:$S$60,0),4),
IF($I468="SP_LIFE",_xlfn.XLOOKUP(B467,$B:$B,$J:$J,0),0)))</f>
        <v>0</v>
      </c>
      <c r="K468" s="287">
        <f t="shared" ca="1" si="54"/>
        <v>0</v>
      </c>
      <c r="L468" s="288">
        <f t="shared" ca="1" si="55"/>
        <v>0</v>
      </c>
      <c r="M468" s="289">
        <f t="shared" ca="1" si="51"/>
        <v>0</v>
      </c>
      <c r="N468" s="286">
        <f>Table13[[#This Row],[Benefit Option]]</f>
        <v>0</v>
      </c>
      <c r="O468" s="284">
        <f>IF(OR(Table2[[#This Row],[Member Type]]="Spouse",Table2[[#This Row],[Member Type]]="Child"),0,
IF(_xlfn.XLOOKUP($N468,Lookups!$D$13:$D$27,Lookups!$F$13:$F$27,0)=Table2[[#This Row],[Table Lookup for Life Cover]],0,
_xlfn.XLOOKUP($N468,Lookups!$D$13:$D$27,Lookups!$F$13:$F$27,0)))</f>
        <v>0</v>
      </c>
      <c r="P468" s="284">
        <f>IF(Table2[[#This Row],[Table Lookup for Funeral]]=0,0,IFERROR(INDEX('Quotation Tool'!$S$54:$V$60,MATCH($T468,'Quotation Tool'!$S$54:$S$60,0),3),0))</f>
        <v>0</v>
      </c>
      <c r="Q468" s="288">
        <f ca="1">IF(OR(Table2[[#This Row],[Benefit Name]]="My Value Plus Life - Main Member",Table2[[#This Row],[Benefit Name]]="My Value Plus Life - Spouse"),0,
IFERROR(VLOOKUP($G468,INDIRECT($O468),$P468,FALSE),0))</f>
        <v>0</v>
      </c>
      <c r="R468" s="288">
        <f ca="1">IF(OR(Table2[[#This Row],[Benefit Name]]="My Value Plus Life - Main Member",Table2[[#This Row],[Benefit Name]]="My Value Plus Life - Spouse"),0,
IFERROR(VLOOKUP($G468,INDIRECT($O468),$P468+1,FALSE),0))</f>
        <v>0</v>
      </c>
      <c r="S468" s="289">
        <f t="shared" ca="1" si="52"/>
        <v>0</v>
      </c>
      <c r="T468" s="284" t="str">
        <f>IF(Table13[[#This Row],[Premium Waiver]]="","None",Table13[[#This Row],[Premium Waiver]])</f>
        <v>None</v>
      </c>
      <c r="U468" s="284">
        <f>Table13[[#This Row],[VAPs Options]]</f>
        <v>0</v>
      </c>
      <c r="V468" s="284">
        <f>Table13[[#This Row],[Annual Increase Option]]</f>
        <v>0</v>
      </c>
      <c r="W468" s="290">
        <f>Table13[[#This Row],[Life Cover Amount]]</f>
        <v>0</v>
      </c>
      <c r="X468" s="290">
        <f>Table13[[#This Row],[Funeral Cover Amount]]</f>
        <v>0</v>
      </c>
      <c r="Y46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6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68" s="301">
        <f t="shared" ca="1" si="53"/>
        <v>0</v>
      </c>
      <c r="AB468" s="298"/>
      <c r="AC468" s="326" t="str">
        <f>IF(Table2[[#This Row],[Member Type]]="Main Member",Lookups!$C$13,
IF(Table2[[#This Row],[Member Type]]="Spouse",_xlfn.XLOOKUP(B468,Table2[Main Member Link ID],Table2[Product Option],0),
IF(AND(Table2[[#This Row],[Member Type]]="Child",_xlfn.XLOOKUP(B468,Table2[Main Member Link ID],Table2[Product Option],0)&lt;&gt;"My Value Plus Life"),Lookups!$C$24,
IF(AND(OR(Table2[[#This Row],[Member Type]]="Parent",Table2[[#This Row],[Member Type]]="Extended"),_xlfn.XLOOKUP(B468,Table2[Main Member Link ID],Table2[Product Option],0)&lt;&gt;"My Value Plus Life"),Lookups!$C$26,""))))</f>
        <v/>
      </c>
      <c r="AD468" s="326" t="str">
        <f>IF(Table2[[#This Row],[Member Type]]="Main Member",Lookups!$C$14,"")</f>
        <v/>
      </c>
      <c r="AE46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Funeral",_xlfn.XLOOKUP(B468,Table2[Main Member Link ID],Table2[Benefit Name],0)=Lookups!$D$14),"",
IF(AND(Table2[[#This Row],[Member Type]]="Spouse",Table2[[#This Row],[Product Option]]="My Value Plus Life &amp; Funeral",_xlfn.XLOOKUP(B467,Table2[Main Member Link ID],Table2[Benefit Name],0)=Lookups!$D$15),Lookups!$D$20,
IF(AND(Table2[[#This Row],[Member Type]]="Spouse",Table2[[#This Row],[Product Option]]="My Value Plus Life &amp; Funeral",_xlfn.XLOOKUP(B467,Table2[Main Member Link ID],Table2[Benefit Name],0)=Lookups!$D$16),"",
IF(AND(Table2[[#This Row],[Member Type]]="Spouse",Table2[[#This Row],[Product Option]]="My Value Plus Life &amp; Funeral",_xlfn.XLOOKUP(B467,Table2[Main Member Link ID],Table2[Benefit Name],0)=Lookups!$D$17),Lookups!$D$21,
IF(AND(Table2[[#This Row],[Member Type]]="Child",Table2[[#This Row],[Product Option]]="My Value Plus Life &amp; Funeral",_xlfn.XLOOKUP(B468,Table2[Main Member Link ID],Table2[Benefit Name],0)=Lookups!$D$14),"",
IF(AND(Table2[[#This Row],[Member Type]]="Child",Table2[[#This Row],[Product Option]]="My Value Plus Life &amp; Funeral",_xlfn.XLOOKUP(B468,Table2[Main Member Link ID],Table2[Benefit Name],0)=Lookups!$D$15),"",
IF(AND(Table2[[#This Row],[Member Type]]="Child",Table2[[#This Row],[Product Option]]="My Value Plus Life &amp; Funeral",_xlfn.XLOOKUP(B468,Table2[Main Member Link ID],Table2[Benefit Name],0)=Lookups!$D$16),Lookups!$D$24,
IF(AND(Table2[[#This Row],[Member Type]]="Child",Table2[[#This Row],[Product Option]]="My Value Plus Life &amp; Funeral",_xlfn.XLOOKUP(B468,Table2[Main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Funeral",_xlfn.XLOOKUP(B468,Table2[Main Member Link ID],Table2[Benefit Name],0)&lt;&gt;Lookups!$D$14),
IF(_xlfn.XLOOKUP(B468,Table2[Main Member Link ID],Table2[Benefit Name],0)=0,"",_xlfn.XLOOKUP(B468,Table2[Main Member Link ID],Table2[Benefit Name],0)),"")))))))))))))))</f>
        <v/>
      </c>
      <c r="AF468" s="327" t="str">
        <f>IF(AND(Table2[[#This Row],[Member Type]]="Main Member",Table2[[#This Row],[Product Option]]="My Value Plus Life &amp; Funeral"),Lookups!$D$15,
IF(AND(Table2[[#This Row],[Member Type]]="Spouse",Table2[[#This Row],[Product Option]]="My Value Plus Life &amp; Funeral",_xlfn.XLOOKUP(B468,Table2[Main Member Link ID],Table2[Benefit Name],0)=Lookups!$D$14),"",
IF(AND(Table2[[#This Row],[Member Type]]="Spouse",Table2[[#This Row],[Product Option]]="My Value Plus Life &amp; Funeral",_xlfn.XLOOKUP(B467,Table2[Main Member Link ID],Table2[Benefit Name],0)=Lookups!$D$16),"",
IF(AND(Table2[[#This Row],[Member Type]]="Spouse",Table2[[#This Row],[Product Option]]="My Value Plus Life &amp; Funeral",_xlfn.XLOOKUP(B467,Table2[Main Member Link ID],Table2[Benefit Name],0)=Lookups!$D$15),"",
IF(AND(Table2[[#This Row],[Member Type]]="Spouse",Table2[[#This Row],[Product Option]]="My Value Plus Life &amp; Funeral",_xlfn.XLOOKUP(B467,Table2[Main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Funeral",_xlfn.XLOOKUP(B468,Table2[Main Member Link ID],Table2[Benefit Name],0)&lt;&gt;Lookups!$D$15),
IF(_xlfn.XLOOKUP(B468,Table2[Main Member Link ID],Table2[Benefit Name],0)=0,"",_xlfn.XLOOKUP(B468,Table2[Main Member Link ID],Table2[Benefit Name],0)),"")
))))))</f>
        <v/>
      </c>
      <c r="AG468" s="327" t="str">
        <f>IF(AND(Table2[[#This Row],[Member Type]]="Main Member",Table2[[#This Row],[Product Option]]="My Value Plus Life &amp; Funeral"),Lookups!$D$16,
IF(AND(Table2[[#This Row],[Member Type]]="Spouse",Table2[[#This Row],[Product Option]]="My Value Plus Life &amp; Funeral",_xlfn.XLOOKUP(B468,Table2[Main Member Link ID],Table2[Benefit Name],0)=Lookups!$D$14),"",
IF(AND(Table2[[#This Row],[Member Type]]="Spouse",Table2[[#This Row],[Product Option]]="My Value Plus Life &amp; Funeral",_xlfn.XLOOKUP(B467,Table2[Main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Funeral",_xlfn.XLOOKUP(B468,Table2[Main Member Link ID],Table2[Benefit Name],0)&lt;&gt;Lookups!$D$16),
IF(_xlfn.XLOOKUP(B468,Table2[Main Member Link ID],Table2[Benefit Name],0)=0,"",_xlfn.XLOOKUP(B468,Table2[Main Member Link ID],Table2[Benefit Name],0)),"")
))))</f>
        <v/>
      </c>
      <c r="AH468" s="327" t="str">
        <f>IF(AND(Table2[[#This Row],[Member Type]]="Main Member",Table2[[#This Row],[Product Option]]="My Value Plus Life &amp; Funeral"),Lookups!$D$17,
IF(AND(Table2[[#This Row],[Member Type]]="Spouse",Table2[[#This Row],[Product Option]]="My Value Plus Life &amp; Funeral",_xlfn.XLOOKUP(B468,Table2[Main Member Link ID],Table2[Benefit Name],0)=Lookups!$D$14),"",
IF(AND(Table2[[#This Row],[Member Type]]="Spouse",Table2[[#This Row],[Product Option]]="My Value Plus Life &amp; Funeral",_xlfn.XLOOKUP(B467,Table2[Main Member Link ID],Table2[Benefit Name],0)=Lookups!$D$16),"",
IF(AND(Table2[[#This Row],[Member Type]]="Child",Table2[[#This Row],[Product Option]]="My Value Plus Life &amp; Funeral"),"",
IF(AND(Table2[[#This Row],[Member Type]]="Child",Table2[[#This Row],[Product Option]]="My Value Plus Life &amp; Funeral",_xlfn.XLOOKUP(B468,Table2[Main Member Link ID],Table2[Benefit Name],0)=Lookups!$D$15),"",
IF(AND(OR(Table2[[#This Row],[Member Type]]="Spouse",Table2[[#This Row],[Member Type]]="Child"),Table2[[#This Row],[Product Option]]="My Value Plus Life &amp; Funeral",_xlfn.XLOOKUP(B468,Table2[Main Member Link ID],Table2[Benefit Name],0)&lt;&gt;Lookups!$D$17),
IF(_xlfn.XLOOKUP(B468,Table2[Main Member Link ID],Table2[Benefit Name],0)=0,"",_xlfn.XLOOKUP(B468,Table2[Main Member Link ID],Table2[Benefit Name],0)),""))))))</f>
        <v/>
      </c>
      <c r="AI468" s="328" t="str">
        <f>IF(AND(Table2[[#This Row],[Member Type]]="Main Member",Table2[[#This Row],[Table Lookup for Life Cover]]="MM_LIFE",Table2[[#This Row],[Age Next Birthday]]&lt;56),1,
IF(AND(Table2[[#This Row],[Member Type]]="Main Member",Table2[[#This Row],[Table Lookup for Life Cover]]="MM_LIFE",Table2[[#This Row],[Age Next Birthday]]&gt;=56),2,
""))</f>
        <v/>
      </c>
      <c r="AJ468" s="328">
        <f>IF(OR(Table2[[#This Row],[Member Type]]="Main Member",Table2[[#This Row],[Main Member Link ID]]=B467),1,0)</f>
        <v>1</v>
      </c>
      <c r="AK468" s="328">
        <f>IF(Table2[[#This Row],[Member Type]]=0,0,
IF(OR(Table2[[#This Row],[Member Type]]="Main Member",Table2[[#This Row],[Main Member Link ID]]&lt;&gt;B468),COUNTIFS(B:B,Table2[[#This Row],[Main Member Link ID]]),
COUNTIFS(B:B,Table2[[#This Row],[Main Member Link ID]],A:A,Table2[[#This Row],[Member Type]])))</f>
        <v>0</v>
      </c>
    </row>
    <row r="469" spans="1:37" x14ac:dyDescent="0.3">
      <c r="A469" s="284">
        <f>Table13[[#This Row],[Member Type]]</f>
        <v>0</v>
      </c>
      <c r="B469" s="284">
        <f>Table13[[#This Row],[Main Member Link ID]]</f>
        <v>0</v>
      </c>
      <c r="C469" s="284">
        <f>Table13[[#This Row],[ID Number]]</f>
        <v>0</v>
      </c>
      <c r="D469" s="285">
        <f>Table13[[#This Row],[Date Of Birth]]</f>
        <v>0</v>
      </c>
      <c r="E469" s="285">
        <f>Table13[[#This Row],[Commencement Date]]</f>
        <v>0</v>
      </c>
      <c r="F469" s="284">
        <f t="shared" si="49"/>
        <v>1</v>
      </c>
      <c r="G469" s="284">
        <f t="shared" si="50"/>
        <v>25</v>
      </c>
      <c r="H469" s="286">
        <f>Table13[[#This Row],[Product Option]]</f>
        <v>0</v>
      </c>
      <c r="I469" s="284">
        <f>IF(AND($A469="Main Member",Table2[[#This Row],[Product Option]]="My Value Plus Life"),"MM_LIFE",
IF(AND($A469="Spouse",Table2[[#This Row],[Product Option]]="My Value Plus Life"),"SP_LIFE",
IF(AND($A469="Main Member",Table2[[#This Row],[Product Option]]="My Value Plus Life &amp; Funeral"),"MM_LIFE",
IF(AND($A469="Spouse",Table2[[#This Row],[Product Option]]="My Value Plus Life &amp; Funeral"),_xlfn.XLOOKUP(Table2[[#This Row],[Benefit Name]],Lookups!$D$18:$D$23,Lookups!$E$18:$E$23,0),
0))))</f>
        <v>0</v>
      </c>
      <c r="J469" s="284">
        <f>IF($I469="","",
IF($I469="MM_LIFE",INDEX('Quotation Tool'!$S$54:$V$60,MATCH($T469,'Quotation Tool'!$S$54:$S$60,0),4),
IF($I469="SP_LIFE",_xlfn.XLOOKUP(B468,$B:$B,$J:$J,0),0)))</f>
        <v>0</v>
      </c>
      <c r="K469" s="287">
        <f t="shared" ca="1" si="54"/>
        <v>0</v>
      </c>
      <c r="L469" s="288">
        <f t="shared" ca="1" si="55"/>
        <v>0</v>
      </c>
      <c r="M469" s="289">
        <f t="shared" ca="1" si="51"/>
        <v>0</v>
      </c>
      <c r="N469" s="286">
        <f>Table13[[#This Row],[Benefit Option]]</f>
        <v>0</v>
      </c>
      <c r="O469" s="284">
        <f>IF(OR(Table2[[#This Row],[Member Type]]="Spouse",Table2[[#This Row],[Member Type]]="Child"),0,
IF(_xlfn.XLOOKUP($N469,Lookups!$D$13:$D$27,Lookups!$F$13:$F$27,0)=Table2[[#This Row],[Table Lookup for Life Cover]],0,
_xlfn.XLOOKUP($N469,Lookups!$D$13:$D$27,Lookups!$F$13:$F$27,0)))</f>
        <v>0</v>
      </c>
      <c r="P469" s="284">
        <f>IF(Table2[[#This Row],[Table Lookup for Funeral]]=0,0,IFERROR(INDEX('Quotation Tool'!$S$54:$V$60,MATCH($T469,'Quotation Tool'!$S$54:$S$60,0),3),0))</f>
        <v>0</v>
      </c>
      <c r="Q469" s="288">
        <f ca="1">IF(OR(Table2[[#This Row],[Benefit Name]]="My Value Plus Life - Main Member",Table2[[#This Row],[Benefit Name]]="My Value Plus Life - Spouse"),0,
IFERROR(VLOOKUP($G469,INDIRECT($O469),$P469,FALSE),0))</f>
        <v>0</v>
      </c>
      <c r="R469" s="288">
        <f ca="1">IF(OR(Table2[[#This Row],[Benefit Name]]="My Value Plus Life - Main Member",Table2[[#This Row],[Benefit Name]]="My Value Plus Life - Spouse"),0,
IFERROR(VLOOKUP($G469,INDIRECT($O469),$P469+1,FALSE),0))</f>
        <v>0</v>
      </c>
      <c r="S469" s="289">
        <f t="shared" ca="1" si="52"/>
        <v>0</v>
      </c>
      <c r="T469" s="284" t="str">
        <f>IF(Table13[[#This Row],[Premium Waiver]]="","None",Table13[[#This Row],[Premium Waiver]])</f>
        <v>None</v>
      </c>
      <c r="U469" s="284">
        <f>Table13[[#This Row],[VAPs Options]]</f>
        <v>0</v>
      </c>
      <c r="V469" s="284">
        <f>Table13[[#This Row],[Annual Increase Option]]</f>
        <v>0</v>
      </c>
      <c r="W469" s="290">
        <f>Table13[[#This Row],[Life Cover Amount]]</f>
        <v>0</v>
      </c>
      <c r="X469" s="290">
        <f>Table13[[#This Row],[Funeral Cover Amount]]</f>
        <v>0</v>
      </c>
      <c r="Y46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6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69" s="301">
        <f t="shared" ca="1" si="53"/>
        <v>0</v>
      </c>
      <c r="AB469" s="298"/>
      <c r="AC469" s="326" t="str">
        <f>IF(Table2[[#This Row],[Member Type]]="Main Member",Lookups!$C$13,
IF(Table2[[#This Row],[Member Type]]="Spouse",_xlfn.XLOOKUP(B469,Table2[Main Member Link ID],Table2[Product Option],0),
IF(AND(Table2[[#This Row],[Member Type]]="Child",_xlfn.XLOOKUP(B469,Table2[Main Member Link ID],Table2[Product Option],0)&lt;&gt;"My Value Plus Life"),Lookups!$C$24,
IF(AND(OR(Table2[[#This Row],[Member Type]]="Parent",Table2[[#This Row],[Member Type]]="Extended"),_xlfn.XLOOKUP(B469,Table2[Main Member Link ID],Table2[Product Option],0)&lt;&gt;"My Value Plus Life"),Lookups!$C$26,""))))</f>
        <v/>
      </c>
      <c r="AD469" s="326" t="str">
        <f>IF(Table2[[#This Row],[Member Type]]="Main Member",Lookups!$C$14,"")</f>
        <v/>
      </c>
      <c r="AE46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Funeral",_xlfn.XLOOKUP(B469,Table2[Main Member Link ID],Table2[Benefit Name],0)=Lookups!$D$14),"",
IF(AND(Table2[[#This Row],[Member Type]]="Spouse",Table2[[#This Row],[Product Option]]="My Value Plus Life &amp; Funeral",_xlfn.XLOOKUP(B468,Table2[Main Member Link ID],Table2[Benefit Name],0)=Lookups!$D$15),Lookups!$D$20,
IF(AND(Table2[[#This Row],[Member Type]]="Spouse",Table2[[#This Row],[Product Option]]="My Value Plus Life &amp; Funeral",_xlfn.XLOOKUP(B468,Table2[Main Member Link ID],Table2[Benefit Name],0)=Lookups!$D$16),"",
IF(AND(Table2[[#This Row],[Member Type]]="Spouse",Table2[[#This Row],[Product Option]]="My Value Plus Life &amp; Funeral",_xlfn.XLOOKUP(B468,Table2[Main Member Link ID],Table2[Benefit Name],0)=Lookups!$D$17),Lookups!$D$21,
IF(AND(Table2[[#This Row],[Member Type]]="Child",Table2[[#This Row],[Product Option]]="My Value Plus Life &amp; Funeral",_xlfn.XLOOKUP(B469,Table2[Main Member Link ID],Table2[Benefit Name],0)=Lookups!$D$14),"",
IF(AND(Table2[[#This Row],[Member Type]]="Child",Table2[[#This Row],[Product Option]]="My Value Plus Life &amp; Funeral",_xlfn.XLOOKUP(B469,Table2[Main Member Link ID],Table2[Benefit Name],0)=Lookups!$D$15),"",
IF(AND(Table2[[#This Row],[Member Type]]="Child",Table2[[#This Row],[Product Option]]="My Value Plus Life &amp; Funeral",_xlfn.XLOOKUP(B469,Table2[Main Member Link ID],Table2[Benefit Name],0)=Lookups!$D$16),Lookups!$D$24,
IF(AND(Table2[[#This Row],[Member Type]]="Child",Table2[[#This Row],[Product Option]]="My Value Plus Life &amp; Funeral",_xlfn.XLOOKUP(B469,Table2[Main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Funeral",_xlfn.XLOOKUP(B469,Table2[Main Member Link ID],Table2[Benefit Name],0)&lt;&gt;Lookups!$D$14),
IF(_xlfn.XLOOKUP(B469,Table2[Main Member Link ID],Table2[Benefit Name],0)=0,"",_xlfn.XLOOKUP(B469,Table2[Main Member Link ID],Table2[Benefit Name],0)),"")))))))))))))))</f>
        <v/>
      </c>
      <c r="AF469" s="327" t="str">
        <f>IF(AND(Table2[[#This Row],[Member Type]]="Main Member",Table2[[#This Row],[Product Option]]="My Value Plus Life &amp; Funeral"),Lookups!$D$15,
IF(AND(Table2[[#This Row],[Member Type]]="Spouse",Table2[[#This Row],[Product Option]]="My Value Plus Life &amp; Funeral",_xlfn.XLOOKUP(B469,Table2[Main Member Link ID],Table2[Benefit Name],0)=Lookups!$D$14),"",
IF(AND(Table2[[#This Row],[Member Type]]="Spouse",Table2[[#This Row],[Product Option]]="My Value Plus Life &amp; Funeral",_xlfn.XLOOKUP(B468,Table2[Main Member Link ID],Table2[Benefit Name],0)=Lookups!$D$16),"",
IF(AND(Table2[[#This Row],[Member Type]]="Spouse",Table2[[#This Row],[Product Option]]="My Value Plus Life &amp; Funeral",_xlfn.XLOOKUP(B468,Table2[Main Member Link ID],Table2[Benefit Name],0)=Lookups!$D$15),"",
IF(AND(Table2[[#This Row],[Member Type]]="Spouse",Table2[[#This Row],[Product Option]]="My Value Plus Life &amp; Funeral",_xlfn.XLOOKUP(B468,Table2[Main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Funeral",_xlfn.XLOOKUP(B469,Table2[Main Member Link ID],Table2[Benefit Name],0)&lt;&gt;Lookups!$D$15),
IF(_xlfn.XLOOKUP(B469,Table2[Main Member Link ID],Table2[Benefit Name],0)=0,"",_xlfn.XLOOKUP(B469,Table2[Main Member Link ID],Table2[Benefit Name],0)),"")
))))))</f>
        <v/>
      </c>
      <c r="AG469" s="327" t="str">
        <f>IF(AND(Table2[[#This Row],[Member Type]]="Main Member",Table2[[#This Row],[Product Option]]="My Value Plus Life &amp; Funeral"),Lookups!$D$16,
IF(AND(Table2[[#This Row],[Member Type]]="Spouse",Table2[[#This Row],[Product Option]]="My Value Plus Life &amp; Funeral",_xlfn.XLOOKUP(B469,Table2[Main Member Link ID],Table2[Benefit Name],0)=Lookups!$D$14),"",
IF(AND(Table2[[#This Row],[Member Type]]="Spouse",Table2[[#This Row],[Product Option]]="My Value Plus Life &amp; Funeral",_xlfn.XLOOKUP(B468,Table2[Main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Funeral",_xlfn.XLOOKUP(B469,Table2[Main Member Link ID],Table2[Benefit Name],0)&lt;&gt;Lookups!$D$16),
IF(_xlfn.XLOOKUP(B469,Table2[Main Member Link ID],Table2[Benefit Name],0)=0,"",_xlfn.XLOOKUP(B469,Table2[Main Member Link ID],Table2[Benefit Name],0)),"")
))))</f>
        <v/>
      </c>
      <c r="AH469" s="327" t="str">
        <f>IF(AND(Table2[[#This Row],[Member Type]]="Main Member",Table2[[#This Row],[Product Option]]="My Value Plus Life &amp; Funeral"),Lookups!$D$17,
IF(AND(Table2[[#This Row],[Member Type]]="Spouse",Table2[[#This Row],[Product Option]]="My Value Plus Life &amp; Funeral",_xlfn.XLOOKUP(B469,Table2[Main Member Link ID],Table2[Benefit Name],0)=Lookups!$D$14),"",
IF(AND(Table2[[#This Row],[Member Type]]="Spouse",Table2[[#This Row],[Product Option]]="My Value Plus Life &amp; Funeral",_xlfn.XLOOKUP(B468,Table2[Main Member Link ID],Table2[Benefit Name],0)=Lookups!$D$16),"",
IF(AND(Table2[[#This Row],[Member Type]]="Child",Table2[[#This Row],[Product Option]]="My Value Plus Life &amp; Funeral"),"",
IF(AND(Table2[[#This Row],[Member Type]]="Child",Table2[[#This Row],[Product Option]]="My Value Plus Life &amp; Funeral",_xlfn.XLOOKUP(B469,Table2[Main Member Link ID],Table2[Benefit Name],0)=Lookups!$D$15),"",
IF(AND(OR(Table2[[#This Row],[Member Type]]="Spouse",Table2[[#This Row],[Member Type]]="Child"),Table2[[#This Row],[Product Option]]="My Value Plus Life &amp; Funeral",_xlfn.XLOOKUP(B469,Table2[Main Member Link ID],Table2[Benefit Name],0)&lt;&gt;Lookups!$D$17),
IF(_xlfn.XLOOKUP(B469,Table2[Main Member Link ID],Table2[Benefit Name],0)=0,"",_xlfn.XLOOKUP(B469,Table2[Main Member Link ID],Table2[Benefit Name],0)),""))))))</f>
        <v/>
      </c>
      <c r="AI469" s="328" t="str">
        <f>IF(AND(Table2[[#This Row],[Member Type]]="Main Member",Table2[[#This Row],[Table Lookup for Life Cover]]="MM_LIFE",Table2[[#This Row],[Age Next Birthday]]&lt;56),1,
IF(AND(Table2[[#This Row],[Member Type]]="Main Member",Table2[[#This Row],[Table Lookup for Life Cover]]="MM_LIFE",Table2[[#This Row],[Age Next Birthday]]&gt;=56),2,
""))</f>
        <v/>
      </c>
      <c r="AJ469" s="328">
        <f>IF(OR(Table2[[#This Row],[Member Type]]="Main Member",Table2[[#This Row],[Main Member Link ID]]=B468),1,0)</f>
        <v>1</v>
      </c>
      <c r="AK469" s="328">
        <f>IF(Table2[[#This Row],[Member Type]]=0,0,
IF(OR(Table2[[#This Row],[Member Type]]="Main Member",Table2[[#This Row],[Main Member Link ID]]&lt;&gt;B469),COUNTIFS(B:B,Table2[[#This Row],[Main Member Link ID]]),
COUNTIFS(B:B,Table2[[#This Row],[Main Member Link ID]],A:A,Table2[[#This Row],[Member Type]])))</f>
        <v>0</v>
      </c>
    </row>
    <row r="470" spans="1:37" x14ac:dyDescent="0.3">
      <c r="A470" s="284">
        <f>Table13[[#This Row],[Member Type]]</f>
        <v>0</v>
      </c>
      <c r="B470" s="284">
        <f>Table13[[#This Row],[Main Member Link ID]]</f>
        <v>0</v>
      </c>
      <c r="C470" s="284">
        <f>Table13[[#This Row],[ID Number]]</f>
        <v>0</v>
      </c>
      <c r="D470" s="285">
        <f>Table13[[#This Row],[Date Of Birth]]</f>
        <v>0</v>
      </c>
      <c r="E470" s="285">
        <f>Table13[[#This Row],[Commencement Date]]</f>
        <v>0</v>
      </c>
      <c r="F470" s="284">
        <f t="shared" si="49"/>
        <v>1</v>
      </c>
      <c r="G470" s="284">
        <f t="shared" si="50"/>
        <v>25</v>
      </c>
      <c r="H470" s="286">
        <f>Table13[[#This Row],[Product Option]]</f>
        <v>0</v>
      </c>
      <c r="I470" s="284">
        <f>IF(AND($A470="Main Member",Table2[[#This Row],[Product Option]]="My Value Plus Life"),"MM_LIFE",
IF(AND($A470="Spouse",Table2[[#This Row],[Product Option]]="My Value Plus Life"),"SP_LIFE",
IF(AND($A470="Main Member",Table2[[#This Row],[Product Option]]="My Value Plus Life &amp; Funeral"),"MM_LIFE",
IF(AND($A470="Spouse",Table2[[#This Row],[Product Option]]="My Value Plus Life &amp; Funeral"),_xlfn.XLOOKUP(Table2[[#This Row],[Benefit Name]],Lookups!$D$18:$D$23,Lookups!$E$18:$E$23,0),
0))))</f>
        <v>0</v>
      </c>
      <c r="J470" s="284">
        <f>IF($I470="","",
IF($I470="MM_LIFE",INDEX('Quotation Tool'!$S$54:$V$60,MATCH($T470,'Quotation Tool'!$S$54:$S$60,0),4),
IF($I470="SP_LIFE",_xlfn.XLOOKUP(B469,$B:$B,$J:$J,0),0)))</f>
        <v>0</v>
      </c>
      <c r="K470" s="287">
        <f t="shared" ca="1" si="54"/>
        <v>0</v>
      </c>
      <c r="L470" s="288">
        <f t="shared" ca="1" si="55"/>
        <v>0</v>
      </c>
      <c r="M470" s="289">
        <f t="shared" ca="1" si="51"/>
        <v>0</v>
      </c>
      <c r="N470" s="286">
        <f>Table13[[#This Row],[Benefit Option]]</f>
        <v>0</v>
      </c>
      <c r="O470" s="284">
        <f>IF(OR(Table2[[#This Row],[Member Type]]="Spouse",Table2[[#This Row],[Member Type]]="Child"),0,
IF(_xlfn.XLOOKUP($N470,Lookups!$D$13:$D$27,Lookups!$F$13:$F$27,0)=Table2[[#This Row],[Table Lookup for Life Cover]],0,
_xlfn.XLOOKUP($N470,Lookups!$D$13:$D$27,Lookups!$F$13:$F$27,0)))</f>
        <v>0</v>
      </c>
      <c r="P470" s="284">
        <f>IF(Table2[[#This Row],[Table Lookup for Funeral]]=0,0,IFERROR(INDEX('Quotation Tool'!$S$54:$V$60,MATCH($T470,'Quotation Tool'!$S$54:$S$60,0),3),0))</f>
        <v>0</v>
      </c>
      <c r="Q470" s="288">
        <f ca="1">IF(OR(Table2[[#This Row],[Benefit Name]]="My Value Plus Life - Main Member",Table2[[#This Row],[Benefit Name]]="My Value Plus Life - Spouse"),0,
IFERROR(VLOOKUP($G470,INDIRECT($O470),$P470,FALSE),0))</f>
        <v>0</v>
      </c>
      <c r="R470" s="288">
        <f ca="1">IF(OR(Table2[[#This Row],[Benefit Name]]="My Value Plus Life - Main Member",Table2[[#This Row],[Benefit Name]]="My Value Plus Life - Spouse"),0,
IFERROR(VLOOKUP($G470,INDIRECT($O470),$P470+1,FALSE),0))</f>
        <v>0</v>
      </c>
      <c r="S470" s="289">
        <f t="shared" ca="1" si="52"/>
        <v>0</v>
      </c>
      <c r="T470" s="284" t="str">
        <f>IF(Table13[[#This Row],[Premium Waiver]]="","None",Table13[[#This Row],[Premium Waiver]])</f>
        <v>None</v>
      </c>
      <c r="U470" s="284">
        <f>Table13[[#This Row],[VAPs Options]]</f>
        <v>0</v>
      </c>
      <c r="V470" s="284">
        <f>Table13[[#This Row],[Annual Increase Option]]</f>
        <v>0</v>
      </c>
      <c r="W470" s="290">
        <f>Table13[[#This Row],[Life Cover Amount]]</f>
        <v>0</v>
      </c>
      <c r="X470" s="290">
        <f>Table13[[#This Row],[Funeral Cover Amount]]</f>
        <v>0</v>
      </c>
      <c r="Y47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7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70" s="301">
        <f t="shared" ca="1" si="53"/>
        <v>0</v>
      </c>
      <c r="AB470" s="298"/>
      <c r="AC470" s="326" t="str">
        <f>IF(Table2[[#This Row],[Member Type]]="Main Member",Lookups!$C$13,
IF(Table2[[#This Row],[Member Type]]="Spouse",_xlfn.XLOOKUP(B470,Table2[Main Member Link ID],Table2[Product Option],0),
IF(AND(Table2[[#This Row],[Member Type]]="Child",_xlfn.XLOOKUP(B470,Table2[Main Member Link ID],Table2[Product Option],0)&lt;&gt;"My Value Plus Life"),Lookups!$C$24,
IF(AND(OR(Table2[[#This Row],[Member Type]]="Parent",Table2[[#This Row],[Member Type]]="Extended"),_xlfn.XLOOKUP(B470,Table2[Main Member Link ID],Table2[Product Option],0)&lt;&gt;"My Value Plus Life"),Lookups!$C$26,""))))</f>
        <v/>
      </c>
      <c r="AD470" s="326" t="str">
        <f>IF(Table2[[#This Row],[Member Type]]="Main Member",Lookups!$C$14,"")</f>
        <v/>
      </c>
      <c r="AE47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Funeral",_xlfn.XLOOKUP(B470,Table2[Main Member Link ID],Table2[Benefit Name],0)=Lookups!$D$14),"",
IF(AND(Table2[[#This Row],[Member Type]]="Spouse",Table2[[#This Row],[Product Option]]="My Value Plus Life &amp; Funeral",_xlfn.XLOOKUP(B469,Table2[Main Member Link ID],Table2[Benefit Name],0)=Lookups!$D$15),Lookups!$D$20,
IF(AND(Table2[[#This Row],[Member Type]]="Spouse",Table2[[#This Row],[Product Option]]="My Value Plus Life &amp; Funeral",_xlfn.XLOOKUP(B469,Table2[Main Member Link ID],Table2[Benefit Name],0)=Lookups!$D$16),"",
IF(AND(Table2[[#This Row],[Member Type]]="Spouse",Table2[[#This Row],[Product Option]]="My Value Plus Life &amp; Funeral",_xlfn.XLOOKUP(B469,Table2[Main Member Link ID],Table2[Benefit Name],0)=Lookups!$D$17),Lookups!$D$21,
IF(AND(Table2[[#This Row],[Member Type]]="Child",Table2[[#This Row],[Product Option]]="My Value Plus Life &amp; Funeral",_xlfn.XLOOKUP(B470,Table2[Main Member Link ID],Table2[Benefit Name],0)=Lookups!$D$14),"",
IF(AND(Table2[[#This Row],[Member Type]]="Child",Table2[[#This Row],[Product Option]]="My Value Plus Life &amp; Funeral",_xlfn.XLOOKUP(B470,Table2[Main Member Link ID],Table2[Benefit Name],0)=Lookups!$D$15),"",
IF(AND(Table2[[#This Row],[Member Type]]="Child",Table2[[#This Row],[Product Option]]="My Value Plus Life &amp; Funeral",_xlfn.XLOOKUP(B470,Table2[Main Member Link ID],Table2[Benefit Name],0)=Lookups!$D$16),Lookups!$D$24,
IF(AND(Table2[[#This Row],[Member Type]]="Child",Table2[[#This Row],[Product Option]]="My Value Plus Life &amp; Funeral",_xlfn.XLOOKUP(B470,Table2[Main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Funeral",_xlfn.XLOOKUP(B470,Table2[Main Member Link ID],Table2[Benefit Name],0)&lt;&gt;Lookups!$D$14),
IF(_xlfn.XLOOKUP(B470,Table2[Main Member Link ID],Table2[Benefit Name],0)=0,"",_xlfn.XLOOKUP(B470,Table2[Main Member Link ID],Table2[Benefit Name],0)),"")))))))))))))))</f>
        <v/>
      </c>
      <c r="AF470" s="327" t="str">
        <f>IF(AND(Table2[[#This Row],[Member Type]]="Main Member",Table2[[#This Row],[Product Option]]="My Value Plus Life &amp; Funeral"),Lookups!$D$15,
IF(AND(Table2[[#This Row],[Member Type]]="Spouse",Table2[[#This Row],[Product Option]]="My Value Plus Life &amp; Funeral",_xlfn.XLOOKUP(B470,Table2[Main Member Link ID],Table2[Benefit Name],0)=Lookups!$D$14),"",
IF(AND(Table2[[#This Row],[Member Type]]="Spouse",Table2[[#This Row],[Product Option]]="My Value Plus Life &amp; Funeral",_xlfn.XLOOKUP(B469,Table2[Main Member Link ID],Table2[Benefit Name],0)=Lookups!$D$16),"",
IF(AND(Table2[[#This Row],[Member Type]]="Spouse",Table2[[#This Row],[Product Option]]="My Value Plus Life &amp; Funeral",_xlfn.XLOOKUP(B469,Table2[Main Member Link ID],Table2[Benefit Name],0)=Lookups!$D$15),"",
IF(AND(Table2[[#This Row],[Member Type]]="Spouse",Table2[[#This Row],[Product Option]]="My Value Plus Life &amp; Funeral",_xlfn.XLOOKUP(B469,Table2[Main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Funeral",_xlfn.XLOOKUP(B470,Table2[Main Member Link ID],Table2[Benefit Name],0)&lt;&gt;Lookups!$D$15),
IF(_xlfn.XLOOKUP(B470,Table2[Main Member Link ID],Table2[Benefit Name],0)=0,"",_xlfn.XLOOKUP(B470,Table2[Main Member Link ID],Table2[Benefit Name],0)),"")
))))))</f>
        <v/>
      </c>
      <c r="AG470" s="327" t="str">
        <f>IF(AND(Table2[[#This Row],[Member Type]]="Main Member",Table2[[#This Row],[Product Option]]="My Value Plus Life &amp; Funeral"),Lookups!$D$16,
IF(AND(Table2[[#This Row],[Member Type]]="Spouse",Table2[[#This Row],[Product Option]]="My Value Plus Life &amp; Funeral",_xlfn.XLOOKUP(B470,Table2[Main Member Link ID],Table2[Benefit Name],0)=Lookups!$D$14),"",
IF(AND(Table2[[#This Row],[Member Type]]="Spouse",Table2[[#This Row],[Product Option]]="My Value Plus Life &amp; Funeral",_xlfn.XLOOKUP(B469,Table2[Main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Funeral",_xlfn.XLOOKUP(B470,Table2[Main Member Link ID],Table2[Benefit Name],0)&lt;&gt;Lookups!$D$16),
IF(_xlfn.XLOOKUP(B470,Table2[Main Member Link ID],Table2[Benefit Name],0)=0,"",_xlfn.XLOOKUP(B470,Table2[Main Member Link ID],Table2[Benefit Name],0)),"")
))))</f>
        <v/>
      </c>
      <c r="AH470" s="327" t="str">
        <f>IF(AND(Table2[[#This Row],[Member Type]]="Main Member",Table2[[#This Row],[Product Option]]="My Value Plus Life &amp; Funeral"),Lookups!$D$17,
IF(AND(Table2[[#This Row],[Member Type]]="Spouse",Table2[[#This Row],[Product Option]]="My Value Plus Life &amp; Funeral",_xlfn.XLOOKUP(B470,Table2[Main Member Link ID],Table2[Benefit Name],0)=Lookups!$D$14),"",
IF(AND(Table2[[#This Row],[Member Type]]="Spouse",Table2[[#This Row],[Product Option]]="My Value Plus Life &amp; Funeral",_xlfn.XLOOKUP(B469,Table2[Main Member Link ID],Table2[Benefit Name],0)=Lookups!$D$16),"",
IF(AND(Table2[[#This Row],[Member Type]]="Child",Table2[[#This Row],[Product Option]]="My Value Plus Life &amp; Funeral"),"",
IF(AND(Table2[[#This Row],[Member Type]]="Child",Table2[[#This Row],[Product Option]]="My Value Plus Life &amp; Funeral",_xlfn.XLOOKUP(B470,Table2[Main Member Link ID],Table2[Benefit Name],0)=Lookups!$D$15),"",
IF(AND(OR(Table2[[#This Row],[Member Type]]="Spouse",Table2[[#This Row],[Member Type]]="Child"),Table2[[#This Row],[Product Option]]="My Value Plus Life &amp; Funeral",_xlfn.XLOOKUP(B470,Table2[Main Member Link ID],Table2[Benefit Name],0)&lt;&gt;Lookups!$D$17),
IF(_xlfn.XLOOKUP(B470,Table2[Main Member Link ID],Table2[Benefit Name],0)=0,"",_xlfn.XLOOKUP(B470,Table2[Main Member Link ID],Table2[Benefit Name],0)),""))))))</f>
        <v/>
      </c>
      <c r="AI470" s="328" t="str">
        <f>IF(AND(Table2[[#This Row],[Member Type]]="Main Member",Table2[[#This Row],[Table Lookup for Life Cover]]="MM_LIFE",Table2[[#This Row],[Age Next Birthday]]&lt;56),1,
IF(AND(Table2[[#This Row],[Member Type]]="Main Member",Table2[[#This Row],[Table Lookup for Life Cover]]="MM_LIFE",Table2[[#This Row],[Age Next Birthday]]&gt;=56),2,
""))</f>
        <v/>
      </c>
      <c r="AJ470" s="328">
        <f>IF(OR(Table2[[#This Row],[Member Type]]="Main Member",Table2[[#This Row],[Main Member Link ID]]=B469),1,0)</f>
        <v>1</v>
      </c>
      <c r="AK470" s="328">
        <f>IF(Table2[[#This Row],[Member Type]]=0,0,
IF(OR(Table2[[#This Row],[Member Type]]="Main Member",Table2[[#This Row],[Main Member Link ID]]&lt;&gt;B470),COUNTIFS(B:B,Table2[[#This Row],[Main Member Link ID]]),
COUNTIFS(B:B,Table2[[#This Row],[Main Member Link ID]],A:A,Table2[[#This Row],[Member Type]])))</f>
        <v>0</v>
      </c>
    </row>
    <row r="471" spans="1:37" x14ac:dyDescent="0.3">
      <c r="A471" s="284">
        <f>Table13[[#This Row],[Member Type]]</f>
        <v>0</v>
      </c>
      <c r="B471" s="284">
        <f>Table13[[#This Row],[Main Member Link ID]]</f>
        <v>0</v>
      </c>
      <c r="C471" s="284">
        <f>Table13[[#This Row],[ID Number]]</f>
        <v>0</v>
      </c>
      <c r="D471" s="285">
        <f>Table13[[#This Row],[Date Of Birth]]</f>
        <v>0</v>
      </c>
      <c r="E471" s="285">
        <f>Table13[[#This Row],[Commencement Date]]</f>
        <v>0</v>
      </c>
      <c r="F471" s="284">
        <f t="shared" si="49"/>
        <v>1</v>
      </c>
      <c r="G471" s="284">
        <f t="shared" si="50"/>
        <v>25</v>
      </c>
      <c r="H471" s="286">
        <f>Table13[[#This Row],[Product Option]]</f>
        <v>0</v>
      </c>
      <c r="I471" s="284">
        <f>IF(AND($A471="Main Member",Table2[[#This Row],[Product Option]]="My Value Plus Life"),"MM_LIFE",
IF(AND($A471="Spouse",Table2[[#This Row],[Product Option]]="My Value Plus Life"),"SP_LIFE",
IF(AND($A471="Main Member",Table2[[#This Row],[Product Option]]="My Value Plus Life &amp; Funeral"),"MM_LIFE",
IF(AND($A471="Spouse",Table2[[#This Row],[Product Option]]="My Value Plus Life &amp; Funeral"),_xlfn.XLOOKUP(Table2[[#This Row],[Benefit Name]],Lookups!$D$18:$D$23,Lookups!$E$18:$E$23,0),
0))))</f>
        <v>0</v>
      </c>
      <c r="J471" s="284">
        <f>IF($I471="","",
IF($I471="MM_LIFE",INDEX('Quotation Tool'!$S$54:$V$60,MATCH($T471,'Quotation Tool'!$S$54:$S$60,0),4),
IF($I471="SP_LIFE",_xlfn.XLOOKUP(B470,$B:$B,$J:$J,0),0)))</f>
        <v>0</v>
      </c>
      <c r="K471" s="287">
        <f t="shared" ca="1" si="54"/>
        <v>0</v>
      </c>
      <c r="L471" s="288">
        <f t="shared" ca="1" si="55"/>
        <v>0</v>
      </c>
      <c r="M471" s="289">
        <f t="shared" ca="1" si="51"/>
        <v>0</v>
      </c>
      <c r="N471" s="286">
        <f>Table13[[#This Row],[Benefit Option]]</f>
        <v>0</v>
      </c>
      <c r="O471" s="284">
        <f>IF(OR(Table2[[#This Row],[Member Type]]="Spouse",Table2[[#This Row],[Member Type]]="Child"),0,
IF(_xlfn.XLOOKUP($N471,Lookups!$D$13:$D$27,Lookups!$F$13:$F$27,0)=Table2[[#This Row],[Table Lookup for Life Cover]],0,
_xlfn.XLOOKUP($N471,Lookups!$D$13:$D$27,Lookups!$F$13:$F$27,0)))</f>
        <v>0</v>
      </c>
      <c r="P471" s="284">
        <f>IF(Table2[[#This Row],[Table Lookup for Funeral]]=0,0,IFERROR(INDEX('Quotation Tool'!$S$54:$V$60,MATCH($T471,'Quotation Tool'!$S$54:$S$60,0),3),0))</f>
        <v>0</v>
      </c>
      <c r="Q471" s="288">
        <f ca="1">IF(OR(Table2[[#This Row],[Benefit Name]]="My Value Plus Life - Main Member",Table2[[#This Row],[Benefit Name]]="My Value Plus Life - Spouse"),0,
IFERROR(VLOOKUP($G471,INDIRECT($O471),$P471,FALSE),0))</f>
        <v>0</v>
      </c>
      <c r="R471" s="288">
        <f ca="1">IF(OR(Table2[[#This Row],[Benefit Name]]="My Value Plus Life - Main Member",Table2[[#This Row],[Benefit Name]]="My Value Plus Life - Spouse"),0,
IFERROR(VLOOKUP($G471,INDIRECT($O471),$P471+1,FALSE),0))</f>
        <v>0</v>
      </c>
      <c r="S471" s="289">
        <f t="shared" ca="1" si="52"/>
        <v>0</v>
      </c>
      <c r="T471" s="284" t="str">
        <f>IF(Table13[[#This Row],[Premium Waiver]]="","None",Table13[[#This Row],[Premium Waiver]])</f>
        <v>None</v>
      </c>
      <c r="U471" s="284">
        <f>Table13[[#This Row],[VAPs Options]]</f>
        <v>0</v>
      </c>
      <c r="V471" s="284">
        <f>Table13[[#This Row],[Annual Increase Option]]</f>
        <v>0</v>
      </c>
      <c r="W471" s="290">
        <f>Table13[[#This Row],[Life Cover Amount]]</f>
        <v>0</v>
      </c>
      <c r="X471" s="290">
        <f>Table13[[#This Row],[Funeral Cover Amount]]</f>
        <v>0</v>
      </c>
      <c r="Y47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7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71" s="301">
        <f t="shared" ca="1" si="53"/>
        <v>0</v>
      </c>
      <c r="AB471" s="298"/>
      <c r="AC471" s="326" t="str">
        <f>IF(Table2[[#This Row],[Member Type]]="Main Member",Lookups!$C$13,
IF(Table2[[#This Row],[Member Type]]="Spouse",_xlfn.XLOOKUP(B471,Table2[Main Member Link ID],Table2[Product Option],0),
IF(AND(Table2[[#This Row],[Member Type]]="Child",_xlfn.XLOOKUP(B471,Table2[Main Member Link ID],Table2[Product Option],0)&lt;&gt;"My Value Plus Life"),Lookups!$C$24,
IF(AND(OR(Table2[[#This Row],[Member Type]]="Parent",Table2[[#This Row],[Member Type]]="Extended"),_xlfn.XLOOKUP(B471,Table2[Main Member Link ID],Table2[Product Option],0)&lt;&gt;"My Value Plus Life"),Lookups!$C$26,""))))</f>
        <v/>
      </c>
      <c r="AD471" s="326" t="str">
        <f>IF(Table2[[#This Row],[Member Type]]="Main Member",Lookups!$C$14,"")</f>
        <v/>
      </c>
      <c r="AE47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Funeral",_xlfn.XLOOKUP(B471,Table2[Main Member Link ID],Table2[Benefit Name],0)=Lookups!$D$14),"",
IF(AND(Table2[[#This Row],[Member Type]]="Spouse",Table2[[#This Row],[Product Option]]="My Value Plus Life &amp; Funeral",_xlfn.XLOOKUP(B470,Table2[Main Member Link ID],Table2[Benefit Name],0)=Lookups!$D$15),Lookups!$D$20,
IF(AND(Table2[[#This Row],[Member Type]]="Spouse",Table2[[#This Row],[Product Option]]="My Value Plus Life &amp; Funeral",_xlfn.XLOOKUP(B470,Table2[Main Member Link ID],Table2[Benefit Name],0)=Lookups!$D$16),"",
IF(AND(Table2[[#This Row],[Member Type]]="Spouse",Table2[[#This Row],[Product Option]]="My Value Plus Life &amp; Funeral",_xlfn.XLOOKUP(B470,Table2[Main Member Link ID],Table2[Benefit Name],0)=Lookups!$D$17),Lookups!$D$21,
IF(AND(Table2[[#This Row],[Member Type]]="Child",Table2[[#This Row],[Product Option]]="My Value Plus Life &amp; Funeral",_xlfn.XLOOKUP(B471,Table2[Main Member Link ID],Table2[Benefit Name],0)=Lookups!$D$14),"",
IF(AND(Table2[[#This Row],[Member Type]]="Child",Table2[[#This Row],[Product Option]]="My Value Plus Life &amp; Funeral",_xlfn.XLOOKUP(B471,Table2[Main Member Link ID],Table2[Benefit Name],0)=Lookups!$D$15),"",
IF(AND(Table2[[#This Row],[Member Type]]="Child",Table2[[#This Row],[Product Option]]="My Value Plus Life &amp; Funeral",_xlfn.XLOOKUP(B471,Table2[Main Member Link ID],Table2[Benefit Name],0)=Lookups!$D$16),Lookups!$D$24,
IF(AND(Table2[[#This Row],[Member Type]]="Child",Table2[[#This Row],[Product Option]]="My Value Plus Life &amp; Funeral",_xlfn.XLOOKUP(B471,Table2[Main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Funeral",_xlfn.XLOOKUP(B471,Table2[Main Member Link ID],Table2[Benefit Name],0)&lt;&gt;Lookups!$D$14),
IF(_xlfn.XLOOKUP(B471,Table2[Main Member Link ID],Table2[Benefit Name],0)=0,"",_xlfn.XLOOKUP(B471,Table2[Main Member Link ID],Table2[Benefit Name],0)),"")))))))))))))))</f>
        <v/>
      </c>
      <c r="AF471" s="327" t="str">
        <f>IF(AND(Table2[[#This Row],[Member Type]]="Main Member",Table2[[#This Row],[Product Option]]="My Value Plus Life &amp; Funeral"),Lookups!$D$15,
IF(AND(Table2[[#This Row],[Member Type]]="Spouse",Table2[[#This Row],[Product Option]]="My Value Plus Life &amp; Funeral",_xlfn.XLOOKUP(B471,Table2[Main Member Link ID],Table2[Benefit Name],0)=Lookups!$D$14),"",
IF(AND(Table2[[#This Row],[Member Type]]="Spouse",Table2[[#This Row],[Product Option]]="My Value Plus Life &amp; Funeral",_xlfn.XLOOKUP(B470,Table2[Main Member Link ID],Table2[Benefit Name],0)=Lookups!$D$16),"",
IF(AND(Table2[[#This Row],[Member Type]]="Spouse",Table2[[#This Row],[Product Option]]="My Value Plus Life &amp; Funeral",_xlfn.XLOOKUP(B470,Table2[Main Member Link ID],Table2[Benefit Name],0)=Lookups!$D$15),"",
IF(AND(Table2[[#This Row],[Member Type]]="Spouse",Table2[[#This Row],[Product Option]]="My Value Plus Life &amp; Funeral",_xlfn.XLOOKUP(B470,Table2[Main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Funeral",_xlfn.XLOOKUP(B471,Table2[Main Member Link ID],Table2[Benefit Name],0)&lt;&gt;Lookups!$D$15),
IF(_xlfn.XLOOKUP(B471,Table2[Main Member Link ID],Table2[Benefit Name],0)=0,"",_xlfn.XLOOKUP(B471,Table2[Main Member Link ID],Table2[Benefit Name],0)),"")
))))))</f>
        <v/>
      </c>
      <c r="AG471" s="327" t="str">
        <f>IF(AND(Table2[[#This Row],[Member Type]]="Main Member",Table2[[#This Row],[Product Option]]="My Value Plus Life &amp; Funeral"),Lookups!$D$16,
IF(AND(Table2[[#This Row],[Member Type]]="Spouse",Table2[[#This Row],[Product Option]]="My Value Plus Life &amp; Funeral",_xlfn.XLOOKUP(B471,Table2[Main Member Link ID],Table2[Benefit Name],0)=Lookups!$D$14),"",
IF(AND(Table2[[#This Row],[Member Type]]="Spouse",Table2[[#This Row],[Product Option]]="My Value Plus Life &amp; Funeral",_xlfn.XLOOKUP(B470,Table2[Main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Funeral",_xlfn.XLOOKUP(B471,Table2[Main Member Link ID],Table2[Benefit Name],0)&lt;&gt;Lookups!$D$16),
IF(_xlfn.XLOOKUP(B471,Table2[Main Member Link ID],Table2[Benefit Name],0)=0,"",_xlfn.XLOOKUP(B471,Table2[Main Member Link ID],Table2[Benefit Name],0)),"")
))))</f>
        <v/>
      </c>
      <c r="AH471" s="327" t="str">
        <f>IF(AND(Table2[[#This Row],[Member Type]]="Main Member",Table2[[#This Row],[Product Option]]="My Value Plus Life &amp; Funeral"),Lookups!$D$17,
IF(AND(Table2[[#This Row],[Member Type]]="Spouse",Table2[[#This Row],[Product Option]]="My Value Plus Life &amp; Funeral",_xlfn.XLOOKUP(B471,Table2[Main Member Link ID],Table2[Benefit Name],0)=Lookups!$D$14),"",
IF(AND(Table2[[#This Row],[Member Type]]="Spouse",Table2[[#This Row],[Product Option]]="My Value Plus Life &amp; Funeral",_xlfn.XLOOKUP(B470,Table2[Main Member Link ID],Table2[Benefit Name],0)=Lookups!$D$16),"",
IF(AND(Table2[[#This Row],[Member Type]]="Child",Table2[[#This Row],[Product Option]]="My Value Plus Life &amp; Funeral"),"",
IF(AND(Table2[[#This Row],[Member Type]]="Child",Table2[[#This Row],[Product Option]]="My Value Plus Life &amp; Funeral",_xlfn.XLOOKUP(B471,Table2[Main Member Link ID],Table2[Benefit Name],0)=Lookups!$D$15),"",
IF(AND(OR(Table2[[#This Row],[Member Type]]="Spouse",Table2[[#This Row],[Member Type]]="Child"),Table2[[#This Row],[Product Option]]="My Value Plus Life &amp; Funeral",_xlfn.XLOOKUP(B471,Table2[Main Member Link ID],Table2[Benefit Name],0)&lt;&gt;Lookups!$D$17),
IF(_xlfn.XLOOKUP(B471,Table2[Main Member Link ID],Table2[Benefit Name],0)=0,"",_xlfn.XLOOKUP(B471,Table2[Main Member Link ID],Table2[Benefit Name],0)),""))))))</f>
        <v/>
      </c>
      <c r="AI471" s="328" t="str">
        <f>IF(AND(Table2[[#This Row],[Member Type]]="Main Member",Table2[[#This Row],[Table Lookup for Life Cover]]="MM_LIFE",Table2[[#This Row],[Age Next Birthday]]&lt;56),1,
IF(AND(Table2[[#This Row],[Member Type]]="Main Member",Table2[[#This Row],[Table Lookup for Life Cover]]="MM_LIFE",Table2[[#This Row],[Age Next Birthday]]&gt;=56),2,
""))</f>
        <v/>
      </c>
      <c r="AJ471" s="328">
        <f>IF(OR(Table2[[#This Row],[Member Type]]="Main Member",Table2[[#This Row],[Main Member Link ID]]=B470),1,0)</f>
        <v>1</v>
      </c>
      <c r="AK471" s="328">
        <f>IF(Table2[[#This Row],[Member Type]]=0,0,
IF(OR(Table2[[#This Row],[Member Type]]="Main Member",Table2[[#This Row],[Main Member Link ID]]&lt;&gt;B471),COUNTIFS(B:B,Table2[[#This Row],[Main Member Link ID]]),
COUNTIFS(B:B,Table2[[#This Row],[Main Member Link ID]],A:A,Table2[[#This Row],[Member Type]])))</f>
        <v>0</v>
      </c>
    </row>
    <row r="472" spans="1:37" x14ac:dyDescent="0.3">
      <c r="A472" s="284">
        <f>Table13[[#This Row],[Member Type]]</f>
        <v>0</v>
      </c>
      <c r="B472" s="284">
        <f>Table13[[#This Row],[Main Member Link ID]]</f>
        <v>0</v>
      </c>
      <c r="C472" s="284">
        <f>Table13[[#This Row],[ID Number]]</f>
        <v>0</v>
      </c>
      <c r="D472" s="285">
        <f>Table13[[#This Row],[Date Of Birth]]</f>
        <v>0</v>
      </c>
      <c r="E472" s="285">
        <f>Table13[[#This Row],[Commencement Date]]</f>
        <v>0</v>
      </c>
      <c r="F472" s="284">
        <f t="shared" si="49"/>
        <v>1</v>
      </c>
      <c r="G472" s="284">
        <f t="shared" si="50"/>
        <v>25</v>
      </c>
      <c r="H472" s="286">
        <f>Table13[[#This Row],[Product Option]]</f>
        <v>0</v>
      </c>
      <c r="I472" s="284">
        <f>IF(AND($A472="Main Member",Table2[[#This Row],[Product Option]]="My Value Plus Life"),"MM_LIFE",
IF(AND($A472="Spouse",Table2[[#This Row],[Product Option]]="My Value Plus Life"),"SP_LIFE",
IF(AND($A472="Main Member",Table2[[#This Row],[Product Option]]="My Value Plus Life &amp; Funeral"),"MM_LIFE",
IF(AND($A472="Spouse",Table2[[#This Row],[Product Option]]="My Value Plus Life &amp; Funeral"),_xlfn.XLOOKUP(Table2[[#This Row],[Benefit Name]],Lookups!$D$18:$D$23,Lookups!$E$18:$E$23,0),
0))))</f>
        <v>0</v>
      </c>
      <c r="J472" s="284">
        <f>IF($I472="","",
IF($I472="MM_LIFE",INDEX('Quotation Tool'!$S$54:$V$60,MATCH($T472,'Quotation Tool'!$S$54:$S$60,0),4),
IF($I472="SP_LIFE",_xlfn.XLOOKUP(B471,$B:$B,$J:$J,0),0)))</f>
        <v>0</v>
      </c>
      <c r="K472" s="287">
        <f t="shared" ca="1" si="54"/>
        <v>0</v>
      </c>
      <c r="L472" s="288">
        <f t="shared" ca="1" si="55"/>
        <v>0</v>
      </c>
      <c r="M472" s="289">
        <f t="shared" ca="1" si="51"/>
        <v>0</v>
      </c>
      <c r="N472" s="286">
        <f>Table13[[#This Row],[Benefit Option]]</f>
        <v>0</v>
      </c>
      <c r="O472" s="284">
        <f>IF(OR(Table2[[#This Row],[Member Type]]="Spouse",Table2[[#This Row],[Member Type]]="Child"),0,
IF(_xlfn.XLOOKUP($N472,Lookups!$D$13:$D$27,Lookups!$F$13:$F$27,0)=Table2[[#This Row],[Table Lookup for Life Cover]],0,
_xlfn.XLOOKUP($N472,Lookups!$D$13:$D$27,Lookups!$F$13:$F$27,0)))</f>
        <v>0</v>
      </c>
      <c r="P472" s="284">
        <f>IF(Table2[[#This Row],[Table Lookup for Funeral]]=0,0,IFERROR(INDEX('Quotation Tool'!$S$54:$V$60,MATCH($T472,'Quotation Tool'!$S$54:$S$60,0),3),0))</f>
        <v>0</v>
      </c>
      <c r="Q472" s="288">
        <f ca="1">IF(OR(Table2[[#This Row],[Benefit Name]]="My Value Plus Life - Main Member",Table2[[#This Row],[Benefit Name]]="My Value Plus Life - Spouse"),0,
IFERROR(VLOOKUP($G472,INDIRECT($O472),$P472,FALSE),0))</f>
        <v>0</v>
      </c>
      <c r="R472" s="288">
        <f ca="1">IF(OR(Table2[[#This Row],[Benefit Name]]="My Value Plus Life - Main Member",Table2[[#This Row],[Benefit Name]]="My Value Plus Life - Spouse"),0,
IFERROR(VLOOKUP($G472,INDIRECT($O472),$P472+1,FALSE),0))</f>
        <v>0</v>
      </c>
      <c r="S472" s="289">
        <f t="shared" ca="1" si="52"/>
        <v>0</v>
      </c>
      <c r="T472" s="284" t="str">
        <f>IF(Table13[[#This Row],[Premium Waiver]]="","None",Table13[[#This Row],[Premium Waiver]])</f>
        <v>None</v>
      </c>
      <c r="U472" s="284">
        <f>Table13[[#This Row],[VAPs Options]]</f>
        <v>0</v>
      </c>
      <c r="V472" s="284">
        <f>Table13[[#This Row],[Annual Increase Option]]</f>
        <v>0</v>
      </c>
      <c r="W472" s="290">
        <f>Table13[[#This Row],[Life Cover Amount]]</f>
        <v>0</v>
      </c>
      <c r="X472" s="290">
        <f>Table13[[#This Row],[Funeral Cover Amount]]</f>
        <v>0</v>
      </c>
      <c r="Y47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7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72" s="301">
        <f t="shared" ca="1" si="53"/>
        <v>0</v>
      </c>
      <c r="AB472" s="298"/>
      <c r="AC472" s="326" t="str">
        <f>IF(Table2[[#This Row],[Member Type]]="Main Member",Lookups!$C$13,
IF(Table2[[#This Row],[Member Type]]="Spouse",_xlfn.XLOOKUP(B472,Table2[Main Member Link ID],Table2[Product Option],0),
IF(AND(Table2[[#This Row],[Member Type]]="Child",_xlfn.XLOOKUP(B472,Table2[Main Member Link ID],Table2[Product Option],0)&lt;&gt;"My Value Plus Life"),Lookups!$C$24,
IF(AND(OR(Table2[[#This Row],[Member Type]]="Parent",Table2[[#This Row],[Member Type]]="Extended"),_xlfn.XLOOKUP(B472,Table2[Main Member Link ID],Table2[Product Option],0)&lt;&gt;"My Value Plus Life"),Lookups!$C$26,""))))</f>
        <v/>
      </c>
      <c r="AD472" s="326" t="str">
        <f>IF(Table2[[#This Row],[Member Type]]="Main Member",Lookups!$C$14,"")</f>
        <v/>
      </c>
      <c r="AE47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Funeral",_xlfn.XLOOKUP(B472,Table2[Main Member Link ID],Table2[Benefit Name],0)=Lookups!$D$14),"",
IF(AND(Table2[[#This Row],[Member Type]]="Spouse",Table2[[#This Row],[Product Option]]="My Value Plus Life &amp; Funeral",_xlfn.XLOOKUP(B471,Table2[Main Member Link ID],Table2[Benefit Name],0)=Lookups!$D$15),Lookups!$D$20,
IF(AND(Table2[[#This Row],[Member Type]]="Spouse",Table2[[#This Row],[Product Option]]="My Value Plus Life &amp; Funeral",_xlfn.XLOOKUP(B471,Table2[Main Member Link ID],Table2[Benefit Name],0)=Lookups!$D$16),"",
IF(AND(Table2[[#This Row],[Member Type]]="Spouse",Table2[[#This Row],[Product Option]]="My Value Plus Life &amp; Funeral",_xlfn.XLOOKUP(B471,Table2[Main Member Link ID],Table2[Benefit Name],0)=Lookups!$D$17),Lookups!$D$21,
IF(AND(Table2[[#This Row],[Member Type]]="Child",Table2[[#This Row],[Product Option]]="My Value Plus Life &amp; Funeral",_xlfn.XLOOKUP(B472,Table2[Main Member Link ID],Table2[Benefit Name],0)=Lookups!$D$14),"",
IF(AND(Table2[[#This Row],[Member Type]]="Child",Table2[[#This Row],[Product Option]]="My Value Plus Life &amp; Funeral",_xlfn.XLOOKUP(B472,Table2[Main Member Link ID],Table2[Benefit Name],0)=Lookups!$D$15),"",
IF(AND(Table2[[#This Row],[Member Type]]="Child",Table2[[#This Row],[Product Option]]="My Value Plus Life &amp; Funeral",_xlfn.XLOOKUP(B472,Table2[Main Member Link ID],Table2[Benefit Name],0)=Lookups!$D$16),Lookups!$D$24,
IF(AND(Table2[[#This Row],[Member Type]]="Child",Table2[[#This Row],[Product Option]]="My Value Plus Life &amp; Funeral",_xlfn.XLOOKUP(B472,Table2[Main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Funeral",_xlfn.XLOOKUP(B472,Table2[Main Member Link ID],Table2[Benefit Name],0)&lt;&gt;Lookups!$D$14),
IF(_xlfn.XLOOKUP(B472,Table2[Main Member Link ID],Table2[Benefit Name],0)=0,"",_xlfn.XLOOKUP(B472,Table2[Main Member Link ID],Table2[Benefit Name],0)),"")))))))))))))))</f>
        <v/>
      </c>
      <c r="AF472" s="327" t="str">
        <f>IF(AND(Table2[[#This Row],[Member Type]]="Main Member",Table2[[#This Row],[Product Option]]="My Value Plus Life &amp; Funeral"),Lookups!$D$15,
IF(AND(Table2[[#This Row],[Member Type]]="Spouse",Table2[[#This Row],[Product Option]]="My Value Plus Life &amp; Funeral",_xlfn.XLOOKUP(B472,Table2[Main Member Link ID],Table2[Benefit Name],0)=Lookups!$D$14),"",
IF(AND(Table2[[#This Row],[Member Type]]="Spouse",Table2[[#This Row],[Product Option]]="My Value Plus Life &amp; Funeral",_xlfn.XLOOKUP(B471,Table2[Main Member Link ID],Table2[Benefit Name],0)=Lookups!$D$16),"",
IF(AND(Table2[[#This Row],[Member Type]]="Spouse",Table2[[#This Row],[Product Option]]="My Value Plus Life &amp; Funeral",_xlfn.XLOOKUP(B471,Table2[Main Member Link ID],Table2[Benefit Name],0)=Lookups!$D$15),"",
IF(AND(Table2[[#This Row],[Member Type]]="Spouse",Table2[[#This Row],[Product Option]]="My Value Plus Life &amp; Funeral",_xlfn.XLOOKUP(B471,Table2[Main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Funeral",_xlfn.XLOOKUP(B472,Table2[Main Member Link ID],Table2[Benefit Name],0)&lt;&gt;Lookups!$D$15),
IF(_xlfn.XLOOKUP(B472,Table2[Main Member Link ID],Table2[Benefit Name],0)=0,"",_xlfn.XLOOKUP(B472,Table2[Main Member Link ID],Table2[Benefit Name],0)),"")
))))))</f>
        <v/>
      </c>
      <c r="AG472" s="327" t="str">
        <f>IF(AND(Table2[[#This Row],[Member Type]]="Main Member",Table2[[#This Row],[Product Option]]="My Value Plus Life &amp; Funeral"),Lookups!$D$16,
IF(AND(Table2[[#This Row],[Member Type]]="Spouse",Table2[[#This Row],[Product Option]]="My Value Plus Life &amp; Funeral",_xlfn.XLOOKUP(B472,Table2[Main Member Link ID],Table2[Benefit Name],0)=Lookups!$D$14),"",
IF(AND(Table2[[#This Row],[Member Type]]="Spouse",Table2[[#This Row],[Product Option]]="My Value Plus Life &amp; Funeral",_xlfn.XLOOKUP(B471,Table2[Main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Funeral",_xlfn.XLOOKUP(B472,Table2[Main Member Link ID],Table2[Benefit Name],0)&lt;&gt;Lookups!$D$16),
IF(_xlfn.XLOOKUP(B472,Table2[Main Member Link ID],Table2[Benefit Name],0)=0,"",_xlfn.XLOOKUP(B472,Table2[Main Member Link ID],Table2[Benefit Name],0)),"")
))))</f>
        <v/>
      </c>
      <c r="AH472" s="327" t="str">
        <f>IF(AND(Table2[[#This Row],[Member Type]]="Main Member",Table2[[#This Row],[Product Option]]="My Value Plus Life &amp; Funeral"),Lookups!$D$17,
IF(AND(Table2[[#This Row],[Member Type]]="Spouse",Table2[[#This Row],[Product Option]]="My Value Plus Life &amp; Funeral",_xlfn.XLOOKUP(B472,Table2[Main Member Link ID],Table2[Benefit Name],0)=Lookups!$D$14),"",
IF(AND(Table2[[#This Row],[Member Type]]="Spouse",Table2[[#This Row],[Product Option]]="My Value Plus Life &amp; Funeral",_xlfn.XLOOKUP(B471,Table2[Main Member Link ID],Table2[Benefit Name],0)=Lookups!$D$16),"",
IF(AND(Table2[[#This Row],[Member Type]]="Child",Table2[[#This Row],[Product Option]]="My Value Plus Life &amp; Funeral"),"",
IF(AND(Table2[[#This Row],[Member Type]]="Child",Table2[[#This Row],[Product Option]]="My Value Plus Life &amp; Funeral",_xlfn.XLOOKUP(B472,Table2[Main Member Link ID],Table2[Benefit Name],0)=Lookups!$D$15),"",
IF(AND(OR(Table2[[#This Row],[Member Type]]="Spouse",Table2[[#This Row],[Member Type]]="Child"),Table2[[#This Row],[Product Option]]="My Value Plus Life &amp; Funeral",_xlfn.XLOOKUP(B472,Table2[Main Member Link ID],Table2[Benefit Name],0)&lt;&gt;Lookups!$D$17),
IF(_xlfn.XLOOKUP(B472,Table2[Main Member Link ID],Table2[Benefit Name],0)=0,"",_xlfn.XLOOKUP(B472,Table2[Main Member Link ID],Table2[Benefit Name],0)),""))))))</f>
        <v/>
      </c>
      <c r="AI472" s="328" t="str">
        <f>IF(AND(Table2[[#This Row],[Member Type]]="Main Member",Table2[[#This Row],[Table Lookup for Life Cover]]="MM_LIFE",Table2[[#This Row],[Age Next Birthday]]&lt;56),1,
IF(AND(Table2[[#This Row],[Member Type]]="Main Member",Table2[[#This Row],[Table Lookup for Life Cover]]="MM_LIFE",Table2[[#This Row],[Age Next Birthday]]&gt;=56),2,
""))</f>
        <v/>
      </c>
      <c r="AJ472" s="328">
        <f>IF(OR(Table2[[#This Row],[Member Type]]="Main Member",Table2[[#This Row],[Main Member Link ID]]=B471),1,0)</f>
        <v>1</v>
      </c>
      <c r="AK472" s="328">
        <f>IF(Table2[[#This Row],[Member Type]]=0,0,
IF(OR(Table2[[#This Row],[Member Type]]="Main Member",Table2[[#This Row],[Main Member Link ID]]&lt;&gt;B472),COUNTIFS(B:B,Table2[[#This Row],[Main Member Link ID]]),
COUNTIFS(B:B,Table2[[#This Row],[Main Member Link ID]],A:A,Table2[[#This Row],[Member Type]])))</f>
        <v>0</v>
      </c>
    </row>
    <row r="473" spans="1:37" x14ac:dyDescent="0.3">
      <c r="A473" s="284">
        <f>Table13[[#This Row],[Member Type]]</f>
        <v>0</v>
      </c>
      <c r="B473" s="284">
        <f>Table13[[#This Row],[Main Member Link ID]]</f>
        <v>0</v>
      </c>
      <c r="C473" s="284">
        <f>Table13[[#This Row],[ID Number]]</f>
        <v>0</v>
      </c>
      <c r="D473" s="285">
        <f>Table13[[#This Row],[Date Of Birth]]</f>
        <v>0</v>
      </c>
      <c r="E473" s="285">
        <f>Table13[[#This Row],[Commencement Date]]</f>
        <v>0</v>
      </c>
      <c r="F473" s="284">
        <f t="shared" si="49"/>
        <v>1</v>
      </c>
      <c r="G473" s="284">
        <f t="shared" si="50"/>
        <v>25</v>
      </c>
      <c r="H473" s="286">
        <f>Table13[[#This Row],[Product Option]]</f>
        <v>0</v>
      </c>
      <c r="I473" s="284">
        <f>IF(AND($A473="Main Member",Table2[[#This Row],[Product Option]]="My Value Plus Life"),"MM_LIFE",
IF(AND($A473="Spouse",Table2[[#This Row],[Product Option]]="My Value Plus Life"),"SP_LIFE",
IF(AND($A473="Main Member",Table2[[#This Row],[Product Option]]="My Value Plus Life &amp; Funeral"),"MM_LIFE",
IF(AND($A473="Spouse",Table2[[#This Row],[Product Option]]="My Value Plus Life &amp; Funeral"),_xlfn.XLOOKUP(Table2[[#This Row],[Benefit Name]],Lookups!$D$18:$D$23,Lookups!$E$18:$E$23,0),
0))))</f>
        <v>0</v>
      </c>
      <c r="J473" s="284">
        <f>IF($I473="","",
IF($I473="MM_LIFE",INDEX('Quotation Tool'!$S$54:$V$60,MATCH($T473,'Quotation Tool'!$S$54:$S$60,0),4),
IF($I473="SP_LIFE",_xlfn.XLOOKUP(B472,$B:$B,$J:$J,0),0)))</f>
        <v>0</v>
      </c>
      <c r="K473" s="287">
        <f t="shared" ca="1" si="54"/>
        <v>0</v>
      </c>
      <c r="L473" s="288">
        <f t="shared" ca="1" si="55"/>
        <v>0</v>
      </c>
      <c r="M473" s="289">
        <f t="shared" ca="1" si="51"/>
        <v>0</v>
      </c>
      <c r="N473" s="286">
        <f>Table13[[#This Row],[Benefit Option]]</f>
        <v>0</v>
      </c>
      <c r="O473" s="284">
        <f>IF(OR(Table2[[#This Row],[Member Type]]="Spouse",Table2[[#This Row],[Member Type]]="Child"),0,
IF(_xlfn.XLOOKUP($N473,Lookups!$D$13:$D$27,Lookups!$F$13:$F$27,0)=Table2[[#This Row],[Table Lookup for Life Cover]],0,
_xlfn.XLOOKUP($N473,Lookups!$D$13:$D$27,Lookups!$F$13:$F$27,0)))</f>
        <v>0</v>
      </c>
      <c r="P473" s="284">
        <f>IF(Table2[[#This Row],[Table Lookup for Funeral]]=0,0,IFERROR(INDEX('Quotation Tool'!$S$54:$V$60,MATCH($T473,'Quotation Tool'!$S$54:$S$60,0),3),0))</f>
        <v>0</v>
      </c>
      <c r="Q473" s="288">
        <f ca="1">IF(OR(Table2[[#This Row],[Benefit Name]]="My Value Plus Life - Main Member",Table2[[#This Row],[Benefit Name]]="My Value Plus Life - Spouse"),0,
IFERROR(VLOOKUP($G473,INDIRECT($O473),$P473,FALSE),0))</f>
        <v>0</v>
      </c>
      <c r="R473" s="288">
        <f ca="1">IF(OR(Table2[[#This Row],[Benefit Name]]="My Value Plus Life - Main Member",Table2[[#This Row],[Benefit Name]]="My Value Plus Life - Spouse"),0,
IFERROR(VLOOKUP($G473,INDIRECT($O473),$P473+1,FALSE),0))</f>
        <v>0</v>
      </c>
      <c r="S473" s="289">
        <f t="shared" ca="1" si="52"/>
        <v>0</v>
      </c>
      <c r="T473" s="284" t="str">
        <f>IF(Table13[[#This Row],[Premium Waiver]]="","None",Table13[[#This Row],[Premium Waiver]])</f>
        <v>None</v>
      </c>
      <c r="U473" s="284">
        <f>Table13[[#This Row],[VAPs Options]]</f>
        <v>0</v>
      </c>
      <c r="V473" s="284">
        <f>Table13[[#This Row],[Annual Increase Option]]</f>
        <v>0</v>
      </c>
      <c r="W473" s="290">
        <f>Table13[[#This Row],[Life Cover Amount]]</f>
        <v>0</v>
      </c>
      <c r="X473" s="290">
        <f>Table13[[#This Row],[Funeral Cover Amount]]</f>
        <v>0</v>
      </c>
      <c r="Y47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7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73" s="301">
        <f t="shared" ca="1" si="53"/>
        <v>0</v>
      </c>
      <c r="AB473" s="298"/>
      <c r="AC473" s="326" t="str">
        <f>IF(Table2[[#This Row],[Member Type]]="Main Member",Lookups!$C$13,
IF(Table2[[#This Row],[Member Type]]="Spouse",_xlfn.XLOOKUP(B473,Table2[Main Member Link ID],Table2[Product Option],0),
IF(AND(Table2[[#This Row],[Member Type]]="Child",_xlfn.XLOOKUP(B473,Table2[Main Member Link ID],Table2[Product Option],0)&lt;&gt;"My Value Plus Life"),Lookups!$C$24,
IF(AND(OR(Table2[[#This Row],[Member Type]]="Parent",Table2[[#This Row],[Member Type]]="Extended"),_xlfn.XLOOKUP(B473,Table2[Main Member Link ID],Table2[Product Option],0)&lt;&gt;"My Value Plus Life"),Lookups!$C$26,""))))</f>
        <v/>
      </c>
      <c r="AD473" s="326" t="str">
        <f>IF(Table2[[#This Row],[Member Type]]="Main Member",Lookups!$C$14,"")</f>
        <v/>
      </c>
      <c r="AE47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Funeral",_xlfn.XLOOKUP(B473,Table2[Main Member Link ID],Table2[Benefit Name],0)=Lookups!$D$14),"",
IF(AND(Table2[[#This Row],[Member Type]]="Spouse",Table2[[#This Row],[Product Option]]="My Value Plus Life &amp; Funeral",_xlfn.XLOOKUP(B472,Table2[Main Member Link ID],Table2[Benefit Name],0)=Lookups!$D$15),Lookups!$D$20,
IF(AND(Table2[[#This Row],[Member Type]]="Spouse",Table2[[#This Row],[Product Option]]="My Value Plus Life &amp; Funeral",_xlfn.XLOOKUP(B472,Table2[Main Member Link ID],Table2[Benefit Name],0)=Lookups!$D$16),"",
IF(AND(Table2[[#This Row],[Member Type]]="Spouse",Table2[[#This Row],[Product Option]]="My Value Plus Life &amp; Funeral",_xlfn.XLOOKUP(B472,Table2[Main Member Link ID],Table2[Benefit Name],0)=Lookups!$D$17),Lookups!$D$21,
IF(AND(Table2[[#This Row],[Member Type]]="Child",Table2[[#This Row],[Product Option]]="My Value Plus Life &amp; Funeral",_xlfn.XLOOKUP(B473,Table2[Main Member Link ID],Table2[Benefit Name],0)=Lookups!$D$14),"",
IF(AND(Table2[[#This Row],[Member Type]]="Child",Table2[[#This Row],[Product Option]]="My Value Plus Life &amp; Funeral",_xlfn.XLOOKUP(B473,Table2[Main Member Link ID],Table2[Benefit Name],0)=Lookups!$D$15),"",
IF(AND(Table2[[#This Row],[Member Type]]="Child",Table2[[#This Row],[Product Option]]="My Value Plus Life &amp; Funeral",_xlfn.XLOOKUP(B473,Table2[Main Member Link ID],Table2[Benefit Name],0)=Lookups!$D$16),Lookups!$D$24,
IF(AND(Table2[[#This Row],[Member Type]]="Child",Table2[[#This Row],[Product Option]]="My Value Plus Life &amp; Funeral",_xlfn.XLOOKUP(B473,Table2[Main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Funeral",_xlfn.XLOOKUP(B473,Table2[Main Member Link ID],Table2[Benefit Name],0)&lt;&gt;Lookups!$D$14),
IF(_xlfn.XLOOKUP(B473,Table2[Main Member Link ID],Table2[Benefit Name],0)=0,"",_xlfn.XLOOKUP(B473,Table2[Main Member Link ID],Table2[Benefit Name],0)),"")))))))))))))))</f>
        <v/>
      </c>
      <c r="AF473" s="327" t="str">
        <f>IF(AND(Table2[[#This Row],[Member Type]]="Main Member",Table2[[#This Row],[Product Option]]="My Value Plus Life &amp; Funeral"),Lookups!$D$15,
IF(AND(Table2[[#This Row],[Member Type]]="Spouse",Table2[[#This Row],[Product Option]]="My Value Plus Life &amp; Funeral",_xlfn.XLOOKUP(B473,Table2[Main Member Link ID],Table2[Benefit Name],0)=Lookups!$D$14),"",
IF(AND(Table2[[#This Row],[Member Type]]="Spouse",Table2[[#This Row],[Product Option]]="My Value Plus Life &amp; Funeral",_xlfn.XLOOKUP(B472,Table2[Main Member Link ID],Table2[Benefit Name],0)=Lookups!$D$16),"",
IF(AND(Table2[[#This Row],[Member Type]]="Spouse",Table2[[#This Row],[Product Option]]="My Value Plus Life &amp; Funeral",_xlfn.XLOOKUP(B472,Table2[Main Member Link ID],Table2[Benefit Name],0)=Lookups!$D$15),"",
IF(AND(Table2[[#This Row],[Member Type]]="Spouse",Table2[[#This Row],[Product Option]]="My Value Plus Life &amp; Funeral",_xlfn.XLOOKUP(B472,Table2[Main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Funeral",_xlfn.XLOOKUP(B473,Table2[Main Member Link ID],Table2[Benefit Name],0)&lt;&gt;Lookups!$D$15),
IF(_xlfn.XLOOKUP(B473,Table2[Main Member Link ID],Table2[Benefit Name],0)=0,"",_xlfn.XLOOKUP(B473,Table2[Main Member Link ID],Table2[Benefit Name],0)),"")
))))))</f>
        <v/>
      </c>
      <c r="AG473" s="327" t="str">
        <f>IF(AND(Table2[[#This Row],[Member Type]]="Main Member",Table2[[#This Row],[Product Option]]="My Value Plus Life &amp; Funeral"),Lookups!$D$16,
IF(AND(Table2[[#This Row],[Member Type]]="Spouse",Table2[[#This Row],[Product Option]]="My Value Plus Life &amp; Funeral",_xlfn.XLOOKUP(B473,Table2[Main Member Link ID],Table2[Benefit Name],0)=Lookups!$D$14),"",
IF(AND(Table2[[#This Row],[Member Type]]="Spouse",Table2[[#This Row],[Product Option]]="My Value Plus Life &amp; Funeral",_xlfn.XLOOKUP(B472,Table2[Main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Funeral",_xlfn.XLOOKUP(B473,Table2[Main Member Link ID],Table2[Benefit Name],0)&lt;&gt;Lookups!$D$16),
IF(_xlfn.XLOOKUP(B473,Table2[Main Member Link ID],Table2[Benefit Name],0)=0,"",_xlfn.XLOOKUP(B473,Table2[Main Member Link ID],Table2[Benefit Name],0)),"")
))))</f>
        <v/>
      </c>
      <c r="AH473" s="327" t="str">
        <f>IF(AND(Table2[[#This Row],[Member Type]]="Main Member",Table2[[#This Row],[Product Option]]="My Value Plus Life &amp; Funeral"),Lookups!$D$17,
IF(AND(Table2[[#This Row],[Member Type]]="Spouse",Table2[[#This Row],[Product Option]]="My Value Plus Life &amp; Funeral",_xlfn.XLOOKUP(B473,Table2[Main Member Link ID],Table2[Benefit Name],0)=Lookups!$D$14),"",
IF(AND(Table2[[#This Row],[Member Type]]="Spouse",Table2[[#This Row],[Product Option]]="My Value Plus Life &amp; Funeral",_xlfn.XLOOKUP(B472,Table2[Main Member Link ID],Table2[Benefit Name],0)=Lookups!$D$16),"",
IF(AND(Table2[[#This Row],[Member Type]]="Child",Table2[[#This Row],[Product Option]]="My Value Plus Life &amp; Funeral"),"",
IF(AND(Table2[[#This Row],[Member Type]]="Child",Table2[[#This Row],[Product Option]]="My Value Plus Life &amp; Funeral",_xlfn.XLOOKUP(B473,Table2[Main Member Link ID],Table2[Benefit Name],0)=Lookups!$D$15),"",
IF(AND(OR(Table2[[#This Row],[Member Type]]="Spouse",Table2[[#This Row],[Member Type]]="Child"),Table2[[#This Row],[Product Option]]="My Value Plus Life &amp; Funeral",_xlfn.XLOOKUP(B473,Table2[Main Member Link ID],Table2[Benefit Name],0)&lt;&gt;Lookups!$D$17),
IF(_xlfn.XLOOKUP(B473,Table2[Main Member Link ID],Table2[Benefit Name],0)=0,"",_xlfn.XLOOKUP(B473,Table2[Main Member Link ID],Table2[Benefit Name],0)),""))))))</f>
        <v/>
      </c>
      <c r="AI473" s="328" t="str">
        <f>IF(AND(Table2[[#This Row],[Member Type]]="Main Member",Table2[[#This Row],[Table Lookup for Life Cover]]="MM_LIFE",Table2[[#This Row],[Age Next Birthday]]&lt;56),1,
IF(AND(Table2[[#This Row],[Member Type]]="Main Member",Table2[[#This Row],[Table Lookup for Life Cover]]="MM_LIFE",Table2[[#This Row],[Age Next Birthday]]&gt;=56),2,
""))</f>
        <v/>
      </c>
      <c r="AJ473" s="328">
        <f>IF(OR(Table2[[#This Row],[Member Type]]="Main Member",Table2[[#This Row],[Main Member Link ID]]=B472),1,0)</f>
        <v>1</v>
      </c>
      <c r="AK473" s="328">
        <f>IF(Table2[[#This Row],[Member Type]]=0,0,
IF(OR(Table2[[#This Row],[Member Type]]="Main Member",Table2[[#This Row],[Main Member Link ID]]&lt;&gt;B473),COUNTIFS(B:B,Table2[[#This Row],[Main Member Link ID]]),
COUNTIFS(B:B,Table2[[#This Row],[Main Member Link ID]],A:A,Table2[[#This Row],[Member Type]])))</f>
        <v>0</v>
      </c>
    </row>
    <row r="474" spans="1:37" x14ac:dyDescent="0.3">
      <c r="A474" s="284">
        <f>Table13[[#This Row],[Member Type]]</f>
        <v>0</v>
      </c>
      <c r="B474" s="284">
        <f>Table13[[#This Row],[Main Member Link ID]]</f>
        <v>0</v>
      </c>
      <c r="C474" s="284">
        <f>Table13[[#This Row],[ID Number]]</f>
        <v>0</v>
      </c>
      <c r="D474" s="285">
        <f>Table13[[#This Row],[Date Of Birth]]</f>
        <v>0</v>
      </c>
      <c r="E474" s="285">
        <f>Table13[[#This Row],[Commencement Date]]</f>
        <v>0</v>
      </c>
      <c r="F474" s="284">
        <f t="shared" si="49"/>
        <v>1</v>
      </c>
      <c r="G474" s="284">
        <f t="shared" si="50"/>
        <v>25</v>
      </c>
      <c r="H474" s="286">
        <f>Table13[[#This Row],[Product Option]]</f>
        <v>0</v>
      </c>
      <c r="I474" s="284">
        <f>IF(AND($A474="Main Member",Table2[[#This Row],[Product Option]]="My Value Plus Life"),"MM_LIFE",
IF(AND($A474="Spouse",Table2[[#This Row],[Product Option]]="My Value Plus Life"),"SP_LIFE",
IF(AND($A474="Main Member",Table2[[#This Row],[Product Option]]="My Value Plus Life &amp; Funeral"),"MM_LIFE",
IF(AND($A474="Spouse",Table2[[#This Row],[Product Option]]="My Value Plus Life &amp; Funeral"),_xlfn.XLOOKUP(Table2[[#This Row],[Benefit Name]],Lookups!$D$18:$D$23,Lookups!$E$18:$E$23,0),
0))))</f>
        <v>0</v>
      </c>
      <c r="J474" s="284">
        <f>IF($I474="","",
IF($I474="MM_LIFE",INDEX('Quotation Tool'!$S$54:$V$60,MATCH($T474,'Quotation Tool'!$S$54:$S$60,0),4),
IF($I474="SP_LIFE",_xlfn.XLOOKUP(B473,$B:$B,$J:$J,0),0)))</f>
        <v>0</v>
      </c>
      <c r="K474" s="287">
        <f t="shared" ca="1" si="54"/>
        <v>0</v>
      </c>
      <c r="L474" s="288">
        <f t="shared" ca="1" si="55"/>
        <v>0</v>
      </c>
      <c r="M474" s="289">
        <f t="shared" ca="1" si="51"/>
        <v>0</v>
      </c>
      <c r="N474" s="286">
        <f>Table13[[#This Row],[Benefit Option]]</f>
        <v>0</v>
      </c>
      <c r="O474" s="284">
        <f>IF(OR(Table2[[#This Row],[Member Type]]="Spouse",Table2[[#This Row],[Member Type]]="Child"),0,
IF(_xlfn.XLOOKUP($N474,Lookups!$D$13:$D$27,Lookups!$F$13:$F$27,0)=Table2[[#This Row],[Table Lookup for Life Cover]],0,
_xlfn.XLOOKUP($N474,Lookups!$D$13:$D$27,Lookups!$F$13:$F$27,0)))</f>
        <v>0</v>
      </c>
      <c r="P474" s="284">
        <f>IF(Table2[[#This Row],[Table Lookup for Funeral]]=0,0,IFERROR(INDEX('Quotation Tool'!$S$54:$V$60,MATCH($T474,'Quotation Tool'!$S$54:$S$60,0),3),0))</f>
        <v>0</v>
      </c>
      <c r="Q474" s="288">
        <f ca="1">IF(OR(Table2[[#This Row],[Benefit Name]]="My Value Plus Life - Main Member",Table2[[#This Row],[Benefit Name]]="My Value Plus Life - Spouse"),0,
IFERROR(VLOOKUP($G474,INDIRECT($O474),$P474,FALSE),0))</f>
        <v>0</v>
      </c>
      <c r="R474" s="288">
        <f ca="1">IF(OR(Table2[[#This Row],[Benefit Name]]="My Value Plus Life - Main Member",Table2[[#This Row],[Benefit Name]]="My Value Plus Life - Spouse"),0,
IFERROR(VLOOKUP($G474,INDIRECT($O474),$P474+1,FALSE),0))</f>
        <v>0</v>
      </c>
      <c r="S474" s="289">
        <f t="shared" ca="1" si="52"/>
        <v>0</v>
      </c>
      <c r="T474" s="284" t="str">
        <f>IF(Table13[[#This Row],[Premium Waiver]]="","None",Table13[[#This Row],[Premium Waiver]])</f>
        <v>None</v>
      </c>
      <c r="U474" s="284">
        <f>Table13[[#This Row],[VAPs Options]]</f>
        <v>0</v>
      </c>
      <c r="V474" s="284">
        <f>Table13[[#This Row],[Annual Increase Option]]</f>
        <v>0</v>
      </c>
      <c r="W474" s="290">
        <f>Table13[[#This Row],[Life Cover Amount]]</f>
        <v>0</v>
      </c>
      <c r="X474" s="290">
        <f>Table13[[#This Row],[Funeral Cover Amount]]</f>
        <v>0</v>
      </c>
      <c r="Y47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7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74" s="301">
        <f t="shared" ca="1" si="53"/>
        <v>0</v>
      </c>
      <c r="AB474" s="298"/>
      <c r="AC474" s="326" t="str">
        <f>IF(Table2[[#This Row],[Member Type]]="Main Member",Lookups!$C$13,
IF(Table2[[#This Row],[Member Type]]="Spouse",_xlfn.XLOOKUP(B474,Table2[Main Member Link ID],Table2[Product Option],0),
IF(AND(Table2[[#This Row],[Member Type]]="Child",_xlfn.XLOOKUP(B474,Table2[Main Member Link ID],Table2[Product Option],0)&lt;&gt;"My Value Plus Life"),Lookups!$C$24,
IF(AND(OR(Table2[[#This Row],[Member Type]]="Parent",Table2[[#This Row],[Member Type]]="Extended"),_xlfn.XLOOKUP(B474,Table2[Main Member Link ID],Table2[Product Option],0)&lt;&gt;"My Value Plus Life"),Lookups!$C$26,""))))</f>
        <v/>
      </c>
      <c r="AD474" s="326" t="str">
        <f>IF(Table2[[#This Row],[Member Type]]="Main Member",Lookups!$C$14,"")</f>
        <v/>
      </c>
      <c r="AE47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Funeral",_xlfn.XLOOKUP(B474,Table2[Main Member Link ID],Table2[Benefit Name],0)=Lookups!$D$14),"",
IF(AND(Table2[[#This Row],[Member Type]]="Spouse",Table2[[#This Row],[Product Option]]="My Value Plus Life &amp; Funeral",_xlfn.XLOOKUP(B473,Table2[Main Member Link ID],Table2[Benefit Name],0)=Lookups!$D$15),Lookups!$D$20,
IF(AND(Table2[[#This Row],[Member Type]]="Spouse",Table2[[#This Row],[Product Option]]="My Value Plus Life &amp; Funeral",_xlfn.XLOOKUP(B473,Table2[Main Member Link ID],Table2[Benefit Name],0)=Lookups!$D$16),"",
IF(AND(Table2[[#This Row],[Member Type]]="Spouse",Table2[[#This Row],[Product Option]]="My Value Plus Life &amp; Funeral",_xlfn.XLOOKUP(B473,Table2[Main Member Link ID],Table2[Benefit Name],0)=Lookups!$D$17),Lookups!$D$21,
IF(AND(Table2[[#This Row],[Member Type]]="Child",Table2[[#This Row],[Product Option]]="My Value Plus Life &amp; Funeral",_xlfn.XLOOKUP(B474,Table2[Main Member Link ID],Table2[Benefit Name],0)=Lookups!$D$14),"",
IF(AND(Table2[[#This Row],[Member Type]]="Child",Table2[[#This Row],[Product Option]]="My Value Plus Life &amp; Funeral",_xlfn.XLOOKUP(B474,Table2[Main Member Link ID],Table2[Benefit Name],0)=Lookups!$D$15),"",
IF(AND(Table2[[#This Row],[Member Type]]="Child",Table2[[#This Row],[Product Option]]="My Value Plus Life &amp; Funeral",_xlfn.XLOOKUP(B474,Table2[Main Member Link ID],Table2[Benefit Name],0)=Lookups!$D$16),Lookups!$D$24,
IF(AND(Table2[[#This Row],[Member Type]]="Child",Table2[[#This Row],[Product Option]]="My Value Plus Life &amp; Funeral",_xlfn.XLOOKUP(B474,Table2[Main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Funeral",_xlfn.XLOOKUP(B474,Table2[Main Member Link ID],Table2[Benefit Name],0)&lt;&gt;Lookups!$D$14),
IF(_xlfn.XLOOKUP(B474,Table2[Main Member Link ID],Table2[Benefit Name],0)=0,"",_xlfn.XLOOKUP(B474,Table2[Main Member Link ID],Table2[Benefit Name],0)),"")))))))))))))))</f>
        <v/>
      </c>
      <c r="AF474" s="327" t="str">
        <f>IF(AND(Table2[[#This Row],[Member Type]]="Main Member",Table2[[#This Row],[Product Option]]="My Value Plus Life &amp; Funeral"),Lookups!$D$15,
IF(AND(Table2[[#This Row],[Member Type]]="Spouse",Table2[[#This Row],[Product Option]]="My Value Plus Life &amp; Funeral",_xlfn.XLOOKUP(B474,Table2[Main Member Link ID],Table2[Benefit Name],0)=Lookups!$D$14),"",
IF(AND(Table2[[#This Row],[Member Type]]="Spouse",Table2[[#This Row],[Product Option]]="My Value Plus Life &amp; Funeral",_xlfn.XLOOKUP(B473,Table2[Main Member Link ID],Table2[Benefit Name],0)=Lookups!$D$16),"",
IF(AND(Table2[[#This Row],[Member Type]]="Spouse",Table2[[#This Row],[Product Option]]="My Value Plus Life &amp; Funeral",_xlfn.XLOOKUP(B473,Table2[Main Member Link ID],Table2[Benefit Name],0)=Lookups!$D$15),"",
IF(AND(Table2[[#This Row],[Member Type]]="Spouse",Table2[[#This Row],[Product Option]]="My Value Plus Life &amp; Funeral",_xlfn.XLOOKUP(B473,Table2[Main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Funeral",_xlfn.XLOOKUP(B474,Table2[Main Member Link ID],Table2[Benefit Name],0)&lt;&gt;Lookups!$D$15),
IF(_xlfn.XLOOKUP(B474,Table2[Main Member Link ID],Table2[Benefit Name],0)=0,"",_xlfn.XLOOKUP(B474,Table2[Main Member Link ID],Table2[Benefit Name],0)),"")
))))))</f>
        <v/>
      </c>
      <c r="AG474" s="327" t="str">
        <f>IF(AND(Table2[[#This Row],[Member Type]]="Main Member",Table2[[#This Row],[Product Option]]="My Value Plus Life &amp; Funeral"),Lookups!$D$16,
IF(AND(Table2[[#This Row],[Member Type]]="Spouse",Table2[[#This Row],[Product Option]]="My Value Plus Life &amp; Funeral",_xlfn.XLOOKUP(B474,Table2[Main Member Link ID],Table2[Benefit Name],0)=Lookups!$D$14),"",
IF(AND(Table2[[#This Row],[Member Type]]="Spouse",Table2[[#This Row],[Product Option]]="My Value Plus Life &amp; Funeral",_xlfn.XLOOKUP(B473,Table2[Main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Funeral",_xlfn.XLOOKUP(B474,Table2[Main Member Link ID],Table2[Benefit Name],0)&lt;&gt;Lookups!$D$16),
IF(_xlfn.XLOOKUP(B474,Table2[Main Member Link ID],Table2[Benefit Name],0)=0,"",_xlfn.XLOOKUP(B474,Table2[Main Member Link ID],Table2[Benefit Name],0)),"")
))))</f>
        <v/>
      </c>
      <c r="AH474" s="327" t="str">
        <f>IF(AND(Table2[[#This Row],[Member Type]]="Main Member",Table2[[#This Row],[Product Option]]="My Value Plus Life &amp; Funeral"),Lookups!$D$17,
IF(AND(Table2[[#This Row],[Member Type]]="Spouse",Table2[[#This Row],[Product Option]]="My Value Plus Life &amp; Funeral",_xlfn.XLOOKUP(B474,Table2[Main Member Link ID],Table2[Benefit Name],0)=Lookups!$D$14),"",
IF(AND(Table2[[#This Row],[Member Type]]="Spouse",Table2[[#This Row],[Product Option]]="My Value Plus Life &amp; Funeral",_xlfn.XLOOKUP(B473,Table2[Main Member Link ID],Table2[Benefit Name],0)=Lookups!$D$16),"",
IF(AND(Table2[[#This Row],[Member Type]]="Child",Table2[[#This Row],[Product Option]]="My Value Plus Life &amp; Funeral"),"",
IF(AND(Table2[[#This Row],[Member Type]]="Child",Table2[[#This Row],[Product Option]]="My Value Plus Life &amp; Funeral",_xlfn.XLOOKUP(B474,Table2[Main Member Link ID],Table2[Benefit Name],0)=Lookups!$D$15),"",
IF(AND(OR(Table2[[#This Row],[Member Type]]="Spouse",Table2[[#This Row],[Member Type]]="Child"),Table2[[#This Row],[Product Option]]="My Value Plus Life &amp; Funeral",_xlfn.XLOOKUP(B474,Table2[Main Member Link ID],Table2[Benefit Name],0)&lt;&gt;Lookups!$D$17),
IF(_xlfn.XLOOKUP(B474,Table2[Main Member Link ID],Table2[Benefit Name],0)=0,"",_xlfn.XLOOKUP(B474,Table2[Main Member Link ID],Table2[Benefit Name],0)),""))))))</f>
        <v/>
      </c>
      <c r="AI474" s="328" t="str">
        <f>IF(AND(Table2[[#This Row],[Member Type]]="Main Member",Table2[[#This Row],[Table Lookup for Life Cover]]="MM_LIFE",Table2[[#This Row],[Age Next Birthday]]&lt;56),1,
IF(AND(Table2[[#This Row],[Member Type]]="Main Member",Table2[[#This Row],[Table Lookup for Life Cover]]="MM_LIFE",Table2[[#This Row],[Age Next Birthday]]&gt;=56),2,
""))</f>
        <v/>
      </c>
      <c r="AJ474" s="328">
        <f>IF(OR(Table2[[#This Row],[Member Type]]="Main Member",Table2[[#This Row],[Main Member Link ID]]=B473),1,0)</f>
        <v>1</v>
      </c>
      <c r="AK474" s="328">
        <f>IF(Table2[[#This Row],[Member Type]]=0,0,
IF(OR(Table2[[#This Row],[Member Type]]="Main Member",Table2[[#This Row],[Main Member Link ID]]&lt;&gt;B474),COUNTIFS(B:B,Table2[[#This Row],[Main Member Link ID]]),
COUNTIFS(B:B,Table2[[#This Row],[Main Member Link ID]],A:A,Table2[[#This Row],[Member Type]])))</f>
        <v>0</v>
      </c>
    </row>
    <row r="475" spans="1:37" x14ac:dyDescent="0.3">
      <c r="A475" s="284">
        <f>Table13[[#This Row],[Member Type]]</f>
        <v>0</v>
      </c>
      <c r="B475" s="284">
        <f>Table13[[#This Row],[Main Member Link ID]]</f>
        <v>0</v>
      </c>
      <c r="C475" s="284">
        <f>Table13[[#This Row],[ID Number]]</f>
        <v>0</v>
      </c>
      <c r="D475" s="285">
        <f>Table13[[#This Row],[Date Of Birth]]</f>
        <v>0</v>
      </c>
      <c r="E475" s="285">
        <f>Table13[[#This Row],[Commencement Date]]</f>
        <v>0</v>
      </c>
      <c r="F475" s="284">
        <f t="shared" si="49"/>
        <v>1</v>
      </c>
      <c r="G475" s="284">
        <f t="shared" si="50"/>
        <v>25</v>
      </c>
      <c r="H475" s="286">
        <f>Table13[[#This Row],[Product Option]]</f>
        <v>0</v>
      </c>
      <c r="I475" s="284">
        <f>IF(AND($A475="Main Member",Table2[[#This Row],[Product Option]]="My Value Plus Life"),"MM_LIFE",
IF(AND($A475="Spouse",Table2[[#This Row],[Product Option]]="My Value Plus Life"),"SP_LIFE",
IF(AND($A475="Main Member",Table2[[#This Row],[Product Option]]="My Value Plus Life &amp; Funeral"),"MM_LIFE",
IF(AND($A475="Spouse",Table2[[#This Row],[Product Option]]="My Value Plus Life &amp; Funeral"),_xlfn.XLOOKUP(Table2[[#This Row],[Benefit Name]],Lookups!$D$18:$D$23,Lookups!$E$18:$E$23,0),
0))))</f>
        <v>0</v>
      </c>
      <c r="J475" s="284">
        <f>IF($I475="","",
IF($I475="MM_LIFE",INDEX('Quotation Tool'!$S$54:$V$60,MATCH($T475,'Quotation Tool'!$S$54:$S$60,0),4),
IF($I475="SP_LIFE",_xlfn.XLOOKUP(B474,$B:$B,$J:$J,0),0)))</f>
        <v>0</v>
      </c>
      <c r="K475" s="287">
        <f t="shared" ca="1" si="54"/>
        <v>0</v>
      </c>
      <c r="L475" s="288">
        <f t="shared" ca="1" si="55"/>
        <v>0</v>
      </c>
      <c r="M475" s="289">
        <f t="shared" ca="1" si="51"/>
        <v>0</v>
      </c>
      <c r="N475" s="286">
        <f>Table13[[#This Row],[Benefit Option]]</f>
        <v>0</v>
      </c>
      <c r="O475" s="284">
        <f>IF(OR(Table2[[#This Row],[Member Type]]="Spouse",Table2[[#This Row],[Member Type]]="Child"),0,
IF(_xlfn.XLOOKUP($N475,Lookups!$D$13:$D$27,Lookups!$F$13:$F$27,0)=Table2[[#This Row],[Table Lookup for Life Cover]],0,
_xlfn.XLOOKUP($N475,Lookups!$D$13:$D$27,Lookups!$F$13:$F$27,0)))</f>
        <v>0</v>
      </c>
      <c r="P475" s="284">
        <f>IF(Table2[[#This Row],[Table Lookup for Funeral]]=0,0,IFERROR(INDEX('Quotation Tool'!$S$54:$V$60,MATCH($T475,'Quotation Tool'!$S$54:$S$60,0),3),0))</f>
        <v>0</v>
      </c>
      <c r="Q475" s="288">
        <f ca="1">IF(OR(Table2[[#This Row],[Benefit Name]]="My Value Plus Life - Main Member",Table2[[#This Row],[Benefit Name]]="My Value Plus Life - Spouse"),0,
IFERROR(VLOOKUP($G475,INDIRECT($O475),$P475,FALSE),0))</f>
        <v>0</v>
      </c>
      <c r="R475" s="288">
        <f ca="1">IF(OR(Table2[[#This Row],[Benefit Name]]="My Value Plus Life - Main Member",Table2[[#This Row],[Benefit Name]]="My Value Plus Life - Spouse"),0,
IFERROR(VLOOKUP($G475,INDIRECT($O475),$P475+1,FALSE),0))</f>
        <v>0</v>
      </c>
      <c r="S475" s="289">
        <f t="shared" ca="1" si="52"/>
        <v>0</v>
      </c>
      <c r="T475" s="284" t="str">
        <f>IF(Table13[[#This Row],[Premium Waiver]]="","None",Table13[[#This Row],[Premium Waiver]])</f>
        <v>None</v>
      </c>
      <c r="U475" s="284">
        <f>Table13[[#This Row],[VAPs Options]]</f>
        <v>0</v>
      </c>
      <c r="V475" s="284">
        <f>Table13[[#This Row],[Annual Increase Option]]</f>
        <v>0</v>
      </c>
      <c r="W475" s="290">
        <f>Table13[[#This Row],[Life Cover Amount]]</f>
        <v>0</v>
      </c>
      <c r="X475" s="290">
        <f>Table13[[#This Row],[Funeral Cover Amount]]</f>
        <v>0</v>
      </c>
      <c r="Y47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7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75" s="301">
        <f t="shared" ca="1" si="53"/>
        <v>0</v>
      </c>
      <c r="AB475" s="298"/>
      <c r="AC475" s="326" t="str">
        <f>IF(Table2[[#This Row],[Member Type]]="Main Member",Lookups!$C$13,
IF(Table2[[#This Row],[Member Type]]="Spouse",_xlfn.XLOOKUP(B475,Table2[Main Member Link ID],Table2[Product Option],0),
IF(AND(Table2[[#This Row],[Member Type]]="Child",_xlfn.XLOOKUP(B475,Table2[Main Member Link ID],Table2[Product Option],0)&lt;&gt;"My Value Plus Life"),Lookups!$C$24,
IF(AND(OR(Table2[[#This Row],[Member Type]]="Parent",Table2[[#This Row],[Member Type]]="Extended"),_xlfn.XLOOKUP(B475,Table2[Main Member Link ID],Table2[Product Option],0)&lt;&gt;"My Value Plus Life"),Lookups!$C$26,""))))</f>
        <v/>
      </c>
      <c r="AD475" s="326" t="str">
        <f>IF(Table2[[#This Row],[Member Type]]="Main Member",Lookups!$C$14,"")</f>
        <v/>
      </c>
      <c r="AE47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Funeral",_xlfn.XLOOKUP(B475,Table2[Main Member Link ID],Table2[Benefit Name],0)=Lookups!$D$14),"",
IF(AND(Table2[[#This Row],[Member Type]]="Spouse",Table2[[#This Row],[Product Option]]="My Value Plus Life &amp; Funeral",_xlfn.XLOOKUP(B474,Table2[Main Member Link ID],Table2[Benefit Name],0)=Lookups!$D$15),Lookups!$D$20,
IF(AND(Table2[[#This Row],[Member Type]]="Spouse",Table2[[#This Row],[Product Option]]="My Value Plus Life &amp; Funeral",_xlfn.XLOOKUP(B474,Table2[Main Member Link ID],Table2[Benefit Name],0)=Lookups!$D$16),"",
IF(AND(Table2[[#This Row],[Member Type]]="Spouse",Table2[[#This Row],[Product Option]]="My Value Plus Life &amp; Funeral",_xlfn.XLOOKUP(B474,Table2[Main Member Link ID],Table2[Benefit Name],0)=Lookups!$D$17),Lookups!$D$21,
IF(AND(Table2[[#This Row],[Member Type]]="Child",Table2[[#This Row],[Product Option]]="My Value Plus Life &amp; Funeral",_xlfn.XLOOKUP(B475,Table2[Main Member Link ID],Table2[Benefit Name],0)=Lookups!$D$14),"",
IF(AND(Table2[[#This Row],[Member Type]]="Child",Table2[[#This Row],[Product Option]]="My Value Plus Life &amp; Funeral",_xlfn.XLOOKUP(B475,Table2[Main Member Link ID],Table2[Benefit Name],0)=Lookups!$D$15),"",
IF(AND(Table2[[#This Row],[Member Type]]="Child",Table2[[#This Row],[Product Option]]="My Value Plus Life &amp; Funeral",_xlfn.XLOOKUP(B475,Table2[Main Member Link ID],Table2[Benefit Name],0)=Lookups!$D$16),Lookups!$D$24,
IF(AND(Table2[[#This Row],[Member Type]]="Child",Table2[[#This Row],[Product Option]]="My Value Plus Life &amp; Funeral",_xlfn.XLOOKUP(B475,Table2[Main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Funeral",_xlfn.XLOOKUP(B475,Table2[Main Member Link ID],Table2[Benefit Name],0)&lt;&gt;Lookups!$D$14),
IF(_xlfn.XLOOKUP(B475,Table2[Main Member Link ID],Table2[Benefit Name],0)=0,"",_xlfn.XLOOKUP(B475,Table2[Main Member Link ID],Table2[Benefit Name],0)),"")))))))))))))))</f>
        <v/>
      </c>
      <c r="AF475" s="327" t="str">
        <f>IF(AND(Table2[[#This Row],[Member Type]]="Main Member",Table2[[#This Row],[Product Option]]="My Value Plus Life &amp; Funeral"),Lookups!$D$15,
IF(AND(Table2[[#This Row],[Member Type]]="Spouse",Table2[[#This Row],[Product Option]]="My Value Plus Life &amp; Funeral",_xlfn.XLOOKUP(B475,Table2[Main Member Link ID],Table2[Benefit Name],0)=Lookups!$D$14),"",
IF(AND(Table2[[#This Row],[Member Type]]="Spouse",Table2[[#This Row],[Product Option]]="My Value Plus Life &amp; Funeral",_xlfn.XLOOKUP(B474,Table2[Main Member Link ID],Table2[Benefit Name],0)=Lookups!$D$16),"",
IF(AND(Table2[[#This Row],[Member Type]]="Spouse",Table2[[#This Row],[Product Option]]="My Value Plus Life &amp; Funeral",_xlfn.XLOOKUP(B474,Table2[Main Member Link ID],Table2[Benefit Name],0)=Lookups!$D$15),"",
IF(AND(Table2[[#This Row],[Member Type]]="Spouse",Table2[[#This Row],[Product Option]]="My Value Plus Life &amp; Funeral",_xlfn.XLOOKUP(B474,Table2[Main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Funeral",_xlfn.XLOOKUP(B475,Table2[Main Member Link ID],Table2[Benefit Name],0)&lt;&gt;Lookups!$D$15),
IF(_xlfn.XLOOKUP(B475,Table2[Main Member Link ID],Table2[Benefit Name],0)=0,"",_xlfn.XLOOKUP(B475,Table2[Main Member Link ID],Table2[Benefit Name],0)),"")
))))))</f>
        <v/>
      </c>
      <c r="AG475" s="327" t="str">
        <f>IF(AND(Table2[[#This Row],[Member Type]]="Main Member",Table2[[#This Row],[Product Option]]="My Value Plus Life &amp; Funeral"),Lookups!$D$16,
IF(AND(Table2[[#This Row],[Member Type]]="Spouse",Table2[[#This Row],[Product Option]]="My Value Plus Life &amp; Funeral",_xlfn.XLOOKUP(B475,Table2[Main Member Link ID],Table2[Benefit Name],0)=Lookups!$D$14),"",
IF(AND(Table2[[#This Row],[Member Type]]="Spouse",Table2[[#This Row],[Product Option]]="My Value Plus Life &amp; Funeral",_xlfn.XLOOKUP(B474,Table2[Main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Funeral",_xlfn.XLOOKUP(B475,Table2[Main Member Link ID],Table2[Benefit Name],0)&lt;&gt;Lookups!$D$16),
IF(_xlfn.XLOOKUP(B475,Table2[Main Member Link ID],Table2[Benefit Name],0)=0,"",_xlfn.XLOOKUP(B475,Table2[Main Member Link ID],Table2[Benefit Name],0)),"")
))))</f>
        <v/>
      </c>
      <c r="AH475" s="327" t="str">
        <f>IF(AND(Table2[[#This Row],[Member Type]]="Main Member",Table2[[#This Row],[Product Option]]="My Value Plus Life &amp; Funeral"),Lookups!$D$17,
IF(AND(Table2[[#This Row],[Member Type]]="Spouse",Table2[[#This Row],[Product Option]]="My Value Plus Life &amp; Funeral",_xlfn.XLOOKUP(B475,Table2[Main Member Link ID],Table2[Benefit Name],0)=Lookups!$D$14),"",
IF(AND(Table2[[#This Row],[Member Type]]="Spouse",Table2[[#This Row],[Product Option]]="My Value Plus Life &amp; Funeral",_xlfn.XLOOKUP(B474,Table2[Main Member Link ID],Table2[Benefit Name],0)=Lookups!$D$16),"",
IF(AND(Table2[[#This Row],[Member Type]]="Child",Table2[[#This Row],[Product Option]]="My Value Plus Life &amp; Funeral"),"",
IF(AND(Table2[[#This Row],[Member Type]]="Child",Table2[[#This Row],[Product Option]]="My Value Plus Life &amp; Funeral",_xlfn.XLOOKUP(B475,Table2[Main Member Link ID],Table2[Benefit Name],0)=Lookups!$D$15),"",
IF(AND(OR(Table2[[#This Row],[Member Type]]="Spouse",Table2[[#This Row],[Member Type]]="Child"),Table2[[#This Row],[Product Option]]="My Value Plus Life &amp; Funeral",_xlfn.XLOOKUP(B475,Table2[Main Member Link ID],Table2[Benefit Name],0)&lt;&gt;Lookups!$D$17),
IF(_xlfn.XLOOKUP(B475,Table2[Main Member Link ID],Table2[Benefit Name],0)=0,"",_xlfn.XLOOKUP(B475,Table2[Main Member Link ID],Table2[Benefit Name],0)),""))))))</f>
        <v/>
      </c>
      <c r="AI475" s="328" t="str">
        <f>IF(AND(Table2[[#This Row],[Member Type]]="Main Member",Table2[[#This Row],[Table Lookup for Life Cover]]="MM_LIFE",Table2[[#This Row],[Age Next Birthday]]&lt;56),1,
IF(AND(Table2[[#This Row],[Member Type]]="Main Member",Table2[[#This Row],[Table Lookup for Life Cover]]="MM_LIFE",Table2[[#This Row],[Age Next Birthday]]&gt;=56),2,
""))</f>
        <v/>
      </c>
      <c r="AJ475" s="328">
        <f>IF(OR(Table2[[#This Row],[Member Type]]="Main Member",Table2[[#This Row],[Main Member Link ID]]=B474),1,0)</f>
        <v>1</v>
      </c>
      <c r="AK475" s="328">
        <f>IF(Table2[[#This Row],[Member Type]]=0,0,
IF(OR(Table2[[#This Row],[Member Type]]="Main Member",Table2[[#This Row],[Main Member Link ID]]&lt;&gt;B475),COUNTIFS(B:B,Table2[[#This Row],[Main Member Link ID]]),
COUNTIFS(B:B,Table2[[#This Row],[Main Member Link ID]],A:A,Table2[[#This Row],[Member Type]])))</f>
        <v>0</v>
      </c>
    </row>
    <row r="476" spans="1:37" x14ac:dyDescent="0.3">
      <c r="A476" s="284">
        <f>Table13[[#This Row],[Member Type]]</f>
        <v>0</v>
      </c>
      <c r="B476" s="284">
        <f>Table13[[#This Row],[Main Member Link ID]]</f>
        <v>0</v>
      </c>
      <c r="C476" s="284">
        <f>Table13[[#This Row],[ID Number]]</f>
        <v>0</v>
      </c>
      <c r="D476" s="285">
        <f>Table13[[#This Row],[Date Of Birth]]</f>
        <v>0</v>
      </c>
      <c r="E476" s="285">
        <f>Table13[[#This Row],[Commencement Date]]</f>
        <v>0</v>
      </c>
      <c r="F476" s="284">
        <f t="shared" si="49"/>
        <v>1</v>
      </c>
      <c r="G476" s="284">
        <f t="shared" si="50"/>
        <v>25</v>
      </c>
      <c r="H476" s="286">
        <f>Table13[[#This Row],[Product Option]]</f>
        <v>0</v>
      </c>
      <c r="I476" s="284">
        <f>IF(AND($A476="Main Member",Table2[[#This Row],[Product Option]]="My Value Plus Life"),"MM_LIFE",
IF(AND($A476="Spouse",Table2[[#This Row],[Product Option]]="My Value Plus Life"),"SP_LIFE",
IF(AND($A476="Main Member",Table2[[#This Row],[Product Option]]="My Value Plus Life &amp; Funeral"),"MM_LIFE",
IF(AND($A476="Spouse",Table2[[#This Row],[Product Option]]="My Value Plus Life &amp; Funeral"),_xlfn.XLOOKUP(Table2[[#This Row],[Benefit Name]],Lookups!$D$18:$D$23,Lookups!$E$18:$E$23,0),
0))))</f>
        <v>0</v>
      </c>
      <c r="J476" s="284">
        <f>IF($I476="","",
IF($I476="MM_LIFE",INDEX('Quotation Tool'!$S$54:$V$60,MATCH($T476,'Quotation Tool'!$S$54:$S$60,0),4),
IF($I476="SP_LIFE",_xlfn.XLOOKUP(B475,$B:$B,$J:$J,0),0)))</f>
        <v>0</v>
      </c>
      <c r="K476" s="287">
        <f t="shared" ca="1" si="54"/>
        <v>0</v>
      </c>
      <c r="L476" s="288">
        <f t="shared" ca="1" si="55"/>
        <v>0</v>
      </c>
      <c r="M476" s="289">
        <f t="shared" ca="1" si="51"/>
        <v>0</v>
      </c>
      <c r="N476" s="286">
        <f>Table13[[#This Row],[Benefit Option]]</f>
        <v>0</v>
      </c>
      <c r="O476" s="284">
        <f>IF(OR(Table2[[#This Row],[Member Type]]="Spouse",Table2[[#This Row],[Member Type]]="Child"),0,
IF(_xlfn.XLOOKUP($N476,Lookups!$D$13:$D$27,Lookups!$F$13:$F$27,0)=Table2[[#This Row],[Table Lookup for Life Cover]],0,
_xlfn.XLOOKUP($N476,Lookups!$D$13:$D$27,Lookups!$F$13:$F$27,0)))</f>
        <v>0</v>
      </c>
      <c r="P476" s="284">
        <f>IF(Table2[[#This Row],[Table Lookup for Funeral]]=0,0,IFERROR(INDEX('Quotation Tool'!$S$54:$V$60,MATCH($T476,'Quotation Tool'!$S$54:$S$60,0),3),0))</f>
        <v>0</v>
      </c>
      <c r="Q476" s="288">
        <f ca="1">IF(OR(Table2[[#This Row],[Benefit Name]]="My Value Plus Life - Main Member",Table2[[#This Row],[Benefit Name]]="My Value Plus Life - Spouse"),0,
IFERROR(VLOOKUP($G476,INDIRECT($O476),$P476,FALSE),0))</f>
        <v>0</v>
      </c>
      <c r="R476" s="288">
        <f ca="1">IF(OR(Table2[[#This Row],[Benefit Name]]="My Value Plus Life - Main Member",Table2[[#This Row],[Benefit Name]]="My Value Plus Life - Spouse"),0,
IFERROR(VLOOKUP($G476,INDIRECT($O476),$P476+1,FALSE),0))</f>
        <v>0</v>
      </c>
      <c r="S476" s="289">
        <f t="shared" ca="1" si="52"/>
        <v>0</v>
      </c>
      <c r="T476" s="284" t="str">
        <f>IF(Table13[[#This Row],[Premium Waiver]]="","None",Table13[[#This Row],[Premium Waiver]])</f>
        <v>None</v>
      </c>
      <c r="U476" s="284">
        <f>Table13[[#This Row],[VAPs Options]]</f>
        <v>0</v>
      </c>
      <c r="V476" s="284">
        <f>Table13[[#This Row],[Annual Increase Option]]</f>
        <v>0</v>
      </c>
      <c r="W476" s="290">
        <f>Table13[[#This Row],[Life Cover Amount]]</f>
        <v>0</v>
      </c>
      <c r="X476" s="290">
        <f>Table13[[#This Row],[Funeral Cover Amount]]</f>
        <v>0</v>
      </c>
      <c r="Y47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7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76" s="301">
        <f t="shared" ca="1" si="53"/>
        <v>0</v>
      </c>
      <c r="AB476" s="298"/>
      <c r="AC476" s="326" t="str">
        <f>IF(Table2[[#This Row],[Member Type]]="Main Member",Lookups!$C$13,
IF(Table2[[#This Row],[Member Type]]="Spouse",_xlfn.XLOOKUP(B476,Table2[Main Member Link ID],Table2[Product Option],0),
IF(AND(Table2[[#This Row],[Member Type]]="Child",_xlfn.XLOOKUP(B476,Table2[Main Member Link ID],Table2[Product Option],0)&lt;&gt;"My Value Plus Life"),Lookups!$C$24,
IF(AND(OR(Table2[[#This Row],[Member Type]]="Parent",Table2[[#This Row],[Member Type]]="Extended"),_xlfn.XLOOKUP(B476,Table2[Main Member Link ID],Table2[Product Option],0)&lt;&gt;"My Value Plus Life"),Lookups!$C$26,""))))</f>
        <v/>
      </c>
      <c r="AD476" s="326" t="str">
        <f>IF(Table2[[#This Row],[Member Type]]="Main Member",Lookups!$C$14,"")</f>
        <v/>
      </c>
      <c r="AE47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Funeral",_xlfn.XLOOKUP(B476,Table2[Main Member Link ID],Table2[Benefit Name],0)=Lookups!$D$14),"",
IF(AND(Table2[[#This Row],[Member Type]]="Spouse",Table2[[#This Row],[Product Option]]="My Value Plus Life &amp; Funeral",_xlfn.XLOOKUP(B475,Table2[Main Member Link ID],Table2[Benefit Name],0)=Lookups!$D$15),Lookups!$D$20,
IF(AND(Table2[[#This Row],[Member Type]]="Spouse",Table2[[#This Row],[Product Option]]="My Value Plus Life &amp; Funeral",_xlfn.XLOOKUP(B475,Table2[Main Member Link ID],Table2[Benefit Name],0)=Lookups!$D$16),"",
IF(AND(Table2[[#This Row],[Member Type]]="Spouse",Table2[[#This Row],[Product Option]]="My Value Plus Life &amp; Funeral",_xlfn.XLOOKUP(B475,Table2[Main Member Link ID],Table2[Benefit Name],0)=Lookups!$D$17),Lookups!$D$21,
IF(AND(Table2[[#This Row],[Member Type]]="Child",Table2[[#This Row],[Product Option]]="My Value Plus Life &amp; Funeral",_xlfn.XLOOKUP(B476,Table2[Main Member Link ID],Table2[Benefit Name],0)=Lookups!$D$14),"",
IF(AND(Table2[[#This Row],[Member Type]]="Child",Table2[[#This Row],[Product Option]]="My Value Plus Life &amp; Funeral",_xlfn.XLOOKUP(B476,Table2[Main Member Link ID],Table2[Benefit Name],0)=Lookups!$D$15),"",
IF(AND(Table2[[#This Row],[Member Type]]="Child",Table2[[#This Row],[Product Option]]="My Value Plus Life &amp; Funeral",_xlfn.XLOOKUP(B476,Table2[Main Member Link ID],Table2[Benefit Name],0)=Lookups!$D$16),Lookups!$D$24,
IF(AND(Table2[[#This Row],[Member Type]]="Child",Table2[[#This Row],[Product Option]]="My Value Plus Life &amp; Funeral",_xlfn.XLOOKUP(B476,Table2[Main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Funeral",_xlfn.XLOOKUP(B476,Table2[Main Member Link ID],Table2[Benefit Name],0)&lt;&gt;Lookups!$D$14),
IF(_xlfn.XLOOKUP(B476,Table2[Main Member Link ID],Table2[Benefit Name],0)=0,"",_xlfn.XLOOKUP(B476,Table2[Main Member Link ID],Table2[Benefit Name],0)),"")))))))))))))))</f>
        <v/>
      </c>
      <c r="AF476" s="327" t="str">
        <f>IF(AND(Table2[[#This Row],[Member Type]]="Main Member",Table2[[#This Row],[Product Option]]="My Value Plus Life &amp; Funeral"),Lookups!$D$15,
IF(AND(Table2[[#This Row],[Member Type]]="Spouse",Table2[[#This Row],[Product Option]]="My Value Plus Life &amp; Funeral",_xlfn.XLOOKUP(B476,Table2[Main Member Link ID],Table2[Benefit Name],0)=Lookups!$D$14),"",
IF(AND(Table2[[#This Row],[Member Type]]="Spouse",Table2[[#This Row],[Product Option]]="My Value Plus Life &amp; Funeral",_xlfn.XLOOKUP(B475,Table2[Main Member Link ID],Table2[Benefit Name],0)=Lookups!$D$16),"",
IF(AND(Table2[[#This Row],[Member Type]]="Spouse",Table2[[#This Row],[Product Option]]="My Value Plus Life &amp; Funeral",_xlfn.XLOOKUP(B475,Table2[Main Member Link ID],Table2[Benefit Name],0)=Lookups!$D$15),"",
IF(AND(Table2[[#This Row],[Member Type]]="Spouse",Table2[[#This Row],[Product Option]]="My Value Plus Life &amp; Funeral",_xlfn.XLOOKUP(B475,Table2[Main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Funeral",_xlfn.XLOOKUP(B476,Table2[Main Member Link ID],Table2[Benefit Name],0)&lt;&gt;Lookups!$D$15),
IF(_xlfn.XLOOKUP(B476,Table2[Main Member Link ID],Table2[Benefit Name],0)=0,"",_xlfn.XLOOKUP(B476,Table2[Main Member Link ID],Table2[Benefit Name],0)),"")
))))))</f>
        <v/>
      </c>
      <c r="AG476" s="327" t="str">
        <f>IF(AND(Table2[[#This Row],[Member Type]]="Main Member",Table2[[#This Row],[Product Option]]="My Value Plus Life &amp; Funeral"),Lookups!$D$16,
IF(AND(Table2[[#This Row],[Member Type]]="Spouse",Table2[[#This Row],[Product Option]]="My Value Plus Life &amp; Funeral",_xlfn.XLOOKUP(B476,Table2[Main Member Link ID],Table2[Benefit Name],0)=Lookups!$D$14),"",
IF(AND(Table2[[#This Row],[Member Type]]="Spouse",Table2[[#This Row],[Product Option]]="My Value Plus Life &amp; Funeral",_xlfn.XLOOKUP(B475,Table2[Main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Funeral",_xlfn.XLOOKUP(B476,Table2[Main Member Link ID],Table2[Benefit Name],0)&lt;&gt;Lookups!$D$16),
IF(_xlfn.XLOOKUP(B476,Table2[Main Member Link ID],Table2[Benefit Name],0)=0,"",_xlfn.XLOOKUP(B476,Table2[Main Member Link ID],Table2[Benefit Name],0)),"")
))))</f>
        <v/>
      </c>
      <c r="AH476" s="327" t="str">
        <f>IF(AND(Table2[[#This Row],[Member Type]]="Main Member",Table2[[#This Row],[Product Option]]="My Value Plus Life &amp; Funeral"),Lookups!$D$17,
IF(AND(Table2[[#This Row],[Member Type]]="Spouse",Table2[[#This Row],[Product Option]]="My Value Plus Life &amp; Funeral",_xlfn.XLOOKUP(B476,Table2[Main Member Link ID],Table2[Benefit Name],0)=Lookups!$D$14),"",
IF(AND(Table2[[#This Row],[Member Type]]="Spouse",Table2[[#This Row],[Product Option]]="My Value Plus Life &amp; Funeral",_xlfn.XLOOKUP(B475,Table2[Main Member Link ID],Table2[Benefit Name],0)=Lookups!$D$16),"",
IF(AND(Table2[[#This Row],[Member Type]]="Child",Table2[[#This Row],[Product Option]]="My Value Plus Life &amp; Funeral"),"",
IF(AND(Table2[[#This Row],[Member Type]]="Child",Table2[[#This Row],[Product Option]]="My Value Plus Life &amp; Funeral",_xlfn.XLOOKUP(B476,Table2[Main Member Link ID],Table2[Benefit Name],0)=Lookups!$D$15),"",
IF(AND(OR(Table2[[#This Row],[Member Type]]="Spouse",Table2[[#This Row],[Member Type]]="Child"),Table2[[#This Row],[Product Option]]="My Value Plus Life &amp; Funeral",_xlfn.XLOOKUP(B476,Table2[Main Member Link ID],Table2[Benefit Name],0)&lt;&gt;Lookups!$D$17),
IF(_xlfn.XLOOKUP(B476,Table2[Main Member Link ID],Table2[Benefit Name],0)=0,"",_xlfn.XLOOKUP(B476,Table2[Main Member Link ID],Table2[Benefit Name],0)),""))))))</f>
        <v/>
      </c>
      <c r="AI476" s="328" t="str">
        <f>IF(AND(Table2[[#This Row],[Member Type]]="Main Member",Table2[[#This Row],[Table Lookup for Life Cover]]="MM_LIFE",Table2[[#This Row],[Age Next Birthday]]&lt;56),1,
IF(AND(Table2[[#This Row],[Member Type]]="Main Member",Table2[[#This Row],[Table Lookup for Life Cover]]="MM_LIFE",Table2[[#This Row],[Age Next Birthday]]&gt;=56),2,
""))</f>
        <v/>
      </c>
      <c r="AJ476" s="328">
        <f>IF(OR(Table2[[#This Row],[Member Type]]="Main Member",Table2[[#This Row],[Main Member Link ID]]=B475),1,0)</f>
        <v>1</v>
      </c>
      <c r="AK476" s="328">
        <f>IF(Table2[[#This Row],[Member Type]]=0,0,
IF(OR(Table2[[#This Row],[Member Type]]="Main Member",Table2[[#This Row],[Main Member Link ID]]&lt;&gt;B476),COUNTIFS(B:B,Table2[[#This Row],[Main Member Link ID]]),
COUNTIFS(B:B,Table2[[#This Row],[Main Member Link ID]],A:A,Table2[[#This Row],[Member Type]])))</f>
        <v>0</v>
      </c>
    </row>
    <row r="477" spans="1:37" x14ac:dyDescent="0.3">
      <c r="A477" s="284">
        <f>Table13[[#This Row],[Member Type]]</f>
        <v>0</v>
      </c>
      <c r="B477" s="284">
        <f>Table13[[#This Row],[Main Member Link ID]]</f>
        <v>0</v>
      </c>
      <c r="C477" s="284">
        <f>Table13[[#This Row],[ID Number]]</f>
        <v>0</v>
      </c>
      <c r="D477" s="285">
        <f>Table13[[#This Row],[Date Of Birth]]</f>
        <v>0</v>
      </c>
      <c r="E477" s="285">
        <f>Table13[[#This Row],[Commencement Date]]</f>
        <v>0</v>
      </c>
      <c r="F477" s="284">
        <f t="shared" si="49"/>
        <v>1</v>
      </c>
      <c r="G477" s="284">
        <f t="shared" si="50"/>
        <v>25</v>
      </c>
      <c r="H477" s="286">
        <f>Table13[[#This Row],[Product Option]]</f>
        <v>0</v>
      </c>
      <c r="I477" s="284">
        <f>IF(AND($A477="Main Member",Table2[[#This Row],[Product Option]]="My Value Plus Life"),"MM_LIFE",
IF(AND($A477="Spouse",Table2[[#This Row],[Product Option]]="My Value Plus Life"),"SP_LIFE",
IF(AND($A477="Main Member",Table2[[#This Row],[Product Option]]="My Value Plus Life &amp; Funeral"),"MM_LIFE",
IF(AND($A477="Spouse",Table2[[#This Row],[Product Option]]="My Value Plus Life &amp; Funeral"),_xlfn.XLOOKUP(Table2[[#This Row],[Benefit Name]],Lookups!$D$18:$D$23,Lookups!$E$18:$E$23,0),
0))))</f>
        <v>0</v>
      </c>
      <c r="J477" s="284">
        <f>IF($I477="","",
IF($I477="MM_LIFE",INDEX('Quotation Tool'!$S$54:$V$60,MATCH($T477,'Quotation Tool'!$S$54:$S$60,0),4),
IF($I477="SP_LIFE",_xlfn.XLOOKUP(B476,$B:$B,$J:$J,0),0)))</f>
        <v>0</v>
      </c>
      <c r="K477" s="287">
        <f t="shared" ca="1" si="54"/>
        <v>0</v>
      </c>
      <c r="L477" s="288">
        <f t="shared" ca="1" si="55"/>
        <v>0</v>
      </c>
      <c r="M477" s="289">
        <f t="shared" ca="1" si="51"/>
        <v>0</v>
      </c>
      <c r="N477" s="286">
        <f>Table13[[#This Row],[Benefit Option]]</f>
        <v>0</v>
      </c>
      <c r="O477" s="284">
        <f>IF(OR(Table2[[#This Row],[Member Type]]="Spouse",Table2[[#This Row],[Member Type]]="Child"),0,
IF(_xlfn.XLOOKUP($N477,Lookups!$D$13:$D$27,Lookups!$F$13:$F$27,0)=Table2[[#This Row],[Table Lookup for Life Cover]],0,
_xlfn.XLOOKUP($N477,Lookups!$D$13:$D$27,Lookups!$F$13:$F$27,0)))</f>
        <v>0</v>
      </c>
      <c r="P477" s="284">
        <f>IF(Table2[[#This Row],[Table Lookup for Funeral]]=0,0,IFERROR(INDEX('Quotation Tool'!$S$54:$V$60,MATCH($T477,'Quotation Tool'!$S$54:$S$60,0),3),0))</f>
        <v>0</v>
      </c>
      <c r="Q477" s="288">
        <f ca="1">IF(OR(Table2[[#This Row],[Benefit Name]]="My Value Plus Life - Main Member",Table2[[#This Row],[Benefit Name]]="My Value Plus Life - Spouse"),0,
IFERROR(VLOOKUP($G477,INDIRECT($O477),$P477,FALSE),0))</f>
        <v>0</v>
      </c>
      <c r="R477" s="288">
        <f ca="1">IF(OR(Table2[[#This Row],[Benefit Name]]="My Value Plus Life - Main Member",Table2[[#This Row],[Benefit Name]]="My Value Plus Life - Spouse"),0,
IFERROR(VLOOKUP($G477,INDIRECT($O477),$P477+1,FALSE),0))</f>
        <v>0</v>
      </c>
      <c r="S477" s="289">
        <f t="shared" ca="1" si="52"/>
        <v>0</v>
      </c>
      <c r="T477" s="284" t="str">
        <f>IF(Table13[[#This Row],[Premium Waiver]]="","None",Table13[[#This Row],[Premium Waiver]])</f>
        <v>None</v>
      </c>
      <c r="U477" s="284">
        <f>Table13[[#This Row],[VAPs Options]]</f>
        <v>0</v>
      </c>
      <c r="V477" s="284">
        <f>Table13[[#This Row],[Annual Increase Option]]</f>
        <v>0</v>
      </c>
      <c r="W477" s="290">
        <f>Table13[[#This Row],[Life Cover Amount]]</f>
        <v>0</v>
      </c>
      <c r="X477" s="290">
        <f>Table13[[#This Row],[Funeral Cover Amount]]</f>
        <v>0</v>
      </c>
      <c r="Y47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7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77" s="301">
        <f t="shared" ca="1" si="53"/>
        <v>0</v>
      </c>
      <c r="AB477" s="298"/>
      <c r="AC477" s="326" t="str">
        <f>IF(Table2[[#This Row],[Member Type]]="Main Member",Lookups!$C$13,
IF(Table2[[#This Row],[Member Type]]="Spouse",_xlfn.XLOOKUP(B477,Table2[Main Member Link ID],Table2[Product Option],0),
IF(AND(Table2[[#This Row],[Member Type]]="Child",_xlfn.XLOOKUP(B477,Table2[Main Member Link ID],Table2[Product Option],0)&lt;&gt;"My Value Plus Life"),Lookups!$C$24,
IF(AND(OR(Table2[[#This Row],[Member Type]]="Parent",Table2[[#This Row],[Member Type]]="Extended"),_xlfn.XLOOKUP(B477,Table2[Main Member Link ID],Table2[Product Option],0)&lt;&gt;"My Value Plus Life"),Lookups!$C$26,""))))</f>
        <v/>
      </c>
      <c r="AD477" s="326" t="str">
        <f>IF(Table2[[#This Row],[Member Type]]="Main Member",Lookups!$C$14,"")</f>
        <v/>
      </c>
      <c r="AE47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Funeral",_xlfn.XLOOKUP(B477,Table2[Main Member Link ID],Table2[Benefit Name],0)=Lookups!$D$14),"",
IF(AND(Table2[[#This Row],[Member Type]]="Spouse",Table2[[#This Row],[Product Option]]="My Value Plus Life &amp; Funeral",_xlfn.XLOOKUP(B476,Table2[Main Member Link ID],Table2[Benefit Name],0)=Lookups!$D$15),Lookups!$D$20,
IF(AND(Table2[[#This Row],[Member Type]]="Spouse",Table2[[#This Row],[Product Option]]="My Value Plus Life &amp; Funeral",_xlfn.XLOOKUP(B476,Table2[Main Member Link ID],Table2[Benefit Name],0)=Lookups!$D$16),"",
IF(AND(Table2[[#This Row],[Member Type]]="Spouse",Table2[[#This Row],[Product Option]]="My Value Plus Life &amp; Funeral",_xlfn.XLOOKUP(B476,Table2[Main Member Link ID],Table2[Benefit Name],0)=Lookups!$D$17),Lookups!$D$21,
IF(AND(Table2[[#This Row],[Member Type]]="Child",Table2[[#This Row],[Product Option]]="My Value Plus Life &amp; Funeral",_xlfn.XLOOKUP(B477,Table2[Main Member Link ID],Table2[Benefit Name],0)=Lookups!$D$14),"",
IF(AND(Table2[[#This Row],[Member Type]]="Child",Table2[[#This Row],[Product Option]]="My Value Plus Life &amp; Funeral",_xlfn.XLOOKUP(B477,Table2[Main Member Link ID],Table2[Benefit Name],0)=Lookups!$D$15),"",
IF(AND(Table2[[#This Row],[Member Type]]="Child",Table2[[#This Row],[Product Option]]="My Value Plus Life &amp; Funeral",_xlfn.XLOOKUP(B477,Table2[Main Member Link ID],Table2[Benefit Name],0)=Lookups!$D$16),Lookups!$D$24,
IF(AND(Table2[[#This Row],[Member Type]]="Child",Table2[[#This Row],[Product Option]]="My Value Plus Life &amp; Funeral",_xlfn.XLOOKUP(B477,Table2[Main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Funeral",_xlfn.XLOOKUP(B477,Table2[Main Member Link ID],Table2[Benefit Name],0)&lt;&gt;Lookups!$D$14),
IF(_xlfn.XLOOKUP(B477,Table2[Main Member Link ID],Table2[Benefit Name],0)=0,"",_xlfn.XLOOKUP(B477,Table2[Main Member Link ID],Table2[Benefit Name],0)),"")))))))))))))))</f>
        <v/>
      </c>
      <c r="AF477" s="327" t="str">
        <f>IF(AND(Table2[[#This Row],[Member Type]]="Main Member",Table2[[#This Row],[Product Option]]="My Value Plus Life &amp; Funeral"),Lookups!$D$15,
IF(AND(Table2[[#This Row],[Member Type]]="Spouse",Table2[[#This Row],[Product Option]]="My Value Plus Life &amp; Funeral",_xlfn.XLOOKUP(B477,Table2[Main Member Link ID],Table2[Benefit Name],0)=Lookups!$D$14),"",
IF(AND(Table2[[#This Row],[Member Type]]="Spouse",Table2[[#This Row],[Product Option]]="My Value Plus Life &amp; Funeral",_xlfn.XLOOKUP(B476,Table2[Main Member Link ID],Table2[Benefit Name],0)=Lookups!$D$16),"",
IF(AND(Table2[[#This Row],[Member Type]]="Spouse",Table2[[#This Row],[Product Option]]="My Value Plus Life &amp; Funeral",_xlfn.XLOOKUP(B476,Table2[Main Member Link ID],Table2[Benefit Name],0)=Lookups!$D$15),"",
IF(AND(Table2[[#This Row],[Member Type]]="Spouse",Table2[[#This Row],[Product Option]]="My Value Plus Life &amp; Funeral",_xlfn.XLOOKUP(B476,Table2[Main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Funeral",_xlfn.XLOOKUP(B477,Table2[Main Member Link ID],Table2[Benefit Name],0)&lt;&gt;Lookups!$D$15),
IF(_xlfn.XLOOKUP(B477,Table2[Main Member Link ID],Table2[Benefit Name],0)=0,"",_xlfn.XLOOKUP(B477,Table2[Main Member Link ID],Table2[Benefit Name],0)),"")
))))))</f>
        <v/>
      </c>
      <c r="AG477" s="327" t="str">
        <f>IF(AND(Table2[[#This Row],[Member Type]]="Main Member",Table2[[#This Row],[Product Option]]="My Value Plus Life &amp; Funeral"),Lookups!$D$16,
IF(AND(Table2[[#This Row],[Member Type]]="Spouse",Table2[[#This Row],[Product Option]]="My Value Plus Life &amp; Funeral",_xlfn.XLOOKUP(B477,Table2[Main Member Link ID],Table2[Benefit Name],0)=Lookups!$D$14),"",
IF(AND(Table2[[#This Row],[Member Type]]="Spouse",Table2[[#This Row],[Product Option]]="My Value Plus Life &amp; Funeral",_xlfn.XLOOKUP(B476,Table2[Main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Funeral",_xlfn.XLOOKUP(B477,Table2[Main Member Link ID],Table2[Benefit Name],0)&lt;&gt;Lookups!$D$16),
IF(_xlfn.XLOOKUP(B477,Table2[Main Member Link ID],Table2[Benefit Name],0)=0,"",_xlfn.XLOOKUP(B477,Table2[Main Member Link ID],Table2[Benefit Name],0)),"")
))))</f>
        <v/>
      </c>
      <c r="AH477" s="327" t="str">
        <f>IF(AND(Table2[[#This Row],[Member Type]]="Main Member",Table2[[#This Row],[Product Option]]="My Value Plus Life &amp; Funeral"),Lookups!$D$17,
IF(AND(Table2[[#This Row],[Member Type]]="Spouse",Table2[[#This Row],[Product Option]]="My Value Plus Life &amp; Funeral",_xlfn.XLOOKUP(B477,Table2[Main Member Link ID],Table2[Benefit Name],0)=Lookups!$D$14),"",
IF(AND(Table2[[#This Row],[Member Type]]="Spouse",Table2[[#This Row],[Product Option]]="My Value Plus Life &amp; Funeral",_xlfn.XLOOKUP(B476,Table2[Main Member Link ID],Table2[Benefit Name],0)=Lookups!$D$16),"",
IF(AND(Table2[[#This Row],[Member Type]]="Child",Table2[[#This Row],[Product Option]]="My Value Plus Life &amp; Funeral"),"",
IF(AND(Table2[[#This Row],[Member Type]]="Child",Table2[[#This Row],[Product Option]]="My Value Plus Life &amp; Funeral",_xlfn.XLOOKUP(B477,Table2[Main Member Link ID],Table2[Benefit Name],0)=Lookups!$D$15),"",
IF(AND(OR(Table2[[#This Row],[Member Type]]="Spouse",Table2[[#This Row],[Member Type]]="Child"),Table2[[#This Row],[Product Option]]="My Value Plus Life &amp; Funeral",_xlfn.XLOOKUP(B477,Table2[Main Member Link ID],Table2[Benefit Name],0)&lt;&gt;Lookups!$D$17),
IF(_xlfn.XLOOKUP(B477,Table2[Main Member Link ID],Table2[Benefit Name],0)=0,"",_xlfn.XLOOKUP(B477,Table2[Main Member Link ID],Table2[Benefit Name],0)),""))))))</f>
        <v/>
      </c>
      <c r="AI477" s="328" t="str">
        <f>IF(AND(Table2[[#This Row],[Member Type]]="Main Member",Table2[[#This Row],[Table Lookup for Life Cover]]="MM_LIFE",Table2[[#This Row],[Age Next Birthday]]&lt;56),1,
IF(AND(Table2[[#This Row],[Member Type]]="Main Member",Table2[[#This Row],[Table Lookup for Life Cover]]="MM_LIFE",Table2[[#This Row],[Age Next Birthday]]&gt;=56),2,
""))</f>
        <v/>
      </c>
      <c r="AJ477" s="328">
        <f>IF(OR(Table2[[#This Row],[Member Type]]="Main Member",Table2[[#This Row],[Main Member Link ID]]=B476),1,0)</f>
        <v>1</v>
      </c>
      <c r="AK477" s="328">
        <f>IF(Table2[[#This Row],[Member Type]]=0,0,
IF(OR(Table2[[#This Row],[Member Type]]="Main Member",Table2[[#This Row],[Main Member Link ID]]&lt;&gt;B477),COUNTIFS(B:B,Table2[[#This Row],[Main Member Link ID]]),
COUNTIFS(B:B,Table2[[#This Row],[Main Member Link ID]],A:A,Table2[[#This Row],[Member Type]])))</f>
        <v>0</v>
      </c>
    </row>
    <row r="478" spans="1:37" x14ac:dyDescent="0.3">
      <c r="A478" s="284">
        <f>Table13[[#This Row],[Member Type]]</f>
        <v>0</v>
      </c>
      <c r="B478" s="284">
        <f>Table13[[#This Row],[Main Member Link ID]]</f>
        <v>0</v>
      </c>
      <c r="C478" s="284">
        <f>Table13[[#This Row],[ID Number]]</f>
        <v>0</v>
      </c>
      <c r="D478" s="285">
        <f>Table13[[#This Row],[Date Of Birth]]</f>
        <v>0</v>
      </c>
      <c r="E478" s="285">
        <f>Table13[[#This Row],[Commencement Date]]</f>
        <v>0</v>
      </c>
      <c r="F478" s="284">
        <f t="shared" si="49"/>
        <v>1</v>
      </c>
      <c r="G478" s="284">
        <f t="shared" si="50"/>
        <v>25</v>
      </c>
      <c r="H478" s="286">
        <f>Table13[[#This Row],[Product Option]]</f>
        <v>0</v>
      </c>
      <c r="I478" s="284">
        <f>IF(AND($A478="Main Member",Table2[[#This Row],[Product Option]]="My Value Plus Life"),"MM_LIFE",
IF(AND($A478="Spouse",Table2[[#This Row],[Product Option]]="My Value Plus Life"),"SP_LIFE",
IF(AND($A478="Main Member",Table2[[#This Row],[Product Option]]="My Value Plus Life &amp; Funeral"),"MM_LIFE",
IF(AND($A478="Spouse",Table2[[#This Row],[Product Option]]="My Value Plus Life &amp; Funeral"),_xlfn.XLOOKUP(Table2[[#This Row],[Benefit Name]],Lookups!$D$18:$D$23,Lookups!$E$18:$E$23,0),
0))))</f>
        <v>0</v>
      </c>
      <c r="J478" s="284">
        <f>IF($I478="","",
IF($I478="MM_LIFE",INDEX('Quotation Tool'!$S$54:$V$60,MATCH($T478,'Quotation Tool'!$S$54:$S$60,0),4),
IF($I478="SP_LIFE",_xlfn.XLOOKUP(B477,$B:$B,$J:$J,0),0)))</f>
        <v>0</v>
      </c>
      <c r="K478" s="287">
        <f t="shared" ca="1" si="54"/>
        <v>0</v>
      </c>
      <c r="L478" s="288">
        <f t="shared" ca="1" si="55"/>
        <v>0</v>
      </c>
      <c r="M478" s="289">
        <f t="shared" ca="1" si="51"/>
        <v>0</v>
      </c>
      <c r="N478" s="286">
        <f>Table13[[#This Row],[Benefit Option]]</f>
        <v>0</v>
      </c>
      <c r="O478" s="284">
        <f>IF(OR(Table2[[#This Row],[Member Type]]="Spouse",Table2[[#This Row],[Member Type]]="Child"),0,
IF(_xlfn.XLOOKUP($N478,Lookups!$D$13:$D$27,Lookups!$F$13:$F$27,0)=Table2[[#This Row],[Table Lookup for Life Cover]],0,
_xlfn.XLOOKUP($N478,Lookups!$D$13:$D$27,Lookups!$F$13:$F$27,0)))</f>
        <v>0</v>
      </c>
      <c r="P478" s="284">
        <f>IF(Table2[[#This Row],[Table Lookup for Funeral]]=0,0,IFERROR(INDEX('Quotation Tool'!$S$54:$V$60,MATCH($T478,'Quotation Tool'!$S$54:$S$60,0),3),0))</f>
        <v>0</v>
      </c>
      <c r="Q478" s="288">
        <f ca="1">IF(OR(Table2[[#This Row],[Benefit Name]]="My Value Plus Life - Main Member",Table2[[#This Row],[Benefit Name]]="My Value Plus Life - Spouse"),0,
IFERROR(VLOOKUP($G478,INDIRECT($O478),$P478,FALSE),0))</f>
        <v>0</v>
      </c>
      <c r="R478" s="288">
        <f ca="1">IF(OR(Table2[[#This Row],[Benefit Name]]="My Value Plus Life - Main Member",Table2[[#This Row],[Benefit Name]]="My Value Plus Life - Spouse"),0,
IFERROR(VLOOKUP($G478,INDIRECT($O478),$P478+1,FALSE),0))</f>
        <v>0</v>
      </c>
      <c r="S478" s="289">
        <f t="shared" ca="1" si="52"/>
        <v>0</v>
      </c>
      <c r="T478" s="284" t="str">
        <f>IF(Table13[[#This Row],[Premium Waiver]]="","None",Table13[[#This Row],[Premium Waiver]])</f>
        <v>None</v>
      </c>
      <c r="U478" s="284">
        <f>Table13[[#This Row],[VAPs Options]]</f>
        <v>0</v>
      </c>
      <c r="V478" s="284">
        <f>Table13[[#This Row],[Annual Increase Option]]</f>
        <v>0</v>
      </c>
      <c r="W478" s="290">
        <f>Table13[[#This Row],[Life Cover Amount]]</f>
        <v>0</v>
      </c>
      <c r="X478" s="290">
        <f>Table13[[#This Row],[Funeral Cover Amount]]</f>
        <v>0</v>
      </c>
      <c r="Y47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7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78" s="301">
        <f t="shared" ca="1" si="53"/>
        <v>0</v>
      </c>
      <c r="AB478" s="298"/>
      <c r="AC478" s="326" t="str">
        <f>IF(Table2[[#This Row],[Member Type]]="Main Member",Lookups!$C$13,
IF(Table2[[#This Row],[Member Type]]="Spouse",_xlfn.XLOOKUP(B478,Table2[Main Member Link ID],Table2[Product Option],0),
IF(AND(Table2[[#This Row],[Member Type]]="Child",_xlfn.XLOOKUP(B478,Table2[Main Member Link ID],Table2[Product Option],0)&lt;&gt;"My Value Plus Life"),Lookups!$C$24,
IF(AND(OR(Table2[[#This Row],[Member Type]]="Parent",Table2[[#This Row],[Member Type]]="Extended"),_xlfn.XLOOKUP(B478,Table2[Main Member Link ID],Table2[Product Option],0)&lt;&gt;"My Value Plus Life"),Lookups!$C$26,""))))</f>
        <v/>
      </c>
      <c r="AD478" s="326" t="str">
        <f>IF(Table2[[#This Row],[Member Type]]="Main Member",Lookups!$C$14,"")</f>
        <v/>
      </c>
      <c r="AE47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Funeral",_xlfn.XLOOKUP(B478,Table2[Main Member Link ID],Table2[Benefit Name],0)=Lookups!$D$14),"",
IF(AND(Table2[[#This Row],[Member Type]]="Spouse",Table2[[#This Row],[Product Option]]="My Value Plus Life &amp; Funeral",_xlfn.XLOOKUP(B477,Table2[Main Member Link ID],Table2[Benefit Name],0)=Lookups!$D$15),Lookups!$D$20,
IF(AND(Table2[[#This Row],[Member Type]]="Spouse",Table2[[#This Row],[Product Option]]="My Value Plus Life &amp; Funeral",_xlfn.XLOOKUP(B477,Table2[Main Member Link ID],Table2[Benefit Name],0)=Lookups!$D$16),"",
IF(AND(Table2[[#This Row],[Member Type]]="Spouse",Table2[[#This Row],[Product Option]]="My Value Plus Life &amp; Funeral",_xlfn.XLOOKUP(B477,Table2[Main Member Link ID],Table2[Benefit Name],0)=Lookups!$D$17),Lookups!$D$21,
IF(AND(Table2[[#This Row],[Member Type]]="Child",Table2[[#This Row],[Product Option]]="My Value Plus Life &amp; Funeral",_xlfn.XLOOKUP(B478,Table2[Main Member Link ID],Table2[Benefit Name],0)=Lookups!$D$14),"",
IF(AND(Table2[[#This Row],[Member Type]]="Child",Table2[[#This Row],[Product Option]]="My Value Plus Life &amp; Funeral",_xlfn.XLOOKUP(B478,Table2[Main Member Link ID],Table2[Benefit Name],0)=Lookups!$D$15),"",
IF(AND(Table2[[#This Row],[Member Type]]="Child",Table2[[#This Row],[Product Option]]="My Value Plus Life &amp; Funeral",_xlfn.XLOOKUP(B478,Table2[Main Member Link ID],Table2[Benefit Name],0)=Lookups!$D$16),Lookups!$D$24,
IF(AND(Table2[[#This Row],[Member Type]]="Child",Table2[[#This Row],[Product Option]]="My Value Plus Life &amp; Funeral",_xlfn.XLOOKUP(B478,Table2[Main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Funeral",_xlfn.XLOOKUP(B478,Table2[Main Member Link ID],Table2[Benefit Name],0)&lt;&gt;Lookups!$D$14),
IF(_xlfn.XLOOKUP(B478,Table2[Main Member Link ID],Table2[Benefit Name],0)=0,"",_xlfn.XLOOKUP(B478,Table2[Main Member Link ID],Table2[Benefit Name],0)),"")))))))))))))))</f>
        <v/>
      </c>
      <c r="AF478" s="327" t="str">
        <f>IF(AND(Table2[[#This Row],[Member Type]]="Main Member",Table2[[#This Row],[Product Option]]="My Value Plus Life &amp; Funeral"),Lookups!$D$15,
IF(AND(Table2[[#This Row],[Member Type]]="Spouse",Table2[[#This Row],[Product Option]]="My Value Plus Life &amp; Funeral",_xlfn.XLOOKUP(B478,Table2[Main Member Link ID],Table2[Benefit Name],0)=Lookups!$D$14),"",
IF(AND(Table2[[#This Row],[Member Type]]="Spouse",Table2[[#This Row],[Product Option]]="My Value Plus Life &amp; Funeral",_xlfn.XLOOKUP(B477,Table2[Main Member Link ID],Table2[Benefit Name],0)=Lookups!$D$16),"",
IF(AND(Table2[[#This Row],[Member Type]]="Spouse",Table2[[#This Row],[Product Option]]="My Value Plus Life &amp; Funeral",_xlfn.XLOOKUP(B477,Table2[Main Member Link ID],Table2[Benefit Name],0)=Lookups!$D$15),"",
IF(AND(Table2[[#This Row],[Member Type]]="Spouse",Table2[[#This Row],[Product Option]]="My Value Plus Life &amp; Funeral",_xlfn.XLOOKUP(B477,Table2[Main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Funeral",_xlfn.XLOOKUP(B478,Table2[Main Member Link ID],Table2[Benefit Name],0)&lt;&gt;Lookups!$D$15),
IF(_xlfn.XLOOKUP(B478,Table2[Main Member Link ID],Table2[Benefit Name],0)=0,"",_xlfn.XLOOKUP(B478,Table2[Main Member Link ID],Table2[Benefit Name],0)),"")
))))))</f>
        <v/>
      </c>
      <c r="AG478" s="327" t="str">
        <f>IF(AND(Table2[[#This Row],[Member Type]]="Main Member",Table2[[#This Row],[Product Option]]="My Value Plus Life &amp; Funeral"),Lookups!$D$16,
IF(AND(Table2[[#This Row],[Member Type]]="Spouse",Table2[[#This Row],[Product Option]]="My Value Plus Life &amp; Funeral",_xlfn.XLOOKUP(B478,Table2[Main Member Link ID],Table2[Benefit Name],0)=Lookups!$D$14),"",
IF(AND(Table2[[#This Row],[Member Type]]="Spouse",Table2[[#This Row],[Product Option]]="My Value Plus Life &amp; Funeral",_xlfn.XLOOKUP(B477,Table2[Main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Funeral",_xlfn.XLOOKUP(B478,Table2[Main Member Link ID],Table2[Benefit Name],0)&lt;&gt;Lookups!$D$16),
IF(_xlfn.XLOOKUP(B478,Table2[Main Member Link ID],Table2[Benefit Name],0)=0,"",_xlfn.XLOOKUP(B478,Table2[Main Member Link ID],Table2[Benefit Name],0)),"")
))))</f>
        <v/>
      </c>
      <c r="AH478" s="327" t="str">
        <f>IF(AND(Table2[[#This Row],[Member Type]]="Main Member",Table2[[#This Row],[Product Option]]="My Value Plus Life &amp; Funeral"),Lookups!$D$17,
IF(AND(Table2[[#This Row],[Member Type]]="Spouse",Table2[[#This Row],[Product Option]]="My Value Plus Life &amp; Funeral",_xlfn.XLOOKUP(B478,Table2[Main Member Link ID],Table2[Benefit Name],0)=Lookups!$D$14),"",
IF(AND(Table2[[#This Row],[Member Type]]="Spouse",Table2[[#This Row],[Product Option]]="My Value Plus Life &amp; Funeral",_xlfn.XLOOKUP(B477,Table2[Main Member Link ID],Table2[Benefit Name],0)=Lookups!$D$16),"",
IF(AND(Table2[[#This Row],[Member Type]]="Child",Table2[[#This Row],[Product Option]]="My Value Plus Life &amp; Funeral"),"",
IF(AND(Table2[[#This Row],[Member Type]]="Child",Table2[[#This Row],[Product Option]]="My Value Plus Life &amp; Funeral",_xlfn.XLOOKUP(B478,Table2[Main Member Link ID],Table2[Benefit Name],0)=Lookups!$D$15),"",
IF(AND(OR(Table2[[#This Row],[Member Type]]="Spouse",Table2[[#This Row],[Member Type]]="Child"),Table2[[#This Row],[Product Option]]="My Value Plus Life &amp; Funeral",_xlfn.XLOOKUP(B478,Table2[Main Member Link ID],Table2[Benefit Name],0)&lt;&gt;Lookups!$D$17),
IF(_xlfn.XLOOKUP(B478,Table2[Main Member Link ID],Table2[Benefit Name],0)=0,"",_xlfn.XLOOKUP(B478,Table2[Main Member Link ID],Table2[Benefit Name],0)),""))))))</f>
        <v/>
      </c>
      <c r="AI478" s="328" t="str">
        <f>IF(AND(Table2[[#This Row],[Member Type]]="Main Member",Table2[[#This Row],[Table Lookup for Life Cover]]="MM_LIFE",Table2[[#This Row],[Age Next Birthday]]&lt;56),1,
IF(AND(Table2[[#This Row],[Member Type]]="Main Member",Table2[[#This Row],[Table Lookup for Life Cover]]="MM_LIFE",Table2[[#This Row],[Age Next Birthday]]&gt;=56),2,
""))</f>
        <v/>
      </c>
      <c r="AJ478" s="328">
        <f>IF(OR(Table2[[#This Row],[Member Type]]="Main Member",Table2[[#This Row],[Main Member Link ID]]=B477),1,0)</f>
        <v>1</v>
      </c>
      <c r="AK478" s="328">
        <f>IF(Table2[[#This Row],[Member Type]]=0,0,
IF(OR(Table2[[#This Row],[Member Type]]="Main Member",Table2[[#This Row],[Main Member Link ID]]&lt;&gt;B478),COUNTIFS(B:B,Table2[[#This Row],[Main Member Link ID]]),
COUNTIFS(B:B,Table2[[#This Row],[Main Member Link ID]],A:A,Table2[[#This Row],[Member Type]])))</f>
        <v>0</v>
      </c>
    </row>
    <row r="479" spans="1:37" x14ac:dyDescent="0.3">
      <c r="A479" s="284">
        <f>Table13[[#This Row],[Member Type]]</f>
        <v>0</v>
      </c>
      <c r="B479" s="284">
        <f>Table13[[#This Row],[Main Member Link ID]]</f>
        <v>0</v>
      </c>
      <c r="C479" s="284">
        <f>Table13[[#This Row],[ID Number]]</f>
        <v>0</v>
      </c>
      <c r="D479" s="285">
        <f>Table13[[#This Row],[Date Of Birth]]</f>
        <v>0</v>
      </c>
      <c r="E479" s="285">
        <f>Table13[[#This Row],[Commencement Date]]</f>
        <v>0</v>
      </c>
      <c r="F479" s="284">
        <f t="shared" si="49"/>
        <v>1</v>
      </c>
      <c r="G479" s="284">
        <f t="shared" si="50"/>
        <v>25</v>
      </c>
      <c r="H479" s="286">
        <f>Table13[[#This Row],[Product Option]]</f>
        <v>0</v>
      </c>
      <c r="I479" s="284">
        <f>IF(AND($A479="Main Member",Table2[[#This Row],[Product Option]]="My Value Plus Life"),"MM_LIFE",
IF(AND($A479="Spouse",Table2[[#This Row],[Product Option]]="My Value Plus Life"),"SP_LIFE",
IF(AND($A479="Main Member",Table2[[#This Row],[Product Option]]="My Value Plus Life &amp; Funeral"),"MM_LIFE",
IF(AND($A479="Spouse",Table2[[#This Row],[Product Option]]="My Value Plus Life &amp; Funeral"),_xlfn.XLOOKUP(Table2[[#This Row],[Benefit Name]],Lookups!$D$18:$D$23,Lookups!$E$18:$E$23,0),
0))))</f>
        <v>0</v>
      </c>
      <c r="J479" s="284">
        <f>IF($I479="","",
IF($I479="MM_LIFE",INDEX('Quotation Tool'!$S$54:$V$60,MATCH($T479,'Quotation Tool'!$S$54:$S$60,0),4),
IF($I479="SP_LIFE",_xlfn.XLOOKUP(B478,$B:$B,$J:$J,0),0)))</f>
        <v>0</v>
      </c>
      <c r="K479" s="287">
        <f t="shared" ca="1" si="54"/>
        <v>0</v>
      </c>
      <c r="L479" s="288">
        <f t="shared" ca="1" si="55"/>
        <v>0</v>
      </c>
      <c r="M479" s="289">
        <f t="shared" ca="1" si="51"/>
        <v>0</v>
      </c>
      <c r="N479" s="286">
        <f>Table13[[#This Row],[Benefit Option]]</f>
        <v>0</v>
      </c>
      <c r="O479" s="284">
        <f>IF(OR(Table2[[#This Row],[Member Type]]="Spouse",Table2[[#This Row],[Member Type]]="Child"),0,
IF(_xlfn.XLOOKUP($N479,Lookups!$D$13:$D$27,Lookups!$F$13:$F$27,0)=Table2[[#This Row],[Table Lookup for Life Cover]],0,
_xlfn.XLOOKUP($N479,Lookups!$D$13:$D$27,Lookups!$F$13:$F$27,0)))</f>
        <v>0</v>
      </c>
      <c r="P479" s="284">
        <f>IF(Table2[[#This Row],[Table Lookup for Funeral]]=0,0,IFERROR(INDEX('Quotation Tool'!$S$54:$V$60,MATCH($T479,'Quotation Tool'!$S$54:$S$60,0),3),0))</f>
        <v>0</v>
      </c>
      <c r="Q479" s="288">
        <f ca="1">IF(OR(Table2[[#This Row],[Benefit Name]]="My Value Plus Life - Main Member",Table2[[#This Row],[Benefit Name]]="My Value Plus Life - Spouse"),0,
IFERROR(VLOOKUP($G479,INDIRECT($O479),$P479,FALSE),0))</f>
        <v>0</v>
      </c>
      <c r="R479" s="288">
        <f ca="1">IF(OR(Table2[[#This Row],[Benefit Name]]="My Value Plus Life - Main Member",Table2[[#This Row],[Benefit Name]]="My Value Plus Life - Spouse"),0,
IFERROR(VLOOKUP($G479,INDIRECT($O479),$P479+1,FALSE),0))</f>
        <v>0</v>
      </c>
      <c r="S479" s="289">
        <f t="shared" ca="1" si="52"/>
        <v>0</v>
      </c>
      <c r="T479" s="284" t="str">
        <f>IF(Table13[[#This Row],[Premium Waiver]]="","None",Table13[[#This Row],[Premium Waiver]])</f>
        <v>None</v>
      </c>
      <c r="U479" s="284">
        <f>Table13[[#This Row],[VAPs Options]]</f>
        <v>0</v>
      </c>
      <c r="V479" s="284">
        <f>Table13[[#This Row],[Annual Increase Option]]</f>
        <v>0</v>
      </c>
      <c r="W479" s="290">
        <f>Table13[[#This Row],[Life Cover Amount]]</f>
        <v>0</v>
      </c>
      <c r="X479" s="290">
        <f>Table13[[#This Row],[Funeral Cover Amount]]</f>
        <v>0</v>
      </c>
      <c r="Y47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7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79" s="301">
        <f t="shared" ca="1" si="53"/>
        <v>0</v>
      </c>
      <c r="AB479" s="298"/>
      <c r="AC479" s="326" t="str">
        <f>IF(Table2[[#This Row],[Member Type]]="Main Member",Lookups!$C$13,
IF(Table2[[#This Row],[Member Type]]="Spouse",_xlfn.XLOOKUP(B479,Table2[Main Member Link ID],Table2[Product Option],0),
IF(AND(Table2[[#This Row],[Member Type]]="Child",_xlfn.XLOOKUP(B479,Table2[Main Member Link ID],Table2[Product Option],0)&lt;&gt;"My Value Plus Life"),Lookups!$C$24,
IF(AND(OR(Table2[[#This Row],[Member Type]]="Parent",Table2[[#This Row],[Member Type]]="Extended"),_xlfn.XLOOKUP(B479,Table2[Main Member Link ID],Table2[Product Option],0)&lt;&gt;"My Value Plus Life"),Lookups!$C$26,""))))</f>
        <v/>
      </c>
      <c r="AD479" s="326" t="str">
        <f>IF(Table2[[#This Row],[Member Type]]="Main Member",Lookups!$C$14,"")</f>
        <v/>
      </c>
      <c r="AE47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Funeral",_xlfn.XLOOKUP(B479,Table2[Main Member Link ID],Table2[Benefit Name],0)=Lookups!$D$14),"",
IF(AND(Table2[[#This Row],[Member Type]]="Spouse",Table2[[#This Row],[Product Option]]="My Value Plus Life &amp; Funeral",_xlfn.XLOOKUP(B478,Table2[Main Member Link ID],Table2[Benefit Name],0)=Lookups!$D$15),Lookups!$D$20,
IF(AND(Table2[[#This Row],[Member Type]]="Spouse",Table2[[#This Row],[Product Option]]="My Value Plus Life &amp; Funeral",_xlfn.XLOOKUP(B478,Table2[Main Member Link ID],Table2[Benefit Name],0)=Lookups!$D$16),"",
IF(AND(Table2[[#This Row],[Member Type]]="Spouse",Table2[[#This Row],[Product Option]]="My Value Plus Life &amp; Funeral",_xlfn.XLOOKUP(B478,Table2[Main Member Link ID],Table2[Benefit Name],0)=Lookups!$D$17),Lookups!$D$21,
IF(AND(Table2[[#This Row],[Member Type]]="Child",Table2[[#This Row],[Product Option]]="My Value Plus Life &amp; Funeral",_xlfn.XLOOKUP(B479,Table2[Main Member Link ID],Table2[Benefit Name],0)=Lookups!$D$14),"",
IF(AND(Table2[[#This Row],[Member Type]]="Child",Table2[[#This Row],[Product Option]]="My Value Plus Life &amp; Funeral",_xlfn.XLOOKUP(B479,Table2[Main Member Link ID],Table2[Benefit Name],0)=Lookups!$D$15),"",
IF(AND(Table2[[#This Row],[Member Type]]="Child",Table2[[#This Row],[Product Option]]="My Value Plus Life &amp; Funeral",_xlfn.XLOOKUP(B479,Table2[Main Member Link ID],Table2[Benefit Name],0)=Lookups!$D$16),Lookups!$D$24,
IF(AND(Table2[[#This Row],[Member Type]]="Child",Table2[[#This Row],[Product Option]]="My Value Plus Life &amp; Funeral",_xlfn.XLOOKUP(B479,Table2[Main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Funeral",_xlfn.XLOOKUP(B479,Table2[Main Member Link ID],Table2[Benefit Name],0)&lt;&gt;Lookups!$D$14),
IF(_xlfn.XLOOKUP(B479,Table2[Main Member Link ID],Table2[Benefit Name],0)=0,"",_xlfn.XLOOKUP(B479,Table2[Main Member Link ID],Table2[Benefit Name],0)),"")))))))))))))))</f>
        <v/>
      </c>
      <c r="AF479" s="327" t="str">
        <f>IF(AND(Table2[[#This Row],[Member Type]]="Main Member",Table2[[#This Row],[Product Option]]="My Value Plus Life &amp; Funeral"),Lookups!$D$15,
IF(AND(Table2[[#This Row],[Member Type]]="Spouse",Table2[[#This Row],[Product Option]]="My Value Plus Life &amp; Funeral",_xlfn.XLOOKUP(B479,Table2[Main Member Link ID],Table2[Benefit Name],0)=Lookups!$D$14),"",
IF(AND(Table2[[#This Row],[Member Type]]="Spouse",Table2[[#This Row],[Product Option]]="My Value Plus Life &amp; Funeral",_xlfn.XLOOKUP(B478,Table2[Main Member Link ID],Table2[Benefit Name],0)=Lookups!$D$16),"",
IF(AND(Table2[[#This Row],[Member Type]]="Spouse",Table2[[#This Row],[Product Option]]="My Value Plus Life &amp; Funeral",_xlfn.XLOOKUP(B478,Table2[Main Member Link ID],Table2[Benefit Name],0)=Lookups!$D$15),"",
IF(AND(Table2[[#This Row],[Member Type]]="Spouse",Table2[[#This Row],[Product Option]]="My Value Plus Life &amp; Funeral",_xlfn.XLOOKUP(B478,Table2[Main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Funeral",_xlfn.XLOOKUP(B479,Table2[Main Member Link ID],Table2[Benefit Name],0)&lt;&gt;Lookups!$D$15),
IF(_xlfn.XLOOKUP(B479,Table2[Main Member Link ID],Table2[Benefit Name],0)=0,"",_xlfn.XLOOKUP(B479,Table2[Main Member Link ID],Table2[Benefit Name],0)),"")
))))))</f>
        <v/>
      </c>
      <c r="AG479" s="327" t="str">
        <f>IF(AND(Table2[[#This Row],[Member Type]]="Main Member",Table2[[#This Row],[Product Option]]="My Value Plus Life &amp; Funeral"),Lookups!$D$16,
IF(AND(Table2[[#This Row],[Member Type]]="Spouse",Table2[[#This Row],[Product Option]]="My Value Plus Life &amp; Funeral",_xlfn.XLOOKUP(B479,Table2[Main Member Link ID],Table2[Benefit Name],0)=Lookups!$D$14),"",
IF(AND(Table2[[#This Row],[Member Type]]="Spouse",Table2[[#This Row],[Product Option]]="My Value Plus Life &amp; Funeral",_xlfn.XLOOKUP(B478,Table2[Main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Funeral",_xlfn.XLOOKUP(B479,Table2[Main Member Link ID],Table2[Benefit Name],0)&lt;&gt;Lookups!$D$16),
IF(_xlfn.XLOOKUP(B479,Table2[Main Member Link ID],Table2[Benefit Name],0)=0,"",_xlfn.XLOOKUP(B479,Table2[Main Member Link ID],Table2[Benefit Name],0)),"")
))))</f>
        <v/>
      </c>
      <c r="AH479" s="327" t="str">
        <f>IF(AND(Table2[[#This Row],[Member Type]]="Main Member",Table2[[#This Row],[Product Option]]="My Value Plus Life &amp; Funeral"),Lookups!$D$17,
IF(AND(Table2[[#This Row],[Member Type]]="Spouse",Table2[[#This Row],[Product Option]]="My Value Plus Life &amp; Funeral",_xlfn.XLOOKUP(B479,Table2[Main Member Link ID],Table2[Benefit Name],0)=Lookups!$D$14),"",
IF(AND(Table2[[#This Row],[Member Type]]="Spouse",Table2[[#This Row],[Product Option]]="My Value Plus Life &amp; Funeral",_xlfn.XLOOKUP(B478,Table2[Main Member Link ID],Table2[Benefit Name],0)=Lookups!$D$16),"",
IF(AND(Table2[[#This Row],[Member Type]]="Child",Table2[[#This Row],[Product Option]]="My Value Plus Life &amp; Funeral"),"",
IF(AND(Table2[[#This Row],[Member Type]]="Child",Table2[[#This Row],[Product Option]]="My Value Plus Life &amp; Funeral",_xlfn.XLOOKUP(B479,Table2[Main Member Link ID],Table2[Benefit Name],0)=Lookups!$D$15),"",
IF(AND(OR(Table2[[#This Row],[Member Type]]="Spouse",Table2[[#This Row],[Member Type]]="Child"),Table2[[#This Row],[Product Option]]="My Value Plus Life &amp; Funeral",_xlfn.XLOOKUP(B479,Table2[Main Member Link ID],Table2[Benefit Name],0)&lt;&gt;Lookups!$D$17),
IF(_xlfn.XLOOKUP(B479,Table2[Main Member Link ID],Table2[Benefit Name],0)=0,"",_xlfn.XLOOKUP(B479,Table2[Main Member Link ID],Table2[Benefit Name],0)),""))))))</f>
        <v/>
      </c>
      <c r="AI479" s="328" t="str">
        <f>IF(AND(Table2[[#This Row],[Member Type]]="Main Member",Table2[[#This Row],[Table Lookup for Life Cover]]="MM_LIFE",Table2[[#This Row],[Age Next Birthday]]&lt;56),1,
IF(AND(Table2[[#This Row],[Member Type]]="Main Member",Table2[[#This Row],[Table Lookup for Life Cover]]="MM_LIFE",Table2[[#This Row],[Age Next Birthday]]&gt;=56),2,
""))</f>
        <v/>
      </c>
      <c r="AJ479" s="328">
        <f>IF(OR(Table2[[#This Row],[Member Type]]="Main Member",Table2[[#This Row],[Main Member Link ID]]=B478),1,0)</f>
        <v>1</v>
      </c>
      <c r="AK479" s="328">
        <f>IF(Table2[[#This Row],[Member Type]]=0,0,
IF(OR(Table2[[#This Row],[Member Type]]="Main Member",Table2[[#This Row],[Main Member Link ID]]&lt;&gt;B479),COUNTIFS(B:B,Table2[[#This Row],[Main Member Link ID]]),
COUNTIFS(B:B,Table2[[#This Row],[Main Member Link ID]],A:A,Table2[[#This Row],[Member Type]])))</f>
        <v>0</v>
      </c>
    </row>
    <row r="480" spans="1:37" x14ac:dyDescent="0.3">
      <c r="A480" s="284">
        <f>Table13[[#This Row],[Member Type]]</f>
        <v>0</v>
      </c>
      <c r="B480" s="284">
        <f>Table13[[#This Row],[Main Member Link ID]]</f>
        <v>0</v>
      </c>
      <c r="C480" s="284">
        <f>Table13[[#This Row],[ID Number]]</f>
        <v>0</v>
      </c>
      <c r="D480" s="285">
        <f>Table13[[#This Row],[Date Of Birth]]</f>
        <v>0</v>
      </c>
      <c r="E480" s="285">
        <f>Table13[[#This Row],[Commencement Date]]</f>
        <v>0</v>
      </c>
      <c r="F480" s="284">
        <f t="shared" si="49"/>
        <v>1</v>
      </c>
      <c r="G480" s="284">
        <f t="shared" si="50"/>
        <v>25</v>
      </c>
      <c r="H480" s="286">
        <f>Table13[[#This Row],[Product Option]]</f>
        <v>0</v>
      </c>
      <c r="I480" s="284">
        <f>IF(AND($A480="Main Member",Table2[[#This Row],[Product Option]]="My Value Plus Life"),"MM_LIFE",
IF(AND($A480="Spouse",Table2[[#This Row],[Product Option]]="My Value Plus Life"),"SP_LIFE",
IF(AND($A480="Main Member",Table2[[#This Row],[Product Option]]="My Value Plus Life &amp; Funeral"),"MM_LIFE",
IF(AND($A480="Spouse",Table2[[#This Row],[Product Option]]="My Value Plus Life &amp; Funeral"),_xlfn.XLOOKUP(Table2[[#This Row],[Benefit Name]],Lookups!$D$18:$D$23,Lookups!$E$18:$E$23,0),
0))))</f>
        <v>0</v>
      </c>
      <c r="J480" s="284">
        <f>IF($I480="","",
IF($I480="MM_LIFE",INDEX('Quotation Tool'!$S$54:$V$60,MATCH($T480,'Quotation Tool'!$S$54:$S$60,0),4),
IF($I480="SP_LIFE",_xlfn.XLOOKUP(B479,$B:$B,$J:$J,0),0)))</f>
        <v>0</v>
      </c>
      <c r="K480" s="287">
        <f t="shared" ca="1" si="54"/>
        <v>0</v>
      </c>
      <c r="L480" s="288">
        <f t="shared" ca="1" si="55"/>
        <v>0</v>
      </c>
      <c r="M480" s="289">
        <f t="shared" ca="1" si="51"/>
        <v>0</v>
      </c>
      <c r="N480" s="286">
        <f>Table13[[#This Row],[Benefit Option]]</f>
        <v>0</v>
      </c>
      <c r="O480" s="284">
        <f>IF(OR(Table2[[#This Row],[Member Type]]="Spouse",Table2[[#This Row],[Member Type]]="Child"),0,
IF(_xlfn.XLOOKUP($N480,Lookups!$D$13:$D$27,Lookups!$F$13:$F$27,0)=Table2[[#This Row],[Table Lookup for Life Cover]],0,
_xlfn.XLOOKUP($N480,Lookups!$D$13:$D$27,Lookups!$F$13:$F$27,0)))</f>
        <v>0</v>
      </c>
      <c r="P480" s="284">
        <f>IF(Table2[[#This Row],[Table Lookup for Funeral]]=0,0,IFERROR(INDEX('Quotation Tool'!$S$54:$V$60,MATCH($T480,'Quotation Tool'!$S$54:$S$60,0),3),0))</f>
        <v>0</v>
      </c>
      <c r="Q480" s="288">
        <f ca="1">IF(OR(Table2[[#This Row],[Benefit Name]]="My Value Plus Life - Main Member",Table2[[#This Row],[Benefit Name]]="My Value Plus Life - Spouse"),0,
IFERROR(VLOOKUP($G480,INDIRECT($O480),$P480,FALSE),0))</f>
        <v>0</v>
      </c>
      <c r="R480" s="288">
        <f ca="1">IF(OR(Table2[[#This Row],[Benefit Name]]="My Value Plus Life - Main Member",Table2[[#This Row],[Benefit Name]]="My Value Plus Life - Spouse"),0,
IFERROR(VLOOKUP($G480,INDIRECT($O480),$P480+1,FALSE),0))</f>
        <v>0</v>
      </c>
      <c r="S480" s="289">
        <f t="shared" ca="1" si="52"/>
        <v>0</v>
      </c>
      <c r="T480" s="284" t="str">
        <f>IF(Table13[[#This Row],[Premium Waiver]]="","None",Table13[[#This Row],[Premium Waiver]])</f>
        <v>None</v>
      </c>
      <c r="U480" s="284">
        <f>Table13[[#This Row],[VAPs Options]]</f>
        <v>0</v>
      </c>
      <c r="V480" s="284">
        <f>Table13[[#This Row],[Annual Increase Option]]</f>
        <v>0</v>
      </c>
      <c r="W480" s="290">
        <f>Table13[[#This Row],[Life Cover Amount]]</f>
        <v>0</v>
      </c>
      <c r="X480" s="290">
        <f>Table13[[#This Row],[Funeral Cover Amount]]</f>
        <v>0</v>
      </c>
      <c r="Y48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8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80" s="301">
        <f t="shared" ca="1" si="53"/>
        <v>0</v>
      </c>
      <c r="AB480" s="298"/>
      <c r="AC480" s="326" t="str">
        <f>IF(Table2[[#This Row],[Member Type]]="Main Member",Lookups!$C$13,
IF(Table2[[#This Row],[Member Type]]="Spouse",_xlfn.XLOOKUP(B480,Table2[Main Member Link ID],Table2[Product Option],0),
IF(AND(Table2[[#This Row],[Member Type]]="Child",_xlfn.XLOOKUP(B480,Table2[Main Member Link ID],Table2[Product Option],0)&lt;&gt;"My Value Plus Life"),Lookups!$C$24,
IF(AND(OR(Table2[[#This Row],[Member Type]]="Parent",Table2[[#This Row],[Member Type]]="Extended"),_xlfn.XLOOKUP(B480,Table2[Main Member Link ID],Table2[Product Option],0)&lt;&gt;"My Value Plus Life"),Lookups!$C$26,""))))</f>
        <v/>
      </c>
      <c r="AD480" s="326" t="str">
        <f>IF(Table2[[#This Row],[Member Type]]="Main Member",Lookups!$C$14,"")</f>
        <v/>
      </c>
      <c r="AE48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Funeral",_xlfn.XLOOKUP(B480,Table2[Main Member Link ID],Table2[Benefit Name],0)=Lookups!$D$14),"",
IF(AND(Table2[[#This Row],[Member Type]]="Spouse",Table2[[#This Row],[Product Option]]="My Value Plus Life &amp; Funeral",_xlfn.XLOOKUP(B479,Table2[Main Member Link ID],Table2[Benefit Name],0)=Lookups!$D$15),Lookups!$D$20,
IF(AND(Table2[[#This Row],[Member Type]]="Spouse",Table2[[#This Row],[Product Option]]="My Value Plus Life &amp; Funeral",_xlfn.XLOOKUP(B479,Table2[Main Member Link ID],Table2[Benefit Name],0)=Lookups!$D$16),"",
IF(AND(Table2[[#This Row],[Member Type]]="Spouse",Table2[[#This Row],[Product Option]]="My Value Plus Life &amp; Funeral",_xlfn.XLOOKUP(B479,Table2[Main Member Link ID],Table2[Benefit Name],0)=Lookups!$D$17),Lookups!$D$21,
IF(AND(Table2[[#This Row],[Member Type]]="Child",Table2[[#This Row],[Product Option]]="My Value Plus Life &amp; Funeral",_xlfn.XLOOKUP(B480,Table2[Main Member Link ID],Table2[Benefit Name],0)=Lookups!$D$14),"",
IF(AND(Table2[[#This Row],[Member Type]]="Child",Table2[[#This Row],[Product Option]]="My Value Plus Life &amp; Funeral",_xlfn.XLOOKUP(B480,Table2[Main Member Link ID],Table2[Benefit Name],0)=Lookups!$D$15),"",
IF(AND(Table2[[#This Row],[Member Type]]="Child",Table2[[#This Row],[Product Option]]="My Value Plus Life &amp; Funeral",_xlfn.XLOOKUP(B480,Table2[Main Member Link ID],Table2[Benefit Name],0)=Lookups!$D$16),Lookups!$D$24,
IF(AND(Table2[[#This Row],[Member Type]]="Child",Table2[[#This Row],[Product Option]]="My Value Plus Life &amp; Funeral",_xlfn.XLOOKUP(B480,Table2[Main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Funeral",_xlfn.XLOOKUP(B480,Table2[Main Member Link ID],Table2[Benefit Name],0)&lt;&gt;Lookups!$D$14),
IF(_xlfn.XLOOKUP(B480,Table2[Main Member Link ID],Table2[Benefit Name],0)=0,"",_xlfn.XLOOKUP(B480,Table2[Main Member Link ID],Table2[Benefit Name],0)),"")))))))))))))))</f>
        <v/>
      </c>
      <c r="AF480" s="327" t="str">
        <f>IF(AND(Table2[[#This Row],[Member Type]]="Main Member",Table2[[#This Row],[Product Option]]="My Value Plus Life &amp; Funeral"),Lookups!$D$15,
IF(AND(Table2[[#This Row],[Member Type]]="Spouse",Table2[[#This Row],[Product Option]]="My Value Plus Life &amp; Funeral",_xlfn.XLOOKUP(B480,Table2[Main Member Link ID],Table2[Benefit Name],0)=Lookups!$D$14),"",
IF(AND(Table2[[#This Row],[Member Type]]="Spouse",Table2[[#This Row],[Product Option]]="My Value Plus Life &amp; Funeral",_xlfn.XLOOKUP(B479,Table2[Main Member Link ID],Table2[Benefit Name],0)=Lookups!$D$16),"",
IF(AND(Table2[[#This Row],[Member Type]]="Spouse",Table2[[#This Row],[Product Option]]="My Value Plus Life &amp; Funeral",_xlfn.XLOOKUP(B479,Table2[Main Member Link ID],Table2[Benefit Name],0)=Lookups!$D$15),"",
IF(AND(Table2[[#This Row],[Member Type]]="Spouse",Table2[[#This Row],[Product Option]]="My Value Plus Life &amp; Funeral",_xlfn.XLOOKUP(B479,Table2[Main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Funeral",_xlfn.XLOOKUP(B480,Table2[Main Member Link ID],Table2[Benefit Name],0)&lt;&gt;Lookups!$D$15),
IF(_xlfn.XLOOKUP(B480,Table2[Main Member Link ID],Table2[Benefit Name],0)=0,"",_xlfn.XLOOKUP(B480,Table2[Main Member Link ID],Table2[Benefit Name],0)),"")
))))))</f>
        <v/>
      </c>
      <c r="AG480" s="327" t="str">
        <f>IF(AND(Table2[[#This Row],[Member Type]]="Main Member",Table2[[#This Row],[Product Option]]="My Value Plus Life &amp; Funeral"),Lookups!$D$16,
IF(AND(Table2[[#This Row],[Member Type]]="Spouse",Table2[[#This Row],[Product Option]]="My Value Plus Life &amp; Funeral",_xlfn.XLOOKUP(B480,Table2[Main Member Link ID],Table2[Benefit Name],0)=Lookups!$D$14),"",
IF(AND(Table2[[#This Row],[Member Type]]="Spouse",Table2[[#This Row],[Product Option]]="My Value Plus Life &amp; Funeral",_xlfn.XLOOKUP(B479,Table2[Main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Funeral",_xlfn.XLOOKUP(B480,Table2[Main Member Link ID],Table2[Benefit Name],0)&lt;&gt;Lookups!$D$16),
IF(_xlfn.XLOOKUP(B480,Table2[Main Member Link ID],Table2[Benefit Name],0)=0,"",_xlfn.XLOOKUP(B480,Table2[Main Member Link ID],Table2[Benefit Name],0)),"")
))))</f>
        <v/>
      </c>
      <c r="AH480" s="327" t="str">
        <f>IF(AND(Table2[[#This Row],[Member Type]]="Main Member",Table2[[#This Row],[Product Option]]="My Value Plus Life &amp; Funeral"),Lookups!$D$17,
IF(AND(Table2[[#This Row],[Member Type]]="Spouse",Table2[[#This Row],[Product Option]]="My Value Plus Life &amp; Funeral",_xlfn.XLOOKUP(B480,Table2[Main Member Link ID],Table2[Benefit Name],0)=Lookups!$D$14),"",
IF(AND(Table2[[#This Row],[Member Type]]="Spouse",Table2[[#This Row],[Product Option]]="My Value Plus Life &amp; Funeral",_xlfn.XLOOKUP(B479,Table2[Main Member Link ID],Table2[Benefit Name],0)=Lookups!$D$16),"",
IF(AND(Table2[[#This Row],[Member Type]]="Child",Table2[[#This Row],[Product Option]]="My Value Plus Life &amp; Funeral"),"",
IF(AND(Table2[[#This Row],[Member Type]]="Child",Table2[[#This Row],[Product Option]]="My Value Plus Life &amp; Funeral",_xlfn.XLOOKUP(B480,Table2[Main Member Link ID],Table2[Benefit Name],0)=Lookups!$D$15),"",
IF(AND(OR(Table2[[#This Row],[Member Type]]="Spouse",Table2[[#This Row],[Member Type]]="Child"),Table2[[#This Row],[Product Option]]="My Value Plus Life &amp; Funeral",_xlfn.XLOOKUP(B480,Table2[Main Member Link ID],Table2[Benefit Name],0)&lt;&gt;Lookups!$D$17),
IF(_xlfn.XLOOKUP(B480,Table2[Main Member Link ID],Table2[Benefit Name],0)=0,"",_xlfn.XLOOKUP(B480,Table2[Main Member Link ID],Table2[Benefit Name],0)),""))))))</f>
        <v/>
      </c>
      <c r="AI480" s="328" t="str">
        <f>IF(AND(Table2[[#This Row],[Member Type]]="Main Member",Table2[[#This Row],[Table Lookup for Life Cover]]="MM_LIFE",Table2[[#This Row],[Age Next Birthday]]&lt;56),1,
IF(AND(Table2[[#This Row],[Member Type]]="Main Member",Table2[[#This Row],[Table Lookup for Life Cover]]="MM_LIFE",Table2[[#This Row],[Age Next Birthday]]&gt;=56),2,
""))</f>
        <v/>
      </c>
      <c r="AJ480" s="328">
        <f>IF(OR(Table2[[#This Row],[Member Type]]="Main Member",Table2[[#This Row],[Main Member Link ID]]=B479),1,0)</f>
        <v>1</v>
      </c>
      <c r="AK480" s="328">
        <f>IF(Table2[[#This Row],[Member Type]]=0,0,
IF(OR(Table2[[#This Row],[Member Type]]="Main Member",Table2[[#This Row],[Main Member Link ID]]&lt;&gt;B480),COUNTIFS(B:B,Table2[[#This Row],[Main Member Link ID]]),
COUNTIFS(B:B,Table2[[#This Row],[Main Member Link ID]],A:A,Table2[[#This Row],[Member Type]])))</f>
        <v>0</v>
      </c>
    </row>
    <row r="481" spans="1:37" x14ac:dyDescent="0.3">
      <c r="A481" s="284">
        <f>Table13[[#This Row],[Member Type]]</f>
        <v>0</v>
      </c>
      <c r="B481" s="284">
        <f>Table13[[#This Row],[Main Member Link ID]]</f>
        <v>0</v>
      </c>
      <c r="C481" s="284">
        <f>Table13[[#This Row],[ID Number]]</f>
        <v>0</v>
      </c>
      <c r="D481" s="285">
        <f>Table13[[#This Row],[Date Of Birth]]</f>
        <v>0</v>
      </c>
      <c r="E481" s="285">
        <f>Table13[[#This Row],[Commencement Date]]</f>
        <v>0</v>
      </c>
      <c r="F481" s="284">
        <f t="shared" si="49"/>
        <v>1</v>
      </c>
      <c r="G481" s="284">
        <f t="shared" si="50"/>
        <v>25</v>
      </c>
      <c r="H481" s="286">
        <f>Table13[[#This Row],[Product Option]]</f>
        <v>0</v>
      </c>
      <c r="I481" s="284">
        <f>IF(AND($A481="Main Member",Table2[[#This Row],[Product Option]]="My Value Plus Life"),"MM_LIFE",
IF(AND($A481="Spouse",Table2[[#This Row],[Product Option]]="My Value Plus Life"),"SP_LIFE",
IF(AND($A481="Main Member",Table2[[#This Row],[Product Option]]="My Value Plus Life &amp; Funeral"),"MM_LIFE",
IF(AND($A481="Spouse",Table2[[#This Row],[Product Option]]="My Value Plus Life &amp; Funeral"),_xlfn.XLOOKUP(Table2[[#This Row],[Benefit Name]],Lookups!$D$18:$D$23,Lookups!$E$18:$E$23,0),
0))))</f>
        <v>0</v>
      </c>
      <c r="J481" s="284">
        <f>IF($I481="","",
IF($I481="MM_LIFE",INDEX('Quotation Tool'!$S$54:$V$60,MATCH($T481,'Quotation Tool'!$S$54:$S$60,0),4),
IF($I481="SP_LIFE",_xlfn.XLOOKUP(B480,$B:$B,$J:$J,0),0)))</f>
        <v>0</v>
      </c>
      <c r="K481" s="287">
        <f t="shared" ca="1" si="54"/>
        <v>0</v>
      </c>
      <c r="L481" s="288">
        <f t="shared" ca="1" si="55"/>
        <v>0</v>
      </c>
      <c r="M481" s="289">
        <f t="shared" ca="1" si="51"/>
        <v>0</v>
      </c>
      <c r="N481" s="286">
        <f>Table13[[#This Row],[Benefit Option]]</f>
        <v>0</v>
      </c>
      <c r="O481" s="284">
        <f>IF(OR(Table2[[#This Row],[Member Type]]="Spouse",Table2[[#This Row],[Member Type]]="Child"),0,
IF(_xlfn.XLOOKUP($N481,Lookups!$D$13:$D$27,Lookups!$F$13:$F$27,0)=Table2[[#This Row],[Table Lookup for Life Cover]],0,
_xlfn.XLOOKUP($N481,Lookups!$D$13:$D$27,Lookups!$F$13:$F$27,0)))</f>
        <v>0</v>
      </c>
      <c r="P481" s="284">
        <f>IF(Table2[[#This Row],[Table Lookup for Funeral]]=0,0,IFERROR(INDEX('Quotation Tool'!$S$54:$V$60,MATCH($T481,'Quotation Tool'!$S$54:$S$60,0),3),0))</f>
        <v>0</v>
      </c>
      <c r="Q481" s="288">
        <f ca="1">IF(OR(Table2[[#This Row],[Benefit Name]]="My Value Plus Life - Main Member",Table2[[#This Row],[Benefit Name]]="My Value Plus Life - Spouse"),0,
IFERROR(VLOOKUP($G481,INDIRECT($O481),$P481,FALSE),0))</f>
        <v>0</v>
      </c>
      <c r="R481" s="288">
        <f ca="1">IF(OR(Table2[[#This Row],[Benefit Name]]="My Value Plus Life - Main Member",Table2[[#This Row],[Benefit Name]]="My Value Plus Life - Spouse"),0,
IFERROR(VLOOKUP($G481,INDIRECT($O481),$P481+1,FALSE),0))</f>
        <v>0</v>
      </c>
      <c r="S481" s="289">
        <f t="shared" ca="1" si="52"/>
        <v>0</v>
      </c>
      <c r="T481" s="284" t="str">
        <f>IF(Table13[[#This Row],[Premium Waiver]]="","None",Table13[[#This Row],[Premium Waiver]])</f>
        <v>None</v>
      </c>
      <c r="U481" s="284">
        <f>Table13[[#This Row],[VAPs Options]]</f>
        <v>0</v>
      </c>
      <c r="V481" s="284">
        <f>Table13[[#This Row],[Annual Increase Option]]</f>
        <v>0</v>
      </c>
      <c r="W481" s="290">
        <f>Table13[[#This Row],[Life Cover Amount]]</f>
        <v>0</v>
      </c>
      <c r="X481" s="290">
        <f>Table13[[#This Row],[Funeral Cover Amount]]</f>
        <v>0</v>
      </c>
      <c r="Y48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8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81" s="301">
        <f t="shared" ca="1" si="53"/>
        <v>0</v>
      </c>
      <c r="AB481" s="298"/>
      <c r="AC481" s="326" t="str">
        <f>IF(Table2[[#This Row],[Member Type]]="Main Member",Lookups!$C$13,
IF(Table2[[#This Row],[Member Type]]="Spouse",_xlfn.XLOOKUP(B481,Table2[Main Member Link ID],Table2[Product Option],0),
IF(AND(Table2[[#This Row],[Member Type]]="Child",_xlfn.XLOOKUP(B481,Table2[Main Member Link ID],Table2[Product Option],0)&lt;&gt;"My Value Plus Life"),Lookups!$C$24,
IF(AND(OR(Table2[[#This Row],[Member Type]]="Parent",Table2[[#This Row],[Member Type]]="Extended"),_xlfn.XLOOKUP(B481,Table2[Main Member Link ID],Table2[Product Option],0)&lt;&gt;"My Value Plus Life"),Lookups!$C$26,""))))</f>
        <v/>
      </c>
      <c r="AD481" s="326" t="str">
        <f>IF(Table2[[#This Row],[Member Type]]="Main Member",Lookups!$C$14,"")</f>
        <v/>
      </c>
      <c r="AE48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Funeral",_xlfn.XLOOKUP(B481,Table2[Main Member Link ID],Table2[Benefit Name],0)=Lookups!$D$14),"",
IF(AND(Table2[[#This Row],[Member Type]]="Spouse",Table2[[#This Row],[Product Option]]="My Value Plus Life &amp; Funeral",_xlfn.XLOOKUP(B480,Table2[Main Member Link ID],Table2[Benefit Name],0)=Lookups!$D$15),Lookups!$D$20,
IF(AND(Table2[[#This Row],[Member Type]]="Spouse",Table2[[#This Row],[Product Option]]="My Value Plus Life &amp; Funeral",_xlfn.XLOOKUP(B480,Table2[Main Member Link ID],Table2[Benefit Name],0)=Lookups!$D$16),"",
IF(AND(Table2[[#This Row],[Member Type]]="Spouse",Table2[[#This Row],[Product Option]]="My Value Plus Life &amp; Funeral",_xlfn.XLOOKUP(B480,Table2[Main Member Link ID],Table2[Benefit Name],0)=Lookups!$D$17),Lookups!$D$21,
IF(AND(Table2[[#This Row],[Member Type]]="Child",Table2[[#This Row],[Product Option]]="My Value Plus Life &amp; Funeral",_xlfn.XLOOKUP(B481,Table2[Main Member Link ID],Table2[Benefit Name],0)=Lookups!$D$14),"",
IF(AND(Table2[[#This Row],[Member Type]]="Child",Table2[[#This Row],[Product Option]]="My Value Plus Life &amp; Funeral",_xlfn.XLOOKUP(B481,Table2[Main Member Link ID],Table2[Benefit Name],0)=Lookups!$D$15),"",
IF(AND(Table2[[#This Row],[Member Type]]="Child",Table2[[#This Row],[Product Option]]="My Value Plus Life &amp; Funeral",_xlfn.XLOOKUP(B481,Table2[Main Member Link ID],Table2[Benefit Name],0)=Lookups!$D$16),Lookups!$D$24,
IF(AND(Table2[[#This Row],[Member Type]]="Child",Table2[[#This Row],[Product Option]]="My Value Plus Life &amp; Funeral",_xlfn.XLOOKUP(B481,Table2[Main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Funeral",_xlfn.XLOOKUP(B481,Table2[Main Member Link ID],Table2[Benefit Name],0)&lt;&gt;Lookups!$D$14),
IF(_xlfn.XLOOKUP(B481,Table2[Main Member Link ID],Table2[Benefit Name],0)=0,"",_xlfn.XLOOKUP(B481,Table2[Main Member Link ID],Table2[Benefit Name],0)),"")))))))))))))))</f>
        <v/>
      </c>
      <c r="AF481" s="327" t="str">
        <f>IF(AND(Table2[[#This Row],[Member Type]]="Main Member",Table2[[#This Row],[Product Option]]="My Value Plus Life &amp; Funeral"),Lookups!$D$15,
IF(AND(Table2[[#This Row],[Member Type]]="Spouse",Table2[[#This Row],[Product Option]]="My Value Plus Life &amp; Funeral",_xlfn.XLOOKUP(B481,Table2[Main Member Link ID],Table2[Benefit Name],0)=Lookups!$D$14),"",
IF(AND(Table2[[#This Row],[Member Type]]="Spouse",Table2[[#This Row],[Product Option]]="My Value Plus Life &amp; Funeral",_xlfn.XLOOKUP(B480,Table2[Main Member Link ID],Table2[Benefit Name],0)=Lookups!$D$16),"",
IF(AND(Table2[[#This Row],[Member Type]]="Spouse",Table2[[#This Row],[Product Option]]="My Value Plus Life &amp; Funeral",_xlfn.XLOOKUP(B480,Table2[Main Member Link ID],Table2[Benefit Name],0)=Lookups!$D$15),"",
IF(AND(Table2[[#This Row],[Member Type]]="Spouse",Table2[[#This Row],[Product Option]]="My Value Plus Life &amp; Funeral",_xlfn.XLOOKUP(B480,Table2[Main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Funeral",_xlfn.XLOOKUP(B481,Table2[Main Member Link ID],Table2[Benefit Name],0)&lt;&gt;Lookups!$D$15),
IF(_xlfn.XLOOKUP(B481,Table2[Main Member Link ID],Table2[Benefit Name],0)=0,"",_xlfn.XLOOKUP(B481,Table2[Main Member Link ID],Table2[Benefit Name],0)),"")
))))))</f>
        <v/>
      </c>
      <c r="AG481" s="327" t="str">
        <f>IF(AND(Table2[[#This Row],[Member Type]]="Main Member",Table2[[#This Row],[Product Option]]="My Value Plus Life &amp; Funeral"),Lookups!$D$16,
IF(AND(Table2[[#This Row],[Member Type]]="Spouse",Table2[[#This Row],[Product Option]]="My Value Plus Life &amp; Funeral",_xlfn.XLOOKUP(B481,Table2[Main Member Link ID],Table2[Benefit Name],0)=Lookups!$D$14),"",
IF(AND(Table2[[#This Row],[Member Type]]="Spouse",Table2[[#This Row],[Product Option]]="My Value Plus Life &amp; Funeral",_xlfn.XLOOKUP(B480,Table2[Main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Funeral",_xlfn.XLOOKUP(B481,Table2[Main Member Link ID],Table2[Benefit Name],0)&lt;&gt;Lookups!$D$16),
IF(_xlfn.XLOOKUP(B481,Table2[Main Member Link ID],Table2[Benefit Name],0)=0,"",_xlfn.XLOOKUP(B481,Table2[Main Member Link ID],Table2[Benefit Name],0)),"")
))))</f>
        <v/>
      </c>
      <c r="AH481" s="327" t="str">
        <f>IF(AND(Table2[[#This Row],[Member Type]]="Main Member",Table2[[#This Row],[Product Option]]="My Value Plus Life &amp; Funeral"),Lookups!$D$17,
IF(AND(Table2[[#This Row],[Member Type]]="Spouse",Table2[[#This Row],[Product Option]]="My Value Plus Life &amp; Funeral",_xlfn.XLOOKUP(B481,Table2[Main Member Link ID],Table2[Benefit Name],0)=Lookups!$D$14),"",
IF(AND(Table2[[#This Row],[Member Type]]="Spouse",Table2[[#This Row],[Product Option]]="My Value Plus Life &amp; Funeral",_xlfn.XLOOKUP(B480,Table2[Main Member Link ID],Table2[Benefit Name],0)=Lookups!$D$16),"",
IF(AND(Table2[[#This Row],[Member Type]]="Child",Table2[[#This Row],[Product Option]]="My Value Plus Life &amp; Funeral"),"",
IF(AND(Table2[[#This Row],[Member Type]]="Child",Table2[[#This Row],[Product Option]]="My Value Plus Life &amp; Funeral",_xlfn.XLOOKUP(B481,Table2[Main Member Link ID],Table2[Benefit Name],0)=Lookups!$D$15),"",
IF(AND(OR(Table2[[#This Row],[Member Type]]="Spouse",Table2[[#This Row],[Member Type]]="Child"),Table2[[#This Row],[Product Option]]="My Value Plus Life &amp; Funeral",_xlfn.XLOOKUP(B481,Table2[Main Member Link ID],Table2[Benefit Name],0)&lt;&gt;Lookups!$D$17),
IF(_xlfn.XLOOKUP(B481,Table2[Main Member Link ID],Table2[Benefit Name],0)=0,"",_xlfn.XLOOKUP(B481,Table2[Main Member Link ID],Table2[Benefit Name],0)),""))))))</f>
        <v/>
      </c>
      <c r="AI481" s="328" t="str">
        <f>IF(AND(Table2[[#This Row],[Member Type]]="Main Member",Table2[[#This Row],[Table Lookup for Life Cover]]="MM_LIFE",Table2[[#This Row],[Age Next Birthday]]&lt;56),1,
IF(AND(Table2[[#This Row],[Member Type]]="Main Member",Table2[[#This Row],[Table Lookup for Life Cover]]="MM_LIFE",Table2[[#This Row],[Age Next Birthday]]&gt;=56),2,
""))</f>
        <v/>
      </c>
      <c r="AJ481" s="328">
        <f>IF(OR(Table2[[#This Row],[Member Type]]="Main Member",Table2[[#This Row],[Main Member Link ID]]=B480),1,0)</f>
        <v>1</v>
      </c>
      <c r="AK481" s="328">
        <f>IF(Table2[[#This Row],[Member Type]]=0,0,
IF(OR(Table2[[#This Row],[Member Type]]="Main Member",Table2[[#This Row],[Main Member Link ID]]&lt;&gt;B481),COUNTIFS(B:B,Table2[[#This Row],[Main Member Link ID]]),
COUNTIFS(B:B,Table2[[#This Row],[Main Member Link ID]],A:A,Table2[[#This Row],[Member Type]])))</f>
        <v>0</v>
      </c>
    </row>
    <row r="482" spans="1:37" x14ac:dyDescent="0.3">
      <c r="A482" s="284">
        <f>Table13[[#This Row],[Member Type]]</f>
        <v>0</v>
      </c>
      <c r="B482" s="284">
        <f>Table13[[#This Row],[Main Member Link ID]]</f>
        <v>0</v>
      </c>
      <c r="C482" s="284">
        <f>Table13[[#This Row],[ID Number]]</f>
        <v>0</v>
      </c>
      <c r="D482" s="285">
        <f>Table13[[#This Row],[Date Of Birth]]</f>
        <v>0</v>
      </c>
      <c r="E482" s="285">
        <f>Table13[[#This Row],[Commencement Date]]</f>
        <v>0</v>
      </c>
      <c r="F482" s="284">
        <f t="shared" si="49"/>
        <v>1</v>
      </c>
      <c r="G482" s="284">
        <f t="shared" si="50"/>
        <v>25</v>
      </c>
      <c r="H482" s="286">
        <f>Table13[[#This Row],[Product Option]]</f>
        <v>0</v>
      </c>
      <c r="I482" s="284">
        <f>IF(AND($A482="Main Member",Table2[[#This Row],[Product Option]]="My Value Plus Life"),"MM_LIFE",
IF(AND($A482="Spouse",Table2[[#This Row],[Product Option]]="My Value Plus Life"),"SP_LIFE",
IF(AND($A482="Main Member",Table2[[#This Row],[Product Option]]="My Value Plus Life &amp; Funeral"),"MM_LIFE",
IF(AND($A482="Spouse",Table2[[#This Row],[Product Option]]="My Value Plus Life &amp; Funeral"),_xlfn.XLOOKUP(Table2[[#This Row],[Benefit Name]],Lookups!$D$18:$D$23,Lookups!$E$18:$E$23,0),
0))))</f>
        <v>0</v>
      </c>
      <c r="J482" s="284">
        <f>IF($I482="","",
IF($I482="MM_LIFE",INDEX('Quotation Tool'!$S$54:$V$60,MATCH($T482,'Quotation Tool'!$S$54:$S$60,0),4),
IF($I482="SP_LIFE",_xlfn.XLOOKUP(B481,$B:$B,$J:$J,0),0)))</f>
        <v>0</v>
      </c>
      <c r="K482" s="287">
        <f t="shared" ca="1" si="54"/>
        <v>0</v>
      </c>
      <c r="L482" s="288">
        <f t="shared" ca="1" si="55"/>
        <v>0</v>
      </c>
      <c r="M482" s="289">
        <f t="shared" ca="1" si="51"/>
        <v>0</v>
      </c>
      <c r="N482" s="286">
        <f>Table13[[#This Row],[Benefit Option]]</f>
        <v>0</v>
      </c>
      <c r="O482" s="284">
        <f>IF(OR(Table2[[#This Row],[Member Type]]="Spouse",Table2[[#This Row],[Member Type]]="Child"),0,
IF(_xlfn.XLOOKUP($N482,Lookups!$D$13:$D$27,Lookups!$F$13:$F$27,0)=Table2[[#This Row],[Table Lookup for Life Cover]],0,
_xlfn.XLOOKUP($N482,Lookups!$D$13:$D$27,Lookups!$F$13:$F$27,0)))</f>
        <v>0</v>
      </c>
      <c r="P482" s="284">
        <f>IF(Table2[[#This Row],[Table Lookup for Funeral]]=0,0,IFERROR(INDEX('Quotation Tool'!$S$54:$V$60,MATCH($T482,'Quotation Tool'!$S$54:$S$60,0),3),0))</f>
        <v>0</v>
      </c>
      <c r="Q482" s="288">
        <f ca="1">IF(OR(Table2[[#This Row],[Benefit Name]]="My Value Plus Life - Main Member",Table2[[#This Row],[Benefit Name]]="My Value Plus Life - Spouse"),0,
IFERROR(VLOOKUP($G482,INDIRECT($O482),$P482,FALSE),0))</f>
        <v>0</v>
      </c>
      <c r="R482" s="288">
        <f ca="1">IF(OR(Table2[[#This Row],[Benefit Name]]="My Value Plus Life - Main Member",Table2[[#This Row],[Benefit Name]]="My Value Plus Life - Spouse"),0,
IFERROR(VLOOKUP($G482,INDIRECT($O482),$P482+1,FALSE),0))</f>
        <v>0</v>
      </c>
      <c r="S482" s="289">
        <f t="shared" ca="1" si="52"/>
        <v>0</v>
      </c>
      <c r="T482" s="284" t="str">
        <f>IF(Table13[[#This Row],[Premium Waiver]]="","None",Table13[[#This Row],[Premium Waiver]])</f>
        <v>None</v>
      </c>
      <c r="U482" s="284">
        <f>Table13[[#This Row],[VAPs Options]]</f>
        <v>0</v>
      </c>
      <c r="V482" s="284">
        <f>Table13[[#This Row],[Annual Increase Option]]</f>
        <v>0</v>
      </c>
      <c r="W482" s="290">
        <f>Table13[[#This Row],[Life Cover Amount]]</f>
        <v>0</v>
      </c>
      <c r="X482" s="290">
        <f>Table13[[#This Row],[Funeral Cover Amount]]</f>
        <v>0</v>
      </c>
      <c r="Y48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8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82" s="301">
        <f t="shared" ca="1" si="53"/>
        <v>0</v>
      </c>
      <c r="AB482" s="298"/>
      <c r="AC482" s="326" t="str">
        <f>IF(Table2[[#This Row],[Member Type]]="Main Member",Lookups!$C$13,
IF(Table2[[#This Row],[Member Type]]="Spouse",_xlfn.XLOOKUP(B482,Table2[Main Member Link ID],Table2[Product Option],0),
IF(AND(Table2[[#This Row],[Member Type]]="Child",_xlfn.XLOOKUP(B482,Table2[Main Member Link ID],Table2[Product Option],0)&lt;&gt;"My Value Plus Life"),Lookups!$C$24,
IF(AND(OR(Table2[[#This Row],[Member Type]]="Parent",Table2[[#This Row],[Member Type]]="Extended"),_xlfn.XLOOKUP(B482,Table2[Main Member Link ID],Table2[Product Option],0)&lt;&gt;"My Value Plus Life"),Lookups!$C$26,""))))</f>
        <v/>
      </c>
      <c r="AD482" s="326" t="str">
        <f>IF(Table2[[#This Row],[Member Type]]="Main Member",Lookups!$C$14,"")</f>
        <v/>
      </c>
      <c r="AE48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Funeral",_xlfn.XLOOKUP(B482,Table2[Main Member Link ID],Table2[Benefit Name],0)=Lookups!$D$14),"",
IF(AND(Table2[[#This Row],[Member Type]]="Spouse",Table2[[#This Row],[Product Option]]="My Value Plus Life &amp; Funeral",_xlfn.XLOOKUP(B481,Table2[Main Member Link ID],Table2[Benefit Name],0)=Lookups!$D$15),Lookups!$D$20,
IF(AND(Table2[[#This Row],[Member Type]]="Spouse",Table2[[#This Row],[Product Option]]="My Value Plus Life &amp; Funeral",_xlfn.XLOOKUP(B481,Table2[Main Member Link ID],Table2[Benefit Name],0)=Lookups!$D$16),"",
IF(AND(Table2[[#This Row],[Member Type]]="Spouse",Table2[[#This Row],[Product Option]]="My Value Plus Life &amp; Funeral",_xlfn.XLOOKUP(B481,Table2[Main Member Link ID],Table2[Benefit Name],0)=Lookups!$D$17),Lookups!$D$21,
IF(AND(Table2[[#This Row],[Member Type]]="Child",Table2[[#This Row],[Product Option]]="My Value Plus Life &amp; Funeral",_xlfn.XLOOKUP(B482,Table2[Main Member Link ID],Table2[Benefit Name],0)=Lookups!$D$14),"",
IF(AND(Table2[[#This Row],[Member Type]]="Child",Table2[[#This Row],[Product Option]]="My Value Plus Life &amp; Funeral",_xlfn.XLOOKUP(B482,Table2[Main Member Link ID],Table2[Benefit Name],0)=Lookups!$D$15),"",
IF(AND(Table2[[#This Row],[Member Type]]="Child",Table2[[#This Row],[Product Option]]="My Value Plus Life &amp; Funeral",_xlfn.XLOOKUP(B482,Table2[Main Member Link ID],Table2[Benefit Name],0)=Lookups!$D$16),Lookups!$D$24,
IF(AND(Table2[[#This Row],[Member Type]]="Child",Table2[[#This Row],[Product Option]]="My Value Plus Life &amp; Funeral",_xlfn.XLOOKUP(B482,Table2[Main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Funeral",_xlfn.XLOOKUP(B482,Table2[Main Member Link ID],Table2[Benefit Name],0)&lt;&gt;Lookups!$D$14),
IF(_xlfn.XLOOKUP(B482,Table2[Main Member Link ID],Table2[Benefit Name],0)=0,"",_xlfn.XLOOKUP(B482,Table2[Main Member Link ID],Table2[Benefit Name],0)),"")))))))))))))))</f>
        <v/>
      </c>
      <c r="AF482" s="327" t="str">
        <f>IF(AND(Table2[[#This Row],[Member Type]]="Main Member",Table2[[#This Row],[Product Option]]="My Value Plus Life &amp; Funeral"),Lookups!$D$15,
IF(AND(Table2[[#This Row],[Member Type]]="Spouse",Table2[[#This Row],[Product Option]]="My Value Plus Life &amp; Funeral",_xlfn.XLOOKUP(B482,Table2[Main Member Link ID],Table2[Benefit Name],0)=Lookups!$D$14),"",
IF(AND(Table2[[#This Row],[Member Type]]="Spouse",Table2[[#This Row],[Product Option]]="My Value Plus Life &amp; Funeral",_xlfn.XLOOKUP(B481,Table2[Main Member Link ID],Table2[Benefit Name],0)=Lookups!$D$16),"",
IF(AND(Table2[[#This Row],[Member Type]]="Spouse",Table2[[#This Row],[Product Option]]="My Value Plus Life &amp; Funeral",_xlfn.XLOOKUP(B481,Table2[Main Member Link ID],Table2[Benefit Name],0)=Lookups!$D$15),"",
IF(AND(Table2[[#This Row],[Member Type]]="Spouse",Table2[[#This Row],[Product Option]]="My Value Plus Life &amp; Funeral",_xlfn.XLOOKUP(B481,Table2[Main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Funeral",_xlfn.XLOOKUP(B482,Table2[Main Member Link ID],Table2[Benefit Name],0)&lt;&gt;Lookups!$D$15),
IF(_xlfn.XLOOKUP(B482,Table2[Main Member Link ID],Table2[Benefit Name],0)=0,"",_xlfn.XLOOKUP(B482,Table2[Main Member Link ID],Table2[Benefit Name],0)),"")
))))))</f>
        <v/>
      </c>
      <c r="AG482" s="327" t="str">
        <f>IF(AND(Table2[[#This Row],[Member Type]]="Main Member",Table2[[#This Row],[Product Option]]="My Value Plus Life &amp; Funeral"),Lookups!$D$16,
IF(AND(Table2[[#This Row],[Member Type]]="Spouse",Table2[[#This Row],[Product Option]]="My Value Plus Life &amp; Funeral",_xlfn.XLOOKUP(B482,Table2[Main Member Link ID],Table2[Benefit Name],0)=Lookups!$D$14),"",
IF(AND(Table2[[#This Row],[Member Type]]="Spouse",Table2[[#This Row],[Product Option]]="My Value Plus Life &amp; Funeral",_xlfn.XLOOKUP(B481,Table2[Main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Funeral",_xlfn.XLOOKUP(B482,Table2[Main Member Link ID],Table2[Benefit Name],0)&lt;&gt;Lookups!$D$16),
IF(_xlfn.XLOOKUP(B482,Table2[Main Member Link ID],Table2[Benefit Name],0)=0,"",_xlfn.XLOOKUP(B482,Table2[Main Member Link ID],Table2[Benefit Name],0)),"")
))))</f>
        <v/>
      </c>
      <c r="AH482" s="327" t="str">
        <f>IF(AND(Table2[[#This Row],[Member Type]]="Main Member",Table2[[#This Row],[Product Option]]="My Value Plus Life &amp; Funeral"),Lookups!$D$17,
IF(AND(Table2[[#This Row],[Member Type]]="Spouse",Table2[[#This Row],[Product Option]]="My Value Plus Life &amp; Funeral",_xlfn.XLOOKUP(B482,Table2[Main Member Link ID],Table2[Benefit Name],0)=Lookups!$D$14),"",
IF(AND(Table2[[#This Row],[Member Type]]="Spouse",Table2[[#This Row],[Product Option]]="My Value Plus Life &amp; Funeral",_xlfn.XLOOKUP(B481,Table2[Main Member Link ID],Table2[Benefit Name],0)=Lookups!$D$16),"",
IF(AND(Table2[[#This Row],[Member Type]]="Child",Table2[[#This Row],[Product Option]]="My Value Plus Life &amp; Funeral"),"",
IF(AND(Table2[[#This Row],[Member Type]]="Child",Table2[[#This Row],[Product Option]]="My Value Plus Life &amp; Funeral",_xlfn.XLOOKUP(B482,Table2[Main Member Link ID],Table2[Benefit Name],0)=Lookups!$D$15),"",
IF(AND(OR(Table2[[#This Row],[Member Type]]="Spouse",Table2[[#This Row],[Member Type]]="Child"),Table2[[#This Row],[Product Option]]="My Value Plus Life &amp; Funeral",_xlfn.XLOOKUP(B482,Table2[Main Member Link ID],Table2[Benefit Name],0)&lt;&gt;Lookups!$D$17),
IF(_xlfn.XLOOKUP(B482,Table2[Main Member Link ID],Table2[Benefit Name],0)=0,"",_xlfn.XLOOKUP(B482,Table2[Main Member Link ID],Table2[Benefit Name],0)),""))))))</f>
        <v/>
      </c>
      <c r="AI482" s="328" t="str">
        <f>IF(AND(Table2[[#This Row],[Member Type]]="Main Member",Table2[[#This Row],[Table Lookup for Life Cover]]="MM_LIFE",Table2[[#This Row],[Age Next Birthday]]&lt;56),1,
IF(AND(Table2[[#This Row],[Member Type]]="Main Member",Table2[[#This Row],[Table Lookup for Life Cover]]="MM_LIFE",Table2[[#This Row],[Age Next Birthday]]&gt;=56),2,
""))</f>
        <v/>
      </c>
      <c r="AJ482" s="328">
        <f>IF(OR(Table2[[#This Row],[Member Type]]="Main Member",Table2[[#This Row],[Main Member Link ID]]=B481),1,0)</f>
        <v>1</v>
      </c>
      <c r="AK482" s="328">
        <f>IF(Table2[[#This Row],[Member Type]]=0,0,
IF(OR(Table2[[#This Row],[Member Type]]="Main Member",Table2[[#This Row],[Main Member Link ID]]&lt;&gt;B482),COUNTIFS(B:B,Table2[[#This Row],[Main Member Link ID]]),
COUNTIFS(B:B,Table2[[#This Row],[Main Member Link ID]],A:A,Table2[[#This Row],[Member Type]])))</f>
        <v>0</v>
      </c>
    </row>
    <row r="483" spans="1:37" x14ac:dyDescent="0.3">
      <c r="A483" s="284">
        <f>Table13[[#This Row],[Member Type]]</f>
        <v>0</v>
      </c>
      <c r="B483" s="284">
        <f>Table13[[#This Row],[Main Member Link ID]]</f>
        <v>0</v>
      </c>
      <c r="C483" s="284">
        <f>Table13[[#This Row],[ID Number]]</f>
        <v>0</v>
      </c>
      <c r="D483" s="285">
        <f>Table13[[#This Row],[Date Of Birth]]</f>
        <v>0</v>
      </c>
      <c r="E483" s="285">
        <f>Table13[[#This Row],[Commencement Date]]</f>
        <v>0</v>
      </c>
      <c r="F483" s="284">
        <f t="shared" si="49"/>
        <v>1</v>
      </c>
      <c r="G483" s="284">
        <f t="shared" si="50"/>
        <v>25</v>
      </c>
      <c r="H483" s="286">
        <f>Table13[[#This Row],[Product Option]]</f>
        <v>0</v>
      </c>
      <c r="I483" s="284">
        <f>IF(AND($A483="Main Member",Table2[[#This Row],[Product Option]]="My Value Plus Life"),"MM_LIFE",
IF(AND($A483="Spouse",Table2[[#This Row],[Product Option]]="My Value Plus Life"),"SP_LIFE",
IF(AND($A483="Main Member",Table2[[#This Row],[Product Option]]="My Value Plus Life &amp; Funeral"),"MM_LIFE",
IF(AND($A483="Spouse",Table2[[#This Row],[Product Option]]="My Value Plus Life &amp; Funeral"),_xlfn.XLOOKUP(Table2[[#This Row],[Benefit Name]],Lookups!$D$18:$D$23,Lookups!$E$18:$E$23,0),
0))))</f>
        <v>0</v>
      </c>
      <c r="J483" s="284">
        <f>IF($I483="","",
IF($I483="MM_LIFE",INDEX('Quotation Tool'!$S$54:$V$60,MATCH($T483,'Quotation Tool'!$S$54:$S$60,0),4),
IF($I483="SP_LIFE",_xlfn.XLOOKUP(B482,$B:$B,$J:$J,0),0)))</f>
        <v>0</v>
      </c>
      <c r="K483" s="287">
        <f t="shared" ca="1" si="54"/>
        <v>0</v>
      </c>
      <c r="L483" s="288">
        <f t="shared" ca="1" si="55"/>
        <v>0</v>
      </c>
      <c r="M483" s="289">
        <f t="shared" ca="1" si="51"/>
        <v>0</v>
      </c>
      <c r="N483" s="286">
        <f>Table13[[#This Row],[Benefit Option]]</f>
        <v>0</v>
      </c>
      <c r="O483" s="284">
        <f>IF(OR(Table2[[#This Row],[Member Type]]="Spouse",Table2[[#This Row],[Member Type]]="Child"),0,
IF(_xlfn.XLOOKUP($N483,Lookups!$D$13:$D$27,Lookups!$F$13:$F$27,0)=Table2[[#This Row],[Table Lookup for Life Cover]],0,
_xlfn.XLOOKUP($N483,Lookups!$D$13:$D$27,Lookups!$F$13:$F$27,0)))</f>
        <v>0</v>
      </c>
      <c r="P483" s="284">
        <f>IF(Table2[[#This Row],[Table Lookup for Funeral]]=0,0,IFERROR(INDEX('Quotation Tool'!$S$54:$V$60,MATCH($T483,'Quotation Tool'!$S$54:$S$60,0),3),0))</f>
        <v>0</v>
      </c>
      <c r="Q483" s="288">
        <f ca="1">IF(OR(Table2[[#This Row],[Benefit Name]]="My Value Plus Life - Main Member",Table2[[#This Row],[Benefit Name]]="My Value Plus Life - Spouse"),0,
IFERROR(VLOOKUP($G483,INDIRECT($O483),$P483,FALSE),0))</f>
        <v>0</v>
      </c>
      <c r="R483" s="288">
        <f ca="1">IF(OR(Table2[[#This Row],[Benefit Name]]="My Value Plus Life - Main Member",Table2[[#This Row],[Benefit Name]]="My Value Plus Life - Spouse"),0,
IFERROR(VLOOKUP($G483,INDIRECT($O483),$P483+1,FALSE),0))</f>
        <v>0</v>
      </c>
      <c r="S483" s="289">
        <f t="shared" ca="1" si="52"/>
        <v>0</v>
      </c>
      <c r="T483" s="284" t="str">
        <f>IF(Table13[[#This Row],[Premium Waiver]]="","None",Table13[[#This Row],[Premium Waiver]])</f>
        <v>None</v>
      </c>
      <c r="U483" s="284">
        <f>Table13[[#This Row],[VAPs Options]]</f>
        <v>0</v>
      </c>
      <c r="V483" s="284">
        <f>Table13[[#This Row],[Annual Increase Option]]</f>
        <v>0</v>
      </c>
      <c r="W483" s="290">
        <f>Table13[[#This Row],[Life Cover Amount]]</f>
        <v>0</v>
      </c>
      <c r="X483" s="290">
        <f>Table13[[#This Row],[Funeral Cover Amount]]</f>
        <v>0</v>
      </c>
      <c r="Y48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8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83" s="301">
        <f t="shared" ca="1" si="53"/>
        <v>0</v>
      </c>
      <c r="AB483" s="298"/>
      <c r="AC483" s="326" t="str">
        <f>IF(Table2[[#This Row],[Member Type]]="Main Member",Lookups!$C$13,
IF(Table2[[#This Row],[Member Type]]="Spouse",_xlfn.XLOOKUP(B483,Table2[Main Member Link ID],Table2[Product Option],0),
IF(AND(Table2[[#This Row],[Member Type]]="Child",_xlfn.XLOOKUP(B483,Table2[Main Member Link ID],Table2[Product Option],0)&lt;&gt;"My Value Plus Life"),Lookups!$C$24,
IF(AND(OR(Table2[[#This Row],[Member Type]]="Parent",Table2[[#This Row],[Member Type]]="Extended"),_xlfn.XLOOKUP(B483,Table2[Main Member Link ID],Table2[Product Option],0)&lt;&gt;"My Value Plus Life"),Lookups!$C$26,""))))</f>
        <v/>
      </c>
      <c r="AD483" s="326" t="str">
        <f>IF(Table2[[#This Row],[Member Type]]="Main Member",Lookups!$C$14,"")</f>
        <v/>
      </c>
      <c r="AE48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Funeral",_xlfn.XLOOKUP(B483,Table2[Main Member Link ID],Table2[Benefit Name],0)=Lookups!$D$14),"",
IF(AND(Table2[[#This Row],[Member Type]]="Spouse",Table2[[#This Row],[Product Option]]="My Value Plus Life &amp; Funeral",_xlfn.XLOOKUP(B482,Table2[Main Member Link ID],Table2[Benefit Name],0)=Lookups!$D$15),Lookups!$D$20,
IF(AND(Table2[[#This Row],[Member Type]]="Spouse",Table2[[#This Row],[Product Option]]="My Value Plus Life &amp; Funeral",_xlfn.XLOOKUP(B482,Table2[Main Member Link ID],Table2[Benefit Name],0)=Lookups!$D$16),"",
IF(AND(Table2[[#This Row],[Member Type]]="Spouse",Table2[[#This Row],[Product Option]]="My Value Plus Life &amp; Funeral",_xlfn.XLOOKUP(B482,Table2[Main Member Link ID],Table2[Benefit Name],0)=Lookups!$D$17),Lookups!$D$21,
IF(AND(Table2[[#This Row],[Member Type]]="Child",Table2[[#This Row],[Product Option]]="My Value Plus Life &amp; Funeral",_xlfn.XLOOKUP(B483,Table2[Main Member Link ID],Table2[Benefit Name],0)=Lookups!$D$14),"",
IF(AND(Table2[[#This Row],[Member Type]]="Child",Table2[[#This Row],[Product Option]]="My Value Plus Life &amp; Funeral",_xlfn.XLOOKUP(B483,Table2[Main Member Link ID],Table2[Benefit Name],0)=Lookups!$D$15),"",
IF(AND(Table2[[#This Row],[Member Type]]="Child",Table2[[#This Row],[Product Option]]="My Value Plus Life &amp; Funeral",_xlfn.XLOOKUP(B483,Table2[Main Member Link ID],Table2[Benefit Name],0)=Lookups!$D$16),Lookups!$D$24,
IF(AND(Table2[[#This Row],[Member Type]]="Child",Table2[[#This Row],[Product Option]]="My Value Plus Life &amp; Funeral",_xlfn.XLOOKUP(B483,Table2[Main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Funeral",_xlfn.XLOOKUP(B483,Table2[Main Member Link ID],Table2[Benefit Name],0)&lt;&gt;Lookups!$D$14),
IF(_xlfn.XLOOKUP(B483,Table2[Main Member Link ID],Table2[Benefit Name],0)=0,"",_xlfn.XLOOKUP(B483,Table2[Main Member Link ID],Table2[Benefit Name],0)),"")))))))))))))))</f>
        <v/>
      </c>
      <c r="AF483" s="327" t="str">
        <f>IF(AND(Table2[[#This Row],[Member Type]]="Main Member",Table2[[#This Row],[Product Option]]="My Value Plus Life &amp; Funeral"),Lookups!$D$15,
IF(AND(Table2[[#This Row],[Member Type]]="Spouse",Table2[[#This Row],[Product Option]]="My Value Plus Life &amp; Funeral",_xlfn.XLOOKUP(B483,Table2[Main Member Link ID],Table2[Benefit Name],0)=Lookups!$D$14),"",
IF(AND(Table2[[#This Row],[Member Type]]="Spouse",Table2[[#This Row],[Product Option]]="My Value Plus Life &amp; Funeral",_xlfn.XLOOKUP(B482,Table2[Main Member Link ID],Table2[Benefit Name],0)=Lookups!$D$16),"",
IF(AND(Table2[[#This Row],[Member Type]]="Spouse",Table2[[#This Row],[Product Option]]="My Value Plus Life &amp; Funeral",_xlfn.XLOOKUP(B482,Table2[Main Member Link ID],Table2[Benefit Name],0)=Lookups!$D$15),"",
IF(AND(Table2[[#This Row],[Member Type]]="Spouse",Table2[[#This Row],[Product Option]]="My Value Plus Life &amp; Funeral",_xlfn.XLOOKUP(B482,Table2[Main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Funeral",_xlfn.XLOOKUP(B483,Table2[Main Member Link ID],Table2[Benefit Name],0)&lt;&gt;Lookups!$D$15),
IF(_xlfn.XLOOKUP(B483,Table2[Main Member Link ID],Table2[Benefit Name],0)=0,"",_xlfn.XLOOKUP(B483,Table2[Main Member Link ID],Table2[Benefit Name],0)),"")
))))))</f>
        <v/>
      </c>
      <c r="AG483" s="327" t="str">
        <f>IF(AND(Table2[[#This Row],[Member Type]]="Main Member",Table2[[#This Row],[Product Option]]="My Value Plus Life &amp; Funeral"),Lookups!$D$16,
IF(AND(Table2[[#This Row],[Member Type]]="Spouse",Table2[[#This Row],[Product Option]]="My Value Plus Life &amp; Funeral",_xlfn.XLOOKUP(B483,Table2[Main Member Link ID],Table2[Benefit Name],0)=Lookups!$D$14),"",
IF(AND(Table2[[#This Row],[Member Type]]="Spouse",Table2[[#This Row],[Product Option]]="My Value Plus Life &amp; Funeral",_xlfn.XLOOKUP(B482,Table2[Main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Funeral",_xlfn.XLOOKUP(B483,Table2[Main Member Link ID],Table2[Benefit Name],0)&lt;&gt;Lookups!$D$16),
IF(_xlfn.XLOOKUP(B483,Table2[Main Member Link ID],Table2[Benefit Name],0)=0,"",_xlfn.XLOOKUP(B483,Table2[Main Member Link ID],Table2[Benefit Name],0)),"")
))))</f>
        <v/>
      </c>
      <c r="AH483" s="327" t="str">
        <f>IF(AND(Table2[[#This Row],[Member Type]]="Main Member",Table2[[#This Row],[Product Option]]="My Value Plus Life &amp; Funeral"),Lookups!$D$17,
IF(AND(Table2[[#This Row],[Member Type]]="Spouse",Table2[[#This Row],[Product Option]]="My Value Plus Life &amp; Funeral",_xlfn.XLOOKUP(B483,Table2[Main Member Link ID],Table2[Benefit Name],0)=Lookups!$D$14),"",
IF(AND(Table2[[#This Row],[Member Type]]="Spouse",Table2[[#This Row],[Product Option]]="My Value Plus Life &amp; Funeral",_xlfn.XLOOKUP(B482,Table2[Main Member Link ID],Table2[Benefit Name],0)=Lookups!$D$16),"",
IF(AND(Table2[[#This Row],[Member Type]]="Child",Table2[[#This Row],[Product Option]]="My Value Plus Life &amp; Funeral"),"",
IF(AND(Table2[[#This Row],[Member Type]]="Child",Table2[[#This Row],[Product Option]]="My Value Plus Life &amp; Funeral",_xlfn.XLOOKUP(B483,Table2[Main Member Link ID],Table2[Benefit Name],0)=Lookups!$D$15),"",
IF(AND(OR(Table2[[#This Row],[Member Type]]="Spouse",Table2[[#This Row],[Member Type]]="Child"),Table2[[#This Row],[Product Option]]="My Value Plus Life &amp; Funeral",_xlfn.XLOOKUP(B483,Table2[Main Member Link ID],Table2[Benefit Name],0)&lt;&gt;Lookups!$D$17),
IF(_xlfn.XLOOKUP(B483,Table2[Main Member Link ID],Table2[Benefit Name],0)=0,"",_xlfn.XLOOKUP(B483,Table2[Main Member Link ID],Table2[Benefit Name],0)),""))))))</f>
        <v/>
      </c>
      <c r="AI483" s="328" t="str">
        <f>IF(AND(Table2[[#This Row],[Member Type]]="Main Member",Table2[[#This Row],[Table Lookup for Life Cover]]="MM_LIFE",Table2[[#This Row],[Age Next Birthday]]&lt;56),1,
IF(AND(Table2[[#This Row],[Member Type]]="Main Member",Table2[[#This Row],[Table Lookup for Life Cover]]="MM_LIFE",Table2[[#This Row],[Age Next Birthday]]&gt;=56),2,
""))</f>
        <v/>
      </c>
      <c r="AJ483" s="328">
        <f>IF(OR(Table2[[#This Row],[Member Type]]="Main Member",Table2[[#This Row],[Main Member Link ID]]=B482),1,0)</f>
        <v>1</v>
      </c>
      <c r="AK483" s="328">
        <f>IF(Table2[[#This Row],[Member Type]]=0,0,
IF(OR(Table2[[#This Row],[Member Type]]="Main Member",Table2[[#This Row],[Main Member Link ID]]&lt;&gt;B483),COUNTIFS(B:B,Table2[[#This Row],[Main Member Link ID]]),
COUNTIFS(B:B,Table2[[#This Row],[Main Member Link ID]],A:A,Table2[[#This Row],[Member Type]])))</f>
        <v>0</v>
      </c>
    </row>
    <row r="484" spans="1:37" x14ac:dyDescent="0.3">
      <c r="A484" s="284">
        <f>Table13[[#This Row],[Member Type]]</f>
        <v>0</v>
      </c>
      <c r="B484" s="284">
        <f>Table13[[#This Row],[Main Member Link ID]]</f>
        <v>0</v>
      </c>
      <c r="C484" s="284">
        <f>Table13[[#This Row],[ID Number]]</f>
        <v>0</v>
      </c>
      <c r="D484" s="285">
        <f>Table13[[#This Row],[Date Of Birth]]</f>
        <v>0</v>
      </c>
      <c r="E484" s="285">
        <f>Table13[[#This Row],[Commencement Date]]</f>
        <v>0</v>
      </c>
      <c r="F484" s="284">
        <f t="shared" si="49"/>
        <v>1</v>
      </c>
      <c r="G484" s="284">
        <f t="shared" si="50"/>
        <v>25</v>
      </c>
      <c r="H484" s="286">
        <f>Table13[[#This Row],[Product Option]]</f>
        <v>0</v>
      </c>
      <c r="I484" s="284">
        <f>IF(AND($A484="Main Member",Table2[[#This Row],[Product Option]]="My Value Plus Life"),"MM_LIFE",
IF(AND($A484="Spouse",Table2[[#This Row],[Product Option]]="My Value Plus Life"),"SP_LIFE",
IF(AND($A484="Main Member",Table2[[#This Row],[Product Option]]="My Value Plus Life &amp; Funeral"),"MM_LIFE",
IF(AND($A484="Spouse",Table2[[#This Row],[Product Option]]="My Value Plus Life &amp; Funeral"),_xlfn.XLOOKUP(Table2[[#This Row],[Benefit Name]],Lookups!$D$18:$D$23,Lookups!$E$18:$E$23,0),
0))))</f>
        <v>0</v>
      </c>
      <c r="J484" s="284">
        <f>IF($I484="","",
IF($I484="MM_LIFE",INDEX('Quotation Tool'!$S$54:$V$60,MATCH($T484,'Quotation Tool'!$S$54:$S$60,0),4),
IF($I484="SP_LIFE",_xlfn.XLOOKUP(B483,$B:$B,$J:$J,0),0)))</f>
        <v>0</v>
      </c>
      <c r="K484" s="287">
        <f t="shared" ca="1" si="54"/>
        <v>0</v>
      </c>
      <c r="L484" s="288">
        <f t="shared" ca="1" si="55"/>
        <v>0</v>
      </c>
      <c r="M484" s="289">
        <f t="shared" ca="1" si="51"/>
        <v>0</v>
      </c>
      <c r="N484" s="286">
        <f>Table13[[#This Row],[Benefit Option]]</f>
        <v>0</v>
      </c>
      <c r="O484" s="284">
        <f>IF(OR(Table2[[#This Row],[Member Type]]="Spouse",Table2[[#This Row],[Member Type]]="Child"),0,
IF(_xlfn.XLOOKUP($N484,Lookups!$D$13:$D$27,Lookups!$F$13:$F$27,0)=Table2[[#This Row],[Table Lookup for Life Cover]],0,
_xlfn.XLOOKUP($N484,Lookups!$D$13:$D$27,Lookups!$F$13:$F$27,0)))</f>
        <v>0</v>
      </c>
      <c r="P484" s="284">
        <f>IF(Table2[[#This Row],[Table Lookup for Funeral]]=0,0,IFERROR(INDEX('Quotation Tool'!$S$54:$V$60,MATCH($T484,'Quotation Tool'!$S$54:$S$60,0),3),0))</f>
        <v>0</v>
      </c>
      <c r="Q484" s="288">
        <f ca="1">IF(OR(Table2[[#This Row],[Benefit Name]]="My Value Plus Life - Main Member",Table2[[#This Row],[Benefit Name]]="My Value Plus Life - Spouse"),0,
IFERROR(VLOOKUP($G484,INDIRECT($O484),$P484,FALSE),0))</f>
        <v>0</v>
      </c>
      <c r="R484" s="288">
        <f ca="1">IF(OR(Table2[[#This Row],[Benefit Name]]="My Value Plus Life - Main Member",Table2[[#This Row],[Benefit Name]]="My Value Plus Life - Spouse"),0,
IFERROR(VLOOKUP($G484,INDIRECT($O484),$P484+1,FALSE),0))</f>
        <v>0</v>
      </c>
      <c r="S484" s="289">
        <f t="shared" ca="1" si="52"/>
        <v>0</v>
      </c>
      <c r="T484" s="284" t="str">
        <f>IF(Table13[[#This Row],[Premium Waiver]]="","None",Table13[[#This Row],[Premium Waiver]])</f>
        <v>None</v>
      </c>
      <c r="U484" s="284">
        <f>Table13[[#This Row],[VAPs Options]]</f>
        <v>0</v>
      </c>
      <c r="V484" s="284">
        <f>Table13[[#This Row],[Annual Increase Option]]</f>
        <v>0</v>
      </c>
      <c r="W484" s="290">
        <f>Table13[[#This Row],[Life Cover Amount]]</f>
        <v>0</v>
      </c>
      <c r="X484" s="290">
        <f>Table13[[#This Row],[Funeral Cover Amount]]</f>
        <v>0</v>
      </c>
      <c r="Y48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8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84" s="301">
        <f t="shared" ca="1" si="53"/>
        <v>0</v>
      </c>
      <c r="AB484" s="298"/>
      <c r="AC484" s="326" t="str">
        <f>IF(Table2[[#This Row],[Member Type]]="Main Member",Lookups!$C$13,
IF(Table2[[#This Row],[Member Type]]="Spouse",_xlfn.XLOOKUP(B484,Table2[Main Member Link ID],Table2[Product Option],0),
IF(AND(Table2[[#This Row],[Member Type]]="Child",_xlfn.XLOOKUP(B484,Table2[Main Member Link ID],Table2[Product Option],0)&lt;&gt;"My Value Plus Life"),Lookups!$C$24,
IF(AND(OR(Table2[[#This Row],[Member Type]]="Parent",Table2[[#This Row],[Member Type]]="Extended"),_xlfn.XLOOKUP(B484,Table2[Main Member Link ID],Table2[Product Option],0)&lt;&gt;"My Value Plus Life"),Lookups!$C$26,""))))</f>
        <v/>
      </c>
      <c r="AD484" s="326" t="str">
        <f>IF(Table2[[#This Row],[Member Type]]="Main Member",Lookups!$C$14,"")</f>
        <v/>
      </c>
      <c r="AE48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Funeral",_xlfn.XLOOKUP(B484,Table2[Main Member Link ID],Table2[Benefit Name],0)=Lookups!$D$14),"",
IF(AND(Table2[[#This Row],[Member Type]]="Spouse",Table2[[#This Row],[Product Option]]="My Value Plus Life &amp; Funeral",_xlfn.XLOOKUP(B483,Table2[Main Member Link ID],Table2[Benefit Name],0)=Lookups!$D$15),Lookups!$D$20,
IF(AND(Table2[[#This Row],[Member Type]]="Spouse",Table2[[#This Row],[Product Option]]="My Value Plus Life &amp; Funeral",_xlfn.XLOOKUP(B483,Table2[Main Member Link ID],Table2[Benefit Name],0)=Lookups!$D$16),"",
IF(AND(Table2[[#This Row],[Member Type]]="Spouse",Table2[[#This Row],[Product Option]]="My Value Plus Life &amp; Funeral",_xlfn.XLOOKUP(B483,Table2[Main Member Link ID],Table2[Benefit Name],0)=Lookups!$D$17),Lookups!$D$21,
IF(AND(Table2[[#This Row],[Member Type]]="Child",Table2[[#This Row],[Product Option]]="My Value Plus Life &amp; Funeral",_xlfn.XLOOKUP(B484,Table2[Main Member Link ID],Table2[Benefit Name],0)=Lookups!$D$14),"",
IF(AND(Table2[[#This Row],[Member Type]]="Child",Table2[[#This Row],[Product Option]]="My Value Plus Life &amp; Funeral",_xlfn.XLOOKUP(B484,Table2[Main Member Link ID],Table2[Benefit Name],0)=Lookups!$D$15),"",
IF(AND(Table2[[#This Row],[Member Type]]="Child",Table2[[#This Row],[Product Option]]="My Value Plus Life &amp; Funeral",_xlfn.XLOOKUP(B484,Table2[Main Member Link ID],Table2[Benefit Name],0)=Lookups!$D$16),Lookups!$D$24,
IF(AND(Table2[[#This Row],[Member Type]]="Child",Table2[[#This Row],[Product Option]]="My Value Plus Life &amp; Funeral",_xlfn.XLOOKUP(B484,Table2[Main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Funeral",_xlfn.XLOOKUP(B484,Table2[Main Member Link ID],Table2[Benefit Name],0)&lt;&gt;Lookups!$D$14),
IF(_xlfn.XLOOKUP(B484,Table2[Main Member Link ID],Table2[Benefit Name],0)=0,"",_xlfn.XLOOKUP(B484,Table2[Main Member Link ID],Table2[Benefit Name],0)),"")))))))))))))))</f>
        <v/>
      </c>
      <c r="AF484" s="327" t="str">
        <f>IF(AND(Table2[[#This Row],[Member Type]]="Main Member",Table2[[#This Row],[Product Option]]="My Value Plus Life &amp; Funeral"),Lookups!$D$15,
IF(AND(Table2[[#This Row],[Member Type]]="Spouse",Table2[[#This Row],[Product Option]]="My Value Plus Life &amp; Funeral",_xlfn.XLOOKUP(B484,Table2[Main Member Link ID],Table2[Benefit Name],0)=Lookups!$D$14),"",
IF(AND(Table2[[#This Row],[Member Type]]="Spouse",Table2[[#This Row],[Product Option]]="My Value Plus Life &amp; Funeral",_xlfn.XLOOKUP(B483,Table2[Main Member Link ID],Table2[Benefit Name],0)=Lookups!$D$16),"",
IF(AND(Table2[[#This Row],[Member Type]]="Spouse",Table2[[#This Row],[Product Option]]="My Value Plus Life &amp; Funeral",_xlfn.XLOOKUP(B483,Table2[Main Member Link ID],Table2[Benefit Name],0)=Lookups!$D$15),"",
IF(AND(Table2[[#This Row],[Member Type]]="Spouse",Table2[[#This Row],[Product Option]]="My Value Plus Life &amp; Funeral",_xlfn.XLOOKUP(B483,Table2[Main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Funeral",_xlfn.XLOOKUP(B484,Table2[Main Member Link ID],Table2[Benefit Name],0)&lt;&gt;Lookups!$D$15),
IF(_xlfn.XLOOKUP(B484,Table2[Main Member Link ID],Table2[Benefit Name],0)=0,"",_xlfn.XLOOKUP(B484,Table2[Main Member Link ID],Table2[Benefit Name],0)),"")
))))))</f>
        <v/>
      </c>
      <c r="AG484" s="327" t="str">
        <f>IF(AND(Table2[[#This Row],[Member Type]]="Main Member",Table2[[#This Row],[Product Option]]="My Value Plus Life &amp; Funeral"),Lookups!$D$16,
IF(AND(Table2[[#This Row],[Member Type]]="Spouse",Table2[[#This Row],[Product Option]]="My Value Plus Life &amp; Funeral",_xlfn.XLOOKUP(B484,Table2[Main Member Link ID],Table2[Benefit Name],0)=Lookups!$D$14),"",
IF(AND(Table2[[#This Row],[Member Type]]="Spouse",Table2[[#This Row],[Product Option]]="My Value Plus Life &amp; Funeral",_xlfn.XLOOKUP(B483,Table2[Main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Funeral",_xlfn.XLOOKUP(B484,Table2[Main Member Link ID],Table2[Benefit Name],0)&lt;&gt;Lookups!$D$16),
IF(_xlfn.XLOOKUP(B484,Table2[Main Member Link ID],Table2[Benefit Name],0)=0,"",_xlfn.XLOOKUP(B484,Table2[Main Member Link ID],Table2[Benefit Name],0)),"")
))))</f>
        <v/>
      </c>
      <c r="AH484" s="327" t="str">
        <f>IF(AND(Table2[[#This Row],[Member Type]]="Main Member",Table2[[#This Row],[Product Option]]="My Value Plus Life &amp; Funeral"),Lookups!$D$17,
IF(AND(Table2[[#This Row],[Member Type]]="Spouse",Table2[[#This Row],[Product Option]]="My Value Plus Life &amp; Funeral",_xlfn.XLOOKUP(B484,Table2[Main Member Link ID],Table2[Benefit Name],0)=Lookups!$D$14),"",
IF(AND(Table2[[#This Row],[Member Type]]="Spouse",Table2[[#This Row],[Product Option]]="My Value Plus Life &amp; Funeral",_xlfn.XLOOKUP(B483,Table2[Main Member Link ID],Table2[Benefit Name],0)=Lookups!$D$16),"",
IF(AND(Table2[[#This Row],[Member Type]]="Child",Table2[[#This Row],[Product Option]]="My Value Plus Life &amp; Funeral"),"",
IF(AND(Table2[[#This Row],[Member Type]]="Child",Table2[[#This Row],[Product Option]]="My Value Plus Life &amp; Funeral",_xlfn.XLOOKUP(B484,Table2[Main Member Link ID],Table2[Benefit Name],0)=Lookups!$D$15),"",
IF(AND(OR(Table2[[#This Row],[Member Type]]="Spouse",Table2[[#This Row],[Member Type]]="Child"),Table2[[#This Row],[Product Option]]="My Value Plus Life &amp; Funeral",_xlfn.XLOOKUP(B484,Table2[Main Member Link ID],Table2[Benefit Name],0)&lt;&gt;Lookups!$D$17),
IF(_xlfn.XLOOKUP(B484,Table2[Main Member Link ID],Table2[Benefit Name],0)=0,"",_xlfn.XLOOKUP(B484,Table2[Main Member Link ID],Table2[Benefit Name],0)),""))))))</f>
        <v/>
      </c>
      <c r="AI484" s="328" t="str">
        <f>IF(AND(Table2[[#This Row],[Member Type]]="Main Member",Table2[[#This Row],[Table Lookup for Life Cover]]="MM_LIFE",Table2[[#This Row],[Age Next Birthday]]&lt;56),1,
IF(AND(Table2[[#This Row],[Member Type]]="Main Member",Table2[[#This Row],[Table Lookup for Life Cover]]="MM_LIFE",Table2[[#This Row],[Age Next Birthday]]&gt;=56),2,
""))</f>
        <v/>
      </c>
      <c r="AJ484" s="328">
        <f>IF(OR(Table2[[#This Row],[Member Type]]="Main Member",Table2[[#This Row],[Main Member Link ID]]=B483),1,0)</f>
        <v>1</v>
      </c>
      <c r="AK484" s="328">
        <f>IF(Table2[[#This Row],[Member Type]]=0,0,
IF(OR(Table2[[#This Row],[Member Type]]="Main Member",Table2[[#This Row],[Main Member Link ID]]&lt;&gt;B484),COUNTIFS(B:B,Table2[[#This Row],[Main Member Link ID]]),
COUNTIFS(B:B,Table2[[#This Row],[Main Member Link ID]],A:A,Table2[[#This Row],[Member Type]])))</f>
        <v>0</v>
      </c>
    </row>
    <row r="485" spans="1:37" x14ac:dyDescent="0.3">
      <c r="A485" s="284">
        <f>Table13[[#This Row],[Member Type]]</f>
        <v>0</v>
      </c>
      <c r="B485" s="284">
        <f>Table13[[#This Row],[Main Member Link ID]]</f>
        <v>0</v>
      </c>
      <c r="C485" s="284">
        <f>Table13[[#This Row],[ID Number]]</f>
        <v>0</v>
      </c>
      <c r="D485" s="285">
        <f>Table13[[#This Row],[Date Of Birth]]</f>
        <v>0</v>
      </c>
      <c r="E485" s="285">
        <f>Table13[[#This Row],[Commencement Date]]</f>
        <v>0</v>
      </c>
      <c r="F485" s="284">
        <f t="shared" si="49"/>
        <v>1</v>
      </c>
      <c r="G485" s="284">
        <f t="shared" si="50"/>
        <v>25</v>
      </c>
      <c r="H485" s="286">
        <f>Table13[[#This Row],[Product Option]]</f>
        <v>0</v>
      </c>
      <c r="I485" s="284">
        <f>IF(AND($A485="Main Member",Table2[[#This Row],[Product Option]]="My Value Plus Life"),"MM_LIFE",
IF(AND($A485="Spouse",Table2[[#This Row],[Product Option]]="My Value Plus Life"),"SP_LIFE",
IF(AND($A485="Main Member",Table2[[#This Row],[Product Option]]="My Value Plus Life &amp; Funeral"),"MM_LIFE",
IF(AND($A485="Spouse",Table2[[#This Row],[Product Option]]="My Value Plus Life &amp; Funeral"),_xlfn.XLOOKUP(Table2[[#This Row],[Benefit Name]],Lookups!$D$18:$D$23,Lookups!$E$18:$E$23,0),
0))))</f>
        <v>0</v>
      </c>
      <c r="J485" s="284">
        <f>IF($I485="","",
IF($I485="MM_LIFE",INDEX('Quotation Tool'!$S$54:$V$60,MATCH($T485,'Quotation Tool'!$S$54:$S$60,0),4),
IF($I485="SP_LIFE",_xlfn.XLOOKUP(B484,$B:$B,$J:$J,0),0)))</f>
        <v>0</v>
      </c>
      <c r="K485" s="287">
        <f t="shared" ca="1" si="54"/>
        <v>0</v>
      </c>
      <c r="L485" s="288">
        <f t="shared" ca="1" si="55"/>
        <v>0</v>
      </c>
      <c r="M485" s="289">
        <f t="shared" ca="1" si="51"/>
        <v>0</v>
      </c>
      <c r="N485" s="286">
        <f>Table13[[#This Row],[Benefit Option]]</f>
        <v>0</v>
      </c>
      <c r="O485" s="284">
        <f>IF(OR(Table2[[#This Row],[Member Type]]="Spouse",Table2[[#This Row],[Member Type]]="Child"),0,
IF(_xlfn.XLOOKUP($N485,Lookups!$D$13:$D$27,Lookups!$F$13:$F$27,0)=Table2[[#This Row],[Table Lookup for Life Cover]],0,
_xlfn.XLOOKUP($N485,Lookups!$D$13:$D$27,Lookups!$F$13:$F$27,0)))</f>
        <v>0</v>
      </c>
      <c r="P485" s="284">
        <f>IF(Table2[[#This Row],[Table Lookup for Funeral]]=0,0,IFERROR(INDEX('Quotation Tool'!$S$54:$V$60,MATCH($T485,'Quotation Tool'!$S$54:$S$60,0),3),0))</f>
        <v>0</v>
      </c>
      <c r="Q485" s="288">
        <f ca="1">IF(OR(Table2[[#This Row],[Benefit Name]]="My Value Plus Life - Main Member",Table2[[#This Row],[Benefit Name]]="My Value Plus Life - Spouse"),0,
IFERROR(VLOOKUP($G485,INDIRECT($O485),$P485,FALSE),0))</f>
        <v>0</v>
      </c>
      <c r="R485" s="288">
        <f ca="1">IF(OR(Table2[[#This Row],[Benefit Name]]="My Value Plus Life - Main Member",Table2[[#This Row],[Benefit Name]]="My Value Plus Life - Spouse"),0,
IFERROR(VLOOKUP($G485,INDIRECT($O485),$P485+1,FALSE),0))</f>
        <v>0</v>
      </c>
      <c r="S485" s="289">
        <f t="shared" ca="1" si="52"/>
        <v>0</v>
      </c>
      <c r="T485" s="284" t="str">
        <f>IF(Table13[[#This Row],[Premium Waiver]]="","None",Table13[[#This Row],[Premium Waiver]])</f>
        <v>None</v>
      </c>
      <c r="U485" s="284">
        <f>Table13[[#This Row],[VAPs Options]]</f>
        <v>0</v>
      </c>
      <c r="V485" s="284">
        <f>Table13[[#This Row],[Annual Increase Option]]</f>
        <v>0</v>
      </c>
      <c r="W485" s="290">
        <f>Table13[[#This Row],[Life Cover Amount]]</f>
        <v>0</v>
      </c>
      <c r="X485" s="290">
        <f>Table13[[#This Row],[Funeral Cover Amount]]</f>
        <v>0</v>
      </c>
      <c r="Y48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8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85" s="301">
        <f t="shared" ca="1" si="53"/>
        <v>0</v>
      </c>
      <c r="AB485" s="298"/>
      <c r="AC485" s="326" t="str">
        <f>IF(Table2[[#This Row],[Member Type]]="Main Member",Lookups!$C$13,
IF(Table2[[#This Row],[Member Type]]="Spouse",_xlfn.XLOOKUP(B485,Table2[Main Member Link ID],Table2[Product Option],0),
IF(AND(Table2[[#This Row],[Member Type]]="Child",_xlfn.XLOOKUP(B485,Table2[Main Member Link ID],Table2[Product Option],0)&lt;&gt;"My Value Plus Life"),Lookups!$C$24,
IF(AND(OR(Table2[[#This Row],[Member Type]]="Parent",Table2[[#This Row],[Member Type]]="Extended"),_xlfn.XLOOKUP(B485,Table2[Main Member Link ID],Table2[Product Option],0)&lt;&gt;"My Value Plus Life"),Lookups!$C$26,""))))</f>
        <v/>
      </c>
      <c r="AD485" s="326" t="str">
        <f>IF(Table2[[#This Row],[Member Type]]="Main Member",Lookups!$C$14,"")</f>
        <v/>
      </c>
      <c r="AE48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Funeral",_xlfn.XLOOKUP(B485,Table2[Main Member Link ID],Table2[Benefit Name],0)=Lookups!$D$14),"",
IF(AND(Table2[[#This Row],[Member Type]]="Spouse",Table2[[#This Row],[Product Option]]="My Value Plus Life &amp; Funeral",_xlfn.XLOOKUP(B484,Table2[Main Member Link ID],Table2[Benefit Name],0)=Lookups!$D$15),Lookups!$D$20,
IF(AND(Table2[[#This Row],[Member Type]]="Spouse",Table2[[#This Row],[Product Option]]="My Value Plus Life &amp; Funeral",_xlfn.XLOOKUP(B484,Table2[Main Member Link ID],Table2[Benefit Name],0)=Lookups!$D$16),"",
IF(AND(Table2[[#This Row],[Member Type]]="Spouse",Table2[[#This Row],[Product Option]]="My Value Plus Life &amp; Funeral",_xlfn.XLOOKUP(B484,Table2[Main Member Link ID],Table2[Benefit Name],0)=Lookups!$D$17),Lookups!$D$21,
IF(AND(Table2[[#This Row],[Member Type]]="Child",Table2[[#This Row],[Product Option]]="My Value Plus Life &amp; Funeral",_xlfn.XLOOKUP(B485,Table2[Main Member Link ID],Table2[Benefit Name],0)=Lookups!$D$14),"",
IF(AND(Table2[[#This Row],[Member Type]]="Child",Table2[[#This Row],[Product Option]]="My Value Plus Life &amp; Funeral",_xlfn.XLOOKUP(B485,Table2[Main Member Link ID],Table2[Benefit Name],0)=Lookups!$D$15),"",
IF(AND(Table2[[#This Row],[Member Type]]="Child",Table2[[#This Row],[Product Option]]="My Value Plus Life &amp; Funeral",_xlfn.XLOOKUP(B485,Table2[Main Member Link ID],Table2[Benefit Name],0)=Lookups!$D$16),Lookups!$D$24,
IF(AND(Table2[[#This Row],[Member Type]]="Child",Table2[[#This Row],[Product Option]]="My Value Plus Life &amp; Funeral",_xlfn.XLOOKUP(B485,Table2[Main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Funeral",_xlfn.XLOOKUP(B485,Table2[Main Member Link ID],Table2[Benefit Name],0)&lt;&gt;Lookups!$D$14),
IF(_xlfn.XLOOKUP(B485,Table2[Main Member Link ID],Table2[Benefit Name],0)=0,"",_xlfn.XLOOKUP(B485,Table2[Main Member Link ID],Table2[Benefit Name],0)),"")))))))))))))))</f>
        <v/>
      </c>
      <c r="AF485" s="327" t="str">
        <f>IF(AND(Table2[[#This Row],[Member Type]]="Main Member",Table2[[#This Row],[Product Option]]="My Value Plus Life &amp; Funeral"),Lookups!$D$15,
IF(AND(Table2[[#This Row],[Member Type]]="Spouse",Table2[[#This Row],[Product Option]]="My Value Plus Life &amp; Funeral",_xlfn.XLOOKUP(B485,Table2[Main Member Link ID],Table2[Benefit Name],0)=Lookups!$D$14),"",
IF(AND(Table2[[#This Row],[Member Type]]="Spouse",Table2[[#This Row],[Product Option]]="My Value Plus Life &amp; Funeral",_xlfn.XLOOKUP(B484,Table2[Main Member Link ID],Table2[Benefit Name],0)=Lookups!$D$16),"",
IF(AND(Table2[[#This Row],[Member Type]]="Spouse",Table2[[#This Row],[Product Option]]="My Value Plus Life &amp; Funeral",_xlfn.XLOOKUP(B484,Table2[Main Member Link ID],Table2[Benefit Name],0)=Lookups!$D$15),"",
IF(AND(Table2[[#This Row],[Member Type]]="Spouse",Table2[[#This Row],[Product Option]]="My Value Plus Life &amp; Funeral",_xlfn.XLOOKUP(B484,Table2[Main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Funeral",_xlfn.XLOOKUP(B485,Table2[Main Member Link ID],Table2[Benefit Name],0)&lt;&gt;Lookups!$D$15),
IF(_xlfn.XLOOKUP(B485,Table2[Main Member Link ID],Table2[Benefit Name],0)=0,"",_xlfn.XLOOKUP(B485,Table2[Main Member Link ID],Table2[Benefit Name],0)),"")
))))))</f>
        <v/>
      </c>
      <c r="AG485" s="327" t="str">
        <f>IF(AND(Table2[[#This Row],[Member Type]]="Main Member",Table2[[#This Row],[Product Option]]="My Value Plus Life &amp; Funeral"),Lookups!$D$16,
IF(AND(Table2[[#This Row],[Member Type]]="Spouse",Table2[[#This Row],[Product Option]]="My Value Plus Life &amp; Funeral",_xlfn.XLOOKUP(B485,Table2[Main Member Link ID],Table2[Benefit Name],0)=Lookups!$D$14),"",
IF(AND(Table2[[#This Row],[Member Type]]="Spouse",Table2[[#This Row],[Product Option]]="My Value Plus Life &amp; Funeral",_xlfn.XLOOKUP(B484,Table2[Main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Funeral",_xlfn.XLOOKUP(B485,Table2[Main Member Link ID],Table2[Benefit Name],0)&lt;&gt;Lookups!$D$16),
IF(_xlfn.XLOOKUP(B485,Table2[Main Member Link ID],Table2[Benefit Name],0)=0,"",_xlfn.XLOOKUP(B485,Table2[Main Member Link ID],Table2[Benefit Name],0)),"")
))))</f>
        <v/>
      </c>
      <c r="AH485" s="327" t="str">
        <f>IF(AND(Table2[[#This Row],[Member Type]]="Main Member",Table2[[#This Row],[Product Option]]="My Value Plus Life &amp; Funeral"),Lookups!$D$17,
IF(AND(Table2[[#This Row],[Member Type]]="Spouse",Table2[[#This Row],[Product Option]]="My Value Plus Life &amp; Funeral",_xlfn.XLOOKUP(B485,Table2[Main Member Link ID],Table2[Benefit Name],0)=Lookups!$D$14),"",
IF(AND(Table2[[#This Row],[Member Type]]="Spouse",Table2[[#This Row],[Product Option]]="My Value Plus Life &amp; Funeral",_xlfn.XLOOKUP(B484,Table2[Main Member Link ID],Table2[Benefit Name],0)=Lookups!$D$16),"",
IF(AND(Table2[[#This Row],[Member Type]]="Child",Table2[[#This Row],[Product Option]]="My Value Plus Life &amp; Funeral"),"",
IF(AND(Table2[[#This Row],[Member Type]]="Child",Table2[[#This Row],[Product Option]]="My Value Plus Life &amp; Funeral",_xlfn.XLOOKUP(B485,Table2[Main Member Link ID],Table2[Benefit Name],0)=Lookups!$D$15),"",
IF(AND(OR(Table2[[#This Row],[Member Type]]="Spouse",Table2[[#This Row],[Member Type]]="Child"),Table2[[#This Row],[Product Option]]="My Value Plus Life &amp; Funeral",_xlfn.XLOOKUP(B485,Table2[Main Member Link ID],Table2[Benefit Name],0)&lt;&gt;Lookups!$D$17),
IF(_xlfn.XLOOKUP(B485,Table2[Main Member Link ID],Table2[Benefit Name],0)=0,"",_xlfn.XLOOKUP(B485,Table2[Main Member Link ID],Table2[Benefit Name],0)),""))))))</f>
        <v/>
      </c>
      <c r="AI485" s="328" t="str">
        <f>IF(AND(Table2[[#This Row],[Member Type]]="Main Member",Table2[[#This Row],[Table Lookup for Life Cover]]="MM_LIFE",Table2[[#This Row],[Age Next Birthday]]&lt;56),1,
IF(AND(Table2[[#This Row],[Member Type]]="Main Member",Table2[[#This Row],[Table Lookup for Life Cover]]="MM_LIFE",Table2[[#This Row],[Age Next Birthday]]&gt;=56),2,
""))</f>
        <v/>
      </c>
      <c r="AJ485" s="328">
        <f>IF(OR(Table2[[#This Row],[Member Type]]="Main Member",Table2[[#This Row],[Main Member Link ID]]=B484),1,0)</f>
        <v>1</v>
      </c>
      <c r="AK485" s="328">
        <f>IF(Table2[[#This Row],[Member Type]]=0,0,
IF(OR(Table2[[#This Row],[Member Type]]="Main Member",Table2[[#This Row],[Main Member Link ID]]&lt;&gt;B485),COUNTIFS(B:B,Table2[[#This Row],[Main Member Link ID]]),
COUNTIFS(B:B,Table2[[#This Row],[Main Member Link ID]],A:A,Table2[[#This Row],[Member Type]])))</f>
        <v>0</v>
      </c>
    </row>
    <row r="486" spans="1:37" x14ac:dyDescent="0.3">
      <c r="A486" s="284">
        <f>Table13[[#This Row],[Member Type]]</f>
        <v>0</v>
      </c>
      <c r="B486" s="284">
        <f>Table13[[#This Row],[Main Member Link ID]]</f>
        <v>0</v>
      </c>
      <c r="C486" s="284">
        <f>Table13[[#This Row],[ID Number]]</f>
        <v>0</v>
      </c>
      <c r="D486" s="285">
        <f>Table13[[#This Row],[Date Of Birth]]</f>
        <v>0</v>
      </c>
      <c r="E486" s="285">
        <f>Table13[[#This Row],[Commencement Date]]</f>
        <v>0</v>
      </c>
      <c r="F486" s="284">
        <f t="shared" si="49"/>
        <v>1</v>
      </c>
      <c r="G486" s="284">
        <f t="shared" si="50"/>
        <v>25</v>
      </c>
      <c r="H486" s="286">
        <f>Table13[[#This Row],[Product Option]]</f>
        <v>0</v>
      </c>
      <c r="I486" s="284">
        <f>IF(AND($A486="Main Member",Table2[[#This Row],[Product Option]]="My Value Plus Life"),"MM_LIFE",
IF(AND($A486="Spouse",Table2[[#This Row],[Product Option]]="My Value Plus Life"),"SP_LIFE",
IF(AND($A486="Main Member",Table2[[#This Row],[Product Option]]="My Value Plus Life &amp; Funeral"),"MM_LIFE",
IF(AND($A486="Spouse",Table2[[#This Row],[Product Option]]="My Value Plus Life &amp; Funeral"),_xlfn.XLOOKUP(Table2[[#This Row],[Benefit Name]],Lookups!$D$18:$D$23,Lookups!$E$18:$E$23,0),
0))))</f>
        <v>0</v>
      </c>
      <c r="J486" s="284">
        <f>IF($I486="","",
IF($I486="MM_LIFE",INDEX('Quotation Tool'!$S$54:$V$60,MATCH($T486,'Quotation Tool'!$S$54:$S$60,0),4),
IF($I486="SP_LIFE",_xlfn.XLOOKUP(B485,$B:$B,$J:$J,0),0)))</f>
        <v>0</v>
      </c>
      <c r="K486" s="287">
        <f t="shared" ca="1" si="54"/>
        <v>0</v>
      </c>
      <c r="L486" s="288">
        <f t="shared" ca="1" si="55"/>
        <v>0</v>
      </c>
      <c r="M486" s="289">
        <f t="shared" ca="1" si="51"/>
        <v>0</v>
      </c>
      <c r="N486" s="286">
        <f>Table13[[#This Row],[Benefit Option]]</f>
        <v>0</v>
      </c>
      <c r="O486" s="284">
        <f>IF(OR(Table2[[#This Row],[Member Type]]="Spouse",Table2[[#This Row],[Member Type]]="Child"),0,
IF(_xlfn.XLOOKUP($N486,Lookups!$D$13:$D$27,Lookups!$F$13:$F$27,0)=Table2[[#This Row],[Table Lookup for Life Cover]],0,
_xlfn.XLOOKUP($N486,Lookups!$D$13:$D$27,Lookups!$F$13:$F$27,0)))</f>
        <v>0</v>
      </c>
      <c r="P486" s="284">
        <f>IF(Table2[[#This Row],[Table Lookup for Funeral]]=0,0,IFERROR(INDEX('Quotation Tool'!$S$54:$V$60,MATCH($T486,'Quotation Tool'!$S$54:$S$60,0),3),0))</f>
        <v>0</v>
      </c>
      <c r="Q486" s="288">
        <f ca="1">IF(OR(Table2[[#This Row],[Benefit Name]]="My Value Plus Life - Main Member",Table2[[#This Row],[Benefit Name]]="My Value Plus Life - Spouse"),0,
IFERROR(VLOOKUP($G486,INDIRECT($O486),$P486,FALSE),0))</f>
        <v>0</v>
      </c>
      <c r="R486" s="288">
        <f ca="1">IF(OR(Table2[[#This Row],[Benefit Name]]="My Value Plus Life - Main Member",Table2[[#This Row],[Benefit Name]]="My Value Plus Life - Spouse"),0,
IFERROR(VLOOKUP($G486,INDIRECT($O486),$P486+1,FALSE),0))</f>
        <v>0</v>
      </c>
      <c r="S486" s="289">
        <f t="shared" ca="1" si="52"/>
        <v>0</v>
      </c>
      <c r="T486" s="284" t="str">
        <f>IF(Table13[[#This Row],[Premium Waiver]]="","None",Table13[[#This Row],[Premium Waiver]])</f>
        <v>None</v>
      </c>
      <c r="U486" s="284">
        <f>Table13[[#This Row],[VAPs Options]]</f>
        <v>0</v>
      </c>
      <c r="V486" s="284">
        <f>Table13[[#This Row],[Annual Increase Option]]</f>
        <v>0</v>
      </c>
      <c r="W486" s="290">
        <f>Table13[[#This Row],[Life Cover Amount]]</f>
        <v>0</v>
      </c>
      <c r="X486" s="290">
        <f>Table13[[#This Row],[Funeral Cover Amount]]</f>
        <v>0</v>
      </c>
      <c r="Y48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8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86" s="301">
        <f t="shared" ca="1" si="53"/>
        <v>0</v>
      </c>
      <c r="AB486" s="298"/>
      <c r="AC486" s="326" t="str">
        <f>IF(Table2[[#This Row],[Member Type]]="Main Member",Lookups!$C$13,
IF(Table2[[#This Row],[Member Type]]="Spouse",_xlfn.XLOOKUP(B486,Table2[Main Member Link ID],Table2[Product Option],0),
IF(AND(Table2[[#This Row],[Member Type]]="Child",_xlfn.XLOOKUP(B486,Table2[Main Member Link ID],Table2[Product Option],0)&lt;&gt;"My Value Plus Life"),Lookups!$C$24,
IF(AND(OR(Table2[[#This Row],[Member Type]]="Parent",Table2[[#This Row],[Member Type]]="Extended"),_xlfn.XLOOKUP(B486,Table2[Main Member Link ID],Table2[Product Option],0)&lt;&gt;"My Value Plus Life"),Lookups!$C$26,""))))</f>
        <v/>
      </c>
      <c r="AD486" s="326" t="str">
        <f>IF(Table2[[#This Row],[Member Type]]="Main Member",Lookups!$C$14,"")</f>
        <v/>
      </c>
      <c r="AE48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Funeral",_xlfn.XLOOKUP(B486,Table2[Main Member Link ID],Table2[Benefit Name],0)=Lookups!$D$14),"",
IF(AND(Table2[[#This Row],[Member Type]]="Spouse",Table2[[#This Row],[Product Option]]="My Value Plus Life &amp; Funeral",_xlfn.XLOOKUP(B485,Table2[Main Member Link ID],Table2[Benefit Name],0)=Lookups!$D$15),Lookups!$D$20,
IF(AND(Table2[[#This Row],[Member Type]]="Spouse",Table2[[#This Row],[Product Option]]="My Value Plus Life &amp; Funeral",_xlfn.XLOOKUP(B485,Table2[Main Member Link ID],Table2[Benefit Name],0)=Lookups!$D$16),"",
IF(AND(Table2[[#This Row],[Member Type]]="Spouse",Table2[[#This Row],[Product Option]]="My Value Plus Life &amp; Funeral",_xlfn.XLOOKUP(B485,Table2[Main Member Link ID],Table2[Benefit Name],0)=Lookups!$D$17),Lookups!$D$21,
IF(AND(Table2[[#This Row],[Member Type]]="Child",Table2[[#This Row],[Product Option]]="My Value Plus Life &amp; Funeral",_xlfn.XLOOKUP(B486,Table2[Main Member Link ID],Table2[Benefit Name],0)=Lookups!$D$14),"",
IF(AND(Table2[[#This Row],[Member Type]]="Child",Table2[[#This Row],[Product Option]]="My Value Plus Life &amp; Funeral",_xlfn.XLOOKUP(B486,Table2[Main Member Link ID],Table2[Benefit Name],0)=Lookups!$D$15),"",
IF(AND(Table2[[#This Row],[Member Type]]="Child",Table2[[#This Row],[Product Option]]="My Value Plus Life &amp; Funeral",_xlfn.XLOOKUP(B486,Table2[Main Member Link ID],Table2[Benefit Name],0)=Lookups!$D$16),Lookups!$D$24,
IF(AND(Table2[[#This Row],[Member Type]]="Child",Table2[[#This Row],[Product Option]]="My Value Plus Life &amp; Funeral",_xlfn.XLOOKUP(B486,Table2[Main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Funeral",_xlfn.XLOOKUP(B486,Table2[Main Member Link ID],Table2[Benefit Name],0)&lt;&gt;Lookups!$D$14),
IF(_xlfn.XLOOKUP(B486,Table2[Main Member Link ID],Table2[Benefit Name],0)=0,"",_xlfn.XLOOKUP(B486,Table2[Main Member Link ID],Table2[Benefit Name],0)),"")))))))))))))))</f>
        <v/>
      </c>
      <c r="AF486" s="327" t="str">
        <f>IF(AND(Table2[[#This Row],[Member Type]]="Main Member",Table2[[#This Row],[Product Option]]="My Value Plus Life &amp; Funeral"),Lookups!$D$15,
IF(AND(Table2[[#This Row],[Member Type]]="Spouse",Table2[[#This Row],[Product Option]]="My Value Plus Life &amp; Funeral",_xlfn.XLOOKUP(B486,Table2[Main Member Link ID],Table2[Benefit Name],0)=Lookups!$D$14),"",
IF(AND(Table2[[#This Row],[Member Type]]="Spouse",Table2[[#This Row],[Product Option]]="My Value Plus Life &amp; Funeral",_xlfn.XLOOKUP(B485,Table2[Main Member Link ID],Table2[Benefit Name],0)=Lookups!$D$16),"",
IF(AND(Table2[[#This Row],[Member Type]]="Spouse",Table2[[#This Row],[Product Option]]="My Value Plus Life &amp; Funeral",_xlfn.XLOOKUP(B485,Table2[Main Member Link ID],Table2[Benefit Name],0)=Lookups!$D$15),"",
IF(AND(Table2[[#This Row],[Member Type]]="Spouse",Table2[[#This Row],[Product Option]]="My Value Plus Life &amp; Funeral",_xlfn.XLOOKUP(B485,Table2[Main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Funeral",_xlfn.XLOOKUP(B486,Table2[Main Member Link ID],Table2[Benefit Name],0)&lt;&gt;Lookups!$D$15),
IF(_xlfn.XLOOKUP(B486,Table2[Main Member Link ID],Table2[Benefit Name],0)=0,"",_xlfn.XLOOKUP(B486,Table2[Main Member Link ID],Table2[Benefit Name],0)),"")
))))))</f>
        <v/>
      </c>
      <c r="AG486" s="327" t="str">
        <f>IF(AND(Table2[[#This Row],[Member Type]]="Main Member",Table2[[#This Row],[Product Option]]="My Value Plus Life &amp; Funeral"),Lookups!$D$16,
IF(AND(Table2[[#This Row],[Member Type]]="Spouse",Table2[[#This Row],[Product Option]]="My Value Plus Life &amp; Funeral",_xlfn.XLOOKUP(B486,Table2[Main Member Link ID],Table2[Benefit Name],0)=Lookups!$D$14),"",
IF(AND(Table2[[#This Row],[Member Type]]="Spouse",Table2[[#This Row],[Product Option]]="My Value Plus Life &amp; Funeral",_xlfn.XLOOKUP(B485,Table2[Main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Funeral",_xlfn.XLOOKUP(B486,Table2[Main Member Link ID],Table2[Benefit Name],0)&lt;&gt;Lookups!$D$16),
IF(_xlfn.XLOOKUP(B486,Table2[Main Member Link ID],Table2[Benefit Name],0)=0,"",_xlfn.XLOOKUP(B486,Table2[Main Member Link ID],Table2[Benefit Name],0)),"")
))))</f>
        <v/>
      </c>
      <c r="AH486" s="327" t="str">
        <f>IF(AND(Table2[[#This Row],[Member Type]]="Main Member",Table2[[#This Row],[Product Option]]="My Value Plus Life &amp; Funeral"),Lookups!$D$17,
IF(AND(Table2[[#This Row],[Member Type]]="Spouse",Table2[[#This Row],[Product Option]]="My Value Plus Life &amp; Funeral",_xlfn.XLOOKUP(B486,Table2[Main Member Link ID],Table2[Benefit Name],0)=Lookups!$D$14),"",
IF(AND(Table2[[#This Row],[Member Type]]="Spouse",Table2[[#This Row],[Product Option]]="My Value Plus Life &amp; Funeral",_xlfn.XLOOKUP(B485,Table2[Main Member Link ID],Table2[Benefit Name],0)=Lookups!$D$16),"",
IF(AND(Table2[[#This Row],[Member Type]]="Child",Table2[[#This Row],[Product Option]]="My Value Plus Life &amp; Funeral"),"",
IF(AND(Table2[[#This Row],[Member Type]]="Child",Table2[[#This Row],[Product Option]]="My Value Plus Life &amp; Funeral",_xlfn.XLOOKUP(B486,Table2[Main Member Link ID],Table2[Benefit Name],0)=Lookups!$D$15),"",
IF(AND(OR(Table2[[#This Row],[Member Type]]="Spouse",Table2[[#This Row],[Member Type]]="Child"),Table2[[#This Row],[Product Option]]="My Value Plus Life &amp; Funeral",_xlfn.XLOOKUP(B486,Table2[Main Member Link ID],Table2[Benefit Name],0)&lt;&gt;Lookups!$D$17),
IF(_xlfn.XLOOKUP(B486,Table2[Main Member Link ID],Table2[Benefit Name],0)=0,"",_xlfn.XLOOKUP(B486,Table2[Main Member Link ID],Table2[Benefit Name],0)),""))))))</f>
        <v/>
      </c>
      <c r="AI486" s="328" t="str">
        <f>IF(AND(Table2[[#This Row],[Member Type]]="Main Member",Table2[[#This Row],[Table Lookup for Life Cover]]="MM_LIFE",Table2[[#This Row],[Age Next Birthday]]&lt;56),1,
IF(AND(Table2[[#This Row],[Member Type]]="Main Member",Table2[[#This Row],[Table Lookup for Life Cover]]="MM_LIFE",Table2[[#This Row],[Age Next Birthday]]&gt;=56),2,
""))</f>
        <v/>
      </c>
      <c r="AJ486" s="328">
        <f>IF(OR(Table2[[#This Row],[Member Type]]="Main Member",Table2[[#This Row],[Main Member Link ID]]=B485),1,0)</f>
        <v>1</v>
      </c>
      <c r="AK486" s="328">
        <f>IF(Table2[[#This Row],[Member Type]]=0,0,
IF(OR(Table2[[#This Row],[Member Type]]="Main Member",Table2[[#This Row],[Main Member Link ID]]&lt;&gt;B486),COUNTIFS(B:B,Table2[[#This Row],[Main Member Link ID]]),
COUNTIFS(B:B,Table2[[#This Row],[Main Member Link ID]],A:A,Table2[[#This Row],[Member Type]])))</f>
        <v>0</v>
      </c>
    </row>
    <row r="487" spans="1:37" x14ac:dyDescent="0.3">
      <c r="A487" s="284">
        <f>Table13[[#This Row],[Member Type]]</f>
        <v>0</v>
      </c>
      <c r="B487" s="284">
        <f>Table13[[#This Row],[Main Member Link ID]]</f>
        <v>0</v>
      </c>
      <c r="C487" s="284">
        <f>Table13[[#This Row],[ID Number]]</f>
        <v>0</v>
      </c>
      <c r="D487" s="285">
        <f>Table13[[#This Row],[Date Of Birth]]</f>
        <v>0</v>
      </c>
      <c r="E487" s="285">
        <f>Table13[[#This Row],[Commencement Date]]</f>
        <v>0</v>
      </c>
      <c r="F487" s="284">
        <f t="shared" si="49"/>
        <v>1</v>
      </c>
      <c r="G487" s="284">
        <f t="shared" si="50"/>
        <v>25</v>
      </c>
      <c r="H487" s="286">
        <f>Table13[[#This Row],[Product Option]]</f>
        <v>0</v>
      </c>
      <c r="I487" s="284">
        <f>IF(AND($A487="Main Member",Table2[[#This Row],[Product Option]]="My Value Plus Life"),"MM_LIFE",
IF(AND($A487="Spouse",Table2[[#This Row],[Product Option]]="My Value Plus Life"),"SP_LIFE",
IF(AND($A487="Main Member",Table2[[#This Row],[Product Option]]="My Value Plus Life &amp; Funeral"),"MM_LIFE",
IF(AND($A487="Spouse",Table2[[#This Row],[Product Option]]="My Value Plus Life &amp; Funeral"),_xlfn.XLOOKUP(Table2[[#This Row],[Benefit Name]],Lookups!$D$18:$D$23,Lookups!$E$18:$E$23,0),
0))))</f>
        <v>0</v>
      </c>
      <c r="J487" s="284">
        <f>IF($I487="","",
IF($I487="MM_LIFE",INDEX('Quotation Tool'!$S$54:$V$60,MATCH($T487,'Quotation Tool'!$S$54:$S$60,0),4),
IF($I487="SP_LIFE",_xlfn.XLOOKUP(B486,$B:$B,$J:$J,0),0)))</f>
        <v>0</v>
      </c>
      <c r="K487" s="287">
        <f t="shared" ca="1" si="54"/>
        <v>0</v>
      </c>
      <c r="L487" s="288">
        <f t="shared" ca="1" si="55"/>
        <v>0</v>
      </c>
      <c r="M487" s="289">
        <f t="shared" ca="1" si="51"/>
        <v>0</v>
      </c>
      <c r="N487" s="286">
        <f>Table13[[#This Row],[Benefit Option]]</f>
        <v>0</v>
      </c>
      <c r="O487" s="284">
        <f>IF(OR(Table2[[#This Row],[Member Type]]="Spouse",Table2[[#This Row],[Member Type]]="Child"),0,
IF(_xlfn.XLOOKUP($N487,Lookups!$D$13:$D$27,Lookups!$F$13:$F$27,0)=Table2[[#This Row],[Table Lookup for Life Cover]],0,
_xlfn.XLOOKUP($N487,Lookups!$D$13:$D$27,Lookups!$F$13:$F$27,0)))</f>
        <v>0</v>
      </c>
      <c r="P487" s="284">
        <f>IF(Table2[[#This Row],[Table Lookup for Funeral]]=0,0,IFERROR(INDEX('Quotation Tool'!$S$54:$V$60,MATCH($T487,'Quotation Tool'!$S$54:$S$60,0),3),0))</f>
        <v>0</v>
      </c>
      <c r="Q487" s="288">
        <f ca="1">IF(OR(Table2[[#This Row],[Benefit Name]]="My Value Plus Life - Main Member",Table2[[#This Row],[Benefit Name]]="My Value Plus Life - Spouse"),0,
IFERROR(VLOOKUP($G487,INDIRECT($O487),$P487,FALSE),0))</f>
        <v>0</v>
      </c>
      <c r="R487" s="288">
        <f ca="1">IF(OR(Table2[[#This Row],[Benefit Name]]="My Value Plus Life - Main Member",Table2[[#This Row],[Benefit Name]]="My Value Plus Life - Spouse"),0,
IFERROR(VLOOKUP($G487,INDIRECT($O487),$P487+1,FALSE),0))</f>
        <v>0</v>
      </c>
      <c r="S487" s="289">
        <f t="shared" ca="1" si="52"/>
        <v>0</v>
      </c>
      <c r="T487" s="284" t="str">
        <f>IF(Table13[[#This Row],[Premium Waiver]]="","None",Table13[[#This Row],[Premium Waiver]])</f>
        <v>None</v>
      </c>
      <c r="U487" s="284">
        <f>Table13[[#This Row],[VAPs Options]]</f>
        <v>0</v>
      </c>
      <c r="V487" s="284">
        <f>Table13[[#This Row],[Annual Increase Option]]</f>
        <v>0</v>
      </c>
      <c r="W487" s="290">
        <f>Table13[[#This Row],[Life Cover Amount]]</f>
        <v>0</v>
      </c>
      <c r="X487" s="290">
        <f>Table13[[#This Row],[Funeral Cover Amount]]</f>
        <v>0</v>
      </c>
      <c r="Y48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8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87" s="301">
        <f t="shared" ca="1" si="53"/>
        <v>0</v>
      </c>
      <c r="AB487" s="298"/>
      <c r="AC487" s="326" t="str">
        <f>IF(Table2[[#This Row],[Member Type]]="Main Member",Lookups!$C$13,
IF(Table2[[#This Row],[Member Type]]="Spouse",_xlfn.XLOOKUP(B487,Table2[Main Member Link ID],Table2[Product Option],0),
IF(AND(Table2[[#This Row],[Member Type]]="Child",_xlfn.XLOOKUP(B487,Table2[Main Member Link ID],Table2[Product Option],0)&lt;&gt;"My Value Plus Life"),Lookups!$C$24,
IF(AND(OR(Table2[[#This Row],[Member Type]]="Parent",Table2[[#This Row],[Member Type]]="Extended"),_xlfn.XLOOKUP(B487,Table2[Main Member Link ID],Table2[Product Option],0)&lt;&gt;"My Value Plus Life"),Lookups!$C$26,""))))</f>
        <v/>
      </c>
      <c r="AD487" s="326" t="str">
        <f>IF(Table2[[#This Row],[Member Type]]="Main Member",Lookups!$C$14,"")</f>
        <v/>
      </c>
      <c r="AE48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Funeral",_xlfn.XLOOKUP(B487,Table2[Main Member Link ID],Table2[Benefit Name],0)=Lookups!$D$14),"",
IF(AND(Table2[[#This Row],[Member Type]]="Spouse",Table2[[#This Row],[Product Option]]="My Value Plus Life &amp; Funeral",_xlfn.XLOOKUP(B486,Table2[Main Member Link ID],Table2[Benefit Name],0)=Lookups!$D$15),Lookups!$D$20,
IF(AND(Table2[[#This Row],[Member Type]]="Spouse",Table2[[#This Row],[Product Option]]="My Value Plus Life &amp; Funeral",_xlfn.XLOOKUP(B486,Table2[Main Member Link ID],Table2[Benefit Name],0)=Lookups!$D$16),"",
IF(AND(Table2[[#This Row],[Member Type]]="Spouse",Table2[[#This Row],[Product Option]]="My Value Plus Life &amp; Funeral",_xlfn.XLOOKUP(B486,Table2[Main Member Link ID],Table2[Benefit Name],0)=Lookups!$D$17),Lookups!$D$21,
IF(AND(Table2[[#This Row],[Member Type]]="Child",Table2[[#This Row],[Product Option]]="My Value Plus Life &amp; Funeral",_xlfn.XLOOKUP(B487,Table2[Main Member Link ID],Table2[Benefit Name],0)=Lookups!$D$14),"",
IF(AND(Table2[[#This Row],[Member Type]]="Child",Table2[[#This Row],[Product Option]]="My Value Plus Life &amp; Funeral",_xlfn.XLOOKUP(B487,Table2[Main Member Link ID],Table2[Benefit Name],0)=Lookups!$D$15),"",
IF(AND(Table2[[#This Row],[Member Type]]="Child",Table2[[#This Row],[Product Option]]="My Value Plus Life &amp; Funeral",_xlfn.XLOOKUP(B487,Table2[Main Member Link ID],Table2[Benefit Name],0)=Lookups!$D$16),Lookups!$D$24,
IF(AND(Table2[[#This Row],[Member Type]]="Child",Table2[[#This Row],[Product Option]]="My Value Plus Life &amp; Funeral",_xlfn.XLOOKUP(B487,Table2[Main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Funeral",_xlfn.XLOOKUP(B487,Table2[Main Member Link ID],Table2[Benefit Name],0)&lt;&gt;Lookups!$D$14),
IF(_xlfn.XLOOKUP(B487,Table2[Main Member Link ID],Table2[Benefit Name],0)=0,"",_xlfn.XLOOKUP(B487,Table2[Main Member Link ID],Table2[Benefit Name],0)),"")))))))))))))))</f>
        <v/>
      </c>
      <c r="AF487" s="327" t="str">
        <f>IF(AND(Table2[[#This Row],[Member Type]]="Main Member",Table2[[#This Row],[Product Option]]="My Value Plus Life &amp; Funeral"),Lookups!$D$15,
IF(AND(Table2[[#This Row],[Member Type]]="Spouse",Table2[[#This Row],[Product Option]]="My Value Plus Life &amp; Funeral",_xlfn.XLOOKUP(B487,Table2[Main Member Link ID],Table2[Benefit Name],0)=Lookups!$D$14),"",
IF(AND(Table2[[#This Row],[Member Type]]="Spouse",Table2[[#This Row],[Product Option]]="My Value Plus Life &amp; Funeral",_xlfn.XLOOKUP(B486,Table2[Main Member Link ID],Table2[Benefit Name],0)=Lookups!$D$16),"",
IF(AND(Table2[[#This Row],[Member Type]]="Spouse",Table2[[#This Row],[Product Option]]="My Value Plus Life &amp; Funeral",_xlfn.XLOOKUP(B486,Table2[Main Member Link ID],Table2[Benefit Name],0)=Lookups!$D$15),"",
IF(AND(Table2[[#This Row],[Member Type]]="Spouse",Table2[[#This Row],[Product Option]]="My Value Plus Life &amp; Funeral",_xlfn.XLOOKUP(B486,Table2[Main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Funeral",_xlfn.XLOOKUP(B487,Table2[Main Member Link ID],Table2[Benefit Name],0)&lt;&gt;Lookups!$D$15),
IF(_xlfn.XLOOKUP(B487,Table2[Main Member Link ID],Table2[Benefit Name],0)=0,"",_xlfn.XLOOKUP(B487,Table2[Main Member Link ID],Table2[Benefit Name],0)),"")
))))))</f>
        <v/>
      </c>
      <c r="AG487" s="327" t="str">
        <f>IF(AND(Table2[[#This Row],[Member Type]]="Main Member",Table2[[#This Row],[Product Option]]="My Value Plus Life &amp; Funeral"),Lookups!$D$16,
IF(AND(Table2[[#This Row],[Member Type]]="Spouse",Table2[[#This Row],[Product Option]]="My Value Plus Life &amp; Funeral",_xlfn.XLOOKUP(B487,Table2[Main Member Link ID],Table2[Benefit Name],0)=Lookups!$D$14),"",
IF(AND(Table2[[#This Row],[Member Type]]="Spouse",Table2[[#This Row],[Product Option]]="My Value Plus Life &amp; Funeral",_xlfn.XLOOKUP(B486,Table2[Main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Funeral",_xlfn.XLOOKUP(B487,Table2[Main Member Link ID],Table2[Benefit Name],0)&lt;&gt;Lookups!$D$16),
IF(_xlfn.XLOOKUP(B487,Table2[Main Member Link ID],Table2[Benefit Name],0)=0,"",_xlfn.XLOOKUP(B487,Table2[Main Member Link ID],Table2[Benefit Name],0)),"")
))))</f>
        <v/>
      </c>
      <c r="AH487" s="327" t="str">
        <f>IF(AND(Table2[[#This Row],[Member Type]]="Main Member",Table2[[#This Row],[Product Option]]="My Value Plus Life &amp; Funeral"),Lookups!$D$17,
IF(AND(Table2[[#This Row],[Member Type]]="Spouse",Table2[[#This Row],[Product Option]]="My Value Plus Life &amp; Funeral",_xlfn.XLOOKUP(B487,Table2[Main Member Link ID],Table2[Benefit Name],0)=Lookups!$D$14),"",
IF(AND(Table2[[#This Row],[Member Type]]="Spouse",Table2[[#This Row],[Product Option]]="My Value Plus Life &amp; Funeral",_xlfn.XLOOKUP(B486,Table2[Main Member Link ID],Table2[Benefit Name],0)=Lookups!$D$16),"",
IF(AND(Table2[[#This Row],[Member Type]]="Child",Table2[[#This Row],[Product Option]]="My Value Plus Life &amp; Funeral"),"",
IF(AND(Table2[[#This Row],[Member Type]]="Child",Table2[[#This Row],[Product Option]]="My Value Plus Life &amp; Funeral",_xlfn.XLOOKUP(B487,Table2[Main Member Link ID],Table2[Benefit Name],0)=Lookups!$D$15),"",
IF(AND(OR(Table2[[#This Row],[Member Type]]="Spouse",Table2[[#This Row],[Member Type]]="Child"),Table2[[#This Row],[Product Option]]="My Value Plus Life &amp; Funeral",_xlfn.XLOOKUP(B487,Table2[Main Member Link ID],Table2[Benefit Name],0)&lt;&gt;Lookups!$D$17),
IF(_xlfn.XLOOKUP(B487,Table2[Main Member Link ID],Table2[Benefit Name],0)=0,"",_xlfn.XLOOKUP(B487,Table2[Main Member Link ID],Table2[Benefit Name],0)),""))))))</f>
        <v/>
      </c>
      <c r="AI487" s="328" t="str">
        <f>IF(AND(Table2[[#This Row],[Member Type]]="Main Member",Table2[[#This Row],[Table Lookup for Life Cover]]="MM_LIFE",Table2[[#This Row],[Age Next Birthday]]&lt;56),1,
IF(AND(Table2[[#This Row],[Member Type]]="Main Member",Table2[[#This Row],[Table Lookup for Life Cover]]="MM_LIFE",Table2[[#This Row],[Age Next Birthday]]&gt;=56),2,
""))</f>
        <v/>
      </c>
      <c r="AJ487" s="328">
        <f>IF(OR(Table2[[#This Row],[Member Type]]="Main Member",Table2[[#This Row],[Main Member Link ID]]=B486),1,0)</f>
        <v>1</v>
      </c>
      <c r="AK487" s="328">
        <f>IF(Table2[[#This Row],[Member Type]]=0,0,
IF(OR(Table2[[#This Row],[Member Type]]="Main Member",Table2[[#This Row],[Main Member Link ID]]&lt;&gt;B487),COUNTIFS(B:B,Table2[[#This Row],[Main Member Link ID]]),
COUNTIFS(B:B,Table2[[#This Row],[Main Member Link ID]],A:A,Table2[[#This Row],[Member Type]])))</f>
        <v>0</v>
      </c>
    </row>
    <row r="488" spans="1:37" x14ac:dyDescent="0.3">
      <c r="A488" s="284">
        <f>Table13[[#This Row],[Member Type]]</f>
        <v>0</v>
      </c>
      <c r="B488" s="284">
        <f>Table13[[#This Row],[Main Member Link ID]]</f>
        <v>0</v>
      </c>
      <c r="C488" s="284">
        <f>Table13[[#This Row],[ID Number]]</f>
        <v>0</v>
      </c>
      <c r="D488" s="285">
        <f>Table13[[#This Row],[Date Of Birth]]</f>
        <v>0</v>
      </c>
      <c r="E488" s="285">
        <f>Table13[[#This Row],[Commencement Date]]</f>
        <v>0</v>
      </c>
      <c r="F488" s="284">
        <f t="shared" si="49"/>
        <v>1</v>
      </c>
      <c r="G488" s="284">
        <f t="shared" si="50"/>
        <v>25</v>
      </c>
      <c r="H488" s="286">
        <f>Table13[[#This Row],[Product Option]]</f>
        <v>0</v>
      </c>
      <c r="I488" s="284">
        <f>IF(AND($A488="Main Member",Table2[[#This Row],[Product Option]]="My Value Plus Life"),"MM_LIFE",
IF(AND($A488="Spouse",Table2[[#This Row],[Product Option]]="My Value Plus Life"),"SP_LIFE",
IF(AND($A488="Main Member",Table2[[#This Row],[Product Option]]="My Value Plus Life &amp; Funeral"),"MM_LIFE",
IF(AND($A488="Spouse",Table2[[#This Row],[Product Option]]="My Value Plus Life &amp; Funeral"),_xlfn.XLOOKUP(Table2[[#This Row],[Benefit Name]],Lookups!$D$18:$D$23,Lookups!$E$18:$E$23,0),
0))))</f>
        <v>0</v>
      </c>
      <c r="J488" s="284">
        <f>IF($I488="","",
IF($I488="MM_LIFE",INDEX('Quotation Tool'!$S$54:$V$60,MATCH($T488,'Quotation Tool'!$S$54:$S$60,0),4),
IF($I488="SP_LIFE",_xlfn.XLOOKUP(B487,$B:$B,$J:$J,0),0)))</f>
        <v>0</v>
      </c>
      <c r="K488" s="287">
        <f t="shared" ca="1" si="54"/>
        <v>0</v>
      </c>
      <c r="L488" s="288">
        <f t="shared" ca="1" si="55"/>
        <v>0</v>
      </c>
      <c r="M488" s="289">
        <f t="shared" ca="1" si="51"/>
        <v>0</v>
      </c>
      <c r="N488" s="286">
        <f>Table13[[#This Row],[Benefit Option]]</f>
        <v>0</v>
      </c>
      <c r="O488" s="284">
        <f>IF(OR(Table2[[#This Row],[Member Type]]="Spouse",Table2[[#This Row],[Member Type]]="Child"),0,
IF(_xlfn.XLOOKUP($N488,Lookups!$D$13:$D$27,Lookups!$F$13:$F$27,0)=Table2[[#This Row],[Table Lookup for Life Cover]],0,
_xlfn.XLOOKUP($N488,Lookups!$D$13:$D$27,Lookups!$F$13:$F$27,0)))</f>
        <v>0</v>
      </c>
      <c r="P488" s="284">
        <f>IF(Table2[[#This Row],[Table Lookup for Funeral]]=0,0,IFERROR(INDEX('Quotation Tool'!$S$54:$V$60,MATCH($T488,'Quotation Tool'!$S$54:$S$60,0),3),0))</f>
        <v>0</v>
      </c>
      <c r="Q488" s="288">
        <f ca="1">IF(OR(Table2[[#This Row],[Benefit Name]]="My Value Plus Life - Main Member",Table2[[#This Row],[Benefit Name]]="My Value Plus Life - Spouse"),0,
IFERROR(VLOOKUP($G488,INDIRECT($O488),$P488,FALSE),0))</f>
        <v>0</v>
      </c>
      <c r="R488" s="288">
        <f ca="1">IF(OR(Table2[[#This Row],[Benefit Name]]="My Value Plus Life - Main Member",Table2[[#This Row],[Benefit Name]]="My Value Plus Life - Spouse"),0,
IFERROR(VLOOKUP($G488,INDIRECT($O488),$P488+1,FALSE),0))</f>
        <v>0</v>
      </c>
      <c r="S488" s="289">
        <f t="shared" ca="1" si="52"/>
        <v>0</v>
      </c>
      <c r="T488" s="284" t="str">
        <f>IF(Table13[[#This Row],[Premium Waiver]]="","None",Table13[[#This Row],[Premium Waiver]])</f>
        <v>None</v>
      </c>
      <c r="U488" s="284">
        <f>Table13[[#This Row],[VAPs Options]]</f>
        <v>0</v>
      </c>
      <c r="V488" s="284">
        <f>Table13[[#This Row],[Annual Increase Option]]</f>
        <v>0</v>
      </c>
      <c r="W488" s="290">
        <f>Table13[[#This Row],[Life Cover Amount]]</f>
        <v>0</v>
      </c>
      <c r="X488" s="290">
        <f>Table13[[#This Row],[Funeral Cover Amount]]</f>
        <v>0</v>
      </c>
      <c r="Y48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8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88" s="301">
        <f t="shared" ca="1" si="53"/>
        <v>0</v>
      </c>
      <c r="AB488" s="298"/>
      <c r="AC488" s="326" t="str">
        <f>IF(Table2[[#This Row],[Member Type]]="Main Member",Lookups!$C$13,
IF(Table2[[#This Row],[Member Type]]="Spouse",_xlfn.XLOOKUP(B488,Table2[Main Member Link ID],Table2[Product Option],0),
IF(AND(Table2[[#This Row],[Member Type]]="Child",_xlfn.XLOOKUP(B488,Table2[Main Member Link ID],Table2[Product Option],0)&lt;&gt;"My Value Plus Life"),Lookups!$C$24,
IF(AND(OR(Table2[[#This Row],[Member Type]]="Parent",Table2[[#This Row],[Member Type]]="Extended"),_xlfn.XLOOKUP(B488,Table2[Main Member Link ID],Table2[Product Option],0)&lt;&gt;"My Value Plus Life"),Lookups!$C$26,""))))</f>
        <v/>
      </c>
      <c r="AD488" s="326" t="str">
        <f>IF(Table2[[#This Row],[Member Type]]="Main Member",Lookups!$C$14,"")</f>
        <v/>
      </c>
      <c r="AE48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Funeral",_xlfn.XLOOKUP(B488,Table2[Main Member Link ID],Table2[Benefit Name],0)=Lookups!$D$14),"",
IF(AND(Table2[[#This Row],[Member Type]]="Spouse",Table2[[#This Row],[Product Option]]="My Value Plus Life &amp; Funeral",_xlfn.XLOOKUP(B487,Table2[Main Member Link ID],Table2[Benefit Name],0)=Lookups!$D$15),Lookups!$D$20,
IF(AND(Table2[[#This Row],[Member Type]]="Spouse",Table2[[#This Row],[Product Option]]="My Value Plus Life &amp; Funeral",_xlfn.XLOOKUP(B487,Table2[Main Member Link ID],Table2[Benefit Name],0)=Lookups!$D$16),"",
IF(AND(Table2[[#This Row],[Member Type]]="Spouse",Table2[[#This Row],[Product Option]]="My Value Plus Life &amp; Funeral",_xlfn.XLOOKUP(B487,Table2[Main Member Link ID],Table2[Benefit Name],0)=Lookups!$D$17),Lookups!$D$21,
IF(AND(Table2[[#This Row],[Member Type]]="Child",Table2[[#This Row],[Product Option]]="My Value Plus Life &amp; Funeral",_xlfn.XLOOKUP(B488,Table2[Main Member Link ID],Table2[Benefit Name],0)=Lookups!$D$14),"",
IF(AND(Table2[[#This Row],[Member Type]]="Child",Table2[[#This Row],[Product Option]]="My Value Plus Life &amp; Funeral",_xlfn.XLOOKUP(B488,Table2[Main Member Link ID],Table2[Benefit Name],0)=Lookups!$D$15),"",
IF(AND(Table2[[#This Row],[Member Type]]="Child",Table2[[#This Row],[Product Option]]="My Value Plus Life &amp; Funeral",_xlfn.XLOOKUP(B488,Table2[Main Member Link ID],Table2[Benefit Name],0)=Lookups!$D$16),Lookups!$D$24,
IF(AND(Table2[[#This Row],[Member Type]]="Child",Table2[[#This Row],[Product Option]]="My Value Plus Life &amp; Funeral",_xlfn.XLOOKUP(B488,Table2[Main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Funeral",_xlfn.XLOOKUP(B488,Table2[Main Member Link ID],Table2[Benefit Name],0)&lt;&gt;Lookups!$D$14),
IF(_xlfn.XLOOKUP(B488,Table2[Main Member Link ID],Table2[Benefit Name],0)=0,"",_xlfn.XLOOKUP(B488,Table2[Main Member Link ID],Table2[Benefit Name],0)),"")))))))))))))))</f>
        <v/>
      </c>
      <c r="AF488" s="327" t="str">
        <f>IF(AND(Table2[[#This Row],[Member Type]]="Main Member",Table2[[#This Row],[Product Option]]="My Value Plus Life &amp; Funeral"),Lookups!$D$15,
IF(AND(Table2[[#This Row],[Member Type]]="Spouse",Table2[[#This Row],[Product Option]]="My Value Plus Life &amp; Funeral",_xlfn.XLOOKUP(B488,Table2[Main Member Link ID],Table2[Benefit Name],0)=Lookups!$D$14),"",
IF(AND(Table2[[#This Row],[Member Type]]="Spouse",Table2[[#This Row],[Product Option]]="My Value Plus Life &amp; Funeral",_xlfn.XLOOKUP(B487,Table2[Main Member Link ID],Table2[Benefit Name],0)=Lookups!$D$16),"",
IF(AND(Table2[[#This Row],[Member Type]]="Spouse",Table2[[#This Row],[Product Option]]="My Value Plus Life &amp; Funeral",_xlfn.XLOOKUP(B487,Table2[Main Member Link ID],Table2[Benefit Name],0)=Lookups!$D$15),"",
IF(AND(Table2[[#This Row],[Member Type]]="Spouse",Table2[[#This Row],[Product Option]]="My Value Plus Life &amp; Funeral",_xlfn.XLOOKUP(B487,Table2[Main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Funeral",_xlfn.XLOOKUP(B488,Table2[Main Member Link ID],Table2[Benefit Name],0)&lt;&gt;Lookups!$D$15),
IF(_xlfn.XLOOKUP(B488,Table2[Main Member Link ID],Table2[Benefit Name],0)=0,"",_xlfn.XLOOKUP(B488,Table2[Main Member Link ID],Table2[Benefit Name],0)),"")
))))))</f>
        <v/>
      </c>
      <c r="AG488" s="327" t="str">
        <f>IF(AND(Table2[[#This Row],[Member Type]]="Main Member",Table2[[#This Row],[Product Option]]="My Value Plus Life &amp; Funeral"),Lookups!$D$16,
IF(AND(Table2[[#This Row],[Member Type]]="Spouse",Table2[[#This Row],[Product Option]]="My Value Plus Life &amp; Funeral",_xlfn.XLOOKUP(B488,Table2[Main Member Link ID],Table2[Benefit Name],0)=Lookups!$D$14),"",
IF(AND(Table2[[#This Row],[Member Type]]="Spouse",Table2[[#This Row],[Product Option]]="My Value Plus Life &amp; Funeral",_xlfn.XLOOKUP(B487,Table2[Main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Funeral",_xlfn.XLOOKUP(B488,Table2[Main Member Link ID],Table2[Benefit Name],0)&lt;&gt;Lookups!$D$16),
IF(_xlfn.XLOOKUP(B488,Table2[Main Member Link ID],Table2[Benefit Name],0)=0,"",_xlfn.XLOOKUP(B488,Table2[Main Member Link ID],Table2[Benefit Name],0)),"")
))))</f>
        <v/>
      </c>
      <c r="AH488" s="327" t="str">
        <f>IF(AND(Table2[[#This Row],[Member Type]]="Main Member",Table2[[#This Row],[Product Option]]="My Value Plus Life &amp; Funeral"),Lookups!$D$17,
IF(AND(Table2[[#This Row],[Member Type]]="Spouse",Table2[[#This Row],[Product Option]]="My Value Plus Life &amp; Funeral",_xlfn.XLOOKUP(B488,Table2[Main Member Link ID],Table2[Benefit Name],0)=Lookups!$D$14),"",
IF(AND(Table2[[#This Row],[Member Type]]="Spouse",Table2[[#This Row],[Product Option]]="My Value Plus Life &amp; Funeral",_xlfn.XLOOKUP(B487,Table2[Main Member Link ID],Table2[Benefit Name],0)=Lookups!$D$16),"",
IF(AND(Table2[[#This Row],[Member Type]]="Child",Table2[[#This Row],[Product Option]]="My Value Plus Life &amp; Funeral"),"",
IF(AND(Table2[[#This Row],[Member Type]]="Child",Table2[[#This Row],[Product Option]]="My Value Plus Life &amp; Funeral",_xlfn.XLOOKUP(B488,Table2[Main Member Link ID],Table2[Benefit Name],0)=Lookups!$D$15),"",
IF(AND(OR(Table2[[#This Row],[Member Type]]="Spouse",Table2[[#This Row],[Member Type]]="Child"),Table2[[#This Row],[Product Option]]="My Value Plus Life &amp; Funeral",_xlfn.XLOOKUP(B488,Table2[Main Member Link ID],Table2[Benefit Name],0)&lt;&gt;Lookups!$D$17),
IF(_xlfn.XLOOKUP(B488,Table2[Main Member Link ID],Table2[Benefit Name],0)=0,"",_xlfn.XLOOKUP(B488,Table2[Main Member Link ID],Table2[Benefit Name],0)),""))))))</f>
        <v/>
      </c>
      <c r="AI488" s="328" t="str">
        <f>IF(AND(Table2[[#This Row],[Member Type]]="Main Member",Table2[[#This Row],[Table Lookup for Life Cover]]="MM_LIFE",Table2[[#This Row],[Age Next Birthday]]&lt;56),1,
IF(AND(Table2[[#This Row],[Member Type]]="Main Member",Table2[[#This Row],[Table Lookup for Life Cover]]="MM_LIFE",Table2[[#This Row],[Age Next Birthday]]&gt;=56),2,
""))</f>
        <v/>
      </c>
      <c r="AJ488" s="328">
        <f>IF(OR(Table2[[#This Row],[Member Type]]="Main Member",Table2[[#This Row],[Main Member Link ID]]=B487),1,0)</f>
        <v>1</v>
      </c>
      <c r="AK488" s="328">
        <f>IF(Table2[[#This Row],[Member Type]]=0,0,
IF(OR(Table2[[#This Row],[Member Type]]="Main Member",Table2[[#This Row],[Main Member Link ID]]&lt;&gt;B488),COUNTIFS(B:B,Table2[[#This Row],[Main Member Link ID]]),
COUNTIFS(B:B,Table2[[#This Row],[Main Member Link ID]],A:A,Table2[[#This Row],[Member Type]])))</f>
        <v>0</v>
      </c>
    </row>
    <row r="489" spans="1:37" x14ac:dyDescent="0.3">
      <c r="A489" s="284">
        <f>Table13[[#This Row],[Member Type]]</f>
        <v>0</v>
      </c>
      <c r="B489" s="284">
        <f>Table13[[#This Row],[Main Member Link ID]]</f>
        <v>0</v>
      </c>
      <c r="C489" s="284">
        <f>Table13[[#This Row],[ID Number]]</f>
        <v>0</v>
      </c>
      <c r="D489" s="285">
        <f>Table13[[#This Row],[Date Of Birth]]</f>
        <v>0</v>
      </c>
      <c r="E489" s="285">
        <f>Table13[[#This Row],[Commencement Date]]</f>
        <v>0</v>
      </c>
      <c r="F489" s="284">
        <f t="shared" si="49"/>
        <v>1</v>
      </c>
      <c r="G489" s="284">
        <f t="shared" si="50"/>
        <v>25</v>
      </c>
      <c r="H489" s="286">
        <f>Table13[[#This Row],[Product Option]]</f>
        <v>0</v>
      </c>
      <c r="I489" s="284">
        <f>IF(AND($A489="Main Member",Table2[[#This Row],[Product Option]]="My Value Plus Life"),"MM_LIFE",
IF(AND($A489="Spouse",Table2[[#This Row],[Product Option]]="My Value Plus Life"),"SP_LIFE",
IF(AND($A489="Main Member",Table2[[#This Row],[Product Option]]="My Value Plus Life &amp; Funeral"),"MM_LIFE",
IF(AND($A489="Spouse",Table2[[#This Row],[Product Option]]="My Value Plus Life &amp; Funeral"),_xlfn.XLOOKUP(Table2[[#This Row],[Benefit Name]],Lookups!$D$18:$D$23,Lookups!$E$18:$E$23,0),
0))))</f>
        <v>0</v>
      </c>
      <c r="J489" s="284">
        <f>IF($I489="","",
IF($I489="MM_LIFE",INDEX('Quotation Tool'!$S$54:$V$60,MATCH($T489,'Quotation Tool'!$S$54:$S$60,0),4),
IF($I489="SP_LIFE",_xlfn.XLOOKUP(B488,$B:$B,$J:$J,0),0)))</f>
        <v>0</v>
      </c>
      <c r="K489" s="287">
        <f t="shared" ca="1" si="54"/>
        <v>0</v>
      </c>
      <c r="L489" s="288">
        <f t="shared" ca="1" si="55"/>
        <v>0</v>
      </c>
      <c r="M489" s="289">
        <f t="shared" ca="1" si="51"/>
        <v>0</v>
      </c>
      <c r="N489" s="286">
        <f>Table13[[#This Row],[Benefit Option]]</f>
        <v>0</v>
      </c>
      <c r="O489" s="284">
        <f>IF(OR(Table2[[#This Row],[Member Type]]="Spouse",Table2[[#This Row],[Member Type]]="Child"),0,
IF(_xlfn.XLOOKUP($N489,Lookups!$D$13:$D$27,Lookups!$F$13:$F$27,0)=Table2[[#This Row],[Table Lookup for Life Cover]],0,
_xlfn.XLOOKUP($N489,Lookups!$D$13:$D$27,Lookups!$F$13:$F$27,0)))</f>
        <v>0</v>
      </c>
      <c r="P489" s="284">
        <f>IF(Table2[[#This Row],[Table Lookup for Funeral]]=0,0,IFERROR(INDEX('Quotation Tool'!$S$54:$V$60,MATCH($T489,'Quotation Tool'!$S$54:$S$60,0),3),0))</f>
        <v>0</v>
      </c>
      <c r="Q489" s="288">
        <f ca="1">IF(OR(Table2[[#This Row],[Benefit Name]]="My Value Plus Life - Main Member",Table2[[#This Row],[Benefit Name]]="My Value Plus Life - Spouse"),0,
IFERROR(VLOOKUP($G489,INDIRECT($O489),$P489,FALSE),0))</f>
        <v>0</v>
      </c>
      <c r="R489" s="288">
        <f ca="1">IF(OR(Table2[[#This Row],[Benefit Name]]="My Value Plus Life - Main Member",Table2[[#This Row],[Benefit Name]]="My Value Plus Life - Spouse"),0,
IFERROR(VLOOKUP($G489,INDIRECT($O489),$P489+1,FALSE),0))</f>
        <v>0</v>
      </c>
      <c r="S489" s="289">
        <f t="shared" ca="1" si="52"/>
        <v>0</v>
      </c>
      <c r="T489" s="284" t="str">
        <f>IF(Table13[[#This Row],[Premium Waiver]]="","None",Table13[[#This Row],[Premium Waiver]])</f>
        <v>None</v>
      </c>
      <c r="U489" s="284">
        <f>Table13[[#This Row],[VAPs Options]]</f>
        <v>0</v>
      </c>
      <c r="V489" s="284">
        <f>Table13[[#This Row],[Annual Increase Option]]</f>
        <v>0</v>
      </c>
      <c r="W489" s="290">
        <f>Table13[[#This Row],[Life Cover Amount]]</f>
        <v>0</v>
      </c>
      <c r="X489" s="290">
        <f>Table13[[#This Row],[Funeral Cover Amount]]</f>
        <v>0</v>
      </c>
      <c r="Y48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8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89" s="301">
        <f t="shared" ca="1" si="53"/>
        <v>0</v>
      </c>
      <c r="AB489" s="298"/>
      <c r="AC489" s="326" t="str">
        <f>IF(Table2[[#This Row],[Member Type]]="Main Member",Lookups!$C$13,
IF(Table2[[#This Row],[Member Type]]="Spouse",_xlfn.XLOOKUP(B489,Table2[Main Member Link ID],Table2[Product Option],0),
IF(AND(Table2[[#This Row],[Member Type]]="Child",_xlfn.XLOOKUP(B489,Table2[Main Member Link ID],Table2[Product Option],0)&lt;&gt;"My Value Plus Life"),Lookups!$C$24,
IF(AND(OR(Table2[[#This Row],[Member Type]]="Parent",Table2[[#This Row],[Member Type]]="Extended"),_xlfn.XLOOKUP(B489,Table2[Main Member Link ID],Table2[Product Option],0)&lt;&gt;"My Value Plus Life"),Lookups!$C$26,""))))</f>
        <v/>
      </c>
      <c r="AD489" s="326" t="str">
        <f>IF(Table2[[#This Row],[Member Type]]="Main Member",Lookups!$C$14,"")</f>
        <v/>
      </c>
      <c r="AE48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Funeral",_xlfn.XLOOKUP(B489,Table2[Main Member Link ID],Table2[Benefit Name],0)=Lookups!$D$14),"",
IF(AND(Table2[[#This Row],[Member Type]]="Spouse",Table2[[#This Row],[Product Option]]="My Value Plus Life &amp; Funeral",_xlfn.XLOOKUP(B488,Table2[Main Member Link ID],Table2[Benefit Name],0)=Lookups!$D$15),Lookups!$D$20,
IF(AND(Table2[[#This Row],[Member Type]]="Spouse",Table2[[#This Row],[Product Option]]="My Value Plus Life &amp; Funeral",_xlfn.XLOOKUP(B488,Table2[Main Member Link ID],Table2[Benefit Name],0)=Lookups!$D$16),"",
IF(AND(Table2[[#This Row],[Member Type]]="Spouse",Table2[[#This Row],[Product Option]]="My Value Plus Life &amp; Funeral",_xlfn.XLOOKUP(B488,Table2[Main Member Link ID],Table2[Benefit Name],0)=Lookups!$D$17),Lookups!$D$21,
IF(AND(Table2[[#This Row],[Member Type]]="Child",Table2[[#This Row],[Product Option]]="My Value Plus Life &amp; Funeral",_xlfn.XLOOKUP(B489,Table2[Main Member Link ID],Table2[Benefit Name],0)=Lookups!$D$14),"",
IF(AND(Table2[[#This Row],[Member Type]]="Child",Table2[[#This Row],[Product Option]]="My Value Plus Life &amp; Funeral",_xlfn.XLOOKUP(B489,Table2[Main Member Link ID],Table2[Benefit Name],0)=Lookups!$D$15),"",
IF(AND(Table2[[#This Row],[Member Type]]="Child",Table2[[#This Row],[Product Option]]="My Value Plus Life &amp; Funeral",_xlfn.XLOOKUP(B489,Table2[Main Member Link ID],Table2[Benefit Name],0)=Lookups!$D$16),Lookups!$D$24,
IF(AND(Table2[[#This Row],[Member Type]]="Child",Table2[[#This Row],[Product Option]]="My Value Plus Life &amp; Funeral",_xlfn.XLOOKUP(B489,Table2[Main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Funeral",_xlfn.XLOOKUP(B489,Table2[Main Member Link ID],Table2[Benefit Name],0)&lt;&gt;Lookups!$D$14),
IF(_xlfn.XLOOKUP(B489,Table2[Main Member Link ID],Table2[Benefit Name],0)=0,"",_xlfn.XLOOKUP(B489,Table2[Main Member Link ID],Table2[Benefit Name],0)),"")))))))))))))))</f>
        <v/>
      </c>
      <c r="AF489" s="327" t="str">
        <f>IF(AND(Table2[[#This Row],[Member Type]]="Main Member",Table2[[#This Row],[Product Option]]="My Value Plus Life &amp; Funeral"),Lookups!$D$15,
IF(AND(Table2[[#This Row],[Member Type]]="Spouse",Table2[[#This Row],[Product Option]]="My Value Plus Life &amp; Funeral",_xlfn.XLOOKUP(B489,Table2[Main Member Link ID],Table2[Benefit Name],0)=Lookups!$D$14),"",
IF(AND(Table2[[#This Row],[Member Type]]="Spouse",Table2[[#This Row],[Product Option]]="My Value Plus Life &amp; Funeral",_xlfn.XLOOKUP(B488,Table2[Main Member Link ID],Table2[Benefit Name],0)=Lookups!$D$16),"",
IF(AND(Table2[[#This Row],[Member Type]]="Spouse",Table2[[#This Row],[Product Option]]="My Value Plus Life &amp; Funeral",_xlfn.XLOOKUP(B488,Table2[Main Member Link ID],Table2[Benefit Name],0)=Lookups!$D$15),"",
IF(AND(Table2[[#This Row],[Member Type]]="Spouse",Table2[[#This Row],[Product Option]]="My Value Plus Life &amp; Funeral",_xlfn.XLOOKUP(B488,Table2[Main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Funeral",_xlfn.XLOOKUP(B489,Table2[Main Member Link ID],Table2[Benefit Name],0)&lt;&gt;Lookups!$D$15),
IF(_xlfn.XLOOKUP(B489,Table2[Main Member Link ID],Table2[Benefit Name],0)=0,"",_xlfn.XLOOKUP(B489,Table2[Main Member Link ID],Table2[Benefit Name],0)),"")
))))))</f>
        <v/>
      </c>
      <c r="AG489" s="327" t="str">
        <f>IF(AND(Table2[[#This Row],[Member Type]]="Main Member",Table2[[#This Row],[Product Option]]="My Value Plus Life &amp; Funeral"),Lookups!$D$16,
IF(AND(Table2[[#This Row],[Member Type]]="Spouse",Table2[[#This Row],[Product Option]]="My Value Plus Life &amp; Funeral",_xlfn.XLOOKUP(B489,Table2[Main Member Link ID],Table2[Benefit Name],0)=Lookups!$D$14),"",
IF(AND(Table2[[#This Row],[Member Type]]="Spouse",Table2[[#This Row],[Product Option]]="My Value Plus Life &amp; Funeral",_xlfn.XLOOKUP(B488,Table2[Main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Funeral",_xlfn.XLOOKUP(B489,Table2[Main Member Link ID],Table2[Benefit Name],0)&lt;&gt;Lookups!$D$16),
IF(_xlfn.XLOOKUP(B489,Table2[Main Member Link ID],Table2[Benefit Name],0)=0,"",_xlfn.XLOOKUP(B489,Table2[Main Member Link ID],Table2[Benefit Name],0)),"")
))))</f>
        <v/>
      </c>
      <c r="AH489" s="327" t="str">
        <f>IF(AND(Table2[[#This Row],[Member Type]]="Main Member",Table2[[#This Row],[Product Option]]="My Value Plus Life &amp; Funeral"),Lookups!$D$17,
IF(AND(Table2[[#This Row],[Member Type]]="Spouse",Table2[[#This Row],[Product Option]]="My Value Plus Life &amp; Funeral",_xlfn.XLOOKUP(B489,Table2[Main Member Link ID],Table2[Benefit Name],0)=Lookups!$D$14),"",
IF(AND(Table2[[#This Row],[Member Type]]="Spouse",Table2[[#This Row],[Product Option]]="My Value Plus Life &amp; Funeral",_xlfn.XLOOKUP(B488,Table2[Main Member Link ID],Table2[Benefit Name],0)=Lookups!$D$16),"",
IF(AND(Table2[[#This Row],[Member Type]]="Child",Table2[[#This Row],[Product Option]]="My Value Plus Life &amp; Funeral"),"",
IF(AND(Table2[[#This Row],[Member Type]]="Child",Table2[[#This Row],[Product Option]]="My Value Plus Life &amp; Funeral",_xlfn.XLOOKUP(B489,Table2[Main Member Link ID],Table2[Benefit Name],0)=Lookups!$D$15),"",
IF(AND(OR(Table2[[#This Row],[Member Type]]="Spouse",Table2[[#This Row],[Member Type]]="Child"),Table2[[#This Row],[Product Option]]="My Value Plus Life &amp; Funeral",_xlfn.XLOOKUP(B489,Table2[Main Member Link ID],Table2[Benefit Name],0)&lt;&gt;Lookups!$D$17),
IF(_xlfn.XLOOKUP(B489,Table2[Main Member Link ID],Table2[Benefit Name],0)=0,"",_xlfn.XLOOKUP(B489,Table2[Main Member Link ID],Table2[Benefit Name],0)),""))))))</f>
        <v/>
      </c>
      <c r="AI489" s="328" t="str">
        <f>IF(AND(Table2[[#This Row],[Member Type]]="Main Member",Table2[[#This Row],[Table Lookup for Life Cover]]="MM_LIFE",Table2[[#This Row],[Age Next Birthday]]&lt;56),1,
IF(AND(Table2[[#This Row],[Member Type]]="Main Member",Table2[[#This Row],[Table Lookup for Life Cover]]="MM_LIFE",Table2[[#This Row],[Age Next Birthday]]&gt;=56),2,
""))</f>
        <v/>
      </c>
      <c r="AJ489" s="328">
        <f>IF(OR(Table2[[#This Row],[Member Type]]="Main Member",Table2[[#This Row],[Main Member Link ID]]=B488),1,0)</f>
        <v>1</v>
      </c>
      <c r="AK489" s="328">
        <f>IF(Table2[[#This Row],[Member Type]]=0,0,
IF(OR(Table2[[#This Row],[Member Type]]="Main Member",Table2[[#This Row],[Main Member Link ID]]&lt;&gt;B489),COUNTIFS(B:B,Table2[[#This Row],[Main Member Link ID]]),
COUNTIFS(B:B,Table2[[#This Row],[Main Member Link ID]],A:A,Table2[[#This Row],[Member Type]])))</f>
        <v>0</v>
      </c>
    </row>
    <row r="490" spans="1:37" x14ac:dyDescent="0.3">
      <c r="A490" s="284">
        <f>Table13[[#This Row],[Member Type]]</f>
        <v>0</v>
      </c>
      <c r="B490" s="284">
        <f>Table13[[#This Row],[Main Member Link ID]]</f>
        <v>0</v>
      </c>
      <c r="C490" s="284">
        <f>Table13[[#This Row],[ID Number]]</f>
        <v>0</v>
      </c>
      <c r="D490" s="285">
        <f>Table13[[#This Row],[Date Of Birth]]</f>
        <v>0</v>
      </c>
      <c r="E490" s="285">
        <f>Table13[[#This Row],[Commencement Date]]</f>
        <v>0</v>
      </c>
      <c r="F490" s="284">
        <f t="shared" si="49"/>
        <v>1</v>
      </c>
      <c r="G490" s="284">
        <f t="shared" si="50"/>
        <v>25</v>
      </c>
      <c r="H490" s="286">
        <f>Table13[[#This Row],[Product Option]]</f>
        <v>0</v>
      </c>
      <c r="I490" s="284">
        <f>IF(AND($A490="Main Member",Table2[[#This Row],[Product Option]]="My Value Plus Life"),"MM_LIFE",
IF(AND($A490="Spouse",Table2[[#This Row],[Product Option]]="My Value Plus Life"),"SP_LIFE",
IF(AND($A490="Main Member",Table2[[#This Row],[Product Option]]="My Value Plus Life &amp; Funeral"),"MM_LIFE",
IF(AND($A490="Spouse",Table2[[#This Row],[Product Option]]="My Value Plus Life &amp; Funeral"),_xlfn.XLOOKUP(Table2[[#This Row],[Benefit Name]],Lookups!$D$18:$D$23,Lookups!$E$18:$E$23,0),
0))))</f>
        <v>0</v>
      </c>
      <c r="J490" s="284">
        <f>IF($I490="","",
IF($I490="MM_LIFE",INDEX('Quotation Tool'!$S$54:$V$60,MATCH($T490,'Quotation Tool'!$S$54:$S$60,0),4),
IF($I490="SP_LIFE",_xlfn.XLOOKUP(B489,$B:$B,$J:$J,0),0)))</f>
        <v>0</v>
      </c>
      <c r="K490" s="287">
        <f t="shared" ca="1" si="54"/>
        <v>0</v>
      </c>
      <c r="L490" s="288">
        <f t="shared" ca="1" si="55"/>
        <v>0</v>
      </c>
      <c r="M490" s="289">
        <f t="shared" ca="1" si="51"/>
        <v>0</v>
      </c>
      <c r="N490" s="286">
        <f>Table13[[#This Row],[Benefit Option]]</f>
        <v>0</v>
      </c>
      <c r="O490" s="284">
        <f>IF(OR(Table2[[#This Row],[Member Type]]="Spouse",Table2[[#This Row],[Member Type]]="Child"),0,
IF(_xlfn.XLOOKUP($N490,Lookups!$D$13:$D$27,Lookups!$F$13:$F$27,0)=Table2[[#This Row],[Table Lookup for Life Cover]],0,
_xlfn.XLOOKUP($N490,Lookups!$D$13:$D$27,Lookups!$F$13:$F$27,0)))</f>
        <v>0</v>
      </c>
      <c r="P490" s="284">
        <f>IF(Table2[[#This Row],[Table Lookup for Funeral]]=0,0,IFERROR(INDEX('Quotation Tool'!$S$54:$V$60,MATCH($T490,'Quotation Tool'!$S$54:$S$60,0),3),0))</f>
        <v>0</v>
      </c>
      <c r="Q490" s="288">
        <f ca="1">IF(OR(Table2[[#This Row],[Benefit Name]]="My Value Plus Life - Main Member",Table2[[#This Row],[Benefit Name]]="My Value Plus Life - Spouse"),0,
IFERROR(VLOOKUP($G490,INDIRECT($O490),$P490,FALSE),0))</f>
        <v>0</v>
      </c>
      <c r="R490" s="288">
        <f ca="1">IF(OR(Table2[[#This Row],[Benefit Name]]="My Value Plus Life - Main Member",Table2[[#This Row],[Benefit Name]]="My Value Plus Life - Spouse"),0,
IFERROR(VLOOKUP($G490,INDIRECT($O490),$P490+1,FALSE),0))</f>
        <v>0</v>
      </c>
      <c r="S490" s="289">
        <f t="shared" ca="1" si="52"/>
        <v>0</v>
      </c>
      <c r="T490" s="284" t="str">
        <f>IF(Table13[[#This Row],[Premium Waiver]]="","None",Table13[[#This Row],[Premium Waiver]])</f>
        <v>None</v>
      </c>
      <c r="U490" s="284">
        <f>Table13[[#This Row],[VAPs Options]]</f>
        <v>0</v>
      </c>
      <c r="V490" s="284">
        <f>Table13[[#This Row],[Annual Increase Option]]</f>
        <v>0</v>
      </c>
      <c r="W490" s="290">
        <f>Table13[[#This Row],[Life Cover Amount]]</f>
        <v>0</v>
      </c>
      <c r="X490" s="290">
        <f>Table13[[#This Row],[Funeral Cover Amount]]</f>
        <v>0</v>
      </c>
      <c r="Y49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9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90" s="301">
        <f t="shared" ca="1" si="53"/>
        <v>0</v>
      </c>
      <c r="AB490" s="298"/>
      <c r="AC490" s="326" t="str">
        <f>IF(Table2[[#This Row],[Member Type]]="Main Member",Lookups!$C$13,
IF(Table2[[#This Row],[Member Type]]="Spouse",_xlfn.XLOOKUP(B490,Table2[Main Member Link ID],Table2[Product Option],0),
IF(AND(Table2[[#This Row],[Member Type]]="Child",_xlfn.XLOOKUP(B490,Table2[Main Member Link ID],Table2[Product Option],0)&lt;&gt;"My Value Plus Life"),Lookups!$C$24,
IF(AND(OR(Table2[[#This Row],[Member Type]]="Parent",Table2[[#This Row],[Member Type]]="Extended"),_xlfn.XLOOKUP(B490,Table2[Main Member Link ID],Table2[Product Option],0)&lt;&gt;"My Value Plus Life"),Lookups!$C$26,""))))</f>
        <v/>
      </c>
      <c r="AD490" s="326" t="str">
        <f>IF(Table2[[#This Row],[Member Type]]="Main Member",Lookups!$C$14,"")</f>
        <v/>
      </c>
      <c r="AE49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Funeral",_xlfn.XLOOKUP(B490,Table2[Main Member Link ID],Table2[Benefit Name],0)=Lookups!$D$14),"",
IF(AND(Table2[[#This Row],[Member Type]]="Spouse",Table2[[#This Row],[Product Option]]="My Value Plus Life &amp; Funeral",_xlfn.XLOOKUP(B489,Table2[Main Member Link ID],Table2[Benefit Name],0)=Lookups!$D$15),Lookups!$D$20,
IF(AND(Table2[[#This Row],[Member Type]]="Spouse",Table2[[#This Row],[Product Option]]="My Value Plus Life &amp; Funeral",_xlfn.XLOOKUP(B489,Table2[Main Member Link ID],Table2[Benefit Name],0)=Lookups!$D$16),"",
IF(AND(Table2[[#This Row],[Member Type]]="Spouse",Table2[[#This Row],[Product Option]]="My Value Plus Life &amp; Funeral",_xlfn.XLOOKUP(B489,Table2[Main Member Link ID],Table2[Benefit Name],0)=Lookups!$D$17),Lookups!$D$21,
IF(AND(Table2[[#This Row],[Member Type]]="Child",Table2[[#This Row],[Product Option]]="My Value Plus Life &amp; Funeral",_xlfn.XLOOKUP(B490,Table2[Main Member Link ID],Table2[Benefit Name],0)=Lookups!$D$14),"",
IF(AND(Table2[[#This Row],[Member Type]]="Child",Table2[[#This Row],[Product Option]]="My Value Plus Life &amp; Funeral",_xlfn.XLOOKUP(B490,Table2[Main Member Link ID],Table2[Benefit Name],0)=Lookups!$D$15),"",
IF(AND(Table2[[#This Row],[Member Type]]="Child",Table2[[#This Row],[Product Option]]="My Value Plus Life &amp; Funeral",_xlfn.XLOOKUP(B490,Table2[Main Member Link ID],Table2[Benefit Name],0)=Lookups!$D$16),Lookups!$D$24,
IF(AND(Table2[[#This Row],[Member Type]]="Child",Table2[[#This Row],[Product Option]]="My Value Plus Life &amp; Funeral",_xlfn.XLOOKUP(B490,Table2[Main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Funeral",_xlfn.XLOOKUP(B490,Table2[Main Member Link ID],Table2[Benefit Name],0)&lt;&gt;Lookups!$D$14),
IF(_xlfn.XLOOKUP(B490,Table2[Main Member Link ID],Table2[Benefit Name],0)=0,"",_xlfn.XLOOKUP(B490,Table2[Main Member Link ID],Table2[Benefit Name],0)),"")))))))))))))))</f>
        <v/>
      </c>
      <c r="AF490" s="327" t="str">
        <f>IF(AND(Table2[[#This Row],[Member Type]]="Main Member",Table2[[#This Row],[Product Option]]="My Value Plus Life &amp; Funeral"),Lookups!$D$15,
IF(AND(Table2[[#This Row],[Member Type]]="Spouse",Table2[[#This Row],[Product Option]]="My Value Plus Life &amp; Funeral",_xlfn.XLOOKUP(B490,Table2[Main Member Link ID],Table2[Benefit Name],0)=Lookups!$D$14),"",
IF(AND(Table2[[#This Row],[Member Type]]="Spouse",Table2[[#This Row],[Product Option]]="My Value Plus Life &amp; Funeral",_xlfn.XLOOKUP(B489,Table2[Main Member Link ID],Table2[Benefit Name],0)=Lookups!$D$16),"",
IF(AND(Table2[[#This Row],[Member Type]]="Spouse",Table2[[#This Row],[Product Option]]="My Value Plus Life &amp; Funeral",_xlfn.XLOOKUP(B489,Table2[Main Member Link ID],Table2[Benefit Name],0)=Lookups!$D$15),"",
IF(AND(Table2[[#This Row],[Member Type]]="Spouse",Table2[[#This Row],[Product Option]]="My Value Plus Life &amp; Funeral",_xlfn.XLOOKUP(B489,Table2[Main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Funeral",_xlfn.XLOOKUP(B490,Table2[Main Member Link ID],Table2[Benefit Name],0)&lt;&gt;Lookups!$D$15),
IF(_xlfn.XLOOKUP(B490,Table2[Main Member Link ID],Table2[Benefit Name],0)=0,"",_xlfn.XLOOKUP(B490,Table2[Main Member Link ID],Table2[Benefit Name],0)),"")
))))))</f>
        <v/>
      </c>
      <c r="AG490" s="327" t="str">
        <f>IF(AND(Table2[[#This Row],[Member Type]]="Main Member",Table2[[#This Row],[Product Option]]="My Value Plus Life &amp; Funeral"),Lookups!$D$16,
IF(AND(Table2[[#This Row],[Member Type]]="Spouse",Table2[[#This Row],[Product Option]]="My Value Plus Life &amp; Funeral",_xlfn.XLOOKUP(B490,Table2[Main Member Link ID],Table2[Benefit Name],0)=Lookups!$D$14),"",
IF(AND(Table2[[#This Row],[Member Type]]="Spouse",Table2[[#This Row],[Product Option]]="My Value Plus Life &amp; Funeral",_xlfn.XLOOKUP(B489,Table2[Main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Funeral",_xlfn.XLOOKUP(B490,Table2[Main Member Link ID],Table2[Benefit Name],0)&lt;&gt;Lookups!$D$16),
IF(_xlfn.XLOOKUP(B490,Table2[Main Member Link ID],Table2[Benefit Name],0)=0,"",_xlfn.XLOOKUP(B490,Table2[Main Member Link ID],Table2[Benefit Name],0)),"")
))))</f>
        <v/>
      </c>
      <c r="AH490" s="327" t="str">
        <f>IF(AND(Table2[[#This Row],[Member Type]]="Main Member",Table2[[#This Row],[Product Option]]="My Value Plus Life &amp; Funeral"),Lookups!$D$17,
IF(AND(Table2[[#This Row],[Member Type]]="Spouse",Table2[[#This Row],[Product Option]]="My Value Plus Life &amp; Funeral",_xlfn.XLOOKUP(B490,Table2[Main Member Link ID],Table2[Benefit Name],0)=Lookups!$D$14),"",
IF(AND(Table2[[#This Row],[Member Type]]="Spouse",Table2[[#This Row],[Product Option]]="My Value Plus Life &amp; Funeral",_xlfn.XLOOKUP(B489,Table2[Main Member Link ID],Table2[Benefit Name],0)=Lookups!$D$16),"",
IF(AND(Table2[[#This Row],[Member Type]]="Child",Table2[[#This Row],[Product Option]]="My Value Plus Life &amp; Funeral"),"",
IF(AND(Table2[[#This Row],[Member Type]]="Child",Table2[[#This Row],[Product Option]]="My Value Plus Life &amp; Funeral",_xlfn.XLOOKUP(B490,Table2[Main Member Link ID],Table2[Benefit Name],0)=Lookups!$D$15),"",
IF(AND(OR(Table2[[#This Row],[Member Type]]="Spouse",Table2[[#This Row],[Member Type]]="Child"),Table2[[#This Row],[Product Option]]="My Value Plus Life &amp; Funeral",_xlfn.XLOOKUP(B490,Table2[Main Member Link ID],Table2[Benefit Name],0)&lt;&gt;Lookups!$D$17),
IF(_xlfn.XLOOKUP(B490,Table2[Main Member Link ID],Table2[Benefit Name],0)=0,"",_xlfn.XLOOKUP(B490,Table2[Main Member Link ID],Table2[Benefit Name],0)),""))))))</f>
        <v/>
      </c>
      <c r="AI490" s="328" t="str">
        <f>IF(AND(Table2[[#This Row],[Member Type]]="Main Member",Table2[[#This Row],[Table Lookup for Life Cover]]="MM_LIFE",Table2[[#This Row],[Age Next Birthday]]&lt;56),1,
IF(AND(Table2[[#This Row],[Member Type]]="Main Member",Table2[[#This Row],[Table Lookup for Life Cover]]="MM_LIFE",Table2[[#This Row],[Age Next Birthday]]&gt;=56),2,
""))</f>
        <v/>
      </c>
      <c r="AJ490" s="328">
        <f>IF(OR(Table2[[#This Row],[Member Type]]="Main Member",Table2[[#This Row],[Main Member Link ID]]=B489),1,0)</f>
        <v>1</v>
      </c>
      <c r="AK490" s="328">
        <f>IF(Table2[[#This Row],[Member Type]]=0,0,
IF(OR(Table2[[#This Row],[Member Type]]="Main Member",Table2[[#This Row],[Main Member Link ID]]&lt;&gt;B490),COUNTIFS(B:B,Table2[[#This Row],[Main Member Link ID]]),
COUNTIFS(B:B,Table2[[#This Row],[Main Member Link ID]],A:A,Table2[[#This Row],[Member Type]])))</f>
        <v>0</v>
      </c>
    </row>
    <row r="491" spans="1:37" x14ac:dyDescent="0.3">
      <c r="A491" s="284">
        <f>Table13[[#This Row],[Member Type]]</f>
        <v>0</v>
      </c>
      <c r="B491" s="284">
        <f>Table13[[#This Row],[Main Member Link ID]]</f>
        <v>0</v>
      </c>
      <c r="C491" s="284">
        <f>Table13[[#This Row],[ID Number]]</f>
        <v>0</v>
      </c>
      <c r="D491" s="285">
        <f>Table13[[#This Row],[Date Of Birth]]</f>
        <v>0</v>
      </c>
      <c r="E491" s="285">
        <f>Table13[[#This Row],[Commencement Date]]</f>
        <v>0</v>
      </c>
      <c r="F491" s="284">
        <f t="shared" si="49"/>
        <v>1</v>
      </c>
      <c r="G491" s="284">
        <f t="shared" si="50"/>
        <v>25</v>
      </c>
      <c r="H491" s="286">
        <f>Table13[[#This Row],[Product Option]]</f>
        <v>0</v>
      </c>
      <c r="I491" s="284">
        <f>IF(AND($A491="Main Member",Table2[[#This Row],[Product Option]]="My Value Plus Life"),"MM_LIFE",
IF(AND($A491="Spouse",Table2[[#This Row],[Product Option]]="My Value Plus Life"),"SP_LIFE",
IF(AND($A491="Main Member",Table2[[#This Row],[Product Option]]="My Value Plus Life &amp; Funeral"),"MM_LIFE",
IF(AND($A491="Spouse",Table2[[#This Row],[Product Option]]="My Value Plus Life &amp; Funeral"),_xlfn.XLOOKUP(Table2[[#This Row],[Benefit Name]],Lookups!$D$18:$D$23,Lookups!$E$18:$E$23,0),
0))))</f>
        <v>0</v>
      </c>
      <c r="J491" s="284">
        <f>IF($I491="","",
IF($I491="MM_LIFE",INDEX('Quotation Tool'!$S$54:$V$60,MATCH($T491,'Quotation Tool'!$S$54:$S$60,0),4),
IF($I491="SP_LIFE",_xlfn.XLOOKUP(B490,$B:$B,$J:$J,0),0)))</f>
        <v>0</v>
      </c>
      <c r="K491" s="287">
        <f t="shared" ca="1" si="54"/>
        <v>0</v>
      </c>
      <c r="L491" s="288">
        <f t="shared" ca="1" si="55"/>
        <v>0</v>
      </c>
      <c r="M491" s="289">
        <f t="shared" ca="1" si="51"/>
        <v>0</v>
      </c>
      <c r="N491" s="286">
        <f>Table13[[#This Row],[Benefit Option]]</f>
        <v>0</v>
      </c>
      <c r="O491" s="284">
        <f>IF(OR(Table2[[#This Row],[Member Type]]="Spouse",Table2[[#This Row],[Member Type]]="Child"),0,
IF(_xlfn.XLOOKUP($N491,Lookups!$D$13:$D$27,Lookups!$F$13:$F$27,0)=Table2[[#This Row],[Table Lookup for Life Cover]],0,
_xlfn.XLOOKUP($N491,Lookups!$D$13:$D$27,Lookups!$F$13:$F$27,0)))</f>
        <v>0</v>
      </c>
      <c r="P491" s="284">
        <f>IF(Table2[[#This Row],[Table Lookup for Funeral]]=0,0,IFERROR(INDEX('Quotation Tool'!$S$54:$V$60,MATCH($T491,'Quotation Tool'!$S$54:$S$60,0),3),0))</f>
        <v>0</v>
      </c>
      <c r="Q491" s="288">
        <f ca="1">IF(OR(Table2[[#This Row],[Benefit Name]]="My Value Plus Life - Main Member",Table2[[#This Row],[Benefit Name]]="My Value Plus Life - Spouse"),0,
IFERROR(VLOOKUP($G491,INDIRECT($O491),$P491,FALSE),0))</f>
        <v>0</v>
      </c>
      <c r="R491" s="288">
        <f ca="1">IF(OR(Table2[[#This Row],[Benefit Name]]="My Value Plus Life - Main Member",Table2[[#This Row],[Benefit Name]]="My Value Plus Life - Spouse"),0,
IFERROR(VLOOKUP($G491,INDIRECT($O491),$P491+1,FALSE),0))</f>
        <v>0</v>
      </c>
      <c r="S491" s="289">
        <f t="shared" ca="1" si="52"/>
        <v>0</v>
      </c>
      <c r="T491" s="284" t="str">
        <f>IF(Table13[[#This Row],[Premium Waiver]]="","None",Table13[[#This Row],[Premium Waiver]])</f>
        <v>None</v>
      </c>
      <c r="U491" s="284">
        <f>Table13[[#This Row],[VAPs Options]]</f>
        <v>0</v>
      </c>
      <c r="V491" s="284">
        <f>Table13[[#This Row],[Annual Increase Option]]</f>
        <v>0</v>
      </c>
      <c r="W491" s="290">
        <f>Table13[[#This Row],[Life Cover Amount]]</f>
        <v>0</v>
      </c>
      <c r="X491" s="290">
        <f>Table13[[#This Row],[Funeral Cover Amount]]</f>
        <v>0</v>
      </c>
      <c r="Y49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9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91" s="301">
        <f t="shared" ca="1" si="53"/>
        <v>0</v>
      </c>
      <c r="AB491" s="298"/>
      <c r="AC491" s="326" t="str">
        <f>IF(Table2[[#This Row],[Member Type]]="Main Member",Lookups!$C$13,
IF(Table2[[#This Row],[Member Type]]="Spouse",_xlfn.XLOOKUP(B491,Table2[Main Member Link ID],Table2[Product Option],0),
IF(AND(Table2[[#This Row],[Member Type]]="Child",_xlfn.XLOOKUP(B491,Table2[Main Member Link ID],Table2[Product Option],0)&lt;&gt;"My Value Plus Life"),Lookups!$C$24,
IF(AND(OR(Table2[[#This Row],[Member Type]]="Parent",Table2[[#This Row],[Member Type]]="Extended"),_xlfn.XLOOKUP(B491,Table2[Main Member Link ID],Table2[Product Option],0)&lt;&gt;"My Value Plus Life"),Lookups!$C$26,""))))</f>
        <v/>
      </c>
      <c r="AD491" s="326" t="str">
        <f>IF(Table2[[#This Row],[Member Type]]="Main Member",Lookups!$C$14,"")</f>
        <v/>
      </c>
      <c r="AE49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Funeral",_xlfn.XLOOKUP(B491,Table2[Main Member Link ID],Table2[Benefit Name],0)=Lookups!$D$14),"",
IF(AND(Table2[[#This Row],[Member Type]]="Spouse",Table2[[#This Row],[Product Option]]="My Value Plus Life &amp; Funeral",_xlfn.XLOOKUP(B490,Table2[Main Member Link ID],Table2[Benefit Name],0)=Lookups!$D$15),Lookups!$D$20,
IF(AND(Table2[[#This Row],[Member Type]]="Spouse",Table2[[#This Row],[Product Option]]="My Value Plus Life &amp; Funeral",_xlfn.XLOOKUP(B490,Table2[Main Member Link ID],Table2[Benefit Name],0)=Lookups!$D$16),"",
IF(AND(Table2[[#This Row],[Member Type]]="Spouse",Table2[[#This Row],[Product Option]]="My Value Plus Life &amp; Funeral",_xlfn.XLOOKUP(B490,Table2[Main Member Link ID],Table2[Benefit Name],0)=Lookups!$D$17),Lookups!$D$21,
IF(AND(Table2[[#This Row],[Member Type]]="Child",Table2[[#This Row],[Product Option]]="My Value Plus Life &amp; Funeral",_xlfn.XLOOKUP(B491,Table2[Main Member Link ID],Table2[Benefit Name],0)=Lookups!$D$14),"",
IF(AND(Table2[[#This Row],[Member Type]]="Child",Table2[[#This Row],[Product Option]]="My Value Plus Life &amp; Funeral",_xlfn.XLOOKUP(B491,Table2[Main Member Link ID],Table2[Benefit Name],0)=Lookups!$D$15),"",
IF(AND(Table2[[#This Row],[Member Type]]="Child",Table2[[#This Row],[Product Option]]="My Value Plus Life &amp; Funeral",_xlfn.XLOOKUP(B491,Table2[Main Member Link ID],Table2[Benefit Name],0)=Lookups!$D$16),Lookups!$D$24,
IF(AND(Table2[[#This Row],[Member Type]]="Child",Table2[[#This Row],[Product Option]]="My Value Plus Life &amp; Funeral",_xlfn.XLOOKUP(B491,Table2[Main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Funeral",_xlfn.XLOOKUP(B491,Table2[Main Member Link ID],Table2[Benefit Name],0)&lt;&gt;Lookups!$D$14),
IF(_xlfn.XLOOKUP(B491,Table2[Main Member Link ID],Table2[Benefit Name],0)=0,"",_xlfn.XLOOKUP(B491,Table2[Main Member Link ID],Table2[Benefit Name],0)),"")))))))))))))))</f>
        <v/>
      </c>
      <c r="AF491" s="327" t="str">
        <f>IF(AND(Table2[[#This Row],[Member Type]]="Main Member",Table2[[#This Row],[Product Option]]="My Value Plus Life &amp; Funeral"),Lookups!$D$15,
IF(AND(Table2[[#This Row],[Member Type]]="Spouse",Table2[[#This Row],[Product Option]]="My Value Plus Life &amp; Funeral",_xlfn.XLOOKUP(B491,Table2[Main Member Link ID],Table2[Benefit Name],0)=Lookups!$D$14),"",
IF(AND(Table2[[#This Row],[Member Type]]="Spouse",Table2[[#This Row],[Product Option]]="My Value Plus Life &amp; Funeral",_xlfn.XLOOKUP(B490,Table2[Main Member Link ID],Table2[Benefit Name],0)=Lookups!$D$16),"",
IF(AND(Table2[[#This Row],[Member Type]]="Spouse",Table2[[#This Row],[Product Option]]="My Value Plus Life &amp; Funeral",_xlfn.XLOOKUP(B490,Table2[Main Member Link ID],Table2[Benefit Name],0)=Lookups!$D$15),"",
IF(AND(Table2[[#This Row],[Member Type]]="Spouse",Table2[[#This Row],[Product Option]]="My Value Plus Life &amp; Funeral",_xlfn.XLOOKUP(B490,Table2[Main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Funeral",_xlfn.XLOOKUP(B491,Table2[Main Member Link ID],Table2[Benefit Name],0)&lt;&gt;Lookups!$D$15),
IF(_xlfn.XLOOKUP(B491,Table2[Main Member Link ID],Table2[Benefit Name],0)=0,"",_xlfn.XLOOKUP(B491,Table2[Main Member Link ID],Table2[Benefit Name],0)),"")
))))))</f>
        <v/>
      </c>
      <c r="AG491" s="327" t="str">
        <f>IF(AND(Table2[[#This Row],[Member Type]]="Main Member",Table2[[#This Row],[Product Option]]="My Value Plus Life &amp; Funeral"),Lookups!$D$16,
IF(AND(Table2[[#This Row],[Member Type]]="Spouse",Table2[[#This Row],[Product Option]]="My Value Plus Life &amp; Funeral",_xlfn.XLOOKUP(B491,Table2[Main Member Link ID],Table2[Benefit Name],0)=Lookups!$D$14),"",
IF(AND(Table2[[#This Row],[Member Type]]="Spouse",Table2[[#This Row],[Product Option]]="My Value Plus Life &amp; Funeral",_xlfn.XLOOKUP(B490,Table2[Main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Funeral",_xlfn.XLOOKUP(B491,Table2[Main Member Link ID],Table2[Benefit Name],0)&lt;&gt;Lookups!$D$16),
IF(_xlfn.XLOOKUP(B491,Table2[Main Member Link ID],Table2[Benefit Name],0)=0,"",_xlfn.XLOOKUP(B491,Table2[Main Member Link ID],Table2[Benefit Name],0)),"")
))))</f>
        <v/>
      </c>
      <c r="AH491" s="327" t="str">
        <f>IF(AND(Table2[[#This Row],[Member Type]]="Main Member",Table2[[#This Row],[Product Option]]="My Value Plus Life &amp; Funeral"),Lookups!$D$17,
IF(AND(Table2[[#This Row],[Member Type]]="Spouse",Table2[[#This Row],[Product Option]]="My Value Plus Life &amp; Funeral",_xlfn.XLOOKUP(B491,Table2[Main Member Link ID],Table2[Benefit Name],0)=Lookups!$D$14),"",
IF(AND(Table2[[#This Row],[Member Type]]="Spouse",Table2[[#This Row],[Product Option]]="My Value Plus Life &amp; Funeral",_xlfn.XLOOKUP(B490,Table2[Main Member Link ID],Table2[Benefit Name],0)=Lookups!$D$16),"",
IF(AND(Table2[[#This Row],[Member Type]]="Child",Table2[[#This Row],[Product Option]]="My Value Plus Life &amp; Funeral"),"",
IF(AND(Table2[[#This Row],[Member Type]]="Child",Table2[[#This Row],[Product Option]]="My Value Plus Life &amp; Funeral",_xlfn.XLOOKUP(B491,Table2[Main Member Link ID],Table2[Benefit Name],0)=Lookups!$D$15),"",
IF(AND(OR(Table2[[#This Row],[Member Type]]="Spouse",Table2[[#This Row],[Member Type]]="Child"),Table2[[#This Row],[Product Option]]="My Value Plus Life &amp; Funeral",_xlfn.XLOOKUP(B491,Table2[Main Member Link ID],Table2[Benefit Name],0)&lt;&gt;Lookups!$D$17),
IF(_xlfn.XLOOKUP(B491,Table2[Main Member Link ID],Table2[Benefit Name],0)=0,"",_xlfn.XLOOKUP(B491,Table2[Main Member Link ID],Table2[Benefit Name],0)),""))))))</f>
        <v/>
      </c>
      <c r="AI491" s="328" t="str">
        <f>IF(AND(Table2[[#This Row],[Member Type]]="Main Member",Table2[[#This Row],[Table Lookup for Life Cover]]="MM_LIFE",Table2[[#This Row],[Age Next Birthday]]&lt;56),1,
IF(AND(Table2[[#This Row],[Member Type]]="Main Member",Table2[[#This Row],[Table Lookup for Life Cover]]="MM_LIFE",Table2[[#This Row],[Age Next Birthday]]&gt;=56),2,
""))</f>
        <v/>
      </c>
      <c r="AJ491" s="328">
        <f>IF(OR(Table2[[#This Row],[Member Type]]="Main Member",Table2[[#This Row],[Main Member Link ID]]=B490),1,0)</f>
        <v>1</v>
      </c>
      <c r="AK491" s="328">
        <f>IF(Table2[[#This Row],[Member Type]]=0,0,
IF(OR(Table2[[#This Row],[Member Type]]="Main Member",Table2[[#This Row],[Main Member Link ID]]&lt;&gt;B491),COUNTIFS(B:B,Table2[[#This Row],[Main Member Link ID]]),
COUNTIFS(B:B,Table2[[#This Row],[Main Member Link ID]],A:A,Table2[[#This Row],[Member Type]])))</f>
        <v>0</v>
      </c>
    </row>
    <row r="492" spans="1:37" x14ac:dyDescent="0.3">
      <c r="A492" s="284">
        <f>Table13[[#This Row],[Member Type]]</f>
        <v>0</v>
      </c>
      <c r="B492" s="284">
        <f>Table13[[#This Row],[Main Member Link ID]]</f>
        <v>0</v>
      </c>
      <c r="C492" s="284">
        <f>Table13[[#This Row],[ID Number]]</f>
        <v>0</v>
      </c>
      <c r="D492" s="285">
        <f>Table13[[#This Row],[Date Of Birth]]</f>
        <v>0</v>
      </c>
      <c r="E492" s="285">
        <f>Table13[[#This Row],[Commencement Date]]</f>
        <v>0</v>
      </c>
      <c r="F492" s="284">
        <f t="shared" si="49"/>
        <v>1</v>
      </c>
      <c r="G492" s="284">
        <f t="shared" si="50"/>
        <v>25</v>
      </c>
      <c r="H492" s="286">
        <f>Table13[[#This Row],[Product Option]]</f>
        <v>0</v>
      </c>
      <c r="I492" s="284">
        <f>IF(AND($A492="Main Member",Table2[[#This Row],[Product Option]]="My Value Plus Life"),"MM_LIFE",
IF(AND($A492="Spouse",Table2[[#This Row],[Product Option]]="My Value Plus Life"),"SP_LIFE",
IF(AND($A492="Main Member",Table2[[#This Row],[Product Option]]="My Value Plus Life &amp; Funeral"),"MM_LIFE",
IF(AND($A492="Spouse",Table2[[#This Row],[Product Option]]="My Value Plus Life &amp; Funeral"),_xlfn.XLOOKUP(Table2[[#This Row],[Benefit Name]],Lookups!$D$18:$D$23,Lookups!$E$18:$E$23,0),
0))))</f>
        <v>0</v>
      </c>
      <c r="J492" s="284">
        <f>IF($I492="","",
IF($I492="MM_LIFE",INDEX('Quotation Tool'!$S$54:$V$60,MATCH($T492,'Quotation Tool'!$S$54:$S$60,0),4),
IF($I492="SP_LIFE",_xlfn.XLOOKUP(B491,$B:$B,$J:$J,0),0)))</f>
        <v>0</v>
      </c>
      <c r="K492" s="287">
        <f t="shared" ca="1" si="54"/>
        <v>0</v>
      </c>
      <c r="L492" s="288">
        <f t="shared" ca="1" si="55"/>
        <v>0</v>
      </c>
      <c r="M492" s="289">
        <f t="shared" ca="1" si="51"/>
        <v>0</v>
      </c>
      <c r="N492" s="286">
        <f>Table13[[#This Row],[Benefit Option]]</f>
        <v>0</v>
      </c>
      <c r="O492" s="284">
        <f>IF(OR(Table2[[#This Row],[Member Type]]="Spouse",Table2[[#This Row],[Member Type]]="Child"),0,
IF(_xlfn.XLOOKUP($N492,Lookups!$D$13:$D$27,Lookups!$F$13:$F$27,0)=Table2[[#This Row],[Table Lookup for Life Cover]],0,
_xlfn.XLOOKUP($N492,Lookups!$D$13:$D$27,Lookups!$F$13:$F$27,0)))</f>
        <v>0</v>
      </c>
      <c r="P492" s="284">
        <f>IF(Table2[[#This Row],[Table Lookup for Funeral]]=0,0,IFERROR(INDEX('Quotation Tool'!$S$54:$V$60,MATCH($T492,'Quotation Tool'!$S$54:$S$60,0),3),0))</f>
        <v>0</v>
      </c>
      <c r="Q492" s="288">
        <f ca="1">IF(OR(Table2[[#This Row],[Benefit Name]]="My Value Plus Life - Main Member",Table2[[#This Row],[Benefit Name]]="My Value Plus Life - Spouse"),0,
IFERROR(VLOOKUP($G492,INDIRECT($O492),$P492,FALSE),0))</f>
        <v>0</v>
      </c>
      <c r="R492" s="288">
        <f ca="1">IF(OR(Table2[[#This Row],[Benefit Name]]="My Value Plus Life - Main Member",Table2[[#This Row],[Benefit Name]]="My Value Plus Life - Spouse"),0,
IFERROR(VLOOKUP($G492,INDIRECT($O492),$P492+1,FALSE),0))</f>
        <v>0</v>
      </c>
      <c r="S492" s="289">
        <f t="shared" ca="1" si="52"/>
        <v>0</v>
      </c>
      <c r="T492" s="284" t="str">
        <f>IF(Table13[[#This Row],[Premium Waiver]]="","None",Table13[[#This Row],[Premium Waiver]])</f>
        <v>None</v>
      </c>
      <c r="U492" s="284">
        <f>Table13[[#This Row],[VAPs Options]]</f>
        <v>0</v>
      </c>
      <c r="V492" s="284">
        <f>Table13[[#This Row],[Annual Increase Option]]</f>
        <v>0</v>
      </c>
      <c r="W492" s="290">
        <f>Table13[[#This Row],[Life Cover Amount]]</f>
        <v>0</v>
      </c>
      <c r="X492" s="290">
        <f>Table13[[#This Row],[Funeral Cover Amount]]</f>
        <v>0</v>
      </c>
      <c r="Y49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9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92" s="301">
        <f t="shared" ca="1" si="53"/>
        <v>0</v>
      </c>
      <c r="AB492" s="298"/>
      <c r="AC492" s="326" t="str">
        <f>IF(Table2[[#This Row],[Member Type]]="Main Member",Lookups!$C$13,
IF(Table2[[#This Row],[Member Type]]="Spouse",_xlfn.XLOOKUP(B492,Table2[Main Member Link ID],Table2[Product Option],0),
IF(AND(Table2[[#This Row],[Member Type]]="Child",_xlfn.XLOOKUP(B492,Table2[Main Member Link ID],Table2[Product Option],0)&lt;&gt;"My Value Plus Life"),Lookups!$C$24,
IF(AND(OR(Table2[[#This Row],[Member Type]]="Parent",Table2[[#This Row],[Member Type]]="Extended"),_xlfn.XLOOKUP(B492,Table2[Main Member Link ID],Table2[Product Option],0)&lt;&gt;"My Value Plus Life"),Lookups!$C$26,""))))</f>
        <v/>
      </c>
      <c r="AD492" s="326" t="str">
        <f>IF(Table2[[#This Row],[Member Type]]="Main Member",Lookups!$C$14,"")</f>
        <v/>
      </c>
      <c r="AE49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Funeral",_xlfn.XLOOKUP(B492,Table2[Main Member Link ID],Table2[Benefit Name],0)=Lookups!$D$14),"",
IF(AND(Table2[[#This Row],[Member Type]]="Spouse",Table2[[#This Row],[Product Option]]="My Value Plus Life &amp; Funeral",_xlfn.XLOOKUP(B491,Table2[Main Member Link ID],Table2[Benefit Name],0)=Lookups!$D$15),Lookups!$D$20,
IF(AND(Table2[[#This Row],[Member Type]]="Spouse",Table2[[#This Row],[Product Option]]="My Value Plus Life &amp; Funeral",_xlfn.XLOOKUP(B491,Table2[Main Member Link ID],Table2[Benefit Name],0)=Lookups!$D$16),"",
IF(AND(Table2[[#This Row],[Member Type]]="Spouse",Table2[[#This Row],[Product Option]]="My Value Plus Life &amp; Funeral",_xlfn.XLOOKUP(B491,Table2[Main Member Link ID],Table2[Benefit Name],0)=Lookups!$D$17),Lookups!$D$21,
IF(AND(Table2[[#This Row],[Member Type]]="Child",Table2[[#This Row],[Product Option]]="My Value Plus Life &amp; Funeral",_xlfn.XLOOKUP(B492,Table2[Main Member Link ID],Table2[Benefit Name],0)=Lookups!$D$14),"",
IF(AND(Table2[[#This Row],[Member Type]]="Child",Table2[[#This Row],[Product Option]]="My Value Plus Life &amp; Funeral",_xlfn.XLOOKUP(B492,Table2[Main Member Link ID],Table2[Benefit Name],0)=Lookups!$D$15),"",
IF(AND(Table2[[#This Row],[Member Type]]="Child",Table2[[#This Row],[Product Option]]="My Value Plus Life &amp; Funeral",_xlfn.XLOOKUP(B492,Table2[Main Member Link ID],Table2[Benefit Name],0)=Lookups!$D$16),Lookups!$D$24,
IF(AND(Table2[[#This Row],[Member Type]]="Child",Table2[[#This Row],[Product Option]]="My Value Plus Life &amp; Funeral",_xlfn.XLOOKUP(B492,Table2[Main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Funeral",_xlfn.XLOOKUP(B492,Table2[Main Member Link ID],Table2[Benefit Name],0)&lt;&gt;Lookups!$D$14),
IF(_xlfn.XLOOKUP(B492,Table2[Main Member Link ID],Table2[Benefit Name],0)=0,"",_xlfn.XLOOKUP(B492,Table2[Main Member Link ID],Table2[Benefit Name],0)),"")))))))))))))))</f>
        <v/>
      </c>
      <c r="AF492" s="327" t="str">
        <f>IF(AND(Table2[[#This Row],[Member Type]]="Main Member",Table2[[#This Row],[Product Option]]="My Value Plus Life &amp; Funeral"),Lookups!$D$15,
IF(AND(Table2[[#This Row],[Member Type]]="Spouse",Table2[[#This Row],[Product Option]]="My Value Plus Life &amp; Funeral",_xlfn.XLOOKUP(B492,Table2[Main Member Link ID],Table2[Benefit Name],0)=Lookups!$D$14),"",
IF(AND(Table2[[#This Row],[Member Type]]="Spouse",Table2[[#This Row],[Product Option]]="My Value Plus Life &amp; Funeral",_xlfn.XLOOKUP(B491,Table2[Main Member Link ID],Table2[Benefit Name],0)=Lookups!$D$16),"",
IF(AND(Table2[[#This Row],[Member Type]]="Spouse",Table2[[#This Row],[Product Option]]="My Value Plus Life &amp; Funeral",_xlfn.XLOOKUP(B491,Table2[Main Member Link ID],Table2[Benefit Name],0)=Lookups!$D$15),"",
IF(AND(Table2[[#This Row],[Member Type]]="Spouse",Table2[[#This Row],[Product Option]]="My Value Plus Life &amp; Funeral",_xlfn.XLOOKUP(B491,Table2[Main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Funeral",_xlfn.XLOOKUP(B492,Table2[Main Member Link ID],Table2[Benefit Name],0)&lt;&gt;Lookups!$D$15),
IF(_xlfn.XLOOKUP(B492,Table2[Main Member Link ID],Table2[Benefit Name],0)=0,"",_xlfn.XLOOKUP(B492,Table2[Main Member Link ID],Table2[Benefit Name],0)),"")
))))))</f>
        <v/>
      </c>
      <c r="AG492" s="327" t="str">
        <f>IF(AND(Table2[[#This Row],[Member Type]]="Main Member",Table2[[#This Row],[Product Option]]="My Value Plus Life &amp; Funeral"),Lookups!$D$16,
IF(AND(Table2[[#This Row],[Member Type]]="Spouse",Table2[[#This Row],[Product Option]]="My Value Plus Life &amp; Funeral",_xlfn.XLOOKUP(B492,Table2[Main Member Link ID],Table2[Benefit Name],0)=Lookups!$D$14),"",
IF(AND(Table2[[#This Row],[Member Type]]="Spouse",Table2[[#This Row],[Product Option]]="My Value Plus Life &amp; Funeral",_xlfn.XLOOKUP(B491,Table2[Main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Funeral",_xlfn.XLOOKUP(B492,Table2[Main Member Link ID],Table2[Benefit Name],0)&lt;&gt;Lookups!$D$16),
IF(_xlfn.XLOOKUP(B492,Table2[Main Member Link ID],Table2[Benefit Name],0)=0,"",_xlfn.XLOOKUP(B492,Table2[Main Member Link ID],Table2[Benefit Name],0)),"")
))))</f>
        <v/>
      </c>
      <c r="AH492" s="327" t="str">
        <f>IF(AND(Table2[[#This Row],[Member Type]]="Main Member",Table2[[#This Row],[Product Option]]="My Value Plus Life &amp; Funeral"),Lookups!$D$17,
IF(AND(Table2[[#This Row],[Member Type]]="Spouse",Table2[[#This Row],[Product Option]]="My Value Plus Life &amp; Funeral",_xlfn.XLOOKUP(B492,Table2[Main Member Link ID],Table2[Benefit Name],0)=Lookups!$D$14),"",
IF(AND(Table2[[#This Row],[Member Type]]="Spouse",Table2[[#This Row],[Product Option]]="My Value Plus Life &amp; Funeral",_xlfn.XLOOKUP(B491,Table2[Main Member Link ID],Table2[Benefit Name],0)=Lookups!$D$16),"",
IF(AND(Table2[[#This Row],[Member Type]]="Child",Table2[[#This Row],[Product Option]]="My Value Plus Life &amp; Funeral"),"",
IF(AND(Table2[[#This Row],[Member Type]]="Child",Table2[[#This Row],[Product Option]]="My Value Plus Life &amp; Funeral",_xlfn.XLOOKUP(B492,Table2[Main Member Link ID],Table2[Benefit Name],0)=Lookups!$D$15),"",
IF(AND(OR(Table2[[#This Row],[Member Type]]="Spouse",Table2[[#This Row],[Member Type]]="Child"),Table2[[#This Row],[Product Option]]="My Value Plus Life &amp; Funeral",_xlfn.XLOOKUP(B492,Table2[Main Member Link ID],Table2[Benefit Name],0)&lt;&gt;Lookups!$D$17),
IF(_xlfn.XLOOKUP(B492,Table2[Main Member Link ID],Table2[Benefit Name],0)=0,"",_xlfn.XLOOKUP(B492,Table2[Main Member Link ID],Table2[Benefit Name],0)),""))))))</f>
        <v/>
      </c>
      <c r="AI492" s="328" t="str">
        <f>IF(AND(Table2[[#This Row],[Member Type]]="Main Member",Table2[[#This Row],[Table Lookup for Life Cover]]="MM_LIFE",Table2[[#This Row],[Age Next Birthday]]&lt;56),1,
IF(AND(Table2[[#This Row],[Member Type]]="Main Member",Table2[[#This Row],[Table Lookup for Life Cover]]="MM_LIFE",Table2[[#This Row],[Age Next Birthday]]&gt;=56),2,
""))</f>
        <v/>
      </c>
      <c r="AJ492" s="328">
        <f>IF(OR(Table2[[#This Row],[Member Type]]="Main Member",Table2[[#This Row],[Main Member Link ID]]=B491),1,0)</f>
        <v>1</v>
      </c>
      <c r="AK492" s="328">
        <f>IF(Table2[[#This Row],[Member Type]]=0,0,
IF(OR(Table2[[#This Row],[Member Type]]="Main Member",Table2[[#This Row],[Main Member Link ID]]&lt;&gt;B492),COUNTIFS(B:B,Table2[[#This Row],[Main Member Link ID]]),
COUNTIFS(B:B,Table2[[#This Row],[Main Member Link ID]],A:A,Table2[[#This Row],[Member Type]])))</f>
        <v>0</v>
      </c>
    </row>
    <row r="493" spans="1:37" x14ac:dyDescent="0.3">
      <c r="A493" s="284">
        <f>Table13[[#This Row],[Member Type]]</f>
        <v>0</v>
      </c>
      <c r="B493" s="284">
        <f>Table13[[#This Row],[Main Member Link ID]]</f>
        <v>0</v>
      </c>
      <c r="C493" s="284">
        <f>Table13[[#This Row],[ID Number]]</f>
        <v>0</v>
      </c>
      <c r="D493" s="285">
        <f>Table13[[#This Row],[Date Of Birth]]</f>
        <v>0</v>
      </c>
      <c r="E493" s="285">
        <f>Table13[[#This Row],[Commencement Date]]</f>
        <v>0</v>
      </c>
      <c r="F493" s="284">
        <f t="shared" si="49"/>
        <v>1</v>
      </c>
      <c r="G493" s="284">
        <f t="shared" si="50"/>
        <v>25</v>
      </c>
      <c r="H493" s="286">
        <f>Table13[[#This Row],[Product Option]]</f>
        <v>0</v>
      </c>
      <c r="I493" s="284">
        <f>IF(AND($A493="Main Member",Table2[[#This Row],[Product Option]]="My Value Plus Life"),"MM_LIFE",
IF(AND($A493="Spouse",Table2[[#This Row],[Product Option]]="My Value Plus Life"),"SP_LIFE",
IF(AND($A493="Main Member",Table2[[#This Row],[Product Option]]="My Value Plus Life &amp; Funeral"),"MM_LIFE",
IF(AND($A493="Spouse",Table2[[#This Row],[Product Option]]="My Value Plus Life &amp; Funeral"),_xlfn.XLOOKUP(Table2[[#This Row],[Benefit Name]],Lookups!$D$18:$D$23,Lookups!$E$18:$E$23,0),
0))))</f>
        <v>0</v>
      </c>
      <c r="J493" s="284">
        <f>IF($I493="","",
IF($I493="MM_LIFE",INDEX('Quotation Tool'!$S$54:$V$60,MATCH($T493,'Quotation Tool'!$S$54:$S$60,0),4),
IF($I493="SP_LIFE",_xlfn.XLOOKUP(B492,$B:$B,$J:$J,0),0)))</f>
        <v>0</v>
      </c>
      <c r="K493" s="287">
        <f t="shared" ca="1" si="54"/>
        <v>0</v>
      </c>
      <c r="L493" s="288">
        <f t="shared" ca="1" si="55"/>
        <v>0</v>
      </c>
      <c r="M493" s="289">
        <f t="shared" ca="1" si="51"/>
        <v>0</v>
      </c>
      <c r="N493" s="286">
        <f>Table13[[#This Row],[Benefit Option]]</f>
        <v>0</v>
      </c>
      <c r="O493" s="284">
        <f>IF(OR(Table2[[#This Row],[Member Type]]="Spouse",Table2[[#This Row],[Member Type]]="Child"),0,
IF(_xlfn.XLOOKUP($N493,Lookups!$D$13:$D$27,Lookups!$F$13:$F$27,0)=Table2[[#This Row],[Table Lookup for Life Cover]],0,
_xlfn.XLOOKUP($N493,Lookups!$D$13:$D$27,Lookups!$F$13:$F$27,0)))</f>
        <v>0</v>
      </c>
      <c r="P493" s="284">
        <f>IF(Table2[[#This Row],[Table Lookup for Funeral]]=0,0,IFERROR(INDEX('Quotation Tool'!$S$54:$V$60,MATCH($T493,'Quotation Tool'!$S$54:$S$60,0),3),0))</f>
        <v>0</v>
      </c>
      <c r="Q493" s="288">
        <f ca="1">IF(OR(Table2[[#This Row],[Benefit Name]]="My Value Plus Life - Main Member",Table2[[#This Row],[Benefit Name]]="My Value Plus Life - Spouse"),0,
IFERROR(VLOOKUP($G493,INDIRECT($O493),$P493,FALSE),0))</f>
        <v>0</v>
      </c>
      <c r="R493" s="288">
        <f ca="1">IF(OR(Table2[[#This Row],[Benefit Name]]="My Value Plus Life - Main Member",Table2[[#This Row],[Benefit Name]]="My Value Plus Life - Spouse"),0,
IFERROR(VLOOKUP($G493,INDIRECT($O493),$P493+1,FALSE),0))</f>
        <v>0</v>
      </c>
      <c r="S493" s="289">
        <f t="shared" ca="1" si="52"/>
        <v>0</v>
      </c>
      <c r="T493" s="284" t="str">
        <f>IF(Table13[[#This Row],[Premium Waiver]]="","None",Table13[[#This Row],[Premium Waiver]])</f>
        <v>None</v>
      </c>
      <c r="U493" s="284">
        <f>Table13[[#This Row],[VAPs Options]]</f>
        <v>0</v>
      </c>
      <c r="V493" s="284">
        <f>Table13[[#This Row],[Annual Increase Option]]</f>
        <v>0</v>
      </c>
      <c r="W493" s="290">
        <f>Table13[[#This Row],[Life Cover Amount]]</f>
        <v>0</v>
      </c>
      <c r="X493" s="290">
        <f>Table13[[#This Row],[Funeral Cover Amount]]</f>
        <v>0</v>
      </c>
      <c r="Y49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9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93" s="301">
        <f t="shared" ca="1" si="53"/>
        <v>0</v>
      </c>
      <c r="AB493" s="298"/>
      <c r="AC493" s="326" t="str">
        <f>IF(Table2[[#This Row],[Member Type]]="Main Member",Lookups!$C$13,
IF(Table2[[#This Row],[Member Type]]="Spouse",_xlfn.XLOOKUP(B493,Table2[Main Member Link ID],Table2[Product Option],0),
IF(AND(Table2[[#This Row],[Member Type]]="Child",_xlfn.XLOOKUP(B493,Table2[Main Member Link ID],Table2[Product Option],0)&lt;&gt;"My Value Plus Life"),Lookups!$C$24,
IF(AND(OR(Table2[[#This Row],[Member Type]]="Parent",Table2[[#This Row],[Member Type]]="Extended"),_xlfn.XLOOKUP(B493,Table2[Main Member Link ID],Table2[Product Option],0)&lt;&gt;"My Value Plus Life"),Lookups!$C$26,""))))</f>
        <v/>
      </c>
      <c r="AD493" s="326" t="str">
        <f>IF(Table2[[#This Row],[Member Type]]="Main Member",Lookups!$C$14,"")</f>
        <v/>
      </c>
      <c r="AE49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Funeral",_xlfn.XLOOKUP(B493,Table2[Main Member Link ID],Table2[Benefit Name],0)=Lookups!$D$14),"",
IF(AND(Table2[[#This Row],[Member Type]]="Spouse",Table2[[#This Row],[Product Option]]="My Value Plus Life &amp; Funeral",_xlfn.XLOOKUP(B492,Table2[Main Member Link ID],Table2[Benefit Name],0)=Lookups!$D$15),Lookups!$D$20,
IF(AND(Table2[[#This Row],[Member Type]]="Spouse",Table2[[#This Row],[Product Option]]="My Value Plus Life &amp; Funeral",_xlfn.XLOOKUP(B492,Table2[Main Member Link ID],Table2[Benefit Name],0)=Lookups!$D$16),"",
IF(AND(Table2[[#This Row],[Member Type]]="Spouse",Table2[[#This Row],[Product Option]]="My Value Plus Life &amp; Funeral",_xlfn.XLOOKUP(B492,Table2[Main Member Link ID],Table2[Benefit Name],0)=Lookups!$D$17),Lookups!$D$21,
IF(AND(Table2[[#This Row],[Member Type]]="Child",Table2[[#This Row],[Product Option]]="My Value Plus Life &amp; Funeral",_xlfn.XLOOKUP(B493,Table2[Main Member Link ID],Table2[Benefit Name],0)=Lookups!$D$14),"",
IF(AND(Table2[[#This Row],[Member Type]]="Child",Table2[[#This Row],[Product Option]]="My Value Plus Life &amp; Funeral",_xlfn.XLOOKUP(B493,Table2[Main Member Link ID],Table2[Benefit Name],0)=Lookups!$D$15),"",
IF(AND(Table2[[#This Row],[Member Type]]="Child",Table2[[#This Row],[Product Option]]="My Value Plus Life &amp; Funeral",_xlfn.XLOOKUP(B493,Table2[Main Member Link ID],Table2[Benefit Name],0)=Lookups!$D$16),Lookups!$D$24,
IF(AND(Table2[[#This Row],[Member Type]]="Child",Table2[[#This Row],[Product Option]]="My Value Plus Life &amp; Funeral",_xlfn.XLOOKUP(B493,Table2[Main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Funeral",_xlfn.XLOOKUP(B493,Table2[Main Member Link ID],Table2[Benefit Name],0)&lt;&gt;Lookups!$D$14),
IF(_xlfn.XLOOKUP(B493,Table2[Main Member Link ID],Table2[Benefit Name],0)=0,"",_xlfn.XLOOKUP(B493,Table2[Main Member Link ID],Table2[Benefit Name],0)),"")))))))))))))))</f>
        <v/>
      </c>
      <c r="AF493" s="327" t="str">
        <f>IF(AND(Table2[[#This Row],[Member Type]]="Main Member",Table2[[#This Row],[Product Option]]="My Value Plus Life &amp; Funeral"),Lookups!$D$15,
IF(AND(Table2[[#This Row],[Member Type]]="Spouse",Table2[[#This Row],[Product Option]]="My Value Plus Life &amp; Funeral",_xlfn.XLOOKUP(B493,Table2[Main Member Link ID],Table2[Benefit Name],0)=Lookups!$D$14),"",
IF(AND(Table2[[#This Row],[Member Type]]="Spouse",Table2[[#This Row],[Product Option]]="My Value Plus Life &amp; Funeral",_xlfn.XLOOKUP(B492,Table2[Main Member Link ID],Table2[Benefit Name],0)=Lookups!$D$16),"",
IF(AND(Table2[[#This Row],[Member Type]]="Spouse",Table2[[#This Row],[Product Option]]="My Value Plus Life &amp; Funeral",_xlfn.XLOOKUP(B492,Table2[Main Member Link ID],Table2[Benefit Name],0)=Lookups!$D$15),"",
IF(AND(Table2[[#This Row],[Member Type]]="Spouse",Table2[[#This Row],[Product Option]]="My Value Plus Life &amp; Funeral",_xlfn.XLOOKUP(B492,Table2[Main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Funeral",_xlfn.XLOOKUP(B493,Table2[Main Member Link ID],Table2[Benefit Name],0)&lt;&gt;Lookups!$D$15),
IF(_xlfn.XLOOKUP(B493,Table2[Main Member Link ID],Table2[Benefit Name],0)=0,"",_xlfn.XLOOKUP(B493,Table2[Main Member Link ID],Table2[Benefit Name],0)),"")
))))))</f>
        <v/>
      </c>
      <c r="AG493" s="327" t="str">
        <f>IF(AND(Table2[[#This Row],[Member Type]]="Main Member",Table2[[#This Row],[Product Option]]="My Value Plus Life &amp; Funeral"),Lookups!$D$16,
IF(AND(Table2[[#This Row],[Member Type]]="Spouse",Table2[[#This Row],[Product Option]]="My Value Plus Life &amp; Funeral",_xlfn.XLOOKUP(B493,Table2[Main Member Link ID],Table2[Benefit Name],0)=Lookups!$D$14),"",
IF(AND(Table2[[#This Row],[Member Type]]="Spouse",Table2[[#This Row],[Product Option]]="My Value Plus Life &amp; Funeral",_xlfn.XLOOKUP(B492,Table2[Main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Funeral",_xlfn.XLOOKUP(B493,Table2[Main Member Link ID],Table2[Benefit Name],0)&lt;&gt;Lookups!$D$16),
IF(_xlfn.XLOOKUP(B493,Table2[Main Member Link ID],Table2[Benefit Name],0)=0,"",_xlfn.XLOOKUP(B493,Table2[Main Member Link ID],Table2[Benefit Name],0)),"")
))))</f>
        <v/>
      </c>
      <c r="AH493" s="327" t="str">
        <f>IF(AND(Table2[[#This Row],[Member Type]]="Main Member",Table2[[#This Row],[Product Option]]="My Value Plus Life &amp; Funeral"),Lookups!$D$17,
IF(AND(Table2[[#This Row],[Member Type]]="Spouse",Table2[[#This Row],[Product Option]]="My Value Plus Life &amp; Funeral",_xlfn.XLOOKUP(B493,Table2[Main Member Link ID],Table2[Benefit Name],0)=Lookups!$D$14),"",
IF(AND(Table2[[#This Row],[Member Type]]="Spouse",Table2[[#This Row],[Product Option]]="My Value Plus Life &amp; Funeral",_xlfn.XLOOKUP(B492,Table2[Main Member Link ID],Table2[Benefit Name],0)=Lookups!$D$16),"",
IF(AND(Table2[[#This Row],[Member Type]]="Child",Table2[[#This Row],[Product Option]]="My Value Plus Life &amp; Funeral"),"",
IF(AND(Table2[[#This Row],[Member Type]]="Child",Table2[[#This Row],[Product Option]]="My Value Plus Life &amp; Funeral",_xlfn.XLOOKUP(B493,Table2[Main Member Link ID],Table2[Benefit Name],0)=Lookups!$D$15),"",
IF(AND(OR(Table2[[#This Row],[Member Type]]="Spouse",Table2[[#This Row],[Member Type]]="Child"),Table2[[#This Row],[Product Option]]="My Value Plus Life &amp; Funeral",_xlfn.XLOOKUP(B493,Table2[Main Member Link ID],Table2[Benefit Name],0)&lt;&gt;Lookups!$D$17),
IF(_xlfn.XLOOKUP(B493,Table2[Main Member Link ID],Table2[Benefit Name],0)=0,"",_xlfn.XLOOKUP(B493,Table2[Main Member Link ID],Table2[Benefit Name],0)),""))))))</f>
        <v/>
      </c>
      <c r="AI493" s="328" t="str">
        <f>IF(AND(Table2[[#This Row],[Member Type]]="Main Member",Table2[[#This Row],[Table Lookup for Life Cover]]="MM_LIFE",Table2[[#This Row],[Age Next Birthday]]&lt;56),1,
IF(AND(Table2[[#This Row],[Member Type]]="Main Member",Table2[[#This Row],[Table Lookup for Life Cover]]="MM_LIFE",Table2[[#This Row],[Age Next Birthday]]&gt;=56),2,
""))</f>
        <v/>
      </c>
      <c r="AJ493" s="328">
        <f>IF(OR(Table2[[#This Row],[Member Type]]="Main Member",Table2[[#This Row],[Main Member Link ID]]=B492),1,0)</f>
        <v>1</v>
      </c>
      <c r="AK493" s="328">
        <f>IF(Table2[[#This Row],[Member Type]]=0,0,
IF(OR(Table2[[#This Row],[Member Type]]="Main Member",Table2[[#This Row],[Main Member Link ID]]&lt;&gt;B493),COUNTIFS(B:B,Table2[[#This Row],[Main Member Link ID]]),
COUNTIFS(B:B,Table2[[#This Row],[Main Member Link ID]],A:A,Table2[[#This Row],[Member Type]])))</f>
        <v>0</v>
      </c>
    </row>
    <row r="494" spans="1:37" x14ac:dyDescent="0.3">
      <c r="A494" s="284">
        <f>Table13[[#This Row],[Member Type]]</f>
        <v>0</v>
      </c>
      <c r="B494" s="284">
        <f>Table13[[#This Row],[Main Member Link ID]]</f>
        <v>0</v>
      </c>
      <c r="C494" s="284">
        <f>Table13[[#This Row],[ID Number]]</f>
        <v>0</v>
      </c>
      <c r="D494" s="285">
        <f>Table13[[#This Row],[Date Of Birth]]</f>
        <v>0</v>
      </c>
      <c r="E494" s="285">
        <f>Table13[[#This Row],[Commencement Date]]</f>
        <v>0</v>
      </c>
      <c r="F494" s="284">
        <f t="shared" si="49"/>
        <v>1</v>
      </c>
      <c r="G494" s="284">
        <f t="shared" si="50"/>
        <v>25</v>
      </c>
      <c r="H494" s="286">
        <f>Table13[[#This Row],[Product Option]]</f>
        <v>0</v>
      </c>
      <c r="I494" s="284">
        <f>IF(AND($A494="Main Member",Table2[[#This Row],[Product Option]]="My Value Plus Life"),"MM_LIFE",
IF(AND($A494="Spouse",Table2[[#This Row],[Product Option]]="My Value Plus Life"),"SP_LIFE",
IF(AND($A494="Main Member",Table2[[#This Row],[Product Option]]="My Value Plus Life &amp; Funeral"),"MM_LIFE",
IF(AND($A494="Spouse",Table2[[#This Row],[Product Option]]="My Value Plus Life &amp; Funeral"),_xlfn.XLOOKUP(Table2[[#This Row],[Benefit Name]],Lookups!$D$18:$D$23,Lookups!$E$18:$E$23,0),
0))))</f>
        <v>0</v>
      </c>
      <c r="J494" s="284">
        <f>IF($I494="","",
IF($I494="MM_LIFE",INDEX('Quotation Tool'!$S$54:$V$60,MATCH($T494,'Quotation Tool'!$S$54:$S$60,0),4),
IF($I494="SP_LIFE",_xlfn.XLOOKUP(B493,$B:$B,$J:$J,0),0)))</f>
        <v>0</v>
      </c>
      <c r="K494" s="287">
        <f t="shared" ca="1" si="54"/>
        <v>0</v>
      </c>
      <c r="L494" s="288">
        <f t="shared" ca="1" si="55"/>
        <v>0</v>
      </c>
      <c r="M494" s="289">
        <f t="shared" ca="1" si="51"/>
        <v>0</v>
      </c>
      <c r="N494" s="286">
        <f>Table13[[#This Row],[Benefit Option]]</f>
        <v>0</v>
      </c>
      <c r="O494" s="284">
        <f>IF(OR(Table2[[#This Row],[Member Type]]="Spouse",Table2[[#This Row],[Member Type]]="Child"),0,
IF(_xlfn.XLOOKUP($N494,Lookups!$D$13:$D$27,Lookups!$F$13:$F$27,0)=Table2[[#This Row],[Table Lookup for Life Cover]],0,
_xlfn.XLOOKUP($N494,Lookups!$D$13:$D$27,Lookups!$F$13:$F$27,0)))</f>
        <v>0</v>
      </c>
      <c r="P494" s="284">
        <f>IF(Table2[[#This Row],[Table Lookup for Funeral]]=0,0,IFERROR(INDEX('Quotation Tool'!$S$54:$V$60,MATCH($T494,'Quotation Tool'!$S$54:$S$60,0),3),0))</f>
        <v>0</v>
      </c>
      <c r="Q494" s="288">
        <f ca="1">IF(OR(Table2[[#This Row],[Benefit Name]]="My Value Plus Life - Main Member",Table2[[#This Row],[Benefit Name]]="My Value Plus Life - Spouse"),0,
IFERROR(VLOOKUP($G494,INDIRECT($O494),$P494,FALSE),0))</f>
        <v>0</v>
      </c>
      <c r="R494" s="288">
        <f ca="1">IF(OR(Table2[[#This Row],[Benefit Name]]="My Value Plus Life - Main Member",Table2[[#This Row],[Benefit Name]]="My Value Plus Life - Spouse"),0,
IFERROR(VLOOKUP($G494,INDIRECT($O494),$P494+1,FALSE),0))</f>
        <v>0</v>
      </c>
      <c r="S494" s="289">
        <f t="shared" ca="1" si="52"/>
        <v>0</v>
      </c>
      <c r="T494" s="284" t="str">
        <f>IF(Table13[[#This Row],[Premium Waiver]]="","None",Table13[[#This Row],[Premium Waiver]])</f>
        <v>None</v>
      </c>
      <c r="U494" s="284">
        <f>Table13[[#This Row],[VAPs Options]]</f>
        <v>0</v>
      </c>
      <c r="V494" s="284">
        <f>Table13[[#This Row],[Annual Increase Option]]</f>
        <v>0</v>
      </c>
      <c r="W494" s="290">
        <f>Table13[[#This Row],[Life Cover Amount]]</f>
        <v>0</v>
      </c>
      <c r="X494" s="290">
        <f>Table13[[#This Row],[Funeral Cover Amount]]</f>
        <v>0</v>
      </c>
      <c r="Y49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9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94" s="301">
        <f t="shared" ca="1" si="53"/>
        <v>0</v>
      </c>
      <c r="AB494" s="298"/>
      <c r="AC494" s="326" t="str">
        <f>IF(Table2[[#This Row],[Member Type]]="Main Member",Lookups!$C$13,
IF(Table2[[#This Row],[Member Type]]="Spouse",_xlfn.XLOOKUP(B494,Table2[Main Member Link ID],Table2[Product Option],0),
IF(AND(Table2[[#This Row],[Member Type]]="Child",_xlfn.XLOOKUP(B494,Table2[Main Member Link ID],Table2[Product Option],0)&lt;&gt;"My Value Plus Life"),Lookups!$C$24,
IF(AND(OR(Table2[[#This Row],[Member Type]]="Parent",Table2[[#This Row],[Member Type]]="Extended"),_xlfn.XLOOKUP(B494,Table2[Main Member Link ID],Table2[Product Option],0)&lt;&gt;"My Value Plus Life"),Lookups!$C$26,""))))</f>
        <v/>
      </c>
      <c r="AD494" s="326" t="str">
        <f>IF(Table2[[#This Row],[Member Type]]="Main Member",Lookups!$C$14,"")</f>
        <v/>
      </c>
      <c r="AE49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Funeral",_xlfn.XLOOKUP(B494,Table2[Main Member Link ID],Table2[Benefit Name],0)=Lookups!$D$14),"",
IF(AND(Table2[[#This Row],[Member Type]]="Spouse",Table2[[#This Row],[Product Option]]="My Value Plus Life &amp; Funeral",_xlfn.XLOOKUP(B493,Table2[Main Member Link ID],Table2[Benefit Name],0)=Lookups!$D$15),Lookups!$D$20,
IF(AND(Table2[[#This Row],[Member Type]]="Spouse",Table2[[#This Row],[Product Option]]="My Value Plus Life &amp; Funeral",_xlfn.XLOOKUP(B493,Table2[Main Member Link ID],Table2[Benefit Name],0)=Lookups!$D$16),"",
IF(AND(Table2[[#This Row],[Member Type]]="Spouse",Table2[[#This Row],[Product Option]]="My Value Plus Life &amp; Funeral",_xlfn.XLOOKUP(B493,Table2[Main Member Link ID],Table2[Benefit Name],0)=Lookups!$D$17),Lookups!$D$21,
IF(AND(Table2[[#This Row],[Member Type]]="Child",Table2[[#This Row],[Product Option]]="My Value Plus Life &amp; Funeral",_xlfn.XLOOKUP(B494,Table2[Main Member Link ID],Table2[Benefit Name],0)=Lookups!$D$14),"",
IF(AND(Table2[[#This Row],[Member Type]]="Child",Table2[[#This Row],[Product Option]]="My Value Plus Life &amp; Funeral",_xlfn.XLOOKUP(B494,Table2[Main Member Link ID],Table2[Benefit Name],0)=Lookups!$D$15),"",
IF(AND(Table2[[#This Row],[Member Type]]="Child",Table2[[#This Row],[Product Option]]="My Value Plus Life &amp; Funeral",_xlfn.XLOOKUP(B494,Table2[Main Member Link ID],Table2[Benefit Name],0)=Lookups!$D$16),Lookups!$D$24,
IF(AND(Table2[[#This Row],[Member Type]]="Child",Table2[[#This Row],[Product Option]]="My Value Plus Life &amp; Funeral",_xlfn.XLOOKUP(B494,Table2[Main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Funeral",_xlfn.XLOOKUP(B494,Table2[Main Member Link ID],Table2[Benefit Name],0)&lt;&gt;Lookups!$D$14),
IF(_xlfn.XLOOKUP(B494,Table2[Main Member Link ID],Table2[Benefit Name],0)=0,"",_xlfn.XLOOKUP(B494,Table2[Main Member Link ID],Table2[Benefit Name],0)),"")))))))))))))))</f>
        <v/>
      </c>
      <c r="AF494" s="327" t="str">
        <f>IF(AND(Table2[[#This Row],[Member Type]]="Main Member",Table2[[#This Row],[Product Option]]="My Value Plus Life &amp; Funeral"),Lookups!$D$15,
IF(AND(Table2[[#This Row],[Member Type]]="Spouse",Table2[[#This Row],[Product Option]]="My Value Plus Life &amp; Funeral",_xlfn.XLOOKUP(B494,Table2[Main Member Link ID],Table2[Benefit Name],0)=Lookups!$D$14),"",
IF(AND(Table2[[#This Row],[Member Type]]="Spouse",Table2[[#This Row],[Product Option]]="My Value Plus Life &amp; Funeral",_xlfn.XLOOKUP(B493,Table2[Main Member Link ID],Table2[Benefit Name],0)=Lookups!$D$16),"",
IF(AND(Table2[[#This Row],[Member Type]]="Spouse",Table2[[#This Row],[Product Option]]="My Value Plus Life &amp; Funeral",_xlfn.XLOOKUP(B493,Table2[Main Member Link ID],Table2[Benefit Name],0)=Lookups!$D$15),"",
IF(AND(Table2[[#This Row],[Member Type]]="Spouse",Table2[[#This Row],[Product Option]]="My Value Plus Life &amp; Funeral",_xlfn.XLOOKUP(B493,Table2[Main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Funeral",_xlfn.XLOOKUP(B494,Table2[Main Member Link ID],Table2[Benefit Name],0)&lt;&gt;Lookups!$D$15),
IF(_xlfn.XLOOKUP(B494,Table2[Main Member Link ID],Table2[Benefit Name],0)=0,"",_xlfn.XLOOKUP(B494,Table2[Main Member Link ID],Table2[Benefit Name],0)),"")
))))))</f>
        <v/>
      </c>
      <c r="AG494" s="327" t="str">
        <f>IF(AND(Table2[[#This Row],[Member Type]]="Main Member",Table2[[#This Row],[Product Option]]="My Value Plus Life &amp; Funeral"),Lookups!$D$16,
IF(AND(Table2[[#This Row],[Member Type]]="Spouse",Table2[[#This Row],[Product Option]]="My Value Plus Life &amp; Funeral",_xlfn.XLOOKUP(B494,Table2[Main Member Link ID],Table2[Benefit Name],0)=Lookups!$D$14),"",
IF(AND(Table2[[#This Row],[Member Type]]="Spouse",Table2[[#This Row],[Product Option]]="My Value Plus Life &amp; Funeral",_xlfn.XLOOKUP(B493,Table2[Main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Funeral",_xlfn.XLOOKUP(B494,Table2[Main Member Link ID],Table2[Benefit Name],0)&lt;&gt;Lookups!$D$16),
IF(_xlfn.XLOOKUP(B494,Table2[Main Member Link ID],Table2[Benefit Name],0)=0,"",_xlfn.XLOOKUP(B494,Table2[Main Member Link ID],Table2[Benefit Name],0)),"")
))))</f>
        <v/>
      </c>
      <c r="AH494" s="327" t="str">
        <f>IF(AND(Table2[[#This Row],[Member Type]]="Main Member",Table2[[#This Row],[Product Option]]="My Value Plus Life &amp; Funeral"),Lookups!$D$17,
IF(AND(Table2[[#This Row],[Member Type]]="Spouse",Table2[[#This Row],[Product Option]]="My Value Plus Life &amp; Funeral",_xlfn.XLOOKUP(B494,Table2[Main Member Link ID],Table2[Benefit Name],0)=Lookups!$D$14),"",
IF(AND(Table2[[#This Row],[Member Type]]="Spouse",Table2[[#This Row],[Product Option]]="My Value Plus Life &amp; Funeral",_xlfn.XLOOKUP(B493,Table2[Main Member Link ID],Table2[Benefit Name],0)=Lookups!$D$16),"",
IF(AND(Table2[[#This Row],[Member Type]]="Child",Table2[[#This Row],[Product Option]]="My Value Plus Life &amp; Funeral"),"",
IF(AND(Table2[[#This Row],[Member Type]]="Child",Table2[[#This Row],[Product Option]]="My Value Plus Life &amp; Funeral",_xlfn.XLOOKUP(B494,Table2[Main Member Link ID],Table2[Benefit Name],0)=Lookups!$D$15),"",
IF(AND(OR(Table2[[#This Row],[Member Type]]="Spouse",Table2[[#This Row],[Member Type]]="Child"),Table2[[#This Row],[Product Option]]="My Value Plus Life &amp; Funeral",_xlfn.XLOOKUP(B494,Table2[Main Member Link ID],Table2[Benefit Name],0)&lt;&gt;Lookups!$D$17),
IF(_xlfn.XLOOKUP(B494,Table2[Main Member Link ID],Table2[Benefit Name],0)=0,"",_xlfn.XLOOKUP(B494,Table2[Main Member Link ID],Table2[Benefit Name],0)),""))))))</f>
        <v/>
      </c>
      <c r="AI494" s="328" t="str">
        <f>IF(AND(Table2[[#This Row],[Member Type]]="Main Member",Table2[[#This Row],[Table Lookup for Life Cover]]="MM_LIFE",Table2[[#This Row],[Age Next Birthday]]&lt;56),1,
IF(AND(Table2[[#This Row],[Member Type]]="Main Member",Table2[[#This Row],[Table Lookup for Life Cover]]="MM_LIFE",Table2[[#This Row],[Age Next Birthday]]&gt;=56),2,
""))</f>
        <v/>
      </c>
      <c r="AJ494" s="328">
        <f>IF(OR(Table2[[#This Row],[Member Type]]="Main Member",Table2[[#This Row],[Main Member Link ID]]=B493),1,0)</f>
        <v>1</v>
      </c>
      <c r="AK494" s="328">
        <f>IF(Table2[[#This Row],[Member Type]]=0,0,
IF(OR(Table2[[#This Row],[Member Type]]="Main Member",Table2[[#This Row],[Main Member Link ID]]&lt;&gt;B494),COUNTIFS(B:B,Table2[[#This Row],[Main Member Link ID]]),
COUNTIFS(B:B,Table2[[#This Row],[Main Member Link ID]],A:A,Table2[[#This Row],[Member Type]])))</f>
        <v>0</v>
      </c>
    </row>
    <row r="495" spans="1:37" x14ac:dyDescent="0.3">
      <c r="A495" s="284">
        <f>Table13[[#This Row],[Member Type]]</f>
        <v>0</v>
      </c>
      <c r="B495" s="284">
        <f>Table13[[#This Row],[Main Member Link ID]]</f>
        <v>0</v>
      </c>
      <c r="C495" s="284">
        <f>Table13[[#This Row],[ID Number]]</f>
        <v>0</v>
      </c>
      <c r="D495" s="285">
        <f>Table13[[#This Row],[Date Of Birth]]</f>
        <v>0</v>
      </c>
      <c r="E495" s="285">
        <f>Table13[[#This Row],[Commencement Date]]</f>
        <v>0</v>
      </c>
      <c r="F495" s="284">
        <f t="shared" si="49"/>
        <v>1</v>
      </c>
      <c r="G495" s="284">
        <f t="shared" si="50"/>
        <v>25</v>
      </c>
      <c r="H495" s="286">
        <f>Table13[[#This Row],[Product Option]]</f>
        <v>0</v>
      </c>
      <c r="I495" s="284">
        <f>IF(AND($A495="Main Member",Table2[[#This Row],[Product Option]]="My Value Plus Life"),"MM_LIFE",
IF(AND($A495="Spouse",Table2[[#This Row],[Product Option]]="My Value Plus Life"),"SP_LIFE",
IF(AND($A495="Main Member",Table2[[#This Row],[Product Option]]="My Value Plus Life &amp; Funeral"),"MM_LIFE",
IF(AND($A495="Spouse",Table2[[#This Row],[Product Option]]="My Value Plus Life &amp; Funeral"),_xlfn.XLOOKUP(Table2[[#This Row],[Benefit Name]],Lookups!$D$18:$D$23,Lookups!$E$18:$E$23,0),
0))))</f>
        <v>0</v>
      </c>
      <c r="J495" s="284">
        <f>IF($I495="","",
IF($I495="MM_LIFE",INDEX('Quotation Tool'!$S$54:$V$60,MATCH($T495,'Quotation Tool'!$S$54:$S$60,0),4),
IF($I495="SP_LIFE",_xlfn.XLOOKUP(B494,$B:$B,$J:$J,0),0)))</f>
        <v>0</v>
      </c>
      <c r="K495" s="287">
        <f t="shared" ca="1" si="54"/>
        <v>0</v>
      </c>
      <c r="L495" s="288">
        <f t="shared" ca="1" si="55"/>
        <v>0</v>
      </c>
      <c r="M495" s="289">
        <f t="shared" ca="1" si="51"/>
        <v>0</v>
      </c>
      <c r="N495" s="286">
        <f>Table13[[#This Row],[Benefit Option]]</f>
        <v>0</v>
      </c>
      <c r="O495" s="284">
        <f>IF(OR(Table2[[#This Row],[Member Type]]="Spouse",Table2[[#This Row],[Member Type]]="Child"),0,
IF(_xlfn.XLOOKUP($N495,Lookups!$D$13:$D$27,Lookups!$F$13:$F$27,0)=Table2[[#This Row],[Table Lookup for Life Cover]],0,
_xlfn.XLOOKUP($N495,Lookups!$D$13:$D$27,Lookups!$F$13:$F$27,0)))</f>
        <v>0</v>
      </c>
      <c r="P495" s="284">
        <f>IF(Table2[[#This Row],[Table Lookup for Funeral]]=0,0,IFERROR(INDEX('Quotation Tool'!$S$54:$V$60,MATCH($T495,'Quotation Tool'!$S$54:$S$60,0),3),0))</f>
        <v>0</v>
      </c>
      <c r="Q495" s="288">
        <f ca="1">IF(OR(Table2[[#This Row],[Benefit Name]]="My Value Plus Life - Main Member",Table2[[#This Row],[Benefit Name]]="My Value Plus Life - Spouse"),0,
IFERROR(VLOOKUP($G495,INDIRECT($O495),$P495,FALSE),0))</f>
        <v>0</v>
      </c>
      <c r="R495" s="288">
        <f ca="1">IF(OR(Table2[[#This Row],[Benefit Name]]="My Value Plus Life - Main Member",Table2[[#This Row],[Benefit Name]]="My Value Plus Life - Spouse"),0,
IFERROR(VLOOKUP($G495,INDIRECT($O495),$P495+1,FALSE),0))</f>
        <v>0</v>
      </c>
      <c r="S495" s="289">
        <f t="shared" ca="1" si="52"/>
        <v>0</v>
      </c>
      <c r="T495" s="284" t="str">
        <f>IF(Table13[[#This Row],[Premium Waiver]]="","None",Table13[[#This Row],[Premium Waiver]])</f>
        <v>None</v>
      </c>
      <c r="U495" s="284">
        <f>Table13[[#This Row],[VAPs Options]]</f>
        <v>0</v>
      </c>
      <c r="V495" s="284">
        <f>Table13[[#This Row],[Annual Increase Option]]</f>
        <v>0</v>
      </c>
      <c r="W495" s="290">
        <f>Table13[[#This Row],[Life Cover Amount]]</f>
        <v>0</v>
      </c>
      <c r="X495" s="290">
        <f>Table13[[#This Row],[Funeral Cover Amount]]</f>
        <v>0</v>
      </c>
      <c r="Y49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9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95" s="301">
        <f t="shared" ca="1" si="53"/>
        <v>0</v>
      </c>
      <c r="AB495" s="298"/>
      <c r="AC495" s="326" t="str">
        <f>IF(Table2[[#This Row],[Member Type]]="Main Member",Lookups!$C$13,
IF(Table2[[#This Row],[Member Type]]="Spouse",_xlfn.XLOOKUP(B495,Table2[Main Member Link ID],Table2[Product Option],0),
IF(AND(Table2[[#This Row],[Member Type]]="Child",_xlfn.XLOOKUP(B495,Table2[Main Member Link ID],Table2[Product Option],0)&lt;&gt;"My Value Plus Life"),Lookups!$C$24,
IF(AND(OR(Table2[[#This Row],[Member Type]]="Parent",Table2[[#This Row],[Member Type]]="Extended"),_xlfn.XLOOKUP(B495,Table2[Main Member Link ID],Table2[Product Option],0)&lt;&gt;"My Value Plus Life"),Lookups!$C$26,""))))</f>
        <v/>
      </c>
      <c r="AD495" s="326" t="str">
        <f>IF(Table2[[#This Row],[Member Type]]="Main Member",Lookups!$C$14,"")</f>
        <v/>
      </c>
      <c r="AE49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Funeral",_xlfn.XLOOKUP(B495,Table2[Main Member Link ID],Table2[Benefit Name],0)=Lookups!$D$14),"",
IF(AND(Table2[[#This Row],[Member Type]]="Spouse",Table2[[#This Row],[Product Option]]="My Value Plus Life &amp; Funeral",_xlfn.XLOOKUP(B494,Table2[Main Member Link ID],Table2[Benefit Name],0)=Lookups!$D$15),Lookups!$D$20,
IF(AND(Table2[[#This Row],[Member Type]]="Spouse",Table2[[#This Row],[Product Option]]="My Value Plus Life &amp; Funeral",_xlfn.XLOOKUP(B494,Table2[Main Member Link ID],Table2[Benefit Name],0)=Lookups!$D$16),"",
IF(AND(Table2[[#This Row],[Member Type]]="Spouse",Table2[[#This Row],[Product Option]]="My Value Plus Life &amp; Funeral",_xlfn.XLOOKUP(B494,Table2[Main Member Link ID],Table2[Benefit Name],0)=Lookups!$D$17),Lookups!$D$21,
IF(AND(Table2[[#This Row],[Member Type]]="Child",Table2[[#This Row],[Product Option]]="My Value Plus Life &amp; Funeral",_xlfn.XLOOKUP(B495,Table2[Main Member Link ID],Table2[Benefit Name],0)=Lookups!$D$14),"",
IF(AND(Table2[[#This Row],[Member Type]]="Child",Table2[[#This Row],[Product Option]]="My Value Plus Life &amp; Funeral",_xlfn.XLOOKUP(B495,Table2[Main Member Link ID],Table2[Benefit Name],0)=Lookups!$D$15),"",
IF(AND(Table2[[#This Row],[Member Type]]="Child",Table2[[#This Row],[Product Option]]="My Value Plus Life &amp; Funeral",_xlfn.XLOOKUP(B495,Table2[Main Member Link ID],Table2[Benefit Name],0)=Lookups!$D$16),Lookups!$D$24,
IF(AND(Table2[[#This Row],[Member Type]]="Child",Table2[[#This Row],[Product Option]]="My Value Plus Life &amp; Funeral",_xlfn.XLOOKUP(B495,Table2[Main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Funeral",_xlfn.XLOOKUP(B495,Table2[Main Member Link ID],Table2[Benefit Name],0)&lt;&gt;Lookups!$D$14),
IF(_xlfn.XLOOKUP(B495,Table2[Main Member Link ID],Table2[Benefit Name],0)=0,"",_xlfn.XLOOKUP(B495,Table2[Main Member Link ID],Table2[Benefit Name],0)),"")))))))))))))))</f>
        <v/>
      </c>
      <c r="AF495" s="327" t="str">
        <f>IF(AND(Table2[[#This Row],[Member Type]]="Main Member",Table2[[#This Row],[Product Option]]="My Value Plus Life &amp; Funeral"),Lookups!$D$15,
IF(AND(Table2[[#This Row],[Member Type]]="Spouse",Table2[[#This Row],[Product Option]]="My Value Plus Life &amp; Funeral",_xlfn.XLOOKUP(B495,Table2[Main Member Link ID],Table2[Benefit Name],0)=Lookups!$D$14),"",
IF(AND(Table2[[#This Row],[Member Type]]="Spouse",Table2[[#This Row],[Product Option]]="My Value Plus Life &amp; Funeral",_xlfn.XLOOKUP(B494,Table2[Main Member Link ID],Table2[Benefit Name],0)=Lookups!$D$16),"",
IF(AND(Table2[[#This Row],[Member Type]]="Spouse",Table2[[#This Row],[Product Option]]="My Value Plus Life &amp; Funeral",_xlfn.XLOOKUP(B494,Table2[Main Member Link ID],Table2[Benefit Name],0)=Lookups!$D$15),"",
IF(AND(Table2[[#This Row],[Member Type]]="Spouse",Table2[[#This Row],[Product Option]]="My Value Plus Life &amp; Funeral",_xlfn.XLOOKUP(B494,Table2[Main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Funeral",_xlfn.XLOOKUP(B495,Table2[Main Member Link ID],Table2[Benefit Name],0)&lt;&gt;Lookups!$D$15),
IF(_xlfn.XLOOKUP(B495,Table2[Main Member Link ID],Table2[Benefit Name],0)=0,"",_xlfn.XLOOKUP(B495,Table2[Main Member Link ID],Table2[Benefit Name],0)),"")
))))))</f>
        <v/>
      </c>
      <c r="AG495" s="327" t="str">
        <f>IF(AND(Table2[[#This Row],[Member Type]]="Main Member",Table2[[#This Row],[Product Option]]="My Value Plus Life &amp; Funeral"),Lookups!$D$16,
IF(AND(Table2[[#This Row],[Member Type]]="Spouse",Table2[[#This Row],[Product Option]]="My Value Plus Life &amp; Funeral",_xlfn.XLOOKUP(B495,Table2[Main Member Link ID],Table2[Benefit Name],0)=Lookups!$D$14),"",
IF(AND(Table2[[#This Row],[Member Type]]="Spouse",Table2[[#This Row],[Product Option]]="My Value Plus Life &amp; Funeral",_xlfn.XLOOKUP(B494,Table2[Main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Funeral",_xlfn.XLOOKUP(B495,Table2[Main Member Link ID],Table2[Benefit Name],0)&lt;&gt;Lookups!$D$16),
IF(_xlfn.XLOOKUP(B495,Table2[Main Member Link ID],Table2[Benefit Name],0)=0,"",_xlfn.XLOOKUP(B495,Table2[Main Member Link ID],Table2[Benefit Name],0)),"")
))))</f>
        <v/>
      </c>
      <c r="AH495" s="327" t="str">
        <f>IF(AND(Table2[[#This Row],[Member Type]]="Main Member",Table2[[#This Row],[Product Option]]="My Value Plus Life &amp; Funeral"),Lookups!$D$17,
IF(AND(Table2[[#This Row],[Member Type]]="Spouse",Table2[[#This Row],[Product Option]]="My Value Plus Life &amp; Funeral",_xlfn.XLOOKUP(B495,Table2[Main Member Link ID],Table2[Benefit Name],0)=Lookups!$D$14),"",
IF(AND(Table2[[#This Row],[Member Type]]="Spouse",Table2[[#This Row],[Product Option]]="My Value Plus Life &amp; Funeral",_xlfn.XLOOKUP(B494,Table2[Main Member Link ID],Table2[Benefit Name],0)=Lookups!$D$16),"",
IF(AND(Table2[[#This Row],[Member Type]]="Child",Table2[[#This Row],[Product Option]]="My Value Plus Life &amp; Funeral"),"",
IF(AND(Table2[[#This Row],[Member Type]]="Child",Table2[[#This Row],[Product Option]]="My Value Plus Life &amp; Funeral",_xlfn.XLOOKUP(B495,Table2[Main Member Link ID],Table2[Benefit Name],0)=Lookups!$D$15),"",
IF(AND(OR(Table2[[#This Row],[Member Type]]="Spouse",Table2[[#This Row],[Member Type]]="Child"),Table2[[#This Row],[Product Option]]="My Value Plus Life &amp; Funeral",_xlfn.XLOOKUP(B495,Table2[Main Member Link ID],Table2[Benefit Name],0)&lt;&gt;Lookups!$D$17),
IF(_xlfn.XLOOKUP(B495,Table2[Main Member Link ID],Table2[Benefit Name],0)=0,"",_xlfn.XLOOKUP(B495,Table2[Main Member Link ID],Table2[Benefit Name],0)),""))))))</f>
        <v/>
      </c>
      <c r="AI495" s="328" t="str">
        <f>IF(AND(Table2[[#This Row],[Member Type]]="Main Member",Table2[[#This Row],[Table Lookup for Life Cover]]="MM_LIFE",Table2[[#This Row],[Age Next Birthday]]&lt;56),1,
IF(AND(Table2[[#This Row],[Member Type]]="Main Member",Table2[[#This Row],[Table Lookup for Life Cover]]="MM_LIFE",Table2[[#This Row],[Age Next Birthday]]&gt;=56),2,
""))</f>
        <v/>
      </c>
      <c r="AJ495" s="328">
        <f>IF(OR(Table2[[#This Row],[Member Type]]="Main Member",Table2[[#This Row],[Main Member Link ID]]=B494),1,0)</f>
        <v>1</v>
      </c>
      <c r="AK495" s="328">
        <f>IF(Table2[[#This Row],[Member Type]]=0,0,
IF(OR(Table2[[#This Row],[Member Type]]="Main Member",Table2[[#This Row],[Main Member Link ID]]&lt;&gt;B495),COUNTIFS(B:B,Table2[[#This Row],[Main Member Link ID]]),
COUNTIFS(B:B,Table2[[#This Row],[Main Member Link ID]],A:A,Table2[[#This Row],[Member Type]])))</f>
        <v>0</v>
      </c>
    </row>
    <row r="496" spans="1:37" x14ac:dyDescent="0.3">
      <c r="A496" s="284">
        <f>Table13[[#This Row],[Member Type]]</f>
        <v>0</v>
      </c>
      <c r="B496" s="284">
        <f>Table13[[#This Row],[Main Member Link ID]]</f>
        <v>0</v>
      </c>
      <c r="C496" s="284">
        <f>Table13[[#This Row],[ID Number]]</f>
        <v>0</v>
      </c>
      <c r="D496" s="285">
        <f>Table13[[#This Row],[Date Of Birth]]</f>
        <v>0</v>
      </c>
      <c r="E496" s="285">
        <f>Table13[[#This Row],[Commencement Date]]</f>
        <v>0</v>
      </c>
      <c r="F496" s="284">
        <f t="shared" si="49"/>
        <v>1</v>
      </c>
      <c r="G496" s="284">
        <f t="shared" si="50"/>
        <v>25</v>
      </c>
      <c r="H496" s="286">
        <f>Table13[[#This Row],[Product Option]]</f>
        <v>0</v>
      </c>
      <c r="I496" s="284">
        <f>IF(AND($A496="Main Member",Table2[[#This Row],[Product Option]]="My Value Plus Life"),"MM_LIFE",
IF(AND($A496="Spouse",Table2[[#This Row],[Product Option]]="My Value Plus Life"),"SP_LIFE",
IF(AND($A496="Main Member",Table2[[#This Row],[Product Option]]="My Value Plus Life &amp; Funeral"),"MM_LIFE",
IF(AND($A496="Spouse",Table2[[#This Row],[Product Option]]="My Value Plus Life &amp; Funeral"),_xlfn.XLOOKUP(Table2[[#This Row],[Benefit Name]],Lookups!$D$18:$D$23,Lookups!$E$18:$E$23,0),
0))))</f>
        <v>0</v>
      </c>
      <c r="J496" s="284">
        <f>IF($I496="","",
IF($I496="MM_LIFE",INDEX('Quotation Tool'!$S$54:$V$60,MATCH($T496,'Quotation Tool'!$S$54:$S$60,0),4),
IF($I496="SP_LIFE",_xlfn.XLOOKUP(B495,$B:$B,$J:$J,0),0)))</f>
        <v>0</v>
      </c>
      <c r="K496" s="287">
        <f t="shared" ca="1" si="54"/>
        <v>0</v>
      </c>
      <c r="L496" s="288">
        <f t="shared" ca="1" si="55"/>
        <v>0</v>
      </c>
      <c r="M496" s="289">
        <f t="shared" ca="1" si="51"/>
        <v>0</v>
      </c>
      <c r="N496" s="286">
        <f>Table13[[#This Row],[Benefit Option]]</f>
        <v>0</v>
      </c>
      <c r="O496" s="284">
        <f>IF(OR(Table2[[#This Row],[Member Type]]="Spouse",Table2[[#This Row],[Member Type]]="Child"),0,
IF(_xlfn.XLOOKUP($N496,Lookups!$D$13:$D$27,Lookups!$F$13:$F$27,0)=Table2[[#This Row],[Table Lookup for Life Cover]],0,
_xlfn.XLOOKUP($N496,Lookups!$D$13:$D$27,Lookups!$F$13:$F$27,0)))</f>
        <v>0</v>
      </c>
      <c r="P496" s="284">
        <f>IF(Table2[[#This Row],[Table Lookup for Funeral]]=0,0,IFERROR(INDEX('Quotation Tool'!$S$54:$V$60,MATCH($T496,'Quotation Tool'!$S$54:$S$60,0),3),0))</f>
        <v>0</v>
      </c>
      <c r="Q496" s="288">
        <f ca="1">IF(OR(Table2[[#This Row],[Benefit Name]]="My Value Plus Life - Main Member",Table2[[#This Row],[Benefit Name]]="My Value Plus Life - Spouse"),0,
IFERROR(VLOOKUP($G496,INDIRECT($O496),$P496,FALSE),0))</f>
        <v>0</v>
      </c>
      <c r="R496" s="288">
        <f ca="1">IF(OR(Table2[[#This Row],[Benefit Name]]="My Value Plus Life - Main Member",Table2[[#This Row],[Benefit Name]]="My Value Plus Life - Spouse"),0,
IFERROR(VLOOKUP($G496,INDIRECT($O496),$P496+1,FALSE),0))</f>
        <v>0</v>
      </c>
      <c r="S496" s="289">
        <f t="shared" ca="1" si="52"/>
        <v>0</v>
      </c>
      <c r="T496" s="284" t="str">
        <f>IF(Table13[[#This Row],[Premium Waiver]]="","None",Table13[[#This Row],[Premium Waiver]])</f>
        <v>None</v>
      </c>
      <c r="U496" s="284">
        <f>Table13[[#This Row],[VAPs Options]]</f>
        <v>0</v>
      </c>
      <c r="V496" s="284">
        <f>Table13[[#This Row],[Annual Increase Option]]</f>
        <v>0</v>
      </c>
      <c r="W496" s="290">
        <f>Table13[[#This Row],[Life Cover Amount]]</f>
        <v>0</v>
      </c>
      <c r="X496" s="290">
        <f>Table13[[#This Row],[Funeral Cover Amount]]</f>
        <v>0</v>
      </c>
      <c r="Y49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9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96" s="301">
        <f t="shared" ca="1" si="53"/>
        <v>0</v>
      </c>
      <c r="AB496" s="298"/>
      <c r="AC496" s="326" t="str">
        <f>IF(Table2[[#This Row],[Member Type]]="Main Member",Lookups!$C$13,
IF(Table2[[#This Row],[Member Type]]="Spouse",_xlfn.XLOOKUP(B496,Table2[Main Member Link ID],Table2[Product Option],0),
IF(AND(Table2[[#This Row],[Member Type]]="Child",_xlfn.XLOOKUP(B496,Table2[Main Member Link ID],Table2[Product Option],0)&lt;&gt;"My Value Plus Life"),Lookups!$C$24,
IF(AND(OR(Table2[[#This Row],[Member Type]]="Parent",Table2[[#This Row],[Member Type]]="Extended"),_xlfn.XLOOKUP(B496,Table2[Main Member Link ID],Table2[Product Option],0)&lt;&gt;"My Value Plus Life"),Lookups!$C$26,""))))</f>
        <v/>
      </c>
      <c r="AD496" s="326" t="str">
        <f>IF(Table2[[#This Row],[Member Type]]="Main Member",Lookups!$C$14,"")</f>
        <v/>
      </c>
      <c r="AE49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Funeral",_xlfn.XLOOKUP(B496,Table2[Main Member Link ID],Table2[Benefit Name],0)=Lookups!$D$14),"",
IF(AND(Table2[[#This Row],[Member Type]]="Spouse",Table2[[#This Row],[Product Option]]="My Value Plus Life &amp; Funeral",_xlfn.XLOOKUP(B495,Table2[Main Member Link ID],Table2[Benefit Name],0)=Lookups!$D$15),Lookups!$D$20,
IF(AND(Table2[[#This Row],[Member Type]]="Spouse",Table2[[#This Row],[Product Option]]="My Value Plus Life &amp; Funeral",_xlfn.XLOOKUP(B495,Table2[Main Member Link ID],Table2[Benefit Name],0)=Lookups!$D$16),"",
IF(AND(Table2[[#This Row],[Member Type]]="Spouse",Table2[[#This Row],[Product Option]]="My Value Plus Life &amp; Funeral",_xlfn.XLOOKUP(B495,Table2[Main Member Link ID],Table2[Benefit Name],0)=Lookups!$D$17),Lookups!$D$21,
IF(AND(Table2[[#This Row],[Member Type]]="Child",Table2[[#This Row],[Product Option]]="My Value Plus Life &amp; Funeral",_xlfn.XLOOKUP(B496,Table2[Main Member Link ID],Table2[Benefit Name],0)=Lookups!$D$14),"",
IF(AND(Table2[[#This Row],[Member Type]]="Child",Table2[[#This Row],[Product Option]]="My Value Plus Life &amp; Funeral",_xlfn.XLOOKUP(B496,Table2[Main Member Link ID],Table2[Benefit Name],0)=Lookups!$D$15),"",
IF(AND(Table2[[#This Row],[Member Type]]="Child",Table2[[#This Row],[Product Option]]="My Value Plus Life &amp; Funeral",_xlfn.XLOOKUP(B496,Table2[Main Member Link ID],Table2[Benefit Name],0)=Lookups!$D$16),Lookups!$D$24,
IF(AND(Table2[[#This Row],[Member Type]]="Child",Table2[[#This Row],[Product Option]]="My Value Plus Life &amp; Funeral",_xlfn.XLOOKUP(B496,Table2[Main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Funeral",_xlfn.XLOOKUP(B496,Table2[Main Member Link ID],Table2[Benefit Name],0)&lt;&gt;Lookups!$D$14),
IF(_xlfn.XLOOKUP(B496,Table2[Main Member Link ID],Table2[Benefit Name],0)=0,"",_xlfn.XLOOKUP(B496,Table2[Main Member Link ID],Table2[Benefit Name],0)),"")))))))))))))))</f>
        <v/>
      </c>
      <c r="AF496" s="327" t="str">
        <f>IF(AND(Table2[[#This Row],[Member Type]]="Main Member",Table2[[#This Row],[Product Option]]="My Value Plus Life &amp; Funeral"),Lookups!$D$15,
IF(AND(Table2[[#This Row],[Member Type]]="Spouse",Table2[[#This Row],[Product Option]]="My Value Plus Life &amp; Funeral",_xlfn.XLOOKUP(B496,Table2[Main Member Link ID],Table2[Benefit Name],0)=Lookups!$D$14),"",
IF(AND(Table2[[#This Row],[Member Type]]="Spouse",Table2[[#This Row],[Product Option]]="My Value Plus Life &amp; Funeral",_xlfn.XLOOKUP(B495,Table2[Main Member Link ID],Table2[Benefit Name],0)=Lookups!$D$16),"",
IF(AND(Table2[[#This Row],[Member Type]]="Spouse",Table2[[#This Row],[Product Option]]="My Value Plus Life &amp; Funeral",_xlfn.XLOOKUP(B495,Table2[Main Member Link ID],Table2[Benefit Name],0)=Lookups!$D$15),"",
IF(AND(Table2[[#This Row],[Member Type]]="Spouse",Table2[[#This Row],[Product Option]]="My Value Plus Life &amp; Funeral",_xlfn.XLOOKUP(B495,Table2[Main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Funeral",_xlfn.XLOOKUP(B496,Table2[Main Member Link ID],Table2[Benefit Name],0)&lt;&gt;Lookups!$D$15),
IF(_xlfn.XLOOKUP(B496,Table2[Main Member Link ID],Table2[Benefit Name],0)=0,"",_xlfn.XLOOKUP(B496,Table2[Main Member Link ID],Table2[Benefit Name],0)),"")
))))))</f>
        <v/>
      </c>
      <c r="AG496" s="327" t="str">
        <f>IF(AND(Table2[[#This Row],[Member Type]]="Main Member",Table2[[#This Row],[Product Option]]="My Value Plus Life &amp; Funeral"),Lookups!$D$16,
IF(AND(Table2[[#This Row],[Member Type]]="Spouse",Table2[[#This Row],[Product Option]]="My Value Plus Life &amp; Funeral",_xlfn.XLOOKUP(B496,Table2[Main Member Link ID],Table2[Benefit Name],0)=Lookups!$D$14),"",
IF(AND(Table2[[#This Row],[Member Type]]="Spouse",Table2[[#This Row],[Product Option]]="My Value Plus Life &amp; Funeral",_xlfn.XLOOKUP(B495,Table2[Main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Funeral",_xlfn.XLOOKUP(B496,Table2[Main Member Link ID],Table2[Benefit Name],0)&lt;&gt;Lookups!$D$16),
IF(_xlfn.XLOOKUP(B496,Table2[Main Member Link ID],Table2[Benefit Name],0)=0,"",_xlfn.XLOOKUP(B496,Table2[Main Member Link ID],Table2[Benefit Name],0)),"")
))))</f>
        <v/>
      </c>
      <c r="AH496" s="327" t="str">
        <f>IF(AND(Table2[[#This Row],[Member Type]]="Main Member",Table2[[#This Row],[Product Option]]="My Value Plus Life &amp; Funeral"),Lookups!$D$17,
IF(AND(Table2[[#This Row],[Member Type]]="Spouse",Table2[[#This Row],[Product Option]]="My Value Plus Life &amp; Funeral",_xlfn.XLOOKUP(B496,Table2[Main Member Link ID],Table2[Benefit Name],0)=Lookups!$D$14),"",
IF(AND(Table2[[#This Row],[Member Type]]="Spouse",Table2[[#This Row],[Product Option]]="My Value Plus Life &amp; Funeral",_xlfn.XLOOKUP(B495,Table2[Main Member Link ID],Table2[Benefit Name],0)=Lookups!$D$16),"",
IF(AND(Table2[[#This Row],[Member Type]]="Child",Table2[[#This Row],[Product Option]]="My Value Plus Life &amp; Funeral"),"",
IF(AND(Table2[[#This Row],[Member Type]]="Child",Table2[[#This Row],[Product Option]]="My Value Plus Life &amp; Funeral",_xlfn.XLOOKUP(B496,Table2[Main Member Link ID],Table2[Benefit Name],0)=Lookups!$D$15),"",
IF(AND(OR(Table2[[#This Row],[Member Type]]="Spouse",Table2[[#This Row],[Member Type]]="Child"),Table2[[#This Row],[Product Option]]="My Value Plus Life &amp; Funeral",_xlfn.XLOOKUP(B496,Table2[Main Member Link ID],Table2[Benefit Name],0)&lt;&gt;Lookups!$D$17),
IF(_xlfn.XLOOKUP(B496,Table2[Main Member Link ID],Table2[Benefit Name],0)=0,"",_xlfn.XLOOKUP(B496,Table2[Main Member Link ID],Table2[Benefit Name],0)),""))))))</f>
        <v/>
      </c>
      <c r="AI496" s="328" t="str">
        <f>IF(AND(Table2[[#This Row],[Member Type]]="Main Member",Table2[[#This Row],[Table Lookup for Life Cover]]="MM_LIFE",Table2[[#This Row],[Age Next Birthday]]&lt;56),1,
IF(AND(Table2[[#This Row],[Member Type]]="Main Member",Table2[[#This Row],[Table Lookup for Life Cover]]="MM_LIFE",Table2[[#This Row],[Age Next Birthday]]&gt;=56),2,
""))</f>
        <v/>
      </c>
      <c r="AJ496" s="328">
        <f>IF(OR(Table2[[#This Row],[Member Type]]="Main Member",Table2[[#This Row],[Main Member Link ID]]=B495),1,0)</f>
        <v>1</v>
      </c>
      <c r="AK496" s="328">
        <f>IF(Table2[[#This Row],[Member Type]]=0,0,
IF(OR(Table2[[#This Row],[Member Type]]="Main Member",Table2[[#This Row],[Main Member Link ID]]&lt;&gt;B496),COUNTIFS(B:B,Table2[[#This Row],[Main Member Link ID]]),
COUNTIFS(B:B,Table2[[#This Row],[Main Member Link ID]],A:A,Table2[[#This Row],[Member Type]])))</f>
        <v>0</v>
      </c>
    </row>
    <row r="497" spans="1:37" x14ac:dyDescent="0.3">
      <c r="A497" s="284">
        <f>Table13[[#This Row],[Member Type]]</f>
        <v>0</v>
      </c>
      <c r="B497" s="284">
        <f>Table13[[#This Row],[Main Member Link ID]]</f>
        <v>0</v>
      </c>
      <c r="C497" s="284">
        <f>Table13[[#This Row],[ID Number]]</f>
        <v>0</v>
      </c>
      <c r="D497" s="285">
        <f>Table13[[#This Row],[Date Of Birth]]</f>
        <v>0</v>
      </c>
      <c r="E497" s="285">
        <f>Table13[[#This Row],[Commencement Date]]</f>
        <v>0</v>
      </c>
      <c r="F497" s="284">
        <f t="shared" si="49"/>
        <v>1</v>
      </c>
      <c r="G497" s="284">
        <f t="shared" si="50"/>
        <v>25</v>
      </c>
      <c r="H497" s="286">
        <f>Table13[[#This Row],[Product Option]]</f>
        <v>0</v>
      </c>
      <c r="I497" s="284">
        <f>IF(AND($A497="Main Member",Table2[[#This Row],[Product Option]]="My Value Plus Life"),"MM_LIFE",
IF(AND($A497="Spouse",Table2[[#This Row],[Product Option]]="My Value Plus Life"),"SP_LIFE",
IF(AND($A497="Main Member",Table2[[#This Row],[Product Option]]="My Value Plus Life &amp; Funeral"),"MM_LIFE",
IF(AND($A497="Spouse",Table2[[#This Row],[Product Option]]="My Value Plus Life &amp; Funeral"),_xlfn.XLOOKUP(Table2[[#This Row],[Benefit Name]],Lookups!$D$18:$D$23,Lookups!$E$18:$E$23,0),
0))))</f>
        <v>0</v>
      </c>
      <c r="J497" s="284">
        <f>IF($I497="","",
IF($I497="MM_LIFE",INDEX('Quotation Tool'!$S$54:$V$60,MATCH($T497,'Quotation Tool'!$S$54:$S$60,0),4),
IF($I497="SP_LIFE",_xlfn.XLOOKUP(B496,$B:$B,$J:$J,0),0)))</f>
        <v>0</v>
      </c>
      <c r="K497" s="287">
        <f t="shared" ca="1" si="54"/>
        <v>0</v>
      </c>
      <c r="L497" s="288">
        <f t="shared" ca="1" si="55"/>
        <v>0</v>
      </c>
      <c r="M497" s="289">
        <f t="shared" ca="1" si="51"/>
        <v>0</v>
      </c>
      <c r="N497" s="286">
        <f>Table13[[#This Row],[Benefit Option]]</f>
        <v>0</v>
      </c>
      <c r="O497" s="284">
        <f>IF(OR(Table2[[#This Row],[Member Type]]="Spouse",Table2[[#This Row],[Member Type]]="Child"),0,
IF(_xlfn.XLOOKUP($N497,Lookups!$D$13:$D$27,Lookups!$F$13:$F$27,0)=Table2[[#This Row],[Table Lookup for Life Cover]],0,
_xlfn.XLOOKUP($N497,Lookups!$D$13:$D$27,Lookups!$F$13:$F$27,0)))</f>
        <v>0</v>
      </c>
      <c r="P497" s="284">
        <f>IF(Table2[[#This Row],[Table Lookup for Funeral]]=0,0,IFERROR(INDEX('Quotation Tool'!$S$54:$V$60,MATCH($T497,'Quotation Tool'!$S$54:$S$60,0),3),0))</f>
        <v>0</v>
      </c>
      <c r="Q497" s="288">
        <f ca="1">IF(OR(Table2[[#This Row],[Benefit Name]]="My Value Plus Life - Main Member",Table2[[#This Row],[Benefit Name]]="My Value Plus Life - Spouse"),0,
IFERROR(VLOOKUP($G497,INDIRECT($O497),$P497,FALSE),0))</f>
        <v>0</v>
      </c>
      <c r="R497" s="288">
        <f ca="1">IF(OR(Table2[[#This Row],[Benefit Name]]="My Value Plus Life - Main Member",Table2[[#This Row],[Benefit Name]]="My Value Plus Life - Spouse"),0,
IFERROR(VLOOKUP($G497,INDIRECT($O497),$P497+1,FALSE),0))</f>
        <v>0</v>
      </c>
      <c r="S497" s="289">
        <f t="shared" ca="1" si="52"/>
        <v>0</v>
      </c>
      <c r="T497" s="284" t="str">
        <f>IF(Table13[[#This Row],[Premium Waiver]]="","None",Table13[[#This Row],[Premium Waiver]])</f>
        <v>None</v>
      </c>
      <c r="U497" s="284">
        <f>Table13[[#This Row],[VAPs Options]]</f>
        <v>0</v>
      </c>
      <c r="V497" s="284">
        <f>Table13[[#This Row],[Annual Increase Option]]</f>
        <v>0</v>
      </c>
      <c r="W497" s="290">
        <f>Table13[[#This Row],[Life Cover Amount]]</f>
        <v>0</v>
      </c>
      <c r="X497" s="290">
        <f>Table13[[#This Row],[Funeral Cover Amount]]</f>
        <v>0</v>
      </c>
      <c r="Y49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9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97" s="301">
        <f t="shared" ca="1" si="53"/>
        <v>0</v>
      </c>
      <c r="AB497" s="298"/>
      <c r="AC497" s="326" t="str">
        <f>IF(Table2[[#This Row],[Member Type]]="Main Member",Lookups!$C$13,
IF(Table2[[#This Row],[Member Type]]="Spouse",_xlfn.XLOOKUP(B497,Table2[Main Member Link ID],Table2[Product Option],0),
IF(AND(Table2[[#This Row],[Member Type]]="Child",_xlfn.XLOOKUP(B497,Table2[Main Member Link ID],Table2[Product Option],0)&lt;&gt;"My Value Plus Life"),Lookups!$C$24,
IF(AND(OR(Table2[[#This Row],[Member Type]]="Parent",Table2[[#This Row],[Member Type]]="Extended"),_xlfn.XLOOKUP(B497,Table2[Main Member Link ID],Table2[Product Option],0)&lt;&gt;"My Value Plus Life"),Lookups!$C$26,""))))</f>
        <v/>
      </c>
      <c r="AD497" s="326" t="str">
        <f>IF(Table2[[#This Row],[Member Type]]="Main Member",Lookups!$C$14,"")</f>
        <v/>
      </c>
      <c r="AE49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Funeral",_xlfn.XLOOKUP(B497,Table2[Main Member Link ID],Table2[Benefit Name],0)=Lookups!$D$14),"",
IF(AND(Table2[[#This Row],[Member Type]]="Spouse",Table2[[#This Row],[Product Option]]="My Value Plus Life &amp; Funeral",_xlfn.XLOOKUP(B496,Table2[Main Member Link ID],Table2[Benefit Name],0)=Lookups!$D$15),Lookups!$D$20,
IF(AND(Table2[[#This Row],[Member Type]]="Spouse",Table2[[#This Row],[Product Option]]="My Value Plus Life &amp; Funeral",_xlfn.XLOOKUP(B496,Table2[Main Member Link ID],Table2[Benefit Name],0)=Lookups!$D$16),"",
IF(AND(Table2[[#This Row],[Member Type]]="Spouse",Table2[[#This Row],[Product Option]]="My Value Plus Life &amp; Funeral",_xlfn.XLOOKUP(B496,Table2[Main Member Link ID],Table2[Benefit Name],0)=Lookups!$D$17),Lookups!$D$21,
IF(AND(Table2[[#This Row],[Member Type]]="Child",Table2[[#This Row],[Product Option]]="My Value Plus Life &amp; Funeral",_xlfn.XLOOKUP(B497,Table2[Main Member Link ID],Table2[Benefit Name],0)=Lookups!$D$14),"",
IF(AND(Table2[[#This Row],[Member Type]]="Child",Table2[[#This Row],[Product Option]]="My Value Plus Life &amp; Funeral",_xlfn.XLOOKUP(B497,Table2[Main Member Link ID],Table2[Benefit Name],0)=Lookups!$D$15),"",
IF(AND(Table2[[#This Row],[Member Type]]="Child",Table2[[#This Row],[Product Option]]="My Value Plus Life &amp; Funeral",_xlfn.XLOOKUP(B497,Table2[Main Member Link ID],Table2[Benefit Name],0)=Lookups!$D$16),Lookups!$D$24,
IF(AND(Table2[[#This Row],[Member Type]]="Child",Table2[[#This Row],[Product Option]]="My Value Plus Life &amp; Funeral",_xlfn.XLOOKUP(B497,Table2[Main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Funeral",_xlfn.XLOOKUP(B497,Table2[Main Member Link ID],Table2[Benefit Name],0)&lt;&gt;Lookups!$D$14),
IF(_xlfn.XLOOKUP(B497,Table2[Main Member Link ID],Table2[Benefit Name],0)=0,"",_xlfn.XLOOKUP(B497,Table2[Main Member Link ID],Table2[Benefit Name],0)),"")))))))))))))))</f>
        <v/>
      </c>
      <c r="AF497" s="327" t="str">
        <f>IF(AND(Table2[[#This Row],[Member Type]]="Main Member",Table2[[#This Row],[Product Option]]="My Value Plus Life &amp; Funeral"),Lookups!$D$15,
IF(AND(Table2[[#This Row],[Member Type]]="Spouse",Table2[[#This Row],[Product Option]]="My Value Plus Life &amp; Funeral",_xlfn.XLOOKUP(B497,Table2[Main Member Link ID],Table2[Benefit Name],0)=Lookups!$D$14),"",
IF(AND(Table2[[#This Row],[Member Type]]="Spouse",Table2[[#This Row],[Product Option]]="My Value Plus Life &amp; Funeral",_xlfn.XLOOKUP(B496,Table2[Main Member Link ID],Table2[Benefit Name],0)=Lookups!$D$16),"",
IF(AND(Table2[[#This Row],[Member Type]]="Spouse",Table2[[#This Row],[Product Option]]="My Value Plus Life &amp; Funeral",_xlfn.XLOOKUP(B496,Table2[Main Member Link ID],Table2[Benefit Name],0)=Lookups!$D$15),"",
IF(AND(Table2[[#This Row],[Member Type]]="Spouse",Table2[[#This Row],[Product Option]]="My Value Plus Life &amp; Funeral",_xlfn.XLOOKUP(B496,Table2[Main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Funeral",_xlfn.XLOOKUP(B497,Table2[Main Member Link ID],Table2[Benefit Name],0)&lt;&gt;Lookups!$D$15),
IF(_xlfn.XLOOKUP(B497,Table2[Main Member Link ID],Table2[Benefit Name],0)=0,"",_xlfn.XLOOKUP(B497,Table2[Main Member Link ID],Table2[Benefit Name],0)),"")
))))))</f>
        <v/>
      </c>
      <c r="AG497" s="327" t="str">
        <f>IF(AND(Table2[[#This Row],[Member Type]]="Main Member",Table2[[#This Row],[Product Option]]="My Value Plus Life &amp; Funeral"),Lookups!$D$16,
IF(AND(Table2[[#This Row],[Member Type]]="Spouse",Table2[[#This Row],[Product Option]]="My Value Plus Life &amp; Funeral",_xlfn.XLOOKUP(B497,Table2[Main Member Link ID],Table2[Benefit Name],0)=Lookups!$D$14),"",
IF(AND(Table2[[#This Row],[Member Type]]="Spouse",Table2[[#This Row],[Product Option]]="My Value Plus Life &amp; Funeral",_xlfn.XLOOKUP(B496,Table2[Main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Funeral",_xlfn.XLOOKUP(B497,Table2[Main Member Link ID],Table2[Benefit Name],0)&lt;&gt;Lookups!$D$16),
IF(_xlfn.XLOOKUP(B497,Table2[Main Member Link ID],Table2[Benefit Name],0)=0,"",_xlfn.XLOOKUP(B497,Table2[Main Member Link ID],Table2[Benefit Name],0)),"")
))))</f>
        <v/>
      </c>
      <c r="AH497" s="327" t="str">
        <f>IF(AND(Table2[[#This Row],[Member Type]]="Main Member",Table2[[#This Row],[Product Option]]="My Value Plus Life &amp; Funeral"),Lookups!$D$17,
IF(AND(Table2[[#This Row],[Member Type]]="Spouse",Table2[[#This Row],[Product Option]]="My Value Plus Life &amp; Funeral",_xlfn.XLOOKUP(B497,Table2[Main Member Link ID],Table2[Benefit Name],0)=Lookups!$D$14),"",
IF(AND(Table2[[#This Row],[Member Type]]="Spouse",Table2[[#This Row],[Product Option]]="My Value Plus Life &amp; Funeral",_xlfn.XLOOKUP(B496,Table2[Main Member Link ID],Table2[Benefit Name],0)=Lookups!$D$16),"",
IF(AND(Table2[[#This Row],[Member Type]]="Child",Table2[[#This Row],[Product Option]]="My Value Plus Life &amp; Funeral"),"",
IF(AND(Table2[[#This Row],[Member Type]]="Child",Table2[[#This Row],[Product Option]]="My Value Plus Life &amp; Funeral",_xlfn.XLOOKUP(B497,Table2[Main Member Link ID],Table2[Benefit Name],0)=Lookups!$D$15),"",
IF(AND(OR(Table2[[#This Row],[Member Type]]="Spouse",Table2[[#This Row],[Member Type]]="Child"),Table2[[#This Row],[Product Option]]="My Value Plus Life &amp; Funeral",_xlfn.XLOOKUP(B497,Table2[Main Member Link ID],Table2[Benefit Name],0)&lt;&gt;Lookups!$D$17),
IF(_xlfn.XLOOKUP(B497,Table2[Main Member Link ID],Table2[Benefit Name],0)=0,"",_xlfn.XLOOKUP(B497,Table2[Main Member Link ID],Table2[Benefit Name],0)),""))))))</f>
        <v/>
      </c>
      <c r="AI497" s="328" t="str">
        <f>IF(AND(Table2[[#This Row],[Member Type]]="Main Member",Table2[[#This Row],[Table Lookup for Life Cover]]="MM_LIFE",Table2[[#This Row],[Age Next Birthday]]&lt;56),1,
IF(AND(Table2[[#This Row],[Member Type]]="Main Member",Table2[[#This Row],[Table Lookup for Life Cover]]="MM_LIFE",Table2[[#This Row],[Age Next Birthday]]&gt;=56),2,
""))</f>
        <v/>
      </c>
      <c r="AJ497" s="328">
        <f>IF(OR(Table2[[#This Row],[Member Type]]="Main Member",Table2[[#This Row],[Main Member Link ID]]=B496),1,0)</f>
        <v>1</v>
      </c>
      <c r="AK497" s="328">
        <f>IF(Table2[[#This Row],[Member Type]]=0,0,
IF(OR(Table2[[#This Row],[Member Type]]="Main Member",Table2[[#This Row],[Main Member Link ID]]&lt;&gt;B497),COUNTIFS(B:B,Table2[[#This Row],[Main Member Link ID]]),
COUNTIFS(B:B,Table2[[#This Row],[Main Member Link ID]],A:A,Table2[[#This Row],[Member Type]])))</f>
        <v>0</v>
      </c>
    </row>
    <row r="498" spans="1:37" x14ac:dyDescent="0.3">
      <c r="A498" s="284">
        <f>Table13[[#This Row],[Member Type]]</f>
        <v>0</v>
      </c>
      <c r="B498" s="284">
        <f>Table13[[#This Row],[Main Member Link ID]]</f>
        <v>0</v>
      </c>
      <c r="C498" s="284">
        <f>Table13[[#This Row],[ID Number]]</f>
        <v>0</v>
      </c>
      <c r="D498" s="285">
        <f>Table13[[#This Row],[Date Of Birth]]</f>
        <v>0</v>
      </c>
      <c r="E498" s="285">
        <f>Table13[[#This Row],[Commencement Date]]</f>
        <v>0</v>
      </c>
      <c r="F498" s="284">
        <f t="shared" si="49"/>
        <v>1</v>
      </c>
      <c r="G498" s="284">
        <f t="shared" si="50"/>
        <v>25</v>
      </c>
      <c r="H498" s="286">
        <f>Table13[[#This Row],[Product Option]]</f>
        <v>0</v>
      </c>
      <c r="I498" s="284">
        <f>IF(AND($A498="Main Member",Table2[[#This Row],[Product Option]]="My Value Plus Life"),"MM_LIFE",
IF(AND($A498="Spouse",Table2[[#This Row],[Product Option]]="My Value Plus Life"),"SP_LIFE",
IF(AND($A498="Main Member",Table2[[#This Row],[Product Option]]="My Value Plus Life &amp; Funeral"),"MM_LIFE",
IF(AND($A498="Spouse",Table2[[#This Row],[Product Option]]="My Value Plus Life &amp; Funeral"),_xlfn.XLOOKUP(Table2[[#This Row],[Benefit Name]],Lookups!$D$18:$D$23,Lookups!$E$18:$E$23,0),
0))))</f>
        <v>0</v>
      </c>
      <c r="J498" s="284">
        <f>IF($I498="","",
IF($I498="MM_LIFE",INDEX('Quotation Tool'!$S$54:$V$60,MATCH($T498,'Quotation Tool'!$S$54:$S$60,0),4),
IF($I498="SP_LIFE",_xlfn.XLOOKUP(B497,$B:$B,$J:$J,0),0)))</f>
        <v>0</v>
      </c>
      <c r="K498" s="287">
        <f t="shared" ca="1" si="54"/>
        <v>0</v>
      </c>
      <c r="L498" s="288">
        <f t="shared" ca="1" si="55"/>
        <v>0</v>
      </c>
      <c r="M498" s="289">
        <f t="shared" ca="1" si="51"/>
        <v>0</v>
      </c>
      <c r="N498" s="286">
        <f>Table13[[#This Row],[Benefit Option]]</f>
        <v>0</v>
      </c>
      <c r="O498" s="284">
        <f>IF(OR(Table2[[#This Row],[Member Type]]="Spouse",Table2[[#This Row],[Member Type]]="Child"),0,
IF(_xlfn.XLOOKUP($N498,Lookups!$D$13:$D$27,Lookups!$F$13:$F$27,0)=Table2[[#This Row],[Table Lookup for Life Cover]],0,
_xlfn.XLOOKUP($N498,Lookups!$D$13:$D$27,Lookups!$F$13:$F$27,0)))</f>
        <v>0</v>
      </c>
      <c r="P498" s="284">
        <f>IF(Table2[[#This Row],[Table Lookup for Funeral]]=0,0,IFERROR(INDEX('Quotation Tool'!$S$54:$V$60,MATCH($T498,'Quotation Tool'!$S$54:$S$60,0),3),0))</f>
        <v>0</v>
      </c>
      <c r="Q498" s="288">
        <f ca="1">IF(OR(Table2[[#This Row],[Benefit Name]]="My Value Plus Life - Main Member",Table2[[#This Row],[Benefit Name]]="My Value Plus Life - Spouse"),0,
IFERROR(VLOOKUP($G498,INDIRECT($O498),$P498,FALSE),0))</f>
        <v>0</v>
      </c>
      <c r="R498" s="288">
        <f ca="1">IF(OR(Table2[[#This Row],[Benefit Name]]="My Value Plus Life - Main Member",Table2[[#This Row],[Benefit Name]]="My Value Plus Life - Spouse"),0,
IFERROR(VLOOKUP($G498,INDIRECT($O498),$P498+1,FALSE),0))</f>
        <v>0</v>
      </c>
      <c r="S498" s="289">
        <f t="shared" ca="1" si="52"/>
        <v>0</v>
      </c>
      <c r="T498" s="284" t="str">
        <f>IF(Table13[[#This Row],[Premium Waiver]]="","None",Table13[[#This Row],[Premium Waiver]])</f>
        <v>None</v>
      </c>
      <c r="U498" s="284">
        <f>Table13[[#This Row],[VAPs Options]]</f>
        <v>0</v>
      </c>
      <c r="V498" s="284">
        <f>Table13[[#This Row],[Annual Increase Option]]</f>
        <v>0</v>
      </c>
      <c r="W498" s="290">
        <f>Table13[[#This Row],[Life Cover Amount]]</f>
        <v>0</v>
      </c>
      <c r="X498" s="290">
        <f>Table13[[#This Row],[Funeral Cover Amount]]</f>
        <v>0</v>
      </c>
      <c r="Y49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9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98" s="301">
        <f t="shared" ca="1" si="53"/>
        <v>0</v>
      </c>
      <c r="AB498" s="298"/>
      <c r="AC498" s="326" t="str">
        <f>IF(Table2[[#This Row],[Member Type]]="Main Member",Lookups!$C$13,
IF(Table2[[#This Row],[Member Type]]="Spouse",_xlfn.XLOOKUP(B498,Table2[Main Member Link ID],Table2[Product Option],0),
IF(AND(Table2[[#This Row],[Member Type]]="Child",_xlfn.XLOOKUP(B498,Table2[Main Member Link ID],Table2[Product Option],0)&lt;&gt;"My Value Plus Life"),Lookups!$C$24,
IF(AND(OR(Table2[[#This Row],[Member Type]]="Parent",Table2[[#This Row],[Member Type]]="Extended"),_xlfn.XLOOKUP(B498,Table2[Main Member Link ID],Table2[Product Option],0)&lt;&gt;"My Value Plus Life"),Lookups!$C$26,""))))</f>
        <v/>
      </c>
      <c r="AD498" s="326" t="str">
        <f>IF(Table2[[#This Row],[Member Type]]="Main Member",Lookups!$C$14,"")</f>
        <v/>
      </c>
      <c r="AE49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Funeral",_xlfn.XLOOKUP(B498,Table2[Main Member Link ID],Table2[Benefit Name],0)=Lookups!$D$14),"",
IF(AND(Table2[[#This Row],[Member Type]]="Spouse",Table2[[#This Row],[Product Option]]="My Value Plus Life &amp; Funeral",_xlfn.XLOOKUP(B497,Table2[Main Member Link ID],Table2[Benefit Name],0)=Lookups!$D$15),Lookups!$D$20,
IF(AND(Table2[[#This Row],[Member Type]]="Spouse",Table2[[#This Row],[Product Option]]="My Value Plus Life &amp; Funeral",_xlfn.XLOOKUP(B497,Table2[Main Member Link ID],Table2[Benefit Name],0)=Lookups!$D$16),"",
IF(AND(Table2[[#This Row],[Member Type]]="Spouse",Table2[[#This Row],[Product Option]]="My Value Plus Life &amp; Funeral",_xlfn.XLOOKUP(B497,Table2[Main Member Link ID],Table2[Benefit Name],0)=Lookups!$D$17),Lookups!$D$21,
IF(AND(Table2[[#This Row],[Member Type]]="Child",Table2[[#This Row],[Product Option]]="My Value Plus Life &amp; Funeral",_xlfn.XLOOKUP(B498,Table2[Main Member Link ID],Table2[Benefit Name],0)=Lookups!$D$14),"",
IF(AND(Table2[[#This Row],[Member Type]]="Child",Table2[[#This Row],[Product Option]]="My Value Plus Life &amp; Funeral",_xlfn.XLOOKUP(B498,Table2[Main Member Link ID],Table2[Benefit Name],0)=Lookups!$D$15),"",
IF(AND(Table2[[#This Row],[Member Type]]="Child",Table2[[#This Row],[Product Option]]="My Value Plus Life &amp; Funeral",_xlfn.XLOOKUP(B498,Table2[Main Member Link ID],Table2[Benefit Name],0)=Lookups!$D$16),Lookups!$D$24,
IF(AND(Table2[[#This Row],[Member Type]]="Child",Table2[[#This Row],[Product Option]]="My Value Plus Life &amp; Funeral",_xlfn.XLOOKUP(B498,Table2[Main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Funeral",_xlfn.XLOOKUP(B498,Table2[Main Member Link ID],Table2[Benefit Name],0)&lt;&gt;Lookups!$D$14),
IF(_xlfn.XLOOKUP(B498,Table2[Main Member Link ID],Table2[Benefit Name],0)=0,"",_xlfn.XLOOKUP(B498,Table2[Main Member Link ID],Table2[Benefit Name],0)),"")))))))))))))))</f>
        <v/>
      </c>
      <c r="AF498" s="327" t="str">
        <f>IF(AND(Table2[[#This Row],[Member Type]]="Main Member",Table2[[#This Row],[Product Option]]="My Value Plus Life &amp; Funeral"),Lookups!$D$15,
IF(AND(Table2[[#This Row],[Member Type]]="Spouse",Table2[[#This Row],[Product Option]]="My Value Plus Life &amp; Funeral",_xlfn.XLOOKUP(B498,Table2[Main Member Link ID],Table2[Benefit Name],0)=Lookups!$D$14),"",
IF(AND(Table2[[#This Row],[Member Type]]="Spouse",Table2[[#This Row],[Product Option]]="My Value Plus Life &amp; Funeral",_xlfn.XLOOKUP(B497,Table2[Main Member Link ID],Table2[Benefit Name],0)=Lookups!$D$16),"",
IF(AND(Table2[[#This Row],[Member Type]]="Spouse",Table2[[#This Row],[Product Option]]="My Value Plus Life &amp; Funeral",_xlfn.XLOOKUP(B497,Table2[Main Member Link ID],Table2[Benefit Name],0)=Lookups!$D$15),"",
IF(AND(Table2[[#This Row],[Member Type]]="Spouse",Table2[[#This Row],[Product Option]]="My Value Plus Life &amp; Funeral",_xlfn.XLOOKUP(B497,Table2[Main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Funeral",_xlfn.XLOOKUP(B498,Table2[Main Member Link ID],Table2[Benefit Name],0)&lt;&gt;Lookups!$D$15),
IF(_xlfn.XLOOKUP(B498,Table2[Main Member Link ID],Table2[Benefit Name],0)=0,"",_xlfn.XLOOKUP(B498,Table2[Main Member Link ID],Table2[Benefit Name],0)),"")
))))))</f>
        <v/>
      </c>
      <c r="AG498" s="327" t="str">
        <f>IF(AND(Table2[[#This Row],[Member Type]]="Main Member",Table2[[#This Row],[Product Option]]="My Value Plus Life &amp; Funeral"),Lookups!$D$16,
IF(AND(Table2[[#This Row],[Member Type]]="Spouse",Table2[[#This Row],[Product Option]]="My Value Plus Life &amp; Funeral",_xlfn.XLOOKUP(B498,Table2[Main Member Link ID],Table2[Benefit Name],0)=Lookups!$D$14),"",
IF(AND(Table2[[#This Row],[Member Type]]="Spouse",Table2[[#This Row],[Product Option]]="My Value Plus Life &amp; Funeral",_xlfn.XLOOKUP(B497,Table2[Main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Funeral",_xlfn.XLOOKUP(B498,Table2[Main Member Link ID],Table2[Benefit Name],0)&lt;&gt;Lookups!$D$16),
IF(_xlfn.XLOOKUP(B498,Table2[Main Member Link ID],Table2[Benefit Name],0)=0,"",_xlfn.XLOOKUP(B498,Table2[Main Member Link ID],Table2[Benefit Name],0)),"")
))))</f>
        <v/>
      </c>
      <c r="AH498" s="327" t="str">
        <f>IF(AND(Table2[[#This Row],[Member Type]]="Main Member",Table2[[#This Row],[Product Option]]="My Value Plus Life &amp; Funeral"),Lookups!$D$17,
IF(AND(Table2[[#This Row],[Member Type]]="Spouse",Table2[[#This Row],[Product Option]]="My Value Plus Life &amp; Funeral",_xlfn.XLOOKUP(B498,Table2[Main Member Link ID],Table2[Benefit Name],0)=Lookups!$D$14),"",
IF(AND(Table2[[#This Row],[Member Type]]="Spouse",Table2[[#This Row],[Product Option]]="My Value Plus Life &amp; Funeral",_xlfn.XLOOKUP(B497,Table2[Main Member Link ID],Table2[Benefit Name],0)=Lookups!$D$16),"",
IF(AND(Table2[[#This Row],[Member Type]]="Child",Table2[[#This Row],[Product Option]]="My Value Plus Life &amp; Funeral"),"",
IF(AND(Table2[[#This Row],[Member Type]]="Child",Table2[[#This Row],[Product Option]]="My Value Plus Life &amp; Funeral",_xlfn.XLOOKUP(B498,Table2[Main Member Link ID],Table2[Benefit Name],0)=Lookups!$D$15),"",
IF(AND(OR(Table2[[#This Row],[Member Type]]="Spouse",Table2[[#This Row],[Member Type]]="Child"),Table2[[#This Row],[Product Option]]="My Value Plus Life &amp; Funeral",_xlfn.XLOOKUP(B498,Table2[Main Member Link ID],Table2[Benefit Name],0)&lt;&gt;Lookups!$D$17),
IF(_xlfn.XLOOKUP(B498,Table2[Main Member Link ID],Table2[Benefit Name],0)=0,"",_xlfn.XLOOKUP(B498,Table2[Main Member Link ID],Table2[Benefit Name],0)),""))))))</f>
        <v/>
      </c>
      <c r="AI498" s="328" t="str">
        <f>IF(AND(Table2[[#This Row],[Member Type]]="Main Member",Table2[[#This Row],[Table Lookup for Life Cover]]="MM_LIFE",Table2[[#This Row],[Age Next Birthday]]&lt;56),1,
IF(AND(Table2[[#This Row],[Member Type]]="Main Member",Table2[[#This Row],[Table Lookup for Life Cover]]="MM_LIFE",Table2[[#This Row],[Age Next Birthday]]&gt;=56),2,
""))</f>
        <v/>
      </c>
      <c r="AJ498" s="328">
        <f>IF(OR(Table2[[#This Row],[Member Type]]="Main Member",Table2[[#This Row],[Main Member Link ID]]=B497),1,0)</f>
        <v>1</v>
      </c>
      <c r="AK498" s="328">
        <f>IF(Table2[[#This Row],[Member Type]]=0,0,
IF(OR(Table2[[#This Row],[Member Type]]="Main Member",Table2[[#This Row],[Main Member Link ID]]&lt;&gt;B498),COUNTIFS(B:B,Table2[[#This Row],[Main Member Link ID]]),
COUNTIFS(B:B,Table2[[#This Row],[Main Member Link ID]],A:A,Table2[[#This Row],[Member Type]])))</f>
        <v>0</v>
      </c>
    </row>
    <row r="499" spans="1:37" x14ac:dyDescent="0.3">
      <c r="A499" s="284">
        <f>Table13[[#This Row],[Member Type]]</f>
        <v>0</v>
      </c>
      <c r="B499" s="284">
        <f>Table13[[#This Row],[Main Member Link ID]]</f>
        <v>0</v>
      </c>
      <c r="C499" s="284">
        <f>Table13[[#This Row],[ID Number]]</f>
        <v>0</v>
      </c>
      <c r="D499" s="285">
        <f>Table13[[#This Row],[Date Of Birth]]</f>
        <v>0</v>
      </c>
      <c r="E499" s="285">
        <f>Table13[[#This Row],[Commencement Date]]</f>
        <v>0</v>
      </c>
      <c r="F499" s="284">
        <f t="shared" si="49"/>
        <v>1</v>
      </c>
      <c r="G499" s="284">
        <f t="shared" si="50"/>
        <v>25</v>
      </c>
      <c r="H499" s="286">
        <f>Table13[[#This Row],[Product Option]]</f>
        <v>0</v>
      </c>
      <c r="I499" s="284">
        <f>IF(AND($A499="Main Member",Table2[[#This Row],[Product Option]]="My Value Plus Life"),"MM_LIFE",
IF(AND($A499="Spouse",Table2[[#This Row],[Product Option]]="My Value Plus Life"),"SP_LIFE",
IF(AND($A499="Main Member",Table2[[#This Row],[Product Option]]="My Value Plus Life &amp; Funeral"),"MM_LIFE",
IF(AND($A499="Spouse",Table2[[#This Row],[Product Option]]="My Value Plus Life &amp; Funeral"),_xlfn.XLOOKUP(Table2[[#This Row],[Benefit Name]],Lookups!$D$18:$D$23,Lookups!$E$18:$E$23,0),
0))))</f>
        <v>0</v>
      </c>
      <c r="J499" s="284">
        <f>IF($I499="","",
IF($I499="MM_LIFE",INDEX('Quotation Tool'!$S$54:$V$60,MATCH($T499,'Quotation Tool'!$S$54:$S$60,0),4),
IF($I499="SP_LIFE",_xlfn.XLOOKUP(B498,$B:$B,$J:$J,0),0)))</f>
        <v>0</v>
      </c>
      <c r="K499" s="287">
        <f t="shared" ca="1" si="54"/>
        <v>0</v>
      </c>
      <c r="L499" s="288">
        <f t="shared" ca="1" si="55"/>
        <v>0</v>
      </c>
      <c r="M499" s="289">
        <f t="shared" ca="1" si="51"/>
        <v>0</v>
      </c>
      <c r="N499" s="286">
        <f>Table13[[#This Row],[Benefit Option]]</f>
        <v>0</v>
      </c>
      <c r="O499" s="284">
        <f>IF(OR(Table2[[#This Row],[Member Type]]="Spouse",Table2[[#This Row],[Member Type]]="Child"),0,
IF(_xlfn.XLOOKUP($N499,Lookups!$D$13:$D$27,Lookups!$F$13:$F$27,0)=Table2[[#This Row],[Table Lookup for Life Cover]],0,
_xlfn.XLOOKUP($N499,Lookups!$D$13:$D$27,Lookups!$F$13:$F$27,0)))</f>
        <v>0</v>
      </c>
      <c r="P499" s="284">
        <f>IF(Table2[[#This Row],[Table Lookup for Funeral]]=0,0,IFERROR(INDEX('Quotation Tool'!$S$54:$V$60,MATCH($T499,'Quotation Tool'!$S$54:$S$60,0),3),0))</f>
        <v>0</v>
      </c>
      <c r="Q499" s="288">
        <f ca="1">IF(OR(Table2[[#This Row],[Benefit Name]]="My Value Plus Life - Main Member",Table2[[#This Row],[Benefit Name]]="My Value Plus Life - Spouse"),0,
IFERROR(VLOOKUP($G499,INDIRECT($O499),$P499,FALSE),0))</f>
        <v>0</v>
      </c>
      <c r="R499" s="288">
        <f ca="1">IF(OR(Table2[[#This Row],[Benefit Name]]="My Value Plus Life - Main Member",Table2[[#This Row],[Benefit Name]]="My Value Plus Life - Spouse"),0,
IFERROR(VLOOKUP($G499,INDIRECT($O499),$P499+1,FALSE),0))</f>
        <v>0</v>
      </c>
      <c r="S499" s="289">
        <f t="shared" ca="1" si="52"/>
        <v>0</v>
      </c>
      <c r="T499" s="284" t="str">
        <f>IF(Table13[[#This Row],[Premium Waiver]]="","None",Table13[[#This Row],[Premium Waiver]])</f>
        <v>None</v>
      </c>
      <c r="U499" s="284">
        <f>Table13[[#This Row],[VAPs Options]]</f>
        <v>0</v>
      </c>
      <c r="V499" s="284">
        <f>Table13[[#This Row],[Annual Increase Option]]</f>
        <v>0</v>
      </c>
      <c r="W499" s="290">
        <f>Table13[[#This Row],[Life Cover Amount]]</f>
        <v>0</v>
      </c>
      <c r="X499" s="290">
        <f>Table13[[#This Row],[Funeral Cover Amount]]</f>
        <v>0</v>
      </c>
      <c r="Y49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49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499" s="301">
        <f t="shared" ca="1" si="53"/>
        <v>0</v>
      </c>
      <c r="AB499" s="298"/>
      <c r="AC499" s="326" t="str">
        <f>IF(Table2[[#This Row],[Member Type]]="Main Member",Lookups!$C$13,
IF(Table2[[#This Row],[Member Type]]="Spouse",_xlfn.XLOOKUP(B499,Table2[Main Member Link ID],Table2[Product Option],0),
IF(AND(Table2[[#This Row],[Member Type]]="Child",_xlfn.XLOOKUP(B499,Table2[Main Member Link ID],Table2[Product Option],0)&lt;&gt;"My Value Plus Life"),Lookups!$C$24,
IF(AND(OR(Table2[[#This Row],[Member Type]]="Parent",Table2[[#This Row],[Member Type]]="Extended"),_xlfn.XLOOKUP(B499,Table2[Main Member Link ID],Table2[Product Option],0)&lt;&gt;"My Value Plus Life"),Lookups!$C$26,""))))</f>
        <v/>
      </c>
      <c r="AD499" s="326" t="str">
        <f>IF(Table2[[#This Row],[Member Type]]="Main Member",Lookups!$C$14,"")</f>
        <v/>
      </c>
      <c r="AE49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Funeral",_xlfn.XLOOKUP(B499,Table2[Main Member Link ID],Table2[Benefit Name],0)=Lookups!$D$14),"",
IF(AND(Table2[[#This Row],[Member Type]]="Spouse",Table2[[#This Row],[Product Option]]="My Value Plus Life &amp; Funeral",_xlfn.XLOOKUP(B498,Table2[Main Member Link ID],Table2[Benefit Name],0)=Lookups!$D$15),Lookups!$D$20,
IF(AND(Table2[[#This Row],[Member Type]]="Spouse",Table2[[#This Row],[Product Option]]="My Value Plus Life &amp; Funeral",_xlfn.XLOOKUP(B498,Table2[Main Member Link ID],Table2[Benefit Name],0)=Lookups!$D$16),"",
IF(AND(Table2[[#This Row],[Member Type]]="Spouse",Table2[[#This Row],[Product Option]]="My Value Plus Life &amp; Funeral",_xlfn.XLOOKUP(B498,Table2[Main Member Link ID],Table2[Benefit Name],0)=Lookups!$D$17),Lookups!$D$21,
IF(AND(Table2[[#This Row],[Member Type]]="Child",Table2[[#This Row],[Product Option]]="My Value Plus Life &amp; Funeral",_xlfn.XLOOKUP(B499,Table2[Main Member Link ID],Table2[Benefit Name],0)=Lookups!$D$14),"",
IF(AND(Table2[[#This Row],[Member Type]]="Child",Table2[[#This Row],[Product Option]]="My Value Plus Life &amp; Funeral",_xlfn.XLOOKUP(B499,Table2[Main Member Link ID],Table2[Benefit Name],0)=Lookups!$D$15),"",
IF(AND(Table2[[#This Row],[Member Type]]="Child",Table2[[#This Row],[Product Option]]="My Value Plus Life &amp; Funeral",_xlfn.XLOOKUP(B499,Table2[Main Member Link ID],Table2[Benefit Name],0)=Lookups!$D$16),Lookups!$D$24,
IF(AND(Table2[[#This Row],[Member Type]]="Child",Table2[[#This Row],[Product Option]]="My Value Plus Life &amp; Funeral",_xlfn.XLOOKUP(B499,Table2[Main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Funeral",_xlfn.XLOOKUP(B499,Table2[Main Member Link ID],Table2[Benefit Name],0)&lt;&gt;Lookups!$D$14),
IF(_xlfn.XLOOKUP(B499,Table2[Main Member Link ID],Table2[Benefit Name],0)=0,"",_xlfn.XLOOKUP(B499,Table2[Main Member Link ID],Table2[Benefit Name],0)),"")))))))))))))))</f>
        <v/>
      </c>
      <c r="AF499" s="327" t="str">
        <f>IF(AND(Table2[[#This Row],[Member Type]]="Main Member",Table2[[#This Row],[Product Option]]="My Value Plus Life &amp; Funeral"),Lookups!$D$15,
IF(AND(Table2[[#This Row],[Member Type]]="Spouse",Table2[[#This Row],[Product Option]]="My Value Plus Life &amp; Funeral",_xlfn.XLOOKUP(B499,Table2[Main Member Link ID],Table2[Benefit Name],0)=Lookups!$D$14),"",
IF(AND(Table2[[#This Row],[Member Type]]="Spouse",Table2[[#This Row],[Product Option]]="My Value Plus Life &amp; Funeral",_xlfn.XLOOKUP(B498,Table2[Main Member Link ID],Table2[Benefit Name],0)=Lookups!$D$16),"",
IF(AND(Table2[[#This Row],[Member Type]]="Spouse",Table2[[#This Row],[Product Option]]="My Value Plus Life &amp; Funeral",_xlfn.XLOOKUP(B498,Table2[Main Member Link ID],Table2[Benefit Name],0)=Lookups!$D$15),"",
IF(AND(Table2[[#This Row],[Member Type]]="Spouse",Table2[[#This Row],[Product Option]]="My Value Plus Life &amp; Funeral",_xlfn.XLOOKUP(B498,Table2[Main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Funeral",_xlfn.XLOOKUP(B499,Table2[Main Member Link ID],Table2[Benefit Name],0)&lt;&gt;Lookups!$D$15),
IF(_xlfn.XLOOKUP(B499,Table2[Main Member Link ID],Table2[Benefit Name],0)=0,"",_xlfn.XLOOKUP(B499,Table2[Main Member Link ID],Table2[Benefit Name],0)),"")
))))))</f>
        <v/>
      </c>
      <c r="AG499" s="327" t="str">
        <f>IF(AND(Table2[[#This Row],[Member Type]]="Main Member",Table2[[#This Row],[Product Option]]="My Value Plus Life &amp; Funeral"),Lookups!$D$16,
IF(AND(Table2[[#This Row],[Member Type]]="Spouse",Table2[[#This Row],[Product Option]]="My Value Plus Life &amp; Funeral",_xlfn.XLOOKUP(B499,Table2[Main Member Link ID],Table2[Benefit Name],0)=Lookups!$D$14),"",
IF(AND(Table2[[#This Row],[Member Type]]="Spouse",Table2[[#This Row],[Product Option]]="My Value Plus Life &amp; Funeral",_xlfn.XLOOKUP(B498,Table2[Main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Funeral",_xlfn.XLOOKUP(B499,Table2[Main Member Link ID],Table2[Benefit Name],0)&lt;&gt;Lookups!$D$16),
IF(_xlfn.XLOOKUP(B499,Table2[Main Member Link ID],Table2[Benefit Name],0)=0,"",_xlfn.XLOOKUP(B499,Table2[Main Member Link ID],Table2[Benefit Name],0)),"")
))))</f>
        <v/>
      </c>
      <c r="AH499" s="327" t="str">
        <f>IF(AND(Table2[[#This Row],[Member Type]]="Main Member",Table2[[#This Row],[Product Option]]="My Value Plus Life &amp; Funeral"),Lookups!$D$17,
IF(AND(Table2[[#This Row],[Member Type]]="Spouse",Table2[[#This Row],[Product Option]]="My Value Plus Life &amp; Funeral",_xlfn.XLOOKUP(B499,Table2[Main Member Link ID],Table2[Benefit Name],0)=Lookups!$D$14),"",
IF(AND(Table2[[#This Row],[Member Type]]="Spouse",Table2[[#This Row],[Product Option]]="My Value Plus Life &amp; Funeral",_xlfn.XLOOKUP(B498,Table2[Main Member Link ID],Table2[Benefit Name],0)=Lookups!$D$16),"",
IF(AND(Table2[[#This Row],[Member Type]]="Child",Table2[[#This Row],[Product Option]]="My Value Plus Life &amp; Funeral"),"",
IF(AND(Table2[[#This Row],[Member Type]]="Child",Table2[[#This Row],[Product Option]]="My Value Plus Life &amp; Funeral",_xlfn.XLOOKUP(B499,Table2[Main Member Link ID],Table2[Benefit Name],0)=Lookups!$D$15),"",
IF(AND(OR(Table2[[#This Row],[Member Type]]="Spouse",Table2[[#This Row],[Member Type]]="Child"),Table2[[#This Row],[Product Option]]="My Value Plus Life &amp; Funeral",_xlfn.XLOOKUP(B499,Table2[Main Member Link ID],Table2[Benefit Name],0)&lt;&gt;Lookups!$D$17),
IF(_xlfn.XLOOKUP(B499,Table2[Main Member Link ID],Table2[Benefit Name],0)=0,"",_xlfn.XLOOKUP(B499,Table2[Main Member Link ID],Table2[Benefit Name],0)),""))))))</f>
        <v/>
      </c>
      <c r="AI499" s="328" t="str">
        <f>IF(AND(Table2[[#This Row],[Member Type]]="Main Member",Table2[[#This Row],[Table Lookup for Life Cover]]="MM_LIFE",Table2[[#This Row],[Age Next Birthday]]&lt;56),1,
IF(AND(Table2[[#This Row],[Member Type]]="Main Member",Table2[[#This Row],[Table Lookup for Life Cover]]="MM_LIFE",Table2[[#This Row],[Age Next Birthday]]&gt;=56),2,
""))</f>
        <v/>
      </c>
      <c r="AJ499" s="328">
        <f>IF(OR(Table2[[#This Row],[Member Type]]="Main Member",Table2[[#This Row],[Main Member Link ID]]=B498),1,0)</f>
        <v>1</v>
      </c>
      <c r="AK499" s="328">
        <f>IF(Table2[[#This Row],[Member Type]]=0,0,
IF(OR(Table2[[#This Row],[Member Type]]="Main Member",Table2[[#This Row],[Main Member Link ID]]&lt;&gt;B499),COUNTIFS(B:B,Table2[[#This Row],[Main Member Link ID]]),
COUNTIFS(B:B,Table2[[#This Row],[Main Member Link ID]],A:A,Table2[[#This Row],[Member Type]])))</f>
        <v>0</v>
      </c>
    </row>
    <row r="500" spans="1:37" x14ac:dyDescent="0.3">
      <c r="A500" s="284">
        <f>Table13[[#This Row],[Member Type]]</f>
        <v>0</v>
      </c>
      <c r="B500" s="284">
        <f>Table13[[#This Row],[Main Member Link ID]]</f>
        <v>0</v>
      </c>
      <c r="C500" s="284">
        <f>Table13[[#This Row],[ID Number]]</f>
        <v>0</v>
      </c>
      <c r="D500" s="285">
        <f>Table13[[#This Row],[Date Of Birth]]</f>
        <v>0</v>
      </c>
      <c r="E500" s="285">
        <f>Table13[[#This Row],[Commencement Date]]</f>
        <v>0</v>
      </c>
      <c r="F500" s="284">
        <f t="shared" si="49"/>
        <v>1</v>
      </c>
      <c r="G500" s="284">
        <f t="shared" si="50"/>
        <v>25</v>
      </c>
      <c r="H500" s="286">
        <f>Table13[[#This Row],[Product Option]]</f>
        <v>0</v>
      </c>
      <c r="I500" s="284">
        <f>IF(AND($A500="Main Member",Table2[[#This Row],[Product Option]]="My Value Plus Life"),"MM_LIFE",
IF(AND($A500="Spouse",Table2[[#This Row],[Product Option]]="My Value Plus Life"),"SP_LIFE",
IF(AND($A500="Main Member",Table2[[#This Row],[Product Option]]="My Value Plus Life &amp; Funeral"),"MM_LIFE",
IF(AND($A500="Spouse",Table2[[#This Row],[Product Option]]="My Value Plus Life &amp; Funeral"),_xlfn.XLOOKUP(Table2[[#This Row],[Benefit Name]],Lookups!$D$18:$D$23,Lookups!$E$18:$E$23,0),
0))))</f>
        <v>0</v>
      </c>
      <c r="J500" s="284">
        <f>IF($I500="","",
IF($I500="MM_LIFE",INDEX('Quotation Tool'!$S$54:$V$60,MATCH($T500,'Quotation Tool'!$S$54:$S$60,0),4),
IF($I500="SP_LIFE",_xlfn.XLOOKUP(B499,$B:$B,$J:$J,0),0)))</f>
        <v>0</v>
      </c>
      <c r="K500" s="287">
        <f t="shared" ca="1" si="54"/>
        <v>0</v>
      </c>
      <c r="L500" s="288">
        <f t="shared" ca="1" si="55"/>
        <v>0</v>
      </c>
      <c r="M500" s="289">
        <f t="shared" ca="1" si="51"/>
        <v>0</v>
      </c>
      <c r="N500" s="286">
        <f>Table13[[#This Row],[Benefit Option]]</f>
        <v>0</v>
      </c>
      <c r="O500" s="284">
        <f>IF(OR(Table2[[#This Row],[Member Type]]="Spouse",Table2[[#This Row],[Member Type]]="Child"),0,
IF(_xlfn.XLOOKUP($N500,Lookups!$D$13:$D$27,Lookups!$F$13:$F$27,0)=Table2[[#This Row],[Table Lookup for Life Cover]],0,
_xlfn.XLOOKUP($N500,Lookups!$D$13:$D$27,Lookups!$F$13:$F$27,0)))</f>
        <v>0</v>
      </c>
      <c r="P500" s="284">
        <f>IF(Table2[[#This Row],[Table Lookup for Funeral]]=0,0,IFERROR(INDEX('Quotation Tool'!$S$54:$V$60,MATCH($T500,'Quotation Tool'!$S$54:$S$60,0),3),0))</f>
        <v>0</v>
      </c>
      <c r="Q500" s="288">
        <f ca="1">IF(OR(Table2[[#This Row],[Benefit Name]]="My Value Plus Life - Main Member",Table2[[#This Row],[Benefit Name]]="My Value Plus Life - Spouse"),0,
IFERROR(VLOOKUP($G500,INDIRECT($O500),$P500,FALSE),0))</f>
        <v>0</v>
      </c>
      <c r="R500" s="288">
        <f ca="1">IF(OR(Table2[[#This Row],[Benefit Name]]="My Value Plus Life - Main Member",Table2[[#This Row],[Benefit Name]]="My Value Plus Life - Spouse"),0,
IFERROR(VLOOKUP($G500,INDIRECT($O500),$P500+1,FALSE),0))</f>
        <v>0</v>
      </c>
      <c r="S500" s="289">
        <f t="shared" ca="1" si="52"/>
        <v>0</v>
      </c>
      <c r="T500" s="284" t="str">
        <f>IF(Table13[[#This Row],[Premium Waiver]]="","None",Table13[[#This Row],[Premium Waiver]])</f>
        <v>None</v>
      </c>
      <c r="U500" s="284">
        <f>Table13[[#This Row],[VAPs Options]]</f>
        <v>0</v>
      </c>
      <c r="V500" s="284">
        <f>Table13[[#This Row],[Annual Increase Option]]</f>
        <v>0</v>
      </c>
      <c r="W500" s="290">
        <f>Table13[[#This Row],[Life Cover Amount]]</f>
        <v>0</v>
      </c>
      <c r="X500" s="290">
        <f>Table13[[#This Row],[Funeral Cover Amount]]</f>
        <v>0</v>
      </c>
      <c r="Y50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0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00" s="301">
        <f t="shared" ca="1" si="53"/>
        <v>0</v>
      </c>
      <c r="AB500" s="298"/>
      <c r="AC500" s="326" t="str">
        <f>IF(Table2[[#This Row],[Member Type]]="Main Member",Lookups!$C$13,
IF(Table2[[#This Row],[Member Type]]="Spouse",_xlfn.XLOOKUP(B500,Table2[Main Member Link ID],Table2[Product Option],0),
IF(AND(Table2[[#This Row],[Member Type]]="Child",_xlfn.XLOOKUP(B500,Table2[Main Member Link ID],Table2[Product Option],0)&lt;&gt;"My Value Plus Life"),Lookups!$C$24,
IF(AND(OR(Table2[[#This Row],[Member Type]]="Parent",Table2[[#This Row],[Member Type]]="Extended"),_xlfn.XLOOKUP(B500,Table2[Main Member Link ID],Table2[Product Option],0)&lt;&gt;"My Value Plus Life"),Lookups!$C$26,""))))</f>
        <v/>
      </c>
      <c r="AD500" s="326" t="str">
        <f>IF(Table2[[#This Row],[Member Type]]="Main Member",Lookups!$C$14,"")</f>
        <v/>
      </c>
      <c r="AE50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Funeral",_xlfn.XLOOKUP(B500,Table2[Main Member Link ID],Table2[Benefit Name],0)=Lookups!$D$14),"",
IF(AND(Table2[[#This Row],[Member Type]]="Spouse",Table2[[#This Row],[Product Option]]="My Value Plus Life &amp; Funeral",_xlfn.XLOOKUP(B499,Table2[Main Member Link ID],Table2[Benefit Name],0)=Lookups!$D$15),Lookups!$D$20,
IF(AND(Table2[[#This Row],[Member Type]]="Spouse",Table2[[#This Row],[Product Option]]="My Value Plus Life &amp; Funeral",_xlfn.XLOOKUP(B499,Table2[Main Member Link ID],Table2[Benefit Name],0)=Lookups!$D$16),"",
IF(AND(Table2[[#This Row],[Member Type]]="Spouse",Table2[[#This Row],[Product Option]]="My Value Plus Life &amp; Funeral",_xlfn.XLOOKUP(B499,Table2[Main Member Link ID],Table2[Benefit Name],0)=Lookups!$D$17),Lookups!$D$21,
IF(AND(Table2[[#This Row],[Member Type]]="Child",Table2[[#This Row],[Product Option]]="My Value Plus Life &amp; Funeral",_xlfn.XLOOKUP(B500,Table2[Main Member Link ID],Table2[Benefit Name],0)=Lookups!$D$14),"",
IF(AND(Table2[[#This Row],[Member Type]]="Child",Table2[[#This Row],[Product Option]]="My Value Plus Life &amp; Funeral",_xlfn.XLOOKUP(B500,Table2[Main Member Link ID],Table2[Benefit Name],0)=Lookups!$D$15),"",
IF(AND(Table2[[#This Row],[Member Type]]="Child",Table2[[#This Row],[Product Option]]="My Value Plus Life &amp; Funeral",_xlfn.XLOOKUP(B500,Table2[Main Member Link ID],Table2[Benefit Name],0)=Lookups!$D$16),Lookups!$D$24,
IF(AND(Table2[[#This Row],[Member Type]]="Child",Table2[[#This Row],[Product Option]]="My Value Plus Life &amp; Funeral",_xlfn.XLOOKUP(B500,Table2[Main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Funeral",_xlfn.XLOOKUP(B500,Table2[Main Member Link ID],Table2[Benefit Name],0)&lt;&gt;Lookups!$D$14),
IF(_xlfn.XLOOKUP(B500,Table2[Main Member Link ID],Table2[Benefit Name],0)=0,"",_xlfn.XLOOKUP(B500,Table2[Main Member Link ID],Table2[Benefit Name],0)),"")))))))))))))))</f>
        <v/>
      </c>
      <c r="AF500" s="327" t="str">
        <f>IF(AND(Table2[[#This Row],[Member Type]]="Main Member",Table2[[#This Row],[Product Option]]="My Value Plus Life &amp; Funeral"),Lookups!$D$15,
IF(AND(Table2[[#This Row],[Member Type]]="Spouse",Table2[[#This Row],[Product Option]]="My Value Plus Life &amp; Funeral",_xlfn.XLOOKUP(B500,Table2[Main Member Link ID],Table2[Benefit Name],0)=Lookups!$D$14),"",
IF(AND(Table2[[#This Row],[Member Type]]="Spouse",Table2[[#This Row],[Product Option]]="My Value Plus Life &amp; Funeral",_xlfn.XLOOKUP(B499,Table2[Main Member Link ID],Table2[Benefit Name],0)=Lookups!$D$16),"",
IF(AND(Table2[[#This Row],[Member Type]]="Spouse",Table2[[#This Row],[Product Option]]="My Value Plus Life &amp; Funeral",_xlfn.XLOOKUP(B499,Table2[Main Member Link ID],Table2[Benefit Name],0)=Lookups!$D$15),"",
IF(AND(Table2[[#This Row],[Member Type]]="Spouse",Table2[[#This Row],[Product Option]]="My Value Plus Life &amp; Funeral",_xlfn.XLOOKUP(B499,Table2[Main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Funeral",_xlfn.XLOOKUP(B500,Table2[Main Member Link ID],Table2[Benefit Name],0)&lt;&gt;Lookups!$D$15),
IF(_xlfn.XLOOKUP(B500,Table2[Main Member Link ID],Table2[Benefit Name],0)=0,"",_xlfn.XLOOKUP(B500,Table2[Main Member Link ID],Table2[Benefit Name],0)),"")
))))))</f>
        <v/>
      </c>
      <c r="AG500" s="327" t="str">
        <f>IF(AND(Table2[[#This Row],[Member Type]]="Main Member",Table2[[#This Row],[Product Option]]="My Value Plus Life &amp; Funeral"),Lookups!$D$16,
IF(AND(Table2[[#This Row],[Member Type]]="Spouse",Table2[[#This Row],[Product Option]]="My Value Plus Life &amp; Funeral",_xlfn.XLOOKUP(B500,Table2[Main Member Link ID],Table2[Benefit Name],0)=Lookups!$D$14),"",
IF(AND(Table2[[#This Row],[Member Type]]="Spouse",Table2[[#This Row],[Product Option]]="My Value Plus Life &amp; Funeral",_xlfn.XLOOKUP(B499,Table2[Main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Funeral",_xlfn.XLOOKUP(B500,Table2[Main Member Link ID],Table2[Benefit Name],0)&lt;&gt;Lookups!$D$16),
IF(_xlfn.XLOOKUP(B500,Table2[Main Member Link ID],Table2[Benefit Name],0)=0,"",_xlfn.XLOOKUP(B500,Table2[Main Member Link ID],Table2[Benefit Name],0)),"")
))))</f>
        <v/>
      </c>
      <c r="AH500" s="327" t="str">
        <f>IF(AND(Table2[[#This Row],[Member Type]]="Main Member",Table2[[#This Row],[Product Option]]="My Value Plus Life &amp; Funeral"),Lookups!$D$17,
IF(AND(Table2[[#This Row],[Member Type]]="Spouse",Table2[[#This Row],[Product Option]]="My Value Plus Life &amp; Funeral",_xlfn.XLOOKUP(B500,Table2[Main Member Link ID],Table2[Benefit Name],0)=Lookups!$D$14),"",
IF(AND(Table2[[#This Row],[Member Type]]="Spouse",Table2[[#This Row],[Product Option]]="My Value Plus Life &amp; Funeral",_xlfn.XLOOKUP(B499,Table2[Main Member Link ID],Table2[Benefit Name],0)=Lookups!$D$16),"",
IF(AND(Table2[[#This Row],[Member Type]]="Child",Table2[[#This Row],[Product Option]]="My Value Plus Life &amp; Funeral"),"",
IF(AND(Table2[[#This Row],[Member Type]]="Child",Table2[[#This Row],[Product Option]]="My Value Plus Life &amp; Funeral",_xlfn.XLOOKUP(B500,Table2[Main Member Link ID],Table2[Benefit Name],0)=Lookups!$D$15),"",
IF(AND(OR(Table2[[#This Row],[Member Type]]="Spouse",Table2[[#This Row],[Member Type]]="Child"),Table2[[#This Row],[Product Option]]="My Value Plus Life &amp; Funeral",_xlfn.XLOOKUP(B500,Table2[Main Member Link ID],Table2[Benefit Name],0)&lt;&gt;Lookups!$D$17),
IF(_xlfn.XLOOKUP(B500,Table2[Main Member Link ID],Table2[Benefit Name],0)=0,"",_xlfn.XLOOKUP(B500,Table2[Main Member Link ID],Table2[Benefit Name],0)),""))))))</f>
        <v/>
      </c>
      <c r="AI500" s="328" t="str">
        <f>IF(AND(Table2[[#This Row],[Member Type]]="Main Member",Table2[[#This Row],[Table Lookup for Life Cover]]="MM_LIFE",Table2[[#This Row],[Age Next Birthday]]&lt;56),1,
IF(AND(Table2[[#This Row],[Member Type]]="Main Member",Table2[[#This Row],[Table Lookup for Life Cover]]="MM_LIFE",Table2[[#This Row],[Age Next Birthday]]&gt;=56),2,
""))</f>
        <v/>
      </c>
      <c r="AJ500" s="328">
        <f>IF(OR(Table2[[#This Row],[Member Type]]="Main Member",Table2[[#This Row],[Main Member Link ID]]=B499),1,0)</f>
        <v>1</v>
      </c>
      <c r="AK500" s="328">
        <f>IF(Table2[[#This Row],[Member Type]]=0,0,
IF(OR(Table2[[#This Row],[Member Type]]="Main Member",Table2[[#This Row],[Main Member Link ID]]&lt;&gt;B500),COUNTIFS(B:B,Table2[[#This Row],[Main Member Link ID]]),
COUNTIFS(B:B,Table2[[#This Row],[Main Member Link ID]],A:A,Table2[[#This Row],[Member Type]])))</f>
        <v>0</v>
      </c>
    </row>
    <row r="501" spans="1:37" x14ac:dyDescent="0.3">
      <c r="A501" s="284">
        <f>Table13[[#This Row],[Member Type]]</f>
        <v>0</v>
      </c>
      <c r="B501" s="284">
        <f>Table13[[#This Row],[Main Member Link ID]]</f>
        <v>0</v>
      </c>
      <c r="C501" s="284">
        <f>Table13[[#This Row],[ID Number]]</f>
        <v>0</v>
      </c>
      <c r="D501" s="285">
        <f>Table13[[#This Row],[Date Of Birth]]</f>
        <v>0</v>
      </c>
      <c r="E501" s="285">
        <f>Table13[[#This Row],[Commencement Date]]</f>
        <v>0</v>
      </c>
      <c r="F501" s="284">
        <f t="shared" si="49"/>
        <v>1</v>
      </c>
      <c r="G501" s="284">
        <f t="shared" si="50"/>
        <v>25</v>
      </c>
      <c r="H501" s="286">
        <f>Table13[[#This Row],[Product Option]]</f>
        <v>0</v>
      </c>
      <c r="I501" s="284">
        <f>IF(AND($A501="Main Member",Table2[[#This Row],[Product Option]]="My Value Plus Life"),"MM_LIFE",
IF(AND($A501="Spouse",Table2[[#This Row],[Product Option]]="My Value Plus Life"),"SP_LIFE",
IF(AND($A501="Main Member",Table2[[#This Row],[Product Option]]="My Value Plus Life &amp; Funeral"),"MM_LIFE",
IF(AND($A501="Spouse",Table2[[#This Row],[Product Option]]="My Value Plus Life &amp; Funeral"),_xlfn.XLOOKUP(Table2[[#This Row],[Benefit Name]],Lookups!$D$18:$D$23,Lookups!$E$18:$E$23,0),
0))))</f>
        <v>0</v>
      </c>
      <c r="J501" s="284">
        <f>IF($I501="","",
IF($I501="MM_LIFE",INDEX('Quotation Tool'!$S$54:$V$60,MATCH($T501,'Quotation Tool'!$S$54:$S$60,0),4),
IF($I501="SP_LIFE",_xlfn.XLOOKUP(B500,$B:$B,$J:$J,0),0)))</f>
        <v>0</v>
      </c>
      <c r="K501" s="287">
        <f t="shared" ca="1" si="54"/>
        <v>0</v>
      </c>
      <c r="L501" s="288">
        <f t="shared" ca="1" si="55"/>
        <v>0</v>
      </c>
      <c r="M501" s="289">
        <f t="shared" ca="1" si="51"/>
        <v>0</v>
      </c>
      <c r="N501" s="286">
        <f>Table13[[#This Row],[Benefit Option]]</f>
        <v>0</v>
      </c>
      <c r="O501" s="284">
        <f>IF(OR(Table2[[#This Row],[Member Type]]="Spouse",Table2[[#This Row],[Member Type]]="Child"),0,
IF(_xlfn.XLOOKUP($N501,Lookups!$D$13:$D$27,Lookups!$F$13:$F$27,0)=Table2[[#This Row],[Table Lookup for Life Cover]],0,
_xlfn.XLOOKUP($N501,Lookups!$D$13:$D$27,Lookups!$F$13:$F$27,0)))</f>
        <v>0</v>
      </c>
      <c r="P501" s="284">
        <f>IF(Table2[[#This Row],[Table Lookup for Funeral]]=0,0,IFERROR(INDEX('Quotation Tool'!$S$54:$V$60,MATCH($T501,'Quotation Tool'!$S$54:$S$60,0),3),0))</f>
        <v>0</v>
      </c>
      <c r="Q501" s="288">
        <f ca="1">IF(OR(Table2[[#This Row],[Benefit Name]]="My Value Plus Life - Main Member",Table2[[#This Row],[Benefit Name]]="My Value Plus Life - Spouse"),0,
IFERROR(VLOOKUP($G501,INDIRECT($O501),$P501,FALSE),0))</f>
        <v>0</v>
      </c>
      <c r="R501" s="288">
        <f ca="1">IF(OR(Table2[[#This Row],[Benefit Name]]="My Value Plus Life - Main Member",Table2[[#This Row],[Benefit Name]]="My Value Plus Life - Spouse"),0,
IFERROR(VLOOKUP($G501,INDIRECT($O501),$P501+1,FALSE),0))</f>
        <v>0</v>
      </c>
      <c r="S501" s="289">
        <f t="shared" ca="1" si="52"/>
        <v>0</v>
      </c>
      <c r="T501" s="284" t="str">
        <f>IF(Table13[[#This Row],[Premium Waiver]]="","None",Table13[[#This Row],[Premium Waiver]])</f>
        <v>None</v>
      </c>
      <c r="U501" s="284">
        <f>Table13[[#This Row],[VAPs Options]]</f>
        <v>0</v>
      </c>
      <c r="V501" s="284">
        <f>Table13[[#This Row],[Annual Increase Option]]</f>
        <v>0</v>
      </c>
      <c r="W501" s="290">
        <f>Table13[[#This Row],[Life Cover Amount]]</f>
        <v>0</v>
      </c>
      <c r="X501" s="290">
        <f>Table13[[#This Row],[Funeral Cover Amount]]</f>
        <v>0</v>
      </c>
      <c r="Y50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0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01" s="301">
        <f t="shared" ca="1" si="53"/>
        <v>0</v>
      </c>
      <c r="AB501" s="298"/>
      <c r="AC501" s="326" t="str">
        <f>IF(Table2[[#This Row],[Member Type]]="Main Member",Lookups!$C$13,
IF(Table2[[#This Row],[Member Type]]="Spouse",_xlfn.XLOOKUP(B501,Table2[Main Member Link ID],Table2[Product Option],0),
IF(AND(Table2[[#This Row],[Member Type]]="Child",_xlfn.XLOOKUP(B501,Table2[Main Member Link ID],Table2[Product Option],0)&lt;&gt;"My Value Plus Life"),Lookups!$C$24,
IF(AND(OR(Table2[[#This Row],[Member Type]]="Parent",Table2[[#This Row],[Member Type]]="Extended"),_xlfn.XLOOKUP(B501,Table2[Main Member Link ID],Table2[Product Option],0)&lt;&gt;"My Value Plus Life"),Lookups!$C$26,""))))</f>
        <v/>
      </c>
      <c r="AD501" s="326" t="str">
        <f>IF(Table2[[#This Row],[Member Type]]="Main Member",Lookups!$C$14,"")</f>
        <v/>
      </c>
      <c r="AE50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Funeral",_xlfn.XLOOKUP(B501,Table2[Main Member Link ID],Table2[Benefit Name],0)=Lookups!$D$14),"",
IF(AND(Table2[[#This Row],[Member Type]]="Spouse",Table2[[#This Row],[Product Option]]="My Value Plus Life &amp; Funeral",_xlfn.XLOOKUP(B500,Table2[Main Member Link ID],Table2[Benefit Name],0)=Lookups!$D$15),Lookups!$D$20,
IF(AND(Table2[[#This Row],[Member Type]]="Spouse",Table2[[#This Row],[Product Option]]="My Value Plus Life &amp; Funeral",_xlfn.XLOOKUP(B500,Table2[Main Member Link ID],Table2[Benefit Name],0)=Lookups!$D$16),"",
IF(AND(Table2[[#This Row],[Member Type]]="Spouse",Table2[[#This Row],[Product Option]]="My Value Plus Life &amp; Funeral",_xlfn.XLOOKUP(B500,Table2[Main Member Link ID],Table2[Benefit Name],0)=Lookups!$D$17),Lookups!$D$21,
IF(AND(Table2[[#This Row],[Member Type]]="Child",Table2[[#This Row],[Product Option]]="My Value Plus Life &amp; Funeral",_xlfn.XLOOKUP(B501,Table2[Main Member Link ID],Table2[Benefit Name],0)=Lookups!$D$14),"",
IF(AND(Table2[[#This Row],[Member Type]]="Child",Table2[[#This Row],[Product Option]]="My Value Plus Life &amp; Funeral",_xlfn.XLOOKUP(B501,Table2[Main Member Link ID],Table2[Benefit Name],0)=Lookups!$D$15),"",
IF(AND(Table2[[#This Row],[Member Type]]="Child",Table2[[#This Row],[Product Option]]="My Value Plus Life &amp; Funeral",_xlfn.XLOOKUP(B501,Table2[Main Member Link ID],Table2[Benefit Name],0)=Lookups!$D$16),Lookups!$D$24,
IF(AND(Table2[[#This Row],[Member Type]]="Child",Table2[[#This Row],[Product Option]]="My Value Plus Life &amp; Funeral",_xlfn.XLOOKUP(B501,Table2[Main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Funeral",_xlfn.XLOOKUP(B501,Table2[Main Member Link ID],Table2[Benefit Name],0)&lt;&gt;Lookups!$D$14),
IF(_xlfn.XLOOKUP(B501,Table2[Main Member Link ID],Table2[Benefit Name],0)=0,"",_xlfn.XLOOKUP(B501,Table2[Main Member Link ID],Table2[Benefit Name],0)),"")))))))))))))))</f>
        <v/>
      </c>
      <c r="AF501" s="327" t="str">
        <f>IF(AND(Table2[[#This Row],[Member Type]]="Main Member",Table2[[#This Row],[Product Option]]="My Value Plus Life &amp; Funeral"),Lookups!$D$15,
IF(AND(Table2[[#This Row],[Member Type]]="Spouse",Table2[[#This Row],[Product Option]]="My Value Plus Life &amp; Funeral",_xlfn.XLOOKUP(B501,Table2[Main Member Link ID],Table2[Benefit Name],0)=Lookups!$D$14),"",
IF(AND(Table2[[#This Row],[Member Type]]="Spouse",Table2[[#This Row],[Product Option]]="My Value Plus Life &amp; Funeral",_xlfn.XLOOKUP(B500,Table2[Main Member Link ID],Table2[Benefit Name],0)=Lookups!$D$16),"",
IF(AND(Table2[[#This Row],[Member Type]]="Spouse",Table2[[#This Row],[Product Option]]="My Value Plus Life &amp; Funeral",_xlfn.XLOOKUP(B500,Table2[Main Member Link ID],Table2[Benefit Name],0)=Lookups!$D$15),"",
IF(AND(Table2[[#This Row],[Member Type]]="Spouse",Table2[[#This Row],[Product Option]]="My Value Plus Life &amp; Funeral",_xlfn.XLOOKUP(B500,Table2[Main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Funeral",_xlfn.XLOOKUP(B501,Table2[Main Member Link ID],Table2[Benefit Name],0)&lt;&gt;Lookups!$D$15),
IF(_xlfn.XLOOKUP(B501,Table2[Main Member Link ID],Table2[Benefit Name],0)=0,"",_xlfn.XLOOKUP(B501,Table2[Main Member Link ID],Table2[Benefit Name],0)),"")
))))))</f>
        <v/>
      </c>
      <c r="AG501" s="327" t="str">
        <f>IF(AND(Table2[[#This Row],[Member Type]]="Main Member",Table2[[#This Row],[Product Option]]="My Value Plus Life &amp; Funeral"),Lookups!$D$16,
IF(AND(Table2[[#This Row],[Member Type]]="Spouse",Table2[[#This Row],[Product Option]]="My Value Plus Life &amp; Funeral",_xlfn.XLOOKUP(B501,Table2[Main Member Link ID],Table2[Benefit Name],0)=Lookups!$D$14),"",
IF(AND(Table2[[#This Row],[Member Type]]="Spouse",Table2[[#This Row],[Product Option]]="My Value Plus Life &amp; Funeral",_xlfn.XLOOKUP(B500,Table2[Main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Funeral",_xlfn.XLOOKUP(B501,Table2[Main Member Link ID],Table2[Benefit Name],0)&lt;&gt;Lookups!$D$16),
IF(_xlfn.XLOOKUP(B501,Table2[Main Member Link ID],Table2[Benefit Name],0)=0,"",_xlfn.XLOOKUP(B501,Table2[Main Member Link ID],Table2[Benefit Name],0)),"")
))))</f>
        <v/>
      </c>
      <c r="AH501" s="327" t="str">
        <f>IF(AND(Table2[[#This Row],[Member Type]]="Main Member",Table2[[#This Row],[Product Option]]="My Value Plus Life &amp; Funeral"),Lookups!$D$17,
IF(AND(Table2[[#This Row],[Member Type]]="Spouse",Table2[[#This Row],[Product Option]]="My Value Plus Life &amp; Funeral",_xlfn.XLOOKUP(B501,Table2[Main Member Link ID],Table2[Benefit Name],0)=Lookups!$D$14),"",
IF(AND(Table2[[#This Row],[Member Type]]="Spouse",Table2[[#This Row],[Product Option]]="My Value Plus Life &amp; Funeral",_xlfn.XLOOKUP(B500,Table2[Main Member Link ID],Table2[Benefit Name],0)=Lookups!$D$16),"",
IF(AND(Table2[[#This Row],[Member Type]]="Child",Table2[[#This Row],[Product Option]]="My Value Plus Life &amp; Funeral"),"",
IF(AND(Table2[[#This Row],[Member Type]]="Child",Table2[[#This Row],[Product Option]]="My Value Plus Life &amp; Funeral",_xlfn.XLOOKUP(B501,Table2[Main Member Link ID],Table2[Benefit Name],0)=Lookups!$D$15),"",
IF(AND(OR(Table2[[#This Row],[Member Type]]="Spouse",Table2[[#This Row],[Member Type]]="Child"),Table2[[#This Row],[Product Option]]="My Value Plus Life &amp; Funeral",_xlfn.XLOOKUP(B501,Table2[Main Member Link ID],Table2[Benefit Name],0)&lt;&gt;Lookups!$D$17),
IF(_xlfn.XLOOKUP(B501,Table2[Main Member Link ID],Table2[Benefit Name],0)=0,"",_xlfn.XLOOKUP(B501,Table2[Main Member Link ID],Table2[Benefit Name],0)),""))))))</f>
        <v/>
      </c>
      <c r="AI501" s="328" t="str">
        <f>IF(AND(Table2[[#This Row],[Member Type]]="Main Member",Table2[[#This Row],[Table Lookup for Life Cover]]="MM_LIFE",Table2[[#This Row],[Age Next Birthday]]&lt;56),1,
IF(AND(Table2[[#This Row],[Member Type]]="Main Member",Table2[[#This Row],[Table Lookup for Life Cover]]="MM_LIFE",Table2[[#This Row],[Age Next Birthday]]&gt;=56),2,
""))</f>
        <v/>
      </c>
      <c r="AJ501" s="328">
        <f>IF(OR(Table2[[#This Row],[Member Type]]="Main Member",Table2[[#This Row],[Main Member Link ID]]=B500),1,0)</f>
        <v>1</v>
      </c>
      <c r="AK501" s="328">
        <f>IF(Table2[[#This Row],[Member Type]]=0,0,
IF(OR(Table2[[#This Row],[Member Type]]="Main Member",Table2[[#This Row],[Main Member Link ID]]&lt;&gt;B501),COUNTIFS(B:B,Table2[[#This Row],[Main Member Link ID]]),
COUNTIFS(B:B,Table2[[#This Row],[Main Member Link ID]],A:A,Table2[[#This Row],[Member Type]])))</f>
        <v>0</v>
      </c>
    </row>
    <row r="502" spans="1:37" x14ac:dyDescent="0.3">
      <c r="A502" s="284">
        <f>Table13[[#This Row],[Member Type]]</f>
        <v>0</v>
      </c>
      <c r="B502" s="284">
        <f>Table13[[#This Row],[Main Member Link ID]]</f>
        <v>0</v>
      </c>
      <c r="C502" s="284">
        <f>Table13[[#This Row],[ID Number]]</f>
        <v>0</v>
      </c>
      <c r="D502" s="285">
        <f>Table13[[#This Row],[Date Of Birth]]</f>
        <v>0</v>
      </c>
      <c r="E502" s="285">
        <f>Table13[[#This Row],[Commencement Date]]</f>
        <v>0</v>
      </c>
      <c r="F502" s="284">
        <f t="shared" si="49"/>
        <v>1</v>
      </c>
      <c r="G502" s="284">
        <f t="shared" si="50"/>
        <v>25</v>
      </c>
      <c r="H502" s="286">
        <f>Table13[[#This Row],[Product Option]]</f>
        <v>0</v>
      </c>
      <c r="I502" s="284">
        <f>IF(AND($A502="Main Member",Table2[[#This Row],[Product Option]]="My Value Plus Life"),"MM_LIFE",
IF(AND($A502="Spouse",Table2[[#This Row],[Product Option]]="My Value Plus Life"),"SP_LIFE",
IF(AND($A502="Main Member",Table2[[#This Row],[Product Option]]="My Value Plus Life &amp; Funeral"),"MM_LIFE",
IF(AND($A502="Spouse",Table2[[#This Row],[Product Option]]="My Value Plus Life &amp; Funeral"),_xlfn.XLOOKUP(Table2[[#This Row],[Benefit Name]],Lookups!$D$18:$D$23,Lookups!$E$18:$E$23,0),
0))))</f>
        <v>0</v>
      </c>
      <c r="J502" s="284">
        <f>IF($I502="","",
IF($I502="MM_LIFE",INDEX('Quotation Tool'!$S$54:$V$60,MATCH($T502,'Quotation Tool'!$S$54:$S$60,0),4),
IF($I502="SP_LIFE",_xlfn.XLOOKUP(B501,$B:$B,$J:$J,0),0)))</f>
        <v>0</v>
      </c>
      <c r="K502" s="287">
        <f t="shared" ca="1" si="54"/>
        <v>0</v>
      </c>
      <c r="L502" s="288">
        <f t="shared" ca="1" si="55"/>
        <v>0</v>
      </c>
      <c r="M502" s="289">
        <f t="shared" ca="1" si="51"/>
        <v>0</v>
      </c>
      <c r="N502" s="286">
        <f>Table13[[#This Row],[Benefit Option]]</f>
        <v>0</v>
      </c>
      <c r="O502" s="284">
        <f>IF(OR(Table2[[#This Row],[Member Type]]="Spouse",Table2[[#This Row],[Member Type]]="Child"),0,
IF(_xlfn.XLOOKUP($N502,Lookups!$D$13:$D$27,Lookups!$F$13:$F$27,0)=Table2[[#This Row],[Table Lookup for Life Cover]],0,
_xlfn.XLOOKUP($N502,Lookups!$D$13:$D$27,Lookups!$F$13:$F$27,0)))</f>
        <v>0</v>
      </c>
      <c r="P502" s="284">
        <f>IF(Table2[[#This Row],[Table Lookup for Funeral]]=0,0,IFERROR(INDEX('Quotation Tool'!$S$54:$V$60,MATCH($T502,'Quotation Tool'!$S$54:$S$60,0),3),0))</f>
        <v>0</v>
      </c>
      <c r="Q502" s="288">
        <f ca="1">IF(OR(Table2[[#This Row],[Benefit Name]]="My Value Plus Life - Main Member",Table2[[#This Row],[Benefit Name]]="My Value Plus Life - Spouse"),0,
IFERROR(VLOOKUP($G502,INDIRECT($O502),$P502,FALSE),0))</f>
        <v>0</v>
      </c>
      <c r="R502" s="288">
        <f ca="1">IF(OR(Table2[[#This Row],[Benefit Name]]="My Value Plus Life - Main Member",Table2[[#This Row],[Benefit Name]]="My Value Plus Life - Spouse"),0,
IFERROR(VLOOKUP($G502,INDIRECT($O502),$P502+1,FALSE),0))</f>
        <v>0</v>
      </c>
      <c r="S502" s="289">
        <f t="shared" ca="1" si="52"/>
        <v>0</v>
      </c>
      <c r="T502" s="284" t="str">
        <f>IF(Table13[[#This Row],[Premium Waiver]]="","None",Table13[[#This Row],[Premium Waiver]])</f>
        <v>None</v>
      </c>
      <c r="U502" s="284">
        <f>Table13[[#This Row],[VAPs Options]]</f>
        <v>0</v>
      </c>
      <c r="V502" s="284">
        <f>Table13[[#This Row],[Annual Increase Option]]</f>
        <v>0</v>
      </c>
      <c r="W502" s="290">
        <f>Table13[[#This Row],[Life Cover Amount]]</f>
        <v>0</v>
      </c>
      <c r="X502" s="290">
        <f>Table13[[#This Row],[Funeral Cover Amount]]</f>
        <v>0</v>
      </c>
      <c r="Y50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0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02" s="301">
        <f t="shared" ca="1" si="53"/>
        <v>0</v>
      </c>
      <c r="AB502" s="298"/>
      <c r="AC502" s="326" t="str">
        <f>IF(Table2[[#This Row],[Member Type]]="Main Member",Lookups!$C$13,
IF(Table2[[#This Row],[Member Type]]="Spouse",_xlfn.XLOOKUP(B502,Table2[Main Member Link ID],Table2[Product Option],0),
IF(AND(Table2[[#This Row],[Member Type]]="Child",_xlfn.XLOOKUP(B502,Table2[Main Member Link ID],Table2[Product Option],0)&lt;&gt;"My Value Plus Life"),Lookups!$C$24,
IF(AND(OR(Table2[[#This Row],[Member Type]]="Parent",Table2[[#This Row],[Member Type]]="Extended"),_xlfn.XLOOKUP(B502,Table2[Main Member Link ID],Table2[Product Option],0)&lt;&gt;"My Value Plus Life"),Lookups!$C$26,""))))</f>
        <v/>
      </c>
      <c r="AD502" s="326" t="str">
        <f>IF(Table2[[#This Row],[Member Type]]="Main Member",Lookups!$C$14,"")</f>
        <v/>
      </c>
      <c r="AE50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Funeral",_xlfn.XLOOKUP(B502,Table2[Main Member Link ID],Table2[Benefit Name],0)=Lookups!$D$14),"",
IF(AND(Table2[[#This Row],[Member Type]]="Spouse",Table2[[#This Row],[Product Option]]="My Value Plus Life &amp; Funeral",_xlfn.XLOOKUP(B501,Table2[Main Member Link ID],Table2[Benefit Name],0)=Lookups!$D$15),Lookups!$D$20,
IF(AND(Table2[[#This Row],[Member Type]]="Spouse",Table2[[#This Row],[Product Option]]="My Value Plus Life &amp; Funeral",_xlfn.XLOOKUP(B501,Table2[Main Member Link ID],Table2[Benefit Name],0)=Lookups!$D$16),"",
IF(AND(Table2[[#This Row],[Member Type]]="Spouse",Table2[[#This Row],[Product Option]]="My Value Plus Life &amp; Funeral",_xlfn.XLOOKUP(B501,Table2[Main Member Link ID],Table2[Benefit Name],0)=Lookups!$D$17),Lookups!$D$21,
IF(AND(Table2[[#This Row],[Member Type]]="Child",Table2[[#This Row],[Product Option]]="My Value Plus Life &amp; Funeral",_xlfn.XLOOKUP(B502,Table2[Main Member Link ID],Table2[Benefit Name],0)=Lookups!$D$14),"",
IF(AND(Table2[[#This Row],[Member Type]]="Child",Table2[[#This Row],[Product Option]]="My Value Plus Life &amp; Funeral",_xlfn.XLOOKUP(B502,Table2[Main Member Link ID],Table2[Benefit Name],0)=Lookups!$D$15),"",
IF(AND(Table2[[#This Row],[Member Type]]="Child",Table2[[#This Row],[Product Option]]="My Value Plus Life &amp; Funeral",_xlfn.XLOOKUP(B502,Table2[Main Member Link ID],Table2[Benefit Name],0)=Lookups!$D$16),Lookups!$D$24,
IF(AND(Table2[[#This Row],[Member Type]]="Child",Table2[[#This Row],[Product Option]]="My Value Plus Life &amp; Funeral",_xlfn.XLOOKUP(B502,Table2[Main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Funeral",_xlfn.XLOOKUP(B502,Table2[Main Member Link ID],Table2[Benefit Name],0)&lt;&gt;Lookups!$D$14),
IF(_xlfn.XLOOKUP(B502,Table2[Main Member Link ID],Table2[Benefit Name],0)=0,"",_xlfn.XLOOKUP(B502,Table2[Main Member Link ID],Table2[Benefit Name],0)),"")))))))))))))))</f>
        <v/>
      </c>
      <c r="AF502" s="327" t="str">
        <f>IF(AND(Table2[[#This Row],[Member Type]]="Main Member",Table2[[#This Row],[Product Option]]="My Value Plus Life &amp; Funeral"),Lookups!$D$15,
IF(AND(Table2[[#This Row],[Member Type]]="Spouse",Table2[[#This Row],[Product Option]]="My Value Plus Life &amp; Funeral",_xlfn.XLOOKUP(B502,Table2[Main Member Link ID],Table2[Benefit Name],0)=Lookups!$D$14),"",
IF(AND(Table2[[#This Row],[Member Type]]="Spouse",Table2[[#This Row],[Product Option]]="My Value Plus Life &amp; Funeral",_xlfn.XLOOKUP(B501,Table2[Main Member Link ID],Table2[Benefit Name],0)=Lookups!$D$16),"",
IF(AND(Table2[[#This Row],[Member Type]]="Spouse",Table2[[#This Row],[Product Option]]="My Value Plus Life &amp; Funeral",_xlfn.XLOOKUP(B501,Table2[Main Member Link ID],Table2[Benefit Name],0)=Lookups!$D$15),"",
IF(AND(Table2[[#This Row],[Member Type]]="Spouse",Table2[[#This Row],[Product Option]]="My Value Plus Life &amp; Funeral",_xlfn.XLOOKUP(B501,Table2[Main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Funeral",_xlfn.XLOOKUP(B502,Table2[Main Member Link ID],Table2[Benefit Name],0)&lt;&gt;Lookups!$D$15),
IF(_xlfn.XLOOKUP(B502,Table2[Main Member Link ID],Table2[Benefit Name],0)=0,"",_xlfn.XLOOKUP(B502,Table2[Main Member Link ID],Table2[Benefit Name],0)),"")
))))))</f>
        <v/>
      </c>
      <c r="AG502" s="327" t="str">
        <f>IF(AND(Table2[[#This Row],[Member Type]]="Main Member",Table2[[#This Row],[Product Option]]="My Value Plus Life &amp; Funeral"),Lookups!$D$16,
IF(AND(Table2[[#This Row],[Member Type]]="Spouse",Table2[[#This Row],[Product Option]]="My Value Plus Life &amp; Funeral",_xlfn.XLOOKUP(B502,Table2[Main Member Link ID],Table2[Benefit Name],0)=Lookups!$D$14),"",
IF(AND(Table2[[#This Row],[Member Type]]="Spouse",Table2[[#This Row],[Product Option]]="My Value Plus Life &amp; Funeral",_xlfn.XLOOKUP(B501,Table2[Main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Funeral",_xlfn.XLOOKUP(B502,Table2[Main Member Link ID],Table2[Benefit Name],0)&lt;&gt;Lookups!$D$16),
IF(_xlfn.XLOOKUP(B502,Table2[Main Member Link ID],Table2[Benefit Name],0)=0,"",_xlfn.XLOOKUP(B502,Table2[Main Member Link ID],Table2[Benefit Name],0)),"")
))))</f>
        <v/>
      </c>
      <c r="AH502" s="327" t="str">
        <f>IF(AND(Table2[[#This Row],[Member Type]]="Main Member",Table2[[#This Row],[Product Option]]="My Value Plus Life &amp; Funeral"),Lookups!$D$17,
IF(AND(Table2[[#This Row],[Member Type]]="Spouse",Table2[[#This Row],[Product Option]]="My Value Plus Life &amp; Funeral",_xlfn.XLOOKUP(B502,Table2[Main Member Link ID],Table2[Benefit Name],0)=Lookups!$D$14),"",
IF(AND(Table2[[#This Row],[Member Type]]="Spouse",Table2[[#This Row],[Product Option]]="My Value Plus Life &amp; Funeral",_xlfn.XLOOKUP(B501,Table2[Main Member Link ID],Table2[Benefit Name],0)=Lookups!$D$16),"",
IF(AND(Table2[[#This Row],[Member Type]]="Child",Table2[[#This Row],[Product Option]]="My Value Plus Life &amp; Funeral"),"",
IF(AND(Table2[[#This Row],[Member Type]]="Child",Table2[[#This Row],[Product Option]]="My Value Plus Life &amp; Funeral",_xlfn.XLOOKUP(B502,Table2[Main Member Link ID],Table2[Benefit Name],0)=Lookups!$D$15),"",
IF(AND(OR(Table2[[#This Row],[Member Type]]="Spouse",Table2[[#This Row],[Member Type]]="Child"),Table2[[#This Row],[Product Option]]="My Value Plus Life &amp; Funeral",_xlfn.XLOOKUP(B502,Table2[Main Member Link ID],Table2[Benefit Name],0)&lt;&gt;Lookups!$D$17),
IF(_xlfn.XLOOKUP(B502,Table2[Main Member Link ID],Table2[Benefit Name],0)=0,"",_xlfn.XLOOKUP(B502,Table2[Main Member Link ID],Table2[Benefit Name],0)),""))))))</f>
        <v/>
      </c>
      <c r="AI502" s="328" t="str">
        <f>IF(AND(Table2[[#This Row],[Member Type]]="Main Member",Table2[[#This Row],[Table Lookup for Life Cover]]="MM_LIFE",Table2[[#This Row],[Age Next Birthday]]&lt;56),1,
IF(AND(Table2[[#This Row],[Member Type]]="Main Member",Table2[[#This Row],[Table Lookup for Life Cover]]="MM_LIFE",Table2[[#This Row],[Age Next Birthday]]&gt;=56),2,
""))</f>
        <v/>
      </c>
      <c r="AJ502" s="328">
        <f>IF(OR(Table2[[#This Row],[Member Type]]="Main Member",Table2[[#This Row],[Main Member Link ID]]=B501),1,0)</f>
        <v>1</v>
      </c>
      <c r="AK502" s="328">
        <f>IF(Table2[[#This Row],[Member Type]]=0,0,
IF(OR(Table2[[#This Row],[Member Type]]="Main Member",Table2[[#This Row],[Main Member Link ID]]&lt;&gt;B502),COUNTIFS(B:B,Table2[[#This Row],[Main Member Link ID]]),
COUNTIFS(B:B,Table2[[#This Row],[Main Member Link ID]],A:A,Table2[[#This Row],[Member Type]])))</f>
        <v>0</v>
      </c>
    </row>
    <row r="503" spans="1:37" x14ac:dyDescent="0.3">
      <c r="A503" s="284">
        <f>Table13[[#This Row],[Member Type]]</f>
        <v>0</v>
      </c>
      <c r="B503" s="284">
        <f>Table13[[#This Row],[Main Member Link ID]]</f>
        <v>0</v>
      </c>
      <c r="C503" s="284">
        <f>Table13[[#This Row],[ID Number]]</f>
        <v>0</v>
      </c>
      <c r="D503" s="285">
        <f>Table13[[#This Row],[Date Of Birth]]</f>
        <v>0</v>
      </c>
      <c r="E503" s="285">
        <f>Table13[[#This Row],[Commencement Date]]</f>
        <v>0</v>
      </c>
      <c r="F503" s="284">
        <f t="shared" si="49"/>
        <v>1</v>
      </c>
      <c r="G503" s="284">
        <f t="shared" si="50"/>
        <v>25</v>
      </c>
      <c r="H503" s="286">
        <f>Table13[[#This Row],[Product Option]]</f>
        <v>0</v>
      </c>
      <c r="I503" s="284">
        <f>IF(AND($A503="Main Member",Table2[[#This Row],[Product Option]]="My Value Plus Life"),"MM_LIFE",
IF(AND($A503="Spouse",Table2[[#This Row],[Product Option]]="My Value Plus Life"),"SP_LIFE",
IF(AND($A503="Main Member",Table2[[#This Row],[Product Option]]="My Value Plus Life &amp; Funeral"),"MM_LIFE",
IF(AND($A503="Spouse",Table2[[#This Row],[Product Option]]="My Value Plus Life &amp; Funeral"),_xlfn.XLOOKUP(Table2[[#This Row],[Benefit Name]],Lookups!$D$18:$D$23,Lookups!$E$18:$E$23,0),
0))))</f>
        <v>0</v>
      </c>
      <c r="J503" s="284">
        <f>IF($I503="","",
IF($I503="MM_LIFE",INDEX('Quotation Tool'!$S$54:$V$60,MATCH($T503,'Quotation Tool'!$S$54:$S$60,0),4),
IF($I503="SP_LIFE",_xlfn.XLOOKUP(B502,$B:$B,$J:$J,0),0)))</f>
        <v>0</v>
      </c>
      <c r="K503" s="287">
        <f t="shared" ca="1" si="54"/>
        <v>0</v>
      </c>
      <c r="L503" s="288">
        <f t="shared" ca="1" si="55"/>
        <v>0</v>
      </c>
      <c r="M503" s="289">
        <f t="shared" ca="1" si="51"/>
        <v>0</v>
      </c>
      <c r="N503" s="286">
        <f>Table13[[#This Row],[Benefit Option]]</f>
        <v>0</v>
      </c>
      <c r="O503" s="284">
        <f>IF(OR(Table2[[#This Row],[Member Type]]="Spouse",Table2[[#This Row],[Member Type]]="Child"),0,
IF(_xlfn.XLOOKUP($N503,Lookups!$D$13:$D$27,Lookups!$F$13:$F$27,0)=Table2[[#This Row],[Table Lookup for Life Cover]],0,
_xlfn.XLOOKUP($N503,Lookups!$D$13:$D$27,Lookups!$F$13:$F$27,0)))</f>
        <v>0</v>
      </c>
      <c r="P503" s="284">
        <f>IF(Table2[[#This Row],[Table Lookup for Funeral]]=0,0,IFERROR(INDEX('Quotation Tool'!$S$54:$V$60,MATCH($T503,'Quotation Tool'!$S$54:$S$60,0),3),0))</f>
        <v>0</v>
      </c>
      <c r="Q503" s="288">
        <f ca="1">IF(OR(Table2[[#This Row],[Benefit Name]]="My Value Plus Life - Main Member",Table2[[#This Row],[Benefit Name]]="My Value Plus Life - Spouse"),0,
IFERROR(VLOOKUP($G503,INDIRECT($O503),$P503,FALSE),0))</f>
        <v>0</v>
      </c>
      <c r="R503" s="288">
        <f ca="1">IF(OR(Table2[[#This Row],[Benefit Name]]="My Value Plus Life - Main Member",Table2[[#This Row],[Benefit Name]]="My Value Plus Life - Spouse"),0,
IFERROR(VLOOKUP($G503,INDIRECT($O503),$P503+1,FALSE),0))</f>
        <v>0</v>
      </c>
      <c r="S503" s="289">
        <f t="shared" ca="1" si="52"/>
        <v>0</v>
      </c>
      <c r="T503" s="284" t="str">
        <f>IF(Table13[[#This Row],[Premium Waiver]]="","None",Table13[[#This Row],[Premium Waiver]])</f>
        <v>None</v>
      </c>
      <c r="U503" s="284">
        <f>Table13[[#This Row],[VAPs Options]]</f>
        <v>0</v>
      </c>
      <c r="V503" s="284">
        <f>Table13[[#This Row],[Annual Increase Option]]</f>
        <v>0</v>
      </c>
      <c r="W503" s="290">
        <f>Table13[[#This Row],[Life Cover Amount]]</f>
        <v>0</v>
      </c>
      <c r="X503" s="290">
        <f>Table13[[#This Row],[Funeral Cover Amount]]</f>
        <v>0</v>
      </c>
      <c r="Y50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0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03" s="301">
        <f t="shared" ca="1" si="53"/>
        <v>0</v>
      </c>
      <c r="AB503" s="298"/>
      <c r="AC503" s="326" t="str">
        <f>IF(Table2[[#This Row],[Member Type]]="Main Member",Lookups!$C$13,
IF(Table2[[#This Row],[Member Type]]="Spouse",_xlfn.XLOOKUP(B503,Table2[Main Member Link ID],Table2[Product Option],0),
IF(AND(Table2[[#This Row],[Member Type]]="Child",_xlfn.XLOOKUP(B503,Table2[Main Member Link ID],Table2[Product Option],0)&lt;&gt;"My Value Plus Life"),Lookups!$C$24,
IF(AND(OR(Table2[[#This Row],[Member Type]]="Parent",Table2[[#This Row],[Member Type]]="Extended"),_xlfn.XLOOKUP(B503,Table2[Main Member Link ID],Table2[Product Option],0)&lt;&gt;"My Value Plus Life"),Lookups!$C$26,""))))</f>
        <v/>
      </c>
      <c r="AD503" s="326" t="str">
        <f>IF(Table2[[#This Row],[Member Type]]="Main Member",Lookups!$C$14,"")</f>
        <v/>
      </c>
      <c r="AE50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Funeral",_xlfn.XLOOKUP(B503,Table2[Main Member Link ID],Table2[Benefit Name],0)=Lookups!$D$14),"",
IF(AND(Table2[[#This Row],[Member Type]]="Spouse",Table2[[#This Row],[Product Option]]="My Value Plus Life &amp; Funeral",_xlfn.XLOOKUP(B502,Table2[Main Member Link ID],Table2[Benefit Name],0)=Lookups!$D$15),Lookups!$D$20,
IF(AND(Table2[[#This Row],[Member Type]]="Spouse",Table2[[#This Row],[Product Option]]="My Value Plus Life &amp; Funeral",_xlfn.XLOOKUP(B502,Table2[Main Member Link ID],Table2[Benefit Name],0)=Lookups!$D$16),"",
IF(AND(Table2[[#This Row],[Member Type]]="Spouse",Table2[[#This Row],[Product Option]]="My Value Plus Life &amp; Funeral",_xlfn.XLOOKUP(B502,Table2[Main Member Link ID],Table2[Benefit Name],0)=Lookups!$D$17),Lookups!$D$21,
IF(AND(Table2[[#This Row],[Member Type]]="Child",Table2[[#This Row],[Product Option]]="My Value Plus Life &amp; Funeral",_xlfn.XLOOKUP(B503,Table2[Main Member Link ID],Table2[Benefit Name],0)=Lookups!$D$14),"",
IF(AND(Table2[[#This Row],[Member Type]]="Child",Table2[[#This Row],[Product Option]]="My Value Plus Life &amp; Funeral",_xlfn.XLOOKUP(B503,Table2[Main Member Link ID],Table2[Benefit Name],0)=Lookups!$D$15),"",
IF(AND(Table2[[#This Row],[Member Type]]="Child",Table2[[#This Row],[Product Option]]="My Value Plus Life &amp; Funeral",_xlfn.XLOOKUP(B503,Table2[Main Member Link ID],Table2[Benefit Name],0)=Lookups!$D$16),Lookups!$D$24,
IF(AND(Table2[[#This Row],[Member Type]]="Child",Table2[[#This Row],[Product Option]]="My Value Plus Life &amp; Funeral",_xlfn.XLOOKUP(B503,Table2[Main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Funeral",_xlfn.XLOOKUP(B503,Table2[Main Member Link ID],Table2[Benefit Name],0)&lt;&gt;Lookups!$D$14),
IF(_xlfn.XLOOKUP(B503,Table2[Main Member Link ID],Table2[Benefit Name],0)=0,"",_xlfn.XLOOKUP(B503,Table2[Main Member Link ID],Table2[Benefit Name],0)),"")))))))))))))))</f>
        <v/>
      </c>
      <c r="AF503" s="327" t="str">
        <f>IF(AND(Table2[[#This Row],[Member Type]]="Main Member",Table2[[#This Row],[Product Option]]="My Value Plus Life &amp; Funeral"),Lookups!$D$15,
IF(AND(Table2[[#This Row],[Member Type]]="Spouse",Table2[[#This Row],[Product Option]]="My Value Plus Life &amp; Funeral",_xlfn.XLOOKUP(B503,Table2[Main Member Link ID],Table2[Benefit Name],0)=Lookups!$D$14),"",
IF(AND(Table2[[#This Row],[Member Type]]="Spouse",Table2[[#This Row],[Product Option]]="My Value Plus Life &amp; Funeral",_xlfn.XLOOKUP(B502,Table2[Main Member Link ID],Table2[Benefit Name],0)=Lookups!$D$16),"",
IF(AND(Table2[[#This Row],[Member Type]]="Spouse",Table2[[#This Row],[Product Option]]="My Value Plus Life &amp; Funeral",_xlfn.XLOOKUP(B502,Table2[Main Member Link ID],Table2[Benefit Name],0)=Lookups!$D$15),"",
IF(AND(Table2[[#This Row],[Member Type]]="Spouse",Table2[[#This Row],[Product Option]]="My Value Plus Life &amp; Funeral",_xlfn.XLOOKUP(B502,Table2[Main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Funeral",_xlfn.XLOOKUP(B503,Table2[Main Member Link ID],Table2[Benefit Name],0)&lt;&gt;Lookups!$D$15),
IF(_xlfn.XLOOKUP(B503,Table2[Main Member Link ID],Table2[Benefit Name],0)=0,"",_xlfn.XLOOKUP(B503,Table2[Main Member Link ID],Table2[Benefit Name],0)),"")
))))))</f>
        <v/>
      </c>
      <c r="AG503" s="327" t="str">
        <f>IF(AND(Table2[[#This Row],[Member Type]]="Main Member",Table2[[#This Row],[Product Option]]="My Value Plus Life &amp; Funeral"),Lookups!$D$16,
IF(AND(Table2[[#This Row],[Member Type]]="Spouse",Table2[[#This Row],[Product Option]]="My Value Plus Life &amp; Funeral",_xlfn.XLOOKUP(B503,Table2[Main Member Link ID],Table2[Benefit Name],0)=Lookups!$D$14),"",
IF(AND(Table2[[#This Row],[Member Type]]="Spouse",Table2[[#This Row],[Product Option]]="My Value Plus Life &amp; Funeral",_xlfn.XLOOKUP(B502,Table2[Main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Funeral",_xlfn.XLOOKUP(B503,Table2[Main Member Link ID],Table2[Benefit Name],0)&lt;&gt;Lookups!$D$16),
IF(_xlfn.XLOOKUP(B503,Table2[Main Member Link ID],Table2[Benefit Name],0)=0,"",_xlfn.XLOOKUP(B503,Table2[Main Member Link ID],Table2[Benefit Name],0)),"")
))))</f>
        <v/>
      </c>
      <c r="AH503" s="327" t="str">
        <f>IF(AND(Table2[[#This Row],[Member Type]]="Main Member",Table2[[#This Row],[Product Option]]="My Value Plus Life &amp; Funeral"),Lookups!$D$17,
IF(AND(Table2[[#This Row],[Member Type]]="Spouse",Table2[[#This Row],[Product Option]]="My Value Plus Life &amp; Funeral",_xlfn.XLOOKUP(B503,Table2[Main Member Link ID],Table2[Benefit Name],0)=Lookups!$D$14),"",
IF(AND(Table2[[#This Row],[Member Type]]="Spouse",Table2[[#This Row],[Product Option]]="My Value Plus Life &amp; Funeral",_xlfn.XLOOKUP(B502,Table2[Main Member Link ID],Table2[Benefit Name],0)=Lookups!$D$16),"",
IF(AND(Table2[[#This Row],[Member Type]]="Child",Table2[[#This Row],[Product Option]]="My Value Plus Life &amp; Funeral"),"",
IF(AND(Table2[[#This Row],[Member Type]]="Child",Table2[[#This Row],[Product Option]]="My Value Plus Life &amp; Funeral",_xlfn.XLOOKUP(B503,Table2[Main Member Link ID],Table2[Benefit Name],0)=Lookups!$D$15),"",
IF(AND(OR(Table2[[#This Row],[Member Type]]="Spouse",Table2[[#This Row],[Member Type]]="Child"),Table2[[#This Row],[Product Option]]="My Value Plus Life &amp; Funeral",_xlfn.XLOOKUP(B503,Table2[Main Member Link ID],Table2[Benefit Name],0)&lt;&gt;Lookups!$D$17),
IF(_xlfn.XLOOKUP(B503,Table2[Main Member Link ID],Table2[Benefit Name],0)=0,"",_xlfn.XLOOKUP(B503,Table2[Main Member Link ID],Table2[Benefit Name],0)),""))))))</f>
        <v/>
      </c>
      <c r="AI503" s="328" t="str">
        <f>IF(AND(Table2[[#This Row],[Member Type]]="Main Member",Table2[[#This Row],[Table Lookup for Life Cover]]="MM_LIFE",Table2[[#This Row],[Age Next Birthday]]&lt;56),1,
IF(AND(Table2[[#This Row],[Member Type]]="Main Member",Table2[[#This Row],[Table Lookup for Life Cover]]="MM_LIFE",Table2[[#This Row],[Age Next Birthday]]&gt;=56),2,
""))</f>
        <v/>
      </c>
      <c r="AJ503" s="328">
        <f>IF(OR(Table2[[#This Row],[Member Type]]="Main Member",Table2[[#This Row],[Main Member Link ID]]=B502),1,0)</f>
        <v>1</v>
      </c>
      <c r="AK503" s="328">
        <f>IF(Table2[[#This Row],[Member Type]]=0,0,
IF(OR(Table2[[#This Row],[Member Type]]="Main Member",Table2[[#This Row],[Main Member Link ID]]&lt;&gt;B503),COUNTIFS(B:B,Table2[[#This Row],[Main Member Link ID]]),
COUNTIFS(B:B,Table2[[#This Row],[Main Member Link ID]],A:A,Table2[[#This Row],[Member Type]])))</f>
        <v>0</v>
      </c>
    </row>
    <row r="504" spans="1:37" x14ac:dyDescent="0.3">
      <c r="A504" s="284">
        <f>Table13[[#This Row],[Member Type]]</f>
        <v>0</v>
      </c>
      <c r="B504" s="284">
        <f>Table13[[#This Row],[Main Member Link ID]]</f>
        <v>0</v>
      </c>
      <c r="C504" s="284">
        <f>Table13[[#This Row],[ID Number]]</f>
        <v>0</v>
      </c>
      <c r="D504" s="285">
        <f>Table13[[#This Row],[Date Of Birth]]</f>
        <v>0</v>
      </c>
      <c r="E504" s="285">
        <f>Table13[[#This Row],[Commencement Date]]</f>
        <v>0</v>
      </c>
      <c r="F504" s="284">
        <f t="shared" si="49"/>
        <v>1</v>
      </c>
      <c r="G504" s="284">
        <f t="shared" si="50"/>
        <v>25</v>
      </c>
      <c r="H504" s="286">
        <f>Table13[[#This Row],[Product Option]]</f>
        <v>0</v>
      </c>
      <c r="I504" s="284">
        <f>IF(AND($A504="Main Member",Table2[[#This Row],[Product Option]]="My Value Plus Life"),"MM_LIFE",
IF(AND($A504="Spouse",Table2[[#This Row],[Product Option]]="My Value Plus Life"),"SP_LIFE",
IF(AND($A504="Main Member",Table2[[#This Row],[Product Option]]="My Value Plus Life &amp; Funeral"),"MM_LIFE",
IF(AND($A504="Spouse",Table2[[#This Row],[Product Option]]="My Value Plus Life &amp; Funeral"),_xlfn.XLOOKUP(Table2[[#This Row],[Benefit Name]],Lookups!$D$18:$D$23,Lookups!$E$18:$E$23,0),
0))))</f>
        <v>0</v>
      </c>
      <c r="J504" s="284">
        <f>IF($I504="","",
IF($I504="MM_LIFE",INDEX('Quotation Tool'!$S$54:$V$60,MATCH($T504,'Quotation Tool'!$S$54:$S$60,0),4),
IF($I504="SP_LIFE",_xlfn.XLOOKUP(B503,$B:$B,$J:$J,0),0)))</f>
        <v>0</v>
      </c>
      <c r="K504" s="287">
        <f t="shared" ca="1" si="54"/>
        <v>0</v>
      </c>
      <c r="L504" s="288">
        <f t="shared" ca="1" si="55"/>
        <v>0</v>
      </c>
      <c r="M504" s="289">
        <f t="shared" ca="1" si="51"/>
        <v>0</v>
      </c>
      <c r="N504" s="286">
        <f>Table13[[#This Row],[Benefit Option]]</f>
        <v>0</v>
      </c>
      <c r="O504" s="284">
        <f>IF(OR(Table2[[#This Row],[Member Type]]="Spouse",Table2[[#This Row],[Member Type]]="Child"),0,
IF(_xlfn.XLOOKUP($N504,Lookups!$D$13:$D$27,Lookups!$F$13:$F$27,0)=Table2[[#This Row],[Table Lookup for Life Cover]],0,
_xlfn.XLOOKUP($N504,Lookups!$D$13:$D$27,Lookups!$F$13:$F$27,0)))</f>
        <v>0</v>
      </c>
      <c r="P504" s="284">
        <f>IF(Table2[[#This Row],[Table Lookup for Funeral]]=0,0,IFERROR(INDEX('Quotation Tool'!$S$54:$V$60,MATCH($T504,'Quotation Tool'!$S$54:$S$60,0),3),0))</f>
        <v>0</v>
      </c>
      <c r="Q504" s="288">
        <f ca="1">IF(OR(Table2[[#This Row],[Benefit Name]]="My Value Plus Life - Main Member",Table2[[#This Row],[Benefit Name]]="My Value Plus Life - Spouse"),0,
IFERROR(VLOOKUP($G504,INDIRECT($O504),$P504,FALSE),0))</f>
        <v>0</v>
      </c>
      <c r="R504" s="288">
        <f ca="1">IF(OR(Table2[[#This Row],[Benefit Name]]="My Value Plus Life - Main Member",Table2[[#This Row],[Benefit Name]]="My Value Plus Life - Spouse"),0,
IFERROR(VLOOKUP($G504,INDIRECT($O504),$P504+1,FALSE),0))</f>
        <v>0</v>
      </c>
      <c r="S504" s="289">
        <f t="shared" ca="1" si="52"/>
        <v>0</v>
      </c>
      <c r="T504" s="284" t="str">
        <f>IF(Table13[[#This Row],[Premium Waiver]]="","None",Table13[[#This Row],[Premium Waiver]])</f>
        <v>None</v>
      </c>
      <c r="U504" s="284">
        <f>Table13[[#This Row],[VAPs Options]]</f>
        <v>0</v>
      </c>
      <c r="V504" s="284">
        <f>Table13[[#This Row],[Annual Increase Option]]</f>
        <v>0</v>
      </c>
      <c r="W504" s="290">
        <f>Table13[[#This Row],[Life Cover Amount]]</f>
        <v>0</v>
      </c>
      <c r="X504" s="290">
        <f>Table13[[#This Row],[Funeral Cover Amount]]</f>
        <v>0</v>
      </c>
      <c r="Y50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0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04" s="301">
        <f t="shared" ca="1" si="53"/>
        <v>0</v>
      </c>
      <c r="AB504" s="298"/>
      <c r="AC504" s="326" t="str">
        <f>IF(Table2[[#This Row],[Member Type]]="Main Member",Lookups!$C$13,
IF(Table2[[#This Row],[Member Type]]="Spouse",_xlfn.XLOOKUP(B504,Table2[Main Member Link ID],Table2[Product Option],0),
IF(AND(Table2[[#This Row],[Member Type]]="Child",_xlfn.XLOOKUP(B504,Table2[Main Member Link ID],Table2[Product Option],0)&lt;&gt;"My Value Plus Life"),Lookups!$C$24,
IF(AND(OR(Table2[[#This Row],[Member Type]]="Parent",Table2[[#This Row],[Member Type]]="Extended"),_xlfn.XLOOKUP(B504,Table2[Main Member Link ID],Table2[Product Option],0)&lt;&gt;"My Value Plus Life"),Lookups!$C$26,""))))</f>
        <v/>
      </c>
      <c r="AD504" s="326" t="str">
        <f>IF(Table2[[#This Row],[Member Type]]="Main Member",Lookups!$C$14,"")</f>
        <v/>
      </c>
      <c r="AE50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Funeral",_xlfn.XLOOKUP(B504,Table2[Main Member Link ID],Table2[Benefit Name],0)=Lookups!$D$14),"",
IF(AND(Table2[[#This Row],[Member Type]]="Spouse",Table2[[#This Row],[Product Option]]="My Value Plus Life &amp; Funeral",_xlfn.XLOOKUP(B503,Table2[Main Member Link ID],Table2[Benefit Name],0)=Lookups!$D$15),Lookups!$D$20,
IF(AND(Table2[[#This Row],[Member Type]]="Spouse",Table2[[#This Row],[Product Option]]="My Value Plus Life &amp; Funeral",_xlfn.XLOOKUP(B503,Table2[Main Member Link ID],Table2[Benefit Name],0)=Lookups!$D$16),"",
IF(AND(Table2[[#This Row],[Member Type]]="Spouse",Table2[[#This Row],[Product Option]]="My Value Plus Life &amp; Funeral",_xlfn.XLOOKUP(B503,Table2[Main Member Link ID],Table2[Benefit Name],0)=Lookups!$D$17),Lookups!$D$21,
IF(AND(Table2[[#This Row],[Member Type]]="Child",Table2[[#This Row],[Product Option]]="My Value Plus Life &amp; Funeral",_xlfn.XLOOKUP(B504,Table2[Main Member Link ID],Table2[Benefit Name],0)=Lookups!$D$14),"",
IF(AND(Table2[[#This Row],[Member Type]]="Child",Table2[[#This Row],[Product Option]]="My Value Plus Life &amp; Funeral",_xlfn.XLOOKUP(B504,Table2[Main Member Link ID],Table2[Benefit Name],0)=Lookups!$D$15),"",
IF(AND(Table2[[#This Row],[Member Type]]="Child",Table2[[#This Row],[Product Option]]="My Value Plus Life &amp; Funeral",_xlfn.XLOOKUP(B504,Table2[Main Member Link ID],Table2[Benefit Name],0)=Lookups!$D$16),Lookups!$D$24,
IF(AND(Table2[[#This Row],[Member Type]]="Child",Table2[[#This Row],[Product Option]]="My Value Plus Life &amp; Funeral",_xlfn.XLOOKUP(B504,Table2[Main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Funeral",_xlfn.XLOOKUP(B504,Table2[Main Member Link ID],Table2[Benefit Name],0)&lt;&gt;Lookups!$D$14),
IF(_xlfn.XLOOKUP(B504,Table2[Main Member Link ID],Table2[Benefit Name],0)=0,"",_xlfn.XLOOKUP(B504,Table2[Main Member Link ID],Table2[Benefit Name],0)),"")))))))))))))))</f>
        <v/>
      </c>
      <c r="AF504" s="327" t="str">
        <f>IF(AND(Table2[[#This Row],[Member Type]]="Main Member",Table2[[#This Row],[Product Option]]="My Value Plus Life &amp; Funeral"),Lookups!$D$15,
IF(AND(Table2[[#This Row],[Member Type]]="Spouse",Table2[[#This Row],[Product Option]]="My Value Plus Life &amp; Funeral",_xlfn.XLOOKUP(B504,Table2[Main Member Link ID],Table2[Benefit Name],0)=Lookups!$D$14),"",
IF(AND(Table2[[#This Row],[Member Type]]="Spouse",Table2[[#This Row],[Product Option]]="My Value Plus Life &amp; Funeral",_xlfn.XLOOKUP(B503,Table2[Main Member Link ID],Table2[Benefit Name],0)=Lookups!$D$16),"",
IF(AND(Table2[[#This Row],[Member Type]]="Spouse",Table2[[#This Row],[Product Option]]="My Value Plus Life &amp; Funeral",_xlfn.XLOOKUP(B503,Table2[Main Member Link ID],Table2[Benefit Name],0)=Lookups!$D$15),"",
IF(AND(Table2[[#This Row],[Member Type]]="Spouse",Table2[[#This Row],[Product Option]]="My Value Plus Life &amp; Funeral",_xlfn.XLOOKUP(B503,Table2[Main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Funeral",_xlfn.XLOOKUP(B504,Table2[Main Member Link ID],Table2[Benefit Name],0)&lt;&gt;Lookups!$D$15),
IF(_xlfn.XLOOKUP(B504,Table2[Main Member Link ID],Table2[Benefit Name],0)=0,"",_xlfn.XLOOKUP(B504,Table2[Main Member Link ID],Table2[Benefit Name],0)),"")
))))))</f>
        <v/>
      </c>
      <c r="AG504" s="327" t="str">
        <f>IF(AND(Table2[[#This Row],[Member Type]]="Main Member",Table2[[#This Row],[Product Option]]="My Value Plus Life &amp; Funeral"),Lookups!$D$16,
IF(AND(Table2[[#This Row],[Member Type]]="Spouse",Table2[[#This Row],[Product Option]]="My Value Plus Life &amp; Funeral",_xlfn.XLOOKUP(B504,Table2[Main Member Link ID],Table2[Benefit Name],0)=Lookups!$D$14),"",
IF(AND(Table2[[#This Row],[Member Type]]="Spouse",Table2[[#This Row],[Product Option]]="My Value Plus Life &amp; Funeral",_xlfn.XLOOKUP(B503,Table2[Main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Funeral",_xlfn.XLOOKUP(B504,Table2[Main Member Link ID],Table2[Benefit Name],0)&lt;&gt;Lookups!$D$16),
IF(_xlfn.XLOOKUP(B504,Table2[Main Member Link ID],Table2[Benefit Name],0)=0,"",_xlfn.XLOOKUP(B504,Table2[Main Member Link ID],Table2[Benefit Name],0)),"")
))))</f>
        <v/>
      </c>
      <c r="AH504" s="327" t="str">
        <f>IF(AND(Table2[[#This Row],[Member Type]]="Main Member",Table2[[#This Row],[Product Option]]="My Value Plus Life &amp; Funeral"),Lookups!$D$17,
IF(AND(Table2[[#This Row],[Member Type]]="Spouse",Table2[[#This Row],[Product Option]]="My Value Plus Life &amp; Funeral",_xlfn.XLOOKUP(B504,Table2[Main Member Link ID],Table2[Benefit Name],0)=Lookups!$D$14),"",
IF(AND(Table2[[#This Row],[Member Type]]="Spouse",Table2[[#This Row],[Product Option]]="My Value Plus Life &amp; Funeral",_xlfn.XLOOKUP(B503,Table2[Main Member Link ID],Table2[Benefit Name],0)=Lookups!$D$16),"",
IF(AND(Table2[[#This Row],[Member Type]]="Child",Table2[[#This Row],[Product Option]]="My Value Plus Life &amp; Funeral"),"",
IF(AND(Table2[[#This Row],[Member Type]]="Child",Table2[[#This Row],[Product Option]]="My Value Plus Life &amp; Funeral",_xlfn.XLOOKUP(B504,Table2[Main Member Link ID],Table2[Benefit Name],0)=Lookups!$D$15),"",
IF(AND(OR(Table2[[#This Row],[Member Type]]="Spouse",Table2[[#This Row],[Member Type]]="Child"),Table2[[#This Row],[Product Option]]="My Value Plus Life &amp; Funeral",_xlfn.XLOOKUP(B504,Table2[Main Member Link ID],Table2[Benefit Name],0)&lt;&gt;Lookups!$D$17),
IF(_xlfn.XLOOKUP(B504,Table2[Main Member Link ID],Table2[Benefit Name],0)=0,"",_xlfn.XLOOKUP(B504,Table2[Main Member Link ID],Table2[Benefit Name],0)),""))))))</f>
        <v/>
      </c>
      <c r="AI504" s="328" t="str">
        <f>IF(AND(Table2[[#This Row],[Member Type]]="Main Member",Table2[[#This Row],[Table Lookup for Life Cover]]="MM_LIFE",Table2[[#This Row],[Age Next Birthday]]&lt;56),1,
IF(AND(Table2[[#This Row],[Member Type]]="Main Member",Table2[[#This Row],[Table Lookup for Life Cover]]="MM_LIFE",Table2[[#This Row],[Age Next Birthday]]&gt;=56),2,
""))</f>
        <v/>
      </c>
      <c r="AJ504" s="328">
        <f>IF(OR(Table2[[#This Row],[Member Type]]="Main Member",Table2[[#This Row],[Main Member Link ID]]=B503),1,0)</f>
        <v>1</v>
      </c>
      <c r="AK504" s="328">
        <f>IF(Table2[[#This Row],[Member Type]]=0,0,
IF(OR(Table2[[#This Row],[Member Type]]="Main Member",Table2[[#This Row],[Main Member Link ID]]&lt;&gt;B504),COUNTIFS(B:B,Table2[[#This Row],[Main Member Link ID]]),
COUNTIFS(B:B,Table2[[#This Row],[Main Member Link ID]],A:A,Table2[[#This Row],[Member Type]])))</f>
        <v>0</v>
      </c>
    </row>
    <row r="505" spans="1:37" x14ac:dyDescent="0.3">
      <c r="A505" s="284">
        <f>Table13[[#This Row],[Member Type]]</f>
        <v>0</v>
      </c>
      <c r="B505" s="284">
        <f>Table13[[#This Row],[Main Member Link ID]]</f>
        <v>0</v>
      </c>
      <c r="C505" s="284">
        <f>Table13[[#This Row],[ID Number]]</f>
        <v>0</v>
      </c>
      <c r="D505" s="285">
        <f>Table13[[#This Row],[Date Of Birth]]</f>
        <v>0</v>
      </c>
      <c r="E505" s="285">
        <f>Table13[[#This Row],[Commencement Date]]</f>
        <v>0</v>
      </c>
      <c r="F505" s="284">
        <f t="shared" si="49"/>
        <v>1</v>
      </c>
      <c r="G505" s="284">
        <f t="shared" si="50"/>
        <v>25</v>
      </c>
      <c r="H505" s="286">
        <f>Table13[[#This Row],[Product Option]]</f>
        <v>0</v>
      </c>
      <c r="I505" s="284">
        <f>IF(AND($A505="Main Member",Table2[[#This Row],[Product Option]]="My Value Plus Life"),"MM_LIFE",
IF(AND($A505="Spouse",Table2[[#This Row],[Product Option]]="My Value Plus Life"),"SP_LIFE",
IF(AND($A505="Main Member",Table2[[#This Row],[Product Option]]="My Value Plus Life &amp; Funeral"),"MM_LIFE",
IF(AND($A505="Spouse",Table2[[#This Row],[Product Option]]="My Value Plus Life &amp; Funeral"),_xlfn.XLOOKUP(Table2[[#This Row],[Benefit Name]],Lookups!$D$18:$D$23,Lookups!$E$18:$E$23,0),
0))))</f>
        <v>0</v>
      </c>
      <c r="J505" s="284">
        <f>IF($I505="","",
IF($I505="MM_LIFE",INDEX('Quotation Tool'!$S$54:$V$60,MATCH($T505,'Quotation Tool'!$S$54:$S$60,0),4),
IF($I505="SP_LIFE",_xlfn.XLOOKUP(B504,$B:$B,$J:$J,0),0)))</f>
        <v>0</v>
      </c>
      <c r="K505" s="287">
        <f t="shared" ca="1" si="54"/>
        <v>0</v>
      </c>
      <c r="L505" s="288">
        <f t="shared" ca="1" si="55"/>
        <v>0</v>
      </c>
      <c r="M505" s="289">
        <f t="shared" ca="1" si="51"/>
        <v>0</v>
      </c>
      <c r="N505" s="286">
        <f>Table13[[#This Row],[Benefit Option]]</f>
        <v>0</v>
      </c>
      <c r="O505" s="284">
        <f>IF(OR(Table2[[#This Row],[Member Type]]="Spouse",Table2[[#This Row],[Member Type]]="Child"),0,
IF(_xlfn.XLOOKUP($N505,Lookups!$D$13:$D$27,Lookups!$F$13:$F$27,0)=Table2[[#This Row],[Table Lookup for Life Cover]],0,
_xlfn.XLOOKUP($N505,Lookups!$D$13:$D$27,Lookups!$F$13:$F$27,0)))</f>
        <v>0</v>
      </c>
      <c r="P505" s="284">
        <f>IF(Table2[[#This Row],[Table Lookup for Funeral]]=0,0,IFERROR(INDEX('Quotation Tool'!$S$54:$V$60,MATCH($T505,'Quotation Tool'!$S$54:$S$60,0),3),0))</f>
        <v>0</v>
      </c>
      <c r="Q505" s="288">
        <f ca="1">IF(OR(Table2[[#This Row],[Benefit Name]]="My Value Plus Life - Main Member",Table2[[#This Row],[Benefit Name]]="My Value Plus Life - Spouse"),0,
IFERROR(VLOOKUP($G505,INDIRECT($O505),$P505,FALSE),0))</f>
        <v>0</v>
      </c>
      <c r="R505" s="288">
        <f ca="1">IF(OR(Table2[[#This Row],[Benefit Name]]="My Value Plus Life - Main Member",Table2[[#This Row],[Benefit Name]]="My Value Plus Life - Spouse"),0,
IFERROR(VLOOKUP($G505,INDIRECT($O505),$P505+1,FALSE),0))</f>
        <v>0</v>
      </c>
      <c r="S505" s="289">
        <f t="shared" ca="1" si="52"/>
        <v>0</v>
      </c>
      <c r="T505" s="284" t="str">
        <f>IF(Table13[[#This Row],[Premium Waiver]]="","None",Table13[[#This Row],[Premium Waiver]])</f>
        <v>None</v>
      </c>
      <c r="U505" s="284">
        <f>Table13[[#This Row],[VAPs Options]]</f>
        <v>0</v>
      </c>
      <c r="V505" s="284">
        <f>Table13[[#This Row],[Annual Increase Option]]</f>
        <v>0</v>
      </c>
      <c r="W505" s="290">
        <f>Table13[[#This Row],[Life Cover Amount]]</f>
        <v>0</v>
      </c>
      <c r="X505" s="290">
        <f>Table13[[#This Row],[Funeral Cover Amount]]</f>
        <v>0</v>
      </c>
      <c r="Y50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0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05" s="301">
        <f t="shared" ca="1" si="53"/>
        <v>0</v>
      </c>
      <c r="AB505" s="298"/>
      <c r="AC505" s="326" t="str">
        <f>IF(Table2[[#This Row],[Member Type]]="Main Member",Lookups!$C$13,
IF(Table2[[#This Row],[Member Type]]="Spouse",_xlfn.XLOOKUP(B505,Table2[Main Member Link ID],Table2[Product Option],0),
IF(AND(Table2[[#This Row],[Member Type]]="Child",_xlfn.XLOOKUP(B505,Table2[Main Member Link ID],Table2[Product Option],0)&lt;&gt;"My Value Plus Life"),Lookups!$C$24,
IF(AND(OR(Table2[[#This Row],[Member Type]]="Parent",Table2[[#This Row],[Member Type]]="Extended"),_xlfn.XLOOKUP(B505,Table2[Main Member Link ID],Table2[Product Option],0)&lt;&gt;"My Value Plus Life"),Lookups!$C$26,""))))</f>
        <v/>
      </c>
      <c r="AD505" s="326" t="str">
        <f>IF(Table2[[#This Row],[Member Type]]="Main Member",Lookups!$C$14,"")</f>
        <v/>
      </c>
      <c r="AE50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Funeral",_xlfn.XLOOKUP(B505,Table2[Main Member Link ID],Table2[Benefit Name],0)=Lookups!$D$14),"",
IF(AND(Table2[[#This Row],[Member Type]]="Spouse",Table2[[#This Row],[Product Option]]="My Value Plus Life &amp; Funeral",_xlfn.XLOOKUP(B504,Table2[Main Member Link ID],Table2[Benefit Name],0)=Lookups!$D$15),Lookups!$D$20,
IF(AND(Table2[[#This Row],[Member Type]]="Spouse",Table2[[#This Row],[Product Option]]="My Value Plus Life &amp; Funeral",_xlfn.XLOOKUP(B504,Table2[Main Member Link ID],Table2[Benefit Name],0)=Lookups!$D$16),"",
IF(AND(Table2[[#This Row],[Member Type]]="Spouse",Table2[[#This Row],[Product Option]]="My Value Plus Life &amp; Funeral",_xlfn.XLOOKUP(B504,Table2[Main Member Link ID],Table2[Benefit Name],0)=Lookups!$D$17),Lookups!$D$21,
IF(AND(Table2[[#This Row],[Member Type]]="Child",Table2[[#This Row],[Product Option]]="My Value Plus Life &amp; Funeral",_xlfn.XLOOKUP(B505,Table2[Main Member Link ID],Table2[Benefit Name],0)=Lookups!$D$14),"",
IF(AND(Table2[[#This Row],[Member Type]]="Child",Table2[[#This Row],[Product Option]]="My Value Plus Life &amp; Funeral",_xlfn.XLOOKUP(B505,Table2[Main Member Link ID],Table2[Benefit Name],0)=Lookups!$D$15),"",
IF(AND(Table2[[#This Row],[Member Type]]="Child",Table2[[#This Row],[Product Option]]="My Value Plus Life &amp; Funeral",_xlfn.XLOOKUP(B505,Table2[Main Member Link ID],Table2[Benefit Name],0)=Lookups!$D$16),Lookups!$D$24,
IF(AND(Table2[[#This Row],[Member Type]]="Child",Table2[[#This Row],[Product Option]]="My Value Plus Life &amp; Funeral",_xlfn.XLOOKUP(B505,Table2[Main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Funeral",_xlfn.XLOOKUP(B505,Table2[Main Member Link ID],Table2[Benefit Name],0)&lt;&gt;Lookups!$D$14),
IF(_xlfn.XLOOKUP(B505,Table2[Main Member Link ID],Table2[Benefit Name],0)=0,"",_xlfn.XLOOKUP(B505,Table2[Main Member Link ID],Table2[Benefit Name],0)),"")))))))))))))))</f>
        <v/>
      </c>
      <c r="AF505" s="327" t="str">
        <f>IF(AND(Table2[[#This Row],[Member Type]]="Main Member",Table2[[#This Row],[Product Option]]="My Value Plus Life &amp; Funeral"),Lookups!$D$15,
IF(AND(Table2[[#This Row],[Member Type]]="Spouse",Table2[[#This Row],[Product Option]]="My Value Plus Life &amp; Funeral",_xlfn.XLOOKUP(B505,Table2[Main Member Link ID],Table2[Benefit Name],0)=Lookups!$D$14),"",
IF(AND(Table2[[#This Row],[Member Type]]="Spouse",Table2[[#This Row],[Product Option]]="My Value Plus Life &amp; Funeral",_xlfn.XLOOKUP(B504,Table2[Main Member Link ID],Table2[Benefit Name],0)=Lookups!$D$16),"",
IF(AND(Table2[[#This Row],[Member Type]]="Spouse",Table2[[#This Row],[Product Option]]="My Value Plus Life &amp; Funeral",_xlfn.XLOOKUP(B504,Table2[Main Member Link ID],Table2[Benefit Name],0)=Lookups!$D$15),"",
IF(AND(Table2[[#This Row],[Member Type]]="Spouse",Table2[[#This Row],[Product Option]]="My Value Plus Life &amp; Funeral",_xlfn.XLOOKUP(B504,Table2[Main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Funeral",_xlfn.XLOOKUP(B505,Table2[Main Member Link ID],Table2[Benefit Name],0)&lt;&gt;Lookups!$D$15),
IF(_xlfn.XLOOKUP(B505,Table2[Main Member Link ID],Table2[Benefit Name],0)=0,"",_xlfn.XLOOKUP(B505,Table2[Main Member Link ID],Table2[Benefit Name],0)),"")
))))))</f>
        <v/>
      </c>
      <c r="AG505" s="327" t="str">
        <f>IF(AND(Table2[[#This Row],[Member Type]]="Main Member",Table2[[#This Row],[Product Option]]="My Value Plus Life &amp; Funeral"),Lookups!$D$16,
IF(AND(Table2[[#This Row],[Member Type]]="Spouse",Table2[[#This Row],[Product Option]]="My Value Plus Life &amp; Funeral",_xlfn.XLOOKUP(B505,Table2[Main Member Link ID],Table2[Benefit Name],0)=Lookups!$D$14),"",
IF(AND(Table2[[#This Row],[Member Type]]="Spouse",Table2[[#This Row],[Product Option]]="My Value Plus Life &amp; Funeral",_xlfn.XLOOKUP(B504,Table2[Main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Funeral",_xlfn.XLOOKUP(B505,Table2[Main Member Link ID],Table2[Benefit Name],0)&lt;&gt;Lookups!$D$16),
IF(_xlfn.XLOOKUP(B505,Table2[Main Member Link ID],Table2[Benefit Name],0)=0,"",_xlfn.XLOOKUP(B505,Table2[Main Member Link ID],Table2[Benefit Name],0)),"")
))))</f>
        <v/>
      </c>
      <c r="AH505" s="327" t="str">
        <f>IF(AND(Table2[[#This Row],[Member Type]]="Main Member",Table2[[#This Row],[Product Option]]="My Value Plus Life &amp; Funeral"),Lookups!$D$17,
IF(AND(Table2[[#This Row],[Member Type]]="Spouse",Table2[[#This Row],[Product Option]]="My Value Plus Life &amp; Funeral",_xlfn.XLOOKUP(B505,Table2[Main Member Link ID],Table2[Benefit Name],0)=Lookups!$D$14),"",
IF(AND(Table2[[#This Row],[Member Type]]="Spouse",Table2[[#This Row],[Product Option]]="My Value Plus Life &amp; Funeral",_xlfn.XLOOKUP(B504,Table2[Main Member Link ID],Table2[Benefit Name],0)=Lookups!$D$16),"",
IF(AND(Table2[[#This Row],[Member Type]]="Child",Table2[[#This Row],[Product Option]]="My Value Plus Life &amp; Funeral"),"",
IF(AND(Table2[[#This Row],[Member Type]]="Child",Table2[[#This Row],[Product Option]]="My Value Plus Life &amp; Funeral",_xlfn.XLOOKUP(B505,Table2[Main Member Link ID],Table2[Benefit Name],0)=Lookups!$D$15),"",
IF(AND(OR(Table2[[#This Row],[Member Type]]="Spouse",Table2[[#This Row],[Member Type]]="Child"),Table2[[#This Row],[Product Option]]="My Value Plus Life &amp; Funeral",_xlfn.XLOOKUP(B505,Table2[Main Member Link ID],Table2[Benefit Name],0)&lt;&gt;Lookups!$D$17),
IF(_xlfn.XLOOKUP(B505,Table2[Main Member Link ID],Table2[Benefit Name],0)=0,"",_xlfn.XLOOKUP(B505,Table2[Main Member Link ID],Table2[Benefit Name],0)),""))))))</f>
        <v/>
      </c>
      <c r="AI505" s="328" t="str">
        <f>IF(AND(Table2[[#This Row],[Member Type]]="Main Member",Table2[[#This Row],[Table Lookup for Life Cover]]="MM_LIFE",Table2[[#This Row],[Age Next Birthday]]&lt;56),1,
IF(AND(Table2[[#This Row],[Member Type]]="Main Member",Table2[[#This Row],[Table Lookup for Life Cover]]="MM_LIFE",Table2[[#This Row],[Age Next Birthday]]&gt;=56),2,
""))</f>
        <v/>
      </c>
      <c r="AJ505" s="328">
        <f>IF(OR(Table2[[#This Row],[Member Type]]="Main Member",Table2[[#This Row],[Main Member Link ID]]=B504),1,0)</f>
        <v>1</v>
      </c>
      <c r="AK505" s="328">
        <f>IF(Table2[[#This Row],[Member Type]]=0,0,
IF(OR(Table2[[#This Row],[Member Type]]="Main Member",Table2[[#This Row],[Main Member Link ID]]&lt;&gt;B505),COUNTIFS(B:B,Table2[[#This Row],[Main Member Link ID]]),
COUNTIFS(B:B,Table2[[#This Row],[Main Member Link ID]],A:A,Table2[[#This Row],[Member Type]])))</f>
        <v>0</v>
      </c>
    </row>
    <row r="506" spans="1:37" x14ac:dyDescent="0.3">
      <c r="A506" s="284">
        <f>Table13[[#This Row],[Member Type]]</f>
        <v>0</v>
      </c>
      <c r="B506" s="284">
        <f>Table13[[#This Row],[Main Member Link ID]]</f>
        <v>0</v>
      </c>
      <c r="C506" s="284">
        <f>Table13[[#This Row],[ID Number]]</f>
        <v>0</v>
      </c>
      <c r="D506" s="285">
        <f>Table13[[#This Row],[Date Of Birth]]</f>
        <v>0</v>
      </c>
      <c r="E506" s="285">
        <f>Table13[[#This Row],[Commencement Date]]</f>
        <v>0</v>
      </c>
      <c r="F506" s="284">
        <f t="shared" si="49"/>
        <v>1</v>
      </c>
      <c r="G506" s="284">
        <f t="shared" si="50"/>
        <v>25</v>
      </c>
      <c r="H506" s="286">
        <f>Table13[[#This Row],[Product Option]]</f>
        <v>0</v>
      </c>
      <c r="I506" s="284">
        <f>IF(AND($A506="Main Member",Table2[[#This Row],[Product Option]]="My Value Plus Life"),"MM_LIFE",
IF(AND($A506="Spouse",Table2[[#This Row],[Product Option]]="My Value Plus Life"),"SP_LIFE",
IF(AND($A506="Main Member",Table2[[#This Row],[Product Option]]="My Value Plus Life &amp; Funeral"),"MM_LIFE",
IF(AND($A506="Spouse",Table2[[#This Row],[Product Option]]="My Value Plus Life &amp; Funeral"),_xlfn.XLOOKUP(Table2[[#This Row],[Benefit Name]],Lookups!$D$18:$D$23,Lookups!$E$18:$E$23,0),
0))))</f>
        <v>0</v>
      </c>
      <c r="J506" s="284">
        <f>IF($I506="","",
IF($I506="MM_LIFE",INDEX('Quotation Tool'!$S$54:$V$60,MATCH($T506,'Quotation Tool'!$S$54:$S$60,0),4),
IF($I506="SP_LIFE",_xlfn.XLOOKUP(B505,$B:$B,$J:$J,0),0)))</f>
        <v>0</v>
      </c>
      <c r="K506" s="287">
        <f t="shared" ca="1" si="54"/>
        <v>0</v>
      </c>
      <c r="L506" s="288">
        <f t="shared" ca="1" si="55"/>
        <v>0</v>
      </c>
      <c r="M506" s="289">
        <f t="shared" ca="1" si="51"/>
        <v>0</v>
      </c>
      <c r="N506" s="286">
        <f>Table13[[#This Row],[Benefit Option]]</f>
        <v>0</v>
      </c>
      <c r="O506" s="284">
        <f>IF(OR(Table2[[#This Row],[Member Type]]="Spouse",Table2[[#This Row],[Member Type]]="Child"),0,
IF(_xlfn.XLOOKUP($N506,Lookups!$D$13:$D$27,Lookups!$F$13:$F$27,0)=Table2[[#This Row],[Table Lookup for Life Cover]],0,
_xlfn.XLOOKUP($N506,Lookups!$D$13:$D$27,Lookups!$F$13:$F$27,0)))</f>
        <v>0</v>
      </c>
      <c r="P506" s="284">
        <f>IF(Table2[[#This Row],[Table Lookup for Funeral]]=0,0,IFERROR(INDEX('Quotation Tool'!$S$54:$V$60,MATCH($T506,'Quotation Tool'!$S$54:$S$60,0),3),0))</f>
        <v>0</v>
      </c>
      <c r="Q506" s="288">
        <f ca="1">IF(OR(Table2[[#This Row],[Benefit Name]]="My Value Plus Life - Main Member",Table2[[#This Row],[Benefit Name]]="My Value Plus Life - Spouse"),0,
IFERROR(VLOOKUP($G506,INDIRECT($O506),$P506,FALSE),0))</f>
        <v>0</v>
      </c>
      <c r="R506" s="288">
        <f ca="1">IF(OR(Table2[[#This Row],[Benefit Name]]="My Value Plus Life - Main Member",Table2[[#This Row],[Benefit Name]]="My Value Plus Life - Spouse"),0,
IFERROR(VLOOKUP($G506,INDIRECT($O506),$P506+1,FALSE),0))</f>
        <v>0</v>
      </c>
      <c r="S506" s="289">
        <f t="shared" ca="1" si="52"/>
        <v>0</v>
      </c>
      <c r="T506" s="284" t="str">
        <f>IF(Table13[[#This Row],[Premium Waiver]]="","None",Table13[[#This Row],[Premium Waiver]])</f>
        <v>None</v>
      </c>
      <c r="U506" s="284">
        <f>Table13[[#This Row],[VAPs Options]]</f>
        <v>0</v>
      </c>
      <c r="V506" s="284">
        <f>Table13[[#This Row],[Annual Increase Option]]</f>
        <v>0</v>
      </c>
      <c r="W506" s="290">
        <f>Table13[[#This Row],[Life Cover Amount]]</f>
        <v>0</v>
      </c>
      <c r="X506" s="290">
        <f>Table13[[#This Row],[Funeral Cover Amount]]</f>
        <v>0</v>
      </c>
      <c r="Y50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0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06" s="301">
        <f t="shared" ca="1" si="53"/>
        <v>0</v>
      </c>
      <c r="AB506" s="298"/>
      <c r="AC506" s="326" t="str">
        <f>IF(Table2[[#This Row],[Member Type]]="Main Member",Lookups!$C$13,
IF(Table2[[#This Row],[Member Type]]="Spouse",_xlfn.XLOOKUP(B506,Table2[Main Member Link ID],Table2[Product Option],0),
IF(AND(Table2[[#This Row],[Member Type]]="Child",_xlfn.XLOOKUP(B506,Table2[Main Member Link ID],Table2[Product Option],0)&lt;&gt;"My Value Plus Life"),Lookups!$C$24,
IF(AND(OR(Table2[[#This Row],[Member Type]]="Parent",Table2[[#This Row],[Member Type]]="Extended"),_xlfn.XLOOKUP(B506,Table2[Main Member Link ID],Table2[Product Option],0)&lt;&gt;"My Value Plus Life"),Lookups!$C$26,""))))</f>
        <v/>
      </c>
      <c r="AD506" s="326" t="str">
        <f>IF(Table2[[#This Row],[Member Type]]="Main Member",Lookups!$C$14,"")</f>
        <v/>
      </c>
      <c r="AE50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Funeral",_xlfn.XLOOKUP(B506,Table2[Main Member Link ID],Table2[Benefit Name],0)=Lookups!$D$14),"",
IF(AND(Table2[[#This Row],[Member Type]]="Spouse",Table2[[#This Row],[Product Option]]="My Value Plus Life &amp; Funeral",_xlfn.XLOOKUP(B505,Table2[Main Member Link ID],Table2[Benefit Name],0)=Lookups!$D$15),Lookups!$D$20,
IF(AND(Table2[[#This Row],[Member Type]]="Spouse",Table2[[#This Row],[Product Option]]="My Value Plus Life &amp; Funeral",_xlfn.XLOOKUP(B505,Table2[Main Member Link ID],Table2[Benefit Name],0)=Lookups!$D$16),"",
IF(AND(Table2[[#This Row],[Member Type]]="Spouse",Table2[[#This Row],[Product Option]]="My Value Plus Life &amp; Funeral",_xlfn.XLOOKUP(B505,Table2[Main Member Link ID],Table2[Benefit Name],0)=Lookups!$D$17),Lookups!$D$21,
IF(AND(Table2[[#This Row],[Member Type]]="Child",Table2[[#This Row],[Product Option]]="My Value Plus Life &amp; Funeral",_xlfn.XLOOKUP(B506,Table2[Main Member Link ID],Table2[Benefit Name],0)=Lookups!$D$14),"",
IF(AND(Table2[[#This Row],[Member Type]]="Child",Table2[[#This Row],[Product Option]]="My Value Plus Life &amp; Funeral",_xlfn.XLOOKUP(B506,Table2[Main Member Link ID],Table2[Benefit Name],0)=Lookups!$D$15),"",
IF(AND(Table2[[#This Row],[Member Type]]="Child",Table2[[#This Row],[Product Option]]="My Value Plus Life &amp; Funeral",_xlfn.XLOOKUP(B506,Table2[Main Member Link ID],Table2[Benefit Name],0)=Lookups!$D$16),Lookups!$D$24,
IF(AND(Table2[[#This Row],[Member Type]]="Child",Table2[[#This Row],[Product Option]]="My Value Plus Life &amp; Funeral",_xlfn.XLOOKUP(B506,Table2[Main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Funeral",_xlfn.XLOOKUP(B506,Table2[Main Member Link ID],Table2[Benefit Name],0)&lt;&gt;Lookups!$D$14),
IF(_xlfn.XLOOKUP(B506,Table2[Main Member Link ID],Table2[Benefit Name],0)=0,"",_xlfn.XLOOKUP(B506,Table2[Main Member Link ID],Table2[Benefit Name],0)),"")))))))))))))))</f>
        <v/>
      </c>
      <c r="AF506" s="327" t="str">
        <f>IF(AND(Table2[[#This Row],[Member Type]]="Main Member",Table2[[#This Row],[Product Option]]="My Value Plus Life &amp; Funeral"),Lookups!$D$15,
IF(AND(Table2[[#This Row],[Member Type]]="Spouse",Table2[[#This Row],[Product Option]]="My Value Plus Life &amp; Funeral",_xlfn.XLOOKUP(B506,Table2[Main Member Link ID],Table2[Benefit Name],0)=Lookups!$D$14),"",
IF(AND(Table2[[#This Row],[Member Type]]="Spouse",Table2[[#This Row],[Product Option]]="My Value Plus Life &amp; Funeral",_xlfn.XLOOKUP(B505,Table2[Main Member Link ID],Table2[Benefit Name],0)=Lookups!$D$16),"",
IF(AND(Table2[[#This Row],[Member Type]]="Spouse",Table2[[#This Row],[Product Option]]="My Value Plus Life &amp; Funeral",_xlfn.XLOOKUP(B505,Table2[Main Member Link ID],Table2[Benefit Name],0)=Lookups!$D$15),"",
IF(AND(Table2[[#This Row],[Member Type]]="Spouse",Table2[[#This Row],[Product Option]]="My Value Plus Life &amp; Funeral",_xlfn.XLOOKUP(B505,Table2[Main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Funeral",_xlfn.XLOOKUP(B506,Table2[Main Member Link ID],Table2[Benefit Name],0)&lt;&gt;Lookups!$D$15),
IF(_xlfn.XLOOKUP(B506,Table2[Main Member Link ID],Table2[Benefit Name],0)=0,"",_xlfn.XLOOKUP(B506,Table2[Main Member Link ID],Table2[Benefit Name],0)),"")
))))))</f>
        <v/>
      </c>
      <c r="AG506" s="327" t="str">
        <f>IF(AND(Table2[[#This Row],[Member Type]]="Main Member",Table2[[#This Row],[Product Option]]="My Value Plus Life &amp; Funeral"),Lookups!$D$16,
IF(AND(Table2[[#This Row],[Member Type]]="Spouse",Table2[[#This Row],[Product Option]]="My Value Plus Life &amp; Funeral",_xlfn.XLOOKUP(B506,Table2[Main Member Link ID],Table2[Benefit Name],0)=Lookups!$D$14),"",
IF(AND(Table2[[#This Row],[Member Type]]="Spouse",Table2[[#This Row],[Product Option]]="My Value Plus Life &amp; Funeral",_xlfn.XLOOKUP(B505,Table2[Main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Funeral",_xlfn.XLOOKUP(B506,Table2[Main Member Link ID],Table2[Benefit Name],0)&lt;&gt;Lookups!$D$16),
IF(_xlfn.XLOOKUP(B506,Table2[Main Member Link ID],Table2[Benefit Name],0)=0,"",_xlfn.XLOOKUP(B506,Table2[Main Member Link ID],Table2[Benefit Name],0)),"")
))))</f>
        <v/>
      </c>
      <c r="AH506" s="327" t="str">
        <f>IF(AND(Table2[[#This Row],[Member Type]]="Main Member",Table2[[#This Row],[Product Option]]="My Value Plus Life &amp; Funeral"),Lookups!$D$17,
IF(AND(Table2[[#This Row],[Member Type]]="Spouse",Table2[[#This Row],[Product Option]]="My Value Plus Life &amp; Funeral",_xlfn.XLOOKUP(B506,Table2[Main Member Link ID],Table2[Benefit Name],0)=Lookups!$D$14),"",
IF(AND(Table2[[#This Row],[Member Type]]="Spouse",Table2[[#This Row],[Product Option]]="My Value Plus Life &amp; Funeral",_xlfn.XLOOKUP(B505,Table2[Main Member Link ID],Table2[Benefit Name],0)=Lookups!$D$16),"",
IF(AND(Table2[[#This Row],[Member Type]]="Child",Table2[[#This Row],[Product Option]]="My Value Plus Life &amp; Funeral"),"",
IF(AND(Table2[[#This Row],[Member Type]]="Child",Table2[[#This Row],[Product Option]]="My Value Plus Life &amp; Funeral",_xlfn.XLOOKUP(B506,Table2[Main Member Link ID],Table2[Benefit Name],0)=Lookups!$D$15),"",
IF(AND(OR(Table2[[#This Row],[Member Type]]="Spouse",Table2[[#This Row],[Member Type]]="Child"),Table2[[#This Row],[Product Option]]="My Value Plus Life &amp; Funeral",_xlfn.XLOOKUP(B506,Table2[Main Member Link ID],Table2[Benefit Name],0)&lt;&gt;Lookups!$D$17),
IF(_xlfn.XLOOKUP(B506,Table2[Main Member Link ID],Table2[Benefit Name],0)=0,"",_xlfn.XLOOKUP(B506,Table2[Main Member Link ID],Table2[Benefit Name],0)),""))))))</f>
        <v/>
      </c>
      <c r="AI506" s="328" t="str">
        <f>IF(AND(Table2[[#This Row],[Member Type]]="Main Member",Table2[[#This Row],[Table Lookup for Life Cover]]="MM_LIFE",Table2[[#This Row],[Age Next Birthday]]&lt;56),1,
IF(AND(Table2[[#This Row],[Member Type]]="Main Member",Table2[[#This Row],[Table Lookup for Life Cover]]="MM_LIFE",Table2[[#This Row],[Age Next Birthday]]&gt;=56),2,
""))</f>
        <v/>
      </c>
      <c r="AJ506" s="328">
        <f>IF(OR(Table2[[#This Row],[Member Type]]="Main Member",Table2[[#This Row],[Main Member Link ID]]=B505),1,0)</f>
        <v>1</v>
      </c>
      <c r="AK506" s="328">
        <f>IF(Table2[[#This Row],[Member Type]]=0,0,
IF(OR(Table2[[#This Row],[Member Type]]="Main Member",Table2[[#This Row],[Main Member Link ID]]&lt;&gt;B506),COUNTIFS(B:B,Table2[[#This Row],[Main Member Link ID]]),
COUNTIFS(B:B,Table2[[#This Row],[Main Member Link ID]],A:A,Table2[[#This Row],[Member Type]])))</f>
        <v>0</v>
      </c>
    </row>
    <row r="507" spans="1:37" x14ac:dyDescent="0.3">
      <c r="A507" s="284">
        <f>Table13[[#This Row],[Member Type]]</f>
        <v>0</v>
      </c>
      <c r="B507" s="284">
        <f>Table13[[#This Row],[Main Member Link ID]]</f>
        <v>0</v>
      </c>
      <c r="C507" s="284">
        <f>Table13[[#This Row],[ID Number]]</f>
        <v>0</v>
      </c>
      <c r="D507" s="285">
        <f>Table13[[#This Row],[Date Of Birth]]</f>
        <v>0</v>
      </c>
      <c r="E507" s="285">
        <f>Table13[[#This Row],[Commencement Date]]</f>
        <v>0</v>
      </c>
      <c r="F507" s="284">
        <f t="shared" si="49"/>
        <v>1</v>
      </c>
      <c r="G507" s="284">
        <f t="shared" si="50"/>
        <v>25</v>
      </c>
      <c r="H507" s="286">
        <f>Table13[[#This Row],[Product Option]]</f>
        <v>0</v>
      </c>
      <c r="I507" s="284">
        <f>IF(AND($A507="Main Member",Table2[[#This Row],[Product Option]]="My Value Plus Life"),"MM_LIFE",
IF(AND($A507="Spouse",Table2[[#This Row],[Product Option]]="My Value Plus Life"),"SP_LIFE",
IF(AND($A507="Main Member",Table2[[#This Row],[Product Option]]="My Value Plus Life &amp; Funeral"),"MM_LIFE",
IF(AND($A507="Spouse",Table2[[#This Row],[Product Option]]="My Value Plus Life &amp; Funeral"),_xlfn.XLOOKUP(Table2[[#This Row],[Benefit Name]],Lookups!$D$18:$D$23,Lookups!$E$18:$E$23,0),
0))))</f>
        <v>0</v>
      </c>
      <c r="J507" s="284">
        <f>IF($I507="","",
IF($I507="MM_LIFE",INDEX('Quotation Tool'!$S$54:$V$60,MATCH($T507,'Quotation Tool'!$S$54:$S$60,0),4),
IF($I507="SP_LIFE",_xlfn.XLOOKUP(B506,$B:$B,$J:$J,0),0)))</f>
        <v>0</v>
      </c>
      <c r="K507" s="287">
        <f t="shared" ca="1" si="54"/>
        <v>0</v>
      </c>
      <c r="L507" s="288">
        <f t="shared" ca="1" si="55"/>
        <v>0</v>
      </c>
      <c r="M507" s="289">
        <f t="shared" ca="1" si="51"/>
        <v>0</v>
      </c>
      <c r="N507" s="286">
        <f>Table13[[#This Row],[Benefit Option]]</f>
        <v>0</v>
      </c>
      <c r="O507" s="284">
        <f>IF(OR(Table2[[#This Row],[Member Type]]="Spouse",Table2[[#This Row],[Member Type]]="Child"),0,
IF(_xlfn.XLOOKUP($N507,Lookups!$D$13:$D$27,Lookups!$F$13:$F$27,0)=Table2[[#This Row],[Table Lookup for Life Cover]],0,
_xlfn.XLOOKUP($N507,Lookups!$D$13:$D$27,Lookups!$F$13:$F$27,0)))</f>
        <v>0</v>
      </c>
      <c r="P507" s="284">
        <f>IF(Table2[[#This Row],[Table Lookup for Funeral]]=0,0,IFERROR(INDEX('Quotation Tool'!$S$54:$V$60,MATCH($T507,'Quotation Tool'!$S$54:$S$60,0),3),0))</f>
        <v>0</v>
      </c>
      <c r="Q507" s="288">
        <f ca="1">IF(OR(Table2[[#This Row],[Benefit Name]]="My Value Plus Life - Main Member",Table2[[#This Row],[Benefit Name]]="My Value Plus Life - Spouse"),0,
IFERROR(VLOOKUP($G507,INDIRECT($O507),$P507,FALSE),0))</f>
        <v>0</v>
      </c>
      <c r="R507" s="288">
        <f ca="1">IF(OR(Table2[[#This Row],[Benefit Name]]="My Value Plus Life - Main Member",Table2[[#This Row],[Benefit Name]]="My Value Plus Life - Spouse"),0,
IFERROR(VLOOKUP($G507,INDIRECT($O507),$P507+1,FALSE),0))</f>
        <v>0</v>
      </c>
      <c r="S507" s="289">
        <f t="shared" ca="1" si="52"/>
        <v>0</v>
      </c>
      <c r="T507" s="284" t="str">
        <f>IF(Table13[[#This Row],[Premium Waiver]]="","None",Table13[[#This Row],[Premium Waiver]])</f>
        <v>None</v>
      </c>
      <c r="U507" s="284">
        <f>Table13[[#This Row],[VAPs Options]]</f>
        <v>0</v>
      </c>
      <c r="V507" s="284">
        <f>Table13[[#This Row],[Annual Increase Option]]</f>
        <v>0</v>
      </c>
      <c r="W507" s="290">
        <f>Table13[[#This Row],[Life Cover Amount]]</f>
        <v>0</v>
      </c>
      <c r="X507" s="290">
        <f>Table13[[#This Row],[Funeral Cover Amount]]</f>
        <v>0</v>
      </c>
      <c r="Y50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0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07" s="301">
        <f t="shared" ca="1" si="53"/>
        <v>0</v>
      </c>
      <c r="AB507" s="298"/>
      <c r="AC507" s="326" t="str">
        <f>IF(Table2[[#This Row],[Member Type]]="Main Member",Lookups!$C$13,
IF(Table2[[#This Row],[Member Type]]="Spouse",_xlfn.XLOOKUP(B507,Table2[Main Member Link ID],Table2[Product Option],0),
IF(AND(Table2[[#This Row],[Member Type]]="Child",_xlfn.XLOOKUP(B507,Table2[Main Member Link ID],Table2[Product Option],0)&lt;&gt;"My Value Plus Life"),Lookups!$C$24,
IF(AND(OR(Table2[[#This Row],[Member Type]]="Parent",Table2[[#This Row],[Member Type]]="Extended"),_xlfn.XLOOKUP(B507,Table2[Main Member Link ID],Table2[Product Option],0)&lt;&gt;"My Value Plus Life"),Lookups!$C$26,""))))</f>
        <v/>
      </c>
      <c r="AD507" s="326" t="str">
        <f>IF(Table2[[#This Row],[Member Type]]="Main Member",Lookups!$C$14,"")</f>
        <v/>
      </c>
      <c r="AE50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Funeral",_xlfn.XLOOKUP(B507,Table2[Main Member Link ID],Table2[Benefit Name],0)=Lookups!$D$14),"",
IF(AND(Table2[[#This Row],[Member Type]]="Spouse",Table2[[#This Row],[Product Option]]="My Value Plus Life &amp; Funeral",_xlfn.XLOOKUP(B506,Table2[Main Member Link ID],Table2[Benefit Name],0)=Lookups!$D$15),Lookups!$D$20,
IF(AND(Table2[[#This Row],[Member Type]]="Spouse",Table2[[#This Row],[Product Option]]="My Value Plus Life &amp; Funeral",_xlfn.XLOOKUP(B506,Table2[Main Member Link ID],Table2[Benefit Name],0)=Lookups!$D$16),"",
IF(AND(Table2[[#This Row],[Member Type]]="Spouse",Table2[[#This Row],[Product Option]]="My Value Plus Life &amp; Funeral",_xlfn.XLOOKUP(B506,Table2[Main Member Link ID],Table2[Benefit Name],0)=Lookups!$D$17),Lookups!$D$21,
IF(AND(Table2[[#This Row],[Member Type]]="Child",Table2[[#This Row],[Product Option]]="My Value Plus Life &amp; Funeral",_xlfn.XLOOKUP(B507,Table2[Main Member Link ID],Table2[Benefit Name],0)=Lookups!$D$14),"",
IF(AND(Table2[[#This Row],[Member Type]]="Child",Table2[[#This Row],[Product Option]]="My Value Plus Life &amp; Funeral",_xlfn.XLOOKUP(B507,Table2[Main Member Link ID],Table2[Benefit Name],0)=Lookups!$D$15),"",
IF(AND(Table2[[#This Row],[Member Type]]="Child",Table2[[#This Row],[Product Option]]="My Value Plus Life &amp; Funeral",_xlfn.XLOOKUP(B507,Table2[Main Member Link ID],Table2[Benefit Name],0)=Lookups!$D$16),Lookups!$D$24,
IF(AND(Table2[[#This Row],[Member Type]]="Child",Table2[[#This Row],[Product Option]]="My Value Plus Life &amp; Funeral",_xlfn.XLOOKUP(B507,Table2[Main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Funeral",_xlfn.XLOOKUP(B507,Table2[Main Member Link ID],Table2[Benefit Name],0)&lt;&gt;Lookups!$D$14),
IF(_xlfn.XLOOKUP(B507,Table2[Main Member Link ID],Table2[Benefit Name],0)=0,"",_xlfn.XLOOKUP(B507,Table2[Main Member Link ID],Table2[Benefit Name],0)),"")))))))))))))))</f>
        <v/>
      </c>
      <c r="AF507" s="327" t="str">
        <f>IF(AND(Table2[[#This Row],[Member Type]]="Main Member",Table2[[#This Row],[Product Option]]="My Value Plus Life &amp; Funeral"),Lookups!$D$15,
IF(AND(Table2[[#This Row],[Member Type]]="Spouse",Table2[[#This Row],[Product Option]]="My Value Plus Life &amp; Funeral",_xlfn.XLOOKUP(B507,Table2[Main Member Link ID],Table2[Benefit Name],0)=Lookups!$D$14),"",
IF(AND(Table2[[#This Row],[Member Type]]="Spouse",Table2[[#This Row],[Product Option]]="My Value Plus Life &amp; Funeral",_xlfn.XLOOKUP(B506,Table2[Main Member Link ID],Table2[Benefit Name],0)=Lookups!$D$16),"",
IF(AND(Table2[[#This Row],[Member Type]]="Spouse",Table2[[#This Row],[Product Option]]="My Value Plus Life &amp; Funeral",_xlfn.XLOOKUP(B506,Table2[Main Member Link ID],Table2[Benefit Name],0)=Lookups!$D$15),"",
IF(AND(Table2[[#This Row],[Member Type]]="Spouse",Table2[[#This Row],[Product Option]]="My Value Plus Life &amp; Funeral",_xlfn.XLOOKUP(B506,Table2[Main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Funeral",_xlfn.XLOOKUP(B507,Table2[Main Member Link ID],Table2[Benefit Name],0)&lt;&gt;Lookups!$D$15),
IF(_xlfn.XLOOKUP(B507,Table2[Main Member Link ID],Table2[Benefit Name],0)=0,"",_xlfn.XLOOKUP(B507,Table2[Main Member Link ID],Table2[Benefit Name],0)),"")
))))))</f>
        <v/>
      </c>
      <c r="AG507" s="327" t="str">
        <f>IF(AND(Table2[[#This Row],[Member Type]]="Main Member",Table2[[#This Row],[Product Option]]="My Value Plus Life &amp; Funeral"),Lookups!$D$16,
IF(AND(Table2[[#This Row],[Member Type]]="Spouse",Table2[[#This Row],[Product Option]]="My Value Plus Life &amp; Funeral",_xlfn.XLOOKUP(B507,Table2[Main Member Link ID],Table2[Benefit Name],0)=Lookups!$D$14),"",
IF(AND(Table2[[#This Row],[Member Type]]="Spouse",Table2[[#This Row],[Product Option]]="My Value Plus Life &amp; Funeral",_xlfn.XLOOKUP(B506,Table2[Main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Funeral",_xlfn.XLOOKUP(B507,Table2[Main Member Link ID],Table2[Benefit Name],0)&lt;&gt;Lookups!$D$16),
IF(_xlfn.XLOOKUP(B507,Table2[Main Member Link ID],Table2[Benefit Name],0)=0,"",_xlfn.XLOOKUP(B507,Table2[Main Member Link ID],Table2[Benefit Name],0)),"")
))))</f>
        <v/>
      </c>
      <c r="AH507" s="327" t="str">
        <f>IF(AND(Table2[[#This Row],[Member Type]]="Main Member",Table2[[#This Row],[Product Option]]="My Value Plus Life &amp; Funeral"),Lookups!$D$17,
IF(AND(Table2[[#This Row],[Member Type]]="Spouse",Table2[[#This Row],[Product Option]]="My Value Plus Life &amp; Funeral",_xlfn.XLOOKUP(B507,Table2[Main Member Link ID],Table2[Benefit Name],0)=Lookups!$D$14),"",
IF(AND(Table2[[#This Row],[Member Type]]="Spouse",Table2[[#This Row],[Product Option]]="My Value Plus Life &amp; Funeral",_xlfn.XLOOKUP(B506,Table2[Main Member Link ID],Table2[Benefit Name],0)=Lookups!$D$16),"",
IF(AND(Table2[[#This Row],[Member Type]]="Child",Table2[[#This Row],[Product Option]]="My Value Plus Life &amp; Funeral"),"",
IF(AND(Table2[[#This Row],[Member Type]]="Child",Table2[[#This Row],[Product Option]]="My Value Plus Life &amp; Funeral",_xlfn.XLOOKUP(B507,Table2[Main Member Link ID],Table2[Benefit Name],0)=Lookups!$D$15),"",
IF(AND(OR(Table2[[#This Row],[Member Type]]="Spouse",Table2[[#This Row],[Member Type]]="Child"),Table2[[#This Row],[Product Option]]="My Value Plus Life &amp; Funeral",_xlfn.XLOOKUP(B507,Table2[Main Member Link ID],Table2[Benefit Name],0)&lt;&gt;Lookups!$D$17),
IF(_xlfn.XLOOKUP(B507,Table2[Main Member Link ID],Table2[Benefit Name],0)=0,"",_xlfn.XLOOKUP(B507,Table2[Main Member Link ID],Table2[Benefit Name],0)),""))))))</f>
        <v/>
      </c>
      <c r="AI507" s="328" t="str">
        <f>IF(AND(Table2[[#This Row],[Member Type]]="Main Member",Table2[[#This Row],[Table Lookup for Life Cover]]="MM_LIFE",Table2[[#This Row],[Age Next Birthday]]&lt;56),1,
IF(AND(Table2[[#This Row],[Member Type]]="Main Member",Table2[[#This Row],[Table Lookup for Life Cover]]="MM_LIFE",Table2[[#This Row],[Age Next Birthday]]&gt;=56),2,
""))</f>
        <v/>
      </c>
      <c r="AJ507" s="328">
        <f>IF(OR(Table2[[#This Row],[Member Type]]="Main Member",Table2[[#This Row],[Main Member Link ID]]=B506),1,0)</f>
        <v>1</v>
      </c>
      <c r="AK507" s="328">
        <f>IF(Table2[[#This Row],[Member Type]]=0,0,
IF(OR(Table2[[#This Row],[Member Type]]="Main Member",Table2[[#This Row],[Main Member Link ID]]&lt;&gt;B507),COUNTIFS(B:B,Table2[[#This Row],[Main Member Link ID]]),
COUNTIFS(B:B,Table2[[#This Row],[Main Member Link ID]],A:A,Table2[[#This Row],[Member Type]])))</f>
        <v>0</v>
      </c>
    </row>
    <row r="508" spans="1:37" x14ac:dyDescent="0.3">
      <c r="A508" s="284">
        <f>Table13[[#This Row],[Member Type]]</f>
        <v>0</v>
      </c>
      <c r="B508" s="284">
        <f>Table13[[#This Row],[Main Member Link ID]]</f>
        <v>0</v>
      </c>
      <c r="C508" s="284">
        <f>Table13[[#This Row],[ID Number]]</f>
        <v>0</v>
      </c>
      <c r="D508" s="285">
        <f>Table13[[#This Row],[Date Of Birth]]</f>
        <v>0</v>
      </c>
      <c r="E508" s="285">
        <f>Table13[[#This Row],[Commencement Date]]</f>
        <v>0</v>
      </c>
      <c r="F508" s="284">
        <f t="shared" si="49"/>
        <v>1</v>
      </c>
      <c r="G508" s="284">
        <f t="shared" si="50"/>
        <v>25</v>
      </c>
      <c r="H508" s="286">
        <f>Table13[[#This Row],[Product Option]]</f>
        <v>0</v>
      </c>
      <c r="I508" s="284">
        <f>IF(AND($A508="Main Member",Table2[[#This Row],[Product Option]]="My Value Plus Life"),"MM_LIFE",
IF(AND($A508="Spouse",Table2[[#This Row],[Product Option]]="My Value Plus Life"),"SP_LIFE",
IF(AND($A508="Main Member",Table2[[#This Row],[Product Option]]="My Value Plus Life &amp; Funeral"),"MM_LIFE",
IF(AND($A508="Spouse",Table2[[#This Row],[Product Option]]="My Value Plus Life &amp; Funeral"),_xlfn.XLOOKUP(Table2[[#This Row],[Benefit Name]],Lookups!$D$18:$D$23,Lookups!$E$18:$E$23,0),
0))))</f>
        <v>0</v>
      </c>
      <c r="J508" s="284">
        <f>IF($I508="","",
IF($I508="MM_LIFE",INDEX('Quotation Tool'!$S$54:$V$60,MATCH($T508,'Quotation Tool'!$S$54:$S$60,0),4),
IF($I508="SP_LIFE",_xlfn.XLOOKUP(B507,$B:$B,$J:$J,0),0)))</f>
        <v>0</v>
      </c>
      <c r="K508" s="287">
        <f t="shared" ca="1" si="54"/>
        <v>0</v>
      </c>
      <c r="L508" s="288">
        <f t="shared" ca="1" si="55"/>
        <v>0</v>
      </c>
      <c r="M508" s="289">
        <f t="shared" ca="1" si="51"/>
        <v>0</v>
      </c>
      <c r="N508" s="286">
        <f>Table13[[#This Row],[Benefit Option]]</f>
        <v>0</v>
      </c>
      <c r="O508" s="284">
        <f>IF(OR(Table2[[#This Row],[Member Type]]="Spouse",Table2[[#This Row],[Member Type]]="Child"),0,
IF(_xlfn.XLOOKUP($N508,Lookups!$D$13:$D$27,Lookups!$F$13:$F$27,0)=Table2[[#This Row],[Table Lookup for Life Cover]],0,
_xlfn.XLOOKUP($N508,Lookups!$D$13:$D$27,Lookups!$F$13:$F$27,0)))</f>
        <v>0</v>
      </c>
      <c r="P508" s="284">
        <f>IF(Table2[[#This Row],[Table Lookup for Funeral]]=0,0,IFERROR(INDEX('Quotation Tool'!$S$54:$V$60,MATCH($T508,'Quotation Tool'!$S$54:$S$60,0),3),0))</f>
        <v>0</v>
      </c>
      <c r="Q508" s="288">
        <f ca="1">IF(OR(Table2[[#This Row],[Benefit Name]]="My Value Plus Life - Main Member",Table2[[#This Row],[Benefit Name]]="My Value Plus Life - Spouse"),0,
IFERROR(VLOOKUP($G508,INDIRECT($O508),$P508,FALSE),0))</f>
        <v>0</v>
      </c>
      <c r="R508" s="288">
        <f ca="1">IF(OR(Table2[[#This Row],[Benefit Name]]="My Value Plus Life - Main Member",Table2[[#This Row],[Benefit Name]]="My Value Plus Life - Spouse"),0,
IFERROR(VLOOKUP($G508,INDIRECT($O508),$P508+1,FALSE),0))</f>
        <v>0</v>
      </c>
      <c r="S508" s="289">
        <f t="shared" ca="1" si="52"/>
        <v>0</v>
      </c>
      <c r="T508" s="284" t="str">
        <f>IF(Table13[[#This Row],[Premium Waiver]]="","None",Table13[[#This Row],[Premium Waiver]])</f>
        <v>None</v>
      </c>
      <c r="U508" s="284">
        <f>Table13[[#This Row],[VAPs Options]]</f>
        <v>0</v>
      </c>
      <c r="V508" s="284">
        <f>Table13[[#This Row],[Annual Increase Option]]</f>
        <v>0</v>
      </c>
      <c r="W508" s="290">
        <f>Table13[[#This Row],[Life Cover Amount]]</f>
        <v>0</v>
      </c>
      <c r="X508" s="290">
        <f>Table13[[#This Row],[Funeral Cover Amount]]</f>
        <v>0</v>
      </c>
      <c r="Y50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0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08" s="301">
        <f t="shared" ca="1" si="53"/>
        <v>0</v>
      </c>
      <c r="AB508" s="298"/>
      <c r="AC508" s="326" t="str">
        <f>IF(Table2[[#This Row],[Member Type]]="Main Member",Lookups!$C$13,
IF(Table2[[#This Row],[Member Type]]="Spouse",_xlfn.XLOOKUP(B508,Table2[Main Member Link ID],Table2[Product Option],0),
IF(AND(Table2[[#This Row],[Member Type]]="Child",_xlfn.XLOOKUP(B508,Table2[Main Member Link ID],Table2[Product Option],0)&lt;&gt;"My Value Plus Life"),Lookups!$C$24,
IF(AND(OR(Table2[[#This Row],[Member Type]]="Parent",Table2[[#This Row],[Member Type]]="Extended"),_xlfn.XLOOKUP(B508,Table2[Main Member Link ID],Table2[Product Option],0)&lt;&gt;"My Value Plus Life"),Lookups!$C$26,""))))</f>
        <v/>
      </c>
      <c r="AD508" s="326" t="str">
        <f>IF(Table2[[#This Row],[Member Type]]="Main Member",Lookups!$C$14,"")</f>
        <v/>
      </c>
      <c r="AE50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Funeral",_xlfn.XLOOKUP(B508,Table2[Main Member Link ID],Table2[Benefit Name],0)=Lookups!$D$14),"",
IF(AND(Table2[[#This Row],[Member Type]]="Spouse",Table2[[#This Row],[Product Option]]="My Value Plus Life &amp; Funeral",_xlfn.XLOOKUP(B507,Table2[Main Member Link ID],Table2[Benefit Name],0)=Lookups!$D$15),Lookups!$D$20,
IF(AND(Table2[[#This Row],[Member Type]]="Spouse",Table2[[#This Row],[Product Option]]="My Value Plus Life &amp; Funeral",_xlfn.XLOOKUP(B507,Table2[Main Member Link ID],Table2[Benefit Name],0)=Lookups!$D$16),"",
IF(AND(Table2[[#This Row],[Member Type]]="Spouse",Table2[[#This Row],[Product Option]]="My Value Plus Life &amp; Funeral",_xlfn.XLOOKUP(B507,Table2[Main Member Link ID],Table2[Benefit Name],0)=Lookups!$D$17),Lookups!$D$21,
IF(AND(Table2[[#This Row],[Member Type]]="Child",Table2[[#This Row],[Product Option]]="My Value Plus Life &amp; Funeral",_xlfn.XLOOKUP(B508,Table2[Main Member Link ID],Table2[Benefit Name],0)=Lookups!$D$14),"",
IF(AND(Table2[[#This Row],[Member Type]]="Child",Table2[[#This Row],[Product Option]]="My Value Plus Life &amp; Funeral",_xlfn.XLOOKUP(B508,Table2[Main Member Link ID],Table2[Benefit Name],0)=Lookups!$D$15),"",
IF(AND(Table2[[#This Row],[Member Type]]="Child",Table2[[#This Row],[Product Option]]="My Value Plus Life &amp; Funeral",_xlfn.XLOOKUP(B508,Table2[Main Member Link ID],Table2[Benefit Name],0)=Lookups!$D$16),Lookups!$D$24,
IF(AND(Table2[[#This Row],[Member Type]]="Child",Table2[[#This Row],[Product Option]]="My Value Plus Life &amp; Funeral",_xlfn.XLOOKUP(B508,Table2[Main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Funeral",_xlfn.XLOOKUP(B508,Table2[Main Member Link ID],Table2[Benefit Name],0)&lt;&gt;Lookups!$D$14),
IF(_xlfn.XLOOKUP(B508,Table2[Main Member Link ID],Table2[Benefit Name],0)=0,"",_xlfn.XLOOKUP(B508,Table2[Main Member Link ID],Table2[Benefit Name],0)),"")))))))))))))))</f>
        <v/>
      </c>
      <c r="AF508" s="327" t="str">
        <f>IF(AND(Table2[[#This Row],[Member Type]]="Main Member",Table2[[#This Row],[Product Option]]="My Value Plus Life &amp; Funeral"),Lookups!$D$15,
IF(AND(Table2[[#This Row],[Member Type]]="Spouse",Table2[[#This Row],[Product Option]]="My Value Plus Life &amp; Funeral",_xlfn.XLOOKUP(B508,Table2[Main Member Link ID],Table2[Benefit Name],0)=Lookups!$D$14),"",
IF(AND(Table2[[#This Row],[Member Type]]="Spouse",Table2[[#This Row],[Product Option]]="My Value Plus Life &amp; Funeral",_xlfn.XLOOKUP(B507,Table2[Main Member Link ID],Table2[Benefit Name],0)=Lookups!$D$16),"",
IF(AND(Table2[[#This Row],[Member Type]]="Spouse",Table2[[#This Row],[Product Option]]="My Value Plus Life &amp; Funeral",_xlfn.XLOOKUP(B507,Table2[Main Member Link ID],Table2[Benefit Name],0)=Lookups!$D$15),"",
IF(AND(Table2[[#This Row],[Member Type]]="Spouse",Table2[[#This Row],[Product Option]]="My Value Plus Life &amp; Funeral",_xlfn.XLOOKUP(B507,Table2[Main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Funeral",_xlfn.XLOOKUP(B508,Table2[Main Member Link ID],Table2[Benefit Name],0)&lt;&gt;Lookups!$D$15),
IF(_xlfn.XLOOKUP(B508,Table2[Main Member Link ID],Table2[Benefit Name],0)=0,"",_xlfn.XLOOKUP(B508,Table2[Main Member Link ID],Table2[Benefit Name],0)),"")
))))))</f>
        <v/>
      </c>
      <c r="AG508" s="327" t="str">
        <f>IF(AND(Table2[[#This Row],[Member Type]]="Main Member",Table2[[#This Row],[Product Option]]="My Value Plus Life &amp; Funeral"),Lookups!$D$16,
IF(AND(Table2[[#This Row],[Member Type]]="Spouse",Table2[[#This Row],[Product Option]]="My Value Plus Life &amp; Funeral",_xlfn.XLOOKUP(B508,Table2[Main Member Link ID],Table2[Benefit Name],0)=Lookups!$D$14),"",
IF(AND(Table2[[#This Row],[Member Type]]="Spouse",Table2[[#This Row],[Product Option]]="My Value Plus Life &amp; Funeral",_xlfn.XLOOKUP(B507,Table2[Main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Funeral",_xlfn.XLOOKUP(B508,Table2[Main Member Link ID],Table2[Benefit Name],0)&lt;&gt;Lookups!$D$16),
IF(_xlfn.XLOOKUP(B508,Table2[Main Member Link ID],Table2[Benefit Name],0)=0,"",_xlfn.XLOOKUP(B508,Table2[Main Member Link ID],Table2[Benefit Name],0)),"")
))))</f>
        <v/>
      </c>
      <c r="AH508" s="327" t="str">
        <f>IF(AND(Table2[[#This Row],[Member Type]]="Main Member",Table2[[#This Row],[Product Option]]="My Value Plus Life &amp; Funeral"),Lookups!$D$17,
IF(AND(Table2[[#This Row],[Member Type]]="Spouse",Table2[[#This Row],[Product Option]]="My Value Plus Life &amp; Funeral",_xlfn.XLOOKUP(B508,Table2[Main Member Link ID],Table2[Benefit Name],0)=Lookups!$D$14),"",
IF(AND(Table2[[#This Row],[Member Type]]="Spouse",Table2[[#This Row],[Product Option]]="My Value Plus Life &amp; Funeral",_xlfn.XLOOKUP(B507,Table2[Main Member Link ID],Table2[Benefit Name],0)=Lookups!$D$16),"",
IF(AND(Table2[[#This Row],[Member Type]]="Child",Table2[[#This Row],[Product Option]]="My Value Plus Life &amp; Funeral"),"",
IF(AND(Table2[[#This Row],[Member Type]]="Child",Table2[[#This Row],[Product Option]]="My Value Plus Life &amp; Funeral",_xlfn.XLOOKUP(B508,Table2[Main Member Link ID],Table2[Benefit Name],0)=Lookups!$D$15),"",
IF(AND(OR(Table2[[#This Row],[Member Type]]="Spouse",Table2[[#This Row],[Member Type]]="Child"),Table2[[#This Row],[Product Option]]="My Value Plus Life &amp; Funeral",_xlfn.XLOOKUP(B508,Table2[Main Member Link ID],Table2[Benefit Name],0)&lt;&gt;Lookups!$D$17),
IF(_xlfn.XLOOKUP(B508,Table2[Main Member Link ID],Table2[Benefit Name],0)=0,"",_xlfn.XLOOKUP(B508,Table2[Main Member Link ID],Table2[Benefit Name],0)),""))))))</f>
        <v/>
      </c>
      <c r="AI508" s="328" t="str">
        <f>IF(AND(Table2[[#This Row],[Member Type]]="Main Member",Table2[[#This Row],[Table Lookup for Life Cover]]="MM_LIFE",Table2[[#This Row],[Age Next Birthday]]&lt;56),1,
IF(AND(Table2[[#This Row],[Member Type]]="Main Member",Table2[[#This Row],[Table Lookup for Life Cover]]="MM_LIFE",Table2[[#This Row],[Age Next Birthday]]&gt;=56),2,
""))</f>
        <v/>
      </c>
      <c r="AJ508" s="328">
        <f>IF(OR(Table2[[#This Row],[Member Type]]="Main Member",Table2[[#This Row],[Main Member Link ID]]=B507),1,0)</f>
        <v>1</v>
      </c>
      <c r="AK508" s="328">
        <f>IF(Table2[[#This Row],[Member Type]]=0,0,
IF(OR(Table2[[#This Row],[Member Type]]="Main Member",Table2[[#This Row],[Main Member Link ID]]&lt;&gt;B508),COUNTIFS(B:B,Table2[[#This Row],[Main Member Link ID]]),
COUNTIFS(B:B,Table2[[#This Row],[Main Member Link ID]],A:A,Table2[[#This Row],[Member Type]])))</f>
        <v>0</v>
      </c>
    </row>
    <row r="509" spans="1:37" x14ac:dyDescent="0.3">
      <c r="A509" s="284">
        <f>Table13[[#This Row],[Member Type]]</f>
        <v>0</v>
      </c>
      <c r="B509" s="284">
        <f>Table13[[#This Row],[Main Member Link ID]]</f>
        <v>0</v>
      </c>
      <c r="C509" s="284">
        <f>Table13[[#This Row],[ID Number]]</f>
        <v>0</v>
      </c>
      <c r="D509" s="285">
        <f>Table13[[#This Row],[Date Of Birth]]</f>
        <v>0</v>
      </c>
      <c r="E509" s="285">
        <f>Table13[[#This Row],[Commencement Date]]</f>
        <v>0</v>
      </c>
      <c r="F509" s="284">
        <f t="shared" si="49"/>
        <v>1</v>
      </c>
      <c r="G509" s="284">
        <f t="shared" si="50"/>
        <v>25</v>
      </c>
      <c r="H509" s="286">
        <f>Table13[[#This Row],[Product Option]]</f>
        <v>0</v>
      </c>
      <c r="I509" s="284">
        <f>IF(AND($A509="Main Member",Table2[[#This Row],[Product Option]]="My Value Plus Life"),"MM_LIFE",
IF(AND($A509="Spouse",Table2[[#This Row],[Product Option]]="My Value Plus Life"),"SP_LIFE",
IF(AND($A509="Main Member",Table2[[#This Row],[Product Option]]="My Value Plus Life &amp; Funeral"),"MM_LIFE",
IF(AND($A509="Spouse",Table2[[#This Row],[Product Option]]="My Value Plus Life &amp; Funeral"),_xlfn.XLOOKUP(Table2[[#This Row],[Benefit Name]],Lookups!$D$18:$D$23,Lookups!$E$18:$E$23,0),
0))))</f>
        <v>0</v>
      </c>
      <c r="J509" s="284">
        <f>IF($I509="","",
IF($I509="MM_LIFE",INDEX('Quotation Tool'!$S$54:$V$60,MATCH($T509,'Quotation Tool'!$S$54:$S$60,0),4),
IF($I509="SP_LIFE",_xlfn.XLOOKUP(B508,$B:$B,$J:$J,0),0)))</f>
        <v>0</v>
      </c>
      <c r="K509" s="287">
        <f t="shared" ca="1" si="54"/>
        <v>0</v>
      </c>
      <c r="L509" s="288">
        <f t="shared" ca="1" si="55"/>
        <v>0</v>
      </c>
      <c r="M509" s="289">
        <f t="shared" ca="1" si="51"/>
        <v>0</v>
      </c>
      <c r="N509" s="286">
        <f>Table13[[#This Row],[Benefit Option]]</f>
        <v>0</v>
      </c>
      <c r="O509" s="284">
        <f>IF(OR(Table2[[#This Row],[Member Type]]="Spouse",Table2[[#This Row],[Member Type]]="Child"),0,
IF(_xlfn.XLOOKUP($N509,Lookups!$D$13:$D$27,Lookups!$F$13:$F$27,0)=Table2[[#This Row],[Table Lookup for Life Cover]],0,
_xlfn.XLOOKUP($N509,Lookups!$D$13:$D$27,Lookups!$F$13:$F$27,0)))</f>
        <v>0</v>
      </c>
      <c r="P509" s="284">
        <f>IF(Table2[[#This Row],[Table Lookup for Funeral]]=0,0,IFERROR(INDEX('Quotation Tool'!$S$54:$V$60,MATCH($T509,'Quotation Tool'!$S$54:$S$60,0),3),0))</f>
        <v>0</v>
      </c>
      <c r="Q509" s="288">
        <f ca="1">IF(OR(Table2[[#This Row],[Benefit Name]]="My Value Plus Life - Main Member",Table2[[#This Row],[Benefit Name]]="My Value Plus Life - Spouse"),0,
IFERROR(VLOOKUP($G509,INDIRECT($O509),$P509,FALSE),0))</f>
        <v>0</v>
      </c>
      <c r="R509" s="288">
        <f ca="1">IF(OR(Table2[[#This Row],[Benefit Name]]="My Value Plus Life - Main Member",Table2[[#This Row],[Benefit Name]]="My Value Plus Life - Spouse"),0,
IFERROR(VLOOKUP($G509,INDIRECT($O509),$P509+1,FALSE),0))</f>
        <v>0</v>
      </c>
      <c r="S509" s="289">
        <f t="shared" ca="1" si="52"/>
        <v>0</v>
      </c>
      <c r="T509" s="284" t="str">
        <f>IF(Table13[[#This Row],[Premium Waiver]]="","None",Table13[[#This Row],[Premium Waiver]])</f>
        <v>None</v>
      </c>
      <c r="U509" s="284">
        <f>Table13[[#This Row],[VAPs Options]]</f>
        <v>0</v>
      </c>
      <c r="V509" s="284">
        <f>Table13[[#This Row],[Annual Increase Option]]</f>
        <v>0</v>
      </c>
      <c r="W509" s="290">
        <f>Table13[[#This Row],[Life Cover Amount]]</f>
        <v>0</v>
      </c>
      <c r="X509" s="290">
        <f>Table13[[#This Row],[Funeral Cover Amount]]</f>
        <v>0</v>
      </c>
      <c r="Y50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0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09" s="301">
        <f t="shared" ca="1" si="53"/>
        <v>0</v>
      </c>
      <c r="AB509" s="298"/>
      <c r="AC509" s="326" t="str">
        <f>IF(Table2[[#This Row],[Member Type]]="Main Member",Lookups!$C$13,
IF(Table2[[#This Row],[Member Type]]="Spouse",_xlfn.XLOOKUP(B509,Table2[Main Member Link ID],Table2[Product Option],0),
IF(AND(Table2[[#This Row],[Member Type]]="Child",_xlfn.XLOOKUP(B509,Table2[Main Member Link ID],Table2[Product Option],0)&lt;&gt;"My Value Plus Life"),Lookups!$C$24,
IF(AND(OR(Table2[[#This Row],[Member Type]]="Parent",Table2[[#This Row],[Member Type]]="Extended"),_xlfn.XLOOKUP(B509,Table2[Main Member Link ID],Table2[Product Option],0)&lt;&gt;"My Value Plus Life"),Lookups!$C$26,""))))</f>
        <v/>
      </c>
      <c r="AD509" s="326" t="str">
        <f>IF(Table2[[#This Row],[Member Type]]="Main Member",Lookups!$C$14,"")</f>
        <v/>
      </c>
      <c r="AE50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Funeral",_xlfn.XLOOKUP(B509,Table2[Main Member Link ID],Table2[Benefit Name],0)=Lookups!$D$14),"",
IF(AND(Table2[[#This Row],[Member Type]]="Spouse",Table2[[#This Row],[Product Option]]="My Value Plus Life &amp; Funeral",_xlfn.XLOOKUP(B508,Table2[Main Member Link ID],Table2[Benefit Name],0)=Lookups!$D$15),Lookups!$D$20,
IF(AND(Table2[[#This Row],[Member Type]]="Spouse",Table2[[#This Row],[Product Option]]="My Value Plus Life &amp; Funeral",_xlfn.XLOOKUP(B508,Table2[Main Member Link ID],Table2[Benefit Name],0)=Lookups!$D$16),"",
IF(AND(Table2[[#This Row],[Member Type]]="Spouse",Table2[[#This Row],[Product Option]]="My Value Plus Life &amp; Funeral",_xlfn.XLOOKUP(B508,Table2[Main Member Link ID],Table2[Benefit Name],0)=Lookups!$D$17),Lookups!$D$21,
IF(AND(Table2[[#This Row],[Member Type]]="Child",Table2[[#This Row],[Product Option]]="My Value Plus Life &amp; Funeral",_xlfn.XLOOKUP(B509,Table2[Main Member Link ID],Table2[Benefit Name],0)=Lookups!$D$14),"",
IF(AND(Table2[[#This Row],[Member Type]]="Child",Table2[[#This Row],[Product Option]]="My Value Plus Life &amp; Funeral",_xlfn.XLOOKUP(B509,Table2[Main Member Link ID],Table2[Benefit Name],0)=Lookups!$D$15),"",
IF(AND(Table2[[#This Row],[Member Type]]="Child",Table2[[#This Row],[Product Option]]="My Value Plus Life &amp; Funeral",_xlfn.XLOOKUP(B509,Table2[Main Member Link ID],Table2[Benefit Name],0)=Lookups!$D$16),Lookups!$D$24,
IF(AND(Table2[[#This Row],[Member Type]]="Child",Table2[[#This Row],[Product Option]]="My Value Plus Life &amp; Funeral",_xlfn.XLOOKUP(B509,Table2[Main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Funeral",_xlfn.XLOOKUP(B509,Table2[Main Member Link ID],Table2[Benefit Name],0)&lt;&gt;Lookups!$D$14),
IF(_xlfn.XLOOKUP(B509,Table2[Main Member Link ID],Table2[Benefit Name],0)=0,"",_xlfn.XLOOKUP(B509,Table2[Main Member Link ID],Table2[Benefit Name],0)),"")))))))))))))))</f>
        <v/>
      </c>
      <c r="AF509" s="327" t="str">
        <f>IF(AND(Table2[[#This Row],[Member Type]]="Main Member",Table2[[#This Row],[Product Option]]="My Value Plus Life &amp; Funeral"),Lookups!$D$15,
IF(AND(Table2[[#This Row],[Member Type]]="Spouse",Table2[[#This Row],[Product Option]]="My Value Plus Life &amp; Funeral",_xlfn.XLOOKUP(B509,Table2[Main Member Link ID],Table2[Benefit Name],0)=Lookups!$D$14),"",
IF(AND(Table2[[#This Row],[Member Type]]="Spouse",Table2[[#This Row],[Product Option]]="My Value Plus Life &amp; Funeral",_xlfn.XLOOKUP(B508,Table2[Main Member Link ID],Table2[Benefit Name],0)=Lookups!$D$16),"",
IF(AND(Table2[[#This Row],[Member Type]]="Spouse",Table2[[#This Row],[Product Option]]="My Value Plus Life &amp; Funeral",_xlfn.XLOOKUP(B508,Table2[Main Member Link ID],Table2[Benefit Name],0)=Lookups!$D$15),"",
IF(AND(Table2[[#This Row],[Member Type]]="Spouse",Table2[[#This Row],[Product Option]]="My Value Plus Life &amp; Funeral",_xlfn.XLOOKUP(B508,Table2[Main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Funeral",_xlfn.XLOOKUP(B509,Table2[Main Member Link ID],Table2[Benefit Name],0)&lt;&gt;Lookups!$D$15),
IF(_xlfn.XLOOKUP(B509,Table2[Main Member Link ID],Table2[Benefit Name],0)=0,"",_xlfn.XLOOKUP(B509,Table2[Main Member Link ID],Table2[Benefit Name],0)),"")
))))))</f>
        <v/>
      </c>
      <c r="AG509" s="327" t="str">
        <f>IF(AND(Table2[[#This Row],[Member Type]]="Main Member",Table2[[#This Row],[Product Option]]="My Value Plus Life &amp; Funeral"),Lookups!$D$16,
IF(AND(Table2[[#This Row],[Member Type]]="Spouse",Table2[[#This Row],[Product Option]]="My Value Plus Life &amp; Funeral",_xlfn.XLOOKUP(B509,Table2[Main Member Link ID],Table2[Benefit Name],0)=Lookups!$D$14),"",
IF(AND(Table2[[#This Row],[Member Type]]="Spouse",Table2[[#This Row],[Product Option]]="My Value Plus Life &amp; Funeral",_xlfn.XLOOKUP(B508,Table2[Main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Funeral",_xlfn.XLOOKUP(B509,Table2[Main Member Link ID],Table2[Benefit Name],0)&lt;&gt;Lookups!$D$16),
IF(_xlfn.XLOOKUP(B509,Table2[Main Member Link ID],Table2[Benefit Name],0)=0,"",_xlfn.XLOOKUP(B509,Table2[Main Member Link ID],Table2[Benefit Name],0)),"")
))))</f>
        <v/>
      </c>
      <c r="AH509" s="327" t="str">
        <f>IF(AND(Table2[[#This Row],[Member Type]]="Main Member",Table2[[#This Row],[Product Option]]="My Value Plus Life &amp; Funeral"),Lookups!$D$17,
IF(AND(Table2[[#This Row],[Member Type]]="Spouse",Table2[[#This Row],[Product Option]]="My Value Plus Life &amp; Funeral",_xlfn.XLOOKUP(B509,Table2[Main Member Link ID],Table2[Benefit Name],0)=Lookups!$D$14),"",
IF(AND(Table2[[#This Row],[Member Type]]="Spouse",Table2[[#This Row],[Product Option]]="My Value Plus Life &amp; Funeral",_xlfn.XLOOKUP(B508,Table2[Main Member Link ID],Table2[Benefit Name],0)=Lookups!$D$16),"",
IF(AND(Table2[[#This Row],[Member Type]]="Child",Table2[[#This Row],[Product Option]]="My Value Plus Life &amp; Funeral"),"",
IF(AND(Table2[[#This Row],[Member Type]]="Child",Table2[[#This Row],[Product Option]]="My Value Plus Life &amp; Funeral",_xlfn.XLOOKUP(B509,Table2[Main Member Link ID],Table2[Benefit Name],0)=Lookups!$D$15),"",
IF(AND(OR(Table2[[#This Row],[Member Type]]="Spouse",Table2[[#This Row],[Member Type]]="Child"),Table2[[#This Row],[Product Option]]="My Value Plus Life &amp; Funeral",_xlfn.XLOOKUP(B509,Table2[Main Member Link ID],Table2[Benefit Name],0)&lt;&gt;Lookups!$D$17),
IF(_xlfn.XLOOKUP(B509,Table2[Main Member Link ID],Table2[Benefit Name],0)=0,"",_xlfn.XLOOKUP(B509,Table2[Main Member Link ID],Table2[Benefit Name],0)),""))))))</f>
        <v/>
      </c>
      <c r="AI509" s="328" t="str">
        <f>IF(AND(Table2[[#This Row],[Member Type]]="Main Member",Table2[[#This Row],[Table Lookup for Life Cover]]="MM_LIFE",Table2[[#This Row],[Age Next Birthday]]&lt;56),1,
IF(AND(Table2[[#This Row],[Member Type]]="Main Member",Table2[[#This Row],[Table Lookup for Life Cover]]="MM_LIFE",Table2[[#This Row],[Age Next Birthday]]&gt;=56),2,
""))</f>
        <v/>
      </c>
      <c r="AJ509" s="328">
        <f>IF(OR(Table2[[#This Row],[Member Type]]="Main Member",Table2[[#This Row],[Main Member Link ID]]=B508),1,0)</f>
        <v>1</v>
      </c>
      <c r="AK509" s="328">
        <f>IF(Table2[[#This Row],[Member Type]]=0,0,
IF(OR(Table2[[#This Row],[Member Type]]="Main Member",Table2[[#This Row],[Main Member Link ID]]&lt;&gt;B509),COUNTIFS(B:B,Table2[[#This Row],[Main Member Link ID]]),
COUNTIFS(B:B,Table2[[#This Row],[Main Member Link ID]],A:A,Table2[[#This Row],[Member Type]])))</f>
        <v>0</v>
      </c>
    </row>
    <row r="510" spans="1:37" x14ac:dyDescent="0.3">
      <c r="A510" s="284">
        <f>Table13[[#This Row],[Member Type]]</f>
        <v>0</v>
      </c>
      <c r="B510" s="284">
        <f>Table13[[#This Row],[Main Member Link ID]]</f>
        <v>0</v>
      </c>
      <c r="C510" s="284">
        <f>Table13[[#This Row],[ID Number]]</f>
        <v>0</v>
      </c>
      <c r="D510" s="285">
        <f>Table13[[#This Row],[Date Of Birth]]</f>
        <v>0</v>
      </c>
      <c r="E510" s="285">
        <f>Table13[[#This Row],[Commencement Date]]</f>
        <v>0</v>
      </c>
      <c r="F510" s="284">
        <f t="shared" si="49"/>
        <v>1</v>
      </c>
      <c r="G510" s="284">
        <f t="shared" si="50"/>
        <v>25</v>
      </c>
      <c r="H510" s="286">
        <f>Table13[[#This Row],[Product Option]]</f>
        <v>0</v>
      </c>
      <c r="I510" s="284">
        <f>IF(AND($A510="Main Member",Table2[[#This Row],[Product Option]]="My Value Plus Life"),"MM_LIFE",
IF(AND($A510="Spouse",Table2[[#This Row],[Product Option]]="My Value Plus Life"),"SP_LIFE",
IF(AND($A510="Main Member",Table2[[#This Row],[Product Option]]="My Value Plus Life &amp; Funeral"),"MM_LIFE",
IF(AND($A510="Spouse",Table2[[#This Row],[Product Option]]="My Value Plus Life &amp; Funeral"),_xlfn.XLOOKUP(Table2[[#This Row],[Benefit Name]],Lookups!$D$18:$D$23,Lookups!$E$18:$E$23,0),
0))))</f>
        <v>0</v>
      </c>
      <c r="J510" s="284">
        <f>IF($I510="","",
IF($I510="MM_LIFE",INDEX('Quotation Tool'!$S$54:$V$60,MATCH($T510,'Quotation Tool'!$S$54:$S$60,0),4),
IF($I510="SP_LIFE",_xlfn.XLOOKUP(B509,$B:$B,$J:$J,0),0)))</f>
        <v>0</v>
      </c>
      <c r="K510" s="287">
        <f t="shared" ca="1" si="54"/>
        <v>0</v>
      </c>
      <c r="L510" s="288">
        <f t="shared" ca="1" si="55"/>
        <v>0</v>
      </c>
      <c r="M510" s="289">
        <f t="shared" ca="1" si="51"/>
        <v>0</v>
      </c>
      <c r="N510" s="286">
        <f>Table13[[#This Row],[Benefit Option]]</f>
        <v>0</v>
      </c>
      <c r="O510" s="284">
        <f>IF(OR(Table2[[#This Row],[Member Type]]="Spouse",Table2[[#This Row],[Member Type]]="Child"),0,
IF(_xlfn.XLOOKUP($N510,Lookups!$D$13:$D$27,Lookups!$F$13:$F$27,0)=Table2[[#This Row],[Table Lookup for Life Cover]],0,
_xlfn.XLOOKUP($N510,Lookups!$D$13:$D$27,Lookups!$F$13:$F$27,0)))</f>
        <v>0</v>
      </c>
      <c r="P510" s="284">
        <f>IF(Table2[[#This Row],[Table Lookup for Funeral]]=0,0,IFERROR(INDEX('Quotation Tool'!$S$54:$V$60,MATCH($T510,'Quotation Tool'!$S$54:$S$60,0),3),0))</f>
        <v>0</v>
      </c>
      <c r="Q510" s="288">
        <f ca="1">IF(OR(Table2[[#This Row],[Benefit Name]]="My Value Plus Life - Main Member",Table2[[#This Row],[Benefit Name]]="My Value Plus Life - Spouse"),0,
IFERROR(VLOOKUP($G510,INDIRECT($O510),$P510,FALSE),0))</f>
        <v>0</v>
      </c>
      <c r="R510" s="288">
        <f ca="1">IF(OR(Table2[[#This Row],[Benefit Name]]="My Value Plus Life - Main Member",Table2[[#This Row],[Benefit Name]]="My Value Plus Life - Spouse"),0,
IFERROR(VLOOKUP($G510,INDIRECT($O510),$P510+1,FALSE),0))</f>
        <v>0</v>
      </c>
      <c r="S510" s="289">
        <f t="shared" ca="1" si="52"/>
        <v>0</v>
      </c>
      <c r="T510" s="284" t="str">
        <f>IF(Table13[[#This Row],[Premium Waiver]]="","None",Table13[[#This Row],[Premium Waiver]])</f>
        <v>None</v>
      </c>
      <c r="U510" s="284">
        <f>Table13[[#This Row],[VAPs Options]]</f>
        <v>0</v>
      </c>
      <c r="V510" s="284">
        <f>Table13[[#This Row],[Annual Increase Option]]</f>
        <v>0</v>
      </c>
      <c r="W510" s="290">
        <f>Table13[[#This Row],[Life Cover Amount]]</f>
        <v>0</v>
      </c>
      <c r="X510" s="290">
        <f>Table13[[#This Row],[Funeral Cover Amount]]</f>
        <v>0</v>
      </c>
      <c r="Y51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1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10" s="301">
        <f t="shared" ca="1" si="53"/>
        <v>0</v>
      </c>
      <c r="AB510" s="298"/>
      <c r="AC510" s="326" t="str">
        <f>IF(Table2[[#This Row],[Member Type]]="Main Member",Lookups!$C$13,
IF(Table2[[#This Row],[Member Type]]="Spouse",_xlfn.XLOOKUP(B510,Table2[Main Member Link ID],Table2[Product Option],0),
IF(AND(Table2[[#This Row],[Member Type]]="Child",_xlfn.XLOOKUP(B510,Table2[Main Member Link ID],Table2[Product Option],0)&lt;&gt;"My Value Plus Life"),Lookups!$C$24,
IF(AND(OR(Table2[[#This Row],[Member Type]]="Parent",Table2[[#This Row],[Member Type]]="Extended"),_xlfn.XLOOKUP(B510,Table2[Main Member Link ID],Table2[Product Option],0)&lt;&gt;"My Value Plus Life"),Lookups!$C$26,""))))</f>
        <v/>
      </c>
      <c r="AD510" s="326" t="str">
        <f>IF(Table2[[#This Row],[Member Type]]="Main Member",Lookups!$C$14,"")</f>
        <v/>
      </c>
      <c r="AE51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Funeral",_xlfn.XLOOKUP(B510,Table2[Main Member Link ID],Table2[Benefit Name],0)=Lookups!$D$14),"",
IF(AND(Table2[[#This Row],[Member Type]]="Spouse",Table2[[#This Row],[Product Option]]="My Value Plus Life &amp; Funeral",_xlfn.XLOOKUP(B509,Table2[Main Member Link ID],Table2[Benefit Name],0)=Lookups!$D$15),Lookups!$D$20,
IF(AND(Table2[[#This Row],[Member Type]]="Spouse",Table2[[#This Row],[Product Option]]="My Value Plus Life &amp; Funeral",_xlfn.XLOOKUP(B509,Table2[Main Member Link ID],Table2[Benefit Name],0)=Lookups!$D$16),"",
IF(AND(Table2[[#This Row],[Member Type]]="Spouse",Table2[[#This Row],[Product Option]]="My Value Plus Life &amp; Funeral",_xlfn.XLOOKUP(B509,Table2[Main Member Link ID],Table2[Benefit Name],0)=Lookups!$D$17),Lookups!$D$21,
IF(AND(Table2[[#This Row],[Member Type]]="Child",Table2[[#This Row],[Product Option]]="My Value Plus Life &amp; Funeral",_xlfn.XLOOKUP(B510,Table2[Main Member Link ID],Table2[Benefit Name],0)=Lookups!$D$14),"",
IF(AND(Table2[[#This Row],[Member Type]]="Child",Table2[[#This Row],[Product Option]]="My Value Plus Life &amp; Funeral",_xlfn.XLOOKUP(B510,Table2[Main Member Link ID],Table2[Benefit Name],0)=Lookups!$D$15),"",
IF(AND(Table2[[#This Row],[Member Type]]="Child",Table2[[#This Row],[Product Option]]="My Value Plus Life &amp; Funeral",_xlfn.XLOOKUP(B510,Table2[Main Member Link ID],Table2[Benefit Name],0)=Lookups!$D$16),Lookups!$D$24,
IF(AND(Table2[[#This Row],[Member Type]]="Child",Table2[[#This Row],[Product Option]]="My Value Plus Life &amp; Funeral",_xlfn.XLOOKUP(B510,Table2[Main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Funeral",_xlfn.XLOOKUP(B510,Table2[Main Member Link ID],Table2[Benefit Name],0)&lt;&gt;Lookups!$D$14),
IF(_xlfn.XLOOKUP(B510,Table2[Main Member Link ID],Table2[Benefit Name],0)=0,"",_xlfn.XLOOKUP(B510,Table2[Main Member Link ID],Table2[Benefit Name],0)),"")))))))))))))))</f>
        <v/>
      </c>
      <c r="AF510" s="327" t="str">
        <f>IF(AND(Table2[[#This Row],[Member Type]]="Main Member",Table2[[#This Row],[Product Option]]="My Value Plus Life &amp; Funeral"),Lookups!$D$15,
IF(AND(Table2[[#This Row],[Member Type]]="Spouse",Table2[[#This Row],[Product Option]]="My Value Plus Life &amp; Funeral",_xlfn.XLOOKUP(B510,Table2[Main Member Link ID],Table2[Benefit Name],0)=Lookups!$D$14),"",
IF(AND(Table2[[#This Row],[Member Type]]="Spouse",Table2[[#This Row],[Product Option]]="My Value Plus Life &amp; Funeral",_xlfn.XLOOKUP(B509,Table2[Main Member Link ID],Table2[Benefit Name],0)=Lookups!$D$16),"",
IF(AND(Table2[[#This Row],[Member Type]]="Spouse",Table2[[#This Row],[Product Option]]="My Value Plus Life &amp; Funeral",_xlfn.XLOOKUP(B509,Table2[Main Member Link ID],Table2[Benefit Name],0)=Lookups!$D$15),"",
IF(AND(Table2[[#This Row],[Member Type]]="Spouse",Table2[[#This Row],[Product Option]]="My Value Plus Life &amp; Funeral",_xlfn.XLOOKUP(B509,Table2[Main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Funeral",_xlfn.XLOOKUP(B510,Table2[Main Member Link ID],Table2[Benefit Name],0)&lt;&gt;Lookups!$D$15),
IF(_xlfn.XLOOKUP(B510,Table2[Main Member Link ID],Table2[Benefit Name],0)=0,"",_xlfn.XLOOKUP(B510,Table2[Main Member Link ID],Table2[Benefit Name],0)),"")
))))))</f>
        <v/>
      </c>
      <c r="AG510" s="327" t="str">
        <f>IF(AND(Table2[[#This Row],[Member Type]]="Main Member",Table2[[#This Row],[Product Option]]="My Value Plus Life &amp; Funeral"),Lookups!$D$16,
IF(AND(Table2[[#This Row],[Member Type]]="Spouse",Table2[[#This Row],[Product Option]]="My Value Plus Life &amp; Funeral",_xlfn.XLOOKUP(B510,Table2[Main Member Link ID],Table2[Benefit Name],0)=Lookups!$D$14),"",
IF(AND(Table2[[#This Row],[Member Type]]="Spouse",Table2[[#This Row],[Product Option]]="My Value Plus Life &amp; Funeral",_xlfn.XLOOKUP(B509,Table2[Main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Funeral",_xlfn.XLOOKUP(B510,Table2[Main Member Link ID],Table2[Benefit Name],0)&lt;&gt;Lookups!$D$16),
IF(_xlfn.XLOOKUP(B510,Table2[Main Member Link ID],Table2[Benefit Name],0)=0,"",_xlfn.XLOOKUP(B510,Table2[Main Member Link ID],Table2[Benefit Name],0)),"")
))))</f>
        <v/>
      </c>
      <c r="AH510" s="327" t="str">
        <f>IF(AND(Table2[[#This Row],[Member Type]]="Main Member",Table2[[#This Row],[Product Option]]="My Value Plus Life &amp; Funeral"),Lookups!$D$17,
IF(AND(Table2[[#This Row],[Member Type]]="Spouse",Table2[[#This Row],[Product Option]]="My Value Plus Life &amp; Funeral",_xlfn.XLOOKUP(B510,Table2[Main Member Link ID],Table2[Benefit Name],0)=Lookups!$D$14),"",
IF(AND(Table2[[#This Row],[Member Type]]="Spouse",Table2[[#This Row],[Product Option]]="My Value Plus Life &amp; Funeral",_xlfn.XLOOKUP(B509,Table2[Main Member Link ID],Table2[Benefit Name],0)=Lookups!$D$16),"",
IF(AND(Table2[[#This Row],[Member Type]]="Child",Table2[[#This Row],[Product Option]]="My Value Plus Life &amp; Funeral"),"",
IF(AND(Table2[[#This Row],[Member Type]]="Child",Table2[[#This Row],[Product Option]]="My Value Plus Life &amp; Funeral",_xlfn.XLOOKUP(B510,Table2[Main Member Link ID],Table2[Benefit Name],0)=Lookups!$D$15),"",
IF(AND(OR(Table2[[#This Row],[Member Type]]="Spouse",Table2[[#This Row],[Member Type]]="Child"),Table2[[#This Row],[Product Option]]="My Value Plus Life &amp; Funeral",_xlfn.XLOOKUP(B510,Table2[Main Member Link ID],Table2[Benefit Name],0)&lt;&gt;Lookups!$D$17),
IF(_xlfn.XLOOKUP(B510,Table2[Main Member Link ID],Table2[Benefit Name],0)=0,"",_xlfn.XLOOKUP(B510,Table2[Main Member Link ID],Table2[Benefit Name],0)),""))))))</f>
        <v/>
      </c>
      <c r="AI510" s="328" t="str">
        <f>IF(AND(Table2[[#This Row],[Member Type]]="Main Member",Table2[[#This Row],[Table Lookup for Life Cover]]="MM_LIFE",Table2[[#This Row],[Age Next Birthday]]&lt;56),1,
IF(AND(Table2[[#This Row],[Member Type]]="Main Member",Table2[[#This Row],[Table Lookup for Life Cover]]="MM_LIFE",Table2[[#This Row],[Age Next Birthday]]&gt;=56),2,
""))</f>
        <v/>
      </c>
      <c r="AJ510" s="328">
        <f>IF(OR(Table2[[#This Row],[Member Type]]="Main Member",Table2[[#This Row],[Main Member Link ID]]=B509),1,0)</f>
        <v>1</v>
      </c>
      <c r="AK510" s="328">
        <f>IF(Table2[[#This Row],[Member Type]]=0,0,
IF(OR(Table2[[#This Row],[Member Type]]="Main Member",Table2[[#This Row],[Main Member Link ID]]&lt;&gt;B510),COUNTIFS(B:B,Table2[[#This Row],[Main Member Link ID]]),
COUNTIFS(B:B,Table2[[#This Row],[Main Member Link ID]],A:A,Table2[[#This Row],[Member Type]])))</f>
        <v>0</v>
      </c>
    </row>
    <row r="511" spans="1:37" x14ac:dyDescent="0.3">
      <c r="A511" s="284">
        <f>Table13[[#This Row],[Member Type]]</f>
        <v>0</v>
      </c>
      <c r="B511" s="284">
        <f>Table13[[#This Row],[Main Member Link ID]]</f>
        <v>0</v>
      </c>
      <c r="C511" s="284">
        <f>Table13[[#This Row],[ID Number]]</f>
        <v>0</v>
      </c>
      <c r="D511" s="285">
        <f>Table13[[#This Row],[Date Of Birth]]</f>
        <v>0</v>
      </c>
      <c r="E511" s="285">
        <f>Table13[[#This Row],[Commencement Date]]</f>
        <v>0</v>
      </c>
      <c r="F511" s="284">
        <f t="shared" si="49"/>
        <v>1</v>
      </c>
      <c r="G511" s="284">
        <f t="shared" si="50"/>
        <v>25</v>
      </c>
      <c r="H511" s="286">
        <f>Table13[[#This Row],[Product Option]]</f>
        <v>0</v>
      </c>
      <c r="I511" s="284">
        <f>IF(AND($A511="Main Member",Table2[[#This Row],[Product Option]]="My Value Plus Life"),"MM_LIFE",
IF(AND($A511="Spouse",Table2[[#This Row],[Product Option]]="My Value Plus Life"),"SP_LIFE",
IF(AND($A511="Main Member",Table2[[#This Row],[Product Option]]="My Value Plus Life &amp; Funeral"),"MM_LIFE",
IF(AND($A511="Spouse",Table2[[#This Row],[Product Option]]="My Value Plus Life &amp; Funeral"),_xlfn.XLOOKUP(Table2[[#This Row],[Benefit Name]],Lookups!$D$18:$D$23,Lookups!$E$18:$E$23,0),
0))))</f>
        <v>0</v>
      </c>
      <c r="J511" s="284">
        <f>IF($I511="","",
IF($I511="MM_LIFE",INDEX('Quotation Tool'!$S$54:$V$60,MATCH($T511,'Quotation Tool'!$S$54:$S$60,0),4),
IF($I511="SP_LIFE",_xlfn.XLOOKUP(B510,$B:$B,$J:$J,0),0)))</f>
        <v>0</v>
      </c>
      <c r="K511" s="287">
        <f t="shared" ca="1" si="54"/>
        <v>0</v>
      </c>
      <c r="L511" s="288">
        <f t="shared" ca="1" si="55"/>
        <v>0</v>
      </c>
      <c r="M511" s="289">
        <f t="shared" ca="1" si="51"/>
        <v>0</v>
      </c>
      <c r="N511" s="286">
        <f>Table13[[#This Row],[Benefit Option]]</f>
        <v>0</v>
      </c>
      <c r="O511" s="284">
        <f>IF(OR(Table2[[#This Row],[Member Type]]="Spouse",Table2[[#This Row],[Member Type]]="Child"),0,
IF(_xlfn.XLOOKUP($N511,Lookups!$D$13:$D$27,Lookups!$F$13:$F$27,0)=Table2[[#This Row],[Table Lookup for Life Cover]],0,
_xlfn.XLOOKUP($N511,Lookups!$D$13:$D$27,Lookups!$F$13:$F$27,0)))</f>
        <v>0</v>
      </c>
      <c r="P511" s="284">
        <f>IF(Table2[[#This Row],[Table Lookup for Funeral]]=0,0,IFERROR(INDEX('Quotation Tool'!$S$54:$V$60,MATCH($T511,'Quotation Tool'!$S$54:$S$60,0),3),0))</f>
        <v>0</v>
      </c>
      <c r="Q511" s="288">
        <f ca="1">IF(OR(Table2[[#This Row],[Benefit Name]]="My Value Plus Life - Main Member",Table2[[#This Row],[Benefit Name]]="My Value Plus Life - Spouse"),0,
IFERROR(VLOOKUP($G511,INDIRECT($O511),$P511,FALSE),0))</f>
        <v>0</v>
      </c>
      <c r="R511" s="288">
        <f ca="1">IF(OR(Table2[[#This Row],[Benefit Name]]="My Value Plus Life - Main Member",Table2[[#This Row],[Benefit Name]]="My Value Plus Life - Spouse"),0,
IFERROR(VLOOKUP($G511,INDIRECT($O511),$P511+1,FALSE),0))</f>
        <v>0</v>
      </c>
      <c r="S511" s="289">
        <f t="shared" ca="1" si="52"/>
        <v>0</v>
      </c>
      <c r="T511" s="284" t="str">
        <f>IF(Table13[[#This Row],[Premium Waiver]]="","None",Table13[[#This Row],[Premium Waiver]])</f>
        <v>None</v>
      </c>
      <c r="U511" s="284">
        <f>Table13[[#This Row],[VAPs Options]]</f>
        <v>0</v>
      </c>
      <c r="V511" s="284">
        <f>Table13[[#This Row],[Annual Increase Option]]</f>
        <v>0</v>
      </c>
      <c r="W511" s="290">
        <f>Table13[[#This Row],[Life Cover Amount]]</f>
        <v>0</v>
      </c>
      <c r="X511" s="290">
        <f>Table13[[#This Row],[Funeral Cover Amount]]</f>
        <v>0</v>
      </c>
      <c r="Y51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1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11" s="301">
        <f t="shared" ca="1" si="53"/>
        <v>0</v>
      </c>
      <c r="AB511" s="298"/>
      <c r="AC511" s="326" t="str">
        <f>IF(Table2[[#This Row],[Member Type]]="Main Member",Lookups!$C$13,
IF(Table2[[#This Row],[Member Type]]="Spouse",_xlfn.XLOOKUP(B511,Table2[Main Member Link ID],Table2[Product Option],0),
IF(AND(Table2[[#This Row],[Member Type]]="Child",_xlfn.XLOOKUP(B511,Table2[Main Member Link ID],Table2[Product Option],0)&lt;&gt;"My Value Plus Life"),Lookups!$C$24,
IF(AND(OR(Table2[[#This Row],[Member Type]]="Parent",Table2[[#This Row],[Member Type]]="Extended"),_xlfn.XLOOKUP(B511,Table2[Main Member Link ID],Table2[Product Option],0)&lt;&gt;"My Value Plus Life"),Lookups!$C$26,""))))</f>
        <v/>
      </c>
      <c r="AD511" s="326" t="str">
        <f>IF(Table2[[#This Row],[Member Type]]="Main Member",Lookups!$C$14,"")</f>
        <v/>
      </c>
      <c r="AE51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Funeral",_xlfn.XLOOKUP(B511,Table2[Main Member Link ID],Table2[Benefit Name],0)=Lookups!$D$14),"",
IF(AND(Table2[[#This Row],[Member Type]]="Spouse",Table2[[#This Row],[Product Option]]="My Value Plus Life &amp; Funeral",_xlfn.XLOOKUP(B510,Table2[Main Member Link ID],Table2[Benefit Name],0)=Lookups!$D$15),Lookups!$D$20,
IF(AND(Table2[[#This Row],[Member Type]]="Spouse",Table2[[#This Row],[Product Option]]="My Value Plus Life &amp; Funeral",_xlfn.XLOOKUP(B510,Table2[Main Member Link ID],Table2[Benefit Name],0)=Lookups!$D$16),"",
IF(AND(Table2[[#This Row],[Member Type]]="Spouse",Table2[[#This Row],[Product Option]]="My Value Plus Life &amp; Funeral",_xlfn.XLOOKUP(B510,Table2[Main Member Link ID],Table2[Benefit Name],0)=Lookups!$D$17),Lookups!$D$21,
IF(AND(Table2[[#This Row],[Member Type]]="Child",Table2[[#This Row],[Product Option]]="My Value Plus Life &amp; Funeral",_xlfn.XLOOKUP(B511,Table2[Main Member Link ID],Table2[Benefit Name],0)=Lookups!$D$14),"",
IF(AND(Table2[[#This Row],[Member Type]]="Child",Table2[[#This Row],[Product Option]]="My Value Plus Life &amp; Funeral",_xlfn.XLOOKUP(B511,Table2[Main Member Link ID],Table2[Benefit Name],0)=Lookups!$D$15),"",
IF(AND(Table2[[#This Row],[Member Type]]="Child",Table2[[#This Row],[Product Option]]="My Value Plus Life &amp; Funeral",_xlfn.XLOOKUP(B511,Table2[Main Member Link ID],Table2[Benefit Name],0)=Lookups!$D$16),Lookups!$D$24,
IF(AND(Table2[[#This Row],[Member Type]]="Child",Table2[[#This Row],[Product Option]]="My Value Plus Life &amp; Funeral",_xlfn.XLOOKUP(B511,Table2[Main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Funeral",_xlfn.XLOOKUP(B511,Table2[Main Member Link ID],Table2[Benefit Name],0)&lt;&gt;Lookups!$D$14),
IF(_xlfn.XLOOKUP(B511,Table2[Main Member Link ID],Table2[Benefit Name],0)=0,"",_xlfn.XLOOKUP(B511,Table2[Main Member Link ID],Table2[Benefit Name],0)),"")))))))))))))))</f>
        <v/>
      </c>
      <c r="AF511" s="327" t="str">
        <f>IF(AND(Table2[[#This Row],[Member Type]]="Main Member",Table2[[#This Row],[Product Option]]="My Value Plus Life &amp; Funeral"),Lookups!$D$15,
IF(AND(Table2[[#This Row],[Member Type]]="Spouse",Table2[[#This Row],[Product Option]]="My Value Plus Life &amp; Funeral",_xlfn.XLOOKUP(B511,Table2[Main Member Link ID],Table2[Benefit Name],0)=Lookups!$D$14),"",
IF(AND(Table2[[#This Row],[Member Type]]="Spouse",Table2[[#This Row],[Product Option]]="My Value Plus Life &amp; Funeral",_xlfn.XLOOKUP(B510,Table2[Main Member Link ID],Table2[Benefit Name],0)=Lookups!$D$16),"",
IF(AND(Table2[[#This Row],[Member Type]]="Spouse",Table2[[#This Row],[Product Option]]="My Value Plus Life &amp; Funeral",_xlfn.XLOOKUP(B510,Table2[Main Member Link ID],Table2[Benefit Name],0)=Lookups!$D$15),"",
IF(AND(Table2[[#This Row],[Member Type]]="Spouse",Table2[[#This Row],[Product Option]]="My Value Plus Life &amp; Funeral",_xlfn.XLOOKUP(B510,Table2[Main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Funeral",_xlfn.XLOOKUP(B511,Table2[Main Member Link ID],Table2[Benefit Name],0)&lt;&gt;Lookups!$D$15),
IF(_xlfn.XLOOKUP(B511,Table2[Main Member Link ID],Table2[Benefit Name],0)=0,"",_xlfn.XLOOKUP(B511,Table2[Main Member Link ID],Table2[Benefit Name],0)),"")
))))))</f>
        <v/>
      </c>
      <c r="AG511" s="327" t="str">
        <f>IF(AND(Table2[[#This Row],[Member Type]]="Main Member",Table2[[#This Row],[Product Option]]="My Value Plus Life &amp; Funeral"),Lookups!$D$16,
IF(AND(Table2[[#This Row],[Member Type]]="Spouse",Table2[[#This Row],[Product Option]]="My Value Plus Life &amp; Funeral",_xlfn.XLOOKUP(B511,Table2[Main Member Link ID],Table2[Benefit Name],0)=Lookups!$D$14),"",
IF(AND(Table2[[#This Row],[Member Type]]="Spouse",Table2[[#This Row],[Product Option]]="My Value Plus Life &amp; Funeral",_xlfn.XLOOKUP(B510,Table2[Main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Funeral",_xlfn.XLOOKUP(B511,Table2[Main Member Link ID],Table2[Benefit Name],0)&lt;&gt;Lookups!$D$16),
IF(_xlfn.XLOOKUP(B511,Table2[Main Member Link ID],Table2[Benefit Name],0)=0,"",_xlfn.XLOOKUP(B511,Table2[Main Member Link ID],Table2[Benefit Name],0)),"")
))))</f>
        <v/>
      </c>
      <c r="AH511" s="327" t="str">
        <f>IF(AND(Table2[[#This Row],[Member Type]]="Main Member",Table2[[#This Row],[Product Option]]="My Value Plus Life &amp; Funeral"),Lookups!$D$17,
IF(AND(Table2[[#This Row],[Member Type]]="Spouse",Table2[[#This Row],[Product Option]]="My Value Plus Life &amp; Funeral",_xlfn.XLOOKUP(B511,Table2[Main Member Link ID],Table2[Benefit Name],0)=Lookups!$D$14),"",
IF(AND(Table2[[#This Row],[Member Type]]="Spouse",Table2[[#This Row],[Product Option]]="My Value Plus Life &amp; Funeral",_xlfn.XLOOKUP(B510,Table2[Main Member Link ID],Table2[Benefit Name],0)=Lookups!$D$16),"",
IF(AND(Table2[[#This Row],[Member Type]]="Child",Table2[[#This Row],[Product Option]]="My Value Plus Life &amp; Funeral"),"",
IF(AND(Table2[[#This Row],[Member Type]]="Child",Table2[[#This Row],[Product Option]]="My Value Plus Life &amp; Funeral",_xlfn.XLOOKUP(B511,Table2[Main Member Link ID],Table2[Benefit Name],0)=Lookups!$D$15),"",
IF(AND(OR(Table2[[#This Row],[Member Type]]="Spouse",Table2[[#This Row],[Member Type]]="Child"),Table2[[#This Row],[Product Option]]="My Value Plus Life &amp; Funeral",_xlfn.XLOOKUP(B511,Table2[Main Member Link ID],Table2[Benefit Name],0)&lt;&gt;Lookups!$D$17),
IF(_xlfn.XLOOKUP(B511,Table2[Main Member Link ID],Table2[Benefit Name],0)=0,"",_xlfn.XLOOKUP(B511,Table2[Main Member Link ID],Table2[Benefit Name],0)),""))))))</f>
        <v/>
      </c>
      <c r="AI511" s="328" t="str">
        <f>IF(AND(Table2[[#This Row],[Member Type]]="Main Member",Table2[[#This Row],[Table Lookup for Life Cover]]="MM_LIFE",Table2[[#This Row],[Age Next Birthday]]&lt;56),1,
IF(AND(Table2[[#This Row],[Member Type]]="Main Member",Table2[[#This Row],[Table Lookup for Life Cover]]="MM_LIFE",Table2[[#This Row],[Age Next Birthday]]&gt;=56),2,
""))</f>
        <v/>
      </c>
      <c r="AJ511" s="328">
        <f>IF(OR(Table2[[#This Row],[Member Type]]="Main Member",Table2[[#This Row],[Main Member Link ID]]=B510),1,0)</f>
        <v>1</v>
      </c>
      <c r="AK511" s="328">
        <f>IF(Table2[[#This Row],[Member Type]]=0,0,
IF(OR(Table2[[#This Row],[Member Type]]="Main Member",Table2[[#This Row],[Main Member Link ID]]&lt;&gt;B511),COUNTIFS(B:B,Table2[[#This Row],[Main Member Link ID]]),
COUNTIFS(B:B,Table2[[#This Row],[Main Member Link ID]],A:A,Table2[[#This Row],[Member Type]])))</f>
        <v>0</v>
      </c>
    </row>
    <row r="512" spans="1:37" x14ac:dyDescent="0.3">
      <c r="A512" s="284">
        <f>Table13[[#This Row],[Member Type]]</f>
        <v>0</v>
      </c>
      <c r="B512" s="284">
        <f>Table13[[#This Row],[Main Member Link ID]]</f>
        <v>0</v>
      </c>
      <c r="C512" s="284">
        <f>Table13[[#This Row],[ID Number]]</f>
        <v>0</v>
      </c>
      <c r="D512" s="285">
        <f>Table13[[#This Row],[Date Of Birth]]</f>
        <v>0</v>
      </c>
      <c r="E512" s="285">
        <f>Table13[[#This Row],[Commencement Date]]</f>
        <v>0</v>
      </c>
      <c r="F512" s="284">
        <f t="shared" si="49"/>
        <v>1</v>
      </c>
      <c r="G512" s="284">
        <f t="shared" si="50"/>
        <v>25</v>
      </c>
      <c r="H512" s="286">
        <f>Table13[[#This Row],[Product Option]]</f>
        <v>0</v>
      </c>
      <c r="I512" s="284">
        <f>IF(AND($A512="Main Member",Table2[[#This Row],[Product Option]]="My Value Plus Life"),"MM_LIFE",
IF(AND($A512="Spouse",Table2[[#This Row],[Product Option]]="My Value Plus Life"),"SP_LIFE",
IF(AND($A512="Main Member",Table2[[#This Row],[Product Option]]="My Value Plus Life &amp; Funeral"),"MM_LIFE",
IF(AND($A512="Spouse",Table2[[#This Row],[Product Option]]="My Value Plus Life &amp; Funeral"),_xlfn.XLOOKUP(Table2[[#This Row],[Benefit Name]],Lookups!$D$18:$D$23,Lookups!$E$18:$E$23,0),
0))))</f>
        <v>0</v>
      </c>
      <c r="J512" s="284">
        <f>IF($I512="","",
IF($I512="MM_LIFE",INDEX('Quotation Tool'!$S$54:$V$60,MATCH($T512,'Quotation Tool'!$S$54:$S$60,0),4),
IF($I512="SP_LIFE",_xlfn.XLOOKUP(B511,$B:$B,$J:$J,0),0)))</f>
        <v>0</v>
      </c>
      <c r="K512" s="287">
        <f t="shared" ca="1" si="54"/>
        <v>0</v>
      </c>
      <c r="L512" s="288">
        <f t="shared" ca="1" si="55"/>
        <v>0</v>
      </c>
      <c r="M512" s="289">
        <f t="shared" ca="1" si="51"/>
        <v>0</v>
      </c>
      <c r="N512" s="286">
        <f>Table13[[#This Row],[Benefit Option]]</f>
        <v>0</v>
      </c>
      <c r="O512" s="284">
        <f>IF(OR(Table2[[#This Row],[Member Type]]="Spouse",Table2[[#This Row],[Member Type]]="Child"),0,
IF(_xlfn.XLOOKUP($N512,Lookups!$D$13:$D$27,Lookups!$F$13:$F$27,0)=Table2[[#This Row],[Table Lookup for Life Cover]],0,
_xlfn.XLOOKUP($N512,Lookups!$D$13:$D$27,Lookups!$F$13:$F$27,0)))</f>
        <v>0</v>
      </c>
      <c r="P512" s="284">
        <f>IF(Table2[[#This Row],[Table Lookup for Funeral]]=0,0,IFERROR(INDEX('Quotation Tool'!$S$54:$V$60,MATCH($T512,'Quotation Tool'!$S$54:$S$60,0),3),0))</f>
        <v>0</v>
      </c>
      <c r="Q512" s="288">
        <f ca="1">IF(OR(Table2[[#This Row],[Benefit Name]]="My Value Plus Life - Main Member",Table2[[#This Row],[Benefit Name]]="My Value Plus Life - Spouse"),0,
IFERROR(VLOOKUP($G512,INDIRECT($O512),$P512,FALSE),0))</f>
        <v>0</v>
      </c>
      <c r="R512" s="288">
        <f ca="1">IF(OR(Table2[[#This Row],[Benefit Name]]="My Value Plus Life - Main Member",Table2[[#This Row],[Benefit Name]]="My Value Plus Life - Spouse"),0,
IFERROR(VLOOKUP($G512,INDIRECT($O512),$P512+1,FALSE),0))</f>
        <v>0</v>
      </c>
      <c r="S512" s="289">
        <f t="shared" ca="1" si="52"/>
        <v>0</v>
      </c>
      <c r="T512" s="284" t="str">
        <f>IF(Table13[[#This Row],[Premium Waiver]]="","None",Table13[[#This Row],[Premium Waiver]])</f>
        <v>None</v>
      </c>
      <c r="U512" s="284">
        <f>Table13[[#This Row],[VAPs Options]]</f>
        <v>0</v>
      </c>
      <c r="V512" s="284">
        <f>Table13[[#This Row],[Annual Increase Option]]</f>
        <v>0</v>
      </c>
      <c r="W512" s="290">
        <f>Table13[[#This Row],[Life Cover Amount]]</f>
        <v>0</v>
      </c>
      <c r="X512" s="290">
        <f>Table13[[#This Row],[Funeral Cover Amount]]</f>
        <v>0</v>
      </c>
      <c r="Y51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1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12" s="301">
        <f t="shared" ca="1" si="53"/>
        <v>0</v>
      </c>
      <c r="AB512" s="298"/>
      <c r="AC512" s="326" t="str">
        <f>IF(Table2[[#This Row],[Member Type]]="Main Member",Lookups!$C$13,
IF(Table2[[#This Row],[Member Type]]="Spouse",_xlfn.XLOOKUP(B512,Table2[Main Member Link ID],Table2[Product Option],0),
IF(AND(Table2[[#This Row],[Member Type]]="Child",_xlfn.XLOOKUP(B512,Table2[Main Member Link ID],Table2[Product Option],0)&lt;&gt;"My Value Plus Life"),Lookups!$C$24,
IF(AND(OR(Table2[[#This Row],[Member Type]]="Parent",Table2[[#This Row],[Member Type]]="Extended"),_xlfn.XLOOKUP(B512,Table2[Main Member Link ID],Table2[Product Option],0)&lt;&gt;"My Value Plus Life"),Lookups!$C$26,""))))</f>
        <v/>
      </c>
      <c r="AD512" s="326" t="str">
        <f>IF(Table2[[#This Row],[Member Type]]="Main Member",Lookups!$C$14,"")</f>
        <v/>
      </c>
      <c r="AE51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Funeral",_xlfn.XLOOKUP(B512,Table2[Main Member Link ID],Table2[Benefit Name],0)=Lookups!$D$14),"",
IF(AND(Table2[[#This Row],[Member Type]]="Spouse",Table2[[#This Row],[Product Option]]="My Value Plus Life &amp; Funeral",_xlfn.XLOOKUP(B511,Table2[Main Member Link ID],Table2[Benefit Name],0)=Lookups!$D$15),Lookups!$D$20,
IF(AND(Table2[[#This Row],[Member Type]]="Spouse",Table2[[#This Row],[Product Option]]="My Value Plus Life &amp; Funeral",_xlfn.XLOOKUP(B511,Table2[Main Member Link ID],Table2[Benefit Name],0)=Lookups!$D$16),"",
IF(AND(Table2[[#This Row],[Member Type]]="Spouse",Table2[[#This Row],[Product Option]]="My Value Plus Life &amp; Funeral",_xlfn.XLOOKUP(B511,Table2[Main Member Link ID],Table2[Benefit Name],0)=Lookups!$D$17),Lookups!$D$21,
IF(AND(Table2[[#This Row],[Member Type]]="Child",Table2[[#This Row],[Product Option]]="My Value Plus Life &amp; Funeral",_xlfn.XLOOKUP(B512,Table2[Main Member Link ID],Table2[Benefit Name],0)=Lookups!$D$14),"",
IF(AND(Table2[[#This Row],[Member Type]]="Child",Table2[[#This Row],[Product Option]]="My Value Plus Life &amp; Funeral",_xlfn.XLOOKUP(B512,Table2[Main Member Link ID],Table2[Benefit Name],0)=Lookups!$D$15),"",
IF(AND(Table2[[#This Row],[Member Type]]="Child",Table2[[#This Row],[Product Option]]="My Value Plus Life &amp; Funeral",_xlfn.XLOOKUP(B512,Table2[Main Member Link ID],Table2[Benefit Name],0)=Lookups!$D$16),Lookups!$D$24,
IF(AND(Table2[[#This Row],[Member Type]]="Child",Table2[[#This Row],[Product Option]]="My Value Plus Life &amp; Funeral",_xlfn.XLOOKUP(B512,Table2[Main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Funeral",_xlfn.XLOOKUP(B512,Table2[Main Member Link ID],Table2[Benefit Name],0)&lt;&gt;Lookups!$D$14),
IF(_xlfn.XLOOKUP(B512,Table2[Main Member Link ID],Table2[Benefit Name],0)=0,"",_xlfn.XLOOKUP(B512,Table2[Main Member Link ID],Table2[Benefit Name],0)),"")))))))))))))))</f>
        <v/>
      </c>
      <c r="AF512" s="327" t="str">
        <f>IF(AND(Table2[[#This Row],[Member Type]]="Main Member",Table2[[#This Row],[Product Option]]="My Value Plus Life &amp; Funeral"),Lookups!$D$15,
IF(AND(Table2[[#This Row],[Member Type]]="Spouse",Table2[[#This Row],[Product Option]]="My Value Plus Life &amp; Funeral",_xlfn.XLOOKUP(B512,Table2[Main Member Link ID],Table2[Benefit Name],0)=Lookups!$D$14),"",
IF(AND(Table2[[#This Row],[Member Type]]="Spouse",Table2[[#This Row],[Product Option]]="My Value Plus Life &amp; Funeral",_xlfn.XLOOKUP(B511,Table2[Main Member Link ID],Table2[Benefit Name],0)=Lookups!$D$16),"",
IF(AND(Table2[[#This Row],[Member Type]]="Spouse",Table2[[#This Row],[Product Option]]="My Value Plus Life &amp; Funeral",_xlfn.XLOOKUP(B511,Table2[Main Member Link ID],Table2[Benefit Name],0)=Lookups!$D$15),"",
IF(AND(Table2[[#This Row],[Member Type]]="Spouse",Table2[[#This Row],[Product Option]]="My Value Plus Life &amp; Funeral",_xlfn.XLOOKUP(B511,Table2[Main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Funeral",_xlfn.XLOOKUP(B512,Table2[Main Member Link ID],Table2[Benefit Name],0)&lt;&gt;Lookups!$D$15),
IF(_xlfn.XLOOKUP(B512,Table2[Main Member Link ID],Table2[Benefit Name],0)=0,"",_xlfn.XLOOKUP(B512,Table2[Main Member Link ID],Table2[Benefit Name],0)),"")
))))))</f>
        <v/>
      </c>
      <c r="AG512" s="327" t="str">
        <f>IF(AND(Table2[[#This Row],[Member Type]]="Main Member",Table2[[#This Row],[Product Option]]="My Value Plus Life &amp; Funeral"),Lookups!$D$16,
IF(AND(Table2[[#This Row],[Member Type]]="Spouse",Table2[[#This Row],[Product Option]]="My Value Plus Life &amp; Funeral",_xlfn.XLOOKUP(B512,Table2[Main Member Link ID],Table2[Benefit Name],0)=Lookups!$D$14),"",
IF(AND(Table2[[#This Row],[Member Type]]="Spouse",Table2[[#This Row],[Product Option]]="My Value Plus Life &amp; Funeral",_xlfn.XLOOKUP(B511,Table2[Main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Funeral",_xlfn.XLOOKUP(B512,Table2[Main Member Link ID],Table2[Benefit Name],0)&lt;&gt;Lookups!$D$16),
IF(_xlfn.XLOOKUP(B512,Table2[Main Member Link ID],Table2[Benefit Name],0)=0,"",_xlfn.XLOOKUP(B512,Table2[Main Member Link ID],Table2[Benefit Name],0)),"")
))))</f>
        <v/>
      </c>
      <c r="AH512" s="327" t="str">
        <f>IF(AND(Table2[[#This Row],[Member Type]]="Main Member",Table2[[#This Row],[Product Option]]="My Value Plus Life &amp; Funeral"),Lookups!$D$17,
IF(AND(Table2[[#This Row],[Member Type]]="Spouse",Table2[[#This Row],[Product Option]]="My Value Plus Life &amp; Funeral",_xlfn.XLOOKUP(B512,Table2[Main Member Link ID],Table2[Benefit Name],0)=Lookups!$D$14),"",
IF(AND(Table2[[#This Row],[Member Type]]="Spouse",Table2[[#This Row],[Product Option]]="My Value Plus Life &amp; Funeral",_xlfn.XLOOKUP(B511,Table2[Main Member Link ID],Table2[Benefit Name],0)=Lookups!$D$16),"",
IF(AND(Table2[[#This Row],[Member Type]]="Child",Table2[[#This Row],[Product Option]]="My Value Plus Life &amp; Funeral"),"",
IF(AND(Table2[[#This Row],[Member Type]]="Child",Table2[[#This Row],[Product Option]]="My Value Plus Life &amp; Funeral",_xlfn.XLOOKUP(B512,Table2[Main Member Link ID],Table2[Benefit Name],0)=Lookups!$D$15),"",
IF(AND(OR(Table2[[#This Row],[Member Type]]="Spouse",Table2[[#This Row],[Member Type]]="Child"),Table2[[#This Row],[Product Option]]="My Value Plus Life &amp; Funeral",_xlfn.XLOOKUP(B512,Table2[Main Member Link ID],Table2[Benefit Name],0)&lt;&gt;Lookups!$D$17),
IF(_xlfn.XLOOKUP(B512,Table2[Main Member Link ID],Table2[Benefit Name],0)=0,"",_xlfn.XLOOKUP(B512,Table2[Main Member Link ID],Table2[Benefit Name],0)),""))))))</f>
        <v/>
      </c>
      <c r="AI512" s="328" t="str">
        <f>IF(AND(Table2[[#This Row],[Member Type]]="Main Member",Table2[[#This Row],[Table Lookup for Life Cover]]="MM_LIFE",Table2[[#This Row],[Age Next Birthday]]&lt;56),1,
IF(AND(Table2[[#This Row],[Member Type]]="Main Member",Table2[[#This Row],[Table Lookup for Life Cover]]="MM_LIFE",Table2[[#This Row],[Age Next Birthday]]&gt;=56),2,
""))</f>
        <v/>
      </c>
      <c r="AJ512" s="328">
        <f>IF(OR(Table2[[#This Row],[Member Type]]="Main Member",Table2[[#This Row],[Main Member Link ID]]=B511),1,0)</f>
        <v>1</v>
      </c>
      <c r="AK512" s="328">
        <f>IF(Table2[[#This Row],[Member Type]]=0,0,
IF(OR(Table2[[#This Row],[Member Type]]="Main Member",Table2[[#This Row],[Main Member Link ID]]&lt;&gt;B512),COUNTIFS(B:B,Table2[[#This Row],[Main Member Link ID]]),
COUNTIFS(B:B,Table2[[#This Row],[Main Member Link ID]],A:A,Table2[[#This Row],[Member Type]])))</f>
        <v>0</v>
      </c>
    </row>
    <row r="513" spans="1:37" x14ac:dyDescent="0.3">
      <c r="A513" s="284">
        <f>Table13[[#This Row],[Member Type]]</f>
        <v>0</v>
      </c>
      <c r="B513" s="284">
        <f>Table13[[#This Row],[Main Member Link ID]]</f>
        <v>0</v>
      </c>
      <c r="C513" s="284">
        <f>Table13[[#This Row],[ID Number]]</f>
        <v>0</v>
      </c>
      <c r="D513" s="285">
        <f>Table13[[#This Row],[Date Of Birth]]</f>
        <v>0</v>
      </c>
      <c r="E513" s="285">
        <f>Table13[[#This Row],[Commencement Date]]</f>
        <v>0</v>
      </c>
      <c r="F513" s="284">
        <f t="shared" si="49"/>
        <v>1</v>
      </c>
      <c r="G513" s="284">
        <f t="shared" si="50"/>
        <v>25</v>
      </c>
      <c r="H513" s="286">
        <f>Table13[[#This Row],[Product Option]]</f>
        <v>0</v>
      </c>
      <c r="I513" s="284">
        <f>IF(AND($A513="Main Member",Table2[[#This Row],[Product Option]]="My Value Plus Life"),"MM_LIFE",
IF(AND($A513="Spouse",Table2[[#This Row],[Product Option]]="My Value Plus Life"),"SP_LIFE",
IF(AND($A513="Main Member",Table2[[#This Row],[Product Option]]="My Value Plus Life &amp; Funeral"),"MM_LIFE",
IF(AND($A513="Spouse",Table2[[#This Row],[Product Option]]="My Value Plus Life &amp; Funeral"),_xlfn.XLOOKUP(Table2[[#This Row],[Benefit Name]],Lookups!$D$18:$D$23,Lookups!$E$18:$E$23,0),
0))))</f>
        <v>0</v>
      </c>
      <c r="J513" s="284">
        <f>IF($I513="","",
IF($I513="MM_LIFE",INDEX('Quotation Tool'!$S$54:$V$60,MATCH($T513,'Quotation Tool'!$S$54:$S$60,0),4),
IF($I513="SP_LIFE",_xlfn.XLOOKUP(B512,$B:$B,$J:$J,0),0)))</f>
        <v>0</v>
      </c>
      <c r="K513" s="287">
        <f t="shared" ca="1" si="54"/>
        <v>0</v>
      </c>
      <c r="L513" s="288">
        <f t="shared" ca="1" si="55"/>
        <v>0</v>
      </c>
      <c r="M513" s="289">
        <f t="shared" ca="1" si="51"/>
        <v>0</v>
      </c>
      <c r="N513" s="286">
        <f>Table13[[#This Row],[Benefit Option]]</f>
        <v>0</v>
      </c>
      <c r="O513" s="284">
        <f>IF(OR(Table2[[#This Row],[Member Type]]="Spouse",Table2[[#This Row],[Member Type]]="Child"),0,
IF(_xlfn.XLOOKUP($N513,Lookups!$D$13:$D$27,Lookups!$F$13:$F$27,0)=Table2[[#This Row],[Table Lookup for Life Cover]],0,
_xlfn.XLOOKUP($N513,Lookups!$D$13:$D$27,Lookups!$F$13:$F$27,0)))</f>
        <v>0</v>
      </c>
      <c r="P513" s="284">
        <f>IF(Table2[[#This Row],[Table Lookup for Funeral]]=0,0,IFERROR(INDEX('Quotation Tool'!$S$54:$V$60,MATCH($T513,'Quotation Tool'!$S$54:$S$60,0),3),0))</f>
        <v>0</v>
      </c>
      <c r="Q513" s="288">
        <f ca="1">IF(OR(Table2[[#This Row],[Benefit Name]]="My Value Plus Life - Main Member",Table2[[#This Row],[Benefit Name]]="My Value Plus Life - Spouse"),0,
IFERROR(VLOOKUP($G513,INDIRECT($O513),$P513,FALSE),0))</f>
        <v>0</v>
      </c>
      <c r="R513" s="288">
        <f ca="1">IF(OR(Table2[[#This Row],[Benefit Name]]="My Value Plus Life - Main Member",Table2[[#This Row],[Benefit Name]]="My Value Plus Life - Spouse"),0,
IFERROR(VLOOKUP($G513,INDIRECT($O513),$P513+1,FALSE),0))</f>
        <v>0</v>
      </c>
      <c r="S513" s="289">
        <f t="shared" ca="1" si="52"/>
        <v>0</v>
      </c>
      <c r="T513" s="284" t="str">
        <f>IF(Table13[[#This Row],[Premium Waiver]]="","None",Table13[[#This Row],[Premium Waiver]])</f>
        <v>None</v>
      </c>
      <c r="U513" s="284">
        <f>Table13[[#This Row],[VAPs Options]]</f>
        <v>0</v>
      </c>
      <c r="V513" s="284">
        <f>Table13[[#This Row],[Annual Increase Option]]</f>
        <v>0</v>
      </c>
      <c r="W513" s="290">
        <f>Table13[[#This Row],[Life Cover Amount]]</f>
        <v>0</v>
      </c>
      <c r="X513" s="290">
        <f>Table13[[#This Row],[Funeral Cover Amount]]</f>
        <v>0</v>
      </c>
      <c r="Y51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1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13" s="301">
        <f t="shared" ca="1" si="53"/>
        <v>0</v>
      </c>
      <c r="AB513" s="298"/>
      <c r="AC513" s="326" t="str">
        <f>IF(Table2[[#This Row],[Member Type]]="Main Member",Lookups!$C$13,
IF(Table2[[#This Row],[Member Type]]="Spouse",_xlfn.XLOOKUP(B513,Table2[Main Member Link ID],Table2[Product Option],0),
IF(AND(Table2[[#This Row],[Member Type]]="Child",_xlfn.XLOOKUP(B513,Table2[Main Member Link ID],Table2[Product Option],0)&lt;&gt;"My Value Plus Life"),Lookups!$C$24,
IF(AND(OR(Table2[[#This Row],[Member Type]]="Parent",Table2[[#This Row],[Member Type]]="Extended"),_xlfn.XLOOKUP(B513,Table2[Main Member Link ID],Table2[Product Option],0)&lt;&gt;"My Value Plus Life"),Lookups!$C$26,""))))</f>
        <v/>
      </c>
      <c r="AD513" s="326" t="str">
        <f>IF(Table2[[#This Row],[Member Type]]="Main Member",Lookups!$C$14,"")</f>
        <v/>
      </c>
      <c r="AE51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Funeral",_xlfn.XLOOKUP(B513,Table2[Main Member Link ID],Table2[Benefit Name],0)=Lookups!$D$14),"",
IF(AND(Table2[[#This Row],[Member Type]]="Spouse",Table2[[#This Row],[Product Option]]="My Value Plus Life &amp; Funeral",_xlfn.XLOOKUP(B512,Table2[Main Member Link ID],Table2[Benefit Name],0)=Lookups!$D$15),Lookups!$D$20,
IF(AND(Table2[[#This Row],[Member Type]]="Spouse",Table2[[#This Row],[Product Option]]="My Value Plus Life &amp; Funeral",_xlfn.XLOOKUP(B512,Table2[Main Member Link ID],Table2[Benefit Name],0)=Lookups!$D$16),"",
IF(AND(Table2[[#This Row],[Member Type]]="Spouse",Table2[[#This Row],[Product Option]]="My Value Plus Life &amp; Funeral",_xlfn.XLOOKUP(B512,Table2[Main Member Link ID],Table2[Benefit Name],0)=Lookups!$D$17),Lookups!$D$21,
IF(AND(Table2[[#This Row],[Member Type]]="Child",Table2[[#This Row],[Product Option]]="My Value Plus Life &amp; Funeral",_xlfn.XLOOKUP(B513,Table2[Main Member Link ID],Table2[Benefit Name],0)=Lookups!$D$14),"",
IF(AND(Table2[[#This Row],[Member Type]]="Child",Table2[[#This Row],[Product Option]]="My Value Plus Life &amp; Funeral",_xlfn.XLOOKUP(B513,Table2[Main Member Link ID],Table2[Benefit Name],0)=Lookups!$D$15),"",
IF(AND(Table2[[#This Row],[Member Type]]="Child",Table2[[#This Row],[Product Option]]="My Value Plus Life &amp; Funeral",_xlfn.XLOOKUP(B513,Table2[Main Member Link ID],Table2[Benefit Name],0)=Lookups!$D$16),Lookups!$D$24,
IF(AND(Table2[[#This Row],[Member Type]]="Child",Table2[[#This Row],[Product Option]]="My Value Plus Life &amp; Funeral",_xlfn.XLOOKUP(B513,Table2[Main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Funeral",_xlfn.XLOOKUP(B513,Table2[Main Member Link ID],Table2[Benefit Name],0)&lt;&gt;Lookups!$D$14),
IF(_xlfn.XLOOKUP(B513,Table2[Main Member Link ID],Table2[Benefit Name],0)=0,"",_xlfn.XLOOKUP(B513,Table2[Main Member Link ID],Table2[Benefit Name],0)),"")))))))))))))))</f>
        <v/>
      </c>
      <c r="AF513" s="327" t="str">
        <f>IF(AND(Table2[[#This Row],[Member Type]]="Main Member",Table2[[#This Row],[Product Option]]="My Value Plus Life &amp; Funeral"),Lookups!$D$15,
IF(AND(Table2[[#This Row],[Member Type]]="Spouse",Table2[[#This Row],[Product Option]]="My Value Plus Life &amp; Funeral",_xlfn.XLOOKUP(B513,Table2[Main Member Link ID],Table2[Benefit Name],0)=Lookups!$D$14),"",
IF(AND(Table2[[#This Row],[Member Type]]="Spouse",Table2[[#This Row],[Product Option]]="My Value Plus Life &amp; Funeral",_xlfn.XLOOKUP(B512,Table2[Main Member Link ID],Table2[Benefit Name],0)=Lookups!$D$16),"",
IF(AND(Table2[[#This Row],[Member Type]]="Spouse",Table2[[#This Row],[Product Option]]="My Value Plus Life &amp; Funeral",_xlfn.XLOOKUP(B512,Table2[Main Member Link ID],Table2[Benefit Name],0)=Lookups!$D$15),"",
IF(AND(Table2[[#This Row],[Member Type]]="Spouse",Table2[[#This Row],[Product Option]]="My Value Plus Life &amp; Funeral",_xlfn.XLOOKUP(B512,Table2[Main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Funeral",_xlfn.XLOOKUP(B513,Table2[Main Member Link ID],Table2[Benefit Name],0)&lt;&gt;Lookups!$D$15),
IF(_xlfn.XLOOKUP(B513,Table2[Main Member Link ID],Table2[Benefit Name],0)=0,"",_xlfn.XLOOKUP(B513,Table2[Main Member Link ID],Table2[Benefit Name],0)),"")
))))))</f>
        <v/>
      </c>
      <c r="AG513" s="327" t="str">
        <f>IF(AND(Table2[[#This Row],[Member Type]]="Main Member",Table2[[#This Row],[Product Option]]="My Value Plus Life &amp; Funeral"),Lookups!$D$16,
IF(AND(Table2[[#This Row],[Member Type]]="Spouse",Table2[[#This Row],[Product Option]]="My Value Plus Life &amp; Funeral",_xlfn.XLOOKUP(B513,Table2[Main Member Link ID],Table2[Benefit Name],0)=Lookups!$D$14),"",
IF(AND(Table2[[#This Row],[Member Type]]="Spouse",Table2[[#This Row],[Product Option]]="My Value Plus Life &amp; Funeral",_xlfn.XLOOKUP(B512,Table2[Main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Funeral",_xlfn.XLOOKUP(B513,Table2[Main Member Link ID],Table2[Benefit Name],0)&lt;&gt;Lookups!$D$16),
IF(_xlfn.XLOOKUP(B513,Table2[Main Member Link ID],Table2[Benefit Name],0)=0,"",_xlfn.XLOOKUP(B513,Table2[Main Member Link ID],Table2[Benefit Name],0)),"")
))))</f>
        <v/>
      </c>
      <c r="AH513" s="327" t="str">
        <f>IF(AND(Table2[[#This Row],[Member Type]]="Main Member",Table2[[#This Row],[Product Option]]="My Value Plus Life &amp; Funeral"),Lookups!$D$17,
IF(AND(Table2[[#This Row],[Member Type]]="Spouse",Table2[[#This Row],[Product Option]]="My Value Plus Life &amp; Funeral",_xlfn.XLOOKUP(B513,Table2[Main Member Link ID],Table2[Benefit Name],0)=Lookups!$D$14),"",
IF(AND(Table2[[#This Row],[Member Type]]="Spouse",Table2[[#This Row],[Product Option]]="My Value Plus Life &amp; Funeral",_xlfn.XLOOKUP(B512,Table2[Main Member Link ID],Table2[Benefit Name],0)=Lookups!$D$16),"",
IF(AND(Table2[[#This Row],[Member Type]]="Child",Table2[[#This Row],[Product Option]]="My Value Plus Life &amp; Funeral"),"",
IF(AND(Table2[[#This Row],[Member Type]]="Child",Table2[[#This Row],[Product Option]]="My Value Plus Life &amp; Funeral",_xlfn.XLOOKUP(B513,Table2[Main Member Link ID],Table2[Benefit Name],0)=Lookups!$D$15),"",
IF(AND(OR(Table2[[#This Row],[Member Type]]="Spouse",Table2[[#This Row],[Member Type]]="Child"),Table2[[#This Row],[Product Option]]="My Value Plus Life &amp; Funeral",_xlfn.XLOOKUP(B513,Table2[Main Member Link ID],Table2[Benefit Name],0)&lt;&gt;Lookups!$D$17),
IF(_xlfn.XLOOKUP(B513,Table2[Main Member Link ID],Table2[Benefit Name],0)=0,"",_xlfn.XLOOKUP(B513,Table2[Main Member Link ID],Table2[Benefit Name],0)),""))))))</f>
        <v/>
      </c>
      <c r="AI513" s="328" t="str">
        <f>IF(AND(Table2[[#This Row],[Member Type]]="Main Member",Table2[[#This Row],[Table Lookup for Life Cover]]="MM_LIFE",Table2[[#This Row],[Age Next Birthday]]&lt;56),1,
IF(AND(Table2[[#This Row],[Member Type]]="Main Member",Table2[[#This Row],[Table Lookup for Life Cover]]="MM_LIFE",Table2[[#This Row],[Age Next Birthday]]&gt;=56),2,
""))</f>
        <v/>
      </c>
      <c r="AJ513" s="328">
        <f>IF(OR(Table2[[#This Row],[Member Type]]="Main Member",Table2[[#This Row],[Main Member Link ID]]=B512),1,0)</f>
        <v>1</v>
      </c>
      <c r="AK513" s="328">
        <f>IF(Table2[[#This Row],[Member Type]]=0,0,
IF(OR(Table2[[#This Row],[Member Type]]="Main Member",Table2[[#This Row],[Main Member Link ID]]&lt;&gt;B513),COUNTIFS(B:B,Table2[[#This Row],[Main Member Link ID]]),
COUNTIFS(B:B,Table2[[#This Row],[Main Member Link ID]],A:A,Table2[[#This Row],[Member Type]])))</f>
        <v>0</v>
      </c>
    </row>
    <row r="514" spans="1:37" x14ac:dyDescent="0.3">
      <c r="A514" s="284">
        <f>Table13[[#This Row],[Member Type]]</f>
        <v>0</v>
      </c>
      <c r="B514" s="284">
        <f>Table13[[#This Row],[Main Member Link ID]]</f>
        <v>0</v>
      </c>
      <c r="C514" s="284">
        <f>Table13[[#This Row],[ID Number]]</f>
        <v>0</v>
      </c>
      <c r="D514" s="285">
        <f>Table13[[#This Row],[Date Of Birth]]</f>
        <v>0</v>
      </c>
      <c r="E514" s="285">
        <f>Table13[[#This Row],[Commencement Date]]</f>
        <v>0</v>
      </c>
      <c r="F514" s="284">
        <f t="shared" si="49"/>
        <v>1</v>
      </c>
      <c r="G514" s="284">
        <f t="shared" si="50"/>
        <v>25</v>
      </c>
      <c r="H514" s="286">
        <f>Table13[[#This Row],[Product Option]]</f>
        <v>0</v>
      </c>
      <c r="I514" s="284">
        <f>IF(AND($A514="Main Member",Table2[[#This Row],[Product Option]]="My Value Plus Life"),"MM_LIFE",
IF(AND($A514="Spouse",Table2[[#This Row],[Product Option]]="My Value Plus Life"),"SP_LIFE",
IF(AND($A514="Main Member",Table2[[#This Row],[Product Option]]="My Value Plus Life &amp; Funeral"),"MM_LIFE",
IF(AND($A514="Spouse",Table2[[#This Row],[Product Option]]="My Value Plus Life &amp; Funeral"),_xlfn.XLOOKUP(Table2[[#This Row],[Benefit Name]],Lookups!$D$18:$D$23,Lookups!$E$18:$E$23,0),
0))))</f>
        <v>0</v>
      </c>
      <c r="J514" s="284">
        <f>IF($I514="","",
IF($I514="MM_LIFE",INDEX('Quotation Tool'!$S$54:$V$60,MATCH($T514,'Quotation Tool'!$S$54:$S$60,0),4),
IF($I514="SP_LIFE",_xlfn.XLOOKUP(B513,$B:$B,$J:$J,0),0)))</f>
        <v>0</v>
      </c>
      <c r="K514" s="287">
        <f t="shared" ca="1" si="54"/>
        <v>0</v>
      </c>
      <c r="L514" s="288">
        <f t="shared" ca="1" si="55"/>
        <v>0</v>
      </c>
      <c r="M514" s="289">
        <f t="shared" ca="1" si="51"/>
        <v>0</v>
      </c>
      <c r="N514" s="286">
        <f>Table13[[#This Row],[Benefit Option]]</f>
        <v>0</v>
      </c>
      <c r="O514" s="284">
        <f>IF(OR(Table2[[#This Row],[Member Type]]="Spouse",Table2[[#This Row],[Member Type]]="Child"),0,
IF(_xlfn.XLOOKUP($N514,Lookups!$D$13:$D$27,Lookups!$F$13:$F$27,0)=Table2[[#This Row],[Table Lookup for Life Cover]],0,
_xlfn.XLOOKUP($N514,Lookups!$D$13:$D$27,Lookups!$F$13:$F$27,0)))</f>
        <v>0</v>
      </c>
      <c r="P514" s="284">
        <f>IF(Table2[[#This Row],[Table Lookup for Funeral]]=0,0,IFERROR(INDEX('Quotation Tool'!$S$54:$V$60,MATCH($T514,'Quotation Tool'!$S$54:$S$60,0),3),0))</f>
        <v>0</v>
      </c>
      <c r="Q514" s="288">
        <f ca="1">IF(OR(Table2[[#This Row],[Benefit Name]]="My Value Plus Life - Main Member",Table2[[#This Row],[Benefit Name]]="My Value Plus Life - Spouse"),0,
IFERROR(VLOOKUP($G514,INDIRECT($O514),$P514,FALSE),0))</f>
        <v>0</v>
      </c>
      <c r="R514" s="288">
        <f ca="1">IF(OR(Table2[[#This Row],[Benefit Name]]="My Value Plus Life - Main Member",Table2[[#This Row],[Benefit Name]]="My Value Plus Life - Spouse"),0,
IFERROR(VLOOKUP($G514,INDIRECT($O514),$P514+1,FALSE),0))</f>
        <v>0</v>
      </c>
      <c r="S514" s="289">
        <f t="shared" ca="1" si="52"/>
        <v>0</v>
      </c>
      <c r="T514" s="284" t="str">
        <f>IF(Table13[[#This Row],[Premium Waiver]]="","None",Table13[[#This Row],[Premium Waiver]])</f>
        <v>None</v>
      </c>
      <c r="U514" s="284">
        <f>Table13[[#This Row],[VAPs Options]]</f>
        <v>0</v>
      </c>
      <c r="V514" s="284">
        <f>Table13[[#This Row],[Annual Increase Option]]</f>
        <v>0</v>
      </c>
      <c r="W514" s="290">
        <f>Table13[[#This Row],[Life Cover Amount]]</f>
        <v>0</v>
      </c>
      <c r="X514" s="290">
        <f>Table13[[#This Row],[Funeral Cover Amount]]</f>
        <v>0</v>
      </c>
      <c r="Y51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1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14" s="301">
        <f t="shared" ca="1" si="53"/>
        <v>0</v>
      </c>
      <c r="AB514" s="298"/>
      <c r="AC514" s="326" t="str">
        <f>IF(Table2[[#This Row],[Member Type]]="Main Member",Lookups!$C$13,
IF(Table2[[#This Row],[Member Type]]="Spouse",_xlfn.XLOOKUP(B514,Table2[Main Member Link ID],Table2[Product Option],0),
IF(AND(Table2[[#This Row],[Member Type]]="Child",_xlfn.XLOOKUP(B514,Table2[Main Member Link ID],Table2[Product Option],0)&lt;&gt;"My Value Plus Life"),Lookups!$C$24,
IF(AND(OR(Table2[[#This Row],[Member Type]]="Parent",Table2[[#This Row],[Member Type]]="Extended"),_xlfn.XLOOKUP(B514,Table2[Main Member Link ID],Table2[Product Option],0)&lt;&gt;"My Value Plus Life"),Lookups!$C$26,""))))</f>
        <v/>
      </c>
      <c r="AD514" s="326" t="str">
        <f>IF(Table2[[#This Row],[Member Type]]="Main Member",Lookups!$C$14,"")</f>
        <v/>
      </c>
      <c r="AE51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Funeral",_xlfn.XLOOKUP(B514,Table2[Main Member Link ID],Table2[Benefit Name],0)=Lookups!$D$14),"",
IF(AND(Table2[[#This Row],[Member Type]]="Spouse",Table2[[#This Row],[Product Option]]="My Value Plus Life &amp; Funeral",_xlfn.XLOOKUP(B513,Table2[Main Member Link ID],Table2[Benefit Name],0)=Lookups!$D$15),Lookups!$D$20,
IF(AND(Table2[[#This Row],[Member Type]]="Spouse",Table2[[#This Row],[Product Option]]="My Value Plus Life &amp; Funeral",_xlfn.XLOOKUP(B513,Table2[Main Member Link ID],Table2[Benefit Name],0)=Lookups!$D$16),"",
IF(AND(Table2[[#This Row],[Member Type]]="Spouse",Table2[[#This Row],[Product Option]]="My Value Plus Life &amp; Funeral",_xlfn.XLOOKUP(B513,Table2[Main Member Link ID],Table2[Benefit Name],0)=Lookups!$D$17),Lookups!$D$21,
IF(AND(Table2[[#This Row],[Member Type]]="Child",Table2[[#This Row],[Product Option]]="My Value Plus Life &amp; Funeral",_xlfn.XLOOKUP(B514,Table2[Main Member Link ID],Table2[Benefit Name],0)=Lookups!$D$14),"",
IF(AND(Table2[[#This Row],[Member Type]]="Child",Table2[[#This Row],[Product Option]]="My Value Plus Life &amp; Funeral",_xlfn.XLOOKUP(B514,Table2[Main Member Link ID],Table2[Benefit Name],0)=Lookups!$D$15),"",
IF(AND(Table2[[#This Row],[Member Type]]="Child",Table2[[#This Row],[Product Option]]="My Value Plus Life &amp; Funeral",_xlfn.XLOOKUP(B514,Table2[Main Member Link ID],Table2[Benefit Name],0)=Lookups!$D$16),Lookups!$D$24,
IF(AND(Table2[[#This Row],[Member Type]]="Child",Table2[[#This Row],[Product Option]]="My Value Plus Life &amp; Funeral",_xlfn.XLOOKUP(B514,Table2[Main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Funeral",_xlfn.XLOOKUP(B514,Table2[Main Member Link ID],Table2[Benefit Name],0)&lt;&gt;Lookups!$D$14),
IF(_xlfn.XLOOKUP(B514,Table2[Main Member Link ID],Table2[Benefit Name],0)=0,"",_xlfn.XLOOKUP(B514,Table2[Main Member Link ID],Table2[Benefit Name],0)),"")))))))))))))))</f>
        <v/>
      </c>
      <c r="AF514" s="327" t="str">
        <f>IF(AND(Table2[[#This Row],[Member Type]]="Main Member",Table2[[#This Row],[Product Option]]="My Value Plus Life &amp; Funeral"),Lookups!$D$15,
IF(AND(Table2[[#This Row],[Member Type]]="Spouse",Table2[[#This Row],[Product Option]]="My Value Plus Life &amp; Funeral",_xlfn.XLOOKUP(B514,Table2[Main Member Link ID],Table2[Benefit Name],0)=Lookups!$D$14),"",
IF(AND(Table2[[#This Row],[Member Type]]="Spouse",Table2[[#This Row],[Product Option]]="My Value Plus Life &amp; Funeral",_xlfn.XLOOKUP(B513,Table2[Main Member Link ID],Table2[Benefit Name],0)=Lookups!$D$16),"",
IF(AND(Table2[[#This Row],[Member Type]]="Spouse",Table2[[#This Row],[Product Option]]="My Value Plus Life &amp; Funeral",_xlfn.XLOOKUP(B513,Table2[Main Member Link ID],Table2[Benefit Name],0)=Lookups!$D$15),"",
IF(AND(Table2[[#This Row],[Member Type]]="Spouse",Table2[[#This Row],[Product Option]]="My Value Plus Life &amp; Funeral",_xlfn.XLOOKUP(B513,Table2[Main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Funeral",_xlfn.XLOOKUP(B514,Table2[Main Member Link ID],Table2[Benefit Name],0)&lt;&gt;Lookups!$D$15),
IF(_xlfn.XLOOKUP(B514,Table2[Main Member Link ID],Table2[Benefit Name],0)=0,"",_xlfn.XLOOKUP(B514,Table2[Main Member Link ID],Table2[Benefit Name],0)),"")
))))))</f>
        <v/>
      </c>
      <c r="AG514" s="327" t="str">
        <f>IF(AND(Table2[[#This Row],[Member Type]]="Main Member",Table2[[#This Row],[Product Option]]="My Value Plus Life &amp; Funeral"),Lookups!$D$16,
IF(AND(Table2[[#This Row],[Member Type]]="Spouse",Table2[[#This Row],[Product Option]]="My Value Plus Life &amp; Funeral",_xlfn.XLOOKUP(B514,Table2[Main Member Link ID],Table2[Benefit Name],0)=Lookups!$D$14),"",
IF(AND(Table2[[#This Row],[Member Type]]="Spouse",Table2[[#This Row],[Product Option]]="My Value Plus Life &amp; Funeral",_xlfn.XLOOKUP(B513,Table2[Main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Funeral",_xlfn.XLOOKUP(B514,Table2[Main Member Link ID],Table2[Benefit Name],0)&lt;&gt;Lookups!$D$16),
IF(_xlfn.XLOOKUP(B514,Table2[Main Member Link ID],Table2[Benefit Name],0)=0,"",_xlfn.XLOOKUP(B514,Table2[Main Member Link ID],Table2[Benefit Name],0)),"")
))))</f>
        <v/>
      </c>
      <c r="AH514" s="327" t="str">
        <f>IF(AND(Table2[[#This Row],[Member Type]]="Main Member",Table2[[#This Row],[Product Option]]="My Value Plus Life &amp; Funeral"),Lookups!$D$17,
IF(AND(Table2[[#This Row],[Member Type]]="Spouse",Table2[[#This Row],[Product Option]]="My Value Plus Life &amp; Funeral",_xlfn.XLOOKUP(B514,Table2[Main Member Link ID],Table2[Benefit Name],0)=Lookups!$D$14),"",
IF(AND(Table2[[#This Row],[Member Type]]="Spouse",Table2[[#This Row],[Product Option]]="My Value Plus Life &amp; Funeral",_xlfn.XLOOKUP(B513,Table2[Main Member Link ID],Table2[Benefit Name],0)=Lookups!$D$16),"",
IF(AND(Table2[[#This Row],[Member Type]]="Child",Table2[[#This Row],[Product Option]]="My Value Plus Life &amp; Funeral"),"",
IF(AND(Table2[[#This Row],[Member Type]]="Child",Table2[[#This Row],[Product Option]]="My Value Plus Life &amp; Funeral",_xlfn.XLOOKUP(B514,Table2[Main Member Link ID],Table2[Benefit Name],0)=Lookups!$D$15),"",
IF(AND(OR(Table2[[#This Row],[Member Type]]="Spouse",Table2[[#This Row],[Member Type]]="Child"),Table2[[#This Row],[Product Option]]="My Value Plus Life &amp; Funeral",_xlfn.XLOOKUP(B514,Table2[Main Member Link ID],Table2[Benefit Name],0)&lt;&gt;Lookups!$D$17),
IF(_xlfn.XLOOKUP(B514,Table2[Main Member Link ID],Table2[Benefit Name],0)=0,"",_xlfn.XLOOKUP(B514,Table2[Main Member Link ID],Table2[Benefit Name],0)),""))))))</f>
        <v/>
      </c>
      <c r="AI514" s="328" t="str">
        <f>IF(AND(Table2[[#This Row],[Member Type]]="Main Member",Table2[[#This Row],[Table Lookup for Life Cover]]="MM_LIFE",Table2[[#This Row],[Age Next Birthday]]&lt;56),1,
IF(AND(Table2[[#This Row],[Member Type]]="Main Member",Table2[[#This Row],[Table Lookup for Life Cover]]="MM_LIFE",Table2[[#This Row],[Age Next Birthday]]&gt;=56),2,
""))</f>
        <v/>
      </c>
      <c r="AJ514" s="328">
        <f>IF(OR(Table2[[#This Row],[Member Type]]="Main Member",Table2[[#This Row],[Main Member Link ID]]=B513),1,0)</f>
        <v>1</v>
      </c>
      <c r="AK514" s="328">
        <f>IF(Table2[[#This Row],[Member Type]]=0,0,
IF(OR(Table2[[#This Row],[Member Type]]="Main Member",Table2[[#This Row],[Main Member Link ID]]&lt;&gt;B514),COUNTIFS(B:B,Table2[[#This Row],[Main Member Link ID]]),
COUNTIFS(B:B,Table2[[#This Row],[Main Member Link ID]],A:A,Table2[[#This Row],[Member Type]])))</f>
        <v>0</v>
      </c>
    </row>
    <row r="515" spans="1:37" x14ac:dyDescent="0.3">
      <c r="A515" s="284">
        <f>Table13[[#This Row],[Member Type]]</f>
        <v>0</v>
      </c>
      <c r="B515" s="284">
        <f>Table13[[#This Row],[Main Member Link ID]]</f>
        <v>0</v>
      </c>
      <c r="C515" s="284">
        <f>Table13[[#This Row],[ID Number]]</f>
        <v>0</v>
      </c>
      <c r="D515" s="285">
        <f>Table13[[#This Row],[Date Of Birth]]</f>
        <v>0</v>
      </c>
      <c r="E515" s="285">
        <f>Table13[[#This Row],[Commencement Date]]</f>
        <v>0</v>
      </c>
      <c r="F515" s="284">
        <f t="shared" si="49"/>
        <v>1</v>
      </c>
      <c r="G515" s="284">
        <f t="shared" si="50"/>
        <v>25</v>
      </c>
      <c r="H515" s="286">
        <f>Table13[[#This Row],[Product Option]]</f>
        <v>0</v>
      </c>
      <c r="I515" s="284">
        <f>IF(AND($A515="Main Member",Table2[[#This Row],[Product Option]]="My Value Plus Life"),"MM_LIFE",
IF(AND($A515="Spouse",Table2[[#This Row],[Product Option]]="My Value Plus Life"),"SP_LIFE",
IF(AND($A515="Main Member",Table2[[#This Row],[Product Option]]="My Value Plus Life &amp; Funeral"),"MM_LIFE",
IF(AND($A515="Spouse",Table2[[#This Row],[Product Option]]="My Value Plus Life &amp; Funeral"),_xlfn.XLOOKUP(Table2[[#This Row],[Benefit Name]],Lookups!$D$18:$D$23,Lookups!$E$18:$E$23,0),
0))))</f>
        <v>0</v>
      </c>
      <c r="J515" s="284">
        <f>IF($I515="","",
IF($I515="MM_LIFE",INDEX('Quotation Tool'!$S$54:$V$60,MATCH($T515,'Quotation Tool'!$S$54:$S$60,0),4),
IF($I515="SP_LIFE",_xlfn.XLOOKUP(B514,$B:$B,$J:$J,0),0)))</f>
        <v>0</v>
      </c>
      <c r="K515" s="287">
        <f t="shared" ca="1" si="54"/>
        <v>0</v>
      </c>
      <c r="L515" s="288">
        <f t="shared" ca="1" si="55"/>
        <v>0</v>
      </c>
      <c r="M515" s="289">
        <f t="shared" ca="1" si="51"/>
        <v>0</v>
      </c>
      <c r="N515" s="286">
        <f>Table13[[#This Row],[Benefit Option]]</f>
        <v>0</v>
      </c>
      <c r="O515" s="284">
        <f>IF(OR(Table2[[#This Row],[Member Type]]="Spouse",Table2[[#This Row],[Member Type]]="Child"),0,
IF(_xlfn.XLOOKUP($N515,Lookups!$D$13:$D$27,Lookups!$F$13:$F$27,0)=Table2[[#This Row],[Table Lookup for Life Cover]],0,
_xlfn.XLOOKUP($N515,Lookups!$D$13:$D$27,Lookups!$F$13:$F$27,0)))</f>
        <v>0</v>
      </c>
      <c r="P515" s="284">
        <f>IF(Table2[[#This Row],[Table Lookup for Funeral]]=0,0,IFERROR(INDEX('Quotation Tool'!$S$54:$V$60,MATCH($T515,'Quotation Tool'!$S$54:$S$60,0),3),0))</f>
        <v>0</v>
      </c>
      <c r="Q515" s="288">
        <f ca="1">IF(OR(Table2[[#This Row],[Benefit Name]]="My Value Plus Life - Main Member",Table2[[#This Row],[Benefit Name]]="My Value Plus Life - Spouse"),0,
IFERROR(VLOOKUP($G515,INDIRECT($O515),$P515,FALSE),0))</f>
        <v>0</v>
      </c>
      <c r="R515" s="288">
        <f ca="1">IF(OR(Table2[[#This Row],[Benefit Name]]="My Value Plus Life - Main Member",Table2[[#This Row],[Benefit Name]]="My Value Plus Life - Spouse"),0,
IFERROR(VLOOKUP($G515,INDIRECT($O515),$P515+1,FALSE),0))</f>
        <v>0</v>
      </c>
      <c r="S515" s="289">
        <f t="shared" ca="1" si="52"/>
        <v>0</v>
      </c>
      <c r="T515" s="284" t="str">
        <f>IF(Table13[[#This Row],[Premium Waiver]]="","None",Table13[[#This Row],[Premium Waiver]])</f>
        <v>None</v>
      </c>
      <c r="U515" s="284">
        <f>Table13[[#This Row],[VAPs Options]]</f>
        <v>0</v>
      </c>
      <c r="V515" s="284">
        <f>Table13[[#This Row],[Annual Increase Option]]</f>
        <v>0</v>
      </c>
      <c r="W515" s="290">
        <f>Table13[[#This Row],[Life Cover Amount]]</f>
        <v>0</v>
      </c>
      <c r="X515" s="290">
        <f>Table13[[#This Row],[Funeral Cover Amount]]</f>
        <v>0</v>
      </c>
      <c r="Y51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1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15" s="301">
        <f t="shared" ca="1" si="53"/>
        <v>0</v>
      </c>
      <c r="AB515" s="298"/>
      <c r="AC515" s="326" t="str">
        <f>IF(Table2[[#This Row],[Member Type]]="Main Member",Lookups!$C$13,
IF(Table2[[#This Row],[Member Type]]="Spouse",_xlfn.XLOOKUP(B515,Table2[Main Member Link ID],Table2[Product Option],0),
IF(AND(Table2[[#This Row],[Member Type]]="Child",_xlfn.XLOOKUP(B515,Table2[Main Member Link ID],Table2[Product Option],0)&lt;&gt;"My Value Plus Life"),Lookups!$C$24,
IF(AND(OR(Table2[[#This Row],[Member Type]]="Parent",Table2[[#This Row],[Member Type]]="Extended"),_xlfn.XLOOKUP(B515,Table2[Main Member Link ID],Table2[Product Option],0)&lt;&gt;"My Value Plus Life"),Lookups!$C$26,""))))</f>
        <v/>
      </c>
      <c r="AD515" s="326" t="str">
        <f>IF(Table2[[#This Row],[Member Type]]="Main Member",Lookups!$C$14,"")</f>
        <v/>
      </c>
      <c r="AE51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Funeral",_xlfn.XLOOKUP(B515,Table2[Main Member Link ID],Table2[Benefit Name],0)=Lookups!$D$14),"",
IF(AND(Table2[[#This Row],[Member Type]]="Spouse",Table2[[#This Row],[Product Option]]="My Value Plus Life &amp; Funeral",_xlfn.XLOOKUP(B514,Table2[Main Member Link ID],Table2[Benefit Name],0)=Lookups!$D$15),Lookups!$D$20,
IF(AND(Table2[[#This Row],[Member Type]]="Spouse",Table2[[#This Row],[Product Option]]="My Value Plus Life &amp; Funeral",_xlfn.XLOOKUP(B514,Table2[Main Member Link ID],Table2[Benefit Name],0)=Lookups!$D$16),"",
IF(AND(Table2[[#This Row],[Member Type]]="Spouse",Table2[[#This Row],[Product Option]]="My Value Plus Life &amp; Funeral",_xlfn.XLOOKUP(B514,Table2[Main Member Link ID],Table2[Benefit Name],0)=Lookups!$D$17),Lookups!$D$21,
IF(AND(Table2[[#This Row],[Member Type]]="Child",Table2[[#This Row],[Product Option]]="My Value Plus Life &amp; Funeral",_xlfn.XLOOKUP(B515,Table2[Main Member Link ID],Table2[Benefit Name],0)=Lookups!$D$14),"",
IF(AND(Table2[[#This Row],[Member Type]]="Child",Table2[[#This Row],[Product Option]]="My Value Plus Life &amp; Funeral",_xlfn.XLOOKUP(B515,Table2[Main Member Link ID],Table2[Benefit Name],0)=Lookups!$D$15),"",
IF(AND(Table2[[#This Row],[Member Type]]="Child",Table2[[#This Row],[Product Option]]="My Value Plus Life &amp; Funeral",_xlfn.XLOOKUP(B515,Table2[Main Member Link ID],Table2[Benefit Name],0)=Lookups!$D$16),Lookups!$D$24,
IF(AND(Table2[[#This Row],[Member Type]]="Child",Table2[[#This Row],[Product Option]]="My Value Plus Life &amp; Funeral",_xlfn.XLOOKUP(B515,Table2[Main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Funeral",_xlfn.XLOOKUP(B515,Table2[Main Member Link ID],Table2[Benefit Name],0)&lt;&gt;Lookups!$D$14),
IF(_xlfn.XLOOKUP(B515,Table2[Main Member Link ID],Table2[Benefit Name],0)=0,"",_xlfn.XLOOKUP(B515,Table2[Main Member Link ID],Table2[Benefit Name],0)),"")))))))))))))))</f>
        <v/>
      </c>
      <c r="AF515" s="327" t="str">
        <f>IF(AND(Table2[[#This Row],[Member Type]]="Main Member",Table2[[#This Row],[Product Option]]="My Value Plus Life &amp; Funeral"),Lookups!$D$15,
IF(AND(Table2[[#This Row],[Member Type]]="Spouse",Table2[[#This Row],[Product Option]]="My Value Plus Life &amp; Funeral",_xlfn.XLOOKUP(B515,Table2[Main Member Link ID],Table2[Benefit Name],0)=Lookups!$D$14),"",
IF(AND(Table2[[#This Row],[Member Type]]="Spouse",Table2[[#This Row],[Product Option]]="My Value Plus Life &amp; Funeral",_xlfn.XLOOKUP(B514,Table2[Main Member Link ID],Table2[Benefit Name],0)=Lookups!$D$16),"",
IF(AND(Table2[[#This Row],[Member Type]]="Spouse",Table2[[#This Row],[Product Option]]="My Value Plus Life &amp; Funeral",_xlfn.XLOOKUP(B514,Table2[Main Member Link ID],Table2[Benefit Name],0)=Lookups!$D$15),"",
IF(AND(Table2[[#This Row],[Member Type]]="Spouse",Table2[[#This Row],[Product Option]]="My Value Plus Life &amp; Funeral",_xlfn.XLOOKUP(B514,Table2[Main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Funeral",_xlfn.XLOOKUP(B515,Table2[Main Member Link ID],Table2[Benefit Name],0)&lt;&gt;Lookups!$D$15),
IF(_xlfn.XLOOKUP(B515,Table2[Main Member Link ID],Table2[Benefit Name],0)=0,"",_xlfn.XLOOKUP(B515,Table2[Main Member Link ID],Table2[Benefit Name],0)),"")
))))))</f>
        <v/>
      </c>
      <c r="AG515" s="327" t="str">
        <f>IF(AND(Table2[[#This Row],[Member Type]]="Main Member",Table2[[#This Row],[Product Option]]="My Value Plus Life &amp; Funeral"),Lookups!$D$16,
IF(AND(Table2[[#This Row],[Member Type]]="Spouse",Table2[[#This Row],[Product Option]]="My Value Plus Life &amp; Funeral",_xlfn.XLOOKUP(B515,Table2[Main Member Link ID],Table2[Benefit Name],0)=Lookups!$D$14),"",
IF(AND(Table2[[#This Row],[Member Type]]="Spouse",Table2[[#This Row],[Product Option]]="My Value Plus Life &amp; Funeral",_xlfn.XLOOKUP(B514,Table2[Main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Funeral",_xlfn.XLOOKUP(B515,Table2[Main Member Link ID],Table2[Benefit Name],0)&lt;&gt;Lookups!$D$16),
IF(_xlfn.XLOOKUP(B515,Table2[Main Member Link ID],Table2[Benefit Name],0)=0,"",_xlfn.XLOOKUP(B515,Table2[Main Member Link ID],Table2[Benefit Name],0)),"")
))))</f>
        <v/>
      </c>
      <c r="AH515" s="327" t="str">
        <f>IF(AND(Table2[[#This Row],[Member Type]]="Main Member",Table2[[#This Row],[Product Option]]="My Value Plus Life &amp; Funeral"),Lookups!$D$17,
IF(AND(Table2[[#This Row],[Member Type]]="Spouse",Table2[[#This Row],[Product Option]]="My Value Plus Life &amp; Funeral",_xlfn.XLOOKUP(B515,Table2[Main Member Link ID],Table2[Benefit Name],0)=Lookups!$D$14),"",
IF(AND(Table2[[#This Row],[Member Type]]="Spouse",Table2[[#This Row],[Product Option]]="My Value Plus Life &amp; Funeral",_xlfn.XLOOKUP(B514,Table2[Main Member Link ID],Table2[Benefit Name],0)=Lookups!$D$16),"",
IF(AND(Table2[[#This Row],[Member Type]]="Child",Table2[[#This Row],[Product Option]]="My Value Plus Life &amp; Funeral"),"",
IF(AND(Table2[[#This Row],[Member Type]]="Child",Table2[[#This Row],[Product Option]]="My Value Plus Life &amp; Funeral",_xlfn.XLOOKUP(B515,Table2[Main Member Link ID],Table2[Benefit Name],0)=Lookups!$D$15),"",
IF(AND(OR(Table2[[#This Row],[Member Type]]="Spouse",Table2[[#This Row],[Member Type]]="Child"),Table2[[#This Row],[Product Option]]="My Value Plus Life &amp; Funeral",_xlfn.XLOOKUP(B515,Table2[Main Member Link ID],Table2[Benefit Name],0)&lt;&gt;Lookups!$D$17),
IF(_xlfn.XLOOKUP(B515,Table2[Main Member Link ID],Table2[Benefit Name],0)=0,"",_xlfn.XLOOKUP(B515,Table2[Main Member Link ID],Table2[Benefit Name],0)),""))))))</f>
        <v/>
      </c>
      <c r="AI515" s="328" t="str">
        <f>IF(AND(Table2[[#This Row],[Member Type]]="Main Member",Table2[[#This Row],[Table Lookup for Life Cover]]="MM_LIFE",Table2[[#This Row],[Age Next Birthday]]&lt;56),1,
IF(AND(Table2[[#This Row],[Member Type]]="Main Member",Table2[[#This Row],[Table Lookup for Life Cover]]="MM_LIFE",Table2[[#This Row],[Age Next Birthday]]&gt;=56),2,
""))</f>
        <v/>
      </c>
      <c r="AJ515" s="328">
        <f>IF(OR(Table2[[#This Row],[Member Type]]="Main Member",Table2[[#This Row],[Main Member Link ID]]=B514),1,0)</f>
        <v>1</v>
      </c>
      <c r="AK515" s="328">
        <f>IF(Table2[[#This Row],[Member Type]]=0,0,
IF(OR(Table2[[#This Row],[Member Type]]="Main Member",Table2[[#This Row],[Main Member Link ID]]&lt;&gt;B515),COUNTIFS(B:B,Table2[[#This Row],[Main Member Link ID]]),
COUNTIFS(B:B,Table2[[#This Row],[Main Member Link ID]],A:A,Table2[[#This Row],[Member Type]])))</f>
        <v>0</v>
      </c>
    </row>
    <row r="516" spans="1:37" x14ac:dyDescent="0.3">
      <c r="A516" s="284">
        <f>Table13[[#This Row],[Member Type]]</f>
        <v>0</v>
      </c>
      <c r="B516" s="284">
        <f>Table13[[#This Row],[Main Member Link ID]]</f>
        <v>0</v>
      </c>
      <c r="C516" s="284">
        <f>Table13[[#This Row],[ID Number]]</f>
        <v>0</v>
      </c>
      <c r="D516" s="285">
        <f>Table13[[#This Row],[Date Of Birth]]</f>
        <v>0</v>
      </c>
      <c r="E516" s="285">
        <f>Table13[[#This Row],[Commencement Date]]</f>
        <v>0</v>
      </c>
      <c r="F516" s="284">
        <f t="shared" si="49"/>
        <v>1</v>
      </c>
      <c r="G516" s="284">
        <f t="shared" si="50"/>
        <v>25</v>
      </c>
      <c r="H516" s="286">
        <f>Table13[[#This Row],[Product Option]]</f>
        <v>0</v>
      </c>
      <c r="I516" s="284">
        <f>IF(AND($A516="Main Member",Table2[[#This Row],[Product Option]]="My Value Plus Life"),"MM_LIFE",
IF(AND($A516="Spouse",Table2[[#This Row],[Product Option]]="My Value Plus Life"),"SP_LIFE",
IF(AND($A516="Main Member",Table2[[#This Row],[Product Option]]="My Value Plus Life &amp; Funeral"),"MM_LIFE",
IF(AND($A516="Spouse",Table2[[#This Row],[Product Option]]="My Value Plus Life &amp; Funeral"),_xlfn.XLOOKUP(Table2[[#This Row],[Benefit Name]],Lookups!$D$18:$D$23,Lookups!$E$18:$E$23,0),
0))))</f>
        <v>0</v>
      </c>
      <c r="J516" s="284">
        <f>IF($I516="","",
IF($I516="MM_LIFE",INDEX('Quotation Tool'!$S$54:$V$60,MATCH($T516,'Quotation Tool'!$S$54:$S$60,0),4),
IF($I516="SP_LIFE",_xlfn.XLOOKUP(B515,$B:$B,$J:$J,0),0)))</f>
        <v>0</v>
      </c>
      <c r="K516" s="287">
        <f t="shared" ca="1" si="54"/>
        <v>0</v>
      </c>
      <c r="L516" s="288">
        <f t="shared" ca="1" si="55"/>
        <v>0</v>
      </c>
      <c r="M516" s="289">
        <f t="shared" ca="1" si="51"/>
        <v>0</v>
      </c>
      <c r="N516" s="286">
        <f>Table13[[#This Row],[Benefit Option]]</f>
        <v>0</v>
      </c>
      <c r="O516" s="284">
        <f>IF(OR(Table2[[#This Row],[Member Type]]="Spouse",Table2[[#This Row],[Member Type]]="Child"),0,
IF(_xlfn.XLOOKUP($N516,Lookups!$D$13:$D$27,Lookups!$F$13:$F$27,0)=Table2[[#This Row],[Table Lookup for Life Cover]],0,
_xlfn.XLOOKUP($N516,Lookups!$D$13:$D$27,Lookups!$F$13:$F$27,0)))</f>
        <v>0</v>
      </c>
      <c r="P516" s="284">
        <f>IF(Table2[[#This Row],[Table Lookup for Funeral]]=0,0,IFERROR(INDEX('Quotation Tool'!$S$54:$V$60,MATCH($T516,'Quotation Tool'!$S$54:$S$60,0),3),0))</f>
        <v>0</v>
      </c>
      <c r="Q516" s="288">
        <f ca="1">IF(OR(Table2[[#This Row],[Benefit Name]]="My Value Plus Life - Main Member",Table2[[#This Row],[Benefit Name]]="My Value Plus Life - Spouse"),0,
IFERROR(VLOOKUP($G516,INDIRECT($O516),$P516,FALSE),0))</f>
        <v>0</v>
      </c>
      <c r="R516" s="288">
        <f ca="1">IF(OR(Table2[[#This Row],[Benefit Name]]="My Value Plus Life - Main Member",Table2[[#This Row],[Benefit Name]]="My Value Plus Life - Spouse"),0,
IFERROR(VLOOKUP($G516,INDIRECT($O516),$P516+1,FALSE),0))</f>
        <v>0</v>
      </c>
      <c r="S516" s="289">
        <f t="shared" ca="1" si="52"/>
        <v>0</v>
      </c>
      <c r="T516" s="284" t="str">
        <f>IF(Table13[[#This Row],[Premium Waiver]]="","None",Table13[[#This Row],[Premium Waiver]])</f>
        <v>None</v>
      </c>
      <c r="U516" s="284">
        <f>Table13[[#This Row],[VAPs Options]]</f>
        <v>0</v>
      </c>
      <c r="V516" s="284">
        <f>Table13[[#This Row],[Annual Increase Option]]</f>
        <v>0</v>
      </c>
      <c r="W516" s="290">
        <f>Table13[[#This Row],[Life Cover Amount]]</f>
        <v>0</v>
      </c>
      <c r="X516" s="290">
        <f>Table13[[#This Row],[Funeral Cover Amount]]</f>
        <v>0</v>
      </c>
      <c r="Y51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1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16" s="301">
        <f t="shared" ca="1" si="53"/>
        <v>0</v>
      </c>
      <c r="AB516" s="298"/>
      <c r="AC516" s="326" t="str">
        <f>IF(Table2[[#This Row],[Member Type]]="Main Member",Lookups!$C$13,
IF(Table2[[#This Row],[Member Type]]="Spouse",_xlfn.XLOOKUP(B516,Table2[Main Member Link ID],Table2[Product Option],0),
IF(AND(Table2[[#This Row],[Member Type]]="Child",_xlfn.XLOOKUP(B516,Table2[Main Member Link ID],Table2[Product Option],0)&lt;&gt;"My Value Plus Life"),Lookups!$C$24,
IF(AND(OR(Table2[[#This Row],[Member Type]]="Parent",Table2[[#This Row],[Member Type]]="Extended"),_xlfn.XLOOKUP(B516,Table2[Main Member Link ID],Table2[Product Option],0)&lt;&gt;"My Value Plus Life"),Lookups!$C$26,""))))</f>
        <v/>
      </c>
      <c r="AD516" s="326" t="str">
        <f>IF(Table2[[#This Row],[Member Type]]="Main Member",Lookups!$C$14,"")</f>
        <v/>
      </c>
      <c r="AE51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Funeral",_xlfn.XLOOKUP(B516,Table2[Main Member Link ID],Table2[Benefit Name],0)=Lookups!$D$14),"",
IF(AND(Table2[[#This Row],[Member Type]]="Spouse",Table2[[#This Row],[Product Option]]="My Value Plus Life &amp; Funeral",_xlfn.XLOOKUP(B515,Table2[Main Member Link ID],Table2[Benefit Name],0)=Lookups!$D$15),Lookups!$D$20,
IF(AND(Table2[[#This Row],[Member Type]]="Spouse",Table2[[#This Row],[Product Option]]="My Value Plus Life &amp; Funeral",_xlfn.XLOOKUP(B515,Table2[Main Member Link ID],Table2[Benefit Name],0)=Lookups!$D$16),"",
IF(AND(Table2[[#This Row],[Member Type]]="Spouse",Table2[[#This Row],[Product Option]]="My Value Plus Life &amp; Funeral",_xlfn.XLOOKUP(B515,Table2[Main Member Link ID],Table2[Benefit Name],0)=Lookups!$D$17),Lookups!$D$21,
IF(AND(Table2[[#This Row],[Member Type]]="Child",Table2[[#This Row],[Product Option]]="My Value Plus Life &amp; Funeral",_xlfn.XLOOKUP(B516,Table2[Main Member Link ID],Table2[Benefit Name],0)=Lookups!$D$14),"",
IF(AND(Table2[[#This Row],[Member Type]]="Child",Table2[[#This Row],[Product Option]]="My Value Plus Life &amp; Funeral",_xlfn.XLOOKUP(B516,Table2[Main Member Link ID],Table2[Benefit Name],0)=Lookups!$D$15),"",
IF(AND(Table2[[#This Row],[Member Type]]="Child",Table2[[#This Row],[Product Option]]="My Value Plus Life &amp; Funeral",_xlfn.XLOOKUP(B516,Table2[Main Member Link ID],Table2[Benefit Name],0)=Lookups!$D$16),Lookups!$D$24,
IF(AND(Table2[[#This Row],[Member Type]]="Child",Table2[[#This Row],[Product Option]]="My Value Plus Life &amp; Funeral",_xlfn.XLOOKUP(B516,Table2[Main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Funeral",_xlfn.XLOOKUP(B516,Table2[Main Member Link ID],Table2[Benefit Name],0)&lt;&gt;Lookups!$D$14),
IF(_xlfn.XLOOKUP(B516,Table2[Main Member Link ID],Table2[Benefit Name],0)=0,"",_xlfn.XLOOKUP(B516,Table2[Main Member Link ID],Table2[Benefit Name],0)),"")))))))))))))))</f>
        <v/>
      </c>
      <c r="AF516" s="327" t="str">
        <f>IF(AND(Table2[[#This Row],[Member Type]]="Main Member",Table2[[#This Row],[Product Option]]="My Value Plus Life &amp; Funeral"),Lookups!$D$15,
IF(AND(Table2[[#This Row],[Member Type]]="Spouse",Table2[[#This Row],[Product Option]]="My Value Plus Life &amp; Funeral",_xlfn.XLOOKUP(B516,Table2[Main Member Link ID],Table2[Benefit Name],0)=Lookups!$D$14),"",
IF(AND(Table2[[#This Row],[Member Type]]="Spouse",Table2[[#This Row],[Product Option]]="My Value Plus Life &amp; Funeral",_xlfn.XLOOKUP(B515,Table2[Main Member Link ID],Table2[Benefit Name],0)=Lookups!$D$16),"",
IF(AND(Table2[[#This Row],[Member Type]]="Spouse",Table2[[#This Row],[Product Option]]="My Value Plus Life &amp; Funeral",_xlfn.XLOOKUP(B515,Table2[Main Member Link ID],Table2[Benefit Name],0)=Lookups!$D$15),"",
IF(AND(Table2[[#This Row],[Member Type]]="Spouse",Table2[[#This Row],[Product Option]]="My Value Plus Life &amp; Funeral",_xlfn.XLOOKUP(B515,Table2[Main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Funeral",_xlfn.XLOOKUP(B516,Table2[Main Member Link ID],Table2[Benefit Name],0)&lt;&gt;Lookups!$D$15),
IF(_xlfn.XLOOKUP(B516,Table2[Main Member Link ID],Table2[Benefit Name],0)=0,"",_xlfn.XLOOKUP(B516,Table2[Main Member Link ID],Table2[Benefit Name],0)),"")
))))))</f>
        <v/>
      </c>
      <c r="AG516" s="327" t="str">
        <f>IF(AND(Table2[[#This Row],[Member Type]]="Main Member",Table2[[#This Row],[Product Option]]="My Value Plus Life &amp; Funeral"),Lookups!$D$16,
IF(AND(Table2[[#This Row],[Member Type]]="Spouse",Table2[[#This Row],[Product Option]]="My Value Plus Life &amp; Funeral",_xlfn.XLOOKUP(B516,Table2[Main Member Link ID],Table2[Benefit Name],0)=Lookups!$D$14),"",
IF(AND(Table2[[#This Row],[Member Type]]="Spouse",Table2[[#This Row],[Product Option]]="My Value Plus Life &amp; Funeral",_xlfn.XLOOKUP(B515,Table2[Main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Funeral",_xlfn.XLOOKUP(B516,Table2[Main Member Link ID],Table2[Benefit Name],0)&lt;&gt;Lookups!$D$16),
IF(_xlfn.XLOOKUP(B516,Table2[Main Member Link ID],Table2[Benefit Name],0)=0,"",_xlfn.XLOOKUP(B516,Table2[Main Member Link ID],Table2[Benefit Name],0)),"")
))))</f>
        <v/>
      </c>
      <c r="AH516" s="327" t="str">
        <f>IF(AND(Table2[[#This Row],[Member Type]]="Main Member",Table2[[#This Row],[Product Option]]="My Value Plus Life &amp; Funeral"),Lookups!$D$17,
IF(AND(Table2[[#This Row],[Member Type]]="Spouse",Table2[[#This Row],[Product Option]]="My Value Plus Life &amp; Funeral",_xlfn.XLOOKUP(B516,Table2[Main Member Link ID],Table2[Benefit Name],0)=Lookups!$D$14),"",
IF(AND(Table2[[#This Row],[Member Type]]="Spouse",Table2[[#This Row],[Product Option]]="My Value Plus Life &amp; Funeral",_xlfn.XLOOKUP(B515,Table2[Main Member Link ID],Table2[Benefit Name],0)=Lookups!$D$16),"",
IF(AND(Table2[[#This Row],[Member Type]]="Child",Table2[[#This Row],[Product Option]]="My Value Plus Life &amp; Funeral"),"",
IF(AND(Table2[[#This Row],[Member Type]]="Child",Table2[[#This Row],[Product Option]]="My Value Plus Life &amp; Funeral",_xlfn.XLOOKUP(B516,Table2[Main Member Link ID],Table2[Benefit Name],0)=Lookups!$D$15),"",
IF(AND(OR(Table2[[#This Row],[Member Type]]="Spouse",Table2[[#This Row],[Member Type]]="Child"),Table2[[#This Row],[Product Option]]="My Value Plus Life &amp; Funeral",_xlfn.XLOOKUP(B516,Table2[Main Member Link ID],Table2[Benefit Name],0)&lt;&gt;Lookups!$D$17),
IF(_xlfn.XLOOKUP(B516,Table2[Main Member Link ID],Table2[Benefit Name],0)=0,"",_xlfn.XLOOKUP(B516,Table2[Main Member Link ID],Table2[Benefit Name],0)),""))))))</f>
        <v/>
      </c>
      <c r="AI516" s="328" t="str">
        <f>IF(AND(Table2[[#This Row],[Member Type]]="Main Member",Table2[[#This Row],[Table Lookup for Life Cover]]="MM_LIFE",Table2[[#This Row],[Age Next Birthday]]&lt;56),1,
IF(AND(Table2[[#This Row],[Member Type]]="Main Member",Table2[[#This Row],[Table Lookup for Life Cover]]="MM_LIFE",Table2[[#This Row],[Age Next Birthday]]&gt;=56),2,
""))</f>
        <v/>
      </c>
      <c r="AJ516" s="328">
        <f>IF(OR(Table2[[#This Row],[Member Type]]="Main Member",Table2[[#This Row],[Main Member Link ID]]=B515),1,0)</f>
        <v>1</v>
      </c>
      <c r="AK516" s="328">
        <f>IF(Table2[[#This Row],[Member Type]]=0,0,
IF(OR(Table2[[#This Row],[Member Type]]="Main Member",Table2[[#This Row],[Main Member Link ID]]&lt;&gt;B516),COUNTIFS(B:B,Table2[[#This Row],[Main Member Link ID]]),
COUNTIFS(B:B,Table2[[#This Row],[Main Member Link ID]],A:A,Table2[[#This Row],[Member Type]])))</f>
        <v>0</v>
      </c>
    </row>
    <row r="517" spans="1:37" x14ac:dyDescent="0.3">
      <c r="A517" s="284">
        <f>Table13[[#This Row],[Member Type]]</f>
        <v>0</v>
      </c>
      <c r="B517" s="284">
        <f>Table13[[#This Row],[Main Member Link ID]]</f>
        <v>0</v>
      </c>
      <c r="C517" s="284">
        <f>Table13[[#This Row],[ID Number]]</f>
        <v>0</v>
      </c>
      <c r="D517" s="285">
        <f>Table13[[#This Row],[Date Of Birth]]</f>
        <v>0</v>
      </c>
      <c r="E517" s="285">
        <f>Table13[[#This Row],[Commencement Date]]</f>
        <v>0</v>
      </c>
      <c r="F517" s="284">
        <f t="shared" ref="F517:F580" si="56">IF(D517="","",
IF(OR($A517="Main Member",$A517="Spouse",$A517="Child"),IFERROR(IF((IF($D517="",-1,DATEDIF($D517,$E517,"Y"))+1)&gt;75,"Max age",IF($D517="",-1,DATEDIF($D517,$E517,"Y"))+1),FALSE),
IFERROR(IF((IF($D517="",-1,DATEDIF($D517,$E517,"Y"))+1)&gt;75,"Max age",IF($D517="",-1,DATEDIF($D517,$E517,"Y"))+1),FALSE)))</f>
        <v>1</v>
      </c>
      <c r="G517" s="284">
        <f t="shared" ref="G517:G580" si="57">IF(F517="","",
IF(F517="Max age","Max age",
IF(OR($A517="Main Member",$A517="Spouse",$A517="Child"),IF($F517=0,"",IF($F517&lt;26,25,IF($F517&lt;36,35,IF($F517&lt;46,45,IF($F517&lt;51,50,IF($F517&lt;56,55,IF($F517&lt;61,60,IF($F517&lt;66,65,IF($F517&lt;71,70,IF($F517&lt;76,75)))))))))),
IF($F517=0,"",IF($F517&lt;26,25,IF($F517&lt;36,35,IF($F517&lt;46,45,IF($F517&lt;51,50,IF($F517&lt;56,55,IF($F517&lt;61,60,IF($F517&lt;66,65,IF($F517&lt;71,70,IF($F517&lt;76,75)))))))))))))</f>
        <v>25</v>
      </c>
      <c r="H517" s="286">
        <f>Table13[[#This Row],[Product Option]]</f>
        <v>0</v>
      </c>
      <c r="I517" s="284">
        <f>IF(AND($A517="Main Member",Table2[[#This Row],[Product Option]]="My Value Plus Life"),"MM_LIFE",
IF(AND($A517="Spouse",Table2[[#This Row],[Product Option]]="My Value Plus Life"),"SP_LIFE",
IF(AND($A517="Main Member",Table2[[#This Row],[Product Option]]="My Value Plus Life &amp; Funeral"),"MM_LIFE",
IF(AND($A517="Spouse",Table2[[#This Row],[Product Option]]="My Value Plus Life &amp; Funeral"),_xlfn.XLOOKUP(Table2[[#This Row],[Benefit Name]],Lookups!$D$18:$D$23,Lookups!$E$18:$E$23,0),
0))))</f>
        <v>0</v>
      </c>
      <c r="J517" s="284">
        <f>IF($I517="","",
IF($I517="MM_LIFE",INDEX('Quotation Tool'!$S$54:$V$60,MATCH($T517,'Quotation Tool'!$S$54:$S$60,0),4),
IF($I517="SP_LIFE",_xlfn.XLOOKUP(B516,$B:$B,$J:$J,0),0)))</f>
        <v>0</v>
      </c>
      <c r="K517" s="287">
        <f t="shared" ca="1" si="54"/>
        <v>0</v>
      </c>
      <c r="L517" s="288">
        <f t="shared" ca="1" si="55"/>
        <v>0</v>
      </c>
      <c r="M517" s="289">
        <f t="shared" ref="M517:M580" ca="1" si="58">K517+L517/1000*W517</f>
        <v>0</v>
      </c>
      <c r="N517" s="286">
        <f>Table13[[#This Row],[Benefit Option]]</f>
        <v>0</v>
      </c>
      <c r="O517" s="284">
        <f>IF(OR(Table2[[#This Row],[Member Type]]="Spouse",Table2[[#This Row],[Member Type]]="Child"),0,
IF(_xlfn.XLOOKUP($N517,Lookups!$D$13:$D$27,Lookups!$F$13:$F$27,0)=Table2[[#This Row],[Table Lookup for Life Cover]],0,
_xlfn.XLOOKUP($N517,Lookups!$D$13:$D$27,Lookups!$F$13:$F$27,0)))</f>
        <v>0</v>
      </c>
      <c r="P517" s="284">
        <f>IF(Table2[[#This Row],[Table Lookup for Funeral]]=0,0,IFERROR(INDEX('Quotation Tool'!$S$54:$V$60,MATCH($T517,'Quotation Tool'!$S$54:$S$60,0),3),0))</f>
        <v>0</v>
      </c>
      <c r="Q517" s="288">
        <f ca="1">IF(OR(Table2[[#This Row],[Benefit Name]]="My Value Plus Life - Main Member",Table2[[#This Row],[Benefit Name]]="My Value Plus Life - Spouse"),0,
IFERROR(VLOOKUP($G517,INDIRECT($O517),$P517,FALSE),0))</f>
        <v>0</v>
      </c>
      <c r="R517" s="288">
        <f ca="1">IF(OR(Table2[[#This Row],[Benefit Name]]="My Value Plus Life - Main Member",Table2[[#This Row],[Benefit Name]]="My Value Plus Life - Spouse"),0,
IFERROR(VLOOKUP($G517,INDIRECT($O517),$P517+1,FALSE),0))</f>
        <v>0</v>
      </c>
      <c r="S517" s="289">
        <f t="shared" ref="S517:S580" ca="1" si="59">Q517+R517/1000*X517</f>
        <v>0</v>
      </c>
      <c r="T517" s="284" t="str">
        <f>IF(Table13[[#This Row],[Premium Waiver]]="","None",Table13[[#This Row],[Premium Waiver]])</f>
        <v>None</v>
      </c>
      <c r="U517" s="284">
        <f>Table13[[#This Row],[VAPs Options]]</f>
        <v>0</v>
      </c>
      <c r="V517" s="284">
        <f>Table13[[#This Row],[Annual Increase Option]]</f>
        <v>0</v>
      </c>
      <c r="W517" s="290">
        <f>Table13[[#This Row],[Life Cover Amount]]</f>
        <v>0</v>
      </c>
      <c r="X517" s="290">
        <f>Table13[[#This Row],[Funeral Cover Amount]]</f>
        <v>0</v>
      </c>
      <c r="Y51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1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17" s="301">
        <f t="shared" ref="AA517:AA580" ca="1" si="60">S517+M517</f>
        <v>0</v>
      </c>
      <c r="AB517" s="298"/>
      <c r="AC517" s="326" t="str">
        <f>IF(Table2[[#This Row],[Member Type]]="Main Member",Lookups!$C$13,
IF(Table2[[#This Row],[Member Type]]="Spouse",_xlfn.XLOOKUP(B517,Table2[Main Member Link ID],Table2[Product Option],0),
IF(AND(Table2[[#This Row],[Member Type]]="Child",_xlfn.XLOOKUP(B517,Table2[Main Member Link ID],Table2[Product Option],0)&lt;&gt;"My Value Plus Life"),Lookups!$C$24,
IF(AND(OR(Table2[[#This Row],[Member Type]]="Parent",Table2[[#This Row],[Member Type]]="Extended"),_xlfn.XLOOKUP(B517,Table2[Main Member Link ID],Table2[Product Option],0)&lt;&gt;"My Value Plus Life"),Lookups!$C$26,""))))</f>
        <v/>
      </c>
      <c r="AD517" s="326" t="str">
        <f>IF(Table2[[#This Row],[Member Type]]="Main Member",Lookups!$C$14,"")</f>
        <v/>
      </c>
      <c r="AE51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Funeral",_xlfn.XLOOKUP(B517,Table2[Main Member Link ID],Table2[Benefit Name],0)=Lookups!$D$14),"",
IF(AND(Table2[[#This Row],[Member Type]]="Spouse",Table2[[#This Row],[Product Option]]="My Value Plus Life &amp; Funeral",_xlfn.XLOOKUP(B516,Table2[Main Member Link ID],Table2[Benefit Name],0)=Lookups!$D$15),Lookups!$D$20,
IF(AND(Table2[[#This Row],[Member Type]]="Spouse",Table2[[#This Row],[Product Option]]="My Value Plus Life &amp; Funeral",_xlfn.XLOOKUP(B516,Table2[Main Member Link ID],Table2[Benefit Name],0)=Lookups!$D$16),"",
IF(AND(Table2[[#This Row],[Member Type]]="Spouse",Table2[[#This Row],[Product Option]]="My Value Plus Life &amp; Funeral",_xlfn.XLOOKUP(B516,Table2[Main Member Link ID],Table2[Benefit Name],0)=Lookups!$D$17),Lookups!$D$21,
IF(AND(Table2[[#This Row],[Member Type]]="Child",Table2[[#This Row],[Product Option]]="My Value Plus Life &amp; Funeral",_xlfn.XLOOKUP(B517,Table2[Main Member Link ID],Table2[Benefit Name],0)=Lookups!$D$14),"",
IF(AND(Table2[[#This Row],[Member Type]]="Child",Table2[[#This Row],[Product Option]]="My Value Plus Life &amp; Funeral",_xlfn.XLOOKUP(B517,Table2[Main Member Link ID],Table2[Benefit Name],0)=Lookups!$D$15),"",
IF(AND(Table2[[#This Row],[Member Type]]="Child",Table2[[#This Row],[Product Option]]="My Value Plus Life &amp; Funeral",_xlfn.XLOOKUP(B517,Table2[Main Member Link ID],Table2[Benefit Name],0)=Lookups!$D$16),Lookups!$D$24,
IF(AND(Table2[[#This Row],[Member Type]]="Child",Table2[[#This Row],[Product Option]]="My Value Plus Life &amp; Funeral",_xlfn.XLOOKUP(B517,Table2[Main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Funeral",_xlfn.XLOOKUP(B517,Table2[Main Member Link ID],Table2[Benefit Name],0)&lt;&gt;Lookups!$D$14),
IF(_xlfn.XLOOKUP(B517,Table2[Main Member Link ID],Table2[Benefit Name],0)=0,"",_xlfn.XLOOKUP(B517,Table2[Main Member Link ID],Table2[Benefit Name],0)),"")))))))))))))))</f>
        <v/>
      </c>
      <c r="AF517" s="327" t="str">
        <f>IF(AND(Table2[[#This Row],[Member Type]]="Main Member",Table2[[#This Row],[Product Option]]="My Value Plus Life &amp; Funeral"),Lookups!$D$15,
IF(AND(Table2[[#This Row],[Member Type]]="Spouse",Table2[[#This Row],[Product Option]]="My Value Plus Life &amp; Funeral",_xlfn.XLOOKUP(B517,Table2[Main Member Link ID],Table2[Benefit Name],0)=Lookups!$D$14),"",
IF(AND(Table2[[#This Row],[Member Type]]="Spouse",Table2[[#This Row],[Product Option]]="My Value Plus Life &amp; Funeral",_xlfn.XLOOKUP(B516,Table2[Main Member Link ID],Table2[Benefit Name],0)=Lookups!$D$16),"",
IF(AND(Table2[[#This Row],[Member Type]]="Spouse",Table2[[#This Row],[Product Option]]="My Value Plus Life &amp; Funeral",_xlfn.XLOOKUP(B516,Table2[Main Member Link ID],Table2[Benefit Name],0)=Lookups!$D$15),"",
IF(AND(Table2[[#This Row],[Member Type]]="Spouse",Table2[[#This Row],[Product Option]]="My Value Plus Life &amp; Funeral",_xlfn.XLOOKUP(B516,Table2[Main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Funeral",_xlfn.XLOOKUP(B517,Table2[Main Member Link ID],Table2[Benefit Name],0)&lt;&gt;Lookups!$D$15),
IF(_xlfn.XLOOKUP(B517,Table2[Main Member Link ID],Table2[Benefit Name],0)=0,"",_xlfn.XLOOKUP(B517,Table2[Main Member Link ID],Table2[Benefit Name],0)),"")
))))))</f>
        <v/>
      </c>
      <c r="AG517" s="327" t="str">
        <f>IF(AND(Table2[[#This Row],[Member Type]]="Main Member",Table2[[#This Row],[Product Option]]="My Value Plus Life &amp; Funeral"),Lookups!$D$16,
IF(AND(Table2[[#This Row],[Member Type]]="Spouse",Table2[[#This Row],[Product Option]]="My Value Plus Life &amp; Funeral",_xlfn.XLOOKUP(B517,Table2[Main Member Link ID],Table2[Benefit Name],0)=Lookups!$D$14),"",
IF(AND(Table2[[#This Row],[Member Type]]="Spouse",Table2[[#This Row],[Product Option]]="My Value Plus Life &amp; Funeral",_xlfn.XLOOKUP(B516,Table2[Main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Funeral",_xlfn.XLOOKUP(B517,Table2[Main Member Link ID],Table2[Benefit Name],0)&lt;&gt;Lookups!$D$16),
IF(_xlfn.XLOOKUP(B517,Table2[Main Member Link ID],Table2[Benefit Name],0)=0,"",_xlfn.XLOOKUP(B517,Table2[Main Member Link ID],Table2[Benefit Name],0)),"")
))))</f>
        <v/>
      </c>
      <c r="AH517" s="327" t="str">
        <f>IF(AND(Table2[[#This Row],[Member Type]]="Main Member",Table2[[#This Row],[Product Option]]="My Value Plus Life &amp; Funeral"),Lookups!$D$17,
IF(AND(Table2[[#This Row],[Member Type]]="Spouse",Table2[[#This Row],[Product Option]]="My Value Plus Life &amp; Funeral",_xlfn.XLOOKUP(B517,Table2[Main Member Link ID],Table2[Benefit Name],0)=Lookups!$D$14),"",
IF(AND(Table2[[#This Row],[Member Type]]="Spouse",Table2[[#This Row],[Product Option]]="My Value Plus Life &amp; Funeral",_xlfn.XLOOKUP(B516,Table2[Main Member Link ID],Table2[Benefit Name],0)=Lookups!$D$16),"",
IF(AND(Table2[[#This Row],[Member Type]]="Child",Table2[[#This Row],[Product Option]]="My Value Plus Life &amp; Funeral"),"",
IF(AND(Table2[[#This Row],[Member Type]]="Child",Table2[[#This Row],[Product Option]]="My Value Plus Life &amp; Funeral",_xlfn.XLOOKUP(B517,Table2[Main Member Link ID],Table2[Benefit Name],0)=Lookups!$D$15),"",
IF(AND(OR(Table2[[#This Row],[Member Type]]="Spouse",Table2[[#This Row],[Member Type]]="Child"),Table2[[#This Row],[Product Option]]="My Value Plus Life &amp; Funeral",_xlfn.XLOOKUP(B517,Table2[Main Member Link ID],Table2[Benefit Name],0)&lt;&gt;Lookups!$D$17),
IF(_xlfn.XLOOKUP(B517,Table2[Main Member Link ID],Table2[Benefit Name],0)=0,"",_xlfn.XLOOKUP(B517,Table2[Main Member Link ID],Table2[Benefit Name],0)),""))))))</f>
        <v/>
      </c>
      <c r="AI517" s="328" t="str">
        <f>IF(AND(Table2[[#This Row],[Member Type]]="Main Member",Table2[[#This Row],[Table Lookup for Life Cover]]="MM_LIFE",Table2[[#This Row],[Age Next Birthday]]&lt;56),1,
IF(AND(Table2[[#This Row],[Member Type]]="Main Member",Table2[[#This Row],[Table Lookup for Life Cover]]="MM_LIFE",Table2[[#This Row],[Age Next Birthday]]&gt;=56),2,
""))</f>
        <v/>
      </c>
      <c r="AJ517" s="328">
        <f>IF(OR(Table2[[#This Row],[Member Type]]="Main Member",Table2[[#This Row],[Main Member Link ID]]=B516),1,0)</f>
        <v>1</v>
      </c>
      <c r="AK517" s="328">
        <f>IF(Table2[[#This Row],[Member Type]]=0,0,
IF(OR(Table2[[#This Row],[Member Type]]="Main Member",Table2[[#This Row],[Main Member Link ID]]&lt;&gt;B517),COUNTIFS(B:B,Table2[[#This Row],[Main Member Link ID]]),
COUNTIFS(B:B,Table2[[#This Row],[Main Member Link ID]],A:A,Table2[[#This Row],[Member Type]])))</f>
        <v>0</v>
      </c>
    </row>
    <row r="518" spans="1:37" x14ac:dyDescent="0.3">
      <c r="A518" s="284">
        <f>Table13[[#This Row],[Member Type]]</f>
        <v>0</v>
      </c>
      <c r="B518" s="284">
        <f>Table13[[#This Row],[Main Member Link ID]]</f>
        <v>0</v>
      </c>
      <c r="C518" s="284">
        <f>Table13[[#This Row],[ID Number]]</f>
        <v>0</v>
      </c>
      <c r="D518" s="285">
        <f>Table13[[#This Row],[Date Of Birth]]</f>
        <v>0</v>
      </c>
      <c r="E518" s="285">
        <f>Table13[[#This Row],[Commencement Date]]</f>
        <v>0</v>
      </c>
      <c r="F518" s="284">
        <f t="shared" si="56"/>
        <v>1</v>
      </c>
      <c r="G518" s="284">
        <f t="shared" si="57"/>
        <v>25</v>
      </c>
      <c r="H518" s="286">
        <f>Table13[[#This Row],[Product Option]]</f>
        <v>0</v>
      </c>
      <c r="I518" s="284">
        <f>IF(AND($A518="Main Member",Table2[[#This Row],[Product Option]]="My Value Plus Life"),"MM_LIFE",
IF(AND($A518="Spouse",Table2[[#This Row],[Product Option]]="My Value Plus Life"),"SP_LIFE",
IF(AND($A518="Main Member",Table2[[#This Row],[Product Option]]="My Value Plus Life &amp; Funeral"),"MM_LIFE",
IF(AND($A518="Spouse",Table2[[#This Row],[Product Option]]="My Value Plus Life &amp; Funeral"),_xlfn.XLOOKUP(Table2[[#This Row],[Benefit Name]],Lookups!$D$18:$D$23,Lookups!$E$18:$E$23,0),
0))))</f>
        <v>0</v>
      </c>
      <c r="J518" s="284">
        <f>IF($I518="","",
IF($I518="MM_LIFE",INDEX('Quotation Tool'!$S$54:$V$60,MATCH($T518,'Quotation Tool'!$S$54:$S$60,0),4),
IF($I518="SP_LIFE",_xlfn.XLOOKUP(B517,$B:$B,$J:$J,0),0)))</f>
        <v>0</v>
      </c>
      <c r="K518" s="287">
        <f t="shared" ref="K518:K581" ca="1" si="61">IFERROR(VLOOKUP($G518,INDIRECT($I518),$J518,FALSE),0)</f>
        <v>0</v>
      </c>
      <c r="L518" s="288">
        <f t="shared" ref="L518:L581" ca="1" si="62">IFERROR(VLOOKUP($G518,INDIRECT($I518),$J518+1,FALSE),0)</f>
        <v>0</v>
      </c>
      <c r="M518" s="289">
        <f t="shared" ca="1" si="58"/>
        <v>0</v>
      </c>
      <c r="N518" s="286">
        <f>Table13[[#This Row],[Benefit Option]]</f>
        <v>0</v>
      </c>
      <c r="O518" s="284">
        <f>IF(OR(Table2[[#This Row],[Member Type]]="Spouse",Table2[[#This Row],[Member Type]]="Child"),0,
IF(_xlfn.XLOOKUP($N518,Lookups!$D$13:$D$27,Lookups!$F$13:$F$27,0)=Table2[[#This Row],[Table Lookup for Life Cover]],0,
_xlfn.XLOOKUP($N518,Lookups!$D$13:$D$27,Lookups!$F$13:$F$27,0)))</f>
        <v>0</v>
      </c>
      <c r="P518" s="284">
        <f>IF(Table2[[#This Row],[Table Lookup for Funeral]]=0,0,IFERROR(INDEX('Quotation Tool'!$S$54:$V$60,MATCH($T518,'Quotation Tool'!$S$54:$S$60,0),3),0))</f>
        <v>0</v>
      </c>
      <c r="Q518" s="288">
        <f ca="1">IF(OR(Table2[[#This Row],[Benefit Name]]="My Value Plus Life - Main Member",Table2[[#This Row],[Benefit Name]]="My Value Plus Life - Spouse"),0,
IFERROR(VLOOKUP($G518,INDIRECT($O518),$P518,FALSE),0))</f>
        <v>0</v>
      </c>
      <c r="R518" s="288">
        <f ca="1">IF(OR(Table2[[#This Row],[Benefit Name]]="My Value Plus Life - Main Member",Table2[[#This Row],[Benefit Name]]="My Value Plus Life - Spouse"),0,
IFERROR(VLOOKUP($G518,INDIRECT($O518),$P518+1,FALSE),0))</f>
        <v>0</v>
      </c>
      <c r="S518" s="289">
        <f t="shared" ca="1" si="59"/>
        <v>0</v>
      </c>
      <c r="T518" s="284" t="str">
        <f>IF(Table13[[#This Row],[Premium Waiver]]="","None",Table13[[#This Row],[Premium Waiver]])</f>
        <v>None</v>
      </c>
      <c r="U518" s="284">
        <f>Table13[[#This Row],[VAPs Options]]</f>
        <v>0</v>
      </c>
      <c r="V518" s="284">
        <f>Table13[[#This Row],[Annual Increase Option]]</f>
        <v>0</v>
      </c>
      <c r="W518" s="290">
        <f>Table13[[#This Row],[Life Cover Amount]]</f>
        <v>0</v>
      </c>
      <c r="X518" s="290">
        <f>Table13[[#This Row],[Funeral Cover Amount]]</f>
        <v>0</v>
      </c>
      <c r="Y51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1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18" s="301">
        <f t="shared" ca="1" si="60"/>
        <v>0</v>
      </c>
      <c r="AB518" s="298"/>
      <c r="AC518" s="326" t="str">
        <f>IF(Table2[[#This Row],[Member Type]]="Main Member",Lookups!$C$13,
IF(Table2[[#This Row],[Member Type]]="Spouse",_xlfn.XLOOKUP(B518,Table2[Main Member Link ID],Table2[Product Option],0),
IF(AND(Table2[[#This Row],[Member Type]]="Child",_xlfn.XLOOKUP(B518,Table2[Main Member Link ID],Table2[Product Option],0)&lt;&gt;"My Value Plus Life"),Lookups!$C$24,
IF(AND(OR(Table2[[#This Row],[Member Type]]="Parent",Table2[[#This Row],[Member Type]]="Extended"),_xlfn.XLOOKUP(B518,Table2[Main Member Link ID],Table2[Product Option],0)&lt;&gt;"My Value Plus Life"),Lookups!$C$26,""))))</f>
        <v/>
      </c>
      <c r="AD518" s="326" t="str">
        <f>IF(Table2[[#This Row],[Member Type]]="Main Member",Lookups!$C$14,"")</f>
        <v/>
      </c>
      <c r="AE51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Funeral",_xlfn.XLOOKUP(B518,Table2[Main Member Link ID],Table2[Benefit Name],0)=Lookups!$D$14),"",
IF(AND(Table2[[#This Row],[Member Type]]="Spouse",Table2[[#This Row],[Product Option]]="My Value Plus Life &amp; Funeral",_xlfn.XLOOKUP(B517,Table2[Main Member Link ID],Table2[Benefit Name],0)=Lookups!$D$15),Lookups!$D$20,
IF(AND(Table2[[#This Row],[Member Type]]="Spouse",Table2[[#This Row],[Product Option]]="My Value Plus Life &amp; Funeral",_xlfn.XLOOKUP(B517,Table2[Main Member Link ID],Table2[Benefit Name],0)=Lookups!$D$16),"",
IF(AND(Table2[[#This Row],[Member Type]]="Spouse",Table2[[#This Row],[Product Option]]="My Value Plus Life &amp; Funeral",_xlfn.XLOOKUP(B517,Table2[Main Member Link ID],Table2[Benefit Name],0)=Lookups!$D$17),Lookups!$D$21,
IF(AND(Table2[[#This Row],[Member Type]]="Child",Table2[[#This Row],[Product Option]]="My Value Plus Life &amp; Funeral",_xlfn.XLOOKUP(B518,Table2[Main Member Link ID],Table2[Benefit Name],0)=Lookups!$D$14),"",
IF(AND(Table2[[#This Row],[Member Type]]="Child",Table2[[#This Row],[Product Option]]="My Value Plus Life &amp; Funeral",_xlfn.XLOOKUP(B518,Table2[Main Member Link ID],Table2[Benefit Name],0)=Lookups!$D$15),"",
IF(AND(Table2[[#This Row],[Member Type]]="Child",Table2[[#This Row],[Product Option]]="My Value Plus Life &amp; Funeral",_xlfn.XLOOKUP(B518,Table2[Main Member Link ID],Table2[Benefit Name],0)=Lookups!$D$16),Lookups!$D$24,
IF(AND(Table2[[#This Row],[Member Type]]="Child",Table2[[#This Row],[Product Option]]="My Value Plus Life &amp; Funeral",_xlfn.XLOOKUP(B518,Table2[Main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Funeral",_xlfn.XLOOKUP(B518,Table2[Main Member Link ID],Table2[Benefit Name],0)&lt;&gt;Lookups!$D$14),
IF(_xlfn.XLOOKUP(B518,Table2[Main Member Link ID],Table2[Benefit Name],0)=0,"",_xlfn.XLOOKUP(B518,Table2[Main Member Link ID],Table2[Benefit Name],0)),"")))))))))))))))</f>
        <v/>
      </c>
      <c r="AF518" s="327" t="str">
        <f>IF(AND(Table2[[#This Row],[Member Type]]="Main Member",Table2[[#This Row],[Product Option]]="My Value Plus Life &amp; Funeral"),Lookups!$D$15,
IF(AND(Table2[[#This Row],[Member Type]]="Spouse",Table2[[#This Row],[Product Option]]="My Value Plus Life &amp; Funeral",_xlfn.XLOOKUP(B518,Table2[Main Member Link ID],Table2[Benefit Name],0)=Lookups!$D$14),"",
IF(AND(Table2[[#This Row],[Member Type]]="Spouse",Table2[[#This Row],[Product Option]]="My Value Plus Life &amp; Funeral",_xlfn.XLOOKUP(B517,Table2[Main Member Link ID],Table2[Benefit Name],0)=Lookups!$D$16),"",
IF(AND(Table2[[#This Row],[Member Type]]="Spouse",Table2[[#This Row],[Product Option]]="My Value Plus Life &amp; Funeral",_xlfn.XLOOKUP(B517,Table2[Main Member Link ID],Table2[Benefit Name],0)=Lookups!$D$15),"",
IF(AND(Table2[[#This Row],[Member Type]]="Spouse",Table2[[#This Row],[Product Option]]="My Value Plus Life &amp; Funeral",_xlfn.XLOOKUP(B517,Table2[Main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Funeral",_xlfn.XLOOKUP(B518,Table2[Main Member Link ID],Table2[Benefit Name],0)&lt;&gt;Lookups!$D$15),
IF(_xlfn.XLOOKUP(B518,Table2[Main Member Link ID],Table2[Benefit Name],0)=0,"",_xlfn.XLOOKUP(B518,Table2[Main Member Link ID],Table2[Benefit Name],0)),"")
))))))</f>
        <v/>
      </c>
      <c r="AG518" s="327" t="str">
        <f>IF(AND(Table2[[#This Row],[Member Type]]="Main Member",Table2[[#This Row],[Product Option]]="My Value Plus Life &amp; Funeral"),Lookups!$D$16,
IF(AND(Table2[[#This Row],[Member Type]]="Spouse",Table2[[#This Row],[Product Option]]="My Value Plus Life &amp; Funeral",_xlfn.XLOOKUP(B518,Table2[Main Member Link ID],Table2[Benefit Name],0)=Lookups!$D$14),"",
IF(AND(Table2[[#This Row],[Member Type]]="Spouse",Table2[[#This Row],[Product Option]]="My Value Plus Life &amp; Funeral",_xlfn.XLOOKUP(B517,Table2[Main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Funeral",_xlfn.XLOOKUP(B518,Table2[Main Member Link ID],Table2[Benefit Name],0)&lt;&gt;Lookups!$D$16),
IF(_xlfn.XLOOKUP(B518,Table2[Main Member Link ID],Table2[Benefit Name],0)=0,"",_xlfn.XLOOKUP(B518,Table2[Main Member Link ID],Table2[Benefit Name],0)),"")
))))</f>
        <v/>
      </c>
      <c r="AH518" s="327" t="str">
        <f>IF(AND(Table2[[#This Row],[Member Type]]="Main Member",Table2[[#This Row],[Product Option]]="My Value Plus Life &amp; Funeral"),Lookups!$D$17,
IF(AND(Table2[[#This Row],[Member Type]]="Spouse",Table2[[#This Row],[Product Option]]="My Value Plus Life &amp; Funeral",_xlfn.XLOOKUP(B518,Table2[Main Member Link ID],Table2[Benefit Name],0)=Lookups!$D$14),"",
IF(AND(Table2[[#This Row],[Member Type]]="Spouse",Table2[[#This Row],[Product Option]]="My Value Plus Life &amp; Funeral",_xlfn.XLOOKUP(B517,Table2[Main Member Link ID],Table2[Benefit Name],0)=Lookups!$D$16),"",
IF(AND(Table2[[#This Row],[Member Type]]="Child",Table2[[#This Row],[Product Option]]="My Value Plus Life &amp; Funeral"),"",
IF(AND(Table2[[#This Row],[Member Type]]="Child",Table2[[#This Row],[Product Option]]="My Value Plus Life &amp; Funeral",_xlfn.XLOOKUP(B518,Table2[Main Member Link ID],Table2[Benefit Name],0)=Lookups!$D$15),"",
IF(AND(OR(Table2[[#This Row],[Member Type]]="Spouse",Table2[[#This Row],[Member Type]]="Child"),Table2[[#This Row],[Product Option]]="My Value Plus Life &amp; Funeral",_xlfn.XLOOKUP(B518,Table2[Main Member Link ID],Table2[Benefit Name],0)&lt;&gt;Lookups!$D$17),
IF(_xlfn.XLOOKUP(B518,Table2[Main Member Link ID],Table2[Benefit Name],0)=0,"",_xlfn.XLOOKUP(B518,Table2[Main Member Link ID],Table2[Benefit Name],0)),""))))))</f>
        <v/>
      </c>
      <c r="AI518" s="328" t="str">
        <f>IF(AND(Table2[[#This Row],[Member Type]]="Main Member",Table2[[#This Row],[Table Lookup for Life Cover]]="MM_LIFE",Table2[[#This Row],[Age Next Birthday]]&lt;56),1,
IF(AND(Table2[[#This Row],[Member Type]]="Main Member",Table2[[#This Row],[Table Lookup for Life Cover]]="MM_LIFE",Table2[[#This Row],[Age Next Birthday]]&gt;=56),2,
""))</f>
        <v/>
      </c>
      <c r="AJ518" s="328">
        <f>IF(OR(Table2[[#This Row],[Member Type]]="Main Member",Table2[[#This Row],[Main Member Link ID]]=B517),1,0)</f>
        <v>1</v>
      </c>
      <c r="AK518" s="328">
        <f>IF(Table2[[#This Row],[Member Type]]=0,0,
IF(OR(Table2[[#This Row],[Member Type]]="Main Member",Table2[[#This Row],[Main Member Link ID]]&lt;&gt;B518),COUNTIFS(B:B,Table2[[#This Row],[Main Member Link ID]]),
COUNTIFS(B:B,Table2[[#This Row],[Main Member Link ID]],A:A,Table2[[#This Row],[Member Type]])))</f>
        <v>0</v>
      </c>
    </row>
    <row r="519" spans="1:37" x14ac:dyDescent="0.3">
      <c r="A519" s="284">
        <f>Table13[[#This Row],[Member Type]]</f>
        <v>0</v>
      </c>
      <c r="B519" s="284">
        <f>Table13[[#This Row],[Main Member Link ID]]</f>
        <v>0</v>
      </c>
      <c r="C519" s="284">
        <f>Table13[[#This Row],[ID Number]]</f>
        <v>0</v>
      </c>
      <c r="D519" s="285">
        <f>Table13[[#This Row],[Date Of Birth]]</f>
        <v>0</v>
      </c>
      <c r="E519" s="285">
        <f>Table13[[#This Row],[Commencement Date]]</f>
        <v>0</v>
      </c>
      <c r="F519" s="284">
        <f t="shared" si="56"/>
        <v>1</v>
      </c>
      <c r="G519" s="284">
        <f t="shared" si="57"/>
        <v>25</v>
      </c>
      <c r="H519" s="286">
        <f>Table13[[#This Row],[Product Option]]</f>
        <v>0</v>
      </c>
      <c r="I519" s="284">
        <f>IF(AND($A519="Main Member",Table2[[#This Row],[Product Option]]="My Value Plus Life"),"MM_LIFE",
IF(AND($A519="Spouse",Table2[[#This Row],[Product Option]]="My Value Plus Life"),"SP_LIFE",
IF(AND($A519="Main Member",Table2[[#This Row],[Product Option]]="My Value Plus Life &amp; Funeral"),"MM_LIFE",
IF(AND($A519="Spouse",Table2[[#This Row],[Product Option]]="My Value Plus Life &amp; Funeral"),_xlfn.XLOOKUP(Table2[[#This Row],[Benefit Name]],Lookups!$D$18:$D$23,Lookups!$E$18:$E$23,0),
0))))</f>
        <v>0</v>
      </c>
      <c r="J519" s="284">
        <f>IF($I519="","",
IF($I519="MM_LIFE",INDEX('Quotation Tool'!$S$54:$V$60,MATCH($T519,'Quotation Tool'!$S$54:$S$60,0),4),
IF($I519="SP_LIFE",_xlfn.XLOOKUP(B518,$B:$B,$J:$J,0),0)))</f>
        <v>0</v>
      </c>
      <c r="K519" s="287">
        <f t="shared" ca="1" si="61"/>
        <v>0</v>
      </c>
      <c r="L519" s="288">
        <f t="shared" ca="1" si="62"/>
        <v>0</v>
      </c>
      <c r="M519" s="289">
        <f t="shared" ca="1" si="58"/>
        <v>0</v>
      </c>
      <c r="N519" s="286">
        <f>Table13[[#This Row],[Benefit Option]]</f>
        <v>0</v>
      </c>
      <c r="O519" s="284">
        <f>IF(OR(Table2[[#This Row],[Member Type]]="Spouse",Table2[[#This Row],[Member Type]]="Child"),0,
IF(_xlfn.XLOOKUP($N519,Lookups!$D$13:$D$27,Lookups!$F$13:$F$27,0)=Table2[[#This Row],[Table Lookup for Life Cover]],0,
_xlfn.XLOOKUP($N519,Lookups!$D$13:$D$27,Lookups!$F$13:$F$27,0)))</f>
        <v>0</v>
      </c>
      <c r="P519" s="284">
        <f>IF(Table2[[#This Row],[Table Lookup for Funeral]]=0,0,IFERROR(INDEX('Quotation Tool'!$S$54:$V$60,MATCH($T519,'Quotation Tool'!$S$54:$S$60,0),3),0))</f>
        <v>0</v>
      </c>
      <c r="Q519" s="288">
        <f ca="1">IF(OR(Table2[[#This Row],[Benefit Name]]="My Value Plus Life - Main Member",Table2[[#This Row],[Benefit Name]]="My Value Plus Life - Spouse"),0,
IFERROR(VLOOKUP($G519,INDIRECT($O519),$P519,FALSE),0))</f>
        <v>0</v>
      </c>
      <c r="R519" s="288">
        <f ca="1">IF(OR(Table2[[#This Row],[Benefit Name]]="My Value Plus Life - Main Member",Table2[[#This Row],[Benefit Name]]="My Value Plus Life - Spouse"),0,
IFERROR(VLOOKUP($G519,INDIRECT($O519),$P519+1,FALSE),0))</f>
        <v>0</v>
      </c>
      <c r="S519" s="289">
        <f t="shared" ca="1" si="59"/>
        <v>0</v>
      </c>
      <c r="T519" s="284" t="str">
        <f>IF(Table13[[#This Row],[Premium Waiver]]="","None",Table13[[#This Row],[Premium Waiver]])</f>
        <v>None</v>
      </c>
      <c r="U519" s="284">
        <f>Table13[[#This Row],[VAPs Options]]</f>
        <v>0</v>
      </c>
      <c r="V519" s="284">
        <f>Table13[[#This Row],[Annual Increase Option]]</f>
        <v>0</v>
      </c>
      <c r="W519" s="290">
        <f>Table13[[#This Row],[Life Cover Amount]]</f>
        <v>0</v>
      </c>
      <c r="X519" s="290">
        <f>Table13[[#This Row],[Funeral Cover Amount]]</f>
        <v>0</v>
      </c>
      <c r="Y51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1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19" s="301">
        <f t="shared" ca="1" si="60"/>
        <v>0</v>
      </c>
      <c r="AB519" s="298"/>
      <c r="AC519" s="326" t="str">
        <f>IF(Table2[[#This Row],[Member Type]]="Main Member",Lookups!$C$13,
IF(Table2[[#This Row],[Member Type]]="Spouse",_xlfn.XLOOKUP(B519,Table2[Main Member Link ID],Table2[Product Option],0),
IF(AND(Table2[[#This Row],[Member Type]]="Child",_xlfn.XLOOKUP(B519,Table2[Main Member Link ID],Table2[Product Option],0)&lt;&gt;"My Value Plus Life"),Lookups!$C$24,
IF(AND(OR(Table2[[#This Row],[Member Type]]="Parent",Table2[[#This Row],[Member Type]]="Extended"),_xlfn.XLOOKUP(B519,Table2[Main Member Link ID],Table2[Product Option],0)&lt;&gt;"My Value Plus Life"),Lookups!$C$26,""))))</f>
        <v/>
      </c>
      <c r="AD519" s="326" t="str">
        <f>IF(Table2[[#This Row],[Member Type]]="Main Member",Lookups!$C$14,"")</f>
        <v/>
      </c>
      <c r="AE51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Funeral",_xlfn.XLOOKUP(B519,Table2[Main Member Link ID],Table2[Benefit Name],0)=Lookups!$D$14),"",
IF(AND(Table2[[#This Row],[Member Type]]="Spouse",Table2[[#This Row],[Product Option]]="My Value Plus Life &amp; Funeral",_xlfn.XLOOKUP(B518,Table2[Main Member Link ID],Table2[Benefit Name],0)=Lookups!$D$15),Lookups!$D$20,
IF(AND(Table2[[#This Row],[Member Type]]="Spouse",Table2[[#This Row],[Product Option]]="My Value Plus Life &amp; Funeral",_xlfn.XLOOKUP(B518,Table2[Main Member Link ID],Table2[Benefit Name],0)=Lookups!$D$16),"",
IF(AND(Table2[[#This Row],[Member Type]]="Spouse",Table2[[#This Row],[Product Option]]="My Value Plus Life &amp; Funeral",_xlfn.XLOOKUP(B518,Table2[Main Member Link ID],Table2[Benefit Name],0)=Lookups!$D$17),Lookups!$D$21,
IF(AND(Table2[[#This Row],[Member Type]]="Child",Table2[[#This Row],[Product Option]]="My Value Plus Life &amp; Funeral",_xlfn.XLOOKUP(B519,Table2[Main Member Link ID],Table2[Benefit Name],0)=Lookups!$D$14),"",
IF(AND(Table2[[#This Row],[Member Type]]="Child",Table2[[#This Row],[Product Option]]="My Value Plus Life &amp; Funeral",_xlfn.XLOOKUP(B519,Table2[Main Member Link ID],Table2[Benefit Name],0)=Lookups!$D$15),"",
IF(AND(Table2[[#This Row],[Member Type]]="Child",Table2[[#This Row],[Product Option]]="My Value Plus Life &amp; Funeral",_xlfn.XLOOKUP(B519,Table2[Main Member Link ID],Table2[Benefit Name],0)=Lookups!$D$16),Lookups!$D$24,
IF(AND(Table2[[#This Row],[Member Type]]="Child",Table2[[#This Row],[Product Option]]="My Value Plus Life &amp; Funeral",_xlfn.XLOOKUP(B519,Table2[Main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Funeral",_xlfn.XLOOKUP(B519,Table2[Main Member Link ID],Table2[Benefit Name],0)&lt;&gt;Lookups!$D$14),
IF(_xlfn.XLOOKUP(B519,Table2[Main Member Link ID],Table2[Benefit Name],0)=0,"",_xlfn.XLOOKUP(B519,Table2[Main Member Link ID],Table2[Benefit Name],0)),"")))))))))))))))</f>
        <v/>
      </c>
      <c r="AF519" s="327" t="str">
        <f>IF(AND(Table2[[#This Row],[Member Type]]="Main Member",Table2[[#This Row],[Product Option]]="My Value Plus Life &amp; Funeral"),Lookups!$D$15,
IF(AND(Table2[[#This Row],[Member Type]]="Spouse",Table2[[#This Row],[Product Option]]="My Value Plus Life &amp; Funeral",_xlfn.XLOOKUP(B519,Table2[Main Member Link ID],Table2[Benefit Name],0)=Lookups!$D$14),"",
IF(AND(Table2[[#This Row],[Member Type]]="Spouse",Table2[[#This Row],[Product Option]]="My Value Plus Life &amp; Funeral",_xlfn.XLOOKUP(B518,Table2[Main Member Link ID],Table2[Benefit Name],0)=Lookups!$D$16),"",
IF(AND(Table2[[#This Row],[Member Type]]="Spouse",Table2[[#This Row],[Product Option]]="My Value Plus Life &amp; Funeral",_xlfn.XLOOKUP(B518,Table2[Main Member Link ID],Table2[Benefit Name],0)=Lookups!$D$15),"",
IF(AND(Table2[[#This Row],[Member Type]]="Spouse",Table2[[#This Row],[Product Option]]="My Value Plus Life &amp; Funeral",_xlfn.XLOOKUP(B518,Table2[Main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Funeral",_xlfn.XLOOKUP(B519,Table2[Main Member Link ID],Table2[Benefit Name],0)&lt;&gt;Lookups!$D$15),
IF(_xlfn.XLOOKUP(B519,Table2[Main Member Link ID],Table2[Benefit Name],0)=0,"",_xlfn.XLOOKUP(B519,Table2[Main Member Link ID],Table2[Benefit Name],0)),"")
))))))</f>
        <v/>
      </c>
      <c r="AG519" s="327" t="str">
        <f>IF(AND(Table2[[#This Row],[Member Type]]="Main Member",Table2[[#This Row],[Product Option]]="My Value Plus Life &amp; Funeral"),Lookups!$D$16,
IF(AND(Table2[[#This Row],[Member Type]]="Spouse",Table2[[#This Row],[Product Option]]="My Value Plus Life &amp; Funeral",_xlfn.XLOOKUP(B519,Table2[Main Member Link ID],Table2[Benefit Name],0)=Lookups!$D$14),"",
IF(AND(Table2[[#This Row],[Member Type]]="Spouse",Table2[[#This Row],[Product Option]]="My Value Plus Life &amp; Funeral",_xlfn.XLOOKUP(B518,Table2[Main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Funeral",_xlfn.XLOOKUP(B519,Table2[Main Member Link ID],Table2[Benefit Name],0)&lt;&gt;Lookups!$D$16),
IF(_xlfn.XLOOKUP(B519,Table2[Main Member Link ID],Table2[Benefit Name],0)=0,"",_xlfn.XLOOKUP(B519,Table2[Main Member Link ID],Table2[Benefit Name],0)),"")
))))</f>
        <v/>
      </c>
      <c r="AH519" s="327" t="str">
        <f>IF(AND(Table2[[#This Row],[Member Type]]="Main Member",Table2[[#This Row],[Product Option]]="My Value Plus Life &amp; Funeral"),Lookups!$D$17,
IF(AND(Table2[[#This Row],[Member Type]]="Spouse",Table2[[#This Row],[Product Option]]="My Value Plus Life &amp; Funeral",_xlfn.XLOOKUP(B519,Table2[Main Member Link ID],Table2[Benefit Name],0)=Lookups!$D$14),"",
IF(AND(Table2[[#This Row],[Member Type]]="Spouse",Table2[[#This Row],[Product Option]]="My Value Plus Life &amp; Funeral",_xlfn.XLOOKUP(B518,Table2[Main Member Link ID],Table2[Benefit Name],0)=Lookups!$D$16),"",
IF(AND(Table2[[#This Row],[Member Type]]="Child",Table2[[#This Row],[Product Option]]="My Value Plus Life &amp; Funeral"),"",
IF(AND(Table2[[#This Row],[Member Type]]="Child",Table2[[#This Row],[Product Option]]="My Value Plus Life &amp; Funeral",_xlfn.XLOOKUP(B519,Table2[Main Member Link ID],Table2[Benefit Name],0)=Lookups!$D$15),"",
IF(AND(OR(Table2[[#This Row],[Member Type]]="Spouse",Table2[[#This Row],[Member Type]]="Child"),Table2[[#This Row],[Product Option]]="My Value Plus Life &amp; Funeral",_xlfn.XLOOKUP(B519,Table2[Main Member Link ID],Table2[Benefit Name],0)&lt;&gt;Lookups!$D$17),
IF(_xlfn.XLOOKUP(B519,Table2[Main Member Link ID],Table2[Benefit Name],0)=0,"",_xlfn.XLOOKUP(B519,Table2[Main Member Link ID],Table2[Benefit Name],0)),""))))))</f>
        <v/>
      </c>
      <c r="AI519" s="328" t="str">
        <f>IF(AND(Table2[[#This Row],[Member Type]]="Main Member",Table2[[#This Row],[Table Lookup for Life Cover]]="MM_LIFE",Table2[[#This Row],[Age Next Birthday]]&lt;56),1,
IF(AND(Table2[[#This Row],[Member Type]]="Main Member",Table2[[#This Row],[Table Lookup for Life Cover]]="MM_LIFE",Table2[[#This Row],[Age Next Birthday]]&gt;=56),2,
""))</f>
        <v/>
      </c>
      <c r="AJ519" s="328">
        <f>IF(OR(Table2[[#This Row],[Member Type]]="Main Member",Table2[[#This Row],[Main Member Link ID]]=B518),1,0)</f>
        <v>1</v>
      </c>
      <c r="AK519" s="328">
        <f>IF(Table2[[#This Row],[Member Type]]=0,0,
IF(OR(Table2[[#This Row],[Member Type]]="Main Member",Table2[[#This Row],[Main Member Link ID]]&lt;&gt;B519),COUNTIFS(B:B,Table2[[#This Row],[Main Member Link ID]]),
COUNTIFS(B:B,Table2[[#This Row],[Main Member Link ID]],A:A,Table2[[#This Row],[Member Type]])))</f>
        <v>0</v>
      </c>
    </row>
    <row r="520" spans="1:37" x14ac:dyDescent="0.3">
      <c r="A520" s="284">
        <f>Table13[[#This Row],[Member Type]]</f>
        <v>0</v>
      </c>
      <c r="B520" s="284">
        <f>Table13[[#This Row],[Main Member Link ID]]</f>
        <v>0</v>
      </c>
      <c r="C520" s="284">
        <f>Table13[[#This Row],[ID Number]]</f>
        <v>0</v>
      </c>
      <c r="D520" s="285">
        <f>Table13[[#This Row],[Date Of Birth]]</f>
        <v>0</v>
      </c>
      <c r="E520" s="285">
        <f>Table13[[#This Row],[Commencement Date]]</f>
        <v>0</v>
      </c>
      <c r="F520" s="284">
        <f t="shared" si="56"/>
        <v>1</v>
      </c>
      <c r="G520" s="284">
        <f t="shared" si="57"/>
        <v>25</v>
      </c>
      <c r="H520" s="286">
        <f>Table13[[#This Row],[Product Option]]</f>
        <v>0</v>
      </c>
      <c r="I520" s="284">
        <f>IF(AND($A520="Main Member",Table2[[#This Row],[Product Option]]="My Value Plus Life"),"MM_LIFE",
IF(AND($A520="Spouse",Table2[[#This Row],[Product Option]]="My Value Plus Life"),"SP_LIFE",
IF(AND($A520="Main Member",Table2[[#This Row],[Product Option]]="My Value Plus Life &amp; Funeral"),"MM_LIFE",
IF(AND($A520="Spouse",Table2[[#This Row],[Product Option]]="My Value Plus Life &amp; Funeral"),_xlfn.XLOOKUP(Table2[[#This Row],[Benefit Name]],Lookups!$D$18:$D$23,Lookups!$E$18:$E$23,0),
0))))</f>
        <v>0</v>
      </c>
      <c r="J520" s="284">
        <f>IF($I520="","",
IF($I520="MM_LIFE",INDEX('Quotation Tool'!$S$54:$V$60,MATCH($T520,'Quotation Tool'!$S$54:$S$60,0),4),
IF($I520="SP_LIFE",_xlfn.XLOOKUP(B519,$B:$B,$J:$J,0),0)))</f>
        <v>0</v>
      </c>
      <c r="K520" s="287">
        <f t="shared" ca="1" si="61"/>
        <v>0</v>
      </c>
      <c r="L520" s="288">
        <f t="shared" ca="1" si="62"/>
        <v>0</v>
      </c>
      <c r="M520" s="289">
        <f t="shared" ca="1" si="58"/>
        <v>0</v>
      </c>
      <c r="N520" s="286">
        <f>Table13[[#This Row],[Benefit Option]]</f>
        <v>0</v>
      </c>
      <c r="O520" s="284">
        <f>IF(OR(Table2[[#This Row],[Member Type]]="Spouse",Table2[[#This Row],[Member Type]]="Child"),0,
IF(_xlfn.XLOOKUP($N520,Lookups!$D$13:$D$27,Lookups!$F$13:$F$27,0)=Table2[[#This Row],[Table Lookup for Life Cover]],0,
_xlfn.XLOOKUP($N520,Lookups!$D$13:$D$27,Lookups!$F$13:$F$27,0)))</f>
        <v>0</v>
      </c>
      <c r="P520" s="284">
        <f>IF(Table2[[#This Row],[Table Lookup for Funeral]]=0,0,IFERROR(INDEX('Quotation Tool'!$S$54:$V$60,MATCH($T520,'Quotation Tool'!$S$54:$S$60,0),3),0))</f>
        <v>0</v>
      </c>
      <c r="Q520" s="288">
        <f ca="1">IF(OR(Table2[[#This Row],[Benefit Name]]="My Value Plus Life - Main Member",Table2[[#This Row],[Benefit Name]]="My Value Plus Life - Spouse"),0,
IFERROR(VLOOKUP($G520,INDIRECT($O520),$P520,FALSE),0))</f>
        <v>0</v>
      </c>
      <c r="R520" s="288">
        <f ca="1">IF(OR(Table2[[#This Row],[Benefit Name]]="My Value Plus Life - Main Member",Table2[[#This Row],[Benefit Name]]="My Value Plus Life - Spouse"),0,
IFERROR(VLOOKUP($G520,INDIRECT($O520),$P520+1,FALSE),0))</f>
        <v>0</v>
      </c>
      <c r="S520" s="289">
        <f t="shared" ca="1" si="59"/>
        <v>0</v>
      </c>
      <c r="T520" s="284" t="str">
        <f>IF(Table13[[#This Row],[Premium Waiver]]="","None",Table13[[#This Row],[Premium Waiver]])</f>
        <v>None</v>
      </c>
      <c r="U520" s="284">
        <f>Table13[[#This Row],[VAPs Options]]</f>
        <v>0</v>
      </c>
      <c r="V520" s="284">
        <f>Table13[[#This Row],[Annual Increase Option]]</f>
        <v>0</v>
      </c>
      <c r="W520" s="290">
        <f>Table13[[#This Row],[Life Cover Amount]]</f>
        <v>0</v>
      </c>
      <c r="X520" s="290">
        <f>Table13[[#This Row],[Funeral Cover Amount]]</f>
        <v>0</v>
      </c>
      <c r="Y52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2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20" s="301">
        <f t="shared" ca="1" si="60"/>
        <v>0</v>
      </c>
      <c r="AB520" s="298"/>
      <c r="AC520" s="326" t="str">
        <f>IF(Table2[[#This Row],[Member Type]]="Main Member",Lookups!$C$13,
IF(Table2[[#This Row],[Member Type]]="Spouse",_xlfn.XLOOKUP(B520,Table2[Main Member Link ID],Table2[Product Option],0),
IF(AND(Table2[[#This Row],[Member Type]]="Child",_xlfn.XLOOKUP(B520,Table2[Main Member Link ID],Table2[Product Option],0)&lt;&gt;"My Value Plus Life"),Lookups!$C$24,
IF(AND(OR(Table2[[#This Row],[Member Type]]="Parent",Table2[[#This Row],[Member Type]]="Extended"),_xlfn.XLOOKUP(B520,Table2[Main Member Link ID],Table2[Product Option],0)&lt;&gt;"My Value Plus Life"),Lookups!$C$26,""))))</f>
        <v/>
      </c>
      <c r="AD520" s="326" t="str">
        <f>IF(Table2[[#This Row],[Member Type]]="Main Member",Lookups!$C$14,"")</f>
        <v/>
      </c>
      <c r="AE52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Funeral",_xlfn.XLOOKUP(B520,Table2[Main Member Link ID],Table2[Benefit Name],0)=Lookups!$D$14),"",
IF(AND(Table2[[#This Row],[Member Type]]="Spouse",Table2[[#This Row],[Product Option]]="My Value Plus Life &amp; Funeral",_xlfn.XLOOKUP(B519,Table2[Main Member Link ID],Table2[Benefit Name],0)=Lookups!$D$15),Lookups!$D$20,
IF(AND(Table2[[#This Row],[Member Type]]="Spouse",Table2[[#This Row],[Product Option]]="My Value Plus Life &amp; Funeral",_xlfn.XLOOKUP(B519,Table2[Main Member Link ID],Table2[Benefit Name],0)=Lookups!$D$16),"",
IF(AND(Table2[[#This Row],[Member Type]]="Spouse",Table2[[#This Row],[Product Option]]="My Value Plus Life &amp; Funeral",_xlfn.XLOOKUP(B519,Table2[Main Member Link ID],Table2[Benefit Name],0)=Lookups!$D$17),Lookups!$D$21,
IF(AND(Table2[[#This Row],[Member Type]]="Child",Table2[[#This Row],[Product Option]]="My Value Plus Life &amp; Funeral",_xlfn.XLOOKUP(B520,Table2[Main Member Link ID],Table2[Benefit Name],0)=Lookups!$D$14),"",
IF(AND(Table2[[#This Row],[Member Type]]="Child",Table2[[#This Row],[Product Option]]="My Value Plus Life &amp; Funeral",_xlfn.XLOOKUP(B520,Table2[Main Member Link ID],Table2[Benefit Name],0)=Lookups!$D$15),"",
IF(AND(Table2[[#This Row],[Member Type]]="Child",Table2[[#This Row],[Product Option]]="My Value Plus Life &amp; Funeral",_xlfn.XLOOKUP(B520,Table2[Main Member Link ID],Table2[Benefit Name],0)=Lookups!$D$16),Lookups!$D$24,
IF(AND(Table2[[#This Row],[Member Type]]="Child",Table2[[#This Row],[Product Option]]="My Value Plus Life &amp; Funeral",_xlfn.XLOOKUP(B520,Table2[Main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Funeral",_xlfn.XLOOKUP(B520,Table2[Main Member Link ID],Table2[Benefit Name],0)&lt;&gt;Lookups!$D$14),
IF(_xlfn.XLOOKUP(B520,Table2[Main Member Link ID],Table2[Benefit Name],0)=0,"",_xlfn.XLOOKUP(B520,Table2[Main Member Link ID],Table2[Benefit Name],0)),"")))))))))))))))</f>
        <v/>
      </c>
      <c r="AF520" s="327" t="str">
        <f>IF(AND(Table2[[#This Row],[Member Type]]="Main Member",Table2[[#This Row],[Product Option]]="My Value Plus Life &amp; Funeral"),Lookups!$D$15,
IF(AND(Table2[[#This Row],[Member Type]]="Spouse",Table2[[#This Row],[Product Option]]="My Value Plus Life &amp; Funeral",_xlfn.XLOOKUP(B520,Table2[Main Member Link ID],Table2[Benefit Name],0)=Lookups!$D$14),"",
IF(AND(Table2[[#This Row],[Member Type]]="Spouse",Table2[[#This Row],[Product Option]]="My Value Plus Life &amp; Funeral",_xlfn.XLOOKUP(B519,Table2[Main Member Link ID],Table2[Benefit Name],0)=Lookups!$D$16),"",
IF(AND(Table2[[#This Row],[Member Type]]="Spouse",Table2[[#This Row],[Product Option]]="My Value Plus Life &amp; Funeral",_xlfn.XLOOKUP(B519,Table2[Main Member Link ID],Table2[Benefit Name],0)=Lookups!$D$15),"",
IF(AND(Table2[[#This Row],[Member Type]]="Spouse",Table2[[#This Row],[Product Option]]="My Value Plus Life &amp; Funeral",_xlfn.XLOOKUP(B519,Table2[Main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Funeral",_xlfn.XLOOKUP(B520,Table2[Main Member Link ID],Table2[Benefit Name],0)&lt;&gt;Lookups!$D$15),
IF(_xlfn.XLOOKUP(B520,Table2[Main Member Link ID],Table2[Benefit Name],0)=0,"",_xlfn.XLOOKUP(B520,Table2[Main Member Link ID],Table2[Benefit Name],0)),"")
))))))</f>
        <v/>
      </c>
      <c r="AG520" s="327" t="str">
        <f>IF(AND(Table2[[#This Row],[Member Type]]="Main Member",Table2[[#This Row],[Product Option]]="My Value Plus Life &amp; Funeral"),Lookups!$D$16,
IF(AND(Table2[[#This Row],[Member Type]]="Spouse",Table2[[#This Row],[Product Option]]="My Value Plus Life &amp; Funeral",_xlfn.XLOOKUP(B520,Table2[Main Member Link ID],Table2[Benefit Name],0)=Lookups!$D$14),"",
IF(AND(Table2[[#This Row],[Member Type]]="Spouse",Table2[[#This Row],[Product Option]]="My Value Plus Life &amp; Funeral",_xlfn.XLOOKUP(B519,Table2[Main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Funeral",_xlfn.XLOOKUP(B520,Table2[Main Member Link ID],Table2[Benefit Name],0)&lt;&gt;Lookups!$D$16),
IF(_xlfn.XLOOKUP(B520,Table2[Main Member Link ID],Table2[Benefit Name],0)=0,"",_xlfn.XLOOKUP(B520,Table2[Main Member Link ID],Table2[Benefit Name],0)),"")
))))</f>
        <v/>
      </c>
      <c r="AH520" s="327" t="str">
        <f>IF(AND(Table2[[#This Row],[Member Type]]="Main Member",Table2[[#This Row],[Product Option]]="My Value Plus Life &amp; Funeral"),Lookups!$D$17,
IF(AND(Table2[[#This Row],[Member Type]]="Spouse",Table2[[#This Row],[Product Option]]="My Value Plus Life &amp; Funeral",_xlfn.XLOOKUP(B520,Table2[Main Member Link ID],Table2[Benefit Name],0)=Lookups!$D$14),"",
IF(AND(Table2[[#This Row],[Member Type]]="Spouse",Table2[[#This Row],[Product Option]]="My Value Plus Life &amp; Funeral",_xlfn.XLOOKUP(B519,Table2[Main Member Link ID],Table2[Benefit Name],0)=Lookups!$D$16),"",
IF(AND(Table2[[#This Row],[Member Type]]="Child",Table2[[#This Row],[Product Option]]="My Value Plus Life &amp; Funeral"),"",
IF(AND(Table2[[#This Row],[Member Type]]="Child",Table2[[#This Row],[Product Option]]="My Value Plus Life &amp; Funeral",_xlfn.XLOOKUP(B520,Table2[Main Member Link ID],Table2[Benefit Name],0)=Lookups!$D$15),"",
IF(AND(OR(Table2[[#This Row],[Member Type]]="Spouse",Table2[[#This Row],[Member Type]]="Child"),Table2[[#This Row],[Product Option]]="My Value Plus Life &amp; Funeral",_xlfn.XLOOKUP(B520,Table2[Main Member Link ID],Table2[Benefit Name],0)&lt;&gt;Lookups!$D$17),
IF(_xlfn.XLOOKUP(B520,Table2[Main Member Link ID],Table2[Benefit Name],0)=0,"",_xlfn.XLOOKUP(B520,Table2[Main Member Link ID],Table2[Benefit Name],0)),""))))))</f>
        <v/>
      </c>
      <c r="AI520" s="328" t="str">
        <f>IF(AND(Table2[[#This Row],[Member Type]]="Main Member",Table2[[#This Row],[Table Lookup for Life Cover]]="MM_LIFE",Table2[[#This Row],[Age Next Birthday]]&lt;56),1,
IF(AND(Table2[[#This Row],[Member Type]]="Main Member",Table2[[#This Row],[Table Lookup for Life Cover]]="MM_LIFE",Table2[[#This Row],[Age Next Birthday]]&gt;=56),2,
""))</f>
        <v/>
      </c>
      <c r="AJ520" s="328">
        <f>IF(OR(Table2[[#This Row],[Member Type]]="Main Member",Table2[[#This Row],[Main Member Link ID]]=B519),1,0)</f>
        <v>1</v>
      </c>
      <c r="AK520" s="328">
        <f>IF(Table2[[#This Row],[Member Type]]=0,0,
IF(OR(Table2[[#This Row],[Member Type]]="Main Member",Table2[[#This Row],[Main Member Link ID]]&lt;&gt;B520),COUNTIFS(B:B,Table2[[#This Row],[Main Member Link ID]]),
COUNTIFS(B:B,Table2[[#This Row],[Main Member Link ID]],A:A,Table2[[#This Row],[Member Type]])))</f>
        <v>0</v>
      </c>
    </row>
    <row r="521" spans="1:37" x14ac:dyDescent="0.3">
      <c r="A521" s="284">
        <f>Table13[[#This Row],[Member Type]]</f>
        <v>0</v>
      </c>
      <c r="B521" s="284">
        <f>Table13[[#This Row],[Main Member Link ID]]</f>
        <v>0</v>
      </c>
      <c r="C521" s="284">
        <f>Table13[[#This Row],[ID Number]]</f>
        <v>0</v>
      </c>
      <c r="D521" s="285">
        <f>Table13[[#This Row],[Date Of Birth]]</f>
        <v>0</v>
      </c>
      <c r="E521" s="285">
        <f>Table13[[#This Row],[Commencement Date]]</f>
        <v>0</v>
      </c>
      <c r="F521" s="284">
        <f t="shared" si="56"/>
        <v>1</v>
      </c>
      <c r="G521" s="284">
        <f t="shared" si="57"/>
        <v>25</v>
      </c>
      <c r="H521" s="286">
        <f>Table13[[#This Row],[Product Option]]</f>
        <v>0</v>
      </c>
      <c r="I521" s="284">
        <f>IF(AND($A521="Main Member",Table2[[#This Row],[Product Option]]="My Value Plus Life"),"MM_LIFE",
IF(AND($A521="Spouse",Table2[[#This Row],[Product Option]]="My Value Plus Life"),"SP_LIFE",
IF(AND($A521="Main Member",Table2[[#This Row],[Product Option]]="My Value Plus Life &amp; Funeral"),"MM_LIFE",
IF(AND($A521="Spouse",Table2[[#This Row],[Product Option]]="My Value Plus Life &amp; Funeral"),_xlfn.XLOOKUP(Table2[[#This Row],[Benefit Name]],Lookups!$D$18:$D$23,Lookups!$E$18:$E$23,0),
0))))</f>
        <v>0</v>
      </c>
      <c r="J521" s="284">
        <f>IF($I521="","",
IF($I521="MM_LIFE",INDEX('Quotation Tool'!$S$54:$V$60,MATCH($T521,'Quotation Tool'!$S$54:$S$60,0),4),
IF($I521="SP_LIFE",_xlfn.XLOOKUP(B520,$B:$B,$J:$J,0),0)))</f>
        <v>0</v>
      </c>
      <c r="K521" s="287">
        <f t="shared" ca="1" si="61"/>
        <v>0</v>
      </c>
      <c r="L521" s="288">
        <f t="shared" ca="1" si="62"/>
        <v>0</v>
      </c>
      <c r="M521" s="289">
        <f t="shared" ca="1" si="58"/>
        <v>0</v>
      </c>
      <c r="N521" s="286">
        <f>Table13[[#This Row],[Benefit Option]]</f>
        <v>0</v>
      </c>
      <c r="O521" s="284">
        <f>IF(OR(Table2[[#This Row],[Member Type]]="Spouse",Table2[[#This Row],[Member Type]]="Child"),0,
IF(_xlfn.XLOOKUP($N521,Lookups!$D$13:$D$27,Lookups!$F$13:$F$27,0)=Table2[[#This Row],[Table Lookup for Life Cover]],0,
_xlfn.XLOOKUP($N521,Lookups!$D$13:$D$27,Lookups!$F$13:$F$27,0)))</f>
        <v>0</v>
      </c>
      <c r="P521" s="284">
        <f>IF(Table2[[#This Row],[Table Lookup for Funeral]]=0,0,IFERROR(INDEX('Quotation Tool'!$S$54:$V$60,MATCH($T521,'Quotation Tool'!$S$54:$S$60,0),3),0))</f>
        <v>0</v>
      </c>
      <c r="Q521" s="288">
        <f ca="1">IF(OR(Table2[[#This Row],[Benefit Name]]="My Value Plus Life - Main Member",Table2[[#This Row],[Benefit Name]]="My Value Plus Life - Spouse"),0,
IFERROR(VLOOKUP($G521,INDIRECT($O521),$P521,FALSE),0))</f>
        <v>0</v>
      </c>
      <c r="R521" s="288">
        <f ca="1">IF(OR(Table2[[#This Row],[Benefit Name]]="My Value Plus Life - Main Member",Table2[[#This Row],[Benefit Name]]="My Value Plus Life - Spouse"),0,
IFERROR(VLOOKUP($G521,INDIRECT($O521),$P521+1,FALSE),0))</f>
        <v>0</v>
      </c>
      <c r="S521" s="289">
        <f t="shared" ca="1" si="59"/>
        <v>0</v>
      </c>
      <c r="T521" s="284" t="str">
        <f>IF(Table13[[#This Row],[Premium Waiver]]="","None",Table13[[#This Row],[Premium Waiver]])</f>
        <v>None</v>
      </c>
      <c r="U521" s="284">
        <f>Table13[[#This Row],[VAPs Options]]</f>
        <v>0</v>
      </c>
      <c r="V521" s="284">
        <f>Table13[[#This Row],[Annual Increase Option]]</f>
        <v>0</v>
      </c>
      <c r="W521" s="290">
        <f>Table13[[#This Row],[Life Cover Amount]]</f>
        <v>0</v>
      </c>
      <c r="X521" s="290">
        <f>Table13[[#This Row],[Funeral Cover Amount]]</f>
        <v>0</v>
      </c>
      <c r="Y52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2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21" s="301">
        <f t="shared" ca="1" si="60"/>
        <v>0</v>
      </c>
      <c r="AB521" s="298"/>
      <c r="AC521" s="326" t="str">
        <f>IF(Table2[[#This Row],[Member Type]]="Main Member",Lookups!$C$13,
IF(Table2[[#This Row],[Member Type]]="Spouse",_xlfn.XLOOKUP(B521,Table2[Main Member Link ID],Table2[Product Option],0),
IF(AND(Table2[[#This Row],[Member Type]]="Child",_xlfn.XLOOKUP(B521,Table2[Main Member Link ID],Table2[Product Option],0)&lt;&gt;"My Value Plus Life"),Lookups!$C$24,
IF(AND(OR(Table2[[#This Row],[Member Type]]="Parent",Table2[[#This Row],[Member Type]]="Extended"),_xlfn.XLOOKUP(B521,Table2[Main Member Link ID],Table2[Product Option],0)&lt;&gt;"My Value Plus Life"),Lookups!$C$26,""))))</f>
        <v/>
      </c>
      <c r="AD521" s="326" t="str">
        <f>IF(Table2[[#This Row],[Member Type]]="Main Member",Lookups!$C$14,"")</f>
        <v/>
      </c>
      <c r="AE52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Funeral",_xlfn.XLOOKUP(B521,Table2[Main Member Link ID],Table2[Benefit Name],0)=Lookups!$D$14),"",
IF(AND(Table2[[#This Row],[Member Type]]="Spouse",Table2[[#This Row],[Product Option]]="My Value Plus Life &amp; Funeral",_xlfn.XLOOKUP(B520,Table2[Main Member Link ID],Table2[Benefit Name],0)=Lookups!$D$15),Lookups!$D$20,
IF(AND(Table2[[#This Row],[Member Type]]="Spouse",Table2[[#This Row],[Product Option]]="My Value Plus Life &amp; Funeral",_xlfn.XLOOKUP(B520,Table2[Main Member Link ID],Table2[Benefit Name],0)=Lookups!$D$16),"",
IF(AND(Table2[[#This Row],[Member Type]]="Spouse",Table2[[#This Row],[Product Option]]="My Value Plus Life &amp; Funeral",_xlfn.XLOOKUP(B520,Table2[Main Member Link ID],Table2[Benefit Name],0)=Lookups!$D$17),Lookups!$D$21,
IF(AND(Table2[[#This Row],[Member Type]]="Child",Table2[[#This Row],[Product Option]]="My Value Plus Life &amp; Funeral",_xlfn.XLOOKUP(B521,Table2[Main Member Link ID],Table2[Benefit Name],0)=Lookups!$D$14),"",
IF(AND(Table2[[#This Row],[Member Type]]="Child",Table2[[#This Row],[Product Option]]="My Value Plus Life &amp; Funeral",_xlfn.XLOOKUP(B521,Table2[Main Member Link ID],Table2[Benefit Name],0)=Lookups!$D$15),"",
IF(AND(Table2[[#This Row],[Member Type]]="Child",Table2[[#This Row],[Product Option]]="My Value Plus Life &amp; Funeral",_xlfn.XLOOKUP(B521,Table2[Main Member Link ID],Table2[Benefit Name],0)=Lookups!$D$16),Lookups!$D$24,
IF(AND(Table2[[#This Row],[Member Type]]="Child",Table2[[#This Row],[Product Option]]="My Value Plus Life &amp; Funeral",_xlfn.XLOOKUP(B521,Table2[Main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Funeral",_xlfn.XLOOKUP(B521,Table2[Main Member Link ID],Table2[Benefit Name],0)&lt;&gt;Lookups!$D$14),
IF(_xlfn.XLOOKUP(B521,Table2[Main Member Link ID],Table2[Benefit Name],0)=0,"",_xlfn.XLOOKUP(B521,Table2[Main Member Link ID],Table2[Benefit Name],0)),"")))))))))))))))</f>
        <v/>
      </c>
      <c r="AF521" s="327" t="str">
        <f>IF(AND(Table2[[#This Row],[Member Type]]="Main Member",Table2[[#This Row],[Product Option]]="My Value Plus Life &amp; Funeral"),Lookups!$D$15,
IF(AND(Table2[[#This Row],[Member Type]]="Spouse",Table2[[#This Row],[Product Option]]="My Value Plus Life &amp; Funeral",_xlfn.XLOOKUP(B521,Table2[Main Member Link ID],Table2[Benefit Name],0)=Lookups!$D$14),"",
IF(AND(Table2[[#This Row],[Member Type]]="Spouse",Table2[[#This Row],[Product Option]]="My Value Plus Life &amp; Funeral",_xlfn.XLOOKUP(B520,Table2[Main Member Link ID],Table2[Benefit Name],0)=Lookups!$D$16),"",
IF(AND(Table2[[#This Row],[Member Type]]="Spouse",Table2[[#This Row],[Product Option]]="My Value Plus Life &amp; Funeral",_xlfn.XLOOKUP(B520,Table2[Main Member Link ID],Table2[Benefit Name],0)=Lookups!$D$15),"",
IF(AND(Table2[[#This Row],[Member Type]]="Spouse",Table2[[#This Row],[Product Option]]="My Value Plus Life &amp; Funeral",_xlfn.XLOOKUP(B520,Table2[Main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Funeral",_xlfn.XLOOKUP(B521,Table2[Main Member Link ID],Table2[Benefit Name],0)&lt;&gt;Lookups!$D$15),
IF(_xlfn.XLOOKUP(B521,Table2[Main Member Link ID],Table2[Benefit Name],0)=0,"",_xlfn.XLOOKUP(B521,Table2[Main Member Link ID],Table2[Benefit Name],0)),"")
))))))</f>
        <v/>
      </c>
      <c r="AG521" s="327" t="str">
        <f>IF(AND(Table2[[#This Row],[Member Type]]="Main Member",Table2[[#This Row],[Product Option]]="My Value Plus Life &amp; Funeral"),Lookups!$D$16,
IF(AND(Table2[[#This Row],[Member Type]]="Spouse",Table2[[#This Row],[Product Option]]="My Value Plus Life &amp; Funeral",_xlfn.XLOOKUP(B521,Table2[Main Member Link ID],Table2[Benefit Name],0)=Lookups!$D$14),"",
IF(AND(Table2[[#This Row],[Member Type]]="Spouse",Table2[[#This Row],[Product Option]]="My Value Plus Life &amp; Funeral",_xlfn.XLOOKUP(B520,Table2[Main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Funeral",_xlfn.XLOOKUP(B521,Table2[Main Member Link ID],Table2[Benefit Name],0)&lt;&gt;Lookups!$D$16),
IF(_xlfn.XLOOKUP(B521,Table2[Main Member Link ID],Table2[Benefit Name],0)=0,"",_xlfn.XLOOKUP(B521,Table2[Main Member Link ID],Table2[Benefit Name],0)),"")
))))</f>
        <v/>
      </c>
      <c r="AH521" s="327" t="str">
        <f>IF(AND(Table2[[#This Row],[Member Type]]="Main Member",Table2[[#This Row],[Product Option]]="My Value Plus Life &amp; Funeral"),Lookups!$D$17,
IF(AND(Table2[[#This Row],[Member Type]]="Spouse",Table2[[#This Row],[Product Option]]="My Value Plus Life &amp; Funeral",_xlfn.XLOOKUP(B521,Table2[Main Member Link ID],Table2[Benefit Name],0)=Lookups!$D$14),"",
IF(AND(Table2[[#This Row],[Member Type]]="Spouse",Table2[[#This Row],[Product Option]]="My Value Plus Life &amp; Funeral",_xlfn.XLOOKUP(B520,Table2[Main Member Link ID],Table2[Benefit Name],0)=Lookups!$D$16),"",
IF(AND(Table2[[#This Row],[Member Type]]="Child",Table2[[#This Row],[Product Option]]="My Value Plus Life &amp; Funeral"),"",
IF(AND(Table2[[#This Row],[Member Type]]="Child",Table2[[#This Row],[Product Option]]="My Value Plus Life &amp; Funeral",_xlfn.XLOOKUP(B521,Table2[Main Member Link ID],Table2[Benefit Name],0)=Lookups!$D$15),"",
IF(AND(OR(Table2[[#This Row],[Member Type]]="Spouse",Table2[[#This Row],[Member Type]]="Child"),Table2[[#This Row],[Product Option]]="My Value Plus Life &amp; Funeral",_xlfn.XLOOKUP(B521,Table2[Main Member Link ID],Table2[Benefit Name],0)&lt;&gt;Lookups!$D$17),
IF(_xlfn.XLOOKUP(B521,Table2[Main Member Link ID],Table2[Benefit Name],0)=0,"",_xlfn.XLOOKUP(B521,Table2[Main Member Link ID],Table2[Benefit Name],0)),""))))))</f>
        <v/>
      </c>
      <c r="AI521" s="328" t="str">
        <f>IF(AND(Table2[[#This Row],[Member Type]]="Main Member",Table2[[#This Row],[Table Lookup for Life Cover]]="MM_LIFE",Table2[[#This Row],[Age Next Birthday]]&lt;56),1,
IF(AND(Table2[[#This Row],[Member Type]]="Main Member",Table2[[#This Row],[Table Lookup for Life Cover]]="MM_LIFE",Table2[[#This Row],[Age Next Birthday]]&gt;=56),2,
""))</f>
        <v/>
      </c>
      <c r="AJ521" s="328">
        <f>IF(OR(Table2[[#This Row],[Member Type]]="Main Member",Table2[[#This Row],[Main Member Link ID]]=B520),1,0)</f>
        <v>1</v>
      </c>
      <c r="AK521" s="328">
        <f>IF(Table2[[#This Row],[Member Type]]=0,0,
IF(OR(Table2[[#This Row],[Member Type]]="Main Member",Table2[[#This Row],[Main Member Link ID]]&lt;&gt;B521),COUNTIFS(B:B,Table2[[#This Row],[Main Member Link ID]]),
COUNTIFS(B:B,Table2[[#This Row],[Main Member Link ID]],A:A,Table2[[#This Row],[Member Type]])))</f>
        <v>0</v>
      </c>
    </row>
    <row r="522" spans="1:37" x14ac:dyDescent="0.3">
      <c r="A522" s="284">
        <f>Table13[[#This Row],[Member Type]]</f>
        <v>0</v>
      </c>
      <c r="B522" s="284">
        <f>Table13[[#This Row],[Main Member Link ID]]</f>
        <v>0</v>
      </c>
      <c r="C522" s="284">
        <f>Table13[[#This Row],[ID Number]]</f>
        <v>0</v>
      </c>
      <c r="D522" s="285">
        <f>Table13[[#This Row],[Date Of Birth]]</f>
        <v>0</v>
      </c>
      <c r="E522" s="285">
        <f>Table13[[#This Row],[Commencement Date]]</f>
        <v>0</v>
      </c>
      <c r="F522" s="284">
        <f t="shared" si="56"/>
        <v>1</v>
      </c>
      <c r="G522" s="284">
        <f t="shared" si="57"/>
        <v>25</v>
      </c>
      <c r="H522" s="286">
        <f>Table13[[#This Row],[Product Option]]</f>
        <v>0</v>
      </c>
      <c r="I522" s="284">
        <f>IF(AND($A522="Main Member",Table2[[#This Row],[Product Option]]="My Value Plus Life"),"MM_LIFE",
IF(AND($A522="Spouse",Table2[[#This Row],[Product Option]]="My Value Plus Life"),"SP_LIFE",
IF(AND($A522="Main Member",Table2[[#This Row],[Product Option]]="My Value Plus Life &amp; Funeral"),"MM_LIFE",
IF(AND($A522="Spouse",Table2[[#This Row],[Product Option]]="My Value Plus Life &amp; Funeral"),_xlfn.XLOOKUP(Table2[[#This Row],[Benefit Name]],Lookups!$D$18:$D$23,Lookups!$E$18:$E$23,0),
0))))</f>
        <v>0</v>
      </c>
      <c r="J522" s="284">
        <f>IF($I522="","",
IF($I522="MM_LIFE",INDEX('Quotation Tool'!$S$54:$V$60,MATCH($T522,'Quotation Tool'!$S$54:$S$60,0),4),
IF($I522="SP_LIFE",_xlfn.XLOOKUP(B521,$B:$B,$J:$J,0),0)))</f>
        <v>0</v>
      </c>
      <c r="K522" s="287">
        <f t="shared" ca="1" si="61"/>
        <v>0</v>
      </c>
      <c r="L522" s="288">
        <f t="shared" ca="1" si="62"/>
        <v>0</v>
      </c>
      <c r="M522" s="289">
        <f t="shared" ca="1" si="58"/>
        <v>0</v>
      </c>
      <c r="N522" s="286">
        <f>Table13[[#This Row],[Benefit Option]]</f>
        <v>0</v>
      </c>
      <c r="O522" s="284">
        <f>IF(OR(Table2[[#This Row],[Member Type]]="Spouse",Table2[[#This Row],[Member Type]]="Child"),0,
IF(_xlfn.XLOOKUP($N522,Lookups!$D$13:$D$27,Lookups!$F$13:$F$27,0)=Table2[[#This Row],[Table Lookup for Life Cover]],0,
_xlfn.XLOOKUP($N522,Lookups!$D$13:$D$27,Lookups!$F$13:$F$27,0)))</f>
        <v>0</v>
      </c>
      <c r="P522" s="284">
        <f>IF(Table2[[#This Row],[Table Lookup for Funeral]]=0,0,IFERROR(INDEX('Quotation Tool'!$S$54:$V$60,MATCH($T522,'Quotation Tool'!$S$54:$S$60,0),3),0))</f>
        <v>0</v>
      </c>
      <c r="Q522" s="288">
        <f ca="1">IF(OR(Table2[[#This Row],[Benefit Name]]="My Value Plus Life - Main Member",Table2[[#This Row],[Benefit Name]]="My Value Plus Life - Spouse"),0,
IFERROR(VLOOKUP($G522,INDIRECT($O522),$P522,FALSE),0))</f>
        <v>0</v>
      </c>
      <c r="R522" s="288">
        <f ca="1">IF(OR(Table2[[#This Row],[Benefit Name]]="My Value Plus Life - Main Member",Table2[[#This Row],[Benefit Name]]="My Value Plus Life - Spouse"),0,
IFERROR(VLOOKUP($G522,INDIRECT($O522),$P522+1,FALSE),0))</f>
        <v>0</v>
      </c>
      <c r="S522" s="289">
        <f t="shared" ca="1" si="59"/>
        <v>0</v>
      </c>
      <c r="T522" s="284" t="str">
        <f>IF(Table13[[#This Row],[Premium Waiver]]="","None",Table13[[#This Row],[Premium Waiver]])</f>
        <v>None</v>
      </c>
      <c r="U522" s="284">
        <f>Table13[[#This Row],[VAPs Options]]</f>
        <v>0</v>
      </c>
      <c r="V522" s="284">
        <f>Table13[[#This Row],[Annual Increase Option]]</f>
        <v>0</v>
      </c>
      <c r="W522" s="290">
        <f>Table13[[#This Row],[Life Cover Amount]]</f>
        <v>0</v>
      </c>
      <c r="X522" s="290">
        <f>Table13[[#This Row],[Funeral Cover Amount]]</f>
        <v>0</v>
      </c>
      <c r="Y52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2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22" s="301">
        <f t="shared" ca="1" si="60"/>
        <v>0</v>
      </c>
      <c r="AB522" s="298"/>
      <c r="AC522" s="326" t="str">
        <f>IF(Table2[[#This Row],[Member Type]]="Main Member",Lookups!$C$13,
IF(Table2[[#This Row],[Member Type]]="Spouse",_xlfn.XLOOKUP(B522,Table2[Main Member Link ID],Table2[Product Option],0),
IF(AND(Table2[[#This Row],[Member Type]]="Child",_xlfn.XLOOKUP(B522,Table2[Main Member Link ID],Table2[Product Option],0)&lt;&gt;"My Value Plus Life"),Lookups!$C$24,
IF(AND(OR(Table2[[#This Row],[Member Type]]="Parent",Table2[[#This Row],[Member Type]]="Extended"),_xlfn.XLOOKUP(B522,Table2[Main Member Link ID],Table2[Product Option],0)&lt;&gt;"My Value Plus Life"),Lookups!$C$26,""))))</f>
        <v/>
      </c>
      <c r="AD522" s="326" t="str">
        <f>IF(Table2[[#This Row],[Member Type]]="Main Member",Lookups!$C$14,"")</f>
        <v/>
      </c>
      <c r="AE52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Funeral",_xlfn.XLOOKUP(B522,Table2[Main Member Link ID],Table2[Benefit Name],0)=Lookups!$D$14),"",
IF(AND(Table2[[#This Row],[Member Type]]="Spouse",Table2[[#This Row],[Product Option]]="My Value Plus Life &amp; Funeral",_xlfn.XLOOKUP(B521,Table2[Main Member Link ID],Table2[Benefit Name],0)=Lookups!$D$15),Lookups!$D$20,
IF(AND(Table2[[#This Row],[Member Type]]="Spouse",Table2[[#This Row],[Product Option]]="My Value Plus Life &amp; Funeral",_xlfn.XLOOKUP(B521,Table2[Main Member Link ID],Table2[Benefit Name],0)=Lookups!$D$16),"",
IF(AND(Table2[[#This Row],[Member Type]]="Spouse",Table2[[#This Row],[Product Option]]="My Value Plus Life &amp; Funeral",_xlfn.XLOOKUP(B521,Table2[Main Member Link ID],Table2[Benefit Name],0)=Lookups!$D$17),Lookups!$D$21,
IF(AND(Table2[[#This Row],[Member Type]]="Child",Table2[[#This Row],[Product Option]]="My Value Plus Life &amp; Funeral",_xlfn.XLOOKUP(B522,Table2[Main Member Link ID],Table2[Benefit Name],0)=Lookups!$D$14),"",
IF(AND(Table2[[#This Row],[Member Type]]="Child",Table2[[#This Row],[Product Option]]="My Value Plus Life &amp; Funeral",_xlfn.XLOOKUP(B522,Table2[Main Member Link ID],Table2[Benefit Name],0)=Lookups!$D$15),"",
IF(AND(Table2[[#This Row],[Member Type]]="Child",Table2[[#This Row],[Product Option]]="My Value Plus Life &amp; Funeral",_xlfn.XLOOKUP(B522,Table2[Main Member Link ID],Table2[Benefit Name],0)=Lookups!$D$16),Lookups!$D$24,
IF(AND(Table2[[#This Row],[Member Type]]="Child",Table2[[#This Row],[Product Option]]="My Value Plus Life &amp; Funeral",_xlfn.XLOOKUP(B522,Table2[Main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Funeral",_xlfn.XLOOKUP(B522,Table2[Main Member Link ID],Table2[Benefit Name],0)&lt;&gt;Lookups!$D$14),
IF(_xlfn.XLOOKUP(B522,Table2[Main Member Link ID],Table2[Benefit Name],0)=0,"",_xlfn.XLOOKUP(B522,Table2[Main Member Link ID],Table2[Benefit Name],0)),"")))))))))))))))</f>
        <v/>
      </c>
      <c r="AF522" s="327" t="str">
        <f>IF(AND(Table2[[#This Row],[Member Type]]="Main Member",Table2[[#This Row],[Product Option]]="My Value Plus Life &amp; Funeral"),Lookups!$D$15,
IF(AND(Table2[[#This Row],[Member Type]]="Spouse",Table2[[#This Row],[Product Option]]="My Value Plus Life &amp; Funeral",_xlfn.XLOOKUP(B522,Table2[Main Member Link ID],Table2[Benefit Name],0)=Lookups!$D$14),"",
IF(AND(Table2[[#This Row],[Member Type]]="Spouse",Table2[[#This Row],[Product Option]]="My Value Plus Life &amp; Funeral",_xlfn.XLOOKUP(B521,Table2[Main Member Link ID],Table2[Benefit Name],0)=Lookups!$D$16),"",
IF(AND(Table2[[#This Row],[Member Type]]="Spouse",Table2[[#This Row],[Product Option]]="My Value Plus Life &amp; Funeral",_xlfn.XLOOKUP(B521,Table2[Main Member Link ID],Table2[Benefit Name],0)=Lookups!$D$15),"",
IF(AND(Table2[[#This Row],[Member Type]]="Spouse",Table2[[#This Row],[Product Option]]="My Value Plus Life &amp; Funeral",_xlfn.XLOOKUP(B521,Table2[Main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Funeral",_xlfn.XLOOKUP(B522,Table2[Main Member Link ID],Table2[Benefit Name],0)&lt;&gt;Lookups!$D$15),
IF(_xlfn.XLOOKUP(B522,Table2[Main Member Link ID],Table2[Benefit Name],0)=0,"",_xlfn.XLOOKUP(B522,Table2[Main Member Link ID],Table2[Benefit Name],0)),"")
))))))</f>
        <v/>
      </c>
      <c r="AG522" s="327" t="str">
        <f>IF(AND(Table2[[#This Row],[Member Type]]="Main Member",Table2[[#This Row],[Product Option]]="My Value Plus Life &amp; Funeral"),Lookups!$D$16,
IF(AND(Table2[[#This Row],[Member Type]]="Spouse",Table2[[#This Row],[Product Option]]="My Value Plus Life &amp; Funeral",_xlfn.XLOOKUP(B522,Table2[Main Member Link ID],Table2[Benefit Name],0)=Lookups!$D$14),"",
IF(AND(Table2[[#This Row],[Member Type]]="Spouse",Table2[[#This Row],[Product Option]]="My Value Plus Life &amp; Funeral",_xlfn.XLOOKUP(B521,Table2[Main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Funeral",_xlfn.XLOOKUP(B522,Table2[Main Member Link ID],Table2[Benefit Name],0)&lt;&gt;Lookups!$D$16),
IF(_xlfn.XLOOKUP(B522,Table2[Main Member Link ID],Table2[Benefit Name],0)=0,"",_xlfn.XLOOKUP(B522,Table2[Main Member Link ID],Table2[Benefit Name],0)),"")
))))</f>
        <v/>
      </c>
      <c r="AH522" s="327" t="str">
        <f>IF(AND(Table2[[#This Row],[Member Type]]="Main Member",Table2[[#This Row],[Product Option]]="My Value Plus Life &amp; Funeral"),Lookups!$D$17,
IF(AND(Table2[[#This Row],[Member Type]]="Spouse",Table2[[#This Row],[Product Option]]="My Value Plus Life &amp; Funeral",_xlfn.XLOOKUP(B522,Table2[Main Member Link ID],Table2[Benefit Name],0)=Lookups!$D$14),"",
IF(AND(Table2[[#This Row],[Member Type]]="Spouse",Table2[[#This Row],[Product Option]]="My Value Plus Life &amp; Funeral",_xlfn.XLOOKUP(B521,Table2[Main Member Link ID],Table2[Benefit Name],0)=Lookups!$D$16),"",
IF(AND(Table2[[#This Row],[Member Type]]="Child",Table2[[#This Row],[Product Option]]="My Value Plus Life &amp; Funeral"),"",
IF(AND(Table2[[#This Row],[Member Type]]="Child",Table2[[#This Row],[Product Option]]="My Value Plus Life &amp; Funeral",_xlfn.XLOOKUP(B522,Table2[Main Member Link ID],Table2[Benefit Name],0)=Lookups!$D$15),"",
IF(AND(OR(Table2[[#This Row],[Member Type]]="Spouse",Table2[[#This Row],[Member Type]]="Child"),Table2[[#This Row],[Product Option]]="My Value Plus Life &amp; Funeral",_xlfn.XLOOKUP(B522,Table2[Main Member Link ID],Table2[Benefit Name],0)&lt;&gt;Lookups!$D$17),
IF(_xlfn.XLOOKUP(B522,Table2[Main Member Link ID],Table2[Benefit Name],0)=0,"",_xlfn.XLOOKUP(B522,Table2[Main Member Link ID],Table2[Benefit Name],0)),""))))))</f>
        <v/>
      </c>
      <c r="AI522" s="328" t="str">
        <f>IF(AND(Table2[[#This Row],[Member Type]]="Main Member",Table2[[#This Row],[Table Lookup for Life Cover]]="MM_LIFE",Table2[[#This Row],[Age Next Birthday]]&lt;56),1,
IF(AND(Table2[[#This Row],[Member Type]]="Main Member",Table2[[#This Row],[Table Lookup for Life Cover]]="MM_LIFE",Table2[[#This Row],[Age Next Birthday]]&gt;=56),2,
""))</f>
        <v/>
      </c>
      <c r="AJ522" s="328">
        <f>IF(OR(Table2[[#This Row],[Member Type]]="Main Member",Table2[[#This Row],[Main Member Link ID]]=B521),1,0)</f>
        <v>1</v>
      </c>
      <c r="AK522" s="328">
        <f>IF(Table2[[#This Row],[Member Type]]=0,0,
IF(OR(Table2[[#This Row],[Member Type]]="Main Member",Table2[[#This Row],[Main Member Link ID]]&lt;&gt;B522),COUNTIFS(B:B,Table2[[#This Row],[Main Member Link ID]]),
COUNTIFS(B:B,Table2[[#This Row],[Main Member Link ID]],A:A,Table2[[#This Row],[Member Type]])))</f>
        <v>0</v>
      </c>
    </row>
    <row r="523" spans="1:37" x14ac:dyDescent="0.3">
      <c r="A523" s="284">
        <f>Table13[[#This Row],[Member Type]]</f>
        <v>0</v>
      </c>
      <c r="B523" s="284">
        <f>Table13[[#This Row],[Main Member Link ID]]</f>
        <v>0</v>
      </c>
      <c r="C523" s="284">
        <f>Table13[[#This Row],[ID Number]]</f>
        <v>0</v>
      </c>
      <c r="D523" s="285">
        <f>Table13[[#This Row],[Date Of Birth]]</f>
        <v>0</v>
      </c>
      <c r="E523" s="285">
        <f>Table13[[#This Row],[Commencement Date]]</f>
        <v>0</v>
      </c>
      <c r="F523" s="284">
        <f t="shared" si="56"/>
        <v>1</v>
      </c>
      <c r="G523" s="284">
        <f t="shared" si="57"/>
        <v>25</v>
      </c>
      <c r="H523" s="286">
        <f>Table13[[#This Row],[Product Option]]</f>
        <v>0</v>
      </c>
      <c r="I523" s="284">
        <f>IF(AND($A523="Main Member",Table2[[#This Row],[Product Option]]="My Value Plus Life"),"MM_LIFE",
IF(AND($A523="Spouse",Table2[[#This Row],[Product Option]]="My Value Plus Life"),"SP_LIFE",
IF(AND($A523="Main Member",Table2[[#This Row],[Product Option]]="My Value Plus Life &amp; Funeral"),"MM_LIFE",
IF(AND($A523="Spouse",Table2[[#This Row],[Product Option]]="My Value Plus Life &amp; Funeral"),_xlfn.XLOOKUP(Table2[[#This Row],[Benefit Name]],Lookups!$D$18:$D$23,Lookups!$E$18:$E$23,0),
0))))</f>
        <v>0</v>
      </c>
      <c r="J523" s="284">
        <f>IF($I523="","",
IF($I523="MM_LIFE",INDEX('Quotation Tool'!$S$54:$V$60,MATCH($T523,'Quotation Tool'!$S$54:$S$60,0),4),
IF($I523="SP_LIFE",_xlfn.XLOOKUP(B522,$B:$B,$J:$J,0),0)))</f>
        <v>0</v>
      </c>
      <c r="K523" s="287">
        <f t="shared" ca="1" si="61"/>
        <v>0</v>
      </c>
      <c r="L523" s="288">
        <f t="shared" ca="1" si="62"/>
        <v>0</v>
      </c>
      <c r="M523" s="289">
        <f t="shared" ca="1" si="58"/>
        <v>0</v>
      </c>
      <c r="N523" s="286">
        <f>Table13[[#This Row],[Benefit Option]]</f>
        <v>0</v>
      </c>
      <c r="O523" s="284">
        <f>IF(OR(Table2[[#This Row],[Member Type]]="Spouse",Table2[[#This Row],[Member Type]]="Child"),0,
IF(_xlfn.XLOOKUP($N523,Lookups!$D$13:$D$27,Lookups!$F$13:$F$27,0)=Table2[[#This Row],[Table Lookup for Life Cover]],0,
_xlfn.XLOOKUP($N523,Lookups!$D$13:$D$27,Lookups!$F$13:$F$27,0)))</f>
        <v>0</v>
      </c>
      <c r="P523" s="284">
        <f>IF(Table2[[#This Row],[Table Lookup for Funeral]]=0,0,IFERROR(INDEX('Quotation Tool'!$S$54:$V$60,MATCH($T523,'Quotation Tool'!$S$54:$S$60,0),3),0))</f>
        <v>0</v>
      </c>
      <c r="Q523" s="288">
        <f ca="1">IF(OR(Table2[[#This Row],[Benefit Name]]="My Value Plus Life - Main Member",Table2[[#This Row],[Benefit Name]]="My Value Plus Life - Spouse"),0,
IFERROR(VLOOKUP($G523,INDIRECT($O523),$P523,FALSE),0))</f>
        <v>0</v>
      </c>
      <c r="R523" s="288">
        <f ca="1">IF(OR(Table2[[#This Row],[Benefit Name]]="My Value Plus Life - Main Member",Table2[[#This Row],[Benefit Name]]="My Value Plus Life - Spouse"),0,
IFERROR(VLOOKUP($G523,INDIRECT($O523),$P523+1,FALSE),0))</f>
        <v>0</v>
      </c>
      <c r="S523" s="289">
        <f t="shared" ca="1" si="59"/>
        <v>0</v>
      </c>
      <c r="T523" s="284" t="str">
        <f>IF(Table13[[#This Row],[Premium Waiver]]="","None",Table13[[#This Row],[Premium Waiver]])</f>
        <v>None</v>
      </c>
      <c r="U523" s="284">
        <f>Table13[[#This Row],[VAPs Options]]</f>
        <v>0</v>
      </c>
      <c r="V523" s="284">
        <f>Table13[[#This Row],[Annual Increase Option]]</f>
        <v>0</v>
      </c>
      <c r="W523" s="290">
        <f>Table13[[#This Row],[Life Cover Amount]]</f>
        <v>0</v>
      </c>
      <c r="X523" s="290">
        <f>Table13[[#This Row],[Funeral Cover Amount]]</f>
        <v>0</v>
      </c>
      <c r="Y52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2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23" s="301">
        <f t="shared" ca="1" si="60"/>
        <v>0</v>
      </c>
      <c r="AB523" s="298"/>
      <c r="AC523" s="326" t="str">
        <f>IF(Table2[[#This Row],[Member Type]]="Main Member",Lookups!$C$13,
IF(Table2[[#This Row],[Member Type]]="Spouse",_xlfn.XLOOKUP(B523,Table2[Main Member Link ID],Table2[Product Option],0),
IF(AND(Table2[[#This Row],[Member Type]]="Child",_xlfn.XLOOKUP(B523,Table2[Main Member Link ID],Table2[Product Option],0)&lt;&gt;"My Value Plus Life"),Lookups!$C$24,
IF(AND(OR(Table2[[#This Row],[Member Type]]="Parent",Table2[[#This Row],[Member Type]]="Extended"),_xlfn.XLOOKUP(B523,Table2[Main Member Link ID],Table2[Product Option],0)&lt;&gt;"My Value Plus Life"),Lookups!$C$26,""))))</f>
        <v/>
      </c>
      <c r="AD523" s="326" t="str">
        <f>IF(Table2[[#This Row],[Member Type]]="Main Member",Lookups!$C$14,"")</f>
        <v/>
      </c>
      <c r="AE52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Funeral",_xlfn.XLOOKUP(B523,Table2[Main Member Link ID],Table2[Benefit Name],0)=Lookups!$D$14),"",
IF(AND(Table2[[#This Row],[Member Type]]="Spouse",Table2[[#This Row],[Product Option]]="My Value Plus Life &amp; Funeral",_xlfn.XLOOKUP(B522,Table2[Main Member Link ID],Table2[Benefit Name],0)=Lookups!$D$15),Lookups!$D$20,
IF(AND(Table2[[#This Row],[Member Type]]="Spouse",Table2[[#This Row],[Product Option]]="My Value Plus Life &amp; Funeral",_xlfn.XLOOKUP(B522,Table2[Main Member Link ID],Table2[Benefit Name],0)=Lookups!$D$16),"",
IF(AND(Table2[[#This Row],[Member Type]]="Spouse",Table2[[#This Row],[Product Option]]="My Value Plus Life &amp; Funeral",_xlfn.XLOOKUP(B522,Table2[Main Member Link ID],Table2[Benefit Name],0)=Lookups!$D$17),Lookups!$D$21,
IF(AND(Table2[[#This Row],[Member Type]]="Child",Table2[[#This Row],[Product Option]]="My Value Plus Life &amp; Funeral",_xlfn.XLOOKUP(B523,Table2[Main Member Link ID],Table2[Benefit Name],0)=Lookups!$D$14),"",
IF(AND(Table2[[#This Row],[Member Type]]="Child",Table2[[#This Row],[Product Option]]="My Value Plus Life &amp; Funeral",_xlfn.XLOOKUP(B523,Table2[Main Member Link ID],Table2[Benefit Name],0)=Lookups!$D$15),"",
IF(AND(Table2[[#This Row],[Member Type]]="Child",Table2[[#This Row],[Product Option]]="My Value Plus Life &amp; Funeral",_xlfn.XLOOKUP(B523,Table2[Main Member Link ID],Table2[Benefit Name],0)=Lookups!$D$16),Lookups!$D$24,
IF(AND(Table2[[#This Row],[Member Type]]="Child",Table2[[#This Row],[Product Option]]="My Value Plus Life &amp; Funeral",_xlfn.XLOOKUP(B523,Table2[Main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Funeral",_xlfn.XLOOKUP(B523,Table2[Main Member Link ID],Table2[Benefit Name],0)&lt;&gt;Lookups!$D$14),
IF(_xlfn.XLOOKUP(B523,Table2[Main Member Link ID],Table2[Benefit Name],0)=0,"",_xlfn.XLOOKUP(B523,Table2[Main Member Link ID],Table2[Benefit Name],0)),"")))))))))))))))</f>
        <v/>
      </c>
      <c r="AF523" s="327" t="str">
        <f>IF(AND(Table2[[#This Row],[Member Type]]="Main Member",Table2[[#This Row],[Product Option]]="My Value Plus Life &amp; Funeral"),Lookups!$D$15,
IF(AND(Table2[[#This Row],[Member Type]]="Spouse",Table2[[#This Row],[Product Option]]="My Value Plus Life &amp; Funeral",_xlfn.XLOOKUP(B523,Table2[Main Member Link ID],Table2[Benefit Name],0)=Lookups!$D$14),"",
IF(AND(Table2[[#This Row],[Member Type]]="Spouse",Table2[[#This Row],[Product Option]]="My Value Plus Life &amp; Funeral",_xlfn.XLOOKUP(B522,Table2[Main Member Link ID],Table2[Benefit Name],0)=Lookups!$D$16),"",
IF(AND(Table2[[#This Row],[Member Type]]="Spouse",Table2[[#This Row],[Product Option]]="My Value Plus Life &amp; Funeral",_xlfn.XLOOKUP(B522,Table2[Main Member Link ID],Table2[Benefit Name],0)=Lookups!$D$15),"",
IF(AND(Table2[[#This Row],[Member Type]]="Spouse",Table2[[#This Row],[Product Option]]="My Value Plus Life &amp; Funeral",_xlfn.XLOOKUP(B522,Table2[Main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Funeral",_xlfn.XLOOKUP(B523,Table2[Main Member Link ID],Table2[Benefit Name],0)&lt;&gt;Lookups!$D$15),
IF(_xlfn.XLOOKUP(B523,Table2[Main Member Link ID],Table2[Benefit Name],0)=0,"",_xlfn.XLOOKUP(B523,Table2[Main Member Link ID],Table2[Benefit Name],0)),"")
))))))</f>
        <v/>
      </c>
      <c r="AG523" s="327" t="str">
        <f>IF(AND(Table2[[#This Row],[Member Type]]="Main Member",Table2[[#This Row],[Product Option]]="My Value Plus Life &amp; Funeral"),Lookups!$D$16,
IF(AND(Table2[[#This Row],[Member Type]]="Spouse",Table2[[#This Row],[Product Option]]="My Value Plus Life &amp; Funeral",_xlfn.XLOOKUP(B523,Table2[Main Member Link ID],Table2[Benefit Name],0)=Lookups!$D$14),"",
IF(AND(Table2[[#This Row],[Member Type]]="Spouse",Table2[[#This Row],[Product Option]]="My Value Plus Life &amp; Funeral",_xlfn.XLOOKUP(B522,Table2[Main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Funeral",_xlfn.XLOOKUP(B523,Table2[Main Member Link ID],Table2[Benefit Name],0)&lt;&gt;Lookups!$D$16),
IF(_xlfn.XLOOKUP(B523,Table2[Main Member Link ID],Table2[Benefit Name],0)=0,"",_xlfn.XLOOKUP(B523,Table2[Main Member Link ID],Table2[Benefit Name],0)),"")
))))</f>
        <v/>
      </c>
      <c r="AH523" s="327" t="str">
        <f>IF(AND(Table2[[#This Row],[Member Type]]="Main Member",Table2[[#This Row],[Product Option]]="My Value Plus Life &amp; Funeral"),Lookups!$D$17,
IF(AND(Table2[[#This Row],[Member Type]]="Spouse",Table2[[#This Row],[Product Option]]="My Value Plus Life &amp; Funeral",_xlfn.XLOOKUP(B523,Table2[Main Member Link ID],Table2[Benefit Name],0)=Lookups!$D$14),"",
IF(AND(Table2[[#This Row],[Member Type]]="Spouse",Table2[[#This Row],[Product Option]]="My Value Plus Life &amp; Funeral",_xlfn.XLOOKUP(B522,Table2[Main Member Link ID],Table2[Benefit Name],0)=Lookups!$D$16),"",
IF(AND(Table2[[#This Row],[Member Type]]="Child",Table2[[#This Row],[Product Option]]="My Value Plus Life &amp; Funeral"),"",
IF(AND(Table2[[#This Row],[Member Type]]="Child",Table2[[#This Row],[Product Option]]="My Value Plus Life &amp; Funeral",_xlfn.XLOOKUP(B523,Table2[Main Member Link ID],Table2[Benefit Name],0)=Lookups!$D$15),"",
IF(AND(OR(Table2[[#This Row],[Member Type]]="Spouse",Table2[[#This Row],[Member Type]]="Child"),Table2[[#This Row],[Product Option]]="My Value Plus Life &amp; Funeral",_xlfn.XLOOKUP(B523,Table2[Main Member Link ID],Table2[Benefit Name],0)&lt;&gt;Lookups!$D$17),
IF(_xlfn.XLOOKUP(B523,Table2[Main Member Link ID],Table2[Benefit Name],0)=0,"",_xlfn.XLOOKUP(B523,Table2[Main Member Link ID],Table2[Benefit Name],0)),""))))))</f>
        <v/>
      </c>
      <c r="AI523" s="328" t="str">
        <f>IF(AND(Table2[[#This Row],[Member Type]]="Main Member",Table2[[#This Row],[Table Lookup for Life Cover]]="MM_LIFE",Table2[[#This Row],[Age Next Birthday]]&lt;56),1,
IF(AND(Table2[[#This Row],[Member Type]]="Main Member",Table2[[#This Row],[Table Lookup for Life Cover]]="MM_LIFE",Table2[[#This Row],[Age Next Birthday]]&gt;=56),2,
""))</f>
        <v/>
      </c>
      <c r="AJ523" s="328">
        <f>IF(OR(Table2[[#This Row],[Member Type]]="Main Member",Table2[[#This Row],[Main Member Link ID]]=B522),1,0)</f>
        <v>1</v>
      </c>
      <c r="AK523" s="328">
        <f>IF(Table2[[#This Row],[Member Type]]=0,0,
IF(OR(Table2[[#This Row],[Member Type]]="Main Member",Table2[[#This Row],[Main Member Link ID]]&lt;&gt;B523),COUNTIFS(B:B,Table2[[#This Row],[Main Member Link ID]]),
COUNTIFS(B:B,Table2[[#This Row],[Main Member Link ID]],A:A,Table2[[#This Row],[Member Type]])))</f>
        <v>0</v>
      </c>
    </row>
    <row r="524" spans="1:37" x14ac:dyDescent="0.3">
      <c r="A524" s="284">
        <f>Table13[[#This Row],[Member Type]]</f>
        <v>0</v>
      </c>
      <c r="B524" s="284">
        <f>Table13[[#This Row],[Main Member Link ID]]</f>
        <v>0</v>
      </c>
      <c r="C524" s="284">
        <f>Table13[[#This Row],[ID Number]]</f>
        <v>0</v>
      </c>
      <c r="D524" s="285">
        <f>Table13[[#This Row],[Date Of Birth]]</f>
        <v>0</v>
      </c>
      <c r="E524" s="285">
        <f>Table13[[#This Row],[Commencement Date]]</f>
        <v>0</v>
      </c>
      <c r="F524" s="284">
        <f t="shared" si="56"/>
        <v>1</v>
      </c>
      <c r="G524" s="284">
        <f t="shared" si="57"/>
        <v>25</v>
      </c>
      <c r="H524" s="286">
        <f>Table13[[#This Row],[Product Option]]</f>
        <v>0</v>
      </c>
      <c r="I524" s="284">
        <f>IF(AND($A524="Main Member",Table2[[#This Row],[Product Option]]="My Value Plus Life"),"MM_LIFE",
IF(AND($A524="Spouse",Table2[[#This Row],[Product Option]]="My Value Plus Life"),"SP_LIFE",
IF(AND($A524="Main Member",Table2[[#This Row],[Product Option]]="My Value Plus Life &amp; Funeral"),"MM_LIFE",
IF(AND($A524="Spouse",Table2[[#This Row],[Product Option]]="My Value Plus Life &amp; Funeral"),_xlfn.XLOOKUP(Table2[[#This Row],[Benefit Name]],Lookups!$D$18:$D$23,Lookups!$E$18:$E$23,0),
0))))</f>
        <v>0</v>
      </c>
      <c r="J524" s="284">
        <f>IF($I524="","",
IF($I524="MM_LIFE",INDEX('Quotation Tool'!$S$54:$V$60,MATCH($T524,'Quotation Tool'!$S$54:$S$60,0),4),
IF($I524="SP_LIFE",_xlfn.XLOOKUP(B523,$B:$B,$J:$J,0),0)))</f>
        <v>0</v>
      </c>
      <c r="K524" s="287">
        <f t="shared" ca="1" si="61"/>
        <v>0</v>
      </c>
      <c r="L524" s="288">
        <f t="shared" ca="1" si="62"/>
        <v>0</v>
      </c>
      <c r="M524" s="289">
        <f t="shared" ca="1" si="58"/>
        <v>0</v>
      </c>
      <c r="N524" s="286">
        <f>Table13[[#This Row],[Benefit Option]]</f>
        <v>0</v>
      </c>
      <c r="O524" s="284">
        <f>IF(OR(Table2[[#This Row],[Member Type]]="Spouse",Table2[[#This Row],[Member Type]]="Child"),0,
IF(_xlfn.XLOOKUP($N524,Lookups!$D$13:$D$27,Lookups!$F$13:$F$27,0)=Table2[[#This Row],[Table Lookup for Life Cover]],0,
_xlfn.XLOOKUP($N524,Lookups!$D$13:$D$27,Lookups!$F$13:$F$27,0)))</f>
        <v>0</v>
      </c>
      <c r="P524" s="284">
        <f>IF(Table2[[#This Row],[Table Lookup for Funeral]]=0,0,IFERROR(INDEX('Quotation Tool'!$S$54:$V$60,MATCH($T524,'Quotation Tool'!$S$54:$S$60,0),3),0))</f>
        <v>0</v>
      </c>
      <c r="Q524" s="288">
        <f ca="1">IF(OR(Table2[[#This Row],[Benefit Name]]="My Value Plus Life - Main Member",Table2[[#This Row],[Benefit Name]]="My Value Plus Life - Spouse"),0,
IFERROR(VLOOKUP($G524,INDIRECT($O524),$P524,FALSE),0))</f>
        <v>0</v>
      </c>
      <c r="R524" s="288">
        <f ca="1">IF(OR(Table2[[#This Row],[Benefit Name]]="My Value Plus Life - Main Member",Table2[[#This Row],[Benefit Name]]="My Value Plus Life - Spouse"),0,
IFERROR(VLOOKUP($G524,INDIRECT($O524),$P524+1,FALSE),0))</f>
        <v>0</v>
      </c>
      <c r="S524" s="289">
        <f t="shared" ca="1" si="59"/>
        <v>0</v>
      </c>
      <c r="T524" s="284" t="str">
        <f>IF(Table13[[#This Row],[Premium Waiver]]="","None",Table13[[#This Row],[Premium Waiver]])</f>
        <v>None</v>
      </c>
      <c r="U524" s="284">
        <f>Table13[[#This Row],[VAPs Options]]</f>
        <v>0</v>
      </c>
      <c r="V524" s="284">
        <f>Table13[[#This Row],[Annual Increase Option]]</f>
        <v>0</v>
      </c>
      <c r="W524" s="290">
        <f>Table13[[#This Row],[Life Cover Amount]]</f>
        <v>0</v>
      </c>
      <c r="X524" s="290">
        <f>Table13[[#This Row],[Funeral Cover Amount]]</f>
        <v>0</v>
      </c>
      <c r="Y52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2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24" s="301">
        <f t="shared" ca="1" si="60"/>
        <v>0</v>
      </c>
      <c r="AB524" s="298"/>
      <c r="AC524" s="326" t="str">
        <f>IF(Table2[[#This Row],[Member Type]]="Main Member",Lookups!$C$13,
IF(Table2[[#This Row],[Member Type]]="Spouse",_xlfn.XLOOKUP(B524,Table2[Main Member Link ID],Table2[Product Option],0),
IF(AND(Table2[[#This Row],[Member Type]]="Child",_xlfn.XLOOKUP(B524,Table2[Main Member Link ID],Table2[Product Option],0)&lt;&gt;"My Value Plus Life"),Lookups!$C$24,
IF(AND(OR(Table2[[#This Row],[Member Type]]="Parent",Table2[[#This Row],[Member Type]]="Extended"),_xlfn.XLOOKUP(B524,Table2[Main Member Link ID],Table2[Product Option],0)&lt;&gt;"My Value Plus Life"),Lookups!$C$26,""))))</f>
        <v/>
      </c>
      <c r="AD524" s="326" t="str">
        <f>IF(Table2[[#This Row],[Member Type]]="Main Member",Lookups!$C$14,"")</f>
        <v/>
      </c>
      <c r="AE52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Funeral",_xlfn.XLOOKUP(B524,Table2[Main Member Link ID],Table2[Benefit Name],0)=Lookups!$D$14),"",
IF(AND(Table2[[#This Row],[Member Type]]="Spouse",Table2[[#This Row],[Product Option]]="My Value Plus Life &amp; Funeral",_xlfn.XLOOKUP(B523,Table2[Main Member Link ID],Table2[Benefit Name],0)=Lookups!$D$15),Lookups!$D$20,
IF(AND(Table2[[#This Row],[Member Type]]="Spouse",Table2[[#This Row],[Product Option]]="My Value Plus Life &amp; Funeral",_xlfn.XLOOKUP(B523,Table2[Main Member Link ID],Table2[Benefit Name],0)=Lookups!$D$16),"",
IF(AND(Table2[[#This Row],[Member Type]]="Spouse",Table2[[#This Row],[Product Option]]="My Value Plus Life &amp; Funeral",_xlfn.XLOOKUP(B523,Table2[Main Member Link ID],Table2[Benefit Name],0)=Lookups!$D$17),Lookups!$D$21,
IF(AND(Table2[[#This Row],[Member Type]]="Child",Table2[[#This Row],[Product Option]]="My Value Plus Life &amp; Funeral",_xlfn.XLOOKUP(B524,Table2[Main Member Link ID],Table2[Benefit Name],0)=Lookups!$D$14),"",
IF(AND(Table2[[#This Row],[Member Type]]="Child",Table2[[#This Row],[Product Option]]="My Value Plus Life &amp; Funeral",_xlfn.XLOOKUP(B524,Table2[Main Member Link ID],Table2[Benefit Name],0)=Lookups!$D$15),"",
IF(AND(Table2[[#This Row],[Member Type]]="Child",Table2[[#This Row],[Product Option]]="My Value Plus Life &amp; Funeral",_xlfn.XLOOKUP(B524,Table2[Main Member Link ID],Table2[Benefit Name],0)=Lookups!$D$16),Lookups!$D$24,
IF(AND(Table2[[#This Row],[Member Type]]="Child",Table2[[#This Row],[Product Option]]="My Value Plus Life &amp; Funeral",_xlfn.XLOOKUP(B524,Table2[Main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Funeral",_xlfn.XLOOKUP(B524,Table2[Main Member Link ID],Table2[Benefit Name],0)&lt;&gt;Lookups!$D$14),
IF(_xlfn.XLOOKUP(B524,Table2[Main Member Link ID],Table2[Benefit Name],0)=0,"",_xlfn.XLOOKUP(B524,Table2[Main Member Link ID],Table2[Benefit Name],0)),"")))))))))))))))</f>
        <v/>
      </c>
      <c r="AF524" s="327" t="str">
        <f>IF(AND(Table2[[#This Row],[Member Type]]="Main Member",Table2[[#This Row],[Product Option]]="My Value Plus Life &amp; Funeral"),Lookups!$D$15,
IF(AND(Table2[[#This Row],[Member Type]]="Spouse",Table2[[#This Row],[Product Option]]="My Value Plus Life &amp; Funeral",_xlfn.XLOOKUP(B524,Table2[Main Member Link ID],Table2[Benefit Name],0)=Lookups!$D$14),"",
IF(AND(Table2[[#This Row],[Member Type]]="Spouse",Table2[[#This Row],[Product Option]]="My Value Plus Life &amp; Funeral",_xlfn.XLOOKUP(B523,Table2[Main Member Link ID],Table2[Benefit Name],0)=Lookups!$D$16),"",
IF(AND(Table2[[#This Row],[Member Type]]="Spouse",Table2[[#This Row],[Product Option]]="My Value Plus Life &amp; Funeral",_xlfn.XLOOKUP(B523,Table2[Main Member Link ID],Table2[Benefit Name],0)=Lookups!$D$15),"",
IF(AND(Table2[[#This Row],[Member Type]]="Spouse",Table2[[#This Row],[Product Option]]="My Value Plus Life &amp; Funeral",_xlfn.XLOOKUP(B523,Table2[Main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Funeral",_xlfn.XLOOKUP(B524,Table2[Main Member Link ID],Table2[Benefit Name],0)&lt;&gt;Lookups!$D$15),
IF(_xlfn.XLOOKUP(B524,Table2[Main Member Link ID],Table2[Benefit Name],0)=0,"",_xlfn.XLOOKUP(B524,Table2[Main Member Link ID],Table2[Benefit Name],0)),"")
))))))</f>
        <v/>
      </c>
      <c r="AG524" s="327" t="str">
        <f>IF(AND(Table2[[#This Row],[Member Type]]="Main Member",Table2[[#This Row],[Product Option]]="My Value Plus Life &amp; Funeral"),Lookups!$D$16,
IF(AND(Table2[[#This Row],[Member Type]]="Spouse",Table2[[#This Row],[Product Option]]="My Value Plus Life &amp; Funeral",_xlfn.XLOOKUP(B524,Table2[Main Member Link ID],Table2[Benefit Name],0)=Lookups!$D$14),"",
IF(AND(Table2[[#This Row],[Member Type]]="Spouse",Table2[[#This Row],[Product Option]]="My Value Plus Life &amp; Funeral",_xlfn.XLOOKUP(B523,Table2[Main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Funeral",_xlfn.XLOOKUP(B524,Table2[Main Member Link ID],Table2[Benefit Name],0)&lt;&gt;Lookups!$D$16),
IF(_xlfn.XLOOKUP(B524,Table2[Main Member Link ID],Table2[Benefit Name],0)=0,"",_xlfn.XLOOKUP(B524,Table2[Main Member Link ID],Table2[Benefit Name],0)),"")
))))</f>
        <v/>
      </c>
      <c r="AH524" s="327" t="str">
        <f>IF(AND(Table2[[#This Row],[Member Type]]="Main Member",Table2[[#This Row],[Product Option]]="My Value Plus Life &amp; Funeral"),Lookups!$D$17,
IF(AND(Table2[[#This Row],[Member Type]]="Spouse",Table2[[#This Row],[Product Option]]="My Value Plus Life &amp; Funeral",_xlfn.XLOOKUP(B524,Table2[Main Member Link ID],Table2[Benefit Name],0)=Lookups!$D$14),"",
IF(AND(Table2[[#This Row],[Member Type]]="Spouse",Table2[[#This Row],[Product Option]]="My Value Plus Life &amp; Funeral",_xlfn.XLOOKUP(B523,Table2[Main Member Link ID],Table2[Benefit Name],0)=Lookups!$D$16),"",
IF(AND(Table2[[#This Row],[Member Type]]="Child",Table2[[#This Row],[Product Option]]="My Value Plus Life &amp; Funeral"),"",
IF(AND(Table2[[#This Row],[Member Type]]="Child",Table2[[#This Row],[Product Option]]="My Value Plus Life &amp; Funeral",_xlfn.XLOOKUP(B524,Table2[Main Member Link ID],Table2[Benefit Name],0)=Lookups!$D$15),"",
IF(AND(OR(Table2[[#This Row],[Member Type]]="Spouse",Table2[[#This Row],[Member Type]]="Child"),Table2[[#This Row],[Product Option]]="My Value Plus Life &amp; Funeral",_xlfn.XLOOKUP(B524,Table2[Main Member Link ID],Table2[Benefit Name],0)&lt;&gt;Lookups!$D$17),
IF(_xlfn.XLOOKUP(B524,Table2[Main Member Link ID],Table2[Benefit Name],0)=0,"",_xlfn.XLOOKUP(B524,Table2[Main Member Link ID],Table2[Benefit Name],0)),""))))))</f>
        <v/>
      </c>
      <c r="AI524" s="328" t="str">
        <f>IF(AND(Table2[[#This Row],[Member Type]]="Main Member",Table2[[#This Row],[Table Lookup for Life Cover]]="MM_LIFE",Table2[[#This Row],[Age Next Birthday]]&lt;56),1,
IF(AND(Table2[[#This Row],[Member Type]]="Main Member",Table2[[#This Row],[Table Lookup for Life Cover]]="MM_LIFE",Table2[[#This Row],[Age Next Birthday]]&gt;=56),2,
""))</f>
        <v/>
      </c>
      <c r="AJ524" s="328">
        <f>IF(OR(Table2[[#This Row],[Member Type]]="Main Member",Table2[[#This Row],[Main Member Link ID]]=B523),1,0)</f>
        <v>1</v>
      </c>
      <c r="AK524" s="328">
        <f>IF(Table2[[#This Row],[Member Type]]=0,0,
IF(OR(Table2[[#This Row],[Member Type]]="Main Member",Table2[[#This Row],[Main Member Link ID]]&lt;&gt;B524),COUNTIFS(B:B,Table2[[#This Row],[Main Member Link ID]]),
COUNTIFS(B:B,Table2[[#This Row],[Main Member Link ID]],A:A,Table2[[#This Row],[Member Type]])))</f>
        <v>0</v>
      </c>
    </row>
    <row r="525" spans="1:37" x14ac:dyDescent="0.3">
      <c r="A525" s="284">
        <f>Table13[[#This Row],[Member Type]]</f>
        <v>0</v>
      </c>
      <c r="B525" s="284">
        <f>Table13[[#This Row],[Main Member Link ID]]</f>
        <v>0</v>
      </c>
      <c r="C525" s="284">
        <f>Table13[[#This Row],[ID Number]]</f>
        <v>0</v>
      </c>
      <c r="D525" s="285">
        <f>Table13[[#This Row],[Date Of Birth]]</f>
        <v>0</v>
      </c>
      <c r="E525" s="285">
        <f>Table13[[#This Row],[Commencement Date]]</f>
        <v>0</v>
      </c>
      <c r="F525" s="284">
        <f t="shared" si="56"/>
        <v>1</v>
      </c>
      <c r="G525" s="284">
        <f t="shared" si="57"/>
        <v>25</v>
      </c>
      <c r="H525" s="286">
        <f>Table13[[#This Row],[Product Option]]</f>
        <v>0</v>
      </c>
      <c r="I525" s="284">
        <f>IF(AND($A525="Main Member",Table2[[#This Row],[Product Option]]="My Value Plus Life"),"MM_LIFE",
IF(AND($A525="Spouse",Table2[[#This Row],[Product Option]]="My Value Plus Life"),"SP_LIFE",
IF(AND($A525="Main Member",Table2[[#This Row],[Product Option]]="My Value Plus Life &amp; Funeral"),"MM_LIFE",
IF(AND($A525="Spouse",Table2[[#This Row],[Product Option]]="My Value Plus Life &amp; Funeral"),_xlfn.XLOOKUP(Table2[[#This Row],[Benefit Name]],Lookups!$D$18:$D$23,Lookups!$E$18:$E$23,0),
0))))</f>
        <v>0</v>
      </c>
      <c r="J525" s="284">
        <f>IF($I525="","",
IF($I525="MM_LIFE",INDEX('Quotation Tool'!$S$54:$V$60,MATCH($T525,'Quotation Tool'!$S$54:$S$60,0),4),
IF($I525="SP_LIFE",_xlfn.XLOOKUP(B524,$B:$B,$J:$J,0),0)))</f>
        <v>0</v>
      </c>
      <c r="K525" s="287">
        <f t="shared" ca="1" si="61"/>
        <v>0</v>
      </c>
      <c r="L525" s="288">
        <f t="shared" ca="1" si="62"/>
        <v>0</v>
      </c>
      <c r="M525" s="289">
        <f t="shared" ca="1" si="58"/>
        <v>0</v>
      </c>
      <c r="N525" s="286">
        <f>Table13[[#This Row],[Benefit Option]]</f>
        <v>0</v>
      </c>
      <c r="O525" s="284">
        <f>IF(OR(Table2[[#This Row],[Member Type]]="Spouse",Table2[[#This Row],[Member Type]]="Child"),0,
IF(_xlfn.XLOOKUP($N525,Lookups!$D$13:$D$27,Lookups!$F$13:$F$27,0)=Table2[[#This Row],[Table Lookup for Life Cover]],0,
_xlfn.XLOOKUP($N525,Lookups!$D$13:$D$27,Lookups!$F$13:$F$27,0)))</f>
        <v>0</v>
      </c>
      <c r="P525" s="284">
        <f>IF(Table2[[#This Row],[Table Lookup for Funeral]]=0,0,IFERROR(INDEX('Quotation Tool'!$S$54:$V$60,MATCH($T525,'Quotation Tool'!$S$54:$S$60,0),3),0))</f>
        <v>0</v>
      </c>
      <c r="Q525" s="288">
        <f ca="1">IF(OR(Table2[[#This Row],[Benefit Name]]="My Value Plus Life - Main Member",Table2[[#This Row],[Benefit Name]]="My Value Plus Life - Spouse"),0,
IFERROR(VLOOKUP($G525,INDIRECT($O525),$P525,FALSE),0))</f>
        <v>0</v>
      </c>
      <c r="R525" s="288">
        <f ca="1">IF(OR(Table2[[#This Row],[Benefit Name]]="My Value Plus Life - Main Member",Table2[[#This Row],[Benefit Name]]="My Value Plus Life - Spouse"),0,
IFERROR(VLOOKUP($G525,INDIRECT($O525),$P525+1,FALSE),0))</f>
        <v>0</v>
      </c>
      <c r="S525" s="289">
        <f t="shared" ca="1" si="59"/>
        <v>0</v>
      </c>
      <c r="T525" s="284" t="str">
        <f>IF(Table13[[#This Row],[Premium Waiver]]="","None",Table13[[#This Row],[Premium Waiver]])</f>
        <v>None</v>
      </c>
      <c r="U525" s="284">
        <f>Table13[[#This Row],[VAPs Options]]</f>
        <v>0</v>
      </c>
      <c r="V525" s="284">
        <f>Table13[[#This Row],[Annual Increase Option]]</f>
        <v>0</v>
      </c>
      <c r="W525" s="290">
        <f>Table13[[#This Row],[Life Cover Amount]]</f>
        <v>0</v>
      </c>
      <c r="X525" s="290">
        <f>Table13[[#This Row],[Funeral Cover Amount]]</f>
        <v>0</v>
      </c>
      <c r="Y52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2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25" s="301">
        <f t="shared" ca="1" si="60"/>
        <v>0</v>
      </c>
      <c r="AB525" s="298"/>
      <c r="AC525" s="326" t="str">
        <f>IF(Table2[[#This Row],[Member Type]]="Main Member",Lookups!$C$13,
IF(Table2[[#This Row],[Member Type]]="Spouse",_xlfn.XLOOKUP(B525,Table2[Main Member Link ID],Table2[Product Option],0),
IF(AND(Table2[[#This Row],[Member Type]]="Child",_xlfn.XLOOKUP(B525,Table2[Main Member Link ID],Table2[Product Option],0)&lt;&gt;"My Value Plus Life"),Lookups!$C$24,
IF(AND(OR(Table2[[#This Row],[Member Type]]="Parent",Table2[[#This Row],[Member Type]]="Extended"),_xlfn.XLOOKUP(B525,Table2[Main Member Link ID],Table2[Product Option],0)&lt;&gt;"My Value Plus Life"),Lookups!$C$26,""))))</f>
        <v/>
      </c>
      <c r="AD525" s="326" t="str">
        <f>IF(Table2[[#This Row],[Member Type]]="Main Member",Lookups!$C$14,"")</f>
        <v/>
      </c>
      <c r="AE52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Funeral",_xlfn.XLOOKUP(B525,Table2[Main Member Link ID],Table2[Benefit Name],0)=Lookups!$D$14),"",
IF(AND(Table2[[#This Row],[Member Type]]="Spouse",Table2[[#This Row],[Product Option]]="My Value Plus Life &amp; Funeral",_xlfn.XLOOKUP(B524,Table2[Main Member Link ID],Table2[Benefit Name],0)=Lookups!$D$15),Lookups!$D$20,
IF(AND(Table2[[#This Row],[Member Type]]="Spouse",Table2[[#This Row],[Product Option]]="My Value Plus Life &amp; Funeral",_xlfn.XLOOKUP(B524,Table2[Main Member Link ID],Table2[Benefit Name],0)=Lookups!$D$16),"",
IF(AND(Table2[[#This Row],[Member Type]]="Spouse",Table2[[#This Row],[Product Option]]="My Value Plus Life &amp; Funeral",_xlfn.XLOOKUP(B524,Table2[Main Member Link ID],Table2[Benefit Name],0)=Lookups!$D$17),Lookups!$D$21,
IF(AND(Table2[[#This Row],[Member Type]]="Child",Table2[[#This Row],[Product Option]]="My Value Plus Life &amp; Funeral",_xlfn.XLOOKUP(B525,Table2[Main Member Link ID],Table2[Benefit Name],0)=Lookups!$D$14),"",
IF(AND(Table2[[#This Row],[Member Type]]="Child",Table2[[#This Row],[Product Option]]="My Value Plus Life &amp; Funeral",_xlfn.XLOOKUP(B525,Table2[Main Member Link ID],Table2[Benefit Name],0)=Lookups!$D$15),"",
IF(AND(Table2[[#This Row],[Member Type]]="Child",Table2[[#This Row],[Product Option]]="My Value Plus Life &amp; Funeral",_xlfn.XLOOKUP(B525,Table2[Main Member Link ID],Table2[Benefit Name],0)=Lookups!$D$16),Lookups!$D$24,
IF(AND(Table2[[#This Row],[Member Type]]="Child",Table2[[#This Row],[Product Option]]="My Value Plus Life &amp; Funeral",_xlfn.XLOOKUP(B525,Table2[Main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Funeral",_xlfn.XLOOKUP(B525,Table2[Main Member Link ID],Table2[Benefit Name],0)&lt;&gt;Lookups!$D$14),
IF(_xlfn.XLOOKUP(B525,Table2[Main Member Link ID],Table2[Benefit Name],0)=0,"",_xlfn.XLOOKUP(B525,Table2[Main Member Link ID],Table2[Benefit Name],0)),"")))))))))))))))</f>
        <v/>
      </c>
      <c r="AF525" s="327" t="str">
        <f>IF(AND(Table2[[#This Row],[Member Type]]="Main Member",Table2[[#This Row],[Product Option]]="My Value Plus Life &amp; Funeral"),Lookups!$D$15,
IF(AND(Table2[[#This Row],[Member Type]]="Spouse",Table2[[#This Row],[Product Option]]="My Value Plus Life &amp; Funeral",_xlfn.XLOOKUP(B525,Table2[Main Member Link ID],Table2[Benefit Name],0)=Lookups!$D$14),"",
IF(AND(Table2[[#This Row],[Member Type]]="Spouse",Table2[[#This Row],[Product Option]]="My Value Plus Life &amp; Funeral",_xlfn.XLOOKUP(B524,Table2[Main Member Link ID],Table2[Benefit Name],0)=Lookups!$D$16),"",
IF(AND(Table2[[#This Row],[Member Type]]="Spouse",Table2[[#This Row],[Product Option]]="My Value Plus Life &amp; Funeral",_xlfn.XLOOKUP(B524,Table2[Main Member Link ID],Table2[Benefit Name],0)=Lookups!$D$15),"",
IF(AND(Table2[[#This Row],[Member Type]]="Spouse",Table2[[#This Row],[Product Option]]="My Value Plus Life &amp; Funeral",_xlfn.XLOOKUP(B524,Table2[Main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Funeral",_xlfn.XLOOKUP(B525,Table2[Main Member Link ID],Table2[Benefit Name],0)&lt;&gt;Lookups!$D$15),
IF(_xlfn.XLOOKUP(B525,Table2[Main Member Link ID],Table2[Benefit Name],0)=0,"",_xlfn.XLOOKUP(B525,Table2[Main Member Link ID],Table2[Benefit Name],0)),"")
))))))</f>
        <v/>
      </c>
      <c r="AG525" s="327" t="str">
        <f>IF(AND(Table2[[#This Row],[Member Type]]="Main Member",Table2[[#This Row],[Product Option]]="My Value Plus Life &amp; Funeral"),Lookups!$D$16,
IF(AND(Table2[[#This Row],[Member Type]]="Spouse",Table2[[#This Row],[Product Option]]="My Value Plus Life &amp; Funeral",_xlfn.XLOOKUP(B525,Table2[Main Member Link ID],Table2[Benefit Name],0)=Lookups!$D$14),"",
IF(AND(Table2[[#This Row],[Member Type]]="Spouse",Table2[[#This Row],[Product Option]]="My Value Plus Life &amp; Funeral",_xlfn.XLOOKUP(B524,Table2[Main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Funeral",_xlfn.XLOOKUP(B525,Table2[Main Member Link ID],Table2[Benefit Name],0)&lt;&gt;Lookups!$D$16),
IF(_xlfn.XLOOKUP(B525,Table2[Main Member Link ID],Table2[Benefit Name],0)=0,"",_xlfn.XLOOKUP(B525,Table2[Main Member Link ID],Table2[Benefit Name],0)),"")
))))</f>
        <v/>
      </c>
      <c r="AH525" s="327" t="str">
        <f>IF(AND(Table2[[#This Row],[Member Type]]="Main Member",Table2[[#This Row],[Product Option]]="My Value Plus Life &amp; Funeral"),Lookups!$D$17,
IF(AND(Table2[[#This Row],[Member Type]]="Spouse",Table2[[#This Row],[Product Option]]="My Value Plus Life &amp; Funeral",_xlfn.XLOOKUP(B525,Table2[Main Member Link ID],Table2[Benefit Name],0)=Lookups!$D$14),"",
IF(AND(Table2[[#This Row],[Member Type]]="Spouse",Table2[[#This Row],[Product Option]]="My Value Plus Life &amp; Funeral",_xlfn.XLOOKUP(B524,Table2[Main Member Link ID],Table2[Benefit Name],0)=Lookups!$D$16),"",
IF(AND(Table2[[#This Row],[Member Type]]="Child",Table2[[#This Row],[Product Option]]="My Value Plus Life &amp; Funeral"),"",
IF(AND(Table2[[#This Row],[Member Type]]="Child",Table2[[#This Row],[Product Option]]="My Value Plus Life &amp; Funeral",_xlfn.XLOOKUP(B525,Table2[Main Member Link ID],Table2[Benefit Name],0)=Lookups!$D$15),"",
IF(AND(OR(Table2[[#This Row],[Member Type]]="Spouse",Table2[[#This Row],[Member Type]]="Child"),Table2[[#This Row],[Product Option]]="My Value Plus Life &amp; Funeral",_xlfn.XLOOKUP(B525,Table2[Main Member Link ID],Table2[Benefit Name],0)&lt;&gt;Lookups!$D$17),
IF(_xlfn.XLOOKUP(B525,Table2[Main Member Link ID],Table2[Benefit Name],0)=0,"",_xlfn.XLOOKUP(B525,Table2[Main Member Link ID],Table2[Benefit Name],0)),""))))))</f>
        <v/>
      </c>
      <c r="AI525" s="328" t="str">
        <f>IF(AND(Table2[[#This Row],[Member Type]]="Main Member",Table2[[#This Row],[Table Lookup for Life Cover]]="MM_LIFE",Table2[[#This Row],[Age Next Birthday]]&lt;56),1,
IF(AND(Table2[[#This Row],[Member Type]]="Main Member",Table2[[#This Row],[Table Lookup for Life Cover]]="MM_LIFE",Table2[[#This Row],[Age Next Birthday]]&gt;=56),2,
""))</f>
        <v/>
      </c>
      <c r="AJ525" s="328">
        <f>IF(OR(Table2[[#This Row],[Member Type]]="Main Member",Table2[[#This Row],[Main Member Link ID]]=B524),1,0)</f>
        <v>1</v>
      </c>
      <c r="AK525" s="328">
        <f>IF(Table2[[#This Row],[Member Type]]=0,0,
IF(OR(Table2[[#This Row],[Member Type]]="Main Member",Table2[[#This Row],[Main Member Link ID]]&lt;&gt;B525),COUNTIFS(B:B,Table2[[#This Row],[Main Member Link ID]]),
COUNTIFS(B:B,Table2[[#This Row],[Main Member Link ID]],A:A,Table2[[#This Row],[Member Type]])))</f>
        <v>0</v>
      </c>
    </row>
    <row r="526" spans="1:37" x14ac:dyDescent="0.3">
      <c r="A526" s="284">
        <f>Table13[[#This Row],[Member Type]]</f>
        <v>0</v>
      </c>
      <c r="B526" s="284">
        <f>Table13[[#This Row],[Main Member Link ID]]</f>
        <v>0</v>
      </c>
      <c r="C526" s="284">
        <f>Table13[[#This Row],[ID Number]]</f>
        <v>0</v>
      </c>
      <c r="D526" s="285">
        <f>Table13[[#This Row],[Date Of Birth]]</f>
        <v>0</v>
      </c>
      <c r="E526" s="285">
        <f>Table13[[#This Row],[Commencement Date]]</f>
        <v>0</v>
      </c>
      <c r="F526" s="284">
        <f t="shared" si="56"/>
        <v>1</v>
      </c>
      <c r="G526" s="284">
        <f t="shared" si="57"/>
        <v>25</v>
      </c>
      <c r="H526" s="286">
        <f>Table13[[#This Row],[Product Option]]</f>
        <v>0</v>
      </c>
      <c r="I526" s="284">
        <f>IF(AND($A526="Main Member",Table2[[#This Row],[Product Option]]="My Value Plus Life"),"MM_LIFE",
IF(AND($A526="Spouse",Table2[[#This Row],[Product Option]]="My Value Plus Life"),"SP_LIFE",
IF(AND($A526="Main Member",Table2[[#This Row],[Product Option]]="My Value Plus Life &amp; Funeral"),"MM_LIFE",
IF(AND($A526="Spouse",Table2[[#This Row],[Product Option]]="My Value Plus Life &amp; Funeral"),_xlfn.XLOOKUP(Table2[[#This Row],[Benefit Name]],Lookups!$D$18:$D$23,Lookups!$E$18:$E$23,0),
0))))</f>
        <v>0</v>
      </c>
      <c r="J526" s="284">
        <f>IF($I526="","",
IF($I526="MM_LIFE",INDEX('Quotation Tool'!$S$54:$V$60,MATCH($T526,'Quotation Tool'!$S$54:$S$60,0),4),
IF($I526="SP_LIFE",_xlfn.XLOOKUP(B525,$B:$B,$J:$J,0),0)))</f>
        <v>0</v>
      </c>
      <c r="K526" s="287">
        <f t="shared" ca="1" si="61"/>
        <v>0</v>
      </c>
      <c r="L526" s="288">
        <f t="shared" ca="1" si="62"/>
        <v>0</v>
      </c>
      <c r="M526" s="289">
        <f t="shared" ca="1" si="58"/>
        <v>0</v>
      </c>
      <c r="N526" s="286">
        <f>Table13[[#This Row],[Benefit Option]]</f>
        <v>0</v>
      </c>
      <c r="O526" s="284">
        <f>IF(OR(Table2[[#This Row],[Member Type]]="Spouse",Table2[[#This Row],[Member Type]]="Child"),0,
IF(_xlfn.XLOOKUP($N526,Lookups!$D$13:$D$27,Lookups!$F$13:$F$27,0)=Table2[[#This Row],[Table Lookup for Life Cover]],0,
_xlfn.XLOOKUP($N526,Lookups!$D$13:$D$27,Lookups!$F$13:$F$27,0)))</f>
        <v>0</v>
      </c>
      <c r="P526" s="284">
        <f>IF(Table2[[#This Row],[Table Lookup for Funeral]]=0,0,IFERROR(INDEX('Quotation Tool'!$S$54:$V$60,MATCH($T526,'Quotation Tool'!$S$54:$S$60,0),3),0))</f>
        <v>0</v>
      </c>
      <c r="Q526" s="288">
        <f ca="1">IF(OR(Table2[[#This Row],[Benefit Name]]="My Value Plus Life - Main Member",Table2[[#This Row],[Benefit Name]]="My Value Plus Life - Spouse"),0,
IFERROR(VLOOKUP($G526,INDIRECT($O526),$P526,FALSE),0))</f>
        <v>0</v>
      </c>
      <c r="R526" s="288">
        <f ca="1">IF(OR(Table2[[#This Row],[Benefit Name]]="My Value Plus Life - Main Member",Table2[[#This Row],[Benefit Name]]="My Value Plus Life - Spouse"),0,
IFERROR(VLOOKUP($G526,INDIRECT($O526),$P526+1,FALSE),0))</f>
        <v>0</v>
      </c>
      <c r="S526" s="289">
        <f t="shared" ca="1" si="59"/>
        <v>0</v>
      </c>
      <c r="T526" s="284" t="str">
        <f>IF(Table13[[#This Row],[Premium Waiver]]="","None",Table13[[#This Row],[Premium Waiver]])</f>
        <v>None</v>
      </c>
      <c r="U526" s="284">
        <f>Table13[[#This Row],[VAPs Options]]</f>
        <v>0</v>
      </c>
      <c r="V526" s="284">
        <f>Table13[[#This Row],[Annual Increase Option]]</f>
        <v>0</v>
      </c>
      <c r="W526" s="290">
        <f>Table13[[#This Row],[Life Cover Amount]]</f>
        <v>0</v>
      </c>
      <c r="X526" s="290">
        <f>Table13[[#This Row],[Funeral Cover Amount]]</f>
        <v>0</v>
      </c>
      <c r="Y52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2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26" s="301">
        <f t="shared" ca="1" si="60"/>
        <v>0</v>
      </c>
      <c r="AB526" s="298"/>
      <c r="AC526" s="326" t="str">
        <f>IF(Table2[[#This Row],[Member Type]]="Main Member",Lookups!$C$13,
IF(Table2[[#This Row],[Member Type]]="Spouse",_xlfn.XLOOKUP(B526,Table2[Main Member Link ID],Table2[Product Option],0),
IF(AND(Table2[[#This Row],[Member Type]]="Child",_xlfn.XLOOKUP(B526,Table2[Main Member Link ID],Table2[Product Option],0)&lt;&gt;"My Value Plus Life"),Lookups!$C$24,
IF(AND(OR(Table2[[#This Row],[Member Type]]="Parent",Table2[[#This Row],[Member Type]]="Extended"),_xlfn.XLOOKUP(B526,Table2[Main Member Link ID],Table2[Product Option],0)&lt;&gt;"My Value Plus Life"),Lookups!$C$26,""))))</f>
        <v/>
      </c>
      <c r="AD526" s="326" t="str">
        <f>IF(Table2[[#This Row],[Member Type]]="Main Member",Lookups!$C$14,"")</f>
        <v/>
      </c>
      <c r="AE52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Funeral",_xlfn.XLOOKUP(B526,Table2[Main Member Link ID],Table2[Benefit Name],0)=Lookups!$D$14),"",
IF(AND(Table2[[#This Row],[Member Type]]="Spouse",Table2[[#This Row],[Product Option]]="My Value Plus Life &amp; Funeral",_xlfn.XLOOKUP(B525,Table2[Main Member Link ID],Table2[Benefit Name],0)=Lookups!$D$15),Lookups!$D$20,
IF(AND(Table2[[#This Row],[Member Type]]="Spouse",Table2[[#This Row],[Product Option]]="My Value Plus Life &amp; Funeral",_xlfn.XLOOKUP(B525,Table2[Main Member Link ID],Table2[Benefit Name],0)=Lookups!$D$16),"",
IF(AND(Table2[[#This Row],[Member Type]]="Spouse",Table2[[#This Row],[Product Option]]="My Value Plus Life &amp; Funeral",_xlfn.XLOOKUP(B525,Table2[Main Member Link ID],Table2[Benefit Name],0)=Lookups!$D$17),Lookups!$D$21,
IF(AND(Table2[[#This Row],[Member Type]]="Child",Table2[[#This Row],[Product Option]]="My Value Plus Life &amp; Funeral",_xlfn.XLOOKUP(B526,Table2[Main Member Link ID],Table2[Benefit Name],0)=Lookups!$D$14),"",
IF(AND(Table2[[#This Row],[Member Type]]="Child",Table2[[#This Row],[Product Option]]="My Value Plus Life &amp; Funeral",_xlfn.XLOOKUP(B526,Table2[Main Member Link ID],Table2[Benefit Name],0)=Lookups!$D$15),"",
IF(AND(Table2[[#This Row],[Member Type]]="Child",Table2[[#This Row],[Product Option]]="My Value Plus Life &amp; Funeral",_xlfn.XLOOKUP(B526,Table2[Main Member Link ID],Table2[Benefit Name],0)=Lookups!$D$16),Lookups!$D$24,
IF(AND(Table2[[#This Row],[Member Type]]="Child",Table2[[#This Row],[Product Option]]="My Value Plus Life &amp; Funeral",_xlfn.XLOOKUP(B526,Table2[Main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Funeral",_xlfn.XLOOKUP(B526,Table2[Main Member Link ID],Table2[Benefit Name],0)&lt;&gt;Lookups!$D$14),
IF(_xlfn.XLOOKUP(B526,Table2[Main Member Link ID],Table2[Benefit Name],0)=0,"",_xlfn.XLOOKUP(B526,Table2[Main Member Link ID],Table2[Benefit Name],0)),"")))))))))))))))</f>
        <v/>
      </c>
      <c r="AF526" s="327" t="str">
        <f>IF(AND(Table2[[#This Row],[Member Type]]="Main Member",Table2[[#This Row],[Product Option]]="My Value Plus Life &amp; Funeral"),Lookups!$D$15,
IF(AND(Table2[[#This Row],[Member Type]]="Spouse",Table2[[#This Row],[Product Option]]="My Value Plus Life &amp; Funeral",_xlfn.XLOOKUP(B526,Table2[Main Member Link ID],Table2[Benefit Name],0)=Lookups!$D$14),"",
IF(AND(Table2[[#This Row],[Member Type]]="Spouse",Table2[[#This Row],[Product Option]]="My Value Plus Life &amp; Funeral",_xlfn.XLOOKUP(B525,Table2[Main Member Link ID],Table2[Benefit Name],0)=Lookups!$D$16),"",
IF(AND(Table2[[#This Row],[Member Type]]="Spouse",Table2[[#This Row],[Product Option]]="My Value Plus Life &amp; Funeral",_xlfn.XLOOKUP(B525,Table2[Main Member Link ID],Table2[Benefit Name],0)=Lookups!$D$15),"",
IF(AND(Table2[[#This Row],[Member Type]]="Spouse",Table2[[#This Row],[Product Option]]="My Value Plus Life &amp; Funeral",_xlfn.XLOOKUP(B525,Table2[Main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Funeral",_xlfn.XLOOKUP(B526,Table2[Main Member Link ID],Table2[Benefit Name],0)&lt;&gt;Lookups!$D$15),
IF(_xlfn.XLOOKUP(B526,Table2[Main Member Link ID],Table2[Benefit Name],0)=0,"",_xlfn.XLOOKUP(B526,Table2[Main Member Link ID],Table2[Benefit Name],0)),"")
))))))</f>
        <v/>
      </c>
      <c r="AG526" s="327" t="str">
        <f>IF(AND(Table2[[#This Row],[Member Type]]="Main Member",Table2[[#This Row],[Product Option]]="My Value Plus Life &amp; Funeral"),Lookups!$D$16,
IF(AND(Table2[[#This Row],[Member Type]]="Spouse",Table2[[#This Row],[Product Option]]="My Value Plus Life &amp; Funeral",_xlfn.XLOOKUP(B526,Table2[Main Member Link ID],Table2[Benefit Name],0)=Lookups!$D$14),"",
IF(AND(Table2[[#This Row],[Member Type]]="Spouse",Table2[[#This Row],[Product Option]]="My Value Plus Life &amp; Funeral",_xlfn.XLOOKUP(B525,Table2[Main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Funeral",_xlfn.XLOOKUP(B526,Table2[Main Member Link ID],Table2[Benefit Name],0)&lt;&gt;Lookups!$D$16),
IF(_xlfn.XLOOKUP(B526,Table2[Main Member Link ID],Table2[Benefit Name],0)=0,"",_xlfn.XLOOKUP(B526,Table2[Main Member Link ID],Table2[Benefit Name],0)),"")
))))</f>
        <v/>
      </c>
      <c r="AH526" s="327" t="str">
        <f>IF(AND(Table2[[#This Row],[Member Type]]="Main Member",Table2[[#This Row],[Product Option]]="My Value Plus Life &amp; Funeral"),Lookups!$D$17,
IF(AND(Table2[[#This Row],[Member Type]]="Spouse",Table2[[#This Row],[Product Option]]="My Value Plus Life &amp; Funeral",_xlfn.XLOOKUP(B526,Table2[Main Member Link ID],Table2[Benefit Name],0)=Lookups!$D$14),"",
IF(AND(Table2[[#This Row],[Member Type]]="Spouse",Table2[[#This Row],[Product Option]]="My Value Plus Life &amp; Funeral",_xlfn.XLOOKUP(B525,Table2[Main Member Link ID],Table2[Benefit Name],0)=Lookups!$D$16),"",
IF(AND(Table2[[#This Row],[Member Type]]="Child",Table2[[#This Row],[Product Option]]="My Value Plus Life &amp; Funeral"),"",
IF(AND(Table2[[#This Row],[Member Type]]="Child",Table2[[#This Row],[Product Option]]="My Value Plus Life &amp; Funeral",_xlfn.XLOOKUP(B526,Table2[Main Member Link ID],Table2[Benefit Name],0)=Lookups!$D$15),"",
IF(AND(OR(Table2[[#This Row],[Member Type]]="Spouse",Table2[[#This Row],[Member Type]]="Child"),Table2[[#This Row],[Product Option]]="My Value Plus Life &amp; Funeral",_xlfn.XLOOKUP(B526,Table2[Main Member Link ID],Table2[Benefit Name],0)&lt;&gt;Lookups!$D$17),
IF(_xlfn.XLOOKUP(B526,Table2[Main Member Link ID],Table2[Benefit Name],0)=0,"",_xlfn.XLOOKUP(B526,Table2[Main Member Link ID],Table2[Benefit Name],0)),""))))))</f>
        <v/>
      </c>
      <c r="AI526" s="328" t="str">
        <f>IF(AND(Table2[[#This Row],[Member Type]]="Main Member",Table2[[#This Row],[Table Lookup for Life Cover]]="MM_LIFE",Table2[[#This Row],[Age Next Birthday]]&lt;56),1,
IF(AND(Table2[[#This Row],[Member Type]]="Main Member",Table2[[#This Row],[Table Lookup for Life Cover]]="MM_LIFE",Table2[[#This Row],[Age Next Birthday]]&gt;=56),2,
""))</f>
        <v/>
      </c>
      <c r="AJ526" s="328">
        <f>IF(OR(Table2[[#This Row],[Member Type]]="Main Member",Table2[[#This Row],[Main Member Link ID]]=B525),1,0)</f>
        <v>1</v>
      </c>
      <c r="AK526" s="328">
        <f>IF(Table2[[#This Row],[Member Type]]=0,0,
IF(OR(Table2[[#This Row],[Member Type]]="Main Member",Table2[[#This Row],[Main Member Link ID]]&lt;&gt;B526),COUNTIFS(B:B,Table2[[#This Row],[Main Member Link ID]]),
COUNTIFS(B:B,Table2[[#This Row],[Main Member Link ID]],A:A,Table2[[#This Row],[Member Type]])))</f>
        <v>0</v>
      </c>
    </row>
    <row r="527" spans="1:37" x14ac:dyDescent="0.3">
      <c r="A527" s="284">
        <f>Table13[[#This Row],[Member Type]]</f>
        <v>0</v>
      </c>
      <c r="B527" s="284">
        <f>Table13[[#This Row],[Main Member Link ID]]</f>
        <v>0</v>
      </c>
      <c r="C527" s="284">
        <f>Table13[[#This Row],[ID Number]]</f>
        <v>0</v>
      </c>
      <c r="D527" s="285">
        <f>Table13[[#This Row],[Date Of Birth]]</f>
        <v>0</v>
      </c>
      <c r="E527" s="285">
        <f>Table13[[#This Row],[Commencement Date]]</f>
        <v>0</v>
      </c>
      <c r="F527" s="284">
        <f t="shared" si="56"/>
        <v>1</v>
      </c>
      <c r="G527" s="284">
        <f t="shared" si="57"/>
        <v>25</v>
      </c>
      <c r="H527" s="286">
        <f>Table13[[#This Row],[Product Option]]</f>
        <v>0</v>
      </c>
      <c r="I527" s="284">
        <f>IF(AND($A527="Main Member",Table2[[#This Row],[Product Option]]="My Value Plus Life"),"MM_LIFE",
IF(AND($A527="Spouse",Table2[[#This Row],[Product Option]]="My Value Plus Life"),"SP_LIFE",
IF(AND($A527="Main Member",Table2[[#This Row],[Product Option]]="My Value Plus Life &amp; Funeral"),"MM_LIFE",
IF(AND($A527="Spouse",Table2[[#This Row],[Product Option]]="My Value Plus Life &amp; Funeral"),_xlfn.XLOOKUP(Table2[[#This Row],[Benefit Name]],Lookups!$D$18:$D$23,Lookups!$E$18:$E$23,0),
0))))</f>
        <v>0</v>
      </c>
      <c r="J527" s="284">
        <f>IF($I527="","",
IF($I527="MM_LIFE",INDEX('Quotation Tool'!$S$54:$V$60,MATCH($T527,'Quotation Tool'!$S$54:$S$60,0),4),
IF($I527="SP_LIFE",_xlfn.XLOOKUP(B526,$B:$B,$J:$J,0),0)))</f>
        <v>0</v>
      </c>
      <c r="K527" s="287">
        <f t="shared" ca="1" si="61"/>
        <v>0</v>
      </c>
      <c r="L527" s="288">
        <f t="shared" ca="1" si="62"/>
        <v>0</v>
      </c>
      <c r="M527" s="289">
        <f t="shared" ca="1" si="58"/>
        <v>0</v>
      </c>
      <c r="N527" s="286">
        <f>Table13[[#This Row],[Benefit Option]]</f>
        <v>0</v>
      </c>
      <c r="O527" s="284">
        <f>IF(OR(Table2[[#This Row],[Member Type]]="Spouse",Table2[[#This Row],[Member Type]]="Child"),0,
IF(_xlfn.XLOOKUP($N527,Lookups!$D$13:$D$27,Lookups!$F$13:$F$27,0)=Table2[[#This Row],[Table Lookup for Life Cover]],0,
_xlfn.XLOOKUP($N527,Lookups!$D$13:$D$27,Lookups!$F$13:$F$27,0)))</f>
        <v>0</v>
      </c>
      <c r="P527" s="284">
        <f>IF(Table2[[#This Row],[Table Lookup for Funeral]]=0,0,IFERROR(INDEX('Quotation Tool'!$S$54:$V$60,MATCH($T527,'Quotation Tool'!$S$54:$S$60,0),3),0))</f>
        <v>0</v>
      </c>
      <c r="Q527" s="288">
        <f ca="1">IF(OR(Table2[[#This Row],[Benefit Name]]="My Value Plus Life - Main Member",Table2[[#This Row],[Benefit Name]]="My Value Plus Life - Spouse"),0,
IFERROR(VLOOKUP($G527,INDIRECT($O527),$P527,FALSE),0))</f>
        <v>0</v>
      </c>
      <c r="R527" s="288">
        <f ca="1">IF(OR(Table2[[#This Row],[Benefit Name]]="My Value Plus Life - Main Member",Table2[[#This Row],[Benefit Name]]="My Value Plus Life - Spouse"),0,
IFERROR(VLOOKUP($G527,INDIRECT($O527),$P527+1,FALSE),0))</f>
        <v>0</v>
      </c>
      <c r="S527" s="289">
        <f t="shared" ca="1" si="59"/>
        <v>0</v>
      </c>
      <c r="T527" s="284" t="str">
        <f>IF(Table13[[#This Row],[Premium Waiver]]="","None",Table13[[#This Row],[Premium Waiver]])</f>
        <v>None</v>
      </c>
      <c r="U527" s="284">
        <f>Table13[[#This Row],[VAPs Options]]</f>
        <v>0</v>
      </c>
      <c r="V527" s="284">
        <f>Table13[[#This Row],[Annual Increase Option]]</f>
        <v>0</v>
      </c>
      <c r="W527" s="290">
        <f>Table13[[#This Row],[Life Cover Amount]]</f>
        <v>0</v>
      </c>
      <c r="X527" s="290">
        <f>Table13[[#This Row],[Funeral Cover Amount]]</f>
        <v>0</v>
      </c>
      <c r="Y52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2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27" s="301">
        <f t="shared" ca="1" si="60"/>
        <v>0</v>
      </c>
      <c r="AB527" s="298"/>
      <c r="AC527" s="326" t="str">
        <f>IF(Table2[[#This Row],[Member Type]]="Main Member",Lookups!$C$13,
IF(Table2[[#This Row],[Member Type]]="Spouse",_xlfn.XLOOKUP(B527,Table2[Main Member Link ID],Table2[Product Option],0),
IF(AND(Table2[[#This Row],[Member Type]]="Child",_xlfn.XLOOKUP(B527,Table2[Main Member Link ID],Table2[Product Option],0)&lt;&gt;"My Value Plus Life"),Lookups!$C$24,
IF(AND(OR(Table2[[#This Row],[Member Type]]="Parent",Table2[[#This Row],[Member Type]]="Extended"),_xlfn.XLOOKUP(B527,Table2[Main Member Link ID],Table2[Product Option],0)&lt;&gt;"My Value Plus Life"),Lookups!$C$26,""))))</f>
        <v/>
      </c>
      <c r="AD527" s="326" t="str">
        <f>IF(Table2[[#This Row],[Member Type]]="Main Member",Lookups!$C$14,"")</f>
        <v/>
      </c>
      <c r="AE52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Funeral",_xlfn.XLOOKUP(B527,Table2[Main Member Link ID],Table2[Benefit Name],0)=Lookups!$D$14),"",
IF(AND(Table2[[#This Row],[Member Type]]="Spouse",Table2[[#This Row],[Product Option]]="My Value Plus Life &amp; Funeral",_xlfn.XLOOKUP(B526,Table2[Main Member Link ID],Table2[Benefit Name],0)=Lookups!$D$15),Lookups!$D$20,
IF(AND(Table2[[#This Row],[Member Type]]="Spouse",Table2[[#This Row],[Product Option]]="My Value Plus Life &amp; Funeral",_xlfn.XLOOKUP(B526,Table2[Main Member Link ID],Table2[Benefit Name],0)=Lookups!$D$16),"",
IF(AND(Table2[[#This Row],[Member Type]]="Spouse",Table2[[#This Row],[Product Option]]="My Value Plus Life &amp; Funeral",_xlfn.XLOOKUP(B526,Table2[Main Member Link ID],Table2[Benefit Name],0)=Lookups!$D$17),Lookups!$D$21,
IF(AND(Table2[[#This Row],[Member Type]]="Child",Table2[[#This Row],[Product Option]]="My Value Plus Life &amp; Funeral",_xlfn.XLOOKUP(B527,Table2[Main Member Link ID],Table2[Benefit Name],0)=Lookups!$D$14),"",
IF(AND(Table2[[#This Row],[Member Type]]="Child",Table2[[#This Row],[Product Option]]="My Value Plus Life &amp; Funeral",_xlfn.XLOOKUP(B527,Table2[Main Member Link ID],Table2[Benefit Name],0)=Lookups!$D$15),"",
IF(AND(Table2[[#This Row],[Member Type]]="Child",Table2[[#This Row],[Product Option]]="My Value Plus Life &amp; Funeral",_xlfn.XLOOKUP(B527,Table2[Main Member Link ID],Table2[Benefit Name],0)=Lookups!$D$16),Lookups!$D$24,
IF(AND(Table2[[#This Row],[Member Type]]="Child",Table2[[#This Row],[Product Option]]="My Value Plus Life &amp; Funeral",_xlfn.XLOOKUP(B527,Table2[Main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Funeral",_xlfn.XLOOKUP(B527,Table2[Main Member Link ID],Table2[Benefit Name],0)&lt;&gt;Lookups!$D$14),
IF(_xlfn.XLOOKUP(B527,Table2[Main Member Link ID],Table2[Benefit Name],0)=0,"",_xlfn.XLOOKUP(B527,Table2[Main Member Link ID],Table2[Benefit Name],0)),"")))))))))))))))</f>
        <v/>
      </c>
      <c r="AF527" s="327" t="str">
        <f>IF(AND(Table2[[#This Row],[Member Type]]="Main Member",Table2[[#This Row],[Product Option]]="My Value Plus Life &amp; Funeral"),Lookups!$D$15,
IF(AND(Table2[[#This Row],[Member Type]]="Spouse",Table2[[#This Row],[Product Option]]="My Value Plus Life &amp; Funeral",_xlfn.XLOOKUP(B527,Table2[Main Member Link ID],Table2[Benefit Name],0)=Lookups!$D$14),"",
IF(AND(Table2[[#This Row],[Member Type]]="Spouse",Table2[[#This Row],[Product Option]]="My Value Plus Life &amp; Funeral",_xlfn.XLOOKUP(B526,Table2[Main Member Link ID],Table2[Benefit Name],0)=Lookups!$D$16),"",
IF(AND(Table2[[#This Row],[Member Type]]="Spouse",Table2[[#This Row],[Product Option]]="My Value Plus Life &amp; Funeral",_xlfn.XLOOKUP(B526,Table2[Main Member Link ID],Table2[Benefit Name],0)=Lookups!$D$15),"",
IF(AND(Table2[[#This Row],[Member Type]]="Spouse",Table2[[#This Row],[Product Option]]="My Value Plus Life &amp; Funeral",_xlfn.XLOOKUP(B526,Table2[Main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Funeral",_xlfn.XLOOKUP(B527,Table2[Main Member Link ID],Table2[Benefit Name],0)&lt;&gt;Lookups!$D$15),
IF(_xlfn.XLOOKUP(B527,Table2[Main Member Link ID],Table2[Benefit Name],0)=0,"",_xlfn.XLOOKUP(B527,Table2[Main Member Link ID],Table2[Benefit Name],0)),"")
))))))</f>
        <v/>
      </c>
      <c r="AG527" s="327" t="str">
        <f>IF(AND(Table2[[#This Row],[Member Type]]="Main Member",Table2[[#This Row],[Product Option]]="My Value Plus Life &amp; Funeral"),Lookups!$D$16,
IF(AND(Table2[[#This Row],[Member Type]]="Spouse",Table2[[#This Row],[Product Option]]="My Value Plus Life &amp; Funeral",_xlfn.XLOOKUP(B527,Table2[Main Member Link ID],Table2[Benefit Name],0)=Lookups!$D$14),"",
IF(AND(Table2[[#This Row],[Member Type]]="Spouse",Table2[[#This Row],[Product Option]]="My Value Plus Life &amp; Funeral",_xlfn.XLOOKUP(B526,Table2[Main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Funeral",_xlfn.XLOOKUP(B527,Table2[Main Member Link ID],Table2[Benefit Name],0)&lt;&gt;Lookups!$D$16),
IF(_xlfn.XLOOKUP(B527,Table2[Main Member Link ID],Table2[Benefit Name],0)=0,"",_xlfn.XLOOKUP(B527,Table2[Main Member Link ID],Table2[Benefit Name],0)),"")
))))</f>
        <v/>
      </c>
      <c r="AH527" s="327" t="str">
        <f>IF(AND(Table2[[#This Row],[Member Type]]="Main Member",Table2[[#This Row],[Product Option]]="My Value Plus Life &amp; Funeral"),Lookups!$D$17,
IF(AND(Table2[[#This Row],[Member Type]]="Spouse",Table2[[#This Row],[Product Option]]="My Value Plus Life &amp; Funeral",_xlfn.XLOOKUP(B527,Table2[Main Member Link ID],Table2[Benefit Name],0)=Lookups!$D$14),"",
IF(AND(Table2[[#This Row],[Member Type]]="Spouse",Table2[[#This Row],[Product Option]]="My Value Plus Life &amp; Funeral",_xlfn.XLOOKUP(B526,Table2[Main Member Link ID],Table2[Benefit Name],0)=Lookups!$D$16),"",
IF(AND(Table2[[#This Row],[Member Type]]="Child",Table2[[#This Row],[Product Option]]="My Value Plus Life &amp; Funeral"),"",
IF(AND(Table2[[#This Row],[Member Type]]="Child",Table2[[#This Row],[Product Option]]="My Value Plus Life &amp; Funeral",_xlfn.XLOOKUP(B527,Table2[Main Member Link ID],Table2[Benefit Name],0)=Lookups!$D$15),"",
IF(AND(OR(Table2[[#This Row],[Member Type]]="Spouse",Table2[[#This Row],[Member Type]]="Child"),Table2[[#This Row],[Product Option]]="My Value Plus Life &amp; Funeral",_xlfn.XLOOKUP(B527,Table2[Main Member Link ID],Table2[Benefit Name],0)&lt;&gt;Lookups!$D$17),
IF(_xlfn.XLOOKUP(B527,Table2[Main Member Link ID],Table2[Benefit Name],0)=0,"",_xlfn.XLOOKUP(B527,Table2[Main Member Link ID],Table2[Benefit Name],0)),""))))))</f>
        <v/>
      </c>
      <c r="AI527" s="328" t="str">
        <f>IF(AND(Table2[[#This Row],[Member Type]]="Main Member",Table2[[#This Row],[Table Lookup for Life Cover]]="MM_LIFE",Table2[[#This Row],[Age Next Birthday]]&lt;56),1,
IF(AND(Table2[[#This Row],[Member Type]]="Main Member",Table2[[#This Row],[Table Lookup for Life Cover]]="MM_LIFE",Table2[[#This Row],[Age Next Birthday]]&gt;=56),2,
""))</f>
        <v/>
      </c>
      <c r="AJ527" s="328">
        <f>IF(OR(Table2[[#This Row],[Member Type]]="Main Member",Table2[[#This Row],[Main Member Link ID]]=B526),1,0)</f>
        <v>1</v>
      </c>
      <c r="AK527" s="328">
        <f>IF(Table2[[#This Row],[Member Type]]=0,0,
IF(OR(Table2[[#This Row],[Member Type]]="Main Member",Table2[[#This Row],[Main Member Link ID]]&lt;&gt;B527),COUNTIFS(B:B,Table2[[#This Row],[Main Member Link ID]]),
COUNTIFS(B:B,Table2[[#This Row],[Main Member Link ID]],A:A,Table2[[#This Row],[Member Type]])))</f>
        <v>0</v>
      </c>
    </row>
    <row r="528" spans="1:37" x14ac:dyDescent="0.3">
      <c r="A528" s="284">
        <f>Table13[[#This Row],[Member Type]]</f>
        <v>0</v>
      </c>
      <c r="B528" s="284">
        <f>Table13[[#This Row],[Main Member Link ID]]</f>
        <v>0</v>
      </c>
      <c r="C528" s="284">
        <f>Table13[[#This Row],[ID Number]]</f>
        <v>0</v>
      </c>
      <c r="D528" s="285">
        <f>Table13[[#This Row],[Date Of Birth]]</f>
        <v>0</v>
      </c>
      <c r="E528" s="285">
        <f>Table13[[#This Row],[Commencement Date]]</f>
        <v>0</v>
      </c>
      <c r="F528" s="284">
        <f t="shared" si="56"/>
        <v>1</v>
      </c>
      <c r="G528" s="284">
        <f t="shared" si="57"/>
        <v>25</v>
      </c>
      <c r="H528" s="286">
        <f>Table13[[#This Row],[Product Option]]</f>
        <v>0</v>
      </c>
      <c r="I528" s="284">
        <f>IF(AND($A528="Main Member",Table2[[#This Row],[Product Option]]="My Value Plus Life"),"MM_LIFE",
IF(AND($A528="Spouse",Table2[[#This Row],[Product Option]]="My Value Plus Life"),"SP_LIFE",
IF(AND($A528="Main Member",Table2[[#This Row],[Product Option]]="My Value Plus Life &amp; Funeral"),"MM_LIFE",
IF(AND($A528="Spouse",Table2[[#This Row],[Product Option]]="My Value Plus Life &amp; Funeral"),_xlfn.XLOOKUP(Table2[[#This Row],[Benefit Name]],Lookups!$D$18:$D$23,Lookups!$E$18:$E$23,0),
0))))</f>
        <v>0</v>
      </c>
      <c r="J528" s="284">
        <f>IF($I528="","",
IF($I528="MM_LIFE",INDEX('Quotation Tool'!$S$54:$V$60,MATCH($T528,'Quotation Tool'!$S$54:$S$60,0),4),
IF($I528="SP_LIFE",_xlfn.XLOOKUP(B527,$B:$B,$J:$J,0),0)))</f>
        <v>0</v>
      </c>
      <c r="K528" s="287">
        <f t="shared" ca="1" si="61"/>
        <v>0</v>
      </c>
      <c r="L528" s="288">
        <f t="shared" ca="1" si="62"/>
        <v>0</v>
      </c>
      <c r="M528" s="289">
        <f t="shared" ca="1" si="58"/>
        <v>0</v>
      </c>
      <c r="N528" s="286">
        <f>Table13[[#This Row],[Benefit Option]]</f>
        <v>0</v>
      </c>
      <c r="O528" s="284">
        <f>IF(OR(Table2[[#This Row],[Member Type]]="Spouse",Table2[[#This Row],[Member Type]]="Child"),0,
IF(_xlfn.XLOOKUP($N528,Lookups!$D$13:$D$27,Lookups!$F$13:$F$27,0)=Table2[[#This Row],[Table Lookup for Life Cover]],0,
_xlfn.XLOOKUP($N528,Lookups!$D$13:$D$27,Lookups!$F$13:$F$27,0)))</f>
        <v>0</v>
      </c>
      <c r="P528" s="284">
        <f>IF(Table2[[#This Row],[Table Lookup for Funeral]]=0,0,IFERROR(INDEX('Quotation Tool'!$S$54:$V$60,MATCH($T528,'Quotation Tool'!$S$54:$S$60,0),3),0))</f>
        <v>0</v>
      </c>
      <c r="Q528" s="288">
        <f ca="1">IF(OR(Table2[[#This Row],[Benefit Name]]="My Value Plus Life - Main Member",Table2[[#This Row],[Benefit Name]]="My Value Plus Life - Spouse"),0,
IFERROR(VLOOKUP($G528,INDIRECT($O528),$P528,FALSE),0))</f>
        <v>0</v>
      </c>
      <c r="R528" s="288">
        <f ca="1">IF(OR(Table2[[#This Row],[Benefit Name]]="My Value Plus Life - Main Member",Table2[[#This Row],[Benefit Name]]="My Value Plus Life - Spouse"),0,
IFERROR(VLOOKUP($G528,INDIRECT($O528),$P528+1,FALSE),0))</f>
        <v>0</v>
      </c>
      <c r="S528" s="289">
        <f t="shared" ca="1" si="59"/>
        <v>0</v>
      </c>
      <c r="T528" s="284" t="str">
        <f>IF(Table13[[#This Row],[Premium Waiver]]="","None",Table13[[#This Row],[Premium Waiver]])</f>
        <v>None</v>
      </c>
      <c r="U528" s="284">
        <f>Table13[[#This Row],[VAPs Options]]</f>
        <v>0</v>
      </c>
      <c r="V528" s="284">
        <f>Table13[[#This Row],[Annual Increase Option]]</f>
        <v>0</v>
      </c>
      <c r="W528" s="290">
        <f>Table13[[#This Row],[Life Cover Amount]]</f>
        <v>0</v>
      </c>
      <c r="X528" s="290">
        <f>Table13[[#This Row],[Funeral Cover Amount]]</f>
        <v>0</v>
      </c>
      <c r="Y52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2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28" s="301">
        <f t="shared" ca="1" si="60"/>
        <v>0</v>
      </c>
      <c r="AB528" s="298"/>
      <c r="AC528" s="326" t="str">
        <f>IF(Table2[[#This Row],[Member Type]]="Main Member",Lookups!$C$13,
IF(Table2[[#This Row],[Member Type]]="Spouse",_xlfn.XLOOKUP(B528,Table2[Main Member Link ID],Table2[Product Option],0),
IF(AND(Table2[[#This Row],[Member Type]]="Child",_xlfn.XLOOKUP(B528,Table2[Main Member Link ID],Table2[Product Option],0)&lt;&gt;"My Value Plus Life"),Lookups!$C$24,
IF(AND(OR(Table2[[#This Row],[Member Type]]="Parent",Table2[[#This Row],[Member Type]]="Extended"),_xlfn.XLOOKUP(B528,Table2[Main Member Link ID],Table2[Product Option],0)&lt;&gt;"My Value Plus Life"),Lookups!$C$26,""))))</f>
        <v/>
      </c>
      <c r="AD528" s="326" t="str">
        <f>IF(Table2[[#This Row],[Member Type]]="Main Member",Lookups!$C$14,"")</f>
        <v/>
      </c>
      <c r="AE52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Funeral",_xlfn.XLOOKUP(B528,Table2[Main Member Link ID],Table2[Benefit Name],0)=Lookups!$D$14),"",
IF(AND(Table2[[#This Row],[Member Type]]="Spouse",Table2[[#This Row],[Product Option]]="My Value Plus Life &amp; Funeral",_xlfn.XLOOKUP(B527,Table2[Main Member Link ID],Table2[Benefit Name],0)=Lookups!$D$15),Lookups!$D$20,
IF(AND(Table2[[#This Row],[Member Type]]="Spouse",Table2[[#This Row],[Product Option]]="My Value Plus Life &amp; Funeral",_xlfn.XLOOKUP(B527,Table2[Main Member Link ID],Table2[Benefit Name],0)=Lookups!$D$16),"",
IF(AND(Table2[[#This Row],[Member Type]]="Spouse",Table2[[#This Row],[Product Option]]="My Value Plus Life &amp; Funeral",_xlfn.XLOOKUP(B527,Table2[Main Member Link ID],Table2[Benefit Name],0)=Lookups!$D$17),Lookups!$D$21,
IF(AND(Table2[[#This Row],[Member Type]]="Child",Table2[[#This Row],[Product Option]]="My Value Plus Life &amp; Funeral",_xlfn.XLOOKUP(B528,Table2[Main Member Link ID],Table2[Benefit Name],0)=Lookups!$D$14),"",
IF(AND(Table2[[#This Row],[Member Type]]="Child",Table2[[#This Row],[Product Option]]="My Value Plus Life &amp; Funeral",_xlfn.XLOOKUP(B528,Table2[Main Member Link ID],Table2[Benefit Name],0)=Lookups!$D$15),"",
IF(AND(Table2[[#This Row],[Member Type]]="Child",Table2[[#This Row],[Product Option]]="My Value Plus Life &amp; Funeral",_xlfn.XLOOKUP(B528,Table2[Main Member Link ID],Table2[Benefit Name],0)=Lookups!$D$16),Lookups!$D$24,
IF(AND(Table2[[#This Row],[Member Type]]="Child",Table2[[#This Row],[Product Option]]="My Value Plus Life &amp; Funeral",_xlfn.XLOOKUP(B528,Table2[Main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Funeral",_xlfn.XLOOKUP(B528,Table2[Main Member Link ID],Table2[Benefit Name],0)&lt;&gt;Lookups!$D$14),
IF(_xlfn.XLOOKUP(B528,Table2[Main Member Link ID],Table2[Benefit Name],0)=0,"",_xlfn.XLOOKUP(B528,Table2[Main Member Link ID],Table2[Benefit Name],0)),"")))))))))))))))</f>
        <v/>
      </c>
      <c r="AF528" s="327" t="str">
        <f>IF(AND(Table2[[#This Row],[Member Type]]="Main Member",Table2[[#This Row],[Product Option]]="My Value Plus Life &amp; Funeral"),Lookups!$D$15,
IF(AND(Table2[[#This Row],[Member Type]]="Spouse",Table2[[#This Row],[Product Option]]="My Value Plus Life &amp; Funeral",_xlfn.XLOOKUP(B528,Table2[Main Member Link ID],Table2[Benefit Name],0)=Lookups!$D$14),"",
IF(AND(Table2[[#This Row],[Member Type]]="Spouse",Table2[[#This Row],[Product Option]]="My Value Plus Life &amp; Funeral",_xlfn.XLOOKUP(B527,Table2[Main Member Link ID],Table2[Benefit Name],0)=Lookups!$D$16),"",
IF(AND(Table2[[#This Row],[Member Type]]="Spouse",Table2[[#This Row],[Product Option]]="My Value Plus Life &amp; Funeral",_xlfn.XLOOKUP(B527,Table2[Main Member Link ID],Table2[Benefit Name],0)=Lookups!$D$15),"",
IF(AND(Table2[[#This Row],[Member Type]]="Spouse",Table2[[#This Row],[Product Option]]="My Value Plus Life &amp; Funeral",_xlfn.XLOOKUP(B527,Table2[Main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Funeral",_xlfn.XLOOKUP(B528,Table2[Main Member Link ID],Table2[Benefit Name],0)&lt;&gt;Lookups!$D$15),
IF(_xlfn.XLOOKUP(B528,Table2[Main Member Link ID],Table2[Benefit Name],0)=0,"",_xlfn.XLOOKUP(B528,Table2[Main Member Link ID],Table2[Benefit Name],0)),"")
))))))</f>
        <v/>
      </c>
      <c r="AG528" s="327" t="str">
        <f>IF(AND(Table2[[#This Row],[Member Type]]="Main Member",Table2[[#This Row],[Product Option]]="My Value Plus Life &amp; Funeral"),Lookups!$D$16,
IF(AND(Table2[[#This Row],[Member Type]]="Spouse",Table2[[#This Row],[Product Option]]="My Value Plus Life &amp; Funeral",_xlfn.XLOOKUP(B528,Table2[Main Member Link ID],Table2[Benefit Name],0)=Lookups!$D$14),"",
IF(AND(Table2[[#This Row],[Member Type]]="Spouse",Table2[[#This Row],[Product Option]]="My Value Plus Life &amp; Funeral",_xlfn.XLOOKUP(B527,Table2[Main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Funeral",_xlfn.XLOOKUP(B528,Table2[Main Member Link ID],Table2[Benefit Name],0)&lt;&gt;Lookups!$D$16),
IF(_xlfn.XLOOKUP(B528,Table2[Main Member Link ID],Table2[Benefit Name],0)=0,"",_xlfn.XLOOKUP(B528,Table2[Main Member Link ID],Table2[Benefit Name],0)),"")
))))</f>
        <v/>
      </c>
      <c r="AH528" s="327" t="str">
        <f>IF(AND(Table2[[#This Row],[Member Type]]="Main Member",Table2[[#This Row],[Product Option]]="My Value Plus Life &amp; Funeral"),Lookups!$D$17,
IF(AND(Table2[[#This Row],[Member Type]]="Spouse",Table2[[#This Row],[Product Option]]="My Value Plus Life &amp; Funeral",_xlfn.XLOOKUP(B528,Table2[Main Member Link ID],Table2[Benefit Name],0)=Lookups!$D$14),"",
IF(AND(Table2[[#This Row],[Member Type]]="Spouse",Table2[[#This Row],[Product Option]]="My Value Plus Life &amp; Funeral",_xlfn.XLOOKUP(B527,Table2[Main Member Link ID],Table2[Benefit Name],0)=Lookups!$D$16),"",
IF(AND(Table2[[#This Row],[Member Type]]="Child",Table2[[#This Row],[Product Option]]="My Value Plus Life &amp; Funeral"),"",
IF(AND(Table2[[#This Row],[Member Type]]="Child",Table2[[#This Row],[Product Option]]="My Value Plus Life &amp; Funeral",_xlfn.XLOOKUP(B528,Table2[Main Member Link ID],Table2[Benefit Name],0)=Lookups!$D$15),"",
IF(AND(OR(Table2[[#This Row],[Member Type]]="Spouse",Table2[[#This Row],[Member Type]]="Child"),Table2[[#This Row],[Product Option]]="My Value Plus Life &amp; Funeral",_xlfn.XLOOKUP(B528,Table2[Main Member Link ID],Table2[Benefit Name],0)&lt;&gt;Lookups!$D$17),
IF(_xlfn.XLOOKUP(B528,Table2[Main Member Link ID],Table2[Benefit Name],0)=0,"",_xlfn.XLOOKUP(B528,Table2[Main Member Link ID],Table2[Benefit Name],0)),""))))))</f>
        <v/>
      </c>
      <c r="AI528" s="328" t="str">
        <f>IF(AND(Table2[[#This Row],[Member Type]]="Main Member",Table2[[#This Row],[Table Lookup for Life Cover]]="MM_LIFE",Table2[[#This Row],[Age Next Birthday]]&lt;56),1,
IF(AND(Table2[[#This Row],[Member Type]]="Main Member",Table2[[#This Row],[Table Lookup for Life Cover]]="MM_LIFE",Table2[[#This Row],[Age Next Birthday]]&gt;=56),2,
""))</f>
        <v/>
      </c>
      <c r="AJ528" s="328">
        <f>IF(OR(Table2[[#This Row],[Member Type]]="Main Member",Table2[[#This Row],[Main Member Link ID]]=B527),1,0)</f>
        <v>1</v>
      </c>
      <c r="AK528" s="328">
        <f>IF(Table2[[#This Row],[Member Type]]=0,0,
IF(OR(Table2[[#This Row],[Member Type]]="Main Member",Table2[[#This Row],[Main Member Link ID]]&lt;&gt;B528),COUNTIFS(B:B,Table2[[#This Row],[Main Member Link ID]]),
COUNTIFS(B:B,Table2[[#This Row],[Main Member Link ID]],A:A,Table2[[#This Row],[Member Type]])))</f>
        <v>0</v>
      </c>
    </row>
    <row r="529" spans="1:37" x14ac:dyDescent="0.3">
      <c r="A529" s="284">
        <f>Table13[[#This Row],[Member Type]]</f>
        <v>0</v>
      </c>
      <c r="B529" s="284">
        <f>Table13[[#This Row],[Main Member Link ID]]</f>
        <v>0</v>
      </c>
      <c r="C529" s="284">
        <f>Table13[[#This Row],[ID Number]]</f>
        <v>0</v>
      </c>
      <c r="D529" s="285">
        <f>Table13[[#This Row],[Date Of Birth]]</f>
        <v>0</v>
      </c>
      <c r="E529" s="285">
        <f>Table13[[#This Row],[Commencement Date]]</f>
        <v>0</v>
      </c>
      <c r="F529" s="284">
        <f t="shared" si="56"/>
        <v>1</v>
      </c>
      <c r="G529" s="284">
        <f t="shared" si="57"/>
        <v>25</v>
      </c>
      <c r="H529" s="286">
        <f>Table13[[#This Row],[Product Option]]</f>
        <v>0</v>
      </c>
      <c r="I529" s="284">
        <f>IF(AND($A529="Main Member",Table2[[#This Row],[Product Option]]="My Value Plus Life"),"MM_LIFE",
IF(AND($A529="Spouse",Table2[[#This Row],[Product Option]]="My Value Plus Life"),"SP_LIFE",
IF(AND($A529="Main Member",Table2[[#This Row],[Product Option]]="My Value Plus Life &amp; Funeral"),"MM_LIFE",
IF(AND($A529="Spouse",Table2[[#This Row],[Product Option]]="My Value Plus Life &amp; Funeral"),_xlfn.XLOOKUP(Table2[[#This Row],[Benefit Name]],Lookups!$D$18:$D$23,Lookups!$E$18:$E$23,0),
0))))</f>
        <v>0</v>
      </c>
      <c r="J529" s="284">
        <f>IF($I529="","",
IF($I529="MM_LIFE",INDEX('Quotation Tool'!$S$54:$V$60,MATCH($T529,'Quotation Tool'!$S$54:$S$60,0),4),
IF($I529="SP_LIFE",_xlfn.XLOOKUP(B528,$B:$B,$J:$J,0),0)))</f>
        <v>0</v>
      </c>
      <c r="K529" s="287">
        <f t="shared" ca="1" si="61"/>
        <v>0</v>
      </c>
      <c r="L529" s="288">
        <f t="shared" ca="1" si="62"/>
        <v>0</v>
      </c>
      <c r="M529" s="289">
        <f t="shared" ca="1" si="58"/>
        <v>0</v>
      </c>
      <c r="N529" s="286">
        <f>Table13[[#This Row],[Benefit Option]]</f>
        <v>0</v>
      </c>
      <c r="O529" s="284">
        <f>IF(OR(Table2[[#This Row],[Member Type]]="Spouse",Table2[[#This Row],[Member Type]]="Child"),0,
IF(_xlfn.XLOOKUP($N529,Lookups!$D$13:$D$27,Lookups!$F$13:$F$27,0)=Table2[[#This Row],[Table Lookup for Life Cover]],0,
_xlfn.XLOOKUP($N529,Lookups!$D$13:$D$27,Lookups!$F$13:$F$27,0)))</f>
        <v>0</v>
      </c>
      <c r="P529" s="284">
        <f>IF(Table2[[#This Row],[Table Lookup for Funeral]]=0,0,IFERROR(INDEX('Quotation Tool'!$S$54:$V$60,MATCH($T529,'Quotation Tool'!$S$54:$S$60,0),3),0))</f>
        <v>0</v>
      </c>
      <c r="Q529" s="288">
        <f ca="1">IF(OR(Table2[[#This Row],[Benefit Name]]="My Value Plus Life - Main Member",Table2[[#This Row],[Benefit Name]]="My Value Plus Life - Spouse"),0,
IFERROR(VLOOKUP($G529,INDIRECT($O529),$P529,FALSE),0))</f>
        <v>0</v>
      </c>
      <c r="R529" s="288">
        <f ca="1">IF(OR(Table2[[#This Row],[Benefit Name]]="My Value Plus Life - Main Member",Table2[[#This Row],[Benefit Name]]="My Value Plus Life - Spouse"),0,
IFERROR(VLOOKUP($G529,INDIRECT($O529),$P529+1,FALSE),0))</f>
        <v>0</v>
      </c>
      <c r="S529" s="289">
        <f t="shared" ca="1" si="59"/>
        <v>0</v>
      </c>
      <c r="T529" s="284" t="str">
        <f>IF(Table13[[#This Row],[Premium Waiver]]="","None",Table13[[#This Row],[Premium Waiver]])</f>
        <v>None</v>
      </c>
      <c r="U529" s="284">
        <f>Table13[[#This Row],[VAPs Options]]</f>
        <v>0</v>
      </c>
      <c r="V529" s="284">
        <f>Table13[[#This Row],[Annual Increase Option]]</f>
        <v>0</v>
      </c>
      <c r="W529" s="290">
        <f>Table13[[#This Row],[Life Cover Amount]]</f>
        <v>0</v>
      </c>
      <c r="X529" s="290">
        <f>Table13[[#This Row],[Funeral Cover Amount]]</f>
        <v>0</v>
      </c>
      <c r="Y52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2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29" s="301">
        <f t="shared" ca="1" si="60"/>
        <v>0</v>
      </c>
      <c r="AB529" s="298"/>
      <c r="AC529" s="326" t="str">
        <f>IF(Table2[[#This Row],[Member Type]]="Main Member",Lookups!$C$13,
IF(Table2[[#This Row],[Member Type]]="Spouse",_xlfn.XLOOKUP(B529,Table2[Main Member Link ID],Table2[Product Option],0),
IF(AND(Table2[[#This Row],[Member Type]]="Child",_xlfn.XLOOKUP(B529,Table2[Main Member Link ID],Table2[Product Option],0)&lt;&gt;"My Value Plus Life"),Lookups!$C$24,
IF(AND(OR(Table2[[#This Row],[Member Type]]="Parent",Table2[[#This Row],[Member Type]]="Extended"),_xlfn.XLOOKUP(B529,Table2[Main Member Link ID],Table2[Product Option],0)&lt;&gt;"My Value Plus Life"),Lookups!$C$26,""))))</f>
        <v/>
      </c>
      <c r="AD529" s="326" t="str">
        <f>IF(Table2[[#This Row],[Member Type]]="Main Member",Lookups!$C$14,"")</f>
        <v/>
      </c>
      <c r="AE52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Funeral",_xlfn.XLOOKUP(B529,Table2[Main Member Link ID],Table2[Benefit Name],0)=Lookups!$D$14),"",
IF(AND(Table2[[#This Row],[Member Type]]="Spouse",Table2[[#This Row],[Product Option]]="My Value Plus Life &amp; Funeral",_xlfn.XLOOKUP(B528,Table2[Main Member Link ID],Table2[Benefit Name],0)=Lookups!$D$15),Lookups!$D$20,
IF(AND(Table2[[#This Row],[Member Type]]="Spouse",Table2[[#This Row],[Product Option]]="My Value Plus Life &amp; Funeral",_xlfn.XLOOKUP(B528,Table2[Main Member Link ID],Table2[Benefit Name],0)=Lookups!$D$16),"",
IF(AND(Table2[[#This Row],[Member Type]]="Spouse",Table2[[#This Row],[Product Option]]="My Value Plus Life &amp; Funeral",_xlfn.XLOOKUP(B528,Table2[Main Member Link ID],Table2[Benefit Name],0)=Lookups!$D$17),Lookups!$D$21,
IF(AND(Table2[[#This Row],[Member Type]]="Child",Table2[[#This Row],[Product Option]]="My Value Plus Life &amp; Funeral",_xlfn.XLOOKUP(B529,Table2[Main Member Link ID],Table2[Benefit Name],0)=Lookups!$D$14),"",
IF(AND(Table2[[#This Row],[Member Type]]="Child",Table2[[#This Row],[Product Option]]="My Value Plus Life &amp; Funeral",_xlfn.XLOOKUP(B529,Table2[Main Member Link ID],Table2[Benefit Name],0)=Lookups!$D$15),"",
IF(AND(Table2[[#This Row],[Member Type]]="Child",Table2[[#This Row],[Product Option]]="My Value Plus Life &amp; Funeral",_xlfn.XLOOKUP(B529,Table2[Main Member Link ID],Table2[Benefit Name],0)=Lookups!$D$16),Lookups!$D$24,
IF(AND(Table2[[#This Row],[Member Type]]="Child",Table2[[#This Row],[Product Option]]="My Value Plus Life &amp; Funeral",_xlfn.XLOOKUP(B529,Table2[Main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Funeral",_xlfn.XLOOKUP(B529,Table2[Main Member Link ID],Table2[Benefit Name],0)&lt;&gt;Lookups!$D$14),
IF(_xlfn.XLOOKUP(B529,Table2[Main Member Link ID],Table2[Benefit Name],0)=0,"",_xlfn.XLOOKUP(B529,Table2[Main Member Link ID],Table2[Benefit Name],0)),"")))))))))))))))</f>
        <v/>
      </c>
      <c r="AF529" s="327" t="str">
        <f>IF(AND(Table2[[#This Row],[Member Type]]="Main Member",Table2[[#This Row],[Product Option]]="My Value Plus Life &amp; Funeral"),Lookups!$D$15,
IF(AND(Table2[[#This Row],[Member Type]]="Spouse",Table2[[#This Row],[Product Option]]="My Value Plus Life &amp; Funeral",_xlfn.XLOOKUP(B529,Table2[Main Member Link ID],Table2[Benefit Name],0)=Lookups!$D$14),"",
IF(AND(Table2[[#This Row],[Member Type]]="Spouse",Table2[[#This Row],[Product Option]]="My Value Plus Life &amp; Funeral",_xlfn.XLOOKUP(B528,Table2[Main Member Link ID],Table2[Benefit Name],0)=Lookups!$D$16),"",
IF(AND(Table2[[#This Row],[Member Type]]="Spouse",Table2[[#This Row],[Product Option]]="My Value Plus Life &amp; Funeral",_xlfn.XLOOKUP(B528,Table2[Main Member Link ID],Table2[Benefit Name],0)=Lookups!$D$15),"",
IF(AND(Table2[[#This Row],[Member Type]]="Spouse",Table2[[#This Row],[Product Option]]="My Value Plus Life &amp; Funeral",_xlfn.XLOOKUP(B528,Table2[Main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Funeral",_xlfn.XLOOKUP(B529,Table2[Main Member Link ID],Table2[Benefit Name],0)&lt;&gt;Lookups!$D$15),
IF(_xlfn.XLOOKUP(B529,Table2[Main Member Link ID],Table2[Benefit Name],0)=0,"",_xlfn.XLOOKUP(B529,Table2[Main Member Link ID],Table2[Benefit Name],0)),"")
))))))</f>
        <v/>
      </c>
      <c r="AG529" s="327" t="str">
        <f>IF(AND(Table2[[#This Row],[Member Type]]="Main Member",Table2[[#This Row],[Product Option]]="My Value Plus Life &amp; Funeral"),Lookups!$D$16,
IF(AND(Table2[[#This Row],[Member Type]]="Spouse",Table2[[#This Row],[Product Option]]="My Value Plus Life &amp; Funeral",_xlfn.XLOOKUP(B529,Table2[Main Member Link ID],Table2[Benefit Name],0)=Lookups!$D$14),"",
IF(AND(Table2[[#This Row],[Member Type]]="Spouse",Table2[[#This Row],[Product Option]]="My Value Plus Life &amp; Funeral",_xlfn.XLOOKUP(B528,Table2[Main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Funeral",_xlfn.XLOOKUP(B529,Table2[Main Member Link ID],Table2[Benefit Name],0)&lt;&gt;Lookups!$D$16),
IF(_xlfn.XLOOKUP(B529,Table2[Main Member Link ID],Table2[Benefit Name],0)=0,"",_xlfn.XLOOKUP(B529,Table2[Main Member Link ID],Table2[Benefit Name],0)),"")
))))</f>
        <v/>
      </c>
      <c r="AH529" s="327" t="str">
        <f>IF(AND(Table2[[#This Row],[Member Type]]="Main Member",Table2[[#This Row],[Product Option]]="My Value Plus Life &amp; Funeral"),Lookups!$D$17,
IF(AND(Table2[[#This Row],[Member Type]]="Spouse",Table2[[#This Row],[Product Option]]="My Value Plus Life &amp; Funeral",_xlfn.XLOOKUP(B529,Table2[Main Member Link ID],Table2[Benefit Name],0)=Lookups!$D$14),"",
IF(AND(Table2[[#This Row],[Member Type]]="Spouse",Table2[[#This Row],[Product Option]]="My Value Plus Life &amp; Funeral",_xlfn.XLOOKUP(B528,Table2[Main Member Link ID],Table2[Benefit Name],0)=Lookups!$D$16),"",
IF(AND(Table2[[#This Row],[Member Type]]="Child",Table2[[#This Row],[Product Option]]="My Value Plus Life &amp; Funeral"),"",
IF(AND(Table2[[#This Row],[Member Type]]="Child",Table2[[#This Row],[Product Option]]="My Value Plus Life &amp; Funeral",_xlfn.XLOOKUP(B529,Table2[Main Member Link ID],Table2[Benefit Name],0)=Lookups!$D$15),"",
IF(AND(OR(Table2[[#This Row],[Member Type]]="Spouse",Table2[[#This Row],[Member Type]]="Child"),Table2[[#This Row],[Product Option]]="My Value Plus Life &amp; Funeral",_xlfn.XLOOKUP(B529,Table2[Main Member Link ID],Table2[Benefit Name],0)&lt;&gt;Lookups!$D$17),
IF(_xlfn.XLOOKUP(B529,Table2[Main Member Link ID],Table2[Benefit Name],0)=0,"",_xlfn.XLOOKUP(B529,Table2[Main Member Link ID],Table2[Benefit Name],0)),""))))))</f>
        <v/>
      </c>
      <c r="AI529" s="328" t="str">
        <f>IF(AND(Table2[[#This Row],[Member Type]]="Main Member",Table2[[#This Row],[Table Lookup for Life Cover]]="MM_LIFE",Table2[[#This Row],[Age Next Birthday]]&lt;56),1,
IF(AND(Table2[[#This Row],[Member Type]]="Main Member",Table2[[#This Row],[Table Lookup for Life Cover]]="MM_LIFE",Table2[[#This Row],[Age Next Birthday]]&gt;=56),2,
""))</f>
        <v/>
      </c>
      <c r="AJ529" s="328">
        <f>IF(OR(Table2[[#This Row],[Member Type]]="Main Member",Table2[[#This Row],[Main Member Link ID]]=B528),1,0)</f>
        <v>1</v>
      </c>
      <c r="AK529" s="328">
        <f>IF(Table2[[#This Row],[Member Type]]=0,0,
IF(OR(Table2[[#This Row],[Member Type]]="Main Member",Table2[[#This Row],[Main Member Link ID]]&lt;&gt;B529),COUNTIFS(B:B,Table2[[#This Row],[Main Member Link ID]]),
COUNTIFS(B:B,Table2[[#This Row],[Main Member Link ID]],A:A,Table2[[#This Row],[Member Type]])))</f>
        <v>0</v>
      </c>
    </row>
    <row r="530" spans="1:37" x14ac:dyDescent="0.3">
      <c r="A530" s="284">
        <f>Table13[[#This Row],[Member Type]]</f>
        <v>0</v>
      </c>
      <c r="B530" s="284">
        <f>Table13[[#This Row],[Main Member Link ID]]</f>
        <v>0</v>
      </c>
      <c r="C530" s="284">
        <f>Table13[[#This Row],[ID Number]]</f>
        <v>0</v>
      </c>
      <c r="D530" s="285">
        <f>Table13[[#This Row],[Date Of Birth]]</f>
        <v>0</v>
      </c>
      <c r="E530" s="285">
        <f>Table13[[#This Row],[Commencement Date]]</f>
        <v>0</v>
      </c>
      <c r="F530" s="284">
        <f t="shared" si="56"/>
        <v>1</v>
      </c>
      <c r="G530" s="284">
        <f t="shared" si="57"/>
        <v>25</v>
      </c>
      <c r="H530" s="286">
        <f>Table13[[#This Row],[Product Option]]</f>
        <v>0</v>
      </c>
      <c r="I530" s="284">
        <f>IF(AND($A530="Main Member",Table2[[#This Row],[Product Option]]="My Value Plus Life"),"MM_LIFE",
IF(AND($A530="Spouse",Table2[[#This Row],[Product Option]]="My Value Plus Life"),"SP_LIFE",
IF(AND($A530="Main Member",Table2[[#This Row],[Product Option]]="My Value Plus Life &amp; Funeral"),"MM_LIFE",
IF(AND($A530="Spouse",Table2[[#This Row],[Product Option]]="My Value Plus Life &amp; Funeral"),_xlfn.XLOOKUP(Table2[[#This Row],[Benefit Name]],Lookups!$D$18:$D$23,Lookups!$E$18:$E$23,0),
0))))</f>
        <v>0</v>
      </c>
      <c r="J530" s="284">
        <f>IF($I530="","",
IF($I530="MM_LIFE",INDEX('Quotation Tool'!$S$54:$V$60,MATCH($T530,'Quotation Tool'!$S$54:$S$60,0),4),
IF($I530="SP_LIFE",_xlfn.XLOOKUP(B529,$B:$B,$J:$J,0),0)))</f>
        <v>0</v>
      </c>
      <c r="K530" s="287">
        <f t="shared" ca="1" si="61"/>
        <v>0</v>
      </c>
      <c r="L530" s="288">
        <f t="shared" ca="1" si="62"/>
        <v>0</v>
      </c>
      <c r="M530" s="289">
        <f t="shared" ca="1" si="58"/>
        <v>0</v>
      </c>
      <c r="N530" s="286">
        <f>Table13[[#This Row],[Benefit Option]]</f>
        <v>0</v>
      </c>
      <c r="O530" s="284">
        <f>IF(OR(Table2[[#This Row],[Member Type]]="Spouse",Table2[[#This Row],[Member Type]]="Child"),0,
IF(_xlfn.XLOOKUP($N530,Lookups!$D$13:$D$27,Lookups!$F$13:$F$27,0)=Table2[[#This Row],[Table Lookup for Life Cover]],0,
_xlfn.XLOOKUP($N530,Lookups!$D$13:$D$27,Lookups!$F$13:$F$27,0)))</f>
        <v>0</v>
      </c>
      <c r="P530" s="284">
        <f>IF(Table2[[#This Row],[Table Lookup for Funeral]]=0,0,IFERROR(INDEX('Quotation Tool'!$S$54:$V$60,MATCH($T530,'Quotation Tool'!$S$54:$S$60,0),3),0))</f>
        <v>0</v>
      </c>
      <c r="Q530" s="288">
        <f ca="1">IF(OR(Table2[[#This Row],[Benefit Name]]="My Value Plus Life - Main Member",Table2[[#This Row],[Benefit Name]]="My Value Plus Life - Spouse"),0,
IFERROR(VLOOKUP($G530,INDIRECT($O530),$P530,FALSE),0))</f>
        <v>0</v>
      </c>
      <c r="R530" s="288">
        <f ca="1">IF(OR(Table2[[#This Row],[Benefit Name]]="My Value Plus Life - Main Member",Table2[[#This Row],[Benefit Name]]="My Value Plus Life - Spouse"),0,
IFERROR(VLOOKUP($G530,INDIRECT($O530),$P530+1,FALSE),0))</f>
        <v>0</v>
      </c>
      <c r="S530" s="289">
        <f t="shared" ca="1" si="59"/>
        <v>0</v>
      </c>
      <c r="T530" s="284" t="str">
        <f>IF(Table13[[#This Row],[Premium Waiver]]="","None",Table13[[#This Row],[Premium Waiver]])</f>
        <v>None</v>
      </c>
      <c r="U530" s="284">
        <f>Table13[[#This Row],[VAPs Options]]</f>
        <v>0</v>
      </c>
      <c r="V530" s="284">
        <f>Table13[[#This Row],[Annual Increase Option]]</f>
        <v>0</v>
      </c>
      <c r="W530" s="290">
        <f>Table13[[#This Row],[Life Cover Amount]]</f>
        <v>0</v>
      </c>
      <c r="X530" s="290">
        <f>Table13[[#This Row],[Funeral Cover Amount]]</f>
        <v>0</v>
      </c>
      <c r="Y53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3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30" s="301">
        <f t="shared" ca="1" si="60"/>
        <v>0</v>
      </c>
      <c r="AB530" s="298"/>
      <c r="AC530" s="326" t="str">
        <f>IF(Table2[[#This Row],[Member Type]]="Main Member",Lookups!$C$13,
IF(Table2[[#This Row],[Member Type]]="Spouse",_xlfn.XLOOKUP(B530,Table2[Main Member Link ID],Table2[Product Option],0),
IF(AND(Table2[[#This Row],[Member Type]]="Child",_xlfn.XLOOKUP(B530,Table2[Main Member Link ID],Table2[Product Option],0)&lt;&gt;"My Value Plus Life"),Lookups!$C$24,
IF(AND(OR(Table2[[#This Row],[Member Type]]="Parent",Table2[[#This Row],[Member Type]]="Extended"),_xlfn.XLOOKUP(B530,Table2[Main Member Link ID],Table2[Product Option],0)&lt;&gt;"My Value Plus Life"),Lookups!$C$26,""))))</f>
        <v/>
      </c>
      <c r="AD530" s="326" t="str">
        <f>IF(Table2[[#This Row],[Member Type]]="Main Member",Lookups!$C$14,"")</f>
        <v/>
      </c>
      <c r="AE53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Funeral",_xlfn.XLOOKUP(B530,Table2[Main Member Link ID],Table2[Benefit Name],0)=Lookups!$D$14),"",
IF(AND(Table2[[#This Row],[Member Type]]="Spouse",Table2[[#This Row],[Product Option]]="My Value Plus Life &amp; Funeral",_xlfn.XLOOKUP(B529,Table2[Main Member Link ID],Table2[Benefit Name],0)=Lookups!$D$15),Lookups!$D$20,
IF(AND(Table2[[#This Row],[Member Type]]="Spouse",Table2[[#This Row],[Product Option]]="My Value Plus Life &amp; Funeral",_xlfn.XLOOKUP(B529,Table2[Main Member Link ID],Table2[Benefit Name],0)=Lookups!$D$16),"",
IF(AND(Table2[[#This Row],[Member Type]]="Spouse",Table2[[#This Row],[Product Option]]="My Value Plus Life &amp; Funeral",_xlfn.XLOOKUP(B529,Table2[Main Member Link ID],Table2[Benefit Name],0)=Lookups!$D$17),Lookups!$D$21,
IF(AND(Table2[[#This Row],[Member Type]]="Child",Table2[[#This Row],[Product Option]]="My Value Plus Life &amp; Funeral",_xlfn.XLOOKUP(B530,Table2[Main Member Link ID],Table2[Benefit Name],0)=Lookups!$D$14),"",
IF(AND(Table2[[#This Row],[Member Type]]="Child",Table2[[#This Row],[Product Option]]="My Value Plus Life &amp; Funeral",_xlfn.XLOOKUP(B530,Table2[Main Member Link ID],Table2[Benefit Name],0)=Lookups!$D$15),"",
IF(AND(Table2[[#This Row],[Member Type]]="Child",Table2[[#This Row],[Product Option]]="My Value Plus Life &amp; Funeral",_xlfn.XLOOKUP(B530,Table2[Main Member Link ID],Table2[Benefit Name],0)=Lookups!$D$16),Lookups!$D$24,
IF(AND(Table2[[#This Row],[Member Type]]="Child",Table2[[#This Row],[Product Option]]="My Value Plus Life &amp; Funeral",_xlfn.XLOOKUP(B530,Table2[Main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Funeral",_xlfn.XLOOKUP(B530,Table2[Main Member Link ID],Table2[Benefit Name],0)&lt;&gt;Lookups!$D$14),
IF(_xlfn.XLOOKUP(B530,Table2[Main Member Link ID],Table2[Benefit Name],0)=0,"",_xlfn.XLOOKUP(B530,Table2[Main Member Link ID],Table2[Benefit Name],0)),"")))))))))))))))</f>
        <v/>
      </c>
      <c r="AF530" s="327" t="str">
        <f>IF(AND(Table2[[#This Row],[Member Type]]="Main Member",Table2[[#This Row],[Product Option]]="My Value Plus Life &amp; Funeral"),Lookups!$D$15,
IF(AND(Table2[[#This Row],[Member Type]]="Spouse",Table2[[#This Row],[Product Option]]="My Value Plus Life &amp; Funeral",_xlfn.XLOOKUP(B530,Table2[Main Member Link ID],Table2[Benefit Name],0)=Lookups!$D$14),"",
IF(AND(Table2[[#This Row],[Member Type]]="Spouse",Table2[[#This Row],[Product Option]]="My Value Plus Life &amp; Funeral",_xlfn.XLOOKUP(B529,Table2[Main Member Link ID],Table2[Benefit Name],0)=Lookups!$D$16),"",
IF(AND(Table2[[#This Row],[Member Type]]="Spouse",Table2[[#This Row],[Product Option]]="My Value Plus Life &amp; Funeral",_xlfn.XLOOKUP(B529,Table2[Main Member Link ID],Table2[Benefit Name],0)=Lookups!$D$15),"",
IF(AND(Table2[[#This Row],[Member Type]]="Spouse",Table2[[#This Row],[Product Option]]="My Value Plus Life &amp; Funeral",_xlfn.XLOOKUP(B529,Table2[Main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Funeral",_xlfn.XLOOKUP(B530,Table2[Main Member Link ID],Table2[Benefit Name],0)&lt;&gt;Lookups!$D$15),
IF(_xlfn.XLOOKUP(B530,Table2[Main Member Link ID],Table2[Benefit Name],0)=0,"",_xlfn.XLOOKUP(B530,Table2[Main Member Link ID],Table2[Benefit Name],0)),"")
))))))</f>
        <v/>
      </c>
      <c r="AG530" s="327" t="str">
        <f>IF(AND(Table2[[#This Row],[Member Type]]="Main Member",Table2[[#This Row],[Product Option]]="My Value Plus Life &amp; Funeral"),Lookups!$D$16,
IF(AND(Table2[[#This Row],[Member Type]]="Spouse",Table2[[#This Row],[Product Option]]="My Value Plus Life &amp; Funeral",_xlfn.XLOOKUP(B530,Table2[Main Member Link ID],Table2[Benefit Name],0)=Lookups!$D$14),"",
IF(AND(Table2[[#This Row],[Member Type]]="Spouse",Table2[[#This Row],[Product Option]]="My Value Plus Life &amp; Funeral",_xlfn.XLOOKUP(B529,Table2[Main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Funeral",_xlfn.XLOOKUP(B530,Table2[Main Member Link ID],Table2[Benefit Name],0)&lt;&gt;Lookups!$D$16),
IF(_xlfn.XLOOKUP(B530,Table2[Main Member Link ID],Table2[Benefit Name],0)=0,"",_xlfn.XLOOKUP(B530,Table2[Main Member Link ID],Table2[Benefit Name],0)),"")
))))</f>
        <v/>
      </c>
      <c r="AH530" s="327" t="str">
        <f>IF(AND(Table2[[#This Row],[Member Type]]="Main Member",Table2[[#This Row],[Product Option]]="My Value Plus Life &amp; Funeral"),Lookups!$D$17,
IF(AND(Table2[[#This Row],[Member Type]]="Spouse",Table2[[#This Row],[Product Option]]="My Value Plus Life &amp; Funeral",_xlfn.XLOOKUP(B530,Table2[Main Member Link ID],Table2[Benefit Name],0)=Lookups!$D$14),"",
IF(AND(Table2[[#This Row],[Member Type]]="Spouse",Table2[[#This Row],[Product Option]]="My Value Plus Life &amp; Funeral",_xlfn.XLOOKUP(B529,Table2[Main Member Link ID],Table2[Benefit Name],0)=Lookups!$D$16),"",
IF(AND(Table2[[#This Row],[Member Type]]="Child",Table2[[#This Row],[Product Option]]="My Value Plus Life &amp; Funeral"),"",
IF(AND(Table2[[#This Row],[Member Type]]="Child",Table2[[#This Row],[Product Option]]="My Value Plus Life &amp; Funeral",_xlfn.XLOOKUP(B530,Table2[Main Member Link ID],Table2[Benefit Name],0)=Lookups!$D$15),"",
IF(AND(OR(Table2[[#This Row],[Member Type]]="Spouse",Table2[[#This Row],[Member Type]]="Child"),Table2[[#This Row],[Product Option]]="My Value Plus Life &amp; Funeral",_xlfn.XLOOKUP(B530,Table2[Main Member Link ID],Table2[Benefit Name],0)&lt;&gt;Lookups!$D$17),
IF(_xlfn.XLOOKUP(B530,Table2[Main Member Link ID],Table2[Benefit Name],0)=0,"",_xlfn.XLOOKUP(B530,Table2[Main Member Link ID],Table2[Benefit Name],0)),""))))))</f>
        <v/>
      </c>
      <c r="AI530" s="328" t="str">
        <f>IF(AND(Table2[[#This Row],[Member Type]]="Main Member",Table2[[#This Row],[Table Lookup for Life Cover]]="MM_LIFE",Table2[[#This Row],[Age Next Birthday]]&lt;56),1,
IF(AND(Table2[[#This Row],[Member Type]]="Main Member",Table2[[#This Row],[Table Lookup for Life Cover]]="MM_LIFE",Table2[[#This Row],[Age Next Birthday]]&gt;=56),2,
""))</f>
        <v/>
      </c>
      <c r="AJ530" s="328">
        <f>IF(OR(Table2[[#This Row],[Member Type]]="Main Member",Table2[[#This Row],[Main Member Link ID]]=B529),1,0)</f>
        <v>1</v>
      </c>
      <c r="AK530" s="328">
        <f>IF(Table2[[#This Row],[Member Type]]=0,0,
IF(OR(Table2[[#This Row],[Member Type]]="Main Member",Table2[[#This Row],[Main Member Link ID]]&lt;&gt;B530),COUNTIFS(B:B,Table2[[#This Row],[Main Member Link ID]]),
COUNTIFS(B:B,Table2[[#This Row],[Main Member Link ID]],A:A,Table2[[#This Row],[Member Type]])))</f>
        <v>0</v>
      </c>
    </row>
    <row r="531" spans="1:37" x14ac:dyDescent="0.3">
      <c r="A531" s="284">
        <f>Table13[[#This Row],[Member Type]]</f>
        <v>0</v>
      </c>
      <c r="B531" s="284">
        <f>Table13[[#This Row],[Main Member Link ID]]</f>
        <v>0</v>
      </c>
      <c r="C531" s="284">
        <f>Table13[[#This Row],[ID Number]]</f>
        <v>0</v>
      </c>
      <c r="D531" s="285">
        <f>Table13[[#This Row],[Date Of Birth]]</f>
        <v>0</v>
      </c>
      <c r="E531" s="285">
        <f>Table13[[#This Row],[Commencement Date]]</f>
        <v>0</v>
      </c>
      <c r="F531" s="284">
        <f t="shared" si="56"/>
        <v>1</v>
      </c>
      <c r="G531" s="284">
        <f t="shared" si="57"/>
        <v>25</v>
      </c>
      <c r="H531" s="286">
        <f>Table13[[#This Row],[Product Option]]</f>
        <v>0</v>
      </c>
      <c r="I531" s="284">
        <f>IF(AND($A531="Main Member",Table2[[#This Row],[Product Option]]="My Value Plus Life"),"MM_LIFE",
IF(AND($A531="Spouse",Table2[[#This Row],[Product Option]]="My Value Plus Life"),"SP_LIFE",
IF(AND($A531="Main Member",Table2[[#This Row],[Product Option]]="My Value Plus Life &amp; Funeral"),"MM_LIFE",
IF(AND($A531="Spouse",Table2[[#This Row],[Product Option]]="My Value Plus Life &amp; Funeral"),_xlfn.XLOOKUP(Table2[[#This Row],[Benefit Name]],Lookups!$D$18:$D$23,Lookups!$E$18:$E$23,0),
0))))</f>
        <v>0</v>
      </c>
      <c r="J531" s="284">
        <f>IF($I531="","",
IF($I531="MM_LIFE",INDEX('Quotation Tool'!$S$54:$V$60,MATCH($T531,'Quotation Tool'!$S$54:$S$60,0),4),
IF($I531="SP_LIFE",_xlfn.XLOOKUP(B530,$B:$B,$J:$J,0),0)))</f>
        <v>0</v>
      </c>
      <c r="K531" s="287">
        <f t="shared" ca="1" si="61"/>
        <v>0</v>
      </c>
      <c r="L531" s="288">
        <f t="shared" ca="1" si="62"/>
        <v>0</v>
      </c>
      <c r="M531" s="289">
        <f t="shared" ca="1" si="58"/>
        <v>0</v>
      </c>
      <c r="N531" s="286">
        <f>Table13[[#This Row],[Benefit Option]]</f>
        <v>0</v>
      </c>
      <c r="O531" s="284">
        <f>IF(OR(Table2[[#This Row],[Member Type]]="Spouse",Table2[[#This Row],[Member Type]]="Child"),0,
IF(_xlfn.XLOOKUP($N531,Lookups!$D$13:$D$27,Lookups!$F$13:$F$27,0)=Table2[[#This Row],[Table Lookup for Life Cover]],0,
_xlfn.XLOOKUP($N531,Lookups!$D$13:$D$27,Lookups!$F$13:$F$27,0)))</f>
        <v>0</v>
      </c>
      <c r="P531" s="284">
        <f>IF(Table2[[#This Row],[Table Lookup for Funeral]]=0,0,IFERROR(INDEX('Quotation Tool'!$S$54:$V$60,MATCH($T531,'Quotation Tool'!$S$54:$S$60,0),3),0))</f>
        <v>0</v>
      </c>
      <c r="Q531" s="288">
        <f ca="1">IF(OR(Table2[[#This Row],[Benefit Name]]="My Value Plus Life - Main Member",Table2[[#This Row],[Benefit Name]]="My Value Plus Life - Spouse"),0,
IFERROR(VLOOKUP($G531,INDIRECT($O531),$P531,FALSE),0))</f>
        <v>0</v>
      </c>
      <c r="R531" s="288">
        <f ca="1">IF(OR(Table2[[#This Row],[Benefit Name]]="My Value Plus Life - Main Member",Table2[[#This Row],[Benefit Name]]="My Value Plus Life - Spouse"),0,
IFERROR(VLOOKUP($G531,INDIRECT($O531),$P531+1,FALSE),0))</f>
        <v>0</v>
      </c>
      <c r="S531" s="289">
        <f t="shared" ca="1" si="59"/>
        <v>0</v>
      </c>
      <c r="T531" s="284" t="str">
        <f>IF(Table13[[#This Row],[Premium Waiver]]="","None",Table13[[#This Row],[Premium Waiver]])</f>
        <v>None</v>
      </c>
      <c r="U531" s="284">
        <f>Table13[[#This Row],[VAPs Options]]</f>
        <v>0</v>
      </c>
      <c r="V531" s="284">
        <f>Table13[[#This Row],[Annual Increase Option]]</f>
        <v>0</v>
      </c>
      <c r="W531" s="290">
        <f>Table13[[#This Row],[Life Cover Amount]]</f>
        <v>0</v>
      </c>
      <c r="X531" s="290">
        <f>Table13[[#This Row],[Funeral Cover Amount]]</f>
        <v>0</v>
      </c>
      <c r="Y53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3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31" s="301">
        <f t="shared" ca="1" si="60"/>
        <v>0</v>
      </c>
      <c r="AB531" s="298"/>
      <c r="AC531" s="326" t="str">
        <f>IF(Table2[[#This Row],[Member Type]]="Main Member",Lookups!$C$13,
IF(Table2[[#This Row],[Member Type]]="Spouse",_xlfn.XLOOKUP(B531,Table2[Main Member Link ID],Table2[Product Option],0),
IF(AND(Table2[[#This Row],[Member Type]]="Child",_xlfn.XLOOKUP(B531,Table2[Main Member Link ID],Table2[Product Option],0)&lt;&gt;"My Value Plus Life"),Lookups!$C$24,
IF(AND(OR(Table2[[#This Row],[Member Type]]="Parent",Table2[[#This Row],[Member Type]]="Extended"),_xlfn.XLOOKUP(B531,Table2[Main Member Link ID],Table2[Product Option],0)&lt;&gt;"My Value Plus Life"),Lookups!$C$26,""))))</f>
        <v/>
      </c>
      <c r="AD531" s="326" t="str">
        <f>IF(Table2[[#This Row],[Member Type]]="Main Member",Lookups!$C$14,"")</f>
        <v/>
      </c>
      <c r="AE53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Funeral",_xlfn.XLOOKUP(B531,Table2[Main Member Link ID],Table2[Benefit Name],0)=Lookups!$D$14),"",
IF(AND(Table2[[#This Row],[Member Type]]="Spouse",Table2[[#This Row],[Product Option]]="My Value Plus Life &amp; Funeral",_xlfn.XLOOKUP(B530,Table2[Main Member Link ID],Table2[Benefit Name],0)=Lookups!$D$15),Lookups!$D$20,
IF(AND(Table2[[#This Row],[Member Type]]="Spouse",Table2[[#This Row],[Product Option]]="My Value Plus Life &amp; Funeral",_xlfn.XLOOKUP(B530,Table2[Main Member Link ID],Table2[Benefit Name],0)=Lookups!$D$16),"",
IF(AND(Table2[[#This Row],[Member Type]]="Spouse",Table2[[#This Row],[Product Option]]="My Value Plus Life &amp; Funeral",_xlfn.XLOOKUP(B530,Table2[Main Member Link ID],Table2[Benefit Name],0)=Lookups!$D$17),Lookups!$D$21,
IF(AND(Table2[[#This Row],[Member Type]]="Child",Table2[[#This Row],[Product Option]]="My Value Plus Life &amp; Funeral",_xlfn.XLOOKUP(B531,Table2[Main Member Link ID],Table2[Benefit Name],0)=Lookups!$D$14),"",
IF(AND(Table2[[#This Row],[Member Type]]="Child",Table2[[#This Row],[Product Option]]="My Value Plus Life &amp; Funeral",_xlfn.XLOOKUP(B531,Table2[Main Member Link ID],Table2[Benefit Name],0)=Lookups!$D$15),"",
IF(AND(Table2[[#This Row],[Member Type]]="Child",Table2[[#This Row],[Product Option]]="My Value Plus Life &amp; Funeral",_xlfn.XLOOKUP(B531,Table2[Main Member Link ID],Table2[Benefit Name],0)=Lookups!$D$16),Lookups!$D$24,
IF(AND(Table2[[#This Row],[Member Type]]="Child",Table2[[#This Row],[Product Option]]="My Value Plus Life &amp; Funeral",_xlfn.XLOOKUP(B531,Table2[Main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Funeral",_xlfn.XLOOKUP(B531,Table2[Main Member Link ID],Table2[Benefit Name],0)&lt;&gt;Lookups!$D$14),
IF(_xlfn.XLOOKUP(B531,Table2[Main Member Link ID],Table2[Benefit Name],0)=0,"",_xlfn.XLOOKUP(B531,Table2[Main Member Link ID],Table2[Benefit Name],0)),"")))))))))))))))</f>
        <v/>
      </c>
      <c r="AF531" s="327" t="str">
        <f>IF(AND(Table2[[#This Row],[Member Type]]="Main Member",Table2[[#This Row],[Product Option]]="My Value Plus Life &amp; Funeral"),Lookups!$D$15,
IF(AND(Table2[[#This Row],[Member Type]]="Spouse",Table2[[#This Row],[Product Option]]="My Value Plus Life &amp; Funeral",_xlfn.XLOOKUP(B531,Table2[Main Member Link ID],Table2[Benefit Name],0)=Lookups!$D$14),"",
IF(AND(Table2[[#This Row],[Member Type]]="Spouse",Table2[[#This Row],[Product Option]]="My Value Plus Life &amp; Funeral",_xlfn.XLOOKUP(B530,Table2[Main Member Link ID],Table2[Benefit Name],0)=Lookups!$D$16),"",
IF(AND(Table2[[#This Row],[Member Type]]="Spouse",Table2[[#This Row],[Product Option]]="My Value Plus Life &amp; Funeral",_xlfn.XLOOKUP(B530,Table2[Main Member Link ID],Table2[Benefit Name],0)=Lookups!$D$15),"",
IF(AND(Table2[[#This Row],[Member Type]]="Spouse",Table2[[#This Row],[Product Option]]="My Value Plus Life &amp; Funeral",_xlfn.XLOOKUP(B530,Table2[Main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Funeral",_xlfn.XLOOKUP(B531,Table2[Main Member Link ID],Table2[Benefit Name],0)&lt;&gt;Lookups!$D$15),
IF(_xlfn.XLOOKUP(B531,Table2[Main Member Link ID],Table2[Benefit Name],0)=0,"",_xlfn.XLOOKUP(B531,Table2[Main Member Link ID],Table2[Benefit Name],0)),"")
))))))</f>
        <v/>
      </c>
      <c r="AG531" s="327" t="str">
        <f>IF(AND(Table2[[#This Row],[Member Type]]="Main Member",Table2[[#This Row],[Product Option]]="My Value Plus Life &amp; Funeral"),Lookups!$D$16,
IF(AND(Table2[[#This Row],[Member Type]]="Spouse",Table2[[#This Row],[Product Option]]="My Value Plus Life &amp; Funeral",_xlfn.XLOOKUP(B531,Table2[Main Member Link ID],Table2[Benefit Name],0)=Lookups!$D$14),"",
IF(AND(Table2[[#This Row],[Member Type]]="Spouse",Table2[[#This Row],[Product Option]]="My Value Plus Life &amp; Funeral",_xlfn.XLOOKUP(B530,Table2[Main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Funeral",_xlfn.XLOOKUP(B531,Table2[Main Member Link ID],Table2[Benefit Name],0)&lt;&gt;Lookups!$D$16),
IF(_xlfn.XLOOKUP(B531,Table2[Main Member Link ID],Table2[Benefit Name],0)=0,"",_xlfn.XLOOKUP(B531,Table2[Main Member Link ID],Table2[Benefit Name],0)),"")
))))</f>
        <v/>
      </c>
      <c r="AH531" s="327" t="str">
        <f>IF(AND(Table2[[#This Row],[Member Type]]="Main Member",Table2[[#This Row],[Product Option]]="My Value Plus Life &amp; Funeral"),Lookups!$D$17,
IF(AND(Table2[[#This Row],[Member Type]]="Spouse",Table2[[#This Row],[Product Option]]="My Value Plus Life &amp; Funeral",_xlfn.XLOOKUP(B531,Table2[Main Member Link ID],Table2[Benefit Name],0)=Lookups!$D$14),"",
IF(AND(Table2[[#This Row],[Member Type]]="Spouse",Table2[[#This Row],[Product Option]]="My Value Plus Life &amp; Funeral",_xlfn.XLOOKUP(B530,Table2[Main Member Link ID],Table2[Benefit Name],0)=Lookups!$D$16),"",
IF(AND(Table2[[#This Row],[Member Type]]="Child",Table2[[#This Row],[Product Option]]="My Value Plus Life &amp; Funeral"),"",
IF(AND(Table2[[#This Row],[Member Type]]="Child",Table2[[#This Row],[Product Option]]="My Value Plus Life &amp; Funeral",_xlfn.XLOOKUP(B531,Table2[Main Member Link ID],Table2[Benefit Name],0)=Lookups!$D$15),"",
IF(AND(OR(Table2[[#This Row],[Member Type]]="Spouse",Table2[[#This Row],[Member Type]]="Child"),Table2[[#This Row],[Product Option]]="My Value Plus Life &amp; Funeral",_xlfn.XLOOKUP(B531,Table2[Main Member Link ID],Table2[Benefit Name],0)&lt;&gt;Lookups!$D$17),
IF(_xlfn.XLOOKUP(B531,Table2[Main Member Link ID],Table2[Benefit Name],0)=0,"",_xlfn.XLOOKUP(B531,Table2[Main Member Link ID],Table2[Benefit Name],0)),""))))))</f>
        <v/>
      </c>
      <c r="AI531" s="328" t="str">
        <f>IF(AND(Table2[[#This Row],[Member Type]]="Main Member",Table2[[#This Row],[Table Lookup for Life Cover]]="MM_LIFE",Table2[[#This Row],[Age Next Birthday]]&lt;56),1,
IF(AND(Table2[[#This Row],[Member Type]]="Main Member",Table2[[#This Row],[Table Lookup for Life Cover]]="MM_LIFE",Table2[[#This Row],[Age Next Birthday]]&gt;=56),2,
""))</f>
        <v/>
      </c>
      <c r="AJ531" s="328">
        <f>IF(OR(Table2[[#This Row],[Member Type]]="Main Member",Table2[[#This Row],[Main Member Link ID]]=B530),1,0)</f>
        <v>1</v>
      </c>
      <c r="AK531" s="328">
        <f>IF(Table2[[#This Row],[Member Type]]=0,0,
IF(OR(Table2[[#This Row],[Member Type]]="Main Member",Table2[[#This Row],[Main Member Link ID]]&lt;&gt;B531),COUNTIFS(B:B,Table2[[#This Row],[Main Member Link ID]]),
COUNTIFS(B:B,Table2[[#This Row],[Main Member Link ID]],A:A,Table2[[#This Row],[Member Type]])))</f>
        <v>0</v>
      </c>
    </row>
    <row r="532" spans="1:37" x14ac:dyDescent="0.3">
      <c r="A532" s="284">
        <f>Table13[[#This Row],[Member Type]]</f>
        <v>0</v>
      </c>
      <c r="B532" s="284">
        <f>Table13[[#This Row],[Main Member Link ID]]</f>
        <v>0</v>
      </c>
      <c r="C532" s="284">
        <f>Table13[[#This Row],[ID Number]]</f>
        <v>0</v>
      </c>
      <c r="D532" s="285">
        <f>Table13[[#This Row],[Date Of Birth]]</f>
        <v>0</v>
      </c>
      <c r="E532" s="285">
        <f>Table13[[#This Row],[Commencement Date]]</f>
        <v>0</v>
      </c>
      <c r="F532" s="284">
        <f t="shared" si="56"/>
        <v>1</v>
      </c>
      <c r="G532" s="284">
        <f t="shared" si="57"/>
        <v>25</v>
      </c>
      <c r="H532" s="286">
        <f>Table13[[#This Row],[Product Option]]</f>
        <v>0</v>
      </c>
      <c r="I532" s="284">
        <f>IF(AND($A532="Main Member",Table2[[#This Row],[Product Option]]="My Value Plus Life"),"MM_LIFE",
IF(AND($A532="Spouse",Table2[[#This Row],[Product Option]]="My Value Plus Life"),"SP_LIFE",
IF(AND($A532="Main Member",Table2[[#This Row],[Product Option]]="My Value Plus Life &amp; Funeral"),"MM_LIFE",
IF(AND($A532="Spouse",Table2[[#This Row],[Product Option]]="My Value Plus Life &amp; Funeral"),_xlfn.XLOOKUP(Table2[[#This Row],[Benefit Name]],Lookups!$D$18:$D$23,Lookups!$E$18:$E$23,0),
0))))</f>
        <v>0</v>
      </c>
      <c r="J532" s="284">
        <f>IF($I532="","",
IF($I532="MM_LIFE",INDEX('Quotation Tool'!$S$54:$V$60,MATCH($T532,'Quotation Tool'!$S$54:$S$60,0),4),
IF($I532="SP_LIFE",_xlfn.XLOOKUP(B531,$B:$B,$J:$J,0),0)))</f>
        <v>0</v>
      </c>
      <c r="K532" s="287">
        <f t="shared" ca="1" si="61"/>
        <v>0</v>
      </c>
      <c r="L532" s="288">
        <f t="shared" ca="1" si="62"/>
        <v>0</v>
      </c>
      <c r="M532" s="289">
        <f t="shared" ca="1" si="58"/>
        <v>0</v>
      </c>
      <c r="N532" s="286">
        <f>Table13[[#This Row],[Benefit Option]]</f>
        <v>0</v>
      </c>
      <c r="O532" s="284">
        <f>IF(OR(Table2[[#This Row],[Member Type]]="Spouse",Table2[[#This Row],[Member Type]]="Child"),0,
IF(_xlfn.XLOOKUP($N532,Lookups!$D$13:$D$27,Lookups!$F$13:$F$27,0)=Table2[[#This Row],[Table Lookup for Life Cover]],0,
_xlfn.XLOOKUP($N532,Lookups!$D$13:$D$27,Lookups!$F$13:$F$27,0)))</f>
        <v>0</v>
      </c>
      <c r="P532" s="284">
        <f>IF(Table2[[#This Row],[Table Lookup for Funeral]]=0,0,IFERROR(INDEX('Quotation Tool'!$S$54:$V$60,MATCH($T532,'Quotation Tool'!$S$54:$S$60,0),3),0))</f>
        <v>0</v>
      </c>
      <c r="Q532" s="288">
        <f ca="1">IF(OR(Table2[[#This Row],[Benefit Name]]="My Value Plus Life - Main Member",Table2[[#This Row],[Benefit Name]]="My Value Plus Life - Spouse"),0,
IFERROR(VLOOKUP($G532,INDIRECT($O532),$P532,FALSE),0))</f>
        <v>0</v>
      </c>
      <c r="R532" s="288">
        <f ca="1">IF(OR(Table2[[#This Row],[Benefit Name]]="My Value Plus Life - Main Member",Table2[[#This Row],[Benefit Name]]="My Value Plus Life - Spouse"),0,
IFERROR(VLOOKUP($G532,INDIRECT($O532),$P532+1,FALSE),0))</f>
        <v>0</v>
      </c>
      <c r="S532" s="289">
        <f t="shared" ca="1" si="59"/>
        <v>0</v>
      </c>
      <c r="T532" s="284" t="str">
        <f>IF(Table13[[#This Row],[Premium Waiver]]="","None",Table13[[#This Row],[Premium Waiver]])</f>
        <v>None</v>
      </c>
      <c r="U532" s="284">
        <f>Table13[[#This Row],[VAPs Options]]</f>
        <v>0</v>
      </c>
      <c r="V532" s="284">
        <f>Table13[[#This Row],[Annual Increase Option]]</f>
        <v>0</v>
      </c>
      <c r="W532" s="290">
        <f>Table13[[#This Row],[Life Cover Amount]]</f>
        <v>0</v>
      </c>
      <c r="X532" s="290">
        <f>Table13[[#This Row],[Funeral Cover Amount]]</f>
        <v>0</v>
      </c>
      <c r="Y53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3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32" s="301">
        <f t="shared" ca="1" si="60"/>
        <v>0</v>
      </c>
      <c r="AB532" s="298"/>
      <c r="AC532" s="326" t="str">
        <f>IF(Table2[[#This Row],[Member Type]]="Main Member",Lookups!$C$13,
IF(Table2[[#This Row],[Member Type]]="Spouse",_xlfn.XLOOKUP(B532,Table2[Main Member Link ID],Table2[Product Option],0),
IF(AND(Table2[[#This Row],[Member Type]]="Child",_xlfn.XLOOKUP(B532,Table2[Main Member Link ID],Table2[Product Option],0)&lt;&gt;"My Value Plus Life"),Lookups!$C$24,
IF(AND(OR(Table2[[#This Row],[Member Type]]="Parent",Table2[[#This Row],[Member Type]]="Extended"),_xlfn.XLOOKUP(B532,Table2[Main Member Link ID],Table2[Product Option],0)&lt;&gt;"My Value Plus Life"),Lookups!$C$26,""))))</f>
        <v/>
      </c>
      <c r="AD532" s="326" t="str">
        <f>IF(Table2[[#This Row],[Member Type]]="Main Member",Lookups!$C$14,"")</f>
        <v/>
      </c>
      <c r="AE53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Funeral",_xlfn.XLOOKUP(B532,Table2[Main Member Link ID],Table2[Benefit Name],0)=Lookups!$D$14),"",
IF(AND(Table2[[#This Row],[Member Type]]="Spouse",Table2[[#This Row],[Product Option]]="My Value Plus Life &amp; Funeral",_xlfn.XLOOKUP(B531,Table2[Main Member Link ID],Table2[Benefit Name],0)=Lookups!$D$15),Lookups!$D$20,
IF(AND(Table2[[#This Row],[Member Type]]="Spouse",Table2[[#This Row],[Product Option]]="My Value Plus Life &amp; Funeral",_xlfn.XLOOKUP(B531,Table2[Main Member Link ID],Table2[Benefit Name],0)=Lookups!$D$16),"",
IF(AND(Table2[[#This Row],[Member Type]]="Spouse",Table2[[#This Row],[Product Option]]="My Value Plus Life &amp; Funeral",_xlfn.XLOOKUP(B531,Table2[Main Member Link ID],Table2[Benefit Name],0)=Lookups!$D$17),Lookups!$D$21,
IF(AND(Table2[[#This Row],[Member Type]]="Child",Table2[[#This Row],[Product Option]]="My Value Plus Life &amp; Funeral",_xlfn.XLOOKUP(B532,Table2[Main Member Link ID],Table2[Benefit Name],0)=Lookups!$D$14),"",
IF(AND(Table2[[#This Row],[Member Type]]="Child",Table2[[#This Row],[Product Option]]="My Value Plus Life &amp; Funeral",_xlfn.XLOOKUP(B532,Table2[Main Member Link ID],Table2[Benefit Name],0)=Lookups!$D$15),"",
IF(AND(Table2[[#This Row],[Member Type]]="Child",Table2[[#This Row],[Product Option]]="My Value Plus Life &amp; Funeral",_xlfn.XLOOKUP(B532,Table2[Main Member Link ID],Table2[Benefit Name],0)=Lookups!$D$16),Lookups!$D$24,
IF(AND(Table2[[#This Row],[Member Type]]="Child",Table2[[#This Row],[Product Option]]="My Value Plus Life &amp; Funeral",_xlfn.XLOOKUP(B532,Table2[Main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Funeral",_xlfn.XLOOKUP(B532,Table2[Main Member Link ID],Table2[Benefit Name],0)&lt;&gt;Lookups!$D$14),
IF(_xlfn.XLOOKUP(B532,Table2[Main Member Link ID],Table2[Benefit Name],0)=0,"",_xlfn.XLOOKUP(B532,Table2[Main Member Link ID],Table2[Benefit Name],0)),"")))))))))))))))</f>
        <v/>
      </c>
      <c r="AF532" s="327" t="str">
        <f>IF(AND(Table2[[#This Row],[Member Type]]="Main Member",Table2[[#This Row],[Product Option]]="My Value Plus Life &amp; Funeral"),Lookups!$D$15,
IF(AND(Table2[[#This Row],[Member Type]]="Spouse",Table2[[#This Row],[Product Option]]="My Value Plus Life &amp; Funeral",_xlfn.XLOOKUP(B532,Table2[Main Member Link ID],Table2[Benefit Name],0)=Lookups!$D$14),"",
IF(AND(Table2[[#This Row],[Member Type]]="Spouse",Table2[[#This Row],[Product Option]]="My Value Plus Life &amp; Funeral",_xlfn.XLOOKUP(B531,Table2[Main Member Link ID],Table2[Benefit Name],0)=Lookups!$D$16),"",
IF(AND(Table2[[#This Row],[Member Type]]="Spouse",Table2[[#This Row],[Product Option]]="My Value Plus Life &amp; Funeral",_xlfn.XLOOKUP(B531,Table2[Main Member Link ID],Table2[Benefit Name],0)=Lookups!$D$15),"",
IF(AND(Table2[[#This Row],[Member Type]]="Spouse",Table2[[#This Row],[Product Option]]="My Value Plus Life &amp; Funeral",_xlfn.XLOOKUP(B531,Table2[Main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Funeral",_xlfn.XLOOKUP(B532,Table2[Main Member Link ID],Table2[Benefit Name],0)&lt;&gt;Lookups!$D$15),
IF(_xlfn.XLOOKUP(B532,Table2[Main Member Link ID],Table2[Benefit Name],0)=0,"",_xlfn.XLOOKUP(B532,Table2[Main Member Link ID],Table2[Benefit Name],0)),"")
))))))</f>
        <v/>
      </c>
      <c r="AG532" s="327" t="str">
        <f>IF(AND(Table2[[#This Row],[Member Type]]="Main Member",Table2[[#This Row],[Product Option]]="My Value Plus Life &amp; Funeral"),Lookups!$D$16,
IF(AND(Table2[[#This Row],[Member Type]]="Spouse",Table2[[#This Row],[Product Option]]="My Value Plus Life &amp; Funeral",_xlfn.XLOOKUP(B532,Table2[Main Member Link ID],Table2[Benefit Name],0)=Lookups!$D$14),"",
IF(AND(Table2[[#This Row],[Member Type]]="Spouse",Table2[[#This Row],[Product Option]]="My Value Plus Life &amp; Funeral",_xlfn.XLOOKUP(B531,Table2[Main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Funeral",_xlfn.XLOOKUP(B532,Table2[Main Member Link ID],Table2[Benefit Name],0)&lt;&gt;Lookups!$D$16),
IF(_xlfn.XLOOKUP(B532,Table2[Main Member Link ID],Table2[Benefit Name],0)=0,"",_xlfn.XLOOKUP(B532,Table2[Main Member Link ID],Table2[Benefit Name],0)),"")
))))</f>
        <v/>
      </c>
      <c r="AH532" s="327" t="str">
        <f>IF(AND(Table2[[#This Row],[Member Type]]="Main Member",Table2[[#This Row],[Product Option]]="My Value Plus Life &amp; Funeral"),Lookups!$D$17,
IF(AND(Table2[[#This Row],[Member Type]]="Spouse",Table2[[#This Row],[Product Option]]="My Value Plus Life &amp; Funeral",_xlfn.XLOOKUP(B532,Table2[Main Member Link ID],Table2[Benefit Name],0)=Lookups!$D$14),"",
IF(AND(Table2[[#This Row],[Member Type]]="Spouse",Table2[[#This Row],[Product Option]]="My Value Plus Life &amp; Funeral",_xlfn.XLOOKUP(B531,Table2[Main Member Link ID],Table2[Benefit Name],0)=Lookups!$D$16),"",
IF(AND(Table2[[#This Row],[Member Type]]="Child",Table2[[#This Row],[Product Option]]="My Value Plus Life &amp; Funeral"),"",
IF(AND(Table2[[#This Row],[Member Type]]="Child",Table2[[#This Row],[Product Option]]="My Value Plus Life &amp; Funeral",_xlfn.XLOOKUP(B532,Table2[Main Member Link ID],Table2[Benefit Name],0)=Lookups!$D$15),"",
IF(AND(OR(Table2[[#This Row],[Member Type]]="Spouse",Table2[[#This Row],[Member Type]]="Child"),Table2[[#This Row],[Product Option]]="My Value Plus Life &amp; Funeral",_xlfn.XLOOKUP(B532,Table2[Main Member Link ID],Table2[Benefit Name],0)&lt;&gt;Lookups!$D$17),
IF(_xlfn.XLOOKUP(B532,Table2[Main Member Link ID],Table2[Benefit Name],0)=0,"",_xlfn.XLOOKUP(B532,Table2[Main Member Link ID],Table2[Benefit Name],0)),""))))))</f>
        <v/>
      </c>
      <c r="AI532" s="328" t="str">
        <f>IF(AND(Table2[[#This Row],[Member Type]]="Main Member",Table2[[#This Row],[Table Lookup for Life Cover]]="MM_LIFE",Table2[[#This Row],[Age Next Birthday]]&lt;56),1,
IF(AND(Table2[[#This Row],[Member Type]]="Main Member",Table2[[#This Row],[Table Lookup for Life Cover]]="MM_LIFE",Table2[[#This Row],[Age Next Birthday]]&gt;=56),2,
""))</f>
        <v/>
      </c>
      <c r="AJ532" s="328">
        <f>IF(OR(Table2[[#This Row],[Member Type]]="Main Member",Table2[[#This Row],[Main Member Link ID]]=B531),1,0)</f>
        <v>1</v>
      </c>
      <c r="AK532" s="328">
        <f>IF(Table2[[#This Row],[Member Type]]=0,0,
IF(OR(Table2[[#This Row],[Member Type]]="Main Member",Table2[[#This Row],[Main Member Link ID]]&lt;&gt;B532),COUNTIFS(B:B,Table2[[#This Row],[Main Member Link ID]]),
COUNTIFS(B:B,Table2[[#This Row],[Main Member Link ID]],A:A,Table2[[#This Row],[Member Type]])))</f>
        <v>0</v>
      </c>
    </row>
    <row r="533" spans="1:37" x14ac:dyDescent="0.3">
      <c r="A533" s="284">
        <f>Table13[[#This Row],[Member Type]]</f>
        <v>0</v>
      </c>
      <c r="B533" s="284">
        <f>Table13[[#This Row],[Main Member Link ID]]</f>
        <v>0</v>
      </c>
      <c r="C533" s="284">
        <f>Table13[[#This Row],[ID Number]]</f>
        <v>0</v>
      </c>
      <c r="D533" s="285">
        <f>Table13[[#This Row],[Date Of Birth]]</f>
        <v>0</v>
      </c>
      <c r="E533" s="285">
        <f>Table13[[#This Row],[Commencement Date]]</f>
        <v>0</v>
      </c>
      <c r="F533" s="284">
        <f t="shared" si="56"/>
        <v>1</v>
      </c>
      <c r="G533" s="284">
        <f t="shared" si="57"/>
        <v>25</v>
      </c>
      <c r="H533" s="286">
        <f>Table13[[#This Row],[Product Option]]</f>
        <v>0</v>
      </c>
      <c r="I533" s="284">
        <f>IF(AND($A533="Main Member",Table2[[#This Row],[Product Option]]="My Value Plus Life"),"MM_LIFE",
IF(AND($A533="Spouse",Table2[[#This Row],[Product Option]]="My Value Plus Life"),"SP_LIFE",
IF(AND($A533="Main Member",Table2[[#This Row],[Product Option]]="My Value Plus Life &amp; Funeral"),"MM_LIFE",
IF(AND($A533="Spouse",Table2[[#This Row],[Product Option]]="My Value Plus Life &amp; Funeral"),_xlfn.XLOOKUP(Table2[[#This Row],[Benefit Name]],Lookups!$D$18:$D$23,Lookups!$E$18:$E$23,0),
0))))</f>
        <v>0</v>
      </c>
      <c r="J533" s="284">
        <f>IF($I533="","",
IF($I533="MM_LIFE",INDEX('Quotation Tool'!$S$54:$V$60,MATCH($T533,'Quotation Tool'!$S$54:$S$60,0),4),
IF($I533="SP_LIFE",_xlfn.XLOOKUP(B532,$B:$B,$J:$J,0),0)))</f>
        <v>0</v>
      </c>
      <c r="K533" s="287">
        <f t="shared" ca="1" si="61"/>
        <v>0</v>
      </c>
      <c r="L533" s="288">
        <f t="shared" ca="1" si="62"/>
        <v>0</v>
      </c>
      <c r="M533" s="289">
        <f t="shared" ca="1" si="58"/>
        <v>0</v>
      </c>
      <c r="N533" s="286">
        <f>Table13[[#This Row],[Benefit Option]]</f>
        <v>0</v>
      </c>
      <c r="O533" s="284">
        <f>IF(OR(Table2[[#This Row],[Member Type]]="Spouse",Table2[[#This Row],[Member Type]]="Child"),0,
IF(_xlfn.XLOOKUP($N533,Lookups!$D$13:$D$27,Lookups!$F$13:$F$27,0)=Table2[[#This Row],[Table Lookup for Life Cover]],0,
_xlfn.XLOOKUP($N533,Lookups!$D$13:$D$27,Lookups!$F$13:$F$27,0)))</f>
        <v>0</v>
      </c>
      <c r="P533" s="284">
        <f>IF(Table2[[#This Row],[Table Lookup for Funeral]]=0,0,IFERROR(INDEX('Quotation Tool'!$S$54:$V$60,MATCH($T533,'Quotation Tool'!$S$54:$S$60,0),3),0))</f>
        <v>0</v>
      </c>
      <c r="Q533" s="288">
        <f ca="1">IF(OR(Table2[[#This Row],[Benefit Name]]="My Value Plus Life - Main Member",Table2[[#This Row],[Benefit Name]]="My Value Plus Life - Spouse"),0,
IFERROR(VLOOKUP($G533,INDIRECT($O533),$P533,FALSE),0))</f>
        <v>0</v>
      </c>
      <c r="R533" s="288">
        <f ca="1">IF(OR(Table2[[#This Row],[Benefit Name]]="My Value Plus Life - Main Member",Table2[[#This Row],[Benefit Name]]="My Value Plus Life - Spouse"),0,
IFERROR(VLOOKUP($G533,INDIRECT($O533),$P533+1,FALSE),0))</f>
        <v>0</v>
      </c>
      <c r="S533" s="289">
        <f t="shared" ca="1" si="59"/>
        <v>0</v>
      </c>
      <c r="T533" s="284" t="str">
        <f>IF(Table13[[#This Row],[Premium Waiver]]="","None",Table13[[#This Row],[Premium Waiver]])</f>
        <v>None</v>
      </c>
      <c r="U533" s="284">
        <f>Table13[[#This Row],[VAPs Options]]</f>
        <v>0</v>
      </c>
      <c r="V533" s="284">
        <f>Table13[[#This Row],[Annual Increase Option]]</f>
        <v>0</v>
      </c>
      <c r="W533" s="290">
        <f>Table13[[#This Row],[Life Cover Amount]]</f>
        <v>0</v>
      </c>
      <c r="X533" s="290">
        <f>Table13[[#This Row],[Funeral Cover Amount]]</f>
        <v>0</v>
      </c>
      <c r="Y53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3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33" s="301">
        <f t="shared" ca="1" si="60"/>
        <v>0</v>
      </c>
      <c r="AB533" s="298"/>
      <c r="AC533" s="326" t="str">
        <f>IF(Table2[[#This Row],[Member Type]]="Main Member",Lookups!$C$13,
IF(Table2[[#This Row],[Member Type]]="Spouse",_xlfn.XLOOKUP(B533,Table2[Main Member Link ID],Table2[Product Option],0),
IF(AND(Table2[[#This Row],[Member Type]]="Child",_xlfn.XLOOKUP(B533,Table2[Main Member Link ID],Table2[Product Option],0)&lt;&gt;"My Value Plus Life"),Lookups!$C$24,
IF(AND(OR(Table2[[#This Row],[Member Type]]="Parent",Table2[[#This Row],[Member Type]]="Extended"),_xlfn.XLOOKUP(B533,Table2[Main Member Link ID],Table2[Product Option],0)&lt;&gt;"My Value Plus Life"),Lookups!$C$26,""))))</f>
        <v/>
      </c>
      <c r="AD533" s="326" t="str">
        <f>IF(Table2[[#This Row],[Member Type]]="Main Member",Lookups!$C$14,"")</f>
        <v/>
      </c>
      <c r="AE53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Funeral",_xlfn.XLOOKUP(B533,Table2[Main Member Link ID],Table2[Benefit Name],0)=Lookups!$D$14),"",
IF(AND(Table2[[#This Row],[Member Type]]="Spouse",Table2[[#This Row],[Product Option]]="My Value Plus Life &amp; Funeral",_xlfn.XLOOKUP(B532,Table2[Main Member Link ID],Table2[Benefit Name],0)=Lookups!$D$15),Lookups!$D$20,
IF(AND(Table2[[#This Row],[Member Type]]="Spouse",Table2[[#This Row],[Product Option]]="My Value Plus Life &amp; Funeral",_xlfn.XLOOKUP(B532,Table2[Main Member Link ID],Table2[Benefit Name],0)=Lookups!$D$16),"",
IF(AND(Table2[[#This Row],[Member Type]]="Spouse",Table2[[#This Row],[Product Option]]="My Value Plus Life &amp; Funeral",_xlfn.XLOOKUP(B532,Table2[Main Member Link ID],Table2[Benefit Name],0)=Lookups!$D$17),Lookups!$D$21,
IF(AND(Table2[[#This Row],[Member Type]]="Child",Table2[[#This Row],[Product Option]]="My Value Plus Life &amp; Funeral",_xlfn.XLOOKUP(B533,Table2[Main Member Link ID],Table2[Benefit Name],0)=Lookups!$D$14),"",
IF(AND(Table2[[#This Row],[Member Type]]="Child",Table2[[#This Row],[Product Option]]="My Value Plus Life &amp; Funeral",_xlfn.XLOOKUP(B533,Table2[Main Member Link ID],Table2[Benefit Name],0)=Lookups!$D$15),"",
IF(AND(Table2[[#This Row],[Member Type]]="Child",Table2[[#This Row],[Product Option]]="My Value Plus Life &amp; Funeral",_xlfn.XLOOKUP(B533,Table2[Main Member Link ID],Table2[Benefit Name],0)=Lookups!$D$16),Lookups!$D$24,
IF(AND(Table2[[#This Row],[Member Type]]="Child",Table2[[#This Row],[Product Option]]="My Value Plus Life &amp; Funeral",_xlfn.XLOOKUP(B533,Table2[Main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Funeral",_xlfn.XLOOKUP(B533,Table2[Main Member Link ID],Table2[Benefit Name],0)&lt;&gt;Lookups!$D$14),
IF(_xlfn.XLOOKUP(B533,Table2[Main Member Link ID],Table2[Benefit Name],0)=0,"",_xlfn.XLOOKUP(B533,Table2[Main Member Link ID],Table2[Benefit Name],0)),"")))))))))))))))</f>
        <v/>
      </c>
      <c r="AF533" s="327" t="str">
        <f>IF(AND(Table2[[#This Row],[Member Type]]="Main Member",Table2[[#This Row],[Product Option]]="My Value Plus Life &amp; Funeral"),Lookups!$D$15,
IF(AND(Table2[[#This Row],[Member Type]]="Spouse",Table2[[#This Row],[Product Option]]="My Value Plus Life &amp; Funeral",_xlfn.XLOOKUP(B533,Table2[Main Member Link ID],Table2[Benefit Name],0)=Lookups!$D$14),"",
IF(AND(Table2[[#This Row],[Member Type]]="Spouse",Table2[[#This Row],[Product Option]]="My Value Plus Life &amp; Funeral",_xlfn.XLOOKUP(B532,Table2[Main Member Link ID],Table2[Benefit Name],0)=Lookups!$D$16),"",
IF(AND(Table2[[#This Row],[Member Type]]="Spouse",Table2[[#This Row],[Product Option]]="My Value Plus Life &amp; Funeral",_xlfn.XLOOKUP(B532,Table2[Main Member Link ID],Table2[Benefit Name],0)=Lookups!$D$15),"",
IF(AND(Table2[[#This Row],[Member Type]]="Spouse",Table2[[#This Row],[Product Option]]="My Value Plus Life &amp; Funeral",_xlfn.XLOOKUP(B532,Table2[Main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Funeral",_xlfn.XLOOKUP(B533,Table2[Main Member Link ID],Table2[Benefit Name],0)&lt;&gt;Lookups!$D$15),
IF(_xlfn.XLOOKUP(B533,Table2[Main Member Link ID],Table2[Benefit Name],0)=0,"",_xlfn.XLOOKUP(B533,Table2[Main Member Link ID],Table2[Benefit Name],0)),"")
))))))</f>
        <v/>
      </c>
      <c r="AG533" s="327" t="str">
        <f>IF(AND(Table2[[#This Row],[Member Type]]="Main Member",Table2[[#This Row],[Product Option]]="My Value Plus Life &amp; Funeral"),Lookups!$D$16,
IF(AND(Table2[[#This Row],[Member Type]]="Spouse",Table2[[#This Row],[Product Option]]="My Value Plus Life &amp; Funeral",_xlfn.XLOOKUP(B533,Table2[Main Member Link ID],Table2[Benefit Name],0)=Lookups!$D$14),"",
IF(AND(Table2[[#This Row],[Member Type]]="Spouse",Table2[[#This Row],[Product Option]]="My Value Plus Life &amp; Funeral",_xlfn.XLOOKUP(B532,Table2[Main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Funeral",_xlfn.XLOOKUP(B533,Table2[Main Member Link ID],Table2[Benefit Name],0)&lt;&gt;Lookups!$D$16),
IF(_xlfn.XLOOKUP(B533,Table2[Main Member Link ID],Table2[Benefit Name],0)=0,"",_xlfn.XLOOKUP(B533,Table2[Main Member Link ID],Table2[Benefit Name],0)),"")
))))</f>
        <v/>
      </c>
      <c r="AH533" s="327" t="str">
        <f>IF(AND(Table2[[#This Row],[Member Type]]="Main Member",Table2[[#This Row],[Product Option]]="My Value Plus Life &amp; Funeral"),Lookups!$D$17,
IF(AND(Table2[[#This Row],[Member Type]]="Spouse",Table2[[#This Row],[Product Option]]="My Value Plus Life &amp; Funeral",_xlfn.XLOOKUP(B533,Table2[Main Member Link ID],Table2[Benefit Name],0)=Lookups!$D$14),"",
IF(AND(Table2[[#This Row],[Member Type]]="Spouse",Table2[[#This Row],[Product Option]]="My Value Plus Life &amp; Funeral",_xlfn.XLOOKUP(B532,Table2[Main Member Link ID],Table2[Benefit Name],0)=Lookups!$D$16),"",
IF(AND(Table2[[#This Row],[Member Type]]="Child",Table2[[#This Row],[Product Option]]="My Value Plus Life &amp; Funeral"),"",
IF(AND(Table2[[#This Row],[Member Type]]="Child",Table2[[#This Row],[Product Option]]="My Value Plus Life &amp; Funeral",_xlfn.XLOOKUP(B533,Table2[Main Member Link ID],Table2[Benefit Name],0)=Lookups!$D$15),"",
IF(AND(OR(Table2[[#This Row],[Member Type]]="Spouse",Table2[[#This Row],[Member Type]]="Child"),Table2[[#This Row],[Product Option]]="My Value Plus Life &amp; Funeral",_xlfn.XLOOKUP(B533,Table2[Main Member Link ID],Table2[Benefit Name],0)&lt;&gt;Lookups!$D$17),
IF(_xlfn.XLOOKUP(B533,Table2[Main Member Link ID],Table2[Benefit Name],0)=0,"",_xlfn.XLOOKUP(B533,Table2[Main Member Link ID],Table2[Benefit Name],0)),""))))))</f>
        <v/>
      </c>
      <c r="AI533" s="328" t="str">
        <f>IF(AND(Table2[[#This Row],[Member Type]]="Main Member",Table2[[#This Row],[Table Lookup for Life Cover]]="MM_LIFE",Table2[[#This Row],[Age Next Birthday]]&lt;56),1,
IF(AND(Table2[[#This Row],[Member Type]]="Main Member",Table2[[#This Row],[Table Lookup for Life Cover]]="MM_LIFE",Table2[[#This Row],[Age Next Birthday]]&gt;=56),2,
""))</f>
        <v/>
      </c>
      <c r="AJ533" s="328">
        <f>IF(OR(Table2[[#This Row],[Member Type]]="Main Member",Table2[[#This Row],[Main Member Link ID]]=B532),1,0)</f>
        <v>1</v>
      </c>
      <c r="AK533" s="328">
        <f>IF(Table2[[#This Row],[Member Type]]=0,0,
IF(OR(Table2[[#This Row],[Member Type]]="Main Member",Table2[[#This Row],[Main Member Link ID]]&lt;&gt;B533),COUNTIFS(B:B,Table2[[#This Row],[Main Member Link ID]]),
COUNTIFS(B:B,Table2[[#This Row],[Main Member Link ID]],A:A,Table2[[#This Row],[Member Type]])))</f>
        <v>0</v>
      </c>
    </row>
    <row r="534" spans="1:37" x14ac:dyDescent="0.3">
      <c r="A534" s="284">
        <f>Table13[[#This Row],[Member Type]]</f>
        <v>0</v>
      </c>
      <c r="B534" s="284">
        <f>Table13[[#This Row],[Main Member Link ID]]</f>
        <v>0</v>
      </c>
      <c r="C534" s="284">
        <f>Table13[[#This Row],[ID Number]]</f>
        <v>0</v>
      </c>
      <c r="D534" s="285">
        <f>Table13[[#This Row],[Date Of Birth]]</f>
        <v>0</v>
      </c>
      <c r="E534" s="285">
        <f>Table13[[#This Row],[Commencement Date]]</f>
        <v>0</v>
      </c>
      <c r="F534" s="284">
        <f t="shared" si="56"/>
        <v>1</v>
      </c>
      <c r="G534" s="284">
        <f t="shared" si="57"/>
        <v>25</v>
      </c>
      <c r="H534" s="286">
        <f>Table13[[#This Row],[Product Option]]</f>
        <v>0</v>
      </c>
      <c r="I534" s="284">
        <f>IF(AND($A534="Main Member",Table2[[#This Row],[Product Option]]="My Value Plus Life"),"MM_LIFE",
IF(AND($A534="Spouse",Table2[[#This Row],[Product Option]]="My Value Plus Life"),"SP_LIFE",
IF(AND($A534="Main Member",Table2[[#This Row],[Product Option]]="My Value Plus Life &amp; Funeral"),"MM_LIFE",
IF(AND($A534="Spouse",Table2[[#This Row],[Product Option]]="My Value Plus Life &amp; Funeral"),_xlfn.XLOOKUP(Table2[[#This Row],[Benefit Name]],Lookups!$D$18:$D$23,Lookups!$E$18:$E$23,0),
0))))</f>
        <v>0</v>
      </c>
      <c r="J534" s="284">
        <f>IF($I534="","",
IF($I534="MM_LIFE",INDEX('Quotation Tool'!$S$54:$V$60,MATCH($T534,'Quotation Tool'!$S$54:$S$60,0),4),
IF($I534="SP_LIFE",_xlfn.XLOOKUP(B533,$B:$B,$J:$J,0),0)))</f>
        <v>0</v>
      </c>
      <c r="K534" s="287">
        <f t="shared" ca="1" si="61"/>
        <v>0</v>
      </c>
      <c r="L534" s="288">
        <f t="shared" ca="1" si="62"/>
        <v>0</v>
      </c>
      <c r="M534" s="289">
        <f t="shared" ca="1" si="58"/>
        <v>0</v>
      </c>
      <c r="N534" s="286">
        <f>Table13[[#This Row],[Benefit Option]]</f>
        <v>0</v>
      </c>
      <c r="O534" s="284">
        <f>IF(OR(Table2[[#This Row],[Member Type]]="Spouse",Table2[[#This Row],[Member Type]]="Child"),0,
IF(_xlfn.XLOOKUP($N534,Lookups!$D$13:$D$27,Lookups!$F$13:$F$27,0)=Table2[[#This Row],[Table Lookup for Life Cover]],0,
_xlfn.XLOOKUP($N534,Lookups!$D$13:$D$27,Lookups!$F$13:$F$27,0)))</f>
        <v>0</v>
      </c>
      <c r="P534" s="284">
        <f>IF(Table2[[#This Row],[Table Lookup for Funeral]]=0,0,IFERROR(INDEX('Quotation Tool'!$S$54:$V$60,MATCH($T534,'Quotation Tool'!$S$54:$S$60,0),3),0))</f>
        <v>0</v>
      </c>
      <c r="Q534" s="288">
        <f ca="1">IF(OR(Table2[[#This Row],[Benefit Name]]="My Value Plus Life - Main Member",Table2[[#This Row],[Benefit Name]]="My Value Plus Life - Spouse"),0,
IFERROR(VLOOKUP($G534,INDIRECT($O534),$P534,FALSE),0))</f>
        <v>0</v>
      </c>
      <c r="R534" s="288">
        <f ca="1">IF(OR(Table2[[#This Row],[Benefit Name]]="My Value Plus Life - Main Member",Table2[[#This Row],[Benefit Name]]="My Value Plus Life - Spouse"),0,
IFERROR(VLOOKUP($G534,INDIRECT($O534),$P534+1,FALSE),0))</f>
        <v>0</v>
      </c>
      <c r="S534" s="289">
        <f t="shared" ca="1" si="59"/>
        <v>0</v>
      </c>
      <c r="T534" s="284" t="str">
        <f>IF(Table13[[#This Row],[Premium Waiver]]="","None",Table13[[#This Row],[Premium Waiver]])</f>
        <v>None</v>
      </c>
      <c r="U534" s="284">
        <f>Table13[[#This Row],[VAPs Options]]</f>
        <v>0</v>
      </c>
      <c r="V534" s="284">
        <f>Table13[[#This Row],[Annual Increase Option]]</f>
        <v>0</v>
      </c>
      <c r="W534" s="290">
        <f>Table13[[#This Row],[Life Cover Amount]]</f>
        <v>0</v>
      </c>
      <c r="X534" s="290">
        <f>Table13[[#This Row],[Funeral Cover Amount]]</f>
        <v>0</v>
      </c>
      <c r="Y53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3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34" s="301">
        <f t="shared" ca="1" si="60"/>
        <v>0</v>
      </c>
      <c r="AB534" s="298"/>
      <c r="AC534" s="326" t="str">
        <f>IF(Table2[[#This Row],[Member Type]]="Main Member",Lookups!$C$13,
IF(Table2[[#This Row],[Member Type]]="Spouse",_xlfn.XLOOKUP(B534,Table2[Main Member Link ID],Table2[Product Option],0),
IF(AND(Table2[[#This Row],[Member Type]]="Child",_xlfn.XLOOKUP(B534,Table2[Main Member Link ID],Table2[Product Option],0)&lt;&gt;"My Value Plus Life"),Lookups!$C$24,
IF(AND(OR(Table2[[#This Row],[Member Type]]="Parent",Table2[[#This Row],[Member Type]]="Extended"),_xlfn.XLOOKUP(B534,Table2[Main Member Link ID],Table2[Product Option],0)&lt;&gt;"My Value Plus Life"),Lookups!$C$26,""))))</f>
        <v/>
      </c>
      <c r="AD534" s="326" t="str">
        <f>IF(Table2[[#This Row],[Member Type]]="Main Member",Lookups!$C$14,"")</f>
        <v/>
      </c>
      <c r="AE53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Funeral",_xlfn.XLOOKUP(B534,Table2[Main Member Link ID],Table2[Benefit Name],0)=Lookups!$D$14),"",
IF(AND(Table2[[#This Row],[Member Type]]="Spouse",Table2[[#This Row],[Product Option]]="My Value Plus Life &amp; Funeral",_xlfn.XLOOKUP(B533,Table2[Main Member Link ID],Table2[Benefit Name],0)=Lookups!$D$15),Lookups!$D$20,
IF(AND(Table2[[#This Row],[Member Type]]="Spouse",Table2[[#This Row],[Product Option]]="My Value Plus Life &amp; Funeral",_xlfn.XLOOKUP(B533,Table2[Main Member Link ID],Table2[Benefit Name],0)=Lookups!$D$16),"",
IF(AND(Table2[[#This Row],[Member Type]]="Spouse",Table2[[#This Row],[Product Option]]="My Value Plus Life &amp; Funeral",_xlfn.XLOOKUP(B533,Table2[Main Member Link ID],Table2[Benefit Name],0)=Lookups!$D$17),Lookups!$D$21,
IF(AND(Table2[[#This Row],[Member Type]]="Child",Table2[[#This Row],[Product Option]]="My Value Plus Life &amp; Funeral",_xlfn.XLOOKUP(B534,Table2[Main Member Link ID],Table2[Benefit Name],0)=Lookups!$D$14),"",
IF(AND(Table2[[#This Row],[Member Type]]="Child",Table2[[#This Row],[Product Option]]="My Value Plus Life &amp; Funeral",_xlfn.XLOOKUP(B534,Table2[Main Member Link ID],Table2[Benefit Name],0)=Lookups!$D$15),"",
IF(AND(Table2[[#This Row],[Member Type]]="Child",Table2[[#This Row],[Product Option]]="My Value Plus Life &amp; Funeral",_xlfn.XLOOKUP(B534,Table2[Main Member Link ID],Table2[Benefit Name],0)=Lookups!$D$16),Lookups!$D$24,
IF(AND(Table2[[#This Row],[Member Type]]="Child",Table2[[#This Row],[Product Option]]="My Value Plus Life &amp; Funeral",_xlfn.XLOOKUP(B534,Table2[Main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Funeral",_xlfn.XLOOKUP(B534,Table2[Main Member Link ID],Table2[Benefit Name],0)&lt;&gt;Lookups!$D$14),
IF(_xlfn.XLOOKUP(B534,Table2[Main Member Link ID],Table2[Benefit Name],0)=0,"",_xlfn.XLOOKUP(B534,Table2[Main Member Link ID],Table2[Benefit Name],0)),"")))))))))))))))</f>
        <v/>
      </c>
      <c r="AF534" s="327" t="str">
        <f>IF(AND(Table2[[#This Row],[Member Type]]="Main Member",Table2[[#This Row],[Product Option]]="My Value Plus Life &amp; Funeral"),Lookups!$D$15,
IF(AND(Table2[[#This Row],[Member Type]]="Spouse",Table2[[#This Row],[Product Option]]="My Value Plus Life &amp; Funeral",_xlfn.XLOOKUP(B534,Table2[Main Member Link ID],Table2[Benefit Name],0)=Lookups!$D$14),"",
IF(AND(Table2[[#This Row],[Member Type]]="Spouse",Table2[[#This Row],[Product Option]]="My Value Plus Life &amp; Funeral",_xlfn.XLOOKUP(B533,Table2[Main Member Link ID],Table2[Benefit Name],0)=Lookups!$D$16),"",
IF(AND(Table2[[#This Row],[Member Type]]="Spouse",Table2[[#This Row],[Product Option]]="My Value Plus Life &amp; Funeral",_xlfn.XLOOKUP(B533,Table2[Main Member Link ID],Table2[Benefit Name],0)=Lookups!$D$15),"",
IF(AND(Table2[[#This Row],[Member Type]]="Spouse",Table2[[#This Row],[Product Option]]="My Value Plus Life &amp; Funeral",_xlfn.XLOOKUP(B533,Table2[Main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Funeral",_xlfn.XLOOKUP(B534,Table2[Main Member Link ID],Table2[Benefit Name],0)&lt;&gt;Lookups!$D$15),
IF(_xlfn.XLOOKUP(B534,Table2[Main Member Link ID],Table2[Benefit Name],0)=0,"",_xlfn.XLOOKUP(B534,Table2[Main Member Link ID],Table2[Benefit Name],0)),"")
))))))</f>
        <v/>
      </c>
      <c r="AG534" s="327" t="str">
        <f>IF(AND(Table2[[#This Row],[Member Type]]="Main Member",Table2[[#This Row],[Product Option]]="My Value Plus Life &amp; Funeral"),Lookups!$D$16,
IF(AND(Table2[[#This Row],[Member Type]]="Spouse",Table2[[#This Row],[Product Option]]="My Value Plus Life &amp; Funeral",_xlfn.XLOOKUP(B534,Table2[Main Member Link ID],Table2[Benefit Name],0)=Lookups!$D$14),"",
IF(AND(Table2[[#This Row],[Member Type]]="Spouse",Table2[[#This Row],[Product Option]]="My Value Plus Life &amp; Funeral",_xlfn.XLOOKUP(B533,Table2[Main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Funeral",_xlfn.XLOOKUP(B534,Table2[Main Member Link ID],Table2[Benefit Name],0)&lt;&gt;Lookups!$D$16),
IF(_xlfn.XLOOKUP(B534,Table2[Main Member Link ID],Table2[Benefit Name],0)=0,"",_xlfn.XLOOKUP(B534,Table2[Main Member Link ID],Table2[Benefit Name],0)),"")
))))</f>
        <v/>
      </c>
      <c r="AH534" s="327" t="str">
        <f>IF(AND(Table2[[#This Row],[Member Type]]="Main Member",Table2[[#This Row],[Product Option]]="My Value Plus Life &amp; Funeral"),Lookups!$D$17,
IF(AND(Table2[[#This Row],[Member Type]]="Spouse",Table2[[#This Row],[Product Option]]="My Value Plus Life &amp; Funeral",_xlfn.XLOOKUP(B534,Table2[Main Member Link ID],Table2[Benefit Name],0)=Lookups!$D$14),"",
IF(AND(Table2[[#This Row],[Member Type]]="Spouse",Table2[[#This Row],[Product Option]]="My Value Plus Life &amp; Funeral",_xlfn.XLOOKUP(B533,Table2[Main Member Link ID],Table2[Benefit Name],0)=Lookups!$D$16),"",
IF(AND(Table2[[#This Row],[Member Type]]="Child",Table2[[#This Row],[Product Option]]="My Value Plus Life &amp; Funeral"),"",
IF(AND(Table2[[#This Row],[Member Type]]="Child",Table2[[#This Row],[Product Option]]="My Value Plus Life &amp; Funeral",_xlfn.XLOOKUP(B534,Table2[Main Member Link ID],Table2[Benefit Name],0)=Lookups!$D$15),"",
IF(AND(OR(Table2[[#This Row],[Member Type]]="Spouse",Table2[[#This Row],[Member Type]]="Child"),Table2[[#This Row],[Product Option]]="My Value Plus Life &amp; Funeral",_xlfn.XLOOKUP(B534,Table2[Main Member Link ID],Table2[Benefit Name],0)&lt;&gt;Lookups!$D$17),
IF(_xlfn.XLOOKUP(B534,Table2[Main Member Link ID],Table2[Benefit Name],0)=0,"",_xlfn.XLOOKUP(B534,Table2[Main Member Link ID],Table2[Benefit Name],0)),""))))))</f>
        <v/>
      </c>
      <c r="AI534" s="328" t="str">
        <f>IF(AND(Table2[[#This Row],[Member Type]]="Main Member",Table2[[#This Row],[Table Lookup for Life Cover]]="MM_LIFE",Table2[[#This Row],[Age Next Birthday]]&lt;56),1,
IF(AND(Table2[[#This Row],[Member Type]]="Main Member",Table2[[#This Row],[Table Lookup for Life Cover]]="MM_LIFE",Table2[[#This Row],[Age Next Birthday]]&gt;=56),2,
""))</f>
        <v/>
      </c>
      <c r="AJ534" s="328">
        <f>IF(OR(Table2[[#This Row],[Member Type]]="Main Member",Table2[[#This Row],[Main Member Link ID]]=B533),1,0)</f>
        <v>1</v>
      </c>
      <c r="AK534" s="328">
        <f>IF(Table2[[#This Row],[Member Type]]=0,0,
IF(OR(Table2[[#This Row],[Member Type]]="Main Member",Table2[[#This Row],[Main Member Link ID]]&lt;&gt;B534),COUNTIFS(B:B,Table2[[#This Row],[Main Member Link ID]]),
COUNTIFS(B:B,Table2[[#This Row],[Main Member Link ID]],A:A,Table2[[#This Row],[Member Type]])))</f>
        <v>0</v>
      </c>
    </row>
    <row r="535" spans="1:37" x14ac:dyDescent="0.3">
      <c r="A535" s="284">
        <f>Table13[[#This Row],[Member Type]]</f>
        <v>0</v>
      </c>
      <c r="B535" s="284">
        <f>Table13[[#This Row],[Main Member Link ID]]</f>
        <v>0</v>
      </c>
      <c r="C535" s="284">
        <f>Table13[[#This Row],[ID Number]]</f>
        <v>0</v>
      </c>
      <c r="D535" s="285">
        <f>Table13[[#This Row],[Date Of Birth]]</f>
        <v>0</v>
      </c>
      <c r="E535" s="285">
        <f>Table13[[#This Row],[Commencement Date]]</f>
        <v>0</v>
      </c>
      <c r="F535" s="284">
        <f t="shared" si="56"/>
        <v>1</v>
      </c>
      <c r="G535" s="284">
        <f t="shared" si="57"/>
        <v>25</v>
      </c>
      <c r="H535" s="286">
        <f>Table13[[#This Row],[Product Option]]</f>
        <v>0</v>
      </c>
      <c r="I535" s="284">
        <f>IF(AND($A535="Main Member",Table2[[#This Row],[Product Option]]="My Value Plus Life"),"MM_LIFE",
IF(AND($A535="Spouse",Table2[[#This Row],[Product Option]]="My Value Plus Life"),"SP_LIFE",
IF(AND($A535="Main Member",Table2[[#This Row],[Product Option]]="My Value Plus Life &amp; Funeral"),"MM_LIFE",
IF(AND($A535="Spouse",Table2[[#This Row],[Product Option]]="My Value Plus Life &amp; Funeral"),_xlfn.XLOOKUP(Table2[[#This Row],[Benefit Name]],Lookups!$D$18:$D$23,Lookups!$E$18:$E$23,0),
0))))</f>
        <v>0</v>
      </c>
      <c r="J535" s="284">
        <f>IF($I535="","",
IF($I535="MM_LIFE",INDEX('Quotation Tool'!$S$54:$V$60,MATCH($T535,'Quotation Tool'!$S$54:$S$60,0),4),
IF($I535="SP_LIFE",_xlfn.XLOOKUP(B534,$B:$B,$J:$J,0),0)))</f>
        <v>0</v>
      </c>
      <c r="K535" s="287">
        <f t="shared" ca="1" si="61"/>
        <v>0</v>
      </c>
      <c r="L535" s="288">
        <f t="shared" ca="1" si="62"/>
        <v>0</v>
      </c>
      <c r="M535" s="289">
        <f t="shared" ca="1" si="58"/>
        <v>0</v>
      </c>
      <c r="N535" s="286">
        <f>Table13[[#This Row],[Benefit Option]]</f>
        <v>0</v>
      </c>
      <c r="O535" s="284">
        <f>IF(OR(Table2[[#This Row],[Member Type]]="Spouse",Table2[[#This Row],[Member Type]]="Child"),0,
IF(_xlfn.XLOOKUP($N535,Lookups!$D$13:$D$27,Lookups!$F$13:$F$27,0)=Table2[[#This Row],[Table Lookup for Life Cover]],0,
_xlfn.XLOOKUP($N535,Lookups!$D$13:$D$27,Lookups!$F$13:$F$27,0)))</f>
        <v>0</v>
      </c>
      <c r="P535" s="284">
        <f>IF(Table2[[#This Row],[Table Lookup for Funeral]]=0,0,IFERROR(INDEX('Quotation Tool'!$S$54:$V$60,MATCH($T535,'Quotation Tool'!$S$54:$S$60,0),3),0))</f>
        <v>0</v>
      </c>
      <c r="Q535" s="288">
        <f ca="1">IF(OR(Table2[[#This Row],[Benefit Name]]="My Value Plus Life - Main Member",Table2[[#This Row],[Benefit Name]]="My Value Plus Life - Spouse"),0,
IFERROR(VLOOKUP($G535,INDIRECT($O535),$P535,FALSE),0))</f>
        <v>0</v>
      </c>
      <c r="R535" s="288">
        <f ca="1">IF(OR(Table2[[#This Row],[Benefit Name]]="My Value Plus Life - Main Member",Table2[[#This Row],[Benefit Name]]="My Value Plus Life - Spouse"),0,
IFERROR(VLOOKUP($G535,INDIRECT($O535),$P535+1,FALSE),0))</f>
        <v>0</v>
      </c>
      <c r="S535" s="289">
        <f t="shared" ca="1" si="59"/>
        <v>0</v>
      </c>
      <c r="T535" s="284" t="str">
        <f>IF(Table13[[#This Row],[Premium Waiver]]="","None",Table13[[#This Row],[Premium Waiver]])</f>
        <v>None</v>
      </c>
      <c r="U535" s="284">
        <f>Table13[[#This Row],[VAPs Options]]</f>
        <v>0</v>
      </c>
      <c r="V535" s="284">
        <f>Table13[[#This Row],[Annual Increase Option]]</f>
        <v>0</v>
      </c>
      <c r="W535" s="290">
        <f>Table13[[#This Row],[Life Cover Amount]]</f>
        <v>0</v>
      </c>
      <c r="X535" s="290">
        <f>Table13[[#This Row],[Funeral Cover Amount]]</f>
        <v>0</v>
      </c>
      <c r="Y53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3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35" s="301">
        <f t="shared" ca="1" si="60"/>
        <v>0</v>
      </c>
      <c r="AB535" s="298"/>
      <c r="AC535" s="326" t="str">
        <f>IF(Table2[[#This Row],[Member Type]]="Main Member",Lookups!$C$13,
IF(Table2[[#This Row],[Member Type]]="Spouse",_xlfn.XLOOKUP(B535,Table2[Main Member Link ID],Table2[Product Option],0),
IF(AND(Table2[[#This Row],[Member Type]]="Child",_xlfn.XLOOKUP(B535,Table2[Main Member Link ID],Table2[Product Option],0)&lt;&gt;"My Value Plus Life"),Lookups!$C$24,
IF(AND(OR(Table2[[#This Row],[Member Type]]="Parent",Table2[[#This Row],[Member Type]]="Extended"),_xlfn.XLOOKUP(B535,Table2[Main Member Link ID],Table2[Product Option],0)&lt;&gt;"My Value Plus Life"),Lookups!$C$26,""))))</f>
        <v/>
      </c>
      <c r="AD535" s="326" t="str">
        <f>IF(Table2[[#This Row],[Member Type]]="Main Member",Lookups!$C$14,"")</f>
        <v/>
      </c>
      <c r="AE53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Funeral",_xlfn.XLOOKUP(B535,Table2[Main Member Link ID],Table2[Benefit Name],0)=Lookups!$D$14),"",
IF(AND(Table2[[#This Row],[Member Type]]="Spouse",Table2[[#This Row],[Product Option]]="My Value Plus Life &amp; Funeral",_xlfn.XLOOKUP(B534,Table2[Main Member Link ID],Table2[Benefit Name],0)=Lookups!$D$15),Lookups!$D$20,
IF(AND(Table2[[#This Row],[Member Type]]="Spouse",Table2[[#This Row],[Product Option]]="My Value Plus Life &amp; Funeral",_xlfn.XLOOKUP(B534,Table2[Main Member Link ID],Table2[Benefit Name],0)=Lookups!$D$16),"",
IF(AND(Table2[[#This Row],[Member Type]]="Spouse",Table2[[#This Row],[Product Option]]="My Value Plus Life &amp; Funeral",_xlfn.XLOOKUP(B534,Table2[Main Member Link ID],Table2[Benefit Name],0)=Lookups!$D$17),Lookups!$D$21,
IF(AND(Table2[[#This Row],[Member Type]]="Child",Table2[[#This Row],[Product Option]]="My Value Plus Life &amp; Funeral",_xlfn.XLOOKUP(B535,Table2[Main Member Link ID],Table2[Benefit Name],0)=Lookups!$D$14),"",
IF(AND(Table2[[#This Row],[Member Type]]="Child",Table2[[#This Row],[Product Option]]="My Value Plus Life &amp; Funeral",_xlfn.XLOOKUP(B535,Table2[Main Member Link ID],Table2[Benefit Name],0)=Lookups!$D$15),"",
IF(AND(Table2[[#This Row],[Member Type]]="Child",Table2[[#This Row],[Product Option]]="My Value Plus Life &amp; Funeral",_xlfn.XLOOKUP(B535,Table2[Main Member Link ID],Table2[Benefit Name],0)=Lookups!$D$16),Lookups!$D$24,
IF(AND(Table2[[#This Row],[Member Type]]="Child",Table2[[#This Row],[Product Option]]="My Value Plus Life &amp; Funeral",_xlfn.XLOOKUP(B535,Table2[Main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Funeral",_xlfn.XLOOKUP(B535,Table2[Main Member Link ID],Table2[Benefit Name],0)&lt;&gt;Lookups!$D$14),
IF(_xlfn.XLOOKUP(B535,Table2[Main Member Link ID],Table2[Benefit Name],0)=0,"",_xlfn.XLOOKUP(B535,Table2[Main Member Link ID],Table2[Benefit Name],0)),"")))))))))))))))</f>
        <v/>
      </c>
      <c r="AF535" s="327" t="str">
        <f>IF(AND(Table2[[#This Row],[Member Type]]="Main Member",Table2[[#This Row],[Product Option]]="My Value Plus Life &amp; Funeral"),Lookups!$D$15,
IF(AND(Table2[[#This Row],[Member Type]]="Spouse",Table2[[#This Row],[Product Option]]="My Value Plus Life &amp; Funeral",_xlfn.XLOOKUP(B535,Table2[Main Member Link ID],Table2[Benefit Name],0)=Lookups!$D$14),"",
IF(AND(Table2[[#This Row],[Member Type]]="Spouse",Table2[[#This Row],[Product Option]]="My Value Plus Life &amp; Funeral",_xlfn.XLOOKUP(B534,Table2[Main Member Link ID],Table2[Benefit Name],0)=Lookups!$D$16),"",
IF(AND(Table2[[#This Row],[Member Type]]="Spouse",Table2[[#This Row],[Product Option]]="My Value Plus Life &amp; Funeral",_xlfn.XLOOKUP(B534,Table2[Main Member Link ID],Table2[Benefit Name],0)=Lookups!$D$15),"",
IF(AND(Table2[[#This Row],[Member Type]]="Spouse",Table2[[#This Row],[Product Option]]="My Value Plus Life &amp; Funeral",_xlfn.XLOOKUP(B534,Table2[Main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Funeral",_xlfn.XLOOKUP(B535,Table2[Main Member Link ID],Table2[Benefit Name],0)&lt;&gt;Lookups!$D$15),
IF(_xlfn.XLOOKUP(B535,Table2[Main Member Link ID],Table2[Benefit Name],0)=0,"",_xlfn.XLOOKUP(B535,Table2[Main Member Link ID],Table2[Benefit Name],0)),"")
))))))</f>
        <v/>
      </c>
      <c r="AG535" s="327" t="str">
        <f>IF(AND(Table2[[#This Row],[Member Type]]="Main Member",Table2[[#This Row],[Product Option]]="My Value Plus Life &amp; Funeral"),Lookups!$D$16,
IF(AND(Table2[[#This Row],[Member Type]]="Spouse",Table2[[#This Row],[Product Option]]="My Value Plus Life &amp; Funeral",_xlfn.XLOOKUP(B535,Table2[Main Member Link ID],Table2[Benefit Name],0)=Lookups!$D$14),"",
IF(AND(Table2[[#This Row],[Member Type]]="Spouse",Table2[[#This Row],[Product Option]]="My Value Plus Life &amp; Funeral",_xlfn.XLOOKUP(B534,Table2[Main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Funeral",_xlfn.XLOOKUP(B535,Table2[Main Member Link ID],Table2[Benefit Name],0)&lt;&gt;Lookups!$D$16),
IF(_xlfn.XLOOKUP(B535,Table2[Main Member Link ID],Table2[Benefit Name],0)=0,"",_xlfn.XLOOKUP(B535,Table2[Main Member Link ID],Table2[Benefit Name],0)),"")
))))</f>
        <v/>
      </c>
      <c r="AH535" s="327" t="str">
        <f>IF(AND(Table2[[#This Row],[Member Type]]="Main Member",Table2[[#This Row],[Product Option]]="My Value Plus Life &amp; Funeral"),Lookups!$D$17,
IF(AND(Table2[[#This Row],[Member Type]]="Spouse",Table2[[#This Row],[Product Option]]="My Value Plus Life &amp; Funeral",_xlfn.XLOOKUP(B535,Table2[Main Member Link ID],Table2[Benefit Name],0)=Lookups!$D$14),"",
IF(AND(Table2[[#This Row],[Member Type]]="Spouse",Table2[[#This Row],[Product Option]]="My Value Plus Life &amp; Funeral",_xlfn.XLOOKUP(B534,Table2[Main Member Link ID],Table2[Benefit Name],0)=Lookups!$D$16),"",
IF(AND(Table2[[#This Row],[Member Type]]="Child",Table2[[#This Row],[Product Option]]="My Value Plus Life &amp; Funeral"),"",
IF(AND(Table2[[#This Row],[Member Type]]="Child",Table2[[#This Row],[Product Option]]="My Value Plus Life &amp; Funeral",_xlfn.XLOOKUP(B535,Table2[Main Member Link ID],Table2[Benefit Name],0)=Lookups!$D$15),"",
IF(AND(OR(Table2[[#This Row],[Member Type]]="Spouse",Table2[[#This Row],[Member Type]]="Child"),Table2[[#This Row],[Product Option]]="My Value Plus Life &amp; Funeral",_xlfn.XLOOKUP(B535,Table2[Main Member Link ID],Table2[Benefit Name],0)&lt;&gt;Lookups!$D$17),
IF(_xlfn.XLOOKUP(B535,Table2[Main Member Link ID],Table2[Benefit Name],0)=0,"",_xlfn.XLOOKUP(B535,Table2[Main Member Link ID],Table2[Benefit Name],0)),""))))))</f>
        <v/>
      </c>
      <c r="AI535" s="328" t="str">
        <f>IF(AND(Table2[[#This Row],[Member Type]]="Main Member",Table2[[#This Row],[Table Lookup for Life Cover]]="MM_LIFE",Table2[[#This Row],[Age Next Birthday]]&lt;56),1,
IF(AND(Table2[[#This Row],[Member Type]]="Main Member",Table2[[#This Row],[Table Lookup for Life Cover]]="MM_LIFE",Table2[[#This Row],[Age Next Birthday]]&gt;=56),2,
""))</f>
        <v/>
      </c>
      <c r="AJ535" s="328">
        <f>IF(OR(Table2[[#This Row],[Member Type]]="Main Member",Table2[[#This Row],[Main Member Link ID]]=B534),1,0)</f>
        <v>1</v>
      </c>
      <c r="AK535" s="328">
        <f>IF(Table2[[#This Row],[Member Type]]=0,0,
IF(OR(Table2[[#This Row],[Member Type]]="Main Member",Table2[[#This Row],[Main Member Link ID]]&lt;&gt;B535),COUNTIFS(B:B,Table2[[#This Row],[Main Member Link ID]]),
COUNTIFS(B:B,Table2[[#This Row],[Main Member Link ID]],A:A,Table2[[#This Row],[Member Type]])))</f>
        <v>0</v>
      </c>
    </row>
    <row r="536" spans="1:37" x14ac:dyDescent="0.3">
      <c r="A536" s="284">
        <f>Table13[[#This Row],[Member Type]]</f>
        <v>0</v>
      </c>
      <c r="B536" s="284">
        <f>Table13[[#This Row],[Main Member Link ID]]</f>
        <v>0</v>
      </c>
      <c r="C536" s="284">
        <f>Table13[[#This Row],[ID Number]]</f>
        <v>0</v>
      </c>
      <c r="D536" s="285">
        <f>Table13[[#This Row],[Date Of Birth]]</f>
        <v>0</v>
      </c>
      <c r="E536" s="285">
        <f>Table13[[#This Row],[Commencement Date]]</f>
        <v>0</v>
      </c>
      <c r="F536" s="284">
        <f t="shared" si="56"/>
        <v>1</v>
      </c>
      <c r="G536" s="284">
        <f t="shared" si="57"/>
        <v>25</v>
      </c>
      <c r="H536" s="286">
        <f>Table13[[#This Row],[Product Option]]</f>
        <v>0</v>
      </c>
      <c r="I536" s="284">
        <f>IF(AND($A536="Main Member",Table2[[#This Row],[Product Option]]="My Value Plus Life"),"MM_LIFE",
IF(AND($A536="Spouse",Table2[[#This Row],[Product Option]]="My Value Plus Life"),"SP_LIFE",
IF(AND($A536="Main Member",Table2[[#This Row],[Product Option]]="My Value Plus Life &amp; Funeral"),"MM_LIFE",
IF(AND($A536="Spouse",Table2[[#This Row],[Product Option]]="My Value Plus Life &amp; Funeral"),_xlfn.XLOOKUP(Table2[[#This Row],[Benefit Name]],Lookups!$D$18:$D$23,Lookups!$E$18:$E$23,0),
0))))</f>
        <v>0</v>
      </c>
      <c r="J536" s="284">
        <f>IF($I536="","",
IF($I536="MM_LIFE",INDEX('Quotation Tool'!$S$54:$V$60,MATCH($T536,'Quotation Tool'!$S$54:$S$60,0),4),
IF($I536="SP_LIFE",_xlfn.XLOOKUP(B535,$B:$B,$J:$J,0),0)))</f>
        <v>0</v>
      </c>
      <c r="K536" s="287">
        <f t="shared" ca="1" si="61"/>
        <v>0</v>
      </c>
      <c r="L536" s="288">
        <f t="shared" ca="1" si="62"/>
        <v>0</v>
      </c>
      <c r="M536" s="289">
        <f t="shared" ca="1" si="58"/>
        <v>0</v>
      </c>
      <c r="N536" s="286">
        <f>Table13[[#This Row],[Benefit Option]]</f>
        <v>0</v>
      </c>
      <c r="O536" s="284">
        <f>IF(OR(Table2[[#This Row],[Member Type]]="Spouse",Table2[[#This Row],[Member Type]]="Child"),0,
IF(_xlfn.XLOOKUP($N536,Lookups!$D$13:$D$27,Lookups!$F$13:$F$27,0)=Table2[[#This Row],[Table Lookup for Life Cover]],0,
_xlfn.XLOOKUP($N536,Lookups!$D$13:$D$27,Lookups!$F$13:$F$27,0)))</f>
        <v>0</v>
      </c>
      <c r="P536" s="284">
        <f>IF(Table2[[#This Row],[Table Lookup for Funeral]]=0,0,IFERROR(INDEX('Quotation Tool'!$S$54:$V$60,MATCH($T536,'Quotation Tool'!$S$54:$S$60,0),3),0))</f>
        <v>0</v>
      </c>
      <c r="Q536" s="288">
        <f ca="1">IF(OR(Table2[[#This Row],[Benefit Name]]="My Value Plus Life - Main Member",Table2[[#This Row],[Benefit Name]]="My Value Plus Life - Spouse"),0,
IFERROR(VLOOKUP($G536,INDIRECT($O536),$P536,FALSE),0))</f>
        <v>0</v>
      </c>
      <c r="R536" s="288">
        <f ca="1">IF(OR(Table2[[#This Row],[Benefit Name]]="My Value Plus Life - Main Member",Table2[[#This Row],[Benefit Name]]="My Value Plus Life - Spouse"),0,
IFERROR(VLOOKUP($G536,INDIRECT($O536),$P536+1,FALSE),0))</f>
        <v>0</v>
      </c>
      <c r="S536" s="289">
        <f t="shared" ca="1" si="59"/>
        <v>0</v>
      </c>
      <c r="T536" s="284" t="str">
        <f>IF(Table13[[#This Row],[Premium Waiver]]="","None",Table13[[#This Row],[Premium Waiver]])</f>
        <v>None</v>
      </c>
      <c r="U536" s="284">
        <f>Table13[[#This Row],[VAPs Options]]</f>
        <v>0</v>
      </c>
      <c r="V536" s="284">
        <f>Table13[[#This Row],[Annual Increase Option]]</f>
        <v>0</v>
      </c>
      <c r="W536" s="290">
        <f>Table13[[#This Row],[Life Cover Amount]]</f>
        <v>0</v>
      </c>
      <c r="X536" s="290">
        <f>Table13[[#This Row],[Funeral Cover Amount]]</f>
        <v>0</v>
      </c>
      <c r="Y53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3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36" s="301">
        <f t="shared" ca="1" si="60"/>
        <v>0</v>
      </c>
      <c r="AB536" s="298"/>
      <c r="AC536" s="326" t="str">
        <f>IF(Table2[[#This Row],[Member Type]]="Main Member",Lookups!$C$13,
IF(Table2[[#This Row],[Member Type]]="Spouse",_xlfn.XLOOKUP(B536,Table2[Main Member Link ID],Table2[Product Option],0),
IF(AND(Table2[[#This Row],[Member Type]]="Child",_xlfn.XLOOKUP(B536,Table2[Main Member Link ID],Table2[Product Option],0)&lt;&gt;"My Value Plus Life"),Lookups!$C$24,
IF(AND(OR(Table2[[#This Row],[Member Type]]="Parent",Table2[[#This Row],[Member Type]]="Extended"),_xlfn.XLOOKUP(B536,Table2[Main Member Link ID],Table2[Product Option],0)&lt;&gt;"My Value Plus Life"),Lookups!$C$26,""))))</f>
        <v/>
      </c>
      <c r="AD536" s="326" t="str">
        <f>IF(Table2[[#This Row],[Member Type]]="Main Member",Lookups!$C$14,"")</f>
        <v/>
      </c>
      <c r="AE53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Funeral",_xlfn.XLOOKUP(B536,Table2[Main Member Link ID],Table2[Benefit Name],0)=Lookups!$D$14),"",
IF(AND(Table2[[#This Row],[Member Type]]="Spouse",Table2[[#This Row],[Product Option]]="My Value Plus Life &amp; Funeral",_xlfn.XLOOKUP(B535,Table2[Main Member Link ID],Table2[Benefit Name],0)=Lookups!$D$15),Lookups!$D$20,
IF(AND(Table2[[#This Row],[Member Type]]="Spouse",Table2[[#This Row],[Product Option]]="My Value Plus Life &amp; Funeral",_xlfn.XLOOKUP(B535,Table2[Main Member Link ID],Table2[Benefit Name],0)=Lookups!$D$16),"",
IF(AND(Table2[[#This Row],[Member Type]]="Spouse",Table2[[#This Row],[Product Option]]="My Value Plus Life &amp; Funeral",_xlfn.XLOOKUP(B535,Table2[Main Member Link ID],Table2[Benefit Name],0)=Lookups!$D$17),Lookups!$D$21,
IF(AND(Table2[[#This Row],[Member Type]]="Child",Table2[[#This Row],[Product Option]]="My Value Plus Life &amp; Funeral",_xlfn.XLOOKUP(B536,Table2[Main Member Link ID],Table2[Benefit Name],0)=Lookups!$D$14),"",
IF(AND(Table2[[#This Row],[Member Type]]="Child",Table2[[#This Row],[Product Option]]="My Value Plus Life &amp; Funeral",_xlfn.XLOOKUP(B536,Table2[Main Member Link ID],Table2[Benefit Name],0)=Lookups!$D$15),"",
IF(AND(Table2[[#This Row],[Member Type]]="Child",Table2[[#This Row],[Product Option]]="My Value Plus Life &amp; Funeral",_xlfn.XLOOKUP(B536,Table2[Main Member Link ID],Table2[Benefit Name],0)=Lookups!$D$16),Lookups!$D$24,
IF(AND(Table2[[#This Row],[Member Type]]="Child",Table2[[#This Row],[Product Option]]="My Value Plus Life &amp; Funeral",_xlfn.XLOOKUP(B536,Table2[Main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Funeral",_xlfn.XLOOKUP(B536,Table2[Main Member Link ID],Table2[Benefit Name],0)&lt;&gt;Lookups!$D$14),
IF(_xlfn.XLOOKUP(B536,Table2[Main Member Link ID],Table2[Benefit Name],0)=0,"",_xlfn.XLOOKUP(B536,Table2[Main Member Link ID],Table2[Benefit Name],0)),"")))))))))))))))</f>
        <v/>
      </c>
      <c r="AF536" s="327" t="str">
        <f>IF(AND(Table2[[#This Row],[Member Type]]="Main Member",Table2[[#This Row],[Product Option]]="My Value Plus Life &amp; Funeral"),Lookups!$D$15,
IF(AND(Table2[[#This Row],[Member Type]]="Spouse",Table2[[#This Row],[Product Option]]="My Value Plus Life &amp; Funeral",_xlfn.XLOOKUP(B536,Table2[Main Member Link ID],Table2[Benefit Name],0)=Lookups!$D$14),"",
IF(AND(Table2[[#This Row],[Member Type]]="Spouse",Table2[[#This Row],[Product Option]]="My Value Plus Life &amp; Funeral",_xlfn.XLOOKUP(B535,Table2[Main Member Link ID],Table2[Benefit Name],0)=Lookups!$D$16),"",
IF(AND(Table2[[#This Row],[Member Type]]="Spouse",Table2[[#This Row],[Product Option]]="My Value Plus Life &amp; Funeral",_xlfn.XLOOKUP(B535,Table2[Main Member Link ID],Table2[Benefit Name],0)=Lookups!$D$15),"",
IF(AND(Table2[[#This Row],[Member Type]]="Spouse",Table2[[#This Row],[Product Option]]="My Value Plus Life &amp; Funeral",_xlfn.XLOOKUP(B535,Table2[Main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Funeral",_xlfn.XLOOKUP(B536,Table2[Main Member Link ID],Table2[Benefit Name],0)&lt;&gt;Lookups!$D$15),
IF(_xlfn.XLOOKUP(B536,Table2[Main Member Link ID],Table2[Benefit Name],0)=0,"",_xlfn.XLOOKUP(B536,Table2[Main Member Link ID],Table2[Benefit Name],0)),"")
))))))</f>
        <v/>
      </c>
      <c r="AG536" s="327" t="str">
        <f>IF(AND(Table2[[#This Row],[Member Type]]="Main Member",Table2[[#This Row],[Product Option]]="My Value Plus Life &amp; Funeral"),Lookups!$D$16,
IF(AND(Table2[[#This Row],[Member Type]]="Spouse",Table2[[#This Row],[Product Option]]="My Value Plus Life &amp; Funeral",_xlfn.XLOOKUP(B536,Table2[Main Member Link ID],Table2[Benefit Name],0)=Lookups!$D$14),"",
IF(AND(Table2[[#This Row],[Member Type]]="Spouse",Table2[[#This Row],[Product Option]]="My Value Plus Life &amp; Funeral",_xlfn.XLOOKUP(B535,Table2[Main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Funeral",_xlfn.XLOOKUP(B536,Table2[Main Member Link ID],Table2[Benefit Name],0)&lt;&gt;Lookups!$D$16),
IF(_xlfn.XLOOKUP(B536,Table2[Main Member Link ID],Table2[Benefit Name],0)=0,"",_xlfn.XLOOKUP(B536,Table2[Main Member Link ID],Table2[Benefit Name],0)),"")
))))</f>
        <v/>
      </c>
      <c r="AH536" s="327" t="str">
        <f>IF(AND(Table2[[#This Row],[Member Type]]="Main Member",Table2[[#This Row],[Product Option]]="My Value Plus Life &amp; Funeral"),Lookups!$D$17,
IF(AND(Table2[[#This Row],[Member Type]]="Spouse",Table2[[#This Row],[Product Option]]="My Value Plus Life &amp; Funeral",_xlfn.XLOOKUP(B536,Table2[Main Member Link ID],Table2[Benefit Name],0)=Lookups!$D$14),"",
IF(AND(Table2[[#This Row],[Member Type]]="Spouse",Table2[[#This Row],[Product Option]]="My Value Plus Life &amp; Funeral",_xlfn.XLOOKUP(B535,Table2[Main Member Link ID],Table2[Benefit Name],0)=Lookups!$D$16),"",
IF(AND(Table2[[#This Row],[Member Type]]="Child",Table2[[#This Row],[Product Option]]="My Value Plus Life &amp; Funeral"),"",
IF(AND(Table2[[#This Row],[Member Type]]="Child",Table2[[#This Row],[Product Option]]="My Value Plus Life &amp; Funeral",_xlfn.XLOOKUP(B536,Table2[Main Member Link ID],Table2[Benefit Name],0)=Lookups!$D$15),"",
IF(AND(OR(Table2[[#This Row],[Member Type]]="Spouse",Table2[[#This Row],[Member Type]]="Child"),Table2[[#This Row],[Product Option]]="My Value Plus Life &amp; Funeral",_xlfn.XLOOKUP(B536,Table2[Main Member Link ID],Table2[Benefit Name],0)&lt;&gt;Lookups!$D$17),
IF(_xlfn.XLOOKUP(B536,Table2[Main Member Link ID],Table2[Benefit Name],0)=0,"",_xlfn.XLOOKUP(B536,Table2[Main Member Link ID],Table2[Benefit Name],0)),""))))))</f>
        <v/>
      </c>
      <c r="AI536" s="328" t="str">
        <f>IF(AND(Table2[[#This Row],[Member Type]]="Main Member",Table2[[#This Row],[Table Lookup for Life Cover]]="MM_LIFE",Table2[[#This Row],[Age Next Birthday]]&lt;56),1,
IF(AND(Table2[[#This Row],[Member Type]]="Main Member",Table2[[#This Row],[Table Lookup for Life Cover]]="MM_LIFE",Table2[[#This Row],[Age Next Birthday]]&gt;=56),2,
""))</f>
        <v/>
      </c>
      <c r="AJ536" s="328">
        <f>IF(OR(Table2[[#This Row],[Member Type]]="Main Member",Table2[[#This Row],[Main Member Link ID]]=B535),1,0)</f>
        <v>1</v>
      </c>
      <c r="AK536" s="328">
        <f>IF(Table2[[#This Row],[Member Type]]=0,0,
IF(OR(Table2[[#This Row],[Member Type]]="Main Member",Table2[[#This Row],[Main Member Link ID]]&lt;&gt;B536),COUNTIFS(B:B,Table2[[#This Row],[Main Member Link ID]]),
COUNTIFS(B:B,Table2[[#This Row],[Main Member Link ID]],A:A,Table2[[#This Row],[Member Type]])))</f>
        <v>0</v>
      </c>
    </row>
    <row r="537" spans="1:37" x14ac:dyDescent="0.3">
      <c r="A537" s="284">
        <f>Table13[[#This Row],[Member Type]]</f>
        <v>0</v>
      </c>
      <c r="B537" s="284">
        <f>Table13[[#This Row],[Main Member Link ID]]</f>
        <v>0</v>
      </c>
      <c r="C537" s="284">
        <f>Table13[[#This Row],[ID Number]]</f>
        <v>0</v>
      </c>
      <c r="D537" s="285">
        <f>Table13[[#This Row],[Date Of Birth]]</f>
        <v>0</v>
      </c>
      <c r="E537" s="285">
        <f>Table13[[#This Row],[Commencement Date]]</f>
        <v>0</v>
      </c>
      <c r="F537" s="284">
        <f t="shared" si="56"/>
        <v>1</v>
      </c>
      <c r="G537" s="284">
        <f t="shared" si="57"/>
        <v>25</v>
      </c>
      <c r="H537" s="286">
        <f>Table13[[#This Row],[Product Option]]</f>
        <v>0</v>
      </c>
      <c r="I537" s="284">
        <f>IF(AND($A537="Main Member",Table2[[#This Row],[Product Option]]="My Value Plus Life"),"MM_LIFE",
IF(AND($A537="Spouse",Table2[[#This Row],[Product Option]]="My Value Plus Life"),"SP_LIFE",
IF(AND($A537="Main Member",Table2[[#This Row],[Product Option]]="My Value Plus Life &amp; Funeral"),"MM_LIFE",
IF(AND($A537="Spouse",Table2[[#This Row],[Product Option]]="My Value Plus Life &amp; Funeral"),_xlfn.XLOOKUP(Table2[[#This Row],[Benefit Name]],Lookups!$D$18:$D$23,Lookups!$E$18:$E$23,0),
0))))</f>
        <v>0</v>
      </c>
      <c r="J537" s="284">
        <f>IF($I537="","",
IF($I537="MM_LIFE",INDEX('Quotation Tool'!$S$54:$V$60,MATCH($T537,'Quotation Tool'!$S$54:$S$60,0),4),
IF($I537="SP_LIFE",_xlfn.XLOOKUP(B536,$B:$B,$J:$J,0),0)))</f>
        <v>0</v>
      </c>
      <c r="K537" s="287">
        <f t="shared" ca="1" si="61"/>
        <v>0</v>
      </c>
      <c r="L537" s="288">
        <f t="shared" ca="1" si="62"/>
        <v>0</v>
      </c>
      <c r="M537" s="289">
        <f t="shared" ca="1" si="58"/>
        <v>0</v>
      </c>
      <c r="N537" s="286">
        <f>Table13[[#This Row],[Benefit Option]]</f>
        <v>0</v>
      </c>
      <c r="O537" s="284">
        <f>IF(OR(Table2[[#This Row],[Member Type]]="Spouse",Table2[[#This Row],[Member Type]]="Child"),0,
IF(_xlfn.XLOOKUP($N537,Lookups!$D$13:$D$27,Lookups!$F$13:$F$27,0)=Table2[[#This Row],[Table Lookup for Life Cover]],0,
_xlfn.XLOOKUP($N537,Lookups!$D$13:$D$27,Lookups!$F$13:$F$27,0)))</f>
        <v>0</v>
      </c>
      <c r="P537" s="284">
        <f>IF(Table2[[#This Row],[Table Lookup for Funeral]]=0,0,IFERROR(INDEX('Quotation Tool'!$S$54:$V$60,MATCH($T537,'Quotation Tool'!$S$54:$S$60,0),3),0))</f>
        <v>0</v>
      </c>
      <c r="Q537" s="288">
        <f ca="1">IF(OR(Table2[[#This Row],[Benefit Name]]="My Value Plus Life - Main Member",Table2[[#This Row],[Benefit Name]]="My Value Plus Life - Spouse"),0,
IFERROR(VLOOKUP($G537,INDIRECT($O537),$P537,FALSE),0))</f>
        <v>0</v>
      </c>
      <c r="R537" s="288">
        <f ca="1">IF(OR(Table2[[#This Row],[Benefit Name]]="My Value Plus Life - Main Member",Table2[[#This Row],[Benefit Name]]="My Value Plus Life - Spouse"),0,
IFERROR(VLOOKUP($G537,INDIRECT($O537),$P537+1,FALSE),0))</f>
        <v>0</v>
      </c>
      <c r="S537" s="289">
        <f t="shared" ca="1" si="59"/>
        <v>0</v>
      </c>
      <c r="T537" s="284" t="str">
        <f>IF(Table13[[#This Row],[Premium Waiver]]="","None",Table13[[#This Row],[Premium Waiver]])</f>
        <v>None</v>
      </c>
      <c r="U537" s="284">
        <f>Table13[[#This Row],[VAPs Options]]</f>
        <v>0</v>
      </c>
      <c r="V537" s="284">
        <f>Table13[[#This Row],[Annual Increase Option]]</f>
        <v>0</v>
      </c>
      <c r="W537" s="290">
        <f>Table13[[#This Row],[Life Cover Amount]]</f>
        <v>0</v>
      </c>
      <c r="X537" s="290">
        <f>Table13[[#This Row],[Funeral Cover Amount]]</f>
        <v>0</v>
      </c>
      <c r="Y53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3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37" s="301">
        <f t="shared" ca="1" si="60"/>
        <v>0</v>
      </c>
      <c r="AB537" s="298"/>
      <c r="AC537" s="326" t="str">
        <f>IF(Table2[[#This Row],[Member Type]]="Main Member",Lookups!$C$13,
IF(Table2[[#This Row],[Member Type]]="Spouse",_xlfn.XLOOKUP(B537,Table2[Main Member Link ID],Table2[Product Option],0),
IF(AND(Table2[[#This Row],[Member Type]]="Child",_xlfn.XLOOKUP(B537,Table2[Main Member Link ID],Table2[Product Option],0)&lt;&gt;"My Value Plus Life"),Lookups!$C$24,
IF(AND(OR(Table2[[#This Row],[Member Type]]="Parent",Table2[[#This Row],[Member Type]]="Extended"),_xlfn.XLOOKUP(B537,Table2[Main Member Link ID],Table2[Product Option],0)&lt;&gt;"My Value Plus Life"),Lookups!$C$26,""))))</f>
        <v/>
      </c>
      <c r="AD537" s="326" t="str">
        <f>IF(Table2[[#This Row],[Member Type]]="Main Member",Lookups!$C$14,"")</f>
        <v/>
      </c>
      <c r="AE53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Funeral",_xlfn.XLOOKUP(B537,Table2[Main Member Link ID],Table2[Benefit Name],0)=Lookups!$D$14),"",
IF(AND(Table2[[#This Row],[Member Type]]="Spouse",Table2[[#This Row],[Product Option]]="My Value Plus Life &amp; Funeral",_xlfn.XLOOKUP(B536,Table2[Main Member Link ID],Table2[Benefit Name],0)=Lookups!$D$15),Lookups!$D$20,
IF(AND(Table2[[#This Row],[Member Type]]="Spouse",Table2[[#This Row],[Product Option]]="My Value Plus Life &amp; Funeral",_xlfn.XLOOKUP(B536,Table2[Main Member Link ID],Table2[Benefit Name],0)=Lookups!$D$16),"",
IF(AND(Table2[[#This Row],[Member Type]]="Spouse",Table2[[#This Row],[Product Option]]="My Value Plus Life &amp; Funeral",_xlfn.XLOOKUP(B536,Table2[Main Member Link ID],Table2[Benefit Name],0)=Lookups!$D$17),Lookups!$D$21,
IF(AND(Table2[[#This Row],[Member Type]]="Child",Table2[[#This Row],[Product Option]]="My Value Plus Life &amp; Funeral",_xlfn.XLOOKUP(B537,Table2[Main Member Link ID],Table2[Benefit Name],0)=Lookups!$D$14),"",
IF(AND(Table2[[#This Row],[Member Type]]="Child",Table2[[#This Row],[Product Option]]="My Value Plus Life &amp; Funeral",_xlfn.XLOOKUP(B537,Table2[Main Member Link ID],Table2[Benefit Name],0)=Lookups!$D$15),"",
IF(AND(Table2[[#This Row],[Member Type]]="Child",Table2[[#This Row],[Product Option]]="My Value Plus Life &amp; Funeral",_xlfn.XLOOKUP(B537,Table2[Main Member Link ID],Table2[Benefit Name],0)=Lookups!$D$16),Lookups!$D$24,
IF(AND(Table2[[#This Row],[Member Type]]="Child",Table2[[#This Row],[Product Option]]="My Value Plus Life &amp; Funeral",_xlfn.XLOOKUP(B537,Table2[Main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Funeral",_xlfn.XLOOKUP(B537,Table2[Main Member Link ID],Table2[Benefit Name],0)&lt;&gt;Lookups!$D$14),
IF(_xlfn.XLOOKUP(B537,Table2[Main Member Link ID],Table2[Benefit Name],0)=0,"",_xlfn.XLOOKUP(B537,Table2[Main Member Link ID],Table2[Benefit Name],0)),"")))))))))))))))</f>
        <v/>
      </c>
      <c r="AF537" s="327" t="str">
        <f>IF(AND(Table2[[#This Row],[Member Type]]="Main Member",Table2[[#This Row],[Product Option]]="My Value Plus Life &amp; Funeral"),Lookups!$D$15,
IF(AND(Table2[[#This Row],[Member Type]]="Spouse",Table2[[#This Row],[Product Option]]="My Value Plus Life &amp; Funeral",_xlfn.XLOOKUP(B537,Table2[Main Member Link ID],Table2[Benefit Name],0)=Lookups!$D$14),"",
IF(AND(Table2[[#This Row],[Member Type]]="Spouse",Table2[[#This Row],[Product Option]]="My Value Plus Life &amp; Funeral",_xlfn.XLOOKUP(B536,Table2[Main Member Link ID],Table2[Benefit Name],0)=Lookups!$D$16),"",
IF(AND(Table2[[#This Row],[Member Type]]="Spouse",Table2[[#This Row],[Product Option]]="My Value Plus Life &amp; Funeral",_xlfn.XLOOKUP(B536,Table2[Main Member Link ID],Table2[Benefit Name],0)=Lookups!$D$15),"",
IF(AND(Table2[[#This Row],[Member Type]]="Spouse",Table2[[#This Row],[Product Option]]="My Value Plus Life &amp; Funeral",_xlfn.XLOOKUP(B536,Table2[Main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Funeral",_xlfn.XLOOKUP(B537,Table2[Main Member Link ID],Table2[Benefit Name],0)&lt;&gt;Lookups!$D$15),
IF(_xlfn.XLOOKUP(B537,Table2[Main Member Link ID],Table2[Benefit Name],0)=0,"",_xlfn.XLOOKUP(B537,Table2[Main Member Link ID],Table2[Benefit Name],0)),"")
))))))</f>
        <v/>
      </c>
      <c r="AG537" s="327" t="str">
        <f>IF(AND(Table2[[#This Row],[Member Type]]="Main Member",Table2[[#This Row],[Product Option]]="My Value Plus Life &amp; Funeral"),Lookups!$D$16,
IF(AND(Table2[[#This Row],[Member Type]]="Spouse",Table2[[#This Row],[Product Option]]="My Value Plus Life &amp; Funeral",_xlfn.XLOOKUP(B537,Table2[Main Member Link ID],Table2[Benefit Name],0)=Lookups!$D$14),"",
IF(AND(Table2[[#This Row],[Member Type]]="Spouse",Table2[[#This Row],[Product Option]]="My Value Plus Life &amp; Funeral",_xlfn.XLOOKUP(B536,Table2[Main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Funeral",_xlfn.XLOOKUP(B537,Table2[Main Member Link ID],Table2[Benefit Name],0)&lt;&gt;Lookups!$D$16),
IF(_xlfn.XLOOKUP(B537,Table2[Main Member Link ID],Table2[Benefit Name],0)=0,"",_xlfn.XLOOKUP(B537,Table2[Main Member Link ID],Table2[Benefit Name],0)),"")
))))</f>
        <v/>
      </c>
      <c r="AH537" s="327" t="str">
        <f>IF(AND(Table2[[#This Row],[Member Type]]="Main Member",Table2[[#This Row],[Product Option]]="My Value Plus Life &amp; Funeral"),Lookups!$D$17,
IF(AND(Table2[[#This Row],[Member Type]]="Spouse",Table2[[#This Row],[Product Option]]="My Value Plus Life &amp; Funeral",_xlfn.XLOOKUP(B537,Table2[Main Member Link ID],Table2[Benefit Name],0)=Lookups!$D$14),"",
IF(AND(Table2[[#This Row],[Member Type]]="Spouse",Table2[[#This Row],[Product Option]]="My Value Plus Life &amp; Funeral",_xlfn.XLOOKUP(B536,Table2[Main Member Link ID],Table2[Benefit Name],0)=Lookups!$D$16),"",
IF(AND(Table2[[#This Row],[Member Type]]="Child",Table2[[#This Row],[Product Option]]="My Value Plus Life &amp; Funeral"),"",
IF(AND(Table2[[#This Row],[Member Type]]="Child",Table2[[#This Row],[Product Option]]="My Value Plus Life &amp; Funeral",_xlfn.XLOOKUP(B537,Table2[Main Member Link ID],Table2[Benefit Name],0)=Lookups!$D$15),"",
IF(AND(OR(Table2[[#This Row],[Member Type]]="Spouse",Table2[[#This Row],[Member Type]]="Child"),Table2[[#This Row],[Product Option]]="My Value Plus Life &amp; Funeral",_xlfn.XLOOKUP(B537,Table2[Main Member Link ID],Table2[Benefit Name],0)&lt;&gt;Lookups!$D$17),
IF(_xlfn.XLOOKUP(B537,Table2[Main Member Link ID],Table2[Benefit Name],0)=0,"",_xlfn.XLOOKUP(B537,Table2[Main Member Link ID],Table2[Benefit Name],0)),""))))))</f>
        <v/>
      </c>
      <c r="AI537" s="328" t="str">
        <f>IF(AND(Table2[[#This Row],[Member Type]]="Main Member",Table2[[#This Row],[Table Lookup for Life Cover]]="MM_LIFE",Table2[[#This Row],[Age Next Birthday]]&lt;56),1,
IF(AND(Table2[[#This Row],[Member Type]]="Main Member",Table2[[#This Row],[Table Lookup for Life Cover]]="MM_LIFE",Table2[[#This Row],[Age Next Birthday]]&gt;=56),2,
""))</f>
        <v/>
      </c>
      <c r="AJ537" s="328">
        <f>IF(OR(Table2[[#This Row],[Member Type]]="Main Member",Table2[[#This Row],[Main Member Link ID]]=B536),1,0)</f>
        <v>1</v>
      </c>
      <c r="AK537" s="328">
        <f>IF(Table2[[#This Row],[Member Type]]=0,0,
IF(OR(Table2[[#This Row],[Member Type]]="Main Member",Table2[[#This Row],[Main Member Link ID]]&lt;&gt;B537),COUNTIFS(B:B,Table2[[#This Row],[Main Member Link ID]]),
COUNTIFS(B:B,Table2[[#This Row],[Main Member Link ID]],A:A,Table2[[#This Row],[Member Type]])))</f>
        <v>0</v>
      </c>
    </row>
    <row r="538" spans="1:37" x14ac:dyDescent="0.3">
      <c r="A538" s="284">
        <f>Table13[[#This Row],[Member Type]]</f>
        <v>0</v>
      </c>
      <c r="B538" s="284">
        <f>Table13[[#This Row],[Main Member Link ID]]</f>
        <v>0</v>
      </c>
      <c r="C538" s="284">
        <f>Table13[[#This Row],[ID Number]]</f>
        <v>0</v>
      </c>
      <c r="D538" s="285">
        <f>Table13[[#This Row],[Date Of Birth]]</f>
        <v>0</v>
      </c>
      <c r="E538" s="285">
        <f>Table13[[#This Row],[Commencement Date]]</f>
        <v>0</v>
      </c>
      <c r="F538" s="284">
        <f t="shared" si="56"/>
        <v>1</v>
      </c>
      <c r="G538" s="284">
        <f t="shared" si="57"/>
        <v>25</v>
      </c>
      <c r="H538" s="286">
        <f>Table13[[#This Row],[Product Option]]</f>
        <v>0</v>
      </c>
      <c r="I538" s="284">
        <f>IF(AND($A538="Main Member",Table2[[#This Row],[Product Option]]="My Value Plus Life"),"MM_LIFE",
IF(AND($A538="Spouse",Table2[[#This Row],[Product Option]]="My Value Plus Life"),"SP_LIFE",
IF(AND($A538="Main Member",Table2[[#This Row],[Product Option]]="My Value Plus Life &amp; Funeral"),"MM_LIFE",
IF(AND($A538="Spouse",Table2[[#This Row],[Product Option]]="My Value Plus Life &amp; Funeral"),_xlfn.XLOOKUP(Table2[[#This Row],[Benefit Name]],Lookups!$D$18:$D$23,Lookups!$E$18:$E$23,0),
0))))</f>
        <v>0</v>
      </c>
      <c r="J538" s="284">
        <f>IF($I538="","",
IF($I538="MM_LIFE",INDEX('Quotation Tool'!$S$54:$V$60,MATCH($T538,'Quotation Tool'!$S$54:$S$60,0),4),
IF($I538="SP_LIFE",_xlfn.XLOOKUP(B537,$B:$B,$J:$J,0),0)))</f>
        <v>0</v>
      </c>
      <c r="K538" s="287">
        <f t="shared" ca="1" si="61"/>
        <v>0</v>
      </c>
      <c r="L538" s="288">
        <f t="shared" ca="1" si="62"/>
        <v>0</v>
      </c>
      <c r="M538" s="289">
        <f t="shared" ca="1" si="58"/>
        <v>0</v>
      </c>
      <c r="N538" s="286">
        <f>Table13[[#This Row],[Benefit Option]]</f>
        <v>0</v>
      </c>
      <c r="O538" s="284">
        <f>IF(OR(Table2[[#This Row],[Member Type]]="Spouse",Table2[[#This Row],[Member Type]]="Child"),0,
IF(_xlfn.XLOOKUP($N538,Lookups!$D$13:$D$27,Lookups!$F$13:$F$27,0)=Table2[[#This Row],[Table Lookup for Life Cover]],0,
_xlfn.XLOOKUP($N538,Lookups!$D$13:$D$27,Lookups!$F$13:$F$27,0)))</f>
        <v>0</v>
      </c>
      <c r="P538" s="284">
        <f>IF(Table2[[#This Row],[Table Lookup for Funeral]]=0,0,IFERROR(INDEX('Quotation Tool'!$S$54:$V$60,MATCH($T538,'Quotation Tool'!$S$54:$S$60,0),3),0))</f>
        <v>0</v>
      </c>
      <c r="Q538" s="288">
        <f ca="1">IF(OR(Table2[[#This Row],[Benefit Name]]="My Value Plus Life - Main Member",Table2[[#This Row],[Benefit Name]]="My Value Plus Life - Spouse"),0,
IFERROR(VLOOKUP($G538,INDIRECT($O538),$P538,FALSE),0))</f>
        <v>0</v>
      </c>
      <c r="R538" s="288">
        <f ca="1">IF(OR(Table2[[#This Row],[Benefit Name]]="My Value Plus Life - Main Member",Table2[[#This Row],[Benefit Name]]="My Value Plus Life - Spouse"),0,
IFERROR(VLOOKUP($G538,INDIRECT($O538),$P538+1,FALSE),0))</f>
        <v>0</v>
      </c>
      <c r="S538" s="289">
        <f t="shared" ca="1" si="59"/>
        <v>0</v>
      </c>
      <c r="T538" s="284" t="str">
        <f>IF(Table13[[#This Row],[Premium Waiver]]="","None",Table13[[#This Row],[Premium Waiver]])</f>
        <v>None</v>
      </c>
      <c r="U538" s="284">
        <f>Table13[[#This Row],[VAPs Options]]</f>
        <v>0</v>
      </c>
      <c r="V538" s="284">
        <f>Table13[[#This Row],[Annual Increase Option]]</f>
        <v>0</v>
      </c>
      <c r="W538" s="290">
        <f>Table13[[#This Row],[Life Cover Amount]]</f>
        <v>0</v>
      </c>
      <c r="X538" s="290">
        <f>Table13[[#This Row],[Funeral Cover Amount]]</f>
        <v>0</v>
      </c>
      <c r="Y53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3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38" s="301">
        <f t="shared" ca="1" si="60"/>
        <v>0</v>
      </c>
      <c r="AB538" s="298"/>
      <c r="AC538" s="326" t="str">
        <f>IF(Table2[[#This Row],[Member Type]]="Main Member",Lookups!$C$13,
IF(Table2[[#This Row],[Member Type]]="Spouse",_xlfn.XLOOKUP(B538,Table2[Main Member Link ID],Table2[Product Option],0),
IF(AND(Table2[[#This Row],[Member Type]]="Child",_xlfn.XLOOKUP(B538,Table2[Main Member Link ID],Table2[Product Option],0)&lt;&gt;"My Value Plus Life"),Lookups!$C$24,
IF(AND(OR(Table2[[#This Row],[Member Type]]="Parent",Table2[[#This Row],[Member Type]]="Extended"),_xlfn.XLOOKUP(B538,Table2[Main Member Link ID],Table2[Product Option],0)&lt;&gt;"My Value Plus Life"),Lookups!$C$26,""))))</f>
        <v/>
      </c>
      <c r="AD538" s="326" t="str">
        <f>IF(Table2[[#This Row],[Member Type]]="Main Member",Lookups!$C$14,"")</f>
        <v/>
      </c>
      <c r="AE53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Funeral",_xlfn.XLOOKUP(B538,Table2[Main Member Link ID],Table2[Benefit Name],0)=Lookups!$D$14),"",
IF(AND(Table2[[#This Row],[Member Type]]="Spouse",Table2[[#This Row],[Product Option]]="My Value Plus Life &amp; Funeral",_xlfn.XLOOKUP(B537,Table2[Main Member Link ID],Table2[Benefit Name],0)=Lookups!$D$15),Lookups!$D$20,
IF(AND(Table2[[#This Row],[Member Type]]="Spouse",Table2[[#This Row],[Product Option]]="My Value Plus Life &amp; Funeral",_xlfn.XLOOKUP(B537,Table2[Main Member Link ID],Table2[Benefit Name],0)=Lookups!$D$16),"",
IF(AND(Table2[[#This Row],[Member Type]]="Spouse",Table2[[#This Row],[Product Option]]="My Value Plus Life &amp; Funeral",_xlfn.XLOOKUP(B537,Table2[Main Member Link ID],Table2[Benefit Name],0)=Lookups!$D$17),Lookups!$D$21,
IF(AND(Table2[[#This Row],[Member Type]]="Child",Table2[[#This Row],[Product Option]]="My Value Plus Life &amp; Funeral",_xlfn.XLOOKUP(B538,Table2[Main Member Link ID],Table2[Benefit Name],0)=Lookups!$D$14),"",
IF(AND(Table2[[#This Row],[Member Type]]="Child",Table2[[#This Row],[Product Option]]="My Value Plus Life &amp; Funeral",_xlfn.XLOOKUP(B538,Table2[Main Member Link ID],Table2[Benefit Name],0)=Lookups!$D$15),"",
IF(AND(Table2[[#This Row],[Member Type]]="Child",Table2[[#This Row],[Product Option]]="My Value Plus Life &amp; Funeral",_xlfn.XLOOKUP(B538,Table2[Main Member Link ID],Table2[Benefit Name],0)=Lookups!$D$16),Lookups!$D$24,
IF(AND(Table2[[#This Row],[Member Type]]="Child",Table2[[#This Row],[Product Option]]="My Value Plus Life &amp; Funeral",_xlfn.XLOOKUP(B538,Table2[Main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Funeral",_xlfn.XLOOKUP(B538,Table2[Main Member Link ID],Table2[Benefit Name],0)&lt;&gt;Lookups!$D$14),
IF(_xlfn.XLOOKUP(B538,Table2[Main Member Link ID],Table2[Benefit Name],0)=0,"",_xlfn.XLOOKUP(B538,Table2[Main Member Link ID],Table2[Benefit Name],0)),"")))))))))))))))</f>
        <v/>
      </c>
      <c r="AF538" s="327" t="str">
        <f>IF(AND(Table2[[#This Row],[Member Type]]="Main Member",Table2[[#This Row],[Product Option]]="My Value Plus Life &amp; Funeral"),Lookups!$D$15,
IF(AND(Table2[[#This Row],[Member Type]]="Spouse",Table2[[#This Row],[Product Option]]="My Value Plus Life &amp; Funeral",_xlfn.XLOOKUP(B538,Table2[Main Member Link ID],Table2[Benefit Name],0)=Lookups!$D$14),"",
IF(AND(Table2[[#This Row],[Member Type]]="Spouse",Table2[[#This Row],[Product Option]]="My Value Plus Life &amp; Funeral",_xlfn.XLOOKUP(B537,Table2[Main Member Link ID],Table2[Benefit Name],0)=Lookups!$D$16),"",
IF(AND(Table2[[#This Row],[Member Type]]="Spouse",Table2[[#This Row],[Product Option]]="My Value Plus Life &amp; Funeral",_xlfn.XLOOKUP(B537,Table2[Main Member Link ID],Table2[Benefit Name],0)=Lookups!$D$15),"",
IF(AND(Table2[[#This Row],[Member Type]]="Spouse",Table2[[#This Row],[Product Option]]="My Value Plus Life &amp; Funeral",_xlfn.XLOOKUP(B537,Table2[Main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Funeral",_xlfn.XLOOKUP(B538,Table2[Main Member Link ID],Table2[Benefit Name],0)&lt;&gt;Lookups!$D$15),
IF(_xlfn.XLOOKUP(B538,Table2[Main Member Link ID],Table2[Benefit Name],0)=0,"",_xlfn.XLOOKUP(B538,Table2[Main Member Link ID],Table2[Benefit Name],0)),"")
))))))</f>
        <v/>
      </c>
      <c r="AG538" s="327" t="str">
        <f>IF(AND(Table2[[#This Row],[Member Type]]="Main Member",Table2[[#This Row],[Product Option]]="My Value Plus Life &amp; Funeral"),Lookups!$D$16,
IF(AND(Table2[[#This Row],[Member Type]]="Spouse",Table2[[#This Row],[Product Option]]="My Value Plus Life &amp; Funeral",_xlfn.XLOOKUP(B538,Table2[Main Member Link ID],Table2[Benefit Name],0)=Lookups!$D$14),"",
IF(AND(Table2[[#This Row],[Member Type]]="Spouse",Table2[[#This Row],[Product Option]]="My Value Plus Life &amp; Funeral",_xlfn.XLOOKUP(B537,Table2[Main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Funeral",_xlfn.XLOOKUP(B538,Table2[Main Member Link ID],Table2[Benefit Name],0)&lt;&gt;Lookups!$D$16),
IF(_xlfn.XLOOKUP(B538,Table2[Main Member Link ID],Table2[Benefit Name],0)=0,"",_xlfn.XLOOKUP(B538,Table2[Main Member Link ID],Table2[Benefit Name],0)),"")
))))</f>
        <v/>
      </c>
      <c r="AH538" s="327" t="str">
        <f>IF(AND(Table2[[#This Row],[Member Type]]="Main Member",Table2[[#This Row],[Product Option]]="My Value Plus Life &amp; Funeral"),Lookups!$D$17,
IF(AND(Table2[[#This Row],[Member Type]]="Spouse",Table2[[#This Row],[Product Option]]="My Value Plus Life &amp; Funeral",_xlfn.XLOOKUP(B538,Table2[Main Member Link ID],Table2[Benefit Name],0)=Lookups!$D$14),"",
IF(AND(Table2[[#This Row],[Member Type]]="Spouse",Table2[[#This Row],[Product Option]]="My Value Plus Life &amp; Funeral",_xlfn.XLOOKUP(B537,Table2[Main Member Link ID],Table2[Benefit Name],0)=Lookups!$D$16),"",
IF(AND(Table2[[#This Row],[Member Type]]="Child",Table2[[#This Row],[Product Option]]="My Value Plus Life &amp; Funeral"),"",
IF(AND(Table2[[#This Row],[Member Type]]="Child",Table2[[#This Row],[Product Option]]="My Value Plus Life &amp; Funeral",_xlfn.XLOOKUP(B538,Table2[Main Member Link ID],Table2[Benefit Name],0)=Lookups!$D$15),"",
IF(AND(OR(Table2[[#This Row],[Member Type]]="Spouse",Table2[[#This Row],[Member Type]]="Child"),Table2[[#This Row],[Product Option]]="My Value Plus Life &amp; Funeral",_xlfn.XLOOKUP(B538,Table2[Main Member Link ID],Table2[Benefit Name],0)&lt;&gt;Lookups!$D$17),
IF(_xlfn.XLOOKUP(B538,Table2[Main Member Link ID],Table2[Benefit Name],0)=0,"",_xlfn.XLOOKUP(B538,Table2[Main Member Link ID],Table2[Benefit Name],0)),""))))))</f>
        <v/>
      </c>
      <c r="AI538" s="328" t="str">
        <f>IF(AND(Table2[[#This Row],[Member Type]]="Main Member",Table2[[#This Row],[Table Lookup for Life Cover]]="MM_LIFE",Table2[[#This Row],[Age Next Birthday]]&lt;56),1,
IF(AND(Table2[[#This Row],[Member Type]]="Main Member",Table2[[#This Row],[Table Lookup for Life Cover]]="MM_LIFE",Table2[[#This Row],[Age Next Birthday]]&gt;=56),2,
""))</f>
        <v/>
      </c>
      <c r="AJ538" s="328">
        <f>IF(OR(Table2[[#This Row],[Member Type]]="Main Member",Table2[[#This Row],[Main Member Link ID]]=B537),1,0)</f>
        <v>1</v>
      </c>
      <c r="AK538" s="328">
        <f>IF(Table2[[#This Row],[Member Type]]=0,0,
IF(OR(Table2[[#This Row],[Member Type]]="Main Member",Table2[[#This Row],[Main Member Link ID]]&lt;&gt;B538),COUNTIFS(B:B,Table2[[#This Row],[Main Member Link ID]]),
COUNTIFS(B:B,Table2[[#This Row],[Main Member Link ID]],A:A,Table2[[#This Row],[Member Type]])))</f>
        <v>0</v>
      </c>
    </row>
    <row r="539" spans="1:37" x14ac:dyDescent="0.3">
      <c r="A539" s="284">
        <f>Table13[[#This Row],[Member Type]]</f>
        <v>0</v>
      </c>
      <c r="B539" s="284">
        <f>Table13[[#This Row],[Main Member Link ID]]</f>
        <v>0</v>
      </c>
      <c r="C539" s="284">
        <f>Table13[[#This Row],[ID Number]]</f>
        <v>0</v>
      </c>
      <c r="D539" s="285">
        <f>Table13[[#This Row],[Date Of Birth]]</f>
        <v>0</v>
      </c>
      <c r="E539" s="285">
        <f>Table13[[#This Row],[Commencement Date]]</f>
        <v>0</v>
      </c>
      <c r="F539" s="284">
        <f t="shared" si="56"/>
        <v>1</v>
      </c>
      <c r="G539" s="284">
        <f t="shared" si="57"/>
        <v>25</v>
      </c>
      <c r="H539" s="286">
        <f>Table13[[#This Row],[Product Option]]</f>
        <v>0</v>
      </c>
      <c r="I539" s="284">
        <f>IF(AND($A539="Main Member",Table2[[#This Row],[Product Option]]="My Value Plus Life"),"MM_LIFE",
IF(AND($A539="Spouse",Table2[[#This Row],[Product Option]]="My Value Plus Life"),"SP_LIFE",
IF(AND($A539="Main Member",Table2[[#This Row],[Product Option]]="My Value Plus Life &amp; Funeral"),"MM_LIFE",
IF(AND($A539="Spouse",Table2[[#This Row],[Product Option]]="My Value Plus Life &amp; Funeral"),_xlfn.XLOOKUP(Table2[[#This Row],[Benefit Name]],Lookups!$D$18:$D$23,Lookups!$E$18:$E$23,0),
0))))</f>
        <v>0</v>
      </c>
      <c r="J539" s="284">
        <f>IF($I539="","",
IF($I539="MM_LIFE",INDEX('Quotation Tool'!$S$54:$V$60,MATCH($T539,'Quotation Tool'!$S$54:$S$60,0),4),
IF($I539="SP_LIFE",_xlfn.XLOOKUP(B538,$B:$B,$J:$J,0),0)))</f>
        <v>0</v>
      </c>
      <c r="K539" s="287">
        <f t="shared" ca="1" si="61"/>
        <v>0</v>
      </c>
      <c r="L539" s="288">
        <f t="shared" ca="1" si="62"/>
        <v>0</v>
      </c>
      <c r="M539" s="289">
        <f t="shared" ca="1" si="58"/>
        <v>0</v>
      </c>
      <c r="N539" s="286">
        <f>Table13[[#This Row],[Benefit Option]]</f>
        <v>0</v>
      </c>
      <c r="O539" s="284">
        <f>IF(OR(Table2[[#This Row],[Member Type]]="Spouse",Table2[[#This Row],[Member Type]]="Child"),0,
IF(_xlfn.XLOOKUP($N539,Lookups!$D$13:$D$27,Lookups!$F$13:$F$27,0)=Table2[[#This Row],[Table Lookup for Life Cover]],0,
_xlfn.XLOOKUP($N539,Lookups!$D$13:$D$27,Lookups!$F$13:$F$27,0)))</f>
        <v>0</v>
      </c>
      <c r="P539" s="284">
        <f>IF(Table2[[#This Row],[Table Lookup for Funeral]]=0,0,IFERROR(INDEX('Quotation Tool'!$S$54:$V$60,MATCH($T539,'Quotation Tool'!$S$54:$S$60,0),3),0))</f>
        <v>0</v>
      </c>
      <c r="Q539" s="288">
        <f ca="1">IF(OR(Table2[[#This Row],[Benefit Name]]="My Value Plus Life - Main Member",Table2[[#This Row],[Benefit Name]]="My Value Plus Life - Spouse"),0,
IFERROR(VLOOKUP($G539,INDIRECT($O539),$P539,FALSE),0))</f>
        <v>0</v>
      </c>
      <c r="R539" s="288">
        <f ca="1">IF(OR(Table2[[#This Row],[Benefit Name]]="My Value Plus Life - Main Member",Table2[[#This Row],[Benefit Name]]="My Value Plus Life - Spouse"),0,
IFERROR(VLOOKUP($G539,INDIRECT($O539),$P539+1,FALSE),0))</f>
        <v>0</v>
      </c>
      <c r="S539" s="289">
        <f t="shared" ca="1" si="59"/>
        <v>0</v>
      </c>
      <c r="T539" s="284" t="str">
        <f>IF(Table13[[#This Row],[Premium Waiver]]="","None",Table13[[#This Row],[Premium Waiver]])</f>
        <v>None</v>
      </c>
      <c r="U539" s="284">
        <f>Table13[[#This Row],[VAPs Options]]</f>
        <v>0</v>
      </c>
      <c r="V539" s="284">
        <f>Table13[[#This Row],[Annual Increase Option]]</f>
        <v>0</v>
      </c>
      <c r="W539" s="290">
        <f>Table13[[#This Row],[Life Cover Amount]]</f>
        <v>0</v>
      </c>
      <c r="X539" s="290">
        <f>Table13[[#This Row],[Funeral Cover Amount]]</f>
        <v>0</v>
      </c>
      <c r="Y53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3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39" s="301">
        <f t="shared" ca="1" si="60"/>
        <v>0</v>
      </c>
      <c r="AB539" s="298"/>
      <c r="AC539" s="326" t="str">
        <f>IF(Table2[[#This Row],[Member Type]]="Main Member",Lookups!$C$13,
IF(Table2[[#This Row],[Member Type]]="Spouse",_xlfn.XLOOKUP(B539,Table2[Main Member Link ID],Table2[Product Option],0),
IF(AND(Table2[[#This Row],[Member Type]]="Child",_xlfn.XLOOKUP(B539,Table2[Main Member Link ID],Table2[Product Option],0)&lt;&gt;"My Value Plus Life"),Lookups!$C$24,
IF(AND(OR(Table2[[#This Row],[Member Type]]="Parent",Table2[[#This Row],[Member Type]]="Extended"),_xlfn.XLOOKUP(B539,Table2[Main Member Link ID],Table2[Product Option],0)&lt;&gt;"My Value Plus Life"),Lookups!$C$26,""))))</f>
        <v/>
      </c>
      <c r="AD539" s="326" t="str">
        <f>IF(Table2[[#This Row],[Member Type]]="Main Member",Lookups!$C$14,"")</f>
        <v/>
      </c>
      <c r="AE53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Funeral",_xlfn.XLOOKUP(B539,Table2[Main Member Link ID],Table2[Benefit Name],0)=Lookups!$D$14),"",
IF(AND(Table2[[#This Row],[Member Type]]="Spouse",Table2[[#This Row],[Product Option]]="My Value Plus Life &amp; Funeral",_xlfn.XLOOKUP(B538,Table2[Main Member Link ID],Table2[Benefit Name],0)=Lookups!$D$15),Lookups!$D$20,
IF(AND(Table2[[#This Row],[Member Type]]="Spouse",Table2[[#This Row],[Product Option]]="My Value Plus Life &amp; Funeral",_xlfn.XLOOKUP(B538,Table2[Main Member Link ID],Table2[Benefit Name],0)=Lookups!$D$16),"",
IF(AND(Table2[[#This Row],[Member Type]]="Spouse",Table2[[#This Row],[Product Option]]="My Value Plus Life &amp; Funeral",_xlfn.XLOOKUP(B538,Table2[Main Member Link ID],Table2[Benefit Name],0)=Lookups!$D$17),Lookups!$D$21,
IF(AND(Table2[[#This Row],[Member Type]]="Child",Table2[[#This Row],[Product Option]]="My Value Plus Life &amp; Funeral",_xlfn.XLOOKUP(B539,Table2[Main Member Link ID],Table2[Benefit Name],0)=Lookups!$D$14),"",
IF(AND(Table2[[#This Row],[Member Type]]="Child",Table2[[#This Row],[Product Option]]="My Value Plus Life &amp; Funeral",_xlfn.XLOOKUP(B539,Table2[Main Member Link ID],Table2[Benefit Name],0)=Lookups!$D$15),"",
IF(AND(Table2[[#This Row],[Member Type]]="Child",Table2[[#This Row],[Product Option]]="My Value Plus Life &amp; Funeral",_xlfn.XLOOKUP(B539,Table2[Main Member Link ID],Table2[Benefit Name],0)=Lookups!$D$16),Lookups!$D$24,
IF(AND(Table2[[#This Row],[Member Type]]="Child",Table2[[#This Row],[Product Option]]="My Value Plus Life &amp; Funeral",_xlfn.XLOOKUP(B539,Table2[Main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Funeral",_xlfn.XLOOKUP(B539,Table2[Main Member Link ID],Table2[Benefit Name],0)&lt;&gt;Lookups!$D$14),
IF(_xlfn.XLOOKUP(B539,Table2[Main Member Link ID],Table2[Benefit Name],0)=0,"",_xlfn.XLOOKUP(B539,Table2[Main Member Link ID],Table2[Benefit Name],0)),"")))))))))))))))</f>
        <v/>
      </c>
      <c r="AF539" s="327" t="str">
        <f>IF(AND(Table2[[#This Row],[Member Type]]="Main Member",Table2[[#This Row],[Product Option]]="My Value Plus Life &amp; Funeral"),Lookups!$D$15,
IF(AND(Table2[[#This Row],[Member Type]]="Spouse",Table2[[#This Row],[Product Option]]="My Value Plus Life &amp; Funeral",_xlfn.XLOOKUP(B539,Table2[Main Member Link ID],Table2[Benefit Name],0)=Lookups!$D$14),"",
IF(AND(Table2[[#This Row],[Member Type]]="Spouse",Table2[[#This Row],[Product Option]]="My Value Plus Life &amp; Funeral",_xlfn.XLOOKUP(B538,Table2[Main Member Link ID],Table2[Benefit Name],0)=Lookups!$D$16),"",
IF(AND(Table2[[#This Row],[Member Type]]="Spouse",Table2[[#This Row],[Product Option]]="My Value Plus Life &amp; Funeral",_xlfn.XLOOKUP(B538,Table2[Main Member Link ID],Table2[Benefit Name],0)=Lookups!$D$15),"",
IF(AND(Table2[[#This Row],[Member Type]]="Spouse",Table2[[#This Row],[Product Option]]="My Value Plus Life &amp; Funeral",_xlfn.XLOOKUP(B538,Table2[Main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Funeral",_xlfn.XLOOKUP(B539,Table2[Main Member Link ID],Table2[Benefit Name],0)&lt;&gt;Lookups!$D$15),
IF(_xlfn.XLOOKUP(B539,Table2[Main Member Link ID],Table2[Benefit Name],0)=0,"",_xlfn.XLOOKUP(B539,Table2[Main Member Link ID],Table2[Benefit Name],0)),"")
))))))</f>
        <v/>
      </c>
      <c r="AG539" s="327" t="str">
        <f>IF(AND(Table2[[#This Row],[Member Type]]="Main Member",Table2[[#This Row],[Product Option]]="My Value Plus Life &amp; Funeral"),Lookups!$D$16,
IF(AND(Table2[[#This Row],[Member Type]]="Spouse",Table2[[#This Row],[Product Option]]="My Value Plus Life &amp; Funeral",_xlfn.XLOOKUP(B539,Table2[Main Member Link ID],Table2[Benefit Name],0)=Lookups!$D$14),"",
IF(AND(Table2[[#This Row],[Member Type]]="Spouse",Table2[[#This Row],[Product Option]]="My Value Plus Life &amp; Funeral",_xlfn.XLOOKUP(B538,Table2[Main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Funeral",_xlfn.XLOOKUP(B539,Table2[Main Member Link ID],Table2[Benefit Name],0)&lt;&gt;Lookups!$D$16),
IF(_xlfn.XLOOKUP(B539,Table2[Main Member Link ID],Table2[Benefit Name],0)=0,"",_xlfn.XLOOKUP(B539,Table2[Main Member Link ID],Table2[Benefit Name],0)),"")
))))</f>
        <v/>
      </c>
      <c r="AH539" s="327" t="str">
        <f>IF(AND(Table2[[#This Row],[Member Type]]="Main Member",Table2[[#This Row],[Product Option]]="My Value Plus Life &amp; Funeral"),Lookups!$D$17,
IF(AND(Table2[[#This Row],[Member Type]]="Spouse",Table2[[#This Row],[Product Option]]="My Value Plus Life &amp; Funeral",_xlfn.XLOOKUP(B539,Table2[Main Member Link ID],Table2[Benefit Name],0)=Lookups!$D$14),"",
IF(AND(Table2[[#This Row],[Member Type]]="Spouse",Table2[[#This Row],[Product Option]]="My Value Plus Life &amp; Funeral",_xlfn.XLOOKUP(B538,Table2[Main Member Link ID],Table2[Benefit Name],0)=Lookups!$D$16),"",
IF(AND(Table2[[#This Row],[Member Type]]="Child",Table2[[#This Row],[Product Option]]="My Value Plus Life &amp; Funeral"),"",
IF(AND(Table2[[#This Row],[Member Type]]="Child",Table2[[#This Row],[Product Option]]="My Value Plus Life &amp; Funeral",_xlfn.XLOOKUP(B539,Table2[Main Member Link ID],Table2[Benefit Name],0)=Lookups!$D$15),"",
IF(AND(OR(Table2[[#This Row],[Member Type]]="Spouse",Table2[[#This Row],[Member Type]]="Child"),Table2[[#This Row],[Product Option]]="My Value Plus Life &amp; Funeral",_xlfn.XLOOKUP(B539,Table2[Main Member Link ID],Table2[Benefit Name],0)&lt;&gt;Lookups!$D$17),
IF(_xlfn.XLOOKUP(B539,Table2[Main Member Link ID],Table2[Benefit Name],0)=0,"",_xlfn.XLOOKUP(B539,Table2[Main Member Link ID],Table2[Benefit Name],0)),""))))))</f>
        <v/>
      </c>
      <c r="AI539" s="328" t="str">
        <f>IF(AND(Table2[[#This Row],[Member Type]]="Main Member",Table2[[#This Row],[Table Lookup for Life Cover]]="MM_LIFE",Table2[[#This Row],[Age Next Birthday]]&lt;56),1,
IF(AND(Table2[[#This Row],[Member Type]]="Main Member",Table2[[#This Row],[Table Lookup for Life Cover]]="MM_LIFE",Table2[[#This Row],[Age Next Birthday]]&gt;=56),2,
""))</f>
        <v/>
      </c>
      <c r="AJ539" s="328">
        <f>IF(OR(Table2[[#This Row],[Member Type]]="Main Member",Table2[[#This Row],[Main Member Link ID]]=B538),1,0)</f>
        <v>1</v>
      </c>
      <c r="AK539" s="328">
        <f>IF(Table2[[#This Row],[Member Type]]=0,0,
IF(OR(Table2[[#This Row],[Member Type]]="Main Member",Table2[[#This Row],[Main Member Link ID]]&lt;&gt;B539),COUNTIFS(B:B,Table2[[#This Row],[Main Member Link ID]]),
COUNTIFS(B:B,Table2[[#This Row],[Main Member Link ID]],A:A,Table2[[#This Row],[Member Type]])))</f>
        <v>0</v>
      </c>
    </row>
    <row r="540" spans="1:37" x14ac:dyDescent="0.3">
      <c r="A540" s="284">
        <f>Table13[[#This Row],[Member Type]]</f>
        <v>0</v>
      </c>
      <c r="B540" s="284">
        <f>Table13[[#This Row],[Main Member Link ID]]</f>
        <v>0</v>
      </c>
      <c r="C540" s="284">
        <f>Table13[[#This Row],[ID Number]]</f>
        <v>0</v>
      </c>
      <c r="D540" s="285">
        <f>Table13[[#This Row],[Date Of Birth]]</f>
        <v>0</v>
      </c>
      <c r="E540" s="285">
        <f>Table13[[#This Row],[Commencement Date]]</f>
        <v>0</v>
      </c>
      <c r="F540" s="284">
        <f t="shared" si="56"/>
        <v>1</v>
      </c>
      <c r="G540" s="284">
        <f t="shared" si="57"/>
        <v>25</v>
      </c>
      <c r="H540" s="286">
        <f>Table13[[#This Row],[Product Option]]</f>
        <v>0</v>
      </c>
      <c r="I540" s="284">
        <f>IF(AND($A540="Main Member",Table2[[#This Row],[Product Option]]="My Value Plus Life"),"MM_LIFE",
IF(AND($A540="Spouse",Table2[[#This Row],[Product Option]]="My Value Plus Life"),"SP_LIFE",
IF(AND($A540="Main Member",Table2[[#This Row],[Product Option]]="My Value Plus Life &amp; Funeral"),"MM_LIFE",
IF(AND($A540="Spouse",Table2[[#This Row],[Product Option]]="My Value Plus Life &amp; Funeral"),_xlfn.XLOOKUP(Table2[[#This Row],[Benefit Name]],Lookups!$D$18:$D$23,Lookups!$E$18:$E$23,0),
0))))</f>
        <v>0</v>
      </c>
      <c r="J540" s="284">
        <f>IF($I540="","",
IF($I540="MM_LIFE",INDEX('Quotation Tool'!$S$54:$V$60,MATCH($T540,'Quotation Tool'!$S$54:$S$60,0),4),
IF($I540="SP_LIFE",_xlfn.XLOOKUP(B539,$B:$B,$J:$J,0),0)))</f>
        <v>0</v>
      </c>
      <c r="K540" s="287">
        <f t="shared" ca="1" si="61"/>
        <v>0</v>
      </c>
      <c r="L540" s="288">
        <f t="shared" ca="1" si="62"/>
        <v>0</v>
      </c>
      <c r="M540" s="289">
        <f t="shared" ca="1" si="58"/>
        <v>0</v>
      </c>
      <c r="N540" s="286">
        <f>Table13[[#This Row],[Benefit Option]]</f>
        <v>0</v>
      </c>
      <c r="O540" s="284">
        <f>IF(OR(Table2[[#This Row],[Member Type]]="Spouse",Table2[[#This Row],[Member Type]]="Child"),0,
IF(_xlfn.XLOOKUP($N540,Lookups!$D$13:$D$27,Lookups!$F$13:$F$27,0)=Table2[[#This Row],[Table Lookup for Life Cover]],0,
_xlfn.XLOOKUP($N540,Lookups!$D$13:$D$27,Lookups!$F$13:$F$27,0)))</f>
        <v>0</v>
      </c>
      <c r="P540" s="284">
        <f>IF(Table2[[#This Row],[Table Lookup for Funeral]]=0,0,IFERROR(INDEX('Quotation Tool'!$S$54:$V$60,MATCH($T540,'Quotation Tool'!$S$54:$S$60,0),3),0))</f>
        <v>0</v>
      </c>
      <c r="Q540" s="288">
        <f ca="1">IF(OR(Table2[[#This Row],[Benefit Name]]="My Value Plus Life - Main Member",Table2[[#This Row],[Benefit Name]]="My Value Plus Life - Spouse"),0,
IFERROR(VLOOKUP($G540,INDIRECT($O540),$P540,FALSE),0))</f>
        <v>0</v>
      </c>
      <c r="R540" s="288">
        <f ca="1">IF(OR(Table2[[#This Row],[Benefit Name]]="My Value Plus Life - Main Member",Table2[[#This Row],[Benefit Name]]="My Value Plus Life - Spouse"),0,
IFERROR(VLOOKUP($G540,INDIRECT($O540),$P540+1,FALSE),0))</f>
        <v>0</v>
      </c>
      <c r="S540" s="289">
        <f t="shared" ca="1" si="59"/>
        <v>0</v>
      </c>
      <c r="T540" s="284" t="str">
        <f>IF(Table13[[#This Row],[Premium Waiver]]="","None",Table13[[#This Row],[Premium Waiver]])</f>
        <v>None</v>
      </c>
      <c r="U540" s="284">
        <f>Table13[[#This Row],[VAPs Options]]</f>
        <v>0</v>
      </c>
      <c r="V540" s="284">
        <f>Table13[[#This Row],[Annual Increase Option]]</f>
        <v>0</v>
      </c>
      <c r="W540" s="290">
        <f>Table13[[#This Row],[Life Cover Amount]]</f>
        <v>0</v>
      </c>
      <c r="X540" s="290">
        <f>Table13[[#This Row],[Funeral Cover Amount]]</f>
        <v>0</v>
      </c>
      <c r="Y54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4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40" s="301">
        <f t="shared" ca="1" si="60"/>
        <v>0</v>
      </c>
      <c r="AB540" s="298"/>
      <c r="AC540" s="326" t="str">
        <f>IF(Table2[[#This Row],[Member Type]]="Main Member",Lookups!$C$13,
IF(Table2[[#This Row],[Member Type]]="Spouse",_xlfn.XLOOKUP(B540,Table2[Main Member Link ID],Table2[Product Option],0),
IF(AND(Table2[[#This Row],[Member Type]]="Child",_xlfn.XLOOKUP(B540,Table2[Main Member Link ID],Table2[Product Option],0)&lt;&gt;"My Value Plus Life"),Lookups!$C$24,
IF(AND(OR(Table2[[#This Row],[Member Type]]="Parent",Table2[[#This Row],[Member Type]]="Extended"),_xlfn.XLOOKUP(B540,Table2[Main Member Link ID],Table2[Product Option],0)&lt;&gt;"My Value Plus Life"),Lookups!$C$26,""))))</f>
        <v/>
      </c>
      <c r="AD540" s="326" t="str">
        <f>IF(Table2[[#This Row],[Member Type]]="Main Member",Lookups!$C$14,"")</f>
        <v/>
      </c>
      <c r="AE54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Funeral",_xlfn.XLOOKUP(B540,Table2[Main Member Link ID],Table2[Benefit Name],0)=Lookups!$D$14),"",
IF(AND(Table2[[#This Row],[Member Type]]="Spouse",Table2[[#This Row],[Product Option]]="My Value Plus Life &amp; Funeral",_xlfn.XLOOKUP(B539,Table2[Main Member Link ID],Table2[Benefit Name],0)=Lookups!$D$15),Lookups!$D$20,
IF(AND(Table2[[#This Row],[Member Type]]="Spouse",Table2[[#This Row],[Product Option]]="My Value Plus Life &amp; Funeral",_xlfn.XLOOKUP(B539,Table2[Main Member Link ID],Table2[Benefit Name],0)=Lookups!$D$16),"",
IF(AND(Table2[[#This Row],[Member Type]]="Spouse",Table2[[#This Row],[Product Option]]="My Value Plus Life &amp; Funeral",_xlfn.XLOOKUP(B539,Table2[Main Member Link ID],Table2[Benefit Name],0)=Lookups!$D$17),Lookups!$D$21,
IF(AND(Table2[[#This Row],[Member Type]]="Child",Table2[[#This Row],[Product Option]]="My Value Plus Life &amp; Funeral",_xlfn.XLOOKUP(B540,Table2[Main Member Link ID],Table2[Benefit Name],0)=Lookups!$D$14),"",
IF(AND(Table2[[#This Row],[Member Type]]="Child",Table2[[#This Row],[Product Option]]="My Value Plus Life &amp; Funeral",_xlfn.XLOOKUP(B540,Table2[Main Member Link ID],Table2[Benefit Name],0)=Lookups!$D$15),"",
IF(AND(Table2[[#This Row],[Member Type]]="Child",Table2[[#This Row],[Product Option]]="My Value Plus Life &amp; Funeral",_xlfn.XLOOKUP(B540,Table2[Main Member Link ID],Table2[Benefit Name],0)=Lookups!$D$16),Lookups!$D$24,
IF(AND(Table2[[#This Row],[Member Type]]="Child",Table2[[#This Row],[Product Option]]="My Value Plus Life &amp; Funeral",_xlfn.XLOOKUP(B540,Table2[Main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Funeral",_xlfn.XLOOKUP(B540,Table2[Main Member Link ID],Table2[Benefit Name],0)&lt;&gt;Lookups!$D$14),
IF(_xlfn.XLOOKUP(B540,Table2[Main Member Link ID],Table2[Benefit Name],0)=0,"",_xlfn.XLOOKUP(B540,Table2[Main Member Link ID],Table2[Benefit Name],0)),"")))))))))))))))</f>
        <v/>
      </c>
      <c r="AF540" s="327" t="str">
        <f>IF(AND(Table2[[#This Row],[Member Type]]="Main Member",Table2[[#This Row],[Product Option]]="My Value Plus Life &amp; Funeral"),Lookups!$D$15,
IF(AND(Table2[[#This Row],[Member Type]]="Spouse",Table2[[#This Row],[Product Option]]="My Value Plus Life &amp; Funeral",_xlfn.XLOOKUP(B540,Table2[Main Member Link ID],Table2[Benefit Name],0)=Lookups!$D$14),"",
IF(AND(Table2[[#This Row],[Member Type]]="Spouse",Table2[[#This Row],[Product Option]]="My Value Plus Life &amp; Funeral",_xlfn.XLOOKUP(B539,Table2[Main Member Link ID],Table2[Benefit Name],0)=Lookups!$D$16),"",
IF(AND(Table2[[#This Row],[Member Type]]="Spouse",Table2[[#This Row],[Product Option]]="My Value Plus Life &amp; Funeral",_xlfn.XLOOKUP(B539,Table2[Main Member Link ID],Table2[Benefit Name],0)=Lookups!$D$15),"",
IF(AND(Table2[[#This Row],[Member Type]]="Spouse",Table2[[#This Row],[Product Option]]="My Value Plus Life &amp; Funeral",_xlfn.XLOOKUP(B539,Table2[Main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Funeral",_xlfn.XLOOKUP(B540,Table2[Main Member Link ID],Table2[Benefit Name],0)&lt;&gt;Lookups!$D$15),
IF(_xlfn.XLOOKUP(B540,Table2[Main Member Link ID],Table2[Benefit Name],0)=0,"",_xlfn.XLOOKUP(B540,Table2[Main Member Link ID],Table2[Benefit Name],0)),"")
))))))</f>
        <v/>
      </c>
      <c r="AG540" s="327" t="str">
        <f>IF(AND(Table2[[#This Row],[Member Type]]="Main Member",Table2[[#This Row],[Product Option]]="My Value Plus Life &amp; Funeral"),Lookups!$D$16,
IF(AND(Table2[[#This Row],[Member Type]]="Spouse",Table2[[#This Row],[Product Option]]="My Value Plus Life &amp; Funeral",_xlfn.XLOOKUP(B540,Table2[Main Member Link ID],Table2[Benefit Name],0)=Lookups!$D$14),"",
IF(AND(Table2[[#This Row],[Member Type]]="Spouse",Table2[[#This Row],[Product Option]]="My Value Plus Life &amp; Funeral",_xlfn.XLOOKUP(B539,Table2[Main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Funeral",_xlfn.XLOOKUP(B540,Table2[Main Member Link ID],Table2[Benefit Name],0)&lt;&gt;Lookups!$D$16),
IF(_xlfn.XLOOKUP(B540,Table2[Main Member Link ID],Table2[Benefit Name],0)=0,"",_xlfn.XLOOKUP(B540,Table2[Main Member Link ID],Table2[Benefit Name],0)),"")
))))</f>
        <v/>
      </c>
      <c r="AH540" s="327" t="str">
        <f>IF(AND(Table2[[#This Row],[Member Type]]="Main Member",Table2[[#This Row],[Product Option]]="My Value Plus Life &amp; Funeral"),Lookups!$D$17,
IF(AND(Table2[[#This Row],[Member Type]]="Spouse",Table2[[#This Row],[Product Option]]="My Value Plus Life &amp; Funeral",_xlfn.XLOOKUP(B540,Table2[Main Member Link ID],Table2[Benefit Name],0)=Lookups!$D$14),"",
IF(AND(Table2[[#This Row],[Member Type]]="Spouse",Table2[[#This Row],[Product Option]]="My Value Plus Life &amp; Funeral",_xlfn.XLOOKUP(B539,Table2[Main Member Link ID],Table2[Benefit Name],0)=Lookups!$D$16),"",
IF(AND(Table2[[#This Row],[Member Type]]="Child",Table2[[#This Row],[Product Option]]="My Value Plus Life &amp; Funeral"),"",
IF(AND(Table2[[#This Row],[Member Type]]="Child",Table2[[#This Row],[Product Option]]="My Value Plus Life &amp; Funeral",_xlfn.XLOOKUP(B540,Table2[Main Member Link ID],Table2[Benefit Name],0)=Lookups!$D$15),"",
IF(AND(OR(Table2[[#This Row],[Member Type]]="Spouse",Table2[[#This Row],[Member Type]]="Child"),Table2[[#This Row],[Product Option]]="My Value Plus Life &amp; Funeral",_xlfn.XLOOKUP(B540,Table2[Main Member Link ID],Table2[Benefit Name],0)&lt;&gt;Lookups!$D$17),
IF(_xlfn.XLOOKUP(B540,Table2[Main Member Link ID],Table2[Benefit Name],0)=0,"",_xlfn.XLOOKUP(B540,Table2[Main Member Link ID],Table2[Benefit Name],0)),""))))))</f>
        <v/>
      </c>
      <c r="AI540" s="328" t="str">
        <f>IF(AND(Table2[[#This Row],[Member Type]]="Main Member",Table2[[#This Row],[Table Lookup for Life Cover]]="MM_LIFE",Table2[[#This Row],[Age Next Birthday]]&lt;56),1,
IF(AND(Table2[[#This Row],[Member Type]]="Main Member",Table2[[#This Row],[Table Lookup for Life Cover]]="MM_LIFE",Table2[[#This Row],[Age Next Birthday]]&gt;=56),2,
""))</f>
        <v/>
      </c>
      <c r="AJ540" s="328">
        <f>IF(OR(Table2[[#This Row],[Member Type]]="Main Member",Table2[[#This Row],[Main Member Link ID]]=B539),1,0)</f>
        <v>1</v>
      </c>
      <c r="AK540" s="328">
        <f>IF(Table2[[#This Row],[Member Type]]=0,0,
IF(OR(Table2[[#This Row],[Member Type]]="Main Member",Table2[[#This Row],[Main Member Link ID]]&lt;&gt;B540),COUNTIFS(B:B,Table2[[#This Row],[Main Member Link ID]]),
COUNTIFS(B:B,Table2[[#This Row],[Main Member Link ID]],A:A,Table2[[#This Row],[Member Type]])))</f>
        <v>0</v>
      </c>
    </row>
    <row r="541" spans="1:37" x14ac:dyDescent="0.3">
      <c r="A541" s="284">
        <f>Table13[[#This Row],[Member Type]]</f>
        <v>0</v>
      </c>
      <c r="B541" s="284">
        <f>Table13[[#This Row],[Main Member Link ID]]</f>
        <v>0</v>
      </c>
      <c r="C541" s="284">
        <f>Table13[[#This Row],[ID Number]]</f>
        <v>0</v>
      </c>
      <c r="D541" s="285">
        <f>Table13[[#This Row],[Date Of Birth]]</f>
        <v>0</v>
      </c>
      <c r="E541" s="285">
        <f>Table13[[#This Row],[Commencement Date]]</f>
        <v>0</v>
      </c>
      <c r="F541" s="284">
        <f t="shared" si="56"/>
        <v>1</v>
      </c>
      <c r="G541" s="284">
        <f t="shared" si="57"/>
        <v>25</v>
      </c>
      <c r="H541" s="286">
        <f>Table13[[#This Row],[Product Option]]</f>
        <v>0</v>
      </c>
      <c r="I541" s="284">
        <f>IF(AND($A541="Main Member",Table2[[#This Row],[Product Option]]="My Value Plus Life"),"MM_LIFE",
IF(AND($A541="Spouse",Table2[[#This Row],[Product Option]]="My Value Plus Life"),"SP_LIFE",
IF(AND($A541="Main Member",Table2[[#This Row],[Product Option]]="My Value Plus Life &amp; Funeral"),"MM_LIFE",
IF(AND($A541="Spouse",Table2[[#This Row],[Product Option]]="My Value Plus Life &amp; Funeral"),_xlfn.XLOOKUP(Table2[[#This Row],[Benefit Name]],Lookups!$D$18:$D$23,Lookups!$E$18:$E$23,0),
0))))</f>
        <v>0</v>
      </c>
      <c r="J541" s="284">
        <f>IF($I541="","",
IF($I541="MM_LIFE",INDEX('Quotation Tool'!$S$54:$V$60,MATCH($T541,'Quotation Tool'!$S$54:$S$60,0),4),
IF($I541="SP_LIFE",_xlfn.XLOOKUP(B540,$B:$B,$J:$J,0),0)))</f>
        <v>0</v>
      </c>
      <c r="K541" s="287">
        <f t="shared" ca="1" si="61"/>
        <v>0</v>
      </c>
      <c r="L541" s="288">
        <f t="shared" ca="1" si="62"/>
        <v>0</v>
      </c>
      <c r="M541" s="289">
        <f t="shared" ca="1" si="58"/>
        <v>0</v>
      </c>
      <c r="N541" s="286">
        <f>Table13[[#This Row],[Benefit Option]]</f>
        <v>0</v>
      </c>
      <c r="O541" s="284">
        <f>IF(OR(Table2[[#This Row],[Member Type]]="Spouse",Table2[[#This Row],[Member Type]]="Child"),0,
IF(_xlfn.XLOOKUP($N541,Lookups!$D$13:$D$27,Lookups!$F$13:$F$27,0)=Table2[[#This Row],[Table Lookup for Life Cover]],0,
_xlfn.XLOOKUP($N541,Lookups!$D$13:$D$27,Lookups!$F$13:$F$27,0)))</f>
        <v>0</v>
      </c>
      <c r="P541" s="284">
        <f>IF(Table2[[#This Row],[Table Lookup for Funeral]]=0,0,IFERROR(INDEX('Quotation Tool'!$S$54:$V$60,MATCH($T541,'Quotation Tool'!$S$54:$S$60,0),3),0))</f>
        <v>0</v>
      </c>
      <c r="Q541" s="288">
        <f ca="1">IF(OR(Table2[[#This Row],[Benefit Name]]="My Value Plus Life - Main Member",Table2[[#This Row],[Benefit Name]]="My Value Plus Life - Spouse"),0,
IFERROR(VLOOKUP($G541,INDIRECT($O541),$P541,FALSE),0))</f>
        <v>0</v>
      </c>
      <c r="R541" s="288">
        <f ca="1">IF(OR(Table2[[#This Row],[Benefit Name]]="My Value Plus Life - Main Member",Table2[[#This Row],[Benefit Name]]="My Value Plus Life - Spouse"),0,
IFERROR(VLOOKUP($G541,INDIRECT($O541),$P541+1,FALSE),0))</f>
        <v>0</v>
      </c>
      <c r="S541" s="289">
        <f t="shared" ca="1" si="59"/>
        <v>0</v>
      </c>
      <c r="T541" s="284" t="str">
        <f>IF(Table13[[#This Row],[Premium Waiver]]="","None",Table13[[#This Row],[Premium Waiver]])</f>
        <v>None</v>
      </c>
      <c r="U541" s="284">
        <f>Table13[[#This Row],[VAPs Options]]</f>
        <v>0</v>
      </c>
      <c r="V541" s="284">
        <f>Table13[[#This Row],[Annual Increase Option]]</f>
        <v>0</v>
      </c>
      <c r="W541" s="290">
        <f>Table13[[#This Row],[Life Cover Amount]]</f>
        <v>0</v>
      </c>
      <c r="X541" s="290">
        <f>Table13[[#This Row],[Funeral Cover Amount]]</f>
        <v>0</v>
      </c>
      <c r="Y54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4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41" s="301">
        <f t="shared" ca="1" si="60"/>
        <v>0</v>
      </c>
      <c r="AB541" s="298"/>
      <c r="AC541" s="326" t="str">
        <f>IF(Table2[[#This Row],[Member Type]]="Main Member",Lookups!$C$13,
IF(Table2[[#This Row],[Member Type]]="Spouse",_xlfn.XLOOKUP(B541,Table2[Main Member Link ID],Table2[Product Option],0),
IF(AND(Table2[[#This Row],[Member Type]]="Child",_xlfn.XLOOKUP(B541,Table2[Main Member Link ID],Table2[Product Option],0)&lt;&gt;"My Value Plus Life"),Lookups!$C$24,
IF(AND(OR(Table2[[#This Row],[Member Type]]="Parent",Table2[[#This Row],[Member Type]]="Extended"),_xlfn.XLOOKUP(B541,Table2[Main Member Link ID],Table2[Product Option],0)&lt;&gt;"My Value Plus Life"),Lookups!$C$26,""))))</f>
        <v/>
      </c>
      <c r="AD541" s="326" t="str">
        <f>IF(Table2[[#This Row],[Member Type]]="Main Member",Lookups!$C$14,"")</f>
        <v/>
      </c>
      <c r="AE54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Funeral",_xlfn.XLOOKUP(B541,Table2[Main Member Link ID],Table2[Benefit Name],0)=Lookups!$D$14),"",
IF(AND(Table2[[#This Row],[Member Type]]="Spouse",Table2[[#This Row],[Product Option]]="My Value Plus Life &amp; Funeral",_xlfn.XLOOKUP(B540,Table2[Main Member Link ID],Table2[Benefit Name],0)=Lookups!$D$15),Lookups!$D$20,
IF(AND(Table2[[#This Row],[Member Type]]="Spouse",Table2[[#This Row],[Product Option]]="My Value Plus Life &amp; Funeral",_xlfn.XLOOKUP(B540,Table2[Main Member Link ID],Table2[Benefit Name],0)=Lookups!$D$16),"",
IF(AND(Table2[[#This Row],[Member Type]]="Spouse",Table2[[#This Row],[Product Option]]="My Value Plus Life &amp; Funeral",_xlfn.XLOOKUP(B540,Table2[Main Member Link ID],Table2[Benefit Name],0)=Lookups!$D$17),Lookups!$D$21,
IF(AND(Table2[[#This Row],[Member Type]]="Child",Table2[[#This Row],[Product Option]]="My Value Plus Life &amp; Funeral",_xlfn.XLOOKUP(B541,Table2[Main Member Link ID],Table2[Benefit Name],0)=Lookups!$D$14),"",
IF(AND(Table2[[#This Row],[Member Type]]="Child",Table2[[#This Row],[Product Option]]="My Value Plus Life &amp; Funeral",_xlfn.XLOOKUP(B541,Table2[Main Member Link ID],Table2[Benefit Name],0)=Lookups!$D$15),"",
IF(AND(Table2[[#This Row],[Member Type]]="Child",Table2[[#This Row],[Product Option]]="My Value Plus Life &amp; Funeral",_xlfn.XLOOKUP(B541,Table2[Main Member Link ID],Table2[Benefit Name],0)=Lookups!$D$16),Lookups!$D$24,
IF(AND(Table2[[#This Row],[Member Type]]="Child",Table2[[#This Row],[Product Option]]="My Value Plus Life &amp; Funeral",_xlfn.XLOOKUP(B541,Table2[Main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Funeral",_xlfn.XLOOKUP(B541,Table2[Main Member Link ID],Table2[Benefit Name],0)&lt;&gt;Lookups!$D$14),
IF(_xlfn.XLOOKUP(B541,Table2[Main Member Link ID],Table2[Benefit Name],0)=0,"",_xlfn.XLOOKUP(B541,Table2[Main Member Link ID],Table2[Benefit Name],0)),"")))))))))))))))</f>
        <v/>
      </c>
      <c r="AF541" s="327" t="str">
        <f>IF(AND(Table2[[#This Row],[Member Type]]="Main Member",Table2[[#This Row],[Product Option]]="My Value Plus Life &amp; Funeral"),Lookups!$D$15,
IF(AND(Table2[[#This Row],[Member Type]]="Spouse",Table2[[#This Row],[Product Option]]="My Value Plus Life &amp; Funeral",_xlfn.XLOOKUP(B541,Table2[Main Member Link ID],Table2[Benefit Name],0)=Lookups!$D$14),"",
IF(AND(Table2[[#This Row],[Member Type]]="Spouse",Table2[[#This Row],[Product Option]]="My Value Plus Life &amp; Funeral",_xlfn.XLOOKUP(B540,Table2[Main Member Link ID],Table2[Benefit Name],0)=Lookups!$D$16),"",
IF(AND(Table2[[#This Row],[Member Type]]="Spouse",Table2[[#This Row],[Product Option]]="My Value Plus Life &amp; Funeral",_xlfn.XLOOKUP(B540,Table2[Main Member Link ID],Table2[Benefit Name],0)=Lookups!$D$15),"",
IF(AND(Table2[[#This Row],[Member Type]]="Spouse",Table2[[#This Row],[Product Option]]="My Value Plus Life &amp; Funeral",_xlfn.XLOOKUP(B540,Table2[Main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Funeral",_xlfn.XLOOKUP(B541,Table2[Main Member Link ID],Table2[Benefit Name],0)&lt;&gt;Lookups!$D$15),
IF(_xlfn.XLOOKUP(B541,Table2[Main Member Link ID],Table2[Benefit Name],0)=0,"",_xlfn.XLOOKUP(B541,Table2[Main Member Link ID],Table2[Benefit Name],0)),"")
))))))</f>
        <v/>
      </c>
      <c r="AG541" s="327" t="str">
        <f>IF(AND(Table2[[#This Row],[Member Type]]="Main Member",Table2[[#This Row],[Product Option]]="My Value Plus Life &amp; Funeral"),Lookups!$D$16,
IF(AND(Table2[[#This Row],[Member Type]]="Spouse",Table2[[#This Row],[Product Option]]="My Value Plus Life &amp; Funeral",_xlfn.XLOOKUP(B541,Table2[Main Member Link ID],Table2[Benefit Name],0)=Lookups!$D$14),"",
IF(AND(Table2[[#This Row],[Member Type]]="Spouse",Table2[[#This Row],[Product Option]]="My Value Plus Life &amp; Funeral",_xlfn.XLOOKUP(B540,Table2[Main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Funeral",_xlfn.XLOOKUP(B541,Table2[Main Member Link ID],Table2[Benefit Name],0)&lt;&gt;Lookups!$D$16),
IF(_xlfn.XLOOKUP(B541,Table2[Main Member Link ID],Table2[Benefit Name],0)=0,"",_xlfn.XLOOKUP(B541,Table2[Main Member Link ID],Table2[Benefit Name],0)),"")
))))</f>
        <v/>
      </c>
      <c r="AH541" s="327" t="str">
        <f>IF(AND(Table2[[#This Row],[Member Type]]="Main Member",Table2[[#This Row],[Product Option]]="My Value Plus Life &amp; Funeral"),Lookups!$D$17,
IF(AND(Table2[[#This Row],[Member Type]]="Spouse",Table2[[#This Row],[Product Option]]="My Value Plus Life &amp; Funeral",_xlfn.XLOOKUP(B541,Table2[Main Member Link ID],Table2[Benefit Name],0)=Lookups!$D$14),"",
IF(AND(Table2[[#This Row],[Member Type]]="Spouse",Table2[[#This Row],[Product Option]]="My Value Plus Life &amp; Funeral",_xlfn.XLOOKUP(B540,Table2[Main Member Link ID],Table2[Benefit Name],0)=Lookups!$D$16),"",
IF(AND(Table2[[#This Row],[Member Type]]="Child",Table2[[#This Row],[Product Option]]="My Value Plus Life &amp; Funeral"),"",
IF(AND(Table2[[#This Row],[Member Type]]="Child",Table2[[#This Row],[Product Option]]="My Value Plus Life &amp; Funeral",_xlfn.XLOOKUP(B541,Table2[Main Member Link ID],Table2[Benefit Name],0)=Lookups!$D$15),"",
IF(AND(OR(Table2[[#This Row],[Member Type]]="Spouse",Table2[[#This Row],[Member Type]]="Child"),Table2[[#This Row],[Product Option]]="My Value Plus Life &amp; Funeral",_xlfn.XLOOKUP(B541,Table2[Main Member Link ID],Table2[Benefit Name],0)&lt;&gt;Lookups!$D$17),
IF(_xlfn.XLOOKUP(B541,Table2[Main Member Link ID],Table2[Benefit Name],0)=0,"",_xlfn.XLOOKUP(B541,Table2[Main Member Link ID],Table2[Benefit Name],0)),""))))))</f>
        <v/>
      </c>
      <c r="AI541" s="328" t="str">
        <f>IF(AND(Table2[[#This Row],[Member Type]]="Main Member",Table2[[#This Row],[Table Lookup for Life Cover]]="MM_LIFE",Table2[[#This Row],[Age Next Birthday]]&lt;56),1,
IF(AND(Table2[[#This Row],[Member Type]]="Main Member",Table2[[#This Row],[Table Lookup for Life Cover]]="MM_LIFE",Table2[[#This Row],[Age Next Birthday]]&gt;=56),2,
""))</f>
        <v/>
      </c>
      <c r="AJ541" s="328">
        <f>IF(OR(Table2[[#This Row],[Member Type]]="Main Member",Table2[[#This Row],[Main Member Link ID]]=B540),1,0)</f>
        <v>1</v>
      </c>
      <c r="AK541" s="328">
        <f>IF(Table2[[#This Row],[Member Type]]=0,0,
IF(OR(Table2[[#This Row],[Member Type]]="Main Member",Table2[[#This Row],[Main Member Link ID]]&lt;&gt;B541),COUNTIFS(B:B,Table2[[#This Row],[Main Member Link ID]]),
COUNTIFS(B:B,Table2[[#This Row],[Main Member Link ID]],A:A,Table2[[#This Row],[Member Type]])))</f>
        <v>0</v>
      </c>
    </row>
    <row r="542" spans="1:37" x14ac:dyDescent="0.3">
      <c r="A542" s="284">
        <f>Table13[[#This Row],[Member Type]]</f>
        <v>0</v>
      </c>
      <c r="B542" s="284">
        <f>Table13[[#This Row],[Main Member Link ID]]</f>
        <v>0</v>
      </c>
      <c r="C542" s="284">
        <f>Table13[[#This Row],[ID Number]]</f>
        <v>0</v>
      </c>
      <c r="D542" s="285">
        <f>Table13[[#This Row],[Date Of Birth]]</f>
        <v>0</v>
      </c>
      <c r="E542" s="285">
        <f>Table13[[#This Row],[Commencement Date]]</f>
        <v>0</v>
      </c>
      <c r="F542" s="284">
        <f t="shared" si="56"/>
        <v>1</v>
      </c>
      <c r="G542" s="284">
        <f t="shared" si="57"/>
        <v>25</v>
      </c>
      <c r="H542" s="286">
        <f>Table13[[#This Row],[Product Option]]</f>
        <v>0</v>
      </c>
      <c r="I542" s="284">
        <f>IF(AND($A542="Main Member",Table2[[#This Row],[Product Option]]="My Value Plus Life"),"MM_LIFE",
IF(AND($A542="Spouse",Table2[[#This Row],[Product Option]]="My Value Plus Life"),"SP_LIFE",
IF(AND($A542="Main Member",Table2[[#This Row],[Product Option]]="My Value Plus Life &amp; Funeral"),"MM_LIFE",
IF(AND($A542="Spouse",Table2[[#This Row],[Product Option]]="My Value Plus Life &amp; Funeral"),_xlfn.XLOOKUP(Table2[[#This Row],[Benefit Name]],Lookups!$D$18:$D$23,Lookups!$E$18:$E$23,0),
0))))</f>
        <v>0</v>
      </c>
      <c r="J542" s="284">
        <f>IF($I542="","",
IF($I542="MM_LIFE",INDEX('Quotation Tool'!$S$54:$V$60,MATCH($T542,'Quotation Tool'!$S$54:$S$60,0),4),
IF($I542="SP_LIFE",_xlfn.XLOOKUP(B541,$B:$B,$J:$J,0),0)))</f>
        <v>0</v>
      </c>
      <c r="K542" s="287">
        <f t="shared" ca="1" si="61"/>
        <v>0</v>
      </c>
      <c r="L542" s="288">
        <f t="shared" ca="1" si="62"/>
        <v>0</v>
      </c>
      <c r="M542" s="289">
        <f t="shared" ca="1" si="58"/>
        <v>0</v>
      </c>
      <c r="N542" s="286">
        <f>Table13[[#This Row],[Benefit Option]]</f>
        <v>0</v>
      </c>
      <c r="O542" s="284">
        <f>IF(OR(Table2[[#This Row],[Member Type]]="Spouse",Table2[[#This Row],[Member Type]]="Child"),0,
IF(_xlfn.XLOOKUP($N542,Lookups!$D$13:$D$27,Lookups!$F$13:$F$27,0)=Table2[[#This Row],[Table Lookup for Life Cover]],0,
_xlfn.XLOOKUP($N542,Lookups!$D$13:$D$27,Lookups!$F$13:$F$27,0)))</f>
        <v>0</v>
      </c>
      <c r="P542" s="284">
        <f>IF(Table2[[#This Row],[Table Lookup for Funeral]]=0,0,IFERROR(INDEX('Quotation Tool'!$S$54:$V$60,MATCH($T542,'Quotation Tool'!$S$54:$S$60,0),3),0))</f>
        <v>0</v>
      </c>
      <c r="Q542" s="288">
        <f ca="1">IF(OR(Table2[[#This Row],[Benefit Name]]="My Value Plus Life - Main Member",Table2[[#This Row],[Benefit Name]]="My Value Plus Life - Spouse"),0,
IFERROR(VLOOKUP($G542,INDIRECT($O542),$P542,FALSE),0))</f>
        <v>0</v>
      </c>
      <c r="R542" s="288">
        <f ca="1">IF(OR(Table2[[#This Row],[Benefit Name]]="My Value Plus Life - Main Member",Table2[[#This Row],[Benefit Name]]="My Value Plus Life - Spouse"),0,
IFERROR(VLOOKUP($G542,INDIRECT($O542),$P542+1,FALSE),0))</f>
        <v>0</v>
      </c>
      <c r="S542" s="289">
        <f t="shared" ca="1" si="59"/>
        <v>0</v>
      </c>
      <c r="T542" s="284" t="str">
        <f>IF(Table13[[#This Row],[Premium Waiver]]="","None",Table13[[#This Row],[Premium Waiver]])</f>
        <v>None</v>
      </c>
      <c r="U542" s="284">
        <f>Table13[[#This Row],[VAPs Options]]</f>
        <v>0</v>
      </c>
      <c r="V542" s="284">
        <f>Table13[[#This Row],[Annual Increase Option]]</f>
        <v>0</v>
      </c>
      <c r="W542" s="290">
        <f>Table13[[#This Row],[Life Cover Amount]]</f>
        <v>0</v>
      </c>
      <c r="X542" s="290">
        <f>Table13[[#This Row],[Funeral Cover Amount]]</f>
        <v>0</v>
      </c>
      <c r="Y54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4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42" s="301">
        <f t="shared" ca="1" si="60"/>
        <v>0</v>
      </c>
      <c r="AB542" s="298"/>
      <c r="AC542" s="326" t="str">
        <f>IF(Table2[[#This Row],[Member Type]]="Main Member",Lookups!$C$13,
IF(Table2[[#This Row],[Member Type]]="Spouse",_xlfn.XLOOKUP(B542,Table2[Main Member Link ID],Table2[Product Option],0),
IF(AND(Table2[[#This Row],[Member Type]]="Child",_xlfn.XLOOKUP(B542,Table2[Main Member Link ID],Table2[Product Option],0)&lt;&gt;"My Value Plus Life"),Lookups!$C$24,
IF(AND(OR(Table2[[#This Row],[Member Type]]="Parent",Table2[[#This Row],[Member Type]]="Extended"),_xlfn.XLOOKUP(B542,Table2[Main Member Link ID],Table2[Product Option],0)&lt;&gt;"My Value Plus Life"),Lookups!$C$26,""))))</f>
        <v/>
      </c>
      <c r="AD542" s="326" t="str">
        <f>IF(Table2[[#This Row],[Member Type]]="Main Member",Lookups!$C$14,"")</f>
        <v/>
      </c>
      <c r="AE54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Funeral",_xlfn.XLOOKUP(B542,Table2[Main Member Link ID],Table2[Benefit Name],0)=Lookups!$D$14),"",
IF(AND(Table2[[#This Row],[Member Type]]="Spouse",Table2[[#This Row],[Product Option]]="My Value Plus Life &amp; Funeral",_xlfn.XLOOKUP(B541,Table2[Main Member Link ID],Table2[Benefit Name],0)=Lookups!$D$15),Lookups!$D$20,
IF(AND(Table2[[#This Row],[Member Type]]="Spouse",Table2[[#This Row],[Product Option]]="My Value Plus Life &amp; Funeral",_xlfn.XLOOKUP(B541,Table2[Main Member Link ID],Table2[Benefit Name],0)=Lookups!$D$16),"",
IF(AND(Table2[[#This Row],[Member Type]]="Spouse",Table2[[#This Row],[Product Option]]="My Value Plus Life &amp; Funeral",_xlfn.XLOOKUP(B541,Table2[Main Member Link ID],Table2[Benefit Name],0)=Lookups!$D$17),Lookups!$D$21,
IF(AND(Table2[[#This Row],[Member Type]]="Child",Table2[[#This Row],[Product Option]]="My Value Plus Life &amp; Funeral",_xlfn.XLOOKUP(B542,Table2[Main Member Link ID],Table2[Benefit Name],0)=Lookups!$D$14),"",
IF(AND(Table2[[#This Row],[Member Type]]="Child",Table2[[#This Row],[Product Option]]="My Value Plus Life &amp; Funeral",_xlfn.XLOOKUP(B542,Table2[Main Member Link ID],Table2[Benefit Name],0)=Lookups!$D$15),"",
IF(AND(Table2[[#This Row],[Member Type]]="Child",Table2[[#This Row],[Product Option]]="My Value Plus Life &amp; Funeral",_xlfn.XLOOKUP(B542,Table2[Main Member Link ID],Table2[Benefit Name],0)=Lookups!$D$16),Lookups!$D$24,
IF(AND(Table2[[#This Row],[Member Type]]="Child",Table2[[#This Row],[Product Option]]="My Value Plus Life &amp; Funeral",_xlfn.XLOOKUP(B542,Table2[Main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Funeral",_xlfn.XLOOKUP(B542,Table2[Main Member Link ID],Table2[Benefit Name],0)&lt;&gt;Lookups!$D$14),
IF(_xlfn.XLOOKUP(B542,Table2[Main Member Link ID],Table2[Benefit Name],0)=0,"",_xlfn.XLOOKUP(B542,Table2[Main Member Link ID],Table2[Benefit Name],0)),"")))))))))))))))</f>
        <v/>
      </c>
      <c r="AF542" s="327" t="str">
        <f>IF(AND(Table2[[#This Row],[Member Type]]="Main Member",Table2[[#This Row],[Product Option]]="My Value Plus Life &amp; Funeral"),Lookups!$D$15,
IF(AND(Table2[[#This Row],[Member Type]]="Spouse",Table2[[#This Row],[Product Option]]="My Value Plus Life &amp; Funeral",_xlfn.XLOOKUP(B542,Table2[Main Member Link ID],Table2[Benefit Name],0)=Lookups!$D$14),"",
IF(AND(Table2[[#This Row],[Member Type]]="Spouse",Table2[[#This Row],[Product Option]]="My Value Plus Life &amp; Funeral",_xlfn.XLOOKUP(B541,Table2[Main Member Link ID],Table2[Benefit Name],0)=Lookups!$D$16),"",
IF(AND(Table2[[#This Row],[Member Type]]="Spouse",Table2[[#This Row],[Product Option]]="My Value Plus Life &amp; Funeral",_xlfn.XLOOKUP(B541,Table2[Main Member Link ID],Table2[Benefit Name],0)=Lookups!$D$15),"",
IF(AND(Table2[[#This Row],[Member Type]]="Spouse",Table2[[#This Row],[Product Option]]="My Value Plus Life &amp; Funeral",_xlfn.XLOOKUP(B541,Table2[Main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Funeral",_xlfn.XLOOKUP(B542,Table2[Main Member Link ID],Table2[Benefit Name],0)&lt;&gt;Lookups!$D$15),
IF(_xlfn.XLOOKUP(B542,Table2[Main Member Link ID],Table2[Benefit Name],0)=0,"",_xlfn.XLOOKUP(B542,Table2[Main Member Link ID],Table2[Benefit Name],0)),"")
))))))</f>
        <v/>
      </c>
      <c r="AG542" s="327" t="str">
        <f>IF(AND(Table2[[#This Row],[Member Type]]="Main Member",Table2[[#This Row],[Product Option]]="My Value Plus Life &amp; Funeral"),Lookups!$D$16,
IF(AND(Table2[[#This Row],[Member Type]]="Spouse",Table2[[#This Row],[Product Option]]="My Value Plus Life &amp; Funeral",_xlfn.XLOOKUP(B542,Table2[Main Member Link ID],Table2[Benefit Name],0)=Lookups!$D$14),"",
IF(AND(Table2[[#This Row],[Member Type]]="Spouse",Table2[[#This Row],[Product Option]]="My Value Plus Life &amp; Funeral",_xlfn.XLOOKUP(B541,Table2[Main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Funeral",_xlfn.XLOOKUP(B542,Table2[Main Member Link ID],Table2[Benefit Name],0)&lt;&gt;Lookups!$D$16),
IF(_xlfn.XLOOKUP(B542,Table2[Main Member Link ID],Table2[Benefit Name],0)=0,"",_xlfn.XLOOKUP(B542,Table2[Main Member Link ID],Table2[Benefit Name],0)),"")
))))</f>
        <v/>
      </c>
      <c r="AH542" s="327" t="str">
        <f>IF(AND(Table2[[#This Row],[Member Type]]="Main Member",Table2[[#This Row],[Product Option]]="My Value Plus Life &amp; Funeral"),Lookups!$D$17,
IF(AND(Table2[[#This Row],[Member Type]]="Spouse",Table2[[#This Row],[Product Option]]="My Value Plus Life &amp; Funeral",_xlfn.XLOOKUP(B542,Table2[Main Member Link ID],Table2[Benefit Name],0)=Lookups!$D$14),"",
IF(AND(Table2[[#This Row],[Member Type]]="Spouse",Table2[[#This Row],[Product Option]]="My Value Plus Life &amp; Funeral",_xlfn.XLOOKUP(B541,Table2[Main Member Link ID],Table2[Benefit Name],0)=Lookups!$D$16),"",
IF(AND(Table2[[#This Row],[Member Type]]="Child",Table2[[#This Row],[Product Option]]="My Value Plus Life &amp; Funeral"),"",
IF(AND(Table2[[#This Row],[Member Type]]="Child",Table2[[#This Row],[Product Option]]="My Value Plus Life &amp; Funeral",_xlfn.XLOOKUP(B542,Table2[Main Member Link ID],Table2[Benefit Name],0)=Lookups!$D$15),"",
IF(AND(OR(Table2[[#This Row],[Member Type]]="Spouse",Table2[[#This Row],[Member Type]]="Child"),Table2[[#This Row],[Product Option]]="My Value Plus Life &amp; Funeral",_xlfn.XLOOKUP(B542,Table2[Main Member Link ID],Table2[Benefit Name],0)&lt;&gt;Lookups!$D$17),
IF(_xlfn.XLOOKUP(B542,Table2[Main Member Link ID],Table2[Benefit Name],0)=0,"",_xlfn.XLOOKUP(B542,Table2[Main Member Link ID],Table2[Benefit Name],0)),""))))))</f>
        <v/>
      </c>
      <c r="AI542" s="328" t="str">
        <f>IF(AND(Table2[[#This Row],[Member Type]]="Main Member",Table2[[#This Row],[Table Lookup for Life Cover]]="MM_LIFE",Table2[[#This Row],[Age Next Birthday]]&lt;56),1,
IF(AND(Table2[[#This Row],[Member Type]]="Main Member",Table2[[#This Row],[Table Lookup for Life Cover]]="MM_LIFE",Table2[[#This Row],[Age Next Birthday]]&gt;=56),2,
""))</f>
        <v/>
      </c>
      <c r="AJ542" s="328">
        <f>IF(OR(Table2[[#This Row],[Member Type]]="Main Member",Table2[[#This Row],[Main Member Link ID]]=B541),1,0)</f>
        <v>1</v>
      </c>
      <c r="AK542" s="328">
        <f>IF(Table2[[#This Row],[Member Type]]=0,0,
IF(OR(Table2[[#This Row],[Member Type]]="Main Member",Table2[[#This Row],[Main Member Link ID]]&lt;&gt;B542),COUNTIFS(B:B,Table2[[#This Row],[Main Member Link ID]]),
COUNTIFS(B:B,Table2[[#This Row],[Main Member Link ID]],A:A,Table2[[#This Row],[Member Type]])))</f>
        <v>0</v>
      </c>
    </row>
    <row r="543" spans="1:37" x14ac:dyDescent="0.3">
      <c r="A543" s="284">
        <f>Table13[[#This Row],[Member Type]]</f>
        <v>0</v>
      </c>
      <c r="B543" s="284">
        <f>Table13[[#This Row],[Main Member Link ID]]</f>
        <v>0</v>
      </c>
      <c r="C543" s="284">
        <f>Table13[[#This Row],[ID Number]]</f>
        <v>0</v>
      </c>
      <c r="D543" s="285">
        <f>Table13[[#This Row],[Date Of Birth]]</f>
        <v>0</v>
      </c>
      <c r="E543" s="285">
        <f>Table13[[#This Row],[Commencement Date]]</f>
        <v>0</v>
      </c>
      <c r="F543" s="284">
        <f t="shared" si="56"/>
        <v>1</v>
      </c>
      <c r="G543" s="284">
        <f t="shared" si="57"/>
        <v>25</v>
      </c>
      <c r="H543" s="286">
        <f>Table13[[#This Row],[Product Option]]</f>
        <v>0</v>
      </c>
      <c r="I543" s="284">
        <f>IF(AND($A543="Main Member",Table2[[#This Row],[Product Option]]="My Value Plus Life"),"MM_LIFE",
IF(AND($A543="Spouse",Table2[[#This Row],[Product Option]]="My Value Plus Life"),"SP_LIFE",
IF(AND($A543="Main Member",Table2[[#This Row],[Product Option]]="My Value Plus Life &amp; Funeral"),"MM_LIFE",
IF(AND($A543="Spouse",Table2[[#This Row],[Product Option]]="My Value Plus Life &amp; Funeral"),_xlfn.XLOOKUP(Table2[[#This Row],[Benefit Name]],Lookups!$D$18:$D$23,Lookups!$E$18:$E$23,0),
0))))</f>
        <v>0</v>
      </c>
      <c r="J543" s="284">
        <f>IF($I543="","",
IF($I543="MM_LIFE",INDEX('Quotation Tool'!$S$54:$V$60,MATCH($T543,'Quotation Tool'!$S$54:$S$60,0),4),
IF($I543="SP_LIFE",_xlfn.XLOOKUP(B542,$B:$B,$J:$J,0),0)))</f>
        <v>0</v>
      </c>
      <c r="K543" s="287">
        <f t="shared" ca="1" si="61"/>
        <v>0</v>
      </c>
      <c r="L543" s="288">
        <f t="shared" ca="1" si="62"/>
        <v>0</v>
      </c>
      <c r="M543" s="289">
        <f t="shared" ca="1" si="58"/>
        <v>0</v>
      </c>
      <c r="N543" s="286">
        <f>Table13[[#This Row],[Benefit Option]]</f>
        <v>0</v>
      </c>
      <c r="O543" s="284">
        <f>IF(OR(Table2[[#This Row],[Member Type]]="Spouse",Table2[[#This Row],[Member Type]]="Child"),0,
IF(_xlfn.XLOOKUP($N543,Lookups!$D$13:$D$27,Lookups!$F$13:$F$27,0)=Table2[[#This Row],[Table Lookup for Life Cover]],0,
_xlfn.XLOOKUP($N543,Lookups!$D$13:$D$27,Lookups!$F$13:$F$27,0)))</f>
        <v>0</v>
      </c>
      <c r="P543" s="284">
        <f>IF(Table2[[#This Row],[Table Lookup for Funeral]]=0,0,IFERROR(INDEX('Quotation Tool'!$S$54:$V$60,MATCH($T543,'Quotation Tool'!$S$54:$S$60,0),3),0))</f>
        <v>0</v>
      </c>
      <c r="Q543" s="288">
        <f ca="1">IF(OR(Table2[[#This Row],[Benefit Name]]="My Value Plus Life - Main Member",Table2[[#This Row],[Benefit Name]]="My Value Plus Life - Spouse"),0,
IFERROR(VLOOKUP($G543,INDIRECT($O543),$P543,FALSE),0))</f>
        <v>0</v>
      </c>
      <c r="R543" s="288">
        <f ca="1">IF(OR(Table2[[#This Row],[Benefit Name]]="My Value Plus Life - Main Member",Table2[[#This Row],[Benefit Name]]="My Value Plus Life - Spouse"),0,
IFERROR(VLOOKUP($G543,INDIRECT($O543),$P543+1,FALSE),0))</f>
        <v>0</v>
      </c>
      <c r="S543" s="289">
        <f t="shared" ca="1" si="59"/>
        <v>0</v>
      </c>
      <c r="T543" s="284" t="str">
        <f>IF(Table13[[#This Row],[Premium Waiver]]="","None",Table13[[#This Row],[Premium Waiver]])</f>
        <v>None</v>
      </c>
      <c r="U543" s="284">
        <f>Table13[[#This Row],[VAPs Options]]</f>
        <v>0</v>
      </c>
      <c r="V543" s="284">
        <f>Table13[[#This Row],[Annual Increase Option]]</f>
        <v>0</v>
      </c>
      <c r="W543" s="290">
        <f>Table13[[#This Row],[Life Cover Amount]]</f>
        <v>0</v>
      </c>
      <c r="X543" s="290">
        <f>Table13[[#This Row],[Funeral Cover Amount]]</f>
        <v>0</v>
      </c>
      <c r="Y54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4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43" s="301">
        <f t="shared" ca="1" si="60"/>
        <v>0</v>
      </c>
      <c r="AB543" s="298"/>
      <c r="AC543" s="326" t="str">
        <f>IF(Table2[[#This Row],[Member Type]]="Main Member",Lookups!$C$13,
IF(Table2[[#This Row],[Member Type]]="Spouse",_xlfn.XLOOKUP(B543,Table2[Main Member Link ID],Table2[Product Option],0),
IF(AND(Table2[[#This Row],[Member Type]]="Child",_xlfn.XLOOKUP(B543,Table2[Main Member Link ID],Table2[Product Option],0)&lt;&gt;"My Value Plus Life"),Lookups!$C$24,
IF(AND(OR(Table2[[#This Row],[Member Type]]="Parent",Table2[[#This Row],[Member Type]]="Extended"),_xlfn.XLOOKUP(B543,Table2[Main Member Link ID],Table2[Product Option],0)&lt;&gt;"My Value Plus Life"),Lookups!$C$26,""))))</f>
        <v/>
      </c>
      <c r="AD543" s="326" t="str">
        <f>IF(Table2[[#This Row],[Member Type]]="Main Member",Lookups!$C$14,"")</f>
        <v/>
      </c>
      <c r="AE54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Funeral",_xlfn.XLOOKUP(B543,Table2[Main Member Link ID],Table2[Benefit Name],0)=Lookups!$D$14),"",
IF(AND(Table2[[#This Row],[Member Type]]="Spouse",Table2[[#This Row],[Product Option]]="My Value Plus Life &amp; Funeral",_xlfn.XLOOKUP(B542,Table2[Main Member Link ID],Table2[Benefit Name],0)=Lookups!$D$15),Lookups!$D$20,
IF(AND(Table2[[#This Row],[Member Type]]="Spouse",Table2[[#This Row],[Product Option]]="My Value Plus Life &amp; Funeral",_xlfn.XLOOKUP(B542,Table2[Main Member Link ID],Table2[Benefit Name],0)=Lookups!$D$16),"",
IF(AND(Table2[[#This Row],[Member Type]]="Spouse",Table2[[#This Row],[Product Option]]="My Value Plus Life &amp; Funeral",_xlfn.XLOOKUP(B542,Table2[Main Member Link ID],Table2[Benefit Name],0)=Lookups!$D$17),Lookups!$D$21,
IF(AND(Table2[[#This Row],[Member Type]]="Child",Table2[[#This Row],[Product Option]]="My Value Plus Life &amp; Funeral",_xlfn.XLOOKUP(B543,Table2[Main Member Link ID],Table2[Benefit Name],0)=Lookups!$D$14),"",
IF(AND(Table2[[#This Row],[Member Type]]="Child",Table2[[#This Row],[Product Option]]="My Value Plus Life &amp; Funeral",_xlfn.XLOOKUP(B543,Table2[Main Member Link ID],Table2[Benefit Name],0)=Lookups!$D$15),"",
IF(AND(Table2[[#This Row],[Member Type]]="Child",Table2[[#This Row],[Product Option]]="My Value Plus Life &amp; Funeral",_xlfn.XLOOKUP(B543,Table2[Main Member Link ID],Table2[Benefit Name],0)=Lookups!$D$16),Lookups!$D$24,
IF(AND(Table2[[#This Row],[Member Type]]="Child",Table2[[#This Row],[Product Option]]="My Value Plus Life &amp; Funeral",_xlfn.XLOOKUP(B543,Table2[Main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Funeral",_xlfn.XLOOKUP(B543,Table2[Main Member Link ID],Table2[Benefit Name],0)&lt;&gt;Lookups!$D$14),
IF(_xlfn.XLOOKUP(B543,Table2[Main Member Link ID],Table2[Benefit Name],0)=0,"",_xlfn.XLOOKUP(B543,Table2[Main Member Link ID],Table2[Benefit Name],0)),"")))))))))))))))</f>
        <v/>
      </c>
      <c r="AF543" s="327" t="str">
        <f>IF(AND(Table2[[#This Row],[Member Type]]="Main Member",Table2[[#This Row],[Product Option]]="My Value Plus Life &amp; Funeral"),Lookups!$D$15,
IF(AND(Table2[[#This Row],[Member Type]]="Spouse",Table2[[#This Row],[Product Option]]="My Value Plus Life &amp; Funeral",_xlfn.XLOOKUP(B543,Table2[Main Member Link ID],Table2[Benefit Name],0)=Lookups!$D$14),"",
IF(AND(Table2[[#This Row],[Member Type]]="Spouse",Table2[[#This Row],[Product Option]]="My Value Plus Life &amp; Funeral",_xlfn.XLOOKUP(B542,Table2[Main Member Link ID],Table2[Benefit Name],0)=Lookups!$D$16),"",
IF(AND(Table2[[#This Row],[Member Type]]="Spouse",Table2[[#This Row],[Product Option]]="My Value Plus Life &amp; Funeral",_xlfn.XLOOKUP(B542,Table2[Main Member Link ID],Table2[Benefit Name],0)=Lookups!$D$15),"",
IF(AND(Table2[[#This Row],[Member Type]]="Spouse",Table2[[#This Row],[Product Option]]="My Value Plus Life &amp; Funeral",_xlfn.XLOOKUP(B542,Table2[Main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Funeral",_xlfn.XLOOKUP(B543,Table2[Main Member Link ID],Table2[Benefit Name],0)&lt;&gt;Lookups!$D$15),
IF(_xlfn.XLOOKUP(B543,Table2[Main Member Link ID],Table2[Benefit Name],0)=0,"",_xlfn.XLOOKUP(B543,Table2[Main Member Link ID],Table2[Benefit Name],0)),"")
))))))</f>
        <v/>
      </c>
      <c r="AG543" s="327" t="str">
        <f>IF(AND(Table2[[#This Row],[Member Type]]="Main Member",Table2[[#This Row],[Product Option]]="My Value Plus Life &amp; Funeral"),Lookups!$D$16,
IF(AND(Table2[[#This Row],[Member Type]]="Spouse",Table2[[#This Row],[Product Option]]="My Value Plus Life &amp; Funeral",_xlfn.XLOOKUP(B543,Table2[Main Member Link ID],Table2[Benefit Name],0)=Lookups!$D$14),"",
IF(AND(Table2[[#This Row],[Member Type]]="Spouse",Table2[[#This Row],[Product Option]]="My Value Plus Life &amp; Funeral",_xlfn.XLOOKUP(B542,Table2[Main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Funeral",_xlfn.XLOOKUP(B543,Table2[Main Member Link ID],Table2[Benefit Name],0)&lt;&gt;Lookups!$D$16),
IF(_xlfn.XLOOKUP(B543,Table2[Main Member Link ID],Table2[Benefit Name],0)=0,"",_xlfn.XLOOKUP(B543,Table2[Main Member Link ID],Table2[Benefit Name],0)),"")
))))</f>
        <v/>
      </c>
      <c r="AH543" s="327" t="str">
        <f>IF(AND(Table2[[#This Row],[Member Type]]="Main Member",Table2[[#This Row],[Product Option]]="My Value Plus Life &amp; Funeral"),Lookups!$D$17,
IF(AND(Table2[[#This Row],[Member Type]]="Spouse",Table2[[#This Row],[Product Option]]="My Value Plus Life &amp; Funeral",_xlfn.XLOOKUP(B543,Table2[Main Member Link ID],Table2[Benefit Name],0)=Lookups!$D$14),"",
IF(AND(Table2[[#This Row],[Member Type]]="Spouse",Table2[[#This Row],[Product Option]]="My Value Plus Life &amp; Funeral",_xlfn.XLOOKUP(B542,Table2[Main Member Link ID],Table2[Benefit Name],0)=Lookups!$D$16),"",
IF(AND(Table2[[#This Row],[Member Type]]="Child",Table2[[#This Row],[Product Option]]="My Value Plus Life &amp; Funeral"),"",
IF(AND(Table2[[#This Row],[Member Type]]="Child",Table2[[#This Row],[Product Option]]="My Value Plus Life &amp; Funeral",_xlfn.XLOOKUP(B543,Table2[Main Member Link ID],Table2[Benefit Name],0)=Lookups!$D$15),"",
IF(AND(OR(Table2[[#This Row],[Member Type]]="Spouse",Table2[[#This Row],[Member Type]]="Child"),Table2[[#This Row],[Product Option]]="My Value Plus Life &amp; Funeral",_xlfn.XLOOKUP(B543,Table2[Main Member Link ID],Table2[Benefit Name],0)&lt;&gt;Lookups!$D$17),
IF(_xlfn.XLOOKUP(B543,Table2[Main Member Link ID],Table2[Benefit Name],0)=0,"",_xlfn.XLOOKUP(B543,Table2[Main Member Link ID],Table2[Benefit Name],0)),""))))))</f>
        <v/>
      </c>
      <c r="AI543" s="328" t="str">
        <f>IF(AND(Table2[[#This Row],[Member Type]]="Main Member",Table2[[#This Row],[Table Lookup for Life Cover]]="MM_LIFE",Table2[[#This Row],[Age Next Birthday]]&lt;56),1,
IF(AND(Table2[[#This Row],[Member Type]]="Main Member",Table2[[#This Row],[Table Lookup for Life Cover]]="MM_LIFE",Table2[[#This Row],[Age Next Birthday]]&gt;=56),2,
""))</f>
        <v/>
      </c>
      <c r="AJ543" s="328">
        <f>IF(OR(Table2[[#This Row],[Member Type]]="Main Member",Table2[[#This Row],[Main Member Link ID]]=B542),1,0)</f>
        <v>1</v>
      </c>
      <c r="AK543" s="328">
        <f>IF(Table2[[#This Row],[Member Type]]=0,0,
IF(OR(Table2[[#This Row],[Member Type]]="Main Member",Table2[[#This Row],[Main Member Link ID]]&lt;&gt;B543),COUNTIFS(B:B,Table2[[#This Row],[Main Member Link ID]]),
COUNTIFS(B:B,Table2[[#This Row],[Main Member Link ID]],A:A,Table2[[#This Row],[Member Type]])))</f>
        <v>0</v>
      </c>
    </row>
    <row r="544" spans="1:37" x14ac:dyDescent="0.3">
      <c r="A544" s="284">
        <f>Table13[[#This Row],[Member Type]]</f>
        <v>0</v>
      </c>
      <c r="B544" s="284">
        <f>Table13[[#This Row],[Main Member Link ID]]</f>
        <v>0</v>
      </c>
      <c r="C544" s="284">
        <f>Table13[[#This Row],[ID Number]]</f>
        <v>0</v>
      </c>
      <c r="D544" s="285">
        <f>Table13[[#This Row],[Date Of Birth]]</f>
        <v>0</v>
      </c>
      <c r="E544" s="285">
        <f>Table13[[#This Row],[Commencement Date]]</f>
        <v>0</v>
      </c>
      <c r="F544" s="284">
        <f t="shared" si="56"/>
        <v>1</v>
      </c>
      <c r="G544" s="284">
        <f t="shared" si="57"/>
        <v>25</v>
      </c>
      <c r="H544" s="286">
        <f>Table13[[#This Row],[Product Option]]</f>
        <v>0</v>
      </c>
      <c r="I544" s="284">
        <f>IF(AND($A544="Main Member",Table2[[#This Row],[Product Option]]="My Value Plus Life"),"MM_LIFE",
IF(AND($A544="Spouse",Table2[[#This Row],[Product Option]]="My Value Plus Life"),"SP_LIFE",
IF(AND($A544="Main Member",Table2[[#This Row],[Product Option]]="My Value Plus Life &amp; Funeral"),"MM_LIFE",
IF(AND($A544="Spouse",Table2[[#This Row],[Product Option]]="My Value Plus Life &amp; Funeral"),_xlfn.XLOOKUP(Table2[[#This Row],[Benefit Name]],Lookups!$D$18:$D$23,Lookups!$E$18:$E$23,0),
0))))</f>
        <v>0</v>
      </c>
      <c r="J544" s="284">
        <f>IF($I544="","",
IF($I544="MM_LIFE",INDEX('Quotation Tool'!$S$54:$V$60,MATCH($T544,'Quotation Tool'!$S$54:$S$60,0),4),
IF($I544="SP_LIFE",_xlfn.XLOOKUP(B543,$B:$B,$J:$J,0),0)))</f>
        <v>0</v>
      </c>
      <c r="K544" s="287">
        <f t="shared" ca="1" si="61"/>
        <v>0</v>
      </c>
      <c r="L544" s="288">
        <f t="shared" ca="1" si="62"/>
        <v>0</v>
      </c>
      <c r="M544" s="289">
        <f t="shared" ca="1" si="58"/>
        <v>0</v>
      </c>
      <c r="N544" s="286">
        <f>Table13[[#This Row],[Benefit Option]]</f>
        <v>0</v>
      </c>
      <c r="O544" s="284">
        <f>IF(OR(Table2[[#This Row],[Member Type]]="Spouse",Table2[[#This Row],[Member Type]]="Child"),0,
IF(_xlfn.XLOOKUP($N544,Lookups!$D$13:$D$27,Lookups!$F$13:$F$27,0)=Table2[[#This Row],[Table Lookup for Life Cover]],0,
_xlfn.XLOOKUP($N544,Lookups!$D$13:$D$27,Lookups!$F$13:$F$27,0)))</f>
        <v>0</v>
      </c>
      <c r="P544" s="284">
        <f>IF(Table2[[#This Row],[Table Lookup for Funeral]]=0,0,IFERROR(INDEX('Quotation Tool'!$S$54:$V$60,MATCH($T544,'Quotation Tool'!$S$54:$S$60,0),3),0))</f>
        <v>0</v>
      </c>
      <c r="Q544" s="288">
        <f ca="1">IF(OR(Table2[[#This Row],[Benefit Name]]="My Value Plus Life - Main Member",Table2[[#This Row],[Benefit Name]]="My Value Plus Life - Spouse"),0,
IFERROR(VLOOKUP($G544,INDIRECT($O544),$P544,FALSE),0))</f>
        <v>0</v>
      </c>
      <c r="R544" s="288">
        <f ca="1">IF(OR(Table2[[#This Row],[Benefit Name]]="My Value Plus Life - Main Member",Table2[[#This Row],[Benefit Name]]="My Value Plus Life - Spouse"),0,
IFERROR(VLOOKUP($G544,INDIRECT($O544),$P544+1,FALSE),0))</f>
        <v>0</v>
      </c>
      <c r="S544" s="289">
        <f t="shared" ca="1" si="59"/>
        <v>0</v>
      </c>
      <c r="T544" s="284" t="str">
        <f>IF(Table13[[#This Row],[Premium Waiver]]="","None",Table13[[#This Row],[Premium Waiver]])</f>
        <v>None</v>
      </c>
      <c r="U544" s="284">
        <f>Table13[[#This Row],[VAPs Options]]</f>
        <v>0</v>
      </c>
      <c r="V544" s="284">
        <f>Table13[[#This Row],[Annual Increase Option]]</f>
        <v>0</v>
      </c>
      <c r="W544" s="290">
        <f>Table13[[#This Row],[Life Cover Amount]]</f>
        <v>0</v>
      </c>
      <c r="X544" s="290">
        <f>Table13[[#This Row],[Funeral Cover Amount]]</f>
        <v>0</v>
      </c>
      <c r="Y54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4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44" s="301">
        <f t="shared" ca="1" si="60"/>
        <v>0</v>
      </c>
      <c r="AB544" s="298"/>
      <c r="AC544" s="326" t="str">
        <f>IF(Table2[[#This Row],[Member Type]]="Main Member",Lookups!$C$13,
IF(Table2[[#This Row],[Member Type]]="Spouse",_xlfn.XLOOKUP(B544,Table2[Main Member Link ID],Table2[Product Option],0),
IF(AND(Table2[[#This Row],[Member Type]]="Child",_xlfn.XLOOKUP(B544,Table2[Main Member Link ID],Table2[Product Option],0)&lt;&gt;"My Value Plus Life"),Lookups!$C$24,
IF(AND(OR(Table2[[#This Row],[Member Type]]="Parent",Table2[[#This Row],[Member Type]]="Extended"),_xlfn.XLOOKUP(B544,Table2[Main Member Link ID],Table2[Product Option],0)&lt;&gt;"My Value Plus Life"),Lookups!$C$26,""))))</f>
        <v/>
      </c>
      <c r="AD544" s="326" t="str">
        <f>IF(Table2[[#This Row],[Member Type]]="Main Member",Lookups!$C$14,"")</f>
        <v/>
      </c>
      <c r="AE54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Funeral",_xlfn.XLOOKUP(B544,Table2[Main Member Link ID],Table2[Benefit Name],0)=Lookups!$D$14),"",
IF(AND(Table2[[#This Row],[Member Type]]="Spouse",Table2[[#This Row],[Product Option]]="My Value Plus Life &amp; Funeral",_xlfn.XLOOKUP(B543,Table2[Main Member Link ID],Table2[Benefit Name],0)=Lookups!$D$15),Lookups!$D$20,
IF(AND(Table2[[#This Row],[Member Type]]="Spouse",Table2[[#This Row],[Product Option]]="My Value Plus Life &amp; Funeral",_xlfn.XLOOKUP(B543,Table2[Main Member Link ID],Table2[Benefit Name],0)=Lookups!$D$16),"",
IF(AND(Table2[[#This Row],[Member Type]]="Spouse",Table2[[#This Row],[Product Option]]="My Value Plus Life &amp; Funeral",_xlfn.XLOOKUP(B543,Table2[Main Member Link ID],Table2[Benefit Name],0)=Lookups!$D$17),Lookups!$D$21,
IF(AND(Table2[[#This Row],[Member Type]]="Child",Table2[[#This Row],[Product Option]]="My Value Plus Life &amp; Funeral",_xlfn.XLOOKUP(B544,Table2[Main Member Link ID],Table2[Benefit Name],0)=Lookups!$D$14),"",
IF(AND(Table2[[#This Row],[Member Type]]="Child",Table2[[#This Row],[Product Option]]="My Value Plus Life &amp; Funeral",_xlfn.XLOOKUP(B544,Table2[Main Member Link ID],Table2[Benefit Name],0)=Lookups!$D$15),"",
IF(AND(Table2[[#This Row],[Member Type]]="Child",Table2[[#This Row],[Product Option]]="My Value Plus Life &amp; Funeral",_xlfn.XLOOKUP(B544,Table2[Main Member Link ID],Table2[Benefit Name],0)=Lookups!$D$16),Lookups!$D$24,
IF(AND(Table2[[#This Row],[Member Type]]="Child",Table2[[#This Row],[Product Option]]="My Value Plus Life &amp; Funeral",_xlfn.XLOOKUP(B544,Table2[Main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Funeral",_xlfn.XLOOKUP(B544,Table2[Main Member Link ID],Table2[Benefit Name],0)&lt;&gt;Lookups!$D$14),
IF(_xlfn.XLOOKUP(B544,Table2[Main Member Link ID],Table2[Benefit Name],0)=0,"",_xlfn.XLOOKUP(B544,Table2[Main Member Link ID],Table2[Benefit Name],0)),"")))))))))))))))</f>
        <v/>
      </c>
      <c r="AF544" s="327" t="str">
        <f>IF(AND(Table2[[#This Row],[Member Type]]="Main Member",Table2[[#This Row],[Product Option]]="My Value Plus Life &amp; Funeral"),Lookups!$D$15,
IF(AND(Table2[[#This Row],[Member Type]]="Spouse",Table2[[#This Row],[Product Option]]="My Value Plus Life &amp; Funeral",_xlfn.XLOOKUP(B544,Table2[Main Member Link ID],Table2[Benefit Name],0)=Lookups!$D$14),"",
IF(AND(Table2[[#This Row],[Member Type]]="Spouse",Table2[[#This Row],[Product Option]]="My Value Plus Life &amp; Funeral",_xlfn.XLOOKUP(B543,Table2[Main Member Link ID],Table2[Benefit Name],0)=Lookups!$D$16),"",
IF(AND(Table2[[#This Row],[Member Type]]="Spouse",Table2[[#This Row],[Product Option]]="My Value Plus Life &amp; Funeral",_xlfn.XLOOKUP(B543,Table2[Main Member Link ID],Table2[Benefit Name],0)=Lookups!$D$15),"",
IF(AND(Table2[[#This Row],[Member Type]]="Spouse",Table2[[#This Row],[Product Option]]="My Value Plus Life &amp; Funeral",_xlfn.XLOOKUP(B543,Table2[Main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Funeral",_xlfn.XLOOKUP(B544,Table2[Main Member Link ID],Table2[Benefit Name],0)&lt;&gt;Lookups!$D$15),
IF(_xlfn.XLOOKUP(B544,Table2[Main Member Link ID],Table2[Benefit Name],0)=0,"",_xlfn.XLOOKUP(B544,Table2[Main Member Link ID],Table2[Benefit Name],0)),"")
))))))</f>
        <v/>
      </c>
      <c r="AG544" s="327" t="str">
        <f>IF(AND(Table2[[#This Row],[Member Type]]="Main Member",Table2[[#This Row],[Product Option]]="My Value Plus Life &amp; Funeral"),Lookups!$D$16,
IF(AND(Table2[[#This Row],[Member Type]]="Spouse",Table2[[#This Row],[Product Option]]="My Value Plus Life &amp; Funeral",_xlfn.XLOOKUP(B544,Table2[Main Member Link ID],Table2[Benefit Name],0)=Lookups!$D$14),"",
IF(AND(Table2[[#This Row],[Member Type]]="Spouse",Table2[[#This Row],[Product Option]]="My Value Plus Life &amp; Funeral",_xlfn.XLOOKUP(B543,Table2[Main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Funeral",_xlfn.XLOOKUP(B544,Table2[Main Member Link ID],Table2[Benefit Name],0)&lt;&gt;Lookups!$D$16),
IF(_xlfn.XLOOKUP(B544,Table2[Main Member Link ID],Table2[Benefit Name],0)=0,"",_xlfn.XLOOKUP(B544,Table2[Main Member Link ID],Table2[Benefit Name],0)),"")
))))</f>
        <v/>
      </c>
      <c r="AH544" s="327" t="str">
        <f>IF(AND(Table2[[#This Row],[Member Type]]="Main Member",Table2[[#This Row],[Product Option]]="My Value Plus Life &amp; Funeral"),Lookups!$D$17,
IF(AND(Table2[[#This Row],[Member Type]]="Spouse",Table2[[#This Row],[Product Option]]="My Value Plus Life &amp; Funeral",_xlfn.XLOOKUP(B544,Table2[Main Member Link ID],Table2[Benefit Name],0)=Lookups!$D$14),"",
IF(AND(Table2[[#This Row],[Member Type]]="Spouse",Table2[[#This Row],[Product Option]]="My Value Plus Life &amp; Funeral",_xlfn.XLOOKUP(B543,Table2[Main Member Link ID],Table2[Benefit Name],0)=Lookups!$D$16),"",
IF(AND(Table2[[#This Row],[Member Type]]="Child",Table2[[#This Row],[Product Option]]="My Value Plus Life &amp; Funeral"),"",
IF(AND(Table2[[#This Row],[Member Type]]="Child",Table2[[#This Row],[Product Option]]="My Value Plus Life &amp; Funeral",_xlfn.XLOOKUP(B544,Table2[Main Member Link ID],Table2[Benefit Name],0)=Lookups!$D$15),"",
IF(AND(OR(Table2[[#This Row],[Member Type]]="Spouse",Table2[[#This Row],[Member Type]]="Child"),Table2[[#This Row],[Product Option]]="My Value Plus Life &amp; Funeral",_xlfn.XLOOKUP(B544,Table2[Main Member Link ID],Table2[Benefit Name],0)&lt;&gt;Lookups!$D$17),
IF(_xlfn.XLOOKUP(B544,Table2[Main Member Link ID],Table2[Benefit Name],0)=0,"",_xlfn.XLOOKUP(B544,Table2[Main Member Link ID],Table2[Benefit Name],0)),""))))))</f>
        <v/>
      </c>
      <c r="AI544" s="328" t="str">
        <f>IF(AND(Table2[[#This Row],[Member Type]]="Main Member",Table2[[#This Row],[Table Lookup for Life Cover]]="MM_LIFE",Table2[[#This Row],[Age Next Birthday]]&lt;56),1,
IF(AND(Table2[[#This Row],[Member Type]]="Main Member",Table2[[#This Row],[Table Lookup for Life Cover]]="MM_LIFE",Table2[[#This Row],[Age Next Birthday]]&gt;=56),2,
""))</f>
        <v/>
      </c>
      <c r="AJ544" s="328">
        <f>IF(OR(Table2[[#This Row],[Member Type]]="Main Member",Table2[[#This Row],[Main Member Link ID]]=B543),1,0)</f>
        <v>1</v>
      </c>
      <c r="AK544" s="328">
        <f>IF(Table2[[#This Row],[Member Type]]=0,0,
IF(OR(Table2[[#This Row],[Member Type]]="Main Member",Table2[[#This Row],[Main Member Link ID]]&lt;&gt;B544),COUNTIFS(B:B,Table2[[#This Row],[Main Member Link ID]]),
COUNTIFS(B:B,Table2[[#This Row],[Main Member Link ID]],A:A,Table2[[#This Row],[Member Type]])))</f>
        <v>0</v>
      </c>
    </row>
    <row r="545" spans="1:37" x14ac:dyDescent="0.3">
      <c r="A545" s="284">
        <f>Table13[[#This Row],[Member Type]]</f>
        <v>0</v>
      </c>
      <c r="B545" s="284">
        <f>Table13[[#This Row],[Main Member Link ID]]</f>
        <v>0</v>
      </c>
      <c r="C545" s="284">
        <f>Table13[[#This Row],[ID Number]]</f>
        <v>0</v>
      </c>
      <c r="D545" s="285">
        <f>Table13[[#This Row],[Date Of Birth]]</f>
        <v>0</v>
      </c>
      <c r="E545" s="285">
        <f>Table13[[#This Row],[Commencement Date]]</f>
        <v>0</v>
      </c>
      <c r="F545" s="284">
        <f t="shared" si="56"/>
        <v>1</v>
      </c>
      <c r="G545" s="284">
        <f t="shared" si="57"/>
        <v>25</v>
      </c>
      <c r="H545" s="286">
        <f>Table13[[#This Row],[Product Option]]</f>
        <v>0</v>
      </c>
      <c r="I545" s="284">
        <f>IF(AND($A545="Main Member",Table2[[#This Row],[Product Option]]="My Value Plus Life"),"MM_LIFE",
IF(AND($A545="Spouse",Table2[[#This Row],[Product Option]]="My Value Plus Life"),"SP_LIFE",
IF(AND($A545="Main Member",Table2[[#This Row],[Product Option]]="My Value Plus Life &amp; Funeral"),"MM_LIFE",
IF(AND($A545="Spouse",Table2[[#This Row],[Product Option]]="My Value Plus Life &amp; Funeral"),_xlfn.XLOOKUP(Table2[[#This Row],[Benefit Name]],Lookups!$D$18:$D$23,Lookups!$E$18:$E$23,0),
0))))</f>
        <v>0</v>
      </c>
      <c r="J545" s="284">
        <f>IF($I545="","",
IF($I545="MM_LIFE",INDEX('Quotation Tool'!$S$54:$V$60,MATCH($T545,'Quotation Tool'!$S$54:$S$60,0),4),
IF($I545="SP_LIFE",_xlfn.XLOOKUP(B544,$B:$B,$J:$J,0),0)))</f>
        <v>0</v>
      </c>
      <c r="K545" s="287">
        <f t="shared" ca="1" si="61"/>
        <v>0</v>
      </c>
      <c r="L545" s="288">
        <f t="shared" ca="1" si="62"/>
        <v>0</v>
      </c>
      <c r="M545" s="289">
        <f t="shared" ca="1" si="58"/>
        <v>0</v>
      </c>
      <c r="N545" s="286">
        <f>Table13[[#This Row],[Benefit Option]]</f>
        <v>0</v>
      </c>
      <c r="O545" s="284">
        <f>IF(OR(Table2[[#This Row],[Member Type]]="Spouse",Table2[[#This Row],[Member Type]]="Child"),0,
IF(_xlfn.XLOOKUP($N545,Lookups!$D$13:$D$27,Lookups!$F$13:$F$27,0)=Table2[[#This Row],[Table Lookup for Life Cover]],0,
_xlfn.XLOOKUP($N545,Lookups!$D$13:$D$27,Lookups!$F$13:$F$27,0)))</f>
        <v>0</v>
      </c>
      <c r="P545" s="284">
        <f>IF(Table2[[#This Row],[Table Lookup for Funeral]]=0,0,IFERROR(INDEX('Quotation Tool'!$S$54:$V$60,MATCH($T545,'Quotation Tool'!$S$54:$S$60,0),3),0))</f>
        <v>0</v>
      </c>
      <c r="Q545" s="288">
        <f ca="1">IF(OR(Table2[[#This Row],[Benefit Name]]="My Value Plus Life - Main Member",Table2[[#This Row],[Benefit Name]]="My Value Plus Life - Spouse"),0,
IFERROR(VLOOKUP($G545,INDIRECT($O545),$P545,FALSE),0))</f>
        <v>0</v>
      </c>
      <c r="R545" s="288">
        <f ca="1">IF(OR(Table2[[#This Row],[Benefit Name]]="My Value Plus Life - Main Member",Table2[[#This Row],[Benefit Name]]="My Value Plus Life - Spouse"),0,
IFERROR(VLOOKUP($G545,INDIRECT($O545),$P545+1,FALSE),0))</f>
        <v>0</v>
      </c>
      <c r="S545" s="289">
        <f t="shared" ca="1" si="59"/>
        <v>0</v>
      </c>
      <c r="T545" s="284" t="str">
        <f>IF(Table13[[#This Row],[Premium Waiver]]="","None",Table13[[#This Row],[Premium Waiver]])</f>
        <v>None</v>
      </c>
      <c r="U545" s="284">
        <f>Table13[[#This Row],[VAPs Options]]</f>
        <v>0</v>
      </c>
      <c r="V545" s="284">
        <f>Table13[[#This Row],[Annual Increase Option]]</f>
        <v>0</v>
      </c>
      <c r="W545" s="290">
        <f>Table13[[#This Row],[Life Cover Amount]]</f>
        <v>0</v>
      </c>
      <c r="X545" s="290">
        <f>Table13[[#This Row],[Funeral Cover Amount]]</f>
        <v>0</v>
      </c>
      <c r="Y54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4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45" s="301">
        <f t="shared" ca="1" si="60"/>
        <v>0</v>
      </c>
      <c r="AB545" s="298"/>
      <c r="AC545" s="326" t="str">
        <f>IF(Table2[[#This Row],[Member Type]]="Main Member",Lookups!$C$13,
IF(Table2[[#This Row],[Member Type]]="Spouse",_xlfn.XLOOKUP(B545,Table2[Main Member Link ID],Table2[Product Option],0),
IF(AND(Table2[[#This Row],[Member Type]]="Child",_xlfn.XLOOKUP(B545,Table2[Main Member Link ID],Table2[Product Option],0)&lt;&gt;"My Value Plus Life"),Lookups!$C$24,
IF(AND(OR(Table2[[#This Row],[Member Type]]="Parent",Table2[[#This Row],[Member Type]]="Extended"),_xlfn.XLOOKUP(B545,Table2[Main Member Link ID],Table2[Product Option],0)&lt;&gt;"My Value Plus Life"),Lookups!$C$26,""))))</f>
        <v/>
      </c>
      <c r="AD545" s="326" t="str">
        <f>IF(Table2[[#This Row],[Member Type]]="Main Member",Lookups!$C$14,"")</f>
        <v/>
      </c>
      <c r="AE54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Funeral",_xlfn.XLOOKUP(B545,Table2[Main Member Link ID],Table2[Benefit Name],0)=Lookups!$D$14),"",
IF(AND(Table2[[#This Row],[Member Type]]="Spouse",Table2[[#This Row],[Product Option]]="My Value Plus Life &amp; Funeral",_xlfn.XLOOKUP(B544,Table2[Main Member Link ID],Table2[Benefit Name],0)=Lookups!$D$15),Lookups!$D$20,
IF(AND(Table2[[#This Row],[Member Type]]="Spouse",Table2[[#This Row],[Product Option]]="My Value Plus Life &amp; Funeral",_xlfn.XLOOKUP(B544,Table2[Main Member Link ID],Table2[Benefit Name],0)=Lookups!$D$16),"",
IF(AND(Table2[[#This Row],[Member Type]]="Spouse",Table2[[#This Row],[Product Option]]="My Value Plus Life &amp; Funeral",_xlfn.XLOOKUP(B544,Table2[Main Member Link ID],Table2[Benefit Name],0)=Lookups!$D$17),Lookups!$D$21,
IF(AND(Table2[[#This Row],[Member Type]]="Child",Table2[[#This Row],[Product Option]]="My Value Plus Life &amp; Funeral",_xlfn.XLOOKUP(B545,Table2[Main Member Link ID],Table2[Benefit Name],0)=Lookups!$D$14),"",
IF(AND(Table2[[#This Row],[Member Type]]="Child",Table2[[#This Row],[Product Option]]="My Value Plus Life &amp; Funeral",_xlfn.XLOOKUP(B545,Table2[Main Member Link ID],Table2[Benefit Name],0)=Lookups!$D$15),"",
IF(AND(Table2[[#This Row],[Member Type]]="Child",Table2[[#This Row],[Product Option]]="My Value Plus Life &amp; Funeral",_xlfn.XLOOKUP(B545,Table2[Main Member Link ID],Table2[Benefit Name],0)=Lookups!$D$16),Lookups!$D$24,
IF(AND(Table2[[#This Row],[Member Type]]="Child",Table2[[#This Row],[Product Option]]="My Value Plus Life &amp; Funeral",_xlfn.XLOOKUP(B545,Table2[Main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Funeral",_xlfn.XLOOKUP(B545,Table2[Main Member Link ID],Table2[Benefit Name],0)&lt;&gt;Lookups!$D$14),
IF(_xlfn.XLOOKUP(B545,Table2[Main Member Link ID],Table2[Benefit Name],0)=0,"",_xlfn.XLOOKUP(B545,Table2[Main Member Link ID],Table2[Benefit Name],0)),"")))))))))))))))</f>
        <v/>
      </c>
      <c r="AF545" s="327" t="str">
        <f>IF(AND(Table2[[#This Row],[Member Type]]="Main Member",Table2[[#This Row],[Product Option]]="My Value Plus Life &amp; Funeral"),Lookups!$D$15,
IF(AND(Table2[[#This Row],[Member Type]]="Spouse",Table2[[#This Row],[Product Option]]="My Value Plus Life &amp; Funeral",_xlfn.XLOOKUP(B545,Table2[Main Member Link ID],Table2[Benefit Name],0)=Lookups!$D$14),"",
IF(AND(Table2[[#This Row],[Member Type]]="Spouse",Table2[[#This Row],[Product Option]]="My Value Plus Life &amp; Funeral",_xlfn.XLOOKUP(B544,Table2[Main Member Link ID],Table2[Benefit Name],0)=Lookups!$D$16),"",
IF(AND(Table2[[#This Row],[Member Type]]="Spouse",Table2[[#This Row],[Product Option]]="My Value Plus Life &amp; Funeral",_xlfn.XLOOKUP(B544,Table2[Main Member Link ID],Table2[Benefit Name],0)=Lookups!$D$15),"",
IF(AND(Table2[[#This Row],[Member Type]]="Spouse",Table2[[#This Row],[Product Option]]="My Value Plus Life &amp; Funeral",_xlfn.XLOOKUP(B544,Table2[Main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Funeral",_xlfn.XLOOKUP(B545,Table2[Main Member Link ID],Table2[Benefit Name],0)&lt;&gt;Lookups!$D$15),
IF(_xlfn.XLOOKUP(B545,Table2[Main Member Link ID],Table2[Benefit Name],0)=0,"",_xlfn.XLOOKUP(B545,Table2[Main Member Link ID],Table2[Benefit Name],0)),"")
))))))</f>
        <v/>
      </c>
      <c r="AG545" s="327" t="str">
        <f>IF(AND(Table2[[#This Row],[Member Type]]="Main Member",Table2[[#This Row],[Product Option]]="My Value Plus Life &amp; Funeral"),Lookups!$D$16,
IF(AND(Table2[[#This Row],[Member Type]]="Spouse",Table2[[#This Row],[Product Option]]="My Value Plus Life &amp; Funeral",_xlfn.XLOOKUP(B545,Table2[Main Member Link ID],Table2[Benefit Name],0)=Lookups!$D$14),"",
IF(AND(Table2[[#This Row],[Member Type]]="Spouse",Table2[[#This Row],[Product Option]]="My Value Plus Life &amp; Funeral",_xlfn.XLOOKUP(B544,Table2[Main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Funeral",_xlfn.XLOOKUP(B545,Table2[Main Member Link ID],Table2[Benefit Name],0)&lt;&gt;Lookups!$D$16),
IF(_xlfn.XLOOKUP(B545,Table2[Main Member Link ID],Table2[Benefit Name],0)=0,"",_xlfn.XLOOKUP(B545,Table2[Main Member Link ID],Table2[Benefit Name],0)),"")
))))</f>
        <v/>
      </c>
      <c r="AH545" s="327" t="str">
        <f>IF(AND(Table2[[#This Row],[Member Type]]="Main Member",Table2[[#This Row],[Product Option]]="My Value Plus Life &amp; Funeral"),Lookups!$D$17,
IF(AND(Table2[[#This Row],[Member Type]]="Spouse",Table2[[#This Row],[Product Option]]="My Value Plus Life &amp; Funeral",_xlfn.XLOOKUP(B545,Table2[Main Member Link ID],Table2[Benefit Name],0)=Lookups!$D$14),"",
IF(AND(Table2[[#This Row],[Member Type]]="Spouse",Table2[[#This Row],[Product Option]]="My Value Plus Life &amp; Funeral",_xlfn.XLOOKUP(B544,Table2[Main Member Link ID],Table2[Benefit Name],0)=Lookups!$D$16),"",
IF(AND(Table2[[#This Row],[Member Type]]="Child",Table2[[#This Row],[Product Option]]="My Value Plus Life &amp; Funeral"),"",
IF(AND(Table2[[#This Row],[Member Type]]="Child",Table2[[#This Row],[Product Option]]="My Value Plus Life &amp; Funeral",_xlfn.XLOOKUP(B545,Table2[Main Member Link ID],Table2[Benefit Name],0)=Lookups!$D$15),"",
IF(AND(OR(Table2[[#This Row],[Member Type]]="Spouse",Table2[[#This Row],[Member Type]]="Child"),Table2[[#This Row],[Product Option]]="My Value Plus Life &amp; Funeral",_xlfn.XLOOKUP(B545,Table2[Main Member Link ID],Table2[Benefit Name],0)&lt;&gt;Lookups!$D$17),
IF(_xlfn.XLOOKUP(B545,Table2[Main Member Link ID],Table2[Benefit Name],0)=0,"",_xlfn.XLOOKUP(B545,Table2[Main Member Link ID],Table2[Benefit Name],0)),""))))))</f>
        <v/>
      </c>
      <c r="AI545" s="328" t="str">
        <f>IF(AND(Table2[[#This Row],[Member Type]]="Main Member",Table2[[#This Row],[Table Lookup for Life Cover]]="MM_LIFE",Table2[[#This Row],[Age Next Birthday]]&lt;56),1,
IF(AND(Table2[[#This Row],[Member Type]]="Main Member",Table2[[#This Row],[Table Lookup for Life Cover]]="MM_LIFE",Table2[[#This Row],[Age Next Birthday]]&gt;=56),2,
""))</f>
        <v/>
      </c>
      <c r="AJ545" s="328">
        <f>IF(OR(Table2[[#This Row],[Member Type]]="Main Member",Table2[[#This Row],[Main Member Link ID]]=B544),1,0)</f>
        <v>1</v>
      </c>
      <c r="AK545" s="328">
        <f>IF(Table2[[#This Row],[Member Type]]=0,0,
IF(OR(Table2[[#This Row],[Member Type]]="Main Member",Table2[[#This Row],[Main Member Link ID]]&lt;&gt;B545),COUNTIFS(B:B,Table2[[#This Row],[Main Member Link ID]]),
COUNTIFS(B:B,Table2[[#This Row],[Main Member Link ID]],A:A,Table2[[#This Row],[Member Type]])))</f>
        <v>0</v>
      </c>
    </row>
    <row r="546" spans="1:37" x14ac:dyDescent="0.3">
      <c r="A546" s="284">
        <f>Table13[[#This Row],[Member Type]]</f>
        <v>0</v>
      </c>
      <c r="B546" s="284">
        <f>Table13[[#This Row],[Main Member Link ID]]</f>
        <v>0</v>
      </c>
      <c r="C546" s="284">
        <f>Table13[[#This Row],[ID Number]]</f>
        <v>0</v>
      </c>
      <c r="D546" s="285">
        <f>Table13[[#This Row],[Date Of Birth]]</f>
        <v>0</v>
      </c>
      <c r="E546" s="285">
        <f>Table13[[#This Row],[Commencement Date]]</f>
        <v>0</v>
      </c>
      <c r="F546" s="284">
        <f t="shared" si="56"/>
        <v>1</v>
      </c>
      <c r="G546" s="284">
        <f t="shared" si="57"/>
        <v>25</v>
      </c>
      <c r="H546" s="286">
        <f>Table13[[#This Row],[Product Option]]</f>
        <v>0</v>
      </c>
      <c r="I546" s="284">
        <f>IF(AND($A546="Main Member",Table2[[#This Row],[Product Option]]="My Value Plus Life"),"MM_LIFE",
IF(AND($A546="Spouse",Table2[[#This Row],[Product Option]]="My Value Plus Life"),"SP_LIFE",
IF(AND($A546="Main Member",Table2[[#This Row],[Product Option]]="My Value Plus Life &amp; Funeral"),"MM_LIFE",
IF(AND($A546="Spouse",Table2[[#This Row],[Product Option]]="My Value Plus Life &amp; Funeral"),_xlfn.XLOOKUP(Table2[[#This Row],[Benefit Name]],Lookups!$D$18:$D$23,Lookups!$E$18:$E$23,0),
0))))</f>
        <v>0</v>
      </c>
      <c r="J546" s="284">
        <f>IF($I546="","",
IF($I546="MM_LIFE",INDEX('Quotation Tool'!$S$54:$V$60,MATCH($T546,'Quotation Tool'!$S$54:$S$60,0),4),
IF($I546="SP_LIFE",_xlfn.XLOOKUP(B545,$B:$B,$J:$J,0),0)))</f>
        <v>0</v>
      </c>
      <c r="K546" s="287">
        <f t="shared" ca="1" si="61"/>
        <v>0</v>
      </c>
      <c r="L546" s="288">
        <f t="shared" ca="1" si="62"/>
        <v>0</v>
      </c>
      <c r="M546" s="289">
        <f t="shared" ca="1" si="58"/>
        <v>0</v>
      </c>
      <c r="N546" s="286">
        <f>Table13[[#This Row],[Benefit Option]]</f>
        <v>0</v>
      </c>
      <c r="O546" s="284">
        <f>IF(OR(Table2[[#This Row],[Member Type]]="Spouse",Table2[[#This Row],[Member Type]]="Child"),0,
IF(_xlfn.XLOOKUP($N546,Lookups!$D$13:$D$27,Lookups!$F$13:$F$27,0)=Table2[[#This Row],[Table Lookup for Life Cover]],0,
_xlfn.XLOOKUP($N546,Lookups!$D$13:$D$27,Lookups!$F$13:$F$27,0)))</f>
        <v>0</v>
      </c>
      <c r="P546" s="284">
        <f>IF(Table2[[#This Row],[Table Lookup for Funeral]]=0,0,IFERROR(INDEX('Quotation Tool'!$S$54:$V$60,MATCH($T546,'Quotation Tool'!$S$54:$S$60,0),3),0))</f>
        <v>0</v>
      </c>
      <c r="Q546" s="288">
        <f ca="1">IF(OR(Table2[[#This Row],[Benefit Name]]="My Value Plus Life - Main Member",Table2[[#This Row],[Benefit Name]]="My Value Plus Life - Spouse"),0,
IFERROR(VLOOKUP($G546,INDIRECT($O546),$P546,FALSE),0))</f>
        <v>0</v>
      </c>
      <c r="R546" s="288">
        <f ca="1">IF(OR(Table2[[#This Row],[Benefit Name]]="My Value Plus Life - Main Member",Table2[[#This Row],[Benefit Name]]="My Value Plus Life - Spouse"),0,
IFERROR(VLOOKUP($G546,INDIRECT($O546),$P546+1,FALSE),0))</f>
        <v>0</v>
      </c>
      <c r="S546" s="289">
        <f t="shared" ca="1" si="59"/>
        <v>0</v>
      </c>
      <c r="T546" s="284" t="str">
        <f>IF(Table13[[#This Row],[Premium Waiver]]="","None",Table13[[#This Row],[Premium Waiver]])</f>
        <v>None</v>
      </c>
      <c r="U546" s="284">
        <f>Table13[[#This Row],[VAPs Options]]</f>
        <v>0</v>
      </c>
      <c r="V546" s="284">
        <f>Table13[[#This Row],[Annual Increase Option]]</f>
        <v>0</v>
      </c>
      <c r="W546" s="290">
        <f>Table13[[#This Row],[Life Cover Amount]]</f>
        <v>0</v>
      </c>
      <c r="X546" s="290">
        <f>Table13[[#This Row],[Funeral Cover Amount]]</f>
        <v>0</v>
      </c>
      <c r="Y54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4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46" s="301">
        <f t="shared" ca="1" si="60"/>
        <v>0</v>
      </c>
      <c r="AB546" s="298"/>
      <c r="AC546" s="326" t="str">
        <f>IF(Table2[[#This Row],[Member Type]]="Main Member",Lookups!$C$13,
IF(Table2[[#This Row],[Member Type]]="Spouse",_xlfn.XLOOKUP(B546,Table2[Main Member Link ID],Table2[Product Option],0),
IF(AND(Table2[[#This Row],[Member Type]]="Child",_xlfn.XLOOKUP(B546,Table2[Main Member Link ID],Table2[Product Option],0)&lt;&gt;"My Value Plus Life"),Lookups!$C$24,
IF(AND(OR(Table2[[#This Row],[Member Type]]="Parent",Table2[[#This Row],[Member Type]]="Extended"),_xlfn.XLOOKUP(B546,Table2[Main Member Link ID],Table2[Product Option],0)&lt;&gt;"My Value Plus Life"),Lookups!$C$26,""))))</f>
        <v/>
      </c>
      <c r="AD546" s="326" t="str">
        <f>IF(Table2[[#This Row],[Member Type]]="Main Member",Lookups!$C$14,"")</f>
        <v/>
      </c>
      <c r="AE54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Funeral",_xlfn.XLOOKUP(B546,Table2[Main Member Link ID],Table2[Benefit Name],0)=Lookups!$D$14),"",
IF(AND(Table2[[#This Row],[Member Type]]="Spouse",Table2[[#This Row],[Product Option]]="My Value Plus Life &amp; Funeral",_xlfn.XLOOKUP(B545,Table2[Main Member Link ID],Table2[Benefit Name],0)=Lookups!$D$15),Lookups!$D$20,
IF(AND(Table2[[#This Row],[Member Type]]="Spouse",Table2[[#This Row],[Product Option]]="My Value Plus Life &amp; Funeral",_xlfn.XLOOKUP(B545,Table2[Main Member Link ID],Table2[Benefit Name],0)=Lookups!$D$16),"",
IF(AND(Table2[[#This Row],[Member Type]]="Spouse",Table2[[#This Row],[Product Option]]="My Value Plus Life &amp; Funeral",_xlfn.XLOOKUP(B545,Table2[Main Member Link ID],Table2[Benefit Name],0)=Lookups!$D$17),Lookups!$D$21,
IF(AND(Table2[[#This Row],[Member Type]]="Child",Table2[[#This Row],[Product Option]]="My Value Plus Life &amp; Funeral",_xlfn.XLOOKUP(B546,Table2[Main Member Link ID],Table2[Benefit Name],0)=Lookups!$D$14),"",
IF(AND(Table2[[#This Row],[Member Type]]="Child",Table2[[#This Row],[Product Option]]="My Value Plus Life &amp; Funeral",_xlfn.XLOOKUP(B546,Table2[Main Member Link ID],Table2[Benefit Name],0)=Lookups!$D$15),"",
IF(AND(Table2[[#This Row],[Member Type]]="Child",Table2[[#This Row],[Product Option]]="My Value Plus Life &amp; Funeral",_xlfn.XLOOKUP(B546,Table2[Main Member Link ID],Table2[Benefit Name],0)=Lookups!$D$16),Lookups!$D$24,
IF(AND(Table2[[#This Row],[Member Type]]="Child",Table2[[#This Row],[Product Option]]="My Value Plus Life &amp; Funeral",_xlfn.XLOOKUP(B546,Table2[Main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Funeral",_xlfn.XLOOKUP(B546,Table2[Main Member Link ID],Table2[Benefit Name],0)&lt;&gt;Lookups!$D$14),
IF(_xlfn.XLOOKUP(B546,Table2[Main Member Link ID],Table2[Benefit Name],0)=0,"",_xlfn.XLOOKUP(B546,Table2[Main Member Link ID],Table2[Benefit Name],0)),"")))))))))))))))</f>
        <v/>
      </c>
      <c r="AF546" s="327" t="str">
        <f>IF(AND(Table2[[#This Row],[Member Type]]="Main Member",Table2[[#This Row],[Product Option]]="My Value Plus Life &amp; Funeral"),Lookups!$D$15,
IF(AND(Table2[[#This Row],[Member Type]]="Spouse",Table2[[#This Row],[Product Option]]="My Value Plus Life &amp; Funeral",_xlfn.XLOOKUP(B546,Table2[Main Member Link ID],Table2[Benefit Name],0)=Lookups!$D$14),"",
IF(AND(Table2[[#This Row],[Member Type]]="Spouse",Table2[[#This Row],[Product Option]]="My Value Plus Life &amp; Funeral",_xlfn.XLOOKUP(B545,Table2[Main Member Link ID],Table2[Benefit Name],0)=Lookups!$D$16),"",
IF(AND(Table2[[#This Row],[Member Type]]="Spouse",Table2[[#This Row],[Product Option]]="My Value Plus Life &amp; Funeral",_xlfn.XLOOKUP(B545,Table2[Main Member Link ID],Table2[Benefit Name],0)=Lookups!$D$15),"",
IF(AND(Table2[[#This Row],[Member Type]]="Spouse",Table2[[#This Row],[Product Option]]="My Value Plus Life &amp; Funeral",_xlfn.XLOOKUP(B545,Table2[Main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Funeral",_xlfn.XLOOKUP(B546,Table2[Main Member Link ID],Table2[Benefit Name],0)&lt;&gt;Lookups!$D$15),
IF(_xlfn.XLOOKUP(B546,Table2[Main Member Link ID],Table2[Benefit Name],0)=0,"",_xlfn.XLOOKUP(B546,Table2[Main Member Link ID],Table2[Benefit Name],0)),"")
))))))</f>
        <v/>
      </c>
      <c r="AG546" s="327" t="str">
        <f>IF(AND(Table2[[#This Row],[Member Type]]="Main Member",Table2[[#This Row],[Product Option]]="My Value Plus Life &amp; Funeral"),Lookups!$D$16,
IF(AND(Table2[[#This Row],[Member Type]]="Spouse",Table2[[#This Row],[Product Option]]="My Value Plus Life &amp; Funeral",_xlfn.XLOOKUP(B546,Table2[Main Member Link ID],Table2[Benefit Name],0)=Lookups!$D$14),"",
IF(AND(Table2[[#This Row],[Member Type]]="Spouse",Table2[[#This Row],[Product Option]]="My Value Plus Life &amp; Funeral",_xlfn.XLOOKUP(B545,Table2[Main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Funeral",_xlfn.XLOOKUP(B546,Table2[Main Member Link ID],Table2[Benefit Name],0)&lt;&gt;Lookups!$D$16),
IF(_xlfn.XLOOKUP(B546,Table2[Main Member Link ID],Table2[Benefit Name],0)=0,"",_xlfn.XLOOKUP(B546,Table2[Main Member Link ID],Table2[Benefit Name],0)),"")
))))</f>
        <v/>
      </c>
      <c r="AH546" s="327" t="str">
        <f>IF(AND(Table2[[#This Row],[Member Type]]="Main Member",Table2[[#This Row],[Product Option]]="My Value Plus Life &amp; Funeral"),Lookups!$D$17,
IF(AND(Table2[[#This Row],[Member Type]]="Spouse",Table2[[#This Row],[Product Option]]="My Value Plus Life &amp; Funeral",_xlfn.XLOOKUP(B546,Table2[Main Member Link ID],Table2[Benefit Name],0)=Lookups!$D$14),"",
IF(AND(Table2[[#This Row],[Member Type]]="Spouse",Table2[[#This Row],[Product Option]]="My Value Plus Life &amp; Funeral",_xlfn.XLOOKUP(B545,Table2[Main Member Link ID],Table2[Benefit Name],0)=Lookups!$D$16),"",
IF(AND(Table2[[#This Row],[Member Type]]="Child",Table2[[#This Row],[Product Option]]="My Value Plus Life &amp; Funeral"),"",
IF(AND(Table2[[#This Row],[Member Type]]="Child",Table2[[#This Row],[Product Option]]="My Value Plus Life &amp; Funeral",_xlfn.XLOOKUP(B546,Table2[Main Member Link ID],Table2[Benefit Name],0)=Lookups!$D$15),"",
IF(AND(OR(Table2[[#This Row],[Member Type]]="Spouse",Table2[[#This Row],[Member Type]]="Child"),Table2[[#This Row],[Product Option]]="My Value Plus Life &amp; Funeral",_xlfn.XLOOKUP(B546,Table2[Main Member Link ID],Table2[Benefit Name],0)&lt;&gt;Lookups!$D$17),
IF(_xlfn.XLOOKUP(B546,Table2[Main Member Link ID],Table2[Benefit Name],0)=0,"",_xlfn.XLOOKUP(B546,Table2[Main Member Link ID],Table2[Benefit Name],0)),""))))))</f>
        <v/>
      </c>
      <c r="AI546" s="328" t="str">
        <f>IF(AND(Table2[[#This Row],[Member Type]]="Main Member",Table2[[#This Row],[Table Lookup for Life Cover]]="MM_LIFE",Table2[[#This Row],[Age Next Birthday]]&lt;56),1,
IF(AND(Table2[[#This Row],[Member Type]]="Main Member",Table2[[#This Row],[Table Lookup for Life Cover]]="MM_LIFE",Table2[[#This Row],[Age Next Birthday]]&gt;=56),2,
""))</f>
        <v/>
      </c>
      <c r="AJ546" s="328">
        <f>IF(OR(Table2[[#This Row],[Member Type]]="Main Member",Table2[[#This Row],[Main Member Link ID]]=B545),1,0)</f>
        <v>1</v>
      </c>
      <c r="AK546" s="328">
        <f>IF(Table2[[#This Row],[Member Type]]=0,0,
IF(OR(Table2[[#This Row],[Member Type]]="Main Member",Table2[[#This Row],[Main Member Link ID]]&lt;&gt;B546),COUNTIFS(B:B,Table2[[#This Row],[Main Member Link ID]]),
COUNTIFS(B:B,Table2[[#This Row],[Main Member Link ID]],A:A,Table2[[#This Row],[Member Type]])))</f>
        <v>0</v>
      </c>
    </row>
    <row r="547" spans="1:37" x14ac:dyDescent="0.3">
      <c r="A547" s="284">
        <f>Table13[[#This Row],[Member Type]]</f>
        <v>0</v>
      </c>
      <c r="B547" s="284">
        <f>Table13[[#This Row],[Main Member Link ID]]</f>
        <v>0</v>
      </c>
      <c r="C547" s="284">
        <f>Table13[[#This Row],[ID Number]]</f>
        <v>0</v>
      </c>
      <c r="D547" s="285">
        <f>Table13[[#This Row],[Date Of Birth]]</f>
        <v>0</v>
      </c>
      <c r="E547" s="285">
        <f>Table13[[#This Row],[Commencement Date]]</f>
        <v>0</v>
      </c>
      <c r="F547" s="284">
        <f t="shared" si="56"/>
        <v>1</v>
      </c>
      <c r="G547" s="284">
        <f t="shared" si="57"/>
        <v>25</v>
      </c>
      <c r="H547" s="286">
        <f>Table13[[#This Row],[Product Option]]</f>
        <v>0</v>
      </c>
      <c r="I547" s="284">
        <f>IF(AND($A547="Main Member",Table2[[#This Row],[Product Option]]="My Value Plus Life"),"MM_LIFE",
IF(AND($A547="Spouse",Table2[[#This Row],[Product Option]]="My Value Plus Life"),"SP_LIFE",
IF(AND($A547="Main Member",Table2[[#This Row],[Product Option]]="My Value Plus Life &amp; Funeral"),"MM_LIFE",
IF(AND($A547="Spouse",Table2[[#This Row],[Product Option]]="My Value Plus Life &amp; Funeral"),_xlfn.XLOOKUP(Table2[[#This Row],[Benefit Name]],Lookups!$D$18:$D$23,Lookups!$E$18:$E$23,0),
0))))</f>
        <v>0</v>
      </c>
      <c r="J547" s="284">
        <f>IF($I547="","",
IF($I547="MM_LIFE",INDEX('Quotation Tool'!$S$54:$V$60,MATCH($T547,'Quotation Tool'!$S$54:$S$60,0),4),
IF($I547="SP_LIFE",_xlfn.XLOOKUP(B546,$B:$B,$J:$J,0),0)))</f>
        <v>0</v>
      </c>
      <c r="K547" s="287">
        <f t="shared" ca="1" si="61"/>
        <v>0</v>
      </c>
      <c r="L547" s="288">
        <f t="shared" ca="1" si="62"/>
        <v>0</v>
      </c>
      <c r="M547" s="289">
        <f t="shared" ca="1" si="58"/>
        <v>0</v>
      </c>
      <c r="N547" s="286">
        <f>Table13[[#This Row],[Benefit Option]]</f>
        <v>0</v>
      </c>
      <c r="O547" s="284">
        <f>IF(OR(Table2[[#This Row],[Member Type]]="Spouse",Table2[[#This Row],[Member Type]]="Child"),0,
IF(_xlfn.XLOOKUP($N547,Lookups!$D$13:$D$27,Lookups!$F$13:$F$27,0)=Table2[[#This Row],[Table Lookup for Life Cover]],0,
_xlfn.XLOOKUP($N547,Lookups!$D$13:$D$27,Lookups!$F$13:$F$27,0)))</f>
        <v>0</v>
      </c>
      <c r="P547" s="284">
        <f>IF(Table2[[#This Row],[Table Lookup for Funeral]]=0,0,IFERROR(INDEX('Quotation Tool'!$S$54:$V$60,MATCH($T547,'Quotation Tool'!$S$54:$S$60,0),3),0))</f>
        <v>0</v>
      </c>
      <c r="Q547" s="288">
        <f ca="1">IF(OR(Table2[[#This Row],[Benefit Name]]="My Value Plus Life - Main Member",Table2[[#This Row],[Benefit Name]]="My Value Plus Life - Spouse"),0,
IFERROR(VLOOKUP($G547,INDIRECT($O547),$P547,FALSE),0))</f>
        <v>0</v>
      </c>
      <c r="R547" s="288">
        <f ca="1">IF(OR(Table2[[#This Row],[Benefit Name]]="My Value Plus Life - Main Member",Table2[[#This Row],[Benefit Name]]="My Value Plus Life - Spouse"),0,
IFERROR(VLOOKUP($G547,INDIRECT($O547),$P547+1,FALSE),0))</f>
        <v>0</v>
      </c>
      <c r="S547" s="289">
        <f t="shared" ca="1" si="59"/>
        <v>0</v>
      </c>
      <c r="T547" s="284" t="str">
        <f>IF(Table13[[#This Row],[Premium Waiver]]="","None",Table13[[#This Row],[Premium Waiver]])</f>
        <v>None</v>
      </c>
      <c r="U547" s="284">
        <f>Table13[[#This Row],[VAPs Options]]</f>
        <v>0</v>
      </c>
      <c r="V547" s="284">
        <f>Table13[[#This Row],[Annual Increase Option]]</f>
        <v>0</v>
      </c>
      <c r="W547" s="290">
        <f>Table13[[#This Row],[Life Cover Amount]]</f>
        <v>0</v>
      </c>
      <c r="X547" s="290">
        <f>Table13[[#This Row],[Funeral Cover Amount]]</f>
        <v>0</v>
      </c>
      <c r="Y54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4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47" s="301">
        <f t="shared" ca="1" si="60"/>
        <v>0</v>
      </c>
      <c r="AB547" s="298"/>
      <c r="AC547" s="326" t="str">
        <f>IF(Table2[[#This Row],[Member Type]]="Main Member",Lookups!$C$13,
IF(Table2[[#This Row],[Member Type]]="Spouse",_xlfn.XLOOKUP(B547,Table2[Main Member Link ID],Table2[Product Option],0),
IF(AND(Table2[[#This Row],[Member Type]]="Child",_xlfn.XLOOKUP(B547,Table2[Main Member Link ID],Table2[Product Option],0)&lt;&gt;"My Value Plus Life"),Lookups!$C$24,
IF(AND(OR(Table2[[#This Row],[Member Type]]="Parent",Table2[[#This Row],[Member Type]]="Extended"),_xlfn.XLOOKUP(B547,Table2[Main Member Link ID],Table2[Product Option],0)&lt;&gt;"My Value Plus Life"),Lookups!$C$26,""))))</f>
        <v/>
      </c>
      <c r="AD547" s="326" t="str">
        <f>IF(Table2[[#This Row],[Member Type]]="Main Member",Lookups!$C$14,"")</f>
        <v/>
      </c>
      <c r="AE54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Funeral",_xlfn.XLOOKUP(B547,Table2[Main Member Link ID],Table2[Benefit Name],0)=Lookups!$D$14),"",
IF(AND(Table2[[#This Row],[Member Type]]="Spouse",Table2[[#This Row],[Product Option]]="My Value Plus Life &amp; Funeral",_xlfn.XLOOKUP(B546,Table2[Main Member Link ID],Table2[Benefit Name],0)=Lookups!$D$15),Lookups!$D$20,
IF(AND(Table2[[#This Row],[Member Type]]="Spouse",Table2[[#This Row],[Product Option]]="My Value Plus Life &amp; Funeral",_xlfn.XLOOKUP(B546,Table2[Main Member Link ID],Table2[Benefit Name],0)=Lookups!$D$16),"",
IF(AND(Table2[[#This Row],[Member Type]]="Spouse",Table2[[#This Row],[Product Option]]="My Value Plus Life &amp; Funeral",_xlfn.XLOOKUP(B546,Table2[Main Member Link ID],Table2[Benefit Name],0)=Lookups!$D$17),Lookups!$D$21,
IF(AND(Table2[[#This Row],[Member Type]]="Child",Table2[[#This Row],[Product Option]]="My Value Plus Life &amp; Funeral",_xlfn.XLOOKUP(B547,Table2[Main Member Link ID],Table2[Benefit Name],0)=Lookups!$D$14),"",
IF(AND(Table2[[#This Row],[Member Type]]="Child",Table2[[#This Row],[Product Option]]="My Value Plus Life &amp; Funeral",_xlfn.XLOOKUP(B547,Table2[Main Member Link ID],Table2[Benefit Name],0)=Lookups!$D$15),"",
IF(AND(Table2[[#This Row],[Member Type]]="Child",Table2[[#This Row],[Product Option]]="My Value Plus Life &amp; Funeral",_xlfn.XLOOKUP(B547,Table2[Main Member Link ID],Table2[Benefit Name],0)=Lookups!$D$16),Lookups!$D$24,
IF(AND(Table2[[#This Row],[Member Type]]="Child",Table2[[#This Row],[Product Option]]="My Value Plus Life &amp; Funeral",_xlfn.XLOOKUP(B547,Table2[Main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Funeral",_xlfn.XLOOKUP(B547,Table2[Main Member Link ID],Table2[Benefit Name],0)&lt;&gt;Lookups!$D$14),
IF(_xlfn.XLOOKUP(B547,Table2[Main Member Link ID],Table2[Benefit Name],0)=0,"",_xlfn.XLOOKUP(B547,Table2[Main Member Link ID],Table2[Benefit Name],0)),"")))))))))))))))</f>
        <v/>
      </c>
      <c r="AF547" s="327" t="str">
        <f>IF(AND(Table2[[#This Row],[Member Type]]="Main Member",Table2[[#This Row],[Product Option]]="My Value Plus Life &amp; Funeral"),Lookups!$D$15,
IF(AND(Table2[[#This Row],[Member Type]]="Spouse",Table2[[#This Row],[Product Option]]="My Value Plus Life &amp; Funeral",_xlfn.XLOOKUP(B547,Table2[Main Member Link ID],Table2[Benefit Name],0)=Lookups!$D$14),"",
IF(AND(Table2[[#This Row],[Member Type]]="Spouse",Table2[[#This Row],[Product Option]]="My Value Plus Life &amp; Funeral",_xlfn.XLOOKUP(B546,Table2[Main Member Link ID],Table2[Benefit Name],0)=Lookups!$D$16),"",
IF(AND(Table2[[#This Row],[Member Type]]="Spouse",Table2[[#This Row],[Product Option]]="My Value Plus Life &amp; Funeral",_xlfn.XLOOKUP(B546,Table2[Main Member Link ID],Table2[Benefit Name],0)=Lookups!$D$15),"",
IF(AND(Table2[[#This Row],[Member Type]]="Spouse",Table2[[#This Row],[Product Option]]="My Value Plus Life &amp; Funeral",_xlfn.XLOOKUP(B546,Table2[Main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Funeral",_xlfn.XLOOKUP(B547,Table2[Main Member Link ID],Table2[Benefit Name],0)&lt;&gt;Lookups!$D$15),
IF(_xlfn.XLOOKUP(B547,Table2[Main Member Link ID],Table2[Benefit Name],0)=0,"",_xlfn.XLOOKUP(B547,Table2[Main Member Link ID],Table2[Benefit Name],0)),"")
))))))</f>
        <v/>
      </c>
      <c r="AG547" s="327" t="str">
        <f>IF(AND(Table2[[#This Row],[Member Type]]="Main Member",Table2[[#This Row],[Product Option]]="My Value Plus Life &amp; Funeral"),Lookups!$D$16,
IF(AND(Table2[[#This Row],[Member Type]]="Spouse",Table2[[#This Row],[Product Option]]="My Value Plus Life &amp; Funeral",_xlfn.XLOOKUP(B547,Table2[Main Member Link ID],Table2[Benefit Name],0)=Lookups!$D$14),"",
IF(AND(Table2[[#This Row],[Member Type]]="Spouse",Table2[[#This Row],[Product Option]]="My Value Plus Life &amp; Funeral",_xlfn.XLOOKUP(B546,Table2[Main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Funeral",_xlfn.XLOOKUP(B547,Table2[Main Member Link ID],Table2[Benefit Name],0)&lt;&gt;Lookups!$D$16),
IF(_xlfn.XLOOKUP(B547,Table2[Main Member Link ID],Table2[Benefit Name],0)=0,"",_xlfn.XLOOKUP(B547,Table2[Main Member Link ID],Table2[Benefit Name],0)),"")
))))</f>
        <v/>
      </c>
      <c r="AH547" s="327" t="str">
        <f>IF(AND(Table2[[#This Row],[Member Type]]="Main Member",Table2[[#This Row],[Product Option]]="My Value Plus Life &amp; Funeral"),Lookups!$D$17,
IF(AND(Table2[[#This Row],[Member Type]]="Spouse",Table2[[#This Row],[Product Option]]="My Value Plus Life &amp; Funeral",_xlfn.XLOOKUP(B547,Table2[Main Member Link ID],Table2[Benefit Name],0)=Lookups!$D$14),"",
IF(AND(Table2[[#This Row],[Member Type]]="Spouse",Table2[[#This Row],[Product Option]]="My Value Plus Life &amp; Funeral",_xlfn.XLOOKUP(B546,Table2[Main Member Link ID],Table2[Benefit Name],0)=Lookups!$D$16),"",
IF(AND(Table2[[#This Row],[Member Type]]="Child",Table2[[#This Row],[Product Option]]="My Value Plus Life &amp; Funeral"),"",
IF(AND(Table2[[#This Row],[Member Type]]="Child",Table2[[#This Row],[Product Option]]="My Value Plus Life &amp; Funeral",_xlfn.XLOOKUP(B547,Table2[Main Member Link ID],Table2[Benefit Name],0)=Lookups!$D$15),"",
IF(AND(OR(Table2[[#This Row],[Member Type]]="Spouse",Table2[[#This Row],[Member Type]]="Child"),Table2[[#This Row],[Product Option]]="My Value Plus Life &amp; Funeral",_xlfn.XLOOKUP(B547,Table2[Main Member Link ID],Table2[Benefit Name],0)&lt;&gt;Lookups!$D$17),
IF(_xlfn.XLOOKUP(B547,Table2[Main Member Link ID],Table2[Benefit Name],0)=0,"",_xlfn.XLOOKUP(B547,Table2[Main Member Link ID],Table2[Benefit Name],0)),""))))))</f>
        <v/>
      </c>
      <c r="AI547" s="328" t="str">
        <f>IF(AND(Table2[[#This Row],[Member Type]]="Main Member",Table2[[#This Row],[Table Lookup for Life Cover]]="MM_LIFE",Table2[[#This Row],[Age Next Birthday]]&lt;56),1,
IF(AND(Table2[[#This Row],[Member Type]]="Main Member",Table2[[#This Row],[Table Lookup for Life Cover]]="MM_LIFE",Table2[[#This Row],[Age Next Birthday]]&gt;=56),2,
""))</f>
        <v/>
      </c>
      <c r="AJ547" s="328">
        <f>IF(OR(Table2[[#This Row],[Member Type]]="Main Member",Table2[[#This Row],[Main Member Link ID]]=B546),1,0)</f>
        <v>1</v>
      </c>
      <c r="AK547" s="328">
        <f>IF(Table2[[#This Row],[Member Type]]=0,0,
IF(OR(Table2[[#This Row],[Member Type]]="Main Member",Table2[[#This Row],[Main Member Link ID]]&lt;&gt;B547),COUNTIFS(B:B,Table2[[#This Row],[Main Member Link ID]]),
COUNTIFS(B:B,Table2[[#This Row],[Main Member Link ID]],A:A,Table2[[#This Row],[Member Type]])))</f>
        <v>0</v>
      </c>
    </row>
    <row r="548" spans="1:37" x14ac:dyDescent="0.3">
      <c r="A548" s="284">
        <f>Table13[[#This Row],[Member Type]]</f>
        <v>0</v>
      </c>
      <c r="B548" s="284">
        <f>Table13[[#This Row],[Main Member Link ID]]</f>
        <v>0</v>
      </c>
      <c r="C548" s="284">
        <f>Table13[[#This Row],[ID Number]]</f>
        <v>0</v>
      </c>
      <c r="D548" s="285">
        <f>Table13[[#This Row],[Date Of Birth]]</f>
        <v>0</v>
      </c>
      <c r="E548" s="285">
        <f>Table13[[#This Row],[Commencement Date]]</f>
        <v>0</v>
      </c>
      <c r="F548" s="284">
        <f t="shared" si="56"/>
        <v>1</v>
      </c>
      <c r="G548" s="284">
        <f t="shared" si="57"/>
        <v>25</v>
      </c>
      <c r="H548" s="286">
        <f>Table13[[#This Row],[Product Option]]</f>
        <v>0</v>
      </c>
      <c r="I548" s="284">
        <f>IF(AND($A548="Main Member",Table2[[#This Row],[Product Option]]="My Value Plus Life"),"MM_LIFE",
IF(AND($A548="Spouse",Table2[[#This Row],[Product Option]]="My Value Plus Life"),"SP_LIFE",
IF(AND($A548="Main Member",Table2[[#This Row],[Product Option]]="My Value Plus Life &amp; Funeral"),"MM_LIFE",
IF(AND($A548="Spouse",Table2[[#This Row],[Product Option]]="My Value Plus Life &amp; Funeral"),_xlfn.XLOOKUP(Table2[[#This Row],[Benefit Name]],Lookups!$D$18:$D$23,Lookups!$E$18:$E$23,0),
0))))</f>
        <v>0</v>
      </c>
      <c r="J548" s="284">
        <f>IF($I548="","",
IF($I548="MM_LIFE",INDEX('Quotation Tool'!$S$54:$V$60,MATCH($T548,'Quotation Tool'!$S$54:$S$60,0),4),
IF($I548="SP_LIFE",_xlfn.XLOOKUP(B547,$B:$B,$J:$J,0),0)))</f>
        <v>0</v>
      </c>
      <c r="K548" s="287">
        <f t="shared" ca="1" si="61"/>
        <v>0</v>
      </c>
      <c r="L548" s="288">
        <f t="shared" ca="1" si="62"/>
        <v>0</v>
      </c>
      <c r="M548" s="289">
        <f t="shared" ca="1" si="58"/>
        <v>0</v>
      </c>
      <c r="N548" s="286">
        <f>Table13[[#This Row],[Benefit Option]]</f>
        <v>0</v>
      </c>
      <c r="O548" s="284">
        <f>IF(OR(Table2[[#This Row],[Member Type]]="Spouse",Table2[[#This Row],[Member Type]]="Child"),0,
IF(_xlfn.XLOOKUP($N548,Lookups!$D$13:$D$27,Lookups!$F$13:$F$27,0)=Table2[[#This Row],[Table Lookup for Life Cover]],0,
_xlfn.XLOOKUP($N548,Lookups!$D$13:$D$27,Lookups!$F$13:$F$27,0)))</f>
        <v>0</v>
      </c>
      <c r="P548" s="284">
        <f>IF(Table2[[#This Row],[Table Lookup for Funeral]]=0,0,IFERROR(INDEX('Quotation Tool'!$S$54:$V$60,MATCH($T548,'Quotation Tool'!$S$54:$S$60,0),3),0))</f>
        <v>0</v>
      </c>
      <c r="Q548" s="288">
        <f ca="1">IF(OR(Table2[[#This Row],[Benefit Name]]="My Value Plus Life - Main Member",Table2[[#This Row],[Benefit Name]]="My Value Plus Life - Spouse"),0,
IFERROR(VLOOKUP($G548,INDIRECT($O548),$P548,FALSE),0))</f>
        <v>0</v>
      </c>
      <c r="R548" s="288">
        <f ca="1">IF(OR(Table2[[#This Row],[Benefit Name]]="My Value Plus Life - Main Member",Table2[[#This Row],[Benefit Name]]="My Value Plus Life - Spouse"),0,
IFERROR(VLOOKUP($G548,INDIRECT($O548),$P548+1,FALSE),0))</f>
        <v>0</v>
      </c>
      <c r="S548" s="289">
        <f t="shared" ca="1" si="59"/>
        <v>0</v>
      </c>
      <c r="T548" s="284" t="str">
        <f>IF(Table13[[#This Row],[Premium Waiver]]="","None",Table13[[#This Row],[Premium Waiver]])</f>
        <v>None</v>
      </c>
      <c r="U548" s="284">
        <f>Table13[[#This Row],[VAPs Options]]</f>
        <v>0</v>
      </c>
      <c r="V548" s="284">
        <f>Table13[[#This Row],[Annual Increase Option]]</f>
        <v>0</v>
      </c>
      <c r="W548" s="290">
        <f>Table13[[#This Row],[Life Cover Amount]]</f>
        <v>0</v>
      </c>
      <c r="X548" s="290">
        <f>Table13[[#This Row],[Funeral Cover Amount]]</f>
        <v>0</v>
      </c>
      <c r="Y54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4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48" s="301">
        <f t="shared" ca="1" si="60"/>
        <v>0</v>
      </c>
      <c r="AB548" s="298"/>
      <c r="AC548" s="326" t="str">
        <f>IF(Table2[[#This Row],[Member Type]]="Main Member",Lookups!$C$13,
IF(Table2[[#This Row],[Member Type]]="Spouse",_xlfn.XLOOKUP(B548,Table2[Main Member Link ID],Table2[Product Option],0),
IF(AND(Table2[[#This Row],[Member Type]]="Child",_xlfn.XLOOKUP(B548,Table2[Main Member Link ID],Table2[Product Option],0)&lt;&gt;"My Value Plus Life"),Lookups!$C$24,
IF(AND(OR(Table2[[#This Row],[Member Type]]="Parent",Table2[[#This Row],[Member Type]]="Extended"),_xlfn.XLOOKUP(B548,Table2[Main Member Link ID],Table2[Product Option],0)&lt;&gt;"My Value Plus Life"),Lookups!$C$26,""))))</f>
        <v/>
      </c>
      <c r="AD548" s="326" t="str">
        <f>IF(Table2[[#This Row],[Member Type]]="Main Member",Lookups!$C$14,"")</f>
        <v/>
      </c>
      <c r="AE54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Funeral",_xlfn.XLOOKUP(B548,Table2[Main Member Link ID],Table2[Benefit Name],0)=Lookups!$D$14),"",
IF(AND(Table2[[#This Row],[Member Type]]="Spouse",Table2[[#This Row],[Product Option]]="My Value Plus Life &amp; Funeral",_xlfn.XLOOKUP(B547,Table2[Main Member Link ID],Table2[Benefit Name],0)=Lookups!$D$15),Lookups!$D$20,
IF(AND(Table2[[#This Row],[Member Type]]="Spouse",Table2[[#This Row],[Product Option]]="My Value Plus Life &amp; Funeral",_xlfn.XLOOKUP(B547,Table2[Main Member Link ID],Table2[Benefit Name],0)=Lookups!$D$16),"",
IF(AND(Table2[[#This Row],[Member Type]]="Spouse",Table2[[#This Row],[Product Option]]="My Value Plus Life &amp; Funeral",_xlfn.XLOOKUP(B547,Table2[Main Member Link ID],Table2[Benefit Name],0)=Lookups!$D$17),Lookups!$D$21,
IF(AND(Table2[[#This Row],[Member Type]]="Child",Table2[[#This Row],[Product Option]]="My Value Plus Life &amp; Funeral",_xlfn.XLOOKUP(B548,Table2[Main Member Link ID],Table2[Benefit Name],0)=Lookups!$D$14),"",
IF(AND(Table2[[#This Row],[Member Type]]="Child",Table2[[#This Row],[Product Option]]="My Value Plus Life &amp; Funeral",_xlfn.XLOOKUP(B548,Table2[Main Member Link ID],Table2[Benefit Name],0)=Lookups!$D$15),"",
IF(AND(Table2[[#This Row],[Member Type]]="Child",Table2[[#This Row],[Product Option]]="My Value Plus Life &amp; Funeral",_xlfn.XLOOKUP(B548,Table2[Main Member Link ID],Table2[Benefit Name],0)=Lookups!$D$16),Lookups!$D$24,
IF(AND(Table2[[#This Row],[Member Type]]="Child",Table2[[#This Row],[Product Option]]="My Value Plus Life &amp; Funeral",_xlfn.XLOOKUP(B548,Table2[Main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Funeral",_xlfn.XLOOKUP(B548,Table2[Main Member Link ID],Table2[Benefit Name],0)&lt;&gt;Lookups!$D$14),
IF(_xlfn.XLOOKUP(B548,Table2[Main Member Link ID],Table2[Benefit Name],0)=0,"",_xlfn.XLOOKUP(B548,Table2[Main Member Link ID],Table2[Benefit Name],0)),"")))))))))))))))</f>
        <v/>
      </c>
      <c r="AF548" s="327" t="str">
        <f>IF(AND(Table2[[#This Row],[Member Type]]="Main Member",Table2[[#This Row],[Product Option]]="My Value Plus Life &amp; Funeral"),Lookups!$D$15,
IF(AND(Table2[[#This Row],[Member Type]]="Spouse",Table2[[#This Row],[Product Option]]="My Value Plus Life &amp; Funeral",_xlfn.XLOOKUP(B548,Table2[Main Member Link ID],Table2[Benefit Name],0)=Lookups!$D$14),"",
IF(AND(Table2[[#This Row],[Member Type]]="Spouse",Table2[[#This Row],[Product Option]]="My Value Plus Life &amp; Funeral",_xlfn.XLOOKUP(B547,Table2[Main Member Link ID],Table2[Benefit Name],0)=Lookups!$D$16),"",
IF(AND(Table2[[#This Row],[Member Type]]="Spouse",Table2[[#This Row],[Product Option]]="My Value Plus Life &amp; Funeral",_xlfn.XLOOKUP(B547,Table2[Main Member Link ID],Table2[Benefit Name],0)=Lookups!$D$15),"",
IF(AND(Table2[[#This Row],[Member Type]]="Spouse",Table2[[#This Row],[Product Option]]="My Value Plus Life &amp; Funeral",_xlfn.XLOOKUP(B547,Table2[Main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Funeral",_xlfn.XLOOKUP(B548,Table2[Main Member Link ID],Table2[Benefit Name],0)&lt;&gt;Lookups!$D$15),
IF(_xlfn.XLOOKUP(B548,Table2[Main Member Link ID],Table2[Benefit Name],0)=0,"",_xlfn.XLOOKUP(B548,Table2[Main Member Link ID],Table2[Benefit Name],0)),"")
))))))</f>
        <v/>
      </c>
      <c r="AG548" s="327" t="str">
        <f>IF(AND(Table2[[#This Row],[Member Type]]="Main Member",Table2[[#This Row],[Product Option]]="My Value Plus Life &amp; Funeral"),Lookups!$D$16,
IF(AND(Table2[[#This Row],[Member Type]]="Spouse",Table2[[#This Row],[Product Option]]="My Value Plus Life &amp; Funeral",_xlfn.XLOOKUP(B548,Table2[Main Member Link ID],Table2[Benefit Name],0)=Lookups!$D$14),"",
IF(AND(Table2[[#This Row],[Member Type]]="Spouse",Table2[[#This Row],[Product Option]]="My Value Plus Life &amp; Funeral",_xlfn.XLOOKUP(B547,Table2[Main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Funeral",_xlfn.XLOOKUP(B548,Table2[Main Member Link ID],Table2[Benefit Name],0)&lt;&gt;Lookups!$D$16),
IF(_xlfn.XLOOKUP(B548,Table2[Main Member Link ID],Table2[Benefit Name],0)=0,"",_xlfn.XLOOKUP(B548,Table2[Main Member Link ID],Table2[Benefit Name],0)),"")
))))</f>
        <v/>
      </c>
      <c r="AH548" s="327" t="str">
        <f>IF(AND(Table2[[#This Row],[Member Type]]="Main Member",Table2[[#This Row],[Product Option]]="My Value Plus Life &amp; Funeral"),Lookups!$D$17,
IF(AND(Table2[[#This Row],[Member Type]]="Spouse",Table2[[#This Row],[Product Option]]="My Value Plus Life &amp; Funeral",_xlfn.XLOOKUP(B548,Table2[Main Member Link ID],Table2[Benefit Name],0)=Lookups!$D$14),"",
IF(AND(Table2[[#This Row],[Member Type]]="Spouse",Table2[[#This Row],[Product Option]]="My Value Plus Life &amp; Funeral",_xlfn.XLOOKUP(B547,Table2[Main Member Link ID],Table2[Benefit Name],0)=Lookups!$D$16),"",
IF(AND(Table2[[#This Row],[Member Type]]="Child",Table2[[#This Row],[Product Option]]="My Value Plus Life &amp; Funeral"),"",
IF(AND(Table2[[#This Row],[Member Type]]="Child",Table2[[#This Row],[Product Option]]="My Value Plus Life &amp; Funeral",_xlfn.XLOOKUP(B548,Table2[Main Member Link ID],Table2[Benefit Name],0)=Lookups!$D$15),"",
IF(AND(OR(Table2[[#This Row],[Member Type]]="Spouse",Table2[[#This Row],[Member Type]]="Child"),Table2[[#This Row],[Product Option]]="My Value Plus Life &amp; Funeral",_xlfn.XLOOKUP(B548,Table2[Main Member Link ID],Table2[Benefit Name],0)&lt;&gt;Lookups!$D$17),
IF(_xlfn.XLOOKUP(B548,Table2[Main Member Link ID],Table2[Benefit Name],0)=0,"",_xlfn.XLOOKUP(B548,Table2[Main Member Link ID],Table2[Benefit Name],0)),""))))))</f>
        <v/>
      </c>
      <c r="AI548" s="328" t="str">
        <f>IF(AND(Table2[[#This Row],[Member Type]]="Main Member",Table2[[#This Row],[Table Lookup for Life Cover]]="MM_LIFE",Table2[[#This Row],[Age Next Birthday]]&lt;56),1,
IF(AND(Table2[[#This Row],[Member Type]]="Main Member",Table2[[#This Row],[Table Lookup for Life Cover]]="MM_LIFE",Table2[[#This Row],[Age Next Birthday]]&gt;=56),2,
""))</f>
        <v/>
      </c>
      <c r="AJ548" s="328">
        <f>IF(OR(Table2[[#This Row],[Member Type]]="Main Member",Table2[[#This Row],[Main Member Link ID]]=B547),1,0)</f>
        <v>1</v>
      </c>
      <c r="AK548" s="328">
        <f>IF(Table2[[#This Row],[Member Type]]=0,0,
IF(OR(Table2[[#This Row],[Member Type]]="Main Member",Table2[[#This Row],[Main Member Link ID]]&lt;&gt;B548),COUNTIFS(B:B,Table2[[#This Row],[Main Member Link ID]]),
COUNTIFS(B:B,Table2[[#This Row],[Main Member Link ID]],A:A,Table2[[#This Row],[Member Type]])))</f>
        <v>0</v>
      </c>
    </row>
    <row r="549" spans="1:37" x14ac:dyDescent="0.3">
      <c r="A549" s="284">
        <f>Table13[[#This Row],[Member Type]]</f>
        <v>0</v>
      </c>
      <c r="B549" s="284">
        <f>Table13[[#This Row],[Main Member Link ID]]</f>
        <v>0</v>
      </c>
      <c r="C549" s="284">
        <f>Table13[[#This Row],[ID Number]]</f>
        <v>0</v>
      </c>
      <c r="D549" s="285">
        <f>Table13[[#This Row],[Date Of Birth]]</f>
        <v>0</v>
      </c>
      <c r="E549" s="285">
        <f>Table13[[#This Row],[Commencement Date]]</f>
        <v>0</v>
      </c>
      <c r="F549" s="284">
        <f t="shared" si="56"/>
        <v>1</v>
      </c>
      <c r="G549" s="284">
        <f t="shared" si="57"/>
        <v>25</v>
      </c>
      <c r="H549" s="286">
        <f>Table13[[#This Row],[Product Option]]</f>
        <v>0</v>
      </c>
      <c r="I549" s="284">
        <f>IF(AND($A549="Main Member",Table2[[#This Row],[Product Option]]="My Value Plus Life"),"MM_LIFE",
IF(AND($A549="Spouse",Table2[[#This Row],[Product Option]]="My Value Plus Life"),"SP_LIFE",
IF(AND($A549="Main Member",Table2[[#This Row],[Product Option]]="My Value Plus Life &amp; Funeral"),"MM_LIFE",
IF(AND($A549="Spouse",Table2[[#This Row],[Product Option]]="My Value Plus Life &amp; Funeral"),_xlfn.XLOOKUP(Table2[[#This Row],[Benefit Name]],Lookups!$D$18:$D$23,Lookups!$E$18:$E$23,0),
0))))</f>
        <v>0</v>
      </c>
      <c r="J549" s="284">
        <f>IF($I549="","",
IF($I549="MM_LIFE",INDEX('Quotation Tool'!$S$54:$V$60,MATCH($T549,'Quotation Tool'!$S$54:$S$60,0),4),
IF($I549="SP_LIFE",_xlfn.XLOOKUP(B548,$B:$B,$J:$J,0),0)))</f>
        <v>0</v>
      </c>
      <c r="K549" s="287">
        <f t="shared" ca="1" si="61"/>
        <v>0</v>
      </c>
      <c r="L549" s="288">
        <f t="shared" ca="1" si="62"/>
        <v>0</v>
      </c>
      <c r="M549" s="289">
        <f t="shared" ca="1" si="58"/>
        <v>0</v>
      </c>
      <c r="N549" s="286">
        <f>Table13[[#This Row],[Benefit Option]]</f>
        <v>0</v>
      </c>
      <c r="O549" s="284">
        <f>IF(OR(Table2[[#This Row],[Member Type]]="Spouse",Table2[[#This Row],[Member Type]]="Child"),0,
IF(_xlfn.XLOOKUP($N549,Lookups!$D$13:$D$27,Lookups!$F$13:$F$27,0)=Table2[[#This Row],[Table Lookup for Life Cover]],0,
_xlfn.XLOOKUP($N549,Lookups!$D$13:$D$27,Lookups!$F$13:$F$27,0)))</f>
        <v>0</v>
      </c>
      <c r="P549" s="284">
        <f>IF(Table2[[#This Row],[Table Lookup for Funeral]]=0,0,IFERROR(INDEX('Quotation Tool'!$S$54:$V$60,MATCH($T549,'Quotation Tool'!$S$54:$S$60,0),3),0))</f>
        <v>0</v>
      </c>
      <c r="Q549" s="288">
        <f ca="1">IF(OR(Table2[[#This Row],[Benefit Name]]="My Value Plus Life - Main Member",Table2[[#This Row],[Benefit Name]]="My Value Plus Life - Spouse"),0,
IFERROR(VLOOKUP($G549,INDIRECT($O549),$P549,FALSE),0))</f>
        <v>0</v>
      </c>
      <c r="R549" s="288">
        <f ca="1">IF(OR(Table2[[#This Row],[Benefit Name]]="My Value Plus Life - Main Member",Table2[[#This Row],[Benefit Name]]="My Value Plus Life - Spouse"),0,
IFERROR(VLOOKUP($G549,INDIRECT($O549),$P549+1,FALSE),0))</f>
        <v>0</v>
      </c>
      <c r="S549" s="289">
        <f t="shared" ca="1" si="59"/>
        <v>0</v>
      </c>
      <c r="T549" s="284" t="str">
        <f>IF(Table13[[#This Row],[Premium Waiver]]="","None",Table13[[#This Row],[Premium Waiver]])</f>
        <v>None</v>
      </c>
      <c r="U549" s="284">
        <f>Table13[[#This Row],[VAPs Options]]</f>
        <v>0</v>
      </c>
      <c r="V549" s="284">
        <f>Table13[[#This Row],[Annual Increase Option]]</f>
        <v>0</v>
      </c>
      <c r="W549" s="290">
        <f>Table13[[#This Row],[Life Cover Amount]]</f>
        <v>0</v>
      </c>
      <c r="X549" s="290">
        <f>Table13[[#This Row],[Funeral Cover Amount]]</f>
        <v>0</v>
      </c>
      <c r="Y54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4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49" s="301">
        <f t="shared" ca="1" si="60"/>
        <v>0</v>
      </c>
      <c r="AB549" s="298"/>
      <c r="AC549" s="326" t="str">
        <f>IF(Table2[[#This Row],[Member Type]]="Main Member",Lookups!$C$13,
IF(Table2[[#This Row],[Member Type]]="Spouse",_xlfn.XLOOKUP(B549,Table2[Main Member Link ID],Table2[Product Option],0),
IF(AND(Table2[[#This Row],[Member Type]]="Child",_xlfn.XLOOKUP(B549,Table2[Main Member Link ID],Table2[Product Option],0)&lt;&gt;"My Value Plus Life"),Lookups!$C$24,
IF(AND(OR(Table2[[#This Row],[Member Type]]="Parent",Table2[[#This Row],[Member Type]]="Extended"),_xlfn.XLOOKUP(B549,Table2[Main Member Link ID],Table2[Product Option],0)&lt;&gt;"My Value Plus Life"),Lookups!$C$26,""))))</f>
        <v/>
      </c>
      <c r="AD549" s="326" t="str">
        <f>IF(Table2[[#This Row],[Member Type]]="Main Member",Lookups!$C$14,"")</f>
        <v/>
      </c>
      <c r="AE54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Funeral",_xlfn.XLOOKUP(B549,Table2[Main Member Link ID],Table2[Benefit Name],0)=Lookups!$D$14),"",
IF(AND(Table2[[#This Row],[Member Type]]="Spouse",Table2[[#This Row],[Product Option]]="My Value Plus Life &amp; Funeral",_xlfn.XLOOKUP(B548,Table2[Main Member Link ID],Table2[Benefit Name],0)=Lookups!$D$15),Lookups!$D$20,
IF(AND(Table2[[#This Row],[Member Type]]="Spouse",Table2[[#This Row],[Product Option]]="My Value Plus Life &amp; Funeral",_xlfn.XLOOKUP(B548,Table2[Main Member Link ID],Table2[Benefit Name],0)=Lookups!$D$16),"",
IF(AND(Table2[[#This Row],[Member Type]]="Spouse",Table2[[#This Row],[Product Option]]="My Value Plus Life &amp; Funeral",_xlfn.XLOOKUP(B548,Table2[Main Member Link ID],Table2[Benefit Name],0)=Lookups!$D$17),Lookups!$D$21,
IF(AND(Table2[[#This Row],[Member Type]]="Child",Table2[[#This Row],[Product Option]]="My Value Plus Life &amp; Funeral",_xlfn.XLOOKUP(B549,Table2[Main Member Link ID],Table2[Benefit Name],0)=Lookups!$D$14),"",
IF(AND(Table2[[#This Row],[Member Type]]="Child",Table2[[#This Row],[Product Option]]="My Value Plus Life &amp; Funeral",_xlfn.XLOOKUP(B549,Table2[Main Member Link ID],Table2[Benefit Name],0)=Lookups!$D$15),"",
IF(AND(Table2[[#This Row],[Member Type]]="Child",Table2[[#This Row],[Product Option]]="My Value Plus Life &amp; Funeral",_xlfn.XLOOKUP(B549,Table2[Main Member Link ID],Table2[Benefit Name],0)=Lookups!$D$16),Lookups!$D$24,
IF(AND(Table2[[#This Row],[Member Type]]="Child",Table2[[#This Row],[Product Option]]="My Value Plus Life &amp; Funeral",_xlfn.XLOOKUP(B549,Table2[Main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Funeral",_xlfn.XLOOKUP(B549,Table2[Main Member Link ID],Table2[Benefit Name],0)&lt;&gt;Lookups!$D$14),
IF(_xlfn.XLOOKUP(B549,Table2[Main Member Link ID],Table2[Benefit Name],0)=0,"",_xlfn.XLOOKUP(B549,Table2[Main Member Link ID],Table2[Benefit Name],0)),"")))))))))))))))</f>
        <v/>
      </c>
      <c r="AF549" s="327" t="str">
        <f>IF(AND(Table2[[#This Row],[Member Type]]="Main Member",Table2[[#This Row],[Product Option]]="My Value Plus Life &amp; Funeral"),Lookups!$D$15,
IF(AND(Table2[[#This Row],[Member Type]]="Spouse",Table2[[#This Row],[Product Option]]="My Value Plus Life &amp; Funeral",_xlfn.XLOOKUP(B549,Table2[Main Member Link ID],Table2[Benefit Name],0)=Lookups!$D$14),"",
IF(AND(Table2[[#This Row],[Member Type]]="Spouse",Table2[[#This Row],[Product Option]]="My Value Plus Life &amp; Funeral",_xlfn.XLOOKUP(B548,Table2[Main Member Link ID],Table2[Benefit Name],0)=Lookups!$D$16),"",
IF(AND(Table2[[#This Row],[Member Type]]="Spouse",Table2[[#This Row],[Product Option]]="My Value Plus Life &amp; Funeral",_xlfn.XLOOKUP(B548,Table2[Main Member Link ID],Table2[Benefit Name],0)=Lookups!$D$15),"",
IF(AND(Table2[[#This Row],[Member Type]]="Spouse",Table2[[#This Row],[Product Option]]="My Value Plus Life &amp; Funeral",_xlfn.XLOOKUP(B548,Table2[Main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Funeral",_xlfn.XLOOKUP(B549,Table2[Main Member Link ID],Table2[Benefit Name],0)&lt;&gt;Lookups!$D$15),
IF(_xlfn.XLOOKUP(B549,Table2[Main Member Link ID],Table2[Benefit Name],0)=0,"",_xlfn.XLOOKUP(B549,Table2[Main Member Link ID],Table2[Benefit Name],0)),"")
))))))</f>
        <v/>
      </c>
      <c r="AG549" s="327" t="str">
        <f>IF(AND(Table2[[#This Row],[Member Type]]="Main Member",Table2[[#This Row],[Product Option]]="My Value Plus Life &amp; Funeral"),Lookups!$D$16,
IF(AND(Table2[[#This Row],[Member Type]]="Spouse",Table2[[#This Row],[Product Option]]="My Value Plus Life &amp; Funeral",_xlfn.XLOOKUP(B549,Table2[Main Member Link ID],Table2[Benefit Name],0)=Lookups!$D$14),"",
IF(AND(Table2[[#This Row],[Member Type]]="Spouse",Table2[[#This Row],[Product Option]]="My Value Plus Life &amp; Funeral",_xlfn.XLOOKUP(B548,Table2[Main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Funeral",_xlfn.XLOOKUP(B549,Table2[Main Member Link ID],Table2[Benefit Name],0)&lt;&gt;Lookups!$D$16),
IF(_xlfn.XLOOKUP(B549,Table2[Main Member Link ID],Table2[Benefit Name],0)=0,"",_xlfn.XLOOKUP(B549,Table2[Main Member Link ID],Table2[Benefit Name],0)),"")
))))</f>
        <v/>
      </c>
      <c r="AH549" s="327" t="str">
        <f>IF(AND(Table2[[#This Row],[Member Type]]="Main Member",Table2[[#This Row],[Product Option]]="My Value Plus Life &amp; Funeral"),Lookups!$D$17,
IF(AND(Table2[[#This Row],[Member Type]]="Spouse",Table2[[#This Row],[Product Option]]="My Value Plus Life &amp; Funeral",_xlfn.XLOOKUP(B549,Table2[Main Member Link ID],Table2[Benefit Name],0)=Lookups!$D$14),"",
IF(AND(Table2[[#This Row],[Member Type]]="Spouse",Table2[[#This Row],[Product Option]]="My Value Plus Life &amp; Funeral",_xlfn.XLOOKUP(B548,Table2[Main Member Link ID],Table2[Benefit Name],0)=Lookups!$D$16),"",
IF(AND(Table2[[#This Row],[Member Type]]="Child",Table2[[#This Row],[Product Option]]="My Value Plus Life &amp; Funeral"),"",
IF(AND(Table2[[#This Row],[Member Type]]="Child",Table2[[#This Row],[Product Option]]="My Value Plus Life &amp; Funeral",_xlfn.XLOOKUP(B549,Table2[Main Member Link ID],Table2[Benefit Name],0)=Lookups!$D$15),"",
IF(AND(OR(Table2[[#This Row],[Member Type]]="Spouse",Table2[[#This Row],[Member Type]]="Child"),Table2[[#This Row],[Product Option]]="My Value Plus Life &amp; Funeral",_xlfn.XLOOKUP(B549,Table2[Main Member Link ID],Table2[Benefit Name],0)&lt;&gt;Lookups!$D$17),
IF(_xlfn.XLOOKUP(B549,Table2[Main Member Link ID],Table2[Benefit Name],0)=0,"",_xlfn.XLOOKUP(B549,Table2[Main Member Link ID],Table2[Benefit Name],0)),""))))))</f>
        <v/>
      </c>
      <c r="AI549" s="328" t="str">
        <f>IF(AND(Table2[[#This Row],[Member Type]]="Main Member",Table2[[#This Row],[Table Lookup for Life Cover]]="MM_LIFE",Table2[[#This Row],[Age Next Birthday]]&lt;56),1,
IF(AND(Table2[[#This Row],[Member Type]]="Main Member",Table2[[#This Row],[Table Lookup for Life Cover]]="MM_LIFE",Table2[[#This Row],[Age Next Birthday]]&gt;=56),2,
""))</f>
        <v/>
      </c>
      <c r="AJ549" s="328">
        <f>IF(OR(Table2[[#This Row],[Member Type]]="Main Member",Table2[[#This Row],[Main Member Link ID]]=B548),1,0)</f>
        <v>1</v>
      </c>
      <c r="AK549" s="328">
        <f>IF(Table2[[#This Row],[Member Type]]=0,0,
IF(OR(Table2[[#This Row],[Member Type]]="Main Member",Table2[[#This Row],[Main Member Link ID]]&lt;&gt;B549),COUNTIFS(B:B,Table2[[#This Row],[Main Member Link ID]]),
COUNTIFS(B:B,Table2[[#This Row],[Main Member Link ID]],A:A,Table2[[#This Row],[Member Type]])))</f>
        <v>0</v>
      </c>
    </row>
    <row r="550" spans="1:37" x14ac:dyDescent="0.3">
      <c r="A550" s="284">
        <f>Table13[[#This Row],[Member Type]]</f>
        <v>0</v>
      </c>
      <c r="B550" s="284">
        <f>Table13[[#This Row],[Main Member Link ID]]</f>
        <v>0</v>
      </c>
      <c r="C550" s="284">
        <f>Table13[[#This Row],[ID Number]]</f>
        <v>0</v>
      </c>
      <c r="D550" s="285">
        <f>Table13[[#This Row],[Date Of Birth]]</f>
        <v>0</v>
      </c>
      <c r="E550" s="285">
        <f>Table13[[#This Row],[Commencement Date]]</f>
        <v>0</v>
      </c>
      <c r="F550" s="284">
        <f t="shared" si="56"/>
        <v>1</v>
      </c>
      <c r="G550" s="284">
        <f t="shared" si="57"/>
        <v>25</v>
      </c>
      <c r="H550" s="286">
        <f>Table13[[#This Row],[Product Option]]</f>
        <v>0</v>
      </c>
      <c r="I550" s="284">
        <f>IF(AND($A550="Main Member",Table2[[#This Row],[Product Option]]="My Value Plus Life"),"MM_LIFE",
IF(AND($A550="Spouse",Table2[[#This Row],[Product Option]]="My Value Plus Life"),"SP_LIFE",
IF(AND($A550="Main Member",Table2[[#This Row],[Product Option]]="My Value Plus Life &amp; Funeral"),"MM_LIFE",
IF(AND($A550="Spouse",Table2[[#This Row],[Product Option]]="My Value Plus Life &amp; Funeral"),_xlfn.XLOOKUP(Table2[[#This Row],[Benefit Name]],Lookups!$D$18:$D$23,Lookups!$E$18:$E$23,0),
0))))</f>
        <v>0</v>
      </c>
      <c r="J550" s="284">
        <f>IF($I550="","",
IF($I550="MM_LIFE",INDEX('Quotation Tool'!$S$54:$V$60,MATCH($T550,'Quotation Tool'!$S$54:$S$60,0),4),
IF($I550="SP_LIFE",_xlfn.XLOOKUP(B549,$B:$B,$J:$J,0),0)))</f>
        <v>0</v>
      </c>
      <c r="K550" s="287">
        <f t="shared" ca="1" si="61"/>
        <v>0</v>
      </c>
      <c r="L550" s="288">
        <f t="shared" ca="1" si="62"/>
        <v>0</v>
      </c>
      <c r="M550" s="289">
        <f t="shared" ca="1" si="58"/>
        <v>0</v>
      </c>
      <c r="N550" s="286">
        <f>Table13[[#This Row],[Benefit Option]]</f>
        <v>0</v>
      </c>
      <c r="O550" s="284">
        <f>IF(OR(Table2[[#This Row],[Member Type]]="Spouse",Table2[[#This Row],[Member Type]]="Child"),0,
IF(_xlfn.XLOOKUP($N550,Lookups!$D$13:$D$27,Lookups!$F$13:$F$27,0)=Table2[[#This Row],[Table Lookup for Life Cover]],0,
_xlfn.XLOOKUP($N550,Lookups!$D$13:$D$27,Lookups!$F$13:$F$27,0)))</f>
        <v>0</v>
      </c>
      <c r="P550" s="284">
        <f>IF(Table2[[#This Row],[Table Lookup for Funeral]]=0,0,IFERROR(INDEX('Quotation Tool'!$S$54:$V$60,MATCH($T550,'Quotation Tool'!$S$54:$S$60,0),3),0))</f>
        <v>0</v>
      </c>
      <c r="Q550" s="288">
        <f ca="1">IF(OR(Table2[[#This Row],[Benefit Name]]="My Value Plus Life - Main Member",Table2[[#This Row],[Benefit Name]]="My Value Plus Life - Spouse"),0,
IFERROR(VLOOKUP($G550,INDIRECT($O550),$P550,FALSE),0))</f>
        <v>0</v>
      </c>
      <c r="R550" s="288">
        <f ca="1">IF(OR(Table2[[#This Row],[Benefit Name]]="My Value Plus Life - Main Member",Table2[[#This Row],[Benefit Name]]="My Value Plus Life - Spouse"),0,
IFERROR(VLOOKUP($G550,INDIRECT($O550),$P550+1,FALSE),0))</f>
        <v>0</v>
      </c>
      <c r="S550" s="289">
        <f t="shared" ca="1" si="59"/>
        <v>0</v>
      </c>
      <c r="T550" s="284" t="str">
        <f>IF(Table13[[#This Row],[Premium Waiver]]="","None",Table13[[#This Row],[Premium Waiver]])</f>
        <v>None</v>
      </c>
      <c r="U550" s="284">
        <f>Table13[[#This Row],[VAPs Options]]</f>
        <v>0</v>
      </c>
      <c r="V550" s="284">
        <f>Table13[[#This Row],[Annual Increase Option]]</f>
        <v>0</v>
      </c>
      <c r="W550" s="290">
        <f>Table13[[#This Row],[Life Cover Amount]]</f>
        <v>0</v>
      </c>
      <c r="X550" s="290">
        <f>Table13[[#This Row],[Funeral Cover Amount]]</f>
        <v>0</v>
      </c>
      <c r="Y55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5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50" s="301">
        <f t="shared" ca="1" si="60"/>
        <v>0</v>
      </c>
      <c r="AB550" s="298"/>
      <c r="AC550" s="326" t="str">
        <f>IF(Table2[[#This Row],[Member Type]]="Main Member",Lookups!$C$13,
IF(Table2[[#This Row],[Member Type]]="Spouse",_xlfn.XLOOKUP(B550,Table2[Main Member Link ID],Table2[Product Option],0),
IF(AND(Table2[[#This Row],[Member Type]]="Child",_xlfn.XLOOKUP(B550,Table2[Main Member Link ID],Table2[Product Option],0)&lt;&gt;"My Value Plus Life"),Lookups!$C$24,
IF(AND(OR(Table2[[#This Row],[Member Type]]="Parent",Table2[[#This Row],[Member Type]]="Extended"),_xlfn.XLOOKUP(B550,Table2[Main Member Link ID],Table2[Product Option],0)&lt;&gt;"My Value Plus Life"),Lookups!$C$26,""))))</f>
        <v/>
      </c>
      <c r="AD550" s="326" t="str">
        <f>IF(Table2[[#This Row],[Member Type]]="Main Member",Lookups!$C$14,"")</f>
        <v/>
      </c>
      <c r="AE55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Funeral",_xlfn.XLOOKUP(B550,Table2[Main Member Link ID],Table2[Benefit Name],0)=Lookups!$D$14),"",
IF(AND(Table2[[#This Row],[Member Type]]="Spouse",Table2[[#This Row],[Product Option]]="My Value Plus Life &amp; Funeral",_xlfn.XLOOKUP(B549,Table2[Main Member Link ID],Table2[Benefit Name],0)=Lookups!$D$15),Lookups!$D$20,
IF(AND(Table2[[#This Row],[Member Type]]="Spouse",Table2[[#This Row],[Product Option]]="My Value Plus Life &amp; Funeral",_xlfn.XLOOKUP(B549,Table2[Main Member Link ID],Table2[Benefit Name],0)=Lookups!$D$16),"",
IF(AND(Table2[[#This Row],[Member Type]]="Spouse",Table2[[#This Row],[Product Option]]="My Value Plus Life &amp; Funeral",_xlfn.XLOOKUP(B549,Table2[Main Member Link ID],Table2[Benefit Name],0)=Lookups!$D$17),Lookups!$D$21,
IF(AND(Table2[[#This Row],[Member Type]]="Child",Table2[[#This Row],[Product Option]]="My Value Plus Life &amp; Funeral",_xlfn.XLOOKUP(B550,Table2[Main Member Link ID],Table2[Benefit Name],0)=Lookups!$D$14),"",
IF(AND(Table2[[#This Row],[Member Type]]="Child",Table2[[#This Row],[Product Option]]="My Value Plus Life &amp; Funeral",_xlfn.XLOOKUP(B550,Table2[Main Member Link ID],Table2[Benefit Name],0)=Lookups!$D$15),"",
IF(AND(Table2[[#This Row],[Member Type]]="Child",Table2[[#This Row],[Product Option]]="My Value Plus Life &amp; Funeral",_xlfn.XLOOKUP(B550,Table2[Main Member Link ID],Table2[Benefit Name],0)=Lookups!$D$16),Lookups!$D$24,
IF(AND(Table2[[#This Row],[Member Type]]="Child",Table2[[#This Row],[Product Option]]="My Value Plus Life &amp; Funeral",_xlfn.XLOOKUP(B550,Table2[Main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Funeral",_xlfn.XLOOKUP(B550,Table2[Main Member Link ID],Table2[Benefit Name],0)&lt;&gt;Lookups!$D$14),
IF(_xlfn.XLOOKUP(B550,Table2[Main Member Link ID],Table2[Benefit Name],0)=0,"",_xlfn.XLOOKUP(B550,Table2[Main Member Link ID],Table2[Benefit Name],0)),"")))))))))))))))</f>
        <v/>
      </c>
      <c r="AF550" s="327" t="str">
        <f>IF(AND(Table2[[#This Row],[Member Type]]="Main Member",Table2[[#This Row],[Product Option]]="My Value Plus Life &amp; Funeral"),Lookups!$D$15,
IF(AND(Table2[[#This Row],[Member Type]]="Spouse",Table2[[#This Row],[Product Option]]="My Value Plus Life &amp; Funeral",_xlfn.XLOOKUP(B550,Table2[Main Member Link ID],Table2[Benefit Name],0)=Lookups!$D$14),"",
IF(AND(Table2[[#This Row],[Member Type]]="Spouse",Table2[[#This Row],[Product Option]]="My Value Plus Life &amp; Funeral",_xlfn.XLOOKUP(B549,Table2[Main Member Link ID],Table2[Benefit Name],0)=Lookups!$D$16),"",
IF(AND(Table2[[#This Row],[Member Type]]="Spouse",Table2[[#This Row],[Product Option]]="My Value Plus Life &amp; Funeral",_xlfn.XLOOKUP(B549,Table2[Main Member Link ID],Table2[Benefit Name],0)=Lookups!$D$15),"",
IF(AND(Table2[[#This Row],[Member Type]]="Spouse",Table2[[#This Row],[Product Option]]="My Value Plus Life &amp; Funeral",_xlfn.XLOOKUP(B549,Table2[Main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Funeral",_xlfn.XLOOKUP(B550,Table2[Main Member Link ID],Table2[Benefit Name],0)&lt;&gt;Lookups!$D$15),
IF(_xlfn.XLOOKUP(B550,Table2[Main Member Link ID],Table2[Benefit Name],0)=0,"",_xlfn.XLOOKUP(B550,Table2[Main Member Link ID],Table2[Benefit Name],0)),"")
))))))</f>
        <v/>
      </c>
      <c r="AG550" s="327" t="str">
        <f>IF(AND(Table2[[#This Row],[Member Type]]="Main Member",Table2[[#This Row],[Product Option]]="My Value Plus Life &amp; Funeral"),Lookups!$D$16,
IF(AND(Table2[[#This Row],[Member Type]]="Spouse",Table2[[#This Row],[Product Option]]="My Value Plus Life &amp; Funeral",_xlfn.XLOOKUP(B550,Table2[Main Member Link ID],Table2[Benefit Name],0)=Lookups!$D$14),"",
IF(AND(Table2[[#This Row],[Member Type]]="Spouse",Table2[[#This Row],[Product Option]]="My Value Plus Life &amp; Funeral",_xlfn.XLOOKUP(B549,Table2[Main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Funeral",_xlfn.XLOOKUP(B550,Table2[Main Member Link ID],Table2[Benefit Name],0)&lt;&gt;Lookups!$D$16),
IF(_xlfn.XLOOKUP(B550,Table2[Main Member Link ID],Table2[Benefit Name],0)=0,"",_xlfn.XLOOKUP(B550,Table2[Main Member Link ID],Table2[Benefit Name],0)),"")
))))</f>
        <v/>
      </c>
      <c r="AH550" s="327" t="str">
        <f>IF(AND(Table2[[#This Row],[Member Type]]="Main Member",Table2[[#This Row],[Product Option]]="My Value Plus Life &amp; Funeral"),Lookups!$D$17,
IF(AND(Table2[[#This Row],[Member Type]]="Spouse",Table2[[#This Row],[Product Option]]="My Value Plus Life &amp; Funeral",_xlfn.XLOOKUP(B550,Table2[Main Member Link ID],Table2[Benefit Name],0)=Lookups!$D$14),"",
IF(AND(Table2[[#This Row],[Member Type]]="Spouse",Table2[[#This Row],[Product Option]]="My Value Plus Life &amp; Funeral",_xlfn.XLOOKUP(B549,Table2[Main Member Link ID],Table2[Benefit Name],0)=Lookups!$D$16),"",
IF(AND(Table2[[#This Row],[Member Type]]="Child",Table2[[#This Row],[Product Option]]="My Value Plus Life &amp; Funeral"),"",
IF(AND(Table2[[#This Row],[Member Type]]="Child",Table2[[#This Row],[Product Option]]="My Value Plus Life &amp; Funeral",_xlfn.XLOOKUP(B550,Table2[Main Member Link ID],Table2[Benefit Name],0)=Lookups!$D$15),"",
IF(AND(OR(Table2[[#This Row],[Member Type]]="Spouse",Table2[[#This Row],[Member Type]]="Child"),Table2[[#This Row],[Product Option]]="My Value Plus Life &amp; Funeral",_xlfn.XLOOKUP(B550,Table2[Main Member Link ID],Table2[Benefit Name],0)&lt;&gt;Lookups!$D$17),
IF(_xlfn.XLOOKUP(B550,Table2[Main Member Link ID],Table2[Benefit Name],0)=0,"",_xlfn.XLOOKUP(B550,Table2[Main Member Link ID],Table2[Benefit Name],0)),""))))))</f>
        <v/>
      </c>
      <c r="AI550" s="328" t="str">
        <f>IF(AND(Table2[[#This Row],[Member Type]]="Main Member",Table2[[#This Row],[Table Lookup for Life Cover]]="MM_LIFE",Table2[[#This Row],[Age Next Birthday]]&lt;56),1,
IF(AND(Table2[[#This Row],[Member Type]]="Main Member",Table2[[#This Row],[Table Lookup for Life Cover]]="MM_LIFE",Table2[[#This Row],[Age Next Birthday]]&gt;=56),2,
""))</f>
        <v/>
      </c>
      <c r="AJ550" s="328">
        <f>IF(OR(Table2[[#This Row],[Member Type]]="Main Member",Table2[[#This Row],[Main Member Link ID]]=B549),1,0)</f>
        <v>1</v>
      </c>
      <c r="AK550" s="328">
        <f>IF(Table2[[#This Row],[Member Type]]=0,0,
IF(OR(Table2[[#This Row],[Member Type]]="Main Member",Table2[[#This Row],[Main Member Link ID]]&lt;&gt;B550),COUNTIFS(B:B,Table2[[#This Row],[Main Member Link ID]]),
COUNTIFS(B:B,Table2[[#This Row],[Main Member Link ID]],A:A,Table2[[#This Row],[Member Type]])))</f>
        <v>0</v>
      </c>
    </row>
    <row r="551" spans="1:37" x14ac:dyDescent="0.3">
      <c r="A551" s="284">
        <f>Table13[[#This Row],[Member Type]]</f>
        <v>0</v>
      </c>
      <c r="B551" s="284">
        <f>Table13[[#This Row],[Main Member Link ID]]</f>
        <v>0</v>
      </c>
      <c r="C551" s="284">
        <f>Table13[[#This Row],[ID Number]]</f>
        <v>0</v>
      </c>
      <c r="D551" s="285">
        <f>Table13[[#This Row],[Date Of Birth]]</f>
        <v>0</v>
      </c>
      <c r="E551" s="285">
        <f>Table13[[#This Row],[Commencement Date]]</f>
        <v>0</v>
      </c>
      <c r="F551" s="284">
        <f t="shared" si="56"/>
        <v>1</v>
      </c>
      <c r="G551" s="284">
        <f t="shared" si="57"/>
        <v>25</v>
      </c>
      <c r="H551" s="286">
        <f>Table13[[#This Row],[Product Option]]</f>
        <v>0</v>
      </c>
      <c r="I551" s="284">
        <f>IF(AND($A551="Main Member",Table2[[#This Row],[Product Option]]="My Value Plus Life"),"MM_LIFE",
IF(AND($A551="Spouse",Table2[[#This Row],[Product Option]]="My Value Plus Life"),"SP_LIFE",
IF(AND($A551="Main Member",Table2[[#This Row],[Product Option]]="My Value Plus Life &amp; Funeral"),"MM_LIFE",
IF(AND($A551="Spouse",Table2[[#This Row],[Product Option]]="My Value Plus Life &amp; Funeral"),_xlfn.XLOOKUP(Table2[[#This Row],[Benefit Name]],Lookups!$D$18:$D$23,Lookups!$E$18:$E$23,0),
0))))</f>
        <v>0</v>
      </c>
      <c r="J551" s="284">
        <f>IF($I551="","",
IF($I551="MM_LIFE",INDEX('Quotation Tool'!$S$54:$V$60,MATCH($T551,'Quotation Tool'!$S$54:$S$60,0),4),
IF($I551="SP_LIFE",_xlfn.XLOOKUP(B550,$B:$B,$J:$J,0),0)))</f>
        <v>0</v>
      </c>
      <c r="K551" s="287">
        <f t="shared" ca="1" si="61"/>
        <v>0</v>
      </c>
      <c r="L551" s="288">
        <f t="shared" ca="1" si="62"/>
        <v>0</v>
      </c>
      <c r="M551" s="289">
        <f t="shared" ca="1" si="58"/>
        <v>0</v>
      </c>
      <c r="N551" s="286">
        <f>Table13[[#This Row],[Benefit Option]]</f>
        <v>0</v>
      </c>
      <c r="O551" s="284">
        <f>IF(OR(Table2[[#This Row],[Member Type]]="Spouse",Table2[[#This Row],[Member Type]]="Child"),0,
IF(_xlfn.XLOOKUP($N551,Lookups!$D$13:$D$27,Lookups!$F$13:$F$27,0)=Table2[[#This Row],[Table Lookup for Life Cover]],0,
_xlfn.XLOOKUP($N551,Lookups!$D$13:$D$27,Lookups!$F$13:$F$27,0)))</f>
        <v>0</v>
      </c>
      <c r="P551" s="284">
        <f>IF(Table2[[#This Row],[Table Lookup for Funeral]]=0,0,IFERROR(INDEX('Quotation Tool'!$S$54:$V$60,MATCH($T551,'Quotation Tool'!$S$54:$S$60,0),3),0))</f>
        <v>0</v>
      </c>
      <c r="Q551" s="288">
        <f ca="1">IF(OR(Table2[[#This Row],[Benefit Name]]="My Value Plus Life - Main Member",Table2[[#This Row],[Benefit Name]]="My Value Plus Life - Spouse"),0,
IFERROR(VLOOKUP($G551,INDIRECT($O551),$P551,FALSE),0))</f>
        <v>0</v>
      </c>
      <c r="R551" s="288">
        <f ca="1">IF(OR(Table2[[#This Row],[Benefit Name]]="My Value Plus Life - Main Member",Table2[[#This Row],[Benefit Name]]="My Value Plus Life - Spouse"),0,
IFERROR(VLOOKUP($G551,INDIRECT($O551),$P551+1,FALSE),0))</f>
        <v>0</v>
      </c>
      <c r="S551" s="289">
        <f t="shared" ca="1" si="59"/>
        <v>0</v>
      </c>
      <c r="T551" s="284" t="str">
        <f>IF(Table13[[#This Row],[Premium Waiver]]="","None",Table13[[#This Row],[Premium Waiver]])</f>
        <v>None</v>
      </c>
      <c r="U551" s="284">
        <f>Table13[[#This Row],[VAPs Options]]</f>
        <v>0</v>
      </c>
      <c r="V551" s="284">
        <f>Table13[[#This Row],[Annual Increase Option]]</f>
        <v>0</v>
      </c>
      <c r="W551" s="290">
        <f>Table13[[#This Row],[Life Cover Amount]]</f>
        <v>0</v>
      </c>
      <c r="X551" s="290">
        <f>Table13[[#This Row],[Funeral Cover Amount]]</f>
        <v>0</v>
      </c>
      <c r="Y55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5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51" s="301">
        <f t="shared" ca="1" si="60"/>
        <v>0</v>
      </c>
      <c r="AB551" s="298"/>
      <c r="AC551" s="326" t="str">
        <f>IF(Table2[[#This Row],[Member Type]]="Main Member",Lookups!$C$13,
IF(Table2[[#This Row],[Member Type]]="Spouse",_xlfn.XLOOKUP(B551,Table2[Main Member Link ID],Table2[Product Option],0),
IF(AND(Table2[[#This Row],[Member Type]]="Child",_xlfn.XLOOKUP(B551,Table2[Main Member Link ID],Table2[Product Option],0)&lt;&gt;"My Value Plus Life"),Lookups!$C$24,
IF(AND(OR(Table2[[#This Row],[Member Type]]="Parent",Table2[[#This Row],[Member Type]]="Extended"),_xlfn.XLOOKUP(B551,Table2[Main Member Link ID],Table2[Product Option],0)&lt;&gt;"My Value Plus Life"),Lookups!$C$26,""))))</f>
        <v/>
      </c>
      <c r="AD551" s="326" t="str">
        <f>IF(Table2[[#This Row],[Member Type]]="Main Member",Lookups!$C$14,"")</f>
        <v/>
      </c>
      <c r="AE55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Funeral",_xlfn.XLOOKUP(B551,Table2[Main Member Link ID],Table2[Benefit Name],0)=Lookups!$D$14),"",
IF(AND(Table2[[#This Row],[Member Type]]="Spouse",Table2[[#This Row],[Product Option]]="My Value Plus Life &amp; Funeral",_xlfn.XLOOKUP(B550,Table2[Main Member Link ID],Table2[Benefit Name],0)=Lookups!$D$15),Lookups!$D$20,
IF(AND(Table2[[#This Row],[Member Type]]="Spouse",Table2[[#This Row],[Product Option]]="My Value Plus Life &amp; Funeral",_xlfn.XLOOKUP(B550,Table2[Main Member Link ID],Table2[Benefit Name],0)=Lookups!$D$16),"",
IF(AND(Table2[[#This Row],[Member Type]]="Spouse",Table2[[#This Row],[Product Option]]="My Value Plus Life &amp; Funeral",_xlfn.XLOOKUP(B550,Table2[Main Member Link ID],Table2[Benefit Name],0)=Lookups!$D$17),Lookups!$D$21,
IF(AND(Table2[[#This Row],[Member Type]]="Child",Table2[[#This Row],[Product Option]]="My Value Plus Life &amp; Funeral",_xlfn.XLOOKUP(B551,Table2[Main Member Link ID],Table2[Benefit Name],0)=Lookups!$D$14),"",
IF(AND(Table2[[#This Row],[Member Type]]="Child",Table2[[#This Row],[Product Option]]="My Value Plus Life &amp; Funeral",_xlfn.XLOOKUP(B551,Table2[Main Member Link ID],Table2[Benefit Name],0)=Lookups!$D$15),"",
IF(AND(Table2[[#This Row],[Member Type]]="Child",Table2[[#This Row],[Product Option]]="My Value Plus Life &amp; Funeral",_xlfn.XLOOKUP(B551,Table2[Main Member Link ID],Table2[Benefit Name],0)=Lookups!$D$16),Lookups!$D$24,
IF(AND(Table2[[#This Row],[Member Type]]="Child",Table2[[#This Row],[Product Option]]="My Value Plus Life &amp; Funeral",_xlfn.XLOOKUP(B551,Table2[Main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Funeral",_xlfn.XLOOKUP(B551,Table2[Main Member Link ID],Table2[Benefit Name],0)&lt;&gt;Lookups!$D$14),
IF(_xlfn.XLOOKUP(B551,Table2[Main Member Link ID],Table2[Benefit Name],0)=0,"",_xlfn.XLOOKUP(B551,Table2[Main Member Link ID],Table2[Benefit Name],0)),"")))))))))))))))</f>
        <v/>
      </c>
      <c r="AF551" s="327" t="str">
        <f>IF(AND(Table2[[#This Row],[Member Type]]="Main Member",Table2[[#This Row],[Product Option]]="My Value Plus Life &amp; Funeral"),Lookups!$D$15,
IF(AND(Table2[[#This Row],[Member Type]]="Spouse",Table2[[#This Row],[Product Option]]="My Value Plus Life &amp; Funeral",_xlfn.XLOOKUP(B551,Table2[Main Member Link ID],Table2[Benefit Name],0)=Lookups!$D$14),"",
IF(AND(Table2[[#This Row],[Member Type]]="Spouse",Table2[[#This Row],[Product Option]]="My Value Plus Life &amp; Funeral",_xlfn.XLOOKUP(B550,Table2[Main Member Link ID],Table2[Benefit Name],0)=Lookups!$D$16),"",
IF(AND(Table2[[#This Row],[Member Type]]="Spouse",Table2[[#This Row],[Product Option]]="My Value Plus Life &amp; Funeral",_xlfn.XLOOKUP(B550,Table2[Main Member Link ID],Table2[Benefit Name],0)=Lookups!$D$15),"",
IF(AND(Table2[[#This Row],[Member Type]]="Spouse",Table2[[#This Row],[Product Option]]="My Value Plus Life &amp; Funeral",_xlfn.XLOOKUP(B550,Table2[Main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Funeral",_xlfn.XLOOKUP(B551,Table2[Main Member Link ID],Table2[Benefit Name],0)&lt;&gt;Lookups!$D$15),
IF(_xlfn.XLOOKUP(B551,Table2[Main Member Link ID],Table2[Benefit Name],0)=0,"",_xlfn.XLOOKUP(B551,Table2[Main Member Link ID],Table2[Benefit Name],0)),"")
))))))</f>
        <v/>
      </c>
      <c r="AG551" s="327" t="str">
        <f>IF(AND(Table2[[#This Row],[Member Type]]="Main Member",Table2[[#This Row],[Product Option]]="My Value Plus Life &amp; Funeral"),Lookups!$D$16,
IF(AND(Table2[[#This Row],[Member Type]]="Spouse",Table2[[#This Row],[Product Option]]="My Value Plus Life &amp; Funeral",_xlfn.XLOOKUP(B551,Table2[Main Member Link ID],Table2[Benefit Name],0)=Lookups!$D$14),"",
IF(AND(Table2[[#This Row],[Member Type]]="Spouse",Table2[[#This Row],[Product Option]]="My Value Plus Life &amp; Funeral",_xlfn.XLOOKUP(B550,Table2[Main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Funeral",_xlfn.XLOOKUP(B551,Table2[Main Member Link ID],Table2[Benefit Name],0)&lt;&gt;Lookups!$D$16),
IF(_xlfn.XLOOKUP(B551,Table2[Main Member Link ID],Table2[Benefit Name],0)=0,"",_xlfn.XLOOKUP(B551,Table2[Main Member Link ID],Table2[Benefit Name],0)),"")
))))</f>
        <v/>
      </c>
      <c r="AH551" s="327" t="str">
        <f>IF(AND(Table2[[#This Row],[Member Type]]="Main Member",Table2[[#This Row],[Product Option]]="My Value Plus Life &amp; Funeral"),Lookups!$D$17,
IF(AND(Table2[[#This Row],[Member Type]]="Spouse",Table2[[#This Row],[Product Option]]="My Value Plus Life &amp; Funeral",_xlfn.XLOOKUP(B551,Table2[Main Member Link ID],Table2[Benefit Name],0)=Lookups!$D$14),"",
IF(AND(Table2[[#This Row],[Member Type]]="Spouse",Table2[[#This Row],[Product Option]]="My Value Plus Life &amp; Funeral",_xlfn.XLOOKUP(B550,Table2[Main Member Link ID],Table2[Benefit Name],0)=Lookups!$D$16),"",
IF(AND(Table2[[#This Row],[Member Type]]="Child",Table2[[#This Row],[Product Option]]="My Value Plus Life &amp; Funeral"),"",
IF(AND(Table2[[#This Row],[Member Type]]="Child",Table2[[#This Row],[Product Option]]="My Value Plus Life &amp; Funeral",_xlfn.XLOOKUP(B551,Table2[Main Member Link ID],Table2[Benefit Name],0)=Lookups!$D$15),"",
IF(AND(OR(Table2[[#This Row],[Member Type]]="Spouse",Table2[[#This Row],[Member Type]]="Child"),Table2[[#This Row],[Product Option]]="My Value Plus Life &amp; Funeral",_xlfn.XLOOKUP(B551,Table2[Main Member Link ID],Table2[Benefit Name],0)&lt;&gt;Lookups!$D$17),
IF(_xlfn.XLOOKUP(B551,Table2[Main Member Link ID],Table2[Benefit Name],0)=0,"",_xlfn.XLOOKUP(B551,Table2[Main Member Link ID],Table2[Benefit Name],0)),""))))))</f>
        <v/>
      </c>
      <c r="AI551" s="328" t="str">
        <f>IF(AND(Table2[[#This Row],[Member Type]]="Main Member",Table2[[#This Row],[Table Lookup for Life Cover]]="MM_LIFE",Table2[[#This Row],[Age Next Birthday]]&lt;56),1,
IF(AND(Table2[[#This Row],[Member Type]]="Main Member",Table2[[#This Row],[Table Lookup for Life Cover]]="MM_LIFE",Table2[[#This Row],[Age Next Birthday]]&gt;=56),2,
""))</f>
        <v/>
      </c>
      <c r="AJ551" s="328">
        <f>IF(OR(Table2[[#This Row],[Member Type]]="Main Member",Table2[[#This Row],[Main Member Link ID]]=B550),1,0)</f>
        <v>1</v>
      </c>
      <c r="AK551" s="328">
        <f>IF(Table2[[#This Row],[Member Type]]=0,0,
IF(OR(Table2[[#This Row],[Member Type]]="Main Member",Table2[[#This Row],[Main Member Link ID]]&lt;&gt;B551),COUNTIFS(B:B,Table2[[#This Row],[Main Member Link ID]]),
COUNTIFS(B:B,Table2[[#This Row],[Main Member Link ID]],A:A,Table2[[#This Row],[Member Type]])))</f>
        <v>0</v>
      </c>
    </row>
    <row r="552" spans="1:37" x14ac:dyDescent="0.3">
      <c r="A552" s="284">
        <f>Table13[[#This Row],[Member Type]]</f>
        <v>0</v>
      </c>
      <c r="B552" s="284">
        <f>Table13[[#This Row],[Main Member Link ID]]</f>
        <v>0</v>
      </c>
      <c r="C552" s="284">
        <f>Table13[[#This Row],[ID Number]]</f>
        <v>0</v>
      </c>
      <c r="D552" s="285">
        <f>Table13[[#This Row],[Date Of Birth]]</f>
        <v>0</v>
      </c>
      <c r="E552" s="285">
        <f>Table13[[#This Row],[Commencement Date]]</f>
        <v>0</v>
      </c>
      <c r="F552" s="284">
        <f t="shared" si="56"/>
        <v>1</v>
      </c>
      <c r="G552" s="284">
        <f t="shared" si="57"/>
        <v>25</v>
      </c>
      <c r="H552" s="286">
        <f>Table13[[#This Row],[Product Option]]</f>
        <v>0</v>
      </c>
      <c r="I552" s="284">
        <f>IF(AND($A552="Main Member",Table2[[#This Row],[Product Option]]="My Value Plus Life"),"MM_LIFE",
IF(AND($A552="Spouse",Table2[[#This Row],[Product Option]]="My Value Plus Life"),"SP_LIFE",
IF(AND($A552="Main Member",Table2[[#This Row],[Product Option]]="My Value Plus Life &amp; Funeral"),"MM_LIFE",
IF(AND($A552="Spouse",Table2[[#This Row],[Product Option]]="My Value Plus Life &amp; Funeral"),_xlfn.XLOOKUP(Table2[[#This Row],[Benefit Name]],Lookups!$D$18:$D$23,Lookups!$E$18:$E$23,0),
0))))</f>
        <v>0</v>
      </c>
      <c r="J552" s="284">
        <f>IF($I552="","",
IF($I552="MM_LIFE",INDEX('Quotation Tool'!$S$54:$V$60,MATCH($T552,'Quotation Tool'!$S$54:$S$60,0),4),
IF($I552="SP_LIFE",_xlfn.XLOOKUP(B551,$B:$B,$J:$J,0),0)))</f>
        <v>0</v>
      </c>
      <c r="K552" s="287">
        <f t="shared" ca="1" si="61"/>
        <v>0</v>
      </c>
      <c r="L552" s="288">
        <f t="shared" ca="1" si="62"/>
        <v>0</v>
      </c>
      <c r="M552" s="289">
        <f t="shared" ca="1" si="58"/>
        <v>0</v>
      </c>
      <c r="N552" s="286">
        <f>Table13[[#This Row],[Benefit Option]]</f>
        <v>0</v>
      </c>
      <c r="O552" s="284">
        <f>IF(OR(Table2[[#This Row],[Member Type]]="Spouse",Table2[[#This Row],[Member Type]]="Child"),0,
IF(_xlfn.XLOOKUP($N552,Lookups!$D$13:$D$27,Lookups!$F$13:$F$27,0)=Table2[[#This Row],[Table Lookup for Life Cover]],0,
_xlfn.XLOOKUP($N552,Lookups!$D$13:$D$27,Lookups!$F$13:$F$27,0)))</f>
        <v>0</v>
      </c>
      <c r="P552" s="284">
        <f>IF(Table2[[#This Row],[Table Lookup for Funeral]]=0,0,IFERROR(INDEX('Quotation Tool'!$S$54:$V$60,MATCH($T552,'Quotation Tool'!$S$54:$S$60,0),3),0))</f>
        <v>0</v>
      </c>
      <c r="Q552" s="288">
        <f ca="1">IF(OR(Table2[[#This Row],[Benefit Name]]="My Value Plus Life - Main Member",Table2[[#This Row],[Benefit Name]]="My Value Plus Life - Spouse"),0,
IFERROR(VLOOKUP($G552,INDIRECT($O552),$P552,FALSE),0))</f>
        <v>0</v>
      </c>
      <c r="R552" s="288">
        <f ca="1">IF(OR(Table2[[#This Row],[Benefit Name]]="My Value Plus Life - Main Member",Table2[[#This Row],[Benefit Name]]="My Value Plus Life - Spouse"),0,
IFERROR(VLOOKUP($G552,INDIRECT($O552),$P552+1,FALSE),0))</f>
        <v>0</v>
      </c>
      <c r="S552" s="289">
        <f t="shared" ca="1" si="59"/>
        <v>0</v>
      </c>
      <c r="T552" s="284" t="str">
        <f>IF(Table13[[#This Row],[Premium Waiver]]="","None",Table13[[#This Row],[Premium Waiver]])</f>
        <v>None</v>
      </c>
      <c r="U552" s="284">
        <f>Table13[[#This Row],[VAPs Options]]</f>
        <v>0</v>
      </c>
      <c r="V552" s="284">
        <f>Table13[[#This Row],[Annual Increase Option]]</f>
        <v>0</v>
      </c>
      <c r="W552" s="290">
        <f>Table13[[#This Row],[Life Cover Amount]]</f>
        <v>0</v>
      </c>
      <c r="X552" s="290">
        <f>Table13[[#This Row],[Funeral Cover Amount]]</f>
        <v>0</v>
      </c>
      <c r="Y55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5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52" s="301">
        <f t="shared" ca="1" si="60"/>
        <v>0</v>
      </c>
      <c r="AB552" s="298"/>
      <c r="AC552" s="326" t="str">
        <f>IF(Table2[[#This Row],[Member Type]]="Main Member",Lookups!$C$13,
IF(Table2[[#This Row],[Member Type]]="Spouse",_xlfn.XLOOKUP(B552,Table2[Main Member Link ID],Table2[Product Option],0),
IF(AND(Table2[[#This Row],[Member Type]]="Child",_xlfn.XLOOKUP(B552,Table2[Main Member Link ID],Table2[Product Option],0)&lt;&gt;"My Value Plus Life"),Lookups!$C$24,
IF(AND(OR(Table2[[#This Row],[Member Type]]="Parent",Table2[[#This Row],[Member Type]]="Extended"),_xlfn.XLOOKUP(B552,Table2[Main Member Link ID],Table2[Product Option],0)&lt;&gt;"My Value Plus Life"),Lookups!$C$26,""))))</f>
        <v/>
      </c>
      <c r="AD552" s="326" t="str">
        <f>IF(Table2[[#This Row],[Member Type]]="Main Member",Lookups!$C$14,"")</f>
        <v/>
      </c>
      <c r="AE55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Funeral",_xlfn.XLOOKUP(B552,Table2[Main Member Link ID],Table2[Benefit Name],0)=Lookups!$D$14),"",
IF(AND(Table2[[#This Row],[Member Type]]="Spouse",Table2[[#This Row],[Product Option]]="My Value Plus Life &amp; Funeral",_xlfn.XLOOKUP(B551,Table2[Main Member Link ID],Table2[Benefit Name],0)=Lookups!$D$15),Lookups!$D$20,
IF(AND(Table2[[#This Row],[Member Type]]="Spouse",Table2[[#This Row],[Product Option]]="My Value Plus Life &amp; Funeral",_xlfn.XLOOKUP(B551,Table2[Main Member Link ID],Table2[Benefit Name],0)=Lookups!$D$16),"",
IF(AND(Table2[[#This Row],[Member Type]]="Spouse",Table2[[#This Row],[Product Option]]="My Value Plus Life &amp; Funeral",_xlfn.XLOOKUP(B551,Table2[Main Member Link ID],Table2[Benefit Name],0)=Lookups!$D$17),Lookups!$D$21,
IF(AND(Table2[[#This Row],[Member Type]]="Child",Table2[[#This Row],[Product Option]]="My Value Plus Life &amp; Funeral",_xlfn.XLOOKUP(B552,Table2[Main Member Link ID],Table2[Benefit Name],0)=Lookups!$D$14),"",
IF(AND(Table2[[#This Row],[Member Type]]="Child",Table2[[#This Row],[Product Option]]="My Value Plus Life &amp; Funeral",_xlfn.XLOOKUP(B552,Table2[Main Member Link ID],Table2[Benefit Name],0)=Lookups!$D$15),"",
IF(AND(Table2[[#This Row],[Member Type]]="Child",Table2[[#This Row],[Product Option]]="My Value Plus Life &amp; Funeral",_xlfn.XLOOKUP(B552,Table2[Main Member Link ID],Table2[Benefit Name],0)=Lookups!$D$16),Lookups!$D$24,
IF(AND(Table2[[#This Row],[Member Type]]="Child",Table2[[#This Row],[Product Option]]="My Value Plus Life &amp; Funeral",_xlfn.XLOOKUP(B552,Table2[Main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Funeral",_xlfn.XLOOKUP(B552,Table2[Main Member Link ID],Table2[Benefit Name],0)&lt;&gt;Lookups!$D$14),
IF(_xlfn.XLOOKUP(B552,Table2[Main Member Link ID],Table2[Benefit Name],0)=0,"",_xlfn.XLOOKUP(B552,Table2[Main Member Link ID],Table2[Benefit Name],0)),"")))))))))))))))</f>
        <v/>
      </c>
      <c r="AF552" s="327" t="str">
        <f>IF(AND(Table2[[#This Row],[Member Type]]="Main Member",Table2[[#This Row],[Product Option]]="My Value Plus Life &amp; Funeral"),Lookups!$D$15,
IF(AND(Table2[[#This Row],[Member Type]]="Spouse",Table2[[#This Row],[Product Option]]="My Value Plus Life &amp; Funeral",_xlfn.XLOOKUP(B552,Table2[Main Member Link ID],Table2[Benefit Name],0)=Lookups!$D$14),"",
IF(AND(Table2[[#This Row],[Member Type]]="Spouse",Table2[[#This Row],[Product Option]]="My Value Plus Life &amp; Funeral",_xlfn.XLOOKUP(B551,Table2[Main Member Link ID],Table2[Benefit Name],0)=Lookups!$D$16),"",
IF(AND(Table2[[#This Row],[Member Type]]="Spouse",Table2[[#This Row],[Product Option]]="My Value Plus Life &amp; Funeral",_xlfn.XLOOKUP(B551,Table2[Main Member Link ID],Table2[Benefit Name],0)=Lookups!$D$15),"",
IF(AND(Table2[[#This Row],[Member Type]]="Spouse",Table2[[#This Row],[Product Option]]="My Value Plus Life &amp; Funeral",_xlfn.XLOOKUP(B551,Table2[Main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Funeral",_xlfn.XLOOKUP(B552,Table2[Main Member Link ID],Table2[Benefit Name],0)&lt;&gt;Lookups!$D$15),
IF(_xlfn.XLOOKUP(B552,Table2[Main Member Link ID],Table2[Benefit Name],0)=0,"",_xlfn.XLOOKUP(B552,Table2[Main Member Link ID],Table2[Benefit Name],0)),"")
))))))</f>
        <v/>
      </c>
      <c r="AG552" s="327" t="str">
        <f>IF(AND(Table2[[#This Row],[Member Type]]="Main Member",Table2[[#This Row],[Product Option]]="My Value Plus Life &amp; Funeral"),Lookups!$D$16,
IF(AND(Table2[[#This Row],[Member Type]]="Spouse",Table2[[#This Row],[Product Option]]="My Value Plus Life &amp; Funeral",_xlfn.XLOOKUP(B552,Table2[Main Member Link ID],Table2[Benefit Name],0)=Lookups!$D$14),"",
IF(AND(Table2[[#This Row],[Member Type]]="Spouse",Table2[[#This Row],[Product Option]]="My Value Plus Life &amp; Funeral",_xlfn.XLOOKUP(B551,Table2[Main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Funeral",_xlfn.XLOOKUP(B552,Table2[Main Member Link ID],Table2[Benefit Name],0)&lt;&gt;Lookups!$D$16),
IF(_xlfn.XLOOKUP(B552,Table2[Main Member Link ID],Table2[Benefit Name],0)=0,"",_xlfn.XLOOKUP(B552,Table2[Main Member Link ID],Table2[Benefit Name],0)),"")
))))</f>
        <v/>
      </c>
      <c r="AH552" s="327" t="str">
        <f>IF(AND(Table2[[#This Row],[Member Type]]="Main Member",Table2[[#This Row],[Product Option]]="My Value Plus Life &amp; Funeral"),Lookups!$D$17,
IF(AND(Table2[[#This Row],[Member Type]]="Spouse",Table2[[#This Row],[Product Option]]="My Value Plus Life &amp; Funeral",_xlfn.XLOOKUP(B552,Table2[Main Member Link ID],Table2[Benefit Name],0)=Lookups!$D$14),"",
IF(AND(Table2[[#This Row],[Member Type]]="Spouse",Table2[[#This Row],[Product Option]]="My Value Plus Life &amp; Funeral",_xlfn.XLOOKUP(B551,Table2[Main Member Link ID],Table2[Benefit Name],0)=Lookups!$D$16),"",
IF(AND(Table2[[#This Row],[Member Type]]="Child",Table2[[#This Row],[Product Option]]="My Value Plus Life &amp; Funeral"),"",
IF(AND(Table2[[#This Row],[Member Type]]="Child",Table2[[#This Row],[Product Option]]="My Value Plus Life &amp; Funeral",_xlfn.XLOOKUP(B552,Table2[Main Member Link ID],Table2[Benefit Name],0)=Lookups!$D$15),"",
IF(AND(OR(Table2[[#This Row],[Member Type]]="Spouse",Table2[[#This Row],[Member Type]]="Child"),Table2[[#This Row],[Product Option]]="My Value Plus Life &amp; Funeral",_xlfn.XLOOKUP(B552,Table2[Main Member Link ID],Table2[Benefit Name],0)&lt;&gt;Lookups!$D$17),
IF(_xlfn.XLOOKUP(B552,Table2[Main Member Link ID],Table2[Benefit Name],0)=0,"",_xlfn.XLOOKUP(B552,Table2[Main Member Link ID],Table2[Benefit Name],0)),""))))))</f>
        <v/>
      </c>
      <c r="AI552" s="328" t="str">
        <f>IF(AND(Table2[[#This Row],[Member Type]]="Main Member",Table2[[#This Row],[Table Lookup for Life Cover]]="MM_LIFE",Table2[[#This Row],[Age Next Birthday]]&lt;56),1,
IF(AND(Table2[[#This Row],[Member Type]]="Main Member",Table2[[#This Row],[Table Lookup for Life Cover]]="MM_LIFE",Table2[[#This Row],[Age Next Birthday]]&gt;=56),2,
""))</f>
        <v/>
      </c>
      <c r="AJ552" s="328">
        <f>IF(OR(Table2[[#This Row],[Member Type]]="Main Member",Table2[[#This Row],[Main Member Link ID]]=B551),1,0)</f>
        <v>1</v>
      </c>
      <c r="AK552" s="328">
        <f>IF(Table2[[#This Row],[Member Type]]=0,0,
IF(OR(Table2[[#This Row],[Member Type]]="Main Member",Table2[[#This Row],[Main Member Link ID]]&lt;&gt;B552),COUNTIFS(B:B,Table2[[#This Row],[Main Member Link ID]]),
COUNTIFS(B:B,Table2[[#This Row],[Main Member Link ID]],A:A,Table2[[#This Row],[Member Type]])))</f>
        <v>0</v>
      </c>
    </row>
    <row r="553" spans="1:37" x14ac:dyDescent="0.3">
      <c r="A553" s="284">
        <f>Table13[[#This Row],[Member Type]]</f>
        <v>0</v>
      </c>
      <c r="B553" s="284">
        <f>Table13[[#This Row],[Main Member Link ID]]</f>
        <v>0</v>
      </c>
      <c r="C553" s="284">
        <f>Table13[[#This Row],[ID Number]]</f>
        <v>0</v>
      </c>
      <c r="D553" s="285">
        <f>Table13[[#This Row],[Date Of Birth]]</f>
        <v>0</v>
      </c>
      <c r="E553" s="285">
        <f>Table13[[#This Row],[Commencement Date]]</f>
        <v>0</v>
      </c>
      <c r="F553" s="284">
        <f t="shared" si="56"/>
        <v>1</v>
      </c>
      <c r="G553" s="284">
        <f t="shared" si="57"/>
        <v>25</v>
      </c>
      <c r="H553" s="286">
        <f>Table13[[#This Row],[Product Option]]</f>
        <v>0</v>
      </c>
      <c r="I553" s="284">
        <f>IF(AND($A553="Main Member",Table2[[#This Row],[Product Option]]="My Value Plus Life"),"MM_LIFE",
IF(AND($A553="Spouse",Table2[[#This Row],[Product Option]]="My Value Plus Life"),"SP_LIFE",
IF(AND($A553="Main Member",Table2[[#This Row],[Product Option]]="My Value Plus Life &amp; Funeral"),"MM_LIFE",
IF(AND($A553="Spouse",Table2[[#This Row],[Product Option]]="My Value Plus Life &amp; Funeral"),_xlfn.XLOOKUP(Table2[[#This Row],[Benefit Name]],Lookups!$D$18:$D$23,Lookups!$E$18:$E$23,0),
0))))</f>
        <v>0</v>
      </c>
      <c r="J553" s="284">
        <f>IF($I553="","",
IF($I553="MM_LIFE",INDEX('Quotation Tool'!$S$54:$V$60,MATCH($T553,'Quotation Tool'!$S$54:$S$60,0),4),
IF($I553="SP_LIFE",_xlfn.XLOOKUP(B552,$B:$B,$J:$J,0),0)))</f>
        <v>0</v>
      </c>
      <c r="K553" s="287">
        <f t="shared" ca="1" si="61"/>
        <v>0</v>
      </c>
      <c r="L553" s="288">
        <f t="shared" ca="1" si="62"/>
        <v>0</v>
      </c>
      <c r="M553" s="289">
        <f t="shared" ca="1" si="58"/>
        <v>0</v>
      </c>
      <c r="N553" s="286">
        <f>Table13[[#This Row],[Benefit Option]]</f>
        <v>0</v>
      </c>
      <c r="O553" s="284">
        <f>IF(OR(Table2[[#This Row],[Member Type]]="Spouse",Table2[[#This Row],[Member Type]]="Child"),0,
IF(_xlfn.XLOOKUP($N553,Lookups!$D$13:$D$27,Lookups!$F$13:$F$27,0)=Table2[[#This Row],[Table Lookup for Life Cover]],0,
_xlfn.XLOOKUP($N553,Lookups!$D$13:$D$27,Lookups!$F$13:$F$27,0)))</f>
        <v>0</v>
      </c>
      <c r="P553" s="284">
        <f>IF(Table2[[#This Row],[Table Lookup for Funeral]]=0,0,IFERROR(INDEX('Quotation Tool'!$S$54:$V$60,MATCH($T553,'Quotation Tool'!$S$54:$S$60,0),3),0))</f>
        <v>0</v>
      </c>
      <c r="Q553" s="288">
        <f ca="1">IF(OR(Table2[[#This Row],[Benefit Name]]="My Value Plus Life - Main Member",Table2[[#This Row],[Benefit Name]]="My Value Plus Life - Spouse"),0,
IFERROR(VLOOKUP($G553,INDIRECT($O553),$P553,FALSE),0))</f>
        <v>0</v>
      </c>
      <c r="R553" s="288">
        <f ca="1">IF(OR(Table2[[#This Row],[Benefit Name]]="My Value Plus Life - Main Member",Table2[[#This Row],[Benefit Name]]="My Value Plus Life - Spouse"),0,
IFERROR(VLOOKUP($G553,INDIRECT($O553),$P553+1,FALSE),0))</f>
        <v>0</v>
      </c>
      <c r="S553" s="289">
        <f t="shared" ca="1" si="59"/>
        <v>0</v>
      </c>
      <c r="T553" s="284" t="str">
        <f>IF(Table13[[#This Row],[Premium Waiver]]="","None",Table13[[#This Row],[Premium Waiver]])</f>
        <v>None</v>
      </c>
      <c r="U553" s="284">
        <f>Table13[[#This Row],[VAPs Options]]</f>
        <v>0</v>
      </c>
      <c r="V553" s="284">
        <f>Table13[[#This Row],[Annual Increase Option]]</f>
        <v>0</v>
      </c>
      <c r="W553" s="290">
        <f>Table13[[#This Row],[Life Cover Amount]]</f>
        <v>0</v>
      </c>
      <c r="X553" s="290">
        <f>Table13[[#This Row],[Funeral Cover Amount]]</f>
        <v>0</v>
      </c>
      <c r="Y55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5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53" s="301">
        <f t="shared" ca="1" si="60"/>
        <v>0</v>
      </c>
      <c r="AB553" s="298"/>
      <c r="AC553" s="326" t="str">
        <f>IF(Table2[[#This Row],[Member Type]]="Main Member",Lookups!$C$13,
IF(Table2[[#This Row],[Member Type]]="Spouse",_xlfn.XLOOKUP(B553,Table2[Main Member Link ID],Table2[Product Option],0),
IF(AND(Table2[[#This Row],[Member Type]]="Child",_xlfn.XLOOKUP(B553,Table2[Main Member Link ID],Table2[Product Option],0)&lt;&gt;"My Value Plus Life"),Lookups!$C$24,
IF(AND(OR(Table2[[#This Row],[Member Type]]="Parent",Table2[[#This Row],[Member Type]]="Extended"),_xlfn.XLOOKUP(B553,Table2[Main Member Link ID],Table2[Product Option],0)&lt;&gt;"My Value Plus Life"),Lookups!$C$26,""))))</f>
        <v/>
      </c>
      <c r="AD553" s="326" t="str">
        <f>IF(Table2[[#This Row],[Member Type]]="Main Member",Lookups!$C$14,"")</f>
        <v/>
      </c>
      <c r="AE55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Funeral",_xlfn.XLOOKUP(B553,Table2[Main Member Link ID],Table2[Benefit Name],0)=Lookups!$D$14),"",
IF(AND(Table2[[#This Row],[Member Type]]="Spouse",Table2[[#This Row],[Product Option]]="My Value Plus Life &amp; Funeral",_xlfn.XLOOKUP(B552,Table2[Main Member Link ID],Table2[Benefit Name],0)=Lookups!$D$15),Lookups!$D$20,
IF(AND(Table2[[#This Row],[Member Type]]="Spouse",Table2[[#This Row],[Product Option]]="My Value Plus Life &amp; Funeral",_xlfn.XLOOKUP(B552,Table2[Main Member Link ID],Table2[Benefit Name],0)=Lookups!$D$16),"",
IF(AND(Table2[[#This Row],[Member Type]]="Spouse",Table2[[#This Row],[Product Option]]="My Value Plus Life &amp; Funeral",_xlfn.XLOOKUP(B552,Table2[Main Member Link ID],Table2[Benefit Name],0)=Lookups!$D$17),Lookups!$D$21,
IF(AND(Table2[[#This Row],[Member Type]]="Child",Table2[[#This Row],[Product Option]]="My Value Plus Life &amp; Funeral",_xlfn.XLOOKUP(B553,Table2[Main Member Link ID],Table2[Benefit Name],0)=Lookups!$D$14),"",
IF(AND(Table2[[#This Row],[Member Type]]="Child",Table2[[#This Row],[Product Option]]="My Value Plus Life &amp; Funeral",_xlfn.XLOOKUP(B553,Table2[Main Member Link ID],Table2[Benefit Name],0)=Lookups!$D$15),"",
IF(AND(Table2[[#This Row],[Member Type]]="Child",Table2[[#This Row],[Product Option]]="My Value Plus Life &amp; Funeral",_xlfn.XLOOKUP(B553,Table2[Main Member Link ID],Table2[Benefit Name],0)=Lookups!$D$16),Lookups!$D$24,
IF(AND(Table2[[#This Row],[Member Type]]="Child",Table2[[#This Row],[Product Option]]="My Value Plus Life &amp; Funeral",_xlfn.XLOOKUP(B553,Table2[Main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Funeral",_xlfn.XLOOKUP(B553,Table2[Main Member Link ID],Table2[Benefit Name],0)&lt;&gt;Lookups!$D$14),
IF(_xlfn.XLOOKUP(B553,Table2[Main Member Link ID],Table2[Benefit Name],0)=0,"",_xlfn.XLOOKUP(B553,Table2[Main Member Link ID],Table2[Benefit Name],0)),"")))))))))))))))</f>
        <v/>
      </c>
      <c r="AF553" s="327" t="str">
        <f>IF(AND(Table2[[#This Row],[Member Type]]="Main Member",Table2[[#This Row],[Product Option]]="My Value Plus Life &amp; Funeral"),Lookups!$D$15,
IF(AND(Table2[[#This Row],[Member Type]]="Spouse",Table2[[#This Row],[Product Option]]="My Value Plus Life &amp; Funeral",_xlfn.XLOOKUP(B553,Table2[Main Member Link ID],Table2[Benefit Name],0)=Lookups!$D$14),"",
IF(AND(Table2[[#This Row],[Member Type]]="Spouse",Table2[[#This Row],[Product Option]]="My Value Plus Life &amp; Funeral",_xlfn.XLOOKUP(B552,Table2[Main Member Link ID],Table2[Benefit Name],0)=Lookups!$D$16),"",
IF(AND(Table2[[#This Row],[Member Type]]="Spouse",Table2[[#This Row],[Product Option]]="My Value Plus Life &amp; Funeral",_xlfn.XLOOKUP(B552,Table2[Main Member Link ID],Table2[Benefit Name],0)=Lookups!$D$15),"",
IF(AND(Table2[[#This Row],[Member Type]]="Spouse",Table2[[#This Row],[Product Option]]="My Value Plus Life &amp; Funeral",_xlfn.XLOOKUP(B552,Table2[Main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Funeral",_xlfn.XLOOKUP(B553,Table2[Main Member Link ID],Table2[Benefit Name],0)&lt;&gt;Lookups!$D$15),
IF(_xlfn.XLOOKUP(B553,Table2[Main Member Link ID],Table2[Benefit Name],0)=0,"",_xlfn.XLOOKUP(B553,Table2[Main Member Link ID],Table2[Benefit Name],0)),"")
))))))</f>
        <v/>
      </c>
      <c r="AG553" s="327" t="str">
        <f>IF(AND(Table2[[#This Row],[Member Type]]="Main Member",Table2[[#This Row],[Product Option]]="My Value Plus Life &amp; Funeral"),Lookups!$D$16,
IF(AND(Table2[[#This Row],[Member Type]]="Spouse",Table2[[#This Row],[Product Option]]="My Value Plus Life &amp; Funeral",_xlfn.XLOOKUP(B553,Table2[Main Member Link ID],Table2[Benefit Name],0)=Lookups!$D$14),"",
IF(AND(Table2[[#This Row],[Member Type]]="Spouse",Table2[[#This Row],[Product Option]]="My Value Plus Life &amp; Funeral",_xlfn.XLOOKUP(B552,Table2[Main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Funeral",_xlfn.XLOOKUP(B553,Table2[Main Member Link ID],Table2[Benefit Name],0)&lt;&gt;Lookups!$D$16),
IF(_xlfn.XLOOKUP(B553,Table2[Main Member Link ID],Table2[Benefit Name],0)=0,"",_xlfn.XLOOKUP(B553,Table2[Main Member Link ID],Table2[Benefit Name],0)),"")
))))</f>
        <v/>
      </c>
      <c r="AH553" s="327" t="str">
        <f>IF(AND(Table2[[#This Row],[Member Type]]="Main Member",Table2[[#This Row],[Product Option]]="My Value Plus Life &amp; Funeral"),Lookups!$D$17,
IF(AND(Table2[[#This Row],[Member Type]]="Spouse",Table2[[#This Row],[Product Option]]="My Value Plus Life &amp; Funeral",_xlfn.XLOOKUP(B553,Table2[Main Member Link ID],Table2[Benefit Name],0)=Lookups!$D$14),"",
IF(AND(Table2[[#This Row],[Member Type]]="Spouse",Table2[[#This Row],[Product Option]]="My Value Plus Life &amp; Funeral",_xlfn.XLOOKUP(B552,Table2[Main Member Link ID],Table2[Benefit Name],0)=Lookups!$D$16),"",
IF(AND(Table2[[#This Row],[Member Type]]="Child",Table2[[#This Row],[Product Option]]="My Value Plus Life &amp; Funeral"),"",
IF(AND(Table2[[#This Row],[Member Type]]="Child",Table2[[#This Row],[Product Option]]="My Value Plus Life &amp; Funeral",_xlfn.XLOOKUP(B553,Table2[Main Member Link ID],Table2[Benefit Name],0)=Lookups!$D$15),"",
IF(AND(OR(Table2[[#This Row],[Member Type]]="Spouse",Table2[[#This Row],[Member Type]]="Child"),Table2[[#This Row],[Product Option]]="My Value Plus Life &amp; Funeral",_xlfn.XLOOKUP(B553,Table2[Main Member Link ID],Table2[Benefit Name],0)&lt;&gt;Lookups!$D$17),
IF(_xlfn.XLOOKUP(B553,Table2[Main Member Link ID],Table2[Benefit Name],0)=0,"",_xlfn.XLOOKUP(B553,Table2[Main Member Link ID],Table2[Benefit Name],0)),""))))))</f>
        <v/>
      </c>
      <c r="AI553" s="328" t="str">
        <f>IF(AND(Table2[[#This Row],[Member Type]]="Main Member",Table2[[#This Row],[Table Lookup for Life Cover]]="MM_LIFE",Table2[[#This Row],[Age Next Birthday]]&lt;56),1,
IF(AND(Table2[[#This Row],[Member Type]]="Main Member",Table2[[#This Row],[Table Lookup for Life Cover]]="MM_LIFE",Table2[[#This Row],[Age Next Birthday]]&gt;=56),2,
""))</f>
        <v/>
      </c>
      <c r="AJ553" s="328">
        <f>IF(OR(Table2[[#This Row],[Member Type]]="Main Member",Table2[[#This Row],[Main Member Link ID]]=B552),1,0)</f>
        <v>1</v>
      </c>
      <c r="AK553" s="328">
        <f>IF(Table2[[#This Row],[Member Type]]=0,0,
IF(OR(Table2[[#This Row],[Member Type]]="Main Member",Table2[[#This Row],[Main Member Link ID]]&lt;&gt;B553),COUNTIFS(B:B,Table2[[#This Row],[Main Member Link ID]]),
COUNTIFS(B:B,Table2[[#This Row],[Main Member Link ID]],A:A,Table2[[#This Row],[Member Type]])))</f>
        <v>0</v>
      </c>
    </row>
    <row r="554" spans="1:37" x14ac:dyDescent="0.3">
      <c r="A554" s="284">
        <f>Table13[[#This Row],[Member Type]]</f>
        <v>0</v>
      </c>
      <c r="B554" s="284">
        <f>Table13[[#This Row],[Main Member Link ID]]</f>
        <v>0</v>
      </c>
      <c r="C554" s="284">
        <f>Table13[[#This Row],[ID Number]]</f>
        <v>0</v>
      </c>
      <c r="D554" s="285">
        <f>Table13[[#This Row],[Date Of Birth]]</f>
        <v>0</v>
      </c>
      <c r="E554" s="285">
        <f>Table13[[#This Row],[Commencement Date]]</f>
        <v>0</v>
      </c>
      <c r="F554" s="284">
        <f t="shared" si="56"/>
        <v>1</v>
      </c>
      <c r="G554" s="284">
        <f t="shared" si="57"/>
        <v>25</v>
      </c>
      <c r="H554" s="286">
        <f>Table13[[#This Row],[Product Option]]</f>
        <v>0</v>
      </c>
      <c r="I554" s="284">
        <f>IF(AND($A554="Main Member",Table2[[#This Row],[Product Option]]="My Value Plus Life"),"MM_LIFE",
IF(AND($A554="Spouse",Table2[[#This Row],[Product Option]]="My Value Plus Life"),"SP_LIFE",
IF(AND($A554="Main Member",Table2[[#This Row],[Product Option]]="My Value Plus Life &amp; Funeral"),"MM_LIFE",
IF(AND($A554="Spouse",Table2[[#This Row],[Product Option]]="My Value Plus Life &amp; Funeral"),_xlfn.XLOOKUP(Table2[[#This Row],[Benefit Name]],Lookups!$D$18:$D$23,Lookups!$E$18:$E$23,0),
0))))</f>
        <v>0</v>
      </c>
      <c r="J554" s="284">
        <f>IF($I554="","",
IF($I554="MM_LIFE",INDEX('Quotation Tool'!$S$54:$V$60,MATCH($T554,'Quotation Tool'!$S$54:$S$60,0),4),
IF($I554="SP_LIFE",_xlfn.XLOOKUP(B553,$B:$B,$J:$J,0),0)))</f>
        <v>0</v>
      </c>
      <c r="K554" s="287">
        <f t="shared" ca="1" si="61"/>
        <v>0</v>
      </c>
      <c r="L554" s="288">
        <f t="shared" ca="1" si="62"/>
        <v>0</v>
      </c>
      <c r="M554" s="289">
        <f t="shared" ca="1" si="58"/>
        <v>0</v>
      </c>
      <c r="N554" s="286">
        <f>Table13[[#This Row],[Benefit Option]]</f>
        <v>0</v>
      </c>
      <c r="O554" s="284">
        <f>IF(OR(Table2[[#This Row],[Member Type]]="Spouse",Table2[[#This Row],[Member Type]]="Child"),0,
IF(_xlfn.XLOOKUP($N554,Lookups!$D$13:$D$27,Lookups!$F$13:$F$27,0)=Table2[[#This Row],[Table Lookup for Life Cover]],0,
_xlfn.XLOOKUP($N554,Lookups!$D$13:$D$27,Lookups!$F$13:$F$27,0)))</f>
        <v>0</v>
      </c>
      <c r="P554" s="284">
        <f>IF(Table2[[#This Row],[Table Lookup for Funeral]]=0,0,IFERROR(INDEX('Quotation Tool'!$S$54:$V$60,MATCH($T554,'Quotation Tool'!$S$54:$S$60,0),3),0))</f>
        <v>0</v>
      </c>
      <c r="Q554" s="288">
        <f ca="1">IF(OR(Table2[[#This Row],[Benefit Name]]="My Value Plus Life - Main Member",Table2[[#This Row],[Benefit Name]]="My Value Plus Life - Spouse"),0,
IFERROR(VLOOKUP($G554,INDIRECT($O554),$P554,FALSE),0))</f>
        <v>0</v>
      </c>
      <c r="R554" s="288">
        <f ca="1">IF(OR(Table2[[#This Row],[Benefit Name]]="My Value Plus Life - Main Member",Table2[[#This Row],[Benefit Name]]="My Value Plus Life - Spouse"),0,
IFERROR(VLOOKUP($G554,INDIRECT($O554),$P554+1,FALSE),0))</f>
        <v>0</v>
      </c>
      <c r="S554" s="289">
        <f t="shared" ca="1" si="59"/>
        <v>0</v>
      </c>
      <c r="T554" s="284" t="str">
        <f>IF(Table13[[#This Row],[Premium Waiver]]="","None",Table13[[#This Row],[Premium Waiver]])</f>
        <v>None</v>
      </c>
      <c r="U554" s="284">
        <f>Table13[[#This Row],[VAPs Options]]</f>
        <v>0</v>
      </c>
      <c r="V554" s="284">
        <f>Table13[[#This Row],[Annual Increase Option]]</f>
        <v>0</v>
      </c>
      <c r="W554" s="290">
        <f>Table13[[#This Row],[Life Cover Amount]]</f>
        <v>0</v>
      </c>
      <c r="X554" s="290">
        <f>Table13[[#This Row],[Funeral Cover Amount]]</f>
        <v>0</v>
      </c>
      <c r="Y55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5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54" s="301">
        <f t="shared" ca="1" si="60"/>
        <v>0</v>
      </c>
      <c r="AB554" s="298"/>
      <c r="AC554" s="326" t="str">
        <f>IF(Table2[[#This Row],[Member Type]]="Main Member",Lookups!$C$13,
IF(Table2[[#This Row],[Member Type]]="Spouse",_xlfn.XLOOKUP(B554,Table2[Main Member Link ID],Table2[Product Option],0),
IF(AND(Table2[[#This Row],[Member Type]]="Child",_xlfn.XLOOKUP(B554,Table2[Main Member Link ID],Table2[Product Option],0)&lt;&gt;"My Value Plus Life"),Lookups!$C$24,
IF(AND(OR(Table2[[#This Row],[Member Type]]="Parent",Table2[[#This Row],[Member Type]]="Extended"),_xlfn.XLOOKUP(B554,Table2[Main Member Link ID],Table2[Product Option],0)&lt;&gt;"My Value Plus Life"),Lookups!$C$26,""))))</f>
        <v/>
      </c>
      <c r="AD554" s="326" t="str">
        <f>IF(Table2[[#This Row],[Member Type]]="Main Member",Lookups!$C$14,"")</f>
        <v/>
      </c>
      <c r="AE55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Funeral",_xlfn.XLOOKUP(B554,Table2[Main Member Link ID],Table2[Benefit Name],0)=Lookups!$D$14),"",
IF(AND(Table2[[#This Row],[Member Type]]="Spouse",Table2[[#This Row],[Product Option]]="My Value Plus Life &amp; Funeral",_xlfn.XLOOKUP(B553,Table2[Main Member Link ID],Table2[Benefit Name],0)=Lookups!$D$15),Lookups!$D$20,
IF(AND(Table2[[#This Row],[Member Type]]="Spouse",Table2[[#This Row],[Product Option]]="My Value Plus Life &amp; Funeral",_xlfn.XLOOKUP(B553,Table2[Main Member Link ID],Table2[Benefit Name],0)=Lookups!$D$16),"",
IF(AND(Table2[[#This Row],[Member Type]]="Spouse",Table2[[#This Row],[Product Option]]="My Value Plus Life &amp; Funeral",_xlfn.XLOOKUP(B553,Table2[Main Member Link ID],Table2[Benefit Name],0)=Lookups!$D$17),Lookups!$D$21,
IF(AND(Table2[[#This Row],[Member Type]]="Child",Table2[[#This Row],[Product Option]]="My Value Plus Life &amp; Funeral",_xlfn.XLOOKUP(B554,Table2[Main Member Link ID],Table2[Benefit Name],0)=Lookups!$D$14),"",
IF(AND(Table2[[#This Row],[Member Type]]="Child",Table2[[#This Row],[Product Option]]="My Value Plus Life &amp; Funeral",_xlfn.XLOOKUP(B554,Table2[Main Member Link ID],Table2[Benefit Name],0)=Lookups!$D$15),"",
IF(AND(Table2[[#This Row],[Member Type]]="Child",Table2[[#This Row],[Product Option]]="My Value Plus Life &amp; Funeral",_xlfn.XLOOKUP(B554,Table2[Main Member Link ID],Table2[Benefit Name],0)=Lookups!$D$16),Lookups!$D$24,
IF(AND(Table2[[#This Row],[Member Type]]="Child",Table2[[#This Row],[Product Option]]="My Value Plus Life &amp; Funeral",_xlfn.XLOOKUP(B554,Table2[Main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Funeral",_xlfn.XLOOKUP(B554,Table2[Main Member Link ID],Table2[Benefit Name],0)&lt;&gt;Lookups!$D$14),
IF(_xlfn.XLOOKUP(B554,Table2[Main Member Link ID],Table2[Benefit Name],0)=0,"",_xlfn.XLOOKUP(B554,Table2[Main Member Link ID],Table2[Benefit Name],0)),"")))))))))))))))</f>
        <v/>
      </c>
      <c r="AF554" s="327" t="str">
        <f>IF(AND(Table2[[#This Row],[Member Type]]="Main Member",Table2[[#This Row],[Product Option]]="My Value Plus Life &amp; Funeral"),Lookups!$D$15,
IF(AND(Table2[[#This Row],[Member Type]]="Spouse",Table2[[#This Row],[Product Option]]="My Value Plus Life &amp; Funeral",_xlfn.XLOOKUP(B554,Table2[Main Member Link ID],Table2[Benefit Name],0)=Lookups!$D$14),"",
IF(AND(Table2[[#This Row],[Member Type]]="Spouse",Table2[[#This Row],[Product Option]]="My Value Plus Life &amp; Funeral",_xlfn.XLOOKUP(B553,Table2[Main Member Link ID],Table2[Benefit Name],0)=Lookups!$D$16),"",
IF(AND(Table2[[#This Row],[Member Type]]="Spouse",Table2[[#This Row],[Product Option]]="My Value Plus Life &amp; Funeral",_xlfn.XLOOKUP(B553,Table2[Main Member Link ID],Table2[Benefit Name],0)=Lookups!$D$15),"",
IF(AND(Table2[[#This Row],[Member Type]]="Spouse",Table2[[#This Row],[Product Option]]="My Value Plus Life &amp; Funeral",_xlfn.XLOOKUP(B553,Table2[Main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Funeral",_xlfn.XLOOKUP(B554,Table2[Main Member Link ID],Table2[Benefit Name],0)&lt;&gt;Lookups!$D$15),
IF(_xlfn.XLOOKUP(B554,Table2[Main Member Link ID],Table2[Benefit Name],0)=0,"",_xlfn.XLOOKUP(B554,Table2[Main Member Link ID],Table2[Benefit Name],0)),"")
))))))</f>
        <v/>
      </c>
      <c r="AG554" s="327" t="str">
        <f>IF(AND(Table2[[#This Row],[Member Type]]="Main Member",Table2[[#This Row],[Product Option]]="My Value Plus Life &amp; Funeral"),Lookups!$D$16,
IF(AND(Table2[[#This Row],[Member Type]]="Spouse",Table2[[#This Row],[Product Option]]="My Value Plus Life &amp; Funeral",_xlfn.XLOOKUP(B554,Table2[Main Member Link ID],Table2[Benefit Name],0)=Lookups!$D$14),"",
IF(AND(Table2[[#This Row],[Member Type]]="Spouse",Table2[[#This Row],[Product Option]]="My Value Plus Life &amp; Funeral",_xlfn.XLOOKUP(B553,Table2[Main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Funeral",_xlfn.XLOOKUP(B554,Table2[Main Member Link ID],Table2[Benefit Name],0)&lt;&gt;Lookups!$D$16),
IF(_xlfn.XLOOKUP(B554,Table2[Main Member Link ID],Table2[Benefit Name],0)=0,"",_xlfn.XLOOKUP(B554,Table2[Main Member Link ID],Table2[Benefit Name],0)),"")
))))</f>
        <v/>
      </c>
      <c r="AH554" s="327" t="str">
        <f>IF(AND(Table2[[#This Row],[Member Type]]="Main Member",Table2[[#This Row],[Product Option]]="My Value Plus Life &amp; Funeral"),Lookups!$D$17,
IF(AND(Table2[[#This Row],[Member Type]]="Spouse",Table2[[#This Row],[Product Option]]="My Value Plus Life &amp; Funeral",_xlfn.XLOOKUP(B554,Table2[Main Member Link ID],Table2[Benefit Name],0)=Lookups!$D$14),"",
IF(AND(Table2[[#This Row],[Member Type]]="Spouse",Table2[[#This Row],[Product Option]]="My Value Plus Life &amp; Funeral",_xlfn.XLOOKUP(B553,Table2[Main Member Link ID],Table2[Benefit Name],0)=Lookups!$D$16),"",
IF(AND(Table2[[#This Row],[Member Type]]="Child",Table2[[#This Row],[Product Option]]="My Value Plus Life &amp; Funeral"),"",
IF(AND(Table2[[#This Row],[Member Type]]="Child",Table2[[#This Row],[Product Option]]="My Value Plus Life &amp; Funeral",_xlfn.XLOOKUP(B554,Table2[Main Member Link ID],Table2[Benefit Name],0)=Lookups!$D$15),"",
IF(AND(OR(Table2[[#This Row],[Member Type]]="Spouse",Table2[[#This Row],[Member Type]]="Child"),Table2[[#This Row],[Product Option]]="My Value Plus Life &amp; Funeral",_xlfn.XLOOKUP(B554,Table2[Main Member Link ID],Table2[Benefit Name],0)&lt;&gt;Lookups!$D$17),
IF(_xlfn.XLOOKUP(B554,Table2[Main Member Link ID],Table2[Benefit Name],0)=0,"",_xlfn.XLOOKUP(B554,Table2[Main Member Link ID],Table2[Benefit Name],0)),""))))))</f>
        <v/>
      </c>
      <c r="AI554" s="328" t="str">
        <f>IF(AND(Table2[[#This Row],[Member Type]]="Main Member",Table2[[#This Row],[Table Lookup for Life Cover]]="MM_LIFE",Table2[[#This Row],[Age Next Birthday]]&lt;56),1,
IF(AND(Table2[[#This Row],[Member Type]]="Main Member",Table2[[#This Row],[Table Lookup for Life Cover]]="MM_LIFE",Table2[[#This Row],[Age Next Birthday]]&gt;=56),2,
""))</f>
        <v/>
      </c>
      <c r="AJ554" s="328">
        <f>IF(OR(Table2[[#This Row],[Member Type]]="Main Member",Table2[[#This Row],[Main Member Link ID]]=B553),1,0)</f>
        <v>1</v>
      </c>
      <c r="AK554" s="328">
        <f>IF(Table2[[#This Row],[Member Type]]=0,0,
IF(OR(Table2[[#This Row],[Member Type]]="Main Member",Table2[[#This Row],[Main Member Link ID]]&lt;&gt;B554),COUNTIFS(B:B,Table2[[#This Row],[Main Member Link ID]]),
COUNTIFS(B:B,Table2[[#This Row],[Main Member Link ID]],A:A,Table2[[#This Row],[Member Type]])))</f>
        <v>0</v>
      </c>
    </row>
    <row r="555" spans="1:37" x14ac:dyDescent="0.3">
      <c r="A555" s="284">
        <f>Table13[[#This Row],[Member Type]]</f>
        <v>0</v>
      </c>
      <c r="B555" s="284">
        <f>Table13[[#This Row],[Main Member Link ID]]</f>
        <v>0</v>
      </c>
      <c r="C555" s="284">
        <f>Table13[[#This Row],[ID Number]]</f>
        <v>0</v>
      </c>
      <c r="D555" s="285">
        <f>Table13[[#This Row],[Date Of Birth]]</f>
        <v>0</v>
      </c>
      <c r="E555" s="285">
        <f>Table13[[#This Row],[Commencement Date]]</f>
        <v>0</v>
      </c>
      <c r="F555" s="284">
        <f t="shared" si="56"/>
        <v>1</v>
      </c>
      <c r="G555" s="284">
        <f t="shared" si="57"/>
        <v>25</v>
      </c>
      <c r="H555" s="286">
        <f>Table13[[#This Row],[Product Option]]</f>
        <v>0</v>
      </c>
      <c r="I555" s="284">
        <f>IF(AND($A555="Main Member",Table2[[#This Row],[Product Option]]="My Value Plus Life"),"MM_LIFE",
IF(AND($A555="Spouse",Table2[[#This Row],[Product Option]]="My Value Plus Life"),"SP_LIFE",
IF(AND($A555="Main Member",Table2[[#This Row],[Product Option]]="My Value Plus Life &amp; Funeral"),"MM_LIFE",
IF(AND($A555="Spouse",Table2[[#This Row],[Product Option]]="My Value Plus Life &amp; Funeral"),_xlfn.XLOOKUP(Table2[[#This Row],[Benefit Name]],Lookups!$D$18:$D$23,Lookups!$E$18:$E$23,0),
0))))</f>
        <v>0</v>
      </c>
      <c r="J555" s="284">
        <f>IF($I555="","",
IF($I555="MM_LIFE",INDEX('Quotation Tool'!$S$54:$V$60,MATCH($T555,'Quotation Tool'!$S$54:$S$60,0),4),
IF($I555="SP_LIFE",_xlfn.XLOOKUP(B554,$B:$B,$J:$J,0),0)))</f>
        <v>0</v>
      </c>
      <c r="K555" s="287">
        <f t="shared" ca="1" si="61"/>
        <v>0</v>
      </c>
      <c r="L555" s="288">
        <f t="shared" ca="1" si="62"/>
        <v>0</v>
      </c>
      <c r="M555" s="289">
        <f t="shared" ca="1" si="58"/>
        <v>0</v>
      </c>
      <c r="N555" s="286">
        <f>Table13[[#This Row],[Benefit Option]]</f>
        <v>0</v>
      </c>
      <c r="O555" s="284">
        <f>IF(OR(Table2[[#This Row],[Member Type]]="Spouse",Table2[[#This Row],[Member Type]]="Child"),0,
IF(_xlfn.XLOOKUP($N555,Lookups!$D$13:$D$27,Lookups!$F$13:$F$27,0)=Table2[[#This Row],[Table Lookup for Life Cover]],0,
_xlfn.XLOOKUP($N555,Lookups!$D$13:$D$27,Lookups!$F$13:$F$27,0)))</f>
        <v>0</v>
      </c>
      <c r="P555" s="284">
        <f>IF(Table2[[#This Row],[Table Lookup for Funeral]]=0,0,IFERROR(INDEX('Quotation Tool'!$S$54:$V$60,MATCH($T555,'Quotation Tool'!$S$54:$S$60,0),3),0))</f>
        <v>0</v>
      </c>
      <c r="Q555" s="288">
        <f ca="1">IF(OR(Table2[[#This Row],[Benefit Name]]="My Value Plus Life - Main Member",Table2[[#This Row],[Benefit Name]]="My Value Plus Life - Spouse"),0,
IFERROR(VLOOKUP($G555,INDIRECT($O555),$P555,FALSE),0))</f>
        <v>0</v>
      </c>
      <c r="R555" s="288">
        <f ca="1">IF(OR(Table2[[#This Row],[Benefit Name]]="My Value Plus Life - Main Member",Table2[[#This Row],[Benefit Name]]="My Value Plus Life - Spouse"),0,
IFERROR(VLOOKUP($G555,INDIRECT($O555),$P555+1,FALSE),0))</f>
        <v>0</v>
      </c>
      <c r="S555" s="289">
        <f t="shared" ca="1" si="59"/>
        <v>0</v>
      </c>
      <c r="T555" s="284" t="str">
        <f>IF(Table13[[#This Row],[Premium Waiver]]="","None",Table13[[#This Row],[Premium Waiver]])</f>
        <v>None</v>
      </c>
      <c r="U555" s="284">
        <f>Table13[[#This Row],[VAPs Options]]</f>
        <v>0</v>
      </c>
      <c r="V555" s="284">
        <f>Table13[[#This Row],[Annual Increase Option]]</f>
        <v>0</v>
      </c>
      <c r="W555" s="290">
        <f>Table13[[#This Row],[Life Cover Amount]]</f>
        <v>0</v>
      </c>
      <c r="X555" s="290">
        <f>Table13[[#This Row],[Funeral Cover Amount]]</f>
        <v>0</v>
      </c>
      <c r="Y55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5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55" s="301">
        <f t="shared" ca="1" si="60"/>
        <v>0</v>
      </c>
      <c r="AB555" s="298"/>
      <c r="AC555" s="326" t="str">
        <f>IF(Table2[[#This Row],[Member Type]]="Main Member",Lookups!$C$13,
IF(Table2[[#This Row],[Member Type]]="Spouse",_xlfn.XLOOKUP(B555,Table2[Main Member Link ID],Table2[Product Option],0),
IF(AND(Table2[[#This Row],[Member Type]]="Child",_xlfn.XLOOKUP(B555,Table2[Main Member Link ID],Table2[Product Option],0)&lt;&gt;"My Value Plus Life"),Lookups!$C$24,
IF(AND(OR(Table2[[#This Row],[Member Type]]="Parent",Table2[[#This Row],[Member Type]]="Extended"),_xlfn.XLOOKUP(B555,Table2[Main Member Link ID],Table2[Product Option],0)&lt;&gt;"My Value Plus Life"),Lookups!$C$26,""))))</f>
        <v/>
      </c>
      <c r="AD555" s="326" t="str">
        <f>IF(Table2[[#This Row],[Member Type]]="Main Member",Lookups!$C$14,"")</f>
        <v/>
      </c>
      <c r="AE55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Funeral",_xlfn.XLOOKUP(B555,Table2[Main Member Link ID],Table2[Benefit Name],0)=Lookups!$D$14),"",
IF(AND(Table2[[#This Row],[Member Type]]="Spouse",Table2[[#This Row],[Product Option]]="My Value Plus Life &amp; Funeral",_xlfn.XLOOKUP(B554,Table2[Main Member Link ID],Table2[Benefit Name],0)=Lookups!$D$15),Lookups!$D$20,
IF(AND(Table2[[#This Row],[Member Type]]="Spouse",Table2[[#This Row],[Product Option]]="My Value Plus Life &amp; Funeral",_xlfn.XLOOKUP(B554,Table2[Main Member Link ID],Table2[Benefit Name],0)=Lookups!$D$16),"",
IF(AND(Table2[[#This Row],[Member Type]]="Spouse",Table2[[#This Row],[Product Option]]="My Value Plus Life &amp; Funeral",_xlfn.XLOOKUP(B554,Table2[Main Member Link ID],Table2[Benefit Name],0)=Lookups!$D$17),Lookups!$D$21,
IF(AND(Table2[[#This Row],[Member Type]]="Child",Table2[[#This Row],[Product Option]]="My Value Plus Life &amp; Funeral",_xlfn.XLOOKUP(B555,Table2[Main Member Link ID],Table2[Benefit Name],0)=Lookups!$D$14),"",
IF(AND(Table2[[#This Row],[Member Type]]="Child",Table2[[#This Row],[Product Option]]="My Value Plus Life &amp; Funeral",_xlfn.XLOOKUP(B555,Table2[Main Member Link ID],Table2[Benefit Name],0)=Lookups!$D$15),"",
IF(AND(Table2[[#This Row],[Member Type]]="Child",Table2[[#This Row],[Product Option]]="My Value Plus Life &amp; Funeral",_xlfn.XLOOKUP(B555,Table2[Main Member Link ID],Table2[Benefit Name],0)=Lookups!$D$16),Lookups!$D$24,
IF(AND(Table2[[#This Row],[Member Type]]="Child",Table2[[#This Row],[Product Option]]="My Value Plus Life &amp; Funeral",_xlfn.XLOOKUP(B555,Table2[Main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Funeral",_xlfn.XLOOKUP(B555,Table2[Main Member Link ID],Table2[Benefit Name],0)&lt;&gt;Lookups!$D$14),
IF(_xlfn.XLOOKUP(B555,Table2[Main Member Link ID],Table2[Benefit Name],0)=0,"",_xlfn.XLOOKUP(B555,Table2[Main Member Link ID],Table2[Benefit Name],0)),"")))))))))))))))</f>
        <v/>
      </c>
      <c r="AF555" s="327" t="str">
        <f>IF(AND(Table2[[#This Row],[Member Type]]="Main Member",Table2[[#This Row],[Product Option]]="My Value Plus Life &amp; Funeral"),Lookups!$D$15,
IF(AND(Table2[[#This Row],[Member Type]]="Spouse",Table2[[#This Row],[Product Option]]="My Value Plus Life &amp; Funeral",_xlfn.XLOOKUP(B555,Table2[Main Member Link ID],Table2[Benefit Name],0)=Lookups!$D$14),"",
IF(AND(Table2[[#This Row],[Member Type]]="Spouse",Table2[[#This Row],[Product Option]]="My Value Plus Life &amp; Funeral",_xlfn.XLOOKUP(B554,Table2[Main Member Link ID],Table2[Benefit Name],0)=Lookups!$D$16),"",
IF(AND(Table2[[#This Row],[Member Type]]="Spouse",Table2[[#This Row],[Product Option]]="My Value Plus Life &amp; Funeral",_xlfn.XLOOKUP(B554,Table2[Main Member Link ID],Table2[Benefit Name],0)=Lookups!$D$15),"",
IF(AND(Table2[[#This Row],[Member Type]]="Spouse",Table2[[#This Row],[Product Option]]="My Value Plus Life &amp; Funeral",_xlfn.XLOOKUP(B554,Table2[Main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Funeral",_xlfn.XLOOKUP(B555,Table2[Main Member Link ID],Table2[Benefit Name],0)&lt;&gt;Lookups!$D$15),
IF(_xlfn.XLOOKUP(B555,Table2[Main Member Link ID],Table2[Benefit Name],0)=0,"",_xlfn.XLOOKUP(B555,Table2[Main Member Link ID],Table2[Benefit Name],0)),"")
))))))</f>
        <v/>
      </c>
      <c r="AG555" s="327" t="str">
        <f>IF(AND(Table2[[#This Row],[Member Type]]="Main Member",Table2[[#This Row],[Product Option]]="My Value Plus Life &amp; Funeral"),Lookups!$D$16,
IF(AND(Table2[[#This Row],[Member Type]]="Spouse",Table2[[#This Row],[Product Option]]="My Value Plus Life &amp; Funeral",_xlfn.XLOOKUP(B555,Table2[Main Member Link ID],Table2[Benefit Name],0)=Lookups!$D$14),"",
IF(AND(Table2[[#This Row],[Member Type]]="Spouse",Table2[[#This Row],[Product Option]]="My Value Plus Life &amp; Funeral",_xlfn.XLOOKUP(B554,Table2[Main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Funeral",_xlfn.XLOOKUP(B555,Table2[Main Member Link ID],Table2[Benefit Name],0)&lt;&gt;Lookups!$D$16),
IF(_xlfn.XLOOKUP(B555,Table2[Main Member Link ID],Table2[Benefit Name],0)=0,"",_xlfn.XLOOKUP(B555,Table2[Main Member Link ID],Table2[Benefit Name],0)),"")
))))</f>
        <v/>
      </c>
      <c r="AH555" s="327" t="str">
        <f>IF(AND(Table2[[#This Row],[Member Type]]="Main Member",Table2[[#This Row],[Product Option]]="My Value Plus Life &amp; Funeral"),Lookups!$D$17,
IF(AND(Table2[[#This Row],[Member Type]]="Spouse",Table2[[#This Row],[Product Option]]="My Value Plus Life &amp; Funeral",_xlfn.XLOOKUP(B555,Table2[Main Member Link ID],Table2[Benefit Name],0)=Lookups!$D$14),"",
IF(AND(Table2[[#This Row],[Member Type]]="Spouse",Table2[[#This Row],[Product Option]]="My Value Plus Life &amp; Funeral",_xlfn.XLOOKUP(B554,Table2[Main Member Link ID],Table2[Benefit Name],0)=Lookups!$D$16),"",
IF(AND(Table2[[#This Row],[Member Type]]="Child",Table2[[#This Row],[Product Option]]="My Value Plus Life &amp; Funeral"),"",
IF(AND(Table2[[#This Row],[Member Type]]="Child",Table2[[#This Row],[Product Option]]="My Value Plus Life &amp; Funeral",_xlfn.XLOOKUP(B555,Table2[Main Member Link ID],Table2[Benefit Name],0)=Lookups!$D$15),"",
IF(AND(OR(Table2[[#This Row],[Member Type]]="Spouse",Table2[[#This Row],[Member Type]]="Child"),Table2[[#This Row],[Product Option]]="My Value Plus Life &amp; Funeral",_xlfn.XLOOKUP(B555,Table2[Main Member Link ID],Table2[Benefit Name],0)&lt;&gt;Lookups!$D$17),
IF(_xlfn.XLOOKUP(B555,Table2[Main Member Link ID],Table2[Benefit Name],0)=0,"",_xlfn.XLOOKUP(B555,Table2[Main Member Link ID],Table2[Benefit Name],0)),""))))))</f>
        <v/>
      </c>
      <c r="AI555" s="328" t="str">
        <f>IF(AND(Table2[[#This Row],[Member Type]]="Main Member",Table2[[#This Row],[Table Lookup for Life Cover]]="MM_LIFE",Table2[[#This Row],[Age Next Birthday]]&lt;56),1,
IF(AND(Table2[[#This Row],[Member Type]]="Main Member",Table2[[#This Row],[Table Lookup for Life Cover]]="MM_LIFE",Table2[[#This Row],[Age Next Birthday]]&gt;=56),2,
""))</f>
        <v/>
      </c>
      <c r="AJ555" s="328">
        <f>IF(OR(Table2[[#This Row],[Member Type]]="Main Member",Table2[[#This Row],[Main Member Link ID]]=B554),1,0)</f>
        <v>1</v>
      </c>
      <c r="AK555" s="328">
        <f>IF(Table2[[#This Row],[Member Type]]=0,0,
IF(OR(Table2[[#This Row],[Member Type]]="Main Member",Table2[[#This Row],[Main Member Link ID]]&lt;&gt;B555),COUNTIFS(B:B,Table2[[#This Row],[Main Member Link ID]]),
COUNTIFS(B:B,Table2[[#This Row],[Main Member Link ID]],A:A,Table2[[#This Row],[Member Type]])))</f>
        <v>0</v>
      </c>
    </row>
    <row r="556" spans="1:37" x14ac:dyDescent="0.3">
      <c r="A556" s="284">
        <f>Table13[[#This Row],[Member Type]]</f>
        <v>0</v>
      </c>
      <c r="B556" s="284">
        <f>Table13[[#This Row],[Main Member Link ID]]</f>
        <v>0</v>
      </c>
      <c r="C556" s="284">
        <f>Table13[[#This Row],[ID Number]]</f>
        <v>0</v>
      </c>
      <c r="D556" s="285">
        <f>Table13[[#This Row],[Date Of Birth]]</f>
        <v>0</v>
      </c>
      <c r="E556" s="285">
        <f>Table13[[#This Row],[Commencement Date]]</f>
        <v>0</v>
      </c>
      <c r="F556" s="284">
        <f t="shared" si="56"/>
        <v>1</v>
      </c>
      <c r="G556" s="284">
        <f t="shared" si="57"/>
        <v>25</v>
      </c>
      <c r="H556" s="286">
        <f>Table13[[#This Row],[Product Option]]</f>
        <v>0</v>
      </c>
      <c r="I556" s="284">
        <f>IF(AND($A556="Main Member",Table2[[#This Row],[Product Option]]="My Value Plus Life"),"MM_LIFE",
IF(AND($A556="Spouse",Table2[[#This Row],[Product Option]]="My Value Plus Life"),"SP_LIFE",
IF(AND($A556="Main Member",Table2[[#This Row],[Product Option]]="My Value Plus Life &amp; Funeral"),"MM_LIFE",
IF(AND($A556="Spouse",Table2[[#This Row],[Product Option]]="My Value Plus Life &amp; Funeral"),_xlfn.XLOOKUP(Table2[[#This Row],[Benefit Name]],Lookups!$D$18:$D$23,Lookups!$E$18:$E$23,0),
0))))</f>
        <v>0</v>
      </c>
      <c r="J556" s="284">
        <f>IF($I556="","",
IF($I556="MM_LIFE",INDEX('Quotation Tool'!$S$54:$V$60,MATCH($T556,'Quotation Tool'!$S$54:$S$60,0),4),
IF($I556="SP_LIFE",_xlfn.XLOOKUP(B555,$B:$B,$J:$J,0),0)))</f>
        <v>0</v>
      </c>
      <c r="K556" s="287">
        <f t="shared" ca="1" si="61"/>
        <v>0</v>
      </c>
      <c r="L556" s="288">
        <f t="shared" ca="1" si="62"/>
        <v>0</v>
      </c>
      <c r="M556" s="289">
        <f t="shared" ca="1" si="58"/>
        <v>0</v>
      </c>
      <c r="N556" s="286">
        <f>Table13[[#This Row],[Benefit Option]]</f>
        <v>0</v>
      </c>
      <c r="O556" s="284">
        <f>IF(OR(Table2[[#This Row],[Member Type]]="Spouse",Table2[[#This Row],[Member Type]]="Child"),0,
IF(_xlfn.XLOOKUP($N556,Lookups!$D$13:$D$27,Lookups!$F$13:$F$27,0)=Table2[[#This Row],[Table Lookup for Life Cover]],0,
_xlfn.XLOOKUP($N556,Lookups!$D$13:$D$27,Lookups!$F$13:$F$27,0)))</f>
        <v>0</v>
      </c>
      <c r="P556" s="284">
        <f>IF(Table2[[#This Row],[Table Lookup for Funeral]]=0,0,IFERROR(INDEX('Quotation Tool'!$S$54:$V$60,MATCH($T556,'Quotation Tool'!$S$54:$S$60,0),3),0))</f>
        <v>0</v>
      </c>
      <c r="Q556" s="288">
        <f ca="1">IF(OR(Table2[[#This Row],[Benefit Name]]="My Value Plus Life - Main Member",Table2[[#This Row],[Benefit Name]]="My Value Plus Life - Spouse"),0,
IFERROR(VLOOKUP($G556,INDIRECT($O556),$P556,FALSE),0))</f>
        <v>0</v>
      </c>
      <c r="R556" s="288">
        <f ca="1">IF(OR(Table2[[#This Row],[Benefit Name]]="My Value Plus Life - Main Member",Table2[[#This Row],[Benefit Name]]="My Value Plus Life - Spouse"),0,
IFERROR(VLOOKUP($G556,INDIRECT($O556),$P556+1,FALSE),0))</f>
        <v>0</v>
      </c>
      <c r="S556" s="289">
        <f t="shared" ca="1" si="59"/>
        <v>0</v>
      </c>
      <c r="T556" s="284" t="str">
        <f>IF(Table13[[#This Row],[Premium Waiver]]="","None",Table13[[#This Row],[Premium Waiver]])</f>
        <v>None</v>
      </c>
      <c r="U556" s="284">
        <f>Table13[[#This Row],[VAPs Options]]</f>
        <v>0</v>
      </c>
      <c r="V556" s="284">
        <f>Table13[[#This Row],[Annual Increase Option]]</f>
        <v>0</v>
      </c>
      <c r="W556" s="290">
        <f>Table13[[#This Row],[Life Cover Amount]]</f>
        <v>0</v>
      </c>
      <c r="X556" s="290">
        <f>Table13[[#This Row],[Funeral Cover Amount]]</f>
        <v>0</v>
      </c>
      <c r="Y55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5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56" s="301">
        <f t="shared" ca="1" si="60"/>
        <v>0</v>
      </c>
      <c r="AB556" s="298"/>
      <c r="AC556" s="326" t="str">
        <f>IF(Table2[[#This Row],[Member Type]]="Main Member",Lookups!$C$13,
IF(Table2[[#This Row],[Member Type]]="Spouse",_xlfn.XLOOKUP(B556,Table2[Main Member Link ID],Table2[Product Option],0),
IF(AND(Table2[[#This Row],[Member Type]]="Child",_xlfn.XLOOKUP(B556,Table2[Main Member Link ID],Table2[Product Option],0)&lt;&gt;"My Value Plus Life"),Lookups!$C$24,
IF(AND(OR(Table2[[#This Row],[Member Type]]="Parent",Table2[[#This Row],[Member Type]]="Extended"),_xlfn.XLOOKUP(B556,Table2[Main Member Link ID],Table2[Product Option],0)&lt;&gt;"My Value Plus Life"),Lookups!$C$26,""))))</f>
        <v/>
      </c>
      <c r="AD556" s="326" t="str">
        <f>IF(Table2[[#This Row],[Member Type]]="Main Member",Lookups!$C$14,"")</f>
        <v/>
      </c>
      <c r="AE55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Funeral",_xlfn.XLOOKUP(B556,Table2[Main Member Link ID],Table2[Benefit Name],0)=Lookups!$D$14),"",
IF(AND(Table2[[#This Row],[Member Type]]="Spouse",Table2[[#This Row],[Product Option]]="My Value Plus Life &amp; Funeral",_xlfn.XLOOKUP(B555,Table2[Main Member Link ID],Table2[Benefit Name],0)=Lookups!$D$15),Lookups!$D$20,
IF(AND(Table2[[#This Row],[Member Type]]="Spouse",Table2[[#This Row],[Product Option]]="My Value Plus Life &amp; Funeral",_xlfn.XLOOKUP(B555,Table2[Main Member Link ID],Table2[Benefit Name],0)=Lookups!$D$16),"",
IF(AND(Table2[[#This Row],[Member Type]]="Spouse",Table2[[#This Row],[Product Option]]="My Value Plus Life &amp; Funeral",_xlfn.XLOOKUP(B555,Table2[Main Member Link ID],Table2[Benefit Name],0)=Lookups!$D$17),Lookups!$D$21,
IF(AND(Table2[[#This Row],[Member Type]]="Child",Table2[[#This Row],[Product Option]]="My Value Plus Life &amp; Funeral",_xlfn.XLOOKUP(B556,Table2[Main Member Link ID],Table2[Benefit Name],0)=Lookups!$D$14),"",
IF(AND(Table2[[#This Row],[Member Type]]="Child",Table2[[#This Row],[Product Option]]="My Value Plus Life &amp; Funeral",_xlfn.XLOOKUP(B556,Table2[Main Member Link ID],Table2[Benefit Name],0)=Lookups!$D$15),"",
IF(AND(Table2[[#This Row],[Member Type]]="Child",Table2[[#This Row],[Product Option]]="My Value Plus Life &amp; Funeral",_xlfn.XLOOKUP(B556,Table2[Main Member Link ID],Table2[Benefit Name],0)=Lookups!$D$16),Lookups!$D$24,
IF(AND(Table2[[#This Row],[Member Type]]="Child",Table2[[#This Row],[Product Option]]="My Value Plus Life &amp; Funeral",_xlfn.XLOOKUP(B556,Table2[Main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Funeral",_xlfn.XLOOKUP(B556,Table2[Main Member Link ID],Table2[Benefit Name],0)&lt;&gt;Lookups!$D$14),
IF(_xlfn.XLOOKUP(B556,Table2[Main Member Link ID],Table2[Benefit Name],0)=0,"",_xlfn.XLOOKUP(B556,Table2[Main Member Link ID],Table2[Benefit Name],0)),"")))))))))))))))</f>
        <v/>
      </c>
      <c r="AF556" s="327" t="str">
        <f>IF(AND(Table2[[#This Row],[Member Type]]="Main Member",Table2[[#This Row],[Product Option]]="My Value Plus Life &amp; Funeral"),Lookups!$D$15,
IF(AND(Table2[[#This Row],[Member Type]]="Spouse",Table2[[#This Row],[Product Option]]="My Value Plus Life &amp; Funeral",_xlfn.XLOOKUP(B556,Table2[Main Member Link ID],Table2[Benefit Name],0)=Lookups!$D$14),"",
IF(AND(Table2[[#This Row],[Member Type]]="Spouse",Table2[[#This Row],[Product Option]]="My Value Plus Life &amp; Funeral",_xlfn.XLOOKUP(B555,Table2[Main Member Link ID],Table2[Benefit Name],0)=Lookups!$D$16),"",
IF(AND(Table2[[#This Row],[Member Type]]="Spouse",Table2[[#This Row],[Product Option]]="My Value Plus Life &amp; Funeral",_xlfn.XLOOKUP(B555,Table2[Main Member Link ID],Table2[Benefit Name],0)=Lookups!$D$15),"",
IF(AND(Table2[[#This Row],[Member Type]]="Spouse",Table2[[#This Row],[Product Option]]="My Value Plus Life &amp; Funeral",_xlfn.XLOOKUP(B555,Table2[Main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Funeral",_xlfn.XLOOKUP(B556,Table2[Main Member Link ID],Table2[Benefit Name],0)&lt;&gt;Lookups!$D$15),
IF(_xlfn.XLOOKUP(B556,Table2[Main Member Link ID],Table2[Benefit Name],0)=0,"",_xlfn.XLOOKUP(B556,Table2[Main Member Link ID],Table2[Benefit Name],0)),"")
))))))</f>
        <v/>
      </c>
      <c r="AG556" s="327" t="str">
        <f>IF(AND(Table2[[#This Row],[Member Type]]="Main Member",Table2[[#This Row],[Product Option]]="My Value Plus Life &amp; Funeral"),Lookups!$D$16,
IF(AND(Table2[[#This Row],[Member Type]]="Spouse",Table2[[#This Row],[Product Option]]="My Value Plus Life &amp; Funeral",_xlfn.XLOOKUP(B556,Table2[Main Member Link ID],Table2[Benefit Name],0)=Lookups!$D$14),"",
IF(AND(Table2[[#This Row],[Member Type]]="Spouse",Table2[[#This Row],[Product Option]]="My Value Plus Life &amp; Funeral",_xlfn.XLOOKUP(B555,Table2[Main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Funeral",_xlfn.XLOOKUP(B556,Table2[Main Member Link ID],Table2[Benefit Name],0)&lt;&gt;Lookups!$D$16),
IF(_xlfn.XLOOKUP(B556,Table2[Main Member Link ID],Table2[Benefit Name],0)=0,"",_xlfn.XLOOKUP(B556,Table2[Main Member Link ID],Table2[Benefit Name],0)),"")
))))</f>
        <v/>
      </c>
      <c r="AH556" s="327" t="str">
        <f>IF(AND(Table2[[#This Row],[Member Type]]="Main Member",Table2[[#This Row],[Product Option]]="My Value Plus Life &amp; Funeral"),Lookups!$D$17,
IF(AND(Table2[[#This Row],[Member Type]]="Spouse",Table2[[#This Row],[Product Option]]="My Value Plus Life &amp; Funeral",_xlfn.XLOOKUP(B556,Table2[Main Member Link ID],Table2[Benefit Name],0)=Lookups!$D$14),"",
IF(AND(Table2[[#This Row],[Member Type]]="Spouse",Table2[[#This Row],[Product Option]]="My Value Plus Life &amp; Funeral",_xlfn.XLOOKUP(B555,Table2[Main Member Link ID],Table2[Benefit Name],0)=Lookups!$D$16),"",
IF(AND(Table2[[#This Row],[Member Type]]="Child",Table2[[#This Row],[Product Option]]="My Value Plus Life &amp; Funeral"),"",
IF(AND(Table2[[#This Row],[Member Type]]="Child",Table2[[#This Row],[Product Option]]="My Value Plus Life &amp; Funeral",_xlfn.XLOOKUP(B556,Table2[Main Member Link ID],Table2[Benefit Name],0)=Lookups!$D$15),"",
IF(AND(OR(Table2[[#This Row],[Member Type]]="Spouse",Table2[[#This Row],[Member Type]]="Child"),Table2[[#This Row],[Product Option]]="My Value Plus Life &amp; Funeral",_xlfn.XLOOKUP(B556,Table2[Main Member Link ID],Table2[Benefit Name],0)&lt;&gt;Lookups!$D$17),
IF(_xlfn.XLOOKUP(B556,Table2[Main Member Link ID],Table2[Benefit Name],0)=0,"",_xlfn.XLOOKUP(B556,Table2[Main Member Link ID],Table2[Benefit Name],0)),""))))))</f>
        <v/>
      </c>
      <c r="AI556" s="328" t="str">
        <f>IF(AND(Table2[[#This Row],[Member Type]]="Main Member",Table2[[#This Row],[Table Lookup for Life Cover]]="MM_LIFE",Table2[[#This Row],[Age Next Birthday]]&lt;56),1,
IF(AND(Table2[[#This Row],[Member Type]]="Main Member",Table2[[#This Row],[Table Lookup for Life Cover]]="MM_LIFE",Table2[[#This Row],[Age Next Birthday]]&gt;=56),2,
""))</f>
        <v/>
      </c>
      <c r="AJ556" s="328">
        <f>IF(OR(Table2[[#This Row],[Member Type]]="Main Member",Table2[[#This Row],[Main Member Link ID]]=B555),1,0)</f>
        <v>1</v>
      </c>
      <c r="AK556" s="328">
        <f>IF(Table2[[#This Row],[Member Type]]=0,0,
IF(OR(Table2[[#This Row],[Member Type]]="Main Member",Table2[[#This Row],[Main Member Link ID]]&lt;&gt;B556),COUNTIFS(B:B,Table2[[#This Row],[Main Member Link ID]]),
COUNTIFS(B:B,Table2[[#This Row],[Main Member Link ID]],A:A,Table2[[#This Row],[Member Type]])))</f>
        <v>0</v>
      </c>
    </row>
    <row r="557" spans="1:37" x14ac:dyDescent="0.3">
      <c r="A557" s="284">
        <f>Table13[[#This Row],[Member Type]]</f>
        <v>0</v>
      </c>
      <c r="B557" s="284">
        <f>Table13[[#This Row],[Main Member Link ID]]</f>
        <v>0</v>
      </c>
      <c r="C557" s="284">
        <f>Table13[[#This Row],[ID Number]]</f>
        <v>0</v>
      </c>
      <c r="D557" s="285">
        <f>Table13[[#This Row],[Date Of Birth]]</f>
        <v>0</v>
      </c>
      <c r="E557" s="285">
        <f>Table13[[#This Row],[Commencement Date]]</f>
        <v>0</v>
      </c>
      <c r="F557" s="284">
        <f t="shared" si="56"/>
        <v>1</v>
      </c>
      <c r="G557" s="284">
        <f t="shared" si="57"/>
        <v>25</v>
      </c>
      <c r="H557" s="286">
        <f>Table13[[#This Row],[Product Option]]</f>
        <v>0</v>
      </c>
      <c r="I557" s="284">
        <f>IF(AND($A557="Main Member",Table2[[#This Row],[Product Option]]="My Value Plus Life"),"MM_LIFE",
IF(AND($A557="Spouse",Table2[[#This Row],[Product Option]]="My Value Plus Life"),"SP_LIFE",
IF(AND($A557="Main Member",Table2[[#This Row],[Product Option]]="My Value Plus Life &amp; Funeral"),"MM_LIFE",
IF(AND($A557="Spouse",Table2[[#This Row],[Product Option]]="My Value Plus Life &amp; Funeral"),_xlfn.XLOOKUP(Table2[[#This Row],[Benefit Name]],Lookups!$D$18:$D$23,Lookups!$E$18:$E$23,0),
0))))</f>
        <v>0</v>
      </c>
      <c r="J557" s="284">
        <f>IF($I557="","",
IF($I557="MM_LIFE",INDEX('Quotation Tool'!$S$54:$V$60,MATCH($T557,'Quotation Tool'!$S$54:$S$60,0),4),
IF($I557="SP_LIFE",_xlfn.XLOOKUP(B556,$B:$B,$J:$J,0),0)))</f>
        <v>0</v>
      </c>
      <c r="K557" s="287">
        <f t="shared" ca="1" si="61"/>
        <v>0</v>
      </c>
      <c r="L557" s="288">
        <f t="shared" ca="1" si="62"/>
        <v>0</v>
      </c>
      <c r="M557" s="289">
        <f t="shared" ca="1" si="58"/>
        <v>0</v>
      </c>
      <c r="N557" s="286">
        <f>Table13[[#This Row],[Benefit Option]]</f>
        <v>0</v>
      </c>
      <c r="O557" s="284">
        <f>IF(OR(Table2[[#This Row],[Member Type]]="Spouse",Table2[[#This Row],[Member Type]]="Child"),0,
IF(_xlfn.XLOOKUP($N557,Lookups!$D$13:$D$27,Lookups!$F$13:$F$27,0)=Table2[[#This Row],[Table Lookup for Life Cover]],0,
_xlfn.XLOOKUP($N557,Lookups!$D$13:$D$27,Lookups!$F$13:$F$27,0)))</f>
        <v>0</v>
      </c>
      <c r="P557" s="284">
        <f>IF(Table2[[#This Row],[Table Lookup for Funeral]]=0,0,IFERROR(INDEX('Quotation Tool'!$S$54:$V$60,MATCH($T557,'Quotation Tool'!$S$54:$S$60,0),3),0))</f>
        <v>0</v>
      </c>
      <c r="Q557" s="288">
        <f ca="1">IF(OR(Table2[[#This Row],[Benefit Name]]="My Value Plus Life - Main Member",Table2[[#This Row],[Benefit Name]]="My Value Plus Life - Spouse"),0,
IFERROR(VLOOKUP($G557,INDIRECT($O557),$P557,FALSE),0))</f>
        <v>0</v>
      </c>
      <c r="R557" s="288">
        <f ca="1">IF(OR(Table2[[#This Row],[Benefit Name]]="My Value Plus Life - Main Member",Table2[[#This Row],[Benefit Name]]="My Value Plus Life - Spouse"),0,
IFERROR(VLOOKUP($G557,INDIRECT($O557),$P557+1,FALSE),0))</f>
        <v>0</v>
      </c>
      <c r="S557" s="289">
        <f t="shared" ca="1" si="59"/>
        <v>0</v>
      </c>
      <c r="T557" s="284" t="str">
        <f>IF(Table13[[#This Row],[Premium Waiver]]="","None",Table13[[#This Row],[Premium Waiver]])</f>
        <v>None</v>
      </c>
      <c r="U557" s="284">
        <f>Table13[[#This Row],[VAPs Options]]</f>
        <v>0</v>
      </c>
      <c r="V557" s="284">
        <f>Table13[[#This Row],[Annual Increase Option]]</f>
        <v>0</v>
      </c>
      <c r="W557" s="290">
        <f>Table13[[#This Row],[Life Cover Amount]]</f>
        <v>0</v>
      </c>
      <c r="X557" s="290">
        <f>Table13[[#This Row],[Funeral Cover Amount]]</f>
        <v>0</v>
      </c>
      <c r="Y55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5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57" s="301">
        <f t="shared" ca="1" si="60"/>
        <v>0</v>
      </c>
      <c r="AB557" s="298"/>
      <c r="AC557" s="326" t="str">
        <f>IF(Table2[[#This Row],[Member Type]]="Main Member",Lookups!$C$13,
IF(Table2[[#This Row],[Member Type]]="Spouse",_xlfn.XLOOKUP(B557,Table2[Main Member Link ID],Table2[Product Option],0),
IF(AND(Table2[[#This Row],[Member Type]]="Child",_xlfn.XLOOKUP(B557,Table2[Main Member Link ID],Table2[Product Option],0)&lt;&gt;"My Value Plus Life"),Lookups!$C$24,
IF(AND(OR(Table2[[#This Row],[Member Type]]="Parent",Table2[[#This Row],[Member Type]]="Extended"),_xlfn.XLOOKUP(B557,Table2[Main Member Link ID],Table2[Product Option],0)&lt;&gt;"My Value Plus Life"),Lookups!$C$26,""))))</f>
        <v/>
      </c>
      <c r="AD557" s="326" t="str">
        <f>IF(Table2[[#This Row],[Member Type]]="Main Member",Lookups!$C$14,"")</f>
        <v/>
      </c>
      <c r="AE55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Funeral",_xlfn.XLOOKUP(B557,Table2[Main Member Link ID],Table2[Benefit Name],0)=Lookups!$D$14),"",
IF(AND(Table2[[#This Row],[Member Type]]="Spouse",Table2[[#This Row],[Product Option]]="My Value Plus Life &amp; Funeral",_xlfn.XLOOKUP(B556,Table2[Main Member Link ID],Table2[Benefit Name],0)=Lookups!$D$15),Lookups!$D$20,
IF(AND(Table2[[#This Row],[Member Type]]="Spouse",Table2[[#This Row],[Product Option]]="My Value Plus Life &amp; Funeral",_xlfn.XLOOKUP(B556,Table2[Main Member Link ID],Table2[Benefit Name],0)=Lookups!$D$16),"",
IF(AND(Table2[[#This Row],[Member Type]]="Spouse",Table2[[#This Row],[Product Option]]="My Value Plus Life &amp; Funeral",_xlfn.XLOOKUP(B556,Table2[Main Member Link ID],Table2[Benefit Name],0)=Lookups!$D$17),Lookups!$D$21,
IF(AND(Table2[[#This Row],[Member Type]]="Child",Table2[[#This Row],[Product Option]]="My Value Plus Life &amp; Funeral",_xlfn.XLOOKUP(B557,Table2[Main Member Link ID],Table2[Benefit Name],0)=Lookups!$D$14),"",
IF(AND(Table2[[#This Row],[Member Type]]="Child",Table2[[#This Row],[Product Option]]="My Value Plus Life &amp; Funeral",_xlfn.XLOOKUP(B557,Table2[Main Member Link ID],Table2[Benefit Name],0)=Lookups!$D$15),"",
IF(AND(Table2[[#This Row],[Member Type]]="Child",Table2[[#This Row],[Product Option]]="My Value Plus Life &amp; Funeral",_xlfn.XLOOKUP(B557,Table2[Main Member Link ID],Table2[Benefit Name],0)=Lookups!$D$16),Lookups!$D$24,
IF(AND(Table2[[#This Row],[Member Type]]="Child",Table2[[#This Row],[Product Option]]="My Value Plus Life &amp; Funeral",_xlfn.XLOOKUP(B557,Table2[Main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Funeral",_xlfn.XLOOKUP(B557,Table2[Main Member Link ID],Table2[Benefit Name],0)&lt;&gt;Lookups!$D$14),
IF(_xlfn.XLOOKUP(B557,Table2[Main Member Link ID],Table2[Benefit Name],0)=0,"",_xlfn.XLOOKUP(B557,Table2[Main Member Link ID],Table2[Benefit Name],0)),"")))))))))))))))</f>
        <v/>
      </c>
      <c r="AF557" s="327" t="str">
        <f>IF(AND(Table2[[#This Row],[Member Type]]="Main Member",Table2[[#This Row],[Product Option]]="My Value Plus Life &amp; Funeral"),Lookups!$D$15,
IF(AND(Table2[[#This Row],[Member Type]]="Spouse",Table2[[#This Row],[Product Option]]="My Value Plus Life &amp; Funeral",_xlfn.XLOOKUP(B557,Table2[Main Member Link ID],Table2[Benefit Name],0)=Lookups!$D$14),"",
IF(AND(Table2[[#This Row],[Member Type]]="Spouse",Table2[[#This Row],[Product Option]]="My Value Plus Life &amp; Funeral",_xlfn.XLOOKUP(B556,Table2[Main Member Link ID],Table2[Benefit Name],0)=Lookups!$D$16),"",
IF(AND(Table2[[#This Row],[Member Type]]="Spouse",Table2[[#This Row],[Product Option]]="My Value Plus Life &amp; Funeral",_xlfn.XLOOKUP(B556,Table2[Main Member Link ID],Table2[Benefit Name],0)=Lookups!$D$15),"",
IF(AND(Table2[[#This Row],[Member Type]]="Spouse",Table2[[#This Row],[Product Option]]="My Value Plus Life &amp; Funeral",_xlfn.XLOOKUP(B556,Table2[Main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Funeral",_xlfn.XLOOKUP(B557,Table2[Main Member Link ID],Table2[Benefit Name],0)&lt;&gt;Lookups!$D$15),
IF(_xlfn.XLOOKUP(B557,Table2[Main Member Link ID],Table2[Benefit Name],0)=0,"",_xlfn.XLOOKUP(B557,Table2[Main Member Link ID],Table2[Benefit Name],0)),"")
))))))</f>
        <v/>
      </c>
      <c r="AG557" s="327" t="str">
        <f>IF(AND(Table2[[#This Row],[Member Type]]="Main Member",Table2[[#This Row],[Product Option]]="My Value Plus Life &amp; Funeral"),Lookups!$D$16,
IF(AND(Table2[[#This Row],[Member Type]]="Spouse",Table2[[#This Row],[Product Option]]="My Value Plus Life &amp; Funeral",_xlfn.XLOOKUP(B557,Table2[Main Member Link ID],Table2[Benefit Name],0)=Lookups!$D$14),"",
IF(AND(Table2[[#This Row],[Member Type]]="Spouse",Table2[[#This Row],[Product Option]]="My Value Plus Life &amp; Funeral",_xlfn.XLOOKUP(B556,Table2[Main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Funeral",_xlfn.XLOOKUP(B557,Table2[Main Member Link ID],Table2[Benefit Name],0)&lt;&gt;Lookups!$D$16),
IF(_xlfn.XLOOKUP(B557,Table2[Main Member Link ID],Table2[Benefit Name],0)=0,"",_xlfn.XLOOKUP(B557,Table2[Main Member Link ID],Table2[Benefit Name],0)),"")
))))</f>
        <v/>
      </c>
      <c r="AH557" s="327" t="str">
        <f>IF(AND(Table2[[#This Row],[Member Type]]="Main Member",Table2[[#This Row],[Product Option]]="My Value Plus Life &amp; Funeral"),Lookups!$D$17,
IF(AND(Table2[[#This Row],[Member Type]]="Spouse",Table2[[#This Row],[Product Option]]="My Value Plus Life &amp; Funeral",_xlfn.XLOOKUP(B557,Table2[Main Member Link ID],Table2[Benefit Name],0)=Lookups!$D$14),"",
IF(AND(Table2[[#This Row],[Member Type]]="Spouse",Table2[[#This Row],[Product Option]]="My Value Plus Life &amp; Funeral",_xlfn.XLOOKUP(B556,Table2[Main Member Link ID],Table2[Benefit Name],0)=Lookups!$D$16),"",
IF(AND(Table2[[#This Row],[Member Type]]="Child",Table2[[#This Row],[Product Option]]="My Value Plus Life &amp; Funeral"),"",
IF(AND(Table2[[#This Row],[Member Type]]="Child",Table2[[#This Row],[Product Option]]="My Value Plus Life &amp; Funeral",_xlfn.XLOOKUP(B557,Table2[Main Member Link ID],Table2[Benefit Name],0)=Lookups!$D$15),"",
IF(AND(OR(Table2[[#This Row],[Member Type]]="Spouse",Table2[[#This Row],[Member Type]]="Child"),Table2[[#This Row],[Product Option]]="My Value Plus Life &amp; Funeral",_xlfn.XLOOKUP(B557,Table2[Main Member Link ID],Table2[Benefit Name],0)&lt;&gt;Lookups!$D$17),
IF(_xlfn.XLOOKUP(B557,Table2[Main Member Link ID],Table2[Benefit Name],0)=0,"",_xlfn.XLOOKUP(B557,Table2[Main Member Link ID],Table2[Benefit Name],0)),""))))))</f>
        <v/>
      </c>
      <c r="AI557" s="328" t="str">
        <f>IF(AND(Table2[[#This Row],[Member Type]]="Main Member",Table2[[#This Row],[Table Lookup for Life Cover]]="MM_LIFE",Table2[[#This Row],[Age Next Birthday]]&lt;56),1,
IF(AND(Table2[[#This Row],[Member Type]]="Main Member",Table2[[#This Row],[Table Lookup for Life Cover]]="MM_LIFE",Table2[[#This Row],[Age Next Birthday]]&gt;=56),2,
""))</f>
        <v/>
      </c>
      <c r="AJ557" s="328">
        <f>IF(OR(Table2[[#This Row],[Member Type]]="Main Member",Table2[[#This Row],[Main Member Link ID]]=B556),1,0)</f>
        <v>1</v>
      </c>
      <c r="AK557" s="328">
        <f>IF(Table2[[#This Row],[Member Type]]=0,0,
IF(OR(Table2[[#This Row],[Member Type]]="Main Member",Table2[[#This Row],[Main Member Link ID]]&lt;&gt;B557),COUNTIFS(B:B,Table2[[#This Row],[Main Member Link ID]]),
COUNTIFS(B:B,Table2[[#This Row],[Main Member Link ID]],A:A,Table2[[#This Row],[Member Type]])))</f>
        <v>0</v>
      </c>
    </row>
    <row r="558" spans="1:37" x14ac:dyDescent="0.3">
      <c r="A558" s="284">
        <f>Table13[[#This Row],[Member Type]]</f>
        <v>0</v>
      </c>
      <c r="B558" s="284">
        <f>Table13[[#This Row],[Main Member Link ID]]</f>
        <v>0</v>
      </c>
      <c r="C558" s="284">
        <f>Table13[[#This Row],[ID Number]]</f>
        <v>0</v>
      </c>
      <c r="D558" s="285">
        <f>Table13[[#This Row],[Date Of Birth]]</f>
        <v>0</v>
      </c>
      <c r="E558" s="285">
        <f>Table13[[#This Row],[Commencement Date]]</f>
        <v>0</v>
      </c>
      <c r="F558" s="284">
        <f t="shared" si="56"/>
        <v>1</v>
      </c>
      <c r="G558" s="284">
        <f t="shared" si="57"/>
        <v>25</v>
      </c>
      <c r="H558" s="286">
        <f>Table13[[#This Row],[Product Option]]</f>
        <v>0</v>
      </c>
      <c r="I558" s="284">
        <f>IF(AND($A558="Main Member",Table2[[#This Row],[Product Option]]="My Value Plus Life"),"MM_LIFE",
IF(AND($A558="Spouse",Table2[[#This Row],[Product Option]]="My Value Plus Life"),"SP_LIFE",
IF(AND($A558="Main Member",Table2[[#This Row],[Product Option]]="My Value Plus Life &amp; Funeral"),"MM_LIFE",
IF(AND($A558="Spouse",Table2[[#This Row],[Product Option]]="My Value Plus Life &amp; Funeral"),_xlfn.XLOOKUP(Table2[[#This Row],[Benefit Name]],Lookups!$D$18:$D$23,Lookups!$E$18:$E$23,0),
0))))</f>
        <v>0</v>
      </c>
      <c r="J558" s="284">
        <f>IF($I558="","",
IF($I558="MM_LIFE",INDEX('Quotation Tool'!$S$54:$V$60,MATCH($T558,'Quotation Tool'!$S$54:$S$60,0),4),
IF($I558="SP_LIFE",_xlfn.XLOOKUP(B557,$B:$B,$J:$J,0),0)))</f>
        <v>0</v>
      </c>
      <c r="K558" s="287">
        <f t="shared" ca="1" si="61"/>
        <v>0</v>
      </c>
      <c r="L558" s="288">
        <f t="shared" ca="1" si="62"/>
        <v>0</v>
      </c>
      <c r="M558" s="289">
        <f t="shared" ca="1" si="58"/>
        <v>0</v>
      </c>
      <c r="N558" s="286">
        <f>Table13[[#This Row],[Benefit Option]]</f>
        <v>0</v>
      </c>
      <c r="O558" s="284">
        <f>IF(OR(Table2[[#This Row],[Member Type]]="Spouse",Table2[[#This Row],[Member Type]]="Child"),0,
IF(_xlfn.XLOOKUP($N558,Lookups!$D$13:$D$27,Lookups!$F$13:$F$27,0)=Table2[[#This Row],[Table Lookup for Life Cover]],0,
_xlfn.XLOOKUP($N558,Lookups!$D$13:$D$27,Lookups!$F$13:$F$27,0)))</f>
        <v>0</v>
      </c>
      <c r="P558" s="284">
        <f>IF(Table2[[#This Row],[Table Lookup for Funeral]]=0,0,IFERROR(INDEX('Quotation Tool'!$S$54:$V$60,MATCH($T558,'Quotation Tool'!$S$54:$S$60,0),3),0))</f>
        <v>0</v>
      </c>
      <c r="Q558" s="288">
        <f ca="1">IF(OR(Table2[[#This Row],[Benefit Name]]="My Value Plus Life - Main Member",Table2[[#This Row],[Benefit Name]]="My Value Plus Life - Spouse"),0,
IFERROR(VLOOKUP($G558,INDIRECT($O558),$P558,FALSE),0))</f>
        <v>0</v>
      </c>
      <c r="R558" s="288">
        <f ca="1">IF(OR(Table2[[#This Row],[Benefit Name]]="My Value Plus Life - Main Member",Table2[[#This Row],[Benefit Name]]="My Value Plus Life - Spouse"),0,
IFERROR(VLOOKUP($G558,INDIRECT($O558),$P558+1,FALSE),0))</f>
        <v>0</v>
      </c>
      <c r="S558" s="289">
        <f t="shared" ca="1" si="59"/>
        <v>0</v>
      </c>
      <c r="T558" s="284" t="str">
        <f>IF(Table13[[#This Row],[Premium Waiver]]="","None",Table13[[#This Row],[Premium Waiver]])</f>
        <v>None</v>
      </c>
      <c r="U558" s="284">
        <f>Table13[[#This Row],[VAPs Options]]</f>
        <v>0</v>
      </c>
      <c r="V558" s="284">
        <f>Table13[[#This Row],[Annual Increase Option]]</f>
        <v>0</v>
      </c>
      <c r="W558" s="290">
        <f>Table13[[#This Row],[Life Cover Amount]]</f>
        <v>0</v>
      </c>
      <c r="X558" s="290">
        <f>Table13[[#This Row],[Funeral Cover Amount]]</f>
        <v>0</v>
      </c>
      <c r="Y55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5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58" s="301">
        <f t="shared" ca="1" si="60"/>
        <v>0</v>
      </c>
      <c r="AB558" s="298"/>
      <c r="AC558" s="326" t="str">
        <f>IF(Table2[[#This Row],[Member Type]]="Main Member",Lookups!$C$13,
IF(Table2[[#This Row],[Member Type]]="Spouse",_xlfn.XLOOKUP(B558,Table2[Main Member Link ID],Table2[Product Option],0),
IF(AND(Table2[[#This Row],[Member Type]]="Child",_xlfn.XLOOKUP(B558,Table2[Main Member Link ID],Table2[Product Option],0)&lt;&gt;"My Value Plus Life"),Lookups!$C$24,
IF(AND(OR(Table2[[#This Row],[Member Type]]="Parent",Table2[[#This Row],[Member Type]]="Extended"),_xlfn.XLOOKUP(B558,Table2[Main Member Link ID],Table2[Product Option],0)&lt;&gt;"My Value Plus Life"),Lookups!$C$26,""))))</f>
        <v/>
      </c>
      <c r="AD558" s="326" t="str">
        <f>IF(Table2[[#This Row],[Member Type]]="Main Member",Lookups!$C$14,"")</f>
        <v/>
      </c>
      <c r="AE55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Funeral",_xlfn.XLOOKUP(B558,Table2[Main Member Link ID],Table2[Benefit Name],0)=Lookups!$D$14),"",
IF(AND(Table2[[#This Row],[Member Type]]="Spouse",Table2[[#This Row],[Product Option]]="My Value Plus Life &amp; Funeral",_xlfn.XLOOKUP(B557,Table2[Main Member Link ID],Table2[Benefit Name],0)=Lookups!$D$15),Lookups!$D$20,
IF(AND(Table2[[#This Row],[Member Type]]="Spouse",Table2[[#This Row],[Product Option]]="My Value Plus Life &amp; Funeral",_xlfn.XLOOKUP(B557,Table2[Main Member Link ID],Table2[Benefit Name],0)=Lookups!$D$16),"",
IF(AND(Table2[[#This Row],[Member Type]]="Spouse",Table2[[#This Row],[Product Option]]="My Value Plus Life &amp; Funeral",_xlfn.XLOOKUP(B557,Table2[Main Member Link ID],Table2[Benefit Name],0)=Lookups!$D$17),Lookups!$D$21,
IF(AND(Table2[[#This Row],[Member Type]]="Child",Table2[[#This Row],[Product Option]]="My Value Plus Life &amp; Funeral",_xlfn.XLOOKUP(B558,Table2[Main Member Link ID],Table2[Benefit Name],0)=Lookups!$D$14),"",
IF(AND(Table2[[#This Row],[Member Type]]="Child",Table2[[#This Row],[Product Option]]="My Value Plus Life &amp; Funeral",_xlfn.XLOOKUP(B558,Table2[Main Member Link ID],Table2[Benefit Name],0)=Lookups!$D$15),"",
IF(AND(Table2[[#This Row],[Member Type]]="Child",Table2[[#This Row],[Product Option]]="My Value Plus Life &amp; Funeral",_xlfn.XLOOKUP(B558,Table2[Main Member Link ID],Table2[Benefit Name],0)=Lookups!$D$16),Lookups!$D$24,
IF(AND(Table2[[#This Row],[Member Type]]="Child",Table2[[#This Row],[Product Option]]="My Value Plus Life &amp; Funeral",_xlfn.XLOOKUP(B558,Table2[Main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Funeral",_xlfn.XLOOKUP(B558,Table2[Main Member Link ID],Table2[Benefit Name],0)&lt;&gt;Lookups!$D$14),
IF(_xlfn.XLOOKUP(B558,Table2[Main Member Link ID],Table2[Benefit Name],0)=0,"",_xlfn.XLOOKUP(B558,Table2[Main Member Link ID],Table2[Benefit Name],0)),"")))))))))))))))</f>
        <v/>
      </c>
      <c r="AF558" s="327" t="str">
        <f>IF(AND(Table2[[#This Row],[Member Type]]="Main Member",Table2[[#This Row],[Product Option]]="My Value Plus Life &amp; Funeral"),Lookups!$D$15,
IF(AND(Table2[[#This Row],[Member Type]]="Spouse",Table2[[#This Row],[Product Option]]="My Value Plus Life &amp; Funeral",_xlfn.XLOOKUP(B558,Table2[Main Member Link ID],Table2[Benefit Name],0)=Lookups!$D$14),"",
IF(AND(Table2[[#This Row],[Member Type]]="Spouse",Table2[[#This Row],[Product Option]]="My Value Plus Life &amp; Funeral",_xlfn.XLOOKUP(B557,Table2[Main Member Link ID],Table2[Benefit Name],0)=Lookups!$D$16),"",
IF(AND(Table2[[#This Row],[Member Type]]="Spouse",Table2[[#This Row],[Product Option]]="My Value Plus Life &amp; Funeral",_xlfn.XLOOKUP(B557,Table2[Main Member Link ID],Table2[Benefit Name],0)=Lookups!$D$15),"",
IF(AND(Table2[[#This Row],[Member Type]]="Spouse",Table2[[#This Row],[Product Option]]="My Value Plus Life &amp; Funeral",_xlfn.XLOOKUP(B557,Table2[Main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Funeral",_xlfn.XLOOKUP(B558,Table2[Main Member Link ID],Table2[Benefit Name],0)&lt;&gt;Lookups!$D$15),
IF(_xlfn.XLOOKUP(B558,Table2[Main Member Link ID],Table2[Benefit Name],0)=0,"",_xlfn.XLOOKUP(B558,Table2[Main Member Link ID],Table2[Benefit Name],0)),"")
))))))</f>
        <v/>
      </c>
      <c r="AG558" s="327" t="str">
        <f>IF(AND(Table2[[#This Row],[Member Type]]="Main Member",Table2[[#This Row],[Product Option]]="My Value Plus Life &amp; Funeral"),Lookups!$D$16,
IF(AND(Table2[[#This Row],[Member Type]]="Spouse",Table2[[#This Row],[Product Option]]="My Value Plus Life &amp; Funeral",_xlfn.XLOOKUP(B558,Table2[Main Member Link ID],Table2[Benefit Name],0)=Lookups!$D$14),"",
IF(AND(Table2[[#This Row],[Member Type]]="Spouse",Table2[[#This Row],[Product Option]]="My Value Plus Life &amp; Funeral",_xlfn.XLOOKUP(B557,Table2[Main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Funeral",_xlfn.XLOOKUP(B558,Table2[Main Member Link ID],Table2[Benefit Name],0)&lt;&gt;Lookups!$D$16),
IF(_xlfn.XLOOKUP(B558,Table2[Main Member Link ID],Table2[Benefit Name],0)=0,"",_xlfn.XLOOKUP(B558,Table2[Main Member Link ID],Table2[Benefit Name],0)),"")
))))</f>
        <v/>
      </c>
      <c r="AH558" s="327" t="str">
        <f>IF(AND(Table2[[#This Row],[Member Type]]="Main Member",Table2[[#This Row],[Product Option]]="My Value Plus Life &amp; Funeral"),Lookups!$D$17,
IF(AND(Table2[[#This Row],[Member Type]]="Spouse",Table2[[#This Row],[Product Option]]="My Value Plus Life &amp; Funeral",_xlfn.XLOOKUP(B558,Table2[Main Member Link ID],Table2[Benefit Name],0)=Lookups!$D$14),"",
IF(AND(Table2[[#This Row],[Member Type]]="Spouse",Table2[[#This Row],[Product Option]]="My Value Plus Life &amp; Funeral",_xlfn.XLOOKUP(B557,Table2[Main Member Link ID],Table2[Benefit Name],0)=Lookups!$D$16),"",
IF(AND(Table2[[#This Row],[Member Type]]="Child",Table2[[#This Row],[Product Option]]="My Value Plus Life &amp; Funeral"),"",
IF(AND(Table2[[#This Row],[Member Type]]="Child",Table2[[#This Row],[Product Option]]="My Value Plus Life &amp; Funeral",_xlfn.XLOOKUP(B558,Table2[Main Member Link ID],Table2[Benefit Name],0)=Lookups!$D$15),"",
IF(AND(OR(Table2[[#This Row],[Member Type]]="Spouse",Table2[[#This Row],[Member Type]]="Child"),Table2[[#This Row],[Product Option]]="My Value Plus Life &amp; Funeral",_xlfn.XLOOKUP(B558,Table2[Main Member Link ID],Table2[Benefit Name],0)&lt;&gt;Lookups!$D$17),
IF(_xlfn.XLOOKUP(B558,Table2[Main Member Link ID],Table2[Benefit Name],0)=0,"",_xlfn.XLOOKUP(B558,Table2[Main Member Link ID],Table2[Benefit Name],0)),""))))))</f>
        <v/>
      </c>
      <c r="AI558" s="328" t="str">
        <f>IF(AND(Table2[[#This Row],[Member Type]]="Main Member",Table2[[#This Row],[Table Lookup for Life Cover]]="MM_LIFE",Table2[[#This Row],[Age Next Birthday]]&lt;56),1,
IF(AND(Table2[[#This Row],[Member Type]]="Main Member",Table2[[#This Row],[Table Lookup for Life Cover]]="MM_LIFE",Table2[[#This Row],[Age Next Birthday]]&gt;=56),2,
""))</f>
        <v/>
      </c>
      <c r="AJ558" s="328">
        <f>IF(OR(Table2[[#This Row],[Member Type]]="Main Member",Table2[[#This Row],[Main Member Link ID]]=B557),1,0)</f>
        <v>1</v>
      </c>
      <c r="AK558" s="328">
        <f>IF(Table2[[#This Row],[Member Type]]=0,0,
IF(OR(Table2[[#This Row],[Member Type]]="Main Member",Table2[[#This Row],[Main Member Link ID]]&lt;&gt;B558),COUNTIFS(B:B,Table2[[#This Row],[Main Member Link ID]]),
COUNTIFS(B:B,Table2[[#This Row],[Main Member Link ID]],A:A,Table2[[#This Row],[Member Type]])))</f>
        <v>0</v>
      </c>
    </row>
    <row r="559" spans="1:37" x14ac:dyDescent="0.3">
      <c r="A559" s="284">
        <f>Table13[[#This Row],[Member Type]]</f>
        <v>0</v>
      </c>
      <c r="B559" s="284">
        <f>Table13[[#This Row],[Main Member Link ID]]</f>
        <v>0</v>
      </c>
      <c r="C559" s="284">
        <f>Table13[[#This Row],[ID Number]]</f>
        <v>0</v>
      </c>
      <c r="D559" s="285">
        <f>Table13[[#This Row],[Date Of Birth]]</f>
        <v>0</v>
      </c>
      <c r="E559" s="285">
        <f>Table13[[#This Row],[Commencement Date]]</f>
        <v>0</v>
      </c>
      <c r="F559" s="284">
        <f t="shared" si="56"/>
        <v>1</v>
      </c>
      <c r="G559" s="284">
        <f t="shared" si="57"/>
        <v>25</v>
      </c>
      <c r="H559" s="286">
        <f>Table13[[#This Row],[Product Option]]</f>
        <v>0</v>
      </c>
      <c r="I559" s="284">
        <f>IF(AND($A559="Main Member",Table2[[#This Row],[Product Option]]="My Value Plus Life"),"MM_LIFE",
IF(AND($A559="Spouse",Table2[[#This Row],[Product Option]]="My Value Plus Life"),"SP_LIFE",
IF(AND($A559="Main Member",Table2[[#This Row],[Product Option]]="My Value Plus Life &amp; Funeral"),"MM_LIFE",
IF(AND($A559="Spouse",Table2[[#This Row],[Product Option]]="My Value Plus Life &amp; Funeral"),_xlfn.XLOOKUP(Table2[[#This Row],[Benefit Name]],Lookups!$D$18:$D$23,Lookups!$E$18:$E$23,0),
0))))</f>
        <v>0</v>
      </c>
      <c r="J559" s="284">
        <f>IF($I559="","",
IF($I559="MM_LIFE",INDEX('Quotation Tool'!$S$54:$V$60,MATCH($T559,'Quotation Tool'!$S$54:$S$60,0),4),
IF($I559="SP_LIFE",_xlfn.XLOOKUP(B558,$B:$B,$J:$J,0),0)))</f>
        <v>0</v>
      </c>
      <c r="K559" s="287">
        <f t="shared" ca="1" si="61"/>
        <v>0</v>
      </c>
      <c r="L559" s="288">
        <f t="shared" ca="1" si="62"/>
        <v>0</v>
      </c>
      <c r="M559" s="289">
        <f t="shared" ca="1" si="58"/>
        <v>0</v>
      </c>
      <c r="N559" s="286">
        <f>Table13[[#This Row],[Benefit Option]]</f>
        <v>0</v>
      </c>
      <c r="O559" s="284">
        <f>IF(OR(Table2[[#This Row],[Member Type]]="Spouse",Table2[[#This Row],[Member Type]]="Child"),0,
IF(_xlfn.XLOOKUP($N559,Lookups!$D$13:$D$27,Lookups!$F$13:$F$27,0)=Table2[[#This Row],[Table Lookup for Life Cover]],0,
_xlfn.XLOOKUP($N559,Lookups!$D$13:$D$27,Lookups!$F$13:$F$27,0)))</f>
        <v>0</v>
      </c>
      <c r="P559" s="284">
        <f>IF(Table2[[#This Row],[Table Lookup for Funeral]]=0,0,IFERROR(INDEX('Quotation Tool'!$S$54:$V$60,MATCH($T559,'Quotation Tool'!$S$54:$S$60,0),3),0))</f>
        <v>0</v>
      </c>
      <c r="Q559" s="288">
        <f ca="1">IF(OR(Table2[[#This Row],[Benefit Name]]="My Value Plus Life - Main Member",Table2[[#This Row],[Benefit Name]]="My Value Plus Life - Spouse"),0,
IFERROR(VLOOKUP($G559,INDIRECT($O559),$P559,FALSE),0))</f>
        <v>0</v>
      </c>
      <c r="R559" s="288">
        <f ca="1">IF(OR(Table2[[#This Row],[Benefit Name]]="My Value Plus Life - Main Member",Table2[[#This Row],[Benefit Name]]="My Value Plus Life - Spouse"),0,
IFERROR(VLOOKUP($G559,INDIRECT($O559),$P559+1,FALSE),0))</f>
        <v>0</v>
      </c>
      <c r="S559" s="289">
        <f t="shared" ca="1" si="59"/>
        <v>0</v>
      </c>
      <c r="T559" s="284" t="str">
        <f>IF(Table13[[#This Row],[Premium Waiver]]="","None",Table13[[#This Row],[Premium Waiver]])</f>
        <v>None</v>
      </c>
      <c r="U559" s="284">
        <f>Table13[[#This Row],[VAPs Options]]</f>
        <v>0</v>
      </c>
      <c r="V559" s="284">
        <f>Table13[[#This Row],[Annual Increase Option]]</f>
        <v>0</v>
      </c>
      <c r="W559" s="290">
        <f>Table13[[#This Row],[Life Cover Amount]]</f>
        <v>0</v>
      </c>
      <c r="X559" s="290">
        <f>Table13[[#This Row],[Funeral Cover Amount]]</f>
        <v>0</v>
      </c>
      <c r="Y55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5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59" s="301">
        <f t="shared" ca="1" si="60"/>
        <v>0</v>
      </c>
      <c r="AB559" s="298"/>
      <c r="AC559" s="326" t="str">
        <f>IF(Table2[[#This Row],[Member Type]]="Main Member",Lookups!$C$13,
IF(Table2[[#This Row],[Member Type]]="Spouse",_xlfn.XLOOKUP(B559,Table2[Main Member Link ID],Table2[Product Option],0),
IF(AND(Table2[[#This Row],[Member Type]]="Child",_xlfn.XLOOKUP(B559,Table2[Main Member Link ID],Table2[Product Option],0)&lt;&gt;"My Value Plus Life"),Lookups!$C$24,
IF(AND(OR(Table2[[#This Row],[Member Type]]="Parent",Table2[[#This Row],[Member Type]]="Extended"),_xlfn.XLOOKUP(B559,Table2[Main Member Link ID],Table2[Product Option],0)&lt;&gt;"My Value Plus Life"),Lookups!$C$26,""))))</f>
        <v/>
      </c>
      <c r="AD559" s="326" t="str">
        <f>IF(Table2[[#This Row],[Member Type]]="Main Member",Lookups!$C$14,"")</f>
        <v/>
      </c>
      <c r="AE55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Funeral",_xlfn.XLOOKUP(B559,Table2[Main Member Link ID],Table2[Benefit Name],0)=Lookups!$D$14),"",
IF(AND(Table2[[#This Row],[Member Type]]="Spouse",Table2[[#This Row],[Product Option]]="My Value Plus Life &amp; Funeral",_xlfn.XLOOKUP(B558,Table2[Main Member Link ID],Table2[Benefit Name],0)=Lookups!$D$15),Lookups!$D$20,
IF(AND(Table2[[#This Row],[Member Type]]="Spouse",Table2[[#This Row],[Product Option]]="My Value Plus Life &amp; Funeral",_xlfn.XLOOKUP(B558,Table2[Main Member Link ID],Table2[Benefit Name],0)=Lookups!$D$16),"",
IF(AND(Table2[[#This Row],[Member Type]]="Spouse",Table2[[#This Row],[Product Option]]="My Value Plus Life &amp; Funeral",_xlfn.XLOOKUP(B558,Table2[Main Member Link ID],Table2[Benefit Name],0)=Lookups!$D$17),Lookups!$D$21,
IF(AND(Table2[[#This Row],[Member Type]]="Child",Table2[[#This Row],[Product Option]]="My Value Plus Life &amp; Funeral",_xlfn.XLOOKUP(B559,Table2[Main Member Link ID],Table2[Benefit Name],0)=Lookups!$D$14),"",
IF(AND(Table2[[#This Row],[Member Type]]="Child",Table2[[#This Row],[Product Option]]="My Value Plus Life &amp; Funeral",_xlfn.XLOOKUP(B559,Table2[Main Member Link ID],Table2[Benefit Name],0)=Lookups!$D$15),"",
IF(AND(Table2[[#This Row],[Member Type]]="Child",Table2[[#This Row],[Product Option]]="My Value Plus Life &amp; Funeral",_xlfn.XLOOKUP(B559,Table2[Main Member Link ID],Table2[Benefit Name],0)=Lookups!$D$16),Lookups!$D$24,
IF(AND(Table2[[#This Row],[Member Type]]="Child",Table2[[#This Row],[Product Option]]="My Value Plus Life &amp; Funeral",_xlfn.XLOOKUP(B559,Table2[Main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Funeral",_xlfn.XLOOKUP(B559,Table2[Main Member Link ID],Table2[Benefit Name],0)&lt;&gt;Lookups!$D$14),
IF(_xlfn.XLOOKUP(B559,Table2[Main Member Link ID],Table2[Benefit Name],0)=0,"",_xlfn.XLOOKUP(B559,Table2[Main Member Link ID],Table2[Benefit Name],0)),"")))))))))))))))</f>
        <v/>
      </c>
      <c r="AF559" s="327" t="str">
        <f>IF(AND(Table2[[#This Row],[Member Type]]="Main Member",Table2[[#This Row],[Product Option]]="My Value Plus Life &amp; Funeral"),Lookups!$D$15,
IF(AND(Table2[[#This Row],[Member Type]]="Spouse",Table2[[#This Row],[Product Option]]="My Value Plus Life &amp; Funeral",_xlfn.XLOOKUP(B559,Table2[Main Member Link ID],Table2[Benefit Name],0)=Lookups!$D$14),"",
IF(AND(Table2[[#This Row],[Member Type]]="Spouse",Table2[[#This Row],[Product Option]]="My Value Plus Life &amp; Funeral",_xlfn.XLOOKUP(B558,Table2[Main Member Link ID],Table2[Benefit Name],0)=Lookups!$D$16),"",
IF(AND(Table2[[#This Row],[Member Type]]="Spouse",Table2[[#This Row],[Product Option]]="My Value Plus Life &amp; Funeral",_xlfn.XLOOKUP(B558,Table2[Main Member Link ID],Table2[Benefit Name],0)=Lookups!$D$15),"",
IF(AND(Table2[[#This Row],[Member Type]]="Spouse",Table2[[#This Row],[Product Option]]="My Value Plus Life &amp; Funeral",_xlfn.XLOOKUP(B558,Table2[Main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Funeral",_xlfn.XLOOKUP(B559,Table2[Main Member Link ID],Table2[Benefit Name],0)&lt;&gt;Lookups!$D$15),
IF(_xlfn.XLOOKUP(B559,Table2[Main Member Link ID],Table2[Benefit Name],0)=0,"",_xlfn.XLOOKUP(B559,Table2[Main Member Link ID],Table2[Benefit Name],0)),"")
))))))</f>
        <v/>
      </c>
      <c r="AG559" s="327" t="str">
        <f>IF(AND(Table2[[#This Row],[Member Type]]="Main Member",Table2[[#This Row],[Product Option]]="My Value Plus Life &amp; Funeral"),Lookups!$D$16,
IF(AND(Table2[[#This Row],[Member Type]]="Spouse",Table2[[#This Row],[Product Option]]="My Value Plus Life &amp; Funeral",_xlfn.XLOOKUP(B559,Table2[Main Member Link ID],Table2[Benefit Name],0)=Lookups!$D$14),"",
IF(AND(Table2[[#This Row],[Member Type]]="Spouse",Table2[[#This Row],[Product Option]]="My Value Plus Life &amp; Funeral",_xlfn.XLOOKUP(B558,Table2[Main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Funeral",_xlfn.XLOOKUP(B559,Table2[Main Member Link ID],Table2[Benefit Name],0)&lt;&gt;Lookups!$D$16),
IF(_xlfn.XLOOKUP(B559,Table2[Main Member Link ID],Table2[Benefit Name],0)=0,"",_xlfn.XLOOKUP(B559,Table2[Main Member Link ID],Table2[Benefit Name],0)),"")
))))</f>
        <v/>
      </c>
      <c r="AH559" s="327" t="str">
        <f>IF(AND(Table2[[#This Row],[Member Type]]="Main Member",Table2[[#This Row],[Product Option]]="My Value Plus Life &amp; Funeral"),Lookups!$D$17,
IF(AND(Table2[[#This Row],[Member Type]]="Spouse",Table2[[#This Row],[Product Option]]="My Value Plus Life &amp; Funeral",_xlfn.XLOOKUP(B559,Table2[Main Member Link ID],Table2[Benefit Name],0)=Lookups!$D$14),"",
IF(AND(Table2[[#This Row],[Member Type]]="Spouse",Table2[[#This Row],[Product Option]]="My Value Plus Life &amp; Funeral",_xlfn.XLOOKUP(B558,Table2[Main Member Link ID],Table2[Benefit Name],0)=Lookups!$D$16),"",
IF(AND(Table2[[#This Row],[Member Type]]="Child",Table2[[#This Row],[Product Option]]="My Value Plus Life &amp; Funeral"),"",
IF(AND(Table2[[#This Row],[Member Type]]="Child",Table2[[#This Row],[Product Option]]="My Value Plus Life &amp; Funeral",_xlfn.XLOOKUP(B559,Table2[Main Member Link ID],Table2[Benefit Name],0)=Lookups!$D$15),"",
IF(AND(OR(Table2[[#This Row],[Member Type]]="Spouse",Table2[[#This Row],[Member Type]]="Child"),Table2[[#This Row],[Product Option]]="My Value Plus Life &amp; Funeral",_xlfn.XLOOKUP(B559,Table2[Main Member Link ID],Table2[Benefit Name],0)&lt;&gt;Lookups!$D$17),
IF(_xlfn.XLOOKUP(B559,Table2[Main Member Link ID],Table2[Benefit Name],0)=0,"",_xlfn.XLOOKUP(B559,Table2[Main Member Link ID],Table2[Benefit Name],0)),""))))))</f>
        <v/>
      </c>
      <c r="AI559" s="328" t="str">
        <f>IF(AND(Table2[[#This Row],[Member Type]]="Main Member",Table2[[#This Row],[Table Lookup for Life Cover]]="MM_LIFE",Table2[[#This Row],[Age Next Birthday]]&lt;56),1,
IF(AND(Table2[[#This Row],[Member Type]]="Main Member",Table2[[#This Row],[Table Lookup for Life Cover]]="MM_LIFE",Table2[[#This Row],[Age Next Birthday]]&gt;=56),2,
""))</f>
        <v/>
      </c>
      <c r="AJ559" s="328">
        <f>IF(OR(Table2[[#This Row],[Member Type]]="Main Member",Table2[[#This Row],[Main Member Link ID]]=B558),1,0)</f>
        <v>1</v>
      </c>
      <c r="AK559" s="328">
        <f>IF(Table2[[#This Row],[Member Type]]=0,0,
IF(OR(Table2[[#This Row],[Member Type]]="Main Member",Table2[[#This Row],[Main Member Link ID]]&lt;&gt;B559),COUNTIFS(B:B,Table2[[#This Row],[Main Member Link ID]]),
COUNTIFS(B:B,Table2[[#This Row],[Main Member Link ID]],A:A,Table2[[#This Row],[Member Type]])))</f>
        <v>0</v>
      </c>
    </row>
    <row r="560" spans="1:37" x14ac:dyDescent="0.3">
      <c r="A560" s="284">
        <f>Table13[[#This Row],[Member Type]]</f>
        <v>0</v>
      </c>
      <c r="B560" s="284">
        <f>Table13[[#This Row],[Main Member Link ID]]</f>
        <v>0</v>
      </c>
      <c r="C560" s="284">
        <f>Table13[[#This Row],[ID Number]]</f>
        <v>0</v>
      </c>
      <c r="D560" s="285">
        <f>Table13[[#This Row],[Date Of Birth]]</f>
        <v>0</v>
      </c>
      <c r="E560" s="285">
        <f>Table13[[#This Row],[Commencement Date]]</f>
        <v>0</v>
      </c>
      <c r="F560" s="284">
        <f t="shared" si="56"/>
        <v>1</v>
      </c>
      <c r="G560" s="284">
        <f t="shared" si="57"/>
        <v>25</v>
      </c>
      <c r="H560" s="286">
        <f>Table13[[#This Row],[Product Option]]</f>
        <v>0</v>
      </c>
      <c r="I560" s="284">
        <f>IF(AND($A560="Main Member",Table2[[#This Row],[Product Option]]="My Value Plus Life"),"MM_LIFE",
IF(AND($A560="Spouse",Table2[[#This Row],[Product Option]]="My Value Plus Life"),"SP_LIFE",
IF(AND($A560="Main Member",Table2[[#This Row],[Product Option]]="My Value Plus Life &amp; Funeral"),"MM_LIFE",
IF(AND($A560="Spouse",Table2[[#This Row],[Product Option]]="My Value Plus Life &amp; Funeral"),_xlfn.XLOOKUP(Table2[[#This Row],[Benefit Name]],Lookups!$D$18:$D$23,Lookups!$E$18:$E$23,0),
0))))</f>
        <v>0</v>
      </c>
      <c r="J560" s="284">
        <f>IF($I560="","",
IF($I560="MM_LIFE",INDEX('Quotation Tool'!$S$54:$V$60,MATCH($T560,'Quotation Tool'!$S$54:$S$60,0),4),
IF($I560="SP_LIFE",_xlfn.XLOOKUP(B559,$B:$B,$J:$J,0),0)))</f>
        <v>0</v>
      </c>
      <c r="K560" s="287">
        <f t="shared" ca="1" si="61"/>
        <v>0</v>
      </c>
      <c r="L560" s="288">
        <f t="shared" ca="1" si="62"/>
        <v>0</v>
      </c>
      <c r="M560" s="289">
        <f t="shared" ca="1" si="58"/>
        <v>0</v>
      </c>
      <c r="N560" s="286">
        <f>Table13[[#This Row],[Benefit Option]]</f>
        <v>0</v>
      </c>
      <c r="O560" s="284">
        <f>IF(OR(Table2[[#This Row],[Member Type]]="Spouse",Table2[[#This Row],[Member Type]]="Child"),0,
IF(_xlfn.XLOOKUP($N560,Lookups!$D$13:$D$27,Lookups!$F$13:$F$27,0)=Table2[[#This Row],[Table Lookup for Life Cover]],0,
_xlfn.XLOOKUP($N560,Lookups!$D$13:$D$27,Lookups!$F$13:$F$27,0)))</f>
        <v>0</v>
      </c>
      <c r="P560" s="284">
        <f>IF(Table2[[#This Row],[Table Lookup for Funeral]]=0,0,IFERROR(INDEX('Quotation Tool'!$S$54:$V$60,MATCH($T560,'Quotation Tool'!$S$54:$S$60,0),3),0))</f>
        <v>0</v>
      </c>
      <c r="Q560" s="288">
        <f ca="1">IF(OR(Table2[[#This Row],[Benefit Name]]="My Value Plus Life - Main Member",Table2[[#This Row],[Benefit Name]]="My Value Plus Life - Spouse"),0,
IFERROR(VLOOKUP($G560,INDIRECT($O560),$P560,FALSE),0))</f>
        <v>0</v>
      </c>
      <c r="R560" s="288">
        <f ca="1">IF(OR(Table2[[#This Row],[Benefit Name]]="My Value Plus Life - Main Member",Table2[[#This Row],[Benefit Name]]="My Value Plus Life - Spouse"),0,
IFERROR(VLOOKUP($G560,INDIRECT($O560),$P560+1,FALSE),0))</f>
        <v>0</v>
      </c>
      <c r="S560" s="289">
        <f t="shared" ca="1" si="59"/>
        <v>0</v>
      </c>
      <c r="T560" s="284" t="str">
        <f>IF(Table13[[#This Row],[Premium Waiver]]="","None",Table13[[#This Row],[Premium Waiver]])</f>
        <v>None</v>
      </c>
      <c r="U560" s="284">
        <f>Table13[[#This Row],[VAPs Options]]</f>
        <v>0</v>
      </c>
      <c r="V560" s="284">
        <f>Table13[[#This Row],[Annual Increase Option]]</f>
        <v>0</v>
      </c>
      <c r="W560" s="290">
        <f>Table13[[#This Row],[Life Cover Amount]]</f>
        <v>0</v>
      </c>
      <c r="X560" s="290">
        <f>Table13[[#This Row],[Funeral Cover Amount]]</f>
        <v>0</v>
      </c>
      <c r="Y56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6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60" s="301">
        <f t="shared" ca="1" si="60"/>
        <v>0</v>
      </c>
      <c r="AB560" s="298"/>
      <c r="AC560" s="326" t="str">
        <f>IF(Table2[[#This Row],[Member Type]]="Main Member",Lookups!$C$13,
IF(Table2[[#This Row],[Member Type]]="Spouse",_xlfn.XLOOKUP(B560,Table2[Main Member Link ID],Table2[Product Option],0),
IF(AND(Table2[[#This Row],[Member Type]]="Child",_xlfn.XLOOKUP(B560,Table2[Main Member Link ID],Table2[Product Option],0)&lt;&gt;"My Value Plus Life"),Lookups!$C$24,
IF(AND(OR(Table2[[#This Row],[Member Type]]="Parent",Table2[[#This Row],[Member Type]]="Extended"),_xlfn.XLOOKUP(B560,Table2[Main Member Link ID],Table2[Product Option],0)&lt;&gt;"My Value Plus Life"),Lookups!$C$26,""))))</f>
        <v/>
      </c>
      <c r="AD560" s="326" t="str">
        <f>IF(Table2[[#This Row],[Member Type]]="Main Member",Lookups!$C$14,"")</f>
        <v/>
      </c>
      <c r="AE56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Funeral",_xlfn.XLOOKUP(B560,Table2[Main Member Link ID],Table2[Benefit Name],0)=Lookups!$D$14),"",
IF(AND(Table2[[#This Row],[Member Type]]="Spouse",Table2[[#This Row],[Product Option]]="My Value Plus Life &amp; Funeral",_xlfn.XLOOKUP(B559,Table2[Main Member Link ID],Table2[Benefit Name],0)=Lookups!$D$15),Lookups!$D$20,
IF(AND(Table2[[#This Row],[Member Type]]="Spouse",Table2[[#This Row],[Product Option]]="My Value Plus Life &amp; Funeral",_xlfn.XLOOKUP(B559,Table2[Main Member Link ID],Table2[Benefit Name],0)=Lookups!$D$16),"",
IF(AND(Table2[[#This Row],[Member Type]]="Spouse",Table2[[#This Row],[Product Option]]="My Value Plus Life &amp; Funeral",_xlfn.XLOOKUP(B559,Table2[Main Member Link ID],Table2[Benefit Name],0)=Lookups!$D$17),Lookups!$D$21,
IF(AND(Table2[[#This Row],[Member Type]]="Child",Table2[[#This Row],[Product Option]]="My Value Plus Life &amp; Funeral",_xlfn.XLOOKUP(B560,Table2[Main Member Link ID],Table2[Benefit Name],0)=Lookups!$D$14),"",
IF(AND(Table2[[#This Row],[Member Type]]="Child",Table2[[#This Row],[Product Option]]="My Value Plus Life &amp; Funeral",_xlfn.XLOOKUP(B560,Table2[Main Member Link ID],Table2[Benefit Name],0)=Lookups!$D$15),"",
IF(AND(Table2[[#This Row],[Member Type]]="Child",Table2[[#This Row],[Product Option]]="My Value Plus Life &amp; Funeral",_xlfn.XLOOKUP(B560,Table2[Main Member Link ID],Table2[Benefit Name],0)=Lookups!$D$16),Lookups!$D$24,
IF(AND(Table2[[#This Row],[Member Type]]="Child",Table2[[#This Row],[Product Option]]="My Value Plus Life &amp; Funeral",_xlfn.XLOOKUP(B560,Table2[Main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Funeral",_xlfn.XLOOKUP(B560,Table2[Main Member Link ID],Table2[Benefit Name],0)&lt;&gt;Lookups!$D$14),
IF(_xlfn.XLOOKUP(B560,Table2[Main Member Link ID],Table2[Benefit Name],0)=0,"",_xlfn.XLOOKUP(B560,Table2[Main Member Link ID],Table2[Benefit Name],0)),"")))))))))))))))</f>
        <v/>
      </c>
      <c r="AF560" s="327" t="str">
        <f>IF(AND(Table2[[#This Row],[Member Type]]="Main Member",Table2[[#This Row],[Product Option]]="My Value Plus Life &amp; Funeral"),Lookups!$D$15,
IF(AND(Table2[[#This Row],[Member Type]]="Spouse",Table2[[#This Row],[Product Option]]="My Value Plus Life &amp; Funeral",_xlfn.XLOOKUP(B560,Table2[Main Member Link ID],Table2[Benefit Name],0)=Lookups!$D$14),"",
IF(AND(Table2[[#This Row],[Member Type]]="Spouse",Table2[[#This Row],[Product Option]]="My Value Plus Life &amp; Funeral",_xlfn.XLOOKUP(B559,Table2[Main Member Link ID],Table2[Benefit Name],0)=Lookups!$D$16),"",
IF(AND(Table2[[#This Row],[Member Type]]="Spouse",Table2[[#This Row],[Product Option]]="My Value Plus Life &amp; Funeral",_xlfn.XLOOKUP(B559,Table2[Main Member Link ID],Table2[Benefit Name],0)=Lookups!$D$15),"",
IF(AND(Table2[[#This Row],[Member Type]]="Spouse",Table2[[#This Row],[Product Option]]="My Value Plus Life &amp; Funeral",_xlfn.XLOOKUP(B559,Table2[Main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Funeral",_xlfn.XLOOKUP(B560,Table2[Main Member Link ID],Table2[Benefit Name],0)&lt;&gt;Lookups!$D$15),
IF(_xlfn.XLOOKUP(B560,Table2[Main Member Link ID],Table2[Benefit Name],0)=0,"",_xlfn.XLOOKUP(B560,Table2[Main Member Link ID],Table2[Benefit Name],0)),"")
))))))</f>
        <v/>
      </c>
      <c r="AG560" s="327" t="str">
        <f>IF(AND(Table2[[#This Row],[Member Type]]="Main Member",Table2[[#This Row],[Product Option]]="My Value Plus Life &amp; Funeral"),Lookups!$D$16,
IF(AND(Table2[[#This Row],[Member Type]]="Spouse",Table2[[#This Row],[Product Option]]="My Value Plus Life &amp; Funeral",_xlfn.XLOOKUP(B560,Table2[Main Member Link ID],Table2[Benefit Name],0)=Lookups!$D$14),"",
IF(AND(Table2[[#This Row],[Member Type]]="Spouse",Table2[[#This Row],[Product Option]]="My Value Plus Life &amp; Funeral",_xlfn.XLOOKUP(B559,Table2[Main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Funeral",_xlfn.XLOOKUP(B560,Table2[Main Member Link ID],Table2[Benefit Name],0)&lt;&gt;Lookups!$D$16),
IF(_xlfn.XLOOKUP(B560,Table2[Main Member Link ID],Table2[Benefit Name],0)=0,"",_xlfn.XLOOKUP(B560,Table2[Main Member Link ID],Table2[Benefit Name],0)),"")
))))</f>
        <v/>
      </c>
      <c r="AH560" s="327" t="str">
        <f>IF(AND(Table2[[#This Row],[Member Type]]="Main Member",Table2[[#This Row],[Product Option]]="My Value Plus Life &amp; Funeral"),Lookups!$D$17,
IF(AND(Table2[[#This Row],[Member Type]]="Spouse",Table2[[#This Row],[Product Option]]="My Value Plus Life &amp; Funeral",_xlfn.XLOOKUP(B560,Table2[Main Member Link ID],Table2[Benefit Name],0)=Lookups!$D$14),"",
IF(AND(Table2[[#This Row],[Member Type]]="Spouse",Table2[[#This Row],[Product Option]]="My Value Plus Life &amp; Funeral",_xlfn.XLOOKUP(B559,Table2[Main Member Link ID],Table2[Benefit Name],0)=Lookups!$D$16),"",
IF(AND(Table2[[#This Row],[Member Type]]="Child",Table2[[#This Row],[Product Option]]="My Value Plus Life &amp; Funeral"),"",
IF(AND(Table2[[#This Row],[Member Type]]="Child",Table2[[#This Row],[Product Option]]="My Value Plus Life &amp; Funeral",_xlfn.XLOOKUP(B560,Table2[Main Member Link ID],Table2[Benefit Name],0)=Lookups!$D$15),"",
IF(AND(OR(Table2[[#This Row],[Member Type]]="Spouse",Table2[[#This Row],[Member Type]]="Child"),Table2[[#This Row],[Product Option]]="My Value Plus Life &amp; Funeral",_xlfn.XLOOKUP(B560,Table2[Main Member Link ID],Table2[Benefit Name],0)&lt;&gt;Lookups!$D$17),
IF(_xlfn.XLOOKUP(B560,Table2[Main Member Link ID],Table2[Benefit Name],0)=0,"",_xlfn.XLOOKUP(B560,Table2[Main Member Link ID],Table2[Benefit Name],0)),""))))))</f>
        <v/>
      </c>
      <c r="AI560" s="328" t="str">
        <f>IF(AND(Table2[[#This Row],[Member Type]]="Main Member",Table2[[#This Row],[Table Lookup for Life Cover]]="MM_LIFE",Table2[[#This Row],[Age Next Birthday]]&lt;56),1,
IF(AND(Table2[[#This Row],[Member Type]]="Main Member",Table2[[#This Row],[Table Lookup for Life Cover]]="MM_LIFE",Table2[[#This Row],[Age Next Birthday]]&gt;=56),2,
""))</f>
        <v/>
      </c>
      <c r="AJ560" s="328">
        <f>IF(OR(Table2[[#This Row],[Member Type]]="Main Member",Table2[[#This Row],[Main Member Link ID]]=B559),1,0)</f>
        <v>1</v>
      </c>
      <c r="AK560" s="328">
        <f>IF(Table2[[#This Row],[Member Type]]=0,0,
IF(OR(Table2[[#This Row],[Member Type]]="Main Member",Table2[[#This Row],[Main Member Link ID]]&lt;&gt;B560),COUNTIFS(B:B,Table2[[#This Row],[Main Member Link ID]]),
COUNTIFS(B:B,Table2[[#This Row],[Main Member Link ID]],A:A,Table2[[#This Row],[Member Type]])))</f>
        <v>0</v>
      </c>
    </row>
    <row r="561" spans="1:37" x14ac:dyDescent="0.3">
      <c r="A561" s="284">
        <f>Table13[[#This Row],[Member Type]]</f>
        <v>0</v>
      </c>
      <c r="B561" s="284">
        <f>Table13[[#This Row],[Main Member Link ID]]</f>
        <v>0</v>
      </c>
      <c r="C561" s="284">
        <f>Table13[[#This Row],[ID Number]]</f>
        <v>0</v>
      </c>
      <c r="D561" s="285">
        <f>Table13[[#This Row],[Date Of Birth]]</f>
        <v>0</v>
      </c>
      <c r="E561" s="285">
        <f>Table13[[#This Row],[Commencement Date]]</f>
        <v>0</v>
      </c>
      <c r="F561" s="284">
        <f t="shared" si="56"/>
        <v>1</v>
      </c>
      <c r="G561" s="284">
        <f t="shared" si="57"/>
        <v>25</v>
      </c>
      <c r="H561" s="286">
        <f>Table13[[#This Row],[Product Option]]</f>
        <v>0</v>
      </c>
      <c r="I561" s="284">
        <f>IF(AND($A561="Main Member",Table2[[#This Row],[Product Option]]="My Value Plus Life"),"MM_LIFE",
IF(AND($A561="Spouse",Table2[[#This Row],[Product Option]]="My Value Plus Life"),"SP_LIFE",
IF(AND($A561="Main Member",Table2[[#This Row],[Product Option]]="My Value Plus Life &amp; Funeral"),"MM_LIFE",
IF(AND($A561="Spouse",Table2[[#This Row],[Product Option]]="My Value Plus Life &amp; Funeral"),_xlfn.XLOOKUP(Table2[[#This Row],[Benefit Name]],Lookups!$D$18:$D$23,Lookups!$E$18:$E$23,0),
0))))</f>
        <v>0</v>
      </c>
      <c r="J561" s="284">
        <f>IF($I561="","",
IF($I561="MM_LIFE",INDEX('Quotation Tool'!$S$54:$V$60,MATCH($T561,'Quotation Tool'!$S$54:$S$60,0),4),
IF($I561="SP_LIFE",_xlfn.XLOOKUP(B560,$B:$B,$J:$J,0),0)))</f>
        <v>0</v>
      </c>
      <c r="K561" s="287">
        <f t="shared" ca="1" si="61"/>
        <v>0</v>
      </c>
      <c r="L561" s="288">
        <f t="shared" ca="1" si="62"/>
        <v>0</v>
      </c>
      <c r="M561" s="289">
        <f t="shared" ca="1" si="58"/>
        <v>0</v>
      </c>
      <c r="N561" s="286">
        <f>Table13[[#This Row],[Benefit Option]]</f>
        <v>0</v>
      </c>
      <c r="O561" s="284">
        <f>IF(OR(Table2[[#This Row],[Member Type]]="Spouse",Table2[[#This Row],[Member Type]]="Child"),0,
IF(_xlfn.XLOOKUP($N561,Lookups!$D$13:$D$27,Lookups!$F$13:$F$27,0)=Table2[[#This Row],[Table Lookup for Life Cover]],0,
_xlfn.XLOOKUP($N561,Lookups!$D$13:$D$27,Lookups!$F$13:$F$27,0)))</f>
        <v>0</v>
      </c>
      <c r="P561" s="284">
        <f>IF(Table2[[#This Row],[Table Lookup for Funeral]]=0,0,IFERROR(INDEX('Quotation Tool'!$S$54:$V$60,MATCH($T561,'Quotation Tool'!$S$54:$S$60,0),3),0))</f>
        <v>0</v>
      </c>
      <c r="Q561" s="288">
        <f ca="1">IF(OR(Table2[[#This Row],[Benefit Name]]="My Value Plus Life - Main Member",Table2[[#This Row],[Benefit Name]]="My Value Plus Life - Spouse"),0,
IFERROR(VLOOKUP($G561,INDIRECT($O561),$P561,FALSE),0))</f>
        <v>0</v>
      </c>
      <c r="R561" s="288">
        <f ca="1">IF(OR(Table2[[#This Row],[Benefit Name]]="My Value Plus Life - Main Member",Table2[[#This Row],[Benefit Name]]="My Value Plus Life - Spouse"),0,
IFERROR(VLOOKUP($G561,INDIRECT($O561),$P561+1,FALSE),0))</f>
        <v>0</v>
      </c>
      <c r="S561" s="289">
        <f t="shared" ca="1" si="59"/>
        <v>0</v>
      </c>
      <c r="T561" s="284" t="str">
        <f>IF(Table13[[#This Row],[Premium Waiver]]="","None",Table13[[#This Row],[Premium Waiver]])</f>
        <v>None</v>
      </c>
      <c r="U561" s="284">
        <f>Table13[[#This Row],[VAPs Options]]</f>
        <v>0</v>
      </c>
      <c r="V561" s="284">
        <f>Table13[[#This Row],[Annual Increase Option]]</f>
        <v>0</v>
      </c>
      <c r="W561" s="290">
        <f>Table13[[#This Row],[Life Cover Amount]]</f>
        <v>0</v>
      </c>
      <c r="X561" s="290">
        <f>Table13[[#This Row],[Funeral Cover Amount]]</f>
        <v>0</v>
      </c>
      <c r="Y56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6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61" s="301">
        <f t="shared" ca="1" si="60"/>
        <v>0</v>
      </c>
      <c r="AB561" s="298"/>
      <c r="AC561" s="326" t="str">
        <f>IF(Table2[[#This Row],[Member Type]]="Main Member",Lookups!$C$13,
IF(Table2[[#This Row],[Member Type]]="Spouse",_xlfn.XLOOKUP(B561,Table2[Main Member Link ID],Table2[Product Option],0),
IF(AND(Table2[[#This Row],[Member Type]]="Child",_xlfn.XLOOKUP(B561,Table2[Main Member Link ID],Table2[Product Option],0)&lt;&gt;"My Value Plus Life"),Lookups!$C$24,
IF(AND(OR(Table2[[#This Row],[Member Type]]="Parent",Table2[[#This Row],[Member Type]]="Extended"),_xlfn.XLOOKUP(B561,Table2[Main Member Link ID],Table2[Product Option],0)&lt;&gt;"My Value Plus Life"),Lookups!$C$26,""))))</f>
        <v/>
      </c>
      <c r="AD561" s="326" t="str">
        <f>IF(Table2[[#This Row],[Member Type]]="Main Member",Lookups!$C$14,"")</f>
        <v/>
      </c>
      <c r="AE56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Funeral",_xlfn.XLOOKUP(B561,Table2[Main Member Link ID],Table2[Benefit Name],0)=Lookups!$D$14),"",
IF(AND(Table2[[#This Row],[Member Type]]="Spouse",Table2[[#This Row],[Product Option]]="My Value Plus Life &amp; Funeral",_xlfn.XLOOKUP(B560,Table2[Main Member Link ID],Table2[Benefit Name],0)=Lookups!$D$15),Lookups!$D$20,
IF(AND(Table2[[#This Row],[Member Type]]="Spouse",Table2[[#This Row],[Product Option]]="My Value Plus Life &amp; Funeral",_xlfn.XLOOKUP(B560,Table2[Main Member Link ID],Table2[Benefit Name],0)=Lookups!$D$16),"",
IF(AND(Table2[[#This Row],[Member Type]]="Spouse",Table2[[#This Row],[Product Option]]="My Value Plus Life &amp; Funeral",_xlfn.XLOOKUP(B560,Table2[Main Member Link ID],Table2[Benefit Name],0)=Lookups!$D$17),Lookups!$D$21,
IF(AND(Table2[[#This Row],[Member Type]]="Child",Table2[[#This Row],[Product Option]]="My Value Plus Life &amp; Funeral",_xlfn.XLOOKUP(B561,Table2[Main Member Link ID],Table2[Benefit Name],0)=Lookups!$D$14),"",
IF(AND(Table2[[#This Row],[Member Type]]="Child",Table2[[#This Row],[Product Option]]="My Value Plus Life &amp; Funeral",_xlfn.XLOOKUP(B561,Table2[Main Member Link ID],Table2[Benefit Name],0)=Lookups!$D$15),"",
IF(AND(Table2[[#This Row],[Member Type]]="Child",Table2[[#This Row],[Product Option]]="My Value Plus Life &amp; Funeral",_xlfn.XLOOKUP(B561,Table2[Main Member Link ID],Table2[Benefit Name],0)=Lookups!$D$16),Lookups!$D$24,
IF(AND(Table2[[#This Row],[Member Type]]="Child",Table2[[#This Row],[Product Option]]="My Value Plus Life &amp; Funeral",_xlfn.XLOOKUP(B561,Table2[Main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Funeral",_xlfn.XLOOKUP(B561,Table2[Main Member Link ID],Table2[Benefit Name],0)&lt;&gt;Lookups!$D$14),
IF(_xlfn.XLOOKUP(B561,Table2[Main Member Link ID],Table2[Benefit Name],0)=0,"",_xlfn.XLOOKUP(B561,Table2[Main Member Link ID],Table2[Benefit Name],0)),"")))))))))))))))</f>
        <v/>
      </c>
      <c r="AF561" s="327" t="str">
        <f>IF(AND(Table2[[#This Row],[Member Type]]="Main Member",Table2[[#This Row],[Product Option]]="My Value Plus Life &amp; Funeral"),Lookups!$D$15,
IF(AND(Table2[[#This Row],[Member Type]]="Spouse",Table2[[#This Row],[Product Option]]="My Value Plus Life &amp; Funeral",_xlfn.XLOOKUP(B561,Table2[Main Member Link ID],Table2[Benefit Name],0)=Lookups!$D$14),"",
IF(AND(Table2[[#This Row],[Member Type]]="Spouse",Table2[[#This Row],[Product Option]]="My Value Plus Life &amp; Funeral",_xlfn.XLOOKUP(B560,Table2[Main Member Link ID],Table2[Benefit Name],0)=Lookups!$D$16),"",
IF(AND(Table2[[#This Row],[Member Type]]="Spouse",Table2[[#This Row],[Product Option]]="My Value Plus Life &amp; Funeral",_xlfn.XLOOKUP(B560,Table2[Main Member Link ID],Table2[Benefit Name],0)=Lookups!$D$15),"",
IF(AND(Table2[[#This Row],[Member Type]]="Spouse",Table2[[#This Row],[Product Option]]="My Value Plus Life &amp; Funeral",_xlfn.XLOOKUP(B560,Table2[Main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Funeral",_xlfn.XLOOKUP(B561,Table2[Main Member Link ID],Table2[Benefit Name],0)&lt;&gt;Lookups!$D$15),
IF(_xlfn.XLOOKUP(B561,Table2[Main Member Link ID],Table2[Benefit Name],0)=0,"",_xlfn.XLOOKUP(B561,Table2[Main Member Link ID],Table2[Benefit Name],0)),"")
))))))</f>
        <v/>
      </c>
      <c r="AG561" s="327" t="str">
        <f>IF(AND(Table2[[#This Row],[Member Type]]="Main Member",Table2[[#This Row],[Product Option]]="My Value Plus Life &amp; Funeral"),Lookups!$D$16,
IF(AND(Table2[[#This Row],[Member Type]]="Spouse",Table2[[#This Row],[Product Option]]="My Value Plus Life &amp; Funeral",_xlfn.XLOOKUP(B561,Table2[Main Member Link ID],Table2[Benefit Name],0)=Lookups!$D$14),"",
IF(AND(Table2[[#This Row],[Member Type]]="Spouse",Table2[[#This Row],[Product Option]]="My Value Plus Life &amp; Funeral",_xlfn.XLOOKUP(B560,Table2[Main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Funeral",_xlfn.XLOOKUP(B561,Table2[Main Member Link ID],Table2[Benefit Name],0)&lt;&gt;Lookups!$D$16),
IF(_xlfn.XLOOKUP(B561,Table2[Main Member Link ID],Table2[Benefit Name],0)=0,"",_xlfn.XLOOKUP(B561,Table2[Main Member Link ID],Table2[Benefit Name],0)),"")
))))</f>
        <v/>
      </c>
      <c r="AH561" s="327" t="str">
        <f>IF(AND(Table2[[#This Row],[Member Type]]="Main Member",Table2[[#This Row],[Product Option]]="My Value Plus Life &amp; Funeral"),Lookups!$D$17,
IF(AND(Table2[[#This Row],[Member Type]]="Spouse",Table2[[#This Row],[Product Option]]="My Value Plus Life &amp; Funeral",_xlfn.XLOOKUP(B561,Table2[Main Member Link ID],Table2[Benefit Name],0)=Lookups!$D$14),"",
IF(AND(Table2[[#This Row],[Member Type]]="Spouse",Table2[[#This Row],[Product Option]]="My Value Plus Life &amp; Funeral",_xlfn.XLOOKUP(B560,Table2[Main Member Link ID],Table2[Benefit Name],0)=Lookups!$D$16),"",
IF(AND(Table2[[#This Row],[Member Type]]="Child",Table2[[#This Row],[Product Option]]="My Value Plus Life &amp; Funeral"),"",
IF(AND(Table2[[#This Row],[Member Type]]="Child",Table2[[#This Row],[Product Option]]="My Value Plus Life &amp; Funeral",_xlfn.XLOOKUP(B561,Table2[Main Member Link ID],Table2[Benefit Name],0)=Lookups!$D$15),"",
IF(AND(OR(Table2[[#This Row],[Member Type]]="Spouse",Table2[[#This Row],[Member Type]]="Child"),Table2[[#This Row],[Product Option]]="My Value Plus Life &amp; Funeral",_xlfn.XLOOKUP(B561,Table2[Main Member Link ID],Table2[Benefit Name],0)&lt;&gt;Lookups!$D$17),
IF(_xlfn.XLOOKUP(B561,Table2[Main Member Link ID],Table2[Benefit Name],0)=0,"",_xlfn.XLOOKUP(B561,Table2[Main Member Link ID],Table2[Benefit Name],0)),""))))))</f>
        <v/>
      </c>
      <c r="AI561" s="328" t="str">
        <f>IF(AND(Table2[[#This Row],[Member Type]]="Main Member",Table2[[#This Row],[Table Lookup for Life Cover]]="MM_LIFE",Table2[[#This Row],[Age Next Birthday]]&lt;56),1,
IF(AND(Table2[[#This Row],[Member Type]]="Main Member",Table2[[#This Row],[Table Lookup for Life Cover]]="MM_LIFE",Table2[[#This Row],[Age Next Birthday]]&gt;=56),2,
""))</f>
        <v/>
      </c>
      <c r="AJ561" s="328">
        <f>IF(OR(Table2[[#This Row],[Member Type]]="Main Member",Table2[[#This Row],[Main Member Link ID]]=B560),1,0)</f>
        <v>1</v>
      </c>
      <c r="AK561" s="328">
        <f>IF(Table2[[#This Row],[Member Type]]=0,0,
IF(OR(Table2[[#This Row],[Member Type]]="Main Member",Table2[[#This Row],[Main Member Link ID]]&lt;&gt;B561),COUNTIFS(B:B,Table2[[#This Row],[Main Member Link ID]]),
COUNTIFS(B:B,Table2[[#This Row],[Main Member Link ID]],A:A,Table2[[#This Row],[Member Type]])))</f>
        <v>0</v>
      </c>
    </row>
    <row r="562" spans="1:37" x14ac:dyDescent="0.3">
      <c r="A562" s="284">
        <f>Table13[[#This Row],[Member Type]]</f>
        <v>0</v>
      </c>
      <c r="B562" s="284">
        <f>Table13[[#This Row],[Main Member Link ID]]</f>
        <v>0</v>
      </c>
      <c r="C562" s="284">
        <f>Table13[[#This Row],[ID Number]]</f>
        <v>0</v>
      </c>
      <c r="D562" s="285">
        <f>Table13[[#This Row],[Date Of Birth]]</f>
        <v>0</v>
      </c>
      <c r="E562" s="285">
        <f>Table13[[#This Row],[Commencement Date]]</f>
        <v>0</v>
      </c>
      <c r="F562" s="284">
        <f t="shared" si="56"/>
        <v>1</v>
      </c>
      <c r="G562" s="284">
        <f t="shared" si="57"/>
        <v>25</v>
      </c>
      <c r="H562" s="286">
        <f>Table13[[#This Row],[Product Option]]</f>
        <v>0</v>
      </c>
      <c r="I562" s="284">
        <f>IF(AND($A562="Main Member",Table2[[#This Row],[Product Option]]="My Value Plus Life"),"MM_LIFE",
IF(AND($A562="Spouse",Table2[[#This Row],[Product Option]]="My Value Plus Life"),"SP_LIFE",
IF(AND($A562="Main Member",Table2[[#This Row],[Product Option]]="My Value Plus Life &amp; Funeral"),"MM_LIFE",
IF(AND($A562="Spouse",Table2[[#This Row],[Product Option]]="My Value Plus Life &amp; Funeral"),_xlfn.XLOOKUP(Table2[[#This Row],[Benefit Name]],Lookups!$D$18:$D$23,Lookups!$E$18:$E$23,0),
0))))</f>
        <v>0</v>
      </c>
      <c r="J562" s="284">
        <f>IF($I562="","",
IF($I562="MM_LIFE",INDEX('Quotation Tool'!$S$54:$V$60,MATCH($T562,'Quotation Tool'!$S$54:$S$60,0),4),
IF($I562="SP_LIFE",_xlfn.XLOOKUP(B561,$B:$B,$J:$J,0),0)))</f>
        <v>0</v>
      </c>
      <c r="K562" s="287">
        <f t="shared" ca="1" si="61"/>
        <v>0</v>
      </c>
      <c r="L562" s="288">
        <f t="shared" ca="1" si="62"/>
        <v>0</v>
      </c>
      <c r="M562" s="289">
        <f t="shared" ca="1" si="58"/>
        <v>0</v>
      </c>
      <c r="N562" s="286">
        <f>Table13[[#This Row],[Benefit Option]]</f>
        <v>0</v>
      </c>
      <c r="O562" s="284">
        <f>IF(OR(Table2[[#This Row],[Member Type]]="Spouse",Table2[[#This Row],[Member Type]]="Child"),0,
IF(_xlfn.XLOOKUP($N562,Lookups!$D$13:$D$27,Lookups!$F$13:$F$27,0)=Table2[[#This Row],[Table Lookup for Life Cover]],0,
_xlfn.XLOOKUP($N562,Lookups!$D$13:$D$27,Lookups!$F$13:$F$27,0)))</f>
        <v>0</v>
      </c>
      <c r="P562" s="284">
        <f>IF(Table2[[#This Row],[Table Lookup for Funeral]]=0,0,IFERROR(INDEX('Quotation Tool'!$S$54:$V$60,MATCH($T562,'Quotation Tool'!$S$54:$S$60,0),3),0))</f>
        <v>0</v>
      </c>
      <c r="Q562" s="288">
        <f ca="1">IF(OR(Table2[[#This Row],[Benefit Name]]="My Value Plus Life - Main Member",Table2[[#This Row],[Benefit Name]]="My Value Plus Life - Spouse"),0,
IFERROR(VLOOKUP($G562,INDIRECT($O562),$P562,FALSE),0))</f>
        <v>0</v>
      </c>
      <c r="R562" s="288">
        <f ca="1">IF(OR(Table2[[#This Row],[Benefit Name]]="My Value Plus Life - Main Member",Table2[[#This Row],[Benefit Name]]="My Value Plus Life - Spouse"),0,
IFERROR(VLOOKUP($G562,INDIRECT($O562),$P562+1,FALSE),0))</f>
        <v>0</v>
      </c>
      <c r="S562" s="289">
        <f t="shared" ca="1" si="59"/>
        <v>0</v>
      </c>
      <c r="T562" s="284" t="str">
        <f>IF(Table13[[#This Row],[Premium Waiver]]="","None",Table13[[#This Row],[Premium Waiver]])</f>
        <v>None</v>
      </c>
      <c r="U562" s="284">
        <f>Table13[[#This Row],[VAPs Options]]</f>
        <v>0</v>
      </c>
      <c r="V562" s="284">
        <f>Table13[[#This Row],[Annual Increase Option]]</f>
        <v>0</v>
      </c>
      <c r="W562" s="290">
        <f>Table13[[#This Row],[Life Cover Amount]]</f>
        <v>0</v>
      </c>
      <c r="X562" s="290">
        <f>Table13[[#This Row],[Funeral Cover Amount]]</f>
        <v>0</v>
      </c>
      <c r="Y56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6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62" s="301">
        <f t="shared" ca="1" si="60"/>
        <v>0</v>
      </c>
      <c r="AB562" s="298"/>
      <c r="AC562" s="326" t="str">
        <f>IF(Table2[[#This Row],[Member Type]]="Main Member",Lookups!$C$13,
IF(Table2[[#This Row],[Member Type]]="Spouse",_xlfn.XLOOKUP(B562,Table2[Main Member Link ID],Table2[Product Option],0),
IF(AND(Table2[[#This Row],[Member Type]]="Child",_xlfn.XLOOKUP(B562,Table2[Main Member Link ID],Table2[Product Option],0)&lt;&gt;"My Value Plus Life"),Lookups!$C$24,
IF(AND(OR(Table2[[#This Row],[Member Type]]="Parent",Table2[[#This Row],[Member Type]]="Extended"),_xlfn.XLOOKUP(B562,Table2[Main Member Link ID],Table2[Product Option],0)&lt;&gt;"My Value Plus Life"),Lookups!$C$26,""))))</f>
        <v/>
      </c>
      <c r="AD562" s="326" t="str">
        <f>IF(Table2[[#This Row],[Member Type]]="Main Member",Lookups!$C$14,"")</f>
        <v/>
      </c>
      <c r="AE56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Funeral",_xlfn.XLOOKUP(B562,Table2[Main Member Link ID],Table2[Benefit Name],0)=Lookups!$D$14),"",
IF(AND(Table2[[#This Row],[Member Type]]="Spouse",Table2[[#This Row],[Product Option]]="My Value Plus Life &amp; Funeral",_xlfn.XLOOKUP(B561,Table2[Main Member Link ID],Table2[Benefit Name],0)=Lookups!$D$15),Lookups!$D$20,
IF(AND(Table2[[#This Row],[Member Type]]="Spouse",Table2[[#This Row],[Product Option]]="My Value Plus Life &amp; Funeral",_xlfn.XLOOKUP(B561,Table2[Main Member Link ID],Table2[Benefit Name],0)=Lookups!$D$16),"",
IF(AND(Table2[[#This Row],[Member Type]]="Spouse",Table2[[#This Row],[Product Option]]="My Value Plus Life &amp; Funeral",_xlfn.XLOOKUP(B561,Table2[Main Member Link ID],Table2[Benefit Name],0)=Lookups!$D$17),Lookups!$D$21,
IF(AND(Table2[[#This Row],[Member Type]]="Child",Table2[[#This Row],[Product Option]]="My Value Plus Life &amp; Funeral",_xlfn.XLOOKUP(B562,Table2[Main Member Link ID],Table2[Benefit Name],0)=Lookups!$D$14),"",
IF(AND(Table2[[#This Row],[Member Type]]="Child",Table2[[#This Row],[Product Option]]="My Value Plus Life &amp; Funeral",_xlfn.XLOOKUP(B562,Table2[Main Member Link ID],Table2[Benefit Name],0)=Lookups!$D$15),"",
IF(AND(Table2[[#This Row],[Member Type]]="Child",Table2[[#This Row],[Product Option]]="My Value Plus Life &amp; Funeral",_xlfn.XLOOKUP(B562,Table2[Main Member Link ID],Table2[Benefit Name],0)=Lookups!$D$16),Lookups!$D$24,
IF(AND(Table2[[#This Row],[Member Type]]="Child",Table2[[#This Row],[Product Option]]="My Value Plus Life &amp; Funeral",_xlfn.XLOOKUP(B562,Table2[Main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Funeral",_xlfn.XLOOKUP(B562,Table2[Main Member Link ID],Table2[Benefit Name],0)&lt;&gt;Lookups!$D$14),
IF(_xlfn.XLOOKUP(B562,Table2[Main Member Link ID],Table2[Benefit Name],0)=0,"",_xlfn.XLOOKUP(B562,Table2[Main Member Link ID],Table2[Benefit Name],0)),"")))))))))))))))</f>
        <v/>
      </c>
      <c r="AF562" s="327" t="str">
        <f>IF(AND(Table2[[#This Row],[Member Type]]="Main Member",Table2[[#This Row],[Product Option]]="My Value Plus Life &amp; Funeral"),Lookups!$D$15,
IF(AND(Table2[[#This Row],[Member Type]]="Spouse",Table2[[#This Row],[Product Option]]="My Value Plus Life &amp; Funeral",_xlfn.XLOOKUP(B562,Table2[Main Member Link ID],Table2[Benefit Name],0)=Lookups!$D$14),"",
IF(AND(Table2[[#This Row],[Member Type]]="Spouse",Table2[[#This Row],[Product Option]]="My Value Plus Life &amp; Funeral",_xlfn.XLOOKUP(B561,Table2[Main Member Link ID],Table2[Benefit Name],0)=Lookups!$D$16),"",
IF(AND(Table2[[#This Row],[Member Type]]="Spouse",Table2[[#This Row],[Product Option]]="My Value Plus Life &amp; Funeral",_xlfn.XLOOKUP(B561,Table2[Main Member Link ID],Table2[Benefit Name],0)=Lookups!$D$15),"",
IF(AND(Table2[[#This Row],[Member Type]]="Spouse",Table2[[#This Row],[Product Option]]="My Value Plus Life &amp; Funeral",_xlfn.XLOOKUP(B561,Table2[Main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Funeral",_xlfn.XLOOKUP(B562,Table2[Main Member Link ID],Table2[Benefit Name],0)&lt;&gt;Lookups!$D$15),
IF(_xlfn.XLOOKUP(B562,Table2[Main Member Link ID],Table2[Benefit Name],0)=0,"",_xlfn.XLOOKUP(B562,Table2[Main Member Link ID],Table2[Benefit Name],0)),"")
))))))</f>
        <v/>
      </c>
      <c r="AG562" s="327" t="str">
        <f>IF(AND(Table2[[#This Row],[Member Type]]="Main Member",Table2[[#This Row],[Product Option]]="My Value Plus Life &amp; Funeral"),Lookups!$D$16,
IF(AND(Table2[[#This Row],[Member Type]]="Spouse",Table2[[#This Row],[Product Option]]="My Value Plus Life &amp; Funeral",_xlfn.XLOOKUP(B562,Table2[Main Member Link ID],Table2[Benefit Name],0)=Lookups!$D$14),"",
IF(AND(Table2[[#This Row],[Member Type]]="Spouse",Table2[[#This Row],[Product Option]]="My Value Plus Life &amp; Funeral",_xlfn.XLOOKUP(B561,Table2[Main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Funeral",_xlfn.XLOOKUP(B562,Table2[Main Member Link ID],Table2[Benefit Name],0)&lt;&gt;Lookups!$D$16),
IF(_xlfn.XLOOKUP(B562,Table2[Main Member Link ID],Table2[Benefit Name],0)=0,"",_xlfn.XLOOKUP(B562,Table2[Main Member Link ID],Table2[Benefit Name],0)),"")
))))</f>
        <v/>
      </c>
      <c r="AH562" s="327" t="str">
        <f>IF(AND(Table2[[#This Row],[Member Type]]="Main Member",Table2[[#This Row],[Product Option]]="My Value Plus Life &amp; Funeral"),Lookups!$D$17,
IF(AND(Table2[[#This Row],[Member Type]]="Spouse",Table2[[#This Row],[Product Option]]="My Value Plus Life &amp; Funeral",_xlfn.XLOOKUP(B562,Table2[Main Member Link ID],Table2[Benefit Name],0)=Lookups!$D$14),"",
IF(AND(Table2[[#This Row],[Member Type]]="Spouse",Table2[[#This Row],[Product Option]]="My Value Plus Life &amp; Funeral",_xlfn.XLOOKUP(B561,Table2[Main Member Link ID],Table2[Benefit Name],0)=Lookups!$D$16),"",
IF(AND(Table2[[#This Row],[Member Type]]="Child",Table2[[#This Row],[Product Option]]="My Value Plus Life &amp; Funeral"),"",
IF(AND(Table2[[#This Row],[Member Type]]="Child",Table2[[#This Row],[Product Option]]="My Value Plus Life &amp; Funeral",_xlfn.XLOOKUP(B562,Table2[Main Member Link ID],Table2[Benefit Name],0)=Lookups!$D$15),"",
IF(AND(OR(Table2[[#This Row],[Member Type]]="Spouse",Table2[[#This Row],[Member Type]]="Child"),Table2[[#This Row],[Product Option]]="My Value Plus Life &amp; Funeral",_xlfn.XLOOKUP(B562,Table2[Main Member Link ID],Table2[Benefit Name],0)&lt;&gt;Lookups!$D$17),
IF(_xlfn.XLOOKUP(B562,Table2[Main Member Link ID],Table2[Benefit Name],0)=0,"",_xlfn.XLOOKUP(B562,Table2[Main Member Link ID],Table2[Benefit Name],0)),""))))))</f>
        <v/>
      </c>
      <c r="AI562" s="328" t="str">
        <f>IF(AND(Table2[[#This Row],[Member Type]]="Main Member",Table2[[#This Row],[Table Lookup for Life Cover]]="MM_LIFE",Table2[[#This Row],[Age Next Birthday]]&lt;56),1,
IF(AND(Table2[[#This Row],[Member Type]]="Main Member",Table2[[#This Row],[Table Lookup for Life Cover]]="MM_LIFE",Table2[[#This Row],[Age Next Birthday]]&gt;=56),2,
""))</f>
        <v/>
      </c>
      <c r="AJ562" s="328">
        <f>IF(OR(Table2[[#This Row],[Member Type]]="Main Member",Table2[[#This Row],[Main Member Link ID]]=B561),1,0)</f>
        <v>1</v>
      </c>
      <c r="AK562" s="328">
        <f>IF(Table2[[#This Row],[Member Type]]=0,0,
IF(OR(Table2[[#This Row],[Member Type]]="Main Member",Table2[[#This Row],[Main Member Link ID]]&lt;&gt;B562),COUNTIFS(B:B,Table2[[#This Row],[Main Member Link ID]]),
COUNTIFS(B:B,Table2[[#This Row],[Main Member Link ID]],A:A,Table2[[#This Row],[Member Type]])))</f>
        <v>0</v>
      </c>
    </row>
    <row r="563" spans="1:37" x14ac:dyDescent="0.3">
      <c r="A563" s="284">
        <f>Table13[[#This Row],[Member Type]]</f>
        <v>0</v>
      </c>
      <c r="B563" s="284">
        <f>Table13[[#This Row],[Main Member Link ID]]</f>
        <v>0</v>
      </c>
      <c r="C563" s="284">
        <f>Table13[[#This Row],[ID Number]]</f>
        <v>0</v>
      </c>
      <c r="D563" s="285">
        <f>Table13[[#This Row],[Date Of Birth]]</f>
        <v>0</v>
      </c>
      <c r="E563" s="285">
        <f>Table13[[#This Row],[Commencement Date]]</f>
        <v>0</v>
      </c>
      <c r="F563" s="284">
        <f t="shared" si="56"/>
        <v>1</v>
      </c>
      <c r="G563" s="284">
        <f t="shared" si="57"/>
        <v>25</v>
      </c>
      <c r="H563" s="286">
        <f>Table13[[#This Row],[Product Option]]</f>
        <v>0</v>
      </c>
      <c r="I563" s="284">
        <f>IF(AND($A563="Main Member",Table2[[#This Row],[Product Option]]="My Value Plus Life"),"MM_LIFE",
IF(AND($A563="Spouse",Table2[[#This Row],[Product Option]]="My Value Plus Life"),"SP_LIFE",
IF(AND($A563="Main Member",Table2[[#This Row],[Product Option]]="My Value Plus Life &amp; Funeral"),"MM_LIFE",
IF(AND($A563="Spouse",Table2[[#This Row],[Product Option]]="My Value Plus Life &amp; Funeral"),_xlfn.XLOOKUP(Table2[[#This Row],[Benefit Name]],Lookups!$D$18:$D$23,Lookups!$E$18:$E$23,0),
0))))</f>
        <v>0</v>
      </c>
      <c r="J563" s="284">
        <f>IF($I563="","",
IF($I563="MM_LIFE",INDEX('Quotation Tool'!$S$54:$V$60,MATCH($T563,'Quotation Tool'!$S$54:$S$60,0),4),
IF($I563="SP_LIFE",_xlfn.XLOOKUP(B562,$B:$B,$J:$J,0),0)))</f>
        <v>0</v>
      </c>
      <c r="K563" s="287">
        <f t="shared" ca="1" si="61"/>
        <v>0</v>
      </c>
      <c r="L563" s="288">
        <f t="shared" ca="1" si="62"/>
        <v>0</v>
      </c>
      <c r="M563" s="289">
        <f t="shared" ca="1" si="58"/>
        <v>0</v>
      </c>
      <c r="N563" s="286">
        <f>Table13[[#This Row],[Benefit Option]]</f>
        <v>0</v>
      </c>
      <c r="O563" s="284">
        <f>IF(OR(Table2[[#This Row],[Member Type]]="Spouse",Table2[[#This Row],[Member Type]]="Child"),0,
IF(_xlfn.XLOOKUP($N563,Lookups!$D$13:$D$27,Lookups!$F$13:$F$27,0)=Table2[[#This Row],[Table Lookup for Life Cover]],0,
_xlfn.XLOOKUP($N563,Lookups!$D$13:$D$27,Lookups!$F$13:$F$27,0)))</f>
        <v>0</v>
      </c>
      <c r="P563" s="284">
        <f>IF(Table2[[#This Row],[Table Lookup for Funeral]]=0,0,IFERROR(INDEX('Quotation Tool'!$S$54:$V$60,MATCH($T563,'Quotation Tool'!$S$54:$S$60,0),3),0))</f>
        <v>0</v>
      </c>
      <c r="Q563" s="288">
        <f ca="1">IF(OR(Table2[[#This Row],[Benefit Name]]="My Value Plus Life - Main Member",Table2[[#This Row],[Benefit Name]]="My Value Plus Life - Spouse"),0,
IFERROR(VLOOKUP($G563,INDIRECT($O563),$P563,FALSE),0))</f>
        <v>0</v>
      </c>
      <c r="R563" s="288">
        <f ca="1">IF(OR(Table2[[#This Row],[Benefit Name]]="My Value Plus Life - Main Member",Table2[[#This Row],[Benefit Name]]="My Value Plus Life - Spouse"),0,
IFERROR(VLOOKUP($G563,INDIRECT($O563),$P563+1,FALSE),0))</f>
        <v>0</v>
      </c>
      <c r="S563" s="289">
        <f t="shared" ca="1" si="59"/>
        <v>0</v>
      </c>
      <c r="T563" s="284" t="str">
        <f>IF(Table13[[#This Row],[Premium Waiver]]="","None",Table13[[#This Row],[Premium Waiver]])</f>
        <v>None</v>
      </c>
      <c r="U563" s="284">
        <f>Table13[[#This Row],[VAPs Options]]</f>
        <v>0</v>
      </c>
      <c r="V563" s="284">
        <f>Table13[[#This Row],[Annual Increase Option]]</f>
        <v>0</v>
      </c>
      <c r="W563" s="290">
        <f>Table13[[#This Row],[Life Cover Amount]]</f>
        <v>0</v>
      </c>
      <c r="X563" s="290">
        <f>Table13[[#This Row],[Funeral Cover Amount]]</f>
        <v>0</v>
      </c>
      <c r="Y56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6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63" s="301">
        <f t="shared" ca="1" si="60"/>
        <v>0</v>
      </c>
      <c r="AB563" s="298"/>
      <c r="AC563" s="326" t="str">
        <f>IF(Table2[[#This Row],[Member Type]]="Main Member",Lookups!$C$13,
IF(Table2[[#This Row],[Member Type]]="Spouse",_xlfn.XLOOKUP(B563,Table2[Main Member Link ID],Table2[Product Option],0),
IF(AND(Table2[[#This Row],[Member Type]]="Child",_xlfn.XLOOKUP(B563,Table2[Main Member Link ID],Table2[Product Option],0)&lt;&gt;"My Value Plus Life"),Lookups!$C$24,
IF(AND(OR(Table2[[#This Row],[Member Type]]="Parent",Table2[[#This Row],[Member Type]]="Extended"),_xlfn.XLOOKUP(B563,Table2[Main Member Link ID],Table2[Product Option],0)&lt;&gt;"My Value Plus Life"),Lookups!$C$26,""))))</f>
        <v/>
      </c>
      <c r="AD563" s="326" t="str">
        <f>IF(Table2[[#This Row],[Member Type]]="Main Member",Lookups!$C$14,"")</f>
        <v/>
      </c>
      <c r="AE56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Funeral",_xlfn.XLOOKUP(B563,Table2[Main Member Link ID],Table2[Benefit Name],0)=Lookups!$D$14),"",
IF(AND(Table2[[#This Row],[Member Type]]="Spouse",Table2[[#This Row],[Product Option]]="My Value Plus Life &amp; Funeral",_xlfn.XLOOKUP(B562,Table2[Main Member Link ID],Table2[Benefit Name],0)=Lookups!$D$15),Lookups!$D$20,
IF(AND(Table2[[#This Row],[Member Type]]="Spouse",Table2[[#This Row],[Product Option]]="My Value Plus Life &amp; Funeral",_xlfn.XLOOKUP(B562,Table2[Main Member Link ID],Table2[Benefit Name],0)=Lookups!$D$16),"",
IF(AND(Table2[[#This Row],[Member Type]]="Spouse",Table2[[#This Row],[Product Option]]="My Value Plus Life &amp; Funeral",_xlfn.XLOOKUP(B562,Table2[Main Member Link ID],Table2[Benefit Name],0)=Lookups!$D$17),Lookups!$D$21,
IF(AND(Table2[[#This Row],[Member Type]]="Child",Table2[[#This Row],[Product Option]]="My Value Plus Life &amp; Funeral",_xlfn.XLOOKUP(B563,Table2[Main Member Link ID],Table2[Benefit Name],0)=Lookups!$D$14),"",
IF(AND(Table2[[#This Row],[Member Type]]="Child",Table2[[#This Row],[Product Option]]="My Value Plus Life &amp; Funeral",_xlfn.XLOOKUP(B563,Table2[Main Member Link ID],Table2[Benefit Name],0)=Lookups!$D$15),"",
IF(AND(Table2[[#This Row],[Member Type]]="Child",Table2[[#This Row],[Product Option]]="My Value Plus Life &amp; Funeral",_xlfn.XLOOKUP(B563,Table2[Main Member Link ID],Table2[Benefit Name],0)=Lookups!$D$16),Lookups!$D$24,
IF(AND(Table2[[#This Row],[Member Type]]="Child",Table2[[#This Row],[Product Option]]="My Value Plus Life &amp; Funeral",_xlfn.XLOOKUP(B563,Table2[Main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Funeral",_xlfn.XLOOKUP(B563,Table2[Main Member Link ID],Table2[Benefit Name],0)&lt;&gt;Lookups!$D$14),
IF(_xlfn.XLOOKUP(B563,Table2[Main Member Link ID],Table2[Benefit Name],0)=0,"",_xlfn.XLOOKUP(B563,Table2[Main Member Link ID],Table2[Benefit Name],0)),"")))))))))))))))</f>
        <v/>
      </c>
      <c r="AF563" s="327" t="str">
        <f>IF(AND(Table2[[#This Row],[Member Type]]="Main Member",Table2[[#This Row],[Product Option]]="My Value Plus Life &amp; Funeral"),Lookups!$D$15,
IF(AND(Table2[[#This Row],[Member Type]]="Spouse",Table2[[#This Row],[Product Option]]="My Value Plus Life &amp; Funeral",_xlfn.XLOOKUP(B563,Table2[Main Member Link ID],Table2[Benefit Name],0)=Lookups!$D$14),"",
IF(AND(Table2[[#This Row],[Member Type]]="Spouse",Table2[[#This Row],[Product Option]]="My Value Plus Life &amp; Funeral",_xlfn.XLOOKUP(B562,Table2[Main Member Link ID],Table2[Benefit Name],0)=Lookups!$D$16),"",
IF(AND(Table2[[#This Row],[Member Type]]="Spouse",Table2[[#This Row],[Product Option]]="My Value Plus Life &amp; Funeral",_xlfn.XLOOKUP(B562,Table2[Main Member Link ID],Table2[Benefit Name],0)=Lookups!$D$15),"",
IF(AND(Table2[[#This Row],[Member Type]]="Spouse",Table2[[#This Row],[Product Option]]="My Value Plus Life &amp; Funeral",_xlfn.XLOOKUP(B562,Table2[Main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Funeral",_xlfn.XLOOKUP(B563,Table2[Main Member Link ID],Table2[Benefit Name],0)&lt;&gt;Lookups!$D$15),
IF(_xlfn.XLOOKUP(B563,Table2[Main Member Link ID],Table2[Benefit Name],0)=0,"",_xlfn.XLOOKUP(B563,Table2[Main Member Link ID],Table2[Benefit Name],0)),"")
))))))</f>
        <v/>
      </c>
      <c r="AG563" s="327" t="str">
        <f>IF(AND(Table2[[#This Row],[Member Type]]="Main Member",Table2[[#This Row],[Product Option]]="My Value Plus Life &amp; Funeral"),Lookups!$D$16,
IF(AND(Table2[[#This Row],[Member Type]]="Spouse",Table2[[#This Row],[Product Option]]="My Value Plus Life &amp; Funeral",_xlfn.XLOOKUP(B563,Table2[Main Member Link ID],Table2[Benefit Name],0)=Lookups!$D$14),"",
IF(AND(Table2[[#This Row],[Member Type]]="Spouse",Table2[[#This Row],[Product Option]]="My Value Plus Life &amp; Funeral",_xlfn.XLOOKUP(B562,Table2[Main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Funeral",_xlfn.XLOOKUP(B563,Table2[Main Member Link ID],Table2[Benefit Name],0)&lt;&gt;Lookups!$D$16),
IF(_xlfn.XLOOKUP(B563,Table2[Main Member Link ID],Table2[Benefit Name],0)=0,"",_xlfn.XLOOKUP(B563,Table2[Main Member Link ID],Table2[Benefit Name],0)),"")
))))</f>
        <v/>
      </c>
      <c r="AH563" s="327" t="str">
        <f>IF(AND(Table2[[#This Row],[Member Type]]="Main Member",Table2[[#This Row],[Product Option]]="My Value Plus Life &amp; Funeral"),Lookups!$D$17,
IF(AND(Table2[[#This Row],[Member Type]]="Spouse",Table2[[#This Row],[Product Option]]="My Value Plus Life &amp; Funeral",_xlfn.XLOOKUP(B563,Table2[Main Member Link ID],Table2[Benefit Name],0)=Lookups!$D$14),"",
IF(AND(Table2[[#This Row],[Member Type]]="Spouse",Table2[[#This Row],[Product Option]]="My Value Plus Life &amp; Funeral",_xlfn.XLOOKUP(B562,Table2[Main Member Link ID],Table2[Benefit Name],0)=Lookups!$D$16),"",
IF(AND(Table2[[#This Row],[Member Type]]="Child",Table2[[#This Row],[Product Option]]="My Value Plus Life &amp; Funeral"),"",
IF(AND(Table2[[#This Row],[Member Type]]="Child",Table2[[#This Row],[Product Option]]="My Value Plus Life &amp; Funeral",_xlfn.XLOOKUP(B563,Table2[Main Member Link ID],Table2[Benefit Name],0)=Lookups!$D$15),"",
IF(AND(OR(Table2[[#This Row],[Member Type]]="Spouse",Table2[[#This Row],[Member Type]]="Child"),Table2[[#This Row],[Product Option]]="My Value Plus Life &amp; Funeral",_xlfn.XLOOKUP(B563,Table2[Main Member Link ID],Table2[Benefit Name],0)&lt;&gt;Lookups!$D$17),
IF(_xlfn.XLOOKUP(B563,Table2[Main Member Link ID],Table2[Benefit Name],0)=0,"",_xlfn.XLOOKUP(B563,Table2[Main Member Link ID],Table2[Benefit Name],0)),""))))))</f>
        <v/>
      </c>
      <c r="AI563" s="328" t="str">
        <f>IF(AND(Table2[[#This Row],[Member Type]]="Main Member",Table2[[#This Row],[Table Lookup for Life Cover]]="MM_LIFE",Table2[[#This Row],[Age Next Birthday]]&lt;56),1,
IF(AND(Table2[[#This Row],[Member Type]]="Main Member",Table2[[#This Row],[Table Lookup for Life Cover]]="MM_LIFE",Table2[[#This Row],[Age Next Birthday]]&gt;=56),2,
""))</f>
        <v/>
      </c>
      <c r="AJ563" s="328">
        <f>IF(OR(Table2[[#This Row],[Member Type]]="Main Member",Table2[[#This Row],[Main Member Link ID]]=B562),1,0)</f>
        <v>1</v>
      </c>
      <c r="AK563" s="328">
        <f>IF(Table2[[#This Row],[Member Type]]=0,0,
IF(OR(Table2[[#This Row],[Member Type]]="Main Member",Table2[[#This Row],[Main Member Link ID]]&lt;&gt;B563),COUNTIFS(B:B,Table2[[#This Row],[Main Member Link ID]]),
COUNTIFS(B:B,Table2[[#This Row],[Main Member Link ID]],A:A,Table2[[#This Row],[Member Type]])))</f>
        <v>0</v>
      </c>
    </row>
    <row r="564" spans="1:37" x14ac:dyDescent="0.3">
      <c r="A564" s="284">
        <f>Table13[[#This Row],[Member Type]]</f>
        <v>0</v>
      </c>
      <c r="B564" s="284">
        <f>Table13[[#This Row],[Main Member Link ID]]</f>
        <v>0</v>
      </c>
      <c r="C564" s="284">
        <f>Table13[[#This Row],[ID Number]]</f>
        <v>0</v>
      </c>
      <c r="D564" s="285">
        <f>Table13[[#This Row],[Date Of Birth]]</f>
        <v>0</v>
      </c>
      <c r="E564" s="285">
        <f>Table13[[#This Row],[Commencement Date]]</f>
        <v>0</v>
      </c>
      <c r="F564" s="284">
        <f t="shared" si="56"/>
        <v>1</v>
      </c>
      <c r="G564" s="284">
        <f t="shared" si="57"/>
        <v>25</v>
      </c>
      <c r="H564" s="286">
        <f>Table13[[#This Row],[Product Option]]</f>
        <v>0</v>
      </c>
      <c r="I564" s="284">
        <f>IF(AND($A564="Main Member",Table2[[#This Row],[Product Option]]="My Value Plus Life"),"MM_LIFE",
IF(AND($A564="Spouse",Table2[[#This Row],[Product Option]]="My Value Plus Life"),"SP_LIFE",
IF(AND($A564="Main Member",Table2[[#This Row],[Product Option]]="My Value Plus Life &amp; Funeral"),"MM_LIFE",
IF(AND($A564="Spouse",Table2[[#This Row],[Product Option]]="My Value Plus Life &amp; Funeral"),_xlfn.XLOOKUP(Table2[[#This Row],[Benefit Name]],Lookups!$D$18:$D$23,Lookups!$E$18:$E$23,0),
0))))</f>
        <v>0</v>
      </c>
      <c r="J564" s="284">
        <f>IF($I564="","",
IF($I564="MM_LIFE",INDEX('Quotation Tool'!$S$54:$V$60,MATCH($T564,'Quotation Tool'!$S$54:$S$60,0),4),
IF($I564="SP_LIFE",_xlfn.XLOOKUP(B563,$B:$B,$J:$J,0),0)))</f>
        <v>0</v>
      </c>
      <c r="K564" s="287">
        <f t="shared" ca="1" si="61"/>
        <v>0</v>
      </c>
      <c r="L564" s="288">
        <f t="shared" ca="1" si="62"/>
        <v>0</v>
      </c>
      <c r="M564" s="289">
        <f t="shared" ca="1" si="58"/>
        <v>0</v>
      </c>
      <c r="N564" s="286">
        <f>Table13[[#This Row],[Benefit Option]]</f>
        <v>0</v>
      </c>
      <c r="O564" s="284">
        <f>IF(OR(Table2[[#This Row],[Member Type]]="Spouse",Table2[[#This Row],[Member Type]]="Child"),0,
IF(_xlfn.XLOOKUP($N564,Lookups!$D$13:$D$27,Lookups!$F$13:$F$27,0)=Table2[[#This Row],[Table Lookup for Life Cover]],0,
_xlfn.XLOOKUP($N564,Lookups!$D$13:$D$27,Lookups!$F$13:$F$27,0)))</f>
        <v>0</v>
      </c>
      <c r="P564" s="284">
        <f>IF(Table2[[#This Row],[Table Lookup for Funeral]]=0,0,IFERROR(INDEX('Quotation Tool'!$S$54:$V$60,MATCH($T564,'Quotation Tool'!$S$54:$S$60,0),3),0))</f>
        <v>0</v>
      </c>
      <c r="Q564" s="288">
        <f ca="1">IF(OR(Table2[[#This Row],[Benefit Name]]="My Value Plus Life - Main Member",Table2[[#This Row],[Benefit Name]]="My Value Plus Life - Spouse"),0,
IFERROR(VLOOKUP($G564,INDIRECT($O564),$P564,FALSE),0))</f>
        <v>0</v>
      </c>
      <c r="R564" s="288">
        <f ca="1">IF(OR(Table2[[#This Row],[Benefit Name]]="My Value Plus Life - Main Member",Table2[[#This Row],[Benefit Name]]="My Value Plus Life - Spouse"),0,
IFERROR(VLOOKUP($G564,INDIRECT($O564),$P564+1,FALSE),0))</f>
        <v>0</v>
      </c>
      <c r="S564" s="289">
        <f t="shared" ca="1" si="59"/>
        <v>0</v>
      </c>
      <c r="T564" s="284" t="str">
        <f>IF(Table13[[#This Row],[Premium Waiver]]="","None",Table13[[#This Row],[Premium Waiver]])</f>
        <v>None</v>
      </c>
      <c r="U564" s="284">
        <f>Table13[[#This Row],[VAPs Options]]</f>
        <v>0</v>
      </c>
      <c r="V564" s="284">
        <f>Table13[[#This Row],[Annual Increase Option]]</f>
        <v>0</v>
      </c>
      <c r="W564" s="290">
        <f>Table13[[#This Row],[Life Cover Amount]]</f>
        <v>0</v>
      </c>
      <c r="X564" s="290">
        <f>Table13[[#This Row],[Funeral Cover Amount]]</f>
        <v>0</v>
      </c>
      <c r="Y56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6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64" s="301">
        <f t="shared" ca="1" si="60"/>
        <v>0</v>
      </c>
      <c r="AB564" s="298"/>
      <c r="AC564" s="326" t="str">
        <f>IF(Table2[[#This Row],[Member Type]]="Main Member",Lookups!$C$13,
IF(Table2[[#This Row],[Member Type]]="Spouse",_xlfn.XLOOKUP(B564,Table2[Main Member Link ID],Table2[Product Option],0),
IF(AND(Table2[[#This Row],[Member Type]]="Child",_xlfn.XLOOKUP(B564,Table2[Main Member Link ID],Table2[Product Option],0)&lt;&gt;"My Value Plus Life"),Lookups!$C$24,
IF(AND(OR(Table2[[#This Row],[Member Type]]="Parent",Table2[[#This Row],[Member Type]]="Extended"),_xlfn.XLOOKUP(B564,Table2[Main Member Link ID],Table2[Product Option],0)&lt;&gt;"My Value Plus Life"),Lookups!$C$26,""))))</f>
        <v/>
      </c>
      <c r="AD564" s="326" t="str">
        <f>IF(Table2[[#This Row],[Member Type]]="Main Member",Lookups!$C$14,"")</f>
        <v/>
      </c>
      <c r="AE56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Funeral",_xlfn.XLOOKUP(B564,Table2[Main Member Link ID],Table2[Benefit Name],0)=Lookups!$D$14),"",
IF(AND(Table2[[#This Row],[Member Type]]="Spouse",Table2[[#This Row],[Product Option]]="My Value Plus Life &amp; Funeral",_xlfn.XLOOKUP(B563,Table2[Main Member Link ID],Table2[Benefit Name],0)=Lookups!$D$15),Lookups!$D$20,
IF(AND(Table2[[#This Row],[Member Type]]="Spouse",Table2[[#This Row],[Product Option]]="My Value Plus Life &amp; Funeral",_xlfn.XLOOKUP(B563,Table2[Main Member Link ID],Table2[Benefit Name],0)=Lookups!$D$16),"",
IF(AND(Table2[[#This Row],[Member Type]]="Spouse",Table2[[#This Row],[Product Option]]="My Value Plus Life &amp; Funeral",_xlfn.XLOOKUP(B563,Table2[Main Member Link ID],Table2[Benefit Name],0)=Lookups!$D$17),Lookups!$D$21,
IF(AND(Table2[[#This Row],[Member Type]]="Child",Table2[[#This Row],[Product Option]]="My Value Plus Life &amp; Funeral",_xlfn.XLOOKUP(B564,Table2[Main Member Link ID],Table2[Benefit Name],0)=Lookups!$D$14),"",
IF(AND(Table2[[#This Row],[Member Type]]="Child",Table2[[#This Row],[Product Option]]="My Value Plus Life &amp; Funeral",_xlfn.XLOOKUP(B564,Table2[Main Member Link ID],Table2[Benefit Name],0)=Lookups!$D$15),"",
IF(AND(Table2[[#This Row],[Member Type]]="Child",Table2[[#This Row],[Product Option]]="My Value Plus Life &amp; Funeral",_xlfn.XLOOKUP(B564,Table2[Main Member Link ID],Table2[Benefit Name],0)=Lookups!$D$16),Lookups!$D$24,
IF(AND(Table2[[#This Row],[Member Type]]="Child",Table2[[#This Row],[Product Option]]="My Value Plus Life &amp; Funeral",_xlfn.XLOOKUP(B564,Table2[Main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Funeral",_xlfn.XLOOKUP(B564,Table2[Main Member Link ID],Table2[Benefit Name],0)&lt;&gt;Lookups!$D$14),
IF(_xlfn.XLOOKUP(B564,Table2[Main Member Link ID],Table2[Benefit Name],0)=0,"",_xlfn.XLOOKUP(B564,Table2[Main Member Link ID],Table2[Benefit Name],0)),"")))))))))))))))</f>
        <v/>
      </c>
      <c r="AF564" s="327" t="str">
        <f>IF(AND(Table2[[#This Row],[Member Type]]="Main Member",Table2[[#This Row],[Product Option]]="My Value Plus Life &amp; Funeral"),Lookups!$D$15,
IF(AND(Table2[[#This Row],[Member Type]]="Spouse",Table2[[#This Row],[Product Option]]="My Value Plus Life &amp; Funeral",_xlfn.XLOOKUP(B564,Table2[Main Member Link ID],Table2[Benefit Name],0)=Lookups!$D$14),"",
IF(AND(Table2[[#This Row],[Member Type]]="Spouse",Table2[[#This Row],[Product Option]]="My Value Plus Life &amp; Funeral",_xlfn.XLOOKUP(B563,Table2[Main Member Link ID],Table2[Benefit Name],0)=Lookups!$D$16),"",
IF(AND(Table2[[#This Row],[Member Type]]="Spouse",Table2[[#This Row],[Product Option]]="My Value Plus Life &amp; Funeral",_xlfn.XLOOKUP(B563,Table2[Main Member Link ID],Table2[Benefit Name],0)=Lookups!$D$15),"",
IF(AND(Table2[[#This Row],[Member Type]]="Spouse",Table2[[#This Row],[Product Option]]="My Value Plus Life &amp; Funeral",_xlfn.XLOOKUP(B563,Table2[Main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Funeral",_xlfn.XLOOKUP(B564,Table2[Main Member Link ID],Table2[Benefit Name],0)&lt;&gt;Lookups!$D$15),
IF(_xlfn.XLOOKUP(B564,Table2[Main Member Link ID],Table2[Benefit Name],0)=0,"",_xlfn.XLOOKUP(B564,Table2[Main Member Link ID],Table2[Benefit Name],0)),"")
))))))</f>
        <v/>
      </c>
      <c r="AG564" s="327" t="str">
        <f>IF(AND(Table2[[#This Row],[Member Type]]="Main Member",Table2[[#This Row],[Product Option]]="My Value Plus Life &amp; Funeral"),Lookups!$D$16,
IF(AND(Table2[[#This Row],[Member Type]]="Spouse",Table2[[#This Row],[Product Option]]="My Value Plus Life &amp; Funeral",_xlfn.XLOOKUP(B564,Table2[Main Member Link ID],Table2[Benefit Name],0)=Lookups!$D$14),"",
IF(AND(Table2[[#This Row],[Member Type]]="Spouse",Table2[[#This Row],[Product Option]]="My Value Plus Life &amp; Funeral",_xlfn.XLOOKUP(B563,Table2[Main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Funeral",_xlfn.XLOOKUP(B564,Table2[Main Member Link ID],Table2[Benefit Name],0)&lt;&gt;Lookups!$D$16),
IF(_xlfn.XLOOKUP(B564,Table2[Main Member Link ID],Table2[Benefit Name],0)=0,"",_xlfn.XLOOKUP(B564,Table2[Main Member Link ID],Table2[Benefit Name],0)),"")
))))</f>
        <v/>
      </c>
      <c r="AH564" s="327" t="str">
        <f>IF(AND(Table2[[#This Row],[Member Type]]="Main Member",Table2[[#This Row],[Product Option]]="My Value Plus Life &amp; Funeral"),Lookups!$D$17,
IF(AND(Table2[[#This Row],[Member Type]]="Spouse",Table2[[#This Row],[Product Option]]="My Value Plus Life &amp; Funeral",_xlfn.XLOOKUP(B564,Table2[Main Member Link ID],Table2[Benefit Name],0)=Lookups!$D$14),"",
IF(AND(Table2[[#This Row],[Member Type]]="Spouse",Table2[[#This Row],[Product Option]]="My Value Plus Life &amp; Funeral",_xlfn.XLOOKUP(B563,Table2[Main Member Link ID],Table2[Benefit Name],0)=Lookups!$D$16),"",
IF(AND(Table2[[#This Row],[Member Type]]="Child",Table2[[#This Row],[Product Option]]="My Value Plus Life &amp; Funeral"),"",
IF(AND(Table2[[#This Row],[Member Type]]="Child",Table2[[#This Row],[Product Option]]="My Value Plus Life &amp; Funeral",_xlfn.XLOOKUP(B564,Table2[Main Member Link ID],Table2[Benefit Name],0)=Lookups!$D$15),"",
IF(AND(OR(Table2[[#This Row],[Member Type]]="Spouse",Table2[[#This Row],[Member Type]]="Child"),Table2[[#This Row],[Product Option]]="My Value Plus Life &amp; Funeral",_xlfn.XLOOKUP(B564,Table2[Main Member Link ID],Table2[Benefit Name],0)&lt;&gt;Lookups!$D$17),
IF(_xlfn.XLOOKUP(B564,Table2[Main Member Link ID],Table2[Benefit Name],0)=0,"",_xlfn.XLOOKUP(B564,Table2[Main Member Link ID],Table2[Benefit Name],0)),""))))))</f>
        <v/>
      </c>
      <c r="AI564" s="328" t="str">
        <f>IF(AND(Table2[[#This Row],[Member Type]]="Main Member",Table2[[#This Row],[Table Lookup for Life Cover]]="MM_LIFE",Table2[[#This Row],[Age Next Birthday]]&lt;56),1,
IF(AND(Table2[[#This Row],[Member Type]]="Main Member",Table2[[#This Row],[Table Lookup for Life Cover]]="MM_LIFE",Table2[[#This Row],[Age Next Birthday]]&gt;=56),2,
""))</f>
        <v/>
      </c>
      <c r="AJ564" s="328">
        <f>IF(OR(Table2[[#This Row],[Member Type]]="Main Member",Table2[[#This Row],[Main Member Link ID]]=B563),1,0)</f>
        <v>1</v>
      </c>
      <c r="AK564" s="328">
        <f>IF(Table2[[#This Row],[Member Type]]=0,0,
IF(OR(Table2[[#This Row],[Member Type]]="Main Member",Table2[[#This Row],[Main Member Link ID]]&lt;&gt;B564),COUNTIFS(B:B,Table2[[#This Row],[Main Member Link ID]]),
COUNTIFS(B:B,Table2[[#This Row],[Main Member Link ID]],A:A,Table2[[#This Row],[Member Type]])))</f>
        <v>0</v>
      </c>
    </row>
    <row r="565" spans="1:37" x14ac:dyDescent="0.3">
      <c r="A565" s="284">
        <f>Table13[[#This Row],[Member Type]]</f>
        <v>0</v>
      </c>
      <c r="B565" s="284">
        <f>Table13[[#This Row],[Main Member Link ID]]</f>
        <v>0</v>
      </c>
      <c r="C565" s="284">
        <f>Table13[[#This Row],[ID Number]]</f>
        <v>0</v>
      </c>
      <c r="D565" s="285">
        <f>Table13[[#This Row],[Date Of Birth]]</f>
        <v>0</v>
      </c>
      <c r="E565" s="285">
        <f>Table13[[#This Row],[Commencement Date]]</f>
        <v>0</v>
      </c>
      <c r="F565" s="284">
        <f t="shared" si="56"/>
        <v>1</v>
      </c>
      <c r="G565" s="284">
        <f t="shared" si="57"/>
        <v>25</v>
      </c>
      <c r="H565" s="286">
        <f>Table13[[#This Row],[Product Option]]</f>
        <v>0</v>
      </c>
      <c r="I565" s="284">
        <f>IF(AND($A565="Main Member",Table2[[#This Row],[Product Option]]="My Value Plus Life"),"MM_LIFE",
IF(AND($A565="Spouse",Table2[[#This Row],[Product Option]]="My Value Plus Life"),"SP_LIFE",
IF(AND($A565="Main Member",Table2[[#This Row],[Product Option]]="My Value Plus Life &amp; Funeral"),"MM_LIFE",
IF(AND($A565="Spouse",Table2[[#This Row],[Product Option]]="My Value Plus Life &amp; Funeral"),_xlfn.XLOOKUP(Table2[[#This Row],[Benefit Name]],Lookups!$D$18:$D$23,Lookups!$E$18:$E$23,0),
0))))</f>
        <v>0</v>
      </c>
      <c r="J565" s="284">
        <f>IF($I565="","",
IF($I565="MM_LIFE",INDEX('Quotation Tool'!$S$54:$V$60,MATCH($T565,'Quotation Tool'!$S$54:$S$60,0),4),
IF($I565="SP_LIFE",_xlfn.XLOOKUP(B564,$B:$B,$J:$J,0),0)))</f>
        <v>0</v>
      </c>
      <c r="K565" s="287">
        <f t="shared" ca="1" si="61"/>
        <v>0</v>
      </c>
      <c r="L565" s="288">
        <f t="shared" ca="1" si="62"/>
        <v>0</v>
      </c>
      <c r="M565" s="289">
        <f t="shared" ca="1" si="58"/>
        <v>0</v>
      </c>
      <c r="N565" s="286">
        <f>Table13[[#This Row],[Benefit Option]]</f>
        <v>0</v>
      </c>
      <c r="O565" s="284">
        <f>IF(OR(Table2[[#This Row],[Member Type]]="Spouse",Table2[[#This Row],[Member Type]]="Child"),0,
IF(_xlfn.XLOOKUP($N565,Lookups!$D$13:$D$27,Lookups!$F$13:$F$27,0)=Table2[[#This Row],[Table Lookup for Life Cover]],0,
_xlfn.XLOOKUP($N565,Lookups!$D$13:$D$27,Lookups!$F$13:$F$27,0)))</f>
        <v>0</v>
      </c>
      <c r="P565" s="284">
        <f>IF(Table2[[#This Row],[Table Lookup for Funeral]]=0,0,IFERROR(INDEX('Quotation Tool'!$S$54:$V$60,MATCH($T565,'Quotation Tool'!$S$54:$S$60,0),3),0))</f>
        <v>0</v>
      </c>
      <c r="Q565" s="288">
        <f ca="1">IF(OR(Table2[[#This Row],[Benefit Name]]="My Value Plus Life - Main Member",Table2[[#This Row],[Benefit Name]]="My Value Plus Life - Spouse"),0,
IFERROR(VLOOKUP($G565,INDIRECT($O565),$P565,FALSE),0))</f>
        <v>0</v>
      </c>
      <c r="R565" s="288">
        <f ca="1">IF(OR(Table2[[#This Row],[Benefit Name]]="My Value Plus Life - Main Member",Table2[[#This Row],[Benefit Name]]="My Value Plus Life - Spouse"),0,
IFERROR(VLOOKUP($G565,INDIRECT($O565),$P565+1,FALSE),0))</f>
        <v>0</v>
      </c>
      <c r="S565" s="289">
        <f t="shared" ca="1" si="59"/>
        <v>0</v>
      </c>
      <c r="T565" s="284" t="str">
        <f>IF(Table13[[#This Row],[Premium Waiver]]="","None",Table13[[#This Row],[Premium Waiver]])</f>
        <v>None</v>
      </c>
      <c r="U565" s="284">
        <f>Table13[[#This Row],[VAPs Options]]</f>
        <v>0</v>
      </c>
      <c r="V565" s="284">
        <f>Table13[[#This Row],[Annual Increase Option]]</f>
        <v>0</v>
      </c>
      <c r="W565" s="290">
        <f>Table13[[#This Row],[Life Cover Amount]]</f>
        <v>0</v>
      </c>
      <c r="X565" s="290">
        <f>Table13[[#This Row],[Funeral Cover Amount]]</f>
        <v>0</v>
      </c>
      <c r="Y56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6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65" s="301">
        <f t="shared" ca="1" si="60"/>
        <v>0</v>
      </c>
      <c r="AB565" s="298"/>
      <c r="AC565" s="326" t="str">
        <f>IF(Table2[[#This Row],[Member Type]]="Main Member",Lookups!$C$13,
IF(Table2[[#This Row],[Member Type]]="Spouse",_xlfn.XLOOKUP(B565,Table2[Main Member Link ID],Table2[Product Option],0),
IF(AND(Table2[[#This Row],[Member Type]]="Child",_xlfn.XLOOKUP(B565,Table2[Main Member Link ID],Table2[Product Option],0)&lt;&gt;"My Value Plus Life"),Lookups!$C$24,
IF(AND(OR(Table2[[#This Row],[Member Type]]="Parent",Table2[[#This Row],[Member Type]]="Extended"),_xlfn.XLOOKUP(B565,Table2[Main Member Link ID],Table2[Product Option],0)&lt;&gt;"My Value Plus Life"),Lookups!$C$26,""))))</f>
        <v/>
      </c>
      <c r="AD565" s="326" t="str">
        <f>IF(Table2[[#This Row],[Member Type]]="Main Member",Lookups!$C$14,"")</f>
        <v/>
      </c>
      <c r="AE56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Funeral",_xlfn.XLOOKUP(B565,Table2[Main Member Link ID],Table2[Benefit Name],0)=Lookups!$D$14),"",
IF(AND(Table2[[#This Row],[Member Type]]="Spouse",Table2[[#This Row],[Product Option]]="My Value Plus Life &amp; Funeral",_xlfn.XLOOKUP(B564,Table2[Main Member Link ID],Table2[Benefit Name],0)=Lookups!$D$15),Lookups!$D$20,
IF(AND(Table2[[#This Row],[Member Type]]="Spouse",Table2[[#This Row],[Product Option]]="My Value Plus Life &amp; Funeral",_xlfn.XLOOKUP(B564,Table2[Main Member Link ID],Table2[Benefit Name],0)=Lookups!$D$16),"",
IF(AND(Table2[[#This Row],[Member Type]]="Spouse",Table2[[#This Row],[Product Option]]="My Value Plus Life &amp; Funeral",_xlfn.XLOOKUP(B564,Table2[Main Member Link ID],Table2[Benefit Name],0)=Lookups!$D$17),Lookups!$D$21,
IF(AND(Table2[[#This Row],[Member Type]]="Child",Table2[[#This Row],[Product Option]]="My Value Plus Life &amp; Funeral",_xlfn.XLOOKUP(B565,Table2[Main Member Link ID],Table2[Benefit Name],0)=Lookups!$D$14),"",
IF(AND(Table2[[#This Row],[Member Type]]="Child",Table2[[#This Row],[Product Option]]="My Value Plus Life &amp; Funeral",_xlfn.XLOOKUP(B565,Table2[Main Member Link ID],Table2[Benefit Name],0)=Lookups!$D$15),"",
IF(AND(Table2[[#This Row],[Member Type]]="Child",Table2[[#This Row],[Product Option]]="My Value Plus Life &amp; Funeral",_xlfn.XLOOKUP(B565,Table2[Main Member Link ID],Table2[Benefit Name],0)=Lookups!$D$16),Lookups!$D$24,
IF(AND(Table2[[#This Row],[Member Type]]="Child",Table2[[#This Row],[Product Option]]="My Value Plus Life &amp; Funeral",_xlfn.XLOOKUP(B565,Table2[Main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Funeral",_xlfn.XLOOKUP(B565,Table2[Main Member Link ID],Table2[Benefit Name],0)&lt;&gt;Lookups!$D$14),
IF(_xlfn.XLOOKUP(B565,Table2[Main Member Link ID],Table2[Benefit Name],0)=0,"",_xlfn.XLOOKUP(B565,Table2[Main Member Link ID],Table2[Benefit Name],0)),"")))))))))))))))</f>
        <v/>
      </c>
      <c r="AF565" s="327" t="str">
        <f>IF(AND(Table2[[#This Row],[Member Type]]="Main Member",Table2[[#This Row],[Product Option]]="My Value Plus Life &amp; Funeral"),Lookups!$D$15,
IF(AND(Table2[[#This Row],[Member Type]]="Spouse",Table2[[#This Row],[Product Option]]="My Value Plus Life &amp; Funeral",_xlfn.XLOOKUP(B565,Table2[Main Member Link ID],Table2[Benefit Name],0)=Lookups!$D$14),"",
IF(AND(Table2[[#This Row],[Member Type]]="Spouse",Table2[[#This Row],[Product Option]]="My Value Plus Life &amp; Funeral",_xlfn.XLOOKUP(B564,Table2[Main Member Link ID],Table2[Benefit Name],0)=Lookups!$D$16),"",
IF(AND(Table2[[#This Row],[Member Type]]="Spouse",Table2[[#This Row],[Product Option]]="My Value Plus Life &amp; Funeral",_xlfn.XLOOKUP(B564,Table2[Main Member Link ID],Table2[Benefit Name],0)=Lookups!$D$15),"",
IF(AND(Table2[[#This Row],[Member Type]]="Spouse",Table2[[#This Row],[Product Option]]="My Value Plus Life &amp; Funeral",_xlfn.XLOOKUP(B564,Table2[Main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Funeral",_xlfn.XLOOKUP(B565,Table2[Main Member Link ID],Table2[Benefit Name],0)&lt;&gt;Lookups!$D$15),
IF(_xlfn.XLOOKUP(B565,Table2[Main Member Link ID],Table2[Benefit Name],0)=0,"",_xlfn.XLOOKUP(B565,Table2[Main Member Link ID],Table2[Benefit Name],0)),"")
))))))</f>
        <v/>
      </c>
      <c r="AG565" s="327" t="str">
        <f>IF(AND(Table2[[#This Row],[Member Type]]="Main Member",Table2[[#This Row],[Product Option]]="My Value Plus Life &amp; Funeral"),Lookups!$D$16,
IF(AND(Table2[[#This Row],[Member Type]]="Spouse",Table2[[#This Row],[Product Option]]="My Value Plus Life &amp; Funeral",_xlfn.XLOOKUP(B565,Table2[Main Member Link ID],Table2[Benefit Name],0)=Lookups!$D$14),"",
IF(AND(Table2[[#This Row],[Member Type]]="Spouse",Table2[[#This Row],[Product Option]]="My Value Plus Life &amp; Funeral",_xlfn.XLOOKUP(B564,Table2[Main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Funeral",_xlfn.XLOOKUP(B565,Table2[Main Member Link ID],Table2[Benefit Name],0)&lt;&gt;Lookups!$D$16),
IF(_xlfn.XLOOKUP(B565,Table2[Main Member Link ID],Table2[Benefit Name],0)=0,"",_xlfn.XLOOKUP(B565,Table2[Main Member Link ID],Table2[Benefit Name],0)),"")
))))</f>
        <v/>
      </c>
      <c r="AH565" s="327" t="str">
        <f>IF(AND(Table2[[#This Row],[Member Type]]="Main Member",Table2[[#This Row],[Product Option]]="My Value Plus Life &amp; Funeral"),Lookups!$D$17,
IF(AND(Table2[[#This Row],[Member Type]]="Spouse",Table2[[#This Row],[Product Option]]="My Value Plus Life &amp; Funeral",_xlfn.XLOOKUP(B565,Table2[Main Member Link ID],Table2[Benefit Name],0)=Lookups!$D$14),"",
IF(AND(Table2[[#This Row],[Member Type]]="Spouse",Table2[[#This Row],[Product Option]]="My Value Plus Life &amp; Funeral",_xlfn.XLOOKUP(B564,Table2[Main Member Link ID],Table2[Benefit Name],0)=Lookups!$D$16),"",
IF(AND(Table2[[#This Row],[Member Type]]="Child",Table2[[#This Row],[Product Option]]="My Value Plus Life &amp; Funeral"),"",
IF(AND(Table2[[#This Row],[Member Type]]="Child",Table2[[#This Row],[Product Option]]="My Value Plus Life &amp; Funeral",_xlfn.XLOOKUP(B565,Table2[Main Member Link ID],Table2[Benefit Name],0)=Lookups!$D$15),"",
IF(AND(OR(Table2[[#This Row],[Member Type]]="Spouse",Table2[[#This Row],[Member Type]]="Child"),Table2[[#This Row],[Product Option]]="My Value Plus Life &amp; Funeral",_xlfn.XLOOKUP(B565,Table2[Main Member Link ID],Table2[Benefit Name],0)&lt;&gt;Lookups!$D$17),
IF(_xlfn.XLOOKUP(B565,Table2[Main Member Link ID],Table2[Benefit Name],0)=0,"",_xlfn.XLOOKUP(B565,Table2[Main Member Link ID],Table2[Benefit Name],0)),""))))))</f>
        <v/>
      </c>
      <c r="AI565" s="328" t="str">
        <f>IF(AND(Table2[[#This Row],[Member Type]]="Main Member",Table2[[#This Row],[Table Lookup for Life Cover]]="MM_LIFE",Table2[[#This Row],[Age Next Birthday]]&lt;56),1,
IF(AND(Table2[[#This Row],[Member Type]]="Main Member",Table2[[#This Row],[Table Lookup for Life Cover]]="MM_LIFE",Table2[[#This Row],[Age Next Birthday]]&gt;=56),2,
""))</f>
        <v/>
      </c>
      <c r="AJ565" s="328">
        <f>IF(OR(Table2[[#This Row],[Member Type]]="Main Member",Table2[[#This Row],[Main Member Link ID]]=B564),1,0)</f>
        <v>1</v>
      </c>
      <c r="AK565" s="328">
        <f>IF(Table2[[#This Row],[Member Type]]=0,0,
IF(OR(Table2[[#This Row],[Member Type]]="Main Member",Table2[[#This Row],[Main Member Link ID]]&lt;&gt;B565),COUNTIFS(B:B,Table2[[#This Row],[Main Member Link ID]]),
COUNTIFS(B:B,Table2[[#This Row],[Main Member Link ID]],A:A,Table2[[#This Row],[Member Type]])))</f>
        <v>0</v>
      </c>
    </row>
    <row r="566" spans="1:37" x14ac:dyDescent="0.3">
      <c r="A566" s="284">
        <f>Table13[[#This Row],[Member Type]]</f>
        <v>0</v>
      </c>
      <c r="B566" s="284">
        <f>Table13[[#This Row],[Main Member Link ID]]</f>
        <v>0</v>
      </c>
      <c r="C566" s="284">
        <f>Table13[[#This Row],[ID Number]]</f>
        <v>0</v>
      </c>
      <c r="D566" s="285">
        <f>Table13[[#This Row],[Date Of Birth]]</f>
        <v>0</v>
      </c>
      <c r="E566" s="285">
        <f>Table13[[#This Row],[Commencement Date]]</f>
        <v>0</v>
      </c>
      <c r="F566" s="284">
        <f t="shared" si="56"/>
        <v>1</v>
      </c>
      <c r="G566" s="284">
        <f t="shared" si="57"/>
        <v>25</v>
      </c>
      <c r="H566" s="286">
        <f>Table13[[#This Row],[Product Option]]</f>
        <v>0</v>
      </c>
      <c r="I566" s="284">
        <f>IF(AND($A566="Main Member",Table2[[#This Row],[Product Option]]="My Value Plus Life"),"MM_LIFE",
IF(AND($A566="Spouse",Table2[[#This Row],[Product Option]]="My Value Plus Life"),"SP_LIFE",
IF(AND($A566="Main Member",Table2[[#This Row],[Product Option]]="My Value Plus Life &amp; Funeral"),"MM_LIFE",
IF(AND($A566="Spouse",Table2[[#This Row],[Product Option]]="My Value Plus Life &amp; Funeral"),_xlfn.XLOOKUP(Table2[[#This Row],[Benefit Name]],Lookups!$D$18:$D$23,Lookups!$E$18:$E$23,0),
0))))</f>
        <v>0</v>
      </c>
      <c r="J566" s="284">
        <f>IF($I566="","",
IF($I566="MM_LIFE",INDEX('Quotation Tool'!$S$54:$V$60,MATCH($T566,'Quotation Tool'!$S$54:$S$60,0),4),
IF($I566="SP_LIFE",_xlfn.XLOOKUP(B565,$B:$B,$J:$J,0),0)))</f>
        <v>0</v>
      </c>
      <c r="K566" s="287">
        <f t="shared" ca="1" si="61"/>
        <v>0</v>
      </c>
      <c r="L566" s="288">
        <f t="shared" ca="1" si="62"/>
        <v>0</v>
      </c>
      <c r="M566" s="289">
        <f t="shared" ca="1" si="58"/>
        <v>0</v>
      </c>
      <c r="N566" s="286">
        <f>Table13[[#This Row],[Benefit Option]]</f>
        <v>0</v>
      </c>
      <c r="O566" s="284">
        <f>IF(OR(Table2[[#This Row],[Member Type]]="Spouse",Table2[[#This Row],[Member Type]]="Child"),0,
IF(_xlfn.XLOOKUP($N566,Lookups!$D$13:$D$27,Lookups!$F$13:$F$27,0)=Table2[[#This Row],[Table Lookup for Life Cover]],0,
_xlfn.XLOOKUP($N566,Lookups!$D$13:$D$27,Lookups!$F$13:$F$27,0)))</f>
        <v>0</v>
      </c>
      <c r="P566" s="284">
        <f>IF(Table2[[#This Row],[Table Lookup for Funeral]]=0,0,IFERROR(INDEX('Quotation Tool'!$S$54:$V$60,MATCH($T566,'Quotation Tool'!$S$54:$S$60,0),3),0))</f>
        <v>0</v>
      </c>
      <c r="Q566" s="288">
        <f ca="1">IF(OR(Table2[[#This Row],[Benefit Name]]="My Value Plus Life - Main Member",Table2[[#This Row],[Benefit Name]]="My Value Plus Life - Spouse"),0,
IFERROR(VLOOKUP($G566,INDIRECT($O566),$P566,FALSE),0))</f>
        <v>0</v>
      </c>
      <c r="R566" s="288">
        <f ca="1">IF(OR(Table2[[#This Row],[Benefit Name]]="My Value Plus Life - Main Member",Table2[[#This Row],[Benefit Name]]="My Value Plus Life - Spouse"),0,
IFERROR(VLOOKUP($G566,INDIRECT($O566),$P566+1,FALSE),0))</f>
        <v>0</v>
      </c>
      <c r="S566" s="289">
        <f t="shared" ca="1" si="59"/>
        <v>0</v>
      </c>
      <c r="T566" s="284" t="str">
        <f>IF(Table13[[#This Row],[Premium Waiver]]="","None",Table13[[#This Row],[Premium Waiver]])</f>
        <v>None</v>
      </c>
      <c r="U566" s="284">
        <f>Table13[[#This Row],[VAPs Options]]</f>
        <v>0</v>
      </c>
      <c r="V566" s="284">
        <f>Table13[[#This Row],[Annual Increase Option]]</f>
        <v>0</v>
      </c>
      <c r="W566" s="290">
        <f>Table13[[#This Row],[Life Cover Amount]]</f>
        <v>0</v>
      </c>
      <c r="X566" s="290">
        <f>Table13[[#This Row],[Funeral Cover Amount]]</f>
        <v>0</v>
      </c>
      <c r="Y56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6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66" s="301">
        <f t="shared" ca="1" si="60"/>
        <v>0</v>
      </c>
      <c r="AB566" s="298"/>
      <c r="AC566" s="326" t="str">
        <f>IF(Table2[[#This Row],[Member Type]]="Main Member",Lookups!$C$13,
IF(Table2[[#This Row],[Member Type]]="Spouse",_xlfn.XLOOKUP(B566,Table2[Main Member Link ID],Table2[Product Option],0),
IF(AND(Table2[[#This Row],[Member Type]]="Child",_xlfn.XLOOKUP(B566,Table2[Main Member Link ID],Table2[Product Option],0)&lt;&gt;"My Value Plus Life"),Lookups!$C$24,
IF(AND(OR(Table2[[#This Row],[Member Type]]="Parent",Table2[[#This Row],[Member Type]]="Extended"),_xlfn.XLOOKUP(B566,Table2[Main Member Link ID],Table2[Product Option],0)&lt;&gt;"My Value Plus Life"),Lookups!$C$26,""))))</f>
        <v/>
      </c>
      <c r="AD566" s="326" t="str">
        <f>IF(Table2[[#This Row],[Member Type]]="Main Member",Lookups!$C$14,"")</f>
        <v/>
      </c>
      <c r="AE56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Funeral",_xlfn.XLOOKUP(B566,Table2[Main Member Link ID],Table2[Benefit Name],0)=Lookups!$D$14),"",
IF(AND(Table2[[#This Row],[Member Type]]="Spouse",Table2[[#This Row],[Product Option]]="My Value Plus Life &amp; Funeral",_xlfn.XLOOKUP(B565,Table2[Main Member Link ID],Table2[Benefit Name],0)=Lookups!$D$15),Lookups!$D$20,
IF(AND(Table2[[#This Row],[Member Type]]="Spouse",Table2[[#This Row],[Product Option]]="My Value Plus Life &amp; Funeral",_xlfn.XLOOKUP(B565,Table2[Main Member Link ID],Table2[Benefit Name],0)=Lookups!$D$16),"",
IF(AND(Table2[[#This Row],[Member Type]]="Spouse",Table2[[#This Row],[Product Option]]="My Value Plus Life &amp; Funeral",_xlfn.XLOOKUP(B565,Table2[Main Member Link ID],Table2[Benefit Name],0)=Lookups!$D$17),Lookups!$D$21,
IF(AND(Table2[[#This Row],[Member Type]]="Child",Table2[[#This Row],[Product Option]]="My Value Plus Life &amp; Funeral",_xlfn.XLOOKUP(B566,Table2[Main Member Link ID],Table2[Benefit Name],0)=Lookups!$D$14),"",
IF(AND(Table2[[#This Row],[Member Type]]="Child",Table2[[#This Row],[Product Option]]="My Value Plus Life &amp; Funeral",_xlfn.XLOOKUP(B566,Table2[Main Member Link ID],Table2[Benefit Name],0)=Lookups!$D$15),"",
IF(AND(Table2[[#This Row],[Member Type]]="Child",Table2[[#This Row],[Product Option]]="My Value Plus Life &amp; Funeral",_xlfn.XLOOKUP(B566,Table2[Main Member Link ID],Table2[Benefit Name],0)=Lookups!$D$16),Lookups!$D$24,
IF(AND(Table2[[#This Row],[Member Type]]="Child",Table2[[#This Row],[Product Option]]="My Value Plus Life &amp; Funeral",_xlfn.XLOOKUP(B566,Table2[Main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Funeral",_xlfn.XLOOKUP(B566,Table2[Main Member Link ID],Table2[Benefit Name],0)&lt;&gt;Lookups!$D$14),
IF(_xlfn.XLOOKUP(B566,Table2[Main Member Link ID],Table2[Benefit Name],0)=0,"",_xlfn.XLOOKUP(B566,Table2[Main Member Link ID],Table2[Benefit Name],0)),"")))))))))))))))</f>
        <v/>
      </c>
      <c r="AF566" s="327" t="str">
        <f>IF(AND(Table2[[#This Row],[Member Type]]="Main Member",Table2[[#This Row],[Product Option]]="My Value Plus Life &amp; Funeral"),Lookups!$D$15,
IF(AND(Table2[[#This Row],[Member Type]]="Spouse",Table2[[#This Row],[Product Option]]="My Value Plus Life &amp; Funeral",_xlfn.XLOOKUP(B566,Table2[Main Member Link ID],Table2[Benefit Name],0)=Lookups!$D$14),"",
IF(AND(Table2[[#This Row],[Member Type]]="Spouse",Table2[[#This Row],[Product Option]]="My Value Plus Life &amp; Funeral",_xlfn.XLOOKUP(B565,Table2[Main Member Link ID],Table2[Benefit Name],0)=Lookups!$D$16),"",
IF(AND(Table2[[#This Row],[Member Type]]="Spouse",Table2[[#This Row],[Product Option]]="My Value Plus Life &amp; Funeral",_xlfn.XLOOKUP(B565,Table2[Main Member Link ID],Table2[Benefit Name],0)=Lookups!$D$15),"",
IF(AND(Table2[[#This Row],[Member Type]]="Spouse",Table2[[#This Row],[Product Option]]="My Value Plus Life &amp; Funeral",_xlfn.XLOOKUP(B565,Table2[Main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Funeral",_xlfn.XLOOKUP(B566,Table2[Main Member Link ID],Table2[Benefit Name],0)&lt;&gt;Lookups!$D$15),
IF(_xlfn.XLOOKUP(B566,Table2[Main Member Link ID],Table2[Benefit Name],0)=0,"",_xlfn.XLOOKUP(B566,Table2[Main Member Link ID],Table2[Benefit Name],0)),"")
))))))</f>
        <v/>
      </c>
      <c r="AG566" s="327" t="str">
        <f>IF(AND(Table2[[#This Row],[Member Type]]="Main Member",Table2[[#This Row],[Product Option]]="My Value Plus Life &amp; Funeral"),Lookups!$D$16,
IF(AND(Table2[[#This Row],[Member Type]]="Spouse",Table2[[#This Row],[Product Option]]="My Value Plus Life &amp; Funeral",_xlfn.XLOOKUP(B566,Table2[Main Member Link ID],Table2[Benefit Name],0)=Lookups!$D$14),"",
IF(AND(Table2[[#This Row],[Member Type]]="Spouse",Table2[[#This Row],[Product Option]]="My Value Plus Life &amp; Funeral",_xlfn.XLOOKUP(B565,Table2[Main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Funeral",_xlfn.XLOOKUP(B566,Table2[Main Member Link ID],Table2[Benefit Name],0)&lt;&gt;Lookups!$D$16),
IF(_xlfn.XLOOKUP(B566,Table2[Main Member Link ID],Table2[Benefit Name],0)=0,"",_xlfn.XLOOKUP(B566,Table2[Main Member Link ID],Table2[Benefit Name],0)),"")
))))</f>
        <v/>
      </c>
      <c r="AH566" s="327" t="str">
        <f>IF(AND(Table2[[#This Row],[Member Type]]="Main Member",Table2[[#This Row],[Product Option]]="My Value Plus Life &amp; Funeral"),Lookups!$D$17,
IF(AND(Table2[[#This Row],[Member Type]]="Spouse",Table2[[#This Row],[Product Option]]="My Value Plus Life &amp; Funeral",_xlfn.XLOOKUP(B566,Table2[Main Member Link ID],Table2[Benefit Name],0)=Lookups!$D$14),"",
IF(AND(Table2[[#This Row],[Member Type]]="Spouse",Table2[[#This Row],[Product Option]]="My Value Plus Life &amp; Funeral",_xlfn.XLOOKUP(B565,Table2[Main Member Link ID],Table2[Benefit Name],0)=Lookups!$D$16),"",
IF(AND(Table2[[#This Row],[Member Type]]="Child",Table2[[#This Row],[Product Option]]="My Value Plus Life &amp; Funeral"),"",
IF(AND(Table2[[#This Row],[Member Type]]="Child",Table2[[#This Row],[Product Option]]="My Value Plus Life &amp; Funeral",_xlfn.XLOOKUP(B566,Table2[Main Member Link ID],Table2[Benefit Name],0)=Lookups!$D$15),"",
IF(AND(OR(Table2[[#This Row],[Member Type]]="Spouse",Table2[[#This Row],[Member Type]]="Child"),Table2[[#This Row],[Product Option]]="My Value Plus Life &amp; Funeral",_xlfn.XLOOKUP(B566,Table2[Main Member Link ID],Table2[Benefit Name],0)&lt;&gt;Lookups!$D$17),
IF(_xlfn.XLOOKUP(B566,Table2[Main Member Link ID],Table2[Benefit Name],0)=0,"",_xlfn.XLOOKUP(B566,Table2[Main Member Link ID],Table2[Benefit Name],0)),""))))))</f>
        <v/>
      </c>
      <c r="AI566" s="328" t="str">
        <f>IF(AND(Table2[[#This Row],[Member Type]]="Main Member",Table2[[#This Row],[Table Lookup for Life Cover]]="MM_LIFE",Table2[[#This Row],[Age Next Birthday]]&lt;56),1,
IF(AND(Table2[[#This Row],[Member Type]]="Main Member",Table2[[#This Row],[Table Lookup for Life Cover]]="MM_LIFE",Table2[[#This Row],[Age Next Birthday]]&gt;=56),2,
""))</f>
        <v/>
      </c>
      <c r="AJ566" s="328">
        <f>IF(OR(Table2[[#This Row],[Member Type]]="Main Member",Table2[[#This Row],[Main Member Link ID]]=B565),1,0)</f>
        <v>1</v>
      </c>
      <c r="AK566" s="328">
        <f>IF(Table2[[#This Row],[Member Type]]=0,0,
IF(OR(Table2[[#This Row],[Member Type]]="Main Member",Table2[[#This Row],[Main Member Link ID]]&lt;&gt;B566),COUNTIFS(B:B,Table2[[#This Row],[Main Member Link ID]]),
COUNTIFS(B:B,Table2[[#This Row],[Main Member Link ID]],A:A,Table2[[#This Row],[Member Type]])))</f>
        <v>0</v>
      </c>
    </row>
    <row r="567" spans="1:37" x14ac:dyDescent="0.3">
      <c r="A567" s="284">
        <f>Table13[[#This Row],[Member Type]]</f>
        <v>0</v>
      </c>
      <c r="B567" s="284">
        <f>Table13[[#This Row],[Main Member Link ID]]</f>
        <v>0</v>
      </c>
      <c r="C567" s="284">
        <f>Table13[[#This Row],[ID Number]]</f>
        <v>0</v>
      </c>
      <c r="D567" s="285">
        <f>Table13[[#This Row],[Date Of Birth]]</f>
        <v>0</v>
      </c>
      <c r="E567" s="285">
        <f>Table13[[#This Row],[Commencement Date]]</f>
        <v>0</v>
      </c>
      <c r="F567" s="284">
        <f t="shared" si="56"/>
        <v>1</v>
      </c>
      <c r="G567" s="284">
        <f t="shared" si="57"/>
        <v>25</v>
      </c>
      <c r="H567" s="286">
        <f>Table13[[#This Row],[Product Option]]</f>
        <v>0</v>
      </c>
      <c r="I567" s="284">
        <f>IF(AND($A567="Main Member",Table2[[#This Row],[Product Option]]="My Value Plus Life"),"MM_LIFE",
IF(AND($A567="Spouse",Table2[[#This Row],[Product Option]]="My Value Plus Life"),"SP_LIFE",
IF(AND($A567="Main Member",Table2[[#This Row],[Product Option]]="My Value Plus Life &amp; Funeral"),"MM_LIFE",
IF(AND($A567="Spouse",Table2[[#This Row],[Product Option]]="My Value Plus Life &amp; Funeral"),_xlfn.XLOOKUP(Table2[[#This Row],[Benefit Name]],Lookups!$D$18:$D$23,Lookups!$E$18:$E$23,0),
0))))</f>
        <v>0</v>
      </c>
      <c r="J567" s="284">
        <f>IF($I567="","",
IF($I567="MM_LIFE",INDEX('Quotation Tool'!$S$54:$V$60,MATCH($T567,'Quotation Tool'!$S$54:$S$60,0),4),
IF($I567="SP_LIFE",_xlfn.XLOOKUP(B566,$B:$B,$J:$J,0),0)))</f>
        <v>0</v>
      </c>
      <c r="K567" s="287">
        <f t="shared" ca="1" si="61"/>
        <v>0</v>
      </c>
      <c r="L567" s="288">
        <f t="shared" ca="1" si="62"/>
        <v>0</v>
      </c>
      <c r="M567" s="289">
        <f t="shared" ca="1" si="58"/>
        <v>0</v>
      </c>
      <c r="N567" s="286">
        <f>Table13[[#This Row],[Benefit Option]]</f>
        <v>0</v>
      </c>
      <c r="O567" s="284">
        <f>IF(OR(Table2[[#This Row],[Member Type]]="Spouse",Table2[[#This Row],[Member Type]]="Child"),0,
IF(_xlfn.XLOOKUP($N567,Lookups!$D$13:$D$27,Lookups!$F$13:$F$27,0)=Table2[[#This Row],[Table Lookup for Life Cover]],0,
_xlfn.XLOOKUP($N567,Lookups!$D$13:$D$27,Lookups!$F$13:$F$27,0)))</f>
        <v>0</v>
      </c>
      <c r="P567" s="284">
        <f>IF(Table2[[#This Row],[Table Lookup for Funeral]]=0,0,IFERROR(INDEX('Quotation Tool'!$S$54:$V$60,MATCH($T567,'Quotation Tool'!$S$54:$S$60,0),3),0))</f>
        <v>0</v>
      </c>
      <c r="Q567" s="288">
        <f ca="1">IF(OR(Table2[[#This Row],[Benefit Name]]="My Value Plus Life - Main Member",Table2[[#This Row],[Benefit Name]]="My Value Plus Life - Spouse"),0,
IFERROR(VLOOKUP($G567,INDIRECT($O567),$P567,FALSE),0))</f>
        <v>0</v>
      </c>
      <c r="R567" s="288">
        <f ca="1">IF(OR(Table2[[#This Row],[Benefit Name]]="My Value Plus Life - Main Member",Table2[[#This Row],[Benefit Name]]="My Value Plus Life - Spouse"),0,
IFERROR(VLOOKUP($G567,INDIRECT($O567),$P567+1,FALSE),0))</f>
        <v>0</v>
      </c>
      <c r="S567" s="289">
        <f t="shared" ca="1" si="59"/>
        <v>0</v>
      </c>
      <c r="T567" s="284" t="str">
        <f>IF(Table13[[#This Row],[Premium Waiver]]="","None",Table13[[#This Row],[Premium Waiver]])</f>
        <v>None</v>
      </c>
      <c r="U567" s="284">
        <f>Table13[[#This Row],[VAPs Options]]</f>
        <v>0</v>
      </c>
      <c r="V567" s="284">
        <f>Table13[[#This Row],[Annual Increase Option]]</f>
        <v>0</v>
      </c>
      <c r="W567" s="290">
        <f>Table13[[#This Row],[Life Cover Amount]]</f>
        <v>0</v>
      </c>
      <c r="X567" s="290">
        <f>Table13[[#This Row],[Funeral Cover Amount]]</f>
        <v>0</v>
      </c>
      <c r="Y56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6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67" s="301">
        <f t="shared" ca="1" si="60"/>
        <v>0</v>
      </c>
      <c r="AB567" s="298"/>
      <c r="AC567" s="326" t="str">
        <f>IF(Table2[[#This Row],[Member Type]]="Main Member",Lookups!$C$13,
IF(Table2[[#This Row],[Member Type]]="Spouse",_xlfn.XLOOKUP(B567,Table2[Main Member Link ID],Table2[Product Option],0),
IF(AND(Table2[[#This Row],[Member Type]]="Child",_xlfn.XLOOKUP(B567,Table2[Main Member Link ID],Table2[Product Option],0)&lt;&gt;"My Value Plus Life"),Lookups!$C$24,
IF(AND(OR(Table2[[#This Row],[Member Type]]="Parent",Table2[[#This Row],[Member Type]]="Extended"),_xlfn.XLOOKUP(B567,Table2[Main Member Link ID],Table2[Product Option],0)&lt;&gt;"My Value Plus Life"),Lookups!$C$26,""))))</f>
        <v/>
      </c>
      <c r="AD567" s="326" t="str">
        <f>IF(Table2[[#This Row],[Member Type]]="Main Member",Lookups!$C$14,"")</f>
        <v/>
      </c>
      <c r="AE56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Funeral",_xlfn.XLOOKUP(B567,Table2[Main Member Link ID],Table2[Benefit Name],0)=Lookups!$D$14),"",
IF(AND(Table2[[#This Row],[Member Type]]="Spouse",Table2[[#This Row],[Product Option]]="My Value Plus Life &amp; Funeral",_xlfn.XLOOKUP(B566,Table2[Main Member Link ID],Table2[Benefit Name],0)=Lookups!$D$15),Lookups!$D$20,
IF(AND(Table2[[#This Row],[Member Type]]="Spouse",Table2[[#This Row],[Product Option]]="My Value Plus Life &amp; Funeral",_xlfn.XLOOKUP(B566,Table2[Main Member Link ID],Table2[Benefit Name],0)=Lookups!$D$16),"",
IF(AND(Table2[[#This Row],[Member Type]]="Spouse",Table2[[#This Row],[Product Option]]="My Value Plus Life &amp; Funeral",_xlfn.XLOOKUP(B566,Table2[Main Member Link ID],Table2[Benefit Name],0)=Lookups!$D$17),Lookups!$D$21,
IF(AND(Table2[[#This Row],[Member Type]]="Child",Table2[[#This Row],[Product Option]]="My Value Plus Life &amp; Funeral",_xlfn.XLOOKUP(B567,Table2[Main Member Link ID],Table2[Benefit Name],0)=Lookups!$D$14),"",
IF(AND(Table2[[#This Row],[Member Type]]="Child",Table2[[#This Row],[Product Option]]="My Value Plus Life &amp; Funeral",_xlfn.XLOOKUP(B567,Table2[Main Member Link ID],Table2[Benefit Name],0)=Lookups!$D$15),"",
IF(AND(Table2[[#This Row],[Member Type]]="Child",Table2[[#This Row],[Product Option]]="My Value Plus Life &amp; Funeral",_xlfn.XLOOKUP(B567,Table2[Main Member Link ID],Table2[Benefit Name],0)=Lookups!$D$16),Lookups!$D$24,
IF(AND(Table2[[#This Row],[Member Type]]="Child",Table2[[#This Row],[Product Option]]="My Value Plus Life &amp; Funeral",_xlfn.XLOOKUP(B567,Table2[Main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Funeral",_xlfn.XLOOKUP(B567,Table2[Main Member Link ID],Table2[Benefit Name],0)&lt;&gt;Lookups!$D$14),
IF(_xlfn.XLOOKUP(B567,Table2[Main Member Link ID],Table2[Benefit Name],0)=0,"",_xlfn.XLOOKUP(B567,Table2[Main Member Link ID],Table2[Benefit Name],0)),"")))))))))))))))</f>
        <v/>
      </c>
      <c r="AF567" s="327" t="str">
        <f>IF(AND(Table2[[#This Row],[Member Type]]="Main Member",Table2[[#This Row],[Product Option]]="My Value Plus Life &amp; Funeral"),Lookups!$D$15,
IF(AND(Table2[[#This Row],[Member Type]]="Spouse",Table2[[#This Row],[Product Option]]="My Value Plus Life &amp; Funeral",_xlfn.XLOOKUP(B567,Table2[Main Member Link ID],Table2[Benefit Name],0)=Lookups!$D$14),"",
IF(AND(Table2[[#This Row],[Member Type]]="Spouse",Table2[[#This Row],[Product Option]]="My Value Plus Life &amp; Funeral",_xlfn.XLOOKUP(B566,Table2[Main Member Link ID],Table2[Benefit Name],0)=Lookups!$D$16),"",
IF(AND(Table2[[#This Row],[Member Type]]="Spouse",Table2[[#This Row],[Product Option]]="My Value Plus Life &amp; Funeral",_xlfn.XLOOKUP(B566,Table2[Main Member Link ID],Table2[Benefit Name],0)=Lookups!$D$15),"",
IF(AND(Table2[[#This Row],[Member Type]]="Spouse",Table2[[#This Row],[Product Option]]="My Value Plus Life &amp; Funeral",_xlfn.XLOOKUP(B566,Table2[Main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Funeral",_xlfn.XLOOKUP(B567,Table2[Main Member Link ID],Table2[Benefit Name],0)&lt;&gt;Lookups!$D$15),
IF(_xlfn.XLOOKUP(B567,Table2[Main Member Link ID],Table2[Benefit Name],0)=0,"",_xlfn.XLOOKUP(B567,Table2[Main Member Link ID],Table2[Benefit Name],0)),"")
))))))</f>
        <v/>
      </c>
      <c r="AG567" s="327" t="str">
        <f>IF(AND(Table2[[#This Row],[Member Type]]="Main Member",Table2[[#This Row],[Product Option]]="My Value Plus Life &amp; Funeral"),Lookups!$D$16,
IF(AND(Table2[[#This Row],[Member Type]]="Spouse",Table2[[#This Row],[Product Option]]="My Value Plus Life &amp; Funeral",_xlfn.XLOOKUP(B567,Table2[Main Member Link ID],Table2[Benefit Name],0)=Lookups!$D$14),"",
IF(AND(Table2[[#This Row],[Member Type]]="Spouse",Table2[[#This Row],[Product Option]]="My Value Plus Life &amp; Funeral",_xlfn.XLOOKUP(B566,Table2[Main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Funeral",_xlfn.XLOOKUP(B567,Table2[Main Member Link ID],Table2[Benefit Name],0)&lt;&gt;Lookups!$D$16),
IF(_xlfn.XLOOKUP(B567,Table2[Main Member Link ID],Table2[Benefit Name],0)=0,"",_xlfn.XLOOKUP(B567,Table2[Main Member Link ID],Table2[Benefit Name],0)),"")
))))</f>
        <v/>
      </c>
      <c r="AH567" s="327" t="str">
        <f>IF(AND(Table2[[#This Row],[Member Type]]="Main Member",Table2[[#This Row],[Product Option]]="My Value Plus Life &amp; Funeral"),Lookups!$D$17,
IF(AND(Table2[[#This Row],[Member Type]]="Spouse",Table2[[#This Row],[Product Option]]="My Value Plus Life &amp; Funeral",_xlfn.XLOOKUP(B567,Table2[Main Member Link ID],Table2[Benefit Name],0)=Lookups!$D$14),"",
IF(AND(Table2[[#This Row],[Member Type]]="Spouse",Table2[[#This Row],[Product Option]]="My Value Plus Life &amp; Funeral",_xlfn.XLOOKUP(B566,Table2[Main Member Link ID],Table2[Benefit Name],0)=Lookups!$D$16),"",
IF(AND(Table2[[#This Row],[Member Type]]="Child",Table2[[#This Row],[Product Option]]="My Value Plus Life &amp; Funeral"),"",
IF(AND(Table2[[#This Row],[Member Type]]="Child",Table2[[#This Row],[Product Option]]="My Value Plus Life &amp; Funeral",_xlfn.XLOOKUP(B567,Table2[Main Member Link ID],Table2[Benefit Name],0)=Lookups!$D$15),"",
IF(AND(OR(Table2[[#This Row],[Member Type]]="Spouse",Table2[[#This Row],[Member Type]]="Child"),Table2[[#This Row],[Product Option]]="My Value Plus Life &amp; Funeral",_xlfn.XLOOKUP(B567,Table2[Main Member Link ID],Table2[Benefit Name],0)&lt;&gt;Lookups!$D$17),
IF(_xlfn.XLOOKUP(B567,Table2[Main Member Link ID],Table2[Benefit Name],0)=0,"",_xlfn.XLOOKUP(B567,Table2[Main Member Link ID],Table2[Benefit Name],0)),""))))))</f>
        <v/>
      </c>
      <c r="AI567" s="328" t="str">
        <f>IF(AND(Table2[[#This Row],[Member Type]]="Main Member",Table2[[#This Row],[Table Lookup for Life Cover]]="MM_LIFE",Table2[[#This Row],[Age Next Birthday]]&lt;56),1,
IF(AND(Table2[[#This Row],[Member Type]]="Main Member",Table2[[#This Row],[Table Lookup for Life Cover]]="MM_LIFE",Table2[[#This Row],[Age Next Birthday]]&gt;=56),2,
""))</f>
        <v/>
      </c>
      <c r="AJ567" s="328">
        <f>IF(OR(Table2[[#This Row],[Member Type]]="Main Member",Table2[[#This Row],[Main Member Link ID]]=B566),1,0)</f>
        <v>1</v>
      </c>
      <c r="AK567" s="328">
        <f>IF(Table2[[#This Row],[Member Type]]=0,0,
IF(OR(Table2[[#This Row],[Member Type]]="Main Member",Table2[[#This Row],[Main Member Link ID]]&lt;&gt;B567),COUNTIFS(B:B,Table2[[#This Row],[Main Member Link ID]]),
COUNTIFS(B:B,Table2[[#This Row],[Main Member Link ID]],A:A,Table2[[#This Row],[Member Type]])))</f>
        <v>0</v>
      </c>
    </row>
    <row r="568" spans="1:37" x14ac:dyDescent="0.3">
      <c r="A568" s="284">
        <f>Table13[[#This Row],[Member Type]]</f>
        <v>0</v>
      </c>
      <c r="B568" s="284">
        <f>Table13[[#This Row],[Main Member Link ID]]</f>
        <v>0</v>
      </c>
      <c r="C568" s="284">
        <f>Table13[[#This Row],[ID Number]]</f>
        <v>0</v>
      </c>
      <c r="D568" s="285">
        <f>Table13[[#This Row],[Date Of Birth]]</f>
        <v>0</v>
      </c>
      <c r="E568" s="285">
        <f>Table13[[#This Row],[Commencement Date]]</f>
        <v>0</v>
      </c>
      <c r="F568" s="284">
        <f t="shared" si="56"/>
        <v>1</v>
      </c>
      <c r="G568" s="284">
        <f t="shared" si="57"/>
        <v>25</v>
      </c>
      <c r="H568" s="286">
        <f>Table13[[#This Row],[Product Option]]</f>
        <v>0</v>
      </c>
      <c r="I568" s="284">
        <f>IF(AND($A568="Main Member",Table2[[#This Row],[Product Option]]="My Value Plus Life"),"MM_LIFE",
IF(AND($A568="Spouse",Table2[[#This Row],[Product Option]]="My Value Plus Life"),"SP_LIFE",
IF(AND($A568="Main Member",Table2[[#This Row],[Product Option]]="My Value Plus Life &amp; Funeral"),"MM_LIFE",
IF(AND($A568="Spouse",Table2[[#This Row],[Product Option]]="My Value Plus Life &amp; Funeral"),_xlfn.XLOOKUP(Table2[[#This Row],[Benefit Name]],Lookups!$D$18:$D$23,Lookups!$E$18:$E$23,0),
0))))</f>
        <v>0</v>
      </c>
      <c r="J568" s="284">
        <f>IF($I568="","",
IF($I568="MM_LIFE",INDEX('Quotation Tool'!$S$54:$V$60,MATCH($T568,'Quotation Tool'!$S$54:$S$60,0),4),
IF($I568="SP_LIFE",_xlfn.XLOOKUP(B567,$B:$B,$J:$J,0),0)))</f>
        <v>0</v>
      </c>
      <c r="K568" s="287">
        <f t="shared" ca="1" si="61"/>
        <v>0</v>
      </c>
      <c r="L568" s="288">
        <f t="shared" ca="1" si="62"/>
        <v>0</v>
      </c>
      <c r="M568" s="289">
        <f t="shared" ca="1" si="58"/>
        <v>0</v>
      </c>
      <c r="N568" s="286">
        <f>Table13[[#This Row],[Benefit Option]]</f>
        <v>0</v>
      </c>
      <c r="O568" s="284">
        <f>IF(OR(Table2[[#This Row],[Member Type]]="Spouse",Table2[[#This Row],[Member Type]]="Child"),0,
IF(_xlfn.XLOOKUP($N568,Lookups!$D$13:$D$27,Lookups!$F$13:$F$27,0)=Table2[[#This Row],[Table Lookup for Life Cover]],0,
_xlfn.XLOOKUP($N568,Lookups!$D$13:$D$27,Lookups!$F$13:$F$27,0)))</f>
        <v>0</v>
      </c>
      <c r="P568" s="284">
        <f>IF(Table2[[#This Row],[Table Lookup for Funeral]]=0,0,IFERROR(INDEX('Quotation Tool'!$S$54:$V$60,MATCH($T568,'Quotation Tool'!$S$54:$S$60,0),3),0))</f>
        <v>0</v>
      </c>
      <c r="Q568" s="288">
        <f ca="1">IF(OR(Table2[[#This Row],[Benefit Name]]="My Value Plus Life - Main Member",Table2[[#This Row],[Benefit Name]]="My Value Plus Life - Spouse"),0,
IFERROR(VLOOKUP($G568,INDIRECT($O568),$P568,FALSE),0))</f>
        <v>0</v>
      </c>
      <c r="R568" s="288">
        <f ca="1">IF(OR(Table2[[#This Row],[Benefit Name]]="My Value Plus Life - Main Member",Table2[[#This Row],[Benefit Name]]="My Value Plus Life - Spouse"),0,
IFERROR(VLOOKUP($G568,INDIRECT($O568),$P568+1,FALSE),0))</f>
        <v>0</v>
      </c>
      <c r="S568" s="289">
        <f t="shared" ca="1" si="59"/>
        <v>0</v>
      </c>
      <c r="T568" s="284" t="str">
        <f>IF(Table13[[#This Row],[Premium Waiver]]="","None",Table13[[#This Row],[Premium Waiver]])</f>
        <v>None</v>
      </c>
      <c r="U568" s="284">
        <f>Table13[[#This Row],[VAPs Options]]</f>
        <v>0</v>
      </c>
      <c r="V568" s="284">
        <f>Table13[[#This Row],[Annual Increase Option]]</f>
        <v>0</v>
      </c>
      <c r="W568" s="290">
        <f>Table13[[#This Row],[Life Cover Amount]]</f>
        <v>0</v>
      </c>
      <c r="X568" s="290">
        <f>Table13[[#This Row],[Funeral Cover Amount]]</f>
        <v>0</v>
      </c>
      <c r="Y56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6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68" s="301">
        <f t="shared" ca="1" si="60"/>
        <v>0</v>
      </c>
      <c r="AB568" s="298"/>
      <c r="AC568" s="326" t="str">
        <f>IF(Table2[[#This Row],[Member Type]]="Main Member",Lookups!$C$13,
IF(Table2[[#This Row],[Member Type]]="Spouse",_xlfn.XLOOKUP(B568,Table2[Main Member Link ID],Table2[Product Option],0),
IF(AND(Table2[[#This Row],[Member Type]]="Child",_xlfn.XLOOKUP(B568,Table2[Main Member Link ID],Table2[Product Option],0)&lt;&gt;"My Value Plus Life"),Lookups!$C$24,
IF(AND(OR(Table2[[#This Row],[Member Type]]="Parent",Table2[[#This Row],[Member Type]]="Extended"),_xlfn.XLOOKUP(B568,Table2[Main Member Link ID],Table2[Product Option],0)&lt;&gt;"My Value Plus Life"),Lookups!$C$26,""))))</f>
        <v/>
      </c>
      <c r="AD568" s="326" t="str">
        <f>IF(Table2[[#This Row],[Member Type]]="Main Member",Lookups!$C$14,"")</f>
        <v/>
      </c>
      <c r="AE56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Funeral",_xlfn.XLOOKUP(B568,Table2[Main Member Link ID],Table2[Benefit Name],0)=Lookups!$D$14),"",
IF(AND(Table2[[#This Row],[Member Type]]="Spouse",Table2[[#This Row],[Product Option]]="My Value Plus Life &amp; Funeral",_xlfn.XLOOKUP(B567,Table2[Main Member Link ID],Table2[Benefit Name],0)=Lookups!$D$15),Lookups!$D$20,
IF(AND(Table2[[#This Row],[Member Type]]="Spouse",Table2[[#This Row],[Product Option]]="My Value Plus Life &amp; Funeral",_xlfn.XLOOKUP(B567,Table2[Main Member Link ID],Table2[Benefit Name],0)=Lookups!$D$16),"",
IF(AND(Table2[[#This Row],[Member Type]]="Spouse",Table2[[#This Row],[Product Option]]="My Value Plus Life &amp; Funeral",_xlfn.XLOOKUP(B567,Table2[Main Member Link ID],Table2[Benefit Name],0)=Lookups!$D$17),Lookups!$D$21,
IF(AND(Table2[[#This Row],[Member Type]]="Child",Table2[[#This Row],[Product Option]]="My Value Plus Life &amp; Funeral",_xlfn.XLOOKUP(B568,Table2[Main Member Link ID],Table2[Benefit Name],0)=Lookups!$D$14),"",
IF(AND(Table2[[#This Row],[Member Type]]="Child",Table2[[#This Row],[Product Option]]="My Value Plus Life &amp; Funeral",_xlfn.XLOOKUP(B568,Table2[Main Member Link ID],Table2[Benefit Name],0)=Lookups!$D$15),"",
IF(AND(Table2[[#This Row],[Member Type]]="Child",Table2[[#This Row],[Product Option]]="My Value Plus Life &amp; Funeral",_xlfn.XLOOKUP(B568,Table2[Main Member Link ID],Table2[Benefit Name],0)=Lookups!$D$16),Lookups!$D$24,
IF(AND(Table2[[#This Row],[Member Type]]="Child",Table2[[#This Row],[Product Option]]="My Value Plus Life &amp; Funeral",_xlfn.XLOOKUP(B568,Table2[Main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Funeral",_xlfn.XLOOKUP(B568,Table2[Main Member Link ID],Table2[Benefit Name],0)&lt;&gt;Lookups!$D$14),
IF(_xlfn.XLOOKUP(B568,Table2[Main Member Link ID],Table2[Benefit Name],0)=0,"",_xlfn.XLOOKUP(B568,Table2[Main Member Link ID],Table2[Benefit Name],0)),"")))))))))))))))</f>
        <v/>
      </c>
      <c r="AF568" s="327" t="str">
        <f>IF(AND(Table2[[#This Row],[Member Type]]="Main Member",Table2[[#This Row],[Product Option]]="My Value Plus Life &amp; Funeral"),Lookups!$D$15,
IF(AND(Table2[[#This Row],[Member Type]]="Spouse",Table2[[#This Row],[Product Option]]="My Value Plus Life &amp; Funeral",_xlfn.XLOOKUP(B568,Table2[Main Member Link ID],Table2[Benefit Name],0)=Lookups!$D$14),"",
IF(AND(Table2[[#This Row],[Member Type]]="Spouse",Table2[[#This Row],[Product Option]]="My Value Plus Life &amp; Funeral",_xlfn.XLOOKUP(B567,Table2[Main Member Link ID],Table2[Benefit Name],0)=Lookups!$D$16),"",
IF(AND(Table2[[#This Row],[Member Type]]="Spouse",Table2[[#This Row],[Product Option]]="My Value Plus Life &amp; Funeral",_xlfn.XLOOKUP(B567,Table2[Main Member Link ID],Table2[Benefit Name],0)=Lookups!$D$15),"",
IF(AND(Table2[[#This Row],[Member Type]]="Spouse",Table2[[#This Row],[Product Option]]="My Value Plus Life &amp; Funeral",_xlfn.XLOOKUP(B567,Table2[Main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Funeral",_xlfn.XLOOKUP(B568,Table2[Main Member Link ID],Table2[Benefit Name],0)&lt;&gt;Lookups!$D$15),
IF(_xlfn.XLOOKUP(B568,Table2[Main Member Link ID],Table2[Benefit Name],0)=0,"",_xlfn.XLOOKUP(B568,Table2[Main Member Link ID],Table2[Benefit Name],0)),"")
))))))</f>
        <v/>
      </c>
      <c r="AG568" s="327" t="str">
        <f>IF(AND(Table2[[#This Row],[Member Type]]="Main Member",Table2[[#This Row],[Product Option]]="My Value Plus Life &amp; Funeral"),Lookups!$D$16,
IF(AND(Table2[[#This Row],[Member Type]]="Spouse",Table2[[#This Row],[Product Option]]="My Value Plus Life &amp; Funeral",_xlfn.XLOOKUP(B568,Table2[Main Member Link ID],Table2[Benefit Name],0)=Lookups!$D$14),"",
IF(AND(Table2[[#This Row],[Member Type]]="Spouse",Table2[[#This Row],[Product Option]]="My Value Plus Life &amp; Funeral",_xlfn.XLOOKUP(B567,Table2[Main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Funeral",_xlfn.XLOOKUP(B568,Table2[Main Member Link ID],Table2[Benefit Name],0)&lt;&gt;Lookups!$D$16),
IF(_xlfn.XLOOKUP(B568,Table2[Main Member Link ID],Table2[Benefit Name],0)=0,"",_xlfn.XLOOKUP(B568,Table2[Main Member Link ID],Table2[Benefit Name],0)),"")
))))</f>
        <v/>
      </c>
      <c r="AH568" s="327" t="str">
        <f>IF(AND(Table2[[#This Row],[Member Type]]="Main Member",Table2[[#This Row],[Product Option]]="My Value Plus Life &amp; Funeral"),Lookups!$D$17,
IF(AND(Table2[[#This Row],[Member Type]]="Spouse",Table2[[#This Row],[Product Option]]="My Value Plus Life &amp; Funeral",_xlfn.XLOOKUP(B568,Table2[Main Member Link ID],Table2[Benefit Name],0)=Lookups!$D$14),"",
IF(AND(Table2[[#This Row],[Member Type]]="Spouse",Table2[[#This Row],[Product Option]]="My Value Plus Life &amp; Funeral",_xlfn.XLOOKUP(B567,Table2[Main Member Link ID],Table2[Benefit Name],0)=Lookups!$D$16),"",
IF(AND(Table2[[#This Row],[Member Type]]="Child",Table2[[#This Row],[Product Option]]="My Value Plus Life &amp; Funeral"),"",
IF(AND(Table2[[#This Row],[Member Type]]="Child",Table2[[#This Row],[Product Option]]="My Value Plus Life &amp; Funeral",_xlfn.XLOOKUP(B568,Table2[Main Member Link ID],Table2[Benefit Name],0)=Lookups!$D$15),"",
IF(AND(OR(Table2[[#This Row],[Member Type]]="Spouse",Table2[[#This Row],[Member Type]]="Child"),Table2[[#This Row],[Product Option]]="My Value Plus Life &amp; Funeral",_xlfn.XLOOKUP(B568,Table2[Main Member Link ID],Table2[Benefit Name],0)&lt;&gt;Lookups!$D$17),
IF(_xlfn.XLOOKUP(B568,Table2[Main Member Link ID],Table2[Benefit Name],0)=0,"",_xlfn.XLOOKUP(B568,Table2[Main Member Link ID],Table2[Benefit Name],0)),""))))))</f>
        <v/>
      </c>
      <c r="AI568" s="328" t="str">
        <f>IF(AND(Table2[[#This Row],[Member Type]]="Main Member",Table2[[#This Row],[Table Lookup for Life Cover]]="MM_LIFE",Table2[[#This Row],[Age Next Birthday]]&lt;56),1,
IF(AND(Table2[[#This Row],[Member Type]]="Main Member",Table2[[#This Row],[Table Lookup for Life Cover]]="MM_LIFE",Table2[[#This Row],[Age Next Birthday]]&gt;=56),2,
""))</f>
        <v/>
      </c>
      <c r="AJ568" s="328">
        <f>IF(OR(Table2[[#This Row],[Member Type]]="Main Member",Table2[[#This Row],[Main Member Link ID]]=B567),1,0)</f>
        <v>1</v>
      </c>
      <c r="AK568" s="328">
        <f>IF(Table2[[#This Row],[Member Type]]=0,0,
IF(OR(Table2[[#This Row],[Member Type]]="Main Member",Table2[[#This Row],[Main Member Link ID]]&lt;&gt;B568),COUNTIFS(B:B,Table2[[#This Row],[Main Member Link ID]]),
COUNTIFS(B:B,Table2[[#This Row],[Main Member Link ID]],A:A,Table2[[#This Row],[Member Type]])))</f>
        <v>0</v>
      </c>
    </row>
    <row r="569" spans="1:37" x14ac:dyDescent="0.3">
      <c r="A569" s="284">
        <f>Table13[[#This Row],[Member Type]]</f>
        <v>0</v>
      </c>
      <c r="B569" s="284">
        <f>Table13[[#This Row],[Main Member Link ID]]</f>
        <v>0</v>
      </c>
      <c r="C569" s="284">
        <f>Table13[[#This Row],[ID Number]]</f>
        <v>0</v>
      </c>
      <c r="D569" s="285">
        <f>Table13[[#This Row],[Date Of Birth]]</f>
        <v>0</v>
      </c>
      <c r="E569" s="285">
        <f>Table13[[#This Row],[Commencement Date]]</f>
        <v>0</v>
      </c>
      <c r="F569" s="284">
        <f t="shared" si="56"/>
        <v>1</v>
      </c>
      <c r="G569" s="284">
        <f t="shared" si="57"/>
        <v>25</v>
      </c>
      <c r="H569" s="286">
        <f>Table13[[#This Row],[Product Option]]</f>
        <v>0</v>
      </c>
      <c r="I569" s="284">
        <f>IF(AND($A569="Main Member",Table2[[#This Row],[Product Option]]="My Value Plus Life"),"MM_LIFE",
IF(AND($A569="Spouse",Table2[[#This Row],[Product Option]]="My Value Plus Life"),"SP_LIFE",
IF(AND($A569="Main Member",Table2[[#This Row],[Product Option]]="My Value Plus Life &amp; Funeral"),"MM_LIFE",
IF(AND($A569="Spouse",Table2[[#This Row],[Product Option]]="My Value Plus Life &amp; Funeral"),_xlfn.XLOOKUP(Table2[[#This Row],[Benefit Name]],Lookups!$D$18:$D$23,Lookups!$E$18:$E$23,0),
0))))</f>
        <v>0</v>
      </c>
      <c r="J569" s="284">
        <f>IF($I569="","",
IF($I569="MM_LIFE",INDEX('Quotation Tool'!$S$54:$V$60,MATCH($T569,'Quotation Tool'!$S$54:$S$60,0),4),
IF($I569="SP_LIFE",_xlfn.XLOOKUP(B568,$B:$B,$J:$J,0),0)))</f>
        <v>0</v>
      </c>
      <c r="K569" s="287">
        <f t="shared" ca="1" si="61"/>
        <v>0</v>
      </c>
      <c r="L569" s="288">
        <f t="shared" ca="1" si="62"/>
        <v>0</v>
      </c>
      <c r="M569" s="289">
        <f t="shared" ca="1" si="58"/>
        <v>0</v>
      </c>
      <c r="N569" s="286">
        <f>Table13[[#This Row],[Benefit Option]]</f>
        <v>0</v>
      </c>
      <c r="O569" s="284">
        <f>IF(OR(Table2[[#This Row],[Member Type]]="Spouse",Table2[[#This Row],[Member Type]]="Child"),0,
IF(_xlfn.XLOOKUP($N569,Lookups!$D$13:$D$27,Lookups!$F$13:$F$27,0)=Table2[[#This Row],[Table Lookup for Life Cover]],0,
_xlfn.XLOOKUP($N569,Lookups!$D$13:$D$27,Lookups!$F$13:$F$27,0)))</f>
        <v>0</v>
      </c>
      <c r="P569" s="284">
        <f>IF(Table2[[#This Row],[Table Lookup for Funeral]]=0,0,IFERROR(INDEX('Quotation Tool'!$S$54:$V$60,MATCH($T569,'Quotation Tool'!$S$54:$S$60,0),3),0))</f>
        <v>0</v>
      </c>
      <c r="Q569" s="288">
        <f ca="1">IF(OR(Table2[[#This Row],[Benefit Name]]="My Value Plus Life - Main Member",Table2[[#This Row],[Benefit Name]]="My Value Plus Life - Spouse"),0,
IFERROR(VLOOKUP($G569,INDIRECT($O569),$P569,FALSE),0))</f>
        <v>0</v>
      </c>
      <c r="R569" s="288">
        <f ca="1">IF(OR(Table2[[#This Row],[Benefit Name]]="My Value Plus Life - Main Member",Table2[[#This Row],[Benefit Name]]="My Value Plus Life - Spouse"),0,
IFERROR(VLOOKUP($G569,INDIRECT($O569),$P569+1,FALSE),0))</f>
        <v>0</v>
      </c>
      <c r="S569" s="289">
        <f t="shared" ca="1" si="59"/>
        <v>0</v>
      </c>
      <c r="T569" s="284" t="str">
        <f>IF(Table13[[#This Row],[Premium Waiver]]="","None",Table13[[#This Row],[Premium Waiver]])</f>
        <v>None</v>
      </c>
      <c r="U569" s="284">
        <f>Table13[[#This Row],[VAPs Options]]</f>
        <v>0</v>
      </c>
      <c r="V569" s="284">
        <f>Table13[[#This Row],[Annual Increase Option]]</f>
        <v>0</v>
      </c>
      <c r="W569" s="290">
        <f>Table13[[#This Row],[Life Cover Amount]]</f>
        <v>0</v>
      </c>
      <c r="X569" s="290">
        <f>Table13[[#This Row],[Funeral Cover Amount]]</f>
        <v>0</v>
      </c>
      <c r="Y56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6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69" s="301">
        <f t="shared" ca="1" si="60"/>
        <v>0</v>
      </c>
      <c r="AB569" s="298"/>
      <c r="AC569" s="326" t="str">
        <f>IF(Table2[[#This Row],[Member Type]]="Main Member",Lookups!$C$13,
IF(Table2[[#This Row],[Member Type]]="Spouse",_xlfn.XLOOKUP(B569,Table2[Main Member Link ID],Table2[Product Option],0),
IF(AND(Table2[[#This Row],[Member Type]]="Child",_xlfn.XLOOKUP(B569,Table2[Main Member Link ID],Table2[Product Option],0)&lt;&gt;"My Value Plus Life"),Lookups!$C$24,
IF(AND(OR(Table2[[#This Row],[Member Type]]="Parent",Table2[[#This Row],[Member Type]]="Extended"),_xlfn.XLOOKUP(B569,Table2[Main Member Link ID],Table2[Product Option],0)&lt;&gt;"My Value Plus Life"),Lookups!$C$26,""))))</f>
        <v/>
      </c>
      <c r="AD569" s="326" t="str">
        <f>IF(Table2[[#This Row],[Member Type]]="Main Member",Lookups!$C$14,"")</f>
        <v/>
      </c>
      <c r="AE56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Funeral",_xlfn.XLOOKUP(B569,Table2[Main Member Link ID],Table2[Benefit Name],0)=Lookups!$D$14),"",
IF(AND(Table2[[#This Row],[Member Type]]="Spouse",Table2[[#This Row],[Product Option]]="My Value Plus Life &amp; Funeral",_xlfn.XLOOKUP(B568,Table2[Main Member Link ID],Table2[Benefit Name],0)=Lookups!$D$15),Lookups!$D$20,
IF(AND(Table2[[#This Row],[Member Type]]="Spouse",Table2[[#This Row],[Product Option]]="My Value Plus Life &amp; Funeral",_xlfn.XLOOKUP(B568,Table2[Main Member Link ID],Table2[Benefit Name],0)=Lookups!$D$16),"",
IF(AND(Table2[[#This Row],[Member Type]]="Spouse",Table2[[#This Row],[Product Option]]="My Value Plus Life &amp; Funeral",_xlfn.XLOOKUP(B568,Table2[Main Member Link ID],Table2[Benefit Name],0)=Lookups!$D$17),Lookups!$D$21,
IF(AND(Table2[[#This Row],[Member Type]]="Child",Table2[[#This Row],[Product Option]]="My Value Plus Life &amp; Funeral",_xlfn.XLOOKUP(B569,Table2[Main Member Link ID],Table2[Benefit Name],0)=Lookups!$D$14),"",
IF(AND(Table2[[#This Row],[Member Type]]="Child",Table2[[#This Row],[Product Option]]="My Value Plus Life &amp; Funeral",_xlfn.XLOOKUP(B569,Table2[Main Member Link ID],Table2[Benefit Name],0)=Lookups!$D$15),"",
IF(AND(Table2[[#This Row],[Member Type]]="Child",Table2[[#This Row],[Product Option]]="My Value Plus Life &amp; Funeral",_xlfn.XLOOKUP(B569,Table2[Main Member Link ID],Table2[Benefit Name],0)=Lookups!$D$16),Lookups!$D$24,
IF(AND(Table2[[#This Row],[Member Type]]="Child",Table2[[#This Row],[Product Option]]="My Value Plus Life &amp; Funeral",_xlfn.XLOOKUP(B569,Table2[Main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Funeral",_xlfn.XLOOKUP(B569,Table2[Main Member Link ID],Table2[Benefit Name],0)&lt;&gt;Lookups!$D$14),
IF(_xlfn.XLOOKUP(B569,Table2[Main Member Link ID],Table2[Benefit Name],0)=0,"",_xlfn.XLOOKUP(B569,Table2[Main Member Link ID],Table2[Benefit Name],0)),"")))))))))))))))</f>
        <v/>
      </c>
      <c r="AF569" s="327" t="str">
        <f>IF(AND(Table2[[#This Row],[Member Type]]="Main Member",Table2[[#This Row],[Product Option]]="My Value Plus Life &amp; Funeral"),Lookups!$D$15,
IF(AND(Table2[[#This Row],[Member Type]]="Spouse",Table2[[#This Row],[Product Option]]="My Value Plus Life &amp; Funeral",_xlfn.XLOOKUP(B569,Table2[Main Member Link ID],Table2[Benefit Name],0)=Lookups!$D$14),"",
IF(AND(Table2[[#This Row],[Member Type]]="Spouse",Table2[[#This Row],[Product Option]]="My Value Plus Life &amp; Funeral",_xlfn.XLOOKUP(B568,Table2[Main Member Link ID],Table2[Benefit Name],0)=Lookups!$D$16),"",
IF(AND(Table2[[#This Row],[Member Type]]="Spouse",Table2[[#This Row],[Product Option]]="My Value Plus Life &amp; Funeral",_xlfn.XLOOKUP(B568,Table2[Main Member Link ID],Table2[Benefit Name],0)=Lookups!$D$15),"",
IF(AND(Table2[[#This Row],[Member Type]]="Spouse",Table2[[#This Row],[Product Option]]="My Value Plus Life &amp; Funeral",_xlfn.XLOOKUP(B568,Table2[Main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Funeral",_xlfn.XLOOKUP(B569,Table2[Main Member Link ID],Table2[Benefit Name],0)&lt;&gt;Lookups!$D$15),
IF(_xlfn.XLOOKUP(B569,Table2[Main Member Link ID],Table2[Benefit Name],0)=0,"",_xlfn.XLOOKUP(B569,Table2[Main Member Link ID],Table2[Benefit Name],0)),"")
))))))</f>
        <v/>
      </c>
      <c r="AG569" s="327" t="str">
        <f>IF(AND(Table2[[#This Row],[Member Type]]="Main Member",Table2[[#This Row],[Product Option]]="My Value Plus Life &amp; Funeral"),Lookups!$D$16,
IF(AND(Table2[[#This Row],[Member Type]]="Spouse",Table2[[#This Row],[Product Option]]="My Value Plus Life &amp; Funeral",_xlfn.XLOOKUP(B569,Table2[Main Member Link ID],Table2[Benefit Name],0)=Lookups!$D$14),"",
IF(AND(Table2[[#This Row],[Member Type]]="Spouse",Table2[[#This Row],[Product Option]]="My Value Plus Life &amp; Funeral",_xlfn.XLOOKUP(B568,Table2[Main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Funeral",_xlfn.XLOOKUP(B569,Table2[Main Member Link ID],Table2[Benefit Name],0)&lt;&gt;Lookups!$D$16),
IF(_xlfn.XLOOKUP(B569,Table2[Main Member Link ID],Table2[Benefit Name],0)=0,"",_xlfn.XLOOKUP(B569,Table2[Main Member Link ID],Table2[Benefit Name],0)),"")
))))</f>
        <v/>
      </c>
      <c r="AH569" s="327" t="str">
        <f>IF(AND(Table2[[#This Row],[Member Type]]="Main Member",Table2[[#This Row],[Product Option]]="My Value Plus Life &amp; Funeral"),Lookups!$D$17,
IF(AND(Table2[[#This Row],[Member Type]]="Spouse",Table2[[#This Row],[Product Option]]="My Value Plus Life &amp; Funeral",_xlfn.XLOOKUP(B569,Table2[Main Member Link ID],Table2[Benefit Name],0)=Lookups!$D$14),"",
IF(AND(Table2[[#This Row],[Member Type]]="Spouse",Table2[[#This Row],[Product Option]]="My Value Plus Life &amp; Funeral",_xlfn.XLOOKUP(B568,Table2[Main Member Link ID],Table2[Benefit Name],0)=Lookups!$D$16),"",
IF(AND(Table2[[#This Row],[Member Type]]="Child",Table2[[#This Row],[Product Option]]="My Value Plus Life &amp; Funeral"),"",
IF(AND(Table2[[#This Row],[Member Type]]="Child",Table2[[#This Row],[Product Option]]="My Value Plus Life &amp; Funeral",_xlfn.XLOOKUP(B569,Table2[Main Member Link ID],Table2[Benefit Name],0)=Lookups!$D$15),"",
IF(AND(OR(Table2[[#This Row],[Member Type]]="Spouse",Table2[[#This Row],[Member Type]]="Child"),Table2[[#This Row],[Product Option]]="My Value Plus Life &amp; Funeral",_xlfn.XLOOKUP(B569,Table2[Main Member Link ID],Table2[Benefit Name],0)&lt;&gt;Lookups!$D$17),
IF(_xlfn.XLOOKUP(B569,Table2[Main Member Link ID],Table2[Benefit Name],0)=0,"",_xlfn.XLOOKUP(B569,Table2[Main Member Link ID],Table2[Benefit Name],0)),""))))))</f>
        <v/>
      </c>
      <c r="AI569" s="328" t="str">
        <f>IF(AND(Table2[[#This Row],[Member Type]]="Main Member",Table2[[#This Row],[Table Lookup for Life Cover]]="MM_LIFE",Table2[[#This Row],[Age Next Birthday]]&lt;56),1,
IF(AND(Table2[[#This Row],[Member Type]]="Main Member",Table2[[#This Row],[Table Lookup for Life Cover]]="MM_LIFE",Table2[[#This Row],[Age Next Birthday]]&gt;=56),2,
""))</f>
        <v/>
      </c>
      <c r="AJ569" s="328">
        <f>IF(OR(Table2[[#This Row],[Member Type]]="Main Member",Table2[[#This Row],[Main Member Link ID]]=B568),1,0)</f>
        <v>1</v>
      </c>
      <c r="AK569" s="328">
        <f>IF(Table2[[#This Row],[Member Type]]=0,0,
IF(OR(Table2[[#This Row],[Member Type]]="Main Member",Table2[[#This Row],[Main Member Link ID]]&lt;&gt;B569),COUNTIFS(B:B,Table2[[#This Row],[Main Member Link ID]]),
COUNTIFS(B:B,Table2[[#This Row],[Main Member Link ID]],A:A,Table2[[#This Row],[Member Type]])))</f>
        <v>0</v>
      </c>
    </row>
    <row r="570" spans="1:37" x14ac:dyDescent="0.3">
      <c r="A570" s="284">
        <f>Table13[[#This Row],[Member Type]]</f>
        <v>0</v>
      </c>
      <c r="B570" s="284">
        <f>Table13[[#This Row],[Main Member Link ID]]</f>
        <v>0</v>
      </c>
      <c r="C570" s="284">
        <f>Table13[[#This Row],[ID Number]]</f>
        <v>0</v>
      </c>
      <c r="D570" s="285">
        <f>Table13[[#This Row],[Date Of Birth]]</f>
        <v>0</v>
      </c>
      <c r="E570" s="285">
        <f>Table13[[#This Row],[Commencement Date]]</f>
        <v>0</v>
      </c>
      <c r="F570" s="284">
        <f t="shared" si="56"/>
        <v>1</v>
      </c>
      <c r="G570" s="284">
        <f t="shared" si="57"/>
        <v>25</v>
      </c>
      <c r="H570" s="286">
        <f>Table13[[#This Row],[Product Option]]</f>
        <v>0</v>
      </c>
      <c r="I570" s="284">
        <f>IF(AND($A570="Main Member",Table2[[#This Row],[Product Option]]="My Value Plus Life"),"MM_LIFE",
IF(AND($A570="Spouse",Table2[[#This Row],[Product Option]]="My Value Plus Life"),"SP_LIFE",
IF(AND($A570="Main Member",Table2[[#This Row],[Product Option]]="My Value Plus Life &amp; Funeral"),"MM_LIFE",
IF(AND($A570="Spouse",Table2[[#This Row],[Product Option]]="My Value Plus Life &amp; Funeral"),_xlfn.XLOOKUP(Table2[[#This Row],[Benefit Name]],Lookups!$D$18:$D$23,Lookups!$E$18:$E$23,0),
0))))</f>
        <v>0</v>
      </c>
      <c r="J570" s="284">
        <f>IF($I570="","",
IF($I570="MM_LIFE",INDEX('Quotation Tool'!$S$54:$V$60,MATCH($T570,'Quotation Tool'!$S$54:$S$60,0),4),
IF($I570="SP_LIFE",_xlfn.XLOOKUP(B569,$B:$B,$J:$J,0),0)))</f>
        <v>0</v>
      </c>
      <c r="K570" s="287">
        <f t="shared" ca="1" si="61"/>
        <v>0</v>
      </c>
      <c r="L570" s="288">
        <f t="shared" ca="1" si="62"/>
        <v>0</v>
      </c>
      <c r="M570" s="289">
        <f t="shared" ca="1" si="58"/>
        <v>0</v>
      </c>
      <c r="N570" s="286">
        <f>Table13[[#This Row],[Benefit Option]]</f>
        <v>0</v>
      </c>
      <c r="O570" s="284">
        <f>IF(OR(Table2[[#This Row],[Member Type]]="Spouse",Table2[[#This Row],[Member Type]]="Child"),0,
IF(_xlfn.XLOOKUP($N570,Lookups!$D$13:$D$27,Lookups!$F$13:$F$27,0)=Table2[[#This Row],[Table Lookup for Life Cover]],0,
_xlfn.XLOOKUP($N570,Lookups!$D$13:$D$27,Lookups!$F$13:$F$27,0)))</f>
        <v>0</v>
      </c>
      <c r="P570" s="284">
        <f>IF(Table2[[#This Row],[Table Lookup for Funeral]]=0,0,IFERROR(INDEX('Quotation Tool'!$S$54:$V$60,MATCH($T570,'Quotation Tool'!$S$54:$S$60,0),3),0))</f>
        <v>0</v>
      </c>
      <c r="Q570" s="288">
        <f ca="1">IF(OR(Table2[[#This Row],[Benefit Name]]="My Value Plus Life - Main Member",Table2[[#This Row],[Benefit Name]]="My Value Plus Life - Spouse"),0,
IFERROR(VLOOKUP($G570,INDIRECT($O570),$P570,FALSE),0))</f>
        <v>0</v>
      </c>
      <c r="R570" s="288">
        <f ca="1">IF(OR(Table2[[#This Row],[Benefit Name]]="My Value Plus Life - Main Member",Table2[[#This Row],[Benefit Name]]="My Value Plus Life - Spouse"),0,
IFERROR(VLOOKUP($G570,INDIRECT($O570),$P570+1,FALSE),0))</f>
        <v>0</v>
      </c>
      <c r="S570" s="289">
        <f t="shared" ca="1" si="59"/>
        <v>0</v>
      </c>
      <c r="T570" s="284" t="str">
        <f>IF(Table13[[#This Row],[Premium Waiver]]="","None",Table13[[#This Row],[Premium Waiver]])</f>
        <v>None</v>
      </c>
      <c r="U570" s="284">
        <f>Table13[[#This Row],[VAPs Options]]</f>
        <v>0</v>
      </c>
      <c r="V570" s="284">
        <f>Table13[[#This Row],[Annual Increase Option]]</f>
        <v>0</v>
      </c>
      <c r="W570" s="290">
        <f>Table13[[#This Row],[Life Cover Amount]]</f>
        <v>0</v>
      </c>
      <c r="X570" s="290">
        <f>Table13[[#This Row],[Funeral Cover Amount]]</f>
        <v>0</v>
      </c>
      <c r="Y57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7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70" s="301">
        <f t="shared" ca="1" si="60"/>
        <v>0</v>
      </c>
      <c r="AB570" s="298"/>
      <c r="AC570" s="326" t="str">
        <f>IF(Table2[[#This Row],[Member Type]]="Main Member",Lookups!$C$13,
IF(Table2[[#This Row],[Member Type]]="Spouse",_xlfn.XLOOKUP(B570,Table2[Main Member Link ID],Table2[Product Option],0),
IF(AND(Table2[[#This Row],[Member Type]]="Child",_xlfn.XLOOKUP(B570,Table2[Main Member Link ID],Table2[Product Option],0)&lt;&gt;"My Value Plus Life"),Lookups!$C$24,
IF(AND(OR(Table2[[#This Row],[Member Type]]="Parent",Table2[[#This Row],[Member Type]]="Extended"),_xlfn.XLOOKUP(B570,Table2[Main Member Link ID],Table2[Product Option],0)&lt;&gt;"My Value Plus Life"),Lookups!$C$26,""))))</f>
        <v/>
      </c>
      <c r="AD570" s="326" t="str">
        <f>IF(Table2[[#This Row],[Member Type]]="Main Member",Lookups!$C$14,"")</f>
        <v/>
      </c>
      <c r="AE57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Funeral",_xlfn.XLOOKUP(B570,Table2[Main Member Link ID],Table2[Benefit Name],0)=Lookups!$D$14),"",
IF(AND(Table2[[#This Row],[Member Type]]="Spouse",Table2[[#This Row],[Product Option]]="My Value Plus Life &amp; Funeral",_xlfn.XLOOKUP(B569,Table2[Main Member Link ID],Table2[Benefit Name],0)=Lookups!$D$15),Lookups!$D$20,
IF(AND(Table2[[#This Row],[Member Type]]="Spouse",Table2[[#This Row],[Product Option]]="My Value Plus Life &amp; Funeral",_xlfn.XLOOKUP(B569,Table2[Main Member Link ID],Table2[Benefit Name],0)=Lookups!$D$16),"",
IF(AND(Table2[[#This Row],[Member Type]]="Spouse",Table2[[#This Row],[Product Option]]="My Value Plus Life &amp; Funeral",_xlfn.XLOOKUP(B569,Table2[Main Member Link ID],Table2[Benefit Name],0)=Lookups!$D$17),Lookups!$D$21,
IF(AND(Table2[[#This Row],[Member Type]]="Child",Table2[[#This Row],[Product Option]]="My Value Plus Life &amp; Funeral",_xlfn.XLOOKUP(B570,Table2[Main Member Link ID],Table2[Benefit Name],0)=Lookups!$D$14),"",
IF(AND(Table2[[#This Row],[Member Type]]="Child",Table2[[#This Row],[Product Option]]="My Value Plus Life &amp; Funeral",_xlfn.XLOOKUP(B570,Table2[Main Member Link ID],Table2[Benefit Name],0)=Lookups!$D$15),"",
IF(AND(Table2[[#This Row],[Member Type]]="Child",Table2[[#This Row],[Product Option]]="My Value Plus Life &amp; Funeral",_xlfn.XLOOKUP(B570,Table2[Main Member Link ID],Table2[Benefit Name],0)=Lookups!$D$16),Lookups!$D$24,
IF(AND(Table2[[#This Row],[Member Type]]="Child",Table2[[#This Row],[Product Option]]="My Value Plus Life &amp; Funeral",_xlfn.XLOOKUP(B570,Table2[Main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Funeral",_xlfn.XLOOKUP(B570,Table2[Main Member Link ID],Table2[Benefit Name],0)&lt;&gt;Lookups!$D$14),
IF(_xlfn.XLOOKUP(B570,Table2[Main Member Link ID],Table2[Benefit Name],0)=0,"",_xlfn.XLOOKUP(B570,Table2[Main Member Link ID],Table2[Benefit Name],0)),"")))))))))))))))</f>
        <v/>
      </c>
      <c r="AF570" s="327" t="str">
        <f>IF(AND(Table2[[#This Row],[Member Type]]="Main Member",Table2[[#This Row],[Product Option]]="My Value Plus Life &amp; Funeral"),Lookups!$D$15,
IF(AND(Table2[[#This Row],[Member Type]]="Spouse",Table2[[#This Row],[Product Option]]="My Value Plus Life &amp; Funeral",_xlfn.XLOOKUP(B570,Table2[Main Member Link ID],Table2[Benefit Name],0)=Lookups!$D$14),"",
IF(AND(Table2[[#This Row],[Member Type]]="Spouse",Table2[[#This Row],[Product Option]]="My Value Plus Life &amp; Funeral",_xlfn.XLOOKUP(B569,Table2[Main Member Link ID],Table2[Benefit Name],0)=Lookups!$D$16),"",
IF(AND(Table2[[#This Row],[Member Type]]="Spouse",Table2[[#This Row],[Product Option]]="My Value Plus Life &amp; Funeral",_xlfn.XLOOKUP(B569,Table2[Main Member Link ID],Table2[Benefit Name],0)=Lookups!$D$15),"",
IF(AND(Table2[[#This Row],[Member Type]]="Spouse",Table2[[#This Row],[Product Option]]="My Value Plus Life &amp; Funeral",_xlfn.XLOOKUP(B569,Table2[Main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Funeral",_xlfn.XLOOKUP(B570,Table2[Main Member Link ID],Table2[Benefit Name],0)&lt;&gt;Lookups!$D$15),
IF(_xlfn.XLOOKUP(B570,Table2[Main Member Link ID],Table2[Benefit Name],0)=0,"",_xlfn.XLOOKUP(B570,Table2[Main Member Link ID],Table2[Benefit Name],0)),"")
))))))</f>
        <v/>
      </c>
      <c r="AG570" s="327" t="str">
        <f>IF(AND(Table2[[#This Row],[Member Type]]="Main Member",Table2[[#This Row],[Product Option]]="My Value Plus Life &amp; Funeral"),Lookups!$D$16,
IF(AND(Table2[[#This Row],[Member Type]]="Spouse",Table2[[#This Row],[Product Option]]="My Value Plus Life &amp; Funeral",_xlfn.XLOOKUP(B570,Table2[Main Member Link ID],Table2[Benefit Name],0)=Lookups!$D$14),"",
IF(AND(Table2[[#This Row],[Member Type]]="Spouse",Table2[[#This Row],[Product Option]]="My Value Plus Life &amp; Funeral",_xlfn.XLOOKUP(B569,Table2[Main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Funeral",_xlfn.XLOOKUP(B570,Table2[Main Member Link ID],Table2[Benefit Name],0)&lt;&gt;Lookups!$D$16),
IF(_xlfn.XLOOKUP(B570,Table2[Main Member Link ID],Table2[Benefit Name],0)=0,"",_xlfn.XLOOKUP(B570,Table2[Main Member Link ID],Table2[Benefit Name],0)),"")
))))</f>
        <v/>
      </c>
      <c r="AH570" s="327" t="str">
        <f>IF(AND(Table2[[#This Row],[Member Type]]="Main Member",Table2[[#This Row],[Product Option]]="My Value Plus Life &amp; Funeral"),Lookups!$D$17,
IF(AND(Table2[[#This Row],[Member Type]]="Spouse",Table2[[#This Row],[Product Option]]="My Value Plus Life &amp; Funeral",_xlfn.XLOOKUP(B570,Table2[Main Member Link ID],Table2[Benefit Name],0)=Lookups!$D$14),"",
IF(AND(Table2[[#This Row],[Member Type]]="Spouse",Table2[[#This Row],[Product Option]]="My Value Plus Life &amp; Funeral",_xlfn.XLOOKUP(B569,Table2[Main Member Link ID],Table2[Benefit Name],0)=Lookups!$D$16),"",
IF(AND(Table2[[#This Row],[Member Type]]="Child",Table2[[#This Row],[Product Option]]="My Value Plus Life &amp; Funeral"),"",
IF(AND(Table2[[#This Row],[Member Type]]="Child",Table2[[#This Row],[Product Option]]="My Value Plus Life &amp; Funeral",_xlfn.XLOOKUP(B570,Table2[Main Member Link ID],Table2[Benefit Name],0)=Lookups!$D$15),"",
IF(AND(OR(Table2[[#This Row],[Member Type]]="Spouse",Table2[[#This Row],[Member Type]]="Child"),Table2[[#This Row],[Product Option]]="My Value Plus Life &amp; Funeral",_xlfn.XLOOKUP(B570,Table2[Main Member Link ID],Table2[Benefit Name],0)&lt;&gt;Lookups!$D$17),
IF(_xlfn.XLOOKUP(B570,Table2[Main Member Link ID],Table2[Benefit Name],0)=0,"",_xlfn.XLOOKUP(B570,Table2[Main Member Link ID],Table2[Benefit Name],0)),""))))))</f>
        <v/>
      </c>
      <c r="AI570" s="328" t="str">
        <f>IF(AND(Table2[[#This Row],[Member Type]]="Main Member",Table2[[#This Row],[Table Lookup for Life Cover]]="MM_LIFE",Table2[[#This Row],[Age Next Birthday]]&lt;56),1,
IF(AND(Table2[[#This Row],[Member Type]]="Main Member",Table2[[#This Row],[Table Lookup for Life Cover]]="MM_LIFE",Table2[[#This Row],[Age Next Birthday]]&gt;=56),2,
""))</f>
        <v/>
      </c>
      <c r="AJ570" s="328">
        <f>IF(OR(Table2[[#This Row],[Member Type]]="Main Member",Table2[[#This Row],[Main Member Link ID]]=B569),1,0)</f>
        <v>1</v>
      </c>
      <c r="AK570" s="328">
        <f>IF(Table2[[#This Row],[Member Type]]=0,0,
IF(OR(Table2[[#This Row],[Member Type]]="Main Member",Table2[[#This Row],[Main Member Link ID]]&lt;&gt;B570),COUNTIFS(B:B,Table2[[#This Row],[Main Member Link ID]]),
COUNTIFS(B:B,Table2[[#This Row],[Main Member Link ID]],A:A,Table2[[#This Row],[Member Type]])))</f>
        <v>0</v>
      </c>
    </row>
    <row r="571" spans="1:37" x14ac:dyDescent="0.3">
      <c r="A571" s="284">
        <f>Table13[[#This Row],[Member Type]]</f>
        <v>0</v>
      </c>
      <c r="B571" s="284">
        <f>Table13[[#This Row],[Main Member Link ID]]</f>
        <v>0</v>
      </c>
      <c r="C571" s="284">
        <f>Table13[[#This Row],[ID Number]]</f>
        <v>0</v>
      </c>
      <c r="D571" s="285">
        <f>Table13[[#This Row],[Date Of Birth]]</f>
        <v>0</v>
      </c>
      <c r="E571" s="285">
        <f>Table13[[#This Row],[Commencement Date]]</f>
        <v>0</v>
      </c>
      <c r="F571" s="284">
        <f t="shared" si="56"/>
        <v>1</v>
      </c>
      <c r="G571" s="284">
        <f t="shared" si="57"/>
        <v>25</v>
      </c>
      <c r="H571" s="286">
        <f>Table13[[#This Row],[Product Option]]</f>
        <v>0</v>
      </c>
      <c r="I571" s="284">
        <f>IF(AND($A571="Main Member",Table2[[#This Row],[Product Option]]="My Value Plus Life"),"MM_LIFE",
IF(AND($A571="Spouse",Table2[[#This Row],[Product Option]]="My Value Plus Life"),"SP_LIFE",
IF(AND($A571="Main Member",Table2[[#This Row],[Product Option]]="My Value Plus Life &amp; Funeral"),"MM_LIFE",
IF(AND($A571="Spouse",Table2[[#This Row],[Product Option]]="My Value Plus Life &amp; Funeral"),_xlfn.XLOOKUP(Table2[[#This Row],[Benefit Name]],Lookups!$D$18:$D$23,Lookups!$E$18:$E$23,0),
0))))</f>
        <v>0</v>
      </c>
      <c r="J571" s="284">
        <f>IF($I571="","",
IF($I571="MM_LIFE",INDEX('Quotation Tool'!$S$54:$V$60,MATCH($T571,'Quotation Tool'!$S$54:$S$60,0),4),
IF($I571="SP_LIFE",_xlfn.XLOOKUP(B570,$B:$B,$J:$J,0),0)))</f>
        <v>0</v>
      </c>
      <c r="K571" s="287">
        <f t="shared" ca="1" si="61"/>
        <v>0</v>
      </c>
      <c r="L571" s="288">
        <f t="shared" ca="1" si="62"/>
        <v>0</v>
      </c>
      <c r="M571" s="289">
        <f t="shared" ca="1" si="58"/>
        <v>0</v>
      </c>
      <c r="N571" s="286">
        <f>Table13[[#This Row],[Benefit Option]]</f>
        <v>0</v>
      </c>
      <c r="O571" s="284">
        <f>IF(OR(Table2[[#This Row],[Member Type]]="Spouse",Table2[[#This Row],[Member Type]]="Child"),0,
IF(_xlfn.XLOOKUP($N571,Lookups!$D$13:$D$27,Lookups!$F$13:$F$27,0)=Table2[[#This Row],[Table Lookup for Life Cover]],0,
_xlfn.XLOOKUP($N571,Lookups!$D$13:$D$27,Lookups!$F$13:$F$27,0)))</f>
        <v>0</v>
      </c>
      <c r="P571" s="284">
        <f>IF(Table2[[#This Row],[Table Lookup for Funeral]]=0,0,IFERROR(INDEX('Quotation Tool'!$S$54:$V$60,MATCH($T571,'Quotation Tool'!$S$54:$S$60,0),3),0))</f>
        <v>0</v>
      </c>
      <c r="Q571" s="288">
        <f ca="1">IF(OR(Table2[[#This Row],[Benefit Name]]="My Value Plus Life - Main Member",Table2[[#This Row],[Benefit Name]]="My Value Plus Life - Spouse"),0,
IFERROR(VLOOKUP($G571,INDIRECT($O571),$P571,FALSE),0))</f>
        <v>0</v>
      </c>
      <c r="R571" s="288">
        <f ca="1">IF(OR(Table2[[#This Row],[Benefit Name]]="My Value Plus Life - Main Member",Table2[[#This Row],[Benefit Name]]="My Value Plus Life - Spouse"),0,
IFERROR(VLOOKUP($G571,INDIRECT($O571),$P571+1,FALSE),0))</f>
        <v>0</v>
      </c>
      <c r="S571" s="289">
        <f t="shared" ca="1" si="59"/>
        <v>0</v>
      </c>
      <c r="T571" s="284" t="str">
        <f>IF(Table13[[#This Row],[Premium Waiver]]="","None",Table13[[#This Row],[Premium Waiver]])</f>
        <v>None</v>
      </c>
      <c r="U571" s="284">
        <f>Table13[[#This Row],[VAPs Options]]</f>
        <v>0</v>
      </c>
      <c r="V571" s="284">
        <f>Table13[[#This Row],[Annual Increase Option]]</f>
        <v>0</v>
      </c>
      <c r="W571" s="290">
        <f>Table13[[#This Row],[Life Cover Amount]]</f>
        <v>0</v>
      </c>
      <c r="X571" s="290">
        <f>Table13[[#This Row],[Funeral Cover Amount]]</f>
        <v>0</v>
      </c>
      <c r="Y57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7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71" s="301">
        <f t="shared" ca="1" si="60"/>
        <v>0</v>
      </c>
      <c r="AB571" s="298"/>
      <c r="AC571" s="326" t="str">
        <f>IF(Table2[[#This Row],[Member Type]]="Main Member",Lookups!$C$13,
IF(Table2[[#This Row],[Member Type]]="Spouse",_xlfn.XLOOKUP(B571,Table2[Main Member Link ID],Table2[Product Option],0),
IF(AND(Table2[[#This Row],[Member Type]]="Child",_xlfn.XLOOKUP(B571,Table2[Main Member Link ID],Table2[Product Option],0)&lt;&gt;"My Value Plus Life"),Lookups!$C$24,
IF(AND(OR(Table2[[#This Row],[Member Type]]="Parent",Table2[[#This Row],[Member Type]]="Extended"),_xlfn.XLOOKUP(B571,Table2[Main Member Link ID],Table2[Product Option],0)&lt;&gt;"My Value Plus Life"),Lookups!$C$26,""))))</f>
        <v/>
      </c>
      <c r="AD571" s="326" t="str">
        <f>IF(Table2[[#This Row],[Member Type]]="Main Member",Lookups!$C$14,"")</f>
        <v/>
      </c>
      <c r="AE57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Funeral",_xlfn.XLOOKUP(B571,Table2[Main Member Link ID],Table2[Benefit Name],0)=Lookups!$D$14),"",
IF(AND(Table2[[#This Row],[Member Type]]="Spouse",Table2[[#This Row],[Product Option]]="My Value Plus Life &amp; Funeral",_xlfn.XLOOKUP(B570,Table2[Main Member Link ID],Table2[Benefit Name],0)=Lookups!$D$15),Lookups!$D$20,
IF(AND(Table2[[#This Row],[Member Type]]="Spouse",Table2[[#This Row],[Product Option]]="My Value Plus Life &amp; Funeral",_xlfn.XLOOKUP(B570,Table2[Main Member Link ID],Table2[Benefit Name],0)=Lookups!$D$16),"",
IF(AND(Table2[[#This Row],[Member Type]]="Spouse",Table2[[#This Row],[Product Option]]="My Value Plus Life &amp; Funeral",_xlfn.XLOOKUP(B570,Table2[Main Member Link ID],Table2[Benefit Name],0)=Lookups!$D$17),Lookups!$D$21,
IF(AND(Table2[[#This Row],[Member Type]]="Child",Table2[[#This Row],[Product Option]]="My Value Plus Life &amp; Funeral",_xlfn.XLOOKUP(B571,Table2[Main Member Link ID],Table2[Benefit Name],0)=Lookups!$D$14),"",
IF(AND(Table2[[#This Row],[Member Type]]="Child",Table2[[#This Row],[Product Option]]="My Value Plus Life &amp; Funeral",_xlfn.XLOOKUP(B571,Table2[Main Member Link ID],Table2[Benefit Name],0)=Lookups!$D$15),"",
IF(AND(Table2[[#This Row],[Member Type]]="Child",Table2[[#This Row],[Product Option]]="My Value Plus Life &amp; Funeral",_xlfn.XLOOKUP(B571,Table2[Main Member Link ID],Table2[Benefit Name],0)=Lookups!$D$16),Lookups!$D$24,
IF(AND(Table2[[#This Row],[Member Type]]="Child",Table2[[#This Row],[Product Option]]="My Value Plus Life &amp; Funeral",_xlfn.XLOOKUP(B571,Table2[Main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Funeral",_xlfn.XLOOKUP(B571,Table2[Main Member Link ID],Table2[Benefit Name],0)&lt;&gt;Lookups!$D$14),
IF(_xlfn.XLOOKUP(B571,Table2[Main Member Link ID],Table2[Benefit Name],0)=0,"",_xlfn.XLOOKUP(B571,Table2[Main Member Link ID],Table2[Benefit Name],0)),"")))))))))))))))</f>
        <v/>
      </c>
      <c r="AF571" s="327" t="str">
        <f>IF(AND(Table2[[#This Row],[Member Type]]="Main Member",Table2[[#This Row],[Product Option]]="My Value Plus Life &amp; Funeral"),Lookups!$D$15,
IF(AND(Table2[[#This Row],[Member Type]]="Spouse",Table2[[#This Row],[Product Option]]="My Value Plus Life &amp; Funeral",_xlfn.XLOOKUP(B571,Table2[Main Member Link ID],Table2[Benefit Name],0)=Lookups!$D$14),"",
IF(AND(Table2[[#This Row],[Member Type]]="Spouse",Table2[[#This Row],[Product Option]]="My Value Plus Life &amp; Funeral",_xlfn.XLOOKUP(B570,Table2[Main Member Link ID],Table2[Benefit Name],0)=Lookups!$D$16),"",
IF(AND(Table2[[#This Row],[Member Type]]="Spouse",Table2[[#This Row],[Product Option]]="My Value Plus Life &amp; Funeral",_xlfn.XLOOKUP(B570,Table2[Main Member Link ID],Table2[Benefit Name],0)=Lookups!$D$15),"",
IF(AND(Table2[[#This Row],[Member Type]]="Spouse",Table2[[#This Row],[Product Option]]="My Value Plus Life &amp; Funeral",_xlfn.XLOOKUP(B570,Table2[Main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Funeral",_xlfn.XLOOKUP(B571,Table2[Main Member Link ID],Table2[Benefit Name],0)&lt;&gt;Lookups!$D$15),
IF(_xlfn.XLOOKUP(B571,Table2[Main Member Link ID],Table2[Benefit Name],0)=0,"",_xlfn.XLOOKUP(B571,Table2[Main Member Link ID],Table2[Benefit Name],0)),"")
))))))</f>
        <v/>
      </c>
      <c r="AG571" s="327" t="str">
        <f>IF(AND(Table2[[#This Row],[Member Type]]="Main Member",Table2[[#This Row],[Product Option]]="My Value Plus Life &amp; Funeral"),Lookups!$D$16,
IF(AND(Table2[[#This Row],[Member Type]]="Spouse",Table2[[#This Row],[Product Option]]="My Value Plus Life &amp; Funeral",_xlfn.XLOOKUP(B571,Table2[Main Member Link ID],Table2[Benefit Name],0)=Lookups!$D$14),"",
IF(AND(Table2[[#This Row],[Member Type]]="Spouse",Table2[[#This Row],[Product Option]]="My Value Plus Life &amp; Funeral",_xlfn.XLOOKUP(B570,Table2[Main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Funeral",_xlfn.XLOOKUP(B571,Table2[Main Member Link ID],Table2[Benefit Name],0)&lt;&gt;Lookups!$D$16),
IF(_xlfn.XLOOKUP(B571,Table2[Main Member Link ID],Table2[Benefit Name],0)=0,"",_xlfn.XLOOKUP(B571,Table2[Main Member Link ID],Table2[Benefit Name],0)),"")
))))</f>
        <v/>
      </c>
      <c r="AH571" s="327" t="str">
        <f>IF(AND(Table2[[#This Row],[Member Type]]="Main Member",Table2[[#This Row],[Product Option]]="My Value Plus Life &amp; Funeral"),Lookups!$D$17,
IF(AND(Table2[[#This Row],[Member Type]]="Spouse",Table2[[#This Row],[Product Option]]="My Value Plus Life &amp; Funeral",_xlfn.XLOOKUP(B571,Table2[Main Member Link ID],Table2[Benefit Name],0)=Lookups!$D$14),"",
IF(AND(Table2[[#This Row],[Member Type]]="Spouse",Table2[[#This Row],[Product Option]]="My Value Plus Life &amp; Funeral",_xlfn.XLOOKUP(B570,Table2[Main Member Link ID],Table2[Benefit Name],0)=Lookups!$D$16),"",
IF(AND(Table2[[#This Row],[Member Type]]="Child",Table2[[#This Row],[Product Option]]="My Value Plus Life &amp; Funeral"),"",
IF(AND(Table2[[#This Row],[Member Type]]="Child",Table2[[#This Row],[Product Option]]="My Value Plus Life &amp; Funeral",_xlfn.XLOOKUP(B571,Table2[Main Member Link ID],Table2[Benefit Name],0)=Lookups!$D$15),"",
IF(AND(OR(Table2[[#This Row],[Member Type]]="Spouse",Table2[[#This Row],[Member Type]]="Child"),Table2[[#This Row],[Product Option]]="My Value Plus Life &amp; Funeral",_xlfn.XLOOKUP(B571,Table2[Main Member Link ID],Table2[Benefit Name],0)&lt;&gt;Lookups!$D$17),
IF(_xlfn.XLOOKUP(B571,Table2[Main Member Link ID],Table2[Benefit Name],0)=0,"",_xlfn.XLOOKUP(B571,Table2[Main Member Link ID],Table2[Benefit Name],0)),""))))))</f>
        <v/>
      </c>
      <c r="AI571" s="328" t="str">
        <f>IF(AND(Table2[[#This Row],[Member Type]]="Main Member",Table2[[#This Row],[Table Lookup for Life Cover]]="MM_LIFE",Table2[[#This Row],[Age Next Birthday]]&lt;56),1,
IF(AND(Table2[[#This Row],[Member Type]]="Main Member",Table2[[#This Row],[Table Lookup for Life Cover]]="MM_LIFE",Table2[[#This Row],[Age Next Birthday]]&gt;=56),2,
""))</f>
        <v/>
      </c>
      <c r="AJ571" s="328">
        <f>IF(OR(Table2[[#This Row],[Member Type]]="Main Member",Table2[[#This Row],[Main Member Link ID]]=B570),1,0)</f>
        <v>1</v>
      </c>
      <c r="AK571" s="328">
        <f>IF(Table2[[#This Row],[Member Type]]=0,0,
IF(OR(Table2[[#This Row],[Member Type]]="Main Member",Table2[[#This Row],[Main Member Link ID]]&lt;&gt;B571),COUNTIFS(B:B,Table2[[#This Row],[Main Member Link ID]]),
COUNTIFS(B:B,Table2[[#This Row],[Main Member Link ID]],A:A,Table2[[#This Row],[Member Type]])))</f>
        <v>0</v>
      </c>
    </row>
    <row r="572" spans="1:37" x14ac:dyDescent="0.3">
      <c r="A572" s="284">
        <f>Table13[[#This Row],[Member Type]]</f>
        <v>0</v>
      </c>
      <c r="B572" s="284">
        <f>Table13[[#This Row],[Main Member Link ID]]</f>
        <v>0</v>
      </c>
      <c r="C572" s="284">
        <f>Table13[[#This Row],[ID Number]]</f>
        <v>0</v>
      </c>
      <c r="D572" s="285">
        <f>Table13[[#This Row],[Date Of Birth]]</f>
        <v>0</v>
      </c>
      <c r="E572" s="285">
        <f>Table13[[#This Row],[Commencement Date]]</f>
        <v>0</v>
      </c>
      <c r="F572" s="284">
        <f t="shared" si="56"/>
        <v>1</v>
      </c>
      <c r="G572" s="284">
        <f t="shared" si="57"/>
        <v>25</v>
      </c>
      <c r="H572" s="286">
        <f>Table13[[#This Row],[Product Option]]</f>
        <v>0</v>
      </c>
      <c r="I572" s="284">
        <f>IF(AND($A572="Main Member",Table2[[#This Row],[Product Option]]="My Value Plus Life"),"MM_LIFE",
IF(AND($A572="Spouse",Table2[[#This Row],[Product Option]]="My Value Plus Life"),"SP_LIFE",
IF(AND($A572="Main Member",Table2[[#This Row],[Product Option]]="My Value Plus Life &amp; Funeral"),"MM_LIFE",
IF(AND($A572="Spouse",Table2[[#This Row],[Product Option]]="My Value Plus Life &amp; Funeral"),_xlfn.XLOOKUP(Table2[[#This Row],[Benefit Name]],Lookups!$D$18:$D$23,Lookups!$E$18:$E$23,0),
0))))</f>
        <v>0</v>
      </c>
      <c r="J572" s="284">
        <f>IF($I572="","",
IF($I572="MM_LIFE",INDEX('Quotation Tool'!$S$54:$V$60,MATCH($T572,'Quotation Tool'!$S$54:$S$60,0),4),
IF($I572="SP_LIFE",_xlfn.XLOOKUP(B571,$B:$B,$J:$J,0),0)))</f>
        <v>0</v>
      </c>
      <c r="K572" s="287">
        <f t="shared" ca="1" si="61"/>
        <v>0</v>
      </c>
      <c r="L572" s="288">
        <f t="shared" ca="1" si="62"/>
        <v>0</v>
      </c>
      <c r="M572" s="289">
        <f t="shared" ca="1" si="58"/>
        <v>0</v>
      </c>
      <c r="N572" s="286">
        <f>Table13[[#This Row],[Benefit Option]]</f>
        <v>0</v>
      </c>
      <c r="O572" s="284">
        <f>IF(OR(Table2[[#This Row],[Member Type]]="Spouse",Table2[[#This Row],[Member Type]]="Child"),0,
IF(_xlfn.XLOOKUP($N572,Lookups!$D$13:$D$27,Lookups!$F$13:$F$27,0)=Table2[[#This Row],[Table Lookup for Life Cover]],0,
_xlfn.XLOOKUP($N572,Lookups!$D$13:$D$27,Lookups!$F$13:$F$27,0)))</f>
        <v>0</v>
      </c>
      <c r="P572" s="284">
        <f>IF(Table2[[#This Row],[Table Lookup for Funeral]]=0,0,IFERROR(INDEX('Quotation Tool'!$S$54:$V$60,MATCH($T572,'Quotation Tool'!$S$54:$S$60,0),3),0))</f>
        <v>0</v>
      </c>
      <c r="Q572" s="288">
        <f ca="1">IF(OR(Table2[[#This Row],[Benefit Name]]="My Value Plus Life - Main Member",Table2[[#This Row],[Benefit Name]]="My Value Plus Life - Spouse"),0,
IFERROR(VLOOKUP($G572,INDIRECT($O572),$P572,FALSE),0))</f>
        <v>0</v>
      </c>
      <c r="R572" s="288">
        <f ca="1">IF(OR(Table2[[#This Row],[Benefit Name]]="My Value Plus Life - Main Member",Table2[[#This Row],[Benefit Name]]="My Value Plus Life - Spouse"),0,
IFERROR(VLOOKUP($G572,INDIRECT($O572),$P572+1,FALSE),0))</f>
        <v>0</v>
      </c>
      <c r="S572" s="289">
        <f t="shared" ca="1" si="59"/>
        <v>0</v>
      </c>
      <c r="T572" s="284" t="str">
        <f>IF(Table13[[#This Row],[Premium Waiver]]="","None",Table13[[#This Row],[Premium Waiver]])</f>
        <v>None</v>
      </c>
      <c r="U572" s="284">
        <f>Table13[[#This Row],[VAPs Options]]</f>
        <v>0</v>
      </c>
      <c r="V572" s="284">
        <f>Table13[[#This Row],[Annual Increase Option]]</f>
        <v>0</v>
      </c>
      <c r="W572" s="290">
        <f>Table13[[#This Row],[Life Cover Amount]]</f>
        <v>0</v>
      </c>
      <c r="X572" s="290">
        <f>Table13[[#This Row],[Funeral Cover Amount]]</f>
        <v>0</v>
      </c>
      <c r="Y57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7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72" s="301">
        <f t="shared" ca="1" si="60"/>
        <v>0</v>
      </c>
      <c r="AB572" s="298"/>
      <c r="AC572" s="326" t="str">
        <f>IF(Table2[[#This Row],[Member Type]]="Main Member",Lookups!$C$13,
IF(Table2[[#This Row],[Member Type]]="Spouse",_xlfn.XLOOKUP(B572,Table2[Main Member Link ID],Table2[Product Option],0),
IF(AND(Table2[[#This Row],[Member Type]]="Child",_xlfn.XLOOKUP(B572,Table2[Main Member Link ID],Table2[Product Option],0)&lt;&gt;"My Value Plus Life"),Lookups!$C$24,
IF(AND(OR(Table2[[#This Row],[Member Type]]="Parent",Table2[[#This Row],[Member Type]]="Extended"),_xlfn.XLOOKUP(B572,Table2[Main Member Link ID],Table2[Product Option],0)&lt;&gt;"My Value Plus Life"),Lookups!$C$26,""))))</f>
        <v/>
      </c>
      <c r="AD572" s="326" t="str">
        <f>IF(Table2[[#This Row],[Member Type]]="Main Member",Lookups!$C$14,"")</f>
        <v/>
      </c>
      <c r="AE57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Funeral",_xlfn.XLOOKUP(B572,Table2[Main Member Link ID],Table2[Benefit Name],0)=Lookups!$D$14),"",
IF(AND(Table2[[#This Row],[Member Type]]="Spouse",Table2[[#This Row],[Product Option]]="My Value Plus Life &amp; Funeral",_xlfn.XLOOKUP(B571,Table2[Main Member Link ID],Table2[Benefit Name],0)=Lookups!$D$15),Lookups!$D$20,
IF(AND(Table2[[#This Row],[Member Type]]="Spouse",Table2[[#This Row],[Product Option]]="My Value Plus Life &amp; Funeral",_xlfn.XLOOKUP(B571,Table2[Main Member Link ID],Table2[Benefit Name],0)=Lookups!$D$16),"",
IF(AND(Table2[[#This Row],[Member Type]]="Spouse",Table2[[#This Row],[Product Option]]="My Value Plus Life &amp; Funeral",_xlfn.XLOOKUP(B571,Table2[Main Member Link ID],Table2[Benefit Name],0)=Lookups!$D$17),Lookups!$D$21,
IF(AND(Table2[[#This Row],[Member Type]]="Child",Table2[[#This Row],[Product Option]]="My Value Plus Life &amp; Funeral",_xlfn.XLOOKUP(B572,Table2[Main Member Link ID],Table2[Benefit Name],0)=Lookups!$D$14),"",
IF(AND(Table2[[#This Row],[Member Type]]="Child",Table2[[#This Row],[Product Option]]="My Value Plus Life &amp; Funeral",_xlfn.XLOOKUP(B572,Table2[Main Member Link ID],Table2[Benefit Name],0)=Lookups!$D$15),"",
IF(AND(Table2[[#This Row],[Member Type]]="Child",Table2[[#This Row],[Product Option]]="My Value Plus Life &amp; Funeral",_xlfn.XLOOKUP(B572,Table2[Main Member Link ID],Table2[Benefit Name],0)=Lookups!$D$16),Lookups!$D$24,
IF(AND(Table2[[#This Row],[Member Type]]="Child",Table2[[#This Row],[Product Option]]="My Value Plus Life &amp; Funeral",_xlfn.XLOOKUP(B572,Table2[Main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Funeral",_xlfn.XLOOKUP(B572,Table2[Main Member Link ID],Table2[Benefit Name],0)&lt;&gt;Lookups!$D$14),
IF(_xlfn.XLOOKUP(B572,Table2[Main Member Link ID],Table2[Benefit Name],0)=0,"",_xlfn.XLOOKUP(B572,Table2[Main Member Link ID],Table2[Benefit Name],0)),"")))))))))))))))</f>
        <v/>
      </c>
      <c r="AF572" s="327" t="str">
        <f>IF(AND(Table2[[#This Row],[Member Type]]="Main Member",Table2[[#This Row],[Product Option]]="My Value Plus Life &amp; Funeral"),Lookups!$D$15,
IF(AND(Table2[[#This Row],[Member Type]]="Spouse",Table2[[#This Row],[Product Option]]="My Value Plus Life &amp; Funeral",_xlfn.XLOOKUP(B572,Table2[Main Member Link ID],Table2[Benefit Name],0)=Lookups!$D$14),"",
IF(AND(Table2[[#This Row],[Member Type]]="Spouse",Table2[[#This Row],[Product Option]]="My Value Plus Life &amp; Funeral",_xlfn.XLOOKUP(B571,Table2[Main Member Link ID],Table2[Benefit Name],0)=Lookups!$D$16),"",
IF(AND(Table2[[#This Row],[Member Type]]="Spouse",Table2[[#This Row],[Product Option]]="My Value Plus Life &amp; Funeral",_xlfn.XLOOKUP(B571,Table2[Main Member Link ID],Table2[Benefit Name],0)=Lookups!$D$15),"",
IF(AND(Table2[[#This Row],[Member Type]]="Spouse",Table2[[#This Row],[Product Option]]="My Value Plus Life &amp; Funeral",_xlfn.XLOOKUP(B571,Table2[Main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Funeral",_xlfn.XLOOKUP(B572,Table2[Main Member Link ID],Table2[Benefit Name],0)&lt;&gt;Lookups!$D$15),
IF(_xlfn.XLOOKUP(B572,Table2[Main Member Link ID],Table2[Benefit Name],0)=0,"",_xlfn.XLOOKUP(B572,Table2[Main Member Link ID],Table2[Benefit Name],0)),"")
))))))</f>
        <v/>
      </c>
      <c r="AG572" s="327" t="str">
        <f>IF(AND(Table2[[#This Row],[Member Type]]="Main Member",Table2[[#This Row],[Product Option]]="My Value Plus Life &amp; Funeral"),Lookups!$D$16,
IF(AND(Table2[[#This Row],[Member Type]]="Spouse",Table2[[#This Row],[Product Option]]="My Value Plus Life &amp; Funeral",_xlfn.XLOOKUP(B572,Table2[Main Member Link ID],Table2[Benefit Name],0)=Lookups!$D$14),"",
IF(AND(Table2[[#This Row],[Member Type]]="Spouse",Table2[[#This Row],[Product Option]]="My Value Plus Life &amp; Funeral",_xlfn.XLOOKUP(B571,Table2[Main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Funeral",_xlfn.XLOOKUP(B572,Table2[Main Member Link ID],Table2[Benefit Name],0)&lt;&gt;Lookups!$D$16),
IF(_xlfn.XLOOKUP(B572,Table2[Main Member Link ID],Table2[Benefit Name],0)=0,"",_xlfn.XLOOKUP(B572,Table2[Main Member Link ID],Table2[Benefit Name],0)),"")
))))</f>
        <v/>
      </c>
      <c r="AH572" s="327" t="str">
        <f>IF(AND(Table2[[#This Row],[Member Type]]="Main Member",Table2[[#This Row],[Product Option]]="My Value Plus Life &amp; Funeral"),Lookups!$D$17,
IF(AND(Table2[[#This Row],[Member Type]]="Spouse",Table2[[#This Row],[Product Option]]="My Value Plus Life &amp; Funeral",_xlfn.XLOOKUP(B572,Table2[Main Member Link ID],Table2[Benefit Name],0)=Lookups!$D$14),"",
IF(AND(Table2[[#This Row],[Member Type]]="Spouse",Table2[[#This Row],[Product Option]]="My Value Plus Life &amp; Funeral",_xlfn.XLOOKUP(B571,Table2[Main Member Link ID],Table2[Benefit Name],0)=Lookups!$D$16),"",
IF(AND(Table2[[#This Row],[Member Type]]="Child",Table2[[#This Row],[Product Option]]="My Value Plus Life &amp; Funeral"),"",
IF(AND(Table2[[#This Row],[Member Type]]="Child",Table2[[#This Row],[Product Option]]="My Value Plus Life &amp; Funeral",_xlfn.XLOOKUP(B572,Table2[Main Member Link ID],Table2[Benefit Name],0)=Lookups!$D$15),"",
IF(AND(OR(Table2[[#This Row],[Member Type]]="Spouse",Table2[[#This Row],[Member Type]]="Child"),Table2[[#This Row],[Product Option]]="My Value Plus Life &amp; Funeral",_xlfn.XLOOKUP(B572,Table2[Main Member Link ID],Table2[Benefit Name],0)&lt;&gt;Lookups!$D$17),
IF(_xlfn.XLOOKUP(B572,Table2[Main Member Link ID],Table2[Benefit Name],0)=0,"",_xlfn.XLOOKUP(B572,Table2[Main Member Link ID],Table2[Benefit Name],0)),""))))))</f>
        <v/>
      </c>
      <c r="AI572" s="328" t="str">
        <f>IF(AND(Table2[[#This Row],[Member Type]]="Main Member",Table2[[#This Row],[Table Lookup for Life Cover]]="MM_LIFE",Table2[[#This Row],[Age Next Birthday]]&lt;56),1,
IF(AND(Table2[[#This Row],[Member Type]]="Main Member",Table2[[#This Row],[Table Lookup for Life Cover]]="MM_LIFE",Table2[[#This Row],[Age Next Birthday]]&gt;=56),2,
""))</f>
        <v/>
      </c>
      <c r="AJ572" s="328">
        <f>IF(OR(Table2[[#This Row],[Member Type]]="Main Member",Table2[[#This Row],[Main Member Link ID]]=B571),1,0)</f>
        <v>1</v>
      </c>
      <c r="AK572" s="328">
        <f>IF(Table2[[#This Row],[Member Type]]=0,0,
IF(OR(Table2[[#This Row],[Member Type]]="Main Member",Table2[[#This Row],[Main Member Link ID]]&lt;&gt;B572),COUNTIFS(B:B,Table2[[#This Row],[Main Member Link ID]]),
COUNTIFS(B:B,Table2[[#This Row],[Main Member Link ID]],A:A,Table2[[#This Row],[Member Type]])))</f>
        <v>0</v>
      </c>
    </row>
    <row r="573" spans="1:37" x14ac:dyDescent="0.3">
      <c r="A573" s="284">
        <f>Table13[[#This Row],[Member Type]]</f>
        <v>0</v>
      </c>
      <c r="B573" s="284">
        <f>Table13[[#This Row],[Main Member Link ID]]</f>
        <v>0</v>
      </c>
      <c r="C573" s="284">
        <f>Table13[[#This Row],[ID Number]]</f>
        <v>0</v>
      </c>
      <c r="D573" s="285">
        <f>Table13[[#This Row],[Date Of Birth]]</f>
        <v>0</v>
      </c>
      <c r="E573" s="285">
        <f>Table13[[#This Row],[Commencement Date]]</f>
        <v>0</v>
      </c>
      <c r="F573" s="284">
        <f t="shared" si="56"/>
        <v>1</v>
      </c>
      <c r="G573" s="284">
        <f t="shared" si="57"/>
        <v>25</v>
      </c>
      <c r="H573" s="286">
        <f>Table13[[#This Row],[Product Option]]</f>
        <v>0</v>
      </c>
      <c r="I573" s="284">
        <f>IF(AND($A573="Main Member",Table2[[#This Row],[Product Option]]="My Value Plus Life"),"MM_LIFE",
IF(AND($A573="Spouse",Table2[[#This Row],[Product Option]]="My Value Plus Life"),"SP_LIFE",
IF(AND($A573="Main Member",Table2[[#This Row],[Product Option]]="My Value Plus Life &amp; Funeral"),"MM_LIFE",
IF(AND($A573="Spouse",Table2[[#This Row],[Product Option]]="My Value Plus Life &amp; Funeral"),_xlfn.XLOOKUP(Table2[[#This Row],[Benefit Name]],Lookups!$D$18:$D$23,Lookups!$E$18:$E$23,0),
0))))</f>
        <v>0</v>
      </c>
      <c r="J573" s="284">
        <f>IF($I573="","",
IF($I573="MM_LIFE",INDEX('Quotation Tool'!$S$54:$V$60,MATCH($T573,'Quotation Tool'!$S$54:$S$60,0),4),
IF($I573="SP_LIFE",_xlfn.XLOOKUP(B572,$B:$B,$J:$J,0),0)))</f>
        <v>0</v>
      </c>
      <c r="K573" s="287">
        <f t="shared" ca="1" si="61"/>
        <v>0</v>
      </c>
      <c r="L573" s="288">
        <f t="shared" ca="1" si="62"/>
        <v>0</v>
      </c>
      <c r="M573" s="289">
        <f t="shared" ca="1" si="58"/>
        <v>0</v>
      </c>
      <c r="N573" s="286">
        <f>Table13[[#This Row],[Benefit Option]]</f>
        <v>0</v>
      </c>
      <c r="O573" s="284">
        <f>IF(OR(Table2[[#This Row],[Member Type]]="Spouse",Table2[[#This Row],[Member Type]]="Child"),0,
IF(_xlfn.XLOOKUP($N573,Lookups!$D$13:$D$27,Lookups!$F$13:$F$27,0)=Table2[[#This Row],[Table Lookup for Life Cover]],0,
_xlfn.XLOOKUP($N573,Lookups!$D$13:$D$27,Lookups!$F$13:$F$27,0)))</f>
        <v>0</v>
      </c>
      <c r="P573" s="284">
        <f>IF(Table2[[#This Row],[Table Lookup for Funeral]]=0,0,IFERROR(INDEX('Quotation Tool'!$S$54:$V$60,MATCH($T573,'Quotation Tool'!$S$54:$S$60,0),3),0))</f>
        <v>0</v>
      </c>
      <c r="Q573" s="288">
        <f ca="1">IF(OR(Table2[[#This Row],[Benefit Name]]="My Value Plus Life - Main Member",Table2[[#This Row],[Benefit Name]]="My Value Plus Life - Spouse"),0,
IFERROR(VLOOKUP($G573,INDIRECT($O573),$P573,FALSE),0))</f>
        <v>0</v>
      </c>
      <c r="R573" s="288">
        <f ca="1">IF(OR(Table2[[#This Row],[Benefit Name]]="My Value Plus Life - Main Member",Table2[[#This Row],[Benefit Name]]="My Value Plus Life - Spouse"),0,
IFERROR(VLOOKUP($G573,INDIRECT($O573),$P573+1,FALSE),0))</f>
        <v>0</v>
      </c>
      <c r="S573" s="289">
        <f t="shared" ca="1" si="59"/>
        <v>0</v>
      </c>
      <c r="T573" s="284" t="str">
        <f>IF(Table13[[#This Row],[Premium Waiver]]="","None",Table13[[#This Row],[Premium Waiver]])</f>
        <v>None</v>
      </c>
      <c r="U573" s="284">
        <f>Table13[[#This Row],[VAPs Options]]</f>
        <v>0</v>
      </c>
      <c r="V573" s="284">
        <f>Table13[[#This Row],[Annual Increase Option]]</f>
        <v>0</v>
      </c>
      <c r="W573" s="290">
        <f>Table13[[#This Row],[Life Cover Amount]]</f>
        <v>0</v>
      </c>
      <c r="X573" s="290">
        <f>Table13[[#This Row],[Funeral Cover Amount]]</f>
        <v>0</v>
      </c>
      <c r="Y57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7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73" s="301">
        <f t="shared" ca="1" si="60"/>
        <v>0</v>
      </c>
      <c r="AB573" s="298"/>
      <c r="AC573" s="326" t="str">
        <f>IF(Table2[[#This Row],[Member Type]]="Main Member",Lookups!$C$13,
IF(Table2[[#This Row],[Member Type]]="Spouse",_xlfn.XLOOKUP(B573,Table2[Main Member Link ID],Table2[Product Option],0),
IF(AND(Table2[[#This Row],[Member Type]]="Child",_xlfn.XLOOKUP(B573,Table2[Main Member Link ID],Table2[Product Option],0)&lt;&gt;"My Value Plus Life"),Lookups!$C$24,
IF(AND(OR(Table2[[#This Row],[Member Type]]="Parent",Table2[[#This Row],[Member Type]]="Extended"),_xlfn.XLOOKUP(B573,Table2[Main Member Link ID],Table2[Product Option],0)&lt;&gt;"My Value Plus Life"),Lookups!$C$26,""))))</f>
        <v/>
      </c>
      <c r="AD573" s="326" t="str">
        <f>IF(Table2[[#This Row],[Member Type]]="Main Member",Lookups!$C$14,"")</f>
        <v/>
      </c>
      <c r="AE57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Funeral",_xlfn.XLOOKUP(B573,Table2[Main Member Link ID],Table2[Benefit Name],0)=Lookups!$D$14),"",
IF(AND(Table2[[#This Row],[Member Type]]="Spouse",Table2[[#This Row],[Product Option]]="My Value Plus Life &amp; Funeral",_xlfn.XLOOKUP(B572,Table2[Main Member Link ID],Table2[Benefit Name],0)=Lookups!$D$15),Lookups!$D$20,
IF(AND(Table2[[#This Row],[Member Type]]="Spouse",Table2[[#This Row],[Product Option]]="My Value Plus Life &amp; Funeral",_xlfn.XLOOKUP(B572,Table2[Main Member Link ID],Table2[Benefit Name],0)=Lookups!$D$16),"",
IF(AND(Table2[[#This Row],[Member Type]]="Spouse",Table2[[#This Row],[Product Option]]="My Value Plus Life &amp; Funeral",_xlfn.XLOOKUP(B572,Table2[Main Member Link ID],Table2[Benefit Name],0)=Lookups!$D$17),Lookups!$D$21,
IF(AND(Table2[[#This Row],[Member Type]]="Child",Table2[[#This Row],[Product Option]]="My Value Plus Life &amp; Funeral",_xlfn.XLOOKUP(B573,Table2[Main Member Link ID],Table2[Benefit Name],0)=Lookups!$D$14),"",
IF(AND(Table2[[#This Row],[Member Type]]="Child",Table2[[#This Row],[Product Option]]="My Value Plus Life &amp; Funeral",_xlfn.XLOOKUP(B573,Table2[Main Member Link ID],Table2[Benefit Name],0)=Lookups!$D$15),"",
IF(AND(Table2[[#This Row],[Member Type]]="Child",Table2[[#This Row],[Product Option]]="My Value Plus Life &amp; Funeral",_xlfn.XLOOKUP(B573,Table2[Main Member Link ID],Table2[Benefit Name],0)=Lookups!$D$16),Lookups!$D$24,
IF(AND(Table2[[#This Row],[Member Type]]="Child",Table2[[#This Row],[Product Option]]="My Value Plus Life &amp; Funeral",_xlfn.XLOOKUP(B573,Table2[Main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Funeral",_xlfn.XLOOKUP(B573,Table2[Main Member Link ID],Table2[Benefit Name],0)&lt;&gt;Lookups!$D$14),
IF(_xlfn.XLOOKUP(B573,Table2[Main Member Link ID],Table2[Benefit Name],0)=0,"",_xlfn.XLOOKUP(B573,Table2[Main Member Link ID],Table2[Benefit Name],0)),"")))))))))))))))</f>
        <v/>
      </c>
      <c r="AF573" s="327" t="str">
        <f>IF(AND(Table2[[#This Row],[Member Type]]="Main Member",Table2[[#This Row],[Product Option]]="My Value Plus Life &amp; Funeral"),Lookups!$D$15,
IF(AND(Table2[[#This Row],[Member Type]]="Spouse",Table2[[#This Row],[Product Option]]="My Value Plus Life &amp; Funeral",_xlfn.XLOOKUP(B573,Table2[Main Member Link ID],Table2[Benefit Name],0)=Lookups!$D$14),"",
IF(AND(Table2[[#This Row],[Member Type]]="Spouse",Table2[[#This Row],[Product Option]]="My Value Plus Life &amp; Funeral",_xlfn.XLOOKUP(B572,Table2[Main Member Link ID],Table2[Benefit Name],0)=Lookups!$D$16),"",
IF(AND(Table2[[#This Row],[Member Type]]="Spouse",Table2[[#This Row],[Product Option]]="My Value Plus Life &amp; Funeral",_xlfn.XLOOKUP(B572,Table2[Main Member Link ID],Table2[Benefit Name],0)=Lookups!$D$15),"",
IF(AND(Table2[[#This Row],[Member Type]]="Spouse",Table2[[#This Row],[Product Option]]="My Value Plus Life &amp; Funeral",_xlfn.XLOOKUP(B572,Table2[Main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Funeral",_xlfn.XLOOKUP(B573,Table2[Main Member Link ID],Table2[Benefit Name],0)&lt;&gt;Lookups!$D$15),
IF(_xlfn.XLOOKUP(B573,Table2[Main Member Link ID],Table2[Benefit Name],0)=0,"",_xlfn.XLOOKUP(B573,Table2[Main Member Link ID],Table2[Benefit Name],0)),"")
))))))</f>
        <v/>
      </c>
      <c r="AG573" s="327" t="str">
        <f>IF(AND(Table2[[#This Row],[Member Type]]="Main Member",Table2[[#This Row],[Product Option]]="My Value Plus Life &amp; Funeral"),Lookups!$D$16,
IF(AND(Table2[[#This Row],[Member Type]]="Spouse",Table2[[#This Row],[Product Option]]="My Value Plus Life &amp; Funeral",_xlfn.XLOOKUP(B573,Table2[Main Member Link ID],Table2[Benefit Name],0)=Lookups!$D$14),"",
IF(AND(Table2[[#This Row],[Member Type]]="Spouse",Table2[[#This Row],[Product Option]]="My Value Plus Life &amp; Funeral",_xlfn.XLOOKUP(B572,Table2[Main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Funeral",_xlfn.XLOOKUP(B573,Table2[Main Member Link ID],Table2[Benefit Name],0)&lt;&gt;Lookups!$D$16),
IF(_xlfn.XLOOKUP(B573,Table2[Main Member Link ID],Table2[Benefit Name],0)=0,"",_xlfn.XLOOKUP(B573,Table2[Main Member Link ID],Table2[Benefit Name],0)),"")
))))</f>
        <v/>
      </c>
      <c r="AH573" s="327" t="str">
        <f>IF(AND(Table2[[#This Row],[Member Type]]="Main Member",Table2[[#This Row],[Product Option]]="My Value Plus Life &amp; Funeral"),Lookups!$D$17,
IF(AND(Table2[[#This Row],[Member Type]]="Spouse",Table2[[#This Row],[Product Option]]="My Value Plus Life &amp; Funeral",_xlfn.XLOOKUP(B573,Table2[Main Member Link ID],Table2[Benefit Name],0)=Lookups!$D$14),"",
IF(AND(Table2[[#This Row],[Member Type]]="Spouse",Table2[[#This Row],[Product Option]]="My Value Plus Life &amp; Funeral",_xlfn.XLOOKUP(B572,Table2[Main Member Link ID],Table2[Benefit Name],0)=Lookups!$D$16),"",
IF(AND(Table2[[#This Row],[Member Type]]="Child",Table2[[#This Row],[Product Option]]="My Value Plus Life &amp; Funeral"),"",
IF(AND(Table2[[#This Row],[Member Type]]="Child",Table2[[#This Row],[Product Option]]="My Value Plus Life &amp; Funeral",_xlfn.XLOOKUP(B573,Table2[Main Member Link ID],Table2[Benefit Name],0)=Lookups!$D$15),"",
IF(AND(OR(Table2[[#This Row],[Member Type]]="Spouse",Table2[[#This Row],[Member Type]]="Child"),Table2[[#This Row],[Product Option]]="My Value Plus Life &amp; Funeral",_xlfn.XLOOKUP(B573,Table2[Main Member Link ID],Table2[Benefit Name],0)&lt;&gt;Lookups!$D$17),
IF(_xlfn.XLOOKUP(B573,Table2[Main Member Link ID],Table2[Benefit Name],0)=0,"",_xlfn.XLOOKUP(B573,Table2[Main Member Link ID],Table2[Benefit Name],0)),""))))))</f>
        <v/>
      </c>
      <c r="AI573" s="328" t="str">
        <f>IF(AND(Table2[[#This Row],[Member Type]]="Main Member",Table2[[#This Row],[Table Lookup for Life Cover]]="MM_LIFE",Table2[[#This Row],[Age Next Birthday]]&lt;56),1,
IF(AND(Table2[[#This Row],[Member Type]]="Main Member",Table2[[#This Row],[Table Lookup for Life Cover]]="MM_LIFE",Table2[[#This Row],[Age Next Birthday]]&gt;=56),2,
""))</f>
        <v/>
      </c>
      <c r="AJ573" s="328">
        <f>IF(OR(Table2[[#This Row],[Member Type]]="Main Member",Table2[[#This Row],[Main Member Link ID]]=B572),1,0)</f>
        <v>1</v>
      </c>
      <c r="AK573" s="328">
        <f>IF(Table2[[#This Row],[Member Type]]=0,0,
IF(OR(Table2[[#This Row],[Member Type]]="Main Member",Table2[[#This Row],[Main Member Link ID]]&lt;&gt;B573),COUNTIFS(B:B,Table2[[#This Row],[Main Member Link ID]]),
COUNTIFS(B:B,Table2[[#This Row],[Main Member Link ID]],A:A,Table2[[#This Row],[Member Type]])))</f>
        <v>0</v>
      </c>
    </row>
    <row r="574" spans="1:37" x14ac:dyDescent="0.3">
      <c r="A574" s="284">
        <f>Table13[[#This Row],[Member Type]]</f>
        <v>0</v>
      </c>
      <c r="B574" s="284">
        <f>Table13[[#This Row],[Main Member Link ID]]</f>
        <v>0</v>
      </c>
      <c r="C574" s="284">
        <f>Table13[[#This Row],[ID Number]]</f>
        <v>0</v>
      </c>
      <c r="D574" s="285">
        <f>Table13[[#This Row],[Date Of Birth]]</f>
        <v>0</v>
      </c>
      <c r="E574" s="285">
        <f>Table13[[#This Row],[Commencement Date]]</f>
        <v>0</v>
      </c>
      <c r="F574" s="284">
        <f t="shared" si="56"/>
        <v>1</v>
      </c>
      <c r="G574" s="284">
        <f t="shared" si="57"/>
        <v>25</v>
      </c>
      <c r="H574" s="286">
        <f>Table13[[#This Row],[Product Option]]</f>
        <v>0</v>
      </c>
      <c r="I574" s="284">
        <f>IF(AND($A574="Main Member",Table2[[#This Row],[Product Option]]="My Value Plus Life"),"MM_LIFE",
IF(AND($A574="Spouse",Table2[[#This Row],[Product Option]]="My Value Plus Life"),"SP_LIFE",
IF(AND($A574="Main Member",Table2[[#This Row],[Product Option]]="My Value Plus Life &amp; Funeral"),"MM_LIFE",
IF(AND($A574="Spouse",Table2[[#This Row],[Product Option]]="My Value Plus Life &amp; Funeral"),_xlfn.XLOOKUP(Table2[[#This Row],[Benefit Name]],Lookups!$D$18:$D$23,Lookups!$E$18:$E$23,0),
0))))</f>
        <v>0</v>
      </c>
      <c r="J574" s="284">
        <f>IF($I574="","",
IF($I574="MM_LIFE",INDEX('Quotation Tool'!$S$54:$V$60,MATCH($T574,'Quotation Tool'!$S$54:$S$60,0),4),
IF($I574="SP_LIFE",_xlfn.XLOOKUP(B573,$B:$B,$J:$J,0),0)))</f>
        <v>0</v>
      </c>
      <c r="K574" s="287">
        <f t="shared" ca="1" si="61"/>
        <v>0</v>
      </c>
      <c r="L574" s="288">
        <f t="shared" ca="1" si="62"/>
        <v>0</v>
      </c>
      <c r="M574" s="289">
        <f t="shared" ca="1" si="58"/>
        <v>0</v>
      </c>
      <c r="N574" s="286">
        <f>Table13[[#This Row],[Benefit Option]]</f>
        <v>0</v>
      </c>
      <c r="O574" s="284">
        <f>IF(OR(Table2[[#This Row],[Member Type]]="Spouse",Table2[[#This Row],[Member Type]]="Child"),0,
IF(_xlfn.XLOOKUP($N574,Lookups!$D$13:$D$27,Lookups!$F$13:$F$27,0)=Table2[[#This Row],[Table Lookup for Life Cover]],0,
_xlfn.XLOOKUP($N574,Lookups!$D$13:$D$27,Lookups!$F$13:$F$27,0)))</f>
        <v>0</v>
      </c>
      <c r="P574" s="284">
        <f>IF(Table2[[#This Row],[Table Lookup for Funeral]]=0,0,IFERROR(INDEX('Quotation Tool'!$S$54:$V$60,MATCH($T574,'Quotation Tool'!$S$54:$S$60,0),3),0))</f>
        <v>0</v>
      </c>
      <c r="Q574" s="288">
        <f ca="1">IF(OR(Table2[[#This Row],[Benefit Name]]="My Value Plus Life - Main Member",Table2[[#This Row],[Benefit Name]]="My Value Plus Life - Spouse"),0,
IFERROR(VLOOKUP($G574,INDIRECT($O574),$P574,FALSE),0))</f>
        <v>0</v>
      </c>
      <c r="R574" s="288">
        <f ca="1">IF(OR(Table2[[#This Row],[Benefit Name]]="My Value Plus Life - Main Member",Table2[[#This Row],[Benefit Name]]="My Value Plus Life - Spouse"),0,
IFERROR(VLOOKUP($G574,INDIRECT($O574),$P574+1,FALSE),0))</f>
        <v>0</v>
      </c>
      <c r="S574" s="289">
        <f t="shared" ca="1" si="59"/>
        <v>0</v>
      </c>
      <c r="T574" s="284" t="str">
        <f>IF(Table13[[#This Row],[Premium Waiver]]="","None",Table13[[#This Row],[Premium Waiver]])</f>
        <v>None</v>
      </c>
      <c r="U574" s="284">
        <f>Table13[[#This Row],[VAPs Options]]</f>
        <v>0</v>
      </c>
      <c r="V574" s="284">
        <f>Table13[[#This Row],[Annual Increase Option]]</f>
        <v>0</v>
      </c>
      <c r="W574" s="290">
        <f>Table13[[#This Row],[Life Cover Amount]]</f>
        <v>0</v>
      </c>
      <c r="X574" s="290">
        <f>Table13[[#This Row],[Funeral Cover Amount]]</f>
        <v>0</v>
      </c>
      <c r="Y57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7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74" s="301">
        <f t="shared" ca="1" si="60"/>
        <v>0</v>
      </c>
      <c r="AB574" s="298"/>
      <c r="AC574" s="326" t="str">
        <f>IF(Table2[[#This Row],[Member Type]]="Main Member",Lookups!$C$13,
IF(Table2[[#This Row],[Member Type]]="Spouse",_xlfn.XLOOKUP(B574,Table2[Main Member Link ID],Table2[Product Option],0),
IF(AND(Table2[[#This Row],[Member Type]]="Child",_xlfn.XLOOKUP(B574,Table2[Main Member Link ID],Table2[Product Option],0)&lt;&gt;"My Value Plus Life"),Lookups!$C$24,
IF(AND(OR(Table2[[#This Row],[Member Type]]="Parent",Table2[[#This Row],[Member Type]]="Extended"),_xlfn.XLOOKUP(B574,Table2[Main Member Link ID],Table2[Product Option],0)&lt;&gt;"My Value Plus Life"),Lookups!$C$26,""))))</f>
        <v/>
      </c>
      <c r="AD574" s="326" t="str">
        <f>IF(Table2[[#This Row],[Member Type]]="Main Member",Lookups!$C$14,"")</f>
        <v/>
      </c>
      <c r="AE57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Funeral",_xlfn.XLOOKUP(B574,Table2[Main Member Link ID],Table2[Benefit Name],0)=Lookups!$D$14),"",
IF(AND(Table2[[#This Row],[Member Type]]="Spouse",Table2[[#This Row],[Product Option]]="My Value Plus Life &amp; Funeral",_xlfn.XLOOKUP(B573,Table2[Main Member Link ID],Table2[Benefit Name],0)=Lookups!$D$15),Lookups!$D$20,
IF(AND(Table2[[#This Row],[Member Type]]="Spouse",Table2[[#This Row],[Product Option]]="My Value Plus Life &amp; Funeral",_xlfn.XLOOKUP(B573,Table2[Main Member Link ID],Table2[Benefit Name],0)=Lookups!$D$16),"",
IF(AND(Table2[[#This Row],[Member Type]]="Spouse",Table2[[#This Row],[Product Option]]="My Value Plus Life &amp; Funeral",_xlfn.XLOOKUP(B573,Table2[Main Member Link ID],Table2[Benefit Name],0)=Lookups!$D$17),Lookups!$D$21,
IF(AND(Table2[[#This Row],[Member Type]]="Child",Table2[[#This Row],[Product Option]]="My Value Plus Life &amp; Funeral",_xlfn.XLOOKUP(B574,Table2[Main Member Link ID],Table2[Benefit Name],0)=Lookups!$D$14),"",
IF(AND(Table2[[#This Row],[Member Type]]="Child",Table2[[#This Row],[Product Option]]="My Value Plus Life &amp; Funeral",_xlfn.XLOOKUP(B574,Table2[Main Member Link ID],Table2[Benefit Name],0)=Lookups!$D$15),"",
IF(AND(Table2[[#This Row],[Member Type]]="Child",Table2[[#This Row],[Product Option]]="My Value Plus Life &amp; Funeral",_xlfn.XLOOKUP(B574,Table2[Main Member Link ID],Table2[Benefit Name],0)=Lookups!$D$16),Lookups!$D$24,
IF(AND(Table2[[#This Row],[Member Type]]="Child",Table2[[#This Row],[Product Option]]="My Value Plus Life &amp; Funeral",_xlfn.XLOOKUP(B574,Table2[Main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Funeral",_xlfn.XLOOKUP(B574,Table2[Main Member Link ID],Table2[Benefit Name],0)&lt;&gt;Lookups!$D$14),
IF(_xlfn.XLOOKUP(B574,Table2[Main Member Link ID],Table2[Benefit Name],0)=0,"",_xlfn.XLOOKUP(B574,Table2[Main Member Link ID],Table2[Benefit Name],0)),"")))))))))))))))</f>
        <v/>
      </c>
      <c r="AF574" s="327" t="str">
        <f>IF(AND(Table2[[#This Row],[Member Type]]="Main Member",Table2[[#This Row],[Product Option]]="My Value Plus Life &amp; Funeral"),Lookups!$D$15,
IF(AND(Table2[[#This Row],[Member Type]]="Spouse",Table2[[#This Row],[Product Option]]="My Value Plus Life &amp; Funeral",_xlfn.XLOOKUP(B574,Table2[Main Member Link ID],Table2[Benefit Name],0)=Lookups!$D$14),"",
IF(AND(Table2[[#This Row],[Member Type]]="Spouse",Table2[[#This Row],[Product Option]]="My Value Plus Life &amp; Funeral",_xlfn.XLOOKUP(B573,Table2[Main Member Link ID],Table2[Benefit Name],0)=Lookups!$D$16),"",
IF(AND(Table2[[#This Row],[Member Type]]="Spouse",Table2[[#This Row],[Product Option]]="My Value Plus Life &amp; Funeral",_xlfn.XLOOKUP(B573,Table2[Main Member Link ID],Table2[Benefit Name],0)=Lookups!$D$15),"",
IF(AND(Table2[[#This Row],[Member Type]]="Spouse",Table2[[#This Row],[Product Option]]="My Value Plus Life &amp; Funeral",_xlfn.XLOOKUP(B573,Table2[Main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Funeral",_xlfn.XLOOKUP(B574,Table2[Main Member Link ID],Table2[Benefit Name],0)&lt;&gt;Lookups!$D$15),
IF(_xlfn.XLOOKUP(B574,Table2[Main Member Link ID],Table2[Benefit Name],0)=0,"",_xlfn.XLOOKUP(B574,Table2[Main Member Link ID],Table2[Benefit Name],0)),"")
))))))</f>
        <v/>
      </c>
      <c r="AG574" s="327" t="str">
        <f>IF(AND(Table2[[#This Row],[Member Type]]="Main Member",Table2[[#This Row],[Product Option]]="My Value Plus Life &amp; Funeral"),Lookups!$D$16,
IF(AND(Table2[[#This Row],[Member Type]]="Spouse",Table2[[#This Row],[Product Option]]="My Value Plus Life &amp; Funeral",_xlfn.XLOOKUP(B574,Table2[Main Member Link ID],Table2[Benefit Name],0)=Lookups!$D$14),"",
IF(AND(Table2[[#This Row],[Member Type]]="Spouse",Table2[[#This Row],[Product Option]]="My Value Plus Life &amp; Funeral",_xlfn.XLOOKUP(B573,Table2[Main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Funeral",_xlfn.XLOOKUP(B574,Table2[Main Member Link ID],Table2[Benefit Name],0)&lt;&gt;Lookups!$D$16),
IF(_xlfn.XLOOKUP(B574,Table2[Main Member Link ID],Table2[Benefit Name],0)=0,"",_xlfn.XLOOKUP(B574,Table2[Main Member Link ID],Table2[Benefit Name],0)),"")
))))</f>
        <v/>
      </c>
      <c r="AH574" s="327" t="str">
        <f>IF(AND(Table2[[#This Row],[Member Type]]="Main Member",Table2[[#This Row],[Product Option]]="My Value Plus Life &amp; Funeral"),Lookups!$D$17,
IF(AND(Table2[[#This Row],[Member Type]]="Spouse",Table2[[#This Row],[Product Option]]="My Value Plus Life &amp; Funeral",_xlfn.XLOOKUP(B574,Table2[Main Member Link ID],Table2[Benefit Name],0)=Lookups!$D$14),"",
IF(AND(Table2[[#This Row],[Member Type]]="Spouse",Table2[[#This Row],[Product Option]]="My Value Plus Life &amp; Funeral",_xlfn.XLOOKUP(B573,Table2[Main Member Link ID],Table2[Benefit Name],0)=Lookups!$D$16),"",
IF(AND(Table2[[#This Row],[Member Type]]="Child",Table2[[#This Row],[Product Option]]="My Value Plus Life &amp; Funeral"),"",
IF(AND(Table2[[#This Row],[Member Type]]="Child",Table2[[#This Row],[Product Option]]="My Value Plus Life &amp; Funeral",_xlfn.XLOOKUP(B574,Table2[Main Member Link ID],Table2[Benefit Name],0)=Lookups!$D$15),"",
IF(AND(OR(Table2[[#This Row],[Member Type]]="Spouse",Table2[[#This Row],[Member Type]]="Child"),Table2[[#This Row],[Product Option]]="My Value Plus Life &amp; Funeral",_xlfn.XLOOKUP(B574,Table2[Main Member Link ID],Table2[Benefit Name],0)&lt;&gt;Lookups!$D$17),
IF(_xlfn.XLOOKUP(B574,Table2[Main Member Link ID],Table2[Benefit Name],0)=0,"",_xlfn.XLOOKUP(B574,Table2[Main Member Link ID],Table2[Benefit Name],0)),""))))))</f>
        <v/>
      </c>
      <c r="AI574" s="328" t="str">
        <f>IF(AND(Table2[[#This Row],[Member Type]]="Main Member",Table2[[#This Row],[Table Lookup for Life Cover]]="MM_LIFE",Table2[[#This Row],[Age Next Birthday]]&lt;56),1,
IF(AND(Table2[[#This Row],[Member Type]]="Main Member",Table2[[#This Row],[Table Lookup for Life Cover]]="MM_LIFE",Table2[[#This Row],[Age Next Birthday]]&gt;=56),2,
""))</f>
        <v/>
      </c>
      <c r="AJ574" s="328">
        <f>IF(OR(Table2[[#This Row],[Member Type]]="Main Member",Table2[[#This Row],[Main Member Link ID]]=B573),1,0)</f>
        <v>1</v>
      </c>
      <c r="AK574" s="328">
        <f>IF(Table2[[#This Row],[Member Type]]=0,0,
IF(OR(Table2[[#This Row],[Member Type]]="Main Member",Table2[[#This Row],[Main Member Link ID]]&lt;&gt;B574),COUNTIFS(B:B,Table2[[#This Row],[Main Member Link ID]]),
COUNTIFS(B:B,Table2[[#This Row],[Main Member Link ID]],A:A,Table2[[#This Row],[Member Type]])))</f>
        <v>0</v>
      </c>
    </row>
    <row r="575" spans="1:37" x14ac:dyDescent="0.3">
      <c r="A575" s="284">
        <f>Table13[[#This Row],[Member Type]]</f>
        <v>0</v>
      </c>
      <c r="B575" s="284">
        <f>Table13[[#This Row],[Main Member Link ID]]</f>
        <v>0</v>
      </c>
      <c r="C575" s="284">
        <f>Table13[[#This Row],[ID Number]]</f>
        <v>0</v>
      </c>
      <c r="D575" s="285">
        <f>Table13[[#This Row],[Date Of Birth]]</f>
        <v>0</v>
      </c>
      <c r="E575" s="285">
        <f>Table13[[#This Row],[Commencement Date]]</f>
        <v>0</v>
      </c>
      <c r="F575" s="284">
        <f t="shared" si="56"/>
        <v>1</v>
      </c>
      <c r="G575" s="284">
        <f t="shared" si="57"/>
        <v>25</v>
      </c>
      <c r="H575" s="286">
        <f>Table13[[#This Row],[Product Option]]</f>
        <v>0</v>
      </c>
      <c r="I575" s="284">
        <f>IF(AND($A575="Main Member",Table2[[#This Row],[Product Option]]="My Value Plus Life"),"MM_LIFE",
IF(AND($A575="Spouse",Table2[[#This Row],[Product Option]]="My Value Plus Life"),"SP_LIFE",
IF(AND($A575="Main Member",Table2[[#This Row],[Product Option]]="My Value Plus Life &amp; Funeral"),"MM_LIFE",
IF(AND($A575="Spouse",Table2[[#This Row],[Product Option]]="My Value Plus Life &amp; Funeral"),_xlfn.XLOOKUP(Table2[[#This Row],[Benefit Name]],Lookups!$D$18:$D$23,Lookups!$E$18:$E$23,0),
0))))</f>
        <v>0</v>
      </c>
      <c r="J575" s="284">
        <f>IF($I575="","",
IF($I575="MM_LIFE",INDEX('Quotation Tool'!$S$54:$V$60,MATCH($T575,'Quotation Tool'!$S$54:$S$60,0),4),
IF($I575="SP_LIFE",_xlfn.XLOOKUP(B574,$B:$B,$J:$J,0),0)))</f>
        <v>0</v>
      </c>
      <c r="K575" s="287">
        <f t="shared" ca="1" si="61"/>
        <v>0</v>
      </c>
      <c r="L575" s="288">
        <f t="shared" ca="1" si="62"/>
        <v>0</v>
      </c>
      <c r="M575" s="289">
        <f t="shared" ca="1" si="58"/>
        <v>0</v>
      </c>
      <c r="N575" s="286">
        <f>Table13[[#This Row],[Benefit Option]]</f>
        <v>0</v>
      </c>
      <c r="O575" s="284">
        <f>IF(OR(Table2[[#This Row],[Member Type]]="Spouse",Table2[[#This Row],[Member Type]]="Child"),0,
IF(_xlfn.XLOOKUP($N575,Lookups!$D$13:$D$27,Lookups!$F$13:$F$27,0)=Table2[[#This Row],[Table Lookup for Life Cover]],0,
_xlfn.XLOOKUP($N575,Lookups!$D$13:$D$27,Lookups!$F$13:$F$27,0)))</f>
        <v>0</v>
      </c>
      <c r="P575" s="284">
        <f>IF(Table2[[#This Row],[Table Lookup for Funeral]]=0,0,IFERROR(INDEX('Quotation Tool'!$S$54:$V$60,MATCH($T575,'Quotation Tool'!$S$54:$S$60,0),3),0))</f>
        <v>0</v>
      </c>
      <c r="Q575" s="288">
        <f ca="1">IF(OR(Table2[[#This Row],[Benefit Name]]="My Value Plus Life - Main Member",Table2[[#This Row],[Benefit Name]]="My Value Plus Life - Spouse"),0,
IFERROR(VLOOKUP($G575,INDIRECT($O575),$P575,FALSE),0))</f>
        <v>0</v>
      </c>
      <c r="R575" s="288">
        <f ca="1">IF(OR(Table2[[#This Row],[Benefit Name]]="My Value Plus Life - Main Member",Table2[[#This Row],[Benefit Name]]="My Value Plus Life - Spouse"),0,
IFERROR(VLOOKUP($G575,INDIRECT($O575),$P575+1,FALSE),0))</f>
        <v>0</v>
      </c>
      <c r="S575" s="289">
        <f t="shared" ca="1" si="59"/>
        <v>0</v>
      </c>
      <c r="T575" s="284" t="str">
        <f>IF(Table13[[#This Row],[Premium Waiver]]="","None",Table13[[#This Row],[Premium Waiver]])</f>
        <v>None</v>
      </c>
      <c r="U575" s="284">
        <f>Table13[[#This Row],[VAPs Options]]</f>
        <v>0</v>
      </c>
      <c r="V575" s="284">
        <f>Table13[[#This Row],[Annual Increase Option]]</f>
        <v>0</v>
      </c>
      <c r="W575" s="290">
        <f>Table13[[#This Row],[Life Cover Amount]]</f>
        <v>0</v>
      </c>
      <c r="X575" s="290">
        <f>Table13[[#This Row],[Funeral Cover Amount]]</f>
        <v>0</v>
      </c>
      <c r="Y57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7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75" s="301">
        <f t="shared" ca="1" si="60"/>
        <v>0</v>
      </c>
      <c r="AB575" s="298"/>
      <c r="AC575" s="326" t="str">
        <f>IF(Table2[[#This Row],[Member Type]]="Main Member",Lookups!$C$13,
IF(Table2[[#This Row],[Member Type]]="Spouse",_xlfn.XLOOKUP(B575,Table2[Main Member Link ID],Table2[Product Option],0),
IF(AND(Table2[[#This Row],[Member Type]]="Child",_xlfn.XLOOKUP(B575,Table2[Main Member Link ID],Table2[Product Option],0)&lt;&gt;"My Value Plus Life"),Lookups!$C$24,
IF(AND(OR(Table2[[#This Row],[Member Type]]="Parent",Table2[[#This Row],[Member Type]]="Extended"),_xlfn.XLOOKUP(B575,Table2[Main Member Link ID],Table2[Product Option],0)&lt;&gt;"My Value Plus Life"),Lookups!$C$26,""))))</f>
        <v/>
      </c>
      <c r="AD575" s="326" t="str">
        <f>IF(Table2[[#This Row],[Member Type]]="Main Member",Lookups!$C$14,"")</f>
        <v/>
      </c>
      <c r="AE57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Funeral",_xlfn.XLOOKUP(B575,Table2[Main Member Link ID],Table2[Benefit Name],0)=Lookups!$D$14),"",
IF(AND(Table2[[#This Row],[Member Type]]="Spouse",Table2[[#This Row],[Product Option]]="My Value Plus Life &amp; Funeral",_xlfn.XLOOKUP(B574,Table2[Main Member Link ID],Table2[Benefit Name],0)=Lookups!$D$15),Lookups!$D$20,
IF(AND(Table2[[#This Row],[Member Type]]="Spouse",Table2[[#This Row],[Product Option]]="My Value Plus Life &amp; Funeral",_xlfn.XLOOKUP(B574,Table2[Main Member Link ID],Table2[Benefit Name],0)=Lookups!$D$16),"",
IF(AND(Table2[[#This Row],[Member Type]]="Spouse",Table2[[#This Row],[Product Option]]="My Value Plus Life &amp; Funeral",_xlfn.XLOOKUP(B574,Table2[Main Member Link ID],Table2[Benefit Name],0)=Lookups!$D$17),Lookups!$D$21,
IF(AND(Table2[[#This Row],[Member Type]]="Child",Table2[[#This Row],[Product Option]]="My Value Plus Life &amp; Funeral",_xlfn.XLOOKUP(B575,Table2[Main Member Link ID],Table2[Benefit Name],0)=Lookups!$D$14),"",
IF(AND(Table2[[#This Row],[Member Type]]="Child",Table2[[#This Row],[Product Option]]="My Value Plus Life &amp; Funeral",_xlfn.XLOOKUP(B575,Table2[Main Member Link ID],Table2[Benefit Name],0)=Lookups!$D$15),"",
IF(AND(Table2[[#This Row],[Member Type]]="Child",Table2[[#This Row],[Product Option]]="My Value Plus Life &amp; Funeral",_xlfn.XLOOKUP(B575,Table2[Main Member Link ID],Table2[Benefit Name],0)=Lookups!$D$16),Lookups!$D$24,
IF(AND(Table2[[#This Row],[Member Type]]="Child",Table2[[#This Row],[Product Option]]="My Value Plus Life &amp; Funeral",_xlfn.XLOOKUP(B575,Table2[Main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Funeral",_xlfn.XLOOKUP(B575,Table2[Main Member Link ID],Table2[Benefit Name],0)&lt;&gt;Lookups!$D$14),
IF(_xlfn.XLOOKUP(B575,Table2[Main Member Link ID],Table2[Benefit Name],0)=0,"",_xlfn.XLOOKUP(B575,Table2[Main Member Link ID],Table2[Benefit Name],0)),"")))))))))))))))</f>
        <v/>
      </c>
      <c r="AF575" s="327" t="str">
        <f>IF(AND(Table2[[#This Row],[Member Type]]="Main Member",Table2[[#This Row],[Product Option]]="My Value Plus Life &amp; Funeral"),Lookups!$D$15,
IF(AND(Table2[[#This Row],[Member Type]]="Spouse",Table2[[#This Row],[Product Option]]="My Value Plus Life &amp; Funeral",_xlfn.XLOOKUP(B575,Table2[Main Member Link ID],Table2[Benefit Name],0)=Lookups!$D$14),"",
IF(AND(Table2[[#This Row],[Member Type]]="Spouse",Table2[[#This Row],[Product Option]]="My Value Plus Life &amp; Funeral",_xlfn.XLOOKUP(B574,Table2[Main Member Link ID],Table2[Benefit Name],0)=Lookups!$D$16),"",
IF(AND(Table2[[#This Row],[Member Type]]="Spouse",Table2[[#This Row],[Product Option]]="My Value Plus Life &amp; Funeral",_xlfn.XLOOKUP(B574,Table2[Main Member Link ID],Table2[Benefit Name],0)=Lookups!$D$15),"",
IF(AND(Table2[[#This Row],[Member Type]]="Spouse",Table2[[#This Row],[Product Option]]="My Value Plus Life &amp; Funeral",_xlfn.XLOOKUP(B574,Table2[Main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Funeral",_xlfn.XLOOKUP(B575,Table2[Main Member Link ID],Table2[Benefit Name],0)&lt;&gt;Lookups!$D$15),
IF(_xlfn.XLOOKUP(B575,Table2[Main Member Link ID],Table2[Benefit Name],0)=0,"",_xlfn.XLOOKUP(B575,Table2[Main Member Link ID],Table2[Benefit Name],0)),"")
))))))</f>
        <v/>
      </c>
      <c r="AG575" s="327" t="str">
        <f>IF(AND(Table2[[#This Row],[Member Type]]="Main Member",Table2[[#This Row],[Product Option]]="My Value Plus Life &amp; Funeral"),Lookups!$D$16,
IF(AND(Table2[[#This Row],[Member Type]]="Spouse",Table2[[#This Row],[Product Option]]="My Value Plus Life &amp; Funeral",_xlfn.XLOOKUP(B575,Table2[Main Member Link ID],Table2[Benefit Name],0)=Lookups!$D$14),"",
IF(AND(Table2[[#This Row],[Member Type]]="Spouse",Table2[[#This Row],[Product Option]]="My Value Plus Life &amp; Funeral",_xlfn.XLOOKUP(B574,Table2[Main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Funeral",_xlfn.XLOOKUP(B575,Table2[Main Member Link ID],Table2[Benefit Name],0)&lt;&gt;Lookups!$D$16),
IF(_xlfn.XLOOKUP(B575,Table2[Main Member Link ID],Table2[Benefit Name],0)=0,"",_xlfn.XLOOKUP(B575,Table2[Main Member Link ID],Table2[Benefit Name],0)),"")
))))</f>
        <v/>
      </c>
      <c r="AH575" s="327" t="str">
        <f>IF(AND(Table2[[#This Row],[Member Type]]="Main Member",Table2[[#This Row],[Product Option]]="My Value Plus Life &amp; Funeral"),Lookups!$D$17,
IF(AND(Table2[[#This Row],[Member Type]]="Spouse",Table2[[#This Row],[Product Option]]="My Value Plus Life &amp; Funeral",_xlfn.XLOOKUP(B575,Table2[Main Member Link ID],Table2[Benefit Name],0)=Lookups!$D$14),"",
IF(AND(Table2[[#This Row],[Member Type]]="Spouse",Table2[[#This Row],[Product Option]]="My Value Plus Life &amp; Funeral",_xlfn.XLOOKUP(B574,Table2[Main Member Link ID],Table2[Benefit Name],0)=Lookups!$D$16),"",
IF(AND(Table2[[#This Row],[Member Type]]="Child",Table2[[#This Row],[Product Option]]="My Value Plus Life &amp; Funeral"),"",
IF(AND(Table2[[#This Row],[Member Type]]="Child",Table2[[#This Row],[Product Option]]="My Value Plus Life &amp; Funeral",_xlfn.XLOOKUP(B575,Table2[Main Member Link ID],Table2[Benefit Name],0)=Lookups!$D$15),"",
IF(AND(OR(Table2[[#This Row],[Member Type]]="Spouse",Table2[[#This Row],[Member Type]]="Child"),Table2[[#This Row],[Product Option]]="My Value Plus Life &amp; Funeral",_xlfn.XLOOKUP(B575,Table2[Main Member Link ID],Table2[Benefit Name],0)&lt;&gt;Lookups!$D$17),
IF(_xlfn.XLOOKUP(B575,Table2[Main Member Link ID],Table2[Benefit Name],0)=0,"",_xlfn.XLOOKUP(B575,Table2[Main Member Link ID],Table2[Benefit Name],0)),""))))))</f>
        <v/>
      </c>
      <c r="AI575" s="328" t="str">
        <f>IF(AND(Table2[[#This Row],[Member Type]]="Main Member",Table2[[#This Row],[Table Lookup for Life Cover]]="MM_LIFE",Table2[[#This Row],[Age Next Birthday]]&lt;56),1,
IF(AND(Table2[[#This Row],[Member Type]]="Main Member",Table2[[#This Row],[Table Lookup for Life Cover]]="MM_LIFE",Table2[[#This Row],[Age Next Birthday]]&gt;=56),2,
""))</f>
        <v/>
      </c>
      <c r="AJ575" s="328">
        <f>IF(OR(Table2[[#This Row],[Member Type]]="Main Member",Table2[[#This Row],[Main Member Link ID]]=B574),1,0)</f>
        <v>1</v>
      </c>
      <c r="AK575" s="328">
        <f>IF(Table2[[#This Row],[Member Type]]=0,0,
IF(OR(Table2[[#This Row],[Member Type]]="Main Member",Table2[[#This Row],[Main Member Link ID]]&lt;&gt;B575),COUNTIFS(B:B,Table2[[#This Row],[Main Member Link ID]]),
COUNTIFS(B:B,Table2[[#This Row],[Main Member Link ID]],A:A,Table2[[#This Row],[Member Type]])))</f>
        <v>0</v>
      </c>
    </row>
    <row r="576" spans="1:37" x14ac:dyDescent="0.3">
      <c r="A576" s="284">
        <f>Table13[[#This Row],[Member Type]]</f>
        <v>0</v>
      </c>
      <c r="B576" s="284">
        <f>Table13[[#This Row],[Main Member Link ID]]</f>
        <v>0</v>
      </c>
      <c r="C576" s="284">
        <f>Table13[[#This Row],[ID Number]]</f>
        <v>0</v>
      </c>
      <c r="D576" s="285">
        <f>Table13[[#This Row],[Date Of Birth]]</f>
        <v>0</v>
      </c>
      <c r="E576" s="285">
        <f>Table13[[#This Row],[Commencement Date]]</f>
        <v>0</v>
      </c>
      <c r="F576" s="284">
        <f t="shared" si="56"/>
        <v>1</v>
      </c>
      <c r="G576" s="284">
        <f t="shared" si="57"/>
        <v>25</v>
      </c>
      <c r="H576" s="286">
        <f>Table13[[#This Row],[Product Option]]</f>
        <v>0</v>
      </c>
      <c r="I576" s="284">
        <f>IF(AND($A576="Main Member",Table2[[#This Row],[Product Option]]="My Value Plus Life"),"MM_LIFE",
IF(AND($A576="Spouse",Table2[[#This Row],[Product Option]]="My Value Plus Life"),"SP_LIFE",
IF(AND($A576="Main Member",Table2[[#This Row],[Product Option]]="My Value Plus Life &amp; Funeral"),"MM_LIFE",
IF(AND($A576="Spouse",Table2[[#This Row],[Product Option]]="My Value Plus Life &amp; Funeral"),_xlfn.XLOOKUP(Table2[[#This Row],[Benefit Name]],Lookups!$D$18:$D$23,Lookups!$E$18:$E$23,0),
0))))</f>
        <v>0</v>
      </c>
      <c r="J576" s="284">
        <f>IF($I576="","",
IF($I576="MM_LIFE",INDEX('Quotation Tool'!$S$54:$V$60,MATCH($T576,'Quotation Tool'!$S$54:$S$60,0),4),
IF($I576="SP_LIFE",_xlfn.XLOOKUP(B575,$B:$B,$J:$J,0),0)))</f>
        <v>0</v>
      </c>
      <c r="K576" s="287">
        <f t="shared" ca="1" si="61"/>
        <v>0</v>
      </c>
      <c r="L576" s="288">
        <f t="shared" ca="1" si="62"/>
        <v>0</v>
      </c>
      <c r="M576" s="289">
        <f t="shared" ca="1" si="58"/>
        <v>0</v>
      </c>
      <c r="N576" s="286">
        <f>Table13[[#This Row],[Benefit Option]]</f>
        <v>0</v>
      </c>
      <c r="O576" s="284">
        <f>IF(OR(Table2[[#This Row],[Member Type]]="Spouse",Table2[[#This Row],[Member Type]]="Child"),0,
IF(_xlfn.XLOOKUP($N576,Lookups!$D$13:$D$27,Lookups!$F$13:$F$27,0)=Table2[[#This Row],[Table Lookup for Life Cover]],0,
_xlfn.XLOOKUP($N576,Lookups!$D$13:$D$27,Lookups!$F$13:$F$27,0)))</f>
        <v>0</v>
      </c>
      <c r="P576" s="284">
        <f>IF(Table2[[#This Row],[Table Lookup for Funeral]]=0,0,IFERROR(INDEX('Quotation Tool'!$S$54:$V$60,MATCH($T576,'Quotation Tool'!$S$54:$S$60,0),3),0))</f>
        <v>0</v>
      </c>
      <c r="Q576" s="288">
        <f ca="1">IF(OR(Table2[[#This Row],[Benefit Name]]="My Value Plus Life - Main Member",Table2[[#This Row],[Benefit Name]]="My Value Plus Life - Spouse"),0,
IFERROR(VLOOKUP($G576,INDIRECT($O576),$P576,FALSE),0))</f>
        <v>0</v>
      </c>
      <c r="R576" s="288">
        <f ca="1">IF(OR(Table2[[#This Row],[Benefit Name]]="My Value Plus Life - Main Member",Table2[[#This Row],[Benefit Name]]="My Value Plus Life - Spouse"),0,
IFERROR(VLOOKUP($G576,INDIRECT($O576),$P576+1,FALSE),0))</f>
        <v>0</v>
      </c>
      <c r="S576" s="289">
        <f t="shared" ca="1" si="59"/>
        <v>0</v>
      </c>
      <c r="T576" s="284" t="str">
        <f>IF(Table13[[#This Row],[Premium Waiver]]="","None",Table13[[#This Row],[Premium Waiver]])</f>
        <v>None</v>
      </c>
      <c r="U576" s="284">
        <f>Table13[[#This Row],[VAPs Options]]</f>
        <v>0</v>
      </c>
      <c r="V576" s="284">
        <f>Table13[[#This Row],[Annual Increase Option]]</f>
        <v>0</v>
      </c>
      <c r="W576" s="290">
        <f>Table13[[#This Row],[Life Cover Amount]]</f>
        <v>0</v>
      </c>
      <c r="X576" s="290">
        <f>Table13[[#This Row],[Funeral Cover Amount]]</f>
        <v>0</v>
      </c>
      <c r="Y57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7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76" s="301">
        <f t="shared" ca="1" si="60"/>
        <v>0</v>
      </c>
      <c r="AB576" s="298"/>
      <c r="AC576" s="326" t="str">
        <f>IF(Table2[[#This Row],[Member Type]]="Main Member",Lookups!$C$13,
IF(Table2[[#This Row],[Member Type]]="Spouse",_xlfn.XLOOKUP(B576,Table2[Main Member Link ID],Table2[Product Option],0),
IF(AND(Table2[[#This Row],[Member Type]]="Child",_xlfn.XLOOKUP(B576,Table2[Main Member Link ID],Table2[Product Option],0)&lt;&gt;"My Value Plus Life"),Lookups!$C$24,
IF(AND(OR(Table2[[#This Row],[Member Type]]="Parent",Table2[[#This Row],[Member Type]]="Extended"),_xlfn.XLOOKUP(B576,Table2[Main Member Link ID],Table2[Product Option],0)&lt;&gt;"My Value Plus Life"),Lookups!$C$26,""))))</f>
        <v/>
      </c>
      <c r="AD576" s="326" t="str">
        <f>IF(Table2[[#This Row],[Member Type]]="Main Member",Lookups!$C$14,"")</f>
        <v/>
      </c>
      <c r="AE57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Funeral",_xlfn.XLOOKUP(B576,Table2[Main Member Link ID],Table2[Benefit Name],0)=Lookups!$D$14),"",
IF(AND(Table2[[#This Row],[Member Type]]="Spouse",Table2[[#This Row],[Product Option]]="My Value Plus Life &amp; Funeral",_xlfn.XLOOKUP(B575,Table2[Main Member Link ID],Table2[Benefit Name],0)=Lookups!$D$15),Lookups!$D$20,
IF(AND(Table2[[#This Row],[Member Type]]="Spouse",Table2[[#This Row],[Product Option]]="My Value Plus Life &amp; Funeral",_xlfn.XLOOKUP(B575,Table2[Main Member Link ID],Table2[Benefit Name],0)=Lookups!$D$16),"",
IF(AND(Table2[[#This Row],[Member Type]]="Spouse",Table2[[#This Row],[Product Option]]="My Value Plus Life &amp; Funeral",_xlfn.XLOOKUP(B575,Table2[Main Member Link ID],Table2[Benefit Name],0)=Lookups!$D$17),Lookups!$D$21,
IF(AND(Table2[[#This Row],[Member Type]]="Child",Table2[[#This Row],[Product Option]]="My Value Plus Life &amp; Funeral",_xlfn.XLOOKUP(B576,Table2[Main Member Link ID],Table2[Benefit Name],0)=Lookups!$D$14),"",
IF(AND(Table2[[#This Row],[Member Type]]="Child",Table2[[#This Row],[Product Option]]="My Value Plus Life &amp; Funeral",_xlfn.XLOOKUP(B576,Table2[Main Member Link ID],Table2[Benefit Name],0)=Lookups!$D$15),"",
IF(AND(Table2[[#This Row],[Member Type]]="Child",Table2[[#This Row],[Product Option]]="My Value Plus Life &amp; Funeral",_xlfn.XLOOKUP(B576,Table2[Main Member Link ID],Table2[Benefit Name],0)=Lookups!$D$16),Lookups!$D$24,
IF(AND(Table2[[#This Row],[Member Type]]="Child",Table2[[#This Row],[Product Option]]="My Value Plus Life &amp; Funeral",_xlfn.XLOOKUP(B576,Table2[Main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Funeral",_xlfn.XLOOKUP(B576,Table2[Main Member Link ID],Table2[Benefit Name],0)&lt;&gt;Lookups!$D$14),
IF(_xlfn.XLOOKUP(B576,Table2[Main Member Link ID],Table2[Benefit Name],0)=0,"",_xlfn.XLOOKUP(B576,Table2[Main Member Link ID],Table2[Benefit Name],0)),"")))))))))))))))</f>
        <v/>
      </c>
      <c r="AF576" s="327" t="str">
        <f>IF(AND(Table2[[#This Row],[Member Type]]="Main Member",Table2[[#This Row],[Product Option]]="My Value Plus Life &amp; Funeral"),Lookups!$D$15,
IF(AND(Table2[[#This Row],[Member Type]]="Spouse",Table2[[#This Row],[Product Option]]="My Value Plus Life &amp; Funeral",_xlfn.XLOOKUP(B576,Table2[Main Member Link ID],Table2[Benefit Name],0)=Lookups!$D$14),"",
IF(AND(Table2[[#This Row],[Member Type]]="Spouse",Table2[[#This Row],[Product Option]]="My Value Plus Life &amp; Funeral",_xlfn.XLOOKUP(B575,Table2[Main Member Link ID],Table2[Benefit Name],0)=Lookups!$D$16),"",
IF(AND(Table2[[#This Row],[Member Type]]="Spouse",Table2[[#This Row],[Product Option]]="My Value Plus Life &amp; Funeral",_xlfn.XLOOKUP(B575,Table2[Main Member Link ID],Table2[Benefit Name],0)=Lookups!$D$15),"",
IF(AND(Table2[[#This Row],[Member Type]]="Spouse",Table2[[#This Row],[Product Option]]="My Value Plus Life &amp; Funeral",_xlfn.XLOOKUP(B575,Table2[Main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Funeral",_xlfn.XLOOKUP(B576,Table2[Main Member Link ID],Table2[Benefit Name],0)&lt;&gt;Lookups!$D$15),
IF(_xlfn.XLOOKUP(B576,Table2[Main Member Link ID],Table2[Benefit Name],0)=0,"",_xlfn.XLOOKUP(B576,Table2[Main Member Link ID],Table2[Benefit Name],0)),"")
))))))</f>
        <v/>
      </c>
      <c r="AG576" s="327" t="str">
        <f>IF(AND(Table2[[#This Row],[Member Type]]="Main Member",Table2[[#This Row],[Product Option]]="My Value Plus Life &amp; Funeral"),Lookups!$D$16,
IF(AND(Table2[[#This Row],[Member Type]]="Spouse",Table2[[#This Row],[Product Option]]="My Value Plus Life &amp; Funeral",_xlfn.XLOOKUP(B576,Table2[Main Member Link ID],Table2[Benefit Name],0)=Lookups!$D$14),"",
IF(AND(Table2[[#This Row],[Member Type]]="Spouse",Table2[[#This Row],[Product Option]]="My Value Plus Life &amp; Funeral",_xlfn.XLOOKUP(B575,Table2[Main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Funeral",_xlfn.XLOOKUP(B576,Table2[Main Member Link ID],Table2[Benefit Name],0)&lt;&gt;Lookups!$D$16),
IF(_xlfn.XLOOKUP(B576,Table2[Main Member Link ID],Table2[Benefit Name],0)=0,"",_xlfn.XLOOKUP(B576,Table2[Main Member Link ID],Table2[Benefit Name],0)),"")
))))</f>
        <v/>
      </c>
      <c r="AH576" s="327" t="str">
        <f>IF(AND(Table2[[#This Row],[Member Type]]="Main Member",Table2[[#This Row],[Product Option]]="My Value Plus Life &amp; Funeral"),Lookups!$D$17,
IF(AND(Table2[[#This Row],[Member Type]]="Spouse",Table2[[#This Row],[Product Option]]="My Value Plus Life &amp; Funeral",_xlfn.XLOOKUP(B576,Table2[Main Member Link ID],Table2[Benefit Name],0)=Lookups!$D$14),"",
IF(AND(Table2[[#This Row],[Member Type]]="Spouse",Table2[[#This Row],[Product Option]]="My Value Plus Life &amp; Funeral",_xlfn.XLOOKUP(B575,Table2[Main Member Link ID],Table2[Benefit Name],0)=Lookups!$D$16),"",
IF(AND(Table2[[#This Row],[Member Type]]="Child",Table2[[#This Row],[Product Option]]="My Value Plus Life &amp; Funeral"),"",
IF(AND(Table2[[#This Row],[Member Type]]="Child",Table2[[#This Row],[Product Option]]="My Value Plus Life &amp; Funeral",_xlfn.XLOOKUP(B576,Table2[Main Member Link ID],Table2[Benefit Name],0)=Lookups!$D$15),"",
IF(AND(OR(Table2[[#This Row],[Member Type]]="Spouse",Table2[[#This Row],[Member Type]]="Child"),Table2[[#This Row],[Product Option]]="My Value Plus Life &amp; Funeral",_xlfn.XLOOKUP(B576,Table2[Main Member Link ID],Table2[Benefit Name],0)&lt;&gt;Lookups!$D$17),
IF(_xlfn.XLOOKUP(B576,Table2[Main Member Link ID],Table2[Benefit Name],0)=0,"",_xlfn.XLOOKUP(B576,Table2[Main Member Link ID],Table2[Benefit Name],0)),""))))))</f>
        <v/>
      </c>
      <c r="AI576" s="328" t="str">
        <f>IF(AND(Table2[[#This Row],[Member Type]]="Main Member",Table2[[#This Row],[Table Lookup for Life Cover]]="MM_LIFE",Table2[[#This Row],[Age Next Birthday]]&lt;56),1,
IF(AND(Table2[[#This Row],[Member Type]]="Main Member",Table2[[#This Row],[Table Lookup for Life Cover]]="MM_LIFE",Table2[[#This Row],[Age Next Birthday]]&gt;=56),2,
""))</f>
        <v/>
      </c>
      <c r="AJ576" s="328">
        <f>IF(OR(Table2[[#This Row],[Member Type]]="Main Member",Table2[[#This Row],[Main Member Link ID]]=B575),1,0)</f>
        <v>1</v>
      </c>
      <c r="AK576" s="328">
        <f>IF(Table2[[#This Row],[Member Type]]=0,0,
IF(OR(Table2[[#This Row],[Member Type]]="Main Member",Table2[[#This Row],[Main Member Link ID]]&lt;&gt;B576),COUNTIFS(B:B,Table2[[#This Row],[Main Member Link ID]]),
COUNTIFS(B:B,Table2[[#This Row],[Main Member Link ID]],A:A,Table2[[#This Row],[Member Type]])))</f>
        <v>0</v>
      </c>
    </row>
    <row r="577" spans="1:37" x14ac:dyDescent="0.3">
      <c r="A577" s="284">
        <f>Table13[[#This Row],[Member Type]]</f>
        <v>0</v>
      </c>
      <c r="B577" s="284">
        <f>Table13[[#This Row],[Main Member Link ID]]</f>
        <v>0</v>
      </c>
      <c r="C577" s="284">
        <f>Table13[[#This Row],[ID Number]]</f>
        <v>0</v>
      </c>
      <c r="D577" s="285">
        <f>Table13[[#This Row],[Date Of Birth]]</f>
        <v>0</v>
      </c>
      <c r="E577" s="285">
        <f>Table13[[#This Row],[Commencement Date]]</f>
        <v>0</v>
      </c>
      <c r="F577" s="284">
        <f t="shared" si="56"/>
        <v>1</v>
      </c>
      <c r="G577" s="284">
        <f t="shared" si="57"/>
        <v>25</v>
      </c>
      <c r="H577" s="286">
        <f>Table13[[#This Row],[Product Option]]</f>
        <v>0</v>
      </c>
      <c r="I577" s="284">
        <f>IF(AND($A577="Main Member",Table2[[#This Row],[Product Option]]="My Value Plus Life"),"MM_LIFE",
IF(AND($A577="Spouse",Table2[[#This Row],[Product Option]]="My Value Plus Life"),"SP_LIFE",
IF(AND($A577="Main Member",Table2[[#This Row],[Product Option]]="My Value Plus Life &amp; Funeral"),"MM_LIFE",
IF(AND($A577="Spouse",Table2[[#This Row],[Product Option]]="My Value Plus Life &amp; Funeral"),_xlfn.XLOOKUP(Table2[[#This Row],[Benefit Name]],Lookups!$D$18:$D$23,Lookups!$E$18:$E$23,0),
0))))</f>
        <v>0</v>
      </c>
      <c r="J577" s="284">
        <f>IF($I577="","",
IF($I577="MM_LIFE",INDEX('Quotation Tool'!$S$54:$V$60,MATCH($T577,'Quotation Tool'!$S$54:$S$60,0),4),
IF($I577="SP_LIFE",_xlfn.XLOOKUP(B576,$B:$B,$J:$J,0),0)))</f>
        <v>0</v>
      </c>
      <c r="K577" s="287">
        <f t="shared" ca="1" si="61"/>
        <v>0</v>
      </c>
      <c r="L577" s="288">
        <f t="shared" ca="1" si="62"/>
        <v>0</v>
      </c>
      <c r="M577" s="289">
        <f t="shared" ca="1" si="58"/>
        <v>0</v>
      </c>
      <c r="N577" s="286">
        <f>Table13[[#This Row],[Benefit Option]]</f>
        <v>0</v>
      </c>
      <c r="O577" s="284">
        <f>IF(OR(Table2[[#This Row],[Member Type]]="Spouse",Table2[[#This Row],[Member Type]]="Child"),0,
IF(_xlfn.XLOOKUP($N577,Lookups!$D$13:$D$27,Lookups!$F$13:$F$27,0)=Table2[[#This Row],[Table Lookup for Life Cover]],0,
_xlfn.XLOOKUP($N577,Lookups!$D$13:$D$27,Lookups!$F$13:$F$27,0)))</f>
        <v>0</v>
      </c>
      <c r="P577" s="284">
        <f>IF(Table2[[#This Row],[Table Lookup for Funeral]]=0,0,IFERROR(INDEX('Quotation Tool'!$S$54:$V$60,MATCH($T577,'Quotation Tool'!$S$54:$S$60,0),3),0))</f>
        <v>0</v>
      </c>
      <c r="Q577" s="288">
        <f ca="1">IF(OR(Table2[[#This Row],[Benefit Name]]="My Value Plus Life - Main Member",Table2[[#This Row],[Benefit Name]]="My Value Plus Life - Spouse"),0,
IFERROR(VLOOKUP($G577,INDIRECT($O577),$P577,FALSE),0))</f>
        <v>0</v>
      </c>
      <c r="R577" s="288">
        <f ca="1">IF(OR(Table2[[#This Row],[Benefit Name]]="My Value Plus Life - Main Member",Table2[[#This Row],[Benefit Name]]="My Value Plus Life - Spouse"),0,
IFERROR(VLOOKUP($G577,INDIRECT($O577),$P577+1,FALSE),0))</f>
        <v>0</v>
      </c>
      <c r="S577" s="289">
        <f t="shared" ca="1" si="59"/>
        <v>0</v>
      </c>
      <c r="T577" s="284" t="str">
        <f>IF(Table13[[#This Row],[Premium Waiver]]="","None",Table13[[#This Row],[Premium Waiver]])</f>
        <v>None</v>
      </c>
      <c r="U577" s="284">
        <f>Table13[[#This Row],[VAPs Options]]</f>
        <v>0</v>
      </c>
      <c r="V577" s="284">
        <f>Table13[[#This Row],[Annual Increase Option]]</f>
        <v>0</v>
      </c>
      <c r="W577" s="290">
        <f>Table13[[#This Row],[Life Cover Amount]]</f>
        <v>0</v>
      </c>
      <c r="X577" s="290">
        <f>Table13[[#This Row],[Funeral Cover Amount]]</f>
        <v>0</v>
      </c>
      <c r="Y57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7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77" s="301">
        <f t="shared" ca="1" si="60"/>
        <v>0</v>
      </c>
      <c r="AB577" s="298"/>
      <c r="AC577" s="326" t="str">
        <f>IF(Table2[[#This Row],[Member Type]]="Main Member",Lookups!$C$13,
IF(Table2[[#This Row],[Member Type]]="Spouse",_xlfn.XLOOKUP(B577,Table2[Main Member Link ID],Table2[Product Option],0),
IF(AND(Table2[[#This Row],[Member Type]]="Child",_xlfn.XLOOKUP(B577,Table2[Main Member Link ID],Table2[Product Option],0)&lt;&gt;"My Value Plus Life"),Lookups!$C$24,
IF(AND(OR(Table2[[#This Row],[Member Type]]="Parent",Table2[[#This Row],[Member Type]]="Extended"),_xlfn.XLOOKUP(B577,Table2[Main Member Link ID],Table2[Product Option],0)&lt;&gt;"My Value Plus Life"),Lookups!$C$26,""))))</f>
        <v/>
      </c>
      <c r="AD577" s="326" t="str">
        <f>IF(Table2[[#This Row],[Member Type]]="Main Member",Lookups!$C$14,"")</f>
        <v/>
      </c>
      <c r="AE57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Funeral",_xlfn.XLOOKUP(B577,Table2[Main Member Link ID],Table2[Benefit Name],0)=Lookups!$D$14),"",
IF(AND(Table2[[#This Row],[Member Type]]="Spouse",Table2[[#This Row],[Product Option]]="My Value Plus Life &amp; Funeral",_xlfn.XLOOKUP(B576,Table2[Main Member Link ID],Table2[Benefit Name],0)=Lookups!$D$15),Lookups!$D$20,
IF(AND(Table2[[#This Row],[Member Type]]="Spouse",Table2[[#This Row],[Product Option]]="My Value Plus Life &amp; Funeral",_xlfn.XLOOKUP(B576,Table2[Main Member Link ID],Table2[Benefit Name],0)=Lookups!$D$16),"",
IF(AND(Table2[[#This Row],[Member Type]]="Spouse",Table2[[#This Row],[Product Option]]="My Value Plus Life &amp; Funeral",_xlfn.XLOOKUP(B576,Table2[Main Member Link ID],Table2[Benefit Name],0)=Lookups!$D$17),Lookups!$D$21,
IF(AND(Table2[[#This Row],[Member Type]]="Child",Table2[[#This Row],[Product Option]]="My Value Plus Life &amp; Funeral",_xlfn.XLOOKUP(B577,Table2[Main Member Link ID],Table2[Benefit Name],0)=Lookups!$D$14),"",
IF(AND(Table2[[#This Row],[Member Type]]="Child",Table2[[#This Row],[Product Option]]="My Value Plus Life &amp; Funeral",_xlfn.XLOOKUP(B577,Table2[Main Member Link ID],Table2[Benefit Name],0)=Lookups!$D$15),"",
IF(AND(Table2[[#This Row],[Member Type]]="Child",Table2[[#This Row],[Product Option]]="My Value Plus Life &amp; Funeral",_xlfn.XLOOKUP(B577,Table2[Main Member Link ID],Table2[Benefit Name],0)=Lookups!$D$16),Lookups!$D$24,
IF(AND(Table2[[#This Row],[Member Type]]="Child",Table2[[#This Row],[Product Option]]="My Value Plus Life &amp; Funeral",_xlfn.XLOOKUP(B577,Table2[Main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Funeral",_xlfn.XLOOKUP(B577,Table2[Main Member Link ID],Table2[Benefit Name],0)&lt;&gt;Lookups!$D$14),
IF(_xlfn.XLOOKUP(B577,Table2[Main Member Link ID],Table2[Benefit Name],0)=0,"",_xlfn.XLOOKUP(B577,Table2[Main Member Link ID],Table2[Benefit Name],0)),"")))))))))))))))</f>
        <v/>
      </c>
      <c r="AF577" s="327" t="str">
        <f>IF(AND(Table2[[#This Row],[Member Type]]="Main Member",Table2[[#This Row],[Product Option]]="My Value Plus Life &amp; Funeral"),Lookups!$D$15,
IF(AND(Table2[[#This Row],[Member Type]]="Spouse",Table2[[#This Row],[Product Option]]="My Value Plus Life &amp; Funeral",_xlfn.XLOOKUP(B577,Table2[Main Member Link ID],Table2[Benefit Name],0)=Lookups!$D$14),"",
IF(AND(Table2[[#This Row],[Member Type]]="Spouse",Table2[[#This Row],[Product Option]]="My Value Plus Life &amp; Funeral",_xlfn.XLOOKUP(B576,Table2[Main Member Link ID],Table2[Benefit Name],0)=Lookups!$D$16),"",
IF(AND(Table2[[#This Row],[Member Type]]="Spouse",Table2[[#This Row],[Product Option]]="My Value Plus Life &amp; Funeral",_xlfn.XLOOKUP(B576,Table2[Main Member Link ID],Table2[Benefit Name],0)=Lookups!$D$15),"",
IF(AND(Table2[[#This Row],[Member Type]]="Spouse",Table2[[#This Row],[Product Option]]="My Value Plus Life &amp; Funeral",_xlfn.XLOOKUP(B576,Table2[Main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Funeral",_xlfn.XLOOKUP(B577,Table2[Main Member Link ID],Table2[Benefit Name],0)&lt;&gt;Lookups!$D$15),
IF(_xlfn.XLOOKUP(B577,Table2[Main Member Link ID],Table2[Benefit Name],0)=0,"",_xlfn.XLOOKUP(B577,Table2[Main Member Link ID],Table2[Benefit Name],0)),"")
))))))</f>
        <v/>
      </c>
      <c r="AG577" s="327" t="str">
        <f>IF(AND(Table2[[#This Row],[Member Type]]="Main Member",Table2[[#This Row],[Product Option]]="My Value Plus Life &amp; Funeral"),Lookups!$D$16,
IF(AND(Table2[[#This Row],[Member Type]]="Spouse",Table2[[#This Row],[Product Option]]="My Value Plus Life &amp; Funeral",_xlfn.XLOOKUP(B577,Table2[Main Member Link ID],Table2[Benefit Name],0)=Lookups!$D$14),"",
IF(AND(Table2[[#This Row],[Member Type]]="Spouse",Table2[[#This Row],[Product Option]]="My Value Plus Life &amp; Funeral",_xlfn.XLOOKUP(B576,Table2[Main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Funeral",_xlfn.XLOOKUP(B577,Table2[Main Member Link ID],Table2[Benefit Name],0)&lt;&gt;Lookups!$D$16),
IF(_xlfn.XLOOKUP(B577,Table2[Main Member Link ID],Table2[Benefit Name],0)=0,"",_xlfn.XLOOKUP(B577,Table2[Main Member Link ID],Table2[Benefit Name],0)),"")
))))</f>
        <v/>
      </c>
      <c r="AH577" s="327" t="str">
        <f>IF(AND(Table2[[#This Row],[Member Type]]="Main Member",Table2[[#This Row],[Product Option]]="My Value Plus Life &amp; Funeral"),Lookups!$D$17,
IF(AND(Table2[[#This Row],[Member Type]]="Spouse",Table2[[#This Row],[Product Option]]="My Value Plus Life &amp; Funeral",_xlfn.XLOOKUP(B577,Table2[Main Member Link ID],Table2[Benefit Name],0)=Lookups!$D$14),"",
IF(AND(Table2[[#This Row],[Member Type]]="Spouse",Table2[[#This Row],[Product Option]]="My Value Plus Life &amp; Funeral",_xlfn.XLOOKUP(B576,Table2[Main Member Link ID],Table2[Benefit Name],0)=Lookups!$D$16),"",
IF(AND(Table2[[#This Row],[Member Type]]="Child",Table2[[#This Row],[Product Option]]="My Value Plus Life &amp; Funeral"),"",
IF(AND(Table2[[#This Row],[Member Type]]="Child",Table2[[#This Row],[Product Option]]="My Value Plus Life &amp; Funeral",_xlfn.XLOOKUP(B577,Table2[Main Member Link ID],Table2[Benefit Name],0)=Lookups!$D$15),"",
IF(AND(OR(Table2[[#This Row],[Member Type]]="Spouse",Table2[[#This Row],[Member Type]]="Child"),Table2[[#This Row],[Product Option]]="My Value Plus Life &amp; Funeral",_xlfn.XLOOKUP(B577,Table2[Main Member Link ID],Table2[Benefit Name],0)&lt;&gt;Lookups!$D$17),
IF(_xlfn.XLOOKUP(B577,Table2[Main Member Link ID],Table2[Benefit Name],0)=0,"",_xlfn.XLOOKUP(B577,Table2[Main Member Link ID],Table2[Benefit Name],0)),""))))))</f>
        <v/>
      </c>
      <c r="AI577" s="328" t="str">
        <f>IF(AND(Table2[[#This Row],[Member Type]]="Main Member",Table2[[#This Row],[Table Lookup for Life Cover]]="MM_LIFE",Table2[[#This Row],[Age Next Birthday]]&lt;56),1,
IF(AND(Table2[[#This Row],[Member Type]]="Main Member",Table2[[#This Row],[Table Lookup for Life Cover]]="MM_LIFE",Table2[[#This Row],[Age Next Birthday]]&gt;=56),2,
""))</f>
        <v/>
      </c>
      <c r="AJ577" s="328">
        <f>IF(OR(Table2[[#This Row],[Member Type]]="Main Member",Table2[[#This Row],[Main Member Link ID]]=B576),1,0)</f>
        <v>1</v>
      </c>
      <c r="AK577" s="328">
        <f>IF(Table2[[#This Row],[Member Type]]=0,0,
IF(OR(Table2[[#This Row],[Member Type]]="Main Member",Table2[[#This Row],[Main Member Link ID]]&lt;&gt;B577),COUNTIFS(B:B,Table2[[#This Row],[Main Member Link ID]]),
COUNTIFS(B:B,Table2[[#This Row],[Main Member Link ID]],A:A,Table2[[#This Row],[Member Type]])))</f>
        <v>0</v>
      </c>
    </row>
    <row r="578" spans="1:37" x14ac:dyDescent="0.3">
      <c r="A578" s="284">
        <f>Table13[[#This Row],[Member Type]]</f>
        <v>0</v>
      </c>
      <c r="B578" s="284">
        <f>Table13[[#This Row],[Main Member Link ID]]</f>
        <v>0</v>
      </c>
      <c r="C578" s="284">
        <f>Table13[[#This Row],[ID Number]]</f>
        <v>0</v>
      </c>
      <c r="D578" s="285">
        <f>Table13[[#This Row],[Date Of Birth]]</f>
        <v>0</v>
      </c>
      <c r="E578" s="285">
        <f>Table13[[#This Row],[Commencement Date]]</f>
        <v>0</v>
      </c>
      <c r="F578" s="284">
        <f t="shared" si="56"/>
        <v>1</v>
      </c>
      <c r="G578" s="284">
        <f t="shared" si="57"/>
        <v>25</v>
      </c>
      <c r="H578" s="286">
        <f>Table13[[#This Row],[Product Option]]</f>
        <v>0</v>
      </c>
      <c r="I578" s="284">
        <f>IF(AND($A578="Main Member",Table2[[#This Row],[Product Option]]="My Value Plus Life"),"MM_LIFE",
IF(AND($A578="Spouse",Table2[[#This Row],[Product Option]]="My Value Plus Life"),"SP_LIFE",
IF(AND($A578="Main Member",Table2[[#This Row],[Product Option]]="My Value Plus Life &amp; Funeral"),"MM_LIFE",
IF(AND($A578="Spouse",Table2[[#This Row],[Product Option]]="My Value Plus Life &amp; Funeral"),_xlfn.XLOOKUP(Table2[[#This Row],[Benefit Name]],Lookups!$D$18:$D$23,Lookups!$E$18:$E$23,0),
0))))</f>
        <v>0</v>
      </c>
      <c r="J578" s="284">
        <f>IF($I578="","",
IF($I578="MM_LIFE",INDEX('Quotation Tool'!$S$54:$V$60,MATCH($T578,'Quotation Tool'!$S$54:$S$60,0),4),
IF($I578="SP_LIFE",_xlfn.XLOOKUP(B577,$B:$B,$J:$J,0),0)))</f>
        <v>0</v>
      </c>
      <c r="K578" s="287">
        <f t="shared" ca="1" si="61"/>
        <v>0</v>
      </c>
      <c r="L578" s="288">
        <f t="shared" ca="1" si="62"/>
        <v>0</v>
      </c>
      <c r="M578" s="289">
        <f t="shared" ca="1" si="58"/>
        <v>0</v>
      </c>
      <c r="N578" s="286">
        <f>Table13[[#This Row],[Benefit Option]]</f>
        <v>0</v>
      </c>
      <c r="O578" s="284">
        <f>IF(OR(Table2[[#This Row],[Member Type]]="Spouse",Table2[[#This Row],[Member Type]]="Child"),0,
IF(_xlfn.XLOOKUP($N578,Lookups!$D$13:$D$27,Lookups!$F$13:$F$27,0)=Table2[[#This Row],[Table Lookup for Life Cover]],0,
_xlfn.XLOOKUP($N578,Lookups!$D$13:$D$27,Lookups!$F$13:$F$27,0)))</f>
        <v>0</v>
      </c>
      <c r="P578" s="284">
        <f>IF(Table2[[#This Row],[Table Lookup for Funeral]]=0,0,IFERROR(INDEX('Quotation Tool'!$S$54:$V$60,MATCH($T578,'Quotation Tool'!$S$54:$S$60,0),3),0))</f>
        <v>0</v>
      </c>
      <c r="Q578" s="288">
        <f ca="1">IF(OR(Table2[[#This Row],[Benefit Name]]="My Value Plus Life - Main Member",Table2[[#This Row],[Benefit Name]]="My Value Plus Life - Spouse"),0,
IFERROR(VLOOKUP($G578,INDIRECT($O578),$P578,FALSE),0))</f>
        <v>0</v>
      </c>
      <c r="R578" s="288">
        <f ca="1">IF(OR(Table2[[#This Row],[Benefit Name]]="My Value Plus Life - Main Member",Table2[[#This Row],[Benefit Name]]="My Value Plus Life - Spouse"),0,
IFERROR(VLOOKUP($G578,INDIRECT($O578),$P578+1,FALSE),0))</f>
        <v>0</v>
      </c>
      <c r="S578" s="289">
        <f t="shared" ca="1" si="59"/>
        <v>0</v>
      </c>
      <c r="T578" s="284" t="str">
        <f>IF(Table13[[#This Row],[Premium Waiver]]="","None",Table13[[#This Row],[Premium Waiver]])</f>
        <v>None</v>
      </c>
      <c r="U578" s="284">
        <f>Table13[[#This Row],[VAPs Options]]</f>
        <v>0</v>
      </c>
      <c r="V578" s="284">
        <f>Table13[[#This Row],[Annual Increase Option]]</f>
        <v>0</v>
      </c>
      <c r="W578" s="290">
        <f>Table13[[#This Row],[Life Cover Amount]]</f>
        <v>0</v>
      </c>
      <c r="X578" s="290">
        <f>Table13[[#This Row],[Funeral Cover Amount]]</f>
        <v>0</v>
      </c>
      <c r="Y57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7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78" s="301">
        <f t="shared" ca="1" si="60"/>
        <v>0</v>
      </c>
      <c r="AB578" s="298"/>
      <c r="AC578" s="326" t="str">
        <f>IF(Table2[[#This Row],[Member Type]]="Main Member",Lookups!$C$13,
IF(Table2[[#This Row],[Member Type]]="Spouse",_xlfn.XLOOKUP(B578,Table2[Main Member Link ID],Table2[Product Option],0),
IF(AND(Table2[[#This Row],[Member Type]]="Child",_xlfn.XLOOKUP(B578,Table2[Main Member Link ID],Table2[Product Option],0)&lt;&gt;"My Value Plus Life"),Lookups!$C$24,
IF(AND(OR(Table2[[#This Row],[Member Type]]="Parent",Table2[[#This Row],[Member Type]]="Extended"),_xlfn.XLOOKUP(B578,Table2[Main Member Link ID],Table2[Product Option],0)&lt;&gt;"My Value Plus Life"),Lookups!$C$26,""))))</f>
        <v/>
      </c>
      <c r="AD578" s="326" t="str">
        <f>IF(Table2[[#This Row],[Member Type]]="Main Member",Lookups!$C$14,"")</f>
        <v/>
      </c>
      <c r="AE57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Funeral",_xlfn.XLOOKUP(B578,Table2[Main Member Link ID],Table2[Benefit Name],0)=Lookups!$D$14),"",
IF(AND(Table2[[#This Row],[Member Type]]="Spouse",Table2[[#This Row],[Product Option]]="My Value Plus Life &amp; Funeral",_xlfn.XLOOKUP(B577,Table2[Main Member Link ID],Table2[Benefit Name],0)=Lookups!$D$15),Lookups!$D$20,
IF(AND(Table2[[#This Row],[Member Type]]="Spouse",Table2[[#This Row],[Product Option]]="My Value Plus Life &amp; Funeral",_xlfn.XLOOKUP(B577,Table2[Main Member Link ID],Table2[Benefit Name],0)=Lookups!$D$16),"",
IF(AND(Table2[[#This Row],[Member Type]]="Spouse",Table2[[#This Row],[Product Option]]="My Value Plus Life &amp; Funeral",_xlfn.XLOOKUP(B577,Table2[Main Member Link ID],Table2[Benefit Name],0)=Lookups!$D$17),Lookups!$D$21,
IF(AND(Table2[[#This Row],[Member Type]]="Child",Table2[[#This Row],[Product Option]]="My Value Plus Life &amp; Funeral",_xlfn.XLOOKUP(B578,Table2[Main Member Link ID],Table2[Benefit Name],0)=Lookups!$D$14),"",
IF(AND(Table2[[#This Row],[Member Type]]="Child",Table2[[#This Row],[Product Option]]="My Value Plus Life &amp; Funeral",_xlfn.XLOOKUP(B578,Table2[Main Member Link ID],Table2[Benefit Name],0)=Lookups!$D$15),"",
IF(AND(Table2[[#This Row],[Member Type]]="Child",Table2[[#This Row],[Product Option]]="My Value Plus Life &amp; Funeral",_xlfn.XLOOKUP(B578,Table2[Main Member Link ID],Table2[Benefit Name],0)=Lookups!$D$16),Lookups!$D$24,
IF(AND(Table2[[#This Row],[Member Type]]="Child",Table2[[#This Row],[Product Option]]="My Value Plus Life &amp; Funeral",_xlfn.XLOOKUP(B578,Table2[Main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Funeral",_xlfn.XLOOKUP(B578,Table2[Main Member Link ID],Table2[Benefit Name],0)&lt;&gt;Lookups!$D$14),
IF(_xlfn.XLOOKUP(B578,Table2[Main Member Link ID],Table2[Benefit Name],0)=0,"",_xlfn.XLOOKUP(B578,Table2[Main Member Link ID],Table2[Benefit Name],0)),"")))))))))))))))</f>
        <v/>
      </c>
      <c r="AF578" s="327" t="str">
        <f>IF(AND(Table2[[#This Row],[Member Type]]="Main Member",Table2[[#This Row],[Product Option]]="My Value Plus Life &amp; Funeral"),Lookups!$D$15,
IF(AND(Table2[[#This Row],[Member Type]]="Spouse",Table2[[#This Row],[Product Option]]="My Value Plus Life &amp; Funeral",_xlfn.XLOOKUP(B578,Table2[Main Member Link ID],Table2[Benefit Name],0)=Lookups!$D$14),"",
IF(AND(Table2[[#This Row],[Member Type]]="Spouse",Table2[[#This Row],[Product Option]]="My Value Plus Life &amp; Funeral",_xlfn.XLOOKUP(B577,Table2[Main Member Link ID],Table2[Benefit Name],0)=Lookups!$D$16),"",
IF(AND(Table2[[#This Row],[Member Type]]="Spouse",Table2[[#This Row],[Product Option]]="My Value Plus Life &amp; Funeral",_xlfn.XLOOKUP(B577,Table2[Main Member Link ID],Table2[Benefit Name],0)=Lookups!$D$15),"",
IF(AND(Table2[[#This Row],[Member Type]]="Spouse",Table2[[#This Row],[Product Option]]="My Value Plus Life &amp; Funeral",_xlfn.XLOOKUP(B577,Table2[Main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Funeral",_xlfn.XLOOKUP(B578,Table2[Main Member Link ID],Table2[Benefit Name],0)&lt;&gt;Lookups!$D$15),
IF(_xlfn.XLOOKUP(B578,Table2[Main Member Link ID],Table2[Benefit Name],0)=0,"",_xlfn.XLOOKUP(B578,Table2[Main Member Link ID],Table2[Benefit Name],0)),"")
))))))</f>
        <v/>
      </c>
      <c r="AG578" s="327" t="str">
        <f>IF(AND(Table2[[#This Row],[Member Type]]="Main Member",Table2[[#This Row],[Product Option]]="My Value Plus Life &amp; Funeral"),Lookups!$D$16,
IF(AND(Table2[[#This Row],[Member Type]]="Spouse",Table2[[#This Row],[Product Option]]="My Value Plus Life &amp; Funeral",_xlfn.XLOOKUP(B578,Table2[Main Member Link ID],Table2[Benefit Name],0)=Lookups!$D$14),"",
IF(AND(Table2[[#This Row],[Member Type]]="Spouse",Table2[[#This Row],[Product Option]]="My Value Plus Life &amp; Funeral",_xlfn.XLOOKUP(B577,Table2[Main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Funeral",_xlfn.XLOOKUP(B578,Table2[Main Member Link ID],Table2[Benefit Name],0)&lt;&gt;Lookups!$D$16),
IF(_xlfn.XLOOKUP(B578,Table2[Main Member Link ID],Table2[Benefit Name],0)=0,"",_xlfn.XLOOKUP(B578,Table2[Main Member Link ID],Table2[Benefit Name],0)),"")
))))</f>
        <v/>
      </c>
      <c r="AH578" s="327" t="str">
        <f>IF(AND(Table2[[#This Row],[Member Type]]="Main Member",Table2[[#This Row],[Product Option]]="My Value Plus Life &amp; Funeral"),Lookups!$D$17,
IF(AND(Table2[[#This Row],[Member Type]]="Spouse",Table2[[#This Row],[Product Option]]="My Value Plus Life &amp; Funeral",_xlfn.XLOOKUP(B578,Table2[Main Member Link ID],Table2[Benefit Name],0)=Lookups!$D$14),"",
IF(AND(Table2[[#This Row],[Member Type]]="Spouse",Table2[[#This Row],[Product Option]]="My Value Plus Life &amp; Funeral",_xlfn.XLOOKUP(B577,Table2[Main Member Link ID],Table2[Benefit Name],0)=Lookups!$D$16),"",
IF(AND(Table2[[#This Row],[Member Type]]="Child",Table2[[#This Row],[Product Option]]="My Value Plus Life &amp; Funeral"),"",
IF(AND(Table2[[#This Row],[Member Type]]="Child",Table2[[#This Row],[Product Option]]="My Value Plus Life &amp; Funeral",_xlfn.XLOOKUP(B578,Table2[Main Member Link ID],Table2[Benefit Name],0)=Lookups!$D$15),"",
IF(AND(OR(Table2[[#This Row],[Member Type]]="Spouse",Table2[[#This Row],[Member Type]]="Child"),Table2[[#This Row],[Product Option]]="My Value Plus Life &amp; Funeral",_xlfn.XLOOKUP(B578,Table2[Main Member Link ID],Table2[Benefit Name],0)&lt;&gt;Lookups!$D$17),
IF(_xlfn.XLOOKUP(B578,Table2[Main Member Link ID],Table2[Benefit Name],0)=0,"",_xlfn.XLOOKUP(B578,Table2[Main Member Link ID],Table2[Benefit Name],0)),""))))))</f>
        <v/>
      </c>
      <c r="AI578" s="328" t="str">
        <f>IF(AND(Table2[[#This Row],[Member Type]]="Main Member",Table2[[#This Row],[Table Lookup for Life Cover]]="MM_LIFE",Table2[[#This Row],[Age Next Birthday]]&lt;56),1,
IF(AND(Table2[[#This Row],[Member Type]]="Main Member",Table2[[#This Row],[Table Lookup for Life Cover]]="MM_LIFE",Table2[[#This Row],[Age Next Birthday]]&gt;=56),2,
""))</f>
        <v/>
      </c>
      <c r="AJ578" s="328">
        <f>IF(OR(Table2[[#This Row],[Member Type]]="Main Member",Table2[[#This Row],[Main Member Link ID]]=B577),1,0)</f>
        <v>1</v>
      </c>
      <c r="AK578" s="328">
        <f>IF(Table2[[#This Row],[Member Type]]=0,0,
IF(OR(Table2[[#This Row],[Member Type]]="Main Member",Table2[[#This Row],[Main Member Link ID]]&lt;&gt;B578),COUNTIFS(B:B,Table2[[#This Row],[Main Member Link ID]]),
COUNTIFS(B:B,Table2[[#This Row],[Main Member Link ID]],A:A,Table2[[#This Row],[Member Type]])))</f>
        <v>0</v>
      </c>
    </row>
    <row r="579" spans="1:37" x14ac:dyDescent="0.3">
      <c r="A579" s="284">
        <f>Table13[[#This Row],[Member Type]]</f>
        <v>0</v>
      </c>
      <c r="B579" s="284">
        <f>Table13[[#This Row],[Main Member Link ID]]</f>
        <v>0</v>
      </c>
      <c r="C579" s="284">
        <f>Table13[[#This Row],[ID Number]]</f>
        <v>0</v>
      </c>
      <c r="D579" s="285">
        <f>Table13[[#This Row],[Date Of Birth]]</f>
        <v>0</v>
      </c>
      <c r="E579" s="285">
        <f>Table13[[#This Row],[Commencement Date]]</f>
        <v>0</v>
      </c>
      <c r="F579" s="284">
        <f t="shared" si="56"/>
        <v>1</v>
      </c>
      <c r="G579" s="284">
        <f t="shared" si="57"/>
        <v>25</v>
      </c>
      <c r="H579" s="286">
        <f>Table13[[#This Row],[Product Option]]</f>
        <v>0</v>
      </c>
      <c r="I579" s="284">
        <f>IF(AND($A579="Main Member",Table2[[#This Row],[Product Option]]="My Value Plus Life"),"MM_LIFE",
IF(AND($A579="Spouse",Table2[[#This Row],[Product Option]]="My Value Plus Life"),"SP_LIFE",
IF(AND($A579="Main Member",Table2[[#This Row],[Product Option]]="My Value Plus Life &amp; Funeral"),"MM_LIFE",
IF(AND($A579="Spouse",Table2[[#This Row],[Product Option]]="My Value Plus Life &amp; Funeral"),_xlfn.XLOOKUP(Table2[[#This Row],[Benefit Name]],Lookups!$D$18:$D$23,Lookups!$E$18:$E$23,0),
0))))</f>
        <v>0</v>
      </c>
      <c r="J579" s="284">
        <f>IF($I579="","",
IF($I579="MM_LIFE",INDEX('Quotation Tool'!$S$54:$V$60,MATCH($T579,'Quotation Tool'!$S$54:$S$60,0),4),
IF($I579="SP_LIFE",_xlfn.XLOOKUP(B578,$B:$B,$J:$J,0),0)))</f>
        <v>0</v>
      </c>
      <c r="K579" s="287">
        <f t="shared" ca="1" si="61"/>
        <v>0</v>
      </c>
      <c r="L579" s="288">
        <f t="shared" ca="1" si="62"/>
        <v>0</v>
      </c>
      <c r="M579" s="289">
        <f t="shared" ca="1" si="58"/>
        <v>0</v>
      </c>
      <c r="N579" s="286">
        <f>Table13[[#This Row],[Benefit Option]]</f>
        <v>0</v>
      </c>
      <c r="O579" s="284">
        <f>IF(OR(Table2[[#This Row],[Member Type]]="Spouse",Table2[[#This Row],[Member Type]]="Child"),0,
IF(_xlfn.XLOOKUP($N579,Lookups!$D$13:$D$27,Lookups!$F$13:$F$27,0)=Table2[[#This Row],[Table Lookup for Life Cover]],0,
_xlfn.XLOOKUP($N579,Lookups!$D$13:$D$27,Lookups!$F$13:$F$27,0)))</f>
        <v>0</v>
      </c>
      <c r="P579" s="284">
        <f>IF(Table2[[#This Row],[Table Lookup for Funeral]]=0,0,IFERROR(INDEX('Quotation Tool'!$S$54:$V$60,MATCH($T579,'Quotation Tool'!$S$54:$S$60,0),3),0))</f>
        <v>0</v>
      </c>
      <c r="Q579" s="288">
        <f ca="1">IF(OR(Table2[[#This Row],[Benefit Name]]="My Value Plus Life - Main Member",Table2[[#This Row],[Benefit Name]]="My Value Plus Life - Spouse"),0,
IFERROR(VLOOKUP($G579,INDIRECT($O579),$P579,FALSE),0))</f>
        <v>0</v>
      </c>
      <c r="R579" s="288">
        <f ca="1">IF(OR(Table2[[#This Row],[Benefit Name]]="My Value Plus Life - Main Member",Table2[[#This Row],[Benefit Name]]="My Value Plus Life - Spouse"),0,
IFERROR(VLOOKUP($G579,INDIRECT($O579),$P579+1,FALSE),0))</f>
        <v>0</v>
      </c>
      <c r="S579" s="289">
        <f t="shared" ca="1" si="59"/>
        <v>0</v>
      </c>
      <c r="T579" s="284" t="str">
        <f>IF(Table13[[#This Row],[Premium Waiver]]="","None",Table13[[#This Row],[Premium Waiver]])</f>
        <v>None</v>
      </c>
      <c r="U579" s="284">
        <f>Table13[[#This Row],[VAPs Options]]</f>
        <v>0</v>
      </c>
      <c r="V579" s="284">
        <f>Table13[[#This Row],[Annual Increase Option]]</f>
        <v>0</v>
      </c>
      <c r="W579" s="290">
        <f>Table13[[#This Row],[Life Cover Amount]]</f>
        <v>0</v>
      </c>
      <c r="X579" s="290">
        <f>Table13[[#This Row],[Funeral Cover Amount]]</f>
        <v>0</v>
      </c>
      <c r="Y57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7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79" s="301">
        <f t="shared" ca="1" si="60"/>
        <v>0</v>
      </c>
      <c r="AB579" s="298"/>
      <c r="AC579" s="326" t="str">
        <f>IF(Table2[[#This Row],[Member Type]]="Main Member",Lookups!$C$13,
IF(Table2[[#This Row],[Member Type]]="Spouse",_xlfn.XLOOKUP(B579,Table2[Main Member Link ID],Table2[Product Option],0),
IF(AND(Table2[[#This Row],[Member Type]]="Child",_xlfn.XLOOKUP(B579,Table2[Main Member Link ID],Table2[Product Option],0)&lt;&gt;"My Value Plus Life"),Lookups!$C$24,
IF(AND(OR(Table2[[#This Row],[Member Type]]="Parent",Table2[[#This Row],[Member Type]]="Extended"),_xlfn.XLOOKUP(B579,Table2[Main Member Link ID],Table2[Product Option],0)&lt;&gt;"My Value Plus Life"),Lookups!$C$26,""))))</f>
        <v/>
      </c>
      <c r="AD579" s="326" t="str">
        <f>IF(Table2[[#This Row],[Member Type]]="Main Member",Lookups!$C$14,"")</f>
        <v/>
      </c>
      <c r="AE57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Funeral",_xlfn.XLOOKUP(B579,Table2[Main Member Link ID],Table2[Benefit Name],0)=Lookups!$D$14),"",
IF(AND(Table2[[#This Row],[Member Type]]="Spouse",Table2[[#This Row],[Product Option]]="My Value Plus Life &amp; Funeral",_xlfn.XLOOKUP(B578,Table2[Main Member Link ID],Table2[Benefit Name],0)=Lookups!$D$15),Lookups!$D$20,
IF(AND(Table2[[#This Row],[Member Type]]="Spouse",Table2[[#This Row],[Product Option]]="My Value Plus Life &amp; Funeral",_xlfn.XLOOKUP(B578,Table2[Main Member Link ID],Table2[Benefit Name],0)=Lookups!$D$16),"",
IF(AND(Table2[[#This Row],[Member Type]]="Spouse",Table2[[#This Row],[Product Option]]="My Value Plus Life &amp; Funeral",_xlfn.XLOOKUP(B578,Table2[Main Member Link ID],Table2[Benefit Name],0)=Lookups!$D$17),Lookups!$D$21,
IF(AND(Table2[[#This Row],[Member Type]]="Child",Table2[[#This Row],[Product Option]]="My Value Plus Life &amp; Funeral",_xlfn.XLOOKUP(B579,Table2[Main Member Link ID],Table2[Benefit Name],0)=Lookups!$D$14),"",
IF(AND(Table2[[#This Row],[Member Type]]="Child",Table2[[#This Row],[Product Option]]="My Value Plus Life &amp; Funeral",_xlfn.XLOOKUP(B579,Table2[Main Member Link ID],Table2[Benefit Name],0)=Lookups!$D$15),"",
IF(AND(Table2[[#This Row],[Member Type]]="Child",Table2[[#This Row],[Product Option]]="My Value Plus Life &amp; Funeral",_xlfn.XLOOKUP(B579,Table2[Main Member Link ID],Table2[Benefit Name],0)=Lookups!$D$16),Lookups!$D$24,
IF(AND(Table2[[#This Row],[Member Type]]="Child",Table2[[#This Row],[Product Option]]="My Value Plus Life &amp; Funeral",_xlfn.XLOOKUP(B579,Table2[Main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Funeral",_xlfn.XLOOKUP(B579,Table2[Main Member Link ID],Table2[Benefit Name],0)&lt;&gt;Lookups!$D$14),
IF(_xlfn.XLOOKUP(B579,Table2[Main Member Link ID],Table2[Benefit Name],0)=0,"",_xlfn.XLOOKUP(B579,Table2[Main Member Link ID],Table2[Benefit Name],0)),"")))))))))))))))</f>
        <v/>
      </c>
      <c r="AF579" s="327" t="str">
        <f>IF(AND(Table2[[#This Row],[Member Type]]="Main Member",Table2[[#This Row],[Product Option]]="My Value Plus Life &amp; Funeral"),Lookups!$D$15,
IF(AND(Table2[[#This Row],[Member Type]]="Spouse",Table2[[#This Row],[Product Option]]="My Value Plus Life &amp; Funeral",_xlfn.XLOOKUP(B579,Table2[Main Member Link ID],Table2[Benefit Name],0)=Lookups!$D$14),"",
IF(AND(Table2[[#This Row],[Member Type]]="Spouse",Table2[[#This Row],[Product Option]]="My Value Plus Life &amp; Funeral",_xlfn.XLOOKUP(B578,Table2[Main Member Link ID],Table2[Benefit Name],0)=Lookups!$D$16),"",
IF(AND(Table2[[#This Row],[Member Type]]="Spouse",Table2[[#This Row],[Product Option]]="My Value Plus Life &amp; Funeral",_xlfn.XLOOKUP(B578,Table2[Main Member Link ID],Table2[Benefit Name],0)=Lookups!$D$15),"",
IF(AND(Table2[[#This Row],[Member Type]]="Spouse",Table2[[#This Row],[Product Option]]="My Value Plus Life &amp; Funeral",_xlfn.XLOOKUP(B578,Table2[Main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Funeral",_xlfn.XLOOKUP(B579,Table2[Main Member Link ID],Table2[Benefit Name],0)&lt;&gt;Lookups!$D$15),
IF(_xlfn.XLOOKUP(B579,Table2[Main Member Link ID],Table2[Benefit Name],0)=0,"",_xlfn.XLOOKUP(B579,Table2[Main Member Link ID],Table2[Benefit Name],0)),"")
))))))</f>
        <v/>
      </c>
      <c r="AG579" s="327" t="str">
        <f>IF(AND(Table2[[#This Row],[Member Type]]="Main Member",Table2[[#This Row],[Product Option]]="My Value Plus Life &amp; Funeral"),Lookups!$D$16,
IF(AND(Table2[[#This Row],[Member Type]]="Spouse",Table2[[#This Row],[Product Option]]="My Value Plus Life &amp; Funeral",_xlfn.XLOOKUP(B579,Table2[Main Member Link ID],Table2[Benefit Name],0)=Lookups!$D$14),"",
IF(AND(Table2[[#This Row],[Member Type]]="Spouse",Table2[[#This Row],[Product Option]]="My Value Plus Life &amp; Funeral",_xlfn.XLOOKUP(B578,Table2[Main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Funeral",_xlfn.XLOOKUP(B579,Table2[Main Member Link ID],Table2[Benefit Name],0)&lt;&gt;Lookups!$D$16),
IF(_xlfn.XLOOKUP(B579,Table2[Main Member Link ID],Table2[Benefit Name],0)=0,"",_xlfn.XLOOKUP(B579,Table2[Main Member Link ID],Table2[Benefit Name],0)),"")
))))</f>
        <v/>
      </c>
      <c r="AH579" s="327" t="str">
        <f>IF(AND(Table2[[#This Row],[Member Type]]="Main Member",Table2[[#This Row],[Product Option]]="My Value Plus Life &amp; Funeral"),Lookups!$D$17,
IF(AND(Table2[[#This Row],[Member Type]]="Spouse",Table2[[#This Row],[Product Option]]="My Value Plus Life &amp; Funeral",_xlfn.XLOOKUP(B579,Table2[Main Member Link ID],Table2[Benefit Name],0)=Lookups!$D$14),"",
IF(AND(Table2[[#This Row],[Member Type]]="Spouse",Table2[[#This Row],[Product Option]]="My Value Plus Life &amp; Funeral",_xlfn.XLOOKUP(B578,Table2[Main Member Link ID],Table2[Benefit Name],0)=Lookups!$D$16),"",
IF(AND(Table2[[#This Row],[Member Type]]="Child",Table2[[#This Row],[Product Option]]="My Value Plus Life &amp; Funeral"),"",
IF(AND(Table2[[#This Row],[Member Type]]="Child",Table2[[#This Row],[Product Option]]="My Value Plus Life &amp; Funeral",_xlfn.XLOOKUP(B579,Table2[Main Member Link ID],Table2[Benefit Name],0)=Lookups!$D$15),"",
IF(AND(OR(Table2[[#This Row],[Member Type]]="Spouse",Table2[[#This Row],[Member Type]]="Child"),Table2[[#This Row],[Product Option]]="My Value Plus Life &amp; Funeral",_xlfn.XLOOKUP(B579,Table2[Main Member Link ID],Table2[Benefit Name],0)&lt;&gt;Lookups!$D$17),
IF(_xlfn.XLOOKUP(B579,Table2[Main Member Link ID],Table2[Benefit Name],0)=0,"",_xlfn.XLOOKUP(B579,Table2[Main Member Link ID],Table2[Benefit Name],0)),""))))))</f>
        <v/>
      </c>
      <c r="AI579" s="328" t="str">
        <f>IF(AND(Table2[[#This Row],[Member Type]]="Main Member",Table2[[#This Row],[Table Lookup for Life Cover]]="MM_LIFE",Table2[[#This Row],[Age Next Birthday]]&lt;56),1,
IF(AND(Table2[[#This Row],[Member Type]]="Main Member",Table2[[#This Row],[Table Lookup for Life Cover]]="MM_LIFE",Table2[[#This Row],[Age Next Birthday]]&gt;=56),2,
""))</f>
        <v/>
      </c>
      <c r="AJ579" s="328">
        <f>IF(OR(Table2[[#This Row],[Member Type]]="Main Member",Table2[[#This Row],[Main Member Link ID]]=B578),1,0)</f>
        <v>1</v>
      </c>
      <c r="AK579" s="328">
        <f>IF(Table2[[#This Row],[Member Type]]=0,0,
IF(OR(Table2[[#This Row],[Member Type]]="Main Member",Table2[[#This Row],[Main Member Link ID]]&lt;&gt;B579),COUNTIFS(B:B,Table2[[#This Row],[Main Member Link ID]]),
COUNTIFS(B:B,Table2[[#This Row],[Main Member Link ID]],A:A,Table2[[#This Row],[Member Type]])))</f>
        <v>0</v>
      </c>
    </row>
    <row r="580" spans="1:37" x14ac:dyDescent="0.3">
      <c r="A580" s="284">
        <f>Table13[[#This Row],[Member Type]]</f>
        <v>0</v>
      </c>
      <c r="B580" s="284">
        <f>Table13[[#This Row],[Main Member Link ID]]</f>
        <v>0</v>
      </c>
      <c r="C580" s="284">
        <f>Table13[[#This Row],[ID Number]]</f>
        <v>0</v>
      </c>
      <c r="D580" s="285">
        <f>Table13[[#This Row],[Date Of Birth]]</f>
        <v>0</v>
      </c>
      <c r="E580" s="285">
        <f>Table13[[#This Row],[Commencement Date]]</f>
        <v>0</v>
      </c>
      <c r="F580" s="284">
        <f t="shared" si="56"/>
        <v>1</v>
      </c>
      <c r="G580" s="284">
        <f t="shared" si="57"/>
        <v>25</v>
      </c>
      <c r="H580" s="286">
        <f>Table13[[#This Row],[Product Option]]</f>
        <v>0</v>
      </c>
      <c r="I580" s="284">
        <f>IF(AND($A580="Main Member",Table2[[#This Row],[Product Option]]="My Value Plus Life"),"MM_LIFE",
IF(AND($A580="Spouse",Table2[[#This Row],[Product Option]]="My Value Plus Life"),"SP_LIFE",
IF(AND($A580="Main Member",Table2[[#This Row],[Product Option]]="My Value Plus Life &amp; Funeral"),"MM_LIFE",
IF(AND($A580="Spouse",Table2[[#This Row],[Product Option]]="My Value Plus Life &amp; Funeral"),_xlfn.XLOOKUP(Table2[[#This Row],[Benefit Name]],Lookups!$D$18:$D$23,Lookups!$E$18:$E$23,0),
0))))</f>
        <v>0</v>
      </c>
      <c r="J580" s="284">
        <f>IF($I580="","",
IF($I580="MM_LIFE",INDEX('Quotation Tool'!$S$54:$V$60,MATCH($T580,'Quotation Tool'!$S$54:$S$60,0),4),
IF($I580="SP_LIFE",_xlfn.XLOOKUP(B579,$B:$B,$J:$J,0),0)))</f>
        <v>0</v>
      </c>
      <c r="K580" s="287">
        <f t="shared" ca="1" si="61"/>
        <v>0</v>
      </c>
      <c r="L580" s="288">
        <f t="shared" ca="1" si="62"/>
        <v>0</v>
      </c>
      <c r="M580" s="289">
        <f t="shared" ca="1" si="58"/>
        <v>0</v>
      </c>
      <c r="N580" s="286">
        <f>Table13[[#This Row],[Benefit Option]]</f>
        <v>0</v>
      </c>
      <c r="O580" s="284">
        <f>IF(OR(Table2[[#This Row],[Member Type]]="Spouse",Table2[[#This Row],[Member Type]]="Child"),0,
IF(_xlfn.XLOOKUP($N580,Lookups!$D$13:$D$27,Lookups!$F$13:$F$27,0)=Table2[[#This Row],[Table Lookup for Life Cover]],0,
_xlfn.XLOOKUP($N580,Lookups!$D$13:$D$27,Lookups!$F$13:$F$27,0)))</f>
        <v>0</v>
      </c>
      <c r="P580" s="284">
        <f>IF(Table2[[#This Row],[Table Lookup for Funeral]]=0,0,IFERROR(INDEX('Quotation Tool'!$S$54:$V$60,MATCH($T580,'Quotation Tool'!$S$54:$S$60,0),3),0))</f>
        <v>0</v>
      </c>
      <c r="Q580" s="288">
        <f ca="1">IF(OR(Table2[[#This Row],[Benefit Name]]="My Value Plus Life - Main Member",Table2[[#This Row],[Benefit Name]]="My Value Plus Life - Spouse"),0,
IFERROR(VLOOKUP($G580,INDIRECT($O580),$P580,FALSE),0))</f>
        <v>0</v>
      </c>
      <c r="R580" s="288">
        <f ca="1">IF(OR(Table2[[#This Row],[Benefit Name]]="My Value Plus Life - Main Member",Table2[[#This Row],[Benefit Name]]="My Value Plus Life - Spouse"),0,
IFERROR(VLOOKUP($G580,INDIRECT($O580),$P580+1,FALSE),0))</f>
        <v>0</v>
      </c>
      <c r="S580" s="289">
        <f t="shared" ca="1" si="59"/>
        <v>0</v>
      </c>
      <c r="T580" s="284" t="str">
        <f>IF(Table13[[#This Row],[Premium Waiver]]="","None",Table13[[#This Row],[Premium Waiver]])</f>
        <v>None</v>
      </c>
      <c r="U580" s="284">
        <f>Table13[[#This Row],[VAPs Options]]</f>
        <v>0</v>
      </c>
      <c r="V580" s="284">
        <f>Table13[[#This Row],[Annual Increase Option]]</f>
        <v>0</v>
      </c>
      <c r="W580" s="290">
        <f>Table13[[#This Row],[Life Cover Amount]]</f>
        <v>0</v>
      </c>
      <c r="X580" s="290">
        <f>Table13[[#This Row],[Funeral Cover Amount]]</f>
        <v>0</v>
      </c>
      <c r="Y58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8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80" s="301">
        <f t="shared" ca="1" si="60"/>
        <v>0</v>
      </c>
      <c r="AB580" s="298"/>
      <c r="AC580" s="326" t="str">
        <f>IF(Table2[[#This Row],[Member Type]]="Main Member",Lookups!$C$13,
IF(Table2[[#This Row],[Member Type]]="Spouse",_xlfn.XLOOKUP(B580,Table2[Main Member Link ID],Table2[Product Option],0),
IF(AND(Table2[[#This Row],[Member Type]]="Child",_xlfn.XLOOKUP(B580,Table2[Main Member Link ID],Table2[Product Option],0)&lt;&gt;"My Value Plus Life"),Lookups!$C$24,
IF(AND(OR(Table2[[#This Row],[Member Type]]="Parent",Table2[[#This Row],[Member Type]]="Extended"),_xlfn.XLOOKUP(B580,Table2[Main Member Link ID],Table2[Product Option],0)&lt;&gt;"My Value Plus Life"),Lookups!$C$26,""))))</f>
        <v/>
      </c>
      <c r="AD580" s="326" t="str">
        <f>IF(Table2[[#This Row],[Member Type]]="Main Member",Lookups!$C$14,"")</f>
        <v/>
      </c>
      <c r="AE58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Funeral",_xlfn.XLOOKUP(B580,Table2[Main Member Link ID],Table2[Benefit Name],0)=Lookups!$D$14),"",
IF(AND(Table2[[#This Row],[Member Type]]="Spouse",Table2[[#This Row],[Product Option]]="My Value Plus Life &amp; Funeral",_xlfn.XLOOKUP(B579,Table2[Main Member Link ID],Table2[Benefit Name],0)=Lookups!$D$15),Lookups!$D$20,
IF(AND(Table2[[#This Row],[Member Type]]="Spouse",Table2[[#This Row],[Product Option]]="My Value Plus Life &amp; Funeral",_xlfn.XLOOKUP(B579,Table2[Main Member Link ID],Table2[Benefit Name],0)=Lookups!$D$16),"",
IF(AND(Table2[[#This Row],[Member Type]]="Spouse",Table2[[#This Row],[Product Option]]="My Value Plus Life &amp; Funeral",_xlfn.XLOOKUP(B579,Table2[Main Member Link ID],Table2[Benefit Name],0)=Lookups!$D$17),Lookups!$D$21,
IF(AND(Table2[[#This Row],[Member Type]]="Child",Table2[[#This Row],[Product Option]]="My Value Plus Life &amp; Funeral",_xlfn.XLOOKUP(B580,Table2[Main Member Link ID],Table2[Benefit Name],0)=Lookups!$D$14),"",
IF(AND(Table2[[#This Row],[Member Type]]="Child",Table2[[#This Row],[Product Option]]="My Value Plus Life &amp; Funeral",_xlfn.XLOOKUP(B580,Table2[Main Member Link ID],Table2[Benefit Name],0)=Lookups!$D$15),"",
IF(AND(Table2[[#This Row],[Member Type]]="Child",Table2[[#This Row],[Product Option]]="My Value Plus Life &amp; Funeral",_xlfn.XLOOKUP(B580,Table2[Main Member Link ID],Table2[Benefit Name],0)=Lookups!$D$16),Lookups!$D$24,
IF(AND(Table2[[#This Row],[Member Type]]="Child",Table2[[#This Row],[Product Option]]="My Value Plus Life &amp; Funeral",_xlfn.XLOOKUP(B580,Table2[Main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Funeral",_xlfn.XLOOKUP(B580,Table2[Main Member Link ID],Table2[Benefit Name],0)&lt;&gt;Lookups!$D$14),
IF(_xlfn.XLOOKUP(B580,Table2[Main Member Link ID],Table2[Benefit Name],0)=0,"",_xlfn.XLOOKUP(B580,Table2[Main Member Link ID],Table2[Benefit Name],0)),"")))))))))))))))</f>
        <v/>
      </c>
      <c r="AF580" s="327" t="str">
        <f>IF(AND(Table2[[#This Row],[Member Type]]="Main Member",Table2[[#This Row],[Product Option]]="My Value Plus Life &amp; Funeral"),Lookups!$D$15,
IF(AND(Table2[[#This Row],[Member Type]]="Spouse",Table2[[#This Row],[Product Option]]="My Value Plus Life &amp; Funeral",_xlfn.XLOOKUP(B580,Table2[Main Member Link ID],Table2[Benefit Name],0)=Lookups!$D$14),"",
IF(AND(Table2[[#This Row],[Member Type]]="Spouse",Table2[[#This Row],[Product Option]]="My Value Plus Life &amp; Funeral",_xlfn.XLOOKUP(B579,Table2[Main Member Link ID],Table2[Benefit Name],0)=Lookups!$D$16),"",
IF(AND(Table2[[#This Row],[Member Type]]="Spouse",Table2[[#This Row],[Product Option]]="My Value Plus Life &amp; Funeral",_xlfn.XLOOKUP(B579,Table2[Main Member Link ID],Table2[Benefit Name],0)=Lookups!$D$15),"",
IF(AND(Table2[[#This Row],[Member Type]]="Spouse",Table2[[#This Row],[Product Option]]="My Value Plus Life &amp; Funeral",_xlfn.XLOOKUP(B579,Table2[Main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Funeral",_xlfn.XLOOKUP(B580,Table2[Main Member Link ID],Table2[Benefit Name],0)&lt;&gt;Lookups!$D$15),
IF(_xlfn.XLOOKUP(B580,Table2[Main Member Link ID],Table2[Benefit Name],0)=0,"",_xlfn.XLOOKUP(B580,Table2[Main Member Link ID],Table2[Benefit Name],0)),"")
))))))</f>
        <v/>
      </c>
      <c r="AG580" s="327" t="str">
        <f>IF(AND(Table2[[#This Row],[Member Type]]="Main Member",Table2[[#This Row],[Product Option]]="My Value Plus Life &amp; Funeral"),Lookups!$D$16,
IF(AND(Table2[[#This Row],[Member Type]]="Spouse",Table2[[#This Row],[Product Option]]="My Value Plus Life &amp; Funeral",_xlfn.XLOOKUP(B580,Table2[Main Member Link ID],Table2[Benefit Name],0)=Lookups!$D$14),"",
IF(AND(Table2[[#This Row],[Member Type]]="Spouse",Table2[[#This Row],[Product Option]]="My Value Plus Life &amp; Funeral",_xlfn.XLOOKUP(B579,Table2[Main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Funeral",_xlfn.XLOOKUP(B580,Table2[Main Member Link ID],Table2[Benefit Name],0)&lt;&gt;Lookups!$D$16),
IF(_xlfn.XLOOKUP(B580,Table2[Main Member Link ID],Table2[Benefit Name],0)=0,"",_xlfn.XLOOKUP(B580,Table2[Main Member Link ID],Table2[Benefit Name],0)),"")
))))</f>
        <v/>
      </c>
      <c r="AH580" s="327" t="str">
        <f>IF(AND(Table2[[#This Row],[Member Type]]="Main Member",Table2[[#This Row],[Product Option]]="My Value Plus Life &amp; Funeral"),Lookups!$D$17,
IF(AND(Table2[[#This Row],[Member Type]]="Spouse",Table2[[#This Row],[Product Option]]="My Value Plus Life &amp; Funeral",_xlfn.XLOOKUP(B580,Table2[Main Member Link ID],Table2[Benefit Name],0)=Lookups!$D$14),"",
IF(AND(Table2[[#This Row],[Member Type]]="Spouse",Table2[[#This Row],[Product Option]]="My Value Plus Life &amp; Funeral",_xlfn.XLOOKUP(B579,Table2[Main Member Link ID],Table2[Benefit Name],0)=Lookups!$D$16),"",
IF(AND(Table2[[#This Row],[Member Type]]="Child",Table2[[#This Row],[Product Option]]="My Value Plus Life &amp; Funeral"),"",
IF(AND(Table2[[#This Row],[Member Type]]="Child",Table2[[#This Row],[Product Option]]="My Value Plus Life &amp; Funeral",_xlfn.XLOOKUP(B580,Table2[Main Member Link ID],Table2[Benefit Name],0)=Lookups!$D$15),"",
IF(AND(OR(Table2[[#This Row],[Member Type]]="Spouse",Table2[[#This Row],[Member Type]]="Child"),Table2[[#This Row],[Product Option]]="My Value Plus Life &amp; Funeral",_xlfn.XLOOKUP(B580,Table2[Main Member Link ID],Table2[Benefit Name],0)&lt;&gt;Lookups!$D$17),
IF(_xlfn.XLOOKUP(B580,Table2[Main Member Link ID],Table2[Benefit Name],0)=0,"",_xlfn.XLOOKUP(B580,Table2[Main Member Link ID],Table2[Benefit Name],0)),""))))))</f>
        <v/>
      </c>
      <c r="AI580" s="328" t="str">
        <f>IF(AND(Table2[[#This Row],[Member Type]]="Main Member",Table2[[#This Row],[Table Lookup for Life Cover]]="MM_LIFE",Table2[[#This Row],[Age Next Birthday]]&lt;56),1,
IF(AND(Table2[[#This Row],[Member Type]]="Main Member",Table2[[#This Row],[Table Lookup for Life Cover]]="MM_LIFE",Table2[[#This Row],[Age Next Birthday]]&gt;=56),2,
""))</f>
        <v/>
      </c>
      <c r="AJ580" s="328">
        <f>IF(OR(Table2[[#This Row],[Member Type]]="Main Member",Table2[[#This Row],[Main Member Link ID]]=B579),1,0)</f>
        <v>1</v>
      </c>
      <c r="AK580" s="328">
        <f>IF(Table2[[#This Row],[Member Type]]=0,0,
IF(OR(Table2[[#This Row],[Member Type]]="Main Member",Table2[[#This Row],[Main Member Link ID]]&lt;&gt;B580),COUNTIFS(B:B,Table2[[#This Row],[Main Member Link ID]]),
COUNTIFS(B:B,Table2[[#This Row],[Main Member Link ID]],A:A,Table2[[#This Row],[Member Type]])))</f>
        <v>0</v>
      </c>
    </row>
    <row r="581" spans="1:37" x14ac:dyDescent="0.3">
      <c r="A581" s="284">
        <f>Table13[[#This Row],[Member Type]]</f>
        <v>0</v>
      </c>
      <c r="B581" s="284">
        <f>Table13[[#This Row],[Main Member Link ID]]</f>
        <v>0</v>
      </c>
      <c r="C581" s="284">
        <f>Table13[[#This Row],[ID Number]]</f>
        <v>0</v>
      </c>
      <c r="D581" s="285">
        <f>Table13[[#This Row],[Date Of Birth]]</f>
        <v>0</v>
      </c>
      <c r="E581" s="285">
        <f>Table13[[#This Row],[Commencement Date]]</f>
        <v>0</v>
      </c>
      <c r="F581" s="284">
        <f t="shared" ref="F581:F644" si="63">IF(D581="","",
IF(OR($A581="Main Member",$A581="Spouse",$A581="Child"),IFERROR(IF((IF($D581="",-1,DATEDIF($D581,$E581,"Y"))+1)&gt;75,"Max age",IF($D581="",-1,DATEDIF($D581,$E581,"Y"))+1),FALSE),
IFERROR(IF((IF($D581="",-1,DATEDIF($D581,$E581,"Y"))+1)&gt;75,"Max age",IF($D581="",-1,DATEDIF($D581,$E581,"Y"))+1),FALSE)))</f>
        <v>1</v>
      </c>
      <c r="G581" s="284">
        <f t="shared" ref="G581:G644" si="64">IF(F581="","",
IF(F581="Max age","Max age",
IF(OR($A581="Main Member",$A581="Spouse",$A581="Child"),IF($F581=0,"",IF($F581&lt;26,25,IF($F581&lt;36,35,IF($F581&lt;46,45,IF($F581&lt;51,50,IF($F581&lt;56,55,IF($F581&lt;61,60,IF($F581&lt;66,65,IF($F581&lt;71,70,IF($F581&lt;76,75)))))))))),
IF($F581=0,"",IF($F581&lt;26,25,IF($F581&lt;36,35,IF($F581&lt;46,45,IF($F581&lt;51,50,IF($F581&lt;56,55,IF($F581&lt;61,60,IF($F581&lt;66,65,IF($F581&lt;71,70,IF($F581&lt;76,75)))))))))))))</f>
        <v>25</v>
      </c>
      <c r="H581" s="286">
        <f>Table13[[#This Row],[Product Option]]</f>
        <v>0</v>
      </c>
      <c r="I581" s="284">
        <f>IF(AND($A581="Main Member",Table2[[#This Row],[Product Option]]="My Value Plus Life"),"MM_LIFE",
IF(AND($A581="Spouse",Table2[[#This Row],[Product Option]]="My Value Plus Life"),"SP_LIFE",
IF(AND($A581="Main Member",Table2[[#This Row],[Product Option]]="My Value Plus Life &amp; Funeral"),"MM_LIFE",
IF(AND($A581="Spouse",Table2[[#This Row],[Product Option]]="My Value Plus Life &amp; Funeral"),_xlfn.XLOOKUP(Table2[[#This Row],[Benefit Name]],Lookups!$D$18:$D$23,Lookups!$E$18:$E$23,0),
0))))</f>
        <v>0</v>
      </c>
      <c r="J581" s="284">
        <f>IF($I581="","",
IF($I581="MM_LIFE",INDEX('Quotation Tool'!$S$54:$V$60,MATCH($T581,'Quotation Tool'!$S$54:$S$60,0),4),
IF($I581="SP_LIFE",_xlfn.XLOOKUP(B580,$B:$B,$J:$J,0),0)))</f>
        <v>0</v>
      </c>
      <c r="K581" s="287">
        <f t="shared" ca="1" si="61"/>
        <v>0</v>
      </c>
      <c r="L581" s="288">
        <f t="shared" ca="1" si="62"/>
        <v>0</v>
      </c>
      <c r="M581" s="289">
        <f t="shared" ref="M581:M644" ca="1" si="65">K581+L581/1000*W581</f>
        <v>0</v>
      </c>
      <c r="N581" s="286">
        <f>Table13[[#This Row],[Benefit Option]]</f>
        <v>0</v>
      </c>
      <c r="O581" s="284">
        <f>IF(OR(Table2[[#This Row],[Member Type]]="Spouse",Table2[[#This Row],[Member Type]]="Child"),0,
IF(_xlfn.XLOOKUP($N581,Lookups!$D$13:$D$27,Lookups!$F$13:$F$27,0)=Table2[[#This Row],[Table Lookup for Life Cover]],0,
_xlfn.XLOOKUP($N581,Lookups!$D$13:$D$27,Lookups!$F$13:$F$27,0)))</f>
        <v>0</v>
      </c>
      <c r="P581" s="284">
        <f>IF(Table2[[#This Row],[Table Lookup for Funeral]]=0,0,IFERROR(INDEX('Quotation Tool'!$S$54:$V$60,MATCH($T581,'Quotation Tool'!$S$54:$S$60,0),3),0))</f>
        <v>0</v>
      </c>
      <c r="Q581" s="288">
        <f ca="1">IF(OR(Table2[[#This Row],[Benefit Name]]="My Value Plus Life - Main Member",Table2[[#This Row],[Benefit Name]]="My Value Plus Life - Spouse"),0,
IFERROR(VLOOKUP($G581,INDIRECT($O581),$P581,FALSE),0))</f>
        <v>0</v>
      </c>
      <c r="R581" s="288">
        <f ca="1">IF(OR(Table2[[#This Row],[Benefit Name]]="My Value Plus Life - Main Member",Table2[[#This Row],[Benefit Name]]="My Value Plus Life - Spouse"),0,
IFERROR(VLOOKUP($G581,INDIRECT($O581),$P581+1,FALSE),0))</f>
        <v>0</v>
      </c>
      <c r="S581" s="289">
        <f t="shared" ref="S581:S644" ca="1" si="66">Q581+R581/1000*X581</f>
        <v>0</v>
      </c>
      <c r="T581" s="284" t="str">
        <f>IF(Table13[[#This Row],[Premium Waiver]]="","None",Table13[[#This Row],[Premium Waiver]])</f>
        <v>None</v>
      </c>
      <c r="U581" s="284">
        <f>Table13[[#This Row],[VAPs Options]]</f>
        <v>0</v>
      </c>
      <c r="V581" s="284">
        <f>Table13[[#This Row],[Annual Increase Option]]</f>
        <v>0</v>
      </c>
      <c r="W581" s="290">
        <f>Table13[[#This Row],[Life Cover Amount]]</f>
        <v>0</v>
      </c>
      <c r="X581" s="290">
        <f>Table13[[#This Row],[Funeral Cover Amount]]</f>
        <v>0</v>
      </c>
      <c r="Y58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8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81" s="301">
        <f t="shared" ref="AA581:AA644" ca="1" si="67">S581+M581</f>
        <v>0</v>
      </c>
      <c r="AB581" s="298"/>
      <c r="AC581" s="326" t="str">
        <f>IF(Table2[[#This Row],[Member Type]]="Main Member",Lookups!$C$13,
IF(Table2[[#This Row],[Member Type]]="Spouse",_xlfn.XLOOKUP(B581,Table2[Main Member Link ID],Table2[Product Option],0),
IF(AND(Table2[[#This Row],[Member Type]]="Child",_xlfn.XLOOKUP(B581,Table2[Main Member Link ID],Table2[Product Option],0)&lt;&gt;"My Value Plus Life"),Lookups!$C$24,
IF(AND(OR(Table2[[#This Row],[Member Type]]="Parent",Table2[[#This Row],[Member Type]]="Extended"),_xlfn.XLOOKUP(B581,Table2[Main Member Link ID],Table2[Product Option],0)&lt;&gt;"My Value Plus Life"),Lookups!$C$26,""))))</f>
        <v/>
      </c>
      <c r="AD581" s="326" t="str">
        <f>IF(Table2[[#This Row],[Member Type]]="Main Member",Lookups!$C$14,"")</f>
        <v/>
      </c>
      <c r="AE58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Funeral",_xlfn.XLOOKUP(B581,Table2[Main Member Link ID],Table2[Benefit Name],0)=Lookups!$D$14),"",
IF(AND(Table2[[#This Row],[Member Type]]="Spouse",Table2[[#This Row],[Product Option]]="My Value Plus Life &amp; Funeral",_xlfn.XLOOKUP(B580,Table2[Main Member Link ID],Table2[Benefit Name],0)=Lookups!$D$15),Lookups!$D$20,
IF(AND(Table2[[#This Row],[Member Type]]="Spouse",Table2[[#This Row],[Product Option]]="My Value Plus Life &amp; Funeral",_xlfn.XLOOKUP(B580,Table2[Main Member Link ID],Table2[Benefit Name],0)=Lookups!$D$16),"",
IF(AND(Table2[[#This Row],[Member Type]]="Spouse",Table2[[#This Row],[Product Option]]="My Value Plus Life &amp; Funeral",_xlfn.XLOOKUP(B580,Table2[Main Member Link ID],Table2[Benefit Name],0)=Lookups!$D$17),Lookups!$D$21,
IF(AND(Table2[[#This Row],[Member Type]]="Child",Table2[[#This Row],[Product Option]]="My Value Plus Life &amp; Funeral",_xlfn.XLOOKUP(B581,Table2[Main Member Link ID],Table2[Benefit Name],0)=Lookups!$D$14),"",
IF(AND(Table2[[#This Row],[Member Type]]="Child",Table2[[#This Row],[Product Option]]="My Value Plus Life &amp; Funeral",_xlfn.XLOOKUP(B581,Table2[Main Member Link ID],Table2[Benefit Name],0)=Lookups!$D$15),"",
IF(AND(Table2[[#This Row],[Member Type]]="Child",Table2[[#This Row],[Product Option]]="My Value Plus Life &amp; Funeral",_xlfn.XLOOKUP(B581,Table2[Main Member Link ID],Table2[Benefit Name],0)=Lookups!$D$16),Lookups!$D$24,
IF(AND(Table2[[#This Row],[Member Type]]="Child",Table2[[#This Row],[Product Option]]="My Value Plus Life &amp; Funeral",_xlfn.XLOOKUP(B581,Table2[Main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Funeral",_xlfn.XLOOKUP(B581,Table2[Main Member Link ID],Table2[Benefit Name],0)&lt;&gt;Lookups!$D$14),
IF(_xlfn.XLOOKUP(B581,Table2[Main Member Link ID],Table2[Benefit Name],0)=0,"",_xlfn.XLOOKUP(B581,Table2[Main Member Link ID],Table2[Benefit Name],0)),"")))))))))))))))</f>
        <v/>
      </c>
      <c r="AF581" s="327" t="str">
        <f>IF(AND(Table2[[#This Row],[Member Type]]="Main Member",Table2[[#This Row],[Product Option]]="My Value Plus Life &amp; Funeral"),Lookups!$D$15,
IF(AND(Table2[[#This Row],[Member Type]]="Spouse",Table2[[#This Row],[Product Option]]="My Value Plus Life &amp; Funeral",_xlfn.XLOOKUP(B581,Table2[Main Member Link ID],Table2[Benefit Name],0)=Lookups!$D$14),"",
IF(AND(Table2[[#This Row],[Member Type]]="Spouse",Table2[[#This Row],[Product Option]]="My Value Plus Life &amp; Funeral",_xlfn.XLOOKUP(B580,Table2[Main Member Link ID],Table2[Benefit Name],0)=Lookups!$D$16),"",
IF(AND(Table2[[#This Row],[Member Type]]="Spouse",Table2[[#This Row],[Product Option]]="My Value Plus Life &amp; Funeral",_xlfn.XLOOKUP(B580,Table2[Main Member Link ID],Table2[Benefit Name],0)=Lookups!$D$15),"",
IF(AND(Table2[[#This Row],[Member Type]]="Spouse",Table2[[#This Row],[Product Option]]="My Value Plus Life &amp; Funeral",_xlfn.XLOOKUP(B580,Table2[Main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Funeral",_xlfn.XLOOKUP(B581,Table2[Main Member Link ID],Table2[Benefit Name],0)&lt;&gt;Lookups!$D$15),
IF(_xlfn.XLOOKUP(B581,Table2[Main Member Link ID],Table2[Benefit Name],0)=0,"",_xlfn.XLOOKUP(B581,Table2[Main Member Link ID],Table2[Benefit Name],0)),"")
))))))</f>
        <v/>
      </c>
      <c r="AG581" s="327" t="str">
        <f>IF(AND(Table2[[#This Row],[Member Type]]="Main Member",Table2[[#This Row],[Product Option]]="My Value Plus Life &amp; Funeral"),Lookups!$D$16,
IF(AND(Table2[[#This Row],[Member Type]]="Spouse",Table2[[#This Row],[Product Option]]="My Value Plus Life &amp; Funeral",_xlfn.XLOOKUP(B581,Table2[Main Member Link ID],Table2[Benefit Name],0)=Lookups!$D$14),"",
IF(AND(Table2[[#This Row],[Member Type]]="Spouse",Table2[[#This Row],[Product Option]]="My Value Plus Life &amp; Funeral",_xlfn.XLOOKUP(B580,Table2[Main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Funeral",_xlfn.XLOOKUP(B581,Table2[Main Member Link ID],Table2[Benefit Name],0)&lt;&gt;Lookups!$D$16),
IF(_xlfn.XLOOKUP(B581,Table2[Main Member Link ID],Table2[Benefit Name],0)=0,"",_xlfn.XLOOKUP(B581,Table2[Main Member Link ID],Table2[Benefit Name],0)),"")
))))</f>
        <v/>
      </c>
      <c r="AH581" s="327" t="str">
        <f>IF(AND(Table2[[#This Row],[Member Type]]="Main Member",Table2[[#This Row],[Product Option]]="My Value Plus Life &amp; Funeral"),Lookups!$D$17,
IF(AND(Table2[[#This Row],[Member Type]]="Spouse",Table2[[#This Row],[Product Option]]="My Value Plus Life &amp; Funeral",_xlfn.XLOOKUP(B581,Table2[Main Member Link ID],Table2[Benefit Name],0)=Lookups!$D$14),"",
IF(AND(Table2[[#This Row],[Member Type]]="Spouse",Table2[[#This Row],[Product Option]]="My Value Plus Life &amp; Funeral",_xlfn.XLOOKUP(B580,Table2[Main Member Link ID],Table2[Benefit Name],0)=Lookups!$D$16),"",
IF(AND(Table2[[#This Row],[Member Type]]="Child",Table2[[#This Row],[Product Option]]="My Value Plus Life &amp; Funeral"),"",
IF(AND(Table2[[#This Row],[Member Type]]="Child",Table2[[#This Row],[Product Option]]="My Value Plus Life &amp; Funeral",_xlfn.XLOOKUP(B581,Table2[Main Member Link ID],Table2[Benefit Name],0)=Lookups!$D$15),"",
IF(AND(OR(Table2[[#This Row],[Member Type]]="Spouse",Table2[[#This Row],[Member Type]]="Child"),Table2[[#This Row],[Product Option]]="My Value Plus Life &amp; Funeral",_xlfn.XLOOKUP(B581,Table2[Main Member Link ID],Table2[Benefit Name],0)&lt;&gt;Lookups!$D$17),
IF(_xlfn.XLOOKUP(B581,Table2[Main Member Link ID],Table2[Benefit Name],0)=0,"",_xlfn.XLOOKUP(B581,Table2[Main Member Link ID],Table2[Benefit Name],0)),""))))))</f>
        <v/>
      </c>
      <c r="AI581" s="328" t="str">
        <f>IF(AND(Table2[[#This Row],[Member Type]]="Main Member",Table2[[#This Row],[Table Lookup for Life Cover]]="MM_LIFE",Table2[[#This Row],[Age Next Birthday]]&lt;56),1,
IF(AND(Table2[[#This Row],[Member Type]]="Main Member",Table2[[#This Row],[Table Lookup for Life Cover]]="MM_LIFE",Table2[[#This Row],[Age Next Birthday]]&gt;=56),2,
""))</f>
        <v/>
      </c>
      <c r="AJ581" s="328">
        <f>IF(OR(Table2[[#This Row],[Member Type]]="Main Member",Table2[[#This Row],[Main Member Link ID]]=B580),1,0)</f>
        <v>1</v>
      </c>
      <c r="AK581" s="328">
        <f>IF(Table2[[#This Row],[Member Type]]=0,0,
IF(OR(Table2[[#This Row],[Member Type]]="Main Member",Table2[[#This Row],[Main Member Link ID]]&lt;&gt;B581),COUNTIFS(B:B,Table2[[#This Row],[Main Member Link ID]]),
COUNTIFS(B:B,Table2[[#This Row],[Main Member Link ID]],A:A,Table2[[#This Row],[Member Type]])))</f>
        <v>0</v>
      </c>
    </row>
    <row r="582" spans="1:37" x14ac:dyDescent="0.3">
      <c r="A582" s="284">
        <f>Table13[[#This Row],[Member Type]]</f>
        <v>0</v>
      </c>
      <c r="B582" s="284">
        <f>Table13[[#This Row],[Main Member Link ID]]</f>
        <v>0</v>
      </c>
      <c r="C582" s="284">
        <f>Table13[[#This Row],[ID Number]]</f>
        <v>0</v>
      </c>
      <c r="D582" s="285">
        <f>Table13[[#This Row],[Date Of Birth]]</f>
        <v>0</v>
      </c>
      <c r="E582" s="285">
        <f>Table13[[#This Row],[Commencement Date]]</f>
        <v>0</v>
      </c>
      <c r="F582" s="284">
        <f t="shared" si="63"/>
        <v>1</v>
      </c>
      <c r="G582" s="284">
        <f t="shared" si="64"/>
        <v>25</v>
      </c>
      <c r="H582" s="286">
        <f>Table13[[#This Row],[Product Option]]</f>
        <v>0</v>
      </c>
      <c r="I582" s="284">
        <f>IF(AND($A582="Main Member",Table2[[#This Row],[Product Option]]="My Value Plus Life"),"MM_LIFE",
IF(AND($A582="Spouse",Table2[[#This Row],[Product Option]]="My Value Plus Life"),"SP_LIFE",
IF(AND($A582="Main Member",Table2[[#This Row],[Product Option]]="My Value Plus Life &amp; Funeral"),"MM_LIFE",
IF(AND($A582="Spouse",Table2[[#This Row],[Product Option]]="My Value Plus Life &amp; Funeral"),_xlfn.XLOOKUP(Table2[[#This Row],[Benefit Name]],Lookups!$D$18:$D$23,Lookups!$E$18:$E$23,0),
0))))</f>
        <v>0</v>
      </c>
      <c r="J582" s="284">
        <f>IF($I582="","",
IF($I582="MM_LIFE",INDEX('Quotation Tool'!$S$54:$V$60,MATCH($T582,'Quotation Tool'!$S$54:$S$60,0),4),
IF($I582="SP_LIFE",_xlfn.XLOOKUP(B581,$B:$B,$J:$J,0),0)))</f>
        <v>0</v>
      </c>
      <c r="K582" s="287">
        <f t="shared" ref="K582:K645" ca="1" si="68">IFERROR(VLOOKUP($G582,INDIRECT($I582),$J582,FALSE),0)</f>
        <v>0</v>
      </c>
      <c r="L582" s="288">
        <f t="shared" ref="L582:L645" ca="1" si="69">IFERROR(VLOOKUP($G582,INDIRECT($I582),$J582+1,FALSE),0)</f>
        <v>0</v>
      </c>
      <c r="M582" s="289">
        <f t="shared" ca="1" si="65"/>
        <v>0</v>
      </c>
      <c r="N582" s="286">
        <f>Table13[[#This Row],[Benefit Option]]</f>
        <v>0</v>
      </c>
      <c r="O582" s="284">
        <f>IF(OR(Table2[[#This Row],[Member Type]]="Spouse",Table2[[#This Row],[Member Type]]="Child"),0,
IF(_xlfn.XLOOKUP($N582,Lookups!$D$13:$D$27,Lookups!$F$13:$F$27,0)=Table2[[#This Row],[Table Lookup for Life Cover]],0,
_xlfn.XLOOKUP($N582,Lookups!$D$13:$D$27,Lookups!$F$13:$F$27,0)))</f>
        <v>0</v>
      </c>
      <c r="P582" s="284">
        <f>IF(Table2[[#This Row],[Table Lookup for Funeral]]=0,0,IFERROR(INDEX('Quotation Tool'!$S$54:$V$60,MATCH($T582,'Quotation Tool'!$S$54:$S$60,0),3),0))</f>
        <v>0</v>
      </c>
      <c r="Q582" s="288">
        <f ca="1">IF(OR(Table2[[#This Row],[Benefit Name]]="My Value Plus Life - Main Member",Table2[[#This Row],[Benefit Name]]="My Value Plus Life - Spouse"),0,
IFERROR(VLOOKUP($G582,INDIRECT($O582),$P582,FALSE),0))</f>
        <v>0</v>
      </c>
      <c r="R582" s="288">
        <f ca="1">IF(OR(Table2[[#This Row],[Benefit Name]]="My Value Plus Life - Main Member",Table2[[#This Row],[Benefit Name]]="My Value Plus Life - Spouse"),0,
IFERROR(VLOOKUP($G582,INDIRECT($O582),$P582+1,FALSE),0))</f>
        <v>0</v>
      </c>
      <c r="S582" s="289">
        <f t="shared" ca="1" si="66"/>
        <v>0</v>
      </c>
      <c r="T582" s="284" t="str">
        <f>IF(Table13[[#This Row],[Premium Waiver]]="","None",Table13[[#This Row],[Premium Waiver]])</f>
        <v>None</v>
      </c>
      <c r="U582" s="284">
        <f>Table13[[#This Row],[VAPs Options]]</f>
        <v>0</v>
      </c>
      <c r="V582" s="284">
        <f>Table13[[#This Row],[Annual Increase Option]]</f>
        <v>0</v>
      </c>
      <c r="W582" s="290">
        <f>Table13[[#This Row],[Life Cover Amount]]</f>
        <v>0</v>
      </c>
      <c r="X582" s="290">
        <f>Table13[[#This Row],[Funeral Cover Amount]]</f>
        <v>0</v>
      </c>
      <c r="Y58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8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82" s="301">
        <f t="shared" ca="1" si="67"/>
        <v>0</v>
      </c>
      <c r="AB582" s="298"/>
      <c r="AC582" s="326" t="str">
        <f>IF(Table2[[#This Row],[Member Type]]="Main Member",Lookups!$C$13,
IF(Table2[[#This Row],[Member Type]]="Spouse",_xlfn.XLOOKUP(B582,Table2[Main Member Link ID],Table2[Product Option],0),
IF(AND(Table2[[#This Row],[Member Type]]="Child",_xlfn.XLOOKUP(B582,Table2[Main Member Link ID],Table2[Product Option],0)&lt;&gt;"My Value Plus Life"),Lookups!$C$24,
IF(AND(OR(Table2[[#This Row],[Member Type]]="Parent",Table2[[#This Row],[Member Type]]="Extended"),_xlfn.XLOOKUP(B582,Table2[Main Member Link ID],Table2[Product Option],0)&lt;&gt;"My Value Plus Life"),Lookups!$C$26,""))))</f>
        <v/>
      </c>
      <c r="AD582" s="326" t="str">
        <f>IF(Table2[[#This Row],[Member Type]]="Main Member",Lookups!$C$14,"")</f>
        <v/>
      </c>
      <c r="AE58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Funeral",_xlfn.XLOOKUP(B582,Table2[Main Member Link ID],Table2[Benefit Name],0)=Lookups!$D$14),"",
IF(AND(Table2[[#This Row],[Member Type]]="Spouse",Table2[[#This Row],[Product Option]]="My Value Plus Life &amp; Funeral",_xlfn.XLOOKUP(B581,Table2[Main Member Link ID],Table2[Benefit Name],0)=Lookups!$D$15),Lookups!$D$20,
IF(AND(Table2[[#This Row],[Member Type]]="Spouse",Table2[[#This Row],[Product Option]]="My Value Plus Life &amp; Funeral",_xlfn.XLOOKUP(B581,Table2[Main Member Link ID],Table2[Benefit Name],0)=Lookups!$D$16),"",
IF(AND(Table2[[#This Row],[Member Type]]="Spouse",Table2[[#This Row],[Product Option]]="My Value Plus Life &amp; Funeral",_xlfn.XLOOKUP(B581,Table2[Main Member Link ID],Table2[Benefit Name],0)=Lookups!$D$17),Lookups!$D$21,
IF(AND(Table2[[#This Row],[Member Type]]="Child",Table2[[#This Row],[Product Option]]="My Value Plus Life &amp; Funeral",_xlfn.XLOOKUP(B582,Table2[Main Member Link ID],Table2[Benefit Name],0)=Lookups!$D$14),"",
IF(AND(Table2[[#This Row],[Member Type]]="Child",Table2[[#This Row],[Product Option]]="My Value Plus Life &amp; Funeral",_xlfn.XLOOKUP(B582,Table2[Main Member Link ID],Table2[Benefit Name],0)=Lookups!$D$15),"",
IF(AND(Table2[[#This Row],[Member Type]]="Child",Table2[[#This Row],[Product Option]]="My Value Plus Life &amp; Funeral",_xlfn.XLOOKUP(B582,Table2[Main Member Link ID],Table2[Benefit Name],0)=Lookups!$D$16),Lookups!$D$24,
IF(AND(Table2[[#This Row],[Member Type]]="Child",Table2[[#This Row],[Product Option]]="My Value Plus Life &amp; Funeral",_xlfn.XLOOKUP(B582,Table2[Main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Funeral",_xlfn.XLOOKUP(B582,Table2[Main Member Link ID],Table2[Benefit Name],0)&lt;&gt;Lookups!$D$14),
IF(_xlfn.XLOOKUP(B582,Table2[Main Member Link ID],Table2[Benefit Name],0)=0,"",_xlfn.XLOOKUP(B582,Table2[Main Member Link ID],Table2[Benefit Name],0)),"")))))))))))))))</f>
        <v/>
      </c>
      <c r="AF582" s="327" t="str">
        <f>IF(AND(Table2[[#This Row],[Member Type]]="Main Member",Table2[[#This Row],[Product Option]]="My Value Plus Life &amp; Funeral"),Lookups!$D$15,
IF(AND(Table2[[#This Row],[Member Type]]="Spouse",Table2[[#This Row],[Product Option]]="My Value Plus Life &amp; Funeral",_xlfn.XLOOKUP(B582,Table2[Main Member Link ID],Table2[Benefit Name],0)=Lookups!$D$14),"",
IF(AND(Table2[[#This Row],[Member Type]]="Spouse",Table2[[#This Row],[Product Option]]="My Value Plus Life &amp; Funeral",_xlfn.XLOOKUP(B581,Table2[Main Member Link ID],Table2[Benefit Name],0)=Lookups!$D$16),"",
IF(AND(Table2[[#This Row],[Member Type]]="Spouse",Table2[[#This Row],[Product Option]]="My Value Plus Life &amp; Funeral",_xlfn.XLOOKUP(B581,Table2[Main Member Link ID],Table2[Benefit Name],0)=Lookups!$D$15),"",
IF(AND(Table2[[#This Row],[Member Type]]="Spouse",Table2[[#This Row],[Product Option]]="My Value Plus Life &amp; Funeral",_xlfn.XLOOKUP(B581,Table2[Main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Funeral",_xlfn.XLOOKUP(B582,Table2[Main Member Link ID],Table2[Benefit Name],0)&lt;&gt;Lookups!$D$15),
IF(_xlfn.XLOOKUP(B582,Table2[Main Member Link ID],Table2[Benefit Name],0)=0,"",_xlfn.XLOOKUP(B582,Table2[Main Member Link ID],Table2[Benefit Name],0)),"")
))))))</f>
        <v/>
      </c>
      <c r="AG582" s="327" t="str">
        <f>IF(AND(Table2[[#This Row],[Member Type]]="Main Member",Table2[[#This Row],[Product Option]]="My Value Plus Life &amp; Funeral"),Lookups!$D$16,
IF(AND(Table2[[#This Row],[Member Type]]="Spouse",Table2[[#This Row],[Product Option]]="My Value Plus Life &amp; Funeral",_xlfn.XLOOKUP(B582,Table2[Main Member Link ID],Table2[Benefit Name],0)=Lookups!$D$14),"",
IF(AND(Table2[[#This Row],[Member Type]]="Spouse",Table2[[#This Row],[Product Option]]="My Value Plus Life &amp; Funeral",_xlfn.XLOOKUP(B581,Table2[Main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Funeral",_xlfn.XLOOKUP(B582,Table2[Main Member Link ID],Table2[Benefit Name],0)&lt;&gt;Lookups!$D$16),
IF(_xlfn.XLOOKUP(B582,Table2[Main Member Link ID],Table2[Benefit Name],0)=0,"",_xlfn.XLOOKUP(B582,Table2[Main Member Link ID],Table2[Benefit Name],0)),"")
))))</f>
        <v/>
      </c>
      <c r="AH582" s="327" t="str">
        <f>IF(AND(Table2[[#This Row],[Member Type]]="Main Member",Table2[[#This Row],[Product Option]]="My Value Plus Life &amp; Funeral"),Lookups!$D$17,
IF(AND(Table2[[#This Row],[Member Type]]="Spouse",Table2[[#This Row],[Product Option]]="My Value Plus Life &amp; Funeral",_xlfn.XLOOKUP(B582,Table2[Main Member Link ID],Table2[Benefit Name],0)=Lookups!$D$14),"",
IF(AND(Table2[[#This Row],[Member Type]]="Spouse",Table2[[#This Row],[Product Option]]="My Value Plus Life &amp; Funeral",_xlfn.XLOOKUP(B581,Table2[Main Member Link ID],Table2[Benefit Name],0)=Lookups!$D$16),"",
IF(AND(Table2[[#This Row],[Member Type]]="Child",Table2[[#This Row],[Product Option]]="My Value Plus Life &amp; Funeral"),"",
IF(AND(Table2[[#This Row],[Member Type]]="Child",Table2[[#This Row],[Product Option]]="My Value Plus Life &amp; Funeral",_xlfn.XLOOKUP(B582,Table2[Main Member Link ID],Table2[Benefit Name],0)=Lookups!$D$15),"",
IF(AND(OR(Table2[[#This Row],[Member Type]]="Spouse",Table2[[#This Row],[Member Type]]="Child"),Table2[[#This Row],[Product Option]]="My Value Plus Life &amp; Funeral",_xlfn.XLOOKUP(B582,Table2[Main Member Link ID],Table2[Benefit Name],0)&lt;&gt;Lookups!$D$17),
IF(_xlfn.XLOOKUP(B582,Table2[Main Member Link ID],Table2[Benefit Name],0)=0,"",_xlfn.XLOOKUP(B582,Table2[Main Member Link ID],Table2[Benefit Name],0)),""))))))</f>
        <v/>
      </c>
      <c r="AI582" s="328" t="str">
        <f>IF(AND(Table2[[#This Row],[Member Type]]="Main Member",Table2[[#This Row],[Table Lookup for Life Cover]]="MM_LIFE",Table2[[#This Row],[Age Next Birthday]]&lt;56),1,
IF(AND(Table2[[#This Row],[Member Type]]="Main Member",Table2[[#This Row],[Table Lookup for Life Cover]]="MM_LIFE",Table2[[#This Row],[Age Next Birthday]]&gt;=56),2,
""))</f>
        <v/>
      </c>
      <c r="AJ582" s="328">
        <f>IF(OR(Table2[[#This Row],[Member Type]]="Main Member",Table2[[#This Row],[Main Member Link ID]]=B581),1,0)</f>
        <v>1</v>
      </c>
      <c r="AK582" s="328">
        <f>IF(Table2[[#This Row],[Member Type]]=0,0,
IF(OR(Table2[[#This Row],[Member Type]]="Main Member",Table2[[#This Row],[Main Member Link ID]]&lt;&gt;B582),COUNTIFS(B:B,Table2[[#This Row],[Main Member Link ID]]),
COUNTIFS(B:B,Table2[[#This Row],[Main Member Link ID]],A:A,Table2[[#This Row],[Member Type]])))</f>
        <v>0</v>
      </c>
    </row>
    <row r="583" spans="1:37" x14ac:dyDescent="0.3">
      <c r="A583" s="284">
        <f>Table13[[#This Row],[Member Type]]</f>
        <v>0</v>
      </c>
      <c r="B583" s="284">
        <f>Table13[[#This Row],[Main Member Link ID]]</f>
        <v>0</v>
      </c>
      <c r="C583" s="284">
        <f>Table13[[#This Row],[ID Number]]</f>
        <v>0</v>
      </c>
      <c r="D583" s="285">
        <f>Table13[[#This Row],[Date Of Birth]]</f>
        <v>0</v>
      </c>
      <c r="E583" s="285">
        <f>Table13[[#This Row],[Commencement Date]]</f>
        <v>0</v>
      </c>
      <c r="F583" s="284">
        <f t="shared" si="63"/>
        <v>1</v>
      </c>
      <c r="G583" s="284">
        <f t="shared" si="64"/>
        <v>25</v>
      </c>
      <c r="H583" s="286">
        <f>Table13[[#This Row],[Product Option]]</f>
        <v>0</v>
      </c>
      <c r="I583" s="284">
        <f>IF(AND($A583="Main Member",Table2[[#This Row],[Product Option]]="My Value Plus Life"),"MM_LIFE",
IF(AND($A583="Spouse",Table2[[#This Row],[Product Option]]="My Value Plus Life"),"SP_LIFE",
IF(AND($A583="Main Member",Table2[[#This Row],[Product Option]]="My Value Plus Life &amp; Funeral"),"MM_LIFE",
IF(AND($A583="Spouse",Table2[[#This Row],[Product Option]]="My Value Plus Life &amp; Funeral"),_xlfn.XLOOKUP(Table2[[#This Row],[Benefit Name]],Lookups!$D$18:$D$23,Lookups!$E$18:$E$23,0),
0))))</f>
        <v>0</v>
      </c>
      <c r="J583" s="284">
        <f>IF($I583="","",
IF($I583="MM_LIFE",INDEX('Quotation Tool'!$S$54:$V$60,MATCH($T583,'Quotation Tool'!$S$54:$S$60,0),4),
IF($I583="SP_LIFE",_xlfn.XLOOKUP(B582,$B:$B,$J:$J,0),0)))</f>
        <v>0</v>
      </c>
      <c r="K583" s="287">
        <f t="shared" ca="1" si="68"/>
        <v>0</v>
      </c>
      <c r="L583" s="288">
        <f t="shared" ca="1" si="69"/>
        <v>0</v>
      </c>
      <c r="M583" s="289">
        <f t="shared" ca="1" si="65"/>
        <v>0</v>
      </c>
      <c r="N583" s="286">
        <f>Table13[[#This Row],[Benefit Option]]</f>
        <v>0</v>
      </c>
      <c r="O583" s="284">
        <f>IF(OR(Table2[[#This Row],[Member Type]]="Spouse",Table2[[#This Row],[Member Type]]="Child"),0,
IF(_xlfn.XLOOKUP($N583,Lookups!$D$13:$D$27,Lookups!$F$13:$F$27,0)=Table2[[#This Row],[Table Lookup for Life Cover]],0,
_xlfn.XLOOKUP($N583,Lookups!$D$13:$D$27,Lookups!$F$13:$F$27,0)))</f>
        <v>0</v>
      </c>
      <c r="P583" s="284">
        <f>IF(Table2[[#This Row],[Table Lookup for Funeral]]=0,0,IFERROR(INDEX('Quotation Tool'!$S$54:$V$60,MATCH($T583,'Quotation Tool'!$S$54:$S$60,0),3),0))</f>
        <v>0</v>
      </c>
      <c r="Q583" s="288">
        <f ca="1">IF(OR(Table2[[#This Row],[Benefit Name]]="My Value Plus Life - Main Member",Table2[[#This Row],[Benefit Name]]="My Value Plus Life - Spouse"),0,
IFERROR(VLOOKUP($G583,INDIRECT($O583),$P583,FALSE),0))</f>
        <v>0</v>
      </c>
      <c r="R583" s="288">
        <f ca="1">IF(OR(Table2[[#This Row],[Benefit Name]]="My Value Plus Life - Main Member",Table2[[#This Row],[Benefit Name]]="My Value Plus Life - Spouse"),0,
IFERROR(VLOOKUP($G583,INDIRECT($O583),$P583+1,FALSE),0))</f>
        <v>0</v>
      </c>
      <c r="S583" s="289">
        <f t="shared" ca="1" si="66"/>
        <v>0</v>
      </c>
      <c r="T583" s="284" t="str">
        <f>IF(Table13[[#This Row],[Premium Waiver]]="","None",Table13[[#This Row],[Premium Waiver]])</f>
        <v>None</v>
      </c>
      <c r="U583" s="284">
        <f>Table13[[#This Row],[VAPs Options]]</f>
        <v>0</v>
      </c>
      <c r="V583" s="284">
        <f>Table13[[#This Row],[Annual Increase Option]]</f>
        <v>0</v>
      </c>
      <c r="W583" s="290">
        <f>Table13[[#This Row],[Life Cover Amount]]</f>
        <v>0</v>
      </c>
      <c r="X583" s="290">
        <f>Table13[[#This Row],[Funeral Cover Amount]]</f>
        <v>0</v>
      </c>
      <c r="Y58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8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83" s="301">
        <f t="shared" ca="1" si="67"/>
        <v>0</v>
      </c>
      <c r="AB583" s="298"/>
      <c r="AC583" s="326" t="str">
        <f>IF(Table2[[#This Row],[Member Type]]="Main Member",Lookups!$C$13,
IF(Table2[[#This Row],[Member Type]]="Spouse",_xlfn.XLOOKUP(B583,Table2[Main Member Link ID],Table2[Product Option],0),
IF(AND(Table2[[#This Row],[Member Type]]="Child",_xlfn.XLOOKUP(B583,Table2[Main Member Link ID],Table2[Product Option],0)&lt;&gt;"My Value Plus Life"),Lookups!$C$24,
IF(AND(OR(Table2[[#This Row],[Member Type]]="Parent",Table2[[#This Row],[Member Type]]="Extended"),_xlfn.XLOOKUP(B583,Table2[Main Member Link ID],Table2[Product Option],0)&lt;&gt;"My Value Plus Life"),Lookups!$C$26,""))))</f>
        <v/>
      </c>
      <c r="AD583" s="326" t="str">
        <f>IF(Table2[[#This Row],[Member Type]]="Main Member",Lookups!$C$14,"")</f>
        <v/>
      </c>
      <c r="AE58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Funeral",_xlfn.XLOOKUP(B583,Table2[Main Member Link ID],Table2[Benefit Name],0)=Lookups!$D$14),"",
IF(AND(Table2[[#This Row],[Member Type]]="Spouse",Table2[[#This Row],[Product Option]]="My Value Plus Life &amp; Funeral",_xlfn.XLOOKUP(B582,Table2[Main Member Link ID],Table2[Benefit Name],0)=Lookups!$D$15),Lookups!$D$20,
IF(AND(Table2[[#This Row],[Member Type]]="Spouse",Table2[[#This Row],[Product Option]]="My Value Plus Life &amp; Funeral",_xlfn.XLOOKUP(B582,Table2[Main Member Link ID],Table2[Benefit Name],0)=Lookups!$D$16),"",
IF(AND(Table2[[#This Row],[Member Type]]="Spouse",Table2[[#This Row],[Product Option]]="My Value Plus Life &amp; Funeral",_xlfn.XLOOKUP(B582,Table2[Main Member Link ID],Table2[Benefit Name],0)=Lookups!$D$17),Lookups!$D$21,
IF(AND(Table2[[#This Row],[Member Type]]="Child",Table2[[#This Row],[Product Option]]="My Value Plus Life &amp; Funeral",_xlfn.XLOOKUP(B583,Table2[Main Member Link ID],Table2[Benefit Name],0)=Lookups!$D$14),"",
IF(AND(Table2[[#This Row],[Member Type]]="Child",Table2[[#This Row],[Product Option]]="My Value Plus Life &amp; Funeral",_xlfn.XLOOKUP(B583,Table2[Main Member Link ID],Table2[Benefit Name],0)=Lookups!$D$15),"",
IF(AND(Table2[[#This Row],[Member Type]]="Child",Table2[[#This Row],[Product Option]]="My Value Plus Life &amp; Funeral",_xlfn.XLOOKUP(B583,Table2[Main Member Link ID],Table2[Benefit Name],0)=Lookups!$D$16),Lookups!$D$24,
IF(AND(Table2[[#This Row],[Member Type]]="Child",Table2[[#This Row],[Product Option]]="My Value Plus Life &amp; Funeral",_xlfn.XLOOKUP(B583,Table2[Main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Funeral",_xlfn.XLOOKUP(B583,Table2[Main Member Link ID],Table2[Benefit Name],0)&lt;&gt;Lookups!$D$14),
IF(_xlfn.XLOOKUP(B583,Table2[Main Member Link ID],Table2[Benefit Name],0)=0,"",_xlfn.XLOOKUP(B583,Table2[Main Member Link ID],Table2[Benefit Name],0)),"")))))))))))))))</f>
        <v/>
      </c>
      <c r="AF583" s="327" t="str">
        <f>IF(AND(Table2[[#This Row],[Member Type]]="Main Member",Table2[[#This Row],[Product Option]]="My Value Plus Life &amp; Funeral"),Lookups!$D$15,
IF(AND(Table2[[#This Row],[Member Type]]="Spouse",Table2[[#This Row],[Product Option]]="My Value Plus Life &amp; Funeral",_xlfn.XLOOKUP(B583,Table2[Main Member Link ID],Table2[Benefit Name],0)=Lookups!$D$14),"",
IF(AND(Table2[[#This Row],[Member Type]]="Spouse",Table2[[#This Row],[Product Option]]="My Value Plus Life &amp; Funeral",_xlfn.XLOOKUP(B582,Table2[Main Member Link ID],Table2[Benefit Name],0)=Lookups!$D$16),"",
IF(AND(Table2[[#This Row],[Member Type]]="Spouse",Table2[[#This Row],[Product Option]]="My Value Plus Life &amp; Funeral",_xlfn.XLOOKUP(B582,Table2[Main Member Link ID],Table2[Benefit Name],0)=Lookups!$D$15),"",
IF(AND(Table2[[#This Row],[Member Type]]="Spouse",Table2[[#This Row],[Product Option]]="My Value Plus Life &amp; Funeral",_xlfn.XLOOKUP(B582,Table2[Main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Funeral",_xlfn.XLOOKUP(B583,Table2[Main Member Link ID],Table2[Benefit Name],0)&lt;&gt;Lookups!$D$15),
IF(_xlfn.XLOOKUP(B583,Table2[Main Member Link ID],Table2[Benefit Name],0)=0,"",_xlfn.XLOOKUP(B583,Table2[Main Member Link ID],Table2[Benefit Name],0)),"")
))))))</f>
        <v/>
      </c>
      <c r="AG583" s="327" t="str">
        <f>IF(AND(Table2[[#This Row],[Member Type]]="Main Member",Table2[[#This Row],[Product Option]]="My Value Plus Life &amp; Funeral"),Lookups!$D$16,
IF(AND(Table2[[#This Row],[Member Type]]="Spouse",Table2[[#This Row],[Product Option]]="My Value Plus Life &amp; Funeral",_xlfn.XLOOKUP(B583,Table2[Main Member Link ID],Table2[Benefit Name],0)=Lookups!$D$14),"",
IF(AND(Table2[[#This Row],[Member Type]]="Spouse",Table2[[#This Row],[Product Option]]="My Value Plus Life &amp; Funeral",_xlfn.XLOOKUP(B582,Table2[Main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Funeral",_xlfn.XLOOKUP(B583,Table2[Main Member Link ID],Table2[Benefit Name],0)&lt;&gt;Lookups!$D$16),
IF(_xlfn.XLOOKUP(B583,Table2[Main Member Link ID],Table2[Benefit Name],0)=0,"",_xlfn.XLOOKUP(B583,Table2[Main Member Link ID],Table2[Benefit Name],0)),"")
))))</f>
        <v/>
      </c>
      <c r="AH583" s="327" t="str">
        <f>IF(AND(Table2[[#This Row],[Member Type]]="Main Member",Table2[[#This Row],[Product Option]]="My Value Plus Life &amp; Funeral"),Lookups!$D$17,
IF(AND(Table2[[#This Row],[Member Type]]="Spouse",Table2[[#This Row],[Product Option]]="My Value Plus Life &amp; Funeral",_xlfn.XLOOKUP(B583,Table2[Main Member Link ID],Table2[Benefit Name],0)=Lookups!$D$14),"",
IF(AND(Table2[[#This Row],[Member Type]]="Spouse",Table2[[#This Row],[Product Option]]="My Value Plus Life &amp; Funeral",_xlfn.XLOOKUP(B582,Table2[Main Member Link ID],Table2[Benefit Name],0)=Lookups!$D$16),"",
IF(AND(Table2[[#This Row],[Member Type]]="Child",Table2[[#This Row],[Product Option]]="My Value Plus Life &amp; Funeral"),"",
IF(AND(Table2[[#This Row],[Member Type]]="Child",Table2[[#This Row],[Product Option]]="My Value Plus Life &amp; Funeral",_xlfn.XLOOKUP(B583,Table2[Main Member Link ID],Table2[Benefit Name],0)=Lookups!$D$15),"",
IF(AND(OR(Table2[[#This Row],[Member Type]]="Spouse",Table2[[#This Row],[Member Type]]="Child"),Table2[[#This Row],[Product Option]]="My Value Plus Life &amp; Funeral",_xlfn.XLOOKUP(B583,Table2[Main Member Link ID],Table2[Benefit Name],0)&lt;&gt;Lookups!$D$17),
IF(_xlfn.XLOOKUP(B583,Table2[Main Member Link ID],Table2[Benefit Name],0)=0,"",_xlfn.XLOOKUP(B583,Table2[Main Member Link ID],Table2[Benefit Name],0)),""))))))</f>
        <v/>
      </c>
      <c r="AI583" s="328" t="str">
        <f>IF(AND(Table2[[#This Row],[Member Type]]="Main Member",Table2[[#This Row],[Table Lookup for Life Cover]]="MM_LIFE",Table2[[#This Row],[Age Next Birthday]]&lt;56),1,
IF(AND(Table2[[#This Row],[Member Type]]="Main Member",Table2[[#This Row],[Table Lookup for Life Cover]]="MM_LIFE",Table2[[#This Row],[Age Next Birthday]]&gt;=56),2,
""))</f>
        <v/>
      </c>
      <c r="AJ583" s="328">
        <f>IF(OR(Table2[[#This Row],[Member Type]]="Main Member",Table2[[#This Row],[Main Member Link ID]]=B582),1,0)</f>
        <v>1</v>
      </c>
      <c r="AK583" s="328">
        <f>IF(Table2[[#This Row],[Member Type]]=0,0,
IF(OR(Table2[[#This Row],[Member Type]]="Main Member",Table2[[#This Row],[Main Member Link ID]]&lt;&gt;B583),COUNTIFS(B:B,Table2[[#This Row],[Main Member Link ID]]),
COUNTIFS(B:B,Table2[[#This Row],[Main Member Link ID]],A:A,Table2[[#This Row],[Member Type]])))</f>
        <v>0</v>
      </c>
    </row>
    <row r="584" spans="1:37" x14ac:dyDescent="0.3">
      <c r="A584" s="284">
        <f>Table13[[#This Row],[Member Type]]</f>
        <v>0</v>
      </c>
      <c r="B584" s="284">
        <f>Table13[[#This Row],[Main Member Link ID]]</f>
        <v>0</v>
      </c>
      <c r="C584" s="284">
        <f>Table13[[#This Row],[ID Number]]</f>
        <v>0</v>
      </c>
      <c r="D584" s="285">
        <f>Table13[[#This Row],[Date Of Birth]]</f>
        <v>0</v>
      </c>
      <c r="E584" s="285">
        <f>Table13[[#This Row],[Commencement Date]]</f>
        <v>0</v>
      </c>
      <c r="F584" s="284">
        <f t="shared" si="63"/>
        <v>1</v>
      </c>
      <c r="G584" s="284">
        <f t="shared" si="64"/>
        <v>25</v>
      </c>
      <c r="H584" s="286">
        <f>Table13[[#This Row],[Product Option]]</f>
        <v>0</v>
      </c>
      <c r="I584" s="284">
        <f>IF(AND($A584="Main Member",Table2[[#This Row],[Product Option]]="My Value Plus Life"),"MM_LIFE",
IF(AND($A584="Spouse",Table2[[#This Row],[Product Option]]="My Value Plus Life"),"SP_LIFE",
IF(AND($A584="Main Member",Table2[[#This Row],[Product Option]]="My Value Plus Life &amp; Funeral"),"MM_LIFE",
IF(AND($A584="Spouse",Table2[[#This Row],[Product Option]]="My Value Plus Life &amp; Funeral"),_xlfn.XLOOKUP(Table2[[#This Row],[Benefit Name]],Lookups!$D$18:$D$23,Lookups!$E$18:$E$23,0),
0))))</f>
        <v>0</v>
      </c>
      <c r="J584" s="284">
        <f>IF($I584="","",
IF($I584="MM_LIFE",INDEX('Quotation Tool'!$S$54:$V$60,MATCH($T584,'Quotation Tool'!$S$54:$S$60,0),4),
IF($I584="SP_LIFE",_xlfn.XLOOKUP(B583,$B:$B,$J:$J,0),0)))</f>
        <v>0</v>
      </c>
      <c r="K584" s="287">
        <f t="shared" ca="1" si="68"/>
        <v>0</v>
      </c>
      <c r="L584" s="288">
        <f t="shared" ca="1" si="69"/>
        <v>0</v>
      </c>
      <c r="M584" s="289">
        <f t="shared" ca="1" si="65"/>
        <v>0</v>
      </c>
      <c r="N584" s="286">
        <f>Table13[[#This Row],[Benefit Option]]</f>
        <v>0</v>
      </c>
      <c r="O584" s="284">
        <f>IF(OR(Table2[[#This Row],[Member Type]]="Spouse",Table2[[#This Row],[Member Type]]="Child"),0,
IF(_xlfn.XLOOKUP($N584,Lookups!$D$13:$D$27,Lookups!$F$13:$F$27,0)=Table2[[#This Row],[Table Lookup for Life Cover]],0,
_xlfn.XLOOKUP($N584,Lookups!$D$13:$D$27,Lookups!$F$13:$F$27,0)))</f>
        <v>0</v>
      </c>
      <c r="P584" s="284">
        <f>IF(Table2[[#This Row],[Table Lookup for Funeral]]=0,0,IFERROR(INDEX('Quotation Tool'!$S$54:$V$60,MATCH($T584,'Quotation Tool'!$S$54:$S$60,0),3),0))</f>
        <v>0</v>
      </c>
      <c r="Q584" s="288">
        <f ca="1">IF(OR(Table2[[#This Row],[Benefit Name]]="My Value Plus Life - Main Member",Table2[[#This Row],[Benefit Name]]="My Value Plus Life - Spouse"),0,
IFERROR(VLOOKUP($G584,INDIRECT($O584),$P584,FALSE),0))</f>
        <v>0</v>
      </c>
      <c r="R584" s="288">
        <f ca="1">IF(OR(Table2[[#This Row],[Benefit Name]]="My Value Plus Life - Main Member",Table2[[#This Row],[Benefit Name]]="My Value Plus Life - Spouse"),0,
IFERROR(VLOOKUP($G584,INDIRECT($O584),$P584+1,FALSE),0))</f>
        <v>0</v>
      </c>
      <c r="S584" s="289">
        <f t="shared" ca="1" si="66"/>
        <v>0</v>
      </c>
      <c r="T584" s="284" t="str">
        <f>IF(Table13[[#This Row],[Premium Waiver]]="","None",Table13[[#This Row],[Premium Waiver]])</f>
        <v>None</v>
      </c>
      <c r="U584" s="284">
        <f>Table13[[#This Row],[VAPs Options]]</f>
        <v>0</v>
      </c>
      <c r="V584" s="284">
        <f>Table13[[#This Row],[Annual Increase Option]]</f>
        <v>0</v>
      </c>
      <c r="W584" s="290">
        <f>Table13[[#This Row],[Life Cover Amount]]</f>
        <v>0</v>
      </c>
      <c r="X584" s="290">
        <f>Table13[[#This Row],[Funeral Cover Amount]]</f>
        <v>0</v>
      </c>
      <c r="Y58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8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84" s="301">
        <f t="shared" ca="1" si="67"/>
        <v>0</v>
      </c>
      <c r="AB584" s="298"/>
      <c r="AC584" s="326" t="str">
        <f>IF(Table2[[#This Row],[Member Type]]="Main Member",Lookups!$C$13,
IF(Table2[[#This Row],[Member Type]]="Spouse",_xlfn.XLOOKUP(B584,Table2[Main Member Link ID],Table2[Product Option],0),
IF(AND(Table2[[#This Row],[Member Type]]="Child",_xlfn.XLOOKUP(B584,Table2[Main Member Link ID],Table2[Product Option],0)&lt;&gt;"My Value Plus Life"),Lookups!$C$24,
IF(AND(OR(Table2[[#This Row],[Member Type]]="Parent",Table2[[#This Row],[Member Type]]="Extended"),_xlfn.XLOOKUP(B584,Table2[Main Member Link ID],Table2[Product Option],0)&lt;&gt;"My Value Plus Life"),Lookups!$C$26,""))))</f>
        <v/>
      </c>
      <c r="AD584" s="326" t="str">
        <f>IF(Table2[[#This Row],[Member Type]]="Main Member",Lookups!$C$14,"")</f>
        <v/>
      </c>
      <c r="AE58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Funeral",_xlfn.XLOOKUP(B584,Table2[Main Member Link ID],Table2[Benefit Name],0)=Lookups!$D$14),"",
IF(AND(Table2[[#This Row],[Member Type]]="Spouse",Table2[[#This Row],[Product Option]]="My Value Plus Life &amp; Funeral",_xlfn.XLOOKUP(B583,Table2[Main Member Link ID],Table2[Benefit Name],0)=Lookups!$D$15),Lookups!$D$20,
IF(AND(Table2[[#This Row],[Member Type]]="Spouse",Table2[[#This Row],[Product Option]]="My Value Plus Life &amp; Funeral",_xlfn.XLOOKUP(B583,Table2[Main Member Link ID],Table2[Benefit Name],0)=Lookups!$D$16),"",
IF(AND(Table2[[#This Row],[Member Type]]="Spouse",Table2[[#This Row],[Product Option]]="My Value Plus Life &amp; Funeral",_xlfn.XLOOKUP(B583,Table2[Main Member Link ID],Table2[Benefit Name],0)=Lookups!$D$17),Lookups!$D$21,
IF(AND(Table2[[#This Row],[Member Type]]="Child",Table2[[#This Row],[Product Option]]="My Value Plus Life &amp; Funeral",_xlfn.XLOOKUP(B584,Table2[Main Member Link ID],Table2[Benefit Name],0)=Lookups!$D$14),"",
IF(AND(Table2[[#This Row],[Member Type]]="Child",Table2[[#This Row],[Product Option]]="My Value Plus Life &amp; Funeral",_xlfn.XLOOKUP(B584,Table2[Main Member Link ID],Table2[Benefit Name],0)=Lookups!$D$15),"",
IF(AND(Table2[[#This Row],[Member Type]]="Child",Table2[[#This Row],[Product Option]]="My Value Plus Life &amp; Funeral",_xlfn.XLOOKUP(B584,Table2[Main Member Link ID],Table2[Benefit Name],0)=Lookups!$D$16),Lookups!$D$24,
IF(AND(Table2[[#This Row],[Member Type]]="Child",Table2[[#This Row],[Product Option]]="My Value Plus Life &amp; Funeral",_xlfn.XLOOKUP(B584,Table2[Main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Funeral",_xlfn.XLOOKUP(B584,Table2[Main Member Link ID],Table2[Benefit Name],0)&lt;&gt;Lookups!$D$14),
IF(_xlfn.XLOOKUP(B584,Table2[Main Member Link ID],Table2[Benefit Name],0)=0,"",_xlfn.XLOOKUP(B584,Table2[Main Member Link ID],Table2[Benefit Name],0)),"")))))))))))))))</f>
        <v/>
      </c>
      <c r="AF584" s="327" t="str">
        <f>IF(AND(Table2[[#This Row],[Member Type]]="Main Member",Table2[[#This Row],[Product Option]]="My Value Plus Life &amp; Funeral"),Lookups!$D$15,
IF(AND(Table2[[#This Row],[Member Type]]="Spouse",Table2[[#This Row],[Product Option]]="My Value Plus Life &amp; Funeral",_xlfn.XLOOKUP(B584,Table2[Main Member Link ID],Table2[Benefit Name],0)=Lookups!$D$14),"",
IF(AND(Table2[[#This Row],[Member Type]]="Spouse",Table2[[#This Row],[Product Option]]="My Value Plus Life &amp; Funeral",_xlfn.XLOOKUP(B583,Table2[Main Member Link ID],Table2[Benefit Name],0)=Lookups!$D$16),"",
IF(AND(Table2[[#This Row],[Member Type]]="Spouse",Table2[[#This Row],[Product Option]]="My Value Plus Life &amp; Funeral",_xlfn.XLOOKUP(B583,Table2[Main Member Link ID],Table2[Benefit Name],0)=Lookups!$D$15),"",
IF(AND(Table2[[#This Row],[Member Type]]="Spouse",Table2[[#This Row],[Product Option]]="My Value Plus Life &amp; Funeral",_xlfn.XLOOKUP(B583,Table2[Main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Funeral",_xlfn.XLOOKUP(B584,Table2[Main Member Link ID],Table2[Benefit Name],0)&lt;&gt;Lookups!$D$15),
IF(_xlfn.XLOOKUP(B584,Table2[Main Member Link ID],Table2[Benefit Name],0)=0,"",_xlfn.XLOOKUP(B584,Table2[Main Member Link ID],Table2[Benefit Name],0)),"")
))))))</f>
        <v/>
      </c>
      <c r="AG584" s="327" t="str">
        <f>IF(AND(Table2[[#This Row],[Member Type]]="Main Member",Table2[[#This Row],[Product Option]]="My Value Plus Life &amp; Funeral"),Lookups!$D$16,
IF(AND(Table2[[#This Row],[Member Type]]="Spouse",Table2[[#This Row],[Product Option]]="My Value Plus Life &amp; Funeral",_xlfn.XLOOKUP(B584,Table2[Main Member Link ID],Table2[Benefit Name],0)=Lookups!$D$14),"",
IF(AND(Table2[[#This Row],[Member Type]]="Spouse",Table2[[#This Row],[Product Option]]="My Value Plus Life &amp; Funeral",_xlfn.XLOOKUP(B583,Table2[Main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Funeral",_xlfn.XLOOKUP(B584,Table2[Main Member Link ID],Table2[Benefit Name],0)&lt;&gt;Lookups!$D$16),
IF(_xlfn.XLOOKUP(B584,Table2[Main Member Link ID],Table2[Benefit Name],0)=0,"",_xlfn.XLOOKUP(B584,Table2[Main Member Link ID],Table2[Benefit Name],0)),"")
))))</f>
        <v/>
      </c>
      <c r="AH584" s="327" t="str">
        <f>IF(AND(Table2[[#This Row],[Member Type]]="Main Member",Table2[[#This Row],[Product Option]]="My Value Plus Life &amp; Funeral"),Lookups!$D$17,
IF(AND(Table2[[#This Row],[Member Type]]="Spouse",Table2[[#This Row],[Product Option]]="My Value Plus Life &amp; Funeral",_xlfn.XLOOKUP(B584,Table2[Main Member Link ID],Table2[Benefit Name],0)=Lookups!$D$14),"",
IF(AND(Table2[[#This Row],[Member Type]]="Spouse",Table2[[#This Row],[Product Option]]="My Value Plus Life &amp; Funeral",_xlfn.XLOOKUP(B583,Table2[Main Member Link ID],Table2[Benefit Name],0)=Lookups!$D$16),"",
IF(AND(Table2[[#This Row],[Member Type]]="Child",Table2[[#This Row],[Product Option]]="My Value Plus Life &amp; Funeral"),"",
IF(AND(Table2[[#This Row],[Member Type]]="Child",Table2[[#This Row],[Product Option]]="My Value Plus Life &amp; Funeral",_xlfn.XLOOKUP(B584,Table2[Main Member Link ID],Table2[Benefit Name],0)=Lookups!$D$15),"",
IF(AND(OR(Table2[[#This Row],[Member Type]]="Spouse",Table2[[#This Row],[Member Type]]="Child"),Table2[[#This Row],[Product Option]]="My Value Plus Life &amp; Funeral",_xlfn.XLOOKUP(B584,Table2[Main Member Link ID],Table2[Benefit Name],0)&lt;&gt;Lookups!$D$17),
IF(_xlfn.XLOOKUP(B584,Table2[Main Member Link ID],Table2[Benefit Name],0)=0,"",_xlfn.XLOOKUP(B584,Table2[Main Member Link ID],Table2[Benefit Name],0)),""))))))</f>
        <v/>
      </c>
      <c r="AI584" s="328" t="str">
        <f>IF(AND(Table2[[#This Row],[Member Type]]="Main Member",Table2[[#This Row],[Table Lookup for Life Cover]]="MM_LIFE",Table2[[#This Row],[Age Next Birthday]]&lt;56),1,
IF(AND(Table2[[#This Row],[Member Type]]="Main Member",Table2[[#This Row],[Table Lookup for Life Cover]]="MM_LIFE",Table2[[#This Row],[Age Next Birthday]]&gt;=56),2,
""))</f>
        <v/>
      </c>
      <c r="AJ584" s="328">
        <f>IF(OR(Table2[[#This Row],[Member Type]]="Main Member",Table2[[#This Row],[Main Member Link ID]]=B583),1,0)</f>
        <v>1</v>
      </c>
      <c r="AK584" s="328">
        <f>IF(Table2[[#This Row],[Member Type]]=0,0,
IF(OR(Table2[[#This Row],[Member Type]]="Main Member",Table2[[#This Row],[Main Member Link ID]]&lt;&gt;B584),COUNTIFS(B:B,Table2[[#This Row],[Main Member Link ID]]),
COUNTIFS(B:B,Table2[[#This Row],[Main Member Link ID]],A:A,Table2[[#This Row],[Member Type]])))</f>
        <v>0</v>
      </c>
    </row>
    <row r="585" spans="1:37" x14ac:dyDescent="0.3">
      <c r="A585" s="284">
        <f>Table13[[#This Row],[Member Type]]</f>
        <v>0</v>
      </c>
      <c r="B585" s="284">
        <f>Table13[[#This Row],[Main Member Link ID]]</f>
        <v>0</v>
      </c>
      <c r="C585" s="284">
        <f>Table13[[#This Row],[ID Number]]</f>
        <v>0</v>
      </c>
      <c r="D585" s="285">
        <f>Table13[[#This Row],[Date Of Birth]]</f>
        <v>0</v>
      </c>
      <c r="E585" s="285">
        <f>Table13[[#This Row],[Commencement Date]]</f>
        <v>0</v>
      </c>
      <c r="F585" s="284">
        <f t="shared" si="63"/>
        <v>1</v>
      </c>
      <c r="G585" s="284">
        <f t="shared" si="64"/>
        <v>25</v>
      </c>
      <c r="H585" s="286">
        <f>Table13[[#This Row],[Product Option]]</f>
        <v>0</v>
      </c>
      <c r="I585" s="284">
        <f>IF(AND($A585="Main Member",Table2[[#This Row],[Product Option]]="My Value Plus Life"),"MM_LIFE",
IF(AND($A585="Spouse",Table2[[#This Row],[Product Option]]="My Value Plus Life"),"SP_LIFE",
IF(AND($A585="Main Member",Table2[[#This Row],[Product Option]]="My Value Plus Life &amp; Funeral"),"MM_LIFE",
IF(AND($A585="Spouse",Table2[[#This Row],[Product Option]]="My Value Plus Life &amp; Funeral"),_xlfn.XLOOKUP(Table2[[#This Row],[Benefit Name]],Lookups!$D$18:$D$23,Lookups!$E$18:$E$23,0),
0))))</f>
        <v>0</v>
      </c>
      <c r="J585" s="284">
        <f>IF($I585="","",
IF($I585="MM_LIFE",INDEX('Quotation Tool'!$S$54:$V$60,MATCH($T585,'Quotation Tool'!$S$54:$S$60,0),4),
IF($I585="SP_LIFE",_xlfn.XLOOKUP(B584,$B:$B,$J:$J,0),0)))</f>
        <v>0</v>
      </c>
      <c r="K585" s="287">
        <f t="shared" ca="1" si="68"/>
        <v>0</v>
      </c>
      <c r="L585" s="288">
        <f t="shared" ca="1" si="69"/>
        <v>0</v>
      </c>
      <c r="M585" s="289">
        <f t="shared" ca="1" si="65"/>
        <v>0</v>
      </c>
      <c r="N585" s="286">
        <f>Table13[[#This Row],[Benefit Option]]</f>
        <v>0</v>
      </c>
      <c r="O585" s="284">
        <f>IF(OR(Table2[[#This Row],[Member Type]]="Spouse",Table2[[#This Row],[Member Type]]="Child"),0,
IF(_xlfn.XLOOKUP($N585,Lookups!$D$13:$D$27,Lookups!$F$13:$F$27,0)=Table2[[#This Row],[Table Lookup for Life Cover]],0,
_xlfn.XLOOKUP($N585,Lookups!$D$13:$D$27,Lookups!$F$13:$F$27,0)))</f>
        <v>0</v>
      </c>
      <c r="P585" s="284">
        <f>IF(Table2[[#This Row],[Table Lookup for Funeral]]=0,0,IFERROR(INDEX('Quotation Tool'!$S$54:$V$60,MATCH($T585,'Quotation Tool'!$S$54:$S$60,0),3),0))</f>
        <v>0</v>
      </c>
      <c r="Q585" s="288">
        <f ca="1">IF(OR(Table2[[#This Row],[Benefit Name]]="My Value Plus Life - Main Member",Table2[[#This Row],[Benefit Name]]="My Value Plus Life - Spouse"),0,
IFERROR(VLOOKUP($G585,INDIRECT($O585),$P585,FALSE),0))</f>
        <v>0</v>
      </c>
      <c r="R585" s="288">
        <f ca="1">IF(OR(Table2[[#This Row],[Benefit Name]]="My Value Plus Life - Main Member",Table2[[#This Row],[Benefit Name]]="My Value Plus Life - Spouse"),0,
IFERROR(VLOOKUP($G585,INDIRECT($O585),$P585+1,FALSE),0))</f>
        <v>0</v>
      </c>
      <c r="S585" s="289">
        <f t="shared" ca="1" si="66"/>
        <v>0</v>
      </c>
      <c r="T585" s="284" t="str">
        <f>IF(Table13[[#This Row],[Premium Waiver]]="","None",Table13[[#This Row],[Premium Waiver]])</f>
        <v>None</v>
      </c>
      <c r="U585" s="284">
        <f>Table13[[#This Row],[VAPs Options]]</f>
        <v>0</v>
      </c>
      <c r="V585" s="284">
        <f>Table13[[#This Row],[Annual Increase Option]]</f>
        <v>0</v>
      </c>
      <c r="W585" s="290">
        <f>Table13[[#This Row],[Life Cover Amount]]</f>
        <v>0</v>
      </c>
      <c r="X585" s="290">
        <f>Table13[[#This Row],[Funeral Cover Amount]]</f>
        <v>0</v>
      </c>
      <c r="Y58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8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85" s="301">
        <f t="shared" ca="1" si="67"/>
        <v>0</v>
      </c>
      <c r="AB585" s="298"/>
      <c r="AC585" s="326" t="str">
        <f>IF(Table2[[#This Row],[Member Type]]="Main Member",Lookups!$C$13,
IF(Table2[[#This Row],[Member Type]]="Spouse",_xlfn.XLOOKUP(B585,Table2[Main Member Link ID],Table2[Product Option],0),
IF(AND(Table2[[#This Row],[Member Type]]="Child",_xlfn.XLOOKUP(B585,Table2[Main Member Link ID],Table2[Product Option],0)&lt;&gt;"My Value Plus Life"),Lookups!$C$24,
IF(AND(OR(Table2[[#This Row],[Member Type]]="Parent",Table2[[#This Row],[Member Type]]="Extended"),_xlfn.XLOOKUP(B585,Table2[Main Member Link ID],Table2[Product Option],0)&lt;&gt;"My Value Plus Life"),Lookups!$C$26,""))))</f>
        <v/>
      </c>
      <c r="AD585" s="326" t="str">
        <f>IF(Table2[[#This Row],[Member Type]]="Main Member",Lookups!$C$14,"")</f>
        <v/>
      </c>
      <c r="AE58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Funeral",_xlfn.XLOOKUP(B585,Table2[Main Member Link ID],Table2[Benefit Name],0)=Lookups!$D$14),"",
IF(AND(Table2[[#This Row],[Member Type]]="Spouse",Table2[[#This Row],[Product Option]]="My Value Plus Life &amp; Funeral",_xlfn.XLOOKUP(B584,Table2[Main Member Link ID],Table2[Benefit Name],0)=Lookups!$D$15),Lookups!$D$20,
IF(AND(Table2[[#This Row],[Member Type]]="Spouse",Table2[[#This Row],[Product Option]]="My Value Plus Life &amp; Funeral",_xlfn.XLOOKUP(B584,Table2[Main Member Link ID],Table2[Benefit Name],0)=Lookups!$D$16),"",
IF(AND(Table2[[#This Row],[Member Type]]="Spouse",Table2[[#This Row],[Product Option]]="My Value Plus Life &amp; Funeral",_xlfn.XLOOKUP(B584,Table2[Main Member Link ID],Table2[Benefit Name],0)=Lookups!$D$17),Lookups!$D$21,
IF(AND(Table2[[#This Row],[Member Type]]="Child",Table2[[#This Row],[Product Option]]="My Value Plus Life &amp; Funeral",_xlfn.XLOOKUP(B585,Table2[Main Member Link ID],Table2[Benefit Name],0)=Lookups!$D$14),"",
IF(AND(Table2[[#This Row],[Member Type]]="Child",Table2[[#This Row],[Product Option]]="My Value Plus Life &amp; Funeral",_xlfn.XLOOKUP(B585,Table2[Main Member Link ID],Table2[Benefit Name],0)=Lookups!$D$15),"",
IF(AND(Table2[[#This Row],[Member Type]]="Child",Table2[[#This Row],[Product Option]]="My Value Plus Life &amp; Funeral",_xlfn.XLOOKUP(B585,Table2[Main Member Link ID],Table2[Benefit Name],0)=Lookups!$D$16),Lookups!$D$24,
IF(AND(Table2[[#This Row],[Member Type]]="Child",Table2[[#This Row],[Product Option]]="My Value Plus Life &amp; Funeral",_xlfn.XLOOKUP(B585,Table2[Main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Funeral",_xlfn.XLOOKUP(B585,Table2[Main Member Link ID],Table2[Benefit Name],0)&lt;&gt;Lookups!$D$14),
IF(_xlfn.XLOOKUP(B585,Table2[Main Member Link ID],Table2[Benefit Name],0)=0,"",_xlfn.XLOOKUP(B585,Table2[Main Member Link ID],Table2[Benefit Name],0)),"")))))))))))))))</f>
        <v/>
      </c>
      <c r="AF585" s="327" t="str">
        <f>IF(AND(Table2[[#This Row],[Member Type]]="Main Member",Table2[[#This Row],[Product Option]]="My Value Plus Life &amp; Funeral"),Lookups!$D$15,
IF(AND(Table2[[#This Row],[Member Type]]="Spouse",Table2[[#This Row],[Product Option]]="My Value Plus Life &amp; Funeral",_xlfn.XLOOKUP(B585,Table2[Main Member Link ID],Table2[Benefit Name],0)=Lookups!$D$14),"",
IF(AND(Table2[[#This Row],[Member Type]]="Spouse",Table2[[#This Row],[Product Option]]="My Value Plus Life &amp; Funeral",_xlfn.XLOOKUP(B584,Table2[Main Member Link ID],Table2[Benefit Name],0)=Lookups!$D$16),"",
IF(AND(Table2[[#This Row],[Member Type]]="Spouse",Table2[[#This Row],[Product Option]]="My Value Plus Life &amp; Funeral",_xlfn.XLOOKUP(B584,Table2[Main Member Link ID],Table2[Benefit Name],0)=Lookups!$D$15),"",
IF(AND(Table2[[#This Row],[Member Type]]="Spouse",Table2[[#This Row],[Product Option]]="My Value Plus Life &amp; Funeral",_xlfn.XLOOKUP(B584,Table2[Main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Funeral",_xlfn.XLOOKUP(B585,Table2[Main Member Link ID],Table2[Benefit Name],0)&lt;&gt;Lookups!$D$15),
IF(_xlfn.XLOOKUP(B585,Table2[Main Member Link ID],Table2[Benefit Name],0)=0,"",_xlfn.XLOOKUP(B585,Table2[Main Member Link ID],Table2[Benefit Name],0)),"")
))))))</f>
        <v/>
      </c>
      <c r="AG585" s="327" t="str">
        <f>IF(AND(Table2[[#This Row],[Member Type]]="Main Member",Table2[[#This Row],[Product Option]]="My Value Plus Life &amp; Funeral"),Lookups!$D$16,
IF(AND(Table2[[#This Row],[Member Type]]="Spouse",Table2[[#This Row],[Product Option]]="My Value Plus Life &amp; Funeral",_xlfn.XLOOKUP(B585,Table2[Main Member Link ID],Table2[Benefit Name],0)=Lookups!$D$14),"",
IF(AND(Table2[[#This Row],[Member Type]]="Spouse",Table2[[#This Row],[Product Option]]="My Value Plus Life &amp; Funeral",_xlfn.XLOOKUP(B584,Table2[Main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Funeral",_xlfn.XLOOKUP(B585,Table2[Main Member Link ID],Table2[Benefit Name],0)&lt;&gt;Lookups!$D$16),
IF(_xlfn.XLOOKUP(B585,Table2[Main Member Link ID],Table2[Benefit Name],0)=0,"",_xlfn.XLOOKUP(B585,Table2[Main Member Link ID],Table2[Benefit Name],0)),"")
))))</f>
        <v/>
      </c>
      <c r="AH585" s="327" t="str">
        <f>IF(AND(Table2[[#This Row],[Member Type]]="Main Member",Table2[[#This Row],[Product Option]]="My Value Plus Life &amp; Funeral"),Lookups!$D$17,
IF(AND(Table2[[#This Row],[Member Type]]="Spouse",Table2[[#This Row],[Product Option]]="My Value Plus Life &amp; Funeral",_xlfn.XLOOKUP(B585,Table2[Main Member Link ID],Table2[Benefit Name],0)=Lookups!$D$14),"",
IF(AND(Table2[[#This Row],[Member Type]]="Spouse",Table2[[#This Row],[Product Option]]="My Value Plus Life &amp; Funeral",_xlfn.XLOOKUP(B584,Table2[Main Member Link ID],Table2[Benefit Name],0)=Lookups!$D$16),"",
IF(AND(Table2[[#This Row],[Member Type]]="Child",Table2[[#This Row],[Product Option]]="My Value Plus Life &amp; Funeral"),"",
IF(AND(Table2[[#This Row],[Member Type]]="Child",Table2[[#This Row],[Product Option]]="My Value Plus Life &amp; Funeral",_xlfn.XLOOKUP(B585,Table2[Main Member Link ID],Table2[Benefit Name],0)=Lookups!$D$15),"",
IF(AND(OR(Table2[[#This Row],[Member Type]]="Spouse",Table2[[#This Row],[Member Type]]="Child"),Table2[[#This Row],[Product Option]]="My Value Plus Life &amp; Funeral",_xlfn.XLOOKUP(B585,Table2[Main Member Link ID],Table2[Benefit Name],0)&lt;&gt;Lookups!$D$17),
IF(_xlfn.XLOOKUP(B585,Table2[Main Member Link ID],Table2[Benefit Name],0)=0,"",_xlfn.XLOOKUP(B585,Table2[Main Member Link ID],Table2[Benefit Name],0)),""))))))</f>
        <v/>
      </c>
      <c r="AI585" s="328" t="str">
        <f>IF(AND(Table2[[#This Row],[Member Type]]="Main Member",Table2[[#This Row],[Table Lookup for Life Cover]]="MM_LIFE",Table2[[#This Row],[Age Next Birthday]]&lt;56),1,
IF(AND(Table2[[#This Row],[Member Type]]="Main Member",Table2[[#This Row],[Table Lookup for Life Cover]]="MM_LIFE",Table2[[#This Row],[Age Next Birthday]]&gt;=56),2,
""))</f>
        <v/>
      </c>
      <c r="AJ585" s="328">
        <f>IF(OR(Table2[[#This Row],[Member Type]]="Main Member",Table2[[#This Row],[Main Member Link ID]]=B584),1,0)</f>
        <v>1</v>
      </c>
      <c r="AK585" s="328">
        <f>IF(Table2[[#This Row],[Member Type]]=0,0,
IF(OR(Table2[[#This Row],[Member Type]]="Main Member",Table2[[#This Row],[Main Member Link ID]]&lt;&gt;B585),COUNTIFS(B:B,Table2[[#This Row],[Main Member Link ID]]),
COUNTIFS(B:B,Table2[[#This Row],[Main Member Link ID]],A:A,Table2[[#This Row],[Member Type]])))</f>
        <v>0</v>
      </c>
    </row>
    <row r="586" spans="1:37" x14ac:dyDescent="0.3">
      <c r="A586" s="284">
        <f>Table13[[#This Row],[Member Type]]</f>
        <v>0</v>
      </c>
      <c r="B586" s="284">
        <f>Table13[[#This Row],[Main Member Link ID]]</f>
        <v>0</v>
      </c>
      <c r="C586" s="284">
        <f>Table13[[#This Row],[ID Number]]</f>
        <v>0</v>
      </c>
      <c r="D586" s="285">
        <f>Table13[[#This Row],[Date Of Birth]]</f>
        <v>0</v>
      </c>
      <c r="E586" s="285">
        <f>Table13[[#This Row],[Commencement Date]]</f>
        <v>0</v>
      </c>
      <c r="F586" s="284">
        <f t="shared" si="63"/>
        <v>1</v>
      </c>
      <c r="G586" s="284">
        <f t="shared" si="64"/>
        <v>25</v>
      </c>
      <c r="H586" s="286">
        <f>Table13[[#This Row],[Product Option]]</f>
        <v>0</v>
      </c>
      <c r="I586" s="284">
        <f>IF(AND($A586="Main Member",Table2[[#This Row],[Product Option]]="My Value Plus Life"),"MM_LIFE",
IF(AND($A586="Spouse",Table2[[#This Row],[Product Option]]="My Value Plus Life"),"SP_LIFE",
IF(AND($A586="Main Member",Table2[[#This Row],[Product Option]]="My Value Plus Life &amp; Funeral"),"MM_LIFE",
IF(AND($A586="Spouse",Table2[[#This Row],[Product Option]]="My Value Plus Life &amp; Funeral"),_xlfn.XLOOKUP(Table2[[#This Row],[Benefit Name]],Lookups!$D$18:$D$23,Lookups!$E$18:$E$23,0),
0))))</f>
        <v>0</v>
      </c>
      <c r="J586" s="284">
        <f>IF($I586="","",
IF($I586="MM_LIFE",INDEX('Quotation Tool'!$S$54:$V$60,MATCH($T586,'Quotation Tool'!$S$54:$S$60,0),4),
IF($I586="SP_LIFE",_xlfn.XLOOKUP(B585,$B:$B,$J:$J,0),0)))</f>
        <v>0</v>
      </c>
      <c r="K586" s="287">
        <f t="shared" ca="1" si="68"/>
        <v>0</v>
      </c>
      <c r="L586" s="288">
        <f t="shared" ca="1" si="69"/>
        <v>0</v>
      </c>
      <c r="M586" s="289">
        <f t="shared" ca="1" si="65"/>
        <v>0</v>
      </c>
      <c r="N586" s="286">
        <f>Table13[[#This Row],[Benefit Option]]</f>
        <v>0</v>
      </c>
      <c r="O586" s="284">
        <f>IF(OR(Table2[[#This Row],[Member Type]]="Spouse",Table2[[#This Row],[Member Type]]="Child"),0,
IF(_xlfn.XLOOKUP($N586,Lookups!$D$13:$D$27,Lookups!$F$13:$F$27,0)=Table2[[#This Row],[Table Lookup for Life Cover]],0,
_xlfn.XLOOKUP($N586,Lookups!$D$13:$D$27,Lookups!$F$13:$F$27,0)))</f>
        <v>0</v>
      </c>
      <c r="P586" s="284">
        <f>IF(Table2[[#This Row],[Table Lookup for Funeral]]=0,0,IFERROR(INDEX('Quotation Tool'!$S$54:$V$60,MATCH($T586,'Quotation Tool'!$S$54:$S$60,0),3),0))</f>
        <v>0</v>
      </c>
      <c r="Q586" s="288">
        <f ca="1">IF(OR(Table2[[#This Row],[Benefit Name]]="My Value Plus Life - Main Member",Table2[[#This Row],[Benefit Name]]="My Value Plus Life - Spouse"),0,
IFERROR(VLOOKUP($G586,INDIRECT($O586),$P586,FALSE),0))</f>
        <v>0</v>
      </c>
      <c r="R586" s="288">
        <f ca="1">IF(OR(Table2[[#This Row],[Benefit Name]]="My Value Plus Life - Main Member",Table2[[#This Row],[Benefit Name]]="My Value Plus Life - Spouse"),0,
IFERROR(VLOOKUP($G586,INDIRECT($O586),$P586+1,FALSE),0))</f>
        <v>0</v>
      </c>
      <c r="S586" s="289">
        <f t="shared" ca="1" si="66"/>
        <v>0</v>
      </c>
      <c r="T586" s="284" t="str">
        <f>IF(Table13[[#This Row],[Premium Waiver]]="","None",Table13[[#This Row],[Premium Waiver]])</f>
        <v>None</v>
      </c>
      <c r="U586" s="284">
        <f>Table13[[#This Row],[VAPs Options]]</f>
        <v>0</v>
      </c>
      <c r="V586" s="284">
        <f>Table13[[#This Row],[Annual Increase Option]]</f>
        <v>0</v>
      </c>
      <c r="W586" s="290">
        <f>Table13[[#This Row],[Life Cover Amount]]</f>
        <v>0</v>
      </c>
      <c r="X586" s="290">
        <f>Table13[[#This Row],[Funeral Cover Amount]]</f>
        <v>0</v>
      </c>
      <c r="Y58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8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86" s="301">
        <f t="shared" ca="1" si="67"/>
        <v>0</v>
      </c>
      <c r="AB586" s="298"/>
      <c r="AC586" s="326" t="str">
        <f>IF(Table2[[#This Row],[Member Type]]="Main Member",Lookups!$C$13,
IF(Table2[[#This Row],[Member Type]]="Spouse",_xlfn.XLOOKUP(B586,Table2[Main Member Link ID],Table2[Product Option],0),
IF(AND(Table2[[#This Row],[Member Type]]="Child",_xlfn.XLOOKUP(B586,Table2[Main Member Link ID],Table2[Product Option],0)&lt;&gt;"My Value Plus Life"),Lookups!$C$24,
IF(AND(OR(Table2[[#This Row],[Member Type]]="Parent",Table2[[#This Row],[Member Type]]="Extended"),_xlfn.XLOOKUP(B586,Table2[Main Member Link ID],Table2[Product Option],0)&lt;&gt;"My Value Plus Life"),Lookups!$C$26,""))))</f>
        <v/>
      </c>
      <c r="AD586" s="326" t="str">
        <f>IF(Table2[[#This Row],[Member Type]]="Main Member",Lookups!$C$14,"")</f>
        <v/>
      </c>
      <c r="AE58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Funeral",_xlfn.XLOOKUP(B586,Table2[Main Member Link ID],Table2[Benefit Name],0)=Lookups!$D$14),"",
IF(AND(Table2[[#This Row],[Member Type]]="Spouse",Table2[[#This Row],[Product Option]]="My Value Plus Life &amp; Funeral",_xlfn.XLOOKUP(B585,Table2[Main Member Link ID],Table2[Benefit Name],0)=Lookups!$D$15),Lookups!$D$20,
IF(AND(Table2[[#This Row],[Member Type]]="Spouse",Table2[[#This Row],[Product Option]]="My Value Plus Life &amp; Funeral",_xlfn.XLOOKUP(B585,Table2[Main Member Link ID],Table2[Benefit Name],0)=Lookups!$D$16),"",
IF(AND(Table2[[#This Row],[Member Type]]="Spouse",Table2[[#This Row],[Product Option]]="My Value Plus Life &amp; Funeral",_xlfn.XLOOKUP(B585,Table2[Main Member Link ID],Table2[Benefit Name],0)=Lookups!$D$17),Lookups!$D$21,
IF(AND(Table2[[#This Row],[Member Type]]="Child",Table2[[#This Row],[Product Option]]="My Value Plus Life &amp; Funeral",_xlfn.XLOOKUP(B586,Table2[Main Member Link ID],Table2[Benefit Name],0)=Lookups!$D$14),"",
IF(AND(Table2[[#This Row],[Member Type]]="Child",Table2[[#This Row],[Product Option]]="My Value Plus Life &amp; Funeral",_xlfn.XLOOKUP(B586,Table2[Main Member Link ID],Table2[Benefit Name],0)=Lookups!$D$15),"",
IF(AND(Table2[[#This Row],[Member Type]]="Child",Table2[[#This Row],[Product Option]]="My Value Plus Life &amp; Funeral",_xlfn.XLOOKUP(B586,Table2[Main Member Link ID],Table2[Benefit Name],0)=Lookups!$D$16),Lookups!$D$24,
IF(AND(Table2[[#This Row],[Member Type]]="Child",Table2[[#This Row],[Product Option]]="My Value Plus Life &amp; Funeral",_xlfn.XLOOKUP(B586,Table2[Main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Funeral",_xlfn.XLOOKUP(B586,Table2[Main Member Link ID],Table2[Benefit Name],0)&lt;&gt;Lookups!$D$14),
IF(_xlfn.XLOOKUP(B586,Table2[Main Member Link ID],Table2[Benefit Name],0)=0,"",_xlfn.XLOOKUP(B586,Table2[Main Member Link ID],Table2[Benefit Name],0)),"")))))))))))))))</f>
        <v/>
      </c>
      <c r="AF586" s="327" t="str">
        <f>IF(AND(Table2[[#This Row],[Member Type]]="Main Member",Table2[[#This Row],[Product Option]]="My Value Plus Life &amp; Funeral"),Lookups!$D$15,
IF(AND(Table2[[#This Row],[Member Type]]="Spouse",Table2[[#This Row],[Product Option]]="My Value Plus Life &amp; Funeral",_xlfn.XLOOKUP(B586,Table2[Main Member Link ID],Table2[Benefit Name],0)=Lookups!$D$14),"",
IF(AND(Table2[[#This Row],[Member Type]]="Spouse",Table2[[#This Row],[Product Option]]="My Value Plus Life &amp; Funeral",_xlfn.XLOOKUP(B585,Table2[Main Member Link ID],Table2[Benefit Name],0)=Lookups!$D$16),"",
IF(AND(Table2[[#This Row],[Member Type]]="Spouse",Table2[[#This Row],[Product Option]]="My Value Plus Life &amp; Funeral",_xlfn.XLOOKUP(B585,Table2[Main Member Link ID],Table2[Benefit Name],0)=Lookups!$D$15),"",
IF(AND(Table2[[#This Row],[Member Type]]="Spouse",Table2[[#This Row],[Product Option]]="My Value Plus Life &amp; Funeral",_xlfn.XLOOKUP(B585,Table2[Main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Funeral",_xlfn.XLOOKUP(B586,Table2[Main Member Link ID],Table2[Benefit Name],0)&lt;&gt;Lookups!$D$15),
IF(_xlfn.XLOOKUP(B586,Table2[Main Member Link ID],Table2[Benefit Name],0)=0,"",_xlfn.XLOOKUP(B586,Table2[Main Member Link ID],Table2[Benefit Name],0)),"")
))))))</f>
        <v/>
      </c>
      <c r="AG586" s="327" t="str">
        <f>IF(AND(Table2[[#This Row],[Member Type]]="Main Member",Table2[[#This Row],[Product Option]]="My Value Plus Life &amp; Funeral"),Lookups!$D$16,
IF(AND(Table2[[#This Row],[Member Type]]="Spouse",Table2[[#This Row],[Product Option]]="My Value Plus Life &amp; Funeral",_xlfn.XLOOKUP(B586,Table2[Main Member Link ID],Table2[Benefit Name],0)=Lookups!$D$14),"",
IF(AND(Table2[[#This Row],[Member Type]]="Spouse",Table2[[#This Row],[Product Option]]="My Value Plus Life &amp; Funeral",_xlfn.XLOOKUP(B585,Table2[Main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Funeral",_xlfn.XLOOKUP(B586,Table2[Main Member Link ID],Table2[Benefit Name],0)&lt;&gt;Lookups!$D$16),
IF(_xlfn.XLOOKUP(B586,Table2[Main Member Link ID],Table2[Benefit Name],0)=0,"",_xlfn.XLOOKUP(B586,Table2[Main Member Link ID],Table2[Benefit Name],0)),"")
))))</f>
        <v/>
      </c>
      <c r="AH586" s="327" t="str">
        <f>IF(AND(Table2[[#This Row],[Member Type]]="Main Member",Table2[[#This Row],[Product Option]]="My Value Plus Life &amp; Funeral"),Lookups!$D$17,
IF(AND(Table2[[#This Row],[Member Type]]="Spouse",Table2[[#This Row],[Product Option]]="My Value Plus Life &amp; Funeral",_xlfn.XLOOKUP(B586,Table2[Main Member Link ID],Table2[Benefit Name],0)=Lookups!$D$14),"",
IF(AND(Table2[[#This Row],[Member Type]]="Spouse",Table2[[#This Row],[Product Option]]="My Value Plus Life &amp; Funeral",_xlfn.XLOOKUP(B585,Table2[Main Member Link ID],Table2[Benefit Name],0)=Lookups!$D$16),"",
IF(AND(Table2[[#This Row],[Member Type]]="Child",Table2[[#This Row],[Product Option]]="My Value Plus Life &amp; Funeral"),"",
IF(AND(Table2[[#This Row],[Member Type]]="Child",Table2[[#This Row],[Product Option]]="My Value Plus Life &amp; Funeral",_xlfn.XLOOKUP(B586,Table2[Main Member Link ID],Table2[Benefit Name],0)=Lookups!$D$15),"",
IF(AND(OR(Table2[[#This Row],[Member Type]]="Spouse",Table2[[#This Row],[Member Type]]="Child"),Table2[[#This Row],[Product Option]]="My Value Plus Life &amp; Funeral",_xlfn.XLOOKUP(B586,Table2[Main Member Link ID],Table2[Benefit Name],0)&lt;&gt;Lookups!$D$17),
IF(_xlfn.XLOOKUP(B586,Table2[Main Member Link ID],Table2[Benefit Name],0)=0,"",_xlfn.XLOOKUP(B586,Table2[Main Member Link ID],Table2[Benefit Name],0)),""))))))</f>
        <v/>
      </c>
      <c r="AI586" s="328" t="str">
        <f>IF(AND(Table2[[#This Row],[Member Type]]="Main Member",Table2[[#This Row],[Table Lookup for Life Cover]]="MM_LIFE",Table2[[#This Row],[Age Next Birthday]]&lt;56),1,
IF(AND(Table2[[#This Row],[Member Type]]="Main Member",Table2[[#This Row],[Table Lookup for Life Cover]]="MM_LIFE",Table2[[#This Row],[Age Next Birthday]]&gt;=56),2,
""))</f>
        <v/>
      </c>
      <c r="AJ586" s="328">
        <f>IF(OR(Table2[[#This Row],[Member Type]]="Main Member",Table2[[#This Row],[Main Member Link ID]]=B585),1,0)</f>
        <v>1</v>
      </c>
      <c r="AK586" s="328">
        <f>IF(Table2[[#This Row],[Member Type]]=0,0,
IF(OR(Table2[[#This Row],[Member Type]]="Main Member",Table2[[#This Row],[Main Member Link ID]]&lt;&gt;B586),COUNTIFS(B:B,Table2[[#This Row],[Main Member Link ID]]),
COUNTIFS(B:B,Table2[[#This Row],[Main Member Link ID]],A:A,Table2[[#This Row],[Member Type]])))</f>
        <v>0</v>
      </c>
    </row>
    <row r="587" spans="1:37" x14ac:dyDescent="0.3">
      <c r="A587" s="284">
        <f>Table13[[#This Row],[Member Type]]</f>
        <v>0</v>
      </c>
      <c r="B587" s="284">
        <f>Table13[[#This Row],[Main Member Link ID]]</f>
        <v>0</v>
      </c>
      <c r="C587" s="284">
        <f>Table13[[#This Row],[ID Number]]</f>
        <v>0</v>
      </c>
      <c r="D587" s="285">
        <f>Table13[[#This Row],[Date Of Birth]]</f>
        <v>0</v>
      </c>
      <c r="E587" s="285">
        <f>Table13[[#This Row],[Commencement Date]]</f>
        <v>0</v>
      </c>
      <c r="F587" s="284">
        <f t="shared" si="63"/>
        <v>1</v>
      </c>
      <c r="G587" s="284">
        <f t="shared" si="64"/>
        <v>25</v>
      </c>
      <c r="H587" s="286">
        <f>Table13[[#This Row],[Product Option]]</f>
        <v>0</v>
      </c>
      <c r="I587" s="284">
        <f>IF(AND($A587="Main Member",Table2[[#This Row],[Product Option]]="My Value Plus Life"),"MM_LIFE",
IF(AND($A587="Spouse",Table2[[#This Row],[Product Option]]="My Value Plus Life"),"SP_LIFE",
IF(AND($A587="Main Member",Table2[[#This Row],[Product Option]]="My Value Plus Life &amp; Funeral"),"MM_LIFE",
IF(AND($A587="Spouse",Table2[[#This Row],[Product Option]]="My Value Plus Life &amp; Funeral"),_xlfn.XLOOKUP(Table2[[#This Row],[Benefit Name]],Lookups!$D$18:$D$23,Lookups!$E$18:$E$23,0),
0))))</f>
        <v>0</v>
      </c>
      <c r="J587" s="284">
        <f>IF($I587="","",
IF($I587="MM_LIFE",INDEX('Quotation Tool'!$S$54:$V$60,MATCH($T587,'Quotation Tool'!$S$54:$S$60,0),4),
IF($I587="SP_LIFE",_xlfn.XLOOKUP(B586,$B:$B,$J:$J,0),0)))</f>
        <v>0</v>
      </c>
      <c r="K587" s="287">
        <f t="shared" ca="1" si="68"/>
        <v>0</v>
      </c>
      <c r="L587" s="288">
        <f t="shared" ca="1" si="69"/>
        <v>0</v>
      </c>
      <c r="M587" s="289">
        <f t="shared" ca="1" si="65"/>
        <v>0</v>
      </c>
      <c r="N587" s="286">
        <f>Table13[[#This Row],[Benefit Option]]</f>
        <v>0</v>
      </c>
      <c r="O587" s="284">
        <f>IF(OR(Table2[[#This Row],[Member Type]]="Spouse",Table2[[#This Row],[Member Type]]="Child"),0,
IF(_xlfn.XLOOKUP($N587,Lookups!$D$13:$D$27,Lookups!$F$13:$F$27,0)=Table2[[#This Row],[Table Lookup for Life Cover]],0,
_xlfn.XLOOKUP($N587,Lookups!$D$13:$D$27,Lookups!$F$13:$F$27,0)))</f>
        <v>0</v>
      </c>
      <c r="P587" s="284">
        <f>IF(Table2[[#This Row],[Table Lookup for Funeral]]=0,0,IFERROR(INDEX('Quotation Tool'!$S$54:$V$60,MATCH($T587,'Quotation Tool'!$S$54:$S$60,0),3),0))</f>
        <v>0</v>
      </c>
      <c r="Q587" s="288">
        <f ca="1">IF(OR(Table2[[#This Row],[Benefit Name]]="My Value Plus Life - Main Member",Table2[[#This Row],[Benefit Name]]="My Value Plus Life - Spouse"),0,
IFERROR(VLOOKUP($G587,INDIRECT($O587),$P587,FALSE),0))</f>
        <v>0</v>
      </c>
      <c r="R587" s="288">
        <f ca="1">IF(OR(Table2[[#This Row],[Benefit Name]]="My Value Plus Life - Main Member",Table2[[#This Row],[Benefit Name]]="My Value Plus Life - Spouse"),0,
IFERROR(VLOOKUP($G587,INDIRECT($O587),$P587+1,FALSE),0))</f>
        <v>0</v>
      </c>
      <c r="S587" s="289">
        <f t="shared" ca="1" si="66"/>
        <v>0</v>
      </c>
      <c r="T587" s="284" t="str">
        <f>IF(Table13[[#This Row],[Premium Waiver]]="","None",Table13[[#This Row],[Premium Waiver]])</f>
        <v>None</v>
      </c>
      <c r="U587" s="284">
        <f>Table13[[#This Row],[VAPs Options]]</f>
        <v>0</v>
      </c>
      <c r="V587" s="284">
        <f>Table13[[#This Row],[Annual Increase Option]]</f>
        <v>0</v>
      </c>
      <c r="W587" s="290">
        <f>Table13[[#This Row],[Life Cover Amount]]</f>
        <v>0</v>
      </c>
      <c r="X587" s="290">
        <f>Table13[[#This Row],[Funeral Cover Amount]]</f>
        <v>0</v>
      </c>
      <c r="Y58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8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87" s="301">
        <f t="shared" ca="1" si="67"/>
        <v>0</v>
      </c>
      <c r="AB587" s="298"/>
      <c r="AC587" s="326" t="str">
        <f>IF(Table2[[#This Row],[Member Type]]="Main Member",Lookups!$C$13,
IF(Table2[[#This Row],[Member Type]]="Spouse",_xlfn.XLOOKUP(B587,Table2[Main Member Link ID],Table2[Product Option],0),
IF(AND(Table2[[#This Row],[Member Type]]="Child",_xlfn.XLOOKUP(B587,Table2[Main Member Link ID],Table2[Product Option],0)&lt;&gt;"My Value Plus Life"),Lookups!$C$24,
IF(AND(OR(Table2[[#This Row],[Member Type]]="Parent",Table2[[#This Row],[Member Type]]="Extended"),_xlfn.XLOOKUP(B587,Table2[Main Member Link ID],Table2[Product Option],0)&lt;&gt;"My Value Plus Life"),Lookups!$C$26,""))))</f>
        <v/>
      </c>
      <c r="AD587" s="326" t="str">
        <f>IF(Table2[[#This Row],[Member Type]]="Main Member",Lookups!$C$14,"")</f>
        <v/>
      </c>
      <c r="AE58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Funeral",_xlfn.XLOOKUP(B587,Table2[Main Member Link ID],Table2[Benefit Name],0)=Lookups!$D$14),"",
IF(AND(Table2[[#This Row],[Member Type]]="Spouse",Table2[[#This Row],[Product Option]]="My Value Plus Life &amp; Funeral",_xlfn.XLOOKUP(B586,Table2[Main Member Link ID],Table2[Benefit Name],0)=Lookups!$D$15),Lookups!$D$20,
IF(AND(Table2[[#This Row],[Member Type]]="Spouse",Table2[[#This Row],[Product Option]]="My Value Plus Life &amp; Funeral",_xlfn.XLOOKUP(B586,Table2[Main Member Link ID],Table2[Benefit Name],0)=Lookups!$D$16),"",
IF(AND(Table2[[#This Row],[Member Type]]="Spouse",Table2[[#This Row],[Product Option]]="My Value Plus Life &amp; Funeral",_xlfn.XLOOKUP(B586,Table2[Main Member Link ID],Table2[Benefit Name],0)=Lookups!$D$17),Lookups!$D$21,
IF(AND(Table2[[#This Row],[Member Type]]="Child",Table2[[#This Row],[Product Option]]="My Value Plus Life &amp; Funeral",_xlfn.XLOOKUP(B587,Table2[Main Member Link ID],Table2[Benefit Name],0)=Lookups!$D$14),"",
IF(AND(Table2[[#This Row],[Member Type]]="Child",Table2[[#This Row],[Product Option]]="My Value Plus Life &amp; Funeral",_xlfn.XLOOKUP(B587,Table2[Main Member Link ID],Table2[Benefit Name],0)=Lookups!$D$15),"",
IF(AND(Table2[[#This Row],[Member Type]]="Child",Table2[[#This Row],[Product Option]]="My Value Plus Life &amp; Funeral",_xlfn.XLOOKUP(B587,Table2[Main Member Link ID],Table2[Benefit Name],0)=Lookups!$D$16),Lookups!$D$24,
IF(AND(Table2[[#This Row],[Member Type]]="Child",Table2[[#This Row],[Product Option]]="My Value Plus Life &amp; Funeral",_xlfn.XLOOKUP(B587,Table2[Main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Funeral",_xlfn.XLOOKUP(B587,Table2[Main Member Link ID],Table2[Benefit Name],0)&lt;&gt;Lookups!$D$14),
IF(_xlfn.XLOOKUP(B587,Table2[Main Member Link ID],Table2[Benefit Name],0)=0,"",_xlfn.XLOOKUP(B587,Table2[Main Member Link ID],Table2[Benefit Name],0)),"")))))))))))))))</f>
        <v/>
      </c>
      <c r="AF587" s="327" t="str">
        <f>IF(AND(Table2[[#This Row],[Member Type]]="Main Member",Table2[[#This Row],[Product Option]]="My Value Plus Life &amp; Funeral"),Lookups!$D$15,
IF(AND(Table2[[#This Row],[Member Type]]="Spouse",Table2[[#This Row],[Product Option]]="My Value Plus Life &amp; Funeral",_xlfn.XLOOKUP(B587,Table2[Main Member Link ID],Table2[Benefit Name],0)=Lookups!$D$14),"",
IF(AND(Table2[[#This Row],[Member Type]]="Spouse",Table2[[#This Row],[Product Option]]="My Value Plus Life &amp; Funeral",_xlfn.XLOOKUP(B586,Table2[Main Member Link ID],Table2[Benefit Name],0)=Lookups!$D$16),"",
IF(AND(Table2[[#This Row],[Member Type]]="Spouse",Table2[[#This Row],[Product Option]]="My Value Plus Life &amp; Funeral",_xlfn.XLOOKUP(B586,Table2[Main Member Link ID],Table2[Benefit Name],0)=Lookups!$D$15),"",
IF(AND(Table2[[#This Row],[Member Type]]="Spouse",Table2[[#This Row],[Product Option]]="My Value Plus Life &amp; Funeral",_xlfn.XLOOKUP(B586,Table2[Main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Funeral",_xlfn.XLOOKUP(B587,Table2[Main Member Link ID],Table2[Benefit Name],0)&lt;&gt;Lookups!$D$15),
IF(_xlfn.XLOOKUP(B587,Table2[Main Member Link ID],Table2[Benefit Name],0)=0,"",_xlfn.XLOOKUP(B587,Table2[Main Member Link ID],Table2[Benefit Name],0)),"")
))))))</f>
        <v/>
      </c>
      <c r="AG587" s="327" t="str">
        <f>IF(AND(Table2[[#This Row],[Member Type]]="Main Member",Table2[[#This Row],[Product Option]]="My Value Plus Life &amp; Funeral"),Lookups!$D$16,
IF(AND(Table2[[#This Row],[Member Type]]="Spouse",Table2[[#This Row],[Product Option]]="My Value Plus Life &amp; Funeral",_xlfn.XLOOKUP(B587,Table2[Main Member Link ID],Table2[Benefit Name],0)=Lookups!$D$14),"",
IF(AND(Table2[[#This Row],[Member Type]]="Spouse",Table2[[#This Row],[Product Option]]="My Value Plus Life &amp; Funeral",_xlfn.XLOOKUP(B586,Table2[Main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Funeral",_xlfn.XLOOKUP(B587,Table2[Main Member Link ID],Table2[Benefit Name],0)&lt;&gt;Lookups!$D$16),
IF(_xlfn.XLOOKUP(B587,Table2[Main Member Link ID],Table2[Benefit Name],0)=0,"",_xlfn.XLOOKUP(B587,Table2[Main Member Link ID],Table2[Benefit Name],0)),"")
))))</f>
        <v/>
      </c>
      <c r="AH587" s="327" t="str">
        <f>IF(AND(Table2[[#This Row],[Member Type]]="Main Member",Table2[[#This Row],[Product Option]]="My Value Plus Life &amp; Funeral"),Lookups!$D$17,
IF(AND(Table2[[#This Row],[Member Type]]="Spouse",Table2[[#This Row],[Product Option]]="My Value Plus Life &amp; Funeral",_xlfn.XLOOKUP(B587,Table2[Main Member Link ID],Table2[Benefit Name],0)=Lookups!$D$14),"",
IF(AND(Table2[[#This Row],[Member Type]]="Spouse",Table2[[#This Row],[Product Option]]="My Value Plus Life &amp; Funeral",_xlfn.XLOOKUP(B586,Table2[Main Member Link ID],Table2[Benefit Name],0)=Lookups!$D$16),"",
IF(AND(Table2[[#This Row],[Member Type]]="Child",Table2[[#This Row],[Product Option]]="My Value Plus Life &amp; Funeral"),"",
IF(AND(Table2[[#This Row],[Member Type]]="Child",Table2[[#This Row],[Product Option]]="My Value Plus Life &amp; Funeral",_xlfn.XLOOKUP(B587,Table2[Main Member Link ID],Table2[Benefit Name],0)=Lookups!$D$15),"",
IF(AND(OR(Table2[[#This Row],[Member Type]]="Spouse",Table2[[#This Row],[Member Type]]="Child"),Table2[[#This Row],[Product Option]]="My Value Plus Life &amp; Funeral",_xlfn.XLOOKUP(B587,Table2[Main Member Link ID],Table2[Benefit Name],0)&lt;&gt;Lookups!$D$17),
IF(_xlfn.XLOOKUP(B587,Table2[Main Member Link ID],Table2[Benefit Name],0)=0,"",_xlfn.XLOOKUP(B587,Table2[Main Member Link ID],Table2[Benefit Name],0)),""))))))</f>
        <v/>
      </c>
      <c r="AI587" s="328" t="str">
        <f>IF(AND(Table2[[#This Row],[Member Type]]="Main Member",Table2[[#This Row],[Table Lookup for Life Cover]]="MM_LIFE",Table2[[#This Row],[Age Next Birthday]]&lt;56),1,
IF(AND(Table2[[#This Row],[Member Type]]="Main Member",Table2[[#This Row],[Table Lookup for Life Cover]]="MM_LIFE",Table2[[#This Row],[Age Next Birthday]]&gt;=56),2,
""))</f>
        <v/>
      </c>
      <c r="AJ587" s="328">
        <f>IF(OR(Table2[[#This Row],[Member Type]]="Main Member",Table2[[#This Row],[Main Member Link ID]]=B586),1,0)</f>
        <v>1</v>
      </c>
      <c r="AK587" s="328">
        <f>IF(Table2[[#This Row],[Member Type]]=0,0,
IF(OR(Table2[[#This Row],[Member Type]]="Main Member",Table2[[#This Row],[Main Member Link ID]]&lt;&gt;B587),COUNTIFS(B:B,Table2[[#This Row],[Main Member Link ID]]),
COUNTIFS(B:B,Table2[[#This Row],[Main Member Link ID]],A:A,Table2[[#This Row],[Member Type]])))</f>
        <v>0</v>
      </c>
    </row>
    <row r="588" spans="1:37" x14ac:dyDescent="0.3">
      <c r="A588" s="284">
        <f>Table13[[#This Row],[Member Type]]</f>
        <v>0</v>
      </c>
      <c r="B588" s="284">
        <f>Table13[[#This Row],[Main Member Link ID]]</f>
        <v>0</v>
      </c>
      <c r="C588" s="284">
        <f>Table13[[#This Row],[ID Number]]</f>
        <v>0</v>
      </c>
      <c r="D588" s="285">
        <f>Table13[[#This Row],[Date Of Birth]]</f>
        <v>0</v>
      </c>
      <c r="E588" s="285">
        <f>Table13[[#This Row],[Commencement Date]]</f>
        <v>0</v>
      </c>
      <c r="F588" s="284">
        <f t="shared" si="63"/>
        <v>1</v>
      </c>
      <c r="G588" s="284">
        <f t="shared" si="64"/>
        <v>25</v>
      </c>
      <c r="H588" s="286">
        <f>Table13[[#This Row],[Product Option]]</f>
        <v>0</v>
      </c>
      <c r="I588" s="284">
        <f>IF(AND($A588="Main Member",Table2[[#This Row],[Product Option]]="My Value Plus Life"),"MM_LIFE",
IF(AND($A588="Spouse",Table2[[#This Row],[Product Option]]="My Value Plus Life"),"SP_LIFE",
IF(AND($A588="Main Member",Table2[[#This Row],[Product Option]]="My Value Plus Life &amp; Funeral"),"MM_LIFE",
IF(AND($A588="Spouse",Table2[[#This Row],[Product Option]]="My Value Plus Life &amp; Funeral"),_xlfn.XLOOKUP(Table2[[#This Row],[Benefit Name]],Lookups!$D$18:$D$23,Lookups!$E$18:$E$23,0),
0))))</f>
        <v>0</v>
      </c>
      <c r="J588" s="284">
        <f>IF($I588="","",
IF($I588="MM_LIFE",INDEX('Quotation Tool'!$S$54:$V$60,MATCH($T588,'Quotation Tool'!$S$54:$S$60,0),4),
IF($I588="SP_LIFE",_xlfn.XLOOKUP(B587,$B:$B,$J:$J,0),0)))</f>
        <v>0</v>
      </c>
      <c r="K588" s="287">
        <f t="shared" ca="1" si="68"/>
        <v>0</v>
      </c>
      <c r="L588" s="288">
        <f t="shared" ca="1" si="69"/>
        <v>0</v>
      </c>
      <c r="M588" s="289">
        <f t="shared" ca="1" si="65"/>
        <v>0</v>
      </c>
      <c r="N588" s="286">
        <f>Table13[[#This Row],[Benefit Option]]</f>
        <v>0</v>
      </c>
      <c r="O588" s="284">
        <f>IF(OR(Table2[[#This Row],[Member Type]]="Spouse",Table2[[#This Row],[Member Type]]="Child"),0,
IF(_xlfn.XLOOKUP($N588,Lookups!$D$13:$D$27,Lookups!$F$13:$F$27,0)=Table2[[#This Row],[Table Lookup for Life Cover]],0,
_xlfn.XLOOKUP($N588,Lookups!$D$13:$D$27,Lookups!$F$13:$F$27,0)))</f>
        <v>0</v>
      </c>
      <c r="P588" s="284">
        <f>IF(Table2[[#This Row],[Table Lookup for Funeral]]=0,0,IFERROR(INDEX('Quotation Tool'!$S$54:$V$60,MATCH($T588,'Quotation Tool'!$S$54:$S$60,0),3),0))</f>
        <v>0</v>
      </c>
      <c r="Q588" s="288">
        <f ca="1">IF(OR(Table2[[#This Row],[Benefit Name]]="My Value Plus Life - Main Member",Table2[[#This Row],[Benefit Name]]="My Value Plus Life - Spouse"),0,
IFERROR(VLOOKUP($G588,INDIRECT($O588),$P588,FALSE),0))</f>
        <v>0</v>
      </c>
      <c r="R588" s="288">
        <f ca="1">IF(OR(Table2[[#This Row],[Benefit Name]]="My Value Plus Life - Main Member",Table2[[#This Row],[Benefit Name]]="My Value Plus Life - Spouse"),0,
IFERROR(VLOOKUP($G588,INDIRECT($O588),$P588+1,FALSE),0))</f>
        <v>0</v>
      </c>
      <c r="S588" s="289">
        <f t="shared" ca="1" si="66"/>
        <v>0</v>
      </c>
      <c r="T588" s="284" t="str">
        <f>IF(Table13[[#This Row],[Premium Waiver]]="","None",Table13[[#This Row],[Premium Waiver]])</f>
        <v>None</v>
      </c>
      <c r="U588" s="284">
        <f>Table13[[#This Row],[VAPs Options]]</f>
        <v>0</v>
      </c>
      <c r="V588" s="284">
        <f>Table13[[#This Row],[Annual Increase Option]]</f>
        <v>0</v>
      </c>
      <c r="W588" s="290">
        <f>Table13[[#This Row],[Life Cover Amount]]</f>
        <v>0</v>
      </c>
      <c r="X588" s="290">
        <f>Table13[[#This Row],[Funeral Cover Amount]]</f>
        <v>0</v>
      </c>
      <c r="Y58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8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88" s="301">
        <f t="shared" ca="1" si="67"/>
        <v>0</v>
      </c>
      <c r="AB588" s="298"/>
      <c r="AC588" s="326" t="str">
        <f>IF(Table2[[#This Row],[Member Type]]="Main Member",Lookups!$C$13,
IF(Table2[[#This Row],[Member Type]]="Spouse",_xlfn.XLOOKUP(B588,Table2[Main Member Link ID],Table2[Product Option],0),
IF(AND(Table2[[#This Row],[Member Type]]="Child",_xlfn.XLOOKUP(B588,Table2[Main Member Link ID],Table2[Product Option],0)&lt;&gt;"My Value Plus Life"),Lookups!$C$24,
IF(AND(OR(Table2[[#This Row],[Member Type]]="Parent",Table2[[#This Row],[Member Type]]="Extended"),_xlfn.XLOOKUP(B588,Table2[Main Member Link ID],Table2[Product Option],0)&lt;&gt;"My Value Plus Life"),Lookups!$C$26,""))))</f>
        <v/>
      </c>
      <c r="AD588" s="326" t="str">
        <f>IF(Table2[[#This Row],[Member Type]]="Main Member",Lookups!$C$14,"")</f>
        <v/>
      </c>
      <c r="AE58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Funeral",_xlfn.XLOOKUP(B588,Table2[Main Member Link ID],Table2[Benefit Name],0)=Lookups!$D$14),"",
IF(AND(Table2[[#This Row],[Member Type]]="Spouse",Table2[[#This Row],[Product Option]]="My Value Plus Life &amp; Funeral",_xlfn.XLOOKUP(B587,Table2[Main Member Link ID],Table2[Benefit Name],0)=Lookups!$D$15),Lookups!$D$20,
IF(AND(Table2[[#This Row],[Member Type]]="Spouse",Table2[[#This Row],[Product Option]]="My Value Plus Life &amp; Funeral",_xlfn.XLOOKUP(B587,Table2[Main Member Link ID],Table2[Benefit Name],0)=Lookups!$D$16),"",
IF(AND(Table2[[#This Row],[Member Type]]="Spouse",Table2[[#This Row],[Product Option]]="My Value Plus Life &amp; Funeral",_xlfn.XLOOKUP(B587,Table2[Main Member Link ID],Table2[Benefit Name],0)=Lookups!$D$17),Lookups!$D$21,
IF(AND(Table2[[#This Row],[Member Type]]="Child",Table2[[#This Row],[Product Option]]="My Value Plus Life &amp; Funeral",_xlfn.XLOOKUP(B588,Table2[Main Member Link ID],Table2[Benefit Name],0)=Lookups!$D$14),"",
IF(AND(Table2[[#This Row],[Member Type]]="Child",Table2[[#This Row],[Product Option]]="My Value Plus Life &amp; Funeral",_xlfn.XLOOKUP(B588,Table2[Main Member Link ID],Table2[Benefit Name],0)=Lookups!$D$15),"",
IF(AND(Table2[[#This Row],[Member Type]]="Child",Table2[[#This Row],[Product Option]]="My Value Plus Life &amp; Funeral",_xlfn.XLOOKUP(B588,Table2[Main Member Link ID],Table2[Benefit Name],0)=Lookups!$D$16),Lookups!$D$24,
IF(AND(Table2[[#This Row],[Member Type]]="Child",Table2[[#This Row],[Product Option]]="My Value Plus Life &amp; Funeral",_xlfn.XLOOKUP(B588,Table2[Main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Funeral",_xlfn.XLOOKUP(B588,Table2[Main Member Link ID],Table2[Benefit Name],0)&lt;&gt;Lookups!$D$14),
IF(_xlfn.XLOOKUP(B588,Table2[Main Member Link ID],Table2[Benefit Name],0)=0,"",_xlfn.XLOOKUP(B588,Table2[Main Member Link ID],Table2[Benefit Name],0)),"")))))))))))))))</f>
        <v/>
      </c>
      <c r="AF588" s="327" t="str">
        <f>IF(AND(Table2[[#This Row],[Member Type]]="Main Member",Table2[[#This Row],[Product Option]]="My Value Plus Life &amp; Funeral"),Lookups!$D$15,
IF(AND(Table2[[#This Row],[Member Type]]="Spouse",Table2[[#This Row],[Product Option]]="My Value Plus Life &amp; Funeral",_xlfn.XLOOKUP(B588,Table2[Main Member Link ID],Table2[Benefit Name],0)=Lookups!$D$14),"",
IF(AND(Table2[[#This Row],[Member Type]]="Spouse",Table2[[#This Row],[Product Option]]="My Value Plus Life &amp; Funeral",_xlfn.XLOOKUP(B587,Table2[Main Member Link ID],Table2[Benefit Name],0)=Lookups!$D$16),"",
IF(AND(Table2[[#This Row],[Member Type]]="Spouse",Table2[[#This Row],[Product Option]]="My Value Plus Life &amp; Funeral",_xlfn.XLOOKUP(B587,Table2[Main Member Link ID],Table2[Benefit Name],0)=Lookups!$D$15),"",
IF(AND(Table2[[#This Row],[Member Type]]="Spouse",Table2[[#This Row],[Product Option]]="My Value Plus Life &amp; Funeral",_xlfn.XLOOKUP(B587,Table2[Main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Funeral",_xlfn.XLOOKUP(B588,Table2[Main Member Link ID],Table2[Benefit Name],0)&lt;&gt;Lookups!$D$15),
IF(_xlfn.XLOOKUP(B588,Table2[Main Member Link ID],Table2[Benefit Name],0)=0,"",_xlfn.XLOOKUP(B588,Table2[Main Member Link ID],Table2[Benefit Name],0)),"")
))))))</f>
        <v/>
      </c>
      <c r="AG588" s="327" t="str">
        <f>IF(AND(Table2[[#This Row],[Member Type]]="Main Member",Table2[[#This Row],[Product Option]]="My Value Plus Life &amp; Funeral"),Lookups!$D$16,
IF(AND(Table2[[#This Row],[Member Type]]="Spouse",Table2[[#This Row],[Product Option]]="My Value Plus Life &amp; Funeral",_xlfn.XLOOKUP(B588,Table2[Main Member Link ID],Table2[Benefit Name],0)=Lookups!$D$14),"",
IF(AND(Table2[[#This Row],[Member Type]]="Spouse",Table2[[#This Row],[Product Option]]="My Value Plus Life &amp; Funeral",_xlfn.XLOOKUP(B587,Table2[Main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Funeral",_xlfn.XLOOKUP(B588,Table2[Main Member Link ID],Table2[Benefit Name],0)&lt;&gt;Lookups!$D$16),
IF(_xlfn.XLOOKUP(B588,Table2[Main Member Link ID],Table2[Benefit Name],0)=0,"",_xlfn.XLOOKUP(B588,Table2[Main Member Link ID],Table2[Benefit Name],0)),"")
))))</f>
        <v/>
      </c>
      <c r="AH588" s="327" t="str">
        <f>IF(AND(Table2[[#This Row],[Member Type]]="Main Member",Table2[[#This Row],[Product Option]]="My Value Plus Life &amp; Funeral"),Lookups!$D$17,
IF(AND(Table2[[#This Row],[Member Type]]="Spouse",Table2[[#This Row],[Product Option]]="My Value Plus Life &amp; Funeral",_xlfn.XLOOKUP(B588,Table2[Main Member Link ID],Table2[Benefit Name],0)=Lookups!$D$14),"",
IF(AND(Table2[[#This Row],[Member Type]]="Spouse",Table2[[#This Row],[Product Option]]="My Value Plus Life &amp; Funeral",_xlfn.XLOOKUP(B587,Table2[Main Member Link ID],Table2[Benefit Name],0)=Lookups!$D$16),"",
IF(AND(Table2[[#This Row],[Member Type]]="Child",Table2[[#This Row],[Product Option]]="My Value Plus Life &amp; Funeral"),"",
IF(AND(Table2[[#This Row],[Member Type]]="Child",Table2[[#This Row],[Product Option]]="My Value Plus Life &amp; Funeral",_xlfn.XLOOKUP(B588,Table2[Main Member Link ID],Table2[Benefit Name],0)=Lookups!$D$15),"",
IF(AND(OR(Table2[[#This Row],[Member Type]]="Spouse",Table2[[#This Row],[Member Type]]="Child"),Table2[[#This Row],[Product Option]]="My Value Plus Life &amp; Funeral",_xlfn.XLOOKUP(B588,Table2[Main Member Link ID],Table2[Benefit Name],0)&lt;&gt;Lookups!$D$17),
IF(_xlfn.XLOOKUP(B588,Table2[Main Member Link ID],Table2[Benefit Name],0)=0,"",_xlfn.XLOOKUP(B588,Table2[Main Member Link ID],Table2[Benefit Name],0)),""))))))</f>
        <v/>
      </c>
      <c r="AI588" s="328" t="str">
        <f>IF(AND(Table2[[#This Row],[Member Type]]="Main Member",Table2[[#This Row],[Table Lookup for Life Cover]]="MM_LIFE",Table2[[#This Row],[Age Next Birthday]]&lt;56),1,
IF(AND(Table2[[#This Row],[Member Type]]="Main Member",Table2[[#This Row],[Table Lookup for Life Cover]]="MM_LIFE",Table2[[#This Row],[Age Next Birthday]]&gt;=56),2,
""))</f>
        <v/>
      </c>
      <c r="AJ588" s="328">
        <f>IF(OR(Table2[[#This Row],[Member Type]]="Main Member",Table2[[#This Row],[Main Member Link ID]]=B587),1,0)</f>
        <v>1</v>
      </c>
      <c r="AK588" s="328">
        <f>IF(Table2[[#This Row],[Member Type]]=0,0,
IF(OR(Table2[[#This Row],[Member Type]]="Main Member",Table2[[#This Row],[Main Member Link ID]]&lt;&gt;B588),COUNTIFS(B:B,Table2[[#This Row],[Main Member Link ID]]),
COUNTIFS(B:B,Table2[[#This Row],[Main Member Link ID]],A:A,Table2[[#This Row],[Member Type]])))</f>
        <v>0</v>
      </c>
    </row>
    <row r="589" spans="1:37" x14ac:dyDescent="0.3">
      <c r="A589" s="284">
        <f>Table13[[#This Row],[Member Type]]</f>
        <v>0</v>
      </c>
      <c r="B589" s="284">
        <f>Table13[[#This Row],[Main Member Link ID]]</f>
        <v>0</v>
      </c>
      <c r="C589" s="284">
        <f>Table13[[#This Row],[ID Number]]</f>
        <v>0</v>
      </c>
      <c r="D589" s="285">
        <f>Table13[[#This Row],[Date Of Birth]]</f>
        <v>0</v>
      </c>
      <c r="E589" s="285">
        <f>Table13[[#This Row],[Commencement Date]]</f>
        <v>0</v>
      </c>
      <c r="F589" s="284">
        <f t="shared" si="63"/>
        <v>1</v>
      </c>
      <c r="G589" s="284">
        <f t="shared" si="64"/>
        <v>25</v>
      </c>
      <c r="H589" s="286">
        <f>Table13[[#This Row],[Product Option]]</f>
        <v>0</v>
      </c>
      <c r="I589" s="284">
        <f>IF(AND($A589="Main Member",Table2[[#This Row],[Product Option]]="My Value Plus Life"),"MM_LIFE",
IF(AND($A589="Spouse",Table2[[#This Row],[Product Option]]="My Value Plus Life"),"SP_LIFE",
IF(AND($A589="Main Member",Table2[[#This Row],[Product Option]]="My Value Plus Life &amp; Funeral"),"MM_LIFE",
IF(AND($A589="Spouse",Table2[[#This Row],[Product Option]]="My Value Plus Life &amp; Funeral"),_xlfn.XLOOKUP(Table2[[#This Row],[Benefit Name]],Lookups!$D$18:$D$23,Lookups!$E$18:$E$23,0),
0))))</f>
        <v>0</v>
      </c>
      <c r="J589" s="284">
        <f>IF($I589="","",
IF($I589="MM_LIFE",INDEX('Quotation Tool'!$S$54:$V$60,MATCH($T589,'Quotation Tool'!$S$54:$S$60,0),4),
IF($I589="SP_LIFE",_xlfn.XLOOKUP(B588,$B:$B,$J:$J,0),0)))</f>
        <v>0</v>
      </c>
      <c r="K589" s="287">
        <f t="shared" ca="1" si="68"/>
        <v>0</v>
      </c>
      <c r="L589" s="288">
        <f t="shared" ca="1" si="69"/>
        <v>0</v>
      </c>
      <c r="M589" s="289">
        <f t="shared" ca="1" si="65"/>
        <v>0</v>
      </c>
      <c r="N589" s="286">
        <f>Table13[[#This Row],[Benefit Option]]</f>
        <v>0</v>
      </c>
      <c r="O589" s="284">
        <f>IF(OR(Table2[[#This Row],[Member Type]]="Spouse",Table2[[#This Row],[Member Type]]="Child"),0,
IF(_xlfn.XLOOKUP($N589,Lookups!$D$13:$D$27,Lookups!$F$13:$F$27,0)=Table2[[#This Row],[Table Lookup for Life Cover]],0,
_xlfn.XLOOKUP($N589,Lookups!$D$13:$D$27,Lookups!$F$13:$F$27,0)))</f>
        <v>0</v>
      </c>
      <c r="P589" s="284">
        <f>IF(Table2[[#This Row],[Table Lookup for Funeral]]=0,0,IFERROR(INDEX('Quotation Tool'!$S$54:$V$60,MATCH($T589,'Quotation Tool'!$S$54:$S$60,0),3),0))</f>
        <v>0</v>
      </c>
      <c r="Q589" s="288">
        <f ca="1">IF(OR(Table2[[#This Row],[Benefit Name]]="My Value Plus Life - Main Member",Table2[[#This Row],[Benefit Name]]="My Value Plus Life - Spouse"),0,
IFERROR(VLOOKUP($G589,INDIRECT($O589),$P589,FALSE),0))</f>
        <v>0</v>
      </c>
      <c r="R589" s="288">
        <f ca="1">IF(OR(Table2[[#This Row],[Benefit Name]]="My Value Plus Life - Main Member",Table2[[#This Row],[Benefit Name]]="My Value Plus Life - Spouse"),0,
IFERROR(VLOOKUP($G589,INDIRECT($O589),$P589+1,FALSE),0))</f>
        <v>0</v>
      </c>
      <c r="S589" s="289">
        <f t="shared" ca="1" si="66"/>
        <v>0</v>
      </c>
      <c r="T589" s="284" t="str">
        <f>IF(Table13[[#This Row],[Premium Waiver]]="","None",Table13[[#This Row],[Premium Waiver]])</f>
        <v>None</v>
      </c>
      <c r="U589" s="284">
        <f>Table13[[#This Row],[VAPs Options]]</f>
        <v>0</v>
      </c>
      <c r="V589" s="284">
        <f>Table13[[#This Row],[Annual Increase Option]]</f>
        <v>0</v>
      </c>
      <c r="W589" s="290">
        <f>Table13[[#This Row],[Life Cover Amount]]</f>
        <v>0</v>
      </c>
      <c r="X589" s="290">
        <f>Table13[[#This Row],[Funeral Cover Amount]]</f>
        <v>0</v>
      </c>
      <c r="Y58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8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89" s="301">
        <f t="shared" ca="1" si="67"/>
        <v>0</v>
      </c>
      <c r="AB589" s="298"/>
      <c r="AC589" s="326" t="str">
        <f>IF(Table2[[#This Row],[Member Type]]="Main Member",Lookups!$C$13,
IF(Table2[[#This Row],[Member Type]]="Spouse",_xlfn.XLOOKUP(B589,Table2[Main Member Link ID],Table2[Product Option],0),
IF(AND(Table2[[#This Row],[Member Type]]="Child",_xlfn.XLOOKUP(B589,Table2[Main Member Link ID],Table2[Product Option],0)&lt;&gt;"My Value Plus Life"),Lookups!$C$24,
IF(AND(OR(Table2[[#This Row],[Member Type]]="Parent",Table2[[#This Row],[Member Type]]="Extended"),_xlfn.XLOOKUP(B589,Table2[Main Member Link ID],Table2[Product Option],0)&lt;&gt;"My Value Plus Life"),Lookups!$C$26,""))))</f>
        <v/>
      </c>
      <c r="AD589" s="326" t="str">
        <f>IF(Table2[[#This Row],[Member Type]]="Main Member",Lookups!$C$14,"")</f>
        <v/>
      </c>
      <c r="AE58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Funeral",_xlfn.XLOOKUP(B589,Table2[Main Member Link ID],Table2[Benefit Name],0)=Lookups!$D$14),"",
IF(AND(Table2[[#This Row],[Member Type]]="Spouse",Table2[[#This Row],[Product Option]]="My Value Plus Life &amp; Funeral",_xlfn.XLOOKUP(B588,Table2[Main Member Link ID],Table2[Benefit Name],0)=Lookups!$D$15),Lookups!$D$20,
IF(AND(Table2[[#This Row],[Member Type]]="Spouse",Table2[[#This Row],[Product Option]]="My Value Plus Life &amp; Funeral",_xlfn.XLOOKUP(B588,Table2[Main Member Link ID],Table2[Benefit Name],0)=Lookups!$D$16),"",
IF(AND(Table2[[#This Row],[Member Type]]="Spouse",Table2[[#This Row],[Product Option]]="My Value Plus Life &amp; Funeral",_xlfn.XLOOKUP(B588,Table2[Main Member Link ID],Table2[Benefit Name],0)=Lookups!$D$17),Lookups!$D$21,
IF(AND(Table2[[#This Row],[Member Type]]="Child",Table2[[#This Row],[Product Option]]="My Value Plus Life &amp; Funeral",_xlfn.XLOOKUP(B589,Table2[Main Member Link ID],Table2[Benefit Name],0)=Lookups!$D$14),"",
IF(AND(Table2[[#This Row],[Member Type]]="Child",Table2[[#This Row],[Product Option]]="My Value Plus Life &amp; Funeral",_xlfn.XLOOKUP(B589,Table2[Main Member Link ID],Table2[Benefit Name],0)=Lookups!$D$15),"",
IF(AND(Table2[[#This Row],[Member Type]]="Child",Table2[[#This Row],[Product Option]]="My Value Plus Life &amp; Funeral",_xlfn.XLOOKUP(B589,Table2[Main Member Link ID],Table2[Benefit Name],0)=Lookups!$D$16),Lookups!$D$24,
IF(AND(Table2[[#This Row],[Member Type]]="Child",Table2[[#This Row],[Product Option]]="My Value Plus Life &amp; Funeral",_xlfn.XLOOKUP(B589,Table2[Main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Funeral",_xlfn.XLOOKUP(B589,Table2[Main Member Link ID],Table2[Benefit Name],0)&lt;&gt;Lookups!$D$14),
IF(_xlfn.XLOOKUP(B589,Table2[Main Member Link ID],Table2[Benefit Name],0)=0,"",_xlfn.XLOOKUP(B589,Table2[Main Member Link ID],Table2[Benefit Name],0)),"")))))))))))))))</f>
        <v/>
      </c>
      <c r="AF589" s="327" t="str">
        <f>IF(AND(Table2[[#This Row],[Member Type]]="Main Member",Table2[[#This Row],[Product Option]]="My Value Plus Life &amp; Funeral"),Lookups!$D$15,
IF(AND(Table2[[#This Row],[Member Type]]="Spouse",Table2[[#This Row],[Product Option]]="My Value Plus Life &amp; Funeral",_xlfn.XLOOKUP(B589,Table2[Main Member Link ID],Table2[Benefit Name],0)=Lookups!$D$14),"",
IF(AND(Table2[[#This Row],[Member Type]]="Spouse",Table2[[#This Row],[Product Option]]="My Value Plus Life &amp; Funeral",_xlfn.XLOOKUP(B588,Table2[Main Member Link ID],Table2[Benefit Name],0)=Lookups!$D$16),"",
IF(AND(Table2[[#This Row],[Member Type]]="Spouse",Table2[[#This Row],[Product Option]]="My Value Plus Life &amp; Funeral",_xlfn.XLOOKUP(B588,Table2[Main Member Link ID],Table2[Benefit Name],0)=Lookups!$D$15),"",
IF(AND(Table2[[#This Row],[Member Type]]="Spouse",Table2[[#This Row],[Product Option]]="My Value Plus Life &amp; Funeral",_xlfn.XLOOKUP(B588,Table2[Main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Funeral",_xlfn.XLOOKUP(B589,Table2[Main Member Link ID],Table2[Benefit Name],0)&lt;&gt;Lookups!$D$15),
IF(_xlfn.XLOOKUP(B589,Table2[Main Member Link ID],Table2[Benefit Name],0)=0,"",_xlfn.XLOOKUP(B589,Table2[Main Member Link ID],Table2[Benefit Name],0)),"")
))))))</f>
        <v/>
      </c>
      <c r="AG589" s="327" t="str">
        <f>IF(AND(Table2[[#This Row],[Member Type]]="Main Member",Table2[[#This Row],[Product Option]]="My Value Plus Life &amp; Funeral"),Lookups!$D$16,
IF(AND(Table2[[#This Row],[Member Type]]="Spouse",Table2[[#This Row],[Product Option]]="My Value Plus Life &amp; Funeral",_xlfn.XLOOKUP(B589,Table2[Main Member Link ID],Table2[Benefit Name],0)=Lookups!$D$14),"",
IF(AND(Table2[[#This Row],[Member Type]]="Spouse",Table2[[#This Row],[Product Option]]="My Value Plus Life &amp; Funeral",_xlfn.XLOOKUP(B588,Table2[Main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Funeral",_xlfn.XLOOKUP(B589,Table2[Main Member Link ID],Table2[Benefit Name],0)&lt;&gt;Lookups!$D$16),
IF(_xlfn.XLOOKUP(B589,Table2[Main Member Link ID],Table2[Benefit Name],0)=0,"",_xlfn.XLOOKUP(B589,Table2[Main Member Link ID],Table2[Benefit Name],0)),"")
))))</f>
        <v/>
      </c>
      <c r="AH589" s="327" t="str">
        <f>IF(AND(Table2[[#This Row],[Member Type]]="Main Member",Table2[[#This Row],[Product Option]]="My Value Plus Life &amp; Funeral"),Lookups!$D$17,
IF(AND(Table2[[#This Row],[Member Type]]="Spouse",Table2[[#This Row],[Product Option]]="My Value Plus Life &amp; Funeral",_xlfn.XLOOKUP(B589,Table2[Main Member Link ID],Table2[Benefit Name],0)=Lookups!$D$14),"",
IF(AND(Table2[[#This Row],[Member Type]]="Spouse",Table2[[#This Row],[Product Option]]="My Value Plus Life &amp; Funeral",_xlfn.XLOOKUP(B588,Table2[Main Member Link ID],Table2[Benefit Name],0)=Lookups!$D$16),"",
IF(AND(Table2[[#This Row],[Member Type]]="Child",Table2[[#This Row],[Product Option]]="My Value Plus Life &amp; Funeral"),"",
IF(AND(Table2[[#This Row],[Member Type]]="Child",Table2[[#This Row],[Product Option]]="My Value Plus Life &amp; Funeral",_xlfn.XLOOKUP(B589,Table2[Main Member Link ID],Table2[Benefit Name],0)=Lookups!$D$15),"",
IF(AND(OR(Table2[[#This Row],[Member Type]]="Spouse",Table2[[#This Row],[Member Type]]="Child"),Table2[[#This Row],[Product Option]]="My Value Plus Life &amp; Funeral",_xlfn.XLOOKUP(B589,Table2[Main Member Link ID],Table2[Benefit Name],0)&lt;&gt;Lookups!$D$17),
IF(_xlfn.XLOOKUP(B589,Table2[Main Member Link ID],Table2[Benefit Name],0)=0,"",_xlfn.XLOOKUP(B589,Table2[Main Member Link ID],Table2[Benefit Name],0)),""))))))</f>
        <v/>
      </c>
      <c r="AI589" s="328" t="str">
        <f>IF(AND(Table2[[#This Row],[Member Type]]="Main Member",Table2[[#This Row],[Table Lookup for Life Cover]]="MM_LIFE",Table2[[#This Row],[Age Next Birthday]]&lt;56),1,
IF(AND(Table2[[#This Row],[Member Type]]="Main Member",Table2[[#This Row],[Table Lookup for Life Cover]]="MM_LIFE",Table2[[#This Row],[Age Next Birthday]]&gt;=56),2,
""))</f>
        <v/>
      </c>
      <c r="AJ589" s="328">
        <f>IF(OR(Table2[[#This Row],[Member Type]]="Main Member",Table2[[#This Row],[Main Member Link ID]]=B588),1,0)</f>
        <v>1</v>
      </c>
      <c r="AK589" s="328">
        <f>IF(Table2[[#This Row],[Member Type]]=0,0,
IF(OR(Table2[[#This Row],[Member Type]]="Main Member",Table2[[#This Row],[Main Member Link ID]]&lt;&gt;B589),COUNTIFS(B:B,Table2[[#This Row],[Main Member Link ID]]),
COUNTIFS(B:B,Table2[[#This Row],[Main Member Link ID]],A:A,Table2[[#This Row],[Member Type]])))</f>
        <v>0</v>
      </c>
    </row>
    <row r="590" spans="1:37" x14ac:dyDescent="0.3">
      <c r="A590" s="284">
        <f>Table13[[#This Row],[Member Type]]</f>
        <v>0</v>
      </c>
      <c r="B590" s="284">
        <f>Table13[[#This Row],[Main Member Link ID]]</f>
        <v>0</v>
      </c>
      <c r="C590" s="284">
        <f>Table13[[#This Row],[ID Number]]</f>
        <v>0</v>
      </c>
      <c r="D590" s="285">
        <f>Table13[[#This Row],[Date Of Birth]]</f>
        <v>0</v>
      </c>
      <c r="E590" s="285">
        <f>Table13[[#This Row],[Commencement Date]]</f>
        <v>0</v>
      </c>
      <c r="F590" s="284">
        <f t="shared" si="63"/>
        <v>1</v>
      </c>
      <c r="G590" s="284">
        <f t="shared" si="64"/>
        <v>25</v>
      </c>
      <c r="H590" s="286">
        <f>Table13[[#This Row],[Product Option]]</f>
        <v>0</v>
      </c>
      <c r="I590" s="284">
        <f>IF(AND($A590="Main Member",Table2[[#This Row],[Product Option]]="My Value Plus Life"),"MM_LIFE",
IF(AND($A590="Spouse",Table2[[#This Row],[Product Option]]="My Value Plus Life"),"SP_LIFE",
IF(AND($A590="Main Member",Table2[[#This Row],[Product Option]]="My Value Plus Life &amp; Funeral"),"MM_LIFE",
IF(AND($A590="Spouse",Table2[[#This Row],[Product Option]]="My Value Plus Life &amp; Funeral"),_xlfn.XLOOKUP(Table2[[#This Row],[Benefit Name]],Lookups!$D$18:$D$23,Lookups!$E$18:$E$23,0),
0))))</f>
        <v>0</v>
      </c>
      <c r="J590" s="284">
        <f>IF($I590="","",
IF($I590="MM_LIFE",INDEX('Quotation Tool'!$S$54:$V$60,MATCH($T590,'Quotation Tool'!$S$54:$S$60,0),4),
IF($I590="SP_LIFE",_xlfn.XLOOKUP(B589,$B:$B,$J:$J,0),0)))</f>
        <v>0</v>
      </c>
      <c r="K590" s="287">
        <f t="shared" ca="1" si="68"/>
        <v>0</v>
      </c>
      <c r="L590" s="288">
        <f t="shared" ca="1" si="69"/>
        <v>0</v>
      </c>
      <c r="M590" s="289">
        <f t="shared" ca="1" si="65"/>
        <v>0</v>
      </c>
      <c r="N590" s="286">
        <f>Table13[[#This Row],[Benefit Option]]</f>
        <v>0</v>
      </c>
      <c r="O590" s="284">
        <f>IF(OR(Table2[[#This Row],[Member Type]]="Spouse",Table2[[#This Row],[Member Type]]="Child"),0,
IF(_xlfn.XLOOKUP($N590,Lookups!$D$13:$D$27,Lookups!$F$13:$F$27,0)=Table2[[#This Row],[Table Lookup for Life Cover]],0,
_xlfn.XLOOKUP($N590,Lookups!$D$13:$D$27,Lookups!$F$13:$F$27,0)))</f>
        <v>0</v>
      </c>
      <c r="P590" s="284">
        <f>IF(Table2[[#This Row],[Table Lookup for Funeral]]=0,0,IFERROR(INDEX('Quotation Tool'!$S$54:$V$60,MATCH($T590,'Quotation Tool'!$S$54:$S$60,0),3),0))</f>
        <v>0</v>
      </c>
      <c r="Q590" s="288">
        <f ca="1">IF(OR(Table2[[#This Row],[Benefit Name]]="My Value Plus Life - Main Member",Table2[[#This Row],[Benefit Name]]="My Value Plus Life - Spouse"),0,
IFERROR(VLOOKUP($G590,INDIRECT($O590),$P590,FALSE),0))</f>
        <v>0</v>
      </c>
      <c r="R590" s="288">
        <f ca="1">IF(OR(Table2[[#This Row],[Benefit Name]]="My Value Plus Life - Main Member",Table2[[#This Row],[Benefit Name]]="My Value Plus Life - Spouse"),0,
IFERROR(VLOOKUP($G590,INDIRECT($O590),$P590+1,FALSE),0))</f>
        <v>0</v>
      </c>
      <c r="S590" s="289">
        <f t="shared" ca="1" si="66"/>
        <v>0</v>
      </c>
      <c r="T590" s="284" t="str">
        <f>IF(Table13[[#This Row],[Premium Waiver]]="","None",Table13[[#This Row],[Premium Waiver]])</f>
        <v>None</v>
      </c>
      <c r="U590" s="284">
        <f>Table13[[#This Row],[VAPs Options]]</f>
        <v>0</v>
      </c>
      <c r="V590" s="284">
        <f>Table13[[#This Row],[Annual Increase Option]]</f>
        <v>0</v>
      </c>
      <c r="W590" s="290">
        <f>Table13[[#This Row],[Life Cover Amount]]</f>
        <v>0</v>
      </c>
      <c r="X590" s="290">
        <f>Table13[[#This Row],[Funeral Cover Amount]]</f>
        <v>0</v>
      </c>
      <c r="Y59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9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90" s="301">
        <f t="shared" ca="1" si="67"/>
        <v>0</v>
      </c>
      <c r="AB590" s="298"/>
      <c r="AC590" s="326" t="str">
        <f>IF(Table2[[#This Row],[Member Type]]="Main Member",Lookups!$C$13,
IF(Table2[[#This Row],[Member Type]]="Spouse",_xlfn.XLOOKUP(B590,Table2[Main Member Link ID],Table2[Product Option],0),
IF(AND(Table2[[#This Row],[Member Type]]="Child",_xlfn.XLOOKUP(B590,Table2[Main Member Link ID],Table2[Product Option],0)&lt;&gt;"My Value Plus Life"),Lookups!$C$24,
IF(AND(OR(Table2[[#This Row],[Member Type]]="Parent",Table2[[#This Row],[Member Type]]="Extended"),_xlfn.XLOOKUP(B590,Table2[Main Member Link ID],Table2[Product Option],0)&lt;&gt;"My Value Plus Life"),Lookups!$C$26,""))))</f>
        <v/>
      </c>
      <c r="AD590" s="326" t="str">
        <f>IF(Table2[[#This Row],[Member Type]]="Main Member",Lookups!$C$14,"")</f>
        <v/>
      </c>
      <c r="AE59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Funeral",_xlfn.XLOOKUP(B590,Table2[Main Member Link ID],Table2[Benefit Name],0)=Lookups!$D$14),"",
IF(AND(Table2[[#This Row],[Member Type]]="Spouse",Table2[[#This Row],[Product Option]]="My Value Plus Life &amp; Funeral",_xlfn.XLOOKUP(B589,Table2[Main Member Link ID],Table2[Benefit Name],0)=Lookups!$D$15),Lookups!$D$20,
IF(AND(Table2[[#This Row],[Member Type]]="Spouse",Table2[[#This Row],[Product Option]]="My Value Plus Life &amp; Funeral",_xlfn.XLOOKUP(B589,Table2[Main Member Link ID],Table2[Benefit Name],0)=Lookups!$D$16),"",
IF(AND(Table2[[#This Row],[Member Type]]="Spouse",Table2[[#This Row],[Product Option]]="My Value Plus Life &amp; Funeral",_xlfn.XLOOKUP(B589,Table2[Main Member Link ID],Table2[Benefit Name],0)=Lookups!$D$17),Lookups!$D$21,
IF(AND(Table2[[#This Row],[Member Type]]="Child",Table2[[#This Row],[Product Option]]="My Value Plus Life &amp; Funeral",_xlfn.XLOOKUP(B590,Table2[Main Member Link ID],Table2[Benefit Name],0)=Lookups!$D$14),"",
IF(AND(Table2[[#This Row],[Member Type]]="Child",Table2[[#This Row],[Product Option]]="My Value Plus Life &amp; Funeral",_xlfn.XLOOKUP(B590,Table2[Main Member Link ID],Table2[Benefit Name],0)=Lookups!$D$15),"",
IF(AND(Table2[[#This Row],[Member Type]]="Child",Table2[[#This Row],[Product Option]]="My Value Plus Life &amp; Funeral",_xlfn.XLOOKUP(B590,Table2[Main Member Link ID],Table2[Benefit Name],0)=Lookups!$D$16),Lookups!$D$24,
IF(AND(Table2[[#This Row],[Member Type]]="Child",Table2[[#This Row],[Product Option]]="My Value Plus Life &amp; Funeral",_xlfn.XLOOKUP(B590,Table2[Main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Funeral",_xlfn.XLOOKUP(B590,Table2[Main Member Link ID],Table2[Benefit Name],0)&lt;&gt;Lookups!$D$14),
IF(_xlfn.XLOOKUP(B590,Table2[Main Member Link ID],Table2[Benefit Name],0)=0,"",_xlfn.XLOOKUP(B590,Table2[Main Member Link ID],Table2[Benefit Name],0)),"")))))))))))))))</f>
        <v/>
      </c>
      <c r="AF590" s="327" t="str">
        <f>IF(AND(Table2[[#This Row],[Member Type]]="Main Member",Table2[[#This Row],[Product Option]]="My Value Plus Life &amp; Funeral"),Lookups!$D$15,
IF(AND(Table2[[#This Row],[Member Type]]="Spouse",Table2[[#This Row],[Product Option]]="My Value Plus Life &amp; Funeral",_xlfn.XLOOKUP(B590,Table2[Main Member Link ID],Table2[Benefit Name],0)=Lookups!$D$14),"",
IF(AND(Table2[[#This Row],[Member Type]]="Spouse",Table2[[#This Row],[Product Option]]="My Value Plus Life &amp; Funeral",_xlfn.XLOOKUP(B589,Table2[Main Member Link ID],Table2[Benefit Name],0)=Lookups!$D$16),"",
IF(AND(Table2[[#This Row],[Member Type]]="Spouse",Table2[[#This Row],[Product Option]]="My Value Plus Life &amp; Funeral",_xlfn.XLOOKUP(B589,Table2[Main Member Link ID],Table2[Benefit Name],0)=Lookups!$D$15),"",
IF(AND(Table2[[#This Row],[Member Type]]="Spouse",Table2[[#This Row],[Product Option]]="My Value Plus Life &amp; Funeral",_xlfn.XLOOKUP(B589,Table2[Main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Funeral",_xlfn.XLOOKUP(B590,Table2[Main Member Link ID],Table2[Benefit Name],0)&lt;&gt;Lookups!$D$15),
IF(_xlfn.XLOOKUP(B590,Table2[Main Member Link ID],Table2[Benefit Name],0)=0,"",_xlfn.XLOOKUP(B590,Table2[Main Member Link ID],Table2[Benefit Name],0)),"")
))))))</f>
        <v/>
      </c>
      <c r="AG590" s="327" t="str">
        <f>IF(AND(Table2[[#This Row],[Member Type]]="Main Member",Table2[[#This Row],[Product Option]]="My Value Plus Life &amp; Funeral"),Lookups!$D$16,
IF(AND(Table2[[#This Row],[Member Type]]="Spouse",Table2[[#This Row],[Product Option]]="My Value Plus Life &amp; Funeral",_xlfn.XLOOKUP(B590,Table2[Main Member Link ID],Table2[Benefit Name],0)=Lookups!$D$14),"",
IF(AND(Table2[[#This Row],[Member Type]]="Spouse",Table2[[#This Row],[Product Option]]="My Value Plus Life &amp; Funeral",_xlfn.XLOOKUP(B589,Table2[Main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Funeral",_xlfn.XLOOKUP(B590,Table2[Main Member Link ID],Table2[Benefit Name],0)&lt;&gt;Lookups!$D$16),
IF(_xlfn.XLOOKUP(B590,Table2[Main Member Link ID],Table2[Benefit Name],0)=0,"",_xlfn.XLOOKUP(B590,Table2[Main Member Link ID],Table2[Benefit Name],0)),"")
))))</f>
        <v/>
      </c>
      <c r="AH590" s="327" t="str">
        <f>IF(AND(Table2[[#This Row],[Member Type]]="Main Member",Table2[[#This Row],[Product Option]]="My Value Plus Life &amp; Funeral"),Lookups!$D$17,
IF(AND(Table2[[#This Row],[Member Type]]="Spouse",Table2[[#This Row],[Product Option]]="My Value Plus Life &amp; Funeral",_xlfn.XLOOKUP(B590,Table2[Main Member Link ID],Table2[Benefit Name],0)=Lookups!$D$14),"",
IF(AND(Table2[[#This Row],[Member Type]]="Spouse",Table2[[#This Row],[Product Option]]="My Value Plus Life &amp; Funeral",_xlfn.XLOOKUP(B589,Table2[Main Member Link ID],Table2[Benefit Name],0)=Lookups!$D$16),"",
IF(AND(Table2[[#This Row],[Member Type]]="Child",Table2[[#This Row],[Product Option]]="My Value Plus Life &amp; Funeral"),"",
IF(AND(Table2[[#This Row],[Member Type]]="Child",Table2[[#This Row],[Product Option]]="My Value Plus Life &amp; Funeral",_xlfn.XLOOKUP(B590,Table2[Main Member Link ID],Table2[Benefit Name],0)=Lookups!$D$15),"",
IF(AND(OR(Table2[[#This Row],[Member Type]]="Spouse",Table2[[#This Row],[Member Type]]="Child"),Table2[[#This Row],[Product Option]]="My Value Plus Life &amp; Funeral",_xlfn.XLOOKUP(B590,Table2[Main Member Link ID],Table2[Benefit Name],0)&lt;&gt;Lookups!$D$17),
IF(_xlfn.XLOOKUP(B590,Table2[Main Member Link ID],Table2[Benefit Name],0)=0,"",_xlfn.XLOOKUP(B590,Table2[Main Member Link ID],Table2[Benefit Name],0)),""))))))</f>
        <v/>
      </c>
      <c r="AI590" s="328" t="str">
        <f>IF(AND(Table2[[#This Row],[Member Type]]="Main Member",Table2[[#This Row],[Table Lookup for Life Cover]]="MM_LIFE",Table2[[#This Row],[Age Next Birthday]]&lt;56),1,
IF(AND(Table2[[#This Row],[Member Type]]="Main Member",Table2[[#This Row],[Table Lookup for Life Cover]]="MM_LIFE",Table2[[#This Row],[Age Next Birthday]]&gt;=56),2,
""))</f>
        <v/>
      </c>
      <c r="AJ590" s="328">
        <f>IF(OR(Table2[[#This Row],[Member Type]]="Main Member",Table2[[#This Row],[Main Member Link ID]]=B589),1,0)</f>
        <v>1</v>
      </c>
      <c r="AK590" s="328">
        <f>IF(Table2[[#This Row],[Member Type]]=0,0,
IF(OR(Table2[[#This Row],[Member Type]]="Main Member",Table2[[#This Row],[Main Member Link ID]]&lt;&gt;B590),COUNTIFS(B:B,Table2[[#This Row],[Main Member Link ID]]),
COUNTIFS(B:B,Table2[[#This Row],[Main Member Link ID]],A:A,Table2[[#This Row],[Member Type]])))</f>
        <v>0</v>
      </c>
    </row>
    <row r="591" spans="1:37" x14ac:dyDescent="0.3">
      <c r="A591" s="284">
        <f>Table13[[#This Row],[Member Type]]</f>
        <v>0</v>
      </c>
      <c r="B591" s="284">
        <f>Table13[[#This Row],[Main Member Link ID]]</f>
        <v>0</v>
      </c>
      <c r="C591" s="284">
        <f>Table13[[#This Row],[ID Number]]</f>
        <v>0</v>
      </c>
      <c r="D591" s="285">
        <f>Table13[[#This Row],[Date Of Birth]]</f>
        <v>0</v>
      </c>
      <c r="E591" s="285">
        <f>Table13[[#This Row],[Commencement Date]]</f>
        <v>0</v>
      </c>
      <c r="F591" s="284">
        <f t="shared" si="63"/>
        <v>1</v>
      </c>
      <c r="G591" s="284">
        <f t="shared" si="64"/>
        <v>25</v>
      </c>
      <c r="H591" s="286">
        <f>Table13[[#This Row],[Product Option]]</f>
        <v>0</v>
      </c>
      <c r="I591" s="284">
        <f>IF(AND($A591="Main Member",Table2[[#This Row],[Product Option]]="My Value Plus Life"),"MM_LIFE",
IF(AND($A591="Spouse",Table2[[#This Row],[Product Option]]="My Value Plus Life"),"SP_LIFE",
IF(AND($A591="Main Member",Table2[[#This Row],[Product Option]]="My Value Plus Life &amp; Funeral"),"MM_LIFE",
IF(AND($A591="Spouse",Table2[[#This Row],[Product Option]]="My Value Plus Life &amp; Funeral"),_xlfn.XLOOKUP(Table2[[#This Row],[Benefit Name]],Lookups!$D$18:$D$23,Lookups!$E$18:$E$23,0),
0))))</f>
        <v>0</v>
      </c>
      <c r="J591" s="284">
        <f>IF($I591="","",
IF($I591="MM_LIFE",INDEX('Quotation Tool'!$S$54:$V$60,MATCH($T591,'Quotation Tool'!$S$54:$S$60,0),4),
IF($I591="SP_LIFE",_xlfn.XLOOKUP(B590,$B:$B,$J:$J,0),0)))</f>
        <v>0</v>
      </c>
      <c r="K591" s="287">
        <f t="shared" ca="1" si="68"/>
        <v>0</v>
      </c>
      <c r="L591" s="288">
        <f t="shared" ca="1" si="69"/>
        <v>0</v>
      </c>
      <c r="M591" s="289">
        <f t="shared" ca="1" si="65"/>
        <v>0</v>
      </c>
      <c r="N591" s="286">
        <f>Table13[[#This Row],[Benefit Option]]</f>
        <v>0</v>
      </c>
      <c r="O591" s="284">
        <f>IF(OR(Table2[[#This Row],[Member Type]]="Spouse",Table2[[#This Row],[Member Type]]="Child"),0,
IF(_xlfn.XLOOKUP($N591,Lookups!$D$13:$D$27,Lookups!$F$13:$F$27,0)=Table2[[#This Row],[Table Lookup for Life Cover]],0,
_xlfn.XLOOKUP($N591,Lookups!$D$13:$D$27,Lookups!$F$13:$F$27,0)))</f>
        <v>0</v>
      </c>
      <c r="P591" s="284">
        <f>IF(Table2[[#This Row],[Table Lookup for Funeral]]=0,0,IFERROR(INDEX('Quotation Tool'!$S$54:$V$60,MATCH($T591,'Quotation Tool'!$S$54:$S$60,0),3),0))</f>
        <v>0</v>
      </c>
      <c r="Q591" s="288">
        <f ca="1">IF(OR(Table2[[#This Row],[Benefit Name]]="My Value Plus Life - Main Member",Table2[[#This Row],[Benefit Name]]="My Value Plus Life - Spouse"),0,
IFERROR(VLOOKUP($G591,INDIRECT($O591),$P591,FALSE),0))</f>
        <v>0</v>
      </c>
      <c r="R591" s="288">
        <f ca="1">IF(OR(Table2[[#This Row],[Benefit Name]]="My Value Plus Life - Main Member",Table2[[#This Row],[Benefit Name]]="My Value Plus Life - Spouse"),0,
IFERROR(VLOOKUP($G591,INDIRECT($O591),$P591+1,FALSE),0))</f>
        <v>0</v>
      </c>
      <c r="S591" s="289">
        <f t="shared" ca="1" si="66"/>
        <v>0</v>
      </c>
      <c r="T591" s="284" t="str">
        <f>IF(Table13[[#This Row],[Premium Waiver]]="","None",Table13[[#This Row],[Premium Waiver]])</f>
        <v>None</v>
      </c>
      <c r="U591" s="284">
        <f>Table13[[#This Row],[VAPs Options]]</f>
        <v>0</v>
      </c>
      <c r="V591" s="284">
        <f>Table13[[#This Row],[Annual Increase Option]]</f>
        <v>0</v>
      </c>
      <c r="W591" s="290">
        <f>Table13[[#This Row],[Life Cover Amount]]</f>
        <v>0</v>
      </c>
      <c r="X591" s="290">
        <f>Table13[[#This Row],[Funeral Cover Amount]]</f>
        <v>0</v>
      </c>
      <c r="Y59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9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91" s="301">
        <f t="shared" ca="1" si="67"/>
        <v>0</v>
      </c>
      <c r="AB591" s="298"/>
      <c r="AC591" s="326" t="str">
        <f>IF(Table2[[#This Row],[Member Type]]="Main Member",Lookups!$C$13,
IF(Table2[[#This Row],[Member Type]]="Spouse",_xlfn.XLOOKUP(B591,Table2[Main Member Link ID],Table2[Product Option],0),
IF(AND(Table2[[#This Row],[Member Type]]="Child",_xlfn.XLOOKUP(B591,Table2[Main Member Link ID],Table2[Product Option],0)&lt;&gt;"My Value Plus Life"),Lookups!$C$24,
IF(AND(OR(Table2[[#This Row],[Member Type]]="Parent",Table2[[#This Row],[Member Type]]="Extended"),_xlfn.XLOOKUP(B591,Table2[Main Member Link ID],Table2[Product Option],0)&lt;&gt;"My Value Plus Life"),Lookups!$C$26,""))))</f>
        <v/>
      </c>
      <c r="AD591" s="326" t="str">
        <f>IF(Table2[[#This Row],[Member Type]]="Main Member",Lookups!$C$14,"")</f>
        <v/>
      </c>
      <c r="AE59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Funeral",_xlfn.XLOOKUP(B591,Table2[Main Member Link ID],Table2[Benefit Name],0)=Lookups!$D$14),"",
IF(AND(Table2[[#This Row],[Member Type]]="Spouse",Table2[[#This Row],[Product Option]]="My Value Plus Life &amp; Funeral",_xlfn.XLOOKUP(B590,Table2[Main Member Link ID],Table2[Benefit Name],0)=Lookups!$D$15),Lookups!$D$20,
IF(AND(Table2[[#This Row],[Member Type]]="Spouse",Table2[[#This Row],[Product Option]]="My Value Plus Life &amp; Funeral",_xlfn.XLOOKUP(B590,Table2[Main Member Link ID],Table2[Benefit Name],0)=Lookups!$D$16),"",
IF(AND(Table2[[#This Row],[Member Type]]="Spouse",Table2[[#This Row],[Product Option]]="My Value Plus Life &amp; Funeral",_xlfn.XLOOKUP(B590,Table2[Main Member Link ID],Table2[Benefit Name],0)=Lookups!$D$17),Lookups!$D$21,
IF(AND(Table2[[#This Row],[Member Type]]="Child",Table2[[#This Row],[Product Option]]="My Value Plus Life &amp; Funeral",_xlfn.XLOOKUP(B591,Table2[Main Member Link ID],Table2[Benefit Name],0)=Lookups!$D$14),"",
IF(AND(Table2[[#This Row],[Member Type]]="Child",Table2[[#This Row],[Product Option]]="My Value Plus Life &amp; Funeral",_xlfn.XLOOKUP(B591,Table2[Main Member Link ID],Table2[Benefit Name],0)=Lookups!$D$15),"",
IF(AND(Table2[[#This Row],[Member Type]]="Child",Table2[[#This Row],[Product Option]]="My Value Plus Life &amp; Funeral",_xlfn.XLOOKUP(B591,Table2[Main Member Link ID],Table2[Benefit Name],0)=Lookups!$D$16),Lookups!$D$24,
IF(AND(Table2[[#This Row],[Member Type]]="Child",Table2[[#This Row],[Product Option]]="My Value Plus Life &amp; Funeral",_xlfn.XLOOKUP(B591,Table2[Main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Funeral",_xlfn.XLOOKUP(B591,Table2[Main Member Link ID],Table2[Benefit Name],0)&lt;&gt;Lookups!$D$14),
IF(_xlfn.XLOOKUP(B591,Table2[Main Member Link ID],Table2[Benefit Name],0)=0,"",_xlfn.XLOOKUP(B591,Table2[Main Member Link ID],Table2[Benefit Name],0)),"")))))))))))))))</f>
        <v/>
      </c>
      <c r="AF591" s="327" t="str">
        <f>IF(AND(Table2[[#This Row],[Member Type]]="Main Member",Table2[[#This Row],[Product Option]]="My Value Plus Life &amp; Funeral"),Lookups!$D$15,
IF(AND(Table2[[#This Row],[Member Type]]="Spouse",Table2[[#This Row],[Product Option]]="My Value Plus Life &amp; Funeral",_xlfn.XLOOKUP(B591,Table2[Main Member Link ID],Table2[Benefit Name],0)=Lookups!$D$14),"",
IF(AND(Table2[[#This Row],[Member Type]]="Spouse",Table2[[#This Row],[Product Option]]="My Value Plus Life &amp; Funeral",_xlfn.XLOOKUP(B590,Table2[Main Member Link ID],Table2[Benefit Name],0)=Lookups!$D$16),"",
IF(AND(Table2[[#This Row],[Member Type]]="Spouse",Table2[[#This Row],[Product Option]]="My Value Plus Life &amp; Funeral",_xlfn.XLOOKUP(B590,Table2[Main Member Link ID],Table2[Benefit Name],0)=Lookups!$D$15),"",
IF(AND(Table2[[#This Row],[Member Type]]="Spouse",Table2[[#This Row],[Product Option]]="My Value Plus Life &amp; Funeral",_xlfn.XLOOKUP(B590,Table2[Main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Funeral",_xlfn.XLOOKUP(B591,Table2[Main Member Link ID],Table2[Benefit Name],0)&lt;&gt;Lookups!$D$15),
IF(_xlfn.XLOOKUP(B591,Table2[Main Member Link ID],Table2[Benefit Name],0)=0,"",_xlfn.XLOOKUP(B591,Table2[Main Member Link ID],Table2[Benefit Name],0)),"")
))))))</f>
        <v/>
      </c>
      <c r="AG591" s="327" t="str">
        <f>IF(AND(Table2[[#This Row],[Member Type]]="Main Member",Table2[[#This Row],[Product Option]]="My Value Plus Life &amp; Funeral"),Lookups!$D$16,
IF(AND(Table2[[#This Row],[Member Type]]="Spouse",Table2[[#This Row],[Product Option]]="My Value Plus Life &amp; Funeral",_xlfn.XLOOKUP(B591,Table2[Main Member Link ID],Table2[Benefit Name],0)=Lookups!$D$14),"",
IF(AND(Table2[[#This Row],[Member Type]]="Spouse",Table2[[#This Row],[Product Option]]="My Value Plus Life &amp; Funeral",_xlfn.XLOOKUP(B590,Table2[Main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Funeral",_xlfn.XLOOKUP(B591,Table2[Main Member Link ID],Table2[Benefit Name],0)&lt;&gt;Lookups!$D$16),
IF(_xlfn.XLOOKUP(B591,Table2[Main Member Link ID],Table2[Benefit Name],0)=0,"",_xlfn.XLOOKUP(B591,Table2[Main Member Link ID],Table2[Benefit Name],0)),"")
))))</f>
        <v/>
      </c>
      <c r="AH591" s="327" t="str">
        <f>IF(AND(Table2[[#This Row],[Member Type]]="Main Member",Table2[[#This Row],[Product Option]]="My Value Plus Life &amp; Funeral"),Lookups!$D$17,
IF(AND(Table2[[#This Row],[Member Type]]="Spouse",Table2[[#This Row],[Product Option]]="My Value Plus Life &amp; Funeral",_xlfn.XLOOKUP(B591,Table2[Main Member Link ID],Table2[Benefit Name],0)=Lookups!$D$14),"",
IF(AND(Table2[[#This Row],[Member Type]]="Spouse",Table2[[#This Row],[Product Option]]="My Value Plus Life &amp; Funeral",_xlfn.XLOOKUP(B590,Table2[Main Member Link ID],Table2[Benefit Name],0)=Lookups!$D$16),"",
IF(AND(Table2[[#This Row],[Member Type]]="Child",Table2[[#This Row],[Product Option]]="My Value Plus Life &amp; Funeral"),"",
IF(AND(Table2[[#This Row],[Member Type]]="Child",Table2[[#This Row],[Product Option]]="My Value Plus Life &amp; Funeral",_xlfn.XLOOKUP(B591,Table2[Main Member Link ID],Table2[Benefit Name],0)=Lookups!$D$15),"",
IF(AND(OR(Table2[[#This Row],[Member Type]]="Spouse",Table2[[#This Row],[Member Type]]="Child"),Table2[[#This Row],[Product Option]]="My Value Plus Life &amp; Funeral",_xlfn.XLOOKUP(B591,Table2[Main Member Link ID],Table2[Benefit Name],0)&lt;&gt;Lookups!$D$17),
IF(_xlfn.XLOOKUP(B591,Table2[Main Member Link ID],Table2[Benefit Name],0)=0,"",_xlfn.XLOOKUP(B591,Table2[Main Member Link ID],Table2[Benefit Name],0)),""))))))</f>
        <v/>
      </c>
      <c r="AI591" s="328" t="str">
        <f>IF(AND(Table2[[#This Row],[Member Type]]="Main Member",Table2[[#This Row],[Table Lookup for Life Cover]]="MM_LIFE",Table2[[#This Row],[Age Next Birthday]]&lt;56),1,
IF(AND(Table2[[#This Row],[Member Type]]="Main Member",Table2[[#This Row],[Table Lookup for Life Cover]]="MM_LIFE",Table2[[#This Row],[Age Next Birthday]]&gt;=56),2,
""))</f>
        <v/>
      </c>
      <c r="AJ591" s="328">
        <f>IF(OR(Table2[[#This Row],[Member Type]]="Main Member",Table2[[#This Row],[Main Member Link ID]]=B590),1,0)</f>
        <v>1</v>
      </c>
      <c r="AK591" s="328">
        <f>IF(Table2[[#This Row],[Member Type]]=0,0,
IF(OR(Table2[[#This Row],[Member Type]]="Main Member",Table2[[#This Row],[Main Member Link ID]]&lt;&gt;B591),COUNTIFS(B:B,Table2[[#This Row],[Main Member Link ID]]),
COUNTIFS(B:B,Table2[[#This Row],[Main Member Link ID]],A:A,Table2[[#This Row],[Member Type]])))</f>
        <v>0</v>
      </c>
    </row>
    <row r="592" spans="1:37" x14ac:dyDescent="0.3">
      <c r="A592" s="284">
        <f>Table13[[#This Row],[Member Type]]</f>
        <v>0</v>
      </c>
      <c r="B592" s="284">
        <f>Table13[[#This Row],[Main Member Link ID]]</f>
        <v>0</v>
      </c>
      <c r="C592" s="284">
        <f>Table13[[#This Row],[ID Number]]</f>
        <v>0</v>
      </c>
      <c r="D592" s="285">
        <f>Table13[[#This Row],[Date Of Birth]]</f>
        <v>0</v>
      </c>
      <c r="E592" s="285">
        <f>Table13[[#This Row],[Commencement Date]]</f>
        <v>0</v>
      </c>
      <c r="F592" s="284">
        <f t="shared" si="63"/>
        <v>1</v>
      </c>
      <c r="G592" s="284">
        <f t="shared" si="64"/>
        <v>25</v>
      </c>
      <c r="H592" s="286">
        <f>Table13[[#This Row],[Product Option]]</f>
        <v>0</v>
      </c>
      <c r="I592" s="284">
        <f>IF(AND($A592="Main Member",Table2[[#This Row],[Product Option]]="My Value Plus Life"),"MM_LIFE",
IF(AND($A592="Spouse",Table2[[#This Row],[Product Option]]="My Value Plus Life"),"SP_LIFE",
IF(AND($A592="Main Member",Table2[[#This Row],[Product Option]]="My Value Plus Life &amp; Funeral"),"MM_LIFE",
IF(AND($A592="Spouse",Table2[[#This Row],[Product Option]]="My Value Plus Life &amp; Funeral"),_xlfn.XLOOKUP(Table2[[#This Row],[Benefit Name]],Lookups!$D$18:$D$23,Lookups!$E$18:$E$23,0),
0))))</f>
        <v>0</v>
      </c>
      <c r="J592" s="284">
        <f>IF($I592="","",
IF($I592="MM_LIFE",INDEX('Quotation Tool'!$S$54:$V$60,MATCH($T592,'Quotation Tool'!$S$54:$S$60,0),4),
IF($I592="SP_LIFE",_xlfn.XLOOKUP(B591,$B:$B,$J:$J,0),0)))</f>
        <v>0</v>
      </c>
      <c r="K592" s="287">
        <f t="shared" ca="1" si="68"/>
        <v>0</v>
      </c>
      <c r="L592" s="288">
        <f t="shared" ca="1" si="69"/>
        <v>0</v>
      </c>
      <c r="M592" s="289">
        <f t="shared" ca="1" si="65"/>
        <v>0</v>
      </c>
      <c r="N592" s="286">
        <f>Table13[[#This Row],[Benefit Option]]</f>
        <v>0</v>
      </c>
      <c r="O592" s="284">
        <f>IF(OR(Table2[[#This Row],[Member Type]]="Spouse",Table2[[#This Row],[Member Type]]="Child"),0,
IF(_xlfn.XLOOKUP($N592,Lookups!$D$13:$D$27,Lookups!$F$13:$F$27,0)=Table2[[#This Row],[Table Lookup for Life Cover]],0,
_xlfn.XLOOKUP($N592,Lookups!$D$13:$D$27,Lookups!$F$13:$F$27,0)))</f>
        <v>0</v>
      </c>
      <c r="P592" s="284">
        <f>IF(Table2[[#This Row],[Table Lookup for Funeral]]=0,0,IFERROR(INDEX('Quotation Tool'!$S$54:$V$60,MATCH($T592,'Quotation Tool'!$S$54:$S$60,0),3),0))</f>
        <v>0</v>
      </c>
      <c r="Q592" s="288">
        <f ca="1">IF(OR(Table2[[#This Row],[Benefit Name]]="My Value Plus Life - Main Member",Table2[[#This Row],[Benefit Name]]="My Value Plus Life - Spouse"),0,
IFERROR(VLOOKUP($G592,INDIRECT($O592),$P592,FALSE),0))</f>
        <v>0</v>
      </c>
      <c r="R592" s="288">
        <f ca="1">IF(OR(Table2[[#This Row],[Benefit Name]]="My Value Plus Life - Main Member",Table2[[#This Row],[Benefit Name]]="My Value Plus Life - Spouse"),0,
IFERROR(VLOOKUP($G592,INDIRECT($O592),$P592+1,FALSE),0))</f>
        <v>0</v>
      </c>
      <c r="S592" s="289">
        <f t="shared" ca="1" si="66"/>
        <v>0</v>
      </c>
      <c r="T592" s="284" t="str">
        <f>IF(Table13[[#This Row],[Premium Waiver]]="","None",Table13[[#This Row],[Premium Waiver]])</f>
        <v>None</v>
      </c>
      <c r="U592" s="284">
        <f>Table13[[#This Row],[VAPs Options]]</f>
        <v>0</v>
      </c>
      <c r="V592" s="284">
        <f>Table13[[#This Row],[Annual Increase Option]]</f>
        <v>0</v>
      </c>
      <c r="W592" s="290">
        <f>Table13[[#This Row],[Life Cover Amount]]</f>
        <v>0</v>
      </c>
      <c r="X592" s="290">
        <f>Table13[[#This Row],[Funeral Cover Amount]]</f>
        <v>0</v>
      </c>
      <c r="Y59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9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92" s="301">
        <f t="shared" ca="1" si="67"/>
        <v>0</v>
      </c>
      <c r="AB592" s="298"/>
      <c r="AC592" s="326" t="str">
        <f>IF(Table2[[#This Row],[Member Type]]="Main Member",Lookups!$C$13,
IF(Table2[[#This Row],[Member Type]]="Spouse",_xlfn.XLOOKUP(B592,Table2[Main Member Link ID],Table2[Product Option],0),
IF(AND(Table2[[#This Row],[Member Type]]="Child",_xlfn.XLOOKUP(B592,Table2[Main Member Link ID],Table2[Product Option],0)&lt;&gt;"My Value Plus Life"),Lookups!$C$24,
IF(AND(OR(Table2[[#This Row],[Member Type]]="Parent",Table2[[#This Row],[Member Type]]="Extended"),_xlfn.XLOOKUP(B592,Table2[Main Member Link ID],Table2[Product Option],0)&lt;&gt;"My Value Plus Life"),Lookups!$C$26,""))))</f>
        <v/>
      </c>
      <c r="AD592" s="326" t="str">
        <f>IF(Table2[[#This Row],[Member Type]]="Main Member",Lookups!$C$14,"")</f>
        <v/>
      </c>
      <c r="AE59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Funeral",_xlfn.XLOOKUP(B592,Table2[Main Member Link ID],Table2[Benefit Name],0)=Lookups!$D$14),"",
IF(AND(Table2[[#This Row],[Member Type]]="Spouse",Table2[[#This Row],[Product Option]]="My Value Plus Life &amp; Funeral",_xlfn.XLOOKUP(B591,Table2[Main Member Link ID],Table2[Benefit Name],0)=Lookups!$D$15),Lookups!$D$20,
IF(AND(Table2[[#This Row],[Member Type]]="Spouse",Table2[[#This Row],[Product Option]]="My Value Plus Life &amp; Funeral",_xlfn.XLOOKUP(B591,Table2[Main Member Link ID],Table2[Benefit Name],0)=Lookups!$D$16),"",
IF(AND(Table2[[#This Row],[Member Type]]="Spouse",Table2[[#This Row],[Product Option]]="My Value Plus Life &amp; Funeral",_xlfn.XLOOKUP(B591,Table2[Main Member Link ID],Table2[Benefit Name],0)=Lookups!$D$17),Lookups!$D$21,
IF(AND(Table2[[#This Row],[Member Type]]="Child",Table2[[#This Row],[Product Option]]="My Value Plus Life &amp; Funeral",_xlfn.XLOOKUP(B592,Table2[Main Member Link ID],Table2[Benefit Name],0)=Lookups!$D$14),"",
IF(AND(Table2[[#This Row],[Member Type]]="Child",Table2[[#This Row],[Product Option]]="My Value Plus Life &amp; Funeral",_xlfn.XLOOKUP(B592,Table2[Main Member Link ID],Table2[Benefit Name],0)=Lookups!$D$15),"",
IF(AND(Table2[[#This Row],[Member Type]]="Child",Table2[[#This Row],[Product Option]]="My Value Plus Life &amp; Funeral",_xlfn.XLOOKUP(B592,Table2[Main Member Link ID],Table2[Benefit Name],0)=Lookups!$D$16),Lookups!$D$24,
IF(AND(Table2[[#This Row],[Member Type]]="Child",Table2[[#This Row],[Product Option]]="My Value Plus Life &amp; Funeral",_xlfn.XLOOKUP(B592,Table2[Main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Funeral",_xlfn.XLOOKUP(B592,Table2[Main Member Link ID],Table2[Benefit Name],0)&lt;&gt;Lookups!$D$14),
IF(_xlfn.XLOOKUP(B592,Table2[Main Member Link ID],Table2[Benefit Name],0)=0,"",_xlfn.XLOOKUP(B592,Table2[Main Member Link ID],Table2[Benefit Name],0)),"")))))))))))))))</f>
        <v/>
      </c>
      <c r="AF592" s="327" t="str">
        <f>IF(AND(Table2[[#This Row],[Member Type]]="Main Member",Table2[[#This Row],[Product Option]]="My Value Plus Life &amp; Funeral"),Lookups!$D$15,
IF(AND(Table2[[#This Row],[Member Type]]="Spouse",Table2[[#This Row],[Product Option]]="My Value Plus Life &amp; Funeral",_xlfn.XLOOKUP(B592,Table2[Main Member Link ID],Table2[Benefit Name],0)=Lookups!$D$14),"",
IF(AND(Table2[[#This Row],[Member Type]]="Spouse",Table2[[#This Row],[Product Option]]="My Value Plus Life &amp; Funeral",_xlfn.XLOOKUP(B591,Table2[Main Member Link ID],Table2[Benefit Name],0)=Lookups!$D$16),"",
IF(AND(Table2[[#This Row],[Member Type]]="Spouse",Table2[[#This Row],[Product Option]]="My Value Plus Life &amp; Funeral",_xlfn.XLOOKUP(B591,Table2[Main Member Link ID],Table2[Benefit Name],0)=Lookups!$D$15),"",
IF(AND(Table2[[#This Row],[Member Type]]="Spouse",Table2[[#This Row],[Product Option]]="My Value Plus Life &amp; Funeral",_xlfn.XLOOKUP(B591,Table2[Main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Funeral",_xlfn.XLOOKUP(B592,Table2[Main Member Link ID],Table2[Benefit Name],0)&lt;&gt;Lookups!$D$15),
IF(_xlfn.XLOOKUP(B592,Table2[Main Member Link ID],Table2[Benefit Name],0)=0,"",_xlfn.XLOOKUP(B592,Table2[Main Member Link ID],Table2[Benefit Name],0)),"")
))))))</f>
        <v/>
      </c>
      <c r="AG592" s="327" t="str">
        <f>IF(AND(Table2[[#This Row],[Member Type]]="Main Member",Table2[[#This Row],[Product Option]]="My Value Plus Life &amp; Funeral"),Lookups!$D$16,
IF(AND(Table2[[#This Row],[Member Type]]="Spouse",Table2[[#This Row],[Product Option]]="My Value Plus Life &amp; Funeral",_xlfn.XLOOKUP(B592,Table2[Main Member Link ID],Table2[Benefit Name],0)=Lookups!$D$14),"",
IF(AND(Table2[[#This Row],[Member Type]]="Spouse",Table2[[#This Row],[Product Option]]="My Value Plus Life &amp; Funeral",_xlfn.XLOOKUP(B591,Table2[Main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Funeral",_xlfn.XLOOKUP(B592,Table2[Main Member Link ID],Table2[Benefit Name],0)&lt;&gt;Lookups!$D$16),
IF(_xlfn.XLOOKUP(B592,Table2[Main Member Link ID],Table2[Benefit Name],0)=0,"",_xlfn.XLOOKUP(B592,Table2[Main Member Link ID],Table2[Benefit Name],0)),"")
))))</f>
        <v/>
      </c>
      <c r="AH592" s="327" t="str">
        <f>IF(AND(Table2[[#This Row],[Member Type]]="Main Member",Table2[[#This Row],[Product Option]]="My Value Plus Life &amp; Funeral"),Lookups!$D$17,
IF(AND(Table2[[#This Row],[Member Type]]="Spouse",Table2[[#This Row],[Product Option]]="My Value Plus Life &amp; Funeral",_xlfn.XLOOKUP(B592,Table2[Main Member Link ID],Table2[Benefit Name],0)=Lookups!$D$14),"",
IF(AND(Table2[[#This Row],[Member Type]]="Spouse",Table2[[#This Row],[Product Option]]="My Value Plus Life &amp; Funeral",_xlfn.XLOOKUP(B591,Table2[Main Member Link ID],Table2[Benefit Name],0)=Lookups!$D$16),"",
IF(AND(Table2[[#This Row],[Member Type]]="Child",Table2[[#This Row],[Product Option]]="My Value Plus Life &amp; Funeral"),"",
IF(AND(Table2[[#This Row],[Member Type]]="Child",Table2[[#This Row],[Product Option]]="My Value Plus Life &amp; Funeral",_xlfn.XLOOKUP(B592,Table2[Main Member Link ID],Table2[Benefit Name],0)=Lookups!$D$15),"",
IF(AND(OR(Table2[[#This Row],[Member Type]]="Spouse",Table2[[#This Row],[Member Type]]="Child"),Table2[[#This Row],[Product Option]]="My Value Plus Life &amp; Funeral",_xlfn.XLOOKUP(B592,Table2[Main Member Link ID],Table2[Benefit Name],0)&lt;&gt;Lookups!$D$17),
IF(_xlfn.XLOOKUP(B592,Table2[Main Member Link ID],Table2[Benefit Name],0)=0,"",_xlfn.XLOOKUP(B592,Table2[Main Member Link ID],Table2[Benefit Name],0)),""))))))</f>
        <v/>
      </c>
      <c r="AI592" s="328" t="str">
        <f>IF(AND(Table2[[#This Row],[Member Type]]="Main Member",Table2[[#This Row],[Table Lookup for Life Cover]]="MM_LIFE",Table2[[#This Row],[Age Next Birthday]]&lt;56),1,
IF(AND(Table2[[#This Row],[Member Type]]="Main Member",Table2[[#This Row],[Table Lookup for Life Cover]]="MM_LIFE",Table2[[#This Row],[Age Next Birthday]]&gt;=56),2,
""))</f>
        <v/>
      </c>
      <c r="AJ592" s="328">
        <f>IF(OR(Table2[[#This Row],[Member Type]]="Main Member",Table2[[#This Row],[Main Member Link ID]]=B591),1,0)</f>
        <v>1</v>
      </c>
      <c r="AK592" s="328">
        <f>IF(Table2[[#This Row],[Member Type]]=0,0,
IF(OR(Table2[[#This Row],[Member Type]]="Main Member",Table2[[#This Row],[Main Member Link ID]]&lt;&gt;B592),COUNTIFS(B:B,Table2[[#This Row],[Main Member Link ID]]),
COUNTIFS(B:B,Table2[[#This Row],[Main Member Link ID]],A:A,Table2[[#This Row],[Member Type]])))</f>
        <v>0</v>
      </c>
    </row>
    <row r="593" spans="1:37" x14ac:dyDescent="0.3">
      <c r="A593" s="284">
        <f>Table13[[#This Row],[Member Type]]</f>
        <v>0</v>
      </c>
      <c r="B593" s="284">
        <f>Table13[[#This Row],[Main Member Link ID]]</f>
        <v>0</v>
      </c>
      <c r="C593" s="284">
        <f>Table13[[#This Row],[ID Number]]</f>
        <v>0</v>
      </c>
      <c r="D593" s="285">
        <f>Table13[[#This Row],[Date Of Birth]]</f>
        <v>0</v>
      </c>
      <c r="E593" s="285">
        <f>Table13[[#This Row],[Commencement Date]]</f>
        <v>0</v>
      </c>
      <c r="F593" s="284">
        <f t="shared" si="63"/>
        <v>1</v>
      </c>
      <c r="G593" s="284">
        <f t="shared" si="64"/>
        <v>25</v>
      </c>
      <c r="H593" s="286">
        <f>Table13[[#This Row],[Product Option]]</f>
        <v>0</v>
      </c>
      <c r="I593" s="284">
        <f>IF(AND($A593="Main Member",Table2[[#This Row],[Product Option]]="My Value Plus Life"),"MM_LIFE",
IF(AND($A593="Spouse",Table2[[#This Row],[Product Option]]="My Value Plus Life"),"SP_LIFE",
IF(AND($A593="Main Member",Table2[[#This Row],[Product Option]]="My Value Plus Life &amp; Funeral"),"MM_LIFE",
IF(AND($A593="Spouse",Table2[[#This Row],[Product Option]]="My Value Plus Life &amp; Funeral"),_xlfn.XLOOKUP(Table2[[#This Row],[Benefit Name]],Lookups!$D$18:$D$23,Lookups!$E$18:$E$23,0),
0))))</f>
        <v>0</v>
      </c>
      <c r="J593" s="284">
        <f>IF($I593="","",
IF($I593="MM_LIFE",INDEX('Quotation Tool'!$S$54:$V$60,MATCH($T593,'Quotation Tool'!$S$54:$S$60,0),4),
IF($I593="SP_LIFE",_xlfn.XLOOKUP(B592,$B:$B,$J:$J,0),0)))</f>
        <v>0</v>
      </c>
      <c r="K593" s="287">
        <f t="shared" ca="1" si="68"/>
        <v>0</v>
      </c>
      <c r="L593" s="288">
        <f t="shared" ca="1" si="69"/>
        <v>0</v>
      </c>
      <c r="M593" s="289">
        <f t="shared" ca="1" si="65"/>
        <v>0</v>
      </c>
      <c r="N593" s="286">
        <f>Table13[[#This Row],[Benefit Option]]</f>
        <v>0</v>
      </c>
      <c r="O593" s="284">
        <f>IF(OR(Table2[[#This Row],[Member Type]]="Spouse",Table2[[#This Row],[Member Type]]="Child"),0,
IF(_xlfn.XLOOKUP($N593,Lookups!$D$13:$D$27,Lookups!$F$13:$F$27,0)=Table2[[#This Row],[Table Lookup for Life Cover]],0,
_xlfn.XLOOKUP($N593,Lookups!$D$13:$D$27,Lookups!$F$13:$F$27,0)))</f>
        <v>0</v>
      </c>
      <c r="P593" s="284">
        <f>IF(Table2[[#This Row],[Table Lookup for Funeral]]=0,0,IFERROR(INDEX('Quotation Tool'!$S$54:$V$60,MATCH($T593,'Quotation Tool'!$S$54:$S$60,0),3),0))</f>
        <v>0</v>
      </c>
      <c r="Q593" s="288">
        <f ca="1">IF(OR(Table2[[#This Row],[Benefit Name]]="My Value Plus Life - Main Member",Table2[[#This Row],[Benefit Name]]="My Value Plus Life - Spouse"),0,
IFERROR(VLOOKUP($G593,INDIRECT($O593),$P593,FALSE),0))</f>
        <v>0</v>
      </c>
      <c r="R593" s="288">
        <f ca="1">IF(OR(Table2[[#This Row],[Benefit Name]]="My Value Plus Life - Main Member",Table2[[#This Row],[Benefit Name]]="My Value Plus Life - Spouse"),0,
IFERROR(VLOOKUP($G593,INDIRECT($O593),$P593+1,FALSE),0))</f>
        <v>0</v>
      </c>
      <c r="S593" s="289">
        <f t="shared" ca="1" si="66"/>
        <v>0</v>
      </c>
      <c r="T593" s="284" t="str">
        <f>IF(Table13[[#This Row],[Premium Waiver]]="","None",Table13[[#This Row],[Premium Waiver]])</f>
        <v>None</v>
      </c>
      <c r="U593" s="284">
        <f>Table13[[#This Row],[VAPs Options]]</f>
        <v>0</v>
      </c>
      <c r="V593" s="284">
        <f>Table13[[#This Row],[Annual Increase Option]]</f>
        <v>0</v>
      </c>
      <c r="W593" s="290">
        <f>Table13[[#This Row],[Life Cover Amount]]</f>
        <v>0</v>
      </c>
      <c r="X593" s="290">
        <f>Table13[[#This Row],[Funeral Cover Amount]]</f>
        <v>0</v>
      </c>
      <c r="Y59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9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93" s="301">
        <f t="shared" ca="1" si="67"/>
        <v>0</v>
      </c>
      <c r="AB593" s="298"/>
      <c r="AC593" s="326" t="str">
        <f>IF(Table2[[#This Row],[Member Type]]="Main Member",Lookups!$C$13,
IF(Table2[[#This Row],[Member Type]]="Spouse",_xlfn.XLOOKUP(B593,Table2[Main Member Link ID],Table2[Product Option],0),
IF(AND(Table2[[#This Row],[Member Type]]="Child",_xlfn.XLOOKUP(B593,Table2[Main Member Link ID],Table2[Product Option],0)&lt;&gt;"My Value Plus Life"),Lookups!$C$24,
IF(AND(OR(Table2[[#This Row],[Member Type]]="Parent",Table2[[#This Row],[Member Type]]="Extended"),_xlfn.XLOOKUP(B593,Table2[Main Member Link ID],Table2[Product Option],0)&lt;&gt;"My Value Plus Life"),Lookups!$C$26,""))))</f>
        <v/>
      </c>
      <c r="AD593" s="326" t="str">
        <f>IF(Table2[[#This Row],[Member Type]]="Main Member",Lookups!$C$14,"")</f>
        <v/>
      </c>
      <c r="AE59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Funeral",_xlfn.XLOOKUP(B593,Table2[Main Member Link ID],Table2[Benefit Name],0)=Lookups!$D$14),"",
IF(AND(Table2[[#This Row],[Member Type]]="Spouse",Table2[[#This Row],[Product Option]]="My Value Plus Life &amp; Funeral",_xlfn.XLOOKUP(B592,Table2[Main Member Link ID],Table2[Benefit Name],0)=Lookups!$D$15),Lookups!$D$20,
IF(AND(Table2[[#This Row],[Member Type]]="Spouse",Table2[[#This Row],[Product Option]]="My Value Plus Life &amp; Funeral",_xlfn.XLOOKUP(B592,Table2[Main Member Link ID],Table2[Benefit Name],0)=Lookups!$D$16),"",
IF(AND(Table2[[#This Row],[Member Type]]="Spouse",Table2[[#This Row],[Product Option]]="My Value Plus Life &amp; Funeral",_xlfn.XLOOKUP(B592,Table2[Main Member Link ID],Table2[Benefit Name],0)=Lookups!$D$17),Lookups!$D$21,
IF(AND(Table2[[#This Row],[Member Type]]="Child",Table2[[#This Row],[Product Option]]="My Value Plus Life &amp; Funeral",_xlfn.XLOOKUP(B593,Table2[Main Member Link ID],Table2[Benefit Name],0)=Lookups!$D$14),"",
IF(AND(Table2[[#This Row],[Member Type]]="Child",Table2[[#This Row],[Product Option]]="My Value Plus Life &amp; Funeral",_xlfn.XLOOKUP(B593,Table2[Main Member Link ID],Table2[Benefit Name],0)=Lookups!$D$15),"",
IF(AND(Table2[[#This Row],[Member Type]]="Child",Table2[[#This Row],[Product Option]]="My Value Plus Life &amp; Funeral",_xlfn.XLOOKUP(B593,Table2[Main Member Link ID],Table2[Benefit Name],0)=Lookups!$D$16),Lookups!$D$24,
IF(AND(Table2[[#This Row],[Member Type]]="Child",Table2[[#This Row],[Product Option]]="My Value Plus Life &amp; Funeral",_xlfn.XLOOKUP(B593,Table2[Main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Funeral",_xlfn.XLOOKUP(B593,Table2[Main Member Link ID],Table2[Benefit Name],0)&lt;&gt;Lookups!$D$14),
IF(_xlfn.XLOOKUP(B593,Table2[Main Member Link ID],Table2[Benefit Name],0)=0,"",_xlfn.XLOOKUP(B593,Table2[Main Member Link ID],Table2[Benefit Name],0)),"")))))))))))))))</f>
        <v/>
      </c>
      <c r="AF593" s="327" t="str">
        <f>IF(AND(Table2[[#This Row],[Member Type]]="Main Member",Table2[[#This Row],[Product Option]]="My Value Plus Life &amp; Funeral"),Lookups!$D$15,
IF(AND(Table2[[#This Row],[Member Type]]="Spouse",Table2[[#This Row],[Product Option]]="My Value Plus Life &amp; Funeral",_xlfn.XLOOKUP(B593,Table2[Main Member Link ID],Table2[Benefit Name],0)=Lookups!$D$14),"",
IF(AND(Table2[[#This Row],[Member Type]]="Spouse",Table2[[#This Row],[Product Option]]="My Value Plus Life &amp; Funeral",_xlfn.XLOOKUP(B592,Table2[Main Member Link ID],Table2[Benefit Name],0)=Lookups!$D$16),"",
IF(AND(Table2[[#This Row],[Member Type]]="Spouse",Table2[[#This Row],[Product Option]]="My Value Plus Life &amp; Funeral",_xlfn.XLOOKUP(B592,Table2[Main Member Link ID],Table2[Benefit Name],0)=Lookups!$D$15),"",
IF(AND(Table2[[#This Row],[Member Type]]="Spouse",Table2[[#This Row],[Product Option]]="My Value Plus Life &amp; Funeral",_xlfn.XLOOKUP(B592,Table2[Main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Funeral",_xlfn.XLOOKUP(B593,Table2[Main Member Link ID],Table2[Benefit Name],0)&lt;&gt;Lookups!$D$15),
IF(_xlfn.XLOOKUP(B593,Table2[Main Member Link ID],Table2[Benefit Name],0)=0,"",_xlfn.XLOOKUP(B593,Table2[Main Member Link ID],Table2[Benefit Name],0)),"")
))))))</f>
        <v/>
      </c>
      <c r="AG593" s="327" t="str">
        <f>IF(AND(Table2[[#This Row],[Member Type]]="Main Member",Table2[[#This Row],[Product Option]]="My Value Plus Life &amp; Funeral"),Lookups!$D$16,
IF(AND(Table2[[#This Row],[Member Type]]="Spouse",Table2[[#This Row],[Product Option]]="My Value Plus Life &amp; Funeral",_xlfn.XLOOKUP(B593,Table2[Main Member Link ID],Table2[Benefit Name],0)=Lookups!$D$14),"",
IF(AND(Table2[[#This Row],[Member Type]]="Spouse",Table2[[#This Row],[Product Option]]="My Value Plus Life &amp; Funeral",_xlfn.XLOOKUP(B592,Table2[Main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Funeral",_xlfn.XLOOKUP(B593,Table2[Main Member Link ID],Table2[Benefit Name],0)&lt;&gt;Lookups!$D$16),
IF(_xlfn.XLOOKUP(B593,Table2[Main Member Link ID],Table2[Benefit Name],0)=0,"",_xlfn.XLOOKUP(B593,Table2[Main Member Link ID],Table2[Benefit Name],0)),"")
))))</f>
        <v/>
      </c>
      <c r="AH593" s="327" t="str">
        <f>IF(AND(Table2[[#This Row],[Member Type]]="Main Member",Table2[[#This Row],[Product Option]]="My Value Plus Life &amp; Funeral"),Lookups!$D$17,
IF(AND(Table2[[#This Row],[Member Type]]="Spouse",Table2[[#This Row],[Product Option]]="My Value Plus Life &amp; Funeral",_xlfn.XLOOKUP(B593,Table2[Main Member Link ID],Table2[Benefit Name],0)=Lookups!$D$14),"",
IF(AND(Table2[[#This Row],[Member Type]]="Spouse",Table2[[#This Row],[Product Option]]="My Value Plus Life &amp; Funeral",_xlfn.XLOOKUP(B592,Table2[Main Member Link ID],Table2[Benefit Name],0)=Lookups!$D$16),"",
IF(AND(Table2[[#This Row],[Member Type]]="Child",Table2[[#This Row],[Product Option]]="My Value Plus Life &amp; Funeral"),"",
IF(AND(Table2[[#This Row],[Member Type]]="Child",Table2[[#This Row],[Product Option]]="My Value Plus Life &amp; Funeral",_xlfn.XLOOKUP(B593,Table2[Main Member Link ID],Table2[Benefit Name],0)=Lookups!$D$15),"",
IF(AND(OR(Table2[[#This Row],[Member Type]]="Spouse",Table2[[#This Row],[Member Type]]="Child"),Table2[[#This Row],[Product Option]]="My Value Plus Life &amp; Funeral",_xlfn.XLOOKUP(B593,Table2[Main Member Link ID],Table2[Benefit Name],0)&lt;&gt;Lookups!$D$17),
IF(_xlfn.XLOOKUP(B593,Table2[Main Member Link ID],Table2[Benefit Name],0)=0,"",_xlfn.XLOOKUP(B593,Table2[Main Member Link ID],Table2[Benefit Name],0)),""))))))</f>
        <v/>
      </c>
      <c r="AI593" s="328" t="str">
        <f>IF(AND(Table2[[#This Row],[Member Type]]="Main Member",Table2[[#This Row],[Table Lookup for Life Cover]]="MM_LIFE",Table2[[#This Row],[Age Next Birthday]]&lt;56),1,
IF(AND(Table2[[#This Row],[Member Type]]="Main Member",Table2[[#This Row],[Table Lookup for Life Cover]]="MM_LIFE",Table2[[#This Row],[Age Next Birthday]]&gt;=56),2,
""))</f>
        <v/>
      </c>
      <c r="AJ593" s="328">
        <f>IF(OR(Table2[[#This Row],[Member Type]]="Main Member",Table2[[#This Row],[Main Member Link ID]]=B592),1,0)</f>
        <v>1</v>
      </c>
      <c r="AK593" s="328">
        <f>IF(Table2[[#This Row],[Member Type]]=0,0,
IF(OR(Table2[[#This Row],[Member Type]]="Main Member",Table2[[#This Row],[Main Member Link ID]]&lt;&gt;B593),COUNTIFS(B:B,Table2[[#This Row],[Main Member Link ID]]),
COUNTIFS(B:B,Table2[[#This Row],[Main Member Link ID]],A:A,Table2[[#This Row],[Member Type]])))</f>
        <v>0</v>
      </c>
    </row>
    <row r="594" spans="1:37" x14ac:dyDescent="0.3">
      <c r="A594" s="284">
        <f>Table13[[#This Row],[Member Type]]</f>
        <v>0</v>
      </c>
      <c r="B594" s="284">
        <f>Table13[[#This Row],[Main Member Link ID]]</f>
        <v>0</v>
      </c>
      <c r="C594" s="284">
        <f>Table13[[#This Row],[ID Number]]</f>
        <v>0</v>
      </c>
      <c r="D594" s="285">
        <f>Table13[[#This Row],[Date Of Birth]]</f>
        <v>0</v>
      </c>
      <c r="E594" s="285">
        <f>Table13[[#This Row],[Commencement Date]]</f>
        <v>0</v>
      </c>
      <c r="F594" s="284">
        <f t="shared" si="63"/>
        <v>1</v>
      </c>
      <c r="G594" s="284">
        <f t="shared" si="64"/>
        <v>25</v>
      </c>
      <c r="H594" s="286">
        <f>Table13[[#This Row],[Product Option]]</f>
        <v>0</v>
      </c>
      <c r="I594" s="284">
        <f>IF(AND($A594="Main Member",Table2[[#This Row],[Product Option]]="My Value Plus Life"),"MM_LIFE",
IF(AND($A594="Spouse",Table2[[#This Row],[Product Option]]="My Value Plus Life"),"SP_LIFE",
IF(AND($A594="Main Member",Table2[[#This Row],[Product Option]]="My Value Plus Life &amp; Funeral"),"MM_LIFE",
IF(AND($A594="Spouse",Table2[[#This Row],[Product Option]]="My Value Plus Life &amp; Funeral"),_xlfn.XLOOKUP(Table2[[#This Row],[Benefit Name]],Lookups!$D$18:$D$23,Lookups!$E$18:$E$23,0),
0))))</f>
        <v>0</v>
      </c>
      <c r="J594" s="284">
        <f>IF($I594="","",
IF($I594="MM_LIFE",INDEX('Quotation Tool'!$S$54:$V$60,MATCH($T594,'Quotation Tool'!$S$54:$S$60,0),4),
IF($I594="SP_LIFE",_xlfn.XLOOKUP(B593,$B:$B,$J:$J,0),0)))</f>
        <v>0</v>
      </c>
      <c r="K594" s="287">
        <f t="shared" ca="1" si="68"/>
        <v>0</v>
      </c>
      <c r="L594" s="288">
        <f t="shared" ca="1" si="69"/>
        <v>0</v>
      </c>
      <c r="M594" s="289">
        <f t="shared" ca="1" si="65"/>
        <v>0</v>
      </c>
      <c r="N594" s="286">
        <f>Table13[[#This Row],[Benefit Option]]</f>
        <v>0</v>
      </c>
      <c r="O594" s="284">
        <f>IF(OR(Table2[[#This Row],[Member Type]]="Spouse",Table2[[#This Row],[Member Type]]="Child"),0,
IF(_xlfn.XLOOKUP($N594,Lookups!$D$13:$D$27,Lookups!$F$13:$F$27,0)=Table2[[#This Row],[Table Lookup for Life Cover]],0,
_xlfn.XLOOKUP($N594,Lookups!$D$13:$D$27,Lookups!$F$13:$F$27,0)))</f>
        <v>0</v>
      </c>
      <c r="P594" s="284">
        <f>IF(Table2[[#This Row],[Table Lookup for Funeral]]=0,0,IFERROR(INDEX('Quotation Tool'!$S$54:$V$60,MATCH($T594,'Quotation Tool'!$S$54:$S$60,0),3),0))</f>
        <v>0</v>
      </c>
      <c r="Q594" s="288">
        <f ca="1">IF(OR(Table2[[#This Row],[Benefit Name]]="My Value Plus Life - Main Member",Table2[[#This Row],[Benefit Name]]="My Value Plus Life - Spouse"),0,
IFERROR(VLOOKUP($G594,INDIRECT($O594),$P594,FALSE),0))</f>
        <v>0</v>
      </c>
      <c r="R594" s="288">
        <f ca="1">IF(OR(Table2[[#This Row],[Benefit Name]]="My Value Plus Life - Main Member",Table2[[#This Row],[Benefit Name]]="My Value Plus Life - Spouse"),0,
IFERROR(VLOOKUP($G594,INDIRECT($O594),$P594+1,FALSE),0))</f>
        <v>0</v>
      </c>
      <c r="S594" s="289">
        <f t="shared" ca="1" si="66"/>
        <v>0</v>
      </c>
      <c r="T594" s="284" t="str">
        <f>IF(Table13[[#This Row],[Premium Waiver]]="","None",Table13[[#This Row],[Premium Waiver]])</f>
        <v>None</v>
      </c>
      <c r="U594" s="284">
        <f>Table13[[#This Row],[VAPs Options]]</f>
        <v>0</v>
      </c>
      <c r="V594" s="284">
        <f>Table13[[#This Row],[Annual Increase Option]]</f>
        <v>0</v>
      </c>
      <c r="W594" s="290">
        <f>Table13[[#This Row],[Life Cover Amount]]</f>
        <v>0</v>
      </c>
      <c r="X594" s="290">
        <f>Table13[[#This Row],[Funeral Cover Amount]]</f>
        <v>0</v>
      </c>
      <c r="Y59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9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94" s="301">
        <f t="shared" ca="1" si="67"/>
        <v>0</v>
      </c>
      <c r="AB594" s="298"/>
      <c r="AC594" s="326" t="str">
        <f>IF(Table2[[#This Row],[Member Type]]="Main Member",Lookups!$C$13,
IF(Table2[[#This Row],[Member Type]]="Spouse",_xlfn.XLOOKUP(B594,Table2[Main Member Link ID],Table2[Product Option],0),
IF(AND(Table2[[#This Row],[Member Type]]="Child",_xlfn.XLOOKUP(B594,Table2[Main Member Link ID],Table2[Product Option],0)&lt;&gt;"My Value Plus Life"),Lookups!$C$24,
IF(AND(OR(Table2[[#This Row],[Member Type]]="Parent",Table2[[#This Row],[Member Type]]="Extended"),_xlfn.XLOOKUP(B594,Table2[Main Member Link ID],Table2[Product Option],0)&lt;&gt;"My Value Plus Life"),Lookups!$C$26,""))))</f>
        <v/>
      </c>
      <c r="AD594" s="326" t="str">
        <f>IF(Table2[[#This Row],[Member Type]]="Main Member",Lookups!$C$14,"")</f>
        <v/>
      </c>
      <c r="AE59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Funeral",_xlfn.XLOOKUP(B594,Table2[Main Member Link ID],Table2[Benefit Name],0)=Lookups!$D$14),"",
IF(AND(Table2[[#This Row],[Member Type]]="Spouse",Table2[[#This Row],[Product Option]]="My Value Plus Life &amp; Funeral",_xlfn.XLOOKUP(B593,Table2[Main Member Link ID],Table2[Benefit Name],0)=Lookups!$D$15),Lookups!$D$20,
IF(AND(Table2[[#This Row],[Member Type]]="Spouse",Table2[[#This Row],[Product Option]]="My Value Plus Life &amp; Funeral",_xlfn.XLOOKUP(B593,Table2[Main Member Link ID],Table2[Benefit Name],0)=Lookups!$D$16),"",
IF(AND(Table2[[#This Row],[Member Type]]="Spouse",Table2[[#This Row],[Product Option]]="My Value Plus Life &amp; Funeral",_xlfn.XLOOKUP(B593,Table2[Main Member Link ID],Table2[Benefit Name],0)=Lookups!$D$17),Lookups!$D$21,
IF(AND(Table2[[#This Row],[Member Type]]="Child",Table2[[#This Row],[Product Option]]="My Value Plus Life &amp; Funeral",_xlfn.XLOOKUP(B594,Table2[Main Member Link ID],Table2[Benefit Name],0)=Lookups!$D$14),"",
IF(AND(Table2[[#This Row],[Member Type]]="Child",Table2[[#This Row],[Product Option]]="My Value Plus Life &amp; Funeral",_xlfn.XLOOKUP(B594,Table2[Main Member Link ID],Table2[Benefit Name],0)=Lookups!$D$15),"",
IF(AND(Table2[[#This Row],[Member Type]]="Child",Table2[[#This Row],[Product Option]]="My Value Plus Life &amp; Funeral",_xlfn.XLOOKUP(B594,Table2[Main Member Link ID],Table2[Benefit Name],0)=Lookups!$D$16),Lookups!$D$24,
IF(AND(Table2[[#This Row],[Member Type]]="Child",Table2[[#This Row],[Product Option]]="My Value Plus Life &amp; Funeral",_xlfn.XLOOKUP(B594,Table2[Main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Funeral",_xlfn.XLOOKUP(B594,Table2[Main Member Link ID],Table2[Benefit Name],0)&lt;&gt;Lookups!$D$14),
IF(_xlfn.XLOOKUP(B594,Table2[Main Member Link ID],Table2[Benefit Name],0)=0,"",_xlfn.XLOOKUP(B594,Table2[Main Member Link ID],Table2[Benefit Name],0)),"")))))))))))))))</f>
        <v/>
      </c>
      <c r="AF594" s="327" t="str">
        <f>IF(AND(Table2[[#This Row],[Member Type]]="Main Member",Table2[[#This Row],[Product Option]]="My Value Plus Life &amp; Funeral"),Lookups!$D$15,
IF(AND(Table2[[#This Row],[Member Type]]="Spouse",Table2[[#This Row],[Product Option]]="My Value Plus Life &amp; Funeral",_xlfn.XLOOKUP(B594,Table2[Main Member Link ID],Table2[Benefit Name],0)=Lookups!$D$14),"",
IF(AND(Table2[[#This Row],[Member Type]]="Spouse",Table2[[#This Row],[Product Option]]="My Value Plus Life &amp; Funeral",_xlfn.XLOOKUP(B593,Table2[Main Member Link ID],Table2[Benefit Name],0)=Lookups!$D$16),"",
IF(AND(Table2[[#This Row],[Member Type]]="Spouse",Table2[[#This Row],[Product Option]]="My Value Plus Life &amp; Funeral",_xlfn.XLOOKUP(B593,Table2[Main Member Link ID],Table2[Benefit Name],0)=Lookups!$D$15),"",
IF(AND(Table2[[#This Row],[Member Type]]="Spouse",Table2[[#This Row],[Product Option]]="My Value Plus Life &amp; Funeral",_xlfn.XLOOKUP(B593,Table2[Main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Funeral",_xlfn.XLOOKUP(B594,Table2[Main Member Link ID],Table2[Benefit Name],0)&lt;&gt;Lookups!$D$15),
IF(_xlfn.XLOOKUP(B594,Table2[Main Member Link ID],Table2[Benefit Name],0)=0,"",_xlfn.XLOOKUP(B594,Table2[Main Member Link ID],Table2[Benefit Name],0)),"")
))))))</f>
        <v/>
      </c>
      <c r="AG594" s="327" t="str">
        <f>IF(AND(Table2[[#This Row],[Member Type]]="Main Member",Table2[[#This Row],[Product Option]]="My Value Plus Life &amp; Funeral"),Lookups!$D$16,
IF(AND(Table2[[#This Row],[Member Type]]="Spouse",Table2[[#This Row],[Product Option]]="My Value Plus Life &amp; Funeral",_xlfn.XLOOKUP(B594,Table2[Main Member Link ID],Table2[Benefit Name],0)=Lookups!$D$14),"",
IF(AND(Table2[[#This Row],[Member Type]]="Spouse",Table2[[#This Row],[Product Option]]="My Value Plus Life &amp; Funeral",_xlfn.XLOOKUP(B593,Table2[Main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Funeral",_xlfn.XLOOKUP(B594,Table2[Main Member Link ID],Table2[Benefit Name],0)&lt;&gt;Lookups!$D$16),
IF(_xlfn.XLOOKUP(B594,Table2[Main Member Link ID],Table2[Benefit Name],0)=0,"",_xlfn.XLOOKUP(B594,Table2[Main Member Link ID],Table2[Benefit Name],0)),"")
))))</f>
        <v/>
      </c>
      <c r="AH594" s="327" t="str">
        <f>IF(AND(Table2[[#This Row],[Member Type]]="Main Member",Table2[[#This Row],[Product Option]]="My Value Plus Life &amp; Funeral"),Lookups!$D$17,
IF(AND(Table2[[#This Row],[Member Type]]="Spouse",Table2[[#This Row],[Product Option]]="My Value Plus Life &amp; Funeral",_xlfn.XLOOKUP(B594,Table2[Main Member Link ID],Table2[Benefit Name],0)=Lookups!$D$14),"",
IF(AND(Table2[[#This Row],[Member Type]]="Spouse",Table2[[#This Row],[Product Option]]="My Value Plus Life &amp; Funeral",_xlfn.XLOOKUP(B593,Table2[Main Member Link ID],Table2[Benefit Name],0)=Lookups!$D$16),"",
IF(AND(Table2[[#This Row],[Member Type]]="Child",Table2[[#This Row],[Product Option]]="My Value Plus Life &amp; Funeral"),"",
IF(AND(Table2[[#This Row],[Member Type]]="Child",Table2[[#This Row],[Product Option]]="My Value Plus Life &amp; Funeral",_xlfn.XLOOKUP(B594,Table2[Main Member Link ID],Table2[Benefit Name],0)=Lookups!$D$15),"",
IF(AND(OR(Table2[[#This Row],[Member Type]]="Spouse",Table2[[#This Row],[Member Type]]="Child"),Table2[[#This Row],[Product Option]]="My Value Plus Life &amp; Funeral",_xlfn.XLOOKUP(B594,Table2[Main Member Link ID],Table2[Benefit Name],0)&lt;&gt;Lookups!$D$17),
IF(_xlfn.XLOOKUP(B594,Table2[Main Member Link ID],Table2[Benefit Name],0)=0,"",_xlfn.XLOOKUP(B594,Table2[Main Member Link ID],Table2[Benefit Name],0)),""))))))</f>
        <v/>
      </c>
      <c r="AI594" s="328" t="str">
        <f>IF(AND(Table2[[#This Row],[Member Type]]="Main Member",Table2[[#This Row],[Table Lookup for Life Cover]]="MM_LIFE",Table2[[#This Row],[Age Next Birthday]]&lt;56),1,
IF(AND(Table2[[#This Row],[Member Type]]="Main Member",Table2[[#This Row],[Table Lookup for Life Cover]]="MM_LIFE",Table2[[#This Row],[Age Next Birthday]]&gt;=56),2,
""))</f>
        <v/>
      </c>
      <c r="AJ594" s="328">
        <f>IF(OR(Table2[[#This Row],[Member Type]]="Main Member",Table2[[#This Row],[Main Member Link ID]]=B593),1,0)</f>
        <v>1</v>
      </c>
      <c r="AK594" s="328">
        <f>IF(Table2[[#This Row],[Member Type]]=0,0,
IF(OR(Table2[[#This Row],[Member Type]]="Main Member",Table2[[#This Row],[Main Member Link ID]]&lt;&gt;B594),COUNTIFS(B:B,Table2[[#This Row],[Main Member Link ID]]),
COUNTIFS(B:B,Table2[[#This Row],[Main Member Link ID]],A:A,Table2[[#This Row],[Member Type]])))</f>
        <v>0</v>
      </c>
    </row>
    <row r="595" spans="1:37" x14ac:dyDescent="0.3">
      <c r="A595" s="284">
        <f>Table13[[#This Row],[Member Type]]</f>
        <v>0</v>
      </c>
      <c r="B595" s="284">
        <f>Table13[[#This Row],[Main Member Link ID]]</f>
        <v>0</v>
      </c>
      <c r="C595" s="284">
        <f>Table13[[#This Row],[ID Number]]</f>
        <v>0</v>
      </c>
      <c r="D595" s="285">
        <f>Table13[[#This Row],[Date Of Birth]]</f>
        <v>0</v>
      </c>
      <c r="E595" s="285">
        <f>Table13[[#This Row],[Commencement Date]]</f>
        <v>0</v>
      </c>
      <c r="F595" s="284">
        <f t="shared" si="63"/>
        <v>1</v>
      </c>
      <c r="G595" s="284">
        <f t="shared" si="64"/>
        <v>25</v>
      </c>
      <c r="H595" s="286">
        <f>Table13[[#This Row],[Product Option]]</f>
        <v>0</v>
      </c>
      <c r="I595" s="284">
        <f>IF(AND($A595="Main Member",Table2[[#This Row],[Product Option]]="My Value Plus Life"),"MM_LIFE",
IF(AND($A595="Spouse",Table2[[#This Row],[Product Option]]="My Value Plus Life"),"SP_LIFE",
IF(AND($A595="Main Member",Table2[[#This Row],[Product Option]]="My Value Plus Life &amp; Funeral"),"MM_LIFE",
IF(AND($A595="Spouse",Table2[[#This Row],[Product Option]]="My Value Plus Life &amp; Funeral"),_xlfn.XLOOKUP(Table2[[#This Row],[Benefit Name]],Lookups!$D$18:$D$23,Lookups!$E$18:$E$23,0),
0))))</f>
        <v>0</v>
      </c>
      <c r="J595" s="284">
        <f>IF($I595="","",
IF($I595="MM_LIFE",INDEX('Quotation Tool'!$S$54:$V$60,MATCH($T595,'Quotation Tool'!$S$54:$S$60,0),4),
IF($I595="SP_LIFE",_xlfn.XLOOKUP(B594,$B:$B,$J:$J,0),0)))</f>
        <v>0</v>
      </c>
      <c r="K595" s="287">
        <f t="shared" ca="1" si="68"/>
        <v>0</v>
      </c>
      <c r="L595" s="288">
        <f t="shared" ca="1" si="69"/>
        <v>0</v>
      </c>
      <c r="M595" s="289">
        <f t="shared" ca="1" si="65"/>
        <v>0</v>
      </c>
      <c r="N595" s="286">
        <f>Table13[[#This Row],[Benefit Option]]</f>
        <v>0</v>
      </c>
      <c r="O595" s="284">
        <f>IF(OR(Table2[[#This Row],[Member Type]]="Spouse",Table2[[#This Row],[Member Type]]="Child"),0,
IF(_xlfn.XLOOKUP($N595,Lookups!$D$13:$D$27,Lookups!$F$13:$F$27,0)=Table2[[#This Row],[Table Lookup for Life Cover]],0,
_xlfn.XLOOKUP($N595,Lookups!$D$13:$D$27,Lookups!$F$13:$F$27,0)))</f>
        <v>0</v>
      </c>
      <c r="P595" s="284">
        <f>IF(Table2[[#This Row],[Table Lookup for Funeral]]=0,0,IFERROR(INDEX('Quotation Tool'!$S$54:$V$60,MATCH($T595,'Quotation Tool'!$S$54:$S$60,0),3),0))</f>
        <v>0</v>
      </c>
      <c r="Q595" s="288">
        <f ca="1">IF(OR(Table2[[#This Row],[Benefit Name]]="My Value Plus Life - Main Member",Table2[[#This Row],[Benefit Name]]="My Value Plus Life - Spouse"),0,
IFERROR(VLOOKUP($G595,INDIRECT($O595),$P595,FALSE),0))</f>
        <v>0</v>
      </c>
      <c r="R595" s="288">
        <f ca="1">IF(OR(Table2[[#This Row],[Benefit Name]]="My Value Plus Life - Main Member",Table2[[#This Row],[Benefit Name]]="My Value Plus Life - Spouse"),0,
IFERROR(VLOOKUP($G595,INDIRECT($O595),$P595+1,FALSE),0))</f>
        <v>0</v>
      </c>
      <c r="S595" s="289">
        <f t="shared" ca="1" si="66"/>
        <v>0</v>
      </c>
      <c r="T595" s="284" t="str">
        <f>IF(Table13[[#This Row],[Premium Waiver]]="","None",Table13[[#This Row],[Premium Waiver]])</f>
        <v>None</v>
      </c>
      <c r="U595" s="284">
        <f>Table13[[#This Row],[VAPs Options]]</f>
        <v>0</v>
      </c>
      <c r="V595" s="284">
        <f>Table13[[#This Row],[Annual Increase Option]]</f>
        <v>0</v>
      </c>
      <c r="W595" s="290">
        <f>Table13[[#This Row],[Life Cover Amount]]</f>
        <v>0</v>
      </c>
      <c r="X595" s="290">
        <f>Table13[[#This Row],[Funeral Cover Amount]]</f>
        <v>0</v>
      </c>
      <c r="Y59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9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95" s="301">
        <f t="shared" ca="1" si="67"/>
        <v>0</v>
      </c>
      <c r="AB595" s="298"/>
      <c r="AC595" s="326" t="str">
        <f>IF(Table2[[#This Row],[Member Type]]="Main Member",Lookups!$C$13,
IF(Table2[[#This Row],[Member Type]]="Spouse",_xlfn.XLOOKUP(B595,Table2[Main Member Link ID],Table2[Product Option],0),
IF(AND(Table2[[#This Row],[Member Type]]="Child",_xlfn.XLOOKUP(B595,Table2[Main Member Link ID],Table2[Product Option],0)&lt;&gt;"My Value Plus Life"),Lookups!$C$24,
IF(AND(OR(Table2[[#This Row],[Member Type]]="Parent",Table2[[#This Row],[Member Type]]="Extended"),_xlfn.XLOOKUP(B595,Table2[Main Member Link ID],Table2[Product Option],0)&lt;&gt;"My Value Plus Life"),Lookups!$C$26,""))))</f>
        <v/>
      </c>
      <c r="AD595" s="326" t="str">
        <f>IF(Table2[[#This Row],[Member Type]]="Main Member",Lookups!$C$14,"")</f>
        <v/>
      </c>
      <c r="AE59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Funeral",_xlfn.XLOOKUP(B595,Table2[Main Member Link ID],Table2[Benefit Name],0)=Lookups!$D$14),"",
IF(AND(Table2[[#This Row],[Member Type]]="Spouse",Table2[[#This Row],[Product Option]]="My Value Plus Life &amp; Funeral",_xlfn.XLOOKUP(B594,Table2[Main Member Link ID],Table2[Benefit Name],0)=Lookups!$D$15),Lookups!$D$20,
IF(AND(Table2[[#This Row],[Member Type]]="Spouse",Table2[[#This Row],[Product Option]]="My Value Plus Life &amp; Funeral",_xlfn.XLOOKUP(B594,Table2[Main Member Link ID],Table2[Benefit Name],0)=Lookups!$D$16),"",
IF(AND(Table2[[#This Row],[Member Type]]="Spouse",Table2[[#This Row],[Product Option]]="My Value Plus Life &amp; Funeral",_xlfn.XLOOKUP(B594,Table2[Main Member Link ID],Table2[Benefit Name],0)=Lookups!$D$17),Lookups!$D$21,
IF(AND(Table2[[#This Row],[Member Type]]="Child",Table2[[#This Row],[Product Option]]="My Value Plus Life &amp; Funeral",_xlfn.XLOOKUP(B595,Table2[Main Member Link ID],Table2[Benefit Name],0)=Lookups!$D$14),"",
IF(AND(Table2[[#This Row],[Member Type]]="Child",Table2[[#This Row],[Product Option]]="My Value Plus Life &amp; Funeral",_xlfn.XLOOKUP(B595,Table2[Main Member Link ID],Table2[Benefit Name],0)=Lookups!$D$15),"",
IF(AND(Table2[[#This Row],[Member Type]]="Child",Table2[[#This Row],[Product Option]]="My Value Plus Life &amp; Funeral",_xlfn.XLOOKUP(B595,Table2[Main Member Link ID],Table2[Benefit Name],0)=Lookups!$D$16),Lookups!$D$24,
IF(AND(Table2[[#This Row],[Member Type]]="Child",Table2[[#This Row],[Product Option]]="My Value Plus Life &amp; Funeral",_xlfn.XLOOKUP(B595,Table2[Main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Funeral",_xlfn.XLOOKUP(B595,Table2[Main Member Link ID],Table2[Benefit Name],0)&lt;&gt;Lookups!$D$14),
IF(_xlfn.XLOOKUP(B595,Table2[Main Member Link ID],Table2[Benefit Name],0)=0,"",_xlfn.XLOOKUP(B595,Table2[Main Member Link ID],Table2[Benefit Name],0)),"")))))))))))))))</f>
        <v/>
      </c>
      <c r="AF595" s="327" t="str">
        <f>IF(AND(Table2[[#This Row],[Member Type]]="Main Member",Table2[[#This Row],[Product Option]]="My Value Plus Life &amp; Funeral"),Lookups!$D$15,
IF(AND(Table2[[#This Row],[Member Type]]="Spouse",Table2[[#This Row],[Product Option]]="My Value Plus Life &amp; Funeral",_xlfn.XLOOKUP(B595,Table2[Main Member Link ID],Table2[Benefit Name],0)=Lookups!$D$14),"",
IF(AND(Table2[[#This Row],[Member Type]]="Spouse",Table2[[#This Row],[Product Option]]="My Value Plus Life &amp; Funeral",_xlfn.XLOOKUP(B594,Table2[Main Member Link ID],Table2[Benefit Name],0)=Lookups!$D$16),"",
IF(AND(Table2[[#This Row],[Member Type]]="Spouse",Table2[[#This Row],[Product Option]]="My Value Plus Life &amp; Funeral",_xlfn.XLOOKUP(B594,Table2[Main Member Link ID],Table2[Benefit Name],0)=Lookups!$D$15),"",
IF(AND(Table2[[#This Row],[Member Type]]="Spouse",Table2[[#This Row],[Product Option]]="My Value Plus Life &amp; Funeral",_xlfn.XLOOKUP(B594,Table2[Main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Funeral",_xlfn.XLOOKUP(B595,Table2[Main Member Link ID],Table2[Benefit Name],0)&lt;&gt;Lookups!$D$15),
IF(_xlfn.XLOOKUP(B595,Table2[Main Member Link ID],Table2[Benefit Name],0)=0,"",_xlfn.XLOOKUP(B595,Table2[Main Member Link ID],Table2[Benefit Name],0)),"")
))))))</f>
        <v/>
      </c>
      <c r="AG595" s="327" t="str">
        <f>IF(AND(Table2[[#This Row],[Member Type]]="Main Member",Table2[[#This Row],[Product Option]]="My Value Plus Life &amp; Funeral"),Lookups!$D$16,
IF(AND(Table2[[#This Row],[Member Type]]="Spouse",Table2[[#This Row],[Product Option]]="My Value Plus Life &amp; Funeral",_xlfn.XLOOKUP(B595,Table2[Main Member Link ID],Table2[Benefit Name],0)=Lookups!$D$14),"",
IF(AND(Table2[[#This Row],[Member Type]]="Spouse",Table2[[#This Row],[Product Option]]="My Value Plus Life &amp; Funeral",_xlfn.XLOOKUP(B594,Table2[Main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Funeral",_xlfn.XLOOKUP(B595,Table2[Main Member Link ID],Table2[Benefit Name],0)&lt;&gt;Lookups!$D$16),
IF(_xlfn.XLOOKUP(B595,Table2[Main Member Link ID],Table2[Benefit Name],0)=0,"",_xlfn.XLOOKUP(B595,Table2[Main Member Link ID],Table2[Benefit Name],0)),"")
))))</f>
        <v/>
      </c>
      <c r="AH595" s="327" t="str">
        <f>IF(AND(Table2[[#This Row],[Member Type]]="Main Member",Table2[[#This Row],[Product Option]]="My Value Plus Life &amp; Funeral"),Lookups!$D$17,
IF(AND(Table2[[#This Row],[Member Type]]="Spouse",Table2[[#This Row],[Product Option]]="My Value Plus Life &amp; Funeral",_xlfn.XLOOKUP(B595,Table2[Main Member Link ID],Table2[Benefit Name],0)=Lookups!$D$14),"",
IF(AND(Table2[[#This Row],[Member Type]]="Spouse",Table2[[#This Row],[Product Option]]="My Value Plus Life &amp; Funeral",_xlfn.XLOOKUP(B594,Table2[Main Member Link ID],Table2[Benefit Name],0)=Lookups!$D$16),"",
IF(AND(Table2[[#This Row],[Member Type]]="Child",Table2[[#This Row],[Product Option]]="My Value Plus Life &amp; Funeral"),"",
IF(AND(Table2[[#This Row],[Member Type]]="Child",Table2[[#This Row],[Product Option]]="My Value Plus Life &amp; Funeral",_xlfn.XLOOKUP(B595,Table2[Main Member Link ID],Table2[Benefit Name],0)=Lookups!$D$15),"",
IF(AND(OR(Table2[[#This Row],[Member Type]]="Spouse",Table2[[#This Row],[Member Type]]="Child"),Table2[[#This Row],[Product Option]]="My Value Plus Life &amp; Funeral",_xlfn.XLOOKUP(B595,Table2[Main Member Link ID],Table2[Benefit Name],0)&lt;&gt;Lookups!$D$17),
IF(_xlfn.XLOOKUP(B595,Table2[Main Member Link ID],Table2[Benefit Name],0)=0,"",_xlfn.XLOOKUP(B595,Table2[Main Member Link ID],Table2[Benefit Name],0)),""))))))</f>
        <v/>
      </c>
      <c r="AI595" s="328" t="str">
        <f>IF(AND(Table2[[#This Row],[Member Type]]="Main Member",Table2[[#This Row],[Table Lookup for Life Cover]]="MM_LIFE",Table2[[#This Row],[Age Next Birthday]]&lt;56),1,
IF(AND(Table2[[#This Row],[Member Type]]="Main Member",Table2[[#This Row],[Table Lookup for Life Cover]]="MM_LIFE",Table2[[#This Row],[Age Next Birthday]]&gt;=56),2,
""))</f>
        <v/>
      </c>
      <c r="AJ595" s="328">
        <f>IF(OR(Table2[[#This Row],[Member Type]]="Main Member",Table2[[#This Row],[Main Member Link ID]]=B594),1,0)</f>
        <v>1</v>
      </c>
      <c r="AK595" s="328">
        <f>IF(Table2[[#This Row],[Member Type]]=0,0,
IF(OR(Table2[[#This Row],[Member Type]]="Main Member",Table2[[#This Row],[Main Member Link ID]]&lt;&gt;B595),COUNTIFS(B:B,Table2[[#This Row],[Main Member Link ID]]),
COUNTIFS(B:B,Table2[[#This Row],[Main Member Link ID]],A:A,Table2[[#This Row],[Member Type]])))</f>
        <v>0</v>
      </c>
    </row>
    <row r="596" spans="1:37" x14ac:dyDescent="0.3">
      <c r="A596" s="284">
        <f>Table13[[#This Row],[Member Type]]</f>
        <v>0</v>
      </c>
      <c r="B596" s="284">
        <f>Table13[[#This Row],[Main Member Link ID]]</f>
        <v>0</v>
      </c>
      <c r="C596" s="284">
        <f>Table13[[#This Row],[ID Number]]</f>
        <v>0</v>
      </c>
      <c r="D596" s="285">
        <f>Table13[[#This Row],[Date Of Birth]]</f>
        <v>0</v>
      </c>
      <c r="E596" s="285">
        <f>Table13[[#This Row],[Commencement Date]]</f>
        <v>0</v>
      </c>
      <c r="F596" s="284">
        <f t="shared" si="63"/>
        <v>1</v>
      </c>
      <c r="G596" s="284">
        <f t="shared" si="64"/>
        <v>25</v>
      </c>
      <c r="H596" s="286">
        <f>Table13[[#This Row],[Product Option]]</f>
        <v>0</v>
      </c>
      <c r="I596" s="284">
        <f>IF(AND($A596="Main Member",Table2[[#This Row],[Product Option]]="My Value Plus Life"),"MM_LIFE",
IF(AND($A596="Spouse",Table2[[#This Row],[Product Option]]="My Value Plus Life"),"SP_LIFE",
IF(AND($A596="Main Member",Table2[[#This Row],[Product Option]]="My Value Plus Life &amp; Funeral"),"MM_LIFE",
IF(AND($A596="Spouse",Table2[[#This Row],[Product Option]]="My Value Plus Life &amp; Funeral"),_xlfn.XLOOKUP(Table2[[#This Row],[Benefit Name]],Lookups!$D$18:$D$23,Lookups!$E$18:$E$23,0),
0))))</f>
        <v>0</v>
      </c>
      <c r="J596" s="284">
        <f>IF($I596="","",
IF($I596="MM_LIFE",INDEX('Quotation Tool'!$S$54:$V$60,MATCH($T596,'Quotation Tool'!$S$54:$S$60,0),4),
IF($I596="SP_LIFE",_xlfn.XLOOKUP(B595,$B:$B,$J:$J,0),0)))</f>
        <v>0</v>
      </c>
      <c r="K596" s="287">
        <f t="shared" ca="1" si="68"/>
        <v>0</v>
      </c>
      <c r="L596" s="288">
        <f t="shared" ca="1" si="69"/>
        <v>0</v>
      </c>
      <c r="M596" s="289">
        <f t="shared" ca="1" si="65"/>
        <v>0</v>
      </c>
      <c r="N596" s="286">
        <f>Table13[[#This Row],[Benefit Option]]</f>
        <v>0</v>
      </c>
      <c r="O596" s="284">
        <f>IF(OR(Table2[[#This Row],[Member Type]]="Spouse",Table2[[#This Row],[Member Type]]="Child"),0,
IF(_xlfn.XLOOKUP($N596,Lookups!$D$13:$D$27,Lookups!$F$13:$F$27,0)=Table2[[#This Row],[Table Lookup for Life Cover]],0,
_xlfn.XLOOKUP($N596,Lookups!$D$13:$D$27,Lookups!$F$13:$F$27,0)))</f>
        <v>0</v>
      </c>
      <c r="P596" s="284">
        <f>IF(Table2[[#This Row],[Table Lookup for Funeral]]=0,0,IFERROR(INDEX('Quotation Tool'!$S$54:$V$60,MATCH($T596,'Quotation Tool'!$S$54:$S$60,0),3),0))</f>
        <v>0</v>
      </c>
      <c r="Q596" s="288">
        <f ca="1">IF(OR(Table2[[#This Row],[Benefit Name]]="My Value Plus Life - Main Member",Table2[[#This Row],[Benefit Name]]="My Value Plus Life - Spouse"),0,
IFERROR(VLOOKUP($G596,INDIRECT($O596),$P596,FALSE),0))</f>
        <v>0</v>
      </c>
      <c r="R596" s="288">
        <f ca="1">IF(OR(Table2[[#This Row],[Benefit Name]]="My Value Plus Life - Main Member",Table2[[#This Row],[Benefit Name]]="My Value Plus Life - Spouse"),0,
IFERROR(VLOOKUP($G596,INDIRECT($O596),$P596+1,FALSE),0))</f>
        <v>0</v>
      </c>
      <c r="S596" s="289">
        <f t="shared" ca="1" si="66"/>
        <v>0</v>
      </c>
      <c r="T596" s="284" t="str">
        <f>IF(Table13[[#This Row],[Premium Waiver]]="","None",Table13[[#This Row],[Premium Waiver]])</f>
        <v>None</v>
      </c>
      <c r="U596" s="284">
        <f>Table13[[#This Row],[VAPs Options]]</f>
        <v>0</v>
      </c>
      <c r="V596" s="284">
        <f>Table13[[#This Row],[Annual Increase Option]]</f>
        <v>0</v>
      </c>
      <c r="W596" s="290">
        <f>Table13[[#This Row],[Life Cover Amount]]</f>
        <v>0</v>
      </c>
      <c r="X596" s="290">
        <f>Table13[[#This Row],[Funeral Cover Amount]]</f>
        <v>0</v>
      </c>
      <c r="Y59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9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96" s="301">
        <f t="shared" ca="1" si="67"/>
        <v>0</v>
      </c>
      <c r="AB596" s="298"/>
      <c r="AC596" s="326" t="str">
        <f>IF(Table2[[#This Row],[Member Type]]="Main Member",Lookups!$C$13,
IF(Table2[[#This Row],[Member Type]]="Spouse",_xlfn.XLOOKUP(B596,Table2[Main Member Link ID],Table2[Product Option],0),
IF(AND(Table2[[#This Row],[Member Type]]="Child",_xlfn.XLOOKUP(B596,Table2[Main Member Link ID],Table2[Product Option],0)&lt;&gt;"My Value Plus Life"),Lookups!$C$24,
IF(AND(OR(Table2[[#This Row],[Member Type]]="Parent",Table2[[#This Row],[Member Type]]="Extended"),_xlfn.XLOOKUP(B596,Table2[Main Member Link ID],Table2[Product Option],0)&lt;&gt;"My Value Plus Life"),Lookups!$C$26,""))))</f>
        <v/>
      </c>
      <c r="AD596" s="326" t="str">
        <f>IF(Table2[[#This Row],[Member Type]]="Main Member",Lookups!$C$14,"")</f>
        <v/>
      </c>
      <c r="AE59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Funeral",_xlfn.XLOOKUP(B596,Table2[Main Member Link ID],Table2[Benefit Name],0)=Lookups!$D$14),"",
IF(AND(Table2[[#This Row],[Member Type]]="Spouse",Table2[[#This Row],[Product Option]]="My Value Plus Life &amp; Funeral",_xlfn.XLOOKUP(B595,Table2[Main Member Link ID],Table2[Benefit Name],0)=Lookups!$D$15),Lookups!$D$20,
IF(AND(Table2[[#This Row],[Member Type]]="Spouse",Table2[[#This Row],[Product Option]]="My Value Plus Life &amp; Funeral",_xlfn.XLOOKUP(B595,Table2[Main Member Link ID],Table2[Benefit Name],0)=Lookups!$D$16),"",
IF(AND(Table2[[#This Row],[Member Type]]="Spouse",Table2[[#This Row],[Product Option]]="My Value Plus Life &amp; Funeral",_xlfn.XLOOKUP(B595,Table2[Main Member Link ID],Table2[Benefit Name],0)=Lookups!$D$17),Lookups!$D$21,
IF(AND(Table2[[#This Row],[Member Type]]="Child",Table2[[#This Row],[Product Option]]="My Value Plus Life &amp; Funeral",_xlfn.XLOOKUP(B596,Table2[Main Member Link ID],Table2[Benefit Name],0)=Lookups!$D$14),"",
IF(AND(Table2[[#This Row],[Member Type]]="Child",Table2[[#This Row],[Product Option]]="My Value Plus Life &amp; Funeral",_xlfn.XLOOKUP(B596,Table2[Main Member Link ID],Table2[Benefit Name],0)=Lookups!$D$15),"",
IF(AND(Table2[[#This Row],[Member Type]]="Child",Table2[[#This Row],[Product Option]]="My Value Plus Life &amp; Funeral",_xlfn.XLOOKUP(B596,Table2[Main Member Link ID],Table2[Benefit Name],0)=Lookups!$D$16),Lookups!$D$24,
IF(AND(Table2[[#This Row],[Member Type]]="Child",Table2[[#This Row],[Product Option]]="My Value Plus Life &amp; Funeral",_xlfn.XLOOKUP(B596,Table2[Main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Funeral",_xlfn.XLOOKUP(B596,Table2[Main Member Link ID],Table2[Benefit Name],0)&lt;&gt;Lookups!$D$14),
IF(_xlfn.XLOOKUP(B596,Table2[Main Member Link ID],Table2[Benefit Name],0)=0,"",_xlfn.XLOOKUP(B596,Table2[Main Member Link ID],Table2[Benefit Name],0)),"")))))))))))))))</f>
        <v/>
      </c>
      <c r="AF596" s="327" t="str">
        <f>IF(AND(Table2[[#This Row],[Member Type]]="Main Member",Table2[[#This Row],[Product Option]]="My Value Plus Life &amp; Funeral"),Lookups!$D$15,
IF(AND(Table2[[#This Row],[Member Type]]="Spouse",Table2[[#This Row],[Product Option]]="My Value Plus Life &amp; Funeral",_xlfn.XLOOKUP(B596,Table2[Main Member Link ID],Table2[Benefit Name],0)=Lookups!$D$14),"",
IF(AND(Table2[[#This Row],[Member Type]]="Spouse",Table2[[#This Row],[Product Option]]="My Value Plus Life &amp; Funeral",_xlfn.XLOOKUP(B595,Table2[Main Member Link ID],Table2[Benefit Name],0)=Lookups!$D$16),"",
IF(AND(Table2[[#This Row],[Member Type]]="Spouse",Table2[[#This Row],[Product Option]]="My Value Plus Life &amp; Funeral",_xlfn.XLOOKUP(B595,Table2[Main Member Link ID],Table2[Benefit Name],0)=Lookups!$D$15),"",
IF(AND(Table2[[#This Row],[Member Type]]="Spouse",Table2[[#This Row],[Product Option]]="My Value Plus Life &amp; Funeral",_xlfn.XLOOKUP(B595,Table2[Main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Funeral",_xlfn.XLOOKUP(B596,Table2[Main Member Link ID],Table2[Benefit Name],0)&lt;&gt;Lookups!$D$15),
IF(_xlfn.XLOOKUP(B596,Table2[Main Member Link ID],Table2[Benefit Name],0)=0,"",_xlfn.XLOOKUP(B596,Table2[Main Member Link ID],Table2[Benefit Name],0)),"")
))))))</f>
        <v/>
      </c>
      <c r="AG596" s="327" t="str">
        <f>IF(AND(Table2[[#This Row],[Member Type]]="Main Member",Table2[[#This Row],[Product Option]]="My Value Plus Life &amp; Funeral"),Lookups!$D$16,
IF(AND(Table2[[#This Row],[Member Type]]="Spouse",Table2[[#This Row],[Product Option]]="My Value Plus Life &amp; Funeral",_xlfn.XLOOKUP(B596,Table2[Main Member Link ID],Table2[Benefit Name],0)=Lookups!$D$14),"",
IF(AND(Table2[[#This Row],[Member Type]]="Spouse",Table2[[#This Row],[Product Option]]="My Value Plus Life &amp; Funeral",_xlfn.XLOOKUP(B595,Table2[Main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Funeral",_xlfn.XLOOKUP(B596,Table2[Main Member Link ID],Table2[Benefit Name],0)&lt;&gt;Lookups!$D$16),
IF(_xlfn.XLOOKUP(B596,Table2[Main Member Link ID],Table2[Benefit Name],0)=0,"",_xlfn.XLOOKUP(B596,Table2[Main Member Link ID],Table2[Benefit Name],0)),"")
))))</f>
        <v/>
      </c>
      <c r="AH596" s="327" t="str">
        <f>IF(AND(Table2[[#This Row],[Member Type]]="Main Member",Table2[[#This Row],[Product Option]]="My Value Plus Life &amp; Funeral"),Lookups!$D$17,
IF(AND(Table2[[#This Row],[Member Type]]="Spouse",Table2[[#This Row],[Product Option]]="My Value Plus Life &amp; Funeral",_xlfn.XLOOKUP(B596,Table2[Main Member Link ID],Table2[Benefit Name],0)=Lookups!$D$14),"",
IF(AND(Table2[[#This Row],[Member Type]]="Spouse",Table2[[#This Row],[Product Option]]="My Value Plus Life &amp; Funeral",_xlfn.XLOOKUP(B595,Table2[Main Member Link ID],Table2[Benefit Name],0)=Lookups!$D$16),"",
IF(AND(Table2[[#This Row],[Member Type]]="Child",Table2[[#This Row],[Product Option]]="My Value Plus Life &amp; Funeral"),"",
IF(AND(Table2[[#This Row],[Member Type]]="Child",Table2[[#This Row],[Product Option]]="My Value Plus Life &amp; Funeral",_xlfn.XLOOKUP(B596,Table2[Main Member Link ID],Table2[Benefit Name],0)=Lookups!$D$15),"",
IF(AND(OR(Table2[[#This Row],[Member Type]]="Spouse",Table2[[#This Row],[Member Type]]="Child"),Table2[[#This Row],[Product Option]]="My Value Plus Life &amp; Funeral",_xlfn.XLOOKUP(B596,Table2[Main Member Link ID],Table2[Benefit Name],0)&lt;&gt;Lookups!$D$17),
IF(_xlfn.XLOOKUP(B596,Table2[Main Member Link ID],Table2[Benefit Name],0)=0,"",_xlfn.XLOOKUP(B596,Table2[Main Member Link ID],Table2[Benefit Name],0)),""))))))</f>
        <v/>
      </c>
      <c r="AI596" s="328" t="str">
        <f>IF(AND(Table2[[#This Row],[Member Type]]="Main Member",Table2[[#This Row],[Table Lookup for Life Cover]]="MM_LIFE",Table2[[#This Row],[Age Next Birthday]]&lt;56),1,
IF(AND(Table2[[#This Row],[Member Type]]="Main Member",Table2[[#This Row],[Table Lookup for Life Cover]]="MM_LIFE",Table2[[#This Row],[Age Next Birthday]]&gt;=56),2,
""))</f>
        <v/>
      </c>
      <c r="AJ596" s="328">
        <f>IF(OR(Table2[[#This Row],[Member Type]]="Main Member",Table2[[#This Row],[Main Member Link ID]]=B595),1,0)</f>
        <v>1</v>
      </c>
      <c r="AK596" s="328">
        <f>IF(Table2[[#This Row],[Member Type]]=0,0,
IF(OR(Table2[[#This Row],[Member Type]]="Main Member",Table2[[#This Row],[Main Member Link ID]]&lt;&gt;B596),COUNTIFS(B:B,Table2[[#This Row],[Main Member Link ID]]),
COUNTIFS(B:B,Table2[[#This Row],[Main Member Link ID]],A:A,Table2[[#This Row],[Member Type]])))</f>
        <v>0</v>
      </c>
    </row>
    <row r="597" spans="1:37" x14ac:dyDescent="0.3">
      <c r="A597" s="284">
        <f>Table13[[#This Row],[Member Type]]</f>
        <v>0</v>
      </c>
      <c r="B597" s="284">
        <f>Table13[[#This Row],[Main Member Link ID]]</f>
        <v>0</v>
      </c>
      <c r="C597" s="284">
        <f>Table13[[#This Row],[ID Number]]</f>
        <v>0</v>
      </c>
      <c r="D597" s="285">
        <f>Table13[[#This Row],[Date Of Birth]]</f>
        <v>0</v>
      </c>
      <c r="E597" s="285">
        <f>Table13[[#This Row],[Commencement Date]]</f>
        <v>0</v>
      </c>
      <c r="F597" s="284">
        <f t="shared" si="63"/>
        <v>1</v>
      </c>
      <c r="G597" s="284">
        <f t="shared" si="64"/>
        <v>25</v>
      </c>
      <c r="H597" s="286">
        <f>Table13[[#This Row],[Product Option]]</f>
        <v>0</v>
      </c>
      <c r="I597" s="284">
        <f>IF(AND($A597="Main Member",Table2[[#This Row],[Product Option]]="My Value Plus Life"),"MM_LIFE",
IF(AND($A597="Spouse",Table2[[#This Row],[Product Option]]="My Value Plus Life"),"SP_LIFE",
IF(AND($A597="Main Member",Table2[[#This Row],[Product Option]]="My Value Plus Life &amp; Funeral"),"MM_LIFE",
IF(AND($A597="Spouse",Table2[[#This Row],[Product Option]]="My Value Plus Life &amp; Funeral"),_xlfn.XLOOKUP(Table2[[#This Row],[Benefit Name]],Lookups!$D$18:$D$23,Lookups!$E$18:$E$23,0),
0))))</f>
        <v>0</v>
      </c>
      <c r="J597" s="284">
        <f>IF($I597="","",
IF($I597="MM_LIFE",INDEX('Quotation Tool'!$S$54:$V$60,MATCH($T597,'Quotation Tool'!$S$54:$S$60,0),4),
IF($I597="SP_LIFE",_xlfn.XLOOKUP(B596,$B:$B,$J:$J,0),0)))</f>
        <v>0</v>
      </c>
      <c r="K597" s="287">
        <f t="shared" ca="1" si="68"/>
        <v>0</v>
      </c>
      <c r="L597" s="288">
        <f t="shared" ca="1" si="69"/>
        <v>0</v>
      </c>
      <c r="M597" s="289">
        <f t="shared" ca="1" si="65"/>
        <v>0</v>
      </c>
      <c r="N597" s="286">
        <f>Table13[[#This Row],[Benefit Option]]</f>
        <v>0</v>
      </c>
      <c r="O597" s="284">
        <f>IF(OR(Table2[[#This Row],[Member Type]]="Spouse",Table2[[#This Row],[Member Type]]="Child"),0,
IF(_xlfn.XLOOKUP($N597,Lookups!$D$13:$D$27,Lookups!$F$13:$F$27,0)=Table2[[#This Row],[Table Lookup for Life Cover]],0,
_xlfn.XLOOKUP($N597,Lookups!$D$13:$D$27,Lookups!$F$13:$F$27,0)))</f>
        <v>0</v>
      </c>
      <c r="P597" s="284">
        <f>IF(Table2[[#This Row],[Table Lookup for Funeral]]=0,0,IFERROR(INDEX('Quotation Tool'!$S$54:$V$60,MATCH($T597,'Quotation Tool'!$S$54:$S$60,0),3),0))</f>
        <v>0</v>
      </c>
      <c r="Q597" s="288">
        <f ca="1">IF(OR(Table2[[#This Row],[Benefit Name]]="My Value Plus Life - Main Member",Table2[[#This Row],[Benefit Name]]="My Value Plus Life - Spouse"),0,
IFERROR(VLOOKUP($G597,INDIRECT($O597),$P597,FALSE),0))</f>
        <v>0</v>
      </c>
      <c r="R597" s="288">
        <f ca="1">IF(OR(Table2[[#This Row],[Benefit Name]]="My Value Plus Life - Main Member",Table2[[#This Row],[Benefit Name]]="My Value Plus Life - Spouse"),0,
IFERROR(VLOOKUP($G597,INDIRECT($O597),$P597+1,FALSE),0))</f>
        <v>0</v>
      </c>
      <c r="S597" s="289">
        <f t="shared" ca="1" si="66"/>
        <v>0</v>
      </c>
      <c r="T597" s="284" t="str">
        <f>IF(Table13[[#This Row],[Premium Waiver]]="","None",Table13[[#This Row],[Premium Waiver]])</f>
        <v>None</v>
      </c>
      <c r="U597" s="284">
        <f>Table13[[#This Row],[VAPs Options]]</f>
        <v>0</v>
      </c>
      <c r="V597" s="284">
        <f>Table13[[#This Row],[Annual Increase Option]]</f>
        <v>0</v>
      </c>
      <c r="W597" s="290">
        <f>Table13[[#This Row],[Life Cover Amount]]</f>
        <v>0</v>
      </c>
      <c r="X597" s="290">
        <f>Table13[[#This Row],[Funeral Cover Amount]]</f>
        <v>0</v>
      </c>
      <c r="Y59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9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97" s="301">
        <f t="shared" ca="1" si="67"/>
        <v>0</v>
      </c>
      <c r="AB597" s="298"/>
      <c r="AC597" s="326" t="str">
        <f>IF(Table2[[#This Row],[Member Type]]="Main Member",Lookups!$C$13,
IF(Table2[[#This Row],[Member Type]]="Spouse",_xlfn.XLOOKUP(B597,Table2[Main Member Link ID],Table2[Product Option],0),
IF(AND(Table2[[#This Row],[Member Type]]="Child",_xlfn.XLOOKUP(B597,Table2[Main Member Link ID],Table2[Product Option],0)&lt;&gt;"My Value Plus Life"),Lookups!$C$24,
IF(AND(OR(Table2[[#This Row],[Member Type]]="Parent",Table2[[#This Row],[Member Type]]="Extended"),_xlfn.XLOOKUP(B597,Table2[Main Member Link ID],Table2[Product Option],0)&lt;&gt;"My Value Plus Life"),Lookups!$C$26,""))))</f>
        <v/>
      </c>
      <c r="AD597" s="326" t="str">
        <f>IF(Table2[[#This Row],[Member Type]]="Main Member",Lookups!$C$14,"")</f>
        <v/>
      </c>
      <c r="AE59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Funeral",_xlfn.XLOOKUP(B597,Table2[Main Member Link ID],Table2[Benefit Name],0)=Lookups!$D$14),"",
IF(AND(Table2[[#This Row],[Member Type]]="Spouse",Table2[[#This Row],[Product Option]]="My Value Plus Life &amp; Funeral",_xlfn.XLOOKUP(B596,Table2[Main Member Link ID],Table2[Benefit Name],0)=Lookups!$D$15),Lookups!$D$20,
IF(AND(Table2[[#This Row],[Member Type]]="Spouse",Table2[[#This Row],[Product Option]]="My Value Plus Life &amp; Funeral",_xlfn.XLOOKUP(B596,Table2[Main Member Link ID],Table2[Benefit Name],0)=Lookups!$D$16),"",
IF(AND(Table2[[#This Row],[Member Type]]="Spouse",Table2[[#This Row],[Product Option]]="My Value Plus Life &amp; Funeral",_xlfn.XLOOKUP(B596,Table2[Main Member Link ID],Table2[Benefit Name],0)=Lookups!$D$17),Lookups!$D$21,
IF(AND(Table2[[#This Row],[Member Type]]="Child",Table2[[#This Row],[Product Option]]="My Value Plus Life &amp; Funeral",_xlfn.XLOOKUP(B597,Table2[Main Member Link ID],Table2[Benefit Name],0)=Lookups!$D$14),"",
IF(AND(Table2[[#This Row],[Member Type]]="Child",Table2[[#This Row],[Product Option]]="My Value Plus Life &amp; Funeral",_xlfn.XLOOKUP(B597,Table2[Main Member Link ID],Table2[Benefit Name],0)=Lookups!$D$15),"",
IF(AND(Table2[[#This Row],[Member Type]]="Child",Table2[[#This Row],[Product Option]]="My Value Plus Life &amp; Funeral",_xlfn.XLOOKUP(B597,Table2[Main Member Link ID],Table2[Benefit Name],0)=Lookups!$D$16),Lookups!$D$24,
IF(AND(Table2[[#This Row],[Member Type]]="Child",Table2[[#This Row],[Product Option]]="My Value Plus Life &amp; Funeral",_xlfn.XLOOKUP(B597,Table2[Main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Funeral",_xlfn.XLOOKUP(B597,Table2[Main Member Link ID],Table2[Benefit Name],0)&lt;&gt;Lookups!$D$14),
IF(_xlfn.XLOOKUP(B597,Table2[Main Member Link ID],Table2[Benefit Name],0)=0,"",_xlfn.XLOOKUP(B597,Table2[Main Member Link ID],Table2[Benefit Name],0)),"")))))))))))))))</f>
        <v/>
      </c>
      <c r="AF597" s="327" t="str">
        <f>IF(AND(Table2[[#This Row],[Member Type]]="Main Member",Table2[[#This Row],[Product Option]]="My Value Plus Life &amp; Funeral"),Lookups!$D$15,
IF(AND(Table2[[#This Row],[Member Type]]="Spouse",Table2[[#This Row],[Product Option]]="My Value Plus Life &amp; Funeral",_xlfn.XLOOKUP(B597,Table2[Main Member Link ID],Table2[Benefit Name],0)=Lookups!$D$14),"",
IF(AND(Table2[[#This Row],[Member Type]]="Spouse",Table2[[#This Row],[Product Option]]="My Value Plus Life &amp; Funeral",_xlfn.XLOOKUP(B596,Table2[Main Member Link ID],Table2[Benefit Name],0)=Lookups!$D$16),"",
IF(AND(Table2[[#This Row],[Member Type]]="Spouse",Table2[[#This Row],[Product Option]]="My Value Plus Life &amp; Funeral",_xlfn.XLOOKUP(B596,Table2[Main Member Link ID],Table2[Benefit Name],0)=Lookups!$D$15),"",
IF(AND(Table2[[#This Row],[Member Type]]="Spouse",Table2[[#This Row],[Product Option]]="My Value Plus Life &amp; Funeral",_xlfn.XLOOKUP(B596,Table2[Main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Funeral",_xlfn.XLOOKUP(B597,Table2[Main Member Link ID],Table2[Benefit Name],0)&lt;&gt;Lookups!$D$15),
IF(_xlfn.XLOOKUP(B597,Table2[Main Member Link ID],Table2[Benefit Name],0)=0,"",_xlfn.XLOOKUP(B597,Table2[Main Member Link ID],Table2[Benefit Name],0)),"")
))))))</f>
        <v/>
      </c>
      <c r="AG597" s="327" t="str">
        <f>IF(AND(Table2[[#This Row],[Member Type]]="Main Member",Table2[[#This Row],[Product Option]]="My Value Plus Life &amp; Funeral"),Lookups!$D$16,
IF(AND(Table2[[#This Row],[Member Type]]="Spouse",Table2[[#This Row],[Product Option]]="My Value Plus Life &amp; Funeral",_xlfn.XLOOKUP(B597,Table2[Main Member Link ID],Table2[Benefit Name],0)=Lookups!$D$14),"",
IF(AND(Table2[[#This Row],[Member Type]]="Spouse",Table2[[#This Row],[Product Option]]="My Value Plus Life &amp; Funeral",_xlfn.XLOOKUP(B596,Table2[Main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Funeral",_xlfn.XLOOKUP(B597,Table2[Main Member Link ID],Table2[Benefit Name],0)&lt;&gt;Lookups!$D$16),
IF(_xlfn.XLOOKUP(B597,Table2[Main Member Link ID],Table2[Benefit Name],0)=0,"",_xlfn.XLOOKUP(B597,Table2[Main Member Link ID],Table2[Benefit Name],0)),"")
))))</f>
        <v/>
      </c>
      <c r="AH597" s="327" t="str">
        <f>IF(AND(Table2[[#This Row],[Member Type]]="Main Member",Table2[[#This Row],[Product Option]]="My Value Plus Life &amp; Funeral"),Lookups!$D$17,
IF(AND(Table2[[#This Row],[Member Type]]="Spouse",Table2[[#This Row],[Product Option]]="My Value Plus Life &amp; Funeral",_xlfn.XLOOKUP(B597,Table2[Main Member Link ID],Table2[Benefit Name],0)=Lookups!$D$14),"",
IF(AND(Table2[[#This Row],[Member Type]]="Spouse",Table2[[#This Row],[Product Option]]="My Value Plus Life &amp; Funeral",_xlfn.XLOOKUP(B596,Table2[Main Member Link ID],Table2[Benefit Name],0)=Lookups!$D$16),"",
IF(AND(Table2[[#This Row],[Member Type]]="Child",Table2[[#This Row],[Product Option]]="My Value Plus Life &amp; Funeral"),"",
IF(AND(Table2[[#This Row],[Member Type]]="Child",Table2[[#This Row],[Product Option]]="My Value Plus Life &amp; Funeral",_xlfn.XLOOKUP(B597,Table2[Main Member Link ID],Table2[Benefit Name],0)=Lookups!$D$15),"",
IF(AND(OR(Table2[[#This Row],[Member Type]]="Spouse",Table2[[#This Row],[Member Type]]="Child"),Table2[[#This Row],[Product Option]]="My Value Plus Life &amp; Funeral",_xlfn.XLOOKUP(B597,Table2[Main Member Link ID],Table2[Benefit Name],0)&lt;&gt;Lookups!$D$17),
IF(_xlfn.XLOOKUP(B597,Table2[Main Member Link ID],Table2[Benefit Name],0)=0,"",_xlfn.XLOOKUP(B597,Table2[Main Member Link ID],Table2[Benefit Name],0)),""))))))</f>
        <v/>
      </c>
      <c r="AI597" s="328" t="str">
        <f>IF(AND(Table2[[#This Row],[Member Type]]="Main Member",Table2[[#This Row],[Table Lookup for Life Cover]]="MM_LIFE",Table2[[#This Row],[Age Next Birthday]]&lt;56),1,
IF(AND(Table2[[#This Row],[Member Type]]="Main Member",Table2[[#This Row],[Table Lookup for Life Cover]]="MM_LIFE",Table2[[#This Row],[Age Next Birthday]]&gt;=56),2,
""))</f>
        <v/>
      </c>
      <c r="AJ597" s="328">
        <f>IF(OR(Table2[[#This Row],[Member Type]]="Main Member",Table2[[#This Row],[Main Member Link ID]]=B596),1,0)</f>
        <v>1</v>
      </c>
      <c r="AK597" s="328">
        <f>IF(Table2[[#This Row],[Member Type]]=0,0,
IF(OR(Table2[[#This Row],[Member Type]]="Main Member",Table2[[#This Row],[Main Member Link ID]]&lt;&gt;B597),COUNTIFS(B:B,Table2[[#This Row],[Main Member Link ID]]),
COUNTIFS(B:B,Table2[[#This Row],[Main Member Link ID]],A:A,Table2[[#This Row],[Member Type]])))</f>
        <v>0</v>
      </c>
    </row>
    <row r="598" spans="1:37" x14ac:dyDescent="0.3">
      <c r="A598" s="284">
        <f>Table13[[#This Row],[Member Type]]</f>
        <v>0</v>
      </c>
      <c r="B598" s="284">
        <f>Table13[[#This Row],[Main Member Link ID]]</f>
        <v>0</v>
      </c>
      <c r="C598" s="284">
        <f>Table13[[#This Row],[ID Number]]</f>
        <v>0</v>
      </c>
      <c r="D598" s="285">
        <f>Table13[[#This Row],[Date Of Birth]]</f>
        <v>0</v>
      </c>
      <c r="E598" s="285">
        <f>Table13[[#This Row],[Commencement Date]]</f>
        <v>0</v>
      </c>
      <c r="F598" s="284">
        <f t="shared" si="63"/>
        <v>1</v>
      </c>
      <c r="G598" s="284">
        <f t="shared" si="64"/>
        <v>25</v>
      </c>
      <c r="H598" s="286">
        <f>Table13[[#This Row],[Product Option]]</f>
        <v>0</v>
      </c>
      <c r="I598" s="284">
        <f>IF(AND($A598="Main Member",Table2[[#This Row],[Product Option]]="My Value Plus Life"),"MM_LIFE",
IF(AND($A598="Spouse",Table2[[#This Row],[Product Option]]="My Value Plus Life"),"SP_LIFE",
IF(AND($A598="Main Member",Table2[[#This Row],[Product Option]]="My Value Plus Life &amp; Funeral"),"MM_LIFE",
IF(AND($A598="Spouse",Table2[[#This Row],[Product Option]]="My Value Plus Life &amp; Funeral"),_xlfn.XLOOKUP(Table2[[#This Row],[Benefit Name]],Lookups!$D$18:$D$23,Lookups!$E$18:$E$23,0),
0))))</f>
        <v>0</v>
      </c>
      <c r="J598" s="284">
        <f>IF($I598="","",
IF($I598="MM_LIFE",INDEX('Quotation Tool'!$S$54:$V$60,MATCH($T598,'Quotation Tool'!$S$54:$S$60,0),4),
IF($I598="SP_LIFE",_xlfn.XLOOKUP(B597,$B:$B,$J:$J,0),0)))</f>
        <v>0</v>
      </c>
      <c r="K598" s="287">
        <f t="shared" ca="1" si="68"/>
        <v>0</v>
      </c>
      <c r="L598" s="288">
        <f t="shared" ca="1" si="69"/>
        <v>0</v>
      </c>
      <c r="M598" s="289">
        <f t="shared" ca="1" si="65"/>
        <v>0</v>
      </c>
      <c r="N598" s="286">
        <f>Table13[[#This Row],[Benefit Option]]</f>
        <v>0</v>
      </c>
      <c r="O598" s="284">
        <f>IF(OR(Table2[[#This Row],[Member Type]]="Spouse",Table2[[#This Row],[Member Type]]="Child"),0,
IF(_xlfn.XLOOKUP($N598,Lookups!$D$13:$D$27,Lookups!$F$13:$F$27,0)=Table2[[#This Row],[Table Lookup for Life Cover]],0,
_xlfn.XLOOKUP($N598,Lookups!$D$13:$D$27,Lookups!$F$13:$F$27,0)))</f>
        <v>0</v>
      </c>
      <c r="P598" s="284">
        <f>IF(Table2[[#This Row],[Table Lookup for Funeral]]=0,0,IFERROR(INDEX('Quotation Tool'!$S$54:$V$60,MATCH($T598,'Quotation Tool'!$S$54:$S$60,0),3),0))</f>
        <v>0</v>
      </c>
      <c r="Q598" s="288">
        <f ca="1">IF(OR(Table2[[#This Row],[Benefit Name]]="My Value Plus Life - Main Member",Table2[[#This Row],[Benefit Name]]="My Value Plus Life - Spouse"),0,
IFERROR(VLOOKUP($G598,INDIRECT($O598),$P598,FALSE),0))</f>
        <v>0</v>
      </c>
      <c r="R598" s="288">
        <f ca="1">IF(OR(Table2[[#This Row],[Benefit Name]]="My Value Plus Life - Main Member",Table2[[#This Row],[Benefit Name]]="My Value Plus Life - Spouse"),0,
IFERROR(VLOOKUP($G598,INDIRECT($O598),$P598+1,FALSE),0))</f>
        <v>0</v>
      </c>
      <c r="S598" s="289">
        <f t="shared" ca="1" si="66"/>
        <v>0</v>
      </c>
      <c r="T598" s="284" t="str">
        <f>IF(Table13[[#This Row],[Premium Waiver]]="","None",Table13[[#This Row],[Premium Waiver]])</f>
        <v>None</v>
      </c>
      <c r="U598" s="284">
        <f>Table13[[#This Row],[VAPs Options]]</f>
        <v>0</v>
      </c>
      <c r="V598" s="284">
        <f>Table13[[#This Row],[Annual Increase Option]]</f>
        <v>0</v>
      </c>
      <c r="W598" s="290">
        <f>Table13[[#This Row],[Life Cover Amount]]</f>
        <v>0</v>
      </c>
      <c r="X598" s="290">
        <f>Table13[[#This Row],[Funeral Cover Amount]]</f>
        <v>0</v>
      </c>
      <c r="Y59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9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98" s="301">
        <f t="shared" ca="1" si="67"/>
        <v>0</v>
      </c>
      <c r="AB598" s="298"/>
      <c r="AC598" s="326" t="str">
        <f>IF(Table2[[#This Row],[Member Type]]="Main Member",Lookups!$C$13,
IF(Table2[[#This Row],[Member Type]]="Spouse",_xlfn.XLOOKUP(B598,Table2[Main Member Link ID],Table2[Product Option],0),
IF(AND(Table2[[#This Row],[Member Type]]="Child",_xlfn.XLOOKUP(B598,Table2[Main Member Link ID],Table2[Product Option],0)&lt;&gt;"My Value Plus Life"),Lookups!$C$24,
IF(AND(OR(Table2[[#This Row],[Member Type]]="Parent",Table2[[#This Row],[Member Type]]="Extended"),_xlfn.XLOOKUP(B598,Table2[Main Member Link ID],Table2[Product Option],0)&lt;&gt;"My Value Plus Life"),Lookups!$C$26,""))))</f>
        <v/>
      </c>
      <c r="AD598" s="326" t="str">
        <f>IF(Table2[[#This Row],[Member Type]]="Main Member",Lookups!$C$14,"")</f>
        <v/>
      </c>
      <c r="AE59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Funeral",_xlfn.XLOOKUP(B598,Table2[Main Member Link ID],Table2[Benefit Name],0)=Lookups!$D$14),"",
IF(AND(Table2[[#This Row],[Member Type]]="Spouse",Table2[[#This Row],[Product Option]]="My Value Plus Life &amp; Funeral",_xlfn.XLOOKUP(B597,Table2[Main Member Link ID],Table2[Benefit Name],0)=Lookups!$D$15),Lookups!$D$20,
IF(AND(Table2[[#This Row],[Member Type]]="Spouse",Table2[[#This Row],[Product Option]]="My Value Plus Life &amp; Funeral",_xlfn.XLOOKUP(B597,Table2[Main Member Link ID],Table2[Benefit Name],0)=Lookups!$D$16),"",
IF(AND(Table2[[#This Row],[Member Type]]="Spouse",Table2[[#This Row],[Product Option]]="My Value Plus Life &amp; Funeral",_xlfn.XLOOKUP(B597,Table2[Main Member Link ID],Table2[Benefit Name],0)=Lookups!$D$17),Lookups!$D$21,
IF(AND(Table2[[#This Row],[Member Type]]="Child",Table2[[#This Row],[Product Option]]="My Value Plus Life &amp; Funeral",_xlfn.XLOOKUP(B598,Table2[Main Member Link ID],Table2[Benefit Name],0)=Lookups!$D$14),"",
IF(AND(Table2[[#This Row],[Member Type]]="Child",Table2[[#This Row],[Product Option]]="My Value Plus Life &amp; Funeral",_xlfn.XLOOKUP(B598,Table2[Main Member Link ID],Table2[Benefit Name],0)=Lookups!$D$15),"",
IF(AND(Table2[[#This Row],[Member Type]]="Child",Table2[[#This Row],[Product Option]]="My Value Plus Life &amp; Funeral",_xlfn.XLOOKUP(B598,Table2[Main Member Link ID],Table2[Benefit Name],0)=Lookups!$D$16),Lookups!$D$24,
IF(AND(Table2[[#This Row],[Member Type]]="Child",Table2[[#This Row],[Product Option]]="My Value Plus Life &amp; Funeral",_xlfn.XLOOKUP(B598,Table2[Main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Funeral",_xlfn.XLOOKUP(B598,Table2[Main Member Link ID],Table2[Benefit Name],0)&lt;&gt;Lookups!$D$14),
IF(_xlfn.XLOOKUP(B598,Table2[Main Member Link ID],Table2[Benefit Name],0)=0,"",_xlfn.XLOOKUP(B598,Table2[Main Member Link ID],Table2[Benefit Name],0)),"")))))))))))))))</f>
        <v/>
      </c>
      <c r="AF598" s="327" t="str">
        <f>IF(AND(Table2[[#This Row],[Member Type]]="Main Member",Table2[[#This Row],[Product Option]]="My Value Plus Life &amp; Funeral"),Lookups!$D$15,
IF(AND(Table2[[#This Row],[Member Type]]="Spouse",Table2[[#This Row],[Product Option]]="My Value Plus Life &amp; Funeral",_xlfn.XLOOKUP(B598,Table2[Main Member Link ID],Table2[Benefit Name],0)=Lookups!$D$14),"",
IF(AND(Table2[[#This Row],[Member Type]]="Spouse",Table2[[#This Row],[Product Option]]="My Value Plus Life &amp; Funeral",_xlfn.XLOOKUP(B597,Table2[Main Member Link ID],Table2[Benefit Name],0)=Lookups!$D$16),"",
IF(AND(Table2[[#This Row],[Member Type]]="Spouse",Table2[[#This Row],[Product Option]]="My Value Plus Life &amp; Funeral",_xlfn.XLOOKUP(B597,Table2[Main Member Link ID],Table2[Benefit Name],0)=Lookups!$D$15),"",
IF(AND(Table2[[#This Row],[Member Type]]="Spouse",Table2[[#This Row],[Product Option]]="My Value Plus Life &amp; Funeral",_xlfn.XLOOKUP(B597,Table2[Main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Funeral",_xlfn.XLOOKUP(B598,Table2[Main Member Link ID],Table2[Benefit Name],0)&lt;&gt;Lookups!$D$15),
IF(_xlfn.XLOOKUP(B598,Table2[Main Member Link ID],Table2[Benefit Name],0)=0,"",_xlfn.XLOOKUP(B598,Table2[Main Member Link ID],Table2[Benefit Name],0)),"")
))))))</f>
        <v/>
      </c>
      <c r="AG598" s="327" t="str">
        <f>IF(AND(Table2[[#This Row],[Member Type]]="Main Member",Table2[[#This Row],[Product Option]]="My Value Plus Life &amp; Funeral"),Lookups!$D$16,
IF(AND(Table2[[#This Row],[Member Type]]="Spouse",Table2[[#This Row],[Product Option]]="My Value Plus Life &amp; Funeral",_xlfn.XLOOKUP(B598,Table2[Main Member Link ID],Table2[Benefit Name],0)=Lookups!$D$14),"",
IF(AND(Table2[[#This Row],[Member Type]]="Spouse",Table2[[#This Row],[Product Option]]="My Value Plus Life &amp; Funeral",_xlfn.XLOOKUP(B597,Table2[Main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Funeral",_xlfn.XLOOKUP(B598,Table2[Main Member Link ID],Table2[Benefit Name],0)&lt;&gt;Lookups!$D$16),
IF(_xlfn.XLOOKUP(B598,Table2[Main Member Link ID],Table2[Benefit Name],0)=0,"",_xlfn.XLOOKUP(B598,Table2[Main Member Link ID],Table2[Benefit Name],0)),"")
))))</f>
        <v/>
      </c>
      <c r="AH598" s="327" t="str">
        <f>IF(AND(Table2[[#This Row],[Member Type]]="Main Member",Table2[[#This Row],[Product Option]]="My Value Plus Life &amp; Funeral"),Lookups!$D$17,
IF(AND(Table2[[#This Row],[Member Type]]="Spouse",Table2[[#This Row],[Product Option]]="My Value Plus Life &amp; Funeral",_xlfn.XLOOKUP(B598,Table2[Main Member Link ID],Table2[Benefit Name],0)=Lookups!$D$14),"",
IF(AND(Table2[[#This Row],[Member Type]]="Spouse",Table2[[#This Row],[Product Option]]="My Value Plus Life &amp; Funeral",_xlfn.XLOOKUP(B597,Table2[Main Member Link ID],Table2[Benefit Name],0)=Lookups!$D$16),"",
IF(AND(Table2[[#This Row],[Member Type]]="Child",Table2[[#This Row],[Product Option]]="My Value Plus Life &amp; Funeral"),"",
IF(AND(Table2[[#This Row],[Member Type]]="Child",Table2[[#This Row],[Product Option]]="My Value Plus Life &amp; Funeral",_xlfn.XLOOKUP(B598,Table2[Main Member Link ID],Table2[Benefit Name],0)=Lookups!$D$15),"",
IF(AND(OR(Table2[[#This Row],[Member Type]]="Spouse",Table2[[#This Row],[Member Type]]="Child"),Table2[[#This Row],[Product Option]]="My Value Plus Life &amp; Funeral",_xlfn.XLOOKUP(B598,Table2[Main Member Link ID],Table2[Benefit Name],0)&lt;&gt;Lookups!$D$17),
IF(_xlfn.XLOOKUP(B598,Table2[Main Member Link ID],Table2[Benefit Name],0)=0,"",_xlfn.XLOOKUP(B598,Table2[Main Member Link ID],Table2[Benefit Name],0)),""))))))</f>
        <v/>
      </c>
      <c r="AI598" s="328" t="str">
        <f>IF(AND(Table2[[#This Row],[Member Type]]="Main Member",Table2[[#This Row],[Table Lookup for Life Cover]]="MM_LIFE",Table2[[#This Row],[Age Next Birthday]]&lt;56),1,
IF(AND(Table2[[#This Row],[Member Type]]="Main Member",Table2[[#This Row],[Table Lookup for Life Cover]]="MM_LIFE",Table2[[#This Row],[Age Next Birthday]]&gt;=56),2,
""))</f>
        <v/>
      </c>
      <c r="AJ598" s="328">
        <f>IF(OR(Table2[[#This Row],[Member Type]]="Main Member",Table2[[#This Row],[Main Member Link ID]]=B597),1,0)</f>
        <v>1</v>
      </c>
      <c r="AK598" s="328">
        <f>IF(Table2[[#This Row],[Member Type]]=0,0,
IF(OR(Table2[[#This Row],[Member Type]]="Main Member",Table2[[#This Row],[Main Member Link ID]]&lt;&gt;B598),COUNTIFS(B:B,Table2[[#This Row],[Main Member Link ID]]),
COUNTIFS(B:B,Table2[[#This Row],[Main Member Link ID]],A:A,Table2[[#This Row],[Member Type]])))</f>
        <v>0</v>
      </c>
    </row>
    <row r="599" spans="1:37" x14ac:dyDescent="0.3">
      <c r="A599" s="284">
        <f>Table13[[#This Row],[Member Type]]</f>
        <v>0</v>
      </c>
      <c r="B599" s="284">
        <f>Table13[[#This Row],[Main Member Link ID]]</f>
        <v>0</v>
      </c>
      <c r="C599" s="284">
        <f>Table13[[#This Row],[ID Number]]</f>
        <v>0</v>
      </c>
      <c r="D599" s="285">
        <f>Table13[[#This Row],[Date Of Birth]]</f>
        <v>0</v>
      </c>
      <c r="E599" s="285">
        <f>Table13[[#This Row],[Commencement Date]]</f>
        <v>0</v>
      </c>
      <c r="F599" s="284">
        <f t="shared" si="63"/>
        <v>1</v>
      </c>
      <c r="G599" s="284">
        <f t="shared" si="64"/>
        <v>25</v>
      </c>
      <c r="H599" s="286">
        <f>Table13[[#This Row],[Product Option]]</f>
        <v>0</v>
      </c>
      <c r="I599" s="284">
        <f>IF(AND($A599="Main Member",Table2[[#This Row],[Product Option]]="My Value Plus Life"),"MM_LIFE",
IF(AND($A599="Spouse",Table2[[#This Row],[Product Option]]="My Value Plus Life"),"SP_LIFE",
IF(AND($A599="Main Member",Table2[[#This Row],[Product Option]]="My Value Plus Life &amp; Funeral"),"MM_LIFE",
IF(AND($A599="Spouse",Table2[[#This Row],[Product Option]]="My Value Plus Life &amp; Funeral"),_xlfn.XLOOKUP(Table2[[#This Row],[Benefit Name]],Lookups!$D$18:$D$23,Lookups!$E$18:$E$23,0),
0))))</f>
        <v>0</v>
      </c>
      <c r="J599" s="284">
        <f>IF($I599="","",
IF($I599="MM_LIFE",INDEX('Quotation Tool'!$S$54:$V$60,MATCH($T599,'Quotation Tool'!$S$54:$S$60,0),4),
IF($I599="SP_LIFE",_xlfn.XLOOKUP(B598,$B:$B,$J:$J,0),0)))</f>
        <v>0</v>
      </c>
      <c r="K599" s="287">
        <f t="shared" ca="1" si="68"/>
        <v>0</v>
      </c>
      <c r="L599" s="288">
        <f t="shared" ca="1" si="69"/>
        <v>0</v>
      </c>
      <c r="M599" s="289">
        <f t="shared" ca="1" si="65"/>
        <v>0</v>
      </c>
      <c r="N599" s="286">
        <f>Table13[[#This Row],[Benefit Option]]</f>
        <v>0</v>
      </c>
      <c r="O599" s="284">
        <f>IF(OR(Table2[[#This Row],[Member Type]]="Spouse",Table2[[#This Row],[Member Type]]="Child"),0,
IF(_xlfn.XLOOKUP($N599,Lookups!$D$13:$D$27,Lookups!$F$13:$F$27,0)=Table2[[#This Row],[Table Lookup for Life Cover]],0,
_xlfn.XLOOKUP($N599,Lookups!$D$13:$D$27,Lookups!$F$13:$F$27,0)))</f>
        <v>0</v>
      </c>
      <c r="P599" s="284">
        <f>IF(Table2[[#This Row],[Table Lookup for Funeral]]=0,0,IFERROR(INDEX('Quotation Tool'!$S$54:$V$60,MATCH($T599,'Quotation Tool'!$S$54:$S$60,0),3),0))</f>
        <v>0</v>
      </c>
      <c r="Q599" s="288">
        <f ca="1">IF(OR(Table2[[#This Row],[Benefit Name]]="My Value Plus Life - Main Member",Table2[[#This Row],[Benefit Name]]="My Value Plus Life - Spouse"),0,
IFERROR(VLOOKUP($G599,INDIRECT($O599),$P599,FALSE),0))</f>
        <v>0</v>
      </c>
      <c r="R599" s="288">
        <f ca="1">IF(OR(Table2[[#This Row],[Benefit Name]]="My Value Plus Life - Main Member",Table2[[#This Row],[Benefit Name]]="My Value Plus Life - Spouse"),0,
IFERROR(VLOOKUP($G599,INDIRECT($O599),$P599+1,FALSE),0))</f>
        <v>0</v>
      </c>
      <c r="S599" s="289">
        <f t="shared" ca="1" si="66"/>
        <v>0</v>
      </c>
      <c r="T599" s="284" t="str">
        <f>IF(Table13[[#This Row],[Premium Waiver]]="","None",Table13[[#This Row],[Premium Waiver]])</f>
        <v>None</v>
      </c>
      <c r="U599" s="284">
        <f>Table13[[#This Row],[VAPs Options]]</f>
        <v>0</v>
      </c>
      <c r="V599" s="284">
        <f>Table13[[#This Row],[Annual Increase Option]]</f>
        <v>0</v>
      </c>
      <c r="W599" s="290">
        <f>Table13[[#This Row],[Life Cover Amount]]</f>
        <v>0</v>
      </c>
      <c r="X599" s="290">
        <f>Table13[[#This Row],[Funeral Cover Amount]]</f>
        <v>0</v>
      </c>
      <c r="Y59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59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599" s="301">
        <f t="shared" ca="1" si="67"/>
        <v>0</v>
      </c>
      <c r="AB599" s="298"/>
      <c r="AC599" s="326" t="str">
        <f>IF(Table2[[#This Row],[Member Type]]="Main Member",Lookups!$C$13,
IF(Table2[[#This Row],[Member Type]]="Spouse",_xlfn.XLOOKUP(B599,Table2[Main Member Link ID],Table2[Product Option],0),
IF(AND(Table2[[#This Row],[Member Type]]="Child",_xlfn.XLOOKUP(B599,Table2[Main Member Link ID],Table2[Product Option],0)&lt;&gt;"My Value Plus Life"),Lookups!$C$24,
IF(AND(OR(Table2[[#This Row],[Member Type]]="Parent",Table2[[#This Row],[Member Type]]="Extended"),_xlfn.XLOOKUP(B599,Table2[Main Member Link ID],Table2[Product Option],0)&lt;&gt;"My Value Plus Life"),Lookups!$C$26,""))))</f>
        <v/>
      </c>
      <c r="AD599" s="326" t="str">
        <f>IF(Table2[[#This Row],[Member Type]]="Main Member",Lookups!$C$14,"")</f>
        <v/>
      </c>
      <c r="AE59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Funeral",_xlfn.XLOOKUP(B599,Table2[Main Member Link ID],Table2[Benefit Name],0)=Lookups!$D$14),"",
IF(AND(Table2[[#This Row],[Member Type]]="Spouse",Table2[[#This Row],[Product Option]]="My Value Plus Life &amp; Funeral",_xlfn.XLOOKUP(B598,Table2[Main Member Link ID],Table2[Benefit Name],0)=Lookups!$D$15),Lookups!$D$20,
IF(AND(Table2[[#This Row],[Member Type]]="Spouse",Table2[[#This Row],[Product Option]]="My Value Plus Life &amp; Funeral",_xlfn.XLOOKUP(B598,Table2[Main Member Link ID],Table2[Benefit Name],0)=Lookups!$D$16),"",
IF(AND(Table2[[#This Row],[Member Type]]="Spouse",Table2[[#This Row],[Product Option]]="My Value Plus Life &amp; Funeral",_xlfn.XLOOKUP(B598,Table2[Main Member Link ID],Table2[Benefit Name],0)=Lookups!$D$17),Lookups!$D$21,
IF(AND(Table2[[#This Row],[Member Type]]="Child",Table2[[#This Row],[Product Option]]="My Value Plus Life &amp; Funeral",_xlfn.XLOOKUP(B599,Table2[Main Member Link ID],Table2[Benefit Name],0)=Lookups!$D$14),"",
IF(AND(Table2[[#This Row],[Member Type]]="Child",Table2[[#This Row],[Product Option]]="My Value Plus Life &amp; Funeral",_xlfn.XLOOKUP(B599,Table2[Main Member Link ID],Table2[Benefit Name],0)=Lookups!$D$15),"",
IF(AND(Table2[[#This Row],[Member Type]]="Child",Table2[[#This Row],[Product Option]]="My Value Plus Life &amp; Funeral",_xlfn.XLOOKUP(B599,Table2[Main Member Link ID],Table2[Benefit Name],0)=Lookups!$D$16),Lookups!$D$24,
IF(AND(Table2[[#This Row],[Member Type]]="Child",Table2[[#This Row],[Product Option]]="My Value Plus Life &amp; Funeral",_xlfn.XLOOKUP(B599,Table2[Main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Funeral",_xlfn.XLOOKUP(B599,Table2[Main Member Link ID],Table2[Benefit Name],0)&lt;&gt;Lookups!$D$14),
IF(_xlfn.XLOOKUP(B599,Table2[Main Member Link ID],Table2[Benefit Name],0)=0,"",_xlfn.XLOOKUP(B599,Table2[Main Member Link ID],Table2[Benefit Name],0)),"")))))))))))))))</f>
        <v/>
      </c>
      <c r="AF599" s="327" t="str">
        <f>IF(AND(Table2[[#This Row],[Member Type]]="Main Member",Table2[[#This Row],[Product Option]]="My Value Plus Life &amp; Funeral"),Lookups!$D$15,
IF(AND(Table2[[#This Row],[Member Type]]="Spouse",Table2[[#This Row],[Product Option]]="My Value Plus Life &amp; Funeral",_xlfn.XLOOKUP(B599,Table2[Main Member Link ID],Table2[Benefit Name],0)=Lookups!$D$14),"",
IF(AND(Table2[[#This Row],[Member Type]]="Spouse",Table2[[#This Row],[Product Option]]="My Value Plus Life &amp; Funeral",_xlfn.XLOOKUP(B598,Table2[Main Member Link ID],Table2[Benefit Name],0)=Lookups!$D$16),"",
IF(AND(Table2[[#This Row],[Member Type]]="Spouse",Table2[[#This Row],[Product Option]]="My Value Plus Life &amp; Funeral",_xlfn.XLOOKUP(B598,Table2[Main Member Link ID],Table2[Benefit Name],0)=Lookups!$D$15),"",
IF(AND(Table2[[#This Row],[Member Type]]="Spouse",Table2[[#This Row],[Product Option]]="My Value Plus Life &amp; Funeral",_xlfn.XLOOKUP(B598,Table2[Main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Funeral",_xlfn.XLOOKUP(B599,Table2[Main Member Link ID],Table2[Benefit Name],0)&lt;&gt;Lookups!$D$15),
IF(_xlfn.XLOOKUP(B599,Table2[Main Member Link ID],Table2[Benefit Name],0)=0,"",_xlfn.XLOOKUP(B599,Table2[Main Member Link ID],Table2[Benefit Name],0)),"")
))))))</f>
        <v/>
      </c>
      <c r="AG599" s="327" t="str">
        <f>IF(AND(Table2[[#This Row],[Member Type]]="Main Member",Table2[[#This Row],[Product Option]]="My Value Plus Life &amp; Funeral"),Lookups!$D$16,
IF(AND(Table2[[#This Row],[Member Type]]="Spouse",Table2[[#This Row],[Product Option]]="My Value Plus Life &amp; Funeral",_xlfn.XLOOKUP(B599,Table2[Main Member Link ID],Table2[Benefit Name],0)=Lookups!$D$14),"",
IF(AND(Table2[[#This Row],[Member Type]]="Spouse",Table2[[#This Row],[Product Option]]="My Value Plus Life &amp; Funeral",_xlfn.XLOOKUP(B598,Table2[Main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Funeral",_xlfn.XLOOKUP(B599,Table2[Main Member Link ID],Table2[Benefit Name],0)&lt;&gt;Lookups!$D$16),
IF(_xlfn.XLOOKUP(B599,Table2[Main Member Link ID],Table2[Benefit Name],0)=0,"",_xlfn.XLOOKUP(B599,Table2[Main Member Link ID],Table2[Benefit Name],0)),"")
))))</f>
        <v/>
      </c>
      <c r="AH599" s="327" t="str">
        <f>IF(AND(Table2[[#This Row],[Member Type]]="Main Member",Table2[[#This Row],[Product Option]]="My Value Plus Life &amp; Funeral"),Lookups!$D$17,
IF(AND(Table2[[#This Row],[Member Type]]="Spouse",Table2[[#This Row],[Product Option]]="My Value Plus Life &amp; Funeral",_xlfn.XLOOKUP(B599,Table2[Main Member Link ID],Table2[Benefit Name],0)=Lookups!$D$14),"",
IF(AND(Table2[[#This Row],[Member Type]]="Spouse",Table2[[#This Row],[Product Option]]="My Value Plus Life &amp; Funeral",_xlfn.XLOOKUP(B598,Table2[Main Member Link ID],Table2[Benefit Name],0)=Lookups!$D$16),"",
IF(AND(Table2[[#This Row],[Member Type]]="Child",Table2[[#This Row],[Product Option]]="My Value Plus Life &amp; Funeral"),"",
IF(AND(Table2[[#This Row],[Member Type]]="Child",Table2[[#This Row],[Product Option]]="My Value Plus Life &amp; Funeral",_xlfn.XLOOKUP(B599,Table2[Main Member Link ID],Table2[Benefit Name],0)=Lookups!$D$15),"",
IF(AND(OR(Table2[[#This Row],[Member Type]]="Spouse",Table2[[#This Row],[Member Type]]="Child"),Table2[[#This Row],[Product Option]]="My Value Plus Life &amp; Funeral",_xlfn.XLOOKUP(B599,Table2[Main Member Link ID],Table2[Benefit Name],0)&lt;&gt;Lookups!$D$17),
IF(_xlfn.XLOOKUP(B599,Table2[Main Member Link ID],Table2[Benefit Name],0)=0,"",_xlfn.XLOOKUP(B599,Table2[Main Member Link ID],Table2[Benefit Name],0)),""))))))</f>
        <v/>
      </c>
      <c r="AI599" s="328" t="str">
        <f>IF(AND(Table2[[#This Row],[Member Type]]="Main Member",Table2[[#This Row],[Table Lookup for Life Cover]]="MM_LIFE",Table2[[#This Row],[Age Next Birthday]]&lt;56),1,
IF(AND(Table2[[#This Row],[Member Type]]="Main Member",Table2[[#This Row],[Table Lookup for Life Cover]]="MM_LIFE",Table2[[#This Row],[Age Next Birthday]]&gt;=56),2,
""))</f>
        <v/>
      </c>
      <c r="AJ599" s="328">
        <f>IF(OR(Table2[[#This Row],[Member Type]]="Main Member",Table2[[#This Row],[Main Member Link ID]]=B598),1,0)</f>
        <v>1</v>
      </c>
      <c r="AK599" s="328">
        <f>IF(Table2[[#This Row],[Member Type]]=0,0,
IF(OR(Table2[[#This Row],[Member Type]]="Main Member",Table2[[#This Row],[Main Member Link ID]]&lt;&gt;B599),COUNTIFS(B:B,Table2[[#This Row],[Main Member Link ID]]),
COUNTIFS(B:B,Table2[[#This Row],[Main Member Link ID]],A:A,Table2[[#This Row],[Member Type]])))</f>
        <v>0</v>
      </c>
    </row>
    <row r="600" spans="1:37" x14ac:dyDescent="0.3">
      <c r="A600" s="284">
        <f>Table13[[#This Row],[Member Type]]</f>
        <v>0</v>
      </c>
      <c r="B600" s="284">
        <f>Table13[[#This Row],[Main Member Link ID]]</f>
        <v>0</v>
      </c>
      <c r="C600" s="284">
        <f>Table13[[#This Row],[ID Number]]</f>
        <v>0</v>
      </c>
      <c r="D600" s="285">
        <f>Table13[[#This Row],[Date Of Birth]]</f>
        <v>0</v>
      </c>
      <c r="E600" s="285">
        <f>Table13[[#This Row],[Commencement Date]]</f>
        <v>0</v>
      </c>
      <c r="F600" s="284">
        <f t="shared" si="63"/>
        <v>1</v>
      </c>
      <c r="G600" s="284">
        <f t="shared" si="64"/>
        <v>25</v>
      </c>
      <c r="H600" s="286">
        <f>Table13[[#This Row],[Product Option]]</f>
        <v>0</v>
      </c>
      <c r="I600" s="284">
        <f>IF(AND($A600="Main Member",Table2[[#This Row],[Product Option]]="My Value Plus Life"),"MM_LIFE",
IF(AND($A600="Spouse",Table2[[#This Row],[Product Option]]="My Value Plus Life"),"SP_LIFE",
IF(AND($A600="Main Member",Table2[[#This Row],[Product Option]]="My Value Plus Life &amp; Funeral"),"MM_LIFE",
IF(AND($A600="Spouse",Table2[[#This Row],[Product Option]]="My Value Plus Life &amp; Funeral"),_xlfn.XLOOKUP(Table2[[#This Row],[Benefit Name]],Lookups!$D$18:$D$23,Lookups!$E$18:$E$23,0),
0))))</f>
        <v>0</v>
      </c>
      <c r="J600" s="284">
        <f>IF($I600="","",
IF($I600="MM_LIFE",INDEX('Quotation Tool'!$S$54:$V$60,MATCH($T600,'Quotation Tool'!$S$54:$S$60,0),4),
IF($I600="SP_LIFE",_xlfn.XLOOKUP(B599,$B:$B,$J:$J,0),0)))</f>
        <v>0</v>
      </c>
      <c r="K600" s="287">
        <f t="shared" ca="1" si="68"/>
        <v>0</v>
      </c>
      <c r="L600" s="288">
        <f t="shared" ca="1" si="69"/>
        <v>0</v>
      </c>
      <c r="M600" s="289">
        <f t="shared" ca="1" si="65"/>
        <v>0</v>
      </c>
      <c r="N600" s="286">
        <f>Table13[[#This Row],[Benefit Option]]</f>
        <v>0</v>
      </c>
      <c r="O600" s="284">
        <f>IF(OR(Table2[[#This Row],[Member Type]]="Spouse",Table2[[#This Row],[Member Type]]="Child"),0,
IF(_xlfn.XLOOKUP($N600,Lookups!$D$13:$D$27,Lookups!$F$13:$F$27,0)=Table2[[#This Row],[Table Lookup for Life Cover]],0,
_xlfn.XLOOKUP($N600,Lookups!$D$13:$D$27,Lookups!$F$13:$F$27,0)))</f>
        <v>0</v>
      </c>
      <c r="P600" s="284">
        <f>IF(Table2[[#This Row],[Table Lookup for Funeral]]=0,0,IFERROR(INDEX('Quotation Tool'!$S$54:$V$60,MATCH($T600,'Quotation Tool'!$S$54:$S$60,0),3),0))</f>
        <v>0</v>
      </c>
      <c r="Q600" s="288">
        <f ca="1">IF(OR(Table2[[#This Row],[Benefit Name]]="My Value Plus Life - Main Member",Table2[[#This Row],[Benefit Name]]="My Value Plus Life - Spouse"),0,
IFERROR(VLOOKUP($G600,INDIRECT($O600),$P600,FALSE),0))</f>
        <v>0</v>
      </c>
      <c r="R600" s="288">
        <f ca="1">IF(OR(Table2[[#This Row],[Benefit Name]]="My Value Plus Life - Main Member",Table2[[#This Row],[Benefit Name]]="My Value Plus Life - Spouse"),0,
IFERROR(VLOOKUP($G600,INDIRECT($O600),$P600+1,FALSE),0))</f>
        <v>0</v>
      </c>
      <c r="S600" s="289">
        <f t="shared" ca="1" si="66"/>
        <v>0</v>
      </c>
      <c r="T600" s="284" t="str">
        <f>IF(Table13[[#This Row],[Premium Waiver]]="","None",Table13[[#This Row],[Premium Waiver]])</f>
        <v>None</v>
      </c>
      <c r="U600" s="284">
        <f>Table13[[#This Row],[VAPs Options]]</f>
        <v>0</v>
      </c>
      <c r="V600" s="284">
        <f>Table13[[#This Row],[Annual Increase Option]]</f>
        <v>0</v>
      </c>
      <c r="W600" s="290">
        <f>Table13[[#This Row],[Life Cover Amount]]</f>
        <v>0</v>
      </c>
      <c r="X600" s="290">
        <f>Table13[[#This Row],[Funeral Cover Amount]]</f>
        <v>0</v>
      </c>
      <c r="Y60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0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00" s="301">
        <f t="shared" ca="1" si="67"/>
        <v>0</v>
      </c>
      <c r="AB600" s="298"/>
      <c r="AC600" s="326" t="str">
        <f>IF(Table2[[#This Row],[Member Type]]="Main Member",Lookups!$C$13,
IF(Table2[[#This Row],[Member Type]]="Spouse",_xlfn.XLOOKUP(B600,Table2[Main Member Link ID],Table2[Product Option],0),
IF(AND(Table2[[#This Row],[Member Type]]="Child",_xlfn.XLOOKUP(B600,Table2[Main Member Link ID],Table2[Product Option],0)&lt;&gt;"My Value Plus Life"),Lookups!$C$24,
IF(AND(OR(Table2[[#This Row],[Member Type]]="Parent",Table2[[#This Row],[Member Type]]="Extended"),_xlfn.XLOOKUP(B600,Table2[Main Member Link ID],Table2[Product Option],0)&lt;&gt;"My Value Plus Life"),Lookups!$C$26,""))))</f>
        <v/>
      </c>
      <c r="AD600" s="326" t="str">
        <f>IF(Table2[[#This Row],[Member Type]]="Main Member",Lookups!$C$14,"")</f>
        <v/>
      </c>
      <c r="AE60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Funeral",_xlfn.XLOOKUP(B600,Table2[Main Member Link ID],Table2[Benefit Name],0)=Lookups!$D$14),"",
IF(AND(Table2[[#This Row],[Member Type]]="Spouse",Table2[[#This Row],[Product Option]]="My Value Plus Life &amp; Funeral",_xlfn.XLOOKUP(B599,Table2[Main Member Link ID],Table2[Benefit Name],0)=Lookups!$D$15),Lookups!$D$20,
IF(AND(Table2[[#This Row],[Member Type]]="Spouse",Table2[[#This Row],[Product Option]]="My Value Plus Life &amp; Funeral",_xlfn.XLOOKUP(B599,Table2[Main Member Link ID],Table2[Benefit Name],0)=Lookups!$D$16),"",
IF(AND(Table2[[#This Row],[Member Type]]="Spouse",Table2[[#This Row],[Product Option]]="My Value Plus Life &amp; Funeral",_xlfn.XLOOKUP(B599,Table2[Main Member Link ID],Table2[Benefit Name],0)=Lookups!$D$17),Lookups!$D$21,
IF(AND(Table2[[#This Row],[Member Type]]="Child",Table2[[#This Row],[Product Option]]="My Value Plus Life &amp; Funeral",_xlfn.XLOOKUP(B600,Table2[Main Member Link ID],Table2[Benefit Name],0)=Lookups!$D$14),"",
IF(AND(Table2[[#This Row],[Member Type]]="Child",Table2[[#This Row],[Product Option]]="My Value Plus Life &amp; Funeral",_xlfn.XLOOKUP(B600,Table2[Main Member Link ID],Table2[Benefit Name],0)=Lookups!$D$15),"",
IF(AND(Table2[[#This Row],[Member Type]]="Child",Table2[[#This Row],[Product Option]]="My Value Plus Life &amp; Funeral",_xlfn.XLOOKUP(B600,Table2[Main Member Link ID],Table2[Benefit Name],0)=Lookups!$D$16),Lookups!$D$24,
IF(AND(Table2[[#This Row],[Member Type]]="Child",Table2[[#This Row],[Product Option]]="My Value Plus Life &amp; Funeral",_xlfn.XLOOKUP(B600,Table2[Main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Funeral",_xlfn.XLOOKUP(B600,Table2[Main Member Link ID],Table2[Benefit Name],0)&lt;&gt;Lookups!$D$14),
IF(_xlfn.XLOOKUP(B600,Table2[Main Member Link ID],Table2[Benefit Name],0)=0,"",_xlfn.XLOOKUP(B600,Table2[Main Member Link ID],Table2[Benefit Name],0)),"")))))))))))))))</f>
        <v/>
      </c>
      <c r="AF600" s="327" t="str">
        <f>IF(AND(Table2[[#This Row],[Member Type]]="Main Member",Table2[[#This Row],[Product Option]]="My Value Plus Life &amp; Funeral"),Lookups!$D$15,
IF(AND(Table2[[#This Row],[Member Type]]="Spouse",Table2[[#This Row],[Product Option]]="My Value Plus Life &amp; Funeral",_xlfn.XLOOKUP(B600,Table2[Main Member Link ID],Table2[Benefit Name],0)=Lookups!$D$14),"",
IF(AND(Table2[[#This Row],[Member Type]]="Spouse",Table2[[#This Row],[Product Option]]="My Value Plus Life &amp; Funeral",_xlfn.XLOOKUP(B599,Table2[Main Member Link ID],Table2[Benefit Name],0)=Lookups!$D$16),"",
IF(AND(Table2[[#This Row],[Member Type]]="Spouse",Table2[[#This Row],[Product Option]]="My Value Plus Life &amp; Funeral",_xlfn.XLOOKUP(B599,Table2[Main Member Link ID],Table2[Benefit Name],0)=Lookups!$D$15),"",
IF(AND(Table2[[#This Row],[Member Type]]="Spouse",Table2[[#This Row],[Product Option]]="My Value Plus Life &amp; Funeral",_xlfn.XLOOKUP(B599,Table2[Main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Funeral",_xlfn.XLOOKUP(B600,Table2[Main Member Link ID],Table2[Benefit Name],0)&lt;&gt;Lookups!$D$15),
IF(_xlfn.XLOOKUP(B600,Table2[Main Member Link ID],Table2[Benefit Name],0)=0,"",_xlfn.XLOOKUP(B600,Table2[Main Member Link ID],Table2[Benefit Name],0)),"")
))))))</f>
        <v/>
      </c>
      <c r="AG600" s="327" t="str">
        <f>IF(AND(Table2[[#This Row],[Member Type]]="Main Member",Table2[[#This Row],[Product Option]]="My Value Plus Life &amp; Funeral"),Lookups!$D$16,
IF(AND(Table2[[#This Row],[Member Type]]="Spouse",Table2[[#This Row],[Product Option]]="My Value Plus Life &amp; Funeral",_xlfn.XLOOKUP(B600,Table2[Main Member Link ID],Table2[Benefit Name],0)=Lookups!$D$14),"",
IF(AND(Table2[[#This Row],[Member Type]]="Spouse",Table2[[#This Row],[Product Option]]="My Value Plus Life &amp; Funeral",_xlfn.XLOOKUP(B599,Table2[Main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Funeral",_xlfn.XLOOKUP(B600,Table2[Main Member Link ID],Table2[Benefit Name],0)&lt;&gt;Lookups!$D$16),
IF(_xlfn.XLOOKUP(B600,Table2[Main Member Link ID],Table2[Benefit Name],0)=0,"",_xlfn.XLOOKUP(B600,Table2[Main Member Link ID],Table2[Benefit Name],0)),"")
))))</f>
        <v/>
      </c>
      <c r="AH600" s="327" t="str">
        <f>IF(AND(Table2[[#This Row],[Member Type]]="Main Member",Table2[[#This Row],[Product Option]]="My Value Plus Life &amp; Funeral"),Lookups!$D$17,
IF(AND(Table2[[#This Row],[Member Type]]="Spouse",Table2[[#This Row],[Product Option]]="My Value Plus Life &amp; Funeral",_xlfn.XLOOKUP(B600,Table2[Main Member Link ID],Table2[Benefit Name],0)=Lookups!$D$14),"",
IF(AND(Table2[[#This Row],[Member Type]]="Spouse",Table2[[#This Row],[Product Option]]="My Value Plus Life &amp; Funeral",_xlfn.XLOOKUP(B599,Table2[Main Member Link ID],Table2[Benefit Name],0)=Lookups!$D$16),"",
IF(AND(Table2[[#This Row],[Member Type]]="Child",Table2[[#This Row],[Product Option]]="My Value Plus Life &amp; Funeral"),"",
IF(AND(Table2[[#This Row],[Member Type]]="Child",Table2[[#This Row],[Product Option]]="My Value Plus Life &amp; Funeral",_xlfn.XLOOKUP(B600,Table2[Main Member Link ID],Table2[Benefit Name],0)=Lookups!$D$15),"",
IF(AND(OR(Table2[[#This Row],[Member Type]]="Spouse",Table2[[#This Row],[Member Type]]="Child"),Table2[[#This Row],[Product Option]]="My Value Plus Life &amp; Funeral",_xlfn.XLOOKUP(B600,Table2[Main Member Link ID],Table2[Benefit Name],0)&lt;&gt;Lookups!$D$17),
IF(_xlfn.XLOOKUP(B600,Table2[Main Member Link ID],Table2[Benefit Name],0)=0,"",_xlfn.XLOOKUP(B600,Table2[Main Member Link ID],Table2[Benefit Name],0)),""))))))</f>
        <v/>
      </c>
      <c r="AI600" s="328" t="str">
        <f>IF(AND(Table2[[#This Row],[Member Type]]="Main Member",Table2[[#This Row],[Table Lookup for Life Cover]]="MM_LIFE",Table2[[#This Row],[Age Next Birthday]]&lt;56),1,
IF(AND(Table2[[#This Row],[Member Type]]="Main Member",Table2[[#This Row],[Table Lookup for Life Cover]]="MM_LIFE",Table2[[#This Row],[Age Next Birthday]]&gt;=56),2,
""))</f>
        <v/>
      </c>
      <c r="AJ600" s="328">
        <f>IF(OR(Table2[[#This Row],[Member Type]]="Main Member",Table2[[#This Row],[Main Member Link ID]]=B599),1,0)</f>
        <v>1</v>
      </c>
      <c r="AK600" s="328">
        <f>IF(Table2[[#This Row],[Member Type]]=0,0,
IF(OR(Table2[[#This Row],[Member Type]]="Main Member",Table2[[#This Row],[Main Member Link ID]]&lt;&gt;B600),COUNTIFS(B:B,Table2[[#This Row],[Main Member Link ID]]),
COUNTIFS(B:B,Table2[[#This Row],[Main Member Link ID]],A:A,Table2[[#This Row],[Member Type]])))</f>
        <v>0</v>
      </c>
    </row>
    <row r="601" spans="1:37" x14ac:dyDescent="0.3">
      <c r="A601" s="284">
        <f>Table13[[#This Row],[Member Type]]</f>
        <v>0</v>
      </c>
      <c r="B601" s="284">
        <f>Table13[[#This Row],[Main Member Link ID]]</f>
        <v>0</v>
      </c>
      <c r="C601" s="284">
        <f>Table13[[#This Row],[ID Number]]</f>
        <v>0</v>
      </c>
      <c r="D601" s="285">
        <f>Table13[[#This Row],[Date Of Birth]]</f>
        <v>0</v>
      </c>
      <c r="E601" s="285">
        <f>Table13[[#This Row],[Commencement Date]]</f>
        <v>0</v>
      </c>
      <c r="F601" s="284">
        <f t="shared" si="63"/>
        <v>1</v>
      </c>
      <c r="G601" s="284">
        <f t="shared" si="64"/>
        <v>25</v>
      </c>
      <c r="H601" s="286">
        <f>Table13[[#This Row],[Product Option]]</f>
        <v>0</v>
      </c>
      <c r="I601" s="284">
        <f>IF(AND($A601="Main Member",Table2[[#This Row],[Product Option]]="My Value Plus Life"),"MM_LIFE",
IF(AND($A601="Spouse",Table2[[#This Row],[Product Option]]="My Value Plus Life"),"SP_LIFE",
IF(AND($A601="Main Member",Table2[[#This Row],[Product Option]]="My Value Plus Life &amp; Funeral"),"MM_LIFE",
IF(AND($A601="Spouse",Table2[[#This Row],[Product Option]]="My Value Plus Life &amp; Funeral"),_xlfn.XLOOKUP(Table2[[#This Row],[Benefit Name]],Lookups!$D$18:$D$23,Lookups!$E$18:$E$23,0),
0))))</f>
        <v>0</v>
      </c>
      <c r="J601" s="284">
        <f>IF($I601="","",
IF($I601="MM_LIFE",INDEX('Quotation Tool'!$S$54:$V$60,MATCH($T601,'Quotation Tool'!$S$54:$S$60,0),4),
IF($I601="SP_LIFE",_xlfn.XLOOKUP(B600,$B:$B,$J:$J,0),0)))</f>
        <v>0</v>
      </c>
      <c r="K601" s="287">
        <f t="shared" ca="1" si="68"/>
        <v>0</v>
      </c>
      <c r="L601" s="288">
        <f t="shared" ca="1" si="69"/>
        <v>0</v>
      </c>
      <c r="M601" s="289">
        <f t="shared" ca="1" si="65"/>
        <v>0</v>
      </c>
      <c r="N601" s="286">
        <f>Table13[[#This Row],[Benefit Option]]</f>
        <v>0</v>
      </c>
      <c r="O601" s="284">
        <f>IF(OR(Table2[[#This Row],[Member Type]]="Spouse",Table2[[#This Row],[Member Type]]="Child"),0,
IF(_xlfn.XLOOKUP($N601,Lookups!$D$13:$D$27,Lookups!$F$13:$F$27,0)=Table2[[#This Row],[Table Lookup for Life Cover]],0,
_xlfn.XLOOKUP($N601,Lookups!$D$13:$D$27,Lookups!$F$13:$F$27,0)))</f>
        <v>0</v>
      </c>
      <c r="P601" s="284">
        <f>IF(Table2[[#This Row],[Table Lookup for Funeral]]=0,0,IFERROR(INDEX('Quotation Tool'!$S$54:$V$60,MATCH($T601,'Quotation Tool'!$S$54:$S$60,0),3),0))</f>
        <v>0</v>
      </c>
      <c r="Q601" s="288">
        <f ca="1">IF(OR(Table2[[#This Row],[Benefit Name]]="My Value Plus Life - Main Member",Table2[[#This Row],[Benefit Name]]="My Value Plus Life - Spouse"),0,
IFERROR(VLOOKUP($G601,INDIRECT($O601),$P601,FALSE),0))</f>
        <v>0</v>
      </c>
      <c r="R601" s="288">
        <f ca="1">IF(OR(Table2[[#This Row],[Benefit Name]]="My Value Plus Life - Main Member",Table2[[#This Row],[Benefit Name]]="My Value Plus Life - Spouse"),0,
IFERROR(VLOOKUP($G601,INDIRECT($O601),$P601+1,FALSE),0))</f>
        <v>0</v>
      </c>
      <c r="S601" s="289">
        <f t="shared" ca="1" si="66"/>
        <v>0</v>
      </c>
      <c r="T601" s="284" t="str">
        <f>IF(Table13[[#This Row],[Premium Waiver]]="","None",Table13[[#This Row],[Premium Waiver]])</f>
        <v>None</v>
      </c>
      <c r="U601" s="284">
        <f>Table13[[#This Row],[VAPs Options]]</f>
        <v>0</v>
      </c>
      <c r="V601" s="284">
        <f>Table13[[#This Row],[Annual Increase Option]]</f>
        <v>0</v>
      </c>
      <c r="W601" s="290">
        <f>Table13[[#This Row],[Life Cover Amount]]</f>
        <v>0</v>
      </c>
      <c r="X601" s="290">
        <f>Table13[[#This Row],[Funeral Cover Amount]]</f>
        <v>0</v>
      </c>
      <c r="Y60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0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01" s="301">
        <f t="shared" ca="1" si="67"/>
        <v>0</v>
      </c>
      <c r="AB601" s="298"/>
      <c r="AC601" s="326" t="str">
        <f>IF(Table2[[#This Row],[Member Type]]="Main Member",Lookups!$C$13,
IF(Table2[[#This Row],[Member Type]]="Spouse",_xlfn.XLOOKUP(B601,Table2[Main Member Link ID],Table2[Product Option],0),
IF(AND(Table2[[#This Row],[Member Type]]="Child",_xlfn.XLOOKUP(B601,Table2[Main Member Link ID],Table2[Product Option],0)&lt;&gt;"My Value Plus Life"),Lookups!$C$24,
IF(AND(OR(Table2[[#This Row],[Member Type]]="Parent",Table2[[#This Row],[Member Type]]="Extended"),_xlfn.XLOOKUP(B601,Table2[Main Member Link ID],Table2[Product Option],0)&lt;&gt;"My Value Plus Life"),Lookups!$C$26,""))))</f>
        <v/>
      </c>
      <c r="AD601" s="326" t="str">
        <f>IF(Table2[[#This Row],[Member Type]]="Main Member",Lookups!$C$14,"")</f>
        <v/>
      </c>
      <c r="AE60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Funeral",_xlfn.XLOOKUP(B601,Table2[Main Member Link ID],Table2[Benefit Name],0)=Lookups!$D$14),"",
IF(AND(Table2[[#This Row],[Member Type]]="Spouse",Table2[[#This Row],[Product Option]]="My Value Plus Life &amp; Funeral",_xlfn.XLOOKUP(B600,Table2[Main Member Link ID],Table2[Benefit Name],0)=Lookups!$D$15),Lookups!$D$20,
IF(AND(Table2[[#This Row],[Member Type]]="Spouse",Table2[[#This Row],[Product Option]]="My Value Plus Life &amp; Funeral",_xlfn.XLOOKUP(B600,Table2[Main Member Link ID],Table2[Benefit Name],0)=Lookups!$D$16),"",
IF(AND(Table2[[#This Row],[Member Type]]="Spouse",Table2[[#This Row],[Product Option]]="My Value Plus Life &amp; Funeral",_xlfn.XLOOKUP(B600,Table2[Main Member Link ID],Table2[Benefit Name],0)=Lookups!$D$17),Lookups!$D$21,
IF(AND(Table2[[#This Row],[Member Type]]="Child",Table2[[#This Row],[Product Option]]="My Value Plus Life &amp; Funeral",_xlfn.XLOOKUP(B601,Table2[Main Member Link ID],Table2[Benefit Name],0)=Lookups!$D$14),"",
IF(AND(Table2[[#This Row],[Member Type]]="Child",Table2[[#This Row],[Product Option]]="My Value Plus Life &amp; Funeral",_xlfn.XLOOKUP(B601,Table2[Main Member Link ID],Table2[Benefit Name],0)=Lookups!$D$15),"",
IF(AND(Table2[[#This Row],[Member Type]]="Child",Table2[[#This Row],[Product Option]]="My Value Plus Life &amp; Funeral",_xlfn.XLOOKUP(B601,Table2[Main Member Link ID],Table2[Benefit Name],0)=Lookups!$D$16),Lookups!$D$24,
IF(AND(Table2[[#This Row],[Member Type]]="Child",Table2[[#This Row],[Product Option]]="My Value Plus Life &amp; Funeral",_xlfn.XLOOKUP(B601,Table2[Main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Funeral",_xlfn.XLOOKUP(B601,Table2[Main Member Link ID],Table2[Benefit Name],0)&lt;&gt;Lookups!$D$14),
IF(_xlfn.XLOOKUP(B601,Table2[Main Member Link ID],Table2[Benefit Name],0)=0,"",_xlfn.XLOOKUP(B601,Table2[Main Member Link ID],Table2[Benefit Name],0)),"")))))))))))))))</f>
        <v/>
      </c>
      <c r="AF601" s="327" t="str">
        <f>IF(AND(Table2[[#This Row],[Member Type]]="Main Member",Table2[[#This Row],[Product Option]]="My Value Plus Life &amp; Funeral"),Lookups!$D$15,
IF(AND(Table2[[#This Row],[Member Type]]="Spouse",Table2[[#This Row],[Product Option]]="My Value Plus Life &amp; Funeral",_xlfn.XLOOKUP(B601,Table2[Main Member Link ID],Table2[Benefit Name],0)=Lookups!$D$14),"",
IF(AND(Table2[[#This Row],[Member Type]]="Spouse",Table2[[#This Row],[Product Option]]="My Value Plus Life &amp; Funeral",_xlfn.XLOOKUP(B600,Table2[Main Member Link ID],Table2[Benefit Name],0)=Lookups!$D$16),"",
IF(AND(Table2[[#This Row],[Member Type]]="Spouse",Table2[[#This Row],[Product Option]]="My Value Plus Life &amp; Funeral",_xlfn.XLOOKUP(B600,Table2[Main Member Link ID],Table2[Benefit Name],0)=Lookups!$D$15),"",
IF(AND(Table2[[#This Row],[Member Type]]="Spouse",Table2[[#This Row],[Product Option]]="My Value Plus Life &amp; Funeral",_xlfn.XLOOKUP(B600,Table2[Main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Funeral",_xlfn.XLOOKUP(B601,Table2[Main Member Link ID],Table2[Benefit Name],0)&lt;&gt;Lookups!$D$15),
IF(_xlfn.XLOOKUP(B601,Table2[Main Member Link ID],Table2[Benefit Name],0)=0,"",_xlfn.XLOOKUP(B601,Table2[Main Member Link ID],Table2[Benefit Name],0)),"")
))))))</f>
        <v/>
      </c>
      <c r="AG601" s="327" t="str">
        <f>IF(AND(Table2[[#This Row],[Member Type]]="Main Member",Table2[[#This Row],[Product Option]]="My Value Plus Life &amp; Funeral"),Lookups!$D$16,
IF(AND(Table2[[#This Row],[Member Type]]="Spouse",Table2[[#This Row],[Product Option]]="My Value Plus Life &amp; Funeral",_xlfn.XLOOKUP(B601,Table2[Main Member Link ID],Table2[Benefit Name],0)=Lookups!$D$14),"",
IF(AND(Table2[[#This Row],[Member Type]]="Spouse",Table2[[#This Row],[Product Option]]="My Value Plus Life &amp; Funeral",_xlfn.XLOOKUP(B600,Table2[Main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Funeral",_xlfn.XLOOKUP(B601,Table2[Main Member Link ID],Table2[Benefit Name],0)&lt;&gt;Lookups!$D$16),
IF(_xlfn.XLOOKUP(B601,Table2[Main Member Link ID],Table2[Benefit Name],0)=0,"",_xlfn.XLOOKUP(B601,Table2[Main Member Link ID],Table2[Benefit Name],0)),"")
))))</f>
        <v/>
      </c>
      <c r="AH601" s="327" t="str">
        <f>IF(AND(Table2[[#This Row],[Member Type]]="Main Member",Table2[[#This Row],[Product Option]]="My Value Plus Life &amp; Funeral"),Lookups!$D$17,
IF(AND(Table2[[#This Row],[Member Type]]="Spouse",Table2[[#This Row],[Product Option]]="My Value Plus Life &amp; Funeral",_xlfn.XLOOKUP(B601,Table2[Main Member Link ID],Table2[Benefit Name],0)=Lookups!$D$14),"",
IF(AND(Table2[[#This Row],[Member Type]]="Spouse",Table2[[#This Row],[Product Option]]="My Value Plus Life &amp; Funeral",_xlfn.XLOOKUP(B600,Table2[Main Member Link ID],Table2[Benefit Name],0)=Lookups!$D$16),"",
IF(AND(Table2[[#This Row],[Member Type]]="Child",Table2[[#This Row],[Product Option]]="My Value Plus Life &amp; Funeral"),"",
IF(AND(Table2[[#This Row],[Member Type]]="Child",Table2[[#This Row],[Product Option]]="My Value Plus Life &amp; Funeral",_xlfn.XLOOKUP(B601,Table2[Main Member Link ID],Table2[Benefit Name],0)=Lookups!$D$15),"",
IF(AND(OR(Table2[[#This Row],[Member Type]]="Spouse",Table2[[#This Row],[Member Type]]="Child"),Table2[[#This Row],[Product Option]]="My Value Plus Life &amp; Funeral",_xlfn.XLOOKUP(B601,Table2[Main Member Link ID],Table2[Benefit Name],0)&lt;&gt;Lookups!$D$17),
IF(_xlfn.XLOOKUP(B601,Table2[Main Member Link ID],Table2[Benefit Name],0)=0,"",_xlfn.XLOOKUP(B601,Table2[Main Member Link ID],Table2[Benefit Name],0)),""))))))</f>
        <v/>
      </c>
      <c r="AI601" s="328" t="str">
        <f>IF(AND(Table2[[#This Row],[Member Type]]="Main Member",Table2[[#This Row],[Table Lookup for Life Cover]]="MM_LIFE",Table2[[#This Row],[Age Next Birthday]]&lt;56),1,
IF(AND(Table2[[#This Row],[Member Type]]="Main Member",Table2[[#This Row],[Table Lookup for Life Cover]]="MM_LIFE",Table2[[#This Row],[Age Next Birthday]]&gt;=56),2,
""))</f>
        <v/>
      </c>
      <c r="AJ601" s="328">
        <f>IF(OR(Table2[[#This Row],[Member Type]]="Main Member",Table2[[#This Row],[Main Member Link ID]]=B600),1,0)</f>
        <v>1</v>
      </c>
      <c r="AK601" s="328">
        <f>IF(Table2[[#This Row],[Member Type]]=0,0,
IF(OR(Table2[[#This Row],[Member Type]]="Main Member",Table2[[#This Row],[Main Member Link ID]]&lt;&gt;B601),COUNTIFS(B:B,Table2[[#This Row],[Main Member Link ID]]),
COUNTIFS(B:B,Table2[[#This Row],[Main Member Link ID]],A:A,Table2[[#This Row],[Member Type]])))</f>
        <v>0</v>
      </c>
    </row>
    <row r="602" spans="1:37" x14ac:dyDescent="0.3">
      <c r="A602" s="284">
        <f>Table13[[#This Row],[Member Type]]</f>
        <v>0</v>
      </c>
      <c r="B602" s="284">
        <f>Table13[[#This Row],[Main Member Link ID]]</f>
        <v>0</v>
      </c>
      <c r="C602" s="284">
        <f>Table13[[#This Row],[ID Number]]</f>
        <v>0</v>
      </c>
      <c r="D602" s="285">
        <f>Table13[[#This Row],[Date Of Birth]]</f>
        <v>0</v>
      </c>
      <c r="E602" s="285">
        <f>Table13[[#This Row],[Commencement Date]]</f>
        <v>0</v>
      </c>
      <c r="F602" s="284">
        <f t="shared" si="63"/>
        <v>1</v>
      </c>
      <c r="G602" s="284">
        <f t="shared" si="64"/>
        <v>25</v>
      </c>
      <c r="H602" s="286">
        <f>Table13[[#This Row],[Product Option]]</f>
        <v>0</v>
      </c>
      <c r="I602" s="284">
        <f>IF(AND($A602="Main Member",Table2[[#This Row],[Product Option]]="My Value Plus Life"),"MM_LIFE",
IF(AND($A602="Spouse",Table2[[#This Row],[Product Option]]="My Value Plus Life"),"SP_LIFE",
IF(AND($A602="Main Member",Table2[[#This Row],[Product Option]]="My Value Plus Life &amp; Funeral"),"MM_LIFE",
IF(AND($A602="Spouse",Table2[[#This Row],[Product Option]]="My Value Plus Life &amp; Funeral"),_xlfn.XLOOKUP(Table2[[#This Row],[Benefit Name]],Lookups!$D$18:$D$23,Lookups!$E$18:$E$23,0),
0))))</f>
        <v>0</v>
      </c>
      <c r="J602" s="284">
        <f>IF($I602="","",
IF($I602="MM_LIFE",INDEX('Quotation Tool'!$S$54:$V$60,MATCH($T602,'Quotation Tool'!$S$54:$S$60,0),4),
IF($I602="SP_LIFE",_xlfn.XLOOKUP(B601,$B:$B,$J:$J,0),0)))</f>
        <v>0</v>
      </c>
      <c r="K602" s="287">
        <f t="shared" ca="1" si="68"/>
        <v>0</v>
      </c>
      <c r="L602" s="288">
        <f t="shared" ca="1" si="69"/>
        <v>0</v>
      </c>
      <c r="M602" s="289">
        <f t="shared" ca="1" si="65"/>
        <v>0</v>
      </c>
      <c r="N602" s="286">
        <f>Table13[[#This Row],[Benefit Option]]</f>
        <v>0</v>
      </c>
      <c r="O602" s="284">
        <f>IF(OR(Table2[[#This Row],[Member Type]]="Spouse",Table2[[#This Row],[Member Type]]="Child"),0,
IF(_xlfn.XLOOKUP($N602,Lookups!$D$13:$D$27,Lookups!$F$13:$F$27,0)=Table2[[#This Row],[Table Lookup for Life Cover]],0,
_xlfn.XLOOKUP($N602,Lookups!$D$13:$D$27,Lookups!$F$13:$F$27,0)))</f>
        <v>0</v>
      </c>
      <c r="P602" s="284">
        <f>IF(Table2[[#This Row],[Table Lookup for Funeral]]=0,0,IFERROR(INDEX('Quotation Tool'!$S$54:$V$60,MATCH($T602,'Quotation Tool'!$S$54:$S$60,0),3),0))</f>
        <v>0</v>
      </c>
      <c r="Q602" s="288">
        <f ca="1">IF(OR(Table2[[#This Row],[Benefit Name]]="My Value Plus Life - Main Member",Table2[[#This Row],[Benefit Name]]="My Value Plus Life - Spouse"),0,
IFERROR(VLOOKUP($G602,INDIRECT($O602),$P602,FALSE),0))</f>
        <v>0</v>
      </c>
      <c r="R602" s="288">
        <f ca="1">IF(OR(Table2[[#This Row],[Benefit Name]]="My Value Plus Life - Main Member",Table2[[#This Row],[Benefit Name]]="My Value Plus Life - Spouse"),0,
IFERROR(VLOOKUP($G602,INDIRECT($O602),$P602+1,FALSE),0))</f>
        <v>0</v>
      </c>
      <c r="S602" s="289">
        <f t="shared" ca="1" si="66"/>
        <v>0</v>
      </c>
      <c r="T602" s="284" t="str">
        <f>IF(Table13[[#This Row],[Premium Waiver]]="","None",Table13[[#This Row],[Premium Waiver]])</f>
        <v>None</v>
      </c>
      <c r="U602" s="284">
        <f>Table13[[#This Row],[VAPs Options]]</f>
        <v>0</v>
      </c>
      <c r="V602" s="284">
        <f>Table13[[#This Row],[Annual Increase Option]]</f>
        <v>0</v>
      </c>
      <c r="W602" s="290">
        <f>Table13[[#This Row],[Life Cover Amount]]</f>
        <v>0</v>
      </c>
      <c r="X602" s="290">
        <f>Table13[[#This Row],[Funeral Cover Amount]]</f>
        <v>0</v>
      </c>
      <c r="Y60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0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02" s="301">
        <f t="shared" ca="1" si="67"/>
        <v>0</v>
      </c>
      <c r="AB602" s="298"/>
      <c r="AC602" s="326" t="str">
        <f>IF(Table2[[#This Row],[Member Type]]="Main Member",Lookups!$C$13,
IF(Table2[[#This Row],[Member Type]]="Spouse",_xlfn.XLOOKUP(B602,Table2[Main Member Link ID],Table2[Product Option],0),
IF(AND(Table2[[#This Row],[Member Type]]="Child",_xlfn.XLOOKUP(B602,Table2[Main Member Link ID],Table2[Product Option],0)&lt;&gt;"My Value Plus Life"),Lookups!$C$24,
IF(AND(OR(Table2[[#This Row],[Member Type]]="Parent",Table2[[#This Row],[Member Type]]="Extended"),_xlfn.XLOOKUP(B602,Table2[Main Member Link ID],Table2[Product Option],0)&lt;&gt;"My Value Plus Life"),Lookups!$C$26,""))))</f>
        <v/>
      </c>
      <c r="AD602" s="326" t="str">
        <f>IF(Table2[[#This Row],[Member Type]]="Main Member",Lookups!$C$14,"")</f>
        <v/>
      </c>
      <c r="AE60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Funeral",_xlfn.XLOOKUP(B602,Table2[Main Member Link ID],Table2[Benefit Name],0)=Lookups!$D$14),"",
IF(AND(Table2[[#This Row],[Member Type]]="Spouse",Table2[[#This Row],[Product Option]]="My Value Plus Life &amp; Funeral",_xlfn.XLOOKUP(B601,Table2[Main Member Link ID],Table2[Benefit Name],0)=Lookups!$D$15),Lookups!$D$20,
IF(AND(Table2[[#This Row],[Member Type]]="Spouse",Table2[[#This Row],[Product Option]]="My Value Plus Life &amp; Funeral",_xlfn.XLOOKUP(B601,Table2[Main Member Link ID],Table2[Benefit Name],0)=Lookups!$D$16),"",
IF(AND(Table2[[#This Row],[Member Type]]="Spouse",Table2[[#This Row],[Product Option]]="My Value Plus Life &amp; Funeral",_xlfn.XLOOKUP(B601,Table2[Main Member Link ID],Table2[Benefit Name],0)=Lookups!$D$17),Lookups!$D$21,
IF(AND(Table2[[#This Row],[Member Type]]="Child",Table2[[#This Row],[Product Option]]="My Value Plus Life &amp; Funeral",_xlfn.XLOOKUP(B602,Table2[Main Member Link ID],Table2[Benefit Name],0)=Lookups!$D$14),"",
IF(AND(Table2[[#This Row],[Member Type]]="Child",Table2[[#This Row],[Product Option]]="My Value Plus Life &amp; Funeral",_xlfn.XLOOKUP(B602,Table2[Main Member Link ID],Table2[Benefit Name],0)=Lookups!$D$15),"",
IF(AND(Table2[[#This Row],[Member Type]]="Child",Table2[[#This Row],[Product Option]]="My Value Plus Life &amp; Funeral",_xlfn.XLOOKUP(B602,Table2[Main Member Link ID],Table2[Benefit Name],0)=Lookups!$D$16),Lookups!$D$24,
IF(AND(Table2[[#This Row],[Member Type]]="Child",Table2[[#This Row],[Product Option]]="My Value Plus Life &amp; Funeral",_xlfn.XLOOKUP(B602,Table2[Main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Funeral",_xlfn.XLOOKUP(B602,Table2[Main Member Link ID],Table2[Benefit Name],0)&lt;&gt;Lookups!$D$14),
IF(_xlfn.XLOOKUP(B602,Table2[Main Member Link ID],Table2[Benefit Name],0)=0,"",_xlfn.XLOOKUP(B602,Table2[Main Member Link ID],Table2[Benefit Name],0)),"")))))))))))))))</f>
        <v/>
      </c>
      <c r="AF602" s="327" t="str">
        <f>IF(AND(Table2[[#This Row],[Member Type]]="Main Member",Table2[[#This Row],[Product Option]]="My Value Plus Life &amp; Funeral"),Lookups!$D$15,
IF(AND(Table2[[#This Row],[Member Type]]="Spouse",Table2[[#This Row],[Product Option]]="My Value Plus Life &amp; Funeral",_xlfn.XLOOKUP(B602,Table2[Main Member Link ID],Table2[Benefit Name],0)=Lookups!$D$14),"",
IF(AND(Table2[[#This Row],[Member Type]]="Spouse",Table2[[#This Row],[Product Option]]="My Value Plus Life &amp; Funeral",_xlfn.XLOOKUP(B601,Table2[Main Member Link ID],Table2[Benefit Name],0)=Lookups!$D$16),"",
IF(AND(Table2[[#This Row],[Member Type]]="Spouse",Table2[[#This Row],[Product Option]]="My Value Plus Life &amp; Funeral",_xlfn.XLOOKUP(B601,Table2[Main Member Link ID],Table2[Benefit Name],0)=Lookups!$D$15),"",
IF(AND(Table2[[#This Row],[Member Type]]="Spouse",Table2[[#This Row],[Product Option]]="My Value Plus Life &amp; Funeral",_xlfn.XLOOKUP(B601,Table2[Main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Funeral",_xlfn.XLOOKUP(B602,Table2[Main Member Link ID],Table2[Benefit Name],0)&lt;&gt;Lookups!$D$15),
IF(_xlfn.XLOOKUP(B602,Table2[Main Member Link ID],Table2[Benefit Name],0)=0,"",_xlfn.XLOOKUP(B602,Table2[Main Member Link ID],Table2[Benefit Name],0)),"")
))))))</f>
        <v/>
      </c>
      <c r="AG602" s="327" t="str">
        <f>IF(AND(Table2[[#This Row],[Member Type]]="Main Member",Table2[[#This Row],[Product Option]]="My Value Plus Life &amp; Funeral"),Lookups!$D$16,
IF(AND(Table2[[#This Row],[Member Type]]="Spouse",Table2[[#This Row],[Product Option]]="My Value Plus Life &amp; Funeral",_xlfn.XLOOKUP(B602,Table2[Main Member Link ID],Table2[Benefit Name],0)=Lookups!$D$14),"",
IF(AND(Table2[[#This Row],[Member Type]]="Spouse",Table2[[#This Row],[Product Option]]="My Value Plus Life &amp; Funeral",_xlfn.XLOOKUP(B601,Table2[Main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Funeral",_xlfn.XLOOKUP(B602,Table2[Main Member Link ID],Table2[Benefit Name],0)&lt;&gt;Lookups!$D$16),
IF(_xlfn.XLOOKUP(B602,Table2[Main Member Link ID],Table2[Benefit Name],0)=0,"",_xlfn.XLOOKUP(B602,Table2[Main Member Link ID],Table2[Benefit Name],0)),"")
))))</f>
        <v/>
      </c>
      <c r="AH602" s="327" t="str">
        <f>IF(AND(Table2[[#This Row],[Member Type]]="Main Member",Table2[[#This Row],[Product Option]]="My Value Plus Life &amp; Funeral"),Lookups!$D$17,
IF(AND(Table2[[#This Row],[Member Type]]="Spouse",Table2[[#This Row],[Product Option]]="My Value Plus Life &amp; Funeral",_xlfn.XLOOKUP(B602,Table2[Main Member Link ID],Table2[Benefit Name],0)=Lookups!$D$14),"",
IF(AND(Table2[[#This Row],[Member Type]]="Spouse",Table2[[#This Row],[Product Option]]="My Value Plus Life &amp; Funeral",_xlfn.XLOOKUP(B601,Table2[Main Member Link ID],Table2[Benefit Name],0)=Lookups!$D$16),"",
IF(AND(Table2[[#This Row],[Member Type]]="Child",Table2[[#This Row],[Product Option]]="My Value Plus Life &amp; Funeral"),"",
IF(AND(Table2[[#This Row],[Member Type]]="Child",Table2[[#This Row],[Product Option]]="My Value Plus Life &amp; Funeral",_xlfn.XLOOKUP(B602,Table2[Main Member Link ID],Table2[Benefit Name],0)=Lookups!$D$15),"",
IF(AND(OR(Table2[[#This Row],[Member Type]]="Spouse",Table2[[#This Row],[Member Type]]="Child"),Table2[[#This Row],[Product Option]]="My Value Plus Life &amp; Funeral",_xlfn.XLOOKUP(B602,Table2[Main Member Link ID],Table2[Benefit Name],0)&lt;&gt;Lookups!$D$17),
IF(_xlfn.XLOOKUP(B602,Table2[Main Member Link ID],Table2[Benefit Name],0)=0,"",_xlfn.XLOOKUP(B602,Table2[Main Member Link ID],Table2[Benefit Name],0)),""))))))</f>
        <v/>
      </c>
      <c r="AI602" s="328" t="str">
        <f>IF(AND(Table2[[#This Row],[Member Type]]="Main Member",Table2[[#This Row],[Table Lookup for Life Cover]]="MM_LIFE",Table2[[#This Row],[Age Next Birthday]]&lt;56),1,
IF(AND(Table2[[#This Row],[Member Type]]="Main Member",Table2[[#This Row],[Table Lookup for Life Cover]]="MM_LIFE",Table2[[#This Row],[Age Next Birthday]]&gt;=56),2,
""))</f>
        <v/>
      </c>
      <c r="AJ602" s="328">
        <f>IF(OR(Table2[[#This Row],[Member Type]]="Main Member",Table2[[#This Row],[Main Member Link ID]]=B601),1,0)</f>
        <v>1</v>
      </c>
      <c r="AK602" s="328">
        <f>IF(Table2[[#This Row],[Member Type]]=0,0,
IF(OR(Table2[[#This Row],[Member Type]]="Main Member",Table2[[#This Row],[Main Member Link ID]]&lt;&gt;B602),COUNTIFS(B:B,Table2[[#This Row],[Main Member Link ID]]),
COUNTIFS(B:B,Table2[[#This Row],[Main Member Link ID]],A:A,Table2[[#This Row],[Member Type]])))</f>
        <v>0</v>
      </c>
    </row>
    <row r="603" spans="1:37" x14ac:dyDescent="0.3">
      <c r="A603" s="284">
        <f>Table13[[#This Row],[Member Type]]</f>
        <v>0</v>
      </c>
      <c r="B603" s="284">
        <f>Table13[[#This Row],[Main Member Link ID]]</f>
        <v>0</v>
      </c>
      <c r="C603" s="284">
        <f>Table13[[#This Row],[ID Number]]</f>
        <v>0</v>
      </c>
      <c r="D603" s="285">
        <f>Table13[[#This Row],[Date Of Birth]]</f>
        <v>0</v>
      </c>
      <c r="E603" s="285">
        <f>Table13[[#This Row],[Commencement Date]]</f>
        <v>0</v>
      </c>
      <c r="F603" s="284">
        <f t="shared" si="63"/>
        <v>1</v>
      </c>
      <c r="G603" s="284">
        <f t="shared" si="64"/>
        <v>25</v>
      </c>
      <c r="H603" s="286">
        <f>Table13[[#This Row],[Product Option]]</f>
        <v>0</v>
      </c>
      <c r="I603" s="284">
        <f>IF(AND($A603="Main Member",Table2[[#This Row],[Product Option]]="My Value Plus Life"),"MM_LIFE",
IF(AND($A603="Spouse",Table2[[#This Row],[Product Option]]="My Value Plus Life"),"SP_LIFE",
IF(AND($A603="Main Member",Table2[[#This Row],[Product Option]]="My Value Plus Life &amp; Funeral"),"MM_LIFE",
IF(AND($A603="Spouse",Table2[[#This Row],[Product Option]]="My Value Plus Life &amp; Funeral"),_xlfn.XLOOKUP(Table2[[#This Row],[Benefit Name]],Lookups!$D$18:$D$23,Lookups!$E$18:$E$23,0),
0))))</f>
        <v>0</v>
      </c>
      <c r="J603" s="284">
        <f>IF($I603="","",
IF($I603="MM_LIFE",INDEX('Quotation Tool'!$S$54:$V$60,MATCH($T603,'Quotation Tool'!$S$54:$S$60,0),4),
IF($I603="SP_LIFE",_xlfn.XLOOKUP(B602,$B:$B,$J:$J,0),0)))</f>
        <v>0</v>
      </c>
      <c r="K603" s="287">
        <f t="shared" ca="1" si="68"/>
        <v>0</v>
      </c>
      <c r="L603" s="288">
        <f t="shared" ca="1" si="69"/>
        <v>0</v>
      </c>
      <c r="M603" s="289">
        <f t="shared" ca="1" si="65"/>
        <v>0</v>
      </c>
      <c r="N603" s="286">
        <f>Table13[[#This Row],[Benefit Option]]</f>
        <v>0</v>
      </c>
      <c r="O603" s="284">
        <f>IF(OR(Table2[[#This Row],[Member Type]]="Spouse",Table2[[#This Row],[Member Type]]="Child"),0,
IF(_xlfn.XLOOKUP($N603,Lookups!$D$13:$D$27,Lookups!$F$13:$F$27,0)=Table2[[#This Row],[Table Lookup for Life Cover]],0,
_xlfn.XLOOKUP($N603,Lookups!$D$13:$D$27,Lookups!$F$13:$F$27,0)))</f>
        <v>0</v>
      </c>
      <c r="P603" s="284">
        <f>IF(Table2[[#This Row],[Table Lookup for Funeral]]=0,0,IFERROR(INDEX('Quotation Tool'!$S$54:$V$60,MATCH($T603,'Quotation Tool'!$S$54:$S$60,0),3),0))</f>
        <v>0</v>
      </c>
      <c r="Q603" s="288">
        <f ca="1">IF(OR(Table2[[#This Row],[Benefit Name]]="My Value Plus Life - Main Member",Table2[[#This Row],[Benefit Name]]="My Value Plus Life - Spouse"),0,
IFERROR(VLOOKUP($G603,INDIRECT($O603),$P603,FALSE),0))</f>
        <v>0</v>
      </c>
      <c r="R603" s="288">
        <f ca="1">IF(OR(Table2[[#This Row],[Benefit Name]]="My Value Plus Life - Main Member",Table2[[#This Row],[Benefit Name]]="My Value Plus Life - Spouse"),0,
IFERROR(VLOOKUP($G603,INDIRECT($O603),$P603+1,FALSE),0))</f>
        <v>0</v>
      </c>
      <c r="S603" s="289">
        <f t="shared" ca="1" si="66"/>
        <v>0</v>
      </c>
      <c r="T603" s="284" t="str">
        <f>IF(Table13[[#This Row],[Premium Waiver]]="","None",Table13[[#This Row],[Premium Waiver]])</f>
        <v>None</v>
      </c>
      <c r="U603" s="284">
        <f>Table13[[#This Row],[VAPs Options]]</f>
        <v>0</v>
      </c>
      <c r="V603" s="284">
        <f>Table13[[#This Row],[Annual Increase Option]]</f>
        <v>0</v>
      </c>
      <c r="W603" s="290">
        <f>Table13[[#This Row],[Life Cover Amount]]</f>
        <v>0</v>
      </c>
      <c r="X603" s="290">
        <f>Table13[[#This Row],[Funeral Cover Amount]]</f>
        <v>0</v>
      </c>
      <c r="Y60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0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03" s="301">
        <f t="shared" ca="1" si="67"/>
        <v>0</v>
      </c>
      <c r="AB603" s="298"/>
      <c r="AC603" s="326" t="str">
        <f>IF(Table2[[#This Row],[Member Type]]="Main Member",Lookups!$C$13,
IF(Table2[[#This Row],[Member Type]]="Spouse",_xlfn.XLOOKUP(B603,Table2[Main Member Link ID],Table2[Product Option],0),
IF(AND(Table2[[#This Row],[Member Type]]="Child",_xlfn.XLOOKUP(B603,Table2[Main Member Link ID],Table2[Product Option],0)&lt;&gt;"My Value Plus Life"),Lookups!$C$24,
IF(AND(OR(Table2[[#This Row],[Member Type]]="Parent",Table2[[#This Row],[Member Type]]="Extended"),_xlfn.XLOOKUP(B603,Table2[Main Member Link ID],Table2[Product Option],0)&lt;&gt;"My Value Plus Life"),Lookups!$C$26,""))))</f>
        <v/>
      </c>
      <c r="AD603" s="326" t="str">
        <f>IF(Table2[[#This Row],[Member Type]]="Main Member",Lookups!$C$14,"")</f>
        <v/>
      </c>
      <c r="AE60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Funeral",_xlfn.XLOOKUP(B603,Table2[Main Member Link ID],Table2[Benefit Name],0)=Lookups!$D$14),"",
IF(AND(Table2[[#This Row],[Member Type]]="Spouse",Table2[[#This Row],[Product Option]]="My Value Plus Life &amp; Funeral",_xlfn.XLOOKUP(B602,Table2[Main Member Link ID],Table2[Benefit Name],0)=Lookups!$D$15),Lookups!$D$20,
IF(AND(Table2[[#This Row],[Member Type]]="Spouse",Table2[[#This Row],[Product Option]]="My Value Plus Life &amp; Funeral",_xlfn.XLOOKUP(B602,Table2[Main Member Link ID],Table2[Benefit Name],0)=Lookups!$D$16),"",
IF(AND(Table2[[#This Row],[Member Type]]="Spouse",Table2[[#This Row],[Product Option]]="My Value Plus Life &amp; Funeral",_xlfn.XLOOKUP(B602,Table2[Main Member Link ID],Table2[Benefit Name],0)=Lookups!$D$17),Lookups!$D$21,
IF(AND(Table2[[#This Row],[Member Type]]="Child",Table2[[#This Row],[Product Option]]="My Value Plus Life &amp; Funeral",_xlfn.XLOOKUP(B603,Table2[Main Member Link ID],Table2[Benefit Name],0)=Lookups!$D$14),"",
IF(AND(Table2[[#This Row],[Member Type]]="Child",Table2[[#This Row],[Product Option]]="My Value Plus Life &amp; Funeral",_xlfn.XLOOKUP(B603,Table2[Main Member Link ID],Table2[Benefit Name],0)=Lookups!$D$15),"",
IF(AND(Table2[[#This Row],[Member Type]]="Child",Table2[[#This Row],[Product Option]]="My Value Plus Life &amp; Funeral",_xlfn.XLOOKUP(B603,Table2[Main Member Link ID],Table2[Benefit Name],0)=Lookups!$D$16),Lookups!$D$24,
IF(AND(Table2[[#This Row],[Member Type]]="Child",Table2[[#This Row],[Product Option]]="My Value Plus Life &amp; Funeral",_xlfn.XLOOKUP(B603,Table2[Main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Funeral",_xlfn.XLOOKUP(B603,Table2[Main Member Link ID],Table2[Benefit Name],0)&lt;&gt;Lookups!$D$14),
IF(_xlfn.XLOOKUP(B603,Table2[Main Member Link ID],Table2[Benefit Name],0)=0,"",_xlfn.XLOOKUP(B603,Table2[Main Member Link ID],Table2[Benefit Name],0)),"")))))))))))))))</f>
        <v/>
      </c>
      <c r="AF603" s="327" t="str">
        <f>IF(AND(Table2[[#This Row],[Member Type]]="Main Member",Table2[[#This Row],[Product Option]]="My Value Plus Life &amp; Funeral"),Lookups!$D$15,
IF(AND(Table2[[#This Row],[Member Type]]="Spouse",Table2[[#This Row],[Product Option]]="My Value Plus Life &amp; Funeral",_xlfn.XLOOKUP(B603,Table2[Main Member Link ID],Table2[Benefit Name],0)=Lookups!$D$14),"",
IF(AND(Table2[[#This Row],[Member Type]]="Spouse",Table2[[#This Row],[Product Option]]="My Value Plus Life &amp; Funeral",_xlfn.XLOOKUP(B602,Table2[Main Member Link ID],Table2[Benefit Name],0)=Lookups!$D$16),"",
IF(AND(Table2[[#This Row],[Member Type]]="Spouse",Table2[[#This Row],[Product Option]]="My Value Plus Life &amp; Funeral",_xlfn.XLOOKUP(B602,Table2[Main Member Link ID],Table2[Benefit Name],0)=Lookups!$D$15),"",
IF(AND(Table2[[#This Row],[Member Type]]="Spouse",Table2[[#This Row],[Product Option]]="My Value Plus Life &amp; Funeral",_xlfn.XLOOKUP(B602,Table2[Main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Funeral",_xlfn.XLOOKUP(B603,Table2[Main Member Link ID],Table2[Benefit Name],0)&lt;&gt;Lookups!$D$15),
IF(_xlfn.XLOOKUP(B603,Table2[Main Member Link ID],Table2[Benefit Name],0)=0,"",_xlfn.XLOOKUP(B603,Table2[Main Member Link ID],Table2[Benefit Name],0)),"")
))))))</f>
        <v/>
      </c>
      <c r="AG603" s="327" t="str">
        <f>IF(AND(Table2[[#This Row],[Member Type]]="Main Member",Table2[[#This Row],[Product Option]]="My Value Plus Life &amp; Funeral"),Lookups!$D$16,
IF(AND(Table2[[#This Row],[Member Type]]="Spouse",Table2[[#This Row],[Product Option]]="My Value Plus Life &amp; Funeral",_xlfn.XLOOKUP(B603,Table2[Main Member Link ID],Table2[Benefit Name],0)=Lookups!$D$14),"",
IF(AND(Table2[[#This Row],[Member Type]]="Spouse",Table2[[#This Row],[Product Option]]="My Value Plus Life &amp; Funeral",_xlfn.XLOOKUP(B602,Table2[Main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Funeral",_xlfn.XLOOKUP(B603,Table2[Main Member Link ID],Table2[Benefit Name],0)&lt;&gt;Lookups!$D$16),
IF(_xlfn.XLOOKUP(B603,Table2[Main Member Link ID],Table2[Benefit Name],0)=0,"",_xlfn.XLOOKUP(B603,Table2[Main Member Link ID],Table2[Benefit Name],0)),"")
))))</f>
        <v/>
      </c>
      <c r="AH603" s="327" t="str">
        <f>IF(AND(Table2[[#This Row],[Member Type]]="Main Member",Table2[[#This Row],[Product Option]]="My Value Plus Life &amp; Funeral"),Lookups!$D$17,
IF(AND(Table2[[#This Row],[Member Type]]="Spouse",Table2[[#This Row],[Product Option]]="My Value Plus Life &amp; Funeral",_xlfn.XLOOKUP(B603,Table2[Main Member Link ID],Table2[Benefit Name],0)=Lookups!$D$14),"",
IF(AND(Table2[[#This Row],[Member Type]]="Spouse",Table2[[#This Row],[Product Option]]="My Value Plus Life &amp; Funeral",_xlfn.XLOOKUP(B602,Table2[Main Member Link ID],Table2[Benefit Name],0)=Lookups!$D$16),"",
IF(AND(Table2[[#This Row],[Member Type]]="Child",Table2[[#This Row],[Product Option]]="My Value Plus Life &amp; Funeral"),"",
IF(AND(Table2[[#This Row],[Member Type]]="Child",Table2[[#This Row],[Product Option]]="My Value Plus Life &amp; Funeral",_xlfn.XLOOKUP(B603,Table2[Main Member Link ID],Table2[Benefit Name],0)=Lookups!$D$15),"",
IF(AND(OR(Table2[[#This Row],[Member Type]]="Spouse",Table2[[#This Row],[Member Type]]="Child"),Table2[[#This Row],[Product Option]]="My Value Plus Life &amp; Funeral",_xlfn.XLOOKUP(B603,Table2[Main Member Link ID],Table2[Benefit Name],0)&lt;&gt;Lookups!$D$17),
IF(_xlfn.XLOOKUP(B603,Table2[Main Member Link ID],Table2[Benefit Name],0)=0,"",_xlfn.XLOOKUP(B603,Table2[Main Member Link ID],Table2[Benefit Name],0)),""))))))</f>
        <v/>
      </c>
      <c r="AI603" s="328" t="str">
        <f>IF(AND(Table2[[#This Row],[Member Type]]="Main Member",Table2[[#This Row],[Table Lookup for Life Cover]]="MM_LIFE",Table2[[#This Row],[Age Next Birthday]]&lt;56),1,
IF(AND(Table2[[#This Row],[Member Type]]="Main Member",Table2[[#This Row],[Table Lookup for Life Cover]]="MM_LIFE",Table2[[#This Row],[Age Next Birthday]]&gt;=56),2,
""))</f>
        <v/>
      </c>
      <c r="AJ603" s="328">
        <f>IF(OR(Table2[[#This Row],[Member Type]]="Main Member",Table2[[#This Row],[Main Member Link ID]]=B602),1,0)</f>
        <v>1</v>
      </c>
      <c r="AK603" s="328">
        <f>IF(Table2[[#This Row],[Member Type]]=0,0,
IF(OR(Table2[[#This Row],[Member Type]]="Main Member",Table2[[#This Row],[Main Member Link ID]]&lt;&gt;B603),COUNTIFS(B:B,Table2[[#This Row],[Main Member Link ID]]),
COUNTIFS(B:B,Table2[[#This Row],[Main Member Link ID]],A:A,Table2[[#This Row],[Member Type]])))</f>
        <v>0</v>
      </c>
    </row>
    <row r="604" spans="1:37" x14ac:dyDescent="0.3">
      <c r="A604" s="284">
        <f>Table13[[#This Row],[Member Type]]</f>
        <v>0</v>
      </c>
      <c r="B604" s="284">
        <f>Table13[[#This Row],[Main Member Link ID]]</f>
        <v>0</v>
      </c>
      <c r="C604" s="284">
        <f>Table13[[#This Row],[ID Number]]</f>
        <v>0</v>
      </c>
      <c r="D604" s="285">
        <f>Table13[[#This Row],[Date Of Birth]]</f>
        <v>0</v>
      </c>
      <c r="E604" s="285">
        <f>Table13[[#This Row],[Commencement Date]]</f>
        <v>0</v>
      </c>
      <c r="F604" s="284">
        <f t="shared" si="63"/>
        <v>1</v>
      </c>
      <c r="G604" s="284">
        <f t="shared" si="64"/>
        <v>25</v>
      </c>
      <c r="H604" s="286">
        <f>Table13[[#This Row],[Product Option]]</f>
        <v>0</v>
      </c>
      <c r="I604" s="284">
        <f>IF(AND($A604="Main Member",Table2[[#This Row],[Product Option]]="My Value Plus Life"),"MM_LIFE",
IF(AND($A604="Spouse",Table2[[#This Row],[Product Option]]="My Value Plus Life"),"SP_LIFE",
IF(AND($A604="Main Member",Table2[[#This Row],[Product Option]]="My Value Plus Life &amp; Funeral"),"MM_LIFE",
IF(AND($A604="Spouse",Table2[[#This Row],[Product Option]]="My Value Plus Life &amp; Funeral"),_xlfn.XLOOKUP(Table2[[#This Row],[Benefit Name]],Lookups!$D$18:$D$23,Lookups!$E$18:$E$23,0),
0))))</f>
        <v>0</v>
      </c>
      <c r="J604" s="284">
        <f>IF($I604="","",
IF($I604="MM_LIFE",INDEX('Quotation Tool'!$S$54:$V$60,MATCH($T604,'Quotation Tool'!$S$54:$S$60,0),4),
IF($I604="SP_LIFE",_xlfn.XLOOKUP(B603,$B:$B,$J:$J,0),0)))</f>
        <v>0</v>
      </c>
      <c r="K604" s="287">
        <f t="shared" ca="1" si="68"/>
        <v>0</v>
      </c>
      <c r="L604" s="288">
        <f t="shared" ca="1" si="69"/>
        <v>0</v>
      </c>
      <c r="M604" s="289">
        <f t="shared" ca="1" si="65"/>
        <v>0</v>
      </c>
      <c r="N604" s="286">
        <f>Table13[[#This Row],[Benefit Option]]</f>
        <v>0</v>
      </c>
      <c r="O604" s="284">
        <f>IF(OR(Table2[[#This Row],[Member Type]]="Spouse",Table2[[#This Row],[Member Type]]="Child"),0,
IF(_xlfn.XLOOKUP($N604,Lookups!$D$13:$D$27,Lookups!$F$13:$F$27,0)=Table2[[#This Row],[Table Lookup for Life Cover]],0,
_xlfn.XLOOKUP($N604,Lookups!$D$13:$D$27,Lookups!$F$13:$F$27,0)))</f>
        <v>0</v>
      </c>
      <c r="P604" s="284">
        <f>IF(Table2[[#This Row],[Table Lookup for Funeral]]=0,0,IFERROR(INDEX('Quotation Tool'!$S$54:$V$60,MATCH($T604,'Quotation Tool'!$S$54:$S$60,0),3),0))</f>
        <v>0</v>
      </c>
      <c r="Q604" s="288">
        <f ca="1">IF(OR(Table2[[#This Row],[Benefit Name]]="My Value Plus Life - Main Member",Table2[[#This Row],[Benefit Name]]="My Value Plus Life - Spouse"),0,
IFERROR(VLOOKUP($G604,INDIRECT($O604),$P604,FALSE),0))</f>
        <v>0</v>
      </c>
      <c r="R604" s="288">
        <f ca="1">IF(OR(Table2[[#This Row],[Benefit Name]]="My Value Plus Life - Main Member",Table2[[#This Row],[Benefit Name]]="My Value Plus Life - Spouse"),0,
IFERROR(VLOOKUP($G604,INDIRECT($O604),$P604+1,FALSE),0))</f>
        <v>0</v>
      </c>
      <c r="S604" s="289">
        <f t="shared" ca="1" si="66"/>
        <v>0</v>
      </c>
      <c r="T604" s="284" t="str">
        <f>IF(Table13[[#This Row],[Premium Waiver]]="","None",Table13[[#This Row],[Premium Waiver]])</f>
        <v>None</v>
      </c>
      <c r="U604" s="284">
        <f>Table13[[#This Row],[VAPs Options]]</f>
        <v>0</v>
      </c>
      <c r="V604" s="284">
        <f>Table13[[#This Row],[Annual Increase Option]]</f>
        <v>0</v>
      </c>
      <c r="W604" s="290">
        <f>Table13[[#This Row],[Life Cover Amount]]</f>
        <v>0</v>
      </c>
      <c r="X604" s="290">
        <f>Table13[[#This Row],[Funeral Cover Amount]]</f>
        <v>0</v>
      </c>
      <c r="Y60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0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04" s="301">
        <f t="shared" ca="1" si="67"/>
        <v>0</v>
      </c>
      <c r="AB604" s="298"/>
      <c r="AC604" s="326" t="str">
        <f>IF(Table2[[#This Row],[Member Type]]="Main Member",Lookups!$C$13,
IF(Table2[[#This Row],[Member Type]]="Spouse",_xlfn.XLOOKUP(B604,Table2[Main Member Link ID],Table2[Product Option],0),
IF(AND(Table2[[#This Row],[Member Type]]="Child",_xlfn.XLOOKUP(B604,Table2[Main Member Link ID],Table2[Product Option],0)&lt;&gt;"My Value Plus Life"),Lookups!$C$24,
IF(AND(OR(Table2[[#This Row],[Member Type]]="Parent",Table2[[#This Row],[Member Type]]="Extended"),_xlfn.XLOOKUP(B604,Table2[Main Member Link ID],Table2[Product Option],0)&lt;&gt;"My Value Plus Life"),Lookups!$C$26,""))))</f>
        <v/>
      </c>
      <c r="AD604" s="326" t="str">
        <f>IF(Table2[[#This Row],[Member Type]]="Main Member",Lookups!$C$14,"")</f>
        <v/>
      </c>
      <c r="AE60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Funeral",_xlfn.XLOOKUP(B604,Table2[Main Member Link ID],Table2[Benefit Name],0)=Lookups!$D$14),"",
IF(AND(Table2[[#This Row],[Member Type]]="Spouse",Table2[[#This Row],[Product Option]]="My Value Plus Life &amp; Funeral",_xlfn.XLOOKUP(B603,Table2[Main Member Link ID],Table2[Benefit Name],0)=Lookups!$D$15),Lookups!$D$20,
IF(AND(Table2[[#This Row],[Member Type]]="Spouse",Table2[[#This Row],[Product Option]]="My Value Plus Life &amp; Funeral",_xlfn.XLOOKUP(B603,Table2[Main Member Link ID],Table2[Benefit Name],0)=Lookups!$D$16),"",
IF(AND(Table2[[#This Row],[Member Type]]="Spouse",Table2[[#This Row],[Product Option]]="My Value Plus Life &amp; Funeral",_xlfn.XLOOKUP(B603,Table2[Main Member Link ID],Table2[Benefit Name],0)=Lookups!$D$17),Lookups!$D$21,
IF(AND(Table2[[#This Row],[Member Type]]="Child",Table2[[#This Row],[Product Option]]="My Value Plus Life &amp; Funeral",_xlfn.XLOOKUP(B604,Table2[Main Member Link ID],Table2[Benefit Name],0)=Lookups!$D$14),"",
IF(AND(Table2[[#This Row],[Member Type]]="Child",Table2[[#This Row],[Product Option]]="My Value Plus Life &amp; Funeral",_xlfn.XLOOKUP(B604,Table2[Main Member Link ID],Table2[Benefit Name],0)=Lookups!$D$15),"",
IF(AND(Table2[[#This Row],[Member Type]]="Child",Table2[[#This Row],[Product Option]]="My Value Plus Life &amp; Funeral",_xlfn.XLOOKUP(B604,Table2[Main Member Link ID],Table2[Benefit Name],0)=Lookups!$D$16),Lookups!$D$24,
IF(AND(Table2[[#This Row],[Member Type]]="Child",Table2[[#This Row],[Product Option]]="My Value Plus Life &amp; Funeral",_xlfn.XLOOKUP(B604,Table2[Main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Funeral",_xlfn.XLOOKUP(B604,Table2[Main Member Link ID],Table2[Benefit Name],0)&lt;&gt;Lookups!$D$14),
IF(_xlfn.XLOOKUP(B604,Table2[Main Member Link ID],Table2[Benefit Name],0)=0,"",_xlfn.XLOOKUP(B604,Table2[Main Member Link ID],Table2[Benefit Name],0)),"")))))))))))))))</f>
        <v/>
      </c>
      <c r="AF604" s="327" t="str">
        <f>IF(AND(Table2[[#This Row],[Member Type]]="Main Member",Table2[[#This Row],[Product Option]]="My Value Plus Life &amp; Funeral"),Lookups!$D$15,
IF(AND(Table2[[#This Row],[Member Type]]="Spouse",Table2[[#This Row],[Product Option]]="My Value Plus Life &amp; Funeral",_xlfn.XLOOKUP(B604,Table2[Main Member Link ID],Table2[Benefit Name],0)=Lookups!$D$14),"",
IF(AND(Table2[[#This Row],[Member Type]]="Spouse",Table2[[#This Row],[Product Option]]="My Value Plus Life &amp; Funeral",_xlfn.XLOOKUP(B603,Table2[Main Member Link ID],Table2[Benefit Name],0)=Lookups!$D$16),"",
IF(AND(Table2[[#This Row],[Member Type]]="Spouse",Table2[[#This Row],[Product Option]]="My Value Plus Life &amp; Funeral",_xlfn.XLOOKUP(B603,Table2[Main Member Link ID],Table2[Benefit Name],0)=Lookups!$D$15),"",
IF(AND(Table2[[#This Row],[Member Type]]="Spouse",Table2[[#This Row],[Product Option]]="My Value Plus Life &amp; Funeral",_xlfn.XLOOKUP(B603,Table2[Main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Funeral",_xlfn.XLOOKUP(B604,Table2[Main Member Link ID],Table2[Benefit Name],0)&lt;&gt;Lookups!$D$15),
IF(_xlfn.XLOOKUP(B604,Table2[Main Member Link ID],Table2[Benefit Name],0)=0,"",_xlfn.XLOOKUP(B604,Table2[Main Member Link ID],Table2[Benefit Name],0)),"")
))))))</f>
        <v/>
      </c>
      <c r="AG604" s="327" t="str">
        <f>IF(AND(Table2[[#This Row],[Member Type]]="Main Member",Table2[[#This Row],[Product Option]]="My Value Plus Life &amp; Funeral"),Lookups!$D$16,
IF(AND(Table2[[#This Row],[Member Type]]="Spouse",Table2[[#This Row],[Product Option]]="My Value Plus Life &amp; Funeral",_xlfn.XLOOKUP(B604,Table2[Main Member Link ID],Table2[Benefit Name],0)=Lookups!$D$14),"",
IF(AND(Table2[[#This Row],[Member Type]]="Spouse",Table2[[#This Row],[Product Option]]="My Value Plus Life &amp; Funeral",_xlfn.XLOOKUP(B603,Table2[Main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Funeral",_xlfn.XLOOKUP(B604,Table2[Main Member Link ID],Table2[Benefit Name],0)&lt;&gt;Lookups!$D$16),
IF(_xlfn.XLOOKUP(B604,Table2[Main Member Link ID],Table2[Benefit Name],0)=0,"",_xlfn.XLOOKUP(B604,Table2[Main Member Link ID],Table2[Benefit Name],0)),"")
))))</f>
        <v/>
      </c>
      <c r="AH604" s="327" t="str">
        <f>IF(AND(Table2[[#This Row],[Member Type]]="Main Member",Table2[[#This Row],[Product Option]]="My Value Plus Life &amp; Funeral"),Lookups!$D$17,
IF(AND(Table2[[#This Row],[Member Type]]="Spouse",Table2[[#This Row],[Product Option]]="My Value Plus Life &amp; Funeral",_xlfn.XLOOKUP(B604,Table2[Main Member Link ID],Table2[Benefit Name],0)=Lookups!$D$14),"",
IF(AND(Table2[[#This Row],[Member Type]]="Spouse",Table2[[#This Row],[Product Option]]="My Value Plus Life &amp; Funeral",_xlfn.XLOOKUP(B603,Table2[Main Member Link ID],Table2[Benefit Name],0)=Lookups!$D$16),"",
IF(AND(Table2[[#This Row],[Member Type]]="Child",Table2[[#This Row],[Product Option]]="My Value Plus Life &amp; Funeral"),"",
IF(AND(Table2[[#This Row],[Member Type]]="Child",Table2[[#This Row],[Product Option]]="My Value Plus Life &amp; Funeral",_xlfn.XLOOKUP(B604,Table2[Main Member Link ID],Table2[Benefit Name],0)=Lookups!$D$15),"",
IF(AND(OR(Table2[[#This Row],[Member Type]]="Spouse",Table2[[#This Row],[Member Type]]="Child"),Table2[[#This Row],[Product Option]]="My Value Plus Life &amp; Funeral",_xlfn.XLOOKUP(B604,Table2[Main Member Link ID],Table2[Benefit Name],0)&lt;&gt;Lookups!$D$17),
IF(_xlfn.XLOOKUP(B604,Table2[Main Member Link ID],Table2[Benefit Name],0)=0,"",_xlfn.XLOOKUP(B604,Table2[Main Member Link ID],Table2[Benefit Name],0)),""))))))</f>
        <v/>
      </c>
      <c r="AI604" s="328" t="str">
        <f>IF(AND(Table2[[#This Row],[Member Type]]="Main Member",Table2[[#This Row],[Table Lookup for Life Cover]]="MM_LIFE",Table2[[#This Row],[Age Next Birthday]]&lt;56),1,
IF(AND(Table2[[#This Row],[Member Type]]="Main Member",Table2[[#This Row],[Table Lookup for Life Cover]]="MM_LIFE",Table2[[#This Row],[Age Next Birthday]]&gt;=56),2,
""))</f>
        <v/>
      </c>
      <c r="AJ604" s="328">
        <f>IF(OR(Table2[[#This Row],[Member Type]]="Main Member",Table2[[#This Row],[Main Member Link ID]]=B603),1,0)</f>
        <v>1</v>
      </c>
      <c r="AK604" s="328">
        <f>IF(Table2[[#This Row],[Member Type]]=0,0,
IF(OR(Table2[[#This Row],[Member Type]]="Main Member",Table2[[#This Row],[Main Member Link ID]]&lt;&gt;B604),COUNTIFS(B:B,Table2[[#This Row],[Main Member Link ID]]),
COUNTIFS(B:B,Table2[[#This Row],[Main Member Link ID]],A:A,Table2[[#This Row],[Member Type]])))</f>
        <v>0</v>
      </c>
    </row>
    <row r="605" spans="1:37" x14ac:dyDescent="0.3">
      <c r="A605" s="284">
        <f>Table13[[#This Row],[Member Type]]</f>
        <v>0</v>
      </c>
      <c r="B605" s="284">
        <f>Table13[[#This Row],[Main Member Link ID]]</f>
        <v>0</v>
      </c>
      <c r="C605" s="284">
        <f>Table13[[#This Row],[ID Number]]</f>
        <v>0</v>
      </c>
      <c r="D605" s="285">
        <f>Table13[[#This Row],[Date Of Birth]]</f>
        <v>0</v>
      </c>
      <c r="E605" s="285">
        <f>Table13[[#This Row],[Commencement Date]]</f>
        <v>0</v>
      </c>
      <c r="F605" s="284">
        <f t="shared" si="63"/>
        <v>1</v>
      </c>
      <c r="G605" s="284">
        <f t="shared" si="64"/>
        <v>25</v>
      </c>
      <c r="H605" s="286">
        <f>Table13[[#This Row],[Product Option]]</f>
        <v>0</v>
      </c>
      <c r="I605" s="284">
        <f>IF(AND($A605="Main Member",Table2[[#This Row],[Product Option]]="My Value Plus Life"),"MM_LIFE",
IF(AND($A605="Spouse",Table2[[#This Row],[Product Option]]="My Value Plus Life"),"SP_LIFE",
IF(AND($A605="Main Member",Table2[[#This Row],[Product Option]]="My Value Plus Life &amp; Funeral"),"MM_LIFE",
IF(AND($A605="Spouse",Table2[[#This Row],[Product Option]]="My Value Plus Life &amp; Funeral"),_xlfn.XLOOKUP(Table2[[#This Row],[Benefit Name]],Lookups!$D$18:$D$23,Lookups!$E$18:$E$23,0),
0))))</f>
        <v>0</v>
      </c>
      <c r="J605" s="284">
        <f>IF($I605="","",
IF($I605="MM_LIFE",INDEX('Quotation Tool'!$S$54:$V$60,MATCH($T605,'Quotation Tool'!$S$54:$S$60,0),4),
IF($I605="SP_LIFE",_xlfn.XLOOKUP(B604,$B:$B,$J:$J,0),0)))</f>
        <v>0</v>
      </c>
      <c r="K605" s="287">
        <f t="shared" ca="1" si="68"/>
        <v>0</v>
      </c>
      <c r="L605" s="288">
        <f t="shared" ca="1" si="69"/>
        <v>0</v>
      </c>
      <c r="M605" s="289">
        <f t="shared" ca="1" si="65"/>
        <v>0</v>
      </c>
      <c r="N605" s="286">
        <f>Table13[[#This Row],[Benefit Option]]</f>
        <v>0</v>
      </c>
      <c r="O605" s="284">
        <f>IF(OR(Table2[[#This Row],[Member Type]]="Spouse",Table2[[#This Row],[Member Type]]="Child"),0,
IF(_xlfn.XLOOKUP($N605,Lookups!$D$13:$D$27,Lookups!$F$13:$F$27,0)=Table2[[#This Row],[Table Lookup for Life Cover]],0,
_xlfn.XLOOKUP($N605,Lookups!$D$13:$D$27,Lookups!$F$13:$F$27,0)))</f>
        <v>0</v>
      </c>
      <c r="P605" s="284">
        <f>IF(Table2[[#This Row],[Table Lookup for Funeral]]=0,0,IFERROR(INDEX('Quotation Tool'!$S$54:$V$60,MATCH($T605,'Quotation Tool'!$S$54:$S$60,0),3),0))</f>
        <v>0</v>
      </c>
      <c r="Q605" s="288">
        <f ca="1">IF(OR(Table2[[#This Row],[Benefit Name]]="My Value Plus Life - Main Member",Table2[[#This Row],[Benefit Name]]="My Value Plus Life - Spouse"),0,
IFERROR(VLOOKUP($G605,INDIRECT($O605),$P605,FALSE),0))</f>
        <v>0</v>
      </c>
      <c r="R605" s="288">
        <f ca="1">IF(OR(Table2[[#This Row],[Benefit Name]]="My Value Plus Life - Main Member",Table2[[#This Row],[Benefit Name]]="My Value Plus Life - Spouse"),0,
IFERROR(VLOOKUP($G605,INDIRECT($O605),$P605+1,FALSE),0))</f>
        <v>0</v>
      </c>
      <c r="S605" s="289">
        <f t="shared" ca="1" si="66"/>
        <v>0</v>
      </c>
      <c r="T605" s="284" t="str">
        <f>IF(Table13[[#This Row],[Premium Waiver]]="","None",Table13[[#This Row],[Premium Waiver]])</f>
        <v>None</v>
      </c>
      <c r="U605" s="284">
        <f>Table13[[#This Row],[VAPs Options]]</f>
        <v>0</v>
      </c>
      <c r="V605" s="284">
        <f>Table13[[#This Row],[Annual Increase Option]]</f>
        <v>0</v>
      </c>
      <c r="W605" s="290">
        <f>Table13[[#This Row],[Life Cover Amount]]</f>
        <v>0</v>
      </c>
      <c r="X605" s="290">
        <f>Table13[[#This Row],[Funeral Cover Amount]]</f>
        <v>0</v>
      </c>
      <c r="Y60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0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05" s="301">
        <f t="shared" ca="1" si="67"/>
        <v>0</v>
      </c>
      <c r="AB605" s="298"/>
      <c r="AC605" s="326" t="str">
        <f>IF(Table2[[#This Row],[Member Type]]="Main Member",Lookups!$C$13,
IF(Table2[[#This Row],[Member Type]]="Spouse",_xlfn.XLOOKUP(B605,Table2[Main Member Link ID],Table2[Product Option],0),
IF(AND(Table2[[#This Row],[Member Type]]="Child",_xlfn.XLOOKUP(B605,Table2[Main Member Link ID],Table2[Product Option],0)&lt;&gt;"My Value Plus Life"),Lookups!$C$24,
IF(AND(OR(Table2[[#This Row],[Member Type]]="Parent",Table2[[#This Row],[Member Type]]="Extended"),_xlfn.XLOOKUP(B605,Table2[Main Member Link ID],Table2[Product Option],0)&lt;&gt;"My Value Plus Life"),Lookups!$C$26,""))))</f>
        <v/>
      </c>
      <c r="AD605" s="326" t="str">
        <f>IF(Table2[[#This Row],[Member Type]]="Main Member",Lookups!$C$14,"")</f>
        <v/>
      </c>
      <c r="AE60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Funeral",_xlfn.XLOOKUP(B605,Table2[Main Member Link ID],Table2[Benefit Name],0)=Lookups!$D$14),"",
IF(AND(Table2[[#This Row],[Member Type]]="Spouse",Table2[[#This Row],[Product Option]]="My Value Plus Life &amp; Funeral",_xlfn.XLOOKUP(B604,Table2[Main Member Link ID],Table2[Benefit Name],0)=Lookups!$D$15),Lookups!$D$20,
IF(AND(Table2[[#This Row],[Member Type]]="Spouse",Table2[[#This Row],[Product Option]]="My Value Plus Life &amp; Funeral",_xlfn.XLOOKUP(B604,Table2[Main Member Link ID],Table2[Benefit Name],0)=Lookups!$D$16),"",
IF(AND(Table2[[#This Row],[Member Type]]="Spouse",Table2[[#This Row],[Product Option]]="My Value Plus Life &amp; Funeral",_xlfn.XLOOKUP(B604,Table2[Main Member Link ID],Table2[Benefit Name],0)=Lookups!$D$17),Lookups!$D$21,
IF(AND(Table2[[#This Row],[Member Type]]="Child",Table2[[#This Row],[Product Option]]="My Value Plus Life &amp; Funeral",_xlfn.XLOOKUP(B605,Table2[Main Member Link ID],Table2[Benefit Name],0)=Lookups!$D$14),"",
IF(AND(Table2[[#This Row],[Member Type]]="Child",Table2[[#This Row],[Product Option]]="My Value Plus Life &amp; Funeral",_xlfn.XLOOKUP(B605,Table2[Main Member Link ID],Table2[Benefit Name],0)=Lookups!$D$15),"",
IF(AND(Table2[[#This Row],[Member Type]]="Child",Table2[[#This Row],[Product Option]]="My Value Plus Life &amp; Funeral",_xlfn.XLOOKUP(B605,Table2[Main Member Link ID],Table2[Benefit Name],0)=Lookups!$D$16),Lookups!$D$24,
IF(AND(Table2[[#This Row],[Member Type]]="Child",Table2[[#This Row],[Product Option]]="My Value Plus Life &amp; Funeral",_xlfn.XLOOKUP(B605,Table2[Main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Funeral",_xlfn.XLOOKUP(B605,Table2[Main Member Link ID],Table2[Benefit Name],0)&lt;&gt;Lookups!$D$14),
IF(_xlfn.XLOOKUP(B605,Table2[Main Member Link ID],Table2[Benefit Name],0)=0,"",_xlfn.XLOOKUP(B605,Table2[Main Member Link ID],Table2[Benefit Name],0)),"")))))))))))))))</f>
        <v/>
      </c>
      <c r="AF605" s="327" t="str">
        <f>IF(AND(Table2[[#This Row],[Member Type]]="Main Member",Table2[[#This Row],[Product Option]]="My Value Plus Life &amp; Funeral"),Lookups!$D$15,
IF(AND(Table2[[#This Row],[Member Type]]="Spouse",Table2[[#This Row],[Product Option]]="My Value Plus Life &amp; Funeral",_xlfn.XLOOKUP(B605,Table2[Main Member Link ID],Table2[Benefit Name],0)=Lookups!$D$14),"",
IF(AND(Table2[[#This Row],[Member Type]]="Spouse",Table2[[#This Row],[Product Option]]="My Value Plus Life &amp; Funeral",_xlfn.XLOOKUP(B604,Table2[Main Member Link ID],Table2[Benefit Name],0)=Lookups!$D$16),"",
IF(AND(Table2[[#This Row],[Member Type]]="Spouse",Table2[[#This Row],[Product Option]]="My Value Plus Life &amp; Funeral",_xlfn.XLOOKUP(B604,Table2[Main Member Link ID],Table2[Benefit Name],0)=Lookups!$D$15),"",
IF(AND(Table2[[#This Row],[Member Type]]="Spouse",Table2[[#This Row],[Product Option]]="My Value Plus Life &amp; Funeral",_xlfn.XLOOKUP(B604,Table2[Main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Funeral",_xlfn.XLOOKUP(B605,Table2[Main Member Link ID],Table2[Benefit Name],0)&lt;&gt;Lookups!$D$15),
IF(_xlfn.XLOOKUP(B605,Table2[Main Member Link ID],Table2[Benefit Name],0)=0,"",_xlfn.XLOOKUP(B605,Table2[Main Member Link ID],Table2[Benefit Name],0)),"")
))))))</f>
        <v/>
      </c>
      <c r="AG605" s="327" t="str">
        <f>IF(AND(Table2[[#This Row],[Member Type]]="Main Member",Table2[[#This Row],[Product Option]]="My Value Plus Life &amp; Funeral"),Lookups!$D$16,
IF(AND(Table2[[#This Row],[Member Type]]="Spouse",Table2[[#This Row],[Product Option]]="My Value Plus Life &amp; Funeral",_xlfn.XLOOKUP(B605,Table2[Main Member Link ID],Table2[Benefit Name],0)=Lookups!$D$14),"",
IF(AND(Table2[[#This Row],[Member Type]]="Spouse",Table2[[#This Row],[Product Option]]="My Value Plus Life &amp; Funeral",_xlfn.XLOOKUP(B604,Table2[Main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Funeral",_xlfn.XLOOKUP(B605,Table2[Main Member Link ID],Table2[Benefit Name],0)&lt;&gt;Lookups!$D$16),
IF(_xlfn.XLOOKUP(B605,Table2[Main Member Link ID],Table2[Benefit Name],0)=0,"",_xlfn.XLOOKUP(B605,Table2[Main Member Link ID],Table2[Benefit Name],0)),"")
))))</f>
        <v/>
      </c>
      <c r="AH605" s="327" t="str">
        <f>IF(AND(Table2[[#This Row],[Member Type]]="Main Member",Table2[[#This Row],[Product Option]]="My Value Plus Life &amp; Funeral"),Lookups!$D$17,
IF(AND(Table2[[#This Row],[Member Type]]="Spouse",Table2[[#This Row],[Product Option]]="My Value Plus Life &amp; Funeral",_xlfn.XLOOKUP(B605,Table2[Main Member Link ID],Table2[Benefit Name],0)=Lookups!$D$14),"",
IF(AND(Table2[[#This Row],[Member Type]]="Spouse",Table2[[#This Row],[Product Option]]="My Value Plus Life &amp; Funeral",_xlfn.XLOOKUP(B604,Table2[Main Member Link ID],Table2[Benefit Name],0)=Lookups!$D$16),"",
IF(AND(Table2[[#This Row],[Member Type]]="Child",Table2[[#This Row],[Product Option]]="My Value Plus Life &amp; Funeral"),"",
IF(AND(Table2[[#This Row],[Member Type]]="Child",Table2[[#This Row],[Product Option]]="My Value Plus Life &amp; Funeral",_xlfn.XLOOKUP(B605,Table2[Main Member Link ID],Table2[Benefit Name],0)=Lookups!$D$15),"",
IF(AND(OR(Table2[[#This Row],[Member Type]]="Spouse",Table2[[#This Row],[Member Type]]="Child"),Table2[[#This Row],[Product Option]]="My Value Plus Life &amp; Funeral",_xlfn.XLOOKUP(B605,Table2[Main Member Link ID],Table2[Benefit Name],0)&lt;&gt;Lookups!$D$17),
IF(_xlfn.XLOOKUP(B605,Table2[Main Member Link ID],Table2[Benefit Name],0)=0,"",_xlfn.XLOOKUP(B605,Table2[Main Member Link ID],Table2[Benefit Name],0)),""))))))</f>
        <v/>
      </c>
      <c r="AI605" s="328" t="str">
        <f>IF(AND(Table2[[#This Row],[Member Type]]="Main Member",Table2[[#This Row],[Table Lookup for Life Cover]]="MM_LIFE",Table2[[#This Row],[Age Next Birthday]]&lt;56),1,
IF(AND(Table2[[#This Row],[Member Type]]="Main Member",Table2[[#This Row],[Table Lookup for Life Cover]]="MM_LIFE",Table2[[#This Row],[Age Next Birthday]]&gt;=56),2,
""))</f>
        <v/>
      </c>
      <c r="AJ605" s="328">
        <f>IF(OR(Table2[[#This Row],[Member Type]]="Main Member",Table2[[#This Row],[Main Member Link ID]]=B604),1,0)</f>
        <v>1</v>
      </c>
      <c r="AK605" s="328">
        <f>IF(Table2[[#This Row],[Member Type]]=0,0,
IF(OR(Table2[[#This Row],[Member Type]]="Main Member",Table2[[#This Row],[Main Member Link ID]]&lt;&gt;B605),COUNTIFS(B:B,Table2[[#This Row],[Main Member Link ID]]),
COUNTIFS(B:B,Table2[[#This Row],[Main Member Link ID]],A:A,Table2[[#This Row],[Member Type]])))</f>
        <v>0</v>
      </c>
    </row>
    <row r="606" spans="1:37" x14ac:dyDescent="0.3">
      <c r="A606" s="284">
        <f>Table13[[#This Row],[Member Type]]</f>
        <v>0</v>
      </c>
      <c r="B606" s="284">
        <f>Table13[[#This Row],[Main Member Link ID]]</f>
        <v>0</v>
      </c>
      <c r="C606" s="284">
        <f>Table13[[#This Row],[ID Number]]</f>
        <v>0</v>
      </c>
      <c r="D606" s="285">
        <f>Table13[[#This Row],[Date Of Birth]]</f>
        <v>0</v>
      </c>
      <c r="E606" s="285">
        <f>Table13[[#This Row],[Commencement Date]]</f>
        <v>0</v>
      </c>
      <c r="F606" s="284">
        <f t="shared" si="63"/>
        <v>1</v>
      </c>
      <c r="G606" s="284">
        <f t="shared" si="64"/>
        <v>25</v>
      </c>
      <c r="H606" s="286">
        <f>Table13[[#This Row],[Product Option]]</f>
        <v>0</v>
      </c>
      <c r="I606" s="284">
        <f>IF(AND($A606="Main Member",Table2[[#This Row],[Product Option]]="My Value Plus Life"),"MM_LIFE",
IF(AND($A606="Spouse",Table2[[#This Row],[Product Option]]="My Value Plus Life"),"SP_LIFE",
IF(AND($A606="Main Member",Table2[[#This Row],[Product Option]]="My Value Plus Life &amp; Funeral"),"MM_LIFE",
IF(AND($A606="Spouse",Table2[[#This Row],[Product Option]]="My Value Plus Life &amp; Funeral"),_xlfn.XLOOKUP(Table2[[#This Row],[Benefit Name]],Lookups!$D$18:$D$23,Lookups!$E$18:$E$23,0),
0))))</f>
        <v>0</v>
      </c>
      <c r="J606" s="284">
        <f>IF($I606="","",
IF($I606="MM_LIFE",INDEX('Quotation Tool'!$S$54:$V$60,MATCH($T606,'Quotation Tool'!$S$54:$S$60,0),4),
IF($I606="SP_LIFE",_xlfn.XLOOKUP(B605,$B:$B,$J:$J,0),0)))</f>
        <v>0</v>
      </c>
      <c r="K606" s="287">
        <f t="shared" ca="1" si="68"/>
        <v>0</v>
      </c>
      <c r="L606" s="288">
        <f t="shared" ca="1" si="69"/>
        <v>0</v>
      </c>
      <c r="M606" s="289">
        <f t="shared" ca="1" si="65"/>
        <v>0</v>
      </c>
      <c r="N606" s="286">
        <f>Table13[[#This Row],[Benefit Option]]</f>
        <v>0</v>
      </c>
      <c r="O606" s="284">
        <f>IF(OR(Table2[[#This Row],[Member Type]]="Spouse",Table2[[#This Row],[Member Type]]="Child"),0,
IF(_xlfn.XLOOKUP($N606,Lookups!$D$13:$D$27,Lookups!$F$13:$F$27,0)=Table2[[#This Row],[Table Lookup for Life Cover]],0,
_xlfn.XLOOKUP($N606,Lookups!$D$13:$D$27,Lookups!$F$13:$F$27,0)))</f>
        <v>0</v>
      </c>
      <c r="P606" s="284">
        <f>IF(Table2[[#This Row],[Table Lookup for Funeral]]=0,0,IFERROR(INDEX('Quotation Tool'!$S$54:$V$60,MATCH($T606,'Quotation Tool'!$S$54:$S$60,0),3),0))</f>
        <v>0</v>
      </c>
      <c r="Q606" s="288">
        <f ca="1">IF(OR(Table2[[#This Row],[Benefit Name]]="My Value Plus Life - Main Member",Table2[[#This Row],[Benefit Name]]="My Value Plus Life - Spouse"),0,
IFERROR(VLOOKUP($G606,INDIRECT($O606),$P606,FALSE),0))</f>
        <v>0</v>
      </c>
      <c r="R606" s="288">
        <f ca="1">IF(OR(Table2[[#This Row],[Benefit Name]]="My Value Plus Life - Main Member",Table2[[#This Row],[Benefit Name]]="My Value Plus Life - Spouse"),0,
IFERROR(VLOOKUP($G606,INDIRECT($O606),$P606+1,FALSE),0))</f>
        <v>0</v>
      </c>
      <c r="S606" s="289">
        <f t="shared" ca="1" si="66"/>
        <v>0</v>
      </c>
      <c r="T606" s="284" t="str">
        <f>IF(Table13[[#This Row],[Premium Waiver]]="","None",Table13[[#This Row],[Premium Waiver]])</f>
        <v>None</v>
      </c>
      <c r="U606" s="284">
        <f>Table13[[#This Row],[VAPs Options]]</f>
        <v>0</v>
      </c>
      <c r="V606" s="284">
        <f>Table13[[#This Row],[Annual Increase Option]]</f>
        <v>0</v>
      </c>
      <c r="W606" s="290">
        <f>Table13[[#This Row],[Life Cover Amount]]</f>
        <v>0</v>
      </c>
      <c r="X606" s="290">
        <f>Table13[[#This Row],[Funeral Cover Amount]]</f>
        <v>0</v>
      </c>
      <c r="Y60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0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06" s="301">
        <f t="shared" ca="1" si="67"/>
        <v>0</v>
      </c>
      <c r="AB606" s="298"/>
      <c r="AC606" s="326" t="str">
        <f>IF(Table2[[#This Row],[Member Type]]="Main Member",Lookups!$C$13,
IF(Table2[[#This Row],[Member Type]]="Spouse",_xlfn.XLOOKUP(B606,Table2[Main Member Link ID],Table2[Product Option],0),
IF(AND(Table2[[#This Row],[Member Type]]="Child",_xlfn.XLOOKUP(B606,Table2[Main Member Link ID],Table2[Product Option],0)&lt;&gt;"My Value Plus Life"),Lookups!$C$24,
IF(AND(OR(Table2[[#This Row],[Member Type]]="Parent",Table2[[#This Row],[Member Type]]="Extended"),_xlfn.XLOOKUP(B606,Table2[Main Member Link ID],Table2[Product Option],0)&lt;&gt;"My Value Plus Life"),Lookups!$C$26,""))))</f>
        <v/>
      </c>
      <c r="AD606" s="326" t="str">
        <f>IF(Table2[[#This Row],[Member Type]]="Main Member",Lookups!$C$14,"")</f>
        <v/>
      </c>
      <c r="AE60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Funeral",_xlfn.XLOOKUP(B606,Table2[Main Member Link ID],Table2[Benefit Name],0)=Lookups!$D$14),"",
IF(AND(Table2[[#This Row],[Member Type]]="Spouse",Table2[[#This Row],[Product Option]]="My Value Plus Life &amp; Funeral",_xlfn.XLOOKUP(B605,Table2[Main Member Link ID],Table2[Benefit Name],0)=Lookups!$D$15),Lookups!$D$20,
IF(AND(Table2[[#This Row],[Member Type]]="Spouse",Table2[[#This Row],[Product Option]]="My Value Plus Life &amp; Funeral",_xlfn.XLOOKUP(B605,Table2[Main Member Link ID],Table2[Benefit Name],0)=Lookups!$D$16),"",
IF(AND(Table2[[#This Row],[Member Type]]="Spouse",Table2[[#This Row],[Product Option]]="My Value Plus Life &amp; Funeral",_xlfn.XLOOKUP(B605,Table2[Main Member Link ID],Table2[Benefit Name],0)=Lookups!$D$17),Lookups!$D$21,
IF(AND(Table2[[#This Row],[Member Type]]="Child",Table2[[#This Row],[Product Option]]="My Value Plus Life &amp; Funeral",_xlfn.XLOOKUP(B606,Table2[Main Member Link ID],Table2[Benefit Name],0)=Lookups!$D$14),"",
IF(AND(Table2[[#This Row],[Member Type]]="Child",Table2[[#This Row],[Product Option]]="My Value Plus Life &amp; Funeral",_xlfn.XLOOKUP(B606,Table2[Main Member Link ID],Table2[Benefit Name],0)=Lookups!$D$15),"",
IF(AND(Table2[[#This Row],[Member Type]]="Child",Table2[[#This Row],[Product Option]]="My Value Plus Life &amp; Funeral",_xlfn.XLOOKUP(B606,Table2[Main Member Link ID],Table2[Benefit Name],0)=Lookups!$D$16),Lookups!$D$24,
IF(AND(Table2[[#This Row],[Member Type]]="Child",Table2[[#This Row],[Product Option]]="My Value Plus Life &amp; Funeral",_xlfn.XLOOKUP(B606,Table2[Main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Funeral",_xlfn.XLOOKUP(B606,Table2[Main Member Link ID],Table2[Benefit Name],0)&lt;&gt;Lookups!$D$14),
IF(_xlfn.XLOOKUP(B606,Table2[Main Member Link ID],Table2[Benefit Name],0)=0,"",_xlfn.XLOOKUP(B606,Table2[Main Member Link ID],Table2[Benefit Name],0)),"")))))))))))))))</f>
        <v/>
      </c>
      <c r="AF606" s="327" t="str">
        <f>IF(AND(Table2[[#This Row],[Member Type]]="Main Member",Table2[[#This Row],[Product Option]]="My Value Plus Life &amp; Funeral"),Lookups!$D$15,
IF(AND(Table2[[#This Row],[Member Type]]="Spouse",Table2[[#This Row],[Product Option]]="My Value Plus Life &amp; Funeral",_xlfn.XLOOKUP(B606,Table2[Main Member Link ID],Table2[Benefit Name],0)=Lookups!$D$14),"",
IF(AND(Table2[[#This Row],[Member Type]]="Spouse",Table2[[#This Row],[Product Option]]="My Value Plus Life &amp; Funeral",_xlfn.XLOOKUP(B605,Table2[Main Member Link ID],Table2[Benefit Name],0)=Lookups!$D$16),"",
IF(AND(Table2[[#This Row],[Member Type]]="Spouse",Table2[[#This Row],[Product Option]]="My Value Plus Life &amp; Funeral",_xlfn.XLOOKUP(B605,Table2[Main Member Link ID],Table2[Benefit Name],0)=Lookups!$D$15),"",
IF(AND(Table2[[#This Row],[Member Type]]="Spouse",Table2[[#This Row],[Product Option]]="My Value Plus Life &amp; Funeral",_xlfn.XLOOKUP(B605,Table2[Main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Funeral",_xlfn.XLOOKUP(B606,Table2[Main Member Link ID],Table2[Benefit Name],0)&lt;&gt;Lookups!$D$15),
IF(_xlfn.XLOOKUP(B606,Table2[Main Member Link ID],Table2[Benefit Name],0)=0,"",_xlfn.XLOOKUP(B606,Table2[Main Member Link ID],Table2[Benefit Name],0)),"")
))))))</f>
        <v/>
      </c>
      <c r="AG606" s="327" t="str">
        <f>IF(AND(Table2[[#This Row],[Member Type]]="Main Member",Table2[[#This Row],[Product Option]]="My Value Plus Life &amp; Funeral"),Lookups!$D$16,
IF(AND(Table2[[#This Row],[Member Type]]="Spouse",Table2[[#This Row],[Product Option]]="My Value Plus Life &amp; Funeral",_xlfn.XLOOKUP(B606,Table2[Main Member Link ID],Table2[Benefit Name],0)=Lookups!$D$14),"",
IF(AND(Table2[[#This Row],[Member Type]]="Spouse",Table2[[#This Row],[Product Option]]="My Value Plus Life &amp; Funeral",_xlfn.XLOOKUP(B605,Table2[Main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Funeral",_xlfn.XLOOKUP(B606,Table2[Main Member Link ID],Table2[Benefit Name],0)&lt;&gt;Lookups!$D$16),
IF(_xlfn.XLOOKUP(B606,Table2[Main Member Link ID],Table2[Benefit Name],0)=0,"",_xlfn.XLOOKUP(B606,Table2[Main Member Link ID],Table2[Benefit Name],0)),"")
))))</f>
        <v/>
      </c>
      <c r="AH606" s="327" t="str">
        <f>IF(AND(Table2[[#This Row],[Member Type]]="Main Member",Table2[[#This Row],[Product Option]]="My Value Plus Life &amp; Funeral"),Lookups!$D$17,
IF(AND(Table2[[#This Row],[Member Type]]="Spouse",Table2[[#This Row],[Product Option]]="My Value Plus Life &amp; Funeral",_xlfn.XLOOKUP(B606,Table2[Main Member Link ID],Table2[Benefit Name],0)=Lookups!$D$14),"",
IF(AND(Table2[[#This Row],[Member Type]]="Spouse",Table2[[#This Row],[Product Option]]="My Value Plus Life &amp; Funeral",_xlfn.XLOOKUP(B605,Table2[Main Member Link ID],Table2[Benefit Name],0)=Lookups!$D$16),"",
IF(AND(Table2[[#This Row],[Member Type]]="Child",Table2[[#This Row],[Product Option]]="My Value Plus Life &amp; Funeral"),"",
IF(AND(Table2[[#This Row],[Member Type]]="Child",Table2[[#This Row],[Product Option]]="My Value Plus Life &amp; Funeral",_xlfn.XLOOKUP(B606,Table2[Main Member Link ID],Table2[Benefit Name],0)=Lookups!$D$15),"",
IF(AND(OR(Table2[[#This Row],[Member Type]]="Spouse",Table2[[#This Row],[Member Type]]="Child"),Table2[[#This Row],[Product Option]]="My Value Plus Life &amp; Funeral",_xlfn.XLOOKUP(B606,Table2[Main Member Link ID],Table2[Benefit Name],0)&lt;&gt;Lookups!$D$17),
IF(_xlfn.XLOOKUP(B606,Table2[Main Member Link ID],Table2[Benefit Name],0)=0,"",_xlfn.XLOOKUP(B606,Table2[Main Member Link ID],Table2[Benefit Name],0)),""))))))</f>
        <v/>
      </c>
      <c r="AI606" s="328" t="str">
        <f>IF(AND(Table2[[#This Row],[Member Type]]="Main Member",Table2[[#This Row],[Table Lookup for Life Cover]]="MM_LIFE",Table2[[#This Row],[Age Next Birthday]]&lt;56),1,
IF(AND(Table2[[#This Row],[Member Type]]="Main Member",Table2[[#This Row],[Table Lookup for Life Cover]]="MM_LIFE",Table2[[#This Row],[Age Next Birthday]]&gt;=56),2,
""))</f>
        <v/>
      </c>
      <c r="AJ606" s="328">
        <f>IF(OR(Table2[[#This Row],[Member Type]]="Main Member",Table2[[#This Row],[Main Member Link ID]]=B605),1,0)</f>
        <v>1</v>
      </c>
      <c r="AK606" s="328">
        <f>IF(Table2[[#This Row],[Member Type]]=0,0,
IF(OR(Table2[[#This Row],[Member Type]]="Main Member",Table2[[#This Row],[Main Member Link ID]]&lt;&gt;B606),COUNTIFS(B:B,Table2[[#This Row],[Main Member Link ID]]),
COUNTIFS(B:B,Table2[[#This Row],[Main Member Link ID]],A:A,Table2[[#This Row],[Member Type]])))</f>
        <v>0</v>
      </c>
    </row>
    <row r="607" spans="1:37" x14ac:dyDescent="0.3">
      <c r="A607" s="284">
        <f>Table13[[#This Row],[Member Type]]</f>
        <v>0</v>
      </c>
      <c r="B607" s="284">
        <f>Table13[[#This Row],[Main Member Link ID]]</f>
        <v>0</v>
      </c>
      <c r="C607" s="284">
        <f>Table13[[#This Row],[ID Number]]</f>
        <v>0</v>
      </c>
      <c r="D607" s="285">
        <f>Table13[[#This Row],[Date Of Birth]]</f>
        <v>0</v>
      </c>
      <c r="E607" s="285">
        <f>Table13[[#This Row],[Commencement Date]]</f>
        <v>0</v>
      </c>
      <c r="F607" s="284">
        <f t="shared" si="63"/>
        <v>1</v>
      </c>
      <c r="G607" s="284">
        <f t="shared" si="64"/>
        <v>25</v>
      </c>
      <c r="H607" s="286">
        <f>Table13[[#This Row],[Product Option]]</f>
        <v>0</v>
      </c>
      <c r="I607" s="284">
        <f>IF(AND($A607="Main Member",Table2[[#This Row],[Product Option]]="My Value Plus Life"),"MM_LIFE",
IF(AND($A607="Spouse",Table2[[#This Row],[Product Option]]="My Value Plus Life"),"SP_LIFE",
IF(AND($A607="Main Member",Table2[[#This Row],[Product Option]]="My Value Plus Life &amp; Funeral"),"MM_LIFE",
IF(AND($A607="Spouse",Table2[[#This Row],[Product Option]]="My Value Plus Life &amp; Funeral"),_xlfn.XLOOKUP(Table2[[#This Row],[Benefit Name]],Lookups!$D$18:$D$23,Lookups!$E$18:$E$23,0),
0))))</f>
        <v>0</v>
      </c>
      <c r="J607" s="284">
        <f>IF($I607="","",
IF($I607="MM_LIFE",INDEX('Quotation Tool'!$S$54:$V$60,MATCH($T607,'Quotation Tool'!$S$54:$S$60,0),4),
IF($I607="SP_LIFE",_xlfn.XLOOKUP(B606,$B:$B,$J:$J,0),0)))</f>
        <v>0</v>
      </c>
      <c r="K607" s="287">
        <f t="shared" ca="1" si="68"/>
        <v>0</v>
      </c>
      <c r="L607" s="288">
        <f t="shared" ca="1" si="69"/>
        <v>0</v>
      </c>
      <c r="M607" s="289">
        <f t="shared" ca="1" si="65"/>
        <v>0</v>
      </c>
      <c r="N607" s="286">
        <f>Table13[[#This Row],[Benefit Option]]</f>
        <v>0</v>
      </c>
      <c r="O607" s="284">
        <f>IF(OR(Table2[[#This Row],[Member Type]]="Spouse",Table2[[#This Row],[Member Type]]="Child"),0,
IF(_xlfn.XLOOKUP($N607,Lookups!$D$13:$D$27,Lookups!$F$13:$F$27,0)=Table2[[#This Row],[Table Lookup for Life Cover]],0,
_xlfn.XLOOKUP($N607,Lookups!$D$13:$D$27,Lookups!$F$13:$F$27,0)))</f>
        <v>0</v>
      </c>
      <c r="P607" s="284">
        <f>IF(Table2[[#This Row],[Table Lookup for Funeral]]=0,0,IFERROR(INDEX('Quotation Tool'!$S$54:$V$60,MATCH($T607,'Quotation Tool'!$S$54:$S$60,0),3),0))</f>
        <v>0</v>
      </c>
      <c r="Q607" s="288">
        <f ca="1">IF(OR(Table2[[#This Row],[Benefit Name]]="My Value Plus Life - Main Member",Table2[[#This Row],[Benefit Name]]="My Value Plus Life - Spouse"),0,
IFERROR(VLOOKUP($G607,INDIRECT($O607),$P607,FALSE),0))</f>
        <v>0</v>
      </c>
      <c r="R607" s="288">
        <f ca="1">IF(OR(Table2[[#This Row],[Benefit Name]]="My Value Plus Life - Main Member",Table2[[#This Row],[Benefit Name]]="My Value Plus Life - Spouse"),0,
IFERROR(VLOOKUP($G607,INDIRECT($O607),$P607+1,FALSE),0))</f>
        <v>0</v>
      </c>
      <c r="S607" s="289">
        <f t="shared" ca="1" si="66"/>
        <v>0</v>
      </c>
      <c r="T607" s="284" t="str">
        <f>IF(Table13[[#This Row],[Premium Waiver]]="","None",Table13[[#This Row],[Premium Waiver]])</f>
        <v>None</v>
      </c>
      <c r="U607" s="284">
        <f>Table13[[#This Row],[VAPs Options]]</f>
        <v>0</v>
      </c>
      <c r="V607" s="284">
        <f>Table13[[#This Row],[Annual Increase Option]]</f>
        <v>0</v>
      </c>
      <c r="W607" s="290">
        <f>Table13[[#This Row],[Life Cover Amount]]</f>
        <v>0</v>
      </c>
      <c r="X607" s="290">
        <f>Table13[[#This Row],[Funeral Cover Amount]]</f>
        <v>0</v>
      </c>
      <c r="Y60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0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07" s="301">
        <f t="shared" ca="1" si="67"/>
        <v>0</v>
      </c>
      <c r="AB607" s="298"/>
      <c r="AC607" s="326" t="str">
        <f>IF(Table2[[#This Row],[Member Type]]="Main Member",Lookups!$C$13,
IF(Table2[[#This Row],[Member Type]]="Spouse",_xlfn.XLOOKUP(B607,Table2[Main Member Link ID],Table2[Product Option],0),
IF(AND(Table2[[#This Row],[Member Type]]="Child",_xlfn.XLOOKUP(B607,Table2[Main Member Link ID],Table2[Product Option],0)&lt;&gt;"My Value Plus Life"),Lookups!$C$24,
IF(AND(OR(Table2[[#This Row],[Member Type]]="Parent",Table2[[#This Row],[Member Type]]="Extended"),_xlfn.XLOOKUP(B607,Table2[Main Member Link ID],Table2[Product Option],0)&lt;&gt;"My Value Plus Life"),Lookups!$C$26,""))))</f>
        <v/>
      </c>
      <c r="AD607" s="326" t="str">
        <f>IF(Table2[[#This Row],[Member Type]]="Main Member",Lookups!$C$14,"")</f>
        <v/>
      </c>
      <c r="AE60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Funeral",_xlfn.XLOOKUP(B607,Table2[Main Member Link ID],Table2[Benefit Name],0)=Lookups!$D$14),"",
IF(AND(Table2[[#This Row],[Member Type]]="Spouse",Table2[[#This Row],[Product Option]]="My Value Plus Life &amp; Funeral",_xlfn.XLOOKUP(B606,Table2[Main Member Link ID],Table2[Benefit Name],0)=Lookups!$D$15),Lookups!$D$20,
IF(AND(Table2[[#This Row],[Member Type]]="Spouse",Table2[[#This Row],[Product Option]]="My Value Plus Life &amp; Funeral",_xlfn.XLOOKUP(B606,Table2[Main Member Link ID],Table2[Benefit Name],0)=Lookups!$D$16),"",
IF(AND(Table2[[#This Row],[Member Type]]="Spouse",Table2[[#This Row],[Product Option]]="My Value Plus Life &amp; Funeral",_xlfn.XLOOKUP(B606,Table2[Main Member Link ID],Table2[Benefit Name],0)=Lookups!$D$17),Lookups!$D$21,
IF(AND(Table2[[#This Row],[Member Type]]="Child",Table2[[#This Row],[Product Option]]="My Value Plus Life &amp; Funeral",_xlfn.XLOOKUP(B607,Table2[Main Member Link ID],Table2[Benefit Name],0)=Lookups!$D$14),"",
IF(AND(Table2[[#This Row],[Member Type]]="Child",Table2[[#This Row],[Product Option]]="My Value Plus Life &amp; Funeral",_xlfn.XLOOKUP(B607,Table2[Main Member Link ID],Table2[Benefit Name],0)=Lookups!$D$15),"",
IF(AND(Table2[[#This Row],[Member Type]]="Child",Table2[[#This Row],[Product Option]]="My Value Plus Life &amp; Funeral",_xlfn.XLOOKUP(B607,Table2[Main Member Link ID],Table2[Benefit Name],0)=Lookups!$D$16),Lookups!$D$24,
IF(AND(Table2[[#This Row],[Member Type]]="Child",Table2[[#This Row],[Product Option]]="My Value Plus Life &amp; Funeral",_xlfn.XLOOKUP(B607,Table2[Main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Funeral",_xlfn.XLOOKUP(B607,Table2[Main Member Link ID],Table2[Benefit Name],0)&lt;&gt;Lookups!$D$14),
IF(_xlfn.XLOOKUP(B607,Table2[Main Member Link ID],Table2[Benefit Name],0)=0,"",_xlfn.XLOOKUP(B607,Table2[Main Member Link ID],Table2[Benefit Name],0)),"")))))))))))))))</f>
        <v/>
      </c>
      <c r="AF607" s="327" t="str">
        <f>IF(AND(Table2[[#This Row],[Member Type]]="Main Member",Table2[[#This Row],[Product Option]]="My Value Plus Life &amp; Funeral"),Lookups!$D$15,
IF(AND(Table2[[#This Row],[Member Type]]="Spouse",Table2[[#This Row],[Product Option]]="My Value Plus Life &amp; Funeral",_xlfn.XLOOKUP(B607,Table2[Main Member Link ID],Table2[Benefit Name],0)=Lookups!$D$14),"",
IF(AND(Table2[[#This Row],[Member Type]]="Spouse",Table2[[#This Row],[Product Option]]="My Value Plus Life &amp; Funeral",_xlfn.XLOOKUP(B606,Table2[Main Member Link ID],Table2[Benefit Name],0)=Lookups!$D$16),"",
IF(AND(Table2[[#This Row],[Member Type]]="Spouse",Table2[[#This Row],[Product Option]]="My Value Plus Life &amp; Funeral",_xlfn.XLOOKUP(B606,Table2[Main Member Link ID],Table2[Benefit Name],0)=Lookups!$D$15),"",
IF(AND(Table2[[#This Row],[Member Type]]="Spouse",Table2[[#This Row],[Product Option]]="My Value Plus Life &amp; Funeral",_xlfn.XLOOKUP(B606,Table2[Main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Funeral",_xlfn.XLOOKUP(B607,Table2[Main Member Link ID],Table2[Benefit Name],0)&lt;&gt;Lookups!$D$15),
IF(_xlfn.XLOOKUP(B607,Table2[Main Member Link ID],Table2[Benefit Name],0)=0,"",_xlfn.XLOOKUP(B607,Table2[Main Member Link ID],Table2[Benefit Name],0)),"")
))))))</f>
        <v/>
      </c>
      <c r="AG607" s="327" t="str">
        <f>IF(AND(Table2[[#This Row],[Member Type]]="Main Member",Table2[[#This Row],[Product Option]]="My Value Plus Life &amp; Funeral"),Lookups!$D$16,
IF(AND(Table2[[#This Row],[Member Type]]="Spouse",Table2[[#This Row],[Product Option]]="My Value Plus Life &amp; Funeral",_xlfn.XLOOKUP(B607,Table2[Main Member Link ID],Table2[Benefit Name],0)=Lookups!$D$14),"",
IF(AND(Table2[[#This Row],[Member Type]]="Spouse",Table2[[#This Row],[Product Option]]="My Value Plus Life &amp; Funeral",_xlfn.XLOOKUP(B606,Table2[Main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Funeral",_xlfn.XLOOKUP(B607,Table2[Main Member Link ID],Table2[Benefit Name],0)&lt;&gt;Lookups!$D$16),
IF(_xlfn.XLOOKUP(B607,Table2[Main Member Link ID],Table2[Benefit Name],0)=0,"",_xlfn.XLOOKUP(B607,Table2[Main Member Link ID],Table2[Benefit Name],0)),"")
))))</f>
        <v/>
      </c>
      <c r="AH607" s="327" t="str">
        <f>IF(AND(Table2[[#This Row],[Member Type]]="Main Member",Table2[[#This Row],[Product Option]]="My Value Plus Life &amp; Funeral"),Lookups!$D$17,
IF(AND(Table2[[#This Row],[Member Type]]="Spouse",Table2[[#This Row],[Product Option]]="My Value Plus Life &amp; Funeral",_xlfn.XLOOKUP(B607,Table2[Main Member Link ID],Table2[Benefit Name],0)=Lookups!$D$14),"",
IF(AND(Table2[[#This Row],[Member Type]]="Spouse",Table2[[#This Row],[Product Option]]="My Value Plus Life &amp; Funeral",_xlfn.XLOOKUP(B606,Table2[Main Member Link ID],Table2[Benefit Name],0)=Lookups!$D$16),"",
IF(AND(Table2[[#This Row],[Member Type]]="Child",Table2[[#This Row],[Product Option]]="My Value Plus Life &amp; Funeral"),"",
IF(AND(Table2[[#This Row],[Member Type]]="Child",Table2[[#This Row],[Product Option]]="My Value Plus Life &amp; Funeral",_xlfn.XLOOKUP(B607,Table2[Main Member Link ID],Table2[Benefit Name],0)=Lookups!$D$15),"",
IF(AND(OR(Table2[[#This Row],[Member Type]]="Spouse",Table2[[#This Row],[Member Type]]="Child"),Table2[[#This Row],[Product Option]]="My Value Plus Life &amp; Funeral",_xlfn.XLOOKUP(B607,Table2[Main Member Link ID],Table2[Benefit Name],0)&lt;&gt;Lookups!$D$17),
IF(_xlfn.XLOOKUP(B607,Table2[Main Member Link ID],Table2[Benefit Name],0)=0,"",_xlfn.XLOOKUP(B607,Table2[Main Member Link ID],Table2[Benefit Name],0)),""))))))</f>
        <v/>
      </c>
      <c r="AI607" s="328" t="str">
        <f>IF(AND(Table2[[#This Row],[Member Type]]="Main Member",Table2[[#This Row],[Table Lookup for Life Cover]]="MM_LIFE",Table2[[#This Row],[Age Next Birthday]]&lt;56),1,
IF(AND(Table2[[#This Row],[Member Type]]="Main Member",Table2[[#This Row],[Table Lookup for Life Cover]]="MM_LIFE",Table2[[#This Row],[Age Next Birthday]]&gt;=56),2,
""))</f>
        <v/>
      </c>
      <c r="AJ607" s="328">
        <f>IF(OR(Table2[[#This Row],[Member Type]]="Main Member",Table2[[#This Row],[Main Member Link ID]]=B606),1,0)</f>
        <v>1</v>
      </c>
      <c r="AK607" s="328">
        <f>IF(Table2[[#This Row],[Member Type]]=0,0,
IF(OR(Table2[[#This Row],[Member Type]]="Main Member",Table2[[#This Row],[Main Member Link ID]]&lt;&gt;B607),COUNTIFS(B:B,Table2[[#This Row],[Main Member Link ID]]),
COUNTIFS(B:B,Table2[[#This Row],[Main Member Link ID]],A:A,Table2[[#This Row],[Member Type]])))</f>
        <v>0</v>
      </c>
    </row>
    <row r="608" spans="1:37" x14ac:dyDescent="0.3">
      <c r="A608" s="284">
        <f>Table13[[#This Row],[Member Type]]</f>
        <v>0</v>
      </c>
      <c r="B608" s="284">
        <f>Table13[[#This Row],[Main Member Link ID]]</f>
        <v>0</v>
      </c>
      <c r="C608" s="284">
        <f>Table13[[#This Row],[ID Number]]</f>
        <v>0</v>
      </c>
      <c r="D608" s="285">
        <f>Table13[[#This Row],[Date Of Birth]]</f>
        <v>0</v>
      </c>
      <c r="E608" s="285">
        <f>Table13[[#This Row],[Commencement Date]]</f>
        <v>0</v>
      </c>
      <c r="F608" s="284">
        <f t="shared" si="63"/>
        <v>1</v>
      </c>
      <c r="G608" s="284">
        <f t="shared" si="64"/>
        <v>25</v>
      </c>
      <c r="H608" s="286">
        <f>Table13[[#This Row],[Product Option]]</f>
        <v>0</v>
      </c>
      <c r="I608" s="284">
        <f>IF(AND($A608="Main Member",Table2[[#This Row],[Product Option]]="My Value Plus Life"),"MM_LIFE",
IF(AND($A608="Spouse",Table2[[#This Row],[Product Option]]="My Value Plus Life"),"SP_LIFE",
IF(AND($A608="Main Member",Table2[[#This Row],[Product Option]]="My Value Plus Life &amp; Funeral"),"MM_LIFE",
IF(AND($A608="Spouse",Table2[[#This Row],[Product Option]]="My Value Plus Life &amp; Funeral"),_xlfn.XLOOKUP(Table2[[#This Row],[Benefit Name]],Lookups!$D$18:$D$23,Lookups!$E$18:$E$23,0),
0))))</f>
        <v>0</v>
      </c>
      <c r="J608" s="284">
        <f>IF($I608="","",
IF($I608="MM_LIFE",INDEX('Quotation Tool'!$S$54:$V$60,MATCH($T608,'Quotation Tool'!$S$54:$S$60,0),4),
IF($I608="SP_LIFE",_xlfn.XLOOKUP(B607,$B:$B,$J:$J,0),0)))</f>
        <v>0</v>
      </c>
      <c r="K608" s="287">
        <f t="shared" ca="1" si="68"/>
        <v>0</v>
      </c>
      <c r="L608" s="288">
        <f t="shared" ca="1" si="69"/>
        <v>0</v>
      </c>
      <c r="M608" s="289">
        <f t="shared" ca="1" si="65"/>
        <v>0</v>
      </c>
      <c r="N608" s="286">
        <f>Table13[[#This Row],[Benefit Option]]</f>
        <v>0</v>
      </c>
      <c r="O608" s="284">
        <f>IF(OR(Table2[[#This Row],[Member Type]]="Spouse",Table2[[#This Row],[Member Type]]="Child"),0,
IF(_xlfn.XLOOKUP($N608,Lookups!$D$13:$D$27,Lookups!$F$13:$F$27,0)=Table2[[#This Row],[Table Lookup for Life Cover]],0,
_xlfn.XLOOKUP($N608,Lookups!$D$13:$D$27,Lookups!$F$13:$F$27,0)))</f>
        <v>0</v>
      </c>
      <c r="P608" s="284">
        <f>IF(Table2[[#This Row],[Table Lookup for Funeral]]=0,0,IFERROR(INDEX('Quotation Tool'!$S$54:$V$60,MATCH($T608,'Quotation Tool'!$S$54:$S$60,0),3),0))</f>
        <v>0</v>
      </c>
      <c r="Q608" s="288">
        <f ca="1">IF(OR(Table2[[#This Row],[Benefit Name]]="My Value Plus Life - Main Member",Table2[[#This Row],[Benefit Name]]="My Value Plus Life - Spouse"),0,
IFERROR(VLOOKUP($G608,INDIRECT($O608),$P608,FALSE),0))</f>
        <v>0</v>
      </c>
      <c r="R608" s="288">
        <f ca="1">IF(OR(Table2[[#This Row],[Benefit Name]]="My Value Plus Life - Main Member",Table2[[#This Row],[Benefit Name]]="My Value Plus Life - Spouse"),0,
IFERROR(VLOOKUP($G608,INDIRECT($O608),$P608+1,FALSE),0))</f>
        <v>0</v>
      </c>
      <c r="S608" s="289">
        <f t="shared" ca="1" si="66"/>
        <v>0</v>
      </c>
      <c r="T608" s="284" t="str">
        <f>IF(Table13[[#This Row],[Premium Waiver]]="","None",Table13[[#This Row],[Premium Waiver]])</f>
        <v>None</v>
      </c>
      <c r="U608" s="284">
        <f>Table13[[#This Row],[VAPs Options]]</f>
        <v>0</v>
      </c>
      <c r="V608" s="284">
        <f>Table13[[#This Row],[Annual Increase Option]]</f>
        <v>0</v>
      </c>
      <c r="W608" s="290">
        <f>Table13[[#This Row],[Life Cover Amount]]</f>
        <v>0</v>
      </c>
      <c r="X608" s="290">
        <f>Table13[[#This Row],[Funeral Cover Amount]]</f>
        <v>0</v>
      </c>
      <c r="Y60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0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08" s="301">
        <f t="shared" ca="1" si="67"/>
        <v>0</v>
      </c>
      <c r="AB608" s="298"/>
      <c r="AC608" s="326" t="str">
        <f>IF(Table2[[#This Row],[Member Type]]="Main Member",Lookups!$C$13,
IF(Table2[[#This Row],[Member Type]]="Spouse",_xlfn.XLOOKUP(B608,Table2[Main Member Link ID],Table2[Product Option],0),
IF(AND(Table2[[#This Row],[Member Type]]="Child",_xlfn.XLOOKUP(B608,Table2[Main Member Link ID],Table2[Product Option],0)&lt;&gt;"My Value Plus Life"),Lookups!$C$24,
IF(AND(OR(Table2[[#This Row],[Member Type]]="Parent",Table2[[#This Row],[Member Type]]="Extended"),_xlfn.XLOOKUP(B608,Table2[Main Member Link ID],Table2[Product Option],0)&lt;&gt;"My Value Plus Life"),Lookups!$C$26,""))))</f>
        <v/>
      </c>
      <c r="AD608" s="326" t="str">
        <f>IF(Table2[[#This Row],[Member Type]]="Main Member",Lookups!$C$14,"")</f>
        <v/>
      </c>
      <c r="AE60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Funeral",_xlfn.XLOOKUP(B608,Table2[Main Member Link ID],Table2[Benefit Name],0)=Lookups!$D$14),"",
IF(AND(Table2[[#This Row],[Member Type]]="Spouse",Table2[[#This Row],[Product Option]]="My Value Plus Life &amp; Funeral",_xlfn.XLOOKUP(B607,Table2[Main Member Link ID],Table2[Benefit Name],0)=Lookups!$D$15),Lookups!$D$20,
IF(AND(Table2[[#This Row],[Member Type]]="Spouse",Table2[[#This Row],[Product Option]]="My Value Plus Life &amp; Funeral",_xlfn.XLOOKUP(B607,Table2[Main Member Link ID],Table2[Benefit Name],0)=Lookups!$D$16),"",
IF(AND(Table2[[#This Row],[Member Type]]="Spouse",Table2[[#This Row],[Product Option]]="My Value Plus Life &amp; Funeral",_xlfn.XLOOKUP(B607,Table2[Main Member Link ID],Table2[Benefit Name],0)=Lookups!$D$17),Lookups!$D$21,
IF(AND(Table2[[#This Row],[Member Type]]="Child",Table2[[#This Row],[Product Option]]="My Value Plus Life &amp; Funeral",_xlfn.XLOOKUP(B608,Table2[Main Member Link ID],Table2[Benefit Name],0)=Lookups!$D$14),"",
IF(AND(Table2[[#This Row],[Member Type]]="Child",Table2[[#This Row],[Product Option]]="My Value Plus Life &amp; Funeral",_xlfn.XLOOKUP(B608,Table2[Main Member Link ID],Table2[Benefit Name],0)=Lookups!$D$15),"",
IF(AND(Table2[[#This Row],[Member Type]]="Child",Table2[[#This Row],[Product Option]]="My Value Plus Life &amp; Funeral",_xlfn.XLOOKUP(B608,Table2[Main Member Link ID],Table2[Benefit Name],0)=Lookups!$D$16),Lookups!$D$24,
IF(AND(Table2[[#This Row],[Member Type]]="Child",Table2[[#This Row],[Product Option]]="My Value Plus Life &amp; Funeral",_xlfn.XLOOKUP(B608,Table2[Main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Funeral",_xlfn.XLOOKUP(B608,Table2[Main Member Link ID],Table2[Benefit Name],0)&lt;&gt;Lookups!$D$14),
IF(_xlfn.XLOOKUP(B608,Table2[Main Member Link ID],Table2[Benefit Name],0)=0,"",_xlfn.XLOOKUP(B608,Table2[Main Member Link ID],Table2[Benefit Name],0)),"")))))))))))))))</f>
        <v/>
      </c>
      <c r="AF608" s="327" t="str">
        <f>IF(AND(Table2[[#This Row],[Member Type]]="Main Member",Table2[[#This Row],[Product Option]]="My Value Plus Life &amp; Funeral"),Lookups!$D$15,
IF(AND(Table2[[#This Row],[Member Type]]="Spouse",Table2[[#This Row],[Product Option]]="My Value Plus Life &amp; Funeral",_xlfn.XLOOKUP(B608,Table2[Main Member Link ID],Table2[Benefit Name],0)=Lookups!$D$14),"",
IF(AND(Table2[[#This Row],[Member Type]]="Spouse",Table2[[#This Row],[Product Option]]="My Value Plus Life &amp; Funeral",_xlfn.XLOOKUP(B607,Table2[Main Member Link ID],Table2[Benefit Name],0)=Lookups!$D$16),"",
IF(AND(Table2[[#This Row],[Member Type]]="Spouse",Table2[[#This Row],[Product Option]]="My Value Plus Life &amp; Funeral",_xlfn.XLOOKUP(B607,Table2[Main Member Link ID],Table2[Benefit Name],0)=Lookups!$D$15),"",
IF(AND(Table2[[#This Row],[Member Type]]="Spouse",Table2[[#This Row],[Product Option]]="My Value Plus Life &amp; Funeral",_xlfn.XLOOKUP(B607,Table2[Main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Funeral",_xlfn.XLOOKUP(B608,Table2[Main Member Link ID],Table2[Benefit Name],0)&lt;&gt;Lookups!$D$15),
IF(_xlfn.XLOOKUP(B608,Table2[Main Member Link ID],Table2[Benefit Name],0)=0,"",_xlfn.XLOOKUP(B608,Table2[Main Member Link ID],Table2[Benefit Name],0)),"")
))))))</f>
        <v/>
      </c>
      <c r="AG608" s="327" t="str">
        <f>IF(AND(Table2[[#This Row],[Member Type]]="Main Member",Table2[[#This Row],[Product Option]]="My Value Plus Life &amp; Funeral"),Lookups!$D$16,
IF(AND(Table2[[#This Row],[Member Type]]="Spouse",Table2[[#This Row],[Product Option]]="My Value Plus Life &amp; Funeral",_xlfn.XLOOKUP(B608,Table2[Main Member Link ID],Table2[Benefit Name],0)=Lookups!$D$14),"",
IF(AND(Table2[[#This Row],[Member Type]]="Spouse",Table2[[#This Row],[Product Option]]="My Value Plus Life &amp; Funeral",_xlfn.XLOOKUP(B607,Table2[Main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Funeral",_xlfn.XLOOKUP(B608,Table2[Main Member Link ID],Table2[Benefit Name],0)&lt;&gt;Lookups!$D$16),
IF(_xlfn.XLOOKUP(B608,Table2[Main Member Link ID],Table2[Benefit Name],0)=0,"",_xlfn.XLOOKUP(B608,Table2[Main Member Link ID],Table2[Benefit Name],0)),"")
))))</f>
        <v/>
      </c>
      <c r="AH608" s="327" t="str">
        <f>IF(AND(Table2[[#This Row],[Member Type]]="Main Member",Table2[[#This Row],[Product Option]]="My Value Plus Life &amp; Funeral"),Lookups!$D$17,
IF(AND(Table2[[#This Row],[Member Type]]="Spouse",Table2[[#This Row],[Product Option]]="My Value Plus Life &amp; Funeral",_xlfn.XLOOKUP(B608,Table2[Main Member Link ID],Table2[Benefit Name],0)=Lookups!$D$14),"",
IF(AND(Table2[[#This Row],[Member Type]]="Spouse",Table2[[#This Row],[Product Option]]="My Value Plus Life &amp; Funeral",_xlfn.XLOOKUP(B607,Table2[Main Member Link ID],Table2[Benefit Name],0)=Lookups!$D$16),"",
IF(AND(Table2[[#This Row],[Member Type]]="Child",Table2[[#This Row],[Product Option]]="My Value Plus Life &amp; Funeral"),"",
IF(AND(Table2[[#This Row],[Member Type]]="Child",Table2[[#This Row],[Product Option]]="My Value Plus Life &amp; Funeral",_xlfn.XLOOKUP(B608,Table2[Main Member Link ID],Table2[Benefit Name],0)=Lookups!$D$15),"",
IF(AND(OR(Table2[[#This Row],[Member Type]]="Spouse",Table2[[#This Row],[Member Type]]="Child"),Table2[[#This Row],[Product Option]]="My Value Plus Life &amp; Funeral",_xlfn.XLOOKUP(B608,Table2[Main Member Link ID],Table2[Benefit Name],0)&lt;&gt;Lookups!$D$17),
IF(_xlfn.XLOOKUP(B608,Table2[Main Member Link ID],Table2[Benefit Name],0)=0,"",_xlfn.XLOOKUP(B608,Table2[Main Member Link ID],Table2[Benefit Name],0)),""))))))</f>
        <v/>
      </c>
      <c r="AI608" s="328" t="str">
        <f>IF(AND(Table2[[#This Row],[Member Type]]="Main Member",Table2[[#This Row],[Table Lookup for Life Cover]]="MM_LIFE",Table2[[#This Row],[Age Next Birthday]]&lt;56),1,
IF(AND(Table2[[#This Row],[Member Type]]="Main Member",Table2[[#This Row],[Table Lookup for Life Cover]]="MM_LIFE",Table2[[#This Row],[Age Next Birthday]]&gt;=56),2,
""))</f>
        <v/>
      </c>
      <c r="AJ608" s="328">
        <f>IF(OR(Table2[[#This Row],[Member Type]]="Main Member",Table2[[#This Row],[Main Member Link ID]]=B607),1,0)</f>
        <v>1</v>
      </c>
      <c r="AK608" s="328">
        <f>IF(Table2[[#This Row],[Member Type]]=0,0,
IF(OR(Table2[[#This Row],[Member Type]]="Main Member",Table2[[#This Row],[Main Member Link ID]]&lt;&gt;B608),COUNTIFS(B:B,Table2[[#This Row],[Main Member Link ID]]),
COUNTIFS(B:B,Table2[[#This Row],[Main Member Link ID]],A:A,Table2[[#This Row],[Member Type]])))</f>
        <v>0</v>
      </c>
    </row>
    <row r="609" spans="1:37" x14ac:dyDescent="0.3">
      <c r="A609" s="284">
        <f>Table13[[#This Row],[Member Type]]</f>
        <v>0</v>
      </c>
      <c r="B609" s="284">
        <f>Table13[[#This Row],[Main Member Link ID]]</f>
        <v>0</v>
      </c>
      <c r="C609" s="284">
        <f>Table13[[#This Row],[ID Number]]</f>
        <v>0</v>
      </c>
      <c r="D609" s="285">
        <f>Table13[[#This Row],[Date Of Birth]]</f>
        <v>0</v>
      </c>
      <c r="E609" s="285">
        <f>Table13[[#This Row],[Commencement Date]]</f>
        <v>0</v>
      </c>
      <c r="F609" s="284">
        <f t="shared" si="63"/>
        <v>1</v>
      </c>
      <c r="G609" s="284">
        <f t="shared" si="64"/>
        <v>25</v>
      </c>
      <c r="H609" s="286">
        <f>Table13[[#This Row],[Product Option]]</f>
        <v>0</v>
      </c>
      <c r="I609" s="284">
        <f>IF(AND($A609="Main Member",Table2[[#This Row],[Product Option]]="My Value Plus Life"),"MM_LIFE",
IF(AND($A609="Spouse",Table2[[#This Row],[Product Option]]="My Value Plus Life"),"SP_LIFE",
IF(AND($A609="Main Member",Table2[[#This Row],[Product Option]]="My Value Plus Life &amp; Funeral"),"MM_LIFE",
IF(AND($A609="Spouse",Table2[[#This Row],[Product Option]]="My Value Plus Life &amp; Funeral"),_xlfn.XLOOKUP(Table2[[#This Row],[Benefit Name]],Lookups!$D$18:$D$23,Lookups!$E$18:$E$23,0),
0))))</f>
        <v>0</v>
      </c>
      <c r="J609" s="284">
        <f>IF($I609="","",
IF($I609="MM_LIFE",INDEX('Quotation Tool'!$S$54:$V$60,MATCH($T609,'Quotation Tool'!$S$54:$S$60,0),4),
IF($I609="SP_LIFE",_xlfn.XLOOKUP(B608,$B:$B,$J:$J,0),0)))</f>
        <v>0</v>
      </c>
      <c r="K609" s="287">
        <f t="shared" ca="1" si="68"/>
        <v>0</v>
      </c>
      <c r="L609" s="288">
        <f t="shared" ca="1" si="69"/>
        <v>0</v>
      </c>
      <c r="M609" s="289">
        <f t="shared" ca="1" si="65"/>
        <v>0</v>
      </c>
      <c r="N609" s="286">
        <f>Table13[[#This Row],[Benefit Option]]</f>
        <v>0</v>
      </c>
      <c r="O609" s="284">
        <f>IF(OR(Table2[[#This Row],[Member Type]]="Spouse",Table2[[#This Row],[Member Type]]="Child"),0,
IF(_xlfn.XLOOKUP($N609,Lookups!$D$13:$D$27,Lookups!$F$13:$F$27,0)=Table2[[#This Row],[Table Lookup for Life Cover]],0,
_xlfn.XLOOKUP($N609,Lookups!$D$13:$D$27,Lookups!$F$13:$F$27,0)))</f>
        <v>0</v>
      </c>
      <c r="P609" s="284">
        <f>IF(Table2[[#This Row],[Table Lookup for Funeral]]=0,0,IFERROR(INDEX('Quotation Tool'!$S$54:$V$60,MATCH($T609,'Quotation Tool'!$S$54:$S$60,0),3),0))</f>
        <v>0</v>
      </c>
      <c r="Q609" s="288">
        <f ca="1">IF(OR(Table2[[#This Row],[Benefit Name]]="My Value Plus Life - Main Member",Table2[[#This Row],[Benefit Name]]="My Value Plus Life - Spouse"),0,
IFERROR(VLOOKUP($G609,INDIRECT($O609),$P609,FALSE),0))</f>
        <v>0</v>
      </c>
      <c r="R609" s="288">
        <f ca="1">IF(OR(Table2[[#This Row],[Benefit Name]]="My Value Plus Life - Main Member",Table2[[#This Row],[Benefit Name]]="My Value Plus Life - Spouse"),0,
IFERROR(VLOOKUP($G609,INDIRECT($O609),$P609+1,FALSE),0))</f>
        <v>0</v>
      </c>
      <c r="S609" s="289">
        <f t="shared" ca="1" si="66"/>
        <v>0</v>
      </c>
      <c r="T609" s="284" t="str">
        <f>IF(Table13[[#This Row],[Premium Waiver]]="","None",Table13[[#This Row],[Premium Waiver]])</f>
        <v>None</v>
      </c>
      <c r="U609" s="284">
        <f>Table13[[#This Row],[VAPs Options]]</f>
        <v>0</v>
      </c>
      <c r="V609" s="284">
        <f>Table13[[#This Row],[Annual Increase Option]]</f>
        <v>0</v>
      </c>
      <c r="W609" s="290">
        <f>Table13[[#This Row],[Life Cover Amount]]</f>
        <v>0</v>
      </c>
      <c r="X609" s="290">
        <f>Table13[[#This Row],[Funeral Cover Amount]]</f>
        <v>0</v>
      </c>
      <c r="Y60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0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09" s="301">
        <f t="shared" ca="1" si="67"/>
        <v>0</v>
      </c>
      <c r="AB609" s="298"/>
      <c r="AC609" s="326" t="str">
        <f>IF(Table2[[#This Row],[Member Type]]="Main Member",Lookups!$C$13,
IF(Table2[[#This Row],[Member Type]]="Spouse",_xlfn.XLOOKUP(B609,Table2[Main Member Link ID],Table2[Product Option],0),
IF(AND(Table2[[#This Row],[Member Type]]="Child",_xlfn.XLOOKUP(B609,Table2[Main Member Link ID],Table2[Product Option],0)&lt;&gt;"My Value Plus Life"),Lookups!$C$24,
IF(AND(OR(Table2[[#This Row],[Member Type]]="Parent",Table2[[#This Row],[Member Type]]="Extended"),_xlfn.XLOOKUP(B609,Table2[Main Member Link ID],Table2[Product Option],0)&lt;&gt;"My Value Plus Life"),Lookups!$C$26,""))))</f>
        <v/>
      </c>
      <c r="AD609" s="326" t="str">
        <f>IF(Table2[[#This Row],[Member Type]]="Main Member",Lookups!$C$14,"")</f>
        <v/>
      </c>
      <c r="AE60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Funeral",_xlfn.XLOOKUP(B609,Table2[Main Member Link ID],Table2[Benefit Name],0)=Lookups!$D$14),"",
IF(AND(Table2[[#This Row],[Member Type]]="Spouse",Table2[[#This Row],[Product Option]]="My Value Plus Life &amp; Funeral",_xlfn.XLOOKUP(B608,Table2[Main Member Link ID],Table2[Benefit Name],0)=Lookups!$D$15),Lookups!$D$20,
IF(AND(Table2[[#This Row],[Member Type]]="Spouse",Table2[[#This Row],[Product Option]]="My Value Plus Life &amp; Funeral",_xlfn.XLOOKUP(B608,Table2[Main Member Link ID],Table2[Benefit Name],0)=Lookups!$D$16),"",
IF(AND(Table2[[#This Row],[Member Type]]="Spouse",Table2[[#This Row],[Product Option]]="My Value Plus Life &amp; Funeral",_xlfn.XLOOKUP(B608,Table2[Main Member Link ID],Table2[Benefit Name],0)=Lookups!$D$17),Lookups!$D$21,
IF(AND(Table2[[#This Row],[Member Type]]="Child",Table2[[#This Row],[Product Option]]="My Value Plus Life &amp; Funeral",_xlfn.XLOOKUP(B609,Table2[Main Member Link ID],Table2[Benefit Name],0)=Lookups!$D$14),"",
IF(AND(Table2[[#This Row],[Member Type]]="Child",Table2[[#This Row],[Product Option]]="My Value Plus Life &amp; Funeral",_xlfn.XLOOKUP(B609,Table2[Main Member Link ID],Table2[Benefit Name],0)=Lookups!$D$15),"",
IF(AND(Table2[[#This Row],[Member Type]]="Child",Table2[[#This Row],[Product Option]]="My Value Plus Life &amp; Funeral",_xlfn.XLOOKUP(B609,Table2[Main Member Link ID],Table2[Benefit Name],0)=Lookups!$D$16),Lookups!$D$24,
IF(AND(Table2[[#This Row],[Member Type]]="Child",Table2[[#This Row],[Product Option]]="My Value Plus Life &amp; Funeral",_xlfn.XLOOKUP(B609,Table2[Main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Funeral",_xlfn.XLOOKUP(B609,Table2[Main Member Link ID],Table2[Benefit Name],0)&lt;&gt;Lookups!$D$14),
IF(_xlfn.XLOOKUP(B609,Table2[Main Member Link ID],Table2[Benefit Name],0)=0,"",_xlfn.XLOOKUP(B609,Table2[Main Member Link ID],Table2[Benefit Name],0)),"")))))))))))))))</f>
        <v/>
      </c>
      <c r="AF609" s="327" t="str">
        <f>IF(AND(Table2[[#This Row],[Member Type]]="Main Member",Table2[[#This Row],[Product Option]]="My Value Plus Life &amp; Funeral"),Lookups!$D$15,
IF(AND(Table2[[#This Row],[Member Type]]="Spouse",Table2[[#This Row],[Product Option]]="My Value Plus Life &amp; Funeral",_xlfn.XLOOKUP(B609,Table2[Main Member Link ID],Table2[Benefit Name],0)=Lookups!$D$14),"",
IF(AND(Table2[[#This Row],[Member Type]]="Spouse",Table2[[#This Row],[Product Option]]="My Value Plus Life &amp; Funeral",_xlfn.XLOOKUP(B608,Table2[Main Member Link ID],Table2[Benefit Name],0)=Lookups!$D$16),"",
IF(AND(Table2[[#This Row],[Member Type]]="Spouse",Table2[[#This Row],[Product Option]]="My Value Plus Life &amp; Funeral",_xlfn.XLOOKUP(B608,Table2[Main Member Link ID],Table2[Benefit Name],0)=Lookups!$D$15),"",
IF(AND(Table2[[#This Row],[Member Type]]="Spouse",Table2[[#This Row],[Product Option]]="My Value Plus Life &amp; Funeral",_xlfn.XLOOKUP(B608,Table2[Main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Funeral",_xlfn.XLOOKUP(B609,Table2[Main Member Link ID],Table2[Benefit Name],0)&lt;&gt;Lookups!$D$15),
IF(_xlfn.XLOOKUP(B609,Table2[Main Member Link ID],Table2[Benefit Name],0)=0,"",_xlfn.XLOOKUP(B609,Table2[Main Member Link ID],Table2[Benefit Name],0)),"")
))))))</f>
        <v/>
      </c>
      <c r="AG609" s="327" t="str">
        <f>IF(AND(Table2[[#This Row],[Member Type]]="Main Member",Table2[[#This Row],[Product Option]]="My Value Plus Life &amp; Funeral"),Lookups!$D$16,
IF(AND(Table2[[#This Row],[Member Type]]="Spouse",Table2[[#This Row],[Product Option]]="My Value Plus Life &amp; Funeral",_xlfn.XLOOKUP(B609,Table2[Main Member Link ID],Table2[Benefit Name],0)=Lookups!$D$14),"",
IF(AND(Table2[[#This Row],[Member Type]]="Spouse",Table2[[#This Row],[Product Option]]="My Value Plus Life &amp; Funeral",_xlfn.XLOOKUP(B608,Table2[Main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Funeral",_xlfn.XLOOKUP(B609,Table2[Main Member Link ID],Table2[Benefit Name],0)&lt;&gt;Lookups!$D$16),
IF(_xlfn.XLOOKUP(B609,Table2[Main Member Link ID],Table2[Benefit Name],0)=0,"",_xlfn.XLOOKUP(B609,Table2[Main Member Link ID],Table2[Benefit Name],0)),"")
))))</f>
        <v/>
      </c>
      <c r="AH609" s="327" t="str">
        <f>IF(AND(Table2[[#This Row],[Member Type]]="Main Member",Table2[[#This Row],[Product Option]]="My Value Plus Life &amp; Funeral"),Lookups!$D$17,
IF(AND(Table2[[#This Row],[Member Type]]="Spouse",Table2[[#This Row],[Product Option]]="My Value Plus Life &amp; Funeral",_xlfn.XLOOKUP(B609,Table2[Main Member Link ID],Table2[Benefit Name],0)=Lookups!$D$14),"",
IF(AND(Table2[[#This Row],[Member Type]]="Spouse",Table2[[#This Row],[Product Option]]="My Value Plus Life &amp; Funeral",_xlfn.XLOOKUP(B608,Table2[Main Member Link ID],Table2[Benefit Name],0)=Lookups!$D$16),"",
IF(AND(Table2[[#This Row],[Member Type]]="Child",Table2[[#This Row],[Product Option]]="My Value Plus Life &amp; Funeral"),"",
IF(AND(Table2[[#This Row],[Member Type]]="Child",Table2[[#This Row],[Product Option]]="My Value Plus Life &amp; Funeral",_xlfn.XLOOKUP(B609,Table2[Main Member Link ID],Table2[Benefit Name],0)=Lookups!$D$15),"",
IF(AND(OR(Table2[[#This Row],[Member Type]]="Spouse",Table2[[#This Row],[Member Type]]="Child"),Table2[[#This Row],[Product Option]]="My Value Plus Life &amp; Funeral",_xlfn.XLOOKUP(B609,Table2[Main Member Link ID],Table2[Benefit Name],0)&lt;&gt;Lookups!$D$17),
IF(_xlfn.XLOOKUP(B609,Table2[Main Member Link ID],Table2[Benefit Name],0)=0,"",_xlfn.XLOOKUP(B609,Table2[Main Member Link ID],Table2[Benefit Name],0)),""))))))</f>
        <v/>
      </c>
      <c r="AI609" s="328" t="str">
        <f>IF(AND(Table2[[#This Row],[Member Type]]="Main Member",Table2[[#This Row],[Table Lookup for Life Cover]]="MM_LIFE",Table2[[#This Row],[Age Next Birthday]]&lt;56),1,
IF(AND(Table2[[#This Row],[Member Type]]="Main Member",Table2[[#This Row],[Table Lookup for Life Cover]]="MM_LIFE",Table2[[#This Row],[Age Next Birthday]]&gt;=56),2,
""))</f>
        <v/>
      </c>
      <c r="AJ609" s="328">
        <f>IF(OR(Table2[[#This Row],[Member Type]]="Main Member",Table2[[#This Row],[Main Member Link ID]]=B608),1,0)</f>
        <v>1</v>
      </c>
      <c r="AK609" s="328">
        <f>IF(Table2[[#This Row],[Member Type]]=0,0,
IF(OR(Table2[[#This Row],[Member Type]]="Main Member",Table2[[#This Row],[Main Member Link ID]]&lt;&gt;B609),COUNTIFS(B:B,Table2[[#This Row],[Main Member Link ID]]),
COUNTIFS(B:B,Table2[[#This Row],[Main Member Link ID]],A:A,Table2[[#This Row],[Member Type]])))</f>
        <v>0</v>
      </c>
    </row>
    <row r="610" spans="1:37" x14ac:dyDescent="0.3">
      <c r="A610" s="284">
        <f>Table13[[#This Row],[Member Type]]</f>
        <v>0</v>
      </c>
      <c r="B610" s="284">
        <f>Table13[[#This Row],[Main Member Link ID]]</f>
        <v>0</v>
      </c>
      <c r="C610" s="284">
        <f>Table13[[#This Row],[ID Number]]</f>
        <v>0</v>
      </c>
      <c r="D610" s="285">
        <f>Table13[[#This Row],[Date Of Birth]]</f>
        <v>0</v>
      </c>
      <c r="E610" s="285">
        <f>Table13[[#This Row],[Commencement Date]]</f>
        <v>0</v>
      </c>
      <c r="F610" s="284">
        <f t="shared" si="63"/>
        <v>1</v>
      </c>
      <c r="G610" s="284">
        <f t="shared" si="64"/>
        <v>25</v>
      </c>
      <c r="H610" s="286">
        <f>Table13[[#This Row],[Product Option]]</f>
        <v>0</v>
      </c>
      <c r="I610" s="284">
        <f>IF(AND($A610="Main Member",Table2[[#This Row],[Product Option]]="My Value Plus Life"),"MM_LIFE",
IF(AND($A610="Spouse",Table2[[#This Row],[Product Option]]="My Value Plus Life"),"SP_LIFE",
IF(AND($A610="Main Member",Table2[[#This Row],[Product Option]]="My Value Plus Life &amp; Funeral"),"MM_LIFE",
IF(AND($A610="Spouse",Table2[[#This Row],[Product Option]]="My Value Plus Life &amp; Funeral"),_xlfn.XLOOKUP(Table2[[#This Row],[Benefit Name]],Lookups!$D$18:$D$23,Lookups!$E$18:$E$23,0),
0))))</f>
        <v>0</v>
      </c>
      <c r="J610" s="284">
        <f>IF($I610="","",
IF($I610="MM_LIFE",INDEX('Quotation Tool'!$S$54:$V$60,MATCH($T610,'Quotation Tool'!$S$54:$S$60,0),4),
IF($I610="SP_LIFE",_xlfn.XLOOKUP(B609,$B:$B,$J:$J,0),0)))</f>
        <v>0</v>
      </c>
      <c r="K610" s="287">
        <f t="shared" ca="1" si="68"/>
        <v>0</v>
      </c>
      <c r="L610" s="288">
        <f t="shared" ca="1" si="69"/>
        <v>0</v>
      </c>
      <c r="M610" s="289">
        <f t="shared" ca="1" si="65"/>
        <v>0</v>
      </c>
      <c r="N610" s="286">
        <f>Table13[[#This Row],[Benefit Option]]</f>
        <v>0</v>
      </c>
      <c r="O610" s="284">
        <f>IF(OR(Table2[[#This Row],[Member Type]]="Spouse",Table2[[#This Row],[Member Type]]="Child"),0,
IF(_xlfn.XLOOKUP($N610,Lookups!$D$13:$D$27,Lookups!$F$13:$F$27,0)=Table2[[#This Row],[Table Lookup for Life Cover]],0,
_xlfn.XLOOKUP($N610,Lookups!$D$13:$D$27,Lookups!$F$13:$F$27,0)))</f>
        <v>0</v>
      </c>
      <c r="P610" s="284">
        <f>IF(Table2[[#This Row],[Table Lookup for Funeral]]=0,0,IFERROR(INDEX('Quotation Tool'!$S$54:$V$60,MATCH($T610,'Quotation Tool'!$S$54:$S$60,0),3),0))</f>
        <v>0</v>
      </c>
      <c r="Q610" s="288">
        <f ca="1">IF(OR(Table2[[#This Row],[Benefit Name]]="My Value Plus Life - Main Member",Table2[[#This Row],[Benefit Name]]="My Value Plus Life - Spouse"),0,
IFERROR(VLOOKUP($G610,INDIRECT($O610),$P610,FALSE),0))</f>
        <v>0</v>
      </c>
      <c r="R610" s="288">
        <f ca="1">IF(OR(Table2[[#This Row],[Benefit Name]]="My Value Plus Life - Main Member",Table2[[#This Row],[Benefit Name]]="My Value Plus Life - Spouse"),0,
IFERROR(VLOOKUP($G610,INDIRECT($O610),$P610+1,FALSE),0))</f>
        <v>0</v>
      </c>
      <c r="S610" s="289">
        <f t="shared" ca="1" si="66"/>
        <v>0</v>
      </c>
      <c r="T610" s="284" t="str">
        <f>IF(Table13[[#This Row],[Premium Waiver]]="","None",Table13[[#This Row],[Premium Waiver]])</f>
        <v>None</v>
      </c>
      <c r="U610" s="284">
        <f>Table13[[#This Row],[VAPs Options]]</f>
        <v>0</v>
      </c>
      <c r="V610" s="284">
        <f>Table13[[#This Row],[Annual Increase Option]]</f>
        <v>0</v>
      </c>
      <c r="W610" s="290">
        <f>Table13[[#This Row],[Life Cover Amount]]</f>
        <v>0</v>
      </c>
      <c r="X610" s="290">
        <f>Table13[[#This Row],[Funeral Cover Amount]]</f>
        <v>0</v>
      </c>
      <c r="Y61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1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10" s="301">
        <f t="shared" ca="1" si="67"/>
        <v>0</v>
      </c>
      <c r="AB610" s="298"/>
      <c r="AC610" s="326" t="str">
        <f>IF(Table2[[#This Row],[Member Type]]="Main Member",Lookups!$C$13,
IF(Table2[[#This Row],[Member Type]]="Spouse",_xlfn.XLOOKUP(B610,Table2[Main Member Link ID],Table2[Product Option],0),
IF(AND(Table2[[#This Row],[Member Type]]="Child",_xlfn.XLOOKUP(B610,Table2[Main Member Link ID],Table2[Product Option],0)&lt;&gt;"My Value Plus Life"),Lookups!$C$24,
IF(AND(OR(Table2[[#This Row],[Member Type]]="Parent",Table2[[#This Row],[Member Type]]="Extended"),_xlfn.XLOOKUP(B610,Table2[Main Member Link ID],Table2[Product Option],0)&lt;&gt;"My Value Plus Life"),Lookups!$C$26,""))))</f>
        <v/>
      </c>
      <c r="AD610" s="326" t="str">
        <f>IF(Table2[[#This Row],[Member Type]]="Main Member",Lookups!$C$14,"")</f>
        <v/>
      </c>
      <c r="AE61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Funeral",_xlfn.XLOOKUP(B610,Table2[Main Member Link ID],Table2[Benefit Name],0)=Lookups!$D$14),"",
IF(AND(Table2[[#This Row],[Member Type]]="Spouse",Table2[[#This Row],[Product Option]]="My Value Plus Life &amp; Funeral",_xlfn.XLOOKUP(B609,Table2[Main Member Link ID],Table2[Benefit Name],0)=Lookups!$D$15),Lookups!$D$20,
IF(AND(Table2[[#This Row],[Member Type]]="Spouse",Table2[[#This Row],[Product Option]]="My Value Plus Life &amp; Funeral",_xlfn.XLOOKUP(B609,Table2[Main Member Link ID],Table2[Benefit Name],0)=Lookups!$D$16),"",
IF(AND(Table2[[#This Row],[Member Type]]="Spouse",Table2[[#This Row],[Product Option]]="My Value Plus Life &amp; Funeral",_xlfn.XLOOKUP(B609,Table2[Main Member Link ID],Table2[Benefit Name],0)=Lookups!$D$17),Lookups!$D$21,
IF(AND(Table2[[#This Row],[Member Type]]="Child",Table2[[#This Row],[Product Option]]="My Value Plus Life &amp; Funeral",_xlfn.XLOOKUP(B610,Table2[Main Member Link ID],Table2[Benefit Name],0)=Lookups!$D$14),"",
IF(AND(Table2[[#This Row],[Member Type]]="Child",Table2[[#This Row],[Product Option]]="My Value Plus Life &amp; Funeral",_xlfn.XLOOKUP(B610,Table2[Main Member Link ID],Table2[Benefit Name],0)=Lookups!$D$15),"",
IF(AND(Table2[[#This Row],[Member Type]]="Child",Table2[[#This Row],[Product Option]]="My Value Plus Life &amp; Funeral",_xlfn.XLOOKUP(B610,Table2[Main Member Link ID],Table2[Benefit Name],0)=Lookups!$D$16),Lookups!$D$24,
IF(AND(Table2[[#This Row],[Member Type]]="Child",Table2[[#This Row],[Product Option]]="My Value Plus Life &amp; Funeral",_xlfn.XLOOKUP(B610,Table2[Main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Funeral",_xlfn.XLOOKUP(B610,Table2[Main Member Link ID],Table2[Benefit Name],0)&lt;&gt;Lookups!$D$14),
IF(_xlfn.XLOOKUP(B610,Table2[Main Member Link ID],Table2[Benefit Name],0)=0,"",_xlfn.XLOOKUP(B610,Table2[Main Member Link ID],Table2[Benefit Name],0)),"")))))))))))))))</f>
        <v/>
      </c>
      <c r="AF610" s="327" t="str">
        <f>IF(AND(Table2[[#This Row],[Member Type]]="Main Member",Table2[[#This Row],[Product Option]]="My Value Plus Life &amp; Funeral"),Lookups!$D$15,
IF(AND(Table2[[#This Row],[Member Type]]="Spouse",Table2[[#This Row],[Product Option]]="My Value Plus Life &amp; Funeral",_xlfn.XLOOKUP(B610,Table2[Main Member Link ID],Table2[Benefit Name],0)=Lookups!$D$14),"",
IF(AND(Table2[[#This Row],[Member Type]]="Spouse",Table2[[#This Row],[Product Option]]="My Value Plus Life &amp; Funeral",_xlfn.XLOOKUP(B609,Table2[Main Member Link ID],Table2[Benefit Name],0)=Lookups!$D$16),"",
IF(AND(Table2[[#This Row],[Member Type]]="Spouse",Table2[[#This Row],[Product Option]]="My Value Plus Life &amp; Funeral",_xlfn.XLOOKUP(B609,Table2[Main Member Link ID],Table2[Benefit Name],0)=Lookups!$D$15),"",
IF(AND(Table2[[#This Row],[Member Type]]="Spouse",Table2[[#This Row],[Product Option]]="My Value Plus Life &amp; Funeral",_xlfn.XLOOKUP(B609,Table2[Main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Funeral",_xlfn.XLOOKUP(B610,Table2[Main Member Link ID],Table2[Benefit Name],0)&lt;&gt;Lookups!$D$15),
IF(_xlfn.XLOOKUP(B610,Table2[Main Member Link ID],Table2[Benefit Name],0)=0,"",_xlfn.XLOOKUP(B610,Table2[Main Member Link ID],Table2[Benefit Name],0)),"")
))))))</f>
        <v/>
      </c>
      <c r="AG610" s="327" t="str">
        <f>IF(AND(Table2[[#This Row],[Member Type]]="Main Member",Table2[[#This Row],[Product Option]]="My Value Plus Life &amp; Funeral"),Lookups!$D$16,
IF(AND(Table2[[#This Row],[Member Type]]="Spouse",Table2[[#This Row],[Product Option]]="My Value Plus Life &amp; Funeral",_xlfn.XLOOKUP(B610,Table2[Main Member Link ID],Table2[Benefit Name],0)=Lookups!$D$14),"",
IF(AND(Table2[[#This Row],[Member Type]]="Spouse",Table2[[#This Row],[Product Option]]="My Value Plus Life &amp; Funeral",_xlfn.XLOOKUP(B609,Table2[Main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Funeral",_xlfn.XLOOKUP(B610,Table2[Main Member Link ID],Table2[Benefit Name],0)&lt;&gt;Lookups!$D$16),
IF(_xlfn.XLOOKUP(B610,Table2[Main Member Link ID],Table2[Benefit Name],0)=0,"",_xlfn.XLOOKUP(B610,Table2[Main Member Link ID],Table2[Benefit Name],0)),"")
))))</f>
        <v/>
      </c>
      <c r="AH610" s="327" t="str">
        <f>IF(AND(Table2[[#This Row],[Member Type]]="Main Member",Table2[[#This Row],[Product Option]]="My Value Plus Life &amp; Funeral"),Lookups!$D$17,
IF(AND(Table2[[#This Row],[Member Type]]="Spouse",Table2[[#This Row],[Product Option]]="My Value Plus Life &amp; Funeral",_xlfn.XLOOKUP(B610,Table2[Main Member Link ID],Table2[Benefit Name],0)=Lookups!$D$14),"",
IF(AND(Table2[[#This Row],[Member Type]]="Spouse",Table2[[#This Row],[Product Option]]="My Value Plus Life &amp; Funeral",_xlfn.XLOOKUP(B609,Table2[Main Member Link ID],Table2[Benefit Name],0)=Lookups!$D$16),"",
IF(AND(Table2[[#This Row],[Member Type]]="Child",Table2[[#This Row],[Product Option]]="My Value Plus Life &amp; Funeral"),"",
IF(AND(Table2[[#This Row],[Member Type]]="Child",Table2[[#This Row],[Product Option]]="My Value Plus Life &amp; Funeral",_xlfn.XLOOKUP(B610,Table2[Main Member Link ID],Table2[Benefit Name],0)=Lookups!$D$15),"",
IF(AND(OR(Table2[[#This Row],[Member Type]]="Spouse",Table2[[#This Row],[Member Type]]="Child"),Table2[[#This Row],[Product Option]]="My Value Plus Life &amp; Funeral",_xlfn.XLOOKUP(B610,Table2[Main Member Link ID],Table2[Benefit Name],0)&lt;&gt;Lookups!$D$17),
IF(_xlfn.XLOOKUP(B610,Table2[Main Member Link ID],Table2[Benefit Name],0)=0,"",_xlfn.XLOOKUP(B610,Table2[Main Member Link ID],Table2[Benefit Name],0)),""))))))</f>
        <v/>
      </c>
      <c r="AI610" s="328" t="str">
        <f>IF(AND(Table2[[#This Row],[Member Type]]="Main Member",Table2[[#This Row],[Table Lookup for Life Cover]]="MM_LIFE",Table2[[#This Row],[Age Next Birthday]]&lt;56),1,
IF(AND(Table2[[#This Row],[Member Type]]="Main Member",Table2[[#This Row],[Table Lookup for Life Cover]]="MM_LIFE",Table2[[#This Row],[Age Next Birthday]]&gt;=56),2,
""))</f>
        <v/>
      </c>
      <c r="AJ610" s="328">
        <f>IF(OR(Table2[[#This Row],[Member Type]]="Main Member",Table2[[#This Row],[Main Member Link ID]]=B609),1,0)</f>
        <v>1</v>
      </c>
      <c r="AK610" s="328">
        <f>IF(Table2[[#This Row],[Member Type]]=0,0,
IF(OR(Table2[[#This Row],[Member Type]]="Main Member",Table2[[#This Row],[Main Member Link ID]]&lt;&gt;B610),COUNTIFS(B:B,Table2[[#This Row],[Main Member Link ID]]),
COUNTIFS(B:B,Table2[[#This Row],[Main Member Link ID]],A:A,Table2[[#This Row],[Member Type]])))</f>
        <v>0</v>
      </c>
    </row>
    <row r="611" spans="1:37" x14ac:dyDescent="0.3">
      <c r="A611" s="284">
        <f>Table13[[#This Row],[Member Type]]</f>
        <v>0</v>
      </c>
      <c r="B611" s="284">
        <f>Table13[[#This Row],[Main Member Link ID]]</f>
        <v>0</v>
      </c>
      <c r="C611" s="284">
        <f>Table13[[#This Row],[ID Number]]</f>
        <v>0</v>
      </c>
      <c r="D611" s="285">
        <f>Table13[[#This Row],[Date Of Birth]]</f>
        <v>0</v>
      </c>
      <c r="E611" s="285">
        <f>Table13[[#This Row],[Commencement Date]]</f>
        <v>0</v>
      </c>
      <c r="F611" s="284">
        <f t="shared" si="63"/>
        <v>1</v>
      </c>
      <c r="G611" s="284">
        <f t="shared" si="64"/>
        <v>25</v>
      </c>
      <c r="H611" s="286">
        <f>Table13[[#This Row],[Product Option]]</f>
        <v>0</v>
      </c>
      <c r="I611" s="284">
        <f>IF(AND($A611="Main Member",Table2[[#This Row],[Product Option]]="My Value Plus Life"),"MM_LIFE",
IF(AND($A611="Spouse",Table2[[#This Row],[Product Option]]="My Value Plus Life"),"SP_LIFE",
IF(AND($A611="Main Member",Table2[[#This Row],[Product Option]]="My Value Plus Life &amp; Funeral"),"MM_LIFE",
IF(AND($A611="Spouse",Table2[[#This Row],[Product Option]]="My Value Plus Life &amp; Funeral"),_xlfn.XLOOKUP(Table2[[#This Row],[Benefit Name]],Lookups!$D$18:$D$23,Lookups!$E$18:$E$23,0),
0))))</f>
        <v>0</v>
      </c>
      <c r="J611" s="284">
        <f>IF($I611="","",
IF($I611="MM_LIFE",INDEX('Quotation Tool'!$S$54:$V$60,MATCH($T611,'Quotation Tool'!$S$54:$S$60,0),4),
IF($I611="SP_LIFE",_xlfn.XLOOKUP(B610,$B:$B,$J:$J,0),0)))</f>
        <v>0</v>
      </c>
      <c r="K611" s="287">
        <f t="shared" ca="1" si="68"/>
        <v>0</v>
      </c>
      <c r="L611" s="288">
        <f t="shared" ca="1" si="69"/>
        <v>0</v>
      </c>
      <c r="M611" s="289">
        <f t="shared" ca="1" si="65"/>
        <v>0</v>
      </c>
      <c r="N611" s="286">
        <f>Table13[[#This Row],[Benefit Option]]</f>
        <v>0</v>
      </c>
      <c r="O611" s="284">
        <f>IF(OR(Table2[[#This Row],[Member Type]]="Spouse",Table2[[#This Row],[Member Type]]="Child"),0,
IF(_xlfn.XLOOKUP($N611,Lookups!$D$13:$D$27,Lookups!$F$13:$F$27,0)=Table2[[#This Row],[Table Lookup for Life Cover]],0,
_xlfn.XLOOKUP($N611,Lookups!$D$13:$D$27,Lookups!$F$13:$F$27,0)))</f>
        <v>0</v>
      </c>
      <c r="P611" s="284">
        <f>IF(Table2[[#This Row],[Table Lookup for Funeral]]=0,0,IFERROR(INDEX('Quotation Tool'!$S$54:$V$60,MATCH($T611,'Quotation Tool'!$S$54:$S$60,0),3),0))</f>
        <v>0</v>
      </c>
      <c r="Q611" s="288">
        <f ca="1">IF(OR(Table2[[#This Row],[Benefit Name]]="My Value Plus Life - Main Member",Table2[[#This Row],[Benefit Name]]="My Value Plus Life - Spouse"),0,
IFERROR(VLOOKUP($G611,INDIRECT($O611),$P611,FALSE),0))</f>
        <v>0</v>
      </c>
      <c r="R611" s="288">
        <f ca="1">IF(OR(Table2[[#This Row],[Benefit Name]]="My Value Plus Life - Main Member",Table2[[#This Row],[Benefit Name]]="My Value Plus Life - Spouse"),0,
IFERROR(VLOOKUP($G611,INDIRECT($O611),$P611+1,FALSE),0))</f>
        <v>0</v>
      </c>
      <c r="S611" s="289">
        <f t="shared" ca="1" si="66"/>
        <v>0</v>
      </c>
      <c r="T611" s="284" t="str">
        <f>IF(Table13[[#This Row],[Premium Waiver]]="","None",Table13[[#This Row],[Premium Waiver]])</f>
        <v>None</v>
      </c>
      <c r="U611" s="284">
        <f>Table13[[#This Row],[VAPs Options]]</f>
        <v>0</v>
      </c>
      <c r="V611" s="284">
        <f>Table13[[#This Row],[Annual Increase Option]]</f>
        <v>0</v>
      </c>
      <c r="W611" s="290">
        <f>Table13[[#This Row],[Life Cover Amount]]</f>
        <v>0</v>
      </c>
      <c r="X611" s="290">
        <f>Table13[[#This Row],[Funeral Cover Amount]]</f>
        <v>0</v>
      </c>
      <c r="Y61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1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11" s="301">
        <f t="shared" ca="1" si="67"/>
        <v>0</v>
      </c>
      <c r="AB611" s="298"/>
      <c r="AC611" s="326" t="str">
        <f>IF(Table2[[#This Row],[Member Type]]="Main Member",Lookups!$C$13,
IF(Table2[[#This Row],[Member Type]]="Spouse",_xlfn.XLOOKUP(B611,Table2[Main Member Link ID],Table2[Product Option],0),
IF(AND(Table2[[#This Row],[Member Type]]="Child",_xlfn.XLOOKUP(B611,Table2[Main Member Link ID],Table2[Product Option],0)&lt;&gt;"My Value Plus Life"),Lookups!$C$24,
IF(AND(OR(Table2[[#This Row],[Member Type]]="Parent",Table2[[#This Row],[Member Type]]="Extended"),_xlfn.XLOOKUP(B611,Table2[Main Member Link ID],Table2[Product Option],0)&lt;&gt;"My Value Plus Life"),Lookups!$C$26,""))))</f>
        <v/>
      </c>
      <c r="AD611" s="326" t="str">
        <f>IF(Table2[[#This Row],[Member Type]]="Main Member",Lookups!$C$14,"")</f>
        <v/>
      </c>
      <c r="AE61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Funeral",_xlfn.XLOOKUP(B611,Table2[Main Member Link ID],Table2[Benefit Name],0)=Lookups!$D$14),"",
IF(AND(Table2[[#This Row],[Member Type]]="Spouse",Table2[[#This Row],[Product Option]]="My Value Plus Life &amp; Funeral",_xlfn.XLOOKUP(B610,Table2[Main Member Link ID],Table2[Benefit Name],0)=Lookups!$D$15),Lookups!$D$20,
IF(AND(Table2[[#This Row],[Member Type]]="Spouse",Table2[[#This Row],[Product Option]]="My Value Plus Life &amp; Funeral",_xlfn.XLOOKUP(B610,Table2[Main Member Link ID],Table2[Benefit Name],0)=Lookups!$D$16),"",
IF(AND(Table2[[#This Row],[Member Type]]="Spouse",Table2[[#This Row],[Product Option]]="My Value Plus Life &amp; Funeral",_xlfn.XLOOKUP(B610,Table2[Main Member Link ID],Table2[Benefit Name],0)=Lookups!$D$17),Lookups!$D$21,
IF(AND(Table2[[#This Row],[Member Type]]="Child",Table2[[#This Row],[Product Option]]="My Value Plus Life &amp; Funeral",_xlfn.XLOOKUP(B611,Table2[Main Member Link ID],Table2[Benefit Name],0)=Lookups!$D$14),"",
IF(AND(Table2[[#This Row],[Member Type]]="Child",Table2[[#This Row],[Product Option]]="My Value Plus Life &amp; Funeral",_xlfn.XLOOKUP(B611,Table2[Main Member Link ID],Table2[Benefit Name],0)=Lookups!$D$15),"",
IF(AND(Table2[[#This Row],[Member Type]]="Child",Table2[[#This Row],[Product Option]]="My Value Plus Life &amp; Funeral",_xlfn.XLOOKUP(B611,Table2[Main Member Link ID],Table2[Benefit Name],0)=Lookups!$D$16),Lookups!$D$24,
IF(AND(Table2[[#This Row],[Member Type]]="Child",Table2[[#This Row],[Product Option]]="My Value Plus Life &amp; Funeral",_xlfn.XLOOKUP(B611,Table2[Main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Funeral",_xlfn.XLOOKUP(B611,Table2[Main Member Link ID],Table2[Benefit Name],0)&lt;&gt;Lookups!$D$14),
IF(_xlfn.XLOOKUP(B611,Table2[Main Member Link ID],Table2[Benefit Name],0)=0,"",_xlfn.XLOOKUP(B611,Table2[Main Member Link ID],Table2[Benefit Name],0)),"")))))))))))))))</f>
        <v/>
      </c>
      <c r="AF611" s="327" t="str">
        <f>IF(AND(Table2[[#This Row],[Member Type]]="Main Member",Table2[[#This Row],[Product Option]]="My Value Plus Life &amp; Funeral"),Lookups!$D$15,
IF(AND(Table2[[#This Row],[Member Type]]="Spouse",Table2[[#This Row],[Product Option]]="My Value Plus Life &amp; Funeral",_xlfn.XLOOKUP(B611,Table2[Main Member Link ID],Table2[Benefit Name],0)=Lookups!$D$14),"",
IF(AND(Table2[[#This Row],[Member Type]]="Spouse",Table2[[#This Row],[Product Option]]="My Value Plus Life &amp; Funeral",_xlfn.XLOOKUP(B610,Table2[Main Member Link ID],Table2[Benefit Name],0)=Lookups!$D$16),"",
IF(AND(Table2[[#This Row],[Member Type]]="Spouse",Table2[[#This Row],[Product Option]]="My Value Plus Life &amp; Funeral",_xlfn.XLOOKUP(B610,Table2[Main Member Link ID],Table2[Benefit Name],0)=Lookups!$D$15),"",
IF(AND(Table2[[#This Row],[Member Type]]="Spouse",Table2[[#This Row],[Product Option]]="My Value Plus Life &amp; Funeral",_xlfn.XLOOKUP(B610,Table2[Main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Funeral",_xlfn.XLOOKUP(B611,Table2[Main Member Link ID],Table2[Benefit Name],0)&lt;&gt;Lookups!$D$15),
IF(_xlfn.XLOOKUP(B611,Table2[Main Member Link ID],Table2[Benefit Name],0)=0,"",_xlfn.XLOOKUP(B611,Table2[Main Member Link ID],Table2[Benefit Name],0)),"")
))))))</f>
        <v/>
      </c>
      <c r="AG611" s="327" t="str">
        <f>IF(AND(Table2[[#This Row],[Member Type]]="Main Member",Table2[[#This Row],[Product Option]]="My Value Plus Life &amp; Funeral"),Lookups!$D$16,
IF(AND(Table2[[#This Row],[Member Type]]="Spouse",Table2[[#This Row],[Product Option]]="My Value Plus Life &amp; Funeral",_xlfn.XLOOKUP(B611,Table2[Main Member Link ID],Table2[Benefit Name],0)=Lookups!$D$14),"",
IF(AND(Table2[[#This Row],[Member Type]]="Spouse",Table2[[#This Row],[Product Option]]="My Value Plus Life &amp; Funeral",_xlfn.XLOOKUP(B610,Table2[Main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Funeral",_xlfn.XLOOKUP(B611,Table2[Main Member Link ID],Table2[Benefit Name],0)&lt;&gt;Lookups!$D$16),
IF(_xlfn.XLOOKUP(B611,Table2[Main Member Link ID],Table2[Benefit Name],0)=0,"",_xlfn.XLOOKUP(B611,Table2[Main Member Link ID],Table2[Benefit Name],0)),"")
))))</f>
        <v/>
      </c>
      <c r="AH611" s="327" t="str">
        <f>IF(AND(Table2[[#This Row],[Member Type]]="Main Member",Table2[[#This Row],[Product Option]]="My Value Plus Life &amp; Funeral"),Lookups!$D$17,
IF(AND(Table2[[#This Row],[Member Type]]="Spouse",Table2[[#This Row],[Product Option]]="My Value Plus Life &amp; Funeral",_xlfn.XLOOKUP(B611,Table2[Main Member Link ID],Table2[Benefit Name],0)=Lookups!$D$14),"",
IF(AND(Table2[[#This Row],[Member Type]]="Spouse",Table2[[#This Row],[Product Option]]="My Value Plus Life &amp; Funeral",_xlfn.XLOOKUP(B610,Table2[Main Member Link ID],Table2[Benefit Name],0)=Lookups!$D$16),"",
IF(AND(Table2[[#This Row],[Member Type]]="Child",Table2[[#This Row],[Product Option]]="My Value Plus Life &amp; Funeral"),"",
IF(AND(Table2[[#This Row],[Member Type]]="Child",Table2[[#This Row],[Product Option]]="My Value Plus Life &amp; Funeral",_xlfn.XLOOKUP(B611,Table2[Main Member Link ID],Table2[Benefit Name],0)=Lookups!$D$15),"",
IF(AND(OR(Table2[[#This Row],[Member Type]]="Spouse",Table2[[#This Row],[Member Type]]="Child"),Table2[[#This Row],[Product Option]]="My Value Plus Life &amp; Funeral",_xlfn.XLOOKUP(B611,Table2[Main Member Link ID],Table2[Benefit Name],0)&lt;&gt;Lookups!$D$17),
IF(_xlfn.XLOOKUP(B611,Table2[Main Member Link ID],Table2[Benefit Name],0)=0,"",_xlfn.XLOOKUP(B611,Table2[Main Member Link ID],Table2[Benefit Name],0)),""))))))</f>
        <v/>
      </c>
      <c r="AI611" s="328" t="str">
        <f>IF(AND(Table2[[#This Row],[Member Type]]="Main Member",Table2[[#This Row],[Table Lookup for Life Cover]]="MM_LIFE",Table2[[#This Row],[Age Next Birthday]]&lt;56),1,
IF(AND(Table2[[#This Row],[Member Type]]="Main Member",Table2[[#This Row],[Table Lookup for Life Cover]]="MM_LIFE",Table2[[#This Row],[Age Next Birthday]]&gt;=56),2,
""))</f>
        <v/>
      </c>
      <c r="AJ611" s="328">
        <f>IF(OR(Table2[[#This Row],[Member Type]]="Main Member",Table2[[#This Row],[Main Member Link ID]]=B610),1,0)</f>
        <v>1</v>
      </c>
      <c r="AK611" s="328">
        <f>IF(Table2[[#This Row],[Member Type]]=0,0,
IF(OR(Table2[[#This Row],[Member Type]]="Main Member",Table2[[#This Row],[Main Member Link ID]]&lt;&gt;B611),COUNTIFS(B:B,Table2[[#This Row],[Main Member Link ID]]),
COUNTIFS(B:B,Table2[[#This Row],[Main Member Link ID]],A:A,Table2[[#This Row],[Member Type]])))</f>
        <v>0</v>
      </c>
    </row>
    <row r="612" spans="1:37" x14ac:dyDescent="0.3">
      <c r="A612" s="284">
        <f>Table13[[#This Row],[Member Type]]</f>
        <v>0</v>
      </c>
      <c r="B612" s="284">
        <f>Table13[[#This Row],[Main Member Link ID]]</f>
        <v>0</v>
      </c>
      <c r="C612" s="284">
        <f>Table13[[#This Row],[ID Number]]</f>
        <v>0</v>
      </c>
      <c r="D612" s="285">
        <f>Table13[[#This Row],[Date Of Birth]]</f>
        <v>0</v>
      </c>
      <c r="E612" s="285">
        <f>Table13[[#This Row],[Commencement Date]]</f>
        <v>0</v>
      </c>
      <c r="F612" s="284">
        <f t="shared" si="63"/>
        <v>1</v>
      </c>
      <c r="G612" s="284">
        <f t="shared" si="64"/>
        <v>25</v>
      </c>
      <c r="H612" s="286">
        <f>Table13[[#This Row],[Product Option]]</f>
        <v>0</v>
      </c>
      <c r="I612" s="284">
        <f>IF(AND($A612="Main Member",Table2[[#This Row],[Product Option]]="My Value Plus Life"),"MM_LIFE",
IF(AND($A612="Spouse",Table2[[#This Row],[Product Option]]="My Value Plus Life"),"SP_LIFE",
IF(AND($A612="Main Member",Table2[[#This Row],[Product Option]]="My Value Plus Life &amp; Funeral"),"MM_LIFE",
IF(AND($A612="Spouse",Table2[[#This Row],[Product Option]]="My Value Plus Life &amp; Funeral"),_xlfn.XLOOKUP(Table2[[#This Row],[Benefit Name]],Lookups!$D$18:$D$23,Lookups!$E$18:$E$23,0),
0))))</f>
        <v>0</v>
      </c>
      <c r="J612" s="284">
        <f>IF($I612="","",
IF($I612="MM_LIFE",INDEX('Quotation Tool'!$S$54:$V$60,MATCH($T612,'Quotation Tool'!$S$54:$S$60,0),4),
IF($I612="SP_LIFE",_xlfn.XLOOKUP(B611,$B:$B,$J:$J,0),0)))</f>
        <v>0</v>
      </c>
      <c r="K612" s="287">
        <f t="shared" ca="1" si="68"/>
        <v>0</v>
      </c>
      <c r="L612" s="288">
        <f t="shared" ca="1" si="69"/>
        <v>0</v>
      </c>
      <c r="M612" s="289">
        <f t="shared" ca="1" si="65"/>
        <v>0</v>
      </c>
      <c r="N612" s="286">
        <f>Table13[[#This Row],[Benefit Option]]</f>
        <v>0</v>
      </c>
      <c r="O612" s="284">
        <f>IF(OR(Table2[[#This Row],[Member Type]]="Spouse",Table2[[#This Row],[Member Type]]="Child"),0,
IF(_xlfn.XLOOKUP($N612,Lookups!$D$13:$D$27,Lookups!$F$13:$F$27,0)=Table2[[#This Row],[Table Lookup for Life Cover]],0,
_xlfn.XLOOKUP($N612,Lookups!$D$13:$D$27,Lookups!$F$13:$F$27,0)))</f>
        <v>0</v>
      </c>
      <c r="P612" s="284">
        <f>IF(Table2[[#This Row],[Table Lookup for Funeral]]=0,0,IFERROR(INDEX('Quotation Tool'!$S$54:$V$60,MATCH($T612,'Quotation Tool'!$S$54:$S$60,0),3),0))</f>
        <v>0</v>
      </c>
      <c r="Q612" s="288">
        <f ca="1">IF(OR(Table2[[#This Row],[Benefit Name]]="My Value Plus Life - Main Member",Table2[[#This Row],[Benefit Name]]="My Value Plus Life - Spouse"),0,
IFERROR(VLOOKUP($G612,INDIRECT($O612),$P612,FALSE),0))</f>
        <v>0</v>
      </c>
      <c r="R612" s="288">
        <f ca="1">IF(OR(Table2[[#This Row],[Benefit Name]]="My Value Plus Life - Main Member",Table2[[#This Row],[Benefit Name]]="My Value Plus Life - Spouse"),0,
IFERROR(VLOOKUP($G612,INDIRECT($O612),$P612+1,FALSE),0))</f>
        <v>0</v>
      </c>
      <c r="S612" s="289">
        <f t="shared" ca="1" si="66"/>
        <v>0</v>
      </c>
      <c r="T612" s="284" t="str">
        <f>IF(Table13[[#This Row],[Premium Waiver]]="","None",Table13[[#This Row],[Premium Waiver]])</f>
        <v>None</v>
      </c>
      <c r="U612" s="284">
        <f>Table13[[#This Row],[VAPs Options]]</f>
        <v>0</v>
      </c>
      <c r="V612" s="284">
        <f>Table13[[#This Row],[Annual Increase Option]]</f>
        <v>0</v>
      </c>
      <c r="W612" s="290">
        <f>Table13[[#This Row],[Life Cover Amount]]</f>
        <v>0</v>
      </c>
      <c r="X612" s="290">
        <f>Table13[[#This Row],[Funeral Cover Amount]]</f>
        <v>0</v>
      </c>
      <c r="Y61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1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12" s="301">
        <f t="shared" ca="1" si="67"/>
        <v>0</v>
      </c>
      <c r="AB612" s="298"/>
      <c r="AC612" s="326" t="str">
        <f>IF(Table2[[#This Row],[Member Type]]="Main Member",Lookups!$C$13,
IF(Table2[[#This Row],[Member Type]]="Spouse",_xlfn.XLOOKUP(B612,Table2[Main Member Link ID],Table2[Product Option],0),
IF(AND(Table2[[#This Row],[Member Type]]="Child",_xlfn.XLOOKUP(B612,Table2[Main Member Link ID],Table2[Product Option],0)&lt;&gt;"My Value Plus Life"),Lookups!$C$24,
IF(AND(OR(Table2[[#This Row],[Member Type]]="Parent",Table2[[#This Row],[Member Type]]="Extended"),_xlfn.XLOOKUP(B612,Table2[Main Member Link ID],Table2[Product Option],0)&lt;&gt;"My Value Plus Life"),Lookups!$C$26,""))))</f>
        <v/>
      </c>
      <c r="AD612" s="326" t="str">
        <f>IF(Table2[[#This Row],[Member Type]]="Main Member",Lookups!$C$14,"")</f>
        <v/>
      </c>
      <c r="AE61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Funeral",_xlfn.XLOOKUP(B612,Table2[Main Member Link ID],Table2[Benefit Name],0)=Lookups!$D$14),"",
IF(AND(Table2[[#This Row],[Member Type]]="Spouse",Table2[[#This Row],[Product Option]]="My Value Plus Life &amp; Funeral",_xlfn.XLOOKUP(B611,Table2[Main Member Link ID],Table2[Benefit Name],0)=Lookups!$D$15),Lookups!$D$20,
IF(AND(Table2[[#This Row],[Member Type]]="Spouse",Table2[[#This Row],[Product Option]]="My Value Plus Life &amp; Funeral",_xlfn.XLOOKUP(B611,Table2[Main Member Link ID],Table2[Benefit Name],0)=Lookups!$D$16),"",
IF(AND(Table2[[#This Row],[Member Type]]="Spouse",Table2[[#This Row],[Product Option]]="My Value Plus Life &amp; Funeral",_xlfn.XLOOKUP(B611,Table2[Main Member Link ID],Table2[Benefit Name],0)=Lookups!$D$17),Lookups!$D$21,
IF(AND(Table2[[#This Row],[Member Type]]="Child",Table2[[#This Row],[Product Option]]="My Value Plus Life &amp; Funeral",_xlfn.XLOOKUP(B612,Table2[Main Member Link ID],Table2[Benefit Name],0)=Lookups!$D$14),"",
IF(AND(Table2[[#This Row],[Member Type]]="Child",Table2[[#This Row],[Product Option]]="My Value Plus Life &amp; Funeral",_xlfn.XLOOKUP(B612,Table2[Main Member Link ID],Table2[Benefit Name],0)=Lookups!$D$15),"",
IF(AND(Table2[[#This Row],[Member Type]]="Child",Table2[[#This Row],[Product Option]]="My Value Plus Life &amp; Funeral",_xlfn.XLOOKUP(B612,Table2[Main Member Link ID],Table2[Benefit Name],0)=Lookups!$D$16),Lookups!$D$24,
IF(AND(Table2[[#This Row],[Member Type]]="Child",Table2[[#This Row],[Product Option]]="My Value Plus Life &amp; Funeral",_xlfn.XLOOKUP(B612,Table2[Main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Funeral",_xlfn.XLOOKUP(B612,Table2[Main Member Link ID],Table2[Benefit Name],0)&lt;&gt;Lookups!$D$14),
IF(_xlfn.XLOOKUP(B612,Table2[Main Member Link ID],Table2[Benefit Name],0)=0,"",_xlfn.XLOOKUP(B612,Table2[Main Member Link ID],Table2[Benefit Name],0)),"")))))))))))))))</f>
        <v/>
      </c>
      <c r="AF612" s="327" t="str">
        <f>IF(AND(Table2[[#This Row],[Member Type]]="Main Member",Table2[[#This Row],[Product Option]]="My Value Plus Life &amp; Funeral"),Lookups!$D$15,
IF(AND(Table2[[#This Row],[Member Type]]="Spouse",Table2[[#This Row],[Product Option]]="My Value Plus Life &amp; Funeral",_xlfn.XLOOKUP(B612,Table2[Main Member Link ID],Table2[Benefit Name],0)=Lookups!$D$14),"",
IF(AND(Table2[[#This Row],[Member Type]]="Spouse",Table2[[#This Row],[Product Option]]="My Value Plus Life &amp; Funeral",_xlfn.XLOOKUP(B611,Table2[Main Member Link ID],Table2[Benefit Name],0)=Lookups!$D$16),"",
IF(AND(Table2[[#This Row],[Member Type]]="Spouse",Table2[[#This Row],[Product Option]]="My Value Plus Life &amp; Funeral",_xlfn.XLOOKUP(B611,Table2[Main Member Link ID],Table2[Benefit Name],0)=Lookups!$D$15),"",
IF(AND(Table2[[#This Row],[Member Type]]="Spouse",Table2[[#This Row],[Product Option]]="My Value Plus Life &amp; Funeral",_xlfn.XLOOKUP(B611,Table2[Main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Funeral",_xlfn.XLOOKUP(B612,Table2[Main Member Link ID],Table2[Benefit Name],0)&lt;&gt;Lookups!$D$15),
IF(_xlfn.XLOOKUP(B612,Table2[Main Member Link ID],Table2[Benefit Name],0)=0,"",_xlfn.XLOOKUP(B612,Table2[Main Member Link ID],Table2[Benefit Name],0)),"")
))))))</f>
        <v/>
      </c>
      <c r="AG612" s="327" t="str">
        <f>IF(AND(Table2[[#This Row],[Member Type]]="Main Member",Table2[[#This Row],[Product Option]]="My Value Plus Life &amp; Funeral"),Lookups!$D$16,
IF(AND(Table2[[#This Row],[Member Type]]="Spouse",Table2[[#This Row],[Product Option]]="My Value Plus Life &amp; Funeral",_xlfn.XLOOKUP(B612,Table2[Main Member Link ID],Table2[Benefit Name],0)=Lookups!$D$14),"",
IF(AND(Table2[[#This Row],[Member Type]]="Spouse",Table2[[#This Row],[Product Option]]="My Value Plus Life &amp; Funeral",_xlfn.XLOOKUP(B611,Table2[Main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Funeral",_xlfn.XLOOKUP(B612,Table2[Main Member Link ID],Table2[Benefit Name],0)&lt;&gt;Lookups!$D$16),
IF(_xlfn.XLOOKUP(B612,Table2[Main Member Link ID],Table2[Benefit Name],0)=0,"",_xlfn.XLOOKUP(B612,Table2[Main Member Link ID],Table2[Benefit Name],0)),"")
))))</f>
        <v/>
      </c>
      <c r="AH612" s="327" t="str">
        <f>IF(AND(Table2[[#This Row],[Member Type]]="Main Member",Table2[[#This Row],[Product Option]]="My Value Plus Life &amp; Funeral"),Lookups!$D$17,
IF(AND(Table2[[#This Row],[Member Type]]="Spouse",Table2[[#This Row],[Product Option]]="My Value Plus Life &amp; Funeral",_xlfn.XLOOKUP(B612,Table2[Main Member Link ID],Table2[Benefit Name],0)=Lookups!$D$14),"",
IF(AND(Table2[[#This Row],[Member Type]]="Spouse",Table2[[#This Row],[Product Option]]="My Value Plus Life &amp; Funeral",_xlfn.XLOOKUP(B611,Table2[Main Member Link ID],Table2[Benefit Name],0)=Lookups!$D$16),"",
IF(AND(Table2[[#This Row],[Member Type]]="Child",Table2[[#This Row],[Product Option]]="My Value Plus Life &amp; Funeral"),"",
IF(AND(Table2[[#This Row],[Member Type]]="Child",Table2[[#This Row],[Product Option]]="My Value Plus Life &amp; Funeral",_xlfn.XLOOKUP(B612,Table2[Main Member Link ID],Table2[Benefit Name],0)=Lookups!$D$15),"",
IF(AND(OR(Table2[[#This Row],[Member Type]]="Spouse",Table2[[#This Row],[Member Type]]="Child"),Table2[[#This Row],[Product Option]]="My Value Plus Life &amp; Funeral",_xlfn.XLOOKUP(B612,Table2[Main Member Link ID],Table2[Benefit Name],0)&lt;&gt;Lookups!$D$17),
IF(_xlfn.XLOOKUP(B612,Table2[Main Member Link ID],Table2[Benefit Name],0)=0,"",_xlfn.XLOOKUP(B612,Table2[Main Member Link ID],Table2[Benefit Name],0)),""))))))</f>
        <v/>
      </c>
      <c r="AI612" s="328" t="str">
        <f>IF(AND(Table2[[#This Row],[Member Type]]="Main Member",Table2[[#This Row],[Table Lookup for Life Cover]]="MM_LIFE",Table2[[#This Row],[Age Next Birthday]]&lt;56),1,
IF(AND(Table2[[#This Row],[Member Type]]="Main Member",Table2[[#This Row],[Table Lookup for Life Cover]]="MM_LIFE",Table2[[#This Row],[Age Next Birthday]]&gt;=56),2,
""))</f>
        <v/>
      </c>
      <c r="AJ612" s="328">
        <f>IF(OR(Table2[[#This Row],[Member Type]]="Main Member",Table2[[#This Row],[Main Member Link ID]]=B611),1,0)</f>
        <v>1</v>
      </c>
      <c r="AK612" s="328">
        <f>IF(Table2[[#This Row],[Member Type]]=0,0,
IF(OR(Table2[[#This Row],[Member Type]]="Main Member",Table2[[#This Row],[Main Member Link ID]]&lt;&gt;B612),COUNTIFS(B:B,Table2[[#This Row],[Main Member Link ID]]),
COUNTIFS(B:B,Table2[[#This Row],[Main Member Link ID]],A:A,Table2[[#This Row],[Member Type]])))</f>
        <v>0</v>
      </c>
    </row>
    <row r="613" spans="1:37" x14ac:dyDescent="0.3">
      <c r="A613" s="284">
        <f>Table13[[#This Row],[Member Type]]</f>
        <v>0</v>
      </c>
      <c r="B613" s="284">
        <f>Table13[[#This Row],[Main Member Link ID]]</f>
        <v>0</v>
      </c>
      <c r="C613" s="284">
        <f>Table13[[#This Row],[ID Number]]</f>
        <v>0</v>
      </c>
      <c r="D613" s="285">
        <f>Table13[[#This Row],[Date Of Birth]]</f>
        <v>0</v>
      </c>
      <c r="E613" s="285">
        <f>Table13[[#This Row],[Commencement Date]]</f>
        <v>0</v>
      </c>
      <c r="F613" s="284">
        <f t="shared" si="63"/>
        <v>1</v>
      </c>
      <c r="G613" s="284">
        <f t="shared" si="64"/>
        <v>25</v>
      </c>
      <c r="H613" s="286">
        <f>Table13[[#This Row],[Product Option]]</f>
        <v>0</v>
      </c>
      <c r="I613" s="284">
        <f>IF(AND($A613="Main Member",Table2[[#This Row],[Product Option]]="My Value Plus Life"),"MM_LIFE",
IF(AND($A613="Spouse",Table2[[#This Row],[Product Option]]="My Value Plus Life"),"SP_LIFE",
IF(AND($A613="Main Member",Table2[[#This Row],[Product Option]]="My Value Plus Life &amp; Funeral"),"MM_LIFE",
IF(AND($A613="Spouse",Table2[[#This Row],[Product Option]]="My Value Plus Life &amp; Funeral"),_xlfn.XLOOKUP(Table2[[#This Row],[Benefit Name]],Lookups!$D$18:$D$23,Lookups!$E$18:$E$23,0),
0))))</f>
        <v>0</v>
      </c>
      <c r="J613" s="284">
        <f>IF($I613="","",
IF($I613="MM_LIFE",INDEX('Quotation Tool'!$S$54:$V$60,MATCH($T613,'Quotation Tool'!$S$54:$S$60,0),4),
IF($I613="SP_LIFE",_xlfn.XLOOKUP(B612,$B:$B,$J:$J,0),0)))</f>
        <v>0</v>
      </c>
      <c r="K613" s="287">
        <f t="shared" ca="1" si="68"/>
        <v>0</v>
      </c>
      <c r="L613" s="288">
        <f t="shared" ca="1" si="69"/>
        <v>0</v>
      </c>
      <c r="M613" s="289">
        <f t="shared" ca="1" si="65"/>
        <v>0</v>
      </c>
      <c r="N613" s="286">
        <f>Table13[[#This Row],[Benefit Option]]</f>
        <v>0</v>
      </c>
      <c r="O613" s="284">
        <f>IF(OR(Table2[[#This Row],[Member Type]]="Spouse",Table2[[#This Row],[Member Type]]="Child"),0,
IF(_xlfn.XLOOKUP($N613,Lookups!$D$13:$D$27,Lookups!$F$13:$F$27,0)=Table2[[#This Row],[Table Lookup for Life Cover]],0,
_xlfn.XLOOKUP($N613,Lookups!$D$13:$D$27,Lookups!$F$13:$F$27,0)))</f>
        <v>0</v>
      </c>
      <c r="P613" s="284">
        <f>IF(Table2[[#This Row],[Table Lookup for Funeral]]=0,0,IFERROR(INDEX('Quotation Tool'!$S$54:$V$60,MATCH($T613,'Quotation Tool'!$S$54:$S$60,0),3),0))</f>
        <v>0</v>
      </c>
      <c r="Q613" s="288">
        <f ca="1">IF(OR(Table2[[#This Row],[Benefit Name]]="My Value Plus Life - Main Member",Table2[[#This Row],[Benefit Name]]="My Value Plus Life - Spouse"),0,
IFERROR(VLOOKUP($G613,INDIRECT($O613),$P613,FALSE),0))</f>
        <v>0</v>
      </c>
      <c r="R613" s="288">
        <f ca="1">IF(OR(Table2[[#This Row],[Benefit Name]]="My Value Plus Life - Main Member",Table2[[#This Row],[Benefit Name]]="My Value Plus Life - Spouse"),0,
IFERROR(VLOOKUP($G613,INDIRECT($O613),$P613+1,FALSE),0))</f>
        <v>0</v>
      </c>
      <c r="S613" s="289">
        <f t="shared" ca="1" si="66"/>
        <v>0</v>
      </c>
      <c r="T613" s="284" t="str">
        <f>IF(Table13[[#This Row],[Premium Waiver]]="","None",Table13[[#This Row],[Premium Waiver]])</f>
        <v>None</v>
      </c>
      <c r="U613" s="284">
        <f>Table13[[#This Row],[VAPs Options]]</f>
        <v>0</v>
      </c>
      <c r="V613" s="284">
        <f>Table13[[#This Row],[Annual Increase Option]]</f>
        <v>0</v>
      </c>
      <c r="W613" s="290">
        <f>Table13[[#This Row],[Life Cover Amount]]</f>
        <v>0</v>
      </c>
      <c r="X613" s="290">
        <f>Table13[[#This Row],[Funeral Cover Amount]]</f>
        <v>0</v>
      </c>
      <c r="Y61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1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13" s="301">
        <f t="shared" ca="1" si="67"/>
        <v>0</v>
      </c>
      <c r="AB613" s="298"/>
      <c r="AC613" s="326" t="str">
        <f>IF(Table2[[#This Row],[Member Type]]="Main Member",Lookups!$C$13,
IF(Table2[[#This Row],[Member Type]]="Spouse",_xlfn.XLOOKUP(B613,Table2[Main Member Link ID],Table2[Product Option],0),
IF(AND(Table2[[#This Row],[Member Type]]="Child",_xlfn.XLOOKUP(B613,Table2[Main Member Link ID],Table2[Product Option],0)&lt;&gt;"My Value Plus Life"),Lookups!$C$24,
IF(AND(OR(Table2[[#This Row],[Member Type]]="Parent",Table2[[#This Row],[Member Type]]="Extended"),_xlfn.XLOOKUP(B613,Table2[Main Member Link ID],Table2[Product Option],0)&lt;&gt;"My Value Plus Life"),Lookups!$C$26,""))))</f>
        <v/>
      </c>
      <c r="AD613" s="326" t="str">
        <f>IF(Table2[[#This Row],[Member Type]]="Main Member",Lookups!$C$14,"")</f>
        <v/>
      </c>
      <c r="AE61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Funeral",_xlfn.XLOOKUP(B613,Table2[Main Member Link ID],Table2[Benefit Name],0)=Lookups!$D$14),"",
IF(AND(Table2[[#This Row],[Member Type]]="Spouse",Table2[[#This Row],[Product Option]]="My Value Plus Life &amp; Funeral",_xlfn.XLOOKUP(B612,Table2[Main Member Link ID],Table2[Benefit Name],0)=Lookups!$D$15),Lookups!$D$20,
IF(AND(Table2[[#This Row],[Member Type]]="Spouse",Table2[[#This Row],[Product Option]]="My Value Plus Life &amp; Funeral",_xlfn.XLOOKUP(B612,Table2[Main Member Link ID],Table2[Benefit Name],0)=Lookups!$D$16),"",
IF(AND(Table2[[#This Row],[Member Type]]="Spouse",Table2[[#This Row],[Product Option]]="My Value Plus Life &amp; Funeral",_xlfn.XLOOKUP(B612,Table2[Main Member Link ID],Table2[Benefit Name],0)=Lookups!$D$17),Lookups!$D$21,
IF(AND(Table2[[#This Row],[Member Type]]="Child",Table2[[#This Row],[Product Option]]="My Value Plus Life &amp; Funeral",_xlfn.XLOOKUP(B613,Table2[Main Member Link ID],Table2[Benefit Name],0)=Lookups!$D$14),"",
IF(AND(Table2[[#This Row],[Member Type]]="Child",Table2[[#This Row],[Product Option]]="My Value Plus Life &amp; Funeral",_xlfn.XLOOKUP(B613,Table2[Main Member Link ID],Table2[Benefit Name],0)=Lookups!$D$15),"",
IF(AND(Table2[[#This Row],[Member Type]]="Child",Table2[[#This Row],[Product Option]]="My Value Plus Life &amp; Funeral",_xlfn.XLOOKUP(B613,Table2[Main Member Link ID],Table2[Benefit Name],0)=Lookups!$D$16),Lookups!$D$24,
IF(AND(Table2[[#This Row],[Member Type]]="Child",Table2[[#This Row],[Product Option]]="My Value Plus Life &amp; Funeral",_xlfn.XLOOKUP(B613,Table2[Main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Funeral",_xlfn.XLOOKUP(B613,Table2[Main Member Link ID],Table2[Benefit Name],0)&lt;&gt;Lookups!$D$14),
IF(_xlfn.XLOOKUP(B613,Table2[Main Member Link ID],Table2[Benefit Name],0)=0,"",_xlfn.XLOOKUP(B613,Table2[Main Member Link ID],Table2[Benefit Name],0)),"")))))))))))))))</f>
        <v/>
      </c>
      <c r="AF613" s="327" t="str">
        <f>IF(AND(Table2[[#This Row],[Member Type]]="Main Member",Table2[[#This Row],[Product Option]]="My Value Plus Life &amp; Funeral"),Lookups!$D$15,
IF(AND(Table2[[#This Row],[Member Type]]="Spouse",Table2[[#This Row],[Product Option]]="My Value Plus Life &amp; Funeral",_xlfn.XLOOKUP(B613,Table2[Main Member Link ID],Table2[Benefit Name],0)=Lookups!$D$14),"",
IF(AND(Table2[[#This Row],[Member Type]]="Spouse",Table2[[#This Row],[Product Option]]="My Value Plus Life &amp; Funeral",_xlfn.XLOOKUP(B612,Table2[Main Member Link ID],Table2[Benefit Name],0)=Lookups!$D$16),"",
IF(AND(Table2[[#This Row],[Member Type]]="Spouse",Table2[[#This Row],[Product Option]]="My Value Plus Life &amp; Funeral",_xlfn.XLOOKUP(B612,Table2[Main Member Link ID],Table2[Benefit Name],0)=Lookups!$D$15),"",
IF(AND(Table2[[#This Row],[Member Type]]="Spouse",Table2[[#This Row],[Product Option]]="My Value Plus Life &amp; Funeral",_xlfn.XLOOKUP(B612,Table2[Main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Funeral",_xlfn.XLOOKUP(B613,Table2[Main Member Link ID],Table2[Benefit Name],0)&lt;&gt;Lookups!$D$15),
IF(_xlfn.XLOOKUP(B613,Table2[Main Member Link ID],Table2[Benefit Name],0)=0,"",_xlfn.XLOOKUP(B613,Table2[Main Member Link ID],Table2[Benefit Name],0)),"")
))))))</f>
        <v/>
      </c>
      <c r="AG613" s="327" t="str">
        <f>IF(AND(Table2[[#This Row],[Member Type]]="Main Member",Table2[[#This Row],[Product Option]]="My Value Plus Life &amp; Funeral"),Lookups!$D$16,
IF(AND(Table2[[#This Row],[Member Type]]="Spouse",Table2[[#This Row],[Product Option]]="My Value Plus Life &amp; Funeral",_xlfn.XLOOKUP(B613,Table2[Main Member Link ID],Table2[Benefit Name],0)=Lookups!$D$14),"",
IF(AND(Table2[[#This Row],[Member Type]]="Spouse",Table2[[#This Row],[Product Option]]="My Value Plus Life &amp; Funeral",_xlfn.XLOOKUP(B612,Table2[Main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Funeral",_xlfn.XLOOKUP(B613,Table2[Main Member Link ID],Table2[Benefit Name],0)&lt;&gt;Lookups!$D$16),
IF(_xlfn.XLOOKUP(B613,Table2[Main Member Link ID],Table2[Benefit Name],0)=0,"",_xlfn.XLOOKUP(B613,Table2[Main Member Link ID],Table2[Benefit Name],0)),"")
))))</f>
        <v/>
      </c>
      <c r="AH613" s="327" t="str">
        <f>IF(AND(Table2[[#This Row],[Member Type]]="Main Member",Table2[[#This Row],[Product Option]]="My Value Plus Life &amp; Funeral"),Lookups!$D$17,
IF(AND(Table2[[#This Row],[Member Type]]="Spouse",Table2[[#This Row],[Product Option]]="My Value Plus Life &amp; Funeral",_xlfn.XLOOKUP(B613,Table2[Main Member Link ID],Table2[Benefit Name],0)=Lookups!$D$14),"",
IF(AND(Table2[[#This Row],[Member Type]]="Spouse",Table2[[#This Row],[Product Option]]="My Value Plus Life &amp; Funeral",_xlfn.XLOOKUP(B612,Table2[Main Member Link ID],Table2[Benefit Name],0)=Lookups!$D$16),"",
IF(AND(Table2[[#This Row],[Member Type]]="Child",Table2[[#This Row],[Product Option]]="My Value Plus Life &amp; Funeral"),"",
IF(AND(Table2[[#This Row],[Member Type]]="Child",Table2[[#This Row],[Product Option]]="My Value Plus Life &amp; Funeral",_xlfn.XLOOKUP(B613,Table2[Main Member Link ID],Table2[Benefit Name],0)=Lookups!$D$15),"",
IF(AND(OR(Table2[[#This Row],[Member Type]]="Spouse",Table2[[#This Row],[Member Type]]="Child"),Table2[[#This Row],[Product Option]]="My Value Plus Life &amp; Funeral",_xlfn.XLOOKUP(B613,Table2[Main Member Link ID],Table2[Benefit Name],0)&lt;&gt;Lookups!$D$17),
IF(_xlfn.XLOOKUP(B613,Table2[Main Member Link ID],Table2[Benefit Name],0)=0,"",_xlfn.XLOOKUP(B613,Table2[Main Member Link ID],Table2[Benefit Name],0)),""))))))</f>
        <v/>
      </c>
      <c r="AI613" s="328" t="str">
        <f>IF(AND(Table2[[#This Row],[Member Type]]="Main Member",Table2[[#This Row],[Table Lookup for Life Cover]]="MM_LIFE",Table2[[#This Row],[Age Next Birthday]]&lt;56),1,
IF(AND(Table2[[#This Row],[Member Type]]="Main Member",Table2[[#This Row],[Table Lookup for Life Cover]]="MM_LIFE",Table2[[#This Row],[Age Next Birthday]]&gt;=56),2,
""))</f>
        <v/>
      </c>
      <c r="AJ613" s="328">
        <f>IF(OR(Table2[[#This Row],[Member Type]]="Main Member",Table2[[#This Row],[Main Member Link ID]]=B612),1,0)</f>
        <v>1</v>
      </c>
      <c r="AK613" s="328">
        <f>IF(Table2[[#This Row],[Member Type]]=0,0,
IF(OR(Table2[[#This Row],[Member Type]]="Main Member",Table2[[#This Row],[Main Member Link ID]]&lt;&gt;B613),COUNTIFS(B:B,Table2[[#This Row],[Main Member Link ID]]),
COUNTIFS(B:B,Table2[[#This Row],[Main Member Link ID]],A:A,Table2[[#This Row],[Member Type]])))</f>
        <v>0</v>
      </c>
    </row>
    <row r="614" spans="1:37" x14ac:dyDescent="0.3">
      <c r="A614" s="284">
        <f>Table13[[#This Row],[Member Type]]</f>
        <v>0</v>
      </c>
      <c r="B614" s="284">
        <f>Table13[[#This Row],[Main Member Link ID]]</f>
        <v>0</v>
      </c>
      <c r="C614" s="284">
        <f>Table13[[#This Row],[ID Number]]</f>
        <v>0</v>
      </c>
      <c r="D614" s="285">
        <f>Table13[[#This Row],[Date Of Birth]]</f>
        <v>0</v>
      </c>
      <c r="E614" s="285">
        <f>Table13[[#This Row],[Commencement Date]]</f>
        <v>0</v>
      </c>
      <c r="F614" s="284">
        <f t="shared" si="63"/>
        <v>1</v>
      </c>
      <c r="G614" s="284">
        <f t="shared" si="64"/>
        <v>25</v>
      </c>
      <c r="H614" s="286">
        <f>Table13[[#This Row],[Product Option]]</f>
        <v>0</v>
      </c>
      <c r="I614" s="284">
        <f>IF(AND($A614="Main Member",Table2[[#This Row],[Product Option]]="My Value Plus Life"),"MM_LIFE",
IF(AND($A614="Spouse",Table2[[#This Row],[Product Option]]="My Value Plus Life"),"SP_LIFE",
IF(AND($A614="Main Member",Table2[[#This Row],[Product Option]]="My Value Plus Life &amp; Funeral"),"MM_LIFE",
IF(AND($A614="Spouse",Table2[[#This Row],[Product Option]]="My Value Plus Life &amp; Funeral"),_xlfn.XLOOKUP(Table2[[#This Row],[Benefit Name]],Lookups!$D$18:$D$23,Lookups!$E$18:$E$23,0),
0))))</f>
        <v>0</v>
      </c>
      <c r="J614" s="284">
        <f>IF($I614="","",
IF($I614="MM_LIFE",INDEX('Quotation Tool'!$S$54:$V$60,MATCH($T614,'Quotation Tool'!$S$54:$S$60,0),4),
IF($I614="SP_LIFE",_xlfn.XLOOKUP(B613,$B:$B,$J:$J,0),0)))</f>
        <v>0</v>
      </c>
      <c r="K614" s="287">
        <f t="shared" ca="1" si="68"/>
        <v>0</v>
      </c>
      <c r="L614" s="288">
        <f t="shared" ca="1" si="69"/>
        <v>0</v>
      </c>
      <c r="M614" s="289">
        <f t="shared" ca="1" si="65"/>
        <v>0</v>
      </c>
      <c r="N614" s="286">
        <f>Table13[[#This Row],[Benefit Option]]</f>
        <v>0</v>
      </c>
      <c r="O614" s="284">
        <f>IF(OR(Table2[[#This Row],[Member Type]]="Spouse",Table2[[#This Row],[Member Type]]="Child"),0,
IF(_xlfn.XLOOKUP($N614,Lookups!$D$13:$D$27,Lookups!$F$13:$F$27,0)=Table2[[#This Row],[Table Lookup for Life Cover]],0,
_xlfn.XLOOKUP($N614,Lookups!$D$13:$D$27,Lookups!$F$13:$F$27,0)))</f>
        <v>0</v>
      </c>
      <c r="P614" s="284">
        <f>IF(Table2[[#This Row],[Table Lookup for Funeral]]=0,0,IFERROR(INDEX('Quotation Tool'!$S$54:$V$60,MATCH($T614,'Quotation Tool'!$S$54:$S$60,0),3),0))</f>
        <v>0</v>
      </c>
      <c r="Q614" s="288">
        <f ca="1">IF(OR(Table2[[#This Row],[Benefit Name]]="My Value Plus Life - Main Member",Table2[[#This Row],[Benefit Name]]="My Value Plus Life - Spouse"),0,
IFERROR(VLOOKUP($G614,INDIRECT($O614),$P614,FALSE),0))</f>
        <v>0</v>
      </c>
      <c r="R614" s="288">
        <f ca="1">IF(OR(Table2[[#This Row],[Benefit Name]]="My Value Plus Life - Main Member",Table2[[#This Row],[Benefit Name]]="My Value Plus Life - Spouse"),0,
IFERROR(VLOOKUP($G614,INDIRECT($O614),$P614+1,FALSE),0))</f>
        <v>0</v>
      </c>
      <c r="S614" s="289">
        <f t="shared" ca="1" si="66"/>
        <v>0</v>
      </c>
      <c r="T614" s="284" t="str">
        <f>IF(Table13[[#This Row],[Premium Waiver]]="","None",Table13[[#This Row],[Premium Waiver]])</f>
        <v>None</v>
      </c>
      <c r="U614" s="284">
        <f>Table13[[#This Row],[VAPs Options]]</f>
        <v>0</v>
      </c>
      <c r="V614" s="284">
        <f>Table13[[#This Row],[Annual Increase Option]]</f>
        <v>0</v>
      </c>
      <c r="W614" s="290">
        <f>Table13[[#This Row],[Life Cover Amount]]</f>
        <v>0</v>
      </c>
      <c r="X614" s="290">
        <f>Table13[[#This Row],[Funeral Cover Amount]]</f>
        <v>0</v>
      </c>
      <c r="Y61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1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14" s="301">
        <f t="shared" ca="1" si="67"/>
        <v>0</v>
      </c>
      <c r="AB614" s="298"/>
      <c r="AC614" s="326" t="str">
        <f>IF(Table2[[#This Row],[Member Type]]="Main Member",Lookups!$C$13,
IF(Table2[[#This Row],[Member Type]]="Spouse",_xlfn.XLOOKUP(B614,Table2[Main Member Link ID],Table2[Product Option],0),
IF(AND(Table2[[#This Row],[Member Type]]="Child",_xlfn.XLOOKUP(B614,Table2[Main Member Link ID],Table2[Product Option],0)&lt;&gt;"My Value Plus Life"),Lookups!$C$24,
IF(AND(OR(Table2[[#This Row],[Member Type]]="Parent",Table2[[#This Row],[Member Type]]="Extended"),_xlfn.XLOOKUP(B614,Table2[Main Member Link ID],Table2[Product Option],0)&lt;&gt;"My Value Plus Life"),Lookups!$C$26,""))))</f>
        <v/>
      </c>
      <c r="AD614" s="326" t="str">
        <f>IF(Table2[[#This Row],[Member Type]]="Main Member",Lookups!$C$14,"")</f>
        <v/>
      </c>
      <c r="AE61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Funeral",_xlfn.XLOOKUP(B614,Table2[Main Member Link ID],Table2[Benefit Name],0)=Lookups!$D$14),"",
IF(AND(Table2[[#This Row],[Member Type]]="Spouse",Table2[[#This Row],[Product Option]]="My Value Plus Life &amp; Funeral",_xlfn.XLOOKUP(B613,Table2[Main Member Link ID],Table2[Benefit Name],0)=Lookups!$D$15),Lookups!$D$20,
IF(AND(Table2[[#This Row],[Member Type]]="Spouse",Table2[[#This Row],[Product Option]]="My Value Plus Life &amp; Funeral",_xlfn.XLOOKUP(B613,Table2[Main Member Link ID],Table2[Benefit Name],0)=Lookups!$D$16),"",
IF(AND(Table2[[#This Row],[Member Type]]="Spouse",Table2[[#This Row],[Product Option]]="My Value Plus Life &amp; Funeral",_xlfn.XLOOKUP(B613,Table2[Main Member Link ID],Table2[Benefit Name],0)=Lookups!$D$17),Lookups!$D$21,
IF(AND(Table2[[#This Row],[Member Type]]="Child",Table2[[#This Row],[Product Option]]="My Value Plus Life &amp; Funeral",_xlfn.XLOOKUP(B614,Table2[Main Member Link ID],Table2[Benefit Name],0)=Lookups!$D$14),"",
IF(AND(Table2[[#This Row],[Member Type]]="Child",Table2[[#This Row],[Product Option]]="My Value Plus Life &amp; Funeral",_xlfn.XLOOKUP(B614,Table2[Main Member Link ID],Table2[Benefit Name],0)=Lookups!$D$15),"",
IF(AND(Table2[[#This Row],[Member Type]]="Child",Table2[[#This Row],[Product Option]]="My Value Plus Life &amp; Funeral",_xlfn.XLOOKUP(B614,Table2[Main Member Link ID],Table2[Benefit Name],0)=Lookups!$D$16),Lookups!$D$24,
IF(AND(Table2[[#This Row],[Member Type]]="Child",Table2[[#This Row],[Product Option]]="My Value Plus Life &amp; Funeral",_xlfn.XLOOKUP(B614,Table2[Main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Funeral",_xlfn.XLOOKUP(B614,Table2[Main Member Link ID],Table2[Benefit Name],0)&lt;&gt;Lookups!$D$14),
IF(_xlfn.XLOOKUP(B614,Table2[Main Member Link ID],Table2[Benefit Name],0)=0,"",_xlfn.XLOOKUP(B614,Table2[Main Member Link ID],Table2[Benefit Name],0)),"")))))))))))))))</f>
        <v/>
      </c>
      <c r="AF614" s="327" t="str">
        <f>IF(AND(Table2[[#This Row],[Member Type]]="Main Member",Table2[[#This Row],[Product Option]]="My Value Plus Life &amp; Funeral"),Lookups!$D$15,
IF(AND(Table2[[#This Row],[Member Type]]="Spouse",Table2[[#This Row],[Product Option]]="My Value Plus Life &amp; Funeral",_xlfn.XLOOKUP(B614,Table2[Main Member Link ID],Table2[Benefit Name],0)=Lookups!$D$14),"",
IF(AND(Table2[[#This Row],[Member Type]]="Spouse",Table2[[#This Row],[Product Option]]="My Value Plus Life &amp; Funeral",_xlfn.XLOOKUP(B613,Table2[Main Member Link ID],Table2[Benefit Name],0)=Lookups!$D$16),"",
IF(AND(Table2[[#This Row],[Member Type]]="Spouse",Table2[[#This Row],[Product Option]]="My Value Plus Life &amp; Funeral",_xlfn.XLOOKUP(B613,Table2[Main Member Link ID],Table2[Benefit Name],0)=Lookups!$D$15),"",
IF(AND(Table2[[#This Row],[Member Type]]="Spouse",Table2[[#This Row],[Product Option]]="My Value Plus Life &amp; Funeral",_xlfn.XLOOKUP(B613,Table2[Main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Funeral",_xlfn.XLOOKUP(B614,Table2[Main Member Link ID],Table2[Benefit Name],0)&lt;&gt;Lookups!$D$15),
IF(_xlfn.XLOOKUP(B614,Table2[Main Member Link ID],Table2[Benefit Name],0)=0,"",_xlfn.XLOOKUP(B614,Table2[Main Member Link ID],Table2[Benefit Name],0)),"")
))))))</f>
        <v/>
      </c>
      <c r="AG614" s="327" t="str">
        <f>IF(AND(Table2[[#This Row],[Member Type]]="Main Member",Table2[[#This Row],[Product Option]]="My Value Plus Life &amp; Funeral"),Lookups!$D$16,
IF(AND(Table2[[#This Row],[Member Type]]="Spouse",Table2[[#This Row],[Product Option]]="My Value Plus Life &amp; Funeral",_xlfn.XLOOKUP(B614,Table2[Main Member Link ID],Table2[Benefit Name],0)=Lookups!$D$14),"",
IF(AND(Table2[[#This Row],[Member Type]]="Spouse",Table2[[#This Row],[Product Option]]="My Value Plus Life &amp; Funeral",_xlfn.XLOOKUP(B613,Table2[Main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Funeral",_xlfn.XLOOKUP(B614,Table2[Main Member Link ID],Table2[Benefit Name],0)&lt;&gt;Lookups!$D$16),
IF(_xlfn.XLOOKUP(B614,Table2[Main Member Link ID],Table2[Benefit Name],0)=0,"",_xlfn.XLOOKUP(B614,Table2[Main Member Link ID],Table2[Benefit Name],0)),"")
))))</f>
        <v/>
      </c>
      <c r="AH614" s="327" t="str">
        <f>IF(AND(Table2[[#This Row],[Member Type]]="Main Member",Table2[[#This Row],[Product Option]]="My Value Plus Life &amp; Funeral"),Lookups!$D$17,
IF(AND(Table2[[#This Row],[Member Type]]="Spouse",Table2[[#This Row],[Product Option]]="My Value Plus Life &amp; Funeral",_xlfn.XLOOKUP(B614,Table2[Main Member Link ID],Table2[Benefit Name],0)=Lookups!$D$14),"",
IF(AND(Table2[[#This Row],[Member Type]]="Spouse",Table2[[#This Row],[Product Option]]="My Value Plus Life &amp; Funeral",_xlfn.XLOOKUP(B613,Table2[Main Member Link ID],Table2[Benefit Name],0)=Lookups!$D$16),"",
IF(AND(Table2[[#This Row],[Member Type]]="Child",Table2[[#This Row],[Product Option]]="My Value Plus Life &amp; Funeral"),"",
IF(AND(Table2[[#This Row],[Member Type]]="Child",Table2[[#This Row],[Product Option]]="My Value Plus Life &amp; Funeral",_xlfn.XLOOKUP(B614,Table2[Main Member Link ID],Table2[Benefit Name],0)=Lookups!$D$15),"",
IF(AND(OR(Table2[[#This Row],[Member Type]]="Spouse",Table2[[#This Row],[Member Type]]="Child"),Table2[[#This Row],[Product Option]]="My Value Plus Life &amp; Funeral",_xlfn.XLOOKUP(B614,Table2[Main Member Link ID],Table2[Benefit Name],0)&lt;&gt;Lookups!$D$17),
IF(_xlfn.XLOOKUP(B614,Table2[Main Member Link ID],Table2[Benefit Name],0)=0,"",_xlfn.XLOOKUP(B614,Table2[Main Member Link ID],Table2[Benefit Name],0)),""))))))</f>
        <v/>
      </c>
      <c r="AI614" s="328" t="str">
        <f>IF(AND(Table2[[#This Row],[Member Type]]="Main Member",Table2[[#This Row],[Table Lookup for Life Cover]]="MM_LIFE",Table2[[#This Row],[Age Next Birthday]]&lt;56),1,
IF(AND(Table2[[#This Row],[Member Type]]="Main Member",Table2[[#This Row],[Table Lookup for Life Cover]]="MM_LIFE",Table2[[#This Row],[Age Next Birthday]]&gt;=56),2,
""))</f>
        <v/>
      </c>
      <c r="AJ614" s="328">
        <f>IF(OR(Table2[[#This Row],[Member Type]]="Main Member",Table2[[#This Row],[Main Member Link ID]]=B613),1,0)</f>
        <v>1</v>
      </c>
      <c r="AK614" s="328">
        <f>IF(Table2[[#This Row],[Member Type]]=0,0,
IF(OR(Table2[[#This Row],[Member Type]]="Main Member",Table2[[#This Row],[Main Member Link ID]]&lt;&gt;B614),COUNTIFS(B:B,Table2[[#This Row],[Main Member Link ID]]),
COUNTIFS(B:B,Table2[[#This Row],[Main Member Link ID]],A:A,Table2[[#This Row],[Member Type]])))</f>
        <v>0</v>
      </c>
    </row>
    <row r="615" spans="1:37" x14ac:dyDescent="0.3">
      <c r="A615" s="284">
        <f>Table13[[#This Row],[Member Type]]</f>
        <v>0</v>
      </c>
      <c r="B615" s="284">
        <f>Table13[[#This Row],[Main Member Link ID]]</f>
        <v>0</v>
      </c>
      <c r="C615" s="284">
        <f>Table13[[#This Row],[ID Number]]</f>
        <v>0</v>
      </c>
      <c r="D615" s="285">
        <f>Table13[[#This Row],[Date Of Birth]]</f>
        <v>0</v>
      </c>
      <c r="E615" s="285">
        <f>Table13[[#This Row],[Commencement Date]]</f>
        <v>0</v>
      </c>
      <c r="F615" s="284">
        <f t="shared" si="63"/>
        <v>1</v>
      </c>
      <c r="G615" s="284">
        <f t="shared" si="64"/>
        <v>25</v>
      </c>
      <c r="H615" s="286">
        <f>Table13[[#This Row],[Product Option]]</f>
        <v>0</v>
      </c>
      <c r="I615" s="284">
        <f>IF(AND($A615="Main Member",Table2[[#This Row],[Product Option]]="My Value Plus Life"),"MM_LIFE",
IF(AND($A615="Spouse",Table2[[#This Row],[Product Option]]="My Value Plus Life"),"SP_LIFE",
IF(AND($A615="Main Member",Table2[[#This Row],[Product Option]]="My Value Plus Life &amp; Funeral"),"MM_LIFE",
IF(AND($A615="Spouse",Table2[[#This Row],[Product Option]]="My Value Plus Life &amp; Funeral"),_xlfn.XLOOKUP(Table2[[#This Row],[Benefit Name]],Lookups!$D$18:$D$23,Lookups!$E$18:$E$23,0),
0))))</f>
        <v>0</v>
      </c>
      <c r="J615" s="284">
        <f>IF($I615="","",
IF($I615="MM_LIFE",INDEX('Quotation Tool'!$S$54:$V$60,MATCH($T615,'Quotation Tool'!$S$54:$S$60,0),4),
IF($I615="SP_LIFE",_xlfn.XLOOKUP(B614,$B:$B,$J:$J,0),0)))</f>
        <v>0</v>
      </c>
      <c r="K615" s="287">
        <f t="shared" ca="1" si="68"/>
        <v>0</v>
      </c>
      <c r="L615" s="288">
        <f t="shared" ca="1" si="69"/>
        <v>0</v>
      </c>
      <c r="M615" s="289">
        <f t="shared" ca="1" si="65"/>
        <v>0</v>
      </c>
      <c r="N615" s="286">
        <f>Table13[[#This Row],[Benefit Option]]</f>
        <v>0</v>
      </c>
      <c r="O615" s="284">
        <f>IF(OR(Table2[[#This Row],[Member Type]]="Spouse",Table2[[#This Row],[Member Type]]="Child"),0,
IF(_xlfn.XLOOKUP($N615,Lookups!$D$13:$D$27,Lookups!$F$13:$F$27,0)=Table2[[#This Row],[Table Lookup for Life Cover]],0,
_xlfn.XLOOKUP($N615,Lookups!$D$13:$D$27,Lookups!$F$13:$F$27,0)))</f>
        <v>0</v>
      </c>
      <c r="P615" s="284">
        <f>IF(Table2[[#This Row],[Table Lookup for Funeral]]=0,0,IFERROR(INDEX('Quotation Tool'!$S$54:$V$60,MATCH($T615,'Quotation Tool'!$S$54:$S$60,0),3),0))</f>
        <v>0</v>
      </c>
      <c r="Q615" s="288">
        <f ca="1">IF(OR(Table2[[#This Row],[Benefit Name]]="My Value Plus Life - Main Member",Table2[[#This Row],[Benefit Name]]="My Value Plus Life - Spouse"),0,
IFERROR(VLOOKUP($G615,INDIRECT($O615),$P615,FALSE),0))</f>
        <v>0</v>
      </c>
      <c r="R615" s="288">
        <f ca="1">IF(OR(Table2[[#This Row],[Benefit Name]]="My Value Plus Life - Main Member",Table2[[#This Row],[Benefit Name]]="My Value Plus Life - Spouse"),0,
IFERROR(VLOOKUP($G615,INDIRECT($O615),$P615+1,FALSE),0))</f>
        <v>0</v>
      </c>
      <c r="S615" s="289">
        <f t="shared" ca="1" si="66"/>
        <v>0</v>
      </c>
      <c r="T615" s="284" t="str">
        <f>IF(Table13[[#This Row],[Premium Waiver]]="","None",Table13[[#This Row],[Premium Waiver]])</f>
        <v>None</v>
      </c>
      <c r="U615" s="284">
        <f>Table13[[#This Row],[VAPs Options]]</f>
        <v>0</v>
      </c>
      <c r="V615" s="284">
        <f>Table13[[#This Row],[Annual Increase Option]]</f>
        <v>0</v>
      </c>
      <c r="W615" s="290">
        <f>Table13[[#This Row],[Life Cover Amount]]</f>
        <v>0</v>
      </c>
      <c r="X615" s="290">
        <f>Table13[[#This Row],[Funeral Cover Amount]]</f>
        <v>0</v>
      </c>
      <c r="Y61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1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15" s="301">
        <f t="shared" ca="1" si="67"/>
        <v>0</v>
      </c>
      <c r="AB615" s="298"/>
      <c r="AC615" s="326" t="str">
        <f>IF(Table2[[#This Row],[Member Type]]="Main Member",Lookups!$C$13,
IF(Table2[[#This Row],[Member Type]]="Spouse",_xlfn.XLOOKUP(B615,Table2[Main Member Link ID],Table2[Product Option],0),
IF(AND(Table2[[#This Row],[Member Type]]="Child",_xlfn.XLOOKUP(B615,Table2[Main Member Link ID],Table2[Product Option],0)&lt;&gt;"My Value Plus Life"),Lookups!$C$24,
IF(AND(OR(Table2[[#This Row],[Member Type]]="Parent",Table2[[#This Row],[Member Type]]="Extended"),_xlfn.XLOOKUP(B615,Table2[Main Member Link ID],Table2[Product Option],0)&lt;&gt;"My Value Plus Life"),Lookups!$C$26,""))))</f>
        <v/>
      </c>
      <c r="AD615" s="326" t="str">
        <f>IF(Table2[[#This Row],[Member Type]]="Main Member",Lookups!$C$14,"")</f>
        <v/>
      </c>
      <c r="AE61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Funeral",_xlfn.XLOOKUP(B615,Table2[Main Member Link ID],Table2[Benefit Name],0)=Lookups!$D$14),"",
IF(AND(Table2[[#This Row],[Member Type]]="Spouse",Table2[[#This Row],[Product Option]]="My Value Plus Life &amp; Funeral",_xlfn.XLOOKUP(B614,Table2[Main Member Link ID],Table2[Benefit Name],0)=Lookups!$D$15),Lookups!$D$20,
IF(AND(Table2[[#This Row],[Member Type]]="Spouse",Table2[[#This Row],[Product Option]]="My Value Plus Life &amp; Funeral",_xlfn.XLOOKUP(B614,Table2[Main Member Link ID],Table2[Benefit Name],0)=Lookups!$D$16),"",
IF(AND(Table2[[#This Row],[Member Type]]="Spouse",Table2[[#This Row],[Product Option]]="My Value Plus Life &amp; Funeral",_xlfn.XLOOKUP(B614,Table2[Main Member Link ID],Table2[Benefit Name],0)=Lookups!$D$17),Lookups!$D$21,
IF(AND(Table2[[#This Row],[Member Type]]="Child",Table2[[#This Row],[Product Option]]="My Value Plus Life &amp; Funeral",_xlfn.XLOOKUP(B615,Table2[Main Member Link ID],Table2[Benefit Name],0)=Lookups!$D$14),"",
IF(AND(Table2[[#This Row],[Member Type]]="Child",Table2[[#This Row],[Product Option]]="My Value Plus Life &amp; Funeral",_xlfn.XLOOKUP(B615,Table2[Main Member Link ID],Table2[Benefit Name],0)=Lookups!$D$15),"",
IF(AND(Table2[[#This Row],[Member Type]]="Child",Table2[[#This Row],[Product Option]]="My Value Plus Life &amp; Funeral",_xlfn.XLOOKUP(B615,Table2[Main Member Link ID],Table2[Benefit Name],0)=Lookups!$D$16),Lookups!$D$24,
IF(AND(Table2[[#This Row],[Member Type]]="Child",Table2[[#This Row],[Product Option]]="My Value Plus Life &amp; Funeral",_xlfn.XLOOKUP(B615,Table2[Main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Funeral",_xlfn.XLOOKUP(B615,Table2[Main Member Link ID],Table2[Benefit Name],0)&lt;&gt;Lookups!$D$14),
IF(_xlfn.XLOOKUP(B615,Table2[Main Member Link ID],Table2[Benefit Name],0)=0,"",_xlfn.XLOOKUP(B615,Table2[Main Member Link ID],Table2[Benefit Name],0)),"")))))))))))))))</f>
        <v/>
      </c>
      <c r="AF615" s="327" t="str">
        <f>IF(AND(Table2[[#This Row],[Member Type]]="Main Member",Table2[[#This Row],[Product Option]]="My Value Plus Life &amp; Funeral"),Lookups!$D$15,
IF(AND(Table2[[#This Row],[Member Type]]="Spouse",Table2[[#This Row],[Product Option]]="My Value Plus Life &amp; Funeral",_xlfn.XLOOKUP(B615,Table2[Main Member Link ID],Table2[Benefit Name],0)=Lookups!$D$14),"",
IF(AND(Table2[[#This Row],[Member Type]]="Spouse",Table2[[#This Row],[Product Option]]="My Value Plus Life &amp; Funeral",_xlfn.XLOOKUP(B614,Table2[Main Member Link ID],Table2[Benefit Name],0)=Lookups!$D$16),"",
IF(AND(Table2[[#This Row],[Member Type]]="Spouse",Table2[[#This Row],[Product Option]]="My Value Plus Life &amp; Funeral",_xlfn.XLOOKUP(B614,Table2[Main Member Link ID],Table2[Benefit Name],0)=Lookups!$D$15),"",
IF(AND(Table2[[#This Row],[Member Type]]="Spouse",Table2[[#This Row],[Product Option]]="My Value Plus Life &amp; Funeral",_xlfn.XLOOKUP(B614,Table2[Main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Funeral",_xlfn.XLOOKUP(B615,Table2[Main Member Link ID],Table2[Benefit Name],0)&lt;&gt;Lookups!$D$15),
IF(_xlfn.XLOOKUP(B615,Table2[Main Member Link ID],Table2[Benefit Name],0)=0,"",_xlfn.XLOOKUP(B615,Table2[Main Member Link ID],Table2[Benefit Name],0)),"")
))))))</f>
        <v/>
      </c>
      <c r="AG615" s="327" t="str">
        <f>IF(AND(Table2[[#This Row],[Member Type]]="Main Member",Table2[[#This Row],[Product Option]]="My Value Plus Life &amp; Funeral"),Lookups!$D$16,
IF(AND(Table2[[#This Row],[Member Type]]="Spouse",Table2[[#This Row],[Product Option]]="My Value Plus Life &amp; Funeral",_xlfn.XLOOKUP(B615,Table2[Main Member Link ID],Table2[Benefit Name],0)=Lookups!$D$14),"",
IF(AND(Table2[[#This Row],[Member Type]]="Spouse",Table2[[#This Row],[Product Option]]="My Value Plus Life &amp; Funeral",_xlfn.XLOOKUP(B614,Table2[Main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Funeral",_xlfn.XLOOKUP(B615,Table2[Main Member Link ID],Table2[Benefit Name],0)&lt;&gt;Lookups!$D$16),
IF(_xlfn.XLOOKUP(B615,Table2[Main Member Link ID],Table2[Benefit Name],0)=0,"",_xlfn.XLOOKUP(B615,Table2[Main Member Link ID],Table2[Benefit Name],0)),"")
))))</f>
        <v/>
      </c>
      <c r="AH615" s="327" t="str">
        <f>IF(AND(Table2[[#This Row],[Member Type]]="Main Member",Table2[[#This Row],[Product Option]]="My Value Plus Life &amp; Funeral"),Lookups!$D$17,
IF(AND(Table2[[#This Row],[Member Type]]="Spouse",Table2[[#This Row],[Product Option]]="My Value Plus Life &amp; Funeral",_xlfn.XLOOKUP(B615,Table2[Main Member Link ID],Table2[Benefit Name],0)=Lookups!$D$14),"",
IF(AND(Table2[[#This Row],[Member Type]]="Spouse",Table2[[#This Row],[Product Option]]="My Value Plus Life &amp; Funeral",_xlfn.XLOOKUP(B614,Table2[Main Member Link ID],Table2[Benefit Name],0)=Lookups!$D$16),"",
IF(AND(Table2[[#This Row],[Member Type]]="Child",Table2[[#This Row],[Product Option]]="My Value Plus Life &amp; Funeral"),"",
IF(AND(Table2[[#This Row],[Member Type]]="Child",Table2[[#This Row],[Product Option]]="My Value Plus Life &amp; Funeral",_xlfn.XLOOKUP(B615,Table2[Main Member Link ID],Table2[Benefit Name],0)=Lookups!$D$15),"",
IF(AND(OR(Table2[[#This Row],[Member Type]]="Spouse",Table2[[#This Row],[Member Type]]="Child"),Table2[[#This Row],[Product Option]]="My Value Plus Life &amp; Funeral",_xlfn.XLOOKUP(B615,Table2[Main Member Link ID],Table2[Benefit Name],0)&lt;&gt;Lookups!$D$17),
IF(_xlfn.XLOOKUP(B615,Table2[Main Member Link ID],Table2[Benefit Name],0)=0,"",_xlfn.XLOOKUP(B615,Table2[Main Member Link ID],Table2[Benefit Name],0)),""))))))</f>
        <v/>
      </c>
      <c r="AI615" s="328" t="str">
        <f>IF(AND(Table2[[#This Row],[Member Type]]="Main Member",Table2[[#This Row],[Table Lookup for Life Cover]]="MM_LIFE",Table2[[#This Row],[Age Next Birthday]]&lt;56),1,
IF(AND(Table2[[#This Row],[Member Type]]="Main Member",Table2[[#This Row],[Table Lookup for Life Cover]]="MM_LIFE",Table2[[#This Row],[Age Next Birthday]]&gt;=56),2,
""))</f>
        <v/>
      </c>
      <c r="AJ615" s="328">
        <f>IF(OR(Table2[[#This Row],[Member Type]]="Main Member",Table2[[#This Row],[Main Member Link ID]]=B614),1,0)</f>
        <v>1</v>
      </c>
      <c r="AK615" s="328">
        <f>IF(Table2[[#This Row],[Member Type]]=0,0,
IF(OR(Table2[[#This Row],[Member Type]]="Main Member",Table2[[#This Row],[Main Member Link ID]]&lt;&gt;B615),COUNTIFS(B:B,Table2[[#This Row],[Main Member Link ID]]),
COUNTIFS(B:B,Table2[[#This Row],[Main Member Link ID]],A:A,Table2[[#This Row],[Member Type]])))</f>
        <v>0</v>
      </c>
    </row>
    <row r="616" spans="1:37" x14ac:dyDescent="0.3">
      <c r="A616" s="284">
        <f>Table13[[#This Row],[Member Type]]</f>
        <v>0</v>
      </c>
      <c r="B616" s="284">
        <f>Table13[[#This Row],[Main Member Link ID]]</f>
        <v>0</v>
      </c>
      <c r="C616" s="284">
        <f>Table13[[#This Row],[ID Number]]</f>
        <v>0</v>
      </c>
      <c r="D616" s="285">
        <f>Table13[[#This Row],[Date Of Birth]]</f>
        <v>0</v>
      </c>
      <c r="E616" s="285">
        <f>Table13[[#This Row],[Commencement Date]]</f>
        <v>0</v>
      </c>
      <c r="F616" s="284">
        <f t="shared" si="63"/>
        <v>1</v>
      </c>
      <c r="G616" s="284">
        <f t="shared" si="64"/>
        <v>25</v>
      </c>
      <c r="H616" s="286">
        <f>Table13[[#This Row],[Product Option]]</f>
        <v>0</v>
      </c>
      <c r="I616" s="284">
        <f>IF(AND($A616="Main Member",Table2[[#This Row],[Product Option]]="My Value Plus Life"),"MM_LIFE",
IF(AND($A616="Spouse",Table2[[#This Row],[Product Option]]="My Value Plus Life"),"SP_LIFE",
IF(AND($A616="Main Member",Table2[[#This Row],[Product Option]]="My Value Plus Life &amp; Funeral"),"MM_LIFE",
IF(AND($A616="Spouse",Table2[[#This Row],[Product Option]]="My Value Plus Life &amp; Funeral"),_xlfn.XLOOKUP(Table2[[#This Row],[Benefit Name]],Lookups!$D$18:$D$23,Lookups!$E$18:$E$23,0),
0))))</f>
        <v>0</v>
      </c>
      <c r="J616" s="284">
        <f>IF($I616="","",
IF($I616="MM_LIFE",INDEX('Quotation Tool'!$S$54:$V$60,MATCH($T616,'Quotation Tool'!$S$54:$S$60,0),4),
IF($I616="SP_LIFE",_xlfn.XLOOKUP(B615,$B:$B,$J:$J,0),0)))</f>
        <v>0</v>
      </c>
      <c r="K616" s="287">
        <f t="shared" ca="1" si="68"/>
        <v>0</v>
      </c>
      <c r="L616" s="288">
        <f t="shared" ca="1" si="69"/>
        <v>0</v>
      </c>
      <c r="M616" s="289">
        <f t="shared" ca="1" si="65"/>
        <v>0</v>
      </c>
      <c r="N616" s="286">
        <f>Table13[[#This Row],[Benefit Option]]</f>
        <v>0</v>
      </c>
      <c r="O616" s="284">
        <f>IF(OR(Table2[[#This Row],[Member Type]]="Spouse",Table2[[#This Row],[Member Type]]="Child"),0,
IF(_xlfn.XLOOKUP($N616,Lookups!$D$13:$D$27,Lookups!$F$13:$F$27,0)=Table2[[#This Row],[Table Lookup for Life Cover]],0,
_xlfn.XLOOKUP($N616,Lookups!$D$13:$D$27,Lookups!$F$13:$F$27,0)))</f>
        <v>0</v>
      </c>
      <c r="P616" s="284">
        <f>IF(Table2[[#This Row],[Table Lookup for Funeral]]=0,0,IFERROR(INDEX('Quotation Tool'!$S$54:$V$60,MATCH($T616,'Quotation Tool'!$S$54:$S$60,0),3),0))</f>
        <v>0</v>
      </c>
      <c r="Q616" s="288">
        <f ca="1">IF(OR(Table2[[#This Row],[Benefit Name]]="My Value Plus Life - Main Member",Table2[[#This Row],[Benefit Name]]="My Value Plus Life - Spouse"),0,
IFERROR(VLOOKUP($G616,INDIRECT($O616),$P616,FALSE),0))</f>
        <v>0</v>
      </c>
      <c r="R616" s="288">
        <f ca="1">IF(OR(Table2[[#This Row],[Benefit Name]]="My Value Plus Life - Main Member",Table2[[#This Row],[Benefit Name]]="My Value Plus Life - Spouse"),0,
IFERROR(VLOOKUP($G616,INDIRECT($O616),$P616+1,FALSE),0))</f>
        <v>0</v>
      </c>
      <c r="S616" s="289">
        <f t="shared" ca="1" si="66"/>
        <v>0</v>
      </c>
      <c r="T616" s="284" t="str">
        <f>IF(Table13[[#This Row],[Premium Waiver]]="","None",Table13[[#This Row],[Premium Waiver]])</f>
        <v>None</v>
      </c>
      <c r="U616" s="284">
        <f>Table13[[#This Row],[VAPs Options]]</f>
        <v>0</v>
      </c>
      <c r="V616" s="284">
        <f>Table13[[#This Row],[Annual Increase Option]]</f>
        <v>0</v>
      </c>
      <c r="W616" s="290">
        <f>Table13[[#This Row],[Life Cover Amount]]</f>
        <v>0</v>
      </c>
      <c r="X616" s="290">
        <f>Table13[[#This Row],[Funeral Cover Amount]]</f>
        <v>0</v>
      </c>
      <c r="Y61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1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16" s="301">
        <f t="shared" ca="1" si="67"/>
        <v>0</v>
      </c>
      <c r="AB616" s="298"/>
      <c r="AC616" s="326" t="str">
        <f>IF(Table2[[#This Row],[Member Type]]="Main Member",Lookups!$C$13,
IF(Table2[[#This Row],[Member Type]]="Spouse",_xlfn.XLOOKUP(B616,Table2[Main Member Link ID],Table2[Product Option],0),
IF(AND(Table2[[#This Row],[Member Type]]="Child",_xlfn.XLOOKUP(B616,Table2[Main Member Link ID],Table2[Product Option],0)&lt;&gt;"My Value Plus Life"),Lookups!$C$24,
IF(AND(OR(Table2[[#This Row],[Member Type]]="Parent",Table2[[#This Row],[Member Type]]="Extended"),_xlfn.XLOOKUP(B616,Table2[Main Member Link ID],Table2[Product Option],0)&lt;&gt;"My Value Plus Life"),Lookups!$C$26,""))))</f>
        <v/>
      </c>
      <c r="AD616" s="326" t="str">
        <f>IF(Table2[[#This Row],[Member Type]]="Main Member",Lookups!$C$14,"")</f>
        <v/>
      </c>
      <c r="AE61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Funeral",_xlfn.XLOOKUP(B616,Table2[Main Member Link ID],Table2[Benefit Name],0)=Lookups!$D$14),"",
IF(AND(Table2[[#This Row],[Member Type]]="Spouse",Table2[[#This Row],[Product Option]]="My Value Plus Life &amp; Funeral",_xlfn.XLOOKUP(B615,Table2[Main Member Link ID],Table2[Benefit Name],0)=Lookups!$D$15),Lookups!$D$20,
IF(AND(Table2[[#This Row],[Member Type]]="Spouse",Table2[[#This Row],[Product Option]]="My Value Plus Life &amp; Funeral",_xlfn.XLOOKUP(B615,Table2[Main Member Link ID],Table2[Benefit Name],0)=Lookups!$D$16),"",
IF(AND(Table2[[#This Row],[Member Type]]="Spouse",Table2[[#This Row],[Product Option]]="My Value Plus Life &amp; Funeral",_xlfn.XLOOKUP(B615,Table2[Main Member Link ID],Table2[Benefit Name],0)=Lookups!$D$17),Lookups!$D$21,
IF(AND(Table2[[#This Row],[Member Type]]="Child",Table2[[#This Row],[Product Option]]="My Value Plus Life &amp; Funeral",_xlfn.XLOOKUP(B616,Table2[Main Member Link ID],Table2[Benefit Name],0)=Lookups!$D$14),"",
IF(AND(Table2[[#This Row],[Member Type]]="Child",Table2[[#This Row],[Product Option]]="My Value Plus Life &amp; Funeral",_xlfn.XLOOKUP(B616,Table2[Main Member Link ID],Table2[Benefit Name],0)=Lookups!$D$15),"",
IF(AND(Table2[[#This Row],[Member Type]]="Child",Table2[[#This Row],[Product Option]]="My Value Plus Life &amp; Funeral",_xlfn.XLOOKUP(B616,Table2[Main Member Link ID],Table2[Benefit Name],0)=Lookups!$D$16),Lookups!$D$24,
IF(AND(Table2[[#This Row],[Member Type]]="Child",Table2[[#This Row],[Product Option]]="My Value Plus Life &amp; Funeral",_xlfn.XLOOKUP(B616,Table2[Main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Funeral",_xlfn.XLOOKUP(B616,Table2[Main Member Link ID],Table2[Benefit Name],0)&lt;&gt;Lookups!$D$14),
IF(_xlfn.XLOOKUP(B616,Table2[Main Member Link ID],Table2[Benefit Name],0)=0,"",_xlfn.XLOOKUP(B616,Table2[Main Member Link ID],Table2[Benefit Name],0)),"")))))))))))))))</f>
        <v/>
      </c>
      <c r="AF616" s="327" t="str">
        <f>IF(AND(Table2[[#This Row],[Member Type]]="Main Member",Table2[[#This Row],[Product Option]]="My Value Plus Life &amp; Funeral"),Lookups!$D$15,
IF(AND(Table2[[#This Row],[Member Type]]="Spouse",Table2[[#This Row],[Product Option]]="My Value Plus Life &amp; Funeral",_xlfn.XLOOKUP(B616,Table2[Main Member Link ID],Table2[Benefit Name],0)=Lookups!$D$14),"",
IF(AND(Table2[[#This Row],[Member Type]]="Spouse",Table2[[#This Row],[Product Option]]="My Value Plus Life &amp; Funeral",_xlfn.XLOOKUP(B615,Table2[Main Member Link ID],Table2[Benefit Name],0)=Lookups!$D$16),"",
IF(AND(Table2[[#This Row],[Member Type]]="Spouse",Table2[[#This Row],[Product Option]]="My Value Plus Life &amp; Funeral",_xlfn.XLOOKUP(B615,Table2[Main Member Link ID],Table2[Benefit Name],0)=Lookups!$D$15),"",
IF(AND(Table2[[#This Row],[Member Type]]="Spouse",Table2[[#This Row],[Product Option]]="My Value Plus Life &amp; Funeral",_xlfn.XLOOKUP(B615,Table2[Main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Funeral",_xlfn.XLOOKUP(B616,Table2[Main Member Link ID],Table2[Benefit Name],0)&lt;&gt;Lookups!$D$15),
IF(_xlfn.XLOOKUP(B616,Table2[Main Member Link ID],Table2[Benefit Name],0)=0,"",_xlfn.XLOOKUP(B616,Table2[Main Member Link ID],Table2[Benefit Name],0)),"")
))))))</f>
        <v/>
      </c>
      <c r="AG616" s="327" t="str">
        <f>IF(AND(Table2[[#This Row],[Member Type]]="Main Member",Table2[[#This Row],[Product Option]]="My Value Plus Life &amp; Funeral"),Lookups!$D$16,
IF(AND(Table2[[#This Row],[Member Type]]="Spouse",Table2[[#This Row],[Product Option]]="My Value Plus Life &amp; Funeral",_xlfn.XLOOKUP(B616,Table2[Main Member Link ID],Table2[Benefit Name],0)=Lookups!$D$14),"",
IF(AND(Table2[[#This Row],[Member Type]]="Spouse",Table2[[#This Row],[Product Option]]="My Value Plus Life &amp; Funeral",_xlfn.XLOOKUP(B615,Table2[Main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Funeral",_xlfn.XLOOKUP(B616,Table2[Main Member Link ID],Table2[Benefit Name],0)&lt;&gt;Lookups!$D$16),
IF(_xlfn.XLOOKUP(B616,Table2[Main Member Link ID],Table2[Benefit Name],0)=0,"",_xlfn.XLOOKUP(B616,Table2[Main Member Link ID],Table2[Benefit Name],0)),"")
))))</f>
        <v/>
      </c>
      <c r="AH616" s="327" t="str">
        <f>IF(AND(Table2[[#This Row],[Member Type]]="Main Member",Table2[[#This Row],[Product Option]]="My Value Plus Life &amp; Funeral"),Lookups!$D$17,
IF(AND(Table2[[#This Row],[Member Type]]="Spouse",Table2[[#This Row],[Product Option]]="My Value Plus Life &amp; Funeral",_xlfn.XLOOKUP(B616,Table2[Main Member Link ID],Table2[Benefit Name],0)=Lookups!$D$14),"",
IF(AND(Table2[[#This Row],[Member Type]]="Spouse",Table2[[#This Row],[Product Option]]="My Value Plus Life &amp; Funeral",_xlfn.XLOOKUP(B615,Table2[Main Member Link ID],Table2[Benefit Name],0)=Lookups!$D$16),"",
IF(AND(Table2[[#This Row],[Member Type]]="Child",Table2[[#This Row],[Product Option]]="My Value Plus Life &amp; Funeral"),"",
IF(AND(Table2[[#This Row],[Member Type]]="Child",Table2[[#This Row],[Product Option]]="My Value Plus Life &amp; Funeral",_xlfn.XLOOKUP(B616,Table2[Main Member Link ID],Table2[Benefit Name],0)=Lookups!$D$15),"",
IF(AND(OR(Table2[[#This Row],[Member Type]]="Spouse",Table2[[#This Row],[Member Type]]="Child"),Table2[[#This Row],[Product Option]]="My Value Plus Life &amp; Funeral",_xlfn.XLOOKUP(B616,Table2[Main Member Link ID],Table2[Benefit Name],0)&lt;&gt;Lookups!$D$17),
IF(_xlfn.XLOOKUP(B616,Table2[Main Member Link ID],Table2[Benefit Name],0)=0,"",_xlfn.XLOOKUP(B616,Table2[Main Member Link ID],Table2[Benefit Name],0)),""))))))</f>
        <v/>
      </c>
      <c r="AI616" s="328" t="str">
        <f>IF(AND(Table2[[#This Row],[Member Type]]="Main Member",Table2[[#This Row],[Table Lookup for Life Cover]]="MM_LIFE",Table2[[#This Row],[Age Next Birthday]]&lt;56),1,
IF(AND(Table2[[#This Row],[Member Type]]="Main Member",Table2[[#This Row],[Table Lookup for Life Cover]]="MM_LIFE",Table2[[#This Row],[Age Next Birthday]]&gt;=56),2,
""))</f>
        <v/>
      </c>
      <c r="AJ616" s="328">
        <f>IF(OR(Table2[[#This Row],[Member Type]]="Main Member",Table2[[#This Row],[Main Member Link ID]]=B615),1,0)</f>
        <v>1</v>
      </c>
      <c r="AK616" s="328">
        <f>IF(Table2[[#This Row],[Member Type]]=0,0,
IF(OR(Table2[[#This Row],[Member Type]]="Main Member",Table2[[#This Row],[Main Member Link ID]]&lt;&gt;B616),COUNTIFS(B:B,Table2[[#This Row],[Main Member Link ID]]),
COUNTIFS(B:B,Table2[[#This Row],[Main Member Link ID]],A:A,Table2[[#This Row],[Member Type]])))</f>
        <v>0</v>
      </c>
    </row>
    <row r="617" spans="1:37" x14ac:dyDescent="0.3">
      <c r="A617" s="284">
        <f>Table13[[#This Row],[Member Type]]</f>
        <v>0</v>
      </c>
      <c r="B617" s="284">
        <f>Table13[[#This Row],[Main Member Link ID]]</f>
        <v>0</v>
      </c>
      <c r="C617" s="284">
        <f>Table13[[#This Row],[ID Number]]</f>
        <v>0</v>
      </c>
      <c r="D617" s="285">
        <f>Table13[[#This Row],[Date Of Birth]]</f>
        <v>0</v>
      </c>
      <c r="E617" s="285">
        <f>Table13[[#This Row],[Commencement Date]]</f>
        <v>0</v>
      </c>
      <c r="F617" s="284">
        <f t="shared" si="63"/>
        <v>1</v>
      </c>
      <c r="G617" s="284">
        <f t="shared" si="64"/>
        <v>25</v>
      </c>
      <c r="H617" s="286">
        <f>Table13[[#This Row],[Product Option]]</f>
        <v>0</v>
      </c>
      <c r="I617" s="284">
        <f>IF(AND($A617="Main Member",Table2[[#This Row],[Product Option]]="My Value Plus Life"),"MM_LIFE",
IF(AND($A617="Spouse",Table2[[#This Row],[Product Option]]="My Value Plus Life"),"SP_LIFE",
IF(AND($A617="Main Member",Table2[[#This Row],[Product Option]]="My Value Plus Life &amp; Funeral"),"MM_LIFE",
IF(AND($A617="Spouse",Table2[[#This Row],[Product Option]]="My Value Plus Life &amp; Funeral"),_xlfn.XLOOKUP(Table2[[#This Row],[Benefit Name]],Lookups!$D$18:$D$23,Lookups!$E$18:$E$23,0),
0))))</f>
        <v>0</v>
      </c>
      <c r="J617" s="284">
        <f>IF($I617="","",
IF($I617="MM_LIFE",INDEX('Quotation Tool'!$S$54:$V$60,MATCH($T617,'Quotation Tool'!$S$54:$S$60,0),4),
IF($I617="SP_LIFE",_xlfn.XLOOKUP(B616,$B:$B,$J:$J,0),0)))</f>
        <v>0</v>
      </c>
      <c r="K617" s="287">
        <f t="shared" ca="1" si="68"/>
        <v>0</v>
      </c>
      <c r="L617" s="288">
        <f t="shared" ca="1" si="69"/>
        <v>0</v>
      </c>
      <c r="M617" s="289">
        <f t="shared" ca="1" si="65"/>
        <v>0</v>
      </c>
      <c r="N617" s="286">
        <f>Table13[[#This Row],[Benefit Option]]</f>
        <v>0</v>
      </c>
      <c r="O617" s="284">
        <f>IF(OR(Table2[[#This Row],[Member Type]]="Spouse",Table2[[#This Row],[Member Type]]="Child"),0,
IF(_xlfn.XLOOKUP($N617,Lookups!$D$13:$D$27,Lookups!$F$13:$F$27,0)=Table2[[#This Row],[Table Lookup for Life Cover]],0,
_xlfn.XLOOKUP($N617,Lookups!$D$13:$D$27,Lookups!$F$13:$F$27,0)))</f>
        <v>0</v>
      </c>
      <c r="P617" s="284">
        <f>IF(Table2[[#This Row],[Table Lookup for Funeral]]=0,0,IFERROR(INDEX('Quotation Tool'!$S$54:$V$60,MATCH($T617,'Quotation Tool'!$S$54:$S$60,0),3),0))</f>
        <v>0</v>
      </c>
      <c r="Q617" s="288">
        <f ca="1">IF(OR(Table2[[#This Row],[Benefit Name]]="My Value Plus Life - Main Member",Table2[[#This Row],[Benefit Name]]="My Value Plus Life - Spouse"),0,
IFERROR(VLOOKUP($G617,INDIRECT($O617),$P617,FALSE),0))</f>
        <v>0</v>
      </c>
      <c r="R617" s="288">
        <f ca="1">IF(OR(Table2[[#This Row],[Benefit Name]]="My Value Plus Life - Main Member",Table2[[#This Row],[Benefit Name]]="My Value Plus Life - Spouse"),0,
IFERROR(VLOOKUP($G617,INDIRECT($O617),$P617+1,FALSE),0))</f>
        <v>0</v>
      </c>
      <c r="S617" s="289">
        <f t="shared" ca="1" si="66"/>
        <v>0</v>
      </c>
      <c r="T617" s="284" t="str">
        <f>IF(Table13[[#This Row],[Premium Waiver]]="","None",Table13[[#This Row],[Premium Waiver]])</f>
        <v>None</v>
      </c>
      <c r="U617" s="284">
        <f>Table13[[#This Row],[VAPs Options]]</f>
        <v>0</v>
      </c>
      <c r="V617" s="284">
        <f>Table13[[#This Row],[Annual Increase Option]]</f>
        <v>0</v>
      </c>
      <c r="W617" s="290">
        <f>Table13[[#This Row],[Life Cover Amount]]</f>
        <v>0</v>
      </c>
      <c r="X617" s="290">
        <f>Table13[[#This Row],[Funeral Cover Amount]]</f>
        <v>0</v>
      </c>
      <c r="Y61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1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17" s="301">
        <f t="shared" ca="1" si="67"/>
        <v>0</v>
      </c>
      <c r="AB617" s="298"/>
      <c r="AC617" s="326" t="str">
        <f>IF(Table2[[#This Row],[Member Type]]="Main Member",Lookups!$C$13,
IF(Table2[[#This Row],[Member Type]]="Spouse",_xlfn.XLOOKUP(B617,Table2[Main Member Link ID],Table2[Product Option],0),
IF(AND(Table2[[#This Row],[Member Type]]="Child",_xlfn.XLOOKUP(B617,Table2[Main Member Link ID],Table2[Product Option],0)&lt;&gt;"My Value Plus Life"),Lookups!$C$24,
IF(AND(OR(Table2[[#This Row],[Member Type]]="Parent",Table2[[#This Row],[Member Type]]="Extended"),_xlfn.XLOOKUP(B617,Table2[Main Member Link ID],Table2[Product Option],0)&lt;&gt;"My Value Plus Life"),Lookups!$C$26,""))))</f>
        <v/>
      </c>
      <c r="AD617" s="326" t="str">
        <f>IF(Table2[[#This Row],[Member Type]]="Main Member",Lookups!$C$14,"")</f>
        <v/>
      </c>
      <c r="AE61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Funeral",_xlfn.XLOOKUP(B617,Table2[Main Member Link ID],Table2[Benefit Name],0)=Lookups!$D$14),"",
IF(AND(Table2[[#This Row],[Member Type]]="Spouse",Table2[[#This Row],[Product Option]]="My Value Plus Life &amp; Funeral",_xlfn.XLOOKUP(B616,Table2[Main Member Link ID],Table2[Benefit Name],0)=Lookups!$D$15),Lookups!$D$20,
IF(AND(Table2[[#This Row],[Member Type]]="Spouse",Table2[[#This Row],[Product Option]]="My Value Plus Life &amp; Funeral",_xlfn.XLOOKUP(B616,Table2[Main Member Link ID],Table2[Benefit Name],0)=Lookups!$D$16),"",
IF(AND(Table2[[#This Row],[Member Type]]="Spouse",Table2[[#This Row],[Product Option]]="My Value Plus Life &amp; Funeral",_xlfn.XLOOKUP(B616,Table2[Main Member Link ID],Table2[Benefit Name],0)=Lookups!$D$17),Lookups!$D$21,
IF(AND(Table2[[#This Row],[Member Type]]="Child",Table2[[#This Row],[Product Option]]="My Value Plus Life &amp; Funeral",_xlfn.XLOOKUP(B617,Table2[Main Member Link ID],Table2[Benefit Name],0)=Lookups!$D$14),"",
IF(AND(Table2[[#This Row],[Member Type]]="Child",Table2[[#This Row],[Product Option]]="My Value Plus Life &amp; Funeral",_xlfn.XLOOKUP(B617,Table2[Main Member Link ID],Table2[Benefit Name],0)=Lookups!$D$15),"",
IF(AND(Table2[[#This Row],[Member Type]]="Child",Table2[[#This Row],[Product Option]]="My Value Plus Life &amp; Funeral",_xlfn.XLOOKUP(B617,Table2[Main Member Link ID],Table2[Benefit Name],0)=Lookups!$D$16),Lookups!$D$24,
IF(AND(Table2[[#This Row],[Member Type]]="Child",Table2[[#This Row],[Product Option]]="My Value Plus Life &amp; Funeral",_xlfn.XLOOKUP(B617,Table2[Main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Funeral",_xlfn.XLOOKUP(B617,Table2[Main Member Link ID],Table2[Benefit Name],0)&lt;&gt;Lookups!$D$14),
IF(_xlfn.XLOOKUP(B617,Table2[Main Member Link ID],Table2[Benefit Name],0)=0,"",_xlfn.XLOOKUP(B617,Table2[Main Member Link ID],Table2[Benefit Name],0)),"")))))))))))))))</f>
        <v/>
      </c>
      <c r="AF617" s="327" t="str">
        <f>IF(AND(Table2[[#This Row],[Member Type]]="Main Member",Table2[[#This Row],[Product Option]]="My Value Plus Life &amp; Funeral"),Lookups!$D$15,
IF(AND(Table2[[#This Row],[Member Type]]="Spouse",Table2[[#This Row],[Product Option]]="My Value Plus Life &amp; Funeral",_xlfn.XLOOKUP(B617,Table2[Main Member Link ID],Table2[Benefit Name],0)=Lookups!$D$14),"",
IF(AND(Table2[[#This Row],[Member Type]]="Spouse",Table2[[#This Row],[Product Option]]="My Value Plus Life &amp; Funeral",_xlfn.XLOOKUP(B616,Table2[Main Member Link ID],Table2[Benefit Name],0)=Lookups!$D$16),"",
IF(AND(Table2[[#This Row],[Member Type]]="Spouse",Table2[[#This Row],[Product Option]]="My Value Plus Life &amp; Funeral",_xlfn.XLOOKUP(B616,Table2[Main Member Link ID],Table2[Benefit Name],0)=Lookups!$D$15),"",
IF(AND(Table2[[#This Row],[Member Type]]="Spouse",Table2[[#This Row],[Product Option]]="My Value Plus Life &amp; Funeral",_xlfn.XLOOKUP(B616,Table2[Main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Funeral",_xlfn.XLOOKUP(B617,Table2[Main Member Link ID],Table2[Benefit Name],0)&lt;&gt;Lookups!$D$15),
IF(_xlfn.XLOOKUP(B617,Table2[Main Member Link ID],Table2[Benefit Name],0)=0,"",_xlfn.XLOOKUP(B617,Table2[Main Member Link ID],Table2[Benefit Name],0)),"")
))))))</f>
        <v/>
      </c>
      <c r="AG617" s="327" t="str">
        <f>IF(AND(Table2[[#This Row],[Member Type]]="Main Member",Table2[[#This Row],[Product Option]]="My Value Plus Life &amp; Funeral"),Lookups!$D$16,
IF(AND(Table2[[#This Row],[Member Type]]="Spouse",Table2[[#This Row],[Product Option]]="My Value Plus Life &amp; Funeral",_xlfn.XLOOKUP(B617,Table2[Main Member Link ID],Table2[Benefit Name],0)=Lookups!$D$14),"",
IF(AND(Table2[[#This Row],[Member Type]]="Spouse",Table2[[#This Row],[Product Option]]="My Value Plus Life &amp; Funeral",_xlfn.XLOOKUP(B616,Table2[Main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Funeral",_xlfn.XLOOKUP(B617,Table2[Main Member Link ID],Table2[Benefit Name],0)&lt;&gt;Lookups!$D$16),
IF(_xlfn.XLOOKUP(B617,Table2[Main Member Link ID],Table2[Benefit Name],0)=0,"",_xlfn.XLOOKUP(B617,Table2[Main Member Link ID],Table2[Benefit Name],0)),"")
))))</f>
        <v/>
      </c>
      <c r="AH617" s="327" t="str">
        <f>IF(AND(Table2[[#This Row],[Member Type]]="Main Member",Table2[[#This Row],[Product Option]]="My Value Plus Life &amp; Funeral"),Lookups!$D$17,
IF(AND(Table2[[#This Row],[Member Type]]="Spouse",Table2[[#This Row],[Product Option]]="My Value Plus Life &amp; Funeral",_xlfn.XLOOKUP(B617,Table2[Main Member Link ID],Table2[Benefit Name],0)=Lookups!$D$14),"",
IF(AND(Table2[[#This Row],[Member Type]]="Spouse",Table2[[#This Row],[Product Option]]="My Value Plus Life &amp; Funeral",_xlfn.XLOOKUP(B616,Table2[Main Member Link ID],Table2[Benefit Name],0)=Lookups!$D$16),"",
IF(AND(Table2[[#This Row],[Member Type]]="Child",Table2[[#This Row],[Product Option]]="My Value Plus Life &amp; Funeral"),"",
IF(AND(Table2[[#This Row],[Member Type]]="Child",Table2[[#This Row],[Product Option]]="My Value Plus Life &amp; Funeral",_xlfn.XLOOKUP(B617,Table2[Main Member Link ID],Table2[Benefit Name],0)=Lookups!$D$15),"",
IF(AND(OR(Table2[[#This Row],[Member Type]]="Spouse",Table2[[#This Row],[Member Type]]="Child"),Table2[[#This Row],[Product Option]]="My Value Plus Life &amp; Funeral",_xlfn.XLOOKUP(B617,Table2[Main Member Link ID],Table2[Benefit Name],0)&lt;&gt;Lookups!$D$17),
IF(_xlfn.XLOOKUP(B617,Table2[Main Member Link ID],Table2[Benefit Name],0)=0,"",_xlfn.XLOOKUP(B617,Table2[Main Member Link ID],Table2[Benefit Name],0)),""))))))</f>
        <v/>
      </c>
      <c r="AI617" s="328" t="str">
        <f>IF(AND(Table2[[#This Row],[Member Type]]="Main Member",Table2[[#This Row],[Table Lookup for Life Cover]]="MM_LIFE",Table2[[#This Row],[Age Next Birthday]]&lt;56),1,
IF(AND(Table2[[#This Row],[Member Type]]="Main Member",Table2[[#This Row],[Table Lookup for Life Cover]]="MM_LIFE",Table2[[#This Row],[Age Next Birthday]]&gt;=56),2,
""))</f>
        <v/>
      </c>
      <c r="AJ617" s="328">
        <f>IF(OR(Table2[[#This Row],[Member Type]]="Main Member",Table2[[#This Row],[Main Member Link ID]]=B616),1,0)</f>
        <v>1</v>
      </c>
      <c r="AK617" s="328">
        <f>IF(Table2[[#This Row],[Member Type]]=0,0,
IF(OR(Table2[[#This Row],[Member Type]]="Main Member",Table2[[#This Row],[Main Member Link ID]]&lt;&gt;B617),COUNTIFS(B:B,Table2[[#This Row],[Main Member Link ID]]),
COUNTIFS(B:B,Table2[[#This Row],[Main Member Link ID]],A:A,Table2[[#This Row],[Member Type]])))</f>
        <v>0</v>
      </c>
    </row>
    <row r="618" spans="1:37" x14ac:dyDescent="0.3">
      <c r="A618" s="284">
        <f>Table13[[#This Row],[Member Type]]</f>
        <v>0</v>
      </c>
      <c r="B618" s="284">
        <f>Table13[[#This Row],[Main Member Link ID]]</f>
        <v>0</v>
      </c>
      <c r="C618" s="284">
        <f>Table13[[#This Row],[ID Number]]</f>
        <v>0</v>
      </c>
      <c r="D618" s="285">
        <f>Table13[[#This Row],[Date Of Birth]]</f>
        <v>0</v>
      </c>
      <c r="E618" s="285">
        <f>Table13[[#This Row],[Commencement Date]]</f>
        <v>0</v>
      </c>
      <c r="F618" s="284">
        <f t="shared" si="63"/>
        <v>1</v>
      </c>
      <c r="G618" s="284">
        <f t="shared" si="64"/>
        <v>25</v>
      </c>
      <c r="H618" s="286">
        <f>Table13[[#This Row],[Product Option]]</f>
        <v>0</v>
      </c>
      <c r="I618" s="284">
        <f>IF(AND($A618="Main Member",Table2[[#This Row],[Product Option]]="My Value Plus Life"),"MM_LIFE",
IF(AND($A618="Spouse",Table2[[#This Row],[Product Option]]="My Value Plus Life"),"SP_LIFE",
IF(AND($A618="Main Member",Table2[[#This Row],[Product Option]]="My Value Plus Life &amp; Funeral"),"MM_LIFE",
IF(AND($A618="Spouse",Table2[[#This Row],[Product Option]]="My Value Plus Life &amp; Funeral"),_xlfn.XLOOKUP(Table2[[#This Row],[Benefit Name]],Lookups!$D$18:$D$23,Lookups!$E$18:$E$23,0),
0))))</f>
        <v>0</v>
      </c>
      <c r="J618" s="284">
        <f>IF($I618="","",
IF($I618="MM_LIFE",INDEX('Quotation Tool'!$S$54:$V$60,MATCH($T618,'Quotation Tool'!$S$54:$S$60,0),4),
IF($I618="SP_LIFE",_xlfn.XLOOKUP(B617,$B:$B,$J:$J,0),0)))</f>
        <v>0</v>
      </c>
      <c r="K618" s="287">
        <f t="shared" ca="1" si="68"/>
        <v>0</v>
      </c>
      <c r="L618" s="288">
        <f t="shared" ca="1" si="69"/>
        <v>0</v>
      </c>
      <c r="M618" s="289">
        <f t="shared" ca="1" si="65"/>
        <v>0</v>
      </c>
      <c r="N618" s="286">
        <f>Table13[[#This Row],[Benefit Option]]</f>
        <v>0</v>
      </c>
      <c r="O618" s="284">
        <f>IF(OR(Table2[[#This Row],[Member Type]]="Spouse",Table2[[#This Row],[Member Type]]="Child"),0,
IF(_xlfn.XLOOKUP($N618,Lookups!$D$13:$D$27,Lookups!$F$13:$F$27,0)=Table2[[#This Row],[Table Lookup for Life Cover]],0,
_xlfn.XLOOKUP($N618,Lookups!$D$13:$D$27,Lookups!$F$13:$F$27,0)))</f>
        <v>0</v>
      </c>
      <c r="P618" s="284">
        <f>IF(Table2[[#This Row],[Table Lookup for Funeral]]=0,0,IFERROR(INDEX('Quotation Tool'!$S$54:$V$60,MATCH($T618,'Quotation Tool'!$S$54:$S$60,0),3),0))</f>
        <v>0</v>
      </c>
      <c r="Q618" s="288">
        <f ca="1">IF(OR(Table2[[#This Row],[Benefit Name]]="My Value Plus Life - Main Member",Table2[[#This Row],[Benefit Name]]="My Value Plus Life - Spouse"),0,
IFERROR(VLOOKUP($G618,INDIRECT($O618),$P618,FALSE),0))</f>
        <v>0</v>
      </c>
      <c r="R618" s="288">
        <f ca="1">IF(OR(Table2[[#This Row],[Benefit Name]]="My Value Plus Life - Main Member",Table2[[#This Row],[Benefit Name]]="My Value Plus Life - Spouse"),0,
IFERROR(VLOOKUP($G618,INDIRECT($O618),$P618+1,FALSE),0))</f>
        <v>0</v>
      </c>
      <c r="S618" s="289">
        <f t="shared" ca="1" si="66"/>
        <v>0</v>
      </c>
      <c r="T618" s="284" t="str">
        <f>IF(Table13[[#This Row],[Premium Waiver]]="","None",Table13[[#This Row],[Premium Waiver]])</f>
        <v>None</v>
      </c>
      <c r="U618" s="284">
        <f>Table13[[#This Row],[VAPs Options]]</f>
        <v>0</v>
      </c>
      <c r="V618" s="284">
        <f>Table13[[#This Row],[Annual Increase Option]]</f>
        <v>0</v>
      </c>
      <c r="W618" s="290">
        <f>Table13[[#This Row],[Life Cover Amount]]</f>
        <v>0</v>
      </c>
      <c r="X618" s="290">
        <f>Table13[[#This Row],[Funeral Cover Amount]]</f>
        <v>0</v>
      </c>
      <c r="Y61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1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18" s="301">
        <f t="shared" ca="1" si="67"/>
        <v>0</v>
      </c>
      <c r="AB618" s="298"/>
      <c r="AC618" s="326" t="str">
        <f>IF(Table2[[#This Row],[Member Type]]="Main Member",Lookups!$C$13,
IF(Table2[[#This Row],[Member Type]]="Spouse",_xlfn.XLOOKUP(B618,Table2[Main Member Link ID],Table2[Product Option],0),
IF(AND(Table2[[#This Row],[Member Type]]="Child",_xlfn.XLOOKUP(B618,Table2[Main Member Link ID],Table2[Product Option],0)&lt;&gt;"My Value Plus Life"),Lookups!$C$24,
IF(AND(OR(Table2[[#This Row],[Member Type]]="Parent",Table2[[#This Row],[Member Type]]="Extended"),_xlfn.XLOOKUP(B618,Table2[Main Member Link ID],Table2[Product Option],0)&lt;&gt;"My Value Plus Life"),Lookups!$C$26,""))))</f>
        <v/>
      </c>
      <c r="AD618" s="326" t="str">
        <f>IF(Table2[[#This Row],[Member Type]]="Main Member",Lookups!$C$14,"")</f>
        <v/>
      </c>
      <c r="AE61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Funeral",_xlfn.XLOOKUP(B618,Table2[Main Member Link ID],Table2[Benefit Name],0)=Lookups!$D$14),"",
IF(AND(Table2[[#This Row],[Member Type]]="Spouse",Table2[[#This Row],[Product Option]]="My Value Plus Life &amp; Funeral",_xlfn.XLOOKUP(B617,Table2[Main Member Link ID],Table2[Benefit Name],0)=Lookups!$D$15),Lookups!$D$20,
IF(AND(Table2[[#This Row],[Member Type]]="Spouse",Table2[[#This Row],[Product Option]]="My Value Plus Life &amp; Funeral",_xlfn.XLOOKUP(B617,Table2[Main Member Link ID],Table2[Benefit Name],0)=Lookups!$D$16),"",
IF(AND(Table2[[#This Row],[Member Type]]="Spouse",Table2[[#This Row],[Product Option]]="My Value Plus Life &amp; Funeral",_xlfn.XLOOKUP(B617,Table2[Main Member Link ID],Table2[Benefit Name],0)=Lookups!$D$17),Lookups!$D$21,
IF(AND(Table2[[#This Row],[Member Type]]="Child",Table2[[#This Row],[Product Option]]="My Value Plus Life &amp; Funeral",_xlfn.XLOOKUP(B618,Table2[Main Member Link ID],Table2[Benefit Name],0)=Lookups!$D$14),"",
IF(AND(Table2[[#This Row],[Member Type]]="Child",Table2[[#This Row],[Product Option]]="My Value Plus Life &amp; Funeral",_xlfn.XLOOKUP(B618,Table2[Main Member Link ID],Table2[Benefit Name],0)=Lookups!$D$15),"",
IF(AND(Table2[[#This Row],[Member Type]]="Child",Table2[[#This Row],[Product Option]]="My Value Plus Life &amp; Funeral",_xlfn.XLOOKUP(B618,Table2[Main Member Link ID],Table2[Benefit Name],0)=Lookups!$D$16),Lookups!$D$24,
IF(AND(Table2[[#This Row],[Member Type]]="Child",Table2[[#This Row],[Product Option]]="My Value Plus Life &amp; Funeral",_xlfn.XLOOKUP(B618,Table2[Main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Funeral",_xlfn.XLOOKUP(B618,Table2[Main Member Link ID],Table2[Benefit Name],0)&lt;&gt;Lookups!$D$14),
IF(_xlfn.XLOOKUP(B618,Table2[Main Member Link ID],Table2[Benefit Name],0)=0,"",_xlfn.XLOOKUP(B618,Table2[Main Member Link ID],Table2[Benefit Name],0)),"")))))))))))))))</f>
        <v/>
      </c>
      <c r="AF618" s="327" t="str">
        <f>IF(AND(Table2[[#This Row],[Member Type]]="Main Member",Table2[[#This Row],[Product Option]]="My Value Plus Life &amp; Funeral"),Lookups!$D$15,
IF(AND(Table2[[#This Row],[Member Type]]="Spouse",Table2[[#This Row],[Product Option]]="My Value Plus Life &amp; Funeral",_xlfn.XLOOKUP(B618,Table2[Main Member Link ID],Table2[Benefit Name],0)=Lookups!$D$14),"",
IF(AND(Table2[[#This Row],[Member Type]]="Spouse",Table2[[#This Row],[Product Option]]="My Value Plus Life &amp; Funeral",_xlfn.XLOOKUP(B617,Table2[Main Member Link ID],Table2[Benefit Name],0)=Lookups!$D$16),"",
IF(AND(Table2[[#This Row],[Member Type]]="Spouse",Table2[[#This Row],[Product Option]]="My Value Plus Life &amp; Funeral",_xlfn.XLOOKUP(B617,Table2[Main Member Link ID],Table2[Benefit Name],0)=Lookups!$D$15),"",
IF(AND(Table2[[#This Row],[Member Type]]="Spouse",Table2[[#This Row],[Product Option]]="My Value Plus Life &amp; Funeral",_xlfn.XLOOKUP(B617,Table2[Main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Funeral",_xlfn.XLOOKUP(B618,Table2[Main Member Link ID],Table2[Benefit Name],0)&lt;&gt;Lookups!$D$15),
IF(_xlfn.XLOOKUP(B618,Table2[Main Member Link ID],Table2[Benefit Name],0)=0,"",_xlfn.XLOOKUP(B618,Table2[Main Member Link ID],Table2[Benefit Name],0)),"")
))))))</f>
        <v/>
      </c>
      <c r="AG618" s="327" t="str">
        <f>IF(AND(Table2[[#This Row],[Member Type]]="Main Member",Table2[[#This Row],[Product Option]]="My Value Plus Life &amp; Funeral"),Lookups!$D$16,
IF(AND(Table2[[#This Row],[Member Type]]="Spouse",Table2[[#This Row],[Product Option]]="My Value Plus Life &amp; Funeral",_xlfn.XLOOKUP(B618,Table2[Main Member Link ID],Table2[Benefit Name],0)=Lookups!$D$14),"",
IF(AND(Table2[[#This Row],[Member Type]]="Spouse",Table2[[#This Row],[Product Option]]="My Value Plus Life &amp; Funeral",_xlfn.XLOOKUP(B617,Table2[Main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Funeral",_xlfn.XLOOKUP(B618,Table2[Main Member Link ID],Table2[Benefit Name],0)&lt;&gt;Lookups!$D$16),
IF(_xlfn.XLOOKUP(B618,Table2[Main Member Link ID],Table2[Benefit Name],0)=0,"",_xlfn.XLOOKUP(B618,Table2[Main Member Link ID],Table2[Benefit Name],0)),"")
))))</f>
        <v/>
      </c>
      <c r="AH618" s="327" t="str">
        <f>IF(AND(Table2[[#This Row],[Member Type]]="Main Member",Table2[[#This Row],[Product Option]]="My Value Plus Life &amp; Funeral"),Lookups!$D$17,
IF(AND(Table2[[#This Row],[Member Type]]="Spouse",Table2[[#This Row],[Product Option]]="My Value Plus Life &amp; Funeral",_xlfn.XLOOKUP(B618,Table2[Main Member Link ID],Table2[Benefit Name],0)=Lookups!$D$14),"",
IF(AND(Table2[[#This Row],[Member Type]]="Spouse",Table2[[#This Row],[Product Option]]="My Value Plus Life &amp; Funeral",_xlfn.XLOOKUP(B617,Table2[Main Member Link ID],Table2[Benefit Name],0)=Lookups!$D$16),"",
IF(AND(Table2[[#This Row],[Member Type]]="Child",Table2[[#This Row],[Product Option]]="My Value Plus Life &amp; Funeral"),"",
IF(AND(Table2[[#This Row],[Member Type]]="Child",Table2[[#This Row],[Product Option]]="My Value Plus Life &amp; Funeral",_xlfn.XLOOKUP(B618,Table2[Main Member Link ID],Table2[Benefit Name],0)=Lookups!$D$15),"",
IF(AND(OR(Table2[[#This Row],[Member Type]]="Spouse",Table2[[#This Row],[Member Type]]="Child"),Table2[[#This Row],[Product Option]]="My Value Plus Life &amp; Funeral",_xlfn.XLOOKUP(B618,Table2[Main Member Link ID],Table2[Benefit Name],0)&lt;&gt;Lookups!$D$17),
IF(_xlfn.XLOOKUP(B618,Table2[Main Member Link ID],Table2[Benefit Name],0)=0,"",_xlfn.XLOOKUP(B618,Table2[Main Member Link ID],Table2[Benefit Name],0)),""))))))</f>
        <v/>
      </c>
      <c r="AI618" s="328" t="str">
        <f>IF(AND(Table2[[#This Row],[Member Type]]="Main Member",Table2[[#This Row],[Table Lookup for Life Cover]]="MM_LIFE",Table2[[#This Row],[Age Next Birthday]]&lt;56),1,
IF(AND(Table2[[#This Row],[Member Type]]="Main Member",Table2[[#This Row],[Table Lookup for Life Cover]]="MM_LIFE",Table2[[#This Row],[Age Next Birthday]]&gt;=56),2,
""))</f>
        <v/>
      </c>
      <c r="AJ618" s="328">
        <f>IF(OR(Table2[[#This Row],[Member Type]]="Main Member",Table2[[#This Row],[Main Member Link ID]]=B617),1,0)</f>
        <v>1</v>
      </c>
      <c r="AK618" s="328">
        <f>IF(Table2[[#This Row],[Member Type]]=0,0,
IF(OR(Table2[[#This Row],[Member Type]]="Main Member",Table2[[#This Row],[Main Member Link ID]]&lt;&gt;B618),COUNTIFS(B:B,Table2[[#This Row],[Main Member Link ID]]),
COUNTIFS(B:B,Table2[[#This Row],[Main Member Link ID]],A:A,Table2[[#This Row],[Member Type]])))</f>
        <v>0</v>
      </c>
    </row>
    <row r="619" spans="1:37" x14ac:dyDescent="0.3">
      <c r="A619" s="284">
        <f>Table13[[#This Row],[Member Type]]</f>
        <v>0</v>
      </c>
      <c r="B619" s="284">
        <f>Table13[[#This Row],[Main Member Link ID]]</f>
        <v>0</v>
      </c>
      <c r="C619" s="284">
        <f>Table13[[#This Row],[ID Number]]</f>
        <v>0</v>
      </c>
      <c r="D619" s="285">
        <f>Table13[[#This Row],[Date Of Birth]]</f>
        <v>0</v>
      </c>
      <c r="E619" s="285">
        <f>Table13[[#This Row],[Commencement Date]]</f>
        <v>0</v>
      </c>
      <c r="F619" s="284">
        <f t="shared" si="63"/>
        <v>1</v>
      </c>
      <c r="G619" s="284">
        <f t="shared" si="64"/>
        <v>25</v>
      </c>
      <c r="H619" s="286">
        <f>Table13[[#This Row],[Product Option]]</f>
        <v>0</v>
      </c>
      <c r="I619" s="284">
        <f>IF(AND($A619="Main Member",Table2[[#This Row],[Product Option]]="My Value Plus Life"),"MM_LIFE",
IF(AND($A619="Spouse",Table2[[#This Row],[Product Option]]="My Value Plus Life"),"SP_LIFE",
IF(AND($A619="Main Member",Table2[[#This Row],[Product Option]]="My Value Plus Life &amp; Funeral"),"MM_LIFE",
IF(AND($A619="Spouse",Table2[[#This Row],[Product Option]]="My Value Plus Life &amp; Funeral"),_xlfn.XLOOKUP(Table2[[#This Row],[Benefit Name]],Lookups!$D$18:$D$23,Lookups!$E$18:$E$23,0),
0))))</f>
        <v>0</v>
      </c>
      <c r="J619" s="284">
        <f>IF($I619="","",
IF($I619="MM_LIFE",INDEX('Quotation Tool'!$S$54:$V$60,MATCH($T619,'Quotation Tool'!$S$54:$S$60,0),4),
IF($I619="SP_LIFE",_xlfn.XLOOKUP(B618,$B:$B,$J:$J,0),0)))</f>
        <v>0</v>
      </c>
      <c r="K619" s="287">
        <f t="shared" ca="1" si="68"/>
        <v>0</v>
      </c>
      <c r="L619" s="288">
        <f t="shared" ca="1" si="69"/>
        <v>0</v>
      </c>
      <c r="M619" s="289">
        <f t="shared" ca="1" si="65"/>
        <v>0</v>
      </c>
      <c r="N619" s="286">
        <f>Table13[[#This Row],[Benefit Option]]</f>
        <v>0</v>
      </c>
      <c r="O619" s="284">
        <f>IF(OR(Table2[[#This Row],[Member Type]]="Spouse",Table2[[#This Row],[Member Type]]="Child"),0,
IF(_xlfn.XLOOKUP($N619,Lookups!$D$13:$D$27,Lookups!$F$13:$F$27,0)=Table2[[#This Row],[Table Lookup for Life Cover]],0,
_xlfn.XLOOKUP($N619,Lookups!$D$13:$D$27,Lookups!$F$13:$F$27,0)))</f>
        <v>0</v>
      </c>
      <c r="P619" s="284">
        <f>IF(Table2[[#This Row],[Table Lookup for Funeral]]=0,0,IFERROR(INDEX('Quotation Tool'!$S$54:$V$60,MATCH($T619,'Quotation Tool'!$S$54:$S$60,0),3),0))</f>
        <v>0</v>
      </c>
      <c r="Q619" s="288">
        <f ca="1">IF(OR(Table2[[#This Row],[Benefit Name]]="My Value Plus Life - Main Member",Table2[[#This Row],[Benefit Name]]="My Value Plus Life - Spouse"),0,
IFERROR(VLOOKUP($G619,INDIRECT($O619),$P619,FALSE),0))</f>
        <v>0</v>
      </c>
      <c r="R619" s="288">
        <f ca="1">IF(OR(Table2[[#This Row],[Benefit Name]]="My Value Plus Life - Main Member",Table2[[#This Row],[Benefit Name]]="My Value Plus Life - Spouse"),0,
IFERROR(VLOOKUP($G619,INDIRECT($O619),$P619+1,FALSE),0))</f>
        <v>0</v>
      </c>
      <c r="S619" s="289">
        <f t="shared" ca="1" si="66"/>
        <v>0</v>
      </c>
      <c r="T619" s="284" t="str">
        <f>IF(Table13[[#This Row],[Premium Waiver]]="","None",Table13[[#This Row],[Premium Waiver]])</f>
        <v>None</v>
      </c>
      <c r="U619" s="284">
        <f>Table13[[#This Row],[VAPs Options]]</f>
        <v>0</v>
      </c>
      <c r="V619" s="284">
        <f>Table13[[#This Row],[Annual Increase Option]]</f>
        <v>0</v>
      </c>
      <c r="W619" s="290">
        <f>Table13[[#This Row],[Life Cover Amount]]</f>
        <v>0</v>
      </c>
      <c r="X619" s="290">
        <f>Table13[[#This Row],[Funeral Cover Amount]]</f>
        <v>0</v>
      </c>
      <c r="Y61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1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19" s="301">
        <f t="shared" ca="1" si="67"/>
        <v>0</v>
      </c>
      <c r="AB619" s="298"/>
      <c r="AC619" s="326" t="str">
        <f>IF(Table2[[#This Row],[Member Type]]="Main Member",Lookups!$C$13,
IF(Table2[[#This Row],[Member Type]]="Spouse",_xlfn.XLOOKUP(B619,Table2[Main Member Link ID],Table2[Product Option],0),
IF(AND(Table2[[#This Row],[Member Type]]="Child",_xlfn.XLOOKUP(B619,Table2[Main Member Link ID],Table2[Product Option],0)&lt;&gt;"My Value Plus Life"),Lookups!$C$24,
IF(AND(OR(Table2[[#This Row],[Member Type]]="Parent",Table2[[#This Row],[Member Type]]="Extended"),_xlfn.XLOOKUP(B619,Table2[Main Member Link ID],Table2[Product Option],0)&lt;&gt;"My Value Plus Life"),Lookups!$C$26,""))))</f>
        <v/>
      </c>
      <c r="AD619" s="326" t="str">
        <f>IF(Table2[[#This Row],[Member Type]]="Main Member",Lookups!$C$14,"")</f>
        <v/>
      </c>
      <c r="AE61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Funeral",_xlfn.XLOOKUP(B619,Table2[Main Member Link ID],Table2[Benefit Name],0)=Lookups!$D$14),"",
IF(AND(Table2[[#This Row],[Member Type]]="Spouse",Table2[[#This Row],[Product Option]]="My Value Plus Life &amp; Funeral",_xlfn.XLOOKUP(B618,Table2[Main Member Link ID],Table2[Benefit Name],0)=Lookups!$D$15),Lookups!$D$20,
IF(AND(Table2[[#This Row],[Member Type]]="Spouse",Table2[[#This Row],[Product Option]]="My Value Plus Life &amp; Funeral",_xlfn.XLOOKUP(B618,Table2[Main Member Link ID],Table2[Benefit Name],0)=Lookups!$D$16),"",
IF(AND(Table2[[#This Row],[Member Type]]="Spouse",Table2[[#This Row],[Product Option]]="My Value Plus Life &amp; Funeral",_xlfn.XLOOKUP(B618,Table2[Main Member Link ID],Table2[Benefit Name],0)=Lookups!$D$17),Lookups!$D$21,
IF(AND(Table2[[#This Row],[Member Type]]="Child",Table2[[#This Row],[Product Option]]="My Value Plus Life &amp; Funeral",_xlfn.XLOOKUP(B619,Table2[Main Member Link ID],Table2[Benefit Name],0)=Lookups!$D$14),"",
IF(AND(Table2[[#This Row],[Member Type]]="Child",Table2[[#This Row],[Product Option]]="My Value Plus Life &amp; Funeral",_xlfn.XLOOKUP(B619,Table2[Main Member Link ID],Table2[Benefit Name],0)=Lookups!$D$15),"",
IF(AND(Table2[[#This Row],[Member Type]]="Child",Table2[[#This Row],[Product Option]]="My Value Plus Life &amp; Funeral",_xlfn.XLOOKUP(B619,Table2[Main Member Link ID],Table2[Benefit Name],0)=Lookups!$D$16),Lookups!$D$24,
IF(AND(Table2[[#This Row],[Member Type]]="Child",Table2[[#This Row],[Product Option]]="My Value Plus Life &amp; Funeral",_xlfn.XLOOKUP(B619,Table2[Main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Funeral",_xlfn.XLOOKUP(B619,Table2[Main Member Link ID],Table2[Benefit Name],0)&lt;&gt;Lookups!$D$14),
IF(_xlfn.XLOOKUP(B619,Table2[Main Member Link ID],Table2[Benefit Name],0)=0,"",_xlfn.XLOOKUP(B619,Table2[Main Member Link ID],Table2[Benefit Name],0)),"")))))))))))))))</f>
        <v/>
      </c>
      <c r="AF619" s="327" t="str">
        <f>IF(AND(Table2[[#This Row],[Member Type]]="Main Member",Table2[[#This Row],[Product Option]]="My Value Plus Life &amp; Funeral"),Lookups!$D$15,
IF(AND(Table2[[#This Row],[Member Type]]="Spouse",Table2[[#This Row],[Product Option]]="My Value Plus Life &amp; Funeral",_xlfn.XLOOKUP(B619,Table2[Main Member Link ID],Table2[Benefit Name],0)=Lookups!$D$14),"",
IF(AND(Table2[[#This Row],[Member Type]]="Spouse",Table2[[#This Row],[Product Option]]="My Value Plus Life &amp; Funeral",_xlfn.XLOOKUP(B618,Table2[Main Member Link ID],Table2[Benefit Name],0)=Lookups!$D$16),"",
IF(AND(Table2[[#This Row],[Member Type]]="Spouse",Table2[[#This Row],[Product Option]]="My Value Plus Life &amp; Funeral",_xlfn.XLOOKUP(B618,Table2[Main Member Link ID],Table2[Benefit Name],0)=Lookups!$D$15),"",
IF(AND(Table2[[#This Row],[Member Type]]="Spouse",Table2[[#This Row],[Product Option]]="My Value Plus Life &amp; Funeral",_xlfn.XLOOKUP(B618,Table2[Main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Funeral",_xlfn.XLOOKUP(B619,Table2[Main Member Link ID],Table2[Benefit Name],0)&lt;&gt;Lookups!$D$15),
IF(_xlfn.XLOOKUP(B619,Table2[Main Member Link ID],Table2[Benefit Name],0)=0,"",_xlfn.XLOOKUP(B619,Table2[Main Member Link ID],Table2[Benefit Name],0)),"")
))))))</f>
        <v/>
      </c>
      <c r="AG619" s="327" t="str">
        <f>IF(AND(Table2[[#This Row],[Member Type]]="Main Member",Table2[[#This Row],[Product Option]]="My Value Plus Life &amp; Funeral"),Lookups!$D$16,
IF(AND(Table2[[#This Row],[Member Type]]="Spouse",Table2[[#This Row],[Product Option]]="My Value Plus Life &amp; Funeral",_xlfn.XLOOKUP(B619,Table2[Main Member Link ID],Table2[Benefit Name],0)=Lookups!$D$14),"",
IF(AND(Table2[[#This Row],[Member Type]]="Spouse",Table2[[#This Row],[Product Option]]="My Value Plus Life &amp; Funeral",_xlfn.XLOOKUP(B618,Table2[Main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Funeral",_xlfn.XLOOKUP(B619,Table2[Main Member Link ID],Table2[Benefit Name],0)&lt;&gt;Lookups!$D$16),
IF(_xlfn.XLOOKUP(B619,Table2[Main Member Link ID],Table2[Benefit Name],0)=0,"",_xlfn.XLOOKUP(B619,Table2[Main Member Link ID],Table2[Benefit Name],0)),"")
))))</f>
        <v/>
      </c>
      <c r="AH619" s="327" t="str">
        <f>IF(AND(Table2[[#This Row],[Member Type]]="Main Member",Table2[[#This Row],[Product Option]]="My Value Plus Life &amp; Funeral"),Lookups!$D$17,
IF(AND(Table2[[#This Row],[Member Type]]="Spouse",Table2[[#This Row],[Product Option]]="My Value Plus Life &amp; Funeral",_xlfn.XLOOKUP(B619,Table2[Main Member Link ID],Table2[Benefit Name],0)=Lookups!$D$14),"",
IF(AND(Table2[[#This Row],[Member Type]]="Spouse",Table2[[#This Row],[Product Option]]="My Value Plus Life &amp; Funeral",_xlfn.XLOOKUP(B618,Table2[Main Member Link ID],Table2[Benefit Name],0)=Lookups!$D$16),"",
IF(AND(Table2[[#This Row],[Member Type]]="Child",Table2[[#This Row],[Product Option]]="My Value Plus Life &amp; Funeral"),"",
IF(AND(Table2[[#This Row],[Member Type]]="Child",Table2[[#This Row],[Product Option]]="My Value Plus Life &amp; Funeral",_xlfn.XLOOKUP(B619,Table2[Main Member Link ID],Table2[Benefit Name],0)=Lookups!$D$15),"",
IF(AND(OR(Table2[[#This Row],[Member Type]]="Spouse",Table2[[#This Row],[Member Type]]="Child"),Table2[[#This Row],[Product Option]]="My Value Plus Life &amp; Funeral",_xlfn.XLOOKUP(B619,Table2[Main Member Link ID],Table2[Benefit Name],0)&lt;&gt;Lookups!$D$17),
IF(_xlfn.XLOOKUP(B619,Table2[Main Member Link ID],Table2[Benefit Name],0)=0,"",_xlfn.XLOOKUP(B619,Table2[Main Member Link ID],Table2[Benefit Name],0)),""))))))</f>
        <v/>
      </c>
      <c r="AI619" s="328" t="str">
        <f>IF(AND(Table2[[#This Row],[Member Type]]="Main Member",Table2[[#This Row],[Table Lookup for Life Cover]]="MM_LIFE",Table2[[#This Row],[Age Next Birthday]]&lt;56),1,
IF(AND(Table2[[#This Row],[Member Type]]="Main Member",Table2[[#This Row],[Table Lookup for Life Cover]]="MM_LIFE",Table2[[#This Row],[Age Next Birthday]]&gt;=56),2,
""))</f>
        <v/>
      </c>
      <c r="AJ619" s="328">
        <f>IF(OR(Table2[[#This Row],[Member Type]]="Main Member",Table2[[#This Row],[Main Member Link ID]]=B618),1,0)</f>
        <v>1</v>
      </c>
      <c r="AK619" s="328">
        <f>IF(Table2[[#This Row],[Member Type]]=0,0,
IF(OR(Table2[[#This Row],[Member Type]]="Main Member",Table2[[#This Row],[Main Member Link ID]]&lt;&gt;B619),COUNTIFS(B:B,Table2[[#This Row],[Main Member Link ID]]),
COUNTIFS(B:B,Table2[[#This Row],[Main Member Link ID]],A:A,Table2[[#This Row],[Member Type]])))</f>
        <v>0</v>
      </c>
    </row>
    <row r="620" spans="1:37" x14ac:dyDescent="0.3">
      <c r="A620" s="284">
        <f>Table13[[#This Row],[Member Type]]</f>
        <v>0</v>
      </c>
      <c r="B620" s="284">
        <f>Table13[[#This Row],[Main Member Link ID]]</f>
        <v>0</v>
      </c>
      <c r="C620" s="284">
        <f>Table13[[#This Row],[ID Number]]</f>
        <v>0</v>
      </c>
      <c r="D620" s="285">
        <f>Table13[[#This Row],[Date Of Birth]]</f>
        <v>0</v>
      </c>
      <c r="E620" s="285">
        <f>Table13[[#This Row],[Commencement Date]]</f>
        <v>0</v>
      </c>
      <c r="F620" s="284">
        <f t="shared" si="63"/>
        <v>1</v>
      </c>
      <c r="G620" s="284">
        <f t="shared" si="64"/>
        <v>25</v>
      </c>
      <c r="H620" s="286">
        <f>Table13[[#This Row],[Product Option]]</f>
        <v>0</v>
      </c>
      <c r="I620" s="284">
        <f>IF(AND($A620="Main Member",Table2[[#This Row],[Product Option]]="My Value Plus Life"),"MM_LIFE",
IF(AND($A620="Spouse",Table2[[#This Row],[Product Option]]="My Value Plus Life"),"SP_LIFE",
IF(AND($A620="Main Member",Table2[[#This Row],[Product Option]]="My Value Plus Life &amp; Funeral"),"MM_LIFE",
IF(AND($A620="Spouse",Table2[[#This Row],[Product Option]]="My Value Plus Life &amp; Funeral"),_xlfn.XLOOKUP(Table2[[#This Row],[Benefit Name]],Lookups!$D$18:$D$23,Lookups!$E$18:$E$23,0),
0))))</f>
        <v>0</v>
      </c>
      <c r="J620" s="284">
        <f>IF($I620="","",
IF($I620="MM_LIFE",INDEX('Quotation Tool'!$S$54:$V$60,MATCH($T620,'Quotation Tool'!$S$54:$S$60,0),4),
IF($I620="SP_LIFE",_xlfn.XLOOKUP(B619,$B:$B,$J:$J,0),0)))</f>
        <v>0</v>
      </c>
      <c r="K620" s="287">
        <f t="shared" ca="1" si="68"/>
        <v>0</v>
      </c>
      <c r="L620" s="288">
        <f t="shared" ca="1" si="69"/>
        <v>0</v>
      </c>
      <c r="M620" s="289">
        <f t="shared" ca="1" si="65"/>
        <v>0</v>
      </c>
      <c r="N620" s="286">
        <f>Table13[[#This Row],[Benefit Option]]</f>
        <v>0</v>
      </c>
      <c r="O620" s="284">
        <f>IF(OR(Table2[[#This Row],[Member Type]]="Spouse",Table2[[#This Row],[Member Type]]="Child"),0,
IF(_xlfn.XLOOKUP($N620,Lookups!$D$13:$D$27,Lookups!$F$13:$F$27,0)=Table2[[#This Row],[Table Lookup for Life Cover]],0,
_xlfn.XLOOKUP($N620,Lookups!$D$13:$D$27,Lookups!$F$13:$F$27,0)))</f>
        <v>0</v>
      </c>
      <c r="P620" s="284">
        <f>IF(Table2[[#This Row],[Table Lookup for Funeral]]=0,0,IFERROR(INDEX('Quotation Tool'!$S$54:$V$60,MATCH($T620,'Quotation Tool'!$S$54:$S$60,0),3),0))</f>
        <v>0</v>
      </c>
      <c r="Q620" s="288">
        <f ca="1">IF(OR(Table2[[#This Row],[Benefit Name]]="My Value Plus Life - Main Member",Table2[[#This Row],[Benefit Name]]="My Value Plus Life - Spouse"),0,
IFERROR(VLOOKUP($G620,INDIRECT($O620),$P620,FALSE),0))</f>
        <v>0</v>
      </c>
      <c r="R620" s="288">
        <f ca="1">IF(OR(Table2[[#This Row],[Benefit Name]]="My Value Plus Life - Main Member",Table2[[#This Row],[Benefit Name]]="My Value Plus Life - Spouse"),0,
IFERROR(VLOOKUP($G620,INDIRECT($O620),$P620+1,FALSE),0))</f>
        <v>0</v>
      </c>
      <c r="S620" s="289">
        <f t="shared" ca="1" si="66"/>
        <v>0</v>
      </c>
      <c r="T620" s="284" t="str">
        <f>IF(Table13[[#This Row],[Premium Waiver]]="","None",Table13[[#This Row],[Premium Waiver]])</f>
        <v>None</v>
      </c>
      <c r="U620" s="284">
        <f>Table13[[#This Row],[VAPs Options]]</f>
        <v>0</v>
      </c>
      <c r="V620" s="284">
        <f>Table13[[#This Row],[Annual Increase Option]]</f>
        <v>0</v>
      </c>
      <c r="W620" s="290">
        <f>Table13[[#This Row],[Life Cover Amount]]</f>
        <v>0</v>
      </c>
      <c r="X620" s="290">
        <f>Table13[[#This Row],[Funeral Cover Amount]]</f>
        <v>0</v>
      </c>
      <c r="Y62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2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20" s="301">
        <f t="shared" ca="1" si="67"/>
        <v>0</v>
      </c>
      <c r="AB620" s="298"/>
      <c r="AC620" s="326" t="str">
        <f>IF(Table2[[#This Row],[Member Type]]="Main Member",Lookups!$C$13,
IF(Table2[[#This Row],[Member Type]]="Spouse",_xlfn.XLOOKUP(B620,Table2[Main Member Link ID],Table2[Product Option],0),
IF(AND(Table2[[#This Row],[Member Type]]="Child",_xlfn.XLOOKUP(B620,Table2[Main Member Link ID],Table2[Product Option],0)&lt;&gt;"My Value Plus Life"),Lookups!$C$24,
IF(AND(OR(Table2[[#This Row],[Member Type]]="Parent",Table2[[#This Row],[Member Type]]="Extended"),_xlfn.XLOOKUP(B620,Table2[Main Member Link ID],Table2[Product Option],0)&lt;&gt;"My Value Plus Life"),Lookups!$C$26,""))))</f>
        <v/>
      </c>
      <c r="AD620" s="326" t="str">
        <f>IF(Table2[[#This Row],[Member Type]]="Main Member",Lookups!$C$14,"")</f>
        <v/>
      </c>
      <c r="AE62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Funeral",_xlfn.XLOOKUP(B620,Table2[Main Member Link ID],Table2[Benefit Name],0)=Lookups!$D$14),"",
IF(AND(Table2[[#This Row],[Member Type]]="Spouse",Table2[[#This Row],[Product Option]]="My Value Plus Life &amp; Funeral",_xlfn.XLOOKUP(B619,Table2[Main Member Link ID],Table2[Benefit Name],0)=Lookups!$D$15),Lookups!$D$20,
IF(AND(Table2[[#This Row],[Member Type]]="Spouse",Table2[[#This Row],[Product Option]]="My Value Plus Life &amp; Funeral",_xlfn.XLOOKUP(B619,Table2[Main Member Link ID],Table2[Benefit Name],0)=Lookups!$D$16),"",
IF(AND(Table2[[#This Row],[Member Type]]="Spouse",Table2[[#This Row],[Product Option]]="My Value Plus Life &amp; Funeral",_xlfn.XLOOKUP(B619,Table2[Main Member Link ID],Table2[Benefit Name],0)=Lookups!$D$17),Lookups!$D$21,
IF(AND(Table2[[#This Row],[Member Type]]="Child",Table2[[#This Row],[Product Option]]="My Value Plus Life &amp; Funeral",_xlfn.XLOOKUP(B620,Table2[Main Member Link ID],Table2[Benefit Name],0)=Lookups!$D$14),"",
IF(AND(Table2[[#This Row],[Member Type]]="Child",Table2[[#This Row],[Product Option]]="My Value Plus Life &amp; Funeral",_xlfn.XLOOKUP(B620,Table2[Main Member Link ID],Table2[Benefit Name],0)=Lookups!$D$15),"",
IF(AND(Table2[[#This Row],[Member Type]]="Child",Table2[[#This Row],[Product Option]]="My Value Plus Life &amp; Funeral",_xlfn.XLOOKUP(B620,Table2[Main Member Link ID],Table2[Benefit Name],0)=Lookups!$D$16),Lookups!$D$24,
IF(AND(Table2[[#This Row],[Member Type]]="Child",Table2[[#This Row],[Product Option]]="My Value Plus Life &amp; Funeral",_xlfn.XLOOKUP(B620,Table2[Main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Funeral",_xlfn.XLOOKUP(B620,Table2[Main Member Link ID],Table2[Benefit Name],0)&lt;&gt;Lookups!$D$14),
IF(_xlfn.XLOOKUP(B620,Table2[Main Member Link ID],Table2[Benefit Name],0)=0,"",_xlfn.XLOOKUP(B620,Table2[Main Member Link ID],Table2[Benefit Name],0)),"")))))))))))))))</f>
        <v/>
      </c>
      <c r="AF620" s="327" t="str">
        <f>IF(AND(Table2[[#This Row],[Member Type]]="Main Member",Table2[[#This Row],[Product Option]]="My Value Plus Life &amp; Funeral"),Lookups!$D$15,
IF(AND(Table2[[#This Row],[Member Type]]="Spouse",Table2[[#This Row],[Product Option]]="My Value Plus Life &amp; Funeral",_xlfn.XLOOKUP(B620,Table2[Main Member Link ID],Table2[Benefit Name],0)=Lookups!$D$14),"",
IF(AND(Table2[[#This Row],[Member Type]]="Spouse",Table2[[#This Row],[Product Option]]="My Value Plus Life &amp; Funeral",_xlfn.XLOOKUP(B619,Table2[Main Member Link ID],Table2[Benefit Name],0)=Lookups!$D$16),"",
IF(AND(Table2[[#This Row],[Member Type]]="Spouse",Table2[[#This Row],[Product Option]]="My Value Plus Life &amp; Funeral",_xlfn.XLOOKUP(B619,Table2[Main Member Link ID],Table2[Benefit Name],0)=Lookups!$D$15),"",
IF(AND(Table2[[#This Row],[Member Type]]="Spouse",Table2[[#This Row],[Product Option]]="My Value Plus Life &amp; Funeral",_xlfn.XLOOKUP(B619,Table2[Main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Funeral",_xlfn.XLOOKUP(B620,Table2[Main Member Link ID],Table2[Benefit Name],0)&lt;&gt;Lookups!$D$15),
IF(_xlfn.XLOOKUP(B620,Table2[Main Member Link ID],Table2[Benefit Name],0)=0,"",_xlfn.XLOOKUP(B620,Table2[Main Member Link ID],Table2[Benefit Name],0)),"")
))))))</f>
        <v/>
      </c>
      <c r="AG620" s="327" t="str">
        <f>IF(AND(Table2[[#This Row],[Member Type]]="Main Member",Table2[[#This Row],[Product Option]]="My Value Plus Life &amp; Funeral"),Lookups!$D$16,
IF(AND(Table2[[#This Row],[Member Type]]="Spouse",Table2[[#This Row],[Product Option]]="My Value Plus Life &amp; Funeral",_xlfn.XLOOKUP(B620,Table2[Main Member Link ID],Table2[Benefit Name],0)=Lookups!$D$14),"",
IF(AND(Table2[[#This Row],[Member Type]]="Spouse",Table2[[#This Row],[Product Option]]="My Value Plus Life &amp; Funeral",_xlfn.XLOOKUP(B619,Table2[Main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Funeral",_xlfn.XLOOKUP(B620,Table2[Main Member Link ID],Table2[Benefit Name],0)&lt;&gt;Lookups!$D$16),
IF(_xlfn.XLOOKUP(B620,Table2[Main Member Link ID],Table2[Benefit Name],0)=0,"",_xlfn.XLOOKUP(B620,Table2[Main Member Link ID],Table2[Benefit Name],0)),"")
))))</f>
        <v/>
      </c>
      <c r="AH620" s="327" t="str">
        <f>IF(AND(Table2[[#This Row],[Member Type]]="Main Member",Table2[[#This Row],[Product Option]]="My Value Plus Life &amp; Funeral"),Lookups!$D$17,
IF(AND(Table2[[#This Row],[Member Type]]="Spouse",Table2[[#This Row],[Product Option]]="My Value Plus Life &amp; Funeral",_xlfn.XLOOKUP(B620,Table2[Main Member Link ID],Table2[Benefit Name],0)=Lookups!$D$14),"",
IF(AND(Table2[[#This Row],[Member Type]]="Spouse",Table2[[#This Row],[Product Option]]="My Value Plus Life &amp; Funeral",_xlfn.XLOOKUP(B619,Table2[Main Member Link ID],Table2[Benefit Name],0)=Lookups!$D$16),"",
IF(AND(Table2[[#This Row],[Member Type]]="Child",Table2[[#This Row],[Product Option]]="My Value Plus Life &amp; Funeral"),"",
IF(AND(Table2[[#This Row],[Member Type]]="Child",Table2[[#This Row],[Product Option]]="My Value Plus Life &amp; Funeral",_xlfn.XLOOKUP(B620,Table2[Main Member Link ID],Table2[Benefit Name],0)=Lookups!$D$15),"",
IF(AND(OR(Table2[[#This Row],[Member Type]]="Spouse",Table2[[#This Row],[Member Type]]="Child"),Table2[[#This Row],[Product Option]]="My Value Plus Life &amp; Funeral",_xlfn.XLOOKUP(B620,Table2[Main Member Link ID],Table2[Benefit Name],0)&lt;&gt;Lookups!$D$17),
IF(_xlfn.XLOOKUP(B620,Table2[Main Member Link ID],Table2[Benefit Name],0)=0,"",_xlfn.XLOOKUP(B620,Table2[Main Member Link ID],Table2[Benefit Name],0)),""))))))</f>
        <v/>
      </c>
      <c r="AI620" s="328" t="str">
        <f>IF(AND(Table2[[#This Row],[Member Type]]="Main Member",Table2[[#This Row],[Table Lookup for Life Cover]]="MM_LIFE",Table2[[#This Row],[Age Next Birthday]]&lt;56),1,
IF(AND(Table2[[#This Row],[Member Type]]="Main Member",Table2[[#This Row],[Table Lookup for Life Cover]]="MM_LIFE",Table2[[#This Row],[Age Next Birthday]]&gt;=56),2,
""))</f>
        <v/>
      </c>
      <c r="AJ620" s="328">
        <f>IF(OR(Table2[[#This Row],[Member Type]]="Main Member",Table2[[#This Row],[Main Member Link ID]]=B619),1,0)</f>
        <v>1</v>
      </c>
      <c r="AK620" s="328">
        <f>IF(Table2[[#This Row],[Member Type]]=0,0,
IF(OR(Table2[[#This Row],[Member Type]]="Main Member",Table2[[#This Row],[Main Member Link ID]]&lt;&gt;B620),COUNTIFS(B:B,Table2[[#This Row],[Main Member Link ID]]),
COUNTIFS(B:B,Table2[[#This Row],[Main Member Link ID]],A:A,Table2[[#This Row],[Member Type]])))</f>
        <v>0</v>
      </c>
    </row>
    <row r="621" spans="1:37" x14ac:dyDescent="0.3">
      <c r="A621" s="284">
        <f>Table13[[#This Row],[Member Type]]</f>
        <v>0</v>
      </c>
      <c r="B621" s="284">
        <f>Table13[[#This Row],[Main Member Link ID]]</f>
        <v>0</v>
      </c>
      <c r="C621" s="284">
        <f>Table13[[#This Row],[ID Number]]</f>
        <v>0</v>
      </c>
      <c r="D621" s="285">
        <f>Table13[[#This Row],[Date Of Birth]]</f>
        <v>0</v>
      </c>
      <c r="E621" s="285">
        <f>Table13[[#This Row],[Commencement Date]]</f>
        <v>0</v>
      </c>
      <c r="F621" s="284">
        <f t="shared" si="63"/>
        <v>1</v>
      </c>
      <c r="G621" s="284">
        <f t="shared" si="64"/>
        <v>25</v>
      </c>
      <c r="H621" s="286">
        <f>Table13[[#This Row],[Product Option]]</f>
        <v>0</v>
      </c>
      <c r="I621" s="284">
        <f>IF(AND($A621="Main Member",Table2[[#This Row],[Product Option]]="My Value Plus Life"),"MM_LIFE",
IF(AND($A621="Spouse",Table2[[#This Row],[Product Option]]="My Value Plus Life"),"SP_LIFE",
IF(AND($A621="Main Member",Table2[[#This Row],[Product Option]]="My Value Plus Life &amp; Funeral"),"MM_LIFE",
IF(AND($A621="Spouse",Table2[[#This Row],[Product Option]]="My Value Plus Life &amp; Funeral"),_xlfn.XLOOKUP(Table2[[#This Row],[Benefit Name]],Lookups!$D$18:$D$23,Lookups!$E$18:$E$23,0),
0))))</f>
        <v>0</v>
      </c>
      <c r="J621" s="284">
        <f>IF($I621="","",
IF($I621="MM_LIFE",INDEX('Quotation Tool'!$S$54:$V$60,MATCH($T621,'Quotation Tool'!$S$54:$S$60,0),4),
IF($I621="SP_LIFE",_xlfn.XLOOKUP(B620,$B:$B,$J:$J,0),0)))</f>
        <v>0</v>
      </c>
      <c r="K621" s="287">
        <f t="shared" ca="1" si="68"/>
        <v>0</v>
      </c>
      <c r="L621" s="288">
        <f t="shared" ca="1" si="69"/>
        <v>0</v>
      </c>
      <c r="M621" s="289">
        <f t="shared" ca="1" si="65"/>
        <v>0</v>
      </c>
      <c r="N621" s="286">
        <f>Table13[[#This Row],[Benefit Option]]</f>
        <v>0</v>
      </c>
      <c r="O621" s="284">
        <f>IF(OR(Table2[[#This Row],[Member Type]]="Spouse",Table2[[#This Row],[Member Type]]="Child"),0,
IF(_xlfn.XLOOKUP($N621,Lookups!$D$13:$D$27,Lookups!$F$13:$F$27,0)=Table2[[#This Row],[Table Lookup for Life Cover]],0,
_xlfn.XLOOKUP($N621,Lookups!$D$13:$D$27,Lookups!$F$13:$F$27,0)))</f>
        <v>0</v>
      </c>
      <c r="P621" s="284">
        <f>IF(Table2[[#This Row],[Table Lookup for Funeral]]=0,0,IFERROR(INDEX('Quotation Tool'!$S$54:$V$60,MATCH($T621,'Quotation Tool'!$S$54:$S$60,0),3),0))</f>
        <v>0</v>
      </c>
      <c r="Q621" s="288">
        <f ca="1">IF(OR(Table2[[#This Row],[Benefit Name]]="My Value Plus Life - Main Member",Table2[[#This Row],[Benefit Name]]="My Value Plus Life - Spouse"),0,
IFERROR(VLOOKUP($G621,INDIRECT($O621),$P621,FALSE),0))</f>
        <v>0</v>
      </c>
      <c r="R621" s="288">
        <f ca="1">IF(OR(Table2[[#This Row],[Benefit Name]]="My Value Plus Life - Main Member",Table2[[#This Row],[Benefit Name]]="My Value Plus Life - Spouse"),0,
IFERROR(VLOOKUP($G621,INDIRECT($O621),$P621+1,FALSE),0))</f>
        <v>0</v>
      </c>
      <c r="S621" s="289">
        <f t="shared" ca="1" si="66"/>
        <v>0</v>
      </c>
      <c r="T621" s="284" t="str">
        <f>IF(Table13[[#This Row],[Premium Waiver]]="","None",Table13[[#This Row],[Premium Waiver]])</f>
        <v>None</v>
      </c>
      <c r="U621" s="284">
        <f>Table13[[#This Row],[VAPs Options]]</f>
        <v>0</v>
      </c>
      <c r="V621" s="284">
        <f>Table13[[#This Row],[Annual Increase Option]]</f>
        <v>0</v>
      </c>
      <c r="W621" s="290">
        <f>Table13[[#This Row],[Life Cover Amount]]</f>
        <v>0</v>
      </c>
      <c r="X621" s="290">
        <f>Table13[[#This Row],[Funeral Cover Amount]]</f>
        <v>0</v>
      </c>
      <c r="Y62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2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21" s="301">
        <f t="shared" ca="1" si="67"/>
        <v>0</v>
      </c>
      <c r="AB621" s="298"/>
      <c r="AC621" s="326" t="str">
        <f>IF(Table2[[#This Row],[Member Type]]="Main Member",Lookups!$C$13,
IF(Table2[[#This Row],[Member Type]]="Spouse",_xlfn.XLOOKUP(B621,Table2[Main Member Link ID],Table2[Product Option],0),
IF(AND(Table2[[#This Row],[Member Type]]="Child",_xlfn.XLOOKUP(B621,Table2[Main Member Link ID],Table2[Product Option],0)&lt;&gt;"My Value Plus Life"),Lookups!$C$24,
IF(AND(OR(Table2[[#This Row],[Member Type]]="Parent",Table2[[#This Row],[Member Type]]="Extended"),_xlfn.XLOOKUP(B621,Table2[Main Member Link ID],Table2[Product Option],0)&lt;&gt;"My Value Plus Life"),Lookups!$C$26,""))))</f>
        <v/>
      </c>
      <c r="AD621" s="326" t="str">
        <f>IF(Table2[[#This Row],[Member Type]]="Main Member",Lookups!$C$14,"")</f>
        <v/>
      </c>
      <c r="AE62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Funeral",_xlfn.XLOOKUP(B621,Table2[Main Member Link ID],Table2[Benefit Name],0)=Lookups!$D$14),"",
IF(AND(Table2[[#This Row],[Member Type]]="Spouse",Table2[[#This Row],[Product Option]]="My Value Plus Life &amp; Funeral",_xlfn.XLOOKUP(B620,Table2[Main Member Link ID],Table2[Benefit Name],0)=Lookups!$D$15),Lookups!$D$20,
IF(AND(Table2[[#This Row],[Member Type]]="Spouse",Table2[[#This Row],[Product Option]]="My Value Plus Life &amp; Funeral",_xlfn.XLOOKUP(B620,Table2[Main Member Link ID],Table2[Benefit Name],0)=Lookups!$D$16),"",
IF(AND(Table2[[#This Row],[Member Type]]="Spouse",Table2[[#This Row],[Product Option]]="My Value Plus Life &amp; Funeral",_xlfn.XLOOKUP(B620,Table2[Main Member Link ID],Table2[Benefit Name],0)=Lookups!$D$17),Lookups!$D$21,
IF(AND(Table2[[#This Row],[Member Type]]="Child",Table2[[#This Row],[Product Option]]="My Value Plus Life &amp; Funeral",_xlfn.XLOOKUP(B621,Table2[Main Member Link ID],Table2[Benefit Name],0)=Lookups!$D$14),"",
IF(AND(Table2[[#This Row],[Member Type]]="Child",Table2[[#This Row],[Product Option]]="My Value Plus Life &amp; Funeral",_xlfn.XLOOKUP(B621,Table2[Main Member Link ID],Table2[Benefit Name],0)=Lookups!$D$15),"",
IF(AND(Table2[[#This Row],[Member Type]]="Child",Table2[[#This Row],[Product Option]]="My Value Plus Life &amp; Funeral",_xlfn.XLOOKUP(B621,Table2[Main Member Link ID],Table2[Benefit Name],0)=Lookups!$D$16),Lookups!$D$24,
IF(AND(Table2[[#This Row],[Member Type]]="Child",Table2[[#This Row],[Product Option]]="My Value Plus Life &amp; Funeral",_xlfn.XLOOKUP(B621,Table2[Main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Funeral",_xlfn.XLOOKUP(B621,Table2[Main Member Link ID],Table2[Benefit Name],0)&lt;&gt;Lookups!$D$14),
IF(_xlfn.XLOOKUP(B621,Table2[Main Member Link ID],Table2[Benefit Name],0)=0,"",_xlfn.XLOOKUP(B621,Table2[Main Member Link ID],Table2[Benefit Name],0)),"")))))))))))))))</f>
        <v/>
      </c>
      <c r="AF621" s="327" t="str">
        <f>IF(AND(Table2[[#This Row],[Member Type]]="Main Member",Table2[[#This Row],[Product Option]]="My Value Plus Life &amp; Funeral"),Lookups!$D$15,
IF(AND(Table2[[#This Row],[Member Type]]="Spouse",Table2[[#This Row],[Product Option]]="My Value Plus Life &amp; Funeral",_xlfn.XLOOKUP(B621,Table2[Main Member Link ID],Table2[Benefit Name],0)=Lookups!$D$14),"",
IF(AND(Table2[[#This Row],[Member Type]]="Spouse",Table2[[#This Row],[Product Option]]="My Value Plus Life &amp; Funeral",_xlfn.XLOOKUP(B620,Table2[Main Member Link ID],Table2[Benefit Name],0)=Lookups!$D$16),"",
IF(AND(Table2[[#This Row],[Member Type]]="Spouse",Table2[[#This Row],[Product Option]]="My Value Plus Life &amp; Funeral",_xlfn.XLOOKUP(B620,Table2[Main Member Link ID],Table2[Benefit Name],0)=Lookups!$D$15),"",
IF(AND(Table2[[#This Row],[Member Type]]="Spouse",Table2[[#This Row],[Product Option]]="My Value Plus Life &amp; Funeral",_xlfn.XLOOKUP(B620,Table2[Main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Funeral",_xlfn.XLOOKUP(B621,Table2[Main Member Link ID],Table2[Benefit Name],0)&lt;&gt;Lookups!$D$15),
IF(_xlfn.XLOOKUP(B621,Table2[Main Member Link ID],Table2[Benefit Name],0)=0,"",_xlfn.XLOOKUP(B621,Table2[Main Member Link ID],Table2[Benefit Name],0)),"")
))))))</f>
        <v/>
      </c>
      <c r="AG621" s="327" t="str">
        <f>IF(AND(Table2[[#This Row],[Member Type]]="Main Member",Table2[[#This Row],[Product Option]]="My Value Plus Life &amp; Funeral"),Lookups!$D$16,
IF(AND(Table2[[#This Row],[Member Type]]="Spouse",Table2[[#This Row],[Product Option]]="My Value Plus Life &amp; Funeral",_xlfn.XLOOKUP(B621,Table2[Main Member Link ID],Table2[Benefit Name],0)=Lookups!$D$14),"",
IF(AND(Table2[[#This Row],[Member Type]]="Spouse",Table2[[#This Row],[Product Option]]="My Value Plus Life &amp; Funeral",_xlfn.XLOOKUP(B620,Table2[Main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Funeral",_xlfn.XLOOKUP(B621,Table2[Main Member Link ID],Table2[Benefit Name],0)&lt;&gt;Lookups!$D$16),
IF(_xlfn.XLOOKUP(B621,Table2[Main Member Link ID],Table2[Benefit Name],0)=0,"",_xlfn.XLOOKUP(B621,Table2[Main Member Link ID],Table2[Benefit Name],0)),"")
))))</f>
        <v/>
      </c>
      <c r="AH621" s="327" t="str">
        <f>IF(AND(Table2[[#This Row],[Member Type]]="Main Member",Table2[[#This Row],[Product Option]]="My Value Plus Life &amp; Funeral"),Lookups!$D$17,
IF(AND(Table2[[#This Row],[Member Type]]="Spouse",Table2[[#This Row],[Product Option]]="My Value Plus Life &amp; Funeral",_xlfn.XLOOKUP(B621,Table2[Main Member Link ID],Table2[Benefit Name],0)=Lookups!$D$14),"",
IF(AND(Table2[[#This Row],[Member Type]]="Spouse",Table2[[#This Row],[Product Option]]="My Value Plus Life &amp; Funeral",_xlfn.XLOOKUP(B620,Table2[Main Member Link ID],Table2[Benefit Name],0)=Lookups!$D$16),"",
IF(AND(Table2[[#This Row],[Member Type]]="Child",Table2[[#This Row],[Product Option]]="My Value Plus Life &amp; Funeral"),"",
IF(AND(Table2[[#This Row],[Member Type]]="Child",Table2[[#This Row],[Product Option]]="My Value Plus Life &amp; Funeral",_xlfn.XLOOKUP(B621,Table2[Main Member Link ID],Table2[Benefit Name],0)=Lookups!$D$15),"",
IF(AND(OR(Table2[[#This Row],[Member Type]]="Spouse",Table2[[#This Row],[Member Type]]="Child"),Table2[[#This Row],[Product Option]]="My Value Plus Life &amp; Funeral",_xlfn.XLOOKUP(B621,Table2[Main Member Link ID],Table2[Benefit Name],0)&lt;&gt;Lookups!$D$17),
IF(_xlfn.XLOOKUP(B621,Table2[Main Member Link ID],Table2[Benefit Name],0)=0,"",_xlfn.XLOOKUP(B621,Table2[Main Member Link ID],Table2[Benefit Name],0)),""))))))</f>
        <v/>
      </c>
      <c r="AI621" s="328" t="str">
        <f>IF(AND(Table2[[#This Row],[Member Type]]="Main Member",Table2[[#This Row],[Table Lookup for Life Cover]]="MM_LIFE",Table2[[#This Row],[Age Next Birthday]]&lt;56),1,
IF(AND(Table2[[#This Row],[Member Type]]="Main Member",Table2[[#This Row],[Table Lookup for Life Cover]]="MM_LIFE",Table2[[#This Row],[Age Next Birthday]]&gt;=56),2,
""))</f>
        <v/>
      </c>
      <c r="AJ621" s="328">
        <f>IF(OR(Table2[[#This Row],[Member Type]]="Main Member",Table2[[#This Row],[Main Member Link ID]]=B620),1,0)</f>
        <v>1</v>
      </c>
      <c r="AK621" s="328">
        <f>IF(Table2[[#This Row],[Member Type]]=0,0,
IF(OR(Table2[[#This Row],[Member Type]]="Main Member",Table2[[#This Row],[Main Member Link ID]]&lt;&gt;B621),COUNTIFS(B:B,Table2[[#This Row],[Main Member Link ID]]),
COUNTIFS(B:B,Table2[[#This Row],[Main Member Link ID]],A:A,Table2[[#This Row],[Member Type]])))</f>
        <v>0</v>
      </c>
    </row>
    <row r="622" spans="1:37" x14ac:dyDescent="0.3">
      <c r="A622" s="284">
        <f>Table13[[#This Row],[Member Type]]</f>
        <v>0</v>
      </c>
      <c r="B622" s="284">
        <f>Table13[[#This Row],[Main Member Link ID]]</f>
        <v>0</v>
      </c>
      <c r="C622" s="284">
        <f>Table13[[#This Row],[ID Number]]</f>
        <v>0</v>
      </c>
      <c r="D622" s="285">
        <f>Table13[[#This Row],[Date Of Birth]]</f>
        <v>0</v>
      </c>
      <c r="E622" s="285">
        <f>Table13[[#This Row],[Commencement Date]]</f>
        <v>0</v>
      </c>
      <c r="F622" s="284">
        <f t="shared" si="63"/>
        <v>1</v>
      </c>
      <c r="G622" s="284">
        <f t="shared" si="64"/>
        <v>25</v>
      </c>
      <c r="H622" s="286">
        <f>Table13[[#This Row],[Product Option]]</f>
        <v>0</v>
      </c>
      <c r="I622" s="284">
        <f>IF(AND($A622="Main Member",Table2[[#This Row],[Product Option]]="My Value Plus Life"),"MM_LIFE",
IF(AND($A622="Spouse",Table2[[#This Row],[Product Option]]="My Value Plus Life"),"SP_LIFE",
IF(AND($A622="Main Member",Table2[[#This Row],[Product Option]]="My Value Plus Life &amp; Funeral"),"MM_LIFE",
IF(AND($A622="Spouse",Table2[[#This Row],[Product Option]]="My Value Plus Life &amp; Funeral"),_xlfn.XLOOKUP(Table2[[#This Row],[Benefit Name]],Lookups!$D$18:$D$23,Lookups!$E$18:$E$23,0),
0))))</f>
        <v>0</v>
      </c>
      <c r="J622" s="284">
        <f>IF($I622="","",
IF($I622="MM_LIFE",INDEX('Quotation Tool'!$S$54:$V$60,MATCH($T622,'Quotation Tool'!$S$54:$S$60,0),4),
IF($I622="SP_LIFE",_xlfn.XLOOKUP(B621,$B:$B,$J:$J,0),0)))</f>
        <v>0</v>
      </c>
      <c r="K622" s="287">
        <f t="shared" ca="1" si="68"/>
        <v>0</v>
      </c>
      <c r="L622" s="288">
        <f t="shared" ca="1" si="69"/>
        <v>0</v>
      </c>
      <c r="M622" s="289">
        <f t="shared" ca="1" si="65"/>
        <v>0</v>
      </c>
      <c r="N622" s="286">
        <f>Table13[[#This Row],[Benefit Option]]</f>
        <v>0</v>
      </c>
      <c r="O622" s="284">
        <f>IF(OR(Table2[[#This Row],[Member Type]]="Spouse",Table2[[#This Row],[Member Type]]="Child"),0,
IF(_xlfn.XLOOKUP($N622,Lookups!$D$13:$D$27,Lookups!$F$13:$F$27,0)=Table2[[#This Row],[Table Lookup for Life Cover]],0,
_xlfn.XLOOKUP($N622,Lookups!$D$13:$D$27,Lookups!$F$13:$F$27,0)))</f>
        <v>0</v>
      </c>
      <c r="P622" s="284">
        <f>IF(Table2[[#This Row],[Table Lookup for Funeral]]=0,0,IFERROR(INDEX('Quotation Tool'!$S$54:$V$60,MATCH($T622,'Quotation Tool'!$S$54:$S$60,0),3),0))</f>
        <v>0</v>
      </c>
      <c r="Q622" s="288">
        <f ca="1">IF(OR(Table2[[#This Row],[Benefit Name]]="My Value Plus Life - Main Member",Table2[[#This Row],[Benefit Name]]="My Value Plus Life - Spouse"),0,
IFERROR(VLOOKUP($G622,INDIRECT($O622),$P622,FALSE),0))</f>
        <v>0</v>
      </c>
      <c r="R622" s="288">
        <f ca="1">IF(OR(Table2[[#This Row],[Benefit Name]]="My Value Plus Life - Main Member",Table2[[#This Row],[Benefit Name]]="My Value Plus Life - Spouse"),0,
IFERROR(VLOOKUP($G622,INDIRECT($O622),$P622+1,FALSE),0))</f>
        <v>0</v>
      </c>
      <c r="S622" s="289">
        <f t="shared" ca="1" si="66"/>
        <v>0</v>
      </c>
      <c r="T622" s="284" t="str">
        <f>IF(Table13[[#This Row],[Premium Waiver]]="","None",Table13[[#This Row],[Premium Waiver]])</f>
        <v>None</v>
      </c>
      <c r="U622" s="284">
        <f>Table13[[#This Row],[VAPs Options]]</f>
        <v>0</v>
      </c>
      <c r="V622" s="284">
        <f>Table13[[#This Row],[Annual Increase Option]]</f>
        <v>0</v>
      </c>
      <c r="W622" s="290">
        <f>Table13[[#This Row],[Life Cover Amount]]</f>
        <v>0</v>
      </c>
      <c r="X622" s="290">
        <f>Table13[[#This Row],[Funeral Cover Amount]]</f>
        <v>0</v>
      </c>
      <c r="Y62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2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22" s="301">
        <f t="shared" ca="1" si="67"/>
        <v>0</v>
      </c>
      <c r="AB622" s="298"/>
      <c r="AC622" s="326" t="str">
        <f>IF(Table2[[#This Row],[Member Type]]="Main Member",Lookups!$C$13,
IF(Table2[[#This Row],[Member Type]]="Spouse",_xlfn.XLOOKUP(B622,Table2[Main Member Link ID],Table2[Product Option],0),
IF(AND(Table2[[#This Row],[Member Type]]="Child",_xlfn.XLOOKUP(B622,Table2[Main Member Link ID],Table2[Product Option],0)&lt;&gt;"My Value Plus Life"),Lookups!$C$24,
IF(AND(OR(Table2[[#This Row],[Member Type]]="Parent",Table2[[#This Row],[Member Type]]="Extended"),_xlfn.XLOOKUP(B622,Table2[Main Member Link ID],Table2[Product Option],0)&lt;&gt;"My Value Plus Life"),Lookups!$C$26,""))))</f>
        <v/>
      </c>
      <c r="AD622" s="326" t="str">
        <f>IF(Table2[[#This Row],[Member Type]]="Main Member",Lookups!$C$14,"")</f>
        <v/>
      </c>
      <c r="AE62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Funeral",_xlfn.XLOOKUP(B622,Table2[Main Member Link ID],Table2[Benefit Name],0)=Lookups!$D$14),"",
IF(AND(Table2[[#This Row],[Member Type]]="Spouse",Table2[[#This Row],[Product Option]]="My Value Plus Life &amp; Funeral",_xlfn.XLOOKUP(B621,Table2[Main Member Link ID],Table2[Benefit Name],0)=Lookups!$D$15),Lookups!$D$20,
IF(AND(Table2[[#This Row],[Member Type]]="Spouse",Table2[[#This Row],[Product Option]]="My Value Plus Life &amp; Funeral",_xlfn.XLOOKUP(B621,Table2[Main Member Link ID],Table2[Benefit Name],0)=Lookups!$D$16),"",
IF(AND(Table2[[#This Row],[Member Type]]="Spouse",Table2[[#This Row],[Product Option]]="My Value Plus Life &amp; Funeral",_xlfn.XLOOKUP(B621,Table2[Main Member Link ID],Table2[Benefit Name],0)=Lookups!$D$17),Lookups!$D$21,
IF(AND(Table2[[#This Row],[Member Type]]="Child",Table2[[#This Row],[Product Option]]="My Value Plus Life &amp; Funeral",_xlfn.XLOOKUP(B622,Table2[Main Member Link ID],Table2[Benefit Name],0)=Lookups!$D$14),"",
IF(AND(Table2[[#This Row],[Member Type]]="Child",Table2[[#This Row],[Product Option]]="My Value Plus Life &amp; Funeral",_xlfn.XLOOKUP(B622,Table2[Main Member Link ID],Table2[Benefit Name],0)=Lookups!$D$15),"",
IF(AND(Table2[[#This Row],[Member Type]]="Child",Table2[[#This Row],[Product Option]]="My Value Plus Life &amp; Funeral",_xlfn.XLOOKUP(B622,Table2[Main Member Link ID],Table2[Benefit Name],0)=Lookups!$D$16),Lookups!$D$24,
IF(AND(Table2[[#This Row],[Member Type]]="Child",Table2[[#This Row],[Product Option]]="My Value Plus Life &amp; Funeral",_xlfn.XLOOKUP(B622,Table2[Main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Funeral",_xlfn.XLOOKUP(B622,Table2[Main Member Link ID],Table2[Benefit Name],0)&lt;&gt;Lookups!$D$14),
IF(_xlfn.XLOOKUP(B622,Table2[Main Member Link ID],Table2[Benefit Name],0)=0,"",_xlfn.XLOOKUP(B622,Table2[Main Member Link ID],Table2[Benefit Name],0)),"")))))))))))))))</f>
        <v/>
      </c>
      <c r="AF622" s="327" t="str">
        <f>IF(AND(Table2[[#This Row],[Member Type]]="Main Member",Table2[[#This Row],[Product Option]]="My Value Plus Life &amp; Funeral"),Lookups!$D$15,
IF(AND(Table2[[#This Row],[Member Type]]="Spouse",Table2[[#This Row],[Product Option]]="My Value Plus Life &amp; Funeral",_xlfn.XLOOKUP(B622,Table2[Main Member Link ID],Table2[Benefit Name],0)=Lookups!$D$14),"",
IF(AND(Table2[[#This Row],[Member Type]]="Spouse",Table2[[#This Row],[Product Option]]="My Value Plus Life &amp; Funeral",_xlfn.XLOOKUP(B621,Table2[Main Member Link ID],Table2[Benefit Name],0)=Lookups!$D$16),"",
IF(AND(Table2[[#This Row],[Member Type]]="Spouse",Table2[[#This Row],[Product Option]]="My Value Plus Life &amp; Funeral",_xlfn.XLOOKUP(B621,Table2[Main Member Link ID],Table2[Benefit Name],0)=Lookups!$D$15),"",
IF(AND(Table2[[#This Row],[Member Type]]="Spouse",Table2[[#This Row],[Product Option]]="My Value Plus Life &amp; Funeral",_xlfn.XLOOKUP(B621,Table2[Main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Funeral",_xlfn.XLOOKUP(B622,Table2[Main Member Link ID],Table2[Benefit Name],0)&lt;&gt;Lookups!$D$15),
IF(_xlfn.XLOOKUP(B622,Table2[Main Member Link ID],Table2[Benefit Name],0)=0,"",_xlfn.XLOOKUP(B622,Table2[Main Member Link ID],Table2[Benefit Name],0)),"")
))))))</f>
        <v/>
      </c>
      <c r="AG622" s="327" t="str">
        <f>IF(AND(Table2[[#This Row],[Member Type]]="Main Member",Table2[[#This Row],[Product Option]]="My Value Plus Life &amp; Funeral"),Lookups!$D$16,
IF(AND(Table2[[#This Row],[Member Type]]="Spouse",Table2[[#This Row],[Product Option]]="My Value Plus Life &amp; Funeral",_xlfn.XLOOKUP(B622,Table2[Main Member Link ID],Table2[Benefit Name],0)=Lookups!$D$14),"",
IF(AND(Table2[[#This Row],[Member Type]]="Spouse",Table2[[#This Row],[Product Option]]="My Value Plus Life &amp; Funeral",_xlfn.XLOOKUP(B621,Table2[Main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Funeral",_xlfn.XLOOKUP(B622,Table2[Main Member Link ID],Table2[Benefit Name],0)&lt;&gt;Lookups!$D$16),
IF(_xlfn.XLOOKUP(B622,Table2[Main Member Link ID],Table2[Benefit Name],0)=0,"",_xlfn.XLOOKUP(B622,Table2[Main Member Link ID],Table2[Benefit Name],0)),"")
))))</f>
        <v/>
      </c>
      <c r="AH622" s="327" t="str">
        <f>IF(AND(Table2[[#This Row],[Member Type]]="Main Member",Table2[[#This Row],[Product Option]]="My Value Plus Life &amp; Funeral"),Lookups!$D$17,
IF(AND(Table2[[#This Row],[Member Type]]="Spouse",Table2[[#This Row],[Product Option]]="My Value Plus Life &amp; Funeral",_xlfn.XLOOKUP(B622,Table2[Main Member Link ID],Table2[Benefit Name],0)=Lookups!$D$14),"",
IF(AND(Table2[[#This Row],[Member Type]]="Spouse",Table2[[#This Row],[Product Option]]="My Value Plus Life &amp; Funeral",_xlfn.XLOOKUP(B621,Table2[Main Member Link ID],Table2[Benefit Name],0)=Lookups!$D$16),"",
IF(AND(Table2[[#This Row],[Member Type]]="Child",Table2[[#This Row],[Product Option]]="My Value Plus Life &amp; Funeral"),"",
IF(AND(Table2[[#This Row],[Member Type]]="Child",Table2[[#This Row],[Product Option]]="My Value Plus Life &amp; Funeral",_xlfn.XLOOKUP(B622,Table2[Main Member Link ID],Table2[Benefit Name],0)=Lookups!$D$15),"",
IF(AND(OR(Table2[[#This Row],[Member Type]]="Spouse",Table2[[#This Row],[Member Type]]="Child"),Table2[[#This Row],[Product Option]]="My Value Plus Life &amp; Funeral",_xlfn.XLOOKUP(B622,Table2[Main Member Link ID],Table2[Benefit Name],0)&lt;&gt;Lookups!$D$17),
IF(_xlfn.XLOOKUP(B622,Table2[Main Member Link ID],Table2[Benefit Name],0)=0,"",_xlfn.XLOOKUP(B622,Table2[Main Member Link ID],Table2[Benefit Name],0)),""))))))</f>
        <v/>
      </c>
      <c r="AI622" s="328" t="str">
        <f>IF(AND(Table2[[#This Row],[Member Type]]="Main Member",Table2[[#This Row],[Table Lookup for Life Cover]]="MM_LIFE",Table2[[#This Row],[Age Next Birthday]]&lt;56),1,
IF(AND(Table2[[#This Row],[Member Type]]="Main Member",Table2[[#This Row],[Table Lookup for Life Cover]]="MM_LIFE",Table2[[#This Row],[Age Next Birthday]]&gt;=56),2,
""))</f>
        <v/>
      </c>
      <c r="AJ622" s="328">
        <f>IF(OR(Table2[[#This Row],[Member Type]]="Main Member",Table2[[#This Row],[Main Member Link ID]]=B621),1,0)</f>
        <v>1</v>
      </c>
      <c r="AK622" s="328">
        <f>IF(Table2[[#This Row],[Member Type]]=0,0,
IF(OR(Table2[[#This Row],[Member Type]]="Main Member",Table2[[#This Row],[Main Member Link ID]]&lt;&gt;B622),COUNTIFS(B:B,Table2[[#This Row],[Main Member Link ID]]),
COUNTIFS(B:B,Table2[[#This Row],[Main Member Link ID]],A:A,Table2[[#This Row],[Member Type]])))</f>
        <v>0</v>
      </c>
    </row>
    <row r="623" spans="1:37" x14ac:dyDescent="0.3">
      <c r="A623" s="284">
        <f>Table13[[#This Row],[Member Type]]</f>
        <v>0</v>
      </c>
      <c r="B623" s="284">
        <f>Table13[[#This Row],[Main Member Link ID]]</f>
        <v>0</v>
      </c>
      <c r="C623" s="284">
        <f>Table13[[#This Row],[ID Number]]</f>
        <v>0</v>
      </c>
      <c r="D623" s="285">
        <f>Table13[[#This Row],[Date Of Birth]]</f>
        <v>0</v>
      </c>
      <c r="E623" s="285">
        <f>Table13[[#This Row],[Commencement Date]]</f>
        <v>0</v>
      </c>
      <c r="F623" s="284">
        <f t="shared" si="63"/>
        <v>1</v>
      </c>
      <c r="G623" s="284">
        <f t="shared" si="64"/>
        <v>25</v>
      </c>
      <c r="H623" s="286">
        <f>Table13[[#This Row],[Product Option]]</f>
        <v>0</v>
      </c>
      <c r="I623" s="284">
        <f>IF(AND($A623="Main Member",Table2[[#This Row],[Product Option]]="My Value Plus Life"),"MM_LIFE",
IF(AND($A623="Spouse",Table2[[#This Row],[Product Option]]="My Value Plus Life"),"SP_LIFE",
IF(AND($A623="Main Member",Table2[[#This Row],[Product Option]]="My Value Plus Life &amp; Funeral"),"MM_LIFE",
IF(AND($A623="Spouse",Table2[[#This Row],[Product Option]]="My Value Plus Life &amp; Funeral"),_xlfn.XLOOKUP(Table2[[#This Row],[Benefit Name]],Lookups!$D$18:$D$23,Lookups!$E$18:$E$23,0),
0))))</f>
        <v>0</v>
      </c>
      <c r="J623" s="284">
        <f>IF($I623="","",
IF($I623="MM_LIFE",INDEX('Quotation Tool'!$S$54:$V$60,MATCH($T623,'Quotation Tool'!$S$54:$S$60,0),4),
IF($I623="SP_LIFE",_xlfn.XLOOKUP(B622,$B:$B,$J:$J,0),0)))</f>
        <v>0</v>
      </c>
      <c r="K623" s="287">
        <f t="shared" ca="1" si="68"/>
        <v>0</v>
      </c>
      <c r="L623" s="288">
        <f t="shared" ca="1" si="69"/>
        <v>0</v>
      </c>
      <c r="M623" s="289">
        <f t="shared" ca="1" si="65"/>
        <v>0</v>
      </c>
      <c r="N623" s="286">
        <f>Table13[[#This Row],[Benefit Option]]</f>
        <v>0</v>
      </c>
      <c r="O623" s="284">
        <f>IF(OR(Table2[[#This Row],[Member Type]]="Spouse",Table2[[#This Row],[Member Type]]="Child"),0,
IF(_xlfn.XLOOKUP($N623,Lookups!$D$13:$D$27,Lookups!$F$13:$F$27,0)=Table2[[#This Row],[Table Lookup for Life Cover]],0,
_xlfn.XLOOKUP($N623,Lookups!$D$13:$D$27,Lookups!$F$13:$F$27,0)))</f>
        <v>0</v>
      </c>
      <c r="P623" s="284">
        <f>IF(Table2[[#This Row],[Table Lookup for Funeral]]=0,0,IFERROR(INDEX('Quotation Tool'!$S$54:$V$60,MATCH($T623,'Quotation Tool'!$S$54:$S$60,0),3),0))</f>
        <v>0</v>
      </c>
      <c r="Q623" s="288">
        <f ca="1">IF(OR(Table2[[#This Row],[Benefit Name]]="My Value Plus Life - Main Member",Table2[[#This Row],[Benefit Name]]="My Value Plus Life - Spouse"),0,
IFERROR(VLOOKUP($G623,INDIRECT($O623),$P623,FALSE),0))</f>
        <v>0</v>
      </c>
      <c r="R623" s="288">
        <f ca="1">IF(OR(Table2[[#This Row],[Benefit Name]]="My Value Plus Life - Main Member",Table2[[#This Row],[Benefit Name]]="My Value Plus Life - Spouse"),0,
IFERROR(VLOOKUP($G623,INDIRECT($O623),$P623+1,FALSE),0))</f>
        <v>0</v>
      </c>
      <c r="S623" s="289">
        <f t="shared" ca="1" si="66"/>
        <v>0</v>
      </c>
      <c r="T623" s="284" t="str">
        <f>IF(Table13[[#This Row],[Premium Waiver]]="","None",Table13[[#This Row],[Premium Waiver]])</f>
        <v>None</v>
      </c>
      <c r="U623" s="284">
        <f>Table13[[#This Row],[VAPs Options]]</f>
        <v>0</v>
      </c>
      <c r="V623" s="284">
        <f>Table13[[#This Row],[Annual Increase Option]]</f>
        <v>0</v>
      </c>
      <c r="W623" s="290">
        <f>Table13[[#This Row],[Life Cover Amount]]</f>
        <v>0</v>
      </c>
      <c r="X623" s="290">
        <f>Table13[[#This Row],[Funeral Cover Amount]]</f>
        <v>0</v>
      </c>
      <c r="Y62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2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23" s="301">
        <f t="shared" ca="1" si="67"/>
        <v>0</v>
      </c>
      <c r="AB623" s="298"/>
      <c r="AC623" s="326" t="str">
        <f>IF(Table2[[#This Row],[Member Type]]="Main Member",Lookups!$C$13,
IF(Table2[[#This Row],[Member Type]]="Spouse",_xlfn.XLOOKUP(B623,Table2[Main Member Link ID],Table2[Product Option],0),
IF(AND(Table2[[#This Row],[Member Type]]="Child",_xlfn.XLOOKUP(B623,Table2[Main Member Link ID],Table2[Product Option],0)&lt;&gt;"My Value Plus Life"),Lookups!$C$24,
IF(AND(OR(Table2[[#This Row],[Member Type]]="Parent",Table2[[#This Row],[Member Type]]="Extended"),_xlfn.XLOOKUP(B623,Table2[Main Member Link ID],Table2[Product Option],0)&lt;&gt;"My Value Plus Life"),Lookups!$C$26,""))))</f>
        <v/>
      </c>
      <c r="AD623" s="326" t="str">
        <f>IF(Table2[[#This Row],[Member Type]]="Main Member",Lookups!$C$14,"")</f>
        <v/>
      </c>
      <c r="AE62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Funeral",_xlfn.XLOOKUP(B623,Table2[Main Member Link ID],Table2[Benefit Name],0)=Lookups!$D$14),"",
IF(AND(Table2[[#This Row],[Member Type]]="Spouse",Table2[[#This Row],[Product Option]]="My Value Plus Life &amp; Funeral",_xlfn.XLOOKUP(B622,Table2[Main Member Link ID],Table2[Benefit Name],0)=Lookups!$D$15),Lookups!$D$20,
IF(AND(Table2[[#This Row],[Member Type]]="Spouse",Table2[[#This Row],[Product Option]]="My Value Plus Life &amp; Funeral",_xlfn.XLOOKUP(B622,Table2[Main Member Link ID],Table2[Benefit Name],0)=Lookups!$D$16),"",
IF(AND(Table2[[#This Row],[Member Type]]="Spouse",Table2[[#This Row],[Product Option]]="My Value Plus Life &amp; Funeral",_xlfn.XLOOKUP(B622,Table2[Main Member Link ID],Table2[Benefit Name],0)=Lookups!$D$17),Lookups!$D$21,
IF(AND(Table2[[#This Row],[Member Type]]="Child",Table2[[#This Row],[Product Option]]="My Value Plus Life &amp; Funeral",_xlfn.XLOOKUP(B623,Table2[Main Member Link ID],Table2[Benefit Name],0)=Lookups!$D$14),"",
IF(AND(Table2[[#This Row],[Member Type]]="Child",Table2[[#This Row],[Product Option]]="My Value Plus Life &amp; Funeral",_xlfn.XLOOKUP(B623,Table2[Main Member Link ID],Table2[Benefit Name],0)=Lookups!$D$15),"",
IF(AND(Table2[[#This Row],[Member Type]]="Child",Table2[[#This Row],[Product Option]]="My Value Plus Life &amp; Funeral",_xlfn.XLOOKUP(B623,Table2[Main Member Link ID],Table2[Benefit Name],0)=Lookups!$D$16),Lookups!$D$24,
IF(AND(Table2[[#This Row],[Member Type]]="Child",Table2[[#This Row],[Product Option]]="My Value Plus Life &amp; Funeral",_xlfn.XLOOKUP(B623,Table2[Main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Funeral",_xlfn.XLOOKUP(B623,Table2[Main Member Link ID],Table2[Benefit Name],0)&lt;&gt;Lookups!$D$14),
IF(_xlfn.XLOOKUP(B623,Table2[Main Member Link ID],Table2[Benefit Name],0)=0,"",_xlfn.XLOOKUP(B623,Table2[Main Member Link ID],Table2[Benefit Name],0)),"")))))))))))))))</f>
        <v/>
      </c>
      <c r="AF623" s="327" t="str">
        <f>IF(AND(Table2[[#This Row],[Member Type]]="Main Member",Table2[[#This Row],[Product Option]]="My Value Plus Life &amp; Funeral"),Lookups!$D$15,
IF(AND(Table2[[#This Row],[Member Type]]="Spouse",Table2[[#This Row],[Product Option]]="My Value Plus Life &amp; Funeral",_xlfn.XLOOKUP(B623,Table2[Main Member Link ID],Table2[Benefit Name],0)=Lookups!$D$14),"",
IF(AND(Table2[[#This Row],[Member Type]]="Spouse",Table2[[#This Row],[Product Option]]="My Value Plus Life &amp; Funeral",_xlfn.XLOOKUP(B622,Table2[Main Member Link ID],Table2[Benefit Name],0)=Lookups!$D$16),"",
IF(AND(Table2[[#This Row],[Member Type]]="Spouse",Table2[[#This Row],[Product Option]]="My Value Plus Life &amp; Funeral",_xlfn.XLOOKUP(B622,Table2[Main Member Link ID],Table2[Benefit Name],0)=Lookups!$D$15),"",
IF(AND(Table2[[#This Row],[Member Type]]="Spouse",Table2[[#This Row],[Product Option]]="My Value Plus Life &amp; Funeral",_xlfn.XLOOKUP(B622,Table2[Main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Funeral",_xlfn.XLOOKUP(B623,Table2[Main Member Link ID],Table2[Benefit Name],0)&lt;&gt;Lookups!$D$15),
IF(_xlfn.XLOOKUP(B623,Table2[Main Member Link ID],Table2[Benefit Name],0)=0,"",_xlfn.XLOOKUP(B623,Table2[Main Member Link ID],Table2[Benefit Name],0)),"")
))))))</f>
        <v/>
      </c>
      <c r="AG623" s="327" t="str">
        <f>IF(AND(Table2[[#This Row],[Member Type]]="Main Member",Table2[[#This Row],[Product Option]]="My Value Plus Life &amp; Funeral"),Lookups!$D$16,
IF(AND(Table2[[#This Row],[Member Type]]="Spouse",Table2[[#This Row],[Product Option]]="My Value Plus Life &amp; Funeral",_xlfn.XLOOKUP(B623,Table2[Main Member Link ID],Table2[Benefit Name],0)=Lookups!$D$14),"",
IF(AND(Table2[[#This Row],[Member Type]]="Spouse",Table2[[#This Row],[Product Option]]="My Value Plus Life &amp; Funeral",_xlfn.XLOOKUP(B622,Table2[Main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Funeral",_xlfn.XLOOKUP(B623,Table2[Main Member Link ID],Table2[Benefit Name],0)&lt;&gt;Lookups!$D$16),
IF(_xlfn.XLOOKUP(B623,Table2[Main Member Link ID],Table2[Benefit Name],0)=0,"",_xlfn.XLOOKUP(B623,Table2[Main Member Link ID],Table2[Benefit Name],0)),"")
))))</f>
        <v/>
      </c>
      <c r="AH623" s="327" t="str">
        <f>IF(AND(Table2[[#This Row],[Member Type]]="Main Member",Table2[[#This Row],[Product Option]]="My Value Plus Life &amp; Funeral"),Lookups!$D$17,
IF(AND(Table2[[#This Row],[Member Type]]="Spouse",Table2[[#This Row],[Product Option]]="My Value Plus Life &amp; Funeral",_xlfn.XLOOKUP(B623,Table2[Main Member Link ID],Table2[Benefit Name],0)=Lookups!$D$14),"",
IF(AND(Table2[[#This Row],[Member Type]]="Spouse",Table2[[#This Row],[Product Option]]="My Value Plus Life &amp; Funeral",_xlfn.XLOOKUP(B622,Table2[Main Member Link ID],Table2[Benefit Name],0)=Lookups!$D$16),"",
IF(AND(Table2[[#This Row],[Member Type]]="Child",Table2[[#This Row],[Product Option]]="My Value Plus Life &amp; Funeral"),"",
IF(AND(Table2[[#This Row],[Member Type]]="Child",Table2[[#This Row],[Product Option]]="My Value Plus Life &amp; Funeral",_xlfn.XLOOKUP(B623,Table2[Main Member Link ID],Table2[Benefit Name],0)=Lookups!$D$15),"",
IF(AND(OR(Table2[[#This Row],[Member Type]]="Spouse",Table2[[#This Row],[Member Type]]="Child"),Table2[[#This Row],[Product Option]]="My Value Plus Life &amp; Funeral",_xlfn.XLOOKUP(B623,Table2[Main Member Link ID],Table2[Benefit Name],0)&lt;&gt;Lookups!$D$17),
IF(_xlfn.XLOOKUP(B623,Table2[Main Member Link ID],Table2[Benefit Name],0)=0,"",_xlfn.XLOOKUP(B623,Table2[Main Member Link ID],Table2[Benefit Name],0)),""))))))</f>
        <v/>
      </c>
      <c r="AI623" s="328" t="str">
        <f>IF(AND(Table2[[#This Row],[Member Type]]="Main Member",Table2[[#This Row],[Table Lookup for Life Cover]]="MM_LIFE",Table2[[#This Row],[Age Next Birthday]]&lt;56),1,
IF(AND(Table2[[#This Row],[Member Type]]="Main Member",Table2[[#This Row],[Table Lookup for Life Cover]]="MM_LIFE",Table2[[#This Row],[Age Next Birthday]]&gt;=56),2,
""))</f>
        <v/>
      </c>
      <c r="AJ623" s="328">
        <f>IF(OR(Table2[[#This Row],[Member Type]]="Main Member",Table2[[#This Row],[Main Member Link ID]]=B622),1,0)</f>
        <v>1</v>
      </c>
      <c r="AK623" s="328">
        <f>IF(Table2[[#This Row],[Member Type]]=0,0,
IF(OR(Table2[[#This Row],[Member Type]]="Main Member",Table2[[#This Row],[Main Member Link ID]]&lt;&gt;B623),COUNTIFS(B:B,Table2[[#This Row],[Main Member Link ID]]),
COUNTIFS(B:B,Table2[[#This Row],[Main Member Link ID]],A:A,Table2[[#This Row],[Member Type]])))</f>
        <v>0</v>
      </c>
    </row>
    <row r="624" spans="1:37" x14ac:dyDescent="0.3">
      <c r="A624" s="284">
        <f>Table13[[#This Row],[Member Type]]</f>
        <v>0</v>
      </c>
      <c r="B624" s="284">
        <f>Table13[[#This Row],[Main Member Link ID]]</f>
        <v>0</v>
      </c>
      <c r="C624" s="284">
        <f>Table13[[#This Row],[ID Number]]</f>
        <v>0</v>
      </c>
      <c r="D624" s="285">
        <f>Table13[[#This Row],[Date Of Birth]]</f>
        <v>0</v>
      </c>
      <c r="E624" s="285">
        <f>Table13[[#This Row],[Commencement Date]]</f>
        <v>0</v>
      </c>
      <c r="F624" s="284">
        <f t="shared" si="63"/>
        <v>1</v>
      </c>
      <c r="G624" s="284">
        <f t="shared" si="64"/>
        <v>25</v>
      </c>
      <c r="H624" s="286">
        <f>Table13[[#This Row],[Product Option]]</f>
        <v>0</v>
      </c>
      <c r="I624" s="284">
        <f>IF(AND($A624="Main Member",Table2[[#This Row],[Product Option]]="My Value Plus Life"),"MM_LIFE",
IF(AND($A624="Spouse",Table2[[#This Row],[Product Option]]="My Value Plus Life"),"SP_LIFE",
IF(AND($A624="Main Member",Table2[[#This Row],[Product Option]]="My Value Plus Life &amp; Funeral"),"MM_LIFE",
IF(AND($A624="Spouse",Table2[[#This Row],[Product Option]]="My Value Plus Life &amp; Funeral"),_xlfn.XLOOKUP(Table2[[#This Row],[Benefit Name]],Lookups!$D$18:$D$23,Lookups!$E$18:$E$23,0),
0))))</f>
        <v>0</v>
      </c>
      <c r="J624" s="284">
        <f>IF($I624="","",
IF($I624="MM_LIFE",INDEX('Quotation Tool'!$S$54:$V$60,MATCH($T624,'Quotation Tool'!$S$54:$S$60,0),4),
IF($I624="SP_LIFE",_xlfn.XLOOKUP(B623,$B:$B,$J:$J,0),0)))</f>
        <v>0</v>
      </c>
      <c r="K624" s="287">
        <f t="shared" ca="1" si="68"/>
        <v>0</v>
      </c>
      <c r="L624" s="288">
        <f t="shared" ca="1" si="69"/>
        <v>0</v>
      </c>
      <c r="M624" s="289">
        <f t="shared" ca="1" si="65"/>
        <v>0</v>
      </c>
      <c r="N624" s="286">
        <f>Table13[[#This Row],[Benefit Option]]</f>
        <v>0</v>
      </c>
      <c r="O624" s="284">
        <f>IF(OR(Table2[[#This Row],[Member Type]]="Spouse",Table2[[#This Row],[Member Type]]="Child"),0,
IF(_xlfn.XLOOKUP($N624,Lookups!$D$13:$D$27,Lookups!$F$13:$F$27,0)=Table2[[#This Row],[Table Lookup for Life Cover]],0,
_xlfn.XLOOKUP($N624,Lookups!$D$13:$D$27,Lookups!$F$13:$F$27,0)))</f>
        <v>0</v>
      </c>
      <c r="P624" s="284">
        <f>IF(Table2[[#This Row],[Table Lookup for Funeral]]=0,0,IFERROR(INDEX('Quotation Tool'!$S$54:$V$60,MATCH($T624,'Quotation Tool'!$S$54:$S$60,0),3),0))</f>
        <v>0</v>
      </c>
      <c r="Q624" s="288">
        <f ca="1">IF(OR(Table2[[#This Row],[Benefit Name]]="My Value Plus Life - Main Member",Table2[[#This Row],[Benefit Name]]="My Value Plus Life - Spouse"),0,
IFERROR(VLOOKUP($G624,INDIRECT($O624),$P624,FALSE),0))</f>
        <v>0</v>
      </c>
      <c r="R624" s="288">
        <f ca="1">IF(OR(Table2[[#This Row],[Benefit Name]]="My Value Plus Life - Main Member",Table2[[#This Row],[Benefit Name]]="My Value Plus Life - Spouse"),0,
IFERROR(VLOOKUP($G624,INDIRECT($O624),$P624+1,FALSE),0))</f>
        <v>0</v>
      </c>
      <c r="S624" s="289">
        <f t="shared" ca="1" si="66"/>
        <v>0</v>
      </c>
      <c r="T624" s="284" t="str">
        <f>IF(Table13[[#This Row],[Premium Waiver]]="","None",Table13[[#This Row],[Premium Waiver]])</f>
        <v>None</v>
      </c>
      <c r="U624" s="284">
        <f>Table13[[#This Row],[VAPs Options]]</f>
        <v>0</v>
      </c>
      <c r="V624" s="284">
        <f>Table13[[#This Row],[Annual Increase Option]]</f>
        <v>0</v>
      </c>
      <c r="W624" s="290">
        <f>Table13[[#This Row],[Life Cover Amount]]</f>
        <v>0</v>
      </c>
      <c r="X624" s="290">
        <f>Table13[[#This Row],[Funeral Cover Amount]]</f>
        <v>0</v>
      </c>
      <c r="Y62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2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24" s="301">
        <f t="shared" ca="1" si="67"/>
        <v>0</v>
      </c>
      <c r="AB624" s="298"/>
      <c r="AC624" s="326" t="str">
        <f>IF(Table2[[#This Row],[Member Type]]="Main Member",Lookups!$C$13,
IF(Table2[[#This Row],[Member Type]]="Spouse",_xlfn.XLOOKUP(B624,Table2[Main Member Link ID],Table2[Product Option],0),
IF(AND(Table2[[#This Row],[Member Type]]="Child",_xlfn.XLOOKUP(B624,Table2[Main Member Link ID],Table2[Product Option],0)&lt;&gt;"My Value Plus Life"),Lookups!$C$24,
IF(AND(OR(Table2[[#This Row],[Member Type]]="Parent",Table2[[#This Row],[Member Type]]="Extended"),_xlfn.XLOOKUP(B624,Table2[Main Member Link ID],Table2[Product Option],0)&lt;&gt;"My Value Plus Life"),Lookups!$C$26,""))))</f>
        <v/>
      </c>
      <c r="AD624" s="326" t="str">
        <f>IF(Table2[[#This Row],[Member Type]]="Main Member",Lookups!$C$14,"")</f>
        <v/>
      </c>
      <c r="AE62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Funeral",_xlfn.XLOOKUP(B624,Table2[Main Member Link ID],Table2[Benefit Name],0)=Lookups!$D$14),"",
IF(AND(Table2[[#This Row],[Member Type]]="Spouse",Table2[[#This Row],[Product Option]]="My Value Plus Life &amp; Funeral",_xlfn.XLOOKUP(B623,Table2[Main Member Link ID],Table2[Benefit Name],0)=Lookups!$D$15),Lookups!$D$20,
IF(AND(Table2[[#This Row],[Member Type]]="Spouse",Table2[[#This Row],[Product Option]]="My Value Plus Life &amp; Funeral",_xlfn.XLOOKUP(B623,Table2[Main Member Link ID],Table2[Benefit Name],0)=Lookups!$D$16),"",
IF(AND(Table2[[#This Row],[Member Type]]="Spouse",Table2[[#This Row],[Product Option]]="My Value Plus Life &amp; Funeral",_xlfn.XLOOKUP(B623,Table2[Main Member Link ID],Table2[Benefit Name],0)=Lookups!$D$17),Lookups!$D$21,
IF(AND(Table2[[#This Row],[Member Type]]="Child",Table2[[#This Row],[Product Option]]="My Value Plus Life &amp; Funeral",_xlfn.XLOOKUP(B624,Table2[Main Member Link ID],Table2[Benefit Name],0)=Lookups!$D$14),"",
IF(AND(Table2[[#This Row],[Member Type]]="Child",Table2[[#This Row],[Product Option]]="My Value Plus Life &amp; Funeral",_xlfn.XLOOKUP(B624,Table2[Main Member Link ID],Table2[Benefit Name],0)=Lookups!$D$15),"",
IF(AND(Table2[[#This Row],[Member Type]]="Child",Table2[[#This Row],[Product Option]]="My Value Plus Life &amp; Funeral",_xlfn.XLOOKUP(B624,Table2[Main Member Link ID],Table2[Benefit Name],0)=Lookups!$D$16),Lookups!$D$24,
IF(AND(Table2[[#This Row],[Member Type]]="Child",Table2[[#This Row],[Product Option]]="My Value Plus Life &amp; Funeral",_xlfn.XLOOKUP(B624,Table2[Main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Funeral",_xlfn.XLOOKUP(B624,Table2[Main Member Link ID],Table2[Benefit Name],0)&lt;&gt;Lookups!$D$14),
IF(_xlfn.XLOOKUP(B624,Table2[Main Member Link ID],Table2[Benefit Name],0)=0,"",_xlfn.XLOOKUP(B624,Table2[Main Member Link ID],Table2[Benefit Name],0)),"")))))))))))))))</f>
        <v/>
      </c>
      <c r="AF624" s="327" t="str">
        <f>IF(AND(Table2[[#This Row],[Member Type]]="Main Member",Table2[[#This Row],[Product Option]]="My Value Plus Life &amp; Funeral"),Lookups!$D$15,
IF(AND(Table2[[#This Row],[Member Type]]="Spouse",Table2[[#This Row],[Product Option]]="My Value Plus Life &amp; Funeral",_xlfn.XLOOKUP(B624,Table2[Main Member Link ID],Table2[Benefit Name],0)=Lookups!$D$14),"",
IF(AND(Table2[[#This Row],[Member Type]]="Spouse",Table2[[#This Row],[Product Option]]="My Value Plus Life &amp; Funeral",_xlfn.XLOOKUP(B623,Table2[Main Member Link ID],Table2[Benefit Name],0)=Lookups!$D$16),"",
IF(AND(Table2[[#This Row],[Member Type]]="Spouse",Table2[[#This Row],[Product Option]]="My Value Plus Life &amp; Funeral",_xlfn.XLOOKUP(B623,Table2[Main Member Link ID],Table2[Benefit Name],0)=Lookups!$D$15),"",
IF(AND(Table2[[#This Row],[Member Type]]="Spouse",Table2[[#This Row],[Product Option]]="My Value Plus Life &amp; Funeral",_xlfn.XLOOKUP(B623,Table2[Main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Funeral",_xlfn.XLOOKUP(B624,Table2[Main Member Link ID],Table2[Benefit Name],0)&lt;&gt;Lookups!$D$15),
IF(_xlfn.XLOOKUP(B624,Table2[Main Member Link ID],Table2[Benefit Name],0)=0,"",_xlfn.XLOOKUP(B624,Table2[Main Member Link ID],Table2[Benefit Name],0)),"")
))))))</f>
        <v/>
      </c>
      <c r="AG624" s="327" t="str">
        <f>IF(AND(Table2[[#This Row],[Member Type]]="Main Member",Table2[[#This Row],[Product Option]]="My Value Plus Life &amp; Funeral"),Lookups!$D$16,
IF(AND(Table2[[#This Row],[Member Type]]="Spouse",Table2[[#This Row],[Product Option]]="My Value Plus Life &amp; Funeral",_xlfn.XLOOKUP(B624,Table2[Main Member Link ID],Table2[Benefit Name],0)=Lookups!$D$14),"",
IF(AND(Table2[[#This Row],[Member Type]]="Spouse",Table2[[#This Row],[Product Option]]="My Value Plus Life &amp; Funeral",_xlfn.XLOOKUP(B623,Table2[Main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Funeral",_xlfn.XLOOKUP(B624,Table2[Main Member Link ID],Table2[Benefit Name],0)&lt;&gt;Lookups!$D$16),
IF(_xlfn.XLOOKUP(B624,Table2[Main Member Link ID],Table2[Benefit Name],0)=0,"",_xlfn.XLOOKUP(B624,Table2[Main Member Link ID],Table2[Benefit Name],0)),"")
))))</f>
        <v/>
      </c>
      <c r="AH624" s="327" t="str">
        <f>IF(AND(Table2[[#This Row],[Member Type]]="Main Member",Table2[[#This Row],[Product Option]]="My Value Plus Life &amp; Funeral"),Lookups!$D$17,
IF(AND(Table2[[#This Row],[Member Type]]="Spouse",Table2[[#This Row],[Product Option]]="My Value Plus Life &amp; Funeral",_xlfn.XLOOKUP(B624,Table2[Main Member Link ID],Table2[Benefit Name],0)=Lookups!$D$14),"",
IF(AND(Table2[[#This Row],[Member Type]]="Spouse",Table2[[#This Row],[Product Option]]="My Value Plus Life &amp; Funeral",_xlfn.XLOOKUP(B623,Table2[Main Member Link ID],Table2[Benefit Name],0)=Lookups!$D$16),"",
IF(AND(Table2[[#This Row],[Member Type]]="Child",Table2[[#This Row],[Product Option]]="My Value Plus Life &amp; Funeral"),"",
IF(AND(Table2[[#This Row],[Member Type]]="Child",Table2[[#This Row],[Product Option]]="My Value Plus Life &amp; Funeral",_xlfn.XLOOKUP(B624,Table2[Main Member Link ID],Table2[Benefit Name],0)=Lookups!$D$15),"",
IF(AND(OR(Table2[[#This Row],[Member Type]]="Spouse",Table2[[#This Row],[Member Type]]="Child"),Table2[[#This Row],[Product Option]]="My Value Plus Life &amp; Funeral",_xlfn.XLOOKUP(B624,Table2[Main Member Link ID],Table2[Benefit Name],0)&lt;&gt;Lookups!$D$17),
IF(_xlfn.XLOOKUP(B624,Table2[Main Member Link ID],Table2[Benefit Name],0)=0,"",_xlfn.XLOOKUP(B624,Table2[Main Member Link ID],Table2[Benefit Name],0)),""))))))</f>
        <v/>
      </c>
      <c r="AI624" s="328" t="str">
        <f>IF(AND(Table2[[#This Row],[Member Type]]="Main Member",Table2[[#This Row],[Table Lookup for Life Cover]]="MM_LIFE",Table2[[#This Row],[Age Next Birthday]]&lt;56),1,
IF(AND(Table2[[#This Row],[Member Type]]="Main Member",Table2[[#This Row],[Table Lookup for Life Cover]]="MM_LIFE",Table2[[#This Row],[Age Next Birthday]]&gt;=56),2,
""))</f>
        <v/>
      </c>
      <c r="AJ624" s="328">
        <f>IF(OR(Table2[[#This Row],[Member Type]]="Main Member",Table2[[#This Row],[Main Member Link ID]]=B623),1,0)</f>
        <v>1</v>
      </c>
      <c r="AK624" s="328">
        <f>IF(Table2[[#This Row],[Member Type]]=0,0,
IF(OR(Table2[[#This Row],[Member Type]]="Main Member",Table2[[#This Row],[Main Member Link ID]]&lt;&gt;B624),COUNTIFS(B:B,Table2[[#This Row],[Main Member Link ID]]),
COUNTIFS(B:B,Table2[[#This Row],[Main Member Link ID]],A:A,Table2[[#This Row],[Member Type]])))</f>
        <v>0</v>
      </c>
    </row>
    <row r="625" spans="1:37" x14ac:dyDescent="0.3">
      <c r="A625" s="284">
        <f>Table13[[#This Row],[Member Type]]</f>
        <v>0</v>
      </c>
      <c r="B625" s="284">
        <f>Table13[[#This Row],[Main Member Link ID]]</f>
        <v>0</v>
      </c>
      <c r="C625" s="284">
        <f>Table13[[#This Row],[ID Number]]</f>
        <v>0</v>
      </c>
      <c r="D625" s="285">
        <f>Table13[[#This Row],[Date Of Birth]]</f>
        <v>0</v>
      </c>
      <c r="E625" s="285">
        <f>Table13[[#This Row],[Commencement Date]]</f>
        <v>0</v>
      </c>
      <c r="F625" s="284">
        <f t="shared" si="63"/>
        <v>1</v>
      </c>
      <c r="G625" s="284">
        <f t="shared" si="64"/>
        <v>25</v>
      </c>
      <c r="H625" s="286">
        <f>Table13[[#This Row],[Product Option]]</f>
        <v>0</v>
      </c>
      <c r="I625" s="284">
        <f>IF(AND($A625="Main Member",Table2[[#This Row],[Product Option]]="My Value Plus Life"),"MM_LIFE",
IF(AND($A625="Spouse",Table2[[#This Row],[Product Option]]="My Value Plus Life"),"SP_LIFE",
IF(AND($A625="Main Member",Table2[[#This Row],[Product Option]]="My Value Plus Life &amp; Funeral"),"MM_LIFE",
IF(AND($A625="Spouse",Table2[[#This Row],[Product Option]]="My Value Plus Life &amp; Funeral"),_xlfn.XLOOKUP(Table2[[#This Row],[Benefit Name]],Lookups!$D$18:$D$23,Lookups!$E$18:$E$23,0),
0))))</f>
        <v>0</v>
      </c>
      <c r="J625" s="284">
        <f>IF($I625="","",
IF($I625="MM_LIFE",INDEX('Quotation Tool'!$S$54:$V$60,MATCH($T625,'Quotation Tool'!$S$54:$S$60,0),4),
IF($I625="SP_LIFE",_xlfn.XLOOKUP(B624,$B:$B,$J:$J,0),0)))</f>
        <v>0</v>
      </c>
      <c r="K625" s="287">
        <f t="shared" ca="1" si="68"/>
        <v>0</v>
      </c>
      <c r="L625" s="288">
        <f t="shared" ca="1" si="69"/>
        <v>0</v>
      </c>
      <c r="M625" s="289">
        <f t="shared" ca="1" si="65"/>
        <v>0</v>
      </c>
      <c r="N625" s="286">
        <f>Table13[[#This Row],[Benefit Option]]</f>
        <v>0</v>
      </c>
      <c r="O625" s="284">
        <f>IF(OR(Table2[[#This Row],[Member Type]]="Spouse",Table2[[#This Row],[Member Type]]="Child"),0,
IF(_xlfn.XLOOKUP($N625,Lookups!$D$13:$D$27,Lookups!$F$13:$F$27,0)=Table2[[#This Row],[Table Lookup for Life Cover]],0,
_xlfn.XLOOKUP($N625,Lookups!$D$13:$D$27,Lookups!$F$13:$F$27,0)))</f>
        <v>0</v>
      </c>
      <c r="P625" s="284">
        <f>IF(Table2[[#This Row],[Table Lookup for Funeral]]=0,0,IFERROR(INDEX('Quotation Tool'!$S$54:$V$60,MATCH($T625,'Quotation Tool'!$S$54:$S$60,0),3),0))</f>
        <v>0</v>
      </c>
      <c r="Q625" s="288">
        <f ca="1">IF(OR(Table2[[#This Row],[Benefit Name]]="My Value Plus Life - Main Member",Table2[[#This Row],[Benefit Name]]="My Value Plus Life - Spouse"),0,
IFERROR(VLOOKUP($G625,INDIRECT($O625),$P625,FALSE),0))</f>
        <v>0</v>
      </c>
      <c r="R625" s="288">
        <f ca="1">IF(OR(Table2[[#This Row],[Benefit Name]]="My Value Plus Life - Main Member",Table2[[#This Row],[Benefit Name]]="My Value Plus Life - Spouse"),0,
IFERROR(VLOOKUP($G625,INDIRECT($O625),$P625+1,FALSE),0))</f>
        <v>0</v>
      </c>
      <c r="S625" s="289">
        <f t="shared" ca="1" si="66"/>
        <v>0</v>
      </c>
      <c r="T625" s="284" t="str">
        <f>IF(Table13[[#This Row],[Premium Waiver]]="","None",Table13[[#This Row],[Premium Waiver]])</f>
        <v>None</v>
      </c>
      <c r="U625" s="284">
        <f>Table13[[#This Row],[VAPs Options]]</f>
        <v>0</v>
      </c>
      <c r="V625" s="284">
        <f>Table13[[#This Row],[Annual Increase Option]]</f>
        <v>0</v>
      </c>
      <c r="W625" s="290">
        <f>Table13[[#This Row],[Life Cover Amount]]</f>
        <v>0</v>
      </c>
      <c r="X625" s="290">
        <f>Table13[[#This Row],[Funeral Cover Amount]]</f>
        <v>0</v>
      </c>
      <c r="Y62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2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25" s="301">
        <f t="shared" ca="1" si="67"/>
        <v>0</v>
      </c>
      <c r="AB625" s="298"/>
      <c r="AC625" s="326" t="str">
        <f>IF(Table2[[#This Row],[Member Type]]="Main Member",Lookups!$C$13,
IF(Table2[[#This Row],[Member Type]]="Spouse",_xlfn.XLOOKUP(B625,Table2[Main Member Link ID],Table2[Product Option],0),
IF(AND(Table2[[#This Row],[Member Type]]="Child",_xlfn.XLOOKUP(B625,Table2[Main Member Link ID],Table2[Product Option],0)&lt;&gt;"My Value Plus Life"),Lookups!$C$24,
IF(AND(OR(Table2[[#This Row],[Member Type]]="Parent",Table2[[#This Row],[Member Type]]="Extended"),_xlfn.XLOOKUP(B625,Table2[Main Member Link ID],Table2[Product Option],0)&lt;&gt;"My Value Plus Life"),Lookups!$C$26,""))))</f>
        <v/>
      </c>
      <c r="AD625" s="326" t="str">
        <f>IF(Table2[[#This Row],[Member Type]]="Main Member",Lookups!$C$14,"")</f>
        <v/>
      </c>
      <c r="AE62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Funeral",_xlfn.XLOOKUP(B625,Table2[Main Member Link ID],Table2[Benefit Name],0)=Lookups!$D$14),"",
IF(AND(Table2[[#This Row],[Member Type]]="Spouse",Table2[[#This Row],[Product Option]]="My Value Plus Life &amp; Funeral",_xlfn.XLOOKUP(B624,Table2[Main Member Link ID],Table2[Benefit Name],0)=Lookups!$D$15),Lookups!$D$20,
IF(AND(Table2[[#This Row],[Member Type]]="Spouse",Table2[[#This Row],[Product Option]]="My Value Plus Life &amp; Funeral",_xlfn.XLOOKUP(B624,Table2[Main Member Link ID],Table2[Benefit Name],0)=Lookups!$D$16),"",
IF(AND(Table2[[#This Row],[Member Type]]="Spouse",Table2[[#This Row],[Product Option]]="My Value Plus Life &amp; Funeral",_xlfn.XLOOKUP(B624,Table2[Main Member Link ID],Table2[Benefit Name],0)=Lookups!$D$17),Lookups!$D$21,
IF(AND(Table2[[#This Row],[Member Type]]="Child",Table2[[#This Row],[Product Option]]="My Value Plus Life &amp; Funeral",_xlfn.XLOOKUP(B625,Table2[Main Member Link ID],Table2[Benefit Name],0)=Lookups!$D$14),"",
IF(AND(Table2[[#This Row],[Member Type]]="Child",Table2[[#This Row],[Product Option]]="My Value Plus Life &amp; Funeral",_xlfn.XLOOKUP(B625,Table2[Main Member Link ID],Table2[Benefit Name],0)=Lookups!$D$15),"",
IF(AND(Table2[[#This Row],[Member Type]]="Child",Table2[[#This Row],[Product Option]]="My Value Plus Life &amp; Funeral",_xlfn.XLOOKUP(B625,Table2[Main Member Link ID],Table2[Benefit Name],0)=Lookups!$D$16),Lookups!$D$24,
IF(AND(Table2[[#This Row],[Member Type]]="Child",Table2[[#This Row],[Product Option]]="My Value Plus Life &amp; Funeral",_xlfn.XLOOKUP(B625,Table2[Main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Funeral",_xlfn.XLOOKUP(B625,Table2[Main Member Link ID],Table2[Benefit Name],0)&lt;&gt;Lookups!$D$14),
IF(_xlfn.XLOOKUP(B625,Table2[Main Member Link ID],Table2[Benefit Name],0)=0,"",_xlfn.XLOOKUP(B625,Table2[Main Member Link ID],Table2[Benefit Name],0)),"")))))))))))))))</f>
        <v/>
      </c>
      <c r="AF625" s="327" t="str">
        <f>IF(AND(Table2[[#This Row],[Member Type]]="Main Member",Table2[[#This Row],[Product Option]]="My Value Plus Life &amp; Funeral"),Lookups!$D$15,
IF(AND(Table2[[#This Row],[Member Type]]="Spouse",Table2[[#This Row],[Product Option]]="My Value Plus Life &amp; Funeral",_xlfn.XLOOKUP(B625,Table2[Main Member Link ID],Table2[Benefit Name],0)=Lookups!$D$14),"",
IF(AND(Table2[[#This Row],[Member Type]]="Spouse",Table2[[#This Row],[Product Option]]="My Value Plus Life &amp; Funeral",_xlfn.XLOOKUP(B624,Table2[Main Member Link ID],Table2[Benefit Name],0)=Lookups!$D$16),"",
IF(AND(Table2[[#This Row],[Member Type]]="Spouse",Table2[[#This Row],[Product Option]]="My Value Plus Life &amp; Funeral",_xlfn.XLOOKUP(B624,Table2[Main Member Link ID],Table2[Benefit Name],0)=Lookups!$D$15),"",
IF(AND(Table2[[#This Row],[Member Type]]="Spouse",Table2[[#This Row],[Product Option]]="My Value Plus Life &amp; Funeral",_xlfn.XLOOKUP(B624,Table2[Main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Funeral",_xlfn.XLOOKUP(B625,Table2[Main Member Link ID],Table2[Benefit Name],0)&lt;&gt;Lookups!$D$15),
IF(_xlfn.XLOOKUP(B625,Table2[Main Member Link ID],Table2[Benefit Name],0)=0,"",_xlfn.XLOOKUP(B625,Table2[Main Member Link ID],Table2[Benefit Name],0)),"")
))))))</f>
        <v/>
      </c>
      <c r="AG625" s="327" t="str">
        <f>IF(AND(Table2[[#This Row],[Member Type]]="Main Member",Table2[[#This Row],[Product Option]]="My Value Plus Life &amp; Funeral"),Lookups!$D$16,
IF(AND(Table2[[#This Row],[Member Type]]="Spouse",Table2[[#This Row],[Product Option]]="My Value Plus Life &amp; Funeral",_xlfn.XLOOKUP(B625,Table2[Main Member Link ID],Table2[Benefit Name],0)=Lookups!$D$14),"",
IF(AND(Table2[[#This Row],[Member Type]]="Spouse",Table2[[#This Row],[Product Option]]="My Value Plus Life &amp; Funeral",_xlfn.XLOOKUP(B624,Table2[Main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Funeral",_xlfn.XLOOKUP(B625,Table2[Main Member Link ID],Table2[Benefit Name],0)&lt;&gt;Lookups!$D$16),
IF(_xlfn.XLOOKUP(B625,Table2[Main Member Link ID],Table2[Benefit Name],0)=0,"",_xlfn.XLOOKUP(B625,Table2[Main Member Link ID],Table2[Benefit Name],0)),"")
))))</f>
        <v/>
      </c>
      <c r="AH625" s="327" t="str">
        <f>IF(AND(Table2[[#This Row],[Member Type]]="Main Member",Table2[[#This Row],[Product Option]]="My Value Plus Life &amp; Funeral"),Lookups!$D$17,
IF(AND(Table2[[#This Row],[Member Type]]="Spouse",Table2[[#This Row],[Product Option]]="My Value Plus Life &amp; Funeral",_xlfn.XLOOKUP(B625,Table2[Main Member Link ID],Table2[Benefit Name],0)=Lookups!$D$14),"",
IF(AND(Table2[[#This Row],[Member Type]]="Spouse",Table2[[#This Row],[Product Option]]="My Value Plus Life &amp; Funeral",_xlfn.XLOOKUP(B624,Table2[Main Member Link ID],Table2[Benefit Name],0)=Lookups!$D$16),"",
IF(AND(Table2[[#This Row],[Member Type]]="Child",Table2[[#This Row],[Product Option]]="My Value Plus Life &amp; Funeral"),"",
IF(AND(Table2[[#This Row],[Member Type]]="Child",Table2[[#This Row],[Product Option]]="My Value Plus Life &amp; Funeral",_xlfn.XLOOKUP(B625,Table2[Main Member Link ID],Table2[Benefit Name],0)=Lookups!$D$15),"",
IF(AND(OR(Table2[[#This Row],[Member Type]]="Spouse",Table2[[#This Row],[Member Type]]="Child"),Table2[[#This Row],[Product Option]]="My Value Plus Life &amp; Funeral",_xlfn.XLOOKUP(B625,Table2[Main Member Link ID],Table2[Benefit Name],0)&lt;&gt;Lookups!$D$17),
IF(_xlfn.XLOOKUP(B625,Table2[Main Member Link ID],Table2[Benefit Name],0)=0,"",_xlfn.XLOOKUP(B625,Table2[Main Member Link ID],Table2[Benefit Name],0)),""))))))</f>
        <v/>
      </c>
      <c r="AI625" s="328" t="str">
        <f>IF(AND(Table2[[#This Row],[Member Type]]="Main Member",Table2[[#This Row],[Table Lookup for Life Cover]]="MM_LIFE",Table2[[#This Row],[Age Next Birthday]]&lt;56),1,
IF(AND(Table2[[#This Row],[Member Type]]="Main Member",Table2[[#This Row],[Table Lookup for Life Cover]]="MM_LIFE",Table2[[#This Row],[Age Next Birthday]]&gt;=56),2,
""))</f>
        <v/>
      </c>
      <c r="AJ625" s="328">
        <f>IF(OR(Table2[[#This Row],[Member Type]]="Main Member",Table2[[#This Row],[Main Member Link ID]]=B624),1,0)</f>
        <v>1</v>
      </c>
      <c r="AK625" s="328">
        <f>IF(Table2[[#This Row],[Member Type]]=0,0,
IF(OR(Table2[[#This Row],[Member Type]]="Main Member",Table2[[#This Row],[Main Member Link ID]]&lt;&gt;B625),COUNTIFS(B:B,Table2[[#This Row],[Main Member Link ID]]),
COUNTIFS(B:B,Table2[[#This Row],[Main Member Link ID]],A:A,Table2[[#This Row],[Member Type]])))</f>
        <v>0</v>
      </c>
    </row>
    <row r="626" spans="1:37" x14ac:dyDescent="0.3">
      <c r="A626" s="284">
        <f>Table13[[#This Row],[Member Type]]</f>
        <v>0</v>
      </c>
      <c r="B626" s="284">
        <f>Table13[[#This Row],[Main Member Link ID]]</f>
        <v>0</v>
      </c>
      <c r="C626" s="284">
        <f>Table13[[#This Row],[ID Number]]</f>
        <v>0</v>
      </c>
      <c r="D626" s="285">
        <f>Table13[[#This Row],[Date Of Birth]]</f>
        <v>0</v>
      </c>
      <c r="E626" s="285">
        <f>Table13[[#This Row],[Commencement Date]]</f>
        <v>0</v>
      </c>
      <c r="F626" s="284">
        <f t="shared" si="63"/>
        <v>1</v>
      </c>
      <c r="G626" s="284">
        <f t="shared" si="64"/>
        <v>25</v>
      </c>
      <c r="H626" s="286">
        <f>Table13[[#This Row],[Product Option]]</f>
        <v>0</v>
      </c>
      <c r="I626" s="284">
        <f>IF(AND($A626="Main Member",Table2[[#This Row],[Product Option]]="My Value Plus Life"),"MM_LIFE",
IF(AND($A626="Spouse",Table2[[#This Row],[Product Option]]="My Value Plus Life"),"SP_LIFE",
IF(AND($A626="Main Member",Table2[[#This Row],[Product Option]]="My Value Plus Life &amp; Funeral"),"MM_LIFE",
IF(AND($A626="Spouse",Table2[[#This Row],[Product Option]]="My Value Plus Life &amp; Funeral"),_xlfn.XLOOKUP(Table2[[#This Row],[Benefit Name]],Lookups!$D$18:$D$23,Lookups!$E$18:$E$23,0),
0))))</f>
        <v>0</v>
      </c>
      <c r="J626" s="284">
        <f>IF($I626="","",
IF($I626="MM_LIFE",INDEX('Quotation Tool'!$S$54:$V$60,MATCH($T626,'Quotation Tool'!$S$54:$S$60,0),4),
IF($I626="SP_LIFE",_xlfn.XLOOKUP(B625,$B:$B,$J:$J,0),0)))</f>
        <v>0</v>
      </c>
      <c r="K626" s="287">
        <f t="shared" ca="1" si="68"/>
        <v>0</v>
      </c>
      <c r="L626" s="288">
        <f t="shared" ca="1" si="69"/>
        <v>0</v>
      </c>
      <c r="M626" s="289">
        <f t="shared" ca="1" si="65"/>
        <v>0</v>
      </c>
      <c r="N626" s="286">
        <f>Table13[[#This Row],[Benefit Option]]</f>
        <v>0</v>
      </c>
      <c r="O626" s="284">
        <f>IF(OR(Table2[[#This Row],[Member Type]]="Spouse",Table2[[#This Row],[Member Type]]="Child"),0,
IF(_xlfn.XLOOKUP($N626,Lookups!$D$13:$D$27,Lookups!$F$13:$F$27,0)=Table2[[#This Row],[Table Lookup for Life Cover]],0,
_xlfn.XLOOKUP($N626,Lookups!$D$13:$D$27,Lookups!$F$13:$F$27,0)))</f>
        <v>0</v>
      </c>
      <c r="P626" s="284">
        <f>IF(Table2[[#This Row],[Table Lookup for Funeral]]=0,0,IFERROR(INDEX('Quotation Tool'!$S$54:$V$60,MATCH($T626,'Quotation Tool'!$S$54:$S$60,0),3),0))</f>
        <v>0</v>
      </c>
      <c r="Q626" s="288">
        <f ca="1">IF(OR(Table2[[#This Row],[Benefit Name]]="My Value Plus Life - Main Member",Table2[[#This Row],[Benefit Name]]="My Value Plus Life - Spouse"),0,
IFERROR(VLOOKUP($G626,INDIRECT($O626),$P626,FALSE),0))</f>
        <v>0</v>
      </c>
      <c r="R626" s="288">
        <f ca="1">IF(OR(Table2[[#This Row],[Benefit Name]]="My Value Plus Life - Main Member",Table2[[#This Row],[Benefit Name]]="My Value Plus Life - Spouse"),0,
IFERROR(VLOOKUP($G626,INDIRECT($O626),$P626+1,FALSE),0))</f>
        <v>0</v>
      </c>
      <c r="S626" s="289">
        <f t="shared" ca="1" si="66"/>
        <v>0</v>
      </c>
      <c r="T626" s="284" t="str">
        <f>IF(Table13[[#This Row],[Premium Waiver]]="","None",Table13[[#This Row],[Premium Waiver]])</f>
        <v>None</v>
      </c>
      <c r="U626" s="284">
        <f>Table13[[#This Row],[VAPs Options]]</f>
        <v>0</v>
      </c>
      <c r="V626" s="284">
        <f>Table13[[#This Row],[Annual Increase Option]]</f>
        <v>0</v>
      </c>
      <c r="W626" s="290">
        <f>Table13[[#This Row],[Life Cover Amount]]</f>
        <v>0</v>
      </c>
      <c r="X626" s="290">
        <f>Table13[[#This Row],[Funeral Cover Amount]]</f>
        <v>0</v>
      </c>
      <c r="Y62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2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26" s="301">
        <f t="shared" ca="1" si="67"/>
        <v>0</v>
      </c>
      <c r="AB626" s="298"/>
      <c r="AC626" s="326" t="str">
        <f>IF(Table2[[#This Row],[Member Type]]="Main Member",Lookups!$C$13,
IF(Table2[[#This Row],[Member Type]]="Spouse",_xlfn.XLOOKUP(B626,Table2[Main Member Link ID],Table2[Product Option],0),
IF(AND(Table2[[#This Row],[Member Type]]="Child",_xlfn.XLOOKUP(B626,Table2[Main Member Link ID],Table2[Product Option],0)&lt;&gt;"My Value Plus Life"),Lookups!$C$24,
IF(AND(OR(Table2[[#This Row],[Member Type]]="Parent",Table2[[#This Row],[Member Type]]="Extended"),_xlfn.XLOOKUP(B626,Table2[Main Member Link ID],Table2[Product Option],0)&lt;&gt;"My Value Plus Life"),Lookups!$C$26,""))))</f>
        <v/>
      </c>
      <c r="AD626" s="326" t="str">
        <f>IF(Table2[[#This Row],[Member Type]]="Main Member",Lookups!$C$14,"")</f>
        <v/>
      </c>
      <c r="AE62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Funeral",_xlfn.XLOOKUP(B626,Table2[Main Member Link ID],Table2[Benefit Name],0)=Lookups!$D$14),"",
IF(AND(Table2[[#This Row],[Member Type]]="Spouse",Table2[[#This Row],[Product Option]]="My Value Plus Life &amp; Funeral",_xlfn.XLOOKUP(B625,Table2[Main Member Link ID],Table2[Benefit Name],0)=Lookups!$D$15),Lookups!$D$20,
IF(AND(Table2[[#This Row],[Member Type]]="Spouse",Table2[[#This Row],[Product Option]]="My Value Plus Life &amp; Funeral",_xlfn.XLOOKUP(B625,Table2[Main Member Link ID],Table2[Benefit Name],0)=Lookups!$D$16),"",
IF(AND(Table2[[#This Row],[Member Type]]="Spouse",Table2[[#This Row],[Product Option]]="My Value Plus Life &amp; Funeral",_xlfn.XLOOKUP(B625,Table2[Main Member Link ID],Table2[Benefit Name],0)=Lookups!$D$17),Lookups!$D$21,
IF(AND(Table2[[#This Row],[Member Type]]="Child",Table2[[#This Row],[Product Option]]="My Value Plus Life &amp; Funeral",_xlfn.XLOOKUP(B626,Table2[Main Member Link ID],Table2[Benefit Name],0)=Lookups!$D$14),"",
IF(AND(Table2[[#This Row],[Member Type]]="Child",Table2[[#This Row],[Product Option]]="My Value Plus Life &amp; Funeral",_xlfn.XLOOKUP(B626,Table2[Main Member Link ID],Table2[Benefit Name],0)=Lookups!$D$15),"",
IF(AND(Table2[[#This Row],[Member Type]]="Child",Table2[[#This Row],[Product Option]]="My Value Plus Life &amp; Funeral",_xlfn.XLOOKUP(B626,Table2[Main Member Link ID],Table2[Benefit Name],0)=Lookups!$D$16),Lookups!$D$24,
IF(AND(Table2[[#This Row],[Member Type]]="Child",Table2[[#This Row],[Product Option]]="My Value Plus Life &amp; Funeral",_xlfn.XLOOKUP(B626,Table2[Main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Funeral",_xlfn.XLOOKUP(B626,Table2[Main Member Link ID],Table2[Benefit Name],0)&lt;&gt;Lookups!$D$14),
IF(_xlfn.XLOOKUP(B626,Table2[Main Member Link ID],Table2[Benefit Name],0)=0,"",_xlfn.XLOOKUP(B626,Table2[Main Member Link ID],Table2[Benefit Name],0)),"")))))))))))))))</f>
        <v/>
      </c>
      <c r="AF626" s="327" t="str">
        <f>IF(AND(Table2[[#This Row],[Member Type]]="Main Member",Table2[[#This Row],[Product Option]]="My Value Plus Life &amp; Funeral"),Lookups!$D$15,
IF(AND(Table2[[#This Row],[Member Type]]="Spouse",Table2[[#This Row],[Product Option]]="My Value Plus Life &amp; Funeral",_xlfn.XLOOKUP(B626,Table2[Main Member Link ID],Table2[Benefit Name],0)=Lookups!$D$14),"",
IF(AND(Table2[[#This Row],[Member Type]]="Spouse",Table2[[#This Row],[Product Option]]="My Value Plus Life &amp; Funeral",_xlfn.XLOOKUP(B625,Table2[Main Member Link ID],Table2[Benefit Name],0)=Lookups!$D$16),"",
IF(AND(Table2[[#This Row],[Member Type]]="Spouse",Table2[[#This Row],[Product Option]]="My Value Plus Life &amp; Funeral",_xlfn.XLOOKUP(B625,Table2[Main Member Link ID],Table2[Benefit Name],0)=Lookups!$D$15),"",
IF(AND(Table2[[#This Row],[Member Type]]="Spouse",Table2[[#This Row],[Product Option]]="My Value Plus Life &amp; Funeral",_xlfn.XLOOKUP(B625,Table2[Main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Funeral",_xlfn.XLOOKUP(B626,Table2[Main Member Link ID],Table2[Benefit Name],0)&lt;&gt;Lookups!$D$15),
IF(_xlfn.XLOOKUP(B626,Table2[Main Member Link ID],Table2[Benefit Name],0)=0,"",_xlfn.XLOOKUP(B626,Table2[Main Member Link ID],Table2[Benefit Name],0)),"")
))))))</f>
        <v/>
      </c>
      <c r="AG626" s="327" t="str">
        <f>IF(AND(Table2[[#This Row],[Member Type]]="Main Member",Table2[[#This Row],[Product Option]]="My Value Plus Life &amp; Funeral"),Lookups!$D$16,
IF(AND(Table2[[#This Row],[Member Type]]="Spouse",Table2[[#This Row],[Product Option]]="My Value Plus Life &amp; Funeral",_xlfn.XLOOKUP(B626,Table2[Main Member Link ID],Table2[Benefit Name],0)=Lookups!$D$14),"",
IF(AND(Table2[[#This Row],[Member Type]]="Spouse",Table2[[#This Row],[Product Option]]="My Value Plus Life &amp; Funeral",_xlfn.XLOOKUP(B625,Table2[Main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Funeral",_xlfn.XLOOKUP(B626,Table2[Main Member Link ID],Table2[Benefit Name],0)&lt;&gt;Lookups!$D$16),
IF(_xlfn.XLOOKUP(B626,Table2[Main Member Link ID],Table2[Benefit Name],0)=0,"",_xlfn.XLOOKUP(B626,Table2[Main Member Link ID],Table2[Benefit Name],0)),"")
))))</f>
        <v/>
      </c>
      <c r="AH626" s="327" t="str">
        <f>IF(AND(Table2[[#This Row],[Member Type]]="Main Member",Table2[[#This Row],[Product Option]]="My Value Plus Life &amp; Funeral"),Lookups!$D$17,
IF(AND(Table2[[#This Row],[Member Type]]="Spouse",Table2[[#This Row],[Product Option]]="My Value Plus Life &amp; Funeral",_xlfn.XLOOKUP(B626,Table2[Main Member Link ID],Table2[Benefit Name],0)=Lookups!$D$14),"",
IF(AND(Table2[[#This Row],[Member Type]]="Spouse",Table2[[#This Row],[Product Option]]="My Value Plus Life &amp; Funeral",_xlfn.XLOOKUP(B625,Table2[Main Member Link ID],Table2[Benefit Name],0)=Lookups!$D$16),"",
IF(AND(Table2[[#This Row],[Member Type]]="Child",Table2[[#This Row],[Product Option]]="My Value Plus Life &amp; Funeral"),"",
IF(AND(Table2[[#This Row],[Member Type]]="Child",Table2[[#This Row],[Product Option]]="My Value Plus Life &amp; Funeral",_xlfn.XLOOKUP(B626,Table2[Main Member Link ID],Table2[Benefit Name],0)=Lookups!$D$15),"",
IF(AND(OR(Table2[[#This Row],[Member Type]]="Spouse",Table2[[#This Row],[Member Type]]="Child"),Table2[[#This Row],[Product Option]]="My Value Plus Life &amp; Funeral",_xlfn.XLOOKUP(B626,Table2[Main Member Link ID],Table2[Benefit Name],0)&lt;&gt;Lookups!$D$17),
IF(_xlfn.XLOOKUP(B626,Table2[Main Member Link ID],Table2[Benefit Name],0)=0,"",_xlfn.XLOOKUP(B626,Table2[Main Member Link ID],Table2[Benefit Name],0)),""))))))</f>
        <v/>
      </c>
      <c r="AI626" s="328" t="str">
        <f>IF(AND(Table2[[#This Row],[Member Type]]="Main Member",Table2[[#This Row],[Table Lookup for Life Cover]]="MM_LIFE",Table2[[#This Row],[Age Next Birthday]]&lt;56),1,
IF(AND(Table2[[#This Row],[Member Type]]="Main Member",Table2[[#This Row],[Table Lookup for Life Cover]]="MM_LIFE",Table2[[#This Row],[Age Next Birthday]]&gt;=56),2,
""))</f>
        <v/>
      </c>
      <c r="AJ626" s="328">
        <f>IF(OR(Table2[[#This Row],[Member Type]]="Main Member",Table2[[#This Row],[Main Member Link ID]]=B625),1,0)</f>
        <v>1</v>
      </c>
      <c r="AK626" s="328">
        <f>IF(Table2[[#This Row],[Member Type]]=0,0,
IF(OR(Table2[[#This Row],[Member Type]]="Main Member",Table2[[#This Row],[Main Member Link ID]]&lt;&gt;B626),COUNTIFS(B:B,Table2[[#This Row],[Main Member Link ID]]),
COUNTIFS(B:B,Table2[[#This Row],[Main Member Link ID]],A:A,Table2[[#This Row],[Member Type]])))</f>
        <v>0</v>
      </c>
    </row>
    <row r="627" spans="1:37" x14ac:dyDescent="0.3">
      <c r="A627" s="284">
        <f>Table13[[#This Row],[Member Type]]</f>
        <v>0</v>
      </c>
      <c r="B627" s="284">
        <f>Table13[[#This Row],[Main Member Link ID]]</f>
        <v>0</v>
      </c>
      <c r="C627" s="284">
        <f>Table13[[#This Row],[ID Number]]</f>
        <v>0</v>
      </c>
      <c r="D627" s="285">
        <f>Table13[[#This Row],[Date Of Birth]]</f>
        <v>0</v>
      </c>
      <c r="E627" s="285">
        <f>Table13[[#This Row],[Commencement Date]]</f>
        <v>0</v>
      </c>
      <c r="F627" s="284">
        <f t="shared" si="63"/>
        <v>1</v>
      </c>
      <c r="G627" s="284">
        <f t="shared" si="64"/>
        <v>25</v>
      </c>
      <c r="H627" s="286">
        <f>Table13[[#This Row],[Product Option]]</f>
        <v>0</v>
      </c>
      <c r="I627" s="284">
        <f>IF(AND($A627="Main Member",Table2[[#This Row],[Product Option]]="My Value Plus Life"),"MM_LIFE",
IF(AND($A627="Spouse",Table2[[#This Row],[Product Option]]="My Value Plus Life"),"SP_LIFE",
IF(AND($A627="Main Member",Table2[[#This Row],[Product Option]]="My Value Plus Life &amp; Funeral"),"MM_LIFE",
IF(AND($A627="Spouse",Table2[[#This Row],[Product Option]]="My Value Plus Life &amp; Funeral"),_xlfn.XLOOKUP(Table2[[#This Row],[Benefit Name]],Lookups!$D$18:$D$23,Lookups!$E$18:$E$23,0),
0))))</f>
        <v>0</v>
      </c>
      <c r="J627" s="284">
        <f>IF($I627="","",
IF($I627="MM_LIFE",INDEX('Quotation Tool'!$S$54:$V$60,MATCH($T627,'Quotation Tool'!$S$54:$S$60,0),4),
IF($I627="SP_LIFE",_xlfn.XLOOKUP(B626,$B:$B,$J:$J,0),0)))</f>
        <v>0</v>
      </c>
      <c r="K627" s="287">
        <f t="shared" ca="1" si="68"/>
        <v>0</v>
      </c>
      <c r="L627" s="288">
        <f t="shared" ca="1" si="69"/>
        <v>0</v>
      </c>
      <c r="M627" s="289">
        <f t="shared" ca="1" si="65"/>
        <v>0</v>
      </c>
      <c r="N627" s="286">
        <f>Table13[[#This Row],[Benefit Option]]</f>
        <v>0</v>
      </c>
      <c r="O627" s="284">
        <f>IF(OR(Table2[[#This Row],[Member Type]]="Spouse",Table2[[#This Row],[Member Type]]="Child"),0,
IF(_xlfn.XLOOKUP($N627,Lookups!$D$13:$D$27,Lookups!$F$13:$F$27,0)=Table2[[#This Row],[Table Lookup for Life Cover]],0,
_xlfn.XLOOKUP($N627,Lookups!$D$13:$D$27,Lookups!$F$13:$F$27,0)))</f>
        <v>0</v>
      </c>
      <c r="P627" s="284">
        <f>IF(Table2[[#This Row],[Table Lookup for Funeral]]=0,0,IFERROR(INDEX('Quotation Tool'!$S$54:$V$60,MATCH($T627,'Quotation Tool'!$S$54:$S$60,0),3),0))</f>
        <v>0</v>
      </c>
      <c r="Q627" s="288">
        <f ca="1">IF(OR(Table2[[#This Row],[Benefit Name]]="My Value Plus Life - Main Member",Table2[[#This Row],[Benefit Name]]="My Value Plus Life - Spouse"),0,
IFERROR(VLOOKUP($G627,INDIRECT($O627),$P627,FALSE),0))</f>
        <v>0</v>
      </c>
      <c r="R627" s="288">
        <f ca="1">IF(OR(Table2[[#This Row],[Benefit Name]]="My Value Plus Life - Main Member",Table2[[#This Row],[Benefit Name]]="My Value Plus Life - Spouse"),0,
IFERROR(VLOOKUP($G627,INDIRECT($O627),$P627+1,FALSE),0))</f>
        <v>0</v>
      </c>
      <c r="S627" s="289">
        <f t="shared" ca="1" si="66"/>
        <v>0</v>
      </c>
      <c r="T627" s="284" t="str">
        <f>IF(Table13[[#This Row],[Premium Waiver]]="","None",Table13[[#This Row],[Premium Waiver]])</f>
        <v>None</v>
      </c>
      <c r="U627" s="284">
        <f>Table13[[#This Row],[VAPs Options]]</f>
        <v>0</v>
      </c>
      <c r="V627" s="284">
        <f>Table13[[#This Row],[Annual Increase Option]]</f>
        <v>0</v>
      </c>
      <c r="W627" s="290">
        <f>Table13[[#This Row],[Life Cover Amount]]</f>
        <v>0</v>
      </c>
      <c r="X627" s="290">
        <f>Table13[[#This Row],[Funeral Cover Amount]]</f>
        <v>0</v>
      </c>
      <c r="Y62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2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27" s="301">
        <f t="shared" ca="1" si="67"/>
        <v>0</v>
      </c>
      <c r="AB627" s="298"/>
      <c r="AC627" s="326" t="str">
        <f>IF(Table2[[#This Row],[Member Type]]="Main Member",Lookups!$C$13,
IF(Table2[[#This Row],[Member Type]]="Spouse",_xlfn.XLOOKUP(B627,Table2[Main Member Link ID],Table2[Product Option],0),
IF(AND(Table2[[#This Row],[Member Type]]="Child",_xlfn.XLOOKUP(B627,Table2[Main Member Link ID],Table2[Product Option],0)&lt;&gt;"My Value Plus Life"),Lookups!$C$24,
IF(AND(OR(Table2[[#This Row],[Member Type]]="Parent",Table2[[#This Row],[Member Type]]="Extended"),_xlfn.XLOOKUP(B627,Table2[Main Member Link ID],Table2[Product Option],0)&lt;&gt;"My Value Plus Life"),Lookups!$C$26,""))))</f>
        <v/>
      </c>
      <c r="AD627" s="326" t="str">
        <f>IF(Table2[[#This Row],[Member Type]]="Main Member",Lookups!$C$14,"")</f>
        <v/>
      </c>
      <c r="AE62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Funeral",_xlfn.XLOOKUP(B627,Table2[Main Member Link ID],Table2[Benefit Name],0)=Lookups!$D$14),"",
IF(AND(Table2[[#This Row],[Member Type]]="Spouse",Table2[[#This Row],[Product Option]]="My Value Plus Life &amp; Funeral",_xlfn.XLOOKUP(B626,Table2[Main Member Link ID],Table2[Benefit Name],0)=Lookups!$D$15),Lookups!$D$20,
IF(AND(Table2[[#This Row],[Member Type]]="Spouse",Table2[[#This Row],[Product Option]]="My Value Plus Life &amp; Funeral",_xlfn.XLOOKUP(B626,Table2[Main Member Link ID],Table2[Benefit Name],0)=Lookups!$D$16),"",
IF(AND(Table2[[#This Row],[Member Type]]="Spouse",Table2[[#This Row],[Product Option]]="My Value Plus Life &amp; Funeral",_xlfn.XLOOKUP(B626,Table2[Main Member Link ID],Table2[Benefit Name],0)=Lookups!$D$17),Lookups!$D$21,
IF(AND(Table2[[#This Row],[Member Type]]="Child",Table2[[#This Row],[Product Option]]="My Value Plus Life &amp; Funeral",_xlfn.XLOOKUP(B627,Table2[Main Member Link ID],Table2[Benefit Name],0)=Lookups!$D$14),"",
IF(AND(Table2[[#This Row],[Member Type]]="Child",Table2[[#This Row],[Product Option]]="My Value Plus Life &amp; Funeral",_xlfn.XLOOKUP(B627,Table2[Main Member Link ID],Table2[Benefit Name],0)=Lookups!$D$15),"",
IF(AND(Table2[[#This Row],[Member Type]]="Child",Table2[[#This Row],[Product Option]]="My Value Plus Life &amp; Funeral",_xlfn.XLOOKUP(B627,Table2[Main Member Link ID],Table2[Benefit Name],0)=Lookups!$D$16),Lookups!$D$24,
IF(AND(Table2[[#This Row],[Member Type]]="Child",Table2[[#This Row],[Product Option]]="My Value Plus Life &amp; Funeral",_xlfn.XLOOKUP(B627,Table2[Main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Funeral",_xlfn.XLOOKUP(B627,Table2[Main Member Link ID],Table2[Benefit Name],0)&lt;&gt;Lookups!$D$14),
IF(_xlfn.XLOOKUP(B627,Table2[Main Member Link ID],Table2[Benefit Name],0)=0,"",_xlfn.XLOOKUP(B627,Table2[Main Member Link ID],Table2[Benefit Name],0)),"")))))))))))))))</f>
        <v/>
      </c>
      <c r="AF627" s="327" t="str">
        <f>IF(AND(Table2[[#This Row],[Member Type]]="Main Member",Table2[[#This Row],[Product Option]]="My Value Plus Life &amp; Funeral"),Lookups!$D$15,
IF(AND(Table2[[#This Row],[Member Type]]="Spouse",Table2[[#This Row],[Product Option]]="My Value Plus Life &amp; Funeral",_xlfn.XLOOKUP(B627,Table2[Main Member Link ID],Table2[Benefit Name],0)=Lookups!$D$14),"",
IF(AND(Table2[[#This Row],[Member Type]]="Spouse",Table2[[#This Row],[Product Option]]="My Value Plus Life &amp; Funeral",_xlfn.XLOOKUP(B626,Table2[Main Member Link ID],Table2[Benefit Name],0)=Lookups!$D$16),"",
IF(AND(Table2[[#This Row],[Member Type]]="Spouse",Table2[[#This Row],[Product Option]]="My Value Plus Life &amp; Funeral",_xlfn.XLOOKUP(B626,Table2[Main Member Link ID],Table2[Benefit Name],0)=Lookups!$D$15),"",
IF(AND(Table2[[#This Row],[Member Type]]="Spouse",Table2[[#This Row],[Product Option]]="My Value Plus Life &amp; Funeral",_xlfn.XLOOKUP(B626,Table2[Main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Funeral",_xlfn.XLOOKUP(B627,Table2[Main Member Link ID],Table2[Benefit Name],0)&lt;&gt;Lookups!$D$15),
IF(_xlfn.XLOOKUP(B627,Table2[Main Member Link ID],Table2[Benefit Name],0)=0,"",_xlfn.XLOOKUP(B627,Table2[Main Member Link ID],Table2[Benefit Name],0)),"")
))))))</f>
        <v/>
      </c>
      <c r="AG627" s="327" t="str">
        <f>IF(AND(Table2[[#This Row],[Member Type]]="Main Member",Table2[[#This Row],[Product Option]]="My Value Plus Life &amp; Funeral"),Lookups!$D$16,
IF(AND(Table2[[#This Row],[Member Type]]="Spouse",Table2[[#This Row],[Product Option]]="My Value Plus Life &amp; Funeral",_xlfn.XLOOKUP(B627,Table2[Main Member Link ID],Table2[Benefit Name],0)=Lookups!$D$14),"",
IF(AND(Table2[[#This Row],[Member Type]]="Spouse",Table2[[#This Row],[Product Option]]="My Value Plus Life &amp; Funeral",_xlfn.XLOOKUP(B626,Table2[Main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Funeral",_xlfn.XLOOKUP(B627,Table2[Main Member Link ID],Table2[Benefit Name],0)&lt;&gt;Lookups!$D$16),
IF(_xlfn.XLOOKUP(B627,Table2[Main Member Link ID],Table2[Benefit Name],0)=0,"",_xlfn.XLOOKUP(B627,Table2[Main Member Link ID],Table2[Benefit Name],0)),"")
))))</f>
        <v/>
      </c>
      <c r="AH627" s="327" t="str">
        <f>IF(AND(Table2[[#This Row],[Member Type]]="Main Member",Table2[[#This Row],[Product Option]]="My Value Plus Life &amp; Funeral"),Lookups!$D$17,
IF(AND(Table2[[#This Row],[Member Type]]="Spouse",Table2[[#This Row],[Product Option]]="My Value Plus Life &amp; Funeral",_xlfn.XLOOKUP(B627,Table2[Main Member Link ID],Table2[Benefit Name],0)=Lookups!$D$14),"",
IF(AND(Table2[[#This Row],[Member Type]]="Spouse",Table2[[#This Row],[Product Option]]="My Value Plus Life &amp; Funeral",_xlfn.XLOOKUP(B626,Table2[Main Member Link ID],Table2[Benefit Name],0)=Lookups!$D$16),"",
IF(AND(Table2[[#This Row],[Member Type]]="Child",Table2[[#This Row],[Product Option]]="My Value Plus Life &amp; Funeral"),"",
IF(AND(Table2[[#This Row],[Member Type]]="Child",Table2[[#This Row],[Product Option]]="My Value Plus Life &amp; Funeral",_xlfn.XLOOKUP(B627,Table2[Main Member Link ID],Table2[Benefit Name],0)=Lookups!$D$15),"",
IF(AND(OR(Table2[[#This Row],[Member Type]]="Spouse",Table2[[#This Row],[Member Type]]="Child"),Table2[[#This Row],[Product Option]]="My Value Plus Life &amp; Funeral",_xlfn.XLOOKUP(B627,Table2[Main Member Link ID],Table2[Benefit Name],0)&lt;&gt;Lookups!$D$17),
IF(_xlfn.XLOOKUP(B627,Table2[Main Member Link ID],Table2[Benefit Name],0)=0,"",_xlfn.XLOOKUP(B627,Table2[Main Member Link ID],Table2[Benefit Name],0)),""))))))</f>
        <v/>
      </c>
      <c r="AI627" s="328" t="str">
        <f>IF(AND(Table2[[#This Row],[Member Type]]="Main Member",Table2[[#This Row],[Table Lookup for Life Cover]]="MM_LIFE",Table2[[#This Row],[Age Next Birthday]]&lt;56),1,
IF(AND(Table2[[#This Row],[Member Type]]="Main Member",Table2[[#This Row],[Table Lookup for Life Cover]]="MM_LIFE",Table2[[#This Row],[Age Next Birthday]]&gt;=56),2,
""))</f>
        <v/>
      </c>
      <c r="AJ627" s="328">
        <f>IF(OR(Table2[[#This Row],[Member Type]]="Main Member",Table2[[#This Row],[Main Member Link ID]]=B626),1,0)</f>
        <v>1</v>
      </c>
      <c r="AK627" s="328">
        <f>IF(Table2[[#This Row],[Member Type]]=0,0,
IF(OR(Table2[[#This Row],[Member Type]]="Main Member",Table2[[#This Row],[Main Member Link ID]]&lt;&gt;B627),COUNTIFS(B:B,Table2[[#This Row],[Main Member Link ID]]),
COUNTIFS(B:B,Table2[[#This Row],[Main Member Link ID]],A:A,Table2[[#This Row],[Member Type]])))</f>
        <v>0</v>
      </c>
    </row>
    <row r="628" spans="1:37" x14ac:dyDescent="0.3">
      <c r="A628" s="284">
        <f>Table13[[#This Row],[Member Type]]</f>
        <v>0</v>
      </c>
      <c r="B628" s="284">
        <f>Table13[[#This Row],[Main Member Link ID]]</f>
        <v>0</v>
      </c>
      <c r="C628" s="284">
        <f>Table13[[#This Row],[ID Number]]</f>
        <v>0</v>
      </c>
      <c r="D628" s="285">
        <f>Table13[[#This Row],[Date Of Birth]]</f>
        <v>0</v>
      </c>
      <c r="E628" s="285">
        <f>Table13[[#This Row],[Commencement Date]]</f>
        <v>0</v>
      </c>
      <c r="F628" s="284">
        <f t="shared" si="63"/>
        <v>1</v>
      </c>
      <c r="G628" s="284">
        <f t="shared" si="64"/>
        <v>25</v>
      </c>
      <c r="H628" s="286">
        <f>Table13[[#This Row],[Product Option]]</f>
        <v>0</v>
      </c>
      <c r="I628" s="284">
        <f>IF(AND($A628="Main Member",Table2[[#This Row],[Product Option]]="My Value Plus Life"),"MM_LIFE",
IF(AND($A628="Spouse",Table2[[#This Row],[Product Option]]="My Value Plus Life"),"SP_LIFE",
IF(AND($A628="Main Member",Table2[[#This Row],[Product Option]]="My Value Plus Life &amp; Funeral"),"MM_LIFE",
IF(AND($A628="Spouse",Table2[[#This Row],[Product Option]]="My Value Plus Life &amp; Funeral"),_xlfn.XLOOKUP(Table2[[#This Row],[Benefit Name]],Lookups!$D$18:$D$23,Lookups!$E$18:$E$23,0),
0))))</f>
        <v>0</v>
      </c>
      <c r="J628" s="284">
        <f>IF($I628="","",
IF($I628="MM_LIFE",INDEX('Quotation Tool'!$S$54:$V$60,MATCH($T628,'Quotation Tool'!$S$54:$S$60,0),4),
IF($I628="SP_LIFE",_xlfn.XLOOKUP(B627,$B:$B,$J:$J,0),0)))</f>
        <v>0</v>
      </c>
      <c r="K628" s="287">
        <f t="shared" ca="1" si="68"/>
        <v>0</v>
      </c>
      <c r="L628" s="288">
        <f t="shared" ca="1" si="69"/>
        <v>0</v>
      </c>
      <c r="M628" s="289">
        <f t="shared" ca="1" si="65"/>
        <v>0</v>
      </c>
      <c r="N628" s="286">
        <f>Table13[[#This Row],[Benefit Option]]</f>
        <v>0</v>
      </c>
      <c r="O628" s="284">
        <f>IF(OR(Table2[[#This Row],[Member Type]]="Spouse",Table2[[#This Row],[Member Type]]="Child"),0,
IF(_xlfn.XLOOKUP($N628,Lookups!$D$13:$D$27,Lookups!$F$13:$F$27,0)=Table2[[#This Row],[Table Lookup for Life Cover]],0,
_xlfn.XLOOKUP($N628,Lookups!$D$13:$D$27,Lookups!$F$13:$F$27,0)))</f>
        <v>0</v>
      </c>
      <c r="P628" s="284">
        <f>IF(Table2[[#This Row],[Table Lookup for Funeral]]=0,0,IFERROR(INDEX('Quotation Tool'!$S$54:$V$60,MATCH($T628,'Quotation Tool'!$S$54:$S$60,0),3),0))</f>
        <v>0</v>
      </c>
      <c r="Q628" s="288">
        <f ca="1">IF(OR(Table2[[#This Row],[Benefit Name]]="My Value Plus Life - Main Member",Table2[[#This Row],[Benefit Name]]="My Value Plus Life - Spouse"),0,
IFERROR(VLOOKUP($G628,INDIRECT($O628),$P628,FALSE),0))</f>
        <v>0</v>
      </c>
      <c r="R628" s="288">
        <f ca="1">IF(OR(Table2[[#This Row],[Benefit Name]]="My Value Plus Life - Main Member",Table2[[#This Row],[Benefit Name]]="My Value Plus Life - Spouse"),0,
IFERROR(VLOOKUP($G628,INDIRECT($O628),$P628+1,FALSE),0))</f>
        <v>0</v>
      </c>
      <c r="S628" s="289">
        <f t="shared" ca="1" si="66"/>
        <v>0</v>
      </c>
      <c r="T628" s="284" t="str">
        <f>IF(Table13[[#This Row],[Premium Waiver]]="","None",Table13[[#This Row],[Premium Waiver]])</f>
        <v>None</v>
      </c>
      <c r="U628" s="284">
        <f>Table13[[#This Row],[VAPs Options]]</f>
        <v>0</v>
      </c>
      <c r="V628" s="284">
        <f>Table13[[#This Row],[Annual Increase Option]]</f>
        <v>0</v>
      </c>
      <c r="W628" s="290">
        <f>Table13[[#This Row],[Life Cover Amount]]</f>
        <v>0</v>
      </c>
      <c r="X628" s="290">
        <f>Table13[[#This Row],[Funeral Cover Amount]]</f>
        <v>0</v>
      </c>
      <c r="Y62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2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28" s="301">
        <f t="shared" ca="1" si="67"/>
        <v>0</v>
      </c>
      <c r="AB628" s="298"/>
      <c r="AC628" s="326" t="str">
        <f>IF(Table2[[#This Row],[Member Type]]="Main Member",Lookups!$C$13,
IF(Table2[[#This Row],[Member Type]]="Spouse",_xlfn.XLOOKUP(B628,Table2[Main Member Link ID],Table2[Product Option],0),
IF(AND(Table2[[#This Row],[Member Type]]="Child",_xlfn.XLOOKUP(B628,Table2[Main Member Link ID],Table2[Product Option],0)&lt;&gt;"My Value Plus Life"),Lookups!$C$24,
IF(AND(OR(Table2[[#This Row],[Member Type]]="Parent",Table2[[#This Row],[Member Type]]="Extended"),_xlfn.XLOOKUP(B628,Table2[Main Member Link ID],Table2[Product Option],0)&lt;&gt;"My Value Plus Life"),Lookups!$C$26,""))))</f>
        <v/>
      </c>
      <c r="AD628" s="326" t="str">
        <f>IF(Table2[[#This Row],[Member Type]]="Main Member",Lookups!$C$14,"")</f>
        <v/>
      </c>
      <c r="AE62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Funeral",_xlfn.XLOOKUP(B628,Table2[Main Member Link ID],Table2[Benefit Name],0)=Lookups!$D$14),"",
IF(AND(Table2[[#This Row],[Member Type]]="Spouse",Table2[[#This Row],[Product Option]]="My Value Plus Life &amp; Funeral",_xlfn.XLOOKUP(B627,Table2[Main Member Link ID],Table2[Benefit Name],0)=Lookups!$D$15),Lookups!$D$20,
IF(AND(Table2[[#This Row],[Member Type]]="Spouse",Table2[[#This Row],[Product Option]]="My Value Plus Life &amp; Funeral",_xlfn.XLOOKUP(B627,Table2[Main Member Link ID],Table2[Benefit Name],0)=Lookups!$D$16),"",
IF(AND(Table2[[#This Row],[Member Type]]="Spouse",Table2[[#This Row],[Product Option]]="My Value Plus Life &amp; Funeral",_xlfn.XLOOKUP(B627,Table2[Main Member Link ID],Table2[Benefit Name],0)=Lookups!$D$17),Lookups!$D$21,
IF(AND(Table2[[#This Row],[Member Type]]="Child",Table2[[#This Row],[Product Option]]="My Value Plus Life &amp; Funeral",_xlfn.XLOOKUP(B628,Table2[Main Member Link ID],Table2[Benefit Name],0)=Lookups!$D$14),"",
IF(AND(Table2[[#This Row],[Member Type]]="Child",Table2[[#This Row],[Product Option]]="My Value Plus Life &amp; Funeral",_xlfn.XLOOKUP(B628,Table2[Main Member Link ID],Table2[Benefit Name],0)=Lookups!$D$15),"",
IF(AND(Table2[[#This Row],[Member Type]]="Child",Table2[[#This Row],[Product Option]]="My Value Plus Life &amp; Funeral",_xlfn.XLOOKUP(B628,Table2[Main Member Link ID],Table2[Benefit Name],0)=Lookups!$D$16),Lookups!$D$24,
IF(AND(Table2[[#This Row],[Member Type]]="Child",Table2[[#This Row],[Product Option]]="My Value Plus Life &amp; Funeral",_xlfn.XLOOKUP(B628,Table2[Main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Funeral",_xlfn.XLOOKUP(B628,Table2[Main Member Link ID],Table2[Benefit Name],0)&lt;&gt;Lookups!$D$14),
IF(_xlfn.XLOOKUP(B628,Table2[Main Member Link ID],Table2[Benefit Name],0)=0,"",_xlfn.XLOOKUP(B628,Table2[Main Member Link ID],Table2[Benefit Name],0)),"")))))))))))))))</f>
        <v/>
      </c>
      <c r="AF628" s="327" t="str">
        <f>IF(AND(Table2[[#This Row],[Member Type]]="Main Member",Table2[[#This Row],[Product Option]]="My Value Plus Life &amp; Funeral"),Lookups!$D$15,
IF(AND(Table2[[#This Row],[Member Type]]="Spouse",Table2[[#This Row],[Product Option]]="My Value Plus Life &amp; Funeral",_xlfn.XLOOKUP(B628,Table2[Main Member Link ID],Table2[Benefit Name],0)=Lookups!$D$14),"",
IF(AND(Table2[[#This Row],[Member Type]]="Spouse",Table2[[#This Row],[Product Option]]="My Value Plus Life &amp; Funeral",_xlfn.XLOOKUP(B627,Table2[Main Member Link ID],Table2[Benefit Name],0)=Lookups!$D$16),"",
IF(AND(Table2[[#This Row],[Member Type]]="Spouse",Table2[[#This Row],[Product Option]]="My Value Plus Life &amp; Funeral",_xlfn.XLOOKUP(B627,Table2[Main Member Link ID],Table2[Benefit Name],0)=Lookups!$D$15),"",
IF(AND(Table2[[#This Row],[Member Type]]="Spouse",Table2[[#This Row],[Product Option]]="My Value Plus Life &amp; Funeral",_xlfn.XLOOKUP(B627,Table2[Main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Funeral",_xlfn.XLOOKUP(B628,Table2[Main Member Link ID],Table2[Benefit Name],0)&lt;&gt;Lookups!$D$15),
IF(_xlfn.XLOOKUP(B628,Table2[Main Member Link ID],Table2[Benefit Name],0)=0,"",_xlfn.XLOOKUP(B628,Table2[Main Member Link ID],Table2[Benefit Name],0)),"")
))))))</f>
        <v/>
      </c>
      <c r="AG628" s="327" t="str">
        <f>IF(AND(Table2[[#This Row],[Member Type]]="Main Member",Table2[[#This Row],[Product Option]]="My Value Plus Life &amp; Funeral"),Lookups!$D$16,
IF(AND(Table2[[#This Row],[Member Type]]="Spouse",Table2[[#This Row],[Product Option]]="My Value Plus Life &amp; Funeral",_xlfn.XLOOKUP(B628,Table2[Main Member Link ID],Table2[Benefit Name],0)=Lookups!$D$14),"",
IF(AND(Table2[[#This Row],[Member Type]]="Spouse",Table2[[#This Row],[Product Option]]="My Value Plus Life &amp; Funeral",_xlfn.XLOOKUP(B627,Table2[Main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Funeral",_xlfn.XLOOKUP(B628,Table2[Main Member Link ID],Table2[Benefit Name],0)&lt;&gt;Lookups!$D$16),
IF(_xlfn.XLOOKUP(B628,Table2[Main Member Link ID],Table2[Benefit Name],0)=0,"",_xlfn.XLOOKUP(B628,Table2[Main Member Link ID],Table2[Benefit Name],0)),"")
))))</f>
        <v/>
      </c>
      <c r="AH628" s="327" t="str">
        <f>IF(AND(Table2[[#This Row],[Member Type]]="Main Member",Table2[[#This Row],[Product Option]]="My Value Plus Life &amp; Funeral"),Lookups!$D$17,
IF(AND(Table2[[#This Row],[Member Type]]="Spouse",Table2[[#This Row],[Product Option]]="My Value Plus Life &amp; Funeral",_xlfn.XLOOKUP(B628,Table2[Main Member Link ID],Table2[Benefit Name],0)=Lookups!$D$14),"",
IF(AND(Table2[[#This Row],[Member Type]]="Spouse",Table2[[#This Row],[Product Option]]="My Value Plus Life &amp; Funeral",_xlfn.XLOOKUP(B627,Table2[Main Member Link ID],Table2[Benefit Name],0)=Lookups!$D$16),"",
IF(AND(Table2[[#This Row],[Member Type]]="Child",Table2[[#This Row],[Product Option]]="My Value Plus Life &amp; Funeral"),"",
IF(AND(Table2[[#This Row],[Member Type]]="Child",Table2[[#This Row],[Product Option]]="My Value Plus Life &amp; Funeral",_xlfn.XLOOKUP(B628,Table2[Main Member Link ID],Table2[Benefit Name],0)=Lookups!$D$15),"",
IF(AND(OR(Table2[[#This Row],[Member Type]]="Spouse",Table2[[#This Row],[Member Type]]="Child"),Table2[[#This Row],[Product Option]]="My Value Plus Life &amp; Funeral",_xlfn.XLOOKUP(B628,Table2[Main Member Link ID],Table2[Benefit Name],0)&lt;&gt;Lookups!$D$17),
IF(_xlfn.XLOOKUP(B628,Table2[Main Member Link ID],Table2[Benefit Name],0)=0,"",_xlfn.XLOOKUP(B628,Table2[Main Member Link ID],Table2[Benefit Name],0)),""))))))</f>
        <v/>
      </c>
      <c r="AI628" s="328" t="str">
        <f>IF(AND(Table2[[#This Row],[Member Type]]="Main Member",Table2[[#This Row],[Table Lookup for Life Cover]]="MM_LIFE",Table2[[#This Row],[Age Next Birthday]]&lt;56),1,
IF(AND(Table2[[#This Row],[Member Type]]="Main Member",Table2[[#This Row],[Table Lookup for Life Cover]]="MM_LIFE",Table2[[#This Row],[Age Next Birthday]]&gt;=56),2,
""))</f>
        <v/>
      </c>
      <c r="AJ628" s="328">
        <f>IF(OR(Table2[[#This Row],[Member Type]]="Main Member",Table2[[#This Row],[Main Member Link ID]]=B627),1,0)</f>
        <v>1</v>
      </c>
      <c r="AK628" s="328">
        <f>IF(Table2[[#This Row],[Member Type]]=0,0,
IF(OR(Table2[[#This Row],[Member Type]]="Main Member",Table2[[#This Row],[Main Member Link ID]]&lt;&gt;B628),COUNTIFS(B:B,Table2[[#This Row],[Main Member Link ID]]),
COUNTIFS(B:B,Table2[[#This Row],[Main Member Link ID]],A:A,Table2[[#This Row],[Member Type]])))</f>
        <v>0</v>
      </c>
    </row>
    <row r="629" spans="1:37" x14ac:dyDescent="0.3">
      <c r="A629" s="284">
        <f>Table13[[#This Row],[Member Type]]</f>
        <v>0</v>
      </c>
      <c r="B629" s="284">
        <f>Table13[[#This Row],[Main Member Link ID]]</f>
        <v>0</v>
      </c>
      <c r="C629" s="284">
        <f>Table13[[#This Row],[ID Number]]</f>
        <v>0</v>
      </c>
      <c r="D629" s="285">
        <f>Table13[[#This Row],[Date Of Birth]]</f>
        <v>0</v>
      </c>
      <c r="E629" s="285">
        <f>Table13[[#This Row],[Commencement Date]]</f>
        <v>0</v>
      </c>
      <c r="F629" s="284">
        <f t="shared" si="63"/>
        <v>1</v>
      </c>
      <c r="G629" s="284">
        <f t="shared" si="64"/>
        <v>25</v>
      </c>
      <c r="H629" s="286">
        <f>Table13[[#This Row],[Product Option]]</f>
        <v>0</v>
      </c>
      <c r="I629" s="284">
        <f>IF(AND($A629="Main Member",Table2[[#This Row],[Product Option]]="My Value Plus Life"),"MM_LIFE",
IF(AND($A629="Spouse",Table2[[#This Row],[Product Option]]="My Value Plus Life"),"SP_LIFE",
IF(AND($A629="Main Member",Table2[[#This Row],[Product Option]]="My Value Plus Life &amp; Funeral"),"MM_LIFE",
IF(AND($A629="Spouse",Table2[[#This Row],[Product Option]]="My Value Plus Life &amp; Funeral"),_xlfn.XLOOKUP(Table2[[#This Row],[Benefit Name]],Lookups!$D$18:$D$23,Lookups!$E$18:$E$23,0),
0))))</f>
        <v>0</v>
      </c>
      <c r="J629" s="284">
        <f>IF($I629="","",
IF($I629="MM_LIFE",INDEX('Quotation Tool'!$S$54:$V$60,MATCH($T629,'Quotation Tool'!$S$54:$S$60,0),4),
IF($I629="SP_LIFE",_xlfn.XLOOKUP(B628,$B:$B,$J:$J,0),0)))</f>
        <v>0</v>
      </c>
      <c r="K629" s="287">
        <f t="shared" ca="1" si="68"/>
        <v>0</v>
      </c>
      <c r="L629" s="288">
        <f t="shared" ca="1" si="69"/>
        <v>0</v>
      </c>
      <c r="M629" s="289">
        <f t="shared" ca="1" si="65"/>
        <v>0</v>
      </c>
      <c r="N629" s="286">
        <f>Table13[[#This Row],[Benefit Option]]</f>
        <v>0</v>
      </c>
      <c r="O629" s="284">
        <f>IF(OR(Table2[[#This Row],[Member Type]]="Spouse",Table2[[#This Row],[Member Type]]="Child"),0,
IF(_xlfn.XLOOKUP($N629,Lookups!$D$13:$D$27,Lookups!$F$13:$F$27,0)=Table2[[#This Row],[Table Lookup for Life Cover]],0,
_xlfn.XLOOKUP($N629,Lookups!$D$13:$D$27,Lookups!$F$13:$F$27,0)))</f>
        <v>0</v>
      </c>
      <c r="P629" s="284">
        <f>IF(Table2[[#This Row],[Table Lookup for Funeral]]=0,0,IFERROR(INDEX('Quotation Tool'!$S$54:$V$60,MATCH($T629,'Quotation Tool'!$S$54:$S$60,0),3),0))</f>
        <v>0</v>
      </c>
      <c r="Q629" s="288">
        <f ca="1">IF(OR(Table2[[#This Row],[Benefit Name]]="My Value Plus Life - Main Member",Table2[[#This Row],[Benefit Name]]="My Value Plus Life - Spouse"),0,
IFERROR(VLOOKUP($G629,INDIRECT($O629),$P629,FALSE),0))</f>
        <v>0</v>
      </c>
      <c r="R629" s="288">
        <f ca="1">IF(OR(Table2[[#This Row],[Benefit Name]]="My Value Plus Life - Main Member",Table2[[#This Row],[Benefit Name]]="My Value Plus Life - Spouse"),0,
IFERROR(VLOOKUP($G629,INDIRECT($O629),$P629+1,FALSE),0))</f>
        <v>0</v>
      </c>
      <c r="S629" s="289">
        <f t="shared" ca="1" si="66"/>
        <v>0</v>
      </c>
      <c r="T629" s="284" t="str">
        <f>IF(Table13[[#This Row],[Premium Waiver]]="","None",Table13[[#This Row],[Premium Waiver]])</f>
        <v>None</v>
      </c>
      <c r="U629" s="284">
        <f>Table13[[#This Row],[VAPs Options]]</f>
        <v>0</v>
      </c>
      <c r="V629" s="284">
        <f>Table13[[#This Row],[Annual Increase Option]]</f>
        <v>0</v>
      </c>
      <c r="W629" s="290">
        <f>Table13[[#This Row],[Life Cover Amount]]</f>
        <v>0</v>
      </c>
      <c r="X629" s="290">
        <f>Table13[[#This Row],[Funeral Cover Amount]]</f>
        <v>0</v>
      </c>
      <c r="Y62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2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29" s="301">
        <f t="shared" ca="1" si="67"/>
        <v>0</v>
      </c>
      <c r="AB629" s="298"/>
      <c r="AC629" s="326" t="str">
        <f>IF(Table2[[#This Row],[Member Type]]="Main Member",Lookups!$C$13,
IF(Table2[[#This Row],[Member Type]]="Spouse",_xlfn.XLOOKUP(B629,Table2[Main Member Link ID],Table2[Product Option],0),
IF(AND(Table2[[#This Row],[Member Type]]="Child",_xlfn.XLOOKUP(B629,Table2[Main Member Link ID],Table2[Product Option],0)&lt;&gt;"My Value Plus Life"),Lookups!$C$24,
IF(AND(OR(Table2[[#This Row],[Member Type]]="Parent",Table2[[#This Row],[Member Type]]="Extended"),_xlfn.XLOOKUP(B629,Table2[Main Member Link ID],Table2[Product Option],0)&lt;&gt;"My Value Plus Life"),Lookups!$C$26,""))))</f>
        <v/>
      </c>
      <c r="AD629" s="326" t="str">
        <f>IF(Table2[[#This Row],[Member Type]]="Main Member",Lookups!$C$14,"")</f>
        <v/>
      </c>
      <c r="AE62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Funeral",_xlfn.XLOOKUP(B629,Table2[Main Member Link ID],Table2[Benefit Name],0)=Lookups!$D$14),"",
IF(AND(Table2[[#This Row],[Member Type]]="Spouse",Table2[[#This Row],[Product Option]]="My Value Plus Life &amp; Funeral",_xlfn.XLOOKUP(B628,Table2[Main Member Link ID],Table2[Benefit Name],0)=Lookups!$D$15),Lookups!$D$20,
IF(AND(Table2[[#This Row],[Member Type]]="Spouse",Table2[[#This Row],[Product Option]]="My Value Plus Life &amp; Funeral",_xlfn.XLOOKUP(B628,Table2[Main Member Link ID],Table2[Benefit Name],0)=Lookups!$D$16),"",
IF(AND(Table2[[#This Row],[Member Type]]="Spouse",Table2[[#This Row],[Product Option]]="My Value Plus Life &amp; Funeral",_xlfn.XLOOKUP(B628,Table2[Main Member Link ID],Table2[Benefit Name],0)=Lookups!$D$17),Lookups!$D$21,
IF(AND(Table2[[#This Row],[Member Type]]="Child",Table2[[#This Row],[Product Option]]="My Value Plus Life &amp; Funeral",_xlfn.XLOOKUP(B629,Table2[Main Member Link ID],Table2[Benefit Name],0)=Lookups!$D$14),"",
IF(AND(Table2[[#This Row],[Member Type]]="Child",Table2[[#This Row],[Product Option]]="My Value Plus Life &amp; Funeral",_xlfn.XLOOKUP(B629,Table2[Main Member Link ID],Table2[Benefit Name],0)=Lookups!$D$15),"",
IF(AND(Table2[[#This Row],[Member Type]]="Child",Table2[[#This Row],[Product Option]]="My Value Plus Life &amp; Funeral",_xlfn.XLOOKUP(B629,Table2[Main Member Link ID],Table2[Benefit Name],0)=Lookups!$D$16),Lookups!$D$24,
IF(AND(Table2[[#This Row],[Member Type]]="Child",Table2[[#This Row],[Product Option]]="My Value Plus Life &amp; Funeral",_xlfn.XLOOKUP(B629,Table2[Main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Funeral",_xlfn.XLOOKUP(B629,Table2[Main Member Link ID],Table2[Benefit Name],0)&lt;&gt;Lookups!$D$14),
IF(_xlfn.XLOOKUP(B629,Table2[Main Member Link ID],Table2[Benefit Name],0)=0,"",_xlfn.XLOOKUP(B629,Table2[Main Member Link ID],Table2[Benefit Name],0)),"")))))))))))))))</f>
        <v/>
      </c>
      <c r="AF629" s="327" t="str">
        <f>IF(AND(Table2[[#This Row],[Member Type]]="Main Member",Table2[[#This Row],[Product Option]]="My Value Plus Life &amp; Funeral"),Lookups!$D$15,
IF(AND(Table2[[#This Row],[Member Type]]="Spouse",Table2[[#This Row],[Product Option]]="My Value Plus Life &amp; Funeral",_xlfn.XLOOKUP(B629,Table2[Main Member Link ID],Table2[Benefit Name],0)=Lookups!$D$14),"",
IF(AND(Table2[[#This Row],[Member Type]]="Spouse",Table2[[#This Row],[Product Option]]="My Value Plus Life &amp; Funeral",_xlfn.XLOOKUP(B628,Table2[Main Member Link ID],Table2[Benefit Name],0)=Lookups!$D$16),"",
IF(AND(Table2[[#This Row],[Member Type]]="Spouse",Table2[[#This Row],[Product Option]]="My Value Plus Life &amp; Funeral",_xlfn.XLOOKUP(B628,Table2[Main Member Link ID],Table2[Benefit Name],0)=Lookups!$D$15),"",
IF(AND(Table2[[#This Row],[Member Type]]="Spouse",Table2[[#This Row],[Product Option]]="My Value Plus Life &amp; Funeral",_xlfn.XLOOKUP(B628,Table2[Main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Funeral",_xlfn.XLOOKUP(B629,Table2[Main Member Link ID],Table2[Benefit Name],0)&lt;&gt;Lookups!$D$15),
IF(_xlfn.XLOOKUP(B629,Table2[Main Member Link ID],Table2[Benefit Name],0)=0,"",_xlfn.XLOOKUP(B629,Table2[Main Member Link ID],Table2[Benefit Name],0)),"")
))))))</f>
        <v/>
      </c>
      <c r="AG629" s="327" t="str">
        <f>IF(AND(Table2[[#This Row],[Member Type]]="Main Member",Table2[[#This Row],[Product Option]]="My Value Plus Life &amp; Funeral"),Lookups!$D$16,
IF(AND(Table2[[#This Row],[Member Type]]="Spouse",Table2[[#This Row],[Product Option]]="My Value Plus Life &amp; Funeral",_xlfn.XLOOKUP(B629,Table2[Main Member Link ID],Table2[Benefit Name],0)=Lookups!$D$14),"",
IF(AND(Table2[[#This Row],[Member Type]]="Spouse",Table2[[#This Row],[Product Option]]="My Value Plus Life &amp; Funeral",_xlfn.XLOOKUP(B628,Table2[Main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Funeral",_xlfn.XLOOKUP(B629,Table2[Main Member Link ID],Table2[Benefit Name],0)&lt;&gt;Lookups!$D$16),
IF(_xlfn.XLOOKUP(B629,Table2[Main Member Link ID],Table2[Benefit Name],0)=0,"",_xlfn.XLOOKUP(B629,Table2[Main Member Link ID],Table2[Benefit Name],0)),"")
))))</f>
        <v/>
      </c>
      <c r="AH629" s="327" t="str">
        <f>IF(AND(Table2[[#This Row],[Member Type]]="Main Member",Table2[[#This Row],[Product Option]]="My Value Plus Life &amp; Funeral"),Lookups!$D$17,
IF(AND(Table2[[#This Row],[Member Type]]="Spouse",Table2[[#This Row],[Product Option]]="My Value Plus Life &amp; Funeral",_xlfn.XLOOKUP(B629,Table2[Main Member Link ID],Table2[Benefit Name],0)=Lookups!$D$14),"",
IF(AND(Table2[[#This Row],[Member Type]]="Spouse",Table2[[#This Row],[Product Option]]="My Value Plus Life &amp; Funeral",_xlfn.XLOOKUP(B628,Table2[Main Member Link ID],Table2[Benefit Name],0)=Lookups!$D$16),"",
IF(AND(Table2[[#This Row],[Member Type]]="Child",Table2[[#This Row],[Product Option]]="My Value Plus Life &amp; Funeral"),"",
IF(AND(Table2[[#This Row],[Member Type]]="Child",Table2[[#This Row],[Product Option]]="My Value Plus Life &amp; Funeral",_xlfn.XLOOKUP(B629,Table2[Main Member Link ID],Table2[Benefit Name],0)=Lookups!$D$15),"",
IF(AND(OR(Table2[[#This Row],[Member Type]]="Spouse",Table2[[#This Row],[Member Type]]="Child"),Table2[[#This Row],[Product Option]]="My Value Plus Life &amp; Funeral",_xlfn.XLOOKUP(B629,Table2[Main Member Link ID],Table2[Benefit Name],0)&lt;&gt;Lookups!$D$17),
IF(_xlfn.XLOOKUP(B629,Table2[Main Member Link ID],Table2[Benefit Name],0)=0,"",_xlfn.XLOOKUP(B629,Table2[Main Member Link ID],Table2[Benefit Name],0)),""))))))</f>
        <v/>
      </c>
      <c r="AI629" s="328" t="str">
        <f>IF(AND(Table2[[#This Row],[Member Type]]="Main Member",Table2[[#This Row],[Table Lookup for Life Cover]]="MM_LIFE",Table2[[#This Row],[Age Next Birthday]]&lt;56),1,
IF(AND(Table2[[#This Row],[Member Type]]="Main Member",Table2[[#This Row],[Table Lookup for Life Cover]]="MM_LIFE",Table2[[#This Row],[Age Next Birthday]]&gt;=56),2,
""))</f>
        <v/>
      </c>
      <c r="AJ629" s="328">
        <f>IF(OR(Table2[[#This Row],[Member Type]]="Main Member",Table2[[#This Row],[Main Member Link ID]]=B628),1,0)</f>
        <v>1</v>
      </c>
      <c r="AK629" s="328">
        <f>IF(Table2[[#This Row],[Member Type]]=0,0,
IF(OR(Table2[[#This Row],[Member Type]]="Main Member",Table2[[#This Row],[Main Member Link ID]]&lt;&gt;B629),COUNTIFS(B:B,Table2[[#This Row],[Main Member Link ID]]),
COUNTIFS(B:B,Table2[[#This Row],[Main Member Link ID]],A:A,Table2[[#This Row],[Member Type]])))</f>
        <v>0</v>
      </c>
    </row>
    <row r="630" spans="1:37" x14ac:dyDescent="0.3">
      <c r="A630" s="284">
        <f>Table13[[#This Row],[Member Type]]</f>
        <v>0</v>
      </c>
      <c r="B630" s="284">
        <f>Table13[[#This Row],[Main Member Link ID]]</f>
        <v>0</v>
      </c>
      <c r="C630" s="284">
        <f>Table13[[#This Row],[ID Number]]</f>
        <v>0</v>
      </c>
      <c r="D630" s="285">
        <f>Table13[[#This Row],[Date Of Birth]]</f>
        <v>0</v>
      </c>
      <c r="E630" s="285">
        <f>Table13[[#This Row],[Commencement Date]]</f>
        <v>0</v>
      </c>
      <c r="F630" s="284">
        <f t="shared" si="63"/>
        <v>1</v>
      </c>
      <c r="G630" s="284">
        <f t="shared" si="64"/>
        <v>25</v>
      </c>
      <c r="H630" s="286">
        <f>Table13[[#This Row],[Product Option]]</f>
        <v>0</v>
      </c>
      <c r="I630" s="284">
        <f>IF(AND($A630="Main Member",Table2[[#This Row],[Product Option]]="My Value Plus Life"),"MM_LIFE",
IF(AND($A630="Spouse",Table2[[#This Row],[Product Option]]="My Value Plus Life"),"SP_LIFE",
IF(AND($A630="Main Member",Table2[[#This Row],[Product Option]]="My Value Plus Life &amp; Funeral"),"MM_LIFE",
IF(AND($A630="Spouse",Table2[[#This Row],[Product Option]]="My Value Plus Life &amp; Funeral"),_xlfn.XLOOKUP(Table2[[#This Row],[Benefit Name]],Lookups!$D$18:$D$23,Lookups!$E$18:$E$23,0),
0))))</f>
        <v>0</v>
      </c>
      <c r="J630" s="284">
        <f>IF($I630="","",
IF($I630="MM_LIFE",INDEX('Quotation Tool'!$S$54:$V$60,MATCH($T630,'Quotation Tool'!$S$54:$S$60,0),4),
IF($I630="SP_LIFE",_xlfn.XLOOKUP(B629,$B:$B,$J:$J,0),0)))</f>
        <v>0</v>
      </c>
      <c r="K630" s="287">
        <f t="shared" ca="1" si="68"/>
        <v>0</v>
      </c>
      <c r="L630" s="288">
        <f t="shared" ca="1" si="69"/>
        <v>0</v>
      </c>
      <c r="M630" s="289">
        <f t="shared" ca="1" si="65"/>
        <v>0</v>
      </c>
      <c r="N630" s="286">
        <f>Table13[[#This Row],[Benefit Option]]</f>
        <v>0</v>
      </c>
      <c r="O630" s="284">
        <f>IF(OR(Table2[[#This Row],[Member Type]]="Spouse",Table2[[#This Row],[Member Type]]="Child"),0,
IF(_xlfn.XLOOKUP($N630,Lookups!$D$13:$D$27,Lookups!$F$13:$F$27,0)=Table2[[#This Row],[Table Lookup for Life Cover]],0,
_xlfn.XLOOKUP($N630,Lookups!$D$13:$D$27,Lookups!$F$13:$F$27,0)))</f>
        <v>0</v>
      </c>
      <c r="P630" s="284">
        <f>IF(Table2[[#This Row],[Table Lookup for Funeral]]=0,0,IFERROR(INDEX('Quotation Tool'!$S$54:$V$60,MATCH($T630,'Quotation Tool'!$S$54:$S$60,0),3),0))</f>
        <v>0</v>
      </c>
      <c r="Q630" s="288">
        <f ca="1">IF(OR(Table2[[#This Row],[Benefit Name]]="My Value Plus Life - Main Member",Table2[[#This Row],[Benefit Name]]="My Value Plus Life - Spouse"),0,
IFERROR(VLOOKUP($G630,INDIRECT($O630),$P630,FALSE),0))</f>
        <v>0</v>
      </c>
      <c r="R630" s="288">
        <f ca="1">IF(OR(Table2[[#This Row],[Benefit Name]]="My Value Plus Life - Main Member",Table2[[#This Row],[Benefit Name]]="My Value Plus Life - Spouse"),0,
IFERROR(VLOOKUP($G630,INDIRECT($O630),$P630+1,FALSE),0))</f>
        <v>0</v>
      </c>
      <c r="S630" s="289">
        <f t="shared" ca="1" si="66"/>
        <v>0</v>
      </c>
      <c r="T630" s="284" t="str">
        <f>IF(Table13[[#This Row],[Premium Waiver]]="","None",Table13[[#This Row],[Premium Waiver]])</f>
        <v>None</v>
      </c>
      <c r="U630" s="284">
        <f>Table13[[#This Row],[VAPs Options]]</f>
        <v>0</v>
      </c>
      <c r="V630" s="284">
        <f>Table13[[#This Row],[Annual Increase Option]]</f>
        <v>0</v>
      </c>
      <c r="W630" s="290">
        <f>Table13[[#This Row],[Life Cover Amount]]</f>
        <v>0</v>
      </c>
      <c r="X630" s="290">
        <f>Table13[[#This Row],[Funeral Cover Amount]]</f>
        <v>0</v>
      </c>
      <c r="Y63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3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30" s="301">
        <f t="shared" ca="1" si="67"/>
        <v>0</v>
      </c>
      <c r="AB630" s="298"/>
      <c r="AC630" s="326" t="str">
        <f>IF(Table2[[#This Row],[Member Type]]="Main Member",Lookups!$C$13,
IF(Table2[[#This Row],[Member Type]]="Spouse",_xlfn.XLOOKUP(B630,Table2[Main Member Link ID],Table2[Product Option],0),
IF(AND(Table2[[#This Row],[Member Type]]="Child",_xlfn.XLOOKUP(B630,Table2[Main Member Link ID],Table2[Product Option],0)&lt;&gt;"My Value Plus Life"),Lookups!$C$24,
IF(AND(OR(Table2[[#This Row],[Member Type]]="Parent",Table2[[#This Row],[Member Type]]="Extended"),_xlfn.XLOOKUP(B630,Table2[Main Member Link ID],Table2[Product Option],0)&lt;&gt;"My Value Plus Life"),Lookups!$C$26,""))))</f>
        <v/>
      </c>
      <c r="AD630" s="326" t="str">
        <f>IF(Table2[[#This Row],[Member Type]]="Main Member",Lookups!$C$14,"")</f>
        <v/>
      </c>
      <c r="AE63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Funeral",_xlfn.XLOOKUP(B630,Table2[Main Member Link ID],Table2[Benefit Name],0)=Lookups!$D$14),"",
IF(AND(Table2[[#This Row],[Member Type]]="Spouse",Table2[[#This Row],[Product Option]]="My Value Plus Life &amp; Funeral",_xlfn.XLOOKUP(B629,Table2[Main Member Link ID],Table2[Benefit Name],0)=Lookups!$D$15),Lookups!$D$20,
IF(AND(Table2[[#This Row],[Member Type]]="Spouse",Table2[[#This Row],[Product Option]]="My Value Plus Life &amp; Funeral",_xlfn.XLOOKUP(B629,Table2[Main Member Link ID],Table2[Benefit Name],0)=Lookups!$D$16),"",
IF(AND(Table2[[#This Row],[Member Type]]="Spouse",Table2[[#This Row],[Product Option]]="My Value Plus Life &amp; Funeral",_xlfn.XLOOKUP(B629,Table2[Main Member Link ID],Table2[Benefit Name],0)=Lookups!$D$17),Lookups!$D$21,
IF(AND(Table2[[#This Row],[Member Type]]="Child",Table2[[#This Row],[Product Option]]="My Value Plus Life &amp; Funeral",_xlfn.XLOOKUP(B630,Table2[Main Member Link ID],Table2[Benefit Name],0)=Lookups!$D$14),"",
IF(AND(Table2[[#This Row],[Member Type]]="Child",Table2[[#This Row],[Product Option]]="My Value Plus Life &amp; Funeral",_xlfn.XLOOKUP(B630,Table2[Main Member Link ID],Table2[Benefit Name],0)=Lookups!$D$15),"",
IF(AND(Table2[[#This Row],[Member Type]]="Child",Table2[[#This Row],[Product Option]]="My Value Plus Life &amp; Funeral",_xlfn.XLOOKUP(B630,Table2[Main Member Link ID],Table2[Benefit Name],0)=Lookups!$D$16),Lookups!$D$24,
IF(AND(Table2[[#This Row],[Member Type]]="Child",Table2[[#This Row],[Product Option]]="My Value Plus Life &amp; Funeral",_xlfn.XLOOKUP(B630,Table2[Main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Funeral",_xlfn.XLOOKUP(B630,Table2[Main Member Link ID],Table2[Benefit Name],0)&lt;&gt;Lookups!$D$14),
IF(_xlfn.XLOOKUP(B630,Table2[Main Member Link ID],Table2[Benefit Name],0)=0,"",_xlfn.XLOOKUP(B630,Table2[Main Member Link ID],Table2[Benefit Name],0)),"")))))))))))))))</f>
        <v/>
      </c>
      <c r="AF630" s="327" t="str">
        <f>IF(AND(Table2[[#This Row],[Member Type]]="Main Member",Table2[[#This Row],[Product Option]]="My Value Plus Life &amp; Funeral"),Lookups!$D$15,
IF(AND(Table2[[#This Row],[Member Type]]="Spouse",Table2[[#This Row],[Product Option]]="My Value Plus Life &amp; Funeral",_xlfn.XLOOKUP(B630,Table2[Main Member Link ID],Table2[Benefit Name],0)=Lookups!$D$14),"",
IF(AND(Table2[[#This Row],[Member Type]]="Spouse",Table2[[#This Row],[Product Option]]="My Value Plus Life &amp; Funeral",_xlfn.XLOOKUP(B629,Table2[Main Member Link ID],Table2[Benefit Name],0)=Lookups!$D$16),"",
IF(AND(Table2[[#This Row],[Member Type]]="Spouse",Table2[[#This Row],[Product Option]]="My Value Plus Life &amp; Funeral",_xlfn.XLOOKUP(B629,Table2[Main Member Link ID],Table2[Benefit Name],0)=Lookups!$D$15),"",
IF(AND(Table2[[#This Row],[Member Type]]="Spouse",Table2[[#This Row],[Product Option]]="My Value Plus Life &amp; Funeral",_xlfn.XLOOKUP(B629,Table2[Main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Funeral",_xlfn.XLOOKUP(B630,Table2[Main Member Link ID],Table2[Benefit Name],0)&lt;&gt;Lookups!$D$15),
IF(_xlfn.XLOOKUP(B630,Table2[Main Member Link ID],Table2[Benefit Name],0)=0,"",_xlfn.XLOOKUP(B630,Table2[Main Member Link ID],Table2[Benefit Name],0)),"")
))))))</f>
        <v/>
      </c>
      <c r="AG630" s="327" t="str">
        <f>IF(AND(Table2[[#This Row],[Member Type]]="Main Member",Table2[[#This Row],[Product Option]]="My Value Plus Life &amp; Funeral"),Lookups!$D$16,
IF(AND(Table2[[#This Row],[Member Type]]="Spouse",Table2[[#This Row],[Product Option]]="My Value Plus Life &amp; Funeral",_xlfn.XLOOKUP(B630,Table2[Main Member Link ID],Table2[Benefit Name],0)=Lookups!$D$14),"",
IF(AND(Table2[[#This Row],[Member Type]]="Spouse",Table2[[#This Row],[Product Option]]="My Value Plus Life &amp; Funeral",_xlfn.XLOOKUP(B629,Table2[Main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Funeral",_xlfn.XLOOKUP(B630,Table2[Main Member Link ID],Table2[Benefit Name],0)&lt;&gt;Lookups!$D$16),
IF(_xlfn.XLOOKUP(B630,Table2[Main Member Link ID],Table2[Benefit Name],0)=0,"",_xlfn.XLOOKUP(B630,Table2[Main Member Link ID],Table2[Benefit Name],0)),"")
))))</f>
        <v/>
      </c>
      <c r="AH630" s="327" t="str">
        <f>IF(AND(Table2[[#This Row],[Member Type]]="Main Member",Table2[[#This Row],[Product Option]]="My Value Plus Life &amp; Funeral"),Lookups!$D$17,
IF(AND(Table2[[#This Row],[Member Type]]="Spouse",Table2[[#This Row],[Product Option]]="My Value Plus Life &amp; Funeral",_xlfn.XLOOKUP(B630,Table2[Main Member Link ID],Table2[Benefit Name],0)=Lookups!$D$14),"",
IF(AND(Table2[[#This Row],[Member Type]]="Spouse",Table2[[#This Row],[Product Option]]="My Value Plus Life &amp; Funeral",_xlfn.XLOOKUP(B629,Table2[Main Member Link ID],Table2[Benefit Name],0)=Lookups!$D$16),"",
IF(AND(Table2[[#This Row],[Member Type]]="Child",Table2[[#This Row],[Product Option]]="My Value Plus Life &amp; Funeral"),"",
IF(AND(Table2[[#This Row],[Member Type]]="Child",Table2[[#This Row],[Product Option]]="My Value Plus Life &amp; Funeral",_xlfn.XLOOKUP(B630,Table2[Main Member Link ID],Table2[Benefit Name],0)=Lookups!$D$15),"",
IF(AND(OR(Table2[[#This Row],[Member Type]]="Spouse",Table2[[#This Row],[Member Type]]="Child"),Table2[[#This Row],[Product Option]]="My Value Plus Life &amp; Funeral",_xlfn.XLOOKUP(B630,Table2[Main Member Link ID],Table2[Benefit Name],0)&lt;&gt;Lookups!$D$17),
IF(_xlfn.XLOOKUP(B630,Table2[Main Member Link ID],Table2[Benefit Name],0)=0,"",_xlfn.XLOOKUP(B630,Table2[Main Member Link ID],Table2[Benefit Name],0)),""))))))</f>
        <v/>
      </c>
      <c r="AI630" s="328" t="str">
        <f>IF(AND(Table2[[#This Row],[Member Type]]="Main Member",Table2[[#This Row],[Table Lookup for Life Cover]]="MM_LIFE",Table2[[#This Row],[Age Next Birthday]]&lt;56),1,
IF(AND(Table2[[#This Row],[Member Type]]="Main Member",Table2[[#This Row],[Table Lookup for Life Cover]]="MM_LIFE",Table2[[#This Row],[Age Next Birthday]]&gt;=56),2,
""))</f>
        <v/>
      </c>
      <c r="AJ630" s="328">
        <f>IF(OR(Table2[[#This Row],[Member Type]]="Main Member",Table2[[#This Row],[Main Member Link ID]]=B629),1,0)</f>
        <v>1</v>
      </c>
      <c r="AK630" s="328">
        <f>IF(Table2[[#This Row],[Member Type]]=0,0,
IF(OR(Table2[[#This Row],[Member Type]]="Main Member",Table2[[#This Row],[Main Member Link ID]]&lt;&gt;B630),COUNTIFS(B:B,Table2[[#This Row],[Main Member Link ID]]),
COUNTIFS(B:B,Table2[[#This Row],[Main Member Link ID]],A:A,Table2[[#This Row],[Member Type]])))</f>
        <v>0</v>
      </c>
    </row>
    <row r="631" spans="1:37" x14ac:dyDescent="0.3">
      <c r="A631" s="284">
        <f>Table13[[#This Row],[Member Type]]</f>
        <v>0</v>
      </c>
      <c r="B631" s="284">
        <f>Table13[[#This Row],[Main Member Link ID]]</f>
        <v>0</v>
      </c>
      <c r="C631" s="284">
        <f>Table13[[#This Row],[ID Number]]</f>
        <v>0</v>
      </c>
      <c r="D631" s="285">
        <f>Table13[[#This Row],[Date Of Birth]]</f>
        <v>0</v>
      </c>
      <c r="E631" s="285">
        <f>Table13[[#This Row],[Commencement Date]]</f>
        <v>0</v>
      </c>
      <c r="F631" s="284">
        <f t="shared" si="63"/>
        <v>1</v>
      </c>
      <c r="G631" s="284">
        <f t="shared" si="64"/>
        <v>25</v>
      </c>
      <c r="H631" s="286">
        <f>Table13[[#This Row],[Product Option]]</f>
        <v>0</v>
      </c>
      <c r="I631" s="284">
        <f>IF(AND($A631="Main Member",Table2[[#This Row],[Product Option]]="My Value Plus Life"),"MM_LIFE",
IF(AND($A631="Spouse",Table2[[#This Row],[Product Option]]="My Value Plus Life"),"SP_LIFE",
IF(AND($A631="Main Member",Table2[[#This Row],[Product Option]]="My Value Plus Life &amp; Funeral"),"MM_LIFE",
IF(AND($A631="Spouse",Table2[[#This Row],[Product Option]]="My Value Plus Life &amp; Funeral"),_xlfn.XLOOKUP(Table2[[#This Row],[Benefit Name]],Lookups!$D$18:$D$23,Lookups!$E$18:$E$23,0),
0))))</f>
        <v>0</v>
      </c>
      <c r="J631" s="284">
        <f>IF($I631="","",
IF($I631="MM_LIFE",INDEX('Quotation Tool'!$S$54:$V$60,MATCH($T631,'Quotation Tool'!$S$54:$S$60,0),4),
IF($I631="SP_LIFE",_xlfn.XLOOKUP(B630,$B:$B,$J:$J,0),0)))</f>
        <v>0</v>
      </c>
      <c r="K631" s="287">
        <f t="shared" ca="1" si="68"/>
        <v>0</v>
      </c>
      <c r="L631" s="288">
        <f t="shared" ca="1" si="69"/>
        <v>0</v>
      </c>
      <c r="M631" s="289">
        <f t="shared" ca="1" si="65"/>
        <v>0</v>
      </c>
      <c r="N631" s="286">
        <f>Table13[[#This Row],[Benefit Option]]</f>
        <v>0</v>
      </c>
      <c r="O631" s="284">
        <f>IF(OR(Table2[[#This Row],[Member Type]]="Spouse",Table2[[#This Row],[Member Type]]="Child"),0,
IF(_xlfn.XLOOKUP($N631,Lookups!$D$13:$D$27,Lookups!$F$13:$F$27,0)=Table2[[#This Row],[Table Lookup for Life Cover]],0,
_xlfn.XLOOKUP($N631,Lookups!$D$13:$D$27,Lookups!$F$13:$F$27,0)))</f>
        <v>0</v>
      </c>
      <c r="P631" s="284">
        <f>IF(Table2[[#This Row],[Table Lookup for Funeral]]=0,0,IFERROR(INDEX('Quotation Tool'!$S$54:$V$60,MATCH($T631,'Quotation Tool'!$S$54:$S$60,0),3),0))</f>
        <v>0</v>
      </c>
      <c r="Q631" s="288">
        <f ca="1">IF(OR(Table2[[#This Row],[Benefit Name]]="My Value Plus Life - Main Member",Table2[[#This Row],[Benefit Name]]="My Value Plus Life - Spouse"),0,
IFERROR(VLOOKUP($G631,INDIRECT($O631),$P631,FALSE),0))</f>
        <v>0</v>
      </c>
      <c r="R631" s="288">
        <f ca="1">IF(OR(Table2[[#This Row],[Benefit Name]]="My Value Plus Life - Main Member",Table2[[#This Row],[Benefit Name]]="My Value Plus Life - Spouse"),0,
IFERROR(VLOOKUP($G631,INDIRECT($O631),$P631+1,FALSE),0))</f>
        <v>0</v>
      </c>
      <c r="S631" s="289">
        <f t="shared" ca="1" si="66"/>
        <v>0</v>
      </c>
      <c r="T631" s="284" t="str">
        <f>IF(Table13[[#This Row],[Premium Waiver]]="","None",Table13[[#This Row],[Premium Waiver]])</f>
        <v>None</v>
      </c>
      <c r="U631" s="284">
        <f>Table13[[#This Row],[VAPs Options]]</f>
        <v>0</v>
      </c>
      <c r="V631" s="284">
        <f>Table13[[#This Row],[Annual Increase Option]]</f>
        <v>0</v>
      </c>
      <c r="W631" s="290">
        <f>Table13[[#This Row],[Life Cover Amount]]</f>
        <v>0</v>
      </c>
      <c r="X631" s="290">
        <f>Table13[[#This Row],[Funeral Cover Amount]]</f>
        <v>0</v>
      </c>
      <c r="Y63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3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31" s="301">
        <f t="shared" ca="1" si="67"/>
        <v>0</v>
      </c>
      <c r="AB631" s="298"/>
      <c r="AC631" s="326" t="str">
        <f>IF(Table2[[#This Row],[Member Type]]="Main Member",Lookups!$C$13,
IF(Table2[[#This Row],[Member Type]]="Spouse",_xlfn.XLOOKUP(B631,Table2[Main Member Link ID],Table2[Product Option],0),
IF(AND(Table2[[#This Row],[Member Type]]="Child",_xlfn.XLOOKUP(B631,Table2[Main Member Link ID],Table2[Product Option],0)&lt;&gt;"My Value Plus Life"),Lookups!$C$24,
IF(AND(OR(Table2[[#This Row],[Member Type]]="Parent",Table2[[#This Row],[Member Type]]="Extended"),_xlfn.XLOOKUP(B631,Table2[Main Member Link ID],Table2[Product Option],0)&lt;&gt;"My Value Plus Life"),Lookups!$C$26,""))))</f>
        <v/>
      </c>
      <c r="AD631" s="326" t="str">
        <f>IF(Table2[[#This Row],[Member Type]]="Main Member",Lookups!$C$14,"")</f>
        <v/>
      </c>
      <c r="AE63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Funeral",_xlfn.XLOOKUP(B631,Table2[Main Member Link ID],Table2[Benefit Name],0)=Lookups!$D$14),"",
IF(AND(Table2[[#This Row],[Member Type]]="Spouse",Table2[[#This Row],[Product Option]]="My Value Plus Life &amp; Funeral",_xlfn.XLOOKUP(B630,Table2[Main Member Link ID],Table2[Benefit Name],0)=Lookups!$D$15),Lookups!$D$20,
IF(AND(Table2[[#This Row],[Member Type]]="Spouse",Table2[[#This Row],[Product Option]]="My Value Plus Life &amp; Funeral",_xlfn.XLOOKUP(B630,Table2[Main Member Link ID],Table2[Benefit Name],0)=Lookups!$D$16),"",
IF(AND(Table2[[#This Row],[Member Type]]="Spouse",Table2[[#This Row],[Product Option]]="My Value Plus Life &amp; Funeral",_xlfn.XLOOKUP(B630,Table2[Main Member Link ID],Table2[Benefit Name],0)=Lookups!$D$17),Lookups!$D$21,
IF(AND(Table2[[#This Row],[Member Type]]="Child",Table2[[#This Row],[Product Option]]="My Value Plus Life &amp; Funeral",_xlfn.XLOOKUP(B631,Table2[Main Member Link ID],Table2[Benefit Name],0)=Lookups!$D$14),"",
IF(AND(Table2[[#This Row],[Member Type]]="Child",Table2[[#This Row],[Product Option]]="My Value Plus Life &amp; Funeral",_xlfn.XLOOKUP(B631,Table2[Main Member Link ID],Table2[Benefit Name],0)=Lookups!$D$15),"",
IF(AND(Table2[[#This Row],[Member Type]]="Child",Table2[[#This Row],[Product Option]]="My Value Plus Life &amp; Funeral",_xlfn.XLOOKUP(B631,Table2[Main Member Link ID],Table2[Benefit Name],0)=Lookups!$D$16),Lookups!$D$24,
IF(AND(Table2[[#This Row],[Member Type]]="Child",Table2[[#This Row],[Product Option]]="My Value Plus Life &amp; Funeral",_xlfn.XLOOKUP(B631,Table2[Main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Funeral",_xlfn.XLOOKUP(B631,Table2[Main Member Link ID],Table2[Benefit Name],0)&lt;&gt;Lookups!$D$14),
IF(_xlfn.XLOOKUP(B631,Table2[Main Member Link ID],Table2[Benefit Name],0)=0,"",_xlfn.XLOOKUP(B631,Table2[Main Member Link ID],Table2[Benefit Name],0)),"")))))))))))))))</f>
        <v/>
      </c>
      <c r="AF631" s="327" t="str">
        <f>IF(AND(Table2[[#This Row],[Member Type]]="Main Member",Table2[[#This Row],[Product Option]]="My Value Plus Life &amp; Funeral"),Lookups!$D$15,
IF(AND(Table2[[#This Row],[Member Type]]="Spouse",Table2[[#This Row],[Product Option]]="My Value Plus Life &amp; Funeral",_xlfn.XLOOKUP(B631,Table2[Main Member Link ID],Table2[Benefit Name],0)=Lookups!$D$14),"",
IF(AND(Table2[[#This Row],[Member Type]]="Spouse",Table2[[#This Row],[Product Option]]="My Value Plus Life &amp; Funeral",_xlfn.XLOOKUP(B630,Table2[Main Member Link ID],Table2[Benefit Name],0)=Lookups!$D$16),"",
IF(AND(Table2[[#This Row],[Member Type]]="Spouse",Table2[[#This Row],[Product Option]]="My Value Plus Life &amp; Funeral",_xlfn.XLOOKUP(B630,Table2[Main Member Link ID],Table2[Benefit Name],0)=Lookups!$D$15),"",
IF(AND(Table2[[#This Row],[Member Type]]="Spouse",Table2[[#This Row],[Product Option]]="My Value Plus Life &amp; Funeral",_xlfn.XLOOKUP(B630,Table2[Main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Funeral",_xlfn.XLOOKUP(B631,Table2[Main Member Link ID],Table2[Benefit Name],0)&lt;&gt;Lookups!$D$15),
IF(_xlfn.XLOOKUP(B631,Table2[Main Member Link ID],Table2[Benefit Name],0)=0,"",_xlfn.XLOOKUP(B631,Table2[Main Member Link ID],Table2[Benefit Name],0)),"")
))))))</f>
        <v/>
      </c>
      <c r="AG631" s="327" t="str">
        <f>IF(AND(Table2[[#This Row],[Member Type]]="Main Member",Table2[[#This Row],[Product Option]]="My Value Plus Life &amp; Funeral"),Lookups!$D$16,
IF(AND(Table2[[#This Row],[Member Type]]="Spouse",Table2[[#This Row],[Product Option]]="My Value Plus Life &amp; Funeral",_xlfn.XLOOKUP(B631,Table2[Main Member Link ID],Table2[Benefit Name],0)=Lookups!$D$14),"",
IF(AND(Table2[[#This Row],[Member Type]]="Spouse",Table2[[#This Row],[Product Option]]="My Value Plus Life &amp; Funeral",_xlfn.XLOOKUP(B630,Table2[Main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Funeral",_xlfn.XLOOKUP(B631,Table2[Main Member Link ID],Table2[Benefit Name],0)&lt;&gt;Lookups!$D$16),
IF(_xlfn.XLOOKUP(B631,Table2[Main Member Link ID],Table2[Benefit Name],0)=0,"",_xlfn.XLOOKUP(B631,Table2[Main Member Link ID],Table2[Benefit Name],0)),"")
))))</f>
        <v/>
      </c>
      <c r="AH631" s="327" t="str">
        <f>IF(AND(Table2[[#This Row],[Member Type]]="Main Member",Table2[[#This Row],[Product Option]]="My Value Plus Life &amp; Funeral"),Lookups!$D$17,
IF(AND(Table2[[#This Row],[Member Type]]="Spouse",Table2[[#This Row],[Product Option]]="My Value Plus Life &amp; Funeral",_xlfn.XLOOKUP(B631,Table2[Main Member Link ID],Table2[Benefit Name],0)=Lookups!$D$14),"",
IF(AND(Table2[[#This Row],[Member Type]]="Spouse",Table2[[#This Row],[Product Option]]="My Value Plus Life &amp; Funeral",_xlfn.XLOOKUP(B630,Table2[Main Member Link ID],Table2[Benefit Name],0)=Lookups!$D$16),"",
IF(AND(Table2[[#This Row],[Member Type]]="Child",Table2[[#This Row],[Product Option]]="My Value Plus Life &amp; Funeral"),"",
IF(AND(Table2[[#This Row],[Member Type]]="Child",Table2[[#This Row],[Product Option]]="My Value Plus Life &amp; Funeral",_xlfn.XLOOKUP(B631,Table2[Main Member Link ID],Table2[Benefit Name],0)=Lookups!$D$15),"",
IF(AND(OR(Table2[[#This Row],[Member Type]]="Spouse",Table2[[#This Row],[Member Type]]="Child"),Table2[[#This Row],[Product Option]]="My Value Plus Life &amp; Funeral",_xlfn.XLOOKUP(B631,Table2[Main Member Link ID],Table2[Benefit Name],0)&lt;&gt;Lookups!$D$17),
IF(_xlfn.XLOOKUP(B631,Table2[Main Member Link ID],Table2[Benefit Name],0)=0,"",_xlfn.XLOOKUP(B631,Table2[Main Member Link ID],Table2[Benefit Name],0)),""))))))</f>
        <v/>
      </c>
      <c r="AI631" s="328" t="str">
        <f>IF(AND(Table2[[#This Row],[Member Type]]="Main Member",Table2[[#This Row],[Table Lookup for Life Cover]]="MM_LIFE",Table2[[#This Row],[Age Next Birthday]]&lt;56),1,
IF(AND(Table2[[#This Row],[Member Type]]="Main Member",Table2[[#This Row],[Table Lookup for Life Cover]]="MM_LIFE",Table2[[#This Row],[Age Next Birthday]]&gt;=56),2,
""))</f>
        <v/>
      </c>
      <c r="AJ631" s="328">
        <f>IF(OR(Table2[[#This Row],[Member Type]]="Main Member",Table2[[#This Row],[Main Member Link ID]]=B630),1,0)</f>
        <v>1</v>
      </c>
      <c r="AK631" s="328">
        <f>IF(Table2[[#This Row],[Member Type]]=0,0,
IF(OR(Table2[[#This Row],[Member Type]]="Main Member",Table2[[#This Row],[Main Member Link ID]]&lt;&gt;B631),COUNTIFS(B:B,Table2[[#This Row],[Main Member Link ID]]),
COUNTIFS(B:B,Table2[[#This Row],[Main Member Link ID]],A:A,Table2[[#This Row],[Member Type]])))</f>
        <v>0</v>
      </c>
    </row>
    <row r="632" spans="1:37" x14ac:dyDescent="0.3">
      <c r="A632" s="284">
        <f>Table13[[#This Row],[Member Type]]</f>
        <v>0</v>
      </c>
      <c r="B632" s="284">
        <f>Table13[[#This Row],[Main Member Link ID]]</f>
        <v>0</v>
      </c>
      <c r="C632" s="284">
        <f>Table13[[#This Row],[ID Number]]</f>
        <v>0</v>
      </c>
      <c r="D632" s="285">
        <f>Table13[[#This Row],[Date Of Birth]]</f>
        <v>0</v>
      </c>
      <c r="E632" s="285">
        <f>Table13[[#This Row],[Commencement Date]]</f>
        <v>0</v>
      </c>
      <c r="F632" s="284">
        <f t="shared" si="63"/>
        <v>1</v>
      </c>
      <c r="G632" s="284">
        <f t="shared" si="64"/>
        <v>25</v>
      </c>
      <c r="H632" s="286">
        <f>Table13[[#This Row],[Product Option]]</f>
        <v>0</v>
      </c>
      <c r="I632" s="284">
        <f>IF(AND($A632="Main Member",Table2[[#This Row],[Product Option]]="My Value Plus Life"),"MM_LIFE",
IF(AND($A632="Spouse",Table2[[#This Row],[Product Option]]="My Value Plus Life"),"SP_LIFE",
IF(AND($A632="Main Member",Table2[[#This Row],[Product Option]]="My Value Plus Life &amp; Funeral"),"MM_LIFE",
IF(AND($A632="Spouse",Table2[[#This Row],[Product Option]]="My Value Plus Life &amp; Funeral"),_xlfn.XLOOKUP(Table2[[#This Row],[Benefit Name]],Lookups!$D$18:$D$23,Lookups!$E$18:$E$23,0),
0))))</f>
        <v>0</v>
      </c>
      <c r="J632" s="284">
        <f>IF($I632="","",
IF($I632="MM_LIFE",INDEX('Quotation Tool'!$S$54:$V$60,MATCH($T632,'Quotation Tool'!$S$54:$S$60,0),4),
IF($I632="SP_LIFE",_xlfn.XLOOKUP(B631,$B:$B,$J:$J,0),0)))</f>
        <v>0</v>
      </c>
      <c r="K632" s="287">
        <f t="shared" ca="1" si="68"/>
        <v>0</v>
      </c>
      <c r="L632" s="288">
        <f t="shared" ca="1" si="69"/>
        <v>0</v>
      </c>
      <c r="M632" s="289">
        <f t="shared" ca="1" si="65"/>
        <v>0</v>
      </c>
      <c r="N632" s="286">
        <f>Table13[[#This Row],[Benefit Option]]</f>
        <v>0</v>
      </c>
      <c r="O632" s="284">
        <f>IF(OR(Table2[[#This Row],[Member Type]]="Spouse",Table2[[#This Row],[Member Type]]="Child"),0,
IF(_xlfn.XLOOKUP($N632,Lookups!$D$13:$D$27,Lookups!$F$13:$F$27,0)=Table2[[#This Row],[Table Lookup for Life Cover]],0,
_xlfn.XLOOKUP($N632,Lookups!$D$13:$D$27,Lookups!$F$13:$F$27,0)))</f>
        <v>0</v>
      </c>
      <c r="P632" s="284">
        <f>IF(Table2[[#This Row],[Table Lookup for Funeral]]=0,0,IFERROR(INDEX('Quotation Tool'!$S$54:$V$60,MATCH($T632,'Quotation Tool'!$S$54:$S$60,0),3),0))</f>
        <v>0</v>
      </c>
      <c r="Q632" s="288">
        <f ca="1">IF(OR(Table2[[#This Row],[Benefit Name]]="My Value Plus Life - Main Member",Table2[[#This Row],[Benefit Name]]="My Value Plus Life - Spouse"),0,
IFERROR(VLOOKUP($G632,INDIRECT($O632),$P632,FALSE),0))</f>
        <v>0</v>
      </c>
      <c r="R632" s="288">
        <f ca="1">IF(OR(Table2[[#This Row],[Benefit Name]]="My Value Plus Life - Main Member",Table2[[#This Row],[Benefit Name]]="My Value Plus Life - Spouse"),0,
IFERROR(VLOOKUP($G632,INDIRECT($O632),$P632+1,FALSE),0))</f>
        <v>0</v>
      </c>
      <c r="S632" s="289">
        <f t="shared" ca="1" si="66"/>
        <v>0</v>
      </c>
      <c r="T632" s="284" t="str">
        <f>IF(Table13[[#This Row],[Premium Waiver]]="","None",Table13[[#This Row],[Premium Waiver]])</f>
        <v>None</v>
      </c>
      <c r="U632" s="284">
        <f>Table13[[#This Row],[VAPs Options]]</f>
        <v>0</v>
      </c>
      <c r="V632" s="284">
        <f>Table13[[#This Row],[Annual Increase Option]]</f>
        <v>0</v>
      </c>
      <c r="W632" s="290">
        <f>Table13[[#This Row],[Life Cover Amount]]</f>
        <v>0</v>
      </c>
      <c r="X632" s="290">
        <f>Table13[[#This Row],[Funeral Cover Amount]]</f>
        <v>0</v>
      </c>
      <c r="Y63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3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32" s="301">
        <f t="shared" ca="1" si="67"/>
        <v>0</v>
      </c>
      <c r="AB632" s="298"/>
      <c r="AC632" s="326" t="str">
        <f>IF(Table2[[#This Row],[Member Type]]="Main Member",Lookups!$C$13,
IF(Table2[[#This Row],[Member Type]]="Spouse",_xlfn.XLOOKUP(B632,Table2[Main Member Link ID],Table2[Product Option],0),
IF(AND(Table2[[#This Row],[Member Type]]="Child",_xlfn.XLOOKUP(B632,Table2[Main Member Link ID],Table2[Product Option],0)&lt;&gt;"My Value Plus Life"),Lookups!$C$24,
IF(AND(OR(Table2[[#This Row],[Member Type]]="Parent",Table2[[#This Row],[Member Type]]="Extended"),_xlfn.XLOOKUP(B632,Table2[Main Member Link ID],Table2[Product Option],0)&lt;&gt;"My Value Plus Life"),Lookups!$C$26,""))))</f>
        <v/>
      </c>
      <c r="AD632" s="326" t="str">
        <f>IF(Table2[[#This Row],[Member Type]]="Main Member",Lookups!$C$14,"")</f>
        <v/>
      </c>
      <c r="AE63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Funeral",_xlfn.XLOOKUP(B632,Table2[Main Member Link ID],Table2[Benefit Name],0)=Lookups!$D$14),"",
IF(AND(Table2[[#This Row],[Member Type]]="Spouse",Table2[[#This Row],[Product Option]]="My Value Plus Life &amp; Funeral",_xlfn.XLOOKUP(B631,Table2[Main Member Link ID],Table2[Benefit Name],0)=Lookups!$D$15),Lookups!$D$20,
IF(AND(Table2[[#This Row],[Member Type]]="Spouse",Table2[[#This Row],[Product Option]]="My Value Plus Life &amp; Funeral",_xlfn.XLOOKUP(B631,Table2[Main Member Link ID],Table2[Benefit Name],0)=Lookups!$D$16),"",
IF(AND(Table2[[#This Row],[Member Type]]="Spouse",Table2[[#This Row],[Product Option]]="My Value Plus Life &amp; Funeral",_xlfn.XLOOKUP(B631,Table2[Main Member Link ID],Table2[Benefit Name],0)=Lookups!$D$17),Lookups!$D$21,
IF(AND(Table2[[#This Row],[Member Type]]="Child",Table2[[#This Row],[Product Option]]="My Value Plus Life &amp; Funeral",_xlfn.XLOOKUP(B632,Table2[Main Member Link ID],Table2[Benefit Name],0)=Lookups!$D$14),"",
IF(AND(Table2[[#This Row],[Member Type]]="Child",Table2[[#This Row],[Product Option]]="My Value Plus Life &amp; Funeral",_xlfn.XLOOKUP(B632,Table2[Main Member Link ID],Table2[Benefit Name],0)=Lookups!$D$15),"",
IF(AND(Table2[[#This Row],[Member Type]]="Child",Table2[[#This Row],[Product Option]]="My Value Plus Life &amp; Funeral",_xlfn.XLOOKUP(B632,Table2[Main Member Link ID],Table2[Benefit Name],0)=Lookups!$D$16),Lookups!$D$24,
IF(AND(Table2[[#This Row],[Member Type]]="Child",Table2[[#This Row],[Product Option]]="My Value Plus Life &amp; Funeral",_xlfn.XLOOKUP(B632,Table2[Main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Funeral",_xlfn.XLOOKUP(B632,Table2[Main Member Link ID],Table2[Benefit Name],0)&lt;&gt;Lookups!$D$14),
IF(_xlfn.XLOOKUP(B632,Table2[Main Member Link ID],Table2[Benefit Name],0)=0,"",_xlfn.XLOOKUP(B632,Table2[Main Member Link ID],Table2[Benefit Name],0)),"")))))))))))))))</f>
        <v/>
      </c>
      <c r="AF632" s="327" t="str">
        <f>IF(AND(Table2[[#This Row],[Member Type]]="Main Member",Table2[[#This Row],[Product Option]]="My Value Plus Life &amp; Funeral"),Lookups!$D$15,
IF(AND(Table2[[#This Row],[Member Type]]="Spouse",Table2[[#This Row],[Product Option]]="My Value Plus Life &amp; Funeral",_xlfn.XLOOKUP(B632,Table2[Main Member Link ID],Table2[Benefit Name],0)=Lookups!$D$14),"",
IF(AND(Table2[[#This Row],[Member Type]]="Spouse",Table2[[#This Row],[Product Option]]="My Value Plus Life &amp; Funeral",_xlfn.XLOOKUP(B631,Table2[Main Member Link ID],Table2[Benefit Name],0)=Lookups!$D$16),"",
IF(AND(Table2[[#This Row],[Member Type]]="Spouse",Table2[[#This Row],[Product Option]]="My Value Plus Life &amp; Funeral",_xlfn.XLOOKUP(B631,Table2[Main Member Link ID],Table2[Benefit Name],0)=Lookups!$D$15),"",
IF(AND(Table2[[#This Row],[Member Type]]="Spouse",Table2[[#This Row],[Product Option]]="My Value Plus Life &amp; Funeral",_xlfn.XLOOKUP(B631,Table2[Main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Funeral",_xlfn.XLOOKUP(B632,Table2[Main Member Link ID],Table2[Benefit Name],0)&lt;&gt;Lookups!$D$15),
IF(_xlfn.XLOOKUP(B632,Table2[Main Member Link ID],Table2[Benefit Name],0)=0,"",_xlfn.XLOOKUP(B632,Table2[Main Member Link ID],Table2[Benefit Name],0)),"")
))))))</f>
        <v/>
      </c>
      <c r="AG632" s="327" t="str">
        <f>IF(AND(Table2[[#This Row],[Member Type]]="Main Member",Table2[[#This Row],[Product Option]]="My Value Plus Life &amp; Funeral"),Lookups!$D$16,
IF(AND(Table2[[#This Row],[Member Type]]="Spouse",Table2[[#This Row],[Product Option]]="My Value Plus Life &amp; Funeral",_xlfn.XLOOKUP(B632,Table2[Main Member Link ID],Table2[Benefit Name],0)=Lookups!$D$14),"",
IF(AND(Table2[[#This Row],[Member Type]]="Spouse",Table2[[#This Row],[Product Option]]="My Value Plus Life &amp; Funeral",_xlfn.XLOOKUP(B631,Table2[Main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Funeral",_xlfn.XLOOKUP(B632,Table2[Main Member Link ID],Table2[Benefit Name],0)&lt;&gt;Lookups!$D$16),
IF(_xlfn.XLOOKUP(B632,Table2[Main Member Link ID],Table2[Benefit Name],0)=0,"",_xlfn.XLOOKUP(B632,Table2[Main Member Link ID],Table2[Benefit Name],0)),"")
))))</f>
        <v/>
      </c>
      <c r="AH632" s="327" t="str">
        <f>IF(AND(Table2[[#This Row],[Member Type]]="Main Member",Table2[[#This Row],[Product Option]]="My Value Plus Life &amp; Funeral"),Lookups!$D$17,
IF(AND(Table2[[#This Row],[Member Type]]="Spouse",Table2[[#This Row],[Product Option]]="My Value Plus Life &amp; Funeral",_xlfn.XLOOKUP(B632,Table2[Main Member Link ID],Table2[Benefit Name],0)=Lookups!$D$14),"",
IF(AND(Table2[[#This Row],[Member Type]]="Spouse",Table2[[#This Row],[Product Option]]="My Value Plus Life &amp; Funeral",_xlfn.XLOOKUP(B631,Table2[Main Member Link ID],Table2[Benefit Name],0)=Lookups!$D$16),"",
IF(AND(Table2[[#This Row],[Member Type]]="Child",Table2[[#This Row],[Product Option]]="My Value Plus Life &amp; Funeral"),"",
IF(AND(Table2[[#This Row],[Member Type]]="Child",Table2[[#This Row],[Product Option]]="My Value Plus Life &amp; Funeral",_xlfn.XLOOKUP(B632,Table2[Main Member Link ID],Table2[Benefit Name],0)=Lookups!$D$15),"",
IF(AND(OR(Table2[[#This Row],[Member Type]]="Spouse",Table2[[#This Row],[Member Type]]="Child"),Table2[[#This Row],[Product Option]]="My Value Plus Life &amp; Funeral",_xlfn.XLOOKUP(B632,Table2[Main Member Link ID],Table2[Benefit Name],0)&lt;&gt;Lookups!$D$17),
IF(_xlfn.XLOOKUP(B632,Table2[Main Member Link ID],Table2[Benefit Name],0)=0,"",_xlfn.XLOOKUP(B632,Table2[Main Member Link ID],Table2[Benefit Name],0)),""))))))</f>
        <v/>
      </c>
      <c r="AI632" s="328" t="str">
        <f>IF(AND(Table2[[#This Row],[Member Type]]="Main Member",Table2[[#This Row],[Table Lookup for Life Cover]]="MM_LIFE",Table2[[#This Row],[Age Next Birthday]]&lt;56),1,
IF(AND(Table2[[#This Row],[Member Type]]="Main Member",Table2[[#This Row],[Table Lookup for Life Cover]]="MM_LIFE",Table2[[#This Row],[Age Next Birthday]]&gt;=56),2,
""))</f>
        <v/>
      </c>
      <c r="AJ632" s="328">
        <f>IF(OR(Table2[[#This Row],[Member Type]]="Main Member",Table2[[#This Row],[Main Member Link ID]]=B631),1,0)</f>
        <v>1</v>
      </c>
      <c r="AK632" s="328">
        <f>IF(Table2[[#This Row],[Member Type]]=0,0,
IF(OR(Table2[[#This Row],[Member Type]]="Main Member",Table2[[#This Row],[Main Member Link ID]]&lt;&gt;B632),COUNTIFS(B:B,Table2[[#This Row],[Main Member Link ID]]),
COUNTIFS(B:B,Table2[[#This Row],[Main Member Link ID]],A:A,Table2[[#This Row],[Member Type]])))</f>
        <v>0</v>
      </c>
    </row>
    <row r="633" spans="1:37" x14ac:dyDescent="0.3">
      <c r="A633" s="284">
        <f>Table13[[#This Row],[Member Type]]</f>
        <v>0</v>
      </c>
      <c r="B633" s="284">
        <f>Table13[[#This Row],[Main Member Link ID]]</f>
        <v>0</v>
      </c>
      <c r="C633" s="284">
        <f>Table13[[#This Row],[ID Number]]</f>
        <v>0</v>
      </c>
      <c r="D633" s="285">
        <f>Table13[[#This Row],[Date Of Birth]]</f>
        <v>0</v>
      </c>
      <c r="E633" s="285">
        <f>Table13[[#This Row],[Commencement Date]]</f>
        <v>0</v>
      </c>
      <c r="F633" s="284">
        <f t="shared" si="63"/>
        <v>1</v>
      </c>
      <c r="G633" s="284">
        <f t="shared" si="64"/>
        <v>25</v>
      </c>
      <c r="H633" s="286">
        <f>Table13[[#This Row],[Product Option]]</f>
        <v>0</v>
      </c>
      <c r="I633" s="284">
        <f>IF(AND($A633="Main Member",Table2[[#This Row],[Product Option]]="My Value Plus Life"),"MM_LIFE",
IF(AND($A633="Spouse",Table2[[#This Row],[Product Option]]="My Value Plus Life"),"SP_LIFE",
IF(AND($A633="Main Member",Table2[[#This Row],[Product Option]]="My Value Plus Life &amp; Funeral"),"MM_LIFE",
IF(AND($A633="Spouse",Table2[[#This Row],[Product Option]]="My Value Plus Life &amp; Funeral"),_xlfn.XLOOKUP(Table2[[#This Row],[Benefit Name]],Lookups!$D$18:$D$23,Lookups!$E$18:$E$23,0),
0))))</f>
        <v>0</v>
      </c>
      <c r="J633" s="284">
        <f>IF($I633="","",
IF($I633="MM_LIFE",INDEX('Quotation Tool'!$S$54:$V$60,MATCH($T633,'Quotation Tool'!$S$54:$S$60,0),4),
IF($I633="SP_LIFE",_xlfn.XLOOKUP(B632,$B:$B,$J:$J,0),0)))</f>
        <v>0</v>
      </c>
      <c r="K633" s="287">
        <f t="shared" ca="1" si="68"/>
        <v>0</v>
      </c>
      <c r="L633" s="288">
        <f t="shared" ca="1" si="69"/>
        <v>0</v>
      </c>
      <c r="M633" s="289">
        <f t="shared" ca="1" si="65"/>
        <v>0</v>
      </c>
      <c r="N633" s="286">
        <f>Table13[[#This Row],[Benefit Option]]</f>
        <v>0</v>
      </c>
      <c r="O633" s="284">
        <f>IF(OR(Table2[[#This Row],[Member Type]]="Spouse",Table2[[#This Row],[Member Type]]="Child"),0,
IF(_xlfn.XLOOKUP($N633,Lookups!$D$13:$D$27,Lookups!$F$13:$F$27,0)=Table2[[#This Row],[Table Lookup for Life Cover]],0,
_xlfn.XLOOKUP($N633,Lookups!$D$13:$D$27,Lookups!$F$13:$F$27,0)))</f>
        <v>0</v>
      </c>
      <c r="P633" s="284">
        <f>IF(Table2[[#This Row],[Table Lookup for Funeral]]=0,0,IFERROR(INDEX('Quotation Tool'!$S$54:$V$60,MATCH($T633,'Quotation Tool'!$S$54:$S$60,0),3),0))</f>
        <v>0</v>
      </c>
      <c r="Q633" s="288">
        <f ca="1">IF(OR(Table2[[#This Row],[Benefit Name]]="My Value Plus Life - Main Member",Table2[[#This Row],[Benefit Name]]="My Value Plus Life - Spouse"),0,
IFERROR(VLOOKUP($G633,INDIRECT($O633),$P633,FALSE),0))</f>
        <v>0</v>
      </c>
      <c r="R633" s="288">
        <f ca="1">IF(OR(Table2[[#This Row],[Benefit Name]]="My Value Plus Life - Main Member",Table2[[#This Row],[Benefit Name]]="My Value Plus Life - Spouse"),0,
IFERROR(VLOOKUP($G633,INDIRECT($O633),$P633+1,FALSE),0))</f>
        <v>0</v>
      </c>
      <c r="S633" s="289">
        <f t="shared" ca="1" si="66"/>
        <v>0</v>
      </c>
      <c r="T633" s="284" t="str">
        <f>IF(Table13[[#This Row],[Premium Waiver]]="","None",Table13[[#This Row],[Premium Waiver]])</f>
        <v>None</v>
      </c>
      <c r="U633" s="284">
        <f>Table13[[#This Row],[VAPs Options]]</f>
        <v>0</v>
      </c>
      <c r="V633" s="284">
        <f>Table13[[#This Row],[Annual Increase Option]]</f>
        <v>0</v>
      </c>
      <c r="W633" s="290">
        <f>Table13[[#This Row],[Life Cover Amount]]</f>
        <v>0</v>
      </c>
      <c r="X633" s="290">
        <f>Table13[[#This Row],[Funeral Cover Amount]]</f>
        <v>0</v>
      </c>
      <c r="Y63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3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33" s="301">
        <f t="shared" ca="1" si="67"/>
        <v>0</v>
      </c>
      <c r="AB633" s="298"/>
      <c r="AC633" s="326" t="str">
        <f>IF(Table2[[#This Row],[Member Type]]="Main Member",Lookups!$C$13,
IF(Table2[[#This Row],[Member Type]]="Spouse",_xlfn.XLOOKUP(B633,Table2[Main Member Link ID],Table2[Product Option],0),
IF(AND(Table2[[#This Row],[Member Type]]="Child",_xlfn.XLOOKUP(B633,Table2[Main Member Link ID],Table2[Product Option],0)&lt;&gt;"My Value Plus Life"),Lookups!$C$24,
IF(AND(OR(Table2[[#This Row],[Member Type]]="Parent",Table2[[#This Row],[Member Type]]="Extended"),_xlfn.XLOOKUP(B633,Table2[Main Member Link ID],Table2[Product Option],0)&lt;&gt;"My Value Plus Life"),Lookups!$C$26,""))))</f>
        <v/>
      </c>
      <c r="AD633" s="326" t="str">
        <f>IF(Table2[[#This Row],[Member Type]]="Main Member",Lookups!$C$14,"")</f>
        <v/>
      </c>
      <c r="AE63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Funeral",_xlfn.XLOOKUP(B633,Table2[Main Member Link ID],Table2[Benefit Name],0)=Lookups!$D$14),"",
IF(AND(Table2[[#This Row],[Member Type]]="Spouse",Table2[[#This Row],[Product Option]]="My Value Plus Life &amp; Funeral",_xlfn.XLOOKUP(B632,Table2[Main Member Link ID],Table2[Benefit Name],0)=Lookups!$D$15),Lookups!$D$20,
IF(AND(Table2[[#This Row],[Member Type]]="Spouse",Table2[[#This Row],[Product Option]]="My Value Plus Life &amp; Funeral",_xlfn.XLOOKUP(B632,Table2[Main Member Link ID],Table2[Benefit Name],0)=Lookups!$D$16),"",
IF(AND(Table2[[#This Row],[Member Type]]="Spouse",Table2[[#This Row],[Product Option]]="My Value Plus Life &amp; Funeral",_xlfn.XLOOKUP(B632,Table2[Main Member Link ID],Table2[Benefit Name],0)=Lookups!$D$17),Lookups!$D$21,
IF(AND(Table2[[#This Row],[Member Type]]="Child",Table2[[#This Row],[Product Option]]="My Value Plus Life &amp; Funeral",_xlfn.XLOOKUP(B633,Table2[Main Member Link ID],Table2[Benefit Name],0)=Lookups!$D$14),"",
IF(AND(Table2[[#This Row],[Member Type]]="Child",Table2[[#This Row],[Product Option]]="My Value Plus Life &amp; Funeral",_xlfn.XLOOKUP(B633,Table2[Main Member Link ID],Table2[Benefit Name],0)=Lookups!$D$15),"",
IF(AND(Table2[[#This Row],[Member Type]]="Child",Table2[[#This Row],[Product Option]]="My Value Plus Life &amp; Funeral",_xlfn.XLOOKUP(B633,Table2[Main Member Link ID],Table2[Benefit Name],0)=Lookups!$D$16),Lookups!$D$24,
IF(AND(Table2[[#This Row],[Member Type]]="Child",Table2[[#This Row],[Product Option]]="My Value Plus Life &amp; Funeral",_xlfn.XLOOKUP(B633,Table2[Main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Funeral",_xlfn.XLOOKUP(B633,Table2[Main Member Link ID],Table2[Benefit Name],0)&lt;&gt;Lookups!$D$14),
IF(_xlfn.XLOOKUP(B633,Table2[Main Member Link ID],Table2[Benefit Name],0)=0,"",_xlfn.XLOOKUP(B633,Table2[Main Member Link ID],Table2[Benefit Name],0)),"")))))))))))))))</f>
        <v/>
      </c>
      <c r="AF633" s="327" t="str">
        <f>IF(AND(Table2[[#This Row],[Member Type]]="Main Member",Table2[[#This Row],[Product Option]]="My Value Plus Life &amp; Funeral"),Lookups!$D$15,
IF(AND(Table2[[#This Row],[Member Type]]="Spouse",Table2[[#This Row],[Product Option]]="My Value Plus Life &amp; Funeral",_xlfn.XLOOKUP(B633,Table2[Main Member Link ID],Table2[Benefit Name],0)=Lookups!$D$14),"",
IF(AND(Table2[[#This Row],[Member Type]]="Spouse",Table2[[#This Row],[Product Option]]="My Value Plus Life &amp; Funeral",_xlfn.XLOOKUP(B632,Table2[Main Member Link ID],Table2[Benefit Name],0)=Lookups!$D$16),"",
IF(AND(Table2[[#This Row],[Member Type]]="Spouse",Table2[[#This Row],[Product Option]]="My Value Plus Life &amp; Funeral",_xlfn.XLOOKUP(B632,Table2[Main Member Link ID],Table2[Benefit Name],0)=Lookups!$D$15),"",
IF(AND(Table2[[#This Row],[Member Type]]="Spouse",Table2[[#This Row],[Product Option]]="My Value Plus Life &amp; Funeral",_xlfn.XLOOKUP(B632,Table2[Main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Funeral",_xlfn.XLOOKUP(B633,Table2[Main Member Link ID],Table2[Benefit Name],0)&lt;&gt;Lookups!$D$15),
IF(_xlfn.XLOOKUP(B633,Table2[Main Member Link ID],Table2[Benefit Name],0)=0,"",_xlfn.XLOOKUP(B633,Table2[Main Member Link ID],Table2[Benefit Name],0)),"")
))))))</f>
        <v/>
      </c>
      <c r="AG633" s="327" t="str">
        <f>IF(AND(Table2[[#This Row],[Member Type]]="Main Member",Table2[[#This Row],[Product Option]]="My Value Plus Life &amp; Funeral"),Lookups!$D$16,
IF(AND(Table2[[#This Row],[Member Type]]="Spouse",Table2[[#This Row],[Product Option]]="My Value Plus Life &amp; Funeral",_xlfn.XLOOKUP(B633,Table2[Main Member Link ID],Table2[Benefit Name],0)=Lookups!$D$14),"",
IF(AND(Table2[[#This Row],[Member Type]]="Spouse",Table2[[#This Row],[Product Option]]="My Value Plus Life &amp; Funeral",_xlfn.XLOOKUP(B632,Table2[Main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Funeral",_xlfn.XLOOKUP(B633,Table2[Main Member Link ID],Table2[Benefit Name],0)&lt;&gt;Lookups!$D$16),
IF(_xlfn.XLOOKUP(B633,Table2[Main Member Link ID],Table2[Benefit Name],0)=0,"",_xlfn.XLOOKUP(B633,Table2[Main Member Link ID],Table2[Benefit Name],0)),"")
))))</f>
        <v/>
      </c>
      <c r="AH633" s="327" t="str">
        <f>IF(AND(Table2[[#This Row],[Member Type]]="Main Member",Table2[[#This Row],[Product Option]]="My Value Plus Life &amp; Funeral"),Lookups!$D$17,
IF(AND(Table2[[#This Row],[Member Type]]="Spouse",Table2[[#This Row],[Product Option]]="My Value Plus Life &amp; Funeral",_xlfn.XLOOKUP(B633,Table2[Main Member Link ID],Table2[Benefit Name],0)=Lookups!$D$14),"",
IF(AND(Table2[[#This Row],[Member Type]]="Spouse",Table2[[#This Row],[Product Option]]="My Value Plus Life &amp; Funeral",_xlfn.XLOOKUP(B632,Table2[Main Member Link ID],Table2[Benefit Name],0)=Lookups!$D$16),"",
IF(AND(Table2[[#This Row],[Member Type]]="Child",Table2[[#This Row],[Product Option]]="My Value Plus Life &amp; Funeral"),"",
IF(AND(Table2[[#This Row],[Member Type]]="Child",Table2[[#This Row],[Product Option]]="My Value Plus Life &amp; Funeral",_xlfn.XLOOKUP(B633,Table2[Main Member Link ID],Table2[Benefit Name],0)=Lookups!$D$15),"",
IF(AND(OR(Table2[[#This Row],[Member Type]]="Spouse",Table2[[#This Row],[Member Type]]="Child"),Table2[[#This Row],[Product Option]]="My Value Plus Life &amp; Funeral",_xlfn.XLOOKUP(B633,Table2[Main Member Link ID],Table2[Benefit Name],0)&lt;&gt;Lookups!$D$17),
IF(_xlfn.XLOOKUP(B633,Table2[Main Member Link ID],Table2[Benefit Name],0)=0,"",_xlfn.XLOOKUP(B633,Table2[Main Member Link ID],Table2[Benefit Name],0)),""))))))</f>
        <v/>
      </c>
      <c r="AI633" s="328" t="str">
        <f>IF(AND(Table2[[#This Row],[Member Type]]="Main Member",Table2[[#This Row],[Table Lookup for Life Cover]]="MM_LIFE",Table2[[#This Row],[Age Next Birthday]]&lt;56),1,
IF(AND(Table2[[#This Row],[Member Type]]="Main Member",Table2[[#This Row],[Table Lookup for Life Cover]]="MM_LIFE",Table2[[#This Row],[Age Next Birthday]]&gt;=56),2,
""))</f>
        <v/>
      </c>
      <c r="AJ633" s="328">
        <f>IF(OR(Table2[[#This Row],[Member Type]]="Main Member",Table2[[#This Row],[Main Member Link ID]]=B632),1,0)</f>
        <v>1</v>
      </c>
      <c r="AK633" s="328">
        <f>IF(Table2[[#This Row],[Member Type]]=0,0,
IF(OR(Table2[[#This Row],[Member Type]]="Main Member",Table2[[#This Row],[Main Member Link ID]]&lt;&gt;B633),COUNTIFS(B:B,Table2[[#This Row],[Main Member Link ID]]),
COUNTIFS(B:B,Table2[[#This Row],[Main Member Link ID]],A:A,Table2[[#This Row],[Member Type]])))</f>
        <v>0</v>
      </c>
    </row>
    <row r="634" spans="1:37" x14ac:dyDescent="0.3">
      <c r="A634" s="284">
        <f>Table13[[#This Row],[Member Type]]</f>
        <v>0</v>
      </c>
      <c r="B634" s="284">
        <f>Table13[[#This Row],[Main Member Link ID]]</f>
        <v>0</v>
      </c>
      <c r="C634" s="284">
        <f>Table13[[#This Row],[ID Number]]</f>
        <v>0</v>
      </c>
      <c r="D634" s="285">
        <f>Table13[[#This Row],[Date Of Birth]]</f>
        <v>0</v>
      </c>
      <c r="E634" s="285">
        <f>Table13[[#This Row],[Commencement Date]]</f>
        <v>0</v>
      </c>
      <c r="F634" s="284">
        <f t="shared" si="63"/>
        <v>1</v>
      </c>
      <c r="G634" s="284">
        <f t="shared" si="64"/>
        <v>25</v>
      </c>
      <c r="H634" s="286">
        <f>Table13[[#This Row],[Product Option]]</f>
        <v>0</v>
      </c>
      <c r="I634" s="284">
        <f>IF(AND($A634="Main Member",Table2[[#This Row],[Product Option]]="My Value Plus Life"),"MM_LIFE",
IF(AND($A634="Spouse",Table2[[#This Row],[Product Option]]="My Value Plus Life"),"SP_LIFE",
IF(AND($A634="Main Member",Table2[[#This Row],[Product Option]]="My Value Plus Life &amp; Funeral"),"MM_LIFE",
IF(AND($A634="Spouse",Table2[[#This Row],[Product Option]]="My Value Plus Life &amp; Funeral"),_xlfn.XLOOKUP(Table2[[#This Row],[Benefit Name]],Lookups!$D$18:$D$23,Lookups!$E$18:$E$23,0),
0))))</f>
        <v>0</v>
      </c>
      <c r="J634" s="284">
        <f>IF($I634="","",
IF($I634="MM_LIFE",INDEX('Quotation Tool'!$S$54:$V$60,MATCH($T634,'Quotation Tool'!$S$54:$S$60,0),4),
IF($I634="SP_LIFE",_xlfn.XLOOKUP(B633,$B:$B,$J:$J,0),0)))</f>
        <v>0</v>
      </c>
      <c r="K634" s="287">
        <f t="shared" ca="1" si="68"/>
        <v>0</v>
      </c>
      <c r="L634" s="288">
        <f t="shared" ca="1" si="69"/>
        <v>0</v>
      </c>
      <c r="M634" s="289">
        <f t="shared" ca="1" si="65"/>
        <v>0</v>
      </c>
      <c r="N634" s="286">
        <f>Table13[[#This Row],[Benefit Option]]</f>
        <v>0</v>
      </c>
      <c r="O634" s="284">
        <f>IF(OR(Table2[[#This Row],[Member Type]]="Spouse",Table2[[#This Row],[Member Type]]="Child"),0,
IF(_xlfn.XLOOKUP($N634,Lookups!$D$13:$D$27,Lookups!$F$13:$F$27,0)=Table2[[#This Row],[Table Lookup for Life Cover]],0,
_xlfn.XLOOKUP($N634,Lookups!$D$13:$D$27,Lookups!$F$13:$F$27,0)))</f>
        <v>0</v>
      </c>
      <c r="P634" s="284">
        <f>IF(Table2[[#This Row],[Table Lookup for Funeral]]=0,0,IFERROR(INDEX('Quotation Tool'!$S$54:$V$60,MATCH($T634,'Quotation Tool'!$S$54:$S$60,0),3),0))</f>
        <v>0</v>
      </c>
      <c r="Q634" s="288">
        <f ca="1">IF(OR(Table2[[#This Row],[Benefit Name]]="My Value Plus Life - Main Member",Table2[[#This Row],[Benefit Name]]="My Value Plus Life - Spouse"),0,
IFERROR(VLOOKUP($G634,INDIRECT($O634),$P634,FALSE),0))</f>
        <v>0</v>
      </c>
      <c r="R634" s="288">
        <f ca="1">IF(OR(Table2[[#This Row],[Benefit Name]]="My Value Plus Life - Main Member",Table2[[#This Row],[Benefit Name]]="My Value Plus Life - Spouse"),0,
IFERROR(VLOOKUP($G634,INDIRECT($O634),$P634+1,FALSE),0))</f>
        <v>0</v>
      </c>
      <c r="S634" s="289">
        <f t="shared" ca="1" si="66"/>
        <v>0</v>
      </c>
      <c r="T634" s="284" t="str">
        <f>IF(Table13[[#This Row],[Premium Waiver]]="","None",Table13[[#This Row],[Premium Waiver]])</f>
        <v>None</v>
      </c>
      <c r="U634" s="284">
        <f>Table13[[#This Row],[VAPs Options]]</f>
        <v>0</v>
      </c>
      <c r="V634" s="284">
        <f>Table13[[#This Row],[Annual Increase Option]]</f>
        <v>0</v>
      </c>
      <c r="W634" s="290">
        <f>Table13[[#This Row],[Life Cover Amount]]</f>
        <v>0</v>
      </c>
      <c r="X634" s="290">
        <f>Table13[[#This Row],[Funeral Cover Amount]]</f>
        <v>0</v>
      </c>
      <c r="Y63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3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34" s="301">
        <f t="shared" ca="1" si="67"/>
        <v>0</v>
      </c>
      <c r="AB634" s="298"/>
      <c r="AC634" s="326" t="str">
        <f>IF(Table2[[#This Row],[Member Type]]="Main Member",Lookups!$C$13,
IF(Table2[[#This Row],[Member Type]]="Spouse",_xlfn.XLOOKUP(B634,Table2[Main Member Link ID],Table2[Product Option],0),
IF(AND(Table2[[#This Row],[Member Type]]="Child",_xlfn.XLOOKUP(B634,Table2[Main Member Link ID],Table2[Product Option],0)&lt;&gt;"My Value Plus Life"),Lookups!$C$24,
IF(AND(OR(Table2[[#This Row],[Member Type]]="Parent",Table2[[#This Row],[Member Type]]="Extended"),_xlfn.XLOOKUP(B634,Table2[Main Member Link ID],Table2[Product Option],0)&lt;&gt;"My Value Plus Life"),Lookups!$C$26,""))))</f>
        <v/>
      </c>
      <c r="AD634" s="326" t="str">
        <f>IF(Table2[[#This Row],[Member Type]]="Main Member",Lookups!$C$14,"")</f>
        <v/>
      </c>
      <c r="AE63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Funeral",_xlfn.XLOOKUP(B634,Table2[Main Member Link ID],Table2[Benefit Name],0)=Lookups!$D$14),"",
IF(AND(Table2[[#This Row],[Member Type]]="Spouse",Table2[[#This Row],[Product Option]]="My Value Plus Life &amp; Funeral",_xlfn.XLOOKUP(B633,Table2[Main Member Link ID],Table2[Benefit Name],0)=Lookups!$D$15),Lookups!$D$20,
IF(AND(Table2[[#This Row],[Member Type]]="Spouse",Table2[[#This Row],[Product Option]]="My Value Plus Life &amp; Funeral",_xlfn.XLOOKUP(B633,Table2[Main Member Link ID],Table2[Benefit Name],0)=Lookups!$D$16),"",
IF(AND(Table2[[#This Row],[Member Type]]="Spouse",Table2[[#This Row],[Product Option]]="My Value Plus Life &amp; Funeral",_xlfn.XLOOKUP(B633,Table2[Main Member Link ID],Table2[Benefit Name],0)=Lookups!$D$17),Lookups!$D$21,
IF(AND(Table2[[#This Row],[Member Type]]="Child",Table2[[#This Row],[Product Option]]="My Value Plus Life &amp; Funeral",_xlfn.XLOOKUP(B634,Table2[Main Member Link ID],Table2[Benefit Name],0)=Lookups!$D$14),"",
IF(AND(Table2[[#This Row],[Member Type]]="Child",Table2[[#This Row],[Product Option]]="My Value Plus Life &amp; Funeral",_xlfn.XLOOKUP(B634,Table2[Main Member Link ID],Table2[Benefit Name],0)=Lookups!$D$15),"",
IF(AND(Table2[[#This Row],[Member Type]]="Child",Table2[[#This Row],[Product Option]]="My Value Plus Life &amp; Funeral",_xlfn.XLOOKUP(B634,Table2[Main Member Link ID],Table2[Benefit Name],0)=Lookups!$D$16),Lookups!$D$24,
IF(AND(Table2[[#This Row],[Member Type]]="Child",Table2[[#This Row],[Product Option]]="My Value Plus Life &amp; Funeral",_xlfn.XLOOKUP(B634,Table2[Main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Funeral",_xlfn.XLOOKUP(B634,Table2[Main Member Link ID],Table2[Benefit Name],0)&lt;&gt;Lookups!$D$14),
IF(_xlfn.XLOOKUP(B634,Table2[Main Member Link ID],Table2[Benefit Name],0)=0,"",_xlfn.XLOOKUP(B634,Table2[Main Member Link ID],Table2[Benefit Name],0)),"")))))))))))))))</f>
        <v/>
      </c>
      <c r="AF634" s="327" t="str">
        <f>IF(AND(Table2[[#This Row],[Member Type]]="Main Member",Table2[[#This Row],[Product Option]]="My Value Plus Life &amp; Funeral"),Lookups!$D$15,
IF(AND(Table2[[#This Row],[Member Type]]="Spouse",Table2[[#This Row],[Product Option]]="My Value Plus Life &amp; Funeral",_xlfn.XLOOKUP(B634,Table2[Main Member Link ID],Table2[Benefit Name],0)=Lookups!$D$14),"",
IF(AND(Table2[[#This Row],[Member Type]]="Spouse",Table2[[#This Row],[Product Option]]="My Value Plus Life &amp; Funeral",_xlfn.XLOOKUP(B633,Table2[Main Member Link ID],Table2[Benefit Name],0)=Lookups!$D$16),"",
IF(AND(Table2[[#This Row],[Member Type]]="Spouse",Table2[[#This Row],[Product Option]]="My Value Plus Life &amp; Funeral",_xlfn.XLOOKUP(B633,Table2[Main Member Link ID],Table2[Benefit Name],0)=Lookups!$D$15),"",
IF(AND(Table2[[#This Row],[Member Type]]="Spouse",Table2[[#This Row],[Product Option]]="My Value Plus Life &amp; Funeral",_xlfn.XLOOKUP(B633,Table2[Main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Funeral",_xlfn.XLOOKUP(B634,Table2[Main Member Link ID],Table2[Benefit Name],0)&lt;&gt;Lookups!$D$15),
IF(_xlfn.XLOOKUP(B634,Table2[Main Member Link ID],Table2[Benefit Name],0)=0,"",_xlfn.XLOOKUP(B634,Table2[Main Member Link ID],Table2[Benefit Name],0)),"")
))))))</f>
        <v/>
      </c>
      <c r="AG634" s="327" t="str">
        <f>IF(AND(Table2[[#This Row],[Member Type]]="Main Member",Table2[[#This Row],[Product Option]]="My Value Plus Life &amp; Funeral"),Lookups!$D$16,
IF(AND(Table2[[#This Row],[Member Type]]="Spouse",Table2[[#This Row],[Product Option]]="My Value Plus Life &amp; Funeral",_xlfn.XLOOKUP(B634,Table2[Main Member Link ID],Table2[Benefit Name],0)=Lookups!$D$14),"",
IF(AND(Table2[[#This Row],[Member Type]]="Spouse",Table2[[#This Row],[Product Option]]="My Value Plus Life &amp; Funeral",_xlfn.XLOOKUP(B633,Table2[Main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Funeral",_xlfn.XLOOKUP(B634,Table2[Main Member Link ID],Table2[Benefit Name],0)&lt;&gt;Lookups!$D$16),
IF(_xlfn.XLOOKUP(B634,Table2[Main Member Link ID],Table2[Benefit Name],0)=0,"",_xlfn.XLOOKUP(B634,Table2[Main Member Link ID],Table2[Benefit Name],0)),"")
))))</f>
        <v/>
      </c>
      <c r="AH634" s="327" t="str">
        <f>IF(AND(Table2[[#This Row],[Member Type]]="Main Member",Table2[[#This Row],[Product Option]]="My Value Plus Life &amp; Funeral"),Lookups!$D$17,
IF(AND(Table2[[#This Row],[Member Type]]="Spouse",Table2[[#This Row],[Product Option]]="My Value Plus Life &amp; Funeral",_xlfn.XLOOKUP(B634,Table2[Main Member Link ID],Table2[Benefit Name],0)=Lookups!$D$14),"",
IF(AND(Table2[[#This Row],[Member Type]]="Spouse",Table2[[#This Row],[Product Option]]="My Value Plus Life &amp; Funeral",_xlfn.XLOOKUP(B633,Table2[Main Member Link ID],Table2[Benefit Name],0)=Lookups!$D$16),"",
IF(AND(Table2[[#This Row],[Member Type]]="Child",Table2[[#This Row],[Product Option]]="My Value Plus Life &amp; Funeral"),"",
IF(AND(Table2[[#This Row],[Member Type]]="Child",Table2[[#This Row],[Product Option]]="My Value Plus Life &amp; Funeral",_xlfn.XLOOKUP(B634,Table2[Main Member Link ID],Table2[Benefit Name],0)=Lookups!$D$15),"",
IF(AND(OR(Table2[[#This Row],[Member Type]]="Spouse",Table2[[#This Row],[Member Type]]="Child"),Table2[[#This Row],[Product Option]]="My Value Plus Life &amp; Funeral",_xlfn.XLOOKUP(B634,Table2[Main Member Link ID],Table2[Benefit Name],0)&lt;&gt;Lookups!$D$17),
IF(_xlfn.XLOOKUP(B634,Table2[Main Member Link ID],Table2[Benefit Name],0)=0,"",_xlfn.XLOOKUP(B634,Table2[Main Member Link ID],Table2[Benefit Name],0)),""))))))</f>
        <v/>
      </c>
      <c r="AI634" s="328" t="str">
        <f>IF(AND(Table2[[#This Row],[Member Type]]="Main Member",Table2[[#This Row],[Table Lookup for Life Cover]]="MM_LIFE",Table2[[#This Row],[Age Next Birthday]]&lt;56),1,
IF(AND(Table2[[#This Row],[Member Type]]="Main Member",Table2[[#This Row],[Table Lookup for Life Cover]]="MM_LIFE",Table2[[#This Row],[Age Next Birthday]]&gt;=56),2,
""))</f>
        <v/>
      </c>
      <c r="AJ634" s="328">
        <f>IF(OR(Table2[[#This Row],[Member Type]]="Main Member",Table2[[#This Row],[Main Member Link ID]]=B633),1,0)</f>
        <v>1</v>
      </c>
      <c r="AK634" s="328">
        <f>IF(Table2[[#This Row],[Member Type]]=0,0,
IF(OR(Table2[[#This Row],[Member Type]]="Main Member",Table2[[#This Row],[Main Member Link ID]]&lt;&gt;B634),COUNTIFS(B:B,Table2[[#This Row],[Main Member Link ID]]),
COUNTIFS(B:B,Table2[[#This Row],[Main Member Link ID]],A:A,Table2[[#This Row],[Member Type]])))</f>
        <v>0</v>
      </c>
    </row>
    <row r="635" spans="1:37" x14ac:dyDescent="0.3">
      <c r="A635" s="284">
        <f>Table13[[#This Row],[Member Type]]</f>
        <v>0</v>
      </c>
      <c r="B635" s="284">
        <f>Table13[[#This Row],[Main Member Link ID]]</f>
        <v>0</v>
      </c>
      <c r="C635" s="284">
        <f>Table13[[#This Row],[ID Number]]</f>
        <v>0</v>
      </c>
      <c r="D635" s="285">
        <f>Table13[[#This Row],[Date Of Birth]]</f>
        <v>0</v>
      </c>
      <c r="E635" s="285">
        <f>Table13[[#This Row],[Commencement Date]]</f>
        <v>0</v>
      </c>
      <c r="F635" s="284">
        <f t="shared" si="63"/>
        <v>1</v>
      </c>
      <c r="G635" s="284">
        <f t="shared" si="64"/>
        <v>25</v>
      </c>
      <c r="H635" s="286">
        <f>Table13[[#This Row],[Product Option]]</f>
        <v>0</v>
      </c>
      <c r="I635" s="284">
        <f>IF(AND($A635="Main Member",Table2[[#This Row],[Product Option]]="My Value Plus Life"),"MM_LIFE",
IF(AND($A635="Spouse",Table2[[#This Row],[Product Option]]="My Value Plus Life"),"SP_LIFE",
IF(AND($A635="Main Member",Table2[[#This Row],[Product Option]]="My Value Plus Life &amp; Funeral"),"MM_LIFE",
IF(AND($A635="Spouse",Table2[[#This Row],[Product Option]]="My Value Plus Life &amp; Funeral"),_xlfn.XLOOKUP(Table2[[#This Row],[Benefit Name]],Lookups!$D$18:$D$23,Lookups!$E$18:$E$23,0),
0))))</f>
        <v>0</v>
      </c>
      <c r="J635" s="284">
        <f>IF($I635="","",
IF($I635="MM_LIFE",INDEX('Quotation Tool'!$S$54:$V$60,MATCH($T635,'Quotation Tool'!$S$54:$S$60,0),4),
IF($I635="SP_LIFE",_xlfn.XLOOKUP(B634,$B:$B,$J:$J,0),0)))</f>
        <v>0</v>
      </c>
      <c r="K635" s="287">
        <f t="shared" ca="1" si="68"/>
        <v>0</v>
      </c>
      <c r="L635" s="288">
        <f t="shared" ca="1" si="69"/>
        <v>0</v>
      </c>
      <c r="M635" s="289">
        <f t="shared" ca="1" si="65"/>
        <v>0</v>
      </c>
      <c r="N635" s="286">
        <f>Table13[[#This Row],[Benefit Option]]</f>
        <v>0</v>
      </c>
      <c r="O635" s="284">
        <f>IF(OR(Table2[[#This Row],[Member Type]]="Spouse",Table2[[#This Row],[Member Type]]="Child"),0,
IF(_xlfn.XLOOKUP($N635,Lookups!$D$13:$D$27,Lookups!$F$13:$F$27,0)=Table2[[#This Row],[Table Lookup for Life Cover]],0,
_xlfn.XLOOKUP($N635,Lookups!$D$13:$D$27,Lookups!$F$13:$F$27,0)))</f>
        <v>0</v>
      </c>
      <c r="P635" s="284">
        <f>IF(Table2[[#This Row],[Table Lookup for Funeral]]=0,0,IFERROR(INDEX('Quotation Tool'!$S$54:$V$60,MATCH($T635,'Quotation Tool'!$S$54:$S$60,0),3),0))</f>
        <v>0</v>
      </c>
      <c r="Q635" s="288">
        <f ca="1">IF(OR(Table2[[#This Row],[Benefit Name]]="My Value Plus Life - Main Member",Table2[[#This Row],[Benefit Name]]="My Value Plus Life - Spouse"),0,
IFERROR(VLOOKUP($G635,INDIRECT($O635),$P635,FALSE),0))</f>
        <v>0</v>
      </c>
      <c r="R635" s="288">
        <f ca="1">IF(OR(Table2[[#This Row],[Benefit Name]]="My Value Plus Life - Main Member",Table2[[#This Row],[Benefit Name]]="My Value Plus Life - Spouse"),0,
IFERROR(VLOOKUP($G635,INDIRECT($O635),$P635+1,FALSE),0))</f>
        <v>0</v>
      </c>
      <c r="S635" s="289">
        <f t="shared" ca="1" si="66"/>
        <v>0</v>
      </c>
      <c r="T635" s="284" t="str">
        <f>IF(Table13[[#This Row],[Premium Waiver]]="","None",Table13[[#This Row],[Premium Waiver]])</f>
        <v>None</v>
      </c>
      <c r="U635" s="284">
        <f>Table13[[#This Row],[VAPs Options]]</f>
        <v>0</v>
      </c>
      <c r="V635" s="284">
        <f>Table13[[#This Row],[Annual Increase Option]]</f>
        <v>0</v>
      </c>
      <c r="W635" s="290">
        <f>Table13[[#This Row],[Life Cover Amount]]</f>
        <v>0</v>
      </c>
      <c r="X635" s="290">
        <f>Table13[[#This Row],[Funeral Cover Amount]]</f>
        <v>0</v>
      </c>
      <c r="Y63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3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35" s="301">
        <f t="shared" ca="1" si="67"/>
        <v>0</v>
      </c>
      <c r="AB635" s="298"/>
      <c r="AC635" s="326" t="str">
        <f>IF(Table2[[#This Row],[Member Type]]="Main Member",Lookups!$C$13,
IF(Table2[[#This Row],[Member Type]]="Spouse",_xlfn.XLOOKUP(B635,Table2[Main Member Link ID],Table2[Product Option],0),
IF(AND(Table2[[#This Row],[Member Type]]="Child",_xlfn.XLOOKUP(B635,Table2[Main Member Link ID],Table2[Product Option],0)&lt;&gt;"My Value Plus Life"),Lookups!$C$24,
IF(AND(OR(Table2[[#This Row],[Member Type]]="Parent",Table2[[#This Row],[Member Type]]="Extended"),_xlfn.XLOOKUP(B635,Table2[Main Member Link ID],Table2[Product Option],0)&lt;&gt;"My Value Plus Life"),Lookups!$C$26,""))))</f>
        <v/>
      </c>
      <c r="AD635" s="326" t="str">
        <f>IF(Table2[[#This Row],[Member Type]]="Main Member",Lookups!$C$14,"")</f>
        <v/>
      </c>
      <c r="AE63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Funeral",_xlfn.XLOOKUP(B635,Table2[Main Member Link ID],Table2[Benefit Name],0)=Lookups!$D$14),"",
IF(AND(Table2[[#This Row],[Member Type]]="Spouse",Table2[[#This Row],[Product Option]]="My Value Plus Life &amp; Funeral",_xlfn.XLOOKUP(B634,Table2[Main Member Link ID],Table2[Benefit Name],0)=Lookups!$D$15),Lookups!$D$20,
IF(AND(Table2[[#This Row],[Member Type]]="Spouse",Table2[[#This Row],[Product Option]]="My Value Plus Life &amp; Funeral",_xlfn.XLOOKUP(B634,Table2[Main Member Link ID],Table2[Benefit Name],0)=Lookups!$D$16),"",
IF(AND(Table2[[#This Row],[Member Type]]="Spouse",Table2[[#This Row],[Product Option]]="My Value Plus Life &amp; Funeral",_xlfn.XLOOKUP(B634,Table2[Main Member Link ID],Table2[Benefit Name],0)=Lookups!$D$17),Lookups!$D$21,
IF(AND(Table2[[#This Row],[Member Type]]="Child",Table2[[#This Row],[Product Option]]="My Value Plus Life &amp; Funeral",_xlfn.XLOOKUP(B635,Table2[Main Member Link ID],Table2[Benefit Name],0)=Lookups!$D$14),"",
IF(AND(Table2[[#This Row],[Member Type]]="Child",Table2[[#This Row],[Product Option]]="My Value Plus Life &amp; Funeral",_xlfn.XLOOKUP(B635,Table2[Main Member Link ID],Table2[Benefit Name],0)=Lookups!$D$15),"",
IF(AND(Table2[[#This Row],[Member Type]]="Child",Table2[[#This Row],[Product Option]]="My Value Plus Life &amp; Funeral",_xlfn.XLOOKUP(B635,Table2[Main Member Link ID],Table2[Benefit Name],0)=Lookups!$D$16),Lookups!$D$24,
IF(AND(Table2[[#This Row],[Member Type]]="Child",Table2[[#This Row],[Product Option]]="My Value Plus Life &amp; Funeral",_xlfn.XLOOKUP(B635,Table2[Main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Funeral",_xlfn.XLOOKUP(B635,Table2[Main Member Link ID],Table2[Benefit Name],0)&lt;&gt;Lookups!$D$14),
IF(_xlfn.XLOOKUP(B635,Table2[Main Member Link ID],Table2[Benefit Name],0)=0,"",_xlfn.XLOOKUP(B635,Table2[Main Member Link ID],Table2[Benefit Name],0)),"")))))))))))))))</f>
        <v/>
      </c>
      <c r="AF635" s="327" t="str">
        <f>IF(AND(Table2[[#This Row],[Member Type]]="Main Member",Table2[[#This Row],[Product Option]]="My Value Plus Life &amp; Funeral"),Lookups!$D$15,
IF(AND(Table2[[#This Row],[Member Type]]="Spouse",Table2[[#This Row],[Product Option]]="My Value Plus Life &amp; Funeral",_xlfn.XLOOKUP(B635,Table2[Main Member Link ID],Table2[Benefit Name],0)=Lookups!$D$14),"",
IF(AND(Table2[[#This Row],[Member Type]]="Spouse",Table2[[#This Row],[Product Option]]="My Value Plus Life &amp; Funeral",_xlfn.XLOOKUP(B634,Table2[Main Member Link ID],Table2[Benefit Name],0)=Lookups!$D$16),"",
IF(AND(Table2[[#This Row],[Member Type]]="Spouse",Table2[[#This Row],[Product Option]]="My Value Plus Life &amp; Funeral",_xlfn.XLOOKUP(B634,Table2[Main Member Link ID],Table2[Benefit Name],0)=Lookups!$D$15),"",
IF(AND(Table2[[#This Row],[Member Type]]="Spouse",Table2[[#This Row],[Product Option]]="My Value Plus Life &amp; Funeral",_xlfn.XLOOKUP(B634,Table2[Main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Funeral",_xlfn.XLOOKUP(B635,Table2[Main Member Link ID],Table2[Benefit Name],0)&lt;&gt;Lookups!$D$15),
IF(_xlfn.XLOOKUP(B635,Table2[Main Member Link ID],Table2[Benefit Name],0)=0,"",_xlfn.XLOOKUP(B635,Table2[Main Member Link ID],Table2[Benefit Name],0)),"")
))))))</f>
        <v/>
      </c>
      <c r="AG635" s="327" t="str">
        <f>IF(AND(Table2[[#This Row],[Member Type]]="Main Member",Table2[[#This Row],[Product Option]]="My Value Plus Life &amp; Funeral"),Lookups!$D$16,
IF(AND(Table2[[#This Row],[Member Type]]="Spouse",Table2[[#This Row],[Product Option]]="My Value Plus Life &amp; Funeral",_xlfn.XLOOKUP(B635,Table2[Main Member Link ID],Table2[Benefit Name],0)=Lookups!$D$14),"",
IF(AND(Table2[[#This Row],[Member Type]]="Spouse",Table2[[#This Row],[Product Option]]="My Value Plus Life &amp; Funeral",_xlfn.XLOOKUP(B634,Table2[Main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Funeral",_xlfn.XLOOKUP(B635,Table2[Main Member Link ID],Table2[Benefit Name],0)&lt;&gt;Lookups!$D$16),
IF(_xlfn.XLOOKUP(B635,Table2[Main Member Link ID],Table2[Benefit Name],0)=0,"",_xlfn.XLOOKUP(B635,Table2[Main Member Link ID],Table2[Benefit Name],0)),"")
))))</f>
        <v/>
      </c>
      <c r="AH635" s="327" t="str">
        <f>IF(AND(Table2[[#This Row],[Member Type]]="Main Member",Table2[[#This Row],[Product Option]]="My Value Plus Life &amp; Funeral"),Lookups!$D$17,
IF(AND(Table2[[#This Row],[Member Type]]="Spouse",Table2[[#This Row],[Product Option]]="My Value Plus Life &amp; Funeral",_xlfn.XLOOKUP(B635,Table2[Main Member Link ID],Table2[Benefit Name],0)=Lookups!$D$14),"",
IF(AND(Table2[[#This Row],[Member Type]]="Spouse",Table2[[#This Row],[Product Option]]="My Value Plus Life &amp; Funeral",_xlfn.XLOOKUP(B634,Table2[Main Member Link ID],Table2[Benefit Name],0)=Lookups!$D$16),"",
IF(AND(Table2[[#This Row],[Member Type]]="Child",Table2[[#This Row],[Product Option]]="My Value Plus Life &amp; Funeral"),"",
IF(AND(Table2[[#This Row],[Member Type]]="Child",Table2[[#This Row],[Product Option]]="My Value Plus Life &amp; Funeral",_xlfn.XLOOKUP(B635,Table2[Main Member Link ID],Table2[Benefit Name],0)=Lookups!$D$15),"",
IF(AND(OR(Table2[[#This Row],[Member Type]]="Spouse",Table2[[#This Row],[Member Type]]="Child"),Table2[[#This Row],[Product Option]]="My Value Plus Life &amp; Funeral",_xlfn.XLOOKUP(B635,Table2[Main Member Link ID],Table2[Benefit Name],0)&lt;&gt;Lookups!$D$17),
IF(_xlfn.XLOOKUP(B635,Table2[Main Member Link ID],Table2[Benefit Name],0)=0,"",_xlfn.XLOOKUP(B635,Table2[Main Member Link ID],Table2[Benefit Name],0)),""))))))</f>
        <v/>
      </c>
      <c r="AI635" s="328" t="str">
        <f>IF(AND(Table2[[#This Row],[Member Type]]="Main Member",Table2[[#This Row],[Table Lookup for Life Cover]]="MM_LIFE",Table2[[#This Row],[Age Next Birthday]]&lt;56),1,
IF(AND(Table2[[#This Row],[Member Type]]="Main Member",Table2[[#This Row],[Table Lookup for Life Cover]]="MM_LIFE",Table2[[#This Row],[Age Next Birthday]]&gt;=56),2,
""))</f>
        <v/>
      </c>
      <c r="AJ635" s="328">
        <f>IF(OR(Table2[[#This Row],[Member Type]]="Main Member",Table2[[#This Row],[Main Member Link ID]]=B634),1,0)</f>
        <v>1</v>
      </c>
      <c r="AK635" s="328">
        <f>IF(Table2[[#This Row],[Member Type]]=0,0,
IF(OR(Table2[[#This Row],[Member Type]]="Main Member",Table2[[#This Row],[Main Member Link ID]]&lt;&gt;B635),COUNTIFS(B:B,Table2[[#This Row],[Main Member Link ID]]),
COUNTIFS(B:B,Table2[[#This Row],[Main Member Link ID]],A:A,Table2[[#This Row],[Member Type]])))</f>
        <v>0</v>
      </c>
    </row>
    <row r="636" spans="1:37" x14ac:dyDescent="0.3">
      <c r="A636" s="284">
        <f>Table13[[#This Row],[Member Type]]</f>
        <v>0</v>
      </c>
      <c r="B636" s="284">
        <f>Table13[[#This Row],[Main Member Link ID]]</f>
        <v>0</v>
      </c>
      <c r="C636" s="284">
        <f>Table13[[#This Row],[ID Number]]</f>
        <v>0</v>
      </c>
      <c r="D636" s="285">
        <f>Table13[[#This Row],[Date Of Birth]]</f>
        <v>0</v>
      </c>
      <c r="E636" s="285">
        <f>Table13[[#This Row],[Commencement Date]]</f>
        <v>0</v>
      </c>
      <c r="F636" s="284">
        <f t="shared" si="63"/>
        <v>1</v>
      </c>
      <c r="G636" s="284">
        <f t="shared" si="64"/>
        <v>25</v>
      </c>
      <c r="H636" s="286">
        <f>Table13[[#This Row],[Product Option]]</f>
        <v>0</v>
      </c>
      <c r="I636" s="284">
        <f>IF(AND($A636="Main Member",Table2[[#This Row],[Product Option]]="My Value Plus Life"),"MM_LIFE",
IF(AND($A636="Spouse",Table2[[#This Row],[Product Option]]="My Value Plus Life"),"SP_LIFE",
IF(AND($A636="Main Member",Table2[[#This Row],[Product Option]]="My Value Plus Life &amp; Funeral"),"MM_LIFE",
IF(AND($A636="Spouse",Table2[[#This Row],[Product Option]]="My Value Plus Life &amp; Funeral"),_xlfn.XLOOKUP(Table2[[#This Row],[Benefit Name]],Lookups!$D$18:$D$23,Lookups!$E$18:$E$23,0),
0))))</f>
        <v>0</v>
      </c>
      <c r="J636" s="284">
        <f>IF($I636="","",
IF($I636="MM_LIFE",INDEX('Quotation Tool'!$S$54:$V$60,MATCH($T636,'Quotation Tool'!$S$54:$S$60,0),4),
IF($I636="SP_LIFE",_xlfn.XLOOKUP(B635,$B:$B,$J:$J,0),0)))</f>
        <v>0</v>
      </c>
      <c r="K636" s="287">
        <f t="shared" ca="1" si="68"/>
        <v>0</v>
      </c>
      <c r="L636" s="288">
        <f t="shared" ca="1" si="69"/>
        <v>0</v>
      </c>
      <c r="M636" s="289">
        <f t="shared" ca="1" si="65"/>
        <v>0</v>
      </c>
      <c r="N636" s="286">
        <f>Table13[[#This Row],[Benefit Option]]</f>
        <v>0</v>
      </c>
      <c r="O636" s="284">
        <f>IF(OR(Table2[[#This Row],[Member Type]]="Spouse",Table2[[#This Row],[Member Type]]="Child"),0,
IF(_xlfn.XLOOKUP($N636,Lookups!$D$13:$D$27,Lookups!$F$13:$F$27,0)=Table2[[#This Row],[Table Lookup for Life Cover]],0,
_xlfn.XLOOKUP($N636,Lookups!$D$13:$D$27,Lookups!$F$13:$F$27,0)))</f>
        <v>0</v>
      </c>
      <c r="P636" s="284">
        <f>IF(Table2[[#This Row],[Table Lookup for Funeral]]=0,0,IFERROR(INDEX('Quotation Tool'!$S$54:$V$60,MATCH($T636,'Quotation Tool'!$S$54:$S$60,0),3),0))</f>
        <v>0</v>
      </c>
      <c r="Q636" s="288">
        <f ca="1">IF(OR(Table2[[#This Row],[Benefit Name]]="My Value Plus Life - Main Member",Table2[[#This Row],[Benefit Name]]="My Value Plus Life - Spouse"),0,
IFERROR(VLOOKUP($G636,INDIRECT($O636),$P636,FALSE),0))</f>
        <v>0</v>
      </c>
      <c r="R636" s="288">
        <f ca="1">IF(OR(Table2[[#This Row],[Benefit Name]]="My Value Plus Life - Main Member",Table2[[#This Row],[Benefit Name]]="My Value Plus Life - Spouse"),0,
IFERROR(VLOOKUP($G636,INDIRECT($O636),$P636+1,FALSE),0))</f>
        <v>0</v>
      </c>
      <c r="S636" s="289">
        <f t="shared" ca="1" si="66"/>
        <v>0</v>
      </c>
      <c r="T636" s="284" t="str">
        <f>IF(Table13[[#This Row],[Premium Waiver]]="","None",Table13[[#This Row],[Premium Waiver]])</f>
        <v>None</v>
      </c>
      <c r="U636" s="284">
        <f>Table13[[#This Row],[VAPs Options]]</f>
        <v>0</v>
      </c>
      <c r="V636" s="284">
        <f>Table13[[#This Row],[Annual Increase Option]]</f>
        <v>0</v>
      </c>
      <c r="W636" s="290">
        <f>Table13[[#This Row],[Life Cover Amount]]</f>
        <v>0</v>
      </c>
      <c r="X636" s="290">
        <f>Table13[[#This Row],[Funeral Cover Amount]]</f>
        <v>0</v>
      </c>
      <c r="Y63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3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36" s="301">
        <f t="shared" ca="1" si="67"/>
        <v>0</v>
      </c>
      <c r="AB636" s="298"/>
      <c r="AC636" s="326" t="str">
        <f>IF(Table2[[#This Row],[Member Type]]="Main Member",Lookups!$C$13,
IF(Table2[[#This Row],[Member Type]]="Spouse",_xlfn.XLOOKUP(B636,Table2[Main Member Link ID],Table2[Product Option],0),
IF(AND(Table2[[#This Row],[Member Type]]="Child",_xlfn.XLOOKUP(B636,Table2[Main Member Link ID],Table2[Product Option],0)&lt;&gt;"My Value Plus Life"),Lookups!$C$24,
IF(AND(OR(Table2[[#This Row],[Member Type]]="Parent",Table2[[#This Row],[Member Type]]="Extended"),_xlfn.XLOOKUP(B636,Table2[Main Member Link ID],Table2[Product Option],0)&lt;&gt;"My Value Plus Life"),Lookups!$C$26,""))))</f>
        <v/>
      </c>
      <c r="AD636" s="326" t="str">
        <f>IF(Table2[[#This Row],[Member Type]]="Main Member",Lookups!$C$14,"")</f>
        <v/>
      </c>
      <c r="AE63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Funeral",_xlfn.XLOOKUP(B636,Table2[Main Member Link ID],Table2[Benefit Name],0)=Lookups!$D$14),"",
IF(AND(Table2[[#This Row],[Member Type]]="Spouse",Table2[[#This Row],[Product Option]]="My Value Plus Life &amp; Funeral",_xlfn.XLOOKUP(B635,Table2[Main Member Link ID],Table2[Benefit Name],0)=Lookups!$D$15),Lookups!$D$20,
IF(AND(Table2[[#This Row],[Member Type]]="Spouse",Table2[[#This Row],[Product Option]]="My Value Plus Life &amp; Funeral",_xlfn.XLOOKUP(B635,Table2[Main Member Link ID],Table2[Benefit Name],0)=Lookups!$D$16),"",
IF(AND(Table2[[#This Row],[Member Type]]="Spouse",Table2[[#This Row],[Product Option]]="My Value Plus Life &amp; Funeral",_xlfn.XLOOKUP(B635,Table2[Main Member Link ID],Table2[Benefit Name],0)=Lookups!$D$17),Lookups!$D$21,
IF(AND(Table2[[#This Row],[Member Type]]="Child",Table2[[#This Row],[Product Option]]="My Value Plus Life &amp; Funeral",_xlfn.XLOOKUP(B636,Table2[Main Member Link ID],Table2[Benefit Name],0)=Lookups!$D$14),"",
IF(AND(Table2[[#This Row],[Member Type]]="Child",Table2[[#This Row],[Product Option]]="My Value Plus Life &amp; Funeral",_xlfn.XLOOKUP(B636,Table2[Main Member Link ID],Table2[Benefit Name],0)=Lookups!$D$15),"",
IF(AND(Table2[[#This Row],[Member Type]]="Child",Table2[[#This Row],[Product Option]]="My Value Plus Life &amp; Funeral",_xlfn.XLOOKUP(B636,Table2[Main Member Link ID],Table2[Benefit Name],0)=Lookups!$D$16),Lookups!$D$24,
IF(AND(Table2[[#This Row],[Member Type]]="Child",Table2[[#This Row],[Product Option]]="My Value Plus Life &amp; Funeral",_xlfn.XLOOKUP(B636,Table2[Main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Funeral",_xlfn.XLOOKUP(B636,Table2[Main Member Link ID],Table2[Benefit Name],0)&lt;&gt;Lookups!$D$14),
IF(_xlfn.XLOOKUP(B636,Table2[Main Member Link ID],Table2[Benefit Name],0)=0,"",_xlfn.XLOOKUP(B636,Table2[Main Member Link ID],Table2[Benefit Name],0)),"")))))))))))))))</f>
        <v/>
      </c>
      <c r="AF636" s="327" t="str">
        <f>IF(AND(Table2[[#This Row],[Member Type]]="Main Member",Table2[[#This Row],[Product Option]]="My Value Plus Life &amp; Funeral"),Lookups!$D$15,
IF(AND(Table2[[#This Row],[Member Type]]="Spouse",Table2[[#This Row],[Product Option]]="My Value Plus Life &amp; Funeral",_xlfn.XLOOKUP(B636,Table2[Main Member Link ID],Table2[Benefit Name],0)=Lookups!$D$14),"",
IF(AND(Table2[[#This Row],[Member Type]]="Spouse",Table2[[#This Row],[Product Option]]="My Value Plus Life &amp; Funeral",_xlfn.XLOOKUP(B635,Table2[Main Member Link ID],Table2[Benefit Name],0)=Lookups!$D$16),"",
IF(AND(Table2[[#This Row],[Member Type]]="Spouse",Table2[[#This Row],[Product Option]]="My Value Plus Life &amp; Funeral",_xlfn.XLOOKUP(B635,Table2[Main Member Link ID],Table2[Benefit Name],0)=Lookups!$D$15),"",
IF(AND(Table2[[#This Row],[Member Type]]="Spouse",Table2[[#This Row],[Product Option]]="My Value Plus Life &amp; Funeral",_xlfn.XLOOKUP(B635,Table2[Main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Funeral",_xlfn.XLOOKUP(B636,Table2[Main Member Link ID],Table2[Benefit Name],0)&lt;&gt;Lookups!$D$15),
IF(_xlfn.XLOOKUP(B636,Table2[Main Member Link ID],Table2[Benefit Name],0)=0,"",_xlfn.XLOOKUP(B636,Table2[Main Member Link ID],Table2[Benefit Name],0)),"")
))))))</f>
        <v/>
      </c>
      <c r="AG636" s="327" t="str">
        <f>IF(AND(Table2[[#This Row],[Member Type]]="Main Member",Table2[[#This Row],[Product Option]]="My Value Plus Life &amp; Funeral"),Lookups!$D$16,
IF(AND(Table2[[#This Row],[Member Type]]="Spouse",Table2[[#This Row],[Product Option]]="My Value Plus Life &amp; Funeral",_xlfn.XLOOKUP(B636,Table2[Main Member Link ID],Table2[Benefit Name],0)=Lookups!$D$14),"",
IF(AND(Table2[[#This Row],[Member Type]]="Spouse",Table2[[#This Row],[Product Option]]="My Value Plus Life &amp; Funeral",_xlfn.XLOOKUP(B635,Table2[Main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Funeral",_xlfn.XLOOKUP(B636,Table2[Main Member Link ID],Table2[Benefit Name],0)&lt;&gt;Lookups!$D$16),
IF(_xlfn.XLOOKUP(B636,Table2[Main Member Link ID],Table2[Benefit Name],0)=0,"",_xlfn.XLOOKUP(B636,Table2[Main Member Link ID],Table2[Benefit Name],0)),"")
))))</f>
        <v/>
      </c>
      <c r="AH636" s="327" t="str">
        <f>IF(AND(Table2[[#This Row],[Member Type]]="Main Member",Table2[[#This Row],[Product Option]]="My Value Plus Life &amp; Funeral"),Lookups!$D$17,
IF(AND(Table2[[#This Row],[Member Type]]="Spouse",Table2[[#This Row],[Product Option]]="My Value Plus Life &amp; Funeral",_xlfn.XLOOKUP(B636,Table2[Main Member Link ID],Table2[Benefit Name],0)=Lookups!$D$14),"",
IF(AND(Table2[[#This Row],[Member Type]]="Spouse",Table2[[#This Row],[Product Option]]="My Value Plus Life &amp; Funeral",_xlfn.XLOOKUP(B635,Table2[Main Member Link ID],Table2[Benefit Name],0)=Lookups!$D$16),"",
IF(AND(Table2[[#This Row],[Member Type]]="Child",Table2[[#This Row],[Product Option]]="My Value Plus Life &amp; Funeral"),"",
IF(AND(Table2[[#This Row],[Member Type]]="Child",Table2[[#This Row],[Product Option]]="My Value Plus Life &amp; Funeral",_xlfn.XLOOKUP(B636,Table2[Main Member Link ID],Table2[Benefit Name],0)=Lookups!$D$15),"",
IF(AND(OR(Table2[[#This Row],[Member Type]]="Spouse",Table2[[#This Row],[Member Type]]="Child"),Table2[[#This Row],[Product Option]]="My Value Plus Life &amp; Funeral",_xlfn.XLOOKUP(B636,Table2[Main Member Link ID],Table2[Benefit Name],0)&lt;&gt;Lookups!$D$17),
IF(_xlfn.XLOOKUP(B636,Table2[Main Member Link ID],Table2[Benefit Name],0)=0,"",_xlfn.XLOOKUP(B636,Table2[Main Member Link ID],Table2[Benefit Name],0)),""))))))</f>
        <v/>
      </c>
      <c r="AI636" s="328" t="str">
        <f>IF(AND(Table2[[#This Row],[Member Type]]="Main Member",Table2[[#This Row],[Table Lookup for Life Cover]]="MM_LIFE",Table2[[#This Row],[Age Next Birthday]]&lt;56),1,
IF(AND(Table2[[#This Row],[Member Type]]="Main Member",Table2[[#This Row],[Table Lookup for Life Cover]]="MM_LIFE",Table2[[#This Row],[Age Next Birthday]]&gt;=56),2,
""))</f>
        <v/>
      </c>
      <c r="AJ636" s="328">
        <f>IF(OR(Table2[[#This Row],[Member Type]]="Main Member",Table2[[#This Row],[Main Member Link ID]]=B635),1,0)</f>
        <v>1</v>
      </c>
      <c r="AK636" s="328">
        <f>IF(Table2[[#This Row],[Member Type]]=0,0,
IF(OR(Table2[[#This Row],[Member Type]]="Main Member",Table2[[#This Row],[Main Member Link ID]]&lt;&gt;B636),COUNTIFS(B:B,Table2[[#This Row],[Main Member Link ID]]),
COUNTIFS(B:B,Table2[[#This Row],[Main Member Link ID]],A:A,Table2[[#This Row],[Member Type]])))</f>
        <v>0</v>
      </c>
    </row>
    <row r="637" spans="1:37" x14ac:dyDescent="0.3">
      <c r="A637" s="284">
        <f>Table13[[#This Row],[Member Type]]</f>
        <v>0</v>
      </c>
      <c r="B637" s="284">
        <f>Table13[[#This Row],[Main Member Link ID]]</f>
        <v>0</v>
      </c>
      <c r="C637" s="284">
        <f>Table13[[#This Row],[ID Number]]</f>
        <v>0</v>
      </c>
      <c r="D637" s="285">
        <f>Table13[[#This Row],[Date Of Birth]]</f>
        <v>0</v>
      </c>
      <c r="E637" s="285">
        <f>Table13[[#This Row],[Commencement Date]]</f>
        <v>0</v>
      </c>
      <c r="F637" s="284">
        <f t="shared" si="63"/>
        <v>1</v>
      </c>
      <c r="G637" s="284">
        <f t="shared" si="64"/>
        <v>25</v>
      </c>
      <c r="H637" s="286">
        <f>Table13[[#This Row],[Product Option]]</f>
        <v>0</v>
      </c>
      <c r="I637" s="284">
        <f>IF(AND($A637="Main Member",Table2[[#This Row],[Product Option]]="My Value Plus Life"),"MM_LIFE",
IF(AND($A637="Spouse",Table2[[#This Row],[Product Option]]="My Value Plus Life"),"SP_LIFE",
IF(AND($A637="Main Member",Table2[[#This Row],[Product Option]]="My Value Plus Life &amp; Funeral"),"MM_LIFE",
IF(AND($A637="Spouse",Table2[[#This Row],[Product Option]]="My Value Plus Life &amp; Funeral"),_xlfn.XLOOKUP(Table2[[#This Row],[Benefit Name]],Lookups!$D$18:$D$23,Lookups!$E$18:$E$23,0),
0))))</f>
        <v>0</v>
      </c>
      <c r="J637" s="284">
        <f>IF($I637="","",
IF($I637="MM_LIFE",INDEX('Quotation Tool'!$S$54:$V$60,MATCH($T637,'Quotation Tool'!$S$54:$S$60,0),4),
IF($I637="SP_LIFE",_xlfn.XLOOKUP(B636,$B:$B,$J:$J,0),0)))</f>
        <v>0</v>
      </c>
      <c r="K637" s="287">
        <f t="shared" ca="1" si="68"/>
        <v>0</v>
      </c>
      <c r="L637" s="288">
        <f t="shared" ca="1" si="69"/>
        <v>0</v>
      </c>
      <c r="M637" s="289">
        <f t="shared" ca="1" si="65"/>
        <v>0</v>
      </c>
      <c r="N637" s="286">
        <f>Table13[[#This Row],[Benefit Option]]</f>
        <v>0</v>
      </c>
      <c r="O637" s="284">
        <f>IF(OR(Table2[[#This Row],[Member Type]]="Spouse",Table2[[#This Row],[Member Type]]="Child"),0,
IF(_xlfn.XLOOKUP($N637,Lookups!$D$13:$D$27,Lookups!$F$13:$F$27,0)=Table2[[#This Row],[Table Lookup for Life Cover]],0,
_xlfn.XLOOKUP($N637,Lookups!$D$13:$D$27,Lookups!$F$13:$F$27,0)))</f>
        <v>0</v>
      </c>
      <c r="P637" s="284">
        <f>IF(Table2[[#This Row],[Table Lookup for Funeral]]=0,0,IFERROR(INDEX('Quotation Tool'!$S$54:$V$60,MATCH($T637,'Quotation Tool'!$S$54:$S$60,0),3),0))</f>
        <v>0</v>
      </c>
      <c r="Q637" s="288">
        <f ca="1">IF(OR(Table2[[#This Row],[Benefit Name]]="My Value Plus Life - Main Member",Table2[[#This Row],[Benefit Name]]="My Value Plus Life - Spouse"),0,
IFERROR(VLOOKUP($G637,INDIRECT($O637),$P637,FALSE),0))</f>
        <v>0</v>
      </c>
      <c r="R637" s="288">
        <f ca="1">IF(OR(Table2[[#This Row],[Benefit Name]]="My Value Plus Life - Main Member",Table2[[#This Row],[Benefit Name]]="My Value Plus Life - Spouse"),0,
IFERROR(VLOOKUP($G637,INDIRECT($O637),$P637+1,FALSE),0))</f>
        <v>0</v>
      </c>
      <c r="S637" s="289">
        <f t="shared" ca="1" si="66"/>
        <v>0</v>
      </c>
      <c r="T637" s="284" t="str">
        <f>IF(Table13[[#This Row],[Premium Waiver]]="","None",Table13[[#This Row],[Premium Waiver]])</f>
        <v>None</v>
      </c>
      <c r="U637" s="284">
        <f>Table13[[#This Row],[VAPs Options]]</f>
        <v>0</v>
      </c>
      <c r="V637" s="284">
        <f>Table13[[#This Row],[Annual Increase Option]]</f>
        <v>0</v>
      </c>
      <c r="W637" s="290">
        <f>Table13[[#This Row],[Life Cover Amount]]</f>
        <v>0</v>
      </c>
      <c r="X637" s="290">
        <f>Table13[[#This Row],[Funeral Cover Amount]]</f>
        <v>0</v>
      </c>
      <c r="Y63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3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37" s="301">
        <f t="shared" ca="1" si="67"/>
        <v>0</v>
      </c>
      <c r="AB637" s="298"/>
      <c r="AC637" s="326" t="str">
        <f>IF(Table2[[#This Row],[Member Type]]="Main Member",Lookups!$C$13,
IF(Table2[[#This Row],[Member Type]]="Spouse",_xlfn.XLOOKUP(B637,Table2[Main Member Link ID],Table2[Product Option],0),
IF(AND(Table2[[#This Row],[Member Type]]="Child",_xlfn.XLOOKUP(B637,Table2[Main Member Link ID],Table2[Product Option],0)&lt;&gt;"My Value Plus Life"),Lookups!$C$24,
IF(AND(OR(Table2[[#This Row],[Member Type]]="Parent",Table2[[#This Row],[Member Type]]="Extended"),_xlfn.XLOOKUP(B637,Table2[Main Member Link ID],Table2[Product Option],0)&lt;&gt;"My Value Plus Life"),Lookups!$C$26,""))))</f>
        <v/>
      </c>
      <c r="AD637" s="326" t="str">
        <f>IF(Table2[[#This Row],[Member Type]]="Main Member",Lookups!$C$14,"")</f>
        <v/>
      </c>
      <c r="AE63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Funeral",_xlfn.XLOOKUP(B637,Table2[Main Member Link ID],Table2[Benefit Name],0)=Lookups!$D$14),"",
IF(AND(Table2[[#This Row],[Member Type]]="Spouse",Table2[[#This Row],[Product Option]]="My Value Plus Life &amp; Funeral",_xlfn.XLOOKUP(B636,Table2[Main Member Link ID],Table2[Benefit Name],0)=Lookups!$D$15),Lookups!$D$20,
IF(AND(Table2[[#This Row],[Member Type]]="Spouse",Table2[[#This Row],[Product Option]]="My Value Plus Life &amp; Funeral",_xlfn.XLOOKUP(B636,Table2[Main Member Link ID],Table2[Benefit Name],0)=Lookups!$D$16),"",
IF(AND(Table2[[#This Row],[Member Type]]="Spouse",Table2[[#This Row],[Product Option]]="My Value Plus Life &amp; Funeral",_xlfn.XLOOKUP(B636,Table2[Main Member Link ID],Table2[Benefit Name],0)=Lookups!$D$17),Lookups!$D$21,
IF(AND(Table2[[#This Row],[Member Type]]="Child",Table2[[#This Row],[Product Option]]="My Value Plus Life &amp; Funeral",_xlfn.XLOOKUP(B637,Table2[Main Member Link ID],Table2[Benefit Name],0)=Lookups!$D$14),"",
IF(AND(Table2[[#This Row],[Member Type]]="Child",Table2[[#This Row],[Product Option]]="My Value Plus Life &amp; Funeral",_xlfn.XLOOKUP(B637,Table2[Main Member Link ID],Table2[Benefit Name],0)=Lookups!$D$15),"",
IF(AND(Table2[[#This Row],[Member Type]]="Child",Table2[[#This Row],[Product Option]]="My Value Plus Life &amp; Funeral",_xlfn.XLOOKUP(B637,Table2[Main Member Link ID],Table2[Benefit Name],0)=Lookups!$D$16),Lookups!$D$24,
IF(AND(Table2[[#This Row],[Member Type]]="Child",Table2[[#This Row],[Product Option]]="My Value Plus Life &amp; Funeral",_xlfn.XLOOKUP(B637,Table2[Main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Funeral",_xlfn.XLOOKUP(B637,Table2[Main Member Link ID],Table2[Benefit Name],0)&lt;&gt;Lookups!$D$14),
IF(_xlfn.XLOOKUP(B637,Table2[Main Member Link ID],Table2[Benefit Name],0)=0,"",_xlfn.XLOOKUP(B637,Table2[Main Member Link ID],Table2[Benefit Name],0)),"")))))))))))))))</f>
        <v/>
      </c>
      <c r="AF637" s="327" t="str">
        <f>IF(AND(Table2[[#This Row],[Member Type]]="Main Member",Table2[[#This Row],[Product Option]]="My Value Plus Life &amp; Funeral"),Lookups!$D$15,
IF(AND(Table2[[#This Row],[Member Type]]="Spouse",Table2[[#This Row],[Product Option]]="My Value Plus Life &amp; Funeral",_xlfn.XLOOKUP(B637,Table2[Main Member Link ID],Table2[Benefit Name],0)=Lookups!$D$14),"",
IF(AND(Table2[[#This Row],[Member Type]]="Spouse",Table2[[#This Row],[Product Option]]="My Value Plus Life &amp; Funeral",_xlfn.XLOOKUP(B636,Table2[Main Member Link ID],Table2[Benefit Name],0)=Lookups!$D$16),"",
IF(AND(Table2[[#This Row],[Member Type]]="Spouse",Table2[[#This Row],[Product Option]]="My Value Plus Life &amp; Funeral",_xlfn.XLOOKUP(B636,Table2[Main Member Link ID],Table2[Benefit Name],0)=Lookups!$D$15),"",
IF(AND(Table2[[#This Row],[Member Type]]="Spouse",Table2[[#This Row],[Product Option]]="My Value Plus Life &amp; Funeral",_xlfn.XLOOKUP(B636,Table2[Main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Funeral",_xlfn.XLOOKUP(B637,Table2[Main Member Link ID],Table2[Benefit Name],0)&lt;&gt;Lookups!$D$15),
IF(_xlfn.XLOOKUP(B637,Table2[Main Member Link ID],Table2[Benefit Name],0)=0,"",_xlfn.XLOOKUP(B637,Table2[Main Member Link ID],Table2[Benefit Name],0)),"")
))))))</f>
        <v/>
      </c>
      <c r="AG637" s="327" t="str">
        <f>IF(AND(Table2[[#This Row],[Member Type]]="Main Member",Table2[[#This Row],[Product Option]]="My Value Plus Life &amp; Funeral"),Lookups!$D$16,
IF(AND(Table2[[#This Row],[Member Type]]="Spouse",Table2[[#This Row],[Product Option]]="My Value Plus Life &amp; Funeral",_xlfn.XLOOKUP(B637,Table2[Main Member Link ID],Table2[Benefit Name],0)=Lookups!$D$14),"",
IF(AND(Table2[[#This Row],[Member Type]]="Spouse",Table2[[#This Row],[Product Option]]="My Value Plus Life &amp; Funeral",_xlfn.XLOOKUP(B636,Table2[Main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Funeral",_xlfn.XLOOKUP(B637,Table2[Main Member Link ID],Table2[Benefit Name],0)&lt;&gt;Lookups!$D$16),
IF(_xlfn.XLOOKUP(B637,Table2[Main Member Link ID],Table2[Benefit Name],0)=0,"",_xlfn.XLOOKUP(B637,Table2[Main Member Link ID],Table2[Benefit Name],0)),"")
))))</f>
        <v/>
      </c>
      <c r="AH637" s="327" t="str">
        <f>IF(AND(Table2[[#This Row],[Member Type]]="Main Member",Table2[[#This Row],[Product Option]]="My Value Plus Life &amp; Funeral"),Lookups!$D$17,
IF(AND(Table2[[#This Row],[Member Type]]="Spouse",Table2[[#This Row],[Product Option]]="My Value Plus Life &amp; Funeral",_xlfn.XLOOKUP(B637,Table2[Main Member Link ID],Table2[Benefit Name],0)=Lookups!$D$14),"",
IF(AND(Table2[[#This Row],[Member Type]]="Spouse",Table2[[#This Row],[Product Option]]="My Value Plus Life &amp; Funeral",_xlfn.XLOOKUP(B636,Table2[Main Member Link ID],Table2[Benefit Name],0)=Lookups!$D$16),"",
IF(AND(Table2[[#This Row],[Member Type]]="Child",Table2[[#This Row],[Product Option]]="My Value Plus Life &amp; Funeral"),"",
IF(AND(Table2[[#This Row],[Member Type]]="Child",Table2[[#This Row],[Product Option]]="My Value Plus Life &amp; Funeral",_xlfn.XLOOKUP(B637,Table2[Main Member Link ID],Table2[Benefit Name],0)=Lookups!$D$15),"",
IF(AND(OR(Table2[[#This Row],[Member Type]]="Spouse",Table2[[#This Row],[Member Type]]="Child"),Table2[[#This Row],[Product Option]]="My Value Plus Life &amp; Funeral",_xlfn.XLOOKUP(B637,Table2[Main Member Link ID],Table2[Benefit Name],0)&lt;&gt;Lookups!$D$17),
IF(_xlfn.XLOOKUP(B637,Table2[Main Member Link ID],Table2[Benefit Name],0)=0,"",_xlfn.XLOOKUP(B637,Table2[Main Member Link ID],Table2[Benefit Name],0)),""))))))</f>
        <v/>
      </c>
      <c r="AI637" s="328" t="str">
        <f>IF(AND(Table2[[#This Row],[Member Type]]="Main Member",Table2[[#This Row],[Table Lookup for Life Cover]]="MM_LIFE",Table2[[#This Row],[Age Next Birthday]]&lt;56),1,
IF(AND(Table2[[#This Row],[Member Type]]="Main Member",Table2[[#This Row],[Table Lookup for Life Cover]]="MM_LIFE",Table2[[#This Row],[Age Next Birthday]]&gt;=56),2,
""))</f>
        <v/>
      </c>
      <c r="AJ637" s="328">
        <f>IF(OR(Table2[[#This Row],[Member Type]]="Main Member",Table2[[#This Row],[Main Member Link ID]]=B636),1,0)</f>
        <v>1</v>
      </c>
      <c r="AK637" s="328">
        <f>IF(Table2[[#This Row],[Member Type]]=0,0,
IF(OR(Table2[[#This Row],[Member Type]]="Main Member",Table2[[#This Row],[Main Member Link ID]]&lt;&gt;B637),COUNTIFS(B:B,Table2[[#This Row],[Main Member Link ID]]),
COUNTIFS(B:B,Table2[[#This Row],[Main Member Link ID]],A:A,Table2[[#This Row],[Member Type]])))</f>
        <v>0</v>
      </c>
    </row>
    <row r="638" spans="1:37" x14ac:dyDescent="0.3">
      <c r="A638" s="284">
        <f>Table13[[#This Row],[Member Type]]</f>
        <v>0</v>
      </c>
      <c r="B638" s="284">
        <f>Table13[[#This Row],[Main Member Link ID]]</f>
        <v>0</v>
      </c>
      <c r="C638" s="284">
        <f>Table13[[#This Row],[ID Number]]</f>
        <v>0</v>
      </c>
      <c r="D638" s="285">
        <f>Table13[[#This Row],[Date Of Birth]]</f>
        <v>0</v>
      </c>
      <c r="E638" s="285">
        <f>Table13[[#This Row],[Commencement Date]]</f>
        <v>0</v>
      </c>
      <c r="F638" s="284">
        <f t="shared" si="63"/>
        <v>1</v>
      </c>
      <c r="G638" s="284">
        <f t="shared" si="64"/>
        <v>25</v>
      </c>
      <c r="H638" s="286">
        <f>Table13[[#This Row],[Product Option]]</f>
        <v>0</v>
      </c>
      <c r="I638" s="284">
        <f>IF(AND($A638="Main Member",Table2[[#This Row],[Product Option]]="My Value Plus Life"),"MM_LIFE",
IF(AND($A638="Spouse",Table2[[#This Row],[Product Option]]="My Value Plus Life"),"SP_LIFE",
IF(AND($A638="Main Member",Table2[[#This Row],[Product Option]]="My Value Plus Life &amp; Funeral"),"MM_LIFE",
IF(AND($A638="Spouse",Table2[[#This Row],[Product Option]]="My Value Plus Life &amp; Funeral"),_xlfn.XLOOKUP(Table2[[#This Row],[Benefit Name]],Lookups!$D$18:$D$23,Lookups!$E$18:$E$23,0),
0))))</f>
        <v>0</v>
      </c>
      <c r="J638" s="284">
        <f>IF($I638="","",
IF($I638="MM_LIFE",INDEX('Quotation Tool'!$S$54:$V$60,MATCH($T638,'Quotation Tool'!$S$54:$S$60,0),4),
IF($I638="SP_LIFE",_xlfn.XLOOKUP(B637,$B:$B,$J:$J,0),0)))</f>
        <v>0</v>
      </c>
      <c r="K638" s="287">
        <f t="shared" ca="1" si="68"/>
        <v>0</v>
      </c>
      <c r="L638" s="288">
        <f t="shared" ca="1" si="69"/>
        <v>0</v>
      </c>
      <c r="M638" s="289">
        <f t="shared" ca="1" si="65"/>
        <v>0</v>
      </c>
      <c r="N638" s="286">
        <f>Table13[[#This Row],[Benefit Option]]</f>
        <v>0</v>
      </c>
      <c r="O638" s="284">
        <f>IF(OR(Table2[[#This Row],[Member Type]]="Spouse",Table2[[#This Row],[Member Type]]="Child"),0,
IF(_xlfn.XLOOKUP($N638,Lookups!$D$13:$D$27,Lookups!$F$13:$F$27,0)=Table2[[#This Row],[Table Lookup for Life Cover]],0,
_xlfn.XLOOKUP($N638,Lookups!$D$13:$D$27,Lookups!$F$13:$F$27,0)))</f>
        <v>0</v>
      </c>
      <c r="P638" s="284">
        <f>IF(Table2[[#This Row],[Table Lookup for Funeral]]=0,0,IFERROR(INDEX('Quotation Tool'!$S$54:$V$60,MATCH($T638,'Quotation Tool'!$S$54:$S$60,0),3),0))</f>
        <v>0</v>
      </c>
      <c r="Q638" s="288">
        <f ca="1">IF(OR(Table2[[#This Row],[Benefit Name]]="My Value Plus Life - Main Member",Table2[[#This Row],[Benefit Name]]="My Value Plus Life - Spouse"),0,
IFERROR(VLOOKUP($G638,INDIRECT($O638),$P638,FALSE),0))</f>
        <v>0</v>
      </c>
      <c r="R638" s="288">
        <f ca="1">IF(OR(Table2[[#This Row],[Benefit Name]]="My Value Plus Life - Main Member",Table2[[#This Row],[Benefit Name]]="My Value Plus Life - Spouse"),0,
IFERROR(VLOOKUP($G638,INDIRECT($O638),$P638+1,FALSE),0))</f>
        <v>0</v>
      </c>
      <c r="S638" s="289">
        <f t="shared" ca="1" si="66"/>
        <v>0</v>
      </c>
      <c r="T638" s="284" t="str">
        <f>IF(Table13[[#This Row],[Premium Waiver]]="","None",Table13[[#This Row],[Premium Waiver]])</f>
        <v>None</v>
      </c>
      <c r="U638" s="284">
        <f>Table13[[#This Row],[VAPs Options]]</f>
        <v>0</v>
      </c>
      <c r="V638" s="284">
        <f>Table13[[#This Row],[Annual Increase Option]]</f>
        <v>0</v>
      </c>
      <c r="W638" s="290">
        <f>Table13[[#This Row],[Life Cover Amount]]</f>
        <v>0</v>
      </c>
      <c r="X638" s="290">
        <f>Table13[[#This Row],[Funeral Cover Amount]]</f>
        <v>0</v>
      </c>
      <c r="Y63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3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38" s="301">
        <f t="shared" ca="1" si="67"/>
        <v>0</v>
      </c>
      <c r="AB638" s="298"/>
      <c r="AC638" s="326" t="str">
        <f>IF(Table2[[#This Row],[Member Type]]="Main Member",Lookups!$C$13,
IF(Table2[[#This Row],[Member Type]]="Spouse",_xlfn.XLOOKUP(B638,Table2[Main Member Link ID],Table2[Product Option],0),
IF(AND(Table2[[#This Row],[Member Type]]="Child",_xlfn.XLOOKUP(B638,Table2[Main Member Link ID],Table2[Product Option],0)&lt;&gt;"My Value Plus Life"),Lookups!$C$24,
IF(AND(OR(Table2[[#This Row],[Member Type]]="Parent",Table2[[#This Row],[Member Type]]="Extended"),_xlfn.XLOOKUP(B638,Table2[Main Member Link ID],Table2[Product Option],0)&lt;&gt;"My Value Plus Life"),Lookups!$C$26,""))))</f>
        <v/>
      </c>
      <c r="AD638" s="326" t="str">
        <f>IF(Table2[[#This Row],[Member Type]]="Main Member",Lookups!$C$14,"")</f>
        <v/>
      </c>
      <c r="AE63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Funeral",_xlfn.XLOOKUP(B638,Table2[Main Member Link ID],Table2[Benefit Name],0)=Lookups!$D$14),"",
IF(AND(Table2[[#This Row],[Member Type]]="Spouse",Table2[[#This Row],[Product Option]]="My Value Plus Life &amp; Funeral",_xlfn.XLOOKUP(B637,Table2[Main Member Link ID],Table2[Benefit Name],0)=Lookups!$D$15),Lookups!$D$20,
IF(AND(Table2[[#This Row],[Member Type]]="Spouse",Table2[[#This Row],[Product Option]]="My Value Plus Life &amp; Funeral",_xlfn.XLOOKUP(B637,Table2[Main Member Link ID],Table2[Benefit Name],0)=Lookups!$D$16),"",
IF(AND(Table2[[#This Row],[Member Type]]="Spouse",Table2[[#This Row],[Product Option]]="My Value Plus Life &amp; Funeral",_xlfn.XLOOKUP(B637,Table2[Main Member Link ID],Table2[Benefit Name],0)=Lookups!$D$17),Lookups!$D$21,
IF(AND(Table2[[#This Row],[Member Type]]="Child",Table2[[#This Row],[Product Option]]="My Value Plus Life &amp; Funeral",_xlfn.XLOOKUP(B638,Table2[Main Member Link ID],Table2[Benefit Name],0)=Lookups!$D$14),"",
IF(AND(Table2[[#This Row],[Member Type]]="Child",Table2[[#This Row],[Product Option]]="My Value Plus Life &amp; Funeral",_xlfn.XLOOKUP(B638,Table2[Main Member Link ID],Table2[Benefit Name],0)=Lookups!$D$15),"",
IF(AND(Table2[[#This Row],[Member Type]]="Child",Table2[[#This Row],[Product Option]]="My Value Plus Life &amp; Funeral",_xlfn.XLOOKUP(B638,Table2[Main Member Link ID],Table2[Benefit Name],0)=Lookups!$D$16),Lookups!$D$24,
IF(AND(Table2[[#This Row],[Member Type]]="Child",Table2[[#This Row],[Product Option]]="My Value Plus Life &amp; Funeral",_xlfn.XLOOKUP(B638,Table2[Main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Funeral",_xlfn.XLOOKUP(B638,Table2[Main Member Link ID],Table2[Benefit Name],0)&lt;&gt;Lookups!$D$14),
IF(_xlfn.XLOOKUP(B638,Table2[Main Member Link ID],Table2[Benefit Name],0)=0,"",_xlfn.XLOOKUP(B638,Table2[Main Member Link ID],Table2[Benefit Name],0)),"")))))))))))))))</f>
        <v/>
      </c>
      <c r="AF638" s="327" t="str">
        <f>IF(AND(Table2[[#This Row],[Member Type]]="Main Member",Table2[[#This Row],[Product Option]]="My Value Plus Life &amp; Funeral"),Lookups!$D$15,
IF(AND(Table2[[#This Row],[Member Type]]="Spouse",Table2[[#This Row],[Product Option]]="My Value Plus Life &amp; Funeral",_xlfn.XLOOKUP(B638,Table2[Main Member Link ID],Table2[Benefit Name],0)=Lookups!$D$14),"",
IF(AND(Table2[[#This Row],[Member Type]]="Spouse",Table2[[#This Row],[Product Option]]="My Value Plus Life &amp; Funeral",_xlfn.XLOOKUP(B637,Table2[Main Member Link ID],Table2[Benefit Name],0)=Lookups!$D$16),"",
IF(AND(Table2[[#This Row],[Member Type]]="Spouse",Table2[[#This Row],[Product Option]]="My Value Plus Life &amp; Funeral",_xlfn.XLOOKUP(B637,Table2[Main Member Link ID],Table2[Benefit Name],0)=Lookups!$D$15),"",
IF(AND(Table2[[#This Row],[Member Type]]="Spouse",Table2[[#This Row],[Product Option]]="My Value Plus Life &amp; Funeral",_xlfn.XLOOKUP(B637,Table2[Main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Funeral",_xlfn.XLOOKUP(B638,Table2[Main Member Link ID],Table2[Benefit Name],0)&lt;&gt;Lookups!$D$15),
IF(_xlfn.XLOOKUP(B638,Table2[Main Member Link ID],Table2[Benefit Name],0)=0,"",_xlfn.XLOOKUP(B638,Table2[Main Member Link ID],Table2[Benefit Name],0)),"")
))))))</f>
        <v/>
      </c>
      <c r="AG638" s="327" t="str">
        <f>IF(AND(Table2[[#This Row],[Member Type]]="Main Member",Table2[[#This Row],[Product Option]]="My Value Plus Life &amp; Funeral"),Lookups!$D$16,
IF(AND(Table2[[#This Row],[Member Type]]="Spouse",Table2[[#This Row],[Product Option]]="My Value Plus Life &amp; Funeral",_xlfn.XLOOKUP(B638,Table2[Main Member Link ID],Table2[Benefit Name],0)=Lookups!$D$14),"",
IF(AND(Table2[[#This Row],[Member Type]]="Spouse",Table2[[#This Row],[Product Option]]="My Value Plus Life &amp; Funeral",_xlfn.XLOOKUP(B637,Table2[Main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Funeral",_xlfn.XLOOKUP(B638,Table2[Main Member Link ID],Table2[Benefit Name],0)&lt;&gt;Lookups!$D$16),
IF(_xlfn.XLOOKUP(B638,Table2[Main Member Link ID],Table2[Benefit Name],0)=0,"",_xlfn.XLOOKUP(B638,Table2[Main Member Link ID],Table2[Benefit Name],0)),"")
))))</f>
        <v/>
      </c>
      <c r="AH638" s="327" t="str">
        <f>IF(AND(Table2[[#This Row],[Member Type]]="Main Member",Table2[[#This Row],[Product Option]]="My Value Plus Life &amp; Funeral"),Lookups!$D$17,
IF(AND(Table2[[#This Row],[Member Type]]="Spouse",Table2[[#This Row],[Product Option]]="My Value Plus Life &amp; Funeral",_xlfn.XLOOKUP(B638,Table2[Main Member Link ID],Table2[Benefit Name],0)=Lookups!$D$14),"",
IF(AND(Table2[[#This Row],[Member Type]]="Spouse",Table2[[#This Row],[Product Option]]="My Value Plus Life &amp; Funeral",_xlfn.XLOOKUP(B637,Table2[Main Member Link ID],Table2[Benefit Name],0)=Lookups!$D$16),"",
IF(AND(Table2[[#This Row],[Member Type]]="Child",Table2[[#This Row],[Product Option]]="My Value Plus Life &amp; Funeral"),"",
IF(AND(Table2[[#This Row],[Member Type]]="Child",Table2[[#This Row],[Product Option]]="My Value Plus Life &amp; Funeral",_xlfn.XLOOKUP(B638,Table2[Main Member Link ID],Table2[Benefit Name],0)=Lookups!$D$15),"",
IF(AND(OR(Table2[[#This Row],[Member Type]]="Spouse",Table2[[#This Row],[Member Type]]="Child"),Table2[[#This Row],[Product Option]]="My Value Plus Life &amp; Funeral",_xlfn.XLOOKUP(B638,Table2[Main Member Link ID],Table2[Benefit Name],0)&lt;&gt;Lookups!$D$17),
IF(_xlfn.XLOOKUP(B638,Table2[Main Member Link ID],Table2[Benefit Name],0)=0,"",_xlfn.XLOOKUP(B638,Table2[Main Member Link ID],Table2[Benefit Name],0)),""))))))</f>
        <v/>
      </c>
      <c r="AI638" s="328" t="str">
        <f>IF(AND(Table2[[#This Row],[Member Type]]="Main Member",Table2[[#This Row],[Table Lookup for Life Cover]]="MM_LIFE",Table2[[#This Row],[Age Next Birthday]]&lt;56),1,
IF(AND(Table2[[#This Row],[Member Type]]="Main Member",Table2[[#This Row],[Table Lookup for Life Cover]]="MM_LIFE",Table2[[#This Row],[Age Next Birthday]]&gt;=56),2,
""))</f>
        <v/>
      </c>
      <c r="AJ638" s="328">
        <f>IF(OR(Table2[[#This Row],[Member Type]]="Main Member",Table2[[#This Row],[Main Member Link ID]]=B637),1,0)</f>
        <v>1</v>
      </c>
      <c r="AK638" s="328">
        <f>IF(Table2[[#This Row],[Member Type]]=0,0,
IF(OR(Table2[[#This Row],[Member Type]]="Main Member",Table2[[#This Row],[Main Member Link ID]]&lt;&gt;B638),COUNTIFS(B:B,Table2[[#This Row],[Main Member Link ID]]),
COUNTIFS(B:B,Table2[[#This Row],[Main Member Link ID]],A:A,Table2[[#This Row],[Member Type]])))</f>
        <v>0</v>
      </c>
    </row>
    <row r="639" spans="1:37" x14ac:dyDescent="0.3">
      <c r="A639" s="284">
        <f>Table13[[#This Row],[Member Type]]</f>
        <v>0</v>
      </c>
      <c r="B639" s="284">
        <f>Table13[[#This Row],[Main Member Link ID]]</f>
        <v>0</v>
      </c>
      <c r="C639" s="284">
        <f>Table13[[#This Row],[ID Number]]</f>
        <v>0</v>
      </c>
      <c r="D639" s="285">
        <f>Table13[[#This Row],[Date Of Birth]]</f>
        <v>0</v>
      </c>
      <c r="E639" s="285">
        <f>Table13[[#This Row],[Commencement Date]]</f>
        <v>0</v>
      </c>
      <c r="F639" s="284">
        <f t="shared" si="63"/>
        <v>1</v>
      </c>
      <c r="G639" s="284">
        <f t="shared" si="64"/>
        <v>25</v>
      </c>
      <c r="H639" s="286">
        <f>Table13[[#This Row],[Product Option]]</f>
        <v>0</v>
      </c>
      <c r="I639" s="284">
        <f>IF(AND($A639="Main Member",Table2[[#This Row],[Product Option]]="My Value Plus Life"),"MM_LIFE",
IF(AND($A639="Spouse",Table2[[#This Row],[Product Option]]="My Value Plus Life"),"SP_LIFE",
IF(AND($A639="Main Member",Table2[[#This Row],[Product Option]]="My Value Plus Life &amp; Funeral"),"MM_LIFE",
IF(AND($A639="Spouse",Table2[[#This Row],[Product Option]]="My Value Plus Life &amp; Funeral"),_xlfn.XLOOKUP(Table2[[#This Row],[Benefit Name]],Lookups!$D$18:$D$23,Lookups!$E$18:$E$23,0),
0))))</f>
        <v>0</v>
      </c>
      <c r="J639" s="284">
        <f>IF($I639="","",
IF($I639="MM_LIFE",INDEX('Quotation Tool'!$S$54:$V$60,MATCH($T639,'Quotation Tool'!$S$54:$S$60,0),4),
IF($I639="SP_LIFE",_xlfn.XLOOKUP(B638,$B:$B,$J:$J,0),0)))</f>
        <v>0</v>
      </c>
      <c r="K639" s="287">
        <f t="shared" ca="1" si="68"/>
        <v>0</v>
      </c>
      <c r="L639" s="288">
        <f t="shared" ca="1" si="69"/>
        <v>0</v>
      </c>
      <c r="M639" s="289">
        <f t="shared" ca="1" si="65"/>
        <v>0</v>
      </c>
      <c r="N639" s="286">
        <f>Table13[[#This Row],[Benefit Option]]</f>
        <v>0</v>
      </c>
      <c r="O639" s="284">
        <f>IF(OR(Table2[[#This Row],[Member Type]]="Spouse",Table2[[#This Row],[Member Type]]="Child"),0,
IF(_xlfn.XLOOKUP($N639,Lookups!$D$13:$D$27,Lookups!$F$13:$F$27,0)=Table2[[#This Row],[Table Lookup for Life Cover]],0,
_xlfn.XLOOKUP($N639,Lookups!$D$13:$D$27,Lookups!$F$13:$F$27,0)))</f>
        <v>0</v>
      </c>
      <c r="P639" s="284">
        <f>IF(Table2[[#This Row],[Table Lookup for Funeral]]=0,0,IFERROR(INDEX('Quotation Tool'!$S$54:$V$60,MATCH($T639,'Quotation Tool'!$S$54:$S$60,0),3),0))</f>
        <v>0</v>
      </c>
      <c r="Q639" s="288">
        <f ca="1">IF(OR(Table2[[#This Row],[Benefit Name]]="My Value Plus Life - Main Member",Table2[[#This Row],[Benefit Name]]="My Value Plus Life - Spouse"),0,
IFERROR(VLOOKUP($G639,INDIRECT($O639),$P639,FALSE),0))</f>
        <v>0</v>
      </c>
      <c r="R639" s="288">
        <f ca="1">IF(OR(Table2[[#This Row],[Benefit Name]]="My Value Plus Life - Main Member",Table2[[#This Row],[Benefit Name]]="My Value Plus Life - Spouse"),0,
IFERROR(VLOOKUP($G639,INDIRECT($O639),$P639+1,FALSE),0))</f>
        <v>0</v>
      </c>
      <c r="S639" s="289">
        <f t="shared" ca="1" si="66"/>
        <v>0</v>
      </c>
      <c r="T639" s="284" t="str">
        <f>IF(Table13[[#This Row],[Premium Waiver]]="","None",Table13[[#This Row],[Premium Waiver]])</f>
        <v>None</v>
      </c>
      <c r="U639" s="284">
        <f>Table13[[#This Row],[VAPs Options]]</f>
        <v>0</v>
      </c>
      <c r="V639" s="284">
        <f>Table13[[#This Row],[Annual Increase Option]]</f>
        <v>0</v>
      </c>
      <c r="W639" s="290">
        <f>Table13[[#This Row],[Life Cover Amount]]</f>
        <v>0</v>
      </c>
      <c r="X639" s="290">
        <f>Table13[[#This Row],[Funeral Cover Amount]]</f>
        <v>0</v>
      </c>
      <c r="Y63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3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39" s="301">
        <f t="shared" ca="1" si="67"/>
        <v>0</v>
      </c>
      <c r="AB639" s="298"/>
      <c r="AC639" s="326" t="str">
        <f>IF(Table2[[#This Row],[Member Type]]="Main Member",Lookups!$C$13,
IF(Table2[[#This Row],[Member Type]]="Spouse",_xlfn.XLOOKUP(B639,Table2[Main Member Link ID],Table2[Product Option],0),
IF(AND(Table2[[#This Row],[Member Type]]="Child",_xlfn.XLOOKUP(B639,Table2[Main Member Link ID],Table2[Product Option],0)&lt;&gt;"My Value Plus Life"),Lookups!$C$24,
IF(AND(OR(Table2[[#This Row],[Member Type]]="Parent",Table2[[#This Row],[Member Type]]="Extended"),_xlfn.XLOOKUP(B639,Table2[Main Member Link ID],Table2[Product Option],0)&lt;&gt;"My Value Plus Life"),Lookups!$C$26,""))))</f>
        <v/>
      </c>
      <c r="AD639" s="326" t="str">
        <f>IF(Table2[[#This Row],[Member Type]]="Main Member",Lookups!$C$14,"")</f>
        <v/>
      </c>
      <c r="AE63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Funeral",_xlfn.XLOOKUP(B639,Table2[Main Member Link ID],Table2[Benefit Name],0)=Lookups!$D$14),"",
IF(AND(Table2[[#This Row],[Member Type]]="Spouse",Table2[[#This Row],[Product Option]]="My Value Plus Life &amp; Funeral",_xlfn.XLOOKUP(B638,Table2[Main Member Link ID],Table2[Benefit Name],0)=Lookups!$D$15),Lookups!$D$20,
IF(AND(Table2[[#This Row],[Member Type]]="Spouse",Table2[[#This Row],[Product Option]]="My Value Plus Life &amp; Funeral",_xlfn.XLOOKUP(B638,Table2[Main Member Link ID],Table2[Benefit Name],0)=Lookups!$D$16),"",
IF(AND(Table2[[#This Row],[Member Type]]="Spouse",Table2[[#This Row],[Product Option]]="My Value Plus Life &amp; Funeral",_xlfn.XLOOKUP(B638,Table2[Main Member Link ID],Table2[Benefit Name],0)=Lookups!$D$17),Lookups!$D$21,
IF(AND(Table2[[#This Row],[Member Type]]="Child",Table2[[#This Row],[Product Option]]="My Value Plus Life &amp; Funeral",_xlfn.XLOOKUP(B639,Table2[Main Member Link ID],Table2[Benefit Name],0)=Lookups!$D$14),"",
IF(AND(Table2[[#This Row],[Member Type]]="Child",Table2[[#This Row],[Product Option]]="My Value Plus Life &amp; Funeral",_xlfn.XLOOKUP(B639,Table2[Main Member Link ID],Table2[Benefit Name],0)=Lookups!$D$15),"",
IF(AND(Table2[[#This Row],[Member Type]]="Child",Table2[[#This Row],[Product Option]]="My Value Plus Life &amp; Funeral",_xlfn.XLOOKUP(B639,Table2[Main Member Link ID],Table2[Benefit Name],0)=Lookups!$D$16),Lookups!$D$24,
IF(AND(Table2[[#This Row],[Member Type]]="Child",Table2[[#This Row],[Product Option]]="My Value Plus Life &amp; Funeral",_xlfn.XLOOKUP(B639,Table2[Main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Funeral",_xlfn.XLOOKUP(B639,Table2[Main Member Link ID],Table2[Benefit Name],0)&lt;&gt;Lookups!$D$14),
IF(_xlfn.XLOOKUP(B639,Table2[Main Member Link ID],Table2[Benefit Name],0)=0,"",_xlfn.XLOOKUP(B639,Table2[Main Member Link ID],Table2[Benefit Name],0)),"")))))))))))))))</f>
        <v/>
      </c>
      <c r="AF639" s="327" t="str">
        <f>IF(AND(Table2[[#This Row],[Member Type]]="Main Member",Table2[[#This Row],[Product Option]]="My Value Plus Life &amp; Funeral"),Lookups!$D$15,
IF(AND(Table2[[#This Row],[Member Type]]="Spouse",Table2[[#This Row],[Product Option]]="My Value Plus Life &amp; Funeral",_xlfn.XLOOKUP(B639,Table2[Main Member Link ID],Table2[Benefit Name],0)=Lookups!$D$14),"",
IF(AND(Table2[[#This Row],[Member Type]]="Spouse",Table2[[#This Row],[Product Option]]="My Value Plus Life &amp; Funeral",_xlfn.XLOOKUP(B638,Table2[Main Member Link ID],Table2[Benefit Name],0)=Lookups!$D$16),"",
IF(AND(Table2[[#This Row],[Member Type]]="Spouse",Table2[[#This Row],[Product Option]]="My Value Plus Life &amp; Funeral",_xlfn.XLOOKUP(B638,Table2[Main Member Link ID],Table2[Benefit Name],0)=Lookups!$D$15),"",
IF(AND(Table2[[#This Row],[Member Type]]="Spouse",Table2[[#This Row],[Product Option]]="My Value Plus Life &amp; Funeral",_xlfn.XLOOKUP(B638,Table2[Main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Funeral",_xlfn.XLOOKUP(B639,Table2[Main Member Link ID],Table2[Benefit Name],0)&lt;&gt;Lookups!$D$15),
IF(_xlfn.XLOOKUP(B639,Table2[Main Member Link ID],Table2[Benefit Name],0)=0,"",_xlfn.XLOOKUP(B639,Table2[Main Member Link ID],Table2[Benefit Name],0)),"")
))))))</f>
        <v/>
      </c>
      <c r="AG639" s="327" t="str">
        <f>IF(AND(Table2[[#This Row],[Member Type]]="Main Member",Table2[[#This Row],[Product Option]]="My Value Plus Life &amp; Funeral"),Lookups!$D$16,
IF(AND(Table2[[#This Row],[Member Type]]="Spouse",Table2[[#This Row],[Product Option]]="My Value Plus Life &amp; Funeral",_xlfn.XLOOKUP(B639,Table2[Main Member Link ID],Table2[Benefit Name],0)=Lookups!$D$14),"",
IF(AND(Table2[[#This Row],[Member Type]]="Spouse",Table2[[#This Row],[Product Option]]="My Value Plus Life &amp; Funeral",_xlfn.XLOOKUP(B638,Table2[Main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Funeral",_xlfn.XLOOKUP(B639,Table2[Main Member Link ID],Table2[Benefit Name],0)&lt;&gt;Lookups!$D$16),
IF(_xlfn.XLOOKUP(B639,Table2[Main Member Link ID],Table2[Benefit Name],0)=0,"",_xlfn.XLOOKUP(B639,Table2[Main Member Link ID],Table2[Benefit Name],0)),"")
))))</f>
        <v/>
      </c>
      <c r="AH639" s="327" t="str">
        <f>IF(AND(Table2[[#This Row],[Member Type]]="Main Member",Table2[[#This Row],[Product Option]]="My Value Plus Life &amp; Funeral"),Lookups!$D$17,
IF(AND(Table2[[#This Row],[Member Type]]="Spouse",Table2[[#This Row],[Product Option]]="My Value Plus Life &amp; Funeral",_xlfn.XLOOKUP(B639,Table2[Main Member Link ID],Table2[Benefit Name],0)=Lookups!$D$14),"",
IF(AND(Table2[[#This Row],[Member Type]]="Spouse",Table2[[#This Row],[Product Option]]="My Value Plus Life &amp; Funeral",_xlfn.XLOOKUP(B638,Table2[Main Member Link ID],Table2[Benefit Name],0)=Lookups!$D$16),"",
IF(AND(Table2[[#This Row],[Member Type]]="Child",Table2[[#This Row],[Product Option]]="My Value Plus Life &amp; Funeral"),"",
IF(AND(Table2[[#This Row],[Member Type]]="Child",Table2[[#This Row],[Product Option]]="My Value Plus Life &amp; Funeral",_xlfn.XLOOKUP(B639,Table2[Main Member Link ID],Table2[Benefit Name],0)=Lookups!$D$15),"",
IF(AND(OR(Table2[[#This Row],[Member Type]]="Spouse",Table2[[#This Row],[Member Type]]="Child"),Table2[[#This Row],[Product Option]]="My Value Plus Life &amp; Funeral",_xlfn.XLOOKUP(B639,Table2[Main Member Link ID],Table2[Benefit Name],0)&lt;&gt;Lookups!$D$17),
IF(_xlfn.XLOOKUP(B639,Table2[Main Member Link ID],Table2[Benefit Name],0)=0,"",_xlfn.XLOOKUP(B639,Table2[Main Member Link ID],Table2[Benefit Name],0)),""))))))</f>
        <v/>
      </c>
      <c r="AI639" s="328" t="str">
        <f>IF(AND(Table2[[#This Row],[Member Type]]="Main Member",Table2[[#This Row],[Table Lookup for Life Cover]]="MM_LIFE",Table2[[#This Row],[Age Next Birthday]]&lt;56),1,
IF(AND(Table2[[#This Row],[Member Type]]="Main Member",Table2[[#This Row],[Table Lookup for Life Cover]]="MM_LIFE",Table2[[#This Row],[Age Next Birthday]]&gt;=56),2,
""))</f>
        <v/>
      </c>
      <c r="AJ639" s="328">
        <f>IF(OR(Table2[[#This Row],[Member Type]]="Main Member",Table2[[#This Row],[Main Member Link ID]]=B638),1,0)</f>
        <v>1</v>
      </c>
      <c r="AK639" s="328">
        <f>IF(Table2[[#This Row],[Member Type]]=0,0,
IF(OR(Table2[[#This Row],[Member Type]]="Main Member",Table2[[#This Row],[Main Member Link ID]]&lt;&gt;B639),COUNTIFS(B:B,Table2[[#This Row],[Main Member Link ID]]),
COUNTIFS(B:B,Table2[[#This Row],[Main Member Link ID]],A:A,Table2[[#This Row],[Member Type]])))</f>
        <v>0</v>
      </c>
    </row>
    <row r="640" spans="1:37" x14ac:dyDescent="0.3">
      <c r="A640" s="284">
        <f>Table13[[#This Row],[Member Type]]</f>
        <v>0</v>
      </c>
      <c r="B640" s="284">
        <f>Table13[[#This Row],[Main Member Link ID]]</f>
        <v>0</v>
      </c>
      <c r="C640" s="284">
        <f>Table13[[#This Row],[ID Number]]</f>
        <v>0</v>
      </c>
      <c r="D640" s="285">
        <f>Table13[[#This Row],[Date Of Birth]]</f>
        <v>0</v>
      </c>
      <c r="E640" s="285">
        <f>Table13[[#This Row],[Commencement Date]]</f>
        <v>0</v>
      </c>
      <c r="F640" s="284">
        <f t="shared" si="63"/>
        <v>1</v>
      </c>
      <c r="G640" s="284">
        <f t="shared" si="64"/>
        <v>25</v>
      </c>
      <c r="H640" s="286">
        <f>Table13[[#This Row],[Product Option]]</f>
        <v>0</v>
      </c>
      <c r="I640" s="284">
        <f>IF(AND($A640="Main Member",Table2[[#This Row],[Product Option]]="My Value Plus Life"),"MM_LIFE",
IF(AND($A640="Spouse",Table2[[#This Row],[Product Option]]="My Value Plus Life"),"SP_LIFE",
IF(AND($A640="Main Member",Table2[[#This Row],[Product Option]]="My Value Plus Life &amp; Funeral"),"MM_LIFE",
IF(AND($A640="Spouse",Table2[[#This Row],[Product Option]]="My Value Plus Life &amp; Funeral"),_xlfn.XLOOKUP(Table2[[#This Row],[Benefit Name]],Lookups!$D$18:$D$23,Lookups!$E$18:$E$23,0),
0))))</f>
        <v>0</v>
      </c>
      <c r="J640" s="284">
        <f>IF($I640="","",
IF($I640="MM_LIFE",INDEX('Quotation Tool'!$S$54:$V$60,MATCH($T640,'Quotation Tool'!$S$54:$S$60,0),4),
IF($I640="SP_LIFE",_xlfn.XLOOKUP(B639,$B:$B,$J:$J,0),0)))</f>
        <v>0</v>
      </c>
      <c r="K640" s="287">
        <f t="shared" ca="1" si="68"/>
        <v>0</v>
      </c>
      <c r="L640" s="288">
        <f t="shared" ca="1" si="69"/>
        <v>0</v>
      </c>
      <c r="M640" s="289">
        <f t="shared" ca="1" si="65"/>
        <v>0</v>
      </c>
      <c r="N640" s="286">
        <f>Table13[[#This Row],[Benefit Option]]</f>
        <v>0</v>
      </c>
      <c r="O640" s="284">
        <f>IF(OR(Table2[[#This Row],[Member Type]]="Spouse",Table2[[#This Row],[Member Type]]="Child"),0,
IF(_xlfn.XLOOKUP($N640,Lookups!$D$13:$D$27,Lookups!$F$13:$F$27,0)=Table2[[#This Row],[Table Lookup for Life Cover]],0,
_xlfn.XLOOKUP($N640,Lookups!$D$13:$D$27,Lookups!$F$13:$F$27,0)))</f>
        <v>0</v>
      </c>
      <c r="P640" s="284">
        <f>IF(Table2[[#This Row],[Table Lookup for Funeral]]=0,0,IFERROR(INDEX('Quotation Tool'!$S$54:$V$60,MATCH($T640,'Quotation Tool'!$S$54:$S$60,0),3),0))</f>
        <v>0</v>
      </c>
      <c r="Q640" s="288">
        <f ca="1">IF(OR(Table2[[#This Row],[Benefit Name]]="My Value Plus Life - Main Member",Table2[[#This Row],[Benefit Name]]="My Value Plus Life - Spouse"),0,
IFERROR(VLOOKUP($G640,INDIRECT($O640),$P640,FALSE),0))</f>
        <v>0</v>
      </c>
      <c r="R640" s="288">
        <f ca="1">IF(OR(Table2[[#This Row],[Benefit Name]]="My Value Plus Life - Main Member",Table2[[#This Row],[Benefit Name]]="My Value Plus Life - Spouse"),0,
IFERROR(VLOOKUP($G640,INDIRECT($O640),$P640+1,FALSE),0))</f>
        <v>0</v>
      </c>
      <c r="S640" s="289">
        <f t="shared" ca="1" si="66"/>
        <v>0</v>
      </c>
      <c r="T640" s="284" t="str">
        <f>IF(Table13[[#This Row],[Premium Waiver]]="","None",Table13[[#This Row],[Premium Waiver]])</f>
        <v>None</v>
      </c>
      <c r="U640" s="284">
        <f>Table13[[#This Row],[VAPs Options]]</f>
        <v>0</v>
      </c>
      <c r="V640" s="284">
        <f>Table13[[#This Row],[Annual Increase Option]]</f>
        <v>0</v>
      </c>
      <c r="W640" s="290">
        <f>Table13[[#This Row],[Life Cover Amount]]</f>
        <v>0</v>
      </c>
      <c r="X640" s="290">
        <f>Table13[[#This Row],[Funeral Cover Amount]]</f>
        <v>0</v>
      </c>
      <c r="Y64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4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40" s="301">
        <f t="shared" ca="1" si="67"/>
        <v>0</v>
      </c>
      <c r="AB640" s="298"/>
      <c r="AC640" s="326" t="str">
        <f>IF(Table2[[#This Row],[Member Type]]="Main Member",Lookups!$C$13,
IF(Table2[[#This Row],[Member Type]]="Spouse",_xlfn.XLOOKUP(B640,Table2[Main Member Link ID],Table2[Product Option],0),
IF(AND(Table2[[#This Row],[Member Type]]="Child",_xlfn.XLOOKUP(B640,Table2[Main Member Link ID],Table2[Product Option],0)&lt;&gt;"My Value Plus Life"),Lookups!$C$24,
IF(AND(OR(Table2[[#This Row],[Member Type]]="Parent",Table2[[#This Row],[Member Type]]="Extended"),_xlfn.XLOOKUP(B640,Table2[Main Member Link ID],Table2[Product Option],0)&lt;&gt;"My Value Plus Life"),Lookups!$C$26,""))))</f>
        <v/>
      </c>
      <c r="AD640" s="326" t="str">
        <f>IF(Table2[[#This Row],[Member Type]]="Main Member",Lookups!$C$14,"")</f>
        <v/>
      </c>
      <c r="AE64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Funeral",_xlfn.XLOOKUP(B640,Table2[Main Member Link ID],Table2[Benefit Name],0)=Lookups!$D$14),"",
IF(AND(Table2[[#This Row],[Member Type]]="Spouse",Table2[[#This Row],[Product Option]]="My Value Plus Life &amp; Funeral",_xlfn.XLOOKUP(B639,Table2[Main Member Link ID],Table2[Benefit Name],0)=Lookups!$D$15),Lookups!$D$20,
IF(AND(Table2[[#This Row],[Member Type]]="Spouse",Table2[[#This Row],[Product Option]]="My Value Plus Life &amp; Funeral",_xlfn.XLOOKUP(B639,Table2[Main Member Link ID],Table2[Benefit Name],0)=Lookups!$D$16),"",
IF(AND(Table2[[#This Row],[Member Type]]="Spouse",Table2[[#This Row],[Product Option]]="My Value Plus Life &amp; Funeral",_xlfn.XLOOKUP(B639,Table2[Main Member Link ID],Table2[Benefit Name],0)=Lookups!$D$17),Lookups!$D$21,
IF(AND(Table2[[#This Row],[Member Type]]="Child",Table2[[#This Row],[Product Option]]="My Value Plus Life &amp; Funeral",_xlfn.XLOOKUP(B640,Table2[Main Member Link ID],Table2[Benefit Name],0)=Lookups!$D$14),"",
IF(AND(Table2[[#This Row],[Member Type]]="Child",Table2[[#This Row],[Product Option]]="My Value Plus Life &amp; Funeral",_xlfn.XLOOKUP(B640,Table2[Main Member Link ID],Table2[Benefit Name],0)=Lookups!$D$15),"",
IF(AND(Table2[[#This Row],[Member Type]]="Child",Table2[[#This Row],[Product Option]]="My Value Plus Life &amp; Funeral",_xlfn.XLOOKUP(B640,Table2[Main Member Link ID],Table2[Benefit Name],0)=Lookups!$D$16),Lookups!$D$24,
IF(AND(Table2[[#This Row],[Member Type]]="Child",Table2[[#This Row],[Product Option]]="My Value Plus Life &amp; Funeral",_xlfn.XLOOKUP(B640,Table2[Main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Funeral",_xlfn.XLOOKUP(B640,Table2[Main Member Link ID],Table2[Benefit Name],0)&lt;&gt;Lookups!$D$14),
IF(_xlfn.XLOOKUP(B640,Table2[Main Member Link ID],Table2[Benefit Name],0)=0,"",_xlfn.XLOOKUP(B640,Table2[Main Member Link ID],Table2[Benefit Name],0)),"")))))))))))))))</f>
        <v/>
      </c>
      <c r="AF640" s="327" t="str">
        <f>IF(AND(Table2[[#This Row],[Member Type]]="Main Member",Table2[[#This Row],[Product Option]]="My Value Plus Life &amp; Funeral"),Lookups!$D$15,
IF(AND(Table2[[#This Row],[Member Type]]="Spouse",Table2[[#This Row],[Product Option]]="My Value Plus Life &amp; Funeral",_xlfn.XLOOKUP(B640,Table2[Main Member Link ID],Table2[Benefit Name],0)=Lookups!$D$14),"",
IF(AND(Table2[[#This Row],[Member Type]]="Spouse",Table2[[#This Row],[Product Option]]="My Value Plus Life &amp; Funeral",_xlfn.XLOOKUP(B639,Table2[Main Member Link ID],Table2[Benefit Name],0)=Lookups!$D$16),"",
IF(AND(Table2[[#This Row],[Member Type]]="Spouse",Table2[[#This Row],[Product Option]]="My Value Plus Life &amp; Funeral",_xlfn.XLOOKUP(B639,Table2[Main Member Link ID],Table2[Benefit Name],0)=Lookups!$D$15),"",
IF(AND(Table2[[#This Row],[Member Type]]="Spouse",Table2[[#This Row],[Product Option]]="My Value Plus Life &amp; Funeral",_xlfn.XLOOKUP(B639,Table2[Main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Funeral",_xlfn.XLOOKUP(B640,Table2[Main Member Link ID],Table2[Benefit Name],0)&lt;&gt;Lookups!$D$15),
IF(_xlfn.XLOOKUP(B640,Table2[Main Member Link ID],Table2[Benefit Name],0)=0,"",_xlfn.XLOOKUP(B640,Table2[Main Member Link ID],Table2[Benefit Name],0)),"")
))))))</f>
        <v/>
      </c>
      <c r="AG640" s="327" t="str">
        <f>IF(AND(Table2[[#This Row],[Member Type]]="Main Member",Table2[[#This Row],[Product Option]]="My Value Plus Life &amp; Funeral"),Lookups!$D$16,
IF(AND(Table2[[#This Row],[Member Type]]="Spouse",Table2[[#This Row],[Product Option]]="My Value Plus Life &amp; Funeral",_xlfn.XLOOKUP(B640,Table2[Main Member Link ID],Table2[Benefit Name],0)=Lookups!$D$14),"",
IF(AND(Table2[[#This Row],[Member Type]]="Spouse",Table2[[#This Row],[Product Option]]="My Value Plus Life &amp; Funeral",_xlfn.XLOOKUP(B639,Table2[Main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Funeral",_xlfn.XLOOKUP(B640,Table2[Main Member Link ID],Table2[Benefit Name],0)&lt;&gt;Lookups!$D$16),
IF(_xlfn.XLOOKUP(B640,Table2[Main Member Link ID],Table2[Benefit Name],0)=0,"",_xlfn.XLOOKUP(B640,Table2[Main Member Link ID],Table2[Benefit Name],0)),"")
))))</f>
        <v/>
      </c>
      <c r="AH640" s="327" t="str">
        <f>IF(AND(Table2[[#This Row],[Member Type]]="Main Member",Table2[[#This Row],[Product Option]]="My Value Plus Life &amp; Funeral"),Lookups!$D$17,
IF(AND(Table2[[#This Row],[Member Type]]="Spouse",Table2[[#This Row],[Product Option]]="My Value Plus Life &amp; Funeral",_xlfn.XLOOKUP(B640,Table2[Main Member Link ID],Table2[Benefit Name],0)=Lookups!$D$14),"",
IF(AND(Table2[[#This Row],[Member Type]]="Spouse",Table2[[#This Row],[Product Option]]="My Value Plus Life &amp; Funeral",_xlfn.XLOOKUP(B639,Table2[Main Member Link ID],Table2[Benefit Name],0)=Lookups!$D$16),"",
IF(AND(Table2[[#This Row],[Member Type]]="Child",Table2[[#This Row],[Product Option]]="My Value Plus Life &amp; Funeral"),"",
IF(AND(Table2[[#This Row],[Member Type]]="Child",Table2[[#This Row],[Product Option]]="My Value Plus Life &amp; Funeral",_xlfn.XLOOKUP(B640,Table2[Main Member Link ID],Table2[Benefit Name],0)=Lookups!$D$15),"",
IF(AND(OR(Table2[[#This Row],[Member Type]]="Spouse",Table2[[#This Row],[Member Type]]="Child"),Table2[[#This Row],[Product Option]]="My Value Plus Life &amp; Funeral",_xlfn.XLOOKUP(B640,Table2[Main Member Link ID],Table2[Benefit Name],0)&lt;&gt;Lookups!$D$17),
IF(_xlfn.XLOOKUP(B640,Table2[Main Member Link ID],Table2[Benefit Name],0)=0,"",_xlfn.XLOOKUP(B640,Table2[Main Member Link ID],Table2[Benefit Name],0)),""))))))</f>
        <v/>
      </c>
      <c r="AI640" s="328" t="str">
        <f>IF(AND(Table2[[#This Row],[Member Type]]="Main Member",Table2[[#This Row],[Table Lookup for Life Cover]]="MM_LIFE",Table2[[#This Row],[Age Next Birthday]]&lt;56),1,
IF(AND(Table2[[#This Row],[Member Type]]="Main Member",Table2[[#This Row],[Table Lookup for Life Cover]]="MM_LIFE",Table2[[#This Row],[Age Next Birthday]]&gt;=56),2,
""))</f>
        <v/>
      </c>
      <c r="AJ640" s="328">
        <f>IF(OR(Table2[[#This Row],[Member Type]]="Main Member",Table2[[#This Row],[Main Member Link ID]]=B639),1,0)</f>
        <v>1</v>
      </c>
      <c r="AK640" s="328">
        <f>IF(Table2[[#This Row],[Member Type]]=0,0,
IF(OR(Table2[[#This Row],[Member Type]]="Main Member",Table2[[#This Row],[Main Member Link ID]]&lt;&gt;B640),COUNTIFS(B:B,Table2[[#This Row],[Main Member Link ID]]),
COUNTIFS(B:B,Table2[[#This Row],[Main Member Link ID]],A:A,Table2[[#This Row],[Member Type]])))</f>
        <v>0</v>
      </c>
    </row>
    <row r="641" spans="1:37" x14ac:dyDescent="0.3">
      <c r="A641" s="284">
        <f>Table13[[#This Row],[Member Type]]</f>
        <v>0</v>
      </c>
      <c r="B641" s="284">
        <f>Table13[[#This Row],[Main Member Link ID]]</f>
        <v>0</v>
      </c>
      <c r="C641" s="284">
        <f>Table13[[#This Row],[ID Number]]</f>
        <v>0</v>
      </c>
      <c r="D641" s="285">
        <f>Table13[[#This Row],[Date Of Birth]]</f>
        <v>0</v>
      </c>
      <c r="E641" s="285">
        <f>Table13[[#This Row],[Commencement Date]]</f>
        <v>0</v>
      </c>
      <c r="F641" s="284">
        <f t="shared" si="63"/>
        <v>1</v>
      </c>
      <c r="G641" s="284">
        <f t="shared" si="64"/>
        <v>25</v>
      </c>
      <c r="H641" s="286">
        <f>Table13[[#This Row],[Product Option]]</f>
        <v>0</v>
      </c>
      <c r="I641" s="284">
        <f>IF(AND($A641="Main Member",Table2[[#This Row],[Product Option]]="My Value Plus Life"),"MM_LIFE",
IF(AND($A641="Spouse",Table2[[#This Row],[Product Option]]="My Value Plus Life"),"SP_LIFE",
IF(AND($A641="Main Member",Table2[[#This Row],[Product Option]]="My Value Plus Life &amp; Funeral"),"MM_LIFE",
IF(AND($A641="Spouse",Table2[[#This Row],[Product Option]]="My Value Plus Life &amp; Funeral"),_xlfn.XLOOKUP(Table2[[#This Row],[Benefit Name]],Lookups!$D$18:$D$23,Lookups!$E$18:$E$23,0),
0))))</f>
        <v>0</v>
      </c>
      <c r="J641" s="284">
        <f>IF($I641="","",
IF($I641="MM_LIFE",INDEX('Quotation Tool'!$S$54:$V$60,MATCH($T641,'Quotation Tool'!$S$54:$S$60,0),4),
IF($I641="SP_LIFE",_xlfn.XLOOKUP(B640,$B:$B,$J:$J,0),0)))</f>
        <v>0</v>
      </c>
      <c r="K641" s="287">
        <f t="shared" ca="1" si="68"/>
        <v>0</v>
      </c>
      <c r="L641" s="288">
        <f t="shared" ca="1" si="69"/>
        <v>0</v>
      </c>
      <c r="M641" s="289">
        <f t="shared" ca="1" si="65"/>
        <v>0</v>
      </c>
      <c r="N641" s="286">
        <f>Table13[[#This Row],[Benefit Option]]</f>
        <v>0</v>
      </c>
      <c r="O641" s="284">
        <f>IF(OR(Table2[[#This Row],[Member Type]]="Spouse",Table2[[#This Row],[Member Type]]="Child"),0,
IF(_xlfn.XLOOKUP($N641,Lookups!$D$13:$D$27,Lookups!$F$13:$F$27,0)=Table2[[#This Row],[Table Lookup for Life Cover]],0,
_xlfn.XLOOKUP($N641,Lookups!$D$13:$D$27,Lookups!$F$13:$F$27,0)))</f>
        <v>0</v>
      </c>
      <c r="P641" s="284">
        <f>IF(Table2[[#This Row],[Table Lookup for Funeral]]=0,0,IFERROR(INDEX('Quotation Tool'!$S$54:$V$60,MATCH($T641,'Quotation Tool'!$S$54:$S$60,0),3),0))</f>
        <v>0</v>
      </c>
      <c r="Q641" s="288">
        <f ca="1">IF(OR(Table2[[#This Row],[Benefit Name]]="My Value Plus Life - Main Member",Table2[[#This Row],[Benefit Name]]="My Value Plus Life - Spouse"),0,
IFERROR(VLOOKUP($G641,INDIRECT($O641),$P641,FALSE),0))</f>
        <v>0</v>
      </c>
      <c r="R641" s="288">
        <f ca="1">IF(OR(Table2[[#This Row],[Benefit Name]]="My Value Plus Life - Main Member",Table2[[#This Row],[Benefit Name]]="My Value Plus Life - Spouse"),0,
IFERROR(VLOOKUP($G641,INDIRECT($O641),$P641+1,FALSE),0))</f>
        <v>0</v>
      </c>
      <c r="S641" s="289">
        <f t="shared" ca="1" si="66"/>
        <v>0</v>
      </c>
      <c r="T641" s="284" t="str">
        <f>IF(Table13[[#This Row],[Premium Waiver]]="","None",Table13[[#This Row],[Premium Waiver]])</f>
        <v>None</v>
      </c>
      <c r="U641" s="284">
        <f>Table13[[#This Row],[VAPs Options]]</f>
        <v>0</v>
      </c>
      <c r="V641" s="284">
        <f>Table13[[#This Row],[Annual Increase Option]]</f>
        <v>0</v>
      </c>
      <c r="W641" s="290">
        <f>Table13[[#This Row],[Life Cover Amount]]</f>
        <v>0</v>
      </c>
      <c r="X641" s="290">
        <f>Table13[[#This Row],[Funeral Cover Amount]]</f>
        <v>0</v>
      </c>
      <c r="Y641"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41"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41" s="301">
        <f t="shared" ca="1" si="67"/>
        <v>0</v>
      </c>
      <c r="AB641" s="298"/>
      <c r="AC641" s="326" t="str">
        <f>IF(Table2[[#This Row],[Member Type]]="Main Member",Lookups!$C$13,
IF(Table2[[#This Row],[Member Type]]="Spouse",_xlfn.XLOOKUP(B641,Table2[Main Member Link ID],Table2[Product Option],0),
IF(AND(Table2[[#This Row],[Member Type]]="Child",_xlfn.XLOOKUP(B641,Table2[Main Member Link ID],Table2[Product Option],0)&lt;&gt;"My Value Plus Life"),Lookups!$C$24,
IF(AND(OR(Table2[[#This Row],[Member Type]]="Parent",Table2[[#This Row],[Member Type]]="Extended"),_xlfn.XLOOKUP(B641,Table2[Main Member Link ID],Table2[Product Option],0)&lt;&gt;"My Value Plus Life"),Lookups!$C$26,""))))</f>
        <v/>
      </c>
      <c r="AD641" s="326" t="str">
        <f>IF(Table2[[#This Row],[Member Type]]="Main Member",Lookups!$C$14,"")</f>
        <v/>
      </c>
      <c r="AE641"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Funeral",_xlfn.XLOOKUP(B641,Table2[Main Member Link ID],Table2[Benefit Name],0)=Lookups!$D$14),"",
IF(AND(Table2[[#This Row],[Member Type]]="Spouse",Table2[[#This Row],[Product Option]]="My Value Plus Life &amp; Funeral",_xlfn.XLOOKUP(B640,Table2[Main Member Link ID],Table2[Benefit Name],0)=Lookups!$D$15),Lookups!$D$20,
IF(AND(Table2[[#This Row],[Member Type]]="Spouse",Table2[[#This Row],[Product Option]]="My Value Plus Life &amp; Funeral",_xlfn.XLOOKUP(B640,Table2[Main Member Link ID],Table2[Benefit Name],0)=Lookups!$D$16),"",
IF(AND(Table2[[#This Row],[Member Type]]="Spouse",Table2[[#This Row],[Product Option]]="My Value Plus Life &amp; Funeral",_xlfn.XLOOKUP(B640,Table2[Main Member Link ID],Table2[Benefit Name],0)=Lookups!$D$17),Lookups!$D$21,
IF(AND(Table2[[#This Row],[Member Type]]="Child",Table2[[#This Row],[Product Option]]="My Value Plus Life &amp; Funeral",_xlfn.XLOOKUP(B641,Table2[Main Member Link ID],Table2[Benefit Name],0)=Lookups!$D$14),"",
IF(AND(Table2[[#This Row],[Member Type]]="Child",Table2[[#This Row],[Product Option]]="My Value Plus Life &amp; Funeral",_xlfn.XLOOKUP(B641,Table2[Main Member Link ID],Table2[Benefit Name],0)=Lookups!$D$15),"",
IF(AND(Table2[[#This Row],[Member Type]]="Child",Table2[[#This Row],[Product Option]]="My Value Plus Life &amp; Funeral",_xlfn.XLOOKUP(B641,Table2[Main Member Link ID],Table2[Benefit Name],0)=Lookups!$D$16),Lookups!$D$24,
IF(AND(Table2[[#This Row],[Member Type]]="Child",Table2[[#This Row],[Product Option]]="My Value Plus Life &amp; Funeral",_xlfn.XLOOKUP(B641,Table2[Main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Funeral",_xlfn.XLOOKUP(B641,Table2[Main Member Link ID],Table2[Benefit Name],0)&lt;&gt;Lookups!$D$14),
IF(_xlfn.XLOOKUP(B641,Table2[Main Member Link ID],Table2[Benefit Name],0)=0,"",_xlfn.XLOOKUP(B641,Table2[Main Member Link ID],Table2[Benefit Name],0)),"")))))))))))))))</f>
        <v/>
      </c>
      <c r="AF641" s="327" t="str">
        <f>IF(AND(Table2[[#This Row],[Member Type]]="Main Member",Table2[[#This Row],[Product Option]]="My Value Plus Life &amp; Funeral"),Lookups!$D$15,
IF(AND(Table2[[#This Row],[Member Type]]="Spouse",Table2[[#This Row],[Product Option]]="My Value Plus Life &amp; Funeral",_xlfn.XLOOKUP(B641,Table2[Main Member Link ID],Table2[Benefit Name],0)=Lookups!$D$14),"",
IF(AND(Table2[[#This Row],[Member Type]]="Spouse",Table2[[#This Row],[Product Option]]="My Value Plus Life &amp; Funeral",_xlfn.XLOOKUP(B640,Table2[Main Member Link ID],Table2[Benefit Name],0)=Lookups!$D$16),"",
IF(AND(Table2[[#This Row],[Member Type]]="Spouse",Table2[[#This Row],[Product Option]]="My Value Plus Life &amp; Funeral",_xlfn.XLOOKUP(B640,Table2[Main Member Link ID],Table2[Benefit Name],0)=Lookups!$D$15),"",
IF(AND(Table2[[#This Row],[Member Type]]="Spouse",Table2[[#This Row],[Product Option]]="My Value Plus Life &amp; Funeral",_xlfn.XLOOKUP(B640,Table2[Main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Funeral",_xlfn.XLOOKUP(B641,Table2[Main Member Link ID],Table2[Benefit Name],0)&lt;&gt;Lookups!$D$15),
IF(_xlfn.XLOOKUP(B641,Table2[Main Member Link ID],Table2[Benefit Name],0)=0,"",_xlfn.XLOOKUP(B641,Table2[Main Member Link ID],Table2[Benefit Name],0)),"")
))))))</f>
        <v/>
      </c>
      <c r="AG641" s="327" t="str">
        <f>IF(AND(Table2[[#This Row],[Member Type]]="Main Member",Table2[[#This Row],[Product Option]]="My Value Plus Life &amp; Funeral"),Lookups!$D$16,
IF(AND(Table2[[#This Row],[Member Type]]="Spouse",Table2[[#This Row],[Product Option]]="My Value Plus Life &amp; Funeral",_xlfn.XLOOKUP(B641,Table2[Main Member Link ID],Table2[Benefit Name],0)=Lookups!$D$14),"",
IF(AND(Table2[[#This Row],[Member Type]]="Spouse",Table2[[#This Row],[Product Option]]="My Value Plus Life &amp; Funeral",_xlfn.XLOOKUP(B640,Table2[Main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Funeral",_xlfn.XLOOKUP(B641,Table2[Main Member Link ID],Table2[Benefit Name],0)&lt;&gt;Lookups!$D$16),
IF(_xlfn.XLOOKUP(B641,Table2[Main Member Link ID],Table2[Benefit Name],0)=0,"",_xlfn.XLOOKUP(B641,Table2[Main Member Link ID],Table2[Benefit Name],0)),"")
))))</f>
        <v/>
      </c>
      <c r="AH641" s="327" t="str">
        <f>IF(AND(Table2[[#This Row],[Member Type]]="Main Member",Table2[[#This Row],[Product Option]]="My Value Plus Life &amp; Funeral"),Lookups!$D$17,
IF(AND(Table2[[#This Row],[Member Type]]="Spouse",Table2[[#This Row],[Product Option]]="My Value Plus Life &amp; Funeral",_xlfn.XLOOKUP(B641,Table2[Main Member Link ID],Table2[Benefit Name],0)=Lookups!$D$14),"",
IF(AND(Table2[[#This Row],[Member Type]]="Spouse",Table2[[#This Row],[Product Option]]="My Value Plus Life &amp; Funeral",_xlfn.XLOOKUP(B640,Table2[Main Member Link ID],Table2[Benefit Name],0)=Lookups!$D$16),"",
IF(AND(Table2[[#This Row],[Member Type]]="Child",Table2[[#This Row],[Product Option]]="My Value Plus Life &amp; Funeral"),"",
IF(AND(Table2[[#This Row],[Member Type]]="Child",Table2[[#This Row],[Product Option]]="My Value Plus Life &amp; Funeral",_xlfn.XLOOKUP(B641,Table2[Main Member Link ID],Table2[Benefit Name],0)=Lookups!$D$15),"",
IF(AND(OR(Table2[[#This Row],[Member Type]]="Spouse",Table2[[#This Row],[Member Type]]="Child"),Table2[[#This Row],[Product Option]]="My Value Plus Life &amp; Funeral",_xlfn.XLOOKUP(B641,Table2[Main Member Link ID],Table2[Benefit Name],0)&lt;&gt;Lookups!$D$17),
IF(_xlfn.XLOOKUP(B641,Table2[Main Member Link ID],Table2[Benefit Name],0)=0,"",_xlfn.XLOOKUP(B641,Table2[Main Member Link ID],Table2[Benefit Name],0)),""))))))</f>
        <v/>
      </c>
      <c r="AI641" s="328" t="str">
        <f>IF(AND(Table2[[#This Row],[Member Type]]="Main Member",Table2[[#This Row],[Table Lookup for Life Cover]]="MM_LIFE",Table2[[#This Row],[Age Next Birthday]]&lt;56),1,
IF(AND(Table2[[#This Row],[Member Type]]="Main Member",Table2[[#This Row],[Table Lookup for Life Cover]]="MM_LIFE",Table2[[#This Row],[Age Next Birthday]]&gt;=56),2,
""))</f>
        <v/>
      </c>
      <c r="AJ641" s="328">
        <f>IF(OR(Table2[[#This Row],[Member Type]]="Main Member",Table2[[#This Row],[Main Member Link ID]]=B640),1,0)</f>
        <v>1</v>
      </c>
      <c r="AK641" s="328">
        <f>IF(Table2[[#This Row],[Member Type]]=0,0,
IF(OR(Table2[[#This Row],[Member Type]]="Main Member",Table2[[#This Row],[Main Member Link ID]]&lt;&gt;B641),COUNTIFS(B:B,Table2[[#This Row],[Main Member Link ID]]),
COUNTIFS(B:B,Table2[[#This Row],[Main Member Link ID]],A:A,Table2[[#This Row],[Member Type]])))</f>
        <v>0</v>
      </c>
    </row>
    <row r="642" spans="1:37" x14ac:dyDescent="0.3">
      <c r="A642" s="284">
        <f>Table13[[#This Row],[Member Type]]</f>
        <v>0</v>
      </c>
      <c r="B642" s="284">
        <f>Table13[[#This Row],[Main Member Link ID]]</f>
        <v>0</v>
      </c>
      <c r="C642" s="284">
        <f>Table13[[#This Row],[ID Number]]</f>
        <v>0</v>
      </c>
      <c r="D642" s="285">
        <f>Table13[[#This Row],[Date Of Birth]]</f>
        <v>0</v>
      </c>
      <c r="E642" s="285">
        <f>Table13[[#This Row],[Commencement Date]]</f>
        <v>0</v>
      </c>
      <c r="F642" s="284">
        <f t="shared" si="63"/>
        <v>1</v>
      </c>
      <c r="G642" s="284">
        <f t="shared" si="64"/>
        <v>25</v>
      </c>
      <c r="H642" s="286">
        <f>Table13[[#This Row],[Product Option]]</f>
        <v>0</v>
      </c>
      <c r="I642" s="284">
        <f>IF(AND($A642="Main Member",Table2[[#This Row],[Product Option]]="My Value Plus Life"),"MM_LIFE",
IF(AND($A642="Spouse",Table2[[#This Row],[Product Option]]="My Value Plus Life"),"SP_LIFE",
IF(AND($A642="Main Member",Table2[[#This Row],[Product Option]]="My Value Plus Life &amp; Funeral"),"MM_LIFE",
IF(AND($A642="Spouse",Table2[[#This Row],[Product Option]]="My Value Plus Life &amp; Funeral"),_xlfn.XLOOKUP(Table2[[#This Row],[Benefit Name]],Lookups!$D$18:$D$23,Lookups!$E$18:$E$23,0),
0))))</f>
        <v>0</v>
      </c>
      <c r="J642" s="284">
        <f>IF($I642="","",
IF($I642="MM_LIFE",INDEX('Quotation Tool'!$S$54:$V$60,MATCH($T642,'Quotation Tool'!$S$54:$S$60,0),4),
IF($I642="SP_LIFE",_xlfn.XLOOKUP(B641,$B:$B,$J:$J,0),0)))</f>
        <v>0</v>
      </c>
      <c r="K642" s="287">
        <f t="shared" ca="1" si="68"/>
        <v>0</v>
      </c>
      <c r="L642" s="288">
        <f t="shared" ca="1" si="69"/>
        <v>0</v>
      </c>
      <c r="M642" s="289">
        <f t="shared" ca="1" si="65"/>
        <v>0</v>
      </c>
      <c r="N642" s="286">
        <f>Table13[[#This Row],[Benefit Option]]</f>
        <v>0</v>
      </c>
      <c r="O642" s="284">
        <f>IF(OR(Table2[[#This Row],[Member Type]]="Spouse",Table2[[#This Row],[Member Type]]="Child"),0,
IF(_xlfn.XLOOKUP($N642,Lookups!$D$13:$D$27,Lookups!$F$13:$F$27,0)=Table2[[#This Row],[Table Lookup for Life Cover]],0,
_xlfn.XLOOKUP($N642,Lookups!$D$13:$D$27,Lookups!$F$13:$F$27,0)))</f>
        <v>0</v>
      </c>
      <c r="P642" s="284">
        <f>IF(Table2[[#This Row],[Table Lookup for Funeral]]=0,0,IFERROR(INDEX('Quotation Tool'!$S$54:$V$60,MATCH($T642,'Quotation Tool'!$S$54:$S$60,0),3),0))</f>
        <v>0</v>
      </c>
      <c r="Q642" s="288">
        <f ca="1">IF(OR(Table2[[#This Row],[Benefit Name]]="My Value Plus Life - Main Member",Table2[[#This Row],[Benefit Name]]="My Value Plus Life - Spouse"),0,
IFERROR(VLOOKUP($G642,INDIRECT($O642),$P642,FALSE),0))</f>
        <v>0</v>
      </c>
      <c r="R642" s="288">
        <f ca="1">IF(OR(Table2[[#This Row],[Benefit Name]]="My Value Plus Life - Main Member",Table2[[#This Row],[Benefit Name]]="My Value Plus Life - Spouse"),0,
IFERROR(VLOOKUP($G642,INDIRECT($O642),$P642+1,FALSE),0))</f>
        <v>0</v>
      </c>
      <c r="S642" s="289">
        <f t="shared" ca="1" si="66"/>
        <v>0</v>
      </c>
      <c r="T642" s="284" t="str">
        <f>IF(Table13[[#This Row],[Premium Waiver]]="","None",Table13[[#This Row],[Premium Waiver]])</f>
        <v>None</v>
      </c>
      <c r="U642" s="284">
        <f>Table13[[#This Row],[VAPs Options]]</f>
        <v>0</v>
      </c>
      <c r="V642" s="284">
        <f>Table13[[#This Row],[Annual Increase Option]]</f>
        <v>0</v>
      </c>
      <c r="W642" s="290">
        <f>Table13[[#This Row],[Life Cover Amount]]</f>
        <v>0</v>
      </c>
      <c r="X642" s="290">
        <f>Table13[[#This Row],[Funeral Cover Amount]]</f>
        <v>0</v>
      </c>
      <c r="Y642"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42"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42" s="301">
        <f t="shared" ca="1" si="67"/>
        <v>0</v>
      </c>
      <c r="AB642" s="298"/>
      <c r="AC642" s="326" t="str">
        <f>IF(Table2[[#This Row],[Member Type]]="Main Member",Lookups!$C$13,
IF(Table2[[#This Row],[Member Type]]="Spouse",_xlfn.XLOOKUP(B642,Table2[Main Member Link ID],Table2[Product Option],0),
IF(AND(Table2[[#This Row],[Member Type]]="Child",_xlfn.XLOOKUP(B642,Table2[Main Member Link ID],Table2[Product Option],0)&lt;&gt;"My Value Plus Life"),Lookups!$C$24,
IF(AND(OR(Table2[[#This Row],[Member Type]]="Parent",Table2[[#This Row],[Member Type]]="Extended"),_xlfn.XLOOKUP(B642,Table2[Main Member Link ID],Table2[Product Option],0)&lt;&gt;"My Value Plus Life"),Lookups!$C$26,""))))</f>
        <v/>
      </c>
      <c r="AD642" s="326" t="str">
        <f>IF(Table2[[#This Row],[Member Type]]="Main Member",Lookups!$C$14,"")</f>
        <v/>
      </c>
      <c r="AE642"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Funeral",_xlfn.XLOOKUP(B642,Table2[Main Member Link ID],Table2[Benefit Name],0)=Lookups!$D$14),"",
IF(AND(Table2[[#This Row],[Member Type]]="Spouse",Table2[[#This Row],[Product Option]]="My Value Plus Life &amp; Funeral",_xlfn.XLOOKUP(B641,Table2[Main Member Link ID],Table2[Benefit Name],0)=Lookups!$D$15),Lookups!$D$20,
IF(AND(Table2[[#This Row],[Member Type]]="Spouse",Table2[[#This Row],[Product Option]]="My Value Plus Life &amp; Funeral",_xlfn.XLOOKUP(B641,Table2[Main Member Link ID],Table2[Benefit Name],0)=Lookups!$D$16),"",
IF(AND(Table2[[#This Row],[Member Type]]="Spouse",Table2[[#This Row],[Product Option]]="My Value Plus Life &amp; Funeral",_xlfn.XLOOKUP(B641,Table2[Main Member Link ID],Table2[Benefit Name],0)=Lookups!$D$17),Lookups!$D$21,
IF(AND(Table2[[#This Row],[Member Type]]="Child",Table2[[#This Row],[Product Option]]="My Value Plus Life &amp; Funeral",_xlfn.XLOOKUP(B642,Table2[Main Member Link ID],Table2[Benefit Name],0)=Lookups!$D$14),"",
IF(AND(Table2[[#This Row],[Member Type]]="Child",Table2[[#This Row],[Product Option]]="My Value Plus Life &amp; Funeral",_xlfn.XLOOKUP(B642,Table2[Main Member Link ID],Table2[Benefit Name],0)=Lookups!$D$15),"",
IF(AND(Table2[[#This Row],[Member Type]]="Child",Table2[[#This Row],[Product Option]]="My Value Plus Life &amp; Funeral",_xlfn.XLOOKUP(B642,Table2[Main Member Link ID],Table2[Benefit Name],0)=Lookups!$D$16),Lookups!$D$24,
IF(AND(Table2[[#This Row],[Member Type]]="Child",Table2[[#This Row],[Product Option]]="My Value Plus Life &amp; Funeral",_xlfn.XLOOKUP(B642,Table2[Main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Funeral",_xlfn.XLOOKUP(B642,Table2[Main Member Link ID],Table2[Benefit Name],0)&lt;&gt;Lookups!$D$14),
IF(_xlfn.XLOOKUP(B642,Table2[Main Member Link ID],Table2[Benefit Name],0)=0,"",_xlfn.XLOOKUP(B642,Table2[Main Member Link ID],Table2[Benefit Name],0)),"")))))))))))))))</f>
        <v/>
      </c>
      <c r="AF642" s="327" t="str">
        <f>IF(AND(Table2[[#This Row],[Member Type]]="Main Member",Table2[[#This Row],[Product Option]]="My Value Plus Life &amp; Funeral"),Lookups!$D$15,
IF(AND(Table2[[#This Row],[Member Type]]="Spouse",Table2[[#This Row],[Product Option]]="My Value Plus Life &amp; Funeral",_xlfn.XLOOKUP(B642,Table2[Main Member Link ID],Table2[Benefit Name],0)=Lookups!$D$14),"",
IF(AND(Table2[[#This Row],[Member Type]]="Spouse",Table2[[#This Row],[Product Option]]="My Value Plus Life &amp; Funeral",_xlfn.XLOOKUP(B641,Table2[Main Member Link ID],Table2[Benefit Name],0)=Lookups!$D$16),"",
IF(AND(Table2[[#This Row],[Member Type]]="Spouse",Table2[[#This Row],[Product Option]]="My Value Plus Life &amp; Funeral",_xlfn.XLOOKUP(B641,Table2[Main Member Link ID],Table2[Benefit Name],0)=Lookups!$D$15),"",
IF(AND(Table2[[#This Row],[Member Type]]="Spouse",Table2[[#This Row],[Product Option]]="My Value Plus Life &amp; Funeral",_xlfn.XLOOKUP(B641,Table2[Main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Funeral",_xlfn.XLOOKUP(B642,Table2[Main Member Link ID],Table2[Benefit Name],0)&lt;&gt;Lookups!$D$15),
IF(_xlfn.XLOOKUP(B642,Table2[Main Member Link ID],Table2[Benefit Name],0)=0,"",_xlfn.XLOOKUP(B642,Table2[Main Member Link ID],Table2[Benefit Name],0)),"")
))))))</f>
        <v/>
      </c>
      <c r="AG642" s="327" t="str">
        <f>IF(AND(Table2[[#This Row],[Member Type]]="Main Member",Table2[[#This Row],[Product Option]]="My Value Plus Life &amp; Funeral"),Lookups!$D$16,
IF(AND(Table2[[#This Row],[Member Type]]="Spouse",Table2[[#This Row],[Product Option]]="My Value Plus Life &amp; Funeral",_xlfn.XLOOKUP(B642,Table2[Main Member Link ID],Table2[Benefit Name],0)=Lookups!$D$14),"",
IF(AND(Table2[[#This Row],[Member Type]]="Spouse",Table2[[#This Row],[Product Option]]="My Value Plus Life &amp; Funeral",_xlfn.XLOOKUP(B641,Table2[Main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Funeral",_xlfn.XLOOKUP(B642,Table2[Main Member Link ID],Table2[Benefit Name],0)&lt;&gt;Lookups!$D$16),
IF(_xlfn.XLOOKUP(B642,Table2[Main Member Link ID],Table2[Benefit Name],0)=0,"",_xlfn.XLOOKUP(B642,Table2[Main Member Link ID],Table2[Benefit Name],0)),"")
))))</f>
        <v/>
      </c>
      <c r="AH642" s="327" t="str">
        <f>IF(AND(Table2[[#This Row],[Member Type]]="Main Member",Table2[[#This Row],[Product Option]]="My Value Plus Life &amp; Funeral"),Lookups!$D$17,
IF(AND(Table2[[#This Row],[Member Type]]="Spouse",Table2[[#This Row],[Product Option]]="My Value Plus Life &amp; Funeral",_xlfn.XLOOKUP(B642,Table2[Main Member Link ID],Table2[Benefit Name],0)=Lookups!$D$14),"",
IF(AND(Table2[[#This Row],[Member Type]]="Spouse",Table2[[#This Row],[Product Option]]="My Value Plus Life &amp; Funeral",_xlfn.XLOOKUP(B641,Table2[Main Member Link ID],Table2[Benefit Name],0)=Lookups!$D$16),"",
IF(AND(Table2[[#This Row],[Member Type]]="Child",Table2[[#This Row],[Product Option]]="My Value Plus Life &amp; Funeral"),"",
IF(AND(Table2[[#This Row],[Member Type]]="Child",Table2[[#This Row],[Product Option]]="My Value Plus Life &amp; Funeral",_xlfn.XLOOKUP(B642,Table2[Main Member Link ID],Table2[Benefit Name],0)=Lookups!$D$15),"",
IF(AND(OR(Table2[[#This Row],[Member Type]]="Spouse",Table2[[#This Row],[Member Type]]="Child"),Table2[[#This Row],[Product Option]]="My Value Plus Life &amp; Funeral",_xlfn.XLOOKUP(B642,Table2[Main Member Link ID],Table2[Benefit Name],0)&lt;&gt;Lookups!$D$17),
IF(_xlfn.XLOOKUP(B642,Table2[Main Member Link ID],Table2[Benefit Name],0)=0,"",_xlfn.XLOOKUP(B642,Table2[Main Member Link ID],Table2[Benefit Name],0)),""))))))</f>
        <v/>
      </c>
      <c r="AI642" s="328" t="str">
        <f>IF(AND(Table2[[#This Row],[Member Type]]="Main Member",Table2[[#This Row],[Table Lookup for Life Cover]]="MM_LIFE",Table2[[#This Row],[Age Next Birthday]]&lt;56),1,
IF(AND(Table2[[#This Row],[Member Type]]="Main Member",Table2[[#This Row],[Table Lookup for Life Cover]]="MM_LIFE",Table2[[#This Row],[Age Next Birthday]]&gt;=56),2,
""))</f>
        <v/>
      </c>
      <c r="AJ642" s="328">
        <f>IF(OR(Table2[[#This Row],[Member Type]]="Main Member",Table2[[#This Row],[Main Member Link ID]]=B641),1,0)</f>
        <v>1</v>
      </c>
      <c r="AK642" s="328">
        <f>IF(Table2[[#This Row],[Member Type]]=0,0,
IF(OR(Table2[[#This Row],[Member Type]]="Main Member",Table2[[#This Row],[Main Member Link ID]]&lt;&gt;B642),COUNTIFS(B:B,Table2[[#This Row],[Main Member Link ID]]),
COUNTIFS(B:B,Table2[[#This Row],[Main Member Link ID]],A:A,Table2[[#This Row],[Member Type]])))</f>
        <v>0</v>
      </c>
    </row>
    <row r="643" spans="1:37" x14ac:dyDescent="0.3">
      <c r="A643" s="284">
        <f>Table13[[#This Row],[Member Type]]</f>
        <v>0</v>
      </c>
      <c r="B643" s="284">
        <f>Table13[[#This Row],[Main Member Link ID]]</f>
        <v>0</v>
      </c>
      <c r="C643" s="284">
        <f>Table13[[#This Row],[ID Number]]</f>
        <v>0</v>
      </c>
      <c r="D643" s="285">
        <f>Table13[[#This Row],[Date Of Birth]]</f>
        <v>0</v>
      </c>
      <c r="E643" s="285">
        <f>Table13[[#This Row],[Commencement Date]]</f>
        <v>0</v>
      </c>
      <c r="F643" s="284">
        <f t="shared" si="63"/>
        <v>1</v>
      </c>
      <c r="G643" s="284">
        <f t="shared" si="64"/>
        <v>25</v>
      </c>
      <c r="H643" s="286">
        <f>Table13[[#This Row],[Product Option]]</f>
        <v>0</v>
      </c>
      <c r="I643" s="284">
        <f>IF(AND($A643="Main Member",Table2[[#This Row],[Product Option]]="My Value Plus Life"),"MM_LIFE",
IF(AND($A643="Spouse",Table2[[#This Row],[Product Option]]="My Value Plus Life"),"SP_LIFE",
IF(AND($A643="Main Member",Table2[[#This Row],[Product Option]]="My Value Plus Life &amp; Funeral"),"MM_LIFE",
IF(AND($A643="Spouse",Table2[[#This Row],[Product Option]]="My Value Plus Life &amp; Funeral"),_xlfn.XLOOKUP(Table2[[#This Row],[Benefit Name]],Lookups!$D$18:$D$23,Lookups!$E$18:$E$23,0),
0))))</f>
        <v>0</v>
      </c>
      <c r="J643" s="284">
        <f>IF($I643="","",
IF($I643="MM_LIFE",INDEX('Quotation Tool'!$S$54:$V$60,MATCH($T643,'Quotation Tool'!$S$54:$S$60,0),4),
IF($I643="SP_LIFE",_xlfn.XLOOKUP(B642,$B:$B,$J:$J,0),0)))</f>
        <v>0</v>
      </c>
      <c r="K643" s="287">
        <f t="shared" ca="1" si="68"/>
        <v>0</v>
      </c>
      <c r="L643" s="288">
        <f t="shared" ca="1" si="69"/>
        <v>0</v>
      </c>
      <c r="M643" s="289">
        <f t="shared" ca="1" si="65"/>
        <v>0</v>
      </c>
      <c r="N643" s="286">
        <f>Table13[[#This Row],[Benefit Option]]</f>
        <v>0</v>
      </c>
      <c r="O643" s="284">
        <f>IF(OR(Table2[[#This Row],[Member Type]]="Spouse",Table2[[#This Row],[Member Type]]="Child"),0,
IF(_xlfn.XLOOKUP($N643,Lookups!$D$13:$D$27,Lookups!$F$13:$F$27,0)=Table2[[#This Row],[Table Lookup for Life Cover]],0,
_xlfn.XLOOKUP($N643,Lookups!$D$13:$D$27,Lookups!$F$13:$F$27,0)))</f>
        <v>0</v>
      </c>
      <c r="P643" s="284">
        <f>IF(Table2[[#This Row],[Table Lookup for Funeral]]=0,0,IFERROR(INDEX('Quotation Tool'!$S$54:$V$60,MATCH($T643,'Quotation Tool'!$S$54:$S$60,0),3),0))</f>
        <v>0</v>
      </c>
      <c r="Q643" s="288">
        <f ca="1">IF(OR(Table2[[#This Row],[Benefit Name]]="My Value Plus Life - Main Member",Table2[[#This Row],[Benefit Name]]="My Value Plus Life - Spouse"),0,
IFERROR(VLOOKUP($G643,INDIRECT($O643),$P643,FALSE),0))</f>
        <v>0</v>
      </c>
      <c r="R643" s="288">
        <f ca="1">IF(OR(Table2[[#This Row],[Benefit Name]]="My Value Plus Life - Main Member",Table2[[#This Row],[Benefit Name]]="My Value Plus Life - Spouse"),0,
IFERROR(VLOOKUP($G643,INDIRECT($O643),$P643+1,FALSE),0))</f>
        <v>0</v>
      </c>
      <c r="S643" s="289">
        <f t="shared" ca="1" si="66"/>
        <v>0</v>
      </c>
      <c r="T643" s="284" t="str">
        <f>IF(Table13[[#This Row],[Premium Waiver]]="","None",Table13[[#This Row],[Premium Waiver]])</f>
        <v>None</v>
      </c>
      <c r="U643" s="284">
        <f>Table13[[#This Row],[VAPs Options]]</f>
        <v>0</v>
      </c>
      <c r="V643" s="284">
        <f>Table13[[#This Row],[Annual Increase Option]]</f>
        <v>0</v>
      </c>
      <c r="W643" s="290">
        <f>Table13[[#This Row],[Life Cover Amount]]</f>
        <v>0</v>
      </c>
      <c r="X643" s="290">
        <f>Table13[[#This Row],[Funeral Cover Amount]]</f>
        <v>0</v>
      </c>
      <c r="Y643"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43"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43" s="301">
        <f t="shared" ca="1" si="67"/>
        <v>0</v>
      </c>
      <c r="AB643" s="298"/>
      <c r="AC643" s="326" t="str">
        <f>IF(Table2[[#This Row],[Member Type]]="Main Member",Lookups!$C$13,
IF(Table2[[#This Row],[Member Type]]="Spouse",_xlfn.XLOOKUP(B643,Table2[Main Member Link ID],Table2[Product Option],0),
IF(AND(Table2[[#This Row],[Member Type]]="Child",_xlfn.XLOOKUP(B643,Table2[Main Member Link ID],Table2[Product Option],0)&lt;&gt;"My Value Plus Life"),Lookups!$C$24,
IF(AND(OR(Table2[[#This Row],[Member Type]]="Parent",Table2[[#This Row],[Member Type]]="Extended"),_xlfn.XLOOKUP(B643,Table2[Main Member Link ID],Table2[Product Option],0)&lt;&gt;"My Value Plus Life"),Lookups!$C$26,""))))</f>
        <v/>
      </c>
      <c r="AD643" s="326" t="str">
        <f>IF(Table2[[#This Row],[Member Type]]="Main Member",Lookups!$C$14,"")</f>
        <v/>
      </c>
      <c r="AE643"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Funeral",_xlfn.XLOOKUP(B643,Table2[Main Member Link ID],Table2[Benefit Name],0)=Lookups!$D$14),"",
IF(AND(Table2[[#This Row],[Member Type]]="Spouse",Table2[[#This Row],[Product Option]]="My Value Plus Life &amp; Funeral",_xlfn.XLOOKUP(B642,Table2[Main Member Link ID],Table2[Benefit Name],0)=Lookups!$D$15),Lookups!$D$20,
IF(AND(Table2[[#This Row],[Member Type]]="Spouse",Table2[[#This Row],[Product Option]]="My Value Plus Life &amp; Funeral",_xlfn.XLOOKUP(B642,Table2[Main Member Link ID],Table2[Benefit Name],0)=Lookups!$D$16),"",
IF(AND(Table2[[#This Row],[Member Type]]="Spouse",Table2[[#This Row],[Product Option]]="My Value Plus Life &amp; Funeral",_xlfn.XLOOKUP(B642,Table2[Main Member Link ID],Table2[Benefit Name],0)=Lookups!$D$17),Lookups!$D$21,
IF(AND(Table2[[#This Row],[Member Type]]="Child",Table2[[#This Row],[Product Option]]="My Value Plus Life &amp; Funeral",_xlfn.XLOOKUP(B643,Table2[Main Member Link ID],Table2[Benefit Name],0)=Lookups!$D$14),"",
IF(AND(Table2[[#This Row],[Member Type]]="Child",Table2[[#This Row],[Product Option]]="My Value Plus Life &amp; Funeral",_xlfn.XLOOKUP(B643,Table2[Main Member Link ID],Table2[Benefit Name],0)=Lookups!$D$15),"",
IF(AND(Table2[[#This Row],[Member Type]]="Child",Table2[[#This Row],[Product Option]]="My Value Plus Life &amp; Funeral",_xlfn.XLOOKUP(B643,Table2[Main Member Link ID],Table2[Benefit Name],0)=Lookups!$D$16),Lookups!$D$24,
IF(AND(Table2[[#This Row],[Member Type]]="Child",Table2[[#This Row],[Product Option]]="My Value Plus Life &amp; Funeral",_xlfn.XLOOKUP(B643,Table2[Main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Funeral",_xlfn.XLOOKUP(B643,Table2[Main Member Link ID],Table2[Benefit Name],0)&lt;&gt;Lookups!$D$14),
IF(_xlfn.XLOOKUP(B643,Table2[Main Member Link ID],Table2[Benefit Name],0)=0,"",_xlfn.XLOOKUP(B643,Table2[Main Member Link ID],Table2[Benefit Name],0)),"")))))))))))))))</f>
        <v/>
      </c>
      <c r="AF643" s="327" t="str">
        <f>IF(AND(Table2[[#This Row],[Member Type]]="Main Member",Table2[[#This Row],[Product Option]]="My Value Plus Life &amp; Funeral"),Lookups!$D$15,
IF(AND(Table2[[#This Row],[Member Type]]="Spouse",Table2[[#This Row],[Product Option]]="My Value Plus Life &amp; Funeral",_xlfn.XLOOKUP(B643,Table2[Main Member Link ID],Table2[Benefit Name],0)=Lookups!$D$14),"",
IF(AND(Table2[[#This Row],[Member Type]]="Spouse",Table2[[#This Row],[Product Option]]="My Value Plus Life &amp; Funeral",_xlfn.XLOOKUP(B642,Table2[Main Member Link ID],Table2[Benefit Name],0)=Lookups!$D$16),"",
IF(AND(Table2[[#This Row],[Member Type]]="Spouse",Table2[[#This Row],[Product Option]]="My Value Plus Life &amp; Funeral",_xlfn.XLOOKUP(B642,Table2[Main Member Link ID],Table2[Benefit Name],0)=Lookups!$D$15),"",
IF(AND(Table2[[#This Row],[Member Type]]="Spouse",Table2[[#This Row],[Product Option]]="My Value Plus Life &amp; Funeral",_xlfn.XLOOKUP(B642,Table2[Main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Funeral",_xlfn.XLOOKUP(B643,Table2[Main Member Link ID],Table2[Benefit Name],0)&lt;&gt;Lookups!$D$15),
IF(_xlfn.XLOOKUP(B643,Table2[Main Member Link ID],Table2[Benefit Name],0)=0,"",_xlfn.XLOOKUP(B643,Table2[Main Member Link ID],Table2[Benefit Name],0)),"")
))))))</f>
        <v/>
      </c>
      <c r="AG643" s="327" t="str">
        <f>IF(AND(Table2[[#This Row],[Member Type]]="Main Member",Table2[[#This Row],[Product Option]]="My Value Plus Life &amp; Funeral"),Lookups!$D$16,
IF(AND(Table2[[#This Row],[Member Type]]="Spouse",Table2[[#This Row],[Product Option]]="My Value Plus Life &amp; Funeral",_xlfn.XLOOKUP(B643,Table2[Main Member Link ID],Table2[Benefit Name],0)=Lookups!$D$14),"",
IF(AND(Table2[[#This Row],[Member Type]]="Spouse",Table2[[#This Row],[Product Option]]="My Value Plus Life &amp; Funeral",_xlfn.XLOOKUP(B642,Table2[Main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Funeral",_xlfn.XLOOKUP(B643,Table2[Main Member Link ID],Table2[Benefit Name],0)&lt;&gt;Lookups!$D$16),
IF(_xlfn.XLOOKUP(B643,Table2[Main Member Link ID],Table2[Benefit Name],0)=0,"",_xlfn.XLOOKUP(B643,Table2[Main Member Link ID],Table2[Benefit Name],0)),"")
))))</f>
        <v/>
      </c>
      <c r="AH643" s="327" t="str">
        <f>IF(AND(Table2[[#This Row],[Member Type]]="Main Member",Table2[[#This Row],[Product Option]]="My Value Plus Life &amp; Funeral"),Lookups!$D$17,
IF(AND(Table2[[#This Row],[Member Type]]="Spouse",Table2[[#This Row],[Product Option]]="My Value Plus Life &amp; Funeral",_xlfn.XLOOKUP(B643,Table2[Main Member Link ID],Table2[Benefit Name],0)=Lookups!$D$14),"",
IF(AND(Table2[[#This Row],[Member Type]]="Spouse",Table2[[#This Row],[Product Option]]="My Value Plus Life &amp; Funeral",_xlfn.XLOOKUP(B642,Table2[Main Member Link ID],Table2[Benefit Name],0)=Lookups!$D$16),"",
IF(AND(Table2[[#This Row],[Member Type]]="Child",Table2[[#This Row],[Product Option]]="My Value Plus Life &amp; Funeral"),"",
IF(AND(Table2[[#This Row],[Member Type]]="Child",Table2[[#This Row],[Product Option]]="My Value Plus Life &amp; Funeral",_xlfn.XLOOKUP(B643,Table2[Main Member Link ID],Table2[Benefit Name],0)=Lookups!$D$15),"",
IF(AND(OR(Table2[[#This Row],[Member Type]]="Spouse",Table2[[#This Row],[Member Type]]="Child"),Table2[[#This Row],[Product Option]]="My Value Plus Life &amp; Funeral",_xlfn.XLOOKUP(B643,Table2[Main Member Link ID],Table2[Benefit Name],0)&lt;&gt;Lookups!$D$17),
IF(_xlfn.XLOOKUP(B643,Table2[Main Member Link ID],Table2[Benefit Name],0)=0,"",_xlfn.XLOOKUP(B643,Table2[Main Member Link ID],Table2[Benefit Name],0)),""))))))</f>
        <v/>
      </c>
      <c r="AI643" s="328" t="str">
        <f>IF(AND(Table2[[#This Row],[Member Type]]="Main Member",Table2[[#This Row],[Table Lookup for Life Cover]]="MM_LIFE",Table2[[#This Row],[Age Next Birthday]]&lt;56),1,
IF(AND(Table2[[#This Row],[Member Type]]="Main Member",Table2[[#This Row],[Table Lookup for Life Cover]]="MM_LIFE",Table2[[#This Row],[Age Next Birthday]]&gt;=56),2,
""))</f>
        <v/>
      </c>
      <c r="AJ643" s="328">
        <f>IF(OR(Table2[[#This Row],[Member Type]]="Main Member",Table2[[#This Row],[Main Member Link ID]]=B642),1,0)</f>
        <v>1</v>
      </c>
      <c r="AK643" s="328">
        <f>IF(Table2[[#This Row],[Member Type]]=0,0,
IF(OR(Table2[[#This Row],[Member Type]]="Main Member",Table2[[#This Row],[Main Member Link ID]]&lt;&gt;B643),COUNTIFS(B:B,Table2[[#This Row],[Main Member Link ID]]),
COUNTIFS(B:B,Table2[[#This Row],[Main Member Link ID]],A:A,Table2[[#This Row],[Member Type]])))</f>
        <v>0</v>
      </c>
    </row>
    <row r="644" spans="1:37" x14ac:dyDescent="0.3">
      <c r="A644" s="284">
        <f>Table13[[#This Row],[Member Type]]</f>
        <v>0</v>
      </c>
      <c r="B644" s="284">
        <f>Table13[[#This Row],[Main Member Link ID]]</f>
        <v>0</v>
      </c>
      <c r="C644" s="284">
        <f>Table13[[#This Row],[ID Number]]</f>
        <v>0</v>
      </c>
      <c r="D644" s="285">
        <f>Table13[[#This Row],[Date Of Birth]]</f>
        <v>0</v>
      </c>
      <c r="E644" s="285">
        <f>Table13[[#This Row],[Commencement Date]]</f>
        <v>0</v>
      </c>
      <c r="F644" s="284">
        <f t="shared" si="63"/>
        <v>1</v>
      </c>
      <c r="G644" s="284">
        <f t="shared" si="64"/>
        <v>25</v>
      </c>
      <c r="H644" s="286">
        <f>Table13[[#This Row],[Product Option]]</f>
        <v>0</v>
      </c>
      <c r="I644" s="284">
        <f>IF(AND($A644="Main Member",Table2[[#This Row],[Product Option]]="My Value Plus Life"),"MM_LIFE",
IF(AND($A644="Spouse",Table2[[#This Row],[Product Option]]="My Value Plus Life"),"SP_LIFE",
IF(AND($A644="Main Member",Table2[[#This Row],[Product Option]]="My Value Plus Life &amp; Funeral"),"MM_LIFE",
IF(AND($A644="Spouse",Table2[[#This Row],[Product Option]]="My Value Plus Life &amp; Funeral"),_xlfn.XLOOKUP(Table2[[#This Row],[Benefit Name]],Lookups!$D$18:$D$23,Lookups!$E$18:$E$23,0),
0))))</f>
        <v>0</v>
      </c>
      <c r="J644" s="284">
        <f>IF($I644="","",
IF($I644="MM_LIFE",INDEX('Quotation Tool'!$S$54:$V$60,MATCH($T644,'Quotation Tool'!$S$54:$S$60,0),4),
IF($I644="SP_LIFE",_xlfn.XLOOKUP(B643,$B:$B,$J:$J,0),0)))</f>
        <v>0</v>
      </c>
      <c r="K644" s="287">
        <f t="shared" ca="1" si="68"/>
        <v>0</v>
      </c>
      <c r="L644" s="288">
        <f t="shared" ca="1" si="69"/>
        <v>0</v>
      </c>
      <c r="M644" s="289">
        <f t="shared" ca="1" si="65"/>
        <v>0</v>
      </c>
      <c r="N644" s="286">
        <f>Table13[[#This Row],[Benefit Option]]</f>
        <v>0</v>
      </c>
      <c r="O644" s="284">
        <f>IF(OR(Table2[[#This Row],[Member Type]]="Spouse",Table2[[#This Row],[Member Type]]="Child"),0,
IF(_xlfn.XLOOKUP($N644,Lookups!$D$13:$D$27,Lookups!$F$13:$F$27,0)=Table2[[#This Row],[Table Lookup for Life Cover]],0,
_xlfn.XLOOKUP($N644,Lookups!$D$13:$D$27,Lookups!$F$13:$F$27,0)))</f>
        <v>0</v>
      </c>
      <c r="P644" s="284">
        <f>IF(Table2[[#This Row],[Table Lookup for Funeral]]=0,0,IFERROR(INDEX('Quotation Tool'!$S$54:$V$60,MATCH($T644,'Quotation Tool'!$S$54:$S$60,0),3),0))</f>
        <v>0</v>
      </c>
      <c r="Q644" s="288">
        <f ca="1">IF(OR(Table2[[#This Row],[Benefit Name]]="My Value Plus Life - Main Member",Table2[[#This Row],[Benefit Name]]="My Value Plus Life - Spouse"),0,
IFERROR(VLOOKUP($G644,INDIRECT($O644),$P644,FALSE),0))</f>
        <v>0</v>
      </c>
      <c r="R644" s="288">
        <f ca="1">IF(OR(Table2[[#This Row],[Benefit Name]]="My Value Plus Life - Main Member",Table2[[#This Row],[Benefit Name]]="My Value Plus Life - Spouse"),0,
IFERROR(VLOOKUP($G644,INDIRECT($O644),$P644+1,FALSE),0))</f>
        <v>0</v>
      </c>
      <c r="S644" s="289">
        <f t="shared" ca="1" si="66"/>
        <v>0</v>
      </c>
      <c r="T644" s="284" t="str">
        <f>IF(Table13[[#This Row],[Premium Waiver]]="","None",Table13[[#This Row],[Premium Waiver]])</f>
        <v>None</v>
      </c>
      <c r="U644" s="284">
        <f>Table13[[#This Row],[VAPs Options]]</f>
        <v>0</v>
      </c>
      <c r="V644" s="284">
        <f>Table13[[#This Row],[Annual Increase Option]]</f>
        <v>0</v>
      </c>
      <c r="W644" s="290">
        <f>Table13[[#This Row],[Life Cover Amount]]</f>
        <v>0</v>
      </c>
      <c r="X644" s="290">
        <f>Table13[[#This Row],[Funeral Cover Amount]]</f>
        <v>0</v>
      </c>
      <c r="Y644"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44"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44" s="301">
        <f t="shared" ca="1" si="67"/>
        <v>0</v>
      </c>
      <c r="AB644" s="298"/>
      <c r="AC644" s="326" t="str">
        <f>IF(Table2[[#This Row],[Member Type]]="Main Member",Lookups!$C$13,
IF(Table2[[#This Row],[Member Type]]="Spouse",_xlfn.XLOOKUP(B644,Table2[Main Member Link ID],Table2[Product Option],0),
IF(AND(Table2[[#This Row],[Member Type]]="Child",_xlfn.XLOOKUP(B644,Table2[Main Member Link ID],Table2[Product Option],0)&lt;&gt;"My Value Plus Life"),Lookups!$C$24,
IF(AND(OR(Table2[[#This Row],[Member Type]]="Parent",Table2[[#This Row],[Member Type]]="Extended"),_xlfn.XLOOKUP(B644,Table2[Main Member Link ID],Table2[Product Option],0)&lt;&gt;"My Value Plus Life"),Lookups!$C$26,""))))</f>
        <v/>
      </c>
      <c r="AD644" s="326" t="str">
        <f>IF(Table2[[#This Row],[Member Type]]="Main Member",Lookups!$C$14,"")</f>
        <v/>
      </c>
      <c r="AE644"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Funeral",_xlfn.XLOOKUP(B644,Table2[Main Member Link ID],Table2[Benefit Name],0)=Lookups!$D$14),"",
IF(AND(Table2[[#This Row],[Member Type]]="Spouse",Table2[[#This Row],[Product Option]]="My Value Plus Life &amp; Funeral",_xlfn.XLOOKUP(B643,Table2[Main Member Link ID],Table2[Benefit Name],0)=Lookups!$D$15),Lookups!$D$20,
IF(AND(Table2[[#This Row],[Member Type]]="Spouse",Table2[[#This Row],[Product Option]]="My Value Plus Life &amp; Funeral",_xlfn.XLOOKUP(B643,Table2[Main Member Link ID],Table2[Benefit Name],0)=Lookups!$D$16),"",
IF(AND(Table2[[#This Row],[Member Type]]="Spouse",Table2[[#This Row],[Product Option]]="My Value Plus Life &amp; Funeral",_xlfn.XLOOKUP(B643,Table2[Main Member Link ID],Table2[Benefit Name],0)=Lookups!$D$17),Lookups!$D$21,
IF(AND(Table2[[#This Row],[Member Type]]="Child",Table2[[#This Row],[Product Option]]="My Value Plus Life &amp; Funeral",_xlfn.XLOOKUP(B644,Table2[Main Member Link ID],Table2[Benefit Name],0)=Lookups!$D$14),"",
IF(AND(Table2[[#This Row],[Member Type]]="Child",Table2[[#This Row],[Product Option]]="My Value Plus Life &amp; Funeral",_xlfn.XLOOKUP(B644,Table2[Main Member Link ID],Table2[Benefit Name],0)=Lookups!$D$15),"",
IF(AND(Table2[[#This Row],[Member Type]]="Child",Table2[[#This Row],[Product Option]]="My Value Plus Life &amp; Funeral",_xlfn.XLOOKUP(B644,Table2[Main Member Link ID],Table2[Benefit Name],0)=Lookups!$D$16),Lookups!$D$24,
IF(AND(Table2[[#This Row],[Member Type]]="Child",Table2[[#This Row],[Product Option]]="My Value Plus Life &amp; Funeral",_xlfn.XLOOKUP(B644,Table2[Main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Funeral",_xlfn.XLOOKUP(B644,Table2[Main Member Link ID],Table2[Benefit Name],0)&lt;&gt;Lookups!$D$14),
IF(_xlfn.XLOOKUP(B644,Table2[Main Member Link ID],Table2[Benefit Name],0)=0,"",_xlfn.XLOOKUP(B644,Table2[Main Member Link ID],Table2[Benefit Name],0)),"")))))))))))))))</f>
        <v/>
      </c>
      <c r="AF644" s="327" t="str">
        <f>IF(AND(Table2[[#This Row],[Member Type]]="Main Member",Table2[[#This Row],[Product Option]]="My Value Plus Life &amp; Funeral"),Lookups!$D$15,
IF(AND(Table2[[#This Row],[Member Type]]="Spouse",Table2[[#This Row],[Product Option]]="My Value Plus Life &amp; Funeral",_xlfn.XLOOKUP(B644,Table2[Main Member Link ID],Table2[Benefit Name],0)=Lookups!$D$14),"",
IF(AND(Table2[[#This Row],[Member Type]]="Spouse",Table2[[#This Row],[Product Option]]="My Value Plus Life &amp; Funeral",_xlfn.XLOOKUP(B643,Table2[Main Member Link ID],Table2[Benefit Name],0)=Lookups!$D$16),"",
IF(AND(Table2[[#This Row],[Member Type]]="Spouse",Table2[[#This Row],[Product Option]]="My Value Plus Life &amp; Funeral",_xlfn.XLOOKUP(B643,Table2[Main Member Link ID],Table2[Benefit Name],0)=Lookups!$D$15),"",
IF(AND(Table2[[#This Row],[Member Type]]="Spouse",Table2[[#This Row],[Product Option]]="My Value Plus Life &amp; Funeral",_xlfn.XLOOKUP(B643,Table2[Main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Funeral",_xlfn.XLOOKUP(B644,Table2[Main Member Link ID],Table2[Benefit Name],0)&lt;&gt;Lookups!$D$15),
IF(_xlfn.XLOOKUP(B644,Table2[Main Member Link ID],Table2[Benefit Name],0)=0,"",_xlfn.XLOOKUP(B644,Table2[Main Member Link ID],Table2[Benefit Name],0)),"")
))))))</f>
        <v/>
      </c>
      <c r="AG644" s="327" t="str">
        <f>IF(AND(Table2[[#This Row],[Member Type]]="Main Member",Table2[[#This Row],[Product Option]]="My Value Plus Life &amp; Funeral"),Lookups!$D$16,
IF(AND(Table2[[#This Row],[Member Type]]="Spouse",Table2[[#This Row],[Product Option]]="My Value Plus Life &amp; Funeral",_xlfn.XLOOKUP(B644,Table2[Main Member Link ID],Table2[Benefit Name],0)=Lookups!$D$14),"",
IF(AND(Table2[[#This Row],[Member Type]]="Spouse",Table2[[#This Row],[Product Option]]="My Value Plus Life &amp; Funeral",_xlfn.XLOOKUP(B643,Table2[Main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Funeral",_xlfn.XLOOKUP(B644,Table2[Main Member Link ID],Table2[Benefit Name],0)&lt;&gt;Lookups!$D$16),
IF(_xlfn.XLOOKUP(B644,Table2[Main Member Link ID],Table2[Benefit Name],0)=0,"",_xlfn.XLOOKUP(B644,Table2[Main Member Link ID],Table2[Benefit Name],0)),"")
))))</f>
        <v/>
      </c>
      <c r="AH644" s="327" t="str">
        <f>IF(AND(Table2[[#This Row],[Member Type]]="Main Member",Table2[[#This Row],[Product Option]]="My Value Plus Life &amp; Funeral"),Lookups!$D$17,
IF(AND(Table2[[#This Row],[Member Type]]="Spouse",Table2[[#This Row],[Product Option]]="My Value Plus Life &amp; Funeral",_xlfn.XLOOKUP(B644,Table2[Main Member Link ID],Table2[Benefit Name],0)=Lookups!$D$14),"",
IF(AND(Table2[[#This Row],[Member Type]]="Spouse",Table2[[#This Row],[Product Option]]="My Value Plus Life &amp; Funeral",_xlfn.XLOOKUP(B643,Table2[Main Member Link ID],Table2[Benefit Name],0)=Lookups!$D$16),"",
IF(AND(Table2[[#This Row],[Member Type]]="Child",Table2[[#This Row],[Product Option]]="My Value Plus Life &amp; Funeral"),"",
IF(AND(Table2[[#This Row],[Member Type]]="Child",Table2[[#This Row],[Product Option]]="My Value Plus Life &amp; Funeral",_xlfn.XLOOKUP(B644,Table2[Main Member Link ID],Table2[Benefit Name],0)=Lookups!$D$15),"",
IF(AND(OR(Table2[[#This Row],[Member Type]]="Spouse",Table2[[#This Row],[Member Type]]="Child"),Table2[[#This Row],[Product Option]]="My Value Plus Life &amp; Funeral",_xlfn.XLOOKUP(B644,Table2[Main Member Link ID],Table2[Benefit Name],0)&lt;&gt;Lookups!$D$17),
IF(_xlfn.XLOOKUP(B644,Table2[Main Member Link ID],Table2[Benefit Name],0)=0,"",_xlfn.XLOOKUP(B644,Table2[Main Member Link ID],Table2[Benefit Name],0)),""))))))</f>
        <v/>
      </c>
      <c r="AI644" s="328" t="str">
        <f>IF(AND(Table2[[#This Row],[Member Type]]="Main Member",Table2[[#This Row],[Table Lookup for Life Cover]]="MM_LIFE",Table2[[#This Row],[Age Next Birthday]]&lt;56),1,
IF(AND(Table2[[#This Row],[Member Type]]="Main Member",Table2[[#This Row],[Table Lookup for Life Cover]]="MM_LIFE",Table2[[#This Row],[Age Next Birthday]]&gt;=56),2,
""))</f>
        <v/>
      </c>
      <c r="AJ644" s="328">
        <f>IF(OR(Table2[[#This Row],[Member Type]]="Main Member",Table2[[#This Row],[Main Member Link ID]]=B643),1,0)</f>
        <v>1</v>
      </c>
      <c r="AK644" s="328">
        <f>IF(Table2[[#This Row],[Member Type]]=0,0,
IF(OR(Table2[[#This Row],[Member Type]]="Main Member",Table2[[#This Row],[Main Member Link ID]]&lt;&gt;B644),COUNTIFS(B:B,Table2[[#This Row],[Main Member Link ID]]),
COUNTIFS(B:B,Table2[[#This Row],[Main Member Link ID]],A:A,Table2[[#This Row],[Member Type]])))</f>
        <v>0</v>
      </c>
    </row>
    <row r="645" spans="1:37" x14ac:dyDescent="0.3">
      <c r="A645" s="284">
        <f>Table13[[#This Row],[Member Type]]</f>
        <v>0</v>
      </c>
      <c r="B645" s="284">
        <f>Table13[[#This Row],[Main Member Link ID]]</f>
        <v>0</v>
      </c>
      <c r="C645" s="284">
        <f>Table13[[#This Row],[ID Number]]</f>
        <v>0</v>
      </c>
      <c r="D645" s="285">
        <f>Table13[[#This Row],[Date Of Birth]]</f>
        <v>0</v>
      </c>
      <c r="E645" s="285">
        <f>Table13[[#This Row],[Commencement Date]]</f>
        <v>0</v>
      </c>
      <c r="F645" s="284">
        <f t="shared" ref="F645:F650" si="70">IF(D645="","",
IF(OR($A645="Main Member",$A645="Spouse",$A645="Child"),IFERROR(IF((IF($D645="",-1,DATEDIF($D645,$E645,"Y"))+1)&gt;75,"Max age",IF($D645="",-1,DATEDIF($D645,$E645,"Y"))+1),FALSE),
IFERROR(IF((IF($D645="",-1,DATEDIF($D645,$E645,"Y"))+1)&gt;75,"Max age",IF($D645="",-1,DATEDIF($D645,$E645,"Y"))+1),FALSE)))</f>
        <v>1</v>
      </c>
      <c r="G645" s="284">
        <f t="shared" ref="G645:G650" si="71">IF(F645="","",
IF(F645="Max age","Max age",
IF(OR($A645="Main Member",$A645="Spouse",$A645="Child"),IF($F645=0,"",IF($F645&lt;26,25,IF($F645&lt;36,35,IF($F645&lt;46,45,IF($F645&lt;51,50,IF($F645&lt;56,55,IF($F645&lt;61,60,IF($F645&lt;66,65,IF($F645&lt;71,70,IF($F645&lt;76,75)))))))))),
IF($F645=0,"",IF($F645&lt;26,25,IF($F645&lt;36,35,IF($F645&lt;46,45,IF($F645&lt;51,50,IF($F645&lt;56,55,IF($F645&lt;61,60,IF($F645&lt;66,65,IF($F645&lt;71,70,IF($F645&lt;76,75)))))))))))))</f>
        <v>25</v>
      </c>
      <c r="H645" s="286">
        <f>Table13[[#This Row],[Product Option]]</f>
        <v>0</v>
      </c>
      <c r="I645" s="284">
        <f>IF(AND($A645="Main Member",Table2[[#This Row],[Product Option]]="My Value Plus Life"),"MM_LIFE",
IF(AND($A645="Spouse",Table2[[#This Row],[Product Option]]="My Value Plus Life"),"SP_LIFE",
IF(AND($A645="Main Member",Table2[[#This Row],[Product Option]]="My Value Plus Life &amp; Funeral"),"MM_LIFE",
IF(AND($A645="Spouse",Table2[[#This Row],[Product Option]]="My Value Plus Life &amp; Funeral"),_xlfn.XLOOKUP(Table2[[#This Row],[Benefit Name]],Lookups!$D$18:$D$23,Lookups!$E$18:$E$23,0),
0))))</f>
        <v>0</v>
      </c>
      <c r="J645" s="284">
        <f>IF($I645="","",
IF($I645="MM_LIFE",INDEX('Quotation Tool'!$S$54:$V$60,MATCH($T645,'Quotation Tool'!$S$54:$S$60,0),4),
IF($I645="SP_LIFE",_xlfn.XLOOKUP(B644,$B:$B,$J:$J,0),0)))</f>
        <v>0</v>
      </c>
      <c r="K645" s="287">
        <f t="shared" ca="1" si="68"/>
        <v>0</v>
      </c>
      <c r="L645" s="288">
        <f t="shared" ca="1" si="69"/>
        <v>0</v>
      </c>
      <c r="M645" s="289">
        <f t="shared" ref="M645:M650" ca="1" si="72">K645+L645/1000*W645</f>
        <v>0</v>
      </c>
      <c r="N645" s="286">
        <f>Table13[[#This Row],[Benefit Option]]</f>
        <v>0</v>
      </c>
      <c r="O645" s="284">
        <f>IF(OR(Table2[[#This Row],[Member Type]]="Spouse",Table2[[#This Row],[Member Type]]="Child"),0,
IF(_xlfn.XLOOKUP($N645,Lookups!$D$13:$D$27,Lookups!$F$13:$F$27,0)=Table2[[#This Row],[Table Lookup for Life Cover]],0,
_xlfn.XLOOKUP($N645,Lookups!$D$13:$D$27,Lookups!$F$13:$F$27,0)))</f>
        <v>0</v>
      </c>
      <c r="P645" s="284">
        <f>IF(Table2[[#This Row],[Table Lookup for Funeral]]=0,0,IFERROR(INDEX('Quotation Tool'!$S$54:$V$60,MATCH($T645,'Quotation Tool'!$S$54:$S$60,0),3),0))</f>
        <v>0</v>
      </c>
      <c r="Q645" s="288">
        <f ca="1">IF(OR(Table2[[#This Row],[Benefit Name]]="My Value Plus Life - Main Member",Table2[[#This Row],[Benefit Name]]="My Value Plus Life - Spouse"),0,
IFERROR(VLOOKUP($G645,INDIRECT($O645),$P645,FALSE),0))</f>
        <v>0</v>
      </c>
      <c r="R645" s="288">
        <f ca="1">IF(OR(Table2[[#This Row],[Benefit Name]]="My Value Plus Life - Main Member",Table2[[#This Row],[Benefit Name]]="My Value Plus Life - Spouse"),0,
IFERROR(VLOOKUP($G645,INDIRECT($O645),$P645+1,FALSE),0))</f>
        <v>0</v>
      </c>
      <c r="S645" s="289">
        <f t="shared" ref="S645:S650" ca="1" si="73">Q645+R645/1000*X645</f>
        <v>0</v>
      </c>
      <c r="T645" s="284" t="str">
        <f>IF(Table13[[#This Row],[Premium Waiver]]="","None",Table13[[#This Row],[Premium Waiver]])</f>
        <v>None</v>
      </c>
      <c r="U645" s="284">
        <f>Table13[[#This Row],[VAPs Options]]</f>
        <v>0</v>
      </c>
      <c r="V645" s="284">
        <f>Table13[[#This Row],[Annual Increase Option]]</f>
        <v>0</v>
      </c>
      <c r="W645" s="290">
        <f>Table13[[#This Row],[Life Cover Amount]]</f>
        <v>0</v>
      </c>
      <c r="X645" s="290">
        <f>Table13[[#This Row],[Funeral Cover Amount]]</f>
        <v>0</v>
      </c>
      <c r="Y645"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45"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45" s="301">
        <f t="shared" ref="AA645:AA650" ca="1" si="74">S645+M645</f>
        <v>0</v>
      </c>
      <c r="AB645" s="298"/>
      <c r="AC645" s="326" t="str">
        <f>IF(Table2[[#This Row],[Member Type]]="Main Member",Lookups!$C$13,
IF(Table2[[#This Row],[Member Type]]="Spouse",_xlfn.XLOOKUP(B645,Table2[Main Member Link ID],Table2[Product Option],0),
IF(AND(Table2[[#This Row],[Member Type]]="Child",_xlfn.XLOOKUP(B645,Table2[Main Member Link ID],Table2[Product Option],0)&lt;&gt;"My Value Plus Life"),Lookups!$C$24,
IF(AND(OR(Table2[[#This Row],[Member Type]]="Parent",Table2[[#This Row],[Member Type]]="Extended"),_xlfn.XLOOKUP(B645,Table2[Main Member Link ID],Table2[Product Option],0)&lt;&gt;"My Value Plus Life"),Lookups!$C$26,""))))</f>
        <v/>
      </c>
      <c r="AD645" s="326" t="str">
        <f>IF(Table2[[#This Row],[Member Type]]="Main Member",Lookups!$C$14,"")</f>
        <v/>
      </c>
      <c r="AE645"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Funeral",_xlfn.XLOOKUP(B645,Table2[Main Member Link ID],Table2[Benefit Name],0)=Lookups!$D$14),"",
IF(AND(Table2[[#This Row],[Member Type]]="Spouse",Table2[[#This Row],[Product Option]]="My Value Plus Life &amp; Funeral",_xlfn.XLOOKUP(B644,Table2[Main Member Link ID],Table2[Benefit Name],0)=Lookups!$D$15),Lookups!$D$20,
IF(AND(Table2[[#This Row],[Member Type]]="Spouse",Table2[[#This Row],[Product Option]]="My Value Plus Life &amp; Funeral",_xlfn.XLOOKUP(B644,Table2[Main Member Link ID],Table2[Benefit Name],0)=Lookups!$D$16),"",
IF(AND(Table2[[#This Row],[Member Type]]="Spouse",Table2[[#This Row],[Product Option]]="My Value Plus Life &amp; Funeral",_xlfn.XLOOKUP(B644,Table2[Main Member Link ID],Table2[Benefit Name],0)=Lookups!$D$17),Lookups!$D$21,
IF(AND(Table2[[#This Row],[Member Type]]="Child",Table2[[#This Row],[Product Option]]="My Value Plus Life &amp; Funeral",_xlfn.XLOOKUP(B645,Table2[Main Member Link ID],Table2[Benefit Name],0)=Lookups!$D$14),"",
IF(AND(Table2[[#This Row],[Member Type]]="Child",Table2[[#This Row],[Product Option]]="My Value Plus Life &amp; Funeral",_xlfn.XLOOKUP(B645,Table2[Main Member Link ID],Table2[Benefit Name],0)=Lookups!$D$15),"",
IF(AND(Table2[[#This Row],[Member Type]]="Child",Table2[[#This Row],[Product Option]]="My Value Plus Life &amp; Funeral",_xlfn.XLOOKUP(B645,Table2[Main Member Link ID],Table2[Benefit Name],0)=Lookups!$D$16),Lookups!$D$24,
IF(AND(Table2[[#This Row],[Member Type]]="Child",Table2[[#This Row],[Product Option]]="My Value Plus Life &amp; Funeral",_xlfn.XLOOKUP(B645,Table2[Main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Funeral",_xlfn.XLOOKUP(B645,Table2[Main Member Link ID],Table2[Benefit Name],0)&lt;&gt;Lookups!$D$14),
IF(_xlfn.XLOOKUP(B645,Table2[Main Member Link ID],Table2[Benefit Name],0)=0,"",_xlfn.XLOOKUP(B645,Table2[Main Member Link ID],Table2[Benefit Name],0)),"")))))))))))))))</f>
        <v/>
      </c>
      <c r="AF645" s="327" t="str">
        <f>IF(AND(Table2[[#This Row],[Member Type]]="Main Member",Table2[[#This Row],[Product Option]]="My Value Plus Life &amp; Funeral"),Lookups!$D$15,
IF(AND(Table2[[#This Row],[Member Type]]="Spouse",Table2[[#This Row],[Product Option]]="My Value Plus Life &amp; Funeral",_xlfn.XLOOKUP(B645,Table2[Main Member Link ID],Table2[Benefit Name],0)=Lookups!$D$14),"",
IF(AND(Table2[[#This Row],[Member Type]]="Spouse",Table2[[#This Row],[Product Option]]="My Value Plus Life &amp; Funeral",_xlfn.XLOOKUP(B644,Table2[Main Member Link ID],Table2[Benefit Name],0)=Lookups!$D$16),"",
IF(AND(Table2[[#This Row],[Member Type]]="Spouse",Table2[[#This Row],[Product Option]]="My Value Plus Life &amp; Funeral",_xlfn.XLOOKUP(B644,Table2[Main Member Link ID],Table2[Benefit Name],0)=Lookups!$D$15),"",
IF(AND(Table2[[#This Row],[Member Type]]="Spouse",Table2[[#This Row],[Product Option]]="My Value Plus Life &amp; Funeral",_xlfn.XLOOKUP(B644,Table2[Main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Funeral",_xlfn.XLOOKUP(B645,Table2[Main Member Link ID],Table2[Benefit Name],0)&lt;&gt;Lookups!$D$15),
IF(_xlfn.XLOOKUP(B645,Table2[Main Member Link ID],Table2[Benefit Name],0)=0,"",_xlfn.XLOOKUP(B645,Table2[Main Member Link ID],Table2[Benefit Name],0)),"")
))))))</f>
        <v/>
      </c>
      <c r="AG645" s="327" t="str">
        <f>IF(AND(Table2[[#This Row],[Member Type]]="Main Member",Table2[[#This Row],[Product Option]]="My Value Plus Life &amp; Funeral"),Lookups!$D$16,
IF(AND(Table2[[#This Row],[Member Type]]="Spouse",Table2[[#This Row],[Product Option]]="My Value Plus Life &amp; Funeral",_xlfn.XLOOKUP(B645,Table2[Main Member Link ID],Table2[Benefit Name],0)=Lookups!$D$14),"",
IF(AND(Table2[[#This Row],[Member Type]]="Spouse",Table2[[#This Row],[Product Option]]="My Value Plus Life &amp; Funeral",_xlfn.XLOOKUP(B644,Table2[Main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Funeral",_xlfn.XLOOKUP(B645,Table2[Main Member Link ID],Table2[Benefit Name],0)&lt;&gt;Lookups!$D$16),
IF(_xlfn.XLOOKUP(B645,Table2[Main Member Link ID],Table2[Benefit Name],0)=0,"",_xlfn.XLOOKUP(B645,Table2[Main Member Link ID],Table2[Benefit Name],0)),"")
))))</f>
        <v/>
      </c>
      <c r="AH645" s="327" t="str">
        <f>IF(AND(Table2[[#This Row],[Member Type]]="Main Member",Table2[[#This Row],[Product Option]]="My Value Plus Life &amp; Funeral"),Lookups!$D$17,
IF(AND(Table2[[#This Row],[Member Type]]="Spouse",Table2[[#This Row],[Product Option]]="My Value Plus Life &amp; Funeral",_xlfn.XLOOKUP(B645,Table2[Main Member Link ID],Table2[Benefit Name],0)=Lookups!$D$14),"",
IF(AND(Table2[[#This Row],[Member Type]]="Spouse",Table2[[#This Row],[Product Option]]="My Value Plus Life &amp; Funeral",_xlfn.XLOOKUP(B644,Table2[Main Member Link ID],Table2[Benefit Name],0)=Lookups!$D$16),"",
IF(AND(Table2[[#This Row],[Member Type]]="Child",Table2[[#This Row],[Product Option]]="My Value Plus Life &amp; Funeral"),"",
IF(AND(Table2[[#This Row],[Member Type]]="Child",Table2[[#This Row],[Product Option]]="My Value Plus Life &amp; Funeral",_xlfn.XLOOKUP(B645,Table2[Main Member Link ID],Table2[Benefit Name],0)=Lookups!$D$15),"",
IF(AND(OR(Table2[[#This Row],[Member Type]]="Spouse",Table2[[#This Row],[Member Type]]="Child"),Table2[[#This Row],[Product Option]]="My Value Plus Life &amp; Funeral",_xlfn.XLOOKUP(B645,Table2[Main Member Link ID],Table2[Benefit Name],0)&lt;&gt;Lookups!$D$17),
IF(_xlfn.XLOOKUP(B645,Table2[Main Member Link ID],Table2[Benefit Name],0)=0,"",_xlfn.XLOOKUP(B645,Table2[Main Member Link ID],Table2[Benefit Name],0)),""))))))</f>
        <v/>
      </c>
      <c r="AI645" s="328" t="str">
        <f>IF(AND(Table2[[#This Row],[Member Type]]="Main Member",Table2[[#This Row],[Table Lookup for Life Cover]]="MM_LIFE",Table2[[#This Row],[Age Next Birthday]]&lt;56),1,
IF(AND(Table2[[#This Row],[Member Type]]="Main Member",Table2[[#This Row],[Table Lookup for Life Cover]]="MM_LIFE",Table2[[#This Row],[Age Next Birthday]]&gt;=56),2,
""))</f>
        <v/>
      </c>
      <c r="AJ645" s="328">
        <f>IF(OR(Table2[[#This Row],[Member Type]]="Main Member",Table2[[#This Row],[Main Member Link ID]]=B644),1,0)</f>
        <v>1</v>
      </c>
      <c r="AK645" s="328">
        <f>IF(Table2[[#This Row],[Member Type]]=0,0,
IF(OR(Table2[[#This Row],[Member Type]]="Main Member",Table2[[#This Row],[Main Member Link ID]]&lt;&gt;B645),COUNTIFS(B:B,Table2[[#This Row],[Main Member Link ID]]),
COUNTIFS(B:B,Table2[[#This Row],[Main Member Link ID]],A:A,Table2[[#This Row],[Member Type]])))</f>
        <v>0</v>
      </c>
    </row>
    <row r="646" spans="1:37" x14ac:dyDescent="0.3">
      <c r="A646" s="284">
        <f>Table13[[#This Row],[Member Type]]</f>
        <v>0</v>
      </c>
      <c r="B646" s="284">
        <f>Table13[[#This Row],[Main Member Link ID]]</f>
        <v>0</v>
      </c>
      <c r="C646" s="284">
        <f>Table13[[#This Row],[ID Number]]</f>
        <v>0</v>
      </c>
      <c r="D646" s="285">
        <f>Table13[[#This Row],[Date Of Birth]]</f>
        <v>0</v>
      </c>
      <c r="E646" s="285">
        <f>Table13[[#This Row],[Commencement Date]]</f>
        <v>0</v>
      </c>
      <c r="F646" s="284">
        <f t="shared" si="70"/>
        <v>1</v>
      </c>
      <c r="G646" s="284">
        <f t="shared" si="71"/>
        <v>25</v>
      </c>
      <c r="H646" s="286">
        <f>Table13[[#This Row],[Product Option]]</f>
        <v>0</v>
      </c>
      <c r="I646" s="284">
        <f>IF(AND($A646="Main Member",Table2[[#This Row],[Product Option]]="My Value Plus Life"),"MM_LIFE",
IF(AND($A646="Spouse",Table2[[#This Row],[Product Option]]="My Value Plus Life"),"SP_LIFE",
IF(AND($A646="Main Member",Table2[[#This Row],[Product Option]]="My Value Plus Life &amp; Funeral"),"MM_LIFE",
IF(AND($A646="Spouse",Table2[[#This Row],[Product Option]]="My Value Plus Life &amp; Funeral"),_xlfn.XLOOKUP(Table2[[#This Row],[Benefit Name]],Lookups!$D$18:$D$23,Lookups!$E$18:$E$23,0),
0))))</f>
        <v>0</v>
      </c>
      <c r="J646" s="284">
        <f>IF($I646="","",
IF($I646="MM_LIFE",INDEX('Quotation Tool'!$S$54:$V$60,MATCH($T646,'Quotation Tool'!$S$54:$S$60,0),4),
IF($I646="SP_LIFE",_xlfn.XLOOKUP(B645,$B:$B,$J:$J,0),0)))</f>
        <v>0</v>
      </c>
      <c r="K646" s="287">
        <f t="shared" ref="K646:K650" ca="1" si="75">IFERROR(VLOOKUP($G646,INDIRECT($I646),$J646,FALSE),0)</f>
        <v>0</v>
      </c>
      <c r="L646" s="288">
        <f t="shared" ref="L646:L650" ca="1" si="76">IFERROR(VLOOKUP($G646,INDIRECT($I646),$J646+1,FALSE),0)</f>
        <v>0</v>
      </c>
      <c r="M646" s="289">
        <f t="shared" ca="1" si="72"/>
        <v>0</v>
      </c>
      <c r="N646" s="286">
        <f>Table13[[#This Row],[Benefit Option]]</f>
        <v>0</v>
      </c>
      <c r="O646" s="284">
        <f>IF(OR(Table2[[#This Row],[Member Type]]="Spouse",Table2[[#This Row],[Member Type]]="Child"),0,
IF(_xlfn.XLOOKUP($N646,Lookups!$D$13:$D$27,Lookups!$F$13:$F$27,0)=Table2[[#This Row],[Table Lookup for Life Cover]],0,
_xlfn.XLOOKUP($N646,Lookups!$D$13:$D$27,Lookups!$F$13:$F$27,0)))</f>
        <v>0</v>
      </c>
      <c r="P646" s="284">
        <f>IF(Table2[[#This Row],[Table Lookup for Funeral]]=0,0,IFERROR(INDEX('Quotation Tool'!$S$54:$V$60,MATCH($T646,'Quotation Tool'!$S$54:$S$60,0),3),0))</f>
        <v>0</v>
      </c>
      <c r="Q646" s="288">
        <f ca="1">IF(OR(Table2[[#This Row],[Benefit Name]]="My Value Plus Life - Main Member",Table2[[#This Row],[Benefit Name]]="My Value Plus Life - Spouse"),0,
IFERROR(VLOOKUP($G646,INDIRECT($O646),$P646,FALSE),0))</f>
        <v>0</v>
      </c>
      <c r="R646" s="288">
        <f ca="1">IF(OR(Table2[[#This Row],[Benefit Name]]="My Value Plus Life - Main Member",Table2[[#This Row],[Benefit Name]]="My Value Plus Life - Spouse"),0,
IFERROR(VLOOKUP($G646,INDIRECT($O646),$P646+1,FALSE),0))</f>
        <v>0</v>
      </c>
      <c r="S646" s="289">
        <f t="shared" ca="1" si="73"/>
        <v>0</v>
      </c>
      <c r="T646" s="284" t="str">
        <f>IF(Table13[[#This Row],[Premium Waiver]]="","None",Table13[[#This Row],[Premium Waiver]])</f>
        <v>None</v>
      </c>
      <c r="U646" s="284">
        <f>Table13[[#This Row],[VAPs Options]]</f>
        <v>0</v>
      </c>
      <c r="V646" s="284">
        <f>Table13[[#This Row],[Annual Increase Option]]</f>
        <v>0</v>
      </c>
      <c r="W646" s="290">
        <f>Table13[[#This Row],[Life Cover Amount]]</f>
        <v>0</v>
      </c>
      <c r="X646" s="290">
        <f>Table13[[#This Row],[Funeral Cover Amount]]</f>
        <v>0</v>
      </c>
      <c r="Y646"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46"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46" s="301">
        <f t="shared" ca="1" si="74"/>
        <v>0</v>
      </c>
      <c r="AB646" s="298"/>
      <c r="AC646" s="326" t="str">
        <f>IF(Table2[[#This Row],[Member Type]]="Main Member",Lookups!$C$13,
IF(Table2[[#This Row],[Member Type]]="Spouse",_xlfn.XLOOKUP(B646,Table2[Main Member Link ID],Table2[Product Option],0),
IF(AND(Table2[[#This Row],[Member Type]]="Child",_xlfn.XLOOKUP(B646,Table2[Main Member Link ID],Table2[Product Option],0)&lt;&gt;"My Value Plus Life"),Lookups!$C$24,
IF(AND(OR(Table2[[#This Row],[Member Type]]="Parent",Table2[[#This Row],[Member Type]]="Extended"),_xlfn.XLOOKUP(B646,Table2[Main Member Link ID],Table2[Product Option],0)&lt;&gt;"My Value Plus Life"),Lookups!$C$26,""))))</f>
        <v/>
      </c>
      <c r="AD646" s="326" t="str">
        <f>IF(Table2[[#This Row],[Member Type]]="Main Member",Lookups!$C$14,"")</f>
        <v/>
      </c>
      <c r="AE646"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Funeral",_xlfn.XLOOKUP(B646,Table2[Main Member Link ID],Table2[Benefit Name],0)=Lookups!$D$14),"",
IF(AND(Table2[[#This Row],[Member Type]]="Spouse",Table2[[#This Row],[Product Option]]="My Value Plus Life &amp; Funeral",_xlfn.XLOOKUP(B645,Table2[Main Member Link ID],Table2[Benefit Name],0)=Lookups!$D$15),Lookups!$D$20,
IF(AND(Table2[[#This Row],[Member Type]]="Spouse",Table2[[#This Row],[Product Option]]="My Value Plus Life &amp; Funeral",_xlfn.XLOOKUP(B645,Table2[Main Member Link ID],Table2[Benefit Name],0)=Lookups!$D$16),"",
IF(AND(Table2[[#This Row],[Member Type]]="Spouse",Table2[[#This Row],[Product Option]]="My Value Plus Life &amp; Funeral",_xlfn.XLOOKUP(B645,Table2[Main Member Link ID],Table2[Benefit Name],0)=Lookups!$D$17),Lookups!$D$21,
IF(AND(Table2[[#This Row],[Member Type]]="Child",Table2[[#This Row],[Product Option]]="My Value Plus Life &amp; Funeral",_xlfn.XLOOKUP(B646,Table2[Main Member Link ID],Table2[Benefit Name],0)=Lookups!$D$14),"",
IF(AND(Table2[[#This Row],[Member Type]]="Child",Table2[[#This Row],[Product Option]]="My Value Plus Life &amp; Funeral",_xlfn.XLOOKUP(B646,Table2[Main Member Link ID],Table2[Benefit Name],0)=Lookups!$D$15),"",
IF(AND(Table2[[#This Row],[Member Type]]="Child",Table2[[#This Row],[Product Option]]="My Value Plus Life &amp; Funeral",_xlfn.XLOOKUP(B646,Table2[Main Member Link ID],Table2[Benefit Name],0)=Lookups!$D$16),Lookups!$D$24,
IF(AND(Table2[[#This Row],[Member Type]]="Child",Table2[[#This Row],[Product Option]]="My Value Plus Life &amp; Funeral",_xlfn.XLOOKUP(B646,Table2[Main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Funeral",_xlfn.XLOOKUP(B646,Table2[Main Member Link ID],Table2[Benefit Name],0)&lt;&gt;Lookups!$D$14),
IF(_xlfn.XLOOKUP(B646,Table2[Main Member Link ID],Table2[Benefit Name],0)=0,"",_xlfn.XLOOKUP(B646,Table2[Main Member Link ID],Table2[Benefit Name],0)),"")))))))))))))))</f>
        <v/>
      </c>
      <c r="AF646" s="327" t="str">
        <f>IF(AND(Table2[[#This Row],[Member Type]]="Main Member",Table2[[#This Row],[Product Option]]="My Value Plus Life &amp; Funeral"),Lookups!$D$15,
IF(AND(Table2[[#This Row],[Member Type]]="Spouse",Table2[[#This Row],[Product Option]]="My Value Plus Life &amp; Funeral",_xlfn.XLOOKUP(B646,Table2[Main Member Link ID],Table2[Benefit Name],0)=Lookups!$D$14),"",
IF(AND(Table2[[#This Row],[Member Type]]="Spouse",Table2[[#This Row],[Product Option]]="My Value Plus Life &amp; Funeral",_xlfn.XLOOKUP(B645,Table2[Main Member Link ID],Table2[Benefit Name],0)=Lookups!$D$16),"",
IF(AND(Table2[[#This Row],[Member Type]]="Spouse",Table2[[#This Row],[Product Option]]="My Value Plus Life &amp; Funeral",_xlfn.XLOOKUP(B645,Table2[Main Member Link ID],Table2[Benefit Name],0)=Lookups!$D$15),"",
IF(AND(Table2[[#This Row],[Member Type]]="Spouse",Table2[[#This Row],[Product Option]]="My Value Plus Life &amp; Funeral",_xlfn.XLOOKUP(B645,Table2[Main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Funeral",_xlfn.XLOOKUP(B646,Table2[Main Member Link ID],Table2[Benefit Name],0)&lt;&gt;Lookups!$D$15),
IF(_xlfn.XLOOKUP(B646,Table2[Main Member Link ID],Table2[Benefit Name],0)=0,"",_xlfn.XLOOKUP(B646,Table2[Main Member Link ID],Table2[Benefit Name],0)),"")
))))))</f>
        <v/>
      </c>
      <c r="AG646" s="327" t="str">
        <f>IF(AND(Table2[[#This Row],[Member Type]]="Main Member",Table2[[#This Row],[Product Option]]="My Value Plus Life &amp; Funeral"),Lookups!$D$16,
IF(AND(Table2[[#This Row],[Member Type]]="Spouse",Table2[[#This Row],[Product Option]]="My Value Plus Life &amp; Funeral",_xlfn.XLOOKUP(B646,Table2[Main Member Link ID],Table2[Benefit Name],0)=Lookups!$D$14),"",
IF(AND(Table2[[#This Row],[Member Type]]="Spouse",Table2[[#This Row],[Product Option]]="My Value Plus Life &amp; Funeral",_xlfn.XLOOKUP(B645,Table2[Main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Funeral",_xlfn.XLOOKUP(B646,Table2[Main Member Link ID],Table2[Benefit Name],0)&lt;&gt;Lookups!$D$16),
IF(_xlfn.XLOOKUP(B646,Table2[Main Member Link ID],Table2[Benefit Name],0)=0,"",_xlfn.XLOOKUP(B646,Table2[Main Member Link ID],Table2[Benefit Name],0)),"")
))))</f>
        <v/>
      </c>
      <c r="AH646" s="327" t="str">
        <f>IF(AND(Table2[[#This Row],[Member Type]]="Main Member",Table2[[#This Row],[Product Option]]="My Value Plus Life &amp; Funeral"),Lookups!$D$17,
IF(AND(Table2[[#This Row],[Member Type]]="Spouse",Table2[[#This Row],[Product Option]]="My Value Plus Life &amp; Funeral",_xlfn.XLOOKUP(B646,Table2[Main Member Link ID],Table2[Benefit Name],0)=Lookups!$D$14),"",
IF(AND(Table2[[#This Row],[Member Type]]="Spouse",Table2[[#This Row],[Product Option]]="My Value Plus Life &amp; Funeral",_xlfn.XLOOKUP(B645,Table2[Main Member Link ID],Table2[Benefit Name],0)=Lookups!$D$16),"",
IF(AND(Table2[[#This Row],[Member Type]]="Child",Table2[[#This Row],[Product Option]]="My Value Plus Life &amp; Funeral"),"",
IF(AND(Table2[[#This Row],[Member Type]]="Child",Table2[[#This Row],[Product Option]]="My Value Plus Life &amp; Funeral",_xlfn.XLOOKUP(B646,Table2[Main Member Link ID],Table2[Benefit Name],0)=Lookups!$D$15),"",
IF(AND(OR(Table2[[#This Row],[Member Type]]="Spouse",Table2[[#This Row],[Member Type]]="Child"),Table2[[#This Row],[Product Option]]="My Value Plus Life &amp; Funeral",_xlfn.XLOOKUP(B646,Table2[Main Member Link ID],Table2[Benefit Name],0)&lt;&gt;Lookups!$D$17),
IF(_xlfn.XLOOKUP(B646,Table2[Main Member Link ID],Table2[Benefit Name],0)=0,"",_xlfn.XLOOKUP(B646,Table2[Main Member Link ID],Table2[Benefit Name],0)),""))))))</f>
        <v/>
      </c>
      <c r="AI646" s="328" t="str">
        <f>IF(AND(Table2[[#This Row],[Member Type]]="Main Member",Table2[[#This Row],[Table Lookup for Life Cover]]="MM_LIFE",Table2[[#This Row],[Age Next Birthday]]&lt;56),1,
IF(AND(Table2[[#This Row],[Member Type]]="Main Member",Table2[[#This Row],[Table Lookup for Life Cover]]="MM_LIFE",Table2[[#This Row],[Age Next Birthday]]&gt;=56),2,
""))</f>
        <v/>
      </c>
      <c r="AJ646" s="328">
        <f>IF(OR(Table2[[#This Row],[Member Type]]="Main Member",Table2[[#This Row],[Main Member Link ID]]=B645),1,0)</f>
        <v>1</v>
      </c>
      <c r="AK646" s="328">
        <f>IF(Table2[[#This Row],[Member Type]]=0,0,
IF(OR(Table2[[#This Row],[Member Type]]="Main Member",Table2[[#This Row],[Main Member Link ID]]&lt;&gt;B646),COUNTIFS(B:B,Table2[[#This Row],[Main Member Link ID]]),
COUNTIFS(B:B,Table2[[#This Row],[Main Member Link ID]],A:A,Table2[[#This Row],[Member Type]])))</f>
        <v>0</v>
      </c>
    </row>
    <row r="647" spans="1:37" x14ac:dyDescent="0.3">
      <c r="A647" s="284">
        <f>Table13[[#This Row],[Member Type]]</f>
        <v>0</v>
      </c>
      <c r="B647" s="284">
        <f>Table13[[#This Row],[Main Member Link ID]]</f>
        <v>0</v>
      </c>
      <c r="C647" s="284">
        <f>Table13[[#This Row],[ID Number]]</f>
        <v>0</v>
      </c>
      <c r="D647" s="285">
        <f>Table13[[#This Row],[Date Of Birth]]</f>
        <v>0</v>
      </c>
      <c r="E647" s="285">
        <f>Table13[[#This Row],[Commencement Date]]</f>
        <v>0</v>
      </c>
      <c r="F647" s="284">
        <f t="shared" si="70"/>
        <v>1</v>
      </c>
      <c r="G647" s="284">
        <f t="shared" si="71"/>
        <v>25</v>
      </c>
      <c r="H647" s="286">
        <f>Table13[[#This Row],[Product Option]]</f>
        <v>0</v>
      </c>
      <c r="I647" s="284">
        <f>IF(AND($A647="Main Member",Table2[[#This Row],[Product Option]]="My Value Plus Life"),"MM_LIFE",
IF(AND($A647="Spouse",Table2[[#This Row],[Product Option]]="My Value Plus Life"),"SP_LIFE",
IF(AND($A647="Main Member",Table2[[#This Row],[Product Option]]="My Value Plus Life &amp; Funeral"),"MM_LIFE",
IF(AND($A647="Spouse",Table2[[#This Row],[Product Option]]="My Value Plus Life &amp; Funeral"),_xlfn.XLOOKUP(Table2[[#This Row],[Benefit Name]],Lookups!$D$18:$D$23,Lookups!$E$18:$E$23,0),
0))))</f>
        <v>0</v>
      </c>
      <c r="J647" s="284">
        <f>IF($I647="","",
IF($I647="MM_LIFE",INDEX('Quotation Tool'!$S$54:$V$60,MATCH($T647,'Quotation Tool'!$S$54:$S$60,0),4),
IF($I647="SP_LIFE",_xlfn.XLOOKUP(B646,$B:$B,$J:$J,0),0)))</f>
        <v>0</v>
      </c>
      <c r="K647" s="287">
        <f t="shared" ca="1" si="75"/>
        <v>0</v>
      </c>
      <c r="L647" s="288">
        <f t="shared" ca="1" si="76"/>
        <v>0</v>
      </c>
      <c r="M647" s="289">
        <f t="shared" ca="1" si="72"/>
        <v>0</v>
      </c>
      <c r="N647" s="286">
        <f>Table13[[#This Row],[Benefit Option]]</f>
        <v>0</v>
      </c>
      <c r="O647" s="284">
        <f>IF(OR(Table2[[#This Row],[Member Type]]="Spouse",Table2[[#This Row],[Member Type]]="Child"),0,
IF(_xlfn.XLOOKUP($N647,Lookups!$D$13:$D$27,Lookups!$F$13:$F$27,0)=Table2[[#This Row],[Table Lookup for Life Cover]],0,
_xlfn.XLOOKUP($N647,Lookups!$D$13:$D$27,Lookups!$F$13:$F$27,0)))</f>
        <v>0</v>
      </c>
      <c r="P647" s="284">
        <f>IF(Table2[[#This Row],[Table Lookup for Funeral]]=0,0,IFERROR(INDEX('Quotation Tool'!$S$54:$V$60,MATCH($T647,'Quotation Tool'!$S$54:$S$60,0),3),0))</f>
        <v>0</v>
      </c>
      <c r="Q647" s="288">
        <f ca="1">IF(OR(Table2[[#This Row],[Benefit Name]]="My Value Plus Life - Main Member",Table2[[#This Row],[Benefit Name]]="My Value Plus Life - Spouse"),0,
IFERROR(VLOOKUP($G647,INDIRECT($O647),$P647,FALSE),0))</f>
        <v>0</v>
      </c>
      <c r="R647" s="288">
        <f ca="1">IF(OR(Table2[[#This Row],[Benefit Name]]="My Value Plus Life - Main Member",Table2[[#This Row],[Benefit Name]]="My Value Plus Life - Spouse"),0,
IFERROR(VLOOKUP($G647,INDIRECT($O647),$P647+1,FALSE),0))</f>
        <v>0</v>
      </c>
      <c r="S647" s="289">
        <f t="shared" ca="1" si="73"/>
        <v>0</v>
      </c>
      <c r="T647" s="284" t="str">
        <f>IF(Table13[[#This Row],[Premium Waiver]]="","None",Table13[[#This Row],[Premium Waiver]])</f>
        <v>None</v>
      </c>
      <c r="U647" s="284">
        <f>Table13[[#This Row],[VAPs Options]]</f>
        <v>0</v>
      </c>
      <c r="V647" s="284">
        <f>Table13[[#This Row],[Annual Increase Option]]</f>
        <v>0</v>
      </c>
      <c r="W647" s="290">
        <f>Table13[[#This Row],[Life Cover Amount]]</f>
        <v>0</v>
      </c>
      <c r="X647" s="290">
        <f>Table13[[#This Row],[Funeral Cover Amount]]</f>
        <v>0</v>
      </c>
      <c r="Y647"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47"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47" s="301">
        <f t="shared" ca="1" si="74"/>
        <v>0</v>
      </c>
      <c r="AB647" s="298"/>
      <c r="AC647" s="326" t="str">
        <f>IF(Table2[[#This Row],[Member Type]]="Main Member",Lookups!$C$13,
IF(Table2[[#This Row],[Member Type]]="Spouse",_xlfn.XLOOKUP(B647,Table2[Main Member Link ID],Table2[Product Option],0),
IF(AND(Table2[[#This Row],[Member Type]]="Child",_xlfn.XLOOKUP(B647,Table2[Main Member Link ID],Table2[Product Option],0)&lt;&gt;"My Value Plus Life"),Lookups!$C$24,
IF(AND(OR(Table2[[#This Row],[Member Type]]="Parent",Table2[[#This Row],[Member Type]]="Extended"),_xlfn.XLOOKUP(B647,Table2[Main Member Link ID],Table2[Product Option],0)&lt;&gt;"My Value Plus Life"),Lookups!$C$26,""))))</f>
        <v/>
      </c>
      <c r="AD647" s="326" t="str">
        <f>IF(Table2[[#This Row],[Member Type]]="Main Member",Lookups!$C$14,"")</f>
        <v/>
      </c>
      <c r="AE647"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Funeral",_xlfn.XLOOKUP(B647,Table2[Main Member Link ID],Table2[Benefit Name],0)=Lookups!$D$14),"",
IF(AND(Table2[[#This Row],[Member Type]]="Spouse",Table2[[#This Row],[Product Option]]="My Value Plus Life &amp; Funeral",_xlfn.XLOOKUP(B646,Table2[Main Member Link ID],Table2[Benefit Name],0)=Lookups!$D$15),Lookups!$D$20,
IF(AND(Table2[[#This Row],[Member Type]]="Spouse",Table2[[#This Row],[Product Option]]="My Value Plus Life &amp; Funeral",_xlfn.XLOOKUP(B646,Table2[Main Member Link ID],Table2[Benefit Name],0)=Lookups!$D$16),"",
IF(AND(Table2[[#This Row],[Member Type]]="Spouse",Table2[[#This Row],[Product Option]]="My Value Plus Life &amp; Funeral",_xlfn.XLOOKUP(B646,Table2[Main Member Link ID],Table2[Benefit Name],0)=Lookups!$D$17),Lookups!$D$21,
IF(AND(Table2[[#This Row],[Member Type]]="Child",Table2[[#This Row],[Product Option]]="My Value Plus Life &amp; Funeral",_xlfn.XLOOKUP(B647,Table2[Main Member Link ID],Table2[Benefit Name],0)=Lookups!$D$14),"",
IF(AND(Table2[[#This Row],[Member Type]]="Child",Table2[[#This Row],[Product Option]]="My Value Plus Life &amp; Funeral",_xlfn.XLOOKUP(B647,Table2[Main Member Link ID],Table2[Benefit Name],0)=Lookups!$D$15),"",
IF(AND(Table2[[#This Row],[Member Type]]="Child",Table2[[#This Row],[Product Option]]="My Value Plus Life &amp; Funeral",_xlfn.XLOOKUP(B647,Table2[Main Member Link ID],Table2[Benefit Name],0)=Lookups!$D$16),Lookups!$D$24,
IF(AND(Table2[[#This Row],[Member Type]]="Child",Table2[[#This Row],[Product Option]]="My Value Plus Life &amp; Funeral",_xlfn.XLOOKUP(B647,Table2[Main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Funeral",_xlfn.XLOOKUP(B647,Table2[Main Member Link ID],Table2[Benefit Name],0)&lt;&gt;Lookups!$D$14),
IF(_xlfn.XLOOKUP(B647,Table2[Main Member Link ID],Table2[Benefit Name],0)=0,"",_xlfn.XLOOKUP(B647,Table2[Main Member Link ID],Table2[Benefit Name],0)),"")))))))))))))))</f>
        <v/>
      </c>
      <c r="AF647" s="327" t="str">
        <f>IF(AND(Table2[[#This Row],[Member Type]]="Main Member",Table2[[#This Row],[Product Option]]="My Value Plus Life &amp; Funeral"),Lookups!$D$15,
IF(AND(Table2[[#This Row],[Member Type]]="Spouse",Table2[[#This Row],[Product Option]]="My Value Plus Life &amp; Funeral",_xlfn.XLOOKUP(B647,Table2[Main Member Link ID],Table2[Benefit Name],0)=Lookups!$D$14),"",
IF(AND(Table2[[#This Row],[Member Type]]="Spouse",Table2[[#This Row],[Product Option]]="My Value Plus Life &amp; Funeral",_xlfn.XLOOKUP(B646,Table2[Main Member Link ID],Table2[Benefit Name],0)=Lookups!$D$16),"",
IF(AND(Table2[[#This Row],[Member Type]]="Spouse",Table2[[#This Row],[Product Option]]="My Value Plus Life &amp; Funeral",_xlfn.XLOOKUP(B646,Table2[Main Member Link ID],Table2[Benefit Name],0)=Lookups!$D$15),"",
IF(AND(Table2[[#This Row],[Member Type]]="Spouse",Table2[[#This Row],[Product Option]]="My Value Plus Life &amp; Funeral",_xlfn.XLOOKUP(B646,Table2[Main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Funeral",_xlfn.XLOOKUP(B647,Table2[Main Member Link ID],Table2[Benefit Name],0)&lt;&gt;Lookups!$D$15),
IF(_xlfn.XLOOKUP(B647,Table2[Main Member Link ID],Table2[Benefit Name],0)=0,"",_xlfn.XLOOKUP(B647,Table2[Main Member Link ID],Table2[Benefit Name],0)),"")
))))))</f>
        <v/>
      </c>
      <c r="AG647" s="327" t="str">
        <f>IF(AND(Table2[[#This Row],[Member Type]]="Main Member",Table2[[#This Row],[Product Option]]="My Value Plus Life &amp; Funeral"),Lookups!$D$16,
IF(AND(Table2[[#This Row],[Member Type]]="Spouse",Table2[[#This Row],[Product Option]]="My Value Plus Life &amp; Funeral",_xlfn.XLOOKUP(B647,Table2[Main Member Link ID],Table2[Benefit Name],0)=Lookups!$D$14),"",
IF(AND(Table2[[#This Row],[Member Type]]="Spouse",Table2[[#This Row],[Product Option]]="My Value Plus Life &amp; Funeral",_xlfn.XLOOKUP(B646,Table2[Main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Funeral",_xlfn.XLOOKUP(B647,Table2[Main Member Link ID],Table2[Benefit Name],0)&lt;&gt;Lookups!$D$16),
IF(_xlfn.XLOOKUP(B647,Table2[Main Member Link ID],Table2[Benefit Name],0)=0,"",_xlfn.XLOOKUP(B647,Table2[Main Member Link ID],Table2[Benefit Name],0)),"")
))))</f>
        <v/>
      </c>
      <c r="AH647" s="327" t="str">
        <f>IF(AND(Table2[[#This Row],[Member Type]]="Main Member",Table2[[#This Row],[Product Option]]="My Value Plus Life &amp; Funeral"),Lookups!$D$17,
IF(AND(Table2[[#This Row],[Member Type]]="Spouse",Table2[[#This Row],[Product Option]]="My Value Plus Life &amp; Funeral",_xlfn.XLOOKUP(B647,Table2[Main Member Link ID],Table2[Benefit Name],0)=Lookups!$D$14),"",
IF(AND(Table2[[#This Row],[Member Type]]="Spouse",Table2[[#This Row],[Product Option]]="My Value Plus Life &amp; Funeral",_xlfn.XLOOKUP(B646,Table2[Main Member Link ID],Table2[Benefit Name],0)=Lookups!$D$16),"",
IF(AND(Table2[[#This Row],[Member Type]]="Child",Table2[[#This Row],[Product Option]]="My Value Plus Life &amp; Funeral"),"",
IF(AND(Table2[[#This Row],[Member Type]]="Child",Table2[[#This Row],[Product Option]]="My Value Plus Life &amp; Funeral",_xlfn.XLOOKUP(B647,Table2[Main Member Link ID],Table2[Benefit Name],0)=Lookups!$D$15),"",
IF(AND(OR(Table2[[#This Row],[Member Type]]="Spouse",Table2[[#This Row],[Member Type]]="Child"),Table2[[#This Row],[Product Option]]="My Value Plus Life &amp; Funeral",_xlfn.XLOOKUP(B647,Table2[Main Member Link ID],Table2[Benefit Name],0)&lt;&gt;Lookups!$D$17),
IF(_xlfn.XLOOKUP(B647,Table2[Main Member Link ID],Table2[Benefit Name],0)=0,"",_xlfn.XLOOKUP(B647,Table2[Main Member Link ID],Table2[Benefit Name],0)),""))))))</f>
        <v/>
      </c>
      <c r="AI647" s="328" t="str">
        <f>IF(AND(Table2[[#This Row],[Member Type]]="Main Member",Table2[[#This Row],[Table Lookup for Life Cover]]="MM_LIFE",Table2[[#This Row],[Age Next Birthday]]&lt;56),1,
IF(AND(Table2[[#This Row],[Member Type]]="Main Member",Table2[[#This Row],[Table Lookup for Life Cover]]="MM_LIFE",Table2[[#This Row],[Age Next Birthday]]&gt;=56),2,
""))</f>
        <v/>
      </c>
      <c r="AJ647" s="328">
        <f>IF(OR(Table2[[#This Row],[Member Type]]="Main Member",Table2[[#This Row],[Main Member Link ID]]=B646),1,0)</f>
        <v>1</v>
      </c>
      <c r="AK647" s="328">
        <f>IF(Table2[[#This Row],[Member Type]]=0,0,
IF(OR(Table2[[#This Row],[Member Type]]="Main Member",Table2[[#This Row],[Main Member Link ID]]&lt;&gt;B647),COUNTIFS(B:B,Table2[[#This Row],[Main Member Link ID]]),
COUNTIFS(B:B,Table2[[#This Row],[Main Member Link ID]],A:A,Table2[[#This Row],[Member Type]])))</f>
        <v>0</v>
      </c>
    </row>
    <row r="648" spans="1:37" x14ac:dyDescent="0.3">
      <c r="A648" s="284">
        <f>Table13[[#This Row],[Member Type]]</f>
        <v>0</v>
      </c>
      <c r="B648" s="284">
        <f>Table13[[#This Row],[Main Member Link ID]]</f>
        <v>0</v>
      </c>
      <c r="C648" s="284">
        <f>Table13[[#This Row],[ID Number]]</f>
        <v>0</v>
      </c>
      <c r="D648" s="285">
        <f>Table13[[#This Row],[Date Of Birth]]</f>
        <v>0</v>
      </c>
      <c r="E648" s="285">
        <f>Table13[[#This Row],[Commencement Date]]</f>
        <v>0</v>
      </c>
      <c r="F648" s="284">
        <f t="shared" si="70"/>
        <v>1</v>
      </c>
      <c r="G648" s="284">
        <f t="shared" si="71"/>
        <v>25</v>
      </c>
      <c r="H648" s="286">
        <f>Table13[[#This Row],[Product Option]]</f>
        <v>0</v>
      </c>
      <c r="I648" s="284">
        <f>IF(AND($A648="Main Member",Table2[[#This Row],[Product Option]]="My Value Plus Life"),"MM_LIFE",
IF(AND($A648="Spouse",Table2[[#This Row],[Product Option]]="My Value Plus Life"),"SP_LIFE",
IF(AND($A648="Main Member",Table2[[#This Row],[Product Option]]="My Value Plus Life &amp; Funeral"),"MM_LIFE",
IF(AND($A648="Spouse",Table2[[#This Row],[Product Option]]="My Value Plus Life &amp; Funeral"),_xlfn.XLOOKUP(Table2[[#This Row],[Benefit Name]],Lookups!$D$18:$D$23,Lookups!$E$18:$E$23,0),
0))))</f>
        <v>0</v>
      </c>
      <c r="J648" s="284">
        <f>IF($I648="","",
IF($I648="MM_LIFE",INDEX('Quotation Tool'!$S$54:$V$60,MATCH($T648,'Quotation Tool'!$S$54:$S$60,0),4),
IF($I648="SP_LIFE",_xlfn.XLOOKUP(B647,$B:$B,$J:$J,0),0)))</f>
        <v>0</v>
      </c>
      <c r="K648" s="287">
        <f t="shared" ca="1" si="75"/>
        <v>0</v>
      </c>
      <c r="L648" s="288">
        <f t="shared" ca="1" si="76"/>
        <v>0</v>
      </c>
      <c r="M648" s="289">
        <f t="shared" ca="1" si="72"/>
        <v>0</v>
      </c>
      <c r="N648" s="286">
        <f>Table13[[#This Row],[Benefit Option]]</f>
        <v>0</v>
      </c>
      <c r="O648" s="284">
        <f>IF(OR(Table2[[#This Row],[Member Type]]="Spouse",Table2[[#This Row],[Member Type]]="Child"),0,
IF(_xlfn.XLOOKUP($N648,Lookups!$D$13:$D$27,Lookups!$F$13:$F$27,0)=Table2[[#This Row],[Table Lookup for Life Cover]],0,
_xlfn.XLOOKUP($N648,Lookups!$D$13:$D$27,Lookups!$F$13:$F$27,0)))</f>
        <v>0</v>
      </c>
      <c r="P648" s="284">
        <f>IF(Table2[[#This Row],[Table Lookup for Funeral]]=0,0,IFERROR(INDEX('Quotation Tool'!$S$54:$V$60,MATCH($T648,'Quotation Tool'!$S$54:$S$60,0),3),0))</f>
        <v>0</v>
      </c>
      <c r="Q648" s="288">
        <f ca="1">IF(OR(Table2[[#This Row],[Benefit Name]]="My Value Plus Life - Main Member",Table2[[#This Row],[Benefit Name]]="My Value Plus Life - Spouse"),0,
IFERROR(VLOOKUP($G648,INDIRECT($O648),$P648,FALSE),0))</f>
        <v>0</v>
      </c>
      <c r="R648" s="288">
        <f ca="1">IF(OR(Table2[[#This Row],[Benefit Name]]="My Value Plus Life - Main Member",Table2[[#This Row],[Benefit Name]]="My Value Plus Life - Spouse"),0,
IFERROR(VLOOKUP($G648,INDIRECT($O648),$P648+1,FALSE),0))</f>
        <v>0</v>
      </c>
      <c r="S648" s="289">
        <f t="shared" ca="1" si="73"/>
        <v>0</v>
      </c>
      <c r="T648" s="284" t="str">
        <f>IF(Table13[[#This Row],[Premium Waiver]]="","None",Table13[[#This Row],[Premium Waiver]])</f>
        <v>None</v>
      </c>
      <c r="U648" s="284">
        <f>Table13[[#This Row],[VAPs Options]]</f>
        <v>0</v>
      </c>
      <c r="V648" s="284">
        <f>Table13[[#This Row],[Annual Increase Option]]</f>
        <v>0</v>
      </c>
      <c r="W648" s="290">
        <f>Table13[[#This Row],[Life Cover Amount]]</f>
        <v>0</v>
      </c>
      <c r="X648" s="290">
        <f>Table13[[#This Row],[Funeral Cover Amount]]</f>
        <v>0</v>
      </c>
      <c r="Y648"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48"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48" s="301">
        <f t="shared" ca="1" si="74"/>
        <v>0</v>
      </c>
      <c r="AB648" s="298"/>
      <c r="AC648" s="326" t="str">
        <f>IF(Table2[[#This Row],[Member Type]]="Main Member",Lookups!$C$13,
IF(Table2[[#This Row],[Member Type]]="Spouse",_xlfn.XLOOKUP(B648,Table2[Main Member Link ID],Table2[Product Option],0),
IF(AND(Table2[[#This Row],[Member Type]]="Child",_xlfn.XLOOKUP(B648,Table2[Main Member Link ID],Table2[Product Option],0)&lt;&gt;"My Value Plus Life"),Lookups!$C$24,
IF(AND(OR(Table2[[#This Row],[Member Type]]="Parent",Table2[[#This Row],[Member Type]]="Extended"),_xlfn.XLOOKUP(B648,Table2[Main Member Link ID],Table2[Product Option],0)&lt;&gt;"My Value Plus Life"),Lookups!$C$26,""))))</f>
        <v/>
      </c>
      <c r="AD648" s="326" t="str">
        <f>IF(Table2[[#This Row],[Member Type]]="Main Member",Lookups!$C$14,"")</f>
        <v/>
      </c>
      <c r="AE648"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Funeral",_xlfn.XLOOKUP(B648,Table2[Main Member Link ID],Table2[Benefit Name],0)=Lookups!$D$14),"",
IF(AND(Table2[[#This Row],[Member Type]]="Spouse",Table2[[#This Row],[Product Option]]="My Value Plus Life &amp; Funeral",_xlfn.XLOOKUP(B647,Table2[Main Member Link ID],Table2[Benefit Name],0)=Lookups!$D$15),Lookups!$D$20,
IF(AND(Table2[[#This Row],[Member Type]]="Spouse",Table2[[#This Row],[Product Option]]="My Value Plus Life &amp; Funeral",_xlfn.XLOOKUP(B647,Table2[Main Member Link ID],Table2[Benefit Name],0)=Lookups!$D$16),"",
IF(AND(Table2[[#This Row],[Member Type]]="Spouse",Table2[[#This Row],[Product Option]]="My Value Plus Life &amp; Funeral",_xlfn.XLOOKUP(B647,Table2[Main Member Link ID],Table2[Benefit Name],0)=Lookups!$D$17),Lookups!$D$21,
IF(AND(Table2[[#This Row],[Member Type]]="Child",Table2[[#This Row],[Product Option]]="My Value Plus Life &amp; Funeral",_xlfn.XLOOKUP(B648,Table2[Main Member Link ID],Table2[Benefit Name],0)=Lookups!$D$14),"",
IF(AND(Table2[[#This Row],[Member Type]]="Child",Table2[[#This Row],[Product Option]]="My Value Plus Life &amp; Funeral",_xlfn.XLOOKUP(B648,Table2[Main Member Link ID],Table2[Benefit Name],0)=Lookups!$D$15),"",
IF(AND(Table2[[#This Row],[Member Type]]="Child",Table2[[#This Row],[Product Option]]="My Value Plus Life &amp; Funeral",_xlfn.XLOOKUP(B648,Table2[Main Member Link ID],Table2[Benefit Name],0)=Lookups!$D$16),Lookups!$D$24,
IF(AND(Table2[[#This Row],[Member Type]]="Child",Table2[[#This Row],[Product Option]]="My Value Plus Life &amp; Funeral",_xlfn.XLOOKUP(B648,Table2[Main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Funeral",_xlfn.XLOOKUP(B648,Table2[Main Member Link ID],Table2[Benefit Name],0)&lt;&gt;Lookups!$D$14),
IF(_xlfn.XLOOKUP(B648,Table2[Main Member Link ID],Table2[Benefit Name],0)=0,"",_xlfn.XLOOKUP(B648,Table2[Main Member Link ID],Table2[Benefit Name],0)),"")))))))))))))))</f>
        <v/>
      </c>
      <c r="AF648" s="327" t="str">
        <f>IF(AND(Table2[[#This Row],[Member Type]]="Main Member",Table2[[#This Row],[Product Option]]="My Value Plus Life &amp; Funeral"),Lookups!$D$15,
IF(AND(Table2[[#This Row],[Member Type]]="Spouse",Table2[[#This Row],[Product Option]]="My Value Plus Life &amp; Funeral",_xlfn.XLOOKUP(B648,Table2[Main Member Link ID],Table2[Benefit Name],0)=Lookups!$D$14),"",
IF(AND(Table2[[#This Row],[Member Type]]="Spouse",Table2[[#This Row],[Product Option]]="My Value Plus Life &amp; Funeral",_xlfn.XLOOKUP(B647,Table2[Main Member Link ID],Table2[Benefit Name],0)=Lookups!$D$16),"",
IF(AND(Table2[[#This Row],[Member Type]]="Spouse",Table2[[#This Row],[Product Option]]="My Value Plus Life &amp; Funeral",_xlfn.XLOOKUP(B647,Table2[Main Member Link ID],Table2[Benefit Name],0)=Lookups!$D$15),"",
IF(AND(Table2[[#This Row],[Member Type]]="Spouse",Table2[[#This Row],[Product Option]]="My Value Plus Life &amp; Funeral",_xlfn.XLOOKUP(B647,Table2[Main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Funeral",_xlfn.XLOOKUP(B648,Table2[Main Member Link ID],Table2[Benefit Name],0)&lt;&gt;Lookups!$D$15),
IF(_xlfn.XLOOKUP(B648,Table2[Main Member Link ID],Table2[Benefit Name],0)=0,"",_xlfn.XLOOKUP(B648,Table2[Main Member Link ID],Table2[Benefit Name],0)),"")
))))))</f>
        <v/>
      </c>
      <c r="AG648" s="327" t="str">
        <f>IF(AND(Table2[[#This Row],[Member Type]]="Main Member",Table2[[#This Row],[Product Option]]="My Value Plus Life &amp; Funeral"),Lookups!$D$16,
IF(AND(Table2[[#This Row],[Member Type]]="Spouse",Table2[[#This Row],[Product Option]]="My Value Plus Life &amp; Funeral",_xlfn.XLOOKUP(B648,Table2[Main Member Link ID],Table2[Benefit Name],0)=Lookups!$D$14),"",
IF(AND(Table2[[#This Row],[Member Type]]="Spouse",Table2[[#This Row],[Product Option]]="My Value Plus Life &amp; Funeral",_xlfn.XLOOKUP(B647,Table2[Main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Funeral",_xlfn.XLOOKUP(B648,Table2[Main Member Link ID],Table2[Benefit Name],0)&lt;&gt;Lookups!$D$16),
IF(_xlfn.XLOOKUP(B648,Table2[Main Member Link ID],Table2[Benefit Name],0)=0,"",_xlfn.XLOOKUP(B648,Table2[Main Member Link ID],Table2[Benefit Name],0)),"")
))))</f>
        <v/>
      </c>
      <c r="AH648" s="327" t="str">
        <f>IF(AND(Table2[[#This Row],[Member Type]]="Main Member",Table2[[#This Row],[Product Option]]="My Value Plus Life &amp; Funeral"),Lookups!$D$17,
IF(AND(Table2[[#This Row],[Member Type]]="Spouse",Table2[[#This Row],[Product Option]]="My Value Plus Life &amp; Funeral",_xlfn.XLOOKUP(B648,Table2[Main Member Link ID],Table2[Benefit Name],0)=Lookups!$D$14),"",
IF(AND(Table2[[#This Row],[Member Type]]="Spouse",Table2[[#This Row],[Product Option]]="My Value Plus Life &amp; Funeral",_xlfn.XLOOKUP(B647,Table2[Main Member Link ID],Table2[Benefit Name],0)=Lookups!$D$16),"",
IF(AND(Table2[[#This Row],[Member Type]]="Child",Table2[[#This Row],[Product Option]]="My Value Plus Life &amp; Funeral"),"",
IF(AND(Table2[[#This Row],[Member Type]]="Child",Table2[[#This Row],[Product Option]]="My Value Plus Life &amp; Funeral",_xlfn.XLOOKUP(B648,Table2[Main Member Link ID],Table2[Benefit Name],0)=Lookups!$D$15),"",
IF(AND(OR(Table2[[#This Row],[Member Type]]="Spouse",Table2[[#This Row],[Member Type]]="Child"),Table2[[#This Row],[Product Option]]="My Value Plus Life &amp; Funeral",_xlfn.XLOOKUP(B648,Table2[Main Member Link ID],Table2[Benefit Name],0)&lt;&gt;Lookups!$D$17),
IF(_xlfn.XLOOKUP(B648,Table2[Main Member Link ID],Table2[Benefit Name],0)=0,"",_xlfn.XLOOKUP(B648,Table2[Main Member Link ID],Table2[Benefit Name],0)),""))))))</f>
        <v/>
      </c>
      <c r="AI648" s="328" t="str">
        <f>IF(AND(Table2[[#This Row],[Member Type]]="Main Member",Table2[[#This Row],[Table Lookup for Life Cover]]="MM_LIFE",Table2[[#This Row],[Age Next Birthday]]&lt;56),1,
IF(AND(Table2[[#This Row],[Member Type]]="Main Member",Table2[[#This Row],[Table Lookup for Life Cover]]="MM_LIFE",Table2[[#This Row],[Age Next Birthday]]&gt;=56),2,
""))</f>
        <v/>
      </c>
      <c r="AJ648" s="328">
        <f>IF(OR(Table2[[#This Row],[Member Type]]="Main Member",Table2[[#This Row],[Main Member Link ID]]=B647),1,0)</f>
        <v>1</v>
      </c>
      <c r="AK648" s="328">
        <f>IF(Table2[[#This Row],[Member Type]]=0,0,
IF(OR(Table2[[#This Row],[Member Type]]="Main Member",Table2[[#This Row],[Main Member Link ID]]&lt;&gt;B648),COUNTIFS(B:B,Table2[[#This Row],[Main Member Link ID]]),
COUNTIFS(B:B,Table2[[#This Row],[Main Member Link ID]],A:A,Table2[[#This Row],[Member Type]])))</f>
        <v>0</v>
      </c>
    </row>
    <row r="649" spans="1:37" x14ac:dyDescent="0.3">
      <c r="A649" s="284">
        <f>Table13[[#This Row],[Member Type]]</f>
        <v>0</v>
      </c>
      <c r="B649" s="284">
        <f>Table13[[#This Row],[Main Member Link ID]]</f>
        <v>0</v>
      </c>
      <c r="C649" s="284">
        <f>Table13[[#This Row],[ID Number]]</f>
        <v>0</v>
      </c>
      <c r="D649" s="285">
        <f>Table13[[#This Row],[Date Of Birth]]</f>
        <v>0</v>
      </c>
      <c r="E649" s="285">
        <f>Table13[[#This Row],[Commencement Date]]</f>
        <v>0</v>
      </c>
      <c r="F649" s="284">
        <f t="shared" si="70"/>
        <v>1</v>
      </c>
      <c r="G649" s="284">
        <f t="shared" si="71"/>
        <v>25</v>
      </c>
      <c r="H649" s="286">
        <f>Table13[[#This Row],[Product Option]]</f>
        <v>0</v>
      </c>
      <c r="I649" s="284">
        <f>IF(AND($A649="Main Member",Table2[[#This Row],[Product Option]]="My Value Plus Life"),"MM_LIFE",
IF(AND($A649="Spouse",Table2[[#This Row],[Product Option]]="My Value Plus Life"),"SP_LIFE",
IF(AND($A649="Main Member",Table2[[#This Row],[Product Option]]="My Value Plus Life &amp; Funeral"),"MM_LIFE",
IF(AND($A649="Spouse",Table2[[#This Row],[Product Option]]="My Value Plus Life &amp; Funeral"),_xlfn.XLOOKUP(Table2[[#This Row],[Benefit Name]],Lookups!$D$18:$D$23,Lookups!$E$18:$E$23,0),
0))))</f>
        <v>0</v>
      </c>
      <c r="J649" s="284">
        <f>IF($I649="","",
IF($I649="MM_LIFE",INDEX('Quotation Tool'!$S$54:$V$60,MATCH($T649,'Quotation Tool'!$S$54:$S$60,0),4),
IF($I649="SP_LIFE",_xlfn.XLOOKUP(B648,$B:$B,$J:$J,0),0)))</f>
        <v>0</v>
      </c>
      <c r="K649" s="287">
        <f t="shared" ca="1" si="75"/>
        <v>0</v>
      </c>
      <c r="L649" s="288">
        <f t="shared" ca="1" si="76"/>
        <v>0</v>
      </c>
      <c r="M649" s="289">
        <f t="shared" ca="1" si="72"/>
        <v>0</v>
      </c>
      <c r="N649" s="286">
        <f>Table13[[#This Row],[Benefit Option]]</f>
        <v>0</v>
      </c>
      <c r="O649" s="284">
        <f>IF(OR(Table2[[#This Row],[Member Type]]="Spouse",Table2[[#This Row],[Member Type]]="Child"),0,
IF(_xlfn.XLOOKUP($N649,Lookups!$D$13:$D$27,Lookups!$F$13:$F$27,0)=Table2[[#This Row],[Table Lookup for Life Cover]],0,
_xlfn.XLOOKUP($N649,Lookups!$D$13:$D$27,Lookups!$F$13:$F$27,0)))</f>
        <v>0</v>
      </c>
      <c r="P649" s="284">
        <f>IF(Table2[[#This Row],[Table Lookup for Funeral]]=0,0,IFERROR(INDEX('Quotation Tool'!$S$54:$V$60,MATCH($T649,'Quotation Tool'!$S$54:$S$60,0),3),0))</f>
        <v>0</v>
      </c>
      <c r="Q649" s="288">
        <f ca="1">IF(OR(Table2[[#This Row],[Benefit Name]]="My Value Plus Life - Main Member",Table2[[#This Row],[Benefit Name]]="My Value Plus Life - Spouse"),0,
IFERROR(VLOOKUP($G649,INDIRECT($O649),$P649,FALSE),0))</f>
        <v>0</v>
      </c>
      <c r="R649" s="288">
        <f ca="1">IF(OR(Table2[[#This Row],[Benefit Name]]="My Value Plus Life - Main Member",Table2[[#This Row],[Benefit Name]]="My Value Plus Life - Spouse"),0,
IFERROR(VLOOKUP($G649,INDIRECT($O649),$P649+1,FALSE),0))</f>
        <v>0</v>
      </c>
      <c r="S649" s="289">
        <f t="shared" ca="1" si="73"/>
        <v>0</v>
      </c>
      <c r="T649" s="284" t="str">
        <f>IF(Table13[[#This Row],[Premium Waiver]]="","None",Table13[[#This Row],[Premium Waiver]])</f>
        <v>None</v>
      </c>
      <c r="U649" s="284">
        <f>Table13[[#This Row],[VAPs Options]]</f>
        <v>0</v>
      </c>
      <c r="V649" s="284">
        <f>Table13[[#This Row],[Annual Increase Option]]</f>
        <v>0</v>
      </c>
      <c r="W649" s="290">
        <f>Table13[[#This Row],[Life Cover Amount]]</f>
        <v>0</v>
      </c>
      <c r="X649" s="290">
        <f>Table13[[#This Row],[Funeral Cover Amount]]</f>
        <v>0</v>
      </c>
      <c r="Y649"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49"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49" s="301">
        <f t="shared" ca="1" si="74"/>
        <v>0</v>
      </c>
      <c r="AB649" s="298"/>
      <c r="AC649" s="326" t="str">
        <f>IF(Table2[[#This Row],[Member Type]]="Main Member",Lookups!$C$13,
IF(Table2[[#This Row],[Member Type]]="Spouse",_xlfn.XLOOKUP(B649,Table2[Main Member Link ID],Table2[Product Option],0),
IF(AND(Table2[[#This Row],[Member Type]]="Child",_xlfn.XLOOKUP(B649,Table2[Main Member Link ID],Table2[Product Option],0)&lt;&gt;"My Value Plus Life"),Lookups!$C$24,
IF(AND(OR(Table2[[#This Row],[Member Type]]="Parent",Table2[[#This Row],[Member Type]]="Extended"),_xlfn.XLOOKUP(B649,Table2[Main Member Link ID],Table2[Product Option],0)&lt;&gt;"My Value Plus Life"),Lookups!$C$26,""))))</f>
        <v/>
      </c>
      <c r="AD649" s="326" t="str">
        <f>IF(Table2[[#This Row],[Member Type]]="Main Member",Lookups!$C$14,"")</f>
        <v/>
      </c>
      <c r="AE649"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Funeral",_xlfn.XLOOKUP(B649,Table2[Main Member Link ID],Table2[Benefit Name],0)=Lookups!$D$14),"",
IF(AND(Table2[[#This Row],[Member Type]]="Spouse",Table2[[#This Row],[Product Option]]="My Value Plus Life &amp; Funeral",_xlfn.XLOOKUP(B648,Table2[Main Member Link ID],Table2[Benefit Name],0)=Lookups!$D$15),Lookups!$D$20,
IF(AND(Table2[[#This Row],[Member Type]]="Spouse",Table2[[#This Row],[Product Option]]="My Value Plus Life &amp; Funeral",_xlfn.XLOOKUP(B648,Table2[Main Member Link ID],Table2[Benefit Name],0)=Lookups!$D$16),"",
IF(AND(Table2[[#This Row],[Member Type]]="Spouse",Table2[[#This Row],[Product Option]]="My Value Plus Life &amp; Funeral",_xlfn.XLOOKUP(B648,Table2[Main Member Link ID],Table2[Benefit Name],0)=Lookups!$D$17),Lookups!$D$21,
IF(AND(Table2[[#This Row],[Member Type]]="Child",Table2[[#This Row],[Product Option]]="My Value Plus Life &amp; Funeral",_xlfn.XLOOKUP(B649,Table2[Main Member Link ID],Table2[Benefit Name],0)=Lookups!$D$14),"",
IF(AND(Table2[[#This Row],[Member Type]]="Child",Table2[[#This Row],[Product Option]]="My Value Plus Life &amp; Funeral",_xlfn.XLOOKUP(B649,Table2[Main Member Link ID],Table2[Benefit Name],0)=Lookups!$D$15),"",
IF(AND(Table2[[#This Row],[Member Type]]="Child",Table2[[#This Row],[Product Option]]="My Value Plus Life &amp; Funeral",_xlfn.XLOOKUP(B649,Table2[Main Member Link ID],Table2[Benefit Name],0)=Lookups!$D$16),Lookups!$D$24,
IF(AND(Table2[[#This Row],[Member Type]]="Child",Table2[[#This Row],[Product Option]]="My Value Plus Life &amp; Funeral",_xlfn.XLOOKUP(B649,Table2[Main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Funeral",_xlfn.XLOOKUP(B649,Table2[Main Member Link ID],Table2[Benefit Name],0)&lt;&gt;Lookups!$D$14),
IF(_xlfn.XLOOKUP(B649,Table2[Main Member Link ID],Table2[Benefit Name],0)=0,"",_xlfn.XLOOKUP(B649,Table2[Main Member Link ID],Table2[Benefit Name],0)),"")))))))))))))))</f>
        <v/>
      </c>
      <c r="AF649" s="327" t="str">
        <f>IF(AND(Table2[[#This Row],[Member Type]]="Main Member",Table2[[#This Row],[Product Option]]="My Value Plus Life &amp; Funeral"),Lookups!$D$15,
IF(AND(Table2[[#This Row],[Member Type]]="Spouse",Table2[[#This Row],[Product Option]]="My Value Plus Life &amp; Funeral",_xlfn.XLOOKUP(B649,Table2[Main Member Link ID],Table2[Benefit Name],0)=Lookups!$D$14),"",
IF(AND(Table2[[#This Row],[Member Type]]="Spouse",Table2[[#This Row],[Product Option]]="My Value Plus Life &amp; Funeral",_xlfn.XLOOKUP(B648,Table2[Main Member Link ID],Table2[Benefit Name],0)=Lookups!$D$16),"",
IF(AND(Table2[[#This Row],[Member Type]]="Spouse",Table2[[#This Row],[Product Option]]="My Value Plus Life &amp; Funeral",_xlfn.XLOOKUP(B648,Table2[Main Member Link ID],Table2[Benefit Name],0)=Lookups!$D$15),"",
IF(AND(Table2[[#This Row],[Member Type]]="Spouse",Table2[[#This Row],[Product Option]]="My Value Plus Life &amp; Funeral",_xlfn.XLOOKUP(B648,Table2[Main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Funeral",_xlfn.XLOOKUP(B649,Table2[Main Member Link ID],Table2[Benefit Name],0)&lt;&gt;Lookups!$D$15),
IF(_xlfn.XLOOKUP(B649,Table2[Main Member Link ID],Table2[Benefit Name],0)=0,"",_xlfn.XLOOKUP(B649,Table2[Main Member Link ID],Table2[Benefit Name],0)),"")
))))))</f>
        <v/>
      </c>
      <c r="AG649" s="327" t="str">
        <f>IF(AND(Table2[[#This Row],[Member Type]]="Main Member",Table2[[#This Row],[Product Option]]="My Value Plus Life &amp; Funeral"),Lookups!$D$16,
IF(AND(Table2[[#This Row],[Member Type]]="Spouse",Table2[[#This Row],[Product Option]]="My Value Plus Life &amp; Funeral",_xlfn.XLOOKUP(B649,Table2[Main Member Link ID],Table2[Benefit Name],0)=Lookups!$D$14),"",
IF(AND(Table2[[#This Row],[Member Type]]="Spouse",Table2[[#This Row],[Product Option]]="My Value Plus Life &amp; Funeral",_xlfn.XLOOKUP(B648,Table2[Main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Funeral",_xlfn.XLOOKUP(B649,Table2[Main Member Link ID],Table2[Benefit Name],0)&lt;&gt;Lookups!$D$16),
IF(_xlfn.XLOOKUP(B649,Table2[Main Member Link ID],Table2[Benefit Name],0)=0,"",_xlfn.XLOOKUP(B649,Table2[Main Member Link ID],Table2[Benefit Name],0)),"")
))))</f>
        <v/>
      </c>
      <c r="AH649" s="327" t="str">
        <f>IF(AND(Table2[[#This Row],[Member Type]]="Main Member",Table2[[#This Row],[Product Option]]="My Value Plus Life &amp; Funeral"),Lookups!$D$17,
IF(AND(Table2[[#This Row],[Member Type]]="Spouse",Table2[[#This Row],[Product Option]]="My Value Plus Life &amp; Funeral",_xlfn.XLOOKUP(B649,Table2[Main Member Link ID],Table2[Benefit Name],0)=Lookups!$D$14),"",
IF(AND(Table2[[#This Row],[Member Type]]="Spouse",Table2[[#This Row],[Product Option]]="My Value Plus Life &amp; Funeral",_xlfn.XLOOKUP(B648,Table2[Main Member Link ID],Table2[Benefit Name],0)=Lookups!$D$16),"",
IF(AND(Table2[[#This Row],[Member Type]]="Child",Table2[[#This Row],[Product Option]]="My Value Plus Life &amp; Funeral"),"",
IF(AND(Table2[[#This Row],[Member Type]]="Child",Table2[[#This Row],[Product Option]]="My Value Plus Life &amp; Funeral",_xlfn.XLOOKUP(B649,Table2[Main Member Link ID],Table2[Benefit Name],0)=Lookups!$D$15),"",
IF(AND(OR(Table2[[#This Row],[Member Type]]="Spouse",Table2[[#This Row],[Member Type]]="Child"),Table2[[#This Row],[Product Option]]="My Value Plus Life &amp; Funeral",_xlfn.XLOOKUP(B649,Table2[Main Member Link ID],Table2[Benefit Name],0)&lt;&gt;Lookups!$D$17),
IF(_xlfn.XLOOKUP(B649,Table2[Main Member Link ID],Table2[Benefit Name],0)=0,"",_xlfn.XLOOKUP(B649,Table2[Main Member Link ID],Table2[Benefit Name],0)),""))))))</f>
        <v/>
      </c>
      <c r="AI649" s="328" t="str">
        <f>IF(AND(Table2[[#This Row],[Member Type]]="Main Member",Table2[[#This Row],[Table Lookup for Life Cover]]="MM_LIFE",Table2[[#This Row],[Age Next Birthday]]&lt;56),1,
IF(AND(Table2[[#This Row],[Member Type]]="Main Member",Table2[[#This Row],[Table Lookup for Life Cover]]="MM_LIFE",Table2[[#This Row],[Age Next Birthday]]&gt;=56),2,
""))</f>
        <v/>
      </c>
      <c r="AJ649" s="328">
        <f>IF(OR(Table2[[#This Row],[Member Type]]="Main Member",Table2[[#This Row],[Main Member Link ID]]=B648),1,0)</f>
        <v>1</v>
      </c>
      <c r="AK649" s="328">
        <f>IF(Table2[[#This Row],[Member Type]]=0,0,
IF(OR(Table2[[#This Row],[Member Type]]="Main Member",Table2[[#This Row],[Main Member Link ID]]&lt;&gt;B649),COUNTIFS(B:B,Table2[[#This Row],[Main Member Link ID]]),
COUNTIFS(B:B,Table2[[#This Row],[Main Member Link ID]],A:A,Table2[[#This Row],[Member Type]])))</f>
        <v>0</v>
      </c>
    </row>
    <row r="650" spans="1:37" x14ac:dyDescent="0.3">
      <c r="A650" s="291">
        <f>Table13[[#This Row],[Member Type]]</f>
        <v>0</v>
      </c>
      <c r="B650" s="291">
        <f>Table13[[#This Row],[Main Member Link ID]]</f>
        <v>0</v>
      </c>
      <c r="C650" s="291">
        <f>Table13[[#This Row],[ID Number]]</f>
        <v>0</v>
      </c>
      <c r="D650" s="292">
        <f>Table13[[#This Row],[Date Of Birth]]</f>
        <v>0</v>
      </c>
      <c r="E650" s="292">
        <f>Table13[[#This Row],[Commencement Date]]</f>
        <v>0</v>
      </c>
      <c r="F650" s="291">
        <f t="shared" si="70"/>
        <v>1</v>
      </c>
      <c r="G650" s="291">
        <f t="shared" si="71"/>
        <v>25</v>
      </c>
      <c r="H650" s="293">
        <f>Table13[[#This Row],[Product Option]]</f>
        <v>0</v>
      </c>
      <c r="I650" s="284">
        <f>IF(AND($A650="Main Member",Table2[[#This Row],[Product Option]]="My Value Plus Life"),"MM_LIFE",
IF(AND($A650="Spouse",Table2[[#This Row],[Product Option]]="My Value Plus Life"),"SP_LIFE",
IF(AND($A650="Main Member",Table2[[#This Row],[Product Option]]="My Value Plus Life &amp; Funeral"),"MM_LIFE",
IF(AND($A650="Spouse",Table2[[#This Row],[Product Option]]="My Value Plus Life &amp; Funeral"),_xlfn.XLOOKUP(Table2[[#This Row],[Benefit Name]],Lookups!$D$18:$D$23,Lookups!$E$18:$E$23,0),
0))))</f>
        <v>0</v>
      </c>
      <c r="J650" s="284">
        <f>IF($I650="","",
IF($I650="MM_LIFE",INDEX('Quotation Tool'!$S$54:$V$60,MATCH($T650,'Quotation Tool'!$S$54:$S$60,0),4),
IF($I650="SP_LIFE",_xlfn.XLOOKUP(B649,$B:$B,$J:$J,0),0)))</f>
        <v>0</v>
      </c>
      <c r="K650" s="294">
        <f t="shared" ca="1" si="75"/>
        <v>0</v>
      </c>
      <c r="L650" s="295">
        <f t="shared" ca="1" si="76"/>
        <v>0</v>
      </c>
      <c r="M650" s="296">
        <f t="shared" ca="1" si="72"/>
        <v>0</v>
      </c>
      <c r="N650" s="293">
        <f>Table13[[#This Row],[Benefit Option]]</f>
        <v>0</v>
      </c>
      <c r="O650" s="291">
        <f>IF(OR(Table2[[#This Row],[Member Type]]="Spouse",Table2[[#This Row],[Member Type]]="Child"),0,
IF(_xlfn.XLOOKUP($N650,Lookups!$D$13:$D$27,Lookups!$F$13:$F$27,0)=Table2[[#This Row],[Table Lookup for Life Cover]],0,
_xlfn.XLOOKUP($N650,Lookups!$D$13:$D$27,Lookups!$F$13:$F$27,0)))</f>
        <v>0</v>
      </c>
      <c r="P650" s="284">
        <f>IF(Table2[[#This Row],[Table Lookup for Funeral]]=0,0,IFERROR(INDEX('Quotation Tool'!$S$54:$V$60,MATCH($T650,'Quotation Tool'!$S$54:$S$60,0),3),0))</f>
        <v>0</v>
      </c>
      <c r="Q650" s="288">
        <f ca="1">IF(OR(Table2[[#This Row],[Benefit Name]]="My Value Plus Life - Main Member",Table2[[#This Row],[Benefit Name]]="My Value Plus Life - Spouse"),0,
IFERROR(VLOOKUP($G650,INDIRECT($O650),$P650,FALSE),0))</f>
        <v>0</v>
      </c>
      <c r="R650" s="295">
        <f ca="1">IF(OR(Table2[[#This Row],[Benefit Name]]="My Value Plus Life - Main Member",Table2[[#This Row],[Benefit Name]]="My Value Plus Life - Spouse"),0,
IFERROR(VLOOKUP($G650,INDIRECT($O650),$P650+1,FALSE),0))</f>
        <v>0</v>
      </c>
      <c r="S650" s="296">
        <f t="shared" ca="1" si="73"/>
        <v>0</v>
      </c>
      <c r="T650" s="291" t="str">
        <f>IF(Table13[[#This Row],[Premium Waiver]]="","None",Table13[[#This Row],[Premium Waiver]])</f>
        <v>None</v>
      </c>
      <c r="U650" s="291">
        <f>Table13[[#This Row],[VAPs Options]]</f>
        <v>0</v>
      </c>
      <c r="V650" s="291">
        <f>Table13[[#This Row],[Annual Increase Option]]</f>
        <v>0</v>
      </c>
      <c r="W650" s="297">
        <f>Table13[[#This Row],[Life Cover Amount]]</f>
        <v>0</v>
      </c>
      <c r="X650" s="297">
        <f>Table13[[#This Row],[Funeral Cover Amount]]</f>
        <v>0</v>
      </c>
      <c r="Y650" s="304">
        <f>IF(OR(Table2[[#This Row],[Benefit Name]]=Lookups!$D$22,Table2[[#This Row],[Benefit Name]]=Lookups!$D$23,Table2[[#This Row],[Benefit Name]]=Lookups!$D$24,Table2[[#This Row],[Benefit Name]]=Lookups!$D$25,Table2[[#This Row],[Benefit Name]]=Lookups!$D$26,Table2[[#This Row],[Benefit Name]]=Lookups!$D$27),0,
IF(Table2[[#This Row],[Member Type]]="Main Member",500000,
IF(Table2[[#This Row],[Member Type]]="Spouse",_xlfn.XLOOKUP(Table2[[#This Row],[Main Member Link ID]],B:B,W:W),0)))</f>
        <v>0</v>
      </c>
      <c r="Z650" s="305">
        <f>IF(OR(Table2[[#This Row],[Member Type]]="Beneficiary",Table2[[#This Row],[Member Type]]=0,Table2[[#This Row],[Product Option]]="My Value Plus Life",Table2[[#This Row],[Benefit Name]]="Life with no Funeral",Table2[[#This Row],[Age Next Birthday]]=FALSE,Table2[[#This Row],[Age Next Birthday]]="Max age"),0,
IF(Table2[[#This Row],[Member Type]]="Main Member",150000,
IF(Table2[[#This Row],[Member Type]]="Spouse",MIN(150000,_xlfn.XLOOKUP(Table2[[#This Row],[Main Member Link ID]],B:B,X:X)),
IF(Table2[[#This Row],[Member Type]]="Parent",MIN(75000,_xlfn.XLOOKUP(Table2[[#This Row],[Main Member Link ID]],B:B,X:X)),
IF(AND(Table2[[#This Row],[Member Type]]="Extended",Table2[[#This Row],[Age Next Birthday]]&gt;=22),MIN(75000,_xlfn.XLOOKUP(Table2[[#This Row],[Main Member Link ID]],B:B,X:X)),
IF(Table2[[#This Row],[Age Next Birthday]]&lt;7,MIN(20000,0.25*_xlfn.XLOOKUP(Table2[[#This Row],[Main Member Link ID]],B:B,X:X)),
IF(AND(Table2[[#This Row],[Age Next Birthday]]&gt;=7,Table2[[#This Row],[Age Next Birthday]]&lt;15),MIN(50000,0.5*_xlfn.XLOOKUP(Table2[[#This Row],[Main Member Link ID]],B:B,X:X)),
IF(AND(Table2[[#This Row],[Age Next Birthday]]&gt;=15,Table2[[#This Row],[Age Next Birthday]]&lt;=21),MIN(50000,_xlfn.XLOOKUP(Table2[[#This Row],[Main Member Link ID]],B:B,X:X)),
))))))))</f>
        <v>0</v>
      </c>
      <c r="AA650" s="302">
        <f t="shared" ca="1" si="74"/>
        <v>0</v>
      </c>
      <c r="AB650" s="298"/>
      <c r="AC650" s="326" t="str">
        <f>IF(Table2[[#This Row],[Member Type]]="Main Member",Lookups!$C$13,
IF(Table2[[#This Row],[Member Type]]="Spouse",_xlfn.XLOOKUP(B650,Table2[Main Member Link ID],Table2[Product Option],0),
IF(AND(Table2[[#This Row],[Member Type]]="Child",_xlfn.XLOOKUP(B650,Table2[Main Member Link ID],Table2[Product Option],0)&lt;&gt;"My Value Plus Life"),Lookups!$C$24,
IF(AND(OR(Table2[[#This Row],[Member Type]]="Parent",Table2[[#This Row],[Member Type]]="Extended"),_xlfn.XLOOKUP(B650,Table2[Main Member Link ID],Table2[Product Option],0)&lt;&gt;"My Value Plus Life"),Lookups!$C$26,""))))</f>
        <v/>
      </c>
      <c r="AD650" s="326" t="str">
        <f>IF(Table2[[#This Row],[Member Type]]="Main Member",Lookups!$C$14,"")</f>
        <v/>
      </c>
      <c r="AE650" s="327" t="str">
        <f>IF(OR(Table2[[#This Row],[Member Type]]="Beneficiary",Table2[[#This Row],[Member Type]]=""),"",
IF(AND(Table2[[#This Row],[Member Type]]="Main Member",Table2[[#This Row],[Product Option]]="My Value Plus Life"),Lookups!$D$13,
IF(AND(Table2[[#This Row],[Member Type]]="Spouse",Table2[[#This Row],[Product Option]]="My Value Plus Life"),Lookups!$D$18,
IF(AND(Table2[[#This Row],[Member Type]]="Main Member",Table2[[#This Row],[Product Option]]="My Value Plus Life &amp; Funeral"),Lookups!$D$14,
IF(AND(Table2[[#This Row],[Member Type]]="Spouse",Table2[[#This Row],[Product Option]]="My Value Plus Life &amp; Funeral",_xlfn.XLOOKUP(B650,Table2[Main Member Link ID],Table2[Benefit Name],0)=Lookups!$D$14),"",
IF(AND(Table2[[#This Row],[Member Type]]="Spouse",Table2[[#This Row],[Product Option]]="My Value Plus Life &amp; Funeral",_xlfn.XLOOKUP(B649,Table2[Main Member Link ID],Table2[Benefit Name],0)=Lookups!$D$15),Lookups!$D$20,
IF(AND(Table2[[#This Row],[Member Type]]="Spouse",Table2[[#This Row],[Product Option]]="My Value Plus Life &amp; Funeral",_xlfn.XLOOKUP(B649,Table2[Main Member Link ID],Table2[Benefit Name],0)=Lookups!$D$16),"",
IF(AND(Table2[[#This Row],[Member Type]]="Spouse",Table2[[#This Row],[Product Option]]="My Value Plus Life &amp; Funeral",_xlfn.XLOOKUP(B649,Table2[Main Member Link ID],Table2[Benefit Name],0)=Lookups!$D$17),Lookups!$D$21,
IF(AND(Table2[[#This Row],[Member Type]]="Child",Table2[[#This Row],[Product Option]]="My Value Plus Life &amp; Funeral",_xlfn.XLOOKUP(B650,Table2[Main Member Link ID],Table2[Benefit Name],0)=Lookups!$D$14),"",
IF(AND(Table2[[#This Row],[Member Type]]="Child",Table2[[#This Row],[Product Option]]="My Value Plus Life &amp; Funeral",_xlfn.XLOOKUP(B650,Table2[Main Member Link ID],Table2[Benefit Name],0)=Lookups!$D$15),"",
IF(AND(Table2[[#This Row],[Member Type]]="Child",Table2[[#This Row],[Product Option]]="My Value Plus Life &amp; Funeral",_xlfn.XLOOKUP(B650,Table2[Main Member Link ID],Table2[Benefit Name],0)=Lookups!$D$16),Lookups!$D$24,
IF(AND(Table2[[#This Row],[Member Type]]="Child",Table2[[#This Row],[Product Option]]="My Value Plus Life &amp; Funeral",_xlfn.XLOOKUP(B650,Table2[Main Member Link ID],Table2[Benefit Name],0)=Lookups!$D$17),Lookups!$D$25,
IF(AND(Table2[[#This Row],[Member Type]]="Parent",Table2[[#This Row],[Product Option]]="My Value Plus Life &amp; Funeral"),Lookups!$D$26,
IF(AND(Table2[[#This Row],[Member Type]]="Extended",Table2[[#This Row],[Product Option]]="My Value Plus Life &amp; Funeral"),Lookups!$D$27,
IF(AND(OR(Table2[[#This Row],[Member Type]]="Spouse",Table2[[#This Row],[Member Type]]="Child"),Table2[[#This Row],[Product Option]]="My Value Plus Life &amp; Funeral",_xlfn.XLOOKUP(B650,Table2[Main Member Link ID],Table2[Benefit Name],0)&lt;&gt;Lookups!$D$14),
IF(_xlfn.XLOOKUP(B650,Table2[Main Member Link ID],Table2[Benefit Name],0)=0,"",_xlfn.XLOOKUP(B650,Table2[Main Member Link ID],Table2[Benefit Name],0)),"")))))))))))))))</f>
        <v/>
      </c>
      <c r="AF650" s="327" t="str">
        <f>IF(AND(Table2[[#This Row],[Member Type]]="Main Member",Table2[[#This Row],[Product Option]]="My Value Plus Life &amp; Funeral"),Lookups!$D$15,
IF(AND(Table2[[#This Row],[Member Type]]="Spouse",Table2[[#This Row],[Product Option]]="My Value Plus Life &amp; Funeral",_xlfn.XLOOKUP(B650,Table2[Main Member Link ID],Table2[Benefit Name],0)=Lookups!$D$14),"",
IF(AND(Table2[[#This Row],[Member Type]]="Spouse",Table2[[#This Row],[Product Option]]="My Value Plus Life &amp; Funeral",_xlfn.XLOOKUP(B649,Table2[Main Member Link ID],Table2[Benefit Name],0)=Lookups!$D$16),"",
IF(AND(Table2[[#This Row],[Member Type]]="Spouse",Table2[[#This Row],[Product Option]]="My Value Plus Life &amp; Funeral",_xlfn.XLOOKUP(B649,Table2[Main Member Link ID],Table2[Benefit Name],0)=Lookups!$D$15),"",
IF(AND(Table2[[#This Row],[Member Type]]="Spouse",Table2[[#This Row],[Product Option]]="My Value Plus Life &amp; Funeral",_xlfn.XLOOKUP(B649,Table2[Main Member Link ID],Table2[Benefit Name],0)=Lookups!$D$17),"",
IF(AND(Table2[[#This Row],[Member Type]]="Child",Table2[[#This Row],[Product Option]]="My Value Plus Life &amp; Funeral"),"",
IF(AND(OR(Table2[[#This Row],[Member Type]]="Spouse",Table2[[#This Row],[Member Type]]="Child"),Table2[[#This Row],[Product Option]]="My Value Plus Life &amp; Funeral",_xlfn.XLOOKUP(B650,Table2[Main Member Link ID],Table2[Benefit Name],0)&lt;&gt;Lookups!$D$15),
IF(_xlfn.XLOOKUP(B650,Table2[Main Member Link ID],Table2[Benefit Name],0)=0,"",_xlfn.XLOOKUP(B650,Table2[Main Member Link ID],Table2[Benefit Name],0)),"")
))))))</f>
        <v/>
      </c>
      <c r="AG650" s="327" t="str">
        <f>IF(AND(Table2[[#This Row],[Member Type]]="Main Member",Table2[[#This Row],[Product Option]]="My Value Plus Life &amp; Funeral"),Lookups!$D$16,
IF(AND(Table2[[#This Row],[Member Type]]="Spouse",Table2[[#This Row],[Product Option]]="My Value Plus Life &amp; Funeral",_xlfn.XLOOKUP(B650,Table2[Main Member Link ID],Table2[Benefit Name],0)=Lookups!$D$14),"",
IF(AND(Table2[[#This Row],[Member Type]]="Spouse",Table2[[#This Row],[Product Option]]="My Value Plus Life &amp; Funeral",_xlfn.XLOOKUP(B649,Table2[Main Member Link ID],Table2[Benefit Name],0)=Lookups!$D$16),"",
IF(AND(Table2[[#This Row],[Member Type]]="Child",Table2[[#This Row],[Product Option]]="My Value Plus Life &amp; Funeral"),"",
IF(AND(OR(Table2[[#This Row],[Member Type]]="Spouse",Table2[[#This Row],[Member Type]]="Child"),Table2[[#This Row],[Product Option]]="My Value Plus Life &amp; Funeral",_xlfn.XLOOKUP(B650,Table2[Main Member Link ID],Table2[Benefit Name],0)&lt;&gt;Lookups!$D$16),
IF(_xlfn.XLOOKUP(B650,Table2[Main Member Link ID],Table2[Benefit Name],0)=0,"",_xlfn.XLOOKUP(B650,Table2[Main Member Link ID],Table2[Benefit Name],0)),"")
))))</f>
        <v/>
      </c>
      <c r="AH650" s="327" t="str">
        <f>IF(AND(Table2[[#This Row],[Member Type]]="Main Member",Table2[[#This Row],[Product Option]]="My Value Plus Life &amp; Funeral"),Lookups!$D$17,
IF(AND(Table2[[#This Row],[Member Type]]="Spouse",Table2[[#This Row],[Product Option]]="My Value Plus Life &amp; Funeral",_xlfn.XLOOKUP(B650,Table2[Main Member Link ID],Table2[Benefit Name],0)=Lookups!$D$14),"",
IF(AND(Table2[[#This Row],[Member Type]]="Spouse",Table2[[#This Row],[Product Option]]="My Value Plus Life &amp; Funeral",_xlfn.XLOOKUP(B649,Table2[Main Member Link ID],Table2[Benefit Name],0)=Lookups!$D$16),"",
IF(AND(Table2[[#This Row],[Member Type]]="Child",Table2[[#This Row],[Product Option]]="My Value Plus Life &amp; Funeral"),"",
IF(AND(Table2[[#This Row],[Member Type]]="Child",Table2[[#This Row],[Product Option]]="My Value Plus Life &amp; Funeral",_xlfn.XLOOKUP(B650,Table2[Main Member Link ID],Table2[Benefit Name],0)=Lookups!$D$15),"",
IF(AND(OR(Table2[[#This Row],[Member Type]]="Spouse",Table2[[#This Row],[Member Type]]="Child"),Table2[[#This Row],[Product Option]]="My Value Plus Life &amp; Funeral",_xlfn.XLOOKUP(B650,Table2[Main Member Link ID],Table2[Benefit Name],0)&lt;&gt;Lookups!$D$17),
IF(_xlfn.XLOOKUP(B650,Table2[Main Member Link ID],Table2[Benefit Name],0)=0,"",_xlfn.XLOOKUP(B650,Table2[Main Member Link ID],Table2[Benefit Name],0)),""))))))</f>
        <v/>
      </c>
      <c r="AI650" s="328" t="str">
        <f>IF(AND(Table2[[#This Row],[Member Type]]="Main Member",Table2[[#This Row],[Table Lookup for Life Cover]]="MM_LIFE",Table2[[#This Row],[Age Next Birthday]]&lt;56),1,
IF(AND(Table2[[#This Row],[Member Type]]="Main Member",Table2[[#This Row],[Table Lookup for Life Cover]]="MM_LIFE",Table2[[#This Row],[Age Next Birthday]]&gt;=56),2,
""))</f>
        <v/>
      </c>
      <c r="AJ650" s="328">
        <f>IF(OR(Table2[[#This Row],[Member Type]]="Main Member",Table2[[#This Row],[Main Member Link ID]]=B649),1,0)</f>
        <v>1</v>
      </c>
      <c r="AK650" s="328">
        <f>IF(Table2[[#This Row],[Member Type]]=0,0,
IF(OR(Table2[[#This Row],[Member Type]]="Main Member",Table2[[#This Row],[Main Member Link ID]]&lt;&gt;B650),COUNTIFS(B:B,Table2[[#This Row],[Main Member Link ID]]),
COUNTIFS(B:B,Table2[[#This Row],[Main Member Link ID]],A:A,Table2[[#This Row],[Member Type]])))</f>
        <v>0</v>
      </c>
    </row>
    <row r="651" spans="1:37" x14ac:dyDescent="0.3">
      <c r="A651" s="298"/>
      <c r="B651" s="298"/>
      <c r="C651" s="298"/>
      <c r="D651" s="298"/>
      <c r="E651" s="298"/>
      <c r="F651" s="298"/>
      <c r="G651" s="298"/>
      <c r="H651" s="299"/>
      <c r="I651" s="299"/>
      <c r="J651" s="299"/>
      <c r="K651" s="299"/>
      <c r="L651" s="299"/>
      <c r="M651" s="299"/>
      <c r="N651" s="298"/>
      <c r="O651" s="298"/>
      <c r="P651" s="298"/>
      <c r="Q651" s="298"/>
      <c r="R651" s="298"/>
      <c r="S651" s="298"/>
      <c r="T651" s="298"/>
      <c r="U651" s="298"/>
      <c r="V651" s="298"/>
      <c r="W651" s="298"/>
      <c r="X651" s="298"/>
      <c r="Y651" s="166"/>
      <c r="Z651" s="298"/>
      <c r="AA651" s="298"/>
      <c r="AB651" s="298"/>
      <c r="AJ651" s="329"/>
    </row>
    <row r="652" spans="1:37" x14ac:dyDescent="0.3">
      <c r="A652" s="298" t="s">
        <v>281</v>
      </c>
      <c r="B652" s="298" t="s">
        <v>281</v>
      </c>
      <c r="C652" s="298" t="s">
        <v>281</v>
      </c>
      <c r="D652" s="298" t="s">
        <v>281</v>
      </c>
      <c r="E652" s="298" t="s">
        <v>281</v>
      </c>
      <c r="F652" s="298" t="s">
        <v>281</v>
      </c>
      <c r="G652" s="298" t="s">
        <v>281</v>
      </c>
      <c r="H652" s="298" t="s">
        <v>281</v>
      </c>
      <c r="I652" s="298" t="s">
        <v>281</v>
      </c>
      <c r="J652" s="298" t="s">
        <v>281</v>
      </c>
      <c r="K652" s="298" t="s">
        <v>281</v>
      </c>
      <c r="L652" s="298" t="s">
        <v>281</v>
      </c>
      <c r="M652" s="298" t="s">
        <v>281</v>
      </c>
      <c r="N652" s="298" t="s">
        <v>281</v>
      </c>
      <c r="O652" s="298" t="s">
        <v>281</v>
      </c>
      <c r="P652" s="298" t="s">
        <v>281</v>
      </c>
      <c r="Q652" s="298" t="s">
        <v>281</v>
      </c>
      <c r="R652" s="298" t="s">
        <v>281</v>
      </c>
      <c r="S652" s="298" t="s">
        <v>281</v>
      </c>
      <c r="T652" s="298" t="s">
        <v>281</v>
      </c>
      <c r="U652" s="298" t="s">
        <v>281</v>
      </c>
      <c r="V652" s="298" t="s">
        <v>281</v>
      </c>
      <c r="W652" s="298" t="s">
        <v>281</v>
      </c>
      <c r="X652" s="298" t="s">
        <v>281</v>
      </c>
      <c r="Y652" s="298" t="s">
        <v>281</v>
      </c>
      <c r="Z652" s="298" t="s">
        <v>281</v>
      </c>
      <c r="AA652" s="298" t="s">
        <v>281</v>
      </c>
      <c r="AB652" s="298" t="s">
        <v>281</v>
      </c>
      <c r="AC652" s="298" t="s">
        <v>281</v>
      </c>
      <c r="AD652" s="298" t="s">
        <v>281</v>
      </c>
      <c r="AE652" s="298" t="s">
        <v>281</v>
      </c>
      <c r="AF652" s="298" t="s">
        <v>281</v>
      </c>
      <c r="AG652" s="298" t="s">
        <v>281</v>
      </c>
      <c r="AH652" s="298" t="s">
        <v>281</v>
      </c>
      <c r="AI652" s="298" t="s">
        <v>281</v>
      </c>
      <c r="AJ652" s="298" t="s">
        <v>281</v>
      </c>
      <c r="AK652" s="298" t="s">
        <v>281</v>
      </c>
    </row>
  </sheetData>
  <sheetProtection algorithmName="SHA-512" hashValue="yc5hPRkhlAxjNK0SKOBnrEYtyAig2FifPE56UTSiPF4klTscxPIeVl9aWDVu4AzJ5gXehlLAKSQL2AapE5Uxeg==" saltValue="I1wP7hxtjTzZCdo212IJYA==" spinCount="100000" sheet="1" objects="1" scenarios="1"/>
  <conditionalFormatting sqref="A5:AK650">
    <cfRule type="expression" dxfId="0" priority="1">
      <formula>$A5="Main Member"</formula>
    </cfRule>
  </conditionalFormatting>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D451E-6F0B-4248-B6C3-CD09A531315E}">
  <dimension ref="A1:S94"/>
  <sheetViews>
    <sheetView workbookViewId="0">
      <selection activeCell="D1" sqref="D1"/>
    </sheetView>
  </sheetViews>
  <sheetFormatPr defaultColWidth="8.6640625" defaultRowHeight="14.4" x14ac:dyDescent="0.3"/>
  <cols>
    <col min="1" max="1" width="13.44140625" bestFit="1" customWidth="1"/>
    <col min="2" max="2" width="30.44140625" bestFit="1" customWidth="1"/>
    <col min="3" max="3" width="58.33203125" customWidth="1"/>
    <col min="4" max="4" width="38.6640625" bestFit="1" customWidth="1"/>
    <col min="5" max="5" width="13.33203125" bestFit="1" customWidth="1"/>
    <col min="6" max="6" width="17.6640625" customWidth="1"/>
    <col min="7" max="7" width="21.33203125" bestFit="1" customWidth="1"/>
    <col min="8" max="8" width="7" bestFit="1" customWidth="1"/>
    <col min="9" max="9" width="10.6640625" bestFit="1" customWidth="1"/>
    <col min="10" max="10" width="20.33203125" bestFit="1" customWidth="1"/>
    <col min="11" max="11" width="20.44140625" bestFit="1" customWidth="1"/>
    <col min="12" max="12" width="33.44140625" bestFit="1" customWidth="1"/>
    <col min="13" max="13" width="11.33203125" customWidth="1"/>
    <col min="14" max="14" width="16.33203125" customWidth="1"/>
    <col min="15" max="15" width="41.6640625" customWidth="1"/>
    <col min="16" max="16" width="32" customWidth="1"/>
    <col min="17" max="17" width="14.44140625" customWidth="1"/>
    <col min="18" max="18" width="29.44140625" customWidth="1"/>
    <col min="19" max="19" width="18" bestFit="1" customWidth="1"/>
  </cols>
  <sheetData>
    <row r="1" spans="1:19" s="3" customFormat="1" ht="28.8" x14ac:dyDescent="0.3">
      <c r="A1" s="2" t="s">
        <v>67</v>
      </c>
      <c r="B1" s="370" t="s">
        <v>367</v>
      </c>
      <c r="C1" s="355"/>
      <c r="D1" s="370" t="s">
        <v>394</v>
      </c>
      <c r="E1" s="355"/>
      <c r="F1" s="2" t="s">
        <v>68</v>
      </c>
      <c r="G1" s="2" t="s">
        <v>43</v>
      </c>
      <c r="H1" s="2" t="s">
        <v>69</v>
      </c>
      <c r="I1" s="2" t="s">
        <v>70</v>
      </c>
      <c r="J1" s="154" t="s">
        <v>71</v>
      </c>
      <c r="K1" s="2" t="s">
        <v>53</v>
      </c>
      <c r="L1" s="2" t="s">
        <v>72</v>
      </c>
      <c r="M1" s="2" t="s">
        <v>15</v>
      </c>
      <c r="N1" s="2" t="s">
        <v>73</v>
      </c>
      <c r="O1" s="2" t="s">
        <v>49</v>
      </c>
      <c r="P1" s="2" t="s">
        <v>74</v>
      </c>
      <c r="Q1" s="2" t="s">
        <v>75</v>
      </c>
      <c r="R1" s="2" t="s">
        <v>76</v>
      </c>
      <c r="S1" s="142" t="s">
        <v>323</v>
      </c>
    </row>
    <row r="2" spans="1:19" s="3" customFormat="1" x14ac:dyDescent="0.3">
      <c r="A2" s="2"/>
      <c r="B2" s="371"/>
      <c r="C2" s="355"/>
      <c r="D2" s="509">
        <f ca="1">TODAY()+90</f>
        <v>46324</v>
      </c>
      <c r="E2" s="356"/>
      <c r="F2" s="4"/>
      <c r="G2" s="6"/>
      <c r="H2" s="6"/>
      <c r="I2" s="155"/>
      <c r="J2" s="155"/>
      <c r="K2" s="155"/>
      <c r="L2" s="1"/>
      <c r="M2" s="6"/>
      <c r="N2" s="142"/>
      <c r="O2" s="142"/>
      <c r="P2" s="142"/>
      <c r="Q2" s="142"/>
      <c r="R2" s="142"/>
      <c r="S2" s="142"/>
    </row>
    <row r="3" spans="1:19" s="3" customFormat="1" x14ac:dyDescent="0.3">
      <c r="A3" s="155" t="s">
        <v>56</v>
      </c>
      <c r="B3" s="358">
        <v>1</v>
      </c>
      <c r="C3" s="466"/>
      <c r="D3" s="466"/>
      <c r="E3" s="357"/>
      <c r="F3" s="6" t="s">
        <v>40</v>
      </c>
      <c r="G3" s="6"/>
      <c r="H3" s="6" t="s">
        <v>77</v>
      </c>
      <c r="I3" s="7" t="s">
        <v>78</v>
      </c>
      <c r="J3" s="156" t="s">
        <v>79</v>
      </c>
      <c r="K3" s="157" t="s">
        <v>80</v>
      </c>
      <c r="L3" s="7" t="s">
        <v>81</v>
      </c>
      <c r="M3" s="158" t="s">
        <v>57</v>
      </c>
      <c r="N3" s="158"/>
      <c r="O3" s="158"/>
      <c r="P3" s="158"/>
      <c r="R3" s="159" t="s">
        <v>65</v>
      </c>
      <c r="S3" s="423">
        <v>0</v>
      </c>
    </row>
    <row r="4" spans="1:19" s="3" customFormat="1" x14ac:dyDescent="0.3">
      <c r="A4" s="358" t="s">
        <v>64</v>
      </c>
      <c r="B4" s="358">
        <v>1</v>
      </c>
      <c r="C4" s="466"/>
      <c r="D4" s="466"/>
      <c r="E4" s="357"/>
      <c r="F4" s="1" t="s">
        <v>82</v>
      </c>
      <c r="G4" s="6" t="s">
        <v>83</v>
      </c>
      <c r="H4" s="6" t="s">
        <v>84</v>
      </c>
      <c r="I4" s="7" t="s">
        <v>85</v>
      </c>
      <c r="J4" s="5" t="s">
        <v>86</v>
      </c>
      <c r="K4" s="7" t="s">
        <v>87</v>
      </c>
      <c r="L4" s="7" t="s">
        <v>88</v>
      </c>
      <c r="M4" s="6" t="s">
        <v>89</v>
      </c>
      <c r="N4" s="6" t="s">
        <v>59</v>
      </c>
      <c r="O4" s="6" t="s">
        <v>91</v>
      </c>
      <c r="P4" s="6" t="s">
        <v>264</v>
      </c>
      <c r="Q4" s="153">
        <v>1.53</v>
      </c>
      <c r="R4" s="1" t="s">
        <v>60</v>
      </c>
      <c r="S4" s="423">
        <v>1</v>
      </c>
    </row>
    <row r="5" spans="1:19" s="3" customFormat="1" ht="15" customHeight="1" x14ac:dyDescent="0.3">
      <c r="A5" s="358" t="s">
        <v>92</v>
      </c>
      <c r="B5" s="372">
        <v>6</v>
      </c>
      <c r="C5" s="466"/>
      <c r="D5" s="466"/>
      <c r="E5" s="357"/>
      <c r="F5" s="1" t="s">
        <v>93</v>
      </c>
      <c r="G5" s="8">
        <v>0.05</v>
      </c>
      <c r="H5" s="6"/>
      <c r="I5" s="7" t="s">
        <v>94</v>
      </c>
      <c r="J5" s="5" t="s">
        <v>95</v>
      </c>
      <c r="K5" s="7" t="s">
        <v>96</v>
      </c>
      <c r="L5" s="7" t="s">
        <v>97</v>
      </c>
      <c r="M5" s="6"/>
      <c r="N5" s="6" t="s">
        <v>98</v>
      </c>
      <c r="O5" s="6" t="s">
        <v>99</v>
      </c>
      <c r="P5" s="6" t="s">
        <v>369</v>
      </c>
      <c r="Q5" s="153">
        <v>9.1300000000000008</v>
      </c>
      <c r="R5" s="1" t="s">
        <v>100</v>
      </c>
    </row>
    <row r="6" spans="1:19" s="3" customFormat="1" ht="15" customHeight="1" x14ac:dyDescent="0.3">
      <c r="A6" s="358" t="s">
        <v>101</v>
      </c>
      <c r="B6" s="372">
        <v>4</v>
      </c>
      <c r="C6" s="467"/>
      <c r="D6" s="467"/>
      <c r="E6"/>
      <c r="G6" s="8">
        <v>7.0000000000000007E-2</v>
      </c>
      <c r="H6"/>
      <c r="I6" s="7" t="s">
        <v>102</v>
      </c>
      <c r="J6" s="5" t="s">
        <v>62</v>
      </c>
      <c r="K6" s="7" t="s">
        <v>63</v>
      </c>
      <c r="L6" s="7" t="s">
        <v>103</v>
      </c>
      <c r="O6" s="6" t="s">
        <v>372</v>
      </c>
      <c r="R6" s="1" t="s">
        <v>104</v>
      </c>
    </row>
    <row r="7" spans="1:19" s="3" customFormat="1" ht="15" customHeight="1" x14ac:dyDescent="0.3">
      <c r="A7" s="358" t="s">
        <v>105</v>
      </c>
      <c r="B7" s="372">
        <v>10</v>
      </c>
      <c r="C7" s="467"/>
      <c r="D7" s="467"/>
      <c r="E7"/>
      <c r="F7"/>
      <c r="G7"/>
      <c r="H7"/>
      <c r="I7" s="7" t="s">
        <v>106</v>
      </c>
      <c r="J7" s="5" t="s">
        <v>107</v>
      </c>
      <c r="K7" s="7" t="s">
        <v>108</v>
      </c>
      <c r="L7" s="7" t="s">
        <v>109</v>
      </c>
      <c r="O7" s="457" t="s">
        <v>373</v>
      </c>
      <c r="R7" s="1" t="s">
        <v>110</v>
      </c>
    </row>
    <row r="8" spans="1:19" s="3" customFormat="1" ht="13.5" customHeight="1" x14ac:dyDescent="0.3">
      <c r="A8" s="358" t="s">
        <v>66</v>
      </c>
      <c r="B8" s="372">
        <v>6</v>
      </c>
      <c r="C8" s="466"/>
      <c r="D8" s="466"/>
      <c r="E8"/>
      <c r="F8"/>
      <c r="G8"/>
      <c r="H8"/>
      <c r="I8" s="7" t="s">
        <v>111</v>
      </c>
      <c r="J8" s="5" t="s">
        <v>112</v>
      </c>
      <c r="L8" s="7" t="s">
        <v>113</v>
      </c>
      <c r="O8" s="457" t="s">
        <v>374</v>
      </c>
      <c r="R8" s="1" t="s">
        <v>114</v>
      </c>
    </row>
    <row r="9" spans="1:19" s="3" customFormat="1" ht="15.75" customHeight="1" x14ac:dyDescent="0.3">
      <c r="C9"/>
      <c r="D9"/>
      <c r="F9"/>
      <c r="G9"/>
      <c r="H9"/>
      <c r="I9" s="7" t="s">
        <v>115</v>
      </c>
      <c r="J9" s="5" t="s">
        <v>116</v>
      </c>
      <c r="K9"/>
      <c r="L9" s="7" t="s">
        <v>117</v>
      </c>
      <c r="R9" s="1" t="s">
        <v>118</v>
      </c>
    </row>
    <row r="10" spans="1:19" s="3" customFormat="1" ht="15.75" customHeight="1" x14ac:dyDescent="0.3">
      <c r="A10"/>
      <c r="C10"/>
      <c r="D10"/>
      <c r="E10"/>
      <c r="F10"/>
      <c r="G10"/>
      <c r="H10"/>
      <c r="I10" s="7" t="s">
        <v>61</v>
      </c>
      <c r="J10" s="5" t="s">
        <v>119</v>
      </c>
      <c r="K10"/>
      <c r="L10" s="7" t="s">
        <v>120</v>
      </c>
    </row>
    <row r="11" spans="1:19" s="3" customFormat="1" ht="15" customHeight="1" x14ac:dyDescent="0.3">
      <c r="A11"/>
      <c r="C11"/>
      <c r="D11"/>
      <c r="E11"/>
      <c r="F11"/>
      <c r="G11"/>
      <c r="H11"/>
      <c r="I11" s="7" t="s">
        <v>121</v>
      </c>
      <c r="J11" s="5" t="s">
        <v>122</v>
      </c>
      <c r="K11"/>
      <c r="L11" s="7" t="s">
        <v>123</v>
      </c>
    </row>
    <row r="12" spans="1:19" s="3" customFormat="1" ht="15" customHeight="1" x14ac:dyDescent="0.3">
      <c r="A12"/>
      <c r="B12" s="352" t="s">
        <v>8</v>
      </c>
      <c r="C12" s="352" t="s">
        <v>16</v>
      </c>
      <c r="D12" s="352" t="s">
        <v>350</v>
      </c>
      <c r="E12" s="352" t="s">
        <v>351</v>
      </c>
      <c r="F12" s="352" t="s">
        <v>352</v>
      </c>
      <c r="G12" s="352" t="s">
        <v>353</v>
      </c>
      <c r="H12"/>
      <c r="I12" s="7" t="s">
        <v>124</v>
      </c>
      <c r="J12" s="5" t="s">
        <v>125</v>
      </c>
      <c r="K12"/>
      <c r="L12" s="7" t="s">
        <v>126</v>
      </c>
    </row>
    <row r="13" spans="1:19" s="3" customFormat="1" ht="15" customHeight="1" x14ac:dyDescent="0.3">
      <c r="A13"/>
      <c r="B13" s="353" t="s">
        <v>56</v>
      </c>
      <c r="C13" s="353" t="s">
        <v>58</v>
      </c>
      <c r="D13" s="354" t="s">
        <v>336</v>
      </c>
      <c r="E13" s="354" t="s">
        <v>177</v>
      </c>
      <c r="F13" s="354">
        <v>0</v>
      </c>
      <c r="G13" s="354" t="s">
        <v>339</v>
      </c>
      <c r="H13"/>
      <c r="I13" s="7" t="s">
        <v>127</v>
      </c>
      <c r="J13" s="5" t="s">
        <v>128</v>
      </c>
      <c r="K13"/>
      <c r="L13" s="7" t="s">
        <v>129</v>
      </c>
    </row>
    <row r="14" spans="1:19" s="3" customFormat="1" ht="15" customHeight="1" x14ac:dyDescent="0.3">
      <c r="A14"/>
      <c r="B14" s="1" t="s">
        <v>56</v>
      </c>
      <c r="C14" s="353" t="s">
        <v>90</v>
      </c>
      <c r="D14" s="354" t="s">
        <v>345</v>
      </c>
      <c r="E14" s="354" t="s">
        <v>177</v>
      </c>
      <c r="F14" s="354" t="s">
        <v>162</v>
      </c>
      <c r="G14" s="354" t="s">
        <v>339</v>
      </c>
      <c r="H14"/>
      <c r="I14" s="7" t="s">
        <v>130</v>
      </c>
      <c r="J14" s="5" t="s">
        <v>131</v>
      </c>
      <c r="K14"/>
      <c r="L14" s="7" t="s">
        <v>132</v>
      </c>
    </row>
    <row r="15" spans="1:19" s="3" customFormat="1" ht="15" customHeight="1" x14ac:dyDescent="0.3">
      <c r="A15"/>
      <c r="B15" s="1" t="s">
        <v>56</v>
      </c>
      <c r="C15" s="1" t="s">
        <v>90</v>
      </c>
      <c r="D15" s="354" t="s">
        <v>346</v>
      </c>
      <c r="E15" s="354" t="s">
        <v>177</v>
      </c>
      <c r="F15" s="354" t="s">
        <v>169</v>
      </c>
      <c r="G15" s="354" t="s">
        <v>339</v>
      </c>
      <c r="H15"/>
      <c r="J15" s="7" t="s">
        <v>133</v>
      </c>
      <c r="K15"/>
      <c r="L15" s="7" t="s">
        <v>134</v>
      </c>
    </row>
    <row r="16" spans="1:19" s="3" customFormat="1" ht="15" customHeight="1" x14ac:dyDescent="0.3">
      <c r="A16"/>
      <c r="B16" s="1" t="s">
        <v>56</v>
      </c>
      <c r="C16" s="1" t="s">
        <v>90</v>
      </c>
      <c r="D16" s="354" t="s">
        <v>347</v>
      </c>
      <c r="E16" s="354" t="s">
        <v>177</v>
      </c>
      <c r="F16" s="354" t="s">
        <v>166</v>
      </c>
      <c r="G16" s="354" t="s">
        <v>339</v>
      </c>
      <c r="H16"/>
      <c r="I16"/>
      <c r="J16" s="7" t="s">
        <v>135</v>
      </c>
      <c r="K16"/>
      <c r="L16" s="7" t="s">
        <v>136</v>
      </c>
    </row>
    <row r="17" spans="1:12" s="3" customFormat="1" ht="15" customHeight="1" x14ac:dyDescent="0.3">
      <c r="A17"/>
      <c r="B17" s="1" t="s">
        <v>56</v>
      </c>
      <c r="C17" s="1" t="s">
        <v>90</v>
      </c>
      <c r="D17" s="354" t="s">
        <v>348</v>
      </c>
      <c r="E17" s="354" t="s">
        <v>177</v>
      </c>
      <c r="F17" s="354" t="s">
        <v>171</v>
      </c>
      <c r="G17" s="354" t="s">
        <v>339</v>
      </c>
      <c r="H17"/>
      <c r="I17"/>
      <c r="K17"/>
      <c r="L17" s="7" t="s">
        <v>137</v>
      </c>
    </row>
    <row r="18" spans="1:12" s="3" customFormat="1" ht="15" customHeight="1" x14ac:dyDescent="0.3">
      <c r="A18"/>
      <c r="B18" s="353" t="s">
        <v>64</v>
      </c>
      <c r="C18" s="353" t="s">
        <v>58</v>
      </c>
      <c r="D18" s="354" t="s">
        <v>337</v>
      </c>
      <c r="E18" s="354" t="s">
        <v>178</v>
      </c>
      <c r="F18" s="354">
        <v>0</v>
      </c>
      <c r="G18" s="354" t="s">
        <v>339</v>
      </c>
      <c r="H18"/>
      <c r="I18" s="458" t="s">
        <v>377</v>
      </c>
      <c r="J18" s="459"/>
      <c r="K18"/>
      <c r="L18" s="7" t="s">
        <v>138</v>
      </c>
    </row>
    <row r="19" spans="1:12" s="3" customFormat="1" ht="15" customHeight="1" x14ac:dyDescent="0.3">
      <c r="B19" s="1" t="s">
        <v>64</v>
      </c>
      <c r="C19" s="1" t="s">
        <v>90</v>
      </c>
      <c r="D19" s="354" t="s">
        <v>349</v>
      </c>
      <c r="E19" s="354" t="s">
        <v>178</v>
      </c>
      <c r="F19" s="354">
        <v>0</v>
      </c>
      <c r="G19" s="354" t="s">
        <v>339</v>
      </c>
      <c r="H19"/>
      <c r="I19" s="1">
        <v>1</v>
      </c>
      <c r="J19" s="7" t="s">
        <v>78</v>
      </c>
      <c r="K19"/>
      <c r="L19" s="7" t="s">
        <v>139</v>
      </c>
    </row>
    <row r="20" spans="1:12" s="3" customFormat="1" ht="15" customHeight="1" x14ac:dyDescent="0.3">
      <c r="B20" s="1" t="s">
        <v>64</v>
      </c>
      <c r="C20" s="1" t="s">
        <v>90</v>
      </c>
      <c r="D20" s="354" t="s">
        <v>346</v>
      </c>
      <c r="E20" s="354" t="s">
        <v>178</v>
      </c>
      <c r="F20" s="354" t="s">
        <v>169</v>
      </c>
      <c r="G20" s="354" t="s">
        <v>339</v>
      </c>
      <c r="H20"/>
      <c r="I20" s="1">
        <v>2</v>
      </c>
      <c r="J20" s="7" t="s">
        <v>85</v>
      </c>
      <c r="K20"/>
      <c r="L20" s="7" t="s">
        <v>140</v>
      </c>
    </row>
    <row r="21" spans="1:12" s="3" customFormat="1" ht="15" customHeight="1" x14ac:dyDescent="0.3">
      <c r="B21" s="1" t="s">
        <v>64</v>
      </c>
      <c r="C21" s="1" t="s">
        <v>90</v>
      </c>
      <c r="D21" s="354" t="s">
        <v>348</v>
      </c>
      <c r="E21" s="354" t="s">
        <v>178</v>
      </c>
      <c r="F21" s="354" t="s">
        <v>171</v>
      </c>
      <c r="G21" s="354" t="s">
        <v>339</v>
      </c>
      <c r="H21"/>
      <c r="I21" s="1">
        <v>3</v>
      </c>
      <c r="J21" s="7" t="s">
        <v>94</v>
      </c>
      <c r="K21"/>
      <c r="L21" s="7"/>
    </row>
    <row r="22" spans="1:12" s="3" customFormat="1" ht="15" customHeight="1" x14ac:dyDescent="0.3">
      <c r="B22" s="1" t="s">
        <v>64</v>
      </c>
      <c r="C22" s="1" t="s">
        <v>90</v>
      </c>
      <c r="D22" s="354" t="s">
        <v>341</v>
      </c>
      <c r="E22" s="354">
        <v>0</v>
      </c>
      <c r="F22" s="354" t="s">
        <v>169</v>
      </c>
      <c r="G22" s="354" t="s">
        <v>338</v>
      </c>
      <c r="H22"/>
      <c r="I22" s="1">
        <v>4</v>
      </c>
      <c r="J22" s="7" t="s">
        <v>102</v>
      </c>
      <c r="K22"/>
    </row>
    <row r="23" spans="1:12" s="3" customFormat="1" ht="15" customHeight="1" x14ac:dyDescent="0.3">
      <c r="B23" s="1" t="s">
        <v>64</v>
      </c>
      <c r="C23" s="1" t="s">
        <v>90</v>
      </c>
      <c r="D23" s="354" t="s">
        <v>340</v>
      </c>
      <c r="E23" s="354">
        <v>0</v>
      </c>
      <c r="F23" s="354" t="s">
        <v>171</v>
      </c>
      <c r="G23" s="354" t="s">
        <v>338</v>
      </c>
      <c r="I23" s="1">
        <v>5</v>
      </c>
      <c r="J23" s="7" t="s">
        <v>106</v>
      </c>
    </row>
    <row r="24" spans="1:12" s="3" customFormat="1" ht="15.75" customHeight="1" x14ac:dyDescent="0.3">
      <c r="B24" s="353" t="s">
        <v>92</v>
      </c>
      <c r="C24" s="353" t="s">
        <v>90</v>
      </c>
      <c r="D24" s="354" t="s">
        <v>342</v>
      </c>
      <c r="E24" s="354">
        <v>0</v>
      </c>
      <c r="F24" s="354" t="s">
        <v>166</v>
      </c>
      <c r="G24" s="354" t="s">
        <v>338</v>
      </c>
      <c r="I24" s="1">
        <v>6</v>
      </c>
      <c r="J24" s="7" t="s">
        <v>111</v>
      </c>
    </row>
    <row r="25" spans="1:12" s="3" customFormat="1" ht="15.75" customHeight="1" x14ac:dyDescent="0.3">
      <c r="B25" s="1" t="s">
        <v>92</v>
      </c>
      <c r="C25" s="1" t="s">
        <v>90</v>
      </c>
      <c r="D25" s="354" t="s">
        <v>340</v>
      </c>
      <c r="E25" s="354">
        <v>0</v>
      </c>
      <c r="F25" s="354" t="s">
        <v>171</v>
      </c>
      <c r="G25" s="354" t="s">
        <v>338</v>
      </c>
      <c r="I25" s="1">
        <v>7</v>
      </c>
      <c r="J25" s="7" t="s">
        <v>115</v>
      </c>
    </row>
    <row r="26" spans="1:12" s="3" customFormat="1" ht="15.75" customHeight="1" x14ac:dyDescent="0.3">
      <c r="B26" s="353" t="s">
        <v>101</v>
      </c>
      <c r="C26" s="353" t="s">
        <v>90</v>
      </c>
      <c r="D26" s="354" t="s">
        <v>343</v>
      </c>
      <c r="E26" s="354">
        <v>0</v>
      </c>
      <c r="F26" s="354" t="s">
        <v>188</v>
      </c>
      <c r="G26" s="354" t="s">
        <v>339</v>
      </c>
      <c r="I26" s="1">
        <v>8</v>
      </c>
      <c r="J26" s="7" t="s">
        <v>61</v>
      </c>
    </row>
    <row r="27" spans="1:12" ht="15.75" customHeight="1" x14ac:dyDescent="0.3">
      <c r="B27" s="353" t="s">
        <v>105</v>
      </c>
      <c r="C27" s="353" t="s">
        <v>90</v>
      </c>
      <c r="D27" s="354" t="s">
        <v>344</v>
      </c>
      <c r="E27" s="354">
        <v>0</v>
      </c>
      <c r="F27" s="354" t="s">
        <v>193</v>
      </c>
      <c r="G27" s="354" t="s">
        <v>339</v>
      </c>
      <c r="I27" s="1">
        <v>9</v>
      </c>
      <c r="J27" s="7" t="s">
        <v>121</v>
      </c>
    </row>
    <row r="28" spans="1:12" ht="15.75" customHeight="1" x14ac:dyDescent="0.3">
      <c r="I28" s="1">
        <v>10</v>
      </c>
      <c r="J28" s="7" t="s">
        <v>124</v>
      </c>
    </row>
    <row r="29" spans="1:12" ht="15.75" customHeight="1" x14ac:dyDescent="0.3">
      <c r="A29" s="359" t="s">
        <v>354</v>
      </c>
      <c r="I29" s="1">
        <v>11</v>
      </c>
      <c r="J29" s="7" t="s">
        <v>127</v>
      </c>
    </row>
    <row r="30" spans="1:12" ht="15.75" customHeight="1" x14ac:dyDescent="0.3">
      <c r="I30" s="1">
        <v>12</v>
      </c>
      <c r="J30" s="7" t="s">
        <v>130</v>
      </c>
    </row>
    <row r="31" spans="1:12" ht="15.75" customHeight="1" x14ac:dyDescent="0.3"/>
    <row r="32" spans="1:1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 customHeight="1" x14ac:dyDescent="0.3"/>
    <row r="46" ht="15" customHeight="1" x14ac:dyDescent="0.3"/>
    <row r="47" ht="15" customHeight="1" x14ac:dyDescent="0.3"/>
    <row r="48" ht="15" customHeight="1" x14ac:dyDescent="0.3"/>
    <row r="49" ht="15" customHeight="1" x14ac:dyDescent="0.3"/>
    <row r="50" ht="15" customHeight="1" x14ac:dyDescent="0.3"/>
    <row r="51" ht="15" customHeight="1" x14ac:dyDescent="0.3"/>
    <row r="52" ht="15" customHeight="1" x14ac:dyDescent="0.3"/>
    <row r="53" ht="15" customHeight="1" x14ac:dyDescent="0.3"/>
    <row r="54" ht="15" customHeight="1" x14ac:dyDescent="0.3"/>
    <row r="55" ht="15" customHeight="1" x14ac:dyDescent="0.3"/>
    <row r="56" ht="15" customHeight="1" x14ac:dyDescent="0.3"/>
    <row r="57" ht="15" customHeight="1" x14ac:dyDescent="0.3"/>
    <row r="58" ht="15" customHeight="1" x14ac:dyDescent="0.3"/>
    <row r="59" ht="15" customHeight="1" x14ac:dyDescent="0.3"/>
    <row r="60" ht="15" customHeight="1" x14ac:dyDescent="0.3"/>
    <row r="61" ht="15" customHeight="1" x14ac:dyDescent="0.3"/>
    <row r="62" ht="15" customHeight="1" x14ac:dyDescent="0.3"/>
    <row r="63" ht="15" customHeight="1" x14ac:dyDescent="0.3"/>
    <row r="64" ht="15" customHeight="1" x14ac:dyDescent="0.3"/>
    <row r="65" ht="15" customHeight="1" x14ac:dyDescent="0.3"/>
    <row r="66" ht="15" customHeight="1" x14ac:dyDescent="0.3"/>
    <row r="67" ht="15" customHeight="1" x14ac:dyDescent="0.3"/>
    <row r="68" ht="15" customHeight="1" x14ac:dyDescent="0.3"/>
    <row r="69" ht="15" customHeight="1" x14ac:dyDescent="0.3"/>
    <row r="70" ht="15" customHeight="1" x14ac:dyDescent="0.3"/>
    <row r="71" ht="15" customHeight="1" x14ac:dyDescent="0.3"/>
    <row r="72" ht="15" customHeight="1" x14ac:dyDescent="0.3"/>
    <row r="73" ht="15" customHeight="1" x14ac:dyDescent="0.3"/>
    <row r="74" ht="15" customHeight="1" x14ac:dyDescent="0.3"/>
    <row r="75" ht="15" customHeight="1" x14ac:dyDescent="0.3"/>
    <row r="76" ht="15" customHeight="1" x14ac:dyDescent="0.3"/>
    <row r="77" ht="15" customHeight="1" x14ac:dyDescent="0.3"/>
    <row r="78" ht="15" customHeight="1" x14ac:dyDescent="0.3"/>
    <row r="79" ht="15" customHeight="1" x14ac:dyDescent="0.3"/>
    <row r="80" ht="15" customHeight="1" x14ac:dyDescent="0.3"/>
    <row r="81" ht="15" customHeight="1" x14ac:dyDescent="0.3"/>
    <row r="82" ht="15" customHeight="1" x14ac:dyDescent="0.3"/>
    <row r="83" ht="15" customHeight="1" x14ac:dyDescent="0.3"/>
    <row r="84" ht="15" customHeight="1" x14ac:dyDescent="0.3"/>
    <row r="85" ht="15" customHeight="1" x14ac:dyDescent="0.3"/>
    <row r="86" ht="15" customHeight="1" x14ac:dyDescent="0.3"/>
    <row r="87" ht="15" customHeight="1" x14ac:dyDescent="0.3"/>
    <row r="88" ht="15" customHeight="1" x14ac:dyDescent="0.3"/>
    <row r="89" ht="15" customHeight="1" x14ac:dyDescent="0.3"/>
    <row r="90" ht="15" customHeight="1" x14ac:dyDescent="0.3"/>
    <row r="91" ht="15" customHeight="1" x14ac:dyDescent="0.3"/>
    <row r="92" ht="15" customHeight="1" x14ac:dyDescent="0.3"/>
    <row r="93" ht="15" customHeight="1" x14ac:dyDescent="0.3"/>
    <row r="94" ht="15.75" customHeight="1" x14ac:dyDescent="0.3"/>
  </sheetData>
  <sheetProtection algorithmName="SHA-512" hashValue="RQjxIzvrqJUCgUY9+DOA4fK5maupQR23XOcko/a8cyx9YBINsU5BPO88nX6GCl1PlgYelzNBOFHs2HBo44qtWg==" saltValue="N3hdJrk12gRtd4McGYAozA==" spinCount="100000" sheet="1" objects="1" scenarios="1"/>
  <phoneticPr fontId="4"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2E400-5A6A-450F-9D27-A07C8870479E}">
  <sheetPr codeName="Sheet1">
    <tabColor rgb="FFC00000"/>
  </sheetPr>
  <dimension ref="A1:Z71"/>
  <sheetViews>
    <sheetView zoomScale="90" zoomScaleNormal="90" workbookViewId="0">
      <selection activeCell="C3" sqref="C3:J3"/>
    </sheetView>
  </sheetViews>
  <sheetFormatPr defaultColWidth="0" defaultRowHeight="25.2" customHeight="1" zeroHeight="1" x14ac:dyDescent="0.3"/>
  <cols>
    <col min="1" max="1" width="5.6640625" style="9" customWidth="1"/>
    <col min="2" max="2" width="2.6640625" style="9" customWidth="1"/>
    <col min="3" max="3" width="5.33203125" style="10" customWidth="1"/>
    <col min="4" max="4" width="40.6640625" style="9" customWidth="1"/>
    <col min="5" max="6" width="30.6640625" style="9" customWidth="1"/>
    <col min="7" max="7" width="30.5546875" style="9" customWidth="1"/>
    <col min="8" max="8" width="13.6640625" style="9" bestFit="1" customWidth="1"/>
    <col min="9" max="9" width="17.88671875" style="9" bestFit="1" customWidth="1"/>
    <col min="10" max="10" width="20.6640625" style="9" customWidth="1"/>
    <col min="11" max="11" width="2.6640625" style="9" customWidth="1"/>
    <col min="12" max="12" width="5.6640625" style="9" customWidth="1"/>
    <col min="13" max="13" width="14.6640625" style="9" hidden="1" customWidth="1"/>
    <col min="14" max="14" width="11.44140625" style="9" hidden="1" customWidth="1"/>
    <col min="15" max="16" width="12.6640625" style="9" hidden="1" customWidth="1"/>
    <col min="17" max="18" width="8.6640625" style="9" hidden="1" customWidth="1"/>
    <col min="19" max="19" width="28.44140625" style="9" hidden="1" customWidth="1"/>
    <col min="20" max="20" width="14.6640625" style="9" hidden="1" customWidth="1"/>
    <col min="21" max="21" width="31.109375" style="9" hidden="1" customWidth="1"/>
    <col min="22" max="22" width="15.44140625" style="9" hidden="1" customWidth="1"/>
    <col min="23" max="23" width="8.6640625" style="9" hidden="1" customWidth="1"/>
    <col min="24" max="24" width="24.44140625" style="9" hidden="1" customWidth="1"/>
    <col min="25" max="25" width="14.109375" style="9" hidden="1" customWidth="1"/>
    <col min="26" max="26" width="11.6640625" style="9" hidden="1" customWidth="1"/>
    <col min="27" max="16384" width="8.6640625" style="9" hidden="1"/>
  </cols>
  <sheetData>
    <row r="1" spans="2:11" ht="25.2" customHeight="1" thickBot="1" x14ac:dyDescent="0.35"/>
    <row r="2" spans="2:11" ht="25.2" customHeight="1" thickBot="1" x14ac:dyDescent="0.35">
      <c r="B2" s="61"/>
      <c r="C2" s="62"/>
      <c r="D2" s="34"/>
      <c r="E2" s="34"/>
      <c r="F2" s="34"/>
      <c r="G2" s="34"/>
      <c r="H2" s="34"/>
      <c r="I2" s="34"/>
      <c r="J2" s="34"/>
      <c r="K2" s="63"/>
    </row>
    <row r="3" spans="2:11" ht="45" customHeight="1" thickBot="1" x14ac:dyDescent="0.35">
      <c r="B3" s="52"/>
      <c r="C3" s="542" t="s">
        <v>268</v>
      </c>
      <c r="D3" s="543"/>
      <c r="E3" s="543"/>
      <c r="F3" s="543"/>
      <c r="G3" s="543"/>
      <c r="H3" s="543"/>
      <c r="I3" s="543"/>
      <c r="J3" s="544"/>
      <c r="K3" s="51"/>
    </row>
    <row r="4" spans="2:11" ht="25.2" customHeight="1" thickBot="1" x14ac:dyDescent="0.35">
      <c r="B4" s="52"/>
      <c r="K4" s="51"/>
    </row>
    <row r="5" spans="2:11" ht="25.2" customHeight="1" thickBot="1" x14ac:dyDescent="0.35">
      <c r="B5" s="52"/>
      <c r="C5" s="71"/>
      <c r="D5" s="545" t="s">
        <v>141</v>
      </c>
      <c r="E5" s="545"/>
      <c r="F5" s="545"/>
      <c r="G5" s="545"/>
      <c r="H5" s="545"/>
      <c r="I5" s="545"/>
      <c r="J5" s="546"/>
      <c r="K5" s="51"/>
    </row>
    <row r="6" spans="2:11" ht="25.2" customHeight="1" x14ac:dyDescent="0.3">
      <c r="B6" s="52"/>
      <c r="C6" s="55">
        <v>1</v>
      </c>
      <c r="D6" s="346" t="s">
        <v>325</v>
      </c>
      <c r="E6" s="10"/>
      <c r="F6" s="10"/>
      <c r="G6" s="10"/>
      <c r="H6" s="550" t="e" vm="3">
        <v>#VALUE!</v>
      </c>
      <c r="I6" s="550"/>
      <c r="J6" s="551"/>
      <c r="K6" s="51"/>
    </row>
    <row r="7" spans="2:11" ht="30" customHeight="1" x14ac:dyDescent="0.3">
      <c r="B7" s="52"/>
      <c r="C7" s="55">
        <v>2</v>
      </c>
      <c r="D7" s="366" t="s">
        <v>326</v>
      </c>
      <c r="E7" s="367" t="s">
        <v>362</v>
      </c>
      <c r="F7" s="367" t="s">
        <v>363</v>
      </c>
      <c r="G7" s="367" t="s">
        <v>8</v>
      </c>
      <c r="H7" s="552"/>
      <c r="I7" s="552"/>
      <c r="J7" s="553"/>
      <c r="K7" s="51"/>
    </row>
    <row r="8" spans="2:11" ht="30" customHeight="1" x14ac:dyDescent="0.3">
      <c r="B8" s="52"/>
      <c r="C8" s="55"/>
      <c r="D8" s="347" t="s">
        <v>327</v>
      </c>
      <c r="E8" s="364">
        <v>50000</v>
      </c>
      <c r="F8" s="364">
        <v>500000</v>
      </c>
      <c r="G8" s="348" t="s">
        <v>328</v>
      </c>
      <c r="H8" s="552"/>
      <c r="I8" s="552"/>
      <c r="J8" s="553"/>
      <c r="K8" s="51"/>
    </row>
    <row r="9" spans="2:11" ht="30" customHeight="1" x14ac:dyDescent="0.3">
      <c r="B9" s="52"/>
      <c r="C9" s="55"/>
      <c r="D9" s="547" t="s">
        <v>329</v>
      </c>
      <c r="E9" s="365">
        <v>10000</v>
      </c>
      <c r="F9" s="365">
        <v>150000</v>
      </c>
      <c r="G9" s="350" t="s">
        <v>56</v>
      </c>
      <c r="J9" s="51"/>
      <c r="K9" s="51"/>
    </row>
    <row r="10" spans="2:11" ht="30" customHeight="1" x14ac:dyDescent="0.3">
      <c r="B10" s="52"/>
      <c r="C10" s="55"/>
      <c r="D10" s="548"/>
      <c r="E10" s="554" t="s">
        <v>359</v>
      </c>
      <c r="F10" s="555"/>
      <c r="G10" s="350" t="s">
        <v>64</v>
      </c>
      <c r="J10" s="51"/>
      <c r="K10" s="51"/>
    </row>
    <row r="11" spans="2:11" ht="47.4" customHeight="1" x14ac:dyDescent="0.3">
      <c r="B11" s="52"/>
      <c r="C11" s="55"/>
      <c r="D11" s="548"/>
      <c r="E11" s="556" t="s">
        <v>360</v>
      </c>
      <c r="F11" s="557"/>
      <c r="G11" s="350" t="s">
        <v>388</v>
      </c>
      <c r="J11" s="51"/>
      <c r="K11" s="51"/>
    </row>
    <row r="12" spans="2:11" ht="46.2" customHeight="1" x14ac:dyDescent="0.3">
      <c r="B12" s="52"/>
      <c r="C12" s="55"/>
      <c r="D12" s="548"/>
      <c r="E12" s="556" t="s">
        <v>361</v>
      </c>
      <c r="F12" s="557"/>
      <c r="G12" s="350" t="s">
        <v>389</v>
      </c>
      <c r="J12" s="51"/>
      <c r="K12" s="51"/>
    </row>
    <row r="13" spans="2:11" ht="43.2" customHeight="1" x14ac:dyDescent="0.3">
      <c r="B13" s="52"/>
      <c r="C13" s="55"/>
      <c r="D13" s="548"/>
      <c r="E13" s="556" t="s">
        <v>387</v>
      </c>
      <c r="F13" s="557"/>
      <c r="G13" s="350" t="s">
        <v>390</v>
      </c>
      <c r="J13" s="51"/>
      <c r="K13" s="51"/>
    </row>
    <row r="14" spans="2:11" ht="43.2" customHeight="1" x14ac:dyDescent="0.3">
      <c r="B14" s="52"/>
      <c r="C14" s="55"/>
      <c r="D14" s="548"/>
      <c r="E14" s="365">
        <v>10000</v>
      </c>
      <c r="F14" s="368" t="s">
        <v>381</v>
      </c>
      <c r="G14" s="350" t="s">
        <v>391</v>
      </c>
      <c r="J14" s="51"/>
      <c r="K14" s="51"/>
    </row>
    <row r="15" spans="2:11" ht="30" customHeight="1" x14ac:dyDescent="0.3">
      <c r="B15" s="52"/>
      <c r="C15" s="55"/>
      <c r="D15" s="549"/>
      <c r="E15" s="558">
        <v>12500</v>
      </c>
      <c r="F15" s="559"/>
      <c r="G15" s="349" t="s">
        <v>330</v>
      </c>
      <c r="J15" s="51"/>
      <c r="K15" s="51"/>
    </row>
    <row r="16" spans="2:11" ht="25.2" customHeight="1" x14ac:dyDescent="0.3">
      <c r="B16" s="52"/>
      <c r="C16" s="55">
        <v>3</v>
      </c>
      <c r="D16" s="346" t="s">
        <v>364</v>
      </c>
      <c r="E16" s="10"/>
      <c r="F16" s="10"/>
      <c r="G16" s="10"/>
      <c r="J16" s="51"/>
      <c r="K16" s="51"/>
    </row>
    <row r="17" spans="2:25" ht="25.2" customHeight="1" x14ac:dyDescent="0.3">
      <c r="B17" s="52"/>
      <c r="C17" s="55">
        <v>4</v>
      </c>
      <c r="D17" s="346" t="s">
        <v>365</v>
      </c>
      <c r="E17" s="10"/>
      <c r="F17" s="10"/>
      <c r="G17" s="10"/>
      <c r="J17" s="51"/>
      <c r="K17" s="51"/>
    </row>
    <row r="18" spans="2:25" ht="25.2" customHeight="1" thickBot="1" x14ac:dyDescent="0.35">
      <c r="B18" s="52"/>
      <c r="C18" s="55">
        <v>5</v>
      </c>
      <c r="D18" s="346" t="s">
        <v>386</v>
      </c>
      <c r="E18" s="10"/>
      <c r="F18" s="10"/>
      <c r="G18" s="10"/>
      <c r="J18" s="51"/>
      <c r="K18" s="51"/>
    </row>
    <row r="19" spans="2:25" ht="25.2" customHeight="1" thickBot="1" x14ac:dyDescent="0.35">
      <c r="B19" s="52"/>
      <c r="C19" s="55">
        <v>6</v>
      </c>
      <c r="D19" s="539" t="s">
        <v>270</v>
      </c>
      <c r="E19" s="59" t="s">
        <v>269</v>
      </c>
      <c r="F19" s="49" t="s">
        <v>273</v>
      </c>
      <c r="J19" s="105"/>
      <c r="K19" s="51"/>
    </row>
    <row r="20" spans="2:25" ht="25.2" customHeight="1" thickBot="1" x14ac:dyDescent="0.35">
      <c r="B20" s="52"/>
      <c r="C20" s="55"/>
      <c r="D20" s="540"/>
      <c r="E20" s="341" t="s">
        <v>324</v>
      </c>
      <c r="F20" s="49"/>
      <c r="J20" s="105"/>
      <c r="K20" s="51"/>
    </row>
    <row r="21" spans="2:25" ht="25.2" customHeight="1" thickBot="1" x14ac:dyDescent="0.35">
      <c r="B21" s="52"/>
      <c r="C21" s="56"/>
      <c r="D21" s="540"/>
      <c r="E21" s="60" t="s">
        <v>142</v>
      </c>
      <c r="F21" s="10"/>
      <c r="G21" s="10"/>
      <c r="H21" s="10"/>
      <c r="J21" s="105"/>
      <c r="K21" s="51"/>
    </row>
    <row r="22" spans="2:25" ht="25.2" customHeight="1" thickBot="1" x14ac:dyDescent="0.35">
      <c r="B22" s="52"/>
      <c r="C22" s="56"/>
      <c r="D22" s="541"/>
      <c r="E22" s="11" t="s">
        <v>271</v>
      </c>
      <c r="F22" s="10"/>
      <c r="G22" s="10"/>
      <c r="H22" s="10"/>
      <c r="J22" s="105"/>
      <c r="K22" s="51"/>
    </row>
    <row r="23" spans="2:25" ht="25.2" customHeight="1" thickBot="1" x14ac:dyDescent="0.35">
      <c r="B23" s="52"/>
      <c r="C23" s="57"/>
      <c r="D23" s="54"/>
      <c r="E23" s="50"/>
      <c r="F23" s="50"/>
      <c r="G23" s="50"/>
      <c r="H23" s="50"/>
      <c r="I23" s="35"/>
      <c r="J23" s="106"/>
      <c r="K23" s="51"/>
      <c r="M23" s="12"/>
      <c r="N23" s="13"/>
      <c r="O23" s="13"/>
      <c r="P23" s="13"/>
      <c r="Q23" s="14"/>
      <c r="R23" s="13"/>
      <c r="S23" s="13"/>
      <c r="T23" s="13"/>
      <c r="U23" s="13"/>
      <c r="V23" s="13"/>
      <c r="W23" s="14"/>
    </row>
    <row r="24" spans="2:25" ht="25.2" customHeight="1" thickBot="1" x14ac:dyDescent="0.35">
      <c r="B24" s="52"/>
      <c r="K24" s="51"/>
      <c r="M24" s="41" t="s">
        <v>274</v>
      </c>
      <c r="N24" s="16"/>
      <c r="O24" s="16"/>
      <c r="P24" s="16"/>
      <c r="Q24" s="17"/>
      <c r="R24" s="16"/>
      <c r="S24" s="40" t="s">
        <v>143</v>
      </c>
      <c r="T24" s="16"/>
      <c r="U24" s="16"/>
      <c r="V24" s="16"/>
      <c r="W24" s="17"/>
      <c r="Y24" s="90"/>
    </row>
    <row r="25" spans="2:25" ht="25.2" customHeight="1" thickBot="1" x14ac:dyDescent="0.35">
      <c r="B25" s="52"/>
      <c r="D25" s="48" t="s">
        <v>144</v>
      </c>
      <c r="K25" s="51"/>
      <c r="M25" s="15"/>
      <c r="N25" s="16"/>
      <c r="O25" s="16"/>
      <c r="P25" s="16"/>
      <c r="Q25" s="39"/>
      <c r="R25" s="16"/>
      <c r="S25" s="16"/>
      <c r="T25" s="16"/>
      <c r="U25" s="16" t="s">
        <v>145</v>
      </c>
      <c r="V25" s="16"/>
      <c r="W25" s="17"/>
    </row>
    <row r="26" spans="2:25" ht="25.2" customHeight="1" thickBot="1" x14ac:dyDescent="0.35">
      <c r="B26" s="52"/>
      <c r="D26" s="95"/>
      <c r="K26" s="51"/>
      <c r="M26" s="15"/>
      <c r="N26" s="16"/>
      <c r="O26" s="16"/>
      <c r="P26" s="16"/>
      <c r="Q26" s="17"/>
      <c r="R26" s="16"/>
      <c r="S26" s="18" t="s">
        <v>146</v>
      </c>
      <c r="T26" s="16"/>
      <c r="U26" s="19" t="s">
        <v>147</v>
      </c>
      <c r="V26" s="122">
        <f>IF(E31=S31,T31,IF(E31=S32,T32,IF(E31=S33,T33,IF(E31=S34,T34,IF(E31=S35,T35)))))</f>
        <v>0</v>
      </c>
      <c r="W26" s="17"/>
    </row>
    <row r="27" spans="2:25" ht="25.2" customHeight="1" thickBot="1" x14ac:dyDescent="0.35">
      <c r="B27" s="52"/>
      <c r="D27" s="65"/>
      <c r="K27" s="51"/>
      <c r="M27" s="15"/>
      <c r="N27" s="16"/>
      <c r="O27" s="16"/>
      <c r="P27" s="16"/>
      <c r="Q27" s="17"/>
      <c r="R27" s="16"/>
      <c r="S27" s="20" t="s">
        <v>148</v>
      </c>
      <c r="T27" s="16"/>
      <c r="U27" s="21" t="s">
        <v>149</v>
      </c>
      <c r="V27" s="123" t="str">
        <f>INDEX($S$53:$U$60,MATCH(E33,$S$53:$S$60,0),2)</f>
        <v>No waiver</v>
      </c>
      <c r="W27" s="17"/>
    </row>
    <row r="28" spans="2:25" ht="25.2" customHeight="1" thickBot="1" x14ac:dyDescent="0.35">
      <c r="B28" s="52"/>
      <c r="D28" s="43" t="s">
        <v>150</v>
      </c>
      <c r="K28" s="51"/>
      <c r="M28" s="15"/>
      <c r="N28" s="16"/>
      <c r="O28" s="16"/>
      <c r="P28" s="16"/>
      <c r="Q28" s="17"/>
      <c r="R28" s="16"/>
      <c r="S28" s="22" t="s">
        <v>151</v>
      </c>
      <c r="T28" s="16"/>
      <c r="U28" s="16"/>
      <c r="V28" s="16"/>
      <c r="W28" s="17"/>
    </row>
    <row r="29" spans="2:25" ht="25.2" customHeight="1" thickBot="1" x14ac:dyDescent="0.35">
      <c r="B29" s="52"/>
      <c r="D29" s="23" t="s">
        <v>152</v>
      </c>
      <c r="E29" s="342" t="s">
        <v>183</v>
      </c>
      <c r="K29" s="51"/>
      <c r="M29" s="15"/>
      <c r="N29" s="16"/>
      <c r="O29" s="16"/>
      <c r="P29" s="16"/>
      <c r="Q29" s="17"/>
      <c r="R29" s="16"/>
      <c r="S29" s="16"/>
      <c r="T29" s="16"/>
      <c r="U29" s="16"/>
      <c r="V29" s="16"/>
      <c r="W29" s="17"/>
    </row>
    <row r="30" spans="2:25" ht="25.2" customHeight="1" x14ac:dyDescent="0.3">
      <c r="B30" s="52"/>
      <c r="D30" s="24" t="s">
        <v>156</v>
      </c>
      <c r="E30" s="343" t="s">
        <v>148</v>
      </c>
      <c r="K30" s="51"/>
      <c r="M30" s="15"/>
      <c r="N30" s="16"/>
      <c r="O30" s="16"/>
      <c r="P30" s="16"/>
      <c r="Q30" s="17"/>
      <c r="R30" s="16"/>
      <c r="S30" s="19" t="s">
        <v>158</v>
      </c>
      <c r="T30" s="25" t="s">
        <v>159</v>
      </c>
      <c r="U30" s="16"/>
      <c r="V30" s="16"/>
      <c r="W30" s="17"/>
    </row>
    <row r="31" spans="2:25" ht="25.2" customHeight="1" x14ac:dyDescent="0.3">
      <c r="B31" s="52"/>
      <c r="D31" s="107" t="s">
        <v>160</v>
      </c>
      <c r="E31" s="343" t="s">
        <v>65</v>
      </c>
      <c r="G31" s="64"/>
      <c r="K31" s="51"/>
      <c r="M31" s="15"/>
      <c r="N31" s="16"/>
      <c r="O31" s="16"/>
      <c r="P31" s="16"/>
      <c r="Q31" s="17"/>
      <c r="R31" s="16"/>
      <c r="S31" s="26" t="s">
        <v>161</v>
      </c>
      <c r="T31" s="27" t="s">
        <v>162</v>
      </c>
      <c r="U31" s="16"/>
      <c r="V31" s="16"/>
      <c r="W31" s="17"/>
    </row>
    <row r="32" spans="2:25" ht="25.2" customHeight="1" x14ac:dyDescent="0.3">
      <c r="B32" s="52"/>
      <c r="D32" s="24" t="s">
        <v>163</v>
      </c>
      <c r="E32" s="344" t="s">
        <v>65</v>
      </c>
      <c r="K32" s="51"/>
      <c r="M32" s="15"/>
      <c r="N32" s="16"/>
      <c r="O32" s="16"/>
      <c r="P32" s="16"/>
      <c r="Q32" s="17"/>
      <c r="R32" s="16"/>
      <c r="S32" s="26" t="s">
        <v>165</v>
      </c>
      <c r="T32" s="27" t="s">
        <v>166</v>
      </c>
      <c r="U32" s="16"/>
      <c r="V32" s="16"/>
      <c r="W32" s="17"/>
    </row>
    <row r="33" spans="2:23" ht="25.2" customHeight="1" thickBot="1" x14ac:dyDescent="0.35">
      <c r="B33" s="52"/>
      <c r="D33" s="28" t="s">
        <v>167</v>
      </c>
      <c r="E33" s="345" t="s">
        <v>65</v>
      </c>
      <c r="F33" s="64"/>
      <c r="K33" s="51"/>
      <c r="M33" s="15"/>
      <c r="N33" s="16"/>
      <c r="O33" s="16"/>
      <c r="P33" s="16"/>
      <c r="Q33" s="17"/>
      <c r="R33" s="16"/>
      <c r="S33" s="26" t="s">
        <v>168</v>
      </c>
      <c r="T33" s="27" t="s">
        <v>169</v>
      </c>
      <c r="U33" s="16"/>
      <c r="V33" s="16"/>
      <c r="W33" s="17"/>
    </row>
    <row r="34" spans="2:23" ht="25.2" customHeight="1" thickBot="1" x14ac:dyDescent="0.35">
      <c r="B34" s="52"/>
      <c r="K34" s="51"/>
      <c r="M34" s="15"/>
      <c r="N34" s="16"/>
      <c r="O34" s="16"/>
      <c r="P34" s="16"/>
      <c r="Q34" s="17"/>
      <c r="R34" s="16"/>
      <c r="S34" s="26" t="s">
        <v>170</v>
      </c>
      <c r="T34" s="27" t="s">
        <v>171</v>
      </c>
      <c r="U34" s="16"/>
      <c r="V34" s="16"/>
      <c r="W34" s="17"/>
    </row>
    <row r="35" spans="2:23" ht="25.2" customHeight="1" thickBot="1" x14ac:dyDescent="0.35">
      <c r="B35" s="52"/>
      <c r="D35" s="23" t="s">
        <v>154</v>
      </c>
      <c r="E35" s="342" t="s">
        <v>186</v>
      </c>
      <c r="K35" s="51"/>
      <c r="M35" s="15"/>
      <c r="N35" s="16"/>
      <c r="O35" s="16"/>
      <c r="P35" s="16"/>
      <c r="Q35" s="17"/>
      <c r="R35" s="16"/>
      <c r="S35" s="21" t="s">
        <v>65</v>
      </c>
      <c r="T35" s="29"/>
      <c r="U35" s="16"/>
      <c r="V35" s="16"/>
      <c r="W35" s="17"/>
    </row>
    <row r="36" spans="2:23" ht="25.2" customHeight="1" thickBot="1" x14ac:dyDescent="0.35">
      <c r="B36" s="52"/>
      <c r="D36" s="30" t="s">
        <v>157</v>
      </c>
      <c r="E36" s="345" t="s">
        <v>84</v>
      </c>
      <c r="F36" s="49" t="str">
        <f>IF(E36="Yes","Please refer to 'Important Quoting Notes' above","")</f>
        <v/>
      </c>
      <c r="K36" s="51"/>
      <c r="M36" s="15"/>
      <c r="N36" s="16"/>
      <c r="O36" s="16"/>
      <c r="P36" s="16"/>
      <c r="Q36" s="17"/>
      <c r="R36" s="16"/>
      <c r="S36" s="16"/>
      <c r="T36" s="16"/>
      <c r="U36" s="16"/>
      <c r="V36" s="16"/>
      <c r="W36" s="17"/>
    </row>
    <row r="37" spans="2:23" ht="25.2" customHeight="1" thickBot="1" x14ac:dyDescent="0.35">
      <c r="B37" s="52"/>
      <c r="K37" s="51"/>
      <c r="M37" s="15"/>
      <c r="N37" s="16"/>
      <c r="O37" s="16"/>
      <c r="P37" s="16"/>
      <c r="Q37" s="17"/>
      <c r="R37" s="16"/>
      <c r="S37" s="18" t="s">
        <v>179</v>
      </c>
      <c r="T37" s="16"/>
      <c r="U37" s="18" t="s">
        <v>180</v>
      </c>
      <c r="V37" s="16"/>
      <c r="W37" s="17"/>
    </row>
    <row r="38" spans="2:23" ht="27" thickBot="1" x14ac:dyDescent="0.35">
      <c r="B38" s="52"/>
      <c r="D38" s="46" t="s">
        <v>172</v>
      </c>
      <c r="E38" s="45" t="s">
        <v>173</v>
      </c>
      <c r="F38" s="45" t="s">
        <v>331</v>
      </c>
      <c r="G38" s="45" t="s">
        <v>332</v>
      </c>
      <c r="H38" s="45" t="s">
        <v>176</v>
      </c>
      <c r="I38" s="45" t="s">
        <v>263</v>
      </c>
      <c r="J38" s="47" t="s">
        <v>267</v>
      </c>
      <c r="K38" s="51"/>
      <c r="M38" s="26" t="s">
        <v>174</v>
      </c>
      <c r="N38" s="36" t="s">
        <v>175</v>
      </c>
      <c r="O38" s="36" t="s">
        <v>164</v>
      </c>
      <c r="P38" s="114" t="s">
        <v>275</v>
      </c>
      <c r="Q38" s="17"/>
      <c r="R38" s="16"/>
      <c r="S38" s="20" t="s">
        <v>65</v>
      </c>
      <c r="T38" s="16"/>
      <c r="U38" s="20" t="s">
        <v>153</v>
      </c>
      <c r="V38" s="16"/>
      <c r="W38" s="17"/>
    </row>
    <row r="39" spans="2:23" ht="25.2" customHeight="1" thickBot="1" x14ac:dyDescent="0.35">
      <c r="B39" s="52"/>
      <c r="D39" s="96" t="s">
        <v>148</v>
      </c>
      <c r="E39" s="102"/>
      <c r="F39" s="98">
        <f>IF((IF(E39="",-1,DATEDIF(E39,$D$26,"Y"))+1)&gt;76,"Max age",IF(E39="",-1,DATEDIF(E39,$D$26,"Y"))+1)</f>
        <v>0</v>
      </c>
      <c r="G39" s="88"/>
      <c r="H39" s="75">
        <f ca="1">IFERROR(VLOOKUP(M39,INDIRECT(N39),O39,FALSE),0)</f>
        <v>0</v>
      </c>
      <c r="I39" s="94">
        <f ca="1">IFERROR(VLOOKUP(M39,INDIRECT(N39),$O$39+1,FALSE),0)</f>
        <v>0</v>
      </c>
      <c r="J39" s="82">
        <f ca="1">IFERROR(H39+G39/1000*I39,0)</f>
        <v>0</v>
      </c>
      <c r="K39" s="51"/>
      <c r="M39" s="37" t="str">
        <f>IF(F39=0,"",IF(F39&lt;26,25,IF('Quotation Tool'!F39&lt;36,35,IF('Quotation Tool'!F39&lt;46,45,IF('Quotation Tool'!F39&lt;51,50,IF('Quotation Tool'!F39&lt;56,55,IF('Quotation Tool'!F39&lt;61,60,IF('Quotation Tool'!F39&lt;66,65,IF('Quotation Tool'!F39&lt;71,70,IF('Quotation Tool'!F39&lt;76,75))))))))))</f>
        <v/>
      </c>
      <c r="N39" s="117" t="s">
        <v>177</v>
      </c>
      <c r="O39" s="121">
        <f>INDEX($S$53:$V$60,MATCH(E33,$S$53:$S$60,0),4)</f>
        <v>2</v>
      </c>
      <c r="P39" s="115" t="str">
        <f>IF(G39&gt;450000,"False","True")</f>
        <v>True</v>
      </c>
      <c r="Q39" s="17"/>
      <c r="R39" s="16"/>
      <c r="S39" s="20" t="s">
        <v>60</v>
      </c>
      <c r="T39" s="16"/>
      <c r="U39" s="22" t="s">
        <v>183</v>
      </c>
      <c r="V39" s="16"/>
      <c r="W39" s="17"/>
    </row>
    <row r="40" spans="2:23" ht="25.2" customHeight="1" thickBot="1" x14ac:dyDescent="0.35">
      <c r="B40" s="52"/>
      <c r="D40" s="97" t="s">
        <v>64</v>
      </c>
      <c r="E40" s="101"/>
      <c r="F40" s="99">
        <f>IF((IF(E40="",-1,DATEDIF(E40,$D$26,"Y"))+1)&gt;76,"Max age",IF(E40="",-1,DATEDIF(E40,$D$26,"Y"))+1)</f>
        <v>0</v>
      </c>
      <c r="G40" s="89"/>
      <c r="H40" s="76">
        <f ca="1">IFERROR(VLOOKUP(M40,INDIRECT(N40),O40,FALSE),0)</f>
        <v>0</v>
      </c>
      <c r="I40" s="92">
        <f ca="1">IFERROR(VLOOKUP(M40,INDIRECT(N40),O39+1,FALSE),0)</f>
        <v>0</v>
      </c>
      <c r="J40" s="83">
        <f>IF(E30="Main member and Spouse",IFERROR(H40+G40/1000*I40,0),0)</f>
        <v>0</v>
      </c>
      <c r="K40" s="51"/>
      <c r="M40" s="37" t="str">
        <f>IF(F40=0,"",IF(F40&lt;26,25,IF('Quotation Tool'!F40&lt;36,35,IF('Quotation Tool'!F40&lt;46,45,IF('Quotation Tool'!F40&lt;51,50,IF('Quotation Tool'!F40&lt;56,55,IF('Quotation Tool'!F40&lt;61,60,IF('Quotation Tool'!F40&lt;66,65,IF('Quotation Tool'!F40&lt;71,70,IF('Quotation Tool'!F40&lt;76,75))))))))))</f>
        <v/>
      </c>
      <c r="N40" s="117" t="s">
        <v>178</v>
      </c>
      <c r="O40" s="121">
        <f>O39</f>
        <v>2</v>
      </c>
      <c r="P40" s="115" t="str">
        <f>IF(G40&gt;G39,"False","True")</f>
        <v>True</v>
      </c>
      <c r="Q40" s="17"/>
      <c r="R40" s="16"/>
      <c r="S40" s="20" t="s">
        <v>100</v>
      </c>
      <c r="T40" s="16"/>
      <c r="U40" s="16"/>
      <c r="V40" s="16"/>
      <c r="W40" s="17"/>
    </row>
    <row r="41" spans="2:23" ht="25.2" customHeight="1" thickBot="1" x14ac:dyDescent="0.35">
      <c r="B41" s="52"/>
      <c r="D41" s="69" t="str">
        <f>IF(E31="None","No Funeral rider benefit selected","")</f>
        <v>No Funeral rider benefit selected</v>
      </c>
      <c r="E41" s="69"/>
      <c r="F41" s="69"/>
      <c r="G41" s="69"/>
      <c r="H41" s="69"/>
      <c r="I41" s="69"/>
      <c r="J41" s="69"/>
      <c r="K41" s="70"/>
      <c r="L41" s="68"/>
      <c r="M41" s="15"/>
      <c r="N41" s="16"/>
      <c r="O41" s="16"/>
      <c r="P41" s="16"/>
      <c r="Q41" s="17"/>
      <c r="R41" s="16"/>
      <c r="S41" s="20" t="s">
        <v>104</v>
      </c>
      <c r="T41" s="16"/>
      <c r="U41" s="18" t="s">
        <v>184</v>
      </c>
      <c r="V41" s="16"/>
      <c r="W41" s="17"/>
    </row>
    <row r="42" spans="2:23" ht="27" thickBot="1" x14ac:dyDescent="0.35">
      <c r="B42" s="52"/>
      <c r="D42" s="46" t="s">
        <v>181</v>
      </c>
      <c r="E42" s="45" t="s">
        <v>173</v>
      </c>
      <c r="F42" s="45" t="s">
        <v>333</v>
      </c>
      <c r="G42" s="45" t="s">
        <v>332</v>
      </c>
      <c r="H42" s="45" t="s">
        <v>176</v>
      </c>
      <c r="I42" s="45" t="s">
        <v>263</v>
      </c>
      <c r="J42" s="47" t="s">
        <v>267</v>
      </c>
      <c r="K42" s="51"/>
      <c r="M42" s="26" t="s">
        <v>174</v>
      </c>
      <c r="N42" s="36" t="s">
        <v>182</v>
      </c>
      <c r="O42" s="36" t="s">
        <v>164</v>
      </c>
      <c r="P42" s="16"/>
      <c r="Q42" s="17"/>
      <c r="R42" s="16"/>
      <c r="S42" s="20" t="s">
        <v>110</v>
      </c>
      <c r="T42" s="16"/>
      <c r="U42" s="20" t="s">
        <v>155</v>
      </c>
      <c r="V42" s="16"/>
      <c r="W42" s="17"/>
    </row>
    <row r="43" spans="2:23" ht="25.2" customHeight="1" thickBot="1" x14ac:dyDescent="0.35">
      <c r="B43" s="52"/>
      <c r="D43" s="104" t="str">
        <f>E31</f>
        <v>None</v>
      </c>
      <c r="E43" s="103" t="str">
        <f>IF(OR(D43="None",E39=""),"",E39)</f>
        <v/>
      </c>
      <c r="F43" s="74">
        <f>IF((IF(E43="",-1,DATEDIF(E43,$D$26,"Y"))+1)&gt;76,"Max age",IF(E43="",-1,DATEDIF(E43,$D$26,"Y"))+1)</f>
        <v>0</v>
      </c>
      <c r="G43" s="87"/>
      <c r="H43" s="455" cm="1">
        <f t="array" aca="1" ref="H43" ca="1">IFERROR(IF(E31="None",0,INDEX(INDIRECT(N43), MATCH(M43, INDEX(INDIRECT(N43), 0, 1), 0), O43)),0)</f>
        <v>0</v>
      </c>
      <c r="I43" s="93" cm="1">
        <f t="array" aca="1" ref="I43" ca="1">IF(E31="None",0,INDEX(INDIRECT(N43), MATCH(M43, INDEX(INDIRECT(N43), 0, 1), 0), O43+1))</f>
        <v>0</v>
      </c>
      <c r="J43" s="81">
        <f ca="1">IFERROR(H43+G43/1000*I43,0)</f>
        <v>0</v>
      </c>
      <c r="K43" s="51"/>
      <c r="M43" s="37" t="str">
        <f>IF(F43=0,"",IF(F43&lt;26,25,IF('Quotation Tool'!F43&lt;36,35,IF('Quotation Tool'!F43&lt;46,45,IF('Quotation Tool'!F43&lt;51,50,IF('Quotation Tool'!F43&lt;56,55,IF('Quotation Tool'!F43&lt;61,60,IF('Quotation Tool'!F43&lt;66,65,IF('Quotation Tool'!F43&lt;71,70,IF('Quotation Tool'!F43&lt;76,75))))))))))</f>
        <v/>
      </c>
      <c r="N43" s="121">
        <f>V26</f>
        <v>0</v>
      </c>
      <c r="O43" s="121">
        <f>INDEX($S$53:$U$60,MATCH(E33,$S$53:$S$60,0),3)</f>
        <v>2</v>
      </c>
      <c r="P43" s="108"/>
      <c r="Q43" s="17"/>
      <c r="R43" s="16"/>
      <c r="S43" s="20" t="s">
        <v>114</v>
      </c>
      <c r="T43" s="16"/>
      <c r="U43" s="22" t="s">
        <v>186</v>
      </c>
      <c r="V43" s="16"/>
      <c r="W43" s="17"/>
    </row>
    <row r="44" spans="2:23" ht="25.2" customHeight="1" thickBot="1" x14ac:dyDescent="0.35">
      <c r="B44" s="52"/>
      <c r="F44" s="66"/>
      <c r="K44" s="51"/>
      <c r="M44" s="15"/>
      <c r="N44" s="16"/>
      <c r="O44" s="16"/>
      <c r="P44" s="16"/>
      <c r="Q44" s="17"/>
      <c r="R44" s="16"/>
      <c r="S44" s="22" t="s">
        <v>118</v>
      </c>
      <c r="T44" s="16"/>
      <c r="U44" s="16"/>
      <c r="V44" s="16"/>
      <c r="W44" s="17"/>
    </row>
    <row r="45" spans="2:23" ht="25.2" customHeight="1" thickBot="1" x14ac:dyDescent="0.35">
      <c r="B45" s="52"/>
      <c r="K45" s="51"/>
      <c r="M45" s="15"/>
      <c r="N45" s="16"/>
      <c r="O45" s="16"/>
      <c r="P45" s="16"/>
      <c r="Q45" s="17"/>
      <c r="R45" s="16"/>
      <c r="S45" s="16"/>
      <c r="T45" s="16"/>
      <c r="U45" s="16"/>
      <c r="V45" s="16"/>
      <c r="W45" s="17"/>
    </row>
    <row r="46" spans="2:23" ht="27" thickBot="1" x14ac:dyDescent="0.35">
      <c r="B46" s="52"/>
      <c r="D46" s="42" t="s">
        <v>266</v>
      </c>
      <c r="E46" s="45" t="s">
        <v>173</v>
      </c>
      <c r="F46" s="45" t="s">
        <v>334</v>
      </c>
      <c r="G46" s="45" t="s">
        <v>332</v>
      </c>
      <c r="H46" s="45" t="s">
        <v>176</v>
      </c>
      <c r="I46" s="45" t="s">
        <v>263</v>
      </c>
      <c r="J46" s="47" t="s">
        <v>267</v>
      </c>
      <c r="K46" s="51"/>
      <c r="M46" s="19" t="s">
        <v>174</v>
      </c>
      <c r="N46" s="461" t="s">
        <v>182</v>
      </c>
      <c r="O46" s="126" t="s">
        <v>382</v>
      </c>
      <c r="P46" s="460" t="s">
        <v>383</v>
      </c>
      <c r="Q46" s="17"/>
      <c r="R46" s="16"/>
      <c r="S46" s="16"/>
      <c r="T46" s="16"/>
      <c r="U46" s="16"/>
      <c r="V46" s="16"/>
      <c r="W46" s="17"/>
    </row>
    <row r="47" spans="2:23" ht="25.2" customHeight="1" thickBot="1" x14ac:dyDescent="0.35">
      <c r="B47" s="52"/>
      <c r="D47" s="44" t="s">
        <v>187</v>
      </c>
      <c r="E47" s="102"/>
      <c r="F47" s="72">
        <f>IF((IF(E47="",-1,DATEDIF(E47,$D$26,"Y"))+1)&gt;86,"Max age",IF(E47="",-1,DATEDIF(E47,$D$26,"Y"))+1)</f>
        <v>0</v>
      </c>
      <c r="G47" s="88"/>
      <c r="H47" s="75" t="s">
        <v>272</v>
      </c>
      <c r="I47" s="94">
        <f ca="1">IFERROR(VLOOKUP(M47,INDIRECT(N47),O47,FALSE),0)</f>
        <v>0</v>
      </c>
      <c r="J47" s="78">
        <f ca="1">IFERROR(G47/1000*I47,0)</f>
        <v>0</v>
      </c>
      <c r="K47" s="51"/>
      <c r="M47" s="37" t="str">
        <f>IF(F47=0,"",IF(F47&lt;26,25,IF('Quotation Tool'!F47&lt;36,35,IF('Quotation Tool'!F47&lt;46,45,IF('Quotation Tool'!F47&lt;51,50,IF('Quotation Tool'!F47&lt;56,55,IF('Quotation Tool'!F47&lt;61,60,IF('Quotation Tool'!F47&lt;66,65,IF('Quotation Tool'!F47&lt;71,70,IF('Quotation Tool'!F47&lt;76,75,IF(F47&lt;81,80,IF(F47&lt;86,85))))))))))))</f>
        <v/>
      </c>
      <c r="N47" s="117" t="s">
        <v>188</v>
      </c>
      <c r="O47" s="117">
        <v>3</v>
      </c>
      <c r="P47" s="118">
        <v>2</v>
      </c>
      <c r="Q47" s="17"/>
      <c r="R47" s="16"/>
      <c r="S47" s="16"/>
      <c r="T47" s="16"/>
      <c r="U47" s="16"/>
      <c r="V47" s="16"/>
      <c r="W47" s="17"/>
    </row>
    <row r="48" spans="2:23" ht="25.2" customHeight="1" x14ac:dyDescent="0.3">
      <c r="B48" s="52"/>
      <c r="D48" s="24" t="s">
        <v>189</v>
      </c>
      <c r="E48" s="100"/>
      <c r="F48" s="77">
        <f t="shared" ref="F48:F50" si="0">IF((IF(E48="",-1,DATEDIF(E48,$D$26,"Y"))+1)&gt;86,"Max age",IF(E48="",-1,DATEDIF(E48,$D$26,"Y"))+1)</f>
        <v>0</v>
      </c>
      <c r="G48" s="462"/>
      <c r="H48" s="363" t="s">
        <v>272</v>
      </c>
      <c r="I48" s="91">
        <f ca="1">IFERROR(VLOOKUP(M48,INDIRECT(N48),O48,FALSE),0)</f>
        <v>0</v>
      </c>
      <c r="J48" s="79">
        <f ca="1">IFERROR(G48/1000*I48,0)</f>
        <v>0</v>
      </c>
      <c r="K48" s="51"/>
      <c r="M48" s="37" t="str">
        <f>IF(F48=0,"",IF(F48&lt;26,25,IF('Quotation Tool'!F48&lt;36,35,IF('Quotation Tool'!F48&lt;46,45,IF('Quotation Tool'!F48&lt;51,50,IF('Quotation Tool'!F48&lt;56,55,IF('Quotation Tool'!F48&lt;61,60,IF('Quotation Tool'!F48&lt;66,65,IF('Quotation Tool'!F48&lt;71,70,IF('Quotation Tool'!F48&lt;76,75,IF(F48&lt;81,80,IF(F48&lt;86,85))))))))))))</f>
        <v/>
      </c>
      <c r="N48" s="117" t="s">
        <v>188</v>
      </c>
      <c r="O48" s="117">
        <v>3</v>
      </c>
      <c r="P48" s="118">
        <v>2</v>
      </c>
      <c r="Q48" s="17"/>
      <c r="R48" s="16"/>
      <c r="S48" s="124" t="s">
        <v>163</v>
      </c>
      <c r="T48" s="16"/>
      <c r="U48" s="16"/>
      <c r="V48" s="16"/>
      <c r="W48" s="17"/>
    </row>
    <row r="49" spans="2:23" ht="25.2" customHeight="1" thickBot="1" x14ac:dyDescent="0.35">
      <c r="B49" s="52"/>
      <c r="D49" s="24" t="s">
        <v>190</v>
      </c>
      <c r="E49" s="100"/>
      <c r="F49" s="77">
        <f t="shared" si="0"/>
        <v>0</v>
      </c>
      <c r="G49" s="462"/>
      <c r="H49" s="363" t="s">
        <v>272</v>
      </c>
      <c r="I49" s="91">
        <f ca="1">IFERROR(VLOOKUP(M49,INDIRECT(N49),O49,FALSE),0)</f>
        <v>0</v>
      </c>
      <c r="J49" s="79">
        <f ca="1">IFERROR(G49/1000*I49,0)</f>
        <v>0</v>
      </c>
      <c r="K49" s="51"/>
      <c r="M49" s="37" t="str">
        <f>IF(F49=0,"",IF(F49&lt;26,25,IF('Quotation Tool'!F49&lt;36,35,IF('Quotation Tool'!F49&lt;46,45,IF('Quotation Tool'!F49&lt;51,50,IF('Quotation Tool'!F49&lt;56,55,IF('Quotation Tool'!F49&lt;61,60,IF('Quotation Tool'!F49&lt;66,65,IF('Quotation Tool'!F49&lt;71,70,IF('Quotation Tool'!F49&lt;76,75,IF(F49&lt;81,80,IF(F49&lt;86,85))))))))))))</f>
        <v/>
      </c>
      <c r="N49" s="117" t="s">
        <v>188</v>
      </c>
      <c r="O49" s="117">
        <v>3</v>
      </c>
      <c r="P49" s="118">
        <v>2</v>
      </c>
      <c r="Q49" s="17"/>
      <c r="R49" s="16"/>
      <c r="S49" s="131" t="s">
        <v>65</v>
      </c>
      <c r="T49" s="16"/>
      <c r="U49" s="16"/>
      <c r="V49" s="16"/>
      <c r="W49" s="17"/>
    </row>
    <row r="50" spans="2:23" ht="25.2" customHeight="1" thickBot="1" x14ac:dyDescent="0.35">
      <c r="B50" s="52"/>
      <c r="D50" s="28" t="s">
        <v>191</v>
      </c>
      <c r="E50" s="101"/>
      <c r="F50" s="73">
        <f t="shared" si="0"/>
        <v>0</v>
      </c>
      <c r="G50" s="89"/>
      <c r="H50" s="76" t="s">
        <v>272</v>
      </c>
      <c r="I50" s="92">
        <f ca="1">IFERROR(VLOOKUP(M50,INDIRECT(N50),O50,FALSE),0)</f>
        <v>0</v>
      </c>
      <c r="J50" s="80">
        <f ca="1">IFERROR(G50/1000*I50,0)</f>
        <v>0</v>
      </c>
      <c r="K50" s="51"/>
      <c r="M50" s="38" t="str">
        <f>IF(F50=0,"",IF(F50&lt;26,25,IF('Quotation Tool'!F50&lt;36,35,IF('Quotation Tool'!F50&lt;46,45,IF('Quotation Tool'!F50&lt;51,50,IF('Quotation Tool'!F50&lt;56,55,IF('Quotation Tool'!F50&lt;61,60,IF('Quotation Tool'!F50&lt;66,65,IF('Quotation Tool'!F50&lt;71,70,IF('Quotation Tool'!F50&lt;76,75,IF(F50&lt;81,80,IF(F50&lt;86,85))))))))))))</f>
        <v/>
      </c>
      <c r="N50" s="119" t="s">
        <v>188</v>
      </c>
      <c r="O50" s="119">
        <v>3</v>
      </c>
      <c r="P50" s="120">
        <v>2</v>
      </c>
      <c r="Q50" s="17"/>
      <c r="R50" s="16"/>
      <c r="S50" s="132">
        <v>0.05</v>
      </c>
      <c r="T50" s="16"/>
      <c r="U50" s="124" t="s">
        <v>77</v>
      </c>
      <c r="V50" s="16"/>
      <c r="W50" s="17"/>
    </row>
    <row r="51" spans="2:23" ht="25.2" customHeight="1" thickBot="1" x14ac:dyDescent="0.35">
      <c r="B51" s="52"/>
      <c r="K51" s="51"/>
      <c r="M51" s="15"/>
      <c r="N51" s="16"/>
      <c r="O51" s="16"/>
      <c r="P51" s="16"/>
      <c r="Q51" s="17"/>
      <c r="R51" s="16"/>
      <c r="S51" s="133">
        <v>7.0000000000000007E-2</v>
      </c>
      <c r="T51" s="16"/>
      <c r="U51" s="134" t="s">
        <v>84</v>
      </c>
      <c r="V51" s="16"/>
      <c r="W51" s="17"/>
    </row>
    <row r="52" spans="2:23" ht="25.2" customHeight="1" thickBot="1" x14ac:dyDescent="0.35">
      <c r="B52" s="52"/>
      <c r="H52" s="64"/>
      <c r="K52" s="51"/>
      <c r="M52" s="15"/>
      <c r="N52" s="16"/>
      <c r="O52" s="16"/>
      <c r="P52" s="16"/>
      <c r="Q52" s="17"/>
      <c r="R52" s="16"/>
      <c r="S52" s="16"/>
      <c r="T52" s="16"/>
      <c r="U52" s="16"/>
      <c r="V52" s="16"/>
      <c r="W52" s="17"/>
    </row>
    <row r="53" spans="2:23" ht="27" thickBot="1" x14ac:dyDescent="0.35">
      <c r="B53" s="52"/>
      <c r="D53" s="42" t="s">
        <v>265</v>
      </c>
      <c r="E53" s="45" t="s">
        <v>173</v>
      </c>
      <c r="F53" s="45" t="s">
        <v>335</v>
      </c>
      <c r="G53" s="45" t="s">
        <v>332</v>
      </c>
      <c r="H53" s="45" t="s">
        <v>176</v>
      </c>
      <c r="I53" s="45" t="s">
        <v>263</v>
      </c>
      <c r="J53" s="47" t="s">
        <v>267</v>
      </c>
      <c r="K53" s="51"/>
      <c r="M53" s="19" t="s">
        <v>174</v>
      </c>
      <c r="N53" s="116" t="s">
        <v>182</v>
      </c>
      <c r="O53" s="126" t="s">
        <v>382</v>
      </c>
      <c r="P53" s="460" t="s">
        <v>383</v>
      </c>
      <c r="Q53" s="17"/>
      <c r="R53" s="16"/>
      <c r="S53" s="19" t="s">
        <v>179</v>
      </c>
      <c r="T53" s="116" t="s">
        <v>196</v>
      </c>
      <c r="U53" s="126" t="s">
        <v>197</v>
      </c>
      <c r="V53" s="127" t="s">
        <v>198</v>
      </c>
      <c r="W53" s="17"/>
    </row>
    <row r="54" spans="2:23" ht="25.2" customHeight="1" x14ac:dyDescent="0.3">
      <c r="B54" s="52"/>
      <c r="D54" s="44" t="s">
        <v>192</v>
      </c>
      <c r="E54" s="102"/>
      <c r="F54" s="72">
        <f>IF((IF(E54="",-1,DATEDIF(E54,$D$26,"Y"))+1)&gt;86,"Max age",IF(E54="",-1,DATEDIF(E54,$D$26,"Y"))+1)</f>
        <v>0</v>
      </c>
      <c r="G54" s="88"/>
      <c r="H54" s="75" cm="1">
        <f t="array" aca="1" ref="H54" ca="1">IFERROR(IF(E31="None",0,INDEX(INDIRECT(N54), MATCH(M54, INDEX(INDIRECT(N54), 0, 1), 0), P54)),0)</f>
        <v>0</v>
      </c>
      <c r="I54" s="94">
        <f ca="1">IFERROR(VLOOKUP(M54,INDIRECT(N54),O54,FALSE),0)</f>
        <v>0</v>
      </c>
      <c r="J54" s="78">
        <f ca="1">IFERROR(H54+G54/1000*I54,0)</f>
        <v>0</v>
      </c>
      <c r="K54" s="51"/>
      <c r="M54" s="37" t="str">
        <f>IF(F54=0,"",IF(F54&lt;18,17,IF(F54&lt;26,25,IF('Quotation Tool'!F54&lt;36,35,IF('Quotation Tool'!F54&lt;46,45,IF('Quotation Tool'!F54&lt;51,50,IF('Quotation Tool'!F54&lt;56,55,IF('Quotation Tool'!F54&lt;61,60,IF('Quotation Tool'!F54&lt;66,65,IF('Quotation Tool'!F54&lt;71,70,IF('Quotation Tool'!F54&lt;76,75,IF(F54&lt;81,80,IF(F54&lt;86,85)))))))))))))</f>
        <v/>
      </c>
      <c r="N54" s="117" t="s">
        <v>193</v>
      </c>
      <c r="O54" s="117">
        <v>3</v>
      </c>
      <c r="P54" s="118">
        <v>2</v>
      </c>
      <c r="Q54" s="17"/>
      <c r="R54" s="16"/>
      <c r="S54" s="26" t="s">
        <v>65</v>
      </c>
      <c r="T54" s="117" t="s">
        <v>200</v>
      </c>
      <c r="U54" s="125">
        <f>MATCH(T54,'Funeral premiums'!$E$3:$R$3,0)</f>
        <v>2</v>
      </c>
      <c r="V54" s="128">
        <f>MATCH(T54,'Life premiums'!$E$4:$S$4,0)</f>
        <v>2</v>
      </c>
      <c r="W54" s="17"/>
    </row>
    <row r="55" spans="2:23" ht="25.2" customHeight="1" x14ac:dyDescent="0.3">
      <c r="B55" s="52"/>
      <c r="D55" s="24" t="s">
        <v>194</v>
      </c>
      <c r="E55" s="100"/>
      <c r="F55" s="77">
        <f t="shared" ref="F55:F63" si="1">IF((IF(E55="",-1,DATEDIF(E55,$D$26,"Y"))+1)&gt;86,"Max age",IF(E55="",-1,DATEDIF(E55,$D$26,"Y"))+1)</f>
        <v>0</v>
      </c>
      <c r="G55" s="88"/>
      <c r="H55" s="363" cm="1">
        <f t="array" aca="1" ref="H55" ca="1">IFERROR(IF(E32="None",0,INDEX(INDIRECT(N55), MATCH(M55, INDEX(INDIRECT(N55), 0, 1), 0), P55)),0)</f>
        <v>0</v>
      </c>
      <c r="I55" s="91">
        <f t="shared" ref="I55:I63" ca="1" si="2">IFERROR(VLOOKUP(M55,INDIRECT(N55),O55,FALSE),0)</f>
        <v>0</v>
      </c>
      <c r="J55" s="79">
        <f t="shared" ref="J55:J63" ca="1" si="3">IFERROR(H55+G55/1000*I55,0)</f>
        <v>0</v>
      </c>
      <c r="K55" s="51"/>
      <c r="M55" s="37" t="str">
        <f>IF(F55=0,"",IF(F55&lt;26,25,IF('Quotation Tool'!F55&lt;36,35,IF('Quotation Tool'!F55&lt;46,45,IF('Quotation Tool'!F55&lt;51,50,IF('Quotation Tool'!F55&lt;56,55,IF('Quotation Tool'!F55&lt;61,60,IF('Quotation Tool'!F55&lt;66,65,IF('Quotation Tool'!F55&lt;71,70,IF('Quotation Tool'!F55&lt;76,75,IF(F55&lt;81,80,IF(F55&lt;86,85))))))))))))</f>
        <v/>
      </c>
      <c r="N55" s="117" t="s">
        <v>193</v>
      </c>
      <c r="O55" s="117">
        <v>3</v>
      </c>
      <c r="P55" s="118">
        <v>2</v>
      </c>
      <c r="Q55" s="17"/>
      <c r="R55" s="16"/>
      <c r="S55" s="26" t="s">
        <v>60</v>
      </c>
      <c r="T55" s="117" t="s">
        <v>202</v>
      </c>
      <c r="U55" s="125">
        <f>MATCH(T55,'Funeral premiums'!$E$3:$R$3,0)</f>
        <v>4</v>
      </c>
      <c r="V55" s="128">
        <f>MATCH(T55,'Life premiums'!$E$4:$S$4,0)</f>
        <v>4</v>
      </c>
      <c r="W55" s="17"/>
    </row>
    <row r="56" spans="2:23" ht="25.2" customHeight="1" x14ac:dyDescent="0.3">
      <c r="B56" s="52"/>
      <c r="D56" s="24" t="s">
        <v>195</v>
      </c>
      <c r="E56" s="100"/>
      <c r="F56" s="77">
        <f t="shared" si="1"/>
        <v>0</v>
      </c>
      <c r="G56" s="88"/>
      <c r="H56" s="363" cm="1">
        <f t="array" aca="1" ref="H56" ca="1">IFERROR(IF(E33="None",0,INDEX(INDIRECT(N56), MATCH(M56, INDEX(INDIRECT(N56), 0, 1), 0), P56)),0)</f>
        <v>0</v>
      </c>
      <c r="I56" s="91">
        <f t="shared" ca="1" si="2"/>
        <v>0</v>
      </c>
      <c r="J56" s="79">
        <f t="shared" ca="1" si="3"/>
        <v>0</v>
      </c>
      <c r="K56" s="51"/>
      <c r="M56" s="37" t="str">
        <f>IF(F56=0,"",IF(F56&lt;26,25,IF('Quotation Tool'!F56&lt;36,35,IF('Quotation Tool'!F56&lt;46,45,IF('Quotation Tool'!F56&lt;51,50,IF('Quotation Tool'!F56&lt;56,55,IF('Quotation Tool'!F56&lt;61,60,IF('Quotation Tool'!F56&lt;66,65,IF('Quotation Tool'!F56&lt;71,70,IF('Quotation Tool'!F56&lt;76,75,IF(F56&lt;81,80,IF(F56&lt;86,85))))))))))))</f>
        <v/>
      </c>
      <c r="N56" s="117" t="s">
        <v>193</v>
      </c>
      <c r="O56" s="117">
        <v>3</v>
      </c>
      <c r="P56" s="118">
        <v>2</v>
      </c>
      <c r="Q56" s="17"/>
      <c r="R56" s="16"/>
      <c r="S56" s="26" t="s">
        <v>100</v>
      </c>
      <c r="T56" s="117" t="s">
        <v>204</v>
      </c>
      <c r="U56" s="125">
        <f>MATCH(T56,'Funeral premiums'!$E$3:$R$3,0)</f>
        <v>8</v>
      </c>
      <c r="V56" s="128">
        <f>MATCH(T56,'Life premiums'!$E$4:$S$4,0)</f>
        <v>8</v>
      </c>
      <c r="W56" s="17"/>
    </row>
    <row r="57" spans="2:23" ht="25.2" customHeight="1" x14ac:dyDescent="0.3">
      <c r="B57" s="52"/>
      <c r="D57" s="24" t="s">
        <v>199</v>
      </c>
      <c r="E57" s="100"/>
      <c r="F57" s="77">
        <f t="shared" si="1"/>
        <v>0</v>
      </c>
      <c r="G57" s="88"/>
      <c r="H57" s="363" cm="1">
        <f t="array" aca="1" ref="H57" ca="1">IFERROR(IF(E34="None",0,INDEX(INDIRECT(N57), MATCH(M57, INDEX(INDIRECT(N57), 0, 1), 0), P57)),0)</f>
        <v>0</v>
      </c>
      <c r="I57" s="91">
        <f t="shared" ca="1" si="2"/>
        <v>0</v>
      </c>
      <c r="J57" s="79">
        <f t="shared" ca="1" si="3"/>
        <v>0</v>
      </c>
      <c r="K57" s="51"/>
      <c r="M57" s="37" t="str">
        <f>IF(F57=0,"",IF(F57&lt;26,25,IF('Quotation Tool'!F57&lt;36,35,IF('Quotation Tool'!F57&lt;46,45,IF('Quotation Tool'!F57&lt;51,50,IF('Quotation Tool'!F57&lt;56,55,IF('Quotation Tool'!F57&lt;61,60,IF('Quotation Tool'!F57&lt;66,65,IF('Quotation Tool'!F57&lt;71,70,IF('Quotation Tool'!F57&lt;76,75,IF(F57&lt;81,80,IF(F57&lt;86,85))))))))))))</f>
        <v/>
      </c>
      <c r="N57" s="117" t="s">
        <v>193</v>
      </c>
      <c r="O57" s="117">
        <v>3</v>
      </c>
      <c r="P57" s="118">
        <v>2</v>
      </c>
      <c r="Q57" s="17"/>
      <c r="R57" s="16"/>
      <c r="S57" s="26" t="s">
        <v>104</v>
      </c>
      <c r="T57" s="117" t="s">
        <v>206</v>
      </c>
      <c r="U57" s="125">
        <f>MATCH(T57,'Funeral premiums'!$E$3:$R$3,0)</f>
        <v>12</v>
      </c>
      <c r="V57" s="128">
        <f>MATCH(T57,'Life premiums'!$E$4:$S$4,0)</f>
        <v>12</v>
      </c>
      <c r="W57" s="17"/>
    </row>
    <row r="58" spans="2:23" ht="25.2" customHeight="1" x14ac:dyDescent="0.3">
      <c r="B58" s="52"/>
      <c r="D58" s="24" t="s">
        <v>201</v>
      </c>
      <c r="E58" s="100"/>
      <c r="F58" s="77">
        <f t="shared" si="1"/>
        <v>0</v>
      </c>
      <c r="G58" s="88"/>
      <c r="H58" s="363" cm="1">
        <f t="array" aca="1" ref="H58" ca="1">IFERROR(IF(E35="None",0,INDEX(INDIRECT(N58), MATCH(M58, INDEX(INDIRECT(N58), 0, 1), 0), P58)),0)</f>
        <v>0</v>
      </c>
      <c r="I58" s="91">
        <f t="shared" ca="1" si="2"/>
        <v>0</v>
      </c>
      <c r="J58" s="79">
        <f t="shared" ca="1" si="3"/>
        <v>0</v>
      </c>
      <c r="K58" s="51"/>
      <c r="M58" s="37" t="str">
        <f>IF(F58=0,"",IF(F58&lt;26,25,IF('Quotation Tool'!F58&lt;36,35,IF('Quotation Tool'!F58&lt;46,45,IF('Quotation Tool'!F58&lt;51,50,IF('Quotation Tool'!F58&lt;56,55,IF('Quotation Tool'!F58&lt;61,60,IF('Quotation Tool'!F58&lt;66,65,IF('Quotation Tool'!F58&lt;71,70,IF('Quotation Tool'!F58&lt;76,75,IF(F58&lt;81,80,IF(F58&lt;86,85))))))))))))</f>
        <v/>
      </c>
      <c r="N58" s="117" t="s">
        <v>193</v>
      </c>
      <c r="O58" s="117">
        <v>3</v>
      </c>
      <c r="P58" s="118">
        <v>2</v>
      </c>
      <c r="Q58" s="17"/>
      <c r="R58" s="16"/>
      <c r="S58" s="26" t="s">
        <v>110</v>
      </c>
      <c r="T58" s="117" t="s">
        <v>208</v>
      </c>
      <c r="U58" s="125">
        <f>MATCH(T58,'Funeral premiums'!$E$3:$R$3,0)</f>
        <v>6</v>
      </c>
      <c r="V58" s="128">
        <f>MATCH(T58,'Life premiums'!$E$4:$S$4,0)</f>
        <v>6</v>
      </c>
      <c r="W58" s="17"/>
    </row>
    <row r="59" spans="2:23" ht="25.2" customHeight="1" x14ac:dyDescent="0.3">
      <c r="B59" s="52"/>
      <c r="D59" s="24" t="s">
        <v>203</v>
      </c>
      <c r="E59" s="100"/>
      <c r="F59" s="77">
        <f t="shared" si="1"/>
        <v>0</v>
      </c>
      <c r="G59" s="88"/>
      <c r="H59" s="363" cm="1">
        <f t="array" aca="1" ref="H59" ca="1">IFERROR(IF(E36="None",0,INDEX(INDIRECT(N59), MATCH(M59, INDEX(INDIRECT(N59), 0, 1), 0), P59)),0)</f>
        <v>0</v>
      </c>
      <c r="I59" s="91">
        <f t="shared" ca="1" si="2"/>
        <v>0</v>
      </c>
      <c r="J59" s="79">
        <f t="shared" ca="1" si="3"/>
        <v>0</v>
      </c>
      <c r="K59" s="51"/>
      <c r="M59" s="37" t="str">
        <f>IF(F59=0,"",IF(F59&lt;26,25,IF('Quotation Tool'!F59&lt;36,35,IF('Quotation Tool'!F59&lt;46,45,IF('Quotation Tool'!F59&lt;51,50,IF('Quotation Tool'!F59&lt;56,55,IF('Quotation Tool'!F59&lt;61,60,IF('Quotation Tool'!F59&lt;66,65,IF('Quotation Tool'!F59&lt;71,70,IF('Quotation Tool'!F59&lt;76,75,IF(F59&lt;81,80,IF(F59&lt;86,85))))))))))))</f>
        <v/>
      </c>
      <c r="N59" s="117" t="s">
        <v>193</v>
      </c>
      <c r="O59" s="117">
        <v>3</v>
      </c>
      <c r="P59" s="118">
        <v>2</v>
      </c>
      <c r="Q59" s="17"/>
      <c r="R59" s="16"/>
      <c r="S59" s="26" t="s">
        <v>114</v>
      </c>
      <c r="T59" s="117" t="s">
        <v>210</v>
      </c>
      <c r="U59" s="125">
        <f>MATCH(T59,'Funeral premiums'!$E$3:$R$3,0)</f>
        <v>10</v>
      </c>
      <c r="V59" s="128">
        <f>MATCH(T59,'Life premiums'!$E$4:$S$4,0)</f>
        <v>10</v>
      </c>
      <c r="W59" s="17"/>
    </row>
    <row r="60" spans="2:23" ht="25.2" customHeight="1" thickBot="1" x14ac:dyDescent="0.35">
      <c r="B60" s="52"/>
      <c r="D60" s="24" t="s">
        <v>205</v>
      </c>
      <c r="E60" s="100"/>
      <c r="F60" s="77">
        <f t="shared" si="1"/>
        <v>0</v>
      </c>
      <c r="G60" s="88"/>
      <c r="H60" s="363" cm="1">
        <f t="array" aca="1" ref="H60" ca="1">IFERROR(IF(E37="None",0,INDEX(INDIRECT(N60), MATCH(M60, INDEX(INDIRECT(N60), 0, 1), 0), P60)),0)</f>
        <v>0</v>
      </c>
      <c r="I60" s="91">
        <f t="shared" ca="1" si="2"/>
        <v>0</v>
      </c>
      <c r="J60" s="79">
        <f t="shared" ca="1" si="3"/>
        <v>0</v>
      </c>
      <c r="K60" s="51"/>
      <c r="M60" s="37" t="str">
        <f>IF(F60=0,"",IF(F60&lt;26,25,IF('Quotation Tool'!F60&lt;36,35,IF('Quotation Tool'!F60&lt;46,45,IF('Quotation Tool'!F60&lt;51,50,IF('Quotation Tool'!F60&lt;56,55,IF('Quotation Tool'!F60&lt;61,60,IF('Quotation Tool'!F60&lt;66,65,IF('Quotation Tool'!F60&lt;71,70,IF('Quotation Tool'!F60&lt;76,75,IF(F60&lt;81,80,IF(F60&lt;86,85))))))))))))</f>
        <v/>
      </c>
      <c r="N60" s="117" t="s">
        <v>193</v>
      </c>
      <c r="O60" s="117">
        <v>3</v>
      </c>
      <c r="P60" s="118">
        <v>2</v>
      </c>
      <c r="Q60" s="17"/>
      <c r="R60" s="16"/>
      <c r="S60" s="21" t="s">
        <v>118</v>
      </c>
      <c r="T60" s="119" t="s">
        <v>212</v>
      </c>
      <c r="U60" s="129">
        <f>MATCH(T60,'Funeral premiums'!$E$3:$R$3,0)</f>
        <v>14</v>
      </c>
      <c r="V60" s="130">
        <f>MATCH(T60,'Life premiums'!$E$4:$S$4,0)</f>
        <v>14</v>
      </c>
      <c r="W60" s="17"/>
    </row>
    <row r="61" spans="2:23" ht="25.2" customHeight="1" x14ac:dyDescent="0.3">
      <c r="B61" s="52"/>
      <c r="D61" s="24" t="s">
        <v>207</v>
      </c>
      <c r="E61" s="100"/>
      <c r="F61" s="77">
        <f t="shared" si="1"/>
        <v>0</v>
      </c>
      <c r="G61" s="88"/>
      <c r="H61" s="363" cm="1">
        <f t="array" aca="1" ref="H61" ca="1">IFERROR(IF(E38="None",0,INDEX(INDIRECT(N61), MATCH(M61, INDEX(INDIRECT(N61), 0, 1), 0), P61)),0)</f>
        <v>0</v>
      </c>
      <c r="I61" s="91">
        <f t="shared" ca="1" si="2"/>
        <v>0</v>
      </c>
      <c r="J61" s="79">
        <f t="shared" ca="1" si="3"/>
        <v>0</v>
      </c>
      <c r="K61" s="51"/>
      <c r="M61" s="37" t="str">
        <f>IF(F61=0,"",IF(F61&lt;26,25,IF('Quotation Tool'!F61&lt;36,35,IF('Quotation Tool'!F61&lt;46,45,IF('Quotation Tool'!F61&lt;51,50,IF('Quotation Tool'!F61&lt;56,55,IF('Quotation Tool'!F61&lt;61,60,IF('Quotation Tool'!F61&lt;66,65,IF('Quotation Tool'!F61&lt;71,70,IF('Quotation Tool'!F61&lt;76,75,IF(F61&lt;81,80,IF(F61&lt;86,85))))))))))))</f>
        <v/>
      </c>
      <c r="N61" s="117" t="s">
        <v>193</v>
      </c>
      <c r="O61" s="117">
        <v>3</v>
      </c>
      <c r="P61" s="118">
        <v>2</v>
      </c>
      <c r="Q61" s="17"/>
      <c r="R61" s="16"/>
      <c r="S61" s="16"/>
      <c r="T61" s="16"/>
      <c r="U61" s="16"/>
      <c r="V61" s="16"/>
      <c r="W61" s="17"/>
    </row>
    <row r="62" spans="2:23" ht="25.2" customHeight="1" x14ac:dyDescent="0.3">
      <c r="B62" s="52"/>
      <c r="D62" s="24" t="s">
        <v>209</v>
      </c>
      <c r="E62" s="100"/>
      <c r="F62" s="77">
        <f t="shared" si="1"/>
        <v>0</v>
      </c>
      <c r="G62" s="88"/>
      <c r="H62" s="363" cm="1">
        <f t="array" aca="1" ref="H62" ca="1">IFERROR(IF(E39="None",0,INDEX(INDIRECT(N62), MATCH(M62, INDEX(INDIRECT(N62), 0, 1), 0), P62)),0)</f>
        <v>0</v>
      </c>
      <c r="I62" s="91">
        <f t="shared" ca="1" si="2"/>
        <v>0</v>
      </c>
      <c r="J62" s="79">
        <f t="shared" ca="1" si="3"/>
        <v>0</v>
      </c>
      <c r="K62" s="51"/>
      <c r="M62" s="37" t="str">
        <f>IF(F62=0,"",IF(F62&lt;26,25,IF('Quotation Tool'!F62&lt;36,35,IF('Quotation Tool'!F62&lt;46,45,IF('Quotation Tool'!F62&lt;51,50,IF('Quotation Tool'!F62&lt;56,55,IF('Quotation Tool'!F62&lt;61,60,IF('Quotation Tool'!F62&lt;66,65,IF('Quotation Tool'!F62&lt;71,70,IF('Quotation Tool'!F62&lt;76,75,IF(F62&lt;81,80,IF(F62&lt;86,85))))))))))))</f>
        <v/>
      </c>
      <c r="N62" s="117" t="s">
        <v>193</v>
      </c>
      <c r="O62" s="117">
        <v>3</v>
      </c>
      <c r="P62" s="118">
        <v>2</v>
      </c>
      <c r="Q62" s="17"/>
      <c r="R62" s="16"/>
      <c r="S62" s="16"/>
      <c r="T62" s="16"/>
      <c r="U62" s="16"/>
      <c r="V62" s="16"/>
      <c r="W62" s="17"/>
    </row>
    <row r="63" spans="2:23" ht="25.2" customHeight="1" thickBot="1" x14ac:dyDescent="0.35">
      <c r="B63" s="52"/>
      <c r="D63" s="28" t="s">
        <v>211</v>
      </c>
      <c r="E63" s="101"/>
      <c r="F63" s="73">
        <f t="shared" si="1"/>
        <v>0</v>
      </c>
      <c r="G63" s="89"/>
      <c r="H63" s="76" cm="1">
        <f t="array" aca="1" ref="H63" ca="1">IFERROR(IF(E40="None",0,INDEX(INDIRECT(N63), MATCH(M63, INDEX(INDIRECT(N63), 0, 1), 0), P63)),0)</f>
        <v>0</v>
      </c>
      <c r="I63" s="92">
        <f t="shared" ca="1" si="2"/>
        <v>0</v>
      </c>
      <c r="J63" s="80">
        <f t="shared" ca="1" si="3"/>
        <v>0</v>
      </c>
      <c r="K63" s="51"/>
      <c r="M63" s="38" t="str">
        <f>IF(F63=0,"",IF(F63&lt;26,25,IF('Quotation Tool'!F63&lt;36,35,IF('Quotation Tool'!F63&lt;46,45,IF('Quotation Tool'!F63&lt;51,50,IF('Quotation Tool'!F63&lt;56,55,IF('Quotation Tool'!F63&lt;61,60,IF('Quotation Tool'!F63&lt;66,65,IF('Quotation Tool'!F63&lt;71,70,IF('Quotation Tool'!F63&lt;76,75,IF(F63&lt;81,80,IF(F63&lt;86,85))))))))))))</f>
        <v/>
      </c>
      <c r="N63" s="119" t="s">
        <v>193</v>
      </c>
      <c r="O63" s="119">
        <v>3</v>
      </c>
      <c r="P63" s="120">
        <v>2</v>
      </c>
      <c r="Q63" s="17"/>
      <c r="R63" s="16"/>
      <c r="S63" s="16"/>
      <c r="T63" s="16"/>
      <c r="U63" s="16"/>
      <c r="V63" s="16"/>
      <c r="W63" s="17"/>
    </row>
    <row r="64" spans="2:23" ht="25.2" customHeight="1" thickBot="1" x14ac:dyDescent="0.35">
      <c r="B64" s="52"/>
      <c r="K64" s="51"/>
      <c r="M64" s="32"/>
      <c r="N64" s="33"/>
      <c r="O64" s="33"/>
      <c r="P64" s="33"/>
      <c r="Q64" s="31"/>
      <c r="R64" s="33"/>
      <c r="S64" s="33"/>
      <c r="T64" s="33"/>
      <c r="U64" s="33"/>
      <c r="V64" s="33"/>
      <c r="W64" s="31"/>
    </row>
    <row r="65" spans="2:11" ht="25.2" customHeight="1" thickBot="1" x14ac:dyDescent="0.35">
      <c r="B65" s="52"/>
      <c r="D65" s="43" t="s">
        <v>213</v>
      </c>
      <c r="K65" s="51"/>
    </row>
    <row r="66" spans="2:11" ht="25.2" customHeight="1" x14ac:dyDescent="0.3">
      <c r="B66" s="52"/>
      <c r="D66" s="23" t="s">
        <v>280</v>
      </c>
      <c r="E66" s="85">
        <f ca="1">IF(J39=0,0,1.53)</f>
        <v>0</v>
      </c>
      <c r="K66" s="51"/>
    </row>
    <row r="67" spans="2:11" ht="25.2" customHeight="1" thickBot="1" x14ac:dyDescent="0.35">
      <c r="B67" s="52"/>
      <c r="D67" s="28" t="s">
        <v>279</v>
      </c>
      <c r="E67" s="86">
        <f ca="1">IF(J39=0,0,7.6*(IF(E35=U42,0,1)))</f>
        <v>0</v>
      </c>
      <c r="K67" s="51"/>
    </row>
    <row r="68" spans="2:11" ht="25.2" customHeight="1" thickBot="1" x14ac:dyDescent="0.35">
      <c r="B68" s="52"/>
      <c r="K68" s="51"/>
    </row>
    <row r="69" spans="2:11" ht="25.2" customHeight="1" thickBot="1" x14ac:dyDescent="0.35">
      <c r="B69" s="52"/>
      <c r="D69" s="58" t="s">
        <v>214</v>
      </c>
      <c r="E69" s="84">
        <f ca="1">IF(J39=0,0,J39+J40+J43+J47+J48+J49+J50+SUM(J54:J63)+E66+E67)</f>
        <v>0</v>
      </c>
      <c r="K69" s="51"/>
    </row>
    <row r="70" spans="2:11" ht="25.2" customHeight="1" thickBot="1" x14ac:dyDescent="0.35">
      <c r="B70" s="53"/>
      <c r="C70" s="50"/>
      <c r="D70" s="35"/>
      <c r="E70" s="35"/>
      <c r="F70" s="35"/>
      <c r="G70" s="35"/>
      <c r="H70" s="35"/>
      <c r="I70" s="35"/>
      <c r="J70" s="35"/>
      <c r="K70" s="67"/>
    </row>
    <row r="71" spans="2:11" ht="25.2" customHeight="1" x14ac:dyDescent="0.3"/>
  </sheetData>
  <sheetProtection algorithmName="SHA-512" hashValue="glch3BbQ9GR1oiXaGs8QqolQAkAVkR3oLR8LL0G+zZmsJlc1m8qulVBVrMMQEy/Ij9J18yrnSm1CyjTYdxM8AA==" saltValue="WzOB+5tEUkOt6EWNSRslOA==" spinCount="100000" sheet="1" objects="1" scenarios="1"/>
  <mergeCells count="10">
    <mergeCell ref="D19:D22"/>
    <mergeCell ref="C3:J3"/>
    <mergeCell ref="D5:J5"/>
    <mergeCell ref="D9:D15"/>
    <mergeCell ref="H6:J8"/>
    <mergeCell ref="E10:F10"/>
    <mergeCell ref="E11:F11"/>
    <mergeCell ref="E12:F12"/>
    <mergeCell ref="E13:F13"/>
    <mergeCell ref="E15:F15"/>
  </mergeCells>
  <phoneticPr fontId="4" type="noConversion"/>
  <dataValidations count="10">
    <dataValidation type="list" allowBlank="1" showInputMessage="1" showErrorMessage="1" sqref="E30" xr:uid="{49FDF434-823D-4965-A65E-A0ED4C7069F3}">
      <formula1>$S$27:$S$28</formula1>
    </dataValidation>
    <dataValidation type="list" allowBlank="1" showInputMessage="1" showErrorMessage="1" sqref="E32" xr:uid="{170886FC-C779-4DEA-8334-DFD6BF767521}">
      <formula1>$S$49:$S$51</formula1>
    </dataValidation>
    <dataValidation type="list" allowBlank="1" showInputMessage="1" showErrorMessage="1" sqref="E33" xr:uid="{20F50FCE-1846-468D-ACF4-AF0A118AE284}">
      <formula1>$S$38:$S$44</formula1>
    </dataValidation>
    <dataValidation type="list" allowBlank="1" showInputMessage="1" showErrorMessage="1" sqref="E35" xr:uid="{8A4A254B-0D7E-48F0-AB2B-DC06341AE4D2}">
      <formula1>$U$42:$U$43</formula1>
    </dataValidation>
    <dataValidation type="list" allowBlank="1" showInputMessage="1" showErrorMessage="1" sqref="E29" xr:uid="{031A0E38-CF93-4EA8-92CE-63648B963AFD}">
      <formula1>$U$38:$U$39</formula1>
    </dataValidation>
    <dataValidation type="whole" allowBlank="1" showInputMessage="1" showErrorMessage="1" errorTitle="Maximum Sum Assured" error="The maximum sum assured for Funeral cover is R150,000." sqref="G43" xr:uid="{5B087C79-3019-4479-B2CE-369AE5E853E8}">
      <formula1>0</formula1>
      <formula2>150000</formula2>
    </dataValidation>
    <dataValidation type="whole" allowBlank="1" showInputMessage="1" showErrorMessage="1" errorTitle="Maximum Sum Assured" error="The maximum sum assured for Life cover is is R500,000." sqref="G39:G40" xr:uid="{DA35D3CA-45F2-4B34-9D4E-68D03D672F8B}">
      <formula1>0</formula1>
      <formula2>500000</formula2>
    </dataValidation>
    <dataValidation type="list" allowBlank="1" showInputMessage="1" showErrorMessage="1" sqref="E31" xr:uid="{FCA5B7FD-250D-468B-85DF-65BC24C55BF6}">
      <formula1>IF($E$29="Life cover only",$S$35,$S$31:$S$35)</formula1>
    </dataValidation>
    <dataValidation type="list" allowBlank="1" showInputMessage="1" showErrorMessage="1" sqref="E36" xr:uid="{158E3345-C9D5-452F-BDFD-6271EC8F49C9}">
      <formula1>$U$50:$U$51</formula1>
    </dataValidation>
    <dataValidation type="whole" allowBlank="1" showInputMessage="1" showErrorMessage="1" errorTitle="Maximum Sum Assured" error="The maximum sum assured for Funeral cover is R75,000 and should not exceed the Main Member's Funeral cover sum assured." sqref="G47:G50 G54:G63" xr:uid="{ED5FF841-84E5-4EB2-B512-F5A61DD86959}">
      <formula1>0</formula1>
      <formula2>MIN($G$43,75000)</formula2>
    </dataValidation>
  </dataValidations>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F3D0F-8D87-4B77-959A-788F696A73E1}">
  <sheetPr codeName="Sheet2"/>
  <dimension ref="A1:AB26"/>
  <sheetViews>
    <sheetView workbookViewId="0">
      <pane xSplit="1" topLeftCell="B1" activePane="topRight" state="frozen"/>
      <selection activeCell="H12" sqref="H12"/>
      <selection pane="topRight" activeCell="A4" sqref="A4"/>
    </sheetView>
  </sheetViews>
  <sheetFormatPr defaultColWidth="8.6640625" defaultRowHeight="14.4" x14ac:dyDescent="0.3"/>
  <cols>
    <col min="1" max="1" width="14.33203125" style="166" customWidth="1"/>
    <col min="2" max="2" width="6.6640625" style="166" customWidth="1"/>
    <col min="3" max="5" width="8.6640625" style="166"/>
    <col min="6" max="6" width="13.6640625" style="166" bestFit="1" customWidth="1"/>
    <col min="7" max="7" width="13.33203125" style="166" bestFit="1" customWidth="1"/>
    <col min="8" max="8" width="13.6640625" style="166" bestFit="1" customWidth="1"/>
    <col min="9" max="9" width="13.33203125" style="166" bestFit="1" customWidth="1"/>
    <col min="10" max="10" width="13.6640625" style="166" bestFit="1" customWidth="1"/>
    <col min="11" max="11" width="13.33203125" style="166" bestFit="1" customWidth="1"/>
    <col min="12" max="12" width="13.6640625" style="166" bestFit="1" customWidth="1"/>
    <col min="13" max="13" width="13.33203125" style="166" bestFit="1" customWidth="1"/>
    <col min="14" max="14" width="13.6640625" style="166" bestFit="1" customWidth="1"/>
    <col min="15" max="15" width="13.33203125" style="166" bestFit="1" customWidth="1"/>
    <col min="16" max="17" width="13.6640625" style="166" bestFit="1" customWidth="1"/>
    <col min="18" max="19" width="14.6640625" style="166" bestFit="1" customWidth="1"/>
    <col min="20" max="20" width="14.6640625" style="166" customWidth="1"/>
    <col min="21" max="21" width="8.6640625" style="166"/>
    <col min="22" max="22" width="9.109375" style="166" bestFit="1" customWidth="1"/>
    <col min="23" max="26" width="13.33203125" style="166" bestFit="1" customWidth="1"/>
    <col min="27" max="27" width="13.6640625" style="166" bestFit="1" customWidth="1"/>
    <col min="28" max="28" width="14.6640625" style="166" bestFit="1" customWidth="1"/>
    <col min="29" max="16384" width="8.6640625" style="166"/>
  </cols>
  <sheetData>
    <row r="1" spans="1:28" ht="18" x14ac:dyDescent="0.35">
      <c r="A1" s="560" t="s">
        <v>215</v>
      </c>
      <c r="B1" s="560"/>
      <c r="C1" s="560"/>
      <c r="D1" s="560"/>
      <c r="E1" s="560"/>
      <c r="F1" s="560"/>
      <c r="G1" s="560"/>
      <c r="H1" s="560"/>
      <c r="I1" s="560"/>
      <c r="J1" s="560"/>
      <c r="K1" s="560"/>
      <c r="L1" s="560"/>
      <c r="M1" s="560"/>
      <c r="N1" s="560"/>
      <c r="O1" s="560"/>
      <c r="P1" s="560"/>
      <c r="Q1" s="560"/>
      <c r="R1" s="560"/>
      <c r="S1" s="560"/>
      <c r="T1" s="212"/>
    </row>
    <row r="2" spans="1:28" x14ac:dyDescent="0.3">
      <c r="P2" s="192"/>
      <c r="V2" s="165" t="s">
        <v>216</v>
      </c>
    </row>
    <row r="3" spans="1:28" ht="15" thickBot="1" x14ac:dyDescent="0.35">
      <c r="H3" s="213" t="s">
        <v>217</v>
      </c>
    </row>
    <row r="4" spans="1:28" x14ac:dyDescent="0.3">
      <c r="A4" s="214"/>
      <c r="B4" s="208"/>
      <c r="C4" s="208"/>
      <c r="D4" s="208"/>
      <c r="E4" s="208"/>
      <c r="F4" s="208" t="s">
        <v>200</v>
      </c>
      <c r="G4" s="208" t="s">
        <v>200</v>
      </c>
      <c r="H4" s="208" t="s">
        <v>202</v>
      </c>
      <c r="I4" s="208" t="s">
        <v>202</v>
      </c>
      <c r="J4" s="208" t="s">
        <v>208</v>
      </c>
      <c r="K4" s="208" t="s">
        <v>208</v>
      </c>
      <c r="L4" s="208" t="s">
        <v>204</v>
      </c>
      <c r="M4" s="208" t="s">
        <v>204</v>
      </c>
      <c r="N4" s="208" t="s">
        <v>210</v>
      </c>
      <c r="O4" s="208" t="s">
        <v>210</v>
      </c>
      <c r="P4" s="208" t="s">
        <v>206</v>
      </c>
      <c r="Q4" s="208" t="s">
        <v>206</v>
      </c>
      <c r="R4" s="208" t="s">
        <v>212</v>
      </c>
      <c r="S4" s="209" t="s">
        <v>212</v>
      </c>
      <c r="V4" s="215"/>
      <c r="W4" s="216" t="s">
        <v>202</v>
      </c>
      <c r="X4" s="216" t="s">
        <v>208</v>
      </c>
      <c r="Y4" s="216" t="s">
        <v>204</v>
      </c>
      <c r="Z4" s="216" t="s">
        <v>210</v>
      </c>
      <c r="AA4" s="216" t="s">
        <v>206</v>
      </c>
      <c r="AB4" s="217" t="s">
        <v>212</v>
      </c>
    </row>
    <row r="5" spans="1:28" x14ac:dyDescent="0.3">
      <c r="A5" s="210"/>
      <c r="B5" s="218" t="s">
        <v>218</v>
      </c>
      <c r="C5" s="218" t="s">
        <v>219</v>
      </c>
      <c r="D5" s="218" t="s">
        <v>220</v>
      </c>
      <c r="E5" s="218" t="s">
        <v>221</v>
      </c>
      <c r="F5" s="219" t="s">
        <v>222</v>
      </c>
      <c r="G5" s="219" t="s">
        <v>223</v>
      </c>
      <c r="H5" s="219" t="s">
        <v>222</v>
      </c>
      <c r="I5" s="219" t="s">
        <v>223</v>
      </c>
      <c r="J5" s="219" t="s">
        <v>222</v>
      </c>
      <c r="K5" s="219" t="s">
        <v>223</v>
      </c>
      <c r="L5" s="219" t="s">
        <v>222</v>
      </c>
      <c r="M5" s="219" t="s">
        <v>223</v>
      </c>
      <c r="N5" s="219" t="s">
        <v>222</v>
      </c>
      <c r="O5" s="219" t="s">
        <v>223</v>
      </c>
      <c r="P5" s="219" t="s">
        <v>222</v>
      </c>
      <c r="Q5" s="219" t="s">
        <v>223</v>
      </c>
      <c r="R5" s="219" t="s">
        <v>222</v>
      </c>
      <c r="S5" s="220" t="s">
        <v>223</v>
      </c>
      <c r="V5" s="221" t="s">
        <v>218</v>
      </c>
      <c r="W5" s="181" t="s">
        <v>223</v>
      </c>
      <c r="X5" s="181" t="s">
        <v>223</v>
      </c>
      <c r="Y5" s="181" t="s">
        <v>223</v>
      </c>
      <c r="Z5" s="181" t="s">
        <v>223</v>
      </c>
      <c r="AA5" s="181" t="s">
        <v>223</v>
      </c>
      <c r="AB5" s="188" t="s">
        <v>223</v>
      </c>
    </row>
    <row r="6" spans="1:28" x14ac:dyDescent="0.3">
      <c r="A6" s="561" t="s">
        <v>148</v>
      </c>
      <c r="B6" s="222">
        <v>22</v>
      </c>
      <c r="C6" s="222" t="s">
        <v>224</v>
      </c>
      <c r="D6" s="222">
        <v>18</v>
      </c>
      <c r="E6" s="222">
        <v>25</v>
      </c>
      <c r="F6" s="505">
        <v>103.5</v>
      </c>
      <c r="G6" s="506">
        <v>0.56699999999999995</v>
      </c>
      <c r="H6" s="505">
        <v>103.5</v>
      </c>
      <c r="I6" s="506">
        <v>0.56699999999999995</v>
      </c>
      <c r="J6" s="505">
        <v>103.5</v>
      </c>
      <c r="K6" s="506">
        <v>0.56699999999999995</v>
      </c>
      <c r="L6" s="501">
        <v>104.02259588</v>
      </c>
      <c r="M6" s="501">
        <v>0.56986292000000005</v>
      </c>
      <c r="N6" s="501">
        <v>104.388413</v>
      </c>
      <c r="O6" s="501">
        <v>0.57186696000000004</v>
      </c>
      <c r="P6" s="501">
        <v>104.02259588</v>
      </c>
      <c r="Q6" s="501">
        <v>0.56986292000000005</v>
      </c>
      <c r="R6" s="501">
        <v>104.388413</v>
      </c>
      <c r="S6" s="502">
        <v>0.57186696000000004</v>
      </c>
      <c r="T6" s="223"/>
      <c r="V6" s="224">
        <v>22</v>
      </c>
      <c r="W6" s="225"/>
      <c r="X6" s="225"/>
      <c r="Y6" s="226">
        <v>5.0492356015074905E-3</v>
      </c>
      <c r="Z6" s="226">
        <v>8.5837005225627341E-3</v>
      </c>
      <c r="AA6" s="181">
        <v>5.0492356015074905E-3</v>
      </c>
      <c r="AB6" s="188">
        <v>8.5837005225627341E-3</v>
      </c>
    </row>
    <row r="7" spans="1:28" x14ac:dyDescent="0.3">
      <c r="A7" s="561"/>
      <c r="B7" s="222">
        <v>30</v>
      </c>
      <c r="C7" s="222" t="s">
        <v>225</v>
      </c>
      <c r="D7" s="222">
        <v>26</v>
      </c>
      <c r="E7" s="222">
        <v>35</v>
      </c>
      <c r="F7" s="505">
        <v>103.5</v>
      </c>
      <c r="G7" s="506">
        <v>1.026</v>
      </c>
      <c r="H7" s="505">
        <v>103.5</v>
      </c>
      <c r="I7" s="506">
        <v>1.026</v>
      </c>
      <c r="J7" s="505">
        <v>103.5</v>
      </c>
      <c r="K7" s="506">
        <v>1.026</v>
      </c>
      <c r="L7" s="501">
        <v>103.98469586</v>
      </c>
      <c r="M7" s="501">
        <v>1.03080481</v>
      </c>
      <c r="N7" s="501">
        <v>104.32398297</v>
      </c>
      <c r="O7" s="501">
        <v>1.03416818</v>
      </c>
      <c r="P7" s="501">
        <v>103.98469586</v>
      </c>
      <c r="Q7" s="501">
        <v>1.03080481</v>
      </c>
      <c r="R7" s="501">
        <v>104.32398297</v>
      </c>
      <c r="S7" s="502">
        <v>1.03416818</v>
      </c>
      <c r="T7" s="223"/>
      <c r="V7" s="224">
        <v>30</v>
      </c>
      <c r="W7" s="225"/>
      <c r="X7" s="225"/>
      <c r="Y7" s="226">
        <v>4.6830518205750642E-3</v>
      </c>
      <c r="Z7" s="226">
        <v>7.9611880949776101E-3</v>
      </c>
      <c r="AA7" s="181">
        <v>4.6830518205750642E-3</v>
      </c>
      <c r="AB7" s="188">
        <v>7.9611880949776101E-3</v>
      </c>
    </row>
    <row r="8" spans="1:28" x14ac:dyDescent="0.3">
      <c r="A8" s="561"/>
      <c r="B8" s="222">
        <v>40</v>
      </c>
      <c r="C8" s="222" t="s">
        <v>226</v>
      </c>
      <c r="D8" s="222">
        <v>36</v>
      </c>
      <c r="E8" s="222">
        <v>45</v>
      </c>
      <c r="F8" s="505">
        <v>103.5</v>
      </c>
      <c r="G8" s="506">
        <v>1.4624999999999999</v>
      </c>
      <c r="H8" s="505">
        <v>103.5</v>
      </c>
      <c r="I8" s="506">
        <v>1.4624999999999999</v>
      </c>
      <c r="J8" s="505">
        <v>103.5</v>
      </c>
      <c r="K8" s="506">
        <v>1.4624999999999999</v>
      </c>
      <c r="L8" s="501">
        <v>104.2918035</v>
      </c>
      <c r="M8" s="501">
        <v>1.47368853</v>
      </c>
      <c r="N8" s="501">
        <v>104.68770524999999</v>
      </c>
      <c r="O8" s="501">
        <v>1.4792827900000001</v>
      </c>
      <c r="P8" s="501">
        <v>104.2918035</v>
      </c>
      <c r="Q8" s="501">
        <v>1.47368853</v>
      </c>
      <c r="R8" s="501">
        <v>104.68770524999999</v>
      </c>
      <c r="S8" s="502">
        <v>1.4792827900000001</v>
      </c>
      <c r="T8" s="223"/>
      <c r="V8" s="224">
        <v>40</v>
      </c>
      <c r="W8" s="225"/>
      <c r="X8" s="225"/>
      <c r="Y8" s="226">
        <v>7.6502753650035098E-3</v>
      </c>
      <c r="Z8" s="226">
        <v>1.1475413047505266E-2</v>
      </c>
      <c r="AA8" s="181">
        <v>7.6502753650035098E-3</v>
      </c>
      <c r="AB8" s="188">
        <v>1.1475413047505266E-2</v>
      </c>
    </row>
    <row r="9" spans="1:28" x14ac:dyDescent="0.3">
      <c r="A9" s="561"/>
      <c r="B9" s="222">
        <v>48</v>
      </c>
      <c r="C9" s="222" t="s">
        <v>227</v>
      </c>
      <c r="D9" s="222">
        <v>46</v>
      </c>
      <c r="E9" s="222">
        <v>50</v>
      </c>
      <c r="F9" s="505">
        <v>103.5</v>
      </c>
      <c r="G9" s="506">
        <v>1.5029999999999999</v>
      </c>
      <c r="H9" s="505">
        <v>103.5</v>
      </c>
      <c r="I9" s="506">
        <v>1.5029999999999999</v>
      </c>
      <c r="J9" s="505">
        <v>103.5</v>
      </c>
      <c r="K9" s="506">
        <v>1.5029999999999999</v>
      </c>
      <c r="L9" s="501">
        <v>104.65276226</v>
      </c>
      <c r="M9" s="501">
        <v>1.5197401100000001</v>
      </c>
      <c r="N9" s="501">
        <v>105.51733394999999</v>
      </c>
      <c r="O9" s="501">
        <v>1.5322952000000001</v>
      </c>
      <c r="P9" s="501">
        <v>104.65276226</v>
      </c>
      <c r="Q9" s="501">
        <v>1.5197401100000001</v>
      </c>
      <c r="R9" s="501">
        <v>105.51733394999999</v>
      </c>
      <c r="S9" s="502">
        <v>1.5322952000000001</v>
      </c>
      <c r="T9" s="223"/>
      <c r="V9" s="224">
        <v>48</v>
      </c>
      <c r="W9" s="225"/>
      <c r="X9" s="225"/>
      <c r="Y9" s="226">
        <v>1.1137799568411072E-2</v>
      </c>
      <c r="Z9" s="226">
        <v>1.9491149244719376E-2</v>
      </c>
      <c r="AA9" s="181">
        <v>1.1137799568411072E-2</v>
      </c>
      <c r="AB9" s="188">
        <v>1.9491149244719376E-2</v>
      </c>
    </row>
    <row r="10" spans="1:28" x14ac:dyDescent="0.3">
      <c r="A10" s="561"/>
      <c r="B10" s="222">
        <v>53</v>
      </c>
      <c r="C10" s="222" t="s">
        <v>228</v>
      </c>
      <c r="D10" s="222">
        <v>51</v>
      </c>
      <c r="E10" s="222">
        <v>55</v>
      </c>
      <c r="F10" s="505">
        <v>76.345151869999995</v>
      </c>
      <c r="G10" s="506">
        <v>2.1730969600000001</v>
      </c>
      <c r="H10" s="505">
        <v>76.345151869999995</v>
      </c>
      <c r="I10" s="506">
        <v>2.1730969600000001</v>
      </c>
      <c r="J10" s="505">
        <v>76.345151869999995</v>
      </c>
      <c r="K10" s="506">
        <v>2.1730969600000001</v>
      </c>
      <c r="L10" s="501">
        <v>79.596364640000004</v>
      </c>
      <c r="M10" s="501">
        <v>2.2656398499999999</v>
      </c>
      <c r="N10" s="501">
        <v>81.763839820000001</v>
      </c>
      <c r="O10" s="501">
        <v>2.3273351</v>
      </c>
      <c r="P10" s="501">
        <v>79.596364640000004</v>
      </c>
      <c r="Q10" s="501">
        <v>2.2656398499999999</v>
      </c>
      <c r="R10" s="501">
        <v>81.763839820000001</v>
      </c>
      <c r="S10" s="502">
        <v>2.3273351</v>
      </c>
      <c r="T10" s="223"/>
      <c r="V10" s="224">
        <v>53</v>
      </c>
      <c r="W10" s="225"/>
      <c r="X10" s="225"/>
      <c r="Y10" s="226">
        <v>4.2585713576949978E-2</v>
      </c>
      <c r="Z10" s="226">
        <v>7.0976189294916642E-2</v>
      </c>
      <c r="AA10" s="181">
        <v>4.2585713576949978E-2</v>
      </c>
      <c r="AB10" s="188">
        <v>7.0976189294916642E-2</v>
      </c>
    </row>
    <row r="11" spans="1:28" x14ac:dyDescent="0.3">
      <c r="A11" s="561"/>
      <c r="B11" s="222">
        <v>58</v>
      </c>
      <c r="C11" s="222" t="s">
        <v>229</v>
      </c>
      <c r="D11" s="222">
        <v>56</v>
      </c>
      <c r="E11" s="222">
        <v>60</v>
      </c>
      <c r="F11" s="505">
        <v>63.962027740000003</v>
      </c>
      <c r="G11" s="506">
        <v>3.2050916900000002</v>
      </c>
      <c r="H11" s="505">
        <v>63.962027740000003</v>
      </c>
      <c r="I11" s="506">
        <v>3.2050916900000002</v>
      </c>
      <c r="J11" s="505">
        <v>63.962027740000003</v>
      </c>
      <c r="K11" s="506">
        <v>3.2050916900000002</v>
      </c>
      <c r="L11" s="501">
        <v>63.962027740000003</v>
      </c>
      <c r="M11" s="501">
        <v>3.2050916900000002</v>
      </c>
      <c r="N11" s="501">
        <v>63.962027740000003</v>
      </c>
      <c r="O11" s="501">
        <v>3.2050916900000002</v>
      </c>
      <c r="P11" s="501">
        <v>63.962027740000003</v>
      </c>
      <c r="Q11" s="501">
        <v>3.2050916900000002</v>
      </c>
      <c r="R11" s="501">
        <v>63.962027740000003</v>
      </c>
      <c r="S11" s="502">
        <v>3.2050916900000002</v>
      </c>
      <c r="T11" s="223"/>
      <c r="V11" s="224">
        <v>58</v>
      </c>
      <c r="W11" s="225"/>
      <c r="X11" s="225"/>
      <c r="Y11" s="227">
        <v>0</v>
      </c>
      <c r="Z11" s="227">
        <v>0</v>
      </c>
      <c r="AA11" s="181">
        <v>0</v>
      </c>
      <c r="AB11" s="188">
        <v>0</v>
      </c>
    </row>
    <row r="12" spans="1:28" x14ac:dyDescent="0.3">
      <c r="A12" s="561"/>
      <c r="B12" s="222">
        <v>60</v>
      </c>
      <c r="C12" s="222" t="s">
        <v>230</v>
      </c>
      <c r="D12" s="222">
        <v>61</v>
      </c>
      <c r="E12" s="222">
        <v>65</v>
      </c>
      <c r="F12" s="505">
        <v>63.89791176</v>
      </c>
      <c r="G12" s="506">
        <v>4.4952286800000003</v>
      </c>
      <c r="H12" s="505">
        <v>63.89791176</v>
      </c>
      <c r="I12" s="506">
        <v>4.4952286800000003</v>
      </c>
      <c r="J12" s="505">
        <v>63.89791176</v>
      </c>
      <c r="K12" s="506">
        <v>4.4952286800000003</v>
      </c>
      <c r="L12" s="501">
        <v>63.89791176</v>
      </c>
      <c r="M12" s="501">
        <v>4.4952286800000003</v>
      </c>
      <c r="N12" s="501">
        <v>63.89791176</v>
      </c>
      <c r="O12" s="501">
        <v>4.4952286800000003</v>
      </c>
      <c r="P12" s="501">
        <v>63.89791176</v>
      </c>
      <c r="Q12" s="501">
        <v>4.4952286800000003</v>
      </c>
      <c r="R12" s="501">
        <v>63.89791176</v>
      </c>
      <c r="S12" s="502">
        <v>4.4952286800000003</v>
      </c>
      <c r="T12" s="223"/>
      <c r="V12" s="224">
        <v>63</v>
      </c>
      <c r="W12" s="225"/>
      <c r="X12" s="225"/>
      <c r="Y12" s="227">
        <v>0</v>
      </c>
      <c r="Z12" s="227">
        <v>0</v>
      </c>
      <c r="AA12" s="181">
        <v>0</v>
      </c>
      <c r="AB12" s="188">
        <v>0</v>
      </c>
    </row>
    <row r="13" spans="1:28" x14ac:dyDescent="0.3">
      <c r="A13" s="561"/>
      <c r="B13" s="222">
        <v>67</v>
      </c>
      <c r="C13" s="222" t="s">
        <v>231</v>
      </c>
      <c r="D13" s="222">
        <v>66</v>
      </c>
      <c r="E13" s="222">
        <v>70</v>
      </c>
      <c r="F13" s="505">
        <v>65.279617349999995</v>
      </c>
      <c r="G13" s="506">
        <v>6.1539056199999997</v>
      </c>
      <c r="H13" s="505">
        <v>65.279617349999995</v>
      </c>
      <c r="I13" s="506">
        <v>6.1539056199999997</v>
      </c>
      <c r="J13" s="505">
        <v>65.279617349999995</v>
      </c>
      <c r="K13" s="506">
        <v>6.1539056199999997</v>
      </c>
      <c r="L13" s="501">
        <v>65.279617349999995</v>
      </c>
      <c r="M13" s="501">
        <v>6.1539056199999997</v>
      </c>
      <c r="N13" s="501">
        <v>65.279617349999995</v>
      </c>
      <c r="O13" s="501">
        <v>6.1539056199999997</v>
      </c>
      <c r="P13" s="501">
        <v>65.279617349999995</v>
      </c>
      <c r="Q13" s="501">
        <v>6.1539056199999997</v>
      </c>
      <c r="R13" s="501">
        <v>65.279617349999995</v>
      </c>
      <c r="S13" s="502">
        <v>6.1539056199999997</v>
      </c>
      <c r="T13" s="223"/>
      <c r="V13" s="224">
        <v>67</v>
      </c>
      <c r="W13" s="225"/>
      <c r="X13" s="225"/>
      <c r="Y13" s="227">
        <v>0</v>
      </c>
      <c r="Z13" s="227">
        <v>0</v>
      </c>
      <c r="AA13" s="181">
        <v>0</v>
      </c>
      <c r="AB13" s="188">
        <v>0</v>
      </c>
    </row>
    <row r="14" spans="1:28" ht="15" thickBot="1" x14ac:dyDescent="0.35">
      <c r="A14" s="562"/>
      <c r="B14" s="228">
        <v>73</v>
      </c>
      <c r="C14" s="228" t="s">
        <v>232</v>
      </c>
      <c r="D14" s="228">
        <v>71</v>
      </c>
      <c r="E14" s="228">
        <v>75</v>
      </c>
      <c r="F14" s="507">
        <v>67.070967929999995</v>
      </c>
      <c r="G14" s="508">
        <v>9.8738454099999995</v>
      </c>
      <c r="H14" s="507">
        <v>67.070967929999995</v>
      </c>
      <c r="I14" s="508">
        <v>9.8738454099999995</v>
      </c>
      <c r="J14" s="507">
        <v>67.070967929999995</v>
      </c>
      <c r="K14" s="508">
        <v>9.8738454099999995</v>
      </c>
      <c r="L14" s="503">
        <v>67.070967929999995</v>
      </c>
      <c r="M14" s="503">
        <v>9.8738454099999995</v>
      </c>
      <c r="N14" s="503">
        <v>67.070967929999995</v>
      </c>
      <c r="O14" s="503">
        <v>9.8738454099999995</v>
      </c>
      <c r="P14" s="503">
        <v>67.070967929999995</v>
      </c>
      <c r="Q14" s="503">
        <v>9.8738454099999995</v>
      </c>
      <c r="R14" s="503">
        <v>67.070967929999995</v>
      </c>
      <c r="S14" s="504">
        <v>9.8738454099999995</v>
      </c>
      <c r="T14" s="223"/>
      <c r="V14" s="229">
        <v>73</v>
      </c>
      <c r="W14" s="230"/>
      <c r="X14" s="230"/>
      <c r="Y14" s="231">
        <v>0</v>
      </c>
      <c r="Z14" s="227">
        <v>0</v>
      </c>
      <c r="AA14" s="181">
        <v>0</v>
      </c>
      <c r="AB14" s="188">
        <v>0</v>
      </c>
    </row>
    <row r="15" spans="1:28" x14ac:dyDescent="0.3">
      <c r="A15" s="563" t="s">
        <v>64</v>
      </c>
      <c r="B15" s="262">
        <v>22</v>
      </c>
      <c r="C15" s="262" t="s">
        <v>224</v>
      </c>
      <c r="D15" s="262">
        <v>18</v>
      </c>
      <c r="E15" s="262">
        <v>25</v>
      </c>
      <c r="F15" s="495">
        <v>0</v>
      </c>
      <c r="G15" s="496">
        <v>0.56699999999999995</v>
      </c>
      <c r="H15" s="495">
        <v>0</v>
      </c>
      <c r="I15" s="497">
        <v>0.57506274999999996</v>
      </c>
      <c r="J15" s="495">
        <v>0</v>
      </c>
      <c r="K15" s="497">
        <v>0.58165955000000003</v>
      </c>
      <c r="L15" s="495">
        <v>0</v>
      </c>
      <c r="M15" s="497">
        <v>0.57432978000000001</v>
      </c>
      <c r="N15" s="495">
        <v>0</v>
      </c>
      <c r="O15" s="497">
        <v>0.57946061999999998</v>
      </c>
      <c r="P15" s="495">
        <v>0</v>
      </c>
      <c r="Q15" s="497">
        <v>0.58239253000000002</v>
      </c>
      <c r="R15" s="495">
        <v>0</v>
      </c>
      <c r="S15" s="498">
        <v>0.59412016999999995</v>
      </c>
      <c r="T15" s="233"/>
      <c r="V15" s="234">
        <v>22</v>
      </c>
      <c r="W15" s="235">
        <v>1.4220025481067208E-2</v>
      </c>
      <c r="X15" s="235">
        <v>2.5854591783758558E-2</v>
      </c>
      <c r="Y15" s="235">
        <v>1.2927295891879279E-2</v>
      </c>
      <c r="Z15" s="235">
        <v>2.1976403016194773E-2</v>
      </c>
      <c r="AA15" s="216">
        <v>2.7147321372946488E-2</v>
      </c>
      <c r="AB15" s="217">
        <v>4.7830994799953327E-2</v>
      </c>
    </row>
    <row r="16" spans="1:28" x14ac:dyDescent="0.3">
      <c r="A16" s="564"/>
      <c r="B16" s="222">
        <v>30</v>
      </c>
      <c r="C16" s="222" t="s">
        <v>225</v>
      </c>
      <c r="D16" s="222">
        <v>26</v>
      </c>
      <c r="E16" s="222">
        <v>35</v>
      </c>
      <c r="F16" s="487">
        <v>0</v>
      </c>
      <c r="G16" s="488">
        <v>1.026</v>
      </c>
      <c r="H16" s="487">
        <v>0</v>
      </c>
      <c r="I16" s="492">
        <v>1.0509134</v>
      </c>
      <c r="J16" s="487">
        <v>0</v>
      </c>
      <c r="K16" s="492">
        <v>1.0716745700000001</v>
      </c>
      <c r="L16" s="487">
        <v>0</v>
      </c>
      <c r="M16" s="492">
        <v>1.0363805800000001</v>
      </c>
      <c r="N16" s="487">
        <v>0</v>
      </c>
      <c r="O16" s="491">
        <v>1.0436469900000001</v>
      </c>
      <c r="P16" s="487">
        <v>0</v>
      </c>
      <c r="Q16" s="491">
        <v>1.06129399</v>
      </c>
      <c r="R16" s="487">
        <v>0</v>
      </c>
      <c r="S16" s="494">
        <v>1.0893215599999999</v>
      </c>
      <c r="T16" s="233"/>
      <c r="V16" s="224">
        <v>30</v>
      </c>
      <c r="W16" s="226">
        <v>2.4282067799217617E-2</v>
      </c>
      <c r="X16" s="226">
        <v>4.4517124298565629E-2</v>
      </c>
      <c r="Y16" s="226">
        <v>1.0117528249674008E-2</v>
      </c>
      <c r="Z16" s="226">
        <v>1.7199798024445812E-2</v>
      </c>
      <c r="AA16" s="181">
        <v>3.4399596048891624E-2</v>
      </c>
      <c r="AB16" s="188">
        <v>6.1716922323011444E-2</v>
      </c>
    </row>
    <row r="17" spans="1:28" x14ac:dyDescent="0.3">
      <c r="A17" s="564"/>
      <c r="B17" s="222">
        <v>40</v>
      </c>
      <c r="C17" s="222" t="s">
        <v>226</v>
      </c>
      <c r="D17" s="222">
        <v>36</v>
      </c>
      <c r="E17" s="222">
        <v>45</v>
      </c>
      <c r="F17" s="487">
        <v>0</v>
      </c>
      <c r="G17" s="488">
        <v>1.4624999999999999</v>
      </c>
      <c r="H17" s="487">
        <v>0</v>
      </c>
      <c r="I17" s="492">
        <v>1.5305268000000001</v>
      </c>
      <c r="J17" s="487">
        <v>0</v>
      </c>
      <c r="K17" s="492">
        <v>1.58991057</v>
      </c>
      <c r="L17" s="487">
        <v>0</v>
      </c>
      <c r="M17" s="492">
        <v>1.4794880800000001</v>
      </c>
      <c r="N17" s="487">
        <v>0</v>
      </c>
      <c r="O17" s="491">
        <v>1.4879821099999999</v>
      </c>
      <c r="P17" s="487">
        <v>0</v>
      </c>
      <c r="Q17" s="491">
        <v>1.5475148700000001</v>
      </c>
      <c r="R17" s="487">
        <v>0</v>
      </c>
      <c r="S17" s="494">
        <v>1.61539269</v>
      </c>
      <c r="T17" s="233"/>
      <c r="V17" s="224">
        <v>40</v>
      </c>
      <c r="W17" s="226">
        <v>4.6514050150492037E-2</v>
      </c>
      <c r="X17" s="226">
        <v>8.7118339297682201E-2</v>
      </c>
      <c r="Y17" s="226">
        <v>1.1615778573024293E-2</v>
      </c>
      <c r="Z17" s="226">
        <v>1.7423667859536439E-2</v>
      </c>
      <c r="AA17" s="181">
        <v>5.8129828723516332E-2</v>
      </c>
      <c r="AB17" s="188">
        <v>0.10454200715721865</v>
      </c>
    </row>
    <row r="18" spans="1:28" x14ac:dyDescent="0.3">
      <c r="A18" s="564"/>
      <c r="B18" s="222">
        <v>48</v>
      </c>
      <c r="C18" s="222" t="s">
        <v>227</v>
      </c>
      <c r="D18" s="222">
        <v>46</v>
      </c>
      <c r="E18" s="222">
        <v>50</v>
      </c>
      <c r="F18" s="487">
        <v>0</v>
      </c>
      <c r="G18" s="488">
        <v>1.5029999999999999</v>
      </c>
      <c r="H18" s="487">
        <v>0</v>
      </c>
      <c r="I18" s="492">
        <v>1.62435789</v>
      </c>
      <c r="J18" s="487">
        <v>0</v>
      </c>
      <c r="K18" s="492">
        <v>1.71971052</v>
      </c>
      <c r="L18" s="487">
        <v>0</v>
      </c>
      <c r="M18" s="492">
        <v>1.51925329</v>
      </c>
      <c r="N18" s="487">
        <v>0</v>
      </c>
      <c r="O18" s="491">
        <v>1.5300888100000001</v>
      </c>
      <c r="P18" s="487">
        <v>0</v>
      </c>
      <c r="Q18" s="491">
        <v>1.6406111800000001</v>
      </c>
      <c r="R18" s="487">
        <v>0</v>
      </c>
      <c r="S18" s="494">
        <v>1.74679933</v>
      </c>
      <c r="T18" s="233"/>
      <c r="V18" s="224">
        <v>48</v>
      </c>
      <c r="W18" s="226">
        <v>8.0743772939660272E-2</v>
      </c>
      <c r="X18" s="226">
        <v>0.14418530882082192</v>
      </c>
      <c r="Y18" s="226">
        <v>1.0813898161561643E-2</v>
      </c>
      <c r="Z18" s="226">
        <v>1.802316360260274E-2</v>
      </c>
      <c r="AA18" s="181">
        <v>9.1557671101221913E-2</v>
      </c>
      <c r="AB18" s="188">
        <v>0.16220847242342468</v>
      </c>
    </row>
    <row r="19" spans="1:28" x14ac:dyDescent="0.3">
      <c r="A19" s="564"/>
      <c r="B19" s="222">
        <v>53</v>
      </c>
      <c r="C19" s="222" t="s">
        <v>228</v>
      </c>
      <c r="D19" s="222">
        <v>51</v>
      </c>
      <c r="E19" s="222">
        <v>55</v>
      </c>
      <c r="F19" s="487">
        <v>0.31528730999999999</v>
      </c>
      <c r="G19" s="488">
        <v>2.2962182100000001</v>
      </c>
      <c r="H19" s="487">
        <v>0.34993004999999999</v>
      </c>
      <c r="I19" s="492">
        <v>2.5485191399999998</v>
      </c>
      <c r="J19" s="487">
        <v>0.37369658</v>
      </c>
      <c r="K19" s="492">
        <v>2.7216092999999999</v>
      </c>
      <c r="L19" s="487">
        <v>0</v>
      </c>
      <c r="M19" s="492">
        <v>2.4135674800000002</v>
      </c>
      <c r="N19" s="487">
        <v>0</v>
      </c>
      <c r="O19" s="491">
        <v>2.4869107700000002</v>
      </c>
      <c r="P19" s="487">
        <v>0</v>
      </c>
      <c r="Q19" s="491">
        <v>2.6658683999999999</v>
      </c>
      <c r="R19" s="487">
        <v>0</v>
      </c>
      <c r="S19" s="494">
        <v>2.9123018599999999</v>
      </c>
      <c r="T19" s="233"/>
      <c r="V19" s="224">
        <v>53</v>
      </c>
      <c r="W19" s="226">
        <v>0.10987671794961011</v>
      </c>
      <c r="X19" s="226">
        <v>0.18525725700806356</v>
      </c>
      <c r="Y19" s="226">
        <v>5.1105450209120981E-2</v>
      </c>
      <c r="Z19" s="226">
        <v>8.3046356589821596E-2</v>
      </c>
      <c r="AA19" s="181">
        <v>0.16098216815873109</v>
      </c>
      <c r="AB19" s="188">
        <v>0.26830361359788513</v>
      </c>
    </row>
    <row r="20" spans="1:28" x14ac:dyDescent="0.3">
      <c r="A20" s="564"/>
      <c r="B20" s="222">
        <v>58</v>
      </c>
      <c r="C20" s="222" t="s">
        <v>229</v>
      </c>
      <c r="D20" s="222">
        <v>56</v>
      </c>
      <c r="E20" s="222">
        <v>60</v>
      </c>
      <c r="F20" s="487">
        <v>0.48831264000000002</v>
      </c>
      <c r="G20" s="488">
        <v>3.1917163999999998</v>
      </c>
      <c r="H20" s="487">
        <v>0.55697960999999996</v>
      </c>
      <c r="I20" s="492">
        <v>3.64053848</v>
      </c>
      <c r="J20" s="487">
        <v>0.60469733000000003</v>
      </c>
      <c r="K20" s="492">
        <v>3.9524317899999999</v>
      </c>
      <c r="L20" s="487">
        <v>0</v>
      </c>
      <c r="M20" s="492">
        <v>3.1917163999999998</v>
      </c>
      <c r="N20" s="487">
        <v>0</v>
      </c>
      <c r="O20" s="491">
        <v>3.1917163999999998</v>
      </c>
      <c r="P20" s="487">
        <v>0</v>
      </c>
      <c r="Q20" s="491">
        <v>3.64053848</v>
      </c>
      <c r="R20" s="487">
        <v>0</v>
      </c>
      <c r="S20" s="494">
        <v>3.9524317899999999</v>
      </c>
      <c r="T20" s="233"/>
      <c r="V20" s="224">
        <v>58</v>
      </c>
      <c r="W20" s="226">
        <v>0.14062091616302871</v>
      </c>
      <c r="X20" s="226">
        <v>0.23834053586954021</v>
      </c>
      <c r="Y20" s="227">
        <v>0</v>
      </c>
      <c r="Z20" s="227">
        <v>0</v>
      </c>
      <c r="AA20" s="181">
        <v>0.14062091616302871</v>
      </c>
      <c r="AB20" s="188">
        <v>0.23834053586954021</v>
      </c>
    </row>
    <row r="21" spans="1:28" x14ac:dyDescent="0.3">
      <c r="A21" s="564"/>
      <c r="B21" s="222">
        <v>60</v>
      </c>
      <c r="C21" s="222" t="s">
        <v>230</v>
      </c>
      <c r="D21" s="222">
        <v>61</v>
      </c>
      <c r="E21" s="222">
        <v>65</v>
      </c>
      <c r="F21" s="487">
        <v>0.93658070999999998</v>
      </c>
      <c r="G21" s="488">
        <v>4.3540890499999998</v>
      </c>
      <c r="H21" s="487">
        <v>1.1143734599999999</v>
      </c>
      <c r="I21" s="492">
        <v>5.1806333699999998</v>
      </c>
      <c r="J21" s="487">
        <v>1.22259513</v>
      </c>
      <c r="K21" s="492">
        <v>5.6837473100000002</v>
      </c>
      <c r="L21" s="487">
        <v>0</v>
      </c>
      <c r="M21" s="492">
        <v>4.3540890499999998</v>
      </c>
      <c r="N21" s="487">
        <v>0</v>
      </c>
      <c r="O21" s="491">
        <v>4.3540890499999998</v>
      </c>
      <c r="P21" s="487">
        <v>0</v>
      </c>
      <c r="Q21" s="491">
        <v>5.1806333699999998</v>
      </c>
      <c r="R21" s="487">
        <v>0</v>
      </c>
      <c r="S21" s="494">
        <v>5.6837473100000002</v>
      </c>
      <c r="T21" s="233"/>
      <c r="V21" s="224">
        <v>63</v>
      </c>
      <c r="W21" s="226">
        <v>0.18983174545440493</v>
      </c>
      <c r="X21" s="226">
        <v>0.30538150355708615</v>
      </c>
      <c r="Y21" s="227">
        <v>0</v>
      </c>
      <c r="Z21" s="227">
        <v>0</v>
      </c>
      <c r="AA21" s="181">
        <v>0.18983174545440493</v>
      </c>
      <c r="AB21" s="188">
        <v>0.30538150355708615</v>
      </c>
    </row>
    <row r="22" spans="1:28" x14ac:dyDescent="0.3">
      <c r="A22" s="564"/>
      <c r="B22" s="222">
        <v>67</v>
      </c>
      <c r="C22" s="222" t="s">
        <v>231</v>
      </c>
      <c r="D22" s="222">
        <v>66</v>
      </c>
      <c r="E22" s="222">
        <v>70</v>
      </c>
      <c r="F22" s="487">
        <v>0.44572644</v>
      </c>
      <c r="G22" s="488">
        <v>5.8086775499999996</v>
      </c>
      <c r="H22" s="487">
        <v>0.54916770999999998</v>
      </c>
      <c r="I22" s="492">
        <v>7.1567173300000002</v>
      </c>
      <c r="J22" s="487">
        <v>0.60647976000000003</v>
      </c>
      <c r="K22" s="492">
        <v>7.90360423</v>
      </c>
      <c r="L22" s="487">
        <v>0</v>
      </c>
      <c r="M22" s="492">
        <v>5.8086775499999996</v>
      </c>
      <c r="N22" s="487">
        <v>0</v>
      </c>
      <c r="O22" s="491">
        <v>5.8086775499999996</v>
      </c>
      <c r="P22" s="487">
        <v>0</v>
      </c>
      <c r="Q22" s="491">
        <v>7.1567173300000002</v>
      </c>
      <c r="R22" s="487">
        <v>0</v>
      </c>
      <c r="S22" s="494">
        <v>7.90360423</v>
      </c>
      <c r="T22" s="233"/>
      <c r="V22" s="224">
        <v>67</v>
      </c>
      <c r="W22" s="226">
        <v>0.23207343896063432</v>
      </c>
      <c r="X22" s="226">
        <v>0.36065466865503981</v>
      </c>
      <c r="Y22" s="227">
        <v>0</v>
      </c>
      <c r="Z22" s="227">
        <v>0</v>
      </c>
      <c r="AA22" s="181">
        <v>0.23207343896063432</v>
      </c>
      <c r="AB22" s="188">
        <v>0.36065466865503981</v>
      </c>
    </row>
    <row r="23" spans="1:28" ht="15" thickBot="1" x14ac:dyDescent="0.35">
      <c r="A23" s="565"/>
      <c r="B23" s="228">
        <v>73</v>
      </c>
      <c r="C23" s="228" t="s">
        <v>232</v>
      </c>
      <c r="D23" s="228">
        <v>71</v>
      </c>
      <c r="E23" s="228">
        <v>75</v>
      </c>
      <c r="F23" s="489">
        <v>0.64539676000000001</v>
      </c>
      <c r="G23" s="490">
        <v>9.0919228400000005</v>
      </c>
      <c r="H23" s="489">
        <v>0.84371856999999995</v>
      </c>
      <c r="I23" s="493">
        <v>11.88574934</v>
      </c>
      <c r="J23" s="489">
        <v>0.93080218000000003</v>
      </c>
      <c r="K23" s="493">
        <v>13.112525720000001</v>
      </c>
      <c r="L23" s="489">
        <v>0</v>
      </c>
      <c r="M23" s="493">
        <v>9.0919228400000005</v>
      </c>
      <c r="N23" s="489">
        <v>0</v>
      </c>
      <c r="O23" s="499">
        <v>9.0919228400000005</v>
      </c>
      <c r="P23" s="489">
        <v>0</v>
      </c>
      <c r="Q23" s="499">
        <v>11.88574934</v>
      </c>
      <c r="R23" s="489">
        <v>0</v>
      </c>
      <c r="S23" s="500">
        <v>13.112525720000001</v>
      </c>
      <c r="T23" s="233"/>
      <c r="V23" s="236">
        <v>73</v>
      </c>
      <c r="W23" s="237">
        <v>0.30728664915829684</v>
      </c>
      <c r="X23" s="237">
        <v>0.44221700471819003</v>
      </c>
      <c r="Y23" s="238">
        <v>0</v>
      </c>
      <c r="Z23" s="238">
        <v>0</v>
      </c>
      <c r="AA23" s="190">
        <v>0.30728664915829684</v>
      </c>
      <c r="AB23" s="191">
        <v>0.44221700471819003</v>
      </c>
    </row>
    <row r="25" spans="1:28" x14ac:dyDescent="0.3">
      <c r="L25" s="192"/>
      <c r="Q25" s="192"/>
    </row>
    <row r="26" spans="1:28" x14ac:dyDescent="0.3">
      <c r="Q26" s="192"/>
    </row>
  </sheetData>
  <sheetProtection algorithmName="SHA-512" hashValue="3SUIaTsIt2RU/W9YQCuYPGaBy/fOw8QGsfrRxAqtq97u7RTnQ2KnFrdPPVNlP+uyZumrdnDUHWrb34Tkc0O/nQ==" saltValue="u+eggG0tFYoN1Zaem85eAQ==" spinCount="100000" sheet="1" objects="1" scenarios="1"/>
  <mergeCells count="3">
    <mergeCell ref="A1:S1"/>
    <mergeCell ref="A6:A14"/>
    <mergeCell ref="A15:A23"/>
  </mergeCells>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6F11-AB40-43DE-B9A8-9AF246E427C4}">
  <sheetPr codeName="Sheet3"/>
  <dimension ref="A1:AB63"/>
  <sheetViews>
    <sheetView workbookViewId="0">
      <pane xSplit="1" ySplit="4" topLeftCell="B28" activePane="bottomRight" state="frozen"/>
      <selection pane="topRight" activeCell="B1" sqref="B1"/>
      <selection pane="bottomLeft" activeCell="A5" sqref="A5"/>
      <selection pane="bottomRight" activeCell="F47" sqref="F47:G47"/>
    </sheetView>
  </sheetViews>
  <sheetFormatPr defaultColWidth="8.6640625" defaultRowHeight="14.4" x14ac:dyDescent="0.3"/>
  <cols>
    <col min="1" max="1" width="17.6640625" style="166" bestFit="1" customWidth="1"/>
    <col min="2" max="5" width="8.6640625" style="166"/>
    <col min="6" max="6" width="12.88671875" style="166" bestFit="1" customWidth="1"/>
    <col min="7" max="7" width="13.44140625" style="166" bestFit="1" customWidth="1"/>
    <col min="8" max="8" width="12.88671875" style="166" bestFit="1" customWidth="1"/>
    <col min="9" max="9" width="13.44140625" style="166" bestFit="1" customWidth="1"/>
    <col min="10" max="10" width="12.88671875" style="166" bestFit="1" customWidth="1"/>
    <col min="11" max="11" width="13.44140625" style="166" bestFit="1" customWidth="1"/>
    <col min="12" max="12" width="12.88671875" style="166" bestFit="1" customWidth="1"/>
    <col min="13" max="13" width="13.44140625" style="166" bestFit="1" customWidth="1"/>
    <col min="14" max="14" width="12.88671875" style="166" bestFit="1" customWidth="1"/>
    <col min="15" max="15" width="13.44140625" style="166" bestFit="1" customWidth="1"/>
    <col min="16" max="16" width="14" style="166" bestFit="1" customWidth="1"/>
    <col min="17" max="17" width="14.109375" style="166" bestFit="1" customWidth="1"/>
    <col min="18" max="18" width="14" style="166" bestFit="1" customWidth="1"/>
    <col min="19" max="19" width="15.109375" style="166" bestFit="1" customWidth="1"/>
    <col min="20" max="20" width="15.6640625" style="166" customWidth="1"/>
    <col min="21" max="21" width="8.6640625" style="166"/>
    <col min="22" max="22" width="9.44140625" style="166" bestFit="1" customWidth="1"/>
    <col min="23" max="23" width="10.6640625" style="166" bestFit="1" customWidth="1"/>
    <col min="24" max="24" width="11.6640625" style="166" bestFit="1" customWidth="1"/>
    <col min="25" max="25" width="10.44140625" style="166" bestFit="1" customWidth="1"/>
    <col min="26" max="26" width="11.33203125" style="166" bestFit="1" customWidth="1"/>
    <col min="27" max="27" width="14.33203125" style="166" bestFit="1" customWidth="1"/>
    <col min="28" max="28" width="15.109375" style="166" bestFit="1" customWidth="1"/>
    <col min="29" max="16384" width="8.6640625" style="166"/>
  </cols>
  <sheetData>
    <row r="1" spans="1:28" ht="18" x14ac:dyDescent="0.35">
      <c r="A1" s="566" t="s">
        <v>380</v>
      </c>
      <c r="B1" s="567"/>
      <c r="C1" s="567"/>
      <c r="D1" s="567"/>
      <c r="E1" s="567"/>
      <c r="F1" s="567"/>
      <c r="G1" s="567"/>
      <c r="H1" s="567"/>
      <c r="I1" s="567"/>
      <c r="J1" s="567"/>
      <c r="K1" s="567"/>
      <c r="L1" s="567"/>
      <c r="M1" s="567"/>
      <c r="N1" s="567"/>
      <c r="O1" s="567"/>
      <c r="P1" s="567"/>
      <c r="Q1" s="567"/>
      <c r="R1" s="567"/>
      <c r="S1" s="567"/>
      <c r="T1" s="567"/>
      <c r="U1" s="567"/>
      <c r="V1" s="567"/>
      <c r="W1" s="567"/>
      <c r="X1" s="567"/>
      <c r="Y1" s="567"/>
      <c r="Z1" s="567"/>
      <c r="AA1" s="567"/>
      <c r="AB1" s="568"/>
    </row>
    <row r="2" spans="1:28" ht="15" thickBot="1" x14ac:dyDescent="0.35">
      <c r="V2" s="165" t="s">
        <v>216</v>
      </c>
    </row>
    <row r="3" spans="1:28" ht="15" thickBot="1" x14ac:dyDescent="0.35">
      <c r="A3" s="239"/>
      <c r="B3" s="240"/>
      <c r="C3" s="240"/>
      <c r="D3" s="240"/>
      <c r="E3" s="427"/>
      <c r="F3" s="453" t="s">
        <v>200</v>
      </c>
      <c r="G3" s="454" t="s">
        <v>200</v>
      </c>
      <c r="H3" s="453" t="s">
        <v>202</v>
      </c>
      <c r="I3" s="454" t="s">
        <v>202</v>
      </c>
      <c r="J3" s="453" t="s">
        <v>208</v>
      </c>
      <c r="K3" s="454" t="s">
        <v>208</v>
      </c>
      <c r="L3" s="453" t="s">
        <v>204</v>
      </c>
      <c r="M3" s="454" t="s">
        <v>204</v>
      </c>
      <c r="N3" s="453" t="s">
        <v>210</v>
      </c>
      <c r="O3" s="454" t="s">
        <v>210</v>
      </c>
      <c r="P3" s="453" t="s">
        <v>206</v>
      </c>
      <c r="Q3" s="454" t="s">
        <v>206</v>
      </c>
      <c r="R3" s="453" t="s">
        <v>212</v>
      </c>
      <c r="S3" s="454" t="s">
        <v>212</v>
      </c>
      <c r="U3" s="214"/>
      <c r="V3" s="208" t="s">
        <v>200</v>
      </c>
      <c r="W3" s="208" t="s">
        <v>202</v>
      </c>
      <c r="X3" s="208" t="s">
        <v>208</v>
      </c>
      <c r="Y3" s="208" t="s">
        <v>204</v>
      </c>
      <c r="Z3" s="208" t="s">
        <v>210</v>
      </c>
      <c r="AA3" s="208" t="s">
        <v>206</v>
      </c>
      <c r="AB3" s="209" t="s">
        <v>212</v>
      </c>
    </row>
    <row r="4" spans="1:28" ht="15" thickBot="1" x14ac:dyDescent="0.35">
      <c r="A4" s="444"/>
      <c r="B4" s="445" t="s">
        <v>218</v>
      </c>
      <c r="C4" s="446" t="s">
        <v>219</v>
      </c>
      <c r="D4" s="446" t="s">
        <v>220</v>
      </c>
      <c r="E4" s="447" t="s">
        <v>221</v>
      </c>
      <c r="F4" s="451" t="s">
        <v>222</v>
      </c>
      <c r="G4" s="452" t="s">
        <v>223</v>
      </c>
      <c r="H4" s="448" t="s">
        <v>222</v>
      </c>
      <c r="I4" s="449" t="s">
        <v>223</v>
      </c>
      <c r="J4" s="450" t="s">
        <v>222</v>
      </c>
      <c r="K4" s="449" t="s">
        <v>223</v>
      </c>
      <c r="L4" s="450" t="s">
        <v>222</v>
      </c>
      <c r="M4" s="449" t="s">
        <v>223</v>
      </c>
      <c r="N4" s="450" t="s">
        <v>222</v>
      </c>
      <c r="O4" s="449" t="s">
        <v>223</v>
      </c>
      <c r="P4" s="450" t="s">
        <v>222</v>
      </c>
      <c r="Q4" s="449" t="s">
        <v>223</v>
      </c>
      <c r="R4" s="450" t="s">
        <v>222</v>
      </c>
      <c r="S4" s="449" t="s">
        <v>223</v>
      </c>
      <c r="U4" s="210" t="s">
        <v>218</v>
      </c>
      <c r="V4" s="219"/>
      <c r="W4" s="219"/>
      <c r="X4" s="219"/>
      <c r="Y4" s="219"/>
      <c r="Z4" s="219"/>
      <c r="AA4" s="219"/>
      <c r="AB4" s="220"/>
    </row>
    <row r="5" spans="1:28" x14ac:dyDescent="0.3">
      <c r="A5" s="572" t="s">
        <v>161</v>
      </c>
      <c r="B5" s="232">
        <v>22</v>
      </c>
      <c r="C5" s="232" t="s">
        <v>224</v>
      </c>
      <c r="D5" s="232">
        <v>18</v>
      </c>
      <c r="E5" s="430">
        <v>25</v>
      </c>
      <c r="F5" s="469">
        <v>0</v>
      </c>
      <c r="G5" s="470">
        <v>0.63</v>
      </c>
      <c r="H5" s="469">
        <v>0</v>
      </c>
      <c r="I5" s="470">
        <v>0.63</v>
      </c>
      <c r="J5" s="475">
        <v>0</v>
      </c>
      <c r="K5" s="470">
        <v>0.63</v>
      </c>
      <c r="L5" s="475">
        <v>0</v>
      </c>
      <c r="M5" s="470">
        <v>0.64237137</v>
      </c>
      <c r="N5" s="475">
        <v>0</v>
      </c>
      <c r="O5" s="470">
        <v>0.64979419000000005</v>
      </c>
      <c r="P5" s="475">
        <v>0</v>
      </c>
      <c r="Q5" s="470">
        <v>0.64237137</v>
      </c>
      <c r="R5" s="478">
        <v>0</v>
      </c>
      <c r="S5" s="470">
        <v>0.64979419000000005</v>
      </c>
      <c r="T5" s="192"/>
      <c r="U5" s="176">
        <v>22</v>
      </c>
      <c r="V5" s="241"/>
      <c r="W5" s="241"/>
      <c r="X5" s="241"/>
      <c r="Y5" s="203">
        <v>1.9637093641425629E-2</v>
      </c>
      <c r="Z5" s="203">
        <v>3.1419349826281001E-2</v>
      </c>
      <c r="AA5" s="242">
        <f>Y5</f>
        <v>1.9637093641425629E-2</v>
      </c>
      <c r="AB5" s="243">
        <f>Z5</f>
        <v>3.1419349826281001E-2</v>
      </c>
    </row>
    <row r="6" spans="1:28" x14ac:dyDescent="0.3">
      <c r="A6" s="572"/>
      <c r="B6" s="222">
        <v>30</v>
      </c>
      <c r="C6" s="222" t="s">
        <v>225</v>
      </c>
      <c r="D6" s="222">
        <v>26</v>
      </c>
      <c r="E6" s="428">
        <v>35</v>
      </c>
      <c r="F6" s="471">
        <v>0</v>
      </c>
      <c r="G6" s="472">
        <v>1.1399999999999999</v>
      </c>
      <c r="H6" s="471">
        <v>0</v>
      </c>
      <c r="I6" s="472">
        <v>1.1399999999999999</v>
      </c>
      <c r="J6" s="476">
        <v>0</v>
      </c>
      <c r="K6" s="472">
        <v>1.1399999999999999</v>
      </c>
      <c r="L6" s="476">
        <v>0</v>
      </c>
      <c r="M6" s="472">
        <v>1.1623827900000001</v>
      </c>
      <c r="N6" s="476">
        <v>0</v>
      </c>
      <c r="O6" s="472">
        <v>1.1758124599999999</v>
      </c>
      <c r="P6" s="476">
        <v>0</v>
      </c>
      <c r="Q6" s="472">
        <v>1.1623827900000001</v>
      </c>
      <c r="R6" s="479">
        <v>0</v>
      </c>
      <c r="S6" s="472">
        <v>1.1758124599999999</v>
      </c>
      <c r="T6" s="192"/>
      <c r="U6" s="176">
        <v>30</v>
      </c>
      <c r="V6" s="241"/>
      <c r="W6" s="241"/>
      <c r="X6" s="241"/>
      <c r="Y6" s="203">
        <v>1.9634025957945507E-2</v>
      </c>
      <c r="Z6" s="203">
        <v>3.1414441532712813E-2</v>
      </c>
      <c r="AA6" s="242">
        <f t="shared" ref="AA6:AA13" si="0">Y6</f>
        <v>1.9634025957945507E-2</v>
      </c>
      <c r="AB6" s="243">
        <f t="shared" ref="AB6:AB13" si="1">Z6</f>
        <v>3.1414441532712813E-2</v>
      </c>
    </row>
    <row r="7" spans="1:28" x14ac:dyDescent="0.3">
      <c r="A7" s="572"/>
      <c r="B7" s="222">
        <v>40</v>
      </c>
      <c r="C7" s="222" t="s">
        <v>226</v>
      </c>
      <c r="D7" s="222">
        <v>36</v>
      </c>
      <c r="E7" s="428">
        <v>45</v>
      </c>
      <c r="F7" s="471">
        <v>0</v>
      </c>
      <c r="G7" s="472">
        <v>1.625</v>
      </c>
      <c r="H7" s="471">
        <v>0</v>
      </c>
      <c r="I7" s="472">
        <v>1.625</v>
      </c>
      <c r="J7" s="476">
        <v>0</v>
      </c>
      <c r="K7" s="472">
        <v>1.625</v>
      </c>
      <c r="L7" s="476">
        <v>0</v>
      </c>
      <c r="M7" s="472">
        <v>1.6887140300000001</v>
      </c>
      <c r="N7" s="476">
        <v>0</v>
      </c>
      <c r="O7" s="472">
        <v>1.72694244</v>
      </c>
      <c r="P7" s="476">
        <v>0</v>
      </c>
      <c r="Q7" s="472">
        <v>1.6887140300000001</v>
      </c>
      <c r="R7" s="479">
        <v>0</v>
      </c>
      <c r="S7" s="472">
        <v>1.72694244</v>
      </c>
      <c r="T7" s="192"/>
      <c r="U7" s="176">
        <v>40</v>
      </c>
      <c r="V7" s="241"/>
      <c r="W7" s="241"/>
      <c r="X7" s="241"/>
      <c r="Y7" s="203">
        <v>3.9208632610322841E-2</v>
      </c>
      <c r="Z7" s="203">
        <v>6.2733812176516537E-2</v>
      </c>
      <c r="AA7" s="242">
        <f t="shared" si="0"/>
        <v>3.9208632610322841E-2</v>
      </c>
      <c r="AB7" s="243">
        <f t="shared" si="1"/>
        <v>6.2733812176516537E-2</v>
      </c>
    </row>
    <row r="8" spans="1:28" x14ac:dyDescent="0.3">
      <c r="A8" s="572"/>
      <c r="B8" s="222">
        <v>48</v>
      </c>
      <c r="C8" s="222" t="s">
        <v>227</v>
      </c>
      <c r="D8" s="222">
        <v>46</v>
      </c>
      <c r="E8" s="428">
        <v>50</v>
      </c>
      <c r="F8" s="471">
        <v>0</v>
      </c>
      <c r="G8" s="472">
        <v>1.67</v>
      </c>
      <c r="H8" s="471">
        <v>0</v>
      </c>
      <c r="I8" s="472">
        <v>1.67</v>
      </c>
      <c r="J8" s="476">
        <v>0</v>
      </c>
      <c r="K8" s="472">
        <v>1.67</v>
      </c>
      <c r="L8" s="476">
        <v>0</v>
      </c>
      <c r="M8" s="472">
        <v>1.79990614</v>
      </c>
      <c r="N8" s="476">
        <v>0</v>
      </c>
      <c r="O8" s="472">
        <v>1.87784982</v>
      </c>
      <c r="P8" s="476">
        <v>0</v>
      </c>
      <c r="Q8" s="472">
        <v>1.79990614</v>
      </c>
      <c r="R8" s="479">
        <v>0</v>
      </c>
      <c r="S8" s="472">
        <v>1.87784982</v>
      </c>
      <c r="T8" s="192"/>
      <c r="U8" s="176">
        <v>48</v>
      </c>
      <c r="V8" s="241"/>
      <c r="W8" s="241"/>
      <c r="X8" s="241"/>
      <c r="Y8" s="203">
        <v>7.7788107740069098E-2</v>
      </c>
      <c r="Z8" s="203">
        <v>0.12446097238411057</v>
      </c>
      <c r="AA8" s="242">
        <f t="shared" si="0"/>
        <v>7.7788107740069098E-2</v>
      </c>
      <c r="AB8" s="243">
        <f t="shared" si="1"/>
        <v>0.12446097238411057</v>
      </c>
    </row>
    <row r="9" spans="1:28" x14ac:dyDescent="0.3">
      <c r="A9" s="572"/>
      <c r="B9" s="222">
        <v>53</v>
      </c>
      <c r="C9" s="222" t="s">
        <v>228</v>
      </c>
      <c r="D9" s="222">
        <v>51</v>
      </c>
      <c r="E9" s="428">
        <v>55</v>
      </c>
      <c r="F9" s="471">
        <v>0</v>
      </c>
      <c r="G9" s="472">
        <v>1.7</v>
      </c>
      <c r="H9" s="471">
        <v>0</v>
      </c>
      <c r="I9" s="472">
        <v>1.7</v>
      </c>
      <c r="J9" s="476">
        <v>0</v>
      </c>
      <c r="K9" s="472">
        <v>1.7</v>
      </c>
      <c r="L9" s="476">
        <v>0</v>
      </c>
      <c r="M9" s="472">
        <v>1.9049332699999999</v>
      </c>
      <c r="N9" s="476">
        <v>0</v>
      </c>
      <c r="O9" s="472">
        <v>2.02789324</v>
      </c>
      <c r="P9" s="476">
        <v>0</v>
      </c>
      <c r="Q9" s="472">
        <v>1.9049332699999999</v>
      </c>
      <c r="R9" s="479">
        <v>0</v>
      </c>
      <c r="S9" s="472">
        <v>2.02789324</v>
      </c>
      <c r="T9" s="192"/>
      <c r="U9" s="176">
        <v>53</v>
      </c>
      <c r="V9" s="241"/>
      <c r="W9" s="241"/>
      <c r="X9" s="241"/>
      <c r="Y9" s="203">
        <v>0.12054898355276124</v>
      </c>
      <c r="Z9" s="203">
        <v>0.19287837368441796</v>
      </c>
      <c r="AA9" s="242">
        <f t="shared" si="0"/>
        <v>0.12054898355276124</v>
      </c>
      <c r="AB9" s="243">
        <f t="shared" si="1"/>
        <v>0.19287837368441796</v>
      </c>
    </row>
    <row r="10" spans="1:28" x14ac:dyDescent="0.3">
      <c r="A10" s="572"/>
      <c r="B10" s="222">
        <v>58</v>
      </c>
      <c r="C10" s="222" t="s">
        <v>229</v>
      </c>
      <c r="D10" s="222">
        <v>56</v>
      </c>
      <c r="E10" s="428">
        <v>60</v>
      </c>
      <c r="F10" s="471">
        <v>0</v>
      </c>
      <c r="G10" s="472">
        <v>1.82</v>
      </c>
      <c r="H10" s="471">
        <v>0</v>
      </c>
      <c r="I10" s="472">
        <v>1.82</v>
      </c>
      <c r="J10" s="476">
        <v>0</v>
      </c>
      <c r="K10" s="472">
        <v>1.82</v>
      </c>
      <c r="L10" s="476">
        <v>0</v>
      </c>
      <c r="M10" s="472">
        <v>1.82</v>
      </c>
      <c r="N10" s="476">
        <v>0</v>
      </c>
      <c r="O10" s="472">
        <v>1.82</v>
      </c>
      <c r="P10" s="476">
        <v>0</v>
      </c>
      <c r="Q10" s="472">
        <v>1.82</v>
      </c>
      <c r="R10" s="479">
        <v>0</v>
      </c>
      <c r="S10" s="472">
        <v>1.82</v>
      </c>
      <c r="T10" s="192"/>
      <c r="U10" s="176">
        <v>58</v>
      </c>
      <c r="V10" s="241"/>
      <c r="W10" s="241"/>
      <c r="X10" s="241"/>
      <c r="Y10" s="244">
        <v>0</v>
      </c>
      <c r="Z10" s="244">
        <v>0</v>
      </c>
      <c r="AA10" s="242">
        <f t="shared" si="0"/>
        <v>0</v>
      </c>
      <c r="AB10" s="243">
        <f t="shared" si="1"/>
        <v>0</v>
      </c>
    </row>
    <row r="11" spans="1:28" x14ac:dyDescent="0.3">
      <c r="A11" s="572"/>
      <c r="B11" s="222">
        <v>60</v>
      </c>
      <c r="C11" s="222" t="s">
        <v>230</v>
      </c>
      <c r="D11" s="222">
        <v>61</v>
      </c>
      <c r="E11" s="428">
        <v>65</v>
      </c>
      <c r="F11" s="471">
        <v>0</v>
      </c>
      <c r="G11" s="472">
        <v>2.11</v>
      </c>
      <c r="H11" s="471">
        <v>0</v>
      </c>
      <c r="I11" s="472">
        <v>2.11</v>
      </c>
      <c r="J11" s="476">
        <v>0</v>
      </c>
      <c r="K11" s="472">
        <v>2.11</v>
      </c>
      <c r="L11" s="476">
        <v>0</v>
      </c>
      <c r="M11" s="472">
        <v>2.11</v>
      </c>
      <c r="N11" s="476">
        <v>0</v>
      </c>
      <c r="O11" s="472">
        <v>2.11</v>
      </c>
      <c r="P11" s="476">
        <v>0</v>
      </c>
      <c r="Q11" s="472">
        <v>2.11</v>
      </c>
      <c r="R11" s="479">
        <v>0</v>
      </c>
      <c r="S11" s="472">
        <v>2.11</v>
      </c>
      <c r="T11" s="192"/>
      <c r="U11" s="176">
        <v>60</v>
      </c>
      <c r="V11" s="241"/>
      <c r="W11" s="241"/>
      <c r="X11" s="241"/>
      <c r="Y11" s="244">
        <v>0</v>
      </c>
      <c r="Z11" s="244">
        <v>0</v>
      </c>
      <c r="AA11" s="242">
        <f t="shared" si="0"/>
        <v>0</v>
      </c>
      <c r="AB11" s="243">
        <f t="shared" si="1"/>
        <v>0</v>
      </c>
    </row>
    <row r="12" spans="1:28" x14ac:dyDescent="0.3">
      <c r="A12" s="572"/>
      <c r="B12" s="222">
        <v>67</v>
      </c>
      <c r="C12" s="222" t="s">
        <v>231</v>
      </c>
      <c r="D12" s="222">
        <v>66</v>
      </c>
      <c r="E12" s="428">
        <v>70</v>
      </c>
      <c r="F12" s="471">
        <v>0</v>
      </c>
      <c r="G12" s="472">
        <v>3.13</v>
      </c>
      <c r="H12" s="471">
        <v>0</v>
      </c>
      <c r="I12" s="472">
        <v>3.13</v>
      </c>
      <c r="J12" s="476">
        <v>0</v>
      </c>
      <c r="K12" s="472">
        <v>3.13</v>
      </c>
      <c r="L12" s="476">
        <v>0</v>
      </c>
      <c r="M12" s="472">
        <v>3.13</v>
      </c>
      <c r="N12" s="476">
        <v>0</v>
      </c>
      <c r="O12" s="472">
        <v>3.13</v>
      </c>
      <c r="P12" s="476">
        <v>0</v>
      </c>
      <c r="Q12" s="472">
        <v>3.13</v>
      </c>
      <c r="R12" s="479">
        <v>0</v>
      </c>
      <c r="S12" s="472">
        <v>3.13</v>
      </c>
      <c r="T12" s="192"/>
      <c r="U12" s="176">
        <v>67</v>
      </c>
      <c r="V12" s="241"/>
      <c r="W12" s="241"/>
      <c r="X12" s="241"/>
      <c r="Y12" s="244">
        <v>0</v>
      </c>
      <c r="Z12" s="244">
        <v>0</v>
      </c>
      <c r="AA12" s="242">
        <f t="shared" si="0"/>
        <v>0</v>
      </c>
      <c r="AB12" s="243">
        <f t="shared" si="1"/>
        <v>0</v>
      </c>
    </row>
    <row r="13" spans="1:28" ht="15" thickBot="1" x14ac:dyDescent="0.35">
      <c r="A13" s="573"/>
      <c r="B13" s="228">
        <v>73</v>
      </c>
      <c r="C13" s="228" t="s">
        <v>232</v>
      </c>
      <c r="D13" s="228">
        <v>71</v>
      </c>
      <c r="E13" s="429">
        <v>75</v>
      </c>
      <c r="F13" s="473">
        <v>0</v>
      </c>
      <c r="G13" s="474">
        <v>5.35</v>
      </c>
      <c r="H13" s="473">
        <v>0</v>
      </c>
      <c r="I13" s="474">
        <v>5.35</v>
      </c>
      <c r="J13" s="477">
        <v>0</v>
      </c>
      <c r="K13" s="474">
        <v>5.35</v>
      </c>
      <c r="L13" s="477">
        <v>0</v>
      </c>
      <c r="M13" s="474">
        <v>5.35</v>
      </c>
      <c r="N13" s="477">
        <v>0</v>
      </c>
      <c r="O13" s="474">
        <v>5.35</v>
      </c>
      <c r="P13" s="477">
        <v>0</v>
      </c>
      <c r="Q13" s="474">
        <v>5.35</v>
      </c>
      <c r="R13" s="480">
        <v>0</v>
      </c>
      <c r="S13" s="474">
        <v>5.35</v>
      </c>
      <c r="T13" s="192"/>
      <c r="U13" s="245">
        <v>73</v>
      </c>
      <c r="V13" s="246"/>
      <c r="W13" s="246"/>
      <c r="X13" s="246"/>
      <c r="Y13" s="247">
        <v>0</v>
      </c>
      <c r="Z13" s="247">
        <v>0</v>
      </c>
      <c r="AA13" s="248">
        <f t="shared" si="0"/>
        <v>0</v>
      </c>
      <c r="AB13" s="249">
        <f t="shared" si="1"/>
        <v>0</v>
      </c>
    </row>
    <row r="14" spans="1:28" x14ac:dyDescent="0.3">
      <c r="A14" s="574" t="s">
        <v>233</v>
      </c>
      <c r="B14" s="232">
        <v>22</v>
      </c>
      <c r="C14" s="232" t="s">
        <v>224</v>
      </c>
      <c r="D14" s="232">
        <v>18</v>
      </c>
      <c r="E14" s="430">
        <v>25</v>
      </c>
      <c r="F14" s="469">
        <v>16.399999999999999</v>
      </c>
      <c r="G14" s="470">
        <v>0.63</v>
      </c>
      <c r="H14" s="469">
        <v>16.717161860000001</v>
      </c>
      <c r="I14" s="470">
        <v>0.64218366000000005</v>
      </c>
      <c r="J14" s="475">
        <v>16.907458980000001</v>
      </c>
      <c r="K14" s="470">
        <v>0.64949385000000004</v>
      </c>
      <c r="L14" s="475">
        <v>16.822882480000001</v>
      </c>
      <c r="M14" s="470">
        <v>0.64624488000000002</v>
      </c>
      <c r="N14" s="475">
        <v>17.077567139999999</v>
      </c>
      <c r="O14" s="470">
        <v>0.65602848999999996</v>
      </c>
      <c r="P14" s="475">
        <v>17.140044339999999</v>
      </c>
      <c r="Q14" s="470">
        <v>0.65842853000000001</v>
      </c>
      <c r="R14" s="478">
        <v>17.585026119999998</v>
      </c>
      <c r="S14" s="470">
        <v>0.67552234</v>
      </c>
      <c r="T14" s="192"/>
      <c r="U14" s="250">
        <v>22</v>
      </c>
      <c r="V14" s="251"/>
      <c r="W14" s="205">
        <v>1.9339137863304001E-2</v>
      </c>
      <c r="X14" s="205">
        <v>3.0942620581286398E-2</v>
      </c>
      <c r="Y14" s="205">
        <v>2.5785517151072E-2</v>
      </c>
      <c r="Z14" s="205">
        <v>4.1315069646218172E-2</v>
      </c>
      <c r="AA14" s="252">
        <f>W14+Y14</f>
        <v>4.5124655014376E-2</v>
      </c>
      <c r="AB14" s="253">
        <f>X14+Z14</f>
        <v>7.225769022750457E-2</v>
      </c>
    </row>
    <row r="15" spans="1:28" x14ac:dyDescent="0.3">
      <c r="A15" s="575"/>
      <c r="B15" s="222">
        <v>30</v>
      </c>
      <c r="C15" s="222" t="s">
        <v>225</v>
      </c>
      <c r="D15" s="222">
        <v>26</v>
      </c>
      <c r="E15" s="428">
        <v>35</v>
      </c>
      <c r="F15" s="471">
        <v>16.399999999999999</v>
      </c>
      <c r="G15" s="472">
        <v>1.1399999999999999</v>
      </c>
      <c r="H15" s="471">
        <v>16.717135339999999</v>
      </c>
      <c r="I15" s="472">
        <v>1.1620447700000001</v>
      </c>
      <c r="J15" s="476">
        <v>16.907416550000001</v>
      </c>
      <c r="K15" s="472">
        <v>1.1752716400000001</v>
      </c>
      <c r="L15" s="476">
        <v>16.82284713</v>
      </c>
      <c r="M15" s="472">
        <v>1.1693930299999999</v>
      </c>
      <c r="N15" s="476">
        <v>17.077752870000001</v>
      </c>
      <c r="O15" s="472">
        <v>1.1871120900000001</v>
      </c>
      <c r="P15" s="476">
        <v>17.13998247</v>
      </c>
      <c r="Q15" s="472">
        <v>1.19143781</v>
      </c>
      <c r="R15" s="479">
        <v>17.58516942</v>
      </c>
      <c r="S15" s="472">
        <v>1.22238373</v>
      </c>
      <c r="T15" s="192"/>
      <c r="U15" s="176">
        <v>30</v>
      </c>
      <c r="V15" s="254"/>
      <c r="W15" s="203">
        <v>1.93375209993089E-2</v>
      </c>
      <c r="X15" s="203">
        <v>3.0940033598894238E-2</v>
      </c>
      <c r="Y15" s="203">
        <v>2.5783361332411867E-2</v>
      </c>
      <c r="Z15" s="203">
        <v>4.1326394389972529E-2</v>
      </c>
      <c r="AA15" s="255">
        <f t="shared" ref="AA15:AA40" si="2">W15+Y15</f>
        <v>4.5120882331720763E-2</v>
      </c>
      <c r="AB15" s="256">
        <f>X15+Z15</f>
        <v>7.226642798886676E-2</v>
      </c>
    </row>
    <row r="16" spans="1:28" x14ac:dyDescent="0.3">
      <c r="A16" s="575"/>
      <c r="B16" s="222">
        <v>40</v>
      </c>
      <c r="C16" s="222" t="s">
        <v>226</v>
      </c>
      <c r="D16" s="222">
        <v>36</v>
      </c>
      <c r="E16" s="428">
        <v>45</v>
      </c>
      <c r="F16" s="471">
        <v>16.399999999999999</v>
      </c>
      <c r="G16" s="472">
        <v>1.625</v>
      </c>
      <c r="H16" s="471">
        <v>16.822480930000001</v>
      </c>
      <c r="I16" s="472">
        <v>1.66686168</v>
      </c>
      <c r="J16" s="476">
        <v>17.075969480000001</v>
      </c>
      <c r="K16" s="472">
        <v>1.6919786800000001</v>
      </c>
      <c r="L16" s="476">
        <v>17.244961849999999</v>
      </c>
      <c r="M16" s="472">
        <v>1.7087233500000001</v>
      </c>
      <c r="N16" s="476">
        <v>17.75193896</v>
      </c>
      <c r="O16" s="472">
        <v>1.7589573700000001</v>
      </c>
      <c r="P16" s="476">
        <v>17.667442779999998</v>
      </c>
      <c r="Q16" s="472">
        <v>1.7505850300000001</v>
      </c>
      <c r="R16" s="479">
        <v>18.42790844</v>
      </c>
      <c r="S16" s="472">
        <v>1.8259360499999999</v>
      </c>
      <c r="T16" s="192"/>
      <c r="U16" s="176">
        <v>40</v>
      </c>
      <c r="V16" s="254"/>
      <c r="W16" s="203">
        <v>2.5761032064204385E-2</v>
      </c>
      <c r="X16" s="203">
        <v>4.1217651302727018E-2</v>
      </c>
      <c r="Y16" s="203">
        <v>5.1522064128408769E-2</v>
      </c>
      <c r="Z16" s="203">
        <v>8.2435302605454036E-2</v>
      </c>
      <c r="AA16" s="255">
        <f t="shared" si="2"/>
        <v>7.7283096192613157E-2</v>
      </c>
      <c r="AB16" s="256">
        <f t="shared" ref="AB16:AB40" si="3">X16+Z16</f>
        <v>0.12365295390818105</v>
      </c>
    </row>
    <row r="17" spans="1:28" x14ac:dyDescent="0.3">
      <c r="A17" s="575"/>
      <c r="B17" s="222">
        <v>48</v>
      </c>
      <c r="C17" s="222" t="s">
        <v>227</v>
      </c>
      <c r="D17" s="222">
        <v>46</v>
      </c>
      <c r="E17" s="428">
        <v>50</v>
      </c>
      <c r="F17" s="471">
        <v>16.399999999999999</v>
      </c>
      <c r="G17" s="472">
        <v>1.67</v>
      </c>
      <c r="H17" s="471">
        <v>16.925526619999999</v>
      </c>
      <c r="I17" s="472">
        <v>1.7235139900000001</v>
      </c>
      <c r="J17" s="476">
        <v>17.24084259</v>
      </c>
      <c r="K17" s="472">
        <v>1.7556223900000001</v>
      </c>
      <c r="L17" s="476">
        <v>18.081685190000002</v>
      </c>
      <c r="M17" s="472">
        <v>1.8412447700000001</v>
      </c>
      <c r="N17" s="476">
        <v>19.13273843</v>
      </c>
      <c r="O17" s="472">
        <v>1.9482727500000001</v>
      </c>
      <c r="P17" s="476">
        <v>18.607211809999999</v>
      </c>
      <c r="Q17" s="472">
        <v>1.89475876</v>
      </c>
      <c r="R17" s="479">
        <v>19.973581020000001</v>
      </c>
      <c r="S17" s="472">
        <v>2.0338951399999998</v>
      </c>
      <c r="T17" s="192"/>
      <c r="U17" s="176">
        <v>48</v>
      </c>
      <c r="V17" s="254"/>
      <c r="W17" s="203">
        <v>3.2044306129079707E-2</v>
      </c>
      <c r="X17" s="203">
        <v>5.1270889806527525E-2</v>
      </c>
      <c r="Y17" s="203">
        <v>0.10254177961305505</v>
      </c>
      <c r="Z17" s="203">
        <v>0.16663039187121448</v>
      </c>
      <c r="AA17" s="255">
        <f t="shared" si="2"/>
        <v>0.13458608574213476</v>
      </c>
      <c r="AB17" s="256">
        <f>X17+Z17</f>
        <v>0.217901281677742</v>
      </c>
    </row>
    <row r="18" spans="1:28" x14ac:dyDescent="0.3">
      <c r="A18" s="575"/>
      <c r="B18" s="222">
        <v>53</v>
      </c>
      <c r="C18" s="222" t="s">
        <v>228</v>
      </c>
      <c r="D18" s="222">
        <v>51</v>
      </c>
      <c r="E18" s="428">
        <v>55</v>
      </c>
      <c r="F18" s="471">
        <v>16.399999999999999</v>
      </c>
      <c r="G18" s="472">
        <v>1.7</v>
      </c>
      <c r="H18" s="471">
        <v>17.057224389999998</v>
      </c>
      <c r="I18" s="472">
        <v>1.76812692</v>
      </c>
      <c r="J18" s="476">
        <v>17.539188939999999</v>
      </c>
      <c r="K18" s="472">
        <v>1.8180866600000001</v>
      </c>
      <c r="L18" s="476">
        <v>19.02889755</v>
      </c>
      <c r="M18" s="472">
        <v>1.9725076699999999</v>
      </c>
      <c r="N18" s="476">
        <v>20.67195852</v>
      </c>
      <c r="O18" s="472">
        <v>2.1428249699999999</v>
      </c>
      <c r="P18" s="476">
        <v>19.68612194</v>
      </c>
      <c r="Q18" s="472">
        <v>2.0406345899999998</v>
      </c>
      <c r="R18" s="479">
        <v>21.811147460000001</v>
      </c>
      <c r="S18" s="472">
        <v>2.2609116299999998</v>
      </c>
      <c r="T18" s="192"/>
      <c r="U18" s="176">
        <v>53</v>
      </c>
      <c r="V18" s="254"/>
      <c r="W18" s="203">
        <v>4.0074657808923664E-2</v>
      </c>
      <c r="X18" s="203">
        <v>6.946274020213436E-2</v>
      </c>
      <c r="Y18" s="203">
        <v>0.16029863123569466</v>
      </c>
      <c r="Z18" s="203">
        <v>0.26048527575800384</v>
      </c>
      <c r="AA18" s="255">
        <f t="shared" si="2"/>
        <v>0.20037328904461832</v>
      </c>
      <c r="AB18" s="256">
        <f t="shared" si="3"/>
        <v>0.32994801596013823</v>
      </c>
    </row>
    <row r="19" spans="1:28" x14ac:dyDescent="0.3">
      <c r="A19" s="575"/>
      <c r="B19" s="222">
        <v>58</v>
      </c>
      <c r="C19" s="222" t="s">
        <v>229</v>
      </c>
      <c r="D19" s="222">
        <v>56</v>
      </c>
      <c r="E19" s="428">
        <v>60</v>
      </c>
      <c r="F19" s="471">
        <v>16.399999999999999</v>
      </c>
      <c r="G19" s="472">
        <v>1.82</v>
      </c>
      <c r="H19" s="471">
        <v>17.2378097</v>
      </c>
      <c r="I19" s="472">
        <v>1.91297644</v>
      </c>
      <c r="J19" s="476">
        <v>17.991838430000001</v>
      </c>
      <c r="K19" s="472">
        <v>1.9966552399999999</v>
      </c>
      <c r="L19" s="476">
        <v>16.399999999999999</v>
      </c>
      <c r="M19" s="472">
        <v>1.82</v>
      </c>
      <c r="N19" s="476">
        <v>16.399999999999999</v>
      </c>
      <c r="O19" s="472">
        <v>1.82</v>
      </c>
      <c r="P19" s="476">
        <v>17.2378097</v>
      </c>
      <c r="Q19" s="472">
        <v>1.91297644</v>
      </c>
      <c r="R19" s="479">
        <v>17.991838430000001</v>
      </c>
      <c r="S19" s="472">
        <v>1.9966552399999999</v>
      </c>
      <c r="T19" s="192"/>
      <c r="U19" s="176">
        <v>58</v>
      </c>
      <c r="V19" s="254"/>
      <c r="W19" s="203">
        <v>5.1085957164111594E-2</v>
      </c>
      <c r="X19" s="203">
        <v>9.7063318611812027E-2</v>
      </c>
      <c r="Y19" s="244">
        <v>0</v>
      </c>
      <c r="Z19" s="244">
        <v>0</v>
      </c>
      <c r="AA19" s="257">
        <f t="shared" si="2"/>
        <v>5.1085957164111594E-2</v>
      </c>
      <c r="AB19" s="258">
        <f t="shared" si="3"/>
        <v>9.7063318611812027E-2</v>
      </c>
    </row>
    <row r="20" spans="1:28" x14ac:dyDescent="0.3">
      <c r="A20" s="575"/>
      <c r="B20" s="222">
        <v>60</v>
      </c>
      <c r="C20" s="222" t="s">
        <v>230</v>
      </c>
      <c r="D20" s="222">
        <v>61</v>
      </c>
      <c r="E20" s="428">
        <v>65</v>
      </c>
      <c r="F20" s="471">
        <v>16.399999999999999</v>
      </c>
      <c r="G20" s="472">
        <v>2.11</v>
      </c>
      <c r="H20" s="471">
        <v>17.267877309999999</v>
      </c>
      <c r="I20" s="472">
        <v>2.2216598200000002</v>
      </c>
      <c r="J20" s="476">
        <v>17.962179160000002</v>
      </c>
      <c r="K20" s="472">
        <v>2.3109876800000002</v>
      </c>
      <c r="L20" s="476">
        <v>16.399999999999999</v>
      </c>
      <c r="M20" s="472">
        <v>2.11</v>
      </c>
      <c r="N20" s="476">
        <v>16.399999999999999</v>
      </c>
      <c r="O20" s="472">
        <v>2.11</v>
      </c>
      <c r="P20" s="476">
        <v>17.267877309999999</v>
      </c>
      <c r="Q20" s="472">
        <v>2.2216598200000002</v>
      </c>
      <c r="R20" s="479">
        <v>17.962179160000002</v>
      </c>
      <c r="S20" s="472">
        <v>2.3109876800000002</v>
      </c>
      <c r="T20" s="192"/>
      <c r="U20" s="176">
        <v>60</v>
      </c>
      <c r="V20" s="254"/>
      <c r="W20" s="203">
        <v>5.2919348279299568E-2</v>
      </c>
      <c r="X20" s="203">
        <v>9.5254826902739217E-2</v>
      </c>
      <c r="Y20" s="244">
        <v>0</v>
      </c>
      <c r="Z20" s="244">
        <v>0</v>
      </c>
      <c r="AA20" s="257">
        <f t="shared" si="2"/>
        <v>5.2919348279299568E-2</v>
      </c>
      <c r="AB20" s="258">
        <f t="shared" si="3"/>
        <v>9.5254826902739217E-2</v>
      </c>
    </row>
    <row r="21" spans="1:28" x14ac:dyDescent="0.3">
      <c r="A21" s="575"/>
      <c r="B21" s="222">
        <v>67</v>
      </c>
      <c r="C21" s="222" t="s">
        <v>231</v>
      </c>
      <c r="D21" s="222">
        <v>66</v>
      </c>
      <c r="E21" s="428">
        <v>70</v>
      </c>
      <c r="F21" s="471">
        <v>16.399999999999999</v>
      </c>
      <c r="G21" s="472">
        <v>3.13</v>
      </c>
      <c r="H21" s="471">
        <v>17.384387830000001</v>
      </c>
      <c r="I21" s="472">
        <v>3.3178740200000001</v>
      </c>
      <c r="J21" s="476">
        <v>18.204711020000001</v>
      </c>
      <c r="K21" s="472">
        <v>3.4744356999999999</v>
      </c>
      <c r="L21" s="476">
        <v>16.399999999999999</v>
      </c>
      <c r="M21" s="472">
        <v>3.13</v>
      </c>
      <c r="N21" s="476">
        <v>16.399999999999999</v>
      </c>
      <c r="O21" s="472">
        <v>3.13</v>
      </c>
      <c r="P21" s="476">
        <v>17.384387830000001</v>
      </c>
      <c r="Q21" s="472">
        <v>3.3178740200000001</v>
      </c>
      <c r="R21" s="479">
        <v>18.204711020000001</v>
      </c>
      <c r="S21" s="472">
        <v>3.4744356999999999</v>
      </c>
      <c r="T21" s="192"/>
      <c r="U21" s="176">
        <v>67</v>
      </c>
      <c r="V21" s="254"/>
      <c r="W21" s="203">
        <v>6.0023647967398557E-2</v>
      </c>
      <c r="X21" s="203">
        <v>0.11004335460689736</v>
      </c>
      <c r="Y21" s="244">
        <v>0</v>
      </c>
      <c r="Z21" s="244">
        <v>0</v>
      </c>
      <c r="AA21" s="257">
        <f t="shared" si="2"/>
        <v>6.0023647967398557E-2</v>
      </c>
      <c r="AB21" s="258">
        <f t="shared" si="3"/>
        <v>0.11004335460689736</v>
      </c>
    </row>
    <row r="22" spans="1:28" ht="15" thickBot="1" x14ac:dyDescent="0.35">
      <c r="A22" s="576"/>
      <c r="B22" s="228">
        <v>73</v>
      </c>
      <c r="C22" s="228" t="s">
        <v>232</v>
      </c>
      <c r="D22" s="228">
        <v>71</v>
      </c>
      <c r="E22" s="429">
        <v>75</v>
      </c>
      <c r="F22" s="473">
        <v>16.399999999999999</v>
      </c>
      <c r="G22" s="474">
        <v>5.35</v>
      </c>
      <c r="H22" s="473">
        <v>18.090448760000001</v>
      </c>
      <c r="I22" s="474">
        <v>5.9014573700000001</v>
      </c>
      <c r="J22" s="477">
        <v>19.20460817</v>
      </c>
      <c r="K22" s="474">
        <v>6.2649179100000003</v>
      </c>
      <c r="L22" s="477">
        <v>16.399999999999999</v>
      </c>
      <c r="M22" s="474">
        <v>5.35</v>
      </c>
      <c r="N22" s="477">
        <v>16.399999999999999</v>
      </c>
      <c r="O22" s="474">
        <v>5.35</v>
      </c>
      <c r="P22" s="477">
        <v>18.090448760000001</v>
      </c>
      <c r="Q22" s="474">
        <v>5.9014573700000001</v>
      </c>
      <c r="R22" s="480">
        <v>19.20460817</v>
      </c>
      <c r="S22" s="474">
        <v>6.2649179100000003</v>
      </c>
      <c r="T22" s="192"/>
      <c r="U22" s="245">
        <v>73</v>
      </c>
      <c r="V22" s="259"/>
      <c r="W22" s="204">
        <v>0.10307614394347414</v>
      </c>
      <c r="X22" s="204">
        <v>0.17101269336076391</v>
      </c>
      <c r="Y22" s="247">
        <v>0</v>
      </c>
      <c r="Z22" s="247">
        <v>0</v>
      </c>
      <c r="AA22" s="260">
        <f t="shared" si="2"/>
        <v>0.10307614394347414</v>
      </c>
      <c r="AB22" s="261">
        <f t="shared" si="3"/>
        <v>0.17101269336076391</v>
      </c>
    </row>
    <row r="23" spans="1:28" x14ac:dyDescent="0.3">
      <c r="A23" s="577" t="s">
        <v>234</v>
      </c>
      <c r="B23" s="262">
        <v>22</v>
      </c>
      <c r="C23" s="262" t="s">
        <v>224</v>
      </c>
      <c r="D23" s="262">
        <v>18</v>
      </c>
      <c r="E23" s="431">
        <v>25</v>
      </c>
      <c r="F23" s="484">
        <v>0</v>
      </c>
      <c r="G23" s="482">
        <v>1.26</v>
      </c>
      <c r="H23" s="484">
        <v>0</v>
      </c>
      <c r="I23" s="482">
        <v>1.28302293</v>
      </c>
      <c r="J23" s="483">
        <v>0</v>
      </c>
      <c r="K23" s="482">
        <v>1.2968366899999999</v>
      </c>
      <c r="L23" s="483">
        <v>0</v>
      </c>
      <c r="M23" s="482">
        <v>1.29069725</v>
      </c>
      <c r="N23" s="483">
        <v>0</v>
      </c>
      <c r="O23" s="482">
        <v>1.30918785</v>
      </c>
      <c r="P23" s="483">
        <v>0</v>
      </c>
      <c r="Q23" s="482">
        <v>1.3137201789169777</v>
      </c>
      <c r="R23" s="481">
        <v>0</v>
      </c>
      <c r="S23" s="482">
        <v>1.3460245500000001</v>
      </c>
      <c r="T23" s="192"/>
      <c r="U23" s="250">
        <v>22</v>
      </c>
      <c r="V23" s="251"/>
      <c r="W23" s="205">
        <v>1.8272169699652317E-2</v>
      </c>
      <c r="X23" s="205">
        <v>2.9235471519443706E-2</v>
      </c>
      <c r="Y23" s="205">
        <v>2.4362892932869754E-2</v>
      </c>
      <c r="Z23" s="205">
        <v>3.9037978926984733E-2</v>
      </c>
      <c r="AA23" s="252">
        <f>W23+Y23</f>
        <v>4.2635062632522071E-2</v>
      </c>
      <c r="AB23" s="253">
        <f>X23+Z23</f>
        <v>6.8273450446428435E-2</v>
      </c>
    </row>
    <row r="24" spans="1:28" x14ac:dyDescent="0.3">
      <c r="A24" s="578"/>
      <c r="B24" s="222">
        <v>30</v>
      </c>
      <c r="C24" s="222" t="s">
        <v>225</v>
      </c>
      <c r="D24" s="222">
        <v>26</v>
      </c>
      <c r="E24" s="428">
        <v>35</v>
      </c>
      <c r="F24" s="471">
        <v>0</v>
      </c>
      <c r="G24" s="472">
        <v>2.2799999999999998</v>
      </c>
      <c r="H24" s="471">
        <v>0</v>
      </c>
      <c r="I24" s="472">
        <v>2.32165753</v>
      </c>
      <c r="J24" s="476">
        <v>0</v>
      </c>
      <c r="K24" s="472">
        <v>2.3466520399999999</v>
      </c>
      <c r="L24" s="476">
        <v>0</v>
      </c>
      <c r="M24" s="472">
        <v>2.3355433699999999</v>
      </c>
      <c r="N24" s="476">
        <v>0</v>
      </c>
      <c r="O24" s="472">
        <v>2.36903285</v>
      </c>
      <c r="P24" s="476">
        <v>0</v>
      </c>
      <c r="Q24" s="472">
        <v>2.3772008925380312</v>
      </c>
      <c r="R24" s="479">
        <v>0</v>
      </c>
      <c r="S24" s="472">
        <v>2.4356848900000001</v>
      </c>
      <c r="T24" s="192"/>
      <c r="U24" s="176">
        <v>30</v>
      </c>
      <c r="V24" s="254"/>
      <c r="W24" s="203">
        <v>1.8270844462035953E-2</v>
      </c>
      <c r="X24" s="203">
        <v>2.9233351139257523E-2</v>
      </c>
      <c r="Y24" s="203">
        <v>2.4361125949381269E-2</v>
      </c>
      <c r="Z24" s="203">
        <v>3.9049496883122446E-2</v>
      </c>
      <c r="AA24" s="255">
        <f t="shared" si="2"/>
        <v>4.2631970411417225E-2</v>
      </c>
      <c r="AB24" s="256">
        <f>X24+Z24</f>
        <v>6.8282848022379966E-2</v>
      </c>
    </row>
    <row r="25" spans="1:28" x14ac:dyDescent="0.3">
      <c r="A25" s="578"/>
      <c r="B25" s="222">
        <v>40</v>
      </c>
      <c r="C25" s="222" t="s">
        <v>226</v>
      </c>
      <c r="D25" s="222">
        <v>36</v>
      </c>
      <c r="E25" s="428">
        <v>45</v>
      </c>
      <c r="F25" s="471">
        <v>0</v>
      </c>
      <c r="G25" s="472">
        <v>3.25</v>
      </c>
      <c r="H25" s="471">
        <v>0</v>
      </c>
      <c r="I25" s="472">
        <v>3.3291135700000001</v>
      </c>
      <c r="J25" s="476">
        <v>0</v>
      </c>
      <c r="K25" s="472">
        <v>3.37658171</v>
      </c>
      <c r="L25" s="476">
        <v>0</v>
      </c>
      <c r="M25" s="472">
        <v>3.4082271400000002</v>
      </c>
      <c r="N25" s="476">
        <v>0</v>
      </c>
      <c r="O25" s="472">
        <v>3.5031634299999999</v>
      </c>
      <c r="P25" s="476">
        <v>0</v>
      </c>
      <c r="Q25" s="472">
        <v>3.4873407140052612</v>
      </c>
      <c r="R25" s="479">
        <v>0</v>
      </c>
      <c r="S25" s="472">
        <v>3.6297451399999998</v>
      </c>
      <c r="T25" s="192"/>
      <c r="U25" s="176">
        <v>40</v>
      </c>
      <c r="V25" s="254"/>
      <c r="W25" s="203">
        <v>2.4342637333872912E-2</v>
      </c>
      <c r="X25" s="203">
        <v>3.8948219734196661E-2</v>
      </c>
      <c r="Y25" s="203">
        <v>4.8685274667745825E-2</v>
      </c>
      <c r="Z25" s="203">
        <v>7.7896439468393322E-2</v>
      </c>
      <c r="AA25" s="255">
        <f t="shared" si="2"/>
        <v>7.3027912001618733E-2</v>
      </c>
      <c r="AB25" s="256">
        <f t="shared" si="3"/>
        <v>0.11684465920258999</v>
      </c>
    </row>
    <row r="26" spans="1:28" x14ac:dyDescent="0.3">
      <c r="A26" s="578"/>
      <c r="B26" s="222">
        <v>48</v>
      </c>
      <c r="C26" s="222" t="s">
        <v>227</v>
      </c>
      <c r="D26" s="222">
        <v>46</v>
      </c>
      <c r="E26" s="428">
        <v>50</v>
      </c>
      <c r="F26" s="471">
        <v>0</v>
      </c>
      <c r="G26" s="472">
        <v>3.34</v>
      </c>
      <c r="H26" s="471">
        <v>0</v>
      </c>
      <c r="I26" s="472">
        <v>3.4411925299999999</v>
      </c>
      <c r="J26" s="476">
        <v>0</v>
      </c>
      <c r="K26" s="472">
        <v>3.50190804</v>
      </c>
      <c r="L26" s="476">
        <v>0</v>
      </c>
      <c r="M26" s="472">
        <v>3.6638160800000001</v>
      </c>
      <c r="N26" s="476">
        <v>0</v>
      </c>
      <c r="O26" s="472">
        <v>3.8662011399999998</v>
      </c>
      <c r="P26" s="476">
        <v>0</v>
      </c>
      <c r="Q26" s="472">
        <v>3.7650086099269027</v>
      </c>
      <c r="R26" s="479">
        <v>0</v>
      </c>
      <c r="S26" s="472">
        <v>4.0281091800000004</v>
      </c>
      <c r="T26" s="192"/>
      <c r="U26" s="176">
        <v>48</v>
      </c>
      <c r="V26" s="254"/>
      <c r="W26" s="203">
        <v>3.029716352487187E-2</v>
      </c>
      <c r="X26" s="203">
        <v>4.8475461639794992E-2</v>
      </c>
      <c r="Y26" s="203">
        <v>9.6950923279589984E-2</v>
      </c>
      <c r="Z26" s="203">
        <v>0.15754525032933372</v>
      </c>
      <c r="AA26" s="255">
        <f t="shared" si="2"/>
        <v>0.12724808680446187</v>
      </c>
      <c r="AB26" s="256">
        <f t="shared" si="3"/>
        <v>0.20602071196912872</v>
      </c>
    </row>
    <row r="27" spans="1:28" x14ac:dyDescent="0.3">
      <c r="A27" s="578"/>
      <c r="B27" s="222">
        <v>53</v>
      </c>
      <c r="C27" s="222" t="s">
        <v>228</v>
      </c>
      <c r="D27" s="222">
        <v>51</v>
      </c>
      <c r="E27" s="428">
        <v>55</v>
      </c>
      <c r="F27" s="471">
        <v>0</v>
      </c>
      <c r="G27" s="472">
        <v>3.4</v>
      </c>
      <c r="H27" s="471">
        <v>0</v>
      </c>
      <c r="I27" s="472">
        <v>3.52904573</v>
      </c>
      <c r="J27" s="476">
        <v>0</v>
      </c>
      <c r="K27" s="472">
        <v>3.6236792599999998</v>
      </c>
      <c r="L27" s="476">
        <v>0</v>
      </c>
      <c r="M27" s="472">
        <v>3.9161828999999999</v>
      </c>
      <c r="N27" s="476">
        <v>0</v>
      </c>
      <c r="O27" s="472">
        <v>4.2387972100000004</v>
      </c>
      <c r="P27" s="476">
        <v>0</v>
      </c>
      <c r="Q27" s="472">
        <v>4.0452286264595676</v>
      </c>
      <c r="R27" s="479">
        <v>0</v>
      </c>
      <c r="S27" s="472">
        <v>4.4624764700000004</v>
      </c>
      <c r="T27" s="192"/>
      <c r="U27" s="176">
        <v>53</v>
      </c>
      <c r="V27" s="254"/>
      <c r="W27" s="203">
        <v>3.7954625085856938E-2</v>
      </c>
      <c r="X27" s="203">
        <v>6.5788016815485365E-2</v>
      </c>
      <c r="Y27" s="203">
        <v>0.15181850034342775</v>
      </c>
      <c r="Z27" s="203">
        <v>0.24670506305807011</v>
      </c>
      <c r="AA27" s="255">
        <f t="shared" si="2"/>
        <v>0.18977312542928471</v>
      </c>
      <c r="AB27" s="256">
        <f t="shared" si="3"/>
        <v>0.31249307987355546</v>
      </c>
    </row>
    <row r="28" spans="1:28" x14ac:dyDescent="0.3">
      <c r="A28" s="578"/>
      <c r="B28" s="222">
        <v>58</v>
      </c>
      <c r="C28" s="222" t="s">
        <v>229</v>
      </c>
      <c r="D28" s="222">
        <v>56</v>
      </c>
      <c r="E28" s="428">
        <v>60</v>
      </c>
      <c r="F28" s="471">
        <v>0</v>
      </c>
      <c r="G28" s="472">
        <v>3.64</v>
      </c>
      <c r="H28" s="471">
        <v>0</v>
      </c>
      <c r="I28" s="472">
        <v>3.8166177499999998</v>
      </c>
      <c r="J28" s="476">
        <v>0</v>
      </c>
      <c r="K28" s="472">
        <v>3.9755737199999999</v>
      </c>
      <c r="L28" s="476">
        <v>0</v>
      </c>
      <c r="M28" s="472">
        <v>3.64</v>
      </c>
      <c r="N28" s="476">
        <v>0</v>
      </c>
      <c r="O28" s="472">
        <v>3.64</v>
      </c>
      <c r="P28" s="476">
        <v>0</v>
      </c>
      <c r="Q28" s="472">
        <v>3.8166177495464781</v>
      </c>
      <c r="R28" s="479">
        <v>0</v>
      </c>
      <c r="S28" s="472">
        <v>3.9755737199999999</v>
      </c>
      <c r="T28" s="192"/>
      <c r="U28" s="176">
        <v>58</v>
      </c>
      <c r="V28" s="254"/>
      <c r="W28" s="203">
        <v>4.8521359765516067E-2</v>
      </c>
      <c r="X28" s="203">
        <v>9.2190583554480524E-2</v>
      </c>
      <c r="Y28" s="244">
        <v>0</v>
      </c>
      <c r="Z28" s="244">
        <v>0</v>
      </c>
      <c r="AA28" s="255">
        <f t="shared" si="2"/>
        <v>4.8521359765516067E-2</v>
      </c>
      <c r="AB28" s="256">
        <f t="shared" si="3"/>
        <v>9.2190583554480524E-2</v>
      </c>
    </row>
    <row r="29" spans="1:28" x14ac:dyDescent="0.3">
      <c r="A29" s="578"/>
      <c r="B29" s="222">
        <v>60</v>
      </c>
      <c r="C29" s="222" t="s">
        <v>230</v>
      </c>
      <c r="D29" s="222">
        <v>61</v>
      </c>
      <c r="E29" s="428">
        <v>65</v>
      </c>
      <c r="F29" s="471">
        <v>0</v>
      </c>
      <c r="G29" s="472">
        <v>4.22</v>
      </c>
      <c r="H29" s="471">
        <v>0</v>
      </c>
      <c r="I29" s="472">
        <v>4.4327294200000003</v>
      </c>
      <c r="J29" s="476">
        <v>0</v>
      </c>
      <c r="K29" s="472">
        <v>4.6029129500000003</v>
      </c>
      <c r="L29" s="476">
        <v>0</v>
      </c>
      <c r="M29" s="472">
        <v>4.22</v>
      </c>
      <c r="N29" s="476">
        <v>0</v>
      </c>
      <c r="O29" s="472">
        <v>4.22</v>
      </c>
      <c r="P29" s="476">
        <v>0</v>
      </c>
      <c r="Q29" s="472">
        <v>4.4327294165271072</v>
      </c>
      <c r="R29" s="479">
        <v>0</v>
      </c>
      <c r="S29" s="472">
        <v>4.6029129500000003</v>
      </c>
      <c r="T29" s="192"/>
      <c r="U29" s="176">
        <v>60</v>
      </c>
      <c r="V29" s="254"/>
      <c r="W29" s="203">
        <v>5.0409814342916207E-2</v>
      </c>
      <c r="X29" s="203">
        <v>9.0737665817249166E-2</v>
      </c>
      <c r="Y29" s="244">
        <v>0</v>
      </c>
      <c r="Z29" s="244">
        <v>0</v>
      </c>
      <c r="AA29" s="255">
        <f t="shared" si="2"/>
        <v>5.0409814342916207E-2</v>
      </c>
      <c r="AB29" s="256">
        <f t="shared" si="3"/>
        <v>9.0737665817249166E-2</v>
      </c>
    </row>
    <row r="30" spans="1:28" x14ac:dyDescent="0.3">
      <c r="A30" s="578"/>
      <c r="B30" s="222">
        <v>67</v>
      </c>
      <c r="C30" s="222" t="s">
        <v>231</v>
      </c>
      <c r="D30" s="222">
        <v>66</v>
      </c>
      <c r="E30" s="428">
        <v>70</v>
      </c>
      <c r="F30" s="471">
        <v>0</v>
      </c>
      <c r="G30" s="472">
        <v>6.26</v>
      </c>
      <c r="H30" s="471">
        <v>0</v>
      </c>
      <c r="I30" s="472">
        <v>6.6172405300000001</v>
      </c>
      <c r="J30" s="476">
        <v>0</v>
      </c>
      <c r="K30" s="472">
        <v>6.9149409799999999</v>
      </c>
      <c r="L30" s="476">
        <v>0</v>
      </c>
      <c r="M30" s="472">
        <v>6.26</v>
      </c>
      <c r="N30" s="476">
        <v>0</v>
      </c>
      <c r="O30" s="472">
        <v>6.26</v>
      </c>
      <c r="P30" s="476">
        <v>0</v>
      </c>
      <c r="Q30" s="472">
        <v>6.6172405336568021</v>
      </c>
      <c r="R30" s="479">
        <v>0</v>
      </c>
      <c r="S30" s="472">
        <v>6.9149409799999999</v>
      </c>
      <c r="T30" s="192"/>
      <c r="U30" s="176">
        <v>67</v>
      </c>
      <c r="V30" s="254"/>
      <c r="W30" s="203">
        <v>5.7067177900447685E-2</v>
      </c>
      <c r="X30" s="203">
        <v>0.1046231594841541</v>
      </c>
      <c r="Y30" s="244">
        <v>0</v>
      </c>
      <c r="Z30" s="244">
        <v>0</v>
      </c>
      <c r="AA30" s="255">
        <f t="shared" si="2"/>
        <v>5.7067177900447685E-2</v>
      </c>
      <c r="AB30" s="256">
        <f t="shared" si="3"/>
        <v>0.1046231594841541</v>
      </c>
    </row>
    <row r="31" spans="1:28" ht="15" thickBot="1" x14ac:dyDescent="0.35">
      <c r="A31" s="579"/>
      <c r="B31" s="228">
        <v>73</v>
      </c>
      <c r="C31" s="228" t="s">
        <v>232</v>
      </c>
      <c r="D31" s="228">
        <v>71</v>
      </c>
      <c r="E31" s="429">
        <v>75</v>
      </c>
      <c r="F31" s="473">
        <v>0</v>
      </c>
      <c r="G31" s="474">
        <v>10.7</v>
      </c>
      <c r="H31" s="473">
        <v>0</v>
      </c>
      <c r="I31" s="474">
        <v>11.75352822</v>
      </c>
      <c r="J31" s="477">
        <v>0</v>
      </c>
      <c r="K31" s="474">
        <v>12.447899100000001</v>
      </c>
      <c r="L31" s="477">
        <v>0</v>
      </c>
      <c r="M31" s="474">
        <v>10.7</v>
      </c>
      <c r="N31" s="477">
        <v>0</v>
      </c>
      <c r="O31" s="474">
        <v>10.7</v>
      </c>
      <c r="P31" s="477">
        <v>0</v>
      </c>
      <c r="Q31" s="474">
        <v>11.753528224485661</v>
      </c>
      <c r="R31" s="480">
        <v>0</v>
      </c>
      <c r="S31" s="474">
        <v>12.447899100000001</v>
      </c>
      <c r="T31" s="192"/>
      <c r="U31" s="182">
        <v>73</v>
      </c>
      <c r="V31" s="263"/>
      <c r="W31" s="206">
        <v>9.846058172763196E-2</v>
      </c>
      <c r="X31" s="206">
        <v>0.16335505604811665</v>
      </c>
      <c r="Y31" s="247">
        <v>0</v>
      </c>
      <c r="Z31" s="247">
        <v>0</v>
      </c>
      <c r="AA31" s="264">
        <f t="shared" si="2"/>
        <v>9.846058172763196E-2</v>
      </c>
      <c r="AB31" s="265">
        <f t="shared" si="3"/>
        <v>0.16335505604811665</v>
      </c>
    </row>
    <row r="32" spans="1:28" x14ac:dyDescent="0.3">
      <c r="A32" s="580" t="s">
        <v>235</v>
      </c>
      <c r="B32" s="262">
        <v>22</v>
      </c>
      <c r="C32" s="262" t="s">
        <v>224</v>
      </c>
      <c r="D32" s="262">
        <v>18</v>
      </c>
      <c r="E32" s="431">
        <v>25</v>
      </c>
      <c r="F32" s="484">
        <v>16.399999999999999</v>
      </c>
      <c r="G32" s="482">
        <v>1.26</v>
      </c>
      <c r="H32" s="484">
        <v>16.918219690000001</v>
      </c>
      <c r="I32" s="482">
        <v>1.29981444</v>
      </c>
      <c r="J32" s="483">
        <v>17.229151510000001</v>
      </c>
      <c r="K32" s="482">
        <v>1.3237030999999999</v>
      </c>
      <c r="L32" s="483">
        <v>16.918219690000001</v>
      </c>
      <c r="M32" s="482">
        <v>1.29981444</v>
      </c>
      <c r="N32" s="483">
        <v>17.229151510000001</v>
      </c>
      <c r="O32" s="482">
        <v>1.3237030999999999</v>
      </c>
      <c r="P32" s="483">
        <v>17.436439379999999</v>
      </c>
      <c r="Q32" s="482">
        <v>1.33962888</v>
      </c>
      <c r="R32" s="481">
        <v>18.058303009999999</v>
      </c>
      <c r="S32" s="482">
        <v>1.38740621</v>
      </c>
      <c r="T32" s="192"/>
      <c r="U32" s="193">
        <v>22</v>
      </c>
      <c r="V32" s="266"/>
      <c r="W32" s="207">
        <v>3.1598761651631641E-2</v>
      </c>
      <c r="X32" s="207">
        <v>5.0558018642610621E-2</v>
      </c>
      <c r="Y32" s="207">
        <v>3.1598761651631641E-2</v>
      </c>
      <c r="Z32" s="207">
        <v>5.0558018642610621E-2</v>
      </c>
      <c r="AA32" s="267">
        <f t="shared" si="2"/>
        <v>6.3197523303263281E-2</v>
      </c>
      <c r="AB32" s="268">
        <f t="shared" si="3"/>
        <v>0.10111603728522124</v>
      </c>
    </row>
    <row r="33" spans="1:28" x14ac:dyDescent="0.3">
      <c r="A33" s="581"/>
      <c r="B33" s="222">
        <v>30</v>
      </c>
      <c r="C33" s="222" t="s">
        <v>225</v>
      </c>
      <c r="D33" s="222">
        <v>26</v>
      </c>
      <c r="E33" s="428">
        <v>35</v>
      </c>
      <c r="F33" s="471">
        <v>16.399999999999999</v>
      </c>
      <c r="G33" s="472">
        <v>2.2799999999999998</v>
      </c>
      <c r="H33" s="471">
        <v>16.918207259999999</v>
      </c>
      <c r="I33" s="472">
        <v>2.35204345</v>
      </c>
      <c r="J33" s="476">
        <v>17.22913161</v>
      </c>
      <c r="K33" s="472">
        <v>2.3952695199999998</v>
      </c>
      <c r="L33" s="476">
        <v>16.918207259999999</v>
      </c>
      <c r="M33" s="472">
        <v>2.35204345</v>
      </c>
      <c r="N33" s="476">
        <v>17.22913161</v>
      </c>
      <c r="O33" s="472">
        <v>2.3952695199999998</v>
      </c>
      <c r="P33" s="476">
        <v>17.436414509999999</v>
      </c>
      <c r="Q33" s="472">
        <v>2.4240868999999998</v>
      </c>
      <c r="R33" s="479">
        <v>18.058263220000001</v>
      </c>
      <c r="S33" s="472">
        <v>2.5105390299999999</v>
      </c>
      <c r="T33" s="192"/>
      <c r="U33" s="176">
        <v>30</v>
      </c>
      <c r="V33" s="269"/>
      <c r="W33" s="203">
        <v>3.1598003464228176E-2</v>
      </c>
      <c r="X33" s="203">
        <v>5.0556805542765079E-2</v>
      </c>
      <c r="Y33" s="203">
        <v>3.1598003464228176E-2</v>
      </c>
      <c r="Z33" s="203">
        <v>5.0556805542765072E-2</v>
      </c>
      <c r="AA33" s="255">
        <f t="shared" si="2"/>
        <v>6.3196006928456352E-2</v>
      </c>
      <c r="AB33" s="256">
        <f t="shared" si="3"/>
        <v>0.10111361108553016</v>
      </c>
    </row>
    <row r="34" spans="1:28" x14ac:dyDescent="0.3">
      <c r="A34" s="581"/>
      <c r="B34" s="222">
        <v>40</v>
      </c>
      <c r="C34" s="222" t="s">
        <v>226</v>
      </c>
      <c r="D34" s="222">
        <v>36</v>
      </c>
      <c r="E34" s="428">
        <v>45</v>
      </c>
      <c r="F34" s="471">
        <v>16.399999999999999</v>
      </c>
      <c r="G34" s="472">
        <v>3.25</v>
      </c>
      <c r="H34" s="471">
        <v>16.982669470000001</v>
      </c>
      <c r="I34" s="472">
        <v>3.3654680400000001</v>
      </c>
      <c r="J34" s="476">
        <v>17.33227115</v>
      </c>
      <c r="K34" s="472">
        <v>3.43474886</v>
      </c>
      <c r="L34" s="476">
        <v>17.43585684</v>
      </c>
      <c r="M34" s="472">
        <v>3.45527651</v>
      </c>
      <c r="N34" s="476">
        <v>18.083267360000001</v>
      </c>
      <c r="O34" s="472">
        <v>3.5835743199999999</v>
      </c>
      <c r="P34" s="476">
        <v>18.018526309999999</v>
      </c>
      <c r="Q34" s="472">
        <v>3.5707445400000002</v>
      </c>
      <c r="R34" s="479">
        <v>19.01553852</v>
      </c>
      <c r="S34" s="472">
        <v>3.7683231799999999</v>
      </c>
      <c r="T34" s="192">
        <f>R34+S34/1000*10000</f>
        <v>56.698770319999994</v>
      </c>
      <c r="U34" s="176">
        <v>40</v>
      </c>
      <c r="V34" s="269"/>
      <c r="W34" s="203">
        <v>3.5528626301167904E-2</v>
      </c>
      <c r="X34" s="203">
        <v>5.6845802081868652E-2</v>
      </c>
      <c r="Y34" s="203">
        <v>6.3162002313187374E-2</v>
      </c>
      <c r="Z34" s="203">
        <v>0.10263825375892949</v>
      </c>
      <c r="AA34" s="255">
        <f t="shared" si="2"/>
        <v>9.8690628614355277E-2</v>
      </c>
      <c r="AB34" s="256">
        <f t="shared" si="3"/>
        <v>0.15948405584079814</v>
      </c>
    </row>
    <row r="35" spans="1:28" x14ac:dyDescent="0.3">
      <c r="A35" s="581"/>
      <c r="B35" s="222">
        <v>48</v>
      </c>
      <c r="C35" s="222" t="s">
        <v>227</v>
      </c>
      <c r="D35" s="222">
        <v>46</v>
      </c>
      <c r="E35" s="428">
        <v>50</v>
      </c>
      <c r="F35" s="471">
        <v>16.399999999999999</v>
      </c>
      <c r="G35" s="472">
        <v>3.34</v>
      </c>
      <c r="H35" s="471">
        <v>17.04354579</v>
      </c>
      <c r="I35" s="472">
        <v>3.47106359</v>
      </c>
      <c r="J35" s="476">
        <v>17.48115692</v>
      </c>
      <c r="K35" s="472">
        <v>3.5601868400000001</v>
      </c>
      <c r="L35" s="476">
        <v>18.45934652</v>
      </c>
      <c r="M35" s="472">
        <v>3.7594034999999999</v>
      </c>
      <c r="N35" s="476">
        <v>19.746438090000002</v>
      </c>
      <c r="O35" s="472">
        <v>4.0215306799999997</v>
      </c>
      <c r="P35" s="476">
        <v>19.102892310000001</v>
      </c>
      <c r="Q35" s="472">
        <v>3.89046709</v>
      </c>
      <c r="R35" s="479">
        <v>20.82759502</v>
      </c>
      <c r="S35" s="472">
        <v>4.2417175199999999</v>
      </c>
      <c r="T35" s="192"/>
      <c r="U35" s="176">
        <v>48</v>
      </c>
      <c r="V35" s="269"/>
      <c r="W35" s="203">
        <v>3.9240596786892533E-2</v>
      </c>
      <c r="X35" s="203">
        <v>6.5924202601979467E-2</v>
      </c>
      <c r="Y35" s="203">
        <v>0.12556990971805612</v>
      </c>
      <c r="Z35" s="203">
        <v>0.2040511032918412</v>
      </c>
      <c r="AA35" s="255">
        <f t="shared" si="2"/>
        <v>0.16481050650494866</v>
      </c>
      <c r="AB35" s="256">
        <f t="shared" si="3"/>
        <v>0.26997530589382068</v>
      </c>
    </row>
    <row r="36" spans="1:28" x14ac:dyDescent="0.3">
      <c r="A36" s="581"/>
      <c r="B36" s="222">
        <v>53</v>
      </c>
      <c r="C36" s="222" t="s">
        <v>228</v>
      </c>
      <c r="D36" s="222">
        <v>51</v>
      </c>
      <c r="E36" s="428">
        <v>55</v>
      </c>
      <c r="F36" s="471">
        <v>16.399999999999999</v>
      </c>
      <c r="G36" s="472">
        <v>3.4</v>
      </c>
      <c r="H36" s="471">
        <v>17.158389209999999</v>
      </c>
      <c r="I36" s="472">
        <v>3.55722703</v>
      </c>
      <c r="J36" s="476">
        <v>17.69615611</v>
      </c>
      <c r="K36" s="472">
        <v>3.6687152900000002</v>
      </c>
      <c r="L36" s="476">
        <v>19.70933475</v>
      </c>
      <c r="M36" s="472">
        <v>4.08608159</v>
      </c>
      <c r="N36" s="476">
        <v>21.777668970000001</v>
      </c>
      <c r="O36" s="472">
        <v>4.51488259</v>
      </c>
      <c r="P36" s="476">
        <v>20.467723960000001</v>
      </c>
      <c r="Q36" s="472">
        <v>4.2433086299999996</v>
      </c>
      <c r="R36" s="479">
        <v>23.073825079999999</v>
      </c>
      <c r="S36" s="472">
        <v>4.7835978800000003</v>
      </c>
      <c r="T36" s="192"/>
      <c r="U36" s="176">
        <v>53</v>
      </c>
      <c r="V36" s="269"/>
      <c r="W36" s="203">
        <v>4.6243244730256615E-2</v>
      </c>
      <c r="X36" s="203">
        <v>7.9033909175347666E-2</v>
      </c>
      <c r="Y36" s="203">
        <v>0.20178870427748341</v>
      </c>
      <c r="Z36" s="203">
        <v>0.32790664445091056</v>
      </c>
      <c r="AA36" s="255">
        <f t="shared" si="2"/>
        <v>0.24803194900774003</v>
      </c>
      <c r="AB36" s="256">
        <f t="shared" si="3"/>
        <v>0.40694055362625825</v>
      </c>
    </row>
    <row r="37" spans="1:28" x14ac:dyDescent="0.3">
      <c r="A37" s="581"/>
      <c r="B37" s="222">
        <v>58</v>
      </c>
      <c r="C37" s="222" t="s">
        <v>229</v>
      </c>
      <c r="D37" s="222">
        <v>56</v>
      </c>
      <c r="E37" s="428">
        <v>60</v>
      </c>
      <c r="F37" s="471">
        <v>16.399999999999999</v>
      </c>
      <c r="G37" s="472">
        <v>3.64</v>
      </c>
      <c r="H37" s="471">
        <v>17.364683469999999</v>
      </c>
      <c r="I37" s="472">
        <v>3.8541126700000001</v>
      </c>
      <c r="J37" s="476">
        <v>17.971055939999999</v>
      </c>
      <c r="K37" s="472">
        <v>3.9886977799999999</v>
      </c>
      <c r="L37" s="476">
        <v>16.399999999999999</v>
      </c>
      <c r="M37" s="472">
        <v>3.64</v>
      </c>
      <c r="N37" s="476">
        <v>16.399999999999999</v>
      </c>
      <c r="O37" s="472">
        <v>3.64</v>
      </c>
      <c r="P37" s="476">
        <v>17.364683469999999</v>
      </c>
      <c r="Q37" s="472">
        <v>3.8541126700000001</v>
      </c>
      <c r="R37" s="479">
        <v>17.971055939999999</v>
      </c>
      <c r="S37" s="472">
        <v>3.9886977799999999</v>
      </c>
      <c r="T37" s="192"/>
      <c r="U37" s="176">
        <v>58</v>
      </c>
      <c r="V37" s="269"/>
      <c r="W37" s="203">
        <v>5.8822162801497296E-2</v>
      </c>
      <c r="X37" s="203">
        <v>9.5796093705295585E-2</v>
      </c>
      <c r="Y37" s="244">
        <v>0</v>
      </c>
      <c r="Z37" s="244">
        <v>0</v>
      </c>
      <c r="AA37" s="255">
        <f t="shared" si="2"/>
        <v>5.8822162801497296E-2</v>
      </c>
      <c r="AB37" s="256">
        <f t="shared" si="3"/>
        <v>9.5796093705295585E-2</v>
      </c>
    </row>
    <row r="38" spans="1:28" x14ac:dyDescent="0.3">
      <c r="A38" s="581"/>
      <c r="B38" s="222">
        <v>60</v>
      </c>
      <c r="C38" s="222" t="s">
        <v>230</v>
      </c>
      <c r="D38" s="222">
        <v>61</v>
      </c>
      <c r="E38" s="428">
        <v>65</v>
      </c>
      <c r="F38" s="471">
        <v>16.399999999999999</v>
      </c>
      <c r="G38" s="472">
        <v>4.22</v>
      </c>
      <c r="H38" s="471">
        <v>17.515806860000001</v>
      </c>
      <c r="I38" s="472">
        <v>4.5071161599999998</v>
      </c>
      <c r="J38" s="476">
        <v>18.408452359999998</v>
      </c>
      <c r="K38" s="472">
        <v>4.7368090799999996</v>
      </c>
      <c r="L38" s="476">
        <v>16.399999999999999</v>
      </c>
      <c r="M38" s="472">
        <v>4.22</v>
      </c>
      <c r="N38" s="476">
        <v>16.399999999999999</v>
      </c>
      <c r="O38" s="472">
        <v>4.22</v>
      </c>
      <c r="P38" s="476">
        <v>17.515806860000001</v>
      </c>
      <c r="Q38" s="472">
        <v>4.5071161599999998</v>
      </c>
      <c r="R38" s="479">
        <v>18.408452359999998</v>
      </c>
      <c r="S38" s="472">
        <v>4.7368090799999996</v>
      </c>
      <c r="T38" s="192"/>
      <c r="U38" s="176">
        <v>60</v>
      </c>
      <c r="V38" s="269"/>
      <c r="W38" s="203">
        <v>6.8037003947944971E-2</v>
      </c>
      <c r="X38" s="203">
        <v>0.12246660710630099</v>
      </c>
      <c r="Y38" s="244">
        <v>0</v>
      </c>
      <c r="Z38" s="244">
        <v>0</v>
      </c>
      <c r="AA38" s="255">
        <f t="shared" si="2"/>
        <v>6.8037003947944971E-2</v>
      </c>
      <c r="AB38" s="256">
        <f t="shared" si="3"/>
        <v>0.12246660710630099</v>
      </c>
    </row>
    <row r="39" spans="1:28" x14ac:dyDescent="0.3">
      <c r="A39" s="581"/>
      <c r="B39" s="222">
        <v>67</v>
      </c>
      <c r="C39" s="222" t="s">
        <v>231</v>
      </c>
      <c r="D39" s="222">
        <v>66</v>
      </c>
      <c r="E39" s="428">
        <v>70</v>
      </c>
      <c r="F39" s="471">
        <v>16.399999999999999</v>
      </c>
      <c r="G39" s="472">
        <v>6.26</v>
      </c>
      <c r="H39" s="471">
        <v>17.721785830000002</v>
      </c>
      <c r="I39" s="472">
        <v>6.7645353200000002</v>
      </c>
      <c r="J39" s="476">
        <v>18.765300960000001</v>
      </c>
      <c r="K39" s="472">
        <v>7.1628526900000002</v>
      </c>
      <c r="L39" s="476">
        <v>16.399999999999999</v>
      </c>
      <c r="M39" s="472">
        <v>6.26</v>
      </c>
      <c r="N39" s="476">
        <v>16.399999999999999</v>
      </c>
      <c r="O39" s="472">
        <v>6.26</v>
      </c>
      <c r="P39" s="476">
        <v>17.721785830000002</v>
      </c>
      <c r="Q39" s="472">
        <v>6.7645353200000002</v>
      </c>
      <c r="R39" s="479">
        <v>18.765300960000001</v>
      </c>
      <c r="S39" s="472">
        <v>7.1628526900000002</v>
      </c>
      <c r="T39" s="192"/>
      <c r="U39" s="176">
        <v>67</v>
      </c>
      <c r="V39" s="269"/>
      <c r="W39" s="203">
        <v>8.0596697136703949E-2</v>
      </c>
      <c r="X39" s="203">
        <v>0.14422566856041763</v>
      </c>
      <c r="Y39" s="244">
        <v>0</v>
      </c>
      <c r="Z39" s="244">
        <v>0</v>
      </c>
      <c r="AA39" s="255">
        <f t="shared" si="2"/>
        <v>8.0596697136703949E-2</v>
      </c>
      <c r="AB39" s="256">
        <f t="shared" si="3"/>
        <v>0.14422566856041763</v>
      </c>
    </row>
    <row r="40" spans="1:28" ht="15" thickBot="1" x14ac:dyDescent="0.35">
      <c r="A40" s="582"/>
      <c r="B40" s="228">
        <v>73</v>
      </c>
      <c r="C40" s="228" t="s">
        <v>232</v>
      </c>
      <c r="D40" s="228">
        <v>71</v>
      </c>
      <c r="E40" s="429">
        <v>75</v>
      </c>
      <c r="F40" s="473">
        <v>16.399999999999999</v>
      </c>
      <c r="G40" s="474">
        <v>10.7</v>
      </c>
      <c r="H40" s="473">
        <v>18.686103469999999</v>
      </c>
      <c r="I40" s="474">
        <v>12.19154312</v>
      </c>
      <c r="J40" s="477">
        <v>20.133969</v>
      </c>
      <c r="K40" s="474">
        <v>13.13618709</v>
      </c>
      <c r="L40" s="477">
        <v>16.399999999999999</v>
      </c>
      <c r="M40" s="474">
        <v>10.7</v>
      </c>
      <c r="N40" s="477">
        <v>16.399999999999999</v>
      </c>
      <c r="O40" s="474">
        <v>10.7</v>
      </c>
      <c r="P40" s="477">
        <v>18.686103469999999</v>
      </c>
      <c r="Q40" s="474">
        <v>12.19154312</v>
      </c>
      <c r="R40" s="480">
        <v>20.133969</v>
      </c>
      <c r="S40" s="474">
        <v>13.13618709</v>
      </c>
      <c r="T40" s="192"/>
      <c r="U40" s="182">
        <v>73</v>
      </c>
      <c r="V40" s="270"/>
      <c r="W40" s="204">
        <v>0.13939655316221122</v>
      </c>
      <c r="X40" s="206">
        <v>0.22768103683161167</v>
      </c>
      <c r="Y40" s="247">
        <v>0</v>
      </c>
      <c r="Z40" s="247">
        <v>0</v>
      </c>
      <c r="AA40" s="264">
        <f t="shared" si="2"/>
        <v>0.13939655316221122</v>
      </c>
      <c r="AB40" s="265">
        <f t="shared" si="3"/>
        <v>0.22768103683161167</v>
      </c>
    </row>
    <row r="41" spans="1:28" x14ac:dyDescent="0.3">
      <c r="A41" s="583" t="s">
        <v>236</v>
      </c>
      <c r="B41" s="262">
        <v>21</v>
      </c>
      <c r="C41" s="262" t="s">
        <v>237</v>
      </c>
      <c r="D41" s="465">
        <v>1</v>
      </c>
      <c r="E41" s="431">
        <v>17</v>
      </c>
      <c r="F41" s="485">
        <v>-0.52700000000000002</v>
      </c>
      <c r="G41" s="486">
        <v>1.1067</v>
      </c>
      <c r="H41" s="435"/>
      <c r="I41" s="271"/>
      <c r="J41" s="436"/>
      <c r="K41" s="271"/>
      <c r="L41" s="436"/>
      <c r="M41" s="271"/>
      <c r="N41" s="436"/>
      <c r="O41" s="271"/>
      <c r="P41" s="436"/>
      <c r="Q41" s="271"/>
      <c r="R41" s="440"/>
      <c r="S41" s="271"/>
      <c r="T41" s="192"/>
      <c r="U41" s="272"/>
      <c r="V41" s="254"/>
      <c r="W41" s="241"/>
      <c r="X41" s="273"/>
      <c r="Y41" s="273"/>
      <c r="Z41" s="273"/>
      <c r="AA41" s="273"/>
      <c r="AB41" s="274"/>
    </row>
    <row r="42" spans="1:28" x14ac:dyDescent="0.3">
      <c r="A42" s="584"/>
      <c r="B42" s="222">
        <v>22</v>
      </c>
      <c r="C42" s="222" t="s">
        <v>224</v>
      </c>
      <c r="D42" s="222">
        <v>18</v>
      </c>
      <c r="E42" s="428">
        <v>25</v>
      </c>
      <c r="F42" s="471">
        <v>-0.52700000000000002</v>
      </c>
      <c r="G42" s="472">
        <v>1.1067</v>
      </c>
      <c r="H42" s="432"/>
      <c r="I42" s="275"/>
      <c r="J42" s="437"/>
      <c r="K42" s="275"/>
      <c r="L42" s="437"/>
      <c r="M42" s="275"/>
      <c r="N42" s="437"/>
      <c r="O42" s="275"/>
      <c r="P42" s="437"/>
      <c r="Q42" s="275"/>
      <c r="R42" s="441"/>
      <c r="S42" s="275"/>
      <c r="T42" s="192"/>
      <c r="U42" s="193">
        <v>22</v>
      </c>
      <c r="V42" s="254"/>
      <c r="W42" s="254"/>
      <c r="X42" s="276"/>
      <c r="Y42" s="276"/>
      <c r="Z42" s="276"/>
      <c r="AA42" s="276"/>
      <c r="AB42" s="277"/>
    </row>
    <row r="43" spans="1:28" x14ac:dyDescent="0.3">
      <c r="A43" s="584"/>
      <c r="B43" s="222">
        <v>30</v>
      </c>
      <c r="C43" s="222" t="s">
        <v>238</v>
      </c>
      <c r="D43" s="222">
        <v>26</v>
      </c>
      <c r="E43" s="428">
        <v>35</v>
      </c>
      <c r="F43" s="471">
        <v>-0.97750000000000004</v>
      </c>
      <c r="G43" s="472">
        <v>2.0485000000000002</v>
      </c>
      <c r="H43" s="432"/>
      <c r="I43" s="275"/>
      <c r="J43" s="437"/>
      <c r="K43" s="275"/>
      <c r="L43" s="437"/>
      <c r="M43" s="275"/>
      <c r="N43" s="437"/>
      <c r="O43" s="275"/>
      <c r="P43" s="437"/>
      <c r="Q43" s="275"/>
      <c r="R43" s="441"/>
      <c r="S43" s="275"/>
      <c r="T43" s="192"/>
      <c r="U43" s="176">
        <v>30</v>
      </c>
      <c r="V43" s="254"/>
      <c r="W43" s="254"/>
      <c r="X43" s="254"/>
      <c r="Y43" s="254"/>
      <c r="Z43" s="254"/>
      <c r="AA43" s="254"/>
      <c r="AB43" s="278"/>
    </row>
    <row r="44" spans="1:28" x14ac:dyDescent="0.3">
      <c r="A44" s="584"/>
      <c r="B44" s="222">
        <v>40</v>
      </c>
      <c r="C44" s="222" t="s">
        <v>226</v>
      </c>
      <c r="D44" s="222">
        <v>36</v>
      </c>
      <c r="E44" s="428">
        <v>45</v>
      </c>
      <c r="F44" s="471">
        <v>-2.125</v>
      </c>
      <c r="G44" s="472">
        <v>2.9325000000000001</v>
      </c>
      <c r="H44" s="432"/>
      <c r="I44" s="275"/>
      <c r="J44" s="437"/>
      <c r="K44" s="275"/>
      <c r="L44" s="437"/>
      <c r="M44" s="275"/>
      <c r="N44" s="437"/>
      <c r="O44" s="275"/>
      <c r="P44" s="437"/>
      <c r="Q44" s="275"/>
      <c r="R44" s="441"/>
      <c r="S44" s="275"/>
      <c r="T44" s="192"/>
      <c r="U44" s="176">
        <v>40</v>
      </c>
      <c r="V44" s="254"/>
      <c r="W44" s="254"/>
      <c r="X44" s="254"/>
      <c r="Y44" s="254"/>
      <c r="Z44" s="254"/>
      <c r="AA44" s="254"/>
      <c r="AB44" s="278"/>
    </row>
    <row r="45" spans="1:28" x14ac:dyDescent="0.3">
      <c r="A45" s="584"/>
      <c r="B45" s="222">
        <v>48</v>
      </c>
      <c r="C45" s="222" t="s">
        <v>227</v>
      </c>
      <c r="D45" s="222">
        <v>46</v>
      </c>
      <c r="E45" s="428">
        <v>50</v>
      </c>
      <c r="F45" s="471">
        <v>-1.4279999999999999</v>
      </c>
      <c r="G45" s="472">
        <v>2.9988000000000001</v>
      </c>
      <c r="H45" s="432"/>
      <c r="I45" s="275"/>
      <c r="J45" s="437"/>
      <c r="K45" s="275"/>
      <c r="L45" s="437"/>
      <c r="M45" s="275"/>
      <c r="N45" s="437"/>
      <c r="O45" s="275"/>
      <c r="P45" s="437"/>
      <c r="Q45" s="275"/>
      <c r="R45" s="441"/>
      <c r="S45" s="275"/>
      <c r="T45" s="192"/>
      <c r="U45" s="176">
        <v>48</v>
      </c>
      <c r="V45" s="254"/>
      <c r="W45" s="254"/>
      <c r="X45" s="254"/>
      <c r="Y45" s="254"/>
      <c r="Z45" s="254"/>
      <c r="AA45" s="254"/>
      <c r="AB45" s="278"/>
    </row>
    <row r="46" spans="1:28" x14ac:dyDescent="0.3">
      <c r="A46" s="584"/>
      <c r="B46" s="222">
        <v>53</v>
      </c>
      <c r="C46" s="222" t="s">
        <v>228</v>
      </c>
      <c r="D46" s="222">
        <v>51</v>
      </c>
      <c r="E46" s="428">
        <v>55</v>
      </c>
      <c r="F46" s="471">
        <v>-1.5469999999999999</v>
      </c>
      <c r="G46" s="472">
        <v>3.2402000000000002</v>
      </c>
      <c r="H46" s="468"/>
      <c r="I46" s="275"/>
      <c r="J46" s="437"/>
      <c r="K46" s="275"/>
      <c r="L46" s="437"/>
      <c r="M46" s="275"/>
      <c r="N46" s="437"/>
      <c r="O46" s="275"/>
      <c r="P46" s="437"/>
      <c r="Q46" s="275"/>
      <c r="R46" s="441"/>
      <c r="S46" s="275"/>
      <c r="T46" s="192"/>
      <c r="U46" s="176">
        <v>53</v>
      </c>
      <c r="V46" s="254"/>
      <c r="W46" s="254"/>
      <c r="X46" s="254"/>
      <c r="Y46" s="254"/>
      <c r="Z46" s="254"/>
      <c r="AA46" s="254"/>
      <c r="AB46" s="278"/>
    </row>
    <row r="47" spans="1:28" x14ac:dyDescent="0.3">
      <c r="A47" s="584"/>
      <c r="B47" s="222">
        <v>58</v>
      </c>
      <c r="C47" s="222" t="s">
        <v>229</v>
      </c>
      <c r="D47" s="222">
        <v>56</v>
      </c>
      <c r="E47" s="428">
        <v>60</v>
      </c>
      <c r="F47" s="471">
        <v>-1.9039999999999999</v>
      </c>
      <c r="G47" s="472">
        <v>3.9899</v>
      </c>
      <c r="H47" s="432"/>
      <c r="I47" s="275"/>
      <c r="J47" s="437"/>
      <c r="K47" s="275"/>
      <c r="L47" s="437"/>
      <c r="M47" s="275"/>
      <c r="N47" s="437"/>
      <c r="O47" s="275"/>
      <c r="P47" s="437"/>
      <c r="Q47" s="275"/>
      <c r="R47" s="441"/>
      <c r="S47" s="275"/>
      <c r="T47" s="192"/>
      <c r="U47" s="176">
        <v>58</v>
      </c>
      <c r="V47" s="254"/>
      <c r="W47" s="254"/>
      <c r="X47" s="254"/>
      <c r="Y47" s="254"/>
      <c r="Z47" s="254"/>
      <c r="AA47" s="254"/>
      <c r="AB47" s="278"/>
    </row>
    <row r="48" spans="1:28" x14ac:dyDescent="0.3">
      <c r="A48" s="584"/>
      <c r="B48" s="222">
        <v>63</v>
      </c>
      <c r="C48" s="222" t="s">
        <v>230</v>
      </c>
      <c r="D48" s="222">
        <v>61</v>
      </c>
      <c r="E48" s="428">
        <v>65</v>
      </c>
      <c r="F48" s="471">
        <v>-2.7879999999999998</v>
      </c>
      <c r="G48" s="472">
        <v>5.8548</v>
      </c>
      <c r="H48" s="432"/>
      <c r="I48" s="275"/>
      <c r="J48" s="437"/>
      <c r="K48" s="275"/>
      <c r="L48" s="437"/>
      <c r="M48" s="275"/>
      <c r="N48" s="437"/>
      <c r="O48" s="275"/>
      <c r="P48" s="437"/>
      <c r="Q48" s="275"/>
      <c r="R48" s="441"/>
      <c r="S48" s="275"/>
      <c r="T48" s="192"/>
      <c r="U48" s="176">
        <v>63</v>
      </c>
      <c r="V48" s="254"/>
      <c r="W48" s="254"/>
      <c r="X48" s="254"/>
      <c r="Y48" s="254"/>
      <c r="Z48" s="254"/>
      <c r="AA48" s="254"/>
      <c r="AB48" s="278"/>
    </row>
    <row r="49" spans="1:28" x14ac:dyDescent="0.3">
      <c r="A49" s="584"/>
      <c r="B49" s="222">
        <v>67</v>
      </c>
      <c r="C49" s="222" t="s">
        <v>231</v>
      </c>
      <c r="D49" s="222">
        <v>66</v>
      </c>
      <c r="E49" s="428">
        <v>70</v>
      </c>
      <c r="F49" s="471">
        <v>-4.2670000000000003</v>
      </c>
      <c r="G49" s="472">
        <v>8.9606999999999992</v>
      </c>
      <c r="H49" s="432"/>
      <c r="I49" s="275"/>
      <c r="J49" s="437"/>
      <c r="K49" s="275"/>
      <c r="L49" s="437"/>
      <c r="M49" s="275"/>
      <c r="N49" s="437"/>
      <c r="O49" s="275"/>
      <c r="P49" s="437"/>
      <c r="Q49" s="275"/>
      <c r="R49" s="441"/>
      <c r="S49" s="275"/>
      <c r="T49" s="192"/>
      <c r="U49" s="176">
        <v>67</v>
      </c>
      <c r="V49" s="254"/>
      <c r="W49" s="254"/>
      <c r="X49" s="254"/>
      <c r="Y49" s="254"/>
      <c r="Z49" s="254"/>
      <c r="AA49" s="254"/>
      <c r="AB49" s="278"/>
    </row>
    <row r="50" spans="1:28" x14ac:dyDescent="0.3">
      <c r="A50" s="584"/>
      <c r="B50" s="222">
        <v>73</v>
      </c>
      <c r="C50" s="222" t="s">
        <v>232</v>
      </c>
      <c r="D50" s="222">
        <v>71</v>
      </c>
      <c r="E50" s="428">
        <v>75</v>
      </c>
      <c r="F50" s="471">
        <v>-6.766</v>
      </c>
      <c r="G50" s="472">
        <v>14.208600000000001</v>
      </c>
      <c r="H50" s="432"/>
      <c r="I50" s="275"/>
      <c r="J50" s="437"/>
      <c r="K50" s="275"/>
      <c r="L50" s="437"/>
      <c r="M50" s="275"/>
      <c r="N50" s="437"/>
      <c r="O50" s="275"/>
      <c r="P50" s="437"/>
      <c r="Q50" s="275"/>
      <c r="R50" s="441"/>
      <c r="S50" s="275"/>
      <c r="T50" s="192"/>
      <c r="U50" s="176">
        <v>73</v>
      </c>
      <c r="V50" s="254"/>
      <c r="W50" s="254"/>
      <c r="X50" s="254"/>
      <c r="Y50" s="254"/>
      <c r="Z50" s="254"/>
      <c r="AA50" s="254"/>
      <c r="AB50" s="278"/>
    </row>
    <row r="51" spans="1:28" x14ac:dyDescent="0.3">
      <c r="A51" s="584"/>
      <c r="B51" s="222">
        <v>78</v>
      </c>
      <c r="C51" s="222" t="s">
        <v>239</v>
      </c>
      <c r="D51" s="222">
        <v>76</v>
      </c>
      <c r="E51" s="428">
        <v>80</v>
      </c>
      <c r="F51" s="471">
        <v>0</v>
      </c>
      <c r="G51" s="472">
        <v>0</v>
      </c>
      <c r="H51" s="432"/>
      <c r="I51" s="275"/>
      <c r="J51" s="437"/>
      <c r="K51" s="275"/>
      <c r="L51" s="437"/>
      <c r="M51" s="275"/>
      <c r="N51" s="437"/>
      <c r="O51" s="275"/>
      <c r="P51" s="437"/>
      <c r="Q51" s="275"/>
      <c r="R51" s="441"/>
      <c r="S51" s="275"/>
      <c r="T51" s="192"/>
      <c r="U51" s="176">
        <v>78</v>
      </c>
      <c r="V51" s="254"/>
      <c r="W51" s="254"/>
      <c r="X51" s="254"/>
      <c r="Y51" s="254"/>
      <c r="Z51" s="254"/>
      <c r="AA51" s="254"/>
      <c r="AB51" s="278"/>
    </row>
    <row r="52" spans="1:28" ht="15" thickBot="1" x14ac:dyDescent="0.35">
      <c r="A52" s="585"/>
      <c r="B52" s="228">
        <v>83</v>
      </c>
      <c r="C52" s="228" t="s">
        <v>240</v>
      </c>
      <c r="D52" s="228">
        <v>81</v>
      </c>
      <c r="E52" s="429">
        <v>85</v>
      </c>
      <c r="F52" s="473">
        <v>0</v>
      </c>
      <c r="G52" s="474">
        <v>0</v>
      </c>
      <c r="H52" s="433"/>
      <c r="I52" s="279"/>
      <c r="J52" s="438"/>
      <c r="K52" s="279"/>
      <c r="L52" s="438"/>
      <c r="M52" s="279"/>
      <c r="N52" s="438"/>
      <c r="O52" s="279"/>
      <c r="P52" s="438"/>
      <c r="Q52" s="279"/>
      <c r="R52" s="442"/>
      <c r="S52" s="279"/>
      <c r="T52" s="192"/>
      <c r="U52" s="176">
        <v>83</v>
      </c>
      <c r="V52" s="254"/>
      <c r="W52" s="254"/>
      <c r="X52" s="254"/>
      <c r="Y52" s="254"/>
      <c r="Z52" s="254"/>
      <c r="AA52" s="254"/>
      <c r="AB52" s="278"/>
    </row>
    <row r="53" spans="1:28" x14ac:dyDescent="0.3">
      <c r="A53" s="569" t="s">
        <v>185</v>
      </c>
      <c r="B53" s="232">
        <v>22</v>
      </c>
      <c r="C53" s="232" t="s">
        <v>224</v>
      </c>
      <c r="D53" s="232">
        <v>18</v>
      </c>
      <c r="E53" s="430">
        <v>25</v>
      </c>
      <c r="F53" s="469">
        <v>0</v>
      </c>
      <c r="G53" s="470">
        <v>1.054</v>
      </c>
      <c r="H53" s="434"/>
      <c r="I53" s="280"/>
      <c r="J53" s="439"/>
      <c r="K53" s="280"/>
      <c r="L53" s="439"/>
      <c r="M53" s="280"/>
      <c r="N53" s="439"/>
      <c r="O53" s="280"/>
      <c r="P53" s="439"/>
      <c r="Q53" s="280"/>
      <c r="R53" s="443"/>
      <c r="S53" s="280"/>
      <c r="T53" s="192"/>
      <c r="U53" s="176">
        <v>22</v>
      </c>
      <c r="V53" s="254"/>
      <c r="W53" s="254"/>
      <c r="X53" s="254"/>
      <c r="Y53" s="254"/>
      <c r="Z53" s="254"/>
      <c r="AA53" s="254"/>
      <c r="AB53" s="278"/>
    </row>
    <row r="54" spans="1:28" x14ac:dyDescent="0.3">
      <c r="A54" s="570"/>
      <c r="B54" s="222">
        <v>30</v>
      </c>
      <c r="C54" s="222" t="s">
        <v>238</v>
      </c>
      <c r="D54" s="222">
        <v>26</v>
      </c>
      <c r="E54" s="428">
        <v>35</v>
      </c>
      <c r="F54" s="471">
        <v>0</v>
      </c>
      <c r="G54" s="472">
        <v>1.8274999999999999</v>
      </c>
      <c r="H54" s="432"/>
      <c r="I54" s="275"/>
      <c r="J54" s="437"/>
      <c r="K54" s="275"/>
      <c r="L54" s="437"/>
      <c r="M54" s="275"/>
      <c r="N54" s="437"/>
      <c r="O54" s="275"/>
      <c r="P54" s="437"/>
      <c r="Q54" s="275"/>
      <c r="R54" s="441"/>
      <c r="S54" s="275"/>
      <c r="T54" s="192"/>
      <c r="U54" s="176">
        <v>30</v>
      </c>
      <c r="V54" s="254"/>
      <c r="W54" s="254"/>
      <c r="X54" s="254"/>
      <c r="Y54" s="254"/>
      <c r="Z54" s="254"/>
      <c r="AA54" s="254"/>
      <c r="AB54" s="278"/>
    </row>
    <row r="55" spans="1:28" x14ac:dyDescent="0.3">
      <c r="A55" s="570"/>
      <c r="B55" s="222">
        <v>40</v>
      </c>
      <c r="C55" s="222" t="s">
        <v>226</v>
      </c>
      <c r="D55" s="222">
        <v>36</v>
      </c>
      <c r="E55" s="428">
        <v>45</v>
      </c>
      <c r="F55" s="471">
        <v>0</v>
      </c>
      <c r="G55" s="472">
        <v>2.363</v>
      </c>
      <c r="H55" s="432"/>
      <c r="I55" s="275"/>
      <c r="J55" s="437"/>
      <c r="K55" s="275"/>
      <c r="L55" s="437"/>
      <c r="M55" s="275"/>
      <c r="N55" s="437"/>
      <c r="O55" s="275"/>
      <c r="P55" s="437"/>
      <c r="Q55" s="275"/>
      <c r="R55" s="441"/>
      <c r="S55" s="275"/>
      <c r="T55" s="192"/>
      <c r="U55" s="176">
        <v>40</v>
      </c>
      <c r="V55" s="254"/>
      <c r="W55" s="254"/>
      <c r="X55" s="254"/>
      <c r="Y55" s="254"/>
      <c r="Z55" s="254"/>
      <c r="AA55" s="254"/>
      <c r="AB55" s="278"/>
    </row>
    <row r="56" spans="1:28" x14ac:dyDescent="0.3">
      <c r="A56" s="570"/>
      <c r="B56" s="222">
        <v>48</v>
      </c>
      <c r="C56" s="222" t="s">
        <v>227</v>
      </c>
      <c r="D56" s="222">
        <v>46</v>
      </c>
      <c r="E56" s="428">
        <v>50</v>
      </c>
      <c r="F56" s="471">
        <v>0</v>
      </c>
      <c r="G56" s="472">
        <v>2.448</v>
      </c>
      <c r="H56" s="432"/>
      <c r="I56" s="275"/>
      <c r="J56" s="437"/>
      <c r="K56" s="275"/>
      <c r="L56" s="437"/>
      <c r="M56" s="275"/>
      <c r="N56" s="437"/>
      <c r="O56" s="275"/>
      <c r="P56" s="437"/>
      <c r="Q56" s="275"/>
      <c r="R56" s="441"/>
      <c r="S56" s="275"/>
      <c r="T56" s="192"/>
      <c r="U56" s="176">
        <v>48</v>
      </c>
      <c r="V56" s="254"/>
      <c r="W56" s="254"/>
      <c r="X56" s="254"/>
      <c r="Y56" s="254"/>
      <c r="Z56" s="254"/>
      <c r="AA56" s="254"/>
      <c r="AB56" s="278"/>
    </row>
    <row r="57" spans="1:28" x14ac:dyDescent="0.3">
      <c r="A57" s="570"/>
      <c r="B57" s="222">
        <v>53</v>
      </c>
      <c r="C57" s="222" t="s">
        <v>228</v>
      </c>
      <c r="D57" s="222">
        <v>51</v>
      </c>
      <c r="E57" s="428">
        <v>55</v>
      </c>
      <c r="F57" s="471">
        <v>0</v>
      </c>
      <c r="G57" s="472">
        <v>2.7370000000000001</v>
      </c>
      <c r="H57" s="432"/>
      <c r="I57" s="275"/>
      <c r="J57" s="437"/>
      <c r="K57" s="275"/>
      <c r="L57" s="437"/>
      <c r="M57" s="275"/>
      <c r="N57" s="437"/>
      <c r="O57" s="275"/>
      <c r="P57" s="437"/>
      <c r="Q57" s="275"/>
      <c r="R57" s="441"/>
      <c r="S57" s="275"/>
      <c r="T57" s="192"/>
      <c r="U57" s="176">
        <v>53</v>
      </c>
      <c r="V57" s="254"/>
      <c r="W57" s="254"/>
      <c r="X57" s="254"/>
      <c r="Y57" s="254"/>
      <c r="Z57" s="254"/>
      <c r="AA57" s="254"/>
      <c r="AB57" s="278"/>
    </row>
    <row r="58" spans="1:28" x14ac:dyDescent="0.3">
      <c r="A58" s="570"/>
      <c r="B58" s="222">
        <v>58</v>
      </c>
      <c r="C58" s="222" t="s">
        <v>229</v>
      </c>
      <c r="D58" s="222">
        <v>56</v>
      </c>
      <c r="E58" s="428">
        <v>60</v>
      </c>
      <c r="F58" s="471">
        <v>0</v>
      </c>
      <c r="G58" s="472">
        <v>3.7995000000000001</v>
      </c>
      <c r="H58" s="432"/>
      <c r="I58" s="275"/>
      <c r="J58" s="437"/>
      <c r="K58" s="275"/>
      <c r="L58" s="437"/>
      <c r="M58" s="275"/>
      <c r="N58" s="437"/>
      <c r="O58" s="275"/>
      <c r="P58" s="437"/>
      <c r="Q58" s="275"/>
      <c r="R58" s="441"/>
      <c r="S58" s="275"/>
      <c r="T58" s="192"/>
      <c r="U58" s="176">
        <v>58</v>
      </c>
      <c r="V58" s="254"/>
      <c r="W58" s="254"/>
      <c r="X58" s="254"/>
      <c r="Y58" s="254"/>
      <c r="Z58" s="254"/>
      <c r="AA58" s="254"/>
      <c r="AB58" s="278"/>
    </row>
    <row r="59" spans="1:28" x14ac:dyDescent="0.3">
      <c r="A59" s="570"/>
      <c r="B59" s="222">
        <v>63</v>
      </c>
      <c r="C59" s="222" t="s">
        <v>230</v>
      </c>
      <c r="D59" s="222">
        <v>61</v>
      </c>
      <c r="E59" s="428">
        <v>65</v>
      </c>
      <c r="F59" s="471">
        <v>0</v>
      </c>
      <c r="G59" s="472">
        <v>5.5759999999999996</v>
      </c>
      <c r="H59" s="432"/>
      <c r="I59" s="275"/>
      <c r="J59" s="437"/>
      <c r="K59" s="275"/>
      <c r="L59" s="437"/>
      <c r="M59" s="275"/>
      <c r="N59" s="437"/>
      <c r="O59" s="275"/>
      <c r="P59" s="437"/>
      <c r="Q59" s="275"/>
      <c r="R59" s="441"/>
      <c r="S59" s="275"/>
      <c r="T59" s="192"/>
      <c r="U59" s="176">
        <v>63</v>
      </c>
      <c r="V59" s="254"/>
      <c r="W59" s="254"/>
      <c r="X59" s="254"/>
      <c r="Y59" s="254"/>
      <c r="Z59" s="254"/>
      <c r="AA59" s="254"/>
      <c r="AB59" s="278"/>
    </row>
    <row r="60" spans="1:28" x14ac:dyDescent="0.3">
      <c r="A60" s="570"/>
      <c r="B60" s="222">
        <v>67</v>
      </c>
      <c r="C60" s="222" t="s">
        <v>231</v>
      </c>
      <c r="D60" s="222">
        <v>66</v>
      </c>
      <c r="E60" s="428">
        <v>70</v>
      </c>
      <c r="F60" s="471">
        <v>0</v>
      </c>
      <c r="G60" s="472">
        <v>8.5340000000000007</v>
      </c>
      <c r="H60" s="432"/>
      <c r="I60" s="275"/>
      <c r="J60" s="437"/>
      <c r="K60" s="275"/>
      <c r="L60" s="437"/>
      <c r="M60" s="275"/>
      <c r="N60" s="437"/>
      <c r="O60" s="275"/>
      <c r="P60" s="437"/>
      <c r="Q60" s="275"/>
      <c r="R60" s="441"/>
      <c r="S60" s="275"/>
      <c r="T60" s="192"/>
      <c r="U60" s="176">
        <v>67</v>
      </c>
      <c r="V60" s="254"/>
      <c r="W60" s="254"/>
      <c r="X60" s="254"/>
      <c r="Y60" s="254"/>
      <c r="Z60" s="254"/>
      <c r="AA60" s="254"/>
      <c r="AB60" s="278"/>
    </row>
    <row r="61" spans="1:28" x14ac:dyDescent="0.3">
      <c r="A61" s="570"/>
      <c r="B61" s="222">
        <v>73</v>
      </c>
      <c r="C61" s="222" t="s">
        <v>232</v>
      </c>
      <c r="D61" s="222">
        <v>71</v>
      </c>
      <c r="E61" s="428">
        <v>75</v>
      </c>
      <c r="F61" s="471">
        <v>0</v>
      </c>
      <c r="G61" s="472">
        <v>13.532</v>
      </c>
      <c r="H61" s="432"/>
      <c r="I61" s="275"/>
      <c r="J61" s="437"/>
      <c r="K61" s="275"/>
      <c r="L61" s="437"/>
      <c r="M61" s="275"/>
      <c r="N61" s="437"/>
      <c r="O61" s="275"/>
      <c r="P61" s="437"/>
      <c r="Q61" s="275"/>
      <c r="R61" s="441"/>
      <c r="S61" s="275"/>
      <c r="T61" s="192"/>
      <c r="U61" s="176">
        <v>73</v>
      </c>
      <c r="V61" s="254"/>
      <c r="W61" s="254"/>
      <c r="X61" s="254"/>
      <c r="Y61" s="254"/>
      <c r="Z61" s="254"/>
      <c r="AA61" s="254"/>
      <c r="AB61" s="278"/>
    </row>
    <row r="62" spans="1:28" x14ac:dyDescent="0.3">
      <c r="A62" s="570"/>
      <c r="B62" s="222">
        <v>78</v>
      </c>
      <c r="C62" s="222" t="s">
        <v>239</v>
      </c>
      <c r="D62" s="222">
        <v>76</v>
      </c>
      <c r="E62" s="428">
        <v>80</v>
      </c>
      <c r="F62" s="471">
        <v>0</v>
      </c>
      <c r="G62" s="472">
        <v>0</v>
      </c>
      <c r="H62" s="432"/>
      <c r="I62" s="275"/>
      <c r="J62" s="437"/>
      <c r="K62" s="275"/>
      <c r="L62" s="437"/>
      <c r="M62" s="275"/>
      <c r="N62" s="437"/>
      <c r="O62" s="275"/>
      <c r="P62" s="437"/>
      <c r="Q62" s="275"/>
      <c r="R62" s="441"/>
      <c r="S62" s="275"/>
      <c r="T62" s="192"/>
      <c r="U62" s="176">
        <v>78</v>
      </c>
      <c r="V62" s="254"/>
      <c r="W62" s="254"/>
      <c r="X62" s="254"/>
      <c r="Y62" s="254"/>
      <c r="Z62" s="254"/>
      <c r="AA62" s="254"/>
      <c r="AB62" s="278"/>
    </row>
    <row r="63" spans="1:28" ht="15" thickBot="1" x14ac:dyDescent="0.35">
      <c r="A63" s="571"/>
      <c r="B63" s="228">
        <v>83</v>
      </c>
      <c r="C63" s="228" t="s">
        <v>240</v>
      </c>
      <c r="D63" s="228">
        <v>81</v>
      </c>
      <c r="E63" s="429">
        <v>85</v>
      </c>
      <c r="F63" s="473">
        <v>0</v>
      </c>
      <c r="G63" s="474">
        <v>0</v>
      </c>
      <c r="H63" s="433"/>
      <c r="I63" s="279"/>
      <c r="J63" s="438"/>
      <c r="K63" s="279"/>
      <c r="L63" s="438"/>
      <c r="M63" s="279"/>
      <c r="N63" s="438"/>
      <c r="O63" s="279"/>
      <c r="P63" s="438"/>
      <c r="Q63" s="279"/>
      <c r="R63" s="442"/>
      <c r="S63" s="279"/>
      <c r="T63" s="192"/>
      <c r="U63" s="182">
        <v>83</v>
      </c>
      <c r="V63" s="263"/>
      <c r="W63" s="263"/>
      <c r="X63" s="263"/>
      <c r="Y63" s="263"/>
      <c r="Z63" s="263"/>
      <c r="AA63" s="263"/>
      <c r="AB63" s="281"/>
    </row>
  </sheetData>
  <sheetProtection algorithmName="SHA-512" hashValue="NYXWJl8+TGbweKkQiaq173jqX03J3whwR+UXVR8uqnDQle9NDIzFsfwbJqdK12yaZ0E9D0qy1lRAWgRZhJldwg==" saltValue="1mzZimoH+2ii3bVveTiN8Q==" spinCount="100000" sheet="1" objects="1" scenarios="1"/>
  <mergeCells count="7">
    <mergeCell ref="A1:AB1"/>
    <mergeCell ref="A53:A63"/>
    <mergeCell ref="A5:A13"/>
    <mergeCell ref="A14:A22"/>
    <mergeCell ref="A23:A31"/>
    <mergeCell ref="A32:A40"/>
    <mergeCell ref="A41:A52"/>
  </mergeCells>
  <pageMargins left="0.7" right="0.7" top="0.75" bottom="0.75" header="0.3" footer="0.3"/>
  <pageSetup paperSize="9" orientation="portrait" horizontalDpi="300" verticalDpi="300"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77650-41B4-4776-BC2F-1325DCCD5BE5}">
  <sheetPr codeName="Sheet6">
    <tabColor theme="3" tint="0.89999084444715716"/>
  </sheetPr>
  <dimension ref="A1:EB86"/>
  <sheetViews>
    <sheetView zoomScaleNormal="100" workbookViewId="0"/>
  </sheetViews>
  <sheetFormatPr defaultColWidth="0" defaultRowHeight="14.4" zeroHeight="1" x14ac:dyDescent="0.3"/>
  <cols>
    <col min="1" max="1" width="18.6640625" style="166" bestFit="1" customWidth="1"/>
    <col min="2" max="2" width="7.6640625" style="166" bestFit="1" customWidth="1"/>
    <col min="3" max="6" width="9.33203125" style="166" bestFit="1" customWidth="1"/>
    <col min="7" max="7" width="9.33203125" style="166" customWidth="1"/>
    <col min="8" max="8" width="14.109375" style="166" customWidth="1"/>
    <col min="9" max="13" width="9.33203125" style="166" customWidth="1"/>
    <col min="14" max="14" width="8.6640625" style="166" customWidth="1"/>
    <col min="15" max="15" width="19.44140625" style="166" customWidth="1"/>
    <col min="16" max="18" width="9.109375" style="166" bestFit="1" customWidth="1"/>
    <col min="19" max="20" width="9.33203125" style="166" bestFit="1" customWidth="1"/>
    <col min="21" max="23" width="8.6640625" style="166" customWidth="1"/>
    <col min="24" max="24" width="17.44140625" style="166" customWidth="1"/>
    <col min="25" max="27" width="8.6640625" style="166" customWidth="1"/>
    <col min="28" max="31" width="9.33203125" style="166" bestFit="1" customWidth="1"/>
    <col min="32" max="32" width="8.6640625" style="166" customWidth="1"/>
    <col min="33" max="33" width="21.6640625" style="166" customWidth="1"/>
    <col min="34" max="41" width="8.6640625" style="166" customWidth="1"/>
    <col min="42" max="42" width="16" style="166" customWidth="1"/>
    <col min="43" max="50" width="8.6640625" style="166" customWidth="1"/>
    <col min="51" max="51" width="14" style="166" customWidth="1"/>
    <col min="52" max="59" width="8.6640625" style="166" customWidth="1"/>
    <col min="60" max="60" width="14.6640625" style="166" customWidth="1"/>
    <col min="61" max="61" width="8.6640625" style="166" customWidth="1"/>
    <col min="62" max="70" width="8.6640625" style="166" hidden="1" customWidth="1"/>
    <col min="71" max="71" width="11.33203125" style="166" hidden="1" customWidth="1"/>
    <col min="72" max="85" width="8.6640625" style="166" hidden="1" customWidth="1"/>
    <col min="86" max="86" width="10.6640625" style="166" hidden="1" customWidth="1"/>
    <col min="87" max="132" width="0" style="166" hidden="1" customWidth="1"/>
    <col min="133" max="16384" width="8.6640625" style="166" hidden="1"/>
  </cols>
  <sheetData>
    <row r="1" spans="1:131" x14ac:dyDescent="0.3">
      <c r="A1" s="165" t="s">
        <v>241</v>
      </c>
    </row>
    <row r="2" spans="1:131" x14ac:dyDescent="0.3">
      <c r="A2" s="165"/>
    </row>
    <row r="3" spans="1:131" s="165" customFormat="1" ht="15.6" x14ac:dyDescent="0.3">
      <c r="A3" s="167" t="s">
        <v>215</v>
      </c>
      <c r="C3" s="590" t="s">
        <v>200</v>
      </c>
      <c r="D3" s="590"/>
      <c r="E3" s="590"/>
      <c r="F3" s="590"/>
      <c r="H3" s="591" t="s">
        <v>242</v>
      </c>
      <c r="I3" s="591"/>
      <c r="J3" s="591"/>
      <c r="K3" s="591"/>
      <c r="L3" s="591"/>
      <c r="M3" s="591"/>
      <c r="O3" s="167"/>
      <c r="P3" s="167"/>
      <c r="Q3" s="592" t="s">
        <v>243</v>
      </c>
      <c r="R3" s="592"/>
      <c r="S3" s="592"/>
      <c r="T3" s="592"/>
      <c r="U3" s="592"/>
      <c r="V3" s="592"/>
      <c r="W3" s="167"/>
      <c r="X3" s="167"/>
      <c r="Y3" s="167"/>
      <c r="Z3" s="593" t="s">
        <v>244</v>
      </c>
      <c r="AA3" s="593"/>
      <c r="AB3" s="593"/>
      <c r="AC3" s="593"/>
      <c r="AD3" s="593"/>
      <c r="AE3" s="593"/>
      <c r="AF3" s="167"/>
      <c r="AG3" s="167"/>
      <c r="AH3" s="167"/>
      <c r="AI3" s="594" t="s">
        <v>245</v>
      </c>
      <c r="AJ3" s="594"/>
      <c r="AK3" s="594"/>
      <c r="AL3" s="594"/>
      <c r="AM3" s="594"/>
      <c r="AN3" s="594"/>
      <c r="AO3" s="167"/>
      <c r="AP3" s="167"/>
      <c r="AQ3" s="167"/>
      <c r="AR3" s="589" t="s">
        <v>246</v>
      </c>
      <c r="AS3" s="589"/>
      <c r="AT3" s="589"/>
      <c r="AU3" s="589"/>
      <c r="AV3" s="589"/>
      <c r="AW3" s="589"/>
      <c r="AX3" s="167"/>
      <c r="AY3" s="167"/>
      <c r="AZ3" s="167"/>
      <c r="BA3" s="586" t="s">
        <v>247</v>
      </c>
      <c r="BB3" s="586"/>
      <c r="BC3" s="586"/>
      <c r="BD3" s="586"/>
      <c r="BE3" s="586"/>
      <c r="BF3" s="586"/>
      <c r="BG3" s="167"/>
      <c r="BH3" s="167"/>
      <c r="BI3" s="167"/>
      <c r="BJ3" s="167"/>
      <c r="BK3" s="167"/>
      <c r="BL3" s="167"/>
      <c r="BM3" s="167"/>
      <c r="BN3" s="167"/>
      <c r="BO3" s="167"/>
      <c r="BP3" s="167"/>
      <c r="BQ3" s="167"/>
      <c r="BR3" s="167"/>
      <c r="BS3" s="167"/>
      <c r="BT3" s="167"/>
      <c r="BU3" s="167"/>
      <c r="BV3" s="167"/>
      <c r="BW3" s="167"/>
      <c r="BX3" s="167"/>
      <c r="BY3" s="167"/>
      <c r="BZ3" s="167"/>
      <c r="CA3" s="167"/>
      <c r="CB3" s="167"/>
      <c r="CC3" s="167"/>
      <c r="CD3" s="167"/>
      <c r="CE3" s="167"/>
      <c r="CF3" s="167"/>
      <c r="CG3" s="167"/>
      <c r="CH3" s="167"/>
      <c r="CI3" s="167"/>
      <c r="CJ3" s="167"/>
      <c r="CK3" s="167"/>
      <c r="CL3" s="167"/>
      <c r="CM3" s="167"/>
      <c r="CN3" s="167"/>
      <c r="CO3" s="167"/>
      <c r="CP3" s="167"/>
      <c r="CQ3" s="167"/>
      <c r="CR3" s="167"/>
      <c r="CS3" s="167"/>
      <c r="CT3" s="167"/>
      <c r="CU3" s="167"/>
      <c r="CV3" s="167"/>
      <c r="CW3" s="167"/>
      <c r="CX3" s="167"/>
      <c r="CY3" s="167"/>
      <c r="CZ3" s="167"/>
      <c r="DA3" s="167"/>
      <c r="DB3" s="167"/>
      <c r="DC3" s="167"/>
      <c r="DD3" s="167"/>
      <c r="DE3" s="167"/>
      <c r="DF3" s="167"/>
      <c r="DG3" s="167"/>
      <c r="DH3" s="167"/>
      <c r="DI3" s="167"/>
      <c r="DJ3" s="167"/>
      <c r="DK3" s="167"/>
      <c r="DL3" s="167"/>
      <c r="DM3" s="167"/>
      <c r="DN3" s="167"/>
      <c r="DO3" s="167"/>
      <c r="DP3" s="167"/>
      <c r="DQ3" s="167"/>
      <c r="DR3" s="167"/>
      <c r="DS3" s="167"/>
      <c r="DT3" s="167"/>
      <c r="DU3" s="167"/>
      <c r="DV3" s="167"/>
      <c r="DW3" s="167"/>
      <c r="DX3" s="167"/>
      <c r="DY3" s="167"/>
      <c r="DZ3" s="167"/>
      <c r="EA3" s="167"/>
    </row>
    <row r="4" spans="1:131" ht="15" customHeight="1" thickBot="1" x14ac:dyDescent="0.35">
      <c r="O4" s="167"/>
      <c r="P4" s="167"/>
      <c r="Q4" s="167"/>
      <c r="R4" s="167"/>
      <c r="S4" s="167"/>
      <c r="T4" s="167"/>
      <c r="U4" s="167"/>
      <c r="V4" s="167"/>
      <c r="W4" s="167"/>
      <c r="X4" s="167"/>
      <c r="Y4" s="167"/>
      <c r="Z4" s="167"/>
      <c r="AA4" s="167"/>
      <c r="AB4" s="167"/>
      <c r="AC4" s="167"/>
      <c r="AD4" s="167"/>
      <c r="AE4" s="167"/>
      <c r="AF4" s="167"/>
      <c r="AG4" s="167"/>
      <c r="AH4" s="167"/>
      <c r="AI4" s="167"/>
      <c r="AJ4" s="167"/>
      <c r="AK4" s="167"/>
      <c r="AL4" s="167"/>
      <c r="AM4" s="167"/>
      <c r="AN4" s="167"/>
      <c r="AO4" s="167"/>
      <c r="AP4" s="167"/>
      <c r="AQ4" s="167"/>
      <c r="AR4" s="167"/>
      <c r="AS4" s="167"/>
      <c r="AT4" s="167"/>
      <c r="AU4" s="167"/>
      <c r="AV4" s="167"/>
      <c r="AW4" s="167"/>
      <c r="AX4" s="167"/>
      <c r="AY4" s="167"/>
      <c r="AZ4" s="167"/>
      <c r="BA4" s="167"/>
      <c r="BB4" s="167"/>
      <c r="BC4" s="167"/>
      <c r="BD4" s="167"/>
      <c r="BE4" s="167"/>
      <c r="BF4" s="167"/>
      <c r="BG4" s="167"/>
      <c r="BH4" s="167"/>
      <c r="BI4" s="167"/>
      <c r="BJ4" s="167"/>
      <c r="BK4" s="167"/>
      <c r="BL4" s="167"/>
      <c r="BM4" s="167"/>
      <c r="BN4" s="167"/>
      <c r="BO4" s="167"/>
      <c r="BP4" s="167"/>
      <c r="BQ4" s="167"/>
      <c r="BR4" s="167"/>
      <c r="BS4" s="167"/>
      <c r="BT4" s="167"/>
      <c r="BU4" s="167"/>
      <c r="BV4" s="167"/>
      <c r="BW4" s="167"/>
      <c r="BX4" s="167"/>
      <c r="BY4" s="167"/>
      <c r="BZ4" s="167"/>
      <c r="CA4" s="167"/>
      <c r="CB4" s="167"/>
      <c r="CC4" s="167"/>
      <c r="CD4" s="167"/>
      <c r="CE4" s="167"/>
      <c r="CF4" s="167"/>
      <c r="CG4" s="167"/>
      <c r="CH4" s="167"/>
      <c r="CI4" s="167"/>
      <c r="CJ4" s="167"/>
      <c r="CK4" s="167"/>
      <c r="CL4" s="167"/>
      <c r="CM4" s="167"/>
      <c r="CN4" s="167"/>
      <c r="CO4" s="167"/>
      <c r="CP4" s="167"/>
      <c r="CQ4" s="167"/>
      <c r="CR4" s="167"/>
      <c r="CS4" s="167"/>
      <c r="CT4" s="167"/>
      <c r="CU4" s="167"/>
      <c r="CV4" s="167"/>
      <c r="CW4" s="167"/>
      <c r="CX4" s="167"/>
      <c r="CY4" s="167"/>
      <c r="CZ4" s="167"/>
      <c r="DA4" s="167"/>
      <c r="DB4" s="167"/>
      <c r="DC4" s="167"/>
      <c r="DD4" s="167"/>
      <c r="DE4" s="167"/>
      <c r="DF4" s="167"/>
      <c r="DG4" s="167"/>
      <c r="DH4" s="167"/>
      <c r="DI4" s="167"/>
      <c r="DJ4" s="167"/>
      <c r="DK4" s="167"/>
      <c r="DL4" s="167"/>
      <c r="DM4" s="167"/>
      <c r="DN4" s="167"/>
      <c r="DO4" s="167"/>
      <c r="DP4" s="167"/>
      <c r="DQ4" s="167"/>
      <c r="DR4" s="167"/>
      <c r="DS4" s="167"/>
      <c r="DT4" s="167"/>
      <c r="DU4" s="167"/>
      <c r="DV4" s="167"/>
      <c r="DW4" s="167"/>
      <c r="DX4" s="167"/>
      <c r="DY4" s="167"/>
      <c r="DZ4" s="167"/>
      <c r="EA4" s="167"/>
    </row>
    <row r="5" spans="1:131" ht="22.95" customHeight="1" thickBot="1" x14ac:dyDescent="0.35">
      <c r="A5" s="168" t="s">
        <v>148</v>
      </c>
      <c r="B5" s="587" t="s">
        <v>248</v>
      </c>
      <c r="C5" s="587"/>
      <c r="D5" s="587"/>
      <c r="E5" s="587"/>
      <c r="F5" s="588"/>
      <c r="G5" s="169"/>
      <c r="H5" s="168" t="s">
        <v>148</v>
      </c>
      <c r="I5" s="587" t="s">
        <v>248</v>
      </c>
      <c r="J5" s="587"/>
      <c r="K5" s="587"/>
      <c r="L5" s="587"/>
      <c r="M5" s="588"/>
      <c r="P5" s="167"/>
      <c r="Q5" s="168" t="s">
        <v>148</v>
      </c>
      <c r="R5" s="587" t="s">
        <v>248</v>
      </c>
      <c r="S5" s="587"/>
      <c r="T5" s="587"/>
      <c r="U5" s="587"/>
      <c r="V5" s="588"/>
      <c r="Y5" s="167"/>
      <c r="Z5" s="168" t="s">
        <v>148</v>
      </c>
      <c r="AA5" s="587" t="s">
        <v>248</v>
      </c>
      <c r="AB5" s="587"/>
      <c r="AC5" s="587"/>
      <c r="AD5" s="587"/>
      <c r="AE5" s="588"/>
      <c r="AH5" s="167"/>
      <c r="AI5" s="168" t="s">
        <v>148</v>
      </c>
      <c r="AJ5" s="587" t="s">
        <v>248</v>
      </c>
      <c r="AK5" s="587"/>
      <c r="AL5" s="587"/>
      <c r="AM5" s="587"/>
      <c r="AN5" s="588"/>
      <c r="AQ5" s="167"/>
      <c r="AR5" s="168" t="s">
        <v>148</v>
      </c>
      <c r="AS5" s="587" t="s">
        <v>248</v>
      </c>
      <c r="AT5" s="587"/>
      <c r="AU5" s="587"/>
      <c r="AV5" s="587"/>
      <c r="AW5" s="588"/>
      <c r="AZ5" s="167"/>
      <c r="BA5" s="168" t="s">
        <v>148</v>
      </c>
      <c r="BB5" s="587" t="s">
        <v>248</v>
      </c>
      <c r="BC5" s="587"/>
      <c r="BD5" s="587"/>
      <c r="BE5" s="587"/>
      <c r="BF5" s="588"/>
      <c r="BI5" s="167"/>
      <c r="BJ5" s="167"/>
      <c r="BK5" s="167"/>
      <c r="BL5" s="167"/>
      <c r="BM5" s="167"/>
      <c r="BN5" s="167"/>
      <c r="BO5" s="167"/>
      <c r="BP5" s="167"/>
      <c r="BQ5" s="167"/>
      <c r="BR5" s="167"/>
      <c r="BS5" s="167"/>
      <c r="BT5" s="167"/>
      <c r="BU5" s="167"/>
      <c r="BV5" s="167"/>
      <c r="BW5" s="167"/>
      <c r="BX5" s="167"/>
      <c r="BY5" s="167"/>
      <c r="BZ5" s="167"/>
      <c r="CA5" s="167"/>
      <c r="CB5" s="167"/>
      <c r="CC5" s="167"/>
      <c r="CD5" s="167"/>
      <c r="CE5" s="167"/>
      <c r="CF5" s="167"/>
      <c r="CG5" s="167"/>
      <c r="CH5" s="167"/>
      <c r="CI5" s="167"/>
      <c r="CJ5" s="167"/>
      <c r="CK5" s="167"/>
      <c r="CL5" s="167"/>
      <c r="CM5" s="167"/>
      <c r="CN5" s="167"/>
      <c r="CO5" s="167"/>
      <c r="CP5" s="167"/>
      <c r="CQ5" s="167"/>
      <c r="CR5" s="167"/>
      <c r="CS5" s="167"/>
      <c r="CT5" s="167"/>
      <c r="CU5" s="167"/>
      <c r="CV5" s="167"/>
      <c r="CW5" s="167"/>
      <c r="CX5" s="167"/>
      <c r="CY5" s="167"/>
      <c r="CZ5" s="167"/>
      <c r="DA5" s="167"/>
      <c r="DB5" s="167"/>
      <c r="DC5" s="167"/>
      <c r="DD5" s="167"/>
      <c r="DE5" s="167"/>
      <c r="DF5" s="167"/>
      <c r="DG5" s="167"/>
      <c r="DH5" s="167"/>
      <c r="DI5" s="167"/>
      <c r="DJ5" s="167"/>
      <c r="DK5" s="167"/>
      <c r="DL5" s="167"/>
      <c r="DM5" s="167"/>
      <c r="DN5" s="167"/>
      <c r="DO5" s="167"/>
      <c r="DP5" s="167"/>
      <c r="DQ5" s="167"/>
      <c r="DR5" s="167"/>
      <c r="DS5" s="167"/>
      <c r="DT5" s="167"/>
      <c r="DU5" s="167"/>
      <c r="DV5" s="167"/>
      <c r="DW5" s="167"/>
      <c r="DX5" s="167"/>
      <c r="DY5" s="167"/>
      <c r="DZ5" s="167"/>
      <c r="EA5" s="167"/>
    </row>
    <row r="6" spans="1:131" ht="14.7" customHeight="1" x14ac:dyDescent="0.3">
      <c r="A6" s="170" t="s">
        <v>249</v>
      </c>
      <c r="B6" s="171">
        <v>50000</v>
      </c>
      <c r="C6" s="172">
        <v>100000</v>
      </c>
      <c r="D6" s="172">
        <v>200000</v>
      </c>
      <c r="E6" s="172">
        <v>300000</v>
      </c>
      <c r="F6" s="173">
        <v>400000</v>
      </c>
      <c r="G6" s="174"/>
      <c r="H6" s="170" t="s">
        <v>249</v>
      </c>
      <c r="I6" s="171">
        <v>50000</v>
      </c>
      <c r="J6" s="172">
        <v>100000</v>
      </c>
      <c r="K6" s="172">
        <v>200000</v>
      </c>
      <c r="L6" s="172">
        <v>300000</v>
      </c>
      <c r="M6" s="173">
        <v>400000</v>
      </c>
      <c r="O6" s="175" t="s">
        <v>250</v>
      </c>
      <c r="P6" s="167"/>
      <c r="Q6" s="170" t="s">
        <v>249</v>
      </c>
      <c r="R6" s="171">
        <v>50000</v>
      </c>
      <c r="S6" s="172">
        <v>100000</v>
      </c>
      <c r="T6" s="172">
        <v>200000</v>
      </c>
      <c r="U6" s="172">
        <v>300000</v>
      </c>
      <c r="V6" s="173">
        <v>400000</v>
      </c>
      <c r="X6" s="175" t="s">
        <v>250</v>
      </c>
      <c r="Y6" s="167"/>
      <c r="Z6" s="170" t="s">
        <v>249</v>
      </c>
      <c r="AA6" s="171">
        <v>50000</v>
      </c>
      <c r="AB6" s="172">
        <v>100000</v>
      </c>
      <c r="AC6" s="172">
        <v>200000</v>
      </c>
      <c r="AD6" s="172">
        <v>300000</v>
      </c>
      <c r="AE6" s="173">
        <v>400000</v>
      </c>
      <c r="AG6" s="175" t="s">
        <v>251</v>
      </c>
      <c r="AH6" s="167"/>
      <c r="AI6" s="170" t="s">
        <v>249</v>
      </c>
      <c r="AJ6" s="171">
        <v>50000</v>
      </c>
      <c r="AK6" s="172">
        <v>100000</v>
      </c>
      <c r="AL6" s="172">
        <v>200000</v>
      </c>
      <c r="AM6" s="172">
        <v>300000</v>
      </c>
      <c r="AN6" s="173">
        <v>400000</v>
      </c>
      <c r="AP6" s="175" t="s">
        <v>251</v>
      </c>
      <c r="AQ6" s="167"/>
      <c r="AR6" s="170" t="s">
        <v>249</v>
      </c>
      <c r="AS6" s="171">
        <v>50000</v>
      </c>
      <c r="AT6" s="172">
        <v>100000</v>
      </c>
      <c r="AU6" s="172">
        <v>200000</v>
      </c>
      <c r="AV6" s="172">
        <v>300000</v>
      </c>
      <c r="AW6" s="173">
        <v>400000</v>
      </c>
      <c r="AY6" s="175" t="s">
        <v>252</v>
      </c>
      <c r="AZ6" s="167"/>
      <c r="BA6" s="170" t="s">
        <v>249</v>
      </c>
      <c r="BB6" s="171">
        <v>50000</v>
      </c>
      <c r="BC6" s="172">
        <v>100000</v>
      </c>
      <c r="BD6" s="172">
        <v>200000</v>
      </c>
      <c r="BE6" s="172">
        <v>300000</v>
      </c>
      <c r="BF6" s="173">
        <v>400000</v>
      </c>
      <c r="BH6" s="175" t="s">
        <v>252</v>
      </c>
      <c r="BI6" s="167"/>
      <c r="BJ6" s="167"/>
      <c r="BK6" s="167"/>
      <c r="BL6" s="167"/>
      <c r="BM6" s="167"/>
      <c r="BN6" s="167"/>
      <c r="BO6" s="167"/>
      <c r="BP6" s="167"/>
      <c r="BQ6" s="167"/>
      <c r="BR6" s="167"/>
      <c r="BS6" s="167"/>
      <c r="BT6" s="167"/>
      <c r="BU6" s="167"/>
      <c r="BV6" s="167"/>
      <c r="BW6" s="167"/>
      <c r="BX6" s="167"/>
      <c r="BY6" s="167"/>
      <c r="BZ6" s="167"/>
      <c r="CA6" s="167"/>
      <c r="CB6" s="167"/>
      <c r="CC6" s="167"/>
      <c r="CD6" s="167"/>
      <c r="CE6" s="167"/>
      <c r="CF6" s="167"/>
      <c r="CG6" s="167"/>
      <c r="CH6" s="167"/>
      <c r="CI6" s="167"/>
      <c r="CJ6" s="167"/>
      <c r="CK6" s="167"/>
      <c r="CL6" s="167"/>
      <c r="CM6" s="167"/>
      <c r="CN6" s="167"/>
      <c r="CO6" s="167"/>
      <c r="CP6" s="167"/>
      <c r="CQ6" s="167"/>
      <c r="CR6" s="167"/>
      <c r="CS6" s="167"/>
      <c r="CT6" s="167"/>
      <c r="CU6" s="167"/>
      <c r="CV6" s="167"/>
      <c r="CW6" s="167"/>
      <c r="CX6" s="167"/>
      <c r="CY6" s="167"/>
      <c r="CZ6" s="167"/>
      <c r="DA6" s="167"/>
      <c r="DB6" s="167"/>
      <c r="DC6" s="167"/>
      <c r="DD6" s="167"/>
      <c r="DE6" s="167"/>
      <c r="DF6" s="167"/>
      <c r="DG6" s="167"/>
      <c r="DH6" s="167"/>
      <c r="DI6" s="167"/>
      <c r="DJ6" s="167"/>
      <c r="DK6" s="167"/>
      <c r="DL6" s="167"/>
      <c r="DM6" s="167"/>
      <c r="DN6" s="167"/>
      <c r="DO6" s="167"/>
      <c r="DP6" s="167"/>
      <c r="DQ6" s="167"/>
      <c r="DR6" s="167"/>
      <c r="DS6" s="167"/>
      <c r="DT6" s="167"/>
      <c r="DU6" s="167"/>
      <c r="DV6" s="167"/>
      <c r="DW6" s="167"/>
      <c r="DX6" s="167"/>
      <c r="DY6" s="167"/>
      <c r="DZ6" s="167"/>
      <c r="EA6" s="167"/>
    </row>
    <row r="7" spans="1:131" ht="14.7" customHeight="1" x14ac:dyDescent="0.3">
      <c r="A7" s="176" t="s">
        <v>224</v>
      </c>
      <c r="B7" s="177">
        <v>131.85</v>
      </c>
      <c r="C7" s="177">
        <v>160.20000000000002</v>
      </c>
      <c r="D7" s="177">
        <v>216.9</v>
      </c>
      <c r="E7" s="177">
        <v>273.60000000000002</v>
      </c>
      <c r="F7" s="178">
        <v>330.3</v>
      </c>
      <c r="G7" s="179"/>
      <c r="H7" s="176" t="s">
        <v>224</v>
      </c>
      <c r="I7" s="177">
        <v>131.85</v>
      </c>
      <c r="J7" s="177">
        <v>160.20000000000002</v>
      </c>
      <c r="K7" s="177">
        <v>216.9</v>
      </c>
      <c r="L7" s="177">
        <v>273.60000000000002</v>
      </c>
      <c r="M7" s="178">
        <v>330.3</v>
      </c>
      <c r="O7" s="180">
        <v>0</v>
      </c>
      <c r="P7" s="167"/>
      <c r="Q7" s="176" t="s">
        <v>224</v>
      </c>
      <c r="R7" s="177">
        <v>131.85</v>
      </c>
      <c r="S7" s="177">
        <v>160.20000000000002</v>
      </c>
      <c r="T7" s="177">
        <v>216.9</v>
      </c>
      <c r="U7" s="177">
        <v>273.60000000000002</v>
      </c>
      <c r="V7" s="177">
        <v>330.3</v>
      </c>
      <c r="X7" s="180">
        <v>0</v>
      </c>
      <c r="Y7" s="167"/>
      <c r="Z7" s="176" t="s">
        <v>224</v>
      </c>
      <c r="AA7" s="177">
        <v>132.51574171405875</v>
      </c>
      <c r="AB7" s="177">
        <v>161.00888754336151</v>
      </c>
      <c r="AC7" s="177">
        <v>217.99517920196698</v>
      </c>
      <c r="AD7" s="177">
        <v>274.98147086057247</v>
      </c>
      <c r="AE7" s="178">
        <v>331.96776251917794</v>
      </c>
      <c r="AG7" s="181">
        <v>5.0492356015074905E-3</v>
      </c>
      <c r="AH7" s="167"/>
      <c r="AI7" s="176" t="s">
        <v>224</v>
      </c>
      <c r="AJ7" s="177">
        <v>132.98176091389988</v>
      </c>
      <c r="AK7" s="177">
        <v>161.57510882371454</v>
      </c>
      <c r="AL7" s="177">
        <v>218.76180464334385</v>
      </c>
      <c r="AM7" s="177">
        <v>275.94850046297319</v>
      </c>
      <c r="AN7" s="178">
        <v>333.13519628260246</v>
      </c>
      <c r="AP7" s="181">
        <v>8.5837005225627341E-3</v>
      </c>
      <c r="AQ7" s="167"/>
      <c r="AR7" s="176" t="s">
        <v>224</v>
      </c>
      <c r="AS7" s="177">
        <v>132.51574171405875</v>
      </c>
      <c r="AT7" s="177">
        <v>161.00888754336151</v>
      </c>
      <c r="AU7" s="177">
        <v>217.99517920196698</v>
      </c>
      <c r="AV7" s="177">
        <v>274.98147086057247</v>
      </c>
      <c r="AW7" s="178">
        <v>331.96776251917794</v>
      </c>
      <c r="AY7" s="180">
        <v>5.0492356015074905E-3</v>
      </c>
      <c r="AZ7" s="167"/>
      <c r="BA7" s="176" t="s">
        <v>224</v>
      </c>
      <c r="BB7" s="177">
        <v>132.98176091389988</v>
      </c>
      <c r="BC7" s="177">
        <v>161.57510882371454</v>
      </c>
      <c r="BD7" s="177">
        <v>218.76180464334385</v>
      </c>
      <c r="BE7" s="177">
        <v>275.94850046297319</v>
      </c>
      <c r="BF7" s="178">
        <v>333.13519628260246</v>
      </c>
      <c r="BH7" s="180">
        <v>8.5837005225627341E-3</v>
      </c>
      <c r="BI7" s="167"/>
      <c r="BJ7" s="167"/>
      <c r="BK7" s="167"/>
      <c r="BL7" s="167"/>
      <c r="BM7" s="167"/>
      <c r="BN7" s="167"/>
      <c r="BO7" s="167"/>
      <c r="BP7" s="167"/>
      <c r="BQ7" s="167"/>
      <c r="BR7" s="167"/>
      <c r="BS7" s="167"/>
      <c r="BT7" s="167"/>
      <c r="BU7" s="167"/>
      <c r="BV7" s="167"/>
      <c r="BW7" s="167"/>
      <c r="BX7" s="167"/>
      <c r="BY7" s="167"/>
      <c r="BZ7" s="167"/>
      <c r="CA7" s="167"/>
      <c r="CB7" s="167"/>
      <c r="CC7" s="167"/>
      <c r="CD7" s="167"/>
      <c r="CE7" s="167"/>
      <c r="CF7" s="167"/>
      <c r="CG7" s="167"/>
      <c r="CH7" s="167"/>
      <c r="CI7" s="167"/>
      <c r="CJ7" s="167"/>
      <c r="CK7" s="167"/>
      <c r="CL7" s="167"/>
      <c r="CM7" s="167"/>
      <c r="CN7" s="167"/>
      <c r="CO7" s="167"/>
      <c r="CP7" s="167"/>
      <c r="CQ7" s="167"/>
      <c r="CR7" s="167"/>
      <c r="CS7" s="167"/>
      <c r="CT7" s="167"/>
      <c r="CU7" s="167"/>
      <c r="CV7" s="167"/>
      <c r="CW7" s="167"/>
      <c r="CX7" s="167"/>
      <c r="CY7" s="167"/>
      <c r="CZ7" s="167"/>
      <c r="DA7" s="167"/>
      <c r="DB7" s="167"/>
      <c r="DC7" s="167"/>
      <c r="DD7" s="167"/>
      <c r="DE7" s="167"/>
      <c r="DF7" s="167"/>
      <c r="DG7" s="167"/>
      <c r="DH7" s="167"/>
      <c r="DI7" s="167"/>
      <c r="DJ7" s="167"/>
      <c r="DK7" s="167"/>
      <c r="DL7" s="167"/>
      <c r="DM7" s="167"/>
      <c r="DN7" s="167"/>
      <c r="DO7" s="167"/>
      <c r="DP7" s="167"/>
      <c r="DQ7" s="167"/>
      <c r="DR7" s="167"/>
      <c r="DS7" s="167"/>
      <c r="DT7" s="167"/>
      <c r="DU7" s="167"/>
      <c r="DV7" s="167"/>
      <c r="DW7" s="167"/>
      <c r="DX7" s="167"/>
      <c r="DY7" s="167"/>
      <c r="DZ7" s="167"/>
      <c r="EA7" s="167"/>
    </row>
    <row r="8" spans="1:131" ht="14.7" customHeight="1" x14ac:dyDescent="0.3">
      <c r="A8" s="176" t="s">
        <v>225</v>
      </c>
      <c r="B8" s="177">
        <v>154.80000000000001</v>
      </c>
      <c r="C8" s="177">
        <v>206.1</v>
      </c>
      <c r="D8" s="177">
        <v>308.7</v>
      </c>
      <c r="E8" s="177">
        <v>411.3</v>
      </c>
      <c r="F8" s="178">
        <v>513.9</v>
      </c>
      <c r="G8" s="179"/>
      <c r="H8" s="176" t="s">
        <v>225</v>
      </c>
      <c r="I8" s="177">
        <v>154.80000000000001</v>
      </c>
      <c r="J8" s="177">
        <v>206.1</v>
      </c>
      <c r="K8" s="177">
        <v>308.7</v>
      </c>
      <c r="L8" s="177">
        <v>411.3</v>
      </c>
      <c r="M8" s="178">
        <v>513.9</v>
      </c>
      <c r="O8" s="180">
        <v>0</v>
      </c>
      <c r="P8" s="167"/>
      <c r="Q8" s="176" t="s">
        <v>225</v>
      </c>
      <c r="R8" s="177">
        <v>154.80000000000001</v>
      </c>
      <c r="S8" s="177">
        <v>206.1</v>
      </c>
      <c r="T8" s="177">
        <v>308.7</v>
      </c>
      <c r="U8" s="177">
        <v>411.3</v>
      </c>
      <c r="V8" s="177">
        <v>513.9</v>
      </c>
      <c r="X8" s="180">
        <v>0</v>
      </c>
      <c r="Y8" s="167"/>
      <c r="Z8" s="176" t="s">
        <v>225</v>
      </c>
      <c r="AA8" s="177">
        <v>155.52493642182503</v>
      </c>
      <c r="AB8" s="177">
        <v>207.06517698022054</v>
      </c>
      <c r="AC8" s="177">
        <v>310.14565809701156</v>
      </c>
      <c r="AD8" s="177">
        <v>413.22613921380258</v>
      </c>
      <c r="AE8" s="178">
        <v>516.30662033059355</v>
      </c>
      <c r="AG8" s="181">
        <v>4.6830518205750642E-3</v>
      </c>
      <c r="AH8" s="167"/>
      <c r="AI8" s="176" t="s">
        <v>225</v>
      </c>
      <c r="AJ8" s="177">
        <v>156.03239191710256</v>
      </c>
      <c r="AK8" s="177">
        <v>207.74080086637491</v>
      </c>
      <c r="AL8" s="177">
        <v>311.15761876491962</v>
      </c>
      <c r="AM8" s="177">
        <v>414.57443666346433</v>
      </c>
      <c r="AN8" s="178">
        <v>517.99125456200898</v>
      </c>
      <c r="AP8" s="181">
        <v>7.9611880949776101E-3</v>
      </c>
      <c r="AQ8" s="167"/>
      <c r="AR8" s="176" t="s">
        <v>225</v>
      </c>
      <c r="AS8" s="177">
        <v>155.52493642182503</v>
      </c>
      <c r="AT8" s="177">
        <v>207.06517698022054</v>
      </c>
      <c r="AU8" s="177">
        <v>310.14565809701156</v>
      </c>
      <c r="AV8" s="177">
        <v>413.22613921380258</v>
      </c>
      <c r="AW8" s="178">
        <v>516.30662033059355</v>
      </c>
      <c r="AY8" s="180">
        <v>4.6830518205750642E-3</v>
      </c>
      <c r="AZ8" s="167"/>
      <c r="BA8" s="176" t="s">
        <v>225</v>
      </c>
      <c r="BB8" s="177">
        <v>156.03239191710256</v>
      </c>
      <c r="BC8" s="177">
        <v>207.74080086637491</v>
      </c>
      <c r="BD8" s="177">
        <v>311.15761876491962</v>
      </c>
      <c r="BE8" s="177">
        <v>414.57443666346433</v>
      </c>
      <c r="BF8" s="178">
        <v>517.99125456200898</v>
      </c>
      <c r="BH8" s="180">
        <v>7.9611880949776101E-3</v>
      </c>
      <c r="BI8" s="167"/>
      <c r="BJ8" s="167"/>
      <c r="BK8" s="167"/>
      <c r="BL8" s="167"/>
      <c r="BM8" s="167"/>
      <c r="BN8" s="167"/>
      <c r="BO8" s="167"/>
      <c r="BP8" s="167"/>
      <c r="BQ8" s="167"/>
      <c r="BR8" s="167"/>
      <c r="BS8" s="167"/>
      <c r="BT8" s="167"/>
      <c r="BU8" s="167"/>
      <c r="BV8" s="167"/>
      <c r="BW8" s="167"/>
      <c r="BX8" s="167"/>
      <c r="BY8" s="167"/>
      <c r="BZ8" s="167"/>
      <c r="CA8" s="167"/>
      <c r="CB8" s="167"/>
      <c r="CC8" s="167"/>
      <c r="CD8" s="167"/>
      <c r="CE8" s="167"/>
      <c r="CF8" s="167"/>
      <c r="CG8" s="167"/>
      <c r="CH8" s="167"/>
      <c r="CI8" s="167"/>
      <c r="CJ8" s="167"/>
      <c r="CK8" s="167"/>
      <c r="CL8" s="167"/>
      <c r="CM8" s="167"/>
      <c r="CN8" s="167"/>
      <c r="CO8" s="167"/>
      <c r="CP8" s="167"/>
      <c r="CQ8" s="167"/>
      <c r="CR8" s="167"/>
      <c r="CS8" s="167"/>
      <c r="CT8" s="167"/>
      <c r="CU8" s="167"/>
      <c r="CV8" s="167"/>
      <c r="CW8" s="167"/>
      <c r="CX8" s="167"/>
      <c r="CY8" s="167"/>
      <c r="CZ8" s="167"/>
      <c r="DA8" s="167"/>
      <c r="DB8" s="167"/>
      <c r="DC8" s="167"/>
      <c r="DD8" s="167"/>
      <c r="DE8" s="167"/>
      <c r="DF8" s="167"/>
      <c r="DG8" s="167"/>
      <c r="DH8" s="167"/>
      <c r="DI8" s="167"/>
      <c r="DJ8" s="167"/>
      <c r="DK8" s="167"/>
      <c r="DL8" s="167"/>
      <c r="DM8" s="167"/>
      <c r="DN8" s="167"/>
      <c r="DO8" s="167"/>
      <c r="DP8" s="167"/>
      <c r="DQ8" s="167"/>
      <c r="DR8" s="167"/>
      <c r="DS8" s="167"/>
      <c r="DT8" s="167"/>
      <c r="DU8" s="167"/>
      <c r="DV8" s="167"/>
      <c r="DW8" s="167"/>
      <c r="DX8" s="167"/>
      <c r="DY8" s="167"/>
      <c r="DZ8" s="167"/>
      <c r="EA8" s="167"/>
    </row>
    <row r="9" spans="1:131" ht="14.7" customHeight="1" x14ac:dyDescent="0.3">
      <c r="A9" s="176" t="s">
        <v>226</v>
      </c>
      <c r="B9" s="177">
        <v>176.625</v>
      </c>
      <c r="C9" s="177">
        <v>249.75</v>
      </c>
      <c r="D9" s="177">
        <v>396</v>
      </c>
      <c r="E9" s="177">
        <v>542.25</v>
      </c>
      <c r="F9" s="178">
        <v>688.5</v>
      </c>
      <c r="G9" s="179"/>
      <c r="H9" s="176" t="s">
        <v>226</v>
      </c>
      <c r="I9" s="177">
        <v>176.625</v>
      </c>
      <c r="J9" s="177">
        <v>249.75</v>
      </c>
      <c r="K9" s="177">
        <v>396</v>
      </c>
      <c r="L9" s="177">
        <v>542.25</v>
      </c>
      <c r="M9" s="178">
        <v>688.5</v>
      </c>
      <c r="O9" s="180">
        <v>0</v>
      </c>
      <c r="P9" s="167"/>
      <c r="Q9" s="176" t="s">
        <v>226</v>
      </c>
      <c r="R9" s="177">
        <v>176.625</v>
      </c>
      <c r="S9" s="177">
        <v>249.75</v>
      </c>
      <c r="T9" s="177">
        <v>396</v>
      </c>
      <c r="U9" s="177">
        <v>542.25</v>
      </c>
      <c r="V9" s="177">
        <v>688.5</v>
      </c>
      <c r="X9" s="180">
        <v>0</v>
      </c>
      <c r="Y9" s="167"/>
      <c r="Z9" s="176" t="s">
        <v>226</v>
      </c>
      <c r="AA9" s="177">
        <v>177.97622988634373</v>
      </c>
      <c r="AB9" s="177">
        <v>251.6606562724096</v>
      </c>
      <c r="AC9" s="177">
        <v>399.02950904454133</v>
      </c>
      <c r="AD9" s="177">
        <v>546.39836181667306</v>
      </c>
      <c r="AE9" s="178">
        <v>693.76721458880479</v>
      </c>
      <c r="AG9" s="181">
        <v>7.6502753650035098E-3</v>
      </c>
      <c r="AH9" s="167"/>
      <c r="AI9" s="176" t="s">
        <v>226</v>
      </c>
      <c r="AJ9" s="177">
        <v>178.6518448295156</v>
      </c>
      <c r="AK9" s="177">
        <v>252.61598440861442</v>
      </c>
      <c r="AL9" s="177">
        <v>400.54426356681205</v>
      </c>
      <c r="AM9" s="177">
        <v>548.4725427250097</v>
      </c>
      <c r="AN9" s="178">
        <v>696.4008218832073</v>
      </c>
      <c r="AP9" s="181">
        <v>1.1475413047505266E-2</v>
      </c>
      <c r="AQ9" s="167"/>
      <c r="AR9" s="176" t="s">
        <v>226</v>
      </c>
      <c r="AS9" s="177">
        <v>177.97622988634373</v>
      </c>
      <c r="AT9" s="177">
        <v>251.6606562724096</v>
      </c>
      <c r="AU9" s="177">
        <v>399.02950904454133</v>
      </c>
      <c r="AV9" s="177">
        <v>546.39836181667306</v>
      </c>
      <c r="AW9" s="178">
        <v>693.76721458880479</v>
      </c>
      <c r="AY9" s="180">
        <v>7.6502753650035098E-3</v>
      </c>
      <c r="AZ9" s="167"/>
      <c r="BA9" s="176" t="s">
        <v>226</v>
      </c>
      <c r="BB9" s="177">
        <v>178.6518448295156</v>
      </c>
      <c r="BC9" s="177">
        <v>252.61598440861442</v>
      </c>
      <c r="BD9" s="177">
        <v>400.54426356681205</v>
      </c>
      <c r="BE9" s="177">
        <v>548.4725427250097</v>
      </c>
      <c r="BF9" s="178">
        <v>696.4008218832073</v>
      </c>
      <c r="BH9" s="180">
        <v>1.1475413047505266E-2</v>
      </c>
      <c r="BI9" s="167"/>
      <c r="BJ9" s="167"/>
      <c r="BK9" s="167"/>
      <c r="BL9" s="167"/>
      <c r="BM9" s="167"/>
      <c r="BN9" s="167"/>
      <c r="BO9" s="167"/>
      <c r="BP9" s="167"/>
      <c r="BQ9" s="167"/>
      <c r="BR9" s="167"/>
      <c r="BS9" s="167"/>
      <c r="BT9" s="167"/>
      <c r="BU9" s="167"/>
      <c r="BV9" s="167"/>
      <c r="BW9" s="167"/>
      <c r="BX9" s="167"/>
      <c r="BY9" s="167"/>
      <c r="BZ9" s="167"/>
      <c r="CA9" s="167"/>
      <c r="CB9" s="167"/>
      <c r="CC9" s="167"/>
      <c r="CD9" s="167"/>
      <c r="CE9" s="167"/>
      <c r="CF9" s="167"/>
      <c r="CG9" s="167"/>
      <c r="CH9" s="167"/>
      <c r="CI9" s="167"/>
      <c r="CJ9" s="167"/>
      <c r="CK9" s="167"/>
      <c r="CL9" s="167"/>
      <c r="CM9" s="167"/>
      <c r="CN9" s="167"/>
      <c r="CO9" s="167"/>
      <c r="CP9" s="167"/>
      <c r="CQ9" s="167"/>
      <c r="CR9" s="167"/>
      <c r="CS9" s="167"/>
      <c r="CT9" s="167"/>
      <c r="CU9" s="167"/>
      <c r="CV9" s="167"/>
      <c r="CW9" s="167"/>
      <c r="CX9" s="167"/>
      <c r="CY9" s="167"/>
      <c r="CZ9" s="167"/>
      <c r="DA9" s="167"/>
      <c r="DB9" s="167"/>
      <c r="DC9" s="167"/>
      <c r="DD9" s="167"/>
      <c r="DE9" s="167"/>
      <c r="DF9" s="167"/>
      <c r="DG9" s="167"/>
      <c r="DH9" s="167"/>
      <c r="DI9" s="167"/>
      <c r="DJ9" s="167"/>
      <c r="DK9" s="167"/>
      <c r="DL9" s="167"/>
      <c r="DM9" s="167"/>
      <c r="DN9" s="167"/>
      <c r="DO9" s="167"/>
      <c r="DP9" s="167"/>
      <c r="DQ9" s="167"/>
      <c r="DR9" s="167"/>
      <c r="DS9" s="167"/>
      <c r="DT9" s="167"/>
      <c r="DU9" s="167"/>
      <c r="DV9" s="167"/>
      <c r="DW9" s="167"/>
      <c r="DX9" s="167"/>
      <c r="DY9" s="167"/>
      <c r="DZ9" s="167"/>
      <c r="EA9" s="167"/>
    </row>
    <row r="10" spans="1:131" ht="14.7" customHeight="1" x14ac:dyDescent="0.3">
      <c r="A10" s="176" t="s">
        <v>227</v>
      </c>
      <c r="B10" s="177">
        <v>178.65</v>
      </c>
      <c r="C10" s="177">
        <v>253.8</v>
      </c>
      <c r="D10" s="177">
        <v>404.1</v>
      </c>
      <c r="E10" s="177">
        <v>554.4</v>
      </c>
      <c r="F10" s="178">
        <v>704.7</v>
      </c>
      <c r="G10" s="179"/>
      <c r="H10" s="176" t="s">
        <v>227</v>
      </c>
      <c r="I10" s="177">
        <v>178.65</v>
      </c>
      <c r="J10" s="177">
        <v>253.8</v>
      </c>
      <c r="K10" s="177">
        <v>404.1</v>
      </c>
      <c r="L10" s="177">
        <v>554.4</v>
      </c>
      <c r="M10" s="178">
        <v>704.7</v>
      </c>
      <c r="O10" s="180">
        <v>0</v>
      </c>
      <c r="P10" s="167"/>
      <c r="Q10" s="176" t="s">
        <v>227</v>
      </c>
      <c r="R10" s="177">
        <v>178.65</v>
      </c>
      <c r="S10" s="177">
        <v>253.8</v>
      </c>
      <c r="T10" s="177">
        <v>404.1</v>
      </c>
      <c r="U10" s="177">
        <v>554.4</v>
      </c>
      <c r="V10" s="177">
        <v>704.7</v>
      </c>
      <c r="X10" s="180">
        <v>0</v>
      </c>
      <c r="Y10" s="167"/>
      <c r="Z10" s="176" t="s">
        <v>227</v>
      </c>
      <c r="AA10" s="177">
        <v>180.63976789289663</v>
      </c>
      <c r="AB10" s="177">
        <v>256.62677353046274</v>
      </c>
      <c r="AC10" s="177">
        <v>408.60078480559491</v>
      </c>
      <c r="AD10" s="177">
        <v>560.57479608072708</v>
      </c>
      <c r="AE10" s="178">
        <v>712.54880735585925</v>
      </c>
      <c r="AG10" s="181">
        <v>1.1137799568411072E-2</v>
      </c>
      <c r="AH10" s="167"/>
      <c r="AI10" s="176" t="s">
        <v>227</v>
      </c>
      <c r="AJ10" s="177">
        <v>182.13209381256914</v>
      </c>
      <c r="AK10" s="177">
        <v>258.74685367830978</v>
      </c>
      <c r="AL10" s="177">
        <v>411.97637340979111</v>
      </c>
      <c r="AM10" s="177">
        <v>565.20589314127244</v>
      </c>
      <c r="AN10" s="178">
        <v>718.43541287275377</v>
      </c>
      <c r="AP10" s="181">
        <v>1.9491149244719376E-2</v>
      </c>
      <c r="AQ10" s="167"/>
      <c r="AR10" s="176" t="s">
        <v>227</v>
      </c>
      <c r="AS10" s="177">
        <v>180.63976789289663</v>
      </c>
      <c r="AT10" s="177">
        <v>256.62677353046274</v>
      </c>
      <c r="AU10" s="177">
        <v>408.60078480559491</v>
      </c>
      <c r="AV10" s="177">
        <v>560.57479608072708</v>
      </c>
      <c r="AW10" s="178">
        <v>712.54880735585925</v>
      </c>
      <c r="AY10" s="180">
        <v>1.1137799568411072E-2</v>
      </c>
      <c r="AZ10" s="167"/>
      <c r="BA10" s="176" t="s">
        <v>227</v>
      </c>
      <c r="BB10" s="177">
        <v>182.13209381256914</v>
      </c>
      <c r="BC10" s="177">
        <v>258.74685367830978</v>
      </c>
      <c r="BD10" s="177">
        <v>411.97637340979111</v>
      </c>
      <c r="BE10" s="177">
        <v>565.20589314127244</v>
      </c>
      <c r="BF10" s="178">
        <v>718.43541287275377</v>
      </c>
      <c r="BH10" s="180">
        <v>1.9491149244719376E-2</v>
      </c>
      <c r="BI10" s="167"/>
      <c r="BJ10" s="167"/>
      <c r="BK10" s="167"/>
      <c r="BL10" s="167"/>
      <c r="BM10" s="167"/>
      <c r="BN10" s="167"/>
      <c r="BO10" s="167"/>
      <c r="BP10" s="167"/>
      <c r="BQ10" s="167"/>
      <c r="BR10" s="167"/>
      <c r="BS10" s="167"/>
      <c r="BT10" s="167"/>
      <c r="BU10" s="167"/>
      <c r="BV10" s="167"/>
      <c r="BW10" s="167"/>
      <c r="BX10" s="167"/>
      <c r="BY10" s="167"/>
      <c r="BZ10" s="167"/>
      <c r="CA10" s="167"/>
      <c r="CB10" s="167"/>
      <c r="CC10" s="167"/>
      <c r="CD10" s="167"/>
      <c r="CE10" s="167"/>
      <c r="CF10" s="167"/>
      <c r="CG10" s="167"/>
      <c r="CH10" s="167"/>
      <c r="CI10" s="167"/>
      <c r="CJ10" s="167"/>
      <c r="CK10" s="167"/>
      <c r="CL10" s="167"/>
      <c r="CM10" s="167"/>
      <c r="CN10" s="167"/>
      <c r="CO10" s="167"/>
      <c r="CP10" s="167"/>
      <c r="CQ10" s="167"/>
      <c r="CR10" s="167"/>
      <c r="CS10" s="167"/>
      <c r="CT10" s="167"/>
      <c r="CU10" s="167"/>
      <c r="CV10" s="167"/>
      <c r="CW10" s="167"/>
      <c r="CX10" s="167"/>
      <c r="CY10" s="167"/>
      <c r="CZ10" s="167"/>
      <c r="DA10" s="167"/>
      <c r="DB10" s="167"/>
      <c r="DC10" s="167"/>
      <c r="DD10" s="167"/>
      <c r="DE10" s="167"/>
      <c r="DF10" s="167"/>
      <c r="DG10" s="167"/>
      <c r="DH10" s="167"/>
      <c r="DI10" s="167"/>
      <c r="DJ10" s="167"/>
      <c r="DK10" s="167"/>
      <c r="DL10" s="167"/>
      <c r="DM10" s="167"/>
      <c r="DN10" s="167"/>
      <c r="DO10" s="167"/>
      <c r="DP10" s="167"/>
      <c r="DQ10" s="167"/>
      <c r="DR10" s="167"/>
      <c r="DS10" s="167"/>
      <c r="DT10" s="167"/>
      <c r="DU10" s="167"/>
      <c r="DV10" s="167"/>
      <c r="DW10" s="167"/>
      <c r="DX10" s="167"/>
      <c r="DY10" s="167"/>
      <c r="DZ10" s="167"/>
      <c r="EA10" s="167"/>
    </row>
    <row r="11" spans="1:131" ht="14.7" customHeight="1" x14ac:dyDescent="0.3">
      <c r="A11" s="176" t="s">
        <v>228</v>
      </c>
      <c r="B11" s="177">
        <v>195</v>
      </c>
      <c r="C11" s="177">
        <v>281.25254707178721</v>
      </c>
      <c r="D11" s="177">
        <v>498.56224334036528</v>
      </c>
      <c r="E11" s="177">
        <v>716.68151222826202</v>
      </c>
      <c r="F11" s="178">
        <v>934.96367802096017</v>
      </c>
      <c r="G11" s="179"/>
      <c r="H11" s="176" t="s">
        <v>228</v>
      </c>
      <c r="I11" s="177">
        <v>195</v>
      </c>
      <c r="J11" s="177">
        <v>281.25254707178721</v>
      </c>
      <c r="K11" s="177">
        <v>498.56224334036528</v>
      </c>
      <c r="L11" s="177">
        <v>716.68151222826202</v>
      </c>
      <c r="M11" s="178">
        <v>934.96367802096017</v>
      </c>
      <c r="O11" s="180">
        <v>0</v>
      </c>
      <c r="P11" s="167"/>
      <c r="Q11" s="176" t="s">
        <v>228</v>
      </c>
      <c r="R11" s="177">
        <v>195</v>
      </c>
      <c r="S11" s="177">
        <v>281.25254707178721</v>
      </c>
      <c r="T11" s="177">
        <v>498.56224334036528</v>
      </c>
      <c r="U11" s="177">
        <v>716.68151222826202</v>
      </c>
      <c r="V11" s="177">
        <v>934.96367802096017</v>
      </c>
      <c r="X11" s="180">
        <v>0</v>
      </c>
      <c r="Y11" s="167"/>
      <c r="Z11" s="176" t="s">
        <v>228</v>
      </c>
      <c r="AA11" s="177">
        <v>203.30421414750526</v>
      </c>
      <c r="AB11" s="177">
        <v>293.22988748417401</v>
      </c>
      <c r="AC11" s="177">
        <v>519.79387223553977</v>
      </c>
      <c r="AD11" s="177">
        <v>747.20190583391025</v>
      </c>
      <c r="AE11" s="178">
        <v>974.7797734180125</v>
      </c>
      <c r="AG11" s="456">
        <v>4.2585713576949978E-2</v>
      </c>
      <c r="AH11" s="167"/>
      <c r="AI11" s="176" t="s">
        <v>228</v>
      </c>
      <c r="AJ11" s="177">
        <v>208.84035691250872</v>
      </c>
      <c r="AK11" s="177">
        <v>301.21478109243179</v>
      </c>
      <c r="AL11" s="177">
        <v>533.94829149898931</v>
      </c>
      <c r="AM11" s="177">
        <v>767.54883490434224</v>
      </c>
      <c r="AN11" s="178">
        <v>1001.3238370160473</v>
      </c>
      <c r="AP11" s="181">
        <v>7.0976189294916642E-2</v>
      </c>
      <c r="AQ11" s="167"/>
      <c r="AR11" s="176" t="s">
        <v>228</v>
      </c>
      <c r="AS11" s="177">
        <v>203.30421414750526</v>
      </c>
      <c r="AT11" s="177">
        <v>293.22988748417401</v>
      </c>
      <c r="AU11" s="177">
        <v>519.79387223553977</v>
      </c>
      <c r="AV11" s="177">
        <v>747.20190583391025</v>
      </c>
      <c r="AW11" s="178">
        <v>974.7797734180125</v>
      </c>
      <c r="AY11" s="180">
        <v>4.2585713576949978E-2</v>
      </c>
      <c r="AZ11" s="167"/>
      <c r="BA11" s="176" t="s">
        <v>228</v>
      </c>
      <c r="BB11" s="177">
        <v>208.84035691250872</v>
      </c>
      <c r="BC11" s="177">
        <v>301.21478109243179</v>
      </c>
      <c r="BD11" s="177">
        <v>533.94829149898931</v>
      </c>
      <c r="BE11" s="177">
        <v>767.54883490434224</v>
      </c>
      <c r="BF11" s="178">
        <v>1001.3238370160473</v>
      </c>
      <c r="BH11" s="180">
        <v>7.0976189294916642E-2</v>
      </c>
      <c r="BI11" s="167"/>
      <c r="BJ11" s="167"/>
      <c r="BK11" s="167"/>
      <c r="BL11" s="167"/>
      <c r="BM11" s="167"/>
      <c r="BN11" s="167"/>
      <c r="BO11" s="167"/>
      <c r="BP11" s="167"/>
      <c r="BQ11" s="167"/>
      <c r="BR11" s="167"/>
      <c r="BS11" s="167"/>
      <c r="BT11" s="167"/>
      <c r="BU11" s="167"/>
      <c r="BV11" s="167"/>
      <c r="BW11" s="167"/>
      <c r="BX11" s="167"/>
      <c r="BY11" s="167"/>
      <c r="BZ11" s="167"/>
      <c r="CA11" s="167"/>
      <c r="CB11" s="167"/>
      <c r="CC11" s="167"/>
      <c r="CD11" s="167"/>
      <c r="CE11" s="167"/>
      <c r="CF11" s="167"/>
      <c r="CG11" s="167"/>
      <c r="CH11" s="167"/>
      <c r="CI11" s="167"/>
      <c r="CJ11" s="167"/>
      <c r="CK11" s="167"/>
      <c r="CL11" s="167"/>
      <c r="CM11" s="167"/>
      <c r="CN11" s="167"/>
      <c r="CO11" s="167"/>
      <c r="CP11" s="167"/>
      <c r="CQ11" s="167"/>
      <c r="CR11" s="167"/>
      <c r="CS11" s="167"/>
      <c r="CT11" s="167"/>
      <c r="CU11" s="167"/>
      <c r="CV11" s="167"/>
      <c r="CW11" s="167"/>
      <c r="CX11" s="167"/>
      <c r="CY11" s="167"/>
      <c r="CZ11" s="167"/>
      <c r="DA11" s="167"/>
      <c r="DB11" s="167"/>
      <c r="DC11" s="167"/>
      <c r="DD11" s="167"/>
      <c r="DE11" s="167"/>
      <c r="DF11" s="167"/>
      <c r="DG11" s="167"/>
      <c r="DH11" s="167"/>
      <c r="DI11" s="167"/>
      <c r="DJ11" s="167"/>
      <c r="DK11" s="167"/>
      <c r="DL11" s="167"/>
      <c r="DM11" s="167"/>
      <c r="DN11" s="167"/>
      <c r="DO11" s="167"/>
      <c r="DP11" s="167"/>
      <c r="DQ11" s="167"/>
      <c r="DR11" s="167"/>
      <c r="DS11" s="167"/>
      <c r="DT11" s="167"/>
      <c r="DU11" s="167"/>
      <c r="DV11" s="167"/>
      <c r="DW11" s="167"/>
      <c r="DX11" s="167"/>
      <c r="DY11" s="167"/>
      <c r="DZ11" s="167"/>
      <c r="EA11" s="167"/>
    </row>
    <row r="12" spans="1:131" ht="14.7" customHeight="1" x14ac:dyDescent="0.3">
      <c r="A12" s="176" t="s">
        <v>229</v>
      </c>
      <c r="B12" s="177">
        <v>224.21661227415368</v>
      </c>
      <c r="C12" s="177">
        <v>384.47119681151679</v>
      </c>
      <c r="D12" s="177">
        <v>704.7101744459469</v>
      </c>
      <c r="E12" s="177">
        <v>1025.4753845633436</v>
      </c>
      <c r="F12" s="178">
        <v>1346.3435950929875</v>
      </c>
      <c r="G12" s="179"/>
      <c r="H12" s="176" t="s">
        <v>229</v>
      </c>
      <c r="I12" s="177">
        <v>224.21661227415368</v>
      </c>
      <c r="J12" s="177">
        <v>384.47119681151679</v>
      </c>
      <c r="K12" s="177">
        <v>704.7101744459469</v>
      </c>
      <c r="L12" s="177">
        <v>1025.4753845633436</v>
      </c>
      <c r="M12" s="178">
        <v>1346.3435950929875</v>
      </c>
      <c r="O12" s="180">
        <v>0</v>
      </c>
      <c r="P12" s="167"/>
      <c r="Q12" s="176" t="s">
        <v>229</v>
      </c>
      <c r="R12" s="177">
        <v>224.21661227415368</v>
      </c>
      <c r="S12" s="177">
        <v>384.47119681151679</v>
      </c>
      <c r="T12" s="177">
        <v>704.7101744459469</v>
      </c>
      <c r="U12" s="177">
        <v>1025.4753845633436</v>
      </c>
      <c r="V12" s="177">
        <v>1346.3435950929875</v>
      </c>
      <c r="X12" s="180">
        <v>0</v>
      </c>
      <c r="Y12" s="167"/>
      <c r="Z12" s="176" t="s">
        <v>229</v>
      </c>
      <c r="AA12" s="177">
        <v>224.21661227415368</v>
      </c>
      <c r="AB12" s="177">
        <v>384.47119681151679</v>
      </c>
      <c r="AC12" s="177">
        <v>704.7101744459469</v>
      </c>
      <c r="AD12" s="177">
        <v>1025.4753845633436</v>
      </c>
      <c r="AE12" s="178">
        <v>1346.3435950929875</v>
      </c>
      <c r="AG12" s="181">
        <v>0</v>
      </c>
      <c r="AH12" s="167"/>
      <c r="AI12" s="176" t="s">
        <v>229</v>
      </c>
      <c r="AJ12" s="177">
        <v>224.21661227415368</v>
      </c>
      <c r="AK12" s="177">
        <v>384.47119681151679</v>
      </c>
      <c r="AL12" s="177">
        <v>704.7101744459469</v>
      </c>
      <c r="AM12" s="177">
        <v>1025.4753845633436</v>
      </c>
      <c r="AN12" s="178">
        <v>1346.3435950929875</v>
      </c>
      <c r="AP12" s="181">
        <v>0</v>
      </c>
      <c r="AQ12" s="167"/>
      <c r="AR12" s="176" t="s">
        <v>229</v>
      </c>
      <c r="AS12" s="177">
        <v>224.21661227415368</v>
      </c>
      <c r="AT12" s="177">
        <v>384.47119681151679</v>
      </c>
      <c r="AU12" s="177">
        <v>704.7101744459469</v>
      </c>
      <c r="AV12" s="177">
        <v>1025.4753845633436</v>
      </c>
      <c r="AW12" s="178">
        <v>1346.3435950929875</v>
      </c>
      <c r="AY12" s="180">
        <v>0</v>
      </c>
      <c r="AZ12" s="167"/>
      <c r="BA12" s="176" t="s">
        <v>229</v>
      </c>
      <c r="BB12" s="177">
        <v>224.21661227415368</v>
      </c>
      <c r="BC12" s="177">
        <v>384.47119681151679</v>
      </c>
      <c r="BD12" s="177">
        <v>704.7101744459469</v>
      </c>
      <c r="BE12" s="177">
        <v>1025.4753845633436</v>
      </c>
      <c r="BF12" s="178">
        <v>1346.3435950929875</v>
      </c>
      <c r="BH12" s="180">
        <v>0</v>
      </c>
      <c r="BI12" s="167"/>
      <c r="BJ12" s="167"/>
      <c r="BK12" s="167"/>
      <c r="BL12" s="167"/>
      <c r="BM12" s="167"/>
      <c r="BN12" s="167"/>
      <c r="BO12" s="167"/>
      <c r="BP12" s="167"/>
      <c r="BQ12" s="167"/>
      <c r="BR12" s="167"/>
      <c r="BS12" s="167"/>
      <c r="BT12" s="167"/>
      <c r="BU12" s="167"/>
      <c r="BV12" s="167"/>
      <c r="BW12" s="167"/>
      <c r="BX12" s="167"/>
      <c r="BY12" s="167"/>
      <c r="BZ12" s="167"/>
      <c r="CA12" s="167"/>
      <c r="CB12" s="167"/>
      <c r="CC12" s="167"/>
      <c r="CD12" s="167"/>
      <c r="CE12" s="167"/>
      <c r="CF12" s="167"/>
      <c r="CG12" s="167"/>
      <c r="CH12" s="167"/>
      <c r="CI12" s="167"/>
      <c r="CJ12" s="167"/>
      <c r="CK12" s="167"/>
      <c r="CL12" s="167"/>
      <c r="CM12" s="167"/>
      <c r="CN12" s="167"/>
      <c r="CO12" s="167"/>
      <c r="CP12" s="167"/>
      <c r="CQ12" s="167"/>
      <c r="CR12" s="167"/>
      <c r="CS12" s="167"/>
      <c r="CT12" s="167"/>
      <c r="CU12" s="167"/>
      <c r="CV12" s="167"/>
      <c r="CW12" s="167"/>
      <c r="CX12" s="167"/>
      <c r="CY12" s="167"/>
      <c r="CZ12" s="167"/>
      <c r="DA12" s="167"/>
      <c r="DB12" s="167"/>
      <c r="DC12" s="167"/>
      <c r="DD12" s="167"/>
      <c r="DE12" s="167"/>
      <c r="DF12" s="167"/>
      <c r="DG12" s="167"/>
      <c r="DH12" s="167"/>
      <c r="DI12" s="167"/>
      <c r="DJ12" s="167"/>
      <c r="DK12" s="167"/>
      <c r="DL12" s="167"/>
      <c r="DM12" s="167"/>
      <c r="DN12" s="167"/>
      <c r="DO12" s="167"/>
      <c r="DP12" s="167"/>
      <c r="DQ12" s="167"/>
      <c r="DR12" s="167"/>
      <c r="DS12" s="167"/>
      <c r="DT12" s="167"/>
      <c r="DU12" s="167"/>
      <c r="DV12" s="167"/>
      <c r="DW12" s="167"/>
      <c r="DX12" s="167"/>
      <c r="DY12" s="167"/>
      <c r="DZ12" s="167"/>
      <c r="EA12" s="167"/>
    </row>
    <row r="13" spans="1:131" ht="14.7" customHeight="1" x14ac:dyDescent="0.3">
      <c r="A13" s="176" t="s">
        <v>230</v>
      </c>
      <c r="B13" s="177">
        <v>288.65934567875496</v>
      </c>
      <c r="C13" s="177">
        <v>513.42077959963558</v>
      </c>
      <c r="D13" s="177">
        <v>962.34128483959239</v>
      </c>
      <c r="E13" s="177">
        <v>1411.4752693874702</v>
      </c>
      <c r="F13" s="178">
        <v>1859.2108247275394</v>
      </c>
      <c r="G13" s="179"/>
      <c r="H13" s="176" t="s">
        <v>230</v>
      </c>
      <c r="I13" s="177">
        <v>288.65934567875496</v>
      </c>
      <c r="J13" s="177">
        <v>513.42077959963558</v>
      </c>
      <c r="K13" s="177">
        <v>962.34128483959239</v>
      </c>
      <c r="L13" s="177">
        <v>1411.4752693874702</v>
      </c>
      <c r="M13" s="178">
        <v>1859.2108247275394</v>
      </c>
      <c r="O13" s="180">
        <v>0</v>
      </c>
      <c r="P13" s="167"/>
      <c r="Q13" s="176" t="s">
        <v>230</v>
      </c>
      <c r="R13" s="177">
        <v>288.65934567875496</v>
      </c>
      <c r="S13" s="177">
        <v>513.42077959963558</v>
      </c>
      <c r="T13" s="177">
        <v>962.34128483959239</v>
      </c>
      <c r="U13" s="177">
        <v>1411.4752693874702</v>
      </c>
      <c r="V13" s="177">
        <v>1859.2108247275394</v>
      </c>
      <c r="X13" s="180">
        <v>0</v>
      </c>
      <c r="Y13" s="167"/>
      <c r="Z13" s="176" t="s">
        <v>230</v>
      </c>
      <c r="AA13" s="177">
        <v>288.65934567875496</v>
      </c>
      <c r="AB13" s="177">
        <v>513.42077959963558</v>
      </c>
      <c r="AC13" s="177">
        <v>962.34128483959239</v>
      </c>
      <c r="AD13" s="177">
        <v>1411.4752693874702</v>
      </c>
      <c r="AE13" s="178">
        <v>1859.2108247275394</v>
      </c>
      <c r="AG13" s="181">
        <v>0</v>
      </c>
      <c r="AH13" s="167"/>
      <c r="AI13" s="176" t="s">
        <v>230</v>
      </c>
      <c r="AJ13" s="177">
        <v>288.65934567875496</v>
      </c>
      <c r="AK13" s="177">
        <v>513.42077959963558</v>
      </c>
      <c r="AL13" s="177">
        <v>962.34128483959239</v>
      </c>
      <c r="AM13" s="177">
        <v>1411.4752693874702</v>
      </c>
      <c r="AN13" s="178">
        <v>1859.2108247275394</v>
      </c>
      <c r="AP13" s="181">
        <v>0</v>
      </c>
      <c r="AQ13" s="167"/>
      <c r="AR13" s="176" t="s">
        <v>230</v>
      </c>
      <c r="AS13" s="177">
        <v>288.65934567875496</v>
      </c>
      <c r="AT13" s="177">
        <v>513.42077959963558</v>
      </c>
      <c r="AU13" s="177">
        <v>962.34128483959239</v>
      </c>
      <c r="AV13" s="177">
        <v>1411.4752693874702</v>
      </c>
      <c r="AW13" s="178">
        <v>1859.2108247275394</v>
      </c>
      <c r="AY13" s="180">
        <v>0</v>
      </c>
      <c r="AZ13" s="167"/>
      <c r="BA13" s="176" t="s">
        <v>230</v>
      </c>
      <c r="BB13" s="177">
        <v>288.65934567875496</v>
      </c>
      <c r="BC13" s="177">
        <v>513.42077959963558</v>
      </c>
      <c r="BD13" s="177">
        <v>962.34128483959239</v>
      </c>
      <c r="BE13" s="177">
        <v>1411.4752693874702</v>
      </c>
      <c r="BF13" s="178">
        <v>1859.2108247275394</v>
      </c>
      <c r="BH13" s="180">
        <v>0</v>
      </c>
      <c r="BI13" s="167"/>
      <c r="BJ13" s="167"/>
      <c r="BK13" s="167"/>
      <c r="BL13" s="167"/>
      <c r="BM13" s="167"/>
      <c r="BN13" s="167"/>
      <c r="BO13" s="167"/>
      <c r="BP13" s="167"/>
      <c r="BQ13" s="167"/>
      <c r="BR13" s="167"/>
      <c r="BS13" s="167"/>
      <c r="BT13" s="167"/>
      <c r="BU13" s="167"/>
      <c r="BV13" s="167"/>
      <c r="BW13" s="167"/>
      <c r="BX13" s="167"/>
      <c r="BY13" s="167"/>
      <c r="BZ13" s="167"/>
      <c r="CA13" s="167"/>
      <c r="CB13" s="167"/>
      <c r="CC13" s="167"/>
      <c r="CD13" s="167"/>
      <c r="CE13" s="167"/>
      <c r="CF13" s="167"/>
      <c r="CG13" s="167"/>
      <c r="CH13" s="167"/>
      <c r="CI13" s="167"/>
      <c r="CJ13" s="167"/>
      <c r="CK13" s="167"/>
      <c r="CL13" s="167"/>
      <c r="CM13" s="167"/>
      <c r="CN13" s="167"/>
      <c r="CO13" s="167"/>
      <c r="CP13" s="167"/>
      <c r="CQ13" s="167"/>
      <c r="CR13" s="167"/>
      <c r="CS13" s="167"/>
      <c r="CT13" s="167"/>
      <c r="CU13" s="167"/>
      <c r="CV13" s="167"/>
      <c r="CW13" s="167"/>
      <c r="CX13" s="167"/>
      <c r="CY13" s="167"/>
      <c r="CZ13" s="167"/>
      <c r="DA13" s="167"/>
      <c r="DB13" s="167"/>
      <c r="DC13" s="167"/>
      <c r="DD13" s="167"/>
      <c r="DE13" s="167"/>
      <c r="DF13" s="167"/>
      <c r="DG13" s="167"/>
      <c r="DH13" s="167"/>
      <c r="DI13" s="167"/>
      <c r="DJ13" s="167"/>
      <c r="DK13" s="167"/>
      <c r="DL13" s="167"/>
      <c r="DM13" s="167"/>
      <c r="DN13" s="167"/>
      <c r="DO13" s="167"/>
      <c r="DP13" s="167"/>
      <c r="DQ13" s="167"/>
      <c r="DR13" s="167"/>
      <c r="DS13" s="167"/>
      <c r="DT13" s="167"/>
      <c r="DU13" s="167"/>
      <c r="DV13" s="167"/>
      <c r="DW13" s="167"/>
      <c r="DX13" s="167"/>
      <c r="DY13" s="167"/>
      <c r="DZ13" s="167"/>
      <c r="EA13" s="167"/>
    </row>
    <row r="14" spans="1:131" ht="14.7" customHeight="1" x14ac:dyDescent="0.3">
      <c r="A14" s="176" t="s">
        <v>231</v>
      </c>
      <c r="B14" s="177">
        <v>372.97489811038577</v>
      </c>
      <c r="C14" s="177">
        <v>680.67017886834014</v>
      </c>
      <c r="D14" s="177">
        <v>1296.9198533103379</v>
      </c>
      <c r="E14" s="177">
        <v>1911.1056708824192</v>
      </c>
      <c r="F14" s="178">
        <v>2528.3563279049217</v>
      </c>
      <c r="G14" s="179"/>
      <c r="H14" s="176" t="s">
        <v>231</v>
      </c>
      <c r="I14" s="177">
        <v>372.97489811038577</v>
      </c>
      <c r="J14" s="177">
        <v>680.67017886834014</v>
      </c>
      <c r="K14" s="177">
        <v>1296.9198533103379</v>
      </c>
      <c r="L14" s="177">
        <v>1911.1056708824192</v>
      </c>
      <c r="M14" s="178">
        <v>2528.3563279049217</v>
      </c>
      <c r="O14" s="180">
        <v>0</v>
      </c>
      <c r="P14" s="167"/>
      <c r="Q14" s="176" t="s">
        <v>231</v>
      </c>
      <c r="R14" s="177">
        <v>372.97489811038577</v>
      </c>
      <c r="S14" s="177">
        <v>680.67017886834014</v>
      </c>
      <c r="T14" s="177">
        <v>1296.9198533103379</v>
      </c>
      <c r="U14" s="177">
        <v>1911.1056708824192</v>
      </c>
      <c r="V14" s="177">
        <v>2528.3563279049217</v>
      </c>
      <c r="X14" s="180">
        <v>0</v>
      </c>
      <c r="Y14" s="167"/>
      <c r="Z14" s="176" t="s">
        <v>231</v>
      </c>
      <c r="AA14" s="177">
        <v>372.97489811038577</v>
      </c>
      <c r="AB14" s="177">
        <v>680.67017886834014</v>
      </c>
      <c r="AC14" s="177">
        <v>1296.9198533103379</v>
      </c>
      <c r="AD14" s="177">
        <v>1911.1056708824192</v>
      </c>
      <c r="AE14" s="178">
        <v>2528.3563279049217</v>
      </c>
      <c r="AG14" s="181">
        <v>0</v>
      </c>
      <c r="AH14" s="167"/>
      <c r="AI14" s="176" t="s">
        <v>231</v>
      </c>
      <c r="AJ14" s="177">
        <v>372.97489811038577</v>
      </c>
      <c r="AK14" s="177">
        <v>680.67017886834014</v>
      </c>
      <c r="AL14" s="177">
        <v>1296.9198533103379</v>
      </c>
      <c r="AM14" s="177">
        <v>1911.1056708824192</v>
      </c>
      <c r="AN14" s="178">
        <v>2528.3563279049217</v>
      </c>
      <c r="AP14" s="181">
        <v>0</v>
      </c>
      <c r="AQ14" s="167"/>
      <c r="AR14" s="176" t="s">
        <v>231</v>
      </c>
      <c r="AS14" s="177">
        <v>372.97489811038577</v>
      </c>
      <c r="AT14" s="177">
        <v>680.67017886834014</v>
      </c>
      <c r="AU14" s="177">
        <v>1296.9198533103379</v>
      </c>
      <c r="AV14" s="177">
        <v>1911.1056708824192</v>
      </c>
      <c r="AW14" s="178">
        <v>2528.3563279049217</v>
      </c>
      <c r="AY14" s="180">
        <v>0</v>
      </c>
      <c r="AZ14" s="167"/>
      <c r="BA14" s="176" t="s">
        <v>231</v>
      </c>
      <c r="BB14" s="177">
        <v>372.97489811038577</v>
      </c>
      <c r="BC14" s="177">
        <v>680.67017886834014</v>
      </c>
      <c r="BD14" s="177">
        <v>1296.9198533103379</v>
      </c>
      <c r="BE14" s="177">
        <v>1911.1056708824192</v>
      </c>
      <c r="BF14" s="178">
        <v>2528.3563279049217</v>
      </c>
      <c r="BH14" s="180">
        <v>0</v>
      </c>
      <c r="BI14" s="167"/>
      <c r="BJ14" s="167"/>
      <c r="BK14" s="167"/>
      <c r="BL14" s="167"/>
      <c r="BM14" s="167"/>
      <c r="BN14" s="167"/>
      <c r="BO14" s="167"/>
      <c r="BP14" s="167"/>
      <c r="BQ14" s="167"/>
      <c r="BR14" s="167"/>
      <c r="BS14" s="167"/>
      <c r="BT14" s="167"/>
      <c r="BU14" s="167"/>
      <c r="BV14" s="167"/>
      <c r="BW14" s="167"/>
      <c r="BX14" s="167"/>
      <c r="BY14" s="167"/>
      <c r="BZ14" s="167"/>
      <c r="CA14" s="167"/>
      <c r="CB14" s="167"/>
      <c r="CC14" s="167"/>
      <c r="CD14" s="167"/>
      <c r="CE14" s="167"/>
      <c r="CF14" s="167"/>
      <c r="CG14" s="167"/>
      <c r="CH14" s="167"/>
      <c r="CI14" s="167"/>
      <c r="CJ14" s="167"/>
      <c r="CK14" s="167"/>
      <c r="CL14" s="167"/>
      <c r="CM14" s="167"/>
      <c r="CN14" s="167"/>
      <c r="CO14" s="167"/>
      <c r="CP14" s="167"/>
      <c r="CQ14" s="167"/>
      <c r="CR14" s="167"/>
      <c r="CS14" s="167"/>
      <c r="CT14" s="167"/>
      <c r="CU14" s="167"/>
      <c r="CV14" s="167"/>
      <c r="CW14" s="167"/>
      <c r="CX14" s="167"/>
      <c r="CY14" s="167"/>
      <c r="CZ14" s="167"/>
      <c r="DA14" s="167"/>
      <c r="DB14" s="167"/>
      <c r="DC14" s="167"/>
      <c r="DD14" s="167"/>
      <c r="DE14" s="167"/>
      <c r="DF14" s="167"/>
      <c r="DG14" s="167"/>
      <c r="DH14" s="167"/>
      <c r="DI14" s="167"/>
      <c r="DJ14" s="167"/>
      <c r="DK14" s="167"/>
      <c r="DL14" s="167"/>
      <c r="DM14" s="167"/>
      <c r="DN14" s="167"/>
      <c r="DO14" s="167"/>
      <c r="DP14" s="167"/>
      <c r="DQ14" s="167"/>
      <c r="DR14" s="167"/>
      <c r="DS14" s="167"/>
      <c r="DT14" s="167"/>
      <c r="DU14" s="167"/>
      <c r="DV14" s="167"/>
      <c r="DW14" s="167"/>
      <c r="DX14" s="167"/>
      <c r="DY14" s="167"/>
      <c r="DZ14" s="167"/>
      <c r="EA14" s="167"/>
    </row>
    <row r="15" spans="1:131" ht="15" customHeight="1" thickBot="1" x14ac:dyDescent="0.35">
      <c r="A15" s="182" t="s">
        <v>232</v>
      </c>
      <c r="B15" s="183">
        <v>560.76323823525456</v>
      </c>
      <c r="C15" s="183">
        <v>1054.4555085369361</v>
      </c>
      <c r="D15" s="183">
        <v>2039.9259598739191</v>
      </c>
      <c r="E15" s="183">
        <v>3028.5005992863894</v>
      </c>
      <c r="F15" s="184">
        <v>4018.4141535514914</v>
      </c>
      <c r="G15" s="179"/>
      <c r="H15" s="182" t="s">
        <v>232</v>
      </c>
      <c r="I15" s="183">
        <v>560.76323823525456</v>
      </c>
      <c r="J15" s="183">
        <v>1054.4555085369361</v>
      </c>
      <c r="K15" s="183">
        <v>2039.9259598739191</v>
      </c>
      <c r="L15" s="183">
        <v>3028.5005992863894</v>
      </c>
      <c r="M15" s="184">
        <v>4018.4141535514914</v>
      </c>
      <c r="O15" s="185">
        <v>0</v>
      </c>
      <c r="P15" s="167"/>
      <c r="Q15" s="182" t="s">
        <v>232</v>
      </c>
      <c r="R15" s="177">
        <v>560.76323823525456</v>
      </c>
      <c r="S15" s="177">
        <v>1054.4555085369361</v>
      </c>
      <c r="T15" s="177">
        <v>2039.9259598739191</v>
      </c>
      <c r="U15" s="177">
        <v>3028.5005992863894</v>
      </c>
      <c r="V15" s="177">
        <v>4018.4141535514914</v>
      </c>
      <c r="X15" s="180">
        <v>0</v>
      </c>
      <c r="Y15" s="167"/>
      <c r="Z15" s="182" t="s">
        <v>232</v>
      </c>
      <c r="AA15" s="183">
        <v>560.76323823525456</v>
      </c>
      <c r="AB15" s="183">
        <v>1054.4555085369361</v>
      </c>
      <c r="AC15" s="183">
        <v>2039.9259598739191</v>
      </c>
      <c r="AD15" s="183">
        <v>3028.5005992863894</v>
      </c>
      <c r="AE15" s="184">
        <v>4018.4141535514914</v>
      </c>
      <c r="AG15" s="186">
        <v>0</v>
      </c>
      <c r="AH15" s="167"/>
      <c r="AI15" s="182" t="s">
        <v>232</v>
      </c>
      <c r="AJ15" s="183">
        <v>560.76323823525456</v>
      </c>
      <c r="AK15" s="183">
        <v>1054.4555085369361</v>
      </c>
      <c r="AL15" s="183">
        <v>2039.9259598739191</v>
      </c>
      <c r="AM15" s="183">
        <v>3028.5005992863894</v>
      </c>
      <c r="AN15" s="184">
        <v>4018.4141535514914</v>
      </c>
      <c r="AP15" s="186">
        <v>0</v>
      </c>
      <c r="AQ15" s="167"/>
      <c r="AR15" s="182" t="s">
        <v>232</v>
      </c>
      <c r="AS15" s="183">
        <v>560.76323823525456</v>
      </c>
      <c r="AT15" s="183">
        <v>1054.4555085369361</v>
      </c>
      <c r="AU15" s="183">
        <v>2039.9259598739191</v>
      </c>
      <c r="AV15" s="183">
        <v>3028.5005992863894</v>
      </c>
      <c r="AW15" s="184">
        <v>4018.4141535514914</v>
      </c>
      <c r="AY15" s="180">
        <v>0</v>
      </c>
      <c r="AZ15" s="167"/>
      <c r="BA15" s="182" t="s">
        <v>232</v>
      </c>
      <c r="BB15" s="183">
        <v>560.76323823525456</v>
      </c>
      <c r="BC15" s="183">
        <v>1054.4555085369361</v>
      </c>
      <c r="BD15" s="183">
        <v>2039.9259598739191</v>
      </c>
      <c r="BE15" s="183">
        <v>3028.5005992863894</v>
      </c>
      <c r="BF15" s="184">
        <v>4018.4141535514914</v>
      </c>
      <c r="BH15" s="180">
        <v>0</v>
      </c>
      <c r="BI15" s="167"/>
      <c r="BJ15" s="167"/>
      <c r="BK15" s="167"/>
      <c r="BL15" s="167"/>
      <c r="BM15" s="167"/>
      <c r="BN15" s="167"/>
      <c r="BO15" s="167"/>
      <c r="BP15" s="167"/>
      <c r="BQ15" s="167"/>
      <c r="BR15" s="167"/>
      <c r="BS15" s="167"/>
      <c r="BT15" s="167"/>
      <c r="BU15" s="167"/>
      <c r="BV15" s="167"/>
      <c r="BW15" s="167"/>
      <c r="BX15" s="167"/>
      <c r="BY15" s="167"/>
      <c r="BZ15" s="167"/>
      <c r="CA15" s="167"/>
      <c r="CB15" s="167"/>
      <c r="CC15" s="167"/>
      <c r="CD15" s="167"/>
      <c r="CE15" s="167"/>
      <c r="CF15" s="167"/>
      <c r="CG15" s="167"/>
      <c r="CH15" s="167"/>
      <c r="CI15" s="167"/>
      <c r="CJ15" s="167"/>
      <c r="CK15" s="167"/>
      <c r="CL15" s="167"/>
      <c r="CM15" s="167"/>
      <c r="CN15" s="167"/>
      <c r="CO15" s="167"/>
      <c r="CP15" s="167"/>
      <c r="CQ15" s="167"/>
      <c r="CR15" s="167"/>
      <c r="CS15" s="167"/>
      <c r="CT15" s="167"/>
      <c r="CU15" s="167"/>
      <c r="CV15" s="167"/>
      <c r="CW15" s="167"/>
      <c r="CX15" s="167"/>
      <c r="CY15" s="167"/>
      <c r="CZ15" s="167"/>
      <c r="DA15" s="167"/>
      <c r="DB15" s="167"/>
      <c r="DC15" s="167"/>
      <c r="DD15" s="167"/>
      <c r="DE15" s="167"/>
      <c r="DF15" s="167"/>
      <c r="DG15" s="167"/>
      <c r="DH15" s="167"/>
      <c r="DI15" s="167"/>
      <c r="DJ15" s="167"/>
      <c r="DK15" s="167"/>
      <c r="DL15" s="167"/>
      <c r="DM15" s="167"/>
      <c r="DN15" s="167"/>
      <c r="DO15" s="167"/>
      <c r="DP15" s="167"/>
      <c r="DQ15" s="167"/>
      <c r="DR15" s="167"/>
      <c r="DS15" s="167"/>
      <c r="DT15" s="167"/>
      <c r="DU15" s="167"/>
      <c r="DV15" s="167"/>
      <c r="DW15" s="167"/>
      <c r="DX15" s="167"/>
      <c r="DY15" s="167"/>
      <c r="DZ15" s="167"/>
      <c r="EA15" s="167"/>
    </row>
    <row r="16" spans="1:131" ht="14.7" customHeight="1" x14ac:dyDescent="0.3">
      <c r="O16" s="167"/>
      <c r="P16" s="167"/>
      <c r="X16" s="167"/>
      <c r="Y16" s="167"/>
      <c r="AG16" s="167"/>
      <c r="AH16" s="167"/>
      <c r="AP16" s="167"/>
      <c r="AQ16" s="167"/>
      <c r="AY16" s="167"/>
      <c r="AZ16" s="167"/>
      <c r="BH16" s="167"/>
      <c r="BI16" s="167"/>
      <c r="BJ16" s="167"/>
      <c r="BK16" s="167"/>
      <c r="BL16" s="167"/>
      <c r="BM16" s="167"/>
      <c r="BN16" s="167"/>
      <c r="BO16" s="167"/>
      <c r="BP16" s="167"/>
      <c r="BQ16" s="167"/>
      <c r="BR16" s="167"/>
      <c r="BS16" s="167"/>
      <c r="BT16" s="167"/>
      <c r="BU16" s="167"/>
      <c r="BV16" s="167"/>
      <c r="BW16" s="167"/>
      <c r="BX16" s="167"/>
      <c r="BY16" s="167"/>
      <c r="BZ16" s="167"/>
      <c r="CA16" s="167"/>
      <c r="CB16" s="167"/>
      <c r="CC16" s="167"/>
      <c r="CD16" s="167"/>
      <c r="CE16" s="167"/>
      <c r="CF16" s="167"/>
      <c r="CG16" s="167"/>
      <c r="CH16" s="167"/>
      <c r="CI16" s="167"/>
      <c r="CJ16" s="167"/>
      <c r="CK16" s="167"/>
      <c r="CL16" s="167"/>
      <c r="CM16" s="167"/>
      <c r="CN16" s="167"/>
      <c r="CO16" s="167"/>
      <c r="CP16" s="167"/>
      <c r="CQ16" s="167"/>
      <c r="CR16" s="167"/>
      <c r="CS16" s="167"/>
      <c r="CT16" s="167"/>
      <c r="CU16" s="167"/>
      <c r="CV16" s="167"/>
      <c r="CW16" s="167"/>
      <c r="CX16" s="167"/>
      <c r="CY16" s="167"/>
      <c r="CZ16" s="167"/>
      <c r="DA16" s="167"/>
      <c r="DB16" s="167"/>
      <c r="DC16" s="167"/>
      <c r="DD16" s="167"/>
      <c r="DE16" s="167"/>
      <c r="DF16" s="167"/>
      <c r="DG16" s="167"/>
      <c r="DH16" s="167"/>
      <c r="DI16" s="167"/>
      <c r="DJ16" s="167"/>
      <c r="DK16" s="167"/>
      <c r="DL16" s="167"/>
      <c r="DM16" s="167"/>
      <c r="DN16" s="167"/>
      <c r="DO16" s="167"/>
      <c r="DP16" s="167"/>
      <c r="DQ16" s="167"/>
      <c r="DR16" s="167"/>
      <c r="DS16" s="167"/>
      <c r="DT16" s="167"/>
      <c r="DU16" s="167"/>
      <c r="DV16" s="167"/>
      <c r="DW16" s="167"/>
      <c r="DX16" s="167"/>
      <c r="DY16" s="167"/>
      <c r="DZ16" s="167"/>
      <c r="EA16" s="167"/>
    </row>
    <row r="17" spans="1:131" ht="15" customHeight="1" thickBot="1" x14ac:dyDescent="0.35">
      <c r="O17" s="167"/>
      <c r="P17" s="167"/>
      <c r="X17" s="167"/>
      <c r="Y17" s="167"/>
      <c r="AH17" s="167"/>
      <c r="AP17" s="167"/>
      <c r="AQ17" s="167"/>
      <c r="AY17" s="167"/>
      <c r="AZ17" s="167"/>
      <c r="BH17" s="167"/>
      <c r="BI17" s="167"/>
      <c r="BJ17" s="167"/>
      <c r="BK17" s="167"/>
      <c r="BL17" s="167"/>
      <c r="BM17" s="167"/>
      <c r="BN17" s="167"/>
      <c r="BO17" s="167"/>
      <c r="BP17" s="167"/>
      <c r="BQ17" s="167"/>
      <c r="BR17" s="167"/>
      <c r="BS17" s="167"/>
      <c r="BT17" s="167"/>
      <c r="BU17" s="167"/>
      <c r="BV17" s="167"/>
      <c r="BW17" s="167"/>
      <c r="BX17" s="167"/>
      <c r="BY17" s="167"/>
      <c r="BZ17" s="167"/>
      <c r="CA17" s="167"/>
      <c r="CB17" s="167"/>
      <c r="CC17" s="167"/>
      <c r="CD17" s="167"/>
      <c r="CE17" s="167"/>
      <c r="CF17" s="167"/>
      <c r="CG17" s="167"/>
      <c r="CH17" s="167"/>
      <c r="CI17" s="167"/>
      <c r="CJ17" s="167"/>
      <c r="CK17" s="167"/>
      <c r="CL17" s="167"/>
      <c r="CM17" s="167"/>
      <c r="CN17" s="167"/>
      <c r="CO17" s="167"/>
      <c r="CP17" s="167"/>
      <c r="CQ17" s="167"/>
      <c r="CR17" s="167"/>
      <c r="CS17" s="167"/>
      <c r="CT17" s="167"/>
      <c r="CU17" s="167"/>
      <c r="CV17" s="167"/>
      <c r="CW17" s="167"/>
      <c r="CX17" s="167"/>
      <c r="CY17" s="167"/>
      <c r="CZ17" s="167"/>
      <c r="DA17" s="167"/>
      <c r="DB17" s="167"/>
      <c r="DC17" s="167"/>
      <c r="DD17" s="167"/>
      <c r="DE17" s="167"/>
      <c r="DF17" s="167"/>
      <c r="DG17" s="167"/>
      <c r="DH17" s="167"/>
      <c r="DI17" s="167"/>
      <c r="DJ17" s="167"/>
      <c r="DK17" s="167"/>
      <c r="DL17" s="167"/>
      <c r="DM17" s="167"/>
      <c r="DN17" s="167"/>
      <c r="DO17" s="167"/>
      <c r="DP17" s="167"/>
      <c r="DQ17" s="167"/>
      <c r="DR17" s="167"/>
      <c r="DS17" s="167"/>
      <c r="DT17" s="167"/>
      <c r="DU17" s="167"/>
      <c r="DV17" s="167"/>
      <c r="DW17" s="167"/>
      <c r="DX17" s="167"/>
      <c r="DY17" s="167"/>
      <c r="DZ17" s="167"/>
      <c r="EA17" s="167"/>
    </row>
    <row r="18" spans="1:131" ht="14.7" customHeight="1" thickBot="1" x14ac:dyDescent="0.35">
      <c r="A18" s="168" t="s">
        <v>64</v>
      </c>
      <c r="B18" s="587" t="s">
        <v>248</v>
      </c>
      <c r="C18" s="587"/>
      <c r="D18" s="587"/>
      <c r="E18" s="587"/>
      <c r="F18" s="588"/>
      <c r="G18" s="169"/>
      <c r="H18" s="168" t="s">
        <v>64</v>
      </c>
      <c r="I18" s="587" t="s">
        <v>248</v>
      </c>
      <c r="J18" s="587"/>
      <c r="K18" s="587"/>
      <c r="L18" s="587"/>
      <c r="M18" s="588"/>
      <c r="O18" s="167"/>
      <c r="P18" s="167"/>
      <c r="Q18" s="168" t="s">
        <v>64</v>
      </c>
      <c r="R18" s="587" t="s">
        <v>248</v>
      </c>
      <c r="S18" s="587"/>
      <c r="T18" s="587"/>
      <c r="U18" s="587"/>
      <c r="V18" s="588"/>
      <c r="X18" s="167"/>
      <c r="Y18" s="167"/>
      <c r="Z18" s="168" t="s">
        <v>64</v>
      </c>
      <c r="AA18" s="587" t="s">
        <v>248</v>
      </c>
      <c r="AB18" s="587"/>
      <c r="AC18" s="587"/>
      <c r="AD18" s="587"/>
      <c r="AE18" s="588"/>
      <c r="AG18" s="167"/>
      <c r="AH18" s="167"/>
      <c r="AI18" s="168" t="s">
        <v>64</v>
      </c>
      <c r="AJ18" s="587" t="s">
        <v>248</v>
      </c>
      <c r="AK18" s="587"/>
      <c r="AL18" s="587"/>
      <c r="AM18" s="587"/>
      <c r="AN18" s="588"/>
      <c r="AP18" s="167"/>
      <c r="AQ18" s="167"/>
      <c r="AR18" s="168" t="s">
        <v>64</v>
      </c>
      <c r="AS18" s="587" t="s">
        <v>248</v>
      </c>
      <c r="AT18" s="587"/>
      <c r="AU18" s="587"/>
      <c r="AV18" s="587"/>
      <c r="AW18" s="588"/>
      <c r="AY18" s="167"/>
      <c r="AZ18" s="167"/>
      <c r="BA18" s="168" t="s">
        <v>64</v>
      </c>
      <c r="BB18" s="587" t="s">
        <v>248</v>
      </c>
      <c r="BC18" s="587"/>
      <c r="BD18" s="587"/>
      <c r="BE18" s="587"/>
      <c r="BF18" s="588"/>
      <c r="BH18" s="167"/>
      <c r="BI18" s="167"/>
      <c r="BJ18" s="167"/>
      <c r="BK18" s="167"/>
      <c r="BL18" s="167"/>
      <c r="BM18" s="167"/>
      <c r="BN18" s="167"/>
      <c r="BO18" s="167"/>
      <c r="BP18" s="167"/>
      <c r="BQ18" s="167"/>
      <c r="BR18" s="167"/>
      <c r="BS18" s="167"/>
      <c r="BT18" s="167"/>
      <c r="BU18" s="167"/>
      <c r="BV18" s="167"/>
      <c r="BW18" s="167"/>
      <c r="BX18" s="167"/>
      <c r="BY18" s="167"/>
      <c r="BZ18" s="167"/>
      <c r="CA18" s="167"/>
      <c r="CB18" s="167"/>
      <c r="CC18" s="167"/>
      <c r="CD18" s="167"/>
      <c r="CE18" s="167"/>
      <c r="CF18" s="167"/>
      <c r="CG18" s="167"/>
      <c r="CH18" s="167"/>
      <c r="CI18" s="167"/>
      <c r="CJ18" s="167"/>
      <c r="CK18" s="167"/>
      <c r="CL18" s="167"/>
      <c r="CM18" s="167"/>
      <c r="CN18" s="167"/>
      <c r="CO18" s="167"/>
      <c r="CP18" s="167"/>
      <c r="CQ18" s="167"/>
      <c r="CR18" s="167"/>
      <c r="CS18" s="167"/>
      <c r="CT18" s="167"/>
      <c r="CU18" s="167"/>
      <c r="CV18" s="167"/>
      <c r="CW18" s="167"/>
      <c r="CX18" s="167"/>
      <c r="CY18" s="167"/>
      <c r="CZ18" s="167"/>
      <c r="DA18" s="167"/>
      <c r="DB18" s="167"/>
      <c r="DC18" s="167"/>
      <c r="DD18" s="167"/>
      <c r="DE18" s="167"/>
      <c r="DF18" s="167"/>
      <c r="DG18" s="167"/>
      <c r="DH18" s="167"/>
      <c r="DI18" s="167"/>
      <c r="DJ18" s="167"/>
      <c r="DK18" s="167"/>
      <c r="DL18" s="167"/>
      <c r="DM18" s="167"/>
      <c r="DN18" s="167"/>
      <c r="DO18" s="167"/>
      <c r="DP18" s="167"/>
      <c r="DQ18" s="167"/>
      <c r="DR18" s="167"/>
      <c r="DS18" s="167"/>
      <c r="DT18" s="167"/>
      <c r="DU18" s="167"/>
      <c r="DV18" s="167"/>
      <c r="DW18" s="167"/>
      <c r="DX18" s="167"/>
      <c r="DY18" s="167"/>
      <c r="DZ18" s="167"/>
      <c r="EA18" s="167"/>
    </row>
    <row r="19" spans="1:131" ht="14.7" customHeight="1" x14ac:dyDescent="0.3">
      <c r="A19" s="170" t="s">
        <v>249</v>
      </c>
      <c r="B19" s="171">
        <v>50000</v>
      </c>
      <c r="C19" s="172">
        <v>100000</v>
      </c>
      <c r="D19" s="172">
        <v>200000</v>
      </c>
      <c r="E19" s="172">
        <v>300000</v>
      </c>
      <c r="F19" s="173">
        <v>400000</v>
      </c>
      <c r="G19" s="174"/>
      <c r="H19" s="170" t="s">
        <v>249</v>
      </c>
      <c r="I19" s="171">
        <v>50000</v>
      </c>
      <c r="J19" s="172">
        <v>100000</v>
      </c>
      <c r="K19" s="172">
        <v>200000</v>
      </c>
      <c r="L19" s="172">
        <v>300000</v>
      </c>
      <c r="M19" s="173">
        <v>400000</v>
      </c>
      <c r="O19" s="175" t="s">
        <v>250</v>
      </c>
      <c r="P19" s="167"/>
      <c r="Q19" s="170" t="s">
        <v>249</v>
      </c>
      <c r="R19" s="171">
        <v>50000</v>
      </c>
      <c r="S19" s="172">
        <v>100000</v>
      </c>
      <c r="T19" s="172">
        <v>200000</v>
      </c>
      <c r="U19" s="172">
        <v>300000</v>
      </c>
      <c r="V19" s="173">
        <v>400000</v>
      </c>
      <c r="X19" s="175" t="s">
        <v>250</v>
      </c>
      <c r="Y19" s="167"/>
      <c r="Z19" s="170" t="s">
        <v>249</v>
      </c>
      <c r="AA19" s="171">
        <v>50000</v>
      </c>
      <c r="AB19" s="172">
        <v>100000</v>
      </c>
      <c r="AC19" s="172">
        <v>200000</v>
      </c>
      <c r="AD19" s="172">
        <v>300000</v>
      </c>
      <c r="AE19" s="173">
        <v>400000</v>
      </c>
      <c r="AG19" s="175" t="s">
        <v>251</v>
      </c>
      <c r="AH19" s="167"/>
      <c r="AI19" s="170" t="s">
        <v>249</v>
      </c>
      <c r="AJ19" s="171">
        <v>50000</v>
      </c>
      <c r="AK19" s="172">
        <v>100000</v>
      </c>
      <c r="AL19" s="172">
        <v>200000</v>
      </c>
      <c r="AM19" s="172">
        <v>300000</v>
      </c>
      <c r="AN19" s="173">
        <v>400000</v>
      </c>
      <c r="AP19" s="175" t="s">
        <v>251</v>
      </c>
      <c r="AQ19" s="167"/>
      <c r="AR19" s="170" t="s">
        <v>249</v>
      </c>
      <c r="AS19" s="171">
        <v>50000</v>
      </c>
      <c r="AT19" s="172">
        <v>100000</v>
      </c>
      <c r="AU19" s="172">
        <v>200000</v>
      </c>
      <c r="AV19" s="172">
        <v>300000</v>
      </c>
      <c r="AW19" s="173">
        <v>400000</v>
      </c>
      <c r="AY19" s="175" t="s">
        <v>252</v>
      </c>
      <c r="AZ19" s="167"/>
      <c r="BA19" s="170" t="s">
        <v>249</v>
      </c>
      <c r="BB19" s="171">
        <v>50000</v>
      </c>
      <c r="BC19" s="172">
        <v>100000</v>
      </c>
      <c r="BD19" s="172">
        <v>200000</v>
      </c>
      <c r="BE19" s="172">
        <v>300000</v>
      </c>
      <c r="BF19" s="173">
        <v>400000</v>
      </c>
      <c r="BH19" s="175" t="s">
        <v>252</v>
      </c>
      <c r="BI19" s="167"/>
      <c r="BJ19" s="167"/>
      <c r="BK19" s="167"/>
      <c r="BL19" s="167"/>
      <c r="BM19" s="167"/>
      <c r="BN19" s="167"/>
      <c r="BO19" s="167"/>
      <c r="BP19" s="167"/>
      <c r="BQ19" s="167"/>
      <c r="BR19" s="167"/>
      <c r="BS19" s="167"/>
      <c r="BT19" s="167"/>
      <c r="BU19" s="167"/>
      <c r="BV19" s="167"/>
      <c r="BW19" s="167"/>
      <c r="BX19" s="167"/>
      <c r="BY19" s="167"/>
      <c r="BZ19" s="167"/>
      <c r="CA19" s="167"/>
      <c r="CB19" s="167"/>
      <c r="CC19" s="167"/>
      <c r="CD19" s="167"/>
      <c r="CE19" s="167"/>
      <c r="CF19" s="167"/>
      <c r="CG19" s="167"/>
      <c r="CH19" s="167"/>
      <c r="CI19" s="167"/>
      <c r="CJ19" s="167"/>
      <c r="CK19" s="167"/>
      <c r="CL19" s="167"/>
      <c r="CM19" s="167"/>
      <c r="CN19" s="167"/>
      <c r="CO19" s="167"/>
      <c r="CP19" s="167"/>
      <c r="CQ19" s="167"/>
      <c r="CR19" s="167"/>
      <c r="CS19" s="167"/>
      <c r="CT19" s="167"/>
      <c r="CU19" s="167"/>
      <c r="CV19" s="167"/>
      <c r="CW19" s="167"/>
      <c r="CX19" s="167"/>
      <c r="CY19" s="167"/>
      <c r="CZ19" s="167"/>
      <c r="DA19" s="167"/>
      <c r="DB19" s="167"/>
      <c r="DC19" s="167"/>
      <c r="DD19" s="167"/>
      <c r="DE19" s="167"/>
      <c r="DF19" s="167"/>
      <c r="DG19" s="167"/>
      <c r="DH19" s="167"/>
      <c r="DI19" s="167"/>
      <c r="DJ19" s="167"/>
      <c r="DK19" s="167"/>
      <c r="DL19" s="167"/>
      <c r="DM19" s="167"/>
      <c r="DN19" s="167"/>
      <c r="DO19" s="167"/>
      <c r="DP19" s="167"/>
      <c r="DQ19" s="167"/>
      <c r="DR19" s="167"/>
      <c r="DS19" s="167"/>
      <c r="DT19" s="167"/>
      <c r="DU19" s="167"/>
      <c r="DV19" s="167"/>
      <c r="DW19" s="167"/>
      <c r="DX19" s="167"/>
      <c r="DY19" s="167"/>
      <c r="DZ19" s="167"/>
      <c r="EA19" s="167"/>
    </row>
    <row r="20" spans="1:131" ht="14.7" customHeight="1" x14ac:dyDescent="0.3">
      <c r="A20" s="176" t="s">
        <v>224</v>
      </c>
      <c r="B20" s="177">
        <v>28.35</v>
      </c>
      <c r="C20" s="177">
        <v>56.7</v>
      </c>
      <c r="D20" s="177">
        <v>113.4</v>
      </c>
      <c r="E20" s="177">
        <v>170.1</v>
      </c>
      <c r="F20" s="178">
        <v>226.8</v>
      </c>
      <c r="G20" s="179"/>
      <c r="H20" s="176" t="s">
        <v>224</v>
      </c>
      <c r="I20" s="177">
        <v>28.753137722388256</v>
      </c>
      <c r="J20" s="177">
        <v>57.506275444776513</v>
      </c>
      <c r="K20" s="177">
        <v>115.01255088955303</v>
      </c>
      <c r="L20" s="177">
        <v>172.5188263343295</v>
      </c>
      <c r="M20" s="178">
        <v>230.02510177910605</v>
      </c>
      <c r="O20" s="187">
        <v>1.4220025481067208E-2</v>
      </c>
      <c r="P20" s="167"/>
      <c r="Q20" s="176" t="s">
        <v>224</v>
      </c>
      <c r="R20" s="177">
        <v>29.082977677069554</v>
      </c>
      <c r="S20" s="177">
        <v>58.165955354139108</v>
      </c>
      <c r="T20" s="177">
        <v>116.33191070827822</v>
      </c>
      <c r="U20" s="177">
        <v>174.4978660624173</v>
      </c>
      <c r="V20" s="178">
        <v>232.66382141655643</v>
      </c>
      <c r="X20" s="181">
        <v>2.5854591783758558E-2</v>
      </c>
      <c r="Y20" s="167"/>
      <c r="Z20" s="176" t="s">
        <v>224</v>
      </c>
      <c r="AA20" s="177">
        <v>28.716488838534779</v>
      </c>
      <c r="AB20" s="177">
        <v>57.432977677069559</v>
      </c>
      <c r="AC20" s="177">
        <v>114.86595535413912</v>
      </c>
      <c r="AD20" s="177">
        <v>172.29893303120866</v>
      </c>
      <c r="AE20" s="178">
        <v>229.73191070827824</v>
      </c>
      <c r="AG20" s="188">
        <v>1.2927295891879279E-2</v>
      </c>
      <c r="AH20" s="167"/>
      <c r="AI20" s="176" t="s">
        <v>224</v>
      </c>
      <c r="AJ20" s="177">
        <v>28.973031025509126</v>
      </c>
      <c r="AK20" s="177">
        <v>57.946062051018252</v>
      </c>
      <c r="AL20" s="177">
        <v>115.8921241020365</v>
      </c>
      <c r="AM20" s="177">
        <v>173.83818615305475</v>
      </c>
      <c r="AN20" s="178">
        <v>231.78424820407301</v>
      </c>
      <c r="AP20" s="188">
        <v>2.1976403016194773E-2</v>
      </c>
      <c r="AQ20" s="167"/>
      <c r="AR20" s="176" t="s">
        <v>224</v>
      </c>
      <c r="AS20" s="177">
        <v>29.119626560923034</v>
      </c>
      <c r="AT20" s="177">
        <v>58.239253121846069</v>
      </c>
      <c r="AU20" s="177">
        <v>116.47850624369214</v>
      </c>
      <c r="AV20" s="177">
        <v>174.7177593655382</v>
      </c>
      <c r="AW20" s="178">
        <v>232.95701248738428</v>
      </c>
      <c r="AY20" s="180">
        <v>2.7147321372946488E-2</v>
      </c>
      <c r="AZ20" s="167"/>
      <c r="BA20" s="176" t="s">
        <v>224</v>
      </c>
      <c r="BB20" s="177">
        <v>29.706008702578679</v>
      </c>
      <c r="BC20" s="177">
        <v>59.412017405157357</v>
      </c>
      <c r="BD20" s="177">
        <v>118.82403481031471</v>
      </c>
      <c r="BE20" s="177">
        <v>178.23605221547206</v>
      </c>
      <c r="BF20" s="178">
        <v>237.64806962062943</v>
      </c>
      <c r="BH20" s="180">
        <v>4.7830994799953327E-2</v>
      </c>
      <c r="BI20" s="167"/>
      <c r="BJ20" s="167"/>
      <c r="BK20" s="167"/>
      <c r="BL20" s="167"/>
      <c r="BM20" s="167"/>
      <c r="BN20" s="167"/>
      <c r="BO20" s="167"/>
      <c r="BP20" s="167"/>
      <c r="BQ20" s="167"/>
      <c r="BR20" s="167"/>
      <c r="BS20" s="167"/>
      <c r="BT20" s="167"/>
      <c r="BU20" s="167"/>
      <c r="BV20" s="167"/>
      <c r="BW20" s="167"/>
      <c r="BX20" s="167"/>
      <c r="BY20" s="167"/>
      <c r="BZ20" s="167"/>
      <c r="CA20" s="167"/>
      <c r="CB20" s="167"/>
      <c r="CC20" s="167"/>
      <c r="CD20" s="167"/>
      <c r="CE20" s="167"/>
      <c r="CF20" s="167"/>
      <c r="CG20" s="167"/>
      <c r="CH20" s="167"/>
      <c r="CI20" s="167"/>
      <c r="CJ20" s="167"/>
      <c r="CK20" s="167"/>
      <c r="CL20" s="167"/>
      <c r="CM20" s="167"/>
      <c r="CN20" s="167"/>
      <c r="CO20" s="167"/>
      <c r="CP20" s="167"/>
      <c r="CQ20" s="167"/>
      <c r="CR20" s="167"/>
      <c r="CS20" s="167"/>
      <c r="CT20" s="167"/>
      <c r="CU20" s="167"/>
      <c r="CV20" s="167"/>
      <c r="CW20" s="167"/>
      <c r="CX20" s="167"/>
      <c r="CY20" s="167"/>
      <c r="CZ20" s="167"/>
      <c r="DA20" s="167"/>
      <c r="DB20" s="167"/>
      <c r="DC20" s="167"/>
      <c r="DD20" s="167"/>
      <c r="DE20" s="167"/>
      <c r="DF20" s="167"/>
      <c r="DG20" s="167"/>
      <c r="DH20" s="167"/>
      <c r="DI20" s="167"/>
      <c r="DJ20" s="167"/>
      <c r="DK20" s="167"/>
      <c r="DL20" s="167"/>
      <c r="DM20" s="167"/>
      <c r="DN20" s="167"/>
      <c r="DO20" s="167"/>
      <c r="DP20" s="167"/>
      <c r="DQ20" s="167"/>
      <c r="DR20" s="167"/>
      <c r="DS20" s="167"/>
      <c r="DT20" s="167"/>
      <c r="DU20" s="167"/>
      <c r="DV20" s="167"/>
      <c r="DW20" s="167"/>
      <c r="DX20" s="167"/>
      <c r="DY20" s="167"/>
      <c r="DZ20" s="167"/>
      <c r="EA20" s="167"/>
    </row>
    <row r="21" spans="1:131" ht="14.7" customHeight="1" x14ac:dyDescent="0.3">
      <c r="A21" s="176" t="s">
        <v>225</v>
      </c>
      <c r="B21" s="177">
        <v>51.300000000000004</v>
      </c>
      <c r="C21" s="177">
        <v>102.60000000000001</v>
      </c>
      <c r="D21" s="177">
        <v>205.20000000000002</v>
      </c>
      <c r="E21" s="177">
        <v>307.8</v>
      </c>
      <c r="F21" s="178">
        <v>410.40000000000003</v>
      </c>
      <c r="G21" s="179"/>
      <c r="H21" s="176" t="s">
        <v>225</v>
      </c>
      <c r="I21" s="177">
        <v>52.545670078099874</v>
      </c>
      <c r="J21" s="177">
        <v>105.09134015619975</v>
      </c>
      <c r="K21" s="177">
        <v>210.1826803123995</v>
      </c>
      <c r="L21" s="177">
        <v>315.27402046859925</v>
      </c>
      <c r="M21" s="178">
        <v>420.365360624799</v>
      </c>
      <c r="O21" s="187">
        <v>2.4282067799217617E-2</v>
      </c>
      <c r="P21" s="167"/>
      <c r="Q21" s="176" t="s">
        <v>225</v>
      </c>
      <c r="R21" s="177">
        <v>53.58372847651642</v>
      </c>
      <c r="S21" s="177">
        <v>107.16745695303284</v>
      </c>
      <c r="T21" s="177">
        <v>214.33491390606568</v>
      </c>
      <c r="U21" s="177">
        <v>321.50237085909851</v>
      </c>
      <c r="V21" s="178">
        <v>428.66982781213136</v>
      </c>
      <c r="X21" s="181">
        <v>4.4517124298565629E-2</v>
      </c>
      <c r="Y21" s="167"/>
      <c r="Z21" s="176" t="s">
        <v>225</v>
      </c>
      <c r="AA21" s="177">
        <v>51.819029199208281</v>
      </c>
      <c r="AB21" s="177">
        <v>103.63805839841656</v>
      </c>
      <c r="AC21" s="177">
        <v>207.27611679683312</v>
      </c>
      <c r="AD21" s="177">
        <v>310.91417519524964</v>
      </c>
      <c r="AE21" s="178">
        <v>414.55223359366624</v>
      </c>
      <c r="AG21" s="188">
        <v>1.0117528249674008E-2</v>
      </c>
      <c r="AH21" s="167"/>
      <c r="AI21" s="176" t="s">
        <v>225</v>
      </c>
      <c r="AJ21" s="177">
        <v>52.182349638654074</v>
      </c>
      <c r="AK21" s="177">
        <v>104.36469927730815</v>
      </c>
      <c r="AL21" s="177">
        <v>208.7293985546163</v>
      </c>
      <c r="AM21" s="177">
        <v>313.09409783192444</v>
      </c>
      <c r="AN21" s="178">
        <v>417.45879710923259</v>
      </c>
      <c r="AP21" s="188">
        <v>1.7199798024445812E-2</v>
      </c>
      <c r="AQ21" s="167"/>
      <c r="AR21" s="176" t="s">
        <v>225</v>
      </c>
      <c r="AS21" s="177">
        <v>53.064699277308144</v>
      </c>
      <c r="AT21" s="177">
        <v>106.12939855461629</v>
      </c>
      <c r="AU21" s="177">
        <v>212.25879710923257</v>
      </c>
      <c r="AV21" s="177">
        <v>318.38819566384888</v>
      </c>
      <c r="AW21" s="178">
        <v>424.51759421846515</v>
      </c>
      <c r="AY21" s="180">
        <v>3.4399596048891624E-2</v>
      </c>
      <c r="AZ21" s="167"/>
      <c r="BA21" s="176" t="s">
        <v>225</v>
      </c>
      <c r="BB21" s="177">
        <v>54.46607811517049</v>
      </c>
      <c r="BC21" s="177">
        <v>108.93215623034098</v>
      </c>
      <c r="BD21" s="177">
        <v>217.86431246068196</v>
      </c>
      <c r="BE21" s="177">
        <v>326.79646869102294</v>
      </c>
      <c r="BF21" s="178">
        <v>435.72862492136392</v>
      </c>
      <c r="BH21" s="180">
        <v>6.1716922323011444E-2</v>
      </c>
      <c r="BI21" s="167"/>
      <c r="BJ21" s="167"/>
      <c r="BK21" s="167"/>
      <c r="BL21" s="167"/>
      <c r="BM21" s="167"/>
      <c r="BN21" s="167"/>
      <c r="BO21" s="167"/>
      <c r="BP21" s="167"/>
      <c r="BQ21" s="167"/>
      <c r="BR21" s="167"/>
      <c r="BS21" s="167"/>
      <c r="BT21" s="167"/>
      <c r="BU21" s="167"/>
      <c r="BV21" s="167"/>
      <c r="BW21" s="167"/>
      <c r="BX21" s="167"/>
      <c r="BY21" s="167"/>
      <c r="BZ21" s="167"/>
      <c r="CA21" s="167"/>
      <c r="CB21" s="167"/>
      <c r="CC21" s="167"/>
      <c r="CD21" s="167"/>
      <c r="CE21" s="167"/>
      <c r="CF21" s="167"/>
      <c r="CG21" s="167"/>
      <c r="CH21" s="167"/>
      <c r="CI21" s="167"/>
      <c r="CJ21" s="167"/>
      <c r="CK21" s="167"/>
      <c r="CL21" s="167"/>
      <c r="CM21" s="167"/>
      <c r="CN21" s="167"/>
      <c r="CO21" s="167"/>
      <c r="CP21" s="167"/>
      <c r="CQ21" s="167"/>
      <c r="CR21" s="167"/>
      <c r="CS21" s="167"/>
      <c r="CT21" s="167"/>
      <c r="CU21" s="167"/>
      <c r="CV21" s="167"/>
      <c r="CW21" s="167"/>
      <c r="CX21" s="167"/>
      <c r="CY21" s="167"/>
      <c r="CZ21" s="167"/>
      <c r="DA21" s="167"/>
      <c r="DB21" s="167"/>
      <c r="DC21" s="167"/>
      <c r="DD21" s="167"/>
      <c r="DE21" s="167"/>
      <c r="DF21" s="167"/>
      <c r="DG21" s="167"/>
      <c r="DH21" s="167"/>
      <c r="DI21" s="167"/>
      <c r="DJ21" s="167"/>
      <c r="DK21" s="167"/>
      <c r="DL21" s="167"/>
      <c r="DM21" s="167"/>
      <c r="DN21" s="167"/>
      <c r="DO21" s="167"/>
      <c r="DP21" s="167"/>
      <c r="DQ21" s="167"/>
      <c r="DR21" s="167"/>
      <c r="DS21" s="167"/>
      <c r="DT21" s="167"/>
      <c r="DU21" s="167"/>
      <c r="DV21" s="167"/>
      <c r="DW21" s="167"/>
      <c r="DX21" s="167"/>
      <c r="DY21" s="167"/>
      <c r="DZ21" s="167"/>
      <c r="EA21" s="167"/>
    </row>
    <row r="22" spans="1:131" ht="14.7" customHeight="1" x14ac:dyDescent="0.3">
      <c r="A22" s="176" t="s">
        <v>226</v>
      </c>
      <c r="B22" s="177">
        <v>73.125</v>
      </c>
      <c r="C22" s="177">
        <v>146.25</v>
      </c>
      <c r="D22" s="177">
        <v>292.5</v>
      </c>
      <c r="E22" s="177">
        <v>438.75</v>
      </c>
      <c r="F22" s="178">
        <v>585</v>
      </c>
      <c r="G22" s="179"/>
      <c r="H22" s="176" t="s">
        <v>226</v>
      </c>
      <c r="I22" s="177">
        <v>76.526339917254717</v>
      </c>
      <c r="J22" s="177">
        <v>153.05267983450943</v>
      </c>
      <c r="K22" s="177">
        <v>306.10535966901887</v>
      </c>
      <c r="L22" s="177">
        <v>459.15803950352836</v>
      </c>
      <c r="M22" s="178">
        <v>612.21071933803773</v>
      </c>
      <c r="O22" s="187">
        <v>4.6514050150492037E-2</v>
      </c>
      <c r="P22" s="167"/>
      <c r="Q22" s="176" t="s">
        <v>226</v>
      </c>
      <c r="R22" s="177">
        <v>79.495528561143004</v>
      </c>
      <c r="S22" s="177">
        <v>158.99105712228601</v>
      </c>
      <c r="T22" s="177">
        <v>317.98211424457202</v>
      </c>
      <c r="U22" s="177">
        <v>476.97317136685808</v>
      </c>
      <c r="V22" s="178">
        <v>635.96422848914403</v>
      </c>
      <c r="X22" s="181">
        <v>8.7118339297682201E-2</v>
      </c>
      <c r="Y22" s="167"/>
      <c r="Z22" s="176" t="s">
        <v>226</v>
      </c>
      <c r="AA22" s="177">
        <v>73.974403808152388</v>
      </c>
      <c r="AB22" s="177">
        <v>147.94880761630478</v>
      </c>
      <c r="AC22" s="177">
        <v>295.89761523260955</v>
      </c>
      <c r="AD22" s="177">
        <v>443.84642284891436</v>
      </c>
      <c r="AE22" s="178">
        <v>591.79523046521911</v>
      </c>
      <c r="AG22" s="188">
        <v>1.1615778573024293E-2</v>
      </c>
      <c r="AH22" s="167"/>
      <c r="AI22" s="176" t="s">
        <v>226</v>
      </c>
      <c r="AJ22" s="177">
        <v>74.399105712228604</v>
      </c>
      <c r="AK22" s="177">
        <v>148.79821142445721</v>
      </c>
      <c r="AL22" s="177">
        <v>297.59642284891441</v>
      </c>
      <c r="AM22" s="177">
        <v>446.39463427337165</v>
      </c>
      <c r="AN22" s="178">
        <v>595.19284569782883</v>
      </c>
      <c r="AP22" s="188">
        <v>1.7423667859536439E-2</v>
      </c>
      <c r="AQ22" s="167"/>
      <c r="AR22" s="176" t="s">
        <v>226</v>
      </c>
      <c r="AS22" s="177">
        <v>77.375743725407133</v>
      </c>
      <c r="AT22" s="177">
        <v>154.75148745081427</v>
      </c>
      <c r="AU22" s="177">
        <v>309.50297490162853</v>
      </c>
      <c r="AV22" s="177">
        <v>464.25446235244277</v>
      </c>
      <c r="AW22" s="178">
        <v>619.00594980325707</v>
      </c>
      <c r="AY22" s="180">
        <v>5.8129828723516332E-2</v>
      </c>
      <c r="AZ22" s="167"/>
      <c r="BA22" s="176" t="s">
        <v>226</v>
      </c>
      <c r="BB22" s="177">
        <v>80.769634273371622</v>
      </c>
      <c r="BC22" s="177">
        <v>161.53926854674324</v>
      </c>
      <c r="BD22" s="177">
        <v>323.07853709348649</v>
      </c>
      <c r="BE22" s="177">
        <v>484.61780564022973</v>
      </c>
      <c r="BF22" s="178">
        <v>646.15707418697298</v>
      </c>
      <c r="BH22" s="180">
        <v>0.10454200715721865</v>
      </c>
      <c r="BI22" s="167"/>
      <c r="BJ22" s="167"/>
      <c r="BK22" s="167"/>
      <c r="BL22" s="167"/>
      <c r="BM22" s="167"/>
      <c r="BN22" s="167"/>
      <c r="BO22" s="167"/>
      <c r="BP22" s="167"/>
      <c r="BQ22" s="167"/>
      <c r="BR22" s="167"/>
      <c r="BS22" s="167"/>
      <c r="BT22" s="167"/>
      <c r="BU22" s="167"/>
      <c r="BV22" s="167"/>
      <c r="BW22" s="167"/>
      <c r="BX22" s="167"/>
      <c r="BY22" s="167"/>
      <c r="BZ22" s="167"/>
      <c r="CA22" s="167"/>
      <c r="CB22" s="167"/>
      <c r="CC22" s="167"/>
      <c r="CD22" s="167"/>
      <c r="CE22" s="167"/>
      <c r="CF22" s="167"/>
      <c r="CG22" s="167"/>
      <c r="CH22" s="167"/>
      <c r="CI22" s="167"/>
      <c r="CJ22" s="167"/>
      <c r="CK22" s="167"/>
      <c r="CL22" s="167"/>
      <c r="CM22" s="167"/>
      <c r="CN22" s="167"/>
      <c r="CO22" s="167"/>
      <c r="CP22" s="167"/>
      <c r="CQ22" s="167"/>
      <c r="CR22" s="167"/>
      <c r="CS22" s="167"/>
      <c r="CT22" s="167"/>
      <c r="CU22" s="167"/>
      <c r="CV22" s="167"/>
      <c r="CW22" s="167"/>
      <c r="CX22" s="167"/>
      <c r="CY22" s="167"/>
      <c r="CZ22" s="167"/>
      <c r="DA22" s="167"/>
      <c r="DB22" s="167"/>
      <c r="DC22" s="167"/>
      <c r="DD22" s="167"/>
      <c r="DE22" s="167"/>
      <c r="DF22" s="167"/>
      <c r="DG22" s="167"/>
      <c r="DH22" s="167"/>
      <c r="DI22" s="167"/>
      <c r="DJ22" s="167"/>
      <c r="DK22" s="167"/>
      <c r="DL22" s="167"/>
      <c r="DM22" s="167"/>
      <c r="DN22" s="167"/>
      <c r="DO22" s="167"/>
      <c r="DP22" s="167"/>
      <c r="DQ22" s="167"/>
      <c r="DR22" s="167"/>
      <c r="DS22" s="167"/>
      <c r="DT22" s="167"/>
      <c r="DU22" s="167"/>
      <c r="DV22" s="167"/>
      <c r="DW22" s="167"/>
      <c r="DX22" s="167"/>
      <c r="DY22" s="167"/>
      <c r="DZ22" s="167"/>
      <c r="EA22" s="167"/>
    </row>
    <row r="23" spans="1:131" ht="14.7" customHeight="1" x14ac:dyDescent="0.3">
      <c r="A23" s="176" t="s">
        <v>227</v>
      </c>
      <c r="B23" s="177">
        <v>75.150000000000006</v>
      </c>
      <c r="C23" s="177">
        <v>150.30000000000001</v>
      </c>
      <c r="D23" s="177">
        <v>300.60000000000002</v>
      </c>
      <c r="E23" s="177">
        <v>450.90000000000003</v>
      </c>
      <c r="F23" s="178">
        <v>601.19999999999993</v>
      </c>
      <c r="G23" s="179"/>
      <c r="H23" s="176" t="s">
        <v>227</v>
      </c>
      <c r="I23" s="177">
        <v>81.217894536415471</v>
      </c>
      <c r="J23" s="177">
        <v>162.43578907283094</v>
      </c>
      <c r="K23" s="177">
        <v>324.87157814566189</v>
      </c>
      <c r="L23" s="177">
        <v>487.30736721849286</v>
      </c>
      <c r="M23" s="178">
        <v>649.74315629132366</v>
      </c>
      <c r="O23" s="187">
        <v>8.0743772939660272E-2</v>
      </c>
      <c r="P23" s="167"/>
      <c r="Q23" s="176" t="s">
        <v>227</v>
      </c>
      <c r="R23" s="177">
        <v>85.985525957884789</v>
      </c>
      <c r="S23" s="177">
        <v>171.97105191576958</v>
      </c>
      <c r="T23" s="177">
        <v>343.94210383153916</v>
      </c>
      <c r="U23" s="177">
        <v>515.91315574730868</v>
      </c>
      <c r="V23" s="178">
        <v>687.88420766307809</v>
      </c>
      <c r="X23" s="181">
        <v>0.14418530882082192</v>
      </c>
      <c r="Y23" s="167"/>
      <c r="Z23" s="176" t="s">
        <v>227</v>
      </c>
      <c r="AA23" s="177">
        <v>75.962664446841373</v>
      </c>
      <c r="AB23" s="177">
        <v>151.92532889368275</v>
      </c>
      <c r="AC23" s="177">
        <v>303.85065778736549</v>
      </c>
      <c r="AD23" s="177">
        <v>455.77598668104821</v>
      </c>
      <c r="AE23" s="178">
        <v>607.70131557473087</v>
      </c>
      <c r="AG23" s="188">
        <v>1.0813898161561643E-2</v>
      </c>
      <c r="AH23" s="167"/>
      <c r="AI23" s="176" t="s">
        <v>227</v>
      </c>
      <c r="AJ23" s="177">
        <v>76.504440744735604</v>
      </c>
      <c r="AK23" s="177">
        <v>153.00888148947121</v>
      </c>
      <c r="AL23" s="177">
        <v>306.01776297894241</v>
      </c>
      <c r="AM23" s="177">
        <v>459.02664446841356</v>
      </c>
      <c r="AN23" s="178">
        <v>612.03552595788472</v>
      </c>
      <c r="AP23" s="188">
        <v>1.802316360260274E-2</v>
      </c>
      <c r="AQ23" s="167"/>
      <c r="AR23" s="176" t="s">
        <v>227</v>
      </c>
      <c r="AS23" s="177">
        <v>82.030558983256824</v>
      </c>
      <c r="AT23" s="177">
        <v>164.06111796651365</v>
      </c>
      <c r="AU23" s="177">
        <v>328.1222359330273</v>
      </c>
      <c r="AV23" s="177">
        <v>492.18335389954098</v>
      </c>
      <c r="AW23" s="178">
        <v>656.24447186605448</v>
      </c>
      <c r="AY23" s="180">
        <v>9.1557671101221913E-2</v>
      </c>
      <c r="AZ23" s="167"/>
      <c r="BA23" s="176" t="s">
        <v>227</v>
      </c>
      <c r="BB23" s="177">
        <v>87.339966702620373</v>
      </c>
      <c r="BC23" s="177">
        <v>174.67993340524075</v>
      </c>
      <c r="BD23" s="177">
        <v>349.35986681048149</v>
      </c>
      <c r="BE23" s="177">
        <v>524.03980021572227</v>
      </c>
      <c r="BF23" s="178">
        <v>698.71973362096287</v>
      </c>
      <c r="BH23" s="180">
        <v>0.16220847242342468</v>
      </c>
      <c r="BI23" s="167"/>
      <c r="BJ23" s="167"/>
      <c r="BK23" s="167"/>
      <c r="BL23" s="167"/>
      <c r="BM23" s="167"/>
      <c r="BN23" s="167"/>
      <c r="BO23" s="167"/>
      <c r="BP23" s="167"/>
      <c r="BQ23" s="167"/>
      <c r="BR23" s="167"/>
      <c r="BS23" s="167"/>
      <c r="BT23" s="167"/>
      <c r="BU23" s="167"/>
      <c r="BV23" s="167"/>
      <c r="BW23" s="167"/>
      <c r="BX23" s="167"/>
      <c r="BY23" s="167"/>
      <c r="BZ23" s="167"/>
      <c r="CA23" s="167"/>
      <c r="CB23" s="167"/>
      <c r="CC23" s="167"/>
      <c r="CD23" s="167"/>
      <c r="CE23" s="167"/>
      <c r="CF23" s="167"/>
      <c r="CG23" s="167"/>
      <c r="CH23" s="167"/>
      <c r="CI23" s="167"/>
      <c r="CJ23" s="167"/>
      <c r="CK23" s="167"/>
      <c r="CL23" s="167"/>
      <c r="CM23" s="167"/>
      <c r="CN23" s="167"/>
      <c r="CO23" s="167"/>
      <c r="CP23" s="167"/>
      <c r="CQ23" s="167"/>
      <c r="CR23" s="167"/>
      <c r="CS23" s="167"/>
      <c r="CT23" s="167"/>
      <c r="CU23" s="167"/>
      <c r="CV23" s="167"/>
      <c r="CW23" s="167"/>
      <c r="CX23" s="167"/>
      <c r="CY23" s="167"/>
      <c r="CZ23" s="167"/>
      <c r="DA23" s="167"/>
      <c r="DB23" s="167"/>
      <c r="DC23" s="167"/>
      <c r="DD23" s="167"/>
      <c r="DE23" s="167"/>
      <c r="DF23" s="167"/>
      <c r="DG23" s="167"/>
      <c r="DH23" s="167"/>
      <c r="DI23" s="167"/>
      <c r="DJ23" s="167"/>
      <c r="DK23" s="167"/>
      <c r="DL23" s="167"/>
      <c r="DM23" s="167"/>
      <c r="DN23" s="167"/>
      <c r="DO23" s="167"/>
      <c r="DP23" s="167"/>
      <c r="DQ23" s="167"/>
      <c r="DR23" s="167"/>
      <c r="DS23" s="167"/>
      <c r="DT23" s="167"/>
      <c r="DU23" s="167"/>
      <c r="DV23" s="167"/>
      <c r="DW23" s="167"/>
      <c r="DX23" s="167"/>
      <c r="DY23" s="167"/>
      <c r="DZ23" s="167"/>
      <c r="EA23" s="167"/>
    </row>
    <row r="24" spans="1:131" ht="14.7" customHeight="1" x14ac:dyDescent="0.3">
      <c r="A24" s="176" t="s">
        <v>228</v>
      </c>
      <c r="B24" s="177">
        <v>115.12619803005629</v>
      </c>
      <c r="C24" s="177">
        <v>229.93710874672425</v>
      </c>
      <c r="D24" s="177">
        <v>459.08854966663131</v>
      </c>
      <c r="E24" s="177">
        <v>688.62198759194007</v>
      </c>
      <c r="F24" s="178">
        <v>918.40613831298288</v>
      </c>
      <c r="G24" s="179"/>
      <c r="H24" s="176" t="s">
        <v>228</v>
      </c>
      <c r="I24" s="177">
        <v>127.77588681961574</v>
      </c>
      <c r="J24" s="177">
        <v>255.20184359063688</v>
      </c>
      <c r="K24" s="177">
        <v>509.5316927522473</v>
      </c>
      <c r="L24" s="177">
        <v>764.28551149647956</v>
      </c>
      <c r="M24" s="178">
        <v>1019.317590535589</v>
      </c>
      <c r="O24" s="187">
        <v>0.10987671794961011</v>
      </c>
      <c r="P24" s="167"/>
      <c r="Q24" s="176" t="s">
        <v>228</v>
      </c>
      <c r="R24" s="177">
        <v>136.45416168687163</v>
      </c>
      <c r="S24" s="177">
        <v>272.5346267975072</v>
      </c>
      <c r="T24" s="177">
        <v>544.13803510168157</v>
      </c>
      <c r="U24" s="177">
        <v>816.1942081286636</v>
      </c>
      <c r="V24" s="178">
        <v>1088.5475403162143</v>
      </c>
      <c r="X24" s="181">
        <v>0.18525725700806356</v>
      </c>
      <c r="Y24" s="167"/>
      <c r="Z24" s="176" t="s">
        <v>228</v>
      </c>
      <c r="AA24" s="177">
        <v>121.00977421124674</v>
      </c>
      <c r="AB24" s="177">
        <v>241.68814820900923</v>
      </c>
      <c r="AC24" s="177">
        <v>482.55047668319691</v>
      </c>
      <c r="AD24" s="177">
        <v>723.81432429172594</v>
      </c>
      <c r="AE24" s="178">
        <v>965.34169748628813</v>
      </c>
      <c r="AG24" s="188">
        <v>5.1105450209120981E-2</v>
      </c>
      <c r="AH24" s="167"/>
      <c r="AI24" s="176" t="s">
        <v>228</v>
      </c>
      <c r="AJ24" s="177">
        <v>124.68700932449076</v>
      </c>
      <c r="AK24" s="177">
        <v>249.0325478729373</v>
      </c>
      <c r="AL24" s="177">
        <v>497.21418106855043</v>
      </c>
      <c r="AM24" s="177">
        <v>745.80953472909209</v>
      </c>
      <c r="AN24" s="178">
        <v>994.67642196960389</v>
      </c>
      <c r="AP24" s="188">
        <v>8.3046356589821596E-2</v>
      </c>
      <c r="AQ24" s="167"/>
      <c r="AR24" s="176" t="s">
        <v>228</v>
      </c>
      <c r="AS24" s="177">
        <v>133.6594630008062</v>
      </c>
      <c r="AT24" s="177">
        <v>266.95288305292183</v>
      </c>
      <c r="AU24" s="177">
        <v>532.99361976881289</v>
      </c>
      <c r="AV24" s="177">
        <v>799.47784819626543</v>
      </c>
      <c r="AW24" s="178">
        <v>1066.2531497088944</v>
      </c>
      <c r="AY24" s="180">
        <v>0.16098216815873109</v>
      </c>
      <c r="AZ24" s="167"/>
      <c r="BA24" s="176" t="s">
        <v>228</v>
      </c>
      <c r="BB24" s="177">
        <v>146.0149729813061</v>
      </c>
      <c r="BC24" s="177">
        <v>291.63006592372022</v>
      </c>
      <c r="BD24" s="177">
        <v>582.26366650360069</v>
      </c>
      <c r="BE24" s="177">
        <v>873.38175526581563</v>
      </c>
      <c r="BF24" s="178">
        <v>1164.8178239728352</v>
      </c>
      <c r="BH24" s="180">
        <v>0.26830361359788513</v>
      </c>
      <c r="BI24" s="167"/>
      <c r="BJ24" s="167"/>
      <c r="BK24" s="167"/>
      <c r="BL24" s="167"/>
      <c r="BM24" s="167"/>
      <c r="BN24" s="167"/>
      <c r="BO24" s="167"/>
      <c r="BP24" s="167"/>
      <c r="BQ24" s="167"/>
      <c r="BR24" s="167"/>
      <c r="BS24" s="167"/>
      <c r="BT24" s="167"/>
      <c r="BU24" s="167"/>
      <c r="BV24" s="167"/>
      <c r="BW24" s="167"/>
      <c r="BX24" s="167"/>
      <c r="BY24" s="167"/>
      <c r="BZ24" s="167"/>
      <c r="CA24" s="167"/>
      <c r="CB24" s="167"/>
      <c r="CC24" s="167"/>
      <c r="CD24" s="167"/>
      <c r="CE24" s="167"/>
      <c r="CF24" s="167"/>
      <c r="CG24" s="167"/>
      <c r="CH24" s="167"/>
      <c r="CI24" s="167"/>
      <c r="CJ24" s="167"/>
      <c r="CK24" s="167"/>
      <c r="CL24" s="167"/>
      <c r="CM24" s="167"/>
      <c r="CN24" s="167"/>
      <c r="CO24" s="167"/>
      <c r="CP24" s="167"/>
      <c r="CQ24" s="167"/>
      <c r="CR24" s="167"/>
      <c r="CS24" s="167"/>
      <c r="CT24" s="167"/>
      <c r="CU24" s="167"/>
      <c r="CV24" s="167"/>
      <c r="CW24" s="167"/>
      <c r="CX24" s="167"/>
      <c r="CY24" s="167"/>
      <c r="CZ24" s="167"/>
      <c r="DA24" s="167"/>
      <c r="DB24" s="167"/>
      <c r="DC24" s="167"/>
      <c r="DD24" s="167"/>
      <c r="DE24" s="167"/>
      <c r="DF24" s="167"/>
      <c r="DG24" s="167"/>
      <c r="DH24" s="167"/>
      <c r="DI24" s="167"/>
      <c r="DJ24" s="167"/>
      <c r="DK24" s="167"/>
      <c r="DL24" s="167"/>
      <c r="DM24" s="167"/>
      <c r="DN24" s="167"/>
      <c r="DO24" s="167"/>
      <c r="DP24" s="167"/>
      <c r="DQ24" s="167"/>
      <c r="DR24" s="167"/>
      <c r="DS24" s="167"/>
      <c r="DT24" s="167"/>
      <c r="DU24" s="167"/>
      <c r="DV24" s="167"/>
      <c r="DW24" s="167"/>
      <c r="DX24" s="167"/>
      <c r="DY24" s="167"/>
      <c r="DZ24" s="167"/>
      <c r="EA24" s="167"/>
    </row>
    <row r="25" spans="1:131" ht="14.7" customHeight="1" x14ac:dyDescent="0.3">
      <c r="A25" s="176" t="s">
        <v>229</v>
      </c>
      <c r="B25" s="177">
        <v>160.0741324958197</v>
      </c>
      <c r="C25" s="177">
        <v>319.65995235347634</v>
      </c>
      <c r="D25" s="177">
        <v>638.58371462606294</v>
      </c>
      <c r="E25" s="177">
        <v>957.71236701649445</v>
      </c>
      <c r="F25" s="178">
        <v>1276.9419555053712</v>
      </c>
      <c r="G25" s="179"/>
      <c r="H25" s="176" t="s">
        <v>229</v>
      </c>
      <c r="I25" s="177">
        <v>182.58390366138391</v>
      </c>
      <c r="J25" s="177">
        <v>364.61082771405228</v>
      </c>
      <c r="K25" s="177">
        <v>728.38194162357001</v>
      </c>
      <c r="L25" s="177">
        <v>1092.3867574870167</v>
      </c>
      <c r="M25" s="178">
        <v>1456.5067031755459</v>
      </c>
      <c r="O25" s="187">
        <v>0.14062091616302871</v>
      </c>
      <c r="P25" s="167"/>
      <c r="Q25" s="176" t="s">
        <v>229</v>
      </c>
      <c r="R25" s="177">
        <v>198.22628701372517</v>
      </c>
      <c r="S25" s="177">
        <v>395.84787669343564</v>
      </c>
      <c r="T25" s="177">
        <v>790.78409936760033</v>
      </c>
      <c r="U25" s="177">
        <v>1185.9740457800915</v>
      </c>
      <c r="V25" s="178">
        <v>1581.28898545482</v>
      </c>
      <c r="X25" s="181">
        <v>0.23834053586954021</v>
      </c>
      <c r="Y25" s="167"/>
      <c r="Z25" s="176" t="s">
        <v>229</v>
      </c>
      <c r="AA25" s="177">
        <v>160.0741324958197</v>
      </c>
      <c r="AB25" s="177">
        <v>319.65995235347634</v>
      </c>
      <c r="AC25" s="177">
        <v>638.58371462606294</v>
      </c>
      <c r="AD25" s="177">
        <v>957.71236701649445</v>
      </c>
      <c r="AE25" s="178">
        <v>1276.9419555053712</v>
      </c>
      <c r="AG25" s="188">
        <v>0</v>
      </c>
      <c r="AH25" s="167"/>
      <c r="AI25" s="176" t="s">
        <v>229</v>
      </c>
      <c r="AJ25" s="177">
        <v>160.0741324958197</v>
      </c>
      <c r="AK25" s="177">
        <v>319.65995235347634</v>
      </c>
      <c r="AL25" s="177">
        <v>638.58371462606294</v>
      </c>
      <c r="AM25" s="177">
        <v>957.71236701649445</v>
      </c>
      <c r="AN25" s="178">
        <v>1276.9419555053712</v>
      </c>
      <c r="AP25" s="188">
        <v>0</v>
      </c>
      <c r="AQ25" s="167"/>
      <c r="AR25" s="176" t="s">
        <v>229</v>
      </c>
      <c r="AS25" s="177">
        <v>182.58390366138391</v>
      </c>
      <c r="AT25" s="177">
        <v>364.61082771405228</v>
      </c>
      <c r="AU25" s="177">
        <v>728.38194162357001</v>
      </c>
      <c r="AV25" s="177">
        <v>1092.3867574870167</v>
      </c>
      <c r="AW25" s="178">
        <v>1456.5067031755459</v>
      </c>
      <c r="AY25" s="180">
        <v>0.14062091616302871</v>
      </c>
      <c r="AZ25" s="167"/>
      <c r="BA25" s="176" t="s">
        <v>229</v>
      </c>
      <c r="BB25" s="177">
        <v>198.22628701372517</v>
      </c>
      <c r="BC25" s="177">
        <v>395.84787669343564</v>
      </c>
      <c r="BD25" s="177">
        <v>790.78409936760033</v>
      </c>
      <c r="BE25" s="177">
        <v>1185.9740457800915</v>
      </c>
      <c r="BF25" s="178">
        <v>1581.28898545482</v>
      </c>
      <c r="BH25" s="180">
        <v>0.23834053586954021</v>
      </c>
      <c r="BI25" s="167"/>
      <c r="BJ25" s="167"/>
      <c r="BK25" s="167"/>
      <c r="BL25" s="167"/>
      <c r="BM25" s="167"/>
      <c r="BN25" s="167"/>
      <c r="BO25" s="167"/>
      <c r="BP25" s="167"/>
      <c r="BQ25" s="167"/>
      <c r="BR25" s="167"/>
      <c r="BS25" s="167"/>
      <c r="BT25" s="167"/>
      <c r="BU25" s="167"/>
      <c r="BV25" s="167"/>
      <c r="BW25" s="167"/>
      <c r="BX25" s="167"/>
      <c r="BY25" s="167"/>
      <c r="BZ25" s="167"/>
      <c r="CA25" s="167"/>
      <c r="CB25" s="167"/>
      <c r="CC25" s="167"/>
      <c r="CD25" s="167"/>
      <c r="CE25" s="167"/>
      <c r="CF25" s="167"/>
      <c r="CG25" s="167"/>
      <c r="CH25" s="167"/>
      <c r="CI25" s="167"/>
      <c r="CJ25" s="167"/>
      <c r="CK25" s="167"/>
      <c r="CL25" s="167"/>
      <c r="CM25" s="167"/>
      <c r="CN25" s="167"/>
      <c r="CO25" s="167"/>
      <c r="CP25" s="167"/>
      <c r="CQ25" s="167"/>
      <c r="CR25" s="167"/>
      <c r="CS25" s="167"/>
      <c r="CT25" s="167"/>
      <c r="CU25" s="167"/>
      <c r="CV25" s="167"/>
      <c r="CW25" s="167"/>
      <c r="CX25" s="167"/>
      <c r="CY25" s="167"/>
      <c r="CZ25" s="167"/>
      <c r="DA25" s="167"/>
      <c r="DB25" s="167"/>
      <c r="DC25" s="167"/>
      <c r="DD25" s="167"/>
      <c r="DE25" s="167"/>
      <c r="DF25" s="167"/>
      <c r="DG25" s="167"/>
      <c r="DH25" s="167"/>
      <c r="DI25" s="167"/>
      <c r="DJ25" s="167"/>
      <c r="DK25" s="167"/>
      <c r="DL25" s="167"/>
      <c r="DM25" s="167"/>
      <c r="DN25" s="167"/>
      <c r="DO25" s="167"/>
      <c r="DP25" s="167"/>
      <c r="DQ25" s="167"/>
      <c r="DR25" s="167"/>
      <c r="DS25" s="167"/>
      <c r="DT25" s="167"/>
      <c r="DU25" s="167"/>
      <c r="DV25" s="167"/>
      <c r="DW25" s="167"/>
      <c r="DX25" s="167"/>
      <c r="DY25" s="167"/>
      <c r="DZ25" s="167"/>
      <c r="EA25" s="167"/>
    </row>
    <row r="26" spans="1:131" ht="14.7" customHeight="1" x14ac:dyDescent="0.3">
      <c r="A26" s="176" t="s">
        <v>230</v>
      </c>
      <c r="B26" s="177">
        <v>218.64103302019669</v>
      </c>
      <c r="C26" s="177">
        <v>436.34548533140776</v>
      </c>
      <c r="D26" s="177">
        <v>872.41946108761658</v>
      </c>
      <c r="E26" s="177">
        <v>1308.3170952608818</v>
      </c>
      <c r="F26" s="178">
        <v>1743.4111138899807</v>
      </c>
      <c r="G26" s="179"/>
      <c r="H26" s="176" t="s">
        <v>230</v>
      </c>
      <c r="I26" s="177">
        <v>260.14604194637479</v>
      </c>
      <c r="J26" s="177">
        <v>519.17771043301832</v>
      </c>
      <c r="K26" s="177">
        <v>1038.0323701542702</v>
      </c>
      <c r="L26" s="177">
        <v>1556.6772130620921</v>
      </c>
      <c r="M26" s="178">
        <v>2074.3658886843241</v>
      </c>
      <c r="O26" s="187">
        <v>0.18983174545440493</v>
      </c>
      <c r="P26" s="167"/>
      <c r="Q26" s="176" t="s">
        <v>230</v>
      </c>
      <c r="R26" s="177">
        <v>285.40996042317886</v>
      </c>
      <c r="S26" s="177">
        <v>569.59732571225959</v>
      </c>
      <c r="T26" s="177">
        <v>1138.8402278470157</v>
      </c>
      <c r="U26" s="177">
        <v>1707.8529369410894</v>
      </c>
      <c r="V26" s="178">
        <v>2275.8166211678372</v>
      </c>
      <c r="X26" s="181">
        <v>0.30538150355708615</v>
      </c>
      <c r="Y26" s="167"/>
      <c r="Z26" s="176" t="s">
        <v>230</v>
      </c>
      <c r="AA26" s="177">
        <v>218.64103302019669</v>
      </c>
      <c r="AB26" s="177">
        <v>436.34548533140776</v>
      </c>
      <c r="AC26" s="177">
        <v>872.41946108761658</v>
      </c>
      <c r="AD26" s="177">
        <v>1308.3170952608818</v>
      </c>
      <c r="AE26" s="178">
        <v>1743.4111138899807</v>
      </c>
      <c r="AG26" s="188">
        <v>0</v>
      </c>
      <c r="AH26" s="167"/>
      <c r="AI26" s="176" t="s">
        <v>230</v>
      </c>
      <c r="AJ26" s="177">
        <v>218.64103302019669</v>
      </c>
      <c r="AK26" s="177">
        <v>436.34548533140776</v>
      </c>
      <c r="AL26" s="177">
        <v>872.41946108761658</v>
      </c>
      <c r="AM26" s="177">
        <v>1308.3170952608818</v>
      </c>
      <c r="AN26" s="178">
        <v>1743.4111138899807</v>
      </c>
      <c r="AP26" s="188">
        <v>0</v>
      </c>
      <c r="AQ26" s="167"/>
      <c r="AR26" s="176" t="s">
        <v>230</v>
      </c>
      <c r="AS26" s="177">
        <v>260.14604194637479</v>
      </c>
      <c r="AT26" s="177">
        <v>519.17771043301832</v>
      </c>
      <c r="AU26" s="177">
        <v>1038.0323701542702</v>
      </c>
      <c r="AV26" s="177">
        <v>1556.6772130620921</v>
      </c>
      <c r="AW26" s="178">
        <v>2074.3658886843241</v>
      </c>
      <c r="AY26" s="180">
        <v>0.18983174545440493</v>
      </c>
      <c r="AZ26" s="167"/>
      <c r="BA26" s="176" t="s">
        <v>230</v>
      </c>
      <c r="BB26" s="177">
        <v>285.40996042317886</v>
      </c>
      <c r="BC26" s="177">
        <v>569.59732571225959</v>
      </c>
      <c r="BD26" s="177">
        <v>1138.8402278470157</v>
      </c>
      <c r="BE26" s="177">
        <v>1707.8529369410894</v>
      </c>
      <c r="BF26" s="178">
        <v>2275.8166211678372</v>
      </c>
      <c r="BH26" s="180">
        <v>0.30538150355708615</v>
      </c>
      <c r="BI26" s="167"/>
      <c r="BJ26" s="167"/>
      <c r="BK26" s="167"/>
      <c r="BL26" s="167"/>
      <c r="BM26" s="167"/>
      <c r="BN26" s="167"/>
      <c r="BO26" s="167"/>
      <c r="BP26" s="167"/>
      <c r="BQ26" s="167"/>
      <c r="BR26" s="167"/>
      <c r="BS26" s="167"/>
      <c r="BT26" s="167"/>
      <c r="BU26" s="167"/>
      <c r="BV26" s="167"/>
      <c r="BW26" s="167"/>
      <c r="BX26" s="167"/>
      <c r="BY26" s="167"/>
      <c r="BZ26" s="167"/>
      <c r="CA26" s="167"/>
      <c r="CB26" s="167"/>
      <c r="CC26" s="167"/>
      <c r="CD26" s="167"/>
      <c r="CE26" s="167"/>
      <c r="CF26" s="167"/>
      <c r="CG26" s="167"/>
      <c r="CH26" s="167"/>
      <c r="CI26" s="167"/>
      <c r="CJ26" s="167"/>
      <c r="CK26" s="167"/>
      <c r="CL26" s="167"/>
      <c r="CM26" s="167"/>
      <c r="CN26" s="167"/>
      <c r="CO26" s="167"/>
      <c r="CP26" s="167"/>
      <c r="CQ26" s="167"/>
      <c r="CR26" s="167"/>
      <c r="CS26" s="167"/>
      <c r="CT26" s="167"/>
      <c r="CU26" s="167"/>
      <c r="CV26" s="167"/>
      <c r="CW26" s="167"/>
      <c r="CX26" s="167"/>
      <c r="CY26" s="167"/>
      <c r="CZ26" s="167"/>
      <c r="DA26" s="167"/>
      <c r="DB26" s="167"/>
      <c r="DC26" s="167"/>
      <c r="DD26" s="167"/>
      <c r="DE26" s="167"/>
      <c r="DF26" s="167"/>
      <c r="DG26" s="167"/>
      <c r="DH26" s="167"/>
      <c r="DI26" s="167"/>
      <c r="DJ26" s="167"/>
      <c r="DK26" s="167"/>
      <c r="DL26" s="167"/>
      <c r="DM26" s="167"/>
      <c r="DN26" s="167"/>
      <c r="DO26" s="167"/>
      <c r="DP26" s="167"/>
      <c r="DQ26" s="167"/>
      <c r="DR26" s="167"/>
      <c r="DS26" s="167"/>
      <c r="DT26" s="167"/>
      <c r="DU26" s="167"/>
      <c r="DV26" s="167"/>
      <c r="DW26" s="167"/>
      <c r="DX26" s="167"/>
      <c r="DY26" s="167"/>
      <c r="DZ26" s="167"/>
      <c r="EA26" s="167"/>
    </row>
    <row r="27" spans="1:131" ht="14.7" customHeight="1" x14ac:dyDescent="0.3">
      <c r="A27" s="176" t="s">
        <v>231</v>
      </c>
      <c r="B27" s="177">
        <v>290.87960406880234</v>
      </c>
      <c r="C27" s="177">
        <v>581.31348169548903</v>
      </c>
      <c r="D27" s="177">
        <v>1160.9542516952438</v>
      </c>
      <c r="E27" s="177">
        <v>1741.5526011035302</v>
      </c>
      <c r="F27" s="178">
        <v>2322.6562276182553</v>
      </c>
      <c r="G27" s="179"/>
      <c r="H27" s="176" t="s">
        <v>231</v>
      </c>
      <c r="I27" s="177">
        <v>358.38503410855702</v>
      </c>
      <c r="J27" s="177">
        <v>716.22090050674092</v>
      </c>
      <c r="K27" s="177">
        <v>1430.3808973621287</v>
      </c>
      <c r="L27" s="177">
        <v>2145.7207023724641</v>
      </c>
      <c r="M27" s="178">
        <v>2861.6830458849577</v>
      </c>
      <c r="O27" s="187">
        <v>0.23207343896063432</v>
      </c>
      <c r="P27" s="167"/>
      <c r="Q27" s="176" t="s">
        <v>231</v>
      </c>
      <c r="R27" s="177">
        <v>395.78669129274539</v>
      </c>
      <c r="S27" s="177">
        <v>790.96690282108318</v>
      </c>
      <c r="T27" s="177">
        <v>1579.6578226640515</v>
      </c>
      <c r="U27" s="177">
        <v>2369.6516773998464</v>
      </c>
      <c r="V27" s="178">
        <v>3160.333039789482</v>
      </c>
      <c r="X27" s="181">
        <v>0.36065466865503981</v>
      </c>
      <c r="Y27" s="167"/>
      <c r="Z27" s="176" t="s">
        <v>231</v>
      </c>
      <c r="AA27" s="177">
        <v>290.87960406880234</v>
      </c>
      <c r="AB27" s="177">
        <v>581.31348169548903</v>
      </c>
      <c r="AC27" s="177">
        <v>1160.9542516952438</v>
      </c>
      <c r="AD27" s="177">
        <v>1741.5526011035302</v>
      </c>
      <c r="AE27" s="178">
        <v>2322.6562276182553</v>
      </c>
      <c r="AG27" s="188">
        <v>0</v>
      </c>
      <c r="AH27" s="167"/>
      <c r="AI27" s="176" t="s">
        <v>231</v>
      </c>
      <c r="AJ27" s="177">
        <v>290.87960406880234</v>
      </c>
      <c r="AK27" s="177">
        <v>581.31348169548903</v>
      </c>
      <c r="AL27" s="177">
        <v>1160.9542516952438</v>
      </c>
      <c r="AM27" s="177">
        <v>1741.5526011035302</v>
      </c>
      <c r="AN27" s="178">
        <v>2322.6562276182553</v>
      </c>
      <c r="AP27" s="188">
        <v>0</v>
      </c>
      <c r="AQ27" s="167"/>
      <c r="AR27" s="176" t="s">
        <v>231</v>
      </c>
      <c r="AS27" s="177">
        <v>358.38503410855702</v>
      </c>
      <c r="AT27" s="177">
        <v>716.22090050674092</v>
      </c>
      <c r="AU27" s="177">
        <v>1430.3808973621287</v>
      </c>
      <c r="AV27" s="177">
        <v>2145.7207023724641</v>
      </c>
      <c r="AW27" s="178">
        <v>2861.6830458849577</v>
      </c>
      <c r="AY27" s="180">
        <v>0.23207343896063432</v>
      </c>
      <c r="AZ27" s="167"/>
      <c r="BA27" s="176" t="s">
        <v>231</v>
      </c>
      <c r="BB27" s="177">
        <v>395.78669129274539</v>
      </c>
      <c r="BC27" s="177">
        <v>790.96690282108318</v>
      </c>
      <c r="BD27" s="177">
        <v>1579.6578226640515</v>
      </c>
      <c r="BE27" s="177">
        <v>2369.6516773998464</v>
      </c>
      <c r="BF27" s="178">
        <v>3160.333039789482</v>
      </c>
      <c r="BH27" s="180">
        <v>0.36065466865503981</v>
      </c>
      <c r="BI27" s="167"/>
      <c r="BJ27" s="167"/>
      <c r="BK27" s="167"/>
      <c r="BL27" s="167"/>
      <c r="BM27" s="167"/>
      <c r="BN27" s="167"/>
      <c r="BO27" s="167"/>
      <c r="BP27" s="167"/>
      <c r="BQ27" s="167"/>
      <c r="BR27" s="167"/>
      <c r="BS27" s="167"/>
      <c r="BT27" s="167"/>
      <c r="BU27" s="167"/>
      <c r="BV27" s="167"/>
      <c r="BW27" s="167"/>
      <c r="BX27" s="167"/>
      <c r="BY27" s="167"/>
      <c r="BZ27" s="167"/>
      <c r="CA27" s="167"/>
      <c r="CB27" s="167"/>
      <c r="CC27" s="167"/>
      <c r="CD27" s="167"/>
      <c r="CE27" s="167"/>
      <c r="CF27" s="167"/>
      <c r="CG27" s="167"/>
      <c r="CH27" s="167"/>
      <c r="CI27" s="167"/>
      <c r="CJ27" s="167"/>
      <c r="CK27" s="167"/>
      <c r="CL27" s="167"/>
      <c r="CM27" s="167"/>
      <c r="CN27" s="167"/>
      <c r="CO27" s="167"/>
      <c r="CP27" s="167"/>
      <c r="CQ27" s="167"/>
      <c r="CR27" s="167"/>
      <c r="CS27" s="167"/>
      <c r="CT27" s="167"/>
      <c r="CU27" s="167"/>
      <c r="CV27" s="167"/>
      <c r="CW27" s="167"/>
      <c r="CX27" s="167"/>
      <c r="CY27" s="167"/>
      <c r="CZ27" s="167"/>
      <c r="DA27" s="167"/>
      <c r="DB27" s="167"/>
      <c r="DC27" s="167"/>
      <c r="DD27" s="167"/>
      <c r="DE27" s="167"/>
      <c r="DF27" s="167"/>
      <c r="DG27" s="167"/>
      <c r="DH27" s="167"/>
      <c r="DI27" s="167"/>
      <c r="DJ27" s="167"/>
      <c r="DK27" s="167"/>
      <c r="DL27" s="167"/>
      <c r="DM27" s="167"/>
      <c r="DN27" s="167"/>
      <c r="DO27" s="167"/>
      <c r="DP27" s="167"/>
      <c r="DQ27" s="167"/>
      <c r="DR27" s="167"/>
      <c r="DS27" s="167"/>
      <c r="DT27" s="167"/>
      <c r="DU27" s="167"/>
      <c r="DV27" s="167"/>
      <c r="DW27" s="167"/>
      <c r="DX27" s="167"/>
      <c r="DY27" s="167"/>
      <c r="DZ27" s="167"/>
      <c r="EA27" s="167"/>
    </row>
    <row r="28" spans="1:131" ht="15" customHeight="1" thickBot="1" x14ac:dyDescent="0.35">
      <c r="A28" s="182" t="s">
        <v>232</v>
      </c>
      <c r="B28" s="183">
        <v>455.24153857843697</v>
      </c>
      <c r="C28" s="183">
        <v>909.83768039815459</v>
      </c>
      <c r="D28" s="183">
        <v>1817.3938901298018</v>
      </c>
      <c r="E28" s="183">
        <v>2726.2108020996466</v>
      </c>
      <c r="F28" s="184">
        <v>3635.6377667109473</v>
      </c>
      <c r="G28" s="179"/>
      <c r="H28" s="182" t="s">
        <v>232</v>
      </c>
      <c r="I28" s="183">
        <v>595.13118552587241</v>
      </c>
      <c r="J28" s="183">
        <v>1189.4186524856609</v>
      </c>
      <c r="K28" s="183">
        <v>2375.8547688285503</v>
      </c>
      <c r="L28" s="183">
        <v>3563.9389843759996</v>
      </c>
      <c r="M28" s="184">
        <v>4752.8207135969078</v>
      </c>
      <c r="O28" s="189">
        <v>0.30728664915829684</v>
      </c>
      <c r="P28" s="167"/>
      <c r="Q28" s="182" t="s">
        <v>232</v>
      </c>
      <c r="R28" s="183">
        <v>656.55708819189374</v>
      </c>
      <c r="S28" s="183">
        <v>1312.1833742035724</v>
      </c>
      <c r="T28" s="183">
        <v>2621.0763726161422</v>
      </c>
      <c r="U28" s="183">
        <v>3931.7875772345269</v>
      </c>
      <c r="V28" s="184">
        <v>5243.3786101461928</v>
      </c>
      <c r="X28" s="190">
        <v>0.44221700471819003</v>
      </c>
      <c r="Y28" s="167"/>
      <c r="Z28" s="182" t="s">
        <v>232</v>
      </c>
      <c r="AA28" s="183">
        <v>455.24153857843697</v>
      </c>
      <c r="AB28" s="183">
        <v>909.83768039815459</v>
      </c>
      <c r="AC28" s="183">
        <v>1817.3938901298018</v>
      </c>
      <c r="AD28" s="183">
        <v>2726.2108020996466</v>
      </c>
      <c r="AE28" s="184">
        <v>3635.6377667109473</v>
      </c>
      <c r="AG28" s="191">
        <v>0</v>
      </c>
      <c r="AH28" s="167"/>
      <c r="AI28" s="182" t="s">
        <v>232</v>
      </c>
      <c r="AJ28" s="183">
        <v>455.24153857843697</v>
      </c>
      <c r="AK28" s="183">
        <v>909.83768039815459</v>
      </c>
      <c r="AL28" s="183">
        <v>1817.3938901298018</v>
      </c>
      <c r="AM28" s="183">
        <v>2726.2108020996466</v>
      </c>
      <c r="AN28" s="184">
        <v>3635.6377667109473</v>
      </c>
      <c r="AP28" s="191">
        <v>0</v>
      </c>
      <c r="AQ28" s="167"/>
      <c r="AR28" s="182" t="s">
        <v>232</v>
      </c>
      <c r="AS28" s="183">
        <v>595.13118552587241</v>
      </c>
      <c r="AT28" s="183">
        <v>1189.4186524856609</v>
      </c>
      <c r="AU28" s="183">
        <v>2375.8547688285503</v>
      </c>
      <c r="AV28" s="183">
        <v>3563.9389843759996</v>
      </c>
      <c r="AW28" s="184">
        <v>4752.8207135969078</v>
      </c>
      <c r="AY28" s="180">
        <v>0.30728664915829684</v>
      </c>
      <c r="AZ28" s="167"/>
      <c r="BA28" s="182" t="s">
        <v>232</v>
      </c>
      <c r="BB28" s="183">
        <v>656.55708819189374</v>
      </c>
      <c r="BC28" s="183">
        <v>1312.1833742035724</v>
      </c>
      <c r="BD28" s="183">
        <v>2621.0763726161422</v>
      </c>
      <c r="BE28" s="183">
        <v>3931.7875772345269</v>
      </c>
      <c r="BF28" s="184">
        <v>5243.3786101461928</v>
      </c>
      <c r="BH28" s="180">
        <v>0.44221700471819003</v>
      </c>
      <c r="BI28" s="167"/>
      <c r="BJ28" s="167"/>
      <c r="BK28" s="167"/>
      <c r="BL28" s="167"/>
      <c r="BM28" s="167"/>
      <c r="BN28" s="167"/>
      <c r="BO28" s="167"/>
      <c r="BP28" s="167"/>
      <c r="BQ28" s="167"/>
      <c r="BR28" s="167"/>
      <c r="BS28" s="167"/>
      <c r="BT28" s="167"/>
      <c r="BU28" s="167"/>
      <c r="BV28" s="167"/>
      <c r="BW28" s="167"/>
      <c r="BX28" s="167"/>
      <c r="BY28" s="167"/>
      <c r="BZ28" s="167"/>
      <c r="CA28" s="167"/>
      <c r="CB28" s="167"/>
      <c r="CC28" s="167"/>
      <c r="CD28" s="167"/>
      <c r="CE28" s="167"/>
      <c r="CF28" s="167"/>
      <c r="CG28" s="167"/>
      <c r="CH28" s="167"/>
      <c r="CI28" s="167"/>
      <c r="CJ28" s="167"/>
      <c r="CK28" s="167"/>
      <c r="CL28" s="167"/>
      <c r="CM28" s="167"/>
      <c r="CN28" s="167"/>
      <c r="CO28" s="167"/>
      <c r="CP28" s="167"/>
      <c r="CQ28" s="167"/>
      <c r="CR28" s="167"/>
      <c r="CS28" s="167"/>
      <c r="CT28" s="167"/>
      <c r="CU28" s="167"/>
      <c r="CV28" s="167"/>
      <c r="CW28" s="167"/>
      <c r="CX28" s="167"/>
      <c r="CY28" s="167"/>
      <c r="CZ28" s="167"/>
      <c r="DA28" s="167"/>
      <c r="DB28" s="167"/>
      <c r="DC28" s="167"/>
      <c r="DD28" s="167"/>
      <c r="DE28" s="167"/>
      <c r="DF28" s="167"/>
      <c r="DG28" s="167"/>
      <c r="DH28" s="167"/>
      <c r="DI28" s="167"/>
      <c r="DJ28" s="167"/>
      <c r="DK28" s="167"/>
      <c r="DL28" s="167"/>
      <c r="DM28" s="167"/>
      <c r="DN28" s="167"/>
      <c r="DO28" s="167"/>
      <c r="DP28" s="167"/>
      <c r="DQ28" s="167"/>
      <c r="DR28" s="167"/>
      <c r="DS28" s="167"/>
      <c r="DT28" s="167"/>
      <c r="DU28" s="167"/>
      <c r="DV28" s="167"/>
      <c r="DW28" s="167"/>
      <c r="DX28" s="167"/>
      <c r="DY28" s="167"/>
      <c r="DZ28" s="167"/>
      <c r="EA28" s="167"/>
    </row>
    <row r="29" spans="1:131" ht="14.7" customHeight="1" x14ac:dyDescent="0.3">
      <c r="P29" s="167"/>
      <c r="Q29" s="167"/>
      <c r="R29" s="167"/>
      <c r="S29" s="167"/>
      <c r="T29" s="167"/>
      <c r="U29" s="167"/>
      <c r="V29" s="167"/>
      <c r="W29" s="167"/>
      <c r="X29" s="167"/>
      <c r="Y29" s="167"/>
      <c r="Z29" s="167"/>
      <c r="AA29" s="167"/>
      <c r="AB29" s="167"/>
      <c r="AC29" s="167"/>
      <c r="AD29" s="167"/>
      <c r="AE29" s="167"/>
      <c r="AF29" s="167"/>
      <c r="AH29" s="167"/>
      <c r="AI29" s="167"/>
      <c r="AJ29" s="167"/>
      <c r="AK29" s="167"/>
      <c r="AL29" s="167"/>
      <c r="AM29" s="167"/>
      <c r="AN29" s="167"/>
      <c r="AO29" s="167"/>
      <c r="AP29" s="167"/>
      <c r="AQ29" s="167"/>
      <c r="AR29" s="167"/>
      <c r="AS29" s="167"/>
      <c r="AT29" s="167"/>
      <c r="AU29" s="167"/>
      <c r="AV29" s="167"/>
      <c r="AW29" s="167"/>
      <c r="AX29" s="167"/>
      <c r="AY29" s="167"/>
      <c r="AZ29" s="167"/>
      <c r="BA29" s="167"/>
      <c r="BB29" s="167"/>
      <c r="BC29" s="167"/>
      <c r="BD29" s="167"/>
      <c r="BE29" s="167"/>
      <c r="BF29" s="167"/>
      <c r="BG29" s="167"/>
      <c r="BH29" s="167"/>
      <c r="BI29" s="167"/>
      <c r="BJ29" s="167"/>
      <c r="BK29" s="167"/>
      <c r="BL29" s="167"/>
      <c r="BM29" s="167"/>
      <c r="BN29" s="167"/>
      <c r="BO29" s="167"/>
      <c r="BP29" s="167"/>
      <c r="BQ29" s="167"/>
      <c r="BR29" s="167"/>
      <c r="BS29" s="167"/>
      <c r="BT29" s="167"/>
      <c r="BU29" s="167"/>
      <c r="BV29" s="167"/>
      <c r="BW29" s="167"/>
      <c r="BX29" s="167"/>
      <c r="BY29" s="167"/>
      <c r="BZ29" s="167"/>
      <c r="CA29" s="167"/>
      <c r="CB29" s="167"/>
      <c r="CC29" s="167"/>
      <c r="CD29" s="167"/>
      <c r="CE29" s="167"/>
      <c r="CF29" s="167"/>
      <c r="CG29" s="167"/>
      <c r="CH29" s="167"/>
      <c r="CI29" s="167"/>
      <c r="CJ29" s="167"/>
      <c r="CK29" s="167"/>
      <c r="CL29" s="167"/>
      <c r="CM29" s="167"/>
      <c r="CN29" s="167"/>
      <c r="CO29" s="167"/>
      <c r="CP29" s="167"/>
      <c r="CQ29" s="167"/>
      <c r="CR29" s="167"/>
      <c r="CS29" s="167"/>
      <c r="CT29" s="167"/>
      <c r="CU29" s="167"/>
      <c r="CV29" s="167"/>
      <c r="CW29" s="167"/>
      <c r="CX29" s="167"/>
      <c r="CY29" s="167"/>
      <c r="CZ29" s="167"/>
      <c r="DA29" s="167"/>
      <c r="DB29" s="167"/>
      <c r="DC29" s="167"/>
      <c r="DD29" s="167"/>
      <c r="DE29" s="167"/>
      <c r="DF29" s="167"/>
      <c r="DG29" s="167"/>
      <c r="DH29" s="167"/>
      <c r="DI29" s="167"/>
      <c r="DJ29" s="167"/>
      <c r="DK29" s="167"/>
      <c r="DL29" s="167"/>
      <c r="DM29" s="167"/>
      <c r="DN29" s="167"/>
      <c r="DO29" s="167"/>
      <c r="DP29" s="167"/>
      <c r="DQ29" s="167"/>
      <c r="DR29" s="167"/>
      <c r="DS29" s="167"/>
      <c r="DT29" s="167"/>
      <c r="DU29" s="167"/>
      <c r="DV29" s="167"/>
      <c r="DW29" s="167"/>
      <c r="DX29" s="167"/>
      <c r="DY29" s="167"/>
      <c r="DZ29" s="167"/>
      <c r="EA29" s="167"/>
    </row>
    <row r="30" spans="1:131" ht="14.7" hidden="1" customHeight="1" x14ac:dyDescent="0.3">
      <c r="O30" s="167"/>
      <c r="P30" s="167"/>
      <c r="Q30" s="167"/>
      <c r="R30" s="167"/>
      <c r="S30" s="167"/>
      <c r="T30" s="167"/>
      <c r="U30" s="167"/>
      <c r="V30" s="167"/>
      <c r="W30" s="167"/>
      <c r="X30" s="167"/>
      <c r="Y30" s="167"/>
      <c r="Z30" s="167"/>
      <c r="AA30" s="167"/>
      <c r="AB30" s="167"/>
      <c r="AC30" s="167"/>
      <c r="AD30" s="167"/>
      <c r="AE30" s="167"/>
      <c r="AF30" s="167"/>
      <c r="AG30" s="167"/>
      <c r="AH30" s="167"/>
      <c r="AI30" s="167"/>
      <c r="AJ30" s="167"/>
      <c r="AK30" s="167"/>
      <c r="AL30" s="167"/>
      <c r="AM30" s="167"/>
      <c r="AN30" s="167"/>
      <c r="AO30" s="167"/>
      <c r="AP30" s="167"/>
      <c r="AQ30" s="167"/>
      <c r="AR30" s="167"/>
      <c r="AS30" s="167"/>
      <c r="AT30" s="167"/>
      <c r="AU30" s="167"/>
      <c r="AV30" s="167"/>
      <c r="AW30" s="167"/>
      <c r="AX30" s="167"/>
      <c r="AY30" s="167"/>
      <c r="AZ30" s="167"/>
      <c r="BA30" s="167"/>
      <c r="BB30" s="167"/>
      <c r="BC30" s="167"/>
      <c r="BD30" s="167"/>
      <c r="BE30" s="167"/>
      <c r="BF30" s="167"/>
      <c r="BG30" s="167"/>
      <c r="BH30" s="167"/>
      <c r="BI30" s="167"/>
      <c r="BJ30" s="167"/>
      <c r="BK30" s="167"/>
      <c r="BL30" s="167"/>
      <c r="BM30" s="167"/>
      <c r="BN30" s="167"/>
      <c r="BO30" s="167"/>
      <c r="BP30" s="167"/>
      <c r="BQ30" s="167"/>
      <c r="BR30" s="167"/>
      <c r="BS30" s="167"/>
      <c r="BT30" s="167"/>
      <c r="BU30" s="167"/>
      <c r="BV30" s="167"/>
      <c r="BW30" s="167"/>
      <c r="BX30" s="167"/>
      <c r="BY30" s="167"/>
      <c r="BZ30" s="167"/>
      <c r="CA30" s="167"/>
      <c r="CB30" s="167"/>
      <c r="CC30" s="167"/>
      <c r="CD30" s="167"/>
      <c r="CE30" s="167"/>
      <c r="CF30" s="167"/>
      <c r="CG30" s="167"/>
      <c r="CH30" s="167"/>
      <c r="CI30" s="167"/>
      <c r="CJ30" s="167"/>
      <c r="CK30" s="167"/>
      <c r="CL30" s="167"/>
      <c r="CM30" s="167"/>
      <c r="CN30" s="167"/>
      <c r="CO30" s="167"/>
      <c r="CP30" s="167"/>
      <c r="CQ30" s="167"/>
      <c r="CR30" s="167"/>
      <c r="CS30" s="167"/>
      <c r="CT30" s="167"/>
      <c r="CU30" s="167"/>
      <c r="CV30" s="167"/>
      <c r="CW30" s="167"/>
      <c r="CX30" s="167"/>
      <c r="CY30" s="167"/>
      <c r="CZ30" s="167"/>
      <c r="DA30" s="167"/>
      <c r="DB30" s="167"/>
      <c r="DC30" s="167"/>
      <c r="DD30" s="167"/>
      <c r="DE30" s="167"/>
      <c r="DF30" s="167"/>
      <c r="DG30" s="167"/>
      <c r="DH30" s="167"/>
      <c r="DI30" s="167"/>
      <c r="DJ30" s="167"/>
      <c r="DK30" s="167"/>
      <c r="DL30" s="167"/>
      <c r="DM30" s="167"/>
      <c r="DN30" s="167"/>
      <c r="DO30" s="167"/>
      <c r="DP30" s="167"/>
      <c r="DQ30" s="167"/>
      <c r="DR30" s="167"/>
      <c r="DS30" s="167"/>
      <c r="DT30" s="167"/>
      <c r="DU30" s="167"/>
      <c r="DV30" s="167"/>
      <c r="DW30" s="167"/>
      <c r="DX30" s="167"/>
      <c r="DY30" s="167"/>
      <c r="DZ30" s="167"/>
      <c r="EA30" s="167"/>
    </row>
    <row r="31" spans="1:131" ht="14.7" hidden="1" customHeight="1" x14ac:dyDescent="0.3">
      <c r="B31" s="192"/>
      <c r="O31" s="167"/>
      <c r="P31" s="167"/>
      <c r="Q31" s="167"/>
      <c r="R31" s="167"/>
      <c r="S31" s="167"/>
      <c r="T31" s="167"/>
      <c r="U31" s="167"/>
      <c r="V31" s="167"/>
      <c r="W31" s="167"/>
      <c r="X31" s="167"/>
      <c r="Y31" s="167"/>
      <c r="Z31" s="167"/>
      <c r="AA31" s="167"/>
      <c r="AB31" s="167"/>
      <c r="AC31" s="167"/>
      <c r="AD31" s="167"/>
      <c r="AE31" s="167"/>
      <c r="AF31" s="167"/>
      <c r="AG31" s="167"/>
      <c r="AH31" s="167"/>
      <c r="AI31" s="167"/>
      <c r="AJ31" s="167"/>
      <c r="AK31" s="167"/>
      <c r="AL31" s="167"/>
      <c r="AM31" s="167"/>
      <c r="AN31" s="167"/>
      <c r="AO31" s="167"/>
      <c r="AP31" s="167"/>
      <c r="AQ31" s="167"/>
      <c r="AR31" s="167"/>
      <c r="AS31" s="167"/>
      <c r="AT31" s="167"/>
      <c r="AU31" s="167"/>
      <c r="AV31" s="167"/>
      <c r="AW31" s="167"/>
      <c r="AX31" s="167"/>
      <c r="AY31" s="167"/>
      <c r="AZ31" s="167"/>
      <c r="BA31" s="167"/>
      <c r="BB31" s="167"/>
      <c r="BC31" s="167"/>
      <c r="BD31" s="167"/>
      <c r="BE31" s="167"/>
      <c r="BF31" s="167"/>
      <c r="BG31" s="167"/>
      <c r="BH31" s="167"/>
      <c r="BI31" s="167"/>
      <c r="BJ31" s="167"/>
      <c r="BK31" s="167"/>
      <c r="BL31" s="167"/>
      <c r="BM31" s="167"/>
      <c r="BN31" s="167"/>
      <c r="BO31" s="167"/>
      <c r="BP31" s="167"/>
      <c r="BQ31" s="167"/>
      <c r="BR31" s="167"/>
      <c r="BS31" s="167"/>
      <c r="BT31" s="167"/>
      <c r="BU31" s="167"/>
      <c r="BV31" s="167"/>
      <c r="BW31" s="167"/>
      <c r="BX31" s="167"/>
      <c r="BY31" s="167"/>
      <c r="BZ31" s="167"/>
      <c r="CA31" s="167"/>
      <c r="CB31" s="167"/>
      <c r="CC31" s="167"/>
      <c r="CD31" s="167"/>
      <c r="CE31" s="167"/>
      <c r="CF31" s="167"/>
      <c r="CG31" s="167"/>
      <c r="CH31" s="167"/>
      <c r="CI31" s="167"/>
      <c r="CJ31" s="167"/>
      <c r="CK31" s="167"/>
      <c r="CL31" s="167"/>
      <c r="CM31" s="167"/>
      <c r="CN31" s="167"/>
      <c r="CO31" s="167"/>
      <c r="CP31" s="167"/>
      <c r="CQ31" s="167"/>
      <c r="CR31" s="167"/>
      <c r="CS31" s="167"/>
      <c r="CT31" s="167"/>
      <c r="CU31" s="167"/>
      <c r="CV31" s="167"/>
      <c r="CW31" s="167"/>
      <c r="CX31" s="167"/>
      <c r="CY31" s="167"/>
      <c r="CZ31" s="167"/>
      <c r="DA31" s="167"/>
      <c r="DB31" s="167"/>
      <c r="DC31" s="167"/>
      <c r="DD31" s="167"/>
      <c r="DE31" s="167"/>
      <c r="DF31" s="167"/>
      <c r="DG31" s="167"/>
      <c r="DH31" s="167"/>
      <c r="DI31" s="167"/>
      <c r="DJ31" s="167"/>
      <c r="DK31" s="167"/>
      <c r="DL31" s="167"/>
      <c r="DM31" s="167"/>
      <c r="DN31" s="167"/>
      <c r="DO31" s="167"/>
      <c r="DP31" s="167"/>
      <c r="DQ31" s="167"/>
      <c r="DR31" s="167"/>
      <c r="DS31" s="167"/>
      <c r="DT31" s="167"/>
      <c r="DU31" s="167"/>
      <c r="DV31" s="167"/>
      <c r="DW31" s="167"/>
      <c r="DX31" s="167"/>
      <c r="DY31" s="167"/>
      <c r="DZ31" s="167"/>
      <c r="EA31" s="167"/>
    </row>
    <row r="32" spans="1:131" ht="14.7" hidden="1" customHeight="1" x14ac:dyDescent="0.3">
      <c r="O32" s="167"/>
      <c r="P32" s="167"/>
      <c r="Q32" s="167"/>
      <c r="R32" s="167"/>
      <c r="S32" s="167"/>
      <c r="T32" s="167"/>
      <c r="U32" s="167"/>
      <c r="V32" s="167"/>
      <c r="W32" s="167"/>
      <c r="X32" s="167"/>
      <c r="Y32" s="167"/>
      <c r="Z32" s="167"/>
      <c r="AA32" s="167"/>
      <c r="AB32" s="167"/>
      <c r="AC32" s="167"/>
      <c r="AD32" s="167"/>
      <c r="AE32" s="167"/>
      <c r="AF32" s="167"/>
      <c r="AG32" s="167"/>
      <c r="AH32" s="167"/>
      <c r="AI32" s="167"/>
      <c r="AJ32" s="167"/>
      <c r="AK32" s="167"/>
      <c r="AL32" s="167"/>
      <c r="AM32" s="167"/>
      <c r="AN32" s="167"/>
      <c r="AO32" s="167"/>
      <c r="AP32" s="167"/>
      <c r="AQ32" s="167"/>
      <c r="AR32" s="167"/>
      <c r="AS32" s="167"/>
      <c r="AT32" s="167"/>
      <c r="AU32" s="167"/>
      <c r="AV32" s="167"/>
      <c r="AW32" s="167"/>
      <c r="AX32" s="167"/>
      <c r="AY32" s="167"/>
      <c r="AZ32" s="167"/>
      <c r="BA32" s="167"/>
      <c r="BB32" s="167"/>
      <c r="BC32" s="167"/>
      <c r="BD32" s="167"/>
      <c r="BE32" s="167"/>
      <c r="BF32" s="167"/>
      <c r="BG32" s="167"/>
      <c r="BH32" s="167"/>
      <c r="BI32" s="167"/>
      <c r="BJ32" s="167"/>
      <c r="BK32" s="167"/>
      <c r="BL32" s="167"/>
      <c r="BM32" s="167"/>
      <c r="BN32" s="167"/>
      <c r="BO32" s="167"/>
      <c r="BP32" s="167"/>
      <c r="BQ32" s="167"/>
      <c r="BR32" s="167"/>
      <c r="BS32" s="167"/>
      <c r="BT32" s="167"/>
      <c r="BU32" s="167"/>
      <c r="BV32" s="167"/>
      <c r="BW32" s="167"/>
      <c r="BX32" s="167"/>
      <c r="BY32" s="167"/>
      <c r="BZ32" s="167"/>
      <c r="CA32" s="167"/>
      <c r="CB32" s="167"/>
      <c r="CC32" s="167"/>
      <c r="CD32" s="167"/>
      <c r="CE32" s="167"/>
      <c r="CF32" s="167"/>
      <c r="CG32" s="167"/>
      <c r="CH32" s="167"/>
      <c r="CI32" s="167"/>
      <c r="CJ32" s="167"/>
      <c r="CK32" s="167"/>
      <c r="CL32" s="167"/>
      <c r="CM32" s="167"/>
      <c r="CN32" s="167"/>
      <c r="CO32" s="167"/>
      <c r="CP32" s="167"/>
      <c r="CQ32" s="167"/>
      <c r="CR32" s="167"/>
      <c r="CS32" s="167"/>
      <c r="CT32" s="167"/>
      <c r="CU32" s="167"/>
      <c r="CV32" s="167"/>
      <c r="CW32" s="167"/>
      <c r="CX32" s="167"/>
      <c r="CY32" s="167"/>
      <c r="CZ32" s="167"/>
      <c r="DA32" s="167"/>
      <c r="DB32" s="167"/>
      <c r="DC32" s="167"/>
      <c r="DD32" s="167"/>
      <c r="DE32" s="167"/>
      <c r="DF32" s="167"/>
      <c r="DG32" s="167"/>
      <c r="DH32" s="167"/>
      <c r="DI32" s="167"/>
      <c r="DJ32" s="167"/>
      <c r="DK32" s="167"/>
      <c r="DL32" s="167"/>
      <c r="DM32" s="167"/>
      <c r="DN32" s="167"/>
      <c r="DO32" s="167"/>
      <c r="DP32" s="167"/>
      <c r="DQ32" s="167"/>
      <c r="DR32" s="167"/>
      <c r="DS32" s="167"/>
      <c r="DT32" s="167"/>
      <c r="DU32" s="167"/>
      <c r="DV32" s="167"/>
      <c r="DW32" s="167"/>
      <c r="DX32" s="167"/>
      <c r="DY32" s="167"/>
      <c r="DZ32" s="167"/>
      <c r="EA32" s="167"/>
    </row>
    <row r="33" spans="15:131" ht="14.7" hidden="1" customHeight="1" x14ac:dyDescent="0.3">
      <c r="O33" s="167"/>
      <c r="P33" s="167"/>
      <c r="Q33" s="167"/>
      <c r="R33" s="167"/>
      <c r="S33" s="167"/>
      <c r="T33" s="167"/>
      <c r="U33" s="167"/>
      <c r="V33" s="167"/>
      <c r="W33" s="167"/>
      <c r="X33" s="167"/>
      <c r="Y33" s="167"/>
      <c r="Z33" s="167"/>
      <c r="AA33" s="167"/>
      <c r="AB33" s="167"/>
      <c r="AC33" s="167"/>
      <c r="AD33" s="167"/>
      <c r="AE33" s="167"/>
      <c r="AF33" s="167"/>
      <c r="AG33" s="167"/>
      <c r="AH33" s="167"/>
      <c r="AI33" s="167"/>
      <c r="AJ33" s="167"/>
      <c r="AK33" s="167"/>
      <c r="AL33" s="167"/>
      <c r="AM33" s="167"/>
      <c r="AN33" s="167"/>
      <c r="AO33" s="167"/>
      <c r="AP33" s="167"/>
      <c r="AQ33" s="167"/>
      <c r="AR33" s="167"/>
      <c r="AS33" s="167"/>
      <c r="AT33" s="167"/>
      <c r="AU33" s="167"/>
      <c r="AV33" s="167"/>
      <c r="AW33" s="167"/>
      <c r="AX33" s="167"/>
      <c r="AY33" s="167"/>
      <c r="AZ33" s="167"/>
      <c r="BA33" s="167"/>
      <c r="BB33" s="167"/>
      <c r="BC33" s="167"/>
      <c r="BD33" s="167"/>
      <c r="BE33" s="167"/>
      <c r="BF33" s="167"/>
      <c r="BG33" s="167"/>
      <c r="BH33" s="167"/>
      <c r="BI33" s="167"/>
      <c r="BJ33" s="167"/>
      <c r="BK33" s="167"/>
      <c r="BL33" s="167"/>
      <c r="BM33" s="167"/>
      <c r="BN33" s="167"/>
      <c r="BO33" s="167"/>
      <c r="BP33" s="167"/>
      <c r="BQ33" s="167"/>
      <c r="BR33" s="167"/>
      <c r="BS33" s="167"/>
      <c r="BT33" s="167"/>
      <c r="BU33" s="167"/>
      <c r="BV33" s="167"/>
      <c r="BW33" s="167"/>
      <c r="BX33" s="167"/>
      <c r="BY33" s="167"/>
      <c r="BZ33" s="167"/>
      <c r="CA33" s="167"/>
      <c r="CB33" s="167"/>
      <c r="CC33" s="167"/>
      <c r="CD33" s="167"/>
      <c r="CE33" s="167"/>
      <c r="CF33" s="167"/>
      <c r="CG33" s="167"/>
      <c r="CH33" s="167"/>
      <c r="CI33" s="167"/>
      <c r="CJ33" s="167"/>
      <c r="CK33" s="167"/>
      <c r="CL33" s="167"/>
      <c r="CM33" s="167"/>
      <c r="CN33" s="167"/>
      <c r="CO33" s="167"/>
      <c r="CP33" s="167"/>
      <c r="CQ33" s="167"/>
      <c r="CR33" s="167"/>
      <c r="CS33" s="167"/>
      <c r="CT33" s="167"/>
      <c r="CU33" s="167"/>
      <c r="CV33" s="167"/>
      <c r="CW33" s="167"/>
      <c r="CX33" s="167"/>
      <c r="CY33" s="167"/>
      <c r="CZ33" s="167"/>
      <c r="DA33" s="167"/>
      <c r="DB33" s="167"/>
      <c r="DC33" s="167"/>
      <c r="DD33" s="167"/>
      <c r="DE33" s="167"/>
      <c r="DF33" s="167"/>
      <c r="DG33" s="167"/>
      <c r="DH33" s="167"/>
      <c r="DI33" s="167"/>
      <c r="DJ33" s="167"/>
      <c r="DK33" s="167"/>
      <c r="DL33" s="167"/>
      <c r="DM33" s="167"/>
      <c r="DN33" s="167"/>
      <c r="DO33" s="167"/>
      <c r="DP33" s="167"/>
      <c r="DQ33" s="167"/>
      <c r="DR33" s="167"/>
      <c r="DS33" s="167"/>
      <c r="DT33" s="167"/>
      <c r="DU33" s="167"/>
      <c r="DV33" s="167"/>
      <c r="DW33" s="167"/>
      <c r="DX33" s="167"/>
      <c r="DY33" s="167"/>
      <c r="DZ33" s="167"/>
      <c r="EA33" s="167"/>
    </row>
    <row r="34" spans="15:131" ht="14.7" hidden="1" customHeight="1" x14ac:dyDescent="0.3">
      <c r="O34" s="167"/>
      <c r="P34" s="167"/>
      <c r="Q34" s="167"/>
      <c r="R34" s="167"/>
      <c r="S34" s="167"/>
      <c r="T34" s="167"/>
      <c r="U34" s="167"/>
      <c r="V34" s="167"/>
      <c r="W34" s="167"/>
      <c r="X34" s="167"/>
      <c r="Y34" s="167"/>
      <c r="Z34" s="167"/>
      <c r="AA34" s="167"/>
      <c r="AB34" s="167"/>
      <c r="AC34" s="167"/>
      <c r="AD34" s="167"/>
      <c r="AE34" s="167"/>
      <c r="AF34" s="167"/>
      <c r="AG34" s="167"/>
      <c r="AH34" s="167"/>
      <c r="AI34" s="167"/>
      <c r="AJ34" s="167"/>
      <c r="AK34" s="167"/>
      <c r="AL34" s="167"/>
      <c r="AM34" s="167"/>
      <c r="AN34" s="167"/>
      <c r="AO34" s="167"/>
      <c r="AP34" s="167"/>
      <c r="AQ34" s="167"/>
      <c r="AR34" s="167"/>
      <c r="AS34" s="167"/>
      <c r="AT34" s="167"/>
      <c r="AU34" s="167"/>
      <c r="AV34" s="167"/>
      <c r="AW34" s="167"/>
      <c r="AX34" s="167"/>
      <c r="AY34" s="167"/>
      <c r="AZ34" s="167"/>
      <c r="BA34" s="167"/>
      <c r="BB34" s="167"/>
      <c r="BC34" s="167"/>
      <c r="BD34" s="167"/>
      <c r="BE34" s="167"/>
      <c r="BF34" s="167"/>
      <c r="BG34" s="167"/>
      <c r="BH34" s="167"/>
      <c r="BI34" s="167"/>
      <c r="BJ34" s="167"/>
      <c r="BK34" s="167"/>
      <c r="BL34" s="167"/>
      <c r="BM34" s="167"/>
      <c r="BN34" s="167"/>
      <c r="BO34" s="167"/>
      <c r="BP34" s="167"/>
      <c r="BQ34" s="167"/>
      <c r="BR34" s="167"/>
      <c r="BS34" s="167"/>
      <c r="BT34" s="167"/>
      <c r="BU34" s="167"/>
      <c r="BV34" s="167"/>
      <c r="BW34" s="167"/>
      <c r="BX34" s="167"/>
      <c r="BY34" s="167"/>
      <c r="BZ34" s="167"/>
      <c r="CA34" s="167"/>
      <c r="CB34" s="167"/>
      <c r="CC34" s="167"/>
      <c r="CD34" s="167"/>
      <c r="CE34" s="167"/>
      <c r="CF34" s="167"/>
      <c r="CG34" s="167"/>
      <c r="CH34" s="167"/>
      <c r="CI34" s="167"/>
      <c r="CJ34" s="167"/>
      <c r="CK34" s="167"/>
      <c r="CL34" s="167"/>
      <c r="CM34" s="167"/>
      <c r="CN34" s="167"/>
      <c r="CO34" s="167"/>
      <c r="CP34" s="167"/>
      <c r="CQ34" s="167"/>
      <c r="CR34" s="167"/>
      <c r="CS34" s="167"/>
      <c r="CT34" s="167"/>
      <c r="CU34" s="167"/>
      <c r="CV34" s="167"/>
      <c r="CW34" s="167"/>
      <c r="CX34" s="167"/>
      <c r="CY34" s="167"/>
      <c r="CZ34" s="167"/>
      <c r="DA34" s="167"/>
      <c r="DB34" s="167"/>
      <c r="DC34" s="167"/>
      <c r="DD34" s="167"/>
      <c r="DE34" s="167"/>
      <c r="DF34" s="167"/>
      <c r="DG34" s="167"/>
      <c r="DH34" s="167"/>
      <c r="DI34" s="167"/>
      <c r="DJ34" s="167"/>
      <c r="DK34" s="167"/>
      <c r="DL34" s="167"/>
      <c r="DM34" s="167"/>
      <c r="DN34" s="167"/>
      <c r="DO34" s="167"/>
      <c r="DP34" s="167"/>
      <c r="DQ34" s="167"/>
      <c r="DR34" s="167"/>
      <c r="DS34" s="167"/>
      <c r="DT34" s="167"/>
      <c r="DU34" s="167"/>
      <c r="DV34" s="167"/>
      <c r="DW34" s="167"/>
      <c r="DX34" s="167"/>
      <c r="DY34" s="167"/>
      <c r="DZ34" s="167"/>
      <c r="EA34" s="167"/>
    </row>
    <row r="35" spans="15:131" ht="14.7" hidden="1" customHeight="1" x14ac:dyDescent="0.3">
      <c r="O35" s="167"/>
      <c r="P35" s="167"/>
      <c r="Q35" s="167"/>
      <c r="R35" s="167"/>
      <c r="S35" s="167"/>
      <c r="T35" s="167"/>
      <c r="U35" s="167"/>
      <c r="V35" s="167"/>
      <c r="W35" s="167"/>
      <c r="X35" s="167"/>
      <c r="Y35" s="167"/>
      <c r="Z35" s="167"/>
      <c r="AA35" s="167"/>
      <c r="AB35" s="167"/>
      <c r="AC35" s="167"/>
      <c r="AD35" s="167"/>
      <c r="AE35" s="167"/>
      <c r="AF35" s="167"/>
      <c r="AG35" s="167"/>
      <c r="AH35" s="167"/>
      <c r="AI35" s="167"/>
      <c r="AJ35" s="167"/>
      <c r="AK35" s="167"/>
      <c r="AL35" s="167"/>
      <c r="AM35" s="167"/>
      <c r="AN35" s="167"/>
      <c r="AO35" s="167"/>
      <c r="AP35" s="167"/>
      <c r="AQ35" s="167"/>
      <c r="AR35" s="167"/>
      <c r="AS35" s="167"/>
      <c r="AT35" s="167"/>
      <c r="AU35" s="167"/>
      <c r="AV35" s="167"/>
      <c r="AW35" s="167"/>
      <c r="AX35" s="167"/>
      <c r="AY35" s="167"/>
      <c r="AZ35" s="167"/>
      <c r="BA35" s="167"/>
      <c r="BB35" s="167"/>
      <c r="BC35" s="167"/>
      <c r="BD35" s="167"/>
      <c r="BE35" s="167"/>
      <c r="BF35" s="167"/>
      <c r="BG35" s="167"/>
      <c r="BH35" s="167"/>
      <c r="BI35" s="167"/>
      <c r="BJ35" s="167"/>
      <c r="BK35" s="167"/>
      <c r="BL35" s="167"/>
      <c r="BM35" s="167"/>
      <c r="BN35" s="167"/>
      <c r="BO35" s="167"/>
      <c r="BP35" s="167"/>
      <c r="BQ35" s="167"/>
      <c r="BR35" s="167"/>
      <c r="BS35" s="167"/>
      <c r="BT35" s="167"/>
      <c r="BU35" s="167"/>
      <c r="BV35" s="167"/>
      <c r="BW35" s="167"/>
      <c r="BX35" s="167"/>
      <c r="BY35" s="167"/>
      <c r="BZ35" s="167"/>
      <c r="CA35" s="167"/>
      <c r="CB35" s="167"/>
      <c r="CC35" s="167"/>
      <c r="CD35" s="167"/>
      <c r="CE35" s="167"/>
      <c r="CF35" s="167"/>
      <c r="CG35" s="167"/>
      <c r="CH35" s="167"/>
      <c r="CI35" s="167"/>
      <c r="CJ35" s="167"/>
      <c r="CK35" s="167"/>
      <c r="CL35" s="167"/>
      <c r="CM35" s="167"/>
      <c r="CN35" s="167"/>
      <c r="CO35" s="167"/>
      <c r="CP35" s="167"/>
      <c r="CQ35" s="167"/>
      <c r="CR35" s="167"/>
      <c r="CS35" s="167"/>
      <c r="CT35" s="167"/>
      <c r="CU35" s="167"/>
      <c r="CV35" s="167"/>
      <c r="CW35" s="167"/>
      <c r="CX35" s="167"/>
      <c r="CY35" s="167"/>
      <c r="CZ35" s="167"/>
      <c r="DA35" s="167"/>
      <c r="DB35" s="167"/>
      <c r="DC35" s="167"/>
      <c r="DD35" s="167"/>
      <c r="DE35" s="167"/>
      <c r="DF35" s="167"/>
      <c r="DG35" s="167"/>
      <c r="DH35" s="167"/>
      <c r="DI35" s="167"/>
      <c r="DJ35" s="167"/>
      <c r="DK35" s="167"/>
      <c r="DL35" s="167"/>
      <c r="DM35" s="167"/>
      <c r="DN35" s="167"/>
      <c r="DO35" s="167"/>
      <c r="DP35" s="167"/>
      <c r="DQ35" s="167"/>
      <c r="DR35" s="167"/>
      <c r="DS35" s="167"/>
      <c r="DT35" s="167"/>
      <c r="DU35" s="167"/>
      <c r="DV35" s="167"/>
      <c r="DW35" s="167"/>
      <c r="DX35" s="167"/>
      <c r="DY35" s="167"/>
      <c r="DZ35" s="167"/>
      <c r="EA35" s="167"/>
    </row>
    <row r="36" spans="15:131" ht="14.7" hidden="1" customHeight="1" x14ac:dyDescent="0.3">
      <c r="O36" s="167"/>
      <c r="P36" s="167"/>
      <c r="Q36" s="167"/>
      <c r="R36" s="167"/>
      <c r="S36" s="167"/>
      <c r="T36" s="167"/>
      <c r="U36" s="167"/>
      <c r="V36" s="167"/>
      <c r="W36" s="167"/>
      <c r="X36" s="167"/>
      <c r="Y36" s="167"/>
      <c r="Z36" s="167"/>
      <c r="AA36" s="167"/>
      <c r="AB36" s="167"/>
      <c r="AC36" s="167"/>
      <c r="AD36" s="167"/>
      <c r="AE36" s="167"/>
      <c r="AF36" s="167"/>
      <c r="AG36" s="167"/>
      <c r="AH36" s="167"/>
      <c r="AI36" s="167"/>
      <c r="AJ36" s="167"/>
      <c r="AK36" s="167"/>
      <c r="AL36" s="167"/>
      <c r="AM36" s="167"/>
      <c r="AN36" s="167"/>
      <c r="AO36" s="167"/>
      <c r="AP36" s="167"/>
      <c r="AQ36" s="167"/>
      <c r="AR36" s="167"/>
      <c r="AS36" s="167"/>
      <c r="AT36" s="167"/>
      <c r="AU36" s="167"/>
      <c r="AV36" s="167"/>
      <c r="AW36" s="167"/>
      <c r="AX36" s="167"/>
      <c r="AY36" s="167"/>
      <c r="AZ36" s="167"/>
      <c r="BA36" s="167"/>
      <c r="BB36" s="167"/>
      <c r="BC36" s="167"/>
      <c r="BD36" s="167"/>
      <c r="BE36" s="167"/>
      <c r="BF36" s="167"/>
      <c r="BG36" s="167"/>
      <c r="BH36" s="167"/>
      <c r="BI36" s="167"/>
      <c r="BJ36" s="167"/>
      <c r="BK36" s="167"/>
      <c r="BL36" s="167"/>
      <c r="BM36" s="167"/>
      <c r="BN36" s="167"/>
      <c r="BO36" s="167"/>
      <c r="BP36" s="167"/>
      <c r="BQ36" s="167"/>
      <c r="BR36" s="167"/>
      <c r="BS36" s="167"/>
      <c r="BT36" s="167"/>
      <c r="BU36" s="167"/>
      <c r="BV36" s="167"/>
      <c r="BW36" s="167"/>
      <c r="BX36" s="167"/>
      <c r="BY36" s="167"/>
      <c r="BZ36" s="167"/>
      <c r="CA36" s="167"/>
      <c r="CB36" s="167"/>
      <c r="CC36" s="167"/>
      <c r="CD36" s="167"/>
      <c r="CE36" s="167"/>
      <c r="CF36" s="167"/>
      <c r="CG36" s="167"/>
      <c r="CH36" s="167"/>
      <c r="CI36" s="167"/>
      <c r="CJ36" s="167"/>
      <c r="CK36" s="167"/>
      <c r="CL36" s="167"/>
      <c r="CM36" s="167"/>
      <c r="CN36" s="167"/>
      <c r="CO36" s="167"/>
      <c r="CP36" s="167"/>
      <c r="CQ36" s="167"/>
      <c r="CR36" s="167"/>
      <c r="CS36" s="167"/>
      <c r="CT36" s="167"/>
      <c r="CU36" s="167"/>
      <c r="CV36" s="167"/>
      <c r="CW36" s="167"/>
      <c r="CX36" s="167"/>
      <c r="CY36" s="167"/>
      <c r="CZ36" s="167"/>
      <c r="DA36" s="167"/>
      <c r="DB36" s="167"/>
      <c r="DC36" s="167"/>
      <c r="DD36" s="167"/>
      <c r="DE36" s="167"/>
      <c r="DF36" s="167"/>
      <c r="DG36" s="167"/>
      <c r="DH36" s="167"/>
      <c r="DI36" s="167"/>
      <c r="DJ36" s="167"/>
      <c r="DK36" s="167"/>
      <c r="DL36" s="167"/>
      <c r="DM36" s="167"/>
      <c r="DN36" s="167"/>
      <c r="DO36" s="167"/>
      <c r="DP36" s="167"/>
      <c r="DQ36" s="167"/>
      <c r="DR36" s="167"/>
      <c r="DS36" s="167"/>
      <c r="DT36" s="167"/>
      <c r="DU36" s="167"/>
      <c r="DV36" s="167"/>
      <c r="DW36" s="167"/>
      <c r="DX36" s="167"/>
      <c r="DY36" s="167"/>
      <c r="DZ36" s="167"/>
      <c r="EA36" s="167"/>
    </row>
    <row r="37" spans="15:131" ht="14.7" hidden="1" customHeight="1" x14ac:dyDescent="0.3">
      <c r="O37" s="167"/>
      <c r="P37" s="167"/>
      <c r="Q37" s="167"/>
      <c r="R37" s="167"/>
      <c r="S37" s="167"/>
      <c r="T37" s="167"/>
      <c r="U37" s="167"/>
      <c r="V37" s="167"/>
      <c r="W37" s="167"/>
      <c r="X37" s="167"/>
      <c r="Y37" s="167"/>
      <c r="Z37" s="167"/>
      <c r="AA37" s="167"/>
      <c r="AB37" s="167"/>
      <c r="AC37" s="167"/>
      <c r="AD37" s="167"/>
      <c r="AE37" s="167"/>
      <c r="AF37" s="167"/>
      <c r="AG37" s="167"/>
      <c r="AH37" s="167"/>
      <c r="AI37" s="167"/>
      <c r="AJ37" s="167"/>
      <c r="AK37" s="167"/>
      <c r="AL37" s="167"/>
      <c r="AM37" s="167"/>
      <c r="AN37" s="167"/>
      <c r="AO37" s="167"/>
      <c r="AP37" s="167"/>
      <c r="AQ37" s="167"/>
      <c r="AR37" s="167"/>
      <c r="AS37" s="167"/>
      <c r="AT37" s="167"/>
      <c r="AU37" s="167"/>
      <c r="AV37" s="167"/>
      <c r="AW37" s="167"/>
      <c r="AX37" s="167"/>
      <c r="AY37" s="167"/>
      <c r="AZ37" s="167"/>
      <c r="BA37" s="167"/>
      <c r="BB37" s="167"/>
      <c r="BC37" s="167"/>
      <c r="BD37" s="167"/>
      <c r="BE37" s="167"/>
      <c r="BF37" s="167"/>
      <c r="BG37" s="167"/>
      <c r="BH37" s="167"/>
      <c r="BI37" s="167"/>
      <c r="BJ37" s="167"/>
      <c r="BK37" s="167"/>
      <c r="BL37" s="167"/>
      <c r="BM37" s="167"/>
      <c r="BN37" s="167"/>
      <c r="BO37" s="167"/>
      <c r="BP37" s="167"/>
      <c r="BQ37" s="167"/>
      <c r="BR37" s="167"/>
      <c r="BS37" s="167"/>
      <c r="BT37" s="167"/>
      <c r="BU37" s="167"/>
      <c r="BV37" s="167"/>
      <c r="BW37" s="167"/>
      <c r="BX37" s="167"/>
      <c r="BY37" s="167"/>
      <c r="BZ37" s="167"/>
      <c r="CA37" s="167"/>
      <c r="CB37" s="167"/>
      <c r="CC37" s="167"/>
      <c r="CD37" s="167"/>
      <c r="CE37" s="167"/>
      <c r="CF37" s="167"/>
      <c r="CG37" s="167"/>
      <c r="CH37" s="167"/>
      <c r="CI37" s="167"/>
      <c r="CJ37" s="167"/>
      <c r="CK37" s="167"/>
      <c r="CL37" s="167"/>
      <c r="CM37" s="167"/>
      <c r="CN37" s="167"/>
      <c r="CO37" s="167"/>
      <c r="CP37" s="167"/>
      <c r="CQ37" s="167"/>
      <c r="CR37" s="167"/>
      <c r="CS37" s="167"/>
      <c r="CT37" s="167"/>
      <c r="CU37" s="167"/>
      <c r="CV37" s="167"/>
      <c r="CW37" s="167"/>
      <c r="CX37" s="167"/>
      <c r="CY37" s="167"/>
      <c r="CZ37" s="167"/>
      <c r="DA37" s="167"/>
      <c r="DB37" s="167"/>
      <c r="DC37" s="167"/>
      <c r="DD37" s="167"/>
      <c r="DE37" s="167"/>
      <c r="DF37" s="167"/>
      <c r="DG37" s="167"/>
      <c r="DH37" s="167"/>
      <c r="DI37" s="167"/>
      <c r="DJ37" s="167"/>
      <c r="DK37" s="167"/>
      <c r="DL37" s="167"/>
      <c r="DM37" s="167"/>
      <c r="DN37" s="167"/>
      <c r="DO37" s="167"/>
      <c r="DP37" s="167"/>
      <c r="DQ37" s="167"/>
      <c r="DR37" s="167"/>
      <c r="DS37" s="167"/>
      <c r="DT37" s="167"/>
      <c r="DU37" s="167"/>
      <c r="DV37" s="167"/>
      <c r="DW37" s="167"/>
      <c r="DX37" s="167"/>
      <c r="DY37" s="167"/>
      <c r="DZ37" s="167"/>
      <c r="EA37" s="167"/>
    </row>
    <row r="38" spans="15:131" ht="14.7" hidden="1" customHeight="1" x14ac:dyDescent="0.3">
      <c r="O38" s="167"/>
      <c r="P38" s="167"/>
      <c r="Q38" s="167"/>
      <c r="R38" s="167"/>
      <c r="S38" s="167"/>
      <c r="T38" s="167"/>
      <c r="U38" s="167"/>
      <c r="V38" s="167"/>
      <c r="W38" s="167"/>
      <c r="X38" s="167"/>
      <c r="Y38" s="167"/>
      <c r="Z38" s="167"/>
      <c r="AA38" s="167"/>
      <c r="AB38" s="167"/>
      <c r="AC38" s="167"/>
      <c r="AD38" s="167"/>
      <c r="AE38" s="167"/>
      <c r="AF38" s="167"/>
      <c r="AG38" s="167"/>
      <c r="AH38" s="167"/>
      <c r="AI38" s="167"/>
      <c r="AJ38" s="167"/>
      <c r="AK38" s="167"/>
      <c r="AL38" s="167"/>
      <c r="AM38" s="167"/>
      <c r="AN38" s="167"/>
      <c r="AO38" s="167"/>
      <c r="AP38" s="167"/>
      <c r="AQ38" s="167"/>
      <c r="AR38" s="167"/>
      <c r="AS38" s="167"/>
      <c r="AT38" s="167"/>
      <c r="AU38" s="167"/>
      <c r="AV38" s="167"/>
      <c r="AW38" s="167"/>
      <c r="AX38" s="167"/>
      <c r="AY38" s="167"/>
      <c r="AZ38" s="167"/>
      <c r="BA38" s="167"/>
      <c r="BB38" s="167"/>
      <c r="BC38" s="167"/>
      <c r="BD38" s="167"/>
      <c r="BE38" s="167"/>
      <c r="BF38" s="167"/>
      <c r="BG38" s="167"/>
      <c r="BH38" s="167"/>
      <c r="BI38" s="167"/>
      <c r="BJ38" s="167"/>
      <c r="BK38" s="167"/>
      <c r="BL38" s="167"/>
      <c r="BM38" s="167"/>
      <c r="BN38" s="167"/>
      <c r="BO38" s="167"/>
      <c r="BP38" s="167"/>
      <c r="BQ38" s="167"/>
      <c r="BR38" s="167"/>
      <c r="BS38" s="167"/>
      <c r="BT38" s="167"/>
      <c r="BU38" s="167"/>
      <c r="BV38" s="167"/>
      <c r="BW38" s="167"/>
      <c r="BX38" s="167"/>
      <c r="BY38" s="167"/>
      <c r="BZ38" s="167"/>
      <c r="CA38" s="167"/>
      <c r="CB38" s="167"/>
      <c r="CC38" s="167"/>
      <c r="CD38" s="167"/>
      <c r="CE38" s="167"/>
      <c r="CF38" s="167"/>
      <c r="CG38" s="167"/>
      <c r="CH38" s="167"/>
      <c r="CI38" s="167"/>
      <c r="CJ38" s="167"/>
      <c r="CK38" s="167"/>
      <c r="CL38" s="167"/>
      <c r="CM38" s="167"/>
      <c r="CN38" s="167"/>
      <c r="CO38" s="167"/>
      <c r="CP38" s="167"/>
      <c r="CQ38" s="167"/>
      <c r="CR38" s="167"/>
      <c r="CS38" s="167"/>
      <c r="CT38" s="167"/>
      <c r="CU38" s="167"/>
      <c r="CV38" s="167"/>
      <c r="CW38" s="167"/>
      <c r="CX38" s="167"/>
      <c r="CY38" s="167"/>
      <c r="CZ38" s="167"/>
      <c r="DA38" s="167"/>
      <c r="DB38" s="167"/>
      <c r="DC38" s="167"/>
      <c r="DD38" s="167"/>
      <c r="DE38" s="167"/>
      <c r="DF38" s="167"/>
      <c r="DG38" s="167"/>
      <c r="DH38" s="167"/>
      <c r="DI38" s="167"/>
      <c r="DJ38" s="167"/>
      <c r="DK38" s="167"/>
      <c r="DL38" s="167"/>
      <c r="DM38" s="167"/>
      <c r="DN38" s="167"/>
      <c r="DO38" s="167"/>
      <c r="DP38" s="167"/>
      <c r="DQ38" s="167"/>
      <c r="DR38" s="167"/>
      <c r="DS38" s="167"/>
      <c r="DT38" s="167"/>
      <c r="DU38" s="167"/>
      <c r="DV38" s="167"/>
      <c r="DW38" s="167"/>
      <c r="DX38" s="167"/>
      <c r="DY38" s="167"/>
      <c r="DZ38" s="167"/>
      <c r="EA38" s="167"/>
    </row>
    <row r="39" spans="15:131" ht="14.7" hidden="1" customHeight="1" x14ac:dyDescent="0.3">
      <c r="O39" s="167"/>
      <c r="P39" s="167"/>
      <c r="Q39" s="167"/>
      <c r="R39" s="167"/>
      <c r="S39" s="167"/>
      <c r="T39" s="167"/>
      <c r="U39" s="167"/>
      <c r="V39" s="167"/>
      <c r="W39" s="167"/>
      <c r="X39" s="167"/>
      <c r="Y39" s="167"/>
      <c r="Z39" s="167"/>
      <c r="AA39" s="167"/>
      <c r="AB39" s="167"/>
      <c r="AC39" s="167"/>
      <c r="AD39" s="167"/>
      <c r="AE39" s="167"/>
      <c r="AF39" s="167"/>
      <c r="AG39" s="167"/>
      <c r="AH39" s="167"/>
      <c r="AI39" s="167"/>
      <c r="AJ39" s="167"/>
      <c r="AK39" s="167"/>
      <c r="AL39" s="167"/>
      <c r="AM39" s="167"/>
      <c r="AN39" s="167"/>
      <c r="AO39" s="167"/>
      <c r="AP39" s="167"/>
      <c r="AQ39" s="167"/>
      <c r="AR39" s="167"/>
      <c r="AS39" s="167"/>
      <c r="AT39" s="167"/>
      <c r="AU39" s="167"/>
      <c r="AV39" s="167"/>
      <c r="AW39" s="167"/>
      <c r="AX39" s="167"/>
      <c r="AY39" s="167"/>
      <c r="AZ39" s="167"/>
      <c r="BA39" s="167"/>
      <c r="BB39" s="167"/>
      <c r="BC39" s="167"/>
      <c r="BD39" s="167"/>
      <c r="BE39" s="167"/>
      <c r="BF39" s="167"/>
      <c r="BG39" s="167"/>
      <c r="BH39" s="167"/>
      <c r="BI39" s="167"/>
      <c r="BJ39" s="167"/>
      <c r="BK39" s="167"/>
      <c r="BL39" s="167"/>
      <c r="BM39" s="167"/>
      <c r="BN39" s="167"/>
      <c r="BO39" s="167"/>
      <c r="BP39" s="167"/>
      <c r="BQ39" s="167"/>
      <c r="BR39" s="167"/>
      <c r="BS39" s="167"/>
      <c r="BT39" s="167"/>
      <c r="BU39" s="167"/>
      <c r="BV39" s="167"/>
      <c r="BW39" s="167"/>
      <c r="BX39" s="167"/>
      <c r="BY39" s="167"/>
      <c r="BZ39" s="167"/>
      <c r="CA39" s="167"/>
      <c r="CB39" s="167"/>
      <c r="CC39" s="167"/>
      <c r="CD39" s="167"/>
      <c r="CE39" s="167"/>
      <c r="CF39" s="167"/>
      <c r="CG39" s="167"/>
      <c r="CH39" s="167"/>
      <c r="CI39" s="167"/>
      <c r="CJ39" s="167"/>
      <c r="CK39" s="167"/>
      <c r="CL39" s="167"/>
      <c r="CM39" s="167"/>
      <c r="CN39" s="167"/>
      <c r="CO39" s="167"/>
      <c r="CP39" s="167"/>
      <c r="CQ39" s="167"/>
      <c r="CR39" s="167"/>
      <c r="CS39" s="167"/>
      <c r="CT39" s="167"/>
      <c r="CU39" s="167"/>
      <c r="CV39" s="167"/>
      <c r="CW39" s="167"/>
      <c r="CX39" s="167"/>
      <c r="CY39" s="167"/>
      <c r="CZ39" s="167"/>
      <c r="DA39" s="167"/>
      <c r="DB39" s="167"/>
      <c r="DC39" s="167"/>
      <c r="DD39" s="167"/>
      <c r="DE39" s="167"/>
      <c r="DF39" s="167"/>
      <c r="DG39" s="167"/>
      <c r="DH39" s="167"/>
      <c r="DI39" s="167"/>
      <c r="DJ39" s="167"/>
      <c r="DK39" s="167"/>
      <c r="DL39" s="167"/>
      <c r="DM39" s="167"/>
      <c r="DN39" s="167"/>
      <c r="DO39" s="167"/>
      <c r="DP39" s="167"/>
      <c r="DQ39" s="167"/>
      <c r="DR39" s="167"/>
      <c r="DS39" s="167"/>
      <c r="DT39" s="167"/>
      <c r="DU39" s="167"/>
      <c r="DV39" s="167"/>
      <c r="DW39" s="167"/>
      <c r="DX39" s="167"/>
      <c r="DY39" s="167"/>
      <c r="DZ39" s="167"/>
      <c r="EA39" s="167"/>
    </row>
    <row r="40" spans="15:131" ht="14.7" hidden="1" customHeight="1" x14ac:dyDescent="0.3">
      <c r="O40" s="167"/>
      <c r="P40" s="167"/>
      <c r="Q40" s="167"/>
      <c r="R40" s="167"/>
      <c r="S40" s="167"/>
      <c r="T40" s="167"/>
      <c r="U40" s="167"/>
      <c r="V40" s="167"/>
      <c r="W40" s="167"/>
      <c r="X40" s="167"/>
      <c r="Y40" s="167"/>
      <c r="Z40" s="167"/>
      <c r="AA40" s="167"/>
      <c r="AB40" s="167"/>
      <c r="AC40" s="167"/>
      <c r="AD40" s="167"/>
      <c r="AE40" s="167"/>
      <c r="AF40" s="167"/>
      <c r="AG40" s="167"/>
      <c r="AH40" s="167"/>
      <c r="AI40" s="167"/>
      <c r="AJ40" s="167"/>
      <c r="AK40" s="167"/>
      <c r="AL40" s="167"/>
      <c r="AM40" s="167"/>
      <c r="AN40" s="167"/>
      <c r="AO40" s="167"/>
      <c r="AP40" s="167"/>
      <c r="AQ40" s="167"/>
      <c r="AR40" s="167"/>
      <c r="AS40" s="167"/>
      <c r="AT40" s="167"/>
      <c r="AU40" s="167"/>
      <c r="AV40" s="167"/>
      <c r="AW40" s="167"/>
      <c r="AX40" s="167"/>
      <c r="AY40" s="167"/>
      <c r="AZ40" s="167"/>
      <c r="BA40" s="167"/>
      <c r="BB40" s="167"/>
      <c r="BC40" s="167"/>
      <c r="BD40" s="167"/>
      <c r="BE40" s="167"/>
      <c r="BF40" s="167"/>
      <c r="BG40" s="167"/>
      <c r="BH40" s="167"/>
      <c r="BI40" s="167"/>
      <c r="BJ40" s="167"/>
      <c r="BK40" s="167"/>
      <c r="BL40" s="167"/>
      <c r="BM40" s="167"/>
      <c r="BN40" s="167"/>
      <c r="BO40" s="167"/>
      <c r="BP40" s="167"/>
      <c r="BQ40" s="167"/>
      <c r="BR40" s="167"/>
      <c r="BS40" s="167"/>
      <c r="BT40" s="167"/>
      <c r="BU40" s="167"/>
      <c r="BV40" s="167"/>
      <c r="BW40" s="167"/>
      <c r="BX40" s="167"/>
      <c r="BY40" s="167"/>
      <c r="BZ40" s="167"/>
      <c r="CA40" s="167"/>
      <c r="CB40" s="167"/>
      <c r="CC40" s="167"/>
      <c r="CD40" s="167"/>
      <c r="CE40" s="167"/>
      <c r="CF40" s="167"/>
      <c r="CG40" s="167"/>
      <c r="CH40" s="167"/>
      <c r="CI40" s="167"/>
      <c r="CJ40" s="167"/>
      <c r="CK40" s="167"/>
      <c r="CL40" s="167"/>
      <c r="CM40" s="167"/>
      <c r="CN40" s="167"/>
      <c r="CO40" s="167"/>
      <c r="CP40" s="167"/>
      <c r="CQ40" s="167"/>
      <c r="CR40" s="167"/>
      <c r="CS40" s="167"/>
      <c r="CT40" s="167"/>
      <c r="CU40" s="167"/>
      <c r="CV40" s="167"/>
      <c r="CW40" s="167"/>
      <c r="CX40" s="167"/>
      <c r="CY40" s="167"/>
      <c r="CZ40" s="167"/>
      <c r="DA40" s="167"/>
      <c r="DB40" s="167"/>
      <c r="DC40" s="167"/>
      <c r="DD40" s="167"/>
      <c r="DE40" s="167"/>
      <c r="DF40" s="167"/>
      <c r="DG40" s="167"/>
      <c r="DH40" s="167"/>
      <c r="DI40" s="167"/>
      <c r="DJ40" s="167"/>
      <c r="DK40" s="167"/>
      <c r="DL40" s="167"/>
      <c r="DM40" s="167"/>
      <c r="DN40" s="167"/>
      <c r="DO40" s="167"/>
      <c r="DP40" s="167"/>
      <c r="DQ40" s="167"/>
      <c r="DR40" s="167"/>
      <c r="DS40" s="167"/>
      <c r="DT40" s="167"/>
      <c r="DU40" s="167"/>
      <c r="DV40" s="167"/>
      <c r="DW40" s="167"/>
      <c r="DX40" s="167"/>
      <c r="DY40" s="167"/>
      <c r="DZ40" s="167"/>
      <c r="EA40" s="167"/>
    </row>
    <row r="41" spans="15:131" ht="14.7" hidden="1" customHeight="1" x14ac:dyDescent="0.3">
      <c r="O41" s="167"/>
      <c r="P41" s="167"/>
      <c r="Q41" s="167"/>
      <c r="R41" s="167"/>
      <c r="S41" s="167"/>
      <c r="T41" s="167"/>
      <c r="U41" s="167"/>
      <c r="V41" s="167"/>
      <c r="W41" s="167"/>
      <c r="X41" s="167"/>
      <c r="Y41" s="167"/>
      <c r="Z41" s="167"/>
      <c r="AA41" s="167"/>
      <c r="AB41" s="167"/>
      <c r="AC41" s="167"/>
      <c r="AD41" s="167"/>
      <c r="AE41" s="167"/>
      <c r="AF41" s="167"/>
      <c r="AG41" s="167"/>
      <c r="AH41" s="167"/>
      <c r="AI41" s="167"/>
      <c r="AJ41" s="167"/>
      <c r="AK41" s="167"/>
      <c r="AL41" s="167"/>
      <c r="AM41" s="167"/>
      <c r="AN41" s="167"/>
      <c r="AO41" s="167"/>
      <c r="AP41" s="167"/>
      <c r="AQ41" s="167"/>
      <c r="AR41" s="167"/>
      <c r="AS41" s="167"/>
      <c r="AT41" s="167"/>
      <c r="AU41" s="167"/>
      <c r="AV41" s="167"/>
      <c r="AW41" s="167"/>
      <c r="AX41" s="167"/>
      <c r="AY41" s="167"/>
      <c r="AZ41" s="167"/>
      <c r="BA41" s="167"/>
      <c r="BB41" s="167"/>
      <c r="BC41" s="167"/>
      <c r="BD41" s="167"/>
      <c r="BE41" s="167"/>
      <c r="BF41" s="167"/>
      <c r="BG41" s="167"/>
      <c r="BH41" s="167"/>
      <c r="BI41" s="167"/>
      <c r="BJ41" s="167"/>
      <c r="BK41" s="167"/>
      <c r="BL41" s="167"/>
      <c r="BM41" s="167"/>
      <c r="BN41" s="167"/>
      <c r="BO41" s="167"/>
      <c r="BP41" s="167"/>
      <c r="BQ41" s="167"/>
      <c r="BR41" s="167"/>
      <c r="BS41" s="167"/>
      <c r="BT41" s="167"/>
      <c r="BU41" s="167"/>
      <c r="BV41" s="167"/>
      <c r="BW41" s="167"/>
      <c r="BX41" s="167"/>
      <c r="BY41" s="167"/>
      <c r="BZ41" s="167"/>
      <c r="CA41" s="167"/>
      <c r="CB41" s="167"/>
      <c r="CC41" s="167"/>
      <c r="CD41" s="167"/>
      <c r="CE41" s="167"/>
      <c r="CF41" s="167"/>
      <c r="CG41" s="167"/>
      <c r="CH41" s="167"/>
      <c r="CI41" s="167"/>
      <c r="CJ41" s="167"/>
      <c r="CK41" s="167"/>
      <c r="CL41" s="167"/>
      <c r="CM41" s="167"/>
      <c r="CN41" s="167"/>
      <c r="CO41" s="167"/>
      <c r="CP41" s="167"/>
      <c r="CQ41" s="167"/>
      <c r="CR41" s="167"/>
      <c r="CS41" s="167"/>
      <c r="CT41" s="167"/>
      <c r="CU41" s="167"/>
      <c r="CV41" s="167"/>
      <c r="CW41" s="167"/>
      <c r="CX41" s="167"/>
      <c r="CY41" s="167"/>
      <c r="CZ41" s="167"/>
      <c r="DA41" s="167"/>
      <c r="DB41" s="167"/>
      <c r="DC41" s="167"/>
      <c r="DD41" s="167"/>
      <c r="DE41" s="167"/>
      <c r="DF41" s="167"/>
      <c r="DG41" s="167"/>
      <c r="DH41" s="167"/>
      <c r="DI41" s="167"/>
      <c r="DJ41" s="167"/>
      <c r="DK41" s="167"/>
      <c r="DL41" s="167"/>
      <c r="DM41" s="167"/>
      <c r="DN41" s="167"/>
      <c r="DO41" s="167"/>
      <c r="DP41" s="167"/>
      <c r="DQ41" s="167"/>
      <c r="DR41" s="167"/>
      <c r="DS41" s="167"/>
      <c r="DT41" s="167"/>
      <c r="DU41" s="167"/>
      <c r="DV41" s="167"/>
      <c r="DW41" s="167"/>
      <c r="DX41" s="167"/>
      <c r="DY41" s="167"/>
      <c r="DZ41" s="167"/>
      <c r="EA41" s="167"/>
    </row>
    <row r="42" spans="15:131" ht="14.7" hidden="1" customHeight="1" x14ac:dyDescent="0.3">
      <c r="O42" s="167"/>
      <c r="P42" s="167"/>
      <c r="Q42" s="167"/>
      <c r="R42" s="167"/>
      <c r="S42" s="167"/>
      <c r="T42" s="167"/>
      <c r="U42" s="167"/>
      <c r="V42" s="167"/>
      <c r="W42" s="167"/>
      <c r="X42" s="167"/>
      <c r="Y42" s="167"/>
      <c r="Z42" s="167"/>
      <c r="AA42" s="167"/>
      <c r="AB42" s="167"/>
      <c r="AC42" s="167"/>
      <c r="AD42" s="167"/>
      <c r="AE42" s="167"/>
      <c r="AF42" s="167"/>
      <c r="AG42" s="167"/>
      <c r="AH42" s="167"/>
      <c r="AI42" s="167"/>
      <c r="AJ42" s="167"/>
      <c r="AK42" s="167"/>
      <c r="AL42" s="167"/>
      <c r="AM42" s="167"/>
      <c r="AN42" s="167"/>
      <c r="AO42" s="167"/>
      <c r="AP42" s="167"/>
      <c r="AQ42" s="167"/>
      <c r="AR42" s="167"/>
      <c r="AS42" s="167"/>
      <c r="AT42" s="167"/>
      <c r="AU42" s="167"/>
      <c r="AV42" s="167"/>
      <c r="AW42" s="167"/>
      <c r="AX42" s="167"/>
      <c r="AY42" s="167"/>
      <c r="AZ42" s="167"/>
      <c r="BA42" s="167"/>
      <c r="BB42" s="167"/>
      <c r="BC42" s="167"/>
      <c r="BD42" s="167"/>
      <c r="BE42" s="167"/>
      <c r="BF42" s="167"/>
      <c r="BG42" s="167"/>
      <c r="BH42" s="167"/>
      <c r="BI42" s="167"/>
      <c r="BJ42" s="167"/>
      <c r="BK42" s="167"/>
      <c r="BL42" s="167"/>
      <c r="BM42" s="167"/>
      <c r="BN42" s="167"/>
      <c r="BO42" s="167"/>
      <c r="BP42" s="167"/>
      <c r="BQ42" s="167"/>
      <c r="BR42" s="167"/>
      <c r="BS42" s="167"/>
      <c r="BT42" s="167"/>
      <c r="BU42" s="167"/>
      <c r="BV42" s="167"/>
      <c r="BW42" s="167"/>
      <c r="BX42" s="167"/>
      <c r="BY42" s="167"/>
      <c r="BZ42" s="167"/>
      <c r="CA42" s="167"/>
      <c r="CB42" s="167"/>
      <c r="CC42" s="167"/>
      <c r="CD42" s="167"/>
      <c r="CE42" s="167"/>
      <c r="CF42" s="167"/>
      <c r="CG42" s="167"/>
      <c r="CH42" s="167"/>
      <c r="CI42" s="167"/>
      <c r="CJ42" s="167"/>
      <c r="CK42" s="167"/>
      <c r="CL42" s="167"/>
      <c r="CM42" s="167"/>
      <c r="CN42" s="167"/>
      <c r="CO42" s="167"/>
      <c r="CP42" s="167"/>
      <c r="CQ42" s="167"/>
      <c r="CR42" s="167"/>
      <c r="CS42" s="167"/>
      <c r="CT42" s="167"/>
      <c r="CU42" s="167"/>
      <c r="CV42" s="167"/>
      <c r="CW42" s="167"/>
      <c r="CX42" s="167"/>
      <c r="CY42" s="167"/>
      <c r="CZ42" s="167"/>
      <c r="DA42" s="167"/>
      <c r="DB42" s="167"/>
      <c r="DC42" s="167"/>
      <c r="DD42" s="167"/>
      <c r="DE42" s="167"/>
      <c r="DF42" s="167"/>
      <c r="DG42" s="167"/>
      <c r="DH42" s="167"/>
      <c r="DI42" s="167"/>
      <c r="DJ42" s="167"/>
      <c r="DK42" s="167"/>
      <c r="DL42" s="167"/>
      <c r="DM42" s="167"/>
      <c r="DN42" s="167"/>
      <c r="DO42" s="167"/>
      <c r="DP42" s="167"/>
      <c r="DQ42" s="167"/>
      <c r="DR42" s="167"/>
      <c r="DS42" s="167"/>
      <c r="DT42" s="167"/>
      <c r="DU42" s="167"/>
      <c r="DV42" s="167"/>
      <c r="DW42" s="167"/>
      <c r="DX42" s="167"/>
      <c r="DY42" s="167"/>
      <c r="DZ42" s="167"/>
      <c r="EA42" s="167"/>
    </row>
    <row r="43" spans="15:131" ht="14.7" hidden="1" customHeight="1" x14ac:dyDescent="0.3">
      <c r="O43" s="167"/>
      <c r="P43" s="167"/>
      <c r="Q43" s="167"/>
      <c r="R43" s="167"/>
      <c r="S43" s="167"/>
      <c r="T43" s="167"/>
      <c r="U43" s="167"/>
      <c r="V43" s="167"/>
      <c r="W43" s="167"/>
      <c r="X43" s="167"/>
      <c r="Y43" s="167"/>
      <c r="Z43" s="167"/>
      <c r="AA43" s="167"/>
      <c r="AB43" s="167"/>
      <c r="AC43" s="167"/>
      <c r="AD43" s="167"/>
      <c r="AE43" s="167"/>
      <c r="AF43" s="167"/>
      <c r="AG43" s="167"/>
      <c r="AH43" s="167"/>
      <c r="AI43" s="167"/>
      <c r="AJ43" s="167"/>
      <c r="AK43" s="167"/>
      <c r="AL43" s="167"/>
      <c r="AM43" s="167"/>
      <c r="AN43" s="167"/>
      <c r="AO43" s="167"/>
      <c r="AP43" s="167"/>
      <c r="AQ43" s="167"/>
      <c r="AR43" s="167"/>
      <c r="AS43" s="167"/>
      <c r="AT43" s="167"/>
      <c r="AU43" s="167"/>
      <c r="AV43" s="167"/>
      <c r="AW43" s="167"/>
      <c r="AX43" s="167"/>
      <c r="AY43" s="167"/>
      <c r="AZ43" s="167"/>
      <c r="BA43" s="167"/>
      <c r="BB43" s="167"/>
      <c r="BC43" s="167"/>
      <c r="BD43" s="167"/>
      <c r="BE43" s="167"/>
      <c r="BF43" s="167"/>
      <c r="BG43" s="167"/>
      <c r="BH43" s="167"/>
      <c r="BI43" s="167"/>
      <c r="BJ43" s="167"/>
      <c r="BK43" s="167"/>
      <c r="BL43" s="167"/>
      <c r="BM43" s="167"/>
      <c r="BN43" s="167"/>
      <c r="BO43" s="167"/>
      <c r="BP43" s="167"/>
      <c r="BQ43" s="167"/>
      <c r="BR43" s="167"/>
      <c r="BS43" s="167"/>
      <c r="BT43" s="167"/>
      <c r="BU43" s="167"/>
      <c r="BV43" s="167"/>
      <c r="BW43" s="167"/>
      <c r="BX43" s="167"/>
      <c r="BY43" s="167"/>
      <c r="BZ43" s="167"/>
      <c r="CA43" s="167"/>
      <c r="CB43" s="167"/>
      <c r="CC43" s="167"/>
      <c r="CD43" s="167"/>
      <c r="CE43" s="167"/>
      <c r="CF43" s="167"/>
      <c r="CG43" s="167"/>
      <c r="CH43" s="167"/>
      <c r="CI43" s="167"/>
      <c r="CJ43" s="167"/>
      <c r="CK43" s="167"/>
      <c r="CL43" s="167"/>
      <c r="CM43" s="167"/>
      <c r="CN43" s="167"/>
      <c r="CO43" s="167"/>
      <c r="CP43" s="167"/>
      <c r="CQ43" s="167"/>
      <c r="CR43" s="167"/>
      <c r="CS43" s="167"/>
      <c r="CT43" s="167"/>
      <c r="CU43" s="167"/>
      <c r="CV43" s="167"/>
      <c r="CW43" s="167"/>
      <c r="CX43" s="167"/>
      <c r="CY43" s="167"/>
      <c r="CZ43" s="167"/>
      <c r="DA43" s="167"/>
      <c r="DB43" s="167"/>
      <c r="DC43" s="167"/>
      <c r="DD43" s="167"/>
      <c r="DE43" s="167"/>
      <c r="DF43" s="167"/>
      <c r="DG43" s="167"/>
      <c r="DH43" s="167"/>
      <c r="DI43" s="167"/>
      <c r="DJ43" s="167"/>
      <c r="DK43" s="167"/>
      <c r="DL43" s="167"/>
      <c r="DM43" s="167"/>
      <c r="DN43" s="167"/>
      <c r="DO43" s="167"/>
      <c r="DP43" s="167"/>
      <c r="DQ43" s="167"/>
      <c r="DR43" s="167"/>
      <c r="DS43" s="167"/>
      <c r="DT43" s="167"/>
      <c r="DU43" s="167"/>
      <c r="DV43" s="167"/>
      <c r="DW43" s="167"/>
      <c r="DX43" s="167"/>
      <c r="DY43" s="167"/>
      <c r="DZ43" s="167"/>
      <c r="EA43" s="167"/>
    </row>
    <row r="44" spans="15:131" ht="14.7" hidden="1" customHeight="1" x14ac:dyDescent="0.3">
      <c r="O44" s="167"/>
      <c r="P44" s="167"/>
      <c r="Q44" s="167"/>
      <c r="R44" s="167"/>
      <c r="S44" s="167"/>
      <c r="T44" s="167"/>
      <c r="U44" s="167"/>
      <c r="V44" s="167"/>
      <c r="W44" s="167"/>
      <c r="X44" s="167"/>
      <c r="Y44" s="167"/>
      <c r="Z44" s="167"/>
      <c r="AA44" s="167"/>
      <c r="AB44" s="167"/>
      <c r="AC44" s="167"/>
      <c r="AD44" s="167"/>
      <c r="AE44" s="167"/>
      <c r="AF44" s="167"/>
      <c r="AG44" s="167"/>
      <c r="AH44" s="167"/>
      <c r="AI44" s="167"/>
      <c r="AJ44" s="167"/>
      <c r="AK44" s="167"/>
      <c r="AL44" s="167"/>
      <c r="AM44" s="167"/>
      <c r="AN44" s="167"/>
      <c r="AO44" s="167"/>
      <c r="AP44" s="167"/>
      <c r="AQ44" s="167"/>
      <c r="AR44" s="167"/>
      <c r="AS44" s="167"/>
      <c r="AT44" s="167"/>
      <c r="AU44" s="167"/>
      <c r="AV44" s="167"/>
      <c r="AW44" s="167"/>
      <c r="AX44" s="167"/>
      <c r="AY44" s="167"/>
      <c r="AZ44" s="167"/>
      <c r="BA44" s="167"/>
      <c r="BB44" s="167"/>
      <c r="BC44" s="167"/>
      <c r="BD44" s="167"/>
      <c r="BE44" s="167"/>
      <c r="BF44" s="167"/>
      <c r="BG44" s="167"/>
      <c r="BH44" s="167"/>
      <c r="BI44" s="167"/>
      <c r="BJ44" s="167"/>
      <c r="BK44" s="167"/>
      <c r="BL44" s="167"/>
      <c r="BM44" s="167"/>
      <c r="BN44" s="167"/>
      <c r="BO44" s="167"/>
      <c r="BP44" s="167"/>
      <c r="BQ44" s="167"/>
      <c r="BR44" s="167"/>
      <c r="BS44" s="167"/>
      <c r="BT44" s="167"/>
      <c r="BU44" s="167"/>
      <c r="BV44" s="167"/>
      <c r="BW44" s="167"/>
      <c r="BX44" s="167"/>
      <c r="BY44" s="167"/>
      <c r="BZ44" s="167"/>
      <c r="CA44" s="167"/>
      <c r="CB44" s="167"/>
      <c r="CC44" s="167"/>
      <c r="CD44" s="167"/>
      <c r="CE44" s="167"/>
      <c r="CF44" s="167"/>
      <c r="CG44" s="167"/>
      <c r="CH44" s="167"/>
      <c r="CI44" s="167"/>
      <c r="CJ44" s="167"/>
      <c r="CK44" s="167"/>
      <c r="CL44" s="167"/>
      <c r="CM44" s="167"/>
      <c r="CN44" s="167"/>
      <c r="CO44" s="167"/>
      <c r="CP44" s="167"/>
      <c r="CQ44" s="167"/>
      <c r="CR44" s="167"/>
      <c r="CS44" s="167"/>
      <c r="CT44" s="167"/>
      <c r="CU44" s="167"/>
      <c r="CV44" s="167"/>
      <c r="CW44" s="167"/>
      <c r="CX44" s="167"/>
      <c r="CY44" s="167"/>
      <c r="CZ44" s="167"/>
      <c r="DA44" s="167"/>
      <c r="DB44" s="167"/>
      <c r="DC44" s="167"/>
      <c r="DD44" s="167"/>
      <c r="DE44" s="167"/>
      <c r="DF44" s="167"/>
      <c r="DG44" s="167"/>
      <c r="DH44" s="167"/>
      <c r="DI44" s="167"/>
      <c r="DJ44" s="167"/>
      <c r="DK44" s="167"/>
      <c r="DL44" s="167"/>
      <c r="DM44" s="167"/>
      <c r="DN44" s="167"/>
      <c r="DO44" s="167"/>
      <c r="DP44" s="167"/>
      <c r="DQ44" s="167"/>
      <c r="DR44" s="167"/>
      <c r="DS44" s="167"/>
      <c r="DT44" s="167"/>
      <c r="DU44" s="167"/>
      <c r="DV44" s="167"/>
      <c r="DW44" s="167"/>
      <c r="DX44" s="167"/>
      <c r="DY44" s="167"/>
      <c r="DZ44" s="167"/>
      <c r="EA44" s="167"/>
    </row>
    <row r="45" spans="15:131" ht="14.7" hidden="1" customHeight="1" x14ac:dyDescent="0.3">
      <c r="O45" s="167"/>
      <c r="P45" s="167"/>
      <c r="Q45" s="167"/>
      <c r="R45" s="167"/>
      <c r="S45" s="167"/>
      <c r="T45" s="167"/>
      <c r="U45" s="167"/>
      <c r="V45" s="167"/>
      <c r="W45" s="167"/>
      <c r="X45" s="167"/>
      <c r="Y45" s="167"/>
      <c r="Z45" s="167"/>
      <c r="AA45" s="167"/>
      <c r="AB45" s="167"/>
      <c r="AC45" s="167"/>
      <c r="AD45" s="167"/>
      <c r="AE45" s="167"/>
      <c r="AF45" s="167"/>
      <c r="AG45" s="167"/>
      <c r="AH45" s="167"/>
      <c r="AI45" s="167"/>
      <c r="AJ45" s="167"/>
      <c r="AK45" s="167"/>
      <c r="AL45" s="167"/>
      <c r="AM45" s="167"/>
      <c r="AN45" s="167"/>
      <c r="AO45" s="167"/>
      <c r="AP45" s="167"/>
      <c r="AQ45" s="167"/>
      <c r="AR45" s="167"/>
      <c r="AS45" s="167"/>
      <c r="AT45" s="167"/>
      <c r="AU45" s="167"/>
      <c r="AV45" s="167"/>
      <c r="AW45" s="167"/>
      <c r="AX45" s="167"/>
      <c r="AY45" s="167"/>
      <c r="AZ45" s="167"/>
      <c r="BA45" s="167"/>
      <c r="BB45" s="167"/>
      <c r="BC45" s="167"/>
      <c r="BD45" s="167"/>
      <c r="BE45" s="167"/>
      <c r="BF45" s="167"/>
      <c r="BG45" s="167"/>
      <c r="BH45" s="167"/>
      <c r="BI45" s="167"/>
      <c r="BJ45" s="167"/>
      <c r="BK45" s="167"/>
      <c r="BL45" s="167"/>
      <c r="BM45" s="167"/>
      <c r="BN45" s="167"/>
      <c r="BO45" s="167"/>
      <c r="BP45" s="167"/>
      <c r="BQ45" s="167"/>
      <c r="BR45" s="167"/>
      <c r="BS45" s="167"/>
      <c r="BT45" s="167"/>
      <c r="BU45" s="167"/>
      <c r="BV45" s="167"/>
      <c r="BW45" s="167"/>
      <c r="BX45" s="167"/>
      <c r="BY45" s="167"/>
      <c r="BZ45" s="167"/>
      <c r="CA45" s="167"/>
      <c r="CB45" s="167"/>
      <c r="CC45" s="167"/>
      <c r="CD45" s="167"/>
      <c r="CE45" s="167"/>
      <c r="CF45" s="167"/>
      <c r="CG45" s="167"/>
      <c r="CH45" s="167"/>
      <c r="CI45" s="167"/>
      <c r="CJ45" s="167"/>
      <c r="CK45" s="167"/>
      <c r="CL45" s="167"/>
      <c r="CM45" s="167"/>
      <c r="CN45" s="167"/>
      <c r="CO45" s="167"/>
      <c r="CP45" s="167"/>
      <c r="CQ45" s="167"/>
      <c r="CR45" s="167"/>
      <c r="CS45" s="167"/>
      <c r="CT45" s="167"/>
      <c r="CU45" s="167"/>
      <c r="CV45" s="167"/>
      <c r="CW45" s="167"/>
      <c r="CX45" s="167"/>
      <c r="CY45" s="167"/>
      <c r="CZ45" s="167"/>
      <c r="DA45" s="167"/>
      <c r="DB45" s="167"/>
      <c r="DC45" s="167"/>
      <c r="DD45" s="167"/>
      <c r="DE45" s="167"/>
      <c r="DF45" s="167"/>
      <c r="DG45" s="167"/>
      <c r="DH45" s="167"/>
      <c r="DI45" s="167"/>
      <c r="DJ45" s="167"/>
      <c r="DK45" s="167"/>
      <c r="DL45" s="167"/>
      <c r="DM45" s="167"/>
      <c r="DN45" s="167"/>
      <c r="DO45" s="167"/>
      <c r="DP45" s="167"/>
      <c r="DQ45" s="167"/>
      <c r="DR45" s="167"/>
      <c r="DS45" s="167"/>
      <c r="DT45" s="167"/>
      <c r="DU45" s="167"/>
      <c r="DV45" s="167"/>
      <c r="DW45" s="167"/>
      <c r="DX45" s="167"/>
      <c r="DY45" s="167"/>
      <c r="DZ45" s="167"/>
      <c r="EA45" s="167"/>
    </row>
    <row r="46" spans="15:131" ht="14.7" hidden="1" customHeight="1" x14ac:dyDescent="0.3">
      <c r="O46" s="167"/>
      <c r="P46" s="167"/>
      <c r="Q46" s="167"/>
      <c r="R46" s="167"/>
      <c r="S46" s="167"/>
      <c r="T46" s="167"/>
      <c r="U46" s="167"/>
      <c r="V46" s="167"/>
      <c r="W46" s="167"/>
      <c r="X46" s="167"/>
      <c r="Y46" s="167"/>
      <c r="Z46" s="167"/>
      <c r="AA46" s="167"/>
      <c r="AB46" s="167"/>
      <c r="AC46" s="167"/>
      <c r="AD46" s="167"/>
      <c r="AE46" s="167"/>
      <c r="AF46" s="167"/>
      <c r="AG46" s="167"/>
      <c r="AH46" s="167"/>
      <c r="AI46" s="167"/>
      <c r="AJ46" s="167"/>
      <c r="AK46" s="167"/>
      <c r="AL46" s="167"/>
      <c r="AM46" s="167"/>
      <c r="AN46" s="167"/>
      <c r="AO46" s="167"/>
      <c r="AP46" s="167"/>
      <c r="AQ46" s="167"/>
      <c r="AR46" s="167"/>
      <c r="AS46" s="167"/>
      <c r="AT46" s="167"/>
      <c r="AU46" s="167"/>
      <c r="AV46" s="167"/>
      <c r="AW46" s="167"/>
      <c r="AX46" s="167"/>
      <c r="AY46" s="167"/>
      <c r="AZ46" s="167"/>
      <c r="BA46" s="167"/>
      <c r="BB46" s="167"/>
      <c r="BC46" s="167"/>
      <c r="BD46" s="167"/>
      <c r="BE46" s="167"/>
      <c r="BF46" s="167"/>
      <c r="BG46" s="167"/>
      <c r="BH46" s="167"/>
      <c r="BI46" s="167"/>
      <c r="BJ46" s="167"/>
      <c r="BK46" s="167"/>
      <c r="BL46" s="167"/>
      <c r="BM46" s="167"/>
      <c r="BN46" s="167"/>
      <c r="BO46" s="167"/>
      <c r="BP46" s="167"/>
      <c r="BQ46" s="167"/>
      <c r="BR46" s="167"/>
      <c r="BS46" s="167"/>
      <c r="BT46" s="167"/>
      <c r="BU46" s="167"/>
      <c r="BV46" s="167"/>
      <c r="BW46" s="167"/>
      <c r="BX46" s="167"/>
      <c r="BY46" s="167"/>
      <c r="BZ46" s="167"/>
      <c r="CA46" s="167"/>
      <c r="CB46" s="167"/>
      <c r="CC46" s="167"/>
      <c r="CD46" s="167"/>
      <c r="CE46" s="167"/>
      <c r="CF46" s="167"/>
      <c r="CG46" s="167"/>
      <c r="CH46" s="167"/>
      <c r="CI46" s="167"/>
      <c r="CJ46" s="167"/>
      <c r="CK46" s="167"/>
      <c r="CL46" s="167"/>
      <c r="CM46" s="167"/>
      <c r="CN46" s="167"/>
      <c r="CO46" s="167"/>
      <c r="CP46" s="167"/>
      <c r="CQ46" s="167"/>
      <c r="CR46" s="167"/>
      <c r="CS46" s="167"/>
      <c r="CT46" s="167"/>
      <c r="CU46" s="167"/>
      <c r="CV46" s="167"/>
      <c r="CW46" s="167"/>
      <c r="CX46" s="167"/>
      <c r="CY46" s="167"/>
      <c r="CZ46" s="167"/>
      <c r="DA46" s="167"/>
      <c r="DB46" s="167"/>
      <c r="DC46" s="167"/>
      <c r="DD46" s="167"/>
      <c r="DE46" s="167"/>
      <c r="DF46" s="167"/>
      <c r="DG46" s="167"/>
      <c r="DH46" s="167"/>
      <c r="DI46" s="167"/>
      <c r="DJ46" s="167"/>
      <c r="DK46" s="167"/>
      <c r="DL46" s="167"/>
      <c r="DM46" s="167"/>
      <c r="DN46" s="167"/>
      <c r="DO46" s="167"/>
      <c r="DP46" s="167"/>
      <c r="DQ46" s="167"/>
      <c r="DR46" s="167"/>
      <c r="DS46" s="167"/>
      <c r="DT46" s="167"/>
      <c r="DU46" s="167"/>
      <c r="DV46" s="167"/>
      <c r="DW46" s="167"/>
      <c r="DX46" s="167"/>
      <c r="DY46" s="167"/>
      <c r="DZ46" s="167"/>
      <c r="EA46" s="167"/>
    </row>
    <row r="47" spans="15:131" ht="14.7" hidden="1" customHeight="1" x14ac:dyDescent="0.3">
      <c r="O47" s="167"/>
      <c r="P47" s="167"/>
      <c r="Q47" s="167"/>
      <c r="R47" s="167"/>
      <c r="S47" s="167"/>
      <c r="T47" s="167"/>
      <c r="U47" s="167"/>
      <c r="V47" s="167"/>
      <c r="W47" s="167"/>
      <c r="X47" s="167"/>
      <c r="Y47" s="167"/>
      <c r="Z47" s="167"/>
      <c r="AA47" s="167"/>
      <c r="AB47" s="167"/>
      <c r="AC47" s="167"/>
      <c r="AD47" s="167"/>
      <c r="AE47" s="167"/>
      <c r="AF47" s="167"/>
      <c r="AG47" s="167"/>
      <c r="AH47" s="167"/>
      <c r="AI47" s="167"/>
      <c r="AJ47" s="167"/>
      <c r="AK47" s="167"/>
      <c r="AL47" s="167"/>
      <c r="AM47" s="167"/>
      <c r="AN47" s="167"/>
      <c r="AO47" s="167"/>
      <c r="AP47" s="167"/>
      <c r="AQ47" s="167"/>
      <c r="AR47" s="167"/>
      <c r="AS47" s="167"/>
      <c r="AT47" s="167"/>
      <c r="AU47" s="167"/>
      <c r="AV47" s="167"/>
      <c r="AW47" s="167"/>
      <c r="AX47" s="167"/>
      <c r="AY47" s="167"/>
      <c r="AZ47" s="167"/>
      <c r="BA47" s="167"/>
      <c r="BB47" s="167"/>
      <c r="BC47" s="167"/>
      <c r="BD47" s="167"/>
      <c r="BE47" s="167"/>
      <c r="BF47" s="167"/>
      <c r="BG47" s="167"/>
      <c r="BH47" s="167"/>
      <c r="BI47" s="167"/>
      <c r="BJ47" s="167"/>
      <c r="BK47" s="167"/>
      <c r="BL47" s="167"/>
      <c r="BM47" s="167"/>
      <c r="BN47" s="167"/>
      <c r="BO47" s="167"/>
      <c r="BP47" s="167"/>
      <c r="BQ47" s="167"/>
      <c r="BR47" s="167"/>
      <c r="BS47" s="167"/>
      <c r="BT47" s="167"/>
      <c r="BU47" s="167"/>
      <c r="BV47" s="167"/>
      <c r="BW47" s="167"/>
      <c r="BX47" s="167"/>
      <c r="BY47" s="167"/>
      <c r="BZ47" s="167"/>
      <c r="CA47" s="167"/>
      <c r="CB47" s="167"/>
      <c r="CC47" s="167"/>
      <c r="CD47" s="167"/>
      <c r="CE47" s="167"/>
      <c r="CF47" s="167"/>
      <c r="CG47" s="167"/>
      <c r="CH47" s="167"/>
      <c r="CI47" s="167"/>
      <c r="CJ47" s="167"/>
      <c r="CK47" s="167"/>
      <c r="CL47" s="167"/>
      <c r="CM47" s="167"/>
      <c r="CN47" s="167"/>
      <c r="CO47" s="167"/>
      <c r="CP47" s="167"/>
      <c r="CQ47" s="167"/>
      <c r="CR47" s="167"/>
      <c r="CS47" s="167"/>
      <c r="CT47" s="167"/>
      <c r="CU47" s="167"/>
      <c r="CV47" s="167"/>
      <c r="CW47" s="167"/>
      <c r="CX47" s="167"/>
      <c r="CY47" s="167"/>
      <c r="CZ47" s="167"/>
      <c r="DA47" s="167"/>
      <c r="DB47" s="167"/>
      <c r="DC47" s="167"/>
      <c r="DD47" s="167"/>
      <c r="DE47" s="167"/>
      <c r="DF47" s="167"/>
      <c r="DG47" s="167"/>
      <c r="DH47" s="167"/>
      <c r="DI47" s="167"/>
      <c r="DJ47" s="167"/>
      <c r="DK47" s="167"/>
      <c r="DL47" s="167"/>
      <c r="DM47" s="167"/>
      <c r="DN47" s="167"/>
      <c r="DO47" s="167"/>
      <c r="DP47" s="167"/>
      <c r="DQ47" s="167"/>
      <c r="DR47" s="167"/>
      <c r="DS47" s="167"/>
      <c r="DT47" s="167"/>
      <c r="DU47" s="167"/>
      <c r="DV47" s="167"/>
      <c r="DW47" s="167"/>
      <c r="DX47" s="167"/>
      <c r="DY47" s="167"/>
      <c r="DZ47" s="167"/>
      <c r="EA47" s="167"/>
    </row>
    <row r="48" spans="15:131" ht="14.7" hidden="1" customHeight="1" x14ac:dyDescent="0.3">
      <c r="O48" s="167"/>
      <c r="P48" s="167"/>
      <c r="Q48" s="167"/>
      <c r="R48" s="167"/>
      <c r="S48" s="167"/>
      <c r="T48" s="167"/>
      <c r="U48" s="167"/>
      <c r="V48" s="167"/>
      <c r="W48" s="167"/>
      <c r="X48" s="167"/>
      <c r="Y48" s="167"/>
      <c r="Z48" s="167"/>
      <c r="AA48" s="167"/>
      <c r="AB48" s="167"/>
      <c r="AC48" s="167"/>
      <c r="AD48" s="167"/>
      <c r="AE48" s="167"/>
      <c r="AF48" s="167"/>
      <c r="AG48" s="167"/>
      <c r="AH48" s="167"/>
      <c r="AI48" s="167"/>
      <c r="AJ48" s="167"/>
      <c r="AK48" s="167"/>
      <c r="AL48" s="167"/>
      <c r="AM48" s="167"/>
      <c r="AN48" s="167"/>
      <c r="AO48" s="167"/>
      <c r="AP48" s="167"/>
      <c r="AQ48" s="167"/>
      <c r="AR48" s="167"/>
      <c r="AS48" s="167"/>
      <c r="AT48" s="167"/>
      <c r="AU48" s="167"/>
      <c r="AV48" s="167"/>
      <c r="AW48" s="167"/>
      <c r="AX48" s="167"/>
      <c r="AY48" s="167"/>
      <c r="AZ48" s="167"/>
      <c r="BA48" s="167"/>
      <c r="BB48" s="167"/>
      <c r="BC48" s="167"/>
      <c r="BD48" s="167"/>
      <c r="BE48" s="167"/>
      <c r="BF48" s="167"/>
      <c r="BG48" s="167"/>
      <c r="BH48" s="167"/>
      <c r="BI48" s="167"/>
      <c r="BJ48" s="167"/>
      <c r="BK48" s="167"/>
      <c r="BL48" s="167"/>
      <c r="BM48" s="167"/>
      <c r="BN48" s="167"/>
      <c r="BO48" s="167"/>
      <c r="BP48" s="167"/>
      <c r="BQ48" s="167"/>
      <c r="BR48" s="167"/>
      <c r="BS48" s="167"/>
      <c r="BT48" s="167"/>
      <c r="BU48" s="167"/>
      <c r="BV48" s="167"/>
      <c r="BW48" s="167"/>
      <c r="BX48" s="167"/>
      <c r="BY48" s="167"/>
      <c r="BZ48" s="167"/>
      <c r="CA48" s="167"/>
      <c r="CB48" s="167"/>
      <c r="CC48" s="167"/>
      <c r="CD48" s="167"/>
      <c r="CE48" s="167"/>
      <c r="CF48" s="167"/>
      <c r="CG48" s="167"/>
      <c r="CH48" s="167"/>
      <c r="CI48" s="167"/>
      <c r="CJ48" s="167"/>
      <c r="CK48" s="167"/>
      <c r="CL48" s="167"/>
      <c r="CM48" s="167"/>
      <c r="CN48" s="167"/>
      <c r="CO48" s="167"/>
      <c r="CP48" s="167"/>
      <c r="CQ48" s="167"/>
      <c r="CR48" s="167"/>
      <c r="CS48" s="167"/>
      <c r="CT48" s="167"/>
      <c r="CU48" s="167"/>
      <c r="CV48" s="167"/>
      <c r="CW48" s="167"/>
      <c r="CX48" s="167"/>
      <c r="CY48" s="167"/>
      <c r="CZ48" s="167"/>
      <c r="DA48" s="167"/>
      <c r="DB48" s="167"/>
      <c r="DC48" s="167"/>
      <c r="DD48" s="167"/>
      <c r="DE48" s="167"/>
      <c r="DF48" s="167"/>
      <c r="DG48" s="167"/>
      <c r="DH48" s="167"/>
      <c r="DI48" s="167"/>
      <c r="DJ48" s="167"/>
      <c r="DK48" s="167"/>
      <c r="DL48" s="167"/>
      <c r="DM48" s="167"/>
      <c r="DN48" s="167"/>
      <c r="DO48" s="167"/>
      <c r="DP48" s="167"/>
      <c r="DQ48" s="167"/>
      <c r="DR48" s="167"/>
      <c r="DS48" s="167"/>
      <c r="DT48" s="167"/>
      <c r="DU48" s="167"/>
      <c r="DV48" s="167"/>
      <c r="DW48" s="167"/>
      <c r="DX48" s="167"/>
      <c r="DY48" s="167"/>
      <c r="DZ48" s="167"/>
      <c r="EA48" s="167"/>
    </row>
    <row r="49" spans="15:131" ht="14.7" hidden="1" customHeight="1" x14ac:dyDescent="0.3">
      <c r="O49" s="167"/>
      <c r="P49" s="167"/>
      <c r="Q49" s="167"/>
      <c r="R49" s="167"/>
      <c r="S49" s="167"/>
      <c r="T49" s="167"/>
      <c r="U49" s="167"/>
      <c r="V49" s="167"/>
      <c r="W49" s="167"/>
      <c r="X49" s="167"/>
      <c r="Y49" s="167"/>
      <c r="Z49" s="167"/>
      <c r="AA49" s="167"/>
      <c r="AB49" s="167"/>
      <c r="AC49" s="167"/>
      <c r="AD49" s="167"/>
      <c r="AE49" s="167"/>
      <c r="AF49" s="167"/>
      <c r="AG49" s="167"/>
      <c r="AH49" s="167"/>
      <c r="AI49" s="167"/>
      <c r="AJ49" s="167"/>
      <c r="AK49" s="167"/>
      <c r="AL49" s="167"/>
      <c r="AM49" s="167"/>
      <c r="AN49" s="167"/>
      <c r="AO49" s="167"/>
      <c r="AP49" s="167"/>
      <c r="AQ49" s="167"/>
      <c r="AR49" s="167"/>
      <c r="AS49" s="167"/>
      <c r="AT49" s="167"/>
      <c r="AU49" s="167"/>
      <c r="AV49" s="167"/>
      <c r="AW49" s="167"/>
      <c r="AX49" s="167"/>
      <c r="AY49" s="167"/>
      <c r="AZ49" s="167"/>
      <c r="BA49" s="167"/>
      <c r="BB49" s="167"/>
      <c r="BC49" s="167"/>
      <c r="BD49" s="167"/>
      <c r="BE49" s="167"/>
      <c r="BF49" s="167"/>
      <c r="BG49" s="167"/>
      <c r="BH49" s="167"/>
      <c r="BI49" s="167"/>
      <c r="BJ49" s="167"/>
      <c r="BK49" s="167"/>
      <c r="BL49" s="167"/>
      <c r="BM49" s="167"/>
      <c r="BN49" s="167"/>
      <c r="BO49" s="167"/>
      <c r="BP49" s="167"/>
      <c r="BQ49" s="167"/>
      <c r="BR49" s="167"/>
      <c r="BS49" s="167"/>
      <c r="BT49" s="167"/>
      <c r="BU49" s="167"/>
      <c r="BV49" s="167"/>
      <c r="BW49" s="167"/>
      <c r="BX49" s="167"/>
      <c r="BY49" s="167"/>
      <c r="BZ49" s="167"/>
      <c r="CA49" s="167"/>
      <c r="CB49" s="167"/>
      <c r="CC49" s="167"/>
      <c r="CD49" s="167"/>
      <c r="CE49" s="167"/>
      <c r="CF49" s="167"/>
      <c r="CG49" s="167"/>
      <c r="CH49" s="167"/>
      <c r="CI49" s="167"/>
      <c r="CJ49" s="167"/>
      <c r="CK49" s="167"/>
      <c r="CL49" s="167"/>
      <c r="CM49" s="167"/>
      <c r="CN49" s="167"/>
      <c r="CO49" s="167"/>
      <c r="CP49" s="167"/>
      <c r="CQ49" s="167"/>
      <c r="CR49" s="167"/>
      <c r="CS49" s="167"/>
      <c r="CT49" s="167"/>
      <c r="CU49" s="167"/>
      <c r="CV49" s="167"/>
      <c r="CW49" s="167"/>
      <c r="CX49" s="167"/>
      <c r="CY49" s="167"/>
      <c r="CZ49" s="167"/>
      <c r="DA49" s="167"/>
      <c r="DB49" s="167"/>
      <c r="DC49" s="167"/>
      <c r="DD49" s="167"/>
      <c r="DE49" s="167"/>
      <c r="DF49" s="167"/>
      <c r="DG49" s="167"/>
      <c r="DH49" s="167"/>
      <c r="DI49" s="167"/>
      <c r="DJ49" s="167"/>
      <c r="DK49" s="167"/>
      <c r="DL49" s="167"/>
      <c r="DM49" s="167"/>
      <c r="DN49" s="167"/>
      <c r="DO49" s="167"/>
      <c r="DP49" s="167"/>
      <c r="DQ49" s="167"/>
      <c r="DR49" s="167"/>
      <c r="DS49" s="167"/>
      <c r="DT49" s="167"/>
      <c r="DU49" s="167"/>
      <c r="DV49" s="167"/>
      <c r="DW49" s="167"/>
      <c r="DX49" s="167"/>
      <c r="DY49" s="167"/>
      <c r="DZ49" s="167"/>
      <c r="EA49" s="167"/>
    </row>
    <row r="50" spans="15:131" ht="14.7" hidden="1" customHeight="1" x14ac:dyDescent="0.3">
      <c r="O50" s="167"/>
      <c r="P50" s="167"/>
      <c r="Q50" s="167"/>
      <c r="R50" s="167"/>
      <c r="S50" s="167"/>
      <c r="T50" s="167"/>
      <c r="U50" s="167"/>
      <c r="V50" s="167"/>
      <c r="W50" s="167"/>
      <c r="X50" s="167"/>
      <c r="Y50" s="167"/>
      <c r="Z50" s="167"/>
      <c r="AA50" s="167"/>
      <c r="AB50" s="167"/>
      <c r="AC50" s="167"/>
      <c r="AD50" s="167"/>
      <c r="AE50" s="167"/>
      <c r="AF50" s="167"/>
      <c r="AG50" s="167"/>
      <c r="AH50" s="167"/>
      <c r="AI50" s="167"/>
      <c r="AJ50" s="167"/>
      <c r="AK50" s="167"/>
      <c r="AL50" s="167"/>
      <c r="AM50" s="167"/>
      <c r="AN50" s="167"/>
      <c r="AO50" s="167"/>
      <c r="AP50" s="167"/>
      <c r="AQ50" s="167"/>
      <c r="AR50" s="167"/>
      <c r="AS50" s="167"/>
      <c r="AT50" s="167"/>
      <c r="AU50" s="167"/>
      <c r="AV50" s="167"/>
      <c r="AW50" s="167"/>
      <c r="AX50" s="167"/>
      <c r="AY50" s="167"/>
      <c r="AZ50" s="167"/>
      <c r="BA50" s="167"/>
      <c r="BB50" s="167"/>
      <c r="BC50" s="167"/>
      <c r="BD50" s="167"/>
      <c r="BE50" s="167"/>
      <c r="BF50" s="167"/>
      <c r="BG50" s="167"/>
      <c r="BH50" s="167"/>
      <c r="BI50" s="167"/>
      <c r="BJ50" s="167"/>
      <c r="BK50" s="167"/>
      <c r="BL50" s="167"/>
      <c r="BM50" s="167"/>
      <c r="BN50" s="167"/>
      <c r="BO50" s="167"/>
      <c r="BP50" s="167"/>
      <c r="BQ50" s="167"/>
      <c r="BR50" s="167"/>
      <c r="BS50" s="167"/>
      <c r="BT50" s="167"/>
      <c r="BU50" s="167"/>
      <c r="BV50" s="167"/>
      <c r="BW50" s="167"/>
      <c r="BX50" s="167"/>
      <c r="BY50" s="167"/>
      <c r="BZ50" s="167"/>
      <c r="CA50" s="167"/>
      <c r="CB50" s="167"/>
      <c r="CC50" s="167"/>
      <c r="CD50" s="167"/>
      <c r="CE50" s="167"/>
      <c r="CF50" s="167"/>
      <c r="CG50" s="167"/>
      <c r="CH50" s="167"/>
      <c r="CI50" s="167"/>
      <c r="CJ50" s="167"/>
      <c r="CK50" s="167"/>
      <c r="CL50" s="167"/>
      <c r="CM50" s="167"/>
      <c r="CN50" s="167"/>
      <c r="CO50" s="167"/>
      <c r="CP50" s="167"/>
      <c r="CQ50" s="167"/>
      <c r="CR50" s="167"/>
      <c r="CS50" s="167"/>
      <c r="CT50" s="167"/>
      <c r="CU50" s="167"/>
      <c r="CV50" s="167"/>
      <c r="CW50" s="167"/>
      <c r="CX50" s="167"/>
      <c r="CY50" s="167"/>
      <c r="CZ50" s="167"/>
      <c r="DA50" s="167"/>
      <c r="DB50" s="167"/>
      <c r="DC50" s="167"/>
      <c r="DD50" s="167"/>
      <c r="DE50" s="167"/>
      <c r="DF50" s="167"/>
      <c r="DG50" s="167"/>
      <c r="DH50" s="167"/>
      <c r="DI50" s="167"/>
      <c r="DJ50" s="167"/>
      <c r="DK50" s="167"/>
      <c r="DL50" s="167"/>
      <c r="DM50" s="167"/>
      <c r="DN50" s="167"/>
      <c r="DO50" s="167"/>
      <c r="DP50" s="167"/>
      <c r="DQ50" s="167"/>
      <c r="DR50" s="167"/>
      <c r="DS50" s="167"/>
      <c r="DT50" s="167"/>
      <c r="DU50" s="167"/>
      <c r="DV50" s="167"/>
      <c r="DW50" s="167"/>
      <c r="DX50" s="167"/>
      <c r="DY50" s="167"/>
      <c r="DZ50" s="167"/>
      <c r="EA50" s="167"/>
    </row>
    <row r="51" spans="15:131" ht="14.7" hidden="1" customHeight="1" x14ac:dyDescent="0.3">
      <c r="O51" s="167"/>
      <c r="P51" s="167"/>
      <c r="Q51" s="167"/>
      <c r="R51" s="167"/>
      <c r="S51" s="167"/>
      <c r="T51" s="167"/>
      <c r="U51" s="167"/>
      <c r="V51" s="167"/>
      <c r="W51" s="167"/>
      <c r="X51" s="167"/>
      <c r="Y51" s="167"/>
      <c r="Z51" s="167"/>
      <c r="AA51" s="167"/>
      <c r="AB51" s="167"/>
      <c r="AC51" s="167"/>
      <c r="AD51" s="167"/>
      <c r="AE51" s="167"/>
      <c r="AF51" s="167"/>
      <c r="AG51" s="167"/>
      <c r="AH51" s="167"/>
      <c r="AI51" s="167"/>
      <c r="AJ51" s="167"/>
      <c r="AK51" s="167"/>
      <c r="AL51" s="167"/>
      <c r="AM51" s="167"/>
      <c r="AN51" s="167"/>
      <c r="AO51" s="167"/>
      <c r="AP51" s="167"/>
      <c r="AQ51" s="167"/>
      <c r="AR51" s="167"/>
      <c r="AS51" s="167"/>
      <c r="AT51" s="167"/>
      <c r="AU51" s="167"/>
      <c r="AV51" s="167"/>
      <c r="AW51" s="167"/>
      <c r="AX51" s="167"/>
      <c r="AY51" s="167"/>
      <c r="AZ51" s="167"/>
      <c r="BA51" s="167"/>
      <c r="BB51" s="167"/>
      <c r="BC51" s="167"/>
      <c r="BD51" s="167"/>
      <c r="BE51" s="167"/>
      <c r="BF51" s="167"/>
      <c r="BG51" s="167"/>
      <c r="BH51" s="167"/>
      <c r="BI51" s="167"/>
      <c r="BJ51" s="167"/>
      <c r="BK51" s="167"/>
      <c r="BL51" s="167"/>
      <c r="BM51" s="167"/>
      <c r="BN51" s="167"/>
      <c r="BO51" s="167"/>
      <c r="BP51" s="167"/>
      <c r="BQ51" s="167"/>
      <c r="BR51" s="167"/>
      <c r="BS51" s="167"/>
      <c r="BT51" s="167"/>
      <c r="BU51" s="167"/>
      <c r="BV51" s="167"/>
      <c r="BW51" s="167"/>
      <c r="BX51" s="167"/>
      <c r="BY51" s="167"/>
      <c r="BZ51" s="167"/>
      <c r="CA51" s="167"/>
      <c r="CB51" s="167"/>
      <c r="CC51" s="167"/>
      <c r="CD51" s="167"/>
      <c r="CE51" s="167"/>
      <c r="CF51" s="167"/>
      <c r="CG51" s="167"/>
      <c r="CH51" s="167"/>
      <c r="CI51" s="167"/>
      <c r="CJ51" s="167"/>
      <c r="CK51" s="167"/>
      <c r="CL51" s="167"/>
      <c r="CM51" s="167"/>
      <c r="CN51" s="167"/>
      <c r="CO51" s="167"/>
      <c r="CP51" s="167"/>
      <c r="CQ51" s="167"/>
      <c r="CR51" s="167"/>
      <c r="CS51" s="167"/>
      <c r="CT51" s="167"/>
      <c r="CU51" s="167"/>
      <c r="CV51" s="167"/>
      <c r="CW51" s="167"/>
      <c r="CX51" s="167"/>
      <c r="CY51" s="167"/>
      <c r="CZ51" s="167"/>
      <c r="DA51" s="167"/>
      <c r="DB51" s="167"/>
      <c r="DC51" s="167"/>
      <c r="DD51" s="167"/>
      <c r="DE51" s="167"/>
      <c r="DF51" s="167"/>
      <c r="DG51" s="167"/>
      <c r="DH51" s="167"/>
      <c r="DI51" s="167"/>
      <c r="DJ51" s="167"/>
      <c r="DK51" s="167"/>
      <c r="DL51" s="167"/>
      <c r="DM51" s="167"/>
      <c r="DN51" s="167"/>
      <c r="DO51" s="167"/>
      <c r="DP51" s="167"/>
      <c r="DQ51" s="167"/>
      <c r="DR51" s="167"/>
      <c r="DS51" s="167"/>
      <c r="DT51" s="167"/>
      <c r="DU51" s="167"/>
      <c r="DV51" s="167"/>
      <c r="DW51" s="167"/>
      <c r="DX51" s="167"/>
      <c r="DY51" s="167"/>
      <c r="DZ51" s="167"/>
      <c r="EA51" s="167"/>
    </row>
    <row r="52" spans="15:131" ht="14.7" hidden="1" customHeight="1" x14ac:dyDescent="0.3">
      <c r="O52" s="167"/>
      <c r="P52" s="167"/>
      <c r="Q52" s="167"/>
      <c r="R52" s="167"/>
      <c r="S52" s="167"/>
      <c r="T52" s="167"/>
      <c r="U52" s="167"/>
      <c r="V52" s="167"/>
      <c r="W52" s="167"/>
      <c r="X52" s="167"/>
      <c r="Y52" s="167"/>
      <c r="Z52" s="167"/>
      <c r="AA52" s="167"/>
      <c r="AB52" s="167"/>
      <c r="AC52" s="167"/>
      <c r="AD52" s="167"/>
      <c r="AE52" s="167"/>
      <c r="AF52" s="167"/>
      <c r="AG52" s="167"/>
      <c r="AH52" s="167"/>
      <c r="AI52" s="167"/>
      <c r="AJ52" s="167"/>
      <c r="AK52" s="167"/>
      <c r="AL52" s="167"/>
      <c r="AM52" s="167"/>
      <c r="AN52" s="167"/>
      <c r="AO52" s="167"/>
      <c r="AP52" s="167"/>
      <c r="AQ52" s="167"/>
      <c r="AR52" s="167"/>
      <c r="AS52" s="167"/>
      <c r="AT52" s="167"/>
      <c r="AU52" s="167"/>
      <c r="AV52" s="167"/>
      <c r="AW52" s="167"/>
      <c r="AX52" s="167"/>
      <c r="AY52" s="167"/>
      <c r="AZ52" s="167"/>
      <c r="BA52" s="167"/>
      <c r="BB52" s="167"/>
      <c r="BC52" s="167"/>
      <c r="BD52" s="167"/>
      <c r="BE52" s="167"/>
      <c r="BF52" s="167"/>
      <c r="BG52" s="167"/>
      <c r="BH52" s="167"/>
      <c r="BI52" s="167"/>
      <c r="BJ52" s="167"/>
      <c r="BK52" s="167"/>
      <c r="BL52" s="167"/>
      <c r="BM52" s="167"/>
      <c r="BN52" s="167"/>
      <c r="BO52" s="167"/>
      <c r="BP52" s="167"/>
      <c r="BQ52" s="167"/>
      <c r="BR52" s="167"/>
      <c r="BS52" s="167"/>
      <c r="BT52" s="167"/>
      <c r="BU52" s="167"/>
      <c r="BV52" s="167"/>
      <c r="BW52" s="167"/>
      <c r="BX52" s="167"/>
      <c r="BY52" s="167"/>
      <c r="BZ52" s="167"/>
      <c r="CA52" s="167"/>
      <c r="CB52" s="167"/>
      <c r="CC52" s="167"/>
      <c r="CD52" s="167"/>
      <c r="CE52" s="167"/>
      <c r="CF52" s="167"/>
      <c r="CG52" s="167"/>
      <c r="CH52" s="167"/>
      <c r="CI52" s="167"/>
      <c r="CJ52" s="167"/>
      <c r="CK52" s="167"/>
      <c r="CL52" s="167"/>
      <c r="CM52" s="167"/>
      <c r="CN52" s="167"/>
      <c r="CO52" s="167"/>
      <c r="CP52" s="167"/>
      <c r="CQ52" s="167"/>
      <c r="CR52" s="167"/>
      <c r="CS52" s="167"/>
      <c r="CT52" s="167"/>
      <c r="CU52" s="167"/>
      <c r="CV52" s="167"/>
      <c r="CW52" s="167"/>
      <c r="CX52" s="167"/>
      <c r="CY52" s="167"/>
      <c r="CZ52" s="167"/>
      <c r="DA52" s="167"/>
      <c r="DB52" s="167"/>
      <c r="DC52" s="167"/>
      <c r="DD52" s="167"/>
      <c r="DE52" s="167"/>
      <c r="DF52" s="167"/>
      <c r="DG52" s="167"/>
      <c r="DH52" s="167"/>
      <c r="DI52" s="167"/>
      <c r="DJ52" s="167"/>
      <c r="DK52" s="167"/>
      <c r="DL52" s="167"/>
      <c r="DM52" s="167"/>
      <c r="DN52" s="167"/>
      <c r="DO52" s="167"/>
      <c r="DP52" s="167"/>
      <c r="DQ52" s="167"/>
      <c r="DR52" s="167"/>
      <c r="DS52" s="167"/>
      <c r="DT52" s="167"/>
      <c r="DU52" s="167"/>
      <c r="DV52" s="167"/>
      <c r="DW52" s="167"/>
      <c r="DX52" s="167"/>
      <c r="DY52" s="167"/>
      <c r="DZ52" s="167"/>
      <c r="EA52" s="167"/>
    </row>
    <row r="53" spans="15:131" ht="14.7" hidden="1" customHeight="1" x14ac:dyDescent="0.3">
      <c r="O53" s="167"/>
      <c r="P53" s="167"/>
      <c r="Q53" s="167"/>
      <c r="R53" s="167"/>
      <c r="S53" s="167"/>
      <c r="T53" s="167"/>
      <c r="U53" s="167"/>
      <c r="V53" s="167"/>
      <c r="W53" s="167"/>
      <c r="X53" s="167"/>
      <c r="Y53" s="167"/>
      <c r="Z53" s="167"/>
      <c r="AA53" s="167"/>
      <c r="AB53" s="167"/>
      <c r="AC53" s="167"/>
      <c r="AD53" s="167"/>
      <c r="AE53" s="167"/>
      <c r="AF53" s="167"/>
      <c r="AG53" s="167"/>
      <c r="AH53" s="167"/>
      <c r="AI53" s="167"/>
      <c r="AJ53" s="167"/>
      <c r="AK53" s="167"/>
      <c r="AL53" s="167"/>
      <c r="AM53" s="167"/>
      <c r="AN53" s="167"/>
      <c r="AO53" s="167"/>
      <c r="AP53" s="167"/>
      <c r="AQ53" s="167"/>
      <c r="AR53" s="167"/>
      <c r="AS53" s="167"/>
      <c r="AT53" s="167"/>
      <c r="AU53" s="167"/>
      <c r="AV53" s="167"/>
      <c r="AW53" s="167"/>
      <c r="AX53" s="167"/>
      <c r="AY53" s="167"/>
      <c r="AZ53" s="167"/>
      <c r="BA53" s="167"/>
      <c r="BB53" s="167"/>
      <c r="BC53" s="167"/>
      <c r="BD53" s="167"/>
      <c r="BE53" s="167"/>
      <c r="BF53" s="167"/>
      <c r="BG53" s="167"/>
      <c r="BH53" s="167"/>
      <c r="BI53" s="167"/>
      <c r="BJ53" s="167"/>
      <c r="BK53" s="167"/>
      <c r="BL53" s="167"/>
      <c r="BM53" s="167"/>
      <c r="BN53" s="167"/>
      <c r="BO53" s="167"/>
      <c r="BP53" s="167"/>
      <c r="BQ53" s="167"/>
      <c r="BR53" s="167"/>
      <c r="BS53" s="167"/>
      <c r="BT53" s="167"/>
      <c r="BU53" s="167"/>
      <c r="BV53" s="167"/>
      <c r="BW53" s="167"/>
      <c r="BX53" s="167"/>
      <c r="BY53" s="167"/>
      <c r="BZ53" s="167"/>
      <c r="CA53" s="167"/>
      <c r="CB53" s="167"/>
      <c r="CC53" s="167"/>
      <c r="CD53" s="167"/>
      <c r="CE53" s="167"/>
      <c r="CF53" s="167"/>
      <c r="CG53" s="167"/>
      <c r="CH53" s="167"/>
      <c r="CI53" s="167"/>
      <c r="CJ53" s="167"/>
      <c r="CK53" s="167"/>
      <c r="CL53" s="167"/>
      <c r="CM53" s="167"/>
      <c r="CN53" s="167"/>
      <c r="CO53" s="167"/>
      <c r="CP53" s="167"/>
      <c r="CQ53" s="167"/>
      <c r="CR53" s="167"/>
      <c r="CS53" s="167"/>
      <c r="CT53" s="167"/>
      <c r="CU53" s="167"/>
      <c r="CV53" s="167"/>
      <c r="CW53" s="167"/>
      <c r="CX53" s="167"/>
      <c r="CY53" s="167"/>
      <c r="CZ53" s="167"/>
      <c r="DA53" s="167"/>
      <c r="DB53" s="167"/>
      <c r="DC53" s="167"/>
      <c r="DD53" s="167"/>
      <c r="DE53" s="167"/>
      <c r="DF53" s="167"/>
      <c r="DG53" s="167"/>
      <c r="DH53" s="167"/>
      <c r="DI53" s="167"/>
      <c r="DJ53" s="167"/>
      <c r="DK53" s="167"/>
      <c r="DL53" s="167"/>
      <c r="DM53" s="167"/>
      <c r="DN53" s="167"/>
      <c r="DO53" s="167"/>
      <c r="DP53" s="167"/>
      <c r="DQ53" s="167"/>
      <c r="DR53" s="167"/>
      <c r="DS53" s="167"/>
      <c r="DT53" s="167"/>
      <c r="DU53" s="167"/>
      <c r="DV53" s="167"/>
      <c r="DW53" s="167"/>
      <c r="DX53" s="167"/>
      <c r="DY53" s="167"/>
      <c r="DZ53" s="167"/>
      <c r="EA53" s="167"/>
    </row>
    <row r="54" spans="15:131" ht="14.7" hidden="1" customHeight="1" x14ac:dyDescent="0.3">
      <c r="O54" s="167"/>
      <c r="P54" s="167"/>
      <c r="Q54" s="167"/>
      <c r="R54" s="167"/>
      <c r="S54" s="167"/>
      <c r="T54" s="167"/>
      <c r="U54" s="167"/>
      <c r="V54" s="167"/>
      <c r="W54" s="167"/>
      <c r="X54" s="167"/>
      <c r="Y54" s="167"/>
      <c r="Z54" s="167"/>
      <c r="AA54" s="167"/>
      <c r="AB54" s="167"/>
      <c r="AC54" s="167"/>
      <c r="AD54" s="167"/>
      <c r="AE54" s="167"/>
      <c r="AF54" s="167"/>
      <c r="AG54" s="167"/>
      <c r="AH54" s="167"/>
      <c r="AI54" s="167"/>
      <c r="AJ54" s="167"/>
      <c r="AK54" s="167"/>
      <c r="AL54" s="167"/>
      <c r="AM54" s="167"/>
      <c r="AN54" s="167"/>
      <c r="AO54" s="167"/>
      <c r="AP54" s="167"/>
      <c r="AQ54" s="167"/>
      <c r="AR54" s="167"/>
      <c r="AS54" s="167"/>
      <c r="AT54" s="167"/>
      <c r="AU54" s="167"/>
      <c r="AV54" s="167"/>
      <c r="AW54" s="167"/>
      <c r="AX54" s="167"/>
      <c r="AY54" s="167"/>
      <c r="AZ54" s="167"/>
      <c r="BA54" s="167"/>
      <c r="BB54" s="167"/>
      <c r="BC54" s="167"/>
      <c r="BD54" s="167"/>
      <c r="BE54" s="167"/>
      <c r="BF54" s="167"/>
      <c r="BG54" s="167"/>
      <c r="BH54" s="167"/>
      <c r="BI54" s="167"/>
      <c r="BJ54" s="167"/>
      <c r="BK54" s="167"/>
      <c r="BL54" s="167"/>
      <c r="BM54" s="167"/>
      <c r="BN54" s="167"/>
      <c r="BO54" s="167"/>
      <c r="BP54" s="167"/>
      <c r="BQ54" s="167"/>
      <c r="BR54" s="167"/>
      <c r="BS54" s="167"/>
      <c r="BT54" s="167"/>
      <c r="BU54" s="167"/>
      <c r="BV54" s="167"/>
      <c r="BW54" s="167"/>
      <c r="BX54" s="167"/>
      <c r="BY54" s="167"/>
      <c r="BZ54" s="167"/>
      <c r="CA54" s="167"/>
      <c r="CB54" s="167"/>
      <c r="CC54" s="167"/>
      <c r="CD54" s="167"/>
      <c r="CE54" s="167"/>
      <c r="CF54" s="167"/>
      <c r="CG54" s="167"/>
      <c r="CH54" s="167"/>
      <c r="CI54" s="167"/>
      <c r="CJ54" s="167"/>
      <c r="CK54" s="167"/>
      <c r="CL54" s="167"/>
      <c r="CM54" s="167"/>
      <c r="CN54" s="167"/>
      <c r="CO54" s="167"/>
      <c r="CP54" s="167"/>
      <c r="CQ54" s="167"/>
      <c r="CR54" s="167"/>
      <c r="CS54" s="167"/>
      <c r="CT54" s="167"/>
      <c r="CU54" s="167"/>
      <c r="CV54" s="167"/>
      <c r="CW54" s="167"/>
      <c r="CX54" s="167"/>
      <c r="CY54" s="167"/>
      <c r="CZ54" s="167"/>
      <c r="DA54" s="167"/>
      <c r="DB54" s="167"/>
      <c r="DC54" s="167"/>
      <c r="DD54" s="167"/>
      <c r="DE54" s="167"/>
      <c r="DF54" s="167"/>
      <c r="DG54" s="167"/>
      <c r="DH54" s="167"/>
      <c r="DI54" s="167"/>
      <c r="DJ54" s="167"/>
      <c r="DK54" s="167"/>
      <c r="DL54" s="167"/>
      <c r="DM54" s="167"/>
      <c r="DN54" s="167"/>
      <c r="DO54" s="167"/>
      <c r="DP54" s="167"/>
      <c r="DQ54" s="167"/>
      <c r="DR54" s="167"/>
      <c r="DS54" s="167"/>
      <c r="DT54" s="167"/>
      <c r="DU54" s="167"/>
      <c r="DV54" s="167"/>
      <c r="DW54" s="167"/>
      <c r="DX54" s="167"/>
      <c r="DY54" s="167"/>
      <c r="DZ54" s="167"/>
      <c r="EA54" s="167"/>
    </row>
    <row r="55" spans="15:131" ht="14.7" hidden="1" customHeight="1" x14ac:dyDescent="0.3">
      <c r="O55" s="167"/>
      <c r="P55" s="167"/>
      <c r="Q55" s="167"/>
      <c r="R55" s="167"/>
      <c r="S55" s="167"/>
      <c r="T55" s="167"/>
      <c r="U55" s="167"/>
      <c r="V55" s="167"/>
      <c r="W55" s="167"/>
      <c r="X55" s="167"/>
      <c r="Y55" s="167"/>
      <c r="Z55" s="167"/>
      <c r="AA55" s="167"/>
      <c r="AB55" s="167"/>
      <c r="AC55" s="167"/>
      <c r="AD55" s="167"/>
      <c r="AE55" s="167"/>
      <c r="AF55" s="167"/>
      <c r="AG55" s="167"/>
      <c r="AH55" s="167"/>
      <c r="AI55" s="167"/>
      <c r="AJ55" s="167"/>
      <c r="AK55" s="167"/>
      <c r="AL55" s="167"/>
      <c r="AM55" s="167"/>
      <c r="AN55" s="167"/>
      <c r="AO55" s="167"/>
      <c r="AP55" s="167"/>
      <c r="AQ55" s="167"/>
      <c r="AR55" s="167"/>
      <c r="AS55" s="167"/>
      <c r="AT55" s="167"/>
      <c r="AU55" s="167"/>
      <c r="AV55" s="167"/>
      <c r="AW55" s="167"/>
      <c r="AX55" s="167"/>
      <c r="AY55" s="167"/>
      <c r="AZ55" s="167"/>
      <c r="BA55" s="167"/>
      <c r="BB55" s="167"/>
      <c r="BC55" s="167"/>
      <c r="BD55" s="167"/>
      <c r="BE55" s="167"/>
      <c r="BF55" s="167"/>
      <c r="BG55" s="167"/>
      <c r="BH55" s="167"/>
      <c r="BI55" s="167"/>
      <c r="BJ55" s="167"/>
      <c r="BK55" s="167"/>
      <c r="BL55" s="167"/>
      <c r="BM55" s="167"/>
      <c r="BN55" s="167"/>
      <c r="BO55" s="167"/>
      <c r="BP55" s="167"/>
      <c r="BQ55" s="167"/>
      <c r="BR55" s="167"/>
      <c r="BS55" s="167"/>
      <c r="BT55" s="167"/>
      <c r="BU55" s="167"/>
      <c r="BV55" s="167"/>
      <c r="BW55" s="167"/>
      <c r="BX55" s="167"/>
      <c r="BY55" s="167"/>
      <c r="BZ55" s="167"/>
      <c r="CA55" s="167"/>
      <c r="CB55" s="167"/>
      <c r="CC55" s="167"/>
      <c r="CD55" s="167"/>
      <c r="CE55" s="167"/>
      <c r="CF55" s="167"/>
      <c r="CG55" s="167"/>
      <c r="CH55" s="167"/>
      <c r="CI55" s="167"/>
      <c r="CJ55" s="167"/>
      <c r="CK55" s="167"/>
      <c r="CL55" s="167"/>
      <c r="CM55" s="167"/>
      <c r="CN55" s="167"/>
      <c r="CO55" s="167"/>
      <c r="CP55" s="167"/>
      <c r="CQ55" s="167"/>
      <c r="CR55" s="167"/>
      <c r="CS55" s="167"/>
      <c r="CT55" s="167"/>
      <c r="CU55" s="167"/>
      <c r="CV55" s="167"/>
      <c r="CW55" s="167"/>
      <c r="CX55" s="167"/>
      <c r="CY55" s="167"/>
      <c r="CZ55" s="167"/>
      <c r="DA55" s="167"/>
      <c r="DB55" s="167"/>
      <c r="DC55" s="167"/>
      <c r="DD55" s="167"/>
      <c r="DE55" s="167"/>
      <c r="DF55" s="167"/>
      <c r="DG55" s="167"/>
      <c r="DH55" s="167"/>
      <c r="DI55" s="167"/>
      <c r="DJ55" s="167"/>
      <c r="DK55" s="167"/>
      <c r="DL55" s="167"/>
      <c r="DM55" s="167"/>
      <c r="DN55" s="167"/>
      <c r="DO55" s="167"/>
      <c r="DP55" s="167"/>
      <c r="DQ55" s="167"/>
      <c r="DR55" s="167"/>
      <c r="DS55" s="167"/>
      <c r="DT55" s="167"/>
      <c r="DU55" s="167"/>
      <c r="DV55" s="167"/>
      <c r="DW55" s="167"/>
      <c r="DX55" s="167"/>
      <c r="DY55" s="167"/>
      <c r="DZ55" s="167"/>
      <c r="EA55" s="167"/>
    </row>
    <row r="56" spans="15:131" ht="14.7" hidden="1" customHeight="1" x14ac:dyDescent="0.3">
      <c r="O56" s="167"/>
      <c r="P56" s="167"/>
      <c r="Q56" s="167"/>
      <c r="R56" s="167"/>
      <c r="S56" s="167"/>
      <c r="T56" s="167"/>
      <c r="U56" s="167"/>
      <c r="V56" s="167"/>
      <c r="W56" s="167"/>
      <c r="X56" s="167"/>
      <c r="Y56" s="167"/>
      <c r="Z56" s="167"/>
      <c r="AA56" s="167"/>
      <c r="AB56" s="167"/>
      <c r="AC56" s="167"/>
      <c r="AD56" s="167"/>
      <c r="AE56" s="167"/>
      <c r="AF56" s="167"/>
      <c r="AG56" s="167"/>
      <c r="AH56" s="167"/>
      <c r="AI56" s="167"/>
      <c r="AJ56" s="167"/>
      <c r="AK56" s="167"/>
      <c r="AL56" s="167"/>
      <c r="AM56" s="167"/>
      <c r="AN56" s="167"/>
      <c r="AO56" s="167"/>
      <c r="AP56" s="167"/>
      <c r="AQ56" s="167"/>
      <c r="AR56" s="167"/>
      <c r="AS56" s="167"/>
      <c r="AT56" s="167"/>
      <c r="AU56" s="167"/>
      <c r="AV56" s="167"/>
      <c r="AW56" s="167"/>
      <c r="AX56" s="167"/>
      <c r="AY56" s="167"/>
      <c r="AZ56" s="167"/>
      <c r="BA56" s="167"/>
      <c r="BB56" s="167"/>
      <c r="BC56" s="167"/>
      <c r="BD56" s="167"/>
      <c r="BE56" s="167"/>
      <c r="BF56" s="167"/>
      <c r="BG56" s="167"/>
      <c r="BH56" s="167"/>
      <c r="BI56" s="167"/>
      <c r="BJ56" s="167"/>
      <c r="BK56" s="167"/>
      <c r="BL56" s="167"/>
      <c r="BM56" s="167"/>
      <c r="BN56" s="167"/>
      <c r="BO56" s="167"/>
      <c r="BP56" s="167"/>
      <c r="BQ56" s="167"/>
      <c r="BR56" s="167"/>
      <c r="BS56" s="167"/>
      <c r="BT56" s="167"/>
      <c r="BU56" s="167"/>
      <c r="BV56" s="167"/>
      <c r="BW56" s="167"/>
      <c r="BX56" s="167"/>
      <c r="BY56" s="167"/>
      <c r="BZ56" s="167"/>
      <c r="CA56" s="167"/>
      <c r="CB56" s="167"/>
      <c r="CC56" s="167"/>
      <c r="CD56" s="167"/>
      <c r="CE56" s="167"/>
      <c r="CF56" s="167"/>
      <c r="CG56" s="167"/>
      <c r="CH56" s="167"/>
      <c r="CI56" s="167"/>
      <c r="CJ56" s="167"/>
      <c r="CK56" s="167"/>
      <c r="CL56" s="167"/>
      <c r="CM56" s="167"/>
      <c r="CN56" s="167"/>
      <c r="CO56" s="167"/>
      <c r="CP56" s="167"/>
      <c r="CQ56" s="167"/>
      <c r="CR56" s="167"/>
      <c r="CS56" s="167"/>
      <c r="CT56" s="167"/>
      <c r="CU56" s="167"/>
      <c r="CV56" s="167"/>
      <c r="CW56" s="167"/>
      <c r="CX56" s="167"/>
      <c r="CY56" s="167"/>
      <c r="CZ56" s="167"/>
      <c r="DA56" s="167"/>
      <c r="DB56" s="167"/>
      <c r="DC56" s="167"/>
      <c r="DD56" s="167"/>
      <c r="DE56" s="167"/>
      <c r="DF56" s="167"/>
      <c r="DG56" s="167"/>
      <c r="DH56" s="167"/>
      <c r="DI56" s="167"/>
      <c r="DJ56" s="167"/>
      <c r="DK56" s="167"/>
      <c r="DL56" s="167"/>
      <c r="DM56" s="167"/>
      <c r="DN56" s="167"/>
      <c r="DO56" s="167"/>
      <c r="DP56" s="167"/>
      <c r="DQ56" s="167"/>
      <c r="DR56" s="167"/>
      <c r="DS56" s="167"/>
      <c r="DT56" s="167"/>
      <c r="DU56" s="167"/>
      <c r="DV56" s="167"/>
      <c r="DW56" s="167"/>
      <c r="DX56" s="167"/>
      <c r="DY56" s="167"/>
      <c r="DZ56" s="167"/>
      <c r="EA56" s="167"/>
    </row>
    <row r="57" spans="15:131" ht="14.7" hidden="1" customHeight="1" x14ac:dyDescent="0.3">
      <c r="O57" s="167"/>
      <c r="P57" s="167"/>
      <c r="Q57" s="167"/>
      <c r="R57" s="167"/>
      <c r="S57" s="167"/>
      <c r="T57" s="167"/>
      <c r="U57" s="167"/>
      <c r="V57" s="167"/>
      <c r="W57" s="167"/>
      <c r="X57" s="167"/>
      <c r="Y57" s="167"/>
      <c r="Z57" s="167"/>
      <c r="AA57" s="167"/>
      <c r="AB57" s="167"/>
      <c r="AC57" s="167"/>
      <c r="AD57" s="167"/>
      <c r="AE57" s="167"/>
      <c r="AF57" s="167"/>
      <c r="AG57" s="167"/>
      <c r="AH57" s="167"/>
      <c r="AI57" s="167"/>
      <c r="AJ57" s="167"/>
      <c r="AK57" s="167"/>
      <c r="AL57" s="167"/>
      <c r="AM57" s="167"/>
      <c r="AN57" s="167"/>
      <c r="AO57" s="167"/>
      <c r="AP57" s="167"/>
      <c r="AQ57" s="167"/>
      <c r="AR57" s="167"/>
      <c r="AS57" s="167"/>
      <c r="AT57" s="167"/>
      <c r="AU57" s="167"/>
      <c r="AV57" s="167"/>
      <c r="AW57" s="167"/>
      <c r="AX57" s="167"/>
      <c r="AY57" s="167"/>
      <c r="AZ57" s="167"/>
      <c r="BA57" s="167"/>
      <c r="BB57" s="167"/>
      <c r="BC57" s="167"/>
      <c r="BD57" s="167"/>
      <c r="BE57" s="167"/>
      <c r="BF57" s="167"/>
      <c r="BG57" s="167"/>
      <c r="BH57" s="167"/>
      <c r="BI57" s="167"/>
      <c r="BJ57" s="167"/>
      <c r="BK57" s="167"/>
      <c r="BL57" s="167"/>
      <c r="BM57" s="167"/>
      <c r="BN57" s="167"/>
      <c r="BO57" s="167"/>
      <c r="BP57" s="167"/>
      <c r="BQ57" s="167"/>
      <c r="BR57" s="167"/>
      <c r="BS57" s="167"/>
      <c r="BT57" s="167"/>
      <c r="BU57" s="167"/>
      <c r="BV57" s="167"/>
      <c r="BW57" s="167"/>
      <c r="BX57" s="167"/>
      <c r="BY57" s="167"/>
      <c r="BZ57" s="167"/>
      <c r="CA57" s="167"/>
      <c r="CB57" s="167"/>
      <c r="CC57" s="167"/>
      <c r="CD57" s="167"/>
      <c r="CE57" s="167"/>
      <c r="CF57" s="167"/>
      <c r="CG57" s="167"/>
      <c r="CH57" s="167"/>
      <c r="CI57" s="167"/>
      <c r="CJ57" s="167"/>
      <c r="CK57" s="167"/>
      <c r="CL57" s="167"/>
      <c r="CM57" s="167"/>
      <c r="CN57" s="167"/>
      <c r="CO57" s="167"/>
      <c r="CP57" s="167"/>
      <c r="CQ57" s="167"/>
      <c r="CR57" s="167"/>
      <c r="CS57" s="167"/>
      <c r="CT57" s="167"/>
      <c r="CU57" s="167"/>
      <c r="CV57" s="167"/>
      <c r="CW57" s="167"/>
      <c r="CX57" s="167"/>
      <c r="CY57" s="167"/>
      <c r="CZ57" s="167"/>
      <c r="DA57" s="167"/>
      <c r="DB57" s="167"/>
      <c r="DC57" s="167"/>
      <c r="DD57" s="167"/>
      <c r="DE57" s="167"/>
      <c r="DF57" s="167"/>
      <c r="DG57" s="167"/>
      <c r="DH57" s="167"/>
      <c r="DI57" s="167"/>
      <c r="DJ57" s="167"/>
      <c r="DK57" s="167"/>
      <c r="DL57" s="167"/>
      <c r="DM57" s="167"/>
      <c r="DN57" s="167"/>
      <c r="DO57" s="167"/>
      <c r="DP57" s="167"/>
      <c r="DQ57" s="167"/>
      <c r="DR57" s="167"/>
      <c r="DS57" s="167"/>
      <c r="DT57" s="167"/>
      <c r="DU57" s="167"/>
      <c r="DV57" s="167"/>
      <c r="DW57" s="167"/>
      <c r="DX57" s="167"/>
      <c r="DY57" s="167"/>
      <c r="DZ57" s="167"/>
      <c r="EA57" s="167"/>
    </row>
    <row r="58" spans="15:131" ht="14.7" hidden="1" customHeight="1" x14ac:dyDescent="0.3">
      <c r="O58" s="167"/>
      <c r="P58" s="167"/>
      <c r="Q58" s="167"/>
      <c r="R58" s="167"/>
      <c r="S58" s="167"/>
      <c r="T58" s="167"/>
      <c r="U58" s="167"/>
      <c r="V58" s="167"/>
      <c r="W58" s="167"/>
      <c r="X58" s="167"/>
      <c r="Y58" s="167"/>
      <c r="Z58" s="167"/>
      <c r="AA58" s="167"/>
      <c r="AB58" s="167"/>
      <c r="AC58" s="167"/>
      <c r="AD58" s="167"/>
      <c r="AE58" s="167"/>
      <c r="AF58" s="167"/>
      <c r="AG58" s="167"/>
      <c r="AH58" s="167"/>
      <c r="AI58" s="167"/>
      <c r="AJ58" s="167"/>
      <c r="AK58" s="167"/>
      <c r="AL58" s="167"/>
      <c r="AM58" s="167"/>
      <c r="AN58" s="167"/>
      <c r="AO58" s="167"/>
      <c r="AP58" s="167"/>
      <c r="AQ58" s="167"/>
      <c r="AR58" s="167"/>
      <c r="AS58" s="167"/>
      <c r="AT58" s="167"/>
      <c r="AU58" s="167"/>
      <c r="AV58" s="167"/>
      <c r="AW58" s="167"/>
      <c r="AX58" s="167"/>
      <c r="AY58" s="167"/>
      <c r="AZ58" s="167"/>
      <c r="BA58" s="167"/>
      <c r="BB58" s="167"/>
      <c r="BC58" s="167"/>
      <c r="BD58" s="167"/>
      <c r="BE58" s="167"/>
      <c r="BF58" s="167"/>
      <c r="BG58" s="167"/>
      <c r="BH58" s="167"/>
      <c r="BI58" s="167"/>
      <c r="BJ58" s="167"/>
      <c r="BK58" s="167"/>
      <c r="BL58" s="167"/>
      <c r="BM58" s="167"/>
      <c r="BN58" s="167"/>
      <c r="BO58" s="167"/>
      <c r="BP58" s="167"/>
      <c r="BQ58" s="167"/>
      <c r="BR58" s="167"/>
      <c r="BS58" s="167"/>
      <c r="BT58" s="167"/>
      <c r="BU58" s="167"/>
      <c r="BV58" s="167"/>
      <c r="BW58" s="167"/>
      <c r="BX58" s="167"/>
      <c r="BY58" s="167"/>
      <c r="BZ58" s="167"/>
      <c r="CA58" s="167"/>
      <c r="CB58" s="167"/>
      <c r="CC58" s="167"/>
      <c r="CD58" s="167"/>
      <c r="CE58" s="167"/>
      <c r="CF58" s="167"/>
      <c r="CG58" s="167"/>
      <c r="CH58" s="167"/>
      <c r="CI58" s="167"/>
      <c r="CJ58" s="167"/>
      <c r="CK58" s="167"/>
      <c r="CL58" s="167"/>
      <c r="CM58" s="167"/>
      <c r="CN58" s="167"/>
      <c r="CO58" s="167"/>
      <c r="CP58" s="167"/>
      <c r="CQ58" s="167"/>
      <c r="CR58" s="167"/>
      <c r="CS58" s="167"/>
      <c r="CT58" s="167"/>
      <c r="CU58" s="167"/>
      <c r="CV58" s="167"/>
      <c r="CW58" s="167"/>
      <c r="CX58" s="167"/>
      <c r="CY58" s="167"/>
      <c r="CZ58" s="167"/>
      <c r="DA58" s="167"/>
      <c r="DB58" s="167"/>
      <c r="DC58" s="167"/>
      <c r="DD58" s="167"/>
      <c r="DE58" s="167"/>
      <c r="DF58" s="167"/>
      <c r="DG58" s="167"/>
      <c r="DH58" s="167"/>
      <c r="DI58" s="167"/>
      <c r="DJ58" s="167"/>
      <c r="DK58" s="167"/>
      <c r="DL58" s="167"/>
      <c r="DM58" s="167"/>
      <c r="DN58" s="167"/>
      <c r="DO58" s="167"/>
      <c r="DP58" s="167"/>
      <c r="DQ58" s="167"/>
      <c r="DR58" s="167"/>
      <c r="DS58" s="167"/>
      <c r="DT58" s="167"/>
      <c r="DU58" s="167"/>
      <c r="DV58" s="167"/>
      <c r="DW58" s="167"/>
      <c r="DX58" s="167"/>
      <c r="DY58" s="167"/>
      <c r="DZ58" s="167"/>
      <c r="EA58" s="167"/>
    </row>
    <row r="59" spans="15:131" ht="14.7" hidden="1" customHeight="1" x14ac:dyDescent="0.3">
      <c r="O59" s="167"/>
      <c r="P59" s="167"/>
      <c r="Q59" s="167"/>
      <c r="R59" s="167"/>
      <c r="S59" s="167"/>
      <c r="T59" s="167"/>
      <c r="U59" s="167"/>
      <c r="V59" s="167"/>
      <c r="W59" s="167"/>
      <c r="X59" s="167"/>
      <c r="Y59" s="167"/>
      <c r="Z59" s="167"/>
      <c r="AA59" s="167"/>
      <c r="AB59" s="167"/>
      <c r="AC59" s="167"/>
      <c r="AD59" s="167"/>
      <c r="AE59" s="167"/>
      <c r="AF59" s="167"/>
      <c r="AG59" s="167"/>
      <c r="AH59" s="167"/>
      <c r="AI59" s="167"/>
      <c r="AJ59" s="167"/>
      <c r="AK59" s="167"/>
      <c r="AL59" s="167"/>
      <c r="AM59" s="167"/>
      <c r="AN59" s="167"/>
      <c r="AO59" s="167"/>
      <c r="AP59" s="167"/>
      <c r="AQ59" s="167"/>
      <c r="AR59" s="167"/>
      <c r="AS59" s="167"/>
      <c r="AT59" s="167"/>
      <c r="AU59" s="167"/>
      <c r="AV59" s="167"/>
      <c r="AW59" s="167"/>
      <c r="AX59" s="167"/>
      <c r="AY59" s="167"/>
      <c r="AZ59" s="167"/>
      <c r="BA59" s="167"/>
      <c r="BB59" s="167"/>
      <c r="BC59" s="167"/>
      <c r="BD59" s="167"/>
      <c r="BE59" s="167"/>
      <c r="BF59" s="167"/>
      <c r="BG59" s="167"/>
      <c r="BH59" s="167"/>
      <c r="BI59" s="167"/>
      <c r="BJ59" s="167"/>
      <c r="BK59" s="167"/>
      <c r="BL59" s="167"/>
      <c r="BM59" s="167"/>
      <c r="BN59" s="167"/>
      <c r="BO59" s="167"/>
      <c r="BP59" s="167"/>
      <c r="BQ59" s="167"/>
      <c r="BR59" s="167"/>
      <c r="BS59" s="167"/>
      <c r="BT59" s="167"/>
      <c r="BU59" s="167"/>
      <c r="BV59" s="167"/>
      <c r="BW59" s="167"/>
      <c r="BX59" s="167"/>
      <c r="BY59" s="167"/>
      <c r="BZ59" s="167"/>
      <c r="CA59" s="167"/>
      <c r="CB59" s="167"/>
      <c r="CC59" s="167"/>
      <c r="CD59" s="167"/>
      <c r="CE59" s="167"/>
      <c r="CF59" s="167"/>
      <c r="CG59" s="167"/>
      <c r="CH59" s="167"/>
      <c r="CI59" s="167"/>
      <c r="CJ59" s="167"/>
      <c r="CK59" s="167"/>
      <c r="CL59" s="167"/>
      <c r="CM59" s="167"/>
      <c r="CN59" s="167"/>
      <c r="CO59" s="167"/>
      <c r="CP59" s="167"/>
      <c r="CQ59" s="167"/>
      <c r="CR59" s="167"/>
      <c r="CS59" s="167"/>
      <c r="CT59" s="167"/>
      <c r="CU59" s="167"/>
      <c r="CV59" s="167"/>
      <c r="CW59" s="167"/>
      <c r="CX59" s="167"/>
      <c r="CY59" s="167"/>
      <c r="CZ59" s="167"/>
      <c r="DA59" s="167"/>
      <c r="DB59" s="167"/>
      <c r="DC59" s="167"/>
      <c r="DD59" s="167"/>
      <c r="DE59" s="167"/>
      <c r="DF59" s="167"/>
      <c r="DG59" s="167"/>
      <c r="DH59" s="167"/>
      <c r="DI59" s="167"/>
      <c r="DJ59" s="167"/>
      <c r="DK59" s="167"/>
      <c r="DL59" s="167"/>
      <c r="DM59" s="167"/>
      <c r="DN59" s="167"/>
      <c r="DO59" s="167"/>
      <c r="DP59" s="167"/>
      <c r="DQ59" s="167"/>
      <c r="DR59" s="167"/>
      <c r="DS59" s="167"/>
      <c r="DT59" s="167"/>
      <c r="DU59" s="167"/>
      <c r="DV59" s="167"/>
      <c r="DW59" s="167"/>
      <c r="DX59" s="167"/>
      <c r="DY59" s="167"/>
      <c r="DZ59" s="167"/>
      <c r="EA59" s="167"/>
    </row>
    <row r="60" spans="15:131" ht="14.7" hidden="1" customHeight="1" x14ac:dyDescent="0.3">
      <c r="O60" s="167"/>
      <c r="P60" s="167"/>
      <c r="Q60" s="167"/>
      <c r="R60" s="167"/>
      <c r="S60" s="167"/>
      <c r="T60" s="167"/>
      <c r="U60" s="167"/>
      <c r="V60" s="167"/>
      <c r="W60" s="167"/>
      <c r="X60" s="167"/>
      <c r="Y60" s="167"/>
      <c r="Z60" s="167"/>
      <c r="AA60" s="167"/>
      <c r="AB60" s="167"/>
      <c r="AC60" s="167"/>
      <c r="AD60" s="167"/>
      <c r="AE60" s="167"/>
      <c r="AF60" s="167"/>
      <c r="AG60" s="167"/>
      <c r="AH60" s="167"/>
      <c r="AI60" s="167"/>
      <c r="AJ60" s="167"/>
      <c r="AK60" s="167"/>
      <c r="AL60" s="167"/>
      <c r="AM60" s="167"/>
      <c r="AN60" s="167"/>
      <c r="AO60" s="167"/>
      <c r="AP60" s="167"/>
      <c r="AQ60" s="167"/>
      <c r="AR60" s="167"/>
      <c r="AS60" s="167"/>
      <c r="AT60" s="167"/>
      <c r="AU60" s="167"/>
      <c r="AV60" s="167"/>
      <c r="AW60" s="167"/>
      <c r="AX60" s="167"/>
      <c r="AY60" s="167"/>
      <c r="AZ60" s="167"/>
      <c r="BA60" s="167"/>
      <c r="BB60" s="167"/>
      <c r="BC60" s="167"/>
      <c r="BD60" s="167"/>
      <c r="BE60" s="167"/>
      <c r="BF60" s="167"/>
      <c r="BG60" s="167"/>
      <c r="BH60" s="167"/>
      <c r="BI60" s="167"/>
      <c r="BJ60" s="167"/>
      <c r="BK60" s="167"/>
      <c r="BL60" s="167"/>
      <c r="BM60" s="167"/>
      <c r="BN60" s="167"/>
      <c r="BO60" s="167"/>
      <c r="BP60" s="167"/>
      <c r="BQ60" s="167"/>
      <c r="BR60" s="167"/>
      <c r="BS60" s="167"/>
      <c r="BT60" s="167"/>
      <c r="BU60" s="167"/>
      <c r="BV60" s="167"/>
      <c r="BW60" s="167"/>
      <c r="BX60" s="167"/>
      <c r="BY60" s="167"/>
      <c r="BZ60" s="167"/>
      <c r="CA60" s="167"/>
      <c r="CB60" s="167"/>
      <c r="CC60" s="167"/>
      <c r="CD60" s="167"/>
      <c r="CE60" s="167"/>
      <c r="CF60" s="167"/>
      <c r="CG60" s="167"/>
      <c r="CH60" s="167"/>
      <c r="CI60" s="167"/>
      <c r="CJ60" s="167"/>
      <c r="CK60" s="167"/>
      <c r="CL60" s="167"/>
      <c r="CM60" s="167"/>
      <c r="CN60" s="167"/>
      <c r="CO60" s="167"/>
      <c r="CP60" s="167"/>
      <c r="CQ60" s="167"/>
      <c r="CR60" s="167"/>
      <c r="CS60" s="167"/>
      <c r="CT60" s="167"/>
      <c r="CU60" s="167"/>
      <c r="CV60" s="167"/>
      <c r="CW60" s="167"/>
      <c r="CX60" s="167"/>
      <c r="CY60" s="167"/>
      <c r="CZ60" s="167"/>
      <c r="DA60" s="167"/>
      <c r="DB60" s="167"/>
      <c r="DC60" s="167"/>
      <c r="DD60" s="167"/>
      <c r="DE60" s="167"/>
      <c r="DF60" s="167"/>
      <c r="DG60" s="167"/>
      <c r="DH60" s="167"/>
      <c r="DI60" s="167"/>
      <c r="DJ60" s="167"/>
      <c r="DK60" s="167"/>
      <c r="DL60" s="167"/>
      <c r="DM60" s="167"/>
      <c r="DN60" s="167"/>
      <c r="DO60" s="167"/>
      <c r="DP60" s="167"/>
      <c r="DQ60" s="167"/>
      <c r="DR60" s="167"/>
      <c r="DS60" s="167"/>
      <c r="DT60" s="167"/>
      <c r="DU60" s="167"/>
      <c r="DV60" s="167"/>
      <c r="DW60" s="167"/>
      <c r="DX60" s="167"/>
      <c r="DY60" s="167"/>
      <c r="DZ60" s="167"/>
      <c r="EA60" s="167"/>
    </row>
    <row r="61" spans="15:131" ht="14.7" hidden="1" customHeight="1" x14ac:dyDescent="0.3">
      <c r="O61" s="167"/>
      <c r="P61" s="167"/>
      <c r="Q61" s="167"/>
      <c r="R61" s="167"/>
      <c r="S61" s="167"/>
      <c r="T61" s="167"/>
      <c r="U61" s="167"/>
      <c r="V61" s="167"/>
      <c r="W61" s="167"/>
      <c r="X61" s="167"/>
      <c r="Y61" s="167"/>
      <c r="Z61" s="167"/>
      <c r="AA61" s="167"/>
      <c r="AB61" s="167"/>
      <c r="AC61" s="167"/>
      <c r="AD61" s="167"/>
      <c r="AE61" s="167"/>
      <c r="AF61" s="167"/>
      <c r="AG61" s="167"/>
      <c r="AH61" s="167"/>
      <c r="AI61" s="167"/>
      <c r="AJ61" s="167"/>
      <c r="AK61" s="167"/>
      <c r="AL61" s="167"/>
      <c r="AM61" s="167"/>
      <c r="AN61" s="167"/>
      <c r="AO61" s="167"/>
      <c r="AP61" s="167"/>
      <c r="AQ61" s="167"/>
      <c r="AR61" s="167"/>
      <c r="AS61" s="167"/>
      <c r="AT61" s="167"/>
      <c r="AU61" s="167"/>
      <c r="AV61" s="167"/>
      <c r="AW61" s="167"/>
      <c r="AX61" s="167"/>
      <c r="AY61" s="167"/>
      <c r="AZ61" s="167"/>
      <c r="BA61" s="167"/>
      <c r="BB61" s="167"/>
      <c r="BC61" s="167"/>
      <c r="BD61" s="167"/>
      <c r="BE61" s="167"/>
      <c r="BF61" s="167"/>
      <c r="BG61" s="167"/>
      <c r="BH61" s="167"/>
      <c r="BI61" s="167"/>
      <c r="BJ61" s="167"/>
      <c r="BK61" s="167"/>
      <c r="BL61" s="167"/>
      <c r="BM61" s="167"/>
      <c r="BN61" s="167"/>
      <c r="BO61" s="167"/>
      <c r="BP61" s="167"/>
      <c r="BQ61" s="167"/>
      <c r="BR61" s="167"/>
      <c r="BS61" s="167"/>
      <c r="BT61" s="167"/>
      <c r="BU61" s="167"/>
      <c r="BV61" s="167"/>
      <c r="BW61" s="167"/>
      <c r="BX61" s="167"/>
      <c r="BY61" s="167"/>
      <c r="BZ61" s="167"/>
      <c r="CA61" s="167"/>
      <c r="CB61" s="167"/>
      <c r="CC61" s="167"/>
      <c r="CD61" s="167"/>
      <c r="CE61" s="167"/>
      <c r="CF61" s="167"/>
      <c r="CG61" s="167"/>
      <c r="CH61" s="167"/>
      <c r="CI61" s="167"/>
      <c r="CJ61" s="167"/>
      <c r="CK61" s="167"/>
      <c r="CL61" s="167"/>
      <c r="CM61" s="167"/>
      <c r="CN61" s="167"/>
      <c r="CO61" s="167"/>
      <c r="CP61" s="167"/>
      <c r="CQ61" s="167"/>
      <c r="CR61" s="167"/>
      <c r="CS61" s="167"/>
      <c r="CT61" s="167"/>
      <c r="CU61" s="167"/>
      <c r="CV61" s="167"/>
      <c r="CW61" s="167"/>
      <c r="CX61" s="167"/>
      <c r="CY61" s="167"/>
      <c r="CZ61" s="167"/>
      <c r="DA61" s="167"/>
      <c r="DB61" s="167"/>
      <c r="DC61" s="167"/>
      <c r="DD61" s="167"/>
      <c r="DE61" s="167"/>
      <c r="DF61" s="167"/>
      <c r="DG61" s="167"/>
      <c r="DH61" s="167"/>
      <c r="DI61" s="167"/>
      <c r="DJ61" s="167"/>
      <c r="DK61" s="167"/>
      <c r="DL61" s="167"/>
      <c r="DM61" s="167"/>
      <c r="DN61" s="167"/>
      <c r="DO61" s="167"/>
      <c r="DP61" s="167"/>
      <c r="DQ61" s="167"/>
      <c r="DR61" s="167"/>
      <c r="DS61" s="167"/>
      <c r="DT61" s="167"/>
      <c r="DU61" s="167"/>
      <c r="DV61" s="167"/>
      <c r="DW61" s="167"/>
      <c r="DX61" s="167"/>
      <c r="DY61" s="167"/>
      <c r="DZ61" s="167"/>
      <c r="EA61" s="167"/>
    </row>
    <row r="62" spans="15:131" ht="14.7" hidden="1" customHeight="1" x14ac:dyDescent="0.3">
      <c r="O62" s="167"/>
      <c r="P62" s="167"/>
      <c r="Q62" s="167"/>
      <c r="R62" s="167"/>
      <c r="S62" s="167"/>
      <c r="T62" s="167"/>
      <c r="U62" s="167"/>
      <c r="V62" s="167"/>
      <c r="W62" s="167"/>
      <c r="X62" s="167"/>
      <c r="Y62" s="167"/>
      <c r="Z62" s="167"/>
      <c r="AA62" s="167"/>
      <c r="AB62" s="167"/>
      <c r="AC62" s="167"/>
      <c r="AD62" s="167"/>
      <c r="AE62" s="167"/>
      <c r="AF62" s="167"/>
      <c r="AG62" s="167"/>
      <c r="AH62" s="167"/>
      <c r="AI62" s="167"/>
      <c r="AJ62" s="167"/>
      <c r="AK62" s="167"/>
      <c r="AL62" s="167"/>
      <c r="AM62" s="167"/>
      <c r="AN62" s="167"/>
      <c r="AO62" s="167"/>
      <c r="AP62" s="167"/>
      <c r="AQ62" s="167"/>
      <c r="AR62" s="167"/>
      <c r="AS62" s="167"/>
      <c r="AT62" s="167"/>
      <c r="AU62" s="167"/>
      <c r="AV62" s="167"/>
      <c r="AW62" s="167"/>
      <c r="AX62" s="167"/>
      <c r="AY62" s="167"/>
      <c r="AZ62" s="167"/>
      <c r="BA62" s="167"/>
      <c r="BB62" s="167"/>
      <c r="BC62" s="167"/>
      <c r="BD62" s="167"/>
      <c r="BE62" s="167"/>
      <c r="BF62" s="167"/>
      <c r="BG62" s="167"/>
      <c r="BH62" s="167"/>
      <c r="BI62" s="167"/>
      <c r="BJ62" s="167"/>
      <c r="BK62" s="167"/>
      <c r="BL62" s="167"/>
      <c r="BM62" s="167"/>
      <c r="BN62" s="167"/>
      <c r="BO62" s="167"/>
      <c r="BP62" s="167"/>
      <c r="BQ62" s="167"/>
      <c r="BR62" s="167"/>
      <c r="BS62" s="167"/>
      <c r="BT62" s="167"/>
      <c r="BU62" s="167"/>
      <c r="BV62" s="167"/>
      <c r="BW62" s="167"/>
      <c r="BX62" s="167"/>
      <c r="BY62" s="167"/>
      <c r="BZ62" s="167"/>
      <c r="CA62" s="167"/>
      <c r="CB62" s="167"/>
      <c r="CC62" s="167"/>
      <c r="CD62" s="167"/>
      <c r="CE62" s="167"/>
      <c r="CF62" s="167"/>
      <c r="CG62" s="167"/>
      <c r="CH62" s="167"/>
      <c r="CI62" s="167"/>
      <c r="CJ62" s="167"/>
      <c r="CK62" s="167"/>
      <c r="CL62" s="167"/>
      <c r="CM62" s="167"/>
      <c r="CN62" s="167"/>
      <c r="CO62" s="167"/>
      <c r="CP62" s="167"/>
      <c r="CQ62" s="167"/>
      <c r="CR62" s="167"/>
      <c r="CS62" s="167"/>
      <c r="CT62" s="167"/>
      <c r="CU62" s="167"/>
      <c r="CV62" s="167"/>
      <c r="CW62" s="167"/>
      <c r="CX62" s="167"/>
      <c r="CY62" s="167"/>
      <c r="CZ62" s="167"/>
      <c r="DA62" s="167"/>
      <c r="DB62" s="167"/>
      <c r="DC62" s="167"/>
      <c r="DD62" s="167"/>
      <c r="DE62" s="167"/>
      <c r="DF62" s="167"/>
      <c r="DG62" s="167"/>
      <c r="DH62" s="167"/>
      <c r="DI62" s="167"/>
      <c r="DJ62" s="167"/>
      <c r="DK62" s="167"/>
      <c r="DL62" s="167"/>
      <c r="DM62" s="167"/>
      <c r="DN62" s="167"/>
      <c r="DO62" s="167"/>
      <c r="DP62" s="167"/>
      <c r="DQ62" s="167"/>
      <c r="DR62" s="167"/>
      <c r="DS62" s="167"/>
      <c r="DT62" s="167"/>
      <c r="DU62" s="167"/>
      <c r="DV62" s="167"/>
      <c r="DW62" s="167"/>
      <c r="DX62" s="167"/>
      <c r="DY62" s="167"/>
      <c r="DZ62" s="167"/>
      <c r="EA62" s="167"/>
    </row>
    <row r="63" spans="15:131" ht="14.7" hidden="1" customHeight="1" x14ac:dyDescent="0.3">
      <c r="O63" s="167"/>
      <c r="P63" s="167"/>
      <c r="Q63" s="167"/>
      <c r="R63" s="167"/>
      <c r="S63" s="167"/>
      <c r="T63" s="167"/>
      <c r="U63" s="167"/>
      <c r="V63" s="167"/>
      <c r="W63" s="167"/>
      <c r="X63" s="167"/>
      <c r="Y63" s="167"/>
      <c r="Z63" s="167"/>
      <c r="AA63" s="167"/>
      <c r="AB63" s="167"/>
      <c r="AC63" s="167"/>
      <c r="AD63" s="167"/>
      <c r="AE63" s="167"/>
      <c r="AF63" s="167"/>
      <c r="AG63" s="167"/>
      <c r="AH63" s="167"/>
      <c r="AI63" s="167"/>
      <c r="AJ63" s="167"/>
      <c r="AK63" s="167"/>
      <c r="AL63" s="167"/>
      <c r="AM63" s="167"/>
      <c r="AN63" s="167"/>
      <c r="AO63" s="167"/>
      <c r="AP63" s="167"/>
      <c r="AQ63" s="167"/>
      <c r="AR63" s="167"/>
      <c r="AS63" s="167"/>
      <c r="AT63" s="167"/>
      <c r="AU63" s="167"/>
      <c r="AV63" s="167"/>
      <c r="AW63" s="167"/>
      <c r="AX63" s="167"/>
      <c r="AY63" s="167"/>
      <c r="AZ63" s="167"/>
      <c r="BA63" s="167"/>
      <c r="BB63" s="167"/>
      <c r="BC63" s="167"/>
      <c r="BD63" s="167"/>
      <c r="BE63" s="167"/>
      <c r="BF63" s="167"/>
      <c r="BG63" s="167"/>
      <c r="BH63" s="167"/>
      <c r="BI63" s="167"/>
      <c r="BJ63" s="167"/>
      <c r="BK63" s="167"/>
      <c r="BL63" s="167"/>
      <c r="BM63" s="167"/>
      <c r="BN63" s="167"/>
      <c r="BO63" s="167"/>
      <c r="BP63" s="167"/>
      <c r="BQ63" s="167"/>
      <c r="BR63" s="167"/>
      <c r="BS63" s="167"/>
      <c r="BT63" s="167"/>
      <c r="BU63" s="167"/>
      <c r="BV63" s="167"/>
      <c r="BW63" s="167"/>
      <c r="BX63" s="167"/>
      <c r="BY63" s="167"/>
      <c r="BZ63" s="167"/>
      <c r="CA63" s="167"/>
      <c r="CB63" s="167"/>
      <c r="CC63" s="167"/>
      <c r="CD63" s="167"/>
      <c r="CE63" s="167"/>
      <c r="CF63" s="167"/>
      <c r="CG63" s="167"/>
      <c r="CH63" s="167"/>
      <c r="CI63" s="167"/>
      <c r="CJ63" s="167"/>
      <c r="CK63" s="167"/>
      <c r="CL63" s="167"/>
      <c r="CM63" s="167"/>
      <c r="CN63" s="167"/>
      <c r="CO63" s="167"/>
      <c r="CP63" s="167"/>
      <c r="CQ63" s="167"/>
      <c r="CR63" s="167"/>
      <c r="CS63" s="167"/>
      <c r="CT63" s="167"/>
      <c r="CU63" s="167"/>
      <c r="CV63" s="167"/>
      <c r="CW63" s="167"/>
      <c r="CX63" s="167"/>
      <c r="CY63" s="167"/>
      <c r="CZ63" s="167"/>
      <c r="DA63" s="167"/>
      <c r="DB63" s="167"/>
      <c r="DC63" s="167"/>
      <c r="DD63" s="167"/>
      <c r="DE63" s="167"/>
      <c r="DF63" s="167"/>
      <c r="DG63" s="167"/>
      <c r="DH63" s="167"/>
      <c r="DI63" s="167"/>
      <c r="DJ63" s="167"/>
      <c r="DK63" s="167"/>
      <c r="DL63" s="167"/>
      <c r="DM63" s="167"/>
      <c r="DN63" s="167"/>
      <c r="DO63" s="167"/>
      <c r="DP63" s="167"/>
      <c r="DQ63" s="167"/>
      <c r="DR63" s="167"/>
      <c r="DS63" s="167"/>
      <c r="DT63" s="167"/>
      <c r="DU63" s="167"/>
      <c r="DV63" s="167"/>
      <c r="DW63" s="167"/>
      <c r="DX63" s="167"/>
      <c r="DY63" s="167"/>
      <c r="DZ63" s="167"/>
      <c r="EA63" s="167"/>
    </row>
    <row r="64" spans="15:131" ht="14.7" hidden="1" customHeight="1" x14ac:dyDescent="0.3">
      <c r="O64" s="167"/>
      <c r="P64" s="167"/>
      <c r="Q64" s="167"/>
      <c r="R64" s="167"/>
      <c r="S64" s="167"/>
      <c r="T64" s="167"/>
      <c r="U64" s="167"/>
      <c r="V64" s="167"/>
      <c r="W64" s="167"/>
      <c r="X64" s="167"/>
      <c r="Y64" s="167"/>
      <c r="Z64" s="167"/>
      <c r="AA64" s="167"/>
      <c r="AB64" s="167"/>
      <c r="AC64" s="167"/>
      <c r="AD64" s="167"/>
      <c r="AE64" s="167"/>
      <c r="AF64" s="167"/>
      <c r="AG64" s="167"/>
      <c r="AH64" s="167"/>
      <c r="AI64" s="167"/>
      <c r="AJ64" s="167"/>
      <c r="AK64" s="167"/>
      <c r="AL64" s="167"/>
      <c r="AM64" s="167"/>
      <c r="AN64" s="167"/>
      <c r="AO64" s="167"/>
      <c r="AP64" s="167"/>
      <c r="AQ64" s="167"/>
      <c r="AR64" s="167"/>
      <c r="AS64" s="167"/>
      <c r="AT64" s="167"/>
      <c r="AU64" s="167"/>
      <c r="AV64" s="167"/>
      <c r="AW64" s="167"/>
      <c r="AX64" s="167"/>
      <c r="AY64" s="167"/>
      <c r="AZ64" s="167"/>
      <c r="BA64" s="167"/>
      <c r="BB64" s="167"/>
      <c r="BC64" s="167"/>
      <c r="BD64" s="167"/>
      <c r="BE64" s="167"/>
      <c r="BF64" s="167"/>
      <c r="BG64" s="167"/>
      <c r="BH64" s="167"/>
      <c r="BI64" s="167"/>
      <c r="BJ64" s="167"/>
      <c r="BK64" s="167"/>
      <c r="BL64" s="167"/>
      <c r="BM64" s="167"/>
      <c r="BN64" s="167"/>
      <c r="BO64" s="167"/>
      <c r="BP64" s="167"/>
      <c r="BQ64" s="167"/>
      <c r="BR64" s="167"/>
      <c r="BS64" s="167"/>
      <c r="BT64" s="167"/>
      <c r="BU64" s="167"/>
      <c r="BV64" s="167"/>
      <c r="BW64" s="167"/>
      <c r="BX64" s="167"/>
      <c r="BY64" s="167"/>
      <c r="BZ64" s="167"/>
      <c r="CA64" s="167"/>
      <c r="CB64" s="167"/>
      <c r="CC64" s="167"/>
      <c r="CD64" s="167"/>
      <c r="CE64" s="167"/>
      <c r="CF64" s="167"/>
      <c r="CG64" s="167"/>
      <c r="CH64" s="167"/>
      <c r="CI64" s="167"/>
      <c r="CJ64" s="167"/>
      <c r="CK64" s="167"/>
      <c r="CL64" s="167"/>
      <c r="CM64" s="167"/>
      <c r="CN64" s="167"/>
      <c r="CO64" s="167"/>
      <c r="CP64" s="167"/>
      <c r="CQ64" s="167"/>
      <c r="CR64" s="167"/>
      <c r="CS64" s="167"/>
      <c r="CT64" s="167"/>
      <c r="CU64" s="167"/>
      <c r="CV64" s="167"/>
      <c r="CW64" s="167"/>
      <c r="CX64" s="167"/>
      <c r="CY64" s="167"/>
      <c r="CZ64" s="167"/>
      <c r="DA64" s="167"/>
      <c r="DB64" s="167"/>
      <c r="DC64" s="167"/>
      <c r="DD64" s="167"/>
      <c r="DE64" s="167"/>
      <c r="DF64" s="167"/>
      <c r="DG64" s="167"/>
      <c r="DH64" s="167"/>
      <c r="DI64" s="167"/>
      <c r="DJ64" s="167"/>
      <c r="DK64" s="167"/>
      <c r="DL64" s="167"/>
      <c r="DM64" s="167"/>
      <c r="DN64" s="167"/>
      <c r="DO64" s="167"/>
      <c r="DP64" s="167"/>
      <c r="DQ64" s="167"/>
      <c r="DR64" s="167"/>
      <c r="DS64" s="167"/>
      <c r="DT64" s="167"/>
      <c r="DU64" s="167"/>
      <c r="DV64" s="167"/>
      <c r="DW64" s="167"/>
      <c r="DX64" s="167"/>
      <c r="DY64" s="167"/>
      <c r="DZ64" s="167"/>
      <c r="EA64" s="167"/>
    </row>
    <row r="65" spans="15:131" ht="14.7" hidden="1" customHeight="1" x14ac:dyDescent="0.3">
      <c r="O65" s="167"/>
      <c r="P65" s="167"/>
      <c r="Q65" s="167"/>
      <c r="R65" s="167"/>
      <c r="S65" s="167"/>
      <c r="T65" s="167"/>
      <c r="U65" s="167"/>
      <c r="V65" s="167"/>
      <c r="W65" s="167"/>
      <c r="X65" s="167"/>
      <c r="Y65" s="167"/>
      <c r="Z65" s="167"/>
      <c r="AA65" s="167"/>
      <c r="AB65" s="167"/>
      <c r="AC65" s="167"/>
      <c r="AD65" s="167"/>
      <c r="AE65" s="167"/>
      <c r="AF65" s="167"/>
      <c r="AG65" s="167"/>
      <c r="AH65" s="167"/>
      <c r="AI65" s="167"/>
      <c r="AJ65" s="167"/>
      <c r="AK65" s="167"/>
      <c r="AL65" s="167"/>
      <c r="AM65" s="167"/>
      <c r="AN65" s="167"/>
      <c r="AO65" s="167"/>
      <c r="AP65" s="167"/>
      <c r="AQ65" s="167"/>
      <c r="AR65" s="167"/>
      <c r="AS65" s="167"/>
      <c r="AT65" s="167"/>
      <c r="AU65" s="167"/>
      <c r="AV65" s="167"/>
      <c r="AW65" s="167"/>
      <c r="AX65" s="167"/>
      <c r="AY65" s="167"/>
      <c r="AZ65" s="167"/>
      <c r="BA65" s="167"/>
      <c r="BB65" s="167"/>
      <c r="BC65" s="167"/>
      <c r="BD65" s="167"/>
      <c r="BE65" s="167"/>
      <c r="BF65" s="167"/>
      <c r="BG65" s="167"/>
      <c r="BH65" s="167"/>
      <c r="BI65" s="167"/>
      <c r="BJ65" s="167"/>
      <c r="BK65" s="167"/>
      <c r="BL65" s="167"/>
      <c r="BM65" s="167"/>
      <c r="BN65" s="167"/>
      <c r="BO65" s="167"/>
      <c r="BP65" s="167"/>
      <c r="BQ65" s="167"/>
      <c r="BR65" s="167"/>
      <c r="BS65" s="167"/>
      <c r="BT65" s="167"/>
      <c r="BU65" s="167"/>
      <c r="BV65" s="167"/>
      <c r="BW65" s="167"/>
      <c r="BX65" s="167"/>
      <c r="BY65" s="167"/>
      <c r="BZ65" s="167"/>
      <c r="CA65" s="167"/>
      <c r="CB65" s="167"/>
      <c r="CC65" s="167"/>
      <c r="CD65" s="167"/>
      <c r="CE65" s="167"/>
      <c r="CF65" s="167"/>
      <c r="CG65" s="167"/>
      <c r="CH65" s="167"/>
      <c r="CI65" s="167"/>
      <c r="CJ65" s="167"/>
      <c r="CK65" s="167"/>
      <c r="CL65" s="167"/>
      <c r="CM65" s="167"/>
      <c r="CN65" s="167"/>
      <c r="CO65" s="167"/>
      <c r="CP65" s="167"/>
      <c r="CQ65" s="167"/>
      <c r="CR65" s="167"/>
      <c r="CS65" s="167"/>
      <c r="CT65" s="167"/>
      <c r="CU65" s="167"/>
      <c r="CV65" s="167"/>
      <c r="CW65" s="167"/>
      <c r="CX65" s="167"/>
      <c r="CY65" s="167"/>
      <c r="CZ65" s="167"/>
      <c r="DA65" s="167"/>
      <c r="DB65" s="167"/>
      <c r="DC65" s="167"/>
      <c r="DD65" s="167"/>
      <c r="DE65" s="167"/>
      <c r="DF65" s="167"/>
      <c r="DG65" s="167"/>
      <c r="DH65" s="167"/>
      <c r="DI65" s="167"/>
      <c r="DJ65" s="167"/>
      <c r="DK65" s="167"/>
      <c r="DL65" s="167"/>
      <c r="DM65" s="167"/>
      <c r="DN65" s="167"/>
      <c r="DO65" s="167"/>
      <c r="DP65" s="167"/>
      <c r="DQ65" s="167"/>
      <c r="DR65" s="167"/>
      <c r="DS65" s="167"/>
      <c r="DT65" s="167"/>
      <c r="DU65" s="167"/>
      <c r="DV65" s="167"/>
      <c r="DW65" s="167"/>
      <c r="DX65" s="167"/>
      <c r="DY65" s="167"/>
      <c r="DZ65" s="167"/>
      <c r="EA65" s="167"/>
    </row>
    <row r="66" spans="15:131" ht="14.7" hidden="1" customHeight="1" x14ac:dyDescent="0.3">
      <c r="O66" s="167"/>
      <c r="P66" s="167"/>
      <c r="Q66" s="167"/>
      <c r="R66" s="167"/>
      <c r="S66" s="167"/>
      <c r="T66" s="167"/>
      <c r="U66" s="167"/>
      <c r="V66" s="167"/>
      <c r="W66" s="167"/>
      <c r="X66" s="167"/>
      <c r="Y66" s="167"/>
      <c r="Z66" s="167"/>
      <c r="AA66" s="167"/>
      <c r="AB66" s="167"/>
      <c r="AC66" s="167"/>
      <c r="AD66" s="167"/>
      <c r="AE66" s="167"/>
      <c r="AF66" s="167"/>
      <c r="AG66" s="167"/>
      <c r="AH66" s="167"/>
      <c r="AI66" s="167"/>
      <c r="AJ66" s="167"/>
      <c r="AK66" s="167"/>
      <c r="AL66" s="167"/>
      <c r="AM66" s="167"/>
      <c r="AN66" s="167"/>
      <c r="AO66" s="167"/>
      <c r="AP66" s="167"/>
      <c r="AQ66" s="167"/>
      <c r="AR66" s="167"/>
      <c r="AS66" s="167"/>
      <c r="AT66" s="167"/>
      <c r="AU66" s="167"/>
      <c r="AV66" s="167"/>
      <c r="AW66" s="167"/>
      <c r="AX66" s="167"/>
      <c r="AY66" s="167"/>
      <c r="AZ66" s="167"/>
      <c r="BA66" s="167"/>
      <c r="BB66" s="167"/>
      <c r="BC66" s="167"/>
      <c r="BD66" s="167"/>
      <c r="BE66" s="167"/>
      <c r="BF66" s="167"/>
      <c r="BG66" s="167"/>
      <c r="BH66" s="167"/>
      <c r="BI66" s="167"/>
      <c r="BJ66" s="167"/>
      <c r="BK66" s="167"/>
      <c r="BL66" s="167"/>
      <c r="BM66" s="167"/>
      <c r="BN66" s="167"/>
      <c r="BO66" s="167"/>
      <c r="BP66" s="167"/>
      <c r="BQ66" s="167"/>
      <c r="BR66" s="167"/>
      <c r="BS66" s="167"/>
      <c r="BT66" s="167"/>
      <c r="BU66" s="167"/>
      <c r="BV66" s="167"/>
      <c r="BW66" s="167"/>
      <c r="BX66" s="167"/>
      <c r="BY66" s="167"/>
      <c r="BZ66" s="167"/>
      <c r="CA66" s="167"/>
      <c r="CB66" s="167"/>
      <c r="CC66" s="167"/>
      <c r="CD66" s="167"/>
      <c r="CE66" s="167"/>
      <c r="CF66" s="167"/>
      <c r="CG66" s="167"/>
      <c r="CH66" s="167"/>
      <c r="CI66" s="167"/>
      <c r="CJ66" s="167"/>
      <c r="CK66" s="167"/>
      <c r="CL66" s="167"/>
      <c r="CM66" s="167"/>
      <c r="CN66" s="167"/>
      <c r="CO66" s="167"/>
      <c r="CP66" s="167"/>
      <c r="CQ66" s="167"/>
      <c r="CR66" s="167"/>
      <c r="CS66" s="167"/>
      <c r="CT66" s="167"/>
      <c r="CU66" s="167"/>
      <c r="CV66" s="167"/>
      <c r="CW66" s="167"/>
      <c r="CX66" s="167"/>
      <c r="CY66" s="167"/>
      <c r="CZ66" s="167"/>
      <c r="DA66" s="167"/>
      <c r="DB66" s="167"/>
      <c r="DC66" s="167"/>
      <c r="DD66" s="167"/>
      <c r="DE66" s="167"/>
      <c r="DF66" s="167"/>
      <c r="DG66" s="167"/>
      <c r="DH66" s="167"/>
      <c r="DI66" s="167"/>
      <c r="DJ66" s="167"/>
      <c r="DK66" s="167"/>
      <c r="DL66" s="167"/>
      <c r="DM66" s="167"/>
      <c r="DN66" s="167"/>
      <c r="DO66" s="167"/>
      <c r="DP66" s="167"/>
      <c r="DQ66" s="167"/>
      <c r="DR66" s="167"/>
      <c r="DS66" s="167"/>
      <c r="DT66" s="167"/>
      <c r="DU66" s="167"/>
      <c r="DV66" s="167"/>
      <c r="DW66" s="167"/>
      <c r="DX66" s="167"/>
      <c r="DY66" s="167"/>
      <c r="DZ66" s="167"/>
      <c r="EA66" s="167"/>
    </row>
    <row r="67" spans="15:131" ht="14.7" hidden="1" customHeight="1" x14ac:dyDescent="0.3">
      <c r="O67" s="167"/>
      <c r="P67" s="167"/>
      <c r="Q67" s="167"/>
      <c r="R67" s="167"/>
      <c r="S67" s="167"/>
      <c r="T67" s="167"/>
      <c r="U67" s="167"/>
      <c r="V67" s="167"/>
      <c r="W67" s="167"/>
      <c r="X67" s="167"/>
      <c r="Y67" s="167"/>
      <c r="Z67" s="167"/>
      <c r="AA67" s="167"/>
      <c r="AB67" s="167"/>
      <c r="AC67" s="167"/>
      <c r="AD67" s="167"/>
      <c r="AE67" s="167"/>
      <c r="AF67" s="167"/>
      <c r="AG67" s="167"/>
      <c r="AH67" s="167"/>
      <c r="AI67" s="167"/>
      <c r="AJ67" s="167"/>
      <c r="AK67" s="167"/>
      <c r="AL67" s="167"/>
      <c r="AM67" s="167"/>
      <c r="AN67" s="167"/>
      <c r="AO67" s="167"/>
      <c r="AP67" s="167"/>
      <c r="AQ67" s="167"/>
      <c r="AR67" s="167"/>
      <c r="AS67" s="167"/>
      <c r="AT67" s="167"/>
      <c r="AU67" s="167"/>
      <c r="AV67" s="167"/>
      <c r="AW67" s="167"/>
      <c r="AX67" s="167"/>
      <c r="AY67" s="167"/>
      <c r="AZ67" s="167"/>
      <c r="BA67" s="167"/>
      <c r="BB67" s="167"/>
      <c r="BC67" s="167"/>
      <c r="BD67" s="167"/>
      <c r="BE67" s="167"/>
      <c r="BF67" s="167"/>
      <c r="BG67" s="167"/>
      <c r="BH67" s="167"/>
      <c r="BI67" s="167"/>
      <c r="BJ67" s="167"/>
      <c r="BK67" s="167"/>
      <c r="BL67" s="167"/>
      <c r="BM67" s="167"/>
      <c r="BN67" s="167"/>
      <c r="BO67" s="167"/>
      <c r="BP67" s="167"/>
      <c r="BQ67" s="167"/>
      <c r="BR67" s="167"/>
      <c r="BS67" s="167"/>
      <c r="BT67" s="167"/>
      <c r="BU67" s="167"/>
      <c r="BV67" s="167"/>
      <c r="BW67" s="167"/>
      <c r="BX67" s="167"/>
      <c r="BY67" s="167"/>
      <c r="BZ67" s="167"/>
      <c r="CA67" s="167"/>
      <c r="CB67" s="167"/>
      <c r="CC67" s="167"/>
      <c r="CD67" s="167"/>
      <c r="CE67" s="167"/>
      <c r="CF67" s="167"/>
      <c r="CG67" s="167"/>
      <c r="CH67" s="167"/>
      <c r="CI67" s="167"/>
      <c r="CJ67" s="167"/>
      <c r="CK67" s="167"/>
      <c r="CL67" s="167"/>
      <c r="CM67" s="167"/>
      <c r="CN67" s="167"/>
      <c r="CO67" s="167"/>
      <c r="CP67" s="167"/>
      <c r="CQ67" s="167"/>
      <c r="CR67" s="167"/>
      <c r="CS67" s="167"/>
      <c r="CT67" s="167"/>
      <c r="CU67" s="167"/>
      <c r="CV67" s="167"/>
      <c r="CW67" s="167"/>
      <c r="CX67" s="167"/>
      <c r="CY67" s="167"/>
      <c r="CZ67" s="167"/>
      <c r="DA67" s="167"/>
      <c r="DB67" s="167"/>
      <c r="DC67" s="167"/>
      <c r="DD67" s="167"/>
      <c r="DE67" s="167"/>
      <c r="DF67" s="167"/>
      <c r="DG67" s="167"/>
      <c r="DH67" s="167"/>
      <c r="DI67" s="167"/>
      <c r="DJ67" s="167"/>
      <c r="DK67" s="167"/>
      <c r="DL67" s="167"/>
      <c r="DM67" s="167"/>
      <c r="DN67" s="167"/>
      <c r="DO67" s="167"/>
      <c r="DP67" s="167"/>
      <c r="DQ67" s="167"/>
      <c r="DR67" s="167"/>
      <c r="DS67" s="167"/>
      <c r="DT67" s="167"/>
      <c r="DU67" s="167"/>
      <c r="DV67" s="167"/>
      <c r="DW67" s="167"/>
      <c r="DX67" s="167"/>
      <c r="DY67" s="167"/>
      <c r="DZ67" s="167"/>
      <c r="EA67" s="167"/>
    </row>
    <row r="68" spans="15:131" ht="14.7" hidden="1" customHeight="1" x14ac:dyDescent="0.3">
      <c r="O68" s="167"/>
      <c r="P68" s="167"/>
      <c r="Q68" s="167"/>
      <c r="R68" s="167"/>
      <c r="S68" s="167"/>
      <c r="T68" s="167"/>
      <c r="U68" s="167"/>
      <c r="V68" s="167"/>
      <c r="W68" s="167"/>
      <c r="X68" s="167"/>
      <c r="Y68" s="167"/>
      <c r="Z68" s="167"/>
      <c r="AA68" s="167"/>
      <c r="AB68" s="167"/>
      <c r="AC68" s="167"/>
      <c r="AD68" s="167"/>
      <c r="AE68" s="167"/>
      <c r="AF68" s="167"/>
      <c r="AG68" s="167"/>
      <c r="AH68" s="167"/>
      <c r="AI68" s="167"/>
      <c r="AJ68" s="167"/>
      <c r="AK68" s="167"/>
      <c r="AL68" s="167"/>
      <c r="AM68" s="167"/>
      <c r="AN68" s="167"/>
      <c r="AO68" s="167"/>
      <c r="AP68" s="167"/>
      <c r="AQ68" s="167"/>
      <c r="AR68" s="167"/>
      <c r="AS68" s="167"/>
      <c r="AT68" s="167"/>
      <c r="AU68" s="167"/>
      <c r="AV68" s="167"/>
      <c r="AW68" s="167"/>
      <c r="AX68" s="167"/>
      <c r="AY68" s="167"/>
      <c r="AZ68" s="167"/>
      <c r="BA68" s="167"/>
      <c r="BB68" s="167"/>
      <c r="BC68" s="167"/>
      <c r="BD68" s="167"/>
      <c r="BE68" s="167"/>
      <c r="BF68" s="167"/>
      <c r="BG68" s="167"/>
      <c r="BH68" s="167"/>
      <c r="BI68" s="167"/>
      <c r="BJ68" s="167"/>
      <c r="BK68" s="167"/>
      <c r="BL68" s="167"/>
      <c r="BM68" s="167"/>
      <c r="BN68" s="167"/>
      <c r="BO68" s="167"/>
      <c r="BP68" s="167"/>
      <c r="BQ68" s="167"/>
      <c r="BR68" s="167"/>
      <c r="BS68" s="167"/>
      <c r="BT68" s="167"/>
      <c r="BU68" s="167"/>
      <c r="BV68" s="167"/>
      <c r="BW68" s="167"/>
      <c r="BX68" s="167"/>
      <c r="BY68" s="167"/>
      <c r="BZ68" s="167"/>
      <c r="CA68" s="167"/>
      <c r="CB68" s="167"/>
      <c r="CC68" s="167"/>
      <c r="CD68" s="167"/>
      <c r="CE68" s="167"/>
      <c r="CF68" s="167"/>
      <c r="CG68" s="167"/>
      <c r="CH68" s="167"/>
      <c r="CI68" s="167"/>
      <c r="CJ68" s="167"/>
      <c r="CK68" s="167"/>
      <c r="CL68" s="167"/>
      <c r="CM68" s="167"/>
      <c r="CN68" s="167"/>
      <c r="CO68" s="167"/>
      <c r="CP68" s="167"/>
      <c r="CQ68" s="167"/>
      <c r="CR68" s="167"/>
      <c r="CS68" s="167"/>
      <c r="CT68" s="167"/>
      <c r="CU68" s="167"/>
      <c r="CV68" s="167"/>
      <c r="CW68" s="167"/>
      <c r="CX68" s="167"/>
      <c r="CY68" s="167"/>
      <c r="CZ68" s="167"/>
      <c r="DA68" s="167"/>
      <c r="DB68" s="167"/>
      <c r="DC68" s="167"/>
      <c r="DD68" s="167"/>
      <c r="DE68" s="167"/>
      <c r="DF68" s="167"/>
      <c r="DG68" s="167"/>
      <c r="DH68" s="167"/>
      <c r="DI68" s="167"/>
      <c r="DJ68" s="167"/>
      <c r="DK68" s="167"/>
      <c r="DL68" s="167"/>
      <c r="DM68" s="167"/>
      <c r="DN68" s="167"/>
      <c r="DO68" s="167"/>
      <c r="DP68" s="167"/>
      <c r="DQ68" s="167"/>
      <c r="DR68" s="167"/>
      <c r="DS68" s="167"/>
      <c r="DT68" s="167"/>
      <c r="DU68" s="167"/>
      <c r="DV68" s="167"/>
      <c r="DW68" s="167"/>
      <c r="DX68" s="167"/>
      <c r="DY68" s="167"/>
      <c r="DZ68" s="167"/>
      <c r="EA68" s="167"/>
    </row>
    <row r="69" spans="15:131" ht="14.7" hidden="1" customHeight="1" x14ac:dyDescent="0.3">
      <c r="O69" s="167"/>
      <c r="P69" s="167"/>
      <c r="Q69" s="167"/>
      <c r="R69" s="167"/>
      <c r="S69" s="167"/>
      <c r="T69" s="167"/>
      <c r="U69" s="167"/>
      <c r="V69" s="167"/>
      <c r="W69" s="167"/>
      <c r="X69" s="167"/>
      <c r="Y69" s="167"/>
      <c r="Z69" s="167"/>
      <c r="AA69" s="167"/>
      <c r="AB69" s="167"/>
      <c r="AC69" s="167"/>
      <c r="AD69" s="167"/>
      <c r="AE69" s="167"/>
      <c r="AF69" s="167"/>
      <c r="AG69" s="167"/>
      <c r="AH69" s="167"/>
      <c r="AI69" s="167"/>
      <c r="AJ69" s="167"/>
      <c r="AK69" s="167"/>
      <c r="AL69" s="167"/>
      <c r="AM69" s="167"/>
      <c r="AN69" s="167"/>
      <c r="AO69" s="167"/>
      <c r="AP69" s="167"/>
      <c r="AQ69" s="167"/>
      <c r="AR69" s="167"/>
      <c r="AS69" s="167"/>
      <c r="AT69" s="167"/>
      <c r="AU69" s="167"/>
      <c r="AV69" s="167"/>
      <c r="AW69" s="167"/>
      <c r="AX69" s="167"/>
      <c r="AY69" s="167"/>
      <c r="AZ69" s="167"/>
      <c r="BA69" s="167"/>
      <c r="BB69" s="167"/>
      <c r="BC69" s="167"/>
      <c r="BD69" s="167"/>
      <c r="BE69" s="167"/>
      <c r="BF69" s="167"/>
      <c r="BG69" s="167"/>
      <c r="BH69" s="167"/>
      <c r="BI69" s="167"/>
      <c r="BJ69" s="167"/>
      <c r="BK69" s="167"/>
      <c r="BL69" s="167"/>
      <c r="BM69" s="167"/>
      <c r="BN69" s="167"/>
      <c r="BO69" s="167"/>
      <c r="BP69" s="167"/>
      <c r="BQ69" s="167"/>
      <c r="BR69" s="167"/>
      <c r="BS69" s="167"/>
      <c r="BT69" s="167"/>
      <c r="BU69" s="167"/>
      <c r="BV69" s="167"/>
      <c r="BW69" s="167"/>
      <c r="BX69" s="167"/>
      <c r="BY69" s="167"/>
      <c r="BZ69" s="167"/>
      <c r="CA69" s="167"/>
      <c r="CB69" s="167"/>
      <c r="CC69" s="167"/>
      <c r="CD69" s="167"/>
      <c r="CE69" s="167"/>
      <c r="CF69" s="167"/>
      <c r="CG69" s="167"/>
      <c r="CH69" s="167"/>
      <c r="CI69" s="167"/>
      <c r="CJ69" s="167"/>
      <c r="CK69" s="167"/>
      <c r="CL69" s="167"/>
      <c r="CM69" s="167"/>
      <c r="CN69" s="167"/>
      <c r="CO69" s="167"/>
      <c r="CP69" s="167"/>
      <c r="CQ69" s="167"/>
      <c r="CR69" s="167"/>
      <c r="CS69" s="167"/>
      <c r="CT69" s="167"/>
      <c r="CU69" s="167"/>
      <c r="CV69" s="167"/>
      <c r="CW69" s="167"/>
      <c r="CX69" s="167"/>
      <c r="CY69" s="167"/>
      <c r="CZ69" s="167"/>
      <c r="DA69" s="167"/>
      <c r="DB69" s="167"/>
      <c r="DC69" s="167"/>
      <c r="DD69" s="167"/>
      <c r="DE69" s="167"/>
      <c r="DF69" s="167"/>
      <c r="DG69" s="167"/>
      <c r="DH69" s="167"/>
      <c r="DI69" s="167"/>
      <c r="DJ69" s="167"/>
      <c r="DK69" s="167"/>
      <c r="DL69" s="167"/>
      <c r="DM69" s="167"/>
      <c r="DN69" s="167"/>
      <c r="DO69" s="167"/>
      <c r="DP69" s="167"/>
      <c r="DQ69" s="167"/>
      <c r="DR69" s="167"/>
      <c r="DS69" s="167"/>
      <c r="DT69" s="167"/>
      <c r="DU69" s="167"/>
      <c r="DV69" s="167"/>
      <c r="DW69" s="167"/>
      <c r="DX69" s="167"/>
      <c r="DY69" s="167"/>
      <c r="DZ69" s="167"/>
      <c r="EA69" s="167"/>
    </row>
    <row r="70" spans="15:131" ht="14.7" hidden="1" customHeight="1" x14ac:dyDescent="0.3">
      <c r="O70" s="167"/>
      <c r="P70" s="167"/>
      <c r="Q70" s="167"/>
      <c r="R70" s="167"/>
      <c r="S70" s="167"/>
      <c r="T70" s="167"/>
      <c r="U70" s="167"/>
      <c r="V70" s="167"/>
      <c r="W70" s="167"/>
      <c r="X70" s="167"/>
      <c r="Y70" s="167"/>
      <c r="Z70" s="167"/>
      <c r="AA70" s="167"/>
      <c r="AB70" s="167"/>
      <c r="AC70" s="167"/>
      <c r="AD70" s="167"/>
      <c r="AE70" s="167"/>
      <c r="AF70" s="167"/>
      <c r="AG70" s="167"/>
      <c r="AH70" s="167"/>
      <c r="AI70" s="167"/>
      <c r="AJ70" s="167"/>
      <c r="AK70" s="167"/>
      <c r="AL70" s="167"/>
      <c r="AM70" s="167"/>
      <c r="AN70" s="167"/>
      <c r="AO70" s="167"/>
      <c r="AP70" s="167"/>
      <c r="AQ70" s="167"/>
      <c r="AR70" s="167"/>
      <c r="AS70" s="167"/>
      <c r="AT70" s="167"/>
      <c r="AU70" s="167"/>
      <c r="AV70" s="167"/>
      <c r="AW70" s="167"/>
      <c r="AX70" s="167"/>
      <c r="AY70" s="167"/>
      <c r="AZ70" s="167"/>
      <c r="BA70" s="167"/>
      <c r="BB70" s="167"/>
      <c r="BC70" s="167"/>
      <c r="BD70" s="167"/>
      <c r="BE70" s="167"/>
      <c r="BF70" s="167"/>
      <c r="BG70" s="167"/>
      <c r="BH70" s="167"/>
      <c r="BI70" s="167"/>
      <c r="BJ70" s="167"/>
      <c r="BK70" s="167"/>
      <c r="BL70" s="167"/>
      <c r="BM70" s="167"/>
      <c r="BN70" s="167"/>
      <c r="BO70" s="167"/>
      <c r="BP70" s="167"/>
      <c r="BQ70" s="167"/>
      <c r="BR70" s="167"/>
      <c r="BS70" s="167"/>
      <c r="BT70" s="167"/>
      <c r="BU70" s="167"/>
      <c r="BV70" s="167"/>
      <c r="BW70" s="167"/>
      <c r="BX70" s="167"/>
      <c r="BY70" s="167"/>
      <c r="BZ70" s="167"/>
      <c r="CA70" s="167"/>
      <c r="CB70" s="167"/>
      <c r="CC70" s="167"/>
      <c r="CD70" s="167"/>
      <c r="CE70" s="167"/>
      <c r="CF70" s="167"/>
      <c r="CG70" s="167"/>
      <c r="CH70" s="167"/>
      <c r="CI70" s="167"/>
      <c r="CJ70" s="167"/>
      <c r="CK70" s="167"/>
      <c r="CL70" s="167"/>
      <c r="CM70" s="167"/>
      <c r="CN70" s="167"/>
      <c r="CO70" s="167"/>
      <c r="CP70" s="167"/>
      <c r="CQ70" s="167"/>
      <c r="CR70" s="167"/>
      <c r="CS70" s="167"/>
      <c r="CT70" s="167"/>
      <c r="CU70" s="167"/>
      <c r="CV70" s="167"/>
      <c r="CW70" s="167"/>
      <c r="CX70" s="167"/>
      <c r="CY70" s="167"/>
      <c r="CZ70" s="167"/>
      <c r="DA70" s="167"/>
      <c r="DB70" s="167"/>
      <c r="DC70" s="167"/>
      <c r="DD70" s="167"/>
      <c r="DE70" s="167"/>
      <c r="DF70" s="167"/>
      <c r="DG70" s="167"/>
      <c r="DH70" s="167"/>
      <c r="DI70" s="167"/>
      <c r="DJ70" s="167"/>
      <c r="DK70" s="167"/>
      <c r="DL70" s="167"/>
      <c r="DM70" s="167"/>
      <c r="DN70" s="167"/>
      <c r="DO70" s="167"/>
      <c r="DP70" s="167"/>
      <c r="DQ70" s="167"/>
      <c r="DR70" s="167"/>
      <c r="DS70" s="167"/>
      <c r="DT70" s="167"/>
      <c r="DU70" s="167"/>
      <c r="DV70" s="167"/>
      <c r="DW70" s="167"/>
      <c r="DX70" s="167"/>
      <c r="DY70" s="167"/>
      <c r="DZ70" s="167"/>
      <c r="EA70" s="167"/>
    </row>
    <row r="71" spans="15:131" ht="14.7" hidden="1" customHeight="1" x14ac:dyDescent="0.3">
      <c r="O71" s="167"/>
      <c r="P71" s="167"/>
      <c r="Q71" s="167"/>
      <c r="R71" s="167"/>
      <c r="S71" s="167"/>
      <c r="T71" s="167"/>
      <c r="U71" s="167"/>
      <c r="V71" s="167"/>
      <c r="W71" s="167"/>
      <c r="X71" s="167"/>
      <c r="Y71" s="167"/>
      <c r="Z71" s="167"/>
      <c r="AA71" s="167"/>
      <c r="AB71" s="167"/>
      <c r="AC71" s="167"/>
      <c r="AD71" s="167"/>
      <c r="AE71" s="167"/>
      <c r="AF71" s="167"/>
      <c r="AG71" s="167"/>
      <c r="AH71" s="167"/>
      <c r="AI71" s="167"/>
      <c r="AJ71" s="167"/>
      <c r="AK71" s="167"/>
      <c r="AL71" s="167"/>
      <c r="AM71" s="167"/>
      <c r="AN71" s="167"/>
      <c r="AO71" s="167"/>
      <c r="AP71" s="167"/>
      <c r="AQ71" s="167"/>
      <c r="AR71" s="167"/>
      <c r="AS71" s="167"/>
      <c r="AT71" s="167"/>
      <c r="AU71" s="167"/>
      <c r="AV71" s="167"/>
      <c r="AW71" s="167"/>
      <c r="AX71" s="167"/>
      <c r="AY71" s="167"/>
      <c r="AZ71" s="167"/>
      <c r="BA71" s="167"/>
      <c r="BB71" s="167"/>
      <c r="BC71" s="167"/>
      <c r="BD71" s="167"/>
      <c r="BE71" s="167"/>
      <c r="BF71" s="167"/>
      <c r="BG71" s="167"/>
      <c r="BH71" s="167"/>
      <c r="BI71" s="167"/>
      <c r="BJ71" s="167"/>
      <c r="BK71" s="167"/>
      <c r="BL71" s="167"/>
      <c r="BM71" s="167"/>
      <c r="BN71" s="167"/>
      <c r="BO71" s="167"/>
      <c r="BP71" s="167"/>
      <c r="BQ71" s="167"/>
      <c r="BR71" s="167"/>
      <c r="BS71" s="167"/>
      <c r="BT71" s="167"/>
      <c r="BU71" s="167"/>
      <c r="BV71" s="167"/>
      <c r="BW71" s="167"/>
      <c r="BX71" s="167"/>
      <c r="BY71" s="167"/>
      <c r="BZ71" s="167"/>
      <c r="CA71" s="167"/>
      <c r="CB71" s="167"/>
      <c r="CC71" s="167"/>
      <c r="CD71" s="167"/>
      <c r="CE71" s="167"/>
      <c r="CF71" s="167"/>
      <c r="CG71" s="167"/>
      <c r="CH71" s="167"/>
      <c r="CI71" s="167"/>
      <c r="CJ71" s="167"/>
      <c r="CK71" s="167"/>
      <c r="CL71" s="167"/>
      <c r="CM71" s="167"/>
      <c r="CN71" s="167"/>
      <c r="CO71" s="167"/>
      <c r="CP71" s="167"/>
      <c r="CQ71" s="167"/>
      <c r="CR71" s="167"/>
      <c r="CS71" s="167"/>
      <c r="CT71" s="167"/>
      <c r="CU71" s="167"/>
      <c r="CV71" s="167"/>
      <c r="CW71" s="167"/>
      <c r="CX71" s="167"/>
      <c r="CY71" s="167"/>
      <c r="CZ71" s="167"/>
      <c r="DA71" s="167"/>
      <c r="DB71" s="167"/>
      <c r="DC71" s="167"/>
      <c r="DD71" s="167"/>
      <c r="DE71" s="167"/>
      <c r="DF71" s="167"/>
      <c r="DG71" s="167"/>
      <c r="DH71" s="167"/>
      <c r="DI71" s="167"/>
      <c r="DJ71" s="167"/>
      <c r="DK71" s="167"/>
      <c r="DL71" s="167"/>
      <c r="DM71" s="167"/>
      <c r="DN71" s="167"/>
      <c r="DO71" s="167"/>
      <c r="DP71" s="167"/>
      <c r="DQ71" s="167"/>
      <c r="DR71" s="167"/>
      <c r="DS71" s="167"/>
      <c r="DT71" s="167"/>
      <c r="DU71" s="167"/>
      <c r="DV71" s="167"/>
      <c r="DW71" s="167"/>
      <c r="DX71" s="167"/>
      <c r="DY71" s="167"/>
      <c r="DZ71" s="167"/>
      <c r="EA71" s="167"/>
    </row>
    <row r="72" spans="15:131" ht="14.7" hidden="1" customHeight="1" x14ac:dyDescent="0.3">
      <c r="O72" s="167"/>
      <c r="P72" s="167"/>
      <c r="Q72" s="167"/>
      <c r="R72" s="167"/>
      <c r="S72" s="167"/>
      <c r="T72" s="167"/>
      <c r="U72" s="167"/>
      <c r="V72" s="167"/>
      <c r="W72" s="167"/>
      <c r="X72" s="167"/>
      <c r="Y72" s="167"/>
      <c r="Z72" s="167"/>
      <c r="AA72" s="167"/>
      <c r="AB72" s="167"/>
      <c r="AC72" s="167"/>
      <c r="AD72" s="167"/>
      <c r="AE72" s="167"/>
      <c r="AF72" s="167"/>
      <c r="AG72" s="167"/>
      <c r="AH72" s="167"/>
      <c r="AI72" s="167"/>
      <c r="AJ72" s="167"/>
      <c r="AK72" s="167"/>
      <c r="AL72" s="167"/>
      <c r="AM72" s="167"/>
      <c r="AN72" s="167"/>
      <c r="AO72" s="167"/>
      <c r="AP72" s="167"/>
      <c r="AQ72" s="167"/>
      <c r="AR72" s="167"/>
      <c r="AS72" s="167"/>
      <c r="AT72" s="167"/>
      <c r="AU72" s="167"/>
      <c r="AV72" s="167"/>
      <c r="AW72" s="167"/>
      <c r="AX72" s="167"/>
      <c r="AY72" s="167"/>
      <c r="AZ72" s="167"/>
      <c r="BA72" s="167"/>
      <c r="BB72" s="167"/>
      <c r="BC72" s="167"/>
      <c r="BD72" s="167"/>
      <c r="BE72" s="167"/>
      <c r="BF72" s="167"/>
      <c r="BG72" s="167"/>
      <c r="BH72" s="167"/>
      <c r="BI72" s="167"/>
      <c r="BJ72" s="167"/>
      <c r="BK72" s="167"/>
      <c r="BL72" s="167"/>
      <c r="BM72" s="167"/>
      <c r="BN72" s="167"/>
      <c r="BO72" s="167"/>
      <c r="BP72" s="167"/>
      <c r="BQ72" s="167"/>
      <c r="BR72" s="167"/>
      <c r="BS72" s="167"/>
      <c r="BT72" s="167"/>
      <c r="BU72" s="167"/>
      <c r="BV72" s="167"/>
      <c r="BW72" s="167"/>
      <c r="BX72" s="167"/>
      <c r="BY72" s="167"/>
      <c r="BZ72" s="167"/>
      <c r="CA72" s="167"/>
      <c r="CB72" s="167"/>
      <c r="CC72" s="167"/>
      <c r="CD72" s="167"/>
      <c r="CE72" s="167"/>
      <c r="CF72" s="167"/>
      <c r="CG72" s="167"/>
      <c r="CH72" s="167"/>
      <c r="CI72" s="167"/>
      <c r="CJ72" s="167"/>
      <c r="CK72" s="167"/>
      <c r="CL72" s="167"/>
      <c r="CM72" s="167"/>
      <c r="CN72" s="167"/>
      <c r="CO72" s="167"/>
      <c r="CP72" s="167"/>
      <c r="CQ72" s="167"/>
      <c r="CR72" s="167"/>
      <c r="CS72" s="167"/>
      <c r="CT72" s="167"/>
      <c r="CU72" s="167"/>
      <c r="CV72" s="167"/>
      <c r="CW72" s="167"/>
      <c r="CX72" s="167"/>
      <c r="CY72" s="167"/>
      <c r="CZ72" s="167"/>
      <c r="DA72" s="167"/>
      <c r="DB72" s="167"/>
      <c r="DC72" s="167"/>
      <c r="DD72" s="167"/>
      <c r="DE72" s="167"/>
      <c r="DF72" s="167"/>
      <c r="DG72" s="167"/>
      <c r="DH72" s="167"/>
      <c r="DI72" s="167"/>
      <c r="DJ72" s="167"/>
      <c r="DK72" s="167"/>
      <c r="DL72" s="167"/>
      <c r="DM72" s="167"/>
      <c r="DN72" s="167"/>
      <c r="DO72" s="167"/>
      <c r="DP72" s="167"/>
      <c r="DQ72" s="167"/>
      <c r="DR72" s="167"/>
      <c r="DS72" s="167"/>
      <c r="DT72" s="167"/>
      <c r="DU72" s="167"/>
      <c r="DV72" s="167"/>
      <c r="DW72" s="167"/>
      <c r="DX72" s="167"/>
      <c r="DY72" s="167"/>
      <c r="DZ72" s="167"/>
      <c r="EA72" s="167"/>
    </row>
    <row r="73" spans="15:131" ht="14.7" hidden="1" customHeight="1" x14ac:dyDescent="0.3">
      <c r="O73" s="167"/>
      <c r="P73" s="167"/>
      <c r="Q73" s="167"/>
      <c r="R73" s="167"/>
      <c r="S73" s="167"/>
      <c r="T73" s="167"/>
      <c r="U73" s="167"/>
      <c r="V73" s="167"/>
      <c r="W73" s="167"/>
      <c r="X73" s="167"/>
      <c r="Y73" s="167"/>
      <c r="Z73" s="167"/>
      <c r="AA73" s="167"/>
      <c r="AB73" s="167"/>
      <c r="AC73" s="167"/>
      <c r="AD73" s="167"/>
      <c r="AE73" s="167"/>
      <c r="AF73" s="167"/>
      <c r="AG73" s="167"/>
      <c r="AH73" s="167"/>
      <c r="AI73" s="167"/>
      <c r="AJ73" s="167"/>
      <c r="AK73" s="167"/>
      <c r="AL73" s="167"/>
      <c r="AM73" s="167"/>
      <c r="AN73" s="167"/>
      <c r="AO73" s="167"/>
      <c r="AP73" s="167"/>
      <c r="AQ73" s="167"/>
      <c r="AR73" s="167"/>
      <c r="AS73" s="167"/>
      <c r="AT73" s="167"/>
      <c r="AU73" s="167"/>
      <c r="AV73" s="167"/>
      <c r="AW73" s="167"/>
      <c r="AX73" s="167"/>
      <c r="AY73" s="167"/>
      <c r="AZ73" s="167"/>
      <c r="BA73" s="167"/>
      <c r="BB73" s="167"/>
      <c r="BC73" s="167"/>
      <c r="BD73" s="167"/>
      <c r="BE73" s="167"/>
      <c r="BF73" s="167"/>
      <c r="BG73" s="167"/>
      <c r="BH73" s="167"/>
      <c r="BI73" s="167"/>
      <c r="BJ73" s="167"/>
      <c r="BK73" s="167"/>
      <c r="BL73" s="167"/>
      <c r="BM73" s="167"/>
      <c r="BN73" s="167"/>
      <c r="BO73" s="167"/>
      <c r="BP73" s="167"/>
      <c r="BQ73" s="167"/>
      <c r="BR73" s="167"/>
      <c r="BS73" s="167"/>
      <c r="BT73" s="167"/>
      <c r="BU73" s="167"/>
      <c r="BV73" s="167"/>
      <c r="BW73" s="167"/>
      <c r="BX73" s="167"/>
      <c r="BY73" s="167"/>
      <c r="BZ73" s="167"/>
      <c r="CA73" s="167"/>
      <c r="CB73" s="167"/>
      <c r="CC73" s="167"/>
      <c r="CD73" s="167"/>
      <c r="CE73" s="167"/>
      <c r="CF73" s="167"/>
      <c r="CG73" s="167"/>
      <c r="CH73" s="167"/>
      <c r="CI73" s="167"/>
      <c r="CJ73" s="167"/>
      <c r="CK73" s="167"/>
      <c r="CL73" s="167"/>
      <c r="CM73" s="167"/>
      <c r="CN73" s="167"/>
      <c r="CO73" s="167"/>
      <c r="CP73" s="167"/>
      <c r="CQ73" s="167"/>
      <c r="CR73" s="167"/>
      <c r="CS73" s="167"/>
      <c r="CT73" s="167"/>
      <c r="CU73" s="167"/>
      <c r="CV73" s="167"/>
      <c r="CW73" s="167"/>
      <c r="CX73" s="167"/>
      <c r="CY73" s="167"/>
      <c r="CZ73" s="167"/>
      <c r="DA73" s="167"/>
      <c r="DB73" s="167"/>
      <c r="DC73" s="167"/>
      <c r="DD73" s="167"/>
      <c r="DE73" s="167"/>
      <c r="DF73" s="167"/>
      <c r="DG73" s="167"/>
      <c r="DH73" s="167"/>
      <c r="DI73" s="167"/>
      <c r="DJ73" s="167"/>
      <c r="DK73" s="167"/>
      <c r="DL73" s="167"/>
      <c r="DM73" s="167"/>
      <c r="DN73" s="167"/>
      <c r="DO73" s="167"/>
      <c r="DP73" s="167"/>
      <c r="DQ73" s="167"/>
      <c r="DR73" s="167"/>
      <c r="DS73" s="167"/>
      <c r="DT73" s="167"/>
      <c r="DU73" s="167"/>
      <c r="DV73" s="167"/>
      <c r="DW73" s="167"/>
      <c r="DX73" s="167"/>
      <c r="DY73" s="167"/>
      <c r="DZ73" s="167"/>
      <c r="EA73" s="167"/>
    </row>
    <row r="74" spans="15:131" ht="14.7" hidden="1" customHeight="1" x14ac:dyDescent="0.3">
      <c r="O74" s="167"/>
      <c r="P74" s="167"/>
      <c r="Q74" s="167"/>
      <c r="R74" s="167"/>
      <c r="S74" s="167"/>
      <c r="T74" s="167"/>
      <c r="U74" s="167"/>
      <c r="V74" s="167"/>
      <c r="W74" s="167"/>
      <c r="X74" s="167"/>
      <c r="Y74" s="167"/>
      <c r="Z74" s="167"/>
      <c r="AA74" s="167"/>
      <c r="AB74" s="167"/>
      <c r="AC74" s="167"/>
      <c r="AD74" s="167"/>
      <c r="AE74" s="167"/>
      <c r="AF74" s="167"/>
      <c r="AG74" s="167"/>
      <c r="AH74" s="167"/>
      <c r="AI74" s="167"/>
      <c r="AJ74" s="167"/>
      <c r="AK74" s="167"/>
      <c r="AL74" s="167"/>
      <c r="AM74" s="167"/>
      <c r="AN74" s="167"/>
      <c r="AO74" s="167"/>
      <c r="AP74" s="167"/>
      <c r="AQ74" s="167"/>
      <c r="AR74" s="167"/>
      <c r="AS74" s="167"/>
      <c r="AT74" s="167"/>
      <c r="AU74" s="167"/>
      <c r="AV74" s="167"/>
      <c r="AW74" s="167"/>
      <c r="AX74" s="167"/>
      <c r="AY74" s="167"/>
      <c r="AZ74" s="167"/>
      <c r="BA74" s="167"/>
      <c r="BB74" s="167"/>
      <c r="BC74" s="167"/>
      <c r="BD74" s="167"/>
      <c r="BE74" s="167"/>
      <c r="BF74" s="167"/>
      <c r="BG74" s="167"/>
      <c r="BH74" s="167"/>
      <c r="BI74" s="167"/>
      <c r="BJ74" s="167"/>
      <c r="BK74" s="167"/>
      <c r="BL74" s="167"/>
      <c r="BM74" s="167"/>
      <c r="BN74" s="167"/>
      <c r="BO74" s="167"/>
      <c r="BP74" s="167"/>
      <c r="BQ74" s="167"/>
      <c r="BR74" s="167"/>
      <c r="BS74" s="167"/>
      <c r="BT74" s="167"/>
      <c r="BU74" s="167"/>
      <c r="BV74" s="167"/>
      <c r="BW74" s="167"/>
      <c r="BX74" s="167"/>
      <c r="BY74" s="167"/>
      <c r="BZ74" s="167"/>
      <c r="CA74" s="167"/>
      <c r="CB74" s="167"/>
      <c r="CC74" s="167"/>
      <c r="CD74" s="167"/>
      <c r="CE74" s="167"/>
      <c r="CF74" s="167"/>
      <c r="CG74" s="167"/>
      <c r="CH74" s="167"/>
      <c r="CI74" s="167"/>
      <c r="CJ74" s="167"/>
      <c r="CK74" s="167"/>
      <c r="CL74" s="167"/>
      <c r="CM74" s="167"/>
      <c r="CN74" s="167"/>
      <c r="CO74" s="167"/>
      <c r="CP74" s="167"/>
      <c r="CQ74" s="167"/>
      <c r="CR74" s="167"/>
      <c r="CS74" s="167"/>
      <c r="CT74" s="167"/>
      <c r="CU74" s="167"/>
      <c r="CV74" s="167"/>
      <c r="CW74" s="167"/>
      <c r="CX74" s="167"/>
      <c r="CY74" s="167"/>
      <c r="CZ74" s="167"/>
      <c r="DA74" s="167"/>
      <c r="DB74" s="167"/>
      <c r="DC74" s="167"/>
      <c r="DD74" s="167"/>
      <c r="DE74" s="167"/>
      <c r="DF74" s="167"/>
      <c r="DG74" s="167"/>
      <c r="DH74" s="167"/>
      <c r="DI74" s="167"/>
      <c r="DJ74" s="167"/>
      <c r="DK74" s="167"/>
      <c r="DL74" s="167"/>
      <c r="DM74" s="167"/>
      <c r="DN74" s="167"/>
      <c r="DO74" s="167"/>
      <c r="DP74" s="167"/>
      <c r="DQ74" s="167"/>
      <c r="DR74" s="167"/>
      <c r="DS74" s="167"/>
      <c r="DT74" s="167"/>
      <c r="DU74" s="167"/>
      <c r="DV74" s="167"/>
      <c r="DW74" s="167"/>
      <c r="DX74" s="167"/>
      <c r="DY74" s="167"/>
      <c r="DZ74" s="167"/>
      <c r="EA74" s="167"/>
    </row>
    <row r="75" spans="15:131" ht="14.7" hidden="1" customHeight="1" x14ac:dyDescent="0.3">
      <c r="O75" s="167"/>
      <c r="P75" s="167"/>
      <c r="Q75" s="167"/>
      <c r="R75" s="167"/>
      <c r="S75" s="167"/>
      <c r="T75" s="167"/>
      <c r="U75" s="167"/>
      <c r="V75" s="167"/>
      <c r="W75" s="167"/>
      <c r="X75" s="167"/>
      <c r="Y75" s="167"/>
      <c r="Z75" s="167"/>
      <c r="AA75" s="167"/>
      <c r="AB75" s="167"/>
      <c r="AC75" s="167"/>
      <c r="AD75" s="167"/>
      <c r="AE75" s="167"/>
      <c r="AF75" s="167"/>
      <c r="AG75" s="167"/>
      <c r="AH75" s="167"/>
      <c r="AI75" s="167"/>
      <c r="AJ75" s="167"/>
      <c r="AK75" s="167"/>
      <c r="AL75" s="167"/>
      <c r="AM75" s="167"/>
      <c r="AN75" s="167"/>
      <c r="AO75" s="167"/>
      <c r="AP75" s="167"/>
      <c r="AQ75" s="167"/>
      <c r="AR75" s="167"/>
      <c r="AS75" s="167"/>
      <c r="AT75" s="167"/>
      <c r="AU75" s="167"/>
      <c r="AV75" s="167"/>
      <c r="AW75" s="167"/>
      <c r="AX75" s="167"/>
      <c r="AY75" s="167"/>
      <c r="AZ75" s="167"/>
      <c r="BA75" s="167"/>
      <c r="BB75" s="167"/>
      <c r="BC75" s="167"/>
      <c r="BD75" s="167"/>
      <c r="BE75" s="167"/>
      <c r="BF75" s="167"/>
      <c r="BG75" s="167"/>
      <c r="BH75" s="167"/>
      <c r="BI75" s="167"/>
      <c r="BJ75" s="167"/>
      <c r="BK75" s="167"/>
      <c r="BL75" s="167"/>
      <c r="BM75" s="167"/>
      <c r="BN75" s="167"/>
      <c r="BO75" s="167"/>
      <c r="BP75" s="167"/>
      <c r="BQ75" s="167"/>
      <c r="BR75" s="167"/>
      <c r="BS75" s="167"/>
      <c r="BT75" s="167"/>
      <c r="BU75" s="167"/>
      <c r="BV75" s="167"/>
      <c r="BW75" s="167"/>
      <c r="BX75" s="167"/>
      <c r="BY75" s="167"/>
      <c r="BZ75" s="167"/>
      <c r="CA75" s="167"/>
      <c r="CB75" s="167"/>
      <c r="CC75" s="167"/>
      <c r="CD75" s="167"/>
      <c r="CE75" s="167"/>
      <c r="CF75" s="167"/>
      <c r="CG75" s="167"/>
      <c r="CH75" s="167"/>
      <c r="CI75" s="167"/>
      <c r="CJ75" s="167"/>
      <c r="CK75" s="167"/>
      <c r="CL75" s="167"/>
      <c r="CM75" s="167"/>
      <c r="CN75" s="167"/>
      <c r="CO75" s="167"/>
      <c r="CP75" s="167"/>
      <c r="CQ75" s="167"/>
      <c r="CR75" s="167"/>
      <c r="CS75" s="167"/>
      <c r="CT75" s="167"/>
      <c r="CU75" s="167"/>
      <c r="CV75" s="167"/>
      <c r="CW75" s="167"/>
      <c r="CX75" s="167"/>
      <c r="CY75" s="167"/>
      <c r="CZ75" s="167"/>
      <c r="DA75" s="167"/>
      <c r="DB75" s="167"/>
      <c r="DC75" s="167"/>
      <c r="DD75" s="167"/>
      <c r="DE75" s="167"/>
      <c r="DF75" s="167"/>
      <c r="DG75" s="167"/>
      <c r="DH75" s="167"/>
      <c r="DI75" s="167"/>
      <c r="DJ75" s="167"/>
      <c r="DK75" s="167"/>
      <c r="DL75" s="167"/>
      <c r="DM75" s="167"/>
      <c r="DN75" s="167"/>
      <c r="DO75" s="167"/>
      <c r="DP75" s="167"/>
      <c r="DQ75" s="167"/>
      <c r="DR75" s="167"/>
      <c r="DS75" s="167"/>
      <c r="DT75" s="167"/>
      <c r="DU75" s="167"/>
      <c r="DV75" s="167"/>
      <c r="DW75" s="167"/>
      <c r="DX75" s="167"/>
      <c r="DY75" s="167"/>
      <c r="DZ75" s="167"/>
      <c r="EA75" s="167"/>
    </row>
    <row r="76" spans="15:131" ht="14.7" hidden="1" customHeight="1" x14ac:dyDescent="0.3">
      <c r="O76" s="167"/>
      <c r="P76" s="167"/>
      <c r="Q76" s="167"/>
      <c r="R76" s="167"/>
      <c r="S76" s="167"/>
      <c r="T76" s="167"/>
      <c r="U76" s="167"/>
      <c r="V76" s="167"/>
      <c r="W76" s="167"/>
      <c r="X76" s="167"/>
      <c r="Y76" s="167"/>
      <c r="Z76" s="167"/>
      <c r="AA76" s="167"/>
      <c r="AB76" s="167"/>
      <c r="AC76" s="167"/>
      <c r="AD76" s="167"/>
      <c r="AE76" s="167"/>
      <c r="AF76" s="167"/>
      <c r="AG76" s="167"/>
      <c r="AH76" s="167"/>
      <c r="AI76" s="167"/>
      <c r="AJ76" s="167"/>
      <c r="AK76" s="167"/>
      <c r="AL76" s="167"/>
      <c r="AM76" s="167"/>
      <c r="AN76" s="167"/>
      <c r="AO76" s="167"/>
      <c r="AP76" s="167"/>
      <c r="AQ76" s="167"/>
      <c r="AR76" s="167"/>
      <c r="AS76" s="167"/>
      <c r="AT76" s="167"/>
      <c r="AU76" s="167"/>
      <c r="AV76" s="167"/>
      <c r="AW76" s="167"/>
      <c r="AX76" s="167"/>
      <c r="AY76" s="167"/>
      <c r="AZ76" s="167"/>
      <c r="BA76" s="167"/>
      <c r="BB76" s="167"/>
      <c r="BC76" s="167"/>
      <c r="BD76" s="167"/>
      <c r="BE76" s="167"/>
      <c r="BF76" s="167"/>
      <c r="BG76" s="167"/>
      <c r="BH76" s="167"/>
      <c r="BI76" s="167"/>
      <c r="BJ76" s="167"/>
      <c r="BK76" s="167"/>
      <c r="BL76" s="167"/>
      <c r="BM76" s="167"/>
      <c r="BN76" s="167"/>
      <c r="BO76" s="167"/>
      <c r="BP76" s="167"/>
      <c r="BQ76" s="167"/>
      <c r="BR76" s="167"/>
      <c r="BS76" s="167"/>
      <c r="BT76" s="167"/>
      <c r="BU76" s="167"/>
      <c r="BV76" s="167"/>
      <c r="BW76" s="167"/>
      <c r="BX76" s="167"/>
      <c r="BY76" s="167"/>
      <c r="BZ76" s="167"/>
      <c r="CA76" s="167"/>
      <c r="CB76" s="167"/>
      <c r="CC76" s="167"/>
      <c r="CD76" s="167"/>
      <c r="CE76" s="167"/>
      <c r="CF76" s="167"/>
      <c r="CG76" s="167"/>
      <c r="CH76" s="167"/>
      <c r="CI76" s="167"/>
      <c r="CJ76" s="167"/>
      <c r="CK76" s="167"/>
      <c r="CL76" s="167"/>
      <c r="CM76" s="167"/>
      <c r="CN76" s="167"/>
      <c r="CO76" s="167"/>
      <c r="CP76" s="167"/>
      <c r="CQ76" s="167"/>
      <c r="CR76" s="167"/>
      <c r="CS76" s="167"/>
      <c r="CT76" s="167"/>
      <c r="CU76" s="167"/>
      <c r="CV76" s="167"/>
      <c r="CW76" s="167"/>
      <c r="CX76" s="167"/>
      <c r="CY76" s="167"/>
      <c r="CZ76" s="167"/>
      <c r="DA76" s="167"/>
      <c r="DB76" s="167"/>
      <c r="DC76" s="167"/>
      <c r="DD76" s="167"/>
      <c r="DE76" s="167"/>
      <c r="DF76" s="167"/>
      <c r="DG76" s="167"/>
      <c r="DH76" s="167"/>
      <c r="DI76" s="167"/>
      <c r="DJ76" s="167"/>
      <c r="DK76" s="167"/>
      <c r="DL76" s="167"/>
      <c r="DM76" s="167"/>
      <c r="DN76" s="167"/>
      <c r="DO76" s="167"/>
      <c r="DP76" s="167"/>
      <c r="DQ76" s="167"/>
      <c r="DR76" s="167"/>
      <c r="DS76" s="167"/>
      <c r="DT76" s="167"/>
      <c r="DU76" s="167"/>
      <c r="DV76" s="167"/>
      <c r="DW76" s="167"/>
      <c r="DX76" s="167"/>
      <c r="DY76" s="167"/>
      <c r="DZ76" s="167"/>
      <c r="EA76" s="167"/>
    </row>
    <row r="77" spans="15:131" ht="14.7" hidden="1" customHeight="1" x14ac:dyDescent="0.3">
      <c r="O77" s="167"/>
      <c r="P77" s="167"/>
      <c r="Q77" s="167"/>
      <c r="R77" s="167"/>
      <c r="S77" s="167"/>
      <c r="T77" s="167"/>
      <c r="U77" s="167"/>
      <c r="V77" s="167"/>
      <c r="W77" s="167"/>
      <c r="X77" s="167"/>
      <c r="Y77" s="167"/>
      <c r="Z77" s="167"/>
      <c r="AA77" s="167"/>
      <c r="AB77" s="167"/>
      <c r="AC77" s="167"/>
      <c r="AD77" s="167"/>
      <c r="AE77" s="167"/>
      <c r="AF77" s="167"/>
      <c r="AG77" s="167"/>
      <c r="AH77" s="167"/>
      <c r="AI77" s="167"/>
      <c r="AJ77" s="167"/>
      <c r="AK77" s="167"/>
      <c r="AL77" s="167"/>
      <c r="AM77" s="167"/>
      <c r="AN77" s="167"/>
      <c r="AO77" s="167"/>
      <c r="AP77" s="167"/>
      <c r="AQ77" s="167"/>
      <c r="AR77" s="167"/>
      <c r="AS77" s="167"/>
      <c r="AT77" s="167"/>
      <c r="AU77" s="167"/>
      <c r="AV77" s="167"/>
      <c r="AW77" s="167"/>
      <c r="AX77" s="167"/>
      <c r="AY77" s="167"/>
      <c r="AZ77" s="167"/>
      <c r="BA77" s="167"/>
      <c r="BB77" s="167"/>
      <c r="BC77" s="167"/>
      <c r="BD77" s="167"/>
      <c r="BE77" s="167"/>
      <c r="BF77" s="167"/>
      <c r="BG77" s="167"/>
      <c r="BH77" s="167"/>
      <c r="BI77" s="167"/>
      <c r="BJ77" s="167"/>
      <c r="BK77" s="167"/>
      <c r="BL77" s="167"/>
      <c r="BM77" s="167"/>
      <c r="BN77" s="167"/>
      <c r="BO77" s="167"/>
      <c r="BP77" s="167"/>
      <c r="BQ77" s="167"/>
      <c r="BR77" s="167"/>
      <c r="BS77" s="167"/>
      <c r="BT77" s="167"/>
      <c r="BU77" s="167"/>
      <c r="BV77" s="167"/>
      <c r="BW77" s="167"/>
      <c r="BX77" s="167"/>
      <c r="BY77" s="167"/>
      <c r="BZ77" s="167"/>
      <c r="CA77" s="167"/>
      <c r="CB77" s="167"/>
      <c r="CC77" s="167"/>
      <c r="CD77" s="167"/>
      <c r="CE77" s="167"/>
      <c r="CF77" s="167"/>
      <c r="CG77" s="167"/>
      <c r="CH77" s="167"/>
      <c r="CI77" s="167"/>
      <c r="CJ77" s="167"/>
      <c r="CK77" s="167"/>
      <c r="CL77" s="167"/>
      <c r="CM77" s="167"/>
      <c r="CN77" s="167"/>
      <c r="CO77" s="167"/>
      <c r="CP77" s="167"/>
      <c r="CQ77" s="167"/>
      <c r="CR77" s="167"/>
      <c r="CS77" s="167"/>
      <c r="CT77" s="167"/>
      <c r="CU77" s="167"/>
      <c r="CV77" s="167"/>
      <c r="CW77" s="167"/>
      <c r="CX77" s="167"/>
      <c r="CY77" s="167"/>
      <c r="CZ77" s="167"/>
      <c r="DA77" s="167"/>
      <c r="DB77" s="167"/>
      <c r="DC77" s="167"/>
      <c r="DD77" s="167"/>
      <c r="DE77" s="167"/>
      <c r="DF77" s="167"/>
      <c r="DG77" s="167"/>
      <c r="DH77" s="167"/>
      <c r="DI77" s="167"/>
      <c r="DJ77" s="167"/>
      <c r="DK77" s="167"/>
      <c r="DL77" s="167"/>
      <c r="DM77" s="167"/>
      <c r="DN77" s="167"/>
      <c r="DO77" s="167"/>
      <c r="DP77" s="167"/>
      <c r="DQ77" s="167"/>
      <c r="DR77" s="167"/>
      <c r="DS77" s="167"/>
      <c r="DT77" s="167"/>
      <c r="DU77" s="167"/>
      <c r="DV77" s="167"/>
      <c r="DW77" s="167"/>
      <c r="DX77" s="167"/>
      <c r="DY77" s="167"/>
      <c r="DZ77" s="167"/>
      <c r="EA77" s="167"/>
    </row>
    <row r="78" spans="15:131" ht="14.7" hidden="1" customHeight="1" x14ac:dyDescent="0.3">
      <c r="O78" s="167"/>
      <c r="P78" s="167"/>
      <c r="Q78" s="167"/>
      <c r="R78" s="167"/>
      <c r="S78" s="167"/>
      <c r="T78" s="167"/>
      <c r="U78" s="167"/>
      <c r="V78" s="167"/>
      <c r="W78" s="167"/>
      <c r="X78" s="167"/>
      <c r="Y78" s="167"/>
      <c r="Z78" s="167"/>
      <c r="AA78" s="167"/>
      <c r="AB78" s="167"/>
      <c r="AC78" s="167"/>
      <c r="AD78" s="167"/>
      <c r="AE78" s="167"/>
      <c r="AF78" s="167"/>
      <c r="AG78" s="167"/>
      <c r="AH78" s="167"/>
      <c r="AI78" s="167"/>
      <c r="AJ78" s="167"/>
      <c r="AK78" s="167"/>
      <c r="AL78" s="167"/>
      <c r="AM78" s="167"/>
      <c r="AN78" s="167"/>
      <c r="AO78" s="167"/>
      <c r="AP78" s="167"/>
      <c r="AQ78" s="167"/>
      <c r="AR78" s="167"/>
      <c r="AS78" s="167"/>
      <c r="AT78" s="167"/>
      <c r="AU78" s="167"/>
      <c r="AV78" s="167"/>
      <c r="AW78" s="167"/>
      <c r="AX78" s="167"/>
      <c r="AY78" s="167"/>
      <c r="AZ78" s="167"/>
      <c r="BA78" s="167"/>
      <c r="BB78" s="167"/>
      <c r="BC78" s="167"/>
      <c r="BD78" s="167"/>
      <c r="BE78" s="167"/>
      <c r="BF78" s="167"/>
      <c r="BG78" s="167"/>
      <c r="BH78" s="167"/>
      <c r="BI78" s="167"/>
      <c r="BJ78" s="167"/>
      <c r="BK78" s="167"/>
      <c r="BL78" s="167"/>
      <c r="BM78" s="167"/>
      <c r="BN78" s="167"/>
      <c r="BO78" s="167"/>
      <c r="BP78" s="167"/>
      <c r="BQ78" s="167"/>
      <c r="BR78" s="167"/>
      <c r="BS78" s="167"/>
      <c r="BT78" s="167"/>
      <c r="BU78" s="167"/>
      <c r="BV78" s="167"/>
      <c r="BW78" s="167"/>
      <c r="BX78" s="167"/>
      <c r="BY78" s="167"/>
      <c r="BZ78" s="167"/>
      <c r="CA78" s="167"/>
      <c r="CB78" s="167"/>
      <c r="CC78" s="167"/>
      <c r="CD78" s="167"/>
      <c r="CE78" s="167"/>
      <c r="CF78" s="167"/>
      <c r="CG78" s="167"/>
      <c r="CH78" s="167"/>
      <c r="CI78" s="167"/>
      <c r="CJ78" s="167"/>
      <c r="CK78" s="167"/>
      <c r="CL78" s="167"/>
      <c r="CM78" s="167"/>
      <c r="CN78" s="167"/>
      <c r="CO78" s="167"/>
      <c r="CP78" s="167"/>
      <c r="CQ78" s="167"/>
      <c r="CR78" s="167"/>
      <c r="CS78" s="167"/>
      <c r="CT78" s="167"/>
      <c r="CU78" s="167"/>
      <c r="CV78" s="167"/>
      <c r="CW78" s="167"/>
      <c r="CX78" s="167"/>
      <c r="CY78" s="167"/>
      <c r="CZ78" s="167"/>
      <c r="DA78" s="167"/>
      <c r="DB78" s="167"/>
      <c r="DC78" s="167"/>
      <c r="DD78" s="167"/>
      <c r="DE78" s="167"/>
      <c r="DF78" s="167"/>
      <c r="DG78" s="167"/>
      <c r="DH78" s="167"/>
      <c r="DI78" s="167"/>
      <c r="DJ78" s="167"/>
      <c r="DK78" s="167"/>
      <c r="DL78" s="167"/>
      <c r="DM78" s="167"/>
      <c r="DN78" s="167"/>
      <c r="DO78" s="167"/>
      <c r="DP78" s="167"/>
      <c r="DQ78" s="167"/>
      <c r="DR78" s="167"/>
      <c r="DS78" s="167"/>
      <c r="DT78" s="167"/>
      <c r="DU78" s="167"/>
      <c r="DV78" s="167"/>
      <c r="DW78" s="167"/>
      <c r="DX78" s="167"/>
      <c r="DY78" s="167"/>
      <c r="DZ78" s="167"/>
      <c r="EA78" s="167"/>
    </row>
    <row r="79" spans="15:131" hidden="1" x14ac:dyDescent="0.3">
      <c r="O79" s="193" t="s">
        <v>227</v>
      </c>
      <c r="P79" s="194">
        <v>30.197048752443187</v>
      </c>
      <c r="Q79" s="194">
        <v>60.394097504886375</v>
      </c>
      <c r="R79" s="194">
        <v>90.591146257329555</v>
      </c>
      <c r="S79" s="194">
        <v>120.78819500977275</v>
      </c>
      <c r="T79" s="195">
        <v>150.98524376221596</v>
      </c>
    </row>
    <row r="80" spans="15:131" hidden="1" x14ac:dyDescent="0.3">
      <c r="O80" s="176" t="s">
        <v>228</v>
      </c>
      <c r="P80" s="196">
        <v>31.062888508558231</v>
      </c>
      <c r="Q80" s="196">
        <v>62.125777017116462</v>
      </c>
      <c r="R80" s="196">
        <v>93.188665525674693</v>
      </c>
      <c r="S80" s="196">
        <v>124.25155403423292</v>
      </c>
      <c r="T80" s="197">
        <v>155.31444254279114</v>
      </c>
    </row>
    <row r="81" spans="15:20" hidden="1" x14ac:dyDescent="0.3">
      <c r="O81" s="176" t="s">
        <v>229</v>
      </c>
      <c r="P81" s="196">
        <v>31.928728264673271</v>
      </c>
      <c r="Q81" s="196">
        <v>63.857456529346543</v>
      </c>
      <c r="R81" s="196">
        <v>95.786184794019803</v>
      </c>
      <c r="S81" s="196">
        <v>127.71491305869309</v>
      </c>
      <c r="T81" s="197">
        <v>159.64364132336635</v>
      </c>
    </row>
    <row r="82" spans="15:20" hidden="1" x14ac:dyDescent="0.3">
      <c r="O82" s="176" t="s">
        <v>230</v>
      </c>
      <c r="P82" s="196">
        <v>32.621400069565304</v>
      </c>
      <c r="Q82" s="196">
        <v>65.242800139130608</v>
      </c>
      <c r="R82" s="196">
        <v>97.864200208695905</v>
      </c>
      <c r="S82" s="196">
        <v>130.48560027826122</v>
      </c>
      <c r="T82" s="197">
        <v>163.1070003478265</v>
      </c>
    </row>
    <row r="83" spans="15:20" hidden="1" x14ac:dyDescent="0.3">
      <c r="O83" s="176" t="s">
        <v>231</v>
      </c>
      <c r="P83" s="196">
        <v>63.445295387260714</v>
      </c>
      <c r="Q83" s="196">
        <v>126.89059077452143</v>
      </c>
      <c r="R83" s="196">
        <v>190.33588616178213</v>
      </c>
      <c r="S83" s="196">
        <v>253.78118154904286</v>
      </c>
      <c r="T83" s="197">
        <v>317.22647693630353</v>
      </c>
    </row>
    <row r="84" spans="15:20" hidden="1" x14ac:dyDescent="0.3">
      <c r="O84" s="176" t="s">
        <v>232</v>
      </c>
      <c r="P84" s="196">
        <v>97.348662695538692</v>
      </c>
      <c r="Q84" s="196">
        <v>194.69732539107738</v>
      </c>
      <c r="R84" s="196">
        <v>292.04598808661609</v>
      </c>
      <c r="S84" s="196">
        <v>389.39465078215477</v>
      </c>
      <c r="T84" s="197">
        <v>486.74331347769345</v>
      </c>
    </row>
    <row r="85" spans="15:20" hidden="1" x14ac:dyDescent="0.3">
      <c r="O85" s="176" t="s">
        <v>239</v>
      </c>
      <c r="P85" s="196">
        <v>186.12738869651372</v>
      </c>
      <c r="Q85" s="196">
        <v>372.25477739302744</v>
      </c>
      <c r="R85" s="196">
        <v>558.38216608954122</v>
      </c>
      <c r="S85" s="196">
        <v>744.50955478605488</v>
      </c>
      <c r="T85" s="197">
        <v>930.63694348256877</v>
      </c>
    </row>
    <row r="86" spans="15:20" ht="15" hidden="1" thickBot="1" x14ac:dyDescent="0.35">
      <c r="O86" s="182" t="s">
        <v>240</v>
      </c>
      <c r="P86" s="198">
        <v>284.67468466256537</v>
      </c>
      <c r="Q86" s="198">
        <v>569.34936932513074</v>
      </c>
      <c r="R86" s="198">
        <v>854.02405398769611</v>
      </c>
      <c r="S86" s="198">
        <v>1138.6987386502615</v>
      </c>
      <c r="T86" s="199">
        <v>1423.3734233128268</v>
      </c>
    </row>
  </sheetData>
  <sheetProtection algorithmName="SHA-512" hashValue="Sz9IPi+fxWZ6iGBO5aLk1+PNXzLzNaV5I8ngqbjBGa0fFHaac7mm8yxUTLvvE4DeQJxRSfuk+VmIK2oSa1hYEQ==" saltValue="N85HdJ0GLRRMChqDqxmymg==" spinCount="100000" sheet="1" objects="1" scenarios="1"/>
  <mergeCells count="21">
    <mergeCell ref="AJ5:AN5"/>
    <mergeCell ref="AJ18:AN18"/>
    <mergeCell ref="B18:F18"/>
    <mergeCell ref="B5:F5"/>
    <mergeCell ref="I5:M5"/>
    <mergeCell ref="I18:M18"/>
    <mergeCell ref="R5:V5"/>
    <mergeCell ref="R18:V18"/>
    <mergeCell ref="AA5:AE5"/>
    <mergeCell ref="AA18:AE18"/>
    <mergeCell ref="C3:F3"/>
    <mergeCell ref="H3:M3"/>
    <mergeCell ref="Q3:V3"/>
    <mergeCell ref="Z3:AE3"/>
    <mergeCell ref="AI3:AN3"/>
    <mergeCell ref="BA3:BF3"/>
    <mergeCell ref="AS5:AW5"/>
    <mergeCell ref="AS18:AW18"/>
    <mergeCell ref="BB5:BF5"/>
    <mergeCell ref="BB18:BF18"/>
    <mergeCell ref="AR3:AW3"/>
  </mergeCells>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50350-55DF-4D28-A314-BEA2782B1013}">
  <sheetPr codeName="Sheet5">
    <tabColor theme="3" tint="0.89999084444715716"/>
  </sheetPr>
  <dimension ref="A1:DF85"/>
  <sheetViews>
    <sheetView zoomScale="80" zoomScaleNormal="80" workbookViewId="0"/>
  </sheetViews>
  <sheetFormatPr defaultColWidth="0" defaultRowHeight="14.4" zeroHeight="1" x14ac:dyDescent="0.3"/>
  <cols>
    <col min="1" max="1" width="18.6640625" style="381" bestFit="1" customWidth="1"/>
    <col min="2" max="2" width="7.6640625" style="381" bestFit="1" customWidth="1"/>
    <col min="3" max="6" width="9.33203125" style="381" bestFit="1" customWidth="1"/>
    <col min="7" max="7" width="8.6640625" style="381" customWidth="1"/>
    <col min="8" max="8" width="20.109375" style="381" bestFit="1" customWidth="1"/>
    <col min="9" max="11" width="9.109375" style="381" bestFit="1" customWidth="1"/>
    <col min="12" max="13" width="9.33203125" style="381" bestFit="1" customWidth="1"/>
    <col min="14" max="18" width="8.6640625" style="381" customWidth="1"/>
    <col min="19" max="19" width="9" style="381" bestFit="1" customWidth="1"/>
    <col min="20" max="31" width="8.6640625" style="381" customWidth="1"/>
    <col min="32" max="32" width="9" style="381" bestFit="1" customWidth="1"/>
    <col min="33" max="46" width="8.6640625" style="381" customWidth="1"/>
    <col min="47" max="47" width="9" style="381" bestFit="1" customWidth="1"/>
    <col min="48" max="61" width="8.6640625" style="381" customWidth="1"/>
    <col min="62" max="62" width="9" style="381" bestFit="1" customWidth="1"/>
    <col min="63" max="63" width="8.6640625" style="381" customWidth="1"/>
    <col min="64" max="64" width="11.33203125" style="381" customWidth="1"/>
    <col min="65" max="76" width="8.6640625" style="381" customWidth="1"/>
    <col min="77" max="77" width="9" style="381" bestFit="1" customWidth="1"/>
    <col min="78" max="78" width="8.6640625" style="381" customWidth="1"/>
    <col min="79" max="79" width="10.6640625" style="381" customWidth="1"/>
    <col min="80" max="91" width="8.6640625" style="381" customWidth="1"/>
    <col min="92" max="92" width="9" style="381" bestFit="1" customWidth="1"/>
    <col min="93" max="106" width="8.6640625" style="381" customWidth="1"/>
    <col min="107" max="107" width="9" style="381" bestFit="1" customWidth="1"/>
    <col min="108" max="110" width="8.6640625" style="381" customWidth="1"/>
    <col min="111" max="16384" width="8.6640625" style="381" hidden="1"/>
  </cols>
  <sheetData>
    <row r="1" spans="1:109" s="378" customFormat="1" ht="18" x14ac:dyDescent="0.3">
      <c r="A1" s="378" t="s">
        <v>241</v>
      </c>
      <c r="H1" s="615" t="s">
        <v>253</v>
      </c>
      <c r="I1" s="615"/>
      <c r="J1" s="615"/>
      <c r="K1" s="615"/>
      <c r="L1" s="615"/>
      <c r="M1" s="615"/>
      <c r="N1" s="615"/>
      <c r="O1" s="615"/>
      <c r="P1" s="615"/>
      <c r="Q1" s="615"/>
      <c r="R1" s="615"/>
      <c r="S1" s="615"/>
      <c r="U1" s="616" t="s">
        <v>242</v>
      </c>
      <c r="V1" s="616"/>
      <c r="W1" s="616"/>
      <c r="X1" s="616"/>
      <c r="Y1" s="616"/>
      <c r="Z1" s="616"/>
      <c r="AA1" s="616"/>
      <c r="AB1" s="616"/>
      <c r="AC1" s="616"/>
      <c r="AD1" s="616"/>
      <c r="AE1" s="616"/>
      <c r="AF1" s="616"/>
      <c r="AG1" s="379"/>
      <c r="AH1" s="379"/>
      <c r="AJ1" s="611" t="s">
        <v>243</v>
      </c>
      <c r="AK1" s="611"/>
      <c r="AL1" s="611"/>
      <c r="AM1" s="611"/>
      <c r="AN1" s="611"/>
      <c r="AO1" s="611"/>
      <c r="AP1" s="611"/>
      <c r="AQ1" s="611"/>
      <c r="AR1" s="611"/>
      <c r="AS1" s="611"/>
      <c r="AT1" s="611"/>
      <c r="AU1" s="611"/>
      <c r="AV1" s="379"/>
      <c r="AW1" s="379"/>
      <c r="AY1" s="603" t="s">
        <v>244</v>
      </c>
      <c r="AZ1" s="603"/>
      <c r="BA1" s="603"/>
      <c r="BB1" s="603"/>
      <c r="BC1" s="603"/>
      <c r="BD1" s="603"/>
      <c r="BE1" s="603"/>
      <c r="BF1" s="603"/>
      <c r="BG1" s="603"/>
      <c r="BH1" s="603"/>
      <c r="BI1" s="603"/>
      <c r="BJ1" s="603"/>
      <c r="BK1" s="379"/>
      <c r="BL1" s="379"/>
      <c r="BN1" s="604" t="s">
        <v>245</v>
      </c>
      <c r="BO1" s="604"/>
      <c r="BP1" s="604"/>
      <c r="BQ1" s="604"/>
      <c r="BR1" s="604"/>
      <c r="BS1" s="604"/>
      <c r="BT1" s="604"/>
      <c r="BU1" s="604"/>
      <c r="BV1" s="604"/>
      <c r="BW1" s="604"/>
      <c r="BX1" s="604"/>
      <c r="BY1" s="604"/>
      <c r="BZ1" s="379"/>
      <c r="CA1" s="379"/>
      <c r="CC1" s="605" t="s">
        <v>254</v>
      </c>
      <c r="CD1" s="605"/>
      <c r="CE1" s="605"/>
      <c r="CF1" s="605"/>
      <c r="CG1" s="605"/>
      <c r="CH1" s="605"/>
      <c r="CI1" s="605"/>
      <c r="CJ1" s="605"/>
      <c r="CK1" s="605"/>
      <c r="CL1" s="605"/>
      <c r="CM1" s="605"/>
      <c r="CN1" s="605"/>
      <c r="CO1" s="379"/>
      <c r="CP1" s="379"/>
      <c r="CR1" s="606" t="s">
        <v>255</v>
      </c>
      <c r="CS1" s="606"/>
      <c r="CT1" s="606"/>
      <c r="CU1" s="606"/>
      <c r="CV1" s="606"/>
      <c r="CW1" s="606"/>
      <c r="CX1" s="606"/>
      <c r="CY1" s="606"/>
      <c r="CZ1" s="606"/>
      <c r="DA1" s="606"/>
      <c r="DB1" s="606"/>
      <c r="DC1" s="606"/>
    </row>
    <row r="2" spans="1:109" x14ac:dyDescent="0.3"/>
    <row r="3" spans="1:109" ht="15.6" x14ac:dyDescent="0.3">
      <c r="A3" s="380" t="s">
        <v>215</v>
      </c>
      <c r="H3" s="380" t="s">
        <v>256</v>
      </c>
    </row>
    <row r="4" spans="1:109" ht="15" thickBot="1" x14ac:dyDescent="0.35"/>
    <row r="5" spans="1:109" ht="22.95" customHeight="1" x14ac:dyDescent="0.3">
      <c r="A5" s="382" t="s">
        <v>148</v>
      </c>
      <c r="B5" s="587" t="s">
        <v>248</v>
      </c>
      <c r="C5" s="587"/>
      <c r="D5" s="587"/>
      <c r="E5" s="587"/>
      <c r="F5" s="588"/>
      <c r="H5" s="607" t="s">
        <v>148</v>
      </c>
      <c r="I5" s="608"/>
      <c r="J5" s="601" t="s">
        <v>248</v>
      </c>
      <c r="K5" s="601"/>
      <c r="L5" s="601"/>
      <c r="M5" s="601"/>
      <c r="N5" s="601"/>
      <c r="O5" s="601"/>
      <c r="P5" s="601"/>
      <c r="Q5" s="601"/>
      <c r="R5" s="601"/>
      <c r="S5" s="602"/>
      <c r="U5" s="607" t="s">
        <v>148</v>
      </c>
      <c r="V5" s="608"/>
      <c r="W5" s="601" t="s">
        <v>248</v>
      </c>
      <c r="X5" s="601"/>
      <c r="Y5" s="601"/>
      <c r="Z5" s="601"/>
      <c r="AA5" s="601"/>
      <c r="AB5" s="601"/>
      <c r="AC5" s="601"/>
      <c r="AD5" s="601"/>
      <c r="AE5" s="601"/>
      <c r="AF5" s="602"/>
      <c r="AG5" s="200"/>
      <c r="AJ5" s="607" t="s">
        <v>148</v>
      </c>
      <c r="AK5" s="608"/>
      <c r="AL5" s="601" t="s">
        <v>248</v>
      </c>
      <c r="AM5" s="601"/>
      <c r="AN5" s="601"/>
      <c r="AO5" s="601"/>
      <c r="AP5" s="601"/>
      <c r="AQ5" s="601"/>
      <c r="AR5" s="601"/>
      <c r="AS5" s="601"/>
      <c r="AT5" s="601"/>
      <c r="AU5" s="602"/>
      <c r="AV5" s="200"/>
      <c r="AW5" s="200"/>
      <c r="AY5" s="607" t="s">
        <v>148</v>
      </c>
      <c r="AZ5" s="608"/>
      <c r="BA5" s="601" t="s">
        <v>248</v>
      </c>
      <c r="BB5" s="601"/>
      <c r="BC5" s="601"/>
      <c r="BD5" s="601"/>
      <c r="BE5" s="601"/>
      <c r="BF5" s="601"/>
      <c r="BG5" s="601"/>
      <c r="BH5" s="601"/>
      <c r="BI5" s="601"/>
      <c r="BJ5" s="602"/>
      <c r="BK5" s="200"/>
      <c r="BL5" s="200"/>
      <c r="BN5" s="607" t="s">
        <v>148</v>
      </c>
      <c r="BO5" s="608"/>
      <c r="BP5" s="601" t="s">
        <v>248</v>
      </c>
      <c r="BQ5" s="601"/>
      <c r="BR5" s="601"/>
      <c r="BS5" s="601"/>
      <c r="BT5" s="601"/>
      <c r="BU5" s="601"/>
      <c r="BV5" s="601"/>
      <c r="BW5" s="601"/>
      <c r="BX5" s="601"/>
      <c r="BY5" s="602"/>
      <c r="BZ5" s="200"/>
      <c r="CA5" s="200"/>
      <c r="CC5" s="607" t="s">
        <v>148</v>
      </c>
      <c r="CD5" s="608"/>
      <c r="CE5" s="601" t="s">
        <v>248</v>
      </c>
      <c r="CF5" s="601"/>
      <c r="CG5" s="601"/>
      <c r="CH5" s="601"/>
      <c r="CI5" s="601"/>
      <c r="CJ5" s="601"/>
      <c r="CK5" s="601"/>
      <c r="CL5" s="601"/>
      <c r="CM5" s="601"/>
      <c r="CN5" s="602"/>
      <c r="CO5" s="200"/>
      <c r="CP5" s="200"/>
      <c r="CR5" s="607" t="s">
        <v>148</v>
      </c>
      <c r="CS5" s="608"/>
      <c r="CT5" s="601" t="s">
        <v>248</v>
      </c>
      <c r="CU5" s="601"/>
      <c r="CV5" s="601"/>
      <c r="CW5" s="601"/>
      <c r="CX5" s="601"/>
      <c r="CY5" s="601"/>
      <c r="CZ5" s="601"/>
      <c r="DA5" s="601"/>
      <c r="DB5" s="601"/>
      <c r="DC5" s="602"/>
    </row>
    <row r="6" spans="1:109" ht="15" thickBot="1" x14ac:dyDescent="0.35">
      <c r="A6" s="383" t="s">
        <v>249</v>
      </c>
      <c r="B6" s="171">
        <v>50000</v>
      </c>
      <c r="C6" s="172">
        <v>100000</v>
      </c>
      <c r="D6" s="172">
        <v>200000</v>
      </c>
      <c r="E6" s="172">
        <v>300000</v>
      </c>
      <c r="F6" s="173">
        <v>400000</v>
      </c>
      <c r="H6" s="609"/>
      <c r="I6" s="610"/>
      <c r="J6" s="384">
        <v>10000</v>
      </c>
      <c r="K6" s="384">
        <v>20000</v>
      </c>
      <c r="L6" s="384">
        <v>30000</v>
      </c>
      <c r="M6" s="384">
        <v>40000</v>
      </c>
      <c r="N6" s="384">
        <v>50000</v>
      </c>
      <c r="O6" s="384">
        <v>60000</v>
      </c>
      <c r="P6" s="384">
        <v>70000</v>
      </c>
      <c r="Q6" s="384">
        <v>80000</v>
      </c>
      <c r="R6" s="384">
        <v>90000</v>
      </c>
      <c r="S6" s="385">
        <v>100000</v>
      </c>
      <c r="U6" s="609"/>
      <c r="V6" s="610"/>
      <c r="W6" s="384">
        <v>10000</v>
      </c>
      <c r="X6" s="384">
        <v>20000</v>
      </c>
      <c r="Y6" s="384">
        <v>30000</v>
      </c>
      <c r="Z6" s="384">
        <v>40000</v>
      </c>
      <c r="AA6" s="384">
        <v>50000</v>
      </c>
      <c r="AB6" s="384">
        <v>60000</v>
      </c>
      <c r="AC6" s="384">
        <v>70000</v>
      </c>
      <c r="AD6" s="384">
        <v>80000</v>
      </c>
      <c r="AE6" s="384">
        <v>90000</v>
      </c>
      <c r="AF6" s="385">
        <v>100000</v>
      </c>
      <c r="AG6" s="386"/>
      <c r="AJ6" s="609"/>
      <c r="AK6" s="610"/>
      <c r="AL6" s="384">
        <v>10000</v>
      </c>
      <c r="AM6" s="384">
        <v>20000</v>
      </c>
      <c r="AN6" s="384">
        <v>30000</v>
      </c>
      <c r="AO6" s="384">
        <v>40000</v>
      </c>
      <c r="AP6" s="384">
        <v>50000</v>
      </c>
      <c r="AQ6" s="384">
        <v>60000</v>
      </c>
      <c r="AR6" s="384">
        <v>70000</v>
      </c>
      <c r="AS6" s="384">
        <v>80000</v>
      </c>
      <c r="AT6" s="384">
        <v>90000</v>
      </c>
      <c r="AU6" s="385">
        <v>100000</v>
      </c>
      <c r="AV6" s="386"/>
      <c r="AW6" s="386"/>
      <c r="AY6" s="609"/>
      <c r="AZ6" s="610"/>
      <c r="BA6" s="384">
        <v>10000</v>
      </c>
      <c r="BB6" s="384">
        <v>20000</v>
      </c>
      <c r="BC6" s="384">
        <v>30000</v>
      </c>
      <c r="BD6" s="384">
        <v>40000</v>
      </c>
      <c r="BE6" s="384">
        <v>50000</v>
      </c>
      <c r="BF6" s="384">
        <v>60000</v>
      </c>
      <c r="BG6" s="384">
        <v>70000</v>
      </c>
      <c r="BH6" s="384">
        <v>80000</v>
      </c>
      <c r="BI6" s="384">
        <v>90000</v>
      </c>
      <c r="BJ6" s="385">
        <v>100000</v>
      </c>
      <c r="BK6" s="386"/>
      <c r="BL6" s="386"/>
      <c r="BN6" s="609"/>
      <c r="BO6" s="610"/>
      <c r="BP6" s="384">
        <v>10000</v>
      </c>
      <c r="BQ6" s="384">
        <v>20000</v>
      </c>
      <c r="BR6" s="384">
        <v>30000</v>
      </c>
      <c r="BS6" s="384">
        <v>40000</v>
      </c>
      <c r="BT6" s="384">
        <v>50000</v>
      </c>
      <c r="BU6" s="384">
        <v>60000</v>
      </c>
      <c r="BV6" s="384">
        <v>70000</v>
      </c>
      <c r="BW6" s="384">
        <v>80000</v>
      </c>
      <c r="BX6" s="384">
        <v>90000</v>
      </c>
      <c r="BY6" s="385">
        <v>100000</v>
      </c>
      <c r="BZ6" s="386"/>
      <c r="CA6" s="386"/>
      <c r="CC6" s="609"/>
      <c r="CD6" s="610"/>
      <c r="CE6" s="384">
        <v>10000</v>
      </c>
      <c r="CF6" s="384">
        <v>20000</v>
      </c>
      <c r="CG6" s="384">
        <v>30000</v>
      </c>
      <c r="CH6" s="384">
        <v>40000</v>
      </c>
      <c r="CI6" s="384">
        <v>50000</v>
      </c>
      <c r="CJ6" s="384">
        <v>60000</v>
      </c>
      <c r="CK6" s="384">
        <v>70000</v>
      </c>
      <c r="CL6" s="384">
        <v>80000</v>
      </c>
      <c r="CM6" s="384">
        <v>90000</v>
      </c>
      <c r="CN6" s="385">
        <v>100000</v>
      </c>
      <c r="CO6" s="386"/>
      <c r="CP6" s="386"/>
      <c r="CR6" s="609"/>
      <c r="CS6" s="610"/>
      <c r="CT6" s="384">
        <v>10000</v>
      </c>
      <c r="CU6" s="384">
        <v>20000</v>
      </c>
      <c r="CV6" s="384">
        <v>30000</v>
      </c>
      <c r="CW6" s="384">
        <v>40000</v>
      </c>
      <c r="CX6" s="384">
        <v>50000</v>
      </c>
      <c r="CY6" s="384">
        <v>60000</v>
      </c>
      <c r="CZ6" s="384">
        <v>70000</v>
      </c>
      <c r="DA6" s="384">
        <v>80000</v>
      </c>
      <c r="DB6" s="384">
        <v>90000</v>
      </c>
      <c r="DC6" s="385">
        <v>100000</v>
      </c>
    </row>
    <row r="7" spans="1:109" ht="43.2" x14ac:dyDescent="0.3">
      <c r="A7" s="176" t="s">
        <v>224</v>
      </c>
      <c r="B7" s="177">
        <v>131.85</v>
      </c>
      <c r="C7" s="177">
        <v>160.20000000000002</v>
      </c>
      <c r="D7" s="177">
        <v>216.9</v>
      </c>
      <c r="E7" s="177">
        <v>273.60000000000002</v>
      </c>
      <c r="F7" s="178">
        <v>330.3</v>
      </c>
      <c r="H7" s="201" t="s">
        <v>257</v>
      </c>
      <c r="I7" s="202" t="s">
        <v>249</v>
      </c>
      <c r="J7" s="612" t="s">
        <v>258</v>
      </c>
      <c r="K7" s="613"/>
      <c r="L7" s="613"/>
      <c r="M7" s="613"/>
      <c r="N7" s="613"/>
      <c r="O7" s="613"/>
      <c r="P7" s="613"/>
      <c r="Q7" s="613"/>
      <c r="R7" s="613"/>
      <c r="S7" s="614"/>
      <c r="U7" s="201" t="s">
        <v>257</v>
      </c>
      <c r="V7" s="202" t="s">
        <v>249</v>
      </c>
      <c r="W7" s="612" t="s">
        <v>258</v>
      </c>
      <c r="X7" s="613"/>
      <c r="Y7" s="613"/>
      <c r="Z7" s="613"/>
      <c r="AA7" s="613"/>
      <c r="AB7" s="613"/>
      <c r="AC7" s="613"/>
      <c r="AD7" s="613"/>
      <c r="AE7" s="613"/>
      <c r="AF7" s="614"/>
      <c r="AG7" s="200"/>
      <c r="AH7" s="175" t="s">
        <v>250</v>
      </c>
      <c r="AJ7" s="201" t="s">
        <v>257</v>
      </c>
      <c r="AK7" s="202" t="s">
        <v>249</v>
      </c>
      <c r="AL7" s="612" t="s">
        <v>258</v>
      </c>
      <c r="AM7" s="613"/>
      <c r="AN7" s="613"/>
      <c r="AO7" s="613"/>
      <c r="AP7" s="613"/>
      <c r="AQ7" s="613"/>
      <c r="AR7" s="613"/>
      <c r="AS7" s="613"/>
      <c r="AT7" s="613"/>
      <c r="AU7" s="614"/>
      <c r="AV7" s="200"/>
      <c r="AW7" s="175" t="s">
        <v>250</v>
      </c>
      <c r="AY7" s="201" t="s">
        <v>257</v>
      </c>
      <c r="AZ7" s="202" t="s">
        <v>249</v>
      </c>
      <c r="BA7" s="612" t="s">
        <v>258</v>
      </c>
      <c r="BB7" s="613"/>
      <c r="BC7" s="613"/>
      <c r="BD7" s="613"/>
      <c r="BE7" s="613"/>
      <c r="BF7" s="613"/>
      <c r="BG7" s="613"/>
      <c r="BH7" s="613"/>
      <c r="BI7" s="613"/>
      <c r="BJ7" s="614"/>
      <c r="BK7" s="200"/>
      <c r="BL7" s="175" t="s">
        <v>251</v>
      </c>
      <c r="BN7" s="201" t="s">
        <v>257</v>
      </c>
      <c r="BO7" s="202" t="s">
        <v>249</v>
      </c>
      <c r="BP7" s="612" t="s">
        <v>258</v>
      </c>
      <c r="BQ7" s="613"/>
      <c r="BR7" s="613"/>
      <c r="BS7" s="613"/>
      <c r="BT7" s="613"/>
      <c r="BU7" s="613"/>
      <c r="BV7" s="613"/>
      <c r="BW7" s="613"/>
      <c r="BX7" s="613"/>
      <c r="BY7" s="614"/>
      <c r="BZ7" s="200"/>
      <c r="CA7" s="175" t="s">
        <v>251</v>
      </c>
      <c r="CC7" s="201" t="s">
        <v>257</v>
      </c>
      <c r="CD7" s="202" t="s">
        <v>249</v>
      </c>
      <c r="CE7" s="612" t="s">
        <v>258</v>
      </c>
      <c r="CF7" s="613"/>
      <c r="CG7" s="613"/>
      <c r="CH7" s="613"/>
      <c r="CI7" s="613"/>
      <c r="CJ7" s="613"/>
      <c r="CK7" s="613"/>
      <c r="CL7" s="613"/>
      <c r="CM7" s="613"/>
      <c r="CN7" s="614"/>
      <c r="CO7" s="200"/>
      <c r="CP7" s="202" t="s">
        <v>252</v>
      </c>
      <c r="CR7" s="201" t="s">
        <v>257</v>
      </c>
      <c r="CS7" s="202" t="s">
        <v>249</v>
      </c>
      <c r="CT7" s="612" t="s">
        <v>258</v>
      </c>
      <c r="CU7" s="613"/>
      <c r="CV7" s="613"/>
      <c r="CW7" s="613"/>
      <c r="CX7" s="613"/>
      <c r="CY7" s="613"/>
      <c r="CZ7" s="613"/>
      <c r="DA7" s="613"/>
      <c r="DB7" s="613"/>
      <c r="DC7" s="614"/>
      <c r="DE7" s="175" t="s">
        <v>252</v>
      </c>
    </row>
    <row r="8" spans="1:109" x14ac:dyDescent="0.3">
      <c r="A8" s="387" t="s">
        <v>225</v>
      </c>
      <c r="B8" s="388">
        <v>154.80000000000001</v>
      </c>
      <c r="C8" s="388">
        <v>206.1</v>
      </c>
      <c r="D8" s="388">
        <v>308.7</v>
      </c>
      <c r="E8" s="388">
        <v>411.3</v>
      </c>
      <c r="F8" s="389">
        <v>513.9</v>
      </c>
      <c r="H8" s="387">
        <v>22</v>
      </c>
      <c r="I8" s="390" t="s">
        <v>224</v>
      </c>
      <c r="J8" s="391">
        <v>6.3</v>
      </c>
      <c r="K8" s="391">
        <v>12.6</v>
      </c>
      <c r="L8" s="391">
        <v>18.899999999999999</v>
      </c>
      <c r="M8" s="391">
        <v>25.2</v>
      </c>
      <c r="N8" s="391">
        <v>31.5</v>
      </c>
      <c r="O8" s="391">
        <v>37.799999999999997</v>
      </c>
      <c r="P8" s="391">
        <v>44.1</v>
      </c>
      <c r="Q8" s="391">
        <v>50.4</v>
      </c>
      <c r="R8" s="391">
        <v>56.7</v>
      </c>
      <c r="S8" s="392">
        <v>63</v>
      </c>
      <c r="U8" s="387">
        <v>22</v>
      </c>
      <c r="V8" s="390" t="s">
        <v>224</v>
      </c>
      <c r="W8" s="391">
        <v>6.3</v>
      </c>
      <c r="X8" s="391">
        <v>12.6</v>
      </c>
      <c r="Y8" s="391">
        <v>18.899999999999999</v>
      </c>
      <c r="Z8" s="391">
        <v>25.2</v>
      </c>
      <c r="AA8" s="391">
        <v>31.5</v>
      </c>
      <c r="AB8" s="391">
        <v>37.799999999999997</v>
      </c>
      <c r="AC8" s="391">
        <v>44.1</v>
      </c>
      <c r="AD8" s="391">
        <v>50.4</v>
      </c>
      <c r="AE8" s="391">
        <v>56.7</v>
      </c>
      <c r="AF8" s="391">
        <v>63</v>
      </c>
      <c r="AG8" s="393"/>
      <c r="AH8" s="394">
        <v>0</v>
      </c>
      <c r="AJ8" s="387">
        <v>22</v>
      </c>
      <c r="AK8" s="390" t="s">
        <v>224</v>
      </c>
      <c r="AL8" s="391">
        <v>6.3</v>
      </c>
      <c r="AM8" s="391">
        <v>12.6</v>
      </c>
      <c r="AN8" s="391">
        <v>18.899999999999999</v>
      </c>
      <c r="AO8" s="391">
        <v>25.2</v>
      </c>
      <c r="AP8" s="391">
        <v>31.5</v>
      </c>
      <c r="AQ8" s="391">
        <v>37.799999999999997</v>
      </c>
      <c r="AR8" s="391">
        <v>44.1</v>
      </c>
      <c r="AS8" s="391">
        <v>50.4</v>
      </c>
      <c r="AT8" s="391">
        <v>56.7</v>
      </c>
      <c r="AU8" s="391">
        <v>63</v>
      </c>
      <c r="AV8" s="393"/>
      <c r="AW8" s="394">
        <v>0</v>
      </c>
      <c r="AY8" s="387">
        <v>22</v>
      </c>
      <c r="AZ8" s="390" t="s">
        <v>224</v>
      </c>
      <c r="BA8" s="391">
        <v>6.423713689940981</v>
      </c>
      <c r="BB8" s="391">
        <v>12.847427379881962</v>
      </c>
      <c r="BC8" s="391">
        <v>19.271141069822942</v>
      </c>
      <c r="BD8" s="391">
        <v>25.694854759763924</v>
      </c>
      <c r="BE8" s="391">
        <v>32.11856844970491</v>
      </c>
      <c r="BF8" s="391">
        <v>38.542282139645884</v>
      </c>
      <c r="BG8" s="391">
        <v>44.965995829586873</v>
      </c>
      <c r="BH8" s="391">
        <v>51.389709519527848</v>
      </c>
      <c r="BI8" s="391">
        <v>57.813423209468837</v>
      </c>
      <c r="BJ8" s="391">
        <v>64.237136899409819</v>
      </c>
      <c r="BK8" s="393"/>
      <c r="BL8" s="395">
        <v>1.9637093641425629E-2</v>
      </c>
      <c r="BN8" s="387">
        <v>22</v>
      </c>
      <c r="BO8" s="390" t="s">
        <v>224</v>
      </c>
      <c r="BP8" s="391">
        <v>6.4979419039055699</v>
      </c>
      <c r="BQ8" s="391">
        <v>12.99588380781114</v>
      </c>
      <c r="BR8" s="391">
        <v>19.493825711716706</v>
      </c>
      <c r="BS8" s="391">
        <v>25.99176761562228</v>
      </c>
      <c r="BT8" s="391">
        <v>32.48970951952785</v>
      </c>
      <c r="BU8" s="391">
        <v>38.987651423433412</v>
      </c>
      <c r="BV8" s="391">
        <v>45.485593327338989</v>
      </c>
      <c r="BW8" s="391">
        <v>51.983535231244559</v>
      </c>
      <c r="BX8" s="391">
        <v>58.481477135150129</v>
      </c>
      <c r="BY8" s="391">
        <v>64.979419039055699</v>
      </c>
      <c r="BZ8" s="393"/>
      <c r="CA8" s="395">
        <v>3.1419349826281001E-2</v>
      </c>
      <c r="CC8" s="387">
        <v>22</v>
      </c>
      <c r="CD8" s="390" t="s">
        <v>224</v>
      </c>
      <c r="CE8" s="391">
        <v>6.423713689940981</v>
      </c>
      <c r="CF8" s="391">
        <v>12.847427379881962</v>
      </c>
      <c r="CG8" s="391">
        <v>19.271141069822942</v>
      </c>
      <c r="CH8" s="391">
        <v>25.694854759763924</v>
      </c>
      <c r="CI8" s="391">
        <v>32.11856844970491</v>
      </c>
      <c r="CJ8" s="391">
        <v>38.542282139645884</v>
      </c>
      <c r="CK8" s="391">
        <v>44.965995829586873</v>
      </c>
      <c r="CL8" s="391">
        <v>51.389709519527848</v>
      </c>
      <c r="CM8" s="391">
        <v>57.813423209468837</v>
      </c>
      <c r="CN8" s="391">
        <v>64.237136899409819</v>
      </c>
      <c r="CO8" s="393"/>
      <c r="CP8" s="396">
        <v>1.9637093641425629E-2</v>
      </c>
      <c r="CR8" s="387">
        <v>22</v>
      </c>
      <c r="CS8" s="390" t="s">
        <v>224</v>
      </c>
      <c r="CT8" s="391">
        <v>6.4979419039055699</v>
      </c>
      <c r="CU8" s="391">
        <v>12.99588380781114</v>
      </c>
      <c r="CV8" s="391">
        <v>19.493825711716706</v>
      </c>
      <c r="CW8" s="391">
        <v>25.99176761562228</v>
      </c>
      <c r="CX8" s="391">
        <v>32.48970951952785</v>
      </c>
      <c r="CY8" s="391">
        <v>38.987651423433412</v>
      </c>
      <c r="CZ8" s="391">
        <v>45.485593327338989</v>
      </c>
      <c r="DA8" s="391">
        <v>51.983535231244559</v>
      </c>
      <c r="DB8" s="391">
        <v>58.481477135150129</v>
      </c>
      <c r="DC8" s="391">
        <v>64.979419039055699</v>
      </c>
      <c r="DE8" s="397">
        <v>3.1419349826281001E-2</v>
      </c>
    </row>
    <row r="9" spans="1:109" x14ac:dyDescent="0.3">
      <c r="A9" s="387" t="s">
        <v>226</v>
      </c>
      <c r="B9" s="388">
        <v>176.625</v>
      </c>
      <c r="C9" s="388">
        <v>249.75</v>
      </c>
      <c r="D9" s="388">
        <v>396</v>
      </c>
      <c r="E9" s="388">
        <v>542.25</v>
      </c>
      <c r="F9" s="389">
        <v>688.5</v>
      </c>
      <c r="H9" s="387">
        <v>30</v>
      </c>
      <c r="I9" s="390" t="s">
        <v>238</v>
      </c>
      <c r="J9" s="391">
        <v>11.399999999999999</v>
      </c>
      <c r="K9" s="391">
        <v>22.799999999999997</v>
      </c>
      <c r="L9" s="391">
        <v>34.200000000000003</v>
      </c>
      <c r="M9" s="391">
        <v>45.599999999999994</v>
      </c>
      <c r="N9" s="391">
        <v>57</v>
      </c>
      <c r="O9" s="391">
        <v>68.400000000000006</v>
      </c>
      <c r="P9" s="391">
        <v>79.800000000000011</v>
      </c>
      <c r="Q9" s="391">
        <v>91.199999999999989</v>
      </c>
      <c r="R9" s="391">
        <v>102.6</v>
      </c>
      <c r="S9" s="392">
        <v>114</v>
      </c>
      <c r="U9" s="387">
        <v>30</v>
      </c>
      <c r="V9" s="390" t="s">
        <v>238</v>
      </c>
      <c r="W9" s="391">
        <v>11.399999999999999</v>
      </c>
      <c r="X9" s="391">
        <v>22.799999999999997</v>
      </c>
      <c r="Y9" s="391">
        <v>34.200000000000003</v>
      </c>
      <c r="Z9" s="391">
        <v>45.599999999999994</v>
      </c>
      <c r="AA9" s="391">
        <v>57</v>
      </c>
      <c r="AB9" s="391">
        <v>68.400000000000006</v>
      </c>
      <c r="AC9" s="391">
        <v>79.800000000000011</v>
      </c>
      <c r="AD9" s="391">
        <v>91.199999999999989</v>
      </c>
      <c r="AE9" s="391">
        <v>102.6</v>
      </c>
      <c r="AF9" s="391">
        <v>114</v>
      </c>
      <c r="AG9" s="398"/>
      <c r="AH9" s="394">
        <v>0</v>
      </c>
      <c r="AJ9" s="387">
        <v>30</v>
      </c>
      <c r="AK9" s="390" t="s">
        <v>238</v>
      </c>
      <c r="AL9" s="391">
        <v>11.399999999999999</v>
      </c>
      <c r="AM9" s="391">
        <v>22.799999999999997</v>
      </c>
      <c r="AN9" s="391">
        <v>34.200000000000003</v>
      </c>
      <c r="AO9" s="391">
        <v>45.599999999999994</v>
      </c>
      <c r="AP9" s="391">
        <v>57</v>
      </c>
      <c r="AQ9" s="391">
        <v>68.400000000000006</v>
      </c>
      <c r="AR9" s="391">
        <v>79.800000000000011</v>
      </c>
      <c r="AS9" s="391">
        <v>91.199999999999989</v>
      </c>
      <c r="AT9" s="391">
        <v>102.6</v>
      </c>
      <c r="AU9" s="391">
        <v>114</v>
      </c>
      <c r="AV9" s="393"/>
      <c r="AW9" s="394">
        <v>0</v>
      </c>
      <c r="AY9" s="387">
        <v>30</v>
      </c>
      <c r="AZ9" s="390" t="s">
        <v>238</v>
      </c>
      <c r="BA9" s="391">
        <v>11.623827895920577</v>
      </c>
      <c r="BB9" s="391">
        <v>23.247655791841154</v>
      </c>
      <c r="BC9" s="391">
        <v>34.871483687761739</v>
      </c>
      <c r="BD9" s="391">
        <v>46.495311583682309</v>
      </c>
      <c r="BE9" s="391">
        <v>58.119139479602893</v>
      </c>
      <c r="BF9" s="391">
        <v>69.742967375523477</v>
      </c>
      <c r="BG9" s="391">
        <v>81.366795271444062</v>
      </c>
      <c r="BH9" s="391">
        <v>92.990623167364618</v>
      </c>
      <c r="BI9" s="391">
        <v>104.6144510632852</v>
      </c>
      <c r="BJ9" s="391">
        <v>116.23827895920579</v>
      </c>
      <c r="BK9" s="393"/>
      <c r="BL9" s="395">
        <v>1.9634025957945507E-2</v>
      </c>
      <c r="BN9" s="387">
        <v>30</v>
      </c>
      <c r="BO9" s="390" t="s">
        <v>238</v>
      </c>
      <c r="BP9" s="391">
        <v>11.758124633472926</v>
      </c>
      <c r="BQ9" s="391">
        <v>23.516249266945852</v>
      </c>
      <c r="BR9" s="391">
        <v>35.27437390041878</v>
      </c>
      <c r="BS9" s="391">
        <v>47.032498533891705</v>
      </c>
      <c r="BT9" s="391">
        <v>58.790623167364636</v>
      </c>
      <c r="BU9" s="391">
        <v>70.54874780083756</v>
      </c>
      <c r="BV9" s="391">
        <v>82.306872434310506</v>
      </c>
      <c r="BW9" s="391">
        <v>94.064997067783409</v>
      </c>
      <c r="BX9" s="391">
        <v>105.82312170125634</v>
      </c>
      <c r="BY9" s="391">
        <v>117.58124633472927</v>
      </c>
      <c r="BZ9" s="393"/>
      <c r="CA9" s="395">
        <v>3.1414441532712813E-2</v>
      </c>
      <c r="CC9" s="387">
        <v>30</v>
      </c>
      <c r="CD9" s="390" t="s">
        <v>238</v>
      </c>
      <c r="CE9" s="391">
        <v>11.623827895920577</v>
      </c>
      <c r="CF9" s="391">
        <v>23.247655791841154</v>
      </c>
      <c r="CG9" s="391">
        <v>34.871483687761739</v>
      </c>
      <c r="CH9" s="391">
        <v>46.495311583682309</v>
      </c>
      <c r="CI9" s="391">
        <v>58.119139479602893</v>
      </c>
      <c r="CJ9" s="391">
        <v>69.742967375523477</v>
      </c>
      <c r="CK9" s="391">
        <v>81.366795271444062</v>
      </c>
      <c r="CL9" s="391">
        <v>92.990623167364618</v>
      </c>
      <c r="CM9" s="391">
        <v>104.6144510632852</v>
      </c>
      <c r="CN9" s="391">
        <v>116.23827895920579</v>
      </c>
      <c r="CO9" s="393"/>
      <c r="CP9" s="396">
        <v>1.9634025957945507E-2</v>
      </c>
      <c r="CR9" s="387">
        <v>30</v>
      </c>
      <c r="CS9" s="390" t="s">
        <v>238</v>
      </c>
      <c r="CT9" s="391">
        <v>11.758124633472926</v>
      </c>
      <c r="CU9" s="391">
        <v>23.516249266945852</v>
      </c>
      <c r="CV9" s="391">
        <v>35.27437390041878</v>
      </c>
      <c r="CW9" s="391">
        <v>47.032498533891705</v>
      </c>
      <c r="CX9" s="391">
        <v>58.790623167364636</v>
      </c>
      <c r="CY9" s="391">
        <v>70.54874780083756</v>
      </c>
      <c r="CZ9" s="391">
        <v>82.306872434310506</v>
      </c>
      <c r="DA9" s="391">
        <v>94.064997067783409</v>
      </c>
      <c r="DB9" s="391">
        <v>105.82312170125634</v>
      </c>
      <c r="DC9" s="391">
        <v>117.58124633472927</v>
      </c>
      <c r="DE9" s="397">
        <v>3.1414441532712813E-2</v>
      </c>
    </row>
    <row r="10" spans="1:109" x14ac:dyDescent="0.3">
      <c r="A10" s="387" t="s">
        <v>227</v>
      </c>
      <c r="B10" s="388">
        <v>178.65</v>
      </c>
      <c r="C10" s="388">
        <v>253.8</v>
      </c>
      <c r="D10" s="388">
        <v>404.1</v>
      </c>
      <c r="E10" s="388">
        <v>554.4</v>
      </c>
      <c r="F10" s="389">
        <v>704.7</v>
      </c>
      <c r="H10" s="387">
        <v>40</v>
      </c>
      <c r="I10" s="390" t="s">
        <v>259</v>
      </c>
      <c r="J10" s="391">
        <v>16.25</v>
      </c>
      <c r="K10" s="391">
        <v>32.5</v>
      </c>
      <c r="L10" s="391">
        <v>48.75</v>
      </c>
      <c r="M10" s="391">
        <v>65</v>
      </c>
      <c r="N10" s="391">
        <v>81.25</v>
      </c>
      <c r="O10" s="391">
        <v>97.5</v>
      </c>
      <c r="P10" s="391">
        <v>113.75</v>
      </c>
      <c r="Q10" s="391">
        <v>130</v>
      </c>
      <c r="R10" s="391">
        <v>146.25</v>
      </c>
      <c r="S10" s="392">
        <v>162.5</v>
      </c>
      <c r="U10" s="387">
        <v>40</v>
      </c>
      <c r="V10" s="390" t="s">
        <v>259</v>
      </c>
      <c r="W10" s="391">
        <v>16.25</v>
      </c>
      <c r="X10" s="391">
        <v>32.5</v>
      </c>
      <c r="Y10" s="391">
        <v>48.75</v>
      </c>
      <c r="Z10" s="391">
        <v>65</v>
      </c>
      <c r="AA10" s="391">
        <v>81.25</v>
      </c>
      <c r="AB10" s="391">
        <v>97.5</v>
      </c>
      <c r="AC10" s="391">
        <v>113.75</v>
      </c>
      <c r="AD10" s="391">
        <v>130</v>
      </c>
      <c r="AE10" s="391">
        <v>146.25</v>
      </c>
      <c r="AF10" s="391">
        <v>162.5</v>
      </c>
      <c r="AG10" s="398"/>
      <c r="AH10" s="394">
        <v>0</v>
      </c>
      <c r="AJ10" s="387">
        <v>40</v>
      </c>
      <c r="AK10" s="390" t="s">
        <v>259</v>
      </c>
      <c r="AL10" s="391">
        <v>16.25</v>
      </c>
      <c r="AM10" s="391">
        <v>32.5</v>
      </c>
      <c r="AN10" s="391">
        <v>48.75</v>
      </c>
      <c r="AO10" s="391">
        <v>65</v>
      </c>
      <c r="AP10" s="391">
        <v>81.25</v>
      </c>
      <c r="AQ10" s="391">
        <v>97.5</v>
      </c>
      <c r="AR10" s="391">
        <v>113.75</v>
      </c>
      <c r="AS10" s="391">
        <v>130</v>
      </c>
      <c r="AT10" s="391">
        <v>146.25</v>
      </c>
      <c r="AU10" s="391">
        <v>162.5</v>
      </c>
      <c r="AV10" s="393"/>
      <c r="AW10" s="394">
        <v>0</v>
      </c>
      <c r="AY10" s="387">
        <v>40</v>
      </c>
      <c r="AZ10" s="390" t="s">
        <v>259</v>
      </c>
      <c r="BA10" s="391">
        <v>16.887140279917748</v>
      </c>
      <c r="BB10" s="391">
        <v>33.774280559835496</v>
      </c>
      <c r="BC10" s="391">
        <v>50.661420839753241</v>
      </c>
      <c r="BD10" s="391">
        <v>67.548561119670993</v>
      </c>
      <c r="BE10" s="391">
        <v>84.435701399588737</v>
      </c>
      <c r="BF10" s="391">
        <v>101.32284167950648</v>
      </c>
      <c r="BG10" s="391">
        <v>118.20998195942423</v>
      </c>
      <c r="BH10" s="391">
        <v>135.09712223934199</v>
      </c>
      <c r="BI10" s="391">
        <v>151.98426251925972</v>
      </c>
      <c r="BJ10" s="391">
        <v>168.87140279917747</v>
      </c>
      <c r="BK10" s="393"/>
      <c r="BL10" s="395">
        <v>3.9208632610322841E-2</v>
      </c>
      <c r="BN10" s="387">
        <v>40</v>
      </c>
      <c r="BO10" s="390" t="s">
        <v>259</v>
      </c>
      <c r="BP10" s="391">
        <v>17.269424447868396</v>
      </c>
      <c r="BQ10" s="391">
        <v>34.538848895736791</v>
      </c>
      <c r="BR10" s="391">
        <v>51.808273343605187</v>
      </c>
      <c r="BS10" s="391">
        <v>69.077697791473582</v>
      </c>
      <c r="BT10" s="391">
        <v>86.347122239341971</v>
      </c>
      <c r="BU10" s="391">
        <v>103.61654668721037</v>
      </c>
      <c r="BV10" s="391">
        <v>120.88597113507876</v>
      </c>
      <c r="BW10" s="391">
        <v>138.15539558294716</v>
      </c>
      <c r="BX10" s="391">
        <v>155.42482003081557</v>
      </c>
      <c r="BY10" s="391">
        <v>172.69424447868394</v>
      </c>
      <c r="BZ10" s="393"/>
      <c r="CA10" s="395">
        <v>6.2733812176516537E-2</v>
      </c>
      <c r="CC10" s="387">
        <v>40</v>
      </c>
      <c r="CD10" s="390" t="s">
        <v>259</v>
      </c>
      <c r="CE10" s="391">
        <v>16.887140279917748</v>
      </c>
      <c r="CF10" s="391">
        <v>33.774280559835496</v>
      </c>
      <c r="CG10" s="391">
        <v>50.661420839753241</v>
      </c>
      <c r="CH10" s="391">
        <v>67.548561119670993</v>
      </c>
      <c r="CI10" s="391">
        <v>84.435701399588737</v>
      </c>
      <c r="CJ10" s="391">
        <v>101.32284167950648</v>
      </c>
      <c r="CK10" s="391">
        <v>118.20998195942423</v>
      </c>
      <c r="CL10" s="391">
        <v>135.09712223934199</v>
      </c>
      <c r="CM10" s="391">
        <v>151.98426251925972</v>
      </c>
      <c r="CN10" s="391">
        <v>168.87140279917747</v>
      </c>
      <c r="CO10" s="393"/>
      <c r="CP10" s="396">
        <v>3.9208632610322841E-2</v>
      </c>
      <c r="CR10" s="387">
        <v>40</v>
      </c>
      <c r="CS10" s="390" t="s">
        <v>259</v>
      </c>
      <c r="CT10" s="391">
        <v>17.269424447868396</v>
      </c>
      <c r="CU10" s="391">
        <v>34.538848895736791</v>
      </c>
      <c r="CV10" s="391">
        <v>51.808273343605187</v>
      </c>
      <c r="CW10" s="391">
        <v>69.077697791473582</v>
      </c>
      <c r="CX10" s="391">
        <v>86.347122239341971</v>
      </c>
      <c r="CY10" s="391">
        <v>103.61654668721037</v>
      </c>
      <c r="CZ10" s="391">
        <v>120.88597113507876</v>
      </c>
      <c r="DA10" s="391">
        <v>138.15539558294716</v>
      </c>
      <c r="DB10" s="391">
        <v>155.42482003081557</v>
      </c>
      <c r="DC10" s="391">
        <v>172.69424447868394</v>
      </c>
      <c r="DE10" s="397">
        <v>6.2733812176516537E-2</v>
      </c>
    </row>
    <row r="11" spans="1:109" x14ac:dyDescent="0.3">
      <c r="A11" s="387" t="s">
        <v>228</v>
      </c>
      <c r="B11" s="388">
        <v>195</v>
      </c>
      <c r="C11" s="388">
        <v>281.25254707178721</v>
      </c>
      <c r="D11" s="388">
        <v>498.56224334036528</v>
      </c>
      <c r="E11" s="388">
        <v>716.68151222826202</v>
      </c>
      <c r="F11" s="389">
        <v>934.96367802096017</v>
      </c>
      <c r="H11" s="387">
        <v>48</v>
      </c>
      <c r="I11" s="390" t="s">
        <v>227</v>
      </c>
      <c r="J11" s="391">
        <v>16.7</v>
      </c>
      <c r="K11" s="391">
        <v>33.4</v>
      </c>
      <c r="L11" s="391">
        <v>50.1</v>
      </c>
      <c r="M11" s="391">
        <v>66.8</v>
      </c>
      <c r="N11" s="391">
        <v>83.5</v>
      </c>
      <c r="O11" s="391">
        <v>100.2</v>
      </c>
      <c r="P11" s="391">
        <v>116.9</v>
      </c>
      <c r="Q11" s="391">
        <v>133.6</v>
      </c>
      <c r="R11" s="391">
        <v>150.30000000000001</v>
      </c>
      <c r="S11" s="392">
        <v>167</v>
      </c>
      <c r="U11" s="387">
        <v>48</v>
      </c>
      <c r="V11" s="390" t="s">
        <v>227</v>
      </c>
      <c r="W11" s="391">
        <v>16.7</v>
      </c>
      <c r="X11" s="391">
        <v>33.4</v>
      </c>
      <c r="Y11" s="391">
        <v>50.1</v>
      </c>
      <c r="Z11" s="391">
        <v>66.8</v>
      </c>
      <c r="AA11" s="391">
        <v>83.5</v>
      </c>
      <c r="AB11" s="391">
        <v>100.2</v>
      </c>
      <c r="AC11" s="391">
        <v>116.9</v>
      </c>
      <c r="AD11" s="391">
        <v>133.6</v>
      </c>
      <c r="AE11" s="391">
        <v>150.30000000000001</v>
      </c>
      <c r="AF11" s="391">
        <v>167</v>
      </c>
      <c r="AG11" s="398"/>
      <c r="AH11" s="394">
        <v>0</v>
      </c>
      <c r="AJ11" s="387">
        <v>48</v>
      </c>
      <c r="AK11" s="390" t="s">
        <v>227</v>
      </c>
      <c r="AL11" s="391">
        <v>16.7</v>
      </c>
      <c r="AM11" s="391">
        <v>33.4</v>
      </c>
      <c r="AN11" s="391">
        <v>50.1</v>
      </c>
      <c r="AO11" s="391">
        <v>66.8</v>
      </c>
      <c r="AP11" s="391">
        <v>83.5</v>
      </c>
      <c r="AQ11" s="391">
        <v>100.2</v>
      </c>
      <c r="AR11" s="391">
        <v>116.9</v>
      </c>
      <c r="AS11" s="391">
        <v>133.6</v>
      </c>
      <c r="AT11" s="391">
        <v>150.30000000000001</v>
      </c>
      <c r="AU11" s="391">
        <v>167</v>
      </c>
      <c r="AV11" s="393"/>
      <c r="AW11" s="394">
        <v>0</v>
      </c>
      <c r="AY11" s="387">
        <v>48</v>
      </c>
      <c r="AZ11" s="390" t="s">
        <v>227</v>
      </c>
      <c r="BA11" s="391">
        <v>17.999061399259151</v>
      </c>
      <c r="BB11" s="391">
        <v>35.998122798518303</v>
      </c>
      <c r="BC11" s="391">
        <v>53.997184197777464</v>
      </c>
      <c r="BD11" s="391">
        <v>71.996245597036605</v>
      </c>
      <c r="BE11" s="391">
        <v>89.995306996295767</v>
      </c>
      <c r="BF11" s="391">
        <v>107.99436839555493</v>
      </c>
      <c r="BG11" s="391">
        <v>125.99342979481408</v>
      </c>
      <c r="BH11" s="391">
        <v>143.99249119407321</v>
      </c>
      <c r="BI11" s="391">
        <v>161.99155259333239</v>
      </c>
      <c r="BJ11" s="391">
        <v>179.99061399259153</v>
      </c>
      <c r="BK11" s="393"/>
      <c r="BL11" s="395">
        <v>7.7788107740069098E-2</v>
      </c>
      <c r="BN11" s="387">
        <v>48</v>
      </c>
      <c r="BO11" s="390" t="s">
        <v>227</v>
      </c>
      <c r="BP11" s="391">
        <v>18.778498238814645</v>
      </c>
      <c r="BQ11" s="391">
        <v>37.556996477629291</v>
      </c>
      <c r="BR11" s="391">
        <v>56.335494716443939</v>
      </c>
      <c r="BS11" s="391">
        <v>75.113992955258581</v>
      </c>
      <c r="BT11" s="391">
        <v>93.89249119407323</v>
      </c>
      <c r="BU11" s="391">
        <v>112.67098943288788</v>
      </c>
      <c r="BV11" s="391">
        <v>131.44948767170254</v>
      </c>
      <c r="BW11" s="391">
        <v>150.22798591051716</v>
      </c>
      <c r="BX11" s="391">
        <v>169.00648414933184</v>
      </c>
      <c r="BY11" s="391">
        <v>187.78498238814646</v>
      </c>
      <c r="BZ11" s="393"/>
      <c r="CA11" s="395">
        <v>0.12446097238411057</v>
      </c>
      <c r="CC11" s="387">
        <v>48</v>
      </c>
      <c r="CD11" s="390" t="s">
        <v>227</v>
      </c>
      <c r="CE11" s="391">
        <v>17.999061399259151</v>
      </c>
      <c r="CF11" s="391">
        <v>35.998122798518303</v>
      </c>
      <c r="CG11" s="391">
        <v>53.997184197777464</v>
      </c>
      <c r="CH11" s="391">
        <v>71.996245597036605</v>
      </c>
      <c r="CI11" s="391">
        <v>89.995306996295767</v>
      </c>
      <c r="CJ11" s="391">
        <v>107.99436839555493</v>
      </c>
      <c r="CK11" s="391">
        <v>125.99342979481408</v>
      </c>
      <c r="CL11" s="391">
        <v>143.99249119407321</v>
      </c>
      <c r="CM11" s="391">
        <v>161.99155259333239</v>
      </c>
      <c r="CN11" s="391">
        <v>179.99061399259153</v>
      </c>
      <c r="CO11" s="393"/>
      <c r="CP11" s="396">
        <v>7.7788107740069098E-2</v>
      </c>
      <c r="CR11" s="387">
        <v>48</v>
      </c>
      <c r="CS11" s="390" t="s">
        <v>227</v>
      </c>
      <c r="CT11" s="391">
        <v>18.778498238814645</v>
      </c>
      <c r="CU11" s="391">
        <v>37.556996477629291</v>
      </c>
      <c r="CV11" s="391">
        <v>56.335494716443939</v>
      </c>
      <c r="CW11" s="391">
        <v>75.113992955258581</v>
      </c>
      <c r="CX11" s="391">
        <v>93.89249119407323</v>
      </c>
      <c r="CY11" s="391">
        <v>112.67098943288788</v>
      </c>
      <c r="CZ11" s="391">
        <v>131.44948767170254</v>
      </c>
      <c r="DA11" s="391">
        <v>150.22798591051716</v>
      </c>
      <c r="DB11" s="391">
        <v>169.00648414933184</v>
      </c>
      <c r="DC11" s="391">
        <v>187.78498238814646</v>
      </c>
      <c r="DE11" s="397">
        <v>0.12446097238411057</v>
      </c>
    </row>
    <row r="12" spans="1:109" x14ac:dyDescent="0.3">
      <c r="A12" s="387" t="s">
        <v>229</v>
      </c>
      <c r="B12" s="388">
        <v>224.21661227415368</v>
      </c>
      <c r="C12" s="388">
        <v>384.47119681151679</v>
      </c>
      <c r="D12" s="388">
        <v>704.7101744459469</v>
      </c>
      <c r="E12" s="388">
        <v>1025.4753845633436</v>
      </c>
      <c r="F12" s="389">
        <v>1346.3435950929875</v>
      </c>
      <c r="H12" s="387">
        <v>53</v>
      </c>
      <c r="I12" s="390" t="s">
        <v>228</v>
      </c>
      <c r="J12" s="391">
        <v>17</v>
      </c>
      <c r="K12" s="391">
        <v>34</v>
      </c>
      <c r="L12" s="391">
        <v>51</v>
      </c>
      <c r="M12" s="391">
        <v>68</v>
      </c>
      <c r="N12" s="391">
        <v>85</v>
      </c>
      <c r="O12" s="391">
        <v>102</v>
      </c>
      <c r="P12" s="391">
        <v>119</v>
      </c>
      <c r="Q12" s="391">
        <v>136</v>
      </c>
      <c r="R12" s="391">
        <v>153</v>
      </c>
      <c r="S12" s="392">
        <v>170</v>
      </c>
      <c r="U12" s="387">
        <v>53</v>
      </c>
      <c r="V12" s="390" t="s">
        <v>228</v>
      </c>
      <c r="W12" s="391">
        <v>17</v>
      </c>
      <c r="X12" s="391">
        <v>34</v>
      </c>
      <c r="Y12" s="391">
        <v>51</v>
      </c>
      <c r="Z12" s="391">
        <v>68</v>
      </c>
      <c r="AA12" s="391">
        <v>85</v>
      </c>
      <c r="AB12" s="391">
        <v>102</v>
      </c>
      <c r="AC12" s="391">
        <v>119</v>
      </c>
      <c r="AD12" s="391">
        <v>136</v>
      </c>
      <c r="AE12" s="391">
        <v>153</v>
      </c>
      <c r="AF12" s="391">
        <v>170</v>
      </c>
      <c r="AG12" s="398"/>
      <c r="AH12" s="394">
        <v>0</v>
      </c>
      <c r="AJ12" s="387">
        <v>53</v>
      </c>
      <c r="AK12" s="390" t="s">
        <v>228</v>
      </c>
      <c r="AL12" s="391">
        <v>17</v>
      </c>
      <c r="AM12" s="391">
        <v>34</v>
      </c>
      <c r="AN12" s="391">
        <v>51</v>
      </c>
      <c r="AO12" s="391">
        <v>68</v>
      </c>
      <c r="AP12" s="391">
        <v>85</v>
      </c>
      <c r="AQ12" s="391">
        <v>102</v>
      </c>
      <c r="AR12" s="391">
        <v>119</v>
      </c>
      <c r="AS12" s="391">
        <v>136</v>
      </c>
      <c r="AT12" s="391">
        <v>153</v>
      </c>
      <c r="AU12" s="391">
        <v>170</v>
      </c>
      <c r="AV12" s="393"/>
      <c r="AW12" s="394">
        <v>0</v>
      </c>
      <c r="AY12" s="387">
        <v>53</v>
      </c>
      <c r="AZ12" s="390" t="s">
        <v>228</v>
      </c>
      <c r="BA12" s="391">
        <v>19.049332720396944</v>
      </c>
      <c r="BB12" s="391">
        <v>38.098665440793887</v>
      </c>
      <c r="BC12" s="391">
        <v>57.147998161190827</v>
      </c>
      <c r="BD12" s="391">
        <v>76.197330881587774</v>
      </c>
      <c r="BE12" s="391">
        <v>95.246663601984707</v>
      </c>
      <c r="BF12" s="391">
        <v>114.29599632238165</v>
      </c>
      <c r="BG12" s="391">
        <v>133.34532904277859</v>
      </c>
      <c r="BH12" s="391">
        <v>152.39466176317555</v>
      </c>
      <c r="BI12" s="391">
        <v>171.44399448357248</v>
      </c>
      <c r="BJ12" s="391">
        <v>190.49332720396941</v>
      </c>
      <c r="BK12" s="393"/>
      <c r="BL12" s="395">
        <v>0.12054898355276124</v>
      </c>
      <c r="BN12" s="387">
        <v>53</v>
      </c>
      <c r="BO12" s="390" t="s">
        <v>228</v>
      </c>
      <c r="BP12" s="391">
        <v>20.278932352635106</v>
      </c>
      <c r="BQ12" s="391">
        <v>40.557864705270212</v>
      </c>
      <c r="BR12" s="391">
        <v>60.836797057905315</v>
      </c>
      <c r="BS12" s="391">
        <v>81.115729410540425</v>
      </c>
      <c r="BT12" s="391">
        <v>101.39466176317552</v>
      </c>
      <c r="BU12" s="391">
        <v>121.67359411581063</v>
      </c>
      <c r="BV12" s="391">
        <v>141.95252646844574</v>
      </c>
      <c r="BW12" s="391">
        <v>162.23145882108085</v>
      </c>
      <c r="BX12" s="391">
        <v>182.51039117371596</v>
      </c>
      <c r="BY12" s="391">
        <v>202.78932352635104</v>
      </c>
      <c r="BZ12" s="393"/>
      <c r="CA12" s="395">
        <v>0.19287837368441796</v>
      </c>
      <c r="CC12" s="387">
        <v>53</v>
      </c>
      <c r="CD12" s="390" t="s">
        <v>228</v>
      </c>
      <c r="CE12" s="391">
        <v>19.049332720396944</v>
      </c>
      <c r="CF12" s="391">
        <v>38.098665440793887</v>
      </c>
      <c r="CG12" s="391">
        <v>57.147998161190827</v>
      </c>
      <c r="CH12" s="391">
        <v>76.197330881587774</v>
      </c>
      <c r="CI12" s="391">
        <v>95.246663601984707</v>
      </c>
      <c r="CJ12" s="391">
        <v>114.29599632238165</v>
      </c>
      <c r="CK12" s="391">
        <v>133.34532904277859</v>
      </c>
      <c r="CL12" s="391">
        <v>152.39466176317555</v>
      </c>
      <c r="CM12" s="391">
        <v>171.44399448357248</v>
      </c>
      <c r="CN12" s="391">
        <v>190.49332720396941</v>
      </c>
      <c r="CO12" s="393"/>
      <c r="CP12" s="396">
        <v>0.12054898355276124</v>
      </c>
      <c r="CR12" s="387">
        <v>53</v>
      </c>
      <c r="CS12" s="390" t="s">
        <v>228</v>
      </c>
      <c r="CT12" s="391">
        <v>20.278932352635106</v>
      </c>
      <c r="CU12" s="391">
        <v>40.557864705270212</v>
      </c>
      <c r="CV12" s="391">
        <v>60.836797057905315</v>
      </c>
      <c r="CW12" s="391">
        <v>81.115729410540425</v>
      </c>
      <c r="CX12" s="391">
        <v>101.39466176317552</v>
      </c>
      <c r="CY12" s="391">
        <v>121.67359411581063</v>
      </c>
      <c r="CZ12" s="391">
        <v>141.95252646844574</v>
      </c>
      <c r="DA12" s="391">
        <v>162.23145882108085</v>
      </c>
      <c r="DB12" s="391">
        <v>182.51039117371596</v>
      </c>
      <c r="DC12" s="391">
        <v>202.78932352635104</v>
      </c>
      <c r="DE12" s="397">
        <v>0.19287837368441796</v>
      </c>
    </row>
    <row r="13" spans="1:109" x14ac:dyDescent="0.3">
      <c r="A13" s="387" t="s">
        <v>230</v>
      </c>
      <c r="B13" s="388">
        <v>288.65934567875496</v>
      </c>
      <c r="C13" s="388">
        <v>513.42077959963558</v>
      </c>
      <c r="D13" s="388">
        <v>962.34128483959239</v>
      </c>
      <c r="E13" s="388">
        <v>1411.4752693874702</v>
      </c>
      <c r="F13" s="389">
        <v>1859.2108247275394</v>
      </c>
      <c r="H13" s="387">
        <v>58</v>
      </c>
      <c r="I13" s="390" t="s">
        <v>229</v>
      </c>
      <c r="J13" s="391">
        <v>18.2</v>
      </c>
      <c r="K13" s="391">
        <v>36.4</v>
      </c>
      <c r="L13" s="391">
        <v>54.6</v>
      </c>
      <c r="M13" s="391">
        <v>72.8</v>
      </c>
      <c r="N13" s="391">
        <v>91</v>
      </c>
      <c r="O13" s="391">
        <v>109.2</v>
      </c>
      <c r="P13" s="391">
        <v>127.4</v>
      </c>
      <c r="Q13" s="391">
        <v>145.6</v>
      </c>
      <c r="R13" s="391">
        <v>163.80000000000001</v>
      </c>
      <c r="S13" s="392">
        <v>182</v>
      </c>
      <c r="U13" s="387">
        <v>58</v>
      </c>
      <c r="V13" s="390" t="s">
        <v>229</v>
      </c>
      <c r="W13" s="391">
        <v>18.2</v>
      </c>
      <c r="X13" s="391">
        <v>36.4</v>
      </c>
      <c r="Y13" s="391">
        <v>54.6</v>
      </c>
      <c r="Z13" s="391">
        <v>72.8</v>
      </c>
      <c r="AA13" s="391">
        <v>91</v>
      </c>
      <c r="AB13" s="391">
        <v>109.2</v>
      </c>
      <c r="AC13" s="391">
        <v>127.4</v>
      </c>
      <c r="AD13" s="391">
        <v>145.6</v>
      </c>
      <c r="AE13" s="391">
        <v>163.80000000000001</v>
      </c>
      <c r="AF13" s="391">
        <v>182</v>
      </c>
      <c r="AG13" s="398"/>
      <c r="AH13" s="394">
        <v>0</v>
      </c>
      <c r="AJ13" s="387">
        <v>58</v>
      </c>
      <c r="AK13" s="390" t="s">
        <v>229</v>
      </c>
      <c r="AL13" s="391">
        <v>18.2</v>
      </c>
      <c r="AM13" s="391">
        <v>36.4</v>
      </c>
      <c r="AN13" s="391">
        <v>54.6</v>
      </c>
      <c r="AO13" s="391">
        <v>72.8</v>
      </c>
      <c r="AP13" s="391">
        <v>91</v>
      </c>
      <c r="AQ13" s="391">
        <v>109.2</v>
      </c>
      <c r="AR13" s="391">
        <v>127.4</v>
      </c>
      <c r="AS13" s="391">
        <v>145.6</v>
      </c>
      <c r="AT13" s="391">
        <v>163.80000000000001</v>
      </c>
      <c r="AU13" s="391">
        <v>182</v>
      </c>
      <c r="AV13" s="393"/>
      <c r="AW13" s="394">
        <v>0</v>
      </c>
      <c r="AY13" s="387">
        <v>58</v>
      </c>
      <c r="AZ13" s="390" t="s">
        <v>229</v>
      </c>
      <c r="BA13" s="391">
        <v>18.2</v>
      </c>
      <c r="BB13" s="391">
        <v>36.4</v>
      </c>
      <c r="BC13" s="391">
        <v>54.6</v>
      </c>
      <c r="BD13" s="391">
        <v>72.8</v>
      </c>
      <c r="BE13" s="391">
        <v>91</v>
      </c>
      <c r="BF13" s="391">
        <v>109.2</v>
      </c>
      <c r="BG13" s="391">
        <v>127.4</v>
      </c>
      <c r="BH13" s="391">
        <v>145.6</v>
      </c>
      <c r="BI13" s="391">
        <v>163.80000000000001</v>
      </c>
      <c r="BJ13" s="391">
        <v>182</v>
      </c>
      <c r="BK13" s="393"/>
      <c r="BL13" s="395">
        <v>0</v>
      </c>
      <c r="BN13" s="387">
        <v>58</v>
      </c>
      <c r="BO13" s="390" t="s">
        <v>229</v>
      </c>
      <c r="BP13" s="391">
        <v>18.2</v>
      </c>
      <c r="BQ13" s="391">
        <v>36.4</v>
      </c>
      <c r="BR13" s="391">
        <v>54.6</v>
      </c>
      <c r="BS13" s="391">
        <v>72.8</v>
      </c>
      <c r="BT13" s="391">
        <v>91</v>
      </c>
      <c r="BU13" s="391">
        <v>109.2</v>
      </c>
      <c r="BV13" s="391">
        <v>127.4</v>
      </c>
      <c r="BW13" s="391">
        <v>145.6</v>
      </c>
      <c r="BX13" s="391">
        <v>163.80000000000001</v>
      </c>
      <c r="BY13" s="391">
        <v>182</v>
      </c>
      <c r="BZ13" s="393"/>
      <c r="CA13" s="395">
        <v>0</v>
      </c>
      <c r="CC13" s="387">
        <v>58</v>
      </c>
      <c r="CD13" s="390" t="s">
        <v>229</v>
      </c>
      <c r="CE13" s="391">
        <v>18.2</v>
      </c>
      <c r="CF13" s="391">
        <v>36.4</v>
      </c>
      <c r="CG13" s="391">
        <v>54.6</v>
      </c>
      <c r="CH13" s="391">
        <v>72.8</v>
      </c>
      <c r="CI13" s="391">
        <v>91</v>
      </c>
      <c r="CJ13" s="391">
        <v>109.2</v>
      </c>
      <c r="CK13" s="391">
        <v>127.4</v>
      </c>
      <c r="CL13" s="391">
        <v>145.6</v>
      </c>
      <c r="CM13" s="391">
        <v>163.80000000000001</v>
      </c>
      <c r="CN13" s="391">
        <v>182</v>
      </c>
      <c r="CO13" s="393"/>
      <c r="CP13" s="396">
        <v>0</v>
      </c>
      <c r="CR13" s="387">
        <v>58</v>
      </c>
      <c r="CS13" s="390" t="s">
        <v>229</v>
      </c>
      <c r="CT13" s="391">
        <v>18.2</v>
      </c>
      <c r="CU13" s="391">
        <v>36.4</v>
      </c>
      <c r="CV13" s="391">
        <v>54.6</v>
      </c>
      <c r="CW13" s="391">
        <v>72.8</v>
      </c>
      <c r="CX13" s="391">
        <v>91</v>
      </c>
      <c r="CY13" s="391">
        <v>109.2</v>
      </c>
      <c r="CZ13" s="391">
        <v>127.4</v>
      </c>
      <c r="DA13" s="391">
        <v>145.6</v>
      </c>
      <c r="DB13" s="391">
        <v>163.80000000000001</v>
      </c>
      <c r="DC13" s="391">
        <v>182</v>
      </c>
      <c r="DE13" s="397">
        <v>0</v>
      </c>
    </row>
    <row r="14" spans="1:109" x14ac:dyDescent="0.3">
      <c r="A14" s="387" t="s">
        <v>231</v>
      </c>
      <c r="B14" s="388">
        <v>372.97489811038577</v>
      </c>
      <c r="C14" s="388">
        <v>680.67017886834014</v>
      </c>
      <c r="D14" s="388">
        <v>1296.9198533103379</v>
      </c>
      <c r="E14" s="388">
        <v>1911.1056708824192</v>
      </c>
      <c r="F14" s="389">
        <v>2528.3563279049217</v>
      </c>
      <c r="H14" s="387">
        <v>63</v>
      </c>
      <c r="I14" s="390" t="s">
        <v>230</v>
      </c>
      <c r="J14" s="391">
        <v>21.1</v>
      </c>
      <c r="K14" s="391">
        <v>42.2</v>
      </c>
      <c r="L14" s="391">
        <v>63.3</v>
      </c>
      <c r="M14" s="391">
        <v>84.4</v>
      </c>
      <c r="N14" s="391">
        <v>105.5</v>
      </c>
      <c r="O14" s="391">
        <v>126.6</v>
      </c>
      <c r="P14" s="391">
        <v>147.69999999999999</v>
      </c>
      <c r="Q14" s="391">
        <v>168.8</v>
      </c>
      <c r="R14" s="391">
        <v>189.90000000000003</v>
      </c>
      <c r="S14" s="392">
        <v>211</v>
      </c>
      <c r="U14" s="387">
        <v>63</v>
      </c>
      <c r="V14" s="390" t="s">
        <v>230</v>
      </c>
      <c r="W14" s="391">
        <v>21.1</v>
      </c>
      <c r="X14" s="391">
        <v>42.2</v>
      </c>
      <c r="Y14" s="391">
        <v>63.3</v>
      </c>
      <c r="Z14" s="391">
        <v>84.4</v>
      </c>
      <c r="AA14" s="391">
        <v>105.5</v>
      </c>
      <c r="AB14" s="391">
        <v>126.6</v>
      </c>
      <c r="AC14" s="391">
        <v>147.69999999999999</v>
      </c>
      <c r="AD14" s="391">
        <v>168.8</v>
      </c>
      <c r="AE14" s="391">
        <v>189.90000000000003</v>
      </c>
      <c r="AF14" s="391">
        <v>211</v>
      </c>
      <c r="AG14" s="398"/>
      <c r="AH14" s="394">
        <v>0</v>
      </c>
      <c r="AJ14" s="387">
        <v>63</v>
      </c>
      <c r="AK14" s="390" t="s">
        <v>230</v>
      </c>
      <c r="AL14" s="391">
        <v>21.1</v>
      </c>
      <c r="AM14" s="391">
        <v>42.2</v>
      </c>
      <c r="AN14" s="391">
        <v>63.3</v>
      </c>
      <c r="AO14" s="391">
        <v>84.4</v>
      </c>
      <c r="AP14" s="391">
        <v>105.5</v>
      </c>
      <c r="AQ14" s="391">
        <v>126.6</v>
      </c>
      <c r="AR14" s="391">
        <v>147.69999999999999</v>
      </c>
      <c r="AS14" s="391">
        <v>168.8</v>
      </c>
      <c r="AT14" s="391">
        <v>189.90000000000003</v>
      </c>
      <c r="AU14" s="391">
        <v>211</v>
      </c>
      <c r="AV14" s="393"/>
      <c r="AW14" s="394">
        <v>0</v>
      </c>
      <c r="AY14" s="387">
        <v>63</v>
      </c>
      <c r="AZ14" s="390" t="s">
        <v>230</v>
      </c>
      <c r="BA14" s="391">
        <v>21.1</v>
      </c>
      <c r="BB14" s="391">
        <v>42.2</v>
      </c>
      <c r="BC14" s="391">
        <v>63.3</v>
      </c>
      <c r="BD14" s="391">
        <v>84.4</v>
      </c>
      <c r="BE14" s="391">
        <v>105.5</v>
      </c>
      <c r="BF14" s="391">
        <v>126.6</v>
      </c>
      <c r="BG14" s="391">
        <v>147.69999999999999</v>
      </c>
      <c r="BH14" s="391">
        <v>168.8</v>
      </c>
      <c r="BI14" s="391">
        <v>189.90000000000003</v>
      </c>
      <c r="BJ14" s="391">
        <v>211</v>
      </c>
      <c r="BK14" s="393"/>
      <c r="BL14" s="395">
        <v>0</v>
      </c>
      <c r="BN14" s="387">
        <v>63</v>
      </c>
      <c r="BO14" s="390" t="s">
        <v>230</v>
      </c>
      <c r="BP14" s="391">
        <v>21.1</v>
      </c>
      <c r="BQ14" s="391">
        <v>42.2</v>
      </c>
      <c r="BR14" s="391">
        <v>63.3</v>
      </c>
      <c r="BS14" s="391">
        <v>84.4</v>
      </c>
      <c r="BT14" s="391">
        <v>105.5</v>
      </c>
      <c r="BU14" s="391">
        <v>126.6</v>
      </c>
      <c r="BV14" s="391">
        <v>147.69999999999999</v>
      </c>
      <c r="BW14" s="391">
        <v>168.8</v>
      </c>
      <c r="BX14" s="391">
        <v>189.90000000000003</v>
      </c>
      <c r="BY14" s="391">
        <v>211</v>
      </c>
      <c r="BZ14" s="393"/>
      <c r="CA14" s="395">
        <v>0</v>
      </c>
      <c r="CC14" s="387">
        <v>63</v>
      </c>
      <c r="CD14" s="390" t="s">
        <v>230</v>
      </c>
      <c r="CE14" s="391">
        <v>21.1</v>
      </c>
      <c r="CF14" s="391">
        <v>42.2</v>
      </c>
      <c r="CG14" s="391">
        <v>63.3</v>
      </c>
      <c r="CH14" s="391">
        <v>84.4</v>
      </c>
      <c r="CI14" s="391">
        <v>105.5</v>
      </c>
      <c r="CJ14" s="391">
        <v>126.6</v>
      </c>
      <c r="CK14" s="391">
        <v>147.69999999999999</v>
      </c>
      <c r="CL14" s="391">
        <v>168.8</v>
      </c>
      <c r="CM14" s="391">
        <v>189.90000000000003</v>
      </c>
      <c r="CN14" s="391">
        <v>211</v>
      </c>
      <c r="CO14" s="393"/>
      <c r="CP14" s="396">
        <v>0</v>
      </c>
      <c r="CR14" s="387">
        <v>63</v>
      </c>
      <c r="CS14" s="390" t="s">
        <v>230</v>
      </c>
      <c r="CT14" s="391">
        <v>21.1</v>
      </c>
      <c r="CU14" s="391">
        <v>42.2</v>
      </c>
      <c r="CV14" s="391">
        <v>63.3</v>
      </c>
      <c r="CW14" s="391">
        <v>84.4</v>
      </c>
      <c r="CX14" s="391">
        <v>105.5</v>
      </c>
      <c r="CY14" s="391">
        <v>126.6</v>
      </c>
      <c r="CZ14" s="391">
        <v>147.69999999999999</v>
      </c>
      <c r="DA14" s="391">
        <v>168.8</v>
      </c>
      <c r="DB14" s="391">
        <v>189.90000000000003</v>
      </c>
      <c r="DC14" s="391">
        <v>211</v>
      </c>
      <c r="DE14" s="397">
        <v>0</v>
      </c>
    </row>
    <row r="15" spans="1:109" ht="15" thickBot="1" x14ac:dyDescent="0.35">
      <c r="A15" s="399" t="s">
        <v>232</v>
      </c>
      <c r="B15" s="400">
        <v>560.76323823525456</v>
      </c>
      <c r="C15" s="400">
        <v>1054.4555085369361</v>
      </c>
      <c r="D15" s="400">
        <v>2039.9259598739191</v>
      </c>
      <c r="E15" s="400">
        <v>3028.5005992863894</v>
      </c>
      <c r="F15" s="401">
        <v>4018.4141535514914</v>
      </c>
      <c r="H15" s="387">
        <v>67</v>
      </c>
      <c r="I15" s="390" t="s">
        <v>231</v>
      </c>
      <c r="J15" s="391">
        <v>31.3</v>
      </c>
      <c r="K15" s="391">
        <v>62.6</v>
      </c>
      <c r="L15" s="391">
        <v>93.9</v>
      </c>
      <c r="M15" s="391">
        <v>125.2</v>
      </c>
      <c r="N15" s="391">
        <v>156.5</v>
      </c>
      <c r="O15" s="391">
        <v>187.8</v>
      </c>
      <c r="P15" s="391">
        <v>219.1</v>
      </c>
      <c r="Q15" s="391">
        <v>250.4</v>
      </c>
      <c r="R15" s="391">
        <v>281.7</v>
      </c>
      <c r="S15" s="392">
        <v>313</v>
      </c>
      <c r="U15" s="387">
        <v>67</v>
      </c>
      <c r="V15" s="390" t="s">
        <v>231</v>
      </c>
      <c r="W15" s="391">
        <v>31.3</v>
      </c>
      <c r="X15" s="391">
        <v>62.6</v>
      </c>
      <c r="Y15" s="391">
        <v>93.9</v>
      </c>
      <c r="Z15" s="391">
        <v>125.2</v>
      </c>
      <c r="AA15" s="391">
        <v>156.5</v>
      </c>
      <c r="AB15" s="391">
        <v>187.8</v>
      </c>
      <c r="AC15" s="391">
        <v>219.1</v>
      </c>
      <c r="AD15" s="391">
        <v>250.4</v>
      </c>
      <c r="AE15" s="391">
        <v>281.7</v>
      </c>
      <c r="AF15" s="391">
        <v>313</v>
      </c>
      <c r="AG15" s="398"/>
      <c r="AH15" s="394">
        <v>0</v>
      </c>
      <c r="AJ15" s="387">
        <v>67</v>
      </c>
      <c r="AK15" s="390" t="s">
        <v>231</v>
      </c>
      <c r="AL15" s="391">
        <v>31.3</v>
      </c>
      <c r="AM15" s="391">
        <v>62.6</v>
      </c>
      <c r="AN15" s="391">
        <v>93.9</v>
      </c>
      <c r="AO15" s="391">
        <v>125.2</v>
      </c>
      <c r="AP15" s="391">
        <v>156.5</v>
      </c>
      <c r="AQ15" s="391">
        <v>187.8</v>
      </c>
      <c r="AR15" s="391">
        <v>219.1</v>
      </c>
      <c r="AS15" s="391">
        <v>250.4</v>
      </c>
      <c r="AT15" s="391">
        <v>281.7</v>
      </c>
      <c r="AU15" s="391">
        <v>313</v>
      </c>
      <c r="AV15" s="393"/>
      <c r="AW15" s="394">
        <v>0</v>
      </c>
      <c r="AY15" s="387">
        <v>67</v>
      </c>
      <c r="AZ15" s="390" t="s">
        <v>231</v>
      </c>
      <c r="BA15" s="391">
        <v>31.3</v>
      </c>
      <c r="BB15" s="391">
        <v>62.6</v>
      </c>
      <c r="BC15" s="391">
        <v>93.9</v>
      </c>
      <c r="BD15" s="391">
        <v>125.2</v>
      </c>
      <c r="BE15" s="391">
        <v>156.5</v>
      </c>
      <c r="BF15" s="391">
        <v>187.8</v>
      </c>
      <c r="BG15" s="391">
        <v>219.1</v>
      </c>
      <c r="BH15" s="391">
        <v>250.4</v>
      </c>
      <c r="BI15" s="391">
        <v>281.7</v>
      </c>
      <c r="BJ15" s="391">
        <v>313</v>
      </c>
      <c r="BK15" s="393"/>
      <c r="BL15" s="395">
        <v>0</v>
      </c>
      <c r="BN15" s="387">
        <v>67</v>
      </c>
      <c r="BO15" s="390" t="s">
        <v>231</v>
      </c>
      <c r="BP15" s="391">
        <v>31.3</v>
      </c>
      <c r="BQ15" s="391">
        <v>62.6</v>
      </c>
      <c r="BR15" s="391">
        <v>93.9</v>
      </c>
      <c r="BS15" s="391">
        <v>125.2</v>
      </c>
      <c r="BT15" s="391">
        <v>156.5</v>
      </c>
      <c r="BU15" s="391">
        <v>187.8</v>
      </c>
      <c r="BV15" s="391">
        <v>219.1</v>
      </c>
      <c r="BW15" s="391">
        <v>250.4</v>
      </c>
      <c r="BX15" s="391">
        <v>281.7</v>
      </c>
      <c r="BY15" s="391">
        <v>313</v>
      </c>
      <c r="BZ15" s="393"/>
      <c r="CA15" s="395">
        <v>0</v>
      </c>
      <c r="CC15" s="387">
        <v>67</v>
      </c>
      <c r="CD15" s="390" t="s">
        <v>231</v>
      </c>
      <c r="CE15" s="391">
        <v>31.3</v>
      </c>
      <c r="CF15" s="391">
        <v>62.6</v>
      </c>
      <c r="CG15" s="391">
        <v>93.9</v>
      </c>
      <c r="CH15" s="391">
        <v>125.2</v>
      </c>
      <c r="CI15" s="391">
        <v>156.5</v>
      </c>
      <c r="CJ15" s="391">
        <v>187.8</v>
      </c>
      <c r="CK15" s="391">
        <v>219.1</v>
      </c>
      <c r="CL15" s="391">
        <v>250.4</v>
      </c>
      <c r="CM15" s="391">
        <v>281.7</v>
      </c>
      <c r="CN15" s="391">
        <v>313</v>
      </c>
      <c r="CO15" s="393"/>
      <c r="CP15" s="396">
        <v>0</v>
      </c>
      <c r="CR15" s="387">
        <v>67</v>
      </c>
      <c r="CS15" s="390" t="s">
        <v>231</v>
      </c>
      <c r="CT15" s="391">
        <v>31.3</v>
      </c>
      <c r="CU15" s="391">
        <v>62.6</v>
      </c>
      <c r="CV15" s="391">
        <v>93.9</v>
      </c>
      <c r="CW15" s="391">
        <v>125.2</v>
      </c>
      <c r="CX15" s="391">
        <v>156.5</v>
      </c>
      <c r="CY15" s="391">
        <v>187.8</v>
      </c>
      <c r="CZ15" s="391">
        <v>219.1</v>
      </c>
      <c r="DA15" s="391">
        <v>250.4</v>
      </c>
      <c r="DB15" s="391">
        <v>281.7</v>
      </c>
      <c r="DC15" s="391">
        <v>313</v>
      </c>
      <c r="DE15" s="397">
        <v>0</v>
      </c>
    </row>
    <row r="16" spans="1:109" ht="15" thickBot="1" x14ac:dyDescent="0.35">
      <c r="H16" s="399">
        <v>73</v>
      </c>
      <c r="I16" s="402" t="s">
        <v>232</v>
      </c>
      <c r="J16" s="403">
        <v>53.5</v>
      </c>
      <c r="K16" s="403">
        <v>107</v>
      </c>
      <c r="L16" s="403">
        <v>160.5</v>
      </c>
      <c r="M16" s="403">
        <v>214</v>
      </c>
      <c r="N16" s="403">
        <v>267.5</v>
      </c>
      <c r="O16" s="403">
        <v>321</v>
      </c>
      <c r="P16" s="403">
        <v>374.5</v>
      </c>
      <c r="Q16" s="403">
        <v>428</v>
      </c>
      <c r="R16" s="403">
        <v>481.5</v>
      </c>
      <c r="S16" s="404">
        <v>535</v>
      </c>
      <c r="U16" s="399">
        <v>73</v>
      </c>
      <c r="V16" s="402" t="s">
        <v>232</v>
      </c>
      <c r="W16" s="391">
        <v>53.5</v>
      </c>
      <c r="X16" s="391">
        <v>107</v>
      </c>
      <c r="Y16" s="391">
        <v>160.5</v>
      </c>
      <c r="Z16" s="391">
        <v>214</v>
      </c>
      <c r="AA16" s="391">
        <v>267.5</v>
      </c>
      <c r="AB16" s="391">
        <v>321</v>
      </c>
      <c r="AC16" s="391">
        <v>374.5</v>
      </c>
      <c r="AD16" s="391">
        <v>428</v>
      </c>
      <c r="AE16" s="391">
        <v>481.5</v>
      </c>
      <c r="AF16" s="391">
        <v>535</v>
      </c>
      <c r="AG16" s="398"/>
      <c r="AH16" s="394">
        <v>0</v>
      </c>
      <c r="AJ16" s="399">
        <v>73</v>
      </c>
      <c r="AK16" s="402" t="s">
        <v>232</v>
      </c>
      <c r="AL16" s="391">
        <v>53.5</v>
      </c>
      <c r="AM16" s="391">
        <v>107</v>
      </c>
      <c r="AN16" s="391">
        <v>160.5</v>
      </c>
      <c r="AO16" s="391">
        <v>214</v>
      </c>
      <c r="AP16" s="391">
        <v>267.5</v>
      </c>
      <c r="AQ16" s="391">
        <v>321</v>
      </c>
      <c r="AR16" s="391">
        <v>374.5</v>
      </c>
      <c r="AS16" s="391">
        <v>428</v>
      </c>
      <c r="AT16" s="391">
        <v>481.5</v>
      </c>
      <c r="AU16" s="391">
        <v>535</v>
      </c>
      <c r="AV16" s="393"/>
      <c r="AW16" s="394">
        <v>0</v>
      </c>
      <c r="AY16" s="399">
        <v>73</v>
      </c>
      <c r="AZ16" s="402" t="s">
        <v>232</v>
      </c>
      <c r="BA16" s="391">
        <v>53.5</v>
      </c>
      <c r="BB16" s="391">
        <v>107</v>
      </c>
      <c r="BC16" s="391">
        <v>160.5</v>
      </c>
      <c r="BD16" s="391">
        <v>214</v>
      </c>
      <c r="BE16" s="391">
        <v>267.5</v>
      </c>
      <c r="BF16" s="391">
        <v>321</v>
      </c>
      <c r="BG16" s="391">
        <v>374.5</v>
      </c>
      <c r="BH16" s="391">
        <v>428</v>
      </c>
      <c r="BI16" s="391">
        <v>481.5</v>
      </c>
      <c r="BJ16" s="391">
        <v>535</v>
      </c>
      <c r="BK16" s="393"/>
      <c r="BL16" s="405">
        <v>0</v>
      </c>
      <c r="BN16" s="399">
        <v>73</v>
      </c>
      <c r="BO16" s="402" t="s">
        <v>232</v>
      </c>
      <c r="BP16" s="391">
        <v>53.5</v>
      </c>
      <c r="BQ16" s="391">
        <v>107</v>
      </c>
      <c r="BR16" s="391">
        <v>160.5</v>
      </c>
      <c r="BS16" s="391">
        <v>214</v>
      </c>
      <c r="BT16" s="391">
        <v>267.5</v>
      </c>
      <c r="BU16" s="391">
        <v>321</v>
      </c>
      <c r="BV16" s="391">
        <v>374.5</v>
      </c>
      <c r="BW16" s="391">
        <v>428</v>
      </c>
      <c r="BX16" s="391">
        <v>481.5</v>
      </c>
      <c r="BY16" s="391">
        <v>535</v>
      </c>
      <c r="BZ16" s="393"/>
      <c r="CA16" s="405">
        <v>0</v>
      </c>
      <c r="CC16" s="399">
        <v>73</v>
      </c>
      <c r="CD16" s="402" t="s">
        <v>232</v>
      </c>
      <c r="CE16" s="391">
        <v>53.5</v>
      </c>
      <c r="CF16" s="391">
        <v>107</v>
      </c>
      <c r="CG16" s="391">
        <v>160.5</v>
      </c>
      <c r="CH16" s="391">
        <v>214</v>
      </c>
      <c r="CI16" s="391">
        <v>267.5</v>
      </c>
      <c r="CJ16" s="391">
        <v>321</v>
      </c>
      <c r="CK16" s="391">
        <v>374.5</v>
      </c>
      <c r="CL16" s="391">
        <v>428</v>
      </c>
      <c r="CM16" s="391">
        <v>481.5</v>
      </c>
      <c r="CN16" s="391">
        <v>535</v>
      </c>
      <c r="CO16" s="393"/>
      <c r="CP16" s="396">
        <v>0</v>
      </c>
      <c r="CR16" s="399">
        <v>73</v>
      </c>
      <c r="CS16" s="402" t="s">
        <v>232</v>
      </c>
      <c r="CT16" s="391">
        <v>53.5</v>
      </c>
      <c r="CU16" s="391">
        <v>107</v>
      </c>
      <c r="CV16" s="391">
        <v>160.5</v>
      </c>
      <c r="CW16" s="391">
        <v>214</v>
      </c>
      <c r="CX16" s="391">
        <v>267.5</v>
      </c>
      <c r="CY16" s="391">
        <v>321</v>
      </c>
      <c r="CZ16" s="391">
        <v>374.5</v>
      </c>
      <c r="DA16" s="391">
        <v>428</v>
      </c>
      <c r="DB16" s="391">
        <v>481.5</v>
      </c>
      <c r="DC16" s="391">
        <v>535</v>
      </c>
      <c r="DE16" s="397">
        <v>0</v>
      </c>
    </row>
    <row r="17" spans="1:109" ht="15" thickBot="1" x14ac:dyDescent="0.35"/>
    <row r="18" spans="1:109" x14ac:dyDescent="0.3">
      <c r="A18" s="382" t="s">
        <v>64</v>
      </c>
      <c r="B18" s="587" t="s">
        <v>248</v>
      </c>
      <c r="C18" s="587"/>
      <c r="D18" s="587"/>
      <c r="E18" s="587"/>
      <c r="F18" s="588"/>
      <c r="H18" s="597" t="s">
        <v>165</v>
      </c>
      <c r="I18" s="598"/>
      <c r="J18" s="601" t="s">
        <v>248</v>
      </c>
      <c r="K18" s="601"/>
      <c r="L18" s="601"/>
      <c r="M18" s="601"/>
      <c r="N18" s="601"/>
      <c r="O18" s="601"/>
      <c r="P18" s="601"/>
      <c r="Q18" s="601"/>
      <c r="R18" s="601"/>
      <c r="S18" s="602"/>
      <c r="U18" s="597" t="s">
        <v>165</v>
      </c>
      <c r="V18" s="598"/>
      <c r="W18" s="601" t="s">
        <v>248</v>
      </c>
      <c r="X18" s="601"/>
      <c r="Y18" s="601"/>
      <c r="Z18" s="601"/>
      <c r="AA18" s="601"/>
      <c r="AB18" s="601"/>
      <c r="AC18" s="601"/>
      <c r="AD18" s="601"/>
      <c r="AE18" s="601"/>
      <c r="AF18" s="602"/>
      <c r="AG18" s="200"/>
      <c r="AH18" s="200"/>
      <c r="AJ18" s="597" t="s">
        <v>165</v>
      </c>
      <c r="AK18" s="598"/>
      <c r="AL18" s="601" t="s">
        <v>248</v>
      </c>
      <c r="AM18" s="601"/>
      <c r="AN18" s="601"/>
      <c r="AO18" s="601"/>
      <c r="AP18" s="601"/>
      <c r="AQ18" s="601"/>
      <c r="AR18" s="601"/>
      <c r="AS18" s="601"/>
      <c r="AT18" s="601"/>
      <c r="AU18" s="602"/>
      <c r="AV18" s="200"/>
      <c r="AW18" s="200"/>
      <c r="AY18" s="597" t="s">
        <v>165</v>
      </c>
      <c r="AZ18" s="598"/>
      <c r="BA18" s="601" t="s">
        <v>248</v>
      </c>
      <c r="BB18" s="601"/>
      <c r="BC18" s="601"/>
      <c r="BD18" s="601"/>
      <c r="BE18" s="601"/>
      <c r="BF18" s="601"/>
      <c r="BG18" s="601"/>
      <c r="BH18" s="601"/>
      <c r="BI18" s="601"/>
      <c r="BJ18" s="602"/>
      <c r="BK18" s="200"/>
      <c r="BL18" s="200"/>
      <c r="BN18" s="597" t="s">
        <v>165</v>
      </c>
      <c r="BO18" s="598"/>
      <c r="BP18" s="601" t="s">
        <v>248</v>
      </c>
      <c r="BQ18" s="601"/>
      <c r="BR18" s="601"/>
      <c r="BS18" s="601"/>
      <c r="BT18" s="601"/>
      <c r="BU18" s="601"/>
      <c r="BV18" s="601"/>
      <c r="BW18" s="601"/>
      <c r="BX18" s="601"/>
      <c r="BY18" s="602"/>
      <c r="BZ18" s="200"/>
      <c r="CA18" s="200"/>
      <c r="CC18" s="597" t="s">
        <v>165</v>
      </c>
      <c r="CD18" s="598"/>
      <c r="CE18" s="601" t="s">
        <v>248</v>
      </c>
      <c r="CF18" s="601"/>
      <c r="CG18" s="601"/>
      <c r="CH18" s="601"/>
      <c r="CI18" s="601"/>
      <c r="CJ18" s="601"/>
      <c r="CK18" s="601"/>
      <c r="CL18" s="601"/>
      <c r="CM18" s="601"/>
      <c r="CN18" s="602"/>
      <c r="CO18" s="200"/>
      <c r="CP18" s="200"/>
      <c r="CR18" s="597" t="s">
        <v>165</v>
      </c>
      <c r="CS18" s="598"/>
      <c r="CT18" s="601" t="s">
        <v>248</v>
      </c>
      <c r="CU18" s="601"/>
      <c r="CV18" s="601"/>
      <c r="CW18" s="601"/>
      <c r="CX18" s="601"/>
      <c r="CY18" s="601"/>
      <c r="CZ18" s="601"/>
      <c r="DA18" s="601"/>
      <c r="DB18" s="601"/>
      <c r="DC18" s="602"/>
    </row>
    <row r="19" spans="1:109" ht="15" thickBot="1" x14ac:dyDescent="0.35">
      <c r="A19" s="383" t="s">
        <v>249</v>
      </c>
      <c r="B19" s="171">
        <v>50000</v>
      </c>
      <c r="C19" s="172">
        <v>100000</v>
      </c>
      <c r="D19" s="172">
        <v>200000</v>
      </c>
      <c r="E19" s="172">
        <v>300000</v>
      </c>
      <c r="F19" s="173">
        <v>400000</v>
      </c>
      <c r="H19" s="599"/>
      <c r="I19" s="600"/>
      <c r="J19" s="384">
        <v>10000</v>
      </c>
      <c r="K19" s="384">
        <v>20000</v>
      </c>
      <c r="L19" s="384">
        <v>30000</v>
      </c>
      <c r="M19" s="384">
        <v>40000</v>
      </c>
      <c r="N19" s="384">
        <v>50000</v>
      </c>
      <c r="O19" s="384">
        <v>60000</v>
      </c>
      <c r="P19" s="384">
        <v>70000</v>
      </c>
      <c r="Q19" s="384">
        <v>80000</v>
      </c>
      <c r="R19" s="384">
        <v>90000</v>
      </c>
      <c r="S19" s="385">
        <v>100000</v>
      </c>
      <c r="U19" s="599"/>
      <c r="V19" s="600"/>
      <c r="W19" s="384">
        <v>10000</v>
      </c>
      <c r="X19" s="384">
        <v>20000</v>
      </c>
      <c r="Y19" s="384">
        <v>30000</v>
      </c>
      <c r="Z19" s="384">
        <v>40000</v>
      </c>
      <c r="AA19" s="384">
        <v>50000</v>
      </c>
      <c r="AB19" s="384">
        <v>60000</v>
      </c>
      <c r="AC19" s="384">
        <v>70000</v>
      </c>
      <c r="AD19" s="384">
        <v>80000</v>
      </c>
      <c r="AE19" s="384">
        <v>90000</v>
      </c>
      <c r="AF19" s="385">
        <v>100000</v>
      </c>
      <c r="AG19" s="386"/>
      <c r="AH19" s="386"/>
      <c r="AJ19" s="599"/>
      <c r="AK19" s="600"/>
      <c r="AL19" s="384">
        <v>10000</v>
      </c>
      <c r="AM19" s="384">
        <v>20000</v>
      </c>
      <c r="AN19" s="384">
        <v>30000</v>
      </c>
      <c r="AO19" s="384">
        <v>40000</v>
      </c>
      <c r="AP19" s="384">
        <v>50000</v>
      </c>
      <c r="AQ19" s="384">
        <v>60000</v>
      </c>
      <c r="AR19" s="384">
        <v>70000</v>
      </c>
      <c r="AS19" s="384">
        <v>80000</v>
      </c>
      <c r="AT19" s="384">
        <v>90000</v>
      </c>
      <c r="AU19" s="385">
        <v>100000</v>
      </c>
      <c r="AV19" s="386"/>
      <c r="AW19" s="386"/>
      <c r="AY19" s="599"/>
      <c r="AZ19" s="600"/>
      <c r="BA19" s="384">
        <v>10000</v>
      </c>
      <c r="BB19" s="384">
        <v>20000</v>
      </c>
      <c r="BC19" s="384">
        <v>30000</v>
      </c>
      <c r="BD19" s="384">
        <v>40000</v>
      </c>
      <c r="BE19" s="384">
        <v>50000</v>
      </c>
      <c r="BF19" s="384">
        <v>60000</v>
      </c>
      <c r="BG19" s="384">
        <v>70000</v>
      </c>
      <c r="BH19" s="384">
        <v>80000</v>
      </c>
      <c r="BI19" s="384">
        <v>90000</v>
      </c>
      <c r="BJ19" s="385">
        <v>100000</v>
      </c>
      <c r="BK19" s="386"/>
      <c r="BL19" s="386"/>
      <c r="BN19" s="599"/>
      <c r="BO19" s="600"/>
      <c r="BP19" s="384">
        <v>10000</v>
      </c>
      <c r="BQ19" s="384">
        <v>20000</v>
      </c>
      <c r="BR19" s="384">
        <v>30000</v>
      </c>
      <c r="BS19" s="384">
        <v>40000</v>
      </c>
      <c r="BT19" s="384">
        <v>50000</v>
      </c>
      <c r="BU19" s="384">
        <v>60000</v>
      </c>
      <c r="BV19" s="384">
        <v>70000</v>
      </c>
      <c r="BW19" s="384">
        <v>80000</v>
      </c>
      <c r="BX19" s="384">
        <v>90000</v>
      </c>
      <c r="BY19" s="385">
        <v>100000</v>
      </c>
      <c r="BZ19" s="386"/>
      <c r="CA19" s="386"/>
      <c r="CC19" s="599"/>
      <c r="CD19" s="600"/>
      <c r="CE19" s="384">
        <v>10000</v>
      </c>
      <c r="CF19" s="384">
        <v>20000</v>
      </c>
      <c r="CG19" s="384">
        <v>30000</v>
      </c>
      <c r="CH19" s="384">
        <v>40000</v>
      </c>
      <c r="CI19" s="384">
        <v>50000</v>
      </c>
      <c r="CJ19" s="384">
        <v>60000</v>
      </c>
      <c r="CK19" s="384">
        <v>70000</v>
      </c>
      <c r="CL19" s="384">
        <v>80000</v>
      </c>
      <c r="CM19" s="384">
        <v>90000</v>
      </c>
      <c r="CN19" s="385">
        <v>100000</v>
      </c>
      <c r="CO19" s="386"/>
      <c r="CP19" s="386"/>
      <c r="CR19" s="599"/>
      <c r="CS19" s="600"/>
      <c r="CT19" s="384">
        <v>10000</v>
      </c>
      <c r="CU19" s="384">
        <v>20000</v>
      </c>
      <c r="CV19" s="384">
        <v>30000</v>
      </c>
      <c r="CW19" s="384">
        <v>40000</v>
      </c>
      <c r="CX19" s="384">
        <v>50000</v>
      </c>
      <c r="CY19" s="384">
        <v>60000</v>
      </c>
      <c r="CZ19" s="384">
        <v>70000</v>
      </c>
      <c r="DA19" s="384">
        <v>80000</v>
      </c>
      <c r="DB19" s="384">
        <v>90000</v>
      </c>
      <c r="DC19" s="385">
        <v>100000</v>
      </c>
    </row>
    <row r="20" spans="1:109" ht="43.8" thickBot="1" x14ac:dyDescent="0.35">
      <c r="A20" s="176" t="s">
        <v>224</v>
      </c>
      <c r="B20" s="177">
        <v>28.35</v>
      </c>
      <c r="C20" s="177">
        <v>56.7</v>
      </c>
      <c r="D20" s="177">
        <v>113.4</v>
      </c>
      <c r="E20" s="177">
        <v>170.1</v>
      </c>
      <c r="F20" s="178">
        <v>226.8</v>
      </c>
      <c r="H20" s="201" t="s">
        <v>257</v>
      </c>
      <c r="I20" s="202" t="s">
        <v>249</v>
      </c>
      <c r="J20" s="595" t="s">
        <v>258</v>
      </c>
      <c r="K20" s="595"/>
      <c r="L20" s="595"/>
      <c r="M20" s="595"/>
      <c r="N20" s="595"/>
      <c r="O20" s="595"/>
      <c r="P20" s="595"/>
      <c r="Q20" s="595"/>
      <c r="R20" s="595"/>
      <c r="S20" s="596"/>
      <c r="U20" s="201" t="s">
        <v>257</v>
      </c>
      <c r="V20" s="202" t="s">
        <v>249</v>
      </c>
      <c r="W20" s="595" t="s">
        <v>258</v>
      </c>
      <c r="X20" s="595"/>
      <c r="Y20" s="595"/>
      <c r="Z20" s="595"/>
      <c r="AA20" s="595"/>
      <c r="AB20" s="595"/>
      <c r="AC20" s="595"/>
      <c r="AD20" s="595"/>
      <c r="AE20" s="595"/>
      <c r="AF20" s="596"/>
      <c r="AG20" s="200"/>
      <c r="AH20" s="175" t="s">
        <v>250</v>
      </c>
      <c r="AJ20" s="201" t="s">
        <v>257</v>
      </c>
      <c r="AK20" s="202" t="s">
        <v>249</v>
      </c>
      <c r="AL20" s="595" t="s">
        <v>258</v>
      </c>
      <c r="AM20" s="595"/>
      <c r="AN20" s="595"/>
      <c r="AO20" s="595"/>
      <c r="AP20" s="595"/>
      <c r="AQ20" s="595"/>
      <c r="AR20" s="595"/>
      <c r="AS20" s="595"/>
      <c r="AT20" s="595"/>
      <c r="AU20" s="596"/>
      <c r="AV20" s="200"/>
      <c r="AW20" s="175" t="s">
        <v>250</v>
      </c>
      <c r="AY20" s="201" t="s">
        <v>257</v>
      </c>
      <c r="AZ20" s="202" t="s">
        <v>249</v>
      </c>
      <c r="BA20" s="595" t="s">
        <v>258</v>
      </c>
      <c r="BB20" s="595"/>
      <c r="BC20" s="595"/>
      <c r="BD20" s="595"/>
      <c r="BE20" s="595"/>
      <c r="BF20" s="595"/>
      <c r="BG20" s="595"/>
      <c r="BH20" s="595"/>
      <c r="BI20" s="595"/>
      <c r="BJ20" s="596"/>
      <c r="BK20" s="200"/>
      <c r="BL20" s="175" t="s">
        <v>251</v>
      </c>
      <c r="BN20" s="201" t="s">
        <v>257</v>
      </c>
      <c r="BO20" s="202" t="s">
        <v>249</v>
      </c>
      <c r="BP20" s="595" t="s">
        <v>258</v>
      </c>
      <c r="BQ20" s="595"/>
      <c r="BR20" s="595"/>
      <c r="BS20" s="595"/>
      <c r="BT20" s="595"/>
      <c r="BU20" s="595"/>
      <c r="BV20" s="595"/>
      <c r="BW20" s="595"/>
      <c r="BX20" s="595"/>
      <c r="BY20" s="596"/>
      <c r="BZ20" s="200"/>
      <c r="CA20" s="175" t="s">
        <v>251</v>
      </c>
      <c r="CC20" s="201" t="s">
        <v>257</v>
      </c>
      <c r="CD20" s="202" t="s">
        <v>249</v>
      </c>
      <c r="CE20" s="595" t="s">
        <v>258</v>
      </c>
      <c r="CF20" s="595"/>
      <c r="CG20" s="595"/>
      <c r="CH20" s="595"/>
      <c r="CI20" s="595"/>
      <c r="CJ20" s="595"/>
      <c r="CK20" s="595"/>
      <c r="CL20" s="595"/>
      <c r="CM20" s="595"/>
      <c r="CN20" s="596"/>
      <c r="CO20" s="200"/>
      <c r="CP20" s="175" t="s">
        <v>252</v>
      </c>
      <c r="CR20" s="201" t="s">
        <v>257</v>
      </c>
      <c r="CS20" s="202" t="s">
        <v>249</v>
      </c>
      <c r="CT20" s="595" t="s">
        <v>258</v>
      </c>
      <c r="CU20" s="595"/>
      <c r="CV20" s="595"/>
      <c r="CW20" s="595"/>
      <c r="CX20" s="595"/>
      <c r="CY20" s="595"/>
      <c r="CZ20" s="595"/>
      <c r="DA20" s="595"/>
      <c r="DB20" s="595"/>
      <c r="DC20" s="596"/>
      <c r="DE20" s="175" t="s">
        <v>252</v>
      </c>
    </row>
    <row r="21" spans="1:109" x14ac:dyDescent="0.3">
      <c r="A21" s="387" t="s">
        <v>225</v>
      </c>
      <c r="B21" s="388">
        <v>51.300000000000004</v>
      </c>
      <c r="C21" s="388">
        <v>102.60000000000001</v>
      </c>
      <c r="D21" s="388">
        <v>205.20000000000002</v>
      </c>
      <c r="E21" s="388">
        <v>307.8</v>
      </c>
      <c r="F21" s="389">
        <v>410.40000000000003</v>
      </c>
      <c r="H21" s="387">
        <v>22</v>
      </c>
      <c r="I21" s="390" t="s">
        <v>224</v>
      </c>
      <c r="J21" s="391">
        <v>22.700000000000006</v>
      </c>
      <c r="K21" s="391">
        <v>29.000000000000007</v>
      </c>
      <c r="L21" s="391">
        <v>35.300000000000004</v>
      </c>
      <c r="M21" s="391">
        <v>41.600000000000009</v>
      </c>
      <c r="N21" s="391">
        <v>47.900000000000006</v>
      </c>
      <c r="O21" s="391">
        <v>54.2</v>
      </c>
      <c r="P21" s="391">
        <v>60.500000000000007</v>
      </c>
      <c r="Q21" s="391">
        <v>66.800000000000011</v>
      </c>
      <c r="R21" s="391">
        <v>73.100000000000009</v>
      </c>
      <c r="S21" s="392">
        <v>79.400000000000006</v>
      </c>
      <c r="U21" s="387">
        <v>22</v>
      </c>
      <c r="V21" s="390" t="s">
        <v>224</v>
      </c>
      <c r="W21" s="391">
        <v>23.138998429497011</v>
      </c>
      <c r="X21" s="391">
        <v>29.560834998035826</v>
      </c>
      <c r="Y21" s="391">
        <v>35.982671566574638</v>
      </c>
      <c r="Z21" s="391">
        <v>42.40450813511346</v>
      </c>
      <c r="AA21" s="391">
        <v>48.826344703652275</v>
      </c>
      <c r="AB21" s="391">
        <v>55.248181272191083</v>
      </c>
      <c r="AC21" s="391">
        <v>61.670017840729905</v>
      </c>
      <c r="AD21" s="391">
        <v>68.09185440926872</v>
      </c>
      <c r="AE21" s="391">
        <v>74.513690977807542</v>
      </c>
      <c r="AF21" s="391">
        <v>80.93552754634635</v>
      </c>
      <c r="AG21" s="398"/>
      <c r="AH21" s="406">
        <v>1.9339137863304001E-2</v>
      </c>
      <c r="AJ21" s="387">
        <v>22</v>
      </c>
      <c r="AK21" s="390" t="s">
        <v>224</v>
      </c>
      <c r="AL21" s="391">
        <v>23.402397487195209</v>
      </c>
      <c r="AM21" s="391">
        <v>29.897335996857311</v>
      </c>
      <c r="AN21" s="391">
        <v>36.392274506519414</v>
      </c>
      <c r="AO21" s="391">
        <v>42.887213016181519</v>
      </c>
      <c r="AP21" s="391">
        <v>49.382151525843625</v>
      </c>
      <c r="AQ21" s="391">
        <v>55.877090035505724</v>
      </c>
      <c r="AR21" s="391">
        <v>62.372028545167836</v>
      </c>
      <c r="AS21" s="391">
        <v>68.866967054829942</v>
      </c>
      <c r="AT21" s="391">
        <v>75.361905564492048</v>
      </c>
      <c r="AU21" s="391">
        <v>81.856844074154139</v>
      </c>
      <c r="AV21" s="393"/>
      <c r="AW21" s="406">
        <v>3.0942620581286398E-2</v>
      </c>
      <c r="AY21" s="387">
        <v>22</v>
      </c>
      <c r="AZ21" s="390" t="s">
        <v>224</v>
      </c>
      <c r="BA21" s="391">
        <v>23.285331239329338</v>
      </c>
      <c r="BB21" s="391">
        <v>29.747779997381091</v>
      </c>
      <c r="BC21" s="391">
        <v>36.210228755432844</v>
      </c>
      <c r="BD21" s="391">
        <v>42.672677513484601</v>
      </c>
      <c r="BE21" s="391">
        <v>49.13512627153635</v>
      </c>
      <c r="BF21" s="391">
        <v>55.5975750295881</v>
      </c>
      <c r="BG21" s="391">
        <v>62.060023787639857</v>
      </c>
      <c r="BH21" s="391">
        <v>68.522472545691613</v>
      </c>
      <c r="BI21" s="391">
        <v>74.984921303743363</v>
      </c>
      <c r="BJ21" s="391">
        <v>81.447370061795112</v>
      </c>
      <c r="BK21" s="393"/>
      <c r="BL21" s="406">
        <v>2.5785517151072E-2</v>
      </c>
      <c r="BN21" s="387">
        <v>22</v>
      </c>
      <c r="BO21" s="390" t="s">
        <v>224</v>
      </c>
      <c r="BP21" s="391">
        <v>23.637852080969157</v>
      </c>
      <c r="BQ21" s="391">
        <v>30.198137019740333</v>
      </c>
      <c r="BR21" s="391">
        <v>36.758421958511505</v>
      </c>
      <c r="BS21" s="391">
        <v>43.318706897282681</v>
      </c>
      <c r="BT21" s="391">
        <v>49.878991836053856</v>
      </c>
      <c r="BU21" s="391">
        <v>56.439276774825025</v>
      </c>
      <c r="BV21" s="391">
        <v>62.999561713596201</v>
      </c>
      <c r="BW21" s="391">
        <v>69.559846652367384</v>
      </c>
      <c r="BX21" s="391">
        <v>76.120131591138559</v>
      </c>
      <c r="BY21" s="391">
        <v>82.680416529909721</v>
      </c>
      <c r="BZ21" s="393"/>
      <c r="CA21" s="406">
        <v>4.1315069646218172E-2</v>
      </c>
      <c r="CC21" s="387">
        <v>22</v>
      </c>
      <c r="CD21" s="390" t="s">
        <v>224</v>
      </c>
      <c r="CE21" s="391">
        <v>23.724329668826343</v>
      </c>
      <c r="CF21" s="391">
        <v>30.30861499541691</v>
      </c>
      <c r="CG21" s="391">
        <v>36.892900322007478</v>
      </c>
      <c r="CH21" s="391">
        <v>43.477185648598052</v>
      </c>
      <c r="CI21" s="391">
        <v>50.06147097518862</v>
      </c>
      <c r="CJ21" s="391">
        <v>56.64575630177918</v>
      </c>
      <c r="CK21" s="391">
        <v>63.230041628369754</v>
      </c>
      <c r="CL21" s="391">
        <v>69.814326954960336</v>
      </c>
      <c r="CM21" s="391">
        <v>76.398612281550896</v>
      </c>
      <c r="CN21" s="391">
        <v>82.982897608141457</v>
      </c>
      <c r="CO21" s="393"/>
      <c r="CP21" s="397">
        <v>4.5124655014376E-2</v>
      </c>
      <c r="CR21" s="387">
        <v>22</v>
      </c>
      <c r="CS21" s="390" t="s">
        <v>224</v>
      </c>
      <c r="CT21" s="391">
        <v>24.34024956816436</v>
      </c>
      <c r="CU21" s="391">
        <v>31.095473016597637</v>
      </c>
      <c r="CV21" s="391">
        <v>37.850696465030914</v>
      </c>
      <c r="CW21" s="391">
        <v>44.605919913464199</v>
      </c>
      <c r="CX21" s="391">
        <v>51.361143361897469</v>
      </c>
      <c r="CY21" s="391">
        <v>58.116366810330746</v>
      </c>
      <c r="CZ21" s="391">
        <v>64.87159025876403</v>
      </c>
      <c r="DA21" s="391">
        <v>71.626813707197314</v>
      </c>
      <c r="DB21" s="391">
        <v>78.382037155630584</v>
      </c>
      <c r="DC21" s="391">
        <v>85.137260604063869</v>
      </c>
      <c r="DE21" s="397">
        <v>7.225769022750457E-2</v>
      </c>
    </row>
    <row r="22" spans="1:109" x14ac:dyDescent="0.3">
      <c r="A22" s="387" t="s">
        <v>226</v>
      </c>
      <c r="B22" s="388">
        <v>73.125</v>
      </c>
      <c r="C22" s="388">
        <v>146.25</v>
      </c>
      <c r="D22" s="388">
        <v>292.5</v>
      </c>
      <c r="E22" s="388">
        <v>438.75</v>
      </c>
      <c r="F22" s="389">
        <v>585</v>
      </c>
      <c r="H22" s="387">
        <v>30</v>
      </c>
      <c r="I22" s="390" t="s">
        <v>238</v>
      </c>
      <c r="J22" s="391">
        <v>27.799999999999997</v>
      </c>
      <c r="K22" s="391">
        <v>39.199999999999996</v>
      </c>
      <c r="L22" s="391">
        <v>50.599999999999994</v>
      </c>
      <c r="M22" s="391">
        <v>61.999999999999993</v>
      </c>
      <c r="N22" s="391">
        <v>73.399999999999991</v>
      </c>
      <c r="O22" s="391">
        <v>84.799999999999983</v>
      </c>
      <c r="P22" s="391">
        <v>96.199999999999989</v>
      </c>
      <c r="Q22" s="391">
        <v>107.6</v>
      </c>
      <c r="R22" s="391">
        <v>119</v>
      </c>
      <c r="S22" s="392">
        <v>130.39999999999998</v>
      </c>
      <c r="U22" s="387">
        <v>30</v>
      </c>
      <c r="V22" s="390" t="s">
        <v>238</v>
      </c>
      <c r="W22" s="391">
        <v>28.337583083780785</v>
      </c>
      <c r="X22" s="391">
        <v>39.958030823172905</v>
      </c>
      <c r="Y22" s="391">
        <v>51.578478562565024</v>
      </c>
      <c r="Z22" s="391">
        <v>63.198926301957151</v>
      </c>
      <c r="AA22" s="391">
        <v>74.819374041349263</v>
      </c>
      <c r="AB22" s="391">
        <v>86.439821780741383</v>
      </c>
      <c r="AC22" s="391">
        <v>98.060269520133517</v>
      </c>
      <c r="AD22" s="391">
        <v>109.68071725952564</v>
      </c>
      <c r="AE22" s="391">
        <v>121.30116499891777</v>
      </c>
      <c r="AF22" s="391">
        <v>132.92161273830988</v>
      </c>
      <c r="AG22" s="398"/>
      <c r="AH22" s="395">
        <v>1.93375209993089E-2</v>
      </c>
      <c r="AJ22" s="387">
        <v>30</v>
      </c>
      <c r="AK22" s="390" t="s">
        <v>238</v>
      </c>
      <c r="AL22" s="391">
        <v>28.660132934049258</v>
      </c>
      <c r="AM22" s="391">
        <v>40.412849317076649</v>
      </c>
      <c r="AN22" s="391">
        <v>52.165565700104047</v>
      </c>
      <c r="AO22" s="391">
        <v>63.918282083131437</v>
      </c>
      <c r="AP22" s="391">
        <v>75.670998466158835</v>
      </c>
      <c r="AQ22" s="391">
        <v>87.423714849186226</v>
      </c>
      <c r="AR22" s="391">
        <v>99.176431232213616</v>
      </c>
      <c r="AS22" s="391">
        <v>110.92914761524102</v>
      </c>
      <c r="AT22" s="391">
        <v>122.68186399826843</v>
      </c>
      <c r="AU22" s="391">
        <v>134.4345803812958</v>
      </c>
      <c r="AV22" s="393"/>
      <c r="AW22" s="395">
        <v>3.0940033598894238E-2</v>
      </c>
      <c r="AY22" s="387">
        <v>30</v>
      </c>
      <c r="AZ22" s="390" t="s">
        <v>238</v>
      </c>
      <c r="BA22" s="391">
        <v>28.516777445041047</v>
      </c>
      <c r="BB22" s="391">
        <v>40.210707764230541</v>
      </c>
      <c r="BC22" s="391">
        <v>51.904638083420032</v>
      </c>
      <c r="BD22" s="391">
        <v>63.59856840260953</v>
      </c>
      <c r="BE22" s="391">
        <v>75.292498721799021</v>
      </c>
      <c r="BF22" s="391">
        <v>86.986429040988511</v>
      </c>
      <c r="BG22" s="391">
        <v>98.680359360178016</v>
      </c>
      <c r="BH22" s="391">
        <v>110.37428967936751</v>
      </c>
      <c r="BI22" s="391">
        <v>122.06821999855701</v>
      </c>
      <c r="BJ22" s="391">
        <v>133.76215031774649</v>
      </c>
      <c r="BK22" s="393"/>
      <c r="BL22" s="395">
        <v>2.5783361332411867E-2</v>
      </c>
      <c r="BN22" s="387">
        <v>30</v>
      </c>
      <c r="BO22" s="390" t="s">
        <v>238</v>
      </c>
      <c r="BP22" s="391">
        <v>28.948873764041231</v>
      </c>
      <c r="BQ22" s="391">
        <v>40.819994660086913</v>
      </c>
      <c r="BR22" s="391">
        <v>52.691115556132601</v>
      </c>
      <c r="BS22" s="391">
        <v>64.562236452178283</v>
      </c>
      <c r="BT22" s="391">
        <v>76.433357348223964</v>
      </c>
      <c r="BU22" s="391">
        <v>88.304478244269646</v>
      </c>
      <c r="BV22" s="391">
        <v>100.17559914031534</v>
      </c>
      <c r="BW22" s="391">
        <v>112.04672003636102</v>
      </c>
      <c r="BX22" s="391">
        <v>123.91784093240672</v>
      </c>
      <c r="BY22" s="391">
        <v>135.78896182845239</v>
      </c>
      <c r="BZ22" s="393"/>
      <c r="CA22" s="395">
        <v>4.1326394389972529E-2</v>
      </c>
      <c r="CC22" s="387">
        <v>30</v>
      </c>
      <c r="CD22" s="390" t="s">
        <v>238</v>
      </c>
      <c r="CE22" s="391">
        <v>29.054360528821835</v>
      </c>
      <c r="CF22" s="391">
        <v>40.96873858740345</v>
      </c>
      <c r="CG22" s="391">
        <v>52.883116645985069</v>
      </c>
      <c r="CH22" s="391">
        <v>64.797494704566688</v>
      </c>
      <c r="CI22" s="391">
        <v>76.711872763148307</v>
      </c>
      <c r="CJ22" s="391">
        <v>88.626250821729911</v>
      </c>
      <c r="CK22" s="391">
        <v>100.54062888031153</v>
      </c>
      <c r="CL22" s="391">
        <v>112.45500693889316</v>
      </c>
      <c r="CM22" s="391">
        <v>124.36938499747478</v>
      </c>
      <c r="CN22" s="391">
        <v>136.28376305605639</v>
      </c>
      <c r="CO22" s="393"/>
      <c r="CP22" s="397">
        <v>4.5120882331720763E-2</v>
      </c>
      <c r="CR22" s="387">
        <v>30</v>
      </c>
      <c r="CS22" s="390" t="s">
        <v>238</v>
      </c>
      <c r="CT22" s="391">
        <v>29.809006698090492</v>
      </c>
      <c r="CU22" s="391">
        <v>42.032843977163573</v>
      </c>
      <c r="CV22" s="391">
        <v>54.256681256236654</v>
      </c>
      <c r="CW22" s="391">
        <v>66.480518535309727</v>
      </c>
      <c r="CX22" s="391">
        <v>78.704355814382808</v>
      </c>
      <c r="CY22" s="391">
        <v>90.928193093455874</v>
      </c>
      <c r="CZ22" s="391">
        <v>103.15203037252897</v>
      </c>
      <c r="DA22" s="391">
        <v>115.37586765160205</v>
      </c>
      <c r="DB22" s="391">
        <v>127.59970493067514</v>
      </c>
      <c r="DC22" s="391">
        <v>139.82354220974821</v>
      </c>
      <c r="DE22" s="397">
        <v>7.226642798886676E-2</v>
      </c>
    </row>
    <row r="23" spans="1:109" x14ac:dyDescent="0.3">
      <c r="A23" s="387" t="s">
        <v>227</v>
      </c>
      <c r="B23" s="388">
        <v>75.150000000000006</v>
      </c>
      <c r="C23" s="388">
        <v>150.30000000000001</v>
      </c>
      <c r="D23" s="388">
        <v>300.60000000000002</v>
      </c>
      <c r="E23" s="388">
        <v>450.90000000000003</v>
      </c>
      <c r="F23" s="389">
        <v>601.19999999999993</v>
      </c>
      <c r="H23" s="387">
        <v>40</v>
      </c>
      <c r="I23" s="390" t="s">
        <v>259</v>
      </c>
      <c r="J23" s="391">
        <v>32.649999999999991</v>
      </c>
      <c r="K23" s="391">
        <v>48.899999999999991</v>
      </c>
      <c r="L23" s="391">
        <v>65.149999999999991</v>
      </c>
      <c r="M23" s="391">
        <v>81.399999999999991</v>
      </c>
      <c r="N23" s="391">
        <v>97.649999999999991</v>
      </c>
      <c r="O23" s="391">
        <v>113.89999999999999</v>
      </c>
      <c r="P23" s="391">
        <v>130.14999999999998</v>
      </c>
      <c r="Q23" s="391">
        <v>146.39999999999998</v>
      </c>
      <c r="R23" s="391">
        <v>162.64999999999998</v>
      </c>
      <c r="S23" s="392">
        <v>178.89999999999998</v>
      </c>
      <c r="U23" s="387">
        <v>40</v>
      </c>
      <c r="V23" s="390" t="s">
        <v>259</v>
      </c>
      <c r="W23" s="391">
        <v>33.491097696896261</v>
      </c>
      <c r="X23" s="391">
        <v>50.15971446793958</v>
      </c>
      <c r="Y23" s="391">
        <v>66.828331238982898</v>
      </c>
      <c r="Z23" s="391">
        <v>83.49694801002623</v>
      </c>
      <c r="AA23" s="391">
        <v>100.16556478106955</v>
      </c>
      <c r="AB23" s="391">
        <v>116.83418155211287</v>
      </c>
      <c r="AC23" s="391">
        <v>133.50279832315616</v>
      </c>
      <c r="AD23" s="391">
        <v>150.17141509419949</v>
      </c>
      <c r="AE23" s="391">
        <v>166.84003186524282</v>
      </c>
      <c r="AF23" s="391">
        <v>183.50864863628613</v>
      </c>
      <c r="AG23" s="398"/>
      <c r="AH23" s="395">
        <v>2.5761032064204385E-2</v>
      </c>
      <c r="AJ23" s="387">
        <v>40</v>
      </c>
      <c r="AK23" s="390" t="s">
        <v>259</v>
      </c>
      <c r="AL23" s="391">
        <v>33.995756315034022</v>
      </c>
      <c r="AM23" s="391">
        <v>50.915543148703335</v>
      </c>
      <c r="AN23" s="391">
        <v>67.835329982372656</v>
      </c>
      <c r="AO23" s="391">
        <v>84.755116816041962</v>
      </c>
      <c r="AP23" s="391">
        <v>101.67490364971127</v>
      </c>
      <c r="AQ23" s="391">
        <v>118.59469048338059</v>
      </c>
      <c r="AR23" s="391">
        <v>135.51447731704988</v>
      </c>
      <c r="AS23" s="391">
        <v>152.4342641507192</v>
      </c>
      <c r="AT23" s="391">
        <v>169.35405098438852</v>
      </c>
      <c r="AU23" s="391">
        <v>186.27383781805781</v>
      </c>
      <c r="AV23" s="393"/>
      <c r="AW23" s="395">
        <v>4.1217651302727018E-2</v>
      </c>
      <c r="AY23" s="387">
        <v>40</v>
      </c>
      <c r="AZ23" s="390" t="s">
        <v>259</v>
      </c>
      <c r="BA23" s="391">
        <v>34.332195393792539</v>
      </c>
      <c r="BB23" s="391">
        <v>51.419428935879182</v>
      </c>
      <c r="BC23" s="391">
        <v>68.506662477965833</v>
      </c>
      <c r="BD23" s="391">
        <v>85.593896020052469</v>
      </c>
      <c r="BE23" s="391">
        <v>102.68112956213912</v>
      </c>
      <c r="BF23" s="391">
        <v>119.76836310422576</v>
      </c>
      <c r="BG23" s="391">
        <v>136.85559664631239</v>
      </c>
      <c r="BH23" s="391">
        <v>153.94283018839903</v>
      </c>
      <c r="BI23" s="391">
        <v>171.03006373048569</v>
      </c>
      <c r="BJ23" s="391">
        <v>188.11729727257233</v>
      </c>
      <c r="BK23" s="393"/>
      <c r="BL23" s="395">
        <v>5.1522064128408769E-2</v>
      </c>
      <c r="BN23" s="387">
        <v>40</v>
      </c>
      <c r="BO23" s="390" t="s">
        <v>259</v>
      </c>
      <c r="BP23" s="391">
        <v>35.341512630068067</v>
      </c>
      <c r="BQ23" s="391">
        <v>52.931086297406694</v>
      </c>
      <c r="BR23" s="391">
        <v>70.52065996474532</v>
      </c>
      <c r="BS23" s="391">
        <v>88.110233632083947</v>
      </c>
      <c r="BT23" s="391">
        <v>105.69980729942257</v>
      </c>
      <c r="BU23" s="391">
        <v>123.28938096676121</v>
      </c>
      <c r="BV23" s="391">
        <v>140.87895463409981</v>
      </c>
      <c r="BW23" s="391">
        <v>158.46852830143845</v>
      </c>
      <c r="BX23" s="391">
        <v>176.05810196877707</v>
      </c>
      <c r="BY23" s="391">
        <v>193.64767563611571</v>
      </c>
      <c r="BZ23" s="393"/>
      <c r="CA23" s="395">
        <v>8.2435302605454036E-2</v>
      </c>
      <c r="CC23" s="387">
        <v>40</v>
      </c>
      <c r="CD23" s="390" t="s">
        <v>259</v>
      </c>
      <c r="CE23" s="391">
        <v>35.173293090688809</v>
      </c>
      <c r="CF23" s="391">
        <v>52.679143403818777</v>
      </c>
      <c r="CG23" s="391">
        <v>70.184993716948739</v>
      </c>
      <c r="CH23" s="391">
        <v>87.690844030078708</v>
      </c>
      <c r="CI23" s="391">
        <v>105.19669434320868</v>
      </c>
      <c r="CJ23" s="391">
        <v>122.70254465633863</v>
      </c>
      <c r="CK23" s="391">
        <v>140.20839496946857</v>
      </c>
      <c r="CL23" s="391">
        <v>157.71424528259854</v>
      </c>
      <c r="CM23" s="391">
        <v>175.22009559572851</v>
      </c>
      <c r="CN23" s="391">
        <v>192.72594590885848</v>
      </c>
      <c r="CO23" s="393"/>
      <c r="CP23" s="397">
        <v>7.7283096192613157E-2</v>
      </c>
      <c r="CR23" s="387">
        <v>40</v>
      </c>
      <c r="CS23" s="390" t="s">
        <v>259</v>
      </c>
      <c r="CT23" s="391">
        <v>36.687268945102097</v>
      </c>
      <c r="CU23" s="391">
        <v>54.946629446110038</v>
      </c>
      <c r="CV23" s="391">
        <v>73.205989947117985</v>
      </c>
      <c r="CW23" s="391">
        <v>91.465350448125918</v>
      </c>
      <c r="CX23" s="391">
        <v>109.72471094913386</v>
      </c>
      <c r="CY23" s="391">
        <v>127.9840714501418</v>
      </c>
      <c r="CZ23" s="391">
        <v>146.24343195114972</v>
      </c>
      <c r="DA23" s="391">
        <v>164.50279245215768</v>
      </c>
      <c r="DB23" s="391">
        <v>182.76215295316561</v>
      </c>
      <c r="DC23" s="391">
        <v>201.02151345417354</v>
      </c>
      <c r="DE23" s="397">
        <v>0.12365295390818105</v>
      </c>
    </row>
    <row r="24" spans="1:109" x14ac:dyDescent="0.3">
      <c r="A24" s="387" t="s">
        <v>228</v>
      </c>
      <c r="B24" s="388">
        <v>115.12619803005629</v>
      </c>
      <c r="C24" s="388">
        <v>229.93710874672425</v>
      </c>
      <c r="D24" s="388">
        <v>459.08854966663131</v>
      </c>
      <c r="E24" s="388">
        <v>688.62198759194007</v>
      </c>
      <c r="F24" s="389">
        <v>918.40613831298288</v>
      </c>
      <c r="H24" s="387">
        <v>48</v>
      </c>
      <c r="I24" s="390" t="s">
        <v>227</v>
      </c>
      <c r="J24" s="391">
        <v>33.100000000000009</v>
      </c>
      <c r="K24" s="391">
        <v>49.800000000000004</v>
      </c>
      <c r="L24" s="391">
        <v>66.5</v>
      </c>
      <c r="M24" s="391">
        <v>83.2</v>
      </c>
      <c r="N24" s="391">
        <v>99.9</v>
      </c>
      <c r="O24" s="391">
        <v>116.6</v>
      </c>
      <c r="P24" s="391">
        <v>133.30000000000001</v>
      </c>
      <c r="Q24" s="391">
        <v>150</v>
      </c>
      <c r="R24" s="391">
        <v>166.7</v>
      </c>
      <c r="S24" s="392">
        <v>183.4</v>
      </c>
      <c r="U24" s="387">
        <v>48</v>
      </c>
      <c r="V24" s="390" t="s">
        <v>227</v>
      </c>
      <c r="W24" s="391">
        <v>34.160666532872547</v>
      </c>
      <c r="X24" s="391">
        <v>51.395806445228168</v>
      </c>
      <c r="Y24" s="391">
        <v>68.630946357583795</v>
      </c>
      <c r="Z24" s="391">
        <v>85.86608626993943</v>
      </c>
      <c r="AA24" s="391">
        <v>103.10122618229506</v>
      </c>
      <c r="AB24" s="391">
        <v>120.33636609465067</v>
      </c>
      <c r="AC24" s="391">
        <v>137.57150600700632</v>
      </c>
      <c r="AD24" s="391">
        <v>154.80664591936193</v>
      </c>
      <c r="AE24" s="391">
        <v>172.04178583171756</v>
      </c>
      <c r="AF24" s="391">
        <v>189.2769257440732</v>
      </c>
      <c r="AG24" s="398"/>
      <c r="AH24" s="395">
        <v>3.2044306129079707E-2</v>
      </c>
      <c r="AJ24" s="387">
        <v>48</v>
      </c>
      <c r="AK24" s="390" t="s">
        <v>227</v>
      </c>
      <c r="AL24" s="391">
        <v>34.79706645259607</v>
      </c>
      <c r="AM24" s="391">
        <v>52.353290312365075</v>
      </c>
      <c r="AN24" s="391">
        <v>69.909514172134081</v>
      </c>
      <c r="AO24" s="391">
        <v>87.465738031903086</v>
      </c>
      <c r="AP24" s="391">
        <v>105.02196189167211</v>
      </c>
      <c r="AQ24" s="391">
        <v>122.5781857514411</v>
      </c>
      <c r="AR24" s="391">
        <v>140.13440961121012</v>
      </c>
      <c r="AS24" s="391">
        <v>157.69063347097912</v>
      </c>
      <c r="AT24" s="391">
        <v>175.24685733074813</v>
      </c>
      <c r="AU24" s="391">
        <v>192.80308119051716</v>
      </c>
      <c r="AV24" s="393"/>
      <c r="AW24" s="395">
        <v>5.1270889806527525E-2</v>
      </c>
      <c r="AY24" s="387">
        <v>48</v>
      </c>
      <c r="AZ24" s="390" t="s">
        <v>227</v>
      </c>
      <c r="BA24" s="391">
        <v>36.494132905192131</v>
      </c>
      <c r="BB24" s="391">
        <v>54.906580624730147</v>
      </c>
      <c r="BC24" s="391">
        <v>73.319028344268162</v>
      </c>
      <c r="BD24" s="391">
        <v>91.731476063806184</v>
      </c>
      <c r="BE24" s="391">
        <v>110.14392378334421</v>
      </c>
      <c r="BF24" s="391">
        <v>128.5563715028822</v>
      </c>
      <c r="BG24" s="391">
        <v>146.96881922242025</v>
      </c>
      <c r="BH24" s="391">
        <v>165.38126694195824</v>
      </c>
      <c r="BI24" s="391">
        <v>183.79371466149627</v>
      </c>
      <c r="BJ24" s="391">
        <v>202.20616238103429</v>
      </c>
      <c r="BK24" s="393"/>
      <c r="BL24" s="395">
        <v>0.10254177961305505</v>
      </c>
      <c r="BN24" s="387">
        <v>48</v>
      </c>
      <c r="BO24" s="390" t="s">
        <v>227</v>
      </c>
      <c r="BP24" s="391">
        <v>38.615465970937208</v>
      </c>
      <c r="BQ24" s="391">
        <v>58.09819351518648</v>
      </c>
      <c r="BR24" s="391">
        <v>77.580921059435752</v>
      </c>
      <c r="BS24" s="391">
        <v>97.063648603685039</v>
      </c>
      <c r="BT24" s="391">
        <v>116.54637614793432</v>
      </c>
      <c r="BU24" s="391">
        <v>136.02910369218358</v>
      </c>
      <c r="BV24" s="391">
        <v>155.5118312364329</v>
      </c>
      <c r="BW24" s="391">
        <v>174.99455878068215</v>
      </c>
      <c r="BX24" s="391">
        <v>194.47728632493144</v>
      </c>
      <c r="BY24" s="391">
        <v>213.96001386918073</v>
      </c>
      <c r="BZ24" s="393"/>
      <c r="CA24" s="395">
        <v>0.16663039187121448</v>
      </c>
      <c r="CC24" s="387">
        <v>48</v>
      </c>
      <c r="CD24" s="390" t="s">
        <v>227</v>
      </c>
      <c r="CE24" s="391">
        <v>37.55479943806467</v>
      </c>
      <c r="CF24" s="391">
        <v>56.502387069958317</v>
      </c>
      <c r="CG24" s="391">
        <v>75.449974701851971</v>
      </c>
      <c r="CH24" s="391">
        <v>94.397562333745626</v>
      </c>
      <c r="CI24" s="391">
        <v>113.34514996563928</v>
      </c>
      <c r="CJ24" s="391">
        <v>132.29273759753292</v>
      </c>
      <c r="CK24" s="391">
        <v>151.24032522942659</v>
      </c>
      <c r="CL24" s="391">
        <v>170.18791286132023</v>
      </c>
      <c r="CM24" s="391">
        <v>189.13550049321387</v>
      </c>
      <c r="CN24" s="391">
        <v>208.08308812510754</v>
      </c>
      <c r="CO24" s="393"/>
      <c r="CP24" s="397">
        <v>0.13458608574213476</v>
      </c>
      <c r="CR24" s="387">
        <v>48</v>
      </c>
      <c r="CS24" s="390" t="s">
        <v>227</v>
      </c>
      <c r="CT24" s="391">
        <v>40.31253242353327</v>
      </c>
      <c r="CU24" s="391">
        <v>60.651483827551552</v>
      </c>
      <c r="CV24" s="391">
        <v>80.990435231569833</v>
      </c>
      <c r="CW24" s="391">
        <v>101.32938663558814</v>
      </c>
      <c r="CX24" s="391">
        <v>121.66833803960643</v>
      </c>
      <c r="CY24" s="391">
        <v>142.0072894436247</v>
      </c>
      <c r="CZ24" s="391">
        <v>162.346240847643</v>
      </c>
      <c r="DA24" s="391">
        <v>182.68519225166128</v>
      </c>
      <c r="DB24" s="391">
        <v>203.02414365567955</v>
      </c>
      <c r="DC24" s="391">
        <v>223.36309505969788</v>
      </c>
      <c r="DE24" s="397">
        <v>0.217901281677742</v>
      </c>
    </row>
    <row r="25" spans="1:109" x14ac:dyDescent="0.3">
      <c r="A25" s="387" t="s">
        <v>229</v>
      </c>
      <c r="B25" s="388">
        <v>160.0741324958197</v>
      </c>
      <c r="C25" s="388">
        <v>319.65995235347634</v>
      </c>
      <c r="D25" s="388">
        <v>638.58371462606294</v>
      </c>
      <c r="E25" s="388">
        <v>957.71236701649445</v>
      </c>
      <c r="F25" s="389">
        <v>1276.9419555053712</v>
      </c>
      <c r="H25" s="387">
        <v>53</v>
      </c>
      <c r="I25" s="390" t="s">
        <v>228</v>
      </c>
      <c r="J25" s="391">
        <v>33.399999999999991</v>
      </c>
      <c r="K25" s="391">
        <v>50.399999999999991</v>
      </c>
      <c r="L25" s="391">
        <v>67.399999999999991</v>
      </c>
      <c r="M25" s="391">
        <v>84.399999999999991</v>
      </c>
      <c r="N25" s="391">
        <v>101.39999999999999</v>
      </c>
      <c r="O25" s="391">
        <v>118.39999999999999</v>
      </c>
      <c r="P25" s="391">
        <v>135.39999999999998</v>
      </c>
      <c r="Q25" s="391">
        <v>152.39999999999998</v>
      </c>
      <c r="R25" s="391">
        <v>169.39999999999998</v>
      </c>
      <c r="S25" s="392">
        <v>186.39999999999998</v>
      </c>
      <c r="U25" s="387">
        <v>53</v>
      </c>
      <c r="V25" s="390" t="s">
        <v>228</v>
      </c>
      <c r="W25" s="391">
        <v>34.738493570818044</v>
      </c>
      <c r="X25" s="391">
        <v>52.419762753569749</v>
      </c>
      <c r="Y25" s="391">
        <v>70.101031936321448</v>
      </c>
      <c r="Z25" s="391">
        <v>87.782301119073153</v>
      </c>
      <c r="AA25" s="391">
        <v>105.46357030182486</v>
      </c>
      <c r="AB25" s="391">
        <v>123.14483948457656</v>
      </c>
      <c r="AC25" s="391">
        <v>140.82610866732824</v>
      </c>
      <c r="AD25" s="391">
        <v>158.50737785007996</v>
      </c>
      <c r="AE25" s="391">
        <v>176.18864703283165</v>
      </c>
      <c r="AF25" s="391">
        <v>193.86991621558334</v>
      </c>
      <c r="AG25" s="398"/>
      <c r="AH25" s="395">
        <v>4.0074657808923664E-2</v>
      </c>
      <c r="AJ25" s="387">
        <v>53</v>
      </c>
      <c r="AK25" s="390" t="s">
        <v>228</v>
      </c>
      <c r="AL25" s="391">
        <v>35.720055522751281</v>
      </c>
      <c r="AM25" s="391">
        <v>53.900922106187565</v>
      </c>
      <c r="AN25" s="391">
        <v>72.081788689623849</v>
      </c>
      <c r="AO25" s="391">
        <v>90.262655273060133</v>
      </c>
      <c r="AP25" s="391">
        <v>108.44352185649642</v>
      </c>
      <c r="AQ25" s="391">
        <v>126.6243884399327</v>
      </c>
      <c r="AR25" s="391">
        <v>144.80525502336897</v>
      </c>
      <c r="AS25" s="391">
        <v>162.98612160680526</v>
      </c>
      <c r="AT25" s="391">
        <v>181.16698819024154</v>
      </c>
      <c r="AU25" s="391">
        <v>199.34785477367782</v>
      </c>
      <c r="AV25" s="393"/>
      <c r="AW25" s="395">
        <v>6.946274020213436E-2</v>
      </c>
      <c r="AY25" s="387">
        <v>53</v>
      </c>
      <c r="AZ25" s="390" t="s">
        <v>228</v>
      </c>
      <c r="BA25" s="391">
        <v>38.753974283272193</v>
      </c>
      <c r="BB25" s="391">
        <v>58.479051014279001</v>
      </c>
      <c r="BC25" s="391">
        <v>78.204127745285817</v>
      </c>
      <c r="BD25" s="391">
        <v>97.929204476292625</v>
      </c>
      <c r="BE25" s="391">
        <v>117.65428120729943</v>
      </c>
      <c r="BF25" s="391">
        <v>137.37935793830624</v>
      </c>
      <c r="BG25" s="391">
        <v>157.10443466931304</v>
      </c>
      <c r="BH25" s="391">
        <v>176.82951140031983</v>
      </c>
      <c r="BI25" s="391">
        <v>196.55458813132665</v>
      </c>
      <c r="BJ25" s="391">
        <v>216.27966486233345</v>
      </c>
      <c r="BK25" s="393"/>
      <c r="BL25" s="395">
        <v>0.16029863123569466</v>
      </c>
      <c r="BN25" s="387">
        <v>53</v>
      </c>
      <c r="BO25" s="390" t="s">
        <v>228</v>
      </c>
      <c r="BP25" s="391">
        <v>42.100208210317319</v>
      </c>
      <c r="BQ25" s="391">
        <v>63.528457898203385</v>
      </c>
      <c r="BR25" s="391">
        <v>84.956707586089451</v>
      </c>
      <c r="BS25" s="391">
        <v>106.38495727397552</v>
      </c>
      <c r="BT25" s="391">
        <v>127.81320696186158</v>
      </c>
      <c r="BU25" s="391">
        <v>149.24145664974765</v>
      </c>
      <c r="BV25" s="391">
        <v>170.6697063376337</v>
      </c>
      <c r="BW25" s="391">
        <v>192.09795602551975</v>
      </c>
      <c r="BX25" s="391">
        <v>213.52620571340583</v>
      </c>
      <c r="BY25" s="391">
        <v>234.95445540129188</v>
      </c>
      <c r="BZ25" s="393"/>
      <c r="CA25" s="395">
        <v>0.26048527575800384</v>
      </c>
      <c r="CC25" s="387">
        <v>53</v>
      </c>
      <c r="CD25" s="390" t="s">
        <v>228</v>
      </c>
      <c r="CE25" s="391">
        <v>40.092467854090245</v>
      </c>
      <c r="CF25" s="391">
        <v>60.498813767848759</v>
      </c>
      <c r="CG25" s="391">
        <v>80.905159681607273</v>
      </c>
      <c r="CH25" s="391">
        <v>101.31150559536579</v>
      </c>
      <c r="CI25" s="391">
        <v>121.71785150912429</v>
      </c>
      <c r="CJ25" s="391">
        <v>142.12419742288282</v>
      </c>
      <c r="CK25" s="391">
        <v>162.5305433366413</v>
      </c>
      <c r="CL25" s="391">
        <v>182.93688925039982</v>
      </c>
      <c r="CM25" s="391">
        <v>203.34323516415833</v>
      </c>
      <c r="CN25" s="391">
        <v>223.74958107791684</v>
      </c>
      <c r="CO25" s="393"/>
      <c r="CP25" s="397">
        <v>0.20037328904461832</v>
      </c>
      <c r="CR25" s="387">
        <v>53</v>
      </c>
      <c r="CS25" s="390" t="s">
        <v>228</v>
      </c>
      <c r="CT25" s="391">
        <v>44.420263733068609</v>
      </c>
      <c r="CU25" s="391">
        <v>67.029380004390958</v>
      </c>
      <c r="CV25" s="391">
        <v>89.638496275713308</v>
      </c>
      <c r="CW25" s="391">
        <v>112.24761254703566</v>
      </c>
      <c r="CX25" s="391">
        <v>134.85672881835799</v>
      </c>
      <c r="CY25" s="391">
        <v>157.46584508968036</v>
      </c>
      <c r="CZ25" s="391">
        <v>180.07496136100269</v>
      </c>
      <c r="DA25" s="391">
        <v>202.68407763232503</v>
      </c>
      <c r="DB25" s="391">
        <v>225.29319390364739</v>
      </c>
      <c r="DC25" s="391">
        <v>247.90231017496973</v>
      </c>
      <c r="DE25" s="397">
        <v>0.32994801596013823</v>
      </c>
    </row>
    <row r="26" spans="1:109" x14ac:dyDescent="0.3">
      <c r="A26" s="387" t="s">
        <v>230</v>
      </c>
      <c r="B26" s="388">
        <v>218.64103302019669</v>
      </c>
      <c r="C26" s="388">
        <v>436.34548533140776</v>
      </c>
      <c r="D26" s="388">
        <v>872.41946108761658</v>
      </c>
      <c r="E26" s="388">
        <v>1308.3170952608818</v>
      </c>
      <c r="F26" s="389">
        <v>1743.4111138899807</v>
      </c>
      <c r="H26" s="387">
        <v>58</v>
      </c>
      <c r="I26" s="390" t="s">
        <v>229</v>
      </c>
      <c r="J26" s="391">
        <v>34.600000000000009</v>
      </c>
      <c r="K26" s="391">
        <v>52.800000000000004</v>
      </c>
      <c r="L26" s="391">
        <v>71</v>
      </c>
      <c r="M26" s="391">
        <v>89.2</v>
      </c>
      <c r="N26" s="391">
        <v>107.39999999999999</v>
      </c>
      <c r="O26" s="391">
        <v>125.6</v>
      </c>
      <c r="P26" s="391">
        <v>143.80000000000001</v>
      </c>
      <c r="Q26" s="391">
        <v>162</v>
      </c>
      <c r="R26" s="391">
        <v>180.2</v>
      </c>
      <c r="S26" s="392">
        <v>198.39999999999998</v>
      </c>
      <c r="U26" s="387">
        <v>58</v>
      </c>
      <c r="V26" s="390" t="s">
        <v>229</v>
      </c>
      <c r="W26" s="391">
        <v>36.36757411787827</v>
      </c>
      <c r="X26" s="391">
        <v>55.497338538265097</v>
      </c>
      <c r="Y26" s="391">
        <v>74.627102958651918</v>
      </c>
      <c r="Z26" s="391">
        <v>93.756867379038752</v>
      </c>
      <c r="AA26" s="391">
        <v>112.88663179942557</v>
      </c>
      <c r="AB26" s="391">
        <v>132.01639621981241</v>
      </c>
      <c r="AC26" s="391">
        <v>151.14616064019927</v>
      </c>
      <c r="AD26" s="391">
        <v>170.27592506058608</v>
      </c>
      <c r="AE26" s="391">
        <v>189.40568948097288</v>
      </c>
      <c r="AF26" s="391">
        <v>208.53545390135972</v>
      </c>
      <c r="AG26" s="398"/>
      <c r="AH26" s="395">
        <v>5.1085957164111594E-2</v>
      </c>
      <c r="AJ26" s="387">
        <v>58</v>
      </c>
      <c r="AK26" s="390" t="s">
        <v>229</v>
      </c>
      <c r="AL26" s="391">
        <v>37.958390823968699</v>
      </c>
      <c r="AM26" s="391">
        <v>57.924943222703675</v>
      </c>
      <c r="AN26" s="391">
        <v>77.891495621438651</v>
      </c>
      <c r="AO26" s="391">
        <v>97.858048020173626</v>
      </c>
      <c r="AP26" s="391">
        <v>117.82460041890859</v>
      </c>
      <c r="AQ26" s="391">
        <v>137.79115281764356</v>
      </c>
      <c r="AR26" s="391">
        <v>157.75770521637858</v>
      </c>
      <c r="AS26" s="391">
        <v>177.72425761511354</v>
      </c>
      <c r="AT26" s="391">
        <v>197.69081001384851</v>
      </c>
      <c r="AU26" s="391">
        <v>217.65736241258347</v>
      </c>
      <c r="AV26" s="393"/>
      <c r="AW26" s="395">
        <v>9.7063318611812027E-2</v>
      </c>
      <c r="AY26" s="387">
        <v>58</v>
      </c>
      <c r="AZ26" s="390" t="s">
        <v>229</v>
      </c>
      <c r="BA26" s="391">
        <v>34.600000000000009</v>
      </c>
      <c r="BB26" s="391">
        <v>52.800000000000004</v>
      </c>
      <c r="BC26" s="391">
        <v>71</v>
      </c>
      <c r="BD26" s="391">
        <v>89.2</v>
      </c>
      <c r="BE26" s="391">
        <v>107.39999999999999</v>
      </c>
      <c r="BF26" s="391">
        <v>125.6</v>
      </c>
      <c r="BG26" s="391">
        <v>143.80000000000001</v>
      </c>
      <c r="BH26" s="391">
        <v>162</v>
      </c>
      <c r="BI26" s="391">
        <v>180.2</v>
      </c>
      <c r="BJ26" s="391">
        <v>198.39999999999998</v>
      </c>
      <c r="BK26" s="393"/>
      <c r="BL26" s="395">
        <v>0</v>
      </c>
      <c r="BN26" s="387">
        <v>58</v>
      </c>
      <c r="BO26" s="390" t="s">
        <v>229</v>
      </c>
      <c r="BP26" s="391">
        <v>34.600000000000009</v>
      </c>
      <c r="BQ26" s="391">
        <v>52.800000000000004</v>
      </c>
      <c r="BR26" s="391">
        <v>71</v>
      </c>
      <c r="BS26" s="391">
        <v>89.2</v>
      </c>
      <c r="BT26" s="391">
        <v>107.39999999999999</v>
      </c>
      <c r="BU26" s="391">
        <v>125.6</v>
      </c>
      <c r="BV26" s="391">
        <v>143.80000000000001</v>
      </c>
      <c r="BW26" s="391">
        <v>162</v>
      </c>
      <c r="BX26" s="391">
        <v>180.2</v>
      </c>
      <c r="BY26" s="391">
        <v>198.39999999999998</v>
      </c>
      <c r="BZ26" s="393"/>
      <c r="CA26" s="395">
        <v>0</v>
      </c>
      <c r="CC26" s="387">
        <v>58</v>
      </c>
      <c r="CD26" s="390" t="s">
        <v>229</v>
      </c>
      <c r="CE26" s="391">
        <v>36.36757411787827</v>
      </c>
      <c r="CF26" s="391">
        <v>55.497338538265097</v>
      </c>
      <c r="CG26" s="391">
        <v>74.627102958651918</v>
      </c>
      <c r="CH26" s="391">
        <v>93.756867379038752</v>
      </c>
      <c r="CI26" s="391">
        <v>112.88663179942557</v>
      </c>
      <c r="CJ26" s="391">
        <v>132.01639621981241</v>
      </c>
      <c r="CK26" s="391">
        <v>151.14616064019927</v>
      </c>
      <c r="CL26" s="391">
        <v>170.27592506058608</v>
      </c>
      <c r="CM26" s="391">
        <v>189.40568948097288</v>
      </c>
      <c r="CN26" s="391">
        <v>208.53545390135972</v>
      </c>
      <c r="CO26" s="393"/>
      <c r="CP26" s="397">
        <v>5.1085957164111594E-2</v>
      </c>
      <c r="CR26" s="387">
        <v>58</v>
      </c>
      <c r="CS26" s="390" t="s">
        <v>229</v>
      </c>
      <c r="CT26" s="391">
        <v>37.958390823968699</v>
      </c>
      <c r="CU26" s="391">
        <v>57.924943222703675</v>
      </c>
      <c r="CV26" s="391">
        <v>77.891495621438651</v>
      </c>
      <c r="CW26" s="391">
        <v>97.858048020173626</v>
      </c>
      <c r="CX26" s="391">
        <v>117.82460041890859</v>
      </c>
      <c r="CY26" s="391">
        <v>137.79115281764356</v>
      </c>
      <c r="CZ26" s="391">
        <v>157.75770521637858</v>
      </c>
      <c r="DA26" s="391">
        <v>177.72425761511354</v>
      </c>
      <c r="DB26" s="391">
        <v>197.69081001384851</v>
      </c>
      <c r="DC26" s="391">
        <v>217.65736241258347</v>
      </c>
      <c r="DE26" s="397">
        <v>9.7063318611812027E-2</v>
      </c>
    </row>
    <row r="27" spans="1:109" x14ac:dyDescent="0.3">
      <c r="A27" s="387" t="s">
        <v>231</v>
      </c>
      <c r="B27" s="388">
        <v>290.87960406880234</v>
      </c>
      <c r="C27" s="388">
        <v>581.31348169548903</v>
      </c>
      <c r="D27" s="388">
        <v>1160.9542516952438</v>
      </c>
      <c r="E27" s="388">
        <v>1741.5526011035302</v>
      </c>
      <c r="F27" s="389">
        <v>2322.6562276182553</v>
      </c>
      <c r="H27" s="387">
        <v>63</v>
      </c>
      <c r="I27" s="390" t="s">
        <v>230</v>
      </c>
      <c r="J27" s="391">
        <v>37.499999999999993</v>
      </c>
      <c r="K27" s="391">
        <v>58.599999999999994</v>
      </c>
      <c r="L27" s="391">
        <v>79.7</v>
      </c>
      <c r="M27" s="391">
        <v>100.8</v>
      </c>
      <c r="N27" s="391">
        <v>121.9</v>
      </c>
      <c r="O27" s="391">
        <v>143</v>
      </c>
      <c r="P27" s="391">
        <v>164.10000000000002</v>
      </c>
      <c r="Q27" s="391">
        <v>185.2</v>
      </c>
      <c r="R27" s="391">
        <v>206.3</v>
      </c>
      <c r="S27" s="392">
        <v>227.40000000000003</v>
      </c>
      <c r="U27" s="387">
        <v>63</v>
      </c>
      <c r="V27" s="390" t="s">
        <v>230</v>
      </c>
      <c r="W27" s="391">
        <v>39.484475560473726</v>
      </c>
      <c r="X27" s="391">
        <v>61.70107380916695</v>
      </c>
      <c r="Y27" s="391">
        <v>83.917672057860173</v>
      </c>
      <c r="Z27" s="391">
        <v>106.13427030655339</v>
      </c>
      <c r="AA27" s="391">
        <v>128.35086855524662</v>
      </c>
      <c r="AB27" s="391">
        <v>150.56746680393985</v>
      </c>
      <c r="AC27" s="391">
        <v>172.78406505263308</v>
      </c>
      <c r="AD27" s="391">
        <v>195.00066330132626</v>
      </c>
      <c r="AE27" s="391">
        <v>217.21726155001951</v>
      </c>
      <c r="AF27" s="391">
        <v>239.43385979871275</v>
      </c>
      <c r="AG27" s="398"/>
      <c r="AH27" s="395">
        <v>5.2919348279299568E-2</v>
      </c>
      <c r="AJ27" s="387">
        <v>63</v>
      </c>
      <c r="AK27" s="390" t="s">
        <v>230</v>
      </c>
      <c r="AL27" s="391">
        <v>41.072056008852712</v>
      </c>
      <c r="AM27" s="391">
        <v>64.181932856500509</v>
      </c>
      <c r="AN27" s="391">
        <v>87.291809704148307</v>
      </c>
      <c r="AO27" s="391">
        <v>110.4016865517961</v>
      </c>
      <c r="AP27" s="391">
        <v>133.5115633994439</v>
      </c>
      <c r="AQ27" s="391">
        <v>156.6214402470917</v>
      </c>
      <c r="AR27" s="391">
        <v>179.73131709473952</v>
      </c>
      <c r="AS27" s="391">
        <v>202.84119394238726</v>
      </c>
      <c r="AT27" s="391">
        <v>225.95107079003509</v>
      </c>
      <c r="AU27" s="391">
        <v>249.06094763768292</v>
      </c>
      <c r="AV27" s="393"/>
      <c r="AW27" s="395">
        <v>9.5254826902739217E-2</v>
      </c>
      <c r="AY27" s="387">
        <v>63</v>
      </c>
      <c r="AZ27" s="390" t="s">
        <v>230</v>
      </c>
      <c r="BA27" s="391">
        <v>37.499999999999993</v>
      </c>
      <c r="BB27" s="391">
        <v>58.599999999999994</v>
      </c>
      <c r="BC27" s="391">
        <v>79.7</v>
      </c>
      <c r="BD27" s="391">
        <v>100.8</v>
      </c>
      <c r="BE27" s="391">
        <v>121.9</v>
      </c>
      <c r="BF27" s="391">
        <v>143</v>
      </c>
      <c r="BG27" s="391">
        <v>164.10000000000002</v>
      </c>
      <c r="BH27" s="391">
        <v>185.2</v>
      </c>
      <c r="BI27" s="391">
        <v>206.3</v>
      </c>
      <c r="BJ27" s="391">
        <v>227.40000000000003</v>
      </c>
      <c r="BK27" s="393"/>
      <c r="BL27" s="395">
        <v>0</v>
      </c>
      <c r="BN27" s="387">
        <v>63</v>
      </c>
      <c r="BO27" s="390" t="s">
        <v>230</v>
      </c>
      <c r="BP27" s="391">
        <v>37.499999999999993</v>
      </c>
      <c r="BQ27" s="391">
        <v>58.599999999999994</v>
      </c>
      <c r="BR27" s="391">
        <v>79.7</v>
      </c>
      <c r="BS27" s="391">
        <v>100.8</v>
      </c>
      <c r="BT27" s="391">
        <v>121.9</v>
      </c>
      <c r="BU27" s="391">
        <v>143</v>
      </c>
      <c r="BV27" s="391">
        <v>164.10000000000002</v>
      </c>
      <c r="BW27" s="391">
        <v>185.2</v>
      </c>
      <c r="BX27" s="391">
        <v>206.3</v>
      </c>
      <c r="BY27" s="391">
        <v>227.40000000000003</v>
      </c>
      <c r="BZ27" s="393"/>
      <c r="CA27" s="395">
        <v>0</v>
      </c>
      <c r="CC27" s="387">
        <v>63</v>
      </c>
      <c r="CD27" s="390" t="s">
        <v>230</v>
      </c>
      <c r="CE27" s="391">
        <v>39.484475560473726</v>
      </c>
      <c r="CF27" s="391">
        <v>61.70107380916695</v>
      </c>
      <c r="CG27" s="391">
        <v>83.917672057860173</v>
      </c>
      <c r="CH27" s="391">
        <v>106.13427030655339</v>
      </c>
      <c r="CI27" s="391">
        <v>128.35086855524662</v>
      </c>
      <c r="CJ27" s="391">
        <v>150.56746680393985</v>
      </c>
      <c r="CK27" s="391">
        <v>172.78406505263308</v>
      </c>
      <c r="CL27" s="391">
        <v>195.00066330132626</v>
      </c>
      <c r="CM27" s="391">
        <v>217.21726155001951</v>
      </c>
      <c r="CN27" s="391">
        <v>239.43385979871275</v>
      </c>
      <c r="CO27" s="393"/>
      <c r="CP27" s="397">
        <v>5.2919348279299568E-2</v>
      </c>
      <c r="CR27" s="387">
        <v>63</v>
      </c>
      <c r="CS27" s="390" t="s">
        <v>230</v>
      </c>
      <c r="CT27" s="391">
        <v>41.072056008852712</v>
      </c>
      <c r="CU27" s="391">
        <v>64.181932856500509</v>
      </c>
      <c r="CV27" s="391">
        <v>87.291809704148307</v>
      </c>
      <c r="CW27" s="391">
        <v>110.4016865517961</v>
      </c>
      <c r="CX27" s="391">
        <v>133.5115633994439</v>
      </c>
      <c r="CY27" s="391">
        <v>156.6214402470917</v>
      </c>
      <c r="CZ27" s="391">
        <v>179.73131709473952</v>
      </c>
      <c r="DA27" s="391">
        <v>202.84119394238726</v>
      </c>
      <c r="DB27" s="391">
        <v>225.95107079003509</v>
      </c>
      <c r="DC27" s="391">
        <v>249.06094763768292</v>
      </c>
      <c r="DE27" s="397">
        <v>9.5254826902739217E-2</v>
      </c>
    </row>
    <row r="28" spans="1:109" ht="15" thickBot="1" x14ac:dyDescent="0.35">
      <c r="A28" s="399" t="s">
        <v>232</v>
      </c>
      <c r="B28" s="400">
        <v>455.24153857843697</v>
      </c>
      <c r="C28" s="400">
        <v>909.83768039815459</v>
      </c>
      <c r="D28" s="400">
        <v>1817.3938901298018</v>
      </c>
      <c r="E28" s="400">
        <v>2726.2108020996466</v>
      </c>
      <c r="F28" s="401">
        <v>3635.6377667109473</v>
      </c>
      <c r="H28" s="387">
        <v>67</v>
      </c>
      <c r="I28" s="390" t="s">
        <v>231</v>
      </c>
      <c r="J28" s="391">
        <v>47.7</v>
      </c>
      <c r="K28" s="391">
        <v>79</v>
      </c>
      <c r="L28" s="391">
        <v>110.3</v>
      </c>
      <c r="M28" s="391">
        <v>141.6</v>
      </c>
      <c r="N28" s="391">
        <v>172.9</v>
      </c>
      <c r="O28" s="391">
        <v>204.2</v>
      </c>
      <c r="P28" s="391">
        <v>235.5</v>
      </c>
      <c r="Q28" s="391">
        <v>266.79999999999995</v>
      </c>
      <c r="R28" s="391">
        <v>298.10000000000002</v>
      </c>
      <c r="S28" s="392">
        <v>329.4</v>
      </c>
      <c r="U28" s="387">
        <v>67</v>
      </c>
      <c r="V28" s="390" t="s">
        <v>231</v>
      </c>
      <c r="W28" s="391">
        <v>50.563128008044913</v>
      </c>
      <c r="X28" s="391">
        <v>83.74186818942448</v>
      </c>
      <c r="Y28" s="391">
        <v>116.92060837080406</v>
      </c>
      <c r="Z28" s="391">
        <v>150.09934855218364</v>
      </c>
      <c r="AA28" s="391">
        <v>183.27808873356321</v>
      </c>
      <c r="AB28" s="391">
        <v>216.45682891494278</v>
      </c>
      <c r="AC28" s="391">
        <v>249.63556909632237</v>
      </c>
      <c r="AD28" s="391">
        <v>282.81430927770191</v>
      </c>
      <c r="AE28" s="391">
        <v>315.99304945908153</v>
      </c>
      <c r="AF28" s="391">
        <v>349.17178964046104</v>
      </c>
      <c r="AG28" s="398"/>
      <c r="AH28" s="395">
        <v>6.0023647967398557E-2</v>
      </c>
      <c r="AJ28" s="387">
        <v>67</v>
      </c>
      <c r="AK28" s="390" t="s">
        <v>231</v>
      </c>
      <c r="AL28" s="391">
        <v>52.949068014749002</v>
      </c>
      <c r="AM28" s="391">
        <v>87.693425013944889</v>
      </c>
      <c r="AN28" s="391">
        <v>122.43778201314076</v>
      </c>
      <c r="AO28" s="391">
        <v>157.18213901233665</v>
      </c>
      <c r="AP28" s="391">
        <v>191.92649601153255</v>
      </c>
      <c r="AQ28" s="391">
        <v>226.67085301072842</v>
      </c>
      <c r="AR28" s="391">
        <v>261.41521000992429</v>
      </c>
      <c r="AS28" s="391">
        <v>296.15956700912017</v>
      </c>
      <c r="AT28" s="391">
        <v>330.9039240083161</v>
      </c>
      <c r="AU28" s="391">
        <v>365.64828100751197</v>
      </c>
      <c r="AV28" s="393"/>
      <c r="AW28" s="395">
        <v>0.11004335460689736</v>
      </c>
      <c r="AY28" s="387">
        <v>67</v>
      </c>
      <c r="AZ28" s="390" t="s">
        <v>231</v>
      </c>
      <c r="BA28" s="391">
        <v>47.7</v>
      </c>
      <c r="BB28" s="391">
        <v>79</v>
      </c>
      <c r="BC28" s="391">
        <v>110.3</v>
      </c>
      <c r="BD28" s="391">
        <v>141.6</v>
      </c>
      <c r="BE28" s="391">
        <v>172.9</v>
      </c>
      <c r="BF28" s="391">
        <v>204.2</v>
      </c>
      <c r="BG28" s="391">
        <v>235.5</v>
      </c>
      <c r="BH28" s="391">
        <v>266.79999999999995</v>
      </c>
      <c r="BI28" s="391">
        <v>298.10000000000002</v>
      </c>
      <c r="BJ28" s="391">
        <v>329.4</v>
      </c>
      <c r="BK28" s="393"/>
      <c r="BL28" s="395">
        <v>0</v>
      </c>
      <c r="BN28" s="387">
        <v>67</v>
      </c>
      <c r="BO28" s="390" t="s">
        <v>231</v>
      </c>
      <c r="BP28" s="391">
        <v>47.7</v>
      </c>
      <c r="BQ28" s="391">
        <v>79</v>
      </c>
      <c r="BR28" s="391">
        <v>110.3</v>
      </c>
      <c r="BS28" s="391">
        <v>141.6</v>
      </c>
      <c r="BT28" s="391">
        <v>172.9</v>
      </c>
      <c r="BU28" s="391">
        <v>204.2</v>
      </c>
      <c r="BV28" s="391">
        <v>235.5</v>
      </c>
      <c r="BW28" s="391">
        <v>266.79999999999995</v>
      </c>
      <c r="BX28" s="391">
        <v>298.10000000000002</v>
      </c>
      <c r="BY28" s="391">
        <v>329.4</v>
      </c>
      <c r="BZ28" s="393"/>
      <c r="CA28" s="395">
        <v>0</v>
      </c>
      <c r="CC28" s="387">
        <v>67</v>
      </c>
      <c r="CD28" s="390" t="s">
        <v>231</v>
      </c>
      <c r="CE28" s="391">
        <v>50.563128008044913</v>
      </c>
      <c r="CF28" s="391">
        <v>83.74186818942448</v>
      </c>
      <c r="CG28" s="391">
        <v>116.92060837080406</v>
      </c>
      <c r="CH28" s="391">
        <v>150.09934855218364</v>
      </c>
      <c r="CI28" s="391">
        <v>183.27808873356321</v>
      </c>
      <c r="CJ28" s="391">
        <v>216.45682891494278</v>
      </c>
      <c r="CK28" s="391">
        <v>249.63556909632237</v>
      </c>
      <c r="CL28" s="391">
        <v>282.81430927770191</v>
      </c>
      <c r="CM28" s="391">
        <v>315.99304945908153</v>
      </c>
      <c r="CN28" s="391">
        <v>349.17178964046104</v>
      </c>
      <c r="CO28" s="393"/>
      <c r="CP28" s="397">
        <v>6.0023647967398557E-2</v>
      </c>
      <c r="CR28" s="387">
        <v>67</v>
      </c>
      <c r="CS28" s="390" t="s">
        <v>231</v>
      </c>
      <c r="CT28" s="391">
        <v>52.949068014749002</v>
      </c>
      <c r="CU28" s="391">
        <v>87.693425013944889</v>
      </c>
      <c r="CV28" s="391">
        <v>122.43778201314076</v>
      </c>
      <c r="CW28" s="391">
        <v>157.18213901233665</v>
      </c>
      <c r="CX28" s="391">
        <v>191.92649601153255</v>
      </c>
      <c r="CY28" s="391">
        <v>226.67085301072842</v>
      </c>
      <c r="CZ28" s="391">
        <v>261.41521000992429</v>
      </c>
      <c r="DA28" s="391">
        <v>296.15956700912017</v>
      </c>
      <c r="DB28" s="391">
        <v>330.9039240083161</v>
      </c>
      <c r="DC28" s="391">
        <v>365.64828100751197</v>
      </c>
      <c r="DE28" s="397">
        <v>0.11004335460689736</v>
      </c>
    </row>
    <row r="29" spans="1:109" ht="15" thickBot="1" x14ac:dyDescent="0.35">
      <c r="H29" s="399">
        <v>73</v>
      </c>
      <c r="I29" s="402" t="s">
        <v>232</v>
      </c>
      <c r="J29" s="403">
        <v>69.900000000000006</v>
      </c>
      <c r="K29" s="403">
        <v>123.4</v>
      </c>
      <c r="L29" s="403">
        <v>176.9</v>
      </c>
      <c r="M29" s="403">
        <v>230.4</v>
      </c>
      <c r="N29" s="403">
        <v>283.89999999999998</v>
      </c>
      <c r="O29" s="403">
        <v>337.4</v>
      </c>
      <c r="P29" s="403">
        <v>390.9</v>
      </c>
      <c r="Q29" s="403">
        <v>444.4</v>
      </c>
      <c r="R29" s="403">
        <v>497.9</v>
      </c>
      <c r="S29" s="404">
        <v>551.4</v>
      </c>
      <c r="U29" s="399">
        <v>73</v>
      </c>
      <c r="V29" s="402" t="s">
        <v>232</v>
      </c>
      <c r="W29" s="391">
        <v>77.105022461648858</v>
      </c>
      <c r="X29" s="391">
        <v>136.11959616262473</v>
      </c>
      <c r="Y29" s="391">
        <v>195.13416986360059</v>
      </c>
      <c r="Z29" s="391">
        <v>254.14874356457645</v>
      </c>
      <c r="AA29" s="391">
        <v>313.16331726555228</v>
      </c>
      <c r="AB29" s="391">
        <v>372.1778909665282</v>
      </c>
      <c r="AC29" s="391">
        <v>431.19246466750405</v>
      </c>
      <c r="AD29" s="391">
        <v>490.20703836847991</v>
      </c>
      <c r="AE29" s="391">
        <v>549.22161206945577</v>
      </c>
      <c r="AF29" s="391">
        <v>608.23618577043169</v>
      </c>
      <c r="AG29" s="398"/>
      <c r="AH29" s="405">
        <v>0.10307614394347414</v>
      </c>
      <c r="AJ29" s="399">
        <v>73</v>
      </c>
      <c r="AK29" s="402" t="s">
        <v>232</v>
      </c>
      <c r="AL29" s="391">
        <v>81.853787265917404</v>
      </c>
      <c r="AM29" s="391">
        <v>144.50296636071826</v>
      </c>
      <c r="AN29" s="391">
        <v>207.15214545551913</v>
      </c>
      <c r="AO29" s="391">
        <v>269.80132455031998</v>
      </c>
      <c r="AP29" s="391">
        <v>332.45050364512082</v>
      </c>
      <c r="AQ29" s="391">
        <v>395.09968273992172</v>
      </c>
      <c r="AR29" s="391">
        <v>457.74886183472256</v>
      </c>
      <c r="AS29" s="391">
        <v>520.3980409295234</v>
      </c>
      <c r="AT29" s="391">
        <v>583.04722002432425</v>
      </c>
      <c r="AU29" s="391">
        <v>645.6963991191252</v>
      </c>
      <c r="AV29" s="393"/>
      <c r="AW29" s="405">
        <v>0.17101269336076391</v>
      </c>
      <c r="AY29" s="399">
        <v>73</v>
      </c>
      <c r="AZ29" s="402" t="s">
        <v>232</v>
      </c>
      <c r="BA29" s="391">
        <v>69.900000000000006</v>
      </c>
      <c r="BB29" s="391">
        <v>123.4</v>
      </c>
      <c r="BC29" s="391">
        <v>176.9</v>
      </c>
      <c r="BD29" s="391">
        <v>230.4</v>
      </c>
      <c r="BE29" s="391">
        <v>283.89999999999998</v>
      </c>
      <c r="BF29" s="391">
        <v>337.4</v>
      </c>
      <c r="BG29" s="391">
        <v>390.9</v>
      </c>
      <c r="BH29" s="391">
        <v>444.4</v>
      </c>
      <c r="BI29" s="391">
        <v>497.9</v>
      </c>
      <c r="BJ29" s="391">
        <v>551.4</v>
      </c>
      <c r="BK29" s="393"/>
      <c r="BL29" s="405">
        <v>0</v>
      </c>
      <c r="BN29" s="399">
        <v>73</v>
      </c>
      <c r="BO29" s="402" t="s">
        <v>232</v>
      </c>
      <c r="BP29" s="391">
        <v>69.900000000000006</v>
      </c>
      <c r="BQ29" s="391">
        <v>123.4</v>
      </c>
      <c r="BR29" s="391">
        <v>176.9</v>
      </c>
      <c r="BS29" s="391">
        <v>230.4</v>
      </c>
      <c r="BT29" s="391">
        <v>283.89999999999998</v>
      </c>
      <c r="BU29" s="391">
        <v>337.4</v>
      </c>
      <c r="BV29" s="391">
        <v>390.9</v>
      </c>
      <c r="BW29" s="391">
        <v>444.4</v>
      </c>
      <c r="BX29" s="391">
        <v>497.9</v>
      </c>
      <c r="BY29" s="391">
        <v>551.4</v>
      </c>
      <c r="BZ29" s="393"/>
      <c r="CA29" s="405">
        <v>0</v>
      </c>
      <c r="CC29" s="399">
        <v>73</v>
      </c>
      <c r="CD29" s="402" t="s">
        <v>232</v>
      </c>
      <c r="CE29" s="391">
        <v>77.105022461648858</v>
      </c>
      <c r="CF29" s="391">
        <v>136.11959616262473</v>
      </c>
      <c r="CG29" s="391">
        <v>195.13416986360059</v>
      </c>
      <c r="CH29" s="391">
        <v>254.14874356457645</v>
      </c>
      <c r="CI29" s="391">
        <v>313.16331726555228</v>
      </c>
      <c r="CJ29" s="391">
        <v>372.1778909665282</v>
      </c>
      <c r="CK29" s="391">
        <v>431.19246466750405</v>
      </c>
      <c r="CL29" s="391">
        <v>490.20703836847991</v>
      </c>
      <c r="CM29" s="391">
        <v>549.22161206945577</v>
      </c>
      <c r="CN29" s="391">
        <v>608.23618577043169</v>
      </c>
      <c r="CO29" s="393"/>
      <c r="CP29" s="397">
        <v>0.10307614394347414</v>
      </c>
      <c r="CR29" s="399">
        <v>73</v>
      </c>
      <c r="CS29" s="402" t="s">
        <v>232</v>
      </c>
      <c r="CT29" s="391">
        <v>81.853787265917404</v>
      </c>
      <c r="CU29" s="391">
        <v>144.50296636071826</v>
      </c>
      <c r="CV29" s="391">
        <v>207.15214545551913</v>
      </c>
      <c r="CW29" s="391">
        <v>269.80132455031998</v>
      </c>
      <c r="CX29" s="391">
        <v>332.45050364512082</v>
      </c>
      <c r="CY29" s="391">
        <v>395.09968273992172</v>
      </c>
      <c r="CZ29" s="391">
        <v>457.74886183472256</v>
      </c>
      <c r="DA29" s="391">
        <v>520.3980409295234</v>
      </c>
      <c r="DB29" s="391">
        <v>583.04722002432425</v>
      </c>
      <c r="DC29" s="391">
        <v>645.6963991191252</v>
      </c>
      <c r="DE29" s="397">
        <v>0.17101269336076391</v>
      </c>
    </row>
    <row r="30" spans="1:109" ht="15" thickBot="1" x14ac:dyDescent="0.35"/>
    <row r="31" spans="1:109" x14ac:dyDescent="0.3">
      <c r="H31" s="597" t="s">
        <v>168</v>
      </c>
      <c r="I31" s="598"/>
      <c r="J31" s="601" t="s">
        <v>248</v>
      </c>
      <c r="K31" s="601"/>
      <c r="L31" s="601"/>
      <c r="M31" s="601"/>
      <c r="N31" s="601"/>
      <c r="O31" s="601"/>
      <c r="P31" s="601"/>
      <c r="Q31" s="601"/>
      <c r="R31" s="601"/>
      <c r="S31" s="602"/>
      <c r="U31" s="597" t="s">
        <v>168</v>
      </c>
      <c r="V31" s="598"/>
      <c r="W31" s="601" t="s">
        <v>248</v>
      </c>
      <c r="X31" s="601"/>
      <c r="Y31" s="601"/>
      <c r="Z31" s="601"/>
      <c r="AA31" s="601"/>
      <c r="AB31" s="601"/>
      <c r="AC31" s="601"/>
      <c r="AD31" s="601"/>
      <c r="AE31" s="601"/>
      <c r="AF31" s="602"/>
      <c r="AG31" s="200"/>
      <c r="AH31" s="200"/>
      <c r="AJ31" s="597" t="s">
        <v>168</v>
      </c>
      <c r="AK31" s="598"/>
      <c r="AL31" s="601" t="s">
        <v>248</v>
      </c>
      <c r="AM31" s="601"/>
      <c r="AN31" s="601"/>
      <c r="AO31" s="601"/>
      <c r="AP31" s="601"/>
      <c r="AQ31" s="601"/>
      <c r="AR31" s="601"/>
      <c r="AS31" s="601"/>
      <c r="AT31" s="601"/>
      <c r="AU31" s="602"/>
      <c r="AV31" s="200"/>
      <c r="AW31" s="200"/>
      <c r="AY31" s="597" t="s">
        <v>168</v>
      </c>
      <c r="AZ31" s="598"/>
      <c r="BA31" s="601" t="s">
        <v>248</v>
      </c>
      <c r="BB31" s="601"/>
      <c r="BC31" s="601"/>
      <c r="BD31" s="601"/>
      <c r="BE31" s="601"/>
      <c r="BF31" s="601"/>
      <c r="BG31" s="601"/>
      <c r="BH31" s="601"/>
      <c r="BI31" s="601"/>
      <c r="BJ31" s="602"/>
      <c r="BK31" s="200"/>
      <c r="BL31" s="200"/>
      <c r="BN31" s="597" t="s">
        <v>168</v>
      </c>
      <c r="BO31" s="598"/>
      <c r="BP31" s="601" t="s">
        <v>248</v>
      </c>
      <c r="BQ31" s="601"/>
      <c r="BR31" s="601"/>
      <c r="BS31" s="601"/>
      <c r="BT31" s="601"/>
      <c r="BU31" s="601"/>
      <c r="BV31" s="601"/>
      <c r="BW31" s="601"/>
      <c r="BX31" s="601"/>
      <c r="BY31" s="602"/>
      <c r="BZ31" s="200"/>
      <c r="CA31" s="200"/>
      <c r="CC31" s="597" t="s">
        <v>168</v>
      </c>
      <c r="CD31" s="598"/>
      <c r="CE31" s="601" t="s">
        <v>248</v>
      </c>
      <c r="CF31" s="601"/>
      <c r="CG31" s="601"/>
      <c r="CH31" s="601"/>
      <c r="CI31" s="601"/>
      <c r="CJ31" s="601"/>
      <c r="CK31" s="601"/>
      <c r="CL31" s="601"/>
      <c r="CM31" s="601"/>
      <c r="CN31" s="602"/>
      <c r="CO31" s="200"/>
      <c r="CP31" s="200"/>
      <c r="CR31" s="597" t="s">
        <v>168</v>
      </c>
      <c r="CS31" s="598"/>
      <c r="CT31" s="601" t="s">
        <v>248</v>
      </c>
      <c r="CU31" s="601"/>
      <c r="CV31" s="601"/>
      <c r="CW31" s="601"/>
      <c r="CX31" s="601"/>
      <c r="CY31" s="601"/>
      <c r="CZ31" s="601"/>
      <c r="DA31" s="601"/>
      <c r="DB31" s="601"/>
      <c r="DC31" s="602"/>
    </row>
    <row r="32" spans="1:109" ht="15" thickBot="1" x14ac:dyDescent="0.35">
      <c r="H32" s="599"/>
      <c r="I32" s="600"/>
      <c r="J32" s="384">
        <v>10000</v>
      </c>
      <c r="K32" s="384">
        <v>20000</v>
      </c>
      <c r="L32" s="384">
        <v>30000</v>
      </c>
      <c r="M32" s="384">
        <v>40000</v>
      </c>
      <c r="N32" s="384">
        <v>50000</v>
      </c>
      <c r="O32" s="384">
        <v>60000</v>
      </c>
      <c r="P32" s="384">
        <v>70000</v>
      </c>
      <c r="Q32" s="384">
        <v>80000</v>
      </c>
      <c r="R32" s="384">
        <v>90000</v>
      </c>
      <c r="S32" s="385">
        <v>100000</v>
      </c>
      <c r="U32" s="599"/>
      <c r="V32" s="600"/>
      <c r="W32" s="384">
        <v>10000</v>
      </c>
      <c r="X32" s="384">
        <v>20000</v>
      </c>
      <c r="Y32" s="384">
        <v>30000</v>
      </c>
      <c r="Z32" s="384">
        <v>40000</v>
      </c>
      <c r="AA32" s="384">
        <v>50000</v>
      </c>
      <c r="AB32" s="384">
        <v>60000</v>
      </c>
      <c r="AC32" s="384">
        <v>70000</v>
      </c>
      <c r="AD32" s="384">
        <v>80000</v>
      </c>
      <c r="AE32" s="384">
        <v>90000</v>
      </c>
      <c r="AF32" s="385">
        <v>100000</v>
      </c>
      <c r="AG32" s="386"/>
      <c r="AH32" s="386"/>
      <c r="AJ32" s="599"/>
      <c r="AK32" s="600"/>
      <c r="AL32" s="384">
        <v>10000</v>
      </c>
      <c r="AM32" s="384">
        <v>20000</v>
      </c>
      <c r="AN32" s="384">
        <v>30000</v>
      </c>
      <c r="AO32" s="384">
        <v>40000</v>
      </c>
      <c r="AP32" s="384">
        <v>50000</v>
      </c>
      <c r="AQ32" s="384">
        <v>60000</v>
      </c>
      <c r="AR32" s="384">
        <v>70000</v>
      </c>
      <c r="AS32" s="384">
        <v>80000</v>
      </c>
      <c r="AT32" s="384">
        <v>90000</v>
      </c>
      <c r="AU32" s="385">
        <v>100000</v>
      </c>
      <c r="AV32" s="386"/>
      <c r="AW32" s="386"/>
      <c r="AY32" s="599"/>
      <c r="AZ32" s="600"/>
      <c r="BA32" s="384">
        <v>10000</v>
      </c>
      <c r="BB32" s="384">
        <v>20000</v>
      </c>
      <c r="BC32" s="384">
        <v>30000</v>
      </c>
      <c r="BD32" s="384">
        <v>40000</v>
      </c>
      <c r="BE32" s="384">
        <v>50000</v>
      </c>
      <c r="BF32" s="384">
        <v>60000</v>
      </c>
      <c r="BG32" s="384">
        <v>70000</v>
      </c>
      <c r="BH32" s="384">
        <v>80000</v>
      </c>
      <c r="BI32" s="384">
        <v>90000</v>
      </c>
      <c r="BJ32" s="385">
        <v>100000</v>
      </c>
      <c r="BK32" s="386"/>
      <c r="BL32" s="386"/>
      <c r="BN32" s="599"/>
      <c r="BO32" s="600"/>
      <c r="BP32" s="384">
        <v>10000</v>
      </c>
      <c r="BQ32" s="384">
        <v>20000</v>
      </c>
      <c r="BR32" s="384">
        <v>30000</v>
      </c>
      <c r="BS32" s="384">
        <v>40000</v>
      </c>
      <c r="BT32" s="384">
        <v>50000</v>
      </c>
      <c r="BU32" s="384">
        <v>60000</v>
      </c>
      <c r="BV32" s="384">
        <v>70000</v>
      </c>
      <c r="BW32" s="384">
        <v>80000</v>
      </c>
      <c r="BX32" s="384">
        <v>90000</v>
      </c>
      <c r="BY32" s="385">
        <v>100000</v>
      </c>
      <c r="BZ32" s="386"/>
      <c r="CA32" s="386"/>
      <c r="CC32" s="599"/>
      <c r="CD32" s="600"/>
      <c r="CE32" s="384">
        <v>10000</v>
      </c>
      <c r="CF32" s="384">
        <v>20000</v>
      </c>
      <c r="CG32" s="384">
        <v>30000</v>
      </c>
      <c r="CH32" s="384">
        <v>40000</v>
      </c>
      <c r="CI32" s="384">
        <v>50000</v>
      </c>
      <c r="CJ32" s="384">
        <v>60000</v>
      </c>
      <c r="CK32" s="384">
        <v>70000</v>
      </c>
      <c r="CL32" s="384">
        <v>80000</v>
      </c>
      <c r="CM32" s="384">
        <v>90000</v>
      </c>
      <c r="CN32" s="385">
        <v>100000</v>
      </c>
      <c r="CO32" s="386"/>
      <c r="CP32" s="386"/>
      <c r="CR32" s="599"/>
      <c r="CS32" s="600"/>
      <c r="CT32" s="384">
        <v>10000</v>
      </c>
      <c r="CU32" s="384">
        <v>20000</v>
      </c>
      <c r="CV32" s="384">
        <v>30000</v>
      </c>
      <c r="CW32" s="384">
        <v>40000</v>
      </c>
      <c r="CX32" s="384">
        <v>50000</v>
      </c>
      <c r="CY32" s="384">
        <v>60000</v>
      </c>
      <c r="CZ32" s="384">
        <v>70000</v>
      </c>
      <c r="DA32" s="384">
        <v>80000</v>
      </c>
      <c r="DB32" s="384">
        <v>90000</v>
      </c>
      <c r="DC32" s="385">
        <v>100000</v>
      </c>
    </row>
    <row r="33" spans="8:109" ht="43.8" thickBot="1" x14ac:dyDescent="0.35">
      <c r="H33" s="201" t="s">
        <v>257</v>
      </c>
      <c r="I33" s="202" t="s">
        <v>249</v>
      </c>
      <c r="J33" s="595" t="s">
        <v>258</v>
      </c>
      <c r="K33" s="595"/>
      <c r="L33" s="595"/>
      <c r="M33" s="595"/>
      <c r="N33" s="595"/>
      <c r="O33" s="595"/>
      <c r="P33" s="595"/>
      <c r="Q33" s="595"/>
      <c r="R33" s="595"/>
      <c r="S33" s="596"/>
      <c r="U33" s="201" t="s">
        <v>257</v>
      </c>
      <c r="V33" s="202" t="s">
        <v>249</v>
      </c>
      <c r="W33" s="595" t="s">
        <v>258</v>
      </c>
      <c r="X33" s="595"/>
      <c r="Y33" s="595"/>
      <c r="Z33" s="595"/>
      <c r="AA33" s="595"/>
      <c r="AB33" s="595"/>
      <c r="AC33" s="595"/>
      <c r="AD33" s="595"/>
      <c r="AE33" s="595"/>
      <c r="AF33" s="596"/>
      <c r="AG33" s="200"/>
      <c r="AH33" s="175" t="s">
        <v>250</v>
      </c>
      <c r="AJ33" s="201" t="s">
        <v>257</v>
      </c>
      <c r="AK33" s="202" t="s">
        <v>249</v>
      </c>
      <c r="AL33" s="595" t="s">
        <v>258</v>
      </c>
      <c r="AM33" s="595"/>
      <c r="AN33" s="595"/>
      <c r="AO33" s="595"/>
      <c r="AP33" s="595"/>
      <c r="AQ33" s="595"/>
      <c r="AR33" s="595"/>
      <c r="AS33" s="595"/>
      <c r="AT33" s="595"/>
      <c r="AU33" s="596"/>
      <c r="AV33" s="200"/>
      <c r="AW33" s="175" t="s">
        <v>250</v>
      </c>
      <c r="AY33" s="201" t="s">
        <v>257</v>
      </c>
      <c r="AZ33" s="202" t="s">
        <v>249</v>
      </c>
      <c r="BA33" s="595" t="s">
        <v>258</v>
      </c>
      <c r="BB33" s="595"/>
      <c r="BC33" s="595"/>
      <c r="BD33" s="595"/>
      <c r="BE33" s="595"/>
      <c r="BF33" s="595"/>
      <c r="BG33" s="595"/>
      <c r="BH33" s="595"/>
      <c r="BI33" s="595"/>
      <c r="BJ33" s="596"/>
      <c r="BK33" s="200"/>
      <c r="BL33" s="175" t="s">
        <v>251</v>
      </c>
      <c r="BN33" s="201" t="s">
        <v>257</v>
      </c>
      <c r="BO33" s="202" t="s">
        <v>249</v>
      </c>
      <c r="BP33" s="595" t="s">
        <v>258</v>
      </c>
      <c r="BQ33" s="595"/>
      <c r="BR33" s="595"/>
      <c r="BS33" s="595"/>
      <c r="BT33" s="595"/>
      <c r="BU33" s="595"/>
      <c r="BV33" s="595"/>
      <c r="BW33" s="595"/>
      <c r="BX33" s="595"/>
      <c r="BY33" s="596"/>
      <c r="BZ33" s="200"/>
      <c r="CA33" s="175" t="s">
        <v>251</v>
      </c>
      <c r="CC33" s="201" t="s">
        <v>257</v>
      </c>
      <c r="CD33" s="202" t="s">
        <v>249</v>
      </c>
      <c r="CE33" s="595" t="s">
        <v>258</v>
      </c>
      <c r="CF33" s="595"/>
      <c r="CG33" s="595"/>
      <c r="CH33" s="595"/>
      <c r="CI33" s="595"/>
      <c r="CJ33" s="595"/>
      <c r="CK33" s="595"/>
      <c r="CL33" s="595"/>
      <c r="CM33" s="595"/>
      <c r="CN33" s="596"/>
      <c r="CO33" s="200"/>
      <c r="CP33" s="175" t="s">
        <v>252</v>
      </c>
      <c r="CR33" s="201" t="s">
        <v>257</v>
      </c>
      <c r="CS33" s="202" t="s">
        <v>249</v>
      </c>
      <c r="CT33" s="595" t="s">
        <v>258</v>
      </c>
      <c r="CU33" s="595"/>
      <c r="CV33" s="595"/>
      <c r="CW33" s="595"/>
      <c r="CX33" s="595"/>
      <c r="CY33" s="595"/>
      <c r="CZ33" s="595"/>
      <c r="DA33" s="595"/>
      <c r="DB33" s="595"/>
      <c r="DC33" s="596"/>
      <c r="DE33" s="175" t="s">
        <v>252</v>
      </c>
    </row>
    <row r="34" spans="8:109" x14ac:dyDescent="0.3">
      <c r="H34" s="387">
        <v>22</v>
      </c>
      <c r="I34" s="390" t="s">
        <v>224</v>
      </c>
      <c r="J34" s="391">
        <v>12.6</v>
      </c>
      <c r="K34" s="391">
        <v>25.2</v>
      </c>
      <c r="L34" s="391">
        <v>37.799999999999997</v>
      </c>
      <c r="M34" s="391">
        <v>50.4</v>
      </c>
      <c r="N34" s="391">
        <v>63</v>
      </c>
      <c r="O34" s="391">
        <v>75.599999999999994</v>
      </c>
      <c r="P34" s="391">
        <v>88.2</v>
      </c>
      <c r="Q34" s="391">
        <v>100.8</v>
      </c>
      <c r="R34" s="391">
        <v>113.4</v>
      </c>
      <c r="S34" s="392">
        <v>126</v>
      </c>
      <c r="U34" s="387">
        <v>22</v>
      </c>
      <c r="V34" s="390" t="s">
        <v>224</v>
      </c>
      <c r="W34" s="391">
        <v>12.83022933821562</v>
      </c>
      <c r="X34" s="391">
        <v>25.66045867643124</v>
      </c>
      <c r="Y34" s="391">
        <v>38.490688014646857</v>
      </c>
      <c r="Z34" s="391">
        <v>51.32091735286248</v>
      </c>
      <c r="AA34" s="391">
        <v>64.151146691078097</v>
      </c>
      <c r="AB34" s="391">
        <v>76.981376029293713</v>
      </c>
      <c r="AC34" s="391">
        <v>89.811605367509344</v>
      </c>
      <c r="AD34" s="391">
        <v>102.64183470572496</v>
      </c>
      <c r="AE34" s="391">
        <v>115.47206404394059</v>
      </c>
      <c r="AF34" s="391">
        <v>128.30229338215619</v>
      </c>
      <c r="AG34" s="393"/>
      <c r="AH34" s="406">
        <v>1.8272169699652317E-2</v>
      </c>
      <c r="AJ34" s="387">
        <v>22</v>
      </c>
      <c r="AK34" s="390" t="s">
        <v>224</v>
      </c>
      <c r="AL34" s="391">
        <v>12.968366941144989</v>
      </c>
      <c r="AM34" s="391">
        <v>25.936733882289978</v>
      </c>
      <c r="AN34" s="391">
        <v>38.905100823434964</v>
      </c>
      <c r="AO34" s="391">
        <v>51.873467764579956</v>
      </c>
      <c r="AP34" s="391">
        <v>64.841834705724949</v>
      </c>
      <c r="AQ34" s="391">
        <v>77.810201646869928</v>
      </c>
      <c r="AR34" s="391">
        <v>90.778568588014934</v>
      </c>
      <c r="AS34" s="391">
        <v>103.74693552915991</v>
      </c>
      <c r="AT34" s="391">
        <v>116.71530247030491</v>
      </c>
      <c r="AU34" s="391">
        <v>129.6836694114499</v>
      </c>
      <c r="AV34" s="393"/>
      <c r="AW34" s="406">
        <v>2.9235471519443706E-2</v>
      </c>
      <c r="AY34" s="387">
        <v>22</v>
      </c>
      <c r="AZ34" s="390" t="s">
        <v>224</v>
      </c>
      <c r="BA34" s="391">
        <v>12.906972450954159</v>
      </c>
      <c r="BB34" s="391">
        <v>25.813944901908318</v>
      </c>
      <c r="BC34" s="391">
        <v>38.720917352862479</v>
      </c>
      <c r="BD34" s="391">
        <v>51.627889803816636</v>
      </c>
      <c r="BE34" s="391">
        <v>64.5348622547708</v>
      </c>
      <c r="BF34" s="391">
        <v>77.441834705724958</v>
      </c>
      <c r="BG34" s="391">
        <v>90.348807156679129</v>
      </c>
      <c r="BH34" s="391">
        <v>103.25577960763327</v>
      </c>
      <c r="BI34" s="391">
        <v>116.16275205858744</v>
      </c>
      <c r="BJ34" s="391">
        <v>129.0697245095416</v>
      </c>
      <c r="BK34" s="393"/>
      <c r="BL34" s="406">
        <v>2.4362892932869754E-2</v>
      </c>
      <c r="BN34" s="387">
        <v>22</v>
      </c>
      <c r="BO34" s="390" t="s">
        <v>224</v>
      </c>
      <c r="BP34" s="391">
        <v>13.091878534480008</v>
      </c>
      <c r="BQ34" s="391">
        <v>26.183757068960016</v>
      </c>
      <c r="BR34" s="391">
        <v>39.275635603440023</v>
      </c>
      <c r="BS34" s="391">
        <v>52.367514137920033</v>
      </c>
      <c r="BT34" s="391">
        <v>65.459392672400043</v>
      </c>
      <c r="BU34" s="391">
        <v>78.551271206880045</v>
      </c>
      <c r="BV34" s="391">
        <v>91.643149741360062</v>
      </c>
      <c r="BW34" s="391">
        <v>104.73502827584007</v>
      </c>
      <c r="BX34" s="391">
        <v>117.82690681032008</v>
      </c>
      <c r="BY34" s="391">
        <v>130.91878534480009</v>
      </c>
      <c r="BZ34" s="393"/>
      <c r="CA34" s="406">
        <v>3.9037978926984733E-2</v>
      </c>
      <c r="CC34" s="387">
        <v>22</v>
      </c>
      <c r="CD34" s="390" t="s">
        <v>224</v>
      </c>
      <c r="CE34" s="391">
        <v>13.137201789169778</v>
      </c>
      <c r="CF34" s="391">
        <v>26.274403578339555</v>
      </c>
      <c r="CG34" s="391">
        <v>39.411605367509331</v>
      </c>
      <c r="CH34" s="391">
        <v>52.548807156679111</v>
      </c>
      <c r="CI34" s="391">
        <v>65.686008945848883</v>
      </c>
      <c r="CJ34" s="391">
        <v>78.823210735018662</v>
      </c>
      <c r="CK34" s="391">
        <v>91.960412524188442</v>
      </c>
      <c r="CL34" s="391">
        <v>105.09761431335822</v>
      </c>
      <c r="CM34" s="391">
        <v>118.234816102528</v>
      </c>
      <c r="CN34" s="391">
        <v>131.37201789169777</v>
      </c>
      <c r="CO34" s="393"/>
      <c r="CP34" s="397">
        <v>4.2635062632522071E-2</v>
      </c>
      <c r="CR34" s="387">
        <v>22</v>
      </c>
      <c r="CS34" s="390" t="s">
        <v>224</v>
      </c>
      <c r="CT34" s="391">
        <v>13.460245475624998</v>
      </c>
      <c r="CU34" s="391">
        <v>26.920490951249995</v>
      </c>
      <c r="CV34" s="391">
        <v>40.380736426874989</v>
      </c>
      <c r="CW34" s="391">
        <v>53.84098190249999</v>
      </c>
      <c r="CX34" s="391">
        <v>67.301227378124992</v>
      </c>
      <c r="CY34" s="391">
        <v>80.761472853749979</v>
      </c>
      <c r="CZ34" s="391">
        <v>94.221718329374994</v>
      </c>
      <c r="DA34" s="391">
        <v>107.68196380499998</v>
      </c>
      <c r="DB34" s="391">
        <v>121.14220928062498</v>
      </c>
      <c r="DC34" s="391">
        <v>134.60245475624998</v>
      </c>
      <c r="DE34" s="397">
        <v>6.8273450446428435E-2</v>
      </c>
    </row>
    <row r="35" spans="8:109" x14ac:dyDescent="0.3">
      <c r="H35" s="387">
        <v>30</v>
      </c>
      <c r="I35" s="390" t="s">
        <v>238</v>
      </c>
      <c r="J35" s="391">
        <v>22.799999999999997</v>
      </c>
      <c r="K35" s="391">
        <v>45.599999999999994</v>
      </c>
      <c r="L35" s="391">
        <v>68.400000000000006</v>
      </c>
      <c r="M35" s="391">
        <v>91.199999999999989</v>
      </c>
      <c r="N35" s="391">
        <v>114</v>
      </c>
      <c r="O35" s="391">
        <v>136.80000000000001</v>
      </c>
      <c r="P35" s="391">
        <v>159.60000000000002</v>
      </c>
      <c r="Q35" s="391">
        <v>182.39999999999998</v>
      </c>
      <c r="R35" s="391">
        <v>205.2</v>
      </c>
      <c r="S35" s="392">
        <v>228</v>
      </c>
      <c r="U35" s="387">
        <v>30</v>
      </c>
      <c r="V35" s="390" t="s">
        <v>238</v>
      </c>
      <c r="W35" s="391">
        <v>23.216575253734415</v>
      </c>
      <c r="X35" s="391">
        <v>46.433150507468831</v>
      </c>
      <c r="Y35" s="391">
        <v>69.649725761203257</v>
      </c>
      <c r="Z35" s="391">
        <v>92.866301014937662</v>
      </c>
      <c r="AA35" s="391">
        <v>116.08287626867209</v>
      </c>
      <c r="AB35" s="391">
        <v>139.29945152240651</v>
      </c>
      <c r="AC35" s="391">
        <v>162.51602677614093</v>
      </c>
      <c r="AD35" s="391">
        <v>185.73260202987532</v>
      </c>
      <c r="AE35" s="391">
        <v>208.94917728360974</v>
      </c>
      <c r="AF35" s="391">
        <v>232.16575253734419</v>
      </c>
      <c r="AG35" s="393"/>
      <c r="AH35" s="395">
        <v>1.8270844462035953E-2</v>
      </c>
      <c r="AJ35" s="387">
        <v>30</v>
      </c>
      <c r="AK35" s="390" t="s">
        <v>238</v>
      </c>
      <c r="AL35" s="391">
        <v>23.466520405975068</v>
      </c>
      <c r="AM35" s="391">
        <v>46.933040811950136</v>
      </c>
      <c r="AN35" s="391">
        <v>70.399561217925225</v>
      </c>
      <c r="AO35" s="391">
        <v>93.866081623900271</v>
      </c>
      <c r="AP35" s="391">
        <v>117.33260202987536</v>
      </c>
      <c r="AQ35" s="391">
        <v>140.79912243585045</v>
      </c>
      <c r="AR35" s="391">
        <v>164.26564284182552</v>
      </c>
      <c r="AS35" s="391">
        <v>187.73216324780054</v>
      </c>
      <c r="AT35" s="391">
        <v>211.19868365377562</v>
      </c>
      <c r="AU35" s="391">
        <v>234.66520405975072</v>
      </c>
      <c r="AV35" s="393"/>
      <c r="AW35" s="395">
        <v>2.9233351139257523E-2</v>
      </c>
      <c r="AY35" s="387">
        <v>30</v>
      </c>
      <c r="AZ35" s="390" t="s">
        <v>238</v>
      </c>
      <c r="BA35" s="391">
        <v>23.355433671645891</v>
      </c>
      <c r="BB35" s="391">
        <v>46.710867343291781</v>
      </c>
      <c r="BC35" s="391">
        <v>70.066301014937679</v>
      </c>
      <c r="BD35" s="391">
        <v>93.421734686583562</v>
      </c>
      <c r="BE35" s="391">
        <v>116.77716835822946</v>
      </c>
      <c r="BF35" s="391">
        <v>140.13260202987536</v>
      </c>
      <c r="BG35" s="391">
        <v>163.48803570152126</v>
      </c>
      <c r="BH35" s="391">
        <v>186.84346937316712</v>
      </c>
      <c r="BI35" s="391">
        <v>210.19890304481302</v>
      </c>
      <c r="BJ35" s="391">
        <v>233.55433671645892</v>
      </c>
      <c r="BK35" s="393"/>
      <c r="BL35" s="395">
        <v>2.4361125949381269E-2</v>
      </c>
      <c r="BN35" s="387">
        <v>30</v>
      </c>
      <c r="BO35" s="390" t="s">
        <v>238</v>
      </c>
      <c r="BP35" s="391">
        <v>23.69032852893519</v>
      </c>
      <c r="BQ35" s="391">
        <v>47.38065705787038</v>
      </c>
      <c r="BR35" s="391">
        <v>71.070985586805591</v>
      </c>
      <c r="BS35" s="391">
        <v>94.76131411574076</v>
      </c>
      <c r="BT35" s="391">
        <v>118.45164264467597</v>
      </c>
      <c r="BU35" s="391">
        <v>142.14197117361118</v>
      </c>
      <c r="BV35" s="391">
        <v>165.83229970254638</v>
      </c>
      <c r="BW35" s="391">
        <v>189.52262823148152</v>
      </c>
      <c r="BX35" s="391">
        <v>213.21295676041674</v>
      </c>
      <c r="BY35" s="391">
        <v>236.90328528935194</v>
      </c>
      <c r="BZ35" s="393"/>
      <c r="CA35" s="395">
        <v>3.9049496883122446E-2</v>
      </c>
      <c r="CC35" s="387">
        <v>30</v>
      </c>
      <c r="CD35" s="390" t="s">
        <v>238</v>
      </c>
      <c r="CE35" s="391">
        <v>23.772008925380312</v>
      </c>
      <c r="CF35" s="391">
        <v>47.544017850760625</v>
      </c>
      <c r="CG35" s="391">
        <v>71.316026776140944</v>
      </c>
      <c r="CH35" s="391">
        <v>95.08803570152125</v>
      </c>
      <c r="CI35" s="391">
        <v>118.86004462690157</v>
      </c>
      <c r="CJ35" s="391">
        <v>142.63205355228189</v>
      </c>
      <c r="CK35" s="391">
        <v>166.40406247766222</v>
      </c>
      <c r="CL35" s="391">
        <v>190.1760714030425</v>
      </c>
      <c r="CM35" s="391">
        <v>213.94808032842283</v>
      </c>
      <c r="CN35" s="391">
        <v>237.72008925380314</v>
      </c>
      <c r="CO35" s="393"/>
      <c r="CP35" s="397">
        <v>4.2631970411417225E-2</v>
      </c>
      <c r="CR35" s="387">
        <v>30</v>
      </c>
      <c r="CS35" s="390" t="s">
        <v>238</v>
      </c>
      <c r="CT35" s="391">
        <v>24.356848934910261</v>
      </c>
      <c r="CU35" s="391">
        <v>48.713697869820521</v>
      </c>
      <c r="CV35" s="391">
        <v>73.070546804730796</v>
      </c>
      <c r="CW35" s="391">
        <v>97.427395739641042</v>
      </c>
      <c r="CX35" s="391">
        <v>121.78424467455133</v>
      </c>
      <c r="CY35" s="391">
        <v>146.14109360946159</v>
      </c>
      <c r="CZ35" s="391">
        <v>170.49794254437188</v>
      </c>
      <c r="DA35" s="391">
        <v>194.85479147928208</v>
      </c>
      <c r="DB35" s="391">
        <v>219.21164041419237</v>
      </c>
      <c r="DC35" s="391">
        <v>243.56848934910266</v>
      </c>
      <c r="DE35" s="397">
        <v>6.8282848022379966E-2</v>
      </c>
    </row>
    <row r="36" spans="8:109" x14ac:dyDescent="0.3">
      <c r="H36" s="387">
        <v>40</v>
      </c>
      <c r="I36" s="390" t="s">
        <v>259</v>
      </c>
      <c r="J36" s="391">
        <v>32.5</v>
      </c>
      <c r="K36" s="391">
        <v>65</v>
      </c>
      <c r="L36" s="391">
        <v>97.5</v>
      </c>
      <c r="M36" s="391">
        <v>130</v>
      </c>
      <c r="N36" s="391">
        <v>162.5</v>
      </c>
      <c r="O36" s="391">
        <v>195</v>
      </c>
      <c r="P36" s="391">
        <v>227.5</v>
      </c>
      <c r="Q36" s="391">
        <v>260</v>
      </c>
      <c r="R36" s="391">
        <v>292.5</v>
      </c>
      <c r="S36" s="392">
        <v>325</v>
      </c>
      <c r="U36" s="387">
        <v>40</v>
      </c>
      <c r="V36" s="390" t="s">
        <v>259</v>
      </c>
      <c r="W36" s="391">
        <v>33.291135713350869</v>
      </c>
      <c r="X36" s="391">
        <v>66.582271426701737</v>
      </c>
      <c r="Y36" s="391">
        <v>99.873407140052606</v>
      </c>
      <c r="Z36" s="391">
        <v>133.16454285340347</v>
      </c>
      <c r="AA36" s="391">
        <v>166.45567856675433</v>
      </c>
      <c r="AB36" s="391">
        <v>199.74681428010521</v>
      </c>
      <c r="AC36" s="391">
        <v>233.03794999345607</v>
      </c>
      <c r="AD36" s="391">
        <v>266.32908570680695</v>
      </c>
      <c r="AE36" s="391">
        <v>299.6202214201578</v>
      </c>
      <c r="AF36" s="391">
        <v>332.91135713350866</v>
      </c>
      <c r="AG36" s="393"/>
      <c r="AH36" s="395">
        <v>2.4342637333872912E-2</v>
      </c>
      <c r="AJ36" s="387">
        <v>40</v>
      </c>
      <c r="AK36" s="390" t="s">
        <v>259</v>
      </c>
      <c r="AL36" s="391">
        <v>33.765817141361389</v>
      </c>
      <c r="AM36" s="391">
        <v>67.531634282722777</v>
      </c>
      <c r="AN36" s="391">
        <v>101.29745142408417</v>
      </c>
      <c r="AO36" s="391">
        <v>135.06326856544555</v>
      </c>
      <c r="AP36" s="391">
        <v>168.82908570680695</v>
      </c>
      <c r="AQ36" s="391">
        <v>202.59490284816835</v>
      </c>
      <c r="AR36" s="391">
        <v>236.36071998952971</v>
      </c>
      <c r="AS36" s="391">
        <v>270.12653713089111</v>
      </c>
      <c r="AT36" s="391">
        <v>303.89235427225253</v>
      </c>
      <c r="AU36" s="391">
        <v>337.6581714136139</v>
      </c>
      <c r="AV36" s="393"/>
      <c r="AW36" s="395">
        <v>3.8948219734196661E-2</v>
      </c>
      <c r="AY36" s="387">
        <v>40</v>
      </c>
      <c r="AZ36" s="390" t="s">
        <v>259</v>
      </c>
      <c r="BA36" s="391">
        <v>34.082271426701737</v>
      </c>
      <c r="BB36" s="391">
        <v>68.164542853403475</v>
      </c>
      <c r="BC36" s="391">
        <v>102.24681428010521</v>
      </c>
      <c r="BD36" s="391">
        <v>136.32908570680695</v>
      </c>
      <c r="BE36" s="391">
        <v>170.41135713350869</v>
      </c>
      <c r="BF36" s="391">
        <v>204.49362856021042</v>
      </c>
      <c r="BG36" s="391">
        <v>238.57589998691216</v>
      </c>
      <c r="BH36" s="391">
        <v>272.6581714136139</v>
      </c>
      <c r="BI36" s="391">
        <v>306.74044284031561</v>
      </c>
      <c r="BJ36" s="391">
        <v>340.82271426701737</v>
      </c>
      <c r="BK36" s="393"/>
      <c r="BL36" s="395">
        <v>4.8685274667745825E-2</v>
      </c>
      <c r="BN36" s="387">
        <v>40</v>
      </c>
      <c r="BO36" s="390" t="s">
        <v>259</v>
      </c>
      <c r="BP36" s="391">
        <v>35.031634282722784</v>
      </c>
      <c r="BQ36" s="391">
        <v>70.063268565445568</v>
      </c>
      <c r="BR36" s="391">
        <v>105.09490284816836</v>
      </c>
      <c r="BS36" s="391">
        <v>140.12653713089114</v>
      </c>
      <c r="BT36" s="391">
        <v>175.15817141361393</v>
      </c>
      <c r="BU36" s="391">
        <v>210.18980569633672</v>
      </c>
      <c r="BV36" s="391">
        <v>245.22143997905951</v>
      </c>
      <c r="BW36" s="391">
        <v>280.25307426178227</v>
      </c>
      <c r="BX36" s="391">
        <v>315.28470854450507</v>
      </c>
      <c r="BY36" s="391">
        <v>350.31634282722786</v>
      </c>
      <c r="BZ36" s="393"/>
      <c r="CA36" s="395">
        <v>7.7896439468393322E-2</v>
      </c>
      <c r="CC36" s="387">
        <v>40</v>
      </c>
      <c r="CD36" s="390" t="s">
        <v>259</v>
      </c>
      <c r="CE36" s="391">
        <v>34.873407140052613</v>
      </c>
      <c r="CF36" s="391">
        <v>69.746814280105227</v>
      </c>
      <c r="CG36" s="391">
        <v>104.62022142015783</v>
      </c>
      <c r="CH36" s="391">
        <v>139.49362856021045</v>
      </c>
      <c r="CI36" s="391">
        <v>174.36703570026307</v>
      </c>
      <c r="CJ36" s="391">
        <v>209.24044284031567</v>
      </c>
      <c r="CK36" s="391">
        <v>244.11384998036829</v>
      </c>
      <c r="CL36" s="391">
        <v>278.98725712042091</v>
      </c>
      <c r="CM36" s="391">
        <v>313.86066426047353</v>
      </c>
      <c r="CN36" s="391">
        <v>348.73407140052615</v>
      </c>
      <c r="CO36" s="393"/>
      <c r="CP36" s="397">
        <v>7.3027912001618733E-2</v>
      </c>
      <c r="CR36" s="387">
        <v>40</v>
      </c>
      <c r="CS36" s="390" t="s">
        <v>259</v>
      </c>
      <c r="CT36" s="391">
        <v>36.297451424084173</v>
      </c>
      <c r="CU36" s="391">
        <v>72.594902848168346</v>
      </c>
      <c r="CV36" s="391">
        <v>108.89235427225253</v>
      </c>
      <c r="CW36" s="391">
        <v>145.18980569633669</v>
      </c>
      <c r="CX36" s="391">
        <v>181.48725712042088</v>
      </c>
      <c r="CY36" s="391">
        <v>217.78470854450507</v>
      </c>
      <c r="CZ36" s="391">
        <v>254.08215996858922</v>
      </c>
      <c r="DA36" s="391">
        <v>290.37961139267338</v>
      </c>
      <c r="DB36" s="391">
        <v>326.6770628167576</v>
      </c>
      <c r="DC36" s="391">
        <v>362.97451424084176</v>
      </c>
      <c r="DE36" s="397">
        <v>0.11684465920258999</v>
      </c>
    </row>
    <row r="37" spans="8:109" x14ac:dyDescent="0.3">
      <c r="H37" s="387">
        <v>48</v>
      </c>
      <c r="I37" s="390" t="s">
        <v>227</v>
      </c>
      <c r="J37" s="391">
        <v>33.4</v>
      </c>
      <c r="K37" s="391">
        <v>66.8</v>
      </c>
      <c r="L37" s="391">
        <v>100.2</v>
      </c>
      <c r="M37" s="391">
        <v>133.6</v>
      </c>
      <c r="N37" s="391">
        <v>167</v>
      </c>
      <c r="O37" s="391">
        <v>200.4</v>
      </c>
      <c r="P37" s="391">
        <v>233.8</v>
      </c>
      <c r="Q37" s="391">
        <v>267.2</v>
      </c>
      <c r="R37" s="391">
        <v>300.60000000000002</v>
      </c>
      <c r="S37" s="392">
        <v>334</v>
      </c>
      <c r="U37" s="387">
        <v>48</v>
      </c>
      <c r="V37" s="390" t="s">
        <v>227</v>
      </c>
      <c r="W37" s="391">
        <v>34.411925261730723</v>
      </c>
      <c r="X37" s="391">
        <v>68.823850523461445</v>
      </c>
      <c r="Y37" s="391">
        <v>103.23577578519216</v>
      </c>
      <c r="Z37" s="391">
        <v>137.64770104692289</v>
      </c>
      <c r="AA37" s="391">
        <v>172.05962630865361</v>
      </c>
      <c r="AB37" s="391">
        <v>206.47155157038432</v>
      </c>
      <c r="AC37" s="391">
        <v>240.88347683211506</v>
      </c>
      <c r="AD37" s="391">
        <v>275.29540209384578</v>
      </c>
      <c r="AE37" s="391">
        <v>309.70732735557652</v>
      </c>
      <c r="AF37" s="391">
        <v>344.11925261730721</v>
      </c>
      <c r="AG37" s="393"/>
      <c r="AH37" s="395">
        <v>3.029716352487187E-2</v>
      </c>
      <c r="AJ37" s="387">
        <v>48</v>
      </c>
      <c r="AK37" s="390" t="s">
        <v>227</v>
      </c>
      <c r="AL37" s="391">
        <v>35.019080418769157</v>
      </c>
      <c r="AM37" s="391">
        <v>70.038160837538314</v>
      </c>
      <c r="AN37" s="391">
        <v>105.05724125630748</v>
      </c>
      <c r="AO37" s="391">
        <v>140.07632167507663</v>
      </c>
      <c r="AP37" s="391">
        <v>175.09540209384579</v>
      </c>
      <c r="AQ37" s="391">
        <v>210.11448251261496</v>
      </c>
      <c r="AR37" s="391">
        <v>245.13356293138412</v>
      </c>
      <c r="AS37" s="391">
        <v>280.15264335015326</v>
      </c>
      <c r="AT37" s="391">
        <v>315.17172376892245</v>
      </c>
      <c r="AU37" s="391">
        <v>350.19080418769158</v>
      </c>
      <c r="AV37" s="393"/>
      <c r="AW37" s="395">
        <v>4.8475461639794992E-2</v>
      </c>
      <c r="AY37" s="387">
        <v>48</v>
      </c>
      <c r="AZ37" s="390" t="s">
        <v>227</v>
      </c>
      <c r="BA37" s="391">
        <v>36.638160837538301</v>
      </c>
      <c r="BB37" s="391">
        <v>73.276321675076602</v>
      </c>
      <c r="BC37" s="391">
        <v>109.91448251261492</v>
      </c>
      <c r="BD37" s="391">
        <v>146.5526433501532</v>
      </c>
      <c r="BE37" s="391">
        <v>183.19080418769153</v>
      </c>
      <c r="BF37" s="391">
        <v>219.82896502522985</v>
      </c>
      <c r="BG37" s="391">
        <v>256.46712586276817</v>
      </c>
      <c r="BH37" s="391">
        <v>293.10528670030641</v>
      </c>
      <c r="BI37" s="391">
        <v>329.74344753784476</v>
      </c>
      <c r="BJ37" s="391">
        <v>366.38160837538305</v>
      </c>
      <c r="BK37" s="393"/>
      <c r="BL37" s="395">
        <v>9.6950923279589984E-2</v>
      </c>
      <c r="BN37" s="387">
        <v>48</v>
      </c>
      <c r="BO37" s="390" t="s">
        <v>227</v>
      </c>
      <c r="BP37" s="391">
        <v>38.662011360999749</v>
      </c>
      <c r="BQ37" s="391">
        <v>77.324022721999498</v>
      </c>
      <c r="BR37" s="391">
        <v>115.98603408299924</v>
      </c>
      <c r="BS37" s="391">
        <v>154.648045443999</v>
      </c>
      <c r="BT37" s="391">
        <v>193.31005680499874</v>
      </c>
      <c r="BU37" s="391">
        <v>231.97206816599848</v>
      </c>
      <c r="BV37" s="391">
        <v>270.63407952699822</v>
      </c>
      <c r="BW37" s="391">
        <v>309.29609088799799</v>
      </c>
      <c r="BX37" s="391">
        <v>347.95810224899776</v>
      </c>
      <c r="BY37" s="391">
        <v>386.62011360999747</v>
      </c>
      <c r="BZ37" s="393"/>
      <c r="CA37" s="395">
        <v>0.15754525032933372</v>
      </c>
      <c r="CC37" s="387">
        <v>48</v>
      </c>
      <c r="CD37" s="390" t="s">
        <v>227</v>
      </c>
      <c r="CE37" s="391">
        <v>37.650086099269025</v>
      </c>
      <c r="CF37" s="391">
        <v>75.30017219853805</v>
      </c>
      <c r="CG37" s="391">
        <v>112.95025829780708</v>
      </c>
      <c r="CH37" s="391">
        <v>150.6003443970761</v>
      </c>
      <c r="CI37" s="391">
        <v>188.25043049634513</v>
      </c>
      <c r="CJ37" s="391">
        <v>225.90051659561416</v>
      </c>
      <c r="CK37" s="391">
        <v>263.5506026948832</v>
      </c>
      <c r="CL37" s="391">
        <v>301.2006887941522</v>
      </c>
      <c r="CM37" s="391">
        <v>338.85077489342126</v>
      </c>
      <c r="CN37" s="391">
        <v>376.50086099269026</v>
      </c>
      <c r="CO37" s="393"/>
      <c r="CP37" s="397">
        <v>0.12724808680446187</v>
      </c>
      <c r="CR37" s="387">
        <v>48</v>
      </c>
      <c r="CS37" s="390" t="s">
        <v>227</v>
      </c>
      <c r="CT37" s="391">
        <v>40.281091779768893</v>
      </c>
      <c r="CU37" s="391">
        <v>80.562183559537786</v>
      </c>
      <c r="CV37" s="391">
        <v>120.84327533930669</v>
      </c>
      <c r="CW37" s="391">
        <v>161.12436711907557</v>
      </c>
      <c r="CX37" s="391">
        <v>201.40545889884447</v>
      </c>
      <c r="CY37" s="391">
        <v>241.68655067861337</v>
      </c>
      <c r="CZ37" s="391">
        <v>281.96764245838227</v>
      </c>
      <c r="DA37" s="391">
        <v>322.24873423815114</v>
      </c>
      <c r="DB37" s="391">
        <v>362.52982601792007</v>
      </c>
      <c r="DC37" s="391">
        <v>402.81091779768894</v>
      </c>
      <c r="DE37" s="397">
        <v>0.20602071196912872</v>
      </c>
    </row>
    <row r="38" spans="8:109" x14ac:dyDescent="0.3">
      <c r="H38" s="387">
        <v>53</v>
      </c>
      <c r="I38" s="390" t="s">
        <v>228</v>
      </c>
      <c r="J38" s="391">
        <v>34</v>
      </c>
      <c r="K38" s="391">
        <v>68</v>
      </c>
      <c r="L38" s="391">
        <v>102</v>
      </c>
      <c r="M38" s="391">
        <v>136</v>
      </c>
      <c r="N38" s="391">
        <v>170</v>
      </c>
      <c r="O38" s="391">
        <v>204</v>
      </c>
      <c r="P38" s="391">
        <v>238</v>
      </c>
      <c r="Q38" s="391">
        <v>272</v>
      </c>
      <c r="R38" s="391">
        <v>306</v>
      </c>
      <c r="S38" s="392">
        <v>340</v>
      </c>
      <c r="U38" s="387">
        <v>53</v>
      </c>
      <c r="V38" s="390" t="s">
        <v>228</v>
      </c>
      <c r="W38" s="391">
        <v>35.290457252919133</v>
      </c>
      <c r="X38" s="391">
        <v>70.580914505838265</v>
      </c>
      <c r="Y38" s="391">
        <v>105.87137175875741</v>
      </c>
      <c r="Z38" s="391">
        <v>141.16182901167653</v>
      </c>
      <c r="AA38" s="391">
        <v>176.45228626459567</v>
      </c>
      <c r="AB38" s="391">
        <v>211.74274351751481</v>
      </c>
      <c r="AC38" s="391">
        <v>247.03320077043395</v>
      </c>
      <c r="AD38" s="391">
        <v>282.32365802335306</v>
      </c>
      <c r="AE38" s="391">
        <v>317.61411527627223</v>
      </c>
      <c r="AF38" s="391">
        <v>352.90457252919134</v>
      </c>
      <c r="AG38" s="393"/>
      <c r="AH38" s="395">
        <v>3.7954625085856938E-2</v>
      </c>
      <c r="AJ38" s="387">
        <v>53</v>
      </c>
      <c r="AK38" s="390" t="s">
        <v>228</v>
      </c>
      <c r="AL38" s="391">
        <v>36.236792571726504</v>
      </c>
      <c r="AM38" s="391">
        <v>72.473585143453008</v>
      </c>
      <c r="AN38" s="391">
        <v>108.7103777151795</v>
      </c>
      <c r="AO38" s="391">
        <v>144.94717028690602</v>
      </c>
      <c r="AP38" s="391">
        <v>181.18396285863253</v>
      </c>
      <c r="AQ38" s="391">
        <v>217.42075543035901</v>
      </c>
      <c r="AR38" s="391">
        <v>253.65754800208552</v>
      </c>
      <c r="AS38" s="391">
        <v>289.89434057381203</v>
      </c>
      <c r="AT38" s="391">
        <v>326.13113314553851</v>
      </c>
      <c r="AU38" s="391">
        <v>362.36792571726505</v>
      </c>
      <c r="AV38" s="393"/>
      <c r="AW38" s="395">
        <v>6.5788016815485365E-2</v>
      </c>
      <c r="AY38" s="387">
        <v>53</v>
      </c>
      <c r="AZ38" s="390" t="s">
        <v>228</v>
      </c>
      <c r="BA38" s="391">
        <v>39.161829011676545</v>
      </c>
      <c r="BB38" s="391">
        <v>78.32365802335309</v>
      </c>
      <c r="BC38" s="391">
        <v>117.48548703502964</v>
      </c>
      <c r="BD38" s="391">
        <v>156.64731604670618</v>
      </c>
      <c r="BE38" s="391">
        <v>195.80914505838274</v>
      </c>
      <c r="BF38" s="391">
        <v>234.97097407005927</v>
      </c>
      <c r="BG38" s="391">
        <v>274.1328030817358</v>
      </c>
      <c r="BH38" s="391">
        <v>313.29463209341236</v>
      </c>
      <c r="BI38" s="391">
        <v>352.45646110508892</v>
      </c>
      <c r="BJ38" s="391">
        <v>391.61829011676548</v>
      </c>
      <c r="BK38" s="393"/>
      <c r="BL38" s="395">
        <v>0.15181850034342775</v>
      </c>
      <c r="BN38" s="387">
        <v>53</v>
      </c>
      <c r="BO38" s="390" t="s">
        <v>228</v>
      </c>
      <c r="BP38" s="391">
        <v>42.38797214397438</v>
      </c>
      <c r="BQ38" s="391">
        <v>84.775944287948761</v>
      </c>
      <c r="BR38" s="391">
        <v>127.16391643192314</v>
      </c>
      <c r="BS38" s="391">
        <v>169.55188857589752</v>
      </c>
      <c r="BT38" s="391">
        <v>211.93986071987192</v>
      </c>
      <c r="BU38" s="391">
        <v>254.32783286384628</v>
      </c>
      <c r="BV38" s="391">
        <v>296.71580500782068</v>
      </c>
      <c r="BW38" s="391">
        <v>339.10377715179504</v>
      </c>
      <c r="BX38" s="391">
        <v>381.49174929576941</v>
      </c>
      <c r="BY38" s="391">
        <v>423.87972143974383</v>
      </c>
      <c r="BZ38" s="393"/>
      <c r="CA38" s="395">
        <v>0.24670506305807011</v>
      </c>
      <c r="CC38" s="387">
        <v>53</v>
      </c>
      <c r="CD38" s="390" t="s">
        <v>228</v>
      </c>
      <c r="CE38" s="391">
        <v>40.452286264595678</v>
      </c>
      <c r="CF38" s="391">
        <v>80.904572529191356</v>
      </c>
      <c r="CG38" s="391">
        <v>121.35685879378704</v>
      </c>
      <c r="CH38" s="391">
        <v>161.80914505838271</v>
      </c>
      <c r="CI38" s="391">
        <v>202.26143132297841</v>
      </c>
      <c r="CJ38" s="391">
        <v>242.71371758757408</v>
      </c>
      <c r="CK38" s="391">
        <v>283.16600385216975</v>
      </c>
      <c r="CL38" s="391">
        <v>323.61829011676542</v>
      </c>
      <c r="CM38" s="391">
        <v>364.07057638136109</v>
      </c>
      <c r="CN38" s="391">
        <v>404.52286264595682</v>
      </c>
      <c r="CO38" s="393"/>
      <c r="CP38" s="397">
        <v>0.18977312542928471</v>
      </c>
      <c r="CR38" s="387">
        <v>53</v>
      </c>
      <c r="CS38" s="390" t="s">
        <v>228</v>
      </c>
      <c r="CT38" s="391">
        <v>44.624764715700884</v>
      </c>
      <c r="CU38" s="391">
        <v>89.249529431401768</v>
      </c>
      <c r="CV38" s="391">
        <v>133.87429414710266</v>
      </c>
      <c r="CW38" s="391">
        <v>178.49905886280354</v>
      </c>
      <c r="CX38" s="391">
        <v>223.12382357850441</v>
      </c>
      <c r="CY38" s="391">
        <v>267.74858829420532</v>
      </c>
      <c r="CZ38" s="391">
        <v>312.37335300990622</v>
      </c>
      <c r="DA38" s="391">
        <v>356.99811772560707</v>
      </c>
      <c r="DB38" s="391">
        <v>401.62288244130798</v>
      </c>
      <c r="DC38" s="391">
        <v>446.24764715700883</v>
      </c>
      <c r="DE38" s="397">
        <v>0.31249307987355546</v>
      </c>
    </row>
    <row r="39" spans="8:109" x14ac:dyDescent="0.3">
      <c r="H39" s="387">
        <v>58</v>
      </c>
      <c r="I39" s="390" t="s">
        <v>229</v>
      </c>
      <c r="J39" s="391">
        <v>36.4</v>
      </c>
      <c r="K39" s="391">
        <v>72.8</v>
      </c>
      <c r="L39" s="391">
        <v>109.2</v>
      </c>
      <c r="M39" s="391">
        <v>145.6</v>
      </c>
      <c r="N39" s="391">
        <v>182</v>
      </c>
      <c r="O39" s="391">
        <v>218.4</v>
      </c>
      <c r="P39" s="391">
        <v>254.8</v>
      </c>
      <c r="Q39" s="391">
        <v>291.2</v>
      </c>
      <c r="R39" s="391">
        <v>327.60000000000002</v>
      </c>
      <c r="S39" s="392">
        <v>364</v>
      </c>
      <c r="U39" s="387">
        <v>58</v>
      </c>
      <c r="V39" s="390" t="s">
        <v>229</v>
      </c>
      <c r="W39" s="391">
        <v>38.166177495464787</v>
      </c>
      <c r="X39" s="391">
        <v>76.332354990929574</v>
      </c>
      <c r="Y39" s="391">
        <v>114.49853248639435</v>
      </c>
      <c r="Z39" s="391">
        <v>152.66470998185915</v>
      </c>
      <c r="AA39" s="391">
        <v>190.83088747732393</v>
      </c>
      <c r="AB39" s="391">
        <v>228.99706497278871</v>
      </c>
      <c r="AC39" s="391">
        <v>267.16324246825349</v>
      </c>
      <c r="AD39" s="391">
        <v>305.32941996371829</v>
      </c>
      <c r="AE39" s="391">
        <v>343.4955974591831</v>
      </c>
      <c r="AF39" s="391">
        <v>381.66177495464785</v>
      </c>
      <c r="AG39" s="393"/>
      <c r="AH39" s="395">
        <v>4.8521359765516067E-2</v>
      </c>
      <c r="AJ39" s="387">
        <v>58</v>
      </c>
      <c r="AK39" s="390" t="s">
        <v>229</v>
      </c>
      <c r="AL39" s="391">
        <v>39.755737241383088</v>
      </c>
      <c r="AM39" s="391">
        <v>79.511474482766175</v>
      </c>
      <c r="AN39" s="391">
        <v>119.26721172414928</v>
      </c>
      <c r="AO39" s="391">
        <v>159.02294896553235</v>
      </c>
      <c r="AP39" s="391">
        <v>198.77868620691547</v>
      </c>
      <c r="AQ39" s="391">
        <v>238.53442344829855</v>
      </c>
      <c r="AR39" s="391">
        <v>278.29016068968167</v>
      </c>
      <c r="AS39" s="391">
        <v>318.0458979310647</v>
      </c>
      <c r="AT39" s="391">
        <v>357.80163517244785</v>
      </c>
      <c r="AU39" s="391">
        <v>397.55737241383093</v>
      </c>
      <c r="AV39" s="393"/>
      <c r="AW39" s="395">
        <v>9.2190583554480524E-2</v>
      </c>
      <c r="AY39" s="387">
        <v>58</v>
      </c>
      <c r="AZ39" s="390" t="s">
        <v>229</v>
      </c>
      <c r="BA39" s="391">
        <v>36.4</v>
      </c>
      <c r="BB39" s="391">
        <v>72.8</v>
      </c>
      <c r="BC39" s="391">
        <v>109.2</v>
      </c>
      <c r="BD39" s="391">
        <v>145.6</v>
      </c>
      <c r="BE39" s="391">
        <v>182</v>
      </c>
      <c r="BF39" s="391">
        <v>218.4</v>
      </c>
      <c r="BG39" s="391">
        <v>254.8</v>
      </c>
      <c r="BH39" s="391">
        <v>291.2</v>
      </c>
      <c r="BI39" s="391">
        <v>327.60000000000002</v>
      </c>
      <c r="BJ39" s="391">
        <v>364</v>
      </c>
      <c r="BK39" s="393"/>
      <c r="BL39" s="395">
        <v>0</v>
      </c>
      <c r="BN39" s="387">
        <v>58</v>
      </c>
      <c r="BO39" s="390" t="s">
        <v>229</v>
      </c>
      <c r="BP39" s="391">
        <v>36.4</v>
      </c>
      <c r="BQ39" s="391">
        <v>72.8</v>
      </c>
      <c r="BR39" s="391">
        <v>109.2</v>
      </c>
      <c r="BS39" s="391">
        <v>145.6</v>
      </c>
      <c r="BT39" s="391">
        <v>182</v>
      </c>
      <c r="BU39" s="391">
        <v>218.4</v>
      </c>
      <c r="BV39" s="391">
        <v>254.8</v>
      </c>
      <c r="BW39" s="391">
        <v>291.2</v>
      </c>
      <c r="BX39" s="391">
        <v>327.60000000000002</v>
      </c>
      <c r="BY39" s="391">
        <v>364</v>
      </c>
      <c r="BZ39" s="393"/>
      <c r="CA39" s="395">
        <v>0</v>
      </c>
      <c r="CC39" s="387">
        <v>58</v>
      </c>
      <c r="CD39" s="390" t="s">
        <v>229</v>
      </c>
      <c r="CE39" s="391">
        <v>38.166177495464787</v>
      </c>
      <c r="CF39" s="391">
        <v>76.332354990929574</v>
      </c>
      <c r="CG39" s="391">
        <v>114.49853248639435</v>
      </c>
      <c r="CH39" s="391">
        <v>152.66470998185915</v>
      </c>
      <c r="CI39" s="391">
        <v>190.83088747732393</v>
      </c>
      <c r="CJ39" s="391">
        <v>228.99706497278871</v>
      </c>
      <c r="CK39" s="391">
        <v>267.16324246825349</v>
      </c>
      <c r="CL39" s="391">
        <v>305.32941996371829</v>
      </c>
      <c r="CM39" s="391">
        <v>343.4955974591831</v>
      </c>
      <c r="CN39" s="391">
        <v>381.66177495464785</v>
      </c>
      <c r="CO39" s="393"/>
      <c r="CP39" s="397">
        <v>4.8521359765516067E-2</v>
      </c>
      <c r="CR39" s="387">
        <v>58</v>
      </c>
      <c r="CS39" s="390" t="s">
        <v>229</v>
      </c>
      <c r="CT39" s="391">
        <v>39.755737241383088</v>
      </c>
      <c r="CU39" s="391">
        <v>79.511474482766175</v>
      </c>
      <c r="CV39" s="391">
        <v>119.26721172414928</v>
      </c>
      <c r="CW39" s="391">
        <v>159.02294896553235</v>
      </c>
      <c r="CX39" s="391">
        <v>198.77868620691547</v>
      </c>
      <c r="CY39" s="391">
        <v>238.53442344829855</v>
      </c>
      <c r="CZ39" s="391">
        <v>278.29016068968167</v>
      </c>
      <c r="DA39" s="391">
        <v>318.0458979310647</v>
      </c>
      <c r="DB39" s="391">
        <v>357.80163517244785</v>
      </c>
      <c r="DC39" s="391">
        <v>397.55737241383093</v>
      </c>
      <c r="DE39" s="397">
        <v>9.2190583554480524E-2</v>
      </c>
    </row>
    <row r="40" spans="8:109" x14ac:dyDescent="0.3">
      <c r="H40" s="387">
        <v>63</v>
      </c>
      <c r="I40" s="390" t="s">
        <v>230</v>
      </c>
      <c r="J40" s="391">
        <v>42.2</v>
      </c>
      <c r="K40" s="391">
        <v>84.4</v>
      </c>
      <c r="L40" s="391">
        <v>126.6</v>
      </c>
      <c r="M40" s="391">
        <v>168.8</v>
      </c>
      <c r="N40" s="391">
        <v>211</v>
      </c>
      <c r="O40" s="391">
        <v>253.2</v>
      </c>
      <c r="P40" s="391">
        <v>295.39999999999998</v>
      </c>
      <c r="Q40" s="391">
        <v>337.6</v>
      </c>
      <c r="R40" s="391">
        <v>379.80000000000007</v>
      </c>
      <c r="S40" s="392">
        <v>422</v>
      </c>
      <c r="U40" s="387">
        <v>63</v>
      </c>
      <c r="V40" s="390" t="s">
        <v>230</v>
      </c>
      <c r="W40" s="391">
        <v>44.327294165271063</v>
      </c>
      <c r="X40" s="391">
        <v>88.654588330542126</v>
      </c>
      <c r="Y40" s="391">
        <v>132.98188249581318</v>
      </c>
      <c r="Z40" s="391">
        <v>177.30917666108425</v>
      </c>
      <c r="AA40" s="391">
        <v>221.63647082635529</v>
      </c>
      <c r="AB40" s="391">
        <v>265.96376499162636</v>
      </c>
      <c r="AC40" s="391">
        <v>310.2910591568974</v>
      </c>
      <c r="AD40" s="391">
        <v>354.6183533221685</v>
      </c>
      <c r="AE40" s="391">
        <v>398.9456474874396</v>
      </c>
      <c r="AF40" s="391">
        <v>443.27294165271059</v>
      </c>
      <c r="AG40" s="393"/>
      <c r="AH40" s="395">
        <v>5.0409814342916207E-2</v>
      </c>
      <c r="AJ40" s="387">
        <v>63</v>
      </c>
      <c r="AK40" s="390" t="s">
        <v>230</v>
      </c>
      <c r="AL40" s="391">
        <v>46.029129497487915</v>
      </c>
      <c r="AM40" s="391">
        <v>92.05825899497583</v>
      </c>
      <c r="AN40" s="391">
        <v>138.08738849246373</v>
      </c>
      <c r="AO40" s="391">
        <v>184.11651798995166</v>
      </c>
      <c r="AP40" s="391">
        <v>230.14564748743959</v>
      </c>
      <c r="AQ40" s="391">
        <v>276.17477698492746</v>
      </c>
      <c r="AR40" s="391">
        <v>322.20390648241539</v>
      </c>
      <c r="AS40" s="391">
        <v>368.23303597990332</v>
      </c>
      <c r="AT40" s="391">
        <v>414.26216547739131</v>
      </c>
      <c r="AU40" s="391">
        <v>460.29129497487918</v>
      </c>
      <c r="AV40" s="393"/>
      <c r="AW40" s="395">
        <v>9.0737665817249166E-2</v>
      </c>
      <c r="AY40" s="387">
        <v>63</v>
      </c>
      <c r="AZ40" s="390" t="s">
        <v>230</v>
      </c>
      <c r="BA40" s="391">
        <v>42.2</v>
      </c>
      <c r="BB40" s="391">
        <v>84.4</v>
      </c>
      <c r="BC40" s="391">
        <v>126.6</v>
      </c>
      <c r="BD40" s="391">
        <v>168.8</v>
      </c>
      <c r="BE40" s="391">
        <v>211</v>
      </c>
      <c r="BF40" s="391">
        <v>253.2</v>
      </c>
      <c r="BG40" s="391">
        <v>295.39999999999998</v>
      </c>
      <c r="BH40" s="391">
        <v>337.6</v>
      </c>
      <c r="BI40" s="391">
        <v>379.80000000000007</v>
      </c>
      <c r="BJ40" s="391">
        <v>422</v>
      </c>
      <c r="BK40" s="393"/>
      <c r="BL40" s="395">
        <v>0</v>
      </c>
      <c r="BN40" s="387">
        <v>63</v>
      </c>
      <c r="BO40" s="390" t="s">
        <v>230</v>
      </c>
      <c r="BP40" s="391">
        <v>42.2</v>
      </c>
      <c r="BQ40" s="391">
        <v>84.4</v>
      </c>
      <c r="BR40" s="391">
        <v>126.6</v>
      </c>
      <c r="BS40" s="391">
        <v>168.8</v>
      </c>
      <c r="BT40" s="391">
        <v>211</v>
      </c>
      <c r="BU40" s="391">
        <v>253.2</v>
      </c>
      <c r="BV40" s="391">
        <v>295.39999999999998</v>
      </c>
      <c r="BW40" s="391">
        <v>337.6</v>
      </c>
      <c r="BX40" s="391">
        <v>379.80000000000007</v>
      </c>
      <c r="BY40" s="391">
        <v>422</v>
      </c>
      <c r="BZ40" s="393"/>
      <c r="CA40" s="395">
        <v>0</v>
      </c>
      <c r="CC40" s="387">
        <v>63</v>
      </c>
      <c r="CD40" s="390" t="s">
        <v>230</v>
      </c>
      <c r="CE40" s="391">
        <v>44.327294165271063</v>
      </c>
      <c r="CF40" s="391">
        <v>88.654588330542126</v>
      </c>
      <c r="CG40" s="391">
        <v>132.98188249581318</v>
      </c>
      <c r="CH40" s="391">
        <v>177.30917666108425</v>
      </c>
      <c r="CI40" s="391">
        <v>221.63647082635529</v>
      </c>
      <c r="CJ40" s="391">
        <v>265.96376499162636</v>
      </c>
      <c r="CK40" s="391">
        <v>310.2910591568974</v>
      </c>
      <c r="CL40" s="391">
        <v>354.6183533221685</v>
      </c>
      <c r="CM40" s="391">
        <v>398.9456474874396</v>
      </c>
      <c r="CN40" s="391">
        <v>443.27294165271059</v>
      </c>
      <c r="CO40" s="393"/>
      <c r="CP40" s="397">
        <v>5.0409814342916207E-2</v>
      </c>
      <c r="CR40" s="387">
        <v>63</v>
      </c>
      <c r="CS40" s="390" t="s">
        <v>230</v>
      </c>
      <c r="CT40" s="391">
        <v>46.029129497487915</v>
      </c>
      <c r="CU40" s="391">
        <v>92.05825899497583</v>
      </c>
      <c r="CV40" s="391">
        <v>138.08738849246373</v>
      </c>
      <c r="CW40" s="391">
        <v>184.11651798995166</v>
      </c>
      <c r="CX40" s="391">
        <v>230.14564748743959</v>
      </c>
      <c r="CY40" s="391">
        <v>276.17477698492746</v>
      </c>
      <c r="CZ40" s="391">
        <v>322.20390648241539</v>
      </c>
      <c r="DA40" s="391">
        <v>368.23303597990332</v>
      </c>
      <c r="DB40" s="391">
        <v>414.26216547739131</v>
      </c>
      <c r="DC40" s="391">
        <v>460.29129497487918</v>
      </c>
      <c r="DE40" s="397">
        <v>9.0737665817249166E-2</v>
      </c>
    </row>
    <row r="41" spans="8:109" x14ac:dyDescent="0.3">
      <c r="H41" s="387">
        <v>67</v>
      </c>
      <c r="I41" s="390" t="s">
        <v>231</v>
      </c>
      <c r="J41" s="391">
        <v>62.6</v>
      </c>
      <c r="K41" s="391">
        <v>125.2</v>
      </c>
      <c r="L41" s="391">
        <v>187.8</v>
      </c>
      <c r="M41" s="391">
        <v>250.4</v>
      </c>
      <c r="N41" s="391">
        <v>313</v>
      </c>
      <c r="O41" s="391">
        <v>375.6</v>
      </c>
      <c r="P41" s="391">
        <v>438.2</v>
      </c>
      <c r="Q41" s="391">
        <v>500.8</v>
      </c>
      <c r="R41" s="391">
        <v>563.4</v>
      </c>
      <c r="S41" s="392">
        <v>626</v>
      </c>
      <c r="U41" s="387">
        <v>67</v>
      </c>
      <c r="V41" s="390" t="s">
        <v>231</v>
      </c>
      <c r="W41" s="391">
        <v>66.172405336568033</v>
      </c>
      <c r="X41" s="391">
        <v>132.34481067313607</v>
      </c>
      <c r="Y41" s="391">
        <v>198.5172160097041</v>
      </c>
      <c r="Z41" s="391">
        <v>264.68962134627213</v>
      </c>
      <c r="AA41" s="391">
        <v>330.86202668284011</v>
      </c>
      <c r="AB41" s="391">
        <v>397.0344320194082</v>
      </c>
      <c r="AC41" s="391">
        <v>463.20683735597618</v>
      </c>
      <c r="AD41" s="391">
        <v>529.37924269254427</v>
      </c>
      <c r="AE41" s="391">
        <v>595.55164802911224</v>
      </c>
      <c r="AF41" s="391">
        <v>661.72405336568022</v>
      </c>
      <c r="AG41" s="393"/>
      <c r="AH41" s="395">
        <v>5.7067177900447685E-2</v>
      </c>
      <c r="AJ41" s="387">
        <v>67</v>
      </c>
      <c r="AK41" s="390" t="s">
        <v>231</v>
      </c>
      <c r="AL41" s="391">
        <v>69.149409783708037</v>
      </c>
      <c r="AM41" s="391">
        <v>138.29881956741607</v>
      </c>
      <c r="AN41" s="391">
        <v>207.44822935112413</v>
      </c>
      <c r="AO41" s="391">
        <v>276.59763913483215</v>
      </c>
      <c r="AP41" s="391">
        <v>345.7470489185402</v>
      </c>
      <c r="AQ41" s="391">
        <v>414.89645870224825</v>
      </c>
      <c r="AR41" s="391">
        <v>484.0458684859563</v>
      </c>
      <c r="AS41" s="391">
        <v>553.1952782696643</v>
      </c>
      <c r="AT41" s="391">
        <v>622.34468805337235</v>
      </c>
      <c r="AU41" s="391">
        <v>691.4940978370804</v>
      </c>
      <c r="AV41" s="393"/>
      <c r="AW41" s="395">
        <v>0.1046231594841541</v>
      </c>
      <c r="AY41" s="387">
        <v>67</v>
      </c>
      <c r="AZ41" s="390" t="s">
        <v>231</v>
      </c>
      <c r="BA41" s="391">
        <v>62.6</v>
      </c>
      <c r="BB41" s="391">
        <v>125.2</v>
      </c>
      <c r="BC41" s="391">
        <v>187.8</v>
      </c>
      <c r="BD41" s="391">
        <v>250.4</v>
      </c>
      <c r="BE41" s="391">
        <v>313</v>
      </c>
      <c r="BF41" s="391">
        <v>375.6</v>
      </c>
      <c r="BG41" s="391">
        <v>438.2</v>
      </c>
      <c r="BH41" s="391">
        <v>500.8</v>
      </c>
      <c r="BI41" s="391">
        <v>563.4</v>
      </c>
      <c r="BJ41" s="391">
        <v>626</v>
      </c>
      <c r="BK41" s="393"/>
      <c r="BL41" s="395">
        <v>0</v>
      </c>
      <c r="BN41" s="387">
        <v>67</v>
      </c>
      <c r="BO41" s="390" t="s">
        <v>231</v>
      </c>
      <c r="BP41" s="391">
        <v>62.6</v>
      </c>
      <c r="BQ41" s="391">
        <v>125.2</v>
      </c>
      <c r="BR41" s="391">
        <v>187.8</v>
      </c>
      <c r="BS41" s="391">
        <v>250.4</v>
      </c>
      <c r="BT41" s="391">
        <v>313</v>
      </c>
      <c r="BU41" s="391">
        <v>375.6</v>
      </c>
      <c r="BV41" s="391">
        <v>438.2</v>
      </c>
      <c r="BW41" s="391">
        <v>500.8</v>
      </c>
      <c r="BX41" s="391">
        <v>563.4</v>
      </c>
      <c r="BY41" s="391">
        <v>626</v>
      </c>
      <c r="BZ41" s="393"/>
      <c r="CA41" s="395">
        <v>0</v>
      </c>
      <c r="CC41" s="387">
        <v>67</v>
      </c>
      <c r="CD41" s="390" t="s">
        <v>231</v>
      </c>
      <c r="CE41" s="391">
        <v>66.172405336568033</v>
      </c>
      <c r="CF41" s="391">
        <v>132.34481067313607</v>
      </c>
      <c r="CG41" s="391">
        <v>198.5172160097041</v>
      </c>
      <c r="CH41" s="391">
        <v>264.68962134627213</v>
      </c>
      <c r="CI41" s="391">
        <v>330.86202668284011</v>
      </c>
      <c r="CJ41" s="391">
        <v>397.0344320194082</v>
      </c>
      <c r="CK41" s="391">
        <v>463.20683735597618</v>
      </c>
      <c r="CL41" s="391">
        <v>529.37924269254427</v>
      </c>
      <c r="CM41" s="391">
        <v>595.55164802911224</v>
      </c>
      <c r="CN41" s="391">
        <v>661.72405336568022</v>
      </c>
      <c r="CO41" s="393"/>
      <c r="CP41" s="397">
        <v>5.7067177900447685E-2</v>
      </c>
      <c r="CR41" s="387">
        <v>67</v>
      </c>
      <c r="CS41" s="390" t="s">
        <v>231</v>
      </c>
      <c r="CT41" s="391">
        <v>69.149409783708037</v>
      </c>
      <c r="CU41" s="391">
        <v>138.29881956741607</v>
      </c>
      <c r="CV41" s="391">
        <v>207.44822935112413</v>
      </c>
      <c r="CW41" s="391">
        <v>276.59763913483215</v>
      </c>
      <c r="CX41" s="391">
        <v>345.7470489185402</v>
      </c>
      <c r="CY41" s="391">
        <v>414.89645870224825</v>
      </c>
      <c r="CZ41" s="391">
        <v>484.0458684859563</v>
      </c>
      <c r="DA41" s="391">
        <v>553.1952782696643</v>
      </c>
      <c r="DB41" s="391">
        <v>622.34468805337235</v>
      </c>
      <c r="DC41" s="391">
        <v>691.4940978370804</v>
      </c>
      <c r="DE41" s="397">
        <v>0.1046231594841541</v>
      </c>
    </row>
    <row r="42" spans="8:109" ht="15" thickBot="1" x14ac:dyDescent="0.35">
      <c r="H42" s="399">
        <v>73</v>
      </c>
      <c r="I42" s="402" t="s">
        <v>232</v>
      </c>
      <c r="J42" s="403">
        <v>107</v>
      </c>
      <c r="K42" s="403">
        <v>214</v>
      </c>
      <c r="L42" s="403">
        <v>321</v>
      </c>
      <c r="M42" s="403">
        <v>428</v>
      </c>
      <c r="N42" s="403">
        <v>535</v>
      </c>
      <c r="O42" s="403">
        <v>642</v>
      </c>
      <c r="P42" s="403">
        <v>749</v>
      </c>
      <c r="Q42" s="403">
        <v>856</v>
      </c>
      <c r="R42" s="403">
        <v>963</v>
      </c>
      <c r="S42" s="404">
        <v>1070</v>
      </c>
      <c r="U42" s="399">
        <v>73</v>
      </c>
      <c r="V42" s="402" t="s">
        <v>232</v>
      </c>
      <c r="W42" s="391">
        <v>117.53528224485663</v>
      </c>
      <c r="X42" s="391">
        <v>235.07056448971326</v>
      </c>
      <c r="Y42" s="391">
        <v>352.60584673456987</v>
      </c>
      <c r="Z42" s="391">
        <v>470.14112897942653</v>
      </c>
      <c r="AA42" s="391">
        <v>587.67641122428313</v>
      </c>
      <c r="AB42" s="391">
        <v>705.21169346913973</v>
      </c>
      <c r="AC42" s="391">
        <v>822.74697571399645</v>
      </c>
      <c r="AD42" s="391">
        <v>940.28225795885305</v>
      </c>
      <c r="AE42" s="391">
        <v>1057.8175402037098</v>
      </c>
      <c r="AF42" s="391">
        <v>1175.3528224485663</v>
      </c>
      <c r="AG42" s="393"/>
      <c r="AH42" s="407">
        <v>9.846058172763196E-2</v>
      </c>
      <c r="AJ42" s="399">
        <v>73</v>
      </c>
      <c r="AK42" s="402" t="s">
        <v>232</v>
      </c>
      <c r="AL42" s="391">
        <v>124.47899099714849</v>
      </c>
      <c r="AM42" s="391">
        <v>248.95798199429697</v>
      </c>
      <c r="AN42" s="391">
        <v>373.43697299144549</v>
      </c>
      <c r="AO42" s="391">
        <v>497.91596398859394</v>
      </c>
      <c r="AP42" s="391">
        <v>622.3949549857424</v>
      </c>
      <c r="AQ42" s="391">
        <v>746.87394598289097</v>
      </c>
      <c r="AR42" s="391">
        <v>871.35293698003943</v>
      </c>
      <c r="AS42" s="391">
        <v>995.83192797718789</v>
      </c>
      <c r="AT42" s="391">
        <v>1120.3109189743363</v>
      </c>
      <c r="AU42" s="391">
        <v>1244.7899099714848</v>
      </c>
      <c r="AV42" s="393"/>
      <c r="AW42" s="407">
        <v>0.16335505604811665</v>
      </c>
      <c r="AY42" s="399">
        <v>73</v>
      </c>
      <c r="AZ42" s="402" t="s">
        <v>232</v>
      </c>
      <c r="BA42" s="391">
        <v>107</v>
      </c>
      <c r="BB42" s="391">
        <v>214</v>
      </c>
      <c r="BC42" s="391">
        <v>321</v>
      </c>
      <c r="BD42" s="391">
        <v>428</v>
      </c>
      <c r="BE42" s="391">
        <v>535</v>
      </c>
      <c r="BF42" s="391">
        <v>642</v>
      </c>
      <c r="BG42" s="391">
        <v>749</v>
      </c>
      <c r="BH42" s="391">
        <v>856</v>
      </c>
      <c r="BI42" s="391">
        <v>963</v>
      </c>
      <c r="BJ42" s="391">
        <v>1070</v>
      </c>
      <c r="BK42" s="393"/>
      <c r="BL42" s="407">
        <v>0</v>
      </c>
      <c r="BN42" s="399">
        <v>73</v>
      </c>
      <c r="BO42" s="402" t="s">
        <v>232</v>
      </c>
      <c r="BP42" s="391">
        <v>107</v>
      </c>
      <c r="BQ42" s="391">
        <v>214</v>
      </c>
      <c r="BR42" s="391">
        <v>321</v>
      </c>
      <c r="BS42" s="391">
        <v>428</v>
      </c>
      <c r="BT42" s="391">
        <v>535</v>
      </c>
      <c r="BU42" s="391">
        <v>642</v>
      </c>
      <c r="BV42" s="391">
        <v>749</v>
      </c>
      <c r="BW42" s="391">
        <v>856</v>
      </c>
      <c r="BX42" s="391">
        <v>963</v>
      </c>
      <c r="BY42" s="391">
        <v>1070</v>
      </c>
      <c r="BZ42" s="393"/>
      <c r="CA42" s="407">
        <v>0</v>
      </c>
      <c r="CC42" s="399">
        <v>73</v>
      </c>
      <c r="CD42" s="402" t="s">
        <v>232</v>
      </c>
      <c r="CE42" s="391">
        <v>117.53528224485663</v>
      </c>
      <c r="CF42" s="391">
        <v>235.07056448971326</v>
      </c>
      <c r="CG42" s="391">
        <v>352.60584673456987</v>
      </c>
      <c r="CH42" s="391">
        <v>470.14112897942653</v>
      </c>
      <c r="CI42" s="391">
        <v>587.67641122428313</v>
      </c>
      <c r="CJ42" s="391">
        <v>705.21169346913973</v>
      </c>
      <c r="CK42" s="391">
        <v>822.74697571399645</v>
      </c>
      <c r="CL42" s="391">
        <v>940.28225795885305</v>
      </c>
      <c r="CM42" s="391">
        <v>1057.8175402037098</v>
      </c>
      <c r="CN42" s="391">
        <v>1175.3528224485663</v>
      </c>
      <c r="CO42" s="393"/>
      <c r="CP42" s="397">
        <v>9.846058172763196E-2</v>
      </c>
      <c r="CR42" s="399">
        <v>73</v>
      </c>
      <c r="CS42" s="402" t="s">
        <v>232</v>
      </c>
      <c r="CT42" s="391">
        <v>124.47899099714849</v>
      </c>
      <c r="CU42" s="391">
        <v>248.95798199429697</v>
      </c>
      <c r="CV42" s="391">
        <v>373.43697299144549</v>
      </c>
      <c r="CW42" s="391">
        <v>497.91596398859394</v>
      </c>
      <c r="CX42" s="391">
        <v>622.3949549857424</v>
      </c>
      <c r="CY42" s="391">
        <v>746.87394598289097</v>
      </c>
      <c r="CZ42" s="391">
        <v>871.35293698003943</v>
      </c>
      <c r="DA42" s="391">
        <v>995.83192797718789</v>
      </c>
      <c r="DB42" s="391">
        <v>1120.3109189743363</v>
      </c>
      <c r="DC42" s="391">
        <v>1244.7899099714848</v>
      </c>
      <c r="DE42" s="397">
        <v>0.16335505604811665</v>
      </c>
    </row>
    <row r="43" spans="8:109" ht="15" thickBot="1" x14ac:dyDescent="0.35"/>
    <row r="44" spans="8:109" x14ac:dyDescent="0.3">
      <c r="H44" s="597" t="s">
        <v>170</v>
      </c>
      <c r="I44" s="598"/>
      <c r="J44" s="601" t="s">
        <v>248</v>
      </c>
      <c r="K44" s="601"/>
      <c r="L44" s="601"/>
      <c r="M44" s="601"/>
      <c r="N44" s="601"/>
      <c r="O44" s="601"/>
      <c r="P44" s="601"/>
      <c r="Q44" s="601"/>
      <c r="R44" s="601"/>
      <c r="S44" s="602"/>
      <c r="U44" s="597" t="s">
        <v>170</v>
      </c>
      <c r="V44" s="598"/>
      <c r="W44" s="601" t="s">
        <v>248</v>
      </c>
      <c r="X44" s="601"/>
      <c r="Y44" s="601"/>
      <c r="Z44" s="601"/>
      <c r="AA44" s="601"/>
      <c r="AB44" s="601"/>
      <c r="AC44" s="601"/>
      <c r="AD44" s="601"/>
      <c r="AE44" s="601"/>
      <c r="AF44" s="602"/>
      <c r="AG44" s="200"/>
      <c r="AH44" s="200"/>
      <c r="AJ44" s="597" t="s">
        <v>170</v>
      </c>
      <c r="AK44" s="598"/>
      <c r="AL44" s="601" t="s">
        <v>248</v>
      </c>
      <c r="AM44" s="601"/>
      <c r="AN44" s="601"/>
      <c r="AO44" s="601"/>
      <c r="AP44" s="601"/>
      <c r="AQ44" s="601"/>
      <c r="AR44" s="601"/>
      <c r="AS44" s="601"/>
      <c r="AT44" s="601"/>
      <c r="AU44" s="602"/>
      <c r="AV44" s="200"/>
      <c r="AW44" s="200"/>
      <c r="AY44" s="597" t="s">
        <v>170</v>
      </c>
      <c r="AZ44" s="598"/>
      <c r="BA44" s="601" t="s">
        <v>248</v>
      </c>
      <c r="BB44" s="601"/>
      <c r="BC44" s="601"/>
      <c r="BD44" s="601"/>
      <c r="BE44" s="601"/>
      <c r="BF44" s="601"/>
      <c r="BG44" s="601"/>
      <c r="BH44" s="601"/>
      <c r="BI44" s="601"/>
      <c r="BJ44" s="602"/>
      <c r="BK44" s="200"/>
      <c r="BL44" s="200"/>
      <c r="BN44" s="597" t="s">
        <v>170</v>
      </c>
      <c r="BO44" s="598"/>
      <c r="BP44" s="601" t="s">
        <v>248</v>
      </c>
      <c r="BQ44" s="601"/>
      <c r="BR44" s="601"/>
      <c r="BS44" s="601"/>
      <c r="BT44" s="601"/>
      <c r="BU44" s="601"/>
      <c r="BV44" s="601"/>
      <c r="BW44" s="601"/>
      <c r="BX44" s="601"/>
      <c r="BY44" s="602"/>
      <c r="BZ44" s="200"/>
      <c r="CA44" s="200"/>
      <c r="CC44" s="597" t="s">
        <v>170</v>
      </c>
      <c r="CD44" s="598"/>
      <c r="CE44" s="601" t="s">
        <v>248</v>
      </c>
      <c r="CF44" s="601"/>
      <c r="CG44" s="601"/>
      <c r="CH44" s="601"/>
      <c r="CI44" s="601"/>
      <c r="CJ44" s="601"/>
      <c r="CK44" s="601"/>
      <c r="CL44" s="601"/>
      <c r="CM44" s="601"/>
      <c r="CN44" s="602"/>
      <c r="CO44" s="200"/>
      <c r="CP44" s="200"/>
      <c r="CR44" s="597" t="s">
        <v>170</v>
      </c>
      <c r="CS44" s="598"/>
      <c r="CT44" s="601" t="s">
        <v>248</v>
      </c>
      <c r="CU44" s="601"/>
      <c r="CV44" s="601"/>
      <c r="CW44" s="601"/>
      <c r="CX44" s="601"/>
      <c r="CY44" s="601"/>
      <c r="CZ44" s="601"/>
      <c r="DA44" s="601"/>
      <c r="DB44" s="601"/>
      <c r="DC44" s="602"/>
    </row>
    <row r="45" spans="8:109" ht="15" thickBot="1" x14ac:dyDescent="0.35">
      <c r="H45" s="599"/>
      <c r="I45" s="600"/>
      <c r="J45" s="384">
        <v>10000</v>
      </c>
      <c r="K45" s="384">
        <v>20000</v>
      </c>
      <c r="L45" s="384">
        <v>30000</v>
      </c>
      <c r="M45" s="384">
        <v>40000</v>
      </c>
      <c r="N45" s="384">
        <v>50000</v>
      </c>
      <c r="O45" s="384">
        <v>60000</v>
      </c>
      <c r="P45" s="384">
        <v>70000</v>
      </c>
      <c r="Q45" s="384">
        <v>80000</v>
      </c>
      <c r="R45" s="384">
        <v>90000</v>
      </c>
      <c r="S45" s="385">
        <v>100000</v>
      </c>
      <c r="U45" s="599"/>
      <c r="V45" s="600"/>
      <c r="W45" s="384">
        <v>10000</v>
      </c>
      <c r="X45" s="384">
        <v>20000</v>
      </c>
      <c r="Y45" s="384">
        <v>30000</v>
      </c>
      <c r="Z45" s="384">
        <v>40000</v>
      </c>
      <c r="AA45" s="384">
        <v>50000</v>
      </c>
      <c r="AB45" s="384">
        <v>60000</v>
      </c>
      <c r="AC45" s="384">
        <v>70000</v>
      </c>
      <c r="AD45" s="384">
        <v>80000</v>
      </c>
      <c r="AE45" s="384">
        <v>90000</v>
      </c>
      <c r="AF45" s="385">
        <v>100000</v>
      </c>
      <c r="AG45" s="386"/>
      <c r="AH45" s="386"/>
      <c r="AJ45" s="599"/>
      <c r="AK45" s="600"/>
      <c r="AL45" s="384">
        <v>10000</v>
      </c>
      <c r="AM45" s="384">
        <v>20000</v>
      </c>
      <c r="AN45" s="384">
        <v>30000</v>
      </c>
      <c r="AO45" s="384">
        <v>40000</v>
      </c>
      <c r="AP45" s="384">
        <v>50000</v>
      </c>
      <c r="AQ45" s="384">
        <v>60000</v>
      </c>
      <c r="AR45" s="384">
        <v>70000</v>
      </c>
      <c r="AS45" s="384">
        <v>80000</v>
      </c>
      <c r="AT45" s="384">
        <v>90000</v>
      </c>
      <c r="AU45" s="385">
        <v>100000</v>
      </c>
      <c r="AV45" s="386"/>
      <c r="AW45" s="386"/>
      <c r="AY45" s="599"/>
      <c r="AZ45" s="600"/>
      <c r="BA45" s="384">
        <v>10000</v>
      </c>
      <c r="BB45" s="384">
        <v>20000</v>
      </c>
      <c r="BC45" s="384">
        <v>30000</v>
      </c>
      <c r="BD45" s="384">
        <v>40000</v>
      </c>
      <c r="BE45" s="384">
        <v>50000</v>
      </c>
      <c r="BF45" s="384">
        <v>60000</v>
      </c>
      <c r="BG45" s="384">
        <v>70000</v>
      </c>
      <c r="BH45" s="384">
        <v>80000</v>
      </c>
      <c r="BI45" s="384">
        <v>90000</v>
      </c>
      <c r="BJ45" s="385">
        <v>100000</v>
      </c>
      <c r="BK45" s="386"/>
      <c r="BL45" s="386"/>
      <c r="BN45" s="599"/>
      <c r="BO45" s="600"/>
      <c r="BP45" s="384">
        <v>10000</v>
      </c>
      <c r="BQ45" s="384">
        <v>20000</v>
      </c>
      <c r="BR45" s="384">
        <v>30000</v>
      </c>
      <c r="BS45" s="384">
        <v>40000</v>
      </c>
      <c r="BT45" s="384">
        <v>50000</v>
      </c>
      <c r="BU45" s="384">
        <v>60000</v>
      </c>
      <c r="BV45" s="384">
        <v>70000</v>
      </c>
      <c r="BW45" s="384">
        <v>80000</v>
      </c>
      <c r="BX45" s="384">
        <v>90000</v>
      </c>
      <c r="BY45" s="385">
        <v>100000</v>
      </c>
      <c r="BZ45" s="386"/>
      <c r="CA45" s="386"/>
      <c r="CC45" s="599"/>
      <c r="CD45" s="600"/>
      <c r="CE45" s="384">
        <v>10000</v>
      </c>
      <c r="CF45" s="384">
        <v>20000</v>
      </c>
      <c r="CG45" s="384">
        <v>30000</v>
      </c>
      <c r="CH45" s="384">
        <v>40000</v>
      </c>
      <c r="CI45" s="384">
        <v>50000</v>
      </c>
      <c r="CJ45" s="384">
        <v>60000</v>
      </c>
      <c r="CK45" s="384">
        <v>70000</v>
      </c>
      <c r="CL45" s="384">
        <v>80000</v>
      </c>
      <c r="CM45" s="384">
        <v>90000</v>
      </c>
      <c r="CN45" s="385">
        <v>100000</v>
      </c>
      <c r="CO45" s="386"/>
      <c r="CP45" s="386"/>
      <c r="CR45" s="599"/>
      <c r="CS45" s="600"/>
      <c r="CT45" s="384">
        <v>10000</v>
      </c>
      <c r="CU45" s="384">
        <v>20000</v>
      </c>
      <c r="CV45" s="384">
        <v>30000</v>
      </c>
      <c r="CW45" s="384">
        <v>40000</v>
      </c>
      <c r="CX45" s="384">
        <v>50000</v>
      </c>
      <c r="CY45" s="384">
        <v>60000</v>
      </c>
      <c r="CZ45" s="384">
        <v>70000</v>
      </c>
      <c r="DA45" s="384">
        <v>80000</v>
      </c>
      <c r="DB45" s="384">
        <v>90000</v>
      </c>
      <c r="DC45" s="385">
        <v>100000</v>
      </c>
    </row>
    <row r="46" spans="8:109" ht="43.2" x14ac:dyDescent="0.3">
      <c r="H46" s="201" t="s">
        <v>257</v>
      </c>
      <c r="I46" s="202" t="s">
        <v>249</v>
      </c>
      <c r="J46" s="595" t="s">
        <v>258</v>
      </c>
      <c r="K46" s="595"/>
      <c r="L46" s="595"/>
      <c r="M46" s="595"/>
      <c r="N46" s="595"/>
      <c r="O46" s="595"/>
      <c r="P46" s="595"/>
      <c r="Q46" s="595"/>
      <c r="R46" s="595"/>
      <c r="S46" s="596"/>
      <c r="U46" s="201" t="s">
        <v>257</v>
      </c>
      <c r="V46" s="202" t="s">
        <v>249</v>
      </c>
      <c r="W46" s="595" t="s">
        <v>258</v>
      </c>
      <c r="X46" s="595"/>
      <c r="Y46" s="595"/>
      <c r="Z46" s="595"/>
      <c r="AA46" s="595"/>
      <c r="AB46" s="595"/>
      <c r="AC46" s="595"/>
      <c r="AD46" s="595"/>
      <c r="AE46" s="595"/>
      <c r="AF46" s="596"/>
      <c r="AG46" s="200"/>
      <c r="AH46" s="175" t="s">
        <v>250</v>
      </c>
      <c r="AJ46" s="201" t="s">
        <v>257</v>
      </c>
      <c r="AK46" s="202" t="s">
        <v>249</v>
      </c>
      <c r="AL46" s="595" t="s">
        <v>258</v>
      </c>
      <c r="AM46" s="595"/>
      <c r="AN46" s="595"/>
      <c r="AO46" s="595"/>
      <c r="AP46" s="595"/>
      <c r="AQ46" s="595"/>
      <c r="AR46" s="595"/>
      <c r="AS46" s="595"/>
      <c r="AT46" s="595"/>
      <c r="AU46" s="596"/>
      <c r="AV46" s="200"/>
      <c r="AW46" s="175" t="s">
        <v>250</v>
      </c>
      <c r="AY46" s="201" t="s">
        <v>257</v>
      </c>
      <c r="AZ46" s="202" t="s">
        <v>249</v>
      </c>
      <c r="BA46" s="595" t="s">
        <v>258</v>
      </c>
      <c r="BB46" s="595"/>
      <c r="BC46" s="595"/>
      <c r="BD46" s="595"/>
      <c r="BE46" s="595"/>
      <c r="BF46" s="595"/>
      <c r="BG46" s="595"/>
      <c r="BH46" s="595"/>
      <c r="BI46" s="595"/>
      <c r="BJ46" s="596"/>
      <c r="BK46" s="200"/>
      <c r="BL46" s="175" t="s">
        <v>251</v>
      </c>
      <c r="BN46" s="201" t="s">
        <v>257</v>
      </c>
      <c r="BO46" s="202" t="s">
        <v>249</v>
      </c>
      <c r="BP46" s="595" t="s">
        <v>258</v>
      </c>
      <c r="BQ46" s="595"/>
      <c r="BR46" s="595"/>
      <c r="BS46" s="595"/>
      <c r="BT46" s="595"/>
      <c r="BU46" s="595"/>
      <c r="BV46" s="595"/>
      <c r="BW46" s="595"/>
      <c r="BX46" s="595"/>
      <c r="BY46" s="596"/>
      <c r="BZ46" s="200"/>
      <c r="CA46" s="175" t="s">
        <v>251</v>
      </c>
      <c r="CC46" s="201" t="s">
        <v>257</v>
      </c>
      <c r="CD46" s="202" t="s">
        <v>249</v>
      </c>
      <c r="CE46" s="595" t="s">
        <v>258</v>
      </c>
      <c r="CF46" s="595"/>
      <c r="CG46" s="595"/>
      <c r="CH46" s="595"/>
      <c r="CI46" s="595"/>
      <c r="CJ46" s="595"/>
      <c r="CK46" s="595"/>
      <c r="CL46" s="595"/>
      <c r="CM46" s="595"/>
      <c r="CN46" s="596"/>
      <c r="CO46" s="200"/>
      <c r="CP46" s="175" t="s">
        <v>252</v>
      </c>
      <c r="CR46" s="201" t="s">
        <v>257</v>
      </c>
      <c r="CS46" s="202" t="s">
        <v>249</v>
      </c>
      <c r="CT46" s="595" t="s">
        <v>258</v>
      </c>
      <c r="CU46" s="595"/>
      <c r="CV46" s="595"/>
      <c r="CW46" s="595"/>
      <c r="CX46" s="595"/>
      <c r="CY46" s="595"/>
      <c r="CZ46" s="595"/>
      <c r="DA46" s="595"/>
      <c r="DB46" s="595"/>
      <c r="DC46" s="596"/>
      <c r="DE46" s="175" t="s">
        <v>252</v>
      </c>
    </row>
    <row r="47" spans="8:109" x14ac:dyDescent="0.3">
      <c r="H47" s="387">
        <v>22</v>
      </c>
      <c r="I47" s="390" t="s">
        <v>224</v>
      </c>
      <c r="J47" s="391">
        <v>29</v>
      </c>
      <c r="K47" s="391">
        <v>41.599999999999994</v>
      </c>
      <c r="L47" s="391">
        <v>54.199999999999996</v>
      </c>
      <c r="M47" s="391">
        <v>66.8</v>
      </c>
      <c r="N47" s="391">
        <v>79.400000000000006</v>
      </c>
      <c r="O47" s="391">
        <v>92</v>
      </c>
      <c r="P47" s="391">
        <v>104.6</v>
      </c>
      <c r="Q47" s="391">
        <v>117.19999999999999</v>
      </c>
      <c r="R47" s="391">
        <v>129.80000000000001</v>
      </c>
      <c r="S47" s="392">
        <v>142.4</v>
      </c>
      <c r="U47" s="387">
        <v>22</v>
      </c>
      <c r="V47" s="390" t="s">
        <v>224</v>
      </c>
      <c r="W47" s="391">
        <v>29.916364087897314</v>
      </c>
      <c r="X47" s="391">
        <v>42.914508484707866</v>
      </c>
      <c r="Y47" s="391">
        <v>55.912652881518426</v>
      </c>
      <c r="Z47" s="391">
        <v>68.910797278328985</v>
      </c>
      <c r="AA47" s="391">
        <v>81.908941675139545</v>
      </c>
      <c r="AB47" s="391">
        <v>94.907086071950104</v>
      </c>
      <c r="AC47" s="391">
        <v>107.90523046876065</v>
      </c>
      <c r="AD47" s="391">
        <v>120.90337486557121</v>
      </c>
      <c r="AE47" s="391">
        <v>133.90151926238178</v>
      </c>
      <c r="AF47" s="391">
        <v>146.89966365919233</v>
      </c>
      <c r="AG47" s="393"/>
      <c r="AH47" s="408">
        <v>3.1598761651631641E-2</v>
      </c>
      <c r="AJ47" s="387">
        <v>22</v>
      </c>
      <c r="AK47" s="390" t="s">
        <v>224</v>
      </c>
      <c r="AL47" s="391">
        <v>30.46618254063571</v>
      </c>
      <c r="AM47" s="391">
        <v>43.703213575532601</v>
      </c>
      <c r="AN47" s="391">
        <v>56.940244610429495</v>
      </c>
      <c r="AO47" s="391">
        <v>70.17727564532639</v>
      </c>
      <c r="AP47" s="391">
        <v>83.414306680223291</v>
      </c>
      <c r="AQ47" s="391">
        <v>96.651337715120178</v>
      </c>
      <c r="AR47" s="391">
        <v>109.88836875001707</v>
      </c>
      <c r="AS47" s="391">
        <v>123.12539978491395</v>
      </c>
      <c r="AT47" s="391">
        <v>136.36243081981087</v>
      </c>
      <c r="AU47" s="391">
        <v>149.59946185470776</v>
      </c>
      <c r="AV47" s="393"/>
      <c r="AW47" s="408">
        <v>5.0558018642610621E-2</v>
      </c>
      <c r="AY47" s="387">
        <v>22</v>
      </c>
      <c r="AZ47" s="390" t="s">
        <v>224</v>
      </c>
      <c r="BA47" s="391">
        <v>29.916364087897314</v>
      </c>
      <c r="BB47" s="391">
        <v>42.914508484707866</v>
      </c>
      <c r="BC47" s="391">
        <v>55.912652881518426</v>
      </c>
      <c r="BD47" s="391">
        <v>68.910797278328985</v>
      </c>
      <c r="BE47" s="391">
        <v>81.908941675139545</v>
      </c>
      <c r="BF47" s="391">
        <v>94.907086071950104</v>
      </c>
      <c r="BG47" s="391">
        <v>107.90523046876065</v>
      </c>
      <c r="BH47" s="391">
        <v>120.90337486557121</v>
      </c>
      <c r="BI47" s="391">
        <v>133.90151926238178</v>
      </c>
      <c r="BJ47" s="391">
        <v>146.89966365919233</v>
      </c>
      <c r="BK47" s="393"/>
      <c r="BL47" s="408">
        <v>3.1598761651631641E-2</v>
      </c>
      <c r="BN47" s="387">
        <v>22</v>
      </c>
      <c r="BO47" s="390" t="s">
        <v>224</v>
      </c>
      <c r="BP47" s="391">
        <v>30.46618254063571</v>
      </c>
      <c r="BQ47" s="391">
        <v>43.703213575532601</v>
      </c>
      <c r="BR47" s="391">
        <v>56.940244610429495</v>
      </c>
      <c r="BS47" s="391">
        <v>70.17727564532639</v>
      </c>
      <c r="BT47" s="391">
        <v>83.414306680223291</v>
      </c>
      <c r="BU47" s="391">
        <v>96.651337715120178</v>
      </c>
      <c r="BV47" s="391">
        <v>109.88836875001707</v>
      </c>
      <c r="BW47" s="391">
        <v>123.12539978491395</v>
      </c>
      <c r="BX47" s="391">
        <v>136.36243081981087</v>
      </c>
      <c r="BY47" s="391">
        <v>149.59946185470776</v>
      </c>
      <c r="BZ47" s="393"/>
      <c r="CA47" s="408">
        <v>5.0558018642610621E-2</v>
      </c>
      <c r="CC47" s="387">
        <v>22</v>
      </c>
      <c r="CD47" s="390" t="s">
        <v>224</v>
      </c>
      <c r="CE47" s="391">
        <v>30.832728175794635</v>
      </c>
      <c r="CF47" s="391">
        <v>44.229016969415746</v>
      </c>
      <c r="CG47" s="391">
        <v>57.62530576303687</v>
      </c>
      <c r="CH47" s="391">
        <v>71.021594556657988</v>
      </c>
      <c r="CI47" s="391">
        <v>84.417883350279112</v>
      </c>
      <c r="CJ47" s="391">
        <v>97.814172143900223</v>
      </c>
      <c r="CK47" s="391">
        <v>111.21046093752133</v>
      </c>
      <c r="CL47" s="391">
        <v>124.60674973114246</v>
      </c>
      <c r="CM47" s="391">
        <v>138.00303852476358</v>
      </c>
      <c r="CN47" s="391">
        <v>151.39932731838471</v>
      </c>
      <c r="CO47" s="393"/>
      <c r="CP47" s="397">
        <v>6.3197523303263281E-2</v>
      </c>
      <c r="CR47" s="387">
        <v>22</v>
      </c>
      <c r="CS47" s="390" t="s">
        <v>224</v>
      </c>
      <c r="CT47" s="391">
        <v>31.932365081271421</v>
      </c>
      <c r="CU47" s="391">
        <v>45.806427151065201</v>
      </c>
      <c r="CV47" s="391">
        <v>59.680489220858995</v>
      </c>
      <c r="CW47" s="391">
        <v>73.554551290652782</v>
      </c>
      <c r="CX47" s="391">
        <v>87.428613360446576</v>
      </c>
      <c r="CY47" s="391">
        <v>101.30267543024036</v>
      </c>
      <c r="CZ47" s="391">
        <v>115.17673750003415</v>
      </c>
      <c r="DA47" s="391">
        <v>129.05079956982792</v>
      </c>
      <c r="DB47" s="391">
        <v>142.92486163962175</v>
      </c>
      <c r="DC47" s="391">
        <v>156.79892370941553</v>
      </c>
      <c r="DE47" s="397">
        <v>0.10111603728522124</v>
      </c>
    </row>
    <row r="48" spans="8:109" x14ac:dyDescent="0.3">
      <c r="H48" s="387">
        <v>30</v>
      </c>
      <c r="I48" s="390" t="s">
        <v>238</v>
      </c>
      <c r="J48" s="391">
        <v>39.199999999999996</v>
      </c>
      <c r="K48" s="391">
        <v>61.999999999999993</v>
      </c>
      <c r="L48" s="391">
        <v>84.8</v>
      </c>
      <c r="M48" s="391">
        <v>107.6</v>
      </c>
      <c r="N48" s="391">
        <v>130.4</v>
      </c>
      <c r="O48" s="391">
        <v>153.19999999999999</v>
      </c>
      <c r="P48" s="391">
        <v>176</v>
      </c>
      <c r="Q48" s="391">
        <v>198.8</v>
      </c>
      <c r="R48" s="391">
        <v>221.60000000000002</v>
      </c>
      <c r="S48" s="392">
        <v>244.39999999999998</v>
      </c>
      <c r="U48" s="387">
        <v>30</v>
      </c>
      <c r="V48" s="390" t="s">
        <v>238</v>
      </c>
      <c r="W48" s="391">
        <v>40.438641735797745</v>
      </c>
      <c r="X48" s="391">
        <v>63.959076214782144</v>
      </c>
      <c r="Y48" s="391">
        <v>87.479510693766557</v>
      </c>
      <c r="Z48" s="391">
        <v>110.99994517275096</v>
      </c>
      <c r="AA48" s="391">
        <v>134.52037965173537</v>
      </c>
      <c r="AB48" s="391">
        <v>158.04081413071975</v>
      </c>
      <c r="AC48" s="391">
        <v>181.56124860970417</v>
      </c>
      <c r="AD48" s="391">
        <v>205.08168308868858</v>
      </c>
      <c r="AE48" s="391">
        <v>228.60211756767299</v>
      </c>
      <c r="AF48" s="391">
        <v>252.12255204665738</v>
      </c>
      <c r="AG48" s="393"/>
      <c r="AH48" s="395">
        <v>3.1598003464228176E-2</v>
      </c>
      <c r="AJ48" s="387">
        <v>30</v>
      </c>
      <c r="AK48" s="390" t="s">
        <v>238</v>
      </c>
      <c r="AL48" s="391">
        <v>41.181826777276385</v>
      </c>
      <c r="AM48" s="391">
        <v>65.134521943651421</v>
      </c>
      <c r="AN48" s="391">
        <v>89.087217110026472</v>
      </c>
      <c r="AO48" s="391">
        <v>113.03991227640151</v>
      </c>
      <c r="AP48" s="391">
        <v>136.99260744277655</v>
      </c>
      <c r="AQ48" s="391">
        <v>160.94530260915158</v>
      </c>
      <c r="AR48" s="391">
        <v>184.89799777552665</v>
      </c>
      <c r="AS48" s="391">
        <v>208.85069294190168</v>
      </c>
      <c r="AT48" s="391">
        <v>232.80338810827675</v>
      </c>
      <c r="AU48" s="391">
        <v>256.75608327465176</v>
      </c>
      <c r="AV48" s="393"/>
      <c r="AW48" s="395">
        <v>5.0556805542765079E-2</v>
      </c>
      <c r="AY48" s="387">
        <v>30</v>
      </c>
      <c r="AZ48" s="390" t="s">
        <v>238</v>
      </c>
      <c r="BA48" s="391">
        <v>40.438641735797745</v>
      </c>
      <c r="BB48" s="391">
        <v>63.959076214782144</v>
      </c>
      <c r="BC48" s="391">
        <v>87.479510693766557</v>
      </c>
      <c r="BD48" s="391">
        <v>110.99994517275096</v>
      </c>
      <c r="BE48" s="391">
        <v>134.52037965173537</v>
      </c>
      <c r="BF48" s="391">
        <v>158.04081413071975</v>
      </c>
      <c r="BG48" s="391">
        <v>181.56124860970417</v>
      </c>
      <c r="BH48" s="391">
        <v>205.08168308868858</v>
      </c>
      <c r="BI48" s="391">
        <v>228.60211756767299</v>
      </c>
      <c r="BJ48" s="391">
        <v>252.12255204665738</v>
      </c>
      <c r="BK48" s="393"/>
      <c r="BL48" s="395">
        <v>3.1598003464228176E-2</v>
      </c>
      <c r="BN48" s="387">
        <v>30</v>
      </c>
      <c r="BO48" s="390" t="s">
        <v>238</v>
      </c>
      <c r="BP48" s="391">
        <v>41.181826777276385</v>
      </c>
      <c r="BQ48" s="391">
        <v>65.134521943651421</v>
      </c>
      <c r="BR48" s="391">
        <v>89.087217110026472</v>
      </c>
      <c r="BS48" s="391">
        <v>113.03991227640151</v>
      </c>
      <c r="BT48" s="391">
        <v>136.99260744277655</v>
      </c>
      <c r="BU48" s="391">
        <v>160.94530260915158</v>
      </c>
      <c r="BV48" s="391">
        <v>184.89799777552665</v>
      </c>
      <c r="BW48" s="391">
        <v>208.85069294190168</v>
      </c>
      <c r="BX48" s="391">
        <v>232.80338810827675</v>
      </c>
      <c r="BY48" s="391">
        <v>256.75608327465176</v>
      </c>
      <c r="BZ48" s="393"/>
      <c r="CA48" s="395">
        <v>5.0556805542765072E-2</v>
      </c>
      <c r="CC48" s="387">
        <v>30</v>
      </c>
      <c r="CD48" s="390" t="s">
        <v>238</v>
      </c>
      <c r="CE48" s="391">
        <v>41.67728347159548</v>
      </c>
      <c r="CF48" s="391">
        <v>65.918152429564287</v>
      </c>
      <c r="CG48" s="391">
        <v>90.159021387533087</v>
      </c>
      <c r="CH48" s="391">
        <v>114.39989034550189</v>
      </c>
      <c r="CI48" s="391">
        <v>138.6407593034707</v>
      </c>
      <c r="CJ48" s="391">
        <v>162.88162826143949</v>
      </c>
      <c r="CK48" s="391">
        <v>187.1224972194083</v>
      </c>
      <c r="CL48" s="391">
        <v>211.36336617737712</v>
      </c>
      <c r="CM48" s="391">
        <v>235.60423513534593</v>
      </c>
      <c r="CN48" s="391">
        <v>259.84510409331472</v>
      </c>
      <c r="CO48" s="393"/>
      <c r="CP48" s="397">
        <v>6.3196006928456352E-2</v>
      </c>
      <c r="CR48" s="387">
        <v>30</v>
      </c>
      <c r="CS48" s="390" t="s">
        <v>238</v>
      </c>
      <c r="CT48" s="391">
        <v>43.163653554552781</v>
      </c>
      <c r="CU48" s="391">
        <v>68.269043887302857</v>
      </c>
      <c r="CV48" s="391">
        <v>93.374434220052962</v>
      </c>
      <c r="CW48" s="391">
        <v>118.47982455280304</v>
      </c>
      <c r="CX48" s="391">
        <v>143.58521488555314</v>
      </c>
      <c r="CY48" s="391">
        <v>168.6906052183032</v>
      </c>
      <c r="CZ48" s="391">
        <v>193.79599555105332</v>
      </c>
      <c r="DA48" s="391">
        <v>218.90138588380341</v>
      </c>
      <c r="DB48" s="391">
        <v>244.0067762165535</v>
      </c>
      <c r="DC48" s="391">
        <v>269.11216654930354</v>
      </c>
      <c r="DE48" s="397">
        <v>0.10111361108553016</v>
      </c>
    </row>
    <row r="49" spans="8:109" x14ac:dyDescent="0.3">
      <c r="H49" s="387">
        <v>40</v>
      </c>
      <c r="I49" s="390" t="s">
        <v>259</v>
      </c>
      <c r="J49" s="391">
        <v>48.9</v>
      </c>
      <c r="K49" s="391">
        <v>81.400000000000006</v>
      </c>
      <c r="L49" s="391">
        <v>113.9</v>
      </c>
      <c r="M49" s="391">
        <v>146.4</v>
      </c>
      <c r="N49" s="391">
        <v>178.9</v>
      </c>
      <c r="O49" s="391">
        <v>211.4</v>
      </c>
      <c r="P49" s="391">
        <v>243.9</v>
      </c>
      <c r="Q49" s="391">
        <v>276.39999999999998</v>
      </c>
      <c r="R49" s="391">
        <v>308.89999999999998</v>
      </c>
      <c r="S49" s="392">
        <v>341.4</v>
      </c>
      <c r="U49" s="387">
        <v>40</v>
      </c>
      <c r="V49" s="390" t="s">
        <v>259</v>
      </c>
      <c r="W49" s="391">
        <v>50.637349826127107</v>
      </c>
      <c r="X49" s="391">
        <v>84.292030180915063</v>
      </c>
      <c r="Y49" s="391">
        <v>117.94671053570302</v>
      </c>
      <c r="Z49" s="391">
        <v>151.60139089049096</v>
      </c>
      <c r="AA49" s="391">
        <v>185.25607124527892</v>
      </c>
      <c r="AB49" s="391">
        <v>218.91075160006687</v>
      </c>
      <c r="AC49" s="391">
        <v>252.56543195485483</v>
      </c>
      <c r="AD49" s="391">
        <v>286.22011230964279</v>
      </c>
      <c r="AE49" s="391">
        <v>319.87479266443074</v>
      </c>
      <c r="AF49" s="391">
        <v>353.52947301921864</v>
      </c>
      <c r="AG49" s="393"/>
      <c r="AH49" s="395">
        <v>3.5528626301167904E-2</v>
      </c>
      <c r="AJ49" s="387">
        <v>40</v>
      </c>
      <c r="AK49" s="390" t="s">
        <v>259</v>
      </c>
      <c r="AL49" s="391">
        <v>51.679759721803379</v>
      </c>
      <c r="AM49" s="391">
        <v>86.027248289464126</v>
      </c>
      <c r="AN49" s="391">
        <v>120.37473685712486</v>
      </c>
      <c r="AO49" s="391">
        <v>154.72222542478559</v>
      </c>
      <c r="AP49" s="391">
        <v>189.06971399244631</v>
      </c>
      <c r="AQ49" s="391">
        <v>223.41720256010706</v>
      </c>
      <c r="AR49" s="391">
        <v>257.76469112776778</v>
      </c>
      <c r="AS49" s="391">
        <v>292.11217969542849</v>
      </c>
      <c r="AT49" s="391">
        <v>326.45966826308921</v>
      </c>
      <c r="AU49" s="391">
        <v>360.80715683074999</v>
      </c>
      <c r="AV49" s="393"/>
      <c r="AW49" s="395">
        <v>5.6845802081868652E-2</v>
      </c>
      <c r="AY49" s="387">
        <v>40</v>
      </c>
      <c r="AZ49" s="390" t="s">
        <v>259</v>
      </c>
      <c r="BA49" s="391">
        <v>51.988621913114862</v>
      </c>
      <c r="BB49" s="391">
        <v>86.541386988293453</v>
      </c>
      <c r="BC49" s="391">
        <v>121.09415206347205</v>
      </c>
      <c r="BD49" s="391">
        <v>155.64691713865062</v>
      </c>
      <c r="BE49" s="391">
        <v>190.19968221382922</v>
      </c>
      <c r="BF49" s="391">
        <v>224.75244728900782</v>
      </c>
      <c r="BG49" s="391">
        <v>259.30521236418639</v>
      </c>
      <c r="BH49" s="391">
        <v>293.85797743936496</v>
      </c>
      <c r="BI49" s="391">
        <v>328.41074251454353</v>
      </c>
      <c r="BJ49" s="391">
        <v>362.96350758972216</v>
      </c>
      <c r="BK49" s="393"/>
      <c r="BL49" s="395">
        <v>6.3162002313187374E-2</v>
      </c>
      <c r="BN49" s="387">
        <v>40</v>
      </c>
      <c r="BO49" s="390" t="s">
        <v>259</v>
      </c>
      <c r="BP49" s="391">
        <v>53.919010608811647</v>
      </c>
      <c r="BQ49" s="391">
        <v>89.754753855976858</v>
      </c>
      <c r="BR49" s="391">
        <v>125.59049710314207</v>
      </c>
      <c r="BS49" s="391">
        <v>161.42624035030727</v>
      </c>
      <c r="BT49" s="391">
        <v>197.26198359747249</v>
      </c>
      <c r="BU49" s="391">
        <v>233.09772684463769</v>
      </c>
      <c r="BV49" s="391">
        <v>268.93347009180292</v>
      </c>
      <c r="BW49" s="391">
        <v>304.76921333896809</v>
      </c>
      <c r="BX49" s="391">
        <v>340.60495658613326</v>
      </c>
      <c r="BY49" s="391">
        <v>376.44069983329848</v>
      </c>
      <c r="BZ49" s="393"/>
      <c r="CA49" s="395">
        <v>0.10263825375892949</v>
      </c>
      <c r="CC49" s="387">
        <v>40</v>
      </c>
      <c r="CD49" s="390" t="s">
        <v>259</v>
      </c>
      <c r="CE49" s="391">
        <v>53.72597173924197</v>
      </c>
      <c r="CF49" s="391">
        <v>89.433417169208525</v>
      </c>
      <c r="CG49" s="391">
        <v>125.14086259917507</v>
      </c>
      <c r="CH49" s="391">
        <v>160.84830802914161</v>
      </c>
      <c r="CI49" s="391">
        <v>196.55575345910816</v>
      </c>
      <c r="CJ49" s="391">
        <v>232.26319888907469</v>
      </c>
      <c r="CK49" s="391">
        <v>267.97064431904124</v>
      </c>
      <c r="CL49" s="391">
        <v>303.67808974900777</v>
      </c>
      <c r="CM49" s="391">
        <v>339.38553517897429</v>
      </c>
      <c r="CN49" s="391">
        <v>375.09298060894082</v>
      </c>
      <c r="CO49" s="393"/>
      <c r="CP49" s="397">
        <v>9.8690628614355277E-2</v>
      </c>
      <c r="CR49" s="387">
        <v>40</v>
      </c>
      <c r="CS49" s="390" t="s">
        <v>259</v>
      </c>
      <c r="CT49" s="391">
        <v>56.698770330615027</v>
      </c>
      <c r="CU49" s="391">
        <v>94.382002145440978</v>
      </c>
      <c r="CV49" s="391">
        <v>132.06523396026691</v>
      </c>
      <c r="CW49" s="391">
        <v>169.74846577509285</v>
      </c>
      <c r="CX49" s="391">
        <v>207.4316975899188</v>
      </c>
      <c r="CY49" s="391">
        <v>245.11492940474474</v>
      </c>
      <c r="CZ49" s="391">
        <v>282.79816121957066</v>
      </c>
      <c r="DA49" s="391">
        <v>320.4813930343966</v>
      </c>
      <c r="DB49" s="391">
        <v>358.16462484922255</v>
      </c>
      <c r="DC49" s="391">
        <v>395.84785666404849</v>
      </c>
      <c r="DE49" s="397">
        <v>0.15948405584079814</v>
      </c>
    </row>
    <row r="50" spans="8:109" x14ac:dyDescent="0.3">
      <c r="H50" s="387">
        <v>48</v>
      </c>
      <c r="I50" s="390" t="s">
        <v>227</v>
      </c>
      <c r="J50" s="391">
        <v>49.8</v>
      </c>
      <c r="K50" s="391">
        <v>83.199999999999989</v>
      </c>
      <c r="L50" s="391">
        <v>116.6</v>
      </c>
      <c r="M50" s="391">
        <v>150</v>
      </c>
      <c r="N50" s="391">
        <v>183.4</v>
      </c>
      <c r="O50" s="391">
        <v>216.8</v>
      </c>
      <c r="P50" s="391">
        <v>250.20000000000002</v>
      </c>
      <c r="Q50" s="391">
        <v>283.59999999999997</v>
      </c>
      <c r="R50" s="391">
        <v>317</v>
      </c>
      <c r="S50" s="392">
        <v>350.4</v>
      </c>
      <c r="U50" s="387">
        <v>48</v>
      </c>
      <c r="V50" s="390" t="s">
        <v>227</v>
      </c>
      <c r="W50" s="391">
        <v>51.754181719987244</v>
      </c>
      <c r="X50" s="391">
        <v>86.464817652669439</v>
      </c>
      <c r="Y50" s="391">
        <v>121.17545358535166</v>
      </c>
      <c r="Z50" s="391">
        <v>155.88608951803388</v>
      </c>
      <c r="AA50" s="391">
        <v>190.59672545071609</v>
      </c>
      <c r="AB50" s="391">
        <v>225.3073613833983</v>
      </c>
      <c r="AC50" s="391">
        <v>260.01799731608054</v>
      </c>
      <c r="AD50" s="391">
        <v>294.72863324876266</v>
      </c>
      <c r="AE50" s="391">
        <v>329.4392691814449</v>
      </c>
      <c r="AF50" s="391">
        <v>364.14990511412714</v>
      </c>
      <c r="AG50" s="393"/>
      <c r="AH50" s="395">
        <v>3.9240596786892533E-2</v>
      </c>
      <c r="AJ50" s="387">
        <v>48</v>
      </c>
      <c r="AK50" s="390" t="s">
        <v>227</v>
      </c>
      <c r="AL50" s="391">
        <v>53.083025289578579</v>
      </c>
      <c r="AM50" s="391">
        <v>88.684893656484689</v>
      </c>
      <c r="AN50" s="391">
        <v>124.28676202339081</v>
      </c>
      <c r="AO50" s="391">
        <v>159.88863039029692</v>
      </c>
      <c r="AP50" s="391">
        <v>195.49049875720306</v>
      </c>
      <c r="AQ50" s="391">
        <v>231.09236712410916</v>
      </c>
      <c r="AR50" s="391">
        <v>266.69423549101526</v>
      </c>
      <c r="AS50" s="391">
        <v>302.29610385792137</v>
      </c>
      <c r="AT50" s="391">
        <v>337.89797222482753</v>
      </c>
      <c r="AU50" s="391">
        <v>373.49984059173357</v>
      </c>
      <c r="AV50" s="393"/>
      <c r="AW50" s="395">
        <v>6.5924202601979467E-2</v>
      </c>
      <c r="AY50" s="387">
        <v>48</v>
      </c>
      <c r="AZ50" s="390" t="s">
        <v>227</v>
      </c>
      <c r="BA50" s="391">
        <v>56.053381503959187</v>
      </c>
      <c r="BB50" s="391">
        <v>93.647416488542248</v>
      </c>
      <c r="BC50" s="391">
        <v>131.24145147312532</v>
      </c>
      <c r="BD50" s="391">
        <v>168.83548645770841</v>
      </c>
      <c r="BE50" s="391">
        <v>206.42952144229147</v>
      </c>
      <c r="BF50" s="391">
        <v>244.02355642687456</v>
      </c>
      <c r="BG50" s="391">
        <v>281.61759141145762</v>
      </c>
      <c r="BH50" s="391">
        <v>319.21162639604063</v>
      </c>
      <c r="BI50" s="391">
        <v>356.80566138062375</v>
      </c>
      <c r="BJ50" s="391">
        <v>394.39969636520681</v>
      </c>
      <c r="BK50" s="393"/>
      <c r="BL50" s="395">
        <v>0.12556990971805612</v>
      </c>
      <c r="BN50" s="387">
        <v>48</v>
      </c>
      <c r="BO50" s="390" t="s">
        <v>227</v>
      </c>
      <c r="BP50" s="391">
        <v>59.961744943933695</v>
      </c>
      <c r="BQ50" s="391">
        <v>100.17705179388118</v>
      </c>
      <c r="BR50" s="391">
        <v>140.39235864382869</v>
      </c>
      <c r="BS50" s="391">
        <v>180.60766549377618</v>
      </c>
      <c r="BT50" s="391">
        <v>220.82297234372371</v>
      </c>
      <c r="BU50" s="391">
        <v>261.0382791936712</v>
      </c>
      <c r="BV50" s="391">
        <v>301.25358604361872</v>
      </c>
      <c r="BW50" s="391">
        <v>341.46889289356614</v>
      </c>
      <c r="BX50" s="391">
        <v>381.68419974351366</v>
      </c>
      <c r="BY50" s="391">
        <v>421.89950659346118</v>
      </c>
      <c r="BZ50" s="393"/>
      <c r="CA50" s="395">
        <v>0.2040511032918412</v>
      </c>
      <c r="CC50" s="387">
        <v>48</v>
      </c>
      <c r="CD50" s="390" t="s">
        <v>227</v>
      </c>
      <c r="CE50" s="391">
        <v>58.007563223946448</v>
      </c>
      <c r="CF50" s="391">
        <v>96.912234141211727</v>
      </c>
      <c r="CG50" s="391">
        <v>135.81690505847703</v>
      </c>
      <c r="CH50" s="391">
        <v>174.72157597574233</v>
      </c>
      <c r="CI50" s="391">
        <v>213.62624689300762</v>
      </c>
      <c r="CJ50" s="391">
        <v>252.53091781027291</v>
      </c>
      <c r="CK50" s="391">
        <v>291.43558872753817</v>
      </c>
      <c r="CL50" s="391">
        <v>330.34025964480344</v>
      </c>
      <c r="CM50" s="391">
        <v>369.24493056206876</v>
      </c>
      <c r="CN50" s="391">
        <v>408.14960147933402</v>
      </c>
      <c r="CO50" s="393"/>
      <c r="CP50" s="397">
        <v>0.16481050650494866</v>
      </c>
      <c r="CR50" s="387">
        <v>48</v>
      </c>
      <c r="CS50" s="390" t="s">
        <v>227</v>
      </c>
      <c r="CT50" s="391">
        <v>63.244770233512263</v>
      </c>
      <c r="CU50" s="391">
        <v>105.66194545036586</v>
      </c>
      <c r="CV50" s="391">
        <v>148.07912066721948</v>
      </c>
      <c r="CW50" s="391">
        <v>190.49629588407308</v>
      </c>
      <c r="CX50" s="391">
        <v>232.9134711009267</v>
      </c>
      <c r="CY50" s="391">
        <v>275.33064631778029</v>
      </c>
      <c r="CZ50" s="391">
        <v>317.74782153463394</v>
      </c>
      <c r="DA50" s="391">
        <v>360.16499675148748</v>
      </c>
      <c r="DB50" s="391">
        <v>402.58217196834113</v>
      </c>
      <c r="DC50" s="391">
        <v>444.99934718519472</v>
      </c>
      <c r="DE50" s="397">
        <v>0.26997530589382068</v>
      </c>
    </row>
    <row r="51" spans="8:109" x14ac:dyDescent="0.3">
      <c r="H51" s="387">
        <v>53</v>
      </c>
      <c r="I51" s="390" t="s">
        <v>228</v>
      </c>
      <c r="J51" s="391">
        <v>50.4</v>
      </c>
      <c r="K51" s="391">
        <v>84.4</v>
      </c>
      <c r="L51" s="391">
        <v>118.4</v>
      </c>
      <c r="M51" s="391">
        <v>152.4</v>
      </c>
      <c r="N51" s="391">
        <v>186.4</v>
      </c>
      <c r="O51" s="391">
        <v>220.4</v>
      </c>
      <c r="P51" s="391">
        <v>254.4</v>
      </c>
      <c r="Q51" s="391">
        <v>288.39999999999998</v>
      </c>
      <c r="R51" s="391">
        <v>322.39999999999998</v>
      </c>
      <c r="S51" s="392">
        <v>356.4</v>
      </c>
      <c r="U51" s="387">
        <v>53</v>
      </c>
      <c r="V51" s="390" t="s">
        <v>228</v>
      </c>
      <c r="W51" s="391">
        <v>52.730659534404928</v>
      </c>
      <c r="X51" s="391">
        <v>88.302929855233657</v>
      </c>
      <c r="Y51" s="391">
        <v>123.87520017606238</v>
      </c>
      <c r="Z51" s="391">
        <v>159.4474704968911</v>
      </c>
      <c r="AA51" s="391">
        <v>195.01974081771982</v>
      </c>
      <c r="AB51" s="391">
        <v>230.59201113854854</v>
      </c>
      <c r="AC51" s="391">
        <v>266.16428145937726</v>
      </c>
      <c r="AD51" s="391">
        <v>301.73655178020596</v>
      </c>
      <c r="AE51" s="391">
        <v>337.30882210103471</v>
      </c>
      <c r="AF51" s="391">
        <v>372.8810924218634</v>
      </c>
      <c r="AG51" s="393"/>
      <c r="AH51" s="395">
        <v>4.6243244730256615E-2</v>
      </c>
      <c r="AJ51" s="387">
        <v>53</v>
      </c>
      <c r="AK51" s="390" t="s">
        <v>228</v>
      </c>
      <c r="AL51" s="391">
        <v>54.383309022437516</v>
      </c>
      <c r="AM51" s="391">
        <v>91.070461934399347</v>
      </c>
      <c r="AN51" s="391">
        <v>127.75761484636116</v>
      </c>
      <c r="AO51" s="391">
        <v>164.44476775832297</v>
      </c>
      <c r="AP51" s="391">
        <v>201.13192067028479</v>
      </c>
      <c r="AQ51" s="391">
        <v>237.8190735822466</v>
      </c>
      <c r="AR51" s="391">
        <v>274.50622649420842</v>
      </c>
      <c r="AS51" s="391">
        <v>311.19337940617021</v>
      </c>
      <c r="AT51" s="391">
        <v>347.88053231813205</v>
      </c>
      <c r="AU51" s="391">
        <v>384.56768523009384</v>
      </c>
      <c r="AV51" s="393"/>
      <c r="AW51" s="395">
        <v>7.9033909175347666E-2</v>
      </c>
      <c r="AY51" s="387">
        <v>53</v>
      </c>
      <c r="AZ51" s="390" t="s">
        <v>228</v>
      </c>
      <c r="BA51" s="391">
        <v>60.57015069558517</v>
      </c>
      <c r="BB51" s="391">
        <v>101.43096664101962</v>
      </c>
      <c r="BC51" s="391">
        <v>142.29178258645405</v>
      </c>
      <c r="BD51" s="391">
        <v>183.15259853188849</v>
      </c>
      <c r="BE51" s="391">
        <v>224.01341447732293</v>
      </c>
      <c r="BF51" s="391">
        <v>264.87423042275736</v>
      </c>
      <c r="BG51" s="391">
        <v>305.73504636819183</v>
      </c>
      <c r="BH51" s="391">
        <v>346.59586231362624</v>
      </c>
      <c r="BI51" s="391">
        <v>387.45667825906065</v>
      </c>
      <c r="BJ51" s="391">
        <v>428.31749420449512</v>
      </c>
      <c r="BK51" s="393"/>
      <c r="BL51" s="395">
        <v>0.20178870427748341</v>
      </c>
      <c r="BN51" s="387">
        <v>53</v>
      </c>
      <c r="BO51" s="390" t="s">
        <v>228</v>
      </c>
      <c r="BP51" s="391">
        <v>66.92649488032589</v>
      </c>
      <c r="BQ51" s="391">
        <v>112.07532079165685</v>
      </c>
      <c r="BR51" s="391">
        <v>157.22414670298781</v>
      </c>
      <c r="BS51" s="391">
        <v>202.37297261431877</v>
      </c>
      <c r="BT51" s="391">
        <v>247.52179852564973</v>
      </c>
      <c r="BU51" s="391">
        <v>292.67062443698069</v>
      </c>
      <c r="BV51" s="391">
        <v>337.81945034831165</v>
      </c>
      <c r="BW51" s="391">
        <v>382.96827625964255</v>
      </c>
      <c r="BX51" s="391">
        <v>428.11710217097351</v>
      </c>
      <c r="BY51" s="391">
        <v>473.26592808230447</v>
      </c>
      <c r="BZ51" s="393"/>
      <c r="CA51" s="395">
        <v>0.32790664445091056</v>
      </c>
      <c r="CC51" s="387">
        <v>53</v>
      </c>
      <c r="CD51" s="390" t="s">
        <v>228</v>
      </c>
      <c r="CE51" s="391">
        <v>62.9008102299901</v>
      </c>
      <c r="CF51" s="391">
        <v>105.33389649625327</v>
      </c>
      <c r="CG51" s="391">
        <v>147.76698276251642</v>
      </c>
      <c r="CH51" s="391">
        <v>190.20006902877958</v>
      </c>
      <c r="CI51" s="391">
        <v>232.63315529504274</v>
      </c>
      <c r="CJ51" s="391">
        <v>275.0662415613059</v>
      </c>
      <c r="CK51" s="391">
        <v>317.49932782756906</v>
      </c>
      <c r="CL51" s="391">
        <v>359.93241409383222</v>
      </c>
      <c r="CM51" s="391">
        <v>402.36550036009538</v>
      </c>
      <c r="CN51" s="391">
        <v>444.79858662635854</v>
      </c>
      <c r="CO51" s="393"/>
      <c r="CP51" s="397">
        <v>0.24803194900774003</v>
      </c>
      <c r="CR51" s="387">
        <v>53</v>
      </c>
      <c r="CS51" s="390" t="s">
        <v>228</v>
      </c>
      <c r="CT51" s="391">
        <v>70.909803902763414</v>
      </c>
      <c r="CU51" s="391">
        <v>118.74578272605621</v>
      </c>
      <c r="CV51" s="391">
        <v>166.58176154934898</v>
      </c>
      <c r="CW51" s="391">
        <v>214.41774037264176</v>
      </c>
      <c r="CX51" s="391">
        <v>262.25371919593454</v>
      </c>
      <c r="CY51" s="391">
        <v>310.08969801922734</v>
      </c>
      <c r="CZ51" s="391">
        <v>357.92567684252009</v>
      </c>
      <c r="DA51" s="391">
        <v>405.76165566581284</v>
      </c>
      <c r="DB51" s="391">
        <v>453.59763448910564</v>
      </c>
      <c r="DC51" s="391">
        <v>501.43361331239839</v>
      </c>
      <c r="DE51" s="397">
        <v>0.40694055362625825</v>
      </c>
    </row>
    <row r="52" spans="8:109" x14ac:dyDescent="0.3">
      <c r="H52" s="387">
        <v>58</v>
      </c>
      <c r="I52" s="390" t="s">
        <v>229</v>
      </c>
      <c r="J52" s="391">
        <v>52.8</v>
      </c>
      <c r="K52" s="391">
        <v>89.199999999999989</v>
      </c>
      <c r="L52" s="391">
        <v>125.6</v>
      </c>
      <c r="M52" s="391">
        <v>162</v>
      </c>
      <c r="N52" s="391">
        <v>198.4</v>
      </c>
      <c r="O52" s="391">
        <v>234.8</v>
      </c>
      <c r="P52" s="391">
        <v>271.2</v>
      </c>
      <c r="Q52" s="391">
        <v>307.59999999999997</v>
      </c>
      <c r="R52" s="391">
        <v>344</v>
      </c>
      <c r="S52" s="392">
        <v>380.4</v>
      </c>
      <c r="U52" s="387">
        <v>58</v>
      </c>
      <c r="V52" s="390" t="s">
        <v>229</v>
      </c>
      <c r="W52" s="391">
        <v>55.905810195919052</v>
      </c>
      <c r="X52" s="391">
        <v>94.446936921893553</v>
      </c>
      <c r="Y52" s="391">
        <v>132.98806364786805</v>
      </c>
      <c r="Z52" s="391">
        <v>171.52919037384257</v>
      </c>
      <c r="AA52" s="391">
        <v>210.07031709981709</v>
      </c>
      <c r="AB52" s="391">
        <v>248.61144382579158</v>
      </c>
      <c r="AC52" s="391">
        <v>287.15257055176608</v>
      </c>
      <c r="AD52" s="391">
        <v>325.69369727774057</v>
      </c>
      <c r="AE52" s="391">
        <v>364.23482400371506</v>
      </c>
      <c r="AF52" s="391">
        <v>402.77595072968955</v>
      </c>
      <c r="AG52" s="393"/>
      <c r="AH52" s="395">
        <v>5.8822162801497296E-2</v>
      </c>
      <c r="AJ52" s="387">
        <v>58</v>
      </c>
      <c r="AK52" s="390" t="s">
        <v>229</v>
      </c>
      <c r="AL52" s="391">
        <v>57.858033747639602</v>
      </c>
      <c r="AM52" s="391">
        <v>97.745011558512346</v>
      </c>
      <c r="AN52" s="391">
        <v>137.63198936938511</v>
      </c>
      <c r="AO52" s="391">
        <v>177.51896718025787</v>
      </c>
      <c r="AP52" s="391">
        <v>217.40594499113064</v>
      </c>
      <c r="AQ52" s="391">
        <v>257.29292280200337</v>
      </c>
      <c r="AR52" s="391">
        <v>297.17990061287611</v>
      </c>
      <c r="AS52" s="391">
        <v>337.06687842374885</v>
      </c>
      <c r="AT52" s="391">
        <v>376.95385623462164</v>
      </c>
      <c r="AU52" s="391">
        <v>416.84083404549438</v>
      </c>
      <c r="AV52" s="393"/>
      <c r="AW52" s="395">
        <v>9.5796093705295585E-2</v>
      </c>
      <c r="AY52" s="387">
        <v>58</v>
      </c>
      <c r="AZ52" s="390" t="s">
        <v>229</v>
      </c>
      <c r="BA52" s="391">
        <v>52.8</v>
      </c>
      <c r="BB52" s="391">
        <v>89.199999999999989</v>
      </c>
      <c r="BC52" s="391">
        <v>125.6</v>
      </c>
      <c r="BD52" s="391">
        <v>162</v>
      </c>
      <c r="BE52" s="391">
        <v>198.4</v>
      </c>
      <c r="BF52" s="391">
        <v>234.8</v>
      </c>
      <c r="BG52" s="391">
        <v>271.2</v>
      </c>
      <c r="BH52" s="391">
        <v>307.59999999999997</v>
      </c>
      <c r="BI52" s="391">
        <v>344</v>
      </c>
      <c r="BJ52" s="391">
        <v>380.4</v>
      </c>
      <c r="BK52" s="393"/>
      <c r="BL52" s="395">
        <v>0</v>
      </c>
      <c r="BN52" s="387">
        <v>58</v>
      </c>
      <c r="BO52" s="390" t="s">
        <v>229</v>
      </c>
      <c r="BP52" s="391">
        <v>52.8</v>
      </c>
      <c r="BQ52" s="391">
        <v>89.199999999999989</v>
      </c>
      <c r="BR52" s="391">
        <v>125.6</v>
      </c>
      <c r="BS52" s="391">
        <v>162</v>
      </c>
      <c r="BT52" s="391">
        <v>198.4</v>
      </c>
      <c r="BU52" s="391">
        <v>234.8</v>
      </c>
      <c r="BV52" s="391">
        <v>271.2</v>
      </c>
      <c r="BW52" s="391">
        <v>307.59999999999997</v>
      </c>
      <c r="BX52" s="391">
        <v>344</v>
      </c>
      <c r="BY52" s="391">
        <v>380.4</v>
      </c>
      <c r="BZ52" s="393"/>
      <c r="CA52" s="395">
        <v>0</v>
      </c>
      <c r="CC52" s="387">
        <v>58</v>
      </c>
      <c r="CD52" s="390" t="s">
        <v>229</v>
      </c>
      <c r="CE52" s="391">
        <v>55.905810195919052</v>
      </c>
      <c r="CF52" s="391">
        <v>94.446936921893553</v>
      </c>
      <c r="CG52" s="391">
        <v>132.98806364786805</v>
      </c>
      <c r="CH52" s="391">
        <v>171.52919037384257</v>
      </c>
      <c r="CI52" s="391">
        <v>210.07031709981709</v>
      </c>
      <c r="CJ52" s="391">
        <v>248.61144382579158</v>
      </c>
      <c r="CK52" s="391">
        <v>287.15257055176608</v>
      </c>
      <c r="CL52" s="391">
        <v>325.69369727774057</v>
      </c>
      <c r="CM52" s="391">
        <v>364.23482400371506</v>
      </c>
      <c r="CN52" s="391">
        <v>402.77595072968955</v>
      </c>
      <c r="CO52" s="393"/>
      <c r="CP52" s="397">
        <v>5.8822162801497296E-2</v>
      </c>
      <c r="CR52" s="387">
        <v>58</v>
      </c>
      <c r="CS52" s="390" t="s">
        <v>229</v>
      </c>
      <c r="CT52" s="391">
        <v>57.858033747639602</v>
      </c>
      <c r="CU52" s="391">
        <v>97.745011558512346</v>
      </c>
      <c r="CV52" s="391">
        <v>137.63198936938511</v>
      </c>
      <c r="CW52" s="391">
        <v>177.51896718025787</v>
      </c>
      <c r="CX52" s="391">
        <v>217.40594499113064</v>
      </c>
      <c r="CY52" s="391">
        <v>257.29292280200337</v>
      </c>
      <c r="CZ52" s="391">
        <v>297.17990061287611</v>
      </c>
      <c r="DA52" s="391">
        <v>337.06687842374885</v>
      </c>
      <c r="DB52" s="391">
        <v>376.95385623462164</v>
      </c>
      <c r="DC52" s="391">
        <v>416.84083404549438</v>
      </c>
      <c r="DE52" s="397">
        <v>9.5796093705295585E-2</v>
      </c>
    </row>
    <row r="53" spans="8:109" x14ac:dyDescent="0.3">
      <c r="H53" s="387">
        <v>63</v>
      </c>
      <c r="I53" s="390" t="s">
        <v>230</v>
      </c>
      <c r="J53" s="391">
        <v>58.6</v>
      </c>
      <c r="K53" s="391">
        <v>100.80000000000001</v>
      </c>
      <c r="L53" s="391">
        <v>143</v>
      </c>
      <c r="M53" s="391">
        <v>185.20000000000002</v>
      </c>
      <c r="N53" s="391">
        <v>227.4</v>
      </c>
      <c r="O53" s="391">
        <v>269.59999999999997</v>
      </c>
      <c r="P53" s="391">
        <v>311.79999999999995</v>
      </c>
      <c r="Q53" s="391">
        <v>354</v>
      </c>
      <c r="R53" s="391">
        <v>396.20000000000005</v>
      </c>
      <c r="S53" s="392">
        <v>438.4</v>
      </c>
      <c r="U53" s="387">
        <v>63</v>
      </c>
      <c r="V53" s="390" t="s">
        <v>230</v>
      </c>
      <c r="W53" s="391">
        <v>62.586968431349575</v>
      </c>
      <c r="X53" s="391">
        <v>107.65812999795287</v>
      </c>
      <c r="Y53" s="391">
        <v>152.72929156455612</v>
      </c>
      <c r="Z53" s="391">
        <v>197.80045313115943</v>
      </c>
      <c r="AA53" s="391">
        <v>242.87161469776271</v>
      </c>
      <c r="AB53" s="391">
        <v>287.94277626436593</v>
      </c>
      <c r="AC53" s="391">
        <v>333.01393783096921</v>
      </c>
      <c r="AD53" s="391">
        <v>378.08509939757255</v>
      </c>
      <c r="AE53" s="391">
        <v>423.15626096417583</v>
      </c>
      <c r="AF53" s="391">
        <v>468.22742253077905</v>
      </c>
      <c r="AG53" s="398"/>
      <c r="AH53" s="395">
        <v>6.8037003947944971E-2</v>
      </c>
      <c r="AJ53" s="387">
        <v>63</v>
      </c>
      <c r="AK53" s="390" t="s">
        <v>230</v>
      </c>
      <c r="AL53" s="391">
        <v>65.776543176429243</v>
      </c>
      <c r="AM53" s="391">
        <v>113.14463399631515</v>
      </c>
      <c r="AN53" s="391">
        <v>160.51272481620103</v>
      </c>
      <c r="AO53" s="391">
        <v>207.88081563608696</v>
      </c>
      <c r="AP53" s="391">
        <v>255.24890645597284</v>
      </c>
      <c r="AQ53" s="391">
        <v>302.61699727585869</v>
      </c>
      <c r="AR53" s="391">
        <v>349.98508809574457</v>
      </c>
      <c r="AS53" s="391">
        <v>397.35317891563056</v>
      </c>
      <c r="AT53" s="391">
        <v>444.7212697355165</v>
      </c>
      <c r="AU53" s="391">
        <v>492.08936055540232</v>
      </c>
      <c r="AV53" s="393"/>
      <c r="AW53" s="395">
        <v>0.12246660710630099</v>
      </c>
      <c r="AY53" s="387">
        <v>63</v>
      </c>
      <c r="AZ53" s="390" t="s">
        <v>230</v>
      </c>
      <c r="BA53" s="391">
        <v>58.6</v>
      </c>
      <c r="BB53" s="391">
        <v>100.80000000000001</v>
      </c>
      <c r="BC53" s="391">
        <v>143</v>
      </c>
      <c r="BD53" s="391">
        <v>185.20000000000002</v>
      </c>
      <c r="BE53" s="391">
        <v>227.4</v>
      </c>
      <c r="BF53" s="391">
        <v>269.59999999999997</v>
      </c>
      <c r="BG53" s="391">
        <v>311.79999999999995</v>
      </c>
      <c r="BH53" s="391">
        <v>354</v>
      </c>
      <c r="BI53" s="391">
        <v>396.20000000000005</v>
      </c>
      <c r="BJ53" s="391">
        <v>438.4</v>
      </c>
      <c r="BK53" s="393"/>
      <c r="BL53" s="395">
        <v>0</v>
      </c>
      <c r="BN53" s="387">
        <v>63</v>
      </c>
      <c r="BO53" s="390" t="s">
        <v>230</v>
      </c>
      <c r="BP53" s="391">
        <v>58.6</v>
      </c>
      <c r="BQ53" s="391">
        <v>100.80000000000001</v>
      </c>
      <c r="BR53" s="391">
        <v>143</v>
      </c>
      <c r="BS53" s="391">
        <v>185.20000000000002</v>
      </c>
      <c r="BT53" s="391">
        <v>227.4</v>
      </c>
      <c r="BU53" s="391">
        <v>269.59999999999997</v>
      </c>
      <c r="BV53" s="391">
        <v>311.79999999999995</v>
      </c>
      <c r="BW53" s="391">
        <v>354</v>
      </c>
      <c r="BX53" s="391">
        <v>396.20000000000005</v>
      </c>
      <c r="BY53" s="391">
        <v>438.4</v>
      </c>
      <c r="BZ53" s="393"/>
      <c r="CA53" s="395">
        <v>0</v>
      </c>
      <c r="CC53" s="387">
        <v>63</v>
      </c>
      <c r="CD53" s="390" t="s">
        <v>230</v>
      </c>
      <c r="CE53" s="391">
        <v>62.586968431349575</v>
      </c>
      <c r="CF53" s="391">
        <v>107.65812999795287</v>
      </c>
      <c r="CG53" s="391">
        <v>152.72929156455612</v>
      </c>
      <c r="CH53" s="391">
        <v>197.80045313115943</v>
      </c>
      <c r="CI53" s="391">
        <v>242.87161469776271</v>
      </c>
      <c r="CJ53" s="391">
        <v>287.94277626436593</v>
      </c>
      <c r="CK53" s="391">
        <v>333.01393783096921</v>
      </c>
      <c r="CL53" s="391">
        <v>378.08509939757255</v>
      </c>
      <c r="CM53" s="391">
        <v>423.15626096417583</v>
      </c>
      <c r="CN53" s="391">
        <v>468.22742253077905</v>
      </c>
      <c r="CO53" s="393"/>
      <c r="CP53" s="397">
        <v>6.8037003947944971E-2</v>
      </c>
      <c r="CR53" s="387">
        <v>63</v>
      </c>
      <c r="CS53" s="390" t="s">
        <v>230</v>
      </c>
      <c r="CT53" s="391">
        <v>65.776543176429243</v>
      </c>
      <c r="CU53" s="391">
        <v>113.14463399631515</v>
      </c>
      <c r="CV53" s="391">
        <v>160.51272481620103</v>
      </c>
      <c r="CW53" s="391">
        <v>207.88081563608696</v>
      </c>
      <c r="CX53" s="391">
        <v>255.24890645597284</v>
      </c>
      <c r="CY53" s="391">
        <v>302.61699727585869</v>
      </c>
      <c r="CZ53" s="391">
        <v>349.98508809574457</v>
      </c>
      <c r="DA53" s="391">
        <v>397.35317891563056</v>
      </c>
      <c r="DB53" s="391">
        <v>444.7212697355165</v>
      </c>
      <c r="DC53" s="391">
        <v>492.08936055540232</v>
      </c>
      <c r="DE53" s="397">
        <v>0.12246660710630099</v>
      </c>
    </row>
    <row r="54" spans="8:109" x14ac:dyDescent="0.3">
      <c r="H54" s="387">
        <v>67</v>
      </c>
      <c r="I54" s="390" t="s">
        <v>231</v>
      </c>
      <c r="J54" s="391">
        <v>79</v>
      </c>
      <c r="K54" s="391">
        <v>141.6</v>
      </c>
      <c r="L54" s="391">
        <v>204.20000000000002</v>
      </c>
      <c r="M54" s="391">
        <v>266.8</v>
      </c>
      <c r="N54" s="391">
        <v>329.4</v>
      </c>
      <c r="O54" s="391">
        <v>392</v>
      </c>
      <c r="P54" s="391">
        <v>454.59999999999997</v>
      </c>
      <c r="Q54" s="391">
        <v>517.20000000000005</v>
      </c>
      <c r="R54" s="391">
        <v>579.79999999999995</v>
      </c>
      <c r="S54" s="392">
        <v>642.4</v>
      </c>
      <c r="U54" s="387">
        <v>67</v>
      </c>
      <c r="V54" s="390" t="s">
        <v>231</v>
      </c>
      <c r="W54" s="391">
        <v>85.367139073799621</v>
      </c>
      <c r="X54" s="391">
        <v>153.01249231455728</v>
      </c>
      <c r="Y54" s="391">
        <v>220.65784555531499</v>
      </c>
      <c r="Z54" s="391">
        <v>288.30319879607265</v>
      </c>
      <c r="AA54" s="391">
        <v>355.94855203683028</v>
      </c>
      <c r="AB54" s="391">
        <v>423.59390527758796</v>
      </c>
      <c r="AC54" s="391">
        <v>491.23925851834559</v>
      </c>
      <c r="AD54" s="391">
        <v>558.88461175910334</v>
      </c>
      <c r="AE54" s="391">
        <v>626.52996499986091</v>
      </c>
      <c r="AF54" s="391">
        <v>694.17531824061859</v>
      </c>
      <c r="AG54" s="398"/>
      <c r="AH54" s="395">
        <v>8.0596697136703949E-2</v>
      </c>
      <c r="AJ54" s="387">
        <v>67</v>
      </c>
      <c r="AK54" s="390" t="s">
        <v>231</v>
      </c>
      <c r="AL54" s="391">
        <v>90.393827816273003</v>
      </c>
      <c r="AM54" s="391">
        <v>162.02235466815515</v>
      </c>
      <c r="AN54" s="391">
        <v>233.65088152003733</v>
      </c>
      <c r="AO54" s="391">
        <v>305.27940837191949</v>
      </c>
      <c r="AP54" s="391">
        <v>376.90793522380159</v>
      </c>
      <c r="AQ54" s="391">
        <v>448.53646207568374</v>
      </c>
      <c r="AR54" s="391">
        <v>520.1649889275659</v>
      </c>
      <c r="AS54" s="391">
        <v>591.79351577944806</v>
      </c>
      <c r="AT54" s="391">
        <v>663.4220426313301</v>
      </c>
      <c r="AU54" s="391">
        <v>735.05056948321237</v>
      </c>
      <c r="AV54" s="393"/>
      <c r="AW54" s="395">
        <v>0.14422566856041763</v>
      </c>
      <c r="AY54" s="387">
        <v>67</v>
      </c>
      <c r="AZ54" s="390" t="s">
        <v>231</v>
      </c>
      <c r="BA54" s="391">
        <v>79</v>
      </c>
      <c r="BB54" s="391">
        <v>141.6</v>
      </c>
      <c r="BC54" s="391">
        <v>204.20000000000002</v>
      </c>
      <c r="BD54" s="391">
        <v>266.8</v>
      </c>
      <c r="BE54" s="391">
        <v>329.4</v>
      </c>
      <c r="BF54" s="391">
        <v>392</v>
      </c>
      <c r="BG54" s="391">
        <v>454.59999999999997</v>
      </c>
      <c r="BH54" s="391">
        <v>517.20000000000005</v>
      </c>
      <c r="BI54" s="391">
        <v>579.79999999999995</v>
      </c>
      <c r="BJ54" s="391">
        <v>642.4</v>
      </c>
      <c r="BK54" s="393"/>
      <c r="BL54" s="395">
        <v>0</v>
      </c>
      <c r="BN54" s="387">
        <v>67</v>
      </c>
      <c r="BO54" s="390" t="s">
        <v>231</v>
      </c>
      <c r="BP54" s="391">
        <v>79</v>
      </c>
      <c r="BQ54" s="391">
        <v>141.6</v>
      </c>
      <c r="BR54" s="391">
        <v>204.20000000000002</v>
      </c>
      <c r="BS54" s="391">
        <v>266.8</v>
      </c>
      <c r="BT54" s="391">
        <v>329.4</v>
      </c>
      <c r="BU54" s="391">
        <v>392</v>
      </c>
      <c r="BV54" s="391">
        <v>454.59999999999997</v>
      </c>
      <c r="BW54" s="391">
        <v>517.20000000000005</v>
      </c>
      <c r="BX54" s="391">
        <v>579.79999999999995</v>
      </c>
      <c r="BY54" s="391">
        <v>642.4</v>
      </c>
      <c r="BZ54" s="393"/>
      <c r="CA54" s="395">
        <v>0</v>
      </c>
      <c r="CC54" s="387">
        <v>67</v>
      </c>
      <c r="CD54" s="390" t="s">
        <v>231</v>
      </c>
      <c r="CE54" s="391">
        <v>85.367139073799621</v>
      </c>
      <c r="CF54" s="391">
        <v>153.01249231455728</v>
      </c>
      <c r="CG54" s="391">
        <v>220.65784555531499</v>
      </c>
      <c r="CH54" s="391">
        <v>288.30319879607265</v>
      </c>
      <c r="CI54" s="391">
        <v>355.94855203683028</v>
      </c>
      <c r="CJ54" s="391">
        <v>423.59390527758796</v>
      </c>
      <c r="CK54" s="391">
        <v>491.23925851834559</v>
      </c>
      <c r="CL54" s="391">
        <v>558.88461175910334</v>
      </c>
      <c r="CM54" s="391">
        <v>626.52996499986091</v>
      </c>
      <c r="CN54" s="391">
        <v>694.17531824061859</v>
      </c>
      <c r="CO54" s="393"/>
      <c r="CP54" s="397">
        <v>8.0596697136703949E-2</v>
      </c>
      <c r="CR54" s="387">
        <v>67</v>
      </c>
      <c r="CS54" s="390" t="s">
        <v>231</v>
      </c>
      <c r="CT54" s="391">
        <v>90.393827816273003</v>
      </c>
      <c r="CU54" s="391">
        <v>162.02235466815515</v>
      </c>
      <c r="CV54" s="391">
        <v>233.65088152003733</v>
      </c>
      <c r="CW54" s="391">
        <v>305.27940837191949</v>
      </c>
      <c r="CX54" s="391">
        <v>376.90793522380159</v>
      </c>
      <c r="CY54" s="391">
        <v>448.53646207568374</v>
      </c>
      <c r="CZ54" s="391">
        <v>520.1649889275659</v>
      </c>
      <c r="DA54" s="391">
        <v>591.79351577944806</v>
      </c>
      <c r="DB54" s="391">
        <v>663.4220426313301</v>
      </c>
      <c r="DC54" s="391">
        <v>735.05056948321237</v>
      </c>
      <c r="DE54" s="397">
        <v>0.14422566856041763</v>
      </c>
    </row>
    <row r="55" spans="8:109" ht="15" thickBot="1" x14ac:dyDescent="0.35">
      <c r="H55" s="399">
        <v>73</v>
      </c>
      <c r="I55" s="402" t="s">
        <v>232</v>
      </c>
      <c r="J55" s="403">
        <v>123.4</v>
      </c>
      <c r="K55" s="403">
        <v>230.4</v>
      </c>
      <c r="L55" s="403">
        <v>337.4</v>
      </c>
      <c r="M55" s="403">
        <v>444.4</v>
      </c>
      <c r="N55" s="403">
        <v>551.4</v>
      </c>
      <c r="O55" s="403">
        <v>658.4</v>
      </c>
      <c r="P55" s="403">
        <v>765.4</v>
      </c>
      <c r="Q55" s="403">
        <v>872.4</v>
      </c>
      <c r="R55" s="403">
        <v>979.4</v>
      </c>
      <c r="S55" s="404">
        <v>1086.4000000000001</v>
      </c>
      <c r="U55" s="399">
        <v>73</v>
      </c>
      <c r="V55" s="402" t="s">
        <v>232</v>
      </c>
      <c r="W55" s="391">
        <v>140.60153466021688</v>
      </c>
      <c r="X55" s="391">
        <v>262.51696584857348</v>
      </c>
      <c r="Y55" s="391">
        <v>384.43239703693001</v>
      </c>
      <c r="Z55" s="391">
        <v>506.34782822528666</v>
      </c>
      <c r="AA55" s="391">
        <v>628.26325941364325</v>
      </c>
      <c r="AB55" s="391">
        <v>750.17869060199985</v>
      </c>
      <c r="AC55" s="391">
        <v>872.09412179035644</v>
      </c>
      <c r="AD55" s="391">
        <v>994.00955297871303</v>
      </c>
      <c r="AE55" s="391">
        <v>1115.9249841670696</v>
      </c>
      <c r="AF55" s="391">
        <v>1237.8404153554263</v>
      </c>
      <c r="AG55" s="398"/>
      <c r="AH55" s="407">
        <v>0.13939655316221122</v>
      </c>
      <c r="AJ55" s="399">
        <v>73</v>
      </c>
      <c r="AK55" s="402" t="s">
        <v>232</v>
      </c>
      <c r="AL55" s="391">
        <v>151.49583994502086</v>
      </c>
      <c r="AM55" s="391">
        <v>282.8577108860033</v>
      </c>
      <c r="AN55" s="391">
        <v>414.21958182698569</v>
      </c>
      <c r="AO55" s="391">
        <v>545.58145276796813</v>
      </c>
      <c r="AP55" s="391">
        <v>676.94332370895063</v>
      </c>
      <c r="AQ55" s="391">
        <v>808.30519464993301</v>
      </c>
      <c r="AR55" s="391">
        <v>939.66706559091551</v>
      </c>
      <c r="AS55" s="391">
        <v>1071.0289365318979</v>
      </c>
      <c r="AT55" s="391">
        <v>1202.3908074728804</v>
      </c>
      <c r="AU55" s="391">
        <v>1333.7526784138629</v>
      </c>
      <c r="AV55" s="393"/>
      <c r="AW55" s="407">
        <v>0.22768103683161167</v>
      </c>
      <c r="AY55" s="399">
        <v>73</v>
      </c>
      <c r="AZ55" s="402" t="s">
        <v>232</v>
      </c>
      <c r="BA55" s="391">
        <v>123.4</v>
      </c>
      <c r="BB55" s="391">
        <v>230.4</v>
      </c>
      <c r="BC55" s="391">
        <v>337.4</v>
      </c>
      <c r="BD55" s="391">
        <v>444.4</v>
      </c>
      <c r="BE55" s="391">
        <v>551.4</v>
      </c>
      <c r="BF55" s="391">
        <v>658.4</v>
      </c>
      <c r="BG55" s="391">
        <v>765.4</v>
      </c>
      <c r="BH55" s="391">
        <v>872.4</v>
      </c>
      <c r="BI55" s="391">
        <v>979.4</v>
      </c>
      <c r="BJ55" s="391">
        <v>1086.4000000000001</v>
      </c>
      <c r="BK55" s="393"/>
      <c r="BL55" s="407">
        <v>0</v>
      </c>
      <c r="BN55" s="399">
        <v>73</v>
      </c>
      <c r="BO55" s="402" t="s">
        <v>232</v>
      </c>
      <c r="BP55" s="391">
        <v>123.4</v>
      </c>
      <c r="BQ55" s="391">
        <v>230.4</v>
      </c>
      <c r="BR55" s="391">
        <v>337.4</v>
      </c>
      <c r="BS55" s="391">
        <v>444.4</v>
      </c>
      <c r="BT55" s="391">
        <v>551.4</v>
      </c>
      <c r="BU55" s="391">
        <v>658.4</v>
      </c>
      <c r="BV55" s="391">
        <v>765.4</v>
      </c>
      <c r="BW55" s="391">
        <v>872.4</v>
      </c>
      <c r="BX55" s="391">
        <v>979.4</v>
      </c>
      <c r="BY55" s="391">
        <v>1086.4000000000001</v>
      </c>
      <c r="BZ55" s="393"/>
      <c r="CA55" s="407">
        <v>0</v>
      </c>
      <c r="CC55" s="399">
        <v>73</v>
      </c>
      <c r="CD55" s="402" t="s">
        <v>232</v>
      </c>
      <c r="CE55" s="391">
        <v>140.60153466021688</v>
      </c>
      <c r="CF55" s="391">
        <v>262.51696584857348</v>
      </c>
      <c r="CG55" s="391">
        <v>384.43239703693001</v>
      </c>
      <c r="CH55" s="391">
        <v>506.34782822528666</v>
      </c>
      <c r="CI55" s="391">
        <v>628.26325941364325</v>
      </c>
      <c r="CJ55" s="391">
        <v>750.17869060199985</v>
      </c>
      <c r="CK55" s="391">
        <v>872.09412179035644</v>
      </c>
      <c r="CL55" s="391">
        <v>994.00955297871303</v>
      </c>
      <c r="CM55" s="391">
        <v>1115.9249841670696</v>
      </c>
      <c r="CN55" s="391">
        <v>1237.8404153554263</v>
      </c>
      <c r="CO55" s="393"/>
      <c r="CP55" s="397">
        <v>0.13939655316221122</v>
      </c>
      <c r="CR55" s="399">
        <v>73</v>
      </c>
      <c r="CS55" s="402" t="s">
        <v>232</v>
      </c>
      <c r="CT55" s="391">
        <v>151.49583994502086</v>
      </c>
      <c r="CU55" s="391">
        <v>282.8577108860033</v>
      </c>
      <c r="CV55" s="391">
        <v>414.21958182698569</v>
      </c>
      <c r="CW55" s="391">
        <v>545.58145276796813</v>
      </c>
      <c r="CX55" s="391">
        <v>676.94332370895063</v>
      </c>
      <c r="CY55" s="391">
        <v>808.30519464993301</v>
      </c>
      <c r="CZ55" s="391">
        <v>939.66706559091551</v>
      </c>
      <c r="DA55" s="391">
        <v>1071.0289365318979</v>
      </c>
      <c r="DB55" s="391">
        <v>1202.3908074728804</v>
      </c>
      <c r="DC55" s="391">
        <v>1333.7526784138629</v>
      </c>
      <c r="DE55" s="397">
        <v>0.22768103683161167</v>
      </c>
    </row>
    <row r="56" spans="8:109" ht="15" thickBot="1" x14ac:dyDescent="0.35">
      <c r="H56" s="409"/>
      <c r="I56" s="409"/>
      <c r="J56" s="398"/>
      <c r="K56" s="398"/>
      <c r="L56" s="398"/>
      <c r="M56" s="398"/>
      <c r="N56" s="398"/>
      <c r="O56" s="398"/>
      <c r="P56" s="398"/>
      <c r="Q56" s="398"/>
      <c r="R56" s="398"/>
      <c r="S56" s="398"/>
    </row>
    <row r="57" spans="8:109" x14ac:dyDescent="0.3">
      <c r="H57" s="382" t="s">
        <v>236</v>
      </c>
      <c r="I57" s="410"/>
      <c r="J57" s="410"/>
      <c r="K57" s="410"/>
      <c r="L57" s="410"/>
      <c r="M57" s="411"/>
    </row>
    <row r="58" spans="8:109" x14ac:dyDescent="0.3">
      <c r="H58" s="201" t="s">
        <v>249</v>
      </c>
      <c r="I58" s="412">
        <v>10000</v>
      </c>
      <c r="J58" s="412">
        <v>20000</v>
      </c>
      <c r="K58" s="412">
        <v>30000</v>
      </c>
      <c r="L58" s="412">
        <v>40000</v>
      </c>
      <c r="M58" s="413">
        <v>50000</v>
      </c>
    </row>
    <row r="59" spans="8:109" x14ac:dyDescent="0.3">
      <c r="H59" s="414" t="s">
        <v>237</v>
      </c>
      <c r="I59" s="384">
        <v>10.54</v>
      </c>
      <c r="J59" s="384">
        <v>21.606999999999999</v>
      </c>
      <c r="K59" s="384">
        <v>32.673999999999999</v>
      </c>
      <c r="L59" s="384">
        <v>43.741</v>
      </c>
      <c r="M59" s="385">
        <v>54.808</v>
      </c>
    </row>
    <row r="60" spans="8:109" x14ac:dyDescent="0.3">
      <c r="H60" s="387" t="s">
        <v>224</v>
      </c>
      <c r="I60" s="384">
        <v>10.54</v>
      </c>
      <c r="J60" s="384">
        <v>21.606999999999999</v>
      </c>
      <c r="K60" s="384">
        <v>32.673999999999999</v>
      </c>
      <c r="L60" s="384">
        <v>43.741</v>
      </c>
      <c r="M60" s="385">
        <v>54.808</v>
      </c>
    </row>
    <row r="61" spans="8:109" x14ac:dyDescent="0.3">
      <c r="H61" s="387" t="s">
        <v>238</v>
      </c>
      <c r="I61" s="384">
        <v>19.5075</v>
      </c>
      <c r="J61" s="384">
        <v>39.9925</v>
      </c>
      <c r="K61" s="384">
        <v>60.477499999999992</v>
      </c>
      <c r="L61" s="384">
        <v>80.962500000000006</v>
      </c>
      <c r="M61" s="385">
        <v>101.44749999999999</v>
      </c>
    </row>
    <row r="62" spans="8:109" x14ac:dyDescent="0.3">
      <c r="H62" s="387" t="s">
        <v>259</v>
      </c>
      <c r="I62" s="384">
        <v>27.200000000000003</v>
      </c>
      <c r="J62" s="384">
        <v>56.525000000000006</v>
      </c>
      <c r="K62" s="384">
        <v>85.850000000000009</v>
      </c>
      <c r="L62" s="384">
        <v>115.17500000000001</v>
      </c>
      <c r="M62" s="385">
        <v>144.5</v>
      </c>
    </row>
    <row r="63" spans="8:109" x14ac:dyDescent="0.3">
      <c r="H63" s="387" t="s">
        <v>227</v>
      </c>
      <c r="I63" s="384">
        <v>28.56</v>
      </c>
      <c r="J63" s="384">
        <v>58.547999999999995</v>
      </c>
      <c r="K63" s="384">
        <v>88.535999999999987</v>
      </c>
      <c r="L63" s="384">
        <v>118.52399999999999</v>
      </c>
      <c r="M63" s="385">
        <v>148.512</v>
      </c>
    </row>
    <row r="64" spans="8:109" x14ac:dyDescent="0.3">
      <c r="H64" s="387" t="s">
        <v>228</v>
      </c>
      <c r="I64" s="384">
        <v>30.854999999999997</v>
      </c>
      <c r="J64" s="384">
        <v>63.256999999999998</v>
      </c>
      <c r="K64" s="384">
        <v>95.658999999999992</v>
      </c>
      <c r="L64" s="384">
        <v>128.06100000000001</v>
      </c>
      <c r="M64" s="385">
        <v>160.46300000000002</v>
      </c>
    </row>
    <row r="65" spans="8:13" x14ac:dyDescent="0.3">
      <c r="H65" s="387" t="s">
        <v>229</v>
      </c>
      <c r="I65" s="384">
        <v>37.995000000000005</v>
      </c>
      <c r="J65" s="384">
        <v>77.894000000000005</v>
      </c>
      <c r="K65" s="384">
        <v>117.79300000000001</v>
      </c>
      <c r="L65" s="384">
        <v>157.69200000000001</v>
      </c>
      <c r="M65" s="385">
        <v>197.59100000000001</v>
      </c>
    </row>
    <row r="66" spans="8:13" x14ac:dyDescent="0.3">
      <c r="H66" s="387" t="s">
        <v>230</v>
      </c>
      <c r="I66" s="384">
        <v>55.759999999999991</v>
      </c>
      <c r="J66" s="384">
        <v>114.30799999999999</v>
      </c>
      <c r="K66" s="384">
        <v>172.85599999999999</v>
      </c>
      <c r="L66" s="384">
        <v>231.404</v>
      </c>
      <c r="M66" s="385">
        <v>289.952</v>
      </c>
    </row>
    <row r="67" spans="8:13" x14ac:dyDescent="0.3">
      <c r="H67" s="387" t="s">
        <v>231</v>
      </c>
      <c r="I67" s="384">
        <v>85.34</v>
      </c>
      <c r="J67" s="384">
        <v>174.947</v>
      </c>
      <c r="K67" s="384">
        <v>264.55399999999997</v>
      </c>
      <c r="L67" s="384">
        <v>354.161</v>
      </c>
      <c r="M67" s="385">
        <v>443.76799999999997</v>
      </c>
    </row>
    <row r="68" spans="8:13" x14ac:dyDescent="0.3">
      <c r="H68" s="387" t="s">
        <v>232</v>
      </c>
      <c r="I68" s="384">
        <v>135.32</v>
      </c>
      <c r="J68" s="384">
        <v>277.40600000000001</v>
      </c>
      <c r="K68" s="384">
        <v>419.49200000000002</v>
      </c>
      <c r="L68" s="384">
        <v>561.57799999999997</v>
      </c>
      <c r="M68" s="385">
        <v>703.66399999999999</v>
      </c>
    </row>
    <row r="69" spans="8:13" x14ac:dyDescent="0.3">
      <c r="H69" s="387" t="s">
        <v>239</v>
      </c>
      <c r="I69" s="384">
        <v>0</v>
      </c>
      <c r="J69" s="384">
        <v>0</v>
      </c>
      <c r="K69" s="384">
        <v>0</v>
      </c>
      <c r="L69" s="384">
        <v>0</v>
      </c>
      <c r="M69" s="385">
        <v>0</v>
      </c>
    </row>
    <row r="70" spans="8:13" ht="15" thickBot="1" x14ac:dyDescent="0.35">
      <c r="H70" s="399" t="s">
        <v>240</v>
      </c>
      <c r="I70" s="415">
        <v>0</v>
      </c>
      <c r="J70" s="415">
        <v>0</v>
      </c>
      <c r="K70" s="415">
        <v>0</v>
      </c>
      <c r="L70" s="415">
        <v>0</v>
      </c>
      <c r="M70" s="416">
        <v>0</v>
      </c>
    </row>
    <row r="71" spans="8:13" ht="15" thickBot="1" x14ac:dyDescent="0.35"/>
    <row r="72" spans="8:13" ht="15" thickBot="1" x14ac:dyDescent="0.35">
      <c r="H72" s="417" t="s">
        <v>185</v>
      </c>
      <c r="I72" s="418"/>
      <c r="J72" s="418"/>
      <c r="K72" s="418"/>
      <c r="L72" s="418"/>
      <c r="M72" s="419"/>
    </row>
    <row r="73" spans="8:13" x14ac:dyDescent="0.3">
      <c r="H73" s="211" t="s">
        <v>249</v>
      </c>
      <c r="I73" s="420">
        <v>10000</v>
      </c>
      <c r="J73" s="420">
        <v>20000</v>
      </c>
      <c r="K73" s="420">
        <v>30000</v>
      </c>
      <c r="L73" s="420">
        <v>40000</v>
      </c>
      <c r="M73" s="421">
        <v>50000</v>
      </c>
    </row>
    <row r="74" spans="8:13" x14ac:dyDescent="0.3">
      <c r="H74" s="387" t="s">
        <v>224</v>
      </c>
      <c r="I74" s="384">
        <v>10.54</v>
      </c>
      <c r="J74" s="384">
        <v>21.08</v>
      </c>
      <c r="K74" s="384">
        <v>31.619999999999994</v>
      </c>
      <c r="L74" s="384">
        <v>42.16</v>
      </c>
      <c r="M74" s="385">
        <v>52.699999999999989</v>
      </c>
    </row>
    <row r="75" spans="8:13" x14ac:dyDescent="0.3">
      <c r="H75" s="387" t="s">
        <v>238</v>
      </c>
      <c r="I75" s="384">
        <v>18.274999999999999</v>
      </c>
      <c r="J75" s="384">
        <v>36.549999999999997</v>
      </c>
      <c r="K75" s="384">
        <v>54.824999999999996</v>
      </c>
      <c r="L75" s="384">
        <v>73.099999999999994</v>
      </c>
      <c r="M75" s="385">
        <v>91.375</v>
      </c>
    </row>
    <row r="76" spans="8:13" x14ac:dyDescent="0.3">
      <c r="H76" s="387" t="s">
        <v>259</v>
      </c>
      <c r="I76" s="384">
        <v>23.630000000000003</v>
      </c>
      <c r="J76" s="384">
        <v>47.260000000000005</v>
      </c>
      <c r="K76" s="384">
        <v>70.890000000000015</v>
      </c>
      <c r="L76" s="384">
        <v>94.52000000000001</v>
      </c>
      <c r="M76" s="385">
        <v>118.15000000000002</v>
      </c>
    </row>
    <row r="77" spans="8:13" x14ac:dyDescent="0.3">
      <c r="H77" s="387" t="s">
        <v>227</v>
      </c>
      <c r="I77" s="384">
        <v>24.48</v>
      </c>
      <c r="J77" s="384">
        <v>48.96</v>
      </c>
      <c r="K77" s="384">
        <v>73.44</v>
      </c>
      <c r="L77" s="384">
        <v>97.92</v>
      </c>
      <c r="M77" s="385">
        <v>122.39999999999999</v>
      </c>
    </row>
    <row r="78" spans="8:13" x14ac:dyDescent="0.3">
      <c r="H78" s="387" t="s">
        <v>228</v>
      </c>
      <c r="I78" s="384">
        <v>27.37</v>
      </c>
      <c r="J78" s="384">
        <v>54.74</v>
      </c>
      <c r="K78" s="384">
        <v>82.11</v>
      </c>
      <c r="L78" s="384">
        <v>109.48</v>
      </c>
      <c r="M78" s="385">
        <v>136.85</v>
      </c>
    </row>
    <row r="79" spans="8:13" x14ac:dyDescent="0.3">
      <c r="H79" s="387" t="s">
        <v>229</v>
      </c>
      <c r="I79" s="384">
        <v>37.995000000000005</v>
      </c>
      <c r="J79" s="384">
        <v>75.990000000000009</v>
      </c>
      <c r="K79" s="384">
        <v>113.98500000000001</v>
      </c>
      <c r="L79" s="384">
        <v>151.98000000000002</v>
      </c>
      <c r="M79" s="385">
        <v>189.97500000000002</v>
      </c>
    </row>
    <row r="80" spans="8:13" x14ac:dyDescent="0.3">
      <c r="H80" s="387" t="s">
        <v>230</v>
      </c>
      <c r="I80" s="384">
        <v>55.759999999999991</v>
      </c>
      <c r="J80" s="384">
        <v>111.51999999999998</v>
      </c>
      <c r="K80" s="384">
        <v>167.27999999999997</v>
      </c>
      <c r="L80" s="384">
        <v>223.03999999999996</v>
      </c>
      <c r="M80" s="385">
        <v>278.79999999999995</v>
      </c>
    </row>
    <row r="81" spans="8:13" x14ac:dyDescent="0.3">
      <c r="H81" s="387" t="s">
        <v>231</v>
      </c>
      <c r="I81" s="384">
        <v>85.34</v>
      </c>
      <c r="J81" s="384">
        <v>170.68</v>
      </c>
      <c r="K81" s="384">
        <v>256.02000000000004</v>
      </c>
      <c r="L81" s="384">
        <v>341.36</v>
      </c>
      <c r="M81" s="385">
        <v>426.70000000000005</v>
      </c>
    </row>
    <row r="82" spans="8:13" x14ac:dyDescent="0.3">
      <c r="H82" s="387" t="s">
        <v>232</v>
      </c>
      <c r="I82" s="384">
        <v>135.32</v>
      </c>
      <c r="J82" s="384">
        <v>270.64</v>
      </c>
      <c r="K82" s="384">
        <v>405.96</v>
      </c>
      <c r="L82" s="384">
        <v>541.28</v>
      </c>
      <c r="M82" s="385">
        <v>676.6</v>
      </c>
    </row>
    <row r="83" spans="8:13" x14ac:dyDescent="0.3">
      <c r="H83" s="387" t="s">
        <v>239</v>
      </c>
      <c r="I83" s="384">
        <v>0</v>
      </c>
      <c r="J83" s="384">
        <v>0</v>
      </c>
      <c r="K83" s="384">
        <v>0</v>
      </c>
      <c r="L83" s="384">
        <v>0</v>
      </c>
      <c r="M83" s="385">
        <v>0</v>
      </c>
    </row>
    <row r="84" spans="8:13" ht="15" thickBot="1" x14ac:dyDescent="0.35">
      <c r="H84" s="399" t="s">
        <v>240</v>
      </c>
      <c r="I84" s="415">
        <v>0</v>
      </c>
      <c r="J84" s="415">
        <v>0</v>
      </c>
      <c r="K84" s="415">
        <v>0</v>
      </c>
      <c r="L84" s="415">
        <v>0</v>
      </c>
      <c r="M84" s="416">
        <v>0</v>
      </c>
    </row>
    <row r="85" spans="8:13" x14ac:dyDescent="0.3"/>
  </sheetData>
  <sheetProtection algorithmName="SHA-512" hashValue="8NtKtg0EEA/dUjfOURCsKdYv2z3+C6aIlCCNdluli05CMmKPmgBtKKK7MPktoSfsd5Wbq7axrhfvWiTVL1uEtw==" saltValue="hZJRKEck8mJQUghlfH/VOA==" spinCount="100000" sheet="1" objects="1" scenarios="1"/>
  <mergeCells count="93">
    <mergeCell ref="BP7:BY7"/>
    <mergeCell ref="BN5:BO6"/>
    <mergeCell ref="BA7:BJ7"/>
    <mergeCell ref="AJ5:AK6"/>
    <mergeCell ref="CT7:DC7"/>
    <mergeCell ref="CR5:CS6"/>
    <mergeCell ref="CE7:CN7"/>
    <mergeCell ref="CC5:CD6"/>
    <mergeCell ref="B5:F5"/>
    <mergeCell ref="B18:F18"/>
    <mergeCell ref="H31:I32"/>
    <mergeCell ref="J31:S31"/>
    <mergeCell ref="J33:S33"/>
    <mergeCell ref="H44:I45"/>
    <mergeCell ref="J44:S44"/>
    <mergeCell ref="J46:S46"/>
    <mergeCell ref="H5:I6"/>
    <mergeCell ref="J5:S5"/>
    <mergeCell ref="J7:S7"/>
    <mergeCell ref="H18:I19"/>
    <mergeCell ref="J18:S18"/>
    <mergeCell ref="J20:S20"/>
    <mergeCell ref="W18:AF18"/>
    <mergeCell ref="W20:AF20"/>
    <mergeCell ref="U31:V32"/>
    <mergeCell ref="W31:AF31"/>
    <mergeCell ref="H1:S1"/>
    <mergeCell ref="U1:AF1"/>
    <mergeCell ref="U5:V6"/>
    <mergeCell ref="W5:AF5"/>
    <mergeCell ref="W7:AF7"/>
    <mergeCell ref="W33:AF33"/>
    <mergeCell ref="U44:V45"/>
    <mergeCell ref="W44:AF44"/>
    <mergeCell ref="W46:AF46"/>
    <mergeCell ref="AJ1:AU1"/>
    <mergeCell ref="AL7:AU7"/>
    <mergeCell ref="AJ18:AK19"/>
    <mergeCell ref="AL18:AU18"/>
    <mergeCell ref="AL20:AU20"/>
    <mergeCell ref="AJ31:AK32"/>
    <mergeCell ref="AL31:AU31"/>
    <mergeCell ref="AL33:AU33"/>
    <mergeCell ref="AJ44:AK45"/>
    <mergeCell ref="AL44:AU44"/>
    <mergeCell ref="AL46:AU46"/>
    <mergeCell ref="U18:V19"/>
    <mergeCell ref="AY1:BJ1"/>
    <mergeCell ref="BN1:BY1"/>
    <mergeCell ref="CC1:CN1"/>
    <mergeCell ref="CR1:DC1"/>
    <mergeCell ref="AL5:AU5"/>
    <mergeCell ref="AY5:AZ6"/>
    <mergeCell ref="BA5:BJ5"/>
    <mergeCell ref="BP5:BY5"/>
    <mergeCell ref="CE5:CN5"/>
    <mergeCell ref="CT5:DC5"/>
    <mergeCell ref="BA33:BJ33"/>
    <mergeCell ref="AY44:AZ45"/>
    <mergeCell ref="BA44:BJ44"/>
    <mergeCell ref="BA46:BJ46"/>
    <mergeCell ref="AY18:AZ19"/>
    <mergeCell ref="BA18:BJ18"/>
    <mergeCell ref="BA20:BJ20"/>
    <mergeCell ref="AY31:AZ32"/>
    <mergeCell ref="BA31:BJ31"/>
    <mergeCell ref="BP33:BY33"/>
    <mergeCell ref="BN44:BO45"/>
    <mergeCell ref="BP44:BY44"/>
    <mergeCell ref="BP46:BY46"/>
    <mergeCell ref="BN18:BO19"/>
    <mergeCell ref="BP18:BY18"/>
    <mergeCell ref="BP20:BY20"/>
    <mergeCell ref="BN31:BO32"/>
    <mergeCell ref="BP31:BY31"/>
    <mergeCell ref="CE33:CN33"/>
    <mergeCell ref="CC44:CD45"/>
    <mergeCell ref="CE44:CN44"/>
    <mergeCell ref="CE46:CN46"/>
    <mergeCell ref="CC18:CD19"/>
    <mergeCell ref="CE18:CN18"/>
    <mergeCell ref="CE20:CN20"/>
    <mergeCell ref="CC31:CD32"/>
    <mergeCell ref="CE31:CN31"/>
    <mergeCell ref="CT33:DC33"/>
    <mergeCell ref="CR44:CS45"/>
    <mergeCell ref="CT44:DC44"/>
    <mergeCell ref="CT46:DC46"/>
    <mergeCell ref="CR18:CS19"/>
    <mergeCell ref="CT18:DC18"/>
    <mergeCell ref="CT20:DC20"/>
    <mergeCell ref="CR31:CS32"/>
    <mergeCell ref="CT31:DC31"/>
  </mergeCells>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2528DF5-2AD8-4384-9592-DBC10ED6EF5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Important Notes</vt:lpstr>
      <vt:lpstr>Onboarding</vt:lpstr>
      <vt:lpstr>onboarding_calcs</vt:lpstr>
      <vt:lpstr>Lookups</vt:lpstr>
      <vt:lpstr>Quotation Tool</vt:lpstr>
      <vt:lpstr>Life premiums</vt:lpstr>
      <vt:lpstr>Funeral premiums</vt:lpstr>
      <vt:lpstr>Total premium rates_Life</vt:lpstr>
      <vt:lpstr>Total premium rates_Funeral</vt:lpstr>
      <vt:lpstr>Ext</vt:lpstr>
      <vt:lpstr>MM</vt:lpstr>
      <vt:lpstr>MM_CH</vt:lpstr>
      <vt:lpstr>MM_LIFE</vt:lpstr>
      <vt:lpstr>MM_SP</vt:lpstr>
      <vt:lpstr>MM_SP_CH</vt:lpstr>
      <vt:lpstr>Par</vt:lpstr>
      <vt:lpstr>SP_LIFE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Shira Sobel</dc:creator>
  <cp:lastModifiedBy>Arenaho Muhali</cp:lastModifiedBy>
  <dcterms:created xsi:type="dcterms:W3CDTF">2024-03-12T10:00:43Z</dcterms:created>
  <dcterms:modified xsi:type="dcterms:W3CDTF">2026-07-31T13:01:34Z</dcterms:modified>
</cp:coreProperties>
</file>